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orth Dakota/"/>
    </mc:Choice>
  </mc:AlternateContent>
  <xr:revisionPtr revIDLastSave="0" documentId="13_ncr:1_{BCB11C8C-E128-A74D-B3EC-C30FFFE179F4}" xr6:coauthVersionLast="47" xr6:coauthVersionMax="47" xr10:uidLastSave="{00000000-0000-0000-0000-000000000000}"/>
  <bookViews>
    <workbookView xWindow="0" yWindow="780" windowWidth="34200" windowHeight="20340" xr2:uid="{B3CA9C0D-D630-9C40-84F5-4C9AFF397BA1}"/>
  </bookViews>
  <sheets>
    <sheet name="Summary" sheetId="9" r:id="rId1"/>
    <sheet name="GASB 68 Data --&gt;" sheetId="12" r:id="rId2"/>
    <sheet name="2015" sheetId="1" r:id="rId3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  <sheet name="2022" sheetId="8" r:id="rId10"/>
    <sheet name="NCES Data --&gt;" sheetId="10" r:id="rId11"/>
    <sheet name="LEAID Match" sheetId="11" r:id="rId12"/>
  </sheets>
  <definedNames>
    <definedName name="_xlnm._FilterDatabase" localSheetId="0" hidden="1">Summary!$A$1:$L$1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2" i="9"/>
  <c r="L762" i="9" a="1"/>
  <c r="L762" i="9" s="1"/>
  <c r="H762" i="9" s="1" a="1"/>
  <c r="H762" i="9" s="1"/>
  <c r="L851" i="9" a="1"/>
  <c r="L851" i="9" s="1"/>
  <c r="H851" i="9" s="1" a="1"/>
  <c r="H851" i="9" s="1"/>
  <c r="L926" i="9" a="1"/>
  <c r="L926" i="9" s="1"/>
  <c r="H926" i="9" s="1" a="1"/>
  <c r="H926" i="9" s="1"/>
  <c r="L999" i="9" a="1"/>
  <c r="L999" i="9" s="1"/>
  <c r="H999" i="9" s="1" a="1"/>
  <c r="H999" i="9" s="1"/>
  <c r="L1133" i="9" a="1"/>
  <c r="L1133" i="9" s="1"/>
  <c r="H1133" i="9" s="1" a="1"/>
  <c r="H1133" i="9" s="1"/>
  <c r="L1177" i="9" a="1"/>
  <c r="L1177" i="9" s="1"/>
  <c r="H1177" i="9" s="1" a="1"/>
  <c r="H1177" i="9" s="1"/>
  <c r="L1217" i="9" a="1"/>
  <c r="L1217" i="9" s="1"/>
  <c r="H1217" i="9" s="1" a="1"/>
  <c r="H1217" i="9" s="1"/>
  <c r="L1257" i="9" a="1"/>
  <c r="L1257" i="9" s="1"/>
  <c r="H1257" i="9" s="1" a="1"/>
  <c r="H1257" i="9" s="1"/>
  <c r="L1393" i="9" a="1"/>
  <c r="L1393" i="9" s="1"/>
  <c r="H1393" i="9" s="1" a="1"/>
  <c r="H1393" i="9" s="1"/>
  <c r="L1439" i="9" a="1"/>
  <c r="L1439" i="9" s="1"/>
  <c r="H1439" i="9" s="1" a="1"/>
  <c r="H1439" i="9" s="1"/>
  <c r="L1487" i="9" a="1"/>
  <c r="L1487" i="9" s="1"/>
  <c r="H1487" i="9" s="1" a="1"/>
  <c r="H1487" i="9" s="1"/>
  <c r="L1515" i="9" a="1"/>
  <c r="L1515" i="9" s="1"/>
  <c r="H1515" i="9" s="1" a="1"/>
  <c r="H1515" i="9" s="1"/>
  <c r="L1543" i="9" a="1"/>
  <c r="L1543" i="9" s="1"/>
  <c r="H1543" i="9" s="1" a="1"/>
  <c r="H1543" i="9" s="1"/>
  <c r="L1561" i="9" a="1"/>
  <c r="L1561" i="9" s="1"/>
  <c r="H1561" i="9" s="1" a="1"/>
  <c r="H1561" i="9" s="1"/>
  <c r="L1575" i="9" a="1"/>
  <c r="L1575" i="9" s="1"/>
  <c r="H1575" i="9" s="1" a="1"/>
  <c r="H1575" i="9" s="1"/>
  <c r="L1588" i="9" a="1"/>
  <c r="L1588" i="9" s="1"/>
  <c r="H1588" i="9" s="1" a="1"/>
  <c r="H1588" i="9" s="1"/>
  <c r="L1602" i="9" a="1"/>
  <c r="L1602" i="9" s="1"/>
  <c r="H1602" i="9" s="1" a="1"/>
  <c r="H1602" i="9" s="1"/>
  <c r="L1616" i="9" a="1"/>
  <c r="L1616" i="9" s="1"/>
  <c r="H1616" i="9" s="1" a="1"/>
  <c r="H1616" i="9" s="1"/>
  <c r="L1629" i="9" a="1"/>
  <c r="L1629" i="9" s="1"/>
  <c r="H1629" i="9" s="1" a="1"/>
  <c r="H1629" i="9" s="1"/>
  <c r="L1643" i="9" a="1"/>
  <c r="L1643" i="9" s="1"/>
  <c r="H1643" i="9" s="1" a="1"/>
  <c r="H1643" i="9" s="1"/>
  <c r="L1656" i="9" a="1"/>
  <c r="L1656" i="9" s="1"/>
  <c r="H1656" i="9" s="1" a="1"/>
  <c r="H1656" i="9" s="1"/>
  <c r="L1670" i="9" a="1"/>
  <c r="L1670" i="9" s="1"/>
  <c r="H1670" i="9" s="1" a="1"/>
  <c r="H1670" i="9" s="1"/>
  <c r="L1684" i="9" a="1"/>
  <c r="L1684" i="9" s="1"/>
  <c r="H1684" i="9" s="1" a="1"/>
  <c r="H1684" i="9" s="1"/>
  <c r="L1710" i="9" a="1"/>
  <c r="L1710" i="9" s="1"/>
  <c r="H1710" i="9" s="1" a="1"/>
  <c r="H1710" i="9" s="1"/>
  <c r="L1723" i="9" a="1"/>
  <c r="L1723" i="9" s="1"/>
  <c r="H1723" i="9" s="1" a="1"/>
  <c r="H1723" i="9" s="1"/>
  <c r="L1736" i="9" a="1"/>
  <c r="L1736" i="9" s="1"/>
  <c r="H1736" i="9" s="1" a="1"/>
  <c r="H1736" i="9" s="1"/>
  <c r="L1750" i="9" a="1"/>
  <c r="L1750" i="9" s="1"/>
  <c r="H1750" i="9" s="1" a="1"/>
  <c r="H1750" i="9" s="1"/>
  <c r="P14" i="9"/>
  <c r="P15" i="9"/>
  <c r="P16" i="9"/>
  <c r="P17" i="9"/>
  <c r="P18" i="9"/>
  <c r="P19" i="9"/>
  <c r="P20" i="9"/>
  <c r="P13" i="9"/>
  <c r="L739" i="9" s="1" a="1"/>
  <c r="L739" i="9" s="1"/>
  <c r="H739" i="9" s="1" a="1"/>
  <c r="H73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2" i="9"/>
  <c r="D225" i="8"/>
  <c r="D223" i="7"/>
  <c r="D223" i="6"/>
  <c r="D224" i="5"/>
  <c r="D224" i="4"/>
  <c r="D224" i="3"/>
  <c r="D223" i="2"/>
  <c r="D223" i="1"/>
  <c r="L1749" i="9" l="1" a="1"/>
  <c r="L1749" i="9" s="1"/>
  <c r="H1749" i="9" s="1" a="1"/>
  <c r="H1749" i="9" s="1"/>
  <c r="L1735" i="9" a="1"/>
  <c r="L1735" i="9" s="1"/>
  <c r="H1735" i="9" s="1" a="1"/>
  <c r="H1735" i="9" s="1"/>
  <c r="L1722" i="9" a="1"/>
  <c r="L1722" i="9" s="1"/>
  <c r="H1722" i="9" s="1" a="1"/>
  <c r="H1722" i="9" s="1"/>
  <c r="L1697" i="9" a="1"/>
  <c r="L1697" i="9" s="1"/>
  <c r="H1697" i="9" s="1" a="1"/>
  <c r="H1697" i="9" s="1"/>
  <c r="L1683" i="9" a="1"/>
  <c r="L1683" i="9" s="1"/>
  <c r="H1683" i="9" s="1" a="1"/>
  <c r="H1683" i="9" s="1"/>
  <c r="L1669" i="9" a="1"/>
  <c r="L1669" i="9" s="1"/>
  <c r="H1669" i="9" s="1" a="1"/>
  <c r="H1669" i="9" s="1"/>
  <c r="L1655" i="9" a="1"/>
  <c r="L1655" i="9" s="1"/>
  <c r="H1655" i="9" s="1" a="1"/>
  <c r="H1655" i="9" s="1"/>
  <c r="L1642" i="9" a="1"/>
  <c r="L1642" i="9" s="1"/>
  <c r="H1642" i="9" s="1" a="1"/>
  <c r="H1642" i="9" s="1"/>
  <c r="L1628" i="9" a="1"/>
  <c r="L1628" i="9" s="1"/>
  <c r="H1628" i="9" s="1" a="1"/>
  <c r="H1628" i="9" s="1"/>
  <c r="L1615" i="9" a="1"/>
  <c r="L1615" i="9" s="1"/>
  <c r="H1615" i="9" s="1" a="1"/>
  <c r="H1615" i="9" s="1"/>
  <c r="L1587" i="9" a="1"/>
  <c r="L1587" i="9" s="1"/>
  <c r="H1587" i="9" s="1" a="1"/>
  <c r="H1587" i="9" s="1"/>
  <c r="L1574" i="9" a="1"/>
  <c r="L1574" i="9" s="1"/>
  <c r="H1574" i="9" s="1" a="1"/>
  <c r="H1574" i="9" s="1"/>
  <c r="L1560" i="9" a="1"/>
  <c r="L1560" i="9" s="1"/>
  <c r="H1560" i="9" s="1" a="1"/>
  <c r="H1560" i="9" s="1"/>
  <c r="L1540" i="9" a="1"/>
  <c r="L1540" i="9" s="1"/>
  <c r="H1540" i="9" s="1" a="1"/>
  <c r="H1540" i="9" s="1"/>
  <c r="L1513" i="9" a="1"/>
  <c r="L1513" i="9" s="1"/>
  <c r="H1513" i="9" s="1" a="1"/>
  <c r="H1513" i="9" s="1"/>
  <c r="L1485" i="9" a="1"/>
  <c r="L1485" i="9" s="1"/>
  <c r="H1485" i="9" s="1" a="1"/>
  <c r="H1485" i="9" s="1"/>
  <c r="L1387" i="9" a="1"/>
  <c r="L1387" i="9" s="1"/>
  <c r="H1387" i="9" s="1" a="1"/>
  <c r="H1387" i="9" s="1"/>
  <c r="L1338" i="9" a="1"/>
  <c r="L1338" i="9" s="1"/>
  <c r="H1338" i="9" s="1" a="1"/>
  <c r="H1338" i="9" s="1"/>
  <c r="L1252" i="9" a="1"/>
  <c r="L1252" i="9" s="1"/>
  <c r="H1252" i="9" s="1" a="1"/>
  <c r="H1252" i="9" s="1"/>
  <c r="L1212" i="9" a="1"/>
  <c r="L1212" i="9" s="1"/>
  <c r="H1212" i="9" s="1" a="1"/>
  <c r="H1212" i="9" s="1"/>
  <c r="L1127" i="9" a="1"/>
  <c r="L1127" i="9" s="1"/>
  <c r="H1127" i="9" s="1" a="1"/>
  <c r="H1127" i="9" s="1"/>
  <c r="L1063" i="9" a="1"/>
  <c r="L1063" i="9" s="1"/>
  <c r="H1063" i="9" s="1" a="1"/>
  <c r="H1063" i="9" s="1"/>
  <c r="L917" i="9" a="1"/>
  <c r="L917" i="9" s="1"/>
  <c r="H917" i="9" s="1" a="1"/>
  <c r="H917" i="9" s="1"/>
  <c r="L842" i="9" a="1"/>
  <c r="L842" i="9" s="1"/>
  <c r="H842" i="9" s="1" a="1"/>
  <c r="H842" i="9" s="1"/>
  <c r="L750" i="9" a="1"/>
  <c r="L750" i="9" s="1"/>
  <c r="H750" i="9" s="1" a="1"/>
  <c r="H750" i="9" s="1"/>
  <c r="L1745" i="9" a="1"/>
  <c r="L1745" i="9" s="1"/>
  <c r="H1745" i="9" s="1" a="1"/>
  <c r="H1745" i="9" s="1"/>
  <c r="L1731" i="9" a="1"/>
  <c r="L1731" i="9" s="1"/>
  <c r="H1731" i="9" s="1" a="1"/>
  <c r="H1731" i="9" s="1"/>
  <c r="L1719" i="9" a="1"/>
  <c r="L1719" i="9" s="1"/>
  <c r="H1719" i="9" s="1" a="1"/>
  <c r="H1719" i="9" s="1"/>
  <c r="L1707" i="9" a="1"/>
  <c r="L1707" i="9" s="1"/>
  <c r="H1707" i="9" s="1" a="1"/>
  <c r="H1707" i="9" s="1"/>
  <c r="L1693" i="9" a="1"/>
  <c r="L1693" i="9" s="1"/>
  <c r="H1693" i="9" s="1" a="1"/>
  <c r="H1693" i="9" s="1"/>
  <c r="L1679" i="9" a="1"/>
  <c r="L1679" i="9" s="1"/>
  <c r="H1679" i="9" s="1" a="1"/>
  <c r="H1679" i="9" s="1"/>
  <c r="L1652" i="9" a="1"/>
  <c r="L1652" i="9" s="1"/>
  <c r="H1652" i="9" s="1" a="1"/>
  <c r="H1652" i="9" s="1"/>
  <c r="L1639" i="9" a="1"/>
  <c r="L1639" i="9" s="1"/>
  <c r="H1639" i="9" s="1" a="1"/>
  <c r="H1639" i="9" s="1"/>
  <c r="L1625" i="9" a="1"/>
  <c r="L1625" i="9" s="1"/>
  <c r="H1625" i="9" s="1" a="1"/>
  <c r="H1625" i="9" s="1"/>
  <c r="L1612" i="9" a="1"/>
  <c r="L1612" i="9" s="1"/>
  <c r="H1612" i="9" s="1" a="1"/>
  <c r="H1612" i="9" s="1"/>
  <c r="L1598" i="9" a="1"/>
  <c r="L1598" i="9" s="1"/>
  <c r="H1598" i="9" s="1" a="1"/>
  <c r="H1598" i="9" s="1"/>
  <c r="L1584" i="9" a="1"/>
  <c r="L1584" i="9" s="1"/>
  <c r="H1584" i="9" s="1" a="1"/>
  <c r="H1584" i="9" s="1"/>
  <c r="L1570" i="9" a="1"/>
  <c r="L1570" i="9" s="1"/>
  <c r="H1570" i="9" s="1" a="1"/>
  <c r="H1570" i="9" s="1"/>
  <c r="L1556" i="9" a="1"/>
  <c r="L1556" i="9" s="1"/>
  <c r="H1556" i="9" s="1" a="1"/>
  <c r="H1556" i="9" s="1"/>
  <c r="L1536" i="9" a="1"/>
  <c r="L1536" i="9" s="1"/>
  <c r="H1536" i="9" s="1" a="1"/>
  <c r="H1536" i="9" s="1"/>
  <c r="L1508" i="9" a="1"/>
  <c r="L1508" i="9" s="1"/>
  <c r="H1508" i="9" s="1" a="1"/>
  <c r="H1508" i="9" s="1"/>
  <c r="L1481" i="9" a="1"/>
  <c r="L1481" i="9" s="1"/>
  <c r="H1481" i="9" s="1" a="1"/>
  <c r="H1481" i="9" s="1"/>
  <c r="L1427" i="9" a="1"/>
  <c r="L1427" i="9" s="1"/>
  <c r="H1427" i="9" s="1" a="1"/>
  <c r="H1427" i="9" s="1"/>
  <c r="L1381" i="9" a="1"/>
  <c r="L1381" i="9" s="1"/>
  <c r="H1381" i="9" s="1" a="1"/>
  <c r="H1381" i="9" s="1"/>
  <c r="L1286" i="9" a="1"/>
  <c r="L1286" i="9" s="1"/>
  <c r="H1286" i="9" s="1" a="1"/>
  <c r="H1286" i="9" s="1"/>
  <c r="L1247" i="9" a="1"/>
  <c r="L1247" i="9" s="1"/>
  <c r="H1247" i="9" s="1" a="1"/>
  <c r="H1247" i="9" s="1"/>
  <c r="L1207" i="9" a="1"/>
  <c r="L1207" i="9" s="1"/>
  <c r="H1207" i="9" s="1" a="1"/>
  <c r="H1207" i="9" s="1"/>
  <c r="L1053" i="9" a="1"/>
  <c r="L1053" i="9" s="1"/>
  <c r="H1053" i="9" s="1" a="1"/>
  <c r="H1053" i="9" s="1"/>
  <c r="L980" i="9" a="1"/>
  <c r="L980" i="9" s="1"/>
  <c r="H980" i="9" s="1" a="1"/>
  <c r="H980" i="9" s="1"/>
  <c r="L833" i="9" a="1"/>
  <c r="L833" i="9" s="1"/>
  <c r="H833" i="9" s="1" a="1"/>
  <c r="H833" i="9" s="1"/>
  <c r="L2" i="9" a="1"/>
  <c r="L2" i="9" s="1"/>
  <c r="L3" i="9" a="1"/>
  <c r="L3" i="9" s="1"/>
  <c r="L8" i="9" a="1"/>
  <c r="L8" i="9" s="1"/>
  <c r="L14" i="9" a="1"/>
  <c r="L14" i="9" s="1"/>
  <c r="H14" i="9" s="1" a="1"/>
  <c r="H14" i="9" s="1"/>
  <c r="L19" i="9" a="1"/>
  <c r="L19" i="9" s="1"/>
  <c r="H19" i="9" s="1" a="1"/>
  <c r="H19" i="9" s="1"/>
  <c r="L25" i="9" a="1"/>
  <c r="L25" i="9" s="1"/>
  <c r="H25" i="9" s="1" a="1"/>
  <c r="H25" i="9" s="1"/>
  <c r="L46" i="9" a="1"/>
  <c r="L46" i="9" s="1"/>
  <c r="H46" i="9" s="1" a="1"/>
  <c r="H46" i="9" s="1"/>
  <c r="L51" i="9" a="1"/>
  <c r="L51" i="9" s="1"/>
  <c r="H51" i="9" s="1" a="1"/>
  <c r="H51" i="9" s="1"/>
  <c r="L57" i="9" a="1"/>
  <c r="L57" i="9" s="1"/>
  <c r="H57" i="9" s="1" a="1"/>
  <c r="H57" i="9" s="1"/>
  <c r="L62" i="9" a="1"/>
  <c r="L62" i="9" s="1"/>
  <c r="H62" i="9" s="1" a="1"/>
  <c r="H62" i="9" s="1"/>
  <c r="L67" i="9" a="1"/>
  <c r="L67" i="9" s="1"/>
  <c r="H67" i="9" s="1" a="1"/>
  <c r="H67" i="9" s="1"/>
  <c r="L84" i="9" a="1"/>
  <c r="L84" i="9" s="1"/>
  <c r="H84" i="9" s="1" a="1"/>
  <c r="H84" i="9" s="1"/>
  <c r="L91" i="9" a="1"/>
  <c r="L91" i="9" s="1"/>
  <c r="H91" i="9" s="1" a="1"/>
  <c r="H91" i="9" s="1"/>
  <c r="L4" i="9" a="1"/>
  <c r="L4" i="9" s="1"/>
  <c r="L9" i="9" a="1"/>
  <c r="L9" i="9" s="1"/>
  <c r="L20" i="9" a="1"/>
  <c r="L20" i="9" s="1"/>
  <c r="H20" i="9" s="1" a="1"/>
  <c r="H20" i="9" s="1"/>
  <c r="L30" i="9" a="1"/>
  <c r="L30" i="9" s="1"/>
  <c r="H30" i="9" s="1" a="1"/>
  <c r="H30" i="9" s="1"/>
  <c r="L35" i="9" a="1"/>
  <c r="L35" i="9" s="1"/>
  <c r="H35" i="9" s="1" a="1"/>
  <c r="H35" i="9" s="1"/>
  <c r="L41" i="9" a="1"/>
  <c r="L41" i="9" s="1"/>
  <c r="H41" i="9" s="1" a="1"/>
  <c r="H41" i="9" s="1"/>
  <c r="L52" i="9" a="1"/>
  <c r="L52" i="9" s="1"/>
  <c r="H52" i="9" s="1" a="1"/>
  <c r="H52" i="9" s="1"/>
  <c r="L58" i="9" a="1"/>
  <c r="L58" i="9" s="1"/>
  <c r="H58" i="9" s="1" a="1"/>
  <c r="H58" i="9" s="1"/>
  <c r="L63" i="9" a="1"/>
  <c r="L63" i="9" s="1"/>
  <c r="H63" i="9" s="1" a="1"/>
  <c r="H63" i="9" s="1"/>
  <c r="L68" i="9" a="1"/>
  <c r="L68" i="9" s="1"/>
  <c r="H68" i="9" s="1" a="1"/>
  <c r="H68" i="9" s="1"/>
  <c r="L73" i="9" a="1"/>
  <c r="L73" i="9" s="1"/>
  <c r="H73" i="9" s="1" a="1"/>
  <c r="H73" i="9" s="1"/>
  <c r="L79" i="9" a="1"/>
  <c r="L79" i="9" s="1"/>
  <c r="H79" i="9" s="1" a="1"/>
  <c r="H79" i="9" s="1"/>
  <c r="L85" i="9" a="1"/>
  <c r="L85" i="9" s="1"/>
  <c r="H85" i="9" s="1" a="1"/>
  <c r="H85" i="9" s="1"/>
  <c r="L92" i="9" a="1"/>
  <c r="L92" i="9" s="1"/>
  <c r="H92" i="9" s="1" a="1"/>
  <c r="H92" i="9" s="1"/>
  <c r="L97" i="9" a="1"/>
  <c r="L97" i="9" s="1"/>
  <c r="H97" i="9" s="1" a="1"/>
  <c r="H97" i="9" s="1"/>
  <c r="L102" i="9" a="1"/>
  <c r="L102" i="9" s="1"/>
  <c r="H102" i="9" s="1" a="1"/>
  <c r="H102" i="9" s="1"/>
  <c r="L108" i="9" a="1"/>
  <c r="L108" i="9" s="1"/>
  <c r="H108" i="9" s="1" a="1"/>
  <c r="H108" i="9" s="1"/>
  <c r="L114" i="9" a="1"/>
  <c r="L114" i="9" s="1"/>
  <c r="H114" i="9" s="1" a="1"/>
  <c r="H114" i="9" s="1"/>
  <c r="L15" i="9" a="1"/>
  <c r="L15" i="9" s="1"/>
  <c r="H15" i="9" s="1" a="1"/>
  <c r="H15" i="9" s="1"/>
  <c r="L26" i="9" a="1"/>
  <c r="L26" i="9" s="1"/>
  <c r="H26" i="9" s="1" a="1"/>
  <c r="H26" i="9" s="1"/>
  <c r="L31" i="9" a="1"/>
  <c r="L31" i="9" s="1"/>
  <c r="H31" i="9" s="1" a="1"/>
  <c r="H31" i="9" s="1"/>
  <c r="L36" i="9" a="1"/>
  <c r="L36" i="9" s="1"/>
  <c r="H36" i="9" s="1" a="1"/>
  <c r="H36" i="9" s="1"/>
  <c r="L47" i="9" a="1"/>
  <c r="L47" i="9" s="1"/>
  <c r="H47" i="9" s="1" a="1"/>
  <c r="H47" i="9" s="1"/>
  <c r="L64" i="9" a="1"/>
  <c r="L64" i="9" s="1"/>
  <c r="H64" i="9" s="1" a="1"/>
  <c r="H64" i="9" s="1"/>
  <c r="L69" i="9" a="1"/>
  <c r="L69" i="9" s="1"/>
  <c r="H69" i="9" s="1" a="1"/>
  <c r="H69" i="9" s="1"/>
  <c r="L80" i="9" a="1"/>
  <c r="L80" i="9" s="1"/>
  <c r="H80" i="9" s="1" a="1"/>
  <c r="H80" i="9" s="1"/>
  <c r="L86" i="9" a="1"/>
  <c r="L86" i="9" s="1"/>
  <c r="H86" i="9" s="1" a="1"/>
  <c r="H86" i="9" s="1"/>
  <c r="L5" i="9" a="1"/>
  <c r="L5" i="9" s="1"/>
  <c r="L10" i="9" a="1"/>
  <c r="L10" i="9" s="1"/>
  <c r="H10" i="9" s="1" a="1"/>
  <c r="H10" i="9" s="1"/>
  <c r="L16" i="9" a="1"/>
  <c r="L16" i="9" s="1"/>
  <c r="H16" i="9" s="1" a="1"/>
  <c r="H16" i="9" s="1"/>
  <c r="L21" i="9" a="1"/>
  <c r="L21" i="9" s="1"/>
  <c r="H21" i="9" s="1" a="1"/>
  <c r="H21" i="9" s="1"/>
  <c r="L32" i="9" a="1"/>
  <c r="L32" i="9" s="1"/>
  <c r="H32" i="9" s="1" a="1"/>
  <c r="H32" i="9" s="1"/>
  <c r="L37" i="9" a="1"/>
  <c r="L37" i="9" s="1"/>
  <c r="H37" i="9" s="1" a="1"/>
  <c r="H37" i="9" s="1"/>
  <c r="L42" i="9" a="1"/>
  <c r="L42" i="9" s="1"/>
  <c r="H42" i="9" s="1" a="1"/>
  <c r="H42" i="9" s="1"/>
  <c r="L48" i="9" a="1"/>
  <c r="L48" i="9" s="1"/>
  <c r="H48" i="9" s="1" a="1"/>
  <c r="H48" i="9" s="1"/>
  <c r="L53" i="9" a="1"/>
  <c r="L53" i="9" s="1"/>
  <c r="H53" i="9" s="1" a="1"/>
  <c r="H53" i="9" s="1"/>
  <c r="L59" i="9" a="1"/>
  <c r="L59" i="9" s="1"/>
  <c r="H59" i="9" s="1" a="1"/>
  <c r="H59" i="9" s="1"/>
  <c r="L74" i="9" a="1"/>
  <c r="L74" i="9" s="1"/>
  <c r="H74" i="9" s="1" a="1"/>
  <c r="H74" i="9" s="1"/>
  <c r="L81" i="9" a="1"/>
  <c r="L81" i="9" s="1"/>
  <c r="H81" i="9" s="1" a="1"/>
  <c r="H81" i="9" s="1"/>
  <c r="L87" i="9" a="1"/>
  <c r="L87" i="9" s="1"/>
  <c r="H87" i="9" s="1" a="1"/>
  <c r="H87" i="9" s="1"/>
  <c r="L17" i="9" a="1"/>
  <c r="L17" i="9" s="1"/>
  <c r="H17" i="9" s="1" a="1"/>
  <c r="H17" i="9" s="1"/>
  <c r="L22" i="9" a="1"/>
  <c r="L22" i="9" s="1"/>
  <c r="H22" i="9" s="1" a="1"/>
  <c r="H22" i="9" s="1"/>
  <c r="L27" i="9" a="1"/>
  <c r="L27" i="9" s="1"/>
  <c r="H27" i="9" s="1" a="1"/>
  <c r="H27" i="9" s="1"/>
  <c r="L6" i="9" a="1"/>
  <c r="L6" i="9" s="1"/>
  <c r="L33" i="9" a="1"/>
  <c r="L33" i="9" s="1"/>
  <c r="H33" i="9" s="1" a="1"/>
  <c r="H33" i="9" s="1"/>
  <c r="L43" i="9" a="1"/>
  <c r="L43" i="9" s="1"/>
  <c r="H43" i="9" s="1" a="1"/>
  <c r="H43" i="9" s="1"/>
  <c r="L55" i="9" a="1"/>
  <c r="L55" i="9" s="1"/>
  <c r="H55" i="9" s="1" a="1"/>
  <c r="H55" i="9" s="1"/>
  <c r="L76" i="9" a="1"/>
  <c r="L76" i="9" s="1"/>
  <c r="H76" i="9" s="1" a="1"/>
  <c r="H76" i="9" s="1"/>
  <c r="L89" i="9" a="1"/>
  <c r="L89" i="9" s="1"/>
  <c r="H89" i="9" s="1" a="1"/>
  <c r="H89" i="9" s="1"/>
  <c r="L104" i="9" a="1"/>
  <c r="L104" i="9" s="1"/>
  <c r="H104" i="9" s="1" a="1"/>
  <c r="H104" i="9" s="1"/>
  <c r="L111" i="9" a="1"/>
  <c r="L111" i="9" s="1"/>
  <c r="H111" i="9" s="1" a="1"/>
  <c r="H111" i="9" s="1"/>
  <c r="L118" i="9" a="1"/>
  <c r="L118" i="9" s="1"/>
  <c r="H118" i="9" s="1" a="1"/>
  <c r="H118" i="9" s="1"/>
  <c r="L123" i="9" a="1"/>
  <c r="L123" i="9" s="1"/>
  <c r="H123" i="9" s="1" a="1"/>
  <c r="H123" i="9" s="1"/>
  <c r="L129" i="9" a="1"/>
  <c r="L129" i="9" s="1"/>
  <c r="H129" i="9" s="1" a="1"/>
  <c r="H129" i="9" s="1"/>
  <c r="L136" i="9" a="1"/>
  <c r="L136" i="9" s="1"/>
  <c r="H136" i="9" s="1" a="1"/>
  <c r="H136" i="9" s="1"/>
  <c r="L142" i="9" a="1"/>
  <c r="L142" i="9" s="1"/>
  <c r="H142" i="9" s="1" a="1"/>
  <c r="H142" i="9" s="1"/>
  <c r="L147" i="9" a="1"/>
  <c r="L147" i="9" s="1"/>
  <c r="H147" i="9" s="1" a="1"/>
  <c r="H147" i="9" s="1"/>
  <c r="L155" i="9" a="1"/>
  <c r="L155" i="9" s="1"/>
  <c r="H155" i="9" s="1" a="1"/>
  <c r="H155" i="9" s="1"/>
  <c r="L161" i="9" a="1"/>
  <c r="L161" i="9" s="1"/>
  <c r="H161" i="9" s="1" a="1"/>
  <c r="H161" i="9" s="1"/>
  <c r="L172" i="9" a="1"/>
  <c r="L172" i="9" s="1"/>
  <c r="H172" i="9" s="1" a="1"/>
  <c r="H172" i="9" s="1"/>
  <c r="L185" i="9" a="1"/>
  <c r="L185" i="9" s="1"/>
  <c r="H185" i="9" s="1" a="1"/>
  <c r="H185" i="9" s="1"/>
  <c r="L192" i="9" a="1"/>
  <c r="L192" i="9" s="1"/>
  <c r="H192" i="9" s="1" a="1"/>
  <c r="H192" i="9" s="1"/>
  <c r="L203" i="9" a="1"/>
  <c r="L203" i="9" s="1"/>
  <c r="H203" i="9" s="1" a="1"/>
  <c r="H203" i="9" s="1"/>
  <c r="L210" i="9" a="1"/>
  <c r="L210" i="9" s="1"/>
  <c r="H210" i="9" s="1" a="1"/>
  <c r="H210" i="9" s="1"/>
  <c r="L222" i="9" a="1"/>
  <c r="L222" i="9" s="1"/>
  <c r="H222" i="9" s="1" a="1"/>
  <c r="H222" i="9" s="1"/>
  <c r="L227" i="9" a="1"/>
  <c r="L227" i="9" s="1"/>
  <c r="H227" i="9" s="1" a="1"/>
  <c r="H227" i="9" s="1"/>
  <c r="L240" i="9" a="1"/>
  <c r="L240" i="9" s="1"/>
  <c r="H240" i="9" s="1" a="1"/>
  <c r="H240" i="9" s="1"/>
  <c r="L246" i="9" a="1"/>
  <c r="L246" i="9" s="1"/>
  <c r="H246" i="9" s="1" a="1"/>
  <c r="H246" i="9" s="1"/>
  <c r="L258" i="9" a="1"/>
  <c r="L258" i="9" s="1"/>
  <c r="H258" i="9" s="1" a="1"/>
  <c r="H258" i="9" s="1"/>
  <c r="L264" i="9" a="1"/>
  <c r="L264" i="9" s="1"/>
  <c r="H264" i="9" s="1" a="1"/>
  <c r="H264" i="9" s="1"/>
  <c r="L270" i="9" a="1"/>
  <c r="L270" i="9" s="1"/>
  <c r="H270" i="9" s="1" a="1"/>
  <c r="H270" i="9" s="1"/>
  <c r="L276" i="9" a="1"/>
  <c r="L276" i="9" s="1"/>
  <c r="H276" i="9" s="1" a="1"/>
  <c r="H276" i="9" s="1"/>
  <c r="L287" i="9" a="1"/>
  <c r="L287" i="9" s="1"/>
  <c r="H287" i="9" s="1" a="1"/>
  <c r="H287" i="9" s="1"/>
  <c r="L299" i="9" a="1"/>
  <c r="L299" i="9" s="1"/>
  <c r="H299" i="9" s="1" a="1"/>
  <c r="H299" i="9" s="1"/>
  <c r="L305" i="9" a="1"/>
  <c r="L305" i="9" s="1"/>
  <c r="H305" i="9" s="1" a="1"/>
  <c r="H305" i="9" s="1"/>
  <c r="L311" i="9" a="1"/>
  <c r="L311" i="9" s="1"/>
  <c r="H311" i="9" s="1" a="1"/>
  <c r="H311" i="9" s="1"/>
  <c r="L317" i="9" a="1"/>
  <c r="L317" i="9" s="1"/>
  <c r="H317" i="9" s="1" a="1"/>
  <c r="H317" i="9" s="1"/>
  <c r="L324" i="9" a="1"/>
  <c r="L324" i="9" s="1"/>
  <c r="H324" i="9" s="1" a="1"/>
  <c r="H324" i="9" s="1"/>
  <c r="L330" i="9" a="1"/>
  <c r="L330" i="9" s="1"/>
  <c r="H330" i="9" s="1" a="1"/>
  <c r="H330" i="9" s="1"/>
  <c r="L337" i="9" a="1"/>
  <c r="L337" i="9" s="1"/>
  <c r="H337" i="9" s="1" a="1"/>
  <c r="H337" i="9" s="1"/>
  <c r="L343" i="9" a="1"/>
  <c r="L343" i="9" s="1"/>
  <c r="H343" i="9" s="1" a="1"/>
  <c r="H343" i="9" s="1"/>
  <c r="L350" i="9" a="1"/>
  <c r="L350" i="9" s="1"/>
  <c r="H350" i="9" s="1" a="1"/>
  <c r="H350" i="9" s="1"/>
  <c r="L370" i="9" a="1"/>
  <c r="L370" i="9" s="1"/>
  <c r="H370" i="9" s="1" a="1"/>
  <c r="H370" i="9" s="1"/>
  <c r="L377" i="9" a="1"/>
  <c r="L377" i="9" s="1"/>
  <c r="H377" i="9" s="1" a="1"/>
  <c r="H377" i="9" s="1"/>
  <c r="L385" i="9" a="1"/>
  <c r="L385" i="9" s="1"/>
  <c r="H385" i="9" s="1" a="1"/>
  <c r="H385" i="9" s="1"/>
  <c r="L393" i="9" a="1"/>
  <c r="L393" i="9" s="1"/>
  <c r="H393" i="9" s="1" a="1"/>
  <c r="H393" i="9" s="1"/>
  <c r="L400" i="9" a="1"/>
  <c r="L400" i="9" s="1"/>
  <c r="H400" i="9" s="1" a="1"/>
  <c r="H400" i="9" s="1"/>
  <c r="L407" i="9" a="1"/>
  <c r="L407" i="9" s="1"/>
  <c r="H407" i="9" s="1" a="1"/>
  <c r="H407" i="9" s="1"/>
  <c r="L414" i="9" a="1"/>
  <c r="L414" i="9" s="1"/>
  <c r="H414" i="9" s="1" a="1"/>
  <c r="H414" i="9" s="1"/>
  <c r="L422" i="9" a="1"/>
  <c r="L422" i="9" s="1"/>
  <c r="H422" i="9" s="1" a="1"/>
  <c r="H422" i="9" s="1"/>
  <c r="L429" i="9" a="1"/>
  <c r="L429" i="9" s="1"/>
  <c r="H429" i="9" s="1" a="1"/>
  <c r="H429" i="9" s="1"/>
  <c r="L436" i="9" a="1"/>
  <c r="L436" i="9" s="1"/>
  <c r="H436" i="9" s="1" a="1"/>
  <c r="H436" i="9" s="1"/>
  <c r="L443" i="9" a="1"/>
  <c r="L443" i="9" s="1"/>
  <c r="H443" i="9" s="1" a="1"/>
  <c r="H443" i="9" s="1"/>
  <c r="L451" i="9" a="1"/>
  <c r="L451" i="9" s="1"/>
  <c r="H451" i="9" s="1" a="1"/>
  <c r="H451" i="9" s="1"/>
  <c r="L459" i="9" a="1"/>
  <c r="L459" i="9" s="1"/>
  <c r="H459" i="9" s="1" a="1"/>
  <c r="H459" i="9" s="1"/>
  <c r="L465" i="9" a="1"/>
  <c r="L465" i="9" s="1"/>
  <c r="H465" i="9" s="1" a="1"/>
  <c r="H465" i="9" s="1"/>
  <c r="L472" i="9" a="1"/>
  <c r="L472" i="9" s="1"/>
  <c r="H472" i="9" s="1" a="1"/>
  <c r="H472" i="9" s="1"/>
  <c r="L480" i="9" a="1"/>
  <c r="L480" i="9" s="1"/>
  <c r="H480" i="9" s="1" a="1"/>
  <c r="H480" i="9" s="1"/>
  <c r="L488" i="9" a="1"/>
  <c r="L488" i="9" s="1"/>
  <c r="H488" i="9" s="1" a="1"/>
  <c r="H488" i="9" s="1"/>
  <c r="L495" i="9" a="1"/>
  <c r="L495" i="9" s="1"/>
  <c r="H495" i="9" s="1" a="1"/>
  <c r="H495" i="9" s="1"/>
  <c r="L502" i="9" a="1"/>
  <c r="L502" i="9" s="1"/>
  <c r="H502" i="9" s="1" a="1"/>
  <c r="H502" i="9" s="1"/>
  <c r="L509" i="9" a="1"/>
  <c r="L509" i="9" s="1"/>
  <c r="H509" i="9" s="1" a="1"/>
  <c r="H509" i="9" s="1"/>
  <c r="L517" i="9" a="1"/>
  <c r="L517" i="9" s="1"/>
  <c r="H517" i="9" s="1" a="1"/>
  <c r="H517" i="9" s="1"/>
  <c r="L524" i="9" a="1"/>
  <c r="L524" i="9" s="1"/>
  <c r="H524" i="9" s="1" a="1"/>
  <c r="H524" i="9" s="1"/>
  <c r="L531" i="9" a="1"/>
  <c r="L531" i="9" s="1"/>
  <c r="H531" i="9" s="1" a="1"/>
  <c r="H531" i="9" s="1"/>
  <c r="L538" i="9" a="1"/>
  <c r="L538" i="9" s="1"/>
  <c r="H538" i="9" s="1" a="1"/>
  <c r="H538" i="9" s="1"/>
  <c r="L546" i="9" a="1"/>
  <c r="L546" i="9" s="1"/>
  <c r="H546" i="9" s="1" a="1"/>
  <c r="H546" i="9" s="1"/>
  <c r="L554" i="9" a="1"/>
  <c r="L554" i="9" s="1"/>
  <c r="H554" i="9" s="1" a="1"/>
  <c r="H554" i="9" s="1"/>
  <c r="L561" i="9" a="1"/>
  <c r="L561" i="9" s="1"/>
  <c r="H561" i="9" s="1" a="1"/>
  <c r="H561" i="9" s="1"/>
  <c r="L569" i="9" a="1"/>
  <c r="L569" i="9" s="1"/>
  <c r="H569" i="9" s="1" a="1"/>
  <c r="H569" i="9" s="1"/>
  <c r="L576" i="9" a="1"/>
  <c r="L576" i="9" s="1"/>
  <c r="H576" i="9" s="1" a="1"/>
  <c r="H576" i="9" s="1"/>
  <c r="L583" i="9" a="1"/>
  <c r="L583" i="9" s="1"/>
  <c r="H583" i="9" s="1" a="1"/>
  <c r="H583" i="9" s="1"/>
  <c r="L589" i="9" a="1"/>
  <c r="L589" i="9" s="1"/>
  <c r="H589" i="9" s="1" a="1"/>
  <c r="H589" i="9" s="1"/>
  <c r="L597" i="9" a="1"/>
  <c r="L597" i="9" s="1"/>
  <c r="H597" i="9" s="1" a="1"/>
  <c r="H597" i="9" s="1"/>
  <c r="L604" i="9" a="1"/>
  <c r="L604" i="9" s="1"/>
  <c r="H604" i="9" s="1" a="1"/>
  <c r="H604" i="9" s="1"/>
  <c r="L611" i="9" a="1"/>
  <c r="L611" i="9" s="1"/>
  <c r="H611" i="9" s="1" a="1"/>
  <c r="H611" i="9" s="1"/>
  <c r="L619" i="9" a="1"/>
  <c r="L619" i="9" s="1"/>
  <c r="H619" i="9" s="1" a="1"/>
  <c r="H619" i="9" s="1"/>
  <c r="L625" i="9" a="1"/>
  <c r="L625" i="9" s="1"/>
  <c r="H625" i="9" s="1" a="1"/>
  <c r="H625" i="9" s="1"/>
  <c r="L633" i="9" a="1"/>
  <c r="L633" i="9" s="1"/>
  <c r="H633" i="9" s="1" a="1"/>
  <c r="H633" i="9" s="1"/>
  <c r="L640" i="9" a="1"/>
  <c r="L640" i="9" s="1"/>
  <c r="H640" i="9" s="1" a="1"/>
  <c r="H640" i="9" s="1"/>
  <c r="L648" i="9" a="1"/>
  <c r="L648" i="9" s="1"/>
  <c r="H648" i="9" s="1" a="1"/>
  <c r="H648" i="9" s="1"/>
  <c r="L654" i="9" a="1"/>
  <c r="L654" i="9" s="1"/>
  <c r="H654" i="9" s="1" a="1"/>
  <c r="H654" i="9" s="1"/>
  <c r="L662" i="9" a="1"/>
  <c r="L662" i="9" s="1"/>
  <c r="H662" i="9" s="1" a="1"/>
  <c r="H662" i="9" s="1"/>
  <c r="L669" i="9" a="1"/>
  <c r="L669" i="9" s="1"/>
  <c r="H669" i="9" s="1" a="1"/>
  <c r="H669" i="9" s="1"/>
  <c r="L677" i="9" a="1"/>
  <c r="L677" i="9" s="1"/>
  <c r="H677" i="9" s="1" a="1"/>
  <c r="H677" i="9" s="1"/>
  <c r="L684" i="9" a="1"/>
  <c r="L684" i="9" s="1"/>
  <c r="H684" i="9" s="1" a="1"/>
  <c r="H684" i="9" s="1"/>
  <c r="L691" i="9" a="1"/>
  <c r="L691" i="9" s="1"/>
  <c r="H691" i="9" s="1" a="1"/>
  <c r="H691" i="9" s="1"/>
  <c r="L699" i="9" a="1"/>
  <c r="L699" i="9" s="1"/>
  <c r="H699" i="9" s="1" a="1"/>
  <c r="H699" i="9" s="1"/>
  <c r="L706" i="9" a="1"/>
  <c r="L706" i="9" s="1"/>
  <c r="H706" i="9" s="1" a="1"/>
  <c r="H706" i="9" s="1"/>
  <c r="L714" i="9" a="1"/>
  <c r="L714" i="9" s="1"/>
  <c r="H714" i="9" s="1" a="1"/>
  <c r="H714" i="9" s="1"/>
  <c r="L720" i="9" a="1"/>
  <c r="L720" i="9" s="1"/>
  <c r="H720" i="9" s="1" a="1"/>
  <c r="H720" i="9" s="1"/>
  <c r="L728" i="9" a="1"/>
  <c r="L728" i="9" s="1"/>
  <c r="H728" i="9" s="1" a="1"/>
  <c r="H728" i="9" s="1"/>
  <c r="L735" i="9" a="1"/>
  <c r="L735" i="9" s="1"/>
  <c r="H735" i="9" s="1" a="1"/>
  <c r="H735" i="9" s="1"/>
  <c r="L743" i="9" a="1"/>
  <c r="L743" i="9" s="1"/>
  <c r="H743" i="9" s="1" a="1"/>
  <c r="H743" i="9" s="1"/>
  <c r="L749" i="9" a="1"/>
  <c r="L749" i="9" s="1"/>
  <c r="H749" i="9" s="1" a="1"/>
  <c r="H749" i="9" s="1"/>
  <c r="L757" i="9" a="1"/>
  <c r="L757" i="9" s="1"/>
  <c r="H757" i="9" s="1" a="1"/>
  <c r="H757" i="9" s="1"/>
  <c r="L764" i="9" a="1"/>
  <c r="L764" i="9" s="1"/>
  <c r="H764" i="9" s="1" a="1"/>
  <c r="H764" i="9" s="1"/>
  <c r="L772" i="9" a="1"/>
  <c r="L772" i="9" s="1"/>
  <c r="H772" i="9" s="1" a="1"/>
  <c r="H772" i="9" s="1"/>
  <c r="L786" i="9" a="1"/>
  <c r="L786" i="9" s="1"/>
  <c r="H786" i="9" s="1" a="1"/>
  <c r="H786" i="9" s="1"/>
  <c r="L794" i="9" a="1"/>
  <c r="L794" i="9" s="1"/>
  <c r="H794" i="9" s="1" a="1"/>
  <c r="H794" i="9" s="1"/>
  <c r="L801" i="9" a="1"/>
  <c r="L801" i="9" s="1"/>
  <c r="H801" i="9" s="1" a="1"/>
  <c r="H801" i="9" s="1"/>
  <c r="L809" i="9" a="1"/>
  <c r="L809" i="9" s="1"/>
  <c r="H809" i="9" s="1" a="1"/>
  <c r="H809" i="9" s="1"/>
  <c r="L815" i="9" a="1"/>
  <c r="L815" i="9" s="1"/>
  <c r="H815" i="9" s="1" a="1"/>
  <c r="H815" i="9" s="1"/>
  <c r="L823" i="9" a="1"/>
  <c r="L823" i="9" s="1"/>
  <c r="H823" i="9" s="1" a="1"/>
  <c r="H823" i="9" s="1"/>
  <c r="L830" i="9" a="1"/>
  <c r="L830" i="9" s="1"/>
  <c r="H830" i="9" s="1" a="1"/>
  <c r="H830" i="9" s="1"/>
  <c r="L848" i="9" a="1"/>
  <c r="L848" i="9" s="1"/>
  <c r="H848" i="9" s="1" a="1"/>
  <c r="H848" i="9" s="1"/>
  <c r="L855" i="9" a="1"/>
  <c r="L855" i="9" s="1"/>
  <c r="H855" i="9" s="1" a="1"/>
  <c r="H855" i="9" s="1"/>
  <c r="L860" i="9" a="1"/>
  <c r="L860" i="9" s="1"/>
  <c r="H860" i="9" s="1" a="1"/>
  <c r="H860" i="9" s="1"/>
  <c r="L866" i="9" a="1"/>
  <c r="L866" i="9" s="1"/>
  <c r="H866" i="9" s="1" a="1"/>
  <c r="H866" i="9" s="1"/>
  <c r="L872" i="9" a="1"/>
  <c r="L872" i="9" s="1"/>
  <c r="H872" i="9" s="1" a="1"/>
  <c r="H872" i="9" s="1"/>
  <c r="L878" i="9" a="1"/>
  <c r="L878" i="9" s="1"/>
  <c r="H878" i="9" s="1" a="1"/>
  <c r="H878" i="9" s="1"/>
  <c r="L884" i="9" a="1"/>
  <c r="L884" i="9" s="1"/>
  <c r="H884" i="9" s="1" a="1"/>
  <c r="H884" i="9" s="1"/>
  <c r="L896" i="9" a="1"/>
  <c r="L896" i="9" s="1"/>
  <c r="H896" i="9" s="1" a="1"/>
  <c r="H896" i="9" s="1"/>
  <c r="L901" i="9" a="1"/>
  <c r="L901" i="9" s="1"/>
  <c r="H901" i="9" s="1" a="1"/>
  <c r="H901" i="9" s="1"/>
  <c r="L908" i="9" a="1"/>
  <c r="L908" i="9" s="1"/>
  <c r="H908" i="9" s="1" a="1"/>
  <c r="H908" i="9" s="1"/>
  <c r="L914" i="9" a="1"/>
  <c r="L914" i="9" s="1"/>
  <c r="H914" i="9" s="1" a="1"/>
  <c r="H914" i="9" s="1"/>
  <c r="L924" i="9" a="1"/>
  <c r="L924" i="9" s="1"/>
  <c r="H924" i="9" s="1" a="1"/>
  <c r="H924" i="9" s="1"/>
  <c r="L930" i="9" a="1"/>
  <c r="L930" i="9" s="1"/>
  <c r="H930" i="9" s="1" a="1"/>
  <c r="H930" i="9" s="1"/>
  <c r="L935" i="9" a="1"/>
  <c r="L935" i="9" s="1"/>
  <c r="H935" i="9" s="1" a="1"/>
  <c r="H935" i="9" s="1"/>
  <c r="L942" i="9" a="1"/>
  <c r="L942" i="9" s="1"/>
  <c r="H942" i="9" s="1" a="1"/>
  <c r="H942" i="9" s="1"/>
  <c r="L953" i="9" a="1"/>
  <c r="L953" i="9" s="1"/>
  <c r="H953" i="9" s="1" a="1"/>
  <c r="H953" i="9" s="1"/>
  <c r="L958" i="9" a="1"/>
  <c r="L958" i="9" s="1"/>
  <c r="H958" i="9" s="1" a="1"/>
  <c r="H958" i="9" s="1"/>
  <c r="L981" i="9" a="1"/>
  <c r="L981" i="9" s="1"/>
  <c r="H981" i="9" s="1" a="1"/>
  <c r="H981" i="9" s="1"/>
  <c r="L992" i="9" a="1"/>
  <c r="L992" i="9" s="1"/>
  <c r="H992" i="9" s="1" a="1"/>
  <c r="H992" i="9" s="1"/>
  <c r="L998" i="9" a="1"/>
  <c r="L998" i="9" s="1"/>
  <c r="H998" i="9" s="1" a="1"/>
  <c r="H998" i="9" s="1"/>
  <c r="L1010" i="9" a="1"/>
  <c r="L1010" i="9" s="1"/>
  <c r="H1010" i="9" s="1" a="1"/>
  <c r="H1010" i="9" s="1"/>
  <c r="L1016" i="9" a="1"/>
  <c r="L1016" i="9" s="1"/>
  <c r="H1016" i="9" s="1" a="1"/>
  <c r="H1016" i="9" s="1"/>
  <c r="L1027" i="9" a="1"/>
  <c r="L1027" i="9" s="1"/>
  <c r="H1027" i="9" s="1" a="1"/>
  <c r="H1027" i="9" s="1"/>
  <c r="L1033" i="9" a="1"/>
  <c r="L1033" i="9" s="1"/>
  <c r="H1033" i="9" s="1" a="1"/>
  <c r="H1033" i="9" s="1"/>
  <c r="L1050" i="9" a="1"/>
  <c r="L1050" i="9" s="1"/>
  <c r="H1050" i="9" s="1" a="1"/>
  <c r="H1050" i="9" s="1"/>
  <c r="L1056" i="9" a="1"/>
  <c r="L1056" i="9" s="1"/>
  <c r="H1056" i="9" s="1" a="1"/>
  <c r="H1056" i="9" s="1"/>
  <c r="L1061" i="9" a="1"/>
  <c r="L1061" i="9" s="1"/>
  <c r="H1061" i="9" s="1" a="1"/>
  <c r="H1061" i="9" s="1"/>
  <c r="L1067" i="9" a="1"/>
  <c r="L1067" i="9" s="1"/>
  <c r="H1067" i="9" s="1" a="1"/>
  <c r="H1067" i="9" s="1"/>
  <c r="L1072" i="9" a="1"/>
  <c r="L1072" i="9" s="1"/>
  <c r="H1072" i="9" s="1" a="1"/>
  <c r="H1072" i="9" s="1"/>
  <c r="L1078" i="9" a="1"/>
  <c r="L1078" i="9" s="1"/>
  <c r="H1078" i="9" s="1" a="1"/>
  <c r="H1078" i="9" s="1"/>
  <c r="L1093" i="9" a="1"/>
  <c r="L1093" i="9" s="1"/>
  <c r="H1093" i="9" s="1" a="1"/>
  <c r="H1093" i="9" s="1"/>
  <c r="L1098" i="9" a="1"/>
  <c r="L1098" i="9" s="1"/>
  <c r="H1098" i="9" s="1" a="1"/>
  <c r="H1098" i="9" s="1"/>
  <c r="L1107" i="9" a="1"/>
  <c r="L1107" i="9" s="1"/>
  <c r="H1107" i="9" s="1" a="1"/>
  <c r="H1107" i="9" s="1"/>
  <c r="L1117" i="9" a="1"/>
  <c r="L1117" i="9" s="1"/>
  <c r="H1117" i="9" s="1" a="1"/>
  <c r="H1117" i="9" s="1"/>
  <c r="L1122" i="9" a="1"/>
  <c r="L1122" i="9" s="1"/>
  <c r="H1122" i="9" s="1" a="1"/>
  <c r="H1122" i="9" s="1"/>
  <c r="L1131" i="9" a="1"/>
  <c r="L1131" i="9" s="1"/>
  <c r="H1131" i="9" s="1" a="1"/>
  <c r="H1131" i="9" s="1"/>
  <c r="L1140" i="9" a="1"/>
  <c r="L1140" i="9" s="1"/>
  <c r="H1140" i="9" s="1" a="1"/>
  <c r="H1140" i="9" s="1"/>
  <c r="L1145" i="9" a="1"/>
  <c r="L1145" i="9" s="1"/>
  <c r="H1145" i="9" s="1" a="1"/>
  <c r="H1145" i="9" s="1"/>
  <c r="L1155" i="9" a="1"/>
  <c r="L1155" i="9" s="1"/>
  <c r="H1155" i="9" s="1" a="1"/>
  <c r="H1155" i="9" s="1"/>
  <c r="L1164" i="9" a="1"/>
  <c r="L1164" i="9" s="1"/>
  <c r="H1164" i="9" s="1" a="1"/>
  <c r="H1164" i="9" s="1"/>
  <c r="L1173" i="9" a="1"/>
  <c r="L1173" i="9" s="1"/>
  <c r="H1173" i="9" s="1" a="1"/>
  <c r="H1173" i="9" s="1"/>
  <c r="L1188" i="9" a="1"/>
  <c r="L1188" i="9" s="1"/>
  <c r="H1188" i="9" s="1" a="1"/>
  <c r="H1188" i="9" s="1"/>
  <c r="L23" i="9" a="1"/>
  <c r="L23" i="9" s="1"/>
  <c r="H23" i="9" s="1" a="1"/>
  <c r="H23" i="9" s="1"/>
  <c r="L44" i="9" a="1"/>
  <c r="L44" i="9" s="1"/>
  <c r="H44" i="9" s="1" a="1"/>
  <c r="H44" i="9" s="1"/>
  <c r="L56" i="9" a="1"/>
  <c r="L56" i="9" s="1"/>
  <c r="H56" i="9" s="1" a="1"/>
  <c r="H56" i="9" s="1"/>
  <c r="L66" i="9" a="1"/>
  <c r="L66" i="9" s="1"/>
  <c r="H66" i="9" s="1" a="1"/>
  <c r="H66" i="9" s="1"/>
  <c r="L77" i="9" a="1"/>
  <c r="L77" i="9" s="1"/>
  <c r="H77" i="9" s="1" a="1"/>
  <c r="H77" i="9" s="1"/>
  <c r="L90" i="9" a="1"/>
  <c r="L90" i="9" s="1"/>
  <c r="H90" i="9" s="1" a="1"/>
  <c r="H90" i="9" s="1"/>
  <c r="L98" i="9" a="1"/>
  <c r="L98" i="9" s="1"/>
  <c r="H98" i="9" s="1" a="1"/>
  <c r="H98" i="9" s="1"/>
  <c r="L105" i="9" a="1"/>
  <c r="L105" i="9" s="1"/>
  <c r="H105" i="9" s="1" a="1"/>
  <c r="H105" i="9" s="1"/>
  <c r="L112" i="9" a="1"/>
  <c r="L112" i="9" s="1"/>
  <c r="H112" i="9" s="1" a="1"/>
  <c r="H112" i="9" s="1"/>
  <c r="L119" i="9" a="1"/>
  <c r="L119" i="9" s="1"/>
  <c r="H119" i="9" s="1" a="1"/>
  <c r="H119" i="9" s="1"/>
  <c r="L124" i="9" a="1"/>
  <c r="L124" i="9" s="1"/>
  <c r="H124" i="9" s="1" a="1"/>
  <c r="H124" i="9" s="1"/>
  <c r="L130" i="9" a="1"/>
  <c r="L130" i="9" s="1"/>
  <c r="H130" i="9" s="1" a="1"/>
  <c r="H130" i="9" s="1"/>
  <c r="L137" i="9" a="1"/>
  <c r="L137" i="9" s="1"/>
  <c r="H137" i="9" s="1" a="1"/>
  <c r="H137" i="9" s="1"/>
  <c r="L148" i="9" a="1"/>
  <c r="L148" i="9" s="1"/>
  <c r="H148" i="9" s="1" a="1"/>
  <c r="H148" i="9" s="1"/>
  <c r="L156" i="9" a="1"/>
  <c r="L156" i="9" s="1"/>
  <c r="H156" i="9" s="1" a="1"/>
  <c r="H156" i="9" s="1"/>
  <c r="L167" i="9" a="1"/>
  <c r="L167" i="9" s="1"/>
  <c r="H167" i="9" s="1" a="1"/>
  <c r="H167" i="9" s="1"/>
  <c r="L173" i="9" a="1"/>
  <c r="L173" i="9" s="1"/>
  <c r="H173" i="9" s="1" a="1"/>
  <c r="H173" i="9" s="1"/>
  <c r="L179" i="9" a="1"/>
  <c r="L179" i="9" s="1"/>
  <c r="H179" i="9" s="1" a="1"/>
  <c r="H179" i="9" s="1"/>
  <c r="L186" i="9" a="1"/>
  <c r="L186" i="9" s="1"/>
  <c r="H186" i="9" s="1" a="1"/>
  <c r="H186" i="9" s="1"/>
  <c r="L198" i="9" a="1"/>
  <c r="L198" i="9" s="1"/>
  <c r="H198" i="9" s="1" a="1"/>
  <c r="H198" i="9" s="1"/>
  <c r="L204" i="9" a="1"/>
  <c r="L204" i="9" s="1"/>
  <c r="H204" i="9" s="1" a="1"/>
  <c r="H204" i="9" s="1"/>
  <c r="L217" i="9" a="1"/>
  <c r="L217" i="9" s="1"/>
  <c r="H217" i="9" s="1" a="1"/>
  <c r="H217" i="9" s="1"/>
  <c r="L223" i="9" a="1"/>
  <c r="L223" i="9" s="1"/>
  <c r="H223" i="9" s="1" a="1"/>
  <c r="H223" i="9" s="1"/>
  <c r="L228" i="9" a="1"/>
  <c r="L228" i="9" s="1"/>
  <c r="H228" i="9" s="1" a="1"/>
  <c r="H228" i="9" s="1"/>
  <c r="L234" i="9" a="1"/>
  <c r="L234" i="9" s="1"/>
  <c r="H234" i="9" s="1" a="1"/>
  <c r="H234" i="9" s="1"/>
  <c r="L241" i="9" a="1"/>
  <c r="L241" i="9" s="1"/>
  <c r="H241" i="9" s="1" a="1"/>
  <c r="H241" i="9" s="1"/>
  <c r="L247" i="9" a="1"/>
  <c r="L247" i="9" s="1"/>
  <c r="H247" i="9" s="1" a="1"/>
  <c r="H247" i="9" s="1"/>
  <c r="L253" i="9" a="1"/>
  <c r="L253" i="9" s="1"/>
  <c r="H253" i="9" s="1" a="1"/>
  <c r="H253" i="9" s="1"/>
  <c r="L265" i="9" a="1"/>
  <c r="L265" i="9" s="1"/>
  <c r="H265" i="9" s="1" a="1"/>
  <c r="H265" i="9" s="1"/>
  <c r="L282" i="9" a="1"/>
  <c r="L282" i="9" s="1"/>
  <c r="H282" i="9" s="1" a="1"/>
  <c r="H282" i="9" s="1"/>
  <c r="L288" i="9" a="1"/>
  <c r="L288" i="9" s="1"/>
  <c r="H288" i="9" s="1" a="1"/>
  <c r="H288" i="9" s="1"/>
  <c r="L294" i="9" a="1"/>
  <c r="L294" i="9" s="1"/>
  <c r="H294" i="9" s="1" a="1"/>
  <c r="H294" i="9" s="1"/>
  <c r="L300" i="9" a="1"/>
  <c r="L300" i="9" s="1"/>
  <c r="H300" i="9" s="1" a="1"/>
  <c r="H300" i="9" s="1"/>
  <c r="L306" i="9" a="1"/>
  <c r="L306" i="9" s="1"/>
  <c r="H306" i="9" s="1" a="1"/>
  <c r="H306" i="9" s="1"/>
  <c r="L312" i="9" a="1"/>
  <c r="L312" i="9" s="1"/>
  <c r="H312" i="9" s="1" a="1"/>
  <c r="H312" i="9" s="1"/>
  <c r="L318" i="9" a="1"/>
  <c r="L318" i="9" s="1"/>
  <c r="H318" i="9" s="1" a="1"/>
  <c r="H318" i="9" s="1"/>
  <c r="L325" i="9" a="1"/>
  <c r="L325" i="9" s="1"/>
  <c r="H325" i="9" s="1" a="1"/>
  <c r="H325" i="9" s="1"/>
  <c r="L331" i="9" a="1"/>
  <c r="L331" i="9" s="1"/>
  <c r="H331" i="9" s="1" a="1"/>
  <c r="H331" i="9" s="1"/>
  <c r="L338" i="9" a="1"/>
  <c r="L338" i="9" s="1"/>
  <c r="H338" i="9" s="1" a="1"/>
  <c r="H338" i="9" s="1"/>
  <c r="L351" i="9" a="1"/>
  <c r="L351" i="9" s="1"/>
  <c r="H351" i="9" s="1" a="1"/>
  <c r="H351" i="9" s="1"/>
  <c r="L357" i="9" a="1"/>
  <c r="L357" i="9" s="1"/>
  <c r="H357" i="9" s="1" a="1"/>
  <c r="H357" i="9" s="1"/>
  <c r="L364" i="9" a="1"/>
  <c r="L364" i="9" s="1"/>
  <c r="H364" i="9" s="1" a="1"/>
  <c r="H364" i="9" s="1"/>
  <c r="L371" i="9" a="1"/>
  <c r="L371" i="9" s="1"/>
  <c r="H371" i="9" s="1" a="1"/>
  <c r="H371" i="9" s="1"/>
  <c r="L378" i="9" a="1"/>
  <c r="L378" i="9" s="1"/>
  <c r="H378" i="9" s="1" a="1"/>
  <c r="H378" i="9" s="1"/>
  <c r="L386" i="9" a="1"/>
  <c r="L386" i="9" s="1"/>
  <c r="H386" i="9" s="1" a="1"/>
  <c r="H386" i="9" s="1"/>
  <c r="L394" i="9" a="1"/>
  <c r="L394" i="9" s="1"/>
  <c r="H394" i="9" s="1" a="1"/>
  <c r="H394" i="9" s="1"/>
  <c r="L415" i="9" a="1"/>
  <c r="L415" i="9" s="1"/>
  <c r="H415" i="9" s="1" a="1"/>
  <c r="H415" i="9" s="1"/>
  <c r="L423" i="9" a="1"/>
  <c r="L423" i="9" s="1"/>
  <c r="H423" i="9" s="1" a="1"/>
  <c r="H423" i="9" s="1"/>
  <c r="L430" i="9" a="1"/>
  <c r="L430" i="9" s="1"/>
  <c r="H430" i="9" s="1" a="1"/>
  <c r="H430" i="9" s="1"/>
  <c r="L437" i="9" a="1"/>
  <c r="L437" i="9" s="1"/>
  <c r="H437" i="9" s="1" a="1"/>
  <c r="H437" i="9" s="1"/>
  <c r="L444" i="9" a="1"/>
  <c r="L444" i="9" s="1"/>
  <c r="H444" i="9" s="1" a="1"/>
  <c r="H444" i="9" s="1"/>
  <c r="L452" i="9" a="1"/>
  <c r="L452" i="9" s="1"/>
  <c r="H452" i="9" s="1" a="1"/>
  <c r="H452" i="9" s="1"/>
  <c r="L466" i="9" a="1"/>
  <c r="L466" i="9" s="1"/>
  <c r="H466" i="9" s="1" a="1"/>
  <c r="H466" i="9" s="1"/>
  <c r="L473" i="9" a="1"/>
  <c r="L473" i="9" s="1"/>
  <c r="H473" i="9" s="1" a="1"/>
  <c r="H473" i="9" s="1"/>
  <c r="L481" i="9" a="1"/>
  <c r="L481" i="9" s="1"/>
  <c r="H481" i="9" s="1" a="1"/>
  <c r="H481" i="9" s="1"/>
  <c r="L489" i="9" a="1"/>
  <c r="L489" i="9" s="1"/>
  <c r="H489" i="9" s="1" a="1"/>
  <c r="H489" i="9" s="1"/>
  <c r="L496" i="9" a="1"/>
  <c r="L496" i="9" s="1"/>
  <c r="H496" i="9" s="1" a="1"/>
  <c r="H496" i="9" s="1"/>
  <c r="L503" i="9" a="1"/>
  <c r="L503" i="9" s="1"/>
  <c r="H503" i="9" s="1" a="1"/>
  <c r="H503" i="9" s="1"/>
  <c r="L510" i="9" a="1"/>
  <c r="L510" i="9" s="1"/>
  <c r="H510" i="9" s="1" a="1"/>
  <c r="H510" i="9" s="1"/>
  <c r="L7" i="9" a="1"/>
  <c r="L7" i="9" s="1"/>
  <c r="L24" i="9" a="1"/>
  <c r="L24" i="9" s="1"/>
  <c r="H24" i="9" s="1" a="1"/>
  <c r="H24" i="9" s="1"/>
  <c r="L34" i="9" a="1"/>
  <c r="L34" i="9" s="1"/>
  <c r="H34" i="9" s="1" a="1"/>
  <c r="H34" i="9" s="1"/>
  <c r="L45" i="9" a="1"/>
  <c r="L45" i="9" s="1"/>
  <c r="H45" i="9" s="1" a="1"/>
  <c r="H45" i="9" s="1"/>
  <c r="L78" i="9" a="1"/>
  <c r="L78" i="9" s="1"/>
  <c r="H78" i="9" s="1" a="1"/>
  <c r="H78" i="9" s="1"/>
  <c r="L113" i="9" a="1"/>
  <c r="L113" i="9" s="1"/>
  <c r="H113" i="9" s="1" a="1"/>
  <c r="H113" i="9" s="1"/>
  <c r="L120" i="9" a="1"/>
  <c r="L120" i="9" s="1"/>
  <c r="H120" i="9" s="1" a="1"/>
  <c r="H120" i="9" s="1"/>
  <c r="L131" i="9" a="1"/>
  <c r="L131" i="9" s="1"/>
  <c r="H131" i="9" s="1" a="1"/>
  <c r="H131" i="9" s="1"/>
  <c r="L143" i="9" a="1"/>
  <c r="L143" i="9" s="1"/>
  <c r="H143" i="9" s="1" a="1"/>
  <c r="H143" i="9" s="1"/>
  <c r="L149" i="9" a="1"/>
  <c r="L149" i="9" s="1"/>
  <c r="H149" i="9" s="1" a="1"/>
  <c r="H149" i="9" s="1"/>
  <c r="L162" i="9" a="1"/>
  <c r="L162" i="9" s="1"/>
  <c r="H162" i="9" s="1" a="1"/>
  <c r="H162" i="9" s="1"/>
  <c r="L168" i="9" a="1"/>
  <c r="L168" i="9" s="1"/>
  <c r="H168" i="9" s="1" a="1"/>
  <c r="H168" i="9" s="1"/>
  <c r="L174" i="9" a="1"/>
  <c r="L174" i="9" s="1"/>
  <c r="H174" i="9" s="1" a="1"/>
  <c r="H174" i="9" s="1"/>
  <c r="L180" i="9" a="1"/>
  <c r="L180" i="9" s="1"/>
  <c r="H180" i="9" s="1" a="1"/>
  <c r="H180" i="9" s="1"/>
  <c r="L187" i="9" a="1"/>
  <c r="L187" i="9" s="1"/>
  <c r="H187" i="9" s="1" a="1"/>
  <c r="H187" i="9" s="1"/>
  <c r="L193" i="9" a="1"/>
  <c r="L193" i="9" s="1"/>
  <c r="H193" i="9" s="1" a="1"/>
  <c r="H193" i="9" s="1"/>
  <c r="L205" i="9" a="1"/>
  <c r="L205" i="9" s="1"/>
  <c r="H205" i="9" s="1" a="1"/>
  <c r="H205" i="9" s="1"/>
  <c r="L211" i="9" a="1"/>
  <c r="L211" i="9" s="1"/>
  <c r="H211" i="9" s="1" a="1"/>
  <c r="H211" i="9" s="1"/>
  <c r="L218" i="9" a="1"/>
  <c r="L218" i="9" s="1"/>
  <c r="H218" i="9" s="1" a="1"/>
  <c r="H218" i="9" s="1"/>
  <c r="L224" i="9" a="1"/>
  <c r="L224" i="9" s="1"/>
  <c r="H224" i="9" s="1" a="1"/>
  <c r="H224" i="9" s="1"/>
  <c r="L229" i="9" a="1"/>
  <c r="L229" i="9" s="1"/>
  <c r="H229" i="9" s="1" a="1"/>
  <c r="H229" i="9" s="1"/>
  <c r="L235" i="9" a="1"/>
  <c r="L235" i="9" s="1"/>
  <c r="H235" i="9" s="1" a="1"/>
  <c r="H235" i="9" s="1"/>
  <c r="L242" i="9" a="1"/>
  <c r="L242" i="9" s="1"/>
  <c r="H242" i="9" s="1" a="1"/>
  <c r="H242" i="9" s="1"/>
  <c r="L248" i="9" a="1"/>
  <c r="L248" i="9" s="1"/>
  <c r="H248" i="9" s="1" a="1"/>
  <c r="H248" i="9" s="1"/>
  <c r="L259" i="9" a="1"/>
  <c r="L259" i="9" s="1"/>
  <c r="H259" i="9" s="1" a="1"/>
  <c r="H259" i="9" s="1"/>
  <c r="L271" i="9" a="1"/>
  <c r="L271" i="9" s="1"/>
  <c r="H271" i="9" s="1" a="1"/>
  <c r="H271" i="9" s="1"/>
  <c r="L277" i="9" a="1"/>
  <c r="L277" i="9" s="1"/>
  <c r="H277" i="9" s="1" a="1"/>
  <c r="H277" i="9" s="1"/>
  <c r="L283" i="9" a="1"/>
  <c r="L283" i="9" s="1"/>
  <c r="H283" i="9" s="1" a="1"/>
  <c r="H283" i="9" s="1"/>
  <c r="L295" i="9" a="1"/>
  <c r="L295" i="9" s="1"/>
  <c r="H295" i="9" s="1" a="1"/>
  <c r="H295" i="9" s="1"/>
  <c r="L301" i="9" a="1"/>
  <c r="L301" i="9" s="1"/>
  <c r="H301" i="9" s="1" a="1"/>
  <c r="H301" i="9" s="1"/>
  <c r="L313" i="9" a="1"/>
  <c r="L313" i="9" s="1"/>
  <c r="H313" i="9" s="1" a="1"/>
  <c r="H313" i="9" s="1"/>
  <c r="L319" i="9" a="1"/>
  <c r="L319" i="9" s="1"/>
  <c r="H319" i="9" s="1" a="1"/>
  <c r="H319" i="9" s="1"/>
  <c r="L326" i="9" a="1"/>
  <c r="L326" i="9" s="1"/>
  <c r="H326" i="9" s="1" a="1"/>
  <c r="H326" i="9" s="1"/>
  <c r="L332" i="9" a="1"/>
  <c r="L332" i="9" s="1"/>
  <c r="H332" i="9" s="1" a="1"/>
  <c r="H332" i="9" s="1"/>
  <c r="L344" i="9" a="1"/>
  <c r="L344" i="9" s="1"/>
  <c r="H344" i="9" s="1" a="1"/>
  <c r="H344" i="9" s="1"/>
  <c r="L358" i="9" a="1"/>
  <c r="L358" i="9" s="1"/>
  <c r="H358" i="9" s="1" a="1"/>
  <c r="H358" i="9" s="1"/>
  <c r="L365" i="9" a="1"/>
  <c r="L365" i="9" s="1"/>
  <c r="H365" i="9" s="1" a="1"/>
  <c r="H365" i="9" s="1"/>
  <c r="L372" i="9" a="1"/>
  <c r="L372" i="9" s="1"/>
  <c r="H372" i="9" s="1" a="1"/>
  <c r="H372" i="9" s="1"/>
  <c r="L379" i="9" a="1"/>
  <c r="L379" i="9" s="1"/>
  <c r="H379" i="9" s="1" a="1"/>
  <c r="H379" i="9" s="1"/>
  <c r="L387" i="9" a="1"/>
  <c r="L387" i="9" s="1"/>
  <c r="H387" i="9" s="1" a="1"/>
  <c r="H387" i="9" s="1"/>
  <c r="L395" i="9" a="1"/>
  <c r="L395" i="9" s="1"/>
  <c r="H395" i="9" s="1" a="1"/>
  <c r="H395" i="9" s="1"/>
  <c r="L401" i="9" a="1"/>
  <c r="L401" i="9" s="1"/>
  <c r="H401" i="9" s="1" a="1"/>
  <c r="H401" i="9" s="1"/>
  <c r="L408" i="9" a="1"/>
  <c r="L408" i="9" s="1"/>
  <c r="H408" i="9" s="1" a="1"/>
  <c r="H408" i="9" s="1"/>
  <c r="L416" i="9" a="1"/>
  <c r="L416" i="9" s="1"/>
  <c r="H416" i="9" s="1" a="1"/>
  <c r="H416" i="9" s="1"/>
  <c r="L424" i="9" a="1"/>
  <c r="L424" i="9" s="1"/>
  <c r="H424" i="9" s="1" a="1"/>
  <c r="H424" i="9" s="1"/>
  <c r="L431" i="9" a="1"/>
  <c r="L431" i="9" s="1"/>
  <c r="H431" i="9" s="1" a="1"/>
  <c r="H431" i="9" s="1"/>
  <c r="L438" i="9" a="1"/>
  <c r="L438" i="9" s="1"/>
  <c r="H438" i="9" s="1" a="1"/>
  <c r="H438" i="9" s="1"/>
  <c r="L445" i="9" a="1"/>
  <c r="L445" i="9" s="1"/>
  <c r="H445" i="9" s="1" a="1"/>
  <c r="H445" i="9" s="1"/>
  <c r="L453" i="9" a="1"/>
  <c r="L453" i="9" s="1"/>
  <c r="H453" i="9" s="1" a="1"/>
  <c r="H453" i="9" s="1"/>
  <c r="L460" i="9" a="1"/>
  <c r="L460" i="9" s="1"/>
  <c r="H460" i="9" s="1" a="1"/>
  <c r="H460" i="9" s="1"/>
  <c r="L467" i="9" a="1"/>
  <c r="L467" i="9" s="1"/>
  <c r="H467" i="9" s="1" a="1"/>
  <c r="H467" i="9" s="1"/>
  <c r="L474" i="9" a="1"/>
  <c r="L474" i="9" s="1"/>
  <c r="H474" i="9" s="1" a="1"/>
  <c r="H474" i="9" s="1"/>
  <c r="L482" i="9" a="1"/>
  <c r="L482" i="9" s="1"/>
  <c r="H482" i="9" s="1" a="1"/>
  <c r="H482" i="9" s="1"/>
  <c r="L490" i="9" a="1"/>
  <c r="L490" i="9" s="1"/>
  <c r="H490" i="9" s="1" a="1"/>
  <c r="H490" i="9" s="1"/>
  <c r="L511" i="9" a="1"/>
  <c r="L511" i="9" s="1"/>
  <c r="H511" i="9" s="1" a="1"/>
  <c r="H511" i="9" s="1"/>
  <c r="L519" i="9" a="1"/>
  <c r="L519" i="9" s="1"/>
  <c r="H519" i="9" s="1" a="1"/>
  <c r="H519" i="9" s="1"/>
  <c r="L526" i="9" a="1"/>
  <c r="L526" i="9" s="1"/>
  <c r="H526" i="9" s="1" a="1"/>
  <c r="H526" i="9" s="1"/>
  <c r="L533" i="9" a="1"/>
  <c r="L533" i="9" s="1"/>
  <c r="H533" i="9" s="1" a="1"/>
  <c r="H533" i="9" s="1"/>
  <c r="L540" i="9" a="1"/>
  <c r="L540" i="9" s="1"/>
  <c r="H540" i="9" s="1" a="1"/>
  <c r="H540" i="9" s="1"/>
  <c r="L548" i="9" a="1"/>
  <c r="L548" i="9" s="1"/>
  <c r="H548" i="9" s="1" a="1"/>
  <c r="H548" i="9" s="1"/>
  <c r="L556" i="9" a="1"/>
  <c r="L556" i="9" s="1"/>
  <c r="H556" i="9" s="1" a="1"/>
  <c r="H556" i="9" s="1"/>
  <c r="L563" i="9" a="1"/>
  <c r="L563" i="9" s="1"/>
  <c r="H563" i="9" s="1" a="1"/>
  <c r="H563" i="9" s="1"/>
  <c r="L571" i="9" a="1"/>
  <c r="L571" i="9" s="1"/>
  <c r="H571" i="9" s="1" a="1"/>
  <c r="H571" i="9" s="1"/>
  <c r="L577" i="9" a="1"/>
  <c r="L577" i="9" s="1"/>
  <c r="H577" i="9" s="1" a="1"/>
  <c r="H577" i="9" s="1"/>
  <c r="L584" i="9" a="1"/>
  <c r="L584" i="9" s="1"/>
  <c r="H584" i="9" s="1" a="1"/>
  <c r="H584" i="9" s="1"/>
  <c r="L591" i="9" a="1"/>
  <c r="L591" i="9" s="1"/>
  <c r="H591" i="9" s="1" a="1"/>
  <c r="H591" i="9" s="1"/>
  <c r="L599" i="9" a="1"/>
  <c r="L599" i="9" s="1"/>
  <c r="H599" i="9" s="1" a="1"/>
  <c r="H599" i="9" s="1"/>
  <c r="L606" i="9" a="1"/>
  <c r="L606" i="9" s="1"/>
  <c r="H606" i="9" s="1" a="1"/>
  <c r="H606" i="9" s="1"/>
  <c r="L613" i="9" a="1"/>
  <c r="L613" i="9" s="1"/>
  <c r="H613" i="9" s="1" a="1"/>
  <c r="H613" i="9" s="1"/>
  <c r="L620" i="9" a="1"/>
  <c r="L620" i="9" s="1"/>
  <c r="H620" i="9" s="1" a="1"/>
  <c r="H620" i="9" s="1"/>
  <c r="L627" i="9" a="1"/>
  <c r="L627" i="9" s="1"/>
  <c r="H627" i="9" s="1" a="1"/>
  <c r="H627" i="9" s="1"/>
  <c r="L635" i="9" a="1"/>
  <c r="L635" i="9" s="1"/>
  <c r="H635" i="9" s="1" a="1"/>
  <c r="H635" i="9" s="1"/>
  <c r="L642" i="9" a="1"/>
  <c r="L642" i="9" s="1"/>
  <c r="H642" i="9" s="1" a="1"/>
  <c r="H642" i="9" s="1"/>
  <c r="L650" i="9" a="1"/>
  <c r="L650" i="9" s="1"/>
  <c r="H650" i="9" s="1" a="1"/>
  <c r="H650" i="9" s="1"/>
  <c r="L656" i="9" a="1"/>
  <c r="L656" i="9" s="1"/>
  <c r="H656" i="9" s="1" a="1"/>
  <c r="H656" i="9" s="1"/>
  <c r="L664" i="9" a="1"/>
  <c r="L664" i="9" s="1"/>
  <c r="H664" i="9" s="1" a="1"/>
  <c r="H664" i="9" s="1"/>
  <c r="L671" i="9" a="1"/>
  <c r="L671" i="9" s="1"/>
  <c r="H671" i="9" s="1" a="1"/>
  <c r="H671" i="9" s="1"/>
  <c r="L679" i="9" a="1"/>
  <c r="L679" i="9" s="1"/>
  <c r="H679" i="9" s="1" a="1"/>
  <c r="H679" i="9" s="1"/>
  <c r="L685" i="9" a="1"/>
  <c r="L685" i="9" s="1"/>
  <c r="H685" i="9" s="1" a="1"/>
  <c r="H685" i="9" s="1"/>
  <c r="L693" i="9" a="1"/>
  <c r="L693" i="9" s="1"/>
  <c r="H693" i="9" s="1" a="1"/>
  <c r="H693" i="9" s="1"/>
  <c r="L700" i="9" a="1"/>
  <c r="L700" i="9" s="1"/>
  <c r="H700" i="9" s="1" a="1"/>
  <c r="H700" i="9" s="1"/>
  <c r="L708" i="9" a="1"/>
  <c r="L708" i="9" s="1"/>
  <c r="H708" i="9" s="1" a="1"/>
  <c r="H708" i="9" s="1"/>
  <c r="L722" i="9" a="1"/>
  <c r="L722" i="9" s="1"/>
  <c r="H722" i="9" s="1" a="1"/>
  <c r="H722" i="9" s="1"/>
  <c r="L730" i="9" a="1"/>
  <c r="L730" i="9" s="1"/>
  <c r="H730" i="9" s="1" a="1"/>
  <c r="H730" i="9" s="1"/>
  <c r="L737" i="9" a="1"/>
  <c r="L737" i="9" s="1"/>
  <c r="H737" i="9" s="1" a="1"/>
  <c r="H737" i="9" s="1"/>
  <c r="L745" i="9" a="1"/>
  <c r="L745" i="9" s="1"/>
  <c r="H745" i="9" s="1" a="1"/>
  <c r="H745" i="9" s="1"/>
  <c r="L751" i="9" a="1"/>
  <c r="L751" i="9" s="1"/>
  <c r="H751" i="9" s="1" a="1"/>
  <c r="H751" i="9" s="1"/>
  <c r="L759" i="9" a="1"/>
  <c r="L759" i="9" s="1"/>
  <c r="H759" i="9" s="1" a="1"/>
  <c r="H759" i="9" s="1"/>
  <c r="L766" i="9" a="1"/>
  <c r="L766" i="9" s="1"/>
  <c r="H766" i="9" s="1" a="1"/>
  <c r="H766" i="9" s="1"/>
  <c r="L774" i="9" a="1"/>
  <c r="L774" i="9" s="1"/>
  <c r="H774" i="9" s="1" a="1"/>
  <c r="H774" i="9" s="1"/>
  <c r="L788" i="9" a="1"/>
  <c r="L788" i="9" s="1"/>
  <c r="H788" i="9" s="1" a="1"/>
  <c r="H788" i="9" s="1"/>
  <c r="L803" i="9" a="1"/>
  <c r="L803" i="9" s="1"/>
  <c r="H803" i="9" s="1" a="1"/>
  <c r="H803" i="9" s="1"/>
  <c r="L811" i="9" a="1"/>
  <c r="L811" i="9" s="1"/>
  <c r="H811" i="9" s="1" a="1"/>
  <c r="H811" i="9" s="1"/>
  <c r="L817" i="9" a="1"/>
  <c r="L817" i="9" s="1"/>
  <c r="H817" i="9" s="1" a="1"/>
  <c r="H817" i="9" s="1"/>
  <c r="L825" i="9" a="1"/>
  <c r="L825" i="9" s="1"/>
  <c r="H825" i="9" s="1" a="1"/>
  <c r="H825" i="9" s="1"/>
  <c r="L832" i="9" a="1"/>
  <c r="L832" i="9" s="1"/>
  <c r="H832" i="9" s="1" a="1"/>
  <c r="H832" i="9" s="1"/>
  <c r="L838" i="9" a="1"/>
  <c r="L838" i="9" s="1"/>
  <c r="H838" i="9" s="1" a="1"/>
  <c r="H838" i="9" s="1"/>
  <c r="L844" i="9" a="1"/>
  <c r="L844" i="9" s="1"/>
  <c r="H844" i="9" s="1" a="1"/>
  <c r="H844" i="9" s="1"/>
  <c r="L850" i="9" a="1"/>
  <c r="L850" i="9" s="1"/>
  <c r="H850" i="9" s="1" a="1"/>
  <c r="H850" i="9" s="1"/>
  <c r="L856" i="9" a="1"/>
  <c r="L856" i="9" s="1"/>
  <c r="H856" i="9" s="1" a="1"/>
  <c r="H856" i="9" s="1"/>
  <c r="L861" i="9" a="1"/>
  <c r="L861" i="9" s="1"/>
  <c r="H861" i="9" s="1" a="1"/>
  <c r="H861" i="9" s="1"/>
  <c r="L874" i="9" a="1"/>
  <c r="L874" i="9" s="1"/>
  <c r="H874" i="9" s="1" a="1"/>
  <c r="H874" i="9" s="1"/>
  <c r="L886" i="9" a="1"/>
  <c r="L886" i="9" s="1"/>
  <c r="H886" i="9" s="1" a="1"/>
  <c r="H886" i="9" s="1"/>
  <c r="L897" i="9" a="1"/>
  <c r="L897" i="9" s="1"/>
  <c r="H897" i="9" s="1" a="1"/>
  <c r="H897" i="9" s="1"/>
  <c r="L909" i="9" a="1"/>
  <c r="L909" i="9" s="1"/>
  <c r="H909" i="9" s="1" a="1"/>
  <c r="H909" i="9" s="1"/>
  <c r="L915" i="9" a="1"/>
  <c r="L915" i="9" s="1"/>
  <c r="H915" i="9" s="1" a="1"/>
  <c r="H915" i="9" s="1"/>
  <c r="L925" i="9" a="1"/>
  <c r="L925" i="9" s="1"/>
  <c r="H925" i="9" s="1" a="1"/>
  <c r="H925" i="9" s="1"/>
  <c r="L937" i="9" a="1"/>
  <c r="L937" i="9" s="1"/>
  <c r="H937" i="9" s="1" a="1"/>
  <c r="H937" i="9" s="1"/>
  <c r="L943" i="9" a="1"/>
  <c r="L943" i="9" s="1"/>
  <c r="H943" i="9" s="1" a="1"/>
  <c r="H943" i="9" s="1"/>
  <c r="L949" i="9" a="1"/>
  <c r="L949" i="9" s="1"/>
  <c r="H949" i="9" s="1" a="1"/>
  <c r="H949" i="9" s="1"/>
  <c r="L960" i="9" a="1"/>
  <c r="L960" i="9" s="1"/>
  <c r="H960" i="9" s="1" a="1"/>
  <c r="H960" i="9" s="1"/>
  <c r="L966" i="9" a="1"/>
  <c r="L966" i="9" s="1"/>
  <c r="H966" i="9" s="1" a="1"/>
  <c r="H966" i="9" s="1"/>
  <c r="L972" i="9" a="1"/>
  <c r="L972" i="9" s="1"/>
  <c r="H972" i="9" s="1" a="1"/>
  <c r="H972" i="9" s="1"/>
  <c r="L977" i="9" a="1"/>
  <c r="L977" i="9" s="1"/>
  <c r="H977" i="9" s="1" a="1"/>
  <c r="H977" i="9" s="1"/>
  <c r="L983" i="9" a="1"/>
  <c r="L983" i="9" s="1"/>
  <c r="H983" i="9" s="1" a="1"/>
  <c r="H983" i="9" s="1"/>
  <c r="L994" i="9" a="1"/>
  <c r="L994" i="9" s="1"/>
  <c r="H994" i="9" s="1" a="1"/>
  <c r="H994" i="9" s="1"/>
  <c r="L1000" i="9" a="1"/>
  <c r="L1000" i="9" s="1"/>
  <c r="H1000" i="9" s="1" a="1"/>
  <c r="H1000" i="9" s="1"/>
  <c r="L1006" i="9" a="1"/>
  <c r="L1006" i="9" s="1"/>
  <c r="H1006" i="9" s="1" a="1"/>
  <c r="H1006" i="9" s="1"/>
  <c r="L1011" i="9" a="1"/>
  <c r="L1011" i="9" s="1"/>
  <c r="H1011" i="9" s="1" a="1"/>
  <c r="H1011" i="9" s="1"/>
  <c r="L1017" i="9" a="1"/>
  <c r="L1017" i="9" s="1"/>
  <c r="H1017" i="9" s="1" a="1"/>
  <c r="H1017" i="9" s="1"/>
  <c r="L1022" i="9" a="1"/>
  <c r="L1022" i="9" s="1"/>
  <c r="H1022" i="9" s="1" a="1"/>
  <c r="H1022" i="9" s="1"/>
  <c r="L1028" i="9" a="1"/>
  <c r="L1028" i="9" s="1"/>
  <c r="H1028" i="9" s="1" a="1"/>
  <c r="H1028" i="9" s="1"/>
  <c r="L1045" i="9" a="1"/>
  <c r="L1045" i="9" s="1"/>
  <c r="H1045" i="9" s="1" a="1"/>
  <c r="H1045" i="9" s="1"/>
  <c r="L1051" i="9" a="1"/>
  <c r="L1051" i="9" s="1"/>
  <c r="H1051" i="9" s="1" a="1"/>
  <c r="H1051" i="9" s="1"/>
  <c r="L1057" i="9" a="1"/>
  <c r="L1057" i="9" s="1"/>
  <c r="H1057" i="9" s="1" a="1"/>
  <c r="H1057" i="9" s="1"/>
  <c r="L1074" i="9" a="1"/>
  <c r="L1074" i="9" s="1"/>
  <c r="H1074" i="9" s="1" a="1"/>
  <c r="H1074" i="9" s="1"/>
  <c r="L1085" i="9" a="1"/>
  <c r="L1085" i="9" s="1"/>
  <c r="H1085" i="9" s="1" a="1"/>
  <c r="H1085" i="9" s="1"/>
  <c r="L1090" i="9" a="1"/>
  <c r="L1090" i="9" s="1"/>
  <c r="H1090" i="9" s="1" a="1"/>
  <c r="H1090" i="9" s="1"/>
  <c r="L1099" i="9" a="1"/>
  <c r="L1099" i="9" s="1"/>
  <c r="H1099" i="9" s="1" a="1"/>
  <c r="H1099" i="9" s="1"/>
  <c r="L1108" i="9" a="1"/>
  <c r="L1108" i="9" s="1"/>
  <c r="H1108" i="9" s="1" a="1"/>
  <c r="H1108" i="9" s="1"/>
  <c r="L1113" i="9" a="1"/>
  <c r="L1113" i="9" s="1"/>
  <c r="H1113" i="9" s="1" a="1"/>
  <c r="H1113" i="9" s="1"/>
  <c r="L1123" i="9" a="1"/>
  <c r="L1123" i="9" s="1"/>
  <c r="H1123" i="9" s="1" a="1"/>
  <c r="H1123" i="9" s="1"/>
  <c r="L11" i="9" a="1"/>
  <c r="L11" i="9" s="1"/>
  <c r="H11" i="9" s="1" a="1"/>
  <c r="H11" i="9" s="1"/>
  <c r="L29" i="9" a="1"/>
  <c r="L29" i="9" s="1"/>
  <c r="H29" i="9" s="1" a="1"/>
  <c r="H29" i="9" s="1"/>
  <c r="L40" i="9" a="1"/>
  <c r="L40" i="9" s="1"/>
  <c r="H40" i="9" s="1" a="1"/>
  <c r="H40" i="9" s="1"/>
  <c r="L72" i="9" a="1"/>
  <c r="L72" i="9" s="1"/>
  <c r="H72" i="9" s="1" a="1"/>
  <c r="H72" i="9" s="1"/>
  <c r="L83" i="9" a="1"/>
  <c r="L83" i="9" s="1"/>
  <c r="H83" i="9" s="1" a="1"/>
  <c r="H83" i="9" s="1"/>
  <c r="L95" i="9" a="1"/>
  <c r="L95" i="9" s="1"/>
  <c r="H95" i="9" s="1" a="1"/>
  <c r="H95" i="9" s="1"/>
  <c r="L110" i="9" a="1"/>
  <c r="L110" i="9" s="1"/>
  <c r="H110" i="9" s="1" a="1"/>
  <c r="H110" i="9" s="1"/>
  <c r="L116" i="9" a="1"/>
  <c r="L116" i="9" s="1"/>
  <c r="H116" i="9" s="1" a="1"/>
  <c r="H116" i="9" s="1"/>
  <c r="L122" i="9" a="1"/>
  <c r="L122" i="9" s="1"/>
  <c r="H122" i="9" s="1" a="1"/>
  <c r="H122" i="9" s="1"/>
  <c r="L128" i="9" a="1"/>
  <c r="L128" i="9" s="1"/>
  <c r="H128" i="9" s="1" a="1"/>
  <c r="H128" i="9" s="1"/>
  <c r="L134" i="9" a="1"/>
  <c r="L134" i="9" s="1"/>
  <c r="H134" i="9" s="1" a="1"/>
  <c r="H134" i="9" s="1"/>
  <c r="L140" i="9" a="1"/>
  <c r="L140" i="9" s="1"/>
  <c r="H140" i="9" s="1" a="1"/>
  <c r="H140" i="9" s="1"/>
  <c r="L146" i="9" a="1"/>
  <c r="L146" i="9" s="1"/>
  <c r="H146" i="9" s="1" a="1"/>
  <c r="H146" i="9" s="1"/>
  <c r="L153" i="9" a="1"/>
  <c r="L153" i="9" s="1"/>
  <c r="H153" i="9" s="1" a="1"/>
  <c r="H153" i="9" s="1"/>
  <c r="L160" i="9" a="1"/>
  <c r="L160" i="9" s="1"/>
  <c r="H160" i="9" s="1" a="1"/>
  <c r="H160" i="9" s="1"/>
  <c r="L177" i="9" a="1"/>
  <c r="L177" i="9" s="1"/>
  <c r="H177" i="9" s="1" a="1"/>
  <c r="H177" i="9" s="1"/>
  <c r="L183" i="9" a="1"/>
  <c r="L183" i="9" s="1"/>
  <c r="H183" i="9" s="1" a="1"/>
  <c r="H183" i="9" s="1"/>
  <c r="L190" i="9" a="1"/>
  <c r="L190" i="9" s="1"/>
  <c r="H190" i="9" s="1" a="1"/>
  <c r="H190" i="9" s="1"/>
  <c r="L196" i="9" a="1"/>
  <c r="L196" i="9" s="1"/>
  <c r="H196" i="9" s="1" a="1"/>
  <c r="H196" i="9" s="1"/>
  <c r="L208" i="9" a="1"/>
  <c r="L208" i="9" s="1"/>
  <c r="H208" i="9" s="1" a="1"/>
  <c r="H208" i="9" s="1"/>
  <c r="L215" i="9" a="1"/>
  <c r="L215" i="9" s="1"/>
  <c r="H215" i="9" s="1" a="1"/>
  <c r="H215" i="9" s="1"/>
  <c r="L221" i="9" a="1"/>
  <c r="L221" i="9" s="1"/>
  <c r="H221" i="9" s="1" a="1"/>
  <c r="H221" i="9" s="1"/>
  <c r="L226" i="9" a="1"/>
  <c r="L226" i="9" s="1"/>
  <c r="H226" i="9" s="1" a="1"/>
  <c r="H226" i="9" s="1"/>
  <c r="L232" i="9" a="1"/>
  <c r="L232" i="9" s="1"/>
  <c r="H232" i="9" s="1" a="1"/>
  <c r="H232" i="9" s="1"/>
  <c r="L251" i="9" a="1"/>
  <c r="L251" i="9" s="1"/>
  <c r="H251" i="9" s="1" a="1"/>
  <c r="H251" i="9" s="1"/>
  <c r="L262" i="9" a="1"/>
  <c r="L262" i="9" s="1"/>
  <c r="H262" i="9" s="1" a="1"/>
  <c r="H262" i="9" s="1"/>
  <c r="L268" i="9" a="1"/>
  <c r="L268" i="9" s="1"/>
  <c r="H268" i="9" s="1" a="1"/>
  <c r="H268" i="9" s="1"/>
  <c r="L292" i="9" a="1"/>
  <c r="L292" i="9" s="1"/>
  <c r="H292" i="9" s="1" a="1"/>
  <c r="H292" i="9" s="1"/>
  <c r="L298" i="9" a="1"/>
  <c r="L298" i="9" s="1"/>
  <c r="H298" i="9" s="1" a="1"/>
  <c r="H298" i="9" s="1"/>
  <c r="L304" i="9" a="1"/>
  <c r="L304" i="9" s="1"/>
  <c r="H304" i="9" s="1" a="1"/>
  <c r="H304" i="9" s="1"/>
  <c r="L309" i="9" a="1"/>
  <c r="L309" i="9" s="1"/>
  <c r="H309" i="9" s="1" a="1"/>
  <c r="H309" i="9" s="1"/>
  <c r="L316" i="9" a="1"/>
  <c r="L316" i="9" s="1"/>
  <c r="H316" i="9" s="1" a="1"/>
  <c r="H316" i="9" s="1"/>
  <c r="L322" i="9" a="1"/>
  <c r="L322" i="9" s="1"/>
  <c r="H322" i="9" s="1" a="1"/>
  <c r="H322" i="9" s="1"/>
  <c r="L329" i="9" a="1"/>
  <c r="L329" i="9" s="1"/>
  <c r="H329" i="9" s="1" a="1"/>
  <c r="H329" i="9" s="1"/>
  <c r="L335" i="9" a="1"/>
  <c r="L335" i="9" s="1"/>
  <c r="H335" i="9" s="1" a="1"/>
  <c r="H335" i="9" s="1"/>
  <c r="L341" i="9" a="1"/>
  <c r="L341" i="9" s="1"/>
  <c r="H341" i="9" s="1" a="1"/>
  <c r="H341" i="9" s="1"/>
  <c r="L348" i="9" a="1"/>
  <c r="L348" i="9" s="1"/>
  <c r="H348" i="9" s="1" a="1"/>
  <c r="H348" i="9" s="1"/>
  <c r="L355" i="9" a="1"/>
  <c r="L355" i="9" s="1"/>
  <c r="H355" i="9" s="1" a="1"/>
  <c r="H355" i="9" s="1"/>
  <c r="L362" i="9" a="1"/>
  <c r="L362" i="9" s="1"/>
  <c r="H362" i="9" s="1" a="1"/>
  <c r="H362" i="9" s="1"/>
  <c r="L383" i="9" a="1"/>
  <c r="L383" i="9" s="1"/>
  <c r="H383" i="9" s="1" a="1"/>
  <c r="H383" i="9" s="1"/>
  <c r="L391" i="9" a="1"/>
  <c r="L391" i="9" s="1"/>
  <c r="H391" i="9" s="1" a="1"/>
  <c r="H391" i="9" s="1"/>
  <c r="L398" i="9" a="1"/>
  <c r="L398" i="9" s="1"/>
  <c r="H398" i="9" s="1" a="1"/>
  <c r="H398" i="9" s="1"/>
  <c r="L405" i="9" a="1"/>
  <c r="L405" i="9" s="1"/>
  <c r="H405" i="9" s="1" a="1"/>
  <c r="H405" i="9" s="1"/>
  <c r="L412" i="9" a="1"/>
  <c r="L412" i="9" s="1"/>
  <c r="H412" i="9" s="1" a="1"/>
  <c r="H412" i="9" s="1"/>
  <c r="L420" i="9" a="1"/>
  <c r="L420" i="9" s="1"/>
  <c r="H420" i="9" s="1" a="1"/>
  <c r="H420" i="9" s="1"/>
  <c r="L434" i="9" a="1"/>
  <c r="L434" i="9" s="1"/>
  <c r="H434" i="9" s="1" a="1"/>
  <c r="H434" i="9" s="1"/>
  <c r="L441" i="9" a="1"/>
  <c r="L441" i="9" s="1"/>
  <c r="H441" i="9" s="1" a="1"/>
  <c r="H441" i="9" s="1"/>
  <c r="L449" i="9" a="1"/>
  <c r="L449" i="9" s="1"/>
  <c r="H449" i="9" s="1" a="1"/>
  <c r="H449" i="9" s="1"/>
  <c r="L457" i="9" a="1"/>
  <c r="L457" i="9" s="1"/>
  <c r="H457" i="9" s="1" a="1"/>
  <c r="H457" i="9" s="1"/>
  <c r="L464" i="9" a="1"/>
  <c r="L464" i="9" s="1"/>
  <c r="H464" i="9" s="1" a="1"/>
  <c r="H464" i="9" s="1"/>
  <c r="L471" i="9" a="1"/>
  <c r="L471" i="9" s="1"/>
  <c r="H471" i="9" s="1" a="1"/>
  <c r="H471" i="9" s="1"/>
  <c r="L478" i="9" a="1"/>
  <c r="L478" i="9" s="1"/>
  <c r="H478" i="9" s="1" a="1"/>
  <c r="H478" i="9" s="1"/>
  <c r="L486" i="9" a="1"/>
  <c r="L486" i="9" s="1"/>
  <c r="H486" i="9" s="1" a="1"/>
  <c r="H486" i="9" s="1"/>
  <c r="L493" i="9" a="1"/>
  <c r="L493" i="9" s="1"/>
  <c r="H493" i="9" s="1" a="1"/>
  <c r="H493" i="9" s="1"/>
  <c r="L500" i="9" a="1"/>
  <c r="L500" i="9" s="1"/>
  <c r="H500" i="9" s="1" a="1"/>
  <c r="H500" i="9" s="1"/>
  <c r="L507" i="9" a="1"/>
  <c r="L507" i="9" s="1"/>
  <c r="H507" i="9" s="1" a="1"/>
  <c r="H507" i="9" s="1"/>
  <c r="L515" i="9" a="1"/>
  <c r="L515" i="9" s="1"/>
  <c r="H515" i="9" s="1" a="1"/>
  <c r="H515" i="9" s="1"/>
  <c r="L523" i="9" a="1"/>
  <c r="L523" i="9" s="1"/>
  <c r="H523" i="9" s="1" a="1"/>
  <c r="H523" i="9" s="1"/>
  <c r="L529" i="9" a="1"/>
  <c r="L529" i="9" s="1"/>
  <c r="H529" i="9" s="1" a="1"/>
  <c r="H529" i="9" s="1"/>
  <c r="L536" i="9" a="1"/>
  <c r="L536" i="9" s="1"/>
  <c r="H536" i="9" s="1" a="1"/>
  <c r="H536" i="9" s="1"/>
  <c r="L544" i="9" a="1"/>
  <c r="L544" i="9" s="1"/>
  <c r="H544" i="9" s="1" a="1"/>
  <c r="H544" i="9" s="1"/>
  <c r="L552" i="9" a="1"/>
  <c r="L552" i="9" s="1"/>
  <c r="H552" i="9" s="1" a="1"/>
  <c r="H552" i="9" s="1"/>
  <c r="L559" i="9" a="1"/>
  <c r="L559" i="9" s="1"/>
  <c r="H559" i="9" s="1" a="1"/>
  <c r="H559" i="9" s="1"/>
  <c r="L567" i="9" a="1"/>
  <c r="L567" i="9" s="1"/>
  <c r="H567" i="9" s="1" a="1"/>
  <c r="H567" i="9" s="1"/>
  <c r="L574" i="9" a="1"/>
  <c r="L574" i="9" s="1"/>
  <c r="H574" i="9" s="1" a="1"/>
  <c r="H574" i="9" s="1"/>
  <c r="L581" i="9" a="1"/>
  <c r="L581" i="9" s="1"/>
  <c r="H581" i="9" s="1" a="1"/>
  <c r="H581" i="9" s="1"/>
  <c r="L588" i="9" a="1"/>
  <c r="L588" i="9" s="1"/>
  <c r="H588" i="9" s="1" a="1"/>
  <c r="H588" i="9" s="1"/>
  <c r="L595" i="9" a="1"/>
  <c r="L595" i="9" s="1"/>
  <c r="H595" i="9" s="1" a="1"/>
  <c r="H595" i="9" s="1"/>
  <c r="L603" i="9" a="1"/>
  <c r="L603" i="9" s="1"/>
  <c r="H603" i="9" s="1" a="1"/>
  <c r="H603" i="9" s="1"/>
  <c r="L609" i="9" a="1"/>
  <c r="L609" i="9" s="1"/>
  <c r="H609" i="9" s="1" a="1"/>
  <c r="H609" i="9" s="1"/>
  <c r="L617" i="9" a="1"/>
  <c r="L617" i="9" s="1"/>
  <c r="H617" i="9" s="1" a="1"/>
  <c r="H617" i="9" s="1"/>
  <c r="L623" i="9" a="1"/>
  <c r="L623" i="9" s="1"/>
  <c r="H623" i="9" s="1" a="1"/>
  <c r="H623" i="9" s="1"/>
  <c r="L631" i="9" a="1"/>
  <c r="L631" i="9" s="1"/>
  <c r="H631" i="9" s="1" a="1"/>
  <c r="H631" i="9" s="1"/>
  <c r="L638" i="9" a="1"/>
  <c r="L638" i="9" s="1"/>
  <c r="H638" i="9" s="1" a="1"/>
  <c r="H638" i="9" s="1"/>
  <c r="L646" i="9" a="1"/>
  <c r="L646" i="9" s="1"/>
  <c r="H646" i="9" s="1" a="1"/>
  <c r="H646" i="9" s="1"/>
  <c r="L660" i="9" a="1"/>
  <c r="L660" i="9" s="1"/>
  <c r="H660" i="9" s="1" a="1"/>
  <c r="H660" i="9" s="1"/>
  <c r="L675" i="9" a="1"/>
  <c r="L675" i="9" s="1"/>
  <c r="H675" i="9" s="1" a="1"/>
  <c r="H675" i="9" s="1"/>
  <c r="L683" i="9" a="1"/>
  <c r="L683" i="9" s="1"/>
  <c r="H683" i="9" s="1" a="1"/>
  <c r="H683" i="9" s="1"/>
  <c r="L689" i="9" a="1"/>
  <c r="L689" i="9" s="1"/>
  <c r="H689" i="9" s="1" a="1"/>
  <c r="H689" i="9" s="1"/>
  <c r="L697" i="9" a="1"/>
  <c r="L697" i="9" s="1"/>
  <c r="H697" i="9" s="1" a="1"/>
  <c r="H697" i="9" s="1"/>
  <c r="L704" i="9" a="1"/>
  <c r="L704" i="9" s="1"/>
  <c r="H704" i="9" s="1" a="1"/>
  <c r="H704" i="9" s="1"/>
  <c r="L712" i="9" a="1"/>
  <c r="L712" i="9" s="1"/>
  <c r="H712" i="9" s="1" a="1"/>
  <c r="H712" i="9" s="1"/>
  <c r="L718" i="9" a="1"/>
  <c r="L718" i="9" s="1"/>
  <c r="H718" i="9" s="1" a="1"/>
  <c r="H718" i="9" s="1"/>
  <c r="L726" i="9" a="1"/>
  <c r="L726" i="9" s="1"/>
  <c r="H726" i="9" s="1" a="1"/>
  <c r="H726" i="9" s="1"/>
  <c r="L733" i="9" a="1"/>
  <c r="L733" i="9" s="1"/>
  <c r="H733" i="9" s="1" a="1"/>
  <c r="H733" i="9" s="1"/>
  <c r="L741" i="9" a="1"/>
  <c r="L741" i="9" s="1"/>
  <c r="H741" i="9" s="1" a="1"/>
  <c r="H741" i="9" s="1"/>
  <c r="L748" i="9" a="1"/>
  <c r="L748" i="9" s="1"/>
  <c r="H748" i="9" s="1" a="1"/>
  <c r="H748" i="9" s="1"/>
  <c r="L755" i="9" a="1"/>
  <c r="L755" i="9" s="1"/>
  <c r="H755" i="9" s="1" a="1"/>
  <c r="H755" i="9" s="1"/>
  <c r="L763" i="9" a="1"/>
  <c r="L763" i="9" s="1"/>
  <c r="H763" i="9" s="1" a="1"/>
  <c r="H763" i="9" s="1"/>
  <c r="L770" i="9" a="1"/>
  <c r="L770" i="9" s="1"/>
  <c r="H770" i="9" s="1" a="1"/>
  <c r="H770" i="9" s="1"/>
  <c r="L778" i="9" a="1"/>
  <c r="L778" i="9" s="1"/>
  <c r="H778" i="9" s="1" a="1"/>
  <c r="H778" i="9" s="1"/>
  <c r="L784" i="9" a="1"/>
  <c r="L784" i="9" s="1"/>
  <c r="H784" i="9" s="1" a="1"/>
  <c r="H784" i="9" s="1"/>
  <c r="L792" i="9" a="1"/>
  <c r="L792" i="9" s="1"/>
  <c r="H792" i="9" s="1" a="1"/>
  <c r="H792" i="9" s="1"/>
  <c r="L799" i="9" a="1"/>
  <c r="L799" i="9" s="1"/>
  <c r="H799" i="9" s="1" a="1"/>
  <c r="H799" i="9" s="1"/>
  <c r="L807" i="9" a="1"/>
  <c r="L807" i="9" s="1"/>
  <c r="H807" i="9" s="1" a="1"/>
  <c r="H807" i="9" s="1"/>
  <c r="L813" i="9" a="1"/>
  <c r="L813" i="9" s="1"/>
  <c r="H813" i="9" s="1" a="1"/>
  <c r="H813" i="9" s="1"/>
  <c r="L821" i="9" a="1"/>
  <c r="L821" i="9" s="1"/>
  <c r="H821" i="9" s="1" a="1"/>
  <c r="H821" i="9" s="1"/>
  <c r="L828" i="9" a="1"/>
  <c r="L828" i="9" s="1"/>
  <c r="H828" i="9" s="1" a="1"/>
  <c r="H828" i="9" s="1"/>
  <c r="L841" i="9" a="1"/>
  <c r="L841" i="9" s="1"/>
  <c r="H841" i="9" s="1" a="1"/>
  <c r="H841" i="9" s="1"/>
  <c r="L847" i="9" a="1"/>
  <c r="L847" i="9" s="1"/>
  <c r="H847" i="9" s="1" a="1"/>
  <c r="H847" i="9" s="1"/>
  <c r="L853" i="9" a="1"/>
  <c r="L853" i="9" s="1"/>
  <c r="H853" i="9" s="1" a="1"/>
  <c r="H853" i="9" s="1"/>
  <c r="L859" i="9" a="1"/>
  <c r="L859" i="9" s="1"/>
  <c r="H859" i="9" s="1" a="1"/>
  <c r="H859" i="9" s="1"/>
  <c r="L870" i="9" a="1"/>
  <c r="L870" i="9" s="1"/>
  <c r="H870" i="9" s="1" a="1"/>
  <c r="H870" i="9" s="1"/>
  <c r="L889" i="9" a="1"/>
  <c r="L889" i="9" s="1"/>
  <c r="H889" i="9" s="1" a="1"/>
  <c r="H889" i="9" s="1"/>
  <c r="L894" i="9" a="1"/>
  <c r="L894" i="9" s="1"/>
  <c r="H894" i="9" s="1" a="1"/>
  <c r="H894" i="9" s="1"/>
  <c r="L900" i="9" a="1"/>
  <c r="L900" i="9" s="1"/>
  <c r="H900" i="9" s="1" a="1"/>
  <c r="H900" i="9" s="1"/>
  <c r="L906" i="9" a="1"/>
  <c r="L906" i="9" s="1"/>
  <c r="H906" i="9" s="1" a="1"/>
  <c r="H906" i="9" s="1"/>
  <c r="L912" i="9" a="1"/>
  <c r="L912" i="9" s="1"/>
  <c r="H912" i="9" s="1" a="1"/>
  <c r="H912" i="9" s="1"/>
  <c r="L918" i="9" a="1"/>
  <c r="L918" i="9" s="1"/>
  <c r="H918" i="9" s="1" a="1"/>
  <c r="H918" i="9" s="1"/>
  <c r="L923" i="9" a="1"/>
  <c r="L923" i="9" s="1"/>
  <c r="H923" i="9" s="1" a="1"/>
  <c r="H923" i="9" s="1"/>
  <c r="L934" i="9" a="1"/>
  <c r="L934" i="9" s="1"/>
  <c r="H934" i="9" s="1" a="1"/>
  <c r="H934" i="9" s="1"/>
  <c r="L952" i="9" a="1"/>
  <c r="L952" i="9" s="1"/>
  <c r="H952" i="9" s="1" a="1"/>
  <c r="H952" i="9" s="1"/>
  <c r="L969" i="9" a="1"/>
  <c r="L969" i="9" s="1"/>
  <c r="H969" i="9" s="1" a="1"/>
  <c r="H969" i="9" s="1"/>
  <c r="L985" i="9" a="1"/>
  <c r="L985" i="9" s="1"/>
  <c r="H985" i="9" s="1" a="1"/>
  <c r="H985" i="9" s="1"/>
  <c r="L990" i="9" a="1"/>
  <c r="L990" i="9" s="1"/>
  <c r="H990" i="9" s="1" a="1"/>
  <c r="H990" i="9" s="1"/>
  <c r="L1003" i="9" a="1"/>
  <c r="L1003" i="9" s="1"/>
  <c r="H1003" i="9" s="1" a="1"/>
  <c r="H1003" i="9" s="1"/>
  <c r="L1008" i="9" a="1"/>
  <c r="L1008" i="9" s="1"/>
  <c r="H1008" i="9" s="1" a="1"/>
  <c r="H1008" i="9" s="1"/>
  <c r="L1014" i="9" a="1"/>
  <c r="L1014" i="9" s="1"/>
  <c r="H1014" i="9" s="1" a="1"/>
  <c r="H1014" i="9" s="1"/>
  <c r="L1025" i="9" a="1"/>
  <c r="L1025" i="9" s="1"/>
  <c r="H1025" i="9" s="1" a="1"/>
  <c r="H1025" i="9" s="1"/>
  <c r="L1031" i="9" a="1"/>
  <c r="L1031" i="9" s="1"/>
  <c r="H1031" i="9" s="1" a="1"/>
  <c r="H1031" i="9" s="1"/>
  <c r="L1037" i="9" a="1"/>
  <c r="L1037" i="9" s="1"/>
  <c r="H1037" i="9" s="1" a="1"/>
  <c r="H1037" i="9" s="1"/>
  <c r="L1054" i="9" a="1"/>
  <c r="L1054" i="9" s="1"/>
  <c r="H1054" i="9" s="1" a="1"/>
  <c r="H1054" i="9" s="1"/>
  <c r="L1060" i="9" a="1"/>
  <c r="L1060" i="9" s="1"/>
  <c r="H1060" i="9" s="1" a="1"/>
  <c r="H1060" i="9" s="1"/>
  <c r="L1066" i="9" a="1"/>
  <c r="L1066" i="9" s="1"/>
  <c r="H1066" i="9" s="1" a="1"/>
  <c r="H1066" i="9" s="1"/>
  <c r="L1071" i="9" a="1"/>
  <c r="L1071" i="9" s="1"/>
  <c r="H1071" i="9" s="1" a="1"/>
  <c r="H1071" i="9" s="1"/>
  <c r="L1076" i="9" a="1"/>
  <c r="L1076" i="9" s="1"/>
  <c r="H1076" i="9" s="1" a="1"/>
  <c r="H1076" i="9" s="1"/>
  <c r="L1092" i="9" a="1"/>
  <c r="L1092" i="9" s="1"/>
  <c r="H1092" i="9" s="1" a="1"/>
  <c r="H1092" i="9" s="1"/>
  <c r="L1101" i="9" a="1"/>
  <c r="L1101" i="9" s="1"/>
  <c r="H1101" i="9" s="1" a="1"/>
  <c r="H1101" i="9" s="1"/>
  <c r="L1106" i="9" a="1"/>
  <c r="L1106" i="9" s="1"/>
  <c r="H1106" i="9" s="1" a="1"/>
  <c r="H1106" i="9" s="1"/>
  <c r="L1125" i="9" a="1"/>
  <c r="L1125" i="9" s="1"/>
  <c r="H1125" i="9" s="1" a="1"/>
  <c r="H1125" i="9" s="1"/>
  <c r="L1130" i="9" a="1"/>
  <c r="L1130" i="9" s="1"/>
  <c r="H1130" i="9" s="1" a="1"/>
  <c r="H1130" i="9" s="1"/>
  <c r="L12" i="9" a="1"/>
  <c r="L12" i="9" s="1"/>
  <c r="H12" i="9" s="1" a="1"/>
  <c r="H12" i="9" s="1"/>
  <c r="L38" i="9" a="1"/>
  <c r="L38" i="9" s="1"/>
  <c r="H38" i="9" s="1" a="1"/>
  <c r="H38" i="9" s="1"/>
  <c r="L82" i="9" a="1"/>
  <c r="L82" i="9" s="1"/>
  <c r="H82" i="9" s="1" a="1"/>
  <c r="H82" i="9" s="1"/>
  <c r="L100" i="9" a="1"/>
  <c r="L100" i="9" s="1"/>
  <c r="H100" i="9" s="1" a="1"/>
  <c r="H100" i="9" s="1"/>
  <c r="L126" i="9" a="1"/>
  <c r="L126" i="9" s="1"/>
  <c r="H126" i="9" s="1" a="1"/>
  <c r="H126" i="9" s="1"/>
  <c r="L151" i="9" a="1"/>
  <c r="L151" i="9" s="1"/>
  <c r="H151" i="9" s="1" a="1"/>
  <c r="H151" i="9" s="1"/>
  <c r="L164" i="9" a="1"/>
  <c r="L164" i="9" s="1"/>
  <c r="H164" i="9" s="1" a="1"/>
  <c r="H164" i="9" s="1"/>
  <c r="L175" i="9" a="1"/>
  <c r="L175" i="9" s="1"/>
  <c r="H175" i="9" s="1" a="1"/>
  <c r="H175" i="9" s="1"/>
  <c r="L200" i="9" a="1"/>
  <c r="L200" i="9" s="1"/>
  <c r="H200" i="9" s="1" a="1"/>
  <c r="H200" i="9" s="1"/>
  <c r="L213" i="9" a="1"/>
  <c r="L213" i="9" s="1"/>
  <c r="H213" i="9" s="1" a="1"/>
  <c r="H213" i="9" s="1"/>
  <c r="L225" i="9" a="1"/>
  <c r="L225" i="9" s="1"/>
  <c r="H225" i="9" s="1" a="1"/>
  <c r="H225" i="9" s="1"/>
  <c r="L237" i="9" a="1"/>
  <c r="L237" i="9" s="1"/>
  <c r="H237" i="9" s="1" a="1"/>
  <c r="H237" i="9" s="1"/>
  <c r="L249" i="9" a="1"/>
  <c r="L249" i="9" s="1"/>
  <c r="H249" i="9" s="1" a="1"/>
  <c r="H249" i="9" s="1"/>
  <c r="L261" i="9" a="1"/>
  <c r="L261" i="9" s="1"/>
  <c r="H261" i="9" s="1" a="1"/>
  <c r="H261" i="9" s="1"/>
  <c r="L273" i="9" a="1"/>
  <c r="L273" i="9" s="1"/>
  <c r="H273" i="9" s="1" a="1"/>
  <c r="H273" i="9" s="1"/>
  <c r="L297" i="9" a="1"/>
  <c r="L297" i="9" s="1"/>
  <c r="H297" i="9" s="1" a="1"/>
  <c r="H297" i="9" s="1"/>
  <c r="L308" i="9" a="1"/>
  <c r="L308" i="9" s="1"/>
  <c r="H308" i="9" s="1" a="1"/>
  <c r="H308" i="9" s="1"/>
  <c r="L334" i="9" a="1"/>
  <c r="L334" i="9" s="1"/>
  <c r="H334" i="9" s="1" a="1"/>
  <c r="H334" i="9" s="1"/>
  <c r="L346" i="9" a="1"/>
  <c r="L346" i="9" s="1"/>
  <c r="H346" i="9" s="1" a="1"/>
  <c r="H346" i="9" s="1"/>
  <c r="L360" i="9" a="1"/>
  <c r="L360" i="9" s="1"/>
  <c r="H360" i="9" s="1" a="1"/>
  <c r="H360" i="9" s="1"/>
  <c r="L374" i="9" a="1"/>
  <c r="L374" i="9" s="1"/>
  <c r="H374" i="9" s="1" a="1"/>
  <c r="H374" i="9" s="1"/>
  <c r="L389" i="9" a="1"/>
  <c r="L389" i="9" s="1"/>
  <c r="H389" i="9" s="1" a="1"/>
  <c r="H389" i="9" s="1"/>
  <c r="L403" i="9" a="1"/>
  <c r="L403" i="9" s="1"/>
  <c r="H403" i="9" s="1" a="1"/>
  <c r="H403" i="9" s="1"/>
  <c r="L418" i="9" a="1"/>
  <c r="L418" i="9" s="1"/>
  <c r="H418" i="9" s="1" a="1"/>
  <c r="H418" i="9" s="1"/>
  <c r="L447" i="9" a="1"/>
  <c r="L447" i="9" s="1"/>
  <c r="H447" i="9" s="1" a="1"/>
  <c r="H447" i="9" s="1"/>
  <c r="L462" i="9" a="1"/>
  <c r="L462" i="9" s="1"/>
  <c r="H462" i="9" s="1" a="1"/>
  <c r="H462" i="9" s="1"/>
  <c r="L476" i="9" a="1"/>
  <c r="L476" i="9" s="1"/>
  <c r="H476" i="9" s="1" a="1"/>
  <c r="H476" i="9" s="1"/>
  <c r="L505" i="9" a="1"/>
  <c r="L505" i="9" s="1"/>
  <c r="H505" i="9" s="1" a="1"/>
  <c r="H505" i="9" s="1"/>
  <c r="L520" i="9" a="1"/>
  <c r="L520" i="9" s="1"/>
  <c r="H520" i="9" s="1" a="1"/>
  <c r="H520" i="9" s="1"/>
  <c r="L530" i="9" a="1"/>
  <c r="L530" i="9" s="1"/>
  <c r="H530" i="9" s="1" a="1"/>
  <c r="H530" i="9" s="1"/>
  <c r="L542" i="9" a="1"/>
  <c r="L542" i="9" s="1"/>
  <c r="H542" i="9" s="1" a="1"/>
  <c r="H542" i="9" s="1"/>
  <c r="L555" i="9" a="1"/>
  <c r="L555" i="9" s="1"/>
  <c r="H555" i="9" s="1" a="1"/>
  <c r="H555" i="9" s="1"/>
  <c r="L566" i="9" a="1"/>
  <c r="L566" i="9" s="1"/>
  <c r="H566" i="9" s="1" a="1"/>
  <c r="H566" i="9" s="1"/>
  <c r="L578" i="9" a="1"/>
  <c r="L578" i="9" s="1"/>
  <c r="H578" i="9" s="1" a="1"/>
  <c r="H578" i="9" s="1"/>
  <c r="L601" i="9" a="1"/>
  <c r="L601" i="9" s="1"/>
  <c r="H601" i="9" s="1" a="1"/>
  <c r="H601" i="9" s="1"/>
  <c r="L612" i="9" a="1"/>
  <c r="L612" i="9" s="1"/>
  <c r="H612" i="9" s="1" a="1"/>
  <c r="H612" i="9" s="1"/>
  <c r="L622" i="9" a="1"/>
  <c r="L622" i="9" s="1"/>
  <c r="H622" i="9" s="1" a="1"/>
  <c r="H622" i="9" s="1"/>
  <c r="L647" i="9" a="1"/>
  <c r="L647" i="9" s="1"/>
  <c r="H647" i="9" s="1" a="1"/>
  <c r="H647" i="9" s="1"/>
  <c r="L658" i="9" a="1"/>
  <c r="L658" i="9" s="1"/>
  <c r="H658" i="9" s="1" a="1"/>
  <c r="H658" i="9" s="1"/>
  <c r="L670" i="9" a="1"/>
  <c r="L670" i="9" s="1"/>
  <c r="H670" i="9" s="1" a="1"/>
  <c r="H670" i="9" s="1"/>
  <c r="L682" i="9" a="1"/>
  <c r="L682" i="9" s="1"/>
  <c r="H682" i="9" s="1" a="1"/>
  <c r="H682" i="9" s="1"/>
  <c r="L694" i="9" a="1"/>
  <c r="L694" i="9" s="1"/>
  <c r="H694" i="9" s="1" a="1"/>
  <c r="H694" i="9" s="1"/>
  <c r="L705" i="9" a="1"/>
  <c r="L705" i="9" s="1"/>
  <c r="H705" i="9" s="1" a="1"/>
  <c r="H705" i="9" s="1"/>
  <c r="L729" i="9" a="1"/>
  <c r="L729" i="9" s="1"/>
  <c r="H729" i="9" s="1" a="1"/>
  <c r="H729" i="9" s="1"/>
  <c r="L740" i="9" a="1"/>
  <c r="L740" i="9" s="1"/>
  <c r="H740" i="9" s="1" a="1"/>
  <c r="H740" i="9" s="1"/>
  <c r="L752" i="9" a="1"/>
  <c r="L752" i="9" s="1"/>
  <c r="H752" i="9" s="1" a="1"/>
  <c r="H752" i="9" s="1"/>
  <c r="L776" i="9" a="1"/>
  <c r="L776" i="9" s="1"/>
  <c r="H776" i="9" s="1" a="1"/>
  <c r="H776" i="9" s="1"/>
  <c r="L787" i="9" a="1"/>
  <c r="L787" i="9" s="1"/>
  <c r="H787" i="9" s="1" a="1"/>
  <c r="H787" i="9" s="1"/>
  <c r="L798" i="9" a="1"/>
  <c r="L798" i="9" s="1"/>
  <c r="H798" i="9" s="1" a="1"/>
  <c r="H798" i="9" s="1"/>
  <c r="L822" i="9" a="1"/>
  <c r="L822" i="9" s="1"/>
  <c r="H822" i="9" s="1" a="1"/>
  <c r="H822" i="9" s="1"/>
  <c r="L834" i="9" a="1"/>
  <c r="L834" i="9" s="1"/>
  <c r="H834" i="9" s="1" a="1"/>
  <c r="H834" i="9" s="1"/>
  <c r="L843" i="9" a="1"/>
  <c r="L843" i="9" s="1"/>
  <c r="H843" i="9" s="1" a="1"/>
  <c r="H843" i="9" s="1"/>
  <c r="L852" i="9" a="1"/>
  <c r="L852" i="9" s="1"/>
  <c r="H852" i="9" s="1" a="1"/>
  <c r="H852" i="9" s="1"/>
  <c r="L862" i="9" a="1"/>
  <c r="L862" i="9" s="1"/>
  <c r="H862" i="9" s="1" a="1"/>
  <c r="H862" i="9" s="1"/>
  <c r="L871" i="9" a="1"/>
  <c r="L871" i="9" s="1"/>
  <c r="H871" i="9" s="1" a="1"/>
  <c r="H871" i="9" s="1"/>
  <c r="L881" i="9" a="1"/>
  <c r="L881" i="9" s="1"/>
  <c r="H881" i="9" s="1" a="1"/>
  <c r="H881" i="9" s="1"/>
  <c r="L891" i="9" a="1"/>
  <c r="L891" i="9" s="1"/>
  <c r="H891" i="9" s="1" a="1"/>
  <c r="H891" i="9" s="1"/>
  <c r="L910" i="9" a="1"/>
  <c r="L910" i="9" s="1"/>
  <c r="H910" i="9" s="1" a="1"/>
  <c r="H910" i="9" s="1"/>
  <c r="L919" i="9" a="1"/>
  <c r="L919" i="9" s="1"/>
  <c r="H919" i="9" s="1" a="1"/>
  <c r="H919" i="9" s="1"/>
  <c r="L927" i="9" a="1"/>
  <c r="L927" i="9" s="1"/>
  <c r="H927" i="9" s="1" a="1"/>
  <c r="H927" i="9" s="1"/>
  <c r="L936" i="9" a="1"/>
  <c r="L936" i="9" s="1"/>
  <c r="H936" i="9" s="1" a="1"/>
  <c r="H936" i="9" s="1"/>
  <c r="L946" i="9" a="1"/>
  <c r="L946" i="9" s="1"/>
  <c r="H946" i="9" s="1" a="1"/>
  <c r="H946" i="9" s="1"/>
  <c r="L955" i="9" a="1"/>
  <c r="L955" i="9" s="1"/>
  <c r="H955" i="9" s="1" a="1"/>
  <c r="H955" i="9" s="1"/>
  <c r="L964" i="9" a="1"/>
  <c r="L964" i="9" s="1"/>
  <c r="H964" i="9" s="1" a="1"/>
  <c r="H964" i="9" s="1"/>
  <c r="L973" i="9" a="1"/>
  <c r="L973" i="9" s="1"/>
  <c r="H973" i="9" s="1" a="1"/>
  <c r="H973" i="9" s="1"/>
  <c r="L982" i="9" a="1"/>
  <c r="L982" i="9" s="1"/>
  <c r="H982" i="9" s="1" a="1"/>
  <c r="H982" i="9" s="1"/>
  <c r="L989" i="9" a="1"/>
  <c r="L989" i="9" s="1"/>
  <c r="H989" i="9" s="1" a="1"/>
  <c r="H989" i="9" s="1"/>
  <c r="L1001" i="9" a="1"/>
  <c r="L1001" i="9" s="1"/>
  <c r="H1001" i="9" s="1" a="1"/>
  <c r="H1001" i="9" s="1"/>
  <c r="L1009" i="9" a="1"/>
  <c r="L1009" i="9" s="1"/>
  <c r="H1009" i="9" s="1" a="1"/>
  <c r="H1009" i="9" s="1"/>
  <c r="L1046" i="9" a="1"/>
  <c r="L1046" i="9" s="1"/>
  <c r="H1046" i="9" s="1" a="1"/>
  <c r="H1046" i="9" s="1"/>
  <c r="L1055" i="9" a="1"/>
  <c r="L1055" i="9" s="1"/>
  <c r="H1055" i="9" s="1" a="1"/>
  <c r="H1055" i="9" s="1"/>
  <c r="L1064" i="9" a="1"/>
  <c r="L1064" i="9" s="1"/>
  <c r="H1064" i="9" s="1" a="1"/>
  <c r="H1064" i="9" s="1"/>
  <c r="L1073" i="9" a="1"/>
  <c r="L1073" i="9" s="1"/>
  <c r="H1073" i="9" s="1" a="1"/>
  <c r="H1073" i="9" s="1"/>
  <c r="L1082" i="9" a="1"/>
  <c r="L1082" i="9" s="1"/>
  <c r="H1082" i="9" s="1" a="1"/>
  <c r="H1082" i="9" s="1"/>
  <c r="L1097" i="9" a="1"/>
  <c r="L1097" i="9" s="1"/>
  <c r="H1097" i="9" s="1" a="1"/>
  <c r="H1097" i="9" s="1"/>
  <c r="L1112" i="9" a="1"/>
  <c r="L1112" i="9" s="1"/>
  <c r="H1112" i="9" s="1" a="1"/>
  <c r="H1112" i="9" s="1"/>
  <c r="L1120" i="9" a="1"/>
  <c r="L1120" i="9" s="1"/>
  <c r="H1120" i="9" s="1" a="1"/>
  <c r="H1120" i="9" s="1"/>
  <c r="L1128" i="9" a="1"/>
  <c r="L1128" i="9" s="1"/>
  <c r="H1128" i="9" s="1" a="1"/>
  <c r="H1128" i="9" s="1"/>
  <c r="L1134" i="9" a="1"/>
  <c r="L1134" i="9" s="1"/>
  <c r="H1134" i="9" s="1" a="1"/>
  <c r="H1134" i="9" s="1"/>
  <c r="L1146" i="9" a="1"/>
  <c r="L1146" i="9" s="1"/>
  <c r="H1146" i="9" s="1" a="1"/>
  <c r="H1146" i="9" s="1"/>
  <c r="L1162" i="9" a="1"/>
  <c r="L1162" i="9" s="1"/>
  <c r="H1162" i="9" s="1" a="1"/>
  <c r="H1162" i="9" s="1"/>
  <c r="L1167" i="9" a="1"/>
  <c r="L1167" i="9" s="1"/>
  <c r="H1167" i="9" s="1" a="1"/>
  <c r="H1167" i="9" s="1"/>
  <c r="L1172" i="9" a="1"/>
  <c r="L1172" i="9" s="1"/>
  <c r="H1172" i="9" s="1" a="1"/>
  <c r="H1172" i="9" s="1"/>
  <c r="L1178" i="9" a="1"/>
  <c r="L1178" i="9" s="1"/>
  <c r="H1178" i="9" s="1" a="1"/>
  <c r="H1178" i="9" s="1"/>
  <c r="L1184" i="9" a="1"/>
  <c r="L1184" i="9" s="1"/>
  <c r="H1184" i="9" s="1" a="1"/>
  <c r="H1184" i="9" s="1"/>
  <c r="L1189" i="9" a="1"/>
  <c r="L1189" i="9" s="1"/>
  <c r="H1189" i="9" s="1" a="1"/>
  <c r="H1189" i="9" s="1"/>
  <c r="L1194" i="9" a="1"/>
  <c r="L1194" i="9" s="1"/>
  <c r="H1194" i="9" s="1" a="1"/>
  <c r="H1194" i="9" s="1"/>
  <c r="L1203" i="9" a="1"/>
  <c r="L1203" i="9" s="1"/>
  <c r="H1203" i="9" s="1" a="1"/>
  <c r="H1203" i="9" s="1"/>
  <c r="L1213" i="9" a="1"/>
  <c r="L1213" i="9" s="1"/>
  <c r="H1213" i="9" s="1" a="1"/>
  <c r="H1213" i="9" s="1"/>
  <c r="L1218" i="9" a="1"/>
  <c r="L1218" i="9" s="1"/>
  <c r="H1218" i="9" s="1" a="1"/>
  <c r="H1218" i="9" s="1"/>
  <c r="L1227" i="9" a="1"/>
  <c r="L1227" i="9" s="1"/>
  <c r="H1227" i="9" s="1" a="1"/>
  <c r="H1227" i="9" s="1"/>
  <c r="L1232" i="9" a="1"/>
  <c r="L1232" i="9" s="1"/>
  <c r="H1232" i="9" s="1" a="1"/>
  <c r="H1232" i="9" s="1"/>
  <c r="L1237" i="9" a="1"/>
  <c r="L1237" i="9" s="1"/>
  <c r="H1237" i="9" s="1" a="1"/>
  <c r="H1237" i="9" s="1"/>
  <c r="L1258" i="9" a="1"/>
  <c r="L1258" i="9" s="1"/>
  <c r="H1258" i="9" s="1" a="1"/>
  <c r="H1258" i="9" s="1"/>
  <c r="L1273" i="9" a="1"/>
  <c r="L1273" i="9" s="1"/>
  <c r="H1273" i="9" s="1" a="1"/>
  <c r="H1273" i="9" s="1"/>
  <c r="L1282" i="9" a="1"/>
  <c r="L1282" i="9" s="1"/>
  <c r="H1282" i="9" s="1" a="1"/>
  <c r="H1282" i="9" s="1"/>
  <c r="L1287" i="9" a="1"/>
  <c r="L1287" i="9" s="1"/>
  <c r="H1287" i="9" s="1" a="1"/>
  <c r="H1287" i="9" s="1"/>
  <c r="L1292" i="9" a="1"/>
  <c r="L1292" i="9" s="1"/>
  <c r="H1292" i="9" s="1" a="1"/>
  <c r="H1292" i="9" s="1"/>
  <c r="L1297" i="9" a="1"/>
  <c r="L1297" i="9" s="1"/>
  <c r="H1297" i="9" s="1" a="1"/>
  <c r="H1297" i="9" s="1"/>
  <c r="L1303" i="9" a="1"/>
  <c r="L1303" i="9" s="1"/>
  <c r="H1303" i="9" s="1" a="1"/>
  <c r="H1303" i="9" s="1"/>
  <c r="L1315" i="9" a="1"/>
  <c r="L1315" i="9" s="1"/>
  <c r="H1315" i="9" s="1" a="1"/>
  <c r="H1315" i="9" s="1"/>
  <c r="L1321" i="9" a="1"/>
  <c r="L1321" i="9" s="1"/>
  <c r="H1321" i="9" s="1" a="1"/>
  <c r="H1321" i="9" s="1"/>
  <c r="L1327" i="9" a="1"/>
  <c r="L1327" i="9" s="1"/>
  <c r="H1327" i="9" s="1" a="1"/>
  <c r="H1327" i="9" s="1"/>
  <c r="L1333" i="9" a="1"/>
  <c r="L1333" i="9" s="1"/>
  <c r="H1333" i="9" s="1" a="1"/>
  <c r="H1333" i="9" s="1"/>
  <c r="L1339" i="9" a="1"/>
  <c r="L1339" i="9" s="1"/>
  <c r="H1339" i="9" s="1" a="1"/>
  <c r="H1339" i="9" s="1"/>
  <c r="L1345" i="9" a="1"/>
  <c r="L1345" i="9" s="1"/>
  <c r="H1345" i="9" s="1" a="1"/>
  <c r="H1345" i="9" s="1"/>
  <c r="L1352" i="9" a="1"/>
  <c r="L1352" i="9" s="1"/>
  <c r="H1352" i="9" s="1" a="1"/>
  <c r="H1352" i="9" s="1"/>
  <c r="L1357" i="9" a="1"/>
  <c r="L1357" i="9" s="1"/>
  <c r="H1357" i="9" s="1" a="1"/>
  <c r="H1357" i="9" s="1"/>
  <c r="L1364" i="9" a="1"/>
  <c r="L1364" i="9" s="1"/>
  <c r="H1364" i="9" s="1" a="1"/>
  <c r="H1364" i="9" s="1"/>
  <c r="L1376" i="9" a="1"/>
  <c r="L1376" i="9" s="1"/>
  <c r="H1376" i="9" s="1" a="1"/>
  <c r="H1376" i="9" s="1"/>
  <c r="L1382" i="9" a="1"/>
  <c r="L1382" i="9" s="1"/>
  <c r="H1382" i="9" s="1" a="1"/>
  <c r="H1382" i="9" s="1"/>
  <c r="L1388" i="9" a="1"/>
  <c r="L1388" i="9" s="1"/>
  <c r="H1388" i="9" s="1" a="1"/>
  <c r="H1388" i="9" s="1"/>
  <c r="L1394" i="9" a="1"/>
  <c r="L1394" i="9" s="1"/>
  <c r="H1394" i="9" s="1" a="1"/>
  <c r="H1394" i="9" s="1"/>
  <c r="L1401" i="9" a="1"/>
  <c r="L1401" i="9" s="1"/>
  <c r="H1401" i="9" s="1" a="1"/>
  <c r="H1401" i="9" s="1"/>
  <c r="L1406" i="9" a="1"/>
  <c r="L1406" i="9" s="1"/>
  <c r="H1406" i="9" s="1" a="1"/>
  <c r="H1406" i="9" s="1"/>
  <c r="L1412" i="9" a="1"/>
  <c r="L1412" i="9" s="1"/>
  <c r="H1412" i="9" s="1" a="1"/>
  <c r="H1412" i="9" s="1"/>
  <c r="L1417" i="9" a="1"/>
  <c r="L1417" i="9" s="1"/>
  <c r="H1417" i="9" s="1" a="1"/>
  <c r="H1417" i="9" s="1"/>
  <c r="L1422" i="9" a="1"/>
  <c r="L1422" i="9" s="1"/>
  <c r="H1422" i="9" s="1" a="1"/>
  <c r="H1422" i="9" s="1"/>
  <c r="L1428" i="9" a="1"/>
  <c r="L1428" i="9" s="1"/>
  <c r="H1428" i="9" s="1" a="1"/>
  <c r="H1428" i="9" s="1"/>
  <c r="L1433" i="9" a="1"/>
  <c r="L1433" i="9" s="1"/>
  <c r="H1433" i="9" s="1" a="1"/>
  <c r="H1433" i="9" s="1"/>
  <c r="L1440" i="9" a="1"/>
  <c r="L1440" i="9" s="1"/>
  <c r="H1440" i="9" s="1" a="1"/>
  <c r="H1440" i="9" s="1"/>
  <c r="L1447" i="9" a="1"/>
  <c r="L1447" i="9" s="1"/>
  <c r="H1447" i="9" s="1" a="1"/>
  <c r="H1447" i="9" s="1"/>
  <c r="L1460" i="9" a="1"/>
  <c r="L1460" i="9" s="1"/>
  <c r="H1460" i="9" s="1" a="1"/>
  <c r="H1460" i="9" s="1"/>
  <c r="L1467" i="9" a="1"/>
  <c r="L1467" i="9" s="1"/>
  <c r="H1467" i="9" s="1" a="1"/>
  <c r="H1467" i="9" s="1"/>
  <c r="L1474" i="9" a="1"/>
  <c r="L1474" i="9" s="1"/>
  <c r="H1474" i="9" s="1" a="1"/>
  <c r="H1474" i="9" s="1"/>
  <c r="L1488" i="9" a="1"/>
  <c r="L1488" i="9" s="1"/>
  <c r="H1488" i="9" s="1" a="1"/>
  <c r="H1488" i="9" s="1"/>
  <c r="L1495" i="9" a="1"/>
  <c r="L1495" i="9" s="1"/>
  <c r="H1495" i="9" s="1" a="1"/>
  <c r="H1495" i="9" s="1"/>
  <c r="L1502" i="9" a="1"/>
  <c r="L1502" i="9" s="1"/>
  <c r="H1502" i="9" s="1" a="1"/>
  <c r="H1502" i="9" s="1"/>
  <c r="L1509" i="9" a="1"/>
  <c r="L1509" i="9" s="1"/>
  <c r="H1509" i="9" s="1" a="1"/>
  <c r="H1509" i="9" s="1"/>
  <c r="L1516" i="9" a="1"/>
  <c r="L1516" i="9" s="1"/>
  <c r="H1516" i="9" s="1" a="1"/>
  <c r="H1516" i="9" s="1"/>
  <c r="L1522" i="9" a="1"/>
  <c r="L1522" i="9" s="1"/>
  <c r="H1522" i="9" s="1" a="1"/>
  <c r="H1522" i="9" s="1"/>
  <c r="L1537" i="9" a="1"/>
  <c r="L1537" i="9" s="1"/>
  <c r="H1537" i="9" s="1" a="1"/>
  <c r="H1537" i="9" s="1"/>
  <c r="L1544" i="9" a="1"/>
  <c r="L1544" i="9" s="1"/>
  <c r="H1544" i="9" s="1" a="1"/>
  <c r="H1544" i="9" s="1"/>
  <c r="L1550" i="9" a="1"/>
  <c r="L1550" i="9" s="1"/>
  <c r="H1550" i="9" s="1" a="1"/>
  <c r="H1550" i="9" s="1"/>
  <c r="L1557" i="9" a="1"/>
  <c r="L1557" i="9" s="1"/>
  <c r="H1557" i="9" s="1" a="1"/>
  <c r="H1557" i="9" s="1"/>
  <c r="L1564" i="9" a="1"/>
  <c r="L1564" i="9" s="1"/>
  <c r="H1564" i="9" s="1" a="1"/>
  <c r="H1564" i="9" s="1"/>
  <c r="L1571" i="9" a="1"/>
  <c r="L1571" i="9" s="1"/>
  <c r="H1571" i="9" s="1" a="1"/>
  <c r="H1571" i="9" s="1"/>
  <c r="L1578" i="9" a="1"/>
  <c r="L1578" i="9" s="1"/>
  <c r="H1578" i="9" s="1" a="1"/>
  <c r="H1578" i="9" s="1"/>
  <c r="L1585" i="9" a="1"/>
  <c r="L1585" i="9" s="1"/>
  <c r="H1585" i="9" s="1" a="1"/>
  <c r="H1585" i="9" s="1"/>
  <c r="L1592" i="9" a="1"/>
  <c r="L1592" i="9" s="1"/>
  <c r="H1592" i="9" s="1" a="1"/>
  <c r="H1592" i="9" s="1"/>
  <c r="L1599" i="9" a="1"/>
  <c r="L1599" i="9" s="1"/>
  <c r="H1599" i="9" s="1" a="1"/>
  <c r="H1599" i="9" s="1"/>
  <c r="L1606" i="9" a="1"/>
  <c r="L1606" i="9" s="1"/>
  <c r="H1606" i="9" s="1" a="1"/>
  <c r="H1606" i="9" s="1"/>
  <c r="L1613" i="9" a="1"/>
  <c r="L1613" i="9" s="1"/>
  <c r="H1613" i="9" s="1" a="1"/>
  <c r="H1613" i="9" s="1"/>
  <c r="L1619" i="9" a="1"/>
  <c r="L1619" i="9" s="1"/>
  <c r="H1619" i="9" s="1" a="1"/>
  <c r="H1619" i="9" s="1"/>
  <c r="L1633" i="9" a="1"/>
  <c r="L1633" i="9" s="1"/>
  <c r="H1633" i="9" s="1" a="1"/>
  <c r="H1633" i="9" s="1"/>
  <c r="L1640" i="9" a="1"/>
  <c r="L1640" i="9" s="1"/>
  <c r="H1640" i="9" s="1" a="1"/>
  <c r="H1640" i="9" s="1"/>
  <c r="L1646" i="9" a="1"/>
  <c r="L1646" i="9" s="1"/>
  <c r="H1646" i="9" s="1" a="1"/>
  <c r="H1646" i="9" s="1"/>
  <c r="L1653" i="9" a="1"/>
  <c r="L1653" i="9" s="1"/>
  <c r="H1653" i="9" s="1" a="1"/>
  <c r="H1653" i="9" s="1"/>
  <c r="L1659" i="9" a="1"/>
  <c r="L1659" i="9" s="1"/>
  <c r="H1659" i="9" s="1" a="1"/>
  <c r="H1659" i="9" s="1"/>
  <c r="L1666" i="9" a="1"/>
  <c r="L1666" i="9" s="1"/>
  <c r="H1666" i="9" s="1" a="1"/>
  <c r="H1666" i="9" s="1"/>
  <c r="L1680" i="9" a="1"/>
  <c r="L1680" i="9" s="1"/>
  <c r="H1680" i="9" s="1" a="1"/>
  <c r="H1680" i="9" s="1"/>
  <c r="L1687" i="9" a="1"/>
  <c r="L1687" i="9" s="1"/>
  <c r="H1687" i="9" s="1" a="1"/>
  <c r="H1687" i="9" s="1"/>
  <c r="L1694" i="9" a="1"/>
  <c r="L1694" i="9" s="1"/>
  <c r="H1694" i="9" s="1" a="1"/>
  <c r="H1694" i="9" s="1"/>
  <c r="L1701" i="9" a="1"/>
  <c r="L1701" i="9" s="1"/>
  <c r="H1701" i="9" s="1" a="1"/>
  <c r="H1701" i="9" s="1"/>
  <c r="L1708" i="9" a="1"/>
  <c r="L1708" i="9" s="1"/>
  <c r="H1708" i="9" s="1" a="1"/>
  <c r="H1708" i="9" s="1"/>
  <c r="L1720" i="9" a="1"/>
  <c r="L1720" i="9" s="1"/>
  <c r="H1720" i="9" s="1" a="1"/>
  <c r="H1720" i="9" s="1"/>
  <c r="L1732" i="9" a="1"/>
  <c r="L1732" i="9" s="1"/>
  <c r="H1732" i="9" s="1" a="1"/>
  <c r="H1732" i="9" s="1"/>
  <c r="L1739" i="9" a="1"/>
  <c r="L1739" i="9" s="1"/>
  <c r="H1739" i="9" s="1" a="1"/>
  <c r="H1739" i="9" s="1"/>
  <c r="L1746" i="9" a="1"/>
  <c r="L1746" i="9" s="1"/>
  <c r="H1746" i="9" s="1" a="1"/>
  <c r="H1746" i="9" s="1"/>
  <c r="L1753" i="9" a="1"/>
  <c r="L1753" i="9" s="1"/>
  <c r="H1753" i="9" s="1" a="1"/>
  <c r="H1753" i="9" s="1"/>
  <c r="L13" i="9" a="1"/>
  <c r="L13" i="9" s="1"/>
  <c r="H13" i="9" s="1" a="1"/>
  <c r="H13" i="9" s="1"/>
  <c r="L39" i="9" a="1"/>
  <c r="L39" i="9" s="1"/>
  <c r="H39" i="9" s="1" a="1"/>
  <c r="H39" i="9" s="1"/>
  <c r="L61" i="9" a="1"/>
  <c r="L61" i="9" s="1"/>
  <c r="H61" i="9" s="1" a="1"/>
  <c r="H61" i="9" s="1"/>
  <c r="L101" i="9" a="1"/>
  <c r="L101" i="9" s="1"/>
  <c r="H101" i="9" s="1" a="1"/>
  <c r="H101" i="9" s="1"/>
  <c r="L115" i="9" a="1"/>
  <c r="L115" i="9" s="1"/>
  <c r="H115" i="9" s="1" a="1"/>
  <c r="H115" i="9" s="1"/>
  <c r="L127" i="9" a="1"/>
  <c r="L127" i="9" s="1"/>
  <c r="H127" i="9" s="1" a="1"/>
  <c r="H127" i="9" s="1"/>
  <c r="L139" i="9" a="1"/>
  <c r="L139" i="9" s="1"/>
  <c r="H139" i="9" s="1" a="1"/>
  <c r="H139" i="9" s="1"/>
  <c r="L152" i="9" a="1"/>
  <c r="L152" i="9" s="1"/>
  <c r="H152" i="9" s="1" a="1"/>
  <c r="H152" i="9" s="1"/>
  <c r="L165" i="9" a="1"/>
  <c r="L165" i="9" s="1"/>
  <c r="H165" i="9" s="1" a="1"/>
  <c r="H165" i="9" s="1"/>
  <c r="L176" i="9" a="1"/>
  <c r="L176" i="9" s="1"/>
  <c r="H176" i="9" s="1" a="1"/>
  <c r="H176" i="9" s="1"/>
  <c r="L189" i="9" a="1"/>
  <c r="L189" i="9" s="1"/>
  <c r="H189" i="9" s="1" a="1"/>
  <c r="H189" i="9" s="1"/>
  <c r="L201" i="9" a="1"/>
  <c r="L201" i="9" s="1"/>
  <c r="H201" i="9" s="1" a="1"/>
  <c r="H201" i="9" s="1"/>
  <c r="L214" i="9" a="1"/>
  <c r="L214" i="9" s="1"/>
  <c r="H214" i="9" s="1" a="1"/>
  <c r="H214" i="9" s="1"/>
  <c r="L238" i="9" a="1"/>
  <c r="L238" i="9" s="1"/>
  <c r="H238" i="9" s="1" a="1"/>
  <c r="H238" i="9" s="1"/>
  <c r="L250" i="9" a="1"/>
  <c r="L250" i="9" s="1"/>
  <c r="H250" i="9" s="1" a="1"/>
  <c r="H250" i="9" s="1"/>
  <c r="L274" i="9" a="1"/>
  <c r="L274" i="9" s="1"/>
  <c r="H274" i="9" s="1" a="1"/>
  <c r="H274" i="9" s="1"/>
  <c r="L285" i="9" a="1"/>
  <c r="L285" i="9" s="1"/>
  <c r="H285" i="9" s="1" a="1"/>
  <c r="H285" i="9" s="1"/>
  <c r="L321" i="9" a="1"/>
  <c r="L321" i="9" s="1"/>
  <c r="H321" i="9" s="1" a="1"/>
  <c r="H321" i="9" s="1"/>
  <c r="L347" i="9" a="1"/>
  <c r="L347" i="9" s="1"/>
  <c r="H347" i="9" s="1" a="1"/>
  <c r="H347" i="9" s="1"/>
  <c r="L361" i="9" a="1"/>
  <c r="L361" i="9" s="1"/>
  <c r="H361" i="9" s="1" a="1"/>
  <c r="H361" i="9" s="1"/>
  <c r="L375" i="9" a="1"/>
  <c r="L375" i="9" s="1"/>
  <c r="H375" i="9" s="1" a="1"/>
  <c r="H375" i="9" s="1"/>
  <c r="L390" i="9" a="1"/>
  <c r="L390" i="9" s="1"/>
  <c r="H390" i="9" s="1" a="1"/>
  <c r="H390" i="9" s="1"/>
  <c r="L404" i="9" a="1"/>
  <c r="L404" i="9" s="1"/>
  <c r="H404" i="9" s="1" a="1"/>
  <c r="H404" i="9" s="1"/>
  <c r="L419" i="9" a="1"/>
  <c r="L419" i="9" s="1"/>
  <c r="H419" i="9" s="1" a="1"/>
  <c r="H419" i="9" s="1"/>
  <c r="L433" i="9" a="1"/>
  <c r="L433" i="9" s="1"/>
  <c r="H433" i="9" s="1" a="1"/>
  <c r="H433" i="9" s="1"/>
  <c r="L448" i="9" a="1"/>
  <c r="L448" i="9" s="1"/>
  <c r="H448" i="9" s="1" a="1"/>
  <c r="H448" i="9" s="1"/>
  <c r="L463" i="9" a="1"/>
  <c r="L463" i="9" s="1"/>
  <c r="H463" i="9" s="1" a="1"/>
  <c r="H463" i="9" s="1"/>
  <c r="L477" i="9" a="1"/>
  <c r="L477" i="9" s="1"/>
  <c r="H477" i="9" s="1" a="1"/>
  <c r="H477" i="9" s="1"/>
  <c r="L492" i="9" a="1"/>
  <c r="L492" i="9" s="1"/>
  <c r="H492" i="9" s="1" a="1"/>
  <c r="H492" i="9" s="1"/>
  <c r="L506" i="9" a="1"/>
  <c r="L506" i="9" s="1"/>
  <c r="H506" i="9" s="1" a="1"/>
  <c r="H506" i="9" s="1"/>
  <c r="L521" i="9" a="1"/>
  <c r="L521" i="9" s="1"/>
  <c r="H521" i="9" s="1" a="1"/>
  <c r="H521" i="9" s="1"/>
  <c r="L532" i="9" a="1"/>
  <c r="L532" i="9" s="1"/>
  <c r="H532" i="9" s="1" a="1"/>
  <c r="H532" i="9" s="1"/>
  <c r="L543" i="9" a="1"/>
  <c r="L543" i="9" s="1"/>
  <c r="H543" i="9" s="1" a="1"/>
  <c r="H543" i="9" s="1"/>
  <c r="L568" i="9" a="1"/>
  <c r="L568" i="9" s="1"/>
  <c r="H568" i="9" s="1" a="1"/>
  <c r="H568" i="9" s="1"/>
  <c r="L579" i="9" a="1"/>
  <c r="L579" i="9" s="1"/>
  <c r="H579" i="9" s="1" a="1"/>
  <c r="H579" i="9" s="1"/>
  <c r="L590" i="9" a="1"/>
  <c r="L590" i="9" s="1"/>
  <c r="H590" i="9" s="1" a="1"/>
  <c r="H590" i="9" s="1"/>
  <c r="L602" i="9" a="1"/>
  <c r="L602" i="9" s="1"/>
  <c r="H602" i="9" s="1" a="1"/>
  <c r="H602" i="9" s="1"/>
  <c r="L614" i="9" a="1"/>
  <c r="L614" i="9" s="1"/>
  <c r="H614" i="9" s="1" a="1"/>
  <c r="H614" i="9" s="1"/>
  <c r="L624" i="9" a="1"/>
  <c r="L624" i="9" s="1"/>
  <c r="H624" i="9" s="1" a="1"/>
  <c r="H624" i="9" s="1"/>
  <c r="L636" i="9" a="1"/>
  <c r="L636" i="9" s="1"/>
  <c r="H636" i="9" s="1" a="1"/>
  <c r="H636" i="9" s="1"/>
  <c r="L649" i="9" a="1"/>
  <c r="L649" i="9" s="1"/>
  <c r="H649" i="9" s="1" a="1"/>
  <c r="H649" i="9" s="1"/>
  <c r="L659" i="9" a="1"/>
  <c r="L659" i="9" s="1"/>
  <c r="H659" i="9" s="1" a="1"/>
  <c r="H659" i="9" s="1"/>
  <c r="L672" i="9" a="1"/>
  <c r="L672" i="9" s="1"/>
  <c r="H672" i="9" s="1" a="1"/>
  <c r="H672" i="9" s="1"/>
  <c r="L695" i="9" a="1"/>
  <c r="L695" i="9" s="1"/>
  <c r="H695" i="9" s="1" a="1"/>
  <c r="H695" i="9" s="1"/>
  <c r="L707" i="9" a="1"/>
  <c r="L707" i="9" s="1"/>
  <c r="H707" i="9" s="1" a="1"/>
  <c r="H707" i="9" s="1"/>
  <c r="L717" i="9" a="1"/>
  <c r="L717" i="9" s="1"/>
  <c r="H717" i="9" s="1" a="1"/>
  <c r="H717" i="9" s="1"/>
  <c r="L731" i="9" a="1"/>
  <c r="L731" i="9" s="1"/>
  <c r="H731" i="9" s="1" a="1"/>
  <c r="H731" i="9" s="1"/>
  <c r="L742" i="9" a="1"/>
  <c r="L742" i="9" s="1"/>
  <c r="H742" i="9" s="1" a="1"/>
  <c r="H742" i="9" s="1"/>
  <c r="L753" i="9" a="1"/>
  <c r="L753" i="9" s="1"/>
  <c r="H753" i="9" s="1" a="1"/>
  <c r="H753" i="9" s="1"/>
  <c r="L765" i="9" a="1"/>
  <c r="L765" i="9" s="1"/>
  <c r="H765" i="9" s="1" a="1"/>
  <c r="H765" i="9" s="1"/>
  <c r="L777" i="9" a="1"/>
  <c r="L777" i="9" s="1"/>
  <c r="H777" i="9" s="1" a="1"/>
  <c r="H777" i="9" s="1"/>
  <c r="L789" i="9" a="1"/>
  <c r="L789" i="9" s="1"/>
  <c r="H789" i="9" s="1" a="1"/>
  <c r="H789" i="9" s="1"/>
  <c r="L800" i="9" a="1"/>
  <c r="L800" i="9" s="1"/>
  <c r="H800" i="9" s="1" a="1"/>
  <c r="H800" i="9" s="1"/>
  <c r="L812" i="9" a="1"/>
  <c r="L812" i="9" s="1"/>
  <c r="H812" i="9" s="1" a="1"/>
  <c r="H812" i="9" s="1"/>
  <c r="L824" i="9" a="1"/>
  <c r="L824" i="9" s="1"/>
  <c r="H824" i="9" s="1" a="1"/>
  <c r="H824" i="9" s="1"/>
  <c r="L835" i="9" a="1"/>
  <c r="L835" i="9" s="1"/>
  <c r="H835" i="9" s="1" a="1"/>
  <c r="H835" i="9" s="1"/>
  <c r="L854" i="9" a="1"/>
  <c r="L854" i="9" s="1"/>
  <c r="H854" i="9" s="1" a="1"/>
  <c r="H854" i="9" s="1"/>
  <c r="L863" i="9" a="1"/>
  <c r="L863" i="9" s="1"/>
  <c r="H863" i="9" s="1" a="1"/>
  <c r="H863" i="9" s="1"/>
  <c r="L873" i="9" a="1"/>
  <c r="L873" i="9" s="1"/>
  <c r="H873" i="9" s="1" a="1"/>
  <c r="H873" i="9" s="1"/>
  <c r="L882" i="9" a="1"/>
  <c r="L882" i="9" s="1"/>
  <c r="H882" i="9" s="1" a="1"/>
  <c r="H882" i="9" s="1"/>
  <c r="L892" i="9" a="1"/>
  <c r="L892" i="9" s="1"/>
  <c r="H892" i="9" s="1" a="1"/>
  <c r="H892" i="9" s="1"/>
  <c r="L920" i="9" a="1"/>
  <c r="L920" i="9" s="1"/>
  <c r="H920" i="9" s="1" a="1"/>
  <c r="H920" i="9" s="1"/>
  <c r="L928" i="9" a="1"/>
  <c r="L928" i="9" s="1"/>
  <c r="H928" i="9" s="1" a="1"/>
  <c r="H928" i="9" s="1"/>
  <c r="L938" i="9" a="1"/>
  <c r="L938" i="9" s="1"/>
  <c r="H938" i="9" s="1" a="1"/>
  <c r="H938" i="9" s="1"/>
  <c r="L947" i="9" a="1"/>
  <c r="L947" i="9" s="1"/>
  <c r="H947" i="9" s="1" a="1"/>
  <c r="H947" i="9" s="1"/>
  <c r="L965" i="9" a="1"/>
  <c r="L965" i="9" s="1"/>
  <c r="H965" i="9" s="1" a="1"/>
  <c r="H965" i="9" s="1"/>
  <c r="L974" i="9" a="1"/>
  <c r="L974" i="9" s="1"/>
  <c r="H974" i="9" s="1" a="1"/>
  <c r="H974" i="9" s="1"/>
  <c r="L991" i="9" a="1"/>
  <c r="L991" i="9" s="1"/>
  <c r="H991" i="9" s="1" a="1"/>
  <c r="H991" i="9" s="1"/>
  <c r="L1002" i="9" a="1"/>
  <c r="L1002" i="9" s="1"/>
  <c r="H1002" i="9" s="1" a="1"/>
  <c r="H1002" i="9" s="1"/>
  <c r="L1019" i="9" a="1"/>
  <c r="L1019" i="9" s="1"/>
  <c r="H1019" i="9" s="1" a="1"/>
  <c r="H1019" i="9" s="1"/>
  <c r="L1038" i="9" a="1"/>
  <c r="L1038" i="9" s="1"/>
  <c r="H1038" i="9" s="1" a="1"/>
  <c r="H1038" i="9" s="1"/>
  <c r="L1047" i="9" a="1"/>
  <c r="L1047" i="9" s="1"/>
  <c r="H1047" i="9" s="1" a="1"/>
  <c r="H1047" i="9" s="1"/>
  <c r="L1065" i="9" a="1"/>
  <c r="L1065" i="9" s="1"/>
  <c r="H1065" i="9" s="1" a="1"/>
  <c r="H1065" i="9" s="1"/>
  <c r="L1083" i="9" a="1"/>
  <c r="L1083" i="9" s="1"/>
  <c r="H1083" i="9" s="1" a="1"/>
  <c r="H1083" i="9" s="1"/>
  <c r="L1091" i="9" a="1"/>
  <c r="L1091" i="9" s="1"/>
  <c r="H1091" i="9" s="1" a="1"/>
  <c r="H1091" i="9" s="1"/>
  <c r="L1105" i="9" a="1"/>
  <c r="L1105" i="9" s="1"/>
  <c r="H1105" i="9" s="1" a="1"/>
  <c r="H1105" i="9" s="1"/>
  <c r="L1114" i="9" a="1"/>
  <c r="L1114" i="9" s="1"/>
  <c r="H1114" i="9" s="1" a="1"/>
  <c r="H1114" i="9" s="1"/>
  <c r="L1121" i="9" a="1"/>
  <c r="L1121" i="9" s="1"/>
  <c r="H1121" i="9" s="1" a="1"/>
  <c r="H1121" i="9" s="1"/>
  <c r="L1135" i="9" a="1"/>
  <c r="L1135" i="9" s="1"/>
  <c r="H1135" i="9" s="1" a="1"/>
  <c r="H1135" i="9" s="1"/>
  <c r="L1152" i="9" a="1"/>
  <c r="L1152" i="9" s="1"/>
  <c r="H1152" i="9" s="1" a="1"/>
  <c r="H1152" i="9" s="1"/>
  <c r="L1157" i="9" a="1"/>
  <c r="L1157" i="9" s="1"/>
  <c r="H1157" i="9" s="1" a="1"/>
  <c r="H1157" i="9" s="1"/>
  <c r="L1179" i="9" a="1"/>
  <c r="L1179" i="9" s="1"/>
  <c r="H1179" i="9" s="1" a="1"/>
  <c r="H1179" i="9" s="1"/>
  <c r="L1190" i="9" a="1"/>
  <c r="L1190" i="9" s="1"/>
  <c r="H1190" i="9" s="1" a="1"/>
  <c r="H1190" i="9" s="1"/>
  <c r="L1199" i="9" a="1"/>
  <c r="L1199" i="9" s="1"/>
  <c r="H1199" i="9" s="1" a="1"/>
  <c r="H1199" i="9" s="1"/>
  <c r="L1208" i="9" a="1"/>
  <c r="L1208" i="9" s="1"/>
  <c r="H1208" i="9" s="1" a="1"/>
  <c r="H1208" i="9" s="1"/>
  <c r="L1214" i="9" a="1"/>
  <c r="L1214" i="9" s="1"/>
  <c r="H1214" i="9" s="1" a="1"/>
  <c r="H1214" i="9" s="1"/>
  <c r="L1223" i="9" a="1"/>
  <c r="L1223" i="9" s="1"/>
  <c r="H1223" i="9" s="1" a="1"/>
  <c r="H1223" i="9" s="1"/>
  <c r="L1238" i="9" a="1"/>
  <c r="L1238" i="9" s="1"/>
  <c r="H1238" i="9" s="1" a="1"/>
  <c r="H1238" i="9" s="1"/>
  <c r="L1243" i="9" a="1"/>
  <c r="L1243" i="9" s="1"/>
  <c r="H1243" i="9" s="1" a="1"/>
  <c r="H1243" i="9" s="1"/>
  <c r="L1248" i="9" a="1"/>
  <c r="L1248" i="9" s="1"/>
  <c r="H1248" i="9" s="1" a="1"/>
  <c r="H1248" i="9" s="1"/>
  <c r="L1253" i="9" a="1"/>
  <c r="L1253" i="9" s="1"/>
  <c r="H1253" i="9" s="1" a="1"/>
  <c r="H1253" i="9" s="1"/>
  <c r="L1259" i="9" a="1"/>
  <c r="L1259" i="9" s="1"/>
  <c r="H1259" i="9" s="1" a="1"/>
  <c r="H1259" i="9" s="1"/>
  <c r="L1264" i="9" a="1"/>
  <c r="L1264" i="9" s="1"/>
  <c r="H1264" i="9" s="1" a="1"/>
  <c r="H1264" i="9" s="1"/>
  <c r="L1269" i="9" a="1"/>
  <c r="L1269" i="9" s="1"/>
  <c r="H1269" i="9" s="1" a="1"/>
  <c r="H1269" i="9" s="1"/>
  <c r="L1278" i="9" a="1"/>
  <c r="L1278" i="9" s="1"/>
  <c r="H1278" i="9" s="1" a="1"/>
  <c r="H1278" i="9" s="1"/>
  <c r="L1283" i="9" a="1"/>
  <c r="L1283" i="9" s="1"/>
  <c r="H1283" i="9" s="1" a="1"/>
  <c r="H1283" i="9" s="1"/>
  <c r="L1298" i="9" a="1"/>
  <c r="L1298" i="9" s="1"/>
  <c r="H1298" i="9" s="1" a="1"/>
  <c r="H1298" i="9" s="1"/>
  <c r="L1304" i="9" a="1"/>
  <c r="L1304" i="9" s="1"/>
  <c r="H1304" i="9" s="1" a="1"/>
  <c r="H1304" i="9" s="1"/>
  <c r="L1309" i="9" a="1"/>
  <c r="L1309" i="9" s="1"/>
  <c r="H1309" i="9" s="1" a="1"/>
  <c r="H1309" i="9" s="1"/>
  <c r="L1316" i="9" a="1"/>
  <c r="L1316" i="9" s="1"/>
  <c r="H1316" i="9" s="1" a="1"/>
  <c r="H1316" i="9" s="1"/>
  <c r="L1328" i="9" a="1"/>
  <c r="L1328" i="9" s="1"/>
  <c r="H1328" i="9" s="1" a="1"/>
  <c r="H1328" i="9" s="1"/>
  <c r="L1334" i="9" a="1"/>
  <c r="L1334" i="9" s="1"/>
  <c r="H1334" i="9" s="1" a="1"/>
  <c r="H1334" i="9" s="1"/>
  <c r="L1340" i="9" a="1"/>
  <c r="L1340" i="9" s="1"/>
  <c r="H1340" i="9" s="1" a="1"/>
  <c r="H1340" i="9" s="1"/>
  <c r="L1346" i="9" a="1"/>
  <c r="L1346" i="9" s="1"/>
  <c r="H1346" i="9" s="1" a="1"/>
  <c r="H1346" i="9" s="1"/>
  <c r="L1358" i="9" a="1"/>
  <c r="L1358" i="9" s="1"/>
  <c r="H1358" i="9" s="1" a="1"/>
  <c r="H1358" i="9" s="1"/>
  <c r="L1370" i="9" a="1"/>
  <c r="L1370" i="9" s="1"/>
  <c r="H1370" i="9" s="1" a="1"/>
  <c r="H1370" i="9" s="1"/>
  <c r="L1383" i="9" a="1"/>
  <c r="L1383" i="9" s="1"/>
  <c r="H1383" i="9" s="1" a="1"/>
  <c r="H1383" i="9" s="1"/>
  <c r="L1395" i="9" a="1"/>
  <c r="L1395" i="9" s="1"/>
  <c r="H1395" i="9" s="1" a="1"/>
  <c r="H1395" i="9" s="1"/>
  <c r="L1407" i="9" a="1"/>
  <c r="L1407" i="9" s="1"/>
  <c r="H1407" i="9" s="1" a="1"/>
  <c r="H1407" i="9" s="1"/>
  <c r="L1423" i="9" a="1"/>
  <c r="L1423" i="9" s="1"/>
  <c r="H1423" i="9" s="1" a="1"/>
  <c r="H1423" i="9" s="1"/>
  <c r="L1441" i="9" a="1"/>
  <c r="L1441" i="9" s="1"/>
  <c r="H1441" i="9" s="1" a="1"/>
  <c r="H1441" i="9" s="1"/>
  <c r="L1448" i="9" a="1"/>
  <c r="L1448" i="9" s="1"/>
  <c r="H1448" i="9" s="1" a="1"/>
  <c r="H1448" i="9" s="1"/>
  <c r="L1454" i="9" a="1"/>
  <c r="L1454" i="9" s="1"/>
  <c r="H1454" i="9" s="1" a="1"/>
  <c r="H1454" i="9" s="1"/>
  <c r="L1461" i="9" a="1"/>
  <c r="L1461" i="9" s="1"/>
  <c r="H1461" i="9" s="1" a="1"/>
  <c r="H1461" i="9" s="1"/>
  <c r="L1468" i="9" a="1"/>
  <c r="L1468" i="9" s="1"/>
  <c r="H1468" i="9" s="1" a="1"/>
  <c r="H1468" i="9" s="1"/>
  <c r="L1475" i="9" a="1"/>
  <c r="L1475" i="9" s="1"/>
  <c r="H1475" i="9" s="1" a="1"/>
  <c r="H1475" i="9" s="1"/>
  <c r="L1482" i="9" a="1"/>
  <c r="L1482" i="9" s="1"/>
  <c r="H1482" i="9" s="1" a="1"/>
  <c r="H1482" i="9" s="1"/>
  <c r="L1489" i="9" a="1"/>
  <c r="L1489" i="9" s="1"/>
  <c r="H1489" i="9" s="1" a="1"/>
  <c r="H1489" i="9" s="1"/>
  <c r="L1496" i="9" a="1"/>
  <c r="L1496" i="9" s="1"/>
  <c r="H1496" i="9" s="1" a="1"/>
  <c r="H1496" i="9" s="1"/>
  <c r="L1503" i="9" a="1"/>
  <c r="L1503" i="9" s="1"/>
  <c r="H1503" i="9" s="1" a="1"/>
  <c r="H1503" i="9" s="1"/>
  <c r="L1510" i="9" a="1"/>
  <c r="L1510" i="9" s="1"/>
  <c r="H1510" i="9" s="1" a="1"/>
  <c r="H1510" i="9" s="1"/>
  <c r="L1517" i="9" a="1"/>
  <c r="L1517" i="9" s="1"/>
  <c r="H1517" i="9" s="1" a="1"/>
  <c r="H1517" i="9" s="1"/>
  <c r="L1523" i="9" a="1"/>
  <c r="L1523" i="9" s="1"/>
  <c r="H1523" i="9" s="1" a="1"/>
  <c r="H1523" i="9" s="1"/>
  <c r="L1530" i="9" a="1"/>
  <c r="L1530" i="9" s="1"/>
  <c r="H1530" i="9" s="1" a="1"/>
  <c r="H1530" i="9" s="1"/>
  <c r="L1545" i="9" a="1"/>
  <c r="L1545" i="9" s="1"/>
  <c r="H1545" i="9" s="1" a="1"/>
  <c r="H1545" i="9" s="1"/>
  <c r="L1551" i="9" a="1"/>
  <c r="L1551" i="9" s="1"/>
  <c r="H1551" i="9" s="1" a="1"/>
  <c r="H1551" i="9" s="1"/>
  <c r="L1558" i="9" a="1"/>
  <c r="L1558" i="9" s="1"/>
  <c r="H1558" i="9" s="1" a="1"/>
  <c r="H1558" i="9" s="1"/>
  <c r="L1565" i="9" a="1"/>
  <c r="L1565" i="9" s="1"/>
  <c r="H1565" i="9" s="1" a="1"/>
  <c r="H1565" i="9" s="1"/>
  <c r="L1572" i="9" a="1"/>
  <c r="L1572" i="9" s="1"/>
  <c r="H1572" i="9" s="1" a="1"/>
  <c r="H1572" i="9" s="1"/>
  <c r="L1579" i="9" a="1"/>
  <c r="L1579" i="9" s="1"/>
  <c r="H1579" i="9" s="1" a="1"/>
  <c r="H1579" i="9" s="1"/>
  <c r="L1593" i="9" a="1"/>
  <c r="L1593" i="9" s="1"/>
  <c r="H1593" i="9" s="1" a="1"/>
  <c r="H1593" i="9" s="1"/>
  <c r="L1600" i="9" a="1"/>
  <c r="L1600" i="9" s="1"/>
  <c r="H1600" i="9" s="1" a="1"/>
  <c r="H1600" i="9" s="1"/>
  <c r="L1607" i="9" a="1"/>
  <c r="L1607" i="9" s="1"/>
  <c r="H1607" i="9" s="1" a="1"/>
  <c r="H1607" i="9" s="1"/>
  <c r="L1620" i="9" a="1"/>
  <c r="L1620" i="9" s="1"/>
  <c r="H1620" i="9" s="1" a="1"/>
  <c r="H1620" i="9" s="1"/>
  <c r="L1626" i="9" a="1"/>
  <c r="L1626" i="9" s="1"/>
  <c r="H1626" i="9" s="1" a="1"/>
  <c r="H1626" i="9" s="1"/>
  <c r="L1641" i="9" a="1"/>
  <c r="L1641" i="9" s="1"/>
  <c r="H1641" i="9" s="1" a="1"/>
  <c r="H1641" i="9" s="1"/>
  <c r="L1647" i="9" a="1"/>
  <c r="L1647" i="9" s="1"/>
  <c r="H1647" i="9" s="1" a="1"/>
  <c r="H1647" i="9" s="1"/>
  <c r="L1660" i="9" a="1"/>
  <c r="L1660" i="9" s="1"/>
  <c r="H1660" i="9" s="1" a="1"/>
  <c r="H1660" i="9" s="1"/>
  <c r="L1667" i="9" a="1"/>
  <c r="L1667" i="9" s="1"/>
  <c r="H1667" i="9" s="1" a="1"/>
  <c r="H1667" i="9" s="1"/>
  <c r="L1674" i="9" a="1"/>
  <c r="L1674" i="9" s="1"/>
  <c r="H1674" i="9" s="1" a="1"/>
  <c r="H1674" i="9" s="1"/>
  <c r="L1681" i="9" a="1"/>
  <c r="L1681" i="9" s="1"/>
  <c r="H1681" i="9" s="1" a="1"/>
  <c r="H1681" i="9" s="1"/>
  <c r="L1688" i="9" a="1"/>
  <c r="L1688" i="9" s="1"/>
  <c r="H1688" i="9" s="1" a="1"/>
  <c r="H1688" i="9" s="1"/>
  <c r="L1695" i="9" a="1"/>
  <c r="L1695" i="9" s="1"/>
  <c r="H1695" i="9" s="1" a="1"/>
  <c r="H1695" i="9" s="1"/>
  <c r="L1702" i="9" a="1"/>
  <c r="L1702" i="9" s="1"/>
  <c r="H1702" i="9" s="1" a="1"/>
  <c r="H1702" i="9" s="1"/>
  <c r="L1714" i="9" a="1"/>
  <c r="L1714" i="9" s="1"/>
  <c r="H1714" i="9" s="1" a="1"/>
  <c r="H1714" i="9" s="1"/>
  <c r="L1726" i="9" a="1"/>
  <c r="L1726" i="9" s="1"/>
  <c r="H1726" i="9" s="1" a="1"/>
  <c r="H1726" i="9" s="1"/>
  <c r="L1733" i="9" a="1"/>
  <c r="L1733" i="9" s="1"/>
  <c r="H1733" i="9" s="1" a="1"/>
  <c r="H1733" i="9" s="1"/>
  <c r="L1740" i="9" a="1"/>
  <c r="L1740" i="9" s="1"/>
  <c r="H1740" i="9" s="1" a="1"/>
  <c r="H1740" i="9" s="1"/>
  <c r="L1747" i="9" a="1"/>
  <c r="L1747" i="9" s="1"/>
  <c r="H1747" i="9" s="1" a="1"/>
  <c r="H1747" i="9" s="1"/>
  <c r="L1754" i="9" a="1"/>
  <c r="L1754" i="9" s="1"/>
  <c r="H1754" i="9" s="1" a="1"/>
  <c r="H1754" i="9" s="1"/>
  <c r="L18" i="9" a="1"/>
  <c r="L18" i="9" s="1"/>
  <c r="H18" i="9" s="1" a="1"/>
  <c r="H18" i="9" s="1"/>
  <c r="L65" i="9" a="1"/>
  <c r="L65" i="9" s="1"/>
  <c r="H65" i="9" s="1" a="1"/>
  <c r="H65" i="9" s="1"/>
  <c r="L88" i="9" a="1"/>
  <c r="L88" i="9" s="1"/>
  <c r="H88" i="9" s="1" a="1"/>
  <c r="H88" i="9" s="1"/>
  <c r="L103" i="9" a="1"/>
  <c r="L103" i="9" s="1"/>
  <c r="H103" i="9" s="1" a="1"/>
  <c r="H103" i="9" s="1"/>
  <c r="L117" i="9" a="1"/>
  <c r="L117" i="9" s="1"/>
  <c r="H117" i="9" s="1" a="1"/>
  <c r="H117" i="9" s="1"/>
  <c r="L141" i="9" a="1"/>
  <c r="L141" i="9" s="1"/>
  <c r="H141" i="9" s="1" a="1"/>
  <c r="H141" i="9" s="1"/>
  <c r="L154" i="9" a="1"/>
  <c r="L154" i="9" s="1"/>
  <c r="H154" i="9" s="1" a="1"/>
  <c r="H154" i="9" s="1"/>
  <c r="L166" i="9" a="1"/>
  <c r="L166" i="9" s="1"/>
  <c r="H166" i="9" s="1" a="1"/>
  <c r="H166" i="9" s="1"/>
  <c r="L178" i="9" a="1"/>
  <c r="L178" i="9" s="1"/>
  <c r="H178" i="9" s="1" a="1"/>
  <c r="H178" i="9" s="1"/>
  <c r="L191" i="9" a="1"/>
  <c r="L191" i="9" s="1"/>
  <c r="H191" i="9" s="1" a="1"/>
  <c r="H191" i="9" s="1"/>
  <c r="L202" i="9" a="1"/>
  <c r="L202" i="9" s="1"/>
  <c r="H202" i="9" s="1" a="1"/>
  <c r="H202" i="9" s="1"/>
  <c r="L216" i="9" a="1"/>
  <c r="L216" i="9" s="1"/>
  <c r="H216" i="9" s="1" a="1"/>
  <c r="H216" i="9" s="1"/>
  <c r="L239" i="9" a="1"/>
  <c r="L239" i="9" s="1"/>
  <c r="H239" i="9" s="1" a="1"/>
  <c r="H239" i="9" s="1"/>
  <c r="L252" i="9" a="1"/>
  <c r="L252" i="9" s="1"/>
  <c r="H252" i="9" s="1" a="1"/>
  <c r="H252" i="9" s="1"/>
  <c r="L263" i="9" a="1"/>
  <c r="L263" i="9" s="1"/>
  <c r="H263" i="9" s="1" a="1"/>
  <c r="H263" i="9" s="1"/>
  <c r="L275" i="9" a="1"/>
  <c r="L275" i="9" s="1"/>
  <c r="H275" i="9" s="1" a="1"/>
  <c r="H275" i="9" s="1"/>
  <c r="L286" i="9" a="1"/>
  <c r="L286" i="9" s="1"/>
  <c r="H286" i="9" s="1" a="1"/>
  <c r="H286" i="9" s="1"/>
  <c r="L310" i="9" a="1"/>
  <c r="L310" i="9" s="1"/>
  <c r="H310" i="9" s="1" a="1"/>
  <c r="H310" i="9" s="1"/>
  <c r="L323" i="9" a="1"/>
  <c r="L323" i="9" s="1"/>
  <c r="H323" i="9" s="1" a="1"/>
  <c r="H323" i="9" s="1"/>
  <c r="L336" i="9" a="1"/>
  <c r="L336" i="9" s="1"/>
  <c r="H336" i="9" s="1" a="1"/>
  <c r="H336" i="9" s="1"/>
  <c r="L349" i="9" a="1"/>
  <c r="L349" i="9" s="1"/>
  <c r="H349" i="9" s="1" a="1"/>
  <c r="H349" i="9" s="1"/>
  <c r="L363" i="9" a="1"/>
  <c r="L363" i="9" s="1"/>
  <c r="H363" i="9" s="1" a="1"/>
  <c r="H363" i="9" s="1"/>
  <c r="L376" i="9" a="1"/>
  <c r="L376" i="9" s="1"/>
  <c r="H376" i="9" s="1" a="1"/>
  <c r="H376" i="9" s="1"/>
  <c r="L392" i="9" a="1"/>
  <c r="L392" i="9" s="1"/>
  <c r="H392" i="9" s="1" a="1"/>
  <c r="H392" i="9" s="1"/>
  <c r="L406" i="9" a="1"/>
  <c r="L406" i="9" s="1"/>
  <c r="H406" i="9" s="1" a="1"/>
  <c r="H406" i="9" s="1"/>
  <c r="L421" i="9" a="1"/>
  <c r="L421" i="9" s="1"/>
  <c r="H421" i="9" s="1" a="1"/>
  <c r="H421" i="9" s="1"/>
  <c r="L435" i="9" a="1"/>
  <c r="L435" i="9" s="1"/>
  <c r="H435" i="9" s="1" a="1"/>
  <c r="H435" i="9" s="1"/>
  <c r="L450" i="9" a="1"/>
  <c r="L450" i="9" s="1"/>
  <c r="H450" i="9" s="1" a="1"/>
  <c r="H450" i="9" s="1"/>
  <c r="L479" i="9" a="1"/>
  <c r="L479" i="9" s="1"/>
  <c r="H479" i="9" s="1" a="1"/>
  <c r="H479" i="9" s="1"/>
  <c r="L494" i="9" a="1"/>
  <c r="L494" i="9" s="1"/>
  <c r="H494" i="9" s="1" a="1"/>
  <c r="H494" i="9" s="1"/>
  <c r="L508" i="9" a="1"/>
  <c r="L508" i="9" s="1"/>
  <c r="H508" i="9" s="1" a="1"/>
  <c r="H508" i="9" s="1"/>
  <c r="L522" i="9" a="1"/>
  <c r="L522" i="9" s="1"/>
  <c r="H522" i="9" s="1" a="1"/>
  <c r="H522" i="9" s="1"/>
  <c r="L534" i="9" a="1"/>
  <c r="L534" i="9" s="1"/>
  <c r="H534" i="9" s="1" a="1"/>
  <c r="H534" i="9" s="1"/>
  <c r="L545" i="9" a="1"/>
  <c r="L545" i="9" s="1"/>
  <c r="H545" i="9" s="1" a="1"/>
  <c r="H545" i="9" s="1"/>
  <c r="L557" i="9" a="1"/>
  <c r="L557" i="9" s="1"/>
  <c r="H557" i="9" s="1" a="1"/>
  <c r="H557" i="9" s="1"/>
  <c r="L570" i="9" a="1"/>
  <c r="L570" i="9" s="1"/>
  <c r="H570" i="9" s="1" a="1"/>
  <c r="H570" i="9" s="1"/>
  <c r="L580" i="9" a="1"/>
  <c r="L580" i="9" s="1"/>
  <c r="H580" i="9" s="1" a="1"/>
  <c r="H580" i="9" s="1"/>
  <c r="L592" i="9" a="1"/>
  <c r="L592" i="9" s="1"/>
  <c r="H592" i="9" s="1" a="1"/>
  <c r="H592" i="9" s="1"/>
  <c r="L615" i="9" a="1"/>
  <c r="L615" i="9" s="1"/>
  <c r="H615" i="9" s="1" a="1"/>
  <c r="H615" i="9" s="1"/>
  <c r="L626" i="9" a="1"/>
  <c r="L626" i="9" s="1"/>
  <c r="H626" i="9" s="1" a="1"/>
  <c r="H626" i="9" s="1"/>
  <c r="L637" i="9" a="1"/>
  <c r="L637" i="9" s="1"/>
  <c r="H637" i="9" s="1" a="1"/>
  <c r="H637" i="9" s="1"/>
  <c r="L651" i="9" a="1"/>
  <c r="L651" i="9" s="1"/>
  <c r="H651" i="9" s="1" a="1"/>
  <c r="H651" i="9" s="1"/>
  <c r="L661" i="9" a="1"/>
  <c r="L661" i="9" s="1"/>
  <c r="H661" i="9" s="1" a="1"/>
  <c r="H661" i="9" s="1"/>
  <c r="L673" i="9" a="1"/>
  <c r="L673" i="9" s="1"/>
  <c r="H673" i="9" s="1" a="1"/>
  <c r="H673" i="9" s="1"/>
  <c r="L696" i="9" a="1"/>
  <c r="L696" i="9" s="1"/>
  <c r="H696" i="9" s="1" a="1"/>
  <c r="H696" i="9" s="1"/>
  <c r="L709" i="9" a="1"/>
  <c r="L709" i="9" s="1"/>
  <c r="H709" i="9" s="1" a="1"/>
  <c r="H709" i="9" s="1"/>
  <c r="L719" i="9" a="1"/>
  <c r="L719" i="9" s="1"/>
  <c r="H719" i="9" s="1" a="1"/>
  <c r="H719" i="9" s="1"/>
  <c r="L744" i="9" a="1"/>
  <c r="L744" i="9" s="1"/>
  <c r="H744" i="9" s="1" a="1"/>
  <c r="H744" i="9" s="1"/>
  <c r="L754" i="9" a="1"/>
  <c r="L754" i="9" s="1"/>
  <c r="H754" i="9" s="1" a="1"/>
  <c r="H754" i="9" s="1"/>
  <c r="L767" i="9" a="1"/>
  <c r="L767" i="9" s="1"/>
  <c r="H767" i="9" s="1" a="1"/>
  <c r="H767" i="9" s="1"/>
  <c r="L779" i="9" a="1"/>
  <c r="L779" i="9" s="1"/>
  <c r="H779" i="9" s="1" a="1"/>
  <c r="H779" i="9" s="1"/>
  <c r="L790" i="9" a="1"/>
  <c r="L790" i="9" s="1"/>
  <c r="H790" i="9" s="1" a="1"/>
  <c r="H790" i="9" s="1"/>
  <c r="L802" i="9" a="1"/>
  <c r="L802" i="9" s="1"/>
  <c r="H802" i="9" s="1" a="1"/>
  <c r="H802" i="9" s="1"/>
  <c r="L826" i="9" a="1"/>
  <c r="L826" i="9" s="1"/>
  <c r="H826" i="9" s="1" a="1"/>
  <c r="H826" i="9" s="1"/>
  <c r="L836" i="9" a="1"/>
  <c r="L836" i="9" s="1"/>
  <c r="H836" i="9" s="1" a="1"/>
  <c r="H836" i="9" s="1"/>
  <c r="L845" i="9" a="1"/>
  <c r="L845" i="9" s="1"/>
  <c r="H845" i="9" s="1" a="1"/>
  <c r="H845" i="9" s="1"/>
  <c r="L864" i="9" a="1"/>
  <c r="L864" i="9" s="1"/>
  <c r="H864" i="9" s="1" a="1"/>
  <c r="H864" i="9" s="1"/>
  <c r="L883" i="9" a="1"/>
  <c r="L883" i="9" s="1"/>
  <c r="H883" i="9" s="1" a="1"/>
  <c r="H883" i="9" s="1"/>
  <c r="L902" i="9" a="1"/>
  <c r="L902" i="9" s="1"/>
  <c r="H902" i="9" s="1" a="1"/>
  <c r="H902" i="9" s="1"/>
  <c r="L911" i="9" a="1"/>
  <c r="L911" i="9" s="1"/>
  <c r="H911" i="9" s="1" a="1"/>
  <c r="H911" i="9" s="1"/>
  <c r="L921" i="9" a="1"/>
  <c r="L921" i="9" s="1"/>
  <c r="H921" i="9" s="1" a="1"/>
  <c r="H921" i="9" s="1"/>
  <c r="L929" i="9" a="1"/>
  <c r="L929" i="9" s="1"/>
  <c r="H929" i="9" s="1" a="1"/>
  <c r="H929" i="9" s="1"/>
  <c r="L939" i="9" a="1"/>
  <c r="L939" i="9" s="1"/>
  <c r="H939" i="9" s="1" a="1"/>
  <c r="H939" i="9" s="1"/>
  <c r="L948" i="9" a="1"/>
  <c r="L948" i="9" s="1"/>
  <c r="H948" i="9" s="1" a="1"/>
  <c r="H948" i="9" s="1"/>
  <c r="L956" i="9" a="1"/>
  <c r="L956" i="9" s="1"/>
  <c r="H956" i="9" s="1" a="1"/>
  <c r="H956" i="9" s="1"/>
  <c r="L975" i="9" a="1"/>
  <c r="L975" i="9" s="1"/>
  <c r="H975" i="9" s="1" a="1"/>
  <c r="H975" i="9" s="1"/>
  <c r="L984" i="9" a="1"/>
  <c r="L984" i="9" s="1"/>
  <c r="H984" i="9" s="1" a="1"/>
  <c r="H984" i="9" s="1"/>
  <c r="L993" i="9" a="1"/>
  <c r="L993" i="9" s="1"/>
  <c r="H993" i="9" s="1" a="1"/>
  <c r="H993" i="9" s="1"/>
  <c r="L1020" i="9" a="1"/>
  <c r="L1020" i="9" s="1"/>
  <c r="H1020" i="9" s="1" a="1"/>
  <c r="H1020" i="9" s="1"/>
  <c r="L1029" i="9" a="1"/>
  <c r="L1029" i="9" s="1"/>
  <c r="H1029" i="9" s="1" a="1"/>
  <c r="H1029" i="9" s="1"/>
  <c r="L1039" i="9" a="1"/>
  <c r="L1039" i="9" s="1"/>
  <c r="H1039" i="9" s="1" a="1"/>
  <c r="H1039" i="9" s="1"/>
  <c r="L1048" i="9" a="1"/>
  <c r="L1048" i="9" s="1"/>
  <c r="H1048" i="9" s="1" a="1"/>
  <c r="H1048" i="9" s="1"/>
  <c r="L1058" i="9" a="1"/>
  <c r="L1058" i="9" s="1"/>
  <c r="H1058" i="9" s="1" a="1"/>
  <c r="H1058" i="9" s="1"/>
  <c r="L1075" i="9" a="1"/>
  <c r="L1075" i="9" s="1"/>
  <c r="H1075" i="9" s="1" a="1"/>
  <c r="H1075" i="9" s="1"/>
  <c r="L1084" i="9" a="1"/>
  <c r="L1084" i="9" s="1"/>
  <c r="H1084" i="9" s="1" a="1"/>
  <c r="H1084" i="9" s="1"/>
  <c r="L1129" i="9" a="1"/>
  <c r="L1129" i="9" s="1"/>
  <c r="H1129" i="9" s="1" a="1"/>
  <c r="H1129" i="9" s="1"/>
  <c r="L1136" i="9" a="1"/>
  <c r="L1136" i="9" s="1"/>
  <c r="H1136" i="9" s="1" a="1"/>
  <c r="H1136" i="9" s="1"/>
  <c r="L1141" i="9" a="1"/>
  <c r="L1141" i="9" s="1"/>
  <c r="H1141" i="9" s="1" a="1"/>
  <c r="H1141" i="9" s="1"/>
  <c r="L1147" i="9" a="1"/>
  <c r="L1147" i="9" s="1"/>
  <c r="H1147" i="9" s="1" a="1"/>
  <c r="H1147" i="9" s="1"/>
  <c r="L1158" i="9" a="1"/>
  <c r="L1158" i="9" s="1"/>
  <c r="H1158" i="9" s="1" a="1"/>
  <c r="H1158" i="9" s="1"/>
  <c r="L1163" i="9" a="1"/>
  <c r="L1163" i="9" s="1"/>
  <c r="H1163" i="9" s="1" a="1"/>
  <c r="H1163" i="9" s="1"/>
  <c r="L1168" i="9" a="1"/>
  <c r="L1168" i="9" s="1"/>
  <c r="H1168" i="9" s="1" a="1"/>
  <c r="H1168" i="9" s="1"/>
  <c r="L1174" i="9" a="1"/>
  <c r="L1174" i="9" s="1"/>
  <c r="H1174" i="9" s="1" a="1"/>
  <c r="H1174" i="9" s="1"/>
  <c r="L1185" i="9" a="1"/>
  <c r="L1185" i="9" s="1"/>
  <c r="H1185" i="9" s="1" a="1"/>
  <c r="H1185" i="9" s="1"/>
  <c r="L1195" i="9" a="1"/>
  <c r="L1195" i="9" s="1"/>
  <c r="H1195" i="9" s="1" a="1"/>
  <c r="H1195" i="9" s="1"/>
  <c r="L1204" i="9" a="1"/>
  <c r="L1204" i="9" s="1"/>
  <c r="H1204" i="9" s="1" a="1"/>
  <c r="H1204" i="9" s="1"/>
  <c r="L1209" i="9" a="1"/>
  <c r="L1209" i="9" s="1"/>
  <c r="H1209" i="9" s="1" a="1"/>
  <c r="H1209" i="9" s="1"/>
  <c r="L1219" i="9" a="1"/>
  <c r="L1219" i="9" s="1"/>
  <c r="H1219" i="9" s="1" a="1"/>
  <c r="H1219" i="9" s="1"/>
  <c r="L1228" i="9" a="1"/>
  <c r="L1228" i="9" s="1"/>
  <c r="H1228" i="9" s="1" a="1"/>
  <c r="H1228" i="9" s="1"/>
  <c r="L1233" i="9" a="1"/>
  <c r="L1233" i="9" s="1"/>
  <c r="H1233" i="9" s="1" a="1"/>
  <c r="H1233" i="9" s="1"/>
  <c r="L1249" i="9" a="1"/>
  <c r="L1249" i="9" s="1"/>
  <c r="H1249" i="9" s="1" a="1"/>
  <c r="H1249" i="9" s="1"/>
  <c r="L1254" i="9" a="1"/>
  <c r="L1254" i="9" s="1"/>
  <c r="H1254" i="9" s="1" a="1"/>
  <c r="H1254" i="9" s="1"/>
  <c r="L1274" i="9" a="1"/>
  <c r="L1274" i="9" s="1"/>
  <c r="H1274" i="9" s="1" a="1"/>
  <c r="H1274" i="9" s="1"/>
  <c r="L1279" i="9" a="1"/>
  <c r="L1279" i="9" s="1"/>
  <c r="H1279" i="9" s="1" a="1"/>
  <c r="H1279" i="9" s="1"/>
  <c r="L1288" i="9" a="1"/>
  <c r="L1288" i="9" s="1"/>
  <c r="H1288" i="9" s="1" a="1"/>
  <c r="H1288" i="9" s="1"/>
  <c r="L1293" i="9" a="1"/>
  <c r="L1293" i="9" s="1"/>
  <c r="H1293" i="9" s="1" a="1"/>
  <c r="H1293" i="9" s="1"/>
  <c r="L1299" i="9" a="1"/>
  <c r="L1299" i="9" s="1"/>
  <c r="H1299" i="9" s="1" a="1"/>
  <c r="H1299" i="9" s="1"/>
  <c r="L1310" i="9" a="1"/>
  <c r="L1310" i="9" s="1"/>
  <c r="H1310" i="9" s="1" a="1"/>
  <c r="H1310" i="9" s="1"/>
  <c r="L1322" i="9" a="1"/>
  <c r="L1322" i="9" s="1"/>
  <c r="H1322" i="9" s="1" a="1"/>
  <c r="H1322" i="9" s="1"/>
  <c r="L1335" i="9" a="1"/>
  <c r="L1335" i="9" s="1"/>
  <c r="H1335" i="9" s="1" a="1"/>
  <c r="H1335" i="9" s="1"/>
  <c r="L1347" i="9" a="1"/>
  <c r="L1347" i="9" s="1"/>
  <c r="H1347" i="9" s="1" a="1"/>
  <c r="H1347" i="9" s="1"/>
  <c r="L1353" i="9" a="1"/>
  <c r="L1353" i="9" s="1"/>
  <c r="H1353" i="9" s="1" a="1"/>
  <c r="H1353" i="9" s="1"/>
  <c r="L1359" i="9" a="1"/>
  <c r="L1359" i="9" s="1"/>
  <c r="H1359" i="9" s="1" a="1"/>
  <c r="H1359" i="9" s="1"/>
  <c r="L1365" i="9" a="1"/>
  <c r="L1365" i="9" s="1"/>
  <c r="H1365" i="9" s="1" a="1"/>
  <c r="H1365" i="9" s="1"/>
  <c r="L1371" i="9" a="1"/>
  <c r="L1371" i="9" s="1"/>
  <c r="H1371" i="9" s="1" a="1"/>
  <c r="H1371" i="9" s="1"/>
  <c r="L1377" i="9" a="1"/>
  <c r="L1377" i="9" s="1"/>
  <c r="H1377" i="9" s="1" a="1"/>
  <c r="H1377" i="9" s="1"/>
  <c r="L1384" i="9" a="1"/>
  <c r="L1384" i="9" s="1"/>
  <c r="H1384" i="9" s="1" a="1"/>
  <c r="H1384" i="9" s="1"/>
  <c r="L1389" i="9" a="1"/>
  <c r="L1389" i="9" s="1"/>
  <c r="H1389" i="9" s="1" a="1"/>
  <c r="H1389" i="9" s="1"/>
  <c r="L1396" i="9" a="1"/>
  <c r="L1396" i="9" s="1"/>
  <c r="H1396" i="9" s="1" a="1"/>
  <c r="H1396" i="9" s="1"/>
  <c r="L1402" i="9" a="1"/>
  <c r="L1402" i="9" s="1"/>
  <c r="H1402" i="9" s="1" a="1"/>
  <c r="H1402" i="9" s="1"/>
  <c r="L1408" i="9" a="1"/>
  <c r="L1408" i="9" s="1"/>
  <c r="H1408" i="9" s="1" a="1"/>
  <c r="H1408" i="9" s="1"/>
  <c r="L1413" i="9" a="1"/>
  <c r="L1413" i="9" s="1"/>
  <c r="H1413" i="9" s="1" a="1"/>
  <c r="H1413" i="9" s="1"/>
  <c r="L1418" i="9" a="1"/>
  <c r="L1418" i="9" s="1"/>
  <c r="H1418" i="9" s="1" a="1"/>
  <c r="H1418" i="9" s="1"/>
  <c r="L1424" i="9" a="1"/>
  <c r="L1424" i="9" s="1"/>
  <c r="H1424" i="9" s="1" a="1"/>
  <c r="H1424" i="9" s="1"/>
  <c r="L1429" i="9" a="1"/>
  <c r="L1429" i="9" s="1"/>
  <c r="H1429" i="9" s="1" a="1"/>
  <c r="H1429" i="9" s="1"/>
  <c r="L1434" i="9" a="1"/>
  <c r="L1434" i="9" s="1"/>
  <c r="H1434" i="9" s="1" a="1"/>
  <c r="H1434" i="9" s="1"/>
  <c r="L1449" i="9" a="1"/>
  <c r="L1449" i="9" s="1"/>
  <c r="H1449" i="9" s="1" a="1"/>
  <c r="H1449" i="9" s="1"/>
  <c r="L1455" i="9" a="1"/>
  <c r="L1455" i="9" s="1"/>
  <c r="H1455" i="9" s="1" a="1"/>
  <c r="H1455" i="9" s="1"/>
  <c r="L1462" i="9" a="1"/>
  <c r="L1462" i="9" s="1"/>
  <c r="H1462" i="9" s="1" a="1"/>
  <c r="H1462" i="9" s="1"/>
  <c r="L1469" i="9" a="1"/>
  <c r="L1469" i="9" s="1"/>
  <c r="H1469" i="9" s="1" a="1"/>
  <c r="H1469" i="9" s="1"/>
  <c r="L1476" i="9" a="1"/>
  <c r="L1476" i="9" s="1"/>
  <c r="H1476" i="9" s="1" a="1"/>
  <c r="H1476" i="9" s="1"/>
  <c r="L1483" i="9" a="1"/>
  <c r="L1483" i="9" s="1"/>
  <c r="H1483" i="9" s="1" a="1"/>
  <c r="H1483" i="9" s="1"/>
  <c r="L1497" i="9" a="1"/>
  <c r="L1497" i="9" s="1"/>
  <c r="H1497" i="9" s="1" a="1"/>
  <c r="H1497" i="9" s="1"/>
  <c r="L1504" i="9" a="1"/>
  <c r="L1504" i="9" s="1"/>
  <c r="H1504" i="9" s="1" a="1"/>
  <c r="H1504" i="9" s="1"/>
  <c r="L1511" i="9" a="1"/>
  <c r="L1511" i="9" s="1"/>
  <c r="H1511" i="9" s="1" a="1"/>
  <c r="H1511" i="9" s="1"/>
  <c r="L1524" i="9" a="1"/>
  <c r="L1524" i="9" s="1"/>
  <c r="H1524" i="9" s="1" a="1"/>
  <c r="H1524" i="9" s="1"/>
  <c r="L1531" i="9" a="1"/>
  <c r="L1531" i="9" s="1"/>
  <c r="H1531" i="9" s="1" a="1"/>
  <c r="H1531" i="9" s="1"/>
  <c r="L1538" i="9" a="1"/>
  <c r="L1538" i="9" s="1"/>
  <c r="H1538" i="9" s="1" a="1"/>
  <c r="H1538" i="9" s="1"/>
  <c r="L1552" i="9" a="1"/>
  <c r="L1552" i="9" s="1"/>
  <c r="H1552" i="9" s="1" a="1"/>
  <c r="H1552" i="9" s="1"/>
  <c r="L1559" i="9" a="1"/>
  <c r="L1559" i="9" s="1"/>
  <c r="H1559" i="9" s="1" a="1"/>
  <c r="H1559" i="9" s="1"/>
  <c r="L1566" i="9" a="1"/>
  <c r="L1566" i="9" s="1"/>
  <c r="H1566" i="9" s="1" a="1"/>
  <c r="H1566" i="9" s="1"/>
  <c r="L1573" i="9" a="1"/>
  <c r="L1573" i="9" s="1"/>
  <c r="H1573" i="9" s="1" a="1"/>
  <c r="H1573" i="9" s="1"/>
  <c r="L1580" i="9" a="1"/>
  <c r="L1580" i="9" s="1"/>
  <c r="H1580" i="9" s="1" a="1"/>
  <c r="H1580" i="9" s="1"/>
  <c r="L1586" i="9" a="1"/>
  <c r="L1586" i="9" s="1"/>
  <c r="H1586" i="9" s="1" a="1"/>
  <c r="H1586" i="9" s="1"/>
  <c r="L1601" i="9" a="1"/>
  <c r="L1601" i="9" s="1"/>
  <c r="H1601" i="9" s="1" a="1"/>
  <c r="H1601" i="9" s="1"/>
  <c r="L1608" i="9" a="1"/>
  <c r="L1608" i="9" s="1"/>
  <c r="H1608" i="9" s="1" a="1"/>
  <c r="H1608" i="9" s="1"/>
  <c r="L1614" i="9" a="1"/>
  <c r="L1614" i="9" s="1"/>
  <c r="H1614" i="9" s="1" a="1"/>
  <c r="H1614" i="9" s="1"/>
  <c r="L1621" i="9" a="1"/>
  <c r="L1621" i="9" s="1"/>
  <c r="H1621" i="9" s="1" a="1"/>
  <c r="H1621" i="9" s="1"/>
  <c r="L1627" i="9" a="1"/>
  <c r="L1627" i="9" s="1"/>
  <c r="H1627" i="9" s="1" a="1"/>
  <c r="H1627" i="9" s="1"/>
  <c r="L1634" i="9" a="1"/>
  <c r="L1634" i="9" s="1"/>
  <c r="H1634" i="9" s="1" a="1"/>
  <c r="H1634" i="9" s="1"/>
  <c r="L1648" i="9" a="1"/>
  <c r="L1648" i="9" s="1"/>
  <c r="H1648" i="9" s="1" a="1"/>
  <c r="H1648" i="9" s="1"/>
  <c r="L1654" i="9" a="1"/>
  <c r="L1654" i="9" s="1"/>
  <c r="H1654" i="9" s="1" a="1"/>
  <c r="H1654" i="9" s="1"/>
  <c r="L1661" i="9" a="1"/>
  <c r="L1661" i="9" s="1"/>
  <c r="H1661" i="9" s="1" a="1"/>
  <c r="H1661" i="9" s="1"/>
  <c r="L1668" i="9" a="1"/>
  <c r="L1668" i="9" s="1"/>
  <c r="H1668" i="9" s="1" a="1"/>
  <c r="H1668" i="9" s="1"/>
  <c r="L1675" i="9" a="1"/>
  <c r="L1675" i="9" s="1"/>
  <c r="H1675" i="9" s="1" a="1"/>
  <c r="H1675" i="9" s="1"/>
  <c r="L1682" i="9" a="1"/>
  <c r="L1682" i="9" s="1"/>
  <c r="H1682" i="9" s="1" a="1"/>
  <c r="H1682" i="9" s="1"/>
  <c r="L1689" i="9" a="1"/>
  <c r="L1689" i="9" s="1"/>
  <c r="H1689" i="9" s="1" a="1"/>
  <c r="H1689" i="9" s="1"/>
  <c r="L1696" i="9" a="1"/>
  <c r="L1696" i="9" s="1"/>
  <c r="H1696" i="9" s="1" a="1"/>
  <c r="H1696" i="9" s="1"/>
  <c r="L1703" i="9" a="1"/>
  <c r="L1703" i="9" s="1"/>
  <c r="H1703" i="9" s="1" a="1"/>
  <c r="H1703" i="9" s="1"/>
  <c r="L1709" i="9" a="1"/>
  <c r="L1709" i="9" s="1"/>
  <c r="H1709" i="9" s="1" a="1"/>
  <c r="H1709" i="9" s="1"/>
  <c r="L1715" i="9" a="1"/>
  <c r="L1715" i="9" s="1"/>
  <c r="H1715" i="9" s="1" a="1"/>
  <c r="H1715" i="9" s="1"/>
  <c r="L1721" i="9" a="1"/>
  <c r="L1721" i="9" s="1"/>
  <c r="H1721" i="9" s="1" a="1"/>
  <c r="H1721" i="9" s="1"/>
  <c r="L1727" i="9" a="1"/>
  <c r="L1727" i="9" s="1"/>
  <c r="H1727" i="9" s="1" a="1"/>
  <c r="H1727" i="9" s="1"/>
  <c r="L1734" i="9" a="1"/>
  <c r="L1734" i="9" s="1"/>
  <c r="H1734" i="9" s="1" a="1"/>
  <c r="H1734" i="9" s="1"/>
  <c r="L1741" i="9" a="1"/>
  <c r="L1741" i="9" s="1"/>
  <c r="H1741" i="9" s="1" a="1"/>
  <c r="H1741" i="9" s="1"/>
  <c r="L1748" i="9" a="1"/>
  <c r="L1748" i="9" s="1"/>
  <c r="H1748" i="9" s="1" a="1"/>
  <c r="H1748" i="9" s="1"/>
  <c r="L1755" i="9" a="1"/>
  <c r="L1755" i="9" s="1"/>
  <c r="H1755" i="9" s="1" a="1"/>
  <c r="H1755" i="9" s="1"/>
  <c r="L49" i="9" a="1"/>
  <c r="L49" i="9" s="1"/>
  <c r="H49" i="9" s="1" a="1"/>
  <c r="H49" i="9" s="1"/>
  <c r="L70" i="9" a="1"/>
  <c r="L70" i="9" s="1"/>
  <c r="H70" i="9" s="1" a="1"/>
  <c r="H70" i="9" s="1"/>
  <c r="L93" i="9" a="1"/>
  <c r="L93" i="9" s="1"/>
  <c r="H93" i="9" s="1" a="1"/>
  <c r="H93" i="9" s="1"/>
  <c r="L106" i="9" a="1"/>
  <c r="L106" i="9" s="1"/>
  <c r="H106" i="9" s="1" a="1"/>
  <c r="H106" i="9" s="1"/>
  <c r="L132" i="9" a="1"/>
  <c r="L132" i="9" s="1"/>
  <c r="H132" i="9" s="1" a="1"/>
  <c r="H132" i="9" s="1"/>
  <c r="L144" i="9" a="1"/>
  <c r="L144" i="9" s="1"/>
  <c r="H144" i="9" s="1" a="1"/>
  <c r="H144" i="9" s="1"/>
  <c r="L157" i="9" a="1"/>
  <c r="L157" i="9" s="1"/>
  <c r="H157" i="9" s="1" a="1"/>
  <c r="H157" i="9" s="1"/>
  <c r="L169" i="9" a="1"/>
  <c r="L169" i="9" s="1"/>
  <c r="H169" i="9" s="1" a="1"/>
  <c r="H169" i="9" s="1"/>
  <c r="L206" i="9" a="1"/>
  <c r="L206" i="9" s="1"/>
  <c r="H206" i="9" s="1" a="1"/>
  <c r="H206" i="9" s="1"/>
  <c r="L219" i="9" a="1"/>
  <c r="L219" i="9" s="1"/>
  <c r="H219" i="9" s="1" a="1"/>
  <c r="H219" i="9" s="1"/>
  <c r="L254" i="9" a="1"/>
  <c r="L254" i="9" s="1"/>
  <c r="H254" i="9" s="1" a="1"/>
  <c r="H254" i="9" s="1"/>
  <c r="L266" i="9" a="1"/>
  <c r="L266" i="9" s="1"/>
  <c r="H266" i="9" s="1" a="1"/>
  <c r="H266" i="9" s="1"/>
  <c r="L278" i="9" a="1"/>
  <c r="L278" i="9" s="1"/>
  <c r="H278" i="9" s="1" a="1"/>
  <c r="H278" i="9" s="1"/>
  <c r="L289" i="9" a="1"/>
  <c r="L289" i="9" s="1"/>
  <c r="H289" i="9" s="1" a="1"/>
  <c r="H289" i="9" s="1"/>
  <c r="L302" i="9" a="1"/>
  <c r="L302" i="9" s="1"/>
  <c r="H302" i="9" s="1" a="1"/>
  <c r="H302" i="9" s="1"/>
  <c r="L339" i="9" a="1"/>
  <c r="L339" i="9" s="1"/>
  <c r="H339" i="9" s="1" a="1"/>
  <c r="H339" i="9" s="1"/>
  <c r="L352" i="9" a="1"/>
  <c r="L352" i="9" s="1"/>
  <c r="H352" i="9" s="1" a="1"/>
  <c r="H352" i="9" s="1"/>
  <c r="L366" i="9" a="1"/>
  <c r="L366" i="9" s="1"/>
  <c r="H366" i="9" s="1" a="1"/>
  <c r="H366" i="9" s="1"/>
  <c r="L380" i="9" a="1"/>
  <c r="L380" i="9" s="1"/>
  <c r="H380" i="9" s="1" a="1"/>
  <c r="H380" i="9" s="1"/>
  <c r="L409" i="9" a="1"/>
  <c r="L409" i="9" s="1"/>
  <c r="H409" i="9" s="1" a="1"/>
  <c r="H409" i="9" s="1"/>
  <c r="L425" i="9" a="1"/>
  <c r="L425" i="9" s="1"/>
  <c r="H425" i="9" s="1" a="1"/>
  <c r="H425" i="9" s="1"/>
  <c r="L439" i="9" a="1"/>
  <c r="L439" i="9" s="1"/>
  <c r="H439" i="9" s="1" a="1"/>
  <c r="H439" i="9" s="1"/>
  <c r="L454" i="9" a="1"/>
  <c r="L454" i="9" s="1"/>
  <c r="H454" i="9" s="1" a="1"/>
  <c r="H454" i="9" s="1"/>
  <c r="L468" i="9" a="1"/>
  <c r="L468" i="9" s="1"/>
  <c r="H468" i="9" s="1" a="1"/>
  <c r="H468" i="9" s="1"/>
  <c r="L483" i="9" a="1"/>
  <c r="L483" i="9" s="1"/>
  <c r="H483" i="9" s="1" a="1"/>
  <c r="H483" i="9" s="1"/>
  <c r="L497" i="9" a="1"/>
  <c r="L497" i="9" s="1"/>
  <c r="H497" i="9" s="1" a="1"/>
  <c r="H497" i="9" s="1"/>
  <c r="L512" i="9" a="1"/>
  <c r="L512" i="9" s="1"/>
  <c r="H512" i="9" s="1" a="1"/>
  <c r="H512" i="9" s="1"/>
  <c r="L535" i="9" a="1"/>
  <c r="L535" i="9" s="1"/>
  <c r="H535" i="9" s="1" a="1"/>
  <c r="H535" i="9" s="1"/>
  <c r="L547" i="9" a="1"/>
  <c r="L547" i="9" s="1"/>
  <c r="H547" i="9" s="1" a="1"/>
  <c r="H547" i="9" s="1"/>
  <c r="L558" i="9" a="1"/>
  <c r="L558" i="9" s="1"/>
  <c r="H558" i="9" s="1" a="1"/>
  <c r="H558" i="9" s="1"/>
  <c r="L582" i="9" a="1"/>
  <c r="L582" i="9" s="1"/>
  <c r="H582" i="9" s="1" a="1"/>
  <c r="H582" i="9" s="1"/>
  <c r="L593" i="9" a="1"/>
  <c r="L593" i="9" s="1"/>
  <c r="H593" i="9" s="1" a="1"/>
  <c r="H593" i="9" s="1"/>
  <c r="L605" i="9" a="1"/>
  <c r="L605" i="9" s="1"/>
  <c r="H605" i="9" s="1" a="1"/>
  <c r="H605" i="9" s="1"/>
  <c r="L616" i="9" a="1"/>
  <c r="L616" i="9" s="1"/>
  <c r="H616" i="9" s="1" a="1"/>
  <c r="H616" i="9" s="1"/>
  <c r="L628" i="9" a="1"/>
  <c r="L628" i="9" s="1"/>
  <c r="H628" i="9" s="1" a="1"/>
  <c r="H628" i="9" s="1"/>
  <c r="L639" i="9" a="1"/>
  <c r="L639" i="9" s="1"/>
  <c r="H639" i="9" s="1" a="1"/>
  <c r="H639" i="9" s="1"/>
  <c r="L663" i="9" a="1"/>
  <c r="L663" i="9" s="1"/>
  <c r="H663" i="9" s="1" a="1"/>
  <c r="H663" i="9" s="1"/>
  <c r="L674" i="9" a="1"/>
  <c r="L674" i="9" s="1"/>
  <c r="H674" i="9" s="1" a="1"/>
  <c r="H674" i="9" s="1"/>
  <c r="L686" i="9" a="1"/>
  <c r="L686" i="9" s="1"/>
  <c r="H686" i="9" s="1" a="1"/>
  <c r="H686" i="9" s="1"/>
  <c r="L698" i="9" a="1"/>
  <c r="L698" i="9" s="1"/>
  <c r="H698" i="9" s="1" a="1"/>
  <c r="H698" i="9" s="1"/>
  <c r="L710" i="9" a="1"/>
  <c r="L710" i="9" s="1"/>
  <c r="H710" i="9" s="1" a="1"/>
  <c r="H710" i="9" s="1"/>
  <c r="L721" i="9" a="1"/>
  <c r="L721" i="9" s="1"/>
  <c r="H721" i="9" s="1" a="1"/>
  <c r="H721" i="9" s="1"/>
  <c r="L732" i="9" a="1"/>
  <c r="L732" i="9" s="1"/>
  <c r="H732" i="9" s="1" a="1"/>
  <c r="H732" i="9" s="1"/>
  <c r="L746" i="9" a="1"/>
  <c r="L746" i="9" s="1"/>
  <c r="H746" i="9" s="1" a="1"/>
  <c r="H746" i="9" s="1"/>
  <c r="L756" i="9" a="1"/>
  <c r="L756" i="9" s="1"/>
  <c r="H756" i="9" s="1" a="1"/>
  <c r="H756" i="9" s="1"/>
  <c r="L768" i="9" a="1"/>
  <c r="L768" i="9" s="1"/>
  <c r="H768" i="9" s="1" a="1"/>
  <c r="H768" i="9" s="1"/>
  <c r="L780" i="9" a="1"/>
  <c r="L780" i="9" s="1"/>
  <c r="H780" i="9" s="1" a="1"/>
  <c r="H780" i="9" s="1"/>
  <c r="L791" i="9" a="1"/>
  <c r="L791" i="9" s="1"/>
  <c r="H791" i="9" s="1" a="1"/>
  <c r="H791" i="9" s="1"/>
  <c r="L804" i="9" a="1"/>
  <c r="L804" i="9" s="1"/>
  <c r="H804" i="9" s="1" a="1"/>
  <c r="H804" i="9" s="1"/>
  <c r="L814" i="9" a="1"/>
  <c r="L814" i="9" s="1"/>
  <c r="H814" i="9" s="1" a="1"/>
  <c r="H814" i="9" s="1"/>
  <c r="L827" i="9" a="1"/>
  <c r="L827" i="9" s="1"/>
  <c r="H827" i="9" s="1" a="1"/>
  <c r="H827" i="9" s="1"/>
  <c r="L837" i="9" a="1"/>
  <c r="L837" i="9" s="1"/>
  <c r="H837" i="9" s="1" a="1"/>
  <c r="H837" i="9" s="1"/>
  <c r="L846" i="9" a="1"/>
  <c r="L846" i="9" s="1"/>
  <c r="H846" i="9" s="1" a="1"/>
  <c r="H846" i="9" s="1"/>
  <c r="L857" i="9" a="1"/>
  <c r="L857" i="9" s="1"/>
  <c r="H857" i="9" s="1" a="1"/>
  <c r="H857" i="9" s="1"/>
  <c r="L865" i="9" a="1"/>
  <c r="L865" i="9" s="1"/>
  <c r="H865" i="9" s="1" a="1"/>
  <c r="H865" i="9" s="1"/>
  <c r="L875" i="9" a="1"/>
  <c r="L875" i="9" s="1"/>
  <c r="H875" i="9" s="1" a="1"/>
  <c r="H875" i="9" s="1"/>
  <c r="L885" i="9" a="1"/>
  <c r="L885" i="9" s="1"/>
  <c r="H885" i="9" s="1" a="1"/>
  <c r="H885" i="9" s="1"/>
  <c r="L893" i="9" a="1"/>
  <c r="L893" i="9" s="1"/>
  <c r="H893" i="9" s="1" a="1"/>
  <c r="H893" i="9" s="1"/>
  <c r="L903" i="9" a="1"/>
  <c r="L903" i="9" s="1"/>
  <c r="H903" i="9" s="1" a="1"/>
  <c r="H903" i="9" s="1"/>
  <c r="L913" i="9" a="1"/>
  <c r="L913" i="9" s="1"/>
  <c r="H913" i="9" s="1" a="1"/>
  <c r="H913" i="9" s="1"/>
  <c r="L922" i="9" a="1"/>
  <c r="L922" i="9" s="1"/>
  <c r="H922" i="9" s="1" a="1"/>
  <c r="H922" i="9" s="1"/>
  <c r="L931" i="9" a="1"/>
  <c r="L931" i="9" s="1"/>
  <c r="H931" i="9" s="1" a="1"/>
  <c r="H931" i="9" s="1"/>
  <c r="L940" i="9" a="1"/>
  <c r="L940" i="9" s="1"/>
  <c r="H940" i="9" s="1" a="1"/>
  <c r="H940" i="9" s="1"/>
  <c r="L950" i="9" a="1"/>
  <c r="L950" i="9" s="1"/>
  <c r="H950" i="9" s="1" a="1"/>
  <c r="H950" i="9" s="1"/>
  <c r="L957" i="9" a="1"/>
  <c r="L957" i="9" s="1"/>
  <c r="H957" i="9" s="1" a="1"/>
  <c r="H957" i="9" s="1"/>
  <c r="L967" i="9" a="1"/>
  <c r="L967" i="9" s="1"/>
  <c r="H967" i="9" s="1" a="1"/>
  <c r="H967" i="9" s="1"/>
  <c r="L976" i="9" a="1"/>
  <c r="L976" i="9" s="1"/>
  <c r="H976" i="9" s="1" a="1"/>
  <c r="H976" i="9" s="1"/>
  <c r="L995" i="9" a="1"/>
  <c r="L995" i="9" s="1"/>
  <c r="H995" i="9" s="1" a="1"/>
  <c r="H995" i="9" s="1"/>
  <c r="L1004" i="9" a="1"/>
  <c r="L1004" i="9" s="1"/>
  <c r="H1004" i="9" s="1" a="1"/>
  <c r="H1004" i="9" s="1"/>
  <c r="L1012" i="9" a="1"/>
  <c r="L1012" i="9" s="1"/>
  <c r="H1012" i="9" s="1" a="1"/>
  <c r="H1012" i="9" s="1"/>
  <c r="L1021" i="9" a="1"/>
  <c r="L1021" i="9" s="1"/>
  <c r="H1021" i="9" s="1" a="1"/>
  <c r="H1021" i="9" s="1"/>
  <c r="L1030" i="9" a="1"/>
  <c r="L1030" i="9" s="1"/>
  <c r="H1030" i="9" s="1" a="1"/>
  <c r="H1030" i="9" s="1"/>
  <c r="L1040" i="9" a="1"/>
  <c r="L1040" i="9" s="1"/>
  <c r="H1040" i="9" s="1" a="1"/>
  <c r="H1040" i="9" s="1"/>
  <c r="L1049" i="9" a="1"/>
  <c r="L1049" i="9" s="1"/>
  <c r="H1049" i="9" s="1" a="1"/>
  <c r="H1049" i="9" s="1"/>
  <c r="L1059" i="9" a="1"/>
  <c r="L1059" i="9" s="1"/>
  <c r="H1059" i="9" s="1" a="1"/>
  <c r="H1059" i="9" s="1"/>
  <c r="L1068" i="9" a="1"/>
  <c r="L1068" i="9" s="1"/>
  <c r="H1068" i="9" s="1" a="1"/>
  <c r="H1068" i="9" s="1"/>
  <c r="L1086" i="9" a="1"/>
  <c r="L1086" i="9" s="1"/>
  <c r="H1086" i="9" s="1" a="1"/>
  <c r="H1086" i="9" s="1"/>
  <c r="L1100" i="9" a="1"/>
  <c r="L1100" i="9" s="1"/>
  <c r="H1100" i="9" s="1" a="1"/>
  <c r="H1100" i="9" s="1"/>
  <c r="L1115" i="9" a="1"/>
  <c r="L1115" i="9" s="1"/>
  <c r="H1115" i="9" s="1" a="1"/>
  <c r="H1115" i="9" s="1"/>
  <c r="L1142" i="9" a="1"/>
  <c r="L1142" i="9" s="1"/>
  <c r="H1142" i="9" s="1" a="1"/>
  <c r="H1142" i="9" s="1"/>
  <c r="L1153" i="9" a="1"/>
  <c r="L1153" i="9" s="1"/>
  <c r="H1153" i="9" s="1" a="1"/>
  <c r="H1153" i="9" s="1"/>
  <c r="L1169" i="9" a="1"/>
  <c r="L1169" i="9" s="1"/>
  <c r="H1169" i="9" s="1" a="1"/>
  <c r="H1169" i="9" s="1"/>
  <c r="L1180" i="9" a="1"/>
  <c r="L1180" i="9" s="1"/>
  <c r="H1180" i="9" s="1" a="1"/>
  <c r="H1180" i="9" s="1"/>
  <c r="L1186" i="9" a="1"/>
  <c r="L1186" i="9" s="1"/>
  <c r="H1186" i="9" s="1" a="1"/>
  <c r="H1186" i="9" s="1"/>
  <c r="L1191" i="9" a="1"/>
  <c r="L1191" i="9" s="1"/>
  <c r="H1191" i="9" s="1" a="1"/>
  <c r="H1191" i="9" s="1"/>
  <c r="L1200" i="9" a="1"/>
  <c r="L1200" i="9" s="1"/>
  <c r="H1200" i="9" s="1" a="1"/>
  <c r="H1200" i="9" s="1"/>
  <c r="L1210" i="9" a="1"/>
  <c r="L1210" i="9" s="1"/>
  <c r="H1210" i="9" s="1" a="1"/>
  <c r="H1210" i="9" s="1"/>
  <c r="L1215" i="9" a="1"/>
  <c r="L1215" i="9" s="1"/>
  <c r="H1215" i="9" s="1" a="1"/>
  <c r="H1215" i="9" s="1"/>
  <c r="L1224" i="9" a="1"/>
  <c r="L1224" i="9" s="1"/>
  <c r="H1224" i="9" s="1" a="1"/>
  <c r="H1224" i="9" s="1"/>
  <c r="L1234" i="9" a="1"/>
  <c r="L1234" i="9" s="1"/>
  <c r="H1234" i="9" s="1" a="1"/>
  <c r="H1234" i="9" s="1"/>
  <c r="L1239" i="9" a="1"/>
  <c r="L1239" i="9" s="1"/>
  <c r="H1239" i="9" s="1" a="1"/>
  <c r="H1239" i="9" s="1"/>
  <c r="L1244" i="9" a="1"/>
  <c r="L1244" i="9" s="1"/>
  <c r="H1244" i="9" s="1" a="1"/>
  <c r="H1244" i="9" s="1"/>
  <c r="L1250" i="9" a="1"/>
  <c r="L1250" i="9" s="1"/>
  <c r="H1250" i="9" s="1" a="1"/>
  <c r="H1250" i="9" s="1"/>
  <c r="L1255" i="9" a="1"/>
  <c r="L1255" i="9" s="1"/>
  <c r="H1255" i="9" s="1" a="1"/>
  <c r="H1255" i="9" s="1"/>
  <c r="L1260" i="9" a="1"/>
  <c r="L1260" i="9" s="1"/>
  <c r="H1260" i="9" s="1" a="1"/>
  <c r="H1260" i="9" s="1"/>
  <c r="L1265" i="9" a="1"/>
  <c r="L1265" i="9" s="1"/>
  <c r="H1265" i="9" s="1" a="1"/>
  <c r="H1265" i="9" s="1"/>
  <c r="L1270" i="9" a="1"/>
  <c r="L1270" i="9" s="1"/>
  <c r="H1270" i="9" s="1" a="1"/>
  <c r="H1270" i="9" s="1"/>
  <c r="L1275" i="9" a="1"/>
  <c r="L1275" i="9" s="1"/>
  <c r="H1275" i="9" s="1" a="1"/>
  <c r="H1275" i="9" s="1"/>
  <c r="L1284" i="9" a="1"/>
  <c r="L1284" i="9" s="1"/>
  <c r="H1284" i="9" s="1" a="1"/>
  <c r="H1284" i="9" s="1"/>
  <c r="L1294" i="9" a="1"/>
  <c r="L1294" i="9" s="1"/>
  <c r="H1294" i="9" s="1" a="1"/>
  <c r="H1294" i="9" s="1"/>
  <c r="L1300" i="9" a="1"/>
  <c r="L1300" i="9" s="1"/>
  <c r="H1300" i="9" s="1" a="1"/>
  <c r="H1300" i="9" s="1"/>
  <c r="L1305" i="9" a="1"/>
  <c r="L1305" i="9" s="1"/>
  <c r="H1305" i="9" s="1" a="1"/>
  <c r="H1305" i="9" s="1"/>
  <c r="L1311" i="9" a="1"/>
  <c r="L1311" i="9" s="1"/>
  <c r="H1311" i="9" s="1" a="1"/>
  <c r="H1311" i="9" s="1"/>
  <c r="L1317" i="9" a="1"/>
  <c r="L1317" i="9" s="1"/>
  <c r="H1317" i="9" s="1" a="1"/>
  <c r="H1317" i="9" s="1"/>
  <c r="L1323" i="9" a="1"/>
  <c r="L1323" i="9" s="1"/>
  <c r="H1323" i="9" s="1" a="1"/>
  <c r="H1323" i="9" s="1"/>
  <c r="L1329" i="9" a="1"/>
  <c r="L1329" i="9" s="1"/>
  <c r="H1329" i="9" s="1" a="1"/>
  <c r="H1329" i="9" s="1"/>
  <c r="L1336" i="9" a="1"/>
  <c r="L1336" i="9" s="1"/>
  <c r="H1336" i="9" s="1" a="1"/>
  <c r="H1336" i="9" s="1"/>
  <c r="L1341" i="9" a="1"/>
  <c r="L1341" i="9" s="1"/>
  <c r="H1341" i="9" s="1" a="1"/>
  <c r="H1341" i="9" s="1"/>
  <c r="L1348" i="9" a="1"/>
  <c r="L1348" i="9" s="1"/>
  <c r="H1348" i="9" s="1" a="1"/>
  <c r="H1348" i="9" s="1"/>
  <c r="L1360" i="9" a="1"/>
  <c r="L1360" i="9" s="1"/>
  <c r="H1360" i="9" s="1" a="1"/>
  <c r="H1360" i="9" s="1"/>
  <c r="L1366" i="9" a="1"/>
  <c r="L1366" i="9" s="1"/>
  <c r="H1366" i="9" s="1" a="1"/>
  <c r="H1366" i="9" s="1"/>
  <c r="L1372" i="9" a="1"/>
  <c r="L1372" i="9" s="1"/>
  <c r="H1372" i="9" s="1" a="1"/>
  <c r="H1372" i="9" s="1"/>
  <c r="L1378" i="9" a="1"/>
  <c r="L1378" i="9" s="1"/>
  <c r="H1378" i="9" s="1" a="1"/>
  <c r="H1378" i="9" s="1"/>
  <c r="L1390" i="9" a="1"/>
  <c r="L1390" i="9" s="1"/>
  <c r="H1390" i="9" s="1" a="1"/>
  <c r="H1390" i="9" s="1"/>
  <c r="L1403" i="9" a="1"/>
  <c r="L1403" i="9" s="1"/>
  <c r="H1403" i="9" s="1" a="1"/>
  <c r="H1403" i="9" s="1"/>
  <c r="L1419" i="9" a="1"/>
  <c r="L1419" i="9" s="1"/>
  <c r="H1419" i="9" s="1" a="1"/>
  <c r="H1419" i="9" s="1"/>
  <c r="L1435" i="9" a="1"/>
  <c r="L1435" i="9" s="1"/>
  <c r="H1435" i="9" s="1" a="1"/>
  <c r="H1435" i="9" s="1"/>
  <c r="L1442" i="9" a="1"/>
  <c r="L1442" i="9" s="1"/>
  <c r="H1442" i="9" s="1" a="1"/>
  <c r="H1442" i="9" s="1"/>
  <c r="L1456" i="9" a="1"/>
  <c r="L1456" i="9" s="1"/>
  <c r="H1456" i="9" s="1" a="1"/>
  <c r="H1456" i="9" s="1"/>
  <c r="L1463" i="9" a="1"/>
  <c r="L1463" i="9" s="1"/>
  <c r="H1463" i="9" s="1" a="1"/>
  <c r="H1463" i="9" s="1"/>
  <c r="L1470" i="9" a="1"/>
  <c r="L1470" i="9" s="1"/>
  <c r="H1470" i="9" s="1" a="1"/>
  <c r="H1470" i="9" s="1"/>
  <c r="L1477" i="9" a="1"/>
  <c r="L1477" i="9" s="1"/>
  <c r="H1477" i="9" s="1" a="1"/>
  <c r="H1477" i="9" s="1"/>
  <c r="L1484" i="9" a="1"/>
  <c r="L1484" i="9" s="1"/>
  <c r="H1484" i="9" s="1" a="1"/>
  <c r="H1484" i="9" s="1"/>
  <c r="L1490" i="9" a="1"/>
  <c r="L1490" i="9" s="1"/>
  <c r="H1490" i="9" s="1" a="1"/>
  <c r="H1490" i="9" s="1"/>
  <c r="L1505" i="9" a="1"/>
  <c r="L1505" i="9" s="1"/>
  <c r="H1505" i="9" s="1" a="1"/>
  <c r="H1505" i="9" s="1"/>
  <c r="L1512" i="9" a="1"/>
  <c r="L1512" i="9" s="1"/>
  <c r="H1512" i="9" s="1" a="1"/>
  <c r="H1512" i="9" s="1"/>
  <c r="L1518" i="9" a="1"/>
  <c r="L1518" i="9" s="1"/>
  <c r="H1518" i="9" s="1" a="1"/>
  <c r="H1518" i="9" s="1"/>
  <c r="L1525" i="9" a="1"/>
  <c r="L1525" i="9" s="1"/>
  <c r="H1525" i="9" s="1" a="1"/>
  <c r="H1525" i="9" s="1"/>
  <c r="L1532" i="9" a="1"/>
  <c r="L1532" i="9" s="1"/>
  <c r="H1532" i="9" s="1" a="1"/>
  <c r="H1532" i="9" s="1"/>
  <c r="L1539" i="9" a="1"/>
  <c r="L1539" i="9" s="1"/>
  <c r="H1539" i="9" s="1" a="1"/>
  <c r="H1539" i="9" s="1"/>
  <c r="L28" i="9" a="1"/>
  <c r="L28" i="9" s="1"/>
  <c r="H28" i="9" s="1" a="1"/>
  <c r="H28" i="9" s="1"/>
  <c r="L107" i="9" a="1"/>
  <c r="L107" i="9" s="1"/>
  <c r="H107" i="9" s="1" a="1"/>
  <c r="H107" i="9" s="1"/>
  <c r="L121" i="9" a="1"/>
  <c r="L121" i="9" s="1"/>
  <c r="H121" i="9" s="1" a="1"/>
  <c r="H121" i="9" s="1"/>
  <c r="L133" i="9" a="1"/>
  <c r="L133" i="9" s="1"/>
  <c r="H133" i="9" s="1" a="1"/>
  <c r="H133" i="9" s="1"/>
  <c r="L158" i="9" a="1"/>
  <c r="L158" i="9" s="1"/>
  <c r="H158" i="9" s="1" a="1"/>
  <c r="H158" i="9" s="1"/>
  <c r="L181" i="9" a="1"/>
  <c r="L181" i="9" s="1"/>
  <c r="H181" i="9" s="1" a="1"/>
  <c r="H181" i="9" s="1"/>
  <c r="L194" i="9" a="1"/>
  <c r="L194" i="9" s="1"/>
  <c r="H194" i="9" s="1" a="1"/>
  <c r="H194" i="9" s="1"/>
  <c r="L220" i="9" a="1"/>
  <c r="L220" i="9" s="1"/>
  <c r="H220" i="9" s="1" a="1"/>
  <c r="H220" i="9" s="1"/>
  <c r="L230" i="9" a="1"/>
  <c r="L230" i="9" s="1"/>
  <c r="H230" i="9" s="1" a="1"/>
  <c r="H230" i="9" s="1"/>
  <c r="L243" i="9" a="1"/>
  <c r="L243" i="9" s="1"/>
  <c r="H243" i="9" s="1" a="1"/>
  <c r="H243" i="9" s="1"/>
  <c r="L255" i="9" a="1"/>
  <c r="L255" i="9" s="1"/>
  <c r="H255" i="9" s="1" a="1"/>
  <c r="H255" i="9" s="1"/>
  <c r="L279" i="9" a="1"/>
  <c r="L279" i="9" s="1"/>
  <c r="H279" i="9" s="1" a="1"/>
  <c r="H279" i="9" s="1"/>
  <c r="L290" i="9" a="1"/>
  <c r="L290" i="9" s="1"/>
  <c r="H290" i="9" s="1" a="1"/>
  <c r="H290" i="9" s="1"/>
  <c r="L314" i="9" a="1"/>
  <c r="L314" i="9" s="1"/>
  <c r="H314" i="9" s="1" a="1"/>
  <c r="H314" i="9" s="1"/>
  <c r="L327" i="9" a="1"/>
  <c r="L327" i="9" s="1"/>
  <c r="H327" i="9" s="1" a="1"/>
  <c r="H327" i="9" s="1"/>
  <c r="L340" i="9" a="1"/>
  <c r="L340" i="9" s="1"/>
  <c r="H340" i="9" s="1" a="1"/>
  <c r="H340" i="9" s="1"/>
  <c r="L353" i="9" a="1"/>
  <c r="L353" i="9" s="1"/>
  <c r="H353" i="9" s="1" a="1"/>
  <c r="H353" i="9" s="1"/>
  <c r="L367" i="9" a="1"/>
  <c r="L367" i="9" s="1"/>
  <c r="H367" i="9" s="1" a="1"/>
  <c r="H367" i="9" s="1"/>
  <c r="L381" i="9" a="1"/>
  <c r="L381" i="9" s="1"/>
  <c r="H381" i="9" s="1" a="1"/>
  <c r="H381" i="9" s="1"/>
  <c r="L396" i="9" a="1"/>
  <c r="L396" i="9" s="1"/>
  <c r="H396" i="9" s="1" a="1"/>
  <c r="H396" i="9" s="1"/>
  <c r="L410" i="9" a="1"/>
  <c r="L410" i="9" s="1"/>
  <c r="H410" i="9" s="1" a="1"/>
  <c r="H410" i="9" s="1"/>
  <c r="L426" i="9" a="1"/>
  <c r="L426" i="9" s="1"/>
  <c r="H426" i="9" s="1" a="1"/>
  <c r="H426" i="9" s="1"/>
  <c r="L455" i="9" a="1"/>
  <c r="L455" i="9" s="1"/>
  <c r="H455" i="9" s="1" a="1"/>
  <c r="H455" i="9" s="1"/>
  <c r="L469" i="9" a="1"/>
  <c r="L469" i="9" s="1"/>
  <c r="H469" i="9" s="1" a="1"/>
  <c r="H469" i="9" s="1"/>
  <c r="L484" i="9" a="1"/>
  <c r="L484" i="9" s="1"/>
  <c r="H484" i="9" s="1" a="1"/>
  <c r="H484" i="9" s="1"/>
  <c r="L498" i="9" a="1"/>
  <c r="L498" i="9" s="1"/>
  <c r="H498" i="9" s="1" a="1"/>
  <c r="H498" i="9" s="1"/>
  <c r="L513" i="9" a="1"/>
  <c r="L513" i="9" s="1"/>
  <c r="H513" i="9" s="1" a="1"/>
  <c r="H513" i="9" s="1"/>
  <c r="L525" i="9" a="1"/>
  <c r="L525" i="9" s="1"/>
  <c r="H525" i="9" s="1" a="1"/>
  <c r="H525" i="9" s="1"/>
  <c r="L549" i="9" a="1"/>
  <c r="L549" i="9" s="1"/>
  <c r="H549" i="9" s="1" a="1"/>
  <c r="H549" i="9" s="1"/>
  <c r="L560" i="9" a="1"/>
  <c r="L560" i="9" s="1"/>
  <c r="H560" i="9" s="1" a="1"/>
  <c r="H560" i="9" s="1"/>
  <c r="L572" i="9" a="1"/>
  <c r="L572" i="9" s="1"/>
  <c r="H572" i="9" s="1" a="1"/>
  <c r="H572" i="9" s="1"/>
  <c r="L594" i="9" a="1"/>
  <c r="L594" i="9" s="1"/>
  <c r="H594" i="9" s="1" a="1"/>
  <c r="H594" i="9" s="1"/>
  <c r="L607" i="9" a="1"/>
  <c r="L607" i="9" s="1"/>
  <c r="H607" i="9" s="1" a="1"/>
  <c r="H607" i="9" s="1"/>
  <c r="L618" i="9" a="1"/>
  <c r="L618" i="9" s="1"/>
  <c r="H618" i="9" s="1" a="1"/>
  <c r="H618" i="9" s="1"/>
  <c r="L629" i="9" a="1"/>
  <c r="L629" i="9" s="1"/>
  <c r="H629" i="9" s="1" a="1"/>
  <c r="H629" i="9" s="1"/>
  <c r="L641" i="9" a="1"/>
  <c r="L641" i="9" s="1"/>
  <c r="H641" i="9" s="1" a="1"/>
  <c r="H641" i="9" s="1"/>
  <c r="L652" i="9" a="1"/>
  <c r="L652" i="9" s="1"/>
  <c r="H652" i="9" s="1" a="1"/>
  <c r="H652" i="9" s="1"/>
  <c r="L665" i="9" a="1"/>
  <c r="L665" i="9" s="1"/>
  <c r="H665" i="9" s="1" a="1"/>
  <c r="H665" i="9" s="1"/>
  <c r="L676" i="9" a="1"/>
  <c r="L676" i="9" s="1"/>
  <c r="H676" i="9" s="1" a="1"/>
  <c r="H676" i="9" s="1"/>
  <c r="L687" i="9" a="1"/>
  <c r="L687" i="9" s="1"/>
  <c r="H687" i="9" s="1" a="1"/>
  <c r="H687" i="9" s="1"/>
  <c r="L711" i="9" a="1"/>
  <c r="L711" i="9" s="1"/>
  <c r="H711" i="9" s="1" a="1"/>
  <c r="H711" i="9" s="1"/>
  <c r="L723" i="9" a="1"/>
  <c r="L723" i="9" s="1"/>
  <c r="H723" i="9" s="1" a="1"/>
  <c r="H723" i="9" s="1"/>
  <c r="L734" i="9" a="1"/>
  <c r="L734" i="9" s="1"/>
  <c r="H734" i="9" s="1" a="1"/>
  <c r="H734" i="9" s="1"/>
  <c r="L747" i="9" a="1"/>
  <c r="L747" i="9" s="1"/>
  <c r="H747" i="9" s="1" a="1"/>
  <c r="H747" i="9" s="1"/>
  <c r="L758" i="9" a="1"/>
  <c r="L758" i="9" s="1"/>
  <c r="H758" i="9" s="1" a="1"/>
  <c r="H758" i="9" s="1"/>
  <c r="L769" i="9" a="1"/>
  <c r="L769" i="9" s="1"/>
  <c r="H769" i="9" s="1" a="1"/>
  <c r="H769" i="9" s="1"/>
  <c r="L781" i="9" a="1"/>
  <c r="L781" i="9" s="1"/>
  <c r="H781" i="9" s="1" a="1"/>
  <c r="H781" i="9" s="1"/>
  <c r="L793" i="9" a="1"/>
  <c r="L793" i="9" s="1"/>
  <c r="H793" i="9" s="1" a="1"/>
  <c r="H793" i="9" s="1"/>
  <c r="L805" i="9" a="1"/>
  <c r="L805" i="9" s="1"/>
  <c r="H805" i="9" s="1" a="1"/>
  <c r="H805" i="9" s="1"/>
  <c r="L816" i="9" a="1"/>
  <c r="L816" i="9" s="1"/>
  <c r="H816" i="9" s="1" a="1"/>
  <c r="H816" i="9" s="1"/>
  <c r="L858" i="9" a="1"/>
  <c r="L858" i="9" s="1"/>
  <c r="H858" i="9" s="1" a="1"/>
  <c r="H858" i="9" s="1"/>
  <c r="L867" i="9" a="1"/>
  <c r="L867" i="9" s="1"/>
  <c r="H867" i="9" s="1" a="1"/>
  <c r="H867" i="9" s="1"/>
  <c r="L876" i="9" a="1"/>
  <c r="L876" i="9" s="1"/>
  <c r="H876" i="9" s="1" a="1"/>
  <c r="H876" i="9" s="1"/>
  <c r="L887" i="9" a="1"/>
  <c r="L887" i="9" s="1"/>
  <c r="H887" i="9" s="1" a="1"/>
  <c r="H887" i="9" s="1"/>
  <c r="L895" i="9" a="1"/>
  <c r="L895" i="9" s="1"/>
  <c r="H895" i="9" s="1" a="1"/>
  <c r="H895" i="9" s="1"/>
  <c r="L904" i="9" a="1"/>
  <c r="L904" i="9" s="1"/>
  <c r="H904" i="9" s="1" a="1"/>
  <c r="H904" i="9" s="1"/>
  <c r="L932" i="9" a="1"/>
  <c r="L932" i="9" s="1"/>
  <c r="H932" i="9" s="1" a="1"/>
  <c r="H932" i="9" s="1"/>
  <c r="L941" i="9" a="1"/>
  <c r="L941" i="9" s="1"/>
  <c r="H941" i="9" s="1" a="1"/>
  <c r="H941" i="9" s="1"/>
  <c r="L951" i="9" a="1"/>
  <c r="L951" i="9" s="1"/>
  <c r="H951" i="9" s="1" a="1"/>
  <c r="H951" i="9" s="1"/>
  <c r="L959" i="9" a="1"/>
  <c r="L959" i="9" s="1"/>
  <c r="H959" i="9" s="1" a="1"/>
  <c r="H959" i="9" s="1"/>
  <c r="L968" i="9" a="1"/>
  <c r="L968" i="9" s="1"/>
  <c r="H968" i="9" s="1" a="1"/>
  <c r="H968" i="9" s="1"/>
  <c r="L978" i="9" a="1"/>
  <c r="L978" i="9" s="1"/>
  <c r="H978" i="9" s="1" a="1"/>
  <c r="H978" i="9" s="1"/>
  <c r="L986" i="9" a="1"/>
  <c r="L986" i="9" s="1"/>
  <c r="H986" i="9" s="1" a="1"/>
  <c r="H986" i="9" s="1"/>
  <c r="L1005" i="9" a="1"/>
  <c r="L1005" i="9" s="1"/>
  <c r="H1005" i="9" s="1" a="1"/>
  <c r="H1005" i="9" s="1"/>
  <c r="L1013" i="9" a="1"/>
  <c r="L1013" i="9" s="1"/>
  <c r="H1013" i="9" s="1" a="1"/>
  <c r="H1013" i="9" s="1"/>
  <c r="L1023" i="9" a="1"/>
  <c r="L1023" i="9" s="1"/>
  <c r="H1023" i="9" s="1" a="1"/>
  <c r="H1023" i="9" s="1"/>
  <c r="L1032" i="9" a="1"/>
  <c r="L1032" i="9" s="1"/>
  <c r="H1032" i="9" s="1" a="1"/>
  <c r="H1032" i="9" s="1"/>
  <c r="L1041" i="9" a="1"/>
  <c r="L1041" i="9" s="1"/>
  <c r="H1041" i="9" s="1" a="1"/>
  <c r="H1041" i="9" s="1"/>
  <c r="L1069" i="9" a="1"/>
  <c r="L1069" i="9" s="1"/>
  <c r="H1069" i="9" s="1" a="1"/>
  <c r="H1069" i="9" s="1"/>
  <c r="L1077" i="9" a="1"/>
  <c r="L1077" i="9" s="1"/>
  <c r="H1077" i="9" s="1" a="1"/>
  <c r="H1077" i="9" s="1"/>
  <c r="L1094" i="9" a="1"/>
  <c r="L1094" i="9" s="1"/>
  <c r="H1094" i="9" s="1" a="1"/>
  <c r="H1094" i="9" s="1"/>
  <c r="L1116" i="9" a="1"/>
  <c r="L1116" i="9" s="1"/>
  <c r="H1116" i="9" s="1" a="1"/>
  <c r="H1116" i="9" s="1"/>
  <c r="L1124" i="9" a="1"/>
  <c r="L1124" i="9" s="1"/>
  <c r="H1124" i="9" s="1" a="1"/>
  <c r="H1124" i="9" s="1"/>
  <c r="L1137" i="9" a="1"/>
  <c r="L1137" i="9" s="1"/>
  <c r="H1137" i="9" s="1" a="1"/>
  <c r="H1137" i="9" s="1"/>
  <c r="L1148" i="9" a="1"/>
  <c r="L1148" i="9" s="1"/>
  <c r="H1148" i="9" s="1" a="1"/>
  <c r="H1148" i="9" s="1"/>
  <c r="L1154" i="9" a="1"/>
  <c r="L1154" i="9" s="1"/>
  <c r="H1154" i="9" s="1" a="1"/>
  <c r="H1154" i="9" s="1"/>
  <c r="L1159" i="9" a="1"/>
  <c r="L1159" i="9" s="1"/>
  <c r="H1159" i="9" s="1" a="1"/>
  <c r="H1159" i="9" s="1"/>
  <c r="L1170" i="9" a="1"/>
  <c r="L1170" i="9" s="1"/>
  <c r="H1170" i="9" s="1" a="1"/>
  <c r="H1170" i="9" s="1"/>
  <c r="L1175" i="9" a="1"/>
  <c r="L1175" i="9" s="1"/>
  <c r="H1175" i="9" s="1" a="1"/>
  <c r="H1175" i="9" s="1"/>
  <c r="L1181" i="9" a="1"/>
  <c r="L1181" i="9" s="1"/>
  <c r="H1181" i="9" s="1" a="1"/>
  <c r="H1181" i="9" s="1"/>
  <c r="L1196" i="9" a="1"/>
  <c r="L1196" i="9" s="1"/>
  <c r="H1196" i="9" s="1" a="1"/>
  <c r="H1196" i="9" s="1"/>
  <c r="L1205" i="9" a="1"/>
  <c r="L1205" i="9" s="1"/>
  <c r="H1205" i="9" s="1" a="1"/>
  <c r="H1205" i="9" s="1"/>
  <c r="L1220" i="9" a="1"/>
  <c r="L1220" i="9" s="1"/>
  <c r="H1220" i="9" s="1" a="1"/>
  <c r="H1220" i="9" s="1"/>
  <c r="L1229" i="9" a="1"/>
  <c r="L1229" i="9" s="1"/>
  <c r="H1229" i="9" s="1" a="1"/>
  <c r="H1229" i="9" s="1"/>
  <c r="L1245" i="9" a="1"/>
  <c r="L1245" i="9" s="1"/>
  <c r="H1245" i="9" s="1" a="1"/>
  <c r="H1245" i="9" s="1"/>
  <c r="L1266" i="9" a="1"/>
  <c r="L1266" i="9" s="1"/>
  <c r="H1266" i="9" s="1" a="1"/>
  <c r="H1266" i="9" s="1"/>
  <c r="L1271" i="9" a="1"/>
  <c r="L1271" i="9" s="1"/>
  <c r="H1271" i="9" s="1" a="1"/>
  <c r="H1271" i="9" s="1"/>
  <c r="L1280" i="9" a="1"/>
  <c r="L1280" i="9" s="1"/>
  <c r="H1280" i="9" s="1" a="1"/>
  <c r="H1280" i="9" s="1"/>
  <c r="L1289" i="9" a="1"/>
  <c r="L1289" i="9" s="1"/>
  <c r="H1289" i="9" s="1" a="1"/>
  <c r="H1289" i="9" s="1"/>
  <c r="L1295" i="9" a="1"/>
  <c r="L1295" i="9" s="1"/>
  <c r="H1295" i="9" s="1" a="1"/>
  <c r="H1295" i="9" s="1"/>
  <c r="L1312" i="9" a="1"/>
  <c r="L1312" i="9" s="1"/>
  <c r="H1312" i="9" s="1" a="1"/>
  <c r="H1312" i="9" s="1"/>
  <c r="L1318" i="9" a="1"/>
  <c r="L1318" i="9" s="1"/>
  <c r="H1318" i="9" s="1" a="1"/>
  <c r="H1318" i="9" s="1"/>
  <c r="L1324" i="9" a="1"/>
  <c r="L1324" i="9" s="1"/>
  <c r="H1324" i="9" s="1" a="1"/>
  <c r="H1324" i="9" s="1"/>
  <c r="L1330" i="9" a="1"/>
  <c r="L1330" i="9" s="1"/>
  <c r="H1330" i="9" s="1" a="1"/>
  <c r="H1330" i="9" s="1"/>
  <c r="L1342" i="9" a="1"/>
  <c r="L1342" i="9" s="1"/>
  <c r="H1342" i="9" s="1" a="1"/>
  <c r="H1342" i="9" s="1"/>
  <c r="L1354" i="9" a="1"/>
  <c r="L1354" i="9" s="1"/>
  <c r="H1354" i="9" s="1" a="1"/>
  <c r="H1354" i="9" s="1"/>
  <c r="L1367" i="9" a="1"/>
  <c r="L1367" i="9" s="1"/>
  <c r="H1367" i="9" s="1" a="1"/>
  <c r="H1367" i="9" s="1"/>
  <c r="L1379" i="9" a="1"/>
  <c r="L1379" i="9" s="1"/>
  <c r="H1379" i="9" s="1" a="1"/>
  <c r="H1379" i="9" s="1"/>
  <c r="L1385" i="9" a="1"/>
  <c r="L1385" i="9" s="1"/>
  <c r="H1385" i="9" s="1" a="1"/>
  <c r="H1385" i="9" s="1"/>
  <c r="L1391" i="9" a="1"/>
  <c r="L1391" i="9" s="1"/>
  <c r="H1391" i="9" s="1" a="1"/>
  <c r="H1391" i="9" s="1"/>
  <c r="L1397" i="9" a="1"/>
  <c r="L1397" i="9" s="1"/>
  <c r="H1397" i="9" s="1" a="1"/>
  <c r="H1397" i="9" s="1"/>
  <c r="L1404" i="9" a="1"/>
  <c r="L1404" i="9" s="1"/>
  <c r="H1404" i="9" s="1" a="1"/>
  <c r="H1404" i="9" s="1"/>
  <c r="L1409" i="9" a="1"/>
  <c r="L1409" i="9" s="1"/>
  <c r="H1409" i="9" s="1" a="1"/>
  <c r="H1409" i="9" s="1"/>
  <c r="L1414" i="9" a="1"/>
  <c r="L1414" i="9" s="1"/>
  <c r="H1414" i="9" s="1" a="1"/>
  <c r="H1414" i="9" s="1"/>
  <c r="L1420" i="9" a="1"/>
  <c r="L1420" i="9" s="1"/>
  <c r="H1420" i="9" s="1" a="1"/>
  <c r="H1420" i="9" s="1"/>
  <c r="L1425" i="9" a="1"/>
  <c r="L1425" i="9" s="1"/>
  <c r="H1425" i="9" s="1" a="1"/>
  <c r="H1425" i="9" s="1"/>
  <c r="L1430" i="9" a="1"/>
  <c r="L1430" i="9" s="1"/>
  <c r="H1430" i="9" s="1" a="1"/>
  <c r="H1430" i="9" s="1"/>
  <c r="L1436" i="9" a="1"/>
  <c r="L1436" i="9" s="1"/>
  <c r="H1436" i="9" s="1" a="1"/>
  <c r="H1436" i="9" s="1"/>
  <c r="L1443" i="9" a="1"/>
  <c r="L1443" i="9" s="1"/>
  <c r="H1443" i="9" s="1" a="1"/>
  <c r="H1443" i="9" s="1"/>
  <c r="L1450" i="9" a="1"/>
  <c r="L1450" i="9" s="1"/>
  <c r="H1450" i="9" s="1" a="1"/>
  <c r="H1450" i="9" s="1"/>
  <c r="L1457" i="9" a="1"/>
  <c r="L1457" i="9" s="1"/>
  <c r="H1457" i="9" s="1" a="1"/>
  <c r="H1457" i="9" s="1"/>
  <c r="L1464" i="9" a="1"/>
  <c r="L1464" i="9" s="1"/>
  <c r="H1464" i="9" s="1" a="1"/>
  <c r="H1464" i="9" s="1"/>
  <c r="L1471" i="9" a="1"/>
  <c r="L1471" i="9" s="1"/>
  <c r="H1471" i="9" s="1" a="1"/>
  <c r="H1471" i="9" s="1"/>
  <c r="L1478" i="9" a="1"/>
  <c r="L1478" i="9" s="1"/>
  <c r="H1478" i="9" s="1" a="1"/>
  <c r="H1478" i="9" s="1"/>
  <c r="L50" i="9" a="1"/>
  <c r="L50" i="9" s="1"/>
  <c r="H50" i="9" s="1" a="1"/>
  <c r="H50" i="9" s="1"/>
  <c r="L71" i="9" a="1"/>
  <c r="L71" i="9" s="1"/>
  <c r="H71" i="9" s="1" a="1"/>
  <c r="H71" i="9" s="1"/>
  <c r="L94" i="9" a="1"/>
  <c r="L94" i="9" s="1"/>
  <c r="H94" i="9" s="1" a="1"/>
  <c r="H94" i="9" s="1"/>
  <c r="L109" i="9" a="1"/>
  <c r="L109" i="9" s="1"/>
  <c r="H109" i="9" s="1" a="1"/>
  <c r="H109" i="9" s="1"/>
  <c r="L145" i="9" a="1"/>
  <c r="L145" i="9" s="1"/>
  <c r="H145" i="9" s="1" a="1"/>
  <c r="H145" i="9" s="1"/>
  <c r="L159" i="9" a="1"/>
  <c r="L159" i="9" s="1"/>
  <c r="H159" i="9" s="1" a="1"/>
  <c r="H159" i="9" s="1"/>
  <c r="L170" i="9" a="1"/>
  <c r="L170" i="9" s="1"/>
  <c r="H170" i="9" s="1" a="1"/>
  <c r="H170" i="9" s="1"/>
  <c r="L182" i="9" a="1"/>
  <c r="L182" i="9" s="1"/>
  <c r="H182" i="9" s="1" a="1"/>
  <c r="H182" i="9" s="1"/>
  <c r="L195" i="9" a="1"/>
  <c r="L195" i="9" s="1"/>
  <c r="H195" i="9" s="1" a="1"/>
  <c r="H195" i="9" s="1"/>
  <c r="L207" i="9" a="1"/>
  <c r="L207" i="9" s="1"/>
  <c r="H207" i="9" s="1" a="1"/>
  <c r="H207" i="9" s="1"/>
  <c r="L231" i="9" a="1"/>
  <c r="L231" i="9" s="1"/>
  <c r="H231" i="9" s="1" a="1"/>
  <c r="H231" i="9" s="1"/>
  <c r="L244" i="9" a="1"/>
  <c r="L244" i="9" s="1"/>
  <c r="H244" i="9" s="1" a="1"/>
  <c r="H244" i="9" s="1"/>
  <c r="L256" i="9" a="1"/>
  <c r="L256" i="9" s="1"/>
  <c r="H256" i="9" s="1" a="1"/>
  <c r="H256" i="9" s="1"/>
  <c r="L267" i="9" a="1"/>
  <c r="L267" i="9" s="1"/>
  <c r="H267" i="9" s="1" a="1"/>
  <c r="H267" i="9" s="1"/>
  <c r="L280" i="9" a="1"/>
  <c r="L280" i="9" s="1"/>
  <c r="H280" i="9" s="1" a="1"/>
  <c r="H280" i="9" s="1"/>
  <c r="L291" i="9" a="1"/>
  <c r="L291" i="9" s="1"/>
  <c r="H291" i="9" s="1" a="1"/>
  <c r="H291" i="9" s="1"/>
  <c r="L303" i="9" a="1"/>
  <c r="L303" i="9" s="1"/>
  <c r="H303" i="9" s="1" a="1"/>
  <c r="H303" i="9" s="1"/>
  <c r="L315" i="9" a="1"/>
  <c r="L315" i="9" s="1"/>
  <c r="H315" i="9" s="1" a="1"/>
  <c r="H315" i="9" s="1"/>
  <c r="L328" i="9" a="1"/>
  <c r="L328" i="9" s="1"/>
  <c r="H328" i="9" s="1" a="1"/>
  <c r="H328" i="9" s="1"/>
  <c r="L354" i="9" a="1"/>
  <c r="L354" i="9" s="1"/>
  <c r="H354" i="9" s="1" a="1"/>
  <c r="H354" i="9" s="1"/>
  <c r="L368" i="9" a="1"/>
  <c r="L368" i="9" s="1"/>
  <c r="H368" i="9" s="1" a="1"/>
  <c r="H368" i="9" s="1"/>
  <c r="L382" i="9" a="1"/>
  <c r="L382" i="9" s="1"/>
  <c r="H382" i="9" s="1" a="1"/>
  <c r="H382" i="9" s="1"/>
  <c r="L397" i="9" a="1"/>
  <c r="L397" i="9" s="1"/>
  <c r="H397" i="9" s="1" a="1"/>
  <c r="H397" i="9" s="1"/>
  <c r="L411" i="9" a="1"/>
  <c r="L411" i="9" s="1"/>
  <c r="H411" i="9" s="1" a="1"/>
  <c r="H411" i="9" s="1"/>
  <c r="L427" i="9" a="1"/>
  <c r="L427" i="9" s="1"/>
  <c r="H427" i="9" s="1" a="1"/>
  <c r="H427" i="9" s="1"/>
  <c r="L440" i="9" a="1"/>
  <c r="L440" i="9" s="1"/>
  <c r="H440" i="9" s="1" a="1"/>
  <c r="H440" i="9" s="1"/>
  <c r="L456" i="9" a="1"/>
  <c r="L456" i="9" s="1"/>
  <c r="H456" i="9" s="1" a="1"/>
  <c r="H456" i="9" s="1"/>
  <c r="L470" i="9" a="1"/>
  <c r="L470" i="9" s="1"/>
  <c r="H470" i="9" s="1" a="1"/>
  <c r="H470" i="9" s="1"/>
  <c r="L485" i="9" a="1"/>
  <c r="L485" i="9" s="1"/>
  <c r="H485" i="9" s="1" a="1"/>
  <c r="H485" i="9" s="1"/>
  <c r="L499" i="9" a="1"/>
  <c r="L499" i="9" s="1"/>
  <c r="H499" i="9" s="1" a="1"/>
  <c r="H499" i="9" s="1"/>
  <c r="L514" i="9" a="1"/>
  <c r="L514" i="9" s="1"/>
  <c r="H514" i="9" s="1" a="1"/>
  <c r="H514" i="9" s="1"/>
  <c r="L527" i="9" a="1"/>
  <c r="L527" i="9" s="1"/>
  <c r="H527" i="9" s="1" a="1"/>
  <c r="H527" i="9" s="1"/>
  <c r="L537" i="9" a="1"/>
  <c r="L537" i="9" s="1"/>
  <c r="H537" i="9" s="1" a="1"/>
  <c r="H537" i="9" s="1"/>
  <c r="L550" i="9" a="1"/>
  <c r="L550" i="9" s="1"/>
  <c r="H550" i="9" s="1" a="1"/>
  <c r="H550" i="9" s="1"/>
  <c r="L562" i="9" a="1"/>
  <c r="L562" i="9" s="1"/>
  <c r="H562" i="9" s="1" a="1"/>
  <c r="H562" i="9" s="1"/>
  <c r="L573" i="9" a="1"/>
  <c r="L573" i="9" s="1"/>
  <c r="H573" i="9" s="1" a="1"/>
  <c r="H573" i="9" s="1"/>
  <c r="L585" i="9" a="1"/>
  <c r="L585" i="9" s="1"/>
  <c r="H585" i="9" s="1" a="1"/>
  <c r="H585" i="9" s="1"/>
  <c r="L596" i="9" a="1"/>
  <c r="L596" i="9" s="1"/>
  <c r="H596" i="9" s="1" a="1"/>
  <c r="H596" i="9" s="1"/>
  <c r="L608" i="9" a="1"/>
  <c r="L608" i="9" s="1"/>
  <c r="H608" i="9" s="1" a="1"/>
  <c r="H608" i="9" s="1"/>
  <c r="L630" i="9" a="1"/>
  <c r="L630" i="9" s="1"/>
  <c r="H630" i="9" s="1" a="1"/>
  <c r="H630" i="9" s="1"/>
  <c r="L643" i="9" a="1"/>
  <c r="L643" i="9" s="1"/>
  <c r="H643" i="9" s="1" a="1"/>
  <c r="H643" i="9" s="1"/>
  <c r="L653" i="9" a="1"/>
  <c r="L653" i="9" s="1"/>
  <c r="H653" i="9" s="1" a="1"/>
  <c r="H653" i="9" s="1"/>
  <c r="L666" i="9" a="1"/>
  <c r="L666" i="9" s="1"/>
  <c r="H666" i="9" s="1" a="1"/>
  <c r="H666" i="9" s="1"/>
  <c r="L678" i="9" a="1"/>
  <c r="L678" i="9" s="1"/>
  <c r="H678" i="9" s="1" a="1"/>
  <c r="H678" i="9" s="1"/>
  <c r="L688" i="9" a="1"/>
  <c r="L688" i="9" s="1"/>
  <c r="H688" i="9" s="1" a="1"/>
  <c r="H688" i="9" s="1"/>
  <c r="L701" i="9" a="1"/>
  <c r="L701" i="9" s="1"/>
  <c r="H701" i="9" s="1" a="1"/>
  <c r="H701" i="9" s="1"/>
  <c r="L713" i="9" a="1"/>
  <c r="L713" i="9" s="1"/>
  <c r="H713" i="9" s="1" a="1"/>
  <c r="H713" i="9" s="1"/>
  <c r="L724" i="9" a="1"/>
  <c r="L724" i="9" s="1"/>
  <c r="H724" i="9" s="1" a="1"/>
  <c r="H724" i="9" s="1"/>
  <c r="L736" i="9" a="1"/>
  <c r="L736" i="9" s="1"/>
  <c r="H736" i="9" s="1" a="1"/>
  <c r="H736" i="9" s="1"/>
  <c r="L760" i="9" a="1"/>
  <c r="L760" i="9" s="1"/>
  <c r="H760" i="9" s="1" a="1"/>
  <c r="H760" i="9" s="1"/>
  <c r="L771" i="9" a="1"/>
  <c r="L771" i="9" s="1"/>
  <c r="H771" i="9" s="1" a="1"/>
  <c r="H771" i="9" s="1"/>
  <c r="L782" i="9" a="1"/>
  <c r="L782" i="9" s="1"/>
  <c r="H782" i="9" s="1" a="1"/>
  <c r="H782" i="9" s="1"/>
  <c r="L795" i="9" a="1"/>
  <c r="L795" i="9" s="1"/>
  <c r="H795" i="9" s="1" a="1"/>
  <c r="H795" i="9" s="1"/>
  <c r="L806" i="9" a="1"/>
  <c r="L806" i="9" s="1"/>
  <c r="H806" i="9" s="1" a="1"/>
  <c r="H806" i="9" s="1"/>
  <c r="L818" i="9" a="1"/>
  <c r="L818" i="9" s="1"/>
  <c r="H818" i="9" s="1" a="1"/>
  <c r="H818" i="9" s="1"/>
  <c r="L829" i="9" a="1"/>
  <c r="L829" i="9" s="1"/>
  <c r="H829" i="9" s="1" a="1"/>
  <c r="H829" i="9" s="1"/>
  <c r="L839" i="9" a="1"/>
  <c r="L839" i="9" s="1"/>
  <c r="H839" i="9" s="1" a="1"/>
  <c r="H839" i="9" s="1"/>
  <c r="L849" i="9" a="1"/>
  <c r="L849" i="9" s="1"/>
  <c r="H849" i="9" s="1" a="1"/>
  <c r="H849" i="9" s="1"/>
  <c r="L868" i="9" a="1"/>
  <c r="L868" i="9" s="1"/>
  <c r="H868" i="9" s="1" a="1"/>
  <c r="H868" i="9" s="1"/>
  <c r="L877" i="9" a="1"/>
  <c r="L877" i="9" s="1"/>
  <c r="H877" i="9" s="1" a="1"/>
  <c r="H877" i="9" s="1"/>
  <c r="L888" i="9" a="1"/>
  <c r="L888" i="9" s="1"/>
  <c r="H888" i="9" s="1" a="1"/>
  <c r="H888" i="9" s="1"/>
  <c r="L905" i="9" a="1"/>
  <c r="L905" i="9" s="1"/>
  <c r="H905" i="9" s="1" a="1"/>
  <c r="H905" i="9" s="1"/>
  <c r="L961" i="9" a="1"/>
  <c r="L961" i="9" s="1"/>
  <c r="H961" i="9" s="1" a="1"/>
  <c r="H961" i="9" s="1"/>
  <c r="L970" i="9" a="1"/>
  <c r="L970" i="9" s="1"/>
  <c r="H970" i="9" s="1" a="1"/>
  <c r="H970" i="9" s="1"/>
  <c r="L987" i="9" a="1"/>
  <c r="L987" i="9" s="1"/>
  <c r="H987" i="9" s="1" a="1"/>
  <c r="H987" i="9" s="1"/>
  <c r="L996" i="9" a="1"/>
  <c r="L996" i="9" s="1"/>
  <c r="H996" i="9" s="1" a="1"/>
  <c r="H996" i="9" s="1"/>
  <c r="L1015" i="9" a="1"/>
  <c r="L1015" i="9" s="1"/>
  <c r="H1015" i="9" s="1" a="1"/>
  <c r="H1015" i="9" s="1"/>
  <c r="L1024" i="9" a="1"/>
  <c r="L1024" i="9" s="1"/>
  <c r="H1024" i="9" s="1" a="1"/>
  <c r="H1024" i="9" s="1"/>
  <c r="L1034" i="9" a="1"/>
  <c r="L1034" i="9" s="1"/>
  <c r="H1034" i="9" s="1" a="1"/>
  <c r="H1034" i="9" s="1"/>
  <c r="L1042" i="9" a="1"/>
  <c r="L1042" i="9" s="1"/>
  <c r="H1042" i="9" s="1" a="1"/>
  <c r="H1042" i="9" s="1"/>
  <c r="L1070" i="9" a="1"/>
  <c r="L1070" i="9" s="1"/>
  <c r="H1070" i="9" s="1" a="1"/>
  <c r="H1070" i="9" s="1"/>
  <c r="L1079" i="9" a="1"/>
  <c r="L1079" i="9" s="1"/>
  <c r="H1079" i="9" s="1" a="1"/>
  <c r="H1079" i="9" s="1"/>
  <c r="L1087" i="9" a="1"/>
  <c r="L1087" i="9" s="1"/>
  <c r="H1087" i="9" s="1" a="1"/>
  <c r="H1087" i="9" s="1"/>
  <c r="L1095" i="9" a="1"/>
  <c r="L1095" i="9" s="1"/>
  <c r="H1095" i="9" s="1" a="1"/>
  <c r="H1095" i="9" s="1"/>
  <c r="L1102" i="9" a="1"/>
  <c r="L1102" i="9" s="1"/>
  <c r="H1102" i="9" s="1" a="1"/>
  <c r="H1102" i="9" s="1"/>
  <c r="L1109" i="9" a="1"/>
  <c r="L1109" i="9" s="1"/>
  <c r="H1109" i="9" s="1" a="1"/>
  <c r="H1109" i="9" s="1"/>
  <c r="L1118" i="9" a="1"/>
  <c r="L1118" i="9" s="1"/>
  <c r="H1118" i="9" s="1" a="1"/>
  <c r="H1118" i="9" s="1"/>
  <c r="L1132" i="9" a="1"/>
  <c r="L1132" i="9" s="1"/>
  <c r="H1132" i="9" s="1" a="1"/>
  <c r="H1132" i="9" s="1"/>
  <c r="L1138" i="9" a="1"/>
  <c r="L1138" i="9" s="1"/>
  <c r="H1138" i="9" s="1" a="1"/>
  <c r="H1138" i="9" s="1"/>
  <c r="L1143" i="9" a="1"/>
  <c r="L1143" i="9" s="1"/>
  <c r="H1143" i="9" s="1" a="1"/>
  <c r="H1143" i="9" s="1"/>
  <c r="L1149" i="9" a="1"/>
  <c r="L1149" i="9" s="1"/>
  <c r="H1149" i="9" s="1" a="1"/>
  <c r="H1149" i="9" s="1"/>
  <c r="L1160" i="9" a="1"/>
  <c r="L1160" i="9" s="1"/>
  <c r="H1160" i="9" s="1" a="1"/>
  <c r="H1160" i="9" s="1"/>
  <c r="L1165" i="9" a="1"/>
  <c r="L1165" i="9" s="1"/>
  <c r="H1165" i="9" s="1" a="1"/>
  <c r="H1165" i="9" s="1"/>
  <c r="L1182" i="9" a="1"/>
  <c r="L1182" i="9" s="1"/>
  <c r="H1182" i="9" s="1" a="1"/>
  <c r="H1182" i="9" s="1"/>
  <c r="L1187" i="9" a="1"/>
  <c r="L1187" i="9" s="1"/>
  <c r="H1187" i="9" s="1" a="1"/>
  <c r="H1187" i="9" s="1"/>
  <c r="L1192" i="9" a="1"/>
  <c r="L1192" i="9" s="1"/>
  <c r="H1192" i="9" s="1" a="1"/>
  <c r="H1192" i="9" s="1"/>
  <c r="L1201" i="9" a="1"/>
  <c r="L1201" i="9" s="1"/>
  <c r="H1201" i="9" s="1" a="1"/>
  <c r="H1201" i="9" s="1"/>
  <c r="L1206" i="9" a="1"/>
  <c r="L1206" i="9" s="1"/>
  <c r="H1206" i="9" s="1" a="1"/>
  <c r="H1206" i="9" s="1"/>
  <c r="L1211" i="9" a="1"/>
  <c r="L1211" i="9" s="1"/>
  <c r="H1211" i="9" s="1" a="1"/>
  <c r="H1211" i="9" s="1"/>
  <c r="L1216" i="9" a="1"/>
  <c r="L1216" i="9" s="1"/>
  <c r="H1216" i="9" s="1" a="1"/>
  <c r="H1216" i="9" s="1"/>
  <c r="L1225" i="9" a="1"/>
  <c r="L1225" i="9" s="1"/>
  <c r="H1225" i="9" s="1" a="1"/>
  <c r="H1225" i="9" s="1"/>
  <c r="L1230" i="9" a="1"/>
  <c r="L1230" i="9" s="1"/>
  <c r="H1230" i="9" s="1" a="1"/>
  <c r="H1230" i="9" s="1"/>
  <c r="L1235" i="9" a="1"/>
  <c r="L1235" i="9" s="1"/>
  <c r="H1235" i="9" s="1" a="1"/>
  <c r="H1235" i="9" s="1"/>
  <c r="L1240" i="9" a="1"/>
  <c r="L1240" i="9" s="1"/>
  <c r="H1240" i="9" s="1" a="1"/>
  <c r="H1240" i="9" s="1"/>
  <c r="L1246" i="9" a="1"/>
  <c r="L1246" i="9" s="1"/>
  <c r="H1246" i="9" s="1" a="1"/>
  <c r="H1246" i="9" s="1"/>
  <c r="L1251" i="9" a="1"/>
  <c r="L1251" i="9" s="1"/>
  <c r="H1251" i="9" s="1" a="1"/>
  <c r="H1251" i="9" s="1"/>
  <c r="L1256" i="9" a="1"/>
  <c r="L1256" i="9" s="1"/>
  <c r="H1256" i="9" s="1" a="1"/>
  <c r="H1256" i="9" s="1"/>
  <c r="L1261" i="9" a="1"/>
  <c r="L1261" i="9" s="1"/>
  <c r="H1261" i="9" s="1" a="1"/>
  <c r="H1261" i="9" s="1"/>
  <c r="L1267" i="9" a="1"/>
  <c r="L1267" i="9" s="1"/>
  <c r="H1267" i="9" s="1" a="1"/>
  <c r="H1267" i="9" s="1"/>
  <c r="L1276" i="9" a="1"/>
  <c r="L1276" i="9" s="1"/>
  <c r="H1276" i="9" s="1" a="1"/>
  <c r="H1276" i="9" s="1"/>
  <c r="L1285" i="9" a="1"/>
  <c r="L1285" i="9" s="1"/>
  <c r="H1285" i="9" s="1" a="1"/>
  <c r="H1285" i="9" s="1"/>
  <c r="L1290" i="9" a="1"/>
  <c r="L1290" i="9" s="1"/>
  <c r="H1290" i="9" s="1" a="1"/>
  <c r="H1290" i="9" s="1"/>
  <c r="L1301" i="9" a="1"/>
  <c r="L1301" i="9" s="1"/>
  <c r="H1301" i="9" s="1" a="1"/>
  <c r="H1301" i="9" s="1"/>
  <c r="L1306" i="9" a="1"/>
  <c r="L1306" i="9" s="1"/>
  <c r="H1306" i="9" s="1" a="1"/>
  <c r="H1306" i="9" s="1"/>
  <c r="L1319" i="9" a="1"/>
  <c r="L1319" i="9" s="1"/>
  <c r="H1319" i="9" s="1" a="1"/>
  <c r="H1319" i="9" s="1"/>
  <c r="L1331" i="9" a="1"/>
  <c r="L1331" i="9" s="1"/>
  <c r="H1331" i="9" s="1" a="1"/>
  <c r="H1331" i="9" s="1"/>
  <c r="L1337" i="9" a="1"/>
  <c r="L1337" i="9" s="1"/>
  <c r="H1337" i="9" s="1" a="1"/>
  <c r="H1337" i="9" s="1"/>
  <c r="L1343" i="9" a="1"/>
  <c r="L1343" i="9" s="1"/>
  <c r="H1343" i="9" s="1" a="1"/>
  <c r="H1343" i="9" s="1"/>
  <c r="L1349" i="9" a="1"/>
  <c r="L1349" i="9" s="1"/>
  <c r="H1349" i="9" s="1" a="1"/>
  <c r="H1349" i="9" s="1"/>
  <c r="L1355" i="9" a="1"/>
  <c r="L1355" i="9" s="1"/>
  <c r="H1355" i="9" s="1" a="1"/>
  <c r="H1355" i="9" s="1"/>
  <c r="L1361" i="9" a="1"/>
  <c r="L1361" i="9" s="1"/>
  <c r="H1361" i="9" s="1" a="1"/>
  <c r="H1361" i="9" s="1"/>
  <c r="L1368" i="9" a="1"/>
  <c r="L1368" i="9" s="1"/>
  <c r="H1368" i="9" s="1" a="1"/>
  <c r="H1368" i="9" s="1"/>
  <c r="L1373" i="9" a="1"/>
  <c r="L1373" i="9" s="1"/>
  <c r="H1373" i="9" s="1" a="1"/>
  <c r="H1373" i="9" s="1"/>
  <c r="L1380" i="9" a="1"/>
  <c r="L1380" i="9" s="1"/>
  <c r="H1380" i="9" s="1" a="1"/>
  <c r="H1380" i="9" s="1"/>
  <c r="L1392" i="9" a="1"/>
  <c r="L1392" i="9" s="1"/>
  <c r="H1392" i="9" s="1" a="1"/>
  <c r="H1392" i="9" s="1"/>
  <c r="L1398" i="9" a="1"/>
  <c r="L1398" i="9" s="1"/>
  <c r="H1398" i="9" s="1" a="1"/>
  <c r="H1398" i="9" s="1"/>
  <c r="L1415" i="9" a="1"/>
  <c r="L1415" i="9" s="1"/>
  <c r="H1415" i="9" s="1" a="1"/>
  <c r="H1415" i="9" s="1"/>
  <c r="L1431" i="9" a="1"/>
  <c r="L1431" i="9" s="1"/>
  <c r="H1431" i="9" s="1" a="1"/>
  <c r="H1431" i="9" s="1"/>
  <c r="L1437" i="9" a="1"/>
  <c r="L1437" i="9" s="1"/>
  <c r="H1437" i="9" s="1" a="1"/>
  <c r="H1437" i="9" s="1"/>
  <c r="L1444" i="9" a="1"/>
  <c r="L1444" i="9" s="1"/>
  <c r="H1444" i="9" s="1" a="1"/>
  <c r="H1444" i="9" s="1"/>
  <c r="L1451" i="9" a="1"/>
  <c r="L1451" i="9" s="1"/>
  <c r="H1451" i="9" s="1" a="1"/>
  <c r="H1451" i="9" s="1"/>
  <c r="L1465" i="9" a="1"/>
  <c r="L1465" i="9" s="1"/>
  <c r="H1465" i="9" s="1" a="1"/>
  <c r="H1465" i="9" s="1"/>
  <c r="L1472" i="9" a="1"/>
  <c r="L1472" i="9" s="1"/>
  <c r="H1472" i="9" s="1" a="1"/>
  <c r="H1472" i="9" s="1"/>
  <c r="L1479" i="9" a="1"/>
  <c r="L1479" i="9" s="1"/>
  <c r="H1479" i="9" s="1" a="1"/>
  <c r="H1479" i="9" s="1"/>
  <c r="L1492" i="9" a="1"/>
  <c r="L1492" i="9" s="1"/>
  <c r="H1492" i="9" s="1" a="1"/>
  <c r="H1492" i="9" s="1"/>
  <c r="L1499" i="9" a="1"/>
  <c r="L1499" i="9" s="1"/>
  <c r="H1499" i="9" s="1" a="1"/>
  <c r="H1499" i="9" s="1"/>
  <c r="L1506" i="9" a="1"/>
  <c r="L1506" i="9" s="1"/>
  <c r="H1506" i="9" s="1" a="1"/>
  <c r="H1506" i="9" s="1"/>
  <c r="L1520" i="9" a="1"/>
  <c r="L1520" i="9" s="1"/>
  <c r="H1520" i="9" s="1" a="1"/>
  <c r="H1520" i="9" s="1"/>
  <c r="L1527" i="9" a="1"/>
  <c r="L1527" i="9" s="1"/>
  <c r="H1527" i="9" s="1" a="1"/>
  <c r="H1527" i="9" s="1"/>
  <c r="L1534" i="9" a="1"/>
  <c r="L1534" i="9" s="1"/>
  <c r="H1534" i="9" s="1" a="1"/>
  <c r="H1534" i="9" s="1"/>
  <c r="L1541" i="9" a="1"/>
  <c r="L1541" i="9" s="1"/>
  <c r="H1541" i="9" s="1" a="1"/>
  <c r="H1541" i="9" s="1"/>
  <c r="L1548" i="9" a="1"/>
  <c r="L1548" i="9" s="1"/>
  <c r="H1548" i="9" s="1" a="1"/>
  <c r="H1548" i="9" s="1"/>
  <c r="L1554" i="9" a="1"/>
  <c r="L1554" i="9" s="1"/>
  <c r="H1554" i="9" s="1" a="1"/>
  <c r="H1554" i="9" s="1"/>
  <c r="L54" i="9" a="1"/>
  <c r="L54" i="9" s="1"/>
  <c r="H54" i="9" s="1" a="1"/>
  <c r="H54" i="9" s="1"/>
  <c r="L75" i="9" a="1"/>
  <c r="L75" i="9" s="1"/>
  <c r="H75" i="9" s="1" a="1"/>
  <c r="H75" i="9" s="1"/>
  <c r="L96" i="9" a="1"/>
  <c r="L96" i="9" s="1"/>
  <c r="H96" i="9" s="1" a="1"/>
  <c r="H96" i="9" s="1"/>
  <c r="L135" i="9" a="1"/>
  <c r="L135" i="9" s="1"/>
  <c r="H135" i="9" s="1" a="1"/>
  <c r="H135" i="9" s="1"/>
  <c r="L171" i="9" a="1"/>
  <c r="L171" i="9" s="1"/>
  <c r="H171" i="9" s="1" a="1"/>
  <c r="H171" i="9" s="1"/>
  <c r="L184" i="9" a="1"/>
  <c r="L184" i="9" s="1"/>
  <c r="H184" i="9" s="1" a="1"/>
  <c r="H184" i="9" s="1"/>
  <c r="L197" i="9" a="1"/>
  <c r="L197" i="9" s="1"/>
  <c r="H197" i="9" s="1" a="1"/>
  <c r="H197" i="9" s="1"/>
  <c r="L209" i="9" a="1"/>
  <c r="L209" i="9" s="1"/>
  <c r="H209" i="9" s="1" a="1"/>
  <c r="H209" i="9" s="1"/>
  <c r="L233" i="9" a="1"/>
  <c r="L233" i="9" s="1"/>
  <c r="H233" i="9" s="1" a="1"/>
  <c r="H233" i="9" s="1"/>
  <c r="L245" i="9" a="1"/>
  <c r="L245" i="9" s="1"/>
  <c r="H245" i="9" s="1" a="1"/>
  <c r="H245" i="9" s="1"/>
  <c r="L257" i="9" a="1"/>
  <c r="L257" i="9" s="1"/>
  <c r="H257" i="9" s="1" a="1"/>
  <c r="H257" i="9" s="1"/>
  <c r="L269" i="9" a="1"/>
  <c r="L269" i="9" s="1"/>
  <c r="H269" i="9" s="1" a="1"/>
  <c r="H269" i="9" s="1"/>
  <c r="L281" i="9" a="1"/>
  <c r="L281" i="9" s="1"/>
  <c r="H281" i="9" s="1" a="1"/>
  <c r="H281" i="9" s="1"/>
  <c r="L293" i="9" a="1"/>
  <c r="L293" i="9" s="1"/>
  <c r="H293" i="9" s="1" a="1"/>
  <c r="H293" i="9" s="1"/>
  <c r="L342" i="9" a="1"/>
  <c r="L342" i="9" s="1"/>
  <c r="H342" i="9" s="1" a="1"/>
  <c r="H342" i="9" s="1"/>
  <c r="L356" i="9" a="1"/>
  <c r="L356" i="9" s="1"/>
  <c r="H356" i="9" s="1" a="1"/>
  <c r="H356" i="9" s="1"/>
  <c r="L369" i="9" a="1"/>
  <c r="L369" i="9" s="1"/>
  <c r="H369" i="9" s="1" a="1"/>
  <c r="H369" i="9" s="1"/>
  <c r="L384" i="9" a="1"/>
  <c r="L384" i="9" s="1"/>
  <c r="H384" i="9" s="1" a="1"/>
  <c r="H384" i="9" s="1"/>
  <c r="L399" i="9" a="1"/>
  <c r="L399" i="9" s="1"/>
  <c r="H399" i="9" s="1" a="1"/>
  <c r="H399" i="9" s="1"/>
  <c r="L413" i="9" a="1"/>
  <c r="L413" i="9" s="1"/>
  <c r="H413" i="9" s="1" a="1"/>
  <c r="H413" i="9" s="1"/>
  <c r="L428" i="9" a="1"/>
  <c r="L428" i="9" s="1"/>
  <c r="H428" i="9" s="1" a="1"/>
  <c r="H428" i="9" s="1"/>
  <c r="L442" i="9" a="1"/>
  <c r="L442" i="9" s="1"/>
  <c r="H442" i="9" s="1" a="1"/>
  <c r="H442" i="9" s="1"/>
  <c r="L458" i="9" a="1"/>
  <c r="L458" i="9" s="1"/>
  <c r="H458" i="9" s="1" a="1"/>
  <c r="H458" i="9" s="1"/>
  <c r="L487" i="9" a="1"/>
  <c r="L487" i="9" s="1"/>
  <c r="H487" i="9" s="1" a="1"/>
  <c r="H487" i="9" s="1"/>
  <c r="L501" i="9" a="1"/>
  <c r="L501" i="9" s="1"/>
  <c r="H501" i="9" s="1" a="1"/>
  <c r="H501" i="9" s="1"/>
  <c r="L516" i="9" a="1"/>
  <c r="L516" i="9" s="1"/>
  <c r="H516" i="9" s="1" a="1"/>
  <c r="H516" i="9" s="1"/>
  <c r="L528" i="9" a="1"/>
  <c r="L528" i="9" s="1"/>
  <c r="H528" i="9" s="1" a="1"/>
  <c r="H528" i="9" s="1"/>
  <c r="L539" i="9" a="1"/>
  <c r="L539" i="9" s="1"/>
  <c r="H539" i="9" s="1" a="1"/>
  <c r="H539" i="9" s="1"/>
  <c r="L551" i="9" a="1"/>
  <c r="L551" i="9" s="1"/>
  <c r="H551" i="9" s="1" a="1"/>
  <c r="H551" i="9" s="1"/>
  <c r="L564" i="9" a="1"/>
  <c r="L564" i="9" s="1"/>
  <c r="H564" i="9" s="1" a="1"/>
  <c r="H564" i="9" s="1"/>
  <c r="L575" i="9" a="1"/>
  <c r="L575" i="9" s="1"/>
  <c r="H575" i="9" s="1" a="1"/>
  <c r="H575" i="9" s="1"/>
  <c r="L586" i="9" a="1"/>
  <c r="L586" i="9" s="1"/>
  <c r="H586" i="9" s="1" a="1"/>
  <c r="H586" i="9" s="1"/>
  <c r="L598" i="9" a="1"/>
  <c r="L598" i="9" s="1"/>
  <c r="H598" i="9" s="1" a="1"/>
  <c r="H598" i="9" s="1"/>
  <c r="L632" i="9" a="1"/>
  <c r="L632" i="9" s="1"/>
  <c r="H632" i="9" s="1" a="1"/>
  <c r="H632" i="9" s="1"/>
  <c r="L644" i="9" a="1"/>
  <c r="L644" i="9" s="1"/>
  <c r="H644" i="9" s="1" a="1"/>
  <c r="H644" i="9" s="1"/>
  <c r="L655" i="9" a="1"/>
  <c r="L655" i="9" s="1"/>
  <c r="H655" i="9" s="1" a="1"/>
  <c r="H655" i="9" s="1"/>
  <c r="L667" i="9" a="1"/>
  <c r="L667" i="9" s="1"/>
  <c r="H667" i="9" s="1" a="1"/>
  <c r="H667" i="9" s="1"/>
  <c r="L680" i="9" a="1"/>
  <c r="L680" i="9" s="1"/>
  <c r="H680" i="9" s="1" a="1"/>
  <c r="H680" i="9" s="1"/>
  <c r="L690" i="9" a="1"/>
  <c r="L690" i="9" s="1"/>
  <c r="H690" i="9" s="1" a="1"/>
  <c r="H690" i="9" s="1"/>
  <c r="L702" i="9" a="1"/>
  <c r="L702" i="9" s="1"/>
  <c r="H702" i="9" s="1" a="1"/>
  <c r="H702" i="9" s="1"/>
  <c r="L715" i="9" a="1"/>
  <c r="L715" i="9" s="1"/>
  <c r="H715" i="9" s="1" a="1"/>
  <c r="H715" i="9" s="1"/>
  <c r="L725" i="9" a="1"/>
  <c r="L725" i="9" s="1"/>
  <c r="H725" i="9" s="1" a="1"/>
  <c r="H725" i="9" s="1"/>
  <c r="L738" i="9" a="1"/>
  <c r="L738" i="9" s="1"/>
  <c r="H738" i="9" s="1" a="1"/>
  <c r="H738" i="9" s="1"/>
  <c r="L761" i="9" a="1"/>
  <c r="L761" i="9" s="1"/>
  <c r="H761" i="9" s="1" a="1"/>
  <c r="H761" i="9" s="1"/>
  <c r="L773" i="9" a="1"/>
  <c r="L773" i="9" s="1"/>
  <c r="H773" i="9" s="1" a="1"/>
  <c r="H773" i="9" s="1"/>
  <c r="L783" i="9" a="1"/>
  <c r="L783" i="9" s="1"/>
  <c r="H783" i="9" s="1" a="1"/>
  <c r="H783" i="9" s="1"/>
  <c r="L796" i="9" a="1"/>
  <c r="L796" i="9" s="1"/>
  <c r="H796" i="9" s="1" a="1"/>
  <c r="H796" i="9" s="1"/>
  <c r="L808" i="9" a="1"/>
  <c r="L808" i="9" s="1"/>
  <c r="H808" i="9" s="1" a="1"/>
  <c r="H808" i="9" s="1"/>
  <c r="L819" i="9" a="1"/>
  <c r="L819" i="9" s="1"/>
  <c r="H819" i="9" s="1" a="1"/>
  <c r="H819" i="9" s="1"/>
  <c r="L831" i="9" a="1"/>
  <c r="L831" i="9" s="1"/>
  <c r="H831" i="9" s="1" a="1"/>
  <c r="H831" i="9" s="1"/>
  <c r="L840" i="9" a="1"/>
  <c r="L840" i="9" s="1"/>
  <c r="H840" i="9" s="1" a="1"/>
  <c r="H840" i="9" s="1"/>
  <c r="L879" i="9" a="1"/>
  <c r="L879" i="9" s="1"/>
  <c r="H879" i="9" s="1" a="1"/>
  <c r="H879" i="9" s="1"/>
  <c r="L898" i="9" a="1"/>
  <c r="L898" i="9" s="1"/>
  <c r="H898" i="9" s="1" a="1"/>
  <c r="H898" i="9" s="1"/>
  <c r="L907" i="9" a="1"/>
  <c r="L907" i="9" s="1"/>
  <c r="H907" i="9" s="1" a="1"/>
  <c r="H907" i="9" s="1"/>
  <c r="L916" i="9" a="1"/>
  <c r="L916" i="9" s="1"/>
  <c r="H916" i="9" s="1" a="1"/>
  <c r="H916" i="9" s="1"/>
  <c r="L933" i="9" a="1"/>
  <c r="L933" i="9" s="1"/>
  <c r="H933" i="9" s="1" a="1"/>
  <c r="H933" i="9" s="1"/>
  <c r="L944" i="9" a="1"/>
  <c r="L944" i="9" s="1"/>
  <c r="H944" i="9" s="1" a="1"/>
  <c r="H944" i="9" s="1"/>
  <c r="L962" i="9" a="1"/>
  <c r="L962" i="9" s="1"/>
  <c r="H962" i="9" s="1" a="1"/>
  <c r="H962" i="9" s="1"/>
  <c r="L971" i="9" a="1"/>
  <c r="L971" i="9" s="1"/>
  <c r="H971" i="9" s="1" a="1"/>
  <c r="H971" i="9" s="1"/>
  <c r="L979" i="9" a="1"/>
  <c r="L979" i="9" s="1"/>
  <c r="H979" i="9" s="1" a="1"/>
  <c r="H979" i="9" s="1"/>
  <c r="L988" i="9" a="1"/>
  <c r="L988" i="9" s="1"/>
  <c r="H988" i="9" s="1" a="1"/>
  <c r="H988" i="9" s="1"/>
  <c r="L997" i="9" a="1"/>
  <c r="L997" i="9" s="1"/>
  <c r="H997" i="9" s="1" a="1"/>
  <c r="H997" i="9" s="1"/>
  <c r="L1007" i="9" a="1"/>
  <c r="L1007" i="9" s="1"/>
  <c r="H1007" i="9" s="1" a="1"/>
  <c r="H1007" i="9" s="1"/>
  <c r="L1035" i="9" a="1"/>
  <c r="L1035" i="9" s="1"/>
  <c r="H1035" i="9" s="1" a="1"/>
  <c r="H1035" i="9" s="1"/>
  <c r="L1043" i="9" a="1"/>
  <c r="L1043" i="9" s="1"/>
  <c r="H1043" i="9" s="1" a="1"/>
  <c r="H1043" i="9" s="1"/>
  <c r="L1052" i="9" a="1"/>
  <c r="L1052" i="9" s="1"/>
  <c r="H1052" i="9" s="1" a="1"/>
  <c r="H1052" i="9" s="1"/>
  <c r="L1062" i="9" a="1"/>
  <c r="L1062" i="9" s="1"/>
  <c r="H1062" i="9" s="1" a="1"/>
  <c r="H1062" i="9" s="1"/>
  <c r="L1080" i="9" a="1"/>
  <c r="L1080" i="9" s="1"/>
  <c r="H1080" i="9" s="1" a="1"/>
  <c r="H1080" i="9" s="1"/>
  <c r="L1088" i="9" a="1"/>
  <c r="L1088" i="9" s="1"/>
  <c r="H1088" i="9" s="1" a="1"/>
  <c r="H1088" i="9" s="1"/>
  <c r="L1103" i="9" a="1"/>
  <c r="L1103" i="9" s="1"/>
  <c r="H1103" i="9" s="1" a="1"/>
  <c r="H1103" i="9" s="1"/>
  <c r="L1110" i="9" a="1"/>
  <c r="L1110" i="9" s="1"/>
  <c r="H1110" i="9" s="1" a="1"/>
  <c r="H1110" i="9" s="1"/>
  <c r="L1119" i="9" a="1"/>
  <c r="L1119" i="9" s="1"/>
  <c r="H1119" i="9" s="1" a="1"/>
  <c r="H1119" i="9" s="1"/>
  <c r="L1126" i="9" a="1"/>
  <c r="L1126" i="9" s="1"/>
  <c r="H1126" i="9" s="1" a="1"/>
  <c r="H1126" i="9" s="1"/>
  <c r="L1150" i="9" a="1"/>
  <c r="L1150" i="9" s="1"/>
  <c r="H1150" i="9" s="1" a="1"/>
  <c r="H1150" i="9" s="1"/>
  <c r="L1166" i="9" a="1"/>
  <c r="L1166" i="9" s="1"/>
  <c r="H1166" i="9" s="1" a="1"/>
  <c r="H1166" i="9" s="1"/>
  <c r="L1171" i="9" a="1"/>
  <c r="L1171" i="9" s="1"/>
  <c r="H1171" i="9" s="1" a="1"/>
  <c r="H1171" i="9" s="1"/>
  <c r="L1176" i="9" a="1"/>
  <c r="L1176" i="9" s="1"/>
  <c r="H1176" i="9" s="1" a="1"/>
  <c r="H1176" i="9" s="1"/>
  <c r="L1197" i="9" a="1"/>
  <c r="L1197" i="9" s="1"/>
  <c r="H1197" i="9" s="1" a="1"/>
  <c r="H1197" i="9" s="1"/>
  <c r="L1202" i="9" a="1"/>
  <c r="L1202" i="9" s="1"/>
  <c r="H1202" i="9" s="1" a="1"/>
  <c r="H1202" i="9" s="1"/>
  <c r="L1221" i="9" a="1"/>
  <c r="L1221" i="9" s="1"/>
  <c r="H1221" i="9" s="1" a="1"/>
  <c r="H1221" i="9" s="1"/>
  <c r="L1226" i="9" a="1"/>
  <c r="L1226" i="9" s="1"/>
  <c r="H1226" i="9" s="1" a="1"/>
  <c r="H1226" i="9" s="1"/>
  <c r="L1236" i="9" a="1"/>
  <c r="L1236" i="9" s="1"/>
  <c r="H1236" i="9" s="1" a="1"/>
  <c r="H1236" i="9" s="1"/>
  <c r="L1241" i="9" a="1"/>
  <c r="L1241" i="9" s="1"/>
  <c r="H1241" i="9" s="1" a="1"/>
  <c r="H1241" i="9" s="1"/>
  <c r="L1262" i="9" a="1"/>
  <c r="L1262" i="9" s="1"/>
  <c r="H1262" i="9" s="1" a="1"/>
  <c r="H1262" i="9" s="1"/>
  <c r="L1272" i="9" a="1"/>
  <c r="L1272" i="9" s="1"/>
  <c r="H1272" i="9" s="1" a="1"/>
  <c r="H1272" i="9" s="1"/>
  <c r="L1281" i="9" a="1"/>
  <c r="L1281" i="9" s="1"/>
  <c r="H1281" i="9" s="1" a="1"/>
  <c r="H1281" i="9" s="1"/>
  <c r="L1291" i="9" a="1"/>
  <c r="L1291" i="9" s="1"/>
  <c r="H1291" i="9" s="1" a="1"/>
  <c r="H1291" i="9" s="1"/>
  <c r="L1296" i="9" a="1"/>
  <c r="L1296" i="9" s="1"/>
  <c r="H1296" i="9" s="1" a="1"/>
  <c r="H1296" i="9" s="1"/>
  <c r="L1307" i="9" a="1"/>
  <c r="L1307" i="9" s="1"/>
  <c r="H1307" i="9" s="1" a="1"/>
  <c r="H1307" i="9" s="1"/>
  <c r="L1313" i="9" a="1"/>
  <c r="L1313" i="9" s="1"/>
  <c r="H1313" i="9" s="1" a="1"/>
  <c r="H1313" i="9" s="1"/>
  <c r="L1320" i="9" a="1"/>
  <c r="L1320" i="9" s="1"/>
  <c r="H1320" i="9" s="1" a="1"/>
  <c r="H1320" i="9" s="1"/>
  <c r="L1325" i="9" a="1"/>
  <c r="L1325" i="9" s="1"/>
  <c r="H1325" i="9" s="1" a="1"/>
  <c r="H1325" i="9" s="1"/>
  <c r="L1332" i="9" a="1"/>
  <c r="L1332" i="9" s="1"/>
  <c r="H1332" i="9" s="1" a="1"/>
  <c r="H1332" i="9" s="1"/>
  <c r="L1344" i="9" a="1"/>
  <c r="L1344" i="9" s="1"/>
  <c r="H1344" i="9" s="1" a="1"/>
  <c r="H1344" i="9" s="1"/>
  <c r="L1350" i="9" a="1"/>
  <c r="L1350" i="9" s="1"/>
  <c r="H1350" i="9" s="1" a="1"/>
  <c r="H1350" i="9" s="1"/>
  <c r="L1356" i="9" a="1"/>
  <c r="L1356" i="9" s="1"/>
  <c r="H1356" i="9" s="1" a="1"/>
  <c r="H1356" i="9" s="1"/>
  <c r="L1362" i="9" a="1"/>
  <c r="L1362" i="9" s="1"/>
  <c r="H1362" i="9" s="1" a="1"/>
  <c r="H1362" i="9" s="1"/>
  <c r="L1374" i="9" a="1"/>
  <c r="L1374" i="9" s="1"/>
  <c r="H1374" i="9" s="1" a="1"/>
  <c r="H1374" i="9" s="1"/>
  <c r="L1386" i="9" a="1"/>
  <c r="L1386" i="9" s="1"/>
  <c r="H1386" i="9" s="1" a="1"/>
  <c r="H1386" i="9" s="1"/>
  <c r="L1399" i="9" a="1"/>
  <c r="L1399" i="9" s="1"/>
  <c r="H1399" i="9" s="1" a="1"/>
  <c r="H1399" i="9" s="1"/>
  <c r="L1405" i="9" a="1"/>
  <c r="L1405" i="9" s="1"/>
  <c r="H1405" i="9" s="1" a="1"/>
  <c r="H1405" i="9" s="1"/>
  <c r="L1410" i="9" a="1"/>
  <c r="L1410" i="9" s="1"/>
  <c r="H1410" i="9" s="1" a="1"/>
  <c r="H1410" i="9" s="1"/>
  <c r="L1416" i="9" a="1"/>
  <c r="L1416" i="9" s="1"/>
  <c r="H1416" i="9" s="1" a="1"/>
  <c r="H1416" i="9" s="1"/>
  <c r="L1421" i="9" a="1"/>
  <c r="L1421" i="9" s="1"/>
  <c r="H1421" i="9" s="1" a="1"/>
  <c r="H1421" i="9" s="1"/>
  <c r="L1426" i="9" a="1"/>
  <c r="L1426" i="9" s="1"/>
  <c r="H1426" i="9" s="1" a="1"/>
  <c r="H1426" i="9" s="1"/>
  <c r="L1432" i="9" a="1"/>
  <c r="L1432" i="9" s="1"/>
  <c r="H1432" i="9" s="1" a="1"/>
  <c r="H1432" i="9" s="1"/>
  <c r="L1438" i="9" a="1"/>
  <c r="L1438" i="9" s="1"/>
  <c r="H1438" i="9" s="1" a="1"/>
  <c r="H1438" i="9" s="1"/>
  <c r="L1445" i="9" a="1"/>
  <c r="L1445" i="9" s="1"/>
  <c r="H1445" i="9" s="1" a="1"/>
  <c r="H1445" i="9" s="1"/>
  <c r="L1452" i="9" a="1"/>
  <c r="L1452" i="9" s="1"/>
  <c r="H1452" i="9" s="1" a="1"/>
  <c r="H1452" i="9" s="1"/>
  <c r="L1458" i="9" a="1"/>
  <c r="L1458" i="9" s="1"/>
  <c r="H1458" i="9" s="1" a="1"/>
  <c r="H1458" i="9" s="1"/>
  <c r="L1473" i="9" a="1"/>
  <c r="L1473" i="9" s="1"/>
  <c r="H1473" i="9" s="1" a="1"/>
  <c r="H1473" i="9" s="1"/>
  <c r="L1480" i="9" a="1"/>
  <c r="L1480" i="9" s="1"/>
  <c r="H1480" i="9" s="1" a="1"/>
  <c r="H1480" i="9" s="1"/>
  <c r="L1486" i="9" a="1"/>
  <c r="L1486" i="9" s="1"/>
  <c r="H1486" i="9" s="1" a="1"/>
  <c r="H1486" i="9" s="1"/>
  <c r="L1493" i="9" a="1"/>
  <c r="L1493" i="9" s="1"/>
  <c r="H1493" i="9" s="1" a="1"/>
  <c r="H1493" i="9" s="1"/>
  <c r="L1500" i="9" a="1"/>
  <c r="L1500" i="9" s="1"/>
  <c r="H1500" i="9" s="1" a="1"/>
  <c r="H1500" i="9" s="1"/>
  <c r="L1507" i="9" a="1"/>
  <c r="L1507" i="9" s="1"/>
  <c r="H1507" i="9" s="1" a="1"/>
  <c r="H1507" i="9" s="1"/>
  <c r="L1514" i="9" a="1"/>
  <c r="L1514" i="9" s="1"/>
  <c r="H1514" i="9" s="1" a="1"/>
  <c r="H1514" i="9" s="1"/>
  <c r="L1521" i="9" a="1"/>
  <c r="L1521" i="9" s="1"/>
  <c r="H1521" i="9" s="1" a="1"/>
  <c r="H1521" i="9" s="1"/>
  <c r="L1528" i="9" a="1"/>
  <c r="L1528" i="9" s="1"/>
  <c r="H1528" i="9" s="1" a="1"/>
  <c r="H1528" i="9" s="1"/>
  <c r="L1535" i="9" a="1"/>
  <c r="L1535" i="9" s="1"/>
  <c r="H1535" i="9" s="1" a="1"/>
  <c r="H1535" i="9" s="1"/>
  <c r="L1542" i="9" a="1"/>
  <c r="L1542" i="9" s="1"/>
  <c r="H1542" i="9" s="1" a="1"/>
  <c r="H1542" i="9" s="1"/>
  <c r="L1549" i="9" a="1"/>
  <c r="L1549" i="9" s="1"/>
  <c r="H1549" i="9" s="1" a="1"/>
  <c r="H1549" i="9" s="1"/>
  <c r="L1555" i="9" a="1"/>
  <c r="L1555" i="9" s="1"/>
  <c r="H1555" i="9" s="1" a="1"/>
  <c r="H1555" i="9" s="1"/>
  <c r="L1562" i="9" a="1"/>
  <c r="L1562" i="9" s="1"/>
  <c r="H1562" i="9" s="1" a="1"/>
  <c r="H1562" i="9" s="1"/>
  <c r="L1577" i="9" a="1"/>
  <c r="L1577" i="9" s="1"/>
  <c r="H1577" i="9" s="1" a="1"/>
  <c r="H1577" i="9" s="1"/>
  <c r="L1583" i="9" a="1"/>
  <c r="L1583" i="9" s="1"/>
  <c r="H1583" i="9" s="1" a="1"/>
  <c r="H1583" i="9" s="1"/>
  <c r="L1590" i="9" a="1"/>
  <c r="L1590" i="9" s="1"/>
  <c r="H1590" i="9" s="1" a="1"/>
  <c r="H1590" i="9" s="1"/>
  <c r="L1597" i="9" a="1"/>
  <c r="L1597" i="9" s="1"/>
  <c r="H1597" i="9" s="1" a="1"/>
  <c r="H1597" i="9" s="1"/>
  <c r="L1604" i="9" a="1"/>
  <c r="L1604" i="9" s="1"/>
  <c r="H1604" i="9" s="1" a="1"/>
  <c r="H1604" i="9" s="1"/>
  <c r="L1611" i="9" a="1"/>
  <c r="L1611" i="9" s="1"/>
  <c r="H1611" i="9" s="1" a="1"/>
  <c r="H1611" i="9" s="1"/>
  <c r="L1624" i="9" a="1"/>
  <c r="L1624" i="9" s="1"/>
  <c r="H1624" i="9" s="1" a="1"/>
  <c r="H1624" i="9" s="1"/>
  <c r="L1631" i="9" a="1"/>
  <c r="L1631" i="9" s="1"/>
  <c r="H1631" i="9" s="1" a="1"/>
  <c r="H1631" i="9" s="1"/>
  <c r="L1638" i="9" a="1"/>
  <c r="L1638" i="9" s="1"/>
  <c r="H1638" i="9" s="1" a="1"/>
  <c r="H1638" i="9" s="1"/>
  <c r="L1645" i="9" a="1"/>
  <c r="L1645" i="9" s="1"/>
  <c r="H1645" i="9" s="1" a="1"/>
  <c r="H1645" i="9" s="1"/>
  <c r="L1651" i="9" a="1"/>
  <c r="L1651" i="9" s="1"/>
  <c r="H1651" i="9" s="1" a="1"/>
  <c r="H1651" i="9" s="1"/>
  <c r="L1665" i="9" a="1"/>
  <c r="L1665" i="9" s="1"/>
  <c r="H1665" i="9" s="1" a="1"/>
  <c r="H1665" i="9" s="1"/>
  <c r="L1672" i="9" a="1"/>
  <c r="L1672" i="9" s="1"/>
  <c r="H1672" i="9" s="1" a="1"/>
  <c r="H1672" i="9" s="1"/>
  <c r="L1678" i="9" a="1"/>
  <c r="L1678" i="9" s="1"/>
  <c r="H1678" i="9" s="1" a="1"/>
  <c r="H1678" i="9" s="1"/>
  <c r="L1692" i="9" a="1"/>
  <c r="L1692" i="9" s="1"/>
  <c r="H1692" i="9" s="1" a="1"/>
  <c r="H1692" i="9" s="1"/>
  <c r="L1699" i="9" a="1"/>
  <c r="L1699" i="9" s="1"/>
  <c r="H1699" i="9" s="1" a="1"/>
  <c r="H1699" i="9" s="1"/>
  <c r="L1706" i="9" a="1"/>
  <c r="L1706" i="9" s="1"/>
  <c r="H1706" i="9" s="1" a="1"/>
  <c r="H1706" i="9" s="1"/>
  <c r="L1712" i="9" a="1"/>
  <c r="L1712" i="9" s="1"/>
  <c r="H1712" i="9" s="1" a="1"/>
  <c r="H1712" i="9" s="1"/>
  <c r="L1718" i="9" a="1"/>
  <c r="L1718" i="9" s="1"/>
  <c r="H1718" i="9" s="1" a="1"/>
  <c r="H1718" i="9" s="1"/>
  <c r="L1730" i="9" a="1"/>
  <c r="L1730" i="9" s="1"/>
  <c r="H1730" i="9" s="1" a="1"/>
  <c r="H1730" i="9" s="1"/>
  <c r="L1737" i="9" a="1"/>
  <c r="L1737" i="9" s="1"/>
  <c r="H1737" i="9" s="1" a="1"/>
  <c r="H1737" i="9" s="1"/>
  <c r="L1744" i="9" a="1"/>
  <c r="L1744" i="9" s="1"/>
  <c r="H1744" i="9" s="1" a="1"/>
  <c r="H1744" i="9" s="1"/>
  <c r="L1752" i="9" a="1"/>
  <c r="L1752" i="9" s="1"/>
  <c r="H1752" i="9" s="1" a="1"/>
  <c r="H1752" i="9" s="1"/>
  <c r="L60" i="9" a="1"/>
  <c r="L60" i="9" s="1"/>
  <c r="H60" i="9" s="1" a="1"/>
  <c r="H60" i="9" s="1"/>
  <c r="L99" i="9" a="1"/>
  <c r="L99" i="9" s="1"/>
  <c r="H99" i="9" s="1" a="1"/>
  <c r="H99" i="9" s="1"/>
  <c r="L125" i="9" a="1"/>
  <c r="L125" i="9" s="1"/>
  <c r="H125" i="9" s="1" a="1"/>
  <c r="H125" i="9" s="1"/>
  <c r="L138" i="9" a="1"/>
  <c r="L138" i="9" s="1"/>
  <c r="H138" i="9" s="1" a="1"/>
  <c r="H138" i="9" s="1"/>
  <c r="L150" i="9" a="1"/>
  <c r="L150" i="9" s="1"/>
  <c r="H150" i="9" s="1" a="1"/>
  <c r="H150" i="9" s="1"/>
  <c r="L163" i="9" a="1"/>
  <c r="L163" i="9" s="1"/>
  <c r="H163" i="9" s="1" a="1"/>
  <c r="H163" i="9" s="1"/>
  <c r="L188" i="9" a="1"/>
  <c r="L188" i="9" s="1"/>
  <c r="H188" i="9" s="1" a="1"/>
  <c r="H188" i="9" s="1"/>
  <c r="L199" i="9" a="1"/>
  <c r="L199" i="9" s="1"/>
  <c r="H199" i="9" s="1" a="1"/>
  <c r="H199" i="9" s="1"/>
  <c r="L212" i="9" a="1"/>
  <c r="L212" i="9" s="1"/>
  <c r="H212" i="9" s="1" a="1"/>
  <c r="H212" i="9" s="1"/>
  <c r="L236" i="9" a="1"/>
  <c r="L236" i="9" s="1"/>
  <c r="H236" i="9" s="1" a="1"/>
  <c r="H236" i="9" s="1"/>
  <c r="L260" i="9" a="1"/>
  <c r="L260" i="9" s="1"/>
  <c r="H260" i="9" s="1" a="1"/>
  <c r="H260" i="9" s="1"/>
  <c r="L272" i="9" a="1"/>
  <c r="L272" i="9" s="1"/>
  <c r="H272" i="9" s="1" a="1"/>
  <c r="H272" i="9" s="1"/>
  <c r="L284" i="9" a="1"/>
  <c r="L284" i="9" s="1"/>
  <c r="H284" i="9" s="1" a="1"/>
  <c r="H284" i="9" s="1"/>
  <c r="L296" i="9" a="1"/>
  <c r="L296" i="9" s="1"/>
  <c r="H296" i="9" s="1" a="1"/>
  <c r="H296" i="9" s="1"/>
  <c r="L307" i="9" a="1"/>
  <c r="L307" i="9" s="1"/>
  <c r="H307" i="9" s="1" a="1"/>
  <c r="H307" i="9" s="1"/>
  <c r="L320" i="9" a="1"/>
  <c r="L320" i="9" s="1"/>
  <c r="H320" i="9" s="1" a="1"/>
  <c r="H320" i="9" s="1"/>
  <c r="L333" i="9" a="1"/>
  <c r="L333" i="9" s="1"/>
  <c r="H333" i="9" s="1" a="1"/>
  <c r="H333" i="9" s="1"/>
  <c r="L345" i="9" a="1"/>
  <c r="L345" i="9" s="1"/>
  <c r="H345" i="9" s="1" a="1"/>
  <c r="H345" i="9" s="1"/>
  <c r="L359" i="9" a="1"/>
  <c r="L359" i="9" s="1"/>
  <c r="H359" i="9" s="1" a="1"/>
  <c r="H359" i="9" s="1"/>
  <c r="L373" i="9" a="1"/>
  <c r="L373" i="9" s="1"/>
  <c r="H373" i="9" s="1" a="1"/>
  <c r="H373" i="9" s="1"/>
  <c r="L388" i="9" a="1"/>
  <c r="L388" i="9" s="1"/>
  <c r="H388" i="9" s="1" a="1"/>
  <c r="H388" i="9" s="1"/>
  <c r="L402" i="9" a="1"/>
  <c r="L402" i="9" s="1"/>
  <c r="H402" i="9" s="1" a="1"/>
  <c r="H402" i="9" s="1"/>
  <c r="L417" i="9" a="1"/>
  <c r="L417" i="9" s="1"/>
  <c r="H417" i="9" s="1" a="1"/>
  <c r="H417" i="9" s="1"/>
  <c r="L432" i="9" a="1"/>
  <c r="L432" i="9" s="1"/>
  <c r="H432" i="9" s="1" a="1"/>
  <c r="H432" i="9" s="1"/>
  <c r="L446" i="9" a="1"/>
  <c r="L446" i="9" s="1"/>
  <c r="H446" i="9" s="1" a="1"/>
  <c r="H446" i="9" s="1"/>
  <c r="L461" i="9" a="1"/>
  <c r="L461" i="9" s="1"/>
  <c r="H461" i="9" s="1" a="1"/>
  <c r="H461" i="9" s="1"/>
  <c r="L475" i="9" a="1"/>
  <c r="L475" i="9" s="1"/>
  <c r="H475" i="9" s="1" a="1"/>
  <c r="H475" i="9" s="1"/>
  <c r="L491" i="9" a="1"/>
  <c r="L491" i="9" s="1"/>
  <c r="H491" i="9" s="1" a="1"/>
  <c r="H491" i="9" s="1"/>
  <c r="L504" i="9" a="1"/>
  <c r="L504" i="9" s="1"/>
  <c r="H504" i="9" s="1" a="1"/>
  <c r="H504" i="9" s="1"/>
  <c r="L518" i="9" a="1"/>
  <c r="L518" i="9" s="1"/>
  <c r="H518" i="9" s="1" a="1"/>
  <c r="H518" i="9" s="1"/>
  <c r="L541" i="9" a="1"/>
  <c r="L541" i="9" s="1"/>
  <c r="H541" i="9" s="1" a="1"/>
  <c r="H541" i="9" s="1"/>
  <c r="L553" i="9" a="1"/>
  <c r="L553" i="9" s="1"/>
  <c r="H553" i="9" s="1" a="1"/>
  <c r="H553" i="9" s="1"/>
  <c r="L565" i="9" a="1"/>
  <c r="L565" i="9" s="1"/>
  <c r="H565" i="9" s="1" a="1"/>
  <c r="H565" i="9" s="1"/>
  <c r="L587" i="9" a="1"/>
  <c r="L587" i="9" s="1"/>
  <c r="H587" i="9" s="1" a="1"/>
  <c r="H587" i="9" s="1"/>
  <c r="L600" i="9" a="1"/>
  <c r="L600" i="9" s="1"/>
  <c r="H600" i="9" s="1" a="1"/>
  <c r="H600" i="9" s="1"/>
  <c r="L610" i="9" a="1"/>
  <c r="L610" i="9" s="1"/>
  <c r="H610" i="9" s="1" a="1"/>
  <c r="H610" i="9" s="1"/>
  <c r="L621" i="9" a="1"/>
  <c r="L621" i="9" s="1"/>
  <c r="H621" i="9" s="1" a="1"/>
  <c r="H621" i="9" s="1"/>
  <c r="L634" i="9" a="1"/>
  <c r="L634" i="9" s="1"/>
  <c r="H634" i="9" s="1" a="1"/>
  <c r="H634" i="9" s="1"/>
  <c r="L645" i="9" a="1"/>
  <c r="L645" i="9" s="1"/>
  <c r="H645" i="9" s="1" a="1"/>
  <c r="H645" i="9" s="1"/>
  <c r="L657" i="9" a="1"/>
  <c r="L657" i="9" s="1"/>
  <c r="H657" i="9" s="1" a="1"/>
  <c r="H657" i="9" s="1"/>
  <c r="L668" i="9" a="1"/>
  <c r="L668" i="9" s="1"/>
  <c r="H668" i="9" s="1" a="1"/>
  <c r="H668" i="9" s="1"/>
  <c r="L1743" i="9" a="1"/>
  <c r="L1743" i="9" s="1"/>
  <c r="H1743" i="9" s="1" a="1"/>
  <c r="H1743" i="9" s="1"/>
  <c r="L1717" i="9" a="1"/>
  <c r="L1717" i="9" s="1"/>
  <c r="H1717" i="9" s="1" a="1"/>
  <c r="H1717" i="9" s="1"/>
  <c r="L1691" i="9" a="1"/>
  <c r="L1691" i="9" s="1"/>
  <c r="H1691" i="9" s="1" a="1"/>
  <c r="H1691" i="9" s="1"/>
  <c r="L1664" i="9" a="1"/>
  <c r="L1664" i="9" s="1"/>
  <c r="H1664" i="9" s="1" a="1"/>
  <c r="H1664" i="9" s="1"/>
  <c r="L1650" i="9" a="1"/>
  <c r="L1650" i="9" s="1"/>
  <c r="H1650" i="9" s="1" a="1"/>
  <c r="H1650" i="9" s="1"/>
  <c r="L1637" i="9" a="1"/>
  <c r="L1637" i="9" s="1"/>
  <c r="H1637" i="9" s="1" a="1"/>
  <c r="H1637" i="9" s="1"/>
  <c r="L1623" i="9" a="1"/>
  <c r="L1623" i="9" s="1"/>
  <c r="H1623" i="9" s="1" a="1"/>
  <c r="H1623" i="9" s="1"/>
  <c r="L1610" i="9" a="1"/>
  <c r="L1610" i="9" s="1"/>
  <c r="H1610" i="9" s="1" a="1"/>
  <c r="H1610" i="9" s="1"/>
  <c r="L1596" i="9" a="1"/>
  <c r="L1596" i="9" s="1"/>
  <c r="H1596" i="9" s="1" a="1"/>
  <c r="H1596" i="9" s="1"/>
  <c r="L1582" i="9" a="1"/>
  <c r="L1582" i="9" s="1"/>
  <c r="H1582" i="9" s="1" a="1"/>
  <c r="H1582" i="9" s="1"/>
  <c r="L1569" i="9" a="1"/>
  <c r="L1569" i="9" s="1"/>
  <c r="H1569" i="9" s="1" a="1"/>
  <c r="H1569" i="9" s="1"/>
  <c r="L1533" i="9" a="1"/>
  <c r="L1533" i="9" s="1"/>
  <c r="H1533" i="9" s="1" a="1"/>
  <c r="H1533" i="9" s="1"/>
  <c r="L1375" i="9" a="1"/>
  <c r="L1375" i="9" s="1"/>
  <c r="H1375" i="9" s="1" a="1"/>
  <c r="H1375" i="9" s="1"/>
  <c r="L1326" i="9" a="1"/>
  <c r="L1326" i="9" s="1"/>
  <c r="H1326" i="9" s="1" a="1"/>
  <c r="H1326" i="9" s="1"/>
  <c r="L1242" i="9" a="1"/>
  <c r="L1242" i="9" s="1"/>
  <c r="H1242" i="9" s="1" a="1"/>
  <c r="H1242" i="9" s="1"/>
  <c r="L1161" i="9" a="1"/>
  <c r="L1161" i="9" s="1"/>
  <c r="H1161" i="9" s="1" a="1"/>
  <c r="H1161" i="9" s="1"/>
  <c r="L1111" i="9" a="1"/>
  <c r="L1111" i="9" s="1"/>
  <c r="H1111" i="9" s="1" a="1"/>
  <c r="H1111" i="9" s="1"/>
  <c r="L1044" i="9" a="1"/>
  <c r="L1044" i="9" s="1"/>
  <c r="H1044" i="9" s="1" a="1"/>
  <c r="H1044" i="9" s="1"/>
  <c r="L899" i="9" a="1"/>
  <c r="L899" i="9" s="1"/>
  <c r="H899" i="9" s="1" a="1"/>
  <c r="H899" i="9" s="1"/>
  <c r="L820" i="9" a="1"/>
  <c r="L820" i="9" s="1"/>
  <c r="H820" i="9" s="1" a="1"/>
  <c r="H820" i="9" s="1"/>
  <c r="L727" i="9" a="1"/>
  <c r="L727" i="9" s="1"/>
  <c r="H727" i="9" s="1" a="1"/>
  <c r="H727" i="9" s="1"/>
  <c r="L1757" i="9" a="1"/>
  <c r="L1757" i="9" s="1"/>
  <c r="H1757" i="9" s="1" a="1"/>
  <c r="H1757" i="9" s="1"/>
  <c r="L1742" i="9" a="1"/>
  <c r="L1742" i="9" s="1"/>
  <c r="H1742" i="9" s="1" a="1"/>
  <c r="H1742" i="9" s="1"/>
  <c r="L1729" i="9" a="1"/>
  <c r="L1729" i="9" s="1"/>
  <c r="H1729" i="9" s="1" a="1"/>
  <c r="H1729" i="9" s="1"/>
  <c r="L1705" i="9" a="1"/>
  <c r="L1705" i="9" s="1"/>
  <c r="H1705" i="9" s="1" a="1"/>
  <c r="H1705" i="9" s="1"/>
  <c r="L1690" i="9" a="1"/>
  <c r="L1690" i="9" s="1"/>
  <c r="H1690" i="9" s="1" a="1"/>
  <c r="H1690" i="9" s="1"/>
  <c r="L1677" i="9" a="1"/>
  <c r="L1677" i="9" s="1"/>
  <c r="H1677" i="9" s="1" a="1"/>
  <c r="H1677" i="9" s="1"/>
  <c r="L1663" i="9" a="1"/>
  <c r="L1663" i="9" s="1"/>
  <c r="H1663" i="9" s="1" a="1"/>
  <c r="H1663" i="9" s="1"/>
  <c r="L1636" i="9" a="1"/>
  <c r="L1636" i="9" s="1"/>
  <c r="H1636" i="9" s="1" a="1"/>
  <c r="H1636" i="9" s="1"/>
  <c r="L1622" i="9" a="1"/>
  <c r="L1622" i="9" s="1"/>
  <c r="H1622" i="9" s="1" a="1"/>
  <c r="H1622" i="9" s="1"/>
  <c r="L1595" i="9" a="1"/>
  <c r="L1595" i="9" s="1"/>
  <c r="H1595" i="9" s="1" a="1"/>
  <c r="H1595" i="9" s="1"/>
  <c r="L1568" i="9" a="1"/>
  <c r="L1568" i="9" s="1"/>
  <c r="H1568" i="9" s="1" a="1"/>
  <c r="H1568" i="9" s="1"/>
  <c r="L1553" i="9" a="1"/>
  <c r="L1553" i="9" s="1"/>
  <c r="H1553" i="9" s="1" a="1"/>
  <c r="H1553" i="9" s="1"/>
  <c r="L1529" i="9" a="1"/>
  <c r="L1529" i="9" s="1"/>
  <c r="H1529" i="9" s="1" a="1"/>
  <c r="H1529" i="9" s="1"/>
  <c r="L1501" i="9" a="1"/>
  <c r="L1501" i="9" s="1"/>
  <c r="H1501" i="9" s="1" a="1"/>
  <c r="H1501" i="9" s="1"/>
  <c r="L1466" i="9" a="1"/>
  <c r="L1466" i="9" s="1"/>
  <c r="H1466" i="9" s="1" a="1"/>
  <c r="H1466" i="9" s="1"/>
  <c r="L1369" i="9" a="1"/>
  <c r="L1369" i="9" s="1"/>
  <c r="H1369" i="9" s="1" a="1"/>
  <c r="H1369" i="9" s="1"/>
  <c r="L1277" i="9" a="1"/>
  <c r="L1277" i="9" s="1"/>
  <c r="H1277" i="9" s="1" a="1"/>
  <c r="H1277" i="9" s="1"/>
  <c r="L1198" i="9" a="1"/>
  <c r="L1198" i="9" s="1"/>
  <c r="H1198" i="9" s="1" a="1"/>
  <c r="H1198" i="9" s="1"/>
  <c r="L1156" i="9" a="1"/>
  <c r="L1156" i="9" s="1"/>
  <c r="H1156" i="9" s="1" a="1"/>
  <c r="H1156" i="9" s="1"/>
  <c r="L1104" i="9" a="1"/>
  <c r="L1104" i="9" s="1"/>
  <c r="H1104" i="9" s="1" a="1"/>
  <c r="H1104" i="9" s="1"/>
  <c r="L1036" i="9" a="1"/>
  <c r="L1036" i="9" s="1"/>
  <c r="H1036" i="9" s="1" a="1"/>
  <c r="H1036" i="9" s="1"/>
  <c r="L963" i="9" a="1"/>
  <c r="L963" i="9" s="1"/>
  <c r="H963" i="9" s="1" a="1"/>
  <c r="H963" i="9" s="1"/>
  <c r="L890" i="9" a="1"/>
  <c r="L890" i="9" s="1"/>
  <c r="H890" i="9" s="1" a="1"/>
  <c r="H890" i="9" s="1"/>
  <c r="L810" i="9" a="1"/>
  <c r="L810" i="9" s="1"/>
  <c r="H810" i="9" s="1" a="1"/>
  <c r="H810" i="9" s="1"/>
  <c r="L716" i="9" a="1"/>
  <c r="L716" i="9" s="1"/>
  <c r="H716" i="9" s="1" a="1"/>
  <c r="H716" i="9" s="1"/>
  <c r="L1756" i="9" a="1"/>
  <c r="L1756" i="9" s="1"/>
  <c r="H1756" i="9" s="1" a="1"/>
  <c r="H1756" i="9" s="1"/>
  <c r="L1728" i="9" a="1"/>
  <c r="L1728" i="9" s="1"/>
  <c r="H1728" i="9" s="1" a="1"/>
  <c r="H1728" i="9" s="1"/>
  <c r="L1716" i="9" a="1"/>
  <c r="L1716" i="9" s="1"/>
  <c r="H1716" i="9" s="1" a="1"/>
  <c r="H1716" i="9" s="1"/>
  <c r="L1704" i="9" a="1"/>
  <c r="L1704" i="9" s="1"/>
  <c r="H1704" i="9" s="1" a="1"/>
  <c r="H1704" i="9" s="1"/>
  <c r="L1676" i="9" a="1"/>
  <c r="L1676" i="9" s="1"/>
  <c r="H1676" i="9" s="1" a="1"/>
  <c r="H1676" i="9" s="1"/>
  <c r="L1662" i="9" a="1"/>
  <c r="L1662" i="9" s="1"/>
  <c r="H1662" i="9" s="1" a="1"/>
  <c r="H1662" i="9" s="1"/>
  <c r="L1649" i="9" a="1"/>
  <c r="L1649" i="9" s="1"/>
  <c r="H1649" i="9" s="1" a="1"/>
  <c r="H1649" i="9" s="1"/>
  <c r="L1635" i="9" a="1"/>
  <c r="L1635" i="9" s="1"/>
  <c r="H1635" i="9" s="1" a="1"/>
  <c r="H1635" i="9" s="1"/>
  <c r="L1609" i="9" a="1"/>
  <c r="L1609" i="9" s="1"/>
  <c r="H1609" i="9" s="1" a="1"/>
  <c r="H1609" i="9" s="1"/>
  <c r="L1594" i="9" a="1"/>
  <c r="L1594" i="9" s="1"/>
  <c r="H1594" i="9" s="1" a="1"/>
  <c r="H1594" i="9" s="1"/>
  <c r="L1581" i="9" a="1"/>
  <c r="L1581" i="9" s="1"/>
  <c r="H1581" i="9" s="1" a="1"/>
  <c r="H1581" i="9" s="1"/>
  <c r="L1567" i="9" a="1"/>
  <c r="L1567" i="9" s="1"/>
  <c r="H1567" i="9" s="1" a="1"/>
  <c r="H1567" i="9" s="1"/>
  <c r="L1526" i="9" a="1"/>
  <c r="L1526" i="9" s="1"/>
  <c r="H1526" i="9" s="1" a="1"/>
  <c r="H1526" i="9" s="1"/>
  <c r="L1498" i="9" a="1"/>
  <c r="L1498" i="9" s="1"/>
  <c r="H1498" i="9" s="1" a="1"/>
  <c r="H1498" i="9" s="1"/>
  <c r="L1459" i="9" a="1"/>
  <c r="L1459" i="9" s="1"/>
  <c r="H1459" i="9" s="1" a="1"/>
  <c r="H1459" i="9" s="1"/>
  <c r="L1411" i="9" a="1"/>
  <c r="L1411" i="9" s="1"/>
  <c r="H1411" i="9" s="1" a="1"/>
  <c r="H1411" i="9" s="1"/>
  <c r="L1363" i="9" a="1"/>
  <c r="L1363" i="9" s="1"/>
  <c r="H1363" i="9" s="1" a="1"/>
  <c r="H1363" i="9" s="1"/>
  <c r="L1314" i="9" a="1"/>
  <c r="L1314" i="9" s="1"/>
  <c r="H1314" i="9" s="1" a="1"/>
  <c r="H1314" i="9" s="1"/>
  <c r="L1231" i="9" a="1"/>
  <c r="L1231" i="9" s="1"/>
  <c r="H1231" i="9" s="1" a="1"/>
  <c r="H1231" i="9" s="1"/>
  <c r="L1193" i="9" a="1"/>
  <c r="L1193" i="9" s="1"/>
  <c r="H1193" i="9" s="1" a="1"/>
  <c r="H1193" i="9" s="1"/>
  <c r="L1151" i="9" a="1"/>
  <c r="L1151" i="9" s="1"/>
  <c r="H1151" i="9" s="1" a="1"/>
  <c r="H1151" i="9" s="1"/>
  <c r="L1096" i="9" a="1"/>
  <c r="L1096" i="9" s="1"/>
  <c r="H1096" i="9" s="1" a="1"/>
  <c r="H1096" i="9" s="1"/>
  <c r="L1026" i="9" a="1"/>
  <c r="L1026" i="9" s="1"/>
  <c r="H1026" i="9" s="1" a="1"/>
  <c r="H1026" i="9" s="1"/>
  <c r="L954" i="9" a="1"/>
  <c r="L954" i="9" s="1"/>
  <c r="H954" i="9" s="1" a="1"/>
  <c r="H954" i="9" s="1"/>
  <c r="L880" i="9" a="1"/>
  <c r="L880" i="9" s="1"/>
  <c r="H880" i="9" s="1" a="1"/>
  <c r="H880" i="9" s="1"/>
  <c r="L797" i="9" a="1"/>
  <c r="L797" i="9" s="1"/>
  <c r="H797" i="9" s="1" a="1"/>
  <c r="H797" i="9" s="1"/>
  <c r="L703" i="9" a="1"/>
  <c r="L703" i="9" s="1"/>
  <c r="H703" i="9" s="1" a="1"/>
  <c r="H703" i="9" s="1"/>
  <c r="L1738" i="9" a="1"/>
  <c r="L1738" i="9" s="1"/>
  <c r="H1738" i="9" s="1" a="1"/>
  <c r="H1738" i="9" s="1"/>
  <c r="L1725" i="9" a="1"/>
  <c r="L1725" i="9" s="1"/>
  <c r="H1725" i="9" s="1" a="1"/>
  <c r="H1725" i="9" s="1"/>
  <c r="L1713" i="9" a="1"/>
  <c r="L1713" i="9" s="1"/>
  <c r="H1713" i="9" s="1" a="1"/>
  <c r="H1713" i="9" s="1"/>
  <c r="L1700" i="9" a="1"/>
  <c r="L1700" i="9" s="1"/>
  <c r="H1700" i="9" s="1" a="1"/>
  <c r="H1700" i="9" s="1"/>
  <c r="L1686" i="9" a="1"/>
  <c r="L1686" i="9" s="1"/>
  <c r="H1686" i="9" s="1" a="1"/>
  <c r="H1686" i="9" s="1"/>
  <c r="L1673" i="9" a="1"/>
  <c r="L1673" i="9" s="1"/>
  <c r="H1673" i="9" s="1" a="1"/>
  <c r="H1673" i="9" s="1"/>
  <c r="L1658" i="9" a="1"/>
  <c r="L1658" i="9" s="1"/>
  <c r="H1658" i="9" s="1" a="1"/>
  <c r="H1658" i="9" s="1"/>
  <c r="L1632" i="9" a="1"/>
  <c r="L1632" i="9" s="1"/>
  <c r="H1632" i="9" s="1" a="1"/>
  <c r="H1632" i="9" s="1"/>
  <c r="L1618" i="9" a="1"/>
  <c r="L1618" i="9" s="1"/>
  <c r="H1618" i="9" s="1" a="1"/>
  <c r="H1618" i="9" s="1"/>
  <c r="L1605" i="9" a="1"/>
  <c r="L1605" i="9" s="1"/>
  <c r="H1605" i="9" s="1" a="1"/>
  <c r="H1605" i="9" s="1"/>
  <c r="L1591" i="9" a="1"/>
  <c r="L1591" i="9" s="1"/>
  <c r="H1591" i="9" s="1" a="1"/>
  <c r="H1591" i="9" s="1"/>
  <c r="L1563" i="9" a="1"/>
  <c r="L1563" i="9" s="1"/>
  <c r="H1563" i="9" s="1" a="1"/>
  <c r="H1563" i="9" s="1"/>
  <c r="L1547" i="9" a="1"/>
  <c r="L1547" i="9" s="1"/>
  <c r="H1547" i="9" s="1" a="1"/>
  <c r="H1547" i="9" s="1"/>
  <c r="L1494" i="9" a="1"/>
  <c r="L1494" i="9" s="1"/>
  <c r="H1494" i="9" s="1" a="1"/>
  <c r="H1494" i="9" s="1"/>
  <c r="L1453" i="9" a="1"/>
  <c r="L1453" i="9" s="1"/>
  <c r="H1453" i="9" s="1" a="1"/>
  <c r="H1453" i="9" s="1"/>
  <c r="L1308" i="9" a="1"/>
  <c r="L1308" i="9" s="1"/>
  <c r="H1308" i="9" s="1" a="1"/>
  <c r="H1308" i="9" s="1"/>
  <c r="L1268" i="9" a="1"/>
  <c r="L1268" i="9" s="1"/>
  <c r="H1268" i="9" s="1" a="1"/>
  <c r="H1268" i="9" s="1"/>
  <c r="L1144" i="9" a="1"/>
  <c r="L1144" i="9" s="1"/>
  <c r="H1144" i="9" s="1" a="1"/>
  <c r="H1144" i="9" s="1"/>
  <c r="L1089" i="9" a="1"/>
  <c r="L1089" i="9" s="1"/>
  <c r="H1089" i="9" s="1" a="1"/>
  <c r="H1089" i="9" s="1"/>
  <c r="L1018" i="9" a="1"/>
  <c r="L1018" i="9" s="1"/>
  <c r="H1018" i="9" s="1" a="1"/>
  <c r="H1018" i="9" s="1"/>
  <c r="L945" i="9" a="1"/>
  <c r="L945" i="9" s="1"/>
  <c r="H945" i="9" s="1" a="1"/>
  <c r="H945" i="9" s="1"/>
  <c r="L869" i="9" a="1"/>
  <c r="L869" i="9" s="1"/>
  <c r="H869" i="9" s="1" a="1"/>
  <c r="H869" i="9" s="1"/>
  <c r="L785" i="9" a="1"/>
  <c r="L785" i="9" s="1"/>
  <c r="H785" i="9" s="1" a="1"/>
  <c r="H785" i="9" s="1"/>
  <c r="L692" i="9" a="1"/>
  <c r="L692" i="9" s="1"/>
  <c r="H692" i="9" s="1" a="1"/>
  <c r="H692" i="9" s="1"/>
  <c r="L1751" i="9" a="1"/>
  <c r="L1751" i="9" s="1"/>
  <c r="H1751" i="9" s="1" a="1"/>
  <c r="H1751" i="9" s="1"/>
  <c r="L1724" i="9" a="1"/>
  <c r="L1724" i="9" s="1"/>
  <c r="H1724" i="9" s="1" a="1"/>
  <c r="H1724" i="9" s="1"/>
  <c r="L1711" i="9" a="1"/>
  <c r="L1711" i="9" s="1"/>
  <c r="H1711" i="9" s="1" a="1"/>
  <c r="H1711" i="9" s="1"/>
  <c r="L1698" i="9" a="1"/>
  <c r="L1698" i="9" s="1"/>
  <c r="H1698" i="9" s="1" a="1"/>
  <c r="H1698" i="9" s="1"/>
  <c r="L1685" i="9" a="1"/>
  <c r="L1685" i="9" s="1"/>
  <c r="H1685" i="9" s="1" a="1"/>
  <c r="H1685" i="9" s="1"/>
  <c r="L1671" i="9" a="1"/>
  <c r="L1671" i="9" s="1"/>
  <c r="H1671" i="9" s="1" a="1"/>
  <c r="H1671" i="9" s="1"/>
  <c r="L1657" i="9" a="1"/>
  <c r="L1657" i="9" s="1"/>
  <c r="H1657" i="9" s="1" a="1"/>
  <c r="H1657" i="9" s="1"/>
  <c r="L1644" i="9" a="1"/>
  <c r="L1644" i="9" s="1"/>
  <c r="H1644" i="9" s="1" a="1"/>
  <c r="H1644" i="9" s="1"/>
  <c r="L1630" i="9" a="1"/>
  <c r="L1630" i="9" s="1"/>
  <c r="H1630" i="9" s="1" a="1"/>
  <c r="H1630" i="9" s="1"/>
  <c r="L1617" i="9" a="1"/>
  <c r="L1617" i="9" s="1"/>
  <c r="H1617" i="9" s="1" a="1"/>
  <c r="H1617" i="9" s="1"/>
  <c r="L1603" i="9" a="1"/>
  <c r="L1603" i="9" s="1"/>
  <c r="H1603" i="9" s="1" a="1"/>
  <c r="H1603" i="9" s="1"/>
  <c r="L1589" i="9" a="1"/>
  <c r="L1589" i="9" s="1"/>
  <c r="H1589" i="9" s="1" a="1"/>
  <c r="H1589" i="9" s="1"/>
  <c r="L1576" i="9" a="1"/>
  <c r="L1576" i="9" s="1"/>
  <c r="H1576" i="9" s="1" a="1"/>
  <c r="H1576" i="9" s="1"/>
  <c r="L1546" i="9" a="1"/>
  <c r="L1546" i="9" s="1"/>
  <c r="H1546" i="9" s="1" a="1"/>
  <c r="H1546" i="9" s="1"/>
  <c r="L1519" i="9" a="1"/>
  <c r="L1519" i="9" s="1"/>
  <c r="H1519" i="9" s="1" a="1"/>
  <c r="H1519" i="9" s="1"/>
  <c r="L1491" i="9" a="1"/>
  <c r="L1491" i="9" s="1"/>
  <c r="H1491" i="9" s="1" a="1"/>
  <c r="H1491" i="9" s="1"/>
  <c r="L1446" i="9" a="1"/>
  <c r="L1446" i="9" s="1"/>
  <c r="H1446" i="9" s="1" a="1"/>
  <c r="H1446" i="9" s="1"/>
  <c r="L1400" i="9" a="1"/>
  <c r="L1400" i="9" s="1"/>
  <c r="H1400" i="9" s="1" a="1"/>
  <c r="H1400" i="9" s="1"/>
  <c r="L1351" i="9" a="1"/>
  <c r="L1351" i="9" s="1"/>
  <c r="H1351" i="9" s="1" a="1"/>
  <c r="H1351" i="9" s="1"/>
  <c r="L1302" i="9" a="1"/>
  <c r="L1302" i="9" s="1"/>
  <c r="H1302" i="9" s="1" a="1"/>
  <c r="H1302" i="9" s="1"/>
  <c r="L1263" i="9" a="1"/>
  <c r="L1263" i="9" s="1"/>
  <c r="H1263" i="9" s="1" a="1"/>
  <c r="H1263" i="9" s="1"/>
  <c r="L1222" i="9" a="1"/>
  <c r="L1222" i="9" s="1"/>
  <c r="H1222" i="9" s="1" a="1"/>
  <c r="H1222" i="9" s="1"/>
  <c r="L1183" i="9" a="1"/>
  <c r="L1183" i="9" s="1"/>
  <c r="H1183" i="9" s="1" a="1"/>
  <c r="H1183" i="9" s="1"/>
  <c r="L1139" i="9" a="1"/>
  <c r="L1139" i="9" s="1"/>
  <c r="H1139" i="9" s="1" a="1"/>
  <c r="H1139" i="9" s="1"/>
  <c r="L1081" i="9" a="1"/>
  <c r="L1081" i="9" s="1"/>
  <c r="H1081" i="9" s="1" a="1"/>
  <c r="H1081" i="9" s="1"/>
  <c r="L775" i="9" a="1"/>
  <c r="L775" i="9" s="1"/>
  <c r="H775" i="9" s="1" a="1"/>
  <c r="H775" i="9" s="1"/>
  <c r="L681" i="9" a="1"/>
  <c r="L681" i="9" s="1"/>
  <c r="H681" i="9" s="1" a="1"/>
  <c r="H681" i="9" s="1"/>
  <c r="H7" i="9" l="1" a="1"/>
  <c r="H7" i="9" s="1"/>
  <c r="P27" i="9"/>
  <c r="H8" i="9" a="1"/>
  <c r="H8" i="9" s="1"/>
  <c r="P28" i="9"/>
  <c r="H3" i="9" a="1"/>
  <c r="H3" i="9" s="1"/>
  <c r="P23" i="9"/>
  <c r="H6" i="9" a="1"/>
  <c r="H6" i="9" s="1"/>
  <c r="P26" i="9"/>
  <c r="H5" i="9" a="1"/>
  <c r="H5" i="9" s="1"/>
  <c r="P25" i="9"/>
  <c r="P22" i="9"/>
  <c r="H2" i="9" a="1"/>
  <c r="H2" i="9" s="1"/>
  <c r="H4" i="9" a="1"/>
  <c r="H4" i="9" s="1"/>
  <c r="P24" i="9"/>
  <c r="H9" i="9" a="1"/>
  <c r="H9" i="9" s="1"/>
  <c r="P29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<sst xmlns="http://schemas.openxmlformats.org/spreadsheetml/2006/main" count="9066" uniqueCount="266">
  <si>
    <t>Hettinger School</t>
  </si>
  <si>
    <t>-</t>
  </si>
  <si>
    <t>Hillsboro School</t>
  </si>
  <si>
    <t>Hope School</t>
  </si>
  <si>
    <t>Horse Creek Elem. School</t>
  </si>
  <si>
    <t>James River Multidistrict Spec Ed Unit</t>
  </si>
  <si>
    <t>Jamestown School</t>
  </si>
  <si>
    <t>Kenmare School</t>
  </si>
  <si>
    <t>Kidder County School District</t>
  </si>
  <si>
    <t>Killdeer School</t>
  </si>
  <si>
    <t>Kindred School</t>
  </si>
  <si>
    <t>Lake Region Spec Ed</t>
  </si>
  <si>
    <t>Lakota School</t>
  </si>
  <si>
    <t>Lamoure School</t>
  </si>
  <si>
    <t>Larimore School</t>
  </si>
  <si>
    <t>Leeds School</t>
  </si>
  <si>
    <t>Lewis And Clark School</t>
  </si>
  <si>
    <t>Linton School</t>
  </si>
  <si>
    <t>Lisbon School</t>
  </si>
  <si>
    <t>Litchville-Marion School</t>
  </si>
  <si>
    <t>Logan County</t>
  </si>
  <si>
    <t>Lone Tree Elem. School</t>
  </si>
  <si>
    <t>Lonetree Spec Ed Unit</t>
  </si>
  <si>
    <t>Mandan Public Schools</t>
  </si>
  <si>
    <t>Mandaree School</t>
  </si>
  <si>
    <t>Manning Elem School</t>
  </si>
  <si>
    <t>Maple Valley School</t>
  </si>
  <si>
    <t>Mapleton Elem. School</t>
  </si>
  <si>
    <t>Marmarth Elem. School</t>
  </si>
  <si>
    <t>May-Port C-G School</t>
  </si>
  <si>
    <t>Mcclusky School</t>
  </si>
  <si>
    <t>Mckenzie County</t>
  </si>
  <si>
    <t>Medina School</t>
  </si>
  <si>
    <t>Menoken Elem School</t>
  </si>
  <si>
    <t>Midkota</t>
  </si>
  <si>
    <t>Milnor School</t>
  </si>
  <si>
    <t>Minnewaukan School</t>
  </si>
  <si>
    <t>Minot School</t>
  </si>
  <si>
    <t>Mohall Lansford Sherwood</t>
  </si>
  <si>
    <t>Montpelier School</t>
  </si>
  <si>
    <t>Morton County</t>
  </si>
  <si>
    <t>Mt Pleasant School</t>
  </si>
  <si>
    <t>Munich School</t>
  </si>
  <si>
    <t>N Central Area Career And Tech Center</t>
  </si>
  <si>
    <t>Naughton Rural School</t>
  </si>
  <si>
    <t>Nd Center For Distance Education</t>
  </si>
  <si>
    <t>Nd Dept Of Public Instruction</t>
  </si>
  <si>
    <t>Nd School For Deaf</t>
  </si>
  <si>
    <t>Nd United</t>
  </si>
  <si>
    <t>Nd Youth Correctional Cnt</t>
  </si>
  <si>
    <t>Nelson County</t>
  </si>
  <si>
    <t>Nesson School</t>
  </si>
  <si>
    <t>New England School</t>
  </si>
  <si>
    <t>Employer Name</t>
  </si>
  <si>
    <t>Employer's Proportionate Share Allocation</t>
  </si>
  <si>
    <t>Statutory Required Contribution</t>
  </si>
  <si>
    <t>New Public School</t>
  </si>
  <si>
    <t>Alexander School</t>
  </si>
  <si>
    <t>Anamoose School</t>
  </si>
  <si>
    <t>Apple Creek Elem School</t>
  </si>
  <si>
    <t>Ashley School</t>
  </si>
  <si>
    <t>Bakker Elem School</t>
  </si>
  <si>
    <t>Barnes County North</t>
  </si>
  <si>
    <t>Beach School</t>
  </si>
  <si>
    <t>Belfield Public School</t>
  </si>
  <si>
    <t>Beulah School</t>
  </si>
  <si>
    <t>Billings Co. School Dist.</t>
  </si>
  <si>
    <t>Bismarck State College</t>
  </si>
  <si>
    <t>Blessed John Paul II Catholic Sch Network</t>
  </si>
  <si>
    <t>Bottineau School</t>
  </si>
  <si>
    <t>Bowman School</t>
  </si>
  <si>
    <t>Burke Central School</t>
  </si>
  <si>
    <t>Burleigh County Spec. Ed.</t>
  </si>
  <si>
    <t>Cavalier School</t>
  </si>
  <si>
    <t>Center Stanton School</t>
  </si>
  <si>
    <t>Central Cass School</t>
  </si>
  <si>
    <t>Central Valley School</t>
  </si>
  <si>
    <t>Dakota Prairie School</t>
  </si>
  <si>
    <t>Devils Lake School</t>
  </si>
  <si>
    <t>Divide School</t>
  </si>
  <si>
    <t>Drake School</t>
  </si>
  <si>
    <t>Drayton School</t>
  </si>
  <si>
    <t>E Central Ctr Exc Childn</t>
  </si>
  <si>
    <t>Earl Elem. School</t>
  </si>
  <si>
    <t>Edgeley School</t>
  </si>
  <si>
    <t>Eight Mile School</t>
  </si>
  <si>
    <t>Elgin-New Leipzig School</t>
  </si>
  <si>
    <t>Ellendale School</t>
  </si>
  <si>
    <t>Enderlin Area School District</t>
  </si>
  <si>
    <t>Fairmount School</t>
  </si>
  <si>
    <t>Fargo Public Schools</t>
  </si>
  <si>
    <t>Finley-Sharon School</t>
  </si>
  <si>
    <t>Flasher School</t>
  </si>
  <si>
    <t>Fordville Lankin School</t>
  </si>
  <si>
    <t>Fort Totten School</t>
  </si>
  <si>
    <t>Fort Yates School</t>
  </si>
  <si>
    <t>Gackle-Streeter Pub Sch</t>
  </si>
  <si>
    <t>Glen Ullin School</t>
  </si>
  <si>
    <t>Glenburn School</t>
  </si>
  <si>
    <t>Goodrich School</t>
  </si>
  <si>
    <t>Grand Forks School</t>
  </si>
  <si>
    <t>Great North West Cooperative</t>
  </si>
  <si>
    <t>Grenora School</t>
  </si>
  <si>
    <t>Gst Educational Services</t>
  </si>
  <si>
    <t>Halliday School</t>
  </si>
  <si>
    <t>Hankinson School</t>
  </si>
  <si>
    <t>Hatton Eielson Psd</t>
  </si>
  <si>
    <t>Hazelton - Moffit School</t>
  </si>
  <si>
    <t>Hazen School</t>
  </si>
  <si>
    <t>New Rockford Sheyenne School</t>
  </si>
  <si>
    <t>New Salem-Almont</t>
  </si>
  <si>
    <t>New Town School</t>
  </si>
  <si>
    <t>Newburg United District</t>
  </si>
  <si>
    <t>North Border School</t>
  </si>
  <si>
    <t>North Sargent School</t>
  </si>
  <si>
    <t>North Star</t>
  </si>
  <si>
    <t>Northern Cass School Dist</t>
  </si>
  <si>
    <t>Northern Plains Spec Ed</t>
  </si>
  <si>
    <t>Northwood School</t>
  </si>
  <si>
    <t>Oberon Elem School</t>
  </si>
  <si>
    <t>Oliver - Mercer Spec Ed</t>
  </si>
  <si>
    <t>Page School</t>
  </si>
  <si>
    <t>Parshall School</t>
  </si>
  <si>
    <t>Peace Garden Spec Ed</t>
  </si>
  <si>
    <t>Pembina Spec Ed Coop</t>
  </si>
  <si>
    <t>Pleasant Valley Elem</t>
  </si>
  <si>
    <t>Powers Lake School</t>
  </si>
  <si>
    <t>Richardton-Taylor</t>
  </si>
  <si>
    <t>Robinson School</t>
  </si>
  <si>
    <t>Rolette County</t>
  </si>
  <si>
    <t>Rolette School</t>
  </si>
  <si>
    <t>Roughrider Area Career And Tech Center</t>
  </si>
  <si>
    <t>Roughrider Service Program</t>
  </si>
  <si>
    <t>Rugby School</t>
  </si>
  <si>
    <t>Sargent Central School</t>
  </si>
  <si>
    <t>Sawyer School</t>
  </si>
  <si>
    <t>Scranton School</t>
  </si>
  <si>
    <t>Selfridge School</t>
  </si>
  <si>
    <t>Sheyenne Valley Area Voc</t>
  </si>
  <si>
    <t>Sheyenne Valley Spec Ed</t>
  </si>
  <si>
    <t>Solen - Cannonball School</t>
  </si>
  <si>
    <t>Souris Valley Spec Ed</t>
  </si>
  <si>
    <t>South Cent. Prairie Sp Ed</t>
  </si>
  <si>
    <t>South Prairie Elem School</t>
  </si>
  <si>
    <t>South Valley Spec Ed</t>
  </si>
  <si>
    <t>Southwest Special Education Unit</t>
  </si>
  <si>
    <t>St. Thomas School</t>
  </si>
  <si>
    <t>Stanley School</t>
  </si>
  <si>
    <t>Starkweather School</t>
  </si>
  <si>
    <t>Strasburg School District</t>
  </si>
  <si>
    <t>Surrey School</t>
  </si>
  <si>
    <t>Sweet Briar Elem School</t>
  </si>
  <si>
    <t>Thompson School</t>
  </si>
  <si>
    <t>Tioga School</t>
  </si>
  <si>
    <t>Turtle Lake-Mercer School</t>
  </si>
  <si>
    <t>Underwood School</t>
  </si>
  <si>
    <t>United School</t>
  </si>
  <si>
    <t>Upper Valley Spec Ed</t>
  </si>
  <si>
    <t>Valley City School</t>
  </si>
  <si>
    <t>Velva School</t>
  </si>
  <si>
    <t>Wahpeton School</t>
  </si>
  <si>
    <t>Warwick School</t>
  </si>
  <si>
    <t>Washburn School</t>
  </si>
  <si>
    <t>West Fargo School</t>
  </si>
  <si>
    <t>West River Student Services</t>
  </si>
  <si>
    <t>Westhope School</t>
  </si>
  <si>
    <t>White Shield School</t>
  </si>
  <si>
    <t>Williston School</t>
  </si>
  <si>
    <t>Wilton School</t>
  </si>
  <si>
    <t>Wing School</t>
  </si>
  <si>
    <t>Wishek School</t>
  </si>
  <si>
    <t>Wyndmere School</t>
  </si>
  <si>
    <t>Yellowstone Elem. School</t>
  </si>
  <si>
    <t>Zeeland School</t>
  </si>
  <si>
    <t>Grand Totals:</t>
  </si>
  <si>
    <t> Manvel Elem. School</t>
  </si>
  <si>
    <t> Midway School</t>
  </si>
  <si>
    <t> Oakes School</t>
  </si>
  <si>
    <t> Park River Area School District</t>
  </si>
  <si>
    <t> Pingree - Buchanan School</t>
  </si>
  <si>
    <t> Richland School</t>
  </si>
  <si>
    <t> Se Region Career And Tech</t>
  </si>
  <si>
    <t> Wilmac Special Education</t>
  </si>
  <si>
    <t>Langdon Area School</t>
  </si>
  <si>
    <t>Max School</t>
  </si>
  <si>
    <t>Napoleon School</t>
  </si>
  <si>
    <t>Nedrose School</t>
  </si>
  <si>
    <t>Belcourt School</t>
  </si>
  <si>
    <t>Bismarck Public Schools</t>
  </si>
  <si>
    <t>Nd School For Blind</t>
  </si>
  <si>
    <t>Carrington School</t>
  </si>
  <si>
    <t>Central Elementary School</t>
  </si>
  <si>
    <t>Bowbells School</t>
  </si>
  <si>
    <t>Dickinson School</t>
  </si>
  <si>
    <t>Dunseith School</t>
  </si>
  <si>
    <t>Emerado Elementary School</t>
  </si>
  <si>
    <t>Edmore School</t>
  </si>
  <si>
    <t>Fort Ransom Elem School</t>
  </si>
  <si>
    <t>Garrison School</t>
  </si>
  <si>
    <t>Griggs County Central Sch</t>
  </si>
  <si>
    <t>Hebron School</t>
  </si>
  <si>
    <t>Oakes School</t>
  </si>
  <si>
    <t>Harvey School</t>
  </si>
  <si>
    <t>North Valley Area Career</t>
  </si>
  <si>
    <t>Roosevelt School</t>
  </si>
  <si>
    <t>Rural Cass Spec Ed</t>
  </si>
  <si>
    <t>South Heart School</t>
  </si>
  <si>
    <t>Slope County</t>
  </si>
  <si>
    <t>St. John'S School</t>
  </si>
  <si>
    <t>Sterling School</t>
  </si>
  <si>
    <t>Tgu School District</t>
  </si>
  <si>
    <t>Ward County</t>
  </si>
  <si>
    <t>Wolford School</t>
  </si>
  <si>
    <t>Valley - Edinburg School</t>
  </si>
  <si>
    <t>Twin Buttes Elem. School</t>
  </si>
  <si>
    <t>Se Region Career And Tech</t>
  </si>
  <si>
    <t>Pingree - Buchanan School</t>
  </si>
  <si>
    <t>Grafton School</t>
  </si>
  <si>
    <t>Fessenden-Bowdon School</t>
  </si>
  <si>
    <t>Minto School</t>
  </si>
  <si>
    <t>Mott-Regent School</t>
  </si>
  <si>
    <t>Mckenzie County School</t>
  </si>
  <si>
    <t>Maddock School</t>
  </si>
  <si>
    <t>Little Heart Elem. School</t>
  </si>
  <si>
    <t>Lidgerwood School</t>
  </si>
  <si>
    <t>Kulm School</t>
  </si>
  <si>
    <t>Kensal School</t>
  </si>
  <si>
    <t>Year</t>
  </si>
  <si>
    <t>Manvel Elem. School</t>
  </si>
  <si>
    <t>Midway School</t>
  </si>
  <si>
    <t>Park River Area School District</t>
  </si>
  <si>
    <t>Richland School</t>
  </si>
  <si>
    <t>Wilmac Special Education</t>
  </si>
  <si>
    <t>South East Education Cooperative</t>
  </si>
  <si>
    <t>South Prairie School District</t>
  </si>
  <si>
    <t>Williams Co School Dist #8</t>
  </si>
  <si>
    <t> Minot School</t>
  </si>
  <si>
    <t> Newburg United District</t>
  </si>
  <si>
    <t> Wing School</t>
  </si>
  <si>
    <t>Central Regional Education Association</t>
  </si>
  <si>
    <t>Hope-Page Public School District</t>
  </si>
  <si>
    <t>Zeeland     School        </t>
  </si>
  <si>
    <t>Grafton School District</t>
  </si>
  <si>
    <t>St. John's School</t>
  </si>
  <si>
    <r>
      <t>Grand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Totals:</t>
    </r>
  </si>
  <si>
    <t> Mandaree School</t>
  </si>
  <si>
    <t> Northwood School</t>
  </si>
  <si>
    <t> Pembina Spec Ed Coop</t>
  </si>
  <si>
    <t>Williston Basin School Dist #7</t>
  </si>
  <si>
    <t>district_contributions</t>
  </si>
  <si>
    <t>district_name</t>
  </si>
  <si>
    <t>State</t>
  </si>
  <si>
    <t>North Dakota</t>
  </si>
  <si>
    <t>state_abv</t>
  </si>
  <si>
    <t>ND</t>
  </si>
  <si>
    <t>plan_name</t>
  </si>
  <si>
    <t>North Dakota Teachers' Fund for Retirement</t>
  </si>
  <si>
    <t>LEAID Match</t>
  </si>
  <si>
    <t>LEAID</t>
  </si>
  <si>
    <t>count</t>
  </si>
  <si>
    <t>state_contributions</t>
  </si>
  <si>
    <t>dc proportion</t>
  </si>
  <si>
    <t>total_contributions</t>
  </si>
  <si>
    <t>check</t>
  </si>
  <si>
    <t>summed district contributions</t>
  </si>
  <si>
    <t>GASB 67 State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</si>
</sst>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5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0" fontId="3" fillId="0" borderId="0" xfId="0" applyNumberFormat="1" applyFont="1"/>
    <xf numFmtId="3" fontId="3" fillId="0" borderId="0" xfId="0" applyNumberFormat="1" applyFont="1"/>
    <xf numFmtId="9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4" fillId="0" borderId="0" xfId="0" applyFont="1"/>
    <xf numFmtId="10" fontId="4" fillId="0" borderId="0" xfId="0" applyNumberFormat="1" applyFont="1"/>
    <xf numFmtId="3" fontId="4" fillId="0" borderId="0" xfId="0" applyNumberFormat="1" applyFont="1"/>
    <xf numFmtId="9" fontId="6" fillId="0" borderId="0" xfId="0" applyNumberFormat="1" applyFont="1"/>
    <xf numFmtId="3" fontId="6" fillId="0" borderId="0" xfId="0" applyNumberFormat="1" applyFont="1"/>
    <xf numFmtId="0" fontId="7" fillId="0" borderId="0" xfId="0" applyFont="1"/>
    <xf numFmtId="10" fontId="7" fillId="0" borderId="0" xfId="0" applyNumberFormat="1" applyFont="1"/>
    <xf numFmtId="0" fontId="8" fillId="0" borderId="0" xfId="0" applyFont="1"/>
    <xf numFmtId="10" fontId="8" fillId="0" borderId="0" xfId="0" applyNumberFormat="1" applyFont="1"/>
    <xf numFmtId="3" fontId="8" fillId="0" borderId="0" xfId="0" applyNumberFormat="1" applyFont="1"/>
    <xf numFmtId="3" fontId="7" fillId="0" borderId="0" xfId="0" applyNumberFormat="1" applyFont="1"/>
    <xf numFmtId="6" fontId="2" fillId="0" borderId="0" xfId="0" applyNumberFormat="1" applyFont="1"/>
    <xf numFmtId="165" fontId="0" fillId="0" borderId="0" xfId="1" applyNumberFormat="1" applyFont="1"/>
    <xf numFmtId="0" fontId="10" fillId="0" borderId="0" xfId="0" applyFont="1"/>
    <xf numFmtId="165" fontId="1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4824-1640-864B-9F88-40F17348AAF0}">
  <sheetPr>
    <tabColor rgb="FF002060"/>
  </sheetPr>
  <dimension ref="A1:P1757"/>
  <sheetViews>
    <sheetView tabSelected="1" workbookViewId="0">
      <selection activeCell="F9" sqref="F9"/>
    </sheetView>
  </sheetViews>
  <sheetFormatPr baseColWidth="10" defaultRowHeight="16" x14ac:dyDescent="0.2"/>
  <cols>
    <col min="3" max="3" width="12" bestFit="1" customWidth="1"/>
    <col min="5" max="5" width="37.1640625" bestFit="1" customWidth="1"/>
    <col min="6" max="6" width="35.1640625" bestFit="1" customWidth="1"/>
    <col min="7" max="7" width="27.5" bestFit="1" customWidth="1"/>
    <col min="8" max="8" width="19.6640625" bestFit="1" customWidth="1"/>
    <col min="9" max="9" width="19.6640625" customWidth="1"/>
    <col min="12" max="12" width="12.1640625" bestFit="1" customWidth="1"/>
    <col min="14" max="14" width="25.6640625" bestFit="1" customWidth="1"/>
    <col min="16" max="16" width="14" bestFit="1" customWidth="1"/>
  </cols>
  <sheetData>
    <row r="1" spans="1:16" x14ac:dyDescent="0.2">
      <c r="A1" s="5" t="s">
        <v>258</v>
      </c>
      <c r="B1" s="5" t="s">
        <v>227</v>
      </c>
      <c r="C1" s="5" t="s">
        <v>251</v>
      </c>
      <c r="D1" s="5" t="s">
        <v>253</v>
      </c>
      <c r="E1" s="5" t="s">
        <v>255</v>
      </c>
      <c r="F1" s="5" t="s">
        <v>250</v>
      </c>
      <c r="G1" s="5" t="s">
        <v>249</v>
      </c>
      <c r="H1" s="5" t="s">
        <v>260</v>
      </c>
      <c r="I1" s="5" t="s">
        <v>262</v>
      </c>
      <c r="J1" s="5" t="s">
        <v>257</v>
      </c>
      <c r="K1" s="5" t="s">
        <v>259</v>
      </c>
      <c r="L1" s="5" t="s">
        <v>261</v>
      </c>
    </row>
    <row r="2" spans="1:16" x14ac:dyDescent="0.2">
      <c r="A2">
        <v>3801760</v>
      </c>
      <c r="B2">
        <v>2015</v>
      </c>
      <c r="C2" t="s">
        <v>252</v>
      </c>
      <c r="D2" t="s">
        <v>254</v>
      </c>
      <c r="E2" t="s">
        <v>256</v>
      </c>
      <c r="F2" s="5" t="s">
        <v>57</v>
      </c>
      <c r="G2" s="7">
        <v>120120</v>
      </c>
      <c r="H2" s="7" cm="1">
        <f t="array" ref="H2">_xlfn.IFS(B2=2015,L2*$P$3,B2=2016,L2*$P$4,B2=2017,L2*$P$5,B2=2018,L2*$P$6,B2=2019,L2*$P$7,B2=2020,L2*$P$8,B2=2021,L2*$P$9,B2=2022,L2*$P$10)</f>
        <v>2715.7237564411053</v>
      </c>
      <c r="I2" s="7">
        <f>SUM(G2:H2)</f>
        <v>122835.7237564411</v>
      </c>
      <c r="J2">
        <f>IFERROR(VLOOKUP(F2,'LEAID Match'!$A$2:$B$227,2,FALSE),"")</f>
        <v>3801760</v>
      </c>
      <c r="K2">
        <f t="shared" ref="K2:K65" si="0">COUNTIF($A$2:$A$1757,A2)</f>
        <v>8</v>
      </c>
      <c r="L2" cm="1">
        <f t="array" ref="L2">_xlfn.IFS(B2=2015,G2/$P$13,B2=2016,G2/$P$14,B2=2017,G2/$P$15,B2=2018,G2/$P$16,B2=2019,G2/$P$17,B2=2019,G2/$P$18,B2=2020,G2/$P$18,B2=2021,G2/$P$19,B2=2022,G2/$P$20)</f>
        <v>1.5317110865432065E-3</v>
      </c>
    </row>
    <row r="3" spans="1:16" x14ac:dyDescent="0.2">
      <c r="A3">
        <v>3801760</v>
      </c>
      <c r="B3">
        <v>2016</v>
      </c>
      <c r="C3" t="s">
        <v>252</v>
      </c>
      <c r="D3" t="s">
        <v>254</v>
      </c>
      <c r="E3" t="s">
        <v>256</v>
      </c>
      <c r="F3" s="5" t="s">
        <v>57</v>
      </c>
      <c r="G3" s="7">
        <v>149793</v>
      </c>
      <c r="H3" s="7" cm="1">
        <f t="array" ref="H3">_xlfn.IFS(B3=2015,L3*$P$3,B3=2016,L3*$P$4,B3=2017,L3*$P$5,B3=2018,L3*$P$6,B3=2019,L3*$P$7,B3=2020,L3*$P$8,B3=2021,L3*$P$9,B3=2022,L3*$P$10)</f>
        <v>5086.5289711552268</v>
      </c>
      <c r="I3" s="7">
        <f t="shared" ref="I3:I66" si="1">SUM(G3:H3)</f>
        <v>154879.52897115523</v>
      </c>
      <c r="J3">
        <f>IFERROR(VLOOKUP(F3,'LEAID Match'!$A$2:$B$227,2,FALSE),"")</f>
        <v>3801760</v>
      </c>
      <c r="K3">
        <f t="shared" si="0"/>
        <v>8</v>
      </c>
      <c r="L3" cm="1">
        <f t="array" ref="L3">_xlfn.IFS(B3=2015,G3/$P$13,B3=2016,G3/$P$14,B3=2017,G3/$P$15,B3=2018,G3/$P$16,B3=2019,G3/$P$17,B3=2019,G3/$P$18,B3=2020,G3/$P$18,B3=2021,G3/$P$19,B3=2022,G3/$P$20)</f>
        <v>1.808222172468975E-3</v>
      </c>
      <c r="N3" t="s">
        <v>265</v>
      </c>
      <c r="O3">
        <v>2015</v>
      </c>
      <c r="P3" s="23">
        <v>1773000</v>
      </c>
    </row>
    <row r="4" spans="1:16" x14ac:dyDescent="0.2">
      <c r="A4">
        <v>3801760</v>
      </c>
      <c r="B4">
        <v>2017</v>
      </c>
      <c r="C4" t="s">
        <v>252</v>
      </c>
      <c r="D4" t="s">
        <v>254</v>
      </c>
      <c r="E4" t="s">
        <v>256</v>
      </c>
      <c r="F4" s="5" t="s">
        <v>57</v>
      </c>
      <c r="G4" s="7">
        <v>153240</v>
      </c>
      <c r="H4" s="7" cm="1">
        <f t="array" ref="H4">_xlfn.IFS(B4=2015,L4*$P$3,B4=2016,L4*$P$4,B4=2017,L4*$P$5,B4=2018,L4*$P$6,B4=2019,L4*$P$7,B4=2020,L4*$P$8,B4=2021,L4*$P$9,B4=2022,L4*$P$10)</f>
        <v>4966.2096976577532</v>
      </c>
      <c r="I4" s="7">
        <f t="shared" si="1"/>
        <v>158206.20969765776</v>
      </c>
      <c r="J4">
        <f>IFERROR(VLOOKUP(F4,'LEAID Match'!$A$2:$B$227,2,FALSE),"")</f>
        <v>3801760</v>
      </c>
      <c r="K4">
        <f t="shared" si="0"/>
        <v>8</v>
      </c>
      <c r="L4" cm="1">
        <f t="array" ref="L4">_xlfn.IFS(B4=2015,G4/$P$13,B4=2016,G4/$P$14,B4=2017,G4/$P$15,B4=2018,G4/$P$16,B4=2019,G4/$P$17,B4=2019,G4/$P$18,B4=2020,G4/$P$18,B4=2021,G4/$P$19,B4=2022,G4/$P$20)</f>
        <v>1.7806416986940671E-3</v>
      </c>
      <c r="O4">
        <v>2016</v>
      </c>
      <c r="P4" s="23">
        <v>2813000</v>
      </c>
    </row>
    <row r="5" spans="1:16" x14ac:dyDescent="0.2">
      <c r="A5">
        <v>3801760</v>
      </c>
      <c r="B5" s="5">
        <v>2018</v>
      </c>
      <c r="C5" t="s">
        <v>252</v>
      </c>
      <c r="D5" t="s">
        <v>254</v>
      </c>
      <c r="E5" t="s">
        <v>256</v>
      </c>
      <c r="F5" s="5" t="s">
        <v>57</v>
      </c>
      <c r="G5" s="7">
        <v>156508</v>
      </c>
      <c r="H5" s="7" cm="1">
        <f t="array" ref="H5">_xlfn.IFS(B5=2015,L5*$P$3,B5=2016,L5*$P$4,B5=2017,L5*$P$5,B5=2018,L5*$P$6,B5=2019,L5*$P$7,B5=2020,L5*$P$8,B5=2021,L5*$P$9,B5=2022,L5*$P$10)</f>
        <v>4288.4739154991585</v>
      </c>
      <c r="I5" s="7">
        <f t="shared" si="1"/>
        <v>160796.47391549917</v>
      </c>
      <c r="J5">
        <f>IFERROR(VLOOKUP(F5,'LEAID Match'!$A$2:$B$227,2,FALSE),"")</f>
        <v>3801760</v>
      </c>
      <c r="K5">
        <f t="shared" si="0"/>
        <v>8</v>
      </c>
      <c r="L5" cm="1">
        <f t="array" ref="L5">_xlfn.IFS(B5=2015,G5/$P$13,B5=2016,G5/$P$14,B5=2017,G5/$P$15,B5=2018,G5/$P$16,B5=2019,G5/$P$17,B5=2019,G5/$P$18,B5=2020,G5/$P$18,B5=2021,G5/$P$19,B5=2022,G5/$P$20)</f>
        <v>1.8056732275785932E-3</v>
      </c>
      <c r="O5">
        <v>2017</v>
      </c>
      <c r="P5" s="23">
        <v>2789000</v>
      </c>
    </row>
    <row r="6" spans="1:16" x14ac:dyDescent="0.2">
      <c r="A6">
        <v>3801760</v>
      </c>
      <c r="B6">
        <v>2019</v>
      </c>
      <c r="C6" t="s">
        <v>252</v>
      </c>
      <c r="D6" t="s">
        <v>254</v>
      </c>
      <c r="E6" t="s">
        <v>256</v>
      </c>
      <c r="F6" s="5" t="s">
        <v>57</v>
      </c>
      <c r="G6" s="7">
        <v>181171</v>
      </c>
      <c r="H6" s="7" cm="1">
        <f t="array" ref="H6">_xlfn.IFS(B6=2015,L6*$P$3,B6=2016,L6*$P$4,B6=2017,L6*$P$5,B6=2018,L6*$P$6,B6=2019,L6*$P$7,B6=2020,L6*$P$8,B6=2021,L6*$P$9,B6=2022,L6*$P$10)</f>
        <v>4204.9471808783246</v>
      </c>
      <c r="I6" s="7">
        <f t="shared" si="1"/>
        <v>185375.94718087831</v>
      </c>
      <c r="J6">
        <f>IFERROR(VLOOKUP(F6,'LEAID Match'!$A$2:$B$227,2,FALSE),"")</f>
        <v>3801760</v>
      </c>
      <c r="K6">
        <f t="shared" si="0"/>
        <v>8</v>
      </c>
      <c r="L6" cm="1">
        <f t="array" ref="L6">_xlfn.IFS(B6=2015,G6/$P$13,B6=2016,G6/$P$14,B6=2017,G6/$P$15,B6=2018,G6/$P$16,B6=2019,G6/$P$17,B6=2019,G6/$P$18,B6=2020,G6/$P$18,B6=2021,G6/$P$19,B6=2022,G6/$P$20)</f>
        <v>2.0255044223884029E-3</v>
      </c>
      <c r="O6">
        <v>2018</v>
      </c>
      <c r="P6" s="23">
        <v>2375000</v>
      </c>
    </row>
    <row r="7" spans="1:16" x14ac:dyDescent="0.2">
      <c r="A7">
        <v>3801760</v>
      </c>
      <c r="B7">
        <v>2020</v>
      </c>
      <c r="C7" t="s">
        <v>252</v>
      </c>
      <c r="D7" t="s">
        <v>254</v>
      </c>
      <c r="E7" t="s">
        <v>256</v>
      </c>
      <c r="F7" s="5" t="s">
        <v>57</v>
      </c>
      <c r="G7" s="7">
        <v>193333</v>
      </c>
      <c r="H7" s="7" cm="1">
        <f t="array" ref="H7">_xlfn.IFS(B7=2015,L7*$P$3,B7=2016,L7*$P$4,B7=2017,L7*$P$5,B7=2018,L7*$P$6,B7=2019,L7*$P$7,B7=2020,L7*$P$8,B7=2021,L7*$P$9,B7=2022,L7*$P$10)</f>
        <v>4850.3418237106016</v>
      </c>
      <c r="I7" s="7">
        <f t="shared" si="1"/>
        <v>198183.34182371059</v>
      </c>
      <c r="J7">
        <f>IFERROR(VLOOKUP(F7,'LEAID Match'!$A$2:$B$227,2,FALSE),"")</f>
        <v>3801760</v>
      </c>
      <c r="K7">
        <f t="shared" si="0"/>
        <v>8</v>
      </c>
      <c r="L7" cm="1">
        <f t="array" ref="L7">_xlfn.IFS(B7=2015,G7/$P$13,B7=2016,G7/$P$14,B7=2017,G7/$P$15,B7=2018,G7/$P$16,B7=2019,G7/$P$17,B7=2019,G7/$P$18,B7=2020,G7/$P$18,B7=2021,G7/$P$19,B7=2022,G7/$P$20)</f>
        <v>2.0781241746832056E-3</v>
      </c>
      <c r="O7">
        <v>2019</v>
      </c>
      <c r="P7" s="23">
        <v>2076000</v>
      </c>
    </row>
    <row r="8" spans="1:16" x14ac:dyDescent="0.2">
      <c r="A8">
        <v>3801760</v>
      </c>
      <c r="B8" s="5">
        <v>2021</v>
      </c>
      <c r="C8" t="s">
        <v>252</v>
      </c>
      <c r="D8" t="s">
        <v>254</v>
      </c>
      <c r="E8" t="s">
        <v>256</v>
      </c>
      <c r="F8" s="5" t="s">
        <v>57</v>
      </c>
      <c r="G8" s="7">
        <v>195392</v>
      </c>
      <c r="H8" s="7" cm="1">
        <f t="array" ref="H8">_xlfn.IFS(B8=2015,L8*$P$3,B8=2016,L8*$P$4,B8=2017,L8*$P$5,B8=2018,L8*$P$6,B8=2019,L8*$P$7,B8=2020,L8*$P$8,B8=2021,L8*$P$9,B8=2022,L8*$P$10)</f>
        <v>5338.9483450362386</v>
      </c>
      <c r="I8" s="7">
        <f t="shared" si="1"/>
        <v>200730.94834503625</v>
      </c>
      <c r="J8">
        <f>IFERROR(VLOOKUP(F8,'LEAID Match'!$A$2:$B$227,2,FALSE),"")</f>
        <v>3801760</v>
      </c>
      <c r="K8">
        <f t="shared" si="0"/>
        <v>8</v>
      </c>
      <c r="L8" cm="1">
        <f t="array" ref="L8">_xlfn.IFS(B8=2015,G8/$P$13,B8=2016,G8/$P$14,B8=2017,G8/$P$15,B8=2018,G8/$P$16,B8=2019,G8/$P$17,B8=2019,G8/$P$18,B8=2020,G8/$P$18,B8=2021,G8/$P$19,B8=2022,G8/$P$20)</f>
        <v>1.9884351378161038E-3</v>
      </c>
      <c r="O8">
        <v>2020</v>
      </c>
      <c r="P8" s="23">
        <v>2334000</v>
      </c>
    </row>
    <row r="9" spans="1:16" x14ac:dyDescent="0.2">
      <c r="A9">
        <v>3801760</v>
      </c>
      <c r="B9">
        <v>2022</v>
      </c>
      <c r="C9" t="s">
        <v>252</v>
      </c>
      <c r="D9" t="s">
        <v>254</v>
      </c>
      <c r="E9" t="s">
        <v>256</v>
      </c>
      <c r="F9" s="5" t="s">
        <v>57</v>
      </c>
      <c r="G9" s="7">
        <v>214703</v>
      </c>
      <c r="H9" s="7" cm="1">
        <f t="array" ref="H9">_xlfn.IFS(B9=2015,L9*$P$3,B9=2016,L9*$P$4,B9=2017,L9*$P$5,B9=2018,L9*$P$6,B9=2019,L9*$P$7,B9=2020,L9*$P$8,B9=2021,L9*$P$9,B9=2022,L9*$P$10)</f>
        <v>4369.7563345707795</v>
      </c>
      <c r="I9" s="7">
        <f t="shared" si="1"/>
        <v>219072.75633457079</v>
      </c>
      <c r="J9">
        <f>IFERROR(VLOOKUP(F9,'LEAID Match'!$A$2:$B$227,2,FALSE),"")</f>
        <v>3801760</v>
      </c>
      <c r="K9">
        <f t="shared" si="0"/>
        <v>8</v>
      </c>
      <c r="L9" cm="1">
        <f t="array" ref="L9">_xlfn.IFS(B9=2015,G9/$P$13,B9=2016,G9/$P$14,B9=2017,G9/$P$15,B9=2018,G9/$P$16,B9=2019,G9/$P$17,B9=2019,G9/$P$18,B9=2020,G9/$P$18,B9=2021,G9/$P$19,B9=2022,G9/$P$20)</f>
        <v>2.1399394390650243E-3</v>
      </c>
      <c r="O9">
        <v>2021</v>
      </c>
      <c r="P9" s="23">
        <v>2685000</v>
      </c>
    </row>
    <row r="10" spans="1:16" x14ac:dyDescent="0.2">
      <c r="A10">
        <v>3801950</v>
      </c>
      <c r="B10">
        <v>2015</v>
      </c>
      <c r="C10" t="s">
        <v>252</v>
      </c>
      <c r="D10" t="s">
        <v>254</v>
      </c>
      <c r="E10" t="s">
        <v>256</v>
      </c>
      <c r="F10" s="5" t="s">
        <v>58</v>
      </c>
      <c r="G10" s="7">
        <v>89301</v>
      </c>
      <c r="H10" s="7" cm="1">
        <f t="array" ref="H10">_xlfn.IFS(B10=2015,L10*$P$3,B10=2016,L10*$P$4,B10=2017,L10*$P$5,B10=2018,L10*$P$6,B10=2019,L10*$P$7,B10=2020,L10*$P$8,B10=2021,L10*$P$9,B10=2022,L10*$P$10)</f>
        <v>2018.9547716778816</v>
      </c>
      <c r="I10" s="7">
        <f t="shared" si="1"/>
        <v>91319.954771677876</v>
      </c>
      <c r="J10">
        <f>IFERROR(VLOOKUP(F10,'LEAID Match'!$A$2:$B$227,2,FALSE),"")</f>
        <v>3801950</v>
      </c>
      <c r="K10">
        <f t="shared" si="0"/>
        <v>8</v>
      </c>
      <c r="L10" cm="1">
        <f t="array" ref="L10">_xlfn.IFS(B10=2015,G10/$P$13,B10=2016,G10/$P$14,B10=2017,G10/$P$15,B10=2018,G10/$P$16,B10=2019,G10/$P$17,B10=2019,G10/$P$18,B10=2020,G10/$P$18,B10=2021,G10/$P$19,B10=2022,G10/$P$20)</f>
        <v>1.1387223754528379E-3</v>
      </c>
      <c r="O10">
        <v>2022</v>
      </c>
      <c r="P10" s="23">
        <v>2042000</v>
      </c>
    </row>
    <row r="11" spans="1:16" x14ac:dyDescent="0.2">
      <c r="A11">
        <v>3801950</v>
      </c>
      <c r="B11">
        <v>2016</v>
      </c>
      <c r="C11" t="s">
        <v>252</v>
      </c>
      <c r="D11" t="s">
        <v>254</v>
      </c>
      <c r="E11" t="s">
        <v>256</v>
      </c>
      <c r="F11" s="5" t="s">
        <v>58</v>
      </c>
      <c r="G11" s="7">
        <v>92042</v>
      </c>
      <c r="H11" s="7" cm="1">
        <f t="array" ref="H11">_xlfn.IFS(B11=2015,L11*$P$3,B11=2016,L11*$P$4,B11=2017,L11*$P$5,B11=2018,L11*$P$6,B11=2019,L11*$P$7,B11=2020,L11*$P$8,B11=2021,L11*$P$9,B11=2022,L11*$P$10)</f>
        <v>3125.4751527979906</v>
      </c>
      <c r="I11" s="7">
        <f t="shared" si="1"/>
        <v>95167.475152797997</v>
      </c>
      <c r="J11">
        <f>IFERROR(VLOOKUP(F11,'LEAID Match'!$A$2:$B$227,2,FALSE),"")</f>
        <v>3801950</v>
      </c>
      <c r="K11">
        <f t="shared" si="0"/>
        <v>8</v>
      </c>
      <c r="L11" cm="1">
        <f t="array" ref="L11">_xlfn.IFS(B11=2015,G11/$P$13,B11=2016,G11/$P$14,B11=2017,G11/$P$15,B11=2018,G11/$P$16,B11=2019,G11/$P$17,B11=2019,G11/$P$18,B11=2020,G11/$P$18,B11=2021,G11/$P$19,B11=2022,G11/$P$20)</f>
        <v>1.1110825285453219E-3</v>
      </c>
    </row>
    <row r="12" spans="1:16" x14ac:dyDescent="0.2">
      <c r="A12">
        <v>3801950</v>
      </c>
      <c r="B12">
        <v>2017</v>
      </c>
      <c r="C12" t="s">
        <v>252</v>
      </c>
      <c r="D12" t="s">
        <v>254</v>
      </c>
      <c r="E12" t="s">
        <v>256</v>
      </c>
      <c r="F12" s="5" t="s">
        <v>58</v>
      </c>
      <c r="G12" s="7">
        <v>97427</v>
      </c>
      <c r="H12" s="7" cm="1">
        <f t="array" ref="H12">_xlfn.IFS(B12=2015,L12*$P$3,B12=2016,L12*$P$4,B12=2017,L12*$P$5,B12=2018,L12*$P$6,B12=2019,L12*$P$7,B12=2020,L12*$P$8,B12=2021,L12*$P$9,B12=2022,L12*$P$10)</f>
        <v>3157.419160882941</v>
      </c>
      <c r="I12" s="7">
        <f t="shared" si="1"/>
        <v>100584.41916088294</v>
      </c>
      <c r="J12">
        <f>IFERROR(VLOOKUP(F12,'LEAID Match'!$A$2:$B$227,2,FALSE),"")</f>
        <v>3801950</v>
      </c>
      <c r="K12">
        <f t="shared" si="0"/>
        <v>8</v>
      </c>
      <c r="L12" cm="1">
        <f t="array" ref="L12">_xlfn.IFS(B12=2015,G12/$P$13,B12=2016,G12/$P$14,B12=2017,G12/$P$15,B12=2018,G12/$P$16,B12=2019,G12/$P$17,B12=2019,G12/$P$18,B12=2020,G12/$P$18,B12=2021,G12/$P$19,B12=2022,G12/$P$20)</f>
        <v>1.1320972251283403E-3</v>
      </c>
    </row>
    <row r="13" spans="1:16" x14ac:dyDescent="0.2">
      <c r="A13">
        <v>3801950</v>
      </c>
      <c r="B13" s="5">
        <v>2018</v>
      </c>
      <c r="C13" t="s">
        <v>252</v>
      </c>
      <c r="D13" t="s">
        <v>254</v>
      </c>
      <c r="E13" t="s">
        <v>256</v>
      </c>
      <c r="F13" s="5" t="s">
        <v>58</v>
      </c>
      <c r="G13" s="7">
        <v>98506</v>
      </c>
      <c r="H13" s="7" cm="1">
        <f t="array" ref="H13">_xlfn.IFS(B13=2015,L13*$P$3,B13=2016,L13*$P$4,B13=2017,L13*$P$5,B13=2018,L13*$P$6,B13=2019,L13*$P$7,B13=2020,L13*$P$8,B13=2021,L13*$P$9,B13=2022,L13*$P$10)</f>
        <v>2699.1617778015188</v>
      </c>
      <c r="I13" s="7">
        <f t="shared" si="1"/>
        <v>101205.16177780152</v>
      </c>
      <c r="J13">
        <f>IFERROR(VLOOKUP(F13,'LEAID Match'!$A$2:$B$227,2,FALSE),"")</f>
        <v>3801950</v>
      </c>
      <c r="K13">
        <f t="shared" si="0"/>
        <v>8</v>
      </c>
      <c r="L13" cm="1">
        <f t="array" ref="L13">_xlfn.IFS(B13=2015,G13/$P$13,B13=2016,G13/$P$14,B13=2017,G13/$P$15,B13=2018,G13/$P$16,B13=2019,G13/$P$17,B13=2019,G13/$P$18,B13=2020,G13/$P$18,B13=2021,G13/$P$19,B13=2022,G13/$P$20)</f>
        <v>1.1364891696006396E-3</v>
      </c>
      <c r="N13" t="s">
        <v>264</v>
      </c>
      <c r="O13">
        <v>2015</v>
      </c>
      <c r="P13" s="23">
        <f>SUMIF($B$2:$B$1757,O13,$G$2:$G$1757)</f>
        <v>78422100</v>
      </c>
    </row>
    <row r="14" spans="1:16" x14ac:dyDescent="0.2">
      <c r="A14">
        <v>3801950</v>
      </c>
      <c r="B14">
        <v>2019</v>
      </c>
      <c r="C14" t="s">
        <v>252</v>
      </c>
      <c r="D14" t="s">
        <v>254</v>
      </c>
      <c r="E14" t="s">
        <v>256</v>
      </c>
      <c r="F14" s="5" t="s">
        <v>58</v>
      </c>
      <c r="G14" s="7">
        <v>88156</v>
      </c>
      <c r="H14" s="7" cm="1">
        <f t="array" ref="H14">_xlfn.IFS(B14=2015,L14*$P$3,B14=2016,L14*$P$4,B14=2017,L14*$P$5,B14=2018,L14*$P$6,B14=2019,L14*$P$7,B14=2020,L14*$P$8,B14=2021,L14*$P$9,B14=2022,L14*$P$10)</f>
        <v>2046.0853209261393</v>
      </c>
      <c r="I14" s="7">
        <f t="shared" si="1"/>
        <v>90202.08532092614</v>
      </c>
      <c r="J14">
        <f>IFERROR(VLOOKUP(F14,'LEAID Match'!$A$2:$B$227,2,FALSE),"")</f>
        <v>3801950</v>
      </c>
      <c r="K14">
        <f t="shared" si="0"/>
        <v>8</v>
      </c>
      <c r="L14" cm="1">
        <f t="array" ref="L14">_xlfn.IFS(B14=2015,G14/$P$13,B14=2016,G14/$P$14,B14=2017,G14/$P$15,B14=2018,G14/$P$16,B14=2019,G14/$P$17,B14=2019,G14/$P$18,B14=2020,G14/$P$18,B14=2021,G14/$P$19,B14=2022,G14/$P$20)</f>
        <v>9.8559023165998997E-4</v>
      </c>
      <c r="O14">
        <v>2016</v>
      </c>
      <c r="P14" s="23">
        <f t="shared" ref="P14:P20" si="2">SUMIF($B$2:$B$1757,O14,$G$2:$G$1757)</f>
        <v>82839931</v>
      </c>
    </row>
    <row r="15" spans="1:16" x14ac:dyDescent="0.2">
      <c r="A15">
        <v>3801950</v>
      </c>
      <c r="B15">
        <v>2020</v>
      </c>
      <c r="C15" t="s">
        <v>252</v>
      </c>
      <c r="D15" t="s">
        <v>254</v>
      </c>
      <c r="E15" t="s">
        <v>256</v>
      </c>
      <c r="F15" s="5" t="s">
        <v>58</v>
      </c>
      <c r="G15" s="7">
        <v>85143</v>
      </c>
      <c r="H15" s="7" cm="1">
        <f t="array" ref="H15">_xlfn.IFS(B15=2015,L15*$P$3,B15=2016,L15*$P$4,B15=2017,L15*$P$5,B15=2018,L15*$P$6,B15=2019,L15*$P$7,B15=2020,L15*$P$8,B15=2021,L15*$P$9,B15=2022,L15*$P$10)</f>
        <v>2136.0691340650164</v>
      </c>
      <c r="I15" s="7">
        <f t="shared" si="1"/>
        <v>87279.069134065023</v>
      </c>
      <c r="J15">
        <f>IFERROR(VLOOKUP(F15,'LEAID Match'!$A$2:$B$227,2,FALSE),"")</f>
        <v>3801950</v>
      </c>
      <c r="K15">
        <f t="shared" si="0"/>
        <v>8</v>
      </c>
      <c r="L15" cm="1">
        <f t="array" ref="L15">_xlfn.IFS(B15=2015,G15/$P$13,B15=2016,G15/$P$14,B15=2017,G15/$P$15,B15=2018,G15/$P$16,B15=2019,G15/$P$17,B15=2019,G15/$P$18,B15=2020,G15/$P$18,B15=2021,G15/$P$19,B15=2022,G15/$P$20)</f>
        <v>9.1519671553771053E-4</v>
      </c>
      <c r="O15">
        <v>2017</v>
      </c>
      <c r="P15" s="23">
        <f t="shared" si="2"/>
        <v>86058863</v>
      </c>
    </row>
    <row r="16" spans="1:16" x14ac:dyDescent="0.2">
      <c r="A16">
        <v>3801950</v>
      </c>
      <c r="B16" s="5">
        <v>2021</v>
      </c>
      <c r="C16" t="s">
        <v>252</v>
      </c>
      <c r="D16" t="s">
        <v>254</v>
      </c>
      <c r="E16" t="s">
        <v>256</v>
      </c>
      <c r="F16" s="5" t="s">
        <v>58</v>
      </c>
      <c r="G16" s="7">
        <v>90105</v>
      </c>
      <c r="H16" s="7" cm="1">
        <f t="array" ref="H16">_xlfn.IFS(B16=2015,L16*$P$3,B16=2016,L16*$P$4,B16=2017,L16*$P$5,B16=2018,L16*$P$6,B16=2019,L16*$P$7,B16=2020,L16*$P$8,B16=2021,L16*$P$9,B16=2022,L16*$P$10)</f>
        <v>2462.0554609681576</v>
      </c>
      <c r="I16" s="7">
        <f t="shared" si="1"/>
        <v>92567.055460968157</v>
      </c>
      <c r="J16">
        <f>IFERROR(VLOOKUP(F16,'LEAID Match'!$A$2:$B$227,2,FALSE),"")</f>
        <v>3801950</v>
      </c>
      <c r="K16">
        <f t="shared" si="0"/>
        <v>8</v>
      </c>
      <c r="L16" cm="1">
        <f t="array" ref="L16">_xlfn.IFS(B16=2015,G16/$P$13,B16=2016,G16/$P$14,B16=2017,G16/$P$15,B16=2018,G16/$P$16,B16=2019,G16/$P$17,B16=2019,G16/$P$18,B16=2020,G16/$P$18,B16=2021,G16/$P$19,B16=2022,G16/$P$20)</f>
        <v>9.1696665212966761E-4</v>
      </c>
      <c r="O16">
        <v>2018</v>
      </c>
      <c r="P16" s="23">
        <f t="shared" si="2"/>
        <v>86675705</v>
      </c>
    </row>
    <row r="17" spans="1:16" x14ac:dyDescent="0.2">
      <c r="A17">
        <v>3801950</v>
      </c>
      <c r="B17">
        <v>2022</v>
      </c>
      <c r="C17" t="s">
        <v>252</v>
      </c>
      <c r="D17" t="s">
        <v>254</v>
      </c>
      <c r="E17" t="s">
        <v>256</v>
      </c>
      <c r="F17" s="5" t="s">
        <v>58</v>
      </c>
      <c r="G17" s="7">
        <v>102289</v>
      </c>
      <c r="H17" s="7" cm="1">
        <f t="array" ref="H17">_xlfn.IFS(B17=2015,L17*$P$3,B17=2016,L17*$P$4,B17=2017,L17*$P$5,B17=2018,L17*$P$6,B17=2019,L17*$P$7,B17=2020,L17*$P$8,B17=2021,L17*$P$9,B17=2022,L17*$P$10)</f>
        <v>2081.843317079456</v>
      </c>
      <c r="I17" s="7">
        <f t="shared" si="1"/>
        <v>104370.84331707946</v>
      </c>
      <c r="J17">
        <f>IFERROR(VLOOKUP(F17,'LEAID Match'!$A$2:$B$227,2,FALSE),"")</f>
        <v>3801950</v>
      </c>
      <c r="K17">
        <f t="shared" si="0"/>
        <v>8</v>
      </c>
      <c r="L17" cm="1">
        <f t="array" ref="L17">_xlfn.IFS(B17=2015,G17/$P$13,B17=2016,G17/$P$14,B17=2017,G17/$P$15,B17=2018,G17/$P$16,B17=2019,G17/$P$17,B17=2019,G17/$P$18,B17=2020,G17/$P$18,B17=2021,G17/$P$19,B17=2022,G17/$P$20)</f>
        <v>1.0195119084620255E-3</v>
      </c>
      <c r="O17">
        <v>2019</v>
      </c>
      <c r="P17" s="23">
        <f t="shared" si="2"/>
        <v>89444880</v>
      </c>
    </row>
    <row r="18" spans="1:16" x14ac:dyDescent="0.2">
      <c r="A18">
        <v>3802014</v>
      </c>
      <c r="B18">
        <v>2015</v>
      </c>
      <c r="C18" t="s">
        <v>252</v>
      </c>
      <c r="D18" t="s">
        <v>254</v>
      </c>
      <c r="E18" t="s">
        <v>256</v>
      </c>
      <c r="F18" s="5" t="s">
        <v>59</v>
      </c>
      <c r="G18" s="7">
        <v>40947</v>
      </c>
      <c r="H18" s="7" cm="1">
        <f t="array" ref="H18">_xlfn.IFS(B18=2015,L18*$P$3,B18=2016,L18*$P$4,B18=2017,L18*$P$5,B18=2018,L18*$P$6,B18=2019,L18*$P$7,B18=2020,L18*$P$8,B18=2021,L18*$P$9,B18=2022,L18*$P$10)</f>
        <v>925.74709169991627</v>
      </c>
      <c r="I18" s="7">
        <f t="shared" si="1"/>
        <v>41872.747091699915</v>
      </c>
      <c r="J18">
        <f>IFERROR(VLOOKUP(F18,'LEAID Match'!$A$2:$B$227,2,FALSE),"")</f>
        <v>3802014</v>
      </c>
      <c r="K18">
        <f t="shared" si="0"/>
        <v>8</v>
      </c>
      <c r="L18" cm="1">
        <f t="array" ref="L18">_xlfn.IFS(B18=2015,G18/$P$13,B18=2016,G18/$P$14,B18=2017,G18/$P$15,B18=2018,G18/$P$16,B18=2019,G18/$P$17,B18=2019,G18/$P$18,B18=2020,G18/$P$18,B18=2021,G18/$P$19,B18=2022,G18/$P$20)</f>
        <v>5.2213597952617953E-4</v>
      </c>
      <c r="O18">
        <v>2020</v>
      </c>
      <c r="P18" s="23">
        <f t="shared" si="2"/>
        <v>93032458</v>
      </c>
    </row>
    <row r="19" spans="1:16" x14ac:dyDescent="0.2">
      <c r="A19">
        <v>3802014</v>
      </c>
      <c r="B19">
        <v>2016</v>
      </c>
      <c r="C19" t="s">
        <v>252</v>
      </c>
      <c r="D19" t="s">
        <v>254</v>
      </c>
      <c r="E19" t="s">
        <v>256</v>
      </c>
      <c r="F19" s="5" t="s">
        <v>59</v>
      </c>
      <c r="G19" s="7">
        <v>44015</v>
      </c>
      <c r="H19" s="7" cm="1">
        <f t="array" ref="H19">_xlfn.IFS(B19=2015,L19*$P$3,B19=2016,L19*$P$4,B19=2017,L19*$P$5,B19=2018,L19*$P$6,B19=2019,L19*$P$7,B19=2020,L19*$P$8,B19=2021,L19*$P$9,B19=2022,L19*$P$10)</f>
        <v>1494.6197263249771</v>
      </c>
      <c r="I19" s="7">
        <f t="shared" si="1"/>
        <v>45509.619726324978</v>
      </c>
      <c r="J19">
        <f>IFERROR(VLOOKUP(F19,'LEAID Match'!$A$2:$B$227,2,FALSE),"")</f>
        <v>3802014</v>
      </c>
      <c r="K19">
        <f t="shared" si="0"/>
        <v>8</v>
      </c>
      <c r="L19" cm="1">
        <f t="array" ref="L19">_xlfn.IFS(B19=2015,G19/$P$13,B19=2016,G19/$P$14,B19=2017,G19/$P$15,B19=2018,G19/$P$16,B19=2019,G19/$P$17,B19=2019,G19/$P$18,B19=2020,G19/$P$18,B19=2021,G19/$P$19,B19=2022,G19/$P$20)</f>
        <v>5.3132588920191156E-4</v>
      </c>
      <c r="O19">
        <v>2021</v>
      </c>
      <c r="P19" s="23">
        <f t="shared" si="2"/>
        <v>98264206</v>
      </c>
    </row>
    <row r="20" spans="1:16" x14ac:dyDescent="0.2">
      <c r="A20">
        <v>3802014</v>
      </c>
      <c r="B20">
        <v>2017</v>
      </c>
      <c r="C20" t="s">
        <v>252</v>
      </c>
      <c r="D20" t="s">
        <v>254</v>
      </c>
      <c r="E20" t="s">
        <v>256</v>
      </c>
      <c r="F20" s="5" t="s">
        <v>59</v>
      </c>
      <c r="G20" s="7">
        <v>44335</v>
      </c>
      <c r="H20" s="7" cm="1">
        <f t="array" ref="H20">_xlfn.IFS(B20=2015,L20*$P$3,B20=2016,L20*$P$4,B20=2017,L20*$P$5,B20=2018,L20*$P$6,B20=2019,L20*$P$7,B20=2020,L20*$P$8,B20=2021,L20*$P$9,B20=2022,L20*$P$10)</f>
        <v>1436.8109302118019</v>
      </c>
      <c r="I20" s="7">
        <f t="shared" si="1"/>
        <v>45771.810930211803</v>
      </c>
      <c r="J20">
        <f>IFERROR(VLOOKUP(F20,'LEAID Match'!$A$2:$B$227,2,FALSE),"")</f>
        <v>3802014</v>
      </c>
      <c r="K20">
        <f t="shared" si="0"/>
        <v>8</v>
      </c>
      <c r="L20" cm="1">
        <f t="array" ref="L20">_xlfn.IFS(B20=2015,G20/$P$13,B20=2016,G20/$P$14,B20=2017,G20/$P$15,B20=2018,G20/$P$16,B20=2019,G20/$P$17,B20=2019,G20/$P$18,B20=2020,G20/$P$18,B20=2021,G20/$P$19,B20=2022,G20/$P$20)</f>
        <v>5.1517064546855568E-4</v>
      </c>
      <c r="O20">
        <v>2022</v>
      </c>
      <c r="P20" s="23">
        <f t="shared" si="2"/>
        <v>100331344</v>
      </c>
    </row>
    <row r="21" spans="1:16" x14ac:dyDescent="0.2">
      <c r="A21">
        <v>3802014</v>
      </c>
      <c r="B21" s="5">
        <v>2018</v>
      </c>
      <c r="C21" t="s">
        <v>252</v>
      </c>
      <c r="D21" t="s">
        <v>254</v>
      </c>
      <c r="E21" t="s">
        <v>256</v>
      </c>
      <c r="F21" s="5" t="s">
        <v>59</v>
      </c>
      <c r="G21" s="7">
        <v>38582</v>
      </c>
      <c r="H21" s="7" cm="1">
        <f t="array" ref="H21">_xlfn.IFS(B21=2015,L21*$P$3,B21=2016,L21*$P$4,B21=2017,L21*$P$5,B21=2018,L21*$P$6,B21=2019,L21*$P$7,B21=2020,L21*$P$8,B21=2021,L21*$P$9,B21=2022,L21*$P$10)</f>
        <v>1057.184940116726</v>
      </c>
      <c r="I21" s="7">
        <f t="shared" si="1"/>
        <v>39639.184940116727</v>
      </c>
      <c r="J21">
        <f>IFERROR(VLOOKUP(F21,'LEAID Match'!$A$2:$B$227,2,FALSE),"")</f>
        <v>3802014</v>
      </c>
      <c r="K21">
        <f t="shared" si="0"/>
        <v>8</v>
      </c>
      <c r="L21" cm="1">
        <f t="array" ref="L21">_xlfn.IFS(B21=2015,G21/$P$13,B21=2016,G21/$P$14,B21=2017,G21/$P$15,B21=2018,G21/$P$16,B21=2019,G21/$P$17,B21=2019,G21/$P$18,B21=2020,G21/$P$18,B21=2021,G21/$P$19,B21=2022,G21/$P$20)</f>
        <v>4.4513050110177934E-4</v>
      </c>
    </row>
    <row r="22" spans="1:16" x14ac:dyDescent="0.2">
      <c r="A22">
        <v>3802014</v>
      </c>
      <c r="B22">
        <v>2019</v>
      </c>
      <c r="C22" t="s">
        <v>252</v>
      </c>
      <c r="D22" t="s">
        <v>254</v>
      </c>
      <c r="E22" t="s">
        <v>256</v>
      </c>
      <c r="F22" s="5" t="s">
        <v>59</v>
      </c>
      <c r="G22" s="7">
        <v>37940</v>
      </c>
      <c r="H22" s="7" cm="1">
        <f t="array" ref="H22">_xlfn.IFS(B22=2015,L22*$P$3,B22=2016,L22*$P$4,B22=2017,L22*$P$5,B22=2018,L22*$P$6,B22=2019,L22*$P$7,B22=2020,L22*$P$8,B22=2021,L22*$P$9,B22=2022,L22*$P$10)</f>
        <v>880.58075543284315</v>
      </c>
      <c r="I22" s="7">
        <f t="shared" si="1"/>
        <v>38820.580755432842</v>
      </c>
      <c r="J22">
        <f>IFERROR(VLOOKUP(F22,'LEAID Match'!$A$2:$B$227,2,FALSE),"")</f>
        <v>3802014</v>
      </c>
      <c r="K22">
        <f t="shared" si="0"/>
        <v>8</v>
      </c>
      <c r="L22" cm="1">
        <f t="array" ref="L22">_xlfn.IFS(B22=2015,G22/$P$13,B22=2016,G22/$P$14,B22=2017,G22/$P$15,B22=2018,G22/$P$16,B22=2019,G22/$P$17,B22=2019,G22/$P$18,B22=2020,G22/$P$18,B22=2021,G22/$P$19,B22=2022,G22/$P$20)</f>
        <v>4.2417184751100342E-4</v>
      </c>
      <c r="N22" s="24" t="s">
        <v>263</v>
      </c>
      <c r="O22" s="24">
        <v>2015</v>
      </c>
      <c r="P22" s="25">
        <f>SUMIF($B$2:$B$1757,O22,$L$2:$L$1757)</f>
        <v>0.99999999999999989</v>
      </c>
    </row>
    <row r="23" spans="1:16" x14ac:dyDescent="0.2">
      <c r="A23">
        <v>3802014</v>
      </c>
      <c r="B23">
        <v>2020</v>
      </c>
      <c r="C23" t="s">
        <v>252</v>
      </c>
      <c r="D23" t="s">
        <v>254</v>
      </c>
      <c r="E23" t="s">
        <v>256</v>
      </c>
      <c r="F23" s="5" t="s">
        <v>59</v>
      </c>
      <c r="G23" s="7">
        <v>39944</v>
      </c>
      <c r="H23" s="7" cm="1">
        <f t="array" ref="H23">_xlfn.IFS(B23=2015,L23*$P$3,B23=2016,L23*$P$4,B23=2017,L23*$P$5,B23=2018,L23*$P$6,B23=2019,L23*$P$7,B23=2020,L23*$P$8,B23=2021,L23*$P$9,B23=2022,L23*$P$10)</f>
        <v>1002.1157991977381</v>
      </c>
      <c r="I23" s="7">
        <f t="shared" si="1"/>
        <v>40946.115799197738</v>
      </c>
      <c r="J23">
        <f>IFERROR(VLOOKUP(F23,'LEAID Match'!$A$2:$B$227,2,FALSE),"")</f>
        <v>3802014</v>
      </c>
      <c r="K23">
        <f t="shared" si="0"/>
        <v>8</v>
      </c>
      <c r="L23" cm="1">
        <f t="array" ref="L23">_xlfn.IFS(B23=2015,G23/$P$13,B23=2016,G23/$P$14,B23=2017,G23/$P$15,B23=2018,G23/$P$16,B23=2019,G23/$P$17,B23=2019,G23/$P$18,B23=2020,G23/$P$18,B23=2021,G23/$P$19,B23=2022,G23/$P$20)</f>
        <v>4.2935552664855959E-4</v>
      </c>
      <c r="O23" s="24">
        <v>2016</v>
      </c>
      <c r="P23" s="25">
        <f t="shared" ref="P23:P29" si="3">SUMIF($B$2:$B$1757,O23,$L$2:$L$1757)</f>
        <v>0.99999999999999989</v>
      </c>
    </row>
    <row r="24" spans="1:16" x14ac:dyDescent="0.2">
      <c r="A24">
        <v>3802014</v>
      </c>
      <c r="B24" s="5">
        <v>2021</v>
      </c>
      <c r="C24" t="s">
        <v>252</v>
      </c>
      <c r="D24" t="s">
        <v>254</v>
      </c>
      <c r="E24" t="s">
        <v>256</v>
      </c>
      <c r="F24" s="5" t="s">
        <v>59</v>
      </c>
      <c r="G24" s="7">
        <v>45212</v>
      </c>
      <c r="H24" s="7" cm="1">
        <f t="array" ref="H24">_xlfn.IFS(B24=2015,L24*$P$3,B24=2016,L24*$P$4,B24=2017,L24*$P$5,B24=2018,L24*$P$6,B24=2019,L24*$P$7,B24=2020,L24*$P$8,B24=2021,L24*$P$9,B24=2022,L24*$P$10)</f>
        <v>1235.3859552887448</v>
      </c>
      <c r="I24" s="7">
        <f t="shared" si="1"/>
        <v>46447.385955288744</v>
      </c>
      <c r="J24">
        <f>IFERROR(VLOOKUP(F24,'LEAID Match'!$A$2:$B$227,2,FALSE),"")</f>
        <v>3802014</v>
      </c>
      <c r="K24">
        <f t="shared" si="0"/>
        <v>8</v>
      </c>
      <c r="L24" cm="1">
        <f t="array" ref="L24">_xlfn.IFS(B24=2015,G24/$P$13,B24=2016,G24/$P$14,B24=2017,G24/$P$15,B24=2018,G24/$P$16,B24=2019,G24/$P$17,B24=2019,G24/$P$18,B24=2020,G24/$P$18,B24=2021,G24/$P$19,B24=2022,G24/$P$20)</f>
        <v>4.6010650103863864E-4</v>
      </c>
      <c r="O24" s="24">
        <v>2017</v>
      </c>
      <c r="P24" s="25">
        <f t="shared" si="3"/>
        <v>1.0000000000000004</v>
      </c>
    </row>
    <row r="25" spans="1:16" x14ac:dyDescent="0.2">
      <c r="A25">
        <v>3802014</v>
      </c>
      <c r="B25">
        <v>2022</v>
      </c>
      <c r="C25" t="s">
        <v>252</v>
      </c>
      <c r="D25" t="s">
        <v>254</v>
      </c>
      <c r="E25" t="s">
        <v>256</v>
      </c>
      <c r="F25" s="5" t="s">
        <v>59</v>
      </c>
      <c r="G25" s="7">
        <v>52680</v>
      </c>
      <c r="H25" s="7" cm="1">
        <f t="array" ref="H25">_xlfn.IFS(B25=2015,L25*$P$3,B25=2016,L25*$P$4,B25=2017,L25*$P$5,B25=2018,L25*$P$6,B25=2019,L25*$P$7,B25=2020,L25*$P$8,B25=2021,L25*$P$9,B25=2022,L25*$P$10)</f>
        <v>1072.1730190318192</v>
      </c>
      <c r="I25" s="7">
        <f t="shared" si="1"/>
        <v>53752.173019031819</v>
      </c>
      <c r="J25">
        <f>IFERROR(VLOOKUP(F25,'LEAID Match'!$A$2:$B$227,2,FALSE),"")</f>
        <v>3802014</v>
      </c>
      <c r="K25">
        <f t="shared" si="0"/>
        <v>8</v>
      </c>
      <c r="L25" cm="1">
        <f t="array" ref="L25">_xlfn.IFS(B25=2015,G25/$P$13,B25=2016,G25/$P$14,B25=2017,G25/$P$15,B25=2018,G25/$P$16,B25=2019,G25/$P$17,B25=2019,G25/$P$18,B25=2020,G25/$P$18,B25=2021,G25/$P$19,B25=2022,G25/$P$20)</f>
        <v>5.2506024438384881E-4</v>
      </c>
      <c r="O25" s="24">
        <v>2018</v>
      </c>
      <c r="P25" s="25">
        <f t="shared" si="3"/>
        <v>1.0000000000000004</v>
      </c>
    </row>
    <row r="26" spans="1:16" x14ac:dyDescent="0.2">
      <c r="A26">
        <v>3802170</v>
      </c>
      <c r="B26">
        <v>2015</v>
      </c>
      <c r="C26" t="s">
        <v>252</v>
      </c>
      <c r="D26" t="s">
        <v>254</v>
      </c>
      <c r="E26" t="s">
        <v>256</v>
      </c>
      <c r="F26" s="5" t="s">
        <v>60</v>
      </c>
      <c r="G26" s="7">
        <v>119917</v>
      </c>
      <c r="H26" s="7" cm="1">
        <f t="array" ref="H26">_xlfn.IFS(B26=2015,L26*$P$3,B26=2016,L26*$P$4,B26=2017,L26*$P$5,B26=2018,L26*$P$6,B26=2019,L26*$P$7,B26=2020,L26*$P$8,B26=2021,L26*$P$9,B26=2022,L26*$P$10)</f>
        <v>2711.1342465963039</v>
      </c>
      <c r="I26" s="7">
        <f t="shared" si="1"/>
        <v>122628.13424659631</v>
      </c>
      <c r="J26">
        <f>IFERROR(VLOOKUP(F26,'LEAID Match'!$A$2:$B$227,2,FALSE),"")</f>
        <v>3802170</v>
      </c>
      <c r="K26">
        <f t="shared" si="0"/>
        <v>8</v>
      </c>
      <c r="L26" cm="1">
        <f t="array" ref="L26">_xlfn.IFS(B26=2015,G26/$P$13,B26=2016,G26/$P$14,B26=2017,G26/$P$15,B26=2018,G26/$P$16,B26=2019,G26/$P$17,B26=2019,G26/$P$18,B26=2020,G26/$P$18,B26=2021,G26/$P$19,B26=2022,G26/$P$20)</f>
        <v>1.5291225305111697E-3</v>
      </c>
      <c r="O26" s="24">
        <v>2019</v>
      </c>
      <c r="P26" s="25">
        <f t="shared" si="3"/>
        <v>0.99999999999999967</v>
      </c>
    </row>
    <row r="27" spans="1:16" x14ac:dyDescent="0.2">
      <c r="A27">
        <v>3802170</v>
      </c>
      <c r="B27">
        <v>2016</v>
      </c>
      <c r="C27" t="s">
        <v>252</v>
      </c>
      <c r="D27" t="s">
        <v>254</v>
      </c>
      <c r="E27" t="s">
        <v>256</v>
      </c>
      <c r="F27" s="5" t="s">
        <v>60</v>
      </c>
      <c r="G27" s="7">
        <v>121244</v>
      </c>
      <c r="H27" s="7" cm="1">
        <f t="array" ref="H27">_xlfn.IFS(B27=2015,L27*$P$3,B27=2016,L27*$P$4,B27=2017,L27*$P$5,B27=2018,L27*$P$6,B27=2019,L27*$P$7,B27=2020,L27*$P$8,B27=2021,L27*$P$9,B27=2022,L27*$P$10)</f>
        <v>4117.0890400669214</v>
      </c>
      <c r="I27" s="7">
        <f t="shared" si="1"/>
        <v>125361.08904006692</v>
      </c>
      <c r="J27">
        <f>IFERROR(VLOOKUP(F27,'LEAID Match'!$A$2:$B$227,2,FALSE),"")</f>
        <v>3802170</v>
      </c>
      <c r="K27">
        <f t="shared" si="0"/>
        <v>8</v>
      </c>
      <c r="L27" cm="1">
        <f t="array" ref="L27">_xlfn.IFS(B27=2015,G27/$P$13,B27=2016,G27/$P$14,B27=2017,G27/$P$15,B27=2018,G27/$P$16,B27=2019,G27/$P$17,B27=2019,G27/$P$18,B27=2020,G27/$P$18,B27=2021,G27/$P$19,B27=2022,G27/$P$20)</f>
        <v>1.4635936864795312E-3</v>
      </c>
      <c r="O27" s="24">
        <v>2020</v>
      </c>
      <c r="P27" s="25">
        <f t="shared" si="3"/>
        <v>1.0000000000000004</v>
      </c>
    </row>
    <row r="28" spans="1:16" x14ac:dyDescent="0.2">
      <c r="A28">
        <v>3802170</v>
      </c>
      <c r="B28">
        <v>2017</v>
      </c>
      <c r="C28" t="s">
        <v>252</v>
      </c>
      <c r="D28" t="s">
        <v>254</v>
      </c>
      <c r="E28" t="s">
        <v>256</v>
      </c>
      <c r="F28" s="5" t="s">
        <v>60</v>
      </c>
      <c r="G28" s="7">
        <v>121027</v>
      </c>
      <c r="H28" s="7" cm="1">
        <f t="array" ref="H28">_xlfn.IFS(B28=2015,L28*$P$3,B28=2016,L28*$P$4,B28=2017,L28*$P$5,B28=2018,L28*$P$6,B28=2019,L28*$P$7,B28=2020,L28*$P$8,B28=2021,L28*$P$9,B28=2022,L28*$P$10)</f>
        <v>3922.24915869502</v>
      </c>
      <c r="I28" s="7">
        <f t="shared" si="1"/>
        <v>124949.24915869502</v>
      </c>
      <c r="J28">
        <f>IFERROR(VLOOKUP(F28,'LEAID Match'!$A$2:$B$227,2,FALSE),"")</f>
        <v>3802170</v>
      </c>
      <c r="K28">
        <f t="shared" si="0"/>
        <v>8</v>
      </c>
      <c r="L28" cm="1">
        <f t="array" ref="L28">_xlfn.IFS(B28=2015,G28/$P$13,B28=2016,G28/$P$14,B28=2017,G28/$P$15,B28=2018,G28/$P$16,B28=2019,G28/$P$17,B28=2019,G28/$P$18,B28=2020,G28/$P$18,B28=2021,G28/$P$19,B28=2022,G28/$P$20)</f>
        <v>1.406328131479032E-3</v>
      </c>
      <c r="O28" s="24">
        <v>2021</v>
      </c>
      <c r="P28" s="25">
        <f t="shared" si="3"/>
        <v>1.0000000000000002</v>
      </c>
    </row>
    <row r="29" spans="1:16" x14ac:dyDescent="0.2">
      <c r="A29">
        <v>3802170</v>
      </c>
      <c r="B29" s="5">
        <v>2018</v>
      </c>
      <c r="C29" t="s">
        <v>252</v>
      </c>
      <c r="D29" t="s">
        <v>254</v>
      </c>
      <c r="E29" t="s">
        <v>256</v>
      </c>
      <c r="F29" s="5" t="s">
        <v>60</v>
      </c>
      <c r="G29" s="7">
        <v>120772</v>
      </c>
      <c r="H29" s="7" cm="1">
        <f t="array" ref="H29">_xlfn.IFS(B29=2015,L29*$P$3,B29=2016,L29*$P$4,B29=2017,L29*$P$5,B29=2018,L29*$P$6,B29=2019,L29*$P$7,B29=2020,L29*$P$8,B29=2021,L29*$P$9,B29=2022,L29*$P$10)</f>
        <v>3309.272188786927</v>
      </c>
      <c r="I29" s="7">
        <f t="shared" si="1"/>
        <v>124081.27218878693</v>
      </c>
      <c r="J29">
        <f>IFERROR(VLOOKUP(F29,'LEAID Match'!$A$2:$B$227,2,FALSE),"")</f>
        <v>3802170</v>
      </c>
      <c r="K29">
        <f t="shared" si="0"/>
        <v>8</v>
      </c>
      <c r="L29" cm="1">
        <f t="array" ref="L29">_xlfn.IFS(B29=2015,G29/$P$13,B29=2016,G29/$P$14,B29=2017,G29/$P$15,B29=2018,G29/$P$16,B29=2019,G29/$P$17,B29=2019,G29/$P$18,B29=2020,G29/$P$18,B29=2021,G29/$P$19,B29=2022,G29/$P$20)</f>
        <v>1.3933777636997587E-3</v>
      </c>
      <c r="O29" s="24">
        <v>2022</v>
      </c>
      <c r="P29" s="25">
        <f t="shared" si="3"/>
        <v>0.99999999999999989</v>
      </c>
    </row>
    <row r="30" spans="1:16" x14ac:dyDescent="0.2">
      <c r="A30">
        <v>3802170</v>
      </c>
      <c r="B30">
        <v>2019</v>
      </c>
      <c r="C30" t="s">
        <v>252</v>
      </c>
      <c r="D30" t="s">
        <v>254</v>
      </c>
      <c r="E30" t="s">
        <v>256</v>
      </c>
      <c r="F30" s="5" t="s">
        <v>60</v>
      </c>
      <c r="G30" s="7">
        <v>123550</v>
      </c>
      <c r="H30" s="7" cm="1">
        <f t="array" ref="H30">_xlfn.IFS(B30=2015,L30*$P$3,B30=2016,L30*$P$4,B30=2017,L30*$P$5,B30=2018,L30*$P$6,B30=2019,L30*$P$7,B30=2020,L30*$P$8,B30=2021,L30*$P$9,B30=2022,L30*$P$10)</f>
        <v>2867.5738622490185</v>
      </c>
      <c r="I30" s="7">
        <f t="shared" si="1"/>
        <v>126417.57386224902</v>
      </c>
      <c r="J30">
        <f>IFERROR(VLOOKUP(F30,'LEAID Match'!$A$2:$B$227,2,FALSE),"")</f>
        <v>3802170</v>
      </c>
      <c r="K30">
        <f t="shared" si="0"/>
        <v>8</v>
      </c>
      <c r="L30" cm="1">
        <f t="array" ref="L30">_xlfn.IFS(B30=2015,G30/$P$13,B30=2016,G30/$P$14,B30=2017,G30/$P$15,B30=2018,G30/$P$16,B30=2019,G30/$P$17,B30=2019,G30/$P$18,B30=2020,G30/$P$18,B30=2021,G30/$P$19,B30=2022,G30/$P$20)</f>
        <v>1.3812976215072344E-3</v>
      </c>
    </row>
    <row r="31" spans="1:16" x14ac:dyDescent="0.2">
      <c r="A31">
        <v>3802170</v>
      </c>
      <c r="B31">
        <v>2020</v>
      </c>
      <c r="C31" t="s">
        <v>252</v>
      </c>
      <c r="D31" t="s">
        <v>254</v>
      </c>
      <c r="E31" t="s">
        <v>256</v>
      </c>
      <c r="F31" s="5" t="s">
        <v>60</v>
      </c>
      <c r="G31" s="7">
        <v>125671</v>
      </c>
      <c r="H31" s="7" cm="1">
        <f t="array" ref="H31">_xlfn.IFS(B31=2015,L31*$P$3,B31=2016,L31*$P$4,B31=2017,L31*$P$5,B31=2018,L31*$P$6,B31=2019,L31*$P$7,B31=2020,L31*$P$8,B31=2021,L31*$P$9,B31=2022,L31*$P$10)</f>
        <v>3152.8363358947263</v>
      </c>
      <c r="I31" s="7">
        <f t="shared" si="1"/>
        <v>128823.83633589472</v>
      </c>
      <c r="J31">
        <f>IFERROR(VLOOKUP(F31,'LEAID Match'!$A$2:$B$227,2,FALSE),"")</f>
        <v>3802170</v>
      </c>
      <c r="K31">
        <f t="shared" si="0"/>
        <v>8</v>
      </c>
      <c r="L31" cm="1">
        <f t="array" ref="L31">_xlfn.IFS(B31=2015,G31/$P$13,B31=2016,G31/$P$14,B31=2017,G31/$P$15,B31=2018,G31/$P$16,B31=2019,G31/$P$17,B31=2019,G31/$P$18,B31=2020,G31/$P$18,B31=2021,G31/$P$19,B31=2022,G31/$P$20)</f>
        <v>1.3508296212059667E-3</v>
      </c>
    </row>
    <row r="32" spans="1:16" x14ac:dyDescent="0.2">
      <c r="A32">
        <v>3802170</v>
      </c>
      <c r="B32" s="5">
        <v>2021</v>
      </c>
      <c r="C32" t="s">
        <v>252</v>
      </c>
      <c r="D32" t="s">
        <v>254</v>
      </c>
      <c r="E32" t="s">
        <v>256</v>
      </c>
      <c r="F32" s="5" t="s">
        <v>60</v>
      </c>
      <c r="G32" s="7">
        <v>136295</v>
      </c>
      <c r="H32" s="7" cm="1">
        <f t="array" ref="H32">_xlfn.IFS(B32=2015,L32*$P$3,B32=2016,L32*$P$4,B32=2017,L32*$P$5,B32=2018,L32*$P$6,B32=2019,L32*$P$7,B32=2020,L32*$P$8,B32=2021,L32*$P$9,B32=2022,L32*$P$10)</f>
        <v>3724.1645752472673</v>
      </c>
      <c r="I32" s="7">
        <f t="shared" si="1"/>
        <v>140019.16457524727</v>
      </c>
      <c r="J32">
        <f>IFERROR(VLOOKUP(F32,'LEAID Match'!$A$2:$B$227,2,FALSE),"")</f>
        <v>3802170</v>
      </c>
      <c r="K32">
        <f t="shared" si="0"/>
        <v>8</v>
      </c>
      <c r="L32" cm="1">
        <f t="array" ref="L32">_xlfn.IFS(B32=2015,G32/$P$13,B32=2016,G32/$P$14,B32=2017,G32/$P$15,B32=2018,G32/$P$16,B32=2019,G32/$P$17,B32=2019,G32/$P$18,B32=2020,G32/$P$18,B32=2021,G32/$P$19,B32=2022,G32/$P$20)</f>
        <v>1.3870259125688146E-3</v>
      </c>
    </row>
    <row r="33" spans="1:12" x14ac:dyDescent="0.2">
      <c r="A33">
        <v>3802170</v>
      </c>
      <c r="B33">
        <v>2022</v>
      </c>
      <c r="C33" t="s">
        <v>252</v>
      </c>
      <c r="D33" t="s">
        <v>254</v>
      </c>
      <c r="E33" t="s">
        <v>256</v>
      </c>
      <c r="F33" s="5" t="s">
        <v>60</v>
      </c>
      <c r="G33" s="7">
        <v>133921</v>
      </c>
      <c r="H33" s="7" cm="1">
        <f t="array" ref="H33">_xlfn.IFS(B33=2015,L33*$P$3,B33=2016,L33*$P$4,B33=2017,L33*$P$5,B33=2018,L33*$P$6,B33=2019,L33*$P$7,B33=2020,L33*$P$8,B33=2021,L33*$P$9,B33=2022,L33*$P$10)</f>
        <v>2725.635590010635</v>
      </c>
      <c r="I33" s="7">
        <f t="shared" si="1"/>
        <v>136646.63559001064</v>
      </c>
      <c r="J33">
        <f>IFERROR(VLOOKUP(F33,'LEAID Match'!$A$2:$B$227,2,FALSE),"")</f>
        <v>3802170</v>
      </c>
      <c r="K33">
        <f t="shared" si="0"/>
        <v>8</v>
      </c>
      <c r="L33" cm="1">
        <f t="array" ref="L33">_xlfn.IFS(B33=2015,G33/$P$13,B33=2016,G33/$P$14,B33=2017,G33/$P$15,B33=2018,G33/$P$16,B33=2019,G33/$P$17,B33=2019,G33/$P$18,B33=2020,G33/$P$18,B33=2021,G33/$P$19,B33=2022,G33/$P$20)</f>
        <v>1.3347872624929653E-3</v>
      </c>
    </row>
    <row r="34" spans="1:12" x14ac:dyDescent="0.2">
      <c r="A34">
        <v>3802240</v>
      </c>
      <c r="B34">
        <v>2015</v>
      </c>
      <c r="C34" t="s">
        <v>252</v>
      </c>
      <c r="D34" t="s">
        <v>254</v>
      </c>
      <c r="E34" t="s">
        <v>256</v>
      </c>
      <c r="F34" s="5" t="s">
        <v>61</v>
      </c>
      <c r="G34" s="7">
        <v>4399</v>
      </c>
      <c r="H34" s="7" cm="1">
        <f t="array" ref="H34">_xlfn.IFS(B34=2015,L34*$P$3,B34=2016,L34*$P$4,B34=2017,L34*$P$5,B34=2018,L34*$P$6,B34=2019,L34*$P$7,B34=2020,L34*$P$8,B34=2021,L34*$P$9,B34=2022,L34*$P$10)</f>
        <v>99.454452252617557</v>
      </c>
      <c r="I34" s="7">
        <f t="shared" si="1"/>
        <v>4498.4544522526176</v>
      </c>
      <c r="J34">
        <f>IFERROR(VLOOKUP(F34,'LEAID Match'!$A$2:$B$227,2,FALSE),"")</f>
        <v>3802240</v>
      </c>
      <c r="K34">
        <f t="shared" si="0"/>
        <v>8</v>
      </c>
      <c r="L34" cm="1">
        <f t="array" ref="L34">_xlfn.IFS(B34=2015,G34/$P$13,B34=2016,G34/$P$14,B34=2017,G34/$P$15,B34=2018,G34/$P$16,B34=2019,G34/$P$17,B34=2019,G34/$P$18,B34=2020,G34/$P$18,B34=2021,G34/$P$19,B34=2022,G34/$P$20)</f>
        <v>5.6093881699163881E-5</v>
      </c>
    </row>
    <row r="35" spans="1:12" x14ac:dyDescent="0.2">
      <c r="A35">
        <v>3802240</v>
      </c>
      <c r="B35">
        <v>2016</v>
      </c>
      <c r="C35" t="s">
        <v>252</v>
      </c>
      <c r="D35" t="s">
        <v>254</v>
      </c>
      <c r="E35" t="s">
        <v>256</v>
      </c>
      <c r="F35" s="5" t="s">
        <v>61</v>
      </c>
      <c r="G35" s="7">
        <v>4399</v>
      </c>
      <c r="H35" s="7" cm="1">
        <f t="array" ref="H35">_xlfn.IFS(B35=2015,L35*$P$3,B35=2016,L35*$P$4,B35=2017,L35*$P$5,B35=2018,L35*$P$6,B35=2019,L35*$P$7,B35=2020,L35*$P$8,B35=2021,L35*$P$9,B35=2022,L35*$P$10)</f>
        <v>149.37707999780926</v>
      </c>
      <c r="I35" s="7">
        <f t="shared" si="1"/>
        <v>4548.3770799978092</v>
      </c>
      <c r="J35">
        <f>IFERROR(VLOOKUP(F35,'LEAID Match'!$A$2:$B$227,2,FALSE),"")</f>
        <v>3802240</v>
      </c>
      <c r="K35">
        <f t="shared" si="0"/>
        <v>8</v>
      </c>
      <c r="L35" cm="1">
        <f t="array" ref="L35">_xlfn.IFS(B35=2015,G35/$P$13,B35=2016,G35/$P$14,B35=2017,G35/$P$15,B35=2018,G35/$P$16,B35=2019,G35/$P$17,B35=2019,G35/$P$18,B35=2020,G35/$P$18,B35=2021,G35/$P$19,B35=2022,G35/$P$20)</f>
        <v>5.3102410237401091E-5</v>
      </c>
    </row>
    <row r="36" spans="1:12" x14ac:dyDescent="0.2">
      <c r="A36">
        <v>3802240</v>
      </c>
      <c r="B36">
        <v>2017</v>
      </c>
      <c r="C36" t="s">
        <v>252</v>
      </c>
      <c r="D36" t="s">
        <v>254</v>
      </c>
      <c r="E36" t="s">
        <v>256</v>
      </c>
      <c r="F36" s="5" t="s">
        <v>61</v>
      </c>
      <c r="G36" s="7">
        <v>4845</v>
      </c>
      <c r="H36" s="7" cm="1">
        <f t="array" ref="H36">_xlfn.IFS(B36=2015,L36*$P$3,B36=2016,L36*$P$4,B36=2017,L36*$P$5,B36=2018,L36*$P$6,B36=2019,L36*$P$7,B36=2020,L36*$P$8,B36=2021,L36*$P$9,B36=2022,L36*$P$10)</f>
        <v>157.01700590675944</v>
      </c>
      <c r="I36" s="7">
        <f t="shared" si="1"/>
        <v>5002.0170059067596</v>
      </c>
      <c r="J36">
        <f>IFERROR(VLOOKUP(F36,'LEAID Match'!$A$2:$B$227,2,FALSE),"")</f>
        <v>3802240</v>
      </c>
      <c r="K36">
        <f t="shared" si="0"/>
        <v>8</v>
      </c>
      <c r="L36" cm="1">
        <f t="array" ref="L36">_xlfn.IFS(B36=2015,G36/$P$13,B36=2016,G36/$P$14,B36=2017,G36/$P$15,B36=2018,G36/$P$16,B36=2019,G36/$P$17,B36=2019,G36/$P$18,B36=2020,G36/$P$18,B36=2021,G36/$P$19,B36=2022,G36/$P$20)</f>
        <v>5.6298675477504275E-5</v>
      </c>
    </row>
    <row r="37" spans="1:12" x14ac:dyDescent="0.2">
      <c r="A37">
        <v>3802240</v>
      </c>
      <c r="B37" s="5">
        <v>2018</v>
      </c>
      <c r="C37" t="s">
        <v>252</v>
      </c>
      <c r="D37" t="s">
        <v>254</v>
      </c>
      <c r="E37" t="s">
        <v>256</v>
      </c>
      <c r="F37" s="5" t="s">
        <v>61</v>
      </c>
      <c r="G37" s="7">
        <v>5227</v>
      </c>
      <c r="H37" s="7" cm="1">
        <f t="array" ref="H37">_xlfn.IFS(B37=2015,L37*$P$3,B37=2016,L37*$P$4,B37=2017,L37*$P$5,B37=2018,L37*$P$6,B37=2019,L37*$P$7,B37=2020,L37*$P$8,B37=2021,L37*$P$9,B37=2022,L37*$P$10)</f>
        <v>143.22496713467748</v>
      </c>
      <c r="I37" s="7">
        <f t="shared" si="1"/>
        <v>5370.2249671346772</v>
      </c>
      <c r="J37">
        <f>IFERROR(VLOOKUP(F37,'LEAID Match'!$A$2:$B$227,2,FALSE),"")</f>
        <v>3802240</v>
      </c>
      <c r="K37">
        <f t="shared" si="0"/>
        <v>8</v>
      </c>
      <c r="L37" cm="1">
        <f t="array" ref="L37">_xlfn.IFS(B37=2015,G37/$P$13,B37=2016,G37/$P$14,B37=2017,G37/$P$15,B37=2018,G37/$P$16,B37=2019,G37/$P$17,B37=2019,G37/$P$18,B37=2020,G37/$P$18,B37=2021,G37/$P$19,B37=2022,G37/$P$20)</f>
        <v>6.0305249319864199E-5</v>
      </c>
    </row>
    <row r="38" spans="1:12" x14ac:dyDescent="0.2">
      <c r="A38">
        <v>3802240</v>
      </c>
      <c r="B38">
        <v>2019</v>
      </c>
      <c r="C38" t="s">
        <v>252</v>
      </c>
      <c r="D38" t="s">
        <v>254</v>
      </c>
      <c r="E38" t="s">
        <v>256</v>
      </c>
      <c r="F38" s="5" t="s">
        <v>61</v>
      </c>
      <c r="G38" s="7">
        <v>5549</v>
      </c>
      <c r="H38" s="7" cm="1">
        <f t="array" ref="H38">_xlfn.IFS(B38=2015,L38*$P$3,B38=2016,L38*$P$4,B38=2017,L38*$P$5,B38=2018,L38*$P$6,B38=2019,L38*$P$7,B38=2020,L38*$P$8,B38=2021,L38*$P$9,B38=2022,L38*$P$10)</f>
        <v>128.79131818389158</v>
      </c>
      <c r="I38" s="7">
        <f t="shared" si="1"/>
        <v>5677.7913181838912</v>
      </c>
      <c r="J38">
        <f>IFERROR(VLOOKUP(F38,'LEAID Match'!$A$2:$B$227,2,FALSE),"")</f>
        <v>3802240</v>
      </c>
      <c r="K38">
        <f t="shared" si="0"/>
        <v>8</v>
      </c>
      <c r="L38" cm="1">
        <f t="array" ref="L38">_xlfn.IFS(B38=2015,G38/$P$13,B38=2016,G38/$P$14,B38=2017,G38/$P$15,B38=2018,G38/$P$16,B38=2019,G38/$P$17,B38=2019,G38/$P$18,B38=2020,G38/$P$18,B38=2021,G38/$P$19,B38=2022,G38/$P$20)</f>
        <v>6.2038207217674163E-5</v>
      </c>
    </row>
    <row r="39" spans="1:12" x14ac:dyDescent="0.2">
      <c r="A39">
        <v>3802240</v>
      </c>
      <c r="B39">
        <v>2020</v>
      </c>
      <c r="C39" t="s">
        <v>252</v>
      </c>
      <c r="D39" t="s">
        <v>254</v>
      </c>
      <c r="E39" t="s">
        <v>256</v>
      </c>
      <c r="F39" s="5" t="s">
        <v>61</v>
      </c>
      <c r="G39" s="7">
        <v>5993</v>
      </c>
      <c r="H39" s="7" cm="1">
        <f t="array" ref="H39">_xlfn.IFS(B39=2015,L39*$P$3,B39=2016,L39*$P$4,B39=2017,L39*$P$5,B39=2018,L39*$P$6,B39=2019,L39*$P$7,B39=2020,L39*$P$8,B39=2021,L39*$P$9,B39=2022,L39*$P$10)</f>
        <v>150.35249310514831</v>
      </c>
      <c r="I39" s="7">
        <f t="shared" si="1"/>
        <v>6143.3524931051479</v>
      </c>
      <c r="J39">
        <f>IFERROR(VLOOKUP(F39,'LEAID Match'!$A$2:$B$227,2,FALSE),"")</f>
        <v>3802240</v>
      </c>
      <c r="K39">
        <f t="shared" si="0"/>
        <v>8</v>
      </c>
      <c r="L39" cm="1">
        <f t="array" ref="L39">_xlfn.IFS(B39=2015,G39/$P$13,B39=2016,G39/$P$14,B39=2017,G39/$P$15,B39=2018,G39/$P$16,B39=2019,G39/$P$17,B39=2019,G39/$P$18,B39=2020,G39/$P$18,B39=2021,G39/$P$19,B39=2022,G39/$P$20)</f>
        <v>6.4418377508632528E-5</v>
      </c>
    </row>
    <row r="40" spans="1:12" x14ac:dyDescent="0.2">
      <c r="A40">
        <v>3802240</v>
      </c>
      <c r="B40" s="5">
        <v>2021</v>
      </c>
      <c r="C40" t="s">
        <v>252</v>
      </c>
      <c r="D40" t="s">
        <v>254</v>
      </c>
      <c r="E40" t="s">
        <v>256</v>
      </c>
      <c r="F40" s="5" t="s">
        <v>61</v>
      </c>
      <c r="G40" s="7">
        <v>7022</v>
      </c>
      <c r="H40" s="7" cm="1">
        <f t="array" ref="H40">_xlfn.IFS(B40=2015,L40*$P$3,B40=2016,L40*$P$4,B40=2017,L40*$P$5,B40=2018,L40*$P$6,B40=2019,L40*$P$7,B40=2020,L40*$P$8,B40=2021,L40*$P$9,B40=2022,L40*$P$10)</f>
        <v>191.87118857908442</v>
      </c>
      <c r="I40" s="7">
        <f t="shared" si="1"/>
        <v>7213.8711885790844</v>
      </c>
      <c r="J40">
        <f>IFERROR(VLOOKUP(F40,'LEAID Match'!$A$2:$B$227,2,FALSE),"")</f>
        <v>3802240</v>
      </c>
      <c r="K40">
        <f t="shared" si="0"/>
        <v>8</v>
      </c>
      <c r="L40" cm="1">
        <f t="array" ref="L40">_xlfn.IFS(B40=2015,G40/$P$13,B40=2016,G40/$P$14,B40=2017,G40/$P$15,B40=2018,G40/$P$16,B40=2019,G40/$P$17,B40=2019,G40/$P$18,B40=2020,G40/$P$18,B40=2021,G40/$P$19,B40=2022,G40/$P$20)</f>
        <v>7.1460405429826603E-5</v>
      </c>
    </row>
    <row r="41" spans="1:12" x14ac:dyDescent="0.2">
      <c r="A41">
        <v>3802240</v>
      </c>
      <c r="B41">
        <v>2022</v>
      </c>
      <c r="C41" t="s">
        <v>252</v>
      </c>
      <c r="D41" t="s">
        <v>254</v>
      </c>
      <c r="E41" t="s">
        <v>256</v>
      </c>
      <c r="F41" s="5" t="s">
        <v>61</v>
      </c>
      <c r="G41" s="7">
        <v>6576</v>
      </c>
      <c r="H41" s="7" cm="1">
        <f t="array" ref="H41">_xlfn.IFS(B41=2015,L41*$P$3,B41=2016,L41*$P$4,B41=2017,L41*$P$5,B41=2018,L41*$P$6,B41=2019,L41*$P$7,B41=2020,L41*$P$8,B41=2021,L41*$P$9,B41=2022,L41*$P$10)</f>
        <v>133.83845431194464</v>
      </c>
      <c r="I41" s="7">
        <f t="shared" si="1"/>
        <v>6709.8384543119446</v>
      </c>
      <c r="J41">
        <f>IFERROR(VLOOKUP(F41,'LEAID Match'!$A$2:$B$227,2,FALSE),"")</f>
        <v>3802240</v>
      </c>
      <c r="K41">
        <f t="shared" si="0"/>
        <v>8</v>
      </c>
      <c r="L41" cm="1">
        <f t="array" ref="L41">_xlfn.IFS(B41=2015,G41/$P$13,B41=2016,G41/$P$14,B41=2017,G41/$P$15,B41=2018,G41/$P$16,B41=2019,G41/$P$17,B41=2019,G41/$P$18,B41=2020,G41/$P$18,B41=2021,G41/$P$19,B41=2022,G41/$P$20)</f>
        <v>6.5542827772744681E-5</v>
      </c>
    </row>
    <row r="42" spans="1:12" x14ac:dyDescent="0.2">
      <c r="A42">
        <v>3800060</v>
      </c>
      <c r="B42">
        <v>2015</v>
      </c>
      <c r="C42" t="s">
        <v>252</v>
      </c>
      <c r="D42" t="s">
        <v>254</v>
      </c>
      <c r="E42" t="s">
        <v>256</v>
      </c>
      <c r="F42" s="5" t="s">
        <v>62</v>
      </c>
      <c r="G42" s="7">
        <v>210666</v>
      </c>
      <c r="H42" s="7" cm="1">
        <f t="array" ref="H42">_xlfn.IFS(B42=2015,L42*$P$3,B42=2016,L42*$P$4,B42=2017,L42*$P$5,B42=2018,L42*$P$6,B42=2019,L42*$P$7,B42=2020,L42*$P$8,B42=2021,L42*$P$9,B42=2022,L42*$P$10)</f>
        <v>4762.8260146055773</v>
      </c>
      <c r="I42" s="7">
        <f t="shared" si="1"/>
        <v>215428.82601460558</v>
      </c>
      <c r="J42">
        <f>IFERROR(VLOOKUP(F42,'LEAID Match'!$A$2:$B$227,2,FALSE),"")</f>
        <v>3800060</v>
      </c>
      <c r="K42">
        <f t="shared" si="0"/>
        <v>8</v>
      </c>
      <c r="L42" cm="1">
        <f t="array" ref="L42">_xlfn.IFS(B42=2015,G42/$P$13,B42=2016,G42/$P$14,B42=2017,G42/$P$15,B42=2018,G42/$P$16,B42=2019,G42/$P$17,B42=2019,G42/$P$18,B42=2020,G42/$P$18,B42=2021,G42/$P$19,B42=2022,G42/$P$20)</f>
        <v>2.6863090888920344E-3</v>
      </c>
    </row>
    <row r="43" spans="1:12" x14ac:dyDescent="0.2">
      <c r="A43">
        <v>3800060</v>
      </c>
      <c r="B43">
        <v>2016</v>
      </c>
      <c r="C43" t="s">
        <v>252</v>
      </c>
      <c r="D43" t="s">
        <v>254</v>
      </c>
      <c r="E43" t="s">
        <v>256</v>
      </c>
      <c r="F43" s="5" t="s">
        <v>62</v>
      </c>
      <c r="G43" s="7">
        <v>202349</v>
      </c>
      <c r="H43" s="7" cm="1">
        <f t="array" ref="H43">_xlfn.IFS(B43=2015,L43*$P$3,B43=2016,L43*$P$4,B43=2017,L43*$P$5,B43=2018,L43*$P$6,B43=2019,L43*$P$7,B43=2020,L43*$P$8,B43=2021,L43*$P$9,B43=2022,L43*$P$10)</f>
        <v>6871.1758946298487</v>
      </c>
      <c r="I43" s="7">
        <f t="shared" si="1"/>
        <v>209220.17589462985</v>
      </c>
      <c r="J43">
        <f>IFERROR(VLOOKUP(F43,'LEAID Match'!$A$2:$B$227,2,FALSE),"")</f>
        <v>3800060</v>
      </c>
      <c r="K43">
        <f t="shared" si="0"/>
        <v>8</v>
      </c>
      <c r="L43" cm="1">
        <f t="array" ref="L43">_xlfn.IFS(B43=2015,G43/$P$13,B43=2016,G43/$P$14,B43=2017,G43/$P$15,B43=2018,G43/$P$16,B43=2019,G43/$P$17,B43=2019,G43/$P$18,B43=2020,G43/$P$18,B43=2021,G43/$P$19,B43=2022,G43/$P$20)</f>
        <v>2.4426505135548698E-3</v>
      </c>
    </row>
    <row r="44" spans="1:12" x14ac:dyDescent="0.2">
      <c r="A44">
        <v>3800060</v>
      </c>
      <c r="B44">
        <v>2017</v>
      </c>
      <c r="C44" t="s">
        <v>252</v>
      </c>
      <c r="D44" t="s">
        <v>254</v>
      </c>
      <c r="E44" t="s">
        <v>256</v>
      </c>
      <c r="F44" s="5" t="s">
        <v>62</v>
      </c>
      <c r="G44" s="7">
        <v>206651</v>
      </c>
      <c r="H44" s="7" cm="1">
        <f t="array" ref="H44">_xlfn.IFS(B44=2015,L44*$P$3,B44=2016,L44*$P$4,B44=2017,L44*$P$5,B44=2018,L44*$P$6,B44=2019,L44*$P$7,B44=2020,L44*$P$8,B44=2021,L44*$P$9,B44=2022,L44*$P$10)</f>
        <v>6697.1560965196577</v>
      </c>
      <c r="I44" s="7">
        <f t="shared" si="1"/>
        <v>213348.15609651967</v>
      </c>
      <c r="J44">
        <f>IFERROR(VLOOKUP(F44,'LEAID Match'!$A$2:$B$227,2,FALSE),"")</f>
        <v>3800060</v>
      </c>
      <c r="K44">
        <f t="shared" si="0"/>
        <v>8</v>
      </c>
      <c r="L44" cm="1">
        <f t="array" ref="L44">_xlfn.IFS(B44=2015,G44/$P$13,B44=2016,G44/$P$14,B44=2017,G44/$P$15,B44=2018,G44/$P$16,B44=2019,G44/$P$17,B44=2019,G44/$P$18,B44=2020,G44/$P$18,B44=2021,G44/$P$19,B44=2022,G44/$P$20)</f>
        <v>2.4012750435710496E-3</v>
      </c>
    </row>
    <row r="45" spans="1:12" x14ac:dyDescent="0.2">
      <c r="A45">
        <v>3800060</v>
      </c>
      <c r="B45" s="5">
        <v>2018</v>
      </c>
      <c r="C45" t="s">
        <v>252</v>
      </c>
      <c r="D45" t="s">
        <v>254</v>
      </c>
      <c r="E45" t="s">
        <v>256</v>
      </c>
      <c r="F45" s="5" t="s">
        <v>62</v>
      </c>
      <c r="G45" s="7">
        <v>198745</v>
      </c>
      <c r="H45" s="7" cm="1">
        <f t="array" ref="H45">_xlfn.IFS(B45=2015,L45*$P$3,B45=2016,L45*$P$4,B45=2017,L45*$P$5,B45=2018,L45*$P$6,B45=2019,L45*$P$7,B45=2020,L45*$P$8,B45=2021,L45*$P$9,B45=2022,L45*$P$10)</f>
        <v>5445.8094687548255</v>
      </c>
      <c r="I45" s="7">
        <f t="shared" si="1"/>
        <v>204190.80946875483</v>
      </c>
      <c r="J45">
        <f>IFERROR(VLOOKUP(F45,'LEAID Match'!$A$2:$B$227,2,FALSE),"")</f>
        <v>3800060</v>
      </c>
      <c r="K45">
        <f t="shared" si="0"/>
        <v>8</v>
      </c>
      <c r="L45" cm="1">
        <f t="array" ref="L45">_xlfn.IFS(B45=2015,G45/$P$13,B45=2016,G45/$P$14,B45=2017,G45/$P$15,B45=2018,G45/$P$16,B45=2019,G45/$P$17,B45=2019,G45/$P$18,B45=2020,G45/$P$18,B45=2021,G45/$P$19,B45=2022,G45/$P$20)</f>
        <v>2.2929724078967688E-3</v>
      </c>
    </row>
    <row r="46" spans="1:12" x14ac:dyDescent="0.2">
      <c r="A46">
        <v>3800060</v>
      </c>
      <c r="B46">
        <v>2019</v>
      </c>
      <c r="C46" t="s">
        <v>252</v>
      </c>
      <c r="D46" t="s">
        <v>254</v>
      </c>
      <c r="E46" t="s">
        <v>256</v>
      </c>
      <c r="F46" s="5" t="s">
        <v>62</v>
      </c>
      <c r="G46" s="7">
        <v>201792</v>
      </c>
      <c r="H46" s="7" cm="1">
        <f t="array" ref="H46">_xlfn.IFS(B46=2015,L46*$P$3,B46=2016,L46*$P$4,B46=2017,L46*$P$5,B46=2018,L46*$P$6,B46=2019,L46*$P$7,B46=2020,L46*$P$8,B46=2021,L46*$P$9,B46=2022,L46*$P$10)</f>
        <v>4683.556979449243</v>
      </c>
      <c r="I46" s="7">
        <f t="shared" si="1"/>
        <v>206475.55697944923</v>
      </c>
      <c r="J46">
        <f>IFERROR(VLOOKUP(F46,'LEAID Match'!$A$2:$B$227,2,FALSE),"")</f>
        <v>3800060</v>
      </c>
      <c r="K46">
        <f t="shared" si="0"/>
        <v>8</v>
      </c>
      <c r="L46" cm="1">
        <f t="array" ref="L46">_xlfn.IFS(B46=2015,G46/$P$13,B46=2016,G46/$P$14,B46=2017,G46/$P$15,B46=2018,G46/$P$16,B46=2019,G46/$P$17,B46=2019,G46/$P$18,B46=2020,G46/$P$18,B46=2021,G46/$P$19,B46=2022,G46/$P$20)</f>
        <v>2.2560486413531998E-3</v>
      </c>
    </row>
    <row r="47" spans="1:12" x14ac:dyDescent="0.2">
      <c r="A47">
        <v>3800060</v>
      </c>
      <c r="B47">
        <v>2020</v>
      </c>
      <c r="C47" t="s">
        <v>252</v>
      </c>
      <c r="D47" t="s">
        <v>254</v>
      </c>
      <c r="E47" t="s">
        <v>256</v>
      </c>
      <c r="F47" s="5" t="s">
        <v>62</v>
      </c>
      <c r="G47" s="7">
        <v>214268</v>
      </c>
      <c r="H47" s="7" cm="1">
        <f t="array" ref="H47">_xlfn.IFS(B47=2015,L47*$P$3,B47=2016,L47*$P$4,B47=2017,L47*$P$5,B47=2018,L47*$P$6,B47=2019,L47*$P$7,B47=2020,L47*$P$8,B47=2021,L47*$P$9,B47=2022,L47*$P$10)</f>
        <v>5375.5594848413011</v>
      </c>
      <c r="I47" s="7">
        <f t="shared" si="1"/>
        <v>219643.5594848413</v>
      </c>
      <c r="J47">
        <f>IFERROR(VLOOKUP(F47,'LEAID Match'!$A$2:$B$227,2,FALSE),"")</f>
        <v>3800060</v>
      </c>
      <c r="K47">
        <f t="shared" si="0"/>
        <v>8</v>
      </c>
      <c r="L47" cm="1">
        <f t="array" ref="L47">_xlfn.IFS(B47=2015,G47/$P$13,B47=2016,G47/$P$14,B47=2017,G47/$P$15,B47=2018,G47/$P$16,B47=2019,G47/$P$17,B47=2019,G47/$P$18,B47=2020,G47/$P$18,B47=2021,G47/$P$19,B47=2022,G47/$P$20)</f>
        <v>2.3031531640279783E-3</v>
      </c>
    </row>
    <row r="48" spans="1:12" x14ac:dyDescent="0.2">
      <c r="A48">
        <v>3800060</v>
      </c>
      <c r="B48" s="5">
        <v>2021</v>
      </c>
      <c r="C48" t="s">
        <v>252</v>
      </c>
      <c r="D48" t="s">
        <v>254</v>
      </c>
      <c r="E48" t="s">
        <v>256</v>
      </c>
      <c r="F48" s="5" t="s">
        <v>62</v>
      </c>
      <c r="G48" s="7">
        <v>219587</v>
      </c>
      <c r="H48" s="7" cm="1">
        <f t="array" ref="H48">_xlfn.IFS(B48=2015,L48*$P$3,B48=2016,L48*$P$4,B48=2017,L48*$P$5,B48=2018,L48*$P$6,B48=2019,L48*$P$7,B48=2020,L48*$P$8,B48=2021,L48*$P$9,B48=2022,L48*$P$10)</f>
        <v>6000.0596249665932</v>
      </c>
      <c r="I48" s="7">
        <f t="shared" si="1"/>
        <v>225587.05962496658</v>
      </c>
      <c r="J48">
        <f>IFERROR(VLOOKUP(F48,'LEAID Match'!$A$2:$B$227,2,FALSE),"")</f>
        <v>3800060</v>
      </c>
      <c r="K48">
        <f t="shared" si="0"/>
        <v>8</v>
      </c>
      <c r="L48" cm="1">
        <f t="array" ref="L48">_xlfn.IFS(B48=2015,G48/$P$13,B48=2016,G48/$P$14,B48=2017,G48/$P$15,B48=2018,G48/$P$16,B48=2019,G48/$P$17,B48=2019,G48/$P$18,B48=2020,G48/$P$18,B48=2021,G48/$P$19,B48=2022,G48/$P$20)</f>
        <v>2.2346590781998485E-3</v>
      </c>
    </row>
    <row r="49" spans="1:12" x14ac:dyDescent="0.2">
      <c r="A49">
        <v>3800060</v>
      </c>
      <c r="B49">
        <v>2022</v>
      </c>
      <c r="C49" t="s">
        <v>252</v>
      </c>
      <c r="D49" t="s">
        <v>254</v>
      </c>
      <c r="E49" t="s">
        <v>256</v>
      </c>
      <c r="F49" s="5" t="s">
        <v>62</v>
      </c>
      <c r="G49" s="7">
        <v>222800</v>
      </c>
      <c r="H49" s="7" cm="1">
        <f t="array" ref="H49">_xlfn.IFS(B49=2015,L49*$P$3,B49=2016,L49*$P$4,B49=2017,L49*$P$5,B49=2018,L49*$P$6,B49=2019,L49*$P$7,B49=2020,L49*$P$8,B49=2021,L49*$P$9,B49=2022,L49*$P$10)</f>
        <v>4534.5510372112631</v>
      </c>
      <c r="I49" s="7">
        <f t="shared" si="1"/>
        <v>227334.55103721126</v>
      </c>
      <c r="J49">
        <f>IFERROR(VLOOKUP(F49,'LEAID Match'!$A$2:$B$227,2,FALSE),"")</f>
        <v>3800060</v>
      </c>
      <c r="K49">
        <f t="shared" si="0"/>
        <v>8</v>
      </c>
      <c r="L49" cm="1">
        <f t="array" ref="L49">_xlfn.IFS(B49=2015,G49/$P$13,B49=2016,G49/$P$14,B49=2017,G49/$P$15,B49=2018,G49/$P$16,B49=2019,G49/$P$17,B49=2019,G49/$P$18,B49=2020,G49/$P$18,B49=2021,G49/$P$19,B49=2022,G49/$P$20)</f>
        <v>2.2206420358527241E-3</v>
      </c>
    </row>
    <row r="50" spans="1:12" x14ac:dyDescent="0.2">
      <c r="A50">
        <v>3802380</v>
      </c>
      <c r="B50">
        <v>2015</v>
      </c>
      <c r="C50" t="s">
        <v>252</v>
      </c>
      <c r="D50" t="s">
        <v>254</v>
      </c>
      <c r="E50" t="s">
        <v>256</v>
      </c>
      <c r="F50" s="5" t="s">
        <v>63</v>
      </c>
      <c r="G50" s="7">
        <v>263845</v>
      </c>
      <c r="H50" s="7" cm="1">
        <f t="array" ref="H50">_xlfn.IFS(B50=2015,L50*$P$3,B50=2016,L50*$P$4,B50=2017,L50*$P$5,B50=2018,L50*$P$6,B50=2019,L50*$P$7,B50=2020,L50*$P$8,B50=2021,L50*$P$9,B50=2022,L50*$P$10)</f>
        <v>5965.1193349833784</v>
      </c>
      <c r="I50" s="7">
        <f t="shared" si="1"/>
        <v>269810.11933498341</v>
      </c>
      <c r="J50">
        <f>IFERROR(VLOOKUP(F50,'LEAID Match'!$A$2:$B$227,2,FALSE),"")</f>
        <v>3802380</v>
      </c>
      <c r="K50">
        <f t="shared" si="0"/>
        <v>8</v>
      </c>
      <c r="L50" cm="1">
        <f t="array" ref="L50">_xlfn.IFS(B50=2015,G50/$P$13,B50=2016,G50/$P$14,B50=2017,G50/$P$15,B50=2018,G50/$P$16,B50=2019,G50/$P$17,B50=2019,G50/$P$18,B50=2020,G50/$P$18,B50=2021,G50/$P$19,B50=2022,G50/$P$20)</f>
        <v>3.3644215087328699E-3</v>
      </c>
    </row>
    <row r="51" spans="1:12" x14ac:dyDescent="0.2">
      <c r="A51">
        <v>3802380</v>
      </c>
      <c r="B51">
        <v>2016</v>
      </c>
      <c r="C51" t="s">
        <v>252</v>
      </c>
      <c r="D51" t="s">
        <v>254</v>
      </c>
      <c r="E51" t="s">
        <v>256</v>
      </c>
      <c r="F51" s="5" t="s">
        <v>63</v>
      </c>
      <c r="G51" s="7">
        <v>272632</v>
      </c>
      <c r="H51" s="7" cm="1">
        <f t="array" ref="H51">_xlfn.IFS(B51=2015,L51*$P$3,B51=2016,L51*$P$4,B51=2017,L51*$P$5,B51=2018,L51*$P$6,B51=2019,L51*$P$7,B51=2020,L51*$P$8,B51=2021,L51*$P$9,B51=2022,L51*$P$10)</f>
        <v>9257.7795121533836</v>
      </c>
      <c r="I51" s="7">
        <f t="shared" si="1"/>
        <v>281889.77951215336</v>
      </c>
      <c r="J51">
        <f>IFERROR(VLOOKUP(F51,'LEAID Match'!$A$2:$B$227,2,FALSE),"")</f>
        <v>3802380</v>
      </c>
      <c r="K51">
        <f t="shared" si="0"/>
        <v>8</v>
      </c>
      <c r="L51" cm="1">
        <f t="array" ref="L51">_xlfn.IFS(B51=2015,G51/$P$13,B51=2016,G51/$P$14,B51=2017,G51/$P$15,B51=2018,G51/$P$16,B51=2019,G51/$P$17,B51=2019,G51/$P$18,B51=2020,G51/$P$18,B51=2021,G51/$P$19,B51=2022,G51/$P$20)</f>
        <v>3.2910698585685689E-3</v>
      </c>
    </row>
    <row r="52" spans="1:12" x14ac:dyDescent="0.2">
      <c r="A52">
        <v>3802380</v>
      </c>
      <c r="B52">
        <v>2017</v>
      </c>
      <c r="C52" t="s">
        <v>252</v>
      </c>
      <c r="D52" t="s">
        <v>254</v>
      </c>
      <c r="E52" t="s">
        <v>256</v>
      </c>
      <c r="F52" s="5" t="s">
        <v>63</v>
      </c>
      <c r="G52" s="7">
        <v>266645</v>
      </c>
      <c r="H52" s="7" cm="1">
        <f t="array" ref="H52">_xlfn.IFS(B52=2015,L52*$P$3,B52=2016,L52*$P$4,B52=2017,L52*$P$5,B52=2018,L52*$P$6,B52=2019,L52*$P$7,B52=2020,L52*$P$8,B52=2021,L52*$P$9,B52=2022,L52*$P$10)</f>
        <v>8641.444693500076</v>
      </c>
      <c r="I52" s="7">
        <f t="shared" si="1"/>
        <v>275286.44469350006</v>
      </c>
      <c r="J52">
        <f>IFERROR(VLOOKUP(F52,'LEAID Match'!$A$2:$B$227,2,FALSE),"")</f>
        <v>3802380</v>
      </c>
      <c r="K52">
        <f t="shared" si="0"/>
        <v>8</v>
      </c>
      <c r="L52" cm="1">
        <f t="array" ref="L52">_xlfn.IFS(B52=2015,G52/$P$13,B52=2016,G52/$P$14,B52=2017,G52/$P$15,B52=2018,G52/$P$16,B52=2019,G52/$P$17,B52=2019,G52/$P$18,B52=2020,G52/$P$18,B52=2021,G52/$P$19,B52=2022,G52/$P$20)</f>
        <v>3.0984025433847527E-3</v>
      </c>
    </row>
    <row r="53" spans="1:12" x14ac:dyDescent="0.2">
      <c r="A53">
        <v>3802380</v>
      </c>
      <c r="B53" s="5">
        <v>2018</v>
      </c>
      <c r="C53" t="s">
        <v>252</v>
      </c>
      <c r="D53" t="s">
        <v>254</v>
      </c>
      <c r="E53" t="s">
        <v>256</v>
      </c>
      <c r="F53" s="5" t="s">
        <v>63</v>
      </c>
      <c r="G53" s="7">
        <v>264876</v>
      </c>
      <c r="H53" s="7" cm="1">
        <f t="array" ref="H53">_xlfn.IFS(B53=2015,L53*$P$3,B53=2016,L53*$P$4,B53=2017,L53*$P$5,B53=2018,L53*$P$6,B53=2019,L53*$P$7,B53=2020,L53*$P$8,B53=2021,L53*$P$9,B53=2022,L53*$P$10)</f>
        <v>7257.8642423502642</v>
      </c>
      <c r="I53" s="7">
        <f t="shared" si="1"/>
        <v>272133.86424235028</v>
      </c>
      <c r="J53">
        <f>IFERROR(VLOOKUP(F53,'LEAID Match'!$A$2:$B$227,2,FALSE),"")</f>
        <v>3802380</v>
      </c>
      <c r="K53">
        <f t="shared" si="0"/>
        <v>8</v>
      </c>
      <c r="L53" cm="1">
        <f t="array" ref="L53">_xlfn.IFS(B53=2015,G53/$P$13,B53=2016,G53/$P$14,B53=2017,G53/$P$15,B53=2018,G53/$P$16,B53=2019,G53/$P$17,B53=2019,G53/$P$18,B53=2020,G53/$P$18,B53=2021,G53/$P$19,B53=2022,G53/$P$20)</f>
        <v>3.0559428388843217E-3</v>
      </c>
    </row>
    <row r="54" spans="1:12" x14ac:dyDescent="0.2">
      <c r="A54">
        <v>3802380</v>
      </c>
      <c r="B54">
        <v>2019</v>
      </c>
      <c r="C54" t="s">
        <v>252</v>
      </c>
      <c r="D54" t="s">
        <v>254</v>
      </c>
      <c r="E54" t="s">
        <v>256</v>
      </c>
      <c r="F54" s="5" t="s">
        <v>63</v>
      </c>
      <c r="G54" s="7">
        <v>274546</v>
      </c>
      <c r="H54" s="7" cm="1">
        <f t="array" ref="H54">_xlfn.IFS(B54=2015,L54*$P$3,B54=2016,L54*$P$4,B54=2017,L54*$P$5,B54=2018,L54*$P$6,B54=2019,L54*$P$7,B54=2020,L54*$P$8,B54=2021,L54*$P$9,B54=2022,L54*$P$10)</f>
        <v>6372.1645777824278</v>
      </c>
      <c r="I54" s="7">
        <f t="shared" si="1"/>
        <v>280918.16457778245</v>
      </c>
      <c r="J54">
        <f>IFERROR(VLOOKUP(F54,'LEAID Match'!$A$2:$B$227,2,FALSE),"")</f>
        <v>3802380</v>
      </c>
      <c r="K54">
        <f t="shared" si="0"/>
        <v>8</v>
      </c>
      <c r="L54" cm="1">
        <f t="array" ref="L54">_xlfn.IFS(B54=2015,G54/$P$13,B54=2016,G54/$P$14,B54=2017,G54/$P$15,B54=2018,G54/$P$16,B54=2019,G54/$P$17,B54=2019,G54/$P$18,B54=2020,G54/$P$18,B54=2021,G54/$P$19,B54=2022,G54/$P$20)</f>
        <v>3.0694434382381639E-3</v>
      </c>
    </row>
    <row r="55" spans="1:12" x14ac:dyDescent="0.2">
      <c r="A55">
        <v>3802380</v>
      </c>
      <c r="B55">
        <v>2020</v>
      </c>
      <c r="C55" t="s">
        <v>252</v>
      </c>
      <c r="D55" t="s">
        <v>254</v>
      </c>
      <c r="E55" t="s">
        <v>256</v>
      </c>
      <c r="F55" s="5" t="s">
        <v>63</v>
      </c>
      <c r="G55" s="7">
        <v>280051</v>
      </c>
      <c r="H55" s="7" cm="1">
        <f t="array" ref="H55">_xlfn.IFS(B55=2015,L55*$P$3,B55=2016,L55*$P$4,B55=2017,L55*$P$5,B55=2018,L55*$P$6,B55=2019,L55*$P$7,B55=2020,L55*$P$8,B55=2021,L55*$P$9,B55=2022,L55*$P$10)</f>
        <v>7025.9245864491722</v>
      </c>
      <c r="I55" s="7">
        <f t="shared" si="1"/>
        <v>287076.92458644917</v>
      </c>
      <c r="J55">
        <f>IFERROR(VLOOKUP(F55,'LEAID Match'!$A$2:$B$227,2,FALSE),"")</f>
        <v>3802380</v>
      </c>
      <c r="K55">
        <f t="shared" si="0"/>
        <v>8</v>
      </c>
      <c r="L55" cm="1">
        <f t="array" ref="L55">_xlfn.IFS(B55=2015,G55/$P$13,B55=2016,G55/$P$14,B55=2017,G55/$P$15,B55=2018,G55/$P$16,B55=2019,G55/$P$17,B55=2019,G55/$P$18,B55=2020,G55/$P$18,B55=2021,G55/$P$19,B55=2022,G55/$P$20)</f>
        <v>3.0102504654880772E-3</v>
      </c>
    </row>
    <row r="56" spans="1:12" x14ac:dyDescent="0.2">
      <c r="A56">
        <v>3802380</v>
      </c>
      <c r="B56" s="5">
        <v>2021</v>
      </c>
      <c r="C56" t="s">
        <v>252</v>
      </c>
      <c r="D56" t="s">
        <v>254</v>
      </c>
      <c r="E56" t="s">
        <v>256</v>
      </c>
      <c r="F56" s="5" t="s">
        <v>63</v>
      </c>
      <c r="G56" s="7">
        <v>275372</v>
      </c>
      <c r="H56" s="7" cm="1">
        <f t="array" ref="H56">_xlfn.IFS(B56=2015,L56*$P$3,B56=2016,L56*$P$4,B56=2017,L56*$P$5,B56=2018,L56*$P$6,B56=2019,L56*$P$7,B56=2020,L56*$P$8,B56=2021,L56*$P$9,B56=2022,L56*$P$10)</f>
        <v>7524.3453348618114</v>
      </c>
      <c r="I56" s="7">
        <f t="shared" si="1"/>
        <v>282896.34533486183</v>
      </c>
      <c r="J56">
        <f>IFERROR(VLOOKUP(F56,'LEAID Match'!$A$2:$B$227,2,FALSE),"")</f>
        <v>3802380</v>
      </c>
      <c r="K56">
        <f t="shared" si="0"/>
        <v>8</v>
      </c>
      <c r="L56" cm="1">
        <f t="array" ref="L56">_xlfn.IFS(B56=2015,G56/$P$13,B56=2016,G56/$P$14,B56=2017,G56/$P$15,B56=2018,G56/$P$16,B56=2019,G56/$P$17,B56=2019,G56/$P$18,B56=2020,G56/$P$18,B56=2021,G56/$P$19,B56=2022,G56/$P$20)</f>
        <v>2.8023632532073787E-3</v>
      </c>
    </row>
    <row r="57" spans="1:12" x14ac:dyDescent="0.2">
      <c r="A57">
        <v>3802380</v>
      </c>
      <c r="B57">
        <v>2022</v>
      </c>
      <c r="C57" t="s">
        <v>252</v>
      </c>
      <c r="D57" t="s">
        <v>254</v>
      </c>
      <c r="E57" t="s">
        <v>256</v>
      </c>
      <c r="F57" s="5" t="s">
        <v>63</v>
      </c>
      <c r="G57" s="7">
        <v>293005</v>
      </c>
      <c r="H57" s="7" cm="1">
        <f t="array" ref="H57">_xlfn.IFS(B57=2015,L57*$P$3,B57=2016,L57*$P$4,B57=2017,L57*$P$5,B57=2018,L57*$P$6,B57=2019,L57*$P$7,B57=2020,L57*$P$8,B57=2021,L57*$P$9,B57=2022,L57*$P$10)</f>
        <v>5963.4027228818941</v>
      </c>
      <c r="I57" s="7">
        <f t="shared" si="1"/>
        <v>298968.40272288187</v>
      </c>
      <c r="J57">
        <f>IFERROR(VLOOKUP(F57,'LEAID Match'!$A$2:$B$227,2,FALSE),"")</f>
        <v>3802380</v>
      </c>
      <c r="K57">
        <f t="shared" si="0"/>
        <v>8</v>
      </c>
      <c r="L57" cm="1">
        <f t="array" ref="L57">_xlfn.IFS(B57=2015,G57/$P$13,B57=2016,G57/$P$14,B57=2017,G57/$P$15,B57=2018,G57/$P$16,B57=2019,G57/$P$17,B57=2019,G57/$P$18,B57=2020,G57/$P$18,B57=2021,G57/$P$19,B57=2022,G57/$P$20)</f>
        <v>2.9203735175719362E-3</v>
      </c>
    </row>
    <row r="58" spans="1:12" x14ac:dyDescent="0.2">
      <c r="A58">
        <v>3802530</v>
      </c>
      <c r="B58">
        <v>2015</v>
      </c>
      <c r="C58" t="s">
        <v>252</v>
      </c>
      <c r="D58" t="s">
        <v>254</v>
      </c>
      <c r="E58" t="s">
        <v>256</v>
      </c>
      <c r="F58" s="5" t="s">
        <v>187</v>
      </c>
      <c r="G58" s="7">
        <v>1024963</v>
      </c>
      <c r="H58" s="7" cm="1">
        <f t="array" ref="H58">_xlfn.IFS(B58=2015,L58*$P$3,B58=2016,L58*$P$4,B58=2017,L58*$P$5,B58=2018,L58*$P$6,B58=2019,L58*$P$7,B58=2020,L58*$P$8,B58=2021,L58*$P$9,B58=2022,L58*$P$10)</f>
        <v>23172.79694116837</v>
      </c>
      <c r="I58" s="7">
        <f t="shared" si="1"/>
        <v>1048135.7969411684</v>
      </c>
      <c r="J58">
        <f>IFERROR(VLOOKUP(F58,'LEAID Match'!$A$2:$B$227,2,FALSE),"")</f>
        <v>3802530</v>
      </c>
      <c r="K58">
        <f t="shared" si="0"/>
        <v>8</v>
      </c>
      <c r="L58" cm="1">
        <f t="array" ref="L58">_xlfn.IFS(B58=2015,G58/$P$13,B58=2016,G58/$P$14,B58=2017,G58/$P$15,B58=2018,G58/$P$16,B58=2019,G58/$P$17,B58=2019,G58/$P$18,B58=2020,G58/$P$18,B58=2021,G58/$P$19,B58=2022,G58/$P$20)</f>
        <v>1.3069823429874996E-2</v>
      </c>
    </row>
    <row r="59" spans="1:12" x14ac:dyDescent="0.2">
      <c r="A59">
        <v>3802530</v>
      </c>
      <c r="B59">
        <v>2016</v>
      </c>
      <c r="C59" t="s">
        <v>252</v>
      </c>
      <c r="D59" t="s">
        <v>254</v>
      </c>
      <c r="E59" t="s">
        <v>256</v>
      </c>
      <c r="F59" s="5" t="s">
        <v>187</v>
      </c>
      <c r="G59" s="7">
        <v>1059631</v>
      </c>
      <c r="H59" s="7" cm="1">
        <f t="array" ref="H59">_xlfn.IFS(B59=2015,L59*$P$3,B59=2016,L59*$P$4,B59=2017,L59*$P$5,B59=2018,L59*$P$6,B59=2019,L59*$P$7,B59=2020,L59*$P$8,B59=2021,L59*$P$9,B59=2022,L59*$P$10)</f>
        <v>35981.946955025829</v>
      </c>
      <c r="I59" s="7">
        <f t="shared" si="1"/>
        <v>1095612.9469550259</v>
      </c>
      <c r="J59">
        <f>IFERROR(VLOOKUP(F59,'LEAID Match'!$A$2:$B$227,2,FALSE),"")</f>
        <v>3802530</v>
      </c>
      <c r="K59">
        <f t="shared" si="0"/>
        <v>8</v>
      </c>
      <c r="L59" cm="1">
        <f t="array" ref="L59">_xlfn.IFS(B59=2015,G59/$P$13,B59=2016,G59/$P$14,B59=2017,G59/$P$15,B59=2018,G59/$P$16,B59=2019,G59/$P$17,B59=2019,G59/$P$18,B59=2020,G59/$P$18,B59=2021,G59/$P$19,B59=2022,G59/$P$20)</f>
        <v>1.2791307129408401E-2</v>
      </c>
    </row>
    <row r="60" spans="1:12" x14ac:dyDescent="0.2">
      <c r="A60">
        <v>3802530</v>
      </c>
      <c r="B60">
        <v>2017</v>
      </c>
      <c r="C60" t="s">
        <v>252</v>
      </c>
      <c r="D60" t="s">
        <v>254</v>
      </c>
      <c r="E60" t="s">
        <v>256</v>
      </c>
      <c r="F60" s="5" t="s">
        <v>187</v>
      </c>
      <c r="G60" s="7">
        <v>1073575</v>
      </c>
      <c r="H60" s="7" cm="1">
        <f t="array" ref="H60">_xlfn.IFS(B60=2015,L60*$P$3,B60=2016,L60*$P$4,B60=2017,L60*$P$5,B60=2018,L60*$P$6,B60=2019,L60*$P$7,B60=2020,L60*$P$8,B60=2021,L60*$P$9,B60=2022,L60*$P$10)</f>
        <v>34792.473089029772</v>
      </c>
      <c r="I60" s="7">
        <f t="shared" si="1"/>
        <v>1108367.4730890298</v>
      </c>
      <c r="J60">
        <f>IFERROR(VLOOKUP(F60,'LEAID Match'!$A$2:$B$227,2,FALSE),"")</f>
        <v>3802530</v>
      </c>
      <c r="K60">
        <f t="shared" si="0"/>
        <v>8</v>
      </c>
      <c r="L60" cm="1">
        <f t="array" ref="L60">_xlfn.IFS(B60=2015,G60/$P$13,B60=2016,G60/$P$14,B60=2017,G60/$P$15,B60=2018,G60/$P$16,B60=2019,G60/$P$17,B60=2019,G60/$P$18,B60=2020,G60/$P$18,B60=2021,G60/$P$19,B60=2022,G60/$P$20)</f>
        <v>1.247489174938321E-2</v>
      </c>
    </row>
    <row r="61" spans="1:12" x14ac:dyDescent="0.2">
      <c r="A61">
        <v>3802530</v>
      </c>
      <c r="B61" s="5">
        <v>2018</v>
      </c>
      <c r="C61" t="s">
        <v>252</v>
      </c>
      <c r="D61" t="s">
        <v>254</v>
      </c>
      <c r="E61" t="s">
        <v>256</v>
      </c>
      <c r="F61" s="5" t="s">
        <v>187</v>
      </c>
      <c r="G61" s="7">
        <v>1096743</v>
      </c>
      <c r="H61" s="7" cm="1">
        <f t="array" ref="H61">_xlfn.IFS(B61=2015,L61*$P$3,B61=2016,L61*$P$4,B61=2017,L61*$P$5,B61=2018,L61*$P$6,B61=2019,L61*$P$7,B61=2020,L61*$P$8,B61=2021,L61*$P$9,B61=2022,L61*$P$10)</f>
        <v>30051.842381899289</v>
      </c>
      <c r="I61" s="7">
        <f t="shared" si="1"/>
        <v>1126794.8423818992</v>
      </c>
      <c r="J61">
        <f>IFERROR(VLOOKUP(F61,'LEAID Match'!$A$2:$B$227,2,FALSE),"")</f>
        <v>3802530</v>
      </c>
      <c r="K61">
        <f t="shared" si="0"/>
        <v>8</v>
      </c>
      <c r="L61" cm="1">
        <f t="array" ref="L61">_xlfn.IFS(B61=2015,G61/$P$13,B61=2016,G61/$P$14,B61=2017,G61/$P$15,B61=2018,G61/$P$16,B61=2019,G61/$P$17,B61=2019,G61/$P$18,B61=2020,G61/$P$18,B61=2021,G61/$P$19,B61=2022,G61/$P$20)</f>
        <v>1.2653407318694437E-2</v>
      </c>
    </row>
    <row r="62" spans="1:12" x14ac:dyDescent="0.2">
      <c r="A62">
        <v>3802530</v>
      </c>
      <c r="B62">
        <v>2019</v>
      </c>
      <c r="C62" t="s">
        <v>252</v>
      </c>
      <c r="D62" t="s">
        <v>254</v>
      </c>
      <c r="E62" t="s">
        <v>256</v>
      </c>
      <c r="F62" s="5" t="s">
        <v>187</v>
      </c>
      <c r="G62" s="7">
        <v>1102996</v>
      </c>
      <c r="H62" s="7" cm="1">
        <f t="array" ref="H62">_xlfn.IFS(B62=2015,L62*$P$3,B62=2016,L62*$P$4,B62=2017,L62*$P$5,B62=2018,L62*$P$6,B62=2019,L62*$P$7,B62=2020,L62*$P$8,B62=2021,L62*$P$9,B62=2022,L62*$P$10)</f>
        <v>25600.343988387038</v>
      </c>
      <c r="I62" s="7">
        <f t="shared" si="1"/>
        <v>1128596.3439883871</v>
      </c>
      <c r="J62">
        <f>IFERROR(VLOOKUP(F62,'LEAID Match'!$A$2:$B$227,2,FALSE),"")</f>
        <v>3802530</v>
      </c>
      <c r="K62">
        <f t="shared" si="0"/>
        <v>8</v>
      </c>
      <c r="L62" cm="1">
        <f t="array" ref="L62">_xlfn.IFS(B62=2015,G62/$P$13,B62=2016,G62/$P$14,B62=2017,G62/$P$15,B62=2018,G62/$P$16,B62=2019,G62/$P$17,B62=2019,G62/$P$18,B62=2020,G62/$P$18,B62=2021,G62/$P$19,B62=2022,G62/$P$20)</f>
        <v>1.2331572248741348E-2</v>
      </c>
    </row>
    <row r="63" spans="1:12" x14ac:dyDescent="0.2">
      <c r="A63">
        <v>3802530</v>
      </c>
      <c r="B63">
        <v>2020</v>
      </c>
      <c r="C63" t="s">
        <v>252</v>
      </c>
      <c r="D63" t="s">
        <v>254</v>
      </c>
      <c r="E63" t="s">
        <v>256</v>
      </c>
      <c r="F63" s="5" t="s">
        <v>187</v>
      </c>
      <c r="G63" s="7">
        <v>1161741</v>
      </c>
      <c r="H63" s="7" cm="1">
        <f t="array" ref="H63">_xlfn.IFS(B63=2015,L63*$P$3,B63=2016,L63*$P$4,B63=2017,L63*$P$5,B63=2018,L63*$P$6,B63=2019,L63*$P$7,B63=2020,L63*$P$8,B63=2021,L63*$P$9,B63=2022,L63*$P$10)</f>
        <v>29145.779357995678</v>
      </c>
      <c r="I63" s="7">
        <f t="shared" si="1"/>
        <v>1190886.7793579956</v>
      </c>
      <c r="J63">
        <f>IFERROR(VLOOKUP(F63,'LEAID Match'!$A$2:$B$227,2,FALSE),"")</f>
        <v>3802530</v>
      </c>
      <c r="K63">
        <f t="shared" si="0"/>
        <v>8</v>
      </c>
      <c r="L63" cm="1">
        <f t="array" ref="L63">_xlfn.IFS(B63=2015,G63/$P$13,B63=2016,G63/$P$14,B63=2017,G63/$P$15,B63=2018,G63/$P$16,B63=2019,G63/$P$17,B63=2019,G63/$P$18,B63=2020,G63/$P$18,B63=2021,G63/$P$19,B63=2022,G63/$P$20)</f>
        <v>1.2487480444728225E-2</v>
      </c>
    </row>
    <row r="64" spans="1:12" x14ac:dyDescent="0.2">
      <c r="A64">
        <v>3802530</v>
      </c>
      <c r="B64" s="5">
        <v>2021</v>
      </c>
      <c r="C64" t="s">
        <v>252</v>
      </c>
      <c r="D64" t="s">
        <v>254</v>
      </c>
      <c r="E64" t="s">
        <v>256</v>
      </c>
      <c r="F64" s="5" t="s">
        <v>187</v>
      </c>
      <c r="G64" s="7">
        <v>1177677</v>
      </c>
      <c r="H64" s="7" cm="1">
        <f t="array" ref="H64">_xlfn.IFS(B64=2015,L64*$P$3,B64=2016,L64*$P$4,B64=2017,L64*$P$5,B64=2018,L64*$P$6,B64=2019,L64*$P$7,B64=2020,L64*$P$8,B64=2021,L64*$P$9,B64=2022,L64*$P$10)</f>
        <v>32179.191932818343</v>
      </c>
      <c r="I64" s="7">
        <f t="shared" si="1"/>
        <v>1209856.1919328184</v>
      </c>
      <c r="J64">
        <f>IFERROR(VLOOKUP(F64,'LEAID Match'!$A$2:$B$227,2,FALSE),"")</f>
        <v>3802530</v>
      </c>
      <c r="K64">
        <f t="shared" si="0"/>
        <v>8</v>
      </c>
      <c r="L64" cm="1">
        <f t="array" ref="L64">_xlfn.IFS(B64=2015,G64/$P$13,B64=2016,G64/$P$14,B64=2017,G64/$P$15,B64=2018,G64/$P$16,B64=2019,G64/$P$17,B64=2019,G64/$P$18,B64=2020,G64/$P$18,B64=2021,G64/$P$19,B64=2022,G64/$P$20)</f>
        <v>1.1984801464736813E-2</v>
      </c>
    </row>
    <row r="65" spans="1:12" x14ac:dyDescent="0.2">
      <c r="A65">
        <v>3802530</v>
      </c>
      <c r="B65">
        <v>2022</v>
      </c>
      <c r="C65" t="s">
        <v>252</v>
      </c>
      <c r="D65" t="s">
        <v>254</v>
      </c>
      <c r="E65" t="s">
        <v>256</v>
      </c>
      <c r="F65" s="5" t="s">
        <v>187</v>
      </c>
      <c r="G65" s="7">
        <v>1275189</v>
      </c>
      <c r="H65" s="7" cm="1">
        <f t="array" ref="H65">_xlfn.IFS(B65=2015,L65*$P$3,B65=2016,L65*$P$4,B65=2017,L65*$P$5,B65=2018,L65*$P$6,B65=2019,L65*$P$7,B65=2020,L65*$P$8,B65=2021,L65*$P$9,B65=2022,L65*$P$10)</f>
        <v>25953.364464050235</v>
      </c>
      <c r="I65" s="7">
        <f t="shared" si="1"/>
        <v>1301142.3644640502</v>
      </c>
      <c r="J65">
        <f>IFERROR(VLOOKUP(F65,'LEAID Match'!$A$2:$B$227,2,FALSE),"")</f>
        <v>3802530</v>
      </c>
      <c r="K65">
        <f t="shared" si="0"/>
        <v>8</v>
      </c>
      <c r="L65" cm="1">
        <f t="array" ref="L65">_xlfn.IFS(B65=2015,G65/$P$13,B65=2016,G65/$P$14,B65=2017,G65/$P$15,B65=2018,G65/$P$16,B65=2019,G65/$P$17,B65=2019,G65/$P$18,B65=2020,G65/$P$18,B65=2021,G65/$P$19,B65=2022,G65/$P$20)</f>
        <v>1.2709776916772888E-2</v>
      </c>
    </row>
    <row r="66" spans="1:12" x14ac:dyDescent="0.2">
      <c r="A66">
        <v>3806210</v>
      </c>
      <c r="B66">
        <v>2015</v>
      </c>
      <c r="C66" t="s">
        <v>252</v>
      </c>
      <c r="D66" t="s">
        <v>254</v>
      </c>
      <c r="E66" t="s">
        <v>256</v>
      </c>
      <c r="F66" s="5" t="s">
        <v>64</v>
      </c>
      <c r="G66" s="7">
        <v>172987</v>
      </c>
      <c r="H66" s="7" cm="1">
        <f t="array" ref="H66">_xlfn.IFS(B66=2015,L66*$P$3,B66=2016,L66*$P$4,B66=2017,L66*$P$5,B66=2018,L66*$P$6,B66=2019,L66*$P$7,B66=2020,L66*$P$8,B66=2021,L66*$P$9,B66=2022,L66*$P$10)</f>
        <v>3910.9632488800985</v>
      </c>
      <c r="I66" s="7">
        <f t="shared" si="1"/>
        <v>176897.96324888009</v>
      </c>
      <c r="J66">
        <f>IFERROR(VLOOKUP(F66,'LEAID Match'!$A$2:$B$227,2,FALSE),"")</f>
        <v>3806210</v>
      </c>
      <c r="K66">
        <f t="shared" ref="K66:K129" si="4">COUNTIF($A$2:$A$1757,A66)</f>
        <v>8</v>
      </c>
      <c r="L66" cm="1">
        <f t="array" ref="L66">_xlfn.IFS(B66=2015,G66/$P$13,B66=2016,G66/$P$14,B66=2017,G66/$P$15,B66=2018,G66/$P$16,B66=2019,G66/$P$17,B66=2019,G66/$P$18,B66=2020,G66/$P$18,B66=2021,G66/$P$19,B66=2022,G66/$P$20)</f>
        <v>2.2058450360293845E-3</v>
      </c>
    </row>
    <row r="67" spans="1:12" x14ac:dyDescent="0.2">
      <c r="A67">
        <v>3806210</v>
      </c>
      <c r="B67">
        <v>2016</v>
      </c>
      <c r="C67" t="s">
        <v>252</v>
      </c>
      <c r="D67" t="s">
        <v>254</v>
      </c>
      <c r="E67" t="s">
        <v>256</v>
      </c>
      <c r="F67" s="5" t="s">
        <v>64</v>
      </c>
      <c r="G67" s="7">
        <v>188798</v>
      </c>
      <c r="H67" s="7" cm="1">
        <f t="array" ref="H67">_xlfn.IFS(B67=2015,L67*$P$3,B67=2016,L67*$P$4,B67=2017,L67*$P$5,B67=2018,L67*$P$6,B67=2019,L67*$P$7,B67=2020,L67*$P$8,B67=2021,L67*$P$9,B67=2022,L67*$P$10)</f>
        <v>6411.0238575645362</v>
      </c>
      <c r="I67" s="7">
        <f t="shared" ref="I67:I130" si="5">SUM(G67:H67)</f>
        <v>195209.02385756455</v>
      </c>
      <c r="J67">
        <f>IFERROR(VLOOKUP(F67,'LEAID Match'!$A$2:$B$227,2,FALSE),"")</f>
        <v>3806210</v>
      </c>
      <c r="K67">
        <f t="shared" si="4"/>
        <v>8</v>
      </c>
      <c r="L67" cm="1">
        <f t="array" ref="L67">_xlfn.IFS(B67=2015,G67/$P$13,B67=2016,G67/$P$14,B67=2017,G67/$P$15,B67=2018,G67/$P$16,B67=2019,G67/$P$17,B67=2019,G67/$P$18,B67=2020,G67/$P$18,B67=2021,G67/$P$19,B67=2022,G67/$P$20)</f>
        <v>2.2790699813595933E-3</v>
      </c>
    </row>
    <row r="68" spans="1:12" x14ac:dyDescent="0.2">
      <c r="A68">
        <v>3806210</v>
      </c>
      <c r="B68">
        <v>2017</v>
      </c>
      <c r="C68" t="s">
        <v>252</v>
      </c>
      <c r="D68" t="s">
        <v>254</v>
      </c>
      <c r="E68" t="s">
        <v>256</v>
      </c>
      <c r="F68" s="5" t="s">
        <v>64</v>
      </c>
      <c r="G68" s="7">
        <v>190159</v>
      </c>
      <c r="H68" s="7" cm="1">
        <f t="array" ref="H68">_xlfn.IFS(B68=2015,L68*$P$3,B68=2016,L68*$P$4,B68=2017,L68*$P$5,B68=2018,L68*$P$6,B68=2019,L68*$P$7,B68=2020,L68*$P$8,B68=2021,L68*$P$9,B68=2022,L68*$P$10)</f>
        <v>6162.6825234723356</v>
      </c>
      <c r="I68" s="7">
        <f t="shared" si="5"/>
        <v>196321.68252347232</v>
      </c>
      <c r="J68">
        <f>IFERROR(VLOOKUP(F68,'LEAID Match'!$A$2:$B$227,2,FALSE),"")</f>
        <v>3806210</v>
      </c>
      <c r="K68">
        <f t="shared" si="4"/>
        <v>8</v>
      </c>
      <c r="L68" cm="1">
        <f t="array" ref="L68">_xlfn.IFS(B68=2015,G68/$P$13,B68=2016,G68/$P$14,B68=2017,G68/$P$15,B68=2018,G68/$P$16,B68=2019,G68/$P$17,B68=2019,G68/$P$18,B68=2020,G68/$P$18,B68=2021,G68/$P$19,B68=2022,G68/$P$20)</f>
        <v>2.2096387678280155E-3</v>
      </c>
    </row>
    <row r="69" spans="1:12" x14ac:dyDescent="0.2">
      <c r="A69">
        <v>3806210</v>
      </c>
      <c r="B69" s="5">
        <v>2018</v>
      </c>
      <c r="C69" t="s">
        <v>252</v>
      </c>
      <c r="D69" t="s">
        <v>254</v>
      </c>
      <c r="E69" t="s">
        <v>256</v>
      </c>
      <c r="F69" s="5" t="s">
        <v>64</v>
      </c>
      <c r="G69" s="7">
        <v>198036</v>
      </c>
      <c r="H69" s="7" cm="1">
        <f t="array" ref="H69">_xlfn.IFS(B69=2015,L69*$P$3,B69=2016,L69*$P$4,B69=2017,L69*$P$5,B69=2018,L69*$P$6,B69=2019,L69*$P$7,B69=2020,L69*$P$8,B69=2021,L69*$P$9,B69=2022,L69*$P$10)</f>
        <v>5426.3821678750692</v>
      </c>
      <c r="I69" s="7">
        <f t="shared" si="5"/>
        <v>203462.38216787507</v>
      </c>
      <c r="J69">
        <f>IFERROR(VLOOKUP(F69,'LEAID Match'!$A$2:$B$227,2,FALSE),"")</f>
        <v>3806210</v>
      </c>
      <c r="K69">
        <f t="shared" si="4"/>
        <v>8</v>
      </c>
      <c r="L69" cm="1">
        <f t="array" ref="L69">_xlfn.IFS(B69=2015,G69/$P$13,B69=2016,G69/$P$14,B69=2017,G69/$P$15,B69=2018,G69/$P$16,B69=2019,G69/$P$17,B69=2019,G69/$P$18,B69=2020,G69/$P$18,B69=2021,G69/$P$19,B69=2022,G69/$P$20)</f>
        <v>2.2847924917368712E-3</v>
      </c>
    </row>
    <row r="70" spans="1:12" x14ac:dyDescent="0.2">
      <c r="A70">
        <v>3806210</v>
      </c>
      <c r="B70">
        <v>2019</v>
      </c>
      <c r="C70" t="s">
        <v>252</v>
      </c>
      <c r="D70" t="s">
        <v>254</v>
      </c>
      <c r="E70" t="s">
        <v>256</v>
      </c>
      <c r="F70" s="5" t="s">
        <v>64</v>
      </c>
      <c r="G70" s="7">
        <v>208834</v>
      </c>
      <c r="H70" s="7" cm="1">
        <f t="array" ref="H70">_xlfn.IFS(B70=2015,L70*$P$3,B70=2016,L70*$P$4,B70=2017,L70*$P$5,B70=2018,L70*$P$6,B70=2019,L70*$P$7,B70=2020,L70*$P$8,B70=2021,L70*$P$9,B70=2022,L70*$P$10)</f>
        <v>4847.0005661587338</v>
      </c>
      <c r="I70" s="7">
        <f t="shared" si="5"/>
        <v>213681.00056615873</v>
      </c>
      <c r="J70">
        <f>IFERROR(VLOOKUP(F70,'LEAID Match'!$A$2:$B$227,2,FALSE),"")</f>
        <v>3806210</v>
      </c>
      <c r="K70">
        <f t="shared" si="4"/>
        <v>8</v>
      </c>
      <c r="L70" cm="1">
        <f t="array" ref="L70">_xlfn.IFS(B70=2015,G70/$P$13,B70=2016,G70/$P$14,B70=2017,G70/$P$15,B70=2018,G70/$P$16,B70=2019,G70/$P$17,B70=2019,G70/$P$18,B70=2020,G70/$P$18,B70=2021,G70/$P$19,B70=2022,G70/$P$20)</f>
        <v>2.3347786927546887E-3</v>
      </c>
    </row>
    <row r="71" spans="1:12" x14ac:dyDescent="0.2">
      <c r="A71">
        <v>3806210</v>
      </c>
      <c r="B71">
        <v>2020</v>
      </c>
      <c r="C71" t="s">
        <v>252</v>
      </c>
      <c r="D71" t="s">
        <v>254</v>
      </c>
      <c r="E71" t="s">
        <v>256</v>
      </c>
      <c r="F71" s="5" t="s">
        <v>64</v>
      </c>
      <c r="G71" s="7">
        <v>201254</v>
      </c>
      <c r="H71" s="7" cm="1">
        <f t="array" ref="H71">_xlfn.IFS(B71=2015,L71*$P$3,B71=2016,L71*$P$4,B71=2017,L71*$P$5,B71=2018,L71*$P$6,B71=2019,L71*$P$7,B71=2020,L71*$P$8,B71=2021,L71*$P$9,B71=2022,L71*$P$10)</f>
        <v>5049.0640159158211</v>
      </c>
      <c r="I71" s="7">
        <f t="shared" si="5"/>
        <v>206303.06401591582</v>
      </c>
      <c r="J71">
        <f>IFERROR(VLOOKUP(F71,'LEAID Match'!$A$2:$B$227,2,FALSE),"")</f>
        <v>3806210</v>
      </c>
      <c r="K71">
        <f t="shared" si="4"/>
        <v>8</v>
      </c>
      <c r="L71" cm="1">
        <f t="array" ref="L71">_xlfn.IFS(B71=2015,G71/$P$13,B71=2016,G71/$P$14,B71=2017,G71/$P$15,B71=2018,G71/$P$16,B71=2019,G71/$P$17,B71=2019,G71/$P$18,B71=2020,G71/$P$18,B71=2021,G71/$P$19,B71=2022,G71/$P$20)</f>
        <v>2.1632665021061787E-3</v>
      </c>
    </row>
    <row r="72" spans="1:12" x14ac:dyDescent="0.2">
      <c r="A72">
        <v>3806210</v>
      </c>
      <c r="B72" s="5">
        <v>2021</v>
      </c>
      <c r="C72" t="s">
        <v>252</v>
      </c>
      <c r="D72" t="s">
        <v>254</v>
      </c>
      <c r="E72" t="s">
        <v>256</v>
      </c>
      <c r="F72" s="5" t="s">
        <v>64</v>
      </c>
      <c r="G72" s="7">
        <v>201069</v>
      </c>
      <c r="H72" s="7" cm="1">
        <f t="array" ref="H72">_xlfn.IFS(B72=2015,L72*$P$3,B72=2016,L72*$P$4,B72=2017,L72*$P$5,B72=2018,L72*$P$6,B72=2019,L72*$P$7,B72=2020,L72*$P$8,B72=2021,L72*$P$9,B72=2022,L72*$P$10)</f>
        <v>5494.0683589302098</v>
      </c>
      <c r="I72" s="7">
        <f t="shared" si="5"/>
        <v>206563.06835893021</v>
      </c>
      <c r="J72">
        <f>IFERROR(VLOOKUP(F72,'LEAID Match'!$A$2:$B$227,2,FALSE),"")</f>
        <v>3806210</v>
      </c>
      <c r="K72">
        <f t="shared" si="4"/>
        <v>8</v>
      </c>
      <c r="L72" cm="1">
        <f t="array" ref="L72">_xlfn.IFS(B72=2015,G72/$P$13,B72=2016,G72/$P$14,B72=2017,G72/$P$15,B72=2018,G72/$P$16,B72=2019,G72/$P$17,B72=2019,G72/$P$18,B72=2020,G72/$P$18,B72=2021,G72/$P$19,B72=2022,G72/$P$20)</f>
        <v>2.0462079549088304E-3</v>
      </c>
    </row>
    <row r="73" spans="1:12" x14ac:dyDescent="0.2">
      <c r="A73">
        <v>3806210</v>
      </c>
      <c r="B73">
        <v>2022</v>
      </c>
      <c r="C73" t="s">
        <v>252</v>
      </c>
      <c r="D73" t="s">
        <v>254</v>
      </c>
      <c r="E73" t="s">
        <v>256</v>
      </c>
      <c r="F73" s="5" t="s">
        <v>64</v>
      </c>
      <c r="G73" s="7">
        <v>187004</v>
      </c>
      <c r="H73" s="7" cm="1">
        <f t="array" ref="H73">_xlfn.IFS(B73=2015,L73*$P$3,B73=2016,L73*$P$4,B73=2017,L73*$P$5,B73=2018,L73*$P$6,B73=2019,L73*$P$7,B73=2020,L73*$P$8,B73=2021,L73*$P$9,B73=2022,L73*$P$10)</f>
        <v>3806.0106919329214</v>
      </c>
      <c r="I73" s="7">
        <f t="shared" si="5"/>
        <v>190810.01069193293</v>
      </c>
      <c r="J73">
        <f>IFERROR(VLOOKUP(F73,'LEAID Match'!$A$2:$B$227,2,FALSE),"")</f>
        <v>3806210</v>
      </c>
      <c r="K73">
        <f t="shared" si="4"/>
        <v>8</v>
      </c>
      <c r="L73" cm="1">
        <f t="array" ref="L73">_xlfn.IFS(B73=2015,G73/$P$13,B73=2016,G73/$P$14,B73=2017,G73/$P$15,B73=2018,G73/$P$16,B73=2019,G73/$P$17,B73=2019,G73/$P$18,B73=2020,G73/$P$18,B73=2021,G73/$P$19,B73=2022,G73/$P$20)</f>
        <v>1.8638641978124004E-3</v>
      </c>
    </row>
    <row r="74" spans="1:12" x14ac:dyDescent="0.2">
      <c r="A74">
        <v>3800032</v>
      </c>
      <c r="B74">
        <v>2015</v>
      </c>
      <c r="C74" t="s">
        <v>252</v>
      </c>
      <c r="D74" t="s">
        <v>254</v>
      </c>
      <c r="E74" t="s">
        <v>256</v>
      </c>
      <c r="F74" s="5" t="s">
        <v>65</v>
      </c>
      <c r="G74" s="7">
        <v>431812</v>
      </c>
      <c r="H74" s="7" cm="1">
        <f t="array" ref="H74">_xlfn.IFS(B74=2015,L74*$P$3,B74=2016,L74*$P$4,B74=2017,L74*$P$5,B74=2018,L74*$P$6,B74=2019,L74*$P$7,B74=2020,L74*$P$8,B74=2021,L74*$P$9,B74=2022,L74*$P$10)</f>
        <v>9762.5883010018861</v>
      </c>
      <c r="I74" s="7">
        <f t="shared" si="5"/>
        <v>441574.58830100187</v>
      </c>
      <c r="J74">
        <f>IFERROR(VLOOKUP(F74,'LEAID Match'!$A$2:$B$227,2,FALSE),"")</f>
        <v>3800032</v>
      </c>
      <c r="K74">
        <f t="shared" si="4"/>
        <v>8</v>
      </c>
      <c r="L74" cm="1">
        <f t="array" ref="L74">_xlfn.IFS(B74=2015,G74/$P$13,B74=2016,G74/$P$14,B74=2017,G74/$P$15,B74=2018,G74/$P$16,B74=2019,G74/$P$17,B74=2019,G74/$P$18,B74=2020,G74/$P$18,B74=2021,G74/$P$19,B74=2022,G74/$P$20)</f>
        <v>5.5062539768764166E-3</v>
      </c>
    </row>
    <row r="75" spans="1:12" x14ac:dyDescent="0.2">
      <c r="A75">
        <v>3800032</v>
      </c>
      <c r="B75">
        <v>2016</v>
      </c>
      <c r="C75" t="s">
        <v>252</v>
      </c>
      <c r="D75" t="s">
        <v>254</v>
      </c>
      <c r="E75" t="s">
        <v>256</v>
      </c>
      <c r="F75" s="5" t="s">
        <v>65</v>
      </c>
      <c r="G75" s="7">
        <v>436374</v>
      </c>
      <c r="H75" s="7" cm="1">
        <f t="array" ref="H75">_xlfn.IFS(B75=2015,L75*$P$3,B75=2016,L75*$P$4,B75=2017,L75*$P$5,B75=2018,L75*$P$6,B75=2019,L75*$P$7,B75=2020,L75*$P$8,B75=2021,L75*$P$9,B75=2022,L75*$P$10)</f>
        <v>14817.975427816327</v>
      </c>
      <c r="I75" s="7">
        <f t="shared" si="5"/>
        <v>451191.97542781633</v>
      </c>
      <c r="J75">
        <f>IFERROR(VLOOKUP(F75,'LEAID Match'!$A$2:$B$227,2,FALSE),"")</f>
        <v>3800032</v>
      </c>
      <c r="K75">
        <f t="shared" si="4"/>
        <v>8</v>
      </c>
      <c r="L75" cm="1">
        <f t="array" ref="L75">_xlfn.IFS(B75=2015,G75/$P$13,B75=2016,G75/$P$14,B75=2017,G75/$P$15,B75=2018,G75/$P$16,B75=2019,G75/$P$17,B75=2019,G75/$P$18,B75=2020,G75/$P$18,B75=2021,G75/$P$19,B75=2022,G75/$P$20)</f>
        <v>5.2676770095329995E-3</v>
      </c>
    </row>
    <row r="76" spans="1:12" x14ac:dyDescent="0.2">
      <c r="A76">
        <v>3800032</v>
      </c>
      <c r="B76">
        <v>2017</v>
      </c>
      <c r="C76" t="s">
        <v>252</v>
      </c>
      <c r="D76" t="s">
        <v>254</v>
      </c>
      <c r="E76" t="s">
        <v>256</v>
      </c>
      <c r="F76" s="5" t="s">
        <v>65</v>
      </c>
      <c r="G76" s="7">
        <v>437722</v>
      </c>
      <c r="H76" s="7" cm="1">
        <f t="array" ref="H76">_xlfn.IFS(B76=2015,L76*$P$3,B76=2016,L76*$P$4,B76=2017,L76*$P$5,B76=2018,L76*$P$6,B76=2019,L76*$P$7,B76=2020,L76*$P$8,B76=2021,L76*$P$9,B76=2022,L76*$P$10)</f>
        <v>14185.716792470288</v>
      </c>
      <c r="I76" s="7">
        <f t="shared" si="5"/>
        <v>451907.71679247031</v>
      </c>
      <c r="J76">
        <f>IFERROR(VLOOKUP(F76,'LEAID Match'!$A$2:$B$227,2,FALSE),"")</f>
        <v>3800032</v>
      </c>
      <c r="K76">
        <f t="shared" si="4"/>
        <v>8</v>
      </c>
      <c r="L76" cm="1">
        <f t="array" ref="L76">_xlfn.IFS(B76=2015,G76/$P$13,B76=2016,G76/$P$14,B76=2017,G76/$P$15,B76=2018,G76/$P$16,B76=2019,G76/$P$17,B76=2019,G76/$P$18,B76=2020,G76/$P$18,B76=2021,G76/$P$19,B76=2022,G76/$P$20)</f>
        <v>5.0863093554931113E-3</v>
      </c>
    </row>
    <row r="77" spans="1:12" x14ac:dyDescent="0.2">
      <c r="A77">
        <v>3800032</v>
      </c>
      <c r="B77" s="5">
        <v>2018</v>
      </c>
      <c r="C77" t="s">
        <v>252</v>
      </c>
      <c r="D77" t="s">
        <v>254</v>
      </c>
      <c r="E77" t="s">
        <v>256</v>
      </c>
      <c r="F77" s="5" t="s">
        <v>65</v>
      </c>
      <c r="G77" s="7">
        <v>459996</v>
      </c>
      <c r="H77" s="7" cm="1">
        <f t="array" ref="H77">_xlfn.IFS(B77=2015,L77*$P$3,B77=2016,L77*$P$4,B77=2017,L77*$P$5,B77=2018,L77*$P$6,B77=2019,L77*$P$7,B77=2020,L77*$P$8,B77=2021,L77*$P$9,B77=2022,L77*$P$10)</f>
        <v>12604.345127622555</v>
      </c>
      <c r="I77" s="7">
        <f t="shared" si="5"/>
        <v>472600.34512762254</v>
      </c>
      <c r="J77">
        <f>IFERROR(VLOOKUP(F77,'LEAID Match'!$A$2:$B$227,2,FALSE),"")</f>
        <v>3800032</v>
      </c>
      <c r="K77">
        <f t="shared" si="4"/>
        <v>8</v>
      </c>
      <c r="L77" cm="1">
        <f t="array" ref="L77">_xlfn.IFS(B77=2015,G77/$P$13,B77=2016,G77/$P$14,B77=2017,G77/$P$15,B77=2018,G77/$P$16,B77=2019,G77/$P$17,B77=2019,G77/$P$18,B77=2020,G77/$P$18,B77=2021,G77/$P$19,B77=2022,G77/$P$20)</f>
        <v>5.30709268531476E-3</v>
      </c>
    </row>
    <row r="78" spans="1:12" x14ac:dyDescent="0.2">
      <c r="A78">
        <v>3800032</v>
      </c>
      <c r="B78">
        <v>2019</v>
      </c>
      <c r="C78" t="s">
        <v>252</v>
      </c>
      <c r="D78" t="s">
        <v>254</v>
      </c>
      <c r="E78" t="s">
        <v>256</v>
      </c>
      <c r="F78" s="5" t="s">
        <v>65</v>
      </c>
      <c r="G78" s="7">
        <v>453281</v>
      </c>
      <c r="H78" s="7" cm="1">
        <f t="array" ref="H78">_xlfn.IFS(B78=2015,L78*$P$3,B78=2016,L78*$P$4,B78=2017,L78*$P$5,B78=2018,L78*$P$6,B78=2019,L78*$P$7,B78=2020,L78*$P$8,B78=2021,L78*$P$9,B78=2022,L78*$P$10)</f>
        <v>10520.572625286097</v>
      </c>
      <c r="I78" s="7">
        <f t="shared" si="5"/>
        <v>463801.57262528612</v>
      </c>
      <c r="J78">
        <f>IFERROR(VLOOKUP(F78,'LEAID Match'!$A$2:$B$227,2,FALSE),"")</f>
        <v>3800032</v>
      </c>
      <c r="K78">
        <f t="shared" si="4"/>
        <v>8</v>
      </c>
      <c r="L78" cm="1">
        <f t="array" ref="L78">_xlfn.IFS(B78=2015,G78/$P$13,B78=2016,G78/$P$14,B78=2017,G78/$P$15,B78=2018,G78/$P$16,B78=2019,G78/$P$17,B78=2019,G78/$P$18,B78=2020,G78/$P$18,B78=2021,G78/$P$19,B78=2022,G78/$P$20)</f>
        <v>5.0677132106387753E-3</v>
      </c>
    </row>
    <row r="79" spans="1:12" x14ac:dyDescent="0.2">
      <c r="A79">
        <v>3800032</v>
      </c>
      <c r="B79">
        <v>2020</v>
      </c>
      <c r="C79" t="s">
        <v>252</v>
      </c>
      <c r="D79" t="s">
        <v>254</v>
      </c>
      <c r="E79" t="s">
        <v>256</v>
      </c>
      <c r="F79" s="5" t="s">
        <v>65</v>
      </c>
      <c r="G79" s="7">
        <v>479052</v>
      </c>
      <c r="H79" s="7" cm="1">
        <f t="array" ref="H79">_xlfn.IFS(B79=2015,L79*$P$3,B79=2016,L79*$P$4,B79=2017,L79*$P$5,B79=2018,L79*$P$6,B79=2019,L79*$P$7,B79=2020,L79*$P$8,B79=2021,L79*$P$9,B79=2022,L79*$P$10)</f>
        <v>12018.465297348157</v>
      </c>
      <c r="I79" s="7">
        <f t="shared" si="5"/>
        <v>491070.46529734816</v>
      </c>
      <c r="J79">
        <f>IFERROR(VLOOKUP(F79,'LEAID Match'!$A$2:$B$227,2,FALSE),"")</f>
        <v>3800032</v>
      </c>
      <c r="K79">
        <f t="shared" si="4"/>
        <v>8</v>
      </c>
      <c r="L79" cm="1">
        <f t="array" ref="L79">_xlfn.IFS(B79=2015,G79/$P$13,B79=2016,G79/$P$14,B79=2017,G79/$P$15,B79=2018,G79/$P$16,B79=2019,G79/$P$17,B79=2019,G79/$P$18,B79=2020,G79/$P$18,B79=2021,G79/$P$19,B79=2022,G79/$P$20)</f>
        <v>5.1492996132597073E-3</v>
      </c>
    </row>
    <row r="80" spans="1:12" x14ac:dyDescent="0.2">
      <c r="A80">
        <v>3800032</v>
      </c>
      <c r="B80" s="5">
        <v>2021</v>
      </c>
      <c r="C80" t="s">
        <v>252</v>
      </c>
      <c r="D80" t="s">
        <v>254</v>
      </c>
      <c r="E80" t="s">
        <v>256</v>
      </c>
      <c r="F80" s="5" t="s">
        <v>65</v>
      </c>
      <c r="G80" s="7">
        <v>504878</v>
      </c>
      <c r="H80" s="7" cm="1">
        <f t="array" ref="H80">_xlfn.IFS(B80=2015,L80*$P$3,B80=2016,L80*$P$4,B80=2017,L80*$P$5,B80=2018,L80*$P$6,B80=2019,L80*$P$7,B80=2020,L80*$P$8,B80=2021,L80*$P$9,B80=2022,L80*$P$10)</f>
        <v>13795.434626521075</v>
      </c>
      <c r="I80" s="7">
        <f t="shared" si="5"/>
        <v>518673.43462652108</v>
      </c>
      <c r="J80">
        <f>IFERROR(VLOOKUP(F80,'LEAID Match'!$A$2:$B$227,2,FALSE),"")</f>
        <v>3800032</v>
      </c>
      <c r="K80">
        <f t="shared" si="4"/>
        <v>8</v>
      </c>
      <c r="L80" cm="1">
        <f t="array" ref="L80">_xlfn.IFS(B80=2015,G80/$P$13,B80=2016,G80/$P$14,B80=2017,G80/$P$15,B80=2018,G80/$P$16,B80=2019,G80/$P$17,B80=2019,G80/$P$18,B80=2020,G80/$P$18,B80=2021,G80/$P$19,B80=2022,G80/$P$20)</f>
        <v>5.1379644791512387E-3</v>
      </c>
    </row>
    <row r="81" spans="1:12" x14ac:dyDescent="0.2">
      <c r="A81">
        <v>3800032</v>
      </c>
      <c r="B81">
        <v>2022</v>
      </c>
      <c r="C81" t="s">
        <v>252</v>
      </c>
      <c r="D81" t="s">
        <v>254</v>
      </c>
      <c r="E81" t="s">
        <v>256</v>
      </c>
      <c r="F81" s="5" t="s">
        <v>65</v>
      </c>
      <c r="G81" s="7">
        <v>500891</v>
      </c>
      <c r="H81" s="7" cm="1">
        <f t="array" ref="H81">_xlfn.IFS(B81=2015,L81*$P$3,B81=2016,L81*$P$4,B81=2017,L81*$P$5,B81=2018,L81*$P$6,B81=2019,L81*$P$7,B81=2020,L81*$P$8,B81=2021,L81*$P$9,B81=2022,L81*$P$10)</f>
        <v>10194.415635456851</v>
      </c>
      <c r="I81" s="7">
        <f t="shared" si="5"/>
        <v>511085.41563545685</v>
      </c>
      <c r="J81">
        <f>IFERROR(VLOOKUP(F81,'LEAID Match'!$A$2:$B$227,2,FALSE),"")</f>
        <v>3800032</v>
      </c>
      <c r="K81">
        <f t="shared" si="4"/>
        <v>8</v>
      </c>
      <c r="L81" cm="1">
        <f t="array" ref="L81">_xlfn.IFS(B81=2015,G81/$P$13,B81=2016,G81/$P$14,B81=2017,G81/$P$15,B81=2018,G81/$P$16,B81=2019,G81/$P$17,B81=2019,G81/$P$18,B81=2020,G81/$P$18,B81=2021,G81/$P$19,B81=2022,G81/$P$20)</f>
        <v>4.9923680878828855E-3</v>
      </c>
    </row>
    <row r="82" spans="1:12" x14ac:dyDescent="0.2">
      <c r="A82">
        <v>3802840</v>
      </c>
      <c r="B82">
        <v>2015</v>
      </c>
      <c r="C82" t="s">
        <v>252</v>
      </c>
      <c r="D82" t="s">
        <v>254</v>
      </c>
      <c r="E82" t="s">
        <v>256</v>
      </c>
      <c r="F82" s="5" t="s">
        <v>66</v>
      </c>
      <c r="G82" s="7">
        <v>80572</v>
      </c>
      <c r="H82" s="7" cm="1">
        <f t="array" ref="H82">_xlfn.IFS(B82=2015,L82*$P$3,B82=2016,L82*$P$4,B82=2017,L82*$P$5,B82=2018,L82*$P$6,B82=2019,L82*$P$7,B82=2020,L82*$P$8,B82=2021,L82*$P$9,B82=2022,L82*$P$10)</f>
        <v>1821.6058483514212</v>
      </c>
      <c r="I82" s="7">
        <f t="shared" si="5"/>
        <v>82393.605848351421</v>
      </c>
      <c r="J82">
        <f>IFERROR(VLOOKUP(F82,'LEAID Match'!$A$2:$B$227,2,FALSE),"")</f>
        <v>3802840</v>
      </c>
      <c r="K82">
        <f t="shared" si="4"/>
        <v>8</v>
      </c>
      <c r="L82" cm="1">
        <f t="array" ref="L82">_xlfn.IFS(B82=2015,G82/$P$13,B82=2016,G82/$P$14,B82=2017,G82/$P$15,B82=2018,G82/$P$16,B82=2019,G82/$P$17,B82=2019,G82/$P$18,B82=2020,G82/$P$18,B82=2021,G82/$P$19,B82=2022,G82/$P$20)</f>
        <v>1.0274144660752517E-3</v>
      </c>
    </row>
    <row r="83" spans="1:12" x14ac:dyDescent="0.2">
      <c r="A83">
        <v>3802840</v>
      </c>
      <c r="B83">
        <v>2016</v>
      </c>
      <c r="C83" t="s">
        <v>252</v>
      </c>
      <c r="D83" t="s">
        <v>254</v>
      </c>
      <c r="E83" t="s">
        <v>256</v>
      </c>
      <c r="F83" s="5" t="s">
        <v>66</v>
      </c>
      <c r="G83" s="7">
        <v>96652</v>
      </c>
      <c r="H83" s="7" cm="1">
        <f t="array" ref="H83">_xlfn.IFS(B83=2015,L83*$P$3,B83=2016,L83*$P$4,B83=2017,L83*$P$5,B83=2018,L83*$P$6,B83=2019,L83*$P$7,B83=2020,L83*$P$8,B83=2021,L83*$P$9,B83=2022,L83*$P$10)</f>
        <v>3282.0171711635057</v>
      </c>
      <c r="I83" s="7">
        <f t="shared" si="5"/>
        <v>99934.017171163505</v>
      </c>
      <c r="J83">
        <f>IFERROR(VLOOKUP(F83,'LEAID Match'!$A$2:$B$227,2,FALSE),"")</f>
        <v>3802840</v>
      </c>
      <c r="K83">
        <f t="shared" si="4"/>
        <v>8</v>
      </c>
      <c r="L83" cm="1">
        <f t="array" ref="L83">_xlfn.IFS(B83=2015,G83/$P$13,B83=2016,G83/$P$14,B83=2017,G83/$P$15,B83=2018,G83/$P$16,B83=2019,G83/$P$17,B83=2019,G83/$P$18,B83=2020,G83/$P$18,B83=2021,G83/$P$19,B83=2022,G83/$P$20)</f>
        <v>1.1667320196102047E-3</v>
      </c>
    </row>
    <row r="84" spans="1:12" x14ac:dyDescent="0.2">
      <c r="A84">
        <v>3802840</v>
      </c>
      <c r="B84">
        <v>2017</v>
      </c>
      <c r="C84" t="s">
        <v>252</v>
      </c>
      <c r="D84" t="s">
        <v>254</v>
      </c>
      <c r="E84" t="s">
        <v>256</v>
      </c>
      <c r="F84" s="5" t="s">
        <v>66</v>
      </c>
      <c r="G84" s="7">
        <v>106143</v>
      </c>
      <c r="H84" s="7" cm="1">
        <f t="array" ref="H84">_xlfn.IFS(B84=2015,L84*$P$3,B84=2016,L84*$P$4,B84=2017,L84*$P$5,B84=2018,L84*$P$6,B84=2019,L84*$P$7,B84=2020,L84*$P$8,B84=2021,L84*$P$9,B84=2022,L84*$P$10)</f>
        <v>3439.8877312613345</v>
      </c>
      <c r="I84" s="7">
        <f t="shared" si="5"/>
        <v>109582.88773126133</v>
      </c>
      <c r="J84">
        <f>IFERROR(VLOOKUP(F84,'LEAID Match'!$A$2:$B$227,2,FALSE),"")</f>
        <v>3802840</v>
      </c>
      <c r="K84">
        <f t="shared" si="4"/>
        <v>8</v>
      </c>
      <c r="L84" cm="1">
        <f t="array" ref="L84">_xlfn.IFS(B84=2015,G84/$P$13,B84=2016,G84/$P$14,B84=2017,G84/$P$15,B84=2018,G84/$P$16,B84=2019,G84/$P$17,B84=2019,G84/$P$18,B84=2020,G84/$P$18,B84=2021,G84/$P$19,B84=2022,G84/$P$20)</f>
        <v>1.2333767412195534E-3</v>
      </c>
    </row>
    <row r="85" spans="1:12" x14ac:dyDescent="0.2">
      <c r="A85">
        <v>3802840</v>
      </c>
      <c r="B85" s="5">
        <v>2018</v>
      </c>
      <c r="C85" t="s">
        <v>252</v>
      </c>
      <c r="D85" t="s">
        <v>254</v>
      </c>
      <c r="E85" t="s">
        <v>256</v>
      </c>
      <c r="F85" s="5" t="s">
        <v>66</v>
      </c>
      <c r="G85" s="7">
        <v>108737</v>
      </c>
      <c r="H85" s="7" cm="1">
        <f t="array" ref="H85">_xlfn.IFS(B85=2015,L85*$P$3,B85=2016,L85*$P$4,B85=2017,L85*$P$5,B85=2018,L85*$P$6,B85=2019,L85*$P$7,B85=2020,L85*$P$8,B85=2021,L85*$P$9,B85=2022,L85*$P$10)</f>
        <v>2979.5012916249138</v>
      </c>
      <c r="I85" s="7">
        <f t="shared" si="5"/>
        <v>111716.50129162491</v>
      </c>
      <c r="J85">
        <f>IFERROR(VLOOKUP(F85,'LEAID Match'!$A$2:$B$227,2,FALSE),"")</f>
        <v>3802840</v>
      </c>
      <c r="K85">
        <f t="shared" si="4"/>
        <v>8</v>
      </c>
      <c r="L85" cm="1">
        <f t="array" ref="L85">_xlfn.IFS(B85=2015,G85/$P$13,B85=2016,G85/$P$14,B85=2017,G85/$P$15,B85=2018,G85/$P$16,B85=2019,G85/$P$17,B85=2019,G85/$P$18,B85=2020,G85/$P$18,B85=2021,G85/$P$19,B85=2022,G85/$P$20)</f>
        <v>1.2545268596315428E-3</v>
      </c>
    </row>
    <row r="86" spans="1:12" x14ac:dyDescent="0.2">
      <c r="A86">
        <v>3802840</v>
      </c>
      <c r="B86">
        <v>2019</v>
      </c>
      <c r="C86" t="s">
        <v>252</v>
      </c>
      <c r="D86" t="s">
        <v>254</v>
      </c>
      <c r="E86" t="s">
        <v>256</v>
      </c>
      <c r="F86" s="5" t="s">
        <v>66</v>
      </c>
      <c r="G86" s="7">
        <v>108208</v>
      </c>
      <c r="H86" s="7" cm="1">
        <f t="array" ref="H86">_xlfn.IFS(B86=2015,L86*$P$3,B86=2016,L86*$P$4,B86=2017,L86*$P$5,B86=2018,L86*$P$6,B86=2019,L86*$P$7,B86=2020,L86*$P$8,B86=2021,L86*$P$9,B86=2022,L86*$P$10)</f>
        <v>2511.4887291480518</v>
      </c>
      <c r="I86" s="7">
        <f t="shared" si="5"/>
        <v>110719.48872914806</v>
      </c>
      <c r="J86">
        <f>IFERROR(VLOOKUP(F86,'LEAID Match'!$A$2:$B$227,2,FALSE),"")</f>
        <v>3802840</v>
      </c>
      <c r="K86">
        <f t="shared" si="4"/>
        <v>8</v>
      </c>
      <c r="L86" cm="1">
        <f t="array" ref="L86">_xlfn.IFS(B86=2015,G86/$P$13,B86=2016,G86/$P$14,B86=2017,G86/$P$15,B86=2018,G86/$P$16,B86=2019,G86/$P$17,B86=2019,G86/$P$18,B86=2020,G86/$P$18,B86=2021,G86/$P$19,B86=2022,G86/$P$20)</f>
        <v>1.2097729909191E-3</v>
      </c>
    </row>
    <row r="87" spans="1:12" x14ac:dyDescent="0.2">
      <c r="A87">
        <v>3802840</v>
      </c>
      <c r="B87">
        <v>2020</v>
      </c>
      <c r="C87" t="s">
        <v>252</v>
      </c>
      <c r="D87" t="s">
        <v>254</v>
      </c>
      <c r="E87" t="s">
        <v>256</v>
      </c>
      <c r="F87" s="5" t="s">
        <v>66</v>
      </c>
      <c r="G87" s="7">
        <v>123243</v>
      </c>
      <c r="H87" s="7" cm="1">
        <f t="array" ref="H87">_xlfn.IFS(B87=2015,L87*$P$3,B87=2016,L87*$P$4,B87=2017,L87*$P$5,B87=2018,L87*$P$6,B87=2019,L87*$P$7,B87=2020,L87*$P$8,B87=2021,L87*$P$9,B87=2022,L87*$P$10)</f>
        <v>3091.9226276919394</v>
      </c>
      <c r="I87" s="7">
        <f t="shared" si="5"/>
        <v>126334.92262769194</v>
      </c>
      <c r="J87">
        <f>IFERROR(VLOOKUP(F87,'LEAID Match'!$A$2:$B$227,2,FALSE),"")</f>
        <v>3802840</v>
      </c>
      <c r="K87">
        <f t="shared" si="4"/>
        <v>8</v>
      </c>
      <c r="L87" cm="1">
        <f t="array" ref="L87">_xlfn.IFS(B87=2015,G87/$P$13,B87=2016,G87/$P$14,B87=2017,G87/$P$15,B87=2018,G87/$P$16,B87=2019,G87/$P$17,B87=2019,G87/$P$18,B87=2020,G87/$P$18,B87=2021,G87/$P$19,B87=2022,G87/$P$20)</f>
        <v>1.3247312029528446E-3</v>
      </c>
    </row>
    <row r="88" spans="1:12" x14ac:dyDescent="0.2">
      <c r="A88">
        <v>3802840</v>
      </c>
      <c r="B88" s="5">
        <v>2021</v>
      </c>
      <c r="C88" t="s">
        <v>252</v>
      </c>
      <c r="D88" t="s">
        <v>254</v>
      </c>
      <c r="E88" t="s">
        <v>256</v>
      </c>
      <c r="F88" s="5" t="s">
        <v>66</v>
      </c>
      <c r="G88" s="7">
        <v>125531</v>
      </c>
      <c r="H88" s="7" cm="1">
        <f t="array" ref="H88">_xlfn.IFS(B88=2015,L88*$P$3,B88=2016,L88*$P$4,B88=2017,L88*$P$5,B88=2018,L88*$P$6,B88=2019,L88*$P$7,B88=2020,L88*$P$8,B88=2021,L88*$P$9,B88=2022,L88*$P$10)</f>
        <v>3430.0458805925732</v>
      </c>
      <c r="I88" s="7">
        <f t="shared" si="5"/>
        <v>128961.04588059257</v>
      </c>
      <c r="J88">
        <f>IFERROR(VLOOKUP(F88,'LEAID Match'!$A$2:$B$227,2,FALSE),"")</f>
        <v>3802840</v>
      </c>
      <c r="K88">
        <f t="shared" si="4"/>
        <v>8</v>
      </c>
      <c r="L88" cm="1">
        <f t="array" ref="L88">_xlfn.IFS(B88=2015,G88/$P$13,B88=2016,G88/$P$14,B88=2017,G88/$P$15,B88=2018,G88/$P$16,B88=2019,G88/$P$17,B88=2019,G88/$P$18,B88=2020,G88/$P$18,B88=2021,G88/$P$19,B88=2022,G88/$P$20)</f>
        <v>1.277484499289599E-3</v>
      </c>
    </row>
    <row r="89" spans="1:12" x14ac:dyDescent="0.2">
      <c r="A89">
        <v>3802840</v>
      </c>
      <c r="B89">
        <v>2022</v>
      </c>
      <c r="C89" t="s">
        <v>252</v>
      </c>
      <c r="D89" t="s">
        <v>254</v>
      </c>
      <c r="E89" t="s">
        <v>256</v>
      </c>
      <c r="F89" s="5" t="s">
        <v>66</v>
      </c>
      <c r="G89" s="7">
        <v>127876</v>
      </c>
      <c r="H89" s="7" cm="1">
        <f t="array" ref="H89">_xlfn.IFS(B89=2015,L89*$P$3,B89=2016,L89*$P$4,B89=2017,L89*$P$5,B89=2018,L89*$P$6,B89=2019,L89*$P$7,B89=2020,L89*$P$8,B89=2021,L89*$P$9,B89=2022,L89*$P$10)</f>
        <v>2602.6043466536239</v>
      </c>
      <c r="I89" s="7">
        <f t="shared" si="5"/>
        <v>130478.60434665362</v>
      </c>
      <c r="J89">
        <f>IFERROR(VLOOKUP(F89,'LEAID Match'!$A$2:$B$227,2,FALSE),"")</f>
        <v>3802840</v>
      </c>
      <c r="K89">
        <f t="shared" si="4"/>
        <v>8</v>
      </c>
      <c r="L89" cm="1">
        <f t="array" ref="L89">_xlfn.IFS(B89=2015,G89/$P$13,B89=2016,G89/$P$14,B89=2017,G89/$P$15,B89=2018,G89/$P$16,B89=2019,G89/$P$17,B89=2019,G89/$P$18,B89=2020,G89/$P$18,B89=2021,G89/$P$19,B89=2022,G89/$P$20)</f>
        <v>1.2745368984591694E-3</v>
      </c>
    </row>
    <row r="90" spans="1:12" x14ac:dyDescent="0.2">
      <c r="A90">
        <v>3800014</v>
      </c>
      <c r="B90">
        <v>2015</v>
      </c>
      <c r="C90" t="s">
        <v>252</v>
      </c>
      <c r="D90" t="s">
        <v>254</v>
      </c>
      <c r="E90" t="s">
        <v>256</v>
      </c>
      <c r="F90" s="5" t="s">
        <v>188</v>
      </c>
      <c r="G90" s="7">
        <v>8456738</v>
      </c>
      <c r="H90" s="7" cm="1">
        <f t="array" ref="H90">_xlfn.IFS(B90=2015,L90*$P$3,B90=2016,L90*$P$4,B90=2017,L90*$P$5,B90=2018,L90*$P$6,B90=2019,L90*$P$7,B90=2020,L90*$P$8,B90=2021,L90*$P$9,B90=2022,L90*$P$10)</f>
        <v>191193.50889608925</v>
      </c>
      <c r="I90" s="7">
        <f t="shared" si="5"/>
        <v>8647931.5088960901</v>
      </c>
      <c r="J90">
        <f>IFERROR(VLOOKUP(F90,'LEAID Match'!$A$2:$B$227,2,FALSE),"")</f>
        <v>3800014</v>
      </c>
      <c r="K90">
        <f t="shared" si="4"/>
        <v>8</v>
      </c>
      <c r="L90" cm="1">
        <f t="array" ref="L90">_xlfn.IFS(B90=2015,G90/$P$13,B90=2016,G90/$P$14,B90=2017,G90/$P$15,B90=2018,G90/$P$16,B90=2019,G90/$P$17,B90=2019,G90/$P$18,B90=2020,G90/$P$18,B90=2021,G90/$P$19,B90=2022,G90/$P$20)</f>
        <v>0.10783615842983037</v>
      </c>
    </row>
    <row r="91" spans="1:12" x14ac:dyDescent="0.2">
      <c r="A91">
        <v>3800014</v>
      </c>
      <c r="B91">
        <v>2016</v>
      </c>
      <c r="C91" t="s">
        <v>252</v>
      </c>
      <c r="D91" t="s">
        <v>254</v>
      </c>
      <c r="E91" t="s">
        <v>256</v>
      </c>
      <c r="F91" s="5" t="s">
        <v>188</v>
      </c>
      <c r="G91" s="7">
        <v>8825796</v>
      </c>
      <c r="H91" s="7" cm="1">
        <f t="array" ref="H91">_xlfn.IFS(B91=2015,L91*$P$3,B91=2016,L91*$P$4,B91=2017,L91*$P$5,B91=2018,L91*$P$6,B91=2019,L91*$P$7,B91=2020,L91*$P$8,B91=2021,L91*$P$9,B91=2022,L91*$P$10)</f>
        <v>299698.03026513866</v>
      </c>
      <c r="I91" s="7">
        <f t="shared" si="5"/>
        <v>9125494.0302651394</v>
      </c>
      <c r="J91">
        <f>IFERROR(VLOOKUP(F91,'LEAID Match'!$A$2:$B$227,2,FALSE),"")</f>
        <v>3800014</v>
      </c>
      <c r="K91">
        <f t="shared" si="4"/>
        <v>8</v>
      </c>
      <c r="L91" cm="1">
        <f t="array" ref="L91">_xlfn.IFS(B91=2015,G91/$P$13,B91=2016,G91/$P$14,B91=2017,G91/$P$15,B91=2018,G91/$P$16,B91=2019,G91/$P$17,B91=2019,G91/$P$18,B91=2020,G91/$P$18,B91=2021,G91/$P$19,B91=2022,G91/$P$20)</f>
        <v>0.10654035914153526</v>
      </c>
    </row>
    <row r="92" spans="1:12" x14ac:dyDescent="0.2">
      <c r="A92">
        <v>3800014</v>
      </c>
      <c r="B92">
        <v>2017</v>
      </c>
      <c r="C92" t="s">
        <v>252</v>
      </c>
      <c r="D92" t="s">
        <v>254</v>
      </c>
      <c r="E92" t="s">
        <v>256</v>
      </c>
      <c r="F92" s="5" t="s">
        <v>188</v>
      </c>
      <c r="G92" s="7">
        <v>9286444</v>
      </c>
      <c r="H92" s="7" cm="1">
        <f t="array" ref="H92">_xlfn.IFS(B92=2015,L92*$P$3,B92=2016,L92*$P$4,B92=2017,L92*$P$5,B92=2018,L92*$P$6,B92=2019,L92*$P$7,B92=2020,L92*$P$8,B92=2021,L92*$P$9,B92=2022,L92*$P$10)</f>
        <v>300955.5484831353</v>
      </c>
      <c r="I92" s="7">
        <f t="shared" si="5"/>
        <v>9587399.5484831352</v>
      </c>
      <c r="J92">
        <f>IFERROR(VLOOKUP(F92,'LEAID Match'!$A$2:$B$227,2,FALSE),"")</f>
        <v>3800014</v>
      </c>
      <c r="K92">
        <f t="shared" si="4"/>
        <v>8</v>
      </c>
      <c r="L92" cm="1">
        <f t="array" ref="L92">_xlfn.IFS(B92=2015,G92/$P$13,B92=2016,G92/$P$14,B92=2017,G92/$P$15,B92=2018,G92/$P$16,B92=2019,G92/$P$17,B92=2019,G92/$P$18,B92=2020,G92/$P$18,B92=2021,G92/$P$19,B92=2022,G92/$P$20)</f>
        <v>0.10790804893622635</v>
      </c>
    </row>
    <row r="93" spans="1:12" x14ac:dyDescent="0.2">
      <c r="A93">
        <v>3800014</v>
      </c>
      <c r="B93" s="5">
        <v>2018</v>
      </c>
      <c r="C93" t="s">
        <v>252</v>
      </c>
      <c r="D93" t="s">
        <v>254</v>
      </c>
      <c r="E93" t="s">
        <v>256</v>
      </c>
      <c r="F93" s="5" t="s">
        <v>188</v>
      </c>
      <c r="G93" s="7">
        <v>9279851</v>
      </c>
      <c r="H93" s="7" cm="1">
        <f t="array" ref="H93">_xlfn.IFS(B93=2015,L93*$P$3,B93=2016,L93*$P$4,B93=2017,L93*$P$5,B93=2018,L93*$P$6,B93=2019,L93*$P$7,B93=2020,L93*$P$8,B93=2021,L93*$P$9,B93=2022,L93*$P$10)</f>
        <v>254277.09096799386</v>
      </c>
      <c r="I93" s="7">
        <f t="shared" si="5"/>
        <v>9534128.0909679942</v>
      </c>
      <c r="J93">
        <f>IFERROR(VLOOKUP(F93,'LEAID Match'!$A$2:$B$227,2,FALSE),"")</f>
        <v>3800014</v>
      </c>
      <c r="K93">
        <f t="shared" si="4"/>
        <v>8</v>
      </c>
      <c r="L93" cm="1">
        <f t="array" ref="L93">_xlfn.IFS(B93=2015,G93/$P$13,B93=2016,G93/$P$14,B93=2017,G93/$P$15,B93=2018,G93/$P$16,B93=2019,G93/$P$17,B93=2019,G93/$P$18,B93=2020,G93/$P$18,B93=2021,G93/$P$19,B93=2022,G93/$P$20)</f>
        <v>0.1070640383023132</v>
      </c>
    </row>
    <row r="94" spans="1:12" x14ac:dyDescent="0.2">
      <c r="A94">
        <v>3800014</v>
      </c>
      <c r="B94">
        <v>2019</v>
      </c>
      <c r="C94" t="s">
        <v>252</v>
      </c>
      <c r="D94" t="s">
        <v>254</v>
      </c>
      <c r="E94" t="s">
        <v>256</v>
      </c>
      <c r="F94" s="5" t="s">
        <v>188</v>
      </c>
      <c r="G94" s="7">
        <v>9468736</v>
      </c>
      <c r="H94" s="7" cm="1">
        <f t="array" ref="H94">_xlfn.IFS(B94=2015,L94*$P$3,B94=2016,L94*$P$4,B94=2017,L94*$P$5,B94=2018,L94*$P$6,B94=2019,L94*$P$7,B94=2020,L94*$P$8,B94=2021,L94*$P$9,B94=2022,L94*$P$10)</f>
        <v>219767.70426658296</v>
      </c>
      <c r="I94" s="7">
        <f t="shared" si="5"/>
        <v>9688503.7042665835</v>
      </c>
      <c r="J94">
        <f>IFERROR(VLOOKUP(F94,'LEAID Match'!$A$2:$B$227,2,FALSE),"")</f>
        <v>3800014</v>
      </c>
      <c r="K94">
        <f t="shared" si="4"/>
        <v>8</v>
      </c>
      <c r="L94" cm="1">
        <f t="array" ref="L94">_xlfn.IFS(B94=2015,G94/$P$13,B94=2016,G94/$P$14,B94=2017,G94/$P$15,B94=2018,G94/$P$16,B94=2019,G94/$P$17,B94=2019,G94/$P$18,B94=2020,G94/$P$18,B94=2021,G94/$P$19,B94=2022,G94/$P$20)</f>
        <v>0.10586112922282416</v>
      </c>
    </row>
    <row r="95" spans="1:12" x14ac:dyDescent="0.2">
      <c r="A95">
        <v>3800014</v>
      </c>
      <c r="B95">
        <v>2020</v>
      </c>
      <c r="C95" t="s">
        <v>252</v>
      </c>
      <c r="D95" t="s">
        <v>254</v>
      </c>
      <c r="E95" t="s">
        <v>256</v>
      </c>
      <c r="F95" s="5" t="s">
        <v>188</v>
      </c>
      <c r="G95" s="7">
        <v>9735158</v>
      </c>
      <c r="H95" s="7" cm="1">
        <f t="array" ref="H95">_xlfn.IFS(B95=2015,L95*$P$3,B95=2016,L95*$P$4,B95=2017,L95*$P$5,B95=2018,L95*$P$6,B95=2019,L95*$P$7,B95=2020,L95*$P$8,B95=2021,L95*$P$9,B95=2022,L95*$P$10)</f>
        <v>244235.82113674781</v>
      </c>
      <c r="I95" s="7">
        <f t="shared" si="5"/>
        <v>9979393.8211367484</v>
      </c>
      <c r="J95">
        <f>IFERROR(VLOOKUP(F95,'LEAID Match'!$A$2:$B$227,2,FALSE),"")</f>
        <v>3800014</v>
      </c>
      <c r="K95">
        <f t="shared" si="4"/>
        <v>8</v>
      </c>
      <c r="L95" cm="1">
        <f t="array" ref="L95">_xlfn.IFS(B95=2015,G95/$P$13,B95=2016,G95/$P$14,B95=2017,G95/$P$15,B95=2018,G95/$P$16,B95=2019,G95/$P$17,B95=2019,G95/$P$18,B95=2020,G95/$P$18,B95=2021,G95/$P$19,B95=2022,G95/$P$20)</f>
        <v>0.10464259688806675</v>
      </c>
    </row>
    <row r="96" spans="1:12" x14ac:dyDescent="0.2">
      <c r="A96">
        <v>3800014</v>
      </c>
      <c r="B96" s="5">
        <v>2021</v>
      </c>
      <c r="C96" t="s">
        <v>252</v>
      </c>
      <c r="D96" t="s">
        <v>254</v>
      </c>
      <c r="E96" t="s">
        <v>256</v>
      </c>
      <c r="F96" s="5" t="s">
        <v>188</v>
      </c>
      <c r="G96" s="7">
        <v>10294993</v>
      </c>
      <c r="H96" s="7" cm="1">
        <f t="array" ref="H96">_xlfn.IFS(B96=2015,L96*$P$3,B96=2016,L96*$P$4,B96=2017,L96*$P$5,B96=2018,L96*$P$6,B96=2019,L96*$P$7,B96=2020,L96*$P$8,B96=2021,L96*$P$9,B96=2022,L96*$P$10)</f>
        <v>281303.40975838143</v>
      </c>
      <c r="I96" s="7">
        <f t="shared" si="5"/>
        <v>10576296.409758382</v>
      </c>
      <c r="J96">
        <f>IFERROR(VLOOKUP(F96,'LEAID Match'!$A$2:$B$227,2,FALSE),"")</f>
        <v>3800014</v>
      </c>
      <c r="K96">
        <f t="shared" si="4"/>
        <v>8</v>
      </c>
      <c r="L96" cm="1">
        <f t="array" ref="L96">_xlfn.IFS(B96=2015,G96/$P$13,B96=2016,G96/$P$14,B96=2017,G96/$P$15,B96=2018,G96/$P$16,B96=2019,G96/$P$17,B96=2019,G96/$P$18,B96=2020,G96/$P$18,B96=2021,G96/$P$19,B96=2022,G96/$P$20)</f>
        <v>0.10476849525451822</v>
      </c>
    </row>
    <row r="97" spans="1:12" x14ac:dyDescent="0.2">
      <c r="A97">
        <v>3800014</v>
      </c>
      <c r="B97">
        <v>2022</v>
      </c>
      <c r="C97" t="s">
        <v>252</v>
      </c>
      <c r="D97" t="s">
        <v>254</v>
      </c>
      <c r="E97" t="s">
        <v>256</v>
      </c>
      <c r="F97" s="5" t="s">
        <v>188</v>
      </c>
      <c r="G97" s="7">
        <v>10769278</v>
      </c>
      <c r="H97" s="7" cm="1">
        <f t="array" ref="H97">_xlfn.IFS(B97=2015,L97*$P$3,B97=2016,L97*$P$4,B97=2017,L97*$P$5,B97=2018,L97*$P$6,B97=2019,L97*$P$7,B97=2020,L97*$P$8,B97=2021,L97*$P$9,B97=2022,L97*$P$10)</f>
        <v>219182.40899872727</v>
      </c>
      <c r="I97" s="7">
        <f t="shared" si="5"/>
        <v>10988460.408998728</v>
      </c>
      <c r="J97">
        <f>IFERROR(VLOOKUP(F97,'LEAID Match'!$A$2:$B$227,2,FALSE),"")</f>
        <v>3800014</v>
      </c>
      <c r="K97">
        <f t="shared" si="4"/>
        <v>8</v>
      </c>
      <c r="L97" cm="1">
        <f t="array" ref="L97">_xlfn.IFS(B97=2015,G97/$P$13,B97=2016,G97/$P$14,B97=2017,G97/$P$15,B97=2018,G97/$P$16,B97=2019,G97/$P$17,B97=2019,G97/$P$18,B97=2020,G97/$P$18,B97=2021,G97/$P$19,B97=2022,G97/$P$20)</f>
        <v>0.10733712487694773</v>
      </c>
    </row>
    <row r="98" spans="1:12" x14ac:dyDescent="0.2">
      <c r="A98">
        <v>0</v>
      </c>
      <c r="B98">
        <v>2015</v>
      </c>
      <c r="C98" t="s">
        <v>252</v>
      </c>
      <c r="D98" t="s">
        <v>254</v>
      </c>
      <c r="E98" t="s">
        <v>256</v>
      </c>
      <c r="F98" s="5" t="s">
        <v>67</v>
      </c>
      <c r="G98" s="5"/>
      <c r="H98" s="7" cm="1">
        <f t="array" ref="H98">_xlfn.IFS(B98=2015,L98*$P$3,B98=2016,L98*$P$4,B98=2017,L98*$P$5,B98=2018,L98*$P$6,B98=2019,L98*$P$7,B98=2020,L98*$P$8,B98=2021,L98*$P$9,B98=2022,L98*$P$10)</f>
        <v>0</v>
      </c>
      <c r="I98" s="7">
        <f t="shared" si="5"/>
        <v>0</v>
      </c>
      <c r="J98">
        <f>IFERROR(VLOOKUP(F98,'LEAID Match'!$A$2:$B$227,2,FALSE),"")</f>
        <v>0</v>
      </c>
      <c r="K98">
        <f t="shared" si="4"/>
        <v>130</v>
      </c>
      <c r="L98" cm="1">
        <f t="array" ref="L98">_xlfn.IFS(B98=2015,G98/$P$13,B98=2016,G98/$P$14,B98=2017,G98/$P$15,B98=2018,G98/$P$16,B98=2019,G98/$P$17,B98=2019,G98/$P$18,B98=2020,G98/$P$18,B98=2021,G98/$P$19,B98=2022,G98/$P$20)</f>
        <v>0</v>
      </c>
    </row>
    <row r="99" spans="1:12" x14ac:dyDescent="0.2">
      <c r="A99">
        <v>0</v>
      </c>
      <c r="B99">
        <v>2016</v>
      </c>
      <c r="C99" t="s">
        <v>252</v>
      </c>
      <c r="D99" t="s">
        <v>254</v>
      </c>
      <c r="E99" t="s">
        <v>256</v>
      </c>
      <c r="F99" s="5" t="s">
        <v>67</v>
      </c>
      <c r="G99" s="5"/>
      <c r="H99" s="7" cm="1">
        <f t="array" ref="H99">_xlfn.IFS(B99=2015,L99*$P$3,B99=2016,L99*$P$4,B99=2017,L99*$P$5,B99=2018,L99*$P$6,B99=2019,L99*$P$7,B99=2020,L99*$P$8,B99=2021,L99*$P$9,B99=2022,L99*$P$10)</f>
        <v>0</v>
      </c>
      <c r="I99" s="7">
        <f t="shared" si="5"/>
        <v>0</v>
      </c>
      <c r="J99">
        <f>IFERROR(VLOOKUP(F99,'LEAID Match'!$A$2:$B$227,2,FALSE),"")</f>
        <v>0</v>
      </c>
      <c r="K99">
        <f t="shared" si="4"/>
        <v>130</v>
      </c>
      <c r="L99" cm="1">
        <f t="array" ref="L99">_xlfn.IFS(B99=2015,G99/$P$13,B99=2016,G99/$P$14,B99=2017,G99/$P$15,B99=2018,G99/$P$16,B99=2019,G99/$P$17,B99=2019,G99/$P$18,B99=2020,G99/$P$18,B99=2021,G99/$P$19,B99=2022,G99/$P$20)</f>
        <v>0</v>
      </c>
    </row>
    <row r="100" spans="1:12" x14ac:dyDescent="0.2">
      <c r="A100">
        <v>0</v>
      </c>
      <c r="B100">
        <v>2017</v>
      </c>
      <c r="C100" t="s">
        <v>252</v>
      </c>
      <c r="D100" t="s">
        <v>254</v>
      </c>
      <c r="E100" t="s">
        <v>256</v>
      </c>
      <c r="F100" s="5" t="s">
        <v>67</v>
      </c>
      <c r="G100" s="5"/>
      <c r="H100" s="7" cm="1">
        <f t="array" ref="H100">_xlfn.IFS(B100=2015,L100*$P$3,B100=2016,L100*$P$4,B100=2017,L100*$P$5,B100=2018,L100*$P$6,B100=2019,L100*$P$7,B100=2020,L100*$P$8,B100=2021,L100*$P$9,B100=2022,L100*$P$10)</f>
        <v>0</v>
      </c>
      <c r="I100" s="7">
        <f t="shared" si="5"/>
        <v>0</v>
      </c>
      <c r="J100">
        <f>IFERROR(VLOOKUP(F100,'LEAID Match'!$A$2:$B$227,2,FALSE),"")</f>
        <v>0</v>
      </c>
      <c r="K100">
        <f t="shared" si="4"/>
        <v>130</v>
      </c>
      <c r="L100" cm="1">
        <f t="array" ref="L100">_xlfn.IFS(B100=2015,G100/$P$13,B100=2016,G100/$P$14,B100=2017,G100/$P$15,B100=2018,G100/$P$16,B100=2019,G100/$P$17,B100=2019,G100/$P$18,B100=2020,G100/$P$18,B100=2021,G100/$P$19,B100=2022,G100/$P$20)</f>
        <v>0</v>
      </c>
    </row>
    <row r="101" spans="1:12" x14ac:dyDescent="0.2">
      <c r="A101">
        <v>0</v>
      </c>
      <c r="B101" s="5">
        <v>2018</v>
      </c>
      <c r="C101" t="s">
        <v>252</v>
      </c>
      <c r="D101" t="s">
        <v>254</v>
      </c>
      <c r="E101" t="s">
        <v>256</v>
      </c>
      <c r="F101" s="5" t="s">
        <v>67</v>
      </c>
      <c r="G101" s="5"/>
      <c r="H101" s="7" cm="1">
        <f t="array" ref="H101">_xlfn.IFS(B101=2015,L101*$P$3,B101=2016,L101*$P$4,B101=2017,L101*$P$5,B101=2018,L101*$P$6,B101=2019,L101*$P$7,B101=2020,L101*$P$8,B101=2021,L101*$P$9,B101=2022,L101*$P$10)</f>
        <v>0</v>
      </c>
      <c r="I101" s="7">
        <f t="shared" si="5"/>
        <v>0</v>
      </c>
      <c r="J101">
        <f>IFERROR(VLOOKUP(F101,'LEAID Match'!$A$2:$B$227,2,FALSE),"")</f>
        <v>0</v>
      </c>
      <c r="K101">
        <f t="shared" si="4"/>
        <v>130</v>
      </c>
      <c r="L101" cm="1">
        <f t="array" ref="L101">_xlfn.IFS(B101=2015,G101/$P$13,B101=2016,G101/$P$14,B101=2017,G101/$P$15,B101=2018,G101/$P$16,B101=2019,G101/$P$17,B101=2019,G101/$P$18,B101=2020,G101/$P$18,B101=2021,G101/$P$19,B101=2022,G101/$P$20)</f>
        <v>0</v>
      </c>
    </row>
    <row r="102" spans="1:12" x14ac:dyDescent="0.2">
      <c r="A102">
        <v>0</v>
      </c>
      <c r="B102">
        <v>2019</v>
      </c>
      <c r="C102" t="s">
        <v>252</v>
      </c>
      <c r="D102" t="s">
        <v>254</v>
      </c>
      <c r="E102" t="s">
        <v>256</v>
      </c>
      <c r="F102" s="5" t="s">
        <v>67</v>
      </c>
      <c r="G102" s="5"/>
      <c r="H102" s="7" cm="1">
        <f t="array" ref="H102">_xlfn.IFS(B102=2015,L102*$P$3,B102=2016,L102*$P$4,B102=2017,L102*$P$5,B102=2018,L102*$P$6,B102=2019,L102*$P$7,B102=2020,L102*$P$8,B102=2021,L102*$P$9,B102=2022,L102*$P$10)</f>
        <v>0</v>
      </c>
      <c r="I102" s="7">
        <f t="shared" si="5"/>
        <v>0</v>
      </c>
      <c r="J102">
        <f>IFERROR(VLOOKUP(F102,'LEAID Match'!$A$2:$B$227,2,FALSE),"")</f>
        <v>0</v>
      </c>
      <c r="K102">
        <f t="shared" si="4"/>
        <v>130</v>
      </c>
      <c r="L102" cm="1">
        <f t="array" ref="L102">_xlfn.IFS(B102=2015,G102/$P$13,B102=2016,G102/$P$14,B102=2017,G102/$P$15,B102=2018,G102/$P$16,B102=2019,G102/$P$17,B102=2019,G102/$P$18,B102=2020,G102/$P$18,B102=2021,G102/$P$19,B102=2022,G102/$P$20)</f>
        <v>0</v>
      </c>
    </row>
    <row r="103" spans="1:12" x14ac:dyDescent="0.2">
      <c r="A103">
        <v>0</v>
      </c>
      <c r="B103">
        <v>2020</v>
      </c>
      <c r="C103" t="s">
        <v>252</v>
      </c>
      <c r="D103" t="s">
        <v>254</v>
      </c>
      <c r="E103" t="s">
        <v>256</v>
      </c>
      <c r="F103" s="5" t="s">
        <v>67</v>
      </c>
      <c r="G103" s="5"/>
      <c r="H103" s="7" cm="1">
        <f t="array" ref="H103">_xlfn.IFS(B103=2015,L103*$P$3,B103=2016,L103*$P$4,B103=2017,L103*$P$5,B103=2018,L103*$P$6,B103=2019,L103*$P$7,B103=2020,L103*$P$8,B103=2021,L103*$P$9,B103=2022,L103*$P$10)</f>
        <v>0</v>
      </c>
      <c r="I103" s="7">
        <f t="shared" si="5"/>
        <v>0</v>
      </c>
      <c r="J103">
        <f>IFERROR(VLOOKUP(F103,'LEAID Match'!$A$2:$B$227,2,FALSE),"")</f>
        <v>0</v>
      </c>
      <c r="K103">
        <f t="shared" si="4"/>
        <v>130</v>
      </c>
      <c r="L103" cm="1">
        <f t="array" ref="L103">_xlfn.IFS(B103=2015,G103/$P$13,B103=2016,G103/$P$14,B103=2017,G103/$P$15,B103=2018,G103/$P$16,B103=2019,G103/$P$17,B103=2019,G103/$P$18,B103=2020,G103/$P$18,B103=2021,G103/$P$19,B103=2022,G103/$P$20)</f>
        <v>0</v>
      </c>
    </row>
    <row r="104" spans="1:12" x14ac:dyDescent="0.2">
      <c r="A104">
        <v>0</v>
      </c>
      <c r="B104" s="5">
        <v>2021</v>
      </c>
      <c r="C104" t="s">
        <v>252</v>
      </c>
      <c r="D104" t="s">
        <v>254</v>
      </c>
      <c r="E104" t="s">
        <v>256</v>
      </c>
      <c r="F104" s="5" t="s">
        <v>67</v>
      </c>
      <c r="G104" s="5"/>
      <c r="H104" s="7" cm="1">
        <f t="array" ref="H104">_xlfn.IFS(B104=2015,L104*$P$3,B104=2016,L104*$P$4,B104=2017,L104*$P$5,B104=2018,L104*$P$6,B104=2019,L104*$P$7,B104=2020,L104*$P$8,B104=2021,L104*$P$9,B104=2022,L104*$P$10)</f>
        <v>0</v>
      </c>
      <c r="I104" s="7">
        <f t="shared" si="5"/>
        <v>0</v>
      </c>
      <c r="J104">
        <f>IFERROR(VLOOKUP(F104,'LEAID Match'!$A$2:$B$227,2,FALSE),"")</f>
        <v>0</v>
      </c>
      <c r="K104">
        <f t="shared" si="4"/>
        <v>130</v>
      </c>
      <c r="L104" cm="1">
        <f t="array" ref="L104">_xlfn.IFS(B104=2015,G104/$P$13,B104=2016,G104/$P$14,B104=2017,G104/$P$15,B104=2018,G104/$P$16,B104=2019,G104/$P$17,B104=2019,G104/$P$18,B104=2020,G104/$P$18,B104=2021,G104/$P$19,B104=2022,G104/$P$20)</f>
        <v>0</v>
      </c>
    </row>
    <row r="105" spans="1:12" x14ac:dyDescent="0.2">
      <c r="A105">
        <v>0</v>
      </c>
      <c r="B105">
        <v>2015</v>
      </c>
      <c r="C105" t="s">
        <v>252</v>
      </c>
      <c r="D105" t="s">
        <v>254</v>
      </c>
      <c r="E105" t="s">
        <v>256</v>
      </c>
      <c r="F105" s="5" t="s">
        <v>68</v>
      </c>
      <c r="G105" s="7">
        <v>3935</v>
      </c>
      <c r="H105" s="7" cm="1">
        <f t="array" ref="H105">_xlfn.IFS(B105=2015,L105*$P$3,B105=2016,L105*$P$4,B105=2017,L105*$P$5,B105=2018,L105*$P$6,B105=2019,L105*$P$7,B105=2020,L105*$P$8,B105=2021,L105*$P$9,B105=2022,L105*$P$10)</f>
        <v>88.964144035928655</v>
      </c>
      <c r="I105" s="7">
        <f t="shared" si="5"/>
        <v>4023.9641440359287</v>
      </c>
      <c r="J105">
        <f>IFERROR(VLOOKUP(F105,'LEAID Match'!$A$2:$B$227,2,FALSE),"")</f>
        <v>0</v>
      </c>
      <c r="K105">
        <f t="shared" si="4"/>
        <v>130</v>
      </c>
      <c r="L105" cm="1">
        <f t="array" ref="L105">_xlfn.IFS(B105=2015,G105/$P$13,B105=2016,G105/$P$14,B105=2017,G105/$P$15,B105=2018,G105/$P$16,B105=2019,G105/$P$17,B105=2019,G105/$P$18,B105=2020,G105/$P$18,B105=2021,G105/$P$19,B105=2022,G105/$P$20)</f>
        <v>5.0177182197365286E-5</v>
      </c>
    </row>
    <row r="106" spans="1:12" x14ac:dyDescent="0.2">
      <c r="A106">
        <v>0</v>
      </c>
      <c r="B106">
        <v>2016</v>
      </c>
      <c r="C106" t="s">
        <v>252</v>
      </c>
      <c r="D106" t="s">
        <v>254</v>
      </c>
      <c r="E106" t="s">
        <v>256</v>
      </c>
      <c r="F106" s="5" t="s">
        <v>68</v>
      </c>
      <c r="G106" s="5"/>
      <c r="H106" s="7" cm="1">
        <f t="array" ref="H106">_xlfn.IFS(B106=2015,L106*$P$3,B106=2016,L106*$P$4,B106=2017,L106*$P$5,B106=2018,L106*$P$6,B106=2019,L106*$P$7,B106=2020,L106*$P$8,B106=2021,L106*$P$9,B106=2022,L106*$P$10)</f>
        <v>0</v>
      </c>
      <c r="I106" s="7">
        <f t="shared" si="5"/>
        <v>0</v>
      </c>
      <c r="J106">
        <f>IFERROR(VLOOKUP(F106,'LEAID Match'!$A$2:$B$227,2,FALSE),"")</f>
        <v>0</v>
      </c>
      <c r="K106">
        <f t="shared" si="4"/>
        <v>130</v>
      </c>
      <c r="L106" cm="1">
        <f t="array" ref="L106">_xlfn.IFS(B106=2015,G106/$P$13,B106=2016,G106/$P$14,B106=2017,G106/$P$15,B106=2018,G106/$P$16,B106=2019,G106/$P$17,B106=2019,G106/$P$18,B106=2020,G106/$P$18,B106=2021,G106/$P$19,B106=2022,G106/$P$20)</f>
        <v>0</v>
      </c>
    </row>
    <row r="107" spans="1:12" x14ac:dyDescent="0.2">
      <c r="A107">
        <v>0</v>
      </c>
      <c r="B107">
        <v>2017</v>
      </c>
      <c r="C107" t="s">
        <v>252</v>
      </c>
      <c r="D107" t="s">
        <v>254</v>
      </c>
      <c r="E107" t="s">
        <v>256</v>
      </c>
      <c r="F107" s="5" t="s">
        <v>68</v>
      </c>
      <c r="G107" s="5"/>
      <c r="H107" s="7" cm="1">
        <f t="array" ref="H107">_xlfn.IFS(B107=2015,L107*$P$3,B107=2016,L107*$P$4,B107=2017,L107*$P$5,B107=2018,L107*$P$6,B107=2019,L107*$P$7,B107=2020,L107*$P$8,B107=2021,L107*$P$9,B107=2022,L107*$P$10)</f>
        <v>0</v>
      </c>
      <c r="I107" s="7">
        <f t="shared" si="5"/>
        <v>0</v>
      </c>
      <c r="J107">
        <f>IFERROR(VLOOKUP(F107,'LEAID Match'!$A$2:$B$227,2,FALSE),"")</f>
        <v>0</v>
      </c>
      <c r="K107">
        <f t="shared" si="4"/>
        <v>130</v>
      </c>
      <c r="L107" cm="1">
        <f t="array" ref="L107">_xlfn.IFS(B107=2015,G107/$P$13,B107=2016,G107/$P$14,B107=2017,G107/$P$15,B107=2018,G107/$P$16,B107=2019,G107/$P$17,B107=2019,G107/$P$18,B107=2020,G107/$P$18,B107=2021,G107/$P$19,B107=2022,G107/$P$20)</f>
        <v>0</v>
      </c>
    </row>
    <row r="108" spans="1:12" x14ac:dyDescent="0.2">
      <c r="A108">
        <v>0</v>
      </c>
      <c r="B108" s="5">
        <v>2018</v>
      </c>
      <c r="C108" t="s">
        <v>252</v>
      </c>
      <c r="D108" t="s">
        <v>254</v>
      </c>
      <c r="E108" t="s">
        <v>256</v>
      </c>
      <c r="F108" s="5" t="s">
        <v>68</v>
      </c>
      <c r="G108" s="5"/>
      <c r="H108" s="7" cm="1">
        <f t="array" ref="H108">_xlfn.IFS(B108=2015,L108*$P$3,B108=2016,L108*$P$4,B108=2017,L108*$P$5,B108=2018,L108*$P$6,B108=2019,L108*$P$7,B108=2020,L108*$P$8,B108=2021,L108*$P$9,B108=2022,L108*$P$10)</f>
        <v>0</v>
      </c>
      <c r="I108" s="7">
        <f t="shared" si="5"/>
        <v>0</v>
      </c>
      <c r="J108">
        <f>IFERROR(VLOOKUP(F108,'LEAID Match'!$A$2:$B$227,2,FALSE),"")</f>
        <v>0</v>
      </c>
      <c r="K108">
        <f t="shared" si="4"/>
        <v>130</v>
      </c>
      <c r="L108" cm="1">
        <f t="array" ref="L108">_xlfn.IFS(B108=2015,G108/$P$13,B108=2016,G108/$P$14,B108=2017,G108/$P$15,B108=2018,G108/$P$16,B108=2019,G108/$P$17,B108=2019,G108/$P$18,B108=2020,G108/$P$18,B108=2021,G108/$P$19,B108=2022,G108/$P$20)</f>
        <v>0</v>
      </c>
    </row>
    <row r="109" spans="1:12" x14ac:dyDescent="0.2">
      <c r="A109">
        <v>0</v>
      </c>
      <c r="B109">
        <v>2019</v>
      </c>
      <c r="C109" t="s">
        <v>252</v>
      </c>
      <c r="D109" t="s">
        <v>254</v>
      </c>
      <c r="E109" t="s">
        <v>256</v>
      </c>
      <c r="F109" s="5" t="s">
        <v>68</v>
      </c>
      <c r="G109" s="5"/>
      <c r="H109" s="7" cm="1">
        <f t="array" ref="H109">_xlfn.IFS(B109=2015,L109*$P$3,B109=2016,L109*$P$4,B109=2017,L109*$P$5,B109=2018,L109*$P$6,B109=2019,L109*$P$7,B109=2020,L109*$P$8,B109=2021,L109*$P$9,B109=2022,L109*$P$10)</f>
        <v>0</v>
      </c>
      <c r="I109" s="7">
        <f t="shared" si="5"/>
        <v>0</v>
      </c>
      <c r="J109">
        <f>IFERROR(VLOOKUP(F109,'LEAID Match'!$A$2:$B$227,2,FALSE),"")</f>
        <v>0</v>
      </c>
      <c r="K109">
        <f t="shared" si="4"/>
        <v>130</v>
      </c>
      <c r="L109" cm="1">
        <f t="array" ref="L109">_xlfn.IFS(B109=2015,G109/$P$13,B109=2016,G109/$P$14,B109=2017,G109/$P$15,B109=2018,G109/$P$16,B109=2019,G109/$P$17,B109=2019,G109/$P$18,B109=2020,G109/$P$18,B109=2021,G109/$P$19,B109=2022,G109/$P$20)</f>
        <v>0</v>
      </c>
    </row>
    <row r="110" spans="1:12" x14ac:dyDescent="0.2">
      <c r="A110">
        <v>0</v>
      </c>
      <c r="B110">
        <v>2020</v>
      </c>
      <c r="C110" t="s">
        <v>252</v>
      </c>
      <c r="D110" t="s">
        <v>254</v>
      </c>
      <c r="E110" t="s">
        <v>256</v>
      </c>
      <c r="F110" s="5" t="s">
        <v>68</v>
      </c>
      <c r="G110" s="5"/>
      <c r="H110" s="7" cm="1">
        <f t="array" ref="H110">_xlfn.IFS(B110=2015,L110*$P$3,B110=2016,L110*$P$4,B110=2017,L110*$P$5,B110=2018,L110*$P$6,B110=2019,L110*$P$7,B110=2020,L110*$P$8,B110=2021,L110*$P$9,B110=2022,L110*$P$10)</f>
        <v>0</v>
      </c>
      <c r="I110" s="7">
        <f t="shared" si="5"/>
        <v>0</v>
      </c>
      <c r="J110">
        <f>IFERROR(VLOOKUP(F110,'LEAID Match'!$A$2:$B$227,2,FALSE),"")</f>
        <v>0</v>
      </c>
      <c r="K110">
        <f t="shared" si="4"/>
        <v>130</v>
      </c>
      <c r="L110" cm="1">
        <f t="array" ref="L110">_xlfn.IFS(B110=2015,G110/$P$13,B110=2016,G110/$P$14,B110=2017,G110/$P$15,B110=2018,G110/$P$16,B110=2019,G110/$P$17,B110=2019,G110/$P$18,B110=2020,G110/$P$18,B110=2021,G110/$P$19,B110=2022,G110/$P$20)</f>
        <v>0</v>
      </c>
    </row>
    <row r="111" spans="1:12" x14ac:dyDescent="0.2">
      <c r="A111">
        <v>0</v>
      </c>
      <c r="B111" s="5">
        <v>2021</v>
      </c>
      <c r="C111" t="s">
        <v>252</v>
      </c>
      <c r="D111" t="s">
        <v>254</v>
      </c>
      <c r="E111" t="s">
        <v>256</v>
      </c>
      <c r="F111" s="5" t="s">
        <v>68</v>
      </c>
      <c r="G111" s="5"/>
      <c r="H111" s="7" cm="1">
        <f t="array" ref="H111">_xlfn.IFS(B111=2015,L111*$P$3,B111=2016,L111*$P$4,B111=2017,L111*$P$5,B111=2018,L111*$P$6,B111=2019,L111*$P$7,B111=2020,L111*$P$8,B111=2021,L111*$P$9,B111=2022,L111*$P$10)</f>
        <v>0</v>
      </c>
      <c r="I111" s="7">
        <f t="shared" si="5"/>
        <v>0</v>
      </c>
      <c r="J111">
        <f>IFERROR(VLOOKUP(F111,'LEAID Match'!$A$2:$B$227,2,FALSE),"")</f>
        <v>0</v>
      </c>
      <c r="K111">
        <f t="shared" si="4"/>
        <v>130</v>
      </c>
      <c r="L111" cm="1">
        <f t="array" ref="L111">_xlfn.IFS(B111=2015,G111/$P$13,B111=2016,G111/$P$14,B111=2017,G111/$P$15,B111=2018,G111/$P$16,B111=2019,G111/$P$17,B111=2019,G111/$P$18,B111=2020,G111/$P$18,B111=2021,G111/$P$19,B111=2022,G111/$P$20)</f>
        <v>0</v>
      </c>
    </row>
    <row r="112" spans="1:12" x14ac:dyDescent="0.2">
      <c r="A112">
        <v>0</v>
      </c>
      <c r="B112">
        <v>2022</v>
      </c>
      <c r="C112" t="s">
        <v>252</v>
      </c>
      <c r="D112" t="s">
        <v>254</v>
      </c>
      <c r="E112" t="s">
        <v>256</v>
      </c>
      <c r="F112" s="5" t="s">
        <v>68</v>
      </c>
      <c r="G112" s="5"/>
      <c r="H112" s="7" cm="1">
        <f t="array" ref="H112">_xlfn.IFS(B112=2015,L112*$P$3,B112=2016,L112*$P$4,B112=2017,L112*$P$5,B112=2018,L112*$P$6,B112=2019,L112*$P$7,B112=2020,L112*$P$8,B112=2021,L112*$P$9,B112=2022,L112*$P$10)</f>
        <v>0</v>
      </c>
      <c r="I112" s="7">
        <f t="shared" si="5"/>
        <v>0</v>
      </c>
      <c r="J112">
        <f>IFERROR(VLOOKUP(F112,'LEAID Match'!$A$2:$B$227,2,FALSE),"")</f>
        <v>0</v>
      </c>
      <c r="K112">
        <f t="shared" si="4"/>
        <v>130</v>
      </c>
      <c r="L112" cm="1">
        <f t="array" ref="L112">_xlfn.IFS(B112=2015,G112/$P$13,B112=2016,G112/$P$14,B112=2017,G112/$P$15,B112=2018,G112/$P$16,B112=2019,G112/$P$17,B112=2019,G112/$P$18,B112=2020,G112/$P$18,B112=2021,G112/$P$19,B112=2022,G112/$P$20)</f>
        <v>0</v>
      </c>
    </row>
    <row r="113" spans="1:12" x14ac:dyDescent="0.2">
      <c r="A113">
        <v>3803060</v>
      </c>
      <c r="B113">
        <v>2015</v>
      </c>
      <c r="C113" t="s">
        <v>252</v>
      </c>
      <c r="D113" t="s">
        <v>254</v>
      </c>
      <c r="E113" t="s">
        <v>256</v>
      </c>
      <c r="F113" s="5" t="s">
        <v>69</v>
      </c>
      <c r="G113" s="7">
        <v>469795</v>
      </c>
      <c r="H113" s="7" cm="1">
        <f t="array" ref="H113">_xlfn.IFS(B113=2015,L113*$P$3,B113=2016,L113*$P$4,B113=2017,L113*$P$5,B113=2018,L113*$P$6,B113=2019,L113*$P$7,B113=2020,L113*$P$8,B113=2021,L113*$P$9,B113=2022,L113*$P$10)</f>
        <v>10621.324027283124</v>
      </c>
      <c r="I113" s="7">
        <f t="shared" si="5"/>
        <v>480416.32402728312</v>
      </c>
      <c r="J113">
        <f>IFERROR(VLOOKUP(F113,'LEAID Match'!$A$2:$B$227,2,FALSE),"")</f>
        <v>3803060</v>
      </c>
      <c r="K113">
        <f t="shared" si="4"/>
        <v>8</v>
      </c>
      <c r="L113" cm="1">
        <f t="array" ref="L113">_xlfn.IFS(B113=2015,G113/$P$13,B113=2016,G113/$P$14,B113=2017,G113/$P$15,B113=2018,G113/$P$16,B113=2019,G113/$P$17,B113=2019,G113/$P$18,B113=2020,G113/$P$18,B113=2021,G113/$P$19,B113=2022,G113/$P$20)</f>
        <v>5.9905944880333474E-3</v>
      </c>
    </row>
    <row r="114" spans="1:12" x14ac:dyDescent="0.2">
      <c r="A114">
        <v>3803060</v>
      </c>
      <c r="B114">
        <v>2016</v>
      </c>
      <c r="C114" t="s">
        <v>252</v>
      </c>
      <c r="D114" t="s">
        <v>254</v>
      </c>
      <c r="E114" t="s">
        <v>256</v>
      </c>
      <c r="F114" s="5" t="s">
        <v>69</v>
      </c>
      <c r="G114" s="7">
        <v>479346</v>
      </c>
      <c r="H114" s="7" cm="1">
        <f t="array" ref="H114">_xlfn.IFS(B114=2015,L114*$P$3,B114=2016,L114*$P$4,B114=2017,L114*$P$5,B114=2018,L114*$P$6,B114=2019,L114*$P$7,B114=2020,L114*$P$8,B114=2021,L114*$P$9,B114=2022,L114*$P$10)</f>
        <v>16277.177946949281</v>
      </c>
      <c r="I114" s="7">
        <f t="shared" si="5"/>
        <v>495623.17794694926</v>
      </c>
      <c r="J114">
        <f>IFERROR(VLOOKUP(F114,'LEAID Match'!$A$2:$B$227,2,FALSE),"")</f>
        <v>3803060</v>
      </c>
      <c r="K114">
        <f t="shared" si="4"/>
        <v>8</v>
      </c>
      <c r="L114" cm="1">
        <f t="array" ref="L114">_xlfn.IFS(B114=2015,G114/$P$13,B114=2016,G114/$P$14,B114=2017,G114/$P$15,B114=2018,G114/$P$16,B114=2019,G114/$P$17,B114=2019,G114/$P$18,B114=2020,G114/$P$18,B114=2021,G114/$P$19,B114=2022,G114/$P$20)</f>
        <v>5.7864123522748953E-3</v>
      </c>
    </row>
    <row r="115" spans="1:12" x14ac:dyDescent="0.2">
      <c r="A115">
        <v>3803060</v>
      </c>
      <c r="B115">
        <v>2017</v>
      </c>
      <c r="C115" t="s">
        <v>252</v>
      </c>
      <c r="D115" t="s">
        <v>254</v>
      </c>
      <c r="E115" t="s">
        <v>256</v>
      </c>
      <c r="F115" s="5" t="s">
        <v>69</v>
      </c>
      <c r="G115" s="7">
        <v>463841</v>
      </c>
      <c r="H115" s="7" cm="1">
        <f t="array" ref="H115">_xlfn.IFS(B115=2015,L115*$P$3,B115=2016,L115*$P$4,B115=2017,L115*$P$5,B115=2018,L115*$P$6,B115=2019,L115*$P$7,B115=2020,L115*$P$8,B115=2021,L115*$P$9,B115=2022,L115*$P$10)</f>
        <v>15032.182670133579</v>
      </c>
      <c r="I115" s="7">
        <f t="shared" si="5"/>
        <v>478873.1826701336</v>
      </c>
      <c r="J115">
        <f>IFERROR(VLOOKUP(F115,'LEAID Match'!$A$2:$B$227,2,FALSE),"")</f>
        <v>3803060</v>
      </c>
      <c r="K115">
        <f t="shared" si="4"/>
        <v>8</v>
      </c>
      <c r="L115" cm="1">
        <f t="array" ref="L115">_xlfn.IFS(B115=2015,G115/$P$13,B115=2016,G115/$P$14,B115=2017,G115/$P$15,B115=2018,G115/$P$16,B115=2019,G115/$P$17,B115=2019,G115/$P$18,B115=2020,G115/$P$18,B115=2021,G115/$P$19,B115=2022,G115/$P$20)</f>
        <v>5.3898109251106418E-3</v>
      </c>
    </row>
    <row r="116" spans="1:12" x14ac:dyDescent="0.2">
      <c r="A116">
        <v>3803060</v>
      </c>
      <c r="B116" s="5">
        <v>2018</v>
      </c>
      <c r="C116" t="s">
        <v>252</v>
      </c>
      <c r="D116" t="s">
        <v>254</v>
      </c>
      <c r="E116" t="s">
        <v>256</v>
      </c>
      <c r="F116" s="5" t="s">
        <v>69</v>
      </c>
      <c r="G116" s="7">
        <v>482495</v>
      </c>
      <c r="H116" s="7" cm="1">
        <f t="array" ref="H116">_xlfn.IFS(B116=2015,L116*$P$3,B116=2016,L116*$P$4,B116=2017,L116*$P$5,B116=2018,L116*$P$6,B116=2019,L116*$P$7,B116=2020,L116*$P$8,B116=2021,L116*$P$9,B116=2022,L116*$P$10)</f>
        <v>13220.839968939392</v>
      </c>
      <c r="I116" s="7">
        <f t="shared" si="5"/>
        <v>495715.83996893937</v>
      </c>
      <c r="J116">
        <f>IFERROR(VLOOKUP(F116,'LEAID Match'!$A$2:$B$227,2,FALSE),"")</f>
        <v>3803060</v>
      </c>
      <c r="K116">
        <f t="shared" si="4"/>
        <v>8</v>
      </c>
      <c r="L116" cm="1">
        <f t="array" ref="L116">_xlfn.IFS(B116=2015,G116/$P$13,B116=2016,G116/$P$14,B116=2017,G116/$P$15,B116=2018,G116/$P$16,B116=2019,G116/$P$17,B116=2019,G116/$P$18,B116=2020,G116/$P$18,B116=2021,G116/$P$19,B116=2022,G116/$P$20)</f>
        <v>5.56666946060606E-3</v>
      </c>
    </row>
    <row r="117" spans="1:12" x14ac:dyDescent="0.2">
      <c r="A117">
        <v>3803060</v>
      </c>
      <c r="B117">
        <v>2019</v>
      </c>
      <c r="C117" t="s">
        <v>252</v>
      </c>
      <c r="D117" t="s">
        <v>254</v>
      </c>
      <c r="E117" t="s">
        <v>256</v>
      </c>
      <c r="F117" s="5" t="s">
        <v>69</v>
      </c>
      <c r="G117" s="7">
        <v>490794</v>
      </c>
      <c r="H117" s="7" cm="1">
        <f t="array" ref="H117">_xlfn.IFS(B117=2015,L117*$P$3,B117=2016,L117*$P$4,B117=2017,L117*$P$5,B117=2018,L117*$P$6,B117=2019,L117*$P$7,B117=2020,L117*$P$8,B117=2021,L117*$P$9,B117=2022,L117*$P$10)</f>
        <v>11391.24278550097</v>
      </c>
      <c r="I117" s="7">
        <f t="shared" si="5"/>
        <v>502185.24278550094</v>
      </c>
      <c r="J117">
        <f>IFERROR(VLOOKUP(F117,'LEAID Match'!$A$2:$B$227,2,FALSE),"")</f>
        <v>3803060</v>
      </c>
      <c r="K117">
        <f t="shared" si="4"/>
        <v>8</v>
      </c>
      <c r="L117" cm="1">
        <f t="array" ref="L117">_xlfn.IFS(B117=2015,G117/$P$13,B117=2016,G117/$P$14,B117=2017,G117/$P$15,B117=2018,G117/$P$16,B117=2019,G117/$P$17,B117=2019,G117/$P$18,B117=2020,G117/$P$18,B117=2021,G117/$P$19,B117=2022,G117/$P$20)</f>
        <v>5.4871111683530687E-3</v>
      </c>
    </row>
    <row r="118" spans="1:12" x14ac:dyDescent="0.2">
      <c r="A118">
        <v>3803060</v>
      </c>
      <c r="B118">
        <v>2020</v>
      </c>
      <c r="C118" t="s">
        <v>252</v>
      </c>
      <c r="D118" t="s">
        <v>254</v>
      </c>
      <c r="E118" t="s">
        <v>256</v>
      </c>
      <c r="F118" s="5" t="s">
        <v>69</v>
      </c>
      <c r="G118" s="7">
        <v>480499</v>
      </c>
      <c r="H118" s="7" cm="1">
        <f t="array" ref="H118">_xlfn.IFS(B118=2015,L118*$P$3,B118=2016,L118*$P$4,B118=2017,L118*$P$5,B118=2018,L118*$P$6,B118=2019,L118*$P$7,B118=2020,L118*$P$8,B118=2021,L118*$P$9,B118=2022,L118*$P$10)</f>
        <v>12054.767659691417</v>
      </c>
      <c r="I118" s="7">
        <f t="shared" si="5"/>
        <v>492553.7676596914</v>
      </c>
      <c r="J118">
        <f>IFERROR(VLOOKUP(F118,'LEAID Match'!$A$2:$B$227,2,FALSE),"")</f>
        <v>3803060</v>
      </c>
      <c r="K118">
        <f t="shared" si="4"/>
        <v>8</v>
      </c>
      <c r="L118" cm="1">
        <f t="array" ref="L118">_xlfn.IFS(B118=2015,G118/$P$13,B118=2016,G118/$P$14,B118=2017,G118/$P$15,B118=2018,G118/$P$16,B118=2019,G118/$P$17,B118=2019,G118/$P$18,B118=2020,G118/$P$18,B118=2021,G118/$P$19,B118=2022,G118/$P$20)</f>
        <v>5.1648533246321411E-3</v>
      </c>
    </row>
    <row r="119" spans="1:12" x14ac:dyDescent="0.2">
      <c r="A119">
        <v>3803060</v>
      </c>
      <c r="B119" s="5">
        <v>2021</v>
      </c>
      <c r="C119" t="s">
        <v>252</v>
      </c>
      <c r="D119" t="s">
        <v>254</v>
      </c>
      <c r="E119" t="s">
        <v>256</v>
      </c>
      <c r="F119" s="5" t="s">
        <v>69</v>
      </c>
      <c r="G119" s="7">
        <v>513897</v>
      </c>
      <c r="H119" s="7" cm="1">
        <f t="array" ref="H119">_xlfn.IFS(B119=2015,L119*$P$3,B119=2016,L119*$P$4,B119=2017,L119*$P$5,B119=2018,L119*$P$6,B119=2019,L119*$P$7,B119=2020,L119*$P$8,B119=2021,L119*$P$9,B119=2022,L119*$P$10)</f>
        <v>14041.872429112183</v>
      </c>
      <c r="I119" s="7">
        <f t="shared" si="5"/>
        <v>527938.87242911221</v>
      </c>
      <c r="J119">
        <f>IFERROR(VLOOKUP(F119,'LEAID Match'!$A$2:$B$227,2,FALSE),"")</f>
        <v>3803060</v>
      </c>
      <c r="K119">
        <f t="shared" si="4"/>
        <v>8</v>
      </c>
      <c r="L119" cm="1">
        <f t="array" ref="L119">_xlfn.IFS(B119=2015,G119/$P$13,B119=2016,G119/$P$14,B119=2017,G119/$P$15,B119=2018,G119/$P$16,B119=2019,G119/$P$17,B119=2019,G119/$P$18,B119=2020,G119/$P$18,B119=2021,G119/$P$19,B119=2022,G119/$P$20)</f>
        <v>5.2297476458518372E-3</v>
      </c>
    </row>
    <row r="120" spans="1:12" x14ac:dyDescent="0.2">
      <c r="A120">
        <v>3803060</v>
      </c>
      <c r="B120">
        <v>2022</v>
      </c>
      <c r="C120" t="s">
        <v>252</v>
      </c>
      <c r="D120" t="s">
        <v>254</v>
      </c>
      <c r="E120" t="s">
        <v>256</v>
      </c>
      <c r="F120" s="5" t="s">
        <v>69</v>
      </c>
      <c r="G120" s="7">
        <v>529684</v>
      </c>
      <c r="H120" s="7" cm="1">
        <f t="array" ref="H120">_xlfn.IFS(B120=2015,L120*$P$3,B120=2016,L120*$P$4,B120=2017,L120*$P$5,B120=2018,L120*$P$6,B120=2019,L120*$P$7,B120=2020,L120*$P$8,B120=2021,L120*$P$9,B120=2022,L120*$P$10)</f>
        <v>10780.426982020694</v>
      </c>
      <c r="I120" s="7">
        <f t="shared" si="5"/>
        <v>540464.42698202073</v>
      </c>
      <c r="J120">
        <f>IFERROR(VLOOKUP(F120,'LEAID Match'!$A$2:$B$227,2,FALSE),"")</f>
        <v>3803060</v>
      </c>
      <c r="K120">
        <f t="shared" si="4"/>
        <v>8</v>
      </c>
      <c r="L120" cm="1">
        <f t="array" ref="L120">_xlfn.IFS(B120=2015,G120/$P$13,B120=2016,G120/$P$14,B120=2017,G120/$P$15,B120=2018,G120/$P$16,B120=2019,G120/$P$17,B120=2019,G120/$P$18,B120=2020,G120/$P$18,B120=2021,G120/$P$19,B120=2022,G120/$P$20)</f>
        <v>5.2793471998142478E-3</v>
      </c>
    </row>
    <row r="121" spans="1:12" x14ac:dyDescent="0.2">
      <c r="A121">
        <v>3803090</v>
      </c>
      <c r="B121">
        <v>2015</v>
      </c>
      <c r="C121" t="s">
        <v>252</v>
      </c>
      <c r="D121" t="s">
        <v>254</v>
      </c>
      <c r="E121" t="s">
        <v>256</v>
      </c>
      <c r="F121" s="5" t="s">
        <v>192</v>
      </c>
      <c r="G121" s="7">
        <v>66551</v>
      </c>
      <c r="H121" s="7" cm="1">
        <f t="array" ref="H121">_xlfn.IFS(B121=2015,L121*$P$3,B121=2016,L121*$P$4,B121=2017,L121*$P$5,B121=2018,L121*$P$6,B121=2019,L121*$P$7,B121=2020,L121*$P$8,B121=2021,L121*$P$9,B121=2022,L121*$P$10)</f>
        <v>1504.6131511397934</v>
      </c>
      <c r="I121" s="7">
        <f t="shared" si="5"/>
        <v>68055.613151139798</v>
      </c>
      <c r="J121">
        <f>IFERROR(VLOOKUP(F121,'LEAID Match'!$A$2:$B$227,2,FALSE),"")</f>
        <v>3803090</v>
      </c>
      <c r="K121">
        <f t="shared" si="4"/>
        <v>8</v>
      </c>
      <c r="L121" cm="1">
        <f t="array" ref="L121">_xlfn.IFS(B121=2015,G121/$P$13,B121=2016,G121/$P$14,B121=2017,G121/$P$15,B121=2018,G121/$P$16,B121=2019,G121/$P$17,B121=2019,G121/$P$18,B121=2020,G121/$P$18,B121=2021,G121/$P$19,B121=2022,G121/$P$20)</f>
        <v>8.4862557875904881E-4</v>
      </c>
    </row>
    <row r="122" spans="1:12" x14ac:dyDescent="0.2">
      <c r="A122">
        <v>3803090</v>
      </c>
      <c r="B122">
        <v>2016</v>
      </c>
      <c r="C122" t="s">
        <v>252</v>
      </c>
      <c r="D122" t="s">
        <v>254</v>
      </c>
      <c r="E122" t="s">
        <v>256</v>
      </c>
      <c r="F122" s="5" t="s">
        <v>192</v>
      </c>
      <c r="G122" s="7">
        <v>70580</v>
      </c>
      <c r="H122" s="7" cm="1">
        <f t="array" ref="H122">_xlfn.IFS(B122=2015,L122*$P$3,B122=2016,L122*$P$4,B122=2017,L122*$P$5,B122=2018,L122*$P$6,B122=2019,L122*$P$7,B122=2020,L122*$P$8,B122=2021,L122*$P$9,B122=2022,L122*$P$10)</f>
        <v>2396.6888625245233</v>
      </c>
      <c r="I122" s="7">
        <f t="shared" si="5"/>
        <v>72976.688862524519</v>
      </c>
      <c r="J122">
        <f>IFERROR(VLOOKUP(F122,'LEAID Match'!$A$2:$B$227,2,FALSE),"")</f>
        <v>3803090</v>
      </c>
      <c r="K122">
        <f t="shared" si="4"/>
        <v>8</v>
      </c>
      <c r="L122" cm="1">
        <f t="array" ref="L122">_xlfn.IFS(B122=2015,G122/$P$13,B122=2016,G122/$P$14,B122=2017,G122/$P$15,B122=2018,G122/$P$16,B122=2019,G122/$P$17,B122=2019,G122/$P$18,B122=2020,G122/$P$18,B122=2021,G122/$P$19,B122=2022,G122/$P$20)</f>
        <v>8.520045725291587E-4</v>
      </c>
    </row>
    <row r="123" spans="1:12" x14ac:dyDescent="0.2">
      <c r="A123">
        <v>3803090</v>
      </c>
      <c r="B123">
        <v>2017</v>
      </c>
      <c r="C123" t="s">
        <v>252</v>
      </c>
      <c r="D123" t="s">
        <v>254</v>
      </c>
      <c r="E123" t="s">
        <v>256</v>
      </c>
      <c r="F123" s="5" t="s">
        <v>192</v>
      </c>
      <c r="G123" s="7">
        <v>80002</v>
      </c>
      <c r="H123" s="7" cm="1">
        <f t="array" ref="H123">_xlfn.IFS(B123=2015,L123*$P$3,B123=2016,L123*$P$4,B123=2017,L123*$P$5,B123=2018,L123*$P$6,B123=2019,L123*$P$7,B123=2020,L123*$P$8,B123=2021,L123*$P$9,B123=2022,L123*$P$10)</f>
        <v>2592.708876481438</v>
      </c>
      <c r="I123" s="7">
        <f t="shared" si="5"/>
        <v>82594.70887648144</v>
      </c>
      <c r="J123">
        <f>IFERROR(VLOOKUP(F123,'LEAID Match'!$A$2:$B$227,2,FALSE),"")</f>
        <v>3803090</v>
      </c>
      <c r="K123">
        <f t="shared" si="4"/>
        <v>8</v>
      </c>
      <c r="L123" cm="1">
        <f t="array" ref="L123">_xlfn.IFS(B123=2015,G123/$P$13,B123=2016,G123/$P$14,B123=2017,G123/$P$15,B123=2018,G123/$P$16,B123=2019,G123/$P$17,B123=2019,G123/$P$18,B123=2020,G123/$P$18,B123=2021,G123/$P$19,B123=2022,G123/$P$20)</f>
        <v>9.2961953262152676E-4</v>
      </c>
    </row>
    <row r="124" spans="1:12" x14ac:dyDescent="0.2">
      <c r="A124">
        <v>3803090</v>
      </c>
      <c r="B124" s="5">
        <v>2018</v>
      </c>
      <c r="C124" t="s">
        <v>252</v>
      </c>
      <c r="D124" t="s">
        <v>254</v>
      </c>
      <c r="E124" t="s">
        <v>256</v>
      </c>
      <c r="F124" s="5" t="s">
        <v>192</v>
      </c>
      <c r="G124" s="7">
        <v>77343</v>
      </c>
      <c r="H124" s="7" cm="1">
        <f t="array" ref="H124">_xlfn.IFS(B124=2015,L124*$P$3,B124=2016,L124*$P$4,B124=2017,L124*$P$5,B124=2018,L124*$P$6,B124=2019,L124*$P$7,B124=2020,L124*$P$8,B124=2021,L124*$P$9,B124=2022,L124*$P$10)</f>
        <v>2119.2746571833482</v>
      </c>
      <c r="I124" s="7">
        <f t="shared" si="5"/>
        <v>79462.274657183341</v>
      </c>
      <c r="J124">
        <f>IFERROR(VLOOKUP(F124,'LEAID Match'!$A$2:$B$227,2,FALSE),"")</f>
        <v>3803090</v>
      </c>
      <c r="K124">
        <f t="shared" si="4"/>
        <v>8</v>
      </c>
      <c r="L124" cm="1">
        <f t="array" ref="L124">_xlfn.IFS(B124=2015,G124/$P$13,B124=2016,G124/$P$14,B124=2017,G124/$P$15,B124=2018,G124/$P$16,B124=2019,G124/$P$17,B124=2019,G124/$P$18,B124=2020,G124/$P$18,B124=2021,G124/$P$19,B124=2022,G124/$P$20)</f>
        <v>8.9232617144562021E-4</v>
      </c>
    </row>
    <row r="125" spans="1:12" x14ac:dyDescent="0.2">
      <c r="A125">
        <v>3803090</v>
      </c>
      <c r="B125">
        <v>2019</v>
      </c>
      <c r="C125" t="s">
        <v>252</v>
      </c>
      <c r="D125" t="s">
        <v>254</v>
      </c>
      <c r="E125" t="s">
        <v>256</v>
      </c>
      <c r="F125" s="5" t="s">
        <v>192</v>
      </c>
      <c r="G125" s="7">
        <v>78106</v>
      </c>
      <c r="H125" s="7" cm="1">
        <f t="array" ref="H125">_xlfn.IFS(B125=2015,L125*$P$3,B125=2016,L125*$P$4,B125=2017,L125*$P$5,B125=2018,L125*$P$6,B125=2019,L125*$P$7,B125=2020,L125*$P$8,B125=2021,L125*$P$9,B125=2022,L125*$P$10)</f>
        <v>1812.826581018388</v>
      </c>
      <c r="I125" s="7">
        <f t="shared" si="5"/>
        <v>79918.826581018395</v>
      </c>
      <c r="J125">
        <f>IFERROR(VLOOKUP(F125,'LEAID Match'!$A$2:$B$227,2,FALSE),"")</f>
        <v>3803090</v>
      </c>
      <c r="K125">
        <f t="shared" si="4"/>
        <v>8</v>
      </c>
      <c r="L125" cm="1">
        <f t="array" ref="L125">_xlfn.IFS(B125=2015,G125/$P$13,B125=2016,G125/$P$14,B125=2017,G125/$P$15,B125=2018,G125/$P$16,B125=2019,G125/$P$17,B125=2019,G125/$P$18,B125=2020,G125/$P$18,B125=2021,G125/$P$19,B125=2022,G125/$P$20)</f>
        <v>8.7323053035567822E-4</v>
      </c>
    </row>
    <row r="126" spans="1:12" x14ac:dyDescent="0.2">
      <c r="A126">
        <v>3803090</v>
      </c>
      <c r="B126">
        <v>2020</v>
      </c>
      <c r="C126" t="s">
        <v>252</v>
      </c>
      <c r="D126" t="s">
        <v>254</v>
      </c>
      <c r="E126" t="s">
        <v>256</v>
      </c>
      <c r="F126" s="5" t="s">
        <v>192</v>
      </c>
      <c r="G126" s="7">
        <v>79465</v>
      </c>
      <c r="H126" s="7" cm="1">
        <f t="array" ref="H126">_xlfn.IFS(B126=2015,L126*$P$3,B126=2016,L126*$P$4,B126=2017,L126*$P$5,B126=2018,L126*$P$6,B126=2019,L126*$P$7,B126=2020,L126*$P$8,B126=2021,L126*$P$9,B126=2022,L126*$P$10)</f>
        <v>1993.6193666945787</v>
      </c>
      <c r="I126" s="7">
        <f t="shared" si="5"/>
        <v>81458.619366694576</v>
      </c>
      <c r="J126">
        <f>IFERROR(VLOOKUP(F126,'LEAID Match'!$A$2:$B$227,2,FALSE),"")</f>
        <v>3803090</v>
      </c>
      <c r="K126">
        <f t="shared" si="4"/>
        <v>8</v>
      </c>
      <c r="L126" cm="1">
        <f t="array" ref="L126">_xlfn.IFS(B126=2015,G126/$P$13,B126=2016,G126/$P$14,B126=2017,G126/$P$15,B126=2018,G126/$P$16,B126=2019,G126/$P$17,B126=2019,G126/$P$18,B126=2020,G126/$P$18,B126=2021,G126/$P$19,B126=2022,G126/$P$20)</f>
        <v>8.5416425308251017E-4</v>
      </c>
    </row>
    <row r="127" spans="1:12" x14ac:dyDescent="0.2">
      <c r="A127">
        <v>3803090</v>
      </c>
      <c r="B127" s="5">
        <v>2021</v>
      </c>
      <c r="C127" t="s">
        <v>252</v>
      </c>
      <c r="D127" t="s">
        <v>254</v>
      </c>
      <c r="E127" t="s">
        <v>256</v>
      </c>
      <c r="F127" s="5" t="s">
        <v>192</v>
      </c>
      <c r="G127" s="7">
        <v>87070</v>
      </c>
      <c r="H127" s="7" cm="1">
        <f t="array" ref="H127">_xlfn.IFS(B127=2015,L127*$P$3,B127=2016,L127*$P$4,B127=2017,L127*$P$5,B127=2018,L127*$P$6,B127=2019,L127*$P$7,B127=2020,L127*$P$8,B127=2021,L127*$P$9,B127=2022,L127*$P$10)</f>
        <v>2379.1262303589979</v>
      </c>
      <c r="I127" s="7">
        <f t="shared" si="5"/>
        <v>89449.126230359005</v>
      </c>
      <c r="J127">
        <f>IFERROR(VLOOKUP(F127,'LEAID Match'!$A$2:$B$227,2,FALSE),"")</f>
        <v>3803090</v>
      </c>
      <c r="K127">
        <f t="shared" si="4"/>
        <v>8</v>
      </c>
      <c r="L127" cm="1">
        <f t="array" ref="L127">_xlfn.IFS(B127=2015,G127/$P$13,B127=2016,G127/$P$14,B127=2017,G127/$P$15,B127=2018,G127/$P$16,B127=2019,G127/$P$17,B127=2019,G127/$P$18,B127=2020,G127/$P$18,B127=2021,G127/$P$19,B127=2022,G127/$P$20)</f>
        <v>8.8608053272215927E-4</v>
      </c>
    </row>
    <row r="128" spans="1:12" x14ac:dyDescent="0.2">
      <c r="A128">
        <v>3803090</v>
      </c>
      <c r="B128">
        <v>2022</v>
      </c>
      <c r="C128" t="s">
        <v>252</v>
      </c>
      <c r="D128" t="s">
        <v>254</v>
      </c>
      <c r="E128" t="s">
        <v>256</v>
      </c>
      <c r="F128" s="5" t="s">
        <v>192</v>
      </c>
      <c r="G128" s="7">
        <v>88464</v>
      </c>
      <c r="H128" s="7" cm="1">
        <f t="array" ref="H128">_xlfn.IFS(B128=2015,L128*$P$3,B128=2016,L128*$P$4,B128=2017,L128*$P$5,B128=2018,L128*$P$6,B128=2019,L128*$P$7,B128=2020,L128*$P$8,B128=2021,L128*$P$9,B128=2022,L128*$P$10)</f>
        <v>1800.4691335541163</v>
      </c>
      <c r="I128" s="7">
        <f t="shared" si="5"/>
        <v>90264.469133554114</v>
      </c>
      <c r="J128">
        <f>IFERROR(VLOOKUP(F128,'LEAID Match'!$A$2:$B$227,2,FALSE),"")</f>
        <v>3803090</v>
      </c>
      <c r="K128">
        <f t="shared" si="4"/>
        <v>8</v>
      </c>
      <c r="L128" cm="1">
        <f t="array" ref="L128">_xlfn.IFS(B128=2015,G128/$P$13,B128=2016,G128/$P$14,B128=2017,G128/$P$15,B128=2018,G128/$P$16,B128=2019,G128/$P$17,B128=2019,G128/$P$18,B128=2020,G128/$P$18,B128=2021,G128/$P$19,B128=2022,G128/$P$20)</f>
        <v>8.8171847872385719E-4</v>
      </c>
    </row>
    <row r="129" spans="1:12" x14ac:dyDescent="0.2">
      <c r="A129">
        <v>3803200</v>
      </c>
      <c r="B129">
        <v>2015</v>
      </c>
      <c r="C129" t="s">
        <v>252</v>
      </c>
      <c r="D129" t="s">
        <v>254</v>
      </c>
      <c r="E129" t="s">
        <v>256</v>
      </c>
      <c r="F129" s="5" t="s">
        <v>70</v>
      </c>
      <c r="G129" s="7">
        <v>347738</v>
      </c>
      <c r="H129" s="7" cm="1">
        <f t="array" ref="H129">_xlfn.IFS(B129=2015,L129*$P$3,B129=2016,L129*$P$4,B129=2017,L129*$P$5,B129=2018,L129*$P$6,B129=2019,L129*$P$7,B129=2020,L129*$P$8,B129=2021,L129*$P$9,B129=2022,L129*$P$10)</f>
        <v>7861.8077557219203</v>
      </c>
      <c r="I129" s="7">
        <f t="shared" si="5"/>
        <v>355599.80775572191</v>
      </c>
      <c r="J129">
        <f>IFERROR(VLOOKUP(F129,'LEAID Match'!$A$2:$B$227,2,FALSE),"")</f>
        <v>3803200</v>
      </c>
      <c r="K129">
        <f t="shared" si="4"/>
        <v>8</v>
      </c>
      <c r="L129" cm="1">
        <f t="array" ref="L129">_xlfn.IFS(B129=2015,G129/$P$13,B129=2016,G129/$P$14,B129=2017,G129/$P$15,B129=2018,G129/$P$16,B129=2019,G129/$P$17,B129=2019,G129/$P$18,B129=2020,G129/$P$18,B129=2021,G129/$P$19,B129=2022,G129/$P$20)</f>
        <v>4.4341837313716416E-3</v>
      </c>
    </row>
    <row r="130" spans="1:12" x14ac:dyDescent="0.2">
      <c r="A130">
        <v>3803200</v>
      </c>
      <c r="B130">
        <v>2016</v>
      </c>
      <c r="C130" t="s">
        <v>252</v>
      </c>
      <c r="D130" t="s">
        <v>254</v>
      </c>
      <c r="E130" t="s">
        <v>256</v>
      </c>
      <c r="F130" s="5" t="s">
        <v>70</v>
      </c>
      <c r="G130" s="7">
        <v>351666</v>
      </c>
      <c r="H130" s="7" cm="1">
        <f t="array" ref="H130">_xlfn.IFS(B130=2015,L130*$P$3,B130=2016,L130*$P$4,B130=2017,L130*$P$5,B130=2018,L130*$P$6,B130=2019,L130*$P$7,B130=2020,L130*$P$8,B130=2021,L130*$P$9,B130=2022,L130*$P$10)</f>
        <v>11941.541308140393</v>
      </c>
      <c r="I130" s="7">
        <f t="shared" si="5"/>
        <v>363607.54130814038</v>
      </c>
      <c r="J130">
        <f>IFERROR(VLOOKUP(F130,'LEAID Match'!$A$2:$B$227,2,FALSE),"")</f>
        <v>3803200</v>
      </c>
      <c r="K130">
        <f t="shared" ref="K130:K193" si="6">COUNTIF($A$2:$A$1757,A130)</f>
        <v>8</v>
      </c>
      <c r="L130" cm="1">
        <f t="array" ref="L130">_xlfn.IFS(B130=2015,G130/$P$13,B130=2016,G130/$P$14,B130=2017,G130/$P$15,B130=2018,G130/$P$16,B130=2019,G130/$P$17,B130=2019,G130/$P$18,B130=2020,G130/$P$18,B130=2021,G130/$P$19,B130=2022,G130/$P$20)</f>
        <v>4.2451266648206162E-3</v>
      </c>
    </row>
    <row r="131" spans="1:12" x14ac:dyDescent="0.2">
      <c r="A131">
        <v>3803200</v>
      </c>
      <c r="B131">
        <v>2017</v>
      </c>
      <c r="C131" t="s">
        <v>252</v>
      </c>
      <c r="D131" t="s">
        <v>254</v>
      </c>
      <c r="E131" t="s">
        <v>256</v>
      </c>
      <c r="F131" s="5" t="s">
        <v>70</v>
      </c>
      <c r="G131" s="7">
        <v>362051</v>
      </c>
      <c r="H131" s="7" cm="1">
        <f t="array" ref="H131">_xlfn.IFS(B131=2015,L131*$P$3,B131=2016,L131*$P$4,B131=2017,L131*$P$5,B131=2018,L131*$P$6,B131=2019,L131*$P$7,B131=2020,L131*$P$8,B131=2021,L131*$P$9,B131=2022,L131*$P$10)</f>
        <v>11733.36718380767</v>
      </c>
      <c r="I131" s="7">
        <f t="shared" ref="I131:I194" si="7">SUM(G131:H131)</f>
        <v>373784.36718380766</v>
      </c>
      <c r="J131">
        <f>IFERROR(VLOOKUP(F131,'LEAID Match'!$A$2:$B$227,2,FALSE),"")</f>
        <v>3803200</v>
      </c>
      <c r="K131">
        <f t="shared" si="6"/>
        <v>8</v>
      </c>
      <c r="L131" cm="1">
        <f t="array" ref="L131">_xlfn.IFS(B131=2015,G131/$P$13,B131=2016,G131/$P$14,B131=2017,G131/$P$15,B131=2018,G131/$P$16,B131=2019,G131/$P$17,B131=2019,G131/$P$18,B131=2020,G131/$P$18,B131=2021,G131/$P$19,B131=2022,G131/$P$20)</f>
        <v>4.2070158421684007E-3</v>
      </c>
    </row>
    <row r="132" spans="1:12" x14ac:dyDescent="0.2">
      <c r="A132">
        <v>3803200</v>
      </c>
      <c r="B132" s="5">
        <v>2018</v>
      </c>
      <c r="C132" t="s">
        <v>252</v>
      </c>
      <c r="D132" t="s">
        <v>254</v>
      </c>
      <c r="E132" t="s">
        <v>256</v>
      </c>
      <c r="F132" s="5" t="s">
        <v>70</v>
      </c>
      <c r="G132" s="7">
        <v>368098</v>
      </c>
      <c r="H132" s="7" cm="1">
        <f t="array" ref="H132">_xlfn.IFS(B132=2015,L132*$P$3,B132=2016,L132*$P$4,B132=2017,L132*$P$5,B132=2018,L132*$P$6,B132=2019,L132*$P$7,B132=2020,L132*$P$8,B132=2021,L132*$P$9,B132=2022,L132*$P$10)</f>
        <v>10086.249082138991</v>
      </c>
      <c r="I132" s="7">
        <f t="shared" si="7"/>
        <v>378184.24908213899</v>
      </c>
      <c r="J132">
        <f>IFERROR(VLOOKUP(F132,'LEAID Match'!$A$2:$B$227,2,FALSE),"")</f>
        <v>3803200</v>
      </c>
      <c r="K132">
        <f t="shared" si="6"/>
        <v>8</v>
      </c>
      <c r="L132" cm="1">
        <f t="array" ref="L132">_xlfn.IFS(B132=2015,G132/$P$13,B132=2016,G132/$P$14,B132=2017,G132/$P$15,B132=2018,G132/$P$16,B132=2019,G132/$P$17,B132=2019,G132/$P$18,B132=2020,G132/$P$18,B132=2021,G132/$P$19,B132=2022,G132/$P$20)</f>
        <v>4.2468417187953647E-3</v>
      </c>
    </row>
    <row r="133" spans="1:12" x14ac:dyDescent="0.2">
      <c r="A133">
        <v>3803200</v>
      </c>
      <c r="B133">
        <v>2019</v>
      </c>
      <c r="C133" t="s">
        <v>252</v>
      </c>
      <c r="D133" t="s">
        <v>254</v>
      </c>
      <c r="E133" t="s">
        <v>256</v>
      </c>
      <c r="F133" s="5" t="s">
        <v>70</v>
      </c>
      <c r="G133" s="7">
        <v>375516</v>
      </c>
      <c r="H133" s="7" cm="1">
        <f t="array" ref="H133">_xlfn.IFS(B133=2015,L133*$P$3,B133=2016,L133*$P$4,B133=2017,L133*$P$5,B133=2018,L133*$P$6,B133=2019,L133*$P$7,B133=2020,L133*$P$8,B133=2021,L133*$P$9,B133=2022,L133*$P$10)</f>
        <v>8715.6605945471674</v>
      </c>
      <c r="I133" s="7">
        <f t="shared" si="7"/>
        <v>384231.66059454717</v>
      </c>
      <c r="J133">
        <f>IFERROR(VLOOKUP(F133,'LEAID Match'!$A$2:$B$227,2,FALSE),"")</f>
        <v>3803200</v>
      </c>
      <c r="K133">
        <f t="shared" si="6"/>
        <v>8</v>
      </c>
      <c r="L133" cm="1">
        <f t="array" ref="L133">_xlfn.IFS(B133=2015,G133/$P$13,B133=2016,G133/$P$14,B133=2017,G133/$P$15,B133=2018,G133/$P$16,B133=2019,G133/$P$17,B133=2019,G133/$P$18,B133=2020,G133/$P$18,B133=2021,G133/$P$19,B133=2022,G133/$P$20)</f>
        <v>4.1982950840785968E-3</v>
      </c>
    </row>
    <row r="134" spans="1:12" x14ac:dyDescent="0.2">
      <c r="A134">
        <v>3803200</v>
      </c>
      <c r="B134">
        <v>2020</v>
      </c>
      <c r="C134" t="s">
        <v>252</v>
      </c>
      <c r="D134" t="s">
        <v>254</v>
      </c>
      <c r="E134" t="s">
        <v>256</v>
      </c>
      <c r="F134" s="5" t="s">
        <v>70</v>
      </c>
      <c r="G134" s="7">
        <v>413098</v>
      </c>
      <c r="H134" s="7" cm="1">
        <f t="array" ref="H134">_xlfn.IFS(B134=2015,L134*$P$3,B134=2016,L134*$P$4,B134=2017,L134*$P$5,B134=2018,L134*$P$6,B134=2019,L134*$P$7,B134=2020,L134*$P$8,B134=2021,L134*$P$9,B134=2022,L134*$P$10)</f>
        <v>10363.810144627158</v>
      </c>
      <c r="I134" s="7">
        <f t="shared" si="7"/>
        <v>423461.81014462718</v>
      </c>
      <c r="J134">
        <f>IFERROR(VLOOKUP(F134,'LEAID Match'!$A$2:$B$227,2,FALSE),"")</f>
        <v>3803200</v>
      </c>
      <c r="K134">
        <f t="shared" si="6"/>
        <v>8</v>
      </c>
      <c r="L134" cm="1">
        <f t="array" ref="L134">_xlfn.IFS(B134=2015,G134/$P$13,B134=2016,G134/$P$14,B134=2017,G134/$P$15,B134=2018,G134/$P$16,B134=2019,G134/$P$17,B134=2019,G134/$P$18,B134=2020,G134/$P$18,B134=2021,G134/$P$19,B134=2022,G134/$P$20)</f>
        <v>4.4403642436277452E-3</v>
      </c>
    </row>
    <row r="135" spans="1:12" x14ac:dyDescent="0.2">
      <c r="A135">
        <v>3803200</v>
      </c>
      <c r="B135" s="5">
        <v>2021</v>
      </c>
      <c r="C135" t="s">
        <v>252</v>
      </c>
      <c r="D135" t="s">
        <v>254</v>
      </c>
      <c r="E135" t="s">
        <v>256</v>
      </c>
      <c r="F135" s="5" t="s">
        <v>70</v>
      </c>
      <c r="G135" s="7">
        <v>435863</v>
      </c>
      <c r="H135" s="7" cm="1">
        <f t="array" ref="H135">_xlfn.IFS(B135=2015,L135*$P$3,B135=2016,L135*$P$4,B135=2017,L135*$P$5,B135=2018,L135*$P$6,B135=2019,L135*$P$7,B135=2020,L135*$P$8,B135=2021,L135*$P$9,B135=2022,L135*$P$10)</f>
        <v>11909.648514332879</v>
      </c>
      <c r="I135" s="7">
        <f t="shared" si="7"/>
        <v>447772.64851433289</v>
      </c>
      <c r="J135">
        <f>IFERROR(VLOOKUP(F135,'LEAID Match'!$A$2:$B$227,2,FALSE),"")</f>
        <v>3803200</v>
      </c>
      <c r="K135">
        <f t="shared" si="6"/>
        <v>8</v>
      </c>
      <c r="L135" cm="1">
        <f t="array" ref="L135">_xlfn.IFS(B135=2015,G135/$P$13,B135=2016,G135/$P$14,B135=2017,G135/$P$15,B135=2018,G135/$P$16,B135=2019,G135/$P$17,B135=2019,G135/$P$18,B135=2020,G135/$P$18,B135=2021,G135/$P$19,B135=2022,G135/$P$20)</f>
        <v>4.4356232828055417E-3</v>
      </c>
    </row>
    <row r="136" spans="1:12" x14ac:dyDescent="0.2">
      <c r="A136">
        <v>3803200</v>
      </c>
      <c r="B136">
        <v>2022</v>
      </c>
      <c r="C136" t="s">
        <v>252</v>
      </c>
      <c r="D136" t="s">
        <v>254</v>
      </c>
      <c r="E136" t="s">
        <v>256</v>
      </c>
      <c r="F136" s="5" t="s">
        <v>70</v>
      </c>
      <c r="G136" s="7">
        <v>419266</v>
      </c>
      <c r="H136" s="7" cm="1">
        <f t="array" ref="H136">_xlfn.IFS(B136=2015,L136*$P$3,B136=2016,L136*$P$4,B136=2017,L136*$P$5,B136=2018,L136*$P$6,B136=2019,L136*$P$7,B136=2020,L136*$P$8,B136=2021,L136*$P$9,B136=2022,L136*$P$10)</f>
        <v>8533.1376802846371</v>
      </c>
      <c r="I136" s="7">
        <f t="shared" si="7"/>
        <v>427799.13768028462</v>
      </c>
      <c r="J136">
        <f>IFERROR(VLOOKUP(F136,'LEAID Match'!$A$2:$B$227,2,FALSE),"")</f>
        <v>3803200</v>
      </c>
      <c r="K136">
        <f t="shared" si="6"/>
        <v>8</v>
      </c>
      <c r="L136" cm="1">
        <f t="array" ref="L136">_xlfn.IFS(B136=2015,G136/$P$13,B136=2016,G136/$P$14,B136=2017,G136/$P$15,B136=2018,G136/$P$16,B136=2019,G136/$P$17,B136=2019,G136/$P$18,B136=2020,G136/$P$18,B136=2021,G136/$P$19,B136=2022,G136/$P$20)</f>
        <v>4.1788137513636813E-3</v>
      </c>
    </row>
    <row r="137" spans="1:12" x14ac:dyDescent="0.2">
      <c r="A137">
        <v>3803590</v>
      </c>
      <c r="B137">
        <v>2015</v>
      </c>
      <c r="C137" t="s">
        <v>252</v>
      </c>
      <c r="D137" t="s">
        <v>254</v>
      </c>
      <c r="E137" t="s">
        <v>256</v>
      </c>
      <c r="F137" s="5" t="s">
        <v>71</v>
      </c>
      <c r="G137" s="7">
        <v>95122</v>
      </c>
      <c r="H137" s="7" cm="1">
        <f t="array" ref="H137">_xlfn.IFS(B137=2015,L137*$P$3,B137=2016,L137*$P$4,B137=2017,L137*$P$5,B137=2018,L137*$P$6,B137=2019,L137*$P$7,B137=2020,L137*$P$8,B137=2021,L137*$P$9,B137=2022,L137*$P$10)</f>
        <v>2150.5584012669897</v>
      </c>
      <c r="I137" s="7">
        <f t="shared" si="7"/>
        <v>97272.558401266986</v>
      </c>
      <c r="J137">
        <f>IFERROR(VLOOKUP(F137,'LEAID Match'!$A$2:$B$227,2,FALSE),"")</f>
        <v>3803590</v>
      </c>
      <c r="K137">
        <f t="shared" si="6"/>
        <v>8</v>
      </c>
      <c r="L137" cm="1">
        <f t="array" ref="L137">_xlfn.IFS(B137=2015,G137/$P$13,B137=2016,G137/$P$14,B137=2017,G137/$P$15,B137=2018,G137/$P$16,B137=2019,G137/$P$17,B137=2019,G137/$P$18,B137=2020,G137/$P$18,B137=2021,G137/$P$19,B137=2022,G137/$P$20)</f>
        <v>1.2129489008838069E-3</v>
      </c>
    </row>
    <row r="138" spans="1:12" x14ac:dyDescent="0.2">
      <c r="A138">
        <v>3803590</v>
      </c>
      <c r="B138">
        <v>2016</v>
      </c>
      <c r="C138" t="s">
        <v>252</v>
      </c>
      <c r="D138" t="s">
        <v>254</v>
      </c>
      <c r="E138" t="s">
        <v>256</v>
      </c>
      <c r="F138" s="5" t="s">
        <v>71</v>
      </c>
      <c r="G138" s="7">
        <v>121741</v>
      </c>
      <c r="H138" s="7" cm="1">
        <f t="array" ref="H138">_xlfn.IFS(B138=2015,L138*$P$3,B138=2016,L138*$P$4,B138=2017,L138*$P$5,B138=2018,L138*$P$6,B138=2019,L138*$P$7,B138=2020,L138*$P$8,B138=2021,L138*$P$9,B138=2022,L138*$P$10)</f>
        <v>4133.9656958429869</v>
      </c>
      <c r="I138" s="7">
        <f t="shared" si="7"/>
        <v>125874.96569584298</v>
      </c>
      <c r="J138">
        <f>IFERROR(VLOOKUP(F138,'LEAID Match'!$A$2:$B$227,2,FALSE),"")</f>
        <v>3803590</v>
      </c>
      <c r="K138">
        <f t="shared" si="6"/>
        <v>8</v>
      </c>
      <c r="L138" cm="1">
        <f t="array" ref="L138">_xlfn.IFS(B138=2015,G138/$P$13,B138=2016,G138/$P$14,B138=2017,G138/$P$15,B138=2018,G138/$P$16,B138=2019,G138/$P$17,B138=2019,G138/$P$18,B138=2020,G138/$P$18,B138=2021,G138/$P$19,B138=2022,G138/$P$20)</f>
        <v>1.4695932086181964E-3</v>
      </c>
    </row>
    <row r="139" spans="1:12" x14ac:dyDescent="0.2">
      <c r="A139">
        <v>3803590</v>
      </c>
      <c r="B139">
        <v>2017</v>
      </c>
      <c r="C139" t="s">
        <v>252</v>
      </c>
      <c r="D139" t="s">
        <v>254</v>
      </c>
      <c r="E139" t="s">
        <v>256</v>
      </c>
      <c r="F139" s="5" t="s">
        <v>71</v>
      </c>
      <c r="G139" s="7">
        <v>119407</v>
      </c>
      <c r="H139" s="7" cm="1">
        <f t="array" ref="H139">_xlfn.IFS(B139=2015,L139*$P$3,B139=2016,L139*$P$4,B139=2017,L139*$P$5,B139=2018,L139*$P$6,B139=2019,L139*$P$7,B139=2020,L139*$P$8,B139=2021,L139*$P$9,B139=2022,L139*$P$10)</f>
        <v>3869.7481164723267</v>
      </c>
      <c r="I139" s="7">
        <f t="shared" si="7"/>
        <v>123276.74811647233</v>
      </c>
      <c r="J139">
        <f>IFERROR(VLOOKUP(F139,'LEAID Match'!$A$2:$B$227,2,FALSE),"")</f>
        <v>3803590</v>
      </c>
      <c r="K139">
        <f t="shared" si="6"/>
        <v>8</v>
      </c>
      <c r="L139" cm="1">
        <f t="array" ref="L139">_xlfn.IFS(B139=2015,G139/$P$13,B139=2016,G139/$P$14,B139=2017,G139/$P$15,B139=2018,G139/$P$16,B139=2019,G139/$P$17,B139=2019,G139/$P$18,B139=2020,G139/$P$18,B139=2021,G139/$P$19,B139=2022,G139/$P$20)</f>
        <v>1.3875038065515692E-3</v>
      </c>
    </row>
    <row r="140" spans="1:12" x14ac:dyDescent="0.2">
      <c r="A140">
        <v>3803590</v>
      </c>
      <c r="B140" s="5">
        <v>2018</v>
      </c>
      <c r="C140" t="s">
        <v>252</v>
      </c>
      <c r="D140" t="s">
        <v>254</v>
      </c>
      <c r="E140" t="s">
        <v>256</v>
      </c>
      <c r="F140" s="5" t="s">
        <v>71</v>
      </c>
      <c r="G140" s="7">
        <v>132831</v>
      </c>
      <c r="H140" s="7" cm="1">
        <f t="array" ref="H140">_xlfn.IFS(B140=2015,L140*$P$3,B140=2016,L140*$P$4,B140=2017,L140*$P$5,B140=2018,L140*$P$6,B140=2019,L140*$P$7,B140=2020,L140*$P$8,B140=2021,L140*$P$9,B140=2022,L140*$P$10)</f>
        <v>3639.7007096740663</v>
      </c>
      <c r="I140" s="7">
        <f t="shared" si="7"/>
        <v>136470.70070967407</v>
      </c>
      <c r="J140">
        <f>IFERROR(VLOOKUP(F140,'LEAID Match'!$A$2:$B$227,2,FALSE),"")</f>
        <v>3803590</v>
      </c>
      <c r="K140">
        <f t="shared" si="6"/>
        <v>8</v>
      </c>
      <c r="L140" cm="1">
        <f t="array" ref="L140">_xlfn.IFS(B140=2015,G140/$P$13,B140=2016,G140/$P$14,B140=2017,G140/$P$15,B140=2018,G140/$P$16,B140=2019,G140/$P$17,B140=2019,G140/$P$18,B140=2020,G140/$P$18,B140=2021,G140/$P$19,B140=2022,G140/$P$20)</f>
        <v>1.5325055619680279E-3</v>
      </c>
    </row>
    <row r="141" spans="1:12" x14ac:dyDescent="0.2">
      <c r="A141">
        <v>3803590</v>
      </c>
      <c r="B141">
        <v>2019</v>
      </c>
      <c r="C141" t="s">
        <v>252</v>
      </c>
      <c r="D141" t="s">
        <v>254</v>
      </c>
      <c r="E141" t="s">
        <v>256</v>
      </c>
      <c r="F141" s="5" t="s">
        <v>71</v>
      </c>
      <c r="G141" s="7">
        <v>127963</v>
      </c>
      <c r="H141" s="7" cm="1">
        <f t="array" ref="H141">_xlfn.IFS(B141=2015,L141*$P$3,B141=2016,L141*$P$4,B141=2017,L141*$P$5,B141=2018,L141*$P$6,B141=2019,L141*$P$7,B141=2020,L141*$P$8,B141=2021,L141*$P$9,B141=2022,L141*$P$10)</f>
        <v>2969.9988193846311</v>
      </c>
      <c r="I141" s="7">
        <f t="shared" si="7"/>
        <v>130932.99881938464</v>
      </c>
      <c r="J141">
        <f>IFERROR(VLOOKUP(F141,'LEAID Match'!$A$2:$B$227,2,FALSE),"")</f>
        <v>3803590</v>
      </c>
      <c r="K141">
        <f t="shared" si="6"/>
        <v>8</v>
      </c>
      <c r="L141" cm="1">
        <f t="array" ref="L141">_xlfn.IFS(B141=2015,G141/$P$13,B141=2016,G141/$P$14,B141=2017,G141/$P$15,B141=2018,G141/$P$16,B141=2019,G141/$P$17,B141=2019,G141/$P$18,B141=2020,G141/$P$18,B141=2021,G141/$P$19,B141=2022,G141/$P$20)</f>
        <v>1.4306352694530978E-3</v>
      </c>
    </row>
    <row r="142" spans="1:12" x14ac:dyDescent="0.2">
      <c r="A142">
        <v>3803590</v>
      </c>
      <c r="B142">
        <v>2020</v>
      </c>
      <c r="C142" t="s">
        <v>252</v>
      </c>
      <c r="D142" t="s">
        <v>254</v>
      </c>
      <c r="E142" t="s">
        <v>256</v>
      </c>
      <c r="F142" s="5" t="s">
        <v>71</v>
      </c>
      <c r="G142" s="7">
        <v>108166</v>
      </c>
      <c r="H142" s="7" cm="1">
        <f t="array" ref="H142">_xlfn.IFS(B142=2015,L142*$P$3,B142=2016,L142*$P$4,B142=2017,L142*$P$5,B142=2018,L142*$P$6,B142=2019,L142*$P$7,B142=2020,L142*$P$8,B142=2021,L142*$P$9,B142=2022,L142*$P$10)</f>
        <v>2713.6705772086557</v>
      </c>
      <c r="I142" s="7">
        <f t="shared" si="7"/>
        <v>110879.67057720866</v>
      </c>
      <c r="J142">
        <f>IFERROR(VLOOKUP(F142,'LEAID Match'!$A$2:$B$227,2,FALSE),"")</f>
        <v>3803590</v>
      </c>
      <c r="K142">
        <f t="shared" si="6"/>
        <v>8</v>
      </c>
      <c r="L142" cm="1">
        <f t="array" ref="L142">_xlfn.IFS(B142=2015,G142/$P$13,B142=2016,G142/$P$14,B142=2017,G142/$P$15,B142=2018,G142/$P$16,B142=2019,G142/$P$17,B142=2019,G142/$P$18,B142=2020,G142/$P$18,B142=2021,G142/$P$19,B142=2022,G142/$P$20)</f>
        <v>1.1626694846652338E-3</v>
      </c>
    </row>
    <row r="143" spans="1:12" x14ac:dyDescent="0.2">
      <c r="A143">
        <v>3803590</v>
      </c>
      <c r="B143" s="5">
        <v>2021</v>
      </c>
      <c r="C143" t="s">
        <v>252</v>
      </c>
      <c r="D143" t="s">
        <v>254</v>
      </c>
      <c r="E143" t="s">
        <v>256</v>
      </c>
      <c r="F143" s="5" t="s">
        <v>71</v>
      </c>
      <c r="G143" s="7">
        <v>119461</v>
      </c>
      <c r="H143" s="7" cm="1">
        <f t="array" ref="H143">_xlfn.IFS(B143=2015,L143*$P$3,B143=2016,L143*$P$4,B143=2017,L143*$P$5,B143=2018,L143*$P$6,B143=2019,L143*$P$7,B143=2020,L143*$P$8,B143=2021,L143*$P$9,B143=2022,L143*$P$10)</f>
        <v>3264.1874193742528</v>
      </c>
      <c r="I143" s="7">
        <f t="shared" si="7"/>
        <v>122725.18741937426</v>
      </c>
      <c r="J143">
        <f>IFERROR(VLOOKUP(F143,'LEAID Match'!$A$2:$B$227,2,FALSE),"")</f>
        <v>3803590</v>
      </c>
      <c r="K143">
        <f t="shared" si="6"/>
        <v>8</v>
      </c>
      <c r="L143" cm="1">
        <f t="array" ref="L143">_xlfn.IFS(B143=2015,G143/$P$13,B143=2016,G143/$P$14,B143=2017,G143/$P$15,B143=2018,G143/$P$16,B143=2019,G143/$P$17,B143=2019,G143/$P$18,B143=2020,G143/$P$18,B143=2021,G143/$P$19,B143=2022,G143/$P$20)</f>
        <v>1.2157122604745821E-3</v>
      </c>
    </row>
    <row r="144" spans="1:12" x14ac:dyDescent="0.2">
      <c r="A144">
        <v>3803590</v>
      </c>
      <c r="B144">
        <v>2022</v>
      </c>
      <c r="C144" t="s">
        <v>252</v>
      </c>
      <c r="D144" t="s">
        <v>254</v>
      </c>
      <c r="E144" t="s">
        <v>256</v>
      </c>
      <c r="F144" s="5" t="s">
        <v>71</v>
      </c>
      <c r="G144" s="7">
        <v>113931</v>
      </c>
      <c r="H144" s="7" cm="1">
        <f t="array" ref="H144">_xlfn.IFS(B144=2015,L144*$P$3,B144=2016,L144*$P$4,B144=2017,L144*$P$5,B144=2018,L144*$P$6,B144=2019,L144*$P$7,B144=2020,L144*$P$8,B144=2021,L144*$P$9,B144=2022,L144*$P$10)</f>
        <v>2318.7878555678471</v>
      </c>
      <c r="I144" s="7">
        <f t="shared" si="7"/>
        <v>116249.78785556785</v>
      </c>
      <c r="J144">
        <f>IFERROR(VLOOKUP(F144,'LEAID Match'!$A$2:$B$227,2,FALSE),"")</f>
        <v>3803590</v>
      </c>
      <c r="K144">
        <f t="shared" si="6"/>
        <v>8</v>
      </c>
      <c r="L144" cm="1">
        <f t="array" ref="L144">_xlfn.IFS(B144=2015,G144/$P$13,B144=2016,G144/$P$14,B144=2017,G144/$P$15,B144=2018,G144/$P$16,B144=2019,G144/$P$17,B144=2019,G144/$P$18,B144=2020,G144/$P$18,B144=2021,G144/$P$19,B144=2022,G144/$P$20)</f>
        <v>1.1355474317178487E-3</v>
      </c>
    </row>
    <row r="145" spans="1:12" x14ac:dyDescent="0.2">
      <c r="A145">
        <v>3880120</v>
      </c>
      <c r="B145">
        <v>2015</v>
      </c>
      <c r="C145" t="s">
        <v>252</v>
      </c>
      <c r="D145" t="s">
        <v>254</v>
      </c>
      <c r="E145" t="s">
        <v>256</v>
      </c>
      <c r="F145" s="5" t="s">
        <v>72</v>
      </c>
      <c r="G145" s="7">
        <v>11148</v>
      </c>
      <c r="H145" s="7" cm="1">
        <f t="array" ref="H145">_xlfn.IFS(B145=2015,L145*$P$3,B145=2016,L145*$P$4,B145=2017,L145*$P$5,B145=2018,L145*$P$6,B145=2019,L145*$P$7,B145=2020,L145*$P$8,B145=2021,L145*$P$9,B145=2022,L145*$P$10)</f>
        <v>252.0386982751036</v>
      </c>
      <c r="I145" s="7">
        <f t="shared" si="7"/>
        <v>11400.038698275104</v>
      </c>
      <c r="J145">
        <f>IFERROR(VLOOKUP(F145,'LEAID Match'!$A$2:$B$227,2,FALSE),"")</f>
        <v>3880120</v>
      </c>
      <c r="K145">
        <f t="shared" si="6"/>
        <v>8</v>
      </c>
      <c r="L145" cm="1">
        <f t="array" ref="L145">_xlfn.IFS(B145=2015,G145/$P$13,B145=2016,G145/$P$14,B145=2017,G145/$P$15,B145=2018,G145/$P$16,B145=2019,G145/$P$17,B145=2019,G145/$P$18,B145=2020,G145/$P$18,B145=2021,G145/$P$19,B145=2022,G145/$P$20)</f>
        <v>1.4215380613373017E-4</v>
      </c>
    </row>
    <row r="146" spans="1:12" x14ac:dyDescent="0.2">
      <c r="A146">
        <v>3880120</v>
      </c>
      <c r="B146">
        <v>2016</v>
      </c>
      <c r="C146" t="s">
        <v>252</v>
      </c>
      <c r="D146" t="s">
        <v>254</v>
      </c>
      <c r="E146" t="s">
        <v>256</v>
      </c>
      <c r="F146" s="5" t="s">
        <v>72</v>
      </c>
      <c r="G146" s="7">
        <v>10957</v>
      </c>
      <c r="H146" s="7" cm="1">
        <f t="array" ref="H146">_xlfn.IFS(B146=2015,L146*$P$3,B146=2016,L146*$P$4,B146=2017,L146*$P$5,B146=2018,L146*$P$6,B146=2019,L146*$P$7,B146=2020,L146*$P$8,B146=2021,L146*$P$9,B146=2022,L146*$P$10)</f>
        <v>372.06743931257012</v>
      </c>
      <c r="I146" s="7">
        <f t="shared" si="7"/>
        <v>11329.06743931257</v>
      </c>
      <c r="J146">
        <f>IFERROR(VLOOKUP(F146,'LEAID Match'!$A$2:$B$227,2,FALSE),"")</f>
        <v>3880120</v>
      </c>
      <c r="K146">
        <f t="shared" si="6"/>
        <v>8</v>
      </c>
      <c r="L146" cm="1">
        <f t="array" ref="L146">_xlfn.IFS(B146=2015,G146/$P$13,B146=2016,G146/$P$14,B146=2017,G146/$P$15,B146=2018,G146/$P$16,B146=2019,G146/$P$17,B146=2019,G146/$P$18,B146=2020,G146/$P$18,B146=2021,G146/$P$19,B146=2022,G146/$P$20)</f>
        <v>1.3226713093230364E-4</v>
      </c>
    </row>
    <row r="147" spans="1:12" x14ac:dyDescent="0.2">
      <c r="A147">
        <v>3880120</v>
      </c>
      <c r="B147">
        <v>2017</v>
      </c>
      <c r="C147" t="s">
        <v>252</v>
      </c>
      <c r="D147" t="s">
        <v>254</v>
      </c>
      <c r="E147" t="s">
        <v>256</v>
      </c>
      <c r="F147" s="5" t="s">
        <v>72</v>
      </c>
      <c r="G147" s="7">
        <v>12201</v>
      </c>
      <c r="H147" s="7" cm="1">
        <f t="array" ref="H147">_xlfn.IFS(B147=2015,L147*$P$3,B147=2016,L147*$P$4,B147=2017,L147*$P$5,B147=2018,L147*$P$6,B147=2019,L147*$P$7,B147=2020,L147*$P$8,B147=2021,L147*$P$9,B147=2022,L147*$P$10)</f>
        <v>395.41062725869386</v>
      </c>
      <c r="I147" s="7">
        <f t="shared" si="7"/>
        <v>12596.410627258694</v>
      </c>
      <c r="J147">
        <f>IFERROR(VLOOKUP(F147,'LEAID Match'!$A$2:$B$227,2,FALSE),"")</f>
        <v>3880120</v>
      </c>
      <c r="K147">
        <f t="shared" si="6"/>
        <v>8</v>
      </c>
      <c r="L147" cm="1">
        <f t="array" ref="L147">_xlfn.IFS(B147=2015,G147/$P$13,B147=2016,G147/$P$14,B147=2017,G147/$P$15,B147=2018,G147/$P$16,B147=2019,G147/$P$17,B147=2019,G147/$P$18,B147=2020,G147/$P$18,B147=2021,G147/$P$19,B147=2022,G147/$P$20)</f>
        <v>1.4177505459257578E-4</v>
      </c>
    </row>
    <row r="148" spans="1:12" x14ac:dyDescent="0.2">
      <c r="A148">
        <v>3880120</v>
      </c>
      <c r="B148" s="5">
        <v>2018</v>
      </c>
      <c r="C148" t="s">
        <v>252</v>
      </c>
      <c r="D148" t="s">
        <v>254</v>
      </c>
      <c r="E148" t="s">
        <v>256</v>
      </c>
      <c r="F148" s="5" t="s">
        <v>72</v>
      </c>
      <c r="G148" s="7">
        <v>13200</v>
      </c>
      <c r="H148" s="7" cm="1">
        <f t="array" ref="H148">_xlfn.IFS(B148=2015,L148*$P$3,B148=2016,L148*$P$4,B148=2017,L148*$P$5,B148=2018,L148*$P$6,B148=2019,L148*$P$7,B148=2020,L148*$P$8,B148=2021,L148*$P$9,B148=2022,L148*$P$10)</f>
        <v>361.69304881915878</v>
      </c>
      <c r="I148" s="7">
        <f t="shared" si="7"/>
        <v>13561.693048819159</v>
      </c>
      <c r="J148">
        <f>IFERROR(VLOOKUP(F148,'LEAID Match'!$A$2:$B$227,2,FALSE),"")</f>
        <v>3880120</v>
      </c>
      <c r="K148">
        <f t="shared" si="6"/>
        <v>8</v>
      </c>
      <c r="L148" cm="1">
        <f t="array" ref="L148">_xlfn.IFS(B148=2015,G148/$P$13,B148=2016,G148/$P$14,B148=2017,G148/$P$15,B148=2018,G148/$P$16,B148=2019,G148/$P$17,B148=2019,G148/$P$18,B148=2020,G148/$P$18,B148=2021,G148/$P$19,B148=2022,G148/$P$20)</f>
        <v>1.5229181002911947E-4</v>
      </c>
    </row>
    <row r="149" spans="1:12" x14ac:dyDescent="0.2">
      <c r="A149">
        <v>3880120</v>
      </c>
      <c r="B149">
        <v>2019</v>
      </c>
      <c r="C149" t="s">
        <v>252</v>
      </c>
      <c r="D149" t="s">
        <v>254</v>
      </c>
      <c r="E149" t="s">
        <v>256</v>
      </c>
      <c r="F149" s="5" t="s">
        <v>72</v>
      </c>
      <c r="G149" s="7">
        <v>14975</v>
      </c>
      <c r="H149" s="7" cm="1">
        <f t="array" ref="H149">_xlfn.IFS(B149=2015,L149*$P$3,B149=2016,L149*$P$4,B149=2017,L149*$P$5,B149=2018,L149*$P$6,B149=2019,L149*$P$7,B149=2020,L149*$P$8,B149=2021,L149*$P$9,B149=2022,L149*$P$10)</f>
        <v>347.56712737498225</v>
      </c>
      <c r="I149" s="7">
        <f t="shared" si="7"/>
        <v>15322.567127374983</v>
      </c>
      <c r="J149">
        <f>IFERROR(VLOOKUP(F149,'LEAID Match'!$A$2:$B$227,2,FALSE),"")</f>
        <v>3880120</v>
      </c>
      <c r="K149">
        <f t="shared" si="6"/>
        <v>8</v>
      </c>
      <c r="L149" cm="1">
        <f t="array" ref="L149">_xlfn.IFS(B149=2015,G149/$P$13,B149=2016,G149/$P$14,B149=2017,G149/$P$15,B149=2018,G149/$P$16,B149=2019,G149/$P$17,B149=2019,G149/$P$18,B149=2020,G149/$P$18,B149=2021,G149/$P$19,B149=2022,G149/$P$20)</f>
        <v>1.6742154497831514E-4</v>
      </c>
    </row>
    <row r="150" spans="1:12" x14ac:dyDescent="0.2">
      <c r="A150">
        <v>3880120</v>
      </c>
      <c r="B150">
        <v>2020</v>
      </c>
      <c r="C150" t="s">
        <v>252</v>
      </c>
      <c r="D150" t="s">
        <v>254</v>
      </c>
      <c r="E150" t="s">
        <v>256</v>
      </c>
      <c r="F150" s="5" t="s">
        <v>72</v>
      </c>
      <c r="G150" s="7">
        <v>14882</v>
      </c>
      <c r="H150" s="7" cm="1">
        <f t="array" ref="H150">_xlfn.IFS(B150=2015,L150*$P$3,B150=2016,L150*$P$4,B150=2017,L150*$P$5,B150=2018,L150*$P$6,B150=2019,L150*$P$7,B150=2020,L150*$P$8,B150=2021,L150*$P$9,B150=2022,L150*$P$10)</f>
        <v>373.35988693322497</v>
      </c>
      <c r="I150" s="7">
        <f t="shared" si="7"/>
        <v>15255.359886933225</v>
      </c>
      <c r="J150">
        <f>IFERROR(VLOOKUP(F150,'LEAID Match'!$A$2:$B$227,2,FALSE),"")</f>
        <v>3880120</v>
      </c>
      <c r="K150">
        <f t="shared" si="6"/>
        <v>8</v>
      </c>
      <c r="L150" cm="1">
        <f t="array" ref="L150">_xlfn.IFS(B150=2015,G150/$P$13,B150=2016,G150/$P$14,B150=2017,G150/$P$15,B150=2018,G150/$P$16,B150=2019,G150/$P$17,B150=2019,G150/$P$18,B150=2020,G150/$P$18,B150=2021,G150/$P$19,B150=2022,G150/$P$20)</f>
        <v>1.5996567563548628E-4</v>
      </c>
    </row>
    <row r="151" spans="1:12" x14ac:dyDescent="0.2">
      <c r="A151">
        <v>3880120</v>
      </c>
      <c r="B151" s="5">
        <v>2021</v>
      </c>
      <c r="C151" t="s">
        <v>252</v>
      </c>
      <c r="D151" t="s">
        <v>254</v>
      </c>
      <c r="E151" t="s">
        <v>256</v>
      </c>
      <c r="F151" s="5" t="s">
        <v>72</v>
      </c>
      <c r="G151" s="7">
        <v>15377</v>
      </c>
      <c r="H151" s="7" cm="1">
        <f t="array" ref="H151">_xlfn.IFS(B151=2015,L151*$P$3,B151=2016,L151*$P$4,B151=2017,L151*$P$5,B151=2018,L151*$P$6,B151=2019,L151*$P$7,B151=2020,L151*$P$8,B151=2021,L151*$P$9,B151=2022,L151*$P$10)</f>
        <v>420.16566032192839</v>
      </c>
      <c r="I151" s="7">
        <f t="shared" si="7"/>
        <v>15797.165660321929</v>
      </c>
      <c r="J151">
        <f>IFERROR(VLOOKUP(F151,'LEAID Match'!$A$2:$B$227,2,FALSE),"")</f>
        <v>3880120</v>
      </c>
      <c r="K151">
        <f t="shared" si="6"/>
        <v>8</v>
      </c>
      <c r="L151" cm="1">
        <f t="array" ref="L151">_xlfn.IFS(B151=2015,G151/$P$13,B151=2016,G151/$P$14,B151=2017,G151/$P$15,B151=2018,G151/$P$16,B151=2019,G151/$P$17,B151=2019,G151/$P$18,B151=2020,G151/$P$18,B151=2021,G151/$P$19,B151=2022,G151/$P$20)</f>
        <v>1.5648627944950778E-4</v>
      </c>
    </row>
    <row r="152" spans="1:12" x14ac:dyDescent="0.2">
      <c r="A152">
        <v>3880120</v>
      </c>
      <c r="B152">
        <v>2022</v>
      </c>
      <c r="C152" t="s">
        <v>252</v>
      </c>
      <c r="D152" t="s">
        <v>254</v>
      </c>
      <c r="E152" t="s">
        <v>256</v>
      </c>
      <c r="F152" s="5" t="s">
        <v>72</v>
      </c>
      <c r="G152" s="7">
        <v>15660</v>
      </c>
      <c r="H152" s="7" cm="1">
        <f t="array" ref="H152">_xlfn.IFS(B152=2015,L152*$P$3,B152=2016,L152*$P$4,B152=2017,L152*$P$5,B152=2018,L152*$P$6,B152=2019,L152*$P$7,B152=2020,L152*$P$8,B152=2021,L152*$P$9,B152=2022,L152*$P$10)</f>
        <v>318.7211366370214</v>
      </c>
      <c r="I152" s="7">
        <f t="shared" si="7"/>
        <v>15978.721136637021</v>
      </c>
      <c r="J152">
        <f>IFERROR(VLOOKUP(F152,'LEAID Match'!$A$2:$B$227,2,FALSE),"")</f>
        <v>3880120</v>
      </c>
      <c r="K152">
        <f t="shared" si="6"/>
        <v>8</v>
      </c>
      <c r="L152" cm="1">
        <f t="array" ref="L152">_xlfn.IFS(B152=2015,G152/$P$13,B152=2016,G152/$P$14,B152=2017,G152/$P$15,B152=2018,G152/$P$16,B152=2019,G152/$P$17,B152=2019,G152/$P$18,B152=2020,G152/$P$18,B152=2021,G152/$P$19,B152=2022,G152/$P$20)</f>
        <v>1.560828289113719E-4</v>
      </c>
    </row>
    <row r="153" spans="1:12" x14ac:dyDescent="0.2">
      <c r="A153">
        <v>3800053</v>
      </c>
      <c r="B153">
        <v>2015</v>
      </c>
      <c r="C153" t="s">
        <v>252</v>
      </c>
      <c r="D153" t="s">
        <v>254</v>
      </c>
      <c r="E153" t="s">
        <v>256</v>
      </c>
      <c r="F153" s="5" t="s">
        <v>190</v>
      </c>
      <c r="G153" s="7">
        <v>363599</v>
      </c>
      <c r="H153" s="7" cm="1">
        <f t="array" ref="H153">_xlfn.IFS(B153=2015,L153*$P$3,B153=2016,L153*$P$4,B153=2017,L153*$P$5,B153=2018,L153*$P$6,B153=2019,L153*$P$7,B153=2020,L153*$P$8,B153=2021,L153*$P$9,B153=2022,L153*$P$10)</f>
        <v>8220.399951034211</v>
      </c>
      <c r="I153" s="7">
        <f t="shared" si="7"/>
        <v>371819.39995103423</v>
      </c>
      <c r="J153">
        <f>IFERROR(VLOOKUP(F153,'LEAID Match'!$A$2:$B$227,2,FALSE),"")</f>
        <v>3800053</v>
      </c>
      <c r="K153">
        <f t="shared" si="6"/>
        <v>8</v>
      </c>
      <c r="L153" cm="1">
        <f t="array" ref="L153">_xlfn.IFS(B153=2015,G153/$P$13,B153=2016,G153/$P$14,B153=2017,G153/$P$15,B153=2018,G153/$P$16,B153=2019,G153/$P$17,B153=2019,G153/$P$18,B153=2020,G153/$P$18,B153=2021,G153/$P$19,B153=2022,G153/$P$20)</f>
        <v>4.6364353925742868E-3</v>
      </c>
    </row>
    <row r="154" spans="1:12" x14ac:dyDescent="0.2">
      <c r="A154">
        <v>3800053</v>
      </c>
      <c r="B154">
        <v>2016</v>
      </c>
      <c r="C154" t="s">
        <v>252</v>
      </c>
      <c r="D154" t="s">
        <v>254</v>
      </c>
      <c r="E154" t="s">
        <v>256</v>
      </c>
      <c r="F154" s="5" t="s">
        <v>190</v>
      </c>
      <c r="G154" s="7">
        <v>377867</v>
      </c>
      <c r="H154" s="7" cm="1">
        <f t="array" ref="H154">_xlfn.IFS(B154=2015,L154*$P$3,B154=2016,L154*$P$4,B154=2017,L154*$P$5,B154=2018,L154*$P$6,B154=2019,L154*$P$7,B154=2020,L154*$P$8,B154=2021,L154*$P$9,B154=2022,L154*$P$10)</f>
        <v>12831.250076729302</v>
      </c>
      <c r="I154" s="7">
        <f t="shared" si="7"/>
        <v>390698.25007672928</v>
      </c>
      <c r="J154">
        <f>IFERROR(VLOOKUP(F154,'LEAID Match'!$A$2:$B$227,2,FALSE),"")</f>
        <v>3800053</v>
      </c>
      <c r="K154">
        <f t="shared" si="6"/>
        <v>8</v>
      </c>
      <c r="L154" cm="1">
        <f t="array" ref="L154">_xlfn.IFS(B154=2015,G154/$P$13,B154=2016,G154/$P$14,B154=2017,G154/$P$15,B154=2018,G154/$P$16,B154=2019,G154/$P$17,B154=2019,G154/$P$18,B154=2020,G154/$P$18,B154=2021,G154/$P$19,B154=2022,G154/$P$20)</f>
        <v>4.5614113319336303E-3</v>
      </c>
    </row>
    <row r="155" spans="1:12" x14ac:dyDescent="0.2">
      <c r="A155">
        <v>3800053</v>
      </c>
      <c r="B155">
        <v>2017</v>
      </c>
      <c r="C155" t="s">
        <v>252</v>
      </c>
      <c r="D155" t="s">
        <v>254</v>
      </c>
      <c r="E155" t="s">
        <v>256</v>
      </c>
      <c r="F155" s="5" t="s">
        <v>190</v>
      </c>
      <c r="G155" s="7">
        <v>367896</v>
      </c>
      <c r="H155" s="7" cm="1">
        <f t="array" ref="H155">_xlfn.IFS(B155=2015,L155*$P$3,B155=2016,L155*$P$4,B155=2017,L155*$P$5,B155=2018,L155*$P$6,B155=2019,L155*$P$7,B155=2020,L155*$P$8,B155=2021,L155*$P$9,B155=2022,L155*$P$10)</f>
        <v>11922.792240469176</v>
      </c>
      <c r="I155" s="7">
        <f t="shared" si="7"/>
        <v>379818.79224046919</v>
      </c>
      <c r="J155">
        <f>IFERROR(VLOOKUP(F155,'LEAID Match'!$A$2:$B$227,2,FALSE),"")</f>
        <v>3800053</v>
      </c>
      <c r="K155">
        <f t="shared" si="6"/>
        <v>8</v>
      </c>
      <c r="L155" cm="1">
        <f t="array" ref="L155">_xlfn.IFS(B155=2015,G155/$P$13,B155=2016,G155/$P$14,B155=2017,G155/$P$15,B155=2018,G155/$P$16,B155=2019,G155/$P$17,B155=2019,G155/$P$18,B155=2020,G155/$P$18,B155=2021,G155/$P$19,B155=2022,G155/$P$20)</f>
        <v>4.2749344713048322E-3</v>
      </c>
    </row>
    <row r="156" spans="1:12" x14ac:dyDescent="0.2">
      <c r="A156">
        <v>3800053</v>
      </c>
      <c r="B156" s="5">
        <v>2018</v>
      </c>
      <c r="C156" t="s">
        <v>252</v>
      </c>
      <c r="D156" t="s">
        <v>254</v>
      </c>
      <c r="E156" t="s">
        <v>256</v>
      </c>
      <c r="F156" s="5" t="s">
        <v>190</v>
      </c>
      <c r="G156" s="7">
        <v>374718</v>
      </c>
      <c r="H156" s="7" cm="1">
        <f t="array" ref="H156">_xlfn.IFS(B156=2015,L156*$P$3,B156=2016,L156*$P$4,B156=2017,L156*$P$5,B156=2018,L156*$P$6,B156=2019,L156*$P$7,B156=2020,L156*$P$8,B156=2021,L156*$P$9,B156=2022,L156*$P$10)</f>
        <v>10267.643626319508</v>
      </c>
      <c r="I156" s="7">
        <f t="shared" si="7"/>
        <v>384985.64362631954</v>
      </c>
      <c r="J156">
        <f>IFERROR(VLOOKUP(F156,'LEAID Match'!$A$2:$B$227,2,FALSE),"")</f>
        <v>3800053</v>
      </c>
      <c r="K156">
        <f t="shared" si="6"/>
        <v>8</v>
      </c>
      <c r="L156" cm="1">
        <f t="array" ref="L156">_xlfn.IFS(B156=2015,G156/$P$13,B156=2016,G156/$P$14,B156=2017,G156/$P$15,B156=2018,G156/$P$16,B156=2019,G156/$P$17,B156=2019,G156/$P$18,B156=2020,G156/$P$18,B156=2021,G156/$P$19,B156=2022,G156/$P$20)</f>
        <v>4.323218368976635E-3</v>
      </c>
    </row>
    <row r="157" spans="1:12" x14ac:dyDescent="0.2">
      <c r="A157">
        <v>3800053</v>
      </c>
      <c r="B157">
        <v>2019</v>
      </c>
      <c r="C157" t="s">
        <v>252</v>
      </c>
      <c r="D157" t="s">
        <v>254</v>
      </c>
      <c r="E157" t="s">
        <v>256</v>
      </c>
      <c r="F157" s="5" t="s">
        <v>190</v>
      </c>
      <c r="G157" s="7">
        <v>372492</v>
      </c>
      <c r="H157" s="7" cm="1">
        <f t="array" ref="H157">_xlfn.IFS(B157=2015,L157*$P$3,B157=2016,L157*$P$4,B157=2017,L157*$P$5,B157=2018,L157*$P$6,B157=2019,L157*$P$7,B157=2020,L157*$P$8,B157=2021,L157*$P$9,B157=2022,L157*$P$10)</f>
        <v>8645.4740841510429</v>
      </c>
      <c r="I157" s="7">
        <f t="shared" si="7"/>
        <v>381137.47408415104</v>
      </c>
      <c r="J157">
        <f>IFERROR(VLOOKUP(F157,'LEAID Match'!$A$2:$B$227,2,FALSE),"")</f>
        <v>3800053</v>
      </c>
      <c r="K157">
        <f t="shared" si="6"/>
        <v>8</v>
      </c>
      <c r="L157" cm="1">
        <f t="array" ref="L157">_xlfn.IFS(B157=2015,G157/$P$13,B157=2016,G157/$P$14,B157=2017,G157/$P$15,B157=2018,G157/$P$16,B157=2019,G157/$P$17,B157=2019,G157/$P$18,B157=2020,G157/$P$18,B157=2021,G157/$P$19,B157=2022,G157/$P$20)</f>
        <v>4.1644865530592696E-3</v>
      </c>
    </row>
    <row r="158" spans="1:12" x14ac:dyDescent="0.2">
      <c r="A158">
        <v>3800053</v>
      </c>
      <c r="B158">
        <v>2020</v>
      </c>
      <c r="C158" t="s">
        <v>252</v>
      </c>
      <c r="D158" t="s">
        <v>254</v>
      </c>
      <c r="E158" t="s">
        <v>256</v>
      </c>
      <c r="F158" s="5" t="s">
        <v>190</v>
      </c>
      <c r="G158" s="7">
        <v>370264</v>
      </c>
      <c r="H158" s="7" cm="1">
        <f t="array" ref="H158">_xlfn.IFS(B158=2015,L158*$P$3,B158=2016,L158*$P$4,B158=2017,L158*$P$5,B158=2018,L158*$P$6,B158=2019,L158*$P$7,B158=2020,L158*$P$8,B158=2021,L158*$P$9,B158=2022,L158*$P$10)</f>
        <v>9289.1899728157241</v>
      </c>
      <c r="I158" s="7">
        <f t="shared" si="7"/>
        <v>379553.18997281574</v>
      </c>
      <c r="J158">
        <f>IFERROR(VLOOKUP(F158,'LEAID Match'!$A$2:$B$227,2,FALSE),"")</f>
        <v>3800053</v>
      </c>
      <c r="K158">
        <f t="shared" si="6"/>
        <v>8</v>
      </c>
      <c r="L158" cm="1">
        <f t="array" ref="L158">_xlfn.IFS(B158=2015,G158/$P$13,B158=2016,G158/$P$14,B158=2017,G158/$P$15,B158=2018,G158/$P$16,B158=2019,G158/$P$17,B158=2019,G158/$P$18,B158=2020,G158/$P$18,B158=2021,G158/$P$19,B158=2022,G158/$P$20)</f>
        <v>3.9799442899810297E-3</v>
      </c>
    </row>
    <row r="159" spans="1:12" x14ac:dyDescent="0.2">
      <c r="A159">
        <v>3800053</v>
      </c>
      <c r="B159" s="5">
        <v>2021</v>
      </c>
      <c r="C159" t="s">
        <v>252</v>
      </c>
      <c r="D159" t="s">
        <v>254</v>
      </c>
      <c r="E159" t="s">
        <v>256</v>
      </c>
      <c r="F159" s="5" t="s">
        <v>190</v>
      </c>
      <c r="G159" s="7">
        <v>380628</v>
      </c>
      <c r="H159" s="7" cm="1">
        <f t="array" ref="H159">_xlfn.IFS(B159=2015,L159*$P$3,B159=2016,L159*$P$4,B159=2017,L159*$P$5,B159=2018,L159*$P$6,B159=2019,L159*$P$7,B159=2020,L159*$P$8,B159=2021,L159*$P$9,B159=2022,L159*$P$10)</f>
        <v>10400.39116583306</v>
      </c>
      <c r="I159" s="7">
        <f t="shared" si="7"/>
        <v>391028.39116583305</v>
      </c>
      <c r="J159">
        <f>IFERROR(VLOOKUP(F159,'LEAID Match'!$A$2:$B$227,2,FALSE),"")</f>
        <v>3800053</v>
      </c>
      <c r="K159">
        <f t="shared" si="6"/>
        <v>8</v>
      </c>
      <c r="L159" cm="1">
        <f t="array" ref="L159">_xlfn.IFS(B159=2015,G159/$P$13,B159=2016,G159/$P$14,B159=2017,G159/$P$15,B159=2018,G159/$P$16,B159=2019,G159/$P$17,B159=2019,G159/$P$18,B159=2020,G159/$P$18,B159=2021,G159/$P$19,B159=2022,G159/$P$20)</f>
        <v>3.8735162628800971E-3</v>
      </c>
    </row>
    <row r="160" spans="1:12" x14ac:dyDescent="0.2">
      <c r="A160">
        <v>3800053</v>
      </c>
      <c r="B160">
        <v>2022</v>
      </c>
      <c r="C160" t="s">
        <v>252</v>
      </c>
      <c r="D160" t="s">
        <v>254</v>
      </c>
      <c r="E160" t="s">
        <v>256</v>
      </c>
      <c r="F160" s="5" t="s">
        <v>190</v>
      </c>
      <c r="G160" s="7">
        <v>371951</v>
      </c>
      <c r="H160" s="7" cm="1">
        <f t="array" ref="H160">_xlfn.IFS(B160=2015,L160*$P$3,B160=2016,L160*$P$4,B160=2017,L160*$P$5,B160=2018,L160*$P$6,B160=2019,L160*$P$7,B160=2020,L160*$P$8,B160=2021,L160*$P$9,B160=2022,L160*$P$10)</f>
        <v>7570.1561617673533</v>
      </c>
      <c r="I160" s="7">
        <f t="shared" si="7"/>
        <v>379521.15616176737</v>
      </c>
      <c r="J160">
        <f>IFERROR(VLOOKUP(F160,'LEAID Match'!$A$2:$B$227,2,FALSE),"")</f>
        <v>3800053</v>
      </c>
      <c r="K160">
        <f t="shared" si="6"/>
        <v>8</v>
      </c>
      <c r="L160" cm="1">
        <f t="array" ref="L160">_xlfn.IFS(B160=2015,G160/$P$13,B160=2016,G160/$P$14,B160=2017,G160/$P$15,B160=2018,G160/$P$16,B160=2019,G160/$P$17,B160=2019,G160/$P$18,B160=2020,G160/$P$18,B160=2021,G160/$P$19,B160=2022,G160/$P$20)</f>
        <v>3.7072263279957656E-3</v>
      </c>
    </row>
    <row r="161" spans="1:12" x14ac:dyDescent="0.2">
      <c r="A161">
        <v>3800018</v>
      </c>
      <c r="B161">
        <v>2015</v>
      </c>
      <c r="C161" t="s">
        <v>252</v>
      </c>
      <c r="D161" t="s">
        <v>254</v>
      </c>
      <c r="E161" t="s">
        <v>256</v>
      </c>
      <c r="F161" s="5" t="s">
        <v>73</v>
      </c>
      <c r="G161" s="7">
        <v>273834</v>
      </c>
      <c r="H161" s="7" cm="1">
        <f t="array" ref="H161">_xlfn.IFS(B161=2015,L161*$P$3,B161=2016,L161*$P$4,B161=2017,L161*$P$5,B161=2018,L161*$P$6,B161=2019,L161*$P$7,B161=2020,L161*$P$8,B161=2021,L161*$P$9,B161=2022,L161*$P$10)</f>
        <v>6190.954871139641</v>
      </c>
      <c r="I161" s="7">
        <f t="shared" si="7"/>
        <v>280024.95487113966</v>
      </c>
      <c r="J161">
        <f>IFERROR(VLOOKUP(F161,'LEAID Match'!$A$2:$B$227,2,FALSE),"")</f>
        <v>3800018</v>
      </c>
      <c r="K161">
        <f t="shared" si="6"/>
        <v>8</v>
      </c>
      <c r="L161" cm="1">
        <f t="array" ref="L161">_xlfn.IFS(B161=2015,G161/$P$13,B161=2016,G161/$P$14,B161=2017,G161/$P$15,B161=2018,G161/$P$16,B161=2019,G161/$P$17,B161=2019,G161/$P$18,B161=2020,G161/$P$18,B161=2021,G161/$P$19,B161=2022,G161/$P$20)</f>
        <v>3.4917963176196508E-3</v>
      </c>
    </row>
    <row r="162" spans="1:12" x14ac:dyDescent="0.2">
      <c r="A162">
        <v>3800018</v>
      </c>
      <c r="B162">
        <v>2016</v>
      </c>
      <c r="C162" t="s">
        <v>252</v>
      </c>
      <c r="D162" t="s">
        <v>254</v>
      </c>
      <c r="E162" t="s">
        <v>256</v>
      </c>
      <c r="F162" s="5" t="s">
        <v>73</v>
      </c>
      <c r="G162" s="7">
        <v>284704</v>
      </c>
      <c r="H162" s="7" cm="1">
        <f t="array" ref="H162">_xlfn.IFS(B162=2015,L162*$P$3,B162=2016,L162*$P$4,B162=2017,L162*$P$5,B162=2018,L162*$P$6,B162=2019,L162*$P$7,B162=2020,L162*$P$8,B162=2021,L162*$P$9,B162=2022,L162*$P$10)</f>
        <v>9667.7090665370051</v>
      </c>
      <c r="I162" s="7">
        <f t="shared" si="7"/>
        <v>294371.70906653698</v>
      </c>
      <c r="J162">
        <f>IFERROR(VLOOKUP(F162,'LEAID Match'!$A$2:$B$227,2,FALSE),"")</f>
        <v>3800018</v>
      </c>
      <c r="K162">
        <f t="shared" si="6"/>
        <v>8</v>
      </c>
      <c r="L162" cm="1">
        <f t="array" ref="L162">_xlfn.IFS(B162=2015,G162/$P$13,B162=2016,G162/$P$14,B162=2017,G162/$P$15,B162=2018,G162/$P$16,B162=2019,G162/$P$17,B162=2019,G162/$P$18,B162=2020,G162/$P$18,B162=2021,G162/$P$19,B162=2022,G162/$P$20)</f>
        <v>3.436796682025242E-3</v>
      </c>
    </row>
    <row r="163" spans="1:12" x14ac:dyDescent="0.2">
      <c r="A163">
        <v>3800018</v>
      </c>
      <c r="B163">
        <v>2017</v>
      </c>
      <c r="C163" t="s">
        <v>252</v>
      </c>
      <c r="D163" t="s">
        <v>254</v>
      </c>
      <c r="E163" t="s">
        <v>256</v>
      </c>
      <c r="F163" s="5" t="s">
        <v>73</v>
      </c>
      <c r="G163" s="7">
        <v>287381</v>
      </c>
      <c r="H163" s="7" cm="1">
        <f t="array" ref="H163">_xlfn.IFS(B163=2015,L163*$P$3,B163=2016,L163*$P$4,B163=2017,L163*$P$5,B163=2018,L163*$P$6,B163=2019,L163*$P$7,B163=2020,L163*$P$8,B163=2021,L163*$P$9,B163=2022,L163*$P$10)</f>
        <v>9313.4580339505537</v>
      </c>
      <c r="I163" s="7">
        <f t="shared" si="7"/>
        <v>296694.45803395053</v>
      </c>
      <c r="J163">
        <f>IFERROR(VLOOKUP(F163,'LEAID Match'!$A$2:$B$227,2,FALSE),"")</f>
        <v>3800018</v>
      </c>
      <c r="K163">
        <f t="shared" si="6"/>
        <v>8</v>
      </c>
      <c r="L163" cm="1">
        <f t="array" ref="L163">_xlfn.IFS(B163=2015,G163/$P$13,B163=2016,G163/$P$14,B163=2017,G163/$P$15,B163=2018,G163/$P$16,B163=2019,G163/$P$17,B163=2019,G163/$P$18,B163=2020,G163/$P$18,B163=2021,G163/$P$19,B163=2022,G163/$P$20)</f>
        <v>3.3393539024562757E-3</v>
      </c>
    </row>
    <row r="164" spans="1:12" x14ac:dyDescent="0.2">
      <c r="A164">
        <v>3800018</v>
      </c>
      <c r="B164" s="5">
        <v>2018</v>
      </c>
      <c r="C164" t="s">
        <v>252</v>
      </c>
      <c r="D164" t="s">
        <v>254</v>
      </c>
      <c r="E164" t="s">
        <v>256</v>
      </c>
      <c r="F164" s="5" t="s">
        <v>73</v>
      </c>
      <c r="G164" s="7">
        <v>283955</v>
      </c>
      <c r="H164" s="7" cm="1">
        <f t="array" ref="H164">_xlfn.IFS(B164=2015,L164*$P$3,B164=2016,L164*$P$4,B164=2017,L164*$P$5,B164=2018,L164*$P$6,B164=2019,L164*$P$7,B164=2020,L164*$P$8,B164=2021,L164*$P$9,B164=2022,L164*$P$10)</f>
        <v>7780.6477028366826</v>
      </c>
      <c r="I164" s="7">
        <f t="shared" si="7"/>
        <v>291735.64770283666</v>
      </c>
      <c r="J164">
        <f>IFERROR(VLOOKUP(F164,'LEAID Match'!$A$2:$B$227,2,FALSE),"")</f>
        <v>3800018</v>
      </c>
      <c r="K164">
        <f t="shared" si="6"/>
        <v>8</v>
      </c>
      <c r="L164" cm="1">
        <f t="array" ref="L164">_xlfn.IFS(B164=2015,G164/$P$13,B164=2016,G164/$P$14,B164=2017,G164/$P$15,B164=2018,G164/$P$16,B164=2019,G164/$P$17,B164=2019,G164/$P$18,B164=2020,G164/$P$18,B164=2021,G164/$P$19,B164=2022,G164/$P$20)</f>
        <v>3.276062190668077E-3</v>
      </c>
    </row>
    <row r="165" spans="1:12" x14ac:dyDescent="0.2">
      <c r="A165">
        <v>3800018</v>
      </c>
      <c r="B165">
        <v>2019</v>
      </c>
      <c r="C165" t="s">
        <v>252</v>
      </c>
      <c r="D165" t="s">
        <v>254</v>
      </c>
      <c r="E165" t="s">
        <v>256</v>
      </c>
      <c r="F165" s="5" t="s">
        <v>73</v>
      </c>
      <c r="G165" s="7">
        <v>294384</v>
      </c>
      <c r="H165" s="7" cm="1">
        <f t="array" ref="H165">_xlfn.IFS(B165=2015,L165*$P$3,B165=2016,L165*$P$4,B165=2017,L165*$P$5,B165=2018,L165*$P$6,B165=2019,L165*$P$7,B165=2020,L165*$P$8,B165=2021,L165*$P$9,B165=2022,L165*$P$10)</f>
        <v>6832.6010834829221</v>
      </c>
      <c r="I165" s="7">
        <f t="shared" si="7"/>
        <v>301216.60108348291</v>
      </c>
      <c r="J165">
        <f>IFERROR(VLOOKUP(F165,'LEAID Match'!$A$2:$B$227,2,FALSE),"")</f>
        <v>3800018</v>
      </c>
      <c r="K165">
        <f t="shared" si="6"/>
        <v>8</v>
      </c>
      <c r="L165" cm="1">
        <f t="array" ref="L165">_xlfn.IFS(B165=2015,G165/$P$13,B165=2016,G165/$P$14,B165=2017,G165/$P$15,B165=2018,G165/$P$16,B165=2019,G165/$P$17,B165=2019,G165/$P$18,B165=2020,G165/$P$18,B165=2021,G165/$P$19,B165=2022,G165/$P$20)</f>
        <v>3.2912336625640281E-3</v>
      </c>
    </row>
    <row r="166" spans="1:12" x14ac:dyDescent="0.2">
      <c r="A166">
        <v>3800018</v>
      </c>
      <c r="B166">
        <v>2020</v>
      </c>
      <c r="C166" t="s">
        <v>252</v>
      </c>
      <c r="D166" t="s">
        <v>254</v>
      </c>
      <c r="E166" t="s">
        <v>256</v>
      </c>
      <c r="F166" s="5" t="s">
        <v>73</v>
      </c>
      <c r="G166" s="7">
        <v>294718</v>
      </c>
      <c r="H166" s="7" cm="1">
        <f t="array" ref="H166">_xlfn.IFS(B166=2015,L166*$P$3,B166=2016,L166*$P$4,B166=2017,L166*$P$5,B166=2018,L166*$P$6,B166=2019,L166*$P$7,B166=2020,L166*$P$8,B166=2021,L166*$P$9,B166=2022,L166*$P$10)</f>
        <v>7393.8905494682294</v>
      </c>
      <c r="I166" s="7">
        <f t="shared" si="7"/>
        <v>302111.89054946823</v>
      </c>
      <c r="J166">
        <f>IFERROR(VLOOKUP(F166,'LEAID Match'!$A$2:$B$227,2,FALSE),"")</f>
        <v>3800018</v>
      </c>
      <c r="K166">
        <f t="shared" si="6"/>
        <v>8</v>
      </c>
      <c r="L166" cm="1">
        <f t="array" ref="L166">_xlfn.IFS(B166=2015,G166/$P$13,B166=2016,G166/$P$14,B166=2017,G166/$P$15,B166=2018,G166/$P$16,B166=2019,G166/$P$17,B166=2019,G166/$P$18,B166=2020,G166/$P$18,B166=2021,G166/$P$19,B166=2022,G166/$P$20)</f>
        <v>3.1679051197378875E-3</v>
      </c>
    </row>
    <row r="167" spans="1:12" x14ac:dyDescent="0.2">
      <c r="A167">
        <v>3800018</v>
      </c>
      <c r="B167" s="5">
        <v>2021</v>
      </c>
      <c r="C167" t="s">
        <v>252</v>
      </c>
      <c r="D167" t="s">
        <v>254</v>
      </c>
      <c r="E167" t="s">
        <v>256</v>
      </c>
      <c r="F167" s="5" t="s">
        <v>73</v>
      </c>
      <c r="G167" s="7">
        <v>320333</v>
      </c>
      <c r="H167" s="7" cm="1">
        <f t="array" ref="H167">_xlfn.IFS(B167=2015,L167*$P$3,B167=2016,L167*$P$4,B167=2017,L167*$P$5,B167=2018,L167*$P$6,B167=2019,L167*$P$7,B167=2020,L167*$P$8,B167=2021,L167*$P$9,B167=2022,L167*$P$10)</f>
        <v>8752.8728924955649</v>
      </c>
      <c r="I167" s="7">
        <f t="shared" si="7"/>
        <v>329085.87289249559</v>
      </c>
      <c r="J167">
        <f>IFERROR(VLOOKUP(F167,'LEAID Match'!$A$2:$B$227,2,FALSE),"")</f>
        <v>3800018</v>
      </c>
      <c r="K167">
        <f t="shared" si="6"/>
        <v>8</v>
      </c>
      <c r="L167" cm="1">
        <f t="array" ref="L167">_xlfn.IFS(B167=2015,G167/$P$13,B167=2016,G167/$P$14,B167=2017,G167/$P$15,B167=2018,G167/$P$16,B167=2019,G167/$P$17,B167=2019,G167/$P$18,B167=2020,G167/$P$18,B167=2021,G167/$P$19,B167=2022,G167/$P$20)</f>
        <v>3.2599154161994655E-3</v>
      </c>
    </row>
    <row r="168" spans="1:12" x14ac:dyDescent="0.2">
      <c r="A168">
        <v>3800018</v>
      </c>
      <c r="B168">
        <v>2022</v>
      </c>
      <c r="C168" t="s">
        <v>252</v>
      </c>
      <c r="D168" t="s">
        <v>254</v>
      </c>
      <c r="E168" t="s">
        <v>256</v>
      </c>
      <c r="F168" s="5" t="s">
        <v>73</v>
      </c>
      <c r="G168" s="7">
        <v>319405</v>
      </c>
      <c r="H168" s="7" cm="1">
        <f t="array" ref="H168">_xlfn.IFS(B168=2015,L168*$P$3,B168=2016,L168*$P$4,B168=2017,L168*$P$5,B168=2018,L168*$P$6,B168=2019,L168*$P$7,B168=2020,L168*$P$8,B168=2021,L168*$P$9,B168=2022,L168*$P$10)</f>
        <v>6500.7103861780224</v>
      </c>
      <c r="I168" s="7">
        <f t="shared" si="7"/>
        <v>325905.71038617805</v>
      </c>
      <c r="J168">
        <f>IFERROR(VLOOKUP(F168,'LEAID Match'!$A$2:$B$227,2,FALSE),"")</f>
        <v>3800018</v>
      </c>
      <c r="K168">
        <f t="shared" si="6"/>
        <v>8</v>
      </c>
      <c r="L168" cm="1">
        <f t="array" ref="L168">_xlfn.IFS(B168=2015,G168/$P$13,B168=2016,G168/$P$14,B168=2017,G168/$P$15,B168=2018,G168/$P$16,B168=2019,G168/$P$17,B168=2019,G168/$P$18,B168=2020,G168/$P$18,B168=2021,G168/$P$19,B168=2022,G168/$P$20)</f>
        <v>3.183501658265437E-3</v>
      </c>
    </row>
    <row r="169" spans="1:12" x14ac:dyDescent="0.2">
      <c r="A169">
        <v>3800052</v>
      </c>
      <c r="B169">
        <v>2015</v>
      </c>
      <c r="C169" t="s">
        <v>252</v>
      </c>
      <c r="D169" t="s">
        <v>254</v>
      </c>
      <c r="E169" t="s">
        <v>256</v>
      </c>
      <c r="F169" s="5" t="s">
        <v>74</v>
      </c>
      <c r="G169" s="7">
        <v>180619</v>
      </c>
      <c r="H169" s="7" cm="1">
        <f t="array" ref="H169">_xlfn.IFS(B169=2015,L169*$P$3,B169=2016,L169*$P$4,B169=2017,L169*$P$5,B169=2018,L169*$P$6,B169=2019,L169*$P$7,B169=2020,L169*$P$8,B169=2021,L169*$P$9,B169=2022,L169*$P$10)</f>
        <v>4083.5107323063266</v>
      </c>
      <c r="I169" s="7">
        <f t="shared" si="7"/>
        <v>184702.51073230631</v>
      </c>
      <c r="J169">
        <f>IFERROR(VLOOKUP(F169,'LEAID Match'!$A$2:$B$227,2,FALSE),"")</f>
        <v>3800052</v>
      </c>
      <c r="K169">
        <f t="shared" si="6"/>
        <v>8</v>
      </c>
      <c r="L169" cm="1">
        <f t="array" ref="L169">_xlfn.IFS(B169=2015,G169/$P$13,B169=2016,G169/$P$14,B169=2017,G169/$P$15,B169=2018,G169/$P$16,B169=2019,G169/$P$17,B169=2019,G169/$P$18,B169=2020,G169/$P$18,B169=2021,G169/$P$19,B169=2022,G169/$P$20)</f>
        <v>2.3031645416279338E-3</v>
      </c>
    </row>
    <row r="170" spans="1:12" x14ac:dyDescent="0.2">
      <c r="A170">
        <v>3800052</v>
      </c>
      <c r="B170">
        <v>2016</v>
      </c>
      <c r="C170" t="s">
        <v>252</v>
      </c>
      <c r="D170" t="s">
        <v>254</v>
      </c>
      <c r="E170" t="s">
        <v>256</v>
      </c>
      <c r="F170" s="5" t="s">
        <v>74</v>
      </c>
      <c r="G170" s="7">
        <v>185346</v>
      </c>
      <c r="H170" s="7" cm="1">
        <f t="array" ref="H170">_xlfn.IFS(B170=2015,L170*$P$3,B170=2016,L170*$P$4,B170=2017,L170*$P$5,B170=2018,L170*$P$6,B170=2019,L170*$P$7,B170=2020,L170*$P$8,B170=2021,L170*$P$9,B170=2022,L170*$P$10)</f>
        <v>6293.804107586715</v>
      </c>
      <c r="I170" s="7">
        <f t="shared" si="7"/>
        <v>191639.80410758671</v>
      </c>
      <c r="J170">
        <f>IFERROR(VLOOKUP(F170,'LEAID Match'!$A$2:$B$227,2,FALSE),"")</f>
        <v>3800052</v>
      </c>
      <c r="K170">
        <f t="shared" si="6"/>
        <v>8</v>
      </c>
      <c r="L170" cm="1">
        <f t="array" ref="L170">_xlfn.IFS(B170=2015,G170/$P$13,B170=2016,G170/$P$14,B170=2017,G170/$P$15,B170=2018,G170/$P$16,B170=2019,G170/$P$17,B170=2019,G170/$P$18,B170=2020,G170/$P$18,B170=2021,G170/$P$19,B170=2022,G170/$P$20)</f>
        <v>2.2373992561630696E-3</v>
      </c>
    </row>
    <row r="171" spans="1:12" x14ac:dyDescent="0.2">
      <c r="A171">
        <v>3800052</v>
      </c>
      <c r="B171">
        <v>2017</v>
      </c>
      <c r="C171" t="s">
        <v>252</v>
      </c>
      <c r="D171" t="s">
        <v>254</v>
      </c>
      <c r="E171" t="s">
        <v>256</v>
      </c>
      <c r="F171" s="5" t="s">
        <v>74</v>
      </c>
      <c r="G171" s="7">
        <v>191281</v>
      </c>
      <c r="H171" s="7" cm="1">
        <f t="array" ref="H171">_xlfn.IFS(B171=2015,L171*$P$3,B171=2016,L171*$P$4,B171=2017,L171*$P$5,B171=2018,L171*$P$6,B171=2019,L171*$P$7,B171=2020,L171*$P$8,B171=2021,L171*$P$9,B171=2022,L171*$P$10)</f>
        <v>6199.0443564191637</v>
      </c>
      <c r="I171" s="7">
        <f t="shared" si="7"/>
        <v>197480.04435641915</v>
      </c>
      <c r="J171">
        <f>IFERROR(VLOOKUP(F171,'LEAID Match'!$A$2:$B$227,2,FALSE),"")</f>
        <v>3800052</v>
      </c>
      <c r="K171">
        <f t="shared" si="6"/>
        <v>8</v>
      </c>
      <c r="L171" cm="1">
        <f t="array" ref="L171">_xlfn.IFS(B171=2015,G171/$P$13,B171=2016,G171/$P$14,B171=2017,G171/$P$15,B171=2018,G171/$P$16,B171=2019,G171/$P$17,B171=2019,G171/$P$18,B171=2020,G171/$P$18,B171=2021,G171/$P$19,B171=2022,G171/$P$20)</f>
        <v>2.2226763558333322E-3</v>
      </c>
    </row>
    <row r="172" spans="1:12" x14ac:dyDescent="0.2">
      <c r="A172">
        <v>3800052</v>
      </c>
      <c r="B172" s="5">
        <v>2018</v>
      </c>
      <c r="C172" t="s">
        <v>252</v>
      </c>
      <c r="D172" t="s">
        <v>254</v>
      </c>
      <c r="E172" t="s">
        <v>256</v>
      </c>
      <c r="F172" s="5" t="s">
        <v>74</v>
      </c>
      <c r="G172" s="7">
        <v>200392</v>
      </c>
      <c r="H172" s="7" cm="1">
        <f t="array" ref="H172">_xlfn.IFS(B172=2015,L172*$P$3,B172=2016,L172*$P$4,B172=2017,L172*$P$5,B172=2018,L172*$P$6,B172=2019,L172*$P$7,B172=2020,L172*$P$8,B172=2021,L172*$P$9,B172=2022,L172*$P$10)</f>
        <v>5490.93889689158</v>
      </c>
      <c r="I172" s="7">
        <f t="shared" si="7"/>
        <v>205882.93889689157</v>
      </c>
      <c r="J172">
        <f>IFERROR(VLOOKUP(F172,'LEAID Match'!$A$2:$B$227,2,FALSE),"")</f>
        <v>3800052</v>
      </c>
      <c r="K172">
        <f t="shared" si="6"/>
        <v>8</v>
      </c>
      <c r="L172" cm="1">
        <f t="array" ref="L172">_xlfn.IFS(B172=2015,G172/$P$13,B172=2016,G172/$P$14,B172=2017,G172/$P$15,B172=2018,G172/$P$16,B172=2019,G172/$P$17,B172=2019,G172/$P$18,B172=2020,G172/$P$18,B172=2021,G172/$P$19,B172=2022,G172/$P$20)</f>
        <v>2.3119742723754022E-3</v>
      </c>
    </row>
    <row r="173" spans="1:12" x14ac:dyDescent="0.2">
      <c r="A173">
        <v>3800052</v>
      </c>
      <c r="B173">
        <v>2019</v>
      </c>
      <c r="C173" t="s">
        <v>252</v>
      </c>
      <c r="D173" t="s">
        <v>254</v>
      </c>
      <c r="E173" t="s">
        <v>256</v>
      </c>
      <c r="F173" s="5" t="s">
        <v>74</v>
      </c>
      <c r="G173" s="7">
        <v>202288</v>
      </c>
      <c r="H173" s="7" cm="1">
        <f t="array" ref="H173">_xlfn.IFS(B173=2015,L173*$P$3,B173=2016,L173*$P$4,B173=2017,L173*$P$5,B173=2018,L173*$P$6,B173=2019,L173*$P$7,B173=2020,L173*$P$8,B173=2021,L173*$P$9,B173=2022,L173*$P$10)</f>
        <v>4695.0690525829987</v>
      </c>
      <c r="I173" s="7">
        <f t="shared" si="7"/>
        <v>206983.06905258299</v>
      </c>
      <c r="J173">
        <f>IFERROR(VLOOKUP(F173,'LEAID Match'!$A$2:$B$227,2,FALSE),"")</f>
        <v>3800052</v>
      </c>
      <c r="K173">
        <f t="shared" si="6"/>
        <v>8</v>
      </c>
      <c r="L173" cm="1">
        <f t="array" ref="L173">_xlfn.IFS(B173=2015,G173/$P$13,B173=2016,G173/$P$14,B173=2017,G173/$P$15,B173=2018,G173/$P$16,B173=2019,G173/$P$17,B173=2019,G173/$P$18,B173=2020,G173/$P$18,B173=2021,G173/$P$19,B173=2022,G173/$P$20)</f>
        <v>2.2615939559648356E-3</v>
      </c>
    </row>
    <row r="174" spans="1:12" x14ac:dyDescent="0.2">
      <c r="A174">
        <v>3800052</v>
      </c>
      <c r="B174">
        <v>2020</v>
      </c>
      <c r="C174" t="s">
        <v>252</v>
      </c>
      <c r="D174" t="s">
        <v>254</v>
      </c>
      <c r="E174" t="s">
        <v>256</v>
      </c>
      <c r="F174" s="5" t="s">
        <v>74</v>
      </c>
      <c r="G174" s="7">
        <v>207819</v>
      </c>
      <c r="H174" s="7" cm="1">
        <f t="array" ref="H174">_xlfn.IFS(B174=2015,L174*$P$3,B174=2016,L174*$P$4,B174=2017,L174*$P$5,B174=2018,L174*$P$6,B174=2019,L174*$P$7,B174=2020,L174*$P$8,B174=2021,L174*$P$9,B174=2022,L174*$P$10)</f>
        <v>5213.7668554344764</v>
      </c>
      <c r="I174" s="7">
        <f t="shared" si="7"/>
        <v>213032.76685543449</v>
      </c>
      <c r="J174">
        <f>IFERROR(VLOOKUP(F174,'LEAID Match'!$A$2:$B$227,2,FALSE),"")</f>
        <v>3800052</v>
      </c>
      <c r="K174">
        <f t="shared" si="6"/>
        <v>8</v>
      </c>
      <c r="L174" cm="1">
        <f t="array" ref="L174">_xlfn.IFS(B174=2015,G174/$P$13,B174=2016,G174/$P$14,B174=2017,G174/$P$15,B174=2018,G174/$P$16,B174=2019,G174/$P$17,B174=2019,G174/$P$18,B174=2020,G174/$P$18,B174=2021,G174/$P$19,B174=2022,G174/$P$20)</f>
        <v>2.2338332713943772E-3</v>
      </c>
    </row>
    <row r="175" spans="1:12" x14ac:dyDescent="0.2">
      <c r="A175">
        <v>3800052</v>
      </c>
      <c r="B175" s="5">
        <v>2021</v>
      </c>
      <c r="C175" t="s">
        <v>252</v>
      </c>
      <c r="D175" t="s">
        <v>254</v>
      </c>
      <c r="E175" t="s">
        <v>256</v>
      </c>
      <c r="F175" s="5" t="s">
        <v>74</v>
      </c>
      <c r="G175" s="7">
        <v>224342</v>
      </c>
      <c r="H175" s="7" cm="1">
        <f t="array" ref="H175">_xlfn.IFS(B175=2015,L175*$P$3,B175=2016,L175*$P$4,B175=2017,L175*$P$5,B175=2018,L175*$P$6,B175=2019,L175*$P$7,B175=2020,L175*$P$8,B175=2021,L175*$P$9,B175=2022,L175*$P$10)</f>
        <v>6129.9866403031838</v>
      </c>
      <c r="I175" s="7">
        <f t="shared" si="7"/>
        <v>230471.98664030319</v>
      </c>
      <c r="J175">
        <f>IFERROR(VLOOKUP(F175,'LEAID Match'!$A$2:$B$227,2,FALSE),"")</f>
        <v>3800052</v>
      </c>
      <c r="K175">
        <f t="shared" si="6"/>
        <v>8</v>
      </c>
      <c r="L175" cm="1">
        <f t="array" ref="L175">_xlfn.IFS(B175=2015,G175/$P$13,B175=2016,G175/$P$14,B175=2017,G175/$P$15,B175=2018,G175/$P$16,B175=2019,G175/$P$17,B175=2019,G175/$P$18,B175=2020,G175/$P$18,B175=2021,G175/$P$19,B175=2022,G175/$P$20)</f>
        <v>2.2830490280458787E-3</v>
      </c>
    </row>
    <row r="176" spans="1:12" x14ac:dyDescent="0.2">
      <c r="A176">
        <v>3800052</v>
      </c>
      <c r="B176">
        <v>2022</v>
      </c>
      <c r="C176" t="s">
        <v>252</v>
      </c>
      <c r="D176" t="s">
        <v>254</v>
      </c>
      <c r="E176" t="s">
        <v>256</v>
      </c>
      <c r="F176" s="5" t="s">
        <v>74</v>
      </c>
      <c r="G176" s="7">
        <v>218376</v>
      </c>
      <c r="H176" s="7" cm="1">
        <f t="array" ref="H176">_xlfn.IFS(B176=2015,L176*$P$3,B176=2016,L176*$P$4,B176=2017,L176*$P$5,B176=2018,L176*$P$6,B176=2019,L176*$P$7,B176=2020,L176*$P$8,B176=2021,L176*$P$9,B176=2022,L176*$P$10)</f>
        <v>4444.511298483154</v>
      </c>
      <c r="I176" s="7">
        <f t="shared" si="7"/>
        <v>222820.51129848315</v>
      </c>
      <c r="J176">
        <f>IFERROR(VLOOKUP(F176,'LEAID Match'!$A$2:$B$227,2,FALSE),"")</f>
        <v>3800052</v>
      </c>
      <c r="K176">
        <f t="shared" si="6"/>
        <v>8</v>
      </c>
      <c r="L176" cm="1">
        <f t="array" ref="L176">_xlfn.IFS(B176=2015,G176/$P$13,B176=2016,G176/$P$14,B176=2017,G176/$P$15,B176=2018,G176/$P$16,B176=2019,G176/$P$17,B176=2019,G176/$P$18,B176=2020,G176/$P$18,B176=2021,G176/$P$19,B176=2022,G176/$P$20)</f>
        <v>2.1765481383365102E-3</v>
      </c>
    </row>
    <row r="177" spans="1:12" x14ac:dyDescent="0.2">
      <c r="A177">
        <v>3804090</v>
      </c>
      <c r="B177">
        <v>2015</v>
      </c>
      <c r="C177" t="s">
        <v>252</v>
      </c>
      <c r="D177" t="s">
        <v>254</v>
      </c>
      <c r="E177" t="s">
        <v>256</v>
      </c>
      <c r="F177" s="5" t="s">
        <v>75</v>
      </c>
      <c r="G177" s="7">
        <v>437035</v>
      </c>
      <c r="H177" s="7" cm="1">
        <f t="array" ref="H177">_xlfn.IFS(B177=2015,L177*$P$3,B177=2016,L177*$P$4,B177=2017,L177*$P$5,B177=2018,L177*$P$6,B177=2019,L177*$P$7,B177=2020,L177*$P$8,B177=2021,L177*$P$9,B177=2022,L177*$P$10)</f>
        <v>9880.6720937082773</v>
      </c>
      <c r="I177" s="7">
        <f t="shared" si="7"/>
        <v>446915.6720937083</v>
      </c>
      <c r="J177">
        <f>IFERROR(VLOOKUP(F177,'LEAID Match'!$A$2:$B$227,2,FALSE),"")</f>
        <v>3804090</v>
      </c>
      <c r="K177">
        <f t="shared" si="6"/>
        <v>8</v>
      </c>
      <c r="L177" cm="1">
        <f t="array" ref="L177">_xlfn.IFS(B177=2015,G177/$P$13,B177=2016,G177/$P$14,B177=2017,G177/$P$15,B177=2018,G177/$P$16,B177=2019,G177/$P$17,B177=2019,G177/$P$18,B177=2020,G177/$P$18,B177=2021,G177/$P$19,B177=2022,G177/$P$20)</f>
        <v>5.5728551007942911E-3</v>
      </c>
    </row>
    <row r="178" spans="1:12" x14ac:dyDescent="0.2">
      <c r="A178">
        <v>3804090</v>
      </c>
      <c r="B178">
        <v>2016</v>
      </c>
      <c r="C178" t="s">
        <v>252</v>
      </c>
      <c r="D178" t="s">
        <v>254</v>
      </c>
      <c r="E178" t="s">
        <v>256</v>
      </c>
      <c r="F178" s="5" t="s">
        <v>75</v>
      </c>
      <c r="G178" s="7">
        <v>440922</v>
      </c>
      <c r="H178" s="7" cm="1">
        <f t="array" ref="H178">_xlfn.IFS(B178=2015,L178*$P$3,B178=2016,L178*$P$4,B178=2017,L178*$P$5,B178=2018,L178*$P$6,B178=2019,L178*$P$7,B178=2020,L178*$P$8,B178=2021,L178*$P$9,B178=2022,L178*$P$10)</f>
        <v>14972.412108841569</v>
      </c>
      <c r="I178" s="7">
        <f t="shared" si="7"/>
        <v>455894.41210884158</v>
      </c>
      <c r="J178">
        <f>IFERROR(VLOOKUP(F178,'LEAID Match'!$A$2:$B$227,2,FALSE),"")</f>
        <v>3804090</v>
      </c>
      <c r="K178">
        <f t="shared" si="6"/>
        <v>8</v>
      </c>
      <c r="L178" cm="1">
        <f t="array" ref="L178">_xlfn.IFS(B178=2015,G178/$P$13,B178=2016,G178/$P$14,B178=2017,G178/$P$15,B178=2018,G178/$P$16,B178=2019,G178/$P$17,B178=2019,G178/$P$18,B178=2020,G178/$P$18,B178=2021,G178/$P$19,B178=2022,G178/$P$20)</f>
        <v>5.3225780692646883E-3</v>
      </c>
    </row>
    <row r="179" spans="1:12" x14ac:dyDescent="0.2">
      <c r="A179">
        <v>3804090</v>
      </c>
      <c r="B179">
        <v>2017</v>
      </c>
      <c r="C179" t="s">
        <v>252</v>
      </c>
      <c r="D179" t="s">
        <v>254</v>
      </c>
      <c r="E179" t="s">
        <v>256</v>
      </c>
      <c r="F179" s="5" t="s">
        <v>75</v>
      </c>
      <c r="G179" s="7">
        <v>463683</v>
      </c>
      <c r="H179" s="7" cm="1">
        <f t="array" ref="H179">_xlfn.IFS(B179=2015,L179*$P$3,B179=2016,L179*$P$4,B179=2017,L179*$P$5,B179=2018,L179*$P$6,B179=2019,L179*$P$7,B179=2020,L179*$P$8,B179=2021,L179*$P$9,B179=2022,L179*$P$10)</f>
        <v>15027.06219811433</v>
      </c>
      <c r="I179" s="7">
        <f t="shared" si="7"/>
        <v>478710.06219811435</v>
      </c>
      <c r="J179">
        <f>IFERROR(VLOOKUP(F179,'LEAID Match'!$A$2:$B$227,2,FALSE),"")</f>
        <v>3804090</v>
      </c>
      <c r="K179">
        <f t="shared" si="6"/>
        <v>8</v>
      </c>
      <c r="L179" cm="1">
        <f t="array" ref="L179">_xlfn.IFS(B179=2015,G179/$P$13,B179=2016,G179/$P$14,B179=2017,G179/$P$15,B179=2018,G179/$P$16,B179=2019,G179/$P$17,B179=2019,G179/$P$18,B179=2020,G179/$P$18,B179=2021,G179/$P$19,B179=2022,G179/$P$20)</f>
        <v>5.3879749724325314E-3</v>
      </c>
    </row>
    <row r="180" spans="1:12" x14ac:dyDescent="0.2">
      <c r="A180">
        <v>3804090</v>
      </c>
      <c r="B180" s="5">
        <v>2018</v>
      </c>
      <c r="C180" t="s">
        <v>252</v>
      </c>
      <c r="D180" t="s">
        <v>254</v>
      </c>
      <c r="E180" t="s">
        <v>256</v>
      </c>
      <c r="F180" s="5" t="s">
        <v>75</v>
      </c>
      <c r="G180" s="7">
        <v>467025</v>
      </c>
      <c r="H180" s="7" cm="1">
        <f t="array" ref="H180">_xlfn.IFS(B180=2015,L180*$P$3,B180=2016,L180*$P$4,B180=2017,L180*$P$5,B180=2018,L180*$P$6,B180=2019,L180*$P$7,B180=2020,L180*$P$8,B180=2021,L180*$P$9,B180=2022,L180*$P$10)</f>
        <v>12796.946676118758</v>
      </c>
      <c r="I180" s="7">
        <f t="shared" si="7"/>
        <v>479821.94667611877</v>
      </c>
      <c r="J180">
        <f>IFERROR(VLOOKUP(F180,'LEAID Match'!$A$2:$B$227,2,FALSE),"")</f>
        <v>3804090</v>
      </c>
      <c r="K180">
        <f t="shared" si="6"/>
        <v>8</v>
      </c>
      <c r="L180" cm="1">
        <f t="array" ref="L180">_xlfn.IFS(B180=2015,G180/$P$13,B180=2016,G180/$P$14,B180=2017,G180/$P$15,B180=2018,G180/$P$16,B180=2019,G180/$P$17,B180=2019,G180/$P$18,B180=2020,G180/$P$18,B180=2021,G180/$P$19,B180=2022,G180/$P$20)</f>
        <v>5.3881880741552665E-3</v>
      </c>
    </row>
    <row r="181" spans="1:12" x14ac:dyDescent="0.2">
      <c r="A181">
        <v>3804090</v>
      </c>
      <c r="B181">
        <v>2019</v>
      </c>
      <c r="C181" t="s">
        <v>252</v>
      </c>
      <c r="D181" t="s">
        <v>254</v>
      </c>
      <c r="E181" t="s">
        <v>256</v>
      </c>
      <c r="F181" s="5" t="s">
        <v>75</v>
      </c>
      <c r="G181" s="7">
        <v>501777</v>
      </c>
      <c r="H181" s="7" cm="1">
        <f t="array" ref="H181">_xlfn.IFS(B181=2015,L181*$P$3,B181=2016,L181*$P$4,B181=2017,L181*$P$5,B181=2018,L181*$P$6,B181=2019,L181*$P$7,B181=2020,L181*$P$8,B181=2021,L181*$P$9,B181=2022,L181*$P$10)</f>
        <v>11646.156292009113</v>
      </c>
      <c r="I181" s="7">
        <f t="shared" si="7"/>
        <v>513423.15629200911</v>
      </c>
      <c r="J181">
        <f>IFERROR(VLOOKUP(F181,'LEAID Match'!$A$2:$B$227,2,FALSE),"")</f>
        <v>3804090</v>
      </c>
      <c r="K181">
        <f t="shared" si="6"/>
        <v>8</v>
      </c>
      <c r="L181" cm="1">
        <f t="array" ref="L181">_xlfn.IFS(B181=2015,G181/$P$13,B181=2016,G181/$P$14,B181=2017,G181/$P$15,B181=2018,G181/$P$16,B181=2019,G181/$P$17,B181=2019,G181/$P$18,B181=2020,G181/$P$18,B181=2021,G181/$P$19,B181=2022,G181/$P$20)</f>
        <v>5.6099018747635416E-3</v>
      </c>
    </row>
    <row r="182" spans="1:12" x14ac:dyDescent="0.2">
      <c r="A182">
        <v>3804090</v>
      </c>
      <c r="B182">
        <v>2020</v>
      </c>
      <c r="C182" t="s">
        <v>252</v>
      </c>
      <c r="D182" t="s">
        <v>254</v>
      </c>
      <c r="E182" t="s">
        <v>256</v>
      </c>
      <c r="F182" s="5" t="s">
        <v>75</v>
      </c>
      <c r="G182" s="7">
        <v>555776</v>
      </c>
      <c r="H182" s="7" cm="1">
        <f t="array" ref="H182">_xlfn.IFS(B182=2015,L182*$P$3,B182=2016,L182*$P$4,B182=2017,L182*$P$5,B182=2018,L182*$P$6,B182=2019,L182*$P$7,B182=2020,L182*$P$8,B182=2021,L182*$P$9,B182=2022,L182*$P$10)</f>
        <v>13943.31840614165</v>
      </c>
      <c r="I182" s="7">
        <f t="shared" si="7"/>
        <v>569719.3184061416</v>
      </c>
      <c r="J182">
        <f>IFERROR(VLOOKUP(F182,'LEAID Match'!$A$2:$B$227,2,FALSE),"")</f>
        <v>3804090</v>
      </c>
      <c r="K182">
        <f t="shared" si="6"/>
        <v>8</v>
      </c>
      <c r="L182" cm="1">
        <f t="array" ref="L182">_xlfn.IFS(B182=2015,G182/$P$13,B182=2016,G182/$P$14,B182=2017,G182/$P$15,B182=2018,G182/$P$16,B182=2019,G182/$P$17,B182=2019,G182/$P$18,B182=2020,G182/$P$18,B182=2021,G182/$P$19,B182=2022,G182/$P$20)</f>
        <v>5.9740010309090189E-3</v>
      </c>
    </row>
    <row r="183" spans="1:12" x14ac:dyDescent="0.2">
      <c r="A183">
        <v>3804090</v>
      </c>
      <c r="B183" s="5">
        <v>2021</v>
      </c>
      <c r="C183" t="s">
        <v>252</v>
      </c>
      <c r="D183" t="s">
        <v>254</v>
      </c>
      <c r="E183" t="s">
        <v>256</v>
      </c>
      <c r="F183" s="5" t="s">
        <v>75</v>
      </c>
      <c r="G183" s="7">
        <v>576574</v>
      </c>
      <c r="H183" s="7" cm="1">
        <f t="array" ref="H183">_xlfn.IFS(B183=2015,L183*$P$3,B183=2016,L183*$P$4,B183=2017,L183*$P$5,B183=2018,L183*$P$6,B183=2019,L183*$P$7,B183=2020,L183*$P$8,B183=2021,L183*$P$9,B183=2022,L183*$P$10)</f>
        <v>15754.477169438484</v>
      </c>
      <c r="I183" s="7">
        <f t="shared" si="7"/>
        <v>592328.4771694385</v>
      </c>
      <c r="J183">
        <f>IFERROR(VLOOKUP(F183,'LEAID Match'!$A$2:$B$227,2,FALSE),"")</f>
        <v>3804090</v>
      </c>
      <c r="K183">
        <f t="shared" si="6"/>
        <v>8</v>
      </c>
      <c r="L183" cm="1">
        <f t="array" ref="L183">_xlfn.IFS(B183=2015,G183/$P$13,B183=2016,G183/$P$14,B183=2017,G183/$P$15,B183=2018,G183/$P$16,B183=2019,G183/$P$17,B183=2019,G183/$P$18,B183=2020,G183/$P$18,B183=2021,G183/$P$19,B183=2022,G183/$P$20)</f>
        <v>5.8675892623607012E-3</v>
      </c>
    </row>
    <row r="184" spans="1:12" x14ac:dyDescent="0.2">
      <c r="A184">
        <v>3804090</v>
      </c>
      <c r="B184">
        <v>2022</v>
      </c>
      <c r="C184" t="s">
        <v>252</v>
      </c>
      <c r="D184" t="s">
        <v>254</v>
      </c>
      <c r="E184" t="s">
        <v>256</v>
      </c>
      <c r="F184" s="5" t="s">
        <v>75</v>
      </c>
      <c r="G184" s="7">
        <v>597692</v>
      </c>
      <c r="H184" s="7" cm="1">
        <f t="array" ref="H184">_xlfn.IFS(B184=2015,L184*$P$3,B184=2016,L184*$P$4,B184=2017,L184*$P$5,B184=2018,L184*$P$6,B184=2019,L184*$P$7,B184=2020,L184*$P$8,B184=2021,L184*$P$9,B184=2022,L184*$P$10)</f>
        <v>12164.564086772325</v>
      </c>
      <c r="I184" s="7">
        <f t="shared" si="7"/>
        <v>609856.56408677227</v>
      </c>
      <c r="J184">
        <f>IFERROR(VLOOKUP(F184,'LEAID Match'!$A$2:$B$227,2,FALSE),"")</f>
        <v>3804090</v>
      </c>
      <c r="K184">
        <f t="shared" si="6"/>
        <v>8</v>
      </c>
      <c r="L184" cm="1">
        <f t="array" ref="L184">_xlfn.IFS(B184=2015,G184/$P$13,B184=2016,G184/$P$14,B184=2017,G184/$P$15,B184=2018,G184/$P$16,B184=2019,G184/$P$17,B184=2019,G184/$P$18,B184=2020,G184/$P$18,B184=2021,G184/$P$19,B184=2022,G184/$P$20)</f>
        <v>5.9571812374007473E-3</v>
      </c>
    </row>
    <row r="185" spans="1:12" x14ac:dyDescent="0.2">
      <c r="A185">
        <v>3800037</v>
      </c>
      <c r="B185">
        <v>2015</v>
      </c>
      <c r="C185" t="s">
        <v>252</v>
      </c>
      <c r="D185" t="s">
        <v>254</v>
      </c>
      <c r="E185" t="s">
        <v>256</v>
      </c>
      <c r="F185" s="5" t="s">
        <v>191</v>
      </c>
      <c r="G185" s="7">
        <v>8150</v>
      </c>
      <c r="H185" s="7" cm="1">
        <f t="array" ref="H185">_xlfn.IFS(B185=2015,L185*$P$3,B185=2016,L185*$P$4,B185=2017,L185*$P$5,B185=2018,L185*$P$6,B185=2019,L185*$P$7,B185=2020,L185*$P$8,B185=2021,L185*$P$9,B185=2022,L185*$P$10)</f>
        <v>184.2586464784799</v>
      </c>
      <c r="I185" s="7">
        <f t="shared" si="7"/>
        <v>8334.2586464784799</v>
      </c>
      <c r="J185">
        <f>IFERROR(VLOOKUP(F185,'LEAID Match'!$A$2:$B$227,2,FALSE),"")</f>
        <v>3800037</v>
      </c>
      <c r="K185">
        <f t="shared" si="6"/>
        <v>8</v>
      </c>
      <c r="L185" cm="1">
        <f t="array" ref="L185">_xlfn.IFS(B185=2015,G185/$P$13,B185=2016,G185/$P$14,B185=2017,G185/$P$15,B185=2018,G185/$P$16,B185=2019,G185/$P$17,B185=2019,G185/$P$18,B185=2020,G185/$P$18,B185=2021,G185/$P$19,B185=2022,G185/$P$20)</f>
        <v>1.0392478650788489E-4</v>
      </c>
    </row>
    <row r="186" spans="1:12" x14ac:dyDescent="0.2">
      <c r="A186">
        <v>3800037</v>
      </c>
      <c r="B186">
        <v>2016</v>
      </c>
      <c r="C186" t="s">
        <v>252</v>
      </c>
      <c r="D186" t="s">
        <v>254</v>
      </c>
      <c r="E186" t="s">
        <v>256</v>
      </c>
      <c r="F186" s="5" t="s">
        <v>191</v>
      </c>
      <c r="G186" s="7">
        <v>8022</v>
      </c>
      <c r="H186" s="7" cm="1">
        <f t="array" ref="H186">_xlfn.IFS(B186=2015,L186*$P$3,B186=2016,L186*$P$4,B186=2017,L186*$P$5,B186=2018,L186*$P$6,B186=2019,L186*$P$7,B186=2020,L186*$P$8,B186=2021,L186*$P$9,B186=2022,L186*$P$10)</f>
        <v>272.40348618832144</v>
      </c>
      <c r="I186" s="7">
        <f t="shared" si="7"/>
        <v>8294.403486188321</v>
      </c>
      <c r="J186">
        <f>IFERROR(VLOOKUP(F186,'LEAID Match'!$A$2:$B$227,2,FALSE),"")</f>
        <v>3800037</v>
      </c>
      <c r="K186">
        <f t="shared" si="6"/>
        <v>8</v>
      </c>
      <c r="L186" cm="1">
        <f t="array" ref="L186">_xlfn.IFS(B186=2015,G186/$P$13,B186=2016,G186/$P$14,B186=2017,G186/$P$15,B186=2018,G186/$P$16,B186=2019,G186/$P$17,B186=2019,G186/$P$18,B186=2020,G186/$P$18,B186=2021,G186/$P$19,B186=2022,G186/$P$20)</f>
        <v>9.6837357336765532E-5</v>
      </c>
    </row>
    <row r="187" spans="1:12" x14ac:dyDescent="0.2">
      <c r="A187">
        <v>3800037</v>
      </c>
      <c r="B187">
        <v>2017</v>
      </c>
      <c r="C187" t="s">
        <v>252</v>
      </c>
      <c r="D187" t="s">
        <v>254</v>
      </c>
      <c r="E187" t="s">
        <v>256</v>
      </c>
      <c r="F187" s="5" t="s">
        <v>191</v>
      </c>
      <c r="G187" s="7">
        <v>7846</v>
      </c>
      <c r="H187" s="7" cm="1">
        <f t="array" ref="H187">_xlfn.IFS(B187=2015,L187*$P$3,B187=2016,L187*$P$4,B187=2017,L187*$P$5,B187=2018,L187*$P$6,B187=2019,L187*$P$7,B187=2020,L187*$P$8,B187=2021,L187*$P$9,B187=2022,L187*$P$10)</f>
        <v>254.27356622176151</v>
      </c>
      <c r="I187" s="7">
        <f t="shared" si="7"/>
        <v>8100.2735662217619</v>
      </c>
      <c r="J187">
        <f>IFERROR(VLOOKUP(F187,'LEAID Match'!$A$2:$B$227,2,FALSE),"")</f>
        <v>3800037</v>
      </c>
      <c r="K187">
        <f t="shared" si="6"/>
        <v>8</v>
      </c>
      <c r="L187" cm="1">
        <f t="array" ref="L187">_xlfn.IFS(B187=2015,G187/$P$13,B187=2016,G187/$P$14,B187=2017,G187/$P$15,B187=2018,G187/$P$16,B187=2019,G187/$P$17,B187=2019,G187/$P$18,B187=2020,G187/$P$18,B187=2021,G187/$P$19,B187=2022,G187/$P$20)</f>
        <v>9.1170156407946039E-5</v>
      </c>
    </row>
    <row r="188" spans="1:12" x14ac:dyDescent="0.2">
      <c r="A188">
        <v>3800037</v>
      </c>
      <c r="B188" s="5">
        <v>2018</v>
      </c>
      <c r="C188" t="s">
        <v>252</v>
      </c>
      <c r="D188" t="s">
        <v>254</v>
      </c>
      <c r="E188" t="s">
        <v>256</v>
      </c>
      <c r="F188" s="5" t="s">
        <v>191</v>
      </c>
      <c r="G188" s="7">
        <v>8151</v>
      </c>
      <c r="H188" s="7" cm="1">
        <f t="array" ref="H188">_xlfn.IFS(B188=2015,L188*$P$3,B188=2016,L188*$P$4,B188=2017,L188*$P$5,B188=2018,L188*$P$6,B188=2019,L188*$P$7,B188=2020,L188*$P$8,B188=2021,L188*$P$9,B188=2022,L188*$P$10)</f>
        <v>223.34545764583052</v>
      </c>
      <c r="I188" s="7">
        <f t="shared" si="7"/>
        <v>8374.3454576458298</v>
      </c>
      <c r="J188">
        <f>IFERROR(VLOOKUP(F188,'LEAID Match'!$A$2:$B$227,2,FALSE),"")</f>
        <v>3800037</v>
      </c>
      <c r="K188">
        <f t="shared" si="6"/>
        <v>8</v>
      </c>
      <c r="L188" cm="1">
        <f t="array" ref="L188">_xlfn.IFS(B188=2015,G188/$P$13,B188=2016,G188/$P$14,B188=2017,G188/$P$15,B188=2018,G188/$P$16,B188=2019,G188/$P$17,B188=2019,G188/$P$18,B188=2020,G188/$P$18,B188=2021,G188/$P$19,B188=2022,G188/$P$20)</f>
        <v>9.4040192692981269E-5</v>
      </c>
    </row>
    <row r="189" spans="1:12" x14ac:dyDescent="0.2">
      <c r="A189">
        <v>3800037</v>
      </c>
      <c r="B189">
        <v>2019</v>
      </c>
      <c r="C189" t="s">
        <v>252</v>
      </c>
      <c r="D189" t="s">
        <v>254</v>
      </c>
      <c r="E189" t="s">
        <v>256</v>
      </c>
      <c r="F189" s="5" t="s">
        <v>191</v>
      </c>
      <c r="G189" s="5"/>
      <c r="H189" s="7" cm="1">
        <f t="array" ref="H189">_xlfn.IFS(B189=2015,L189*$P$3,B189=2016,L189*$P$4,B189=2017,L189*$P$5,B189=2018,L189*$P$6,B189=2019,L189*$P$7,B189=2020,L189*$P$8,B189=2021,L189*$P$9,B189=2022,L189*$P$10)</f>
        <v>0</v>
      </c>
      <c r="I189" s="7">
        <f t="shared" si="7"/>
        <v>0</v>
      </c>
      <c r="J189">
        <f>IFERROR(VLOOKUP(F189,'LEAID Match'!$A$2:$B$227,2,FALSE),"")</f>
        <v>3800037</v>
      </c>
      <c r="K189">
        <f t="shared" si="6"/>
        <v>8</v>
      </c>
      <c r="L189" cm="1">
        <f t="array" ref="L189">_xlfn.IFS(B189=2015,G189/$P$13,B189=2016,G189/$P$14,B189=2017,G189/$P$15,B189=2018,G189/$P$16,B189=2019,G189/$P$17,B189=2019,G189/$P$18,B189=2020,G189/$P$18,B189=2021,G189/$P$19,B189=2022,G189/$P$20)</f>
        <v>0</v>
      </c>
    </row>
    <row r="190" spans="1:12" x14ac:dyDescent="0.2">
      <c r="A190">
        <v>3800037</v>
      </c>
      <c r="B190">
        <v>2020</v>
      </c>
      <c r="C190" t="s">
        <v>252</v>
      </c>
      <c r="D190" t="s">
        <v>254</v>
      </c>
      <c r="E190" t="s">
        <v>256</v>
      </c>
      <c r="F190" s="5" t="s">
        <v>191</v>
      </c>
      <c r="G190" s="5"/>
      <c r="H190" s="7" cm="1">
        <f t="array" ref="H190">_xlfn.IFS(B190=2015,L190*$P$3,B190=2016,L190*$P$4,B190=2017,L190*$P$5,B190=2018,L190*$P$6,B190=2019,L190*$P$7,B190=2020,L190*$P$8,B190=2021,L190*$P$9,B190=2022,L190*$P$10)</f>
        <v>0</v>
      </c>
      <c r="I190" s="7">
        <f t="shared" si="7"/>
        <v>0</v>
      </c>
      <c r="J190">
        <f>IFERROR(VLOOKUP(F190,'LEAID Match'!$A$2:$B$227,2,FALSE),"")</f>
        <v>3800037</v>
      </c>
      <c r="K190">
        <f t="shared" si="6"/>
        <v>8</v>
      </c>
      <c r="L190" cm="1">
        <f t="array" ref="L190">_xlfn.IFS(B190=2015,G190/$P$13,B190=2016,G190/$P$14,B190=2017,G190/$P$15,B190=2018,G190/$P$16,B190=2019,G190/$P$17,B190=2019,G190/$P$18,B190=2020,G190/$P$18,B190=2021,G190/$P$19,B190=2022,G190/$P$20)</f>
        <v>0</v>
      </c>
    </row>
    <row r="191" spans="1:12" x14ac:dyDescent="0.2">
      <c r="A191">
        <v>3800037</v>
      </c>
      <c r="B191" s="5">
        <v>2021</v>
      </c>
      <c r="C191" t="s">
        <v>252</v>
      </c>
      <c r="D191" t="s">
        <v>254</v>
      </c>
      <c r="E191" t="s">
        <v>256</v>
      </c>
      <c r="F191" s="5" t="s">
        <v>191</v>
      </c>
      <c r="G191" s="5"/>
      <c r="H191" s="7" cm="1">
        <f t="array" ref="H191">_xlfn.IFS(B191=2015,L191*$P$3,B191=2016,L191*$P$4,B191=2017,L191*$P$5,B191=2018,L191*$P$6,B191=2019,L191*$P$7,B191=2020,L191*$P$8,B191=2021,L191*$P$9,B191=2022,L191*$P$10)</f>
        <v>0</v>
      </c>
      <c r="I191" s="7">
        <f t="shared" si="7"/>
        <v>0</v>
      </c>
      <c r="J191">
        <f>IFERROR(VLOOKUP(F191,'LEAID Match'!$A$2:$B$227,2,FALSE),"")</f>
        <v>3800037</v>
      </c>
      <c r="K191">
        <f t="shared" si="6"/>
        <v>8</v>
      </c>
      <c r="L191" cm="1">
        <f t="array" ref="L191">_xlfn.IFS(B191=2015,G191/$P$13,B191=2016,G191/$P$14,B191=2017,G191/$P$15,B191=2018,G191/$P$16,B191=2019,G191/$P$17,B191=2019,G191/$P$18,B191=2020,G191/$P$18,B191=2021,G191/$P$19,B191=2022,G191/$P$20)</f>
        <v>0</v>
      </c>
    </row>
    <row r="192" spans="1:12" x14ac:dyDescent="0.2">
      <c r="A192">
        <v>3800037</v>
      </c>
      <c r="B192">
        <v>2022</v>
      </c>
      <c r="C192" t="s">
        <v>252</v>
      </c>
      <c r="D192" t="s">
        <v>254</v>
      </c>
      <c r="E192" t="s">
        <v>256</v>
      </c>
      <c r="F192" s="5" t="s">
        <v>191</v>
      </c>
      <c r="G192" s="5"/>
      <c r="H192" s="7" cm="1">
        <f t="array" ref="H192">_xlfn.IFS(B192=2015,L192*$P$3,B192=2016,L192*$P$4,B192=2017,L192*$P$5,B192=2018,L192*$P$6,B192=2019,L192*$P$7,B192=2020,L192*$P$8,B192=2021,L192*$P$9,B192=2022,L192*$P$10)</f>
        <v>0</v>
      </c>
      <c r="I192" s="7">
        <f t="shared" si="7"/>
        <v>0</v>
      </c>
      <c r="J192">
        <f>IFERROR(VLOOKUP(F192,'LEAID Match'!$A$2:$B$227,2,FALSE),"")</f>
        <v>3800037</v>
      </c>
      <c r="K192">
        <f t="shared" si="6"/>
        <v>8</v>
      </c>
      <c r="L192" cm="1">
        <f t="array" ref="L192">_xlfn.IFS(B192=2015,G192/$P$13,B192=2016,G192/$P$14,B192=2017,G192/$P$15,B192=2018,G192/$P$16,B192=2019,G192/$P$17,B192=2019,G192/$P$18,B192=2020,G192/$P$18,B192=2021,G192/$P$19,B192=2022,G192/$P$20)</f>
        <v>0</v>
      </c>
    </row>
    <row r="193" spans="1:12" x14ac:dyDescent="0.2">
      <c r="A193">
        <v>0</v>
      </c>
      <c r="B193">
        <v>2020</v>
      </c>
      <c r="C193" t="s">
        <v>252</v>
      </c>
      <c r="D193" t="s">
        <v>254</v>
      </c>
      <c r="E193" t="s">
        <v>256</v>
      </c>
      <c r="F193" s="5" t="s">
        <v>239</v>
      </c>
      <c r="G193" s="7">
        <v>96303</v>
      </c>
      <c r="H193" s="7" cm="1">
        <f t="array" ref="H193">_xlfn.IFS(B193=2015,L193*$P$3,B193=2016,L193*$P$4,B193=2017,L193*$P$5,B193=2018,L193*$P$6,B193=2019,L193*$P$7,B193=2020,L193*$P$8,B193=2021,L193*$P$9,B193=2022,L193*$P$10)</f>
        <v>2416.051417237627</v>
      </c>
      <c r="I193" s="7">
        <f t="shared" si="7"/>
        <v>98719.051417237628</v>
      </c>
      <c r="J193">
        <f>IFERROR(VLOOKUP(F193,'LEAID Match'!$A$2:$B$227,2,FALSE),"")</f>
        <v>0</v>
      </c>
      <c r="K193">
        <f t="shared" si="6"/>
        <v>130</v>
      </c>
      <c r="L193" cm="1">
        <f t="array" ref="L193">_xlfn.IFS(B193=2015,G193/$P$13,B193=2016,G193/$P$14,B193=2017,G193/$P$15,B193=2018,G193/$P$16,B193=2019,G193/$P$17,B193=2019,G193/$P$18,B193=2020,G193/$P$18,B193=2021,G193/$P$19,B193=2022,G193/$P$20)</f>
        <v>1.035154848859309E-3</v>
      </c>
    </row>
    <row r="194" spans="1:12" x14ac:dyDescent="0.2">
      <c r="A194">
        <v>0</v>
      </c>
      <c r="B194" s="5">
        <v>2021</v>
      </c>
      <c r="C194" t="s">
        <v>252</v>
      </c>
      <c r="D194" t="s">
        <v>254</v>
      </c>
      <c r="E194" t="s">
        <v>256</v>
      </c>
      <c r="F194" s="5" t="s">
        <v>239</v>
      </c>
      <c r="G194" s="7">
        <v>101528</v>
      </c>
      <c r="H194" s="7" cm="1">
        <f t="array" ref="H194">_xlfn.IFS(B194=2015,L194*$P$3,B194=2016,L194*$P$4,B194=2017,L194*$P$5,B194=2018,L194*$P$6,B194=2019,L194*$P$7,B194=2020,L194*$P$8,B194=2021,L194*$P$9,B194=2022,L194*$P$10)</f>
        <v>2774.1808650038852</v>
      </c>
      <c r="I194" s="7">
        <f t="shared" si="7"/>
        <v>104302.18086500389</v>
      </c>
      <c r="J194">
        <f>IFERROR(VLOOKUP(F194,'LEAID Match'!$A$2:$B$227,2,FALSE),"")</f>
        <v>0</v>
      </c>
      <c r="K194">
        <f t="shared" ref="K194:K257" si="8">COUNTIF($A$2:$A$1757,A194)</f>
        <v>130</v>
      </c>
      <c r="L194" cm="1">
        <f t="array" ref="L194">_xlfn.IFS(B194=2015,G194/$P$13,B194=2016,G194/$P$14,B194=2017,G194/$P$15,B194=2018,G194/$P$16,B194=2019,G194/$P$17,B194=2019,G194/$P$18,B194=2020,G194/$P$18,B194=2021,G194/$P$19,B194=2022,G194/$P$20)</f>
        <v>1.0332144748617822E-3</v>
      </c>
    </row>
    <row r="195" spans="1:12" x14ac:dyDescent="0.2">
      <c r="A195">
        <v>0</v>
      </c>
      <c r="B195">
        <v>2022</v>
      </c>
      <c r="C195" t="s">
        <v>252</v>
      </c>
      <c r="D195" t="s">
        <v>254</v>
      </c>
      <c r="E195" t="s">
        <v>256</v>
      </c>
      <c r="F195" s="5" t="s">
        <v>239</v>
      </c>
      <c r="G195" s="7">
        <v>157848</v>
      </c>
      <c r="H195" s="7" cm="1">
        <f t="array" ref="H195">_xlfn.IFS(B195=2015,L195*$P$3,B195=2016,L195*$P$4,B195=2017,L195*$P$5,B195=2018,L195*$P$6,B195=2019,L195*$P$7,B195=2020,L195*$P$8,B195=2021,L195*$P$9,B195=2022,L195*$P$10)</f>
        <v>3212.6113649987587</v>
      </c>
      <c r="I195" s="7">
        <f t="shared" ref="I195:I258" si="9">SUM(G195:H195)</f>
        <v>161060.61136499877</v>
      </c>
      <c r="J195">
        <f>IFERROR(VLOOKUP(F195,'LEAID Match'!$A$2:$B$227,2,FALSE),"")</f>
        <v>0</v>
      </c>
      <c r="K195">
        <f t="shared" si="8"/>
        <v>130</v>
      </c>
      <c r="L195" cm="1">
        <f t="array" ref="L195">_xlfn.IFS(B195=2015,G195/$P$13,B195=2016,G195/$P$14,B195=2017,G195/$P$15,B195=2018,G195/$P$16,B195=2019,G195/$P$17,B195=2019,G195/$P$18,B195=2020,G195/$P$18,B195=2021,G195/$P$19,B195=2022,G195/$P$20)</f>
        <v>1.5732670739465027E-3</v>
      </c>
    </row>
    <row r="196" spans="1:12" x14ac:dyDescent="0.2">
      <c r="A196">
        <v>3804140</v>
      </c>
      <c r="B196">
        <v>2015</v>
      </c>
      <c r="C196" t="s">
        <v>252</v>
      </c>
      <c r="D196" t="s">
        <v>254</v>
      </c>
      <c r="E196" t="s">
        <v>256</v>
      </c>
      <c r="F196" s="5" t="s">
        <v>76</v>
      </c>
      <c r="G196" s="7">
        <v>157490</v>
      </c>
      <c r="H196" s="7" cm="1">
        <f t="array" ref="H196">_xlfn.IFS(B196=2015,L196*$P$3,B196=2016,L196*$P$4,B196=2017,L196*$P$5,B196=2018,L196*$P$6,B196=2019,L196*$P$7,B196=2020,L196*$P$8,B196=2021,L196*$P$9,B196=2022,L196*$P$10)</f>
        <v>3560.6005194964177</v>
      </c>
      <c r="I196" s="7">
        <f t="shared" si="9"/>
        <v>161050.60051949642</v>
      </c>
      <c r="J196">
        <f>IFERROR(VLOOKUP(F196,'LEAID Match'!$A$2:$B$227,2,FALSE),"")</f>
        <v>3804140</v>
      </c>
      <c r="K196">
        <f t="shared" si="8"/>
        <v>8</v>
      </c>
      <c r="L196" cm="1">
        <f t="array" ref="L196">_xlfn.IFS(B196=2015,G196/$P$13,B196=2016,G196/$P$14,B196=2017,G196/$P$15,B196=2018,G196/$P$16,B196=2019,G196/$P$17,B196=2019,G196/$P$18,B196=2020,G196/$P$18,B196=2021,G196/$P$19,B196=2022,G196/$P$20)</f>
        <v>2.0082349235738396E-3</v>
      </c>
    </row>
    <row r="197" spans="1:12" x14ac:dyDescent="0.2">
      <c r="A197">
        <v>3804140</v>
      </c>
      <c r="B197">
        <v>2016</v>
      </c>
      <c r="C197" t="s">
        <v>252</v>
      </c>
      <c r="D197" t="s">
        <v>254</v>
      </c>
      <c r="E197" t="s">
        <v>256</v>
      </c>
      <c r="F197" s="5" t="s">
        <v>76</v>
      </c>
      <c r="G197" s="7">
        <v>156970</v>
      </c>
      <c r="H197" s="7" cm="1">
        <f t="array" ref="H197">_xlfn.IFS(B197=2015,L197*$P$3,B197=2016,L197*$P$4,B197=2017,L197*$P$5,B197=2018,L197*$P$6,B197=2019,L197*$P$7,B197=2020,L197*$P$8,B197=2021,L197*$P$9,B197=2022,L197*$P$10)</f>
        <v>5330.2387468188499</v>
      </c>
      <c r="I197" s="7">
        <f t="shared" si="9"/>
        <v>162300.23874681885</v>
      </c>
      <c r="J197">
        <f>IFERROR(VLOOKUP(F197,'LEAID Match'!$A$2:$B$227,2,FALSE),"")</f>
        <v>3804140</v>
      </c>
      <c r="K197">
        <f t="shared" si="8"/>
        <v>8</v>
      </c>
      <c r="L197" cm="1">
        <f t="array" ref="L197">_xlfn.IFS(B197=2015,G197/$P$13,B197=2016,G197/$P$14,B197=2017,G197/$P$15,B197=2018,G197/$P$16,B197=2019,G197/$P$17,B197=2019,G197/$P$18,B197=2020,G197/$P$18,B197=2021,G197/$P$19,B197=2022,G197/$P$20)</f>
        <v>1.8948591350226981E-3</v>
      </c>
    </row>
    <row r="198" spans="1:12" x14ac:dyDescent="0.2">
      <c r="A198">
        <v>3804140</v>
      </c>
      <c r="B198">
        <v>2017</v>
      </c>
      <c r="C198" t="s">
        <v>252</v>
      </c>
      <c r="D198" t="s">
        <v>254</v>
      </c>
      <c r="E198" t="s">
        <v>256</v>
      </c>
      <c r="F198" s="5" t="s">
        <v>76</v>
      </c>
      <c r="G198" s="7">
        <v>162097</v>
      </c>
      <c r="H198" s="7" cm="1">
        <f t="array" ref="H198">_xlfn.IFS(B198=2015,L198*$P$3,B198=2016,L198*$P$4,B198=2017,L198*$P$5,B198=2018,L198*$P$6,B198=2019,L198*$P$7,B198=2020,L198*$P$8,B198=2021,L198*$P$9,B198=2022,L198*$P$10)</f>
        <v>5253.2478031925666</v>
      </c>
      <c r="I198" s="7">
        <f t="shared" si="9"/>
        <v>167350.24780319256</v>
      </c>
      <c r="J198">
        <f>IFERROR(VLOOKUP(F198,'LEAID Match'!$A$2:$B$227,2,FALSE),"")</f>
        <v>3804140</v>
      </c>
      <c r="K198">
        <f t="shared" si="8"/>
        <v>8</v>
      </c>
      <c r="L198" cm="1">
        <f t="array" ref="L198">_xlfn.IFS(B198=2015,G198/$P$13,B198=2016,G198/$P$14,B198=2017,G198/$P$15,B198=2018,G198/$P$16,B198=2019,G198/$P$17,B198=2019,G198/$P$18,B198=2020,G198/$P$18,B198=2021,G198/$P$19,B198=2022,G198/$P$20)</f>
        <v>1.8835596282511891E-3</v>
      </c>
    </row>
    <row r="199" spans="1:12" x14ac:dyDescent="0.2">
      <c r="A199">
        <v>3804140</v>
      </c>
      <c r="B199" s="5">
        <v>2018</v>
      </c>
      <c r="C199" t="s">
        <v>252</v>
      </c>
      <c r="D199" t="s">
        <v>254</v>
      </c>
      <c r="E199" t="s">
        <v>256</v>
      </c>
      <c r="F199" s="5" t="s">
        <v>76</v>
      </c>
      <c r="G199" s="7">
        <v>165332</v>
      </c>
      <c r="H199" s="7" cm="1">
        <f t="array" ref="H199">_xlfn.IFS(B199=2015,L199*$P$3,B199=2016,L199*$P$4,B199=2017,L199*$P$5,B199=2018,L199*$P$6,B199=2019,L199*$P$7,B199=2020,L199*$P$8,B199=2021,L199*$P$9,B199=2022,L199*$P$10)</f>
        <v>4530.2602384370566</v>
      </c>
      <c r="I199" s="7">
        <f t="shared" si="9"/>
        <v>169862.26023843707</v>
      </c>
      <c r="J199">
        <f>IFERROR(VLOOKUP(F199,'LEAID Match'!$A$2:$B$227,2,FALSE),"")</f>
        <v>3804140</v>
      </c>
      <c r="K199">
        <f t="shared" si="8"/>
        <v>8</v>
      </c>
      <c r="L199" cm="1">
        <f t="array" ref="L199">_xlfn.IFS(B199=2015,G199/$P$13,B199=2016,G199/$P$14,B199=2017,G199/$P$15,B199=2018,G199/$P$16,B199=2019,G199/$P$17,B199=2019,G199/$P$18,B199=2020,G199/$P$18,B199=2021,G199/$P$19,B199=2022,G199/$P$20)</f>
        <v>1.9074779951313923E-3</v>
      </c>
    </row>
    <row r="200" spans="1:12" x14ac:dyDescent="0.2">
      <c r="A200">
        <v>3804140</v>
      </c>
      <c r="B200">
        <v>2019</v>
      </c>
      <c r="C200" t="s">
        <v>252</v>
      </c>
      <c r="D200" t="s">
        <v>254</v>
      </c>
      <c r="E200" t="s">
        <v>256</v>
      </c>
      <c r="F200" s="5" t="s">
        <v>76</v>
      </c>
      <c r="G200" s="7">
        <v>170426</v>
      </c>
      <c r="H200" s="7" cm="1">
        <f t="array" ref="H200">_xlfn.IFS(B200=2015,L200*$P$3,B200=2016,L200*$P$4,B200=2017,L200*$P$5,B200=2018,L200*$P$6,B200=2019,L200*$P$7,B200=2020,L200*$P$8,B200=2021,L200*$P$9,B200=2022,L200*$P$10)</f>
        <v>3955.5576126883952</v>
      </c>
      <c r="I200" s="7">
        <f t="shared" si="9"/>
        <v>174381.5576126884</v>
      </c>
      <c r="J200">
        <f>IFERROR(VLOOKUP(F200,'LEAID Match'!$A$2:$B$227,2,FALSE),"")</f>
        <v>3804140</v>
      </c>
      <c r="K200">
        <f t="shared" si="8"/>
        <v>8</v>
      </c>
      <c r="L200" cm="1">
        <f t="array" ref="L200">_xlfn.IFS(B200=2015,G200/$P$13,B200=2016,G200/$P$14,B200=2017,G200/$P$15,B200=2018,G200/$P$16,B200=2019,G200/$P$17,B200=2019,G200/$P$18,B200=2020,G200/$P$18,B200=2021,G200/$P$19,B200=2022,G200/$P$20)</f>
        <v>1.9053745725859323E-3</v>
      </c>
    </row>
    <row r="201" spans="1:12" x14ac:dyDescent="0.2">
      <c r="A201">
        <v>3804140</v>
      </c>
      <c r="B201">
        <v>2020</v>
      </c>
      <c r="C201" t="s">
        <v>252</v>
      </c>
      <c r="D201" t="s">
        <v>254</v>
      </c>
      <c r="E201" t="s">
        <v>256</v>
      </c>
      <c r="F201" s="5" t="s">
        <v>76</v>
      </c>
      <c r="G201" s="7">
        <v>173783</v>
      </c>
      <c r="H201" s="7" cm="1">
        <f t="array" ref="H201">_xlfn.IFS(B201=2015,L201*$P$3,B201=2016,L201*$P$4,B201=2017,L201*$P$5,B201=2018,L201*$P$6,B201=2019,L201*$P$7,B201=2020,L201*$P$8,B201=2021,L201*$P$9,B201=2022,L201*$P$10)</f>
        <v>4359.8710677944255</v>
      </c>
      <c r="I201" s="7">
        <f t="shared" si="9"/>
        <v>178142.87106779442</v>
      </c>
      <c r="J201">
        <f>IFERROR(VLOOKUP(F201,'LEAID Match'!$A$2:$B$227,2,FALSE),"")</f>
        <v>3804140</v>
      </c>
      <c r="K201">
        <f t="shared" si="8"/>
        <v>8</v>
      </c>
      <c r="L201" cm="1">
        <f t="array" ref="L201">_xlfn.IFS(B201=2015,G201/$P$13,B201=2016,G201/$P$14,B201=2017,G201/$P$15,B201=2018,G201/$P$16,B201=2019,G201/$P$17,B201=2019,G201/$P$18,B201=2020,G201/$P$18,B201=2021,G201/$P$19,B201=2022,G201/$P$20)</f>
        <v>1.8679824626368574E-3</v>
      </c>
    </row>
    <row r="202" spans="1:12" x14ac:dyDescent="0.2">
      <c r="A202">
        <v>3804140</v>
      </c>
      <c r="B202" s="5">
        <v>2021</v>
      </c>
      <c r="C202" t="s">
        <v>252</v>
      </c>
      <c r="D202" t="s">
        <v>254</v>
      </c>
      <c r="E202" t="s">
        <v>256</v>
      </c>
      <c r="F202" s="5" t="s">
        <v>76</v>
      </c>
      <c r="G202" s="7">
        <v>181724</v>
      </c>
      <c r="H202" s="7" cm="1">
        <f t="array" ref="H202">_xlfn.IFS(B202=2015,L202*$P$3,B202=2016,L202*$P$4,B202=2017,L202*$P$5,B202=2018,L202*$P$6,B202=2019,L202*$P$7,B202=2020,L202*$P$8,B202=2021,L202*$P$9,B202=2022,L202*$P$10)</f>
        <v>4965.4799022138341</v>
      </c>
      <c r="I202" s="7">
        <f t="shared" si="9"/>
        <v>186689.47990221385</v>
      </c>
      <c r="J202">
        <f>IFERROR(VLOOKUP(F202,'LEAID Match'!$A$2:$B$227,2,FALSE),"")</f>
        <v>3804140</v>
      </c>
      <c r="K202">
        <f t="shared" si="8"/>
        <v>8</v>
      </c>
      <c r="L202" cm="1">
        <f t="array" ref="L202">_xlfn.IFS(B202=2015,G202/$P$13,B202=2016,G202/$P$14,B202=2017,G202/$P$15,B202=2018,G202/$P$16,B202=2019,G202/$P$17,B202=2019,G202/$P$18,B202=2020,G202/$P$18,B202=2021,G202/$P$19,B202=2022,G202/$P$20)</f>
        <v>1.8493407457034763E-3</v>
      </c>
    </row>
    <row r="203" spans="1:12" x14ac:dyDescent="0.2">
      <c r="A203">
        <v>3804140</v>
      </c>
      <c r="B203">
        <v>2022</v>
      </c>
      <c r="C203" t="s">
        <v>252</v>
      </c>
      <c r="D203" t="s">
        <v>254</v>
      </c>
      <c r="E203" t="s">
        <v>256</v>
      </c>
      <c r="F203" s="5" t="s">
        <v>76</v>
      </c>
      <c r="G203" s="7">
        <v>175188</v>
      </c>
      <c r="H203" s="7" cm="1">
        <f t="array" ref="H203">_xlfn.IFS(B203=2015,L203*$P$3,B203=2016,L203*$P$4,B203=2017,L203*$P$5,B203=2018,L203*$P$6,B203=2019,L203*$P$7,B203=2020,L203*$P$8,B203=2021,L203*$P$9,B203=2022,L203*$P$10)</f>
        <v>3565.5248074818974</v>
      </c>
      <c r="I203" s="7">
        <f t="shared" si="9"/>
        <v>178753.52480748191</v>
      </c>
      <c r="J203">
        <f>IFERROR(VLOOKUP(F203,'LEAID Match'!$A$2:$B$227,2,FALSE),"")</f>
        <v>3804140</v>
      </c>
      <c r="K203">
        <f t="shared" si="8"/>
        <v>8</v>
      </c>
      <c r="L203" cm="1">
        <f t="array" ref="L203">_xlfn.IFS(B203=2015,G203/$P$13,B203=2016,G203/$P$14,B203=2017,G203/$P$15,B203=2018,G203/$P$16,B203=2019,G203/$P$17,B203=2019,G203/$P$18,B203=2020,G203/$P$18,B203=2021,G203/$P$19,B203=2022,G203/$P$20)</f>
        <v>1.7460944209020065E-3</v>
      </c>
    </row>
    <row r="204" spans="1:12" x14ac:dyDescent="0.2">
      <c r="A204">
        <v>3800040</v>
      </c>
      <c r="B204">
        <v>2015</v>
      </c>
      <c r="C204" t="s">
        <v>252</v>
      </c>
      <c r="D204" t="s">
        <v>254</v>
      </c>
      <c r="E204" t="s">
        <v>256</v>
      </c>
      <c r="F204" s="5" t="s">
        <v>77</v>
      </c>
      <c r="G204" s="7">
        <v>224097</v>
      </c>
      <c r="H204" s="7" cm="1">
        <f t="array" ref="H204">_xlfn.IFS(B204=2015,L204*$P$3,B204=2016,L204*$P$4,B204=2017,L204*$P$5,B204=2018,L204*$P$6,B204=2019,L204*$P$7,B204=2020,L204*$P$8,B204=2021,L204*$P$9,B204=2022,L204*$P$10)</f>
        <v>5066.4797423175351</v>
      </c>
      <c r="I204" s="7">
        <f t="shared" si="9"/>
        <v>229163.47974231755</v>
      </c>
      <c r="J204">
        <f>IFERROR(VLOOKUP(F204,'LEAID Match'!$A$2:$B$227,2,FALSE),"")</f>
        <v>3800040</v>
      </c>
      <c r="K204">
        <f t="shared" si="8"/>
        <v>8</v>
      </c>
      <c r="L204" cm="1">
        <f t="array" ref="L204">_xlfn.IFS(B204=2015,G204/$P$13,B204=2016,G204/$P$14,B204=2017,G204/$P$15,B204=2018,G204/$P$16,B204=2019,G204/$P$17,B204=2019,G204/$P$18,B204=2020,G204/$P$18,B204=2021,G204/$P$19,B204=2022,G204/$P$20)</f>
        <v>2.857574586755519E-3</v>
      </c>
    </row>
    <row r="205" spans="1:12" x14ac:dyDescent="0.2">
      <c r="A205">
        <v>3800040</v>
      </c>
      <c r="B205">
        <v>2016</v>
      </c>
      <c r="C205" t="s">
        <v>252</v>
      </c>
      <c r="D205" t="s">
        <v>254</v>
      </c>
      <c r="E205" t="s">
        <v>256</v>
      </c>
      <c r="F205" s="5" t="s">
        <v>77</v>
      </c>
      <c r="G205" s="7">
        <v>237956</v>
      </c>
      <c r="H205" s="7" cm="1">
        <f t="array" ref="H205">_xlfn.IFS(B205=2015,L205*$P$3,B205=2016,L205*$P$4,B205=2017,L205*$P$5,B205=2018,L205*$P$6,B205=2019,L205*$P$7,B205=2020,L205*$P$8,B205=2021,L205*$P$9,B205=2022,L205*$P$10)</f>
        <v>8080.2847119706066</v>
      </c>
      <c r="I205" s="7">
        <f t="shared" si="9"/>
        <v>246036.2847119706</v>
      </c>
      <c r="J205">
        <f>IFERROR(VLOOKUP(F205,'LEAID Match'!$A$2:$B$227,2,FALSE),"")</f>
        <v>3800040</v>
      </c>
      <c r="K205">
        <f t="shared" si="8"/>
        <v>8</v>
      </c>
      <c r="L205" cm="1">
        <f t="array" ref="L205">_xlfn.IFS(B205=2015,G205/$P$13,B205=2016,G205/$P$14,B205=2017,G205/$P$15,B205=2018,G205/$P$16,B205=2019,G205/$P$17,B205=2019,G205/$P$18,B205=2020,G205/$P$18,B205=2021,G205/$P$19,B205=2022,G205/$P$20)</f>
        <v>2.8724794567972296E-3</v>
      </c>
    </row>
    <row r="206" spans="1:12" x14ac:dyDescent="0.2">
      <c r="A206">
        <v>3800040</v>
      </c>
      <c r="B206">
        <v>2017</v>
      </c>
      <c r="C206" t="s">
        <v>252</v>
      </c>
      <c r="D206" t="s">
        <v>254</v>
      </c>
      <c r="E206" t="s">
        <v>256</v>
      </c>
      <c r="F206" s="5" t="s">
        <v>77</v>
      </c>
      <c r="G206" s="7">
        <v>240781</v>
      </c>
      <c r="H206" s="7" cm="1">
        <f t="array" ref="H206">_xlfn.IFS(B206=2015,L206*$P$3,B206=2016,L206*$P$4,B206=2017,L206*$P$5,B206=2018,L206*$P$6,B206=2019,L206*$P$7,B206=2020,L206*$P$8,B206=2021,L206*$P$9,B206=2022,L206*$P$10)</f>
        <v>7803.2428687792444</v>
      </c>
      <c r="I206" s="7">
        <f t="shared" si="9"/>
        <v>248584.24286877926</v>
      </c>
      <c r="J206">
        <f>IFERROR(VLOOKUP(F206,'LEAID Match'!$A$2:$B$227,2,FALSE),"")</f>
        <v>3800040</v>
      </c>
      <c r="K206">
        <f t="shared" si="8"/>
        <v>8</v>
      </c>
      <c r="L206" cm="1">
        <f t="array" ref="L206">_xlfn.IFS(B206=2015,G206/$P$13,B206=2016,G206/$P$14,B206=2017,G206/$P$15,B206=2018,G206/$P$16,B206=2019,G206/$P$17,B206=2019,G206/$P$18,B206=2020,G206/$P$18,B206=2021,G206/$P$19,B206=2022,G206/$P$20)</f>
        <v>2.7978640619502489E-3</v>
      </c>
    </row>
    <row r="207" spans="1:12" x14ac:dyDescent="0.2">
      <c r="A207">
        <v>3800040</v>
      </c>
      <c r="B207" s="5">
        <v>2018</v>
      </c>
      <c r="C207" t="s">
        <v>252</v>
      </c>
      <c r="D207" t="s">
        <v>254</v>
      </c>
      <c r="E207" t="s">
        <v>256</v>
      </c>
      <c r="F207" s="5" t="s">
        <v>77</v>
      </c>
      <c r="G207" s="7">
        <v>258325</v>
      </c>
      <c r="H207" s="7" cm="1">
        <f t="array" ref="H207">_xlfn.IFS(B207=2015,L207*$P$3,B207=2016,L207*$P$4,B207=2017,L207*$P$5,B207=2018,L207*$P$6,B207=2019,L207*$P$7,B207=2020,L207*$P$8,B207=2021,L207*$P$9,B207=2022,L207*$P$10)</f>
        <v>7078.3603663794829</v>
      </c>
      <c r="I207" s="7">
        <f t="shared" si="9"/>
        <v>265403.36036637949</v>
      </c>
      <c r="J207">
        <f>IFERROR(VLOOKUP(F207,'LEAID Match'!$A$2:$B$227,2,FALSE),"")</f>
        <v>3800040</v>
      </c>
      <c r="K207">
        <f t="shared" si="8"/>
        <v>8</v>
      </c>
      <c r="L207" cm="1">
        <f t="array" ref="L207">_xlfn.IFS(B207=2015,G207/$P$13,B207=2016,G207/$P$14,B207=2017,G207/$P$15,B207=2018,G207/$P$16,B207=2019,G207/$P$17,B207=2019,G207/$P$18,B207=2020,G207/$P$18,B207=2021,G207/$P$19,B207=2022,G207/$P$20)</f>
        <v>2.9803622595282035E-3</v>
      </c>
    </row>
    <row r="208" spans="1:12" x14ac:dyDescent="0.2">
      <c r="A208">
        <v>3800040</v>
      </c>
      <c r="B208">
        <v>2019</v>
      </c>
      <c r="C208" t="s">
        <v>252</v>
      </c>
      <c r="D208" t="s">
        <v>254</v>
      </c>
      <c r="E208" t="s">
        <v>256</v>
      </c>
      <c r="F208" s="5" t="s">
        <v>77</v>
      </c>
      <c r="G208" s="7">
        <v>259484</v>
      </c>
      <c r="H208" s="7" cm="1">
        <f t="array" ref="H208">_xlfn.IFS(B208=2015,L208*$P$3,B208=2016,L208*$P$4,B208=2017,L208*$P$5,B208=2018,L208*$P$6,B208=2019,L208*$P$7,B208=2020,L208*$P$8,B208=2021,L208*$P$9,B208=2022,L208*$P$10)</f>
        <v>6022.578195644066</v>
      </c>
      <c r="I208" s="7">
        <f t="shared" si="9"/>
        <v>265506.57819564408</v>
      </c>
      <c r="J208">
        <f>IFERROR(VLOOKUP(F208,'LEAID Match'!$A$2:$B$227,2,FALSE),"")</f>
        <v>3800040</v>
      </c>
      <c r="K208">
        <f t="shared" si="8"/>
        <v>8</v>
      </c>
      <c r="L208" cm="1">
        <f t="array" ref="L208">_xlfn.IFS(B208=2015,G208/$P$13,B208=2016,G208/$P$14,B208=2017,G208/$P$15,B208=2018,G208/$P$16,B208=2019,G208/$P$17,B208=2019,G208/$P$18,B208=2020,G208/$P$18,B208=2021,G208/$P$19,B208=2022,G208/$P$20)</f>
        <v>2.9010492271888564E-3</v>
      </c>
    </row>
    <row r="209" spans="1:12" x14ac:dyDescent="0.2">
      <c r="A209">
        <v>3800040</v>
      </c>
      <c r="B209">
        <v>2020</v>
      </c>
      <c r="C209" t="s">
        <v>252</v>
      </c>
      <c r="D209" t="s">
        <v>254</v>
      </c>
      <c r="E209" t="s">
        <v>256</v>
      </c>
      <c r="F209" s="5" t="s">
        <v>77</v>
      </c>
      <c r="G209" s="7">
        <v>285783</v>
      </c>
      <c r="H209" s="7" cm="1">
        <f t="array" ref="H209">_xlfn.IFS(B209=2015,L209*$P$3,B209=2016,L209*$P$4,B209=2017,L209*$P$5,B209=2018,L209*$P$6,B209=2019,L209*$P$7,B209=2020,L209*$P$8,B209=2021,L209*$P$9,B209=2022,L209*$P$10)</f>
        <v>7169.7291068027034</v>
      </c>
      <c r="I209" s="7">
        <f t="shared" si="9"/>
        <v>292952.72910680273</v>
      </c>
      <c r="J209">
        <f>IFERROR(VLOOKUP(F209,'LEAID Match'!$A$2:$B$227,2,FALSE),"")</f>
        <v>3800040</v>
      </c>
      <c r="K209">
        <f t="shared" si="8"/>
        <v>8</v>
      </c>
      <c r="L209" cm="1">
        <f t="array" ref="L209">_xlfn.IFS(B209=2015,G209/$P$13,B209=2016,G209/$P$14,B209=2017,G209/$P$15,B209=2018,G209/$P$16,B209=2019,G209/$P$17,B209=2019,G209/$P$18,B209=2020,G209/$P$18,B209=2021,G209/$P$19,B209=2022,G209/$P$20)</f>
        <v>3.0718633705238661E-3</v>
      </c>
    </row>
    <row r="210" spans="1:12" x14ac:dyDescent="0.2">
      <c r="A210">
        <v>3800040</v>
      </c>
      <c r="B210" s="5">
        <v>2021</v>
      </c>
      <c r="C210" t="s">
        <v>252</v>
      </c>
      <c r="D210" t="s">
        <v>254</v>
      </c>
      <c r="E210" t="s">
        <v>256</v>
      </c>
      <c r="F210" s="5" t="s">
        <v>77</v>
      </c>
      <c r="G210" s="7">
        <v>294834</v>
      </c>
      <c r="H210" s="7" cm="1">
        <f t="array" ref="H210">_xlfn.IFS(B210=2015,L210*$P$3,B210=2016,L210*$P$4,B210=2017,L210*$P$5,B210=2018,L210*$P$6,B210=2019,L210*$P$7,B210=2020,L210*$P$8,B210=2021,L210*$P$9,B210=2022,L210*$P$10)</f>
        <v>8056.1307339113891</v>
      </c>
      <c r="I210" s="7">
        <f t="shared" si="9"/>
        <v>302890.13073391141</v>
      </c>
      <c r="J210">
        <f>IFERROR(VLOOKUP(F210,'LEAID Match'!$A$2:$B$227,2,FALSE),"")</f>
        <v>3800040</v>
      </c>
      <c r="K210">
        <f t="shared" si="8"/>
        <v>8</v>
      </c>
      <c r="L210" cm="1">
        <f t="array" ref="L210">_xlfn.IFS(B210=2015,G210/$P$13,B210=2016,G210/$P$14,B210=2017,G210/$P$15,B210=2018,G210/$P$16,B210=2019,G210/$P$17,B210=2019,G210/$P$18,B210=2020,G210/$P$18,B210=2021,G210/$P$19,B210=2022,G210/$P$20)</f>
        <v>3.0004211299483759E-3</v>
      </c>
    </row>
    <row r="211" spans="1:12" x14ac:dyDescent="0.2">
      <c r="A211">
        <v>3800040</v>
      </c>
      <c r="B211">
        <v>2022</v>
      </c>
      <c r="C211" t="s">
        <v>252</v>
      </c>
      <c r="D211" t="s">
        <v>254</v>
      </c>
      <c r="E211" t="s">
        <v>256</v>
      </c>
      <c r="F211" s="5" t="s">
        <v>77</v>
      </c>
      <c r="G211" s="7">
        <v>289448</v>
      </c>
      <c r="H211" s="7" cm="1">
        <f t="array" ref="H211">_xlfn.IFS(B211=2015,L211*$P$3,B211=2016,L211*$P$4,B211=2017,L211*$P$5,B211=2018,L211*$P$6,B211=2019,L211*$P$7,B211=2020,L211*$P$8,B211=2021,L211*$P$9,B211=2022,L211*$P$10)</f>
        <v>5891.0086562779425</v>
      </c>
      <c r="I211" s="7">
        <f t="shared" si="9"/>
        <v>295339.00865627796</v>
      </c>
      <c r="J211">
        <f>IFERROR(VLOOKUP(F211,'LEAID Match'!$A$2:$B$227,2,FALSE),"")</f>
        <v>3800040</v>
      </c>
      <c r="K211">
        <f t="shared" si="8"/>
        <v>8</v>
      </c>
      <c r="L211" cm="1">
        <f t="array" ref="L211">_xlfn.IFS(B211=2015,G211/$P$13,B211=2016,G211/$P$14,B211=2017,G211/$P$15,B211=2018,G211/$P$16,B211=2019,G211/$P$17,B211=2019,G211/$P$18,B211=2020,G211/$P$18,B211=2021,G211/$P$19,B211=2022,G211/$P$20)</f>
        <v>2.884920987403498E-3</v>
      </c>
    </row>
    <row r="212" spans="1:12" x14ac:dyDescent="0.2">
      <c r="A212">
        <v>3805040</v>
      </c>
      <c r="B212">
        <v>2015</v>
      </c>
      <c r="C212" t="s">
        <v>252</v>
      </c>
      <c r="D212" t="s">
        <v>254</v>
      </c>
      <c r="E212" t="s">
        <v>256</v>
      </c>
      <c r="F212" s="5" t="s">
        <v>78</v>
      </c>
      <c r="G212" s="7">
        <v>1297360</v>
      </c>
      <c r="H212" s="7" cm="1">
        <f t="array" ref="H212">_xlfn.IFS(B212=2015,L212*$P$3,B212=2016,L212*$P$4,B212=2017,L212*$P$5,B212=2018,L212*$P$6,B212=2019,L212*$P$7,B212=2020,L212*$P$8,B212=2021,L212*$P$9,B212=2022,L212*$P$10)</f>
        <v>29331.263508628308</v>
      </c>
      <c r="I212" s="7">
        <f t="shared" si="9"/>
        <v>1326691.2635086284</v>
      </c>
      <c r="J212">
        <f>IFERROR(VLOOKUP(F212,'LEAID Match'!$A$2:$B$227,2,FALSE),"")</f>
        <v>3805040</v>
      </c>
      <c r="K212">
        <f t="shared" si="8"/>
        <v>8</v>
      </c>
      <c r="L212" cm="1">
        <f t="array" ref="L212">_xlfn.IFS(B212=2015,G212/$P$13,B212=2016,G212/$P$14,B212=2017,G212/$P$15,B212=2018,G212/$P$16,B212=2019,G212/$P$17,B212=2019,G212/$P$18,B212=2020,G212/$P$18,B212=2021,G212/$P$19,B212=2022,G212/$P$20)</f>
        <v>1.6543295831149638E-2</v>
      </c>
    </row>
    <row r="213" spans="1:12" x14ac:dyDescent="0.2">
      <c r="A213">
        <v>3805040</v>
      </c>
      <c r="B213">
        <v>2016</v>
      </c>
      <c r="C213" t="s">
        <v>252</v>
      </c>
      <c r="D213" t="s">
        <v>254</v>
      </c>
      <c r="E213" t="s">
        <v>256</v>
      </c>
      <c r="F213" s="5" t="s">
        <v>78</v>
      </c>
      <c r="G213" s="7">
        <v>1315170</v>
      </c>
      <c r="H213" s="7" cm="1">
        <f t="array" ref="H213">_xlfn.IFS(B213=2015,L213*$P$3,B213=2016,L213*$P$4,B213=2017,L213*$P$5,B213=2018,L213*$P$6,B213=2019,L213*$P$7,B213=2020,L213*$P$8,B213=2021,L213*$P$9,B213=2022,L213*$P$10)</f>
        <v>44659.298545287296</v>
      </c>
      <c r="I213" s="7">
        <f t="shared" si="9"/>
        <v>1359829.2985452872</v>
      </c>
      <c r="J213">
        <f>IFERROR(VLOOKUP(F213,'LEAID Match'!$A$2:$B$227,2,FALSE),"")</f>
        <v>3805040</v>
      </c>
      <c r="K213">
        <f t="shared" si="8"/>
        <v>8</v>
      </c>
      <c r="L213" cm="1">
        <f t="array" ref="L213">_xlfn.IFS(B213=2015,G213/$P$13,B213=2016,G213/$P$14,B213=2017,G213/$P$15,B213=2018,G213/$P$16,B213=2019,G213/$P$17,B213=2019,G213/$P$18,B213=2020,G213/$P$18,B213=2021,G213/$P$19,B213=2022,G213/$P$20)</f>
        <v>1.5876039298004727E-2</v>
      </c>
    </row>
    <row r="214" spans="1:12" x14ac:dyDescent="0.2">
      <c r="A214">
        <v>3805040</v>
      </c>
      <c r="B214">
        <v>2017</v>
      </c>
      <c r="C214" t="s">
        <v>252</v>
      </c>
      <c r="D214" t="s">
        <v>254</v>
      </c>
      <c r="E214" t="s">
        <v>256</v>
      </c>
      <c r="F214" s="5" t="s">
        <v>78</v>
      </c>
      <c r="G214" s="7">
        <v>1328611</v>
      </c>
      <c r="H214" s="7" cm="1">
        <f t="array" ref="H214">_xlfn.IFS(B214=2015,L214*$P$3,B214=2016,L214*$P$4,B214=2017,L214*$P$5,B214=2018,L214*$P$6,B214=2019,L214*$P$7,B214=2020,L214*$P$8,B214=2021,L214*$P$9,B214=2022,L214*$P$10)</f>
        <v>43057.692721317966</v>
      </c>
      <c r="I214" s="7">
        <f t="shared" si="9"/>
        <v>1371668.692721318</v>
      </c>
      <c r="J214">
        <f>IFERROR(VLOOKUP(F214,'LEAID Match'!$A$2:$B$227,2,FALSE),"")</f>
        <v>3805040</v>
      </c>
      <c r="K214">
        <f t="shared" si="8"/>
        <v>8</v>
      </c>
      <c r="L214" cm="1">
        <f t="array" ref="L214">_xlfn.IFS(B214=2015,G214/$P$13,B214=2016,G214/$P$14,B214=2017,G214/$P$15,B214=2018,G214/$P$16,B214=2019,G214/$P$17,B214=2019,G214/$P$18,B214=2020,G214/$P$18,B214=2021,G214/$P$19,B214=2022,G214/$P$20)</f>
        <v>1.5438398250741472E-2</v>
      </c>
    </row>
    <row r="215" spans="1:12" x14ac:dyDescent="0.2">
      <c r="A215">
        <v>3805040</v>
      </c>
      <c r="B215" s="5">
        <v>2018</v>
      </c>
      <c r="C215" t="s">
        <v>252</v>
      </c>
      <c r="D215" t="s">
        <v>254</v>
      </c>
      <c r="E215" t="s">
        <v>256</v>
      </c>
      <c r="F215" s="5" t="s">
        <v>78</v>
      </c>
      <c r="G215" s="7">
        <v>1302910</v>
      </c>
      <c r="H215" s="7" cm="1">
        <f t="array" ref="H215">_xlfn.IFS(B215=2015,L215*$P$3,B215=2016,L215*$P$4,B215=2017,L215*$P$5,B215=2018,L215*$P$6,B215=2019,L215*$P$7,B215=2020,L215*$P$8,B215=2021,L215*$P$9,B215=2022,L215*$P$10)</f>
        <v>35701.021987649248</v>
      </c>
      <c r="I215" s="7">
        <f t="shared" si="9"/>
        <v>1338611.0219876491</v>
      </c>
      <c r="J215">
        <f>IFERROR(VLOOKUP(F215,'LEAID Match'!$A$2:$B$227,2,FALSE),"")</f>
        <v>3805040</v>
      </c>
      <c r="K215">
        <f t="shared" si="8"/>
        <v>8</v>
      </c>
      <c r="L215" cm="1">
        <f t="array" ref="L215">_xlfn.IFS(B215=2015,G215/$P$13,B215=2016,G215/$P$14,B215=2017,G215/$P$15,B215=2018,G215/$P$16,B215=2019,G215/$P$17,B215=2019,G215/$P$18,B215=2020,G215/$P$18,B215=2021,G215/$P$19,B215=2022,G215/$P$20)</f>
        <v>1.503200925795758E-2</v>
      </c>
    </row>
    <row r="216" spans="1:12" x14ac:dyDescent="0.2">
      <c r="A216">
        <v>3805040</v>
      </c>
      <c r="B216">
        <v>2019</v>
      </c>
      <c r="C216" t="s">
        <v>252</v>
      </c>
      <c r="D216" t="s">
        <v>254</v>
      </c>
      <c r="E216" t="s">
        <v>256</v>
      </c>
      <c r="F216" s="5" t="s">
        <v>78</v>
      </c>
      <c r="G216" s="7">
        <v>1379747</v>
      </c>
      <c r="H216" s="7" cm="1">
        <f t="array" ref="H216">_xlfn.IFS(B216=2015,L216*$P$3,B216=2016,L216*$P$4,B216=2017,L216*$P$5,B216=2018,L216*$P$6,B216=2019,L216*$P$7,B216=2020,L216*$P$8,B216=2021,L216*$P$9,B216=2022,L216*$P$10)</f>
        <v>32023.686229999974</v>
      </c>
      <c r="I216" s="7">
        <f t="shared" si="9"/>
        <v>1411770.6862299999</v>
      </c>
      <c r="J216">
        <f>IFERROR(VLOOKUP(F216,'LEAID Match'!$A$2:$B$227,2,FALSE),"")</f>
        <v>3805040</v>
      </c>
      <c r="K216">
        <f t="shared" si="8"/>
        <v>8</v>
      </c>
      <c r="L216" cm="1">
        <f t="array" ref="L216">_xlfn.IFS(B216=2015,G216/$P$13,B216=2016,G216/$P$14,B216=2017,G216/$P$15,B216=2018,G216/$P$16,B216=2019,G216/$P$17,B216=2019,G216/$P$18,B216=2020,G216/$P$18,B216=2021,G216/$P$19,B216=2022,G216/$P$20)</f>
        <v>1.5425667740847771E-2</v>
      </c>
    </row>
    <row r="217" spans="1:12" x14ac:dyDescent="0.2">
      <c r="A217">
        <v>3805040</v>
      </c>
      <c r="B217">
        <v>2020</v>
      </c>
      <c r="C217" t="s">
        <v>252</v>
      </c>
      <c r="D217" t="s">
        <v>254</v>
      </c>
      <c r="E217" t="s">
        <v>256</v>
      </c>
      <c r="F217" s="5" t="s">
        <v>78</v>
      </c>
      <c r="G217" s="7">
        <v>1446047</v>
      </c>
      <c r="H217" s="7" cm="1">
        <f t="array" ref="H217">_xlfn.IFS(B217=2015,L217*$P$3,B217=2016,L217*$P$4,B217=2017,L217*$P$5,B217=2018,L217*$P$6,B217=2019,L217*$P$7,B217=2020,L217*$P$8,B217=2021,L217*$P$9,B217=2022,L217*$P$10)</f>
        <v>36278.453461908961</v>
      </c>
      <c r="I217" s="7">
        <f t="shared" si="9"/>
        <v>1482325.453461909</v>
      </c>
      <c r="J217">
        <f>IFERROR(VLOOKUP(F217,'LEAID Match'!$A$2:$B$227,2,FALSE),"")</f>
        <v>3805040</v>
      </c>
      <c r="K217">
        <f t="shared" si="8"/>
        <v>8</v>
      </c>
      <c r="L217" cm="1">
        <f t="array" ref="L217">_xlfn.IFS(B217=2015,G217/$P$13,B217=2016,G217/$P$14,B217=2017,G217/$P$15,B217=2018,G217/$P$16,B217=2019,G217/$P$17,B217=2019,G217/$P$18,B217=2020,G217/$P$18,B217=2021,G217/$P$19,B217=2022,G217/$P$20)</f>
        <v>1.5543467635779332E-2</v>
      </c>
    </row>
    <row r="218" spans="1:12" x14ac:dyDescent="0.2">
      <c r="A218">
        <v>3805040</v>
      </c>
      <c r="B218" s="5">
        <v>2021</v>
      </c>
      <c r="C218" t="s">
        <v>252</v>
      </c>
      <c r="D218" t="s">
        <v>254</v>
      </c>
      <c r="E218" t="s">
        <v>256</v>
      </c>
      <c r="F218" s="5" t="s">
        <v>78</v>
      </c>
      <c r="G218" s="7">
        <v>1495059</v>
      </c>
      <c r="H218" s="7" cm="1">
        <f t="array" ref="H218">_xlfn.IFS(B218=2015,L218*$P$3,B218=2016,L218*$P$4,B218=2017,L218*$P$5,B218=2018,L218*$P$6,B218=2019,L218*$P$7,B218=2020,L218*$P$8,B218=2021,L218*$P$9,B218=2022,L218*$P$10)</f>
        <v>40851.430835354229</v>
      </c>
      <c r="I218" s="7">
        <f t="shared" si="9"/>
        <v>1535910.4308353541</v>
      </c>
      <c r="J218">
        <f>IFERROR(VLOOKUP(F218,'LEAID Match'!$A$2:$B$227,2,FALSE),"")</f>
        <v>3805040</v>
      </c>
      <c r="K218">
        <f t="shared" si="8"/>
        <v>8</v>
      </c>
      <c r="L218" cm="1">
        <f t="array" ref="L218">_xlfn.IFS(B218=2015,G218/$P$13,B218=2016,G218/$P$14,B218=2017,G218/$P$15,B218=2018,G218/$P$16,B218=2019,G218/$P$17,B218=2019,G218/$P$18,B218=2020,G218/$P$18,B218=2021,G218/$P$19,B218=2022,G218/$P$20)</f>
        <v>1.5214685599759489E-2</v>
      </c>
    </row>
    <row r="219" spans="1:12" x14ac:dyDescent="0.2">
      <c r="A219">
        <v>3805040</v>
      </c>
      <c r="B219">
        <v>2022</v>
      </c>
      <c r="C219" t="s">
        <v>252</v>
      </c>
      <c r="D219" t="s">
        <v>254</v>
      </c>
      <c r="E219" t="s">
        <v>256</v>
      </c>
      <c r="F219" s="5" t="s">
        <v>78</v>
      </c>
      <c r="G219" s="7">
        <v>1495015</v>
      </c>
      <c r="H219" s="7" cm="1">
        <f t="array" ref="H219">_xlfn.IFS(B219=2015,L219*$P$3,B219=2016,L219*$P$4,B219=2017,L219*$P$5,B219=2018,L219*$P$6,B219=2019,L219*$P$7,B219=2020,L219*$P$8,B219=2021,L219*$P$9,B219=2022,L219*$P$10)</f>
        <v>30427.386978888673</v>
      </c>
      <c r="I219" s="7">
        <f t="shared" si="9"/>
        <v>1525442.3869788887</v>
      </c>
      <c r="J219">
        <f>IFERROR(VLOOKUP(F219,'LEAID Match'!$A$2:$B$227,2,FALSE),"")</f>
        <v>3805040</v>
      </c>
      <c r="K219">
        <f t="shared" si="8"/>
        <v>8</v>
      </c>
      <c r="L219" cm="1">
        <f t="array" ref="L219">_xlfn.IFS(B219=2015,G219/$P$13,B219=2016,G219/$P$14,B219=2017,G219/$P$15,B219=2018,G219/$P$16,B219=2019,G219/$P$17,B219=2019,G219/$P$18,B219=2020,G219/$P$18,B219=2021,G219/$P$19,B219=2022,G219/$P$20)</f>
        <v>1.4900777168897488E-2</v>
      </c>
    </row>
    <row r="220" spans="1:12" x14ac:dyDescent="0.2">
      <c r="A220">
        <v>3800038</v>
      </c>
      <c r="B220">
        <v>2015</v>
      </c>
      <c r="C220" t="s">
        <v>252</v>
      </c>
      <c r="D220" t="s">
        <v>254</v>
      </c>
      <c r="E220" t="s">
        <v>256</v>
      </c>
      <c r="F220" s="5" t="s">
        <v>193</v>
      </c>
      <c r="G220" s="7">
        <v>2210816</v>
      </c>
      <c r="H220" s="7" cm="1">
        <f t="array" ref="H220">_xlfn.IFS(B220=2015,L220*$P$3,B220=2016,L220*$P$4,B220=2017,L220*$P$5,B220=2018,L220*$P$6,B220=2019,L220*$P$7,B220=2020,L220*$P$8,B220=2021,L220*$P$9,B220=2022,L220*$P$10)</f>
        <v>49983.063039627858</v>
      </c>
      <c r="I220" s="7">
        <f t="shared" si="9"/>
        <v>2260799.0630396279</v>
      </c>
      <c r="J220">
        <f>IFERROR(VLOOKUP(F220,'LEAID Match'!$A$2:$B$227,2,FALSE),"")</f>
        <v>3800038</v>
      </c>
      <c r="K220">
        <f t="shared" si="8"/>
        <v>8</v>
      </c>
      <c r="L220" cm="1">
        <f t="array" ref="L220">_xlfn.IFS(B220=2015,G220/$P$13,B220=2016,G220/$P$14,B220=2017,G220/$P$15,B220=2018,G220/$P$16,B220=2019,G220/$P$17,B220=2019,G220/$P$18,B220=2020,G220/$P$18,B220=2021,G220/$P$19,B220=2022,G220/$P$20)</f>
        <v>2.8191236908983563E-2</v>
      </c>
    </row>
    <row r="221" spans="1:12" x14ac:dyDescent="0.2">
      <c r="A221">
        <v>3800038</v>
      </c>
      <c r="B221">
        <v>2016</v>
      </c>
      <c r="C221" t="s">
        <v>252</v>
      </c>
      <c r="D221" t="s">
        <v>254</v>
      </c>
      <c r="E221" t="s">
        <v>256</v>
      </c>
      <c r="F221" s="5" t="s">
        <v>193</v>
      </c>
      <c r="G221" s="7">
        <v>2350334</v>
      </c>
      <c r="H221" s="7" cm="1">
        <f t="array" ref="H221">_xlfn.IFS(B221=2015,L221*$P$3,B221=2016,L221*$P$4,B221=2017,L221*$P$5,B221=2018,L221*$P$6,B221=2019,L221*$P$7,B221=2020,L221*$P$8,B221=2021,L221*$P$9,B221=2022,L221*$P$10)</f>
        <v>79810.418263144136</v>
      </c>
      <c r="I221" s="7">
        <f t="shared" si="9"/>
        <v>2430144.4182631443</v>
      </c>
      <c r="J221">
        <f>IFERROR(VLOOKUP(F221,'LEAID Match'!$A$2:$B$227,2,FALSE),"")</f>
        <v>3800038</v>
      </c>
      <c r="K221">
        <f t="shared" si="8"/>
        <v>8</v>
      </c>
      <c r="L221" cm="1">
        <f t="array" ref="L221">_xlfn.IFS(B221=2015,G221/$P$13,B221=2016,G221/$P$14,B221=2017,G221/$P$15,B221=2018,G221/$P$16,B221=2019,G221/$P$17,B221=2019,G221/$P$18,B221=2020,G221/$P$18,B221=2021,G221/$P$19,B221=2022,G221/$P$20)</f>
        <v>2.8371993694683306E-2</v>
      </c>
    </row>
    <row r="222" spans="1:12" x14ac:dyDescent="0.2">
      <c r="A222">
        <v>3800038</v>
      </c>
      <c r="B222">
        <v>2017</v>
      </c>
      <c r="C222" t="s">
        <v>252</v>
      </c>
      <c r="D222" t="s">
        <v>254</v>
      </c>
      <c r="E222" t="s">
        <v>256</v>
      </c>
      <c r="F222" s="5" t="s">
        <v>193</v>
      </c>
      <c r="G222" s="7">
        <v>2462846</v>
      </c>
      <c r="H222" s="7" cm="1">
        <f t="array" ref="H222">_xlfn.IFS(B222=2015,L222*$P$3,B222=2016,L222*$P$4,B222=2017,L222*$P$5,B222=2018,L222*$P$6,B222=2019,L222*$P$7,B222=2020,L222*$P$8,B222=2021,L222*$P$9,B222=2022,L222*$P$10)</f>
        <v>79816.038169130828</v>
      </c>
      <c r="I222" s="7">
        <f t="shared" si="9"/>
        <v>2542662.0381691307</v>
      </c>
      <c r="J222">
        <f>IFERROR(VLOOKUP(F222,'LEAID Match'!$A$2:$B$227,2,FALSE),"")</f>
        <v>3800038</v>
      </c>
      <c r="K222">
        <f t="shared" si="8"/>
        <v>8</v>
      </c>
      <c r="L222" cm="1">
        <f t="array" ref="L222">_xlfn.IFS(B222=2015,G222/$P$13,B222=2016,G222/$P$14,B222=2017,G222/$P$15,B222=2018,G222/$P$16,B222=2019,G222/$P$17,B222=2019,G222/$P$18,B222=2020,G222/$P$18,B222=2021,G222/$P$19,B222=2022,G222/$P$20)</f>
        <v>2.8618156389075233E-2</v>
      </c>
    </row>
    <row r="223" spans="1:12" x14ac:dyDescent="0.2">
      <c r="A223">
        <v>3800038</v>
      </c>
      <c r="B223" s="5">
        <v>2018</v>
      </c>
      <c r="C223" t="s">
        <v>252</v>
      </c>
      <c r="D223" t="s">
        <v>254</v>
      </c>
      <c r="E223" t="s">
        <v>256</v>
      </c>
      <c r="F223" s="5" t="s">
        <v>193</v>
      </c>
      <c r="G223" s="7">
        <v>2560373</v>
      </c>
      <c r="H223" s="7" cm="1">
        <f t="array" ref="H223">_xlfn.IFS(B223=2015,L223*$P$3,B223=2016,L223*$P$4,B223=2017,L223*$P$5,B223=2018,L223*$P$6,B223=2019,L223*$P$7,B223=2020,L223*$P$8,B223=2021,L223*$P$9,B223=2022,L223*$P$10)</f>
        <v>70156.751248807253</v>
      </c>
      <c r="I223" s="7">
        <f t="shared" si="9"/>
        <v>2630529.7512488072</v>
      </c>
      <c r="J223">
        <f>IFERROR(VLOOKUP(F223,'LEAID Match'!$A$2:$B$227,2,FALSE),"")</f>
        <v>3800038</v>
      </c>
      <c r="K223">
        <f t="shared" si="8"/>
        <v>8</v>
      </c>
      <c r="L223" cm="1">
        <f t="array" ref="L223">_xlfn.IFS(B223=2015,G223/$P$13,B223=2016,G223/$P$14,B223=2017,G223/$P$15,B223=2018,G223/$P$16,B223=2019,G223/$P$17,B223=2019,G223/$P$18,B223=2020,G223/$P$18,B223=2021,G223/$P$19,B223=2022,G223/$P$20)</f>
        <v>2.9539684736339899E-2</v>
      </c>
    </row>
    <row r="224" spans="1:12" x14ac:dyDescent="0.2">
      <c r="A224">
        <v>3800038</v>
      </c>
      <c r="B224">
        <v>2019</v>
      </c>
      <c r="C224" t="s">
        <v>252</v>
      </c>
      <c r="D224" t="s">
        <v>254</v>
      </c>
      <c r="E224" t="s">
        <v>256</v>
      </c>
      <c r="F224" s="5" t="s">
        <v>193</v>
      </c>
      <c r="G224" s="7">
        <v>2830714</v>
      </c>
      <c r="H224" s="7" cm="1">
        <f t="array" ref="H224">_xlfn.IFS(B224=2015,L224*$P$3,B224=2016,L224*$P$4,B224=2017,L224*$P$5,B224=2018,L224*$P$6,B224=2019,L224*$P$7,B224=2020,L224*$P$8,B224=2021,L224*$P$9,B224=2022,L224*$P$10)</f>
        <v>65700.376186988011</v>
      </c>
      <c r="I224" s="7">
        <f t="shared" si="9"/>
        <v>2896414.3761869879</v>
      </c>
      <c r="J224">
        <f>IFERROR(VLOOKUP(F224,'LEAID Match'!$A$2:$B$227,2,FALSE),"")</f>
        <v>3800038</v>
      </c>
      <c r="K224">
        <f t="shared" si="8"/>
        <v>8</v>
      </c>
      <c r="L224" cm="1">
        <f t="array" ref="L224">_xlfn.IFS(B224=2015,G224/$P$13,B224=2016,G224/$P$14,B224=2017,G224/$P$15,B224=2018,G224/$P$16,B224=2019,G224/$P$17,B224=2019,G224/$P$18,B224=2020,G224/$P$18,B224=2021,G224/$P$19,B224=2022,G224/$P$20)</f>
        <v>3.1647580051535652E-2</v>
      </c>
    </row>
    <row r="225" spans="1:12" x14ac:dyDescent="0.2">
      <c r="A225">
        <v>3800038</v>
      </c>
      <c r="B225">
        <v>2020</v>
      </c>
      <c r="C225" t="s">
        <v>252</v>
      </c>
      <c r="D225" t="s">
        <v>254</v>
      </c>
      <c r="E225" t="s">
        <v>256</v>
      </c>
      <c r="F225" s="5" t="s">
        <v>193</v>
      </c>
      <c r="G225" s="7">
        <v>2902056</v>
      </c>
      <c r="H225" s="7" cm="1">
        <f t="array" ref="H225">_xlfn.IFS(B225=2015,L225*$P$3,B225=2016,L225*$P$4,B225=2017,L225*$P$5,B225=2018,L225*$P$6,B225=2019,L225*$P$7,B225=2020,L225*$P$8,B225=2021,L225*$P$9,B225=2022,L225*$P$10)</f>
        <v>72806.833761180416</v>
      </c>
      <c r="I225" s="7">
        <f t="shared" si="9"/>
        <v>2974862.8337611803</v>
      </c>
      <c r="J225">
        <f>IFERROR(VLOOKUP(F225,'LEAID Match'!$A$2:$B$227,2,FALSE),"")</f>
        <v>3800038</v>
      </c>
      <c r="K225">
        <f t="shared" si="8"/>
        <v>8</v>
      </c>
      <c r="L225" cm="1">
        <f t="array" ref="L225">_xlfn.IFS(B225=2015,G225/$P$13,B225=2016,G225/$P$14,B225=2017,G225/$P$15,B225=2018,G225/$P$16,B225=2019,G225/$P$17,B225=2019,G225/$P$18,B225=2020,G225/$P$18,B225=2021,G225/$P$19,B225=2022,G225/$P$20)</f>
        <v>3.1194016178740541E-2</v>
      </c>
    </row>
    <row r="226" spans="1:12" x14ac:dyDescent="0.2">
      <c r="A226">
        <v>3800038</v>
      </c>
      <c r="B226" s="5">
        <v>2021</v>
      </c>
      <c r="C226" t="s">
        <v>252</v>
      </c>
      <c r="D226" t="s">
        <v>254</v>
      </c>
      <c r="E226" t="s">
        <v>256</v>
      </c>
      <c r="F226" s="5" t="s">
        <v>193</v>
      </c>
      <c r="G226" s="7">
        <v>3198380</v>
      </c>
      <c r="H226" s="7" cm="1">
        <f t="array" ref="H226">_xlfn.IFS(B226=2015,L226*$P$3,B226=2016,L226*$P$4,B226=2017,L226*$P$5,B226=2018,L226*$P$6,B226=2019,L226*$P$7,B226=2020,L226*$P$8,B226=2021,L226*$P$9,B226=2022,L226*$P$10)</f>
        <v>87393.473672397056</v>
      </c>
      <c r="I226" s="7">
        <f t="shared" si="9"/>
        <v>3285773.473672397</v>
      </c>
      <c r="J226">
        <f>IFERROR(VLOOKUP(F226,'LEAID Match'!$A$2:$B$227,2,FALSE),"")</f>
        <v>3800038</v>
      </c>
      <c r="K226">
        <f t="shared" si="8"/>
        <v>8</v>
      </c>
      <c r="L226" cm="1">
        <f t="array" ref="L226">_xlfn.IFS(B226=2015,G226/$P$13,B226=2016,G226/$P$14,B226=2017,G226/$P$15,B226=2018,G226/$P$16,B226=2019,G226/$P$17,B226=2019,G226/$P$18,B226=2020,G226/$P$18,B226=2021,G226/$P$19,B226=2022,G226/$P$20)</f>
        <v>3.2548779766255885E-2</v>
      </c>
    </row>
    <row r="227" spans="1:12" x14ac:dyDescent="0.2">
      <c r="A227">
        <v>3800038</v>
      </c>
      <c r="B227">
        <v>2022</v>
      </c>
      <c r="C227" t="s">
        <v>252</v>
      </c>
      <c r="D227" t="s">
        <v>254</v>
      </c>
      <c r="E227" t="s">
        <v>256</v>
      </c>
      <c r="F227" s="5" t="s">
        <v>193</v>
      </c>
      <c r="G227" s="7">
        <v>3223075</v>
      </c>
      <c r="H227" s="7" cm="1">
        <f t="array" ref="H227">_xlfn.IFS(B227=2015,L227*$P$3,B227=2016,L227*$P$4,B227=2017,L227*$P$5,B227=2018,L227*$P$6,B227=2019,L227*$P$7,B227=2020,L227*$P$8,B227=2021,L227*$P$9,B227=2022,L227*$P$10)</f>
        <v>65597.837002960921</v>
      </c>
      <c r="I227" s="7">
        <f t="shared" si="9"/>
        <v>3288672.837002961</v>
      </c>
      <c r="J227">
        <f>IFERROR(VLOOKUP(F227,'LEAID Match'!$A$2:$B$227,2,FALSE),"")</f>
        <v>3800038</v>
      </c>
      <c r="K227">
        <f t="shared" si="8"/>
        <v>8</v>
      </c>
      <c r="L227" cm="1">
        <f t="array" ref="L227">_xlfn.IFS(B227=2015,G227/$P$13,B227=2016,G227/$P$14,B227=2017,G227/$P$15,B227=2018,G227/$P$16,B227=2019,G227/$P$17,B227=2019,G227/$P$18,B227=2020,G227/$P$18,B227=2021,G227/$P$19,B227=2022,G227/$P$20)</f>
        <v>3.2124308032791829E-2</v>
      </c>
    </row>
    <row r="228" spans="1:12" x14ac:dyDescent="0.2">
      <c r="A228">
        <v>3805160</v>
      </c>
      <c r="B228">
        <v>2015</v>
      </c>
      <c r="C228" t="s">
        <v>252</v>
      </c>
      <c r="D228" t="s">
        <v>254</v>
      </c>
      <c r="E228" t="s">
        <v>256</v>
      </c>
      <c r="F228" s="5" t="s">
        <v>79</v>
      </c>
      <c r="G228" s="7">
        <v>281495</v>
      </c>
      <c r="H228" s="7" cm="1">
        <f t="array" ref="H228">_xlfn.IFS(B228=2015,L228*$P$3,B228=2016,L228*$P$4,B228=2017,L228*$P$5,B228=2018,L228*$P$6,B228=2019,L228*$P$7,B228=2020,L228*$P$8,B228=2021,L228*$P$9,B228=2022,L228*$P$10)</f>
        <v>6364.1579988294116</v>
      </c>
      <c r="I228" s="7">
        <f t="shared" si="9"/>
        <v>287859.15799882944</v>
      </c>
      <c r="J228">
        <f>IFERROR(VLOOKUP(F228,'LEAID Match'!$A$2:$B$227,2,FALSE),"")</f>
        <v>3805160</v>
      </c>
      <c r="K228">
        <f t="shared" si="8"/>
        <v>8</v>
      </c>
      <c r="L228" cm="1">
        <f t="array" ref="L228">_xlfn.IFS(B228=2015,G228/$P$13,B228=2016,G228/$P$14,B228=2017,G228/$P$15,B228=2018,G228/$P$16,B228=2019,G228/$P$17,B228=2019,G228/$P$18,B228=2020,G228/$P$18,B228=2021,G228/$P$19,B228=2022,G228/$P$20)</f>
        <v>3.5894856169370625E-3</v>
      </c>
    </row>
    <row r="229" spans="1:12" x14ac:dyDescent="0.2">
      <c r="A229">
        <v>3805160</v>
      </c>
      <c r="B229">
        <v>2016</v>
      </c>
      <c r="C229" t="s">
        <v>252</v>
      </c>
      <c r="D229" t="s">
        <v>254</v>
      </c>
      <c r="E229" t="s">
        <v>256</v>
      </c>
      <c r="F229" s="5" t="s">
        <v>79</v>
      </c>
      <c r="G229" s="7">
        <v>296995</v>
      </c>
      <c r="H229" s="7" cm="1">
        <f t="array" ref="H229">_xlfn.IFS(B229=2015,L229*$P$3,B229=2016,L229*$P$4,B229=2017,L229*$P$5,B229=2018,L229*$P$6,B229=2019,L229*$P$7,B229=2020,L229*$P$8,B229=2021,L229*$P$9,B229=2022,L229*$P$10)</f>
        <v>10085.075215719336</v>
      </c>
      <c r="I229" s="7">
        <f t="shared" si="9"/>
        <v>307080.07521571935</v>
      </c>
      <c r="J229">
        <f>IFERROR(VLOOKUP(F229,'LEAID Match'!$A$2:$B$227,2,FALSE),"")</f>
        <v>3805160</v>
      </c>
      <c r="K229">
        <f t="shared" si="8"/>
        <v>8</v>
      </c>
      <c r="L229" cm="1">
        <f t="array" ref="L229">_xlfn.IFS(B229=2015,G229/$P$13,B229=2016,G229/$P$14,B229=2017,G229/$P$15,B229=2018,G229/$P$16,B229=2019,G229/$P$17,B229=2019,G229/$P$18,B229=2020,G229/$P$18,B229=2021,G229/$P$19,B229=2022,G229/$P$20)</f>
        <v>3.5851671580943252E-3</v>
      </c>
    </row>
    <row r="230" spans="1:12" x14ac:dyDescent="0.2">
      <c r="A230">
        <v>3805160</v>
      </c>
      <c r="B230">
        <v>2017</v>
      </c>
      <c r="C230" t="s">
        <v>252</v>
      </c>
      <c r="D230" t="s">
        <v>254</v>
      </c>
      <c r="E230" t="s">
        <v>256</v>
      </c>
      <c r="F230" s="5" t="s">
        <v>79</v>
      </c>
      <c r="G230" s="7">
        <v>317075</v>
      </c>
      <c r="H230" s="7" cm="1">
        <f t="array" ref="H230">_xlfn.IFS(B230=2015,L230*$P$3,B230=2016,L230*$P$4,B230=2017,L230*$P$5,B230=2018,L230*$P$6,B230=2019,L230*$P$7,B230=2020,L230*$P$8,B230=2021,L230*$P$9,B230=2022,L230*$P$10)</f>
        <v>10275.782693062072</v>
      </c>
      <c r="I230" s="7">
        <f t="shared" si="9"/>
        <v>327350.78269306209</v>
      </c>
      <c r="J230">
        <f>IFERROR(VLOOKUP(F230,'LEAID Match'!$A$2:$B$227,2,FALSE),"")</f>
        <v>3805160</v>
      </c>
      <c r="K230">
        <f t="shared" si="8"/>
        <v>8</v>
      </c>
      <c r="L230" cm="1">
        <f t="array" ref="L230">_xlfn.IFS(B230=2015,G230/$P$13,B230=2016,G230/$P$14,B230=2017,G230/$P$15,B230=2018,G230/$P$16,B230=2019,G230/$P$17,B230=2019,G230/$P$18,B230=2020,G230/$P$18,B230=2021,G230/$P$19,B230=2022,G230/$P$20)</f>
        <v>3.6843968064044722E-3</v>
      </c>
    </row>
    <row r="231" spans="1:12" x14ac:dyDescent="0.2">
      <c r="A231">
        <v>3805160</v>
      </c>
      <c r="B231" s="5">
        <v>2018</v>
      </c>
      <c r="C231" t="s">
        <v>252</v>
      </c>
      <c r="D231" t="s">
        <v>254</v>
      </c>
      <c r="E231" t="s">
        <v>256</v>
      </c>
      <c r="F231" s="5" t="s">
        <v>79</v>
      </c>
      <c r="G231" s="7">
        <v>325251</v>
      </c>
      <c r="H231" s="7" cm="1">
        <f t="array" ref="H231">_xlfn.IFS(B231=2015,L231*$P$3,B231=2016,L231*$P$4,B231=2017,L231*$P$5,B231=2018,L231*$P$6,B231=2019,L231*$P$7,B231=2020,L231*$P$8,B231=2021,L231*$P$9,B231=2022,L231*$P$10)</f>
        <v>8912.1989258697122</v>
      </c>
      <c r="I231" s="7">
        <f t="shared" si="9"/>
        <v>334163.19892586971</v>
      </c>
      <c r="J231">
        <f>IFERROR(VLOOKUP(F231,'LEAID Match'!$A$2:$B$227,2,FALSE),"")</f>
        <v>3805160</v>
      </c>
      <c r="K231">
        <f t="shared" si="8"/>
        <v>8</v>
      </c>
      <c r="L231" cm="1">
        <f t="array" ref="L231">_xlfn.IFS(B231=2015,G231/$P$13,B231=2016,G231/$P$14,B231=2017,G231/$P$15,B231=2018,G231/$P$16,B231=2019,G231/$P$17,B231=2019,G231/$P$18,B231=2020,G231/$P$18,B231=2021,G231/$P$19,B231=2022,G231/$P$20)</f>
        <v>3.7525048108925101E-3</v>
      </c>
    </row>
    <row r="232" spans="1:12" x14ac:dyDescent="0.2">
      <c r="A232">
        <v>3805160</v>
      </c>
      <c r="B232">
        <v>2019</v>
      </c>
      <c r="C232" t="s">
        <v>252</v>
      </c>
      <c r="D232" t="s">
        <v>254</v>
      </c>
      <c r="E232" t="s">
        <v>256</v>
      </c>
      <c r="F232" s="5" t="s">
        <v>79</v>
      </c>
      <c r="G232" s="7">
        <v>319833</v>
      </c>
      <c r="H232" s="7" cm="1">
        <f t="array" ref="H232">_xlfn.IFS(B232=2015,L232*$P$3,B232=2016,L232*$P$4,B232=2017,L232*$P$5,B232=2018,L232*$P$6,B232=2019,L232*$P$7,B232=2020,L232*$P$8,B232=2021,L232*$P$9,B232=2022,L232*$P$10)</f>
        <v>7423.2679165090276</v>
      </c>
      <c r="I232" s="7">
        <f t="shared" si="9"/>
        <v>327256.26791650901</v>
      </c>
      <c r="J232">
        <f>IFERROR(VLOOKUP(F232,'LEAID Match'!$A$2:$B$227,2,FALSE),"")</f>
        <v>3805160</v>
      </c>
      <c r="K232">
        <f t="shared" si="8"/>
        <v>8</v>
      </c>
      <c r="L232" cm="1">
        <f t="array" ref="L232">_xlfn.IFS(B232=2015,G232/$P$13,B232=2016,G232/$P$14,B232=2017,G232/$P$15,B232=2018,G232/$P$16,B232=2019,G232/$P$17,B232=2019,G232/$P$18,B232=2020,G232/$P$18,B232=2021,G232/$P$19,B232=2022,G232/$P$20)</f>
        <v>3.5757552584340211E-3</v>
      </c>
    </row>
    <row r="233" spans="1:12" x14ac:dyDescent="0.2">
      <c r="A233">
        <v>3805160</v>
      </c>
      <c r="B233">
        <v>2020</v>
      </c>
      <c r="C233" t="s">
        <v>252</v>
      </c>
      <c r="D233" t="s">
        <v>254</v>
      </c>
      <c r="E233" t="s">
        <v>256</v>
      </c>
      <c r="F233" s="5" t="s">
        <v>79</v>
      </c>
      <c r="G233" s="7">
        <v>358040</v>
      </c>
      <c r="H233" s="7" cm="1">
        <f t="array" ref="H233">_xlfn.IFS(B233=2015,L233*$P$3,B233=2016,L233*$P$4,B233=2017,L233*$P$5,B233=2018,L233*$P$6,B233=2019,L233*$P$7,B233=2020,L233*$P$8,B233=2021,L233*$P$9,B233=2022,L233*$P$10)</f>
        <v>8982.5140382725349</v>
      </c>
      <c r="I233" s="7">
        <f t="shared" si="9"/>
        <v>367022.51403827255</v>
      </c>
      <c r="J233">
        <f>IFERROR(VLOOKUP(F233,'LEAID Match'!$A$2:$B$227,2,FALSE),"")</f>
        <v>3805160</v>
      </c>
      <c r="K233">
        <f t="shared" si="8"/>
        <v>8</v>
      </c>
      <c r="L233" cm="1">
        <f t="array" ref="L233">_xlfn.IFS(B233=2015,G233/$P$13,B233=2016,G233/$P$14,B233=2017,G233/$P$15,B233=2018,G233/$P$16,B233=2019,G233/$P$17,B233=2019,G233/$P$18,B233=2020,G233/$P$18,B233=2021,G233/$P$19,B233=2022,G233/$P$20)</f>
        <v>3.8485492880345053E-3</v>
      </c>
    </row>
    <row r="234" spans="1:12" x14ac:dyDescent="0.2">
      <c r="A234">
        <v>3805160</v>
      </c>
      <c r="B234" s="5">
        <v>2021</v>
      </c>
      <c r="C234" t="s">
        <v>252</v>
      </c>
      <c r="D234" t="s">
        <v>254</v>
      </c>
      <c r="E234" t="s">
        <v>256</v>
      </c>
      <c r="F234" s="5" t="s">
        <v>79</v>
      </c>
      <c r="G234" s="7">
        <v>375295</v>
      </c>
      <c r="H234" s="7" cm="1">
        <f t="array" ref="H234">_xlfn.IFS(B234=2015,L234*$P$3,B234=2016,L234*$P$4,B234=2017,L234*$P$5,B234=2018,L234*$P$6,B234=2019,L234*$P$7,B234=2020,L234*$P$8,B234=2021,L234*$P$9,B234=2022,L234*$P$10)</f>
        <v>10254.670708884576</v>
      </c>
      <c r="I234" s="7">
        <f t="shared" si="9"/>
        <v>385549.6707088846</v>
      </c>
      <c r="J234">
        <f>IFERROR(VLOOKUP(F234,'LEAID Match'!$A$2:$B$227,2,FALSE),"")</f>
        <v>3805160</v>
      </c>
      <c r="K234">
        <f t="shared" si="8"/>
        <v>8</v>
      </c>
      <c r="L234" cm="1">
        <f t="array" ref="L234">_xlfn.IFS(B234=2015,G234/$P$13,B234=2016,G234/$P$14,B234=2017,G234/$P$15,B234=2018,G234/$P$16,B234=2019,G234/$P$17,B234=2019,G234/$P$18,B234=2020,G234/$P$18,B234=2021,G234/$P$19,B234=2022,G234/$P$20)</f>
        <v>3.8192442118750746E-3</v>
      </c>
    </row>
    <row r="235" spans="1:12" x14ac:dyDescent="0.2">
      <c r="A235">
        <v>3805160</v>
      </c>
      <c r="B235">
        <v>2022</v>
      </c>
      <c r="C235" t="s">
        <v>252</v>
      </c>
      <c r="D235" t="s">
        <v>254</v>
      </c>
      <c r="E235" t="s">
        <v>256</v>
      </c>
      <c r="F235" s="5" t="s">
        <v>79</v>
      </c>
      <c r="G235" s="7">
        <v>388356</v>
      </c>
      <c r="H235" s="7" cm="1">
        <f t="array" ref="H235">_xlfn.IFS(B235=2015,L235*$P$3,B235=2016,L235*$P$4,B235=2017,L235*$P$5,B235=2018,L235*$P$6,B235=2019,L235*$P$7,B235=2020,L235*$P$8,B235=2021,L235*$P$9,B235=2022,L235*$P$10)</f>
        <v>7904.0399578420875</v>
      </c>
      <c r="I235" s="7">
        <f t="shared" si="9"/>
        <v>396260.03995784209</v>
      </c>
      <c r="J235">
        <f>IFERROR(VLOOKUP(F235,'LEAID Match'!$A$2:$B$227,2,FALSE),"")</f>
        <v>3805160</v>
      </c>
      <c r="K235">
        <f t="shared" si="8"/>
        <v>8</v>
      </c>
      <c r="L235" cm="1">
        <f t="array" ref="L235">_xlfn.IFS(B235=2015,G235/$P$13,B235=2016,G235/$P$14,B235=2017,G235/$P$15,B235=2018,G235/$P$16,B235=2019,G235/$P$17,B235=2019,G235/$P$18,B235=2020,G235/$P$18,B235=2021,G235/$P$19,B235=2022,G235/$P$20)</f>
        <v>3.8707345533017081E-3</v>
      </c>
    </row>
    <row r="236" spans="1:12" x14ac:dyDescent="0.2">
      <c r="A236">
        <v>3800029</v>
      </c>
      <c r="B236">
        <v>2015</v>
      </c>
      <c r="C236" t="s">
        <v>252</v>
      </c>
      <c r="D236" t="s">
        <v>254</v>
      </c>
      <c r="E236" t="s">
        <v>256</v>
      </c>
      <c r="F236" s="5" t="s">
        <v>80</v>
      </c>
      <c r="G236" s="7">
        <v>66304</v>
      </c>
      <c r="H236" s="7" cm="1">
        <f t="array" ref="H236">_xlfn.IFS(B236=2015,L236*$P$3,B236=2016,L236*$P$4,B236=2017,L236*$P$5,B236=2018,L236*$P$6,B236=2019,L236*$P$7,B236=2020,L236*$P$8,B236=2021,L236*$P$9,B236=2022,L236*$P$10)</f>
        <v>1499.0288706882372</v>
      </c>
      <c r="I236" s="7">
        <f t="shared" si="9"/>
        <v>67803.028870688242</v>
      </c>
      <c r="J236">
        <f>IFERROR(VLOOKUP(F236,'LEAID Match'!$A$2:$B$227,2,FALSE),"")</f>
        <v>3800029</v>
      </c>
      <c r="K236">
        <f t="shared" si="8"/>
        <v>8</v>
      </c>
      <c r="L236" cm="1">
        <f t="array" ref="L236">_xlfn.IFS(B236=2015,G236/$P$13,B236=2016,G236/$P$14,B236=2017,G236/$P$15,B236=2018,G236/$P$16,B236=2019,G236/$P$17,B236=2019,G236/$P$18,B236=2020,G236/$P$18,B236=2021,G236/$P$19,B236=2022,G236/$P$20)</f>
        <v>8.4547595639494484E-4</v>
      </c>
    </row>
    <row r="237" spans="1:12" x14ac:dyDescent="0.2">
      <c r="A237">
        <v>3800029</v>
      </c>
      <c r="B237">
        <v>2016</v>
      </c>
      <c r="C237" t="s">
        <v>252</v>
      </c>
      <c r="D237" t="s">
        <v>254</v>
      </c>
      <c r="E237" t="s">
        <v>256</v>
      </c>
      <c r="F237" s="5" t="s">
        <v>80</v>
      </c>
      <c r="G237" s="7">
        <v>64264</v>
      </c>
      <c r="H237" s="7" cm="1">
        <f t="array" ref="H237">_xlfn.IFS(B237=2015,L237*$P$3,B237=2016,L237*$P$4,B237=2017,L237*$P$5,B237=2018,L237*$P$6,B237=2019,L237*$P$7,B237=2020,L237*$P$8,B237=2021,L237*$P$9,B237=2022,L237*$P$10)</f>
        <v>2182.2161102476052</v>
      </c>
      <c r="I237" s="7">
        <f t="shared" si="9"/>
        <v>66446.216110247609</v>
      </c>
      <c r="J237">
        <f>IFERROR(VLOOKUP(F237,'LEAID Match'!$A$2:$B$227,2,FALSE),"")</f>
        <v>3800029</v>
      </c>
      <c r="K237">
        <f t="shared" si="8"/>
        <v>8</v>
      </c>
      <c r="L237" cm="1">
        <f t="array" ref="L237">_xlfn.IFS(B237=2015,G237/$P$13,B237=2016,G237/$P$14,B237=2017,G237/$P$15,B237=2018,G237/$P$16,B237=2019,G237/$P$17,B237=2019,G237/$P$18,B237=2020,G237/$P$18,B237=2021,G237/$P$19,B237=2022,G237/$P$20)</f>
        <v>7.7576114832833456E-4</v>
      </c>
    </row>
    <row r="238" spans="1:12" x14ac:dyDescent="0.2">
      <c r="A238">
        <v>3800029</v>
      </c>
      <c r="B238">
        <v>2017</v>
      </c>
      <c r="C238" t="s">
        <v>252</v>
      </c>
      <c r="D238" t="s">
        <v>254</v>
      </c>
      <c r="E238" t="s">
        <v>256</v>
      </c>
      <c r="F238" s="5" t="s">
        <v>80</v>
      </c>
      <c r="G238" s="7">
        <v>57543</v>
      </c>
      <c r="H238" s="7" cm="1">
        <f t="array" ref="H238">_xlfn.IFS(B238=2015,L238*$P$3,B238=2016,L238*$P$4,B238=2017,L238*$P$5,B238=2018,L238*$P$6,B238=2019,L238*$P$7,B238=2020,L238*$P$8,B238=2021,L238*$P$9,B238=2022,L238*$P$10)</f>
        <v>1864.8564645805279</v>
      </c>
      <c r="I238" s="7">
        <f t="shared" si="9"/>
        <v>59407.856464580531</v>
      </c>
      <c r="J238">
        <f>IFERROR(VLOOKUP(F238,'LEAID Match'!$A$2:$B$227,2,FALSE),"")</f>
        <v>3800029</v>
      </c>
      <c r="K238">
        <f t="shared" si="8"/>
        <v>8</v>
      </c>
      <c r="L238" cm="1">
        <f t="array" ref="L238">_xlfn.IFS(B238=2015,G238/$P$13,B238=2016,G238/$P$14,B238=2017,G238/$P$15,B238=2018,G238/$P$16,B238=2019,G238/$P$17,B238=2019,G238/$P$18,B238=2020,G238/$P$18,B238=2021,G238/$P$19,B238=2022,G238/$P$20)</f>
        <v>6.6864699339567156E-4</v>
      </c>
    </row>
    <row r="239" spans="1:12" x14ac:dyDescent="0.2">
      <c r="A239">
        <v>3800029</v>
      </c>
      <c r="B239" s="5">
        <v>2018</v>
      </c>
      <c r="C239" t="s">
        <v>252</v>
      </c>
      <c r="D239" t="s">
        <v>254</v>
      </c>
      <c r="E239" t="s">
        <v>256</v>
      </c>
      <c r="F239" s="5" t="s">
        <v>80</v>
      </c>
      <c r="G239" s="7">
        <v>59409</v>
      </c>
      <c r="H239" s="7" cm="1">
        <f t="array" ref="H239">_xlfn.IFS(B239=2015,L239*$P$3,B239=2016,L239*$P$4,B239=2017,L239*$P$5,B239=2018,L239*$P$6,B239=2019,L239*$P$7,B239=2020,L239*$P$8,B239=2021,L239*$P$9,B239=2022,L239*$P$10)</f>
        <v>1627.8653285831365</v>
      </c>
      <c r="I239" s="7">
        <f t="shared" si="9"/>
        <v>61036.865328583139</v>
      </c>
      <c r="J239">
        <f>IFERROR(VLOOKUP(F239,'LEAID Match'!$A$2:$B$227,2,FALSE),"")</f>
        <v>3800029</v>
      </c>
      <c r="K239">
        <f t="shared" si="8"/>
        <v>8</v>
      </c>
      <c r="L239" cm="1">
        <f t="array" ref="L239">_xlfn.IFS(B239=2015,G239/$P$13,B239=2016,G239/$P$14,B239=2017,G239/$P$15,B239=2018,G239/$P$16,B239=2019,G239/$P$17,B239=2019,G239/$P$18,B239=2020,G239/$P$18,B239=2021,G239/$P$19,B239=2022,G239/$P$20)</f>
        <v>6.8541698045605749E-4</v>
      </c>
    </row>
    <row r="240" spans="1:12" x14ac:dyDescent="0.2">
      <c r="A240">
        <v>3800029</v>
      </c>
      <c r="B240">
        <v>2019</v>
      </c>
      <c r="C240" t="s">
        <v>252</v>
      </c>
      <c r="D240" t="s">
        <v>254</v>
      </c>
      <c r="E240" t="s">
        <v>256</v>
      </c>
      <c r="F240" s="5" t="s">
        <v>80</v>
      </c>
      <c r="G240" s="7">
        <v>61699</v>
      </c>
      <c r="H240" s="7" cm="1">
        <f t="array" ref="H240">_xlfn.IFS(B240=2015,L240*$P$3,B240=2016,L240*$P$4,B240=2017,L240*$P$5,B240=2018,L240*$P$6,B240=2019,L240*$P$7,B240=2020,L240*$P$8,B240=2021,L240*$P$9,B240=2022,L240*$P$10)</f>
        <v>1432.0229844346597</v>
      </c>
      <c r="I240" s="7">
        <f t="shared" si="9"/>
        <v>63131.022984434661</v>
      </c>
      <c r="J240">
        <f>IFERROR(VLOOKUP(F240,'LEAID Match'!$A$2:$B$227,2,FALSE),"")</f>
        <v>3800029</v>
      </c>
      <c r="K240">
        <f t="shared" si="8"/>
        <v>8</v>
      </c>
      <c r="L240" cm="1">
        <f t="array" ref="L240">_xlfn.IFS(B240=2015,G240/$P$13,B240=2016,G240/$P$14,B240=2017,G240/$P$15,B240=2018,G240/$P$16,B240=2019,G240/$P$17,B240=2019,G240/$P$18,B240=2020,G240/$P$18,B240=2021,G240/$P$19,B240=2022,G240/$P$20)</f>
        <v>6.8979912545022145E-4</v>
      </c>
    </row>
    <row r="241" spans="1:12" x14ac:dyDescent="0.2">
      <c r="A241">
        <v>3800029</v>
      </c>
      <c r="B241">
        <v>2020</v>
      </c>
      <c r="C241" t="s">
        <v>252</v>
      </c>
      <c r="D241" t="s">
        <v>254</v>
      </c>
      <c r="E241" t="s">
        <v>256</v>
      </c>
      <c r="F241" s="5" t="s">
        <v>80</v>
      </c>
      <c r="G241" s="7">
        <v>62008</v>
      </c>
      <c r="H241" s="7" cm="1">
        <f t="array" ref="H241">_xlfn.IFS(B241=2015,L241*$P$3,B241=2016,L241*$P$4,B241=2017,L241*$P$5,B241=2018,L241*$P$6,B241=2019,L241*$P$7,B241=2020,L241*$P$8,B241=2021,L241*$P$9,B241=2022,L241*$P$10)</f>
        <v>1555.6578328823689</v>
      </c>
      <c r="I241" s="7">
        <f t="shared" si="9"/>
        <v>63563.657832882367</v>
      </c>
      <c r="J241">
        <f>IFERROR(VLOOKUP(F241,'LEAID Match'!$A$2:$B$227,2,FALSE),"")</f>
        <v>3800029</v>
      </c>
      <c r="K241">
        <f t="shared" si="8"/>
        <v>8</v>
      </c>
      <c r="L241" cm="1">
        <f t="array" ref="L241">_xlfn.IFS(B241=2015,G241/$P$13,B241=2016,G241/$P$14,B241=2017,G241/$P$15,B241=2018,G241/$P$16,B241=2019,G241/$P$17,B241=2019,G241/$P$18,B241=2020,G241/$P$18,B241=2021,G241/$P$19,B241=2022,G241/$P$20)</f>
        <v>6.6652006550230029E-4</v>
      </c>
    </row>
    <row r="242" spans="1:12" x14ac:dyDescent="0.2">
      <c r="A242">
        <v>3800029</v>
      </c>
      <c r="B242" s="5">
        <v>2021</v>
      </c>
      <c r="C242" t="s">
        <v>252</v>
      </c>
      <c r="D242" t="s">
        <v>254</v>
      </c>
      <c r="E242" t="s">
        <v>256</v>
      </c>
      <c r="F242" s="5" t="s">
        <v>80</v>
      </c>
      <c r="G242" s="7">
        <v>65110</v>
      </c>
      <c r="H242" s="7" cm="1">
        <f t="array" ref="H242">_xlfn.IFS(B242=2015,L242*$P$3,B242=2016,L242*$P$4,B242=2017,L242*$P$5,B242=2018,L242*$P$6,B242=2019,L242*$P$7,B242=2020,L242*$P$8,B242=2021,L242*$P$9,B242=2022,L242*$P$10)</f>
        <v>1779.0847462808586</v>
      </c>
      <c r="I242" s="7">
        <f t="shared" si="9"/>
        <v>66889.08474628086</v>
      </c>
      <c r="J242">
        <f>IFERROR(VLOOKUP(F242,'LEAID Match'!$A$2:$B$227,2,FALSE),"")</f>
        <v>3800029</v>
      </c>
      <c r="K242">
        <f t="shared" si="8"/>
        <v>8</v>
      </c>
      <c r="L242" cm="1">
        <f t="array" ref="L242">_xlfn.IFS(B242=2015,G242/$P$13,B242=2016,G242/$P$14,B242=2017,G242/$P$15,B242=2018,G242/$P$16,B242=2019,G242/$P$17,B242=2019,G242/$P$18,B242=2020,G242/$P$18,B242=2021,G242/$P$19,B242=2022,G242/$P$20)</f>
        <v>6.6260139526288955E-4</v>
      </c>
    </row>
    <row r="243" spans="1:12" x14ac:dyDescent="0.2">
      <c r="A243">
        <v>3800029</v>
      </c>
      <c r="B243">
        <v>2022</v>
      </c>
      <c r="C243" t="s">
        <v>252</v>
      </c>
      <c r="D243" t="s">
        <v>254</v>
      </c>
      <c r="E243" t="s">
        <v>256</v>
      </c>
      <c r="F243" s="5" t="s">
        <v>80</v>
      </c>
      <c r="G243" s="7">
        <v>70756</v>
      </c>
      <c r="H243" s="7" cm="1">
        <f t="array" ref="H243">_xlfn.IFS(B243=2015,L243*$P$3,B243=2016,L243*$P$4,B243=2017,L243*$P$5,B243=2018,L243*$P$6,B243=2019,L243*$P$7,B243=2020,L243*$P$8,B243=2021,L243*$P$9,B243=2022,L243*$P$10)</f>
        <v>1440.0659478856378</v>
      </c>
      <c r="I243" s="7">
        <f t="shared" si="9"/>
        <v>72196.06594788564</v>
      </c>
      <c r="J243">
        <f>IFERROR(VLOOKUP(F243,'LEAID Match'!$A$2:$B$227,2,FALSE),"")</f>
        <v>3800029</v>
      </c>
      <c r="K243">
        <f t="shared" si="8"/>
        <v>8</v>
      </c>
      <c r="L243" cm="1">
        <f t="array" ref="L243">_xlfn.IFS(B243=2015,G243/$P$13,B243=2016,G243/$P$14,B243=2017,G243/$P$15,B243=2018,G243/$P$16,B243=2019,G243/$P$17,B243=2019,G243/$P$18,B243=2020,G243/$P$18,B243=2021,G243/$P$19,B243=2022,G243/$P$20)</f>
        <v>7.0522328495868647E-4</v>
      </c>
    </row>
    <row r="244" spans="1:12" x14ac:dyDescent="0.2">
      <c r="A244">
        <v>3805340</v>
      </c>
      <c r="B244">
        <v>2015</v>
      </c>
      <c r="C244" t="s">
        <v>252</v>
      </c>
      <c r="D244" t="s">
        <v>254</v>
      </c>
      <c r="E244" t="s">
        <v>256</v>
      </c>
      <c r="F244" s="5" t="s">
        <v>81</v>
      </c>
      <c r="G244" s="7">
        <v>157650</v>
      </c>
      <c r="H244" s="7" cm="1">
        <f t="array" ref="H244">_xlfn.IFS(B244=2015,L244*$P$3,B244=2016,L244*$P$4,B244=2017,L244*$P$5,B244=2018,L244*$P$6,B244=2019,L244*$P$7,B244=2020,L244*$P$8,B244=2021,L244*$P$9,B244=2022,L244*$P$10)</f>
        <v>3564.2178671573447</v>
      </c>
      <c r="I244" s="7">
        <f t="shared" si="9"/>
        <v>161214.21786715733</v>
      </c>
      <c r="J244">
        <f>IFERROR(VLOOKUP(F244,'LEAID Match'!$A$2:$B$227,2,FALSE),"")</f>
        <v>3805340</v>
      </c>
      <c r="K244">
        <f t="shared" si="8"/>
        <v>8</v>
      </c>
      <c r="L244" cm="1">
        <f t="array" ref="L244">_xlfn.IFS(B244=2015,G244/$P$13,B244=2016,G244/$P$14,B244=2017,G244/$P$15,B244=2018,G244/$P$16,B244=2019,G244/$P$17,B244=2019,G244/$P$18,B244=2020,G244/$P$18,B244=2021,G244/$P$19,B244=2022,G244/$P$20)</f>
        <v>2.0102751647813563E-3</v>
      </c>
    </row>
    <row r="245" spans="1:12" x14ac:dyDescent="0.2">
      <c r="A245">
        <v>3805340</v>
      </c>
      <c r="B245">
        <v>2016</v>
      </c>
      <c r="C245" t="s">
        <v>252</v>
      </c>
      <c r="D245" t="s">
        <v>254</v>
      </c>
      <c r="E245" t="s">
        <v>256</v>
      </c>
      <c r="F245" s="5" t="s">
        <v>81</v>
      </c>
      <c r="G245" s="7">
        <v>157884</v>
      </c>
      <c r="H245" s="7" cm="1">
        <f t="array" ref="H245">_xlfn.IFS(B245=2015,L245*$P$3,B245=2016,L245*$P$4,B245=2017,L245*$P$5,B245=2018,L245*$P$6,B245=2019,L245*$P$7,B245=2020,L245*$P$8,B245=2021,L245*$P$9,B245=2022,L245*$P$10)</f>
        <v>5361.2754940609502</v>
      </c>
      <c r="I245" s="7">
        <f t="shared" si="9"/>
        <v>163245.27549406094</v>
      </c>
      <c r="J245">
        <f>IFERROR(VLOOKUP(F245,'LEAID Match'!$A$2:$B$227,2,FALSE),"")</f>
        <v>3805340</v>
      </c>
      <c r="K245">
        <f t="shared" si="8"/>
        <v>8</v>
      </c>
      <c r="L245" cm="1">
        <f t="array" ref="L245">_xlfn.IFS(B245=2015,G245/$P$13,B245=2016,G245/$P$14,B245=2017,G245/$P$15,B245=2018,G245/$P$16,B245=2019,G245/$P$17,B245=2019,G245/$P$18,B245=2020,G245/$P$18,B245=2021,G245/$P$19,B245=2022,G245/$P$20)</f>
        <v>1.9058924614507465E-3</v>
      </c>
    </row>
    <row r="246" spans="1:12" x14ac:dyDescent="0.2">
      <c r="A246">
        <v>3805340</v>
      </c>
      <c r="B246">
        <v>2017</v>
      </c>
      <c r="C246" t="s">
        <v>252</v>
      </c>
      <c r="D246" t="s">
        <v>254</v>
      </c>
      <c r="E246" t="s">
        <v>256</v>
      </c>
      <c r="F246" s="5" t="s">
        <v>81</v>
      </c>
      <c r="G246" s="7">
        <v>175803</v>
      </c>
      <c r="H246" s="7" cm="1">
        <f t="array" ref="H246">_xlfn.IFS(B246=2015,L246*$P$3,B246=2016,L246*$P$4,B246=2017,L246*$P$5,B246=2018,L246*$P$6,B246=2019,L246*$P$7,B246=2020,L246*$P$8,B246=2021,L246*$P$9,B246=2022,L246*$P$10)</f>
        <v>5697.4325468371571</v>
      </c>
      <c r="I246" s="7">
        <f t="shared" si="9"/>
        <v>181500.43254683717</v>
      </c>
      <c r="J246">
        <f>IFERROR(VLOOKUP(F246,'LEAID Match'!$A$2:$B$227,2,FALSE),"")</f>
        <v>3805340</v>
      </c>
      <c r="K246">
        <f t="shared" si="8"/>
        <v>8</v>
      </c>
      <c r="L246" cm="1">
        <f t="array" ref="L246">_xlfn.IFS(B246=2015,G246/$P$13,B246=2016,G246/$P$14,B246=2017,G246/$P$15,B246=2018,G246/$P$16,B246=2019,G246/$P$17,B246=2019,G246/$P$18,B246=2020,G246/$P$18,B246=2021,G246/$P$19,B246=2022,G246/$P$20)</f>
        <v>2.0428227131004508E-3</v>
      </c>
    </row>
    <row r="247" spans="1:12" x14ac:dyDescent="0.2">
      <c r="A247">
        <v>3805340</v>
      </c>
      <c r="B247" s="5">
        <v>2018</v>
      </c>
      <c r="C247" t="s">
        <v>252</v>
      </c>
      <c r="D247" t="s">
        <v>254</v>
      </c>
      <c r="E247" t="s">
        <v>256</v>
      </c>
      <c r="F247" s="5" t="s">
        <v>81</v>
      </c>
      <c r="G247" s="7">
        <v>172702</v>
      </c>
      <c r="H247" s="7" cm="1">
        <f t="array" ref="H247">_xlfn.IFS(B247=2015,L247*$P$3,B247=2016,L247*$P$4,B247=2017,L247*$P$5,B247=2018,L247*$P$6,B247=2019,L247*$P$7,B247=2020,L247*$P$8,B247=2021,L247*$P$9,B247=2022,L247*$P$10)</f>
        <v>4732.2055240277541</v>
      </c>
      <c r="I247" s="7">
        <f t="shared" si="9"/>
        <v>177434.20552402776</v>
      </c>
      <c r="J247">
        <f>IFERROR(VLOOKUP(F247,'LEAID Match'!$A$2:$B$227,2,FALSE),"")</f>
        <v>3805340</v>
      </c>
      <c r="K247">
        <f t="shared" si="8"/>
        <v>8</v>
      </c>
      <c r="L247" cm="1">
        <f t="array" ref="L247">_xlfn.IFS(B247=2015,G247/$P$13,B247=2016,G247/$P$14,B247=2017,G247/$P$15,B247=2018,G247/$P$16,B247=2019,G247/$P$17,B247=2019,G247/$P$18,B247=2020,G247/$P$18,B247=2021,G247/$P$19,B247=2022,G247/$P$20)</f>
        <v>1.9925075890643174E-3</v>
      </c>
    </row>
    <row r="248" spans="1:12" x14ac:dyDescent="0.2">
      <c r="A248">
        <v>3805340</v>
      </c>
      <c r="B248">
        <v>2019</v>
      </c>
      <c r="C248" t="s">
        <v>252</v>
      </c>
      <c r="D248" t="s">
        <v>254</v>
      </c>
      <c r="E248" t="s">
        <v>256</v>
      </c>
      <c r="F248" s="5" t="s">
        <v>81</v>
      </c>
      <c r="G248" s="7">
        <v>180663</v>
      </c>
      <c r="H248" s="7" cm="1">
        <f t="array" ref="H248">_xlfn.IFS(B248=2015,L248*$P$3,B248=2016,L248*$P$4,B248=2017,L248*$P$5,B248=2018,L248*$P$6,B248=2019,L248*$P$7,B248=2020,L248*$P$8,B248=2021,L248*$P$9,B248=2022,L248*$P$10)</f>
        <v>4193.1565898461713</v>
      </c>
      <c r="I248" s="7">
        <f t="shared" si="9"/>
        <v>184856.15658984618</v>
      </c>
      <c r="J248">
        <f>IFERROR(VLOOKUP(F248,'LEAID Match'!$A$2:$B$227,2,FALSE),"")</f>
        <v>3805340</v>
      </c>
      <c r="K248">
        <f t="shared" si="8"/>
        <v>8</v>
      </c>
      <c r="L248" cm="1">
        <f t="array" ref="L248">_xlfn.IFS(B248=2015,G248/$P$13,B248=2016,G248/$P$14,B248=2017,G248/$P$15,B248=2018,G248/$P$16,B248=2019,G248/$P$17,B248=2019,G248/$P$18,B248=2020,G248/$P$18,B248=2021,G248/$P$19,B248=2022,G248/$P$20)</f>
        <v>2.0198249469393888E-3</v>
      </c>
    </row>
    <row r="249" spans="1:12" x14ac:dyDescent="0.2">
      <c r="A249">
        <v>3805340</v>
      </c>
      <c r="B249">
        <v>2020</v>
      </c>
      <c r="C249" t="s">
        <v>252</v>
      </c>
      <c r="D249" t="s">
        <v>254</v>
      </c>
      <c r="E249" t="s">
        <v>256</v>
      </c>
      <c r="F249" s="5" t="s">
        <v>81</v>
      </c>
      <c r="G249" s="7">
        <v>181433</v>
      </c>
      <c r="H249" s="7" cm="1">
        <f t="array" ref="H249">_xlfn.IFS(B249=2015,L249*$P$3,B249=2016,L249*$P$4,B249=2017,L249*$P$5,B249=2018,L249*$P$6,B249=2019,L249*$P$7,B249=2020,L249*$P$8,B249=2021,L249*$P$9,B249=2022,L249*$P$10)</f>
        <v>4551.7944070659723</v>
      </c>
      <c r="I249" s="7">
        <f t="shared" si="9"/>
        <v>185984.79440706596</v>
      </c>
      <c r="J249">
        <f>IFERROR(VLOOKUP(F249,'LEAID Match'!$A$2:$B$227,2,FALSE),"")</f>
        <v>3805340</v>
      </c>
      <c r="K249">
        <f t="shared" si="8"/>
        <v>8</v>
      </c>
      <c r="L249" cm="1">
        <f t="array" ref="L249">_xlfn.IFS(B249=2015,G249/$P$13,B249=2016,G249/$P$14,B249=2017,G249/$P$15,B249=2018,G249/$P$16,B249=2019,G249/$P$17,B249=2019,G249/$P$18,B249=2020,G249/$P$18,B249=2021,G249/$P$19,B249=2022,G249/$P$20)</f>
        <v>1.950211828220211E-3</v>
      </c>
    </row>
    <row r="250" spans="1:12" x14ac:dyDescent="0.2">
      <c r="A250">
        <v>3805340</v>
      </c>
      <c r="B250" s="5">
        <v>2021</v>
      </c>
      <c r="C250" t="s">
        <v>252</v>
      </c>
      <c r="D250" t="s">
        <v>254</v>
      </c>
      <c r="E250" t="s">
        <v>256</v>
      </c>
      <c r="F250" s="5" t="s">
        <v>81</v>
      </c>
      <c r="G250" s="7">
        <v>205460</v>
      </c>
      <c r="H250" s="7" cm="1">
        <f t="array" ref="H250">_xlfn.IFS(B250=2015,L250*$P$3,B250=2016,L250*$P$4,B250=2017,L250*$P$5,B250=2018,L250*$P$6,B250=2019,L250*$P$7,B250=2020,L250*$P$8,B250=2021,L250*$P$9,B250=2022,L250*$P$10)</f>
        <v>5614.0493314523901</v>
      </c>
      <c r="I250" s="7">
        <f t="shared" si="9"/>
        <v>211074.04933145238</v>
      </c>
      <c r="J250">
        <f>IFERROR(VLOOKUP(F250,'LEAID Match'!$A$2:$B$227,2,FALSE),"")</f>
        <v>3805340</v>
      </c>
      <c r="K250">
        <f t="shared" si="8"/>
        <v>8</v>
      </c>
      <c r="L250" cm="1">
        <f t="array" ref="L250">_xlfn.IFS(B250=2015,G250/$P$13,B250=2016,G250/$P$14,B250=2017,G250/$P$15,B250=2018,G250/$P$16,B250=2019,G250/$P$17,B250=2019,G250/$P$18,B250=2020,G250/$P$18,B250=2021,G250/$P$19,B250=2022,G250/$P$20)</f>
        <v>2.0908936057550801E-3</v>
      </c>
    </row>
    <row r="251" spans="1:12" x14ac:dyDescent="0.2">
      <c r="A251">
        <v>3805340</v>
      </c>
      <c r="B251">
        <v>2022</v>
      </c>
      <c r="C251" t="s">
        <v>252</v>
      </c>
      <c r="D251" t="s">
        <v>254</v>
      </c>
      <c r="E251" t="s">
        <v>256</v>
      </c>
      <c r="F251" s="5" t="s">
        <v>81</v>
      </c>
      <c r="G251" s="7">
        <v>183288</v>
      </c>
      <c r="H251" s="7" cm="1">
        <f t="array" ref="H251">_xlfn.IFS(B251=2015,L251*$P$3,B251=2016,L251*$P$4,B251=2017,L251*$P$5,B251=2018,L251*$P$6,B251=2019,L251*$P$7,B251=2020,L251*$P$8,B251=2021,L251*$P$9,B251=2022,L251*$P$10)</f>
        <v>3730.3805678113913</v>
      </c>
      <c r="I251" s="7">
        <f t="shared" si="9"/>
        <v>187018.3805678114</v>
      </c>
      <c r="J251">
        <f>IFERROR(VLOOKUP(F251,'LEAID Match'!$A$2:$B$227,2,FALSE),"")</f>
        <v>3805340</v>
      </c>
      <c r="K251">
        <f t="shared" si="8"/>
        <v>8</v>
      </c>
      <c r="L251" cm="1">
        <f t="array" ref="L251">_xlfn.IFS(B251=2015,G251/$P$13,B251=2016,G251/$P$14,B251=2017,G251/$P$15,B251=2018,G251/$P$16,B251=2019,G251/$P$17,B251=2019,G251/$P$18,B251=2020,G251/$P$18,B251=2021,G251/$P$19,B251=2022,G251/$P$20)</f>
        <v>1.8268269186147851E-3</v>
      </c>
    </row>
    <row r="252" spans="1:12" x14ac:dyDescent="0.2">
      <c r="A252">
        <v>3805460</v>
      </c>
      <c r="B252">
        <v>2015</v>
      </c>
      <c r="C252" t="s">
        <v>252</v>
      </c>
      <c r="D252" t="s">
        <v>254</v>
      </c>
      <c r="E252" t="s">
        <v>256</v>
      </c>
      <c r="F252" s="5" t="s">
        <v>194</v>
      </c>
      <c r="G252" s="7">
        <v>330097</v>
      </c>
      <c r="H252" s="7" cm="1">
        <f t="array" ref="H252">_xlfn.IFS(B252=2015,L252*$P$3,B252=2016,L252*$P$4,B252=2017,L252*$P$5,B252=2018,L252*$P$6,B252=2019,L252*$P$7,B252=2020,L252*$P$8,B252=2021,L252*$P$9,B252=2022,L252*$P$10)</f>
        <v>7462.9725676818143</v>
      </c>
      <c r="I252" s="7">
        <f t="shared" si="9"/>
        <v>337559.97256768181</v>
      </c>
      <c r="J252">
        <f>IFERROR(VLOOKUP(F252,'LEAID Match'!$A$2:$B$227,2,FALSE),"")</f>
        <v>3805460</v>
      </c>
      <c r="K252">
        <f t="shared" si="8"/>
        <v>8</v>
      </c>
      <c r="L252" cm="1">
        <f t="array" ref="L252">_xlfn.IFS(B252=2015,G252/$P$13,B252=2016,G252/$P$14,B252=2017,G252/$P$15,B252=2018,G252/$P$16,B252=2019,G252/$P$17,B252=2019,G252/$P$18,B252=2020,G252/$P$18,B252=2021,G252/$P$19,B252=2022,G252/$P$20)</f>
        <v>4.2092343867353721E-3</v>
      </c>
    </row>
    <row r="253" spans="1:12" x14ac:dyDescent="0.2">
      <c r="A253">
        <v>3805460</v>
      </c>
      <c r="B253">
        <v>2016</v>
      </c>
      <c r="C253" t="s">
        <v>252</v>
      </c>
      <c r="D253" t="s">
        <v>254</v>
      </c>
      <c r="E253" t="s">
        <v>256</v>
      </c>
      <c r="F253" s="5" t="s">
        <v>194</v>
      </c>
      <c r="G253" s="7">
        <v>372289</v>
      </c>
      <c r="H253" s="7" cm="1">
        <f t="array" ref="H253">_xlfn.IFS(B253=2015,L253*$P$3,B253=2016,L253*$P$4,B253=2017,L253*$P$5,B253=2018,L253*$P$6,B253=2019,L253*$P$7,B253=2020,L253*$P$8,B253=2021,L253*$P$9,B253=2022,L253*$P$10)</f>
        <v>12641.837630212414</v>
      </c>
      <c r="I253" s="7">
        <f t="shared" si="9"/>
        <v>384930.83763021242</v>
      </c>
      <c r="J253">
        <f>IFERROR(VLOOKUP(F253,'LEAID Match'!$A$2:$B$227,2,FALSE),"")</f>
        <v>3805460</v>
      </c>
      <c r="K253">
        <f t="shared" si="8"/>
        <v>8</v>
      </c>
      <c r="L253" cm="1">
        <f t="array" ref="L253">_xlfn.IFS(B253=2015,G253/$P$13,B253=2016,G253/$P$14,B253=2017,G253/$P$15,B253=2018,G253/$P$16,B253=2019,G253/$P$17,B253=2019,G253/$P$18,B253=2020,G253/$P$18,B253=2021,G253/$P$19,B253=2022,G253/$P$20)</f>
        <v>4.4940766548924333E-3</v>
      </c>
    </row>
    <row r="254" spans="1:12" x14ac:dyDescent="0.2">
      <c r="A254">
        <v>3805460</v>
      </c>
      <c r="B254">
        <v>2017</v>
      </c>
      <c r="C254" t="s">
        <v>252</v>
      </c>
      <c r="D254" t="s">
        <v>254</v>
      </c>
      <c r="E254" t="s">
        <v>256</v>
      </c>
      <c r="F254" s="5" t="s">
        <v>194</v>
      </c>
      <c r="G254" s="7">
        <v>408090</v>
      </c>
      <c r="H254" s="7" cm="1">
        <f t="array" ref="H254">_xlfn.IFS(B254=2015,L254*$P$3,B254=2016,L254*$P$4,B254=2017,L254*$P$5,B254=2018,L254*$P$6,B254=2019,L254*$P$7,B254=2020,L254*$P$8,B254=2021,L254*$P$9,B254=2022,L254*$P$10)</f>
        <v>13225.401432505563</v>
      </c>
      <c r="I254" s="7">
        <f t="shared" si="9"/>
        <v>421315.40143250558</v>
      </c>
      <c r="J254">
        <f>IFERROR(VLOOKUP(F254,'LEAID Match'!$A$2:$B$227,2,FALSE),"")</f>
        <v>3805460</v>
      </c>
      <c r="K254">
        <f t="shared" si="8"/>
        <v>8</v>
      </c>
      <c r="L254" cm="1">
        <f t="array" ref="L254">_xlfn.IFS(B254=2015,G254/$P$13,B254=2016,G254/$P$14,B254=2017,G254/$P$15,B254=2018,G254/$P$16,B254=2019,G254/$P$17,B254=2019,G254/$P$18,B254=2020,G254/$P$18,B254=2021,G254/$P$19,B254=2022,G254/$P$20)</f>
        <v>4.7419868886717691E-3</v>
      </c>
    </row>
    <row r="255" spans="1:12" x14ac:dyDescent="0.2">
      <c r="A255">
        <v>3805460</v>
      </c>
      <c r="B255" s="5">
        <v>2018</v>
      </c>
      <c r="C255" t="s">
        <v>252</v>
      </c>
      <c r="D255" t="s">
        <v>254</v>
      </c>
      <c r="E255" t="s">
        <v>256</v>
      </c>
      <c r="F255" s="5" t="s">
        <v>194</v>
      </c>
      <c r="G255" s="7">
        <v>419215</v>
      </c>
      <c r="H255" s="7" cm="1">
        <f t="array" ref="H255">_xlfn.IFS(B255=2015,L255*$P$3,B255=2016,L255*$P$4,B255=2017,L255*$P$5,B255=2018,L255*$P$6,B255=2019,L255*$P$7,B255=2020,L255*$P$8,B255=2021,L255*$P$9,B255=2022,L255*$P$10)</f>
        <v>11486.905413691184</v>
      </c>
      <c r="I255" s="7">
        <f t="shared" si="9"/>
        <v>430701.90541369119</v>
      </c>
      <c r="J255">
        <f>IFERROR(VLOOKUP(F255,'LEAID Match'!$A$2:$B$227,2,FALSE),"")</f>
        <v>3805460</v>
      </c>
      <c r="K255">
        <f t="shared" si="8"/>
        <v>8</v>
      </c>
      <c r="L255" cm="1">
        <f t="array" ref="L255">_xlfn.IFS(B255=2015,G255/$P$13,B255=2016,G255/$P$14,B255=2017,G255/$P$15,B255=2018,G255/$P$16,B255=2019,G255/$P$17,B255=2019,G255/$P$18,B255=2020,G255/$P$18,B255=2021,G255/$P$19,B255=2022,G255/$P$20)</f>
        <v>4.83659175313313E-3</v>
      </c>
    </row>
    <row r="256" spans="1:12" x14ac:dyDescent="0.2">
      <c r="A256">
        <v>3805460</v>
      </c>
      <c r="B256">
        <v>2019</v>
      </c>
      <c r="C256" t="s">
        <v>252</v>
      </c>
      <c r="D256" t="s">
        <v>254</v>
      </c>
      <c r="E256" t="s">
        <v>256</v>
      </c>
      <c r="F256" s="5" t="s">
        <v>194</v>
      </c>
      <c r="G256" s="7">
        <v>426728</v>
      </c>
      <c r="H256" s="7" cm="1">
        <f t="array" ref="H256">_xlfn.IFS(B256=2015,L256*$P$3,B256=2016,L256*$P$4,B256=2017,L256*$P$5,B256=2018,L256*$P$6,B256=2019,L256*$P$7,B256=2020,L256*$P$8,B256=2021,L256*$P$9,B256=2022,L256*$P$10)</f>
        <v>9904.2821456074398</v>
      </c>
      <c r="I256" s="7">
        <f t="shared" si="9"/>
        <v>436632.28214560746</v>
      </c>
      <c r="J256">
        <f>IFERROR(VLOOKUP(F256,'LEAID Match'!$A$2:$B$227,2,FALSE),"")</f>
        <v>3805460</v>
      </c>
      <c r="K256">
        <f t="shared" si="8"/>
        <v>8</v>
      </c>
      <c r="L256" cm="1">
        <f t="array" ref="L256">_xlfn.IFS(B256=2015,G256/$P$13,B256=2016,G256/$P$14,B256=2017,G256/$P$15,B256=2018,G256/$P$16,B256=2019,G256/$P$17,B256=2019,G256/$P$18,B256=2020,G256/$P$18,B256=2021,G256/$P$19,B256=2022,G256/$P$20)</f>
        <v>4.7708488177299804E-3</v>
      </c>
    </row>
    <row r="257" spans="1:12" x14ac:dyDescent="0.2">
      <c r="A257">
        <v>3805460</v>
      </c>
      <c r="B257">
        <v>2020</v>
      </c>
      <c r="C257" t="s">
        <v>252</v>
      </c>
      <c r="D257" t="s">
        <v>254</v>
      </c>
      <c r="E257" t="s">
        <v>256</v>
      </c>
      <c r="F257" s="5" t="s">
        <v>194</v>
      </c>
      <c r="G257" s="7">
        <v>449497</v>
      </c>
      <c r="H257" s="7" cm="1">
        <f t="array" ref="H257">_xlfn.IFS(B257=2015,L257*$P$3,B257=2016,L257*$P$4,B257=2017,L257*$P$5,B257=2018,L257*$P$6,B257=2019,L257*$P$7,B257=2020,L257*$P$8,B257=2021,L257*$P$9,B257=2022,L257*$P$10)</f>
        <v>11276.988919286643</v>
      </c>
      <c r="I257" s="7">
        <f t="shared" si="9"/>
        <v>460773.98891928664</v>
      </c>
      <c r="J257">
        <f>IFERROR(VLOOKUP(F257,'LEAID Match'!$A$2:$B$227,2,FALSE),"")</f>
        <v>3805460</v>
      </c>
      <c r="K257">
        <f t="shared" si="8"/>
        <v>8</v>
      </c>
      <c r="L257" cm="1">
        <f t="array" ref="L257">_xlfn.IFS(B257=2015,G257/$P$13,B257=2016,G257/$P$14,B257=2017,G257/$P$15,B257=2018,G257/$P$16,B257=2019,G257/$P$17,B257=2019,G257/$P$18,B257=2020,G257/$P$18,B257=2021,G257/$P$19,B257=2022,G257/$P$20)</f>
        <v>4.8316147897543458E-3</v>
      </c>
    </row>
    <row r="258" spans="1:12" x14ac:dyDescent="0.2">
      <c r="A258">
        <v>3805460</v>
      </c>
      <c r="B258" s="5">
        <v>2021</v>
      </c>
      <c r="C258" t="s">
        <v>252</v>
      </c>
      <c r="D258" t="s">
        <v>254</v>
      </c>
      <c r="E258" t="s">
        <v>256</v>
      </c>
      <c r="F258" s="5" t="s">
        <v>194</v>
      </c>
      <c r="G258" s="7">
        <v>480351</v>
      </c>
      <c r="H258" s="7" cm="1">
        <f t="array" ref="H258">_xlfn.IFS(B258=2015,L258*$P$3,B258=2016,L258*$P$4,B258=2017,L258*$P$5,B258=2018,L258*$P$6,B258=2019,L258*$P$7,B258=2020,L258*$P$8,B258=2021,L258*$P$9,B258=2022,L258*$P$10)</f>
        <v>13125.251681166588</v>
      </c>
      <c r="I258" s="7">
        <f t="shared" si="9"/>
        <v>493476.25168116658</v>
      </c>
      <c r="J258">
        <f>IFERROR(VLOOKUP(F258,'LEAID Match'!$A$2:$B$227,2,FALSE),"")</f>
        <v>3805460</v>
      </c>
      <c r="K258">
        <f t="shared" ref="K258:K321" si="10">COUNTIF($A$2:$A$1757,A258)</f>
        <v>8</v>
      </c>
      <c r="L258" cm="1">
        <f t="array" ref="L258">_xlfn.IFS(B258=2015,G258/$P$13,B258=2016,G258/$P$14,B258=2017,G258/$P$15,B258=2018,G258/$P$16,B258=2019,G258/$P$17,B258=2019,G258/$P$18,B258=2020,G258/$P$18,B258=2021,G258/$P$19,B258=2022,G258/$P$20)</f>
        <v>4.888361892427035E-3</v>
      </c>
    </row>
    <row r="259" spans="1:12" x14ac:dyDescent="0.2">
      <c r="A259">
        <v>3805460</v>
      </c>
      <c r="B259">
        <v>2022</v>
      </c>
      <c r="C259" t="s">
        <v>252</v>
      </c>
      <c r="D259" t="s">
        <v>254</v>
      </c>
      <c r="E259" t="s">
        <v>256</v>
      </c>
      <c r="F259" s="5" t="s">
        <v>194</v>
      </c>
      <c r="G259" s="7">
        <v>517263</v>
      </c>
      <c r="H259" s="7" cm="1">
        <f t="array" ref="H259">_xlfn.IFS(B259=2015,L259*$P$3,B259=2016,L259*$P$4,B259=2017,L259*$P$5,B259=2018,L259*$P$6,B259=2019,L259*$P$7,B259=2020,L259*$P$8,B259=2021,L259*$P$9,B259=2022,L259*$P$10)</f>
        <v>10527.627796952465</v>
      </c>
      <c r="I259" s="7">
        <f t="shared" ref="I259:I322" si="11">SUM(G259:H259)</f>
        <v>527790.6277969525</v>
      </c>
      <c r="J259">
        <f>IFERROR(VLOOKUP(F259,'LEAID Match'!$A$2:$B$227,2,FALSE),"")</f>
        <v>3805460</v>
      </c>
      <c r="K259">
        <f t="shared" si="10"/>
        <v>8</v>
      </c>
      <c r="L259" cm="1">
        <f t="array" ref="L259">_xlfn.IFS(B259=2015,G259/$P$13,B259=2016,G259/$P$14,B259=2017,G259/$P$15,B259=2018,G259/$P$16,B259=2019,G259/$P$17,B259=2019,G259/$P$18,B259=2020,G259/$P$18,B259=2021,G259/$P$19,B259=2022,G259/$P$20)</f>
        <v>5.1555474030129606E-3</v>
      </c>
    </row>
    <row r="260" spans="1:12" x14ac:dyDescent="0.2">
      <c r="A260">
        <v>3880260</v>
      </c>
      <c r="B260">
        <v>2015</v>
      </c>
      <c r="C260" t="s">
        <v>252</v>
      </c>
      <c r="D260" t="s">
        <v>254</v>
      </c>
      <c r="E260" t="s">
        <v>256</v>
      </c>
      <c r="F260" s="5" t="s">
        <v>82</v>
      </c>
      <c r="G260" s="7">
        <v>102479</v>
      </c>
      <c r="H260" s="7" cm="1">
        <f t="array" ref="H260">_xlfn.IFS(B260=2015,L260*$P$3,B260=2016,L260*$P$4,B260=2017,L260*$P$5,B260=2018,L260*$P$6,B260=2019,L260*$P$7,B260=2020,L260*$P$8,B260=2021,L260*$P$9,B260=2022,L260*$P$10)</f>
        <v>2316.8885684009992</v>
      </c>
      <c r="I260" s="7">
        <f t="shared" si="11"/>
        <v>104795.888568401</v>
      </c>
      <c r="J260">
        <f>IFERROR(VLOOKUP(F260,'LEAID Match'!$A$2:$B$227,2,FALSE),"")</f>
        <v>3880260</v>
      </c>
      <c r="K260">
        <f t="shared" si="10"/>
        <v>8</v>
      </c>
      <c r="L260" cm="1">
        <f t="array" ref="L260">_xlfn.IFS(B260=2015,G260/$P$13,B260=2016,G260/$P$14,B260=2017,G260/$P$15,B260=2018,G260/$P$16,B260=2019,G260/$P$17,B260=2019,G260/$P$18,B260=2020,G260/$P$18,B260=2021,G260/$P$19,B260=2022,G260/$P$20)</f>
        <v>1.306761741906937E-3</v>
      </c>
    </row>
    <row r="261" spans="1:12" x14ac:dyDescent="0.2">
      <c r="A261">
        <v>3880260</v>
      </c>
      <c r="B261">
        <v>2016</v>
      </c>
      <c r="C261" t="s">
        <v>252</v>
      </c>
      <c r="D261" t="s">
        <v>254</v>
      </c>
      <c r="E261" t="s">
        <v>256</v>
      </c>
      <c r="F261" s="5" t="s">
        <v>82</v>
      </c>
      <c r="G261" s="7">
        <v>98554</v>
      </c>
      <c r="H261" s="7" cm="1">
        <f t="array" ref="H261">_xlfn.IFS(B261=2015,L261*$P$3,B261=2016,L261*$P$4,B261=2017,L261*$P$5,B261=2018,L261*$P$6,B261=2019,L261*$P$7,B261=2020,L261*$P$8,B261=2021,L261*$P$9,B261=2022,L261*$P$10)</f>
        <v>3346.6034876344843</v>
      </c>
      <c r="I261" s="7">
        <f t="shared" si="11"/>
        <v>101900.60348763448</v>
      </c>
      <c r="J261">
        <f>IFERROR(VLOOKUP(F261,'LEAID Match'!$A$2:$B$227,2,FALSE),"")</f>
        <v>3880260</v>
      </c>
      <c r="K261">
        <f t="shared" si="10"/>
        <v>8</v>
      </c>
      <c r="L261" cm="1">
        <f t="array" ref="L261">_xlfn.IFS(B261=2015,G261/$P$13,B261=2016,G261/$P$14,B261=2017,G261/$P$15,B261=2018,G261/$P$16,B261=2019,G261/$P$17,B261=2019,G261/$P$18,B261=2020,G261/$P$18,B261=2021,G261/$P$19,B261=2022,G261/$P$20)</f>
        <v>1.1896919614768874E-3</v>
      </c>
    </row>
    <row r="262" spans="1:12" x14ac:dyDescent="0.2">
      <c r="A262">
        <v>3880260</v>
      </c>
      <c r="B262">
        <v>2017</v>
      </c>
      <c r="C262" t="s">
        <v>252</v>
      </c>
      <c r="D262" t="s">
        <v>254</v>
      </c>
      <c r="E262" t="s">
        <v>256</v>
      </c>
      <c r="F262" s="5" t="s">
        <v>82</v>
      </c>
      <c r="G262" s="7">
        <v>101974</v>
      </c>
      <c r="H262" s="7" cm="1">
        <f t="array" ref="H262">_xlfn.IFS(B262=2015,L262*$P$3,B262=2016,L262*$P$4,B262=2017,L262*$P$5,B262=2018,L262*$P$6,B262=2019,L262*$P$7,B262=2020,L262*$P$8,B262=2021,L262*$P$9,B262=2022,L262*$P$10)</f>
        <v>3304.7785676647859</v>
      </c>
      <c r="I262" s="7">
        <f t="shared" si="11"/>
        <v>105278.77856766479</v>
      </c>
      <c r="J262">
        <f>IFERROR(VLOOKUP(F262,'LEAID Match'!$A$2:$B$227,2,FALSE),"")</f>
        <v>3880260</v>
      </c>
      <c r="K262">
        <f t="shared" si="10"/>
        <v>8</v>
      </c>
      <c r="L262" cm="1">
        <f t="array" ref="L262">_xlfn.IFS(B262=2015,G262/$P$13,B262=2016,G262/$P$14,B262=2017,G262/$P$15,B262=2018,G262/$P$16,B262=2019,G262/$P$17,B262=2019,G262/$P$18,B262=2020,G262/$P$18,B262=2021,G262/$P$19,B262=2022,G262/$P$20)</f>
        <v>1.1849331544154843E-3</v>
      </c>
    </row>
    <row r="263" spans="1:12" x14ac:dyDescent="0.2">
      <c r="A263">
        <v>3880260</v>
      </c>
      <c r="B263" s="5">
        <v>2018</v>
      </c>
      <c r="C263" t="s">
        <v>252</v>
      </c>
      <c r="D263" t="s">
        <v>254</v>
      </c>
      <c r="E263" t="s">
        <v>256</v>
      </c>
      <c r="F263" s="5" t="s">
        <v>82</v>
      </c>
      <c r="G263" s="7">
        <v>101492</v>
      </c>
      <c r="H263" s="7" cm="1">
        <f t="array" ref="H263">_xlfn.IFS(B263=2015,L263*$P$3,B263=2016,L263*$P$4,B263=2017,L263*$P$5,B263=2018,L263*$P$6,B263=2019,L263*$P$7,B263=2020,L263*$P$8,B263=2021,L263*$P$9,B263=2022,L263*$P$10)</f>
        <v>2780.98112960258</v>
      </c>
      <c r="I263" s="7">
        <f t="shared" si="11"/>
        <v>104272.98112960259</v>
      </c>
      <c r="J263">
        <f>IFERROR(VLOOKUP(F263,'LEAID Match'!$A$2:$B$227,2,FALSE),"")</f>
        <v>3880260</v>
      </c>
      <c r="K263">
        <f t="shared" si="10"/>
        <v>8</v>
      </c>
      <c r="L263" cm="1">
        <f t="array" ref="L263">_xlfn.IFS(B263=2015,G263/$P$13,B263=2016,G263/$P$14,B263=2017,G263/$P$15,B263=2018,G263/$P$16,B263=2019,G263/$P$17,B263=2019,G263/$P$18,B263=2020,G263/$P$18,B263=2021,G263/$P$19,B263=2022,G263/$P$20)</f>
        <v>1.1709394229905601E-3</v>
      </c>
    </row>
    <row r="264" spans="1:12" x14ac:dyDescent="0.2">
      <c r="A264">
        <v>3880260</v>
      </c>
      <c r="B264">
        <v>2019</v>
      </c>
      <c r="C264" t="s">
        <v>252</v>
      </c>
      <c r="D264" t="s">
        <v>254</v>
      </c>
      <c r="E264" t="s">
        <v>256</v>
      </c>
      <c r="F264" s="5" t="s">
        <v>82</v>
      </c>
      <c r="G264" s="7">
        <v>101268</v>
      </c>
      <c r="H264" s="7" cm="1">
        <f t="array" ref="H264">_xlfn.IFS(B264=2015,L264*$P$3,B264=2016,L264*$P$4,B264=2017,L264*$P$5,B264=2018,L264*$P$6,B264=2019,L264*$P$7,B264=2020,L264*$P$8,B264=2021,L264*$P$9,B264=2022,L264*$P$10)</f>
        <v>2350.4125445749382</v>
      </c>
      <c r="I264" s="7">
        <f t="shared" si="11"/>
        <v>103618.41254457494</v>
      </c>
      <c r="J264">
        <f>IFERROR(VLOOKUP(F264,'LEAID Match'!$A$2:$B$227,2,FALSE),"")</f>
        <v>3880260</v>
      </c>
      <c r="K264">
        <f t="shared" si="10"/>
        <v>8</v>
      </c>
      <c r="L264" cm="1">
        <f t="array" ref="L264">_xlfn.IFS(B264=2015,G264/$P$13,B264=2016,G264/$P$14,B264=2017,G264/$P$15,B264=2018,G264/$P$16,B264=2019,G264/$P$17,B264=2019,G264/$P$18,B264=2020,G264/$P$18,B264=2021,G264/$P$19,B264=2022,G264/$P$20)</f>
        <v>1.1321833066353267E-3</v>
      </c>
    </row>
    <row r="265" spans="1:12" x14ac:dyDescent="0.2">
      <c r="A265">
        <v>3880260</v>
      </c>
      <c r="B265">
        <v>2020</v>
      </c>
      <c r="C265" t="s">
        <v>252</v>
      </c>
      <c r="D265" t="s">
        <v>254</v>
      </c>
      <c r="E265" t="s">
        <v>256</v>
      </c>
      <c r="F265" s="5" t="s">
        <v>82</v>
      </c>
      <c r="G265" s="7">
        <v>86297</v>
      </c>
      <c r="H265" s="7" cm="1">
        <f t="array" ref="H265">_xlfn.IFS(B265=2015,L265*$P$3,B265=2016,L265*$P$4,B265=2017,L265*$P$5,B265=2018,L265*$P$6,B265=2019,L265*$P$7,B265=2020,L265*$P$8,B265=2021,L265*$P$9,B265=2022,L265*$P$10)</f>
        <v>2165.0207070740839</v>
      </c>
      <c r="I265" s="7">
        <f t="shared" si="11"/>
        <v>88462.020707074087</v>
      </c>
      <c r="J265">
        <f>IFERROR(VLOOKUP(F265,'LEAID Match'!$A$2:$B$227,2,FALSE),"")</f>
        <v>3880260</v>
      </c>
      <c r="K265">
        <f t="shared" si="10"/>
        <v>8</v>
      </c>
      <c r="L265" cm="1">
        <f t="array" ref="L265">_xlfn.IFS(B265=2015,G265/$P$13,B265=2016,G265/$P$14,B265=2017,G265/$P$15,B265=2018,G265/$P$16,B265=2019,G265/$P$17,B265=2019,G265/$P$18,B265=2020,G265/$P$18,B265=2021,G265/$P$19,B265=2022,G265/$P$20)</f>
        <v>9.276009884636177E-4</v>
      </c>
    </row>
    <row r="266" spans="1:12" x14ac:dyDescent="0.2">
      <c r="A266">
        <v>3880260</v>
      </c>
      <c r="B266" s="5">
        <v>2021</v>
      </c>
      <c r="C266" t="s">
        <v>252</v>
      </c>
      <c r="D266" t="s">
        <v>254</v>
      </c>
      <c r="E266" t="s">
        <v>256</v>
      </c>
      <c r="F266" s="5" t="s">
        <v>82</v>
      </c>
      <c r="G266" s="7">
        <v>77039</v>
      </c>
      <c r="H266" s="7" cm="1">
        <f t="array" ref="H266">_xlfn.IFS(B266=2015,L266*$P$3,B266=2016,L266*$P$4,B266=2017,L266*$P$5,B266=2018,L266*$P$6,B266=2019,L266*$P$7,B266=2020,L266*$P$8,B266=2021,L266*$P$9,B266=2022,L266*$P$10)</f>
        <v>2105.0362428003541</v>
      </c>
      <c r="I266" s="7">
        <f t="shared" si="11"/>
        <v>79144.036242800357</v>
      </c>
      <c r="J266">
        <f>IFERROR(VLOOKUP(F266,'LEAID Match'!$A$2:$B$227,2,FALSE),"")</f>
        <v>3880260</v>
      </c>
      <c r="K266">
        <f t="shared" si="10"/>
        <v>8</v>
      </c>
      <c r="L266" cm="1">
        <f t="array" ref="L266">_xlfn.IFS(B266=2015,G266/$P$13,B266=2016,G266/$P$14,B266=2017,G266/$P$15,B266=2018,G266/$P$16,B266=2019,G266/$P$17,B266=2019,G266/$P$18,B266=2020,G266/$P$18,B266=2021,G266/$P$19,B266=2022,G266/$P$20)</f>
        <v>7.8399860067052292E-4</v>
      </c>
    </row>
    <row r="267" spans="1:12" x14ac:dyDescent="0.2">
      <c r="A267">
        <v>3880260</v>
      </c>
      <c r="B267">
        <v>2022</v>
      </c>
      <c r="C267" t="s">
        <v>252</v>
      </c>
      <c r="D267" t="s">
        <v>254</v>
      </c>
      <c r="E267" t="s">
        <v>256</v>
      </c>
      <c r="F267" s="5" t="s">
        <v>82</v>
      </c>
      <c r="G267" s="7">
        <v>90664</v>
      </c>
      <c r="H267" s="7" cm="1">
        <f t="array" ref="H267">_xlfn.IFS(B267=2015,L267*$P$3,B267=2016,L267*$P$4,B267=2017,L267*$P$5,B267=2018,L267*$P$6,B267=2019,L267*$P$7,B267=2020,L267*$P$8,B267=2021,L267*$P$9,B267=2022,L267*$P$10)</f>
        <v>1845.244772162127</v>
      </c>
      <c r="I267" s="7">
        <f t="shared" si="11"/>
        <v>92509.244772162128</v>
      </c>
      <c r="J267">
        <f>IFERROR(VLOOKUP(F267,'LEAID Match'!$A$2:$B$227,2,FALSE),"")</f>
        <v>3880260</v>
      </c>
      <c r="K267">
        <f t="shared" si="10"/>
        <v>8</v>
      </c>
      <c r="L267" cm="1">
        <f t="array" ref="L267">_xlfn.IFS(B267=2015,G267/$P$13,B267=2016,G267/$P$14,B267=2017,G267/$P$15,B267=2018,G267/$P$16,B267=2019,G267/$P$17,B267=2019,G267/$P$18,B267=2020,G267/$P$18,B267=2021,G267/$P$19,B267=2022,G267/$P$20)</f>
        <v>9.0364582378164892E-4</v>
      </c>
    </row>
    <row r="268" spans="1:12" x14ac:dyDescent="0.2">
      <c r="A268">
        <v>3805670</v>
      </c>
      <c r="B268">
        <v>2015</v>
      </c>
      <c r="C268" t="s">
        <v>252</v>
      </c>
      <c r="D268" t="s">
        <v>254</v>
      </c>
      <c r="E268" t="s">
        <v>256</v>
      </c>
      <c r="F268" s="5" t="s">
        <v>83</v>
      </c>
      <c r="G268" s="7">
        <v>3940</v>
      </c>
      <c r="H268" s="7" cm="1">
        <f t="array" ref="H268">_xlfn.IFS(B268=2015,L268*$P$3,B268=2016,L268*$P$4,B268=2017,L268*$P$5,B268=2018,L268*$P$6,B268=2019,L268*$P$7,B268=2020,L268*$P$8,B268=2021,L268*$P$9,B268=2022,L268*$P$10)</f>
        <v>89.077186150332622</v>
      </c>
      <c r="I268" s="7">
        <f t="shared" si="11"/>
        <v>4029.0771861503326</v>
      </c>
      <c r="J268">
        <f>IFERROR(VLOOKUP(F268,'LEAID Match'!$A$2:$B$227,2,FALSE),"")</f>
        <v>3805670</v>
      </c>
      <c r="K268">
        <f t="shared" si="10"/>
        <v>8</v>
      </c>
      <c r="L268" cm="1">
        <f t="array" ref="L268">_xlfn.IFS(B268=2015,G268/$P$13,B268=2016,G268/$P$14,B268=2017,G268/$P$15,B268=2018,G268/$P$16,B268=2019,G268/$P$17,B268=2019,G268/$P$18,B268=2020,G268/$P$18,B268=2021,G268/$P$19,B268=2022,G268/$P$20)</f>
        <v>5.0240939735100181E-5</v>
      </c>
    </row>
    <row r="269" spans="1:12" x14ac:dyDescent="0.2">
      <c r="A269">
        <v>3805670</v>
      </c>
      <c r="B269">
        <v>2016</v>
      </c>
      <c r="C269" t="s">
        <v>252</v>
      </c>
      <c r="D269" t="s">
        <v>254</v>
      </c>
      <c r="E269" t="s">
        <v>256</v>
      </c>
      <c r="F269" s="5" t="s">
        <v>83</v>
      </c>
      <c r="G269" s="7">
        <v>4016</v>
      </c>
      <c r="H269" s="7" cm="1">
        <f t="array" ref="H269">_xlfn.IFS(B269=2015,L269*$P$3,B269=2016,L269*$P$4,B269=2017,L269*$P$5,B269=2018,L269*$P$6,B269=2019,L269*$P$7,B269=2020,L269*$P$8,B269=2021,L269*$P$9,B269=2022,L269*$P$10)</f>
        <v>136.37152836353764</v>
      </c>
      <c r="I269" s="7">
        <f t="shared" si="11"/>
        <v>4152.3715283635374</v>
      </c>
      <c r="J269">
        <f>IFERROR(VLOOKUP(F269,'LEAID Match'!$A$2:$B$227,2,FALSE),"")</f>
        <v>3805670</v>
      </c>
      <c r="K269">
        <f t="shared" si="10"/>
        <v>8</v>
      </c>
      <c r="L269" cm="1">
        <f t="array" ref="L269">_xlfn.IFS(B269=2015,G269/$P$13,B269=2016,G269/$P$14,B269=2017,G269/$P$15,B269=2018,G269/$P$16,B269=2019,G269/$P$17,B269=2019,G269/$P$18,B269=2020,G269/$P$18,B269=2021,G269/$P$19,B269=2022,G269/$P$20)</f>
        <v>4.8479036033962897E-5</v>
      </c>
    </row>
    <row r="270" spans="1:12" x14ac:dyDescent="0.2">
      <c r="A270">
        <v>3805670</v>
      </c>
      <c r="B270">
        <v>2017</v>
      </c>
      <c r="C270" t="s">
        <v>252</v>
      </c>
      <c r="D270" t="s">
        <v>254</v>
      </c>
      <c r="E270" t="s">
        <v>256</v>
      </c>
      <c r="F270" s="5" t="s">
        <v>83</v>
      </c>
      <c r="G270" s="7">
        <v>4067</v>
      </c>
      <c r="H270" s="7" cm="1">
        <f t="array" ref="H270">_xlfn.IFS(B270=2015,L270*$P$3,B270=2016,L270*$P$4,B270=2017,L270*$P$5,B270=2018,L270*$P$6,B270=2019,L270*$P$7,B270=2020,L270*$P$8,B270=2021,L270*$P$9,B270=2022,L270*$P$10)</f>
        <v>131.80354241956462</v>
      </c>
      <c r="I270" s="7">
        <f t="shared" si="11"/>
        <v>4198.803542419565</v>
      </c>
      <c r="J270">
        <f>IFERROR(VLOOKUP(F270,'LEAID Match'!$A$2:$B$227,2,FALSE),"")</f>
        <v>3805670</v>
      </c>
      <c r="K270">
        <f t="shared" si="10"/>
        <v>8</v>
      </c>
      <c r="L270" cm="1">
        <f t="array" ref="L270">_xlfn.IFS(B270=2015,G270/$P$13,B270=2016,G270/$P$14,B270=2017,G270/$P$15,B270=2018,G270/$P$16,B270=2019,G270/$P$17,B270=2019,G270/$P$18,B270=2020,G270/$P$18,B270=2021,G270/$P$19,B270=2022,G270/$P$20)</f>
        <v>4.7258351530858595E-5</v>
      </c>
    </row>
    <row r="271" spans="1:12" x14ac:dyDescent="0.2">
      <c r="A271">
        <v>3805670</v>
      </c>
      <c r="B271" s="5">
        <v>2018</v>
      </c>
      <c r="C271" t="s">
        <v>252</v>
      </c>
      <c r="D271" t="s">
        <v>254</v>
      </c>
      <c r="E271" t="s">
        <v>256</v>
      </c>
      <c r="F271" s="5" t="s">
        <v>83</v>
      </c>
      <c r="G271" s="7">
        <v>4271</v>
      </c>
      <c r="H271" s="7" cm="1">
        <f t="array" ref="H271">_xlfn.IFS(B271=2015,L271*$P$3,B271=2016,L271*$P$4,B271=2017,L271*$P$5,B271=2018,L271*$P$6,B271=2019,L271*$P$7,B271=2020,L271*$P$8,B271=2021,L271*$P$9,B271=2022,L271*$P$10)</f>
        <v>117.02962208383538</v>
      </c>
      <c r="I271" s="7">
        <f t="shared" si="11"/>
        <v>4388.0296220838354</v>
      </c>
      <c r="J271">
        <f>IFERROR(VLOOKUP(F271,'LEAID Match'!$A$2:$B$227,2,FALSE),"")</f>
        <v>3805670</v>
      </c>
      <c r="K271">
        <f t="shared" si="10"/>
        <v>8</v>
      </c>
      <c r="L271" cm="1">
        <f t="array" ref="L271">_xlfn.IFS(B271=2015,G271/$P$13,B271=2016,G271/$P$14,B271=2017,G271/$P$15,B271=2018,G271/$P$16,B271=2019,G271/$P$17,B271=2019,G271/$P$18,B271=2020,G271/$P$18,B271=2021,G271/$P$19,B271=2022,G271/$P$20)</f>
        <v>4.9275630351088579E-5</v>
      </c>
    </row>
    <row r="272" spans="1:12" x14ac:dyDescent="0.2">
      <c r="A272">
        <v>3805670</v>
      </c>
      <c r="B272">
        <v>2019</v>
      </c>
      <c r="C272" t="s">
        <v>252</v>
      </c>
      <c r="D272" t="s">
        <v>254</v>
      </c>
      <c r="E272" t="s">
        <v>256</v>
      </c>
      <c r="F272" s="5" t="s">
        <v>83</v>
      </c>
      <c r="G272" s="7">
        <v>3315</v>
      </c>
      <c r="H272" s="7" cm="1">
        <f t="array" ref="H272">_xlfn.IFS(B272=2015,L272*$P$3,B272=2016,L272*$P$4,B272=2017,L272*$P$5,B272=2018,L272*$P$6,B272=2019,L272*$P$7,B272=2020,L272*$P$8,B272=2021,L272*$P$9,B272=2022,L272*$P$10)</f>
        <v>76.940569432258172</v>
      </c>
      <c r="I272" s="7">
        <f t="shared" si="11"/>
        <v>3391.9405694322581</v>
      </c>
      <c r="J272">
        <f>IFERROR(VLOOKUP(F272,'LEAID Match'!$A$2:$B$227,2,FALSE),"")</f>
        <v>3805670</v>
      </c>
      <c r="K272">
        <f t="shared" si="10"/>
        <v>8</v>
      </c>
      <c r="L272" cm="1">
        <f t="array" ref="L272">_xlfn.IFS(B272=2015,G272/$P$13,B272=2016,G272/$P$14,B272=2017,G272/$P$15,B272=2018,G272/$P$16,B272=2019,G272/$P$17,B272=2019,G272/$P$18,B272=2020,G272/$P$18,B272=2021,G272/$P$19,B272=2022,G272/$P$20)</f>
        <v>3.7061931325750565E-5</v>
      </c>
    </row>
    <row r="273" spans="1:12" x14ac:dyDescent="0.2">
      <c r="A273">
        <v>3805670</v>
      </c>
      <c r="B273">
        <v>2020</v>
      </c>
      <c r="C273" t="s">
        <v>252</v>
      </c>
      <c r="D273" t="s">
        <v>254</v>
      </c>
      <c r="E273" t="s">
        <v>256</v>
      </c>
      <c r="F273" s="5" t="s">
        <v>83</v>
      </c>
      <c r="G273" s="7">
        <v>3392</v>
      </c>
      <c r="H273" s="7" cm="1">
        <f t="array" ref="H273">_xlfn.IFS(B273=2015,L273*$P$3,B273=2016,L273*$P$4,B273=2017,L273*$P$5,B273=2018,L273*$P$6,B273=2019,L273*$P$7,B273=2020,L273*$P$8,B273=2021,L273*$P$9,B273=2022,L273*$P$10)</f>
        <v>85.098557752822146</v>
      </c>
      <c r="I273" s="7">
        <f t="shared" si="11"/>
        <v>3477.0985577528222</v>
      </c>
      <c r="J273">
        <f>IFERROR(VLOOKUP(F273,'LEAID Match'!$A$2:$B$227,2,FALSE),"")</f>
        <v>3805670</v>
      </c>
      <c r="K273">
        <f t="shared" si="10"/>
        <v>8</v>
      </c>
      <c r="L273" cm="1">
        <f t="array" ref="L273">_xlfn.IFS(B273=2015,G273/$P$13,B273=2016,G273/$P$14,B273=2017,G273/$P$15,B273=2018,G273/$P$16,B273=2019,G273/$P$17,B273=2019,G273/$P$18,B273=2020,G273/$P$18,B273=2021,G273/$P$19,B273=2022,G273/$P$20)</f>
        <v>3.6460393210292262E-5</v>
      </c>
    </row>
    <row r="274" spans="1:12" x14ac:dyDescent="0.2">
      <c r="A274">
        <v>3805670</v>
      </c>
      <c r="B274" s="5">
        <v>2021</v>
      </c>
      <c r="C274" t="s">
        <v>252</v>
      </c>
      <c r="D274" t="s">
        <v>254</v>
      </c>
      <c r="E274" t="s">
        <v>256</v>
      </c>
      <c r="F274" s="5" t="s">
        <v>83</v>
      </c>
      <c r="G274" s="7">
        <v>3468</v>
      </c>
      <c r="H274" s="7" cm="1">
        <f t="array" ref="H274">_xlfn.IFS(B274=2015,L274*$P$3,B274=2016,L274*$P$4,B274=2017,L274*$P$5,B274=2018,L274*$P$6,B274=2019,L274*$P$7,B274=2020,L274*$P$8,B274=2021,L274*$P$9,B274=2022,L274*$P$10)</f>
        <v>94.760649671356418</v>
      </c>
      <c r="I274" s="7">
        <f t="shared" si="11"/>
        <v>3562.7606496713565</v>
      </c>
      <c r="J274">
        <f>IFERROR(VLOOKUP(F274,'LEAID Match'!$A$2:$B$227,2,FALSE),"")</f>
        <v>3805670</v>
      </c>
      <c r="K274">
        <f t="shared" si="10"/>
        <v>8</v>
      </c>
      <c r="L274" cm="1">
        <f t="array" ref="L274">_xlfn.IFS(B274=2015,G274/$P$13,B274=2016,G274/$P$14,B274=2017,G274/$P$15,B274=2018,G274/$P$16,B274=2019,G274/$P$17,B274=2019,G274/$P$18,B274=2020,G274/$P$18,B274=2021,G274/$P$19,B274=2022,G274/$P$20)</f>
        <v>3.5292606953950248E-5</v>
      </c>
    </row>
    <row r="275" spans="1:12" x14ac:dyDescent="0.2">
      <c r="A275">
        <v>3805670</v>
      </c>
      <c r="B275">
        <v>2022</v>
      </c>
      <c r="C275" t="s">
        <v>252</v>
      </c>
      <c r="D275" t="s">
        <v>254</v>
      </c>
      <c r="E275" t="s">
        <v>256</v>
      </c>
      <c r="F275" s="5" t="s">
        <v>83</v>
      </c>
      <c r="G275" s="7">
        <v>3545</v>
      </c>
      <c r="H275" s="7" cm="1">
        <f t="array" ref="H275">_xlfn.IFS(B275=2015,L275*$P$3,B275=2016,L275*$P$4,B275=2017,L275*$P$5,B275=2018,L275*$P$6,B275=2019,L275*$P$7,B275=2020,L275*$P$8,B275=2021,L275*$P$9,B275=2022,L275*$P$10)</f>
        <v>72.149835847908108</v>
      </c>
      <c r="I275" s="7">
        <f t="shared" si="11"/>
        <v>3617.149835847908</v>
      </c>
      <c r="J275">
        <f>IFERROR(VLOOKUP(F275,'LEAID Match'!$A$2:$B$227,2,FALSE),"")</f>
        <v>3805670</v>
      </c>
      <c r="K275">
        <f t="shared" si="10"/>
        <v>8</v>
      </c>
      <c r="L275" cm="1">
        <f t="array" ref="L275">_xlfn.IFS(B275=2015,G275/$P$13,B275=2016,G275/$P$14,B275=2017,G275/$P$15,B275=2018,G275/$P$16,B275=2019,G275/$P$17,B275=2019,G275/$P$18,B275=2020,G275/$P$18,B275=2021,G275/$P$19,B275=2022,G275/$P$20)</f>
        <v>3.5332926468123464E-5</v>
      </c>
    </row>
    <row r="276" spans="1:12" x14ac:dyDescent="0.2">
      <c r="A276">
        <v>3805850</v>
      </c>
      <c r="B276">
        <v>2015</v>
      </c>
      <c r="C276" t="s">
        <v>252</v>
      </c>
      <c r="D276" t="s">
        <v>254</v>
      </c>
      <c r="E276" t="s">
        <v>256</v>
      </c>
      <c r="F276" s="5" t="s">
        <v>84</v>
      </c>
      <c r="G276" s="7">
        <v>155695</v>
      </c>
      <c r="H276" s="7" cm="1">
        <f t="array" ref="H276">_xlfn.IFS(B276=2015,L276*$P$3,B276=2016,L276*$P$4,B276=2017,L276*$P$5,B276=2018,L276*$P$6,B276=2019,L276*$P$7,B276=2020,L276*$P$8,B276=2021,L276*$P$9,B276=2022,L276*$P$10)</f>
        <v>3520.0184004253897</v>
      </c>
      <c r="I276" s="7">
        <f t="shared" si="11"/>
        <v>159215.01840042538</v>
      </c>
      <c r="J276">
        <f>IFERROR(VLOOKUP(F276,'LEAID Match'!$A$2:$B$227,2,FALSE),"")</f>
        <v>3805850</v>
      </c>
      <c r="K276">
        <f t="shared" si="10"/>
        <v>8</v>
      </c>
      <c r="L276" cm="1">
        <f t="array" ref="L276">_xlfn.IFS(B276=2015,G276/$P$13,B276=2016,G276/$P$14,B276=2017,G276/$P$15,B276=2018,G276/$P$16,B276=2019,G276/$P$17,B276=2019,G276/$P$18,B276=2020,G276/$P$18,B276=2021,G276/$P$19,B276=2022,G276/$P$20)</f>
        <v>1.9853459675270107E-3</v>
      </c>
    </row>
    <row r="277" spans="1:12" x14ac:dyDescent="0.2">
      <c r="A277">
        <v>3805850</v>
      </c>
      <c r="B277">
        <v>2016</v>
      </c>
      <c r="C277" t="s">
        <v>252</v>
      </c>
      <c r="D277" t="s">
        <v>254</v>
      </c>
      <c r="E277" t="s">
        <v>256</v>
      </c>
      <c r="F277" s="5" t="s">
        <v>84</v>
      </c>
      <c r="G277" s="7">
        <v>163342</v>
      </c>
      <c r="H277" s="7" cm="1">
        <f t="array" ref="H277">_xlfn.IFS(B277=2015,L277*$P$3,B277=2016,L277*$P$4,B277=2017,L277*$P$5,B277=2018,L277*$P$6,B277=2019,L277*$P$7,B277=2020,L277*$P$8,B277=2021,L277*$P$9,B277=2022,L277*$P$10)</f>
        <v>5546.6130941127894</v>
      </c>
      <c r="I277" s="7">
        <f t="shared" si="11"/>
        <v>168888.61309411278</v>
      </c>
      <c r="J277">
        <f>IFERROR(VLOOKUP(F277,'LEAID Match'!$A$2:$B$227,2,FALSE),"")</f>
        <v>3805850</v>
      </c>
      <c r="K277">
        <f t="shared" si="10"/>
        <v>8</v>
      </c>
      <c r="L277" cm="1">
        <f t="array" ref="L277">_xlfn.IFS(B277=2015,G277/$P$13,B277=2016,G277/$P$14,B277=2017,G277/$P$15,B277=2018,G277/$P$16,B277=2019,G277/$P$17,B277=2019,G277/$P$18,B277=2020,G277/$P$18,B277=2021,G277/$P$19,B277=2022,G277/$P$20)</f>
        <v>1.9717785617180197E-3</v>
      </c>
    </row>
    <row r="278" spans="1:12" x14ac:dyDescent="0.2">
      <c r="A278">
        <v>3805850</v>
      </c>
      <c r="B278">
        <v>2017</v>
      </c>
      <c r="C278" t="s">
        <v>252</v>
      </c>
      <c r="D278" t="s">
        <v>254</v>
      </c>
      <c r="E278" t="s">
        <v>256</v>
      </c>
      <c r="F278" s="5" t="s">
        <v>84</v>
      </c>
      <c r="G278" s="7">
        <v>167324</v>
      </c>
      <c r="H278" s="7" cm="1">
        <f t="array" ref="H278">_xlfn.IFS(B278=2015,L278*$P$3,B278=2016,L278*$P$4,B278=2017,L278*$P$5,B278=2018,L278*$P$6,B278=2019,L278*$P$7,B278=2020,L278*$P$8,B278=2021,L278*$P$9,B278=2022,L278*$P$10)</f>
        <v>5422.6446844876391</v>
      </c>
      <c r="I278" s="7">
        <f t="shared" si="11"/>
        <v>172746.64468448763</v>
      </c>
      <c r="J278">
        <f>IFERROR(VLOOKUP(F278,'LEAID Match'!$A$2:$B$227,2,FALSE),"")</f>
        <v>3805850</v>
      </c>
      <c r="K278">
        <f t="shared" si="10"/>
        <v>8</v>
      </c>
      <c r="L278" cm="1">
        <f t="array" ref="L278">_xlfn.IFS(B278=2015,G278/$P$13,B278=2016,G278/$P$14,B278=2017,G278/$P$15,B278=2018,G278/$P$16,B278=2019,G278/$P$17,B278=2019,G278/$P$18,B278=2020,G278/$P$18,B278=2021,G278/$P$19,B278=2022,G278/$P$20)</f>
        <v>1.9442971260264035E-3</v>
      </c>
    </row>
    <row r="279" spans="1:12" x14ac:dyDescent="0.2">
      <c r="A279">
        <v>3805850</v>
      </c>
      <c r="B279" s="5">
        <v>2018</v>
      </c>
      <c r="C279" t="s">
        <v>252</v>
      </c>
      <c r="D279" t="s">
        <v>254</v>
      </c>
      <c r="E279" t="s">
        <v>256</v>
      </c>
      <c r="F279" s="5" t="s">
        <v>84</v>
      </c>
      <c r="G279" s="7">
        <v>156789</v>
      </c>
      <c r="H279" s="7" cm="1">
        <f t="array" ref="H279">_xlfn.IFS(B279=2015,L279*$P$3,B279=2016,L279*$P$4,B279=2017,L279*$P$5,B279=2018,L279*$P$6,B279=2019,L279*$P$7,B279=2020,L279*$P$8,B279=2021,L279*$P$9,B279=2022,L279*$P$10)</f>
        <v>4296.1735932808388</v>
      </c>
      <c r="I279" s="7">
        <f t="shared" si="11"/>
        <v>161085.17359328084</v>
      </c>
      <c r="J279">
        <f>IFERROR(VLOOKUP(F279,'LEAID Match'!$A$2:$B$227,2,FALSE),"")</f>
        <v>3805850</v>
      </c>
      <c r="K279">
        <f t="shared" si="10"/>
        <v>8</v>
      </c>
      <c r="L279" cm="1">
        <f t="array" ref="L279">_xlfn.IFS(B279=2015,G279/$P$13,B279=2016,G279/$P$14,B279=2017,G279/$P$15,B279=2018,G279/$P$16,B279=2019,G279/$P$17,B279=2019,G279/$P$18,B279=2020,G279/$P$18,B279=2021,G279/$P$19,B279=2022,G279/$P$20)</f>
        <v>1.8089151971708796E-3</v>
      </c>
    </row>
    <row r="280" spans="1:12" x14ac:dyDescent="0.2">
      <c r="A280">
        <v>3805850</v>
      </c>
      <c r="B280">
        <v>2019</v>
      </c>
      <c r="C280" t="s">
        <v>252</v>
      </c>
      <c r="D280" t="s">
        <v>254</v>
      </c>
      <c r="E280" t="s">
        <v>256</v>
      </c>
      <c r="F280" s="5" t="s">
        <v>84</v>
      </c>
      <c r="G280" s="7">
        <v>175381</v>
      </c>
      <c r="H280" s="7" cm="1">
        <f t="array" ref="H280">_xlfn.IFS(B280=2015,L280*$P$3,B280=2016,L280*$P$4,B280=2017,L280*$P$5,B280=2018,L280*$P$6,B280=2019,L280*$P$7,B280=2020,L280*$P$8,B280=2021,L280*$P$9,B280=2022,L280*$P$10)</f>
        <v>4070.5622949016201</v>
      </c>
      <c r="I280" s="7">
        <f t="shared" si="11"/>
        <v>179451.56229490161</v>
      </c>
      <c r="J280">
        <f>IFERROR(VLOOKUP(F280,'LEAID Match'!$A$2:$B$227,2,FALSE),"")</f>
        <v>3805850</v>
      </c>
      <c r="K280">
        <f t="shared" si="10"/>
        <v>8</v>
      </c>
      <c r="L280" cm="1">
        <f t="array" ref="L280">_xlfn.IFS(B280=2015,G280/$P$13,B280=2016,G280/$P$14,B280=2017,G280/$P$15,B280=2018,G280/$P$16,B280=2019,G280/$P$17,B280=2019,G280/$P$18,B280=2020,G280/$P$18,B280=2021,G280/$P$19,B280=2022,G280/$P$20)</f>
        <v>1.9607718183533816E-3</v>
      </c>
    </row>
    <row r="281" spans="1:12" x14ac:dyDescent="0.2">
      <c r="A281">
        <v>3805850</v>
      </c>
      <c r="B281">
        <v>2020</v>
      </c>
      <c r="C281" t="s">
        <v>252</v>
      </c>
      <c r="D281" t="s">
        <v>254</v>
      </c>
      <c r="E281" t="s">
        <v>256</v>
      </c>
      <c r="F281" s="5" t="s">
        <v>84</v>
      </c>
      <c r="G281" s="7">
        <v>171069</v>
      </c>
      <c r="H281" s="7" cm="1">
        <f t="array" ref="H281">_xlfn.IFS(B281=2015,L281*$P$3,B281=2016,L281*$P$4,B281=2017,L281*$P$5,B281=2018,L281*$P$6,B281=2019,L281*$P$7,B281=2020,L281*$P$8,B281=2021,L281*$P$9,B281=2022,L281*$P$10)</f>
        <v>4291.7821863848849</v>
      </c>
      <c r="I281" s="7">
        <f t="shared" si="11"/>
        <v>175360.78218638489</v>
      </c>
      <c r="J281">
        <f>IFERROR(VLOOKUP(F281,'LEAID Match'!$A$2:$B$227,2,FALSE),"")</f>
        <v>3805850</v>
      </c>
      <c r="K281">
        <f t="shared" si="10"/>
        <v>8</v>
      </c>
      <c r="L281" cm="1">
        <f t="array" ref="L281">_xlfn.IFS(B281=2015,G281/$P$13,B281=2016,G281/$P$14,B281=2017,G281/$P$15,B281=2018,G281/$P$16,B281=2019,G281/$P$17,B281=2019,G281/$P$18,B281=2020,G281/$P$18,B281=2021,G281/$P$19,B281=2022,G281/$P$20)</f>
        <v>1.8388098484939525E-3</v>
      </c>
    </row>
    <row r="282" spans="1:12" x14ac:dyDescent="0.2">
      <c r="A282">
        <v>3805850</v>
      </c>
      <c r="B282" s="5">
        <v>2021</v>
      </c>
      <c r="C282" t="s">
        <v>252</v>
      </c>
      <c r="D282" t="s">
        <v>254</v>
      </c>
      <c r="E282" t="s">
        <v>256</v>
      </c>
      <c r="F282" s="5" t="s">
        <v>84</v>
      </c>
      <c r="G282" s="7">
        <v>176459</v>
      </c>
      <c r="H282" s="7" cm="1">
        <f t="array" ref="H282">_xlfn.IFS(B282=2015,L282*$P$3,B282=2016,L282*$P$4,B282=2017,L282*$P$5,B282=2018,L282*$P$6,B282=2019,L282*$P$7,B282=2020,L282*$P$8,B282=2021,L282*$P$9,B282=2022,L282*$P$10)</f>
        <v>4821.6174972196895</v>
      </c>
      <c r="I282" s="7">
        <f t="shared" si="11"/>
        <v>181280.6174972197</v>
      </c>
      <c r="J282">
        <f>IFERROR(VLOOKUP(F282,'LEAID Match'!$A$2:$B$227,2,FALSE),"")</f>
        <v>3805850</v>
      </c>
      <c r="K282">
        <f t="shared" si="10"/>
        <v>8</v>
      </c>
      <c r="L282" cm="1">
        <f t="array" ref="L282">_xlfn.IFS(B282=2015,G282/$P$13,B282=2016,G282/$P$14,B282=2017,G282/$P$15,B282=2018,G282/$P$16,B282=2019,G282/$P$17,B282=2019,G282/$P$18,B282=2020,G282/$P$18,B282=2021,G282/$P$19,B282=2022,G282/$P$20)</f>
        <v>1.795760706599512E-3</v>
      </c>
    </row>
    <row r="283" spans="1:12" x14ac:dyDescent="0.2">
      <c r="A283">
        <v>3805850</v>
      </c>
      <c r="B283">
        <v>2022</v>
      </c>
      <c r="C283" t="s">
        <v>252</v>
      </c>
      <c r="D283" t="s">
        <v>254</v>
      </c>
      <c r="E283" t="s">
        <v>256</v>
      </c>
      <c r="F283" s="5" t="s">
        <v>84</v>
      </c>
      <c r="G283" s="7">
        <v>183685</v>
      </c>
      <c r="H283" s="7" cm="1">
        <f t="array" ref="H283">_xlfn.IFS(B283=2015,L283*$P$3,B283=2016,L283*$P$4,B283=2017,L283*$P$5,B283=2018,L283*$P$6,B283=2019,L283*$P$7,B283=2020,L283*$P$8,B283=2021,L283*$P$9,B283=2022,L283*$P$10)</f>
        <v>3738.4605353238367</v>
      </c>
      <c r="I283" s="7">
        <f t="shared" si="11"/>
        <v>187423.46053532383</v>
      </c>
      <c r="J283">
        <f>IFERROR(VLOOKUP(F283,'LEAID Match'!$A$2:$B$227,2,FALSE),"")</f>
        <v>3805850</v>
      </c>
      <c r="K283">
        <f t="shared" si="10"/>
        <v>8</v>
      </c>
      <c r="L283" cm="1">
        <f t="array" ref="L283">_xlfn.IFS(B283=2015,G283/$P$13,B283=2016,G283/$P$14,B283=2017,G283/$P$15,B283=2018,G283/$P$16,B283=2019,G283/$P$17,B283=2019,G283/$P$18,B283=2020,G283/$P$18,B283=2021,G283/$P$19,B283=2022,G283/$P$20)</f>
        <v>1.8307838077002139E-3</v>
      </c>
    </row>
    <row r="284" spans="1:12" x14ac:dyDescent="0.2">
      <c r="A284">
        <v>3805950</v>
      </c>
      <c r="B284">
        <v>2015</v>
      </c>
      <c r="C284" t="s">
        <v>252</v>
      </c>
      <c r="D284" t="s">
        <v>254</v>
      </c>
      <c r="E284" t="s">
        <v>256</v>
      </c>
      <c r="F284" s="5" t="s">
        <v>196</v>
      </c>
      <c r="G284" s="7">
        <v>88799</v>
      </c>
      <c r="H284" s="7" cm="1">
        <f t="array" ref="H284">_xlfn.IFS(B284=2015,L284*$P$3,B284=2016,L284*$P$4,B284=2017,L284*$P$5,B284=2018,L284*$P$6,B284=2019,L284*$P$7,B284=2020,L284*$P$8,B284=2021,L284*$P$9,B284=2022,L284*$P$10)</f>
        <v>2007.6053433917225</v>
      </c>
      <c r="I284" s="7">
        <f t="shared" si="11"/>
        <v>90806.605343391726</v>
      </c>
      <c r="J284">
        <f>IFERROR(VLOOKUP(F284,'LEAID Match'!$A$2:$B$227,2,FALSE),"")</f>
        <v>3805950</v>
      </c>
      <c r="K284">
        <f t="shared" si="10"/>
        <v>8</v>
      </c>
      <c r="L284" cm="1">
        <f t="array" ref="L284">_xlfn.IFS(B284=2015,G284/$P$13,B284=2016,G284/$P$14,B284=2017,G284/$P$15,B284=2018,G284/$P$16,B284=2019,G284/$P$17,B284=2019,G284/$P$18,B284=2020,G284/$P$18,B284=2021,G284/$P$19,B284=2022,G284/$P$20)</f>
        <v>1.1323211186642541E-3</v>
      </c>
    </row>
    <row r="285" spans="1:12" x14ac:dyDescent="0.2">
      <c r="A285">
        <v>3805950</v>
      </c>
      <c r="B285">
        <v>2016</v>
      </c>
      <c r="C285" t="s">
        <v>252</v>
      </c>
      <c r="D285" t="s">
        <v>254</v>
      </c>
      <c r="E285" t="s">
        <v>256</v>
      </c>
      <c r="F285" s="5" t="s">
        <v>196</v>
      </c>
      <c r="G285" s="7">
        <v>92500</v>
      </c>
      <c r="H285" s="7" cm="1">
        <f t="array" ref="H285">_xlfn.IFS(B285=2015,L285*$P$3,B285=2016,L285*$P$4,B285=2017,L285*$P$5,B285=2018,L285*$P$6,B285=2019,L285*$P$7,B285=2020,L285*$P$8,B285=2021,L285*$P$9,B285=2022,L285*$P$10)</f>
        <v>3141.0274834729157</v>
      </c>
      <c r="I285" s="7">
        <f t="shared" si="11"/>
        <v>95641.027483472921</v>
      </c>
      <c r="J285">
        <f>IFERROR(VLOOKUP(F285,'LEAID Match'!$A$2:$B$227,2,FALSE),"")</f>
        <v>3805950</v>
      </c>
      <c r="K285">
        <f t="shared" si="10"/>
        <v>8</v>
      </c>
      <c r="L285" cm="1">
        <f t="array" ref="L285">_xlfn.IFS(B285=2015,G285/$P$13,B285=2016,G285/$P$14,B285=2017,G285/$P$15,B285=2018,G285/$P$16,B285=2019,G285/$P$17,B285=2019,G285/$P$18,B285=2020,G285/$P$18,B285=2021,G285/$P$19,B285=2022,G285/$P$20)</f>
        <v>1.1166112632324621E-3</v>
      </c>
    </row>
    <row r="286" spans="1:12" x14ac:dyDescent="0.2">
      <c r="A286">
        <v>3805950</v>
      </c>
      <c r="B286">
        <v>2017</v>
      </c>
      <c r="C286" t="s">
        <v>252</v>
      </c>
      <c r="D286" t="s">
        <v>254</v>
      </c>
      <c r="E286" t="s">
        <v>256</v>
      </c>
      <c r="F286" s="5" t="s">
        <v>196</v>
      </c>
      <c r="G286" s="7">
        <v>89570</v>
      </c>
      <c r="H286" s="7" cm="1">
        <f t="array" ref="H286">_xlfn.IFS(B286=2015,L286*$P$3,B286=2016,L286*$P$4,B286=2017,L286*$P$5,B286=2018,L286*$P$6,B286=2019,L286*$P$7,B286=2020,L286*$P$8,B286=2021,L286*$P$9,B286=2022,L286*$P$10)</f>
        <v>2902.7891061028777</v>
      </c>
      <c r="I286" s="7">
        <f t="shared" si="11"/>
        <v>92472.789106102879</v>
      </c>
      <c r="J286">
        <f>IFERROR(VLOOKUP(F286,'LEAID Match'!$A$2:$B$227,2,FALSE),"")</f>
        <v>3805950</v>
      </c>
      <c r="K286">
        <f t="shared" si="10"/>
        <v>8</v>
      </c>
      <c r="L286" cm="1">
        <f t="array" ref="L286">_xlfn.IFS(B286=2015,G286/$P$13,B286=2016,G286/$P$14,B286=2017,G286/$P$15,B286=2018,G286/$P$16,B286=2019,G286/$P$17,B286=2019,G286/$P$18,B286=2020,G286/$P$18,B286=2021,G286/$P$19,B286=2022,G286/$P$20)</f>
        <v>1.0407992492301461E-3</v>
      </c>
    </row>
    <row r="287" spans="1:12" x14ac:dyDescent="0.2">
      <c r="A287">
        <v>3805950</v>
      </c>
      <c r="B287" s="5">
        <v>2018</v>
      </c>
      <c r="C287" t="s">
        <v>252</v>
      </c>
      <c r="D287" t="s">
        <v>254</v>
      </c>
      <c r="E287" t="s">
        <v>256</v>
      </c>
      <c r="F287" s="5" t="s">
        <v>196</v>
      </c>
      <c r="G287" s="7">
        <v>94652</v>
      </c>
      <c r="H287" s="7" cm="1">
        <f t="array" ref="H287">_xlfn.IFS(B287=2015,L287*$P$3,B287=2016,L287*$P$4,B287=2017,L287*$P$5,B287=2018,L287*$P$6,B287=2019,L287*$P$7,B287=2020,L287*$P$8,B287=2021,L287*$P$9,B287=2022,L287*$P$10)</f>
        <v>2593.5583679417432</v>
      </c>
      <c r="I287" s="7">
        <f t="shared" si="11"/>
        <v>97245.558367941747</v>
      </c>
      <c r="J287">
        <f>IFERROR(VLOOKUP(F287,'LEAID Match'!$A$2:$B$227,2,FALSE),"")</f>
        <v>3805950</v>
      </c>
      <c r="K287">
        <f t="shared" si="10"/>
        <v>8</v>
      </c>
      <c r="L287" cm="1">
        <f t="array" ref="L287">_xlfn.IFS(B287=2015,G287/$P$13,B287=2016,G287/$P$14,B287=2017,G287/$P$15,B287=2018,G287/$P$16,B287=2019,G287/$P$17,B287=2019,G287/$P$18,B287=2020,G287/$P$18,B287=2021,G287/$P$19,B287=2022,G287/$P$20)</f>
        <v>1.0920245759754709E-3</v>
      </c>
    </row>
    <row r="288" spans="1:12" x14ac:dyDescent="0.2">
      <c r="A288">
        <v>3805950</v>
      </c>
      <c r="B288">
        <v>2019</v>
      </c>
      <c r="C288" t="s">
        <v>252</v>
      </c>
      <c r="D288" t="s">
        <v>254</v>
      </c>
      <c r="E288" t="s">
        <v>256</v>
      </c>
      <c r="F288" s="5" t="s">
        <v>196</v>
      </c>
      <c r="G288" s="7">
        <v>99370</v>
      </c>
      <c r="H288" s="7" cm="1">
        <f t="array" ref="H288">_xlfn.IFS(B288=2015,L288*$P$3,B288=2016,L288*$P$4,B288=2017,L288*$P$5,B288=2018,L288*$P$6,B288=2019,L288*$P$7,B288=2020,L288*$P$8,B288=2021,L288*$P$9,B288=2022,L288*$P$10)</f>
        <v>2306.3602969784297</v>
      </c>
      <c r="I288" s="7">
        <f t="shared" si="11"/>
        <v>101676.36029697843</v>
      </c>
      <c r="J288">
        <f>IFERROR(VLOOKUP(F288,'LEAID Match'!$A$2:$B$227,2,FALSE),"")</f>
        <v>3805950</v>
      </c>
      <c r="K288">
        <f t="shared" si="10"/>
        <v>8</v>
      </c>
      <c r="L288" cm="1">
        <f t="array" ref="L288">_xlfn.IFS(B288=2015,G288/$P$13,B288=2016,G288/$P$14,B288=2017,G288/$P$15,B288=2018,G288/$P$16,B288=2019,G288/$P$17,B288=2019,G288/$P$18,B288=2020,G288/$P$18,B288=2021,G288/$P$19,B288=2022,G288/$P$20)</f>
        <v>1.1109635341899949E-3</v>
      </c>
    </row>
    <row r="289" spans="1:12" x14ac:dyDescent="0.2">
      <c r="A289">
        <v>3805950</v>
      </c>
      <c r="B289">
        <v>2020</v>
      </c>
      <c r="C289" t="s">
        <v>252</v>
      </c>
      <c r="D289" t="s">
        <v>254</v>
      </c>
      <c r="E289" t="s">
        <v>256</v>
      </c>
      <c r="F289" s="5" t="s">
        <v>196</v>
      </c>
      <c r="G289" s="7">
        <v>99507</v>
      </c>
      <c r="H289" s="7" cm="1">
        <f t="array" ref="H289">_xlfn.IFS(B289=2015,L289*$P$3,B289=2016,L289*$P$4,B289=2017,L289*$P$5,B289=2018,L289*$P$6,B289=2019,L289*$P$7,B289=2020,L289*$P$8,B289=2021,L289*$P$9,B289=2022,L289*$P$10)</f>
        <v>2496.4334275678279</v>
      </c>
      <c r="I289" s="7">
        <f t="shared" si="11"/>
        <v>102003.43342756783</v>
      </c>
      <c r="J289">
        <f>IFERROR(VLOOKUP(F289,'LEAID Match'!$A$2:$B$227,2,FALSE),"")</f>
        <v>3805950</v>
      </c>
      <c r="K289">
        <f t="shared" si="10"/>
        <v>8</v>
      </c>
      <c r="L289" cm="1">
        <f t="array" ref="L289">_xlfn.IFS(B289=2015,G289/$P$13,B289=2016,G289/$P$14,B289=2017,G289/$P$15,B289=2018,G289/$P$16,B289=2019,G289/$P$17,B289=2019,G289/$P$18,B289=2020,G289/$P$18,B289=2021,G289/$P$19,B289=2022,G289/$P$20)</f>
        <v>1.0695944419742193E-3</v>
      </c>
    </row>
    <row r="290" spans="1:12" x14ac:dyDescent="0.2">
      <c r="A290">
        <v>3805950</v>
      </c>
      <c r="B290" s="5">
        <v>2021</v>
      </c>
      <c r="C290" t="s">
        <v>252</v>
      </c>
      <c r="D290" t="s">
        <v>254</v>
      </c>
      <c r="E290" t="s">
        <v>256</v>
      </c>
      <c r="F290" s="5" t="s">
        <v>196</v>
      </c>
      <c r="G290" s="7">
        <v>85342</v>
      </c>
      <c r="H290" s="7" cm="1">
        <f t="array" ref="H290">_xlfn.IFS(B290=2015,L290*$P$3,B290=2016,L290*$P$4,B290=2017,L290*$P$5,B290=2018,L290*$P$6,B290=2019,L290*$P$7,B290=2020,L290*$P$8,B290=2021,L290*$P$9,B290=2022,L290*$P$10)</f>
        <v>2331.9098512839964</v>
      </c>
      <c r="I290" s="7">
        <f t="shared" si="11"/>
        <v>87673.909851283999</v>
      </c>
      <c r="J290">
        <f>IFERROR(VLOOKUP(F290,'LEAID Match'!$A$2:$B$227,2,FALSE),"")</f>
        <v>3805950</v>
      </c>
      <c r="K290">
        <f t="shared" si="10"/>
        <v>8</v>
      </c>
      <c r="L290" cm="1">
        <f t="array" ref="L290">_xlfn.IFS(B290=2015,G290/$P$13,B290=2016,G290/$P$14,B290=2017,G290/$P$15,B290=2018,G290/$P$16,B290=2019,G290/$P$17,B290=2019,G290/$P$18,B290=2020,G290/$P$18,B290=2021,G290/$P$19,B290=2022,G290/$P$20)</f>
        <v>8.6849528911880686E-4</v>
      </c>
    </row>
    <row r="291" spans="1:12" x14ac:dyDescent="0.2">
      <c r="A291">
        <v>3805950</v>
      </c>
      <c r="B291">
        <v>2022</v>
      </c>
      <c r="C291" t="s">
        <v>252</v>
      </c>
      <c r="D291" t="s">
        <v>254</v>
      </c>
      <c r="E291" t="s">
        <v>256</v>
      </c>
      <c r="F291" s="5" t="s">
        <v>196</v>
      </c>
      <c r="G291" s="7">
        <v>83257</v>
      </c>
      <c r="H291" s="7" cm="1">
        <f t="array" ref="H291">_xlfn.IFS(B291=2015,L291*$P$3,B291=2016,L291*$P$4,B291=2017,L291*$P$5,B291=2018,L291*$P$6,B291=2019,L291*$P$7,B291=2020,L291*$P$8,B291=2021,L291*$P$9,B291=2022,L291*$P$10)</f>
        <v>1694.4933379941565</v>
      </c>
      <c r="I291" s="7">
        <f t="shared" si="11"/>
        <v>84951.49333799415</v>
      </c>
      <c r="J291">
        <f>IFERROR(VLOOKUP(F291,'LEAID Match'!$A$2:$B$227,2,FALSE),"")</f>
        <v>3805950</v>
      </c>
      <c r="K291">
        <f t="shared" si="10"/>
        <v>8</v>
      </c>
      <c r="L291" cm="1">
        <f t="array" ref="L291">_xlfn.IFS(B291=2015,G291/$P$13,B291=2016,G291/$P$14,B291=2017,G291/$P$15,B291=2018,G291/$P$16,B291=2019,G291/$P$17,B291=2019,G291/$P$18,B291=2020,G291/$P$18,B291=2021,G291/$P$19,B291=2022,G291/$P$20)</f>
        <v>8.2982043976207473E-4</v>
      </c>
    </row>
    <row r="292" spans="1:12" x14ac:dyDescent="0.2">
      <c r="A292">
        <v>3806010</v>
      </c>
      <c r="B292">
        <v>2015</v>
      </c>
      <c r="C292" t="s">
        <v>252</v>
      </c>
      <c r="D292" t="s">
        <v>254</v>
      </c>
      <c r="E292" t="s">
        <v>256</v>
      </c>
      <c r="F292" s="5" t="s">
        <v>85</v>
      </c>
      <c r="G292" s="7">
        <v>175513</v>
      </c>
      <c r="H292" s="7" cm="1">
        <f t="array" ref="H292">_xlfn.IFS(B292=2015,L292*$P$3,B292=2016,L292*$P$4,B292=2017,L292*$P$5,B292=2018,L292*$P$6,B292=2019,L292*$P$7,B292=2020,L292*$P$8,B292=2021,L292*$P$9,B292=2022,L292*$P$10)</f>
        <v>3968.072125076987</v>
      </c>
      <c r="I292" s="7">
        <f t="shared" si="11"/>
        <v>179481.07212507699</v>
      </c>
      <c r="J292">
        <f>IFERROR(VLOOKUP(F292,'LEAID Match'!$A$2:$B$227,2,FALSE),"")</f>
        <v>3806010</v>
      </c>
      <c r="K292">
        <f t="shared" si="10"/>
        <v>8</v>
      </c>
      <c r="L292" cm="1">
        <f t="array" ref="L292">_xlfn.IFS(B292=2015,G292/$P$13,B292=2016,G292/$P$14,B292=2017,G292/$P$15,B292=2018,G292/$P$16,B292=2019,G292/$P$17,B292=2019,G292/$P$18,B292=2020,G292/$P$18,B292=2021,G292/$P$19,B292=2022,G292/$P$20)</f>
        <v>2.2380553440930553E-3</v>
      </c>
    </row>
    <row r="293" spans="1:12" x14ac:dyDescent="0.2">
      <c r="A293">
        <v>3806010</v>
      </c>
      <c r="B293">
        <v>2016</v>
      </c>
      <c r="C293" t="s">
        <v>252</v>
      </c>
      <c r="D293" t="s">
        <v>254</v>
      </c>
      <c r="E293" t="s">
        <v>256</v>
      </c>
      <c r="F293" s="5" t="s">
        <v>85</v>
      </c>
      <c r="G293" s="7">
        <v>196905</v>
      </c>
      <c r="H293" s="7" cm="1">
        <f t="array" ref="H293">_xlfn.IFS(B293=2015,L293*$P$3,B293=2016,L293*$P$4,B293=2017,L293*$P$5,B293=2018,L293*$P$6,B293=2019,L293*$P$7,B293=2020,L293*$P$8,B293=2021,L293*$P$9,B293=2022,L293*$P$10)</f>
        <v>6686.3136933322648</v>
      </c>
      <c r="I293" s="7">
        <f t="shared" si="11"/>
        <v>203591.31369333225</v>
      </c>
      <c r="J293">
        <f>IFERROR(VLOOKUP(F293,'LEAID Match'!$A$2:$B$227,2,FALSE),"")</f>
        <v>3806010</v>
      </c>
      <c r="K293">
        <f t="shared" si="10"/>
        <v>8</v>
      </c>
      <c r="L293" cm="1">
        <f t="array" ref="L293">_xlfn.IFS(B293=2015,G293/$P$13,B293=2016,G293/$P$14,B293=2017,G293/$P$15,B293=2018,G293/$P$16,B293=2019,G293/$P$17,B293=2019,G293/$P$18,B293=2020,G293/$P$18,B293=2021,G293/$P$19,B293=2022,G293/$P$20)</f>
        <v>2.3769334139112212E-3</v>
      </c>
    </row>
    <row r="294" spans="1:12" x14ac:dyDescent="0.2">
      <c r="A294">
        <v>3806010</v>
      </c>
      <c r="B294">
        <v>2017</v>
      </c>
      <c r="C294" t="s">
        <v>252</v>
      </c>
      <c r="D294" t="s">
        <v>254</v>
      </c>
      <c r="E294" t="s">
        <v>256</v>
      </c>
      <c r="F294" s="5" t="s">
        <v>85</v>
      </c>
      <c r="G294" s="7">
        <v>195782</v>
      </c>
      <c r="H294" s="7" cm="1">
        <f t="array" ref="H294">_xlfn.IFS(B294=2015,L294*$P$3,B294=2016,L294*$P$4,B294=2017,L294*$P$5,B294=2018,L294*$P$6,B294=2019,L294*$P$7,B294=2020,L294*$P$8,B294=2021,L294*$P$9,B294=2022,L294*$P$10)</f>
        <v>6344.9129928662896</v>
      </c>
      <c r="I294" s="7">
        <f t="shared" si="11"/>
        <v>202126.9129928663</v>
      </c>
      <c r="J294">
        <f>IFERROR(VLOOKUP(F294,'LEAID Match'!$A$2:$B$227,2,FALSE),"")</f>
        <v>3806010</v>
      </c>
      <c r="K294">
        <f t="shared" si="10"/>
        <v>8</v>
      </c>
      <c r="L294" cm="1">
        <f t="array" ref="L294">_xlfn.IFS(B294=2015,G294/$P$13,B294=2016,G294/$P$14,B294=2017,G294/$P$15,B294=2018,G294/$P$16,B294=2019,G294/$P$17,B294=2019,G294/$P$18,B294=2020,G294/$P$18,B294=2021,G294/$P$19,B294=2022,G294/$P$20)</f>
        <v>2.2749777672521655E-3</v>
      </c>
    </row>
    <row r="295" spans="1:12" x14ac:dyDescent="0.2">
      <c r="A295">
        <v>3806010</v>
      </c>
      <c r="B295" s="5">
        <v>2018</v>
      </c>
      <c r="C295" t="s">
        <v>252</v>
      </c>
      <c r="D295" t="s">
        <v>254</v>
      </c>
      <c r="E295" t="s">
        <v>256</v>
      </c>
      <c r="F295" s="5" t="s">
        <v>85</v>
      </c>
      <c r="G295" s="7">
        <v>216567</v>
      </c>
      <c r="H295" s="7" cm="1">
        <f t="array" ref="H295">_xlfn.IFS(B295=2015,L295*$P$3,B295=2016,L295*$P$4,B295=2017,L295*$P$5,B295=2018,L295*$P$6,B295=2019,L295*$P$7,B295=2020,L295*$P$8,B295=2021,L295*$P$9,B295=2022,L295*$P$10)</f>
        <v>5934.1498866377842</v>
      </c>
      <c r="I295" s="7">
        <f t="shared" si="11"/>
        <v>222501.14988663778</v>
      </c>
      <c r="J295">
        <f>IFERROR(VLOOKUP(F295,'LEAID Match'!$A$2:$B$227,2,FALSE),"")</f>
        <v>3806010</v>
      </c>
      <c r="K295">
        <f t="shared" si="10"/>
        <v>8</v>
      </c>
      <c r="L295" cm="1">
        <f t="array" ref="L295">_xlfn.IFS(B295=2015,G295/$P$13,B295=2016,G295/$P$14,B295=2017,G295/$P$15,B295=2018,G295/$P$16,B295=2019,G295/$P$17,B295=2019,G295/$P$18,B295=2020,G295/$P$18,B295=2021,G295/$P$19,B295=2022,G295/$P$20)</f>
        <v>2.4985894259527512E-3</v>
      </c>
    </row>
    <row r="296" spans="1:12" x14ac:dyDescent="0.2">
      <c r="A296">
        <v>3806010</v>
      </c>
      <c r="B296">
        <v>2019</v>
      </c>
      <c r="C296" t="s">
        <v>252</v>
      </c>
      <c r="D296" t="s">
        <v>254</v>
      </c>
      <c r="E296" t="s">
        <v>256</v>
      </c>
      <c r="F296" s="5" t="s">
        <v>85</v>
      </c>
      <c r="G296" s="7">
        <v>212751</v>
      </c>
      <c r="H296" s="7" cm="1">
        <f t="array" ref="H296">_xlfn.IFS(B296=2015,L296*$P$3,B296=2016,L296*$P$4,B296=2017,L296*$P$5,B296=2018,L296*$P$6,B296=2019,L296*$P$7,B296=2020,L296*$P$8,B296=2021,L296*$P$9,B296=2022,L296*$P$10)</f>
        <v>4937.9134501605904</v>
      </c>
      <c r="I296" s="7">
        <f t="shared" si="11"/>
        <v>217688.91345016059</v>
      </c>
      <c r="J296">
        <f>IFERROR(VLOOKUP(F296,'LEAID Match'!$A$2:$B$227,2,FALSE),"")</f>
        <v>3806010</v>
      </c>
      <c r="K296">
        <f t="shared" si="10"/>
        <v>8</v>
      </c>
      <c r="L296" cm="1">
        <f t="array" ref="L296">_xlfn.IFS(B296=2015,G296/$P$13,B296=2016,G296/$P$14,B296=2017,G296/$P$15,B296=2018,G296/$P$16,B296=2019,G296/$P$17,B296=2019,G296/$P$18,B296=2020,G296/$P$18,B296=2021,G296/$P$19,B296=2022,G296/$P$20)</f>
        <v>2.3785710260889165E-3</v>
      </c>
    </row>
    <row r="297" spans="1:12" x14ac:dyDescent="0.2">
      <c r="A297">
        <v>3806010</v>
      </c>
      <c r="B297">
        <v>2020</v>
      </c>
      <c r="C297" t="s">
        <v>252</v>
      </c>
      <c r="D297" t="s">
        <v>254</v>
      </c>
      <c r="E297" t="s">
        <v>256</v>
      </c>
      <c r="F297" s="5" t="s">
        <v>85</v>
      </c>
      <c r="G297" s="7">
        <v>224610</v>
      </c>
      <c r="H297" s="7" cm="1">
        <f t="array" ref="H297">_xlfn.IFS(B297=2015,L297*$P$3,B297=2016,L297*$P$4,B297=2017,L297*$P$5,B297=2018,L297*$P$6,B297=2019,L297*$P$7,B297=2020,L297*$P$8,B297=2021,L297*$P$9,B297=2022,L297*$P$10)</f>
        <v>5635.0197691218691</v>
      </c>
      <c r="I297" s="7">
        <f t="shared" si="11"/>
        <v>230245.01976912186</v>
      </c>
      <c r="J297">
        <f>IFERROR(VLOOKUP(F297,'LEAID Match'!$A$2:$B$227,2,FALSE),"")</f>
        <v>3806010</v>
      </c>
      <c r="K297">
        <f t="shared" si="10"/>
        <v>8</v>
      </c>
      <c r="L297" cm="1">
        <f t="array" ref="L297">_xlfn.IFS(B297=2015,G297/$P$13,B297=2016,G297/$P$14,B297=2017,G297/$P$15,B297=2018,G297/$P$16,B297=2019,G297/$P$17,B297=2019,G297/$P$18,B297=2020,G297/$P$18,B297=2021,G297/$P$19,B297=2022,G297/$P$20)</f>
        <v>2.4143186671473304E-3</v>
      </c>
    </row>
    <row r="298" spans="1:12" x14ac:dyDescent="0.2">
      <c r="A298">
        <v>3806010</v>
      </c>
      <c r="B298" s="5">
        <v>2021</v>
      </c>
      <c r="C298" t="s">
        <v>252</v>
      </c>
      <c r="D298" t="s">
        <v>254</v>
      </c>
      <c r="E298" t="s">
        <v>256</v>
      </c>
      <c r="F298" s="5" t="s">
        <v>85</v>
      </c>
      <c r="G298" s="7">
        <v>252876</v>
      </c>
      <c r="H298" s="7" cm="1">
        <f t="array" ref="H298">_xlfn.IFS(B298=2015,L298*$P$3,B298=2016,L298*$P$4,B298=2017,L298*$P$5,B298=2018,L298*$P$6,B298=2019,L298*$P$7,B298=2020,L298*$P$8,B298=2021,L298*$P$9,B298=2022,L298*$P$10)</f>
        <v>6909.6580294965188</v>
      </c>
      <c r="I298" s="7">
        <f t="shared" si="11"/>
        <v>259785.65802949652</v>
      </c>
      <c r="J298">
        <f>IFERROR(VLOOKUP(F298,'LEAID Match'!$A$2:$B$227,2,FALSE),"")</f>
        <v>3806010</v>
      </c>
      <c r="K298">
        <f t="shared" si="10"/>
        <v>8</v>
      </c>
      <c r="L298" cm="1">
        <f t="array" ref="L298">_xlfn.IFS(B298=2015,G298/$P$13,B298=2016,G298/$P$14,B298=2017,G298/$P$15,B298=2018,G298/$P$16,B298=2019,G298/$P$17,B298=2019,G298/$P$18,B298=2020,G298/$P$18,B298=2021,G298/$P$19,B298=2022,G298/$P$20)</f>
        <v>2.5734294337044763E-3</v>
      </c>
    </row>
    <row r="299" spans="1:12" x14ac:dyDescent="0.2">
      <c r="A299">
        <v>3806010</v>
      </c>
      <c r="B299">
        <v>2022</v>
      </c>
      <c r="C299" t="s">
        <v>252</v>
      </c>
      <c r="D299" t="s">
        <v>254</v>
      </c>
      <c r="E299" t="s">
        <v>256</v>
      </c>
      <c r="F299" s="5" t="s">
        <v>85</v>
      </c>
      <c r="G299" s="7">
        <v>251077</v>
      </c>
      <c r="H299" s="7" cm="1">
        <f t="array" ref="H299">_xlfn.IFS(B299=2015,L299*$P$3,B299=2016,L299*$P$4,B299=2017,L299*$P$5,B299=2018,L299*$P$6,B299=2019,L299*$P$7,B299=2020,L299*$P$8,B299=2021,L299*$P$9,B299=2022,L299*$P$10)</f>
        <v>5110.060461265226</v>
      </c>
      <c r="I299" s="7">
        <f t="shared" si="11"/>
        <v>256187.06046126524</v>
      </c>
      <c r="J299">
        <f>IFERROR(VLOOKUP(F299,'LEAID Match'!$A$2:$B$227,2,FALSE),"")</f>
        <v>3806010</v>
      </c>
      <c r="K299">
        <f t="shared" si="10"/>
        <v>8</v>
      </c>
      <c r="L299" cm="1">
        <f t="array" ref="L299">_xlfn.IFS(B299=2015,G299/$P$13,B299=2016,G299/$P$14,B299=2017,G299/$P$15,B299=2018,G299/$P$16,B299=2019,G299/$P$17,B299=2019,G299/$P$18,B299=2020,G299/$P$18,B299=2021,G299/$P$19,B299=2022,G299/$P$20)</f>
        <v>2.5024781886705317E-3</v>
      </c>
    </row>
    <row r="300" spans="1:12" x14ac:dyDescent="0.2">
      <c r="A300">
        <v>3800045</v>
      </c>
      <c r="B300">
        <v>2015</v>
      </c>
      <c r="C300" t="s">
        <v>252</v>
      </c>
      <c r="D300" t="s">
        <v>254</v>
      </c>
      <c r="E300" t="s">
        <v>256</v>
      </c>
      <c r="F300" s="5" t="s">
        <v>86</v>
      </c>
      <c r="G300" s="7">
        <v>125296</v>
      </c>
      <c r="H300" s="7" cm="1">
        <f t="array" ref="H300">_xlfn.IFS(B300=2015,L300*$P$3,B300=2016,L300*$P$4,B300=2017,L300*$P$5,B300=2018,L300*$P$6,B300=2019,L300*$P$7,B300=2020,L300*$P$8,B300=2021,L300*$P$9,B300=2022,L300*$P$10)</f>
        <v>2832.7449532721002</v>
      </c>
      <c r="I300" s="7">
        <f t="shared" si="11"/>
        <v>128128.74495327211</v>
      </c>
      <c r="J300">
        <f>IFERROR(VLOOKUP(F300,'LEAID Match'!$A$2:$B$227,2,FALSE),"")</f>
        <v>3800045</v>
      </c>
      <c r="K300">
        <f t="shared" si="10"/>
        <v>8</v>
      </c>
      <c r="L300" cm="1">
        <f t="array" ref="L300">_xlfn.IFS(B300=2015,G300/$P$13,B300=2016,G300/$P$14,B300=2017,G300/$P$15,B300=2018,G300/$P$16,B300=2019,G300/$P$17,B300=2019,G300/$P$18,B300=2020,G300/$P$18,B300=2021,G300/$P$19,B300=2022,G300/$P$20)</f>
        <v>1.5977128896063736E-3</v>
      </c>
    </row>
    <row r="301" spans="1:12" x14ac:dyDescent="0.2">
      <c r="A301">
        <v>3800045</v>
      </c>
      <c r="B301">
        <v>2016</v>
      </c>
      <c r="C301" t="s">
        <v>252</v>
      </c>
      <c r="D301" t="s">
        <v>254</v>
      </c>
      <c r="E301" t="s">
        <v>256</v>
      </c>
      <c r="F301" s="5" t="s">
        <v>86</v>
      </c>
      <c r="G301" s="7">
        <v>144163</v>
      </c>
      <c r="H301" s="7" cm="1">
        <f t="array" ref="H301">_xlfn.IFS(B301=2015,L301*$P$3,B301=2016,L301*$P$4,B301=2017,L301*$P$5,B301=2018,L301*$P$6,B301=2019,L301*$P$7,B301=2020,L301*$P$8,B301=2021,L301*$P$9,B301=2022,L301*$P$10)</f>
        <v>4895.3507578368217</v>
      </c>
      <c r="I301" s="7">
        <f t="shared" si="11"/>
        <v>149058.35075783683</v>
      </c>
      <c r="J301">
        <f>IFERROR(VLOOKUP(F301,'LEAID Match'!$A$2:$B$227,2,FALSE),"")</f>
        <v>3800045</v>
      </c>
      <c r="K301">
        <f t="shared" si="10"/>
        <v>8</v>
      </c>
      <c r="L301" cm="1">
        <f t="array" ref="L301">_xlfn.IFS(B301=2015,G301/$P$13,B301=2016,G301/$P$14,B301=2017,G301/$P$15,B301=2018,G301/$P$16,B301=2019,G301/$P$17,B301=2019,G301/$P$18,B301=2020,G301/$P$18,B301=2021,G301/$P$19,B301=2022,G301/$P$20)</f>
        <v>1.7402597788257453E-3</v>
      </c>
    </row>
    <row r="302" spans="1:12" x14ac:dyDescent="0.2">
      <c r="A302">
        <v>3800045</v>
      </c>
      <c r="B302">
        <v>2017</v>
      </c>
      <c r="C302" t="s">
        <v>252</v>
      </c>
      <c r="D302" t="s">
        <v>254</v>
      </c>
      <c r="E302" t="s">
        <v>256</v>
      </c>
      <c r="F302" s="5" t="s">
        <v>86</v>
      </c>
      <c r="G302" s="7">
        <v>152064</v>
      </c>
      <c r="H302" s="7" cm="1">
        <f t="array" ref="H302">_xlfn.IFS(B302=2015,L302*$P$3,B302=2016,L302*$P$4,B302=2017,L302*$P$5,B302=2018,L302*$P$6,B302=2019,L302*$P$7,B302=2020,L302*$P$8,B302=2021,L302*$P$9,B302=2022,L302*$P$10)</f>
        <v>4928.0978299701683</v>
      </c>
      <c r="I302" s="7">
        <f t="shared" si="11"/>
        <v>156992.09782997018</v>
      </c>
      <c r="J302">
        <f>IFERROR(VLOOKUP(F302,'LEAID Match'!$A$2:$B$227,2,FALSE),"")</f>
        <v>3800045</v>
      </c>
      <c r="K302">
        <f t="shared" si="10"/>
        <v>8</v>
      </c>
      <c r="L302" cm="1">
        <f t="array" ref="L302">_xlfn.IFS(B302=2015,G302/$P$13,B302=2016,G302/$P$14,B302=2017,G302/$P$15,B302=2018,G302/$P$16,B302=2019,G302/$P$17,B302=2019,G302/$P$18,B302=2020,G302/$P$18,B302=2021,G302/$P$19,B302=2022,G302/$P$20)</f>
        <v>1.7669766331911683E-3</v>
      </c>
    </row>
    <row r="303" spans="1:12" x14ac:dyDescent="0.2">
      <c r="A303">
        <v>3800045</v>
      </c>
      <c r="B303" s="5">
        <v>2018</v>
      </c>
      <c r="C303" t="s">
        <v>252</v>
      </c>
      <c r="D303" t="s">
        <v>254</v>
      </c>
      <c r="E303" t="s">
        <v>256</v>
      </c>
      <c r="F303" s="5" t="s">
        <v>86</v>
      </c>
      <c r="G303" s="7">
        <v>152081</v>
      </c>
      <c r="H303" s="7" cm="1">
        <f t="array" ref="H303">_xlfn.IFS(B303=2015,L303*$P$3,B303=2016,L303*$P$4,B303=2017,L303*$P$5,B303=2018,L303*$P$6,B303=2019,L303*$P$7,B303=2020,L303*$P$8,B303=2021,L303*$P$9,B303=2022,L303*$P$10)</f>
        <v>4167.169739202006</v>
      </c>
      <c r="I303" s="7">
        <f t="shared" si="11"/>
        <v>156248.16973920201</v>
      </c>
      <c r="J303">
        <f>IFERROR(VLOOKUP(F303,'LEAID Match'!$A$2:$B$227,2,FALSE),"")</f>
        <v>3800045</v>
      </c>
      <c r="K303">
        <f t="shared" si="10"/>
        <v>8</v>
      </c>
      <c r="L303" cm="1">
        <f t="array" ref="L303">_xlfn.IFS(B303=2015,G303/$P$13,B303=2016,G303/$P$14,B303=2017,G303/$P$15,B303=2018,G303/$P$16,B303=2019,G303/$P$17,B303=2019,G303/$P$18,B303=2020,G303/$P$18,B303=2021,G303/$P$19,B303=2022,G303/$P$20)</f>
        <v>1.7545977849271605E-3</v>
      </c>
    </row>
    <row r="304" spans="1:12" x14ac:dyDescent="0.2">
      <c r="A304">
        <v>3800045</v>
      </c>
      <c r="B304">
        <v>2019</v>
      </c>
      <c r="C304" t="s">
        <v>252</v>
      </c>
      <c r="D304" t="s">
        <v>254</v>
      </c>
      <c r="E304" t="s">
        <v>256</v>
      </c>
      <c r="F304" s="5" t="s">
        <v>86</v>
      </c>
      <c r="G304" s="7">
        <v>153149</v>
      </c>
      <c r="H304" s="7" cm="1">
        <f t="array" ref="H304">_xlfn.IFS(B304=2015,L304*$P$3,B304=2016,L304*$P$4,B304=2017,L304*$P$5,B304=2018,L304*$P$6,B304=2019,L304*$P$7,B304=2020,L304*$P$8,B304=2021,L304*$P$9,B304=2022,L304*$P$10)</f>
        <v>3554.5614684708617</v>
      </c>
      <c r="I304" s="7">
        <f t="shared" si="11"/>
        <v>156703.56146847087</v>
      </c>
      <c r="J304">
        <f>IFERROR(VLOOKUP(F304,'LEAID Match'!$A$2:$B$227,2,FALSE),"")</f>
        <v>3800045</v>
      </c>
      <c r="K304">
        <f t="shared" si="10"/>
        <v>8</v>
      </c>
      <c r="L304" cm="1">
        <f t="array" ref="L304">_xlfn.IFS(B304=2015,G304/$P$13,B304=2016,G304/$P$14,B304=2017,G304/$P$15,B304=2018,G304/$P$16,B304=2019,G304/$P$17,B304=2019,G304/$P$18,B304=2020,G304/$P$18,B304=2021,G304/$P$19,B304=2022,G304/$P$20)</f>
        <v>1.7122165069705499E-3</v>
      </c>
    </row>
    <row r="305" spans="1:12" x14ac:dyDescent="0.2">
      <c r="A305">
        <v>3800045</v>
      </c>
      <c r="B305">
        <v>2020</v>
      </c>
      <c r="C305" t="s">
        <v>252</v>
      </c>
      <c r="D305" t="s">
        <v>254</v>
      </c>
      <c r="E305" t="s">
        <v>256</v>
      </c>
      <c r="F305" s="5" t="s">
        <v>86</v>
      </c>
      <c r="G305" s="7">
        <v>147813</v>
      </c>
      <c r="H305" s="7" cm="1">
        <f t="array" ref="H305">_xlfn.IFS(B305=2015,L305*$P$3,B305=2016,L305*$P$4,B305=2017,L305*$P$5,B305=2018,L305*$P$6,B305=2019,L305*$P$7,B305=2020,L305*$P$8,B305=2021,L305*$P$9,B305=2022,L305*$P$10)</f>
        <v>3708.3352349993806</v>
      </c>
      <c r="I305" s="7">
        <f t="shared" si="11"/>
        <v>151521.33523499939</v>
      </c>
      <c r="J305">
        <f>IFERROR(VLOOKUP(F305,'LEAID Match'!$A$2:$B$227,2,FALSE),"")</f>
        <v>3800045</v>
      </c>
      <c r="K305">
        <f t="shared" si="10"/>
        <v>8</v>
      </c>
      <c r="L305" cm="1">
        <f t="array" ref="L305">_xlfn.IFS(B305=2015,G305/$P$13,B305=2016,G305/$P$14,B305=2017,G305/$P$15,B305=2018,G305/$P$16,B305=2019,G305/$P$17,B305=2019,G305/$P$18,B305=2020,G305/$P$18,B305=2021,G305/$P$19,B305=2022,G305/$P$20)</f>
        <v>1.5888325771205572E-3</v>
      </c>
    </row>
    <row r="306" spans="1:12" x14ac:dyDescent="0.2">
      <c r="A306">
        <v>3800045</v>
      </c>
      <c r="B306" s="5">
        <v>2021</v>
      </c>
      <c r="C306" t="s">
        <v>252</v>
      </c>
      <c r="D306" t="s">
        <v>254</v>
      </c>
      <c r="E306" t="s">
        <v>256</v>
      </c>
      <c r="F306" s="5" t="s">
        <v>86</v>
      </c>
      <c r="G306" s="7">
        <v>153041</v>
      </c>
      <c r="H306" s="7" cm="1">
        <f t="array" ref="H306">_xlfn.IFS(B306=2015,L306*$P$3,B306=2016,L306*$P$4,B306=2017,L306*$P$5,B306=2018,L306*$P$6,B306=2019,L306*$P$7,B306=2020,L306*$P$8,B306=2021,L306*$P$9,B306=2022,L306*$P$10)</f>
        <v>4181.7371932970182</v>
      </c>
      <c r="I306" s="7">
        <f t="shared" si="11"/>
        <v>157222.73719329701</v>
      </c>
      <c r="J306">
        <f>IFERROR(VLOOKUP(F306,'LEAID Match'!$A$2:$B$227,2,FALSE),"")</f>
        <v>3800045</v>
      </c>
      <c r="K306">
        <f t="shared" si="10"/>
        <v>8</v>
      </c>
      <c r="L306" cm="1">
        <f t="array" ref="L306">_xlfn.IFS(B306=2015,G306/$P$13,B306=2016,G306/$P$14,B306=2017,G306/$P$15,B306=2018,G306/$P$16,B306=2019,G306/$P$17,B306=2019,G306/$P$18,B306=2020,G306/$P$18,B306=2021,G306/$P$19,B306=2022,G306/$P$20)</f>
        <v>1.5574440198499137E-3</v>
      </c>
    </row>
    <row r="307" spans="1:12" x14ac:dyDescent="0.2">
      <c r="A307">
        <v>3800045</v>
      </c>
      <c r="B307">
        <v>2022</v>
      </c>
      <c r="C307" t="s">
        <v>252</v>
      </c>
      <c r="D307" t="s">
        <v>254</v>
      </c>
      <c r="E307" t="s">
        <v>256</v>
      </c>
      <c r="F307" s="5" t="s">
        <v>86</v>
      </c>
      <c r="G307" s="7">
        <v>165377</v>
      </c>
      <c r="H307" s="7" cm="1">
        <f t="array" ref="H307">_xlfn.IFS(B307=2015,L307*$P$3,B307=2016,L307*$P$4,B307=2017,L307*$P$5,B307=2018,L307*$P$6,B307=2019,L307*$P$7,B307=2020,L307*$P$8,B307=2021,L307*$P$9,B307=2022,L307*$P$10)</f>
        <v>3365.845811853173</v>
      </c>
      <c r="I307" s="7">
        <f t="shared" si="11"/>
        <v>168742.84581185319</v>
      </c>
      <c r="J307">
        <f>IFERROR(VLOOKUP(F307,'LEAID Match'!$A$2:$B$227,2,FALSE),"")</f>
        <v>3800045</v>
      </c>
      <c r="K307">
        <f t="shared" si="10"/>
        <v>8</v>
      </c>
      <c r="L307" cm="1">
        <f t="array" ref="L307">_xlfn.IFS(B307=2015,G307/$P$13,B307=2016,G307/$P$14,B307=2017,G307/$P$15,B307=2018,G307/$P$16,B307=2019,G307/$P$17,B307=2019,G307/$P$18,B307=2020,G307/$P$18,B307=2021,G307/$P$19,B307=2022,G307/$P$20)</f>
        <v>1.6483084289192816E-3</v>
      </c>
    </row>
    <row r="308" spans="1:12" x14ac:dyDescent="0.2">
      <c r="A308">
        <v>3806090</v>
      </c>
      <c r="B308">
        <v>2015</v>
      </c>
      <c r="C308" t="s">
        <v>252</v>
      </c>
      <c r="D308" t="s">
        <v>254</v>
      </c>
      <c r="E308" t="s">
        <v>256</v>
      </c>
      <c r="F308" s="5" t="s">
        <v>87</v>
      </c>
      <c r="G308" s="7">
        <v>219732</v>
      </c>
      <c r="H308" s="7" cm="1">
        <f t="array" ref="H308">_xlfn.IFS(B308=2015,L308*$P$3,B308=2016,L308*$P$4,B308=2017,L308*$P$5,B308=2018,L308*$P$6,B308=2019,L308*$P$7,B308=2020,L308*$P$8,B308=2021,L308*$P$9,B308=2022,L308*$P$10)</f>
        <v>4967.7939764428647</v>
      </c>
      <c r="I308" s="7">
        <f t="shared" si="11"/>
        <v>224699.79397644286</v>
      </c>
      <c r="J308">
        <f>IFERROR(VLOOKUP(F308,'LEAID Match'!$A$2:$B$227,2,FALSE),"")</f>
        <v>3806090</v>
      </c>
      <c r="K308">
        <f t="shared" si="10"/>
        <v>8</v>
      </c>
      <c r="L308" cm="1">
        <f t="array" ref="L308">_xlfn.IFS(B308=2015,G308/$P$13,B308=2016,G308/$P$14,B308=2017,G308/$P$15,B308=2018,G308/$P$16,B308=2019,G308/$P$17,B308=2019,G308/$P$18,B308=2020,G308/$P$18,B308=2021,G308/$P$19,B308=2022,G308/$P$20)</f>
        <v>2.8019142563129526E-3</v>
      </c>
    </row>
    <row r="309" spans="1:12" x14ac:dyDescent="0.2">
      <c r="A309">
        <v>3806090</v>
      </c>
      <c r="B309">
        <v>2016</v>
      </c>
      <c r="C309" t="s">
        <v>252</v>
      </c>
      <c r="D309" t="s">
        <v>254</v>
      </c>
      <c r="E309" t="s">
        <v>256</v>
      </c>
      <c r="F309" s="5" t="s">
        <v>87</v>
      </c>
      <c r="G309" s="7">
        <v>220782</v>
      </c>
      <c r="H309" s="7" cm="1">
        <f t="array" ref="H309">_xlfn.IFS(B309=2015,L309*$P$3,B309=2016,L309*$P$4,B309=2017,L309*$P$5,B309=2018,L309*$P$6,B309=2019,L309*$P$7,B309=2020,L309*$P$8,B309=2021,L309*$P$9,B309=2022,L309*$P$10)</f>
        <v>7497.1062687147823</v>
      </c>
      <c r="I309" s="7">
        <f t="shared" si="11"/>
        <v>228279.10626871479</v>
      </c>
      <c r="J309">
        <f>IFERROR(VLOOKUP(F309,'LEAID Match'!$A$2:$B$227,2,FALSE),"")</f>
        <v>3806090</v>
      </c>
      <c r="K309">
        <f t="shared" si="10"/>
        <v>8</v>
      </c>
      <c r="L309" cm="1">
        <f t="array" ref="L309">_xlfn.IFS(B309=2015,G309/$P$13,B309=2016,G309/$P$14,B309=2017,G309/$P$15,B309=2018,G309/$P$16,B309=2019,G309/$P$17,B309=2019,G309/$P$18,B309=2020,G309/$P$18,B309=2021,G309/$P$19,B309=2022,G309/$P$20)</f>
        <v>2.6651639775025888E-3</v>
      </c>
    </row>
    <row r="310" spans="1:12" x14ac:dyDescent="0.2">
      <c r="A310">
        <v>3806090</v>
      </c>
      <c r="B310">
        <v>2017</v>
      </c>
      <c r="C310" t="s">
        <v>252</v>
      </c>
      <c r="D310" t="s">
        <v>254</v>
      </c>
      <c r="E310" t="s">
        <v>256</v>
      </c>
      <c r="F310" s="5" t="s">
        <v>87</v>
      </c>
      <c r="G310" s="7">
        <v>218264</v>
      </c>
      <c r="H310" s="7" cm="1">
        <f t="array" ref="H310">_xlfn.IFS(B310=2015,L310*$P$3,B310=2016,L310*$P$4,B310=2017,L310*$P$5,B310=2018,L310*$P$6,B310=2019,L310*$P$7,B310=2020,L310*$P$8,B310=2021,L310*$P$9,B310=2022,L310*$P$10)</f>
        <v>7073.5107899345594</v>
      </c>
      <c r="I310" s="7">
        <f t="shared" si="11"/>
        <v>225337.51078993455</v>
      </c>
      <c r="J310">
        <f>IFERROR(VLOOKUP(F310,'LEAID Match'!$A$2:$B$227,2,FALSE),"")</f>
        <v>3806090</v>
      </c>
      <c r="K310">
        <f t="shared" si="10"/>
        <v>8</v>
      </c>
      <c r="L310" cm="1">
        <f t="array" ref="L310">_xlfn.IFS(B310=2015,G310/$P$13,B310=2016,G310/$P$14,B310=2017,G310/$P$15,B310=2018,G310/$P$16,B310=2019,G310/$P$17,B310=2019,G310/$P$18,B310=2020,G310/$P$18,B310=2021,G310/$P$19,B310=2022,G310/$P$20)</f>
        <v>2.5362175654121762E-3</v>
      </c>
    </row>
    <row r="311" spans="1:12" x14ac:dyDescent="0.2">
      <c r="A311">
        <v>3806090</v>
      </c>
      <c r="B311" s="5">
        <v>2018</v>
      </c>
      <c r="C311" t="s">
        <v>252</v>
      </c>
      <c r="D311" t="s">
        <v>254</v>
      </c>
      <c r="E311" t="s">
        <v>256</v>
      </c>
      <c r="F311" s="5" t="s">
        <v>87</v>
      </c>
      <c r="G311" s="7">
        <v>205715</v>
      </c>
      <c r="H311" s="7" cm="1">
        <f t="array" ref="H311">_xlfn.IFS(B311=2015,L311*$P$3,B311=2016,L311*$P$4,B311=2017,L311*$P$5,B311=2018,L311*$P$6,B311=2019,L311*$P$7,B311=2020,L311*$P$8,B311=2021,L311*$P$9,B311=2022,L311*$P$10)</f>
        <v>5636.7943589267607</v>
      </c>
      <c r="I311" s="7">
        <f t="shared" si="11"/>
        <v>211351.79435892677</v>
      </c>
      <c r="J311">
        <f>IFERROR(VLOOKUP(F311,'LEAID Match'!$A$2:$B$227,2,FALSE),"")</f>
        <v>3806090</v>
      </c>
      <c r="K311">
        <f t="shared" si="10"/>
        <v>8</v>
      </c>
      <c r="L311" cm="1">
        <f t="array" ref="L311">_xlfn.IFS(B311=2015,G311/$P$13,B311=2016,G311/$P$14,B311=2017,G311/$P$15,B311=2018,G311/$P$16,B311=2019,G311/$P$17,B311=2019,G311/$P$18,B311=2020,G311/$P$18,B311=2021,G311/$P$19,B311=2022,G311/$P$20)</f>
        <v>2.3733870984954781E-3</v>
      </c>
    </row>
    <row r="312" spans="1:12" x14ac:dyDescent="0.2">
      <c r="A312">
        <v>3806090</v>
      </c>
      <c r="B312">
        <v>2019</v>
      </c>
      <c r="C312" t="s">
        <v>252</v>
      </c>
      <c r="D312" t="s">
        <v>254</v>
      </c>
      <c r="E312" t="s">
        <v>256</v>
      </c>
      <c r="F312" s="5" t="s">
        <v>87</v>
      </c>
      <c r="G312" s="7">
        <v>219370</v>
      </c>
      <c r="H312" s="7" cm="1">
        <f t="array" ref="H312">_xlfn.IFS(B312=2015,L312*$P$3,B312=2016,L312*$P$4,B312=2017,L312*$P$5,B312=2018,L312*$P$6,B312=2019,L312*$P$7,B312=2020,L312*$P$8,B312=2021,L312*$P$9,B312=2022,L312*$P$10)</f>
        <v>5091.5392809515761</v>
      </c>
      <c r="I312" s="7">
        <f t="shared" si="11"/>
        <v>224461.53928095158</v>
      </c>
      <c r="J312">
        <f>IFERROR(VLOOKUP(F312,'LEAID Match'!$A$2:$B$227,2,FALSE),"")</f>
        <v>3806090</v>
      </c>
      <c r="K312">
        <f t="shared" si="10"/>
        <v>8</v>
      </c>
      <c r="L312" cm="1">
        <f t="array" ref="L312">_xlfn.IFS(B312=2015,G312/$P$13,B312=2016,G312/$P$14,B312=2017,G312/$P$15,B312=2018,G312/$P$16,B312=2019,G312/$P$17,B312=2019,G312/$P$18,B312=2020,G312/$P$18,B312=2021,G312/$P$19,B312=2022,G312/$P$20)</f>
        <v>2.4525719079728208E-3</v>
      </c>
    </row>
    <row r="313" spans="1:12" x14ac:dyDescent="0.2">
      <c r="A313">
        <v>3806090</v>
      </c>
      <c r="B313">
        <v>2020</v>
      </c>
      <c r="C313" t="s">
        <v>252</v>
      </c>
      <c r="D313" t="s">
        <v>254</v>
      </c>
      <c r="E313" t="s">
        <v>256</v>
      </c>
      <c r="F313" s="5" t="s">
        <v>87</v>
      </c>
      <c r="G313" s="7">
        <v>225348</v>
      </c>
      <c r="H313" s="7" cm="1">
        <f t="array" ref="H313">_xlfn.IFS(B313=2015,L313*$P$3,B313=2016,L313*$P$4,B313=2017,L313*$P$5,B313=2018,L313*$P$6,B313=2019,L313*$P$7,B313=2020,L313*$P$8,B313=2021,L313*$P$9,B313=2022,L313*$P$10)</f>
        <v>5653.5347265574774</v>
      </c>
      <c r="I313" s="7">
        <f t="shared" si="11"/>
        <v>231001.53472655747</v>
      </c>
      <c r="J313">
        <f>IFERROR(VLOOKUP(F313,'LEAID Match'!$A$2:$B$227,2,FALSE),"")</f>
        <v>3806090</v>
      </c>
      <c r="K313">
        <f t="shared" si="10"/>
        <v>8</v>
      </c>
      <c r="L313" cm="1">
        <f t="array" ref="L313">_xlfn.IFS(B313=2015,G313/$P$13,B313=2016,G313/$P$14,B313=2017,G313/$P$15,B313=2018,G313/$P$16,B313=2019,G313/$P$17,B313=2019,G313/$P$18,B313=2020,G313/$P$18,B313=2021,G313/$P$19,B313=2022,G313/$P$20)</f>
        <v>2.4222513824153718E-3</v>
      </c>
    </row>
    <row r="314" spans="1:12" x14ac:dyDescent="0.2">
      <c r="A314">
        <v>3806090</v>
      </c>
      <c r="B314" s="5">
        <v>2021</v>
      </c>
      <c r="C314" t="s">
        <v>252</v>
      </c>
      <c r="D314" t="s">
        <v>254</v>
      </c>
      <c r="E314" t="s">
        <v>256</v>
      </c>
      <c r="F314" s="5" t="s">
        <v>87</v>
      </c>
      <c r="G314" s="7">
        <v>233445</v>
      </c>
      <c r="H314" s="7" cm="1">
        <f t="array" ref="H314">_xlfn.IFS(B314=2015,L314*$P$3,B314=2016,L314*$P$4,B314=2017,L314*$P$5,B314=2018,L314*$P$6,B314=2019,L314*$P$7,B314=2020,L314*$P$8,B314=2021,L314*$P$9,B314=2022,L314*$P$10)</f>
        <v>6378.7196835437717</v>
      </c>
      <c r="I314" s="7">
        <f t="shared" si="11"/>
        <v>239823.71968354378</v>
      </c>
      <c r="J314">
        <f>IFERROR(VLOOKUP(F314,'LEAID Match'!$A$2:$B$227,2,FALSE),"")</f>
        <v>3806090</v>
      </c>
      <c r="K314">
        <f t="shared" si="10"/>
        <v>8</v>
      </c>
      <c r="L314" cm="1">
        <f t="array" ref="L314">_xlfn.IFS(B314=2015,G314/$P$13,B314=2016,G314/$P$14,B314=2017,G314/$P$15,B314=2018,G314/$P$16,B314=2019,G314/$P$17,B314=2019,G314/$P$18,B314=2020,G314/$P$18,B314=2021,G314/$P$19,B314=2022,G314/$P$20)</f>
        <v>2.3756870329771961E-3</v>
      </c>
    </row>
    <row r="315" spans="1:12" x14ac:dyDescent="0.2">
      <c r="A315">
        <v>3806090</v>
      </c>
      <c r="B315">
        <v>2022</v>
      </c>
      <c r="C315" t="s">
        <v>252</v>
      </c>
      <c r="D315" t="s">
        <v>254</v>
      </c>
      <c r="E315" t="s">
        <v>256</v>
      </c>
      <c r="F315" s="5" t="s">
        <v>87</v>
      </c>
      <c r="G315" s="7">
        <v>225042</v>
      </c>
      <c r="H315" s="7" cm="1">
        <f t="array" ref="H315">_xlfn.IFS(B315=2015,L315*$P$3,B315=2016,L315*$P$4,B315=2017,L315*$P$5,B315=2018,L315*$P$6,B315=2019,L315*$P$7,B315=2020,L315*$P$8,B315=2021,L315*$P$9,B315=2022,L315*$P$10)</f>
        <v>4580.181483465426</v>
      </c>
      <c r="I315" s="7">
        <f t="shared" si="11"/>
        <v>229622.18148346542</v>
      </c>
      <c r="J315">
        <f>IFERROR(VLOOKUP(F315,'LEAID Match'!$A$2:$B$227,2,FALSE),"")</f>
        <v>3806090</v>
      </c>
      <c r="K315">
        <f t="shared" si="10"/>
        <v>8</v>
      </c>
      <c r="L315" cm="1">
        <f t="array" ref="L315">_xlfn.IFS(B315=2015,G315/$P$13,B315=2016,G315/$P$14,B315=2017,G315/$P$15,B315=2018,G315/$P$16,B315=2019,G315/$P$17,B315=2019,G315/$P$18,B315=2020,G315/$P$18,B315=2021,G315/$P$19,B315=2022,G315/$P$20)</f>
        <v>2.242987993861619E-3</v>
      </c>
    </row>
    <row r="316" spans="1:12" x14ac:dyDescent="0.2">
      <c r="A316">
        <v>3806360</v>
      </c>
      <c r="B316">
        <v>2015</v>
      </c>
      <c r="C316" t="s">
        <v>252</v>
      </c>
      <c r="D316" t="s">
        <v>254</v>
      </c>
      <c r="E316" t="s">
        <v>256</v>
      </c>
      <c r="F316" s="5" t="s">
        <v>195</v>
      </c>
      <c r="G316" s="7">
        <v>71118</v>
      </c>
      <c r="H316" s="7" cm="1">
        <f t="array" ref="H316">_xlfn.IFS(B316=2015,L316*$P$3,B316=2016,L316*$P$4,B316=2017,L316*$P$5,B316=2018,L316*$P$6,B316=2019,L316*$P$7,B316=2020,L316*$P$8,B316=2021,L316*$P$9,B316=2022,L316*$P$10)</f>
        <v>1607.8658184363846</v>
      </c>
      <c r="I316" s="7">
        <f t="shared" si="11"/>
        <v>72725.865818436389</v>
      </c>
      <c r="J316">
        <f>IFERROR(VLOOKUP(F316,'LEAID Match'!$A$2:$B$227,2,FALSE),"")</f>
        <v>3806360</v>
      </c>
      <c r="K316">
        <f t="shared" si="10"/>
        <v>8</v>
      </c>
      <c r="L316" cm="1">
        <f t="array" ref="L316">_xlfn.IFS(B316=2015,G316/$P$13,B316=2016,G316/$P$14,B316=2017,G316/$P$15,B316=2018,G316/$P$16,B316=2019,G316/$P$17,B316=2019,G316/$P$18,B316=2020,G316/$P$18,B316=2021,G316/$P$19,B316=2022,G316/$P$20)</f>
        <v>9.0686171372610525E-4</v>
      </c>
    </row>
    <row r="317" spans="1:12" x14ac:dyDescent="0.2">
      <c r="A317">
        <v>3806360</v>
      </c>
      <c r="B317">
        <v>2016</v>
      </c>
      <c r="C317" t="s">
        <v>252</v>
      </c>
      <c r="D317" t="s">
        <v>254</v>
      </c>
      <c r="E317" t="s">
        <v>256</v>
      </c>
      <c r="F317" s="5" t="s">
        <v>195</v>
      </c>
      <c r="G317" s="7">
        <v>72441</v>
      </c>
      <c r="H317" s="7" cm="1">
        <f t="array" ref="H317">_xlfn.IFS(B317=2015,L317*$P$3,B317=2016,L317*$P$4,B317=2017,L317*$P$5,B317=2018,L317*$P$6,B317=2019,L317*$P$7,B317=2020,L317*$P$8,B317=2021,L317*$P$9,B317=2022,L317*$P$10)</f>
        <v>2459.8829397866107</v>
      </c>
      <c r="I317" s="7">
        <f t="shared" si="11"/>
        <v>74900.882939786607</v>
      </c>
      <c r="J317">
        <f>IFERROR(VLOOKUP(F317,'LEAID Match'!$A$2:$B$227,2,FALSE),"")</f>
        <v>3806360</v>
      </c>
      <c r="K317">
        <f t="shared" si="10"/>
        <v>8</v>
      </c>
      <c r="L317" cm="1">
        <f t="array" ref="L317">_xlfn.IFS(B317=2015,G317/$P$13,B317=2016,G317/$P$14,B317=2017,G317/$P$15,B317=2018,G317/$P$16,B317=2019,G317/$P$17,B317=2019,G317/$P$18,B317=2020,G317/$P$18,B317=2021,G317/$P$19,B317=2022,G317/$P$20)</f>
        <v>8.7446958399808416E-4</v>
      </c>
    </row>
    <row r="318" spans="1:12" x14ac:dyDescent="0.2">
      <c r="A318">
        <v>3806360</v>
      </c>
      <c r="B318">
        <v>2017</v>
      </c>
      <c r="C318" t="s">
        <v>252</v>
      </c>
      <c r="D318" t="s">
        <v>254</v>
      </c>
      <c r="E318" t="s">
        <v>256</v>
      </c>
      <c r="F318" s="5" t="s">
        <v>195</v>
      </c>
      <c r="G318" s="7">
        <v>76940</v>
      </c>
      <c r="H318" s="7" cm="1">
        <f t="array" ref="H318">_xlfn.IFS(B318=2015,L318*$P$3,B318=2016,L318*$P$4,B318=2017,L318*$P$5,B318=2018,L318*$P$6,B318=2019,L318*$P$7,B318=2020,L318*$P$8,B318=2021,L318*$P$9,B318=2022,L318*$P$10)</f>
        <v>2493.4754250703963</v>
      </c>
      <c r="I318" s="7">
        <f t="shared" si="11"/>
        <v>79433.475425070399</v>
      </c>
      <c r="J318">
        <f>IFERROR(VLOOKUP(F318,'LEAID Match'!$A$2:$B$227,2,FALSE),"")</f>
        <v>3806360</v>
      </c>
      <c r="K318">
        <f t="shared" si="10"/>
        <v>8</v>
      </c>
      <c r="L318" cm="1">
        <f t="array" ref="L318">_xlfn.IFS(B318=2015,G318/$P$13,B318=2016,G318/$P$14,B318=2017,G318/$P$15,B318=2018,G318/$P$16,B318=2019,G318/$P$17,B318=2019,G318/$P$18,B318=2020,G318/$P$18,B318=2021,G318/$P$19,B318=2022,G318/$P$20)</f>
        <v>8.9403923451789036E-4</v>
      </c>
    </row>
    <row r="319" spans="1:12" x14ac:dyDescent="0.2">
      <c r="A319">
        <v>3806360</v>
      </c>
      <c r="B319" s="5">
        <v>2018</v>
      </c>
      <c r="C319" t="s">
        <v>252</v>
      </c>
      <c r="D319" t="s">
        <v>254</v>
      </c>
      <c r="E319" t="s">
        <v>256</v>
      </c>
      <c r="F319" s="5" t="s">
        <v>195</v>
      </c>
      <c r="G319" s="7">
        <v>79763</v>
      </c>
      <c r="H319" s="7" cm="1">
        <f t="array" ref="H319">_xlfn.IFS(B319=2015,L319*$P$3,B319=2016,L319*$P$4,B319=2017,L319*$P$5,B319=2018,L319*$P$6,B319=2019,L319*$P$7,B319=2020,L319*$P$8,B319=2021,L319*$P$9,B319=2022,L319*$P$10)</f>
        <v>2185.5850494668607</v>
      </c>
      <c r="I319" s="7">
        <f t="shared" si="11"/>
        <v>81948.585049466856</v>
      </c>
      <c r="J319">
        <f>IFERROR(VLOOKUP(F319,'LEAID Match'!$A$2:$B$227,2,FALSE),"")</f>
        <v>3806360</v>
      </c>
      <c r="K319">
        <f t="shared" si="10"/>
        <v>8</v>
      </c>
      <c r="L319" cm="1">
        <f t="array" ref="L319">_xlfn.IFS(B319=2015,G319/$P$13,B319=2016,G319/$P$14,B319=2017,G319/$P$15,B319=2018,G319/$P$16,B319=2019,G319/$P$17,B319=2019,G319/$P$18,B319=2020,G319/$P$18,B319=2021,G319/$P$19,B319=2022,G319/$P$20)</f>
        <v>9.2024633661762548E-4</v>
      </c>
    </row>
    <row r="320" spans="1:12" x14ac:dyDescent="0.2">
      <c r="A320">
        <v>3806360</v>
      </c>
      <c r="B320">
        <v>2019</v>
      </c>
      <c r="C320" t="s">
        <v>252</v>
      </c>
      <c r="D320" t="s">
        <v>254</v>
      </c>
      <c r="E320" t="s">
        <v>256</v>
      </c>
      <c r="F320" s="5" t="s">
        <v>195</v>
      </c>
      <c r="G320" s="7">
        <v>80578</v>
      </c>
      <c r="H320" s="7" cm="1">
        <f t="array" ref="H320">_xlfn.IFS(B320=2015,L320*$P$3,B320=2016,L320*$P$4,B320=2017,L320*$P$5,B320=2018,L320*$P$6,B320=2019,L320*$P$7,B320=2020,L320*$P$8,B320=2021,L320*$P$9,B320=2022,L320*$P$10)</f>
        <v>1870.2012680882349</v>
      </c>
      <c r="I320" s="7">
        <f t="shared" si="11"/>
        <v>82448.201268088233</v>
      </c>
      <c r="J320">
        <f>IFERROR(VLOOKUP(F320,'LEAID Match'!$A$2:$B$227,2,FALSE),"")</f>
        <v>3806360</v>
      </c>
      <c r="K320">
        <f t="shared" si="10"/>
        <v>8</v>
      </c>
      <c r="L320" cm="1">
        <f t="array" ref="L320">_xlfn.IFS(B320=2015,G320/$P$13,B320=2016,G320/$P$14,B320=2017,G320/$P$15,B320=2018,G320/$P$16,B320=2019,G320/$P$17,B320=2019,G320/$P$18,B320=2020,G320/$P$18,B320=2021,G320/$P$19,B320=2022,G320/$P$20)</f>
        <v>9.0086766285560446E-4</v>
      </c>
    </row>
    <row r="321" spans="1:12" x14ac:dyDescent="0.2">
      <c r="A321">
        <v>3806360</v>
      </c>
      <c r="B321">
        <v>2020</v>
      </c>
      <c r="C321" t="s">
        <v>252</v>
      </c>
      <c r="D321" t="s">
        <v>254</v>
      </c>
      <c r="E321" t="s">
        <v>256</v>
      </c>
      <c r="F321" s="5" t="s">
        <v>195</v>
      </c>
      <c r="G321" s="7">
        <v>89030</v>
      </c>
      <c r="H321" s="7" cm="1">
        <f t="array" ref="H321">_xlfn.IFS(B321=2015,L321*$P$3,B321=2016,L321*$P$4,B321=2017,L321*$P$5,B321=2018,L321*$P$6,B321=2019,L321*$P$7,B321=2020,L321*$P$8,B321=2021,L321*$P$9,B321=2022,L321*$P$10)</f>
        <v>2233.586260829527</v>
      </c>
      <c r="I321" s="7">
        <f t="shared" si="11"/>
        <v>91263.586260829528</v>
      </c>
      <c r="J321">
        <f>IFERROR(VLOOKUP(F321,'LEAID Match'!$A$2:$B$227,2,FALSE),"")</f>
        <v>3806360</v>
      </c>
      <c r="K321">
        <f t="shared" si="10"/>
        <v>8</v>
      </c>
      <c r="L321" cm="1">
        <f t="array" ref="L321">_xlfn.IFS(B321=2015,G321/$P$13,B321=2016,G321/$P$14,B321=2017,G321/$P$15,B321=2018,G321/$P$16,B321=2019,G321/$P$17,B321=2019,G321/$P$18,B321=2020,G321/$P$18,B321=2021,G321/$P$19,B321=2022,G321/$P$20)</f>
        <v>9.5697783240339623E-4</v>
      </c>
    </row>
    <row r="322" spans="1:12" x14ac:dyDescent="0.2">
      <c r="A322">
        <v>3806360</v>
      </c>
      <c r="B322" s="5">
        <v>2021</v>
      </c>
      <c r="C322" t="s">
        <v>252</v>
      </c>
      <c r="D322" t="s">
        <v>254</v>
      </c>
      <c r="E322" t="s">
        <v>256</v>
      </c>
      <c r="F322" s="5" t="s">
        <v>195</v>
      </c>
      <c r="G322" s="7">
        <v>96208</v>
      </c>
      <c r="H322" s="7" cm="1">
        <f t="array" ref="H322">_xlfn.IFS(B322=2015,L322*$P$3,B322=2016,L322*$P$4,B322=2017,L322*$P$5,B322=2018,L322*$P$6,B322=2019,L322*$P$7,B322=2020,L322*$P$8,B322=2021,L322*$P$9,B322=2022,L322*$P$10)</f>
        <v>2628.8156238702013</v>
      </c>
      <c r="I322" s="7">
        <f t="shared" si="11"/>
        <v>98836.815623870207</v>
      </c>
      <c r="J322">
        <f>IFERROR(VLOOKUP(F322,'LEAID Match'!$A$2:$B$227,2,FALSE),"")</f>
        <v>3806360</v>
      </c>
      <c r="K322">
        <f t="shared" ref="K322:K385" si="12">COUNTIF($A$2:$A$1757,A322)</f>
        <v>8</v>
      </c>
      <c r="L322" cm="1">
        <f t="array" ref="L322">_xlfn.IFS(B322=2015,G322/$P$13,B322=2016,G322/$P$14,B322=2017,G322/$P$15,B322=2018,G322/$P$16,B322=2019,G322/$P$17,B322=2019,G322/$P$18,B322=2020,G322/$P$18,B322=2021,G322/$P$19,B322=2022,G322/$P$20)</f>
        <v>9.7907472024960944E-4</v>
      </c>
    </row>
    <row r="323" spans="1:12" x14ac:dyDescent="0.2">
      <c r="A323">
        <v>3806360</v>
      </c>
      <c r="B323">
        <v>2022</v>
      </c>
      <c r="C323" t="s">
        <v>252</v>
      </c>
      <c r="D323" t="s">
        <v>254</v>
      </c>
      <c r="E323" t="s">
        <v>256</v>
      </c>
      <c r="F323" s="5" t="s">
        <v>195</v>
      </c>
      <c r="G323" s="7">
        <v>95921</v>
      </c>
      <c r="H323" s="7" cm="1">
        <f t="array" ref="H323">_xlfn.IFS(B323=2015,L323*$P$3,B323=2016,L323*$P$4,B323=2017,L323*$P$5,B323=2018,L323*$P$6,B323=2019,L323*$P$7,B323=2020,L323*$P$8,B323=2021,L323*$P$9,B323=2022,L323*$P$10)</f>
        <v>1952.238195872269</v>
      </c>
      <c r="I323" s="7">
        <f t="shared" ref="I323:I386" si="13">SUM(G323:H323)</f>
        <v>97873.238195872269</v>
      </c>
      <c r="J323">
        <f>IFERROR(VLOOKUP(F323,'LEAID Match'!$A$2:$B$227,2,FALSE),"")</f>
        <v>3806360</v>
      </c>
      <c r="K323">
        <f t="shared" si="12"/>
        <v>8</v>
      </c>
      <c r="L323" cm="1">
        <f t="array" ref="L323">_xlfn.IFS(B323=2015,G323/$P$13,B323=2016,G323/$P$14,B323=2017,G323/$P$15,B323=2018,G323/$P$16,B323=2019,G323/$P$17,B323=2019,G323/$P$18,B323=2020,G323/$P$18,B323=2021,G323/$P$19,B323=2022,G323/$P$20)</f>
        <v>9.5604221149474483E-4</v>
      </c>
    </row>
    <row r="324" spans="1:12" x14ac:dyDescent="0.2">
      <c r="A324">
        <v>3800061</v>
      </c>
      <c r="B324">
        <v>2015</v>
      </c>
      <c r="C324" t="s">
        <v>252</v>
      </c>
      <c r="D324" t="s">
        <v>254</v>
      </c>
      <c r="E324" t="s">
        <v>256</v>
      </c>
      <c r="F324" s="5" t="s">
        <v>88</v>
      </c>
      <c r="G324" s="7">
        <v>245908</v>
      </c>
      <c r="H324" s="7" cm="1">
        <f t="array" ref="H324">_xlfn.IFS(B324=2015,L324*$P$3,B324=2016,L324*$P$4,B324=2017,L324*$P$5,B324=2018,L324*$P$6,B324=2019,L324*$P$7,B324=2020,L324*$P$8,B324=2021,L324*$P$9,B324=2022,L324*$P$10)</f>
        <v>5559.592053770557</v>
      </c>
      <c r="I324" s="7">
        <f t="shared" si="13"/>
        <v>251467.59205377055</v>
      </c>
      <c r="J324">
        <f>IFERROR(VLOOKUP(F324,'LEAID Match'!$A$2:$B$227,2,FALSE),"")</f>
        <v>3800061</v>
      </c>
      <c r="K324">
        <f t="shared" si="12"/>
        <v>8</v>
      </c>
      <c r="L324" cm="1">
        <f t="array" ref="L324">_xlfn.IFS(B324=2015,G324/$P$13,B324=2016,G324/$P$14,B324=2017,G324/$P$15,B324=2018,G324/$P$16,B324=2019,G324/$P$17,B324=2019,G324/$P$18,B324=2020,G324/$P$18,B324=2021,G324/$P$19,B324=2022,G324/$P$20)</f>
        <v>3.1356977178626944E-3</v>
      </c>
    </row>
    <row r="325" spans="1:12" x14ac:dyDescent="0.2">
      <c r="A325">
        <v>3800061</v>
      </c>
      <c r="B325">
        <v>2016</v>
      </c>
      <c r="C325" t="s">
        <v>252</v>
      </c>
      <c r="D325" t="s">
        <v>254</v>
      </c>
      <c r="E325" t="s">
        <v>256</v>
      </c>
      <c r="F325" s="5" t="s">
        <v>88</v>
      </c>
      <c r="G325" s="7">
        <v>257241</v>
      </c>
      <c r="H325" s="7" cm="1">
        <f t="array" ref="H325">_xlfn.IFS(B325=2015,L325*$P$3,B325=2016,L325*$P$4,B325=2017,L325*$P$5,B325=2018,L325*$P$6,B325=2019,L325*$P$7,B325=2020,L325*$P$8,B325=2021,L325*$P$9,B325=2022,L325*$P$10)</f>
        <v>8735.1464959573659</v>
      </c>
      <c r="I325" s="7">
        <f t="shared" si="13"/>
        <v>265976.14649595739</v>
      </c>
      <c r="J325">
        <f>IFERROR(VLOOKUP(F325,'LEAID Match'!$A$2:$B$227,2,FALSE),"")</f>
        <v>3800061</v>
      </c>
      <c r="K325">
        <f t="shared" si="12"/>
        <v>8</v>
      </c>
      <c r="L325" cm="1">
        <f t="array" ref="L325">_xlfn.IFS(B325=2015,G325/$P$13,B325=2016,G325/$P$14,B325=2017,G325/$P$15,B325=2018,G325/$P$16,B325=2019,G325/$P$17,B325=2019,G325/$P$18,B325=2020,G325/$P$18,B325=2021,G325/$P$19,B325=2022,G325/$P$20)</f>
        <v>3.1052778158398033E-3</v>
      </c>
    </row>
    <row r="326" spans="1:12" x14ac:dyDescent="0.2">
      <c r="A326">
        <v>3800061</v>
      </c>
      <c r="B326">
        <v>2017</v>
      </c>
      <c r="C326" t="s">
        <v>252</v>
      </c>
      <c r="D326" t="s">
        <v>254</v>
      </c>
      <c r="E326" t="s">
        <v>256</v>
      </c>
      <c r="F326" s="5" t="s">
        <v>88</v>
      </c>
      <c r="G326" s="7">
        <v>269599</v>
      </c>
      <c r="H326" s="7" cm="1">
        <f t="array" ref="H326">_xlfn.IFS(B326=2015,L326*$P$3,B326=2016,L326*$P$4,B326=2017,L326*$P$5,B326=2018,L326*$P$6,B326=2019,L326*$P$7,B326=2020,L326*$P$8,B326=2021,L326*$P$9,B326=2022,L326*$P$10)</f>
        <v>8737.1780754296033</v>
      </c>
      <c r="I326" s="7">
        <f t="shared" si="13"/>
        <v>278336.17807542958</v>
      </c>
      <c r="J326">
        <f>IFERROR(VLOOKUP(F326,'LEAID Match'!$A$2:$B$227,2,FALSE),"")</f>
        <v>3800061</v>
      </c>
      <c r="K326">
        <f t="shared" si="12"/>
        <v>8</v>
      </c>
      <c r="L326" cm="1">
        <f t="array" ref="L326">_xlfn.IFS(B326=2015,G326/$P$13,B326=2016,G326/$P$14,B326=2017,G326/$P$15,B326=2018,G326/$P$16,B326=2019,G326/$P$17,B326=2019,G326/$P$18,B326=2020,G326/$P$18,B326=2021,G326/$P$19,B326=2022,G326/$P$20)</f>
        <v>3.1327278864932248E-3</v>
      </c>
    </row>
    <row r="327" spans="1:12" x14ac:dyDescent="0.2">
      <c r="A327">
        <v>3800061</v>
      </c>
      <c r="B327" s="5">
        <v>2018</v>
      </c>
      <c r="C327" t="s">
        <v>252</v>
      </c>
      <c r="D327" t="s">
        <v>254</v>
      </c>
      <c r="E327" t="s">
        <v>256</v>
      </c>
      <c r="F327" s="5" t="s">
        <v>88</v>
      </c>
      <c r="G327" s="7">
        <v>257967</v>
      </c>
      <c r="H327" s="7" cm="1">
        <f t="array" ref="H327">_xlfn.IFS(B327=2015,L327*$P$3,B327=2016,L327*$P$4,B327=2017,L327*$P$5,B327=2018,L327*$P$6,B327=2019,L327*$P$7,B327=2020,L327*$P$8,B327=2021,L327*$P$9,B327=2022,L327*$P$10)</f>
        <v>7068.5508124796906</v>
      </c>
      <c r="I327" s="7">
        <f t="shared" si="13"/>
        <v>265035.55081247969</v>
      </c>
      <c r="J327">
        <f>IFERROR(VLOOKUP(F327,'LEAID Match'!$A$2:$B$227,2,FALSE),"")</f>
        <v>3800061</v>
      </c>
      <c r="K327">
        <f t="shared" si="12"/>
        <v>8</v>
      </c>
      <c r="L327" cm="1">
        <f t="array" ref="L327">_xlfn.IFS(B327=2015,G327/$P$13,B327=2016,G327/$P$14,B327=2017,G327/$P$15,B327=2018,G327/$P$16,B327=2019,G327/$P$17,B327=2019,G327/$P$18,B327=2020,G327/$P$18,B327=2021,G327/$P$19,B327=2022,G327/$P$20)</f>
        <v>2.9762319210440802E-3</v>
      </c>
    </row>
    <row r="328" spans="1:12" x14ac:dyDescent="0.2">
      <c r="A328">
        <v>3800061</v>
      </c>
      <c r="B328">
        <v>2019</v>
      </c>
      <c r="C328" t="s">
        <v>252</v>
      </c>
      <c r="D328" t="s">
        <v>254</v>
      </c>
      <c r="E328" t="s">
        <v>256</v>
      </c>
      <c r="F328" s="5" t="s">
        <v>88</v>
      </c>
      <c r="G328" s="7">
        <v>251466</v>
      </c>
      <c r="H328" s="7" cm="1">
        <f t="array" ref="H328">_xlfn.IFS(B328=2015,L328*$P$3,B328=2016,L328*$P$4,B328=2017,L328*$P$5,B328=2018,L328*$P$6,B328=2019,L328*$P$7,B328=2020,L328*$P$8,B328=2021,L328*$P$9,B328=2022,L328*$P$10)</f>
        <v>5836.4818198649273</v>
      </c>
      <c r="I328" s="7">
        <f t="shared" si="13"/>
        <v>257302.48181986492</v>
      </c>
      <c r="J328">
        <f>IFERROR(VLOOKUP(F328,'LEAID Match'!$A$2:$B$227,2,FALSE),"")</f>
        <v>3800061</v>
      </c>
      <c r="K328">
        <f t="shared" si="12"/>
        <v>8</v>
      </c>
      <c r="L328" cm="1">
        <f t="array" ref="L328">_xlfn.IFS(B328=2015,G328/$P$13,B328=2016,G328/$P$14,B328=2017,G328/$P$15,B328=2018,G328/$P$16,B328=2019,G328/$P$17,B328=2019,G328/$P$18,B328=2020,G328/$P$18,B328=2021,G328/$P$19,B328=2022,G328/$P$20)</f>
        <v>2.8114074276806007E-3</v>
      </c>
    </row>
    <row r="329" spans="1:12" x14ac:dyDescent="0.2">
      <c r="A329">
        <v>3800061</v>
      </c>
      <c r="B329">
        <v>2020</v>
      </c>
      <c r="C329" t="s">
        <v>252</v>
      </c>
      <c r="D329" t="s">
        <v>254</v>
      </c>
      <c r="E329" t="s">
        <v>256</v>
      </c>
      <c r="F329" s="5" t="s">
        <v>88</v>
      </c>
      <c r="G329" s="7">
        <v>261959</v>
      </c>
      <c r="H329" s="7" cm="1">
        <f t="array" ref="H329">_xlfn.IFS(B329=2015,L329*$P$3,B329=2016,L329*$P$4,B329=2017,L329*$P$5,B329=2018,L329*$P$6,B329=2019,L329*$P$7,B329=2020,L329*$P$8,B329=2021,L329*$P$9,B329=2022,L329*$P$10)</f>
        <v>6572.0321610765141</v>
      </c>
      <c r="I329" s="7">
        <f t="shared" si="13"/>
        <v>268531.03216107649</v>
      </c>
      <c r="J329">
        <f>IFERROR(VLOOKUP(F329,'LEAID Match'!$A$2:$B$227,2,FALSE),"")</f>
        <v>3800061</v>
      </c>
      <c r="K329">
        <f t="shared" si="12"/>
        <v>8</v>
      </c>
      <c r="L329" cm="1">
        <f t="array" ref="L329">_xlfn.IFS(B329=2015,G329/$P$13,B329=2016,G329/$P$14,B329=2017,G329/$P$15,B329=2018,G329/$P$16,B329=2019,G329/$P$17,B329=2019,G329/$P$18,B329=2020,G329/$P$18,B329=2021,G329/$P$19,B329=2022,G329/$P$20)</f>
        <v>2.8157807031176153E-3</v>
      </c>
    </row>
    <row r="330" spans="1:12" x14ac:dyDescent="0.2">
      <c r="A330">
        <v>3800061</v>
      </c>
      <c r="B330" s="5">
        <v>2021</v>
      </c>
      <c r="C330" t="s">
        <v>252</v>
      </c>
      <c r="D330" t="s">
        <v>254</v>
      </c>
      <c r="E330" t="s">
        <v>256</v>
      </c>
      <c r="F330" s="5" t="s">
        <v>88</v>
      </c>
      <c r="G330" s="7">
        <v>277410</v>
      </c>
      <c r="H330" s="7" cm="1">
        <f t="array" ref="H330">_xlfn.IFS(B330=2015,L330*$P$3,B330=2016,L330*$P$4,B330=2017,L330*$P$5,B330=2018,L330*$P$6,B330=2019,L330*$P$7,B330=2020,L330*$P$8,B330=2021,L330*$P$9,B330=2022,L330*$P$10)</f>
        <v>7580.0322449051291</v>
      </c>
      <c r="I330" s="7">
        <f t="shared" si="13"/>
        <v>284990.03224490513</v>
      </c>
      <c r="J330">
        <f>IFERROR(VLOOKUP(F330,'LEAID Match'!$A$2:$B$227,2,FALSE),"")</f>
        <v>3800061</v>
      </c>
      <c r="K330">
        <f t="shared" si="12"/>
        <v>8</v>
      </c>
      <c r="L330" cm="1">
        <f t="array" ref="L330">_xlfn.IFS(B330=2015,G330/$P$13,B330=2016,G330/$P$14,B330=2017,G330/$P$15,B330=2018,G330/$P$16,B330=2019,G330/$P$17,B330=2019,G330/$P$18,B330=2020,G330/$P$18,B330=2021,G330/$P$19,B330=2022,G330/$P$20)</f>
        <v>2.8231032569479065E-3</v>
      </c>
    </row>
    <row r="331" spans="1:12" x14ac:dyDescent="0.2">
      <c r="A331">
        <v>3800061</v>
      </c>
      <c r="B331">
        <v>2022</v>
      </c>
      <c r="C331" t="s">
        <v>252</v>
      </c>
      <c r="D331" t="s">
        <v>254</v>
      </c>
      <c r="E331" t="s">
        <v>256</v>
      </c>
      <c r="F331" s="5" t="s">
        <v>88</v>
      </c>
      <c r="G331" s="7">
        <v>283682</v>
      </c>
      <c r="H331" s="7" cm="1">
        <f t="array" ref="H331">_xlfn.IFS(B331=2015,L331*$P$3,B331=2016,L331*$P$4,B331=2017,L331*$P$5,B331=2018,L331*$P$6,B331=2019,L331*$P$7,B331=2020,L331*$P$8,B331=2021,L331*$P$9,B331=2022,L331*$P$10)</f>
        <v>5773.6557779989471</v>
      </c>
      <c r="I331" s="7">
        <f t="shared" si="13"/>
        <v>289455.65577799897</v>
      </c>
      <c r="J331">
        <f>IFERROR(VLOOKUP(F331,'LEAID Match'!$A$2:$B$227,2,FALSE),"")</f>
        <v>3800061</v>
      </c>
      <c r="K331">
        <f t="shared" si="12"/>
        <v>8</v>
      </c>
      <c r="L331" cm="1">
        <f t="array" ref="L331">_xlfn.IFS(B331=2015,G331/$P$13,B331=2016,G331/$P$14,B331=2017,G331/$P$15,B331=2018,G331/$P$16,B331=2019,G331/$P$17,B331=2019,G331/$P$18,B331=2020,G331/$P$18,B331=2021,G331/$P$19,B331=2022,G331/$P$20)</f>
        <v>2.8274514094020309E-3</v>
      </c>
    </row>
    <row r="332" spans="1:12" x14ac:dyDescent="0.2">
      <c r="A332">
        <v>3806690</v>
      </c>
      <c r="B332">
        <v>2015</v>
      </c>
      <c r="C332" t="s">
        <v>252</v>
      </c>
      <c r="D332" t="s">
        <v>254</v>
      </c>
      <c r="E332" t="s">
        <v>256</v>
      </c>
      <c r="F332" s="5" t="s">
        <v>89</v>
      </c>
      <c r="G332" s="7">
        <v>125302</v>
      </c>
      <c r="H332" s="7" cm="1">
        <f t="array" ref="H332">_xlfn.IFS(B332=2015,L332*$P$3,B332=2016,L332*$P$4,B332=2017,L332*$P$5,B332=2018,L332*$P$6,B332=2019,L332*$P$7,B332=2020,L332*$P$8,B332=2021,L332*$P$9,B332=2022,L332*$P$10)</f>
        <v>2832.8806038093853</v>
      </c>
      <c r="I332" s="7">
        <f t="shared" si="13"/>
        <v>128134.88060380939</v>
      </c>
      <c r="J332">
        <f>IFERROR(VLOOKUP(F332,'LEAID Match'!$A$2:$B$227,2,FALSE),"")</f>
        <v>3806690</v>
      </c>
      <c r="K332">
        <f t="shared" si="12"/>
        <v>8</v>
      </c>
      <c r="L332" cm="1">
        <f t="array" ref="L332">_xlfn.IFS(B332=2015,G332/$P$13,B332=2016,G332/$P$14,B332=2017,G332/$P$15,B332=2018,G332/$P$16,B332=2019,G332/$P$17,B332=2019,G332/$P$18,B332=2020,G332/$P$18,B332=2021,G332/$P$19,B332=2022,G332/$P$20)</f>
        <v>1.5977893986516556E-3</v>
      </c>
    </row>
    <row r="333" spans="1:12" x14ac:dyDescent="0.2">
      <c r="A333">
        <v>3806690</v>
      </c>
      <c r="B333">
        <v>2016</v>
      </c>
      <c r="C333" t="s">
        <v>252</v>
      </c>
      <c r="D333" t="s">
        <v>254</v>
      </c>
      <c r="E333" t="s">
        <v>256</v>
      </c>
      <c r="F333" s="5" t="s">
        <v>89</v>
      </c>
      <c r="G333" s="7">
        <v>123813</v>
      </c>
      <c r="H333" s="7" cm="1">
        <f t="array" ref="H333">_xlfn.IFS(B333=2015,L333*$P$3,B333=2016,L333*$P$4,B333=2017,L333*$P$5,B333=2018,L333*$P$6,B333=2019,L333*$P$7,B333=2020,L333*$P$8,B333=2021,L333*$P$9,B333=2022,L333*$P$10)</f>
        <v>4204.3247114727801</v>
      </c>
      <c r="I333" s="7">
        <f t="shared" si="13"/>
        <v>128017.32471147279</v>
      </c>
      <c r="J333">
        <f>IFERROR(VLOOKUP(F333,'LEAID Match'!$A$2:$B$227,2,FALSE),"")</f>
        <v>3806690</v>
      </c>
      <c r="K333">
        <f t="shared" si="12"/>
        <v>8</v>
      </c>
      <c r="L333" cm="1">
        <f t="array" ref="L333">_xlfn.IFS(B333=2015,G333/$P$13,B333=2016,G333/$P$14,B333=2017,G333/$P$15,B333=2018,G333/$P$16,B333=2019,G333/$P$17,B333=2019,G333/$P$18,B333=2020,G333/$P$18,B333=2021,G333/$P$19,B333=2022,G333/$P$20)</f>
        <v>1.4946053009146035E-3</v>
      </c>
    </row>
    <row r="334" spans="1:12" x14ac:dyDescent="0.2">
      <c r="A334">
        <v>3806690</v>
      </c>
      <c r="B334">
        <v>2017</v>
      </c>
      <c r="C334" t="s">
        <v>252</v>
      </c>
      <c r="D334" t="s">
        <v>254</v>
      </c>
      <c r="E334" t="s">
        <v>256</v>
      </c>
      <c r="F334" s="5" t="s">
        <v>89</v>
      </c>
      <c r="G334" s="7">
        <v>128363</v>
      </c>
      <c r="H334" s="7" cm="1">
        <f t="array" ref="H334">_xlfn.IFS(B334=2015,L334*$P$3,B334=2016,L334*$P$4,B334=2017,L334*$P$5,B334=2018,L334*$P$6,B334=2019,L334*$P$7,B334=2020,L334*$P$8,B334=2021,L334*$P$9,B334=2022,L334*$P$10)</f>
        <v>4159.9946190318597</v>
      </c>
      <c r="I334" s="7">
        <f t="shared" si="13"/>
        <v>132522.99461903187</v>
      </c>
      <c r="J334">
        <f>IFERROR(VLOOKUP(F334,'LEAID Match'!$A$2:$B$227,2,FALSE),"")</f>
        <v>3806690</v>
      </c>
      <c r="K334">
        <f t="shared" si="12"/>
        <v>8</v>
      </c>
      <c r="L334" cm="1">
        <f t="array" ref="L334">_xlfn.IFS(B334=2015,G334/$P$13,B334=2016,G334/$P$14,B334=2017,G334/$P$15,B334=2018,G334/$P$16,B334=2019,G334/$P$17,B334=2019,G334/$P$18,B334=2020,G334/$P$18,B334=2021,G334/$P$19,B334=2022,G334/$P$20)</f>
        <v>1.4915721115209249E-3</v>
      </c>
    </row>
    <row r="335" spans="1:12" x14ac:dyDescent="0.2">
      <c r="A335">
        <v>3806690</v>
      </c>
      <c r="B335" s="5">
        <v>2018</v>
      </c>
      <c r="C335" t="s">
        <v>252</v>
      </c>
      <c r="D335" t="s">
        <v>254</v>
      </c>
      <c r="E335" t="s">
        <v>256</v>
      </c>
      <c r="F335" s="5" t="s">
        <v>89</v>
      </c>
      <c r="G335" s="7">
        <v>131354</v>
      </c>
      <c r="H335" s="7" cm="1">
        <f t="array" ref="H335">_xlfn.IFS(B335=2015,L335*$P$3,B335=2016,L335*$P$4,B335=2017,L335*$P$5,B335=2018,L335*$P$6,B335=2019,L335*$P$7,B335=2020,L335*$P$8,B335=2021,L335*$P$9,B335=2022,L335*$P$10)</f>
        <v>3599.2294495902861</v>
      </c>
      <c r="I335" s="7">
        <f t="shared" si="13"/>
        <v>134953.22944959029</v>
      </c>
      <c r="J335">
        <f>IFERROR(VLOOKUP(F335,'LEAID Match'!$A$2:$B$227,2,FALSE),"")</f>
        <v>3806690</v>
      </c>
      <c r="K335">
        <f t="shared" si="12"/>
        <v>8</v>
      </c>
      <c r="L335" cm="1">
        <f t="array" ref="L335">_xlfn.IFS(B335=2015,G335/$P$13,B335=2016,G335/$P$14,B335=2017,G335/$P$15,B335=2018,G335/$P$16,B335=2019,G335/$P$17,B335=2019,G335/$P$18,B335=2020,G335/$P$18,B335=2021,G335/$P$19,B335=2022,G335/$P$20)</f>
        <v>1.5154650314064362E-3</v>
      </c>
    </row>
    <row r="336" spans="1:12" x14ac:dyDescent="0.2">
      <c r="A336">
        <v>3806690</v>
      </c>
      <c r="B336">
        <v>2019</v>
      </c>
      <c r="C336" t="s">
        <v>252</v>
      </c>
      <c r="D336" t="s">
        <v>254</v>
      </c>
      <c r="E336" t="s">
        <v>256</v>
      </c>
      <c r="F336" s="5" t="s">
        <v>89</v>
      </c>
      <c r="G336" s="7">
        <v>132460</v>
      </c>
      <c r="H336" s="7" cm="1">
        <f t="array" ref="H336">_xlfn.IFS(B336=2015,L336*$P$3,B336=2016,L336*$P$4,B336=2017,L336*$P$5,B336=2018,L336*$P$6,B336=2019,L336*$P$7,B336=2020,L336*$P$8,B336=2021,L336*$P$9,B336=2022,L336*$P$10)</f>
        <v>3074.3734018090249</v>
      </c>
      <c r="I336" s="7">
        <f t="shared" si="13"/>
        <v>135534.37340180902</v>
      </c>
      <c r="J336">
        <f>IFERROR(VLOOKUP(F336,'LEAID Match'!$A$2:$B$227,2,FALSE),"")</f>
        <v>3806690</v>
      </c>
      <c r="K336">
        <f t="shared" si="12"/>
        <v>8</v>
      </c>
      <c r="L336" cm="1">
        <f t="array" ref="L336">_xlfn.IFS(B336=2015,G336/$P$13,B336=2016,G336/$P$14,B336=2017,G336/$P$15,B336=2018,G336/$P$16,B336=2019,G336/$P$17,B336=2019,G336/$P$18,B336=2020,G336/$P$18,B336=2021,G336/$P$19,B336=2022,G336/$P$20)</f>
        <v>1.4809120432606093E-3</v>
      </c>
    </row>
    <row r="337" spans="1:12" x14ac:dyDescent="0.2">
      <c r="A337">
        <v>3806690</v>
      </c>
      <c r="B337">
        <v>2020</v>
      </c>
      <c r="C337" t="s">
        <v>252</v>
      </c>
      <c r="D337" t="s">
        <v>254</v>
      </c>
      <c r="E337" t="s">
        <v>256</v>
      </c>
      <c r="F337" s="5" t="s">
        <v>89</v>
      </c>
      <c r="G337" s="7">
        <v>118517</v>
      </c>
      <c r="H337" s="7" cm="1">
        <f t="array" ref="H337">_xlfn.IFS(B337=2015,L337*$P$3,B337=2016,L337*$P$4,B337=2017,L337*$P$5,B337=2018,L337*$P$6,B337=2019,L337*$P$7,B337=2020,L337*$P$8,B337=2021,L337*$P$9,B337=2022,L337*$P$10)</f>
        <v>2973.3566536530725</v>
      </c>
      <c r="I337" s="7">
        <f t="shared" si="13"/>
        <v>121490.35665365307</v>
      </c>
      <c r="J337">
        <f>IFERROR(VLOOKUP(F337,'LEAID Match'!$A$2:$B$227,2,FALSE),"")</f>
        <v>3806690</v>
      </c>
      <c r="K337">
        <f t="shared" si="12"/>
        <v>8</v>
      </c>
      <c r="L337" cm="1">
        <f t="array" ref="L337">_xlfn.IFS(B337=2015,G337/$P$13,B337=2016,G337/$P$14,B337=2017,G337/$P$15,B337=2018,G337/$P$16,B337=2019,G337/$P$17,B337=2019,G337/$P$18,B337=2020,G337/$P$18,B337=2021,G337/$P$19,B337=2022,G337/$P$20)</f>
        <v>1.2739317282146839E-3</v>
      </c>
    </row>
    <row r="338" spans="1:12" x14ac:dyDescent="0.2">
      <c r="A338">
        <v>3806690</v>
      </c>
      <c r="B338" s="5">
        <v>2021</v>
      </c>
      <c r="C338" t="s">
        <v>252</v>
      </c>
      <c r="D338" t="s">
        <v>254</v>
      </c>
      <c r="E338" t="s">
        <v>256</v>
      </c>
      <c r="F338" s="5" t="s">
        <v>89</v>
      </c>
      <c r="G338" s="7">
        <v>103447</v>
      </c>
      <c r="H338" s="7" cm="1">
        <f t="array" ref="H338">_xlfn.IFS(B338=2015,L338*$P$3,B338=2016,L338*$P$4,B338=2017,L338*$P$5,B338=2018,L338*$P$6,B338=2019,L338*$P$7,B338=2020,L338*$P$8,B338=2021,L338*$P$9,B338=2022,L338*$P$10)</f>
        <v>2826.6161841271073</v>
      </c>
      <c r="I338" s="7">
        <f t="shared" si="13"/>
        <v>106273.61618412711</v>
      </c>
      <c r="J338">
        <f>IFERROR(VLOOKUP(F338,'LEAID Match'!$A$2:$B$227,2,FALSE),"")</f>
        <v>3806690</v>
      </c>
      <c r="K338">
        <f t="shared" si="12"/>
        <v>8</v>
      </c>
      <c r="L338" cm="1">
        <f t="array" ref="L338">_xlfn.IFS(B338=2015,G338/$P$13,B338=2016,G338/$P$14,B338=2017,G338/$P$15,B338=2018,G338/$P$16,B338=2019,G338/$P$17,B338=2019,G338/$P$18,B338=2020,G338/$P$18,B338=2021,G338/$P$19,B338=2022,G338/$P$20)</f>
        <v>1.0527434577754589E-3</v>
      </c>
    </row>
    <row r="339" spans="1:12" x14ac:dyDescent="0.2">
      <c r="A339">
        <v>3806690</v>
      </c>
      <c r="B339">
        <v>2022</v>
      </c>
      <c r="C339" t="s">
        <v>252</v>
      </c>
      <c r="D339" t="s">
        <v>254</v>
      </c>
      <c r="E339" t="s">
        <v>256</v>
      </c>
      <c r="F339" s="5" t="s">
        <v>89</v>
      </c>
      <c r="G339" s="7">
        <v>102135</v>
      </c>
      <c r="H339" s="7" cm="1">
        <f t="array" ref="H339">_xlfn.IFS(B339=2015,L339*$P$3,B339=2016,L339*$P$4,B339=2017,L339*$P$5,B339=2018,L339*$P$6,B339=2019,L339*$P$7,B339=2020,L339*$P$8,B339=2021,L339*$P$9,B339=2022,L339*$P$10)</f>
        <v>2078.7090223768955</v>
      </c>
      <c r="I339" s="7">
        <f t="shared" si="13"/>
        <v>104213.70902237689</v>
      </c>
      <c r="J339">
        <f>IFERROR(VLOOKUP(F339,'LEAID Match'!$A$2:$B$227,2,FALSE),"")</f>
        <v>3806690</v>
      </c>
      <c r="K339">
        <f t="shared" si="12"/>
        <v>8</v>
      </c>
      <c r="L339" cm="1">
        <f t="array" ref="L339">_xlfn.IFS(B339=2015,G339/$P$13,B339=2016,G339/$P$14,B339=2017,G339/$P$15,B339=2018,G339/$P$16,B339=2019,G339/$P$17,B339=2019,G339/$P$18,B339=2020,G339/$P$18,B339=2021,G339/$P$19,B339=2022,G339/$P$20)</f>
        <v>1.0179769943079802E-3</v>
      </c>
    </row>
    <row r="340" spans="1:12" x14ac:dyDescent="0.2">
      <c r="A340">
        <v>3806780</v>
      </c>
      <c r="B340">
        <v>2015</v>
      </c>
      <c r="C340" t="s">
        <v>252</v>
      </c>
      <c r="D340" t="s">
        <v>254</v>
      </c>
      <c r="E340" t="s">
        <v>256</v>
      </c>
      <c r="F340" s="5" t="s">
        <v>90</v>
      </c>
      <c r="G340" s="7">
        <v>8343319</v>
      </c>
      <c r="H340" s="7" cm="1">
        <f t="array" ref="H340">_xlfn.IFS(B340=2015,L340*$P$3,B340=2016,L340*$P$4,B340=2017,L340*$P$5,B340=2018,L340*$P$6,B340=2019,L340*$P$7,B340=2020,L340*$P$8,B340=2021,L340*$P$9,B340=2022,L340*$P$10)</f>
        <v>188629.28418137235</v>
      </c>
      <c r="I340" s="7">
        <f t="shared" si="13"/>
        <v>8531948.2841813732</v>
      </c>
      <c r="J340">
        <f>IFERROR(VLOOKUP(F340,'LEAID Match'!$A$2:$B$227,2,FALSE),"")</f>
        <v>3806780</v>
      </c>
      <c r="K340">
        <f t="shared" si="12"/>
        <v>8</v>
      </c>
      <c r="L340" cm="1">
        <f t="array" ref="L340">_xlfn.IFS(B340=2015,G340/$P$13,B340=2016,G340/$P$14,B340=2017,G340/$P$15,B340=2018,G340/$P$16,B340=2019,G340/$P$17,B340=2019,G340/$P$18,B340=2020,G340/$P$18,B340=2021,G340/$P$19,B340=2022,G340/$P$20)</f>
        <v>0.10638989519535948</v>
      </c>
    </row>
    <row r="341" spans="1:12" x14ac:dyDescent="0.2">
      <c r="A341">
        <v>3806780</v>
      </c>
      <c r="B341">
        <v>2016</v>
      </c>
      <c r="C341" t="s">
        <v>252</v>
      </c>
      <c r="D341" t="s">
        <v>254</v>
      </c>
      <c r="E341" t="s">
        <v>256</v>
      </c>
      <c r="F341" s="5" t="s">
        <v>90</v>
      </c>
      <c r="G341" s="7">
        <v>8803126</v>
      </c>
      <c r="H341" s="7" cm="1">
        <f t="array" ref="H341">_xlfn.IFS(B341=2015,L341*$P$3,B341=2016,L341*$P$4,B341=2017,L341*$P$5,B341=2018,L341*$P$6,B341=2019,L341*$P$7,B341=2020,L341*$P$8,B341=2021,L341*$P$9,B341=2022,L341*$P$10)</f>
        <v>298928.22385378374</v>
      </c>
      <c r="I341" s="7">
        <f t="shared" si="13"/>
        <v>9102054.2238537837</v>
      </c>
      <c r="J341">
        <f>IFERROR(VLOOKUP(F341,'LEAID Match'!$A$2:$B$227,2,FALSE),"")</f>
        <v>3806780</v>
      </c>
      <c r="K341">
        <f t="shared" si="12"/>
        <v>8</v>
      </c>
      <c r="L341" cm="1">
        <f t="array" ref="L341">_xlfn.IFS(B341=2015,G341/$P$13,B341=2016,G341/$P$14,B341=2017,G341/$P$15,B341=2018,G341/$P$16,B341=2019,G341/$P$17,B341=2019,G341/$P$18,B341=2020,G341/$P$18,B341=2021,G341/$P$19,B341=2022,G341/$P$20)</f>
        <v>0.10626669884599493</v>
      </c>
    </row>
    <row r="342" spans="1:12" x14ac:dyDescent="0.2">
      <c r="A342">
        <v>3806780</v>
      </c>
      <c r="B342">
        <v>2017</v>
      </c>
      <c r="C342" t="s">
        <v>252</v>
      </c>
      <c r="D342" t="s">
        <v>254</v>
      </c>
      <c r="E342" t="s">
        <v>256</v>
      </c>
      <c r="F342" s="5" t="s">
        <v>90</v>
      </c>
      <c r="G342" s="7">
        <v>8959556</v>
      </c>
      <c r="H342" s="7" cm="1">
        <f t="array" ref="H342">_xlfn.IFS(B342=2015,L342*$P$3,B342=2016,L342*$P$4,B342=2017,L342*$P$5,B342=2018,L342*$P$6,B342=2019,L342*$P$7,B342=2020,L342*$P$8,B342=2021,L342*$P$9,B342=2022,L342*$P$10)</f>
        <v>290361.74558801687</v>
      </c>
      <c r="I342" s="7">
        <f t="shared" si="13"/>
        <v>9249917.7455880176</v>
      </c>
      <c r="J342">
        <f>IFERROR(VLOOKUP(F342,'LEAID Match'!$A$2:$B$227,2,FALSE),"")</f>
        <v>3806780</v>
      </c>
      <c r="K342">
        <f t="shared" si="12"/>
        <v>8</v>
      </c>
      <c r="L342" cm="1">
        <f t="array" ref="L342">_xlfn.IFS(B342=2015,G342/$P$13,B342=2016,G342/$P$14,B342=2017,G342/$P$15,B342=2018,G342/$P$16,B342=2019,G342/$P$17,B342=2019,G342/$P$18,B342=2020,G342/$P$18,B342=2021,G342/$P$19,B342=2022,G342/$P$20)</f>
        <v>0.10410962552456683</v>
      </c>
    </row>
    <row r="343" spans="1:12" x14ac:dyDescent="0.2">
      <c r="A343">
        <v>3806780</v>
      </c>
      <c r="B343" s="5">
        <v>2018</v>
      </c>
      <c r="C343" t="s">
        <v>252</v>
      </c>
      <c r="D343" t="s">
        <v>254</v>
      </c>
      <c r="E343" t="s">
        <v>256</v>
      </c>
      <c r="F343" s="5" t="s">
        <v>90</v>
      </c>
      <c r="G343" s="7">
        <v>9031666</v>
      </c>
      <c r="H343" s="7" cm="1">
        <f t="array" ref="H343">_xlfn.IFS(B343=2015,L343*$P$3,B343=2016,L343*$P$4,B343=2017,L343*$P$5,B343=2018,L343*$P$6,B343=2019,L343*$P$7,B343=2020,L343*$P$8,B343=2021,L343*$P$9,B343=2022,L343*$P$10)</f>
        <v>247476.57662548</v>
      </c>
      <c r="I343" s="7">
        <f t="shared" si="13"/>
        <v>9279142.5766254794</v>
      </c>
      <c r="J343">
        <f>IFERROR(VLOOKUP(F343,'LEAID Match'!$A$2:$B$227,2,FALSE),"")</f>
        <v>3806780</v>
      </c>
      <c r="K343">
        <f t="shared" si="12"/>
        <v>8</v>
      </c>
      <c r="L343" cm="1">
        <f t="array" ref="L343">_xlfn.IFS(B343=2015,G343/$P$13,B343=2016,G343/$P$14,B343=2017,G343/$P$15,B343=2018,G343/$P$16,B343=2019,G343/$P$17,B343=2019,G343/$P$18,B343=2020,G343/$P$18,B343=2021,G343/$P$19,B343=2022,G343/$P$20)</f>
        <v>0.10420066384230736</v>
      </c>
    </row>
    <row r="344" spans="1:12" x14ac:dyDescent="0.2">
      <c r="A344">
        <v>3806780</v>
      </c>
      <c r="B344">
        <v>2019</v>
      </c>
      <c r="C344" t="s">
        <v>252</v>
      </c>
      <c r="D344" t="s">
        <v>254</v>
      </c>
      <c r="E344" t="s">
        <v>256</v>
      </c>
      <c r="F344" s="5" t="s">
        <v>90</v>
      </c>
      <c r="G344" s="7">
        <v>9268286</v>
      </c>
      <c r="H344" s="7" cm="1">
        <f t="array" ref="H344">_xlfn.IFS(B344=2015,L344*$P$3,B344=2016,L344*$P$4,B344=2017,L344*$P$5,B344=2018,L344*$P$6,B344=2019,L344*$P$7,B344=2020,L344*$P$8,B344=2021,L344*$P$9,B344=2022,L344*$P$10)</f>
        <v>215115.29487210448</v>
      </c>
      <c r="I344" s="7">
        <f t="shared" si="13"/>
        <v>9483401.2948721051</v>
      </c>
      <c r="J344">
        <f>IFERROR(VLOOKUP(F344,'LEAID Match'!$A$2:$B$227,2,FALSE),"")</f>
        <v>3806780</v>
      </c>
      <c r="K344">
        <f t="shared" si="12"/>
        <v>8</v>
      </c>
      <c r="L344" cm="1">
        <f t="array" ref="L344">_xlfn.IFS(B344=2015,G344/$P$13,B344=2016,G344/$P$14,B344=2017,G344/$P$15,B344=2018,G344/$P$16,B344=2019,G344/$P$17,B344=2019,G344/$P$18,B344=2020,G344/$P$18,B344=2021,G344/$P$19,B344=2022,G344/$P$20)</f>
        <v>0.10362008423511776</v>
      </c>
    </row>
    <row r="345" spans="1:12" x14ac:dyDescent="0.2">
      <c r="A345">
        <v>3806780</v>
      </c>
      <c r="B345">
        <v>2020</v>
      </c>
      <c r="C345" t="s">
        <v>252</v>
      </c>
      <c r="D345" t="s">
        <v>254</v>
      </c>
      <c r="E345" t="s">
        <v>256</v>
      </c>
      <c r="F345" s="5" t="s">
        <v>90</v>
      </c>
      <c r="G345" s="7">
        <v>9720703</v>
      </c>
      <c r="H345" s="7" cm="1">
        <f t="array" ref="H345">_xlfn.IFS(B345=2015,L345*$P$3,B345=2016,L345*$P$4,B345=2017,L345*$P$5,B345=2018,L345*$P$6,B345=2019,L345*$P$7,B345=2020,L345*$P$8,B345=2021,L345*$P$9,B345=2022,L345*$P$10)</f>
        <v>243873.17383358825</v>
      </c>
      <c r="I345" s="7">
        <f t="shared" si="13"/>
        <v>9964576.1738335881</v>
      </c>
      <c r="J345">
        <f>IFERROR(VLOOKUP(F345,'LEAID Match'!$A$2:$B$227,2,FALSE),"")</f>
        <v>3806780</v>
      </c>
      <c r="K345">
        <f t="shared" si="12"/>
        <v>8</v>
      </c>
      <c r="L345" cm="1">
        <f t="array" ref="L345">_xlfn.IFS(B345=2015,G345/$P$13,B345=2016,G345/$P$14,B345=2017,G345/$P$15,B345=2018,G345/$P$16,B345=2019,G345/$P$17,B345=2019,G345/$P$18,B345=2020,G345/$P$18,B345=2021,G345/$P$19,B345=2022,G345/$P$20)</f>
        <v>0.10448722100839257</v>
      </c>
    </row>
    <row r="346" spans="1:12" x14ac:dyDescent="0.2">
      <c r="A346">
        <v>3806780</v>
      </c>
      <c r="B346" s="5">
        <v>2021</v>
      </c>
      <c r="C346" t="s">
        <v>252</v>
      </c>
      <c r="D346" t="s">
        <v>254</v>
      </c>
      <c r="E346" t="s">
        <v>256</v>
      </c>
      <c r="F346" s="5" t="s">
        <v>90</v>
      </c>
      <c r="G346" s="7">
        <v>10010567</v>
      </c>
      <c r="H346" s="7" cm="1">
        <f t="array" ref="H346">_xlfn.IFS(B346=2015,L346*$P$3,B346=2016,L346*$P$4,B346=2017,L346*$P$5,B346=2018,L346*$P$6,B346=2019,L346*$P$7,B346=2020,L346*$P$8,B346=2021,L346*$P$9,B346=2022,L346*$P$10)</f>
        <v>273531.67027065787</v>
      </c>
      <c r="I346" s="7">
        <f t="shared" si="13"/>
        <v>10284098.670270657</v>
      </c>
      <c r="J346">
        <f>IFERROR(VLOOKUP(F346,'LEAID Match'!$A$2:$B$227,2,FALSE),"")</f>
        <v>3806780</v>
      </c>
      <c r="K346">
        <f t="shared" si="12"/>
        <v>8</v>
      </c>
      <c r="L346" cm="1">
        <f t="array" ref="L346">_xlfn.IFS(B346=2015,G346/$P$13,B346=2016,G346/$P$14,B346=2017,G346/$P$15,B346=2018,G346/$P$16,B346=2019,G346/$P$17,B346=2019,G346/$P$18,B346=2020,G346/$P$18,B346=2021,G346/$P$19,B346=2022,G346/$P$20)</f>
        <v>0.10187399265201411</v>
      </c>
    </row>
    <row r="347" spans="1:12" x14ac:dyDescent="0.2">
      <c r="A347">
        <v>3806780</v>
      </c>
      <c r="B347">
        <v>2022</v>
      </c>
      <c r="C347" t="s">
        <v>252</v>
      </c>
      <c r="D347" t="s">
        <v>254</v>
      </c>
      <c r="E347" t="s">
        <v>256</v>
      </c>
      <c r="F347" s="5" t="s">
        <v>90</v>
      </c>
      <c r="G347" s="7">
        <v>10715121</v>
      </c>
      <c r="H347" s="7" cm="1">
        <f t="array" ref="H347">_xlfn.IFS(B347=2015,L347*$P$3,B347=2016,L347*$P$4,B347=2017,L347*$P$5,B347=2018,L347*$P$6,B347=2019,L347*$P$7,B347=2020,L347*$P$8,B347=2021,L347*$P$9,B347=2022,L347*$P$10)</f>
        <v>218080.17524413907</v>
      </c>
      <c r="I347" s="7">
        <f t="shared" si="13"/>
        <v>10933201.17524414</v>
      </c>
      <c r="J347">
        <f>IFERROR(VLOOKUP(F347,'LEAID Match'!$A$2:$B$227,2,FALSE),"")</f>
        <v>3806780</v>
      </c>
      <c r="K347">
        <f t="shared" si="12"/>
        <v>8</v>
      </c>
      <c r="L347" cm="1">
        <f t="array" ref="L347">_xlfn.IFS(B347=2015,G347/$P$13,B347=2016,G347/$P$14,B347=2017,G347/$P$15,B347=2018,G347/$P$16,B347=2019,G347/$P$17,B347=2019,G347/$P$18,B347=2020,G347/$P$18,B347=2021,G347/$P$19,B347=2022,G347/$P$20)</f>
        <v>0.10679734341045008</v>
      </c>
    </row>
    <row r="348" spans="1:12" x14ac:dyDescent="0.2">
      <c r="A348">
        <v>3800049</v>
      </c>
      <c r="B348">
        <v>2015</v>
      </c>
      <c r="C348" t="s">
        <v>252</v>
      </c>
      <c r="D348" t="s">
        <v>254</v>
      </c>
      <c r="E348" t="s">
        <v>256</v>
      </c>
      <c r="F348" s="5" t="s">
        <v>218</v>
      </c>
      <c r="G348" s="7">
        <v>119829</v>
      </c>
      <c r="H348" s="7" cm="1">
        <f t="array" ref="H348">_xlfn.IFS(B348=2015,L348*$P$3,B348=2016,L348*$P$4,B348=2017,L348*$P$5,B348=2018,L348*$P$6,B348=2019,L348*$P$7,B348=2020,L348*$P$8,B348=2021,L348*$P$9,B348=2022,L348*$P$10)</f>
        <v>2709.1447053827942</v>
      </c>
      <c r="I348" s="7">
        <f t="shared" si="13"/>
        <v>122538.14470538279</v>
      </c>
      <c r="J348">
        <f>IFERROR(VLOOKUP(F348,'LEAID Match'!$A$2:$B$227,2,FALSE),"")</f>
        <v>3800049</v>
      </c>
      <c r="K348">
        <f t="shared" si="12"/>
        <v>8</v>
      </c>
      <c r="L348" cm="1">
        <f t="array" ref="L348">_xlfn.IFS(B348=2015,G348/$P$13,B348=2016,G348/$P$14,B348=2017,G348/$P$15,B348=2018,G348/$P$16,B348=2019,G348/$P$17,B348=2019,G348/$P$18,B348=2020,G348/$P$18,B348=2021,G348/$P$19,B348=2022,G348/$P$20)</f>
        <v>1.5280003978470355E-3</v>
      </c>
    </row>
    <row r="349" spans="1:12" x14ac:dyDescent="0.2">
      <c r="A349">
        <v>3800049</v>
      </c>
      <c r="B349">
        <v>2016</v>
      </c>
      <c r="C349" t="s">
        <v>252</v>
      </c>
      <c r="D349" t="s">
        <v>254</v>
      </c>
      <c r="E349" t="s">
        <v>256</v>
      </c>
      <c r="F349" s="5" t="s">
        <v>218</v>
      </c>
      <c r="G349" s="7">
        <v>132181</v>
      </c>
      <c r="H349" s="7" cm="1">
        <f t="array" ref="H349">_xlfn.IFS(B349=2015,L349*$P$3,B349=2016,L349*$P$4,B349=2017,L349*$P$5,B349=2018,L349*$P$6,B349=2019,L349*$P$7,B349=2020,L349*$P$8,B349=2021,L349*$P$9,B349=2022,L349*$P$10)</f>
        <v>4488.4773383019838</v>
      </c>
      <c r="I349" s="7">
        <f t="shared" si="13"/>
        <v>136669.47733830198</v>
      </c>
      <c r="J349">
        <f>IFERROR(VLOOKUP(F349,'LEAID Match'!$A$2:$B$227,2,FALSE),"")</f>
        <v>3800049</v>
      </c>
      <c r="K349">
        <f t="shared" si="12"/>
        <v>8</v>
      </c>
      <c r="L349" cm="1">
        <f t="array" ref="L349">_xlfn.IFS(B349=2015,G349/$P$13,B349=2016,G349/$P$14,B349=2017,G349/$P$15,B349=2018,G349/$P$16,B349=2019,G349/$P$17,B349=2019,G349/$P$18,B349=2020,G349/$P$18,B349=2021,G349/$P$19,B349=2022,G349/$P$20)</f>
        <v>1.5956193879495143E-3</v>
      </c>
    </row>
    <row r="350" spans="1:12" x14ac:dyDescent="0.2">
      <c r="A350">
        <v>3800049</v>
      </c>
      <c r="B350">
        <v>2017</v>
      </c>
      <c r="C350" t="s">
        <v>252</v>
      </c>
      <c r="D350" t="s">
        <v>254</v>
      </c>
      <c r="E350" t="s">
        <v>256</v>
      </c>
      <c r="F350" s="5" t="s">
        <v>218</v>
      </c>
      <c r="G350" s="7">
        <v>137637</v>
      </c>
      <c r="H350" s="7" cm="1">
        <f t="array" ref="H350">_xlfn.IFS(B350=2015,L350*$P$3,B350=2016,L350*$P$4,B350=2017,L350*$P$5,B350=2018,L350*$P$6,B350=2019,L350*$P$7,B350=2020,L350*$P$8,B350=2021,L350*$P$9,B350=2022,L350*$P$10)</f>
        <v>4460.5468817314031</v>
      </c>
      <c r="I350" s="7">
        <f t="shared" si="13"/>
        <v>142097.5468817314</v>
      </c>
      <c r="J350">
        <f>IFERROR(VLOOKUP(F350,'LEAID Match'!$A$2:$B$227,2,FALSE),"")</f>
        <v>3800049</v>
      </c>
      <c r="K350">
        <f t="shared" si="12"/>
        <v>8</v>
      </c>
      <c r="L350" cm="1">
        <f t="array" ref="L350">_xlfn.IFS(B350=2015,G350/$P$13,B350=2016,G350/$P$14,B350=2017,G350/$P$15,B350=2018,G350/$P$16,B350=2019,G350/$P$17,B350=2019,G350/$P$18,B350=2020,G350/$P$18,B350=2021,G350/$P$19,B350=2022,G350/$P$20)</f>
        <v>1.5993355617538196E-3</v>
      </c>
    </row>
    <row r="351" spans="1:12" x14ac:dyDescent="0.2">
      <c r="A351">
        <v>3800049</v>
      </c>
      <c r="B351" s="5">
        <v>2018</v>
      </c>
      <c r="C351" t="s">
        <v>252</v>
      </c>
      <c r="D351" t="s">
        <v>254</v>
      </c>
      <c r="E351" t="s">
        <v>256</v>
      </c>
      <c r="F351" s="5" t="s">
        <v>218</v>
      </c>
      <c r="G351" s="7">
        <v>137140</v>
      </c>
      <c r="H351" s="7" cm="1">
        <f t="array" ref="H351">_xlfn.IFS(B351=2015,L351*$P$3,B351=2016,L351*$P$4,B351=2017,L351*$P$5,B351=2018,L351*$P$6,B351=2019,L351*$P$7,B351=2020,L351*$P$8,B351=2021,L351*$P$9,B351=2022,L351*$P$10)</f>
        <v>3757.7715693226837</v>
      </c>
      <c r="I351" s="7">
        <f t="shared" si="13"/>
        <v>140897.77156932268</v>
      </c>
      <c r="J351">
        <f>IFERROR(VLOOKUP(F351,'LEAID Match'!$A$2:$B$227,2,FALSE),"")</f>
        <v>3800049</v>
      </c>
      <c r="K351">
        <f t="shared" si="12"/>
        <v>8</v>
      </c>
      <c r="L351" cm="1">
        <f t="array" ref="L351">_xlfn.IFS(B351=2015,G351/$P$13,B351=2016,G351/$P$14,B351=2017,G351/$P$15,B351=2018,G351/$P$16,B351=2019,G351/$P$17,B351=2019,G351/$P$18,B351=2020,G351/$P$18,B351=2021,G351/$P$19,B351=2022,G351/$P$20)</f>
        <v>1.5822196081358669E-3</v>
      </c>
    </row>
    <row r="352" spans="1:12" x14ac:dyDescent="0.2">
      <c r="A352">
        <v>3800049</v>
      </c>
      <c r="B352">
        <v>2019</v>
      </c>
      <c r="C352" t="s">
        <v>252</v>
      </c>
      <c r="D352" t="s">
        <v>254</v>
      </c>
      <c r="E352" t="s">
        <v>256</v>
      </c>
      <c r="F352" s="5" t="s">
        <v>218</v>
      </c>
      <c r="G352" s="7">
        <v>142257</v>
      </c>
      <c r="H352" s="7" cm="1">
        <f t="array" ref="H352">_xlfn.IFS(B352=2015,L352*$P$3,B352=2016,L352*$P$4,B352=2017,L352*$P$5,B352=2018,L352*$P$6,B352=2019,L352*$P$7,B352=2020,L352*$P$8,B352=2021,L352*$P$9,B352=2022,L352*$P$10)</f>
        <v>3301.7600560255655</v>
      </c>
      <c r="I352" s="7">
        <f t="shared" si="13"/>
        <v>145558.76005602555</v>
      </c>
      <c r="J352">
        <f>IFERROR(VLOOKUP(F352,'LEAID Match'!$A$2:$B$227,2,FALSE),"")</f>
        <v>3800049</v>
      </c>
      <c r="K352">
        <f t="shared" si="12"/>
        <v>8</v>
      </c>
      <c r="L352" cm="1">
        <f t="array" ref="L352">_xlfn.IFS(B352=2015,G352/$P$13,B352=2016,G352/$P$14,B352=2017,G352/$P$15,B352=2018,G352/$P$16,B352=2019,G352/$P$17,B352=2019,G352/$P$18,B352=2020,G352/$P$18,B352=2021,G352/$P$19,B352=2022,G352/$P$20)</f>
        <v>1.5904431869101954E-3</v>
      </c>
    </row>
    <row r="353" spans="1:12" x14ac:dyDescent="0.2">
      <c r="A353">
        <v>3800049</v>
      </c>
      <c r="B353">
        <v>2020</v>
      </c>
      <c r="C353" t="s">
        <v>252</v>
      </c>
      <c r="D353" t="s">
        <v>254</v>
      </c>
      <c r="E353" t="s">
        <v>256</v>
      </c>
      <c r="F353" s="5" t="s">
        <v>218</v>
      </c>
      <c r="G353" s="7">
        <v>151379</v>
      </c>
      <c r="H353" s="7" cm="1">
        <f t="array" ref="H353">_xlfn.IFS(B353=2015,L353*$P$3,B353=2016,L353*$P$4,B353=2017,L353*$P$5,B353=2018,L353*$P$6,B353=2019,L353*$P$7,B353=2020,L353*$P$8,B353=2021,L353*$P$9,B353=2022,L353*$P$10)</f>
        <v>3797.7991079199473</v>
      </c>
      <c r="I353" s="7">
        <f t="shared" si="13"/>
        <v>155176.79910791994</v>
      </c>
      <c r="J353">
        <f>IFERROR(VLOOKUP(F353,'LEAID Match'!$A$2:$B$227,2,FALSE),"")</f>
        <v>3800049</v>
      </c>
      <c r="K353">
        <f t="shared" si="12"/>
        <v>8</v>
      </c>
      <c r="L353" cm="1">
        <f t="array" ref="L353">_xlfn.IFS(B353=2015,G353/$P$13,B353=2016,G353/$P$14,B353=2017,G353/$P$15,B353=2018,G353/$P$16,B353=2019,G353/$P$17,B353=2019,G353/$P$18,B353=2020,G353/$P$18,B353=2021,G353/$P$19,B353=2022,G353/$P$20)</f>
        <v>1.6271632853127453E-3</v>
      </c>
    </row>
    <row r="354" spans="1:12" x14ac:dyDescent="0.2">
      <c r="A354">
        <v>3800049</v>
      </c>
      <c r="B354" s="5">
        <v>2021</v>
      </c>
      <c r="C354" t="s">
        <v>252</v>
      </c>
      <c r="D354" t="s">
        <v>254</v>
      </c>
      <c r="E354" t="s">
        <v>256</v>
      </c>
      <c r="F354" s="5" t="s">
        <v>218</v>
      </c>
      <c r="G354" s="7">
        <v>149042</v>
      </c>
      <c r="H354" s="7" cm="1">
        <f t="array" ref="H354">_xlfn.IFS(B354=2015,L354*$P$3,B354=2016,L354*$P$4,B354=2017,L354*$P$5,B354=2018,L354*$P$6,B354=2019,L354*$P$7,B354=2020,L354*$P$8,B354=2021,L354*$P$9,B354=2022,L354*$P$10)</f>
        <v>4072.4673438057393</v>
      </c>
      <c r="I354" s="7">
        <f t="shared" si="13"/>
        <v>153114.46734380574</v>
      </c>
      <c r="J354">
        <f>IFERROR(VLOOKUP(F354,'LEAID Match'!$A$2:$B$227,2,FALSE),"")</f>
        <v>3800049</v>
      </c>
      <c r="K354">
        <f t="shared" si="12"/>
        <v>8</v>
      </c>
      <c r="L354" cm="1">
        <f t="array" ref="L354">_xlfn.IFS(B354=2015,G354/$P$13,B354=2016,G354/$P$14,B354=2017,G354/$P$15,B354=2018,G354/$P$16,B354=2019,G354/$P$17,B354=2019,G354/$P$18,B354=2020,G354/$P$18,B354=2021,G354/$P$19,B354=2022,G354/$P$20)</f>
        <v>1.5167476140803499E-3</v>
      </c>
    </row>
    <row r="355" spans="1:12" x14ac:dyDescent="0.2">
      <c r="A355">
        <v>3800049</v>
      </c>
      <c r="B355">
        <v>2022</v>
      </c>
      <c r="C355" t="s">
        <v>252</v>
      </c>
      <c r="D355" t="s">
        <v>254</v>
      </c>
      <c r="E355" t="s">
        <v>256</v>
      </c>
      <c r="F355" s="5" t="s">
        <v>218</v>
      </c>
      <c r="G355" s="7">
        <v>147804</v>
      </c>
      <c r="H355" s="7" cm="1">
        <f t="array" ref="H355">_xlfn.IFS(B355=2015,L355*$P$3,B355=2016,L355*$P$4,B355=2017,L355*$P$5,B355=2018,L355*$P$6,B355=2019,L355*$P$7,B355=2020,L355*$P$8,B355=2021,L355*$P$9,B355=2022,L355*$P$10)</f>
        <v>3008.1902221901864</v>
      </c>
      <c r="I355" s="7">
        <f t="shared" si="13"/>
        <v>150812.1902221902</v>
      </c>
      <c r="J355">
        <f>IFERROR(VLOOKUP(F355,'LEAID Match'!$A$2:$B$227,2,FALSE),"")</f>
        <v>3800049</v>
      </c>
      <c r="K355">
        <f t="shared" si="12"/>
        <v>8</v>
      </c>
      <c r="L355" cm="1">
        <f t="array" ref="L355">_xlfn.IFS(B355=2015,G355/$P$13,B355=2016,G355/$P$14,B355=2017,G355/$P$15,B355=2018,G355/$P$16,B355=2019,G355/$P$17,B355=2019,G355/$P$18,B355=2020,G355/$P$18,B355=2021,G355/$P$19,B355=2022,G355/$P$20)</f>
        <v>1.4731587767826573E-3</v>
      </c>
    </row>
    <row r="356" spans="1:12" x14ac:dyDescent="0.2">
      <c r="A356">
        <v>3806910</v>
      </c>
      <c r="B356">
        <v>2015</v>
      </c>
      <c r="C356" t="s">
        <v>252</v>
      </c>
      <c r="D356" t="s">
        <v>254</v>
      </c>
      <c r="E356" t="s">
        <v>256</v>
      </c>
      <c r="F356" s="5" t="s">
        <v>91</v>
      </c>
      <c r="G356" s="7">
        <v>143133</v>
      </c>
      <c r="H356" s="7" cm="1">
        <f t="array" ref="H356">_xlfn.IFS(B356=2015,L356*$P$3,B356=2016,L356*$P$4,B356=2017,L356*$P$5,B356=2018,L356*$P$6,B356=2019,L356*$P$7,B356=2020,L356*$P$8,B356=2021,L356*$P$9,B356=2022,L356*$P$10)</f>
        <v>3236.0113921968423</v>
      </c>
      <c r="I356" s="7">
        <f t="shared" si="13"/>
        <v>146369.01139219684</v>
      </c>
      <c r="J356">
        <f>IFERROR(VLOOKUP(F356,'LEAID Match'!$A$2:$B$227,2,FALSE),"")</f>
        <v>3806910</v>
      </c>
      <c r="K356">
        <f t="shared" si="12"/>
        <v>8</v>
      </c>
      <c r="L356" cm="1">
        <f t="array" ref="L356">_xlfn.IFS(B356=2015,G356/$P$13,B356=2016,G356/$P$14,B356=2017,G356/$P$15,B356=2018,G356/$P$16,B356=2019,G356/$P$17,B356=2019,G356/$P$18,B356=2020,G356/$P$18,B356=2021,G356/$P$19,B356=2022,G356/$P$20)</f>
        <v>1.8251615297218513E-3</v>
      </c>
    </row>
    <row r="357" spans="1:12" x14ac:dyDescent="0.2">
      <c r="A357">
        <v>3806910</v>
      </c>
      <c r="B357">
        <v>2016</v>
      </c>
      <c r="C357" t="s">
        <v>252</v>
      </c>
      <c r="D357" t="s">
        <v>254</v>
      </c>
      <c r="E357" t="s">
        <v>256</v>
      </c>
      <c r="F357" s="5" t="s">
        <v>91</v>
      </c>
      <c r="G357" s="7">
        <v>125781</v>
      </c>
      <c r="H357" s="7" cm="1">
        <f t="array" ref="H357">_xlfn.IFS(B357=2015,L357*$P$3,B357=2016,L357*$P$4,B357=2017,L357*$P$5,B357=2018,L357*$P$6,B357=2019,L357*$P$7,B357=2020,L357*$P$8,B357=2021,L357*$P$9,B357=2022,L357*$P$10)</f>
        <v>4271.1521934995335</v>
      </c>
      <c r="I357" s="7">
        <f t="shared" si="13"/>
        <v>130052.15219349954</v>
      </c>
      <c r="J357">
        <f>IFERROR(VLOOKUP(F357,'LEAID Match'!$A$2:$B$227,2,FALSE),"")</f>
        <v>3806910</v>
      </c>
      <c r="K357">
        <f t="shared" si="12"/>
        <v>8</v>
      </c>
      <c r="L357" cm="1">
        <f t="array" ref="L357">_xlfn.IFS(B357=2015,G357/$P$13,B357=2016,G357/$P$14,B357=2017,G357/$P$15,B357=2018,G357/$P$16,B357=2019,G357/$P$17,B357=2019,G357/$P$18,B357=2020,G357/$P$18,B357=2021,G357/$P$19,B357=2022,G357/$P$20)</f>
        <v>1.5183619600069439E-3</v>
      </c>
    </row>
    <row r="358" spans="1:12" x14ac:dyDescent="0.2">
      <c r="A358">
        <v>3806910</v>
      </c>
      <c r="B358">
        <v>2017</v>
      </c>
      <c r="C358" t="s">
        <v>252</v>
      </c>
      <c r="D358" t="s">
        <v>254</v>
      </c>
      <c r="E358" t="s">
        <v>256</v>
      </c>
      <c r="F358" s="5" t="s">
        <v>91</v>
      </c>
      <c r="G358" s="7">
        <v>127798</v>
      </c>
      <c r="H358" s="7" cm="1">
        <f t="array" ref="H358">_xlfn.IFS(B358=2015,L358*$P$3,B358=2016,L358*$P$4,B358=2017,L358*$P$5,B358=2018,L358*$P$6,B358=2019,L358*$P$7,B358=2020,L358*$P$8,B358=2021,L358*$P$9,B358=2022,L358*$P$10)</f>
        <v>4141.6840703554262</v>
      </c>
      <c r="I358" s="7">
        <f t="shared" si="13"/>
        <v>131939.68407035543</v>
      </c>
      <c r="J358">
        <f>IFERROR(VLOOKUP(F358,'LEAID Match'!$A$2:$B$227,2,FALSE),"")</f>
        <v>3806910</v>
      </c>
      <c r="K358">
        <f t="shared" si="12"/>
        <v>8</v>
      </c>
      <c r="L358" cm="1">
        <f t="array" ref="L358">_xlfn.IFS(B358=2015,G358/$P$13,B358=2016,G358/$P$14,B358=2017,G358/$P$15,B358=2018,G358/$P$16,B358=2019,G358/$P$17,B358=2019,G358/$P$18,B358=2020,G358/$P$18,B358=2021,G358/$P$19,B358=2022,G358/$P$20)</f>
        <v>1.4850068377036307E-3</v>
      </c>
    </row>
    <row r="359" spans="1:12" x14ac:dyDescent="0.2">
      <c r="A359">
        <v>3806910</v>
      </c>
      <c r="B359" s="5">
        <v>2018</v>
      </c>
      <c r="C359" t="s">
        <v>252</v>
      </c>
      <c r="D359" t="s">
        <v>254</v>
      </c>
      <c r="E359" t="s">
        <v>256</v>
      </c>
      <c r="F359" s="5" t="s">
        <v>91</v>
      </c>
      <c r="G359" s="7">
        <v>130365</v>
      </c>
      <c r="H359" s="7" cm="1">
        <f t="array" ref="H359">_xlfn.IFS(B359=2015,L359*$P$3,B359=2016,L359*$P$4,B359=2017,L359*$P$5,B359=2018,L359*$P$6,B359=2019,L359*$P$7,B359=2020,L359*$P$8,B359=2021,L359*$P$9,B359=2022,L359*$P$10)</f>
        <v>3572.1298719173956</v>
      </c>
      <c r="I359" s="7">
        <f t="shared" si="13"/>
        <v>133937.12987191739</v>
      </c>
      <c r="J359">
        <f>IFERROR(VLOOKUP(F359,'LEAID Match'!$A$2:$B$227,2,FALSE),"")</f>
        <v>3806910</v>
      </c>
      <c r="K359">
        <f t="shared" si="12"/>
        <v>8</v>
      </c>
      <c r="L359" cm="1">
        <f t="array" ref="L359">_xlfn.IFS(B359=2015,G359/$P$13,B359=2016,G359/$P$14,B359=2017,G359/$P$15,B359=2018,G359/$P$16,B359=2019,G359/$P$17,B359=2019,G359/$P$18,B359=2020,G359/$P$18,B359=2021,G359/$P$19,B359=2022,G359/$P$20)</f>
        <v>1.5040546829125877E-3</v>
      </c>
    </row>
    <row r="360" spans="1:12" x14ac:dyDescent="0.2">
      <c r="A360">
        <v>3806910</v>
      </c>
      <c r="B360">
        <v>2019</v>
      </c>
      <c r="C360" t="s">
        <v>252</v>
      </c>
      <c r="D360" t="s">
        <v>254</v>
      </c>
      <c r="E360" t="s">
        <v>256</v>
      </c>
      <c r="F360" s="5" t="s">
        <v>91</v>
      </c>
      <c r="G360" s="7">
        <v>139450</v>
      </c>
      <c r="H360" s="7" cm="1">
        <f t="array" ref="H360">_xlfn.IFS(B360=2015,L360*$P$3,B360=2016,L360*$P$4,B360=2017,L360*$P$5,B360=2018,L360*$P$6,B360=2019,L360*$P$7,B360=2020,L360*$P$8,B360=2021,L360*$P$9,B360=2022,L360*$P$10)</f>
        <v>3236.6100776254602</v>
      </c>
      <c r="I360" s="7">
        <f t="shared" si="13"/>
        <v>142686.61007762546</v>
      </c>
      <c r="J360">
        <f>IFERROR(VLOOKUP(F360,'LEAID Match'!$A$2:$B$227,2,FALSE),"")</f>
        <v>3806910</v>
      </c>
      <c r="K360">
        <f t="shared" si="12"/>
        <v>8</v>
      </c>
      <c r="L360" cm="1">
        <f t="array" ref="L360">_xlfn.IFS(B360=2015,G360/$P$13,B360=2016,G360/$P$14,B360=2017,G360/$P$15,B360=2018,G360/$P$16,B360=2019,G360/$P$17,B360=2019,G360/$P$18,B360=2020,G360/$P$18,B360=2021,G360/$P$19,B360=2022,G360/$P$20)</f>
        <v>1.5590607310334587E-3</v>
      </c>
    </row>
    <row r="361" spans="1:12" x14ac:dyDescent="0.2">
      <c r="A361">
        <v>3806910</v>
      </c>
      <c r="B361">
        <v>2020</v>
      </c>
      <c r="C361" t="s">
        <v>252</v>
      </c>
      <c r="D361" t="s">
        <v>254</v>
      </c>
      <c r="E361" t="s">
        <v>256</v>
      </c>
      <c r="F361" s="5" t="s">
        <v>91</v>
      </c>
      <c r="G361" s="7">
        <v>142391</v>
      </c>
      <c r="H361" s="7" cm="1">
        <f t="array" ref="H361">_xlfn.IFS(B361=2015,L361*$P$3,B361=2016,L361*$P$4,B361=2017,L361*$P$5,B361=2018,L361*$P$6,B361=2019,L361*$P$7,B361=2020,L361*$P$8,B361=2021,L361*$P$9,B361=2022,L361*$P$10)</f>
        <v>3572.3080002895335</v>
      </c>
      <c r="I361" s="7">
        <f t="shared" si="13"/>
        <v>145963.30800028954</v>
      </c>
      <c r="J361">
        <f>IFERROR(VLOOKUP(F361,'LEAID Match'!$A$2:$B$227,2,FALSE),"")</f>
        <v>3806910</v>
      </c>
      <c r="K361">
        <f t="shared" si="12"/>
        <v>8</v>
      </c>
      <c r="L361" cm="1">
        <f t="array" ref="L361">_xlfn.IFS(B361=2015,G361/$P$13,B361=2016,G361/$P$14,B361=2017,G361/$P$15,B361=2018,G361/$P$16,B361=2019,G361/$P$17,B361=2019,G361/$P$18,B361=2020,G361/$P$18,B361=2021,G361/$P$19,B361=2022,G361/$P$20)</f>
        <v>1.5305518424548129E-3</v>
      </c>
    </row>
    <row r="362" spans="1:12" x14ac:dyDescent="0.2">
      <c r="A362">
        <v>3806910</v>
      </c>
      <c r="B362" s="5">
        <v>2021</v>
      </c>
      <c r="C362" t="s">
        <v>252</v>
      </c>
      <c r="D362" t="s">
        <v>254</v>
      </c>
      <c r="E362" t="s">
        <v>256</v>
      </c>
      <c r="F362" s="5" t="s">
        <v>91</v>
      </c>
      <c r="G362" s="7">
        <v>148738</v>
      </c>
      <c r="H362" s="7" cm="1">
        <f t="array" ref="H362">_xlfn.IFS(B362=2015,L362*$P$3,B362=2016,L362*$P$4,B362=2017,L362*$P$5,B362=2018,L362*$P$6,B362=2019,L362*$P$7,B362=2020,L362*$P$8,B362=2021,L362*$P$9,B362=2022,L362*$P$10)</f>
        <v>4064.1607585981005</v>
      </c>
      <c r="I362" s="7">
        <f t="shared" si="13"/>
        <v>152802.1607585981</v>
      </c>
      <c r="J362">
        <f>IFERROR(VLOOKUP(F362,'LEAID Match'!$A$2:$B$227,2,FALSE),"")</f>
        <v>3806910</v>
      </c>
      <c r="K362">
        <f t="shared" si="12"/>
        <v>8</v>
      </c>
      <c r="L362" cm="1">
        <f t="array" ref="L362">_xlfn.IFS(B362=2015,G362/$P$13,B362=2016,G362/$P$14,B362=2017,G362/$P$15,B362=2018,G362/$P$16,B362=2019,G362/$P$17,B362=2019,G362/$P$18,B362=2020,G362/$P$18,B362=2021,G362/$P$19,B362=2022,G362/$P$20)</f>
        <v>1.5136539138167972E-3</v>
      </c>
    </row>
    <row r="363" spans="1:12" x14ac:dyDescent="0.2">
      <c r="A363">
        <v>3806910</v>
      </c>
      <c r="B363">
        <v>2022</v>
      </c>
      <c r="C363" t="s">
        <v>252</v>
      </c>
      <c r="D363" t="s">
        <v>254</v>
      </c>
      <c r="E363" t="s">
        <v>256</v>
      </c>
      <c r="F363" s="5" t="s">
        <v>91</v>
      </c>
      <c r="G363" s="7">
        <v>150901</v>
      </c>
      <c r="H363" s="7" cm="1">
        <f t="array" ref="H363">_xlfn.IFS(B363=2015,L363*$P$3,B363=2016,L363*$P$4,B363=2017,L363*$P$5,B363=2018,L363*$P$6,B363=2019,L363*$P$7,B363=2020,L363*$P$8,B363=2021,L363*$P$9,B363=2022,L363*$P$10)</f>
        <v>3071.2221098124628</v>
      </c>
      <c r="I363" s="7">
        <f t="shared" si="13"/>
        <v>153972.22210981246</v>
      </c>
      <c r="J363">
        <f>IFERROR(VLOOKUP(F363,'LEAID Match'!$A$2:$B$227,2,FALSE),"")</f>
        <v>3806910</v>
      </c>
      <c r="K363">
        <f t="shared" si="12"/>
        <v>8</v>
      </c>
      <c r="L363" cm="1">
        <f t="array" ref="L363">_xlfn.IFS(B363=2015,G363/$P$13,B363=2016,G363/$P$14,B363=2017,G363/$P$15,B363=2018,G363/$P$16,B363=2019,G363/$P$17,B363=2019,G363/$P$18,B363=2020,G363/$P$18,B363=2021,G363/$P$19,B363=2022,G363/$P$20)</f>
        <v>1.5040264984390122E-3</v>
      </c>
    </row>
    <row r="364" spans="1:12" x14ac:dyDescent="0.2">
      <c r="A364">
        <v>3806930</v>
      </c>
      <c r="B364">
        <v>2015</v>
      </c>
      <c r="C364" t="s">
        <v>252</v>
      </c>
      <c r="D364" t="s">
        <v>254</v>
      </c>
      <c r="E364" t="s">
        <v>256</v>
      </c>
      <c r="F364" s="5" t="s">
        <v>92</v>
      </c>
      <c r="G364" s="7">
        <v>128833</v>
      </c>
      <c r="H364" s="7" cm="1">
        <f t="array" ref="H364">_xlfn.IFS(B364=2015,L364*$P$3,B364=2016,L364*$P$4,B364=2017,L364*$P$5,B364=2018,L364*$P$6,B364=2019,L364*$P$7,B364=2020,L364*$P$8,B364=2021,L364*$P$9,B364=2022,L364*$P$10)</f>
        <v>2912.7109450014727</v>
      </c>
      <c r="I364" s="7">
        <f t="shared" si="13"/>
        <v>131745.71094500148</v>
      </c>
      <c r="J364">
        <f>IFERROR(VLOOKUP(F364,'LEAID Match'!$A$2:$B$227,2,FALSE),"")</f>
        <v>3806930</v>
      </c>
      <c r="K364">
        <f t="shared" si="12"/>
        <v>8</v>
      </c>
      <c r="L364" cm="1">
        <f t="array" ref="L364">_xlfn.IFS(B364=2015,G364/$P$13,B364=2016,G364/$P$14,B364=2017,G364/$P$15,B364=2018,G364/$P$16,B364=2019,G364/$P$17,B364=2019,G364/$P$18,B364=2020,G364/$P$18,B364=2021,G364/$P$19,B364=2022,G364/$P$20)</f>
        <v>1.6428149718000411E-3</v>
      </c>
    </row>
    <row r="365" spans="1:12" x14ac:dyDescent="0.2">
      <c r="A365">
        <v>3806930</v>
      </c>
      <c r="B365">
        <v>2016</v>
      </c>
      <c r="C365" t="s">
        <v>252</v>
      </c>
      <c r="D365" t="s">
        <v>254</v>
      </c>
      <c r="E365" t="s">
        <v>256</v>
      </c>
      <c r="F365" s="5" t="s">
        <v>92</v>
      </c>
      <c r="G365" s="7">
        <v>136900</v>
      </c>
      <c r="H365" s="7" cm="1">
        <f t="array" ref="H365">_xlfn.IFS(B365=2015,L365*$P$3,B365=2016,L365*$P$4,B365=2017,L365*$P$5,B365=2018,L365*$P$6,B365=2019,L365*$P$7,B365=2020,L365*$P$8,B365=2021,L365*$P$9,B365=2022,L365*$P$10)</f>
        <v>4648.7206755399156</v>
      </c>
      <c r="I365" s="7">
        <f t="shared" si="13"/>
        <v>141548.72067553992</v>
      </c>
      <c r="J365">
        <f>IFERROR(VLOOKUP(F365,'LEAID Match'!$A$2:$B$227,2,FALSE),"")</f>
        <v>3806930</v>
      </c>
      <c r="K365">
        <f t="shared" si="12"/>
        <v>8</v>
      </c>
      <c r="L365" cm="1">
        <f t="array" ref="L365">_xlfn.IFS(B365=2015,G365/$P$13,B365=2016,G365/$P$14,B365=2017,G365/$P$15,B365=2018,G365/$P$16,B365=2019,G365/$P$17,B365=2019,G365/$P$18,B365=2020,G365/$P$18,B365=2021,G365/$P$19,B365=2022,G365/$P$20)</f>
        <v>1.6525846695840439E-3</v>
      </c>
    </row>
    <row r="366" spans="1:12" x14ac:dyDescent="0.2">
      <c r="A366">
        <v>3806930</v>
      </c>
      <c r="B366">
        <v>2017</v>
      </c>
      <c r="C366" t="s">
        <v>252</v>
      </c>
      <c r="D366" t="s">
        <v>254</v>
      </c>
      <c r="E366" t="s">
        <v>256</v>
      </c>
      <c r="F366" s="5" t="s">
        <v>92</v>
      </c>
      <c r="G366" s="7">
        <v>149159</v>
      </c>
      <c r="H366" s="7" cm="1">
        <f t="array" ref="H366">_xlfn.IFS(B366=2015,L366*$P$3,B366=2016,L366*$P$4,B366=2017,L366*$P$5,B366=2018,L366*$P$6,B366=2019,L366*$P$7,B366=2020,L366*$P$8,B366=2021,L366*$P$9,B366=2022,L366*$P$10)</f>
        <v>4833.9524425276222</v>
      </c>
      <c r="I366" s="7">
        <f t="shared" si="13"/>
        <v>153992.95244252763</v>
      </c>
      <c r="J366">
        <f>IFERROR(VLOOKUP(F366,'LEAID Match'!$A$2:$B$227,2,FALSE),"")</f>
        <v>3806930</v>
      </c>
      <c r="K366">
        <f t="shared" si="12"/>
        <v>8</v>
      </c>
      <c r="L366" cm="1">
        <f t="array" ref="L366">_xlfn.IFS(B366=2015,G366/$P$13,B366=2016,G366/$P$14,B366=2017,G366/$P$15,B366=2018,G366/$P$16,B366=2019,G366/$P$17,B366=2019,G366/$P$18,B366=2020,G366/$P$18,B366=2021,G366/$P$19,B366=2022,G366/$P$20)</f>
        <v>1.7332206678119836E-3</v>
      </c>
    </row>
    <row r="367" spans="1:12" x14ac:dyDescent="0.2">
      <c r="A367">
        <v>3806930</v>
      </c>
      <c r="B367" s="5">
        <v>2018</v>
      </c>
      <c r="C367" t="s">
        <v>252</v>
      </c>
      <c r="D367" t="s">
        <v>254</v>
      </c>
      <c r="E367" t="s">
        <v>256</v>
      </c>
      <c r="F367" s="5" t="s">
        <v>92</v>
      </c>
      <c r="G367" s="7">
        <v>149505</v>
      </c>
      <c r="H367" s="7" cm="1">
        <f t="array" ref="H367">_xlfn.IFS(B367=2015,L367*$P$3,B367=2016,L367*$P$4,B367=2017,L367*$P$5,B367=2018,L367*$P$6,B367=2019,L367*$P$7,B367=2020,L367*$P$8,B367=2021,L367*$P$9,B367=2022,L367*$P$10)</f>
        <v>4096.5847927051764</v>
      </c>
      <c r="I367" s="7">
        <f t="shared" si="13"/>
        <v>153601.58479270517</v>
      </c>
      <c r="J367">
        <f>IFERROR(VLOOKUP(F367,'LEAID Match'!$A$2:$B$227,2,FALSE),"")</f>
        <v>3806930</v>
      </c>
      <c r="K367">
        <f t="shared" si="12"/>
        <v>8</v>
      </c>
      <c r="L367" cm="1">
        <f t="array" ref="L367">_xlfn.IFS(B367=2015,G367/$P$13,B367=2016,G367/$P$14,B367=2017,G367/$P$15,B367=2018,G367/$P$16,B367=2019,G367/$P$17,B367=2019,G367/$P$18,B367=2020,G367/$P$18,B367=2021,G367/$P$19,B367=2022,G367/$P$20)</f>
        <v>1.724877807454811E-3</v>
      </c>
    </row>
    <row r="368" spans="1:12" x14ac:dyDescent="0.2">
      <c r="A368">
        <v>3806930</v>
      </c>
      <c r="B368">
        <v>2019</v>
      </c>
      <c r="C368" t="s">
        <v>252</v>
      </c>
      <c r="D368" t="s">
        <v>254</v>
      </c>
      <c r="E368" t="s">
        <v>256</v>
      </c>
      <c r="F368" s="5" t="s">
        <v>92</v>
      </c>
      <c r="G368" s="7">
        <v>153979</v>
      </c>
      <c r="H368" s="7" cm="1">
        <f t="array" ref="H368">_xlfn.IFS(B368=2015,L368*$P$3,B368=2016,L368*$P$4,B368=2017,L368*$P$5,B368=2018,L368*$P$6,B368=2019,L368*$P$7,B368=2020,L368*$P$8,B368=2021,L368*$P$9,B368=2022,L368*$P$10)</f>
        <v>3573.8256231100095</v>
      </c>
      <c r="I368" s="7">
        <f t="shared" si="13"/>
        <v>157552.82562310999</v>
      </c>
      <c r="J368">
        <f>IFERROR(VLOOKUP(F368,'LEAID Match'!$A$2:$B$227,2,FALSE),"")</f>
        <v>3806930</v>
      </c>
      <c r="K368">
        <f t="shared" si="12"/>
        <v>8</v>
      </c>
      <c r="L368" cm="1">
        <f t="array" ref="L368">_xlfn.IFS(B368=2015,G368/$P$13,B368=2016,G368/$P$14,B368=2017,G368/$P$15,B368=2018,G368/$P$16,B368=2019,G368/$P$17,B368=2019,G368/$P$18,B368=2020,G368/$P$18,B368=2021,G368/$P$19,B368=2022,G368/$P$20)</f>
        <v>1.7214959648892145E-3</v>
      </c>
    </row>
    <row r="369" spans="1:12" x14ac:dyDescent="0.2">
      <c r="A369">
        <v>3806930</v>
      </c>
      <c r="B369">
        <v>2020</v>
      </c>
      <c r="C369" t="s">
        <v>252</v>
      </c>
      <c r="D369" t="s">
        <v>254</v>
      </c>
      <c r="E369" t="s">
        <v>256</v>
      </c>
      <c r="F369" s="5" t="s">
        <v>92</v>
      </c>
      <c r="G369" s="7">
        <v>166767</v>
      </c>
      <c r="H369" s="7" cm="1">
        <f t="array" ref="H369">_xlfn.IFS(B369=2015,L369*$P$3,B369=2016,L369*$P$4,B369=2017,L369*$P$5,B369=2018,L369*$P$6,B369=2019,L369*$P$7,B369=2020,L369*$P$8,B369=2021,L369*$P$9,B369=2022,L369*$P$10)</f>
        <v>4183.8535320651208</v>
      </c>
      <c r="I369" s="7">
        <f t="shared" si="13"/>
        <v>170950.85353206511</v>
      </c>
      <c r="J369">
        <f>IFERROR(VLOOKUP(F369,'LEAID Match'!$A$2:$B$227,2,FALSE),"")</f>
        <v>3806930</v>
      </c>
      <c r="K369">
        <f t="shared" si="12"/>
        <v>8</v>
      </c>
      <c r="L369" cm="1">
        <f t="array" ref="L369">_xlfn.IFS(B369=2015,G369/$P$13,B369=2016,G369/$P$14,B369=2017,G369/$P$15,B369=2018,G369/$P$16,B369=2019,G369/$P$17,B369=2019,G369/$P$18,B369=2020,G369/$P$18,B369=2021,G369/$P$19,B369=2022,G369/$P$20)</f>
        <v>1.7925679229070784E-3</v>
      </c>
    </row>
    <row r="370" spans="1:12" x14ac:dyDescent="0.2">
      <c r="A370">
        <v>3806930</v>
      </c>
      <c r="B370" s="5">
        <v>2021</v>
      </c>
      <c r="C370" t="s">
        <v>252</v>
      </c>
      <c r="D370" t="s">
        <v>254</v>
      </c>
      <c r="E370" t="s">
        <v>256</v>
      </c>
      <c r="F370" s="5" t="s">
        <v>92</v>
      </c>
      <c r="G370" s="7">
        <v>183136</v>
      </c>
      <c r="H370" s="7" cm="1">
        <f t="array" ref="H370">_xlfn.IFS(B370=2015,L370*$P$3,B370=2016,L370*$P$4,B370=2017,L370*$P$5,B370=2018,L370*$P$6,B370=2019,L370*$P$7,B370=2020,L370*$P$8,B370=2021,L370*$P$9,B370=2022,L370*$P$10)</f>
        <v>5004.0618045598412</v>
      </c>
      <c r="I370" s="7">
        <f t="shared" si="13"/>
        <v>188140.06180455984</v>
      </c>
      <c r="J370">
        <f>IFERROR(VLOOKUP(F370,'LEAID Match'!$A$2:$B$227,2,FALSE),"")</f>
        <v>3806930</v>
      </c>
      <c r="K370">
        <f t="shared" si="12"/>
        <v>8</v>
      </c>
      <c r="L370" cm="1">
        <f t="array" ref="L370">_xlfn.IFS(B370=2015,G370/$P$13,B370=2016,G370/$P$14,B370=2017,G370/$P$15,B370=2018,G370/$P$16,B370=2019,G370/$P$17,B370=2019,G370/$P$18,B370=2020,G370/$P$18,B370=2021,G370/$P$19,B370=2022,G370/$P$20)</f>
        <v>1.8637101692960303E-3</v>
      </c>
    </row>
    <row r="371" spans="1:12" x14ac:dyDescent="0.2">
      <c r="A371">
        <v>3806930</v>
      </c>
      <c r="B371">
        <v>2022</v>
      </c>
      <c r="C371" t="s">
        <v>252</v>
      </c>
      <c r="D371" t="s">
        <v>254</v>
      </c>
      <c r="E371" t="s">
        <v>256</v>
      </c>
      <c r="F371" s="5" t="s">
        <v>92</v>
      </c>
      <c r="G371" s="7">
        <v>179030</v>
      </c>
      <c r="H371" s="7" cm="1">
        <f t="array" ref="H371">_xlfn.IFS(B371=2015,L371*$P$3,B371=2016,L371*$P$4,B371=2017,L371*$P$5,B371=2018,L371*$P$6,B371=2019,L371*$P$7,B371=2020,L371*$P$8,B371=2021,L371*$P$9,B371=2022,L371*$P$10)</f>
        <v>3643.7193545418868</v>
      </c>
      <c r="I371" s="7">
        <f t="shared" si="13"/>
        <v>182673.71935454188</v>
      </c>
      <c r="J371">
        <f>IFERROR(VLOOKUP(F371,'LEAID Match'!$A$2:$B$227,2,FALSE),"")</f>
        <v>3806930</v>
      </c>
      <c r="K371">
        <f t="shared" si="12"/>
        <v>8</v>
      </c>
      <c r="L371" cm="1">
        <f t="array" ref="L371">_xlfn.IFS(B371=2015,G371/$P$13,B371=2016,G371/$P$14,B371=2017,G371/$P$15,B371=2018,G371/$P$16,B371=2019,G371/$P$17,B371=2019,G371/$P$18,B371=2020,G371/$P$18,B371=2021,G371/$P$19,B371=2022,G371/$P$20)</f>
        <v>1.7843875389529319E-3</v>
      </c>
    </row>
    <row r="372" spans="1:12" x14ac:dyDescent="0.2">
      <c r="A372">
        <v>3800056</v>
      </c>
      <c r="B372">
        <v>2015</v>
      </c>
      <c r="C372" t="s">
        <v>252</v>
      </c>
      <c r="D372" t="s">
        <v>254</v>
      </c>
      <c r="E372" t="s">
        <v>256</v>
      </c>
      <c r="F372" s="5" t="s">
        <v>93</v>
      </c>
      <c r="G372" s="7">
        <v>72624</v>
      </c>
      <c r="H372" s="7" cm="1">
        <f t="array" ref="H372">_xlfn.IFS(B372=2015,L372*$P$3,B372=2016,L372*$P$4,B372=2017,L372*$P$5,B372=2018,L372*$P$6,B372=2019,L372*$P$7,B372=2020,L372*$P$8,B372=2021,L372*$P$9,B372=2022,L372*$P$10)</f>
        <v>1641.9141032948621</v>
      </c>
      <c r="I372" s="7">
        <f t="shared" si="13"/>
        <v>74265.914103294868</v>
      </c>
      <c r="J372">
        <f>IFERROR(VLOOKUP(F372,'LEAID Match'!$A$2:$B$227,2,FALSE),"")</f>
        <v>3800056</v>
      </c>
      <c r="K372">
        <f t="shared" si="12"/>
        <v>8</v>
      </c>
      <c r="L372" cm="1">
        <f t="array" ref="L372">_xlfn.IFS(B372=2015,G372/$P$13,B372=2016,G372/$P$14,B372=2017,G372/$P$15,B372=2018,G372/$P$16,B372=2019,G372/$P$17,B372=2019,G372/$P$18,B372=2020,G372/$P$18,B372=2021,G372/$P$19,B372=2022,G372/$P$20)</f>
        <v>9.2606548409185677E-4</v>
      </c>
    </row>
    <row r="373" spans="1:12" x14ac:dyDescent="0.2">
      <c r="A373">
        <v>3800056</v>
      </c>
      <c r="B373">
        <v>2016</v>
      </c>
      <c r="C373" t="s">
        <v>252</v>
      </c>
      <c r="D373" t="s">
        <v>254</v>
      </c>
      <c r="E373" t="s">
        <v>256</v>
      </c>
      <c r="F373" s="5" t="s">
        <v>93</v>
      </c>
      <c r="G373" s="7">
        <v>74567</v>
      </c>
      <c r="H373" s="7" cm="1">
        <f t="array" ref="H373">_xlfn.IFS(B373=2015,L373*$P$3,B373=2016,L373*$P$4,B373=2017,L373*$P$5,B373=2018,L373*$P$6,B373=2019,L373*$P$7,B373=2020,L373*$P$8,B373=2021,L373*$P$9,B373=2022,L373*$P$10)</f>
        <v>2532.0756363256746</v>
      </c>
      <c r="I373" s="7">
        <f t="shared" si="13"/>
        <v>77099.075636325681</v>
      </c>
      <c r="J373">
        <f>IFERROR(VLOOKUP(F373,'LEAID Match'!$A$2:$B$227,2,FALSE),"")</f>
        <v>3800056</v>
      </c>
      <c r="K373">
        <f t="shared" si="12"/>
        <v>8</v>
      </c>
      <c r="L373" cm="1">
        <f t="array" ref="L373">_xlfn.IFS(B373=2015,G373/$P$13,B373=2016,G373/$P$14,B373=2017,G373/$P$15,B373=2018,G373/$P$16,B373=2019,G373/$P$17,B373=2019,G373/$P$18,B373=2020,G373/$P$18,B373=2021,G373/$P$19,B373=2022,G373/$P$20)</f>
        <v>9.0013353584275679E-4</v>
      </c>
    </row>
    <row r="374" spans="1:12" x14ac:dyDescent="0.2">
      <c r="A374">
        <v>3800056</v>
      </c>
      <c r="B374">
        <v>2017</v>
      </c>
      <c r="C374" t="s">
        <v>252</v>
      </c>
      <c r="D374" t="s">
        <v>254</v>
      </c>
      <c r="E374" t="s">
        <v>256</v>
      </c>
      <c r="F374" s="5" t="s">
        <v>93</v>
      </c>
      <c r="G374" s="7">
        <v>75347</v>
      </c>
      <c r="H374" s="7" cm="1">
        <f t="array" ref="H374">_xlfn.IFS(B374=2015,L374*$P$3,B374=2016,L374*$P$4,B374=2017,L374*$P$5,B374=2018,L374*$P$6,B374=2019,L374*$P$7,B374=2020,L374*$P$8,B374=2021,L374*$P$9,B374=2022,L374*$P$10)</f>
        <v>2441.849400218081</v>
      </c>
      <c r="I374" s="7">
        <f t="shared" si="13"/>
        <v>77788.849400218081</v>
      </c>
      <c r="J374">
        <f>IFERROR(VLOOKUP(F374,'LEAID Match'!$A$2:$B$227,2,FALSE),"")</f>
        <v>3800056</v>
      </c>
      <c r="K374">
        <f t="shared" si="12"/>
        <v>8</v>
      </c>
      <c r="L374" cm="1">
        <f t="array" ref="L374">_xlfn.IFS(B374=2015,G374/$P$13,B374=2016,G374/$P$14,B374=2017,G374/$P$15,B374=2018,G374/$P$16,B374=2019,G374/$P$17,B374=2019,G374/$P$18,B374=2020,G374/$P$18,B374=2021,G374/$P$19,B374=2022,G374/$P$20)</f>
        <v>8.7552864833921867E-4</v>
      </c>
    </row>
    <row r="375" spans="1:12" x14ac:dyDescent="0.2">
      <c r="A375">
        <v>3800056</v>
      </c>
      <c r="B375" s="5">
        <v>2018</v>
      </c>
      <c r="C375" t="s">
        <v>252</v>
      </c>
      <c r="D375" t="s">
        <v>254</v>
      </c>
      <c r="E375" t="s">
        <v>256</v>
      </c>
      <c r="F375" s="5" t="s">
        <v>93</v>
      </c>
      <c r="G375" s="7">
        <v>73877</v>
      </c>
      <c r="H375" s="7" cm="1">
        <f t="array" ref="H375">_xlfn.IFS(B375=2015,L375*$P$3,B375=2016,L375*$P$4,B375=2017,L375*$P$5,B375=2018,L375*$P$6,B375=2019,L375*$P$7,B375=2020,L375*$P$8,B375=2021,L375*$P$9,B375=2022,L375*$P$10)</f>
        <v>2024.302830879772</v>
      </c>
      <c r="I375" s="7">
        <f t="shared" si="13"/>
        <v>75901.302830879766</v>
      </c>
      <c r="J375">
        <f>IFERROR(VLOOKUP(F375,'LEAID Match'!$A$2:$B$227,2,FALSE),"")</f>
        <v>3800056</v>
      </c>
      <c r="K375">
        <f t="shared" si="12"/>
        <v>8</v>
      </c>
      <c r="L375" cm="1">
        <f t="array" ref="L375">_xlfn.IFS(B375=2015,G375/$P$13,B375=2016,G375/$P$14,B375=2017,G375/$P$15,B375=2018,G375/$P$16,B375=2019,G375/$P$17,B375=2019,G375/$P$18,B375=2020,G375/$P$18,B375=2021,G375/$P$19,B375=2022,G375/$P$20)</f>
        <v>8.5233803405464085E-4</v>
      </c>
    </row>
    <row r="376" spans="1:12" x14ac:dyDescent="0.2">
      <c r="A376">
        <v>3800056</v>
      </c>
      <c r="B376">
        <v>2019</v>
      </c>
      <c r="C376" t="s">
        <v>252</v>
      </c>
      <c r="D376" t="s">
        <v>254</v>
      </c>
      <c r="E376" t="s">
        <v>256</v>
      </c>
      <c r="F376" s="5" t="s">
        <v>93</v>
      </c>
      <c r="G376" s="7">
        <v>80191</v>
      </c>
      <c r="H376" s="7" cm="1">
        <f t="array" ref="H376">_xlfn.IFS(B376=2015,L376*$P$3,B376=2016,L376*$P$4,B376=2017,L376*$P$5,B376=2018,L376*$P$6,B376=2019,L376*$P$7,B376=2020,L376*$P$8,B376=2021,L376*$P$9,B376=2022,L376*$P$10)</f>
        <v>1861.2190658649215</v>
      </c>
      <c r="I376" s="7">
        <f t="shared" si="13"/>
        <v>82052.21906586492</v>
      </c>
      <c r="J376">
        <f>IFERROR(VLOOKUP(F376,'LEAID Match'!$A$2:$B$227,2,FALSE),"")</f>
        <v>3800056</v>
      </c>
      <c r="K376">
        <f t="shared" si="12"/>
        <v>8</v>
      </c>
      <c r="L376" cm="1">
        <f t="array" ref="L376">_xlfn.IFS(B376=2015,G376/$P$13,B376=2016,G376/$P$14,B376=2017,G376/$P$15,B376=2018,G376/$P$16,B376=2019,G376/$P$17,B376=2019,G376/$P$18,B376=2020,G376/$P$18,B376=2021,G376/$P$19,B376=2022,G376/$P$20)</f>
        <v>8.9654097585015484E-4</v>
      </c>
    </row>
    <row r="377" spans="1:12" x14ac:dyDescent="0.2">
      <c r="A377">
        <v>3800056</v>
      </c>
      <c r="B377">
        <v>2020</v>
      </c>
      <c r="C377" t="s">
        <v>252</v>
      </c>
      <c r="D377" t="s">
        <v>254</v>
      </c>
      <c r="E377" t="s">
        <v>256</v>
      </c>
      <c r="F377" s="5" t="s">
        <v>93</v>
      </c>
      <c r="G377" s="7">
        <v>81255</v>
      </c>
      <c r="H377" s="7" cm="1">
        <f t="array" ref="H377">_xlfn.IFS(B377=2015,L377*$P$3,B377=2016,L377*$P$4,B377=2017,L377*$P$5,B377=2018,L377*$P$6,B377=2019,L377*$P$7,B377=2020,L377*$P$8,B377=2021,L377*$P$9,B377=2022,L377*$P$10)</f>
        <v>2038.5269192823005</v>
      </c>
      <c r="I377" s="7">
        <f t="shared" si="13"/>
        <v>83293.526919282303</v>
      </c>
      <c r="J377">
        <f>IFERROR(VLOOKUP(F377,'LEAID Match'!$A$2:$B$227,2,FALSE),"")</f>
        <v>3800056</v>
      </c>
      <c r="K377">
        <f t="shared" si="12"/>
        <v>8</v>
      </c>
      <c r="L377" cm="1">
        <f t="array" ref="L377">_xlfn.IFS(B377=2015,G377/$P$13,B377=2016,G377/$P$14,B377=2017,G377/$P$15,B377=2018,G377/$P$16,B377=2019,G377/$P$17,B377=2019,G377/$P$18,B377=2020,G377/$P$18,B377=2021,G377/$P$19,B377=2022,G377/$P$20)</f>
        <v>8.7340484973534723E-4</v>
      </c>
    </row>
    <row r="378" spans="1:12" x14ac:dyDescent="0.2">
      <c r="A378">
        <v>3800056</v>
      </c>
      <c r="B378" s="5">
        <v>2021</v>
      </c>
      <c r="C378" t="s">
        <v>252</v>
      </c>
      <c r="D378" t="s">
        <v>254</v>
      </c>
      <c r="E378" t="s">
        <v>256</v>
      </c>
      <c r="F378" s="5" t="s">
        <v>93</v>
      </c>
      <c r="G378" s="7">
        <v>79054</v>
      </c>
      <c r="H378" s="7" cm="1">
        <f t="array" ref="H378">_xlfn.IFS(B378=2015,L378*$P$3,B378=2016,L378*$P$4,B378=2017,L378*$P$5,B378=2018,L378*$P$6,B378=2019,L378*$P$7,B378=2020,L378*$P$8,B378=2021,L378*$P$9,B378=2022,L378*$P$10)</f>
        <v>2160.0946940944091</v>
      </c>
      <c r="I378" s="7">
        <f t="shared" si="13"/>
        <v>81214.094694094412</v>
      </c>
      <c r="J378">
        <f>IFERROR(VLOOKUP(F378,'LEAID Match'!$A$2:$B$227,2,FALSE),"")</f>
        <v>3800056</v>
      </c>
      <c r="K378">
        <f t="shared" si="12"/>
        <v>8</v>
      </c>
      <c r="L378" cm="1">
        <f t="array" ref="L378">_xlfn.IFS(B378=2015,G378/$P$13,B378=2016,G378/$P$14,B378=2017,G378/$P$15,B378=2018,G378/$P$16,B378=2019,G378/$P$17,B378=2019,G378/$P$18,B378=2020,G378/$P$18,B378=2021,G378/$P$19,B378=2022,G378/$P$20)</f>
        <v>8.0450454156216354E-4</v>
      </c>
    </row>
    <row r="379" spans="1:12" x14ac:dyDescent="0.2">
      <c r="A379">
        <v>3800056</v>
      </c>
      <c r="B379">
        <v>2022</v>
      </c>
      <c r="C379" t="s">
        <v>252</v>
      </c>
      <c r="D379" t="s">
        <v>254</v>
      </c>
      <c r="E379" t="s">
        <v>256</v>
      </c>
      <c r="F379" s="5" t="s">
        <v>93</v>
      </c>
      <c r="G379" s="7">
        <v>61942</v>
      </c>
      <c r="H379" s="7" cm="1">
        <f t="array" ref="H379">_xlfn.IFS(B379=2015,L379*$P$3,B379=2016,L379*$P$4,B379=2017,L379*$P$5,B379=2018,L379*$P$6,B379=2019,L379*$P$7,B379=2020,L379*$P$8,B379=2021,L379*$P$9,B379=2022,L379*$P$10)</f>
        <v>1260.678457571544</v>
      </c>
      <c r="I379" s="7">
        <f t="shared" si="13"/>
        <v>63202.678457571543</v>
      </c>
      <c r="J379">
        <f>IFERROR(VLOOKUP(F379,'LEAID Match'!$A$2:$B$227,2,FALSE),"")</f>
        <v>3800056</v>
      </c>
      <c r="K379">
        <f t="shared" si="12"/>
        <v>8</v>
      </c>
      <c r="L379" cm="1">
        <f t="array" ref="L379">_xlfn.IFS(B379=2015,G379/$P$13,B379=2016,G379/$P$14,B379=2017,G379/$P$15,B379=2018,G379/$P$16,B379=2019,G379/$P$17,B379=2019,G379/$P$18,B379=2020,G379/$P$18,B379=2021,G379/$P$19,B379=2022,G379/$P$20)</f>
        <v>6.1737436707715184E-4</v>
      </c>
    </row>
    <row r="380" spans="1:12" x14ac:dyDescent="0.2">
      <c r="A380">
        <v>3800033</v>
      </c>
      <c r="B380">
        <v>2015</v>
      </c>
      <c r="C380" t="s">
        <v>252</v>
      </c>
      <c r="D380" t="s">
        <v>254</v>
      </c>
      <c r="E380" t="s">
        <v>256</v>
      </c>
      <c r="F380" s="5" t="s">
        <v>197</v>
      </c>
      <c r="G380" s="7">
        <v>21230</v>
      </c>
      <c r="H380" s="7" cm="1">
        <f t="array" ref="H380">_xlfn.IFS(B380=2015,L380*$P$3,B380=2016,L380*$P$4,B380=2017,L380*$P$5,B380=2018,L380*$P$6,B380=2019,L380*$P$7,B380=2020,L380*$P$8,B380=2021,L380*$P$9,B380=2022,L380*$P$10)</f>
        <v>479.97681775927958</v>
      </c>
      <c r="I380" s="7">
        <f t="shared" si="13"/>
        <v>21709.976817759278</v>
      </c>
      <c r="J380">
        <f>IFERROR(VLOOKUP(F380,'LEAID Match'!$A$2:$B$227,2,FALSE),"")</f>
        <v>3800033</v>
      </c>
      <c r="K380">
        <f t="shared" si="12"/>
        <v>8</v>
      </c>
      <c r="L380" cm="1">
        <f t="array" ref="L380">_xlfn.IFS(B380=2015,G380/$P$13,B380=2016,G380/$P$14,B380=2017,G380/$P$15,B380=2018,G380/$P$16,B380=2019,G380/$P$17,B380=2019,G380/$P$18,B380=2020,G380/$P$18,B380=2021,G380/$P$19,B380=2022,G380/$P$20)</f>
        <v>2.7071450522237991E-4</v>
      </c>
    </row>
    <row r="381" spans="1:12" x14ac:dyDescent="0.2">
      <c r="A381">
        <v>3800033</v>
      </c>
      <c r="B381">
        <v>2016</v>
      </c>
      <c r="C381" t="s">
        <v>252</v>
      </c>
      <c r="D381" t="s">
        <v>254</v>
      </c>
      <c r="E381" t="s">
        <v>256</v>
      </c>
      <c r="F381" s="5" t="s">
        <v>197</v>
      </c>
      <c r="G381" s="7">
        <v>20530</v>
      </c>
      <c r="H381" s="7" cm="1">
        <f t="array" ref="H381">_xlfn.IFS(B381=2015,L381*$P$3,B381=2016,L381*$P$4,B381=2017,L381*$P$5,B381=2018,L381*$P$6,B381=2019,L381*$P$7,B381=2020,L381*$P$8,B381=2021,L381*$P$9,B381=2022,L381*$P$10)</f>
        <v>697.13831606161045</v>
      </c>
      <c r="I381" s="7">
        <f t="shared" si="13"/>
        <v>21227.13831606161</v>
      </c>
      <c r="J381">
        <f>IFERROR(VLOOKUP(F381,'LEAID Match'!$A$2:$B$227,2,FALSE),"")</f>
        <v>3800033</v>
      </c>
      <c r="K381">
        <f t="shared" si="12"/>
        <v>8</v>
      </c>
      <c r="L381" cm="1">
        <f t="array" ref="L381">_xlfn.IFS(B381=2015,G381/$P$13,B381=2016,G381/$P$14,B381=2017,G381/$P$15,B381=2018,G381/$P$16,B381=2019,G381/$P$17,B381=2019,G381/$P$18,B381=2020,G381/$P$18,B381=2021,G381/$P$19,B381=2022,G381/$P$20)</f>
        <v>2.4782734307202646E-4</v>
      </c>
    </row>
    <row r="382" spans="1:12" x14ac:dyDescent="0.2">
      <c r="A382">
        <v>3800033</v>
      </c>
      <c r="B382">
        <v>2017</v>
      </c>
      <c r="C382" t="s">
        <v>252</v>
      </c>
      <c r="D382" t="s">
        <v>254</v>
      </c>
      <c r="E382" t="s">
        <v>256</v>
      </c>
      <c r="F382" s="5" t="s">
        <v>197</v>
      </c>
      <c r="G382" s="7">
        <v>20988</v>
      </c>
      <c r="H382" s="7" cm="1">
        <f t="array" ref="H382">_xlfn.IFS(B382=2015,L382*$P$3,B382=2016,L382*$P$4,B382=2017,L382*$P$5,B382=2018,L382*$P$6,B382=2019,L382*$P$7,B382=2020,L382*$P$8,B382=2021,L382*$P$9,B382=2022,L382*$P$10)</f>
        <v>680.18016924067433</v>
      </c>
      <c r="I382" s="7">
        <f t="shared" si="13"/>
        <v>21668.180169240673</v>
      </c>
      <c r="J382">
        <f>IFERROR(VLOOKUP(F382,'LEAID Match'!$A$2:$B$227,2,FALSE),"")</f>
        <v>3800033</v>
      </c>
      <c r="K382">
        <f t="shared" si="12"/>
        <v>8</v>
      </c>
      <c r="L382" cm="1">
        <f t="array" ref="L382">_xlfn.IFS(B382=2015,G382/$P$13,B382=2016,G382/$P$14,B382=2017,G382/$P$15,B382=2018,G382/$P$16,B382=2019,G382/$P$17,B382=2019,G382/$P$18,B382=2020,G382/$P$18,B382=2021,G382/$P$19,B382=2022,G382/$P$20)</f>
        <v>2.4387958739357271E-4</v>
      </c>
    </row>
    <row r="383" spans="1:12" x14ac:dyDescent="0.2">
      <c r="A383">
        <v>3800033</v>
      </c>
      <c r="B383" s="5">
        <v>2018</v>
      </c>
      <c r="C383" t="s">
        <v>252</v>
      </c>
      <c r="D383" t="s">
        <v>254</v>
      </c>
      <c r="E383" t="s">
        <v>256</v>
      </c>
      <c r="F383" s="5" t="s">
        <v>197</v>
      </c>
      <c r="G383" s="7">
        <v>20579</v>
      </c>
      <c r="H383" s="7" cm="1">
        <f t="array" ref="H383">_xlfn.IFS(B383=2015,L383*$P$3,B383=2016,L383*$P$4,B383=2017,L383*$P$5,B383=2018,L383*$P$6,B383=2019,L383*$P$7,B383=2020,L383*$P$8,B383=2021,L383*$P$9,B383=2022,L383*$P$10)</f>
        <v>563.88494330677781</v>
      </c>
      <c r="I383" s="7">
        <f t="shared" si="13"/>
        <v>21142.884943306777</v>
      </c>
      <c r="J383">
        <f>IFERROR(VLOOKUP(F383,'LEAID Match'!$A$2:$B$227,2,FALSE),"")</f>
        <v>3800033</v>
      </c>
      <c r="K383">
        <f t="shared" si="12"/>
        <v>8</v>
      </c>
      <c r="L383" cm="1">
        <f t="array" ref="L383">_xlfn.IFS(B383=2015,G383/$P$13,B383=2016,G383/$P$14,B383=2017,G383/$P$15,B383=2018,G383/$P$16,B383=2019,G383/$P$17,B383=2019,G383/$P$18,B383=2020,G383/$P$18,B383=2021,G383/$P$19,B383=2022,G383/$P$20)</f>
        <v>2.3742523928706435E-4</v>
      </c>
    </row>
    <row r="384" spans="1:12" x14ac:dyDescent="0.2">
      <c r="A384">
        <v>3800033</v>
      </c>
      <c r="B384">
        <v>2019</v>
      </c>
      <c r="C384" t="s">
        <v>252</v>
      </c>
      <c r="D384" t="s">
        <v>254</v>
      </c>
      <c r="E384" t="s">
        <v>256</v>
      </c>
      <c r="F384" s="5" t="s">
        <v>197</v>
      </c>
      <c r="G384" s="7">
        <v>20169</v>
      </c>
      <c r="H384" s="7" cm="1">
        <f t="array" ref="H384">_xlfn.IFS(B384=2015,L384*$P$3,B384=2016,L384*$P$4,B384=2017,L384*$P$5,B384=2018,L384*$P$6,B384=2019,L384*$P$7,B384=2020,L384*$P$8,B384=2021,L384*$P$9,B384=2022,L384*$P$10)</f>
        <v>468.11895773128657</v>
      </c>
      <c r="I384" s="7">
        <f t="shared" si="13"/>
        <v>20637.118957731287</v>
      </c>
      <c r="J384">
        <f>IFERROR(VLOOKUP(F384,'LEAID Match'!$A$2:$B$227,2,FALSE),"")</f>
        <v>3800033</v>
      </c>
      <c r="K384">
        <f t="shared" si="12"/>
        <v>8</v>
      </c>
      <c r="L384" cm="1">
        <f t="array" ref="L384">_xlfn.IFS(B384=2015,G384/$P$13,B384=2016,G384/$P$14,B384=2017,G384/$P$15,B384=2018,G384/$P$16,B384=2019,G384/$P$17,B384=2019,G384/$P$18,B384=2020,G384/$P$18,B384=2021,G384/$P$19,B384=2022,G384/$P$20)</f>
        <v>2.2549082742354844E-4</v>
      </c>
    </row>
    <row r="385" spans="1:12" x14ac:dyDescent="0.2">
      <c r="A385">
        <v>3800033</v>
      </c>
      <c r="B385">
        <v>2020</v>
      </c>
      <c r="C385" t="s">
        <v>252</v>
      </c>
      <c r="D385" t="s">
        <v>254</v>
      </c>
      <c r="E385" t="s">
        <v>256</v>
      </c>
      <c r="F385" s="5" t="s">
        <v>197</v>
      </c>
      <c r="G385" s="7">
        <v>20774</v>
      </c>
      <c r="H385" s="7" cm="1">
        <f t="array" ref="H385">_xlfn.IFS(B385=2015,L385*$P$3,B385=2016,L385*$P$4,B385=2017,L385*$P$5,B385=2018,L385*$P$6,B385=2019,L385*$P$7,B385=2020,L385*$P$8,B385=2021,L385*$P$9,B385=2022,L385*$P$10)</f>
        <v>521.17849019962478</v>
      </c>
      <c r="I385" s="7">
        <f t="shared" si="13"/>
        <v>21295.178490199625</v>
      </c>
      <c r="J385">
        <f>IFERROR(VLOOKUP(F385,'LEAID Match'!$A$2:$B$227,2,FALSE),"")</f>
        <v>3800033</v>
      </c>
      <c r="K385">
        <f t="shared" si="12"/>
        <v>8</v>
      </c>
      <c r="L385" cm="1">
        <f t="array" ref="L385">_xlfn.IFS(B385=2015,G385/$P$13,B385=2016,G385/$P$14,B385=2017,G385/$P$15,B385=2018,G385/$P$16,B385=2019,G385/$P$17,B385=2019,G385/$P$18,B385=2020,G385/$P$18,B385=2021,G385/$P$19,B385=2022,G385/$P$20)</f>
        <v>2.2329841053968499E-4</v>
      </c>
    </row>
    <row r="386" spans="1:12" x14ac:dyDescent="0.2">
      <c r="A386">
        <v>3800033</v>
      </c>
      <c r="B386" s="5">
        <v>2021</v>
      </c>
      <c r="C386" t="s">
        <v>252</v>
      </c>
      <c r="D386" t="s">
        <v>254</v>
      </c>
      <c r="E386" t="s">
        <v>256</v>
      </c>
      <c r="F386" s="5" t="s">
        <v>197</v>
      </c>
      <c r="G386" s="7">
        <v>21985</v>
      </c>
      <c r="H386" s="7" cm="1">
        <f t="array" ref="H386">_xlfn.IFS(B386=2015,L386*$P$3,B386=2016,L386*$P$4,B386=2017,L386*$P$5,B386=2018,L386*$P$6,B386=2019,L386*$P$7,B386=2020,L386*$P$8,B386=2021,L386*$P$9,B386=2022,L386*$P$10)</f>
        <v>600.72459141429385</v>
      </c>
      <c r="I386" s="7">
        <f t="shared" si="13"/>
        <v>22585.724591414295</v>
      </c>
      <c r="J386">
        <f>IFERROR(VLOOKUP(F386,'LEAID Match'!$A$2:$B$227,2,FALSE),"")</f>
        <v>3800033</v>
      </c>
      <c r="K386">
        <f t="shared" ref="K386:K449" si="14">COUNTIF($A$2:$A$1757,A386)</f>
        <v>8</v>
      </c>
      <c r="L386" cm="1">
        <f t="array" ref="L386">_xlfn.IFS(B386=2015,G386/$P$13,B386=2016,G386/$P$14,B386=2017,G386/$P$15,B386=2018,G386/$P$16,B386=2019,G386/$P$17,B386=2019,G386/$P$18,B386=2020,G386/$P$18,B386=2021,G386/$P$19,B386=2022,G386/$P$20)</f>
        <v>2.2373355359936456E-4</v>
      </c>
    </row>
    <row r="387" spans="1:12" x14ac:dyDescent="0.2">
      <c r="A387">
        <v>3800033</v>
      </c>
      <c r="B387">
        <v>2022</v>
      </c>
      <c r="C387" t="s">
        <v>252</v>
      </c>
      <c r="D387" t="s">
        <v>254</v>
      </c>
      <c r="E387" t="s">
        <v>256</v>
      </c>
      <c r="F387" s="5" t="s">
        <v>197</v>
      </c>
      <c r="G387" s="7">
        <v>25365</v>
      </c>
      <c r="H387" s="7" cm="1">
        <f t="array" ref="H387">_xlfn.IFS(B387=2015,L387*$P$3,B387=2016,L387*$P$4,B387=2017,L387*$P$5,B387=2018,L387*$P$6,B387=2019,L387*$P$7,B387=2020,L387*$P$8,B387=2021,L387*$P$9,B387=2022,L387*$P$10)</f>
        <v>516.2427605873595</v>
      </c>
      <c r="I387" s="7">
        <f t="shared" ref="I387:I450" si="15">SUM(G387:H387)</f>
        <v>25881.24276058736</v>
      </c>
      <c r="J387">
        <f>IFERROR(VLOOKUP(F387,'LEAID Match'!$A$2:$B$227,2,FALSE),"")</f>
        <v>3800033</v>
      </c>
      <c r="K387">
        <f t="shared" si="14"/>
        <v>8</v>
      </c>
      <c r="L387" cm="1">
        <f t="array" ref="L387">_xlfn.IFS(B387=2015,G387/$P$13,B387=2016,G387/$P$14,B387=2017,G387/$P$15,B387=2018,G387/$P$16,B387=2019,G387/$P$17,B387=2019,G387/$P$18,B387=2020,G387/$P$18,B387=2021,G387/$P$19,B387=2022,G387/$P$20)</f>
        <v>2.5281232154131218E-4</v>
      </c>
    </row>
    <row r="388" spans="1:12" x14ac:dyDescent="0.2">
      <c r="A388">
        <v>3807170</v>
      </c>
      <c r="B388">
        <v>2015</v>
      </c>
      <c r="C388" t="s">
        <v>252</v>
      </c>
      <c r="D388" t="s">
        <v>254</v>
      </c>
      <c r="E388" t="s">
        <v>256</v>
      </c>
      <c r="F388" s="5" t="s">
        <v>94</v>
      </c>
      <c r="G388" s="7">
        <v>196803</v>
      </c>
      <c r="H388" s="7" cm="1">
        <f t="array" ref="H388">_xlfn.IFS(B388=2015,L388*$P$3,B388=2016,L388*$P$4,B388=2017,L388*$P$5,B388=2018,L388*$P$6,B388=2019,L388*$P$7,B388=2020,L388*$P$8,B388=2021,L388*$P$9,B388=2022,L388*$P$10)</f>
        <v>4449.4054482091142</v>
      </c>
      <c r="I388" s="7">
        <f t="shared" si="15"/>
        <v>201252.40544820912</v>
      </c>
      <c r="J388">
        <f>IFERROR(VLOOKUP(F388,'LEAID Match'!$A$2:$B$227,2,FALSE),"")</f>
        <v>3807170</v>
      </c>
      <c r="K388">
        <f t="shared" si="14"/>
        <v>8</v>
      </c>
      <c r="L388" cm="1">
        <f t="array" ref="L388">_xlfn.IFS(B388=2015,G388/$P$13,B388=2016,G388/$P$14,B388=2017,G388/$P$15,B388=2018,G388/$P$16,B388=2019,G388/$P$17,B388=2019,G388/$P$18,B388=2020,G388/$P$18,B388=2021,G388/$P$19,B388=2022,G388/$P$20)</f>
        <v>2.509534939768254E-3</v>
      </c>
    </row>
    <row r="389" spans="1:12" x14ac:dyDescent="0.2">
      <c r="A389">
        <v>3807170</v>
      </c>
      <c r="B389">
        <v>2016</v>
      </c>
      <c r="C389" t="s">
        <v>252</v>
      </c>
      <c r="D389" t="s">
        <v>254</v>
      </c>
      <c r="E389" t="s">
        <v>256</v>
      </c>
      <c r="F389" s="5" t="s">
        <v>94</v>
      </c>
      <c r="G389" s="7">
        <v>195164</v>
      </c>
      <c r="H389" s="7" cm="1">
        <f t="array" ref="H389">_xlfn.IFS(B389=2015,L389*$P$3,B389=2016,L389*$P$4,B389=2017,L389*$P$5,B389=2018,L389*$P$6,B389=2019,L389*$P$7,B389=2020,L389*$P$8,B389=2021,L389*$P$9,B389=2022,L389*$P$10)</f>
        <v>6627.1944625352244</v>
      </c>
      <c r="I389" s="7">
        <f t="shared" si="15"/>
        <v>201791.19446253523</v>
      </c>
      <c r="J389">
        <f>IFERROR(VLOOKUP(F389,'LEAID Match'!$A$2:$B$227,2,FALSE),"")</f>
        <v>3807170</v>
      </c>
      <c r="K389">
        <f t="shared" si="14"/>
        <v>8</v>
      </c>
      <c r="L389" cm="1">
        <f t="array" ref="L389">_xlfn.IFS(B389=2015,G389/$P$13,B389=2016,G389/$P$14,B389=2017,G389/$P$15,B389=2018,G389/$P$16,B389=2019,G389/$P$17,B389=2019,G389/$P$18,B389=2020,G389/$P$18,B389=2021,G389/$P$19,B389=2022,G389/$P$20)</f>
        <v>2.355916979216219E-3</v>
      </c>
    </row>
    <row r="390" spans="1:12" x14ac:dyDescent="0.2">
      <c r="A390">
        <v>3807170</v>
      </c>
      <c r="B390">
        <v>2017</v>
      </c>
      <c r="C390" t="s">
        <v>252</v>
      </c>
      <c r="D390" t="s">
        <v>254</v>
      </c>
      <c r="E390" t="s">
        <v>256</v>
      </c>
      <c r="F390" s="5" t="s">
        <v>94</v>
      </c>
      <c r="G390" s="7">
        <v>198327</v>
      </c>
      <c r="H390" s="7" cm="1">
        <f t="array" ref="H390">_xlfn.IFS(B390=2015,L390*$P$3,B390=2016,L390*$P$4,B390=2017,L390*$P$5,B390=2018,L390*$P$6,B390=2019,L390*$P$7,B390=2020,L390*$P$8,B390=2021,L390*$P$9,B390=2022,L390*$P$10)</f>
        <v>6427.3914820371256</v>
      </c>
      <c r="I390" s="7">
        <f t="shared" si="15"/>
        <v>204754.39148203711</v>
      </c>
      <c r="J390">
        <f>IFERROR(VLOOKUP(F390,'LEAID Match'!$A$2:$B$227,2,FALSE),"")</f>
        <v>3807170</v>
      </c>
      <c r="K390">
        <f t="shared" si="14"/>
        <v>8</v>
      </c>
      <c r="L390" cm="1">
        <f t="array" ref="L390">_xlfn.IFS(B390=2015,G390/$P$13,B390=2016,G390/$P$14,B390=2017,G390/$P$15,B390=2018,G390/$P$16,B390=2019,G390/$P$17,B390=2019,G390/$P$18,B390=2020,G390/$P$18,B390=2021,G390/$P$19,B390=2022,G390/$P$20)</f>
        <v>2.3045505493141361E-3</v>
      </c>
    </row>
    <row r="391" spans="1:12" x14ac:dyDescent="0.2">
      <c r="A391">
        <v>3807170</v>
      </c>
      <c r="B391" s="5">
        <v>2018</v>
      </c>
      <c r="C391" t="s">
        <v>252</v>
      </c>
      <c r="D391" t="s">
        <v>254</v>
      </c>
      <c r="E391" t="s">
        <v>256</v>
      </c>
      <c r="F391" s="5" t="s">
        <v>94</v>
      </c>
      <c r="G391" s="7">
        <v>176872</v>
      </c>
      <c r="H391" s="7" cm="1">
        <f t="array" ref="H391">_xlfn.IFS(B391=2015,L391*$P$3,B391=2016,L391*$P$4,B391=2017,L391*$P$5,B391=2018,L391*$P$6,B391=2019,L391*$P$7,B391=2020,L391*$P$8,B391=2021,L391*$P$9,B391=2022,L391*$P$10)</f>
        <v>4846.4676462683519</v>
      </c>
      <c r="I391" s="7">
        <f t="shared" si="15"/>
        <v>181718.46764626834</v>
      </c>
      <c r="J391">
        <f>IFERROR(VLOOKUP(F391,'LEAID Match'!$A$2:$B$227,2,FALSE),"")</f>
        <v>3807170</v>
      </c>
      <c r="K391">
        <f t="shared" si="14"/>
        <v>8</v>
      </c>
      <c r="L391" cm="1">
        <f t="array" ref="L391">_xlfn.IFS(B391=2015,G391/$P$13,B391=2016,G391/$P$14,B391=2017,G391/$P$15,B391=2018,G391/$P$16,B391=2019,G391/$P$17,B391=2019,G391/$P$18,B391=2020,G391/$P$18,B391=2021,G391/$P$19,B391=2022,G391/$P$20)</f>
        <v>2.0406179563235167E-3</v>
      </c>
    </row>
    <row r="392" spans="1:12" x14ac:dyDescent="0.2">
      <c r="A392">
        <v>3807170</v>
      </c>
      <c r="B392">
        <v>2019</v>
      </c>
      <c r="C392" t="s">
        <v>252</v>
      </c>
      <c r="D392" t="s">
        <v>254</v>
      </c>
      <c r="E392" t="s">
        <v>256</v>
      </c>
      <c r="F392" s="5" t="s">
        <v>94</v>
      </c>
      <c r="G392" s="7">
        <v>196309</v>
      </c>
      <c r="H392" s="7" cm="1">
        <f t="array" ref="H392">_xlfn.IFS(B392=2015,L392*$P$3,B392=2016,L392*$P$4,B392=2017,L392*$P$5,B392=2018,L392*$P$6,B392=2019,L392*$P$7,B392=2020,L392*$P$8,B392=2021,L392*$P$9,B392=2022,L392*$P$10)</f>
        <v>4556.2975097065364</v>
      </c>
      <c r="I392" s="7">
        <f t="shared" si="15"/>
        <v>200865.29750970655</v>
      </c>
      <c r="J392">
        <f>IFERROR(VLOOKUP(F392,'LEAID Match'!$A$2:$B$227,2,FALSE),"")</f>
        <v>3807170</v>
      </c>
      <c r="K392">
        <f t="shared" si="14"/>
        <v>8</v>
      </c>
      <c r="L392" cm="1">
        <f t="array" ref="L392">_xlfn.IFS(B392=2015,G392/$P$13,B392=2016,G392/$P$14,B392=2017,G392/$P$15,B392=2018,G392/$P$16,B392=2019,G392/$P$17,B392=2019,G392/$P$18,B392=2020,G392/$P$18,B392=2021,G392/$P$19,B392=2022,G392/$P$20)</f>
        <v>2.1947483187411063E-3</v>
      </c>
    </row>
    <row r="393" spans="1:12" x14ac:dyDescent="0.2">
      <c r="A393">
        <v>3807170</v>
      </c>
      <c r="B393">
        <v>2020</v>
      </c>
      <c r="C393" t="s">
        <v>252</v>
      </c>
      <c r="D393" t="s">
        <v>254</v>
      </c>
      <c r="E393" t="s">
        <v>256</v>
      </c>
      <c r="F393" s="5" t="s">
        <v>94</v>
      </c>
      <c r="G393" s="7">
        <v>206342</v>
      </c>
      <c r="H393" s="7" cm="1">
        <f t="array" ref="H393">_xlfn.IFS(B393=2015,L393*$P$3,B393=2016,L393*$P$4,B393=2017,L393*$P$5,B393=2018,L393*$P$6,B393=2019,L393*$P$7,B393=2020,L393*$P$8,B393=2021,L393*$P$9,B393=2022,L393*$P$10)</f>
        <v>5176.7118525450551</v>
      </c>
      <c r="I393" s="7">
        <f t="shared" si="15"/>
        <v>211518.71185254506</v>
      </c>
      <c r="J393">
        <f>IFERROR(VLOOKUP(F393,'LEAID Match'!$A$2:$B$227,2,FALSE),"")</f>
        <v>3807170</v>
      </c>
      <c r="K393">
        <f t="shared" si="14"/>
        <v>8</v>
      </c>
      <c r="L393" cm="1">
        <f t="array" ref="L393">_xlfn.IFS(B393=2015,G393/$P$13,B393=2016,G393/$P$14,B393=2017,G393/$P$15,B393=2018,G393/$P$16,B393=2019,G393/$P$17,B393=2019,G393/$P$18,B393=2020,G393/$P$18,B393=2021,G393/$P$19,B393=2022,G393/$P$20)</f>
        <v>2.2179570919216175E-3</v>
      </c>
    </row>
    <row r="394" spans="1:12" x14ac:dyDescent="0.2">
      <c r="A394">
        <v>3807170</v>
      </c>
      <c r="B394" s="5">
        <v>2021</v>
      </c>
      <c r="C394" t="s">
        <v>252</v>
      </c>
      <c r="D394" t="s">
        <v>254</v>
      </c>
      <c r="E394" t="s">
        <v>256</v>
      </c>
      <c r="F394" s="5" t="s">
        <v>94</v>
      </c>
      <c r="G394" s="7">
        <v>233801</v>
      </c>
      <c r="H394" s="7" cm="1">
        <f t="array" ref="H394">_xlfn.IFS(B394=2015,L394*$P$3,B394=2016,L394*$P$4,B394=2017,L394*$P$5,B394=2018,L394*$P$6,B394=2019,L394*$P$7,B394=2020,L394*$P$8,B394=2021,L394*$P$9,B394=2022,L394*$P$10)</f>
        <v>6388.4471320106122</v>
      </c>
      <c r="I394" s="7">
        <f t="shared" si="15"/>
        <v>240189.44713201062</v>
      </c>
      <c r="J394">
        <f>IFERROR(VLOOKUP(F394,'LEAID Match'!$A$2:$B$227,2,FALSE),"")</f>
        <v>3807170</v>
      </c>
      <c r="K394">
        <f t="shared" si="14"/>
        <v>8</v>
      </c>
      <c r="L394" cm="1">
        <f t="array" ref="L394">_xlfn.IFS(B394=2015,G394/$P$13,B394=2016,G394/$P$14,B394=2017,G394/$P$15,B394=2018,G394/$P$16,B394=2019,G394/$P$17,B394=2019,G394/$P$18,B394=2020,G394/$P$18,B394=2021,G394/$P$19,B394=2022,G394/$P$20)</f>
        <v>2.3793099188121462E-3</v>
      </c>
    </row>
    <row r="395" spans="1:12" x14ac:dyDescent="0.2">
      <c r="A395">
        <v>3807170</v>
      </c>
      <c r="B395">
        <v>2022</v>
      </c>
      <c r="C395" t="s">
        <v>252</v>
      </c>
      <c r="D395" t="s">
        <v>254</v>
      </c>
      <c r="E395" t="s">
        <v>256</v>
      </c>
      <c r="F395" s="5" t="s">
        <v>94</v>
      </c>
      <c r="G395" s="7">
        <v>257938</v>
      </c>
      <c r="H395" s="7" cm="1">
        <f t="array" ref="H395">_xlfn.IFS(B395=2015,L395*$P$3,B395=2016,L395*$P$4,B395=2017,L395*$P$5,B395=2018,L395*$P$6,B395=2019,L395*$P$7,B395=2020,L395*$P$8,B395=2021,L395*$P$9,B395=2022,L395*$P$10)</f>
        <v>5249.6993960332074</v>
      </c>
      <c r="I395" s="7">
        <f t="shared" si="15"/>
        <v>263187.69939603319</v>
      </c>
      <c r="J395">
        <f>IFERROR(VLOOKUP(F395,'LEAID Match'!$A$2:$B$227,2,FALSE),"")</f>
        <v>3807170</v>
      </c>
      <c r="K395">
        <f t="shared" si="14"/>
        <v>8</v>
      </c>
      <c r="L395" cm="1">
        <f t="array" ref="L395">_xlfn.IFS(B395=2015,G395/$P$13,B395=2016,G395/$P$14,B395=2017,G395/$P$15,B395=2018,G395/$P$16,B395=2019,G395/$P$17,B395=2019,G395/$P$18,B395=2020,G395/$P$18,B395=2021,G395/$P$19,B395=2022,G395/$P$20)</f>
        <v>2.5708616043257628E-3</v>
      </c>
    </row>
    <row r="396" spans="1:12" x14ac:dyDescent="0.2">
      <c r="A396">
        <v>3807200</v>
      </c>
      <c r="B396">
        <v>2015</v>
      </c>
      <c r="C396" t="s">
        <v>252</v>
      </c>
      <c r="D396" t="s">
        <v>254</v>
      </c>
      <c r="E396" t="s">
        <v>256</v>
      </c>
      <c r="F396" s="5" t="s">
        <v>95</v>
      </c>
      <c r="G396" s="7">
        <v>142647</v>
      </c>
      <c r="H396" s="7" cm="1">
        <f t="array" ref="H396">_xlfn.IFS(B396=2015,L396*$P$3,B396=2016,L396*$P$4,B396=2017,L396*$P$5,B396=2018,L396*$P$6,B396=2019,L396*$P$7,B396=2020,L396*$P$8,B396=2021,L396*$P$9,B396=2022,L396*$P$10)</f>
        <v>3225.0236986767759</v>
      </c>
      <c r="I396" s="7">
        <f t="shared" si="15"/>
        <v>145872.02369867678</v>
      </c>
      <c r="J396">
        <f>IFERROR(VLOOKUP(F396,'LEAID Match'!$A$2:$B$227,2,FALSE),"")</f>
        <v>3807200</v>
      </c>
      <c r="K396">
        <f t="shared" si="14"/>
        <v>8</v>
      </c>
      <c r="L396" cm="1">
        <f t="array" ref="L396">_xlfn.IFS(B396=2015,G396/$P$13,B396=2016,G396/$P$14,B396=2017,G396/$P$15,B396=2018,G396/$P$16,B396=2019,G396/$P$17,B396=2019,G396/$P$18,B396=2020,G396/$P$18,B396=2021,G396/$P$19,B396=2022,G396/$P$20)</f>
        <v>1.8189642970540191E-3</v>
      </c>
    </row>
    <row r="397" spans="1:12" x14ac:dyDescent="0.2">
      <c r="A397">
        <v>3807200</v>
      </c>
      <c r="B397">
        <v>2016</v>
      </c>
      <c r="C397" t="s">
        <v>252</v>
      </c>
      <c r="D397" t="s">
        <v>254</v>
      </c>
      <c r="E397" t="s">
        <v>256</v>
      </c>
      <c r="F397" s="5" t="s">
        <v>95</v>
      </c>
      <c r="G397" s="7">
        <v>147363</v>
      </c>
      <c r="H397" s="7" cm="1">
        <f t="array" ref="H397">_xlfn.IFS(B397=2015,L397*$P$3,B397=2016,L397*$P$4,B397=2017,L397*$P$5,B397=2018,L397*$P$6,B397=2019,L397*$P$7,B397=2020,L397*$P$8,B397=2021,L397*$P$9,B397=2022,L397*$P$10)</f>
        <v>5004.0133302380464</v>
      </c>
      <c r="I397" s="7">
        <f t="shared" si="15"/>
        <v>152367.01333023806</v>
      </c>
      <c r="J397">
        <f>IFERROR(VLOOKUP(F397,'LEAID Match'!$A$2:$B$227,2,FALSE),"")</f>
        <v>3807200</v>
      </c>
      <c r="K397">
        <f t="shared" si="14"/>
        <v>8</v>
      </c>
      <c r="L397" cm="1">
        <f t="array" ref="L397">_xlfn.IFS(B397=2015,G397/$P$13,B397=2016,G397/$P$14,B397=2017,G397/$P$15,B397=2018,G397/$P$16,B397=2019,G397/$P$17,B397=2019,G397/$P$18,B397=2020,G397/$P$18,B397=2021,G397/$P$19,B397=2022,G397/$P$20)</f>
        <v>1.7788884927970303E-3</v>
      </c>
    </row>
    <row r="398" spans="1:12" x14ac:dyDescent="0.2">
      <c r="A398">
        <v>3807200</v>
      </c>
      <c r="B398">
        <v>2017</v>
      </c>
      <c r="C398" t="s">
        <v>252</v>
      </c>
      <c r="D398" t="s">
        <v>254</v>
      </c>
      <c r="E398" t="s">
        <v>256</v>
      </c>
      <c r="F398" s="5" t="s">
        <v>95</v>
      </c>
      <c r="G398" s="7">
        <v>168768</v>
      </c>
      <c r="H398" s="7" cm="1">
        <f t="array" ref="H398">_xlfn.IFS(B398=2015,L398*$P$3,B398=2016,L398*$P$4,B398=2017,L398*$P$5,B398=2018,L398*$P$6,B398=2019,L398*$P$7,B398=2020,L398*$P$8,B398=2021,L398*$P$9,B398=2022,L398*$P$10)</f>
        <v>5469.4419097774971</v>
      </c>
      <c r="I398" s="7">
        <f t="shared" si="15"/>
        <v>174237.4419097775</v>
      </c>
      <c r="J398">
        <f>IFERROR(VLOOKUP(F398,'LEAID Match'!$A$2:$B$227,2,FALSE),"")</f>
        <v>3807200</v>
      </c>
      <c r="K398">
        <f t="shared" si="14"/>
        <v>8</v>
      </c>
      <c r="L398" cm="1">
        <f t="array" ref="L398">_xlfn.IFS(B398=2015,G398/$P$13,B398=2016,G398/$P$14,B398=2017,G398/$P$15,B398=2018,G398/$P$16,B398=2019,G398/$P$17,B398=2019,G398/$P$18,B398=2020,G398/$P$18,B398=2021,G398/$P$19,B398=2022,G398/$P$20)</f>
        <v>1.9610763391098951E-3</v>
      </c>
    </row>
    <row r="399" spans="1:12" x14ac:dyDescent="0.2">
      <c r="A399">
        <v>3807200</v>
      </c>
      <c r="B399" s="5">
        <v>2018</v>
      </c>
      <c r="C399" t="s">
        <v>252</v>
      </c>
      <c r="D399" t="s">
        <v>254</v>
      </c>
      <c r="E399" t="s">
        <v>256</v>
      </c>
      <c r="F399" s="5" t="s">
        <v>95</v>
      </c>
      <c r="G399" s="7">
        <v>139896</v>
      </c>
      <c r="H399" s="7" cm="1">
        <f t="array" ref="H399">_xlfn.IFS(B399=2015,L399*$P$3,B399=2016,L399*$P$4,B399=2017,L399*$P$5,B399=2018,L399*$P$6,B399=2019,L399*$P$7,B399=2020,L399*$P$8,B399=2021,L399*$P$9,B399=2022,L399*$P$10)</f>
        <v>3833.2886937579569</v>
      </c>
      <c r="I399" s="7">
        <f t="shared" si="15"/>
        <v>143729.28869375796</v>
      </c>
      <c r="J399">
        <f>IFERROR(VLOOKUP(F399,'LEAID Match'!$A$2:$B$227,2,FALSE),"")</f>
        <v>3807200</v>
      </c>
      <c r="K399">
        <f t="shared" si="14"/>
        <v>8</v>
      </c>
      <c r="L399" cm="1">
        <f t="array" ref="L399">_xlfn.IFS(B399=2015,G399/$P$13,B399=2016,G399/$P$14,B399=2017,G399/$P$15,B399=2018,G399/$P$16,B399=2019,G399/$P$17,B399=2019,G399/$P$18,B399=2020,G399/$P$18,B399=2021,G399/$P$19,B399=2022,G399/$P$20)</f>
        <v>1.6140162921086134E-3</v>
      </c>
    </row>
    <row r="400" spans="1:12" x14ac:dyDescent="0.2">
      <c r="A400">
        <v>3807200</v>
      </c>
      <c r="B400">
        <v>2019</v>
      </c>
      <c r="C400" t="s">
        <v>252</v>
      </c>
      <c r="D400" t="s">
        <v>254</v>
      </c>
      <c r="E400" t="s">
        <v>256</v>
      </c>
      <c r="F400" s="5" t="s">
        <v>95</v>
      </c>
      <c r="G400" s="7">
        <v>147738</v>
      </c>
      <c r="H400" s="7" cm="1">
        <f t="array" ref="H400">_xlfn.IFS(B400=2015,L400*$P$3,B400=2016,L400*$P$4,B400=2017,L400*$P$5,B400=2018,L400*$P$6,B400=2019,L400*$P$7,B400=2020,L400*$P$8,B400=2021,L400*$P$9,B400=2022,L400*$P$10)</f>
        <v>3428.9731061185389</v>
      </c>
      <c r="I400" s="7">
        <f t="shared" si="15"/>
        <v>151166.97310611853</v>
      </c>
      <c r="J400">
        <f>IFERROR(VLOOKUP(F400,'LEAID Match'!$A$2:$B$227,2,FALSE),"")</f>
        <v>3807200</v>
      </c>
      <c r="K400">
        <f t="shared" si="14"/>
        <v>8</v>
      </c>
      <c r="L400" cm="1">
        <f t="array" ref="L400">_xlfn.IFS(B400=2015,G400/$P$13,B400=2016,G400/$P$14,B400=2017,G400/$P$15,B400=2018,G400/$P$16,B400=2019,G400/$P$17,B400=2019,G400/$P$18,B400=2020,G400/$P$18,B400=2021,G400/$P$19,B400=2022,G400/$P$20)</f>
        <v>1.6517211493827259E-3</v>
      </c>
    </row>
    <row r="401" spans="1:12" x14ac:dyDescent="0.2">
      <c r="A401">
        <v>3807200</v>
      </c>
      <c r="B401">
        <v>2020</v>
      </c>
      <c r="C401" t="s">
        <v>252</v>
      </c>
      <c r="D401" t="s">
        <v>254</v>
      </c>
      <c r="E401" t="s">
        <v>256</v>
      </c>
      <c r="F401" s="5" t="s">
        <v>95</v>
      </c>
      <c r="G401" s="7">
        <v>132609</v>
      </c>
      <c r="H401" s="7" cm="1">
        <f t="array" ref="H401">_xlfn.IFS(B401=2015,L401*$P$3,B401=2016,L401*$P$4,B401=2017,L401*$P$5,B401=2018,L401*$P$6,B401=2019,L401*$P$7,B401=2020,L401*$P$8,B401=2021,L401*$P$9,B401=2022,L401*$P$10)</f>
        <v>3326.8970062040066</v>
      </c>
      <c r="I401" s="7">
        <f t="shared" si="15"/>
        <v>135935.897006204</v>
      </c>
      <c r="J401">
        <f>IFERROR(VLOOKUP(F401,'LEAID Match'!$A$2:$B$227,2,FALSE),"")</f>
        <v>3807200</v>
      </c>
      <c r="K401">
        <f t="shared" si="14"/>
        <v>8</v>
      </c>
      <c r="L401" cm="1">
        <f t="array" ref="L401">_xlfn.IFS(B401=2015,G401/$P$13,B401=2016,G401/$P$14,B401=2017,G401/$P$15,B401=2018,G401/$P$16,B401=2019,G401/$P$17,B401=2019,G401/$P$18,B401=2020,G401/$P$18,B401=2021,G401/$P$19,B401=2022,G401/$P$20)</f>
        <v>1.4254057438748957E-3</v>
      </c>
    </row>
    <row r="402" spans="1:12" x14ac:dyDescent="0.2">
      <c r="A402">
        <v>3807200</v>
      </c>
      <c r="B402" s="5">
        <v>2021</v>
      </c>
      <c r="C402" t="s">
        <v>252</v>
      </c>
      <c r="D402" t="s">
        <v>254</v>
      </c>
      <c r="E402" t="s">
        <v>256</v>
      </c>
      <c r="F402" s="5" t="s">
        <v>95</v>
      </c>
      <c r="G402" s="7">
        <v>133909</v>
      </c>
      <c r="H402" s="7" cm="1">
        <f t="array" ref="H402">_xlfn.IFS(B402=2015,L402*$P$3,B402=2016,L402*$P$4,B402=2017,L402*$P$5,B402=2018,L402*$P$6,B402=2019,L402*$P$7,B402=2020,L402*$P$8,B402=2021,L402*$P$9,B402=2022,L402*$P$10)</f>
        <v>3658.9688110846791</v>
      </c>
      <c r="I402" s="7">
        <f t="shared" si="15"/>
        <v>137567.96881108469</v>
      </c>
      <c r="J402">
        <f>IFERROR(VLOOKUP(F402,'LEAID Match'!$A$2:$B$227,2,FALSE),"")</f>
        <v>3807200</v>
      </c>
      <c r="K402">
        <f t="shared" si="14"/>
        <v>8</v>
      </c>
      <c r="L402" cm="1">
        <f t="array" ref="L402">_xlfn.IFS(B402=2015,G402/$P$13,B402=2016,G402/$P$14,B402=2017,G402/$P$15,B402=2018,G402/$P$16,B402=2019,G402/$P$17,B402=2019,G402/$P$18,B402=2020,G402/$P$18,B402=2021,G402/$P$19,B402=2022,G402/$P$20)</f>
        <v>1.3627444361581672E-3</v>
      </c>
    </row>
    <row r="403" spans="1:12" x14ac:dyDescent="0.2">
      <c r="A403">
        <v>3807200</v>
      </c>
      <c r="B403">
        <v>2022</v>
      </c>
      <c r="C403" t="s">
        <v>252</v>
      </c>
      <c r="D403" t="s">
        <v>254</v>
      </c>
      <c r="E403" t="s">
        <v>256</v>
      </c>
      <c r="F403" s="5" t="s">
        <v>95</v>
      </c>
      <c r="G403" s="7">
        <v>125072</v>
      </c>
      <c r="H403" s="7" cm="1">
        <f t="array" ref="H403">_xlfn.IFS(B403=2015,L403*$P$3,B403=2016,L403*$P$4,B403=2017,L403*$P$5,B403=2018,L403*$P$6,B403=2019,L403*$P$7,B403=2020,L403*$P$8,B403=2021,L403*$P$9,B403=2022,L403*$P$10)</f>
        <v>2545.5357599914141</v>
      </c>
      <c r="I403" s="7">
        <f t="shared" si="15"/>
        <v>127617.53575999141</v>
      </c>
      <c r="J403">
        <f>IFERROR(VLOOKUP(F403,'LEAID Match'!$A$2:$B$227,2,FALSE),"")</f>
        <v>3807200</v>
      </c>
      <c r="K403">
        <f t="shared" si="14"/>
        <v>8</v>
      </c>
      <c r="L403" cm="1">
        <f t="array" ref="L403">_xlfn.IFS(B403=2015,G403/$P$13,B403=2016,G403/$P$14,B403=2017,G403/$P$15,B403=2018,G403/$P$16,B403=2019,G403/$P$17,B403=2019,G403/$P$18,B403=2020,G403/$P$18,B403=2021,G403/$P$19,B403=2022,G403/$P$20)</f>
        <v>1.2465895004855113E-3</v>
      </c>
    </row>
    <row r="404" spans="1:12" x14ac:dyDescent="0.2">
      <c r="A404">
        <v>3800043</v>
      </c>
      <c r="B404">
        <v>2015</v>
      </c>
      <c r="C404" t="s">
        <v>252</v>
      </c>
      <c r="D404" t="s">
        <v>254</v>
      </c>
      <c r="E404" t="s">
        <v>256</v>
      </c>
      <c r="F404" s="5" t="s">
        <v>96</v>
      </c>
      <c r="G404" s="7">
        <v>92375</v>
      </c>
      <c r="H404" s="7" cm="1">
        <f t="array" ref="H404">_xlfn.IFS(B404=2015,L404*$P$3,B404=2016,L404*$P$4,B404=2017,L404*$P$5,B404=2018,L404*$P$6,B404=2019,L404*$P$7,B404=2020,L404*$P$8,B404=2021,L404*$P$9,B404=2022,L404*$P$10)</f>
        <v>2088.4530636134455</v>
      </c>
      <c r="I404" s="7">
        <f t="shared" si="15"/>
        <v>94463.453063613444</v>
      </c>
      <c r="J404">
        <f>IFERROR(VLOOKUP(F404,'LEAID Match'!$A$2:$B$227,2,FALSE),"")</f>
        <v>3800043</v>
      </c>
      <c r="K404">
        <f t="shared" si="14"/>
        <v>8</v>
      </c>
      <c r="L404" cm="1">
        <f t="array" ref="L404">_xlfn.IFS(B404=2015,G404/$P$13,B404=2016,G404/$P$14,B404=2017,G404/$P$15,B404=2018,G404/$P$16,B404=2019,G404/$P$17,B404=2019,G404/$P$18,B404=2020,G404/$P$18,B404=2021,G404/$P$19,B404=2022,G404/$P$20)</f>
        <v>1.1779205096522536E-3</v>
      </c>
    </row>
    <row r="405" spans="1:12" x14ac:dyDescent="0.2">
      <c r="A405">
        <v>3800043</v>
      </c>
      <c r="B405">
        <v>2016</v>
      </c>
      <c r="C405" t="s">
        <v>252</v>
      </c>
      <c r="D405" t="s">
        <v>254</v>
      </c>
      <c r="E405" t="s">
        <v>256</v>
      </c>
      <c r="F405" s="5" t="s">
        <v>96</v>
      </c>
      <c r="G405" s="7">
        <v>99171</v>
      </c>
      <c r="H405" s="7" cm="1">
        <f t="array" ref="H405">_xlfn.IFS(B405=2015,L405*$P$3,B405=2016,L405*$P$4,B405=2017,L405*$P$5,B405=2018,L405*$P$6,B405=2019,L405*$P$7,B405=2020,L405*$P$8,B405=2021,L405*$P$9,B405=2022,L405*$P$10)</f>
        <v>3367.5549898755953</v>
      </c>
      <c r="I405" s="7">
        <f t="shared" si="15"/>
        <v>102538.5549898756</v>
      </c>
      <c r="J405">
        <f>IFERROR(VLOOKUP(F405,'LEAID Match'!$A$2:$B$227,2,FALSE),"")</f>
        <v>3800043</v>
      </c>
      <c r="K405">
        <f t="shared" si="14"/>
        <v>8</v>
      </c>
      <c r="L405" cm="1">
        <f t="array" ref="L405">_xlfn.IFS(B405=2015,G405/$P$13,B405=2016,G405/$P$14,B405=2017,G405/$P$15,B405=2018,G405/$P$16,B405=2019,G405/$P$17,B405=2019,G405/$P$18,B405=2020,G405/$P$18,B405=2021,G405/$P$19,B405=2022,G405/$P$20)</f>
        <v>1.1971400603894757E-3</v>
      </c>
    </row>
    <row r="406" spans="1:12" x14ac:dyDescent="0.2">
      <c r="A406">
        <v>3800043</v>
      </c>
      <c r="B406">
        <v>2017</v>
      </c>
      <c r="C406" t="s">
        <v>252</v>
      </c>
      <c r="D406" t="s">
        <v>254</v>
      </c>
      <c r="E406" t="s">
        <v>256</v>
      </c>
      <c r="F406" s="5" t="s">
        <v>96</v>
      </c>
      <c r="G406" s="7">
        <v>101248</v>
      </c>
      <c r="H406" s="7" cm="1">
        <f t="array" ref="H406">_xlfn.IFS(B406=2015,L406*$P$3,B406=2016,L406*$P$4,B406=2017,L406*$P$5,B406=2018,L406*$P$6,B406=2019,L406*$P$7,B406=2020,L406*$P$8,B406=2021,L406*$P$9,B406=2022,L406*$P$10)</f>
        <v>3281.2503228168375</v>
      </c>
      <c r="I406" s="7">
        <f t="shared" si="15"/>
        <v>104529.25032281684</v>
      </c>
      <c r="J406">
        <f>IFERROR(VLOOKUP(F406,'LEAID Match'!$A$2:$B$227,2,FALSE),"")</f>
        <v>3800043</v>
      </c>
      <c r="K406">
        <f t="shared" si="14"/>
        <v>8</v>
      </c>
      <c r="L406" cm="1">
        <f t="array" ref="L406">_xlfn.IFS(B406=2015,G406/$P$13,B406=2016,G406/$P$14,B406=2017,G406/$P$15,B406=2018,G406/$P$16,B406=2019,G406/$P$17,B406=2019,G406/$P$18,B406=2020,G406/$P$18,B406=2021,G406/$P$19,B406=2022,G406/$P$20)</f>
        <v>1.1764970680591027E-3</v>
      </c>
    </row>
    <row r="407" spans="1:12" x14ac:dyDescent="0.2">
      <c r="A407">
        <v>3800043</v>
      </c>
      <c r="B407" s="5">
        <v>2018</v>
      </c>
      <c r="C407" t="s">
        <v>252</v>
      </c>
      <c r="D407" t="s">
        <v>254</v>
      </c>
      <c r="E407" t="s">
        <v>256</v>
      </c>
      <c r="F407" s="5" t="s">
        <v>96</v>
      </c>
      <c r="G407" s="7">
        <v>102320</v>
      </c>
      <c r="H407" s="7" cm="1">
        <f t="array" ref="H407">_xlfn.IFS(B407=2015,L407*$P$3,B407=2016,L407*$P$4,B407=2017,L407*$P$5,B407=2018,L407*$P$6,B407=2019,L407*$P$7,B407=2020,L407*$P$8,B407=2021,L407*$P$9,B407=2022,L407*$P$10)</f>
        <v>2803.6691481194184</v>
      </c>
      <c r="I407" s="7">
        <f t="shared" si="15"/>
        <v>105123.66914811941</v>
      </c>
      <c r="J407">
        <f>IFERROR(VLOOKUP(F407,'LEAID Match'!$A$2:$B$227,2,FALSE),"")</f>
        <v>3800043</v>
      </c>
      <c r="K407">
        <f t="shared" si="14"/>
        <v>8</v>
      </c>
      <c r="L407" cm="1">
        <f t="array" ref="L407">_xlfn.IFS(B407=2015,G407/$P$13,B407=2016,G407/$P$14,B407=2017,G407/$P$15,B407=2018,G407/$P$16,B407=2019,G407/$P$17,B407=2019,G407/$P$18,B407=2020,G407/$P$18,B407=2021,G407/$P$19,B407=2022,G407/$P$20)</f>
        <v>1.1804922728923866E-3</v>
      </c>
    </row>
    <row r="408" spans="1:12" x14ac:dyDescent="0.2">
      <c r="A408">
        <v>3800043</v>
      </c>
      <c r="B408">
        <v>2019</v>
      </c>
      <c r="C408" t="s">
        <v>252</v>
      </c>
      <c r="D408" t="s">
        <v>254</v>
      </c>
      <c r="E408" t="s">
        <v>256</v>
      </c>
      <c r="F408" s="5" t="s">
        <v>96</v>
      </c>
      <c r="G408" s="7">
        <v>104395</v>
      </c>
      <c r="H408" s="7" cm="1">
        <f t="array" ref="H408">_xlfn.IFS(B408=2015,L408*$P$3,B408=2016,L408*$P$4,B408=2017,L408*$P$5,B408=2018,L408*$P$6,B408=2019,L408*$P$7,B408=2020,L408*$P$8,B408=2021,L408*$P$9,B408=2022,L408*$P$10)</f>
        <v>2422.9896669323052</v>
      </c>
      <c r="I408" s="7">
        <f t="shared" si="15"/>
        <v>106817.98966693231</v>
      </c>
      <c r="J408">
        <f>IFERROR(VLOOKUP(F408,'LEAID Match'!$A$2:$B$227,2,FALSE),"")</f>
        <v>3800043</v>
      </c>
      <c r="K408">
        <f t="shared" si="14"/>
        <v>8</v>
      </c>
      <c r="L408" cm="1">
        <f t="array" ref="L408">_xlfn.IFS(B408=2015,G408/$P$13,B408=2016,G408/$P$14,B408=2017,G408/$P$15,B408=2018,G408/$P$16,B408=2019,G408/$P$17,B408=2019,G408/$P$18,B408=2020,G408/$P$18,B408=2021,G408/$P$19,B408=2022,G408/$P$20)</f>
        <v>1.1671433848421508E-3</v>
      </c>
    </row>
    <row r="409" spans="1:12" x14ac:dyDescent="0.2">
      <c r="A409">
        <v>3800043</v>
      </c>
      <c r="B409">
        <v>2020</v>
      </c>
      <c r="C409" t="s">
        <v>252</v>
      </c>
      <c r="D409" t="s">
        <v>254</v>
      </c>
      <c r="E409" t="s">
        <v>256</v>
      </c>
      <c r="F409" s="5" t="s">
        <v>96</v>
      </c>
      <c r="G409" s="7">
        <v>106553</v>
      </c>
      <c r="H409" s="7" cm="1">
        <f t="array" ref="H409">_xlfn.IFS(B409=2015,L409*$P$3,B409=2016,L409*$P$4,B409=2017,L409*$P$5,B409=2018,L409*$P$6,B409=2019,L409*$P$7,B409=2020,L409*$P$8,B409=2021,L409*$P$9,B409=2022,L409*$P$10)</f>
        <v>2673.2036038432952</v>
      </c>
      <c r="I409" s="7">
        <f t="shared" si="15"/>
        <v>109226.2036038433</v>
      </c>
      <c r="J409">
        <f>IFERROR(VLOOKUP(F409,'LEAID Match'!$A$2:$B$227,2,FALSE),"")</f>
        <v>3800043</v>
      </c>
      <c r="K409">
        <f t="shared" si="14"/>
        <v>8</v>
      </c>
      <c r="L409" cm="1">
        <f t="array" ref="L409">_xlfn.IFS(B409=2015,G409/$P$13,B409=2016,G409/$P$14,B409=2017,G409/$P$15,B409=2018,G409/$P$16,B409=2019,G409/$P$17,B409=2019,G409/$P$18,B409=2020,G409/$P$18,B409=2021,G409/$P$19,B409=2022,G409/$P$20)</f>
        <v>1.1453314498043254E-3</v>
      </c>
    </row>
    <row r="410" spans="1:12" x14ac:dyDescent="0.2">
      <c r="A410">
        <v>3800043</v>
      </c>
      <c r="B410" s="5">
        <v>2021</v>
      </c>
      <c r="C410" t="s">
        <v>252</v>
      </c>
      <c r="D410" t="s">
        <v>254</v>
      </c>
      <c r="E410" t="s">
        <v>256</v>
      </c>
      <c r="F410" s="5" t="s">
        <v>96</v>
      </c>
      <c r="G410" s="7">
        <v>112921</v>
      </c>
      <c r="H410" s="7" cm="1">
        <f t="array" ref="H410">_xlfn.IFS(B410=2015,L410*$P$3,B410=2016,L410*$P$4,B410=2017,L410*$P$5,B410=2018,L410*$P$6,B410=2019,L410*$P$7,B410=2020,L410*$P$8,B410=2021,L410*$P$9,B410=2022,L410*$P$10)</f>
        <v>3085.4865402362279</v>
      </c>
      <c r="I410" s="7">
        <f t="shared" si="15"/>
        <v>116006.48654023623</v>
      </c>
      <c r="J410">
        <f>IFERROR(VLOOKUP(F410,'LEAID Match'!$A$2:$B$227,2,FALSE),"")</f>
        <v>3800043</v>
      </c>
      <c r="K410">
        <f t="shared" si="14"/>
        <v>8</v>
      </c>
      <c r="L410" cm="1">
        <f t="array" ref="L410">_xlfn.IFS(B410=2015,G410/$P$13,B410=2016,G410/$P$14,B410=2017,G410/$P$15,B410=2018,G410/$P$16,B410=2019,G410/$P$17,B410=2019,G410/$P$18,B410=2020,G410/$P$18,B410=2021,G410/$P$19,B410=2022,G410/$P$20)</f>
        <v>1.1491569982257832E-3</v>
      </c>
    </row>
    <row r="411" spans="1:12" x14ac:dyDescent="0.2">
      <c r="A411">
        <v>3800043</v>
      </c>
      <c r="B411">
        <v>2022</v>
      </c>
      <c r="C411" t="s">
        <v>252</v>
      </c>
      <c r="D411" t="s">
        <v>254</v>
      </c>
      <c r="E411" t="s">
        <v>256</v>
      </c>
      <c r="F411" s="5" t="s">
        <v>96</v>
      </c>
      <c r="G411" s="7">
        <v>115900</v>
      </c>
      <c r="H411" s="7" cm="1">
        <f t="array" ref="H411">_xlfn.IFS(B411=2015,L411*$P$3,B411=2016,L411*$P$4,B411=2017,L411*$P$5,B411=2018,L411*$P$6,B411=2019,L411*$P$7,B411=2020,L411*$P$8,B411=2021,L411*$P$9,B411=2022,L411*$P$10)</f>
        <v>2358.8620521220168</v>
      </c>
      <c r="I411" s="7">
        <f t="shared" si="15"/>
        <v>118258.86205212201</v>
      </c>
      <c r="J411">
        <f>IFERROR(VLOOKUP(F411,'LEAID Match'!$A$2:$B$227,2,FALSE),"")</f>
        <v>3800043</v>
      </c>
      <c r="K411">
        <f t="shared" si="14"/>
        <v>8</v>
      </c>
      <c r="L411" cm="1">
        <f t="array" ref="L411">_xlfn.IFS(B411=2015,G411/$P$13,B411=2016,G411/$P$14,B411=2017,G411/$P$15,B411=2018,G411/$P$16,B411=2019,G411/$P$17,B411=2019,G411/$P$18,B411=2020,G411/$P$18,B411=2021,G411/$P$19,B411=2022,G411/$P$20)</f>
        <v>1.1551724055445724E-3</v>
      </c>
    </row>
    <row r="412" spans="1:12" x14ac:dyDescent="0.2">
      <c r="A412">
        <v>3807590</v>
      </c>
      <c r="B412">
        <v>2015</v>
      </c>
      <c r="C412" t="s">
        <v>252</v>
      </c>
      <c r="D412" t="s">
        <v>254</v>
      </c>
      <c r="E412" t="s">
        <v>256</v>
      </c>
      <c r="F412" s="5" t="s">
        <v>198</v>
      </c>
      <c r="G412" s="7">
        <v>285657</v>
      </c>
      <c r="H412" s="7" cm="1">
        <f t="array" ref="H412">_xlfn.IFS(B412=2015,L412*$P$3,B412=2016,L412*$P$4,B412=2017,L412*$P$5,B412=2018,L412*$P$6,B412=2019,L412*$P$7,B412=2020,L412*$P$8,B412=2021,L412*$P$9,B412=2022,L412*$P$10)</f>
        <v>6458.254254859281</v>
      </c>
      <c r="I412" s="7">
        <f t="shared" si="15"/>
        <v>292115.25425485929</v>
      </c>
      <c r="J412">
        <f>IFERROR(VLOOKUP(F412,'LEAID Match'!$A$2:$B$227,2,FALSE),"")</f>
        <v>3807590</v>
      </c>
      <c r="K412">
        <f t="shared" si="14"/>
        <v>8</v>
      </c>
      <c r="L412" cm="1">
        <f t="array" ref="L412">_xlfn.IFS(B412=2015,G412/$P$13,B412=2016,G412/$P$14,B412=2017,G412/$P$15,B412=2018,G412/$P$16,B412=2019,G412/$P$17,B412=2019,G412/$P$18,B412=2020,G412/$P$18,B412=2021,G412/$P$19,B412=2022,G412/$P$20)</f>
        <v>3.6425573913475922E-3</v>
      </c>
    </row>
    <row r="413" spans="1:12" x14ac:dyDescent="0.2">
      <c r="A413">
        <v>3807590</v>
      </c>
      <c r="B413">
        <v>2016</v>
      </c>
      <c r="C413" t="s">
        <v>252</v>
      </c>
      <c r="D413" t="s">
        <v>254</v>
      </c>
      <c r="E413" t="s">
        <v>256</v>
      </c>
      <c r="F413" s="5" t="s">
        <v>198</v>
      </c>
      <c r="G413" s="7">
        <v>293208</v>
      </c>
      <c r="H413" s="7" cm="1">
        <f t="array" ref="H413">_xlfn.IFS(B413=2015,L413*$P$3,B413=2016,L413*$P$4,B413=2017,L413*$P$5,B413=2018,L413*$P$6,B413=2019,L413*$P$7,B413=2020,L413*$P$8,B413=2021,L413*$P$9,B413=2022,L413*$P$10)</f>
        <v>9956.4798526932627</v>
      </c>
      <c r="I413" s="7">
        <f t="shared" si="15"/>
        <v>303164.47985269327</v>
      </c>
      <c r="J413">
        <f>IFERROR(VLOOKUP(F413,'LEAID Match'!$A$2:$B$227,2,FALSE),"")</f>
        <v>3807590</v>
      </c>
      <c r="K413">
        <f t="shared" si="14"/>
        <v>8</v>
      </c>
      <c r="L413" cm="1">
        <f t="array" ref="L413">_xlfn.IFS(B413=2015,G413/$P$13,B413=2016,G413/$P$14,B413=2017,G413/$P$15,B413=2018,G413/$P$16,B413=2019,G413/$P$17,B413=2019,G413/$P$18,B413=2020,G413/$P$18,B413=2021,G413/$P$19,B413=2022,G413/$P$20)</f>
        <v>3.5394524894039325E-3</v>
      </c>
    </row>
    <row r="414" spans="1:12" x14ac:dyDescent="0.2">
      <c r="A414">
        <v>3807590</v>
      </c>
      <c r="B414">
        <v>2017</v>
      </c>
      <c r="C414" t="s">
        <v>252</v>
      </c>
      <c r="D414" t="s">
        <v>254</v>
      </c>
      <c r="E414" t="s">
        <v>256</v>
      </c>
      <c r="F414" s="5" t="s">
        <v>198</v>
      </c>
      <c r="G414" s="7">
        <v>298263</v>
      </c>
      <c r="H414" s="7" cm="1">
        <f t="array" ref="H414">_xlfn.IFS(B414=2015,L414*$P$3,B414=2016,L414*$P$4,B414=2017,L414*$P$5,B414=2018,L414*$P$6,B414=2019,L414*$P$7,B414=2020,L414*$P$8,B414=2021,L414*$P$9,B414=2022,L414*$P$10)</f>
        <v>9666.1224422637333</v>
      </c>
      <c r="I414" s="7">
        <f t="shared" si="15"/>
        <v>307929.12244226376</v>
      </c>
      <c r="J414">
        <f>IFERROR(VLOOKUP(F414,'LEAID Match'!$A$2:$B$227,2,FALSE),"")</f>
        <v>3807590</v>
      </c>
      <c r="K414">
        <f t="shared" si="14"/>
        <v>8</v>
      </c>
      <c r="L414" cm="1">
        <f t="array" ref="L414">_xlfn.IFS(B414=2015,G414/$P$13,B414=2016,G414/$P$14,B414=2017,G414/$P$15,B414=2018,G414/$P$16,B414=2019,G414/$P$17,B414=2019,G414/$P$18,B414=2020,G414/$P$18,B414=2021,G414/$P$19,B414=2022,G414/$P$20)</f>
        <v>3.4658022381727259E-3</v>
      </c>
    </row>
    <row r="415" spans="1:12" x14ac:dyDescent="0.2">
      <c r="A415">
        <v>3807590</v>
      </c>
      <c r="B415" s="5">
        <v>2018</v>
      </c>
      <c r="C415" t="s">
        <v>252</v>
      </c>
      <c r="D415" t="s">
        <v>254</v>
      </c>
      <c r="E415" t="s">
        <v>256</v>
      </c>
      <c r="F415" s="5" t="s">
        <v>198</v>
      </c>
      <c r="G415" s="7">
        <v>300632</v>
      </c>
      <c r="H415" s="7" cm="1">
        <f t="array" ref="H415">_xlfn.IFS(B415=2015,L415*$P$3,B415=2016,L415*$P$4,B415=2017,L415*$P$5,B415=2018,L415*$P$6,B415=2019,L415*$P$7,B415=2020,L415*$P$8,B415=2021,L415*$P$9,B415=2022,L415*$P$10)</f>
        <v>8237.6139888334328</v>
      </c>
      <c r="I415" s="7">
        <f t="shared" si="15"/>
        <v>308869.61398883344</v>
      </c>
      <c r="J415">
        <f>IFERROR(VLOOKUP(F415,'LEAID Match'!$A$2:$B$227,2,FALSE),"")</f>
        <v>3807590</v>
      </c>
      <c r="K415">
        <f t="shared" si="14"/>
        <v>8</v>
      </c>
      <c r="L415" cm="1">
        <f t="array" ref="L415">_xlfn.IFS(B415=2015,G415/$P$13,B415=2016,G415/$P$14,B415=2017,G415/$P$15,B415=2018,G415/$P$16,B415=2019,G415/$P$17,B415=2019,G415/$P$18,B415=2020,G415/$P$18,B415=2021,G415/$P$19,B415=2022,G415/$P$20)</f>
        <v>3.4684690479298667E-3</v>
      </c>
    </row>
    <row r="416" spans="1:12" x14ac:dyDescent="0.2">
      <c r="A416">
        <v>3807590</v>
      </c>
      <c r="B416">
        <v>2019</v>
      </c>
      <c r="C416" t="s">
        <v>252</v>
      </c>
      <c r="D416" t="s">
        <v>254</v>
      </c>
      <c r="E416" t="s">
        <v>256</v>
      </c>
      <c r="F416" s="5" t="s">
        <v>198</v>
      </c>
      <c r="G416" s="7">
        <v>297315</v>
      </c>
      <c r="H416" s="7" cm="1">
        <f t="array" ref="H416">_xlfn.IFS(B416=2015,L416*$P$3,B416=2016,L416*$P$4,B416=2017,L416*$P$5,B416=2018,L416*$P$6,B416=2019,L416*$P$7,B416=2020,L416*$P$8,B416=2021,L416*$P$9,B416=2022,L416*$P$10)</f>
        <v>6900.6290801664663</v>
      </c>
      <c r="I416" s="7">
        <f t="shared" si="15"/>
        <v>304215.62908016646</v>
      </c>
      <c r="J416">
        <f>IFERROR(VLOOKUP(F416,'LEAID Match'!$A$2:$B$227,2,FALSE),"")</f>
        <v>3807590</v>
      </c>
      <c r="K416">
        <f t="shared" si="14"/>
        <v>8</v>
      </c>
      <c r="L416" cm="1">
        <f t="array" ref="L416">_xlfn.IFS(B416=2015,G416/$P$13,B416=2016,G416/$P$14,B416=2017,G416/$P$15,B416=2018,G416/$P$16,B416=2019,G416/$P$17,B416=2019,G416/$P$18,B416=2020,G416/$P$18,B416=2021,G416/$P$19,B416=2022,G416/$P$20)</f>
        <v>3.3240024470936737E-3</v>
      </c>
    </row>
    <row r="417" spans="1:12" x14ac:dyDescent="0.2">
      <c r="A417">
        <v>3807590</v>
      </c>
      <c r="B417">
        <v>2020</v>
      </c>
      <c r="C417" t="s">
        <v>252</v>
      </c>
      <c r="D417" t="s">
        <v>254</v>
      </c>
      <c r="E417" t="s">
        <v>256</v>
      </c>
      <c r="F417" s="5" t="s">
        <v>198</v>
      </c>
      <c r="G417" s="7">
        <v>306668</v>
      </c>
      <c r="H417" s="7" cm="1">
        <f t="array" ref="H417">_xlfn.IFS(B417=2015,L417*$P$3,B417=2016,L417*$P$4,B417=2017,L417*$P$5,B417=2018,L417*$P$6,B417=2019,L417*$P$7,B417=2020,L417*$P$8,B417=2021,L417*$P$9,B417=2022,L417*$P$10)</f>
        <v>7693.6923670231308</v>
      </c>
      <c r="I417" s="7">
        <f t="shared" si="15"/>
        <v>314361.69236702315</v>
      </c>
      <c r="J417">
        <f>IFERROR(VLOOKUP(F417,'LEAID Match'!$A$2:$B$227,2,FALSE),"")</f>
        <v>3807590</v>
      </c>
      <c r="K417">
        <f t="shared" si="14"/>
        <v>8</v>
      </c>
      <c r="L417" cm="1">
        <f t="array" ref="L417">_xlfn.IFS(B417=2015,G417/$P$13,B417=2016,G417/$P$14,B417=2017,G417/$P$15,B417=2018,G417/$P$16,B417=2019,G417/$P$17,B417=2019,G417/$P$18,B417=2020,G417/$P$18,B417=2021,G417/$P$19,B417=2022,G417/$P$20)</f>
        <v>3.2963549130347602E-3</v>
      </c>
    </row>
    <row r="418" spans="1:12" x14ac:dyDescent="0.2">
      <c r="A418">
        <v>3807590</v>
      </c>
      <c r="B418" s="5">
        <v>2021</v>
      </c>
      <c r="C418" t="s">
        <v>252</v>
      </c>
      <c r="D418" t="s">
        <v>254</v>
      </c>
      <c r="E418" t="s">
        <v>256</v>
      </c>
      <c r="F418" s="5" t="s">
        <v>198</v>
      </c>
      <c r="G418" s="7">
        <v>324721</v>
      </c>
      <c r="H418" s="7" cm="1">
        <f t="array" ref="H418">_xlfn.IFS(B418=2015,L418*$P$3,B418=2016,L418*$P$4,B418=2017,L418*$P$5,B418=2018,L418*$P$6,B418=2019,L418*$P$7,B418=2020,L418*$P$8,B418=2021,L418*$P$9,B418=2022,L418*$P$10)</f>
        <v>8872.7718921374071</v>
      </c>
      <c r="I418" s="7">
        <f t="shared" si="15"/>
        <v>333593.77189213742</v>
      </c>
      <c r="J418">
        <f>IFERROR(VLOOKUP(F418,'LEAID Match'!$A$2:$B$227,2,FALSE),"")</f>
        <v>3807590</v>
      </c>
      <c r="K418">
        <f t="shared" si="14"/>
        <v>8</v>
      </c>
      <c r="L418" cm="1">
        <f t="array" ref="L418">_xlfn.IFS(B418=2015,G418/$P$13,B418=2016,G418/$P$14,B418=2017,G418/$P$15,B418=2018,G418/$P$16,B418=2019,G418/$P$17,B418=2019,G418/$P$18,B418=2020,G418/$P$18,B418=2021,G418/$P$19,B418=2022,G418/$P$20)</f>
        <v>3.304570537108904E-3</v>
      </c>
    </row>
    <row r="419" spans="1:12" x14ac:dyDescent="0.2">
      <c r="A419">
        <v>3807590</v>
      </c>
      <c r="B419">
        <v>2022</v>
      </c>
      <c r="C419" t="s">
        <v>252</v>
      </c>
      <c r="D419" t="s">
        <v>254</v>
      </c>
      <c r="E419" t="s">
        <v>256</v>
      </c>
      <c r="F419" s="5" t="s">
        <v>198</v>
      </c>
      <c r="G419" s="7">
        <v>322356</v>
      </c>
      <c r="H419" s="7" cm="1">
        <f t="array" ref="H419">_xlfn.IFS(B419=2015,L419*$P$3,B419=2016,L419*$P$4,B419=2017,L419*$P$5,B419=2018,L419*$P$6,B419=2019,L419*$P$7,B419=2020,L419*$P$8,B419=2021,L419*$P$9,B419=2022,L419*$P$10)</f>
        <v>6560.7707996017671</v>
      </c>
      <c r="I419" s="7">
        <f t="shared" si="15"/>
        <v>328916.77079960174</v>
      </c>
      <c r="J419">
        <f>IFERROR(VLOOKUP(F419,'LEAID Match'!$A$2:$B$227,2,FALSE),"")</f>
        <v>3807590</v>
      </c>
      <c r="K419">
        <f t="shared" si="14"/>
        <v>8</v>
      </c>
      <c r="L419" cm="1">
        <f t="array" ref="L419">_xlfn.IFS(B419=2015,G419/$P$13,B419=2016,G419/$P$14,B419=2017,G419/$P$15,B419=2018,G419/$P$16,B419=2019,G419/$P$17,B419=2019,G419/$P$18,B419=2020,G419/$P$18,B419=2021,G419/$P$19,B419=2022,G419/$P$20)</f>
        <v>3.2129142015679566E-3</v>
      </c>
    </row>
    <row r="420" spans="1:12" x14ac:dyDescent="0.2">
      <c r="A420">
        <v>3807830</v>
      </c>
      <c r="B420">
        <v>2015</v>
      </c>
      <c r="C420" t="s">
        <v>252</v>
      </c>
      <c r="D420" t="s">
        <v>254</v>
      </c>
      <c r="E420" t="s">
        <v>256</v>
      </c>
      <c r="F420" s="5" t="s">
        <v>97</v>
      </c>
      <c r="G420" s="7">
        <v>141096</v>
      </c>
      <c r="H420" s="7" cm="1">
        <f t="array" ref="H420">_xlfn.IFS(B420=2015,L420*$P$3,B420=2016,L420*$P$4,B420=2017,L420*$P$5,B420=2018,L420*$P$6,B420=2019,L420*$P$7,B420=2020,L420*$P$8,B420=2021,L420*$P$9,B420=2022,L420*$P$10)</f>
        <v>3189.9580347886626</v>
      </c>
      <c r="I420" s="7">
        <f t="shared" si="15"/>
        <v>144285.95803478867</v>
      </c>
      <c r="J420">
        <f>IFERROR(VLOOKUP(F420,'LEAID Match'!$A$2:$B$227,2,FALSE),"")</f>
        <v>3807830</v>
      </c>
      <c r="K420">
        <f t="shared" si="14"/>
        <v>8</v>
      </c>
      <c r="L420" cm="1">
        <f t="array" ref="L420">_xlfn.IFS(B420=2015,G420/$P$13,B420=2016,G420/$P$14,B420=2017,G420/$P$15,B420=2018,G420/$P$16,B420=2019,G420/$P$17,B420=2019,G420/$P$18,B420=2020,G420/$P$18,B420=2021,G420/$P$19,B420=2022,G420/$P$20)</f>
        <v>1.7991867088486535E-3</v>
      </c>
    </row>
    <row r="421" spans="1:12" x14ac:dyDescent="0.2">
      <c r="A421">
        <v>3807830</v>
      </c>
      <c r="B421">
        <v>2016</v>
      </c>
      <c r="C421" t="s">
        <v>252</v>
      </c>
      <c r="D421" t="s">
        <v>254</v>
      </c>
      <c r="E421" t="s">
        <v>256</v>
      </c>
      <c r="F421" s="5" t="s">
        <v>97</v>
      </c>
      <c r="G421" s="7">
        <v>148938</v>
      </c>
      <c r="H421" s="7" cm="1">
        <f t="array" ref="H421">_xlfn.IFS(B421=2015,L421*$P$3,B421=2016,L421*$P$4,B421=2017,L421*$P$5,B421=2018,L421*$P$6,B421=2019,L421*$P$7,B421=2020,L421*$P$8,B421=2021,L421*$P$9,B421=2022,L421*$P$10)</f>
        <v>5057.495690091775</v>
      </c>
      <c r="I421" s="7">
        <f t="shared" si="15"/>
        <v>153995.49569009178</v>
      </c>
      <c r="J421">
        <f>IFERROR(VLOOKUP(F421,'LEAID Match'!$A$2:$B$227,2,FALSE),"")</f>
        <v>3807830</v>
      </c>
      <c r="K421">
        <f t="shared" si="14"/>
        <v>8</v>
      </c>
      <c r="L421" cm="1">
        <f t="array" ref="L421">_xlfn.IFS(B421=2015,G421/$P$13,B421=2016,G421/$P$14,B421=2017,G421/$P$15,B421=2018,G421/$P$16,B421=2019,G421/$P$17,B421=2019,G421/$P$18,B421=2020,G421/$P$18,B421=2021,G421/$P$19,B421=2022,G421/$P$20)</f>
        <v>1.7979010629547724E-3</v>
      </c>
    </row>
    <row r="422" spans="1:12" x14ac:dyDescent="0.2">
      <c r="A422">
        <v>3807830</v>
      </c>
      <c r="B422">
        <v>2017</v>
      </c>
      <c r="C422" t="s">
        <v>252</v>
      </c>
      <c r="D422" t="s">
        <v>254</v>
      </c>
      <c r="E422" t="s">
        <v>256</v>
      </c>
      <c r="F422" s="5" t="s">
        <v>97</v>
      </c>
      <c r="G422" s="7">
        <v>151286</v>
      </c>
      <c r="H422" s="7" cm="1">
        <f t="array" ref="H422">_xlfn.IFS(B422=2015,L422*$P$3,B422=2016,L422*$P$4,B422=2017,L422*$P$5,B422=2018,L422*$P$6,B422=2019,L422*$P$7,B422=2020,L422*$P$8,B422=2021,L422*$P$9,B422=2022,L422*$P$10)</f>
        <v>4902.8843664829737</v>
      </c>
      <c r="I422" s="7">
        <f t="shared" si="15"/>
        <v>156188.88436648296</v>
      </c>
      <c r="J422">
        <f>IFERROR(VLOOKUP(F422,'LEAID Match'!$A$2:$B$227,2,FALSE),"")</f>
        <v>3807830</v>
      </c>
      <c r="K422">
        <f t="shared" si="14"/>
        <v>8</v>
      </c>
      <c r="L422" cm="1">
        <f t="array" ref="L422">_xlfn.IFS(B422=2015,G422/$P$13,B422=2016,G422/$P$14,B422=2017,G422/$P$15,B422=2018,G422/$P$16,B422=2019,G422/$P$17,B422=2019,G422/$P$18,B422=2020,G422/$P$18,B422=2021,G422/$P$19,B422=2022,G422/$P$20)</f>
        <v>1.7579363092445227E-3</v>
      </c>
    </row>
    <row r="423" spans="1:12" x14ac:dyDescent="0.2">
      <c r="A423">
        <v>3807830</v>
      </c>
      <c r="B423" s="5">
        <v>2018</v>
      </c>
      <c r="C423" t="s">
        <v>252</v>
      </c>
      <c r="D423" t="s">
        <v>254</v>
      </c>
      <c r="E423" t="s">
        <v>256</v>
      </c>
      <c r="F423" s="5" t="s">
        <v>97</v>
      </c>
      <c r="G423" s="7">
        <v>144980</v>
      </c>
      <c r="H423" s="7" cm="1">
        <f t="array" ref="H423">_xlfn.IFS(B423=2015,L423*$P$3,B423=2016,L423*$P$4,B423=2017,L423*$P$5,B423=2018,L423*$P$6,B423=2019,L423*$P$7,B423=2020,L423*$P$8,B423=2021,L423*$P$9,B423=2022,L423*$P$10)</f>
        <v>3972.5953195304269</v>
      </c>
      <c r="I423" s="7">
        <f t="shared" si="15"/>
        <v>148952.59531953043</v>
      </c>
      <c r="J423">
        <f>IFERROR(VLOOKUP(F423,'LEAID Match'!$A$2:$B$227,2,FALSE),"")</f>
        <v>3807830</v>
      </c>
      <c r="K423">
        <f t="shared" si="14"/>
        <v>8</v>
      </c>
      <c r="L423" cm="1">
        <f t="array" ref="L423">_xlfn.IFS(B423=2015,G423/$P$13,B423=2016,G423/$P$14,B423=2017,G423/$P$15,B423=2018,G423/$P$16,B423=2019,G423/$P$17,B423=2019,G423/$P$18,B423=2020,G423/$P$18,B423=2021,G423/$P$19,B423=2022,G423/$P$20)</f>
        <v>1.6726717134864955E-3</v>
      </c>
    </row>
    <row r="424" spans="1:12" x14ac:dyDescent="0.2">
      <c r="A424">
        <v>3807830</v>
      </c>
      <c r="B424">
        <v>2019</v>
      </c>
      <c r="C424" t="s">
        <v>252</v>
      </c>
      <c r="D424" t="s">
        <v>254</v>
      </c>
      <c r="E424" t="s">
        <v>256</v>
      </c>
      <c r="F424" s="5" t="s">
        <v>97</v>
      </c>
      <c r="G424" s="7">
        <v>135904</v>
      </c>
      <c r="H424" s="7" cm="1">
        <f t="array" ref="H424">_xlfn.IFS(B424=2015,L424*$P$3,B424=2016,L424*$P$4,B424=2017,L424*$P$5,B424=2018,L424*$P$6,B424=2019,L424*$P$7,B424=2020,L424*$P$8,B424=2021,L424*$P$9,B424=2022,L424*$P$10)</f>
        <v>3154.3080386490537</v>
      </c>
      <c r="I424" s="7">
        <f t="shared" si="15"/>
        <v>139058.30803864906</v>
      </c>
      <c r="J424">
        <f>IFERROR(VLOOKUP(F424,'LEAID Match'!$A$2:$B$227,2,FALSE),"")</f>
        <v>3807830</v>
      </c>
      <c r="K424">
        <f t="shared" si="14"/>
        <v>8</v>
      </c>
      <c r="L424" cm="1">
        <f t="array" ref="L424">_xlfn.IFS(B424=2015,G424/$P$13,B424=2016,G424/$P$14,B424=2017,G424/$P$15,B424=2018,G424/$P$16,B424=2019,G424/$P$17,B424=2019,G424/$P$18,B424=2020,G424/$P$18,B424=2021,G424/$P$19,B424=2022,G424/$P$20)</f>
        <v>1.5194162035881763E-3</v>
      </c>
    </row>
    <row r="425" spans="1:12" x14ac:dyDescent="0.2">
      <c r="A425">
        <v>3807830</v>
      </c>
      <c r="B425">
        <v>2020</v>
      </c>
      <c r="C425" t="s">
        <v>252</v>
      </c>
      <c r="D425" t="s">
        <v>254</v>
      </c>
      <c r="E425" t="s">
        <v>256</v>
      </c>
      <c r="F425" s="5" t="s">
        <v>97</v>
      </c>
      <c r="G425" s="7">
        <v>141694</v>
      </c>
      <c r="H425" s="7" cm="1">
        <f t="array" ref="H425">_xlfn.IFS(B425=2015,L425*$P$3,B425=2016,L425*$P$4,B425=2017,L425*$P$5,B425=2018,L425*$P$6,B425=2019,L425*$P$7,B425=2020,L425*$P$8,B425=2021,L425*$P$9,B425=2022,L425*$P$10)</f>
        <v>3554.8216516003481</v>
      </c>
      <c r="I425" s="7">
        <f t="shared" si="15"/>
        <v>145248.82165160036</v>
      </c>
      <c r="J425">
        <f>IFERROR(VLOOKUP(F425,'LEAID Match'!$A$2:$B$227,2,FALSE),"")</f>
        <v>3807830</v>
      </c>
      <c r="K425">
        <f t="shared" si="14"/>
        <v>8</v>
      </c>
      <c r="L425" cm="1">
        <f t="array" ref="L425">_xlfn.IFS(B425=2015,G425/$P$13,B425=2016,G425/$P$14,B425=2017,G425/$P$15,B425=2018,G425/$P$16,B425=2019,G425/$P$17,B425=2019,G425/$P$18,B425=2020,G425/$P$18,B425=2021,G425/$P$19,B425=2022,G425/$P$20)</f>
        <v>1.5230598335905518E-3</v>
      </c>
    </row>
    <row r="426" spans="1:12" x14ac:dyDescent="0.2">
      <c r="A426">
        <v>3807830</v>
      </c>
      <c r="B426" s="5">
        <v>2021</v>
      </c>
      <c r="C426" t="s">
        <v>252</v>
      </c>
      <c r="D426" t="s">
        <v>254</v>
      </c>
      <c r="E426" t="s">
        <v>256</v>
      </c>
      <c r="F426" s="5" t="s">
        <v>97</v>
      </c>
      <c r="G426" s="7">
        <v>155748</v>
      </c>
      <c r="H426" s="7" cm="1">
        <f t="array" ref="H426">_xlfn.IFS(B426=2015,L426*$P$3,B426=2016,L426*$P$4,B426=2017,L426*$P$5,B426=2018,L426*$P$6,B426=2019,L426*$P$7,B426=2020,L426*$P$8,B426=2021,L426*$P$9,B426=2022,L426*$P$10)</f>
        <v>4255.7040556558304</v>
      </c>
      <c r="I426" s="7">
        <f t="shared" si="15"/>
        <v>160003.70405565583</v>
      </c>
      <c r="J426">
        <f>IFERROR(VLOOKUP(F426,'LEAID Match'!$A$2:$B$227,2,FALSE),"")</f>
        <v>3807830</v>
      </c>
      <c r="K426">
        <f t="shared" si="14"/>
        <v>8</v>
      </c>
      <c r="L426" cm="1">
        <f t="array" ref="L426">_xlfn.IFS(B426=2015,G426/$P$13,B426=2016,G426/$P$14,B426=2017,G426/$P$15,B426=2018,G426/$P$16,B426=2019,G426/$P$17,B426=2019,G426/$P$18,B426=2020,G426/$P$18,B426=2021,G426/$P$19,B426=2022,G426/$P$20)</f>
        <v>1.5849921994993783E-3</v>
      </c>
    </row>
    <row r="427" spans="1:12" x14ac:dyDescent="0.2">
      <c r="A427">
        <v>3807830</v>
      </c>
      <c r="B427">
        <v>2022</v>
      </c>
      <c r="C427" t="s">
        <v>252</v>
      </c>
      <c r="D427" t="s">
        <v>254</v>
      </c>
      <c r="E427" t="s">
        <v>256</v>
      </c>
      <c r="F427" s="5" t="s">
        <v>97</v>
      </c>
      <c r="G427" s="7">
        <v>141556</v>
      </c>
      <c r="H427" s="7" cm="1">
        <f t="array" ref="H427">_xlfn.IFS(B427=2015,L427*$P$3,B427=2016,L427*$P$4,B427=2017,L427*$P$5,B427=2018,L427*$P$6,B427=2019,L427*$P$7,B427=2020,L427*$P$8,B427=2021,L427*$P$9,B427=2022,L427*$P$10)</f>
        <v>2881.0274085434357</v>
      </c>
      <c r="I427" s="7">
        <f t="shared" si="15"/>
        <v>144437.02740854345</v>
      </c>
      <c r="J427">
        <f>IFERROR(VLOOKUP(F427,'LEAID Match'!$A$2:$B$227,2,FALSE),"")</f>
        <v>3807830</v>
      </c>
      <c r="K427">
        <f t="shared" si="14"/>
        <v>8</v>
      </c>
      <c r="L427" cm="1">
        <f t="array" ref="L427">_xlfn.IFS(B427=2015,G427/$P$13,B427=2016,G427/$P$14,B427=2017,G427/$P$15,B427=2018,G427/$P$16,B427=2019,G427/$P$17,B427=2019,G427/$P$18,B427=2020,G427/$P$18,B427=2021,G427/$P$19,B427=2022,G427/$P$20)</f>
        <v>1.4108851168185288E-3</v>
      </c>
    </row>
    <row r="428" spans="1:12" x14ac:dyDescent="0.2">
      <c r="A428">
        <v>3807850</v>
      </c>
      <c r="B428">
        <v>2015</v>
      </c>
      <c r="C428" t="s">
        <v>252</v>
      </c>
      <c r="D428" t="s">
        <v>254</v>
      </c>
      <c r="E428" t="s">
        <v>256</v>
      </c>
      <c r="F428" s="5" t="s">
        <v>98</v>
      </c>
      <c r="G428" s="7">
        <v>196410</v>
      </c>
      <c r="H428" s="7" cm="1">
        <f t="array" ref="H428">_xlfn.IFS(B428=2015,L428*$P$3,B428=2016,L428*$P$4,B428=2017,L428*$P$5,B428=2018,L428*$P$6,B428=2019,L428*$P$7,B428=2020,L428*$P$8,B428=2021,L428*$P$9,B428=2022,L428*$P$10)</f>
        <v>4440.5203380169623</v>
      </c>
      <c r="I428" s="7">
        <f t="shared" si="15"/>
        <v>200850.52033801697</v>
      </c>
      <c r="J428">
        <f>IFERROR(VLOOKUP(F428,'LEAID Match'!$A$2:$B$227,2,FALSE),"")</f>
        <v>3807850</v>
      </c>
      <c r="K428">
        <f t="shared" si="14"/>
        <v>8</v>
      </c>
      <c r="L428" cm="1">
        <f t="array" ref="L428">_xlfn.IFS(B428=2015,G428/$P$13,B428=2016,G428/$P$14,B428=2017,G428/$P$15,B428=2018,G428/$P$16,B428=2019,G428/$P$17,B428=2019,G428/$P$18,B428=2020,G428/$P$18,B428=2021,G428/$P$19,B428=2022,G428/$P$20)</f>
        <v>2.5045235973022912E-3</v>
      </c>
    </row>
    <row r="429" spans="1:12" x14ac:dyDescent="0.2">
      <c r="A429">
        <v>3807850</v>
      </c>
      <c r="B429">
        <v>2016</v>
      </c>
      <c r="C429" t="s">
        <v>252</v>
      </c>
      <c r="D429" t="s">
        <v>254</v>
      </c>
      <c r="E429" t="s">
        <v>256</v>
      </c>
      <c r="F429" s="5" t="s">
        <v>98</v>
      </c>
      <c r="G429" s="7">
        <v>238219</v>
      </c>
      <c r="H429" s="7" cm="1">
        <f t="array" ref="H429">_xlfn.IFS(B429=2015,L429*$P$3,B429=2016,L429*$P$4,B429=2017,L429*$P$5,B429=2018,L429*$P$6,B429=2019,L429*$P$7,B429=2020,L429*$P$8,B429=2021,L429*$P$9,B429=2022,L429*$P$10)</f>
        <v>8089.2154171398333</v>
      </c>
      <c r="I429" s="7">
        <f t="shared" si="15"/>
        <v>246308.21541713984</v>
      </c>
      <c r="J429">
        <f>IFERROR(VLOOKUP(F429,'LEAID Match'!$A$2:$B$227,2,FALSE),"")</f>
        <v>3807850</v>
      </c>
      <c r="K429">
        <f t="shared" si="14"/>
        <v>8</v>
      </c>
      <c r="L429" cm="1">
        <f t="array" ref="L429">_xlfn.IFS(B429=2015,G429/$P$13,B429=2016,G429/$P$14,B429=2017,G429/$P$15,B429=2018,G429/$P$16,B429=2019,G429/$P$17,B429=2019,G429/$P$18,B429=2020,G429/$P$18,B429=2021,G429/$P$19,B429=2022,G429/$P$20)</f>
        <v>2.8756542542267447E-3</v>
      </c>
    </row>
    <row r="430" spans="1:12" x14ac:dyDescent="0.2">
      <c r="A430">
        <v>3807850</v>
      </c>
      <c r="B430">
        <v>2017</v>
      </c>
      <c r="C430" t="s">
        <v>252</v>
      </c>
      <c r="D430" t="s">
        <v>254</v>
      </c>
      <c r="E430" t="s">
        <v>256</v>
      </c>
      <c r="F430" s="5" t="s">
        <v>98</v>
      </c>
      <c r="G430" s="7">
        <v>238636</v>
      </c>
      <c r="H430" s="7" cm="1">
        <f t="array" ref="H430">_xlfn.IFS(B430=2015,L430*$P$3,B430=2016,L430*$P$4,B430=2017,L430*$P$5,B430=2018,L430*$P$6,B430=2019,L430*$P$7,B430=2020,L430*$P$8,B430=2021,L430*$P$9,B430=2022,L430*$P$10)</f>
        <v>7733.7275999103076</v>
      </c>
      <c r="I430" s="7">
        <f t="shared" si="15"/>
        <v>246369.72759991031</v>
      </c>
      <c r="J430">
        <f>IFERROR(VLOOKUP(F430,'LEAID Match'!$A$2:$B$227,2,FALSE),"")</f>
        <v>3807850</v>
      </c>
      <c r="K430">
        <f t="shared" si="14"/>
        <v>8</v>
      </c>
      <c r="L430" cm="1">
        <f t="array" ref="L430">_xlfn.IFS(B430=2015,G430/$P$13,B430=2016,G430/$P$14,B430=2017,G430/$P$15,B430=2018,G430/$P$16,B430=2019,G430/$P$17,B430=2019,G430/$P$18,B430=2020,G430/$P$18,B430=2021,G430/$P$19,B430=2022,G430/$P$20)</f>
        <v>2.7729392613518493E-3</v>
      </c>
    </row>
    <row r="431" spans="1:12" x14ac:dyDescent="0.2">
      <c r="A431">
        <v>3807850</v>
      </c>
      <c r="B431" s="5">
        <v>2018</v>
      </c>
      <c r="C431" t="s">
        <v>252</v>
      </c>
      <c r="D431" t="s">
        <v>254</v>
      </c>
      <c r="E431" t="s">
        <v>256</v>
      </c>
      <c r="F431" s="5" t="s">
        <v>98</v>
      </c>
      <c r="G431" s="7">
        <v>222588</v>
      </c>
      <c r="H431" s="7" cm="1">
        <f t="array" ref="H431">_xlfn.IFS(B431=2015,L431*$P$3,B431=2016,L431*$P$4,B431=2017,L431*$P$5,B431=2018,L431*$P$6,B431=2019,L431*$P$7,B431=2020,L431*$P$8,B431=2021,L431*$P$9,B431=2022,L431*$P$10)</f>
        <v>6099.1312386787049</v>
      </c>
      <c r="I431" s="7">
        <f t="shared" si="15"/>
        <v>228687.1312386787</v>
      </c>
      <c r="J431">
        <f>IFERROR(VLOOKUP(F431,'LEAID Match'!$A$2:$B$227,2,FALSE),"")</f>
        <v>3807850</v>
      </c>
      <c r="K431">
        <f t="shared" si="14"/>
        <v>8</v>
      </c>
      <c r="L431" cm="1">
        <f t="array" ref="L431">_xlfn.IFS(B431=2015,G431/$P$13,B431=2016,G431/$P$14,B431=2017,G431/$P$15,B431=2018,G431/$P$16,B431=2019,G431/$P$17,B431=2019,G431/$P$18,B431=2020,G431/$P$18,B431=2021,G431/$P$19,B431=2022,G431/$P$20)</f>
        <v>2.5680552583910335E-3</v>
      </c>
    </row>
    <row r="432" spans="1:12" x14ac:dyDescent="0.2">
      <c r="A432">
        <v>3807850</v>
      </c>
      <c r="B432">
        <v>2019</v>
      </c>
      <c r="C432" t="s">
        <v>252</v>
      </c>
      <c r="D432" t="s">
        <v>254</v>
      </c>
      <c r="E432" t="s">
        <v>256</v>
      </c>
      <c r="F432" s="5" t="s">
        <v>98</v>
      </c>
      <c r="G432" s="7">
        <v>240891</v>
      </c>
      <c r="H432" s="7" cm="1">
        <f t="array" ref="H432">_xlfn.IFS(B432=2015,L432*$P$3,B432=2016,L432*$P$4,B432=2017,L432*$P$5,B432=2018,L432*$P$6,B432=2019,L432*$P$7,B432=2020,L432*$P$8,B432=2021,L432*$P$9,B432=2022,L432*$P$10)</f>
        <v>5591.0379219022934</v>
      </c>
      <c r="I432" s="7">
        <f t="shared" si="15"/>
        <v>246482.03792190229</v>
      </c>
      <c r="J432">
        <f>IFERROR(VLOOKUP(F432,'LEAID Match'!$A$2:$B$227,2,FALSE),"")</f>
        <v>3807850</v>
      </c>
      <c r="K432">
        <f t="shared" si="14"/>
        <v>8</v>
      </c>
      <c r="L432" cm="1">
        <f t="array" ref="L432">_xlfn.IFS(B432=2015,G432/$P$13,B432=2016,G432/$P$14,B432=2017,G432/$P$15,B432=2018,G432/$P$16,B432=2019,G432/$P$17,B432=2019,G432/$P$18,B432=2020,G432/$P$18,B432=2021,G432/$P$19,B432=2022,G432/$P$20)</f>
        <v>2.693178189740989E-3</v>
      </c>
    </row>
    <row r="433" spans="1:12" x14ac:dyDescent="0.2">
      <c r="A433">
        <v>3807850</v>
      </c>
      <c r="B433">
        <v>2020</v>
      </c>
      <c r="C433" t="s">
        <v>252</v>
      </c>
      <c r="D433" t="s">
        <v>254</v>
      </c>
      <c r="E433" t="s">
        <v>256</v>
      </c>
      <c r="F433" s="5" t="s">
        <v>98</v>
      </c>
      <c r="G433" s="7">
        <v>239093</v>
      </c>
      <c r="H433" s="7" cm="1">
        <f t="array" ref="H433">_xlfn.IFS(B433=2015,L433*$P$3,B433=2016,L433*$P$4,B433=2017,L433*$P$5,B433=2018,L433*$P$6,B433=2019,L433*$P$7,B433=2020,L433*$P$8,B433=2021,L433*$P$9,B433=2022,L433*$P$10)</f>
        <v>5998.3695367911278</v>
      </c>
      <c r="I433" s="7">
        <f t="shared" si="15"/>
        <v>245091.36953679111</v>
      </c>
      <c r="J433">
        <f>IFERROR(VLOOKUP(F433,'LEAID Match'!$A$2:$B$227,2,FALSE),"")</f>
        <v>3807850</v>
      </c>
      <c r="K433">
        <f t="shared" si="14"/>
        <v>8</v>
      </c>
      <c r="L433" cm="1">
        <f t="array" ref="L433">_xlfn.IFS(B433=2015,G433/$P$13,B433=2016,G433/$P$14,B433=2017,G433/$P$15,B433=2018,G433/$P$16,B433=2019,G433/$P$17,B433=2019,G433/$P$18,B433=2020,G433/$P$18,B433=2021,G433/$P$19,B433=2022,G433/$P$20)</f>
        <v>2.5699955170484694E-3</v>
      </c>
    </row>
    <row r="434" spans="1:12" x14ac:dyDescent="0.2">
      <c r="A434">
        <v>3807850</v>
      </c>
      <c r="B434" s="5">
        <v>2021</v>
      </c>
      <c r="C434" t="s">
        <v>252</v>
      </c>
      <c r="D434" t="s">
        <v>254</v>
      </c>
      <c r="E434" t="s">
        <v>256</v>
      </c>
      <c r="F434" s="5" t="s">
        <v>98</v>
      </c>
      <c r="G434" s="7">
        <v>248023</v>
      </c>
      <c r="H434" s="7" cm="1">
        <f t="array" ref="H434">_xlfn.IFS(B434=2015,L434*$P$3,B434=2016,L434*$P$4,B434=2017,L434*$P$5,B434=2018,L434*$P$6,B434=2019,L434*$P$7,B434=2020,L434*$P$8,B434=2021,L434*$P$9,B434=2022,L434*$P$10)</f>
        <v>6777.0532334022009</v>
      </c>
      <c r="I434" s="7">
        <f t="shared" si="15"/>
        <v>254800.0532334022</v>
      </c>
      <c r="J434">
        <f>IFERROR(VLOOKUP(F434,'LEAID Match'!$A$2:$B$227,2,FALSE),"")</f>
        <v>3807850</v>
      </c>
      <c r="K434">
        <f t="shared" si="14"/>
        <v>8</v>
      </c>
      <c r="L434" cm="1">
        <f t="array" ref="L434">_xlfn.IFS(B434=2015,G434/$P$13,B434=2016,G434/$P$14,B434=2017,G434/$P$15,B434=2018,G434/$P$16,B434=2019,G434/$P$17,B434=2019,G434/$P$18,B434=2020,G434/$P$18,B434=2021,G434/$P$19,B434=2022,G434/$P$20)</f>
        <v>2.5240421725892742E-3</v>
      </c>
    </row>
    <row r="435" spans="1:12" x14ac:dyDescent="0.2">
      <c r="A435">
        <v>3807850</v>
      </c>
      <c r="B435">
        <v>2022</v>
      </c>
      <c r="C435" t="s">
        <v>252</v>
      </c>
      <c r="D435" t="s">
        <v>254</v>
      </c>
      <c r="E435" t="s">
        <v>256</v>
      </c>
      <c r="F435" s="5" t="s">
        <v>98</v>
      </c>
      <c r="G435" s="7">
        <v>233982</v>
      </c>
      <c r="H435" s="7" cm="1">
        <f t="array" ref="H435">_xlfn.IFS(B435=2015,L435*$P$3,B435=2016,L435*$P$4,B435=2017,L435*$P$5,B435=2018,L435*$P$6,B435=2019,L435*$P$7,B435=2020,L435*$P$8,B435=2021,L435*$P$9,B435=2022,L435*$P$10)</f>
        <v>4762.133396717978</v>
      </c>
      <c r="I435" s="7">
        <f t="shared" si="15"/>
        <v>238744.13339671798</v>
      </c>
      <c r="J435">
        <f>IFERROR(VLOOKUP(F435,'LEAID Match'!$A$2:$B$227,2,FALSE),"")</f>
        <v>3807850</v>
      </c>
      <c r="K435">
        <f t="shared" si="14"/>
        <v>8</v>
      </c>
      <c r="L435" cm="1">
        <f t="array" ref="L435">_xlfn.IFS(B435=2015,G435/$P$13,B435=2016,G435/$P$14,B435=2017,G435/$P$15,B435=2018,G435/$P$16,B435=2019,G435/$P$17,B435=2019,G435/$P$18,B435=2020,G435/$P$18,B435=2021,G435/$P$19,B435=2022,G435/$P$20)</f>
        <v>2.3320927505964635E-3</v>
      </c>
    </row>
    <row r="436" spans="1:12" x14ac:dyDescent="0.2">
      <c r="A436">
        <v>3807950</v>
      </c>
      <c r="B436">
        <v>2015</v>
      </c>
      <c r="C436" t="s">
        <v>252</v>
      </c>
      <c r="D436" t="s">
        <v>254</v>
      </c>
      <c r="E436" t="s">
        <v>256</v>
      </c>
      <c r="F436" s="5" t="s">
        <v>99</v>
      </c>
      <c r="G436" s="7">
        <v>35867</v>
      </c>
      <c r="H436" s="7" cm="1">
        <f t="array" ref="H436">_xlfn.IFS(B436=2015,L436*$P$3,B436=2016,L436*$P$4,B436=2017,L436*$P$5,B436=2018,L436*$P$6,B436=2019,L436*$P$7,B436=2020,L436*$P$8,B436=2021,L436*$P$9,B436=2022,L436*$P$10)</f>
        <v>810.89630346547722</v>
      </c>
      <c r="I436" s="7">
        <f t="shared" si="15"/>
        <v>36677.896303465481</v>
      </c>
      <c r="J436">
        <f>IFERROR(VLOOKUP(F436,'LEAID Match'!$A$2:$B$227,2,FALSE),"")</f>
        <v>3807950</v>
      </c>
      <c r="K436">
        <f t="shared" si="14"/>
        <v>8</v>
      </c>
      <c r="L436" cm="1">
        <f t="array" ref="L436">_xlfn.IFS(B436=2015,G436/$P$13,B436=2016,G436/$P$14,B436=2017,G436/$P$15,B436=2018,G436/$P$16,B436=2019,G436/$P$17,B436=2019,G436/$P$18,B436=2020,G436/$P$18,B436=2021,G436/$P$19,B436=2022,G436/$P$20)</f>
        <v>4.5735832118752237E-4</v>
      </c>
    </row>
    <row r="437" spans="1:12" x14ac:dyDescent="0.2">
      <c r="A437">
        <v>3807950</v>
      </c>
      <c r="B437">
        <v>2016</v>
      </c>
      <c r="C437" t="s">
        <v>252</v>
      </c>
      <c r="D437" t="s">
        <v>254</v>
      </c>
      <c r="E437" t="s">
        <v>256</v>
      </c>
      <c r="F437" s="5" t="s">
        <v>99</v>
      </c>
      <c r="G437" s="7">
        <v>36874</v>
      </c>
      <c r="H437" s="7" cm="1">
        <f t="array" ref="H437">_xlfn.IFS(B437=2015,L437*$P$3,B437=2016,L437*$P$4,B437=2017,L437*$P$5,B437=2018,L437*$P$6,B437=2019,L437*$P$7,B437=2020,L437*$P$8,B437=2021,L437*$P$9,B437=2022,L437*$P$10)</f>
        <v>1252.1324046008681</v>
      </c>
      <c r="I437" s="7">
        <f t="shared" si="15"/>
        <v>38126.132404600867</v>
      </c>
      <c r="J437">
        <f>IFERROR(VLOOKUP(F437,'LEAID Match'!$A$2:$B$227,2,FALSE),"")</f>
        <v>3807950</v>
      </c>
      <c r="K437">
        <f t="shared" si="14"/>
        <v>8</v>
      </c>
      <c r="L437" cm="1">
        <f t="array" ref="L437">_xlfn.IFS(B437=2015,G437/$P$13,B437=2016,G437/$P$14,B437=2017,G437/$P$15,B437=2018,G437/$P$16,B437=2019,G437/$P$17,B437=2019,G437/$P$18,B437=2020,G437/$P$18,B437=2021,G437/$P$19,B437=2022,G437/$P$20)</f>
        <v>4.4512349968036551E-4</v>
      </c>
    </row>
    <row r="438" spans="1:12" x14ac:dyDescent="0.2">
      <c r="A438">
        <v>3807950</v>
      </c>
      <c r="B438">
        <v>2017</v>
      </c>
      <c r="C438" t="s">
        <v>252</v>
      </c>
      <c r="D438" t="s">
        <v>254</v>
      </c>
      <c r="E438" t="s">
        <v>256</v>
      </c>
      <c r="F438" s="5" t="s">
        <v>99</v>
      </c>
      <c r="G438" s="7">
        <v>36827</v>
      </c>
      <c r="H438" s="7" cm="1">
        <f t="array" ref="H438">_xlfn.IFS(B438=2015,L438*$P$3,B438=2016,L438*$P$4,B438=2017,L438*$P$5,B438=2018,L438*$P$6,B438=2019,L438*$P$7,B438=2020,L438*$P$8,B438=2021,L438*$P$9,B438=2022,L438*$P$10)</f>
        <v>1193.4912851451454</v>
      </c>
      <c r="I438" s="7">
        <f t="shared" si="15"/>
        <v>38020.491285145145</v>
      </c>
      <c r="J438">
        <f>IFERROR(VLOOKUP(F438,'LEAID Match'!$A$2:$B$227,2,FALSE),"")</f>
        <v>3807950</v>
      </c>
      <c r="K438">
        <f t="shared" si="14"/>
        <v>8</v>
      </c>
      <c r="L438" cm="1">
        <f t="array" ref="L438">_xlfn.IFS(B438=2015,G438/$P$13,B438=2016,G438/$P$14,B438=2017,G438/$P$15,B438=2018,G438/$P$16,B438=2019,G438/$P$17,B438=2019,G438/$P$18,B438=2020,G438/$P$18,B438=2021,G438/$P$19,B438=2022,G438/$P$20)</f>
        <v>4.2792803339732711E-4</v>
      </c>
    </row>
    <row r="439" spans="1:12" x14ac:dyDescent="0.2">
      <c r="A439">
        <v>3807950</v>
      </c>
      <c r="B439" s="5">
        <v>2018</v>
      </c>
      <c r="C439" t="s">
        <v>252</v>
      </c>
      <c r="D439" t="s">
        <v>254</v>
      </c>
      <c r="E439" t="s">
        <v>256</v>
      </c>
      <c r="F439" s="5" t="s">
        <v>99</v>
      </c>
      <c r="G439" s="7">
        <v>38546</v>
      </c>
      <c r="H439" s="7" cm="1">
        <f t="array" ref="H439">_xlfn.IFS(B439=2015,L439*$P$3,B439=2016,L439*$P$4,B439=2017,L439*$P$5,B439=2018,L439*$P$6,B439=2019,L439*$P$7,B439=2020,L439*$P$8,B439=2021,L439*$P$9,B439=2022,L439*$P$10)</f>
        <v>1056.1985045290373</v>
      </c>
      <c r="I439" s="7">
        <f t="shared" si="15"/>
        <v>39602.198504529035</v>
      </c>
      <c r="J439">
        <f>IFERROR(VLOOKUP(F439,'LEAID Match'!$A$2:$B$227,2,FALSE),"")</f>
        <v>3807950</v>
      </c>
      <c r="K439">
        <f t="shared" si="14"/>
        <v>8</v>
      </c>
      <c r="L439" cm="1">
        <f t="array" ref="L439">_xlfn.IFS(B439=2015,G439/$P$13,B439=2016,G439/$P$14,B439=2017,G439/$P$15,B439=2018,G439/$P$16,B439=2019,G439/$P$17,B439=2019,G439/$P$18,B439=2020,G439/$P$18,B439=2021,G439/$P$19,B439=2022,G439/$P$20)</f>
        <v>4.4471515980169991E-4</v>
      </c>
    </row>
    <row r="440" spans="1:12" x14ac:dyDescent="0.2">
      <c r="A440">
        <v>3807950</v>
      </c>
      <c r="B440">
        <v>2019</v>
      </c>
      <c r="C440" t="s">
        <v>252</v>
      </c>
      <c r="D440" t="s">
        <v>254</v>
      </c>
      <c r="E440" t="s">
        <v>256</v>
      </c>
      <c r="F440" s="5" t="s">
        <v>99</v>
      </c>
      <c r="G440" s="7">
        <v>39374</v>
      </c>
      <c r="H440" s="7" cm="1">
        <f t="array" ref="H440">_xlfn.IFS(B440=2015,L440*$P$3,B440=2016,L440*$P$4,B440=2017,L440*$P$5,B440=2018,L440*$P$6,B440=2019,L440*$P$7,B440=2020,L440*$P$8,B440=2021,L440*$P$9,B440=2022,L440*$P$10)</f>
        <v>913.8636442913222</v>
      </c>
      <c r="I440" s="7">
        <f t="shared" si="15"/>
        <v>40287.863644291319</v>
      </c>
      <c r="J440">
        <f>IFERROR(VLOOKUP(F440,'LEAID Match'!$A$2:$B$227,2,FALSE),"")</f>
        <v>3807950</v>
      </c>
      <c r="K440">
        <f t="shared" si="14"/>
        <v>8</v>
      </c>
      <c r="L440" cm="1">
        <f t="array" ref="L440">_xlfn.IFS(B440=2015,G440/$P$13,B440=2016,G440/$P$14,B440=2017,G440/$P$15,B440=2018,G440/$P$16,B440=2019,G440/$P$17,B440=2019,G440/$P$18,B440=2020,G440/$P$18,B440=2021,G440/$P$19,B440=2022,G440/$P$20)</f>
        <v>4.4020406757770822E-4</v>
      </c>
    </row>
    <row r="441" spans="1:12" x14ac:dyDescent="0.2">
      <c r="A441">
        <v>3807950</v>
      </c>
      <c r="B441">
        <v>2020</v>
      </c>
      <c r="C441" t="s">
        <v>252</v>
      </c>
      <c r="D441" t="s">
        <v>254</v>
      </c>
      <c r="E441" t="s">
        <v>256</v>
      </c>
      <c r="F441" s="5" t="s">
        <v>99</v>
      </c>
      <c r="G441" s="7">
        <v>40094</v>
      </c>
      <c r="H441" s="7" cm="1">
        <f t="array" ref="H441">_xlfn.IFS(B441=2015,L441*$P$3,B441=2016,L441*$P$4,B441=2017,L441*$P$5,B441=2018,L441*$P$6,B441=2019,L441*$P$7,B441=2020,L441*$P$8,B441=2021,L441*$P$9,B441=2022,L441*$P$10)</f>
        <v>1005.8790019285527</v>
      </c>
      <c r="I441" s="7">
        <f t="shared" si="15"/>
        <v>41099.879001928552</v>
      </c>
      <c r="J441">
        <f>IFERROR(VLOOKUP(F441,'LEAID Match'!$A$2:$B$227,2,FALSE),"")</f>
        <v>3807950</v>
      </c>
      <c r="K441">
        <f t="shared" si="14"/>
        <v>8</v>
      </c>
      <c r="L441" cm="1">
        <f t="array" ref="L441">_xlfn.IFS(B441=2015,G441/$P$13,B441=2016,G441/$P$14,B441=2017,G441/$P$15,B441=2018,G441/$P$16,B441=2019,G441/$P$17,B441=2019,G441/$P$18,B441=2020,G441/$P$18,B441=2021,G441/$P$19,B441=2022,G441/$P$20)</f>
        <v>4.3096786715019397E-4</v>
      </c>
    </row>
    <row r="442" spans="1:12" x14ac:dyDescent="0.2">
      <c r="A442">
        <v>3807950</v>
      </c>
      <c r="B442" s="5">
        <v>2021</v>
      </c>
      <c r="C442" t="s">
        <v>252</v>
      </c>
      <c r="D442" t="s">
        <v>254</v>
      </c>
      <c r="E442" t="s">
        <v>256</v>
      </c>
      <c r="F442" s="5" t="s">
        <v>99</v>
      </c>
      <c r="G442" s="7">
        <v>23149</v>
      </c>
      <c r="H442" s="7" cm="1">
        <f t="array" ref="H442">_xlfn.IFS(B442=2015,L442*$P$3,B442=2016,L442*$P$4,B442=2017,L442*$P$5,B442=2018,L442*$P$6,B442=2019,L442*$P$7,B442=2020,L442*$P$8,B442=2021,L442*$P$9,B442=2022,L442*$P$10)</f>
        <v>632.53006898564877</v>
      </c>
      <c r="I442" s="7">
        <f t="shared" si="15"/>
        <v>23781.530068985649</v>
      </c>
      <c r="J442">
        <f>IFERROR(VLOOKUP(F442,'LEAID Match'!$A$2:$B$227,2,FALSE),"")</f>
        <v>3807950</v>
      </c>
      <c r="K442">
        <f t="shared" si="14"/>
        <v>8</v>
      </c>
      <c r="L442" cm="1">
        <f t="array" ref="L442">_xlfn.IFS(B442=2015,G442/$P$13,B442=2016,G442/$P$14,B442=2017,G442/$P$15,B442=2018,G442/$P$16,B442=2019,G442/$P$17,B442=2019,G442/$P$18,B442=2020,G442/$P$18,B442=2021,G442/$P$19,B442=2022,G442/$P$20)</f>
        <v>2.355791690821783E-4</v>
      </c>
    </row>
    <row r="443" spans="1:12" x14ac:dyDescent="0.2">
      <c r="A443">
        <v>3807950</v>
      </c>
      <c r="B443">
        <v>2022</v>
      </c>
      <c r="C443" t="s">
        <v>252</v>
      </c>
      <c r="D443" t="s">
        <v>254</v>
      </c>
      <c r="E443" t="s">
        <v>256</v>
      </c>
      <c r="F443" s="5" t="s">
        <v>99</v>
      </c>
      <c r="G443" s="7">
        <v>24069</v>
      </c>
      <c r="H443" s="7" cm="1">
        <f t="array" ref="H443">_xlfn.IFS(B443=2015,L443*$P$3,B443=2016,L443*$P$4,B443=2017,L443*$P$5,B443=2018,L443*$P$6,B443=2019,L443*$P$7,B443=2020,L443*$P$8,B443=2021,L443*$P$9,B443=2022,L443*$P$10)</f>
        <v>489.86583893464041</v>
      </c>
      <c r="I443" s="7">
        <f t="shared" si="15"/>
        <v>24558.865838934642</v>
      </c>
      <c r="J443">
        <f>IFERROR(VLOOKUP(F443,'LEAID Match'!$A$2:$B$227,2,FALSE),"")</f>
        <v>3807950</v>
      </c>
      <c r="K443">
        <f t="shared" si="14"/>
        <v>8</v>
      </c>
      <c r="L443" cm="1">
        <f t="array" ref="L443">_xlfn.IFS(B443=2015,G443/$P$13,B443=2016,G443/$P$14,B443=2017,G443/$P$15,B443=2018,G443/$P$16,B443=2019,G443/$P$17,B443=2019,G443/$P$18,B443=2020,G443/$P$18,B443=2021,G443/$P$19,B443=2022,G443/$P$20)</f>
        <v>2.3989512190726757E-4</v>
      </c>
    </row>
    <row r="444" spans="1:12" x14ac:dyDescent="0.2">
      <c r="A444">
        <v>3808060</v>
      </c>
      <c r="B444">
        <v>2015</v>
      </c>
      <c r="C444" t="s">
        <v>252</v>
      </c>
      <c r="D444" t="s">
        <v>254</v>
      </c>
      <c r="E444" t="s">
        <v>256</v>
      </c>
      <c r="F444" s="5" t="s">
        <v>217</v>
      </c>
      <c r="G444" s="7">
        <v>547702</v>
      </c>
      <c r="H444" s="7" cm="1">
        <f t="array" ref="H444">_xlfn.IFS(B444=2015,L444*$P$3,B444=2016,L444*$P$4,B444=2017,L444*$P$5,B444=2018,L444*$P$6,B444=2019,L444*$P$7,B444=2020,L444*$P$8,B444=2021,L444*$P$9,B444=2022,L444*$P$10)</f>
        <v>12382.678428657227</v>
      </c>
      <c r="I444" s="7">
        <f t="shared" si="15"/>
        <v>560084.67842865724</v>
      </c>
      <c r="J444">
        <f>IFERROR(VLOOKUP(F444,'LEAID Match'!$A$2:$B$227,2,FALSE),"")</f>
        <v>3808060</v>
      </c>
      <c r="K444">
        <f t="shared" si="14"/>
        <v>8</v>
      </c>
      <c r="L444" cm="1">
        <f t="array" ref="L444">_xlfn.IFS(B444=2015,G444/$P$13,B444=2016,G444/$P$14,B444=2017,G444/$P$15,B444=2018,G444/$P$16,B444=2019,G444/$P$17,B444=2019,G444/$P$18,B444=2020,G444/$P$18,B444=2021,G444/$P$19,B444=2022,G444/$P$20)</f>
        <v>6.9840261864958985E-3</v>
      </c>
    </row>
    <row r="445" spans="1:12" x14ac:dyDescent="0.2">
      <c r="A445">
        <v>3808060</v>
      </c>
      <c r="B445">
        <v>2016</v>
      </c>
      <c r="C445" t="s">
        <v>252</v>
      </c>
      <c r="D445" t="s">
        <v>254</v>
      </c>
      <c r="E445" t="s">
        <v>256</v>
      </c>
      <c r="F445" s="5" t="s">
        <v>217</v>
      </c>
      <c r="G445" s="7">
        <v>570919</v>
      </c>
      <c r="H445" s="7" cm="1">
        <f t="array" ref="H445">_xlfn.IFS(B445=2015,L445*$P$3,B445=2016,L445*$P$4,B445=2017,L445*$P$5,B445=2018,L445*$P$6,B445=2019,L445*$P$7,B445=2020,L445*$P$8,B445=2021,L445*$P$9,B445=2022,L445*$P$10)</f>
        <v>19386.727241479715</v>
      </c>
      <c r="I445" s="7">
        <f t="shared" si="15"/>
        <v>590305.72724147968</v>
      </c>
      <c r="J445">
        <f>IFERROR(VLOOKUP(F445,'LEAID Match'!$A$2:$B$227,2,FALSE),"")</f>
        <v>3808060</v>
      </c>
      <c r="K445">
        <f t="shared" si="14"/>
        <v>8</v>
      </c>
      <c r="L445" cm="1">
        <f t="array" ref="L445">_xlfn.IFS(B445=2015,G445/$P$13,B445=2016,G445/$P$14,B445=2017,G445/$P$15,B445=2018,G445/$P$16,B445=2019,G445/$P$17,B445=2019,G445/$P$18,B445=2020,G445/$P$18,B445=2021,G445/$P$19,B445=2022,G445/$P$20)</f>
        <v>6.8918333599288003E-3</v>
      </c>
    </row>
    <row r="446" spans="1:12" x14ac:dyDescent="0.2">
      <c r="A446">
        <v>3808060</v>
      </c>
      <c r="B446">
        <v>2017</v>
      </c>
      <c r="C446" t="s">
        <v>252</v>
      </c>
      <c r="D446" t="s">
        <v>254</v>
      </c>
      <c r="E446" t="s">
        <v>256</v>
      </c>
      <c r="F446" s="5" t="s">
        <v>217</v>
      </c>
      <c r="G446" s="7">
        <v>573531</v>
      </c>
      <c r="H446" s="7" cm="1">
        <f t="array" ref="H446">_xlfn.IFS(B446=2015,L446*$P$3,B446=2016,L446*$P$4,B446=2017,L446*$P$5,B446=2018,L446*$P$6,B446=2019,L446*$P$7,B446=2020,L446*$P$8,B446=2021,L446*$P$9,B446=2022,L446*$P$10)</f>
        <v>18587.021757422011</v>
      </c>
      <c r="I446" s="7">
        <f t="shared" si="15"/>
        <v>592118.02175742202</v>
      </c>
      <c r="J446">
        <f>IFERROR(VLOOKUP(F446,'LEAID Match'!$A$2:$B$227,2,FALSE),"")</f>
        <v>3808060</v>
      </c>
      <c r="K446">
        <f t="shared" si="14"/>
        <v>8</v>
      </c>
      <c r="L446" cm="1">
        <f t="array" ref="L446">_xlfn.IFS(B446=2015,G446/$P$13,B446=2016,G446/$P$14,B446=2017,G446/$P$15,B446=2018,G446/$P$16,B446=2019,G446/$P$17,B446=2019,G446/$P$18,B446=2020,G446/$P$18,B446=2021,G446/$P$19,B446=2022,G446/$P$20)</f>
        <v>6.6644036419584119E-3</v>
      </c>
    </row>
    <row r="447" spans="1:12" x14ac:dyDescent="0.2">
      <c r="A447">
        <v>3808060</v>
      </c>
      <c r="B447" s="5">
        <v>2018</v>
      </c>
      <c r="C447" t="s">
        <v>252</v>
      </c>
      <c r="D447" t="s">
        <v>254</v>
      </c>
      <c r="E447" t="s">
        <v>256</v>
      </c>
      <c r="F447" s="5" t="s">
        <v>217</v>
      </c>
      <c r="G447" s="7">
        <v>543075</v>
      </c>
      <c r="H447" s="7" cm="1">
        <f t="array" ref="H447">_xlfn.IFS(B447=2015,L447*$P$3,B447=2016,L447*$P$4,B447=2017,L447*$P$5,B447=2018,L447*$P$6,B447=2019,L447*$P$7,B447=2020,L447*$P$8,B447=2021,L447*$P$9,B447=2022,L447*$P$10)</f>
        <v>14880.791855110956</v>
      </c>
      <c r="I447" s="7">
        <f t="shared" si="15"/>
        <v>557955.7918551109</v>
      </c>
      <c r="J447">
        <f>IFERROR(VLOOKUP(F447,'LEAID Match'!$A$2:$B$227,2,FALSE),"")</f>
        <v>3808060</v>
      </c>
      <c r="K447">
        <f t="shared" si="14"/>
        <v>8</v>
      </c>
      <c r="L447" cm="1">
        <f t="array" ref="L447">_xlfn.IFS(B447=2015,G447/$P$13,B447=2016,G447/$P$14,B447=2017,G447/$P$15,B447=2018,G447/$P$16,B447=2019,G447/$P$17,B447=2019,G447/$P$18,B447=2020,G447/$P$18,B447=2021,G447/$P$19,B447=2022,G447/$P$20)</f>
        <v>6.2655965705730341E-3</v>
      </c>
    </row>
    <row r="448" spans="1:12" x14ac:dyDescent="0.2">
      <c r="A448">
        <v>3808060</v>
      </c>
      <c r="B448">
        <v>2019</v>
      </c>
      <c r="C448" t="s">
        <v>252</v>
      </c>
      <c r="D448" t="s">
        <v>254</v>
      </c>
      <c r="E448" t="s">
        <v>256</v>
      </c>
      <c r="F448" s="5" t="s">
        <v>217</v>
      </c>
      <c r="G448" s="7">
        <v>558980</v>
      </c>
      <c r="H448" s="7" cm="1">
        <f t="array" ref="H448">_xlfn.IFS(B448=2015,L448*$P$3,B448=2016,L448*$P$4,B448=2017,L448*$P$5,B448=2018,L448*$P$6,B448=2019,L448*$P$7,B448=2020,L448*$P$8,B448=2021,L448*$P$9,B448=2022,L448*$P$10)</f>
        <v>12973.827903844243</v>
      </c>
      <c r="I448" s="7">
        <f t="shared" si="15"/>
        <v>571953.8279038443</v>
      </c>
      <c r="J448">
        <f>IFERROR(VLOOKUP(F448,'LEAID Match'!$A$2:$B$227,2,FALSE),"")</f>
        <v>3808060</v>
      </c>
      <c r="K448">
        <f t="shared" si="14"/>
        <v>8</v>
      </c>
      <c r="L448" cm="1">
        <f t="array" ref="L448">_xlfn.IFS(B448=2015,G448/$P$13,B448=2016,G448/$P$14,B448=2017,G448/$P$15,B448=2018,G448/$P$16,B448=2019,G448/$P$17,B448=2019,G448/$P$18,B448=2020,G448/$P$18,B448=2021,G448/$P$19,B448=2022,G448/$P$20)</f>
        <v>6.2494354064760328E-3</v>
      </c>
    </row>
    <row r="449" spans="1:12" x14ac:dyDescent="0.2">
      <c r="A449">
        <v>3808060</v>
      </c>
      <c r="B449">
        <v>2020</v>
      </c>
      <c r="C449" t="s">
        <v>252</v>
      </c>
      <c r="D449" t="s">
        <v>254</v>
      </c>
      <c r="E449" t="s">
        <v>256</v>
      </c>
      <c r="F449" s="5" t="s">
        <v>217</v>
      </c>
      <c r="G449" s="7">
        <v>555676</v>
      </c>
      <c r="H449" s="7" cm="1">
        <f t="array" ref="H449">_xlfn.IFS(B449=2015,L449*$P$3,B449=2016,L449*$P$4,B449=2017,L449*$P$5,B449=2018,L449*$P$6,B449=2019,L449*$P$7,B449=2020,L449*$P$8,B449=2021,L449*$P$9,B449=2022,L449*$P$10)</f>
        <v>13940.809604321106</v>
      </c>
      <c r="I449" s="7">
        <f t="shared" si="15"/>
        <v>569616.80960432114</v>
      </c>
      <c r="J449">
        <f>IFERROR(VLOOKUP(F449,'LEAID Match'!$A$2:$B$227,2,FALSE),"")</f>
        <v>3808060</v>
      </c>
      <c r="K449">
        <f t="shared" si="14"/>
        <v>8</v>
      </c>
      <c r="L449" cm="1">
        <f t="array" ref="L449">_xlfn.IFS(B449=2015,G449/$P$13,B449=2016,G449/$P$14,B449=2017,G449/$P$15,B449=2018,G449/$P$16,B449=2019,G449/$P$17,B449=2019,G449/$P$18,B449=2020,G449/$P$18,B449=2021,G449/$P$19,B449=2022,G449/$P$20)</f>
        <v>5.9729261372412626E-3</v>
      </c>
    </row>
    <row r="450" spans="1:12" x14ac:dyDescent="0.2">
      <c r="A450">
        <v>3808060</v>
      </c>
      <c r="B450" s="5">
        <v>2021</v>
      </c>
      <c r="C450" t="s">
        <v>252</v>
      </c>
      <c r="D450" t="s">
        <v>254</v>
      </c>
      <c r="E450" t="s">
        <v>256</v>
      </c>
      <c r="F450" s="5" t="s">
        <v>217</v>
      </c>
      <c r="G450" s="7">
        <v>596477</v>
      </c>
      <c r="H450" s="7" cm="1">
        <f t="array" ref="H450">_xlfn.IFS(B450=2015,L450*$P$3,B450=2016,L450*$P$4,B450=2017,L450*$P$5,B450=2018,L450*$P$6,B450=2019,L450*$P$7,B450=2020,L450*$P$8,B450=2021,L450*$P$9,B450=2022,L450*$P$10)</f>
        <v>16298.312581897828</v>
      </c>
      <c r="I450" s="7">
        <f t="shared" si="15"/>
        <v>612775.31258189783</v>
      </c>
      <c r="J450">
        <f>IFERROR(VLOOKUP(F450,'LEAID Match'!$A$2:$B$227,2,FALSE),"")</f>
        <v>3808060</v>
      </c>
      <c r="K450">
        <f t="shared" ref="K450:K513" si="16">COUNTIF($A$2:$A$1757,A450)</f>
        <v>8</v>
      </c>
      <c r="L450" cm="1">
        <f t="array" ref="L450">_xlfn.IFS(B450=2015,G450/$P$13,B450=2016,G450/$P$14,B450=2017,G450/$P$15,B450=2018,G450/$P$16,B450=2019,G450/$P$17,B450=2019,G450/$P$18,B450=2020,G450/$P$18,B450=2021,G450/$P$19,B450=2022,G450/$P$20)</f>
        <v>6.0701350398129714E-3</v>
      </c>
    </row>
    <row r="451" spans="1:12" x14ac:dyDescent="0.2">
      <c r="A451">
        <v>3808060</v>
      </c>
      <c r="B451">
        <v>2022</v>
      </c>
      <c r="C451" t="s">
        <v>252</v>
      </c>
      <c r="D451" t="s">
        <v>254</v>
      </c>
      <c r="E451" t="s">
        <v>256</v>
      </c>
      <c r="F451" s="5" t="s">
        <v>217</v>
      </c>
      <c r="G451" s="7">
        <v>606236</v>
      </c>
      <c r="H451" s="7" cm="1">
        <f t="array" ref="H451">_xlfn.IFS(B451=2015,L451*$P$3,B451=2016,L451*$P$4,B451=2017,L451*$P$5,B451=2018,L451*$P$6,B451=2019,L451*$P$7,B451=2020,L451*$P$8,B451=2021,L451*$P$9,B451=2022,L451*$P$10)</f>
        <v>12338.456385075435</v>
      </c>
      <c r="I451" s="7">
        <f t="shared" ref="I451:I514" si="17">SUM(G451:H451)</f>
        <v>618574.45638507546</v>
      </c>
      <c r="J451">
        <f>IFERROR(VLOOKUP(F451,'LEAID Match'!$A$2:$B$227,2,FALSE),"")</f>
        <v>3808060</v>
      </c>
      <c r="K451">
        <f t="shared" si="16"/>
        <v>8</v>
      </c>
      <c r="L451" cm="1">
        <f t="array" ref="L451">_xlfn.IFS(B451=2015,G451/$P$13,B451=2016,G451/$P$14,B451=2017,G451/$P$15,B451=2018,G451/$P$16,B451=2019,G451/$P$17,B451=2019,G451/$P$18,B451=2020,G451/$P$18,B451=2021,G451/$P$19,B451=2022,G451/$P$20)</f>
        <v>6.0423390720251886E-3</v>
      </c>
    </row>
    <row r="452" spans="1:12" x14ac:dyDescent="0.2">
      <c r="A452">
        <v>3808130</v>
      </c>
      <c r="B452">
        <v>2015</v>
      </c>
      <c r="C452" t="s">
        <v>252</v>
      </c>
      <c r="D452" t="s">
        <v>254</v>
      </c>
      <c r="E452" t="s">
        <v>256</v>
      </c>
      <c r="F452" s="5" t="s">
        <v>100</v>
      </c>
      <c r="G452" s="7">
        <v>5478558</v>
      </c>
      <c r="H452" s="7" cm="1">
        <f t="array" ref="H452">_xlfn.IFS(B452=2015,L452*$P$3,B452=2016,L452*$P$4,B452=2017,L452*$P$5,B452=2018,L452*$P$6,B452=2019,L452*$P$7,B452=2020,L452*$P$8,B452=2021,L452*$P$9,B452=2022,L452*$P$10)</f>
        <v>123861.55604096294</v>
      </c>
      <c r="I452" s="7">
        <f t="shared" si="17"/>
        <v>5602419.5560409632</v>
      </c>
      <c r="J452">
        <f>IFERROR(VLOOKUP(F452,'LEAID Match'!$A$2:$B$227,2,FALSE),"")</f>
        <v>3808130</v>
      </c>
      <c r="K452">
        <f t="shared" si="16"/>
        <v>8</v>
      </c>
      <c r="L452" cm="1">
        <f t="array" ref="L452">_xlfn.IFS(B452=2015,G452/$P$13,B452=2016,G452/$P$14,B452=2017,G452/$P$15,B452=2018,G452/$P$16,B452=2019,G452/$P$17,B452=2019,G452/$P$18,B452=2020,G452/$P$18,B452=2021,G452/$P$19,B452=2022,G452/$P$20)</f>
        <v>6.9859873683566234E-2</v>
      </c>
    </row>
    <row r="453" spans="1:12" x14ac:dyDescent="0.2">
      <c r="A453">
        <v>3808130</v>
      </c>
      <c r="B453">
        <v>2016</v>
      </c>
      <c r="C453" t="s">
        <v>252</v>
      </c>
      <c r="D453" t="s">
        <v>254</v>
      </c>
      <c r="E453" t="s">
        <v>256</v>
      </c>
      <c r="F453" s="5" t="s">
        <v>100</v>
      </c>
      <c r="G453" s="7">
        <v>5850865</v>
      </c>
      <c r="H453" s="7" cm="1">
        <f t="array" ref="H453">_xlfn.IFS(B453=2015,L453*$P$3,B453=2016,L453*$P$4,B453=2017,L453*$P$5,B453=2018,L453*$P$6,B453=2019,L453*$P$7,B453=2020,L453*$P$8,B453=2021,L453*$P$9,B453=2022,L453*$P$10)</f>
        <v>198678.13802259206</v>
      </c>
      <c r="I453" s="7">
        <f t="shared" si="17"/>
        <v>6049543.1380225923</v>
      </c>
      <c r="J453">
        <f>IFERROR(VLOOKUP(F453,'LEAID Match'!$A$2:$B$227,2,FALSE),"")</f>
        <v>3808130</v>
      </c>
      <c r="K453">
        <f t="shared" si="16"/>
        <v>8</v>
      </c>
      <c r="L453" cm="1">
        <f t="array" ref="L453">_xlfn.IFS(B453=2015,G453/$P$13,B453=2016,G453/$P$14,B453=2017,G453/$P$15,B453=2018,G453/$P$16,B453=2019,G453/$P$17,B453=2019,G453/$P$18,B453=2020,G453/$P$18,B453=2021,G453/$P$19,B453=2022,G453/$P$20)</f>
        <v>7.0628559553001083E-2</v>
      </c>
    </row>
    <row r="454" spans="1:12" x14ac:dyDescent="0.2">
      <c r="A454">
        <v>3808130</v>
      </c>
      <c r="B454">
        <v>2017</v>
      </c>
      <c r="C454" t="s">
        <v>252</v>
      </c>
      <c r="D454" t="s">
        <v>254</v>
      </c>
      <c r="E454" t="s">
        <v>256</v>
      </c>
      <c r="F454" s="5" t="s">
        <v>100</v>
      </c>
      <c r="G454" s="7">
        <v>6075739</v>
      </c>
      <c r="H454" s="7" cm="1">
        <f t="array" ref="H454">_xlfn.IFS(B454=2015,L454*$P$3,B454=2016,L454*$P$4,B454=2017,L454*$P$5,B454=2018,L454*$P$6,B454=2019,L454*$P$7,B454=2020,L454*$P$8,B454=2021,L454*$P$9,B454=2022,L454*$P$10)</f>
        <v>196902.85788460859</v>
      </c>
      <c r="I454" s="7">
        <f t="shared" si="17"/>
        <v>6272641.8578846082</v>
      </c>
      <c r="J454">
        <f>IFERROR(VLOOKUP(F454,'LEAID Match'!$A$2:$B$227,2,FALSE),"")</f>
        <v>3808130</v>
      </c>
      <c r="K454">
        <f t="shared" si="16"/>
        <v>8</v>
      </c>
      <c r="L454" cm="1">
        <f t="array" ref="L454">_xlfn.IFS(B454=2015,G454/$P$13,B454=2016,G454/$P$14,B454=2017,G454/$P$15,B454=2018,G454/$P$16,B454=2019,G454/$P$17,B454=2019,G454/$P$18,B454=2020,G454/$P$18,B454=2021,G454/$P$19,B454=2022,G454/$P$20)</f>
        <v>7.0599805623739187E-2</v>
      </c>
    </row>
    <row r="455" spans="1:12" x14ac:dyDescent="0.2">
      <c r="A455">
        <v>3808130</v>
      </c>
      <c r="B455" s="5">
        <v>2018</v>
      </c>
      <c r="C455" t="s">
        <v>252</v>
      </c>
      <c r="D455" t="s">
        <v>254</v>
      </c>
      <c r="E455" t="s">
        <v>256</v>
      </c>
      <c r="F455" s="5" t="s">
        <v>100</v>
      </c>
      <c r="G455" s="7">
        <v>6015621</v>
      </c>
      <c r="H455" s="7" cm="1">
        <f t="array" ref="H455">_xlfn.IFS(B455=2015,L455*$P$3,B455=2016,L455*$P$4,B455=2017,L455*$P$5,B455=2018,L455*$P$6,B455=2019,L455*$P$7,B455=2020,L455*$P$8,B455=2021,L455*$P$9,B455=2022,L455*$P$10)</f>
        <v>164833.96212352702</v>
      </c>
      <c r="I455" s="7">
        <f t="shared" si="17"/>
        <v>6180454.9621235272</v>
      </c>
      <c r="J455">
        <f>IFERROR(VLOOKUP(F455,'LEAID Match'!$A$2:$B$227,2,FALSE),"")</f>
        <v>3808130</v>
      </c>
      <c r="K455">
        <f t="shared" si="16"/>
        <v>8</v>
      </c>
      <c r="L455" cm="1">
        <f t="array" ref="L455">_xlfn.IFS(B455=2015,G455/$P$13,B455=2016,G455/$P$14,B455=2017,G455/$P$15,B455=2018,G455/$P$16,B455=2019,G455/$P$17,B455=2019,G455/$P$18,B455=2020,G455/$P$18,B455=2021,G455/$P$19,B455=2022,G455/$P$20)</f>
        <v>6.9403773525695586E-2</v>
      </c>
    </row>
    <row r="456" spans="1:12" x14ac:dyDescent="0.2">
      <c r="A456">
        <v>3808130</v>
      </c>
      <c r="B456">
        <v>2019</v>
      </c>
      <c r="C456" t="s">
        <v>252</v>
      </c>
      <c r="D456" t="s">
        <v>254</v>
      </c>
      <c r="E456" t="s">
        <v>256</v>
      </c>
      <c r="F456" s="5" t="s">
        <v>100</v>
      </c>
      <c r="G456" s="7">
        <v>6140238</v>
      </c>
      <c r="H456" s="7" cm="1">
        <f t="array" ref="H456">_xlfn.IFS(B456=2015,L456*$P$3,B456=2016,L456*$P$4,B456=2017,L456*$P$5,B456=2018,L456*$P$6,B456=2019,L456*$P$7,B456=2020,L456*$P$8,B456=2021,L456*$P$9,B456=2022,L456*$P$10)</f>
        <v>142513.84861827755</v>
      </c>
      <c r="I456" s="7">
        <f t="shared" si="17"/>
        <v>6282751.8486182773</v>
      </c>
      <c r="J456">
        <f>IFERROR(VLOOKUP(F456,'LEAID Match'!$A$2:$B$227,2,FALSE),"")</f>
        <v>3808130</v>
      </c>
      <c r="K456">
        <f t="shared" si="16"/>
        <v>8</v>
      </c>
      <c r="L456" cm="1">
        <f t="array" ref="L456">_xlfn.IFS(B456=2015,G456/$P$13,B456=2016,G456/$P$14,B456=2017,G456/$P$15,B456=2018,G456/$P$16,B456=2019,G456/$P$17,B456=2019,G456/$P$18,B456=2020,G456/$P$18,B456=2021,G456/$P$19,B456=2022,G456/$P$20)</f>
        <v>6.8648289315162592E-2</v>
      </c>
    </row>
    <row r="457" spans="1:12" x14ac:dyDescent="0.2">
      <c r="A457">
        <v>3808130</v>
      </c>
      <c r="B457">
        <v>2020</v>
      </c>
      <c r="C457" t="s">
        <v>252</v>
      </c>
      <c r="D457" t="s">
        <v>254</v>
      </c>
      <c r="E457" t="s">
        <v>256</v>
      </c>
      <c r="F457" s="5" t="s">
        <v>100</v>
      </c>
      <c r="G457" s="7">
        <v>6303525</v>
      </c>
      <c r="H457" s="7" cm="1">
        <f t="array" ref="H457">_xlfn.IFS(B457=2015,L457*$P$3,B457=2016,L457*$P$4,B457=2017,L457*$P$5,B457=2018,L457*$P$6,B457=2019,L457*$P$7,B457=2020,L457*$P$8,B457=2021,L457*$P$9,B457=2022,L457*$P$10)</f>
        <v>158142.94995838977</v>
      </c>
      <c r="I457" s="7">
        <f t="shared" si="17"/>
        <v>6461667.9499583896</v>
      </c>
      <c r="J457">
        <f>IFERROR(VLOOKUP(F457,'LEAID Match'!$A$2:$B$227,2,FALSE),"")</f>
        <v>3808130</v>
      </c>
      <c r="K457">
        <f t="shared" si="16"/>
        <v>8</v>
      </c>
      <c r="L457" cm="1">
        <f t="array" ref="L457">_xlfn.IFS(B457=2015,G457/$P$13,B457=2016,G457/$P$14,B457=2017,G457/$P$15,B457=2018,G457/$P$16,B457=2019,G457/$P$17,B457=2019,G457/$P$18,B457=2020,G457/$P$18,B457=2021,G457/$P$19,B457=2022,G457/$P$20)</f>
        <v>6.7756191070432639E-2</v>
      </c>
    </row>
    <row r="458" spans="1:12" x14ac:dyDescent="0.2">
      <c r="A458">
        <v>3808130</v>
      </c>
      <c r="B458" s="5">
        <v>2021</v>
      </c>
      <c r="C458" t="s">
        <v>252</v>
      </c>
      <c r="D458" t="s">
        <v>254</v>
      </c>
      <c r="E458" t="s">
        <v>256</v>
      </c>
      <c r="F458" s="5" t="s">
        <v>100</v>
      </c>
      <c r="G458" s="7">
        <v>6534556</v>
      </c>
      <c r="H458" s="7" cm="1">
        <f t="array" ref="H458">_xlfn.IFS(B458=2015,L458*$P$3,B458=2016,L458*$P$4,B458=2017,L458*$P$5,B458=2018,L458*$P$6,B458=2019,L458*$P$7,B458=2020,L458*$P$8,B458=2021,L458*$P$9,B458=2022,L458*$P$10)</f>
        <v>178552.12568450408</v>
      </c>
      <c r="I458" s="7">
        <f t="shared" si="17"/>
        <v>6713108.1256845044</v>
      </c>
      <c r="J458">
        <f>IFERROR(VLOOKUP(F458,'LEAID Match'!$A$2:$B$227,2,FALSE),"")</f>
        <v>3808130</v>
      </c>
      <c r="K458">
        <f t="shared" si="16"/>
        <v>8</v>
      </c>
      <c r="L458" cm="1">
        <f t="array" ref="L458">_xlfn.IFS(B458=2015,G458/$P$13,B458=2016,G458/$P$14,B458=2017,G458/$P$15,B458=2018,G458/$P$16,B458=2019,G458/$P$17,B458=2019,G458/$P$18,B458=2020,G458/$P$18,B458=2021,G458/$P$19,B458=2022,G458/$P$20)</f>
        <v>6.6499860590131868E-2</v>
      </c>
    </row>
    <row r="459" spans="1:12" x14ac:dyDescent="0.2">
      <c r="A459">
        <v>3808130</v>
      </c>
      <c r="B459">
        <v>2022</v>
      </c>
      <c r="C459" t="s">
        <v>252</v>
      </c>
      <c r="D459" t="s">
        <v>254</v>
      </c>
      <c r="E459" t="s">
        <v>256</v>
      </c>
      <c r="F459" s="5" t="s">
        <v>100</v>
      </c>
      <c r="G459" s="7">
        <v>6496817</v>
      </c>
      <c r="H459" s="7" cm="1">
        <f t="array" ref="H459">_xlfn.IFS(B459=2015,L459*$P$3,B459=2016,L459*$P$4,B459=2017,L459*$P$5,B459=2018,L459*$P$6,B459=2019,L459*$P$7,B459=2020,L459*$P$8,B459=2021,L459*$P$9,B459=2022,L459*$P$10)</f>
        <v>132226.87731562729</v>
      </c>
      <c r="I459" s="7">
        <f t="shared" si="17"/>
        <v>6629043.8773156274</v>
      </c>
      <c r="J459">
        <f>IFERROR(VLOOKUP(F459,'LEAID Match'!$A$2:$B$227,2,FALSE),"")</f>
        <v>3808130</v>
      </c>
      <c r="K459">
        <f t="shared" si="16"/>
        <v>8</v>
      </c>
      <c r="L459" cm="1">
        <f t="array" ref="L459">_xlfn.IFS(B459=2015,G459/$P$13,B459=2016,G459/$P$14,B459=2017,G459/$P$15,B459=2018,G459/$P$16,B459=2019,G459/$P$17,B459=2019,G459/$P$18,B459=2020,G459/$P$18,B459=2021,G459/$P$19,B459=2022,G459/$P$20)</f>
        <v>6.475361278923962E-2</v>
      </c>
    </row>
    <row r="460" spans="1:12" x14ac:dyDescent="0.2">
      <c r="A460">
        <v>3800399</v>
      </c>
      <c r="B460">
        <v>2015</v>
      </c>
      <c r="C460" t="s">
        <v>252</v>
      </c>
      <c r="D460" t="s">
        <v>254</v>
      </c>
      <c r="E460" t="s">
        <v>256</v>
      </c>
      <c r="F460" s="5" t="s">
        <v>101</v>
      </c>
      <c r="G460" s="7">
        <v>20434</v>
      </c>
      <c r="H460" s="7" cm="1">
        <f t="array" ref="H460">_xlfn.IFS(B460=2015,L460*$P$3,B460=2016,L460*$P$4,B460=2017,L460*$P$5,B460=2018,L460*$P$6,B460=2019,L460*$P$7,B460=2020,L460*$P$8,B460=2021,L460*$P$9,B460=2022,L460*$P$10)</f>
        <v>461.98051314616674</v>
      </c>
      <c r="I460" s="7">
        <f t="shared" si="17"/>
        <v>20895.980513146165</v>
      </c>
      <c r="J460">
        <f>IFERROR(VLOOKUP(F460,'LEAID Match'!$A$2:$B$227,2,FALSE),"")</f>
        <v>3800399</v>
      </c>
      <c r="K460">
        <f t="shared" si="16"/>
        <v>8</v>
      </c>
      <c r="L460" cm="1">
        <f t="array" ref="L460">_xlfn.IFS(B460=2015,G460/$P$13,B460=2016,G460/$P$14,B460=2017,G460/$P$15,B460=2018,G460/$P$16,B460=2019,G460/$P$17,B460=2019,G460/$P$18,B460=2020,G460/$P$18,B460=2021,G460/$P$19,B460=2022,G460/$P$20)</f>
        <v>2.6056430521498406E-4</v>
      </c>
    </row>
    <row r="461" spans="1:12" x14ac:dyDescent="0.2">
      <c r="A461">
        <v>3800399</v>
      </c>
      <c r="B461">
        <v>2016</v>
      </c>
      <c r="C461" t="s">
        <v>252</v>
      </c>
      <c r="D461" t="s">
        <v>254</v>
      </c>
      <c r="E461" t="s">
        <v>256</v>
      </c>
      <c r="F461" s="5" t="s">
        <v>101</v>
      </c>
      <c r="G461" s="7">
        <v>22723</v>
      </c>
      <c r="H461" s="7" cm="1">
        <f t="array" ref="H461">_xlfn.IFS(B461=2015,L461*$P$3,B461=2016,L461*$P$4,B461=2017,L461*$P$5,B461=2018,L461*$P$6,B461=2019,L461*$P$7,B461=2020,L461*$P$8,B461=2021,L461*$P$9,B461=2022,L461*$P$10)</f>
        <v>771.60613521032508</v>
      </c>
      <c r="I461" s="7">
        <f t="shared" si="17"/>
        <v>23494.606135210324</v>
      </c>
      <c r="J461">
        <f>IFERROR(VLOOKUP(F461,'LEAID Match'!$A$2:$B$227,2,FALSE),"")</f>
        <v>3800399</v>
      </c>
      <c r="K461">
        <f t="shared" si="16"/>
        <v>8</v>
      </c>
      <c r="L461" cm="1">
        <f t="array" ref="L461">_xlfn.IFS(B461=2015,G461/$P$13,B461=2016,G461/$P$14,B461=2017,G461/$P$15,B461=2018,G461/$P$16,B461=2019,G461/$P$17,B461=2019,G461/$P$18,B461=2020,G461/$P$18,B461=2021,G461/$P$19,B461=2022,G461/$P$20)</f>
        <v>2.7430008361547284E-4</v>
      </c>
    </row>
    <row r="462" spans="1:12" x14ac:dyDescent="0.2">
      <c r="A462">
        <v>3800399</v>
      </c>
      <c r="B462">
        <v>2017</v>
      </c>
      <c r="C462" t="s">
        <v>252</v>
      </c>
      <c r="D462" t="s">
        <v>254</v>
      </c>
      <c r="E462" t="s">
        <v>256</v>
      </c>
      <c r="F462" s="5" t="s">
        <v>101</v>
      </c>
      <c r="G462" s="7">
        <v>17604</v>
      </c>
      <c r="H462" s="7" cm="1">
        <f t="array" ref="H462">_xlfn.IFS(B462=2015,L462*$P$3,B462=2016,L462*$P$4,B462=2017,L462*$P$5,B462=2018,L462*$P$6,B462=2019,L462*$P$7,B462=2020,L462*$P$8,B462=2021,L462*$P$9,B462=2022,L462*$P$10)</f>
        <v>570.51132548660325</v>
      </c>
      <c r="I462" s="7">
        <f t="shared" si="17"/>
        <v>18174.511325486605</v>
      </c>
      <c r="J462">
        <f>IFERROR(VLOOKUP(F462,'LEAID Match'!$A$2:$B$227,2,FALSE),"")</f>
        <v>3800399</v>
      </c>
      <c r="K462">
        <f t="shared" si="16"/>
        <v>8</v>
      </c>
      <c r="L462" cm="1">
        <f t="array" ref="L462">_xlfn.IFS(B462=2015,G462/$P$13,B462=2016,G462/$P$14,B462=2017,G462/$P$15,B462=2018,G462/$P$16,B462=2019,G462/$P$17,B462=2019,G462/$P$18,B462=2020,G462/$P$18,B462=2021,G462/$P$19,B462=2022,G462/$P$20)</f>
        <v>2.0455766421176167E-4</v>
      </c>
    </row>
    <row r="463" spans="1:12" x14ac:dyDescent="0.2">
      <c r="A463">
        <v>3800399</v>
      </c>
      <c r="B463" s="5">
        <v>2018</v>
      </c>
      <c r="C463" t="s">
        <v>252</v>
      </c>
      <c r="D463" t="s">
        <v>254</v>
      </c>
      <c r="E463" t="s">
        <v>256</v>
      </c>
      <c r="F463" s="5" t="s">
        <v>101</v>
      </c>
      <c r="G463" s="7">
        <v>14429</v>
      </c>
      <c r="H463" s="7" cm="1">
        <f t="array" ref="H463">_xlfn.IFS(B463=2015,L463*$P$3,B463=2016,L463*$P$4,B463=2017,L463*$P$5,B463=2018,L463*$P$6,B463=2019,L463*$P$7,B463=2020,L463*$P$8,B463=2021,L463*$P$9,B463=2022,L463*$P$10)</f>
        <v>395.36886374330618</v>
      </c>
      <c r="I463" s="7">
        <f t="shared" si="17"/>
        <v>14824.368863743306</v>
      </c>
      <c r="J463">
        <f>IFERROR(VLOOKUP(F463,'LEAID Match'!$A$2:$B$227,2,FALSE),"")</f>
        <v>3800399</v>
      </c>
      <c r="K463">
        <f t="shared" si="16"/>
        <v>8</v>
      </c>
      <c r="L463" cm="1">
        <f t="array" ref="L463">_xlfn.IFS(B463=2015,G463/$P$13,B463=2016,G463/$P$14,B463=2017,G463/$P$15,B463=2018,G463/$P$16,B463=2019,G463/$P$17,B463=2019,G463/$P$18,B463=2020,G463/$P$18,B463=2021,G463/$P$19,B463=2022,G463/$P$20)</f>
        <v>1.6647110052349733E-4</v>
      </c>
    </row>
    <row r="464" spans="1:12" x14ac:dyDescent="0.2">
      <c r="A464">
        <v>3800399</v>
      </c>
      <c r="B464">
        <v>2019</v>
      </c>
      <c r="C464" t="s">
        <v>252</v>
      </c>
      <c r="D464" t="s">
        <v>254</v>
      </c>
      <c r="E464" t="s">
        <v>256</v>
      </c>
      <c r="F464" s="5" t="s">
        <v>101</v>
      </c>
      <c r="G464" s="7">
        <v>22237</v>
      </c>
      <c r="H464" s="7" cm="1">
        <f t="array" ref="H464">_xlfn.IFS(B464=2015,L464*$P$3,B464=2016,L464*$P$4,B464=2017,L464*$P$5,B464=2018,L464*$P$6,B464=2019,L464*$P$7,B464=2020,L464*$P$8,B464=2021,L464*$P$9,B464=2022,L464*$P$10)</f>
        <v>516.11687555509047</v>
      </c>
      <c r="I464" s="7">
        <f t="shared" si="17"/>
        <v>22753.11687555509</v>
      </c>
      <c r="J464">
        <f>IFERROR(VLOOKUP(F464,'LEAID Match'!$A$2:$B$227,2,FALSE),"")</f>
        <v>3800399</v>
      </c>
      <c r="K464">
        <f t="shared" si="16"/>
        <v>8</v>
      </c>
      <c r="L464" cm="1">
        <f t="array" ref="L464">_xlfn.IFS(B464=2015,G464/$P$13,B464=2016,G464/$P$14,B464=2017,G464/$P$15,B464=2018,G464/$P$16,B464=2019,G464/$P$17,B464=2019,G464/$P$18,B464=2020,G464/$P$18,B464=2021,G464/$P$19,B464=2022,G464/$P$20)</f>
        <v>2.4861121173173917E-4</v>
      </c>
    </row>
    <row r="465" spans="1:12" x14ac:dyDescent="0.2">
      <c r="A465">
        <v>3800399</v>
      </c>
      <c r="B465">
        <v>2020</v>
      </c>
      <c r="C465" t="s">
        <v>252</v>
      </c>
      <c r="D465" t="s">
        <v>254</v>
      </c>
      <c r="E465" t="s">
        <v>256</v>
      </c>
      <c r="F465" s="5" t="s">
        <v>101</v>
      </c>
      <c r="G465" s="7">
        <v>28219</v>
      </c>
      <c r="H465" s="7" cm="1">
        <f t="array" ref="H465">_xlfn.IFS(B465=2015,L465*$P$3,B465=2016,L465*$P$4,B465=2017,L465*$P$5,B465=2018,L465*$P$6,B465=2019,L465*$P$7,B465=2020,L465*$P$8,B465=2021,L465*$P$9,B465=2022,L465*$P$10)</f>
        <v>707.95878573905895</v>
      </c>
      <c r="I465" s="7">
        <f t="shared" si="17"/>
        <v>28926.958785739058</v>
      </c>
      <c r="J465">
        <f>IFERROR(VLOOKUP(F465,'LEAID Match'!$A$2:$B$227,2,FALSE),"")</f>
        <v>3800399</v>
      </c>
      <c r="K465">
        <f t="shared" si="16"/>
        <v>8</v>
      </c>
      <c r="L465" cm="1">
        <f t="array" ref="L465">_xlfn.IFS(B465=2015,G465/$P$13,B465=2016,G465/$P$14,B465=2017,G465/$P$15,B465=2018,G465/$P$16,B465=2019,G465/$P$17,B465=2019,G465/$P$18,B465=2020,G465/$P$18,B465=2021,G465/$P$19,B465=2022,G465/$P$20)</f>
        <v>3.0332424410413838E-4</v>
      </c>
    </row>
    <row r="466" spans="1:12" x14ac:dyDescent="0.2">
      <c r="A466">
        <v>3800399</v>
      </c>
      <c r="B466" s="5">
        <v>2021</v>
      </c>
      <c r="C466" t="s">
        <v>252</v>
      </c>
      <c r="D466" t="s">
        <v>254</v>
      </c>
      <c r="E466" t="s">
        <v>256</v>
      </c>
      <c r="F466" s="5" t="s">
        <v>101</v>
      </c>
      <c r="G466" s="7">
        <v>17466</v>
      </c>
      <c r="H466" s="7" cm="1">
        <f t="array" ref="H466">_xlfn.IFS(B466=2015,L466*$P$3,B466=2016,L466*$P$4,B466=2017,L466*$P$5,B466=2018,L466*$P$6,B466=2019,L466*$P$7,B466=2020,L466*$P$8,B466=2021,L466*$P$9,B466=2022,L466*$P$10)</f>
        <v>477.24610933100098</v>
      </c>
      <c r="I466" s="7">
        <f t="shared" si="17"/>
        <v>17943.246109331001</v>
      </c>
      <c r="J466">
        <f>IFERROR(VLOOKUP(F466,'LEAID Match'!$A$2:$B$227,2,FALSE),"")</f>
        <v>3800399</v>
      </c>
      <c r="K466">
        <f t="shared" si="16"/>
        <v>8</v>
      </c>
      <c r="L466" cm="1">
        <f t="array" ref="L466">_xlfn.IFS(B466=2015,G466/$P$13,B466=2016,G466/$P$14,B466=2017,G466/$P$15,B466=2018,G466/$P$16,B466=2019,G466/$P$17,B466=2019,G466/$P$18,B466=2020,G466/$P$18,B466=2021,G466/$P$19,B466=2022,G466/$P$20)</f>
        <v>1.7774529211582904E-4</v>
      </c>
    </row>
    <row r="467" spans="1:12" x14ac:dyDescent="0.2">
      <c r="A467">
        <v>3800399</v>
      </c>
      <c r="B467">
        <v>2022</v>
      </c>
      <c r="C467" t="s">
        <v>252</v>
      </c>
      <c r="D467" t="s">
        <v>254</v>
      </c>
      <c r="E467" t="s">
        <v>256</v>
      </c>
      <c r="F467" s="5" t="s">
        <v>101</v>
      </c>
      <c r="G467" s="7">
        <v>22487</v>
      </c>
      <c r="H467" s="7" cm="1">
        <f t="array" ref="H467">_xlfn.IFS(B467=2015,L467*$P$3,B467=2016,L467*$P$4,B467=2017,L467*$P$5,B467=2018,L467*$P$6,B467=2019,L467*$P$7,B467=2020,L467*$P$8,B467=2021,L467*$P$9,B467=2022,L467*$P$10)</f>
        <v>457.66808426288003</v>
      </c>
      <c r="I467" s="7">
        <f t="shared" si="17"/>
        <v>22944.668084262881</v>
      </c>
      <c r="J467">
        <f>IFERROR(VLOOKUP(F467,'LEAID Match'!$A$2:$B$227,2,FALSE),"")</f>
        <v>3800399</v>
      </c>
      <c r="K467">
        <f t="shared" si="16"/>
        <v>8</v>
      </c>
      <c r="L467" cm="1">
        <f t="array" ref="L467">_xlfn.IFS(B467=2015,G467/$P$13,B467=2016,G467/$P$14,B467=2017,G467/$P$15,B467=2018,G467/$P$16,B467=2019,G467/$P$17,B467=2019,G467/$P$18,B467=2020,G467/$P$18,B467=2021,G467/$P$19,B467=2022,G467/$P$20)</f>
        <v>2.241273674157101E-4</v>
      </c>
    </row>
    <row r="468" spans="1:12" x14ac:dyDescent="0.2">
      <c r="A468">
        <v>3808460</v>
      </c>
      <c r="B468">
        <v>2015</v>
      </c>
      <c r="C468" t="s">
        <v>252</v>
      </c>
      <c r="D468" t="s">
        <v>254</v>
      </c>
      <c r="E468" t="s">
        <v>256</v>
      </c>
      <c r="F468" s="5" t="s">
        <v>102</v>
      </c>
      <c r="G468" s="7">
        <v>140391</v>
      </c>
      <c r="H468" s="7" cm="1">
        <f t="array" ref="H468">_xlfn.IFS(B468=2015,L468*$P$3,B468=2016,L468*$P$4,B468=2017,L468*$P$5,B468=2018,L468*$P$6,B468=2019,L468*$P$7,B468=2020,L468*$P$8,B468=2021,L468*$P$9,B468=2022,L468*$P$10)</f>
        <v>3174.0190966577024</v>
      </c>
      <c r="I468" s="7">
        <f t="shared" si="17"/>
        <v>143565.01909665769</v>
      </c>
      <c r="J468">
        <f>IFERROR(VLOOKUP(F468,'LEAID Match'!$A$2:$B$227,2,FALSE),"")</f>
        <v>3808460</v>
      </c>
      <c r="K468">
        <f t="shared" si="16"/>
        <v>8</v>
      </c>
      <c r="L468" cm="1">
        <f t="array" ref="L468">_xlfn.IFS(B468=2015,G468/$P$13,B468=2016,G468/$P$14,B468=2017,G468/$P$15,B468=2018,G468/$P$16,B468=2019,G468/$P$17,B468=2019,G468/$P$18,B468=2020,G468/$P$18,B468=2021,G468/$P$19,B468=2022,G468/$P$20)</f>
        <v>1.790196896028033E-3</v>
      </c>
    </row>
    <row r="469" spans="1:12" x14ac:dyDescent="0.2">
      <c r="A469">
        <v>3808460</v>
      </c>
      <c r="B469">
        <v>2016</v>
      </c>
      <c r="C469" t="s">
        <v>252</v>
      </c>
      <c r="D469" t="s">
        <v>254</v>
      </c>
      <c r="E469" t="s">
        <v>256</v>
      </c>
      <c r="F469" s="5" t="s">
        <v>102</v>
      </c>
      <c r="G469" s="7">
        <v>145127</v>
      </c>
      <c r="H469" s="7" cm="1">
        <f t="array" ref="H469">_xlfn.IFS(B469=2015,L469*$P$3,B469=2016,L469*$P$4,B469=2017,L469*$P$5,B469=2018,L469*$P$6,B469=2019,L469*$P$7,B469=2020,L469*$P$8,B469=2021,L469*$P$9,B469=2022,L469*$P$10)</f>
        <v>4928.0853577726903</v>
      </c>
      <c r="I469" s="7">
        <f t="shared" si="17"/>
        <v>150055.08535777268</v>
      </c>
      <c r="J469">
        <f>IFERROR(VLOOKUP(F469,'LEAID Match'!$A$2:$B$227,2,FALSE),"")</f>
        <v>3808460</v>
      </c>
      <c r="K469">
        <f t="shared" si="16"/>
        <v>8</v>
      </c>
      <c r="L469" cm="1">
        <f t="array" ref="L469">_xlfn.IFS(B469=2015,G469/$P$13,B469=2016,G469/$P$14,B469=2017,G469/$P$15,B469=2018,G469/$P$16,B469=2019,G469/$P$17,B469=2019,G469/$P$18,B469=2020,G469/$P$18,B469=2021,G469/$P$19,B469=2022,G469/$P$20)</f>
        <v>1.751896678909595E-3</v>
      </c>
    </row>
    <row r="470" spans="1:12" x14ac:dyDescent="0.2">
      <c r="A470">
        <v>3808460</v>
      </c>
      <c r="B470">
        <v>2017</v>
      </c>
      <c r="C470" t="s">
        <v>252</v>
      </c>
      <c r="D470" t="s">
        <v>254</v>
      </c>
      <c r="E470" t="s">
        <v>256</v>
      </c>
      <c r="F470" s="5" t="s">
        <v>102</v>
      </c>
      <c r="G470" s="7">
        <v>148770</v>
      </c>
      <c r="H470" s="7" cm="1">
        <f t="array" ref="H470">_xlfn.IFS(B470=2015,L470*$P$3,B470=2016,L470*$P$4,B470=2017,L470*$P$5,B470=2018,L470*$P$6,B470=2019,L470*$P$7,B470=2020,L470*$P$8,B470=2021,L470*$P$9,B470=2022,L470*$P$10)</f>
        <v>4821.345710784025</v>
      </c>
      <c r="I470" s="7">
        <f t="shared" si="17"/>
        <v>153591.34571078402</v>
      </c>
      <c r="J470">
        <f>IFERROR(VLOOKUP(F470,'LEAID Match'!$A$2:$B$227,2,FALSE),"")</f>
        <v>3808460</v>
      </c>
      <c r="K470">
        <f t="shared" si="16"/>
        <v>8</v>
      </c>
      <c r="L470" cm="1">
        <f t="array" ref="L470">_xlfn.IFS(B470=2015,G470/$P$13,B470=2016,G470/$P$14,B470=2017,G470/$P$15,B470=2018,G470/$P$16,B470=2019,G470/$P$17,B470=2019,G470/$P$18,B470=2020,G470/$P$18,B470=2021,G470/$P$19,B470=2022,G470/$P$20)</f>
        <v>1.7287005058386608E-3</v>
      </c>
    </row>
    <row r="471" spans="1:12" x14ac:dyDescent="0.2">
      <c r="A471">
        <v>3808460</v>
      </c>
      <c r="B471" s="5">
        <v>2018</v>
      </c>
      <c r="C471" t="s">
        <v>252</v>
      </c>
      <c r="D471" t="s">
        <v>254</v>
      </c>
      <c r="E471" t="s">
        <v>256</v>
      </c>
      <c r="F471" s="5" t="s">
        <v>102</v>
      </c>
      <c r="G471" s="7">
        <v>151207</v>
      </c>
      <c r="H471" s="7" cm="1">
        <f t="array" ref="H471">_xlfn.IFS(B471=2015,L471*$P$3,B471=2016,L471*$P$4,B471=2017,L471*$P$5,B471=2018,L471*$P$6,B471=2019,L471*$P$7,B471=2020,L471*$P$8,B471=2021,L471*$P$9,B471=2022,L471*$P$10)</f>
        <v>4143.2212752120104</v>
      </c>
      <c r="I471" s="7">
        <f t="shared" si="17"/>
        <v>155350.22127521201</v>
      </c>
      <c r="J471">
        <f>IFERROR(VLOOKUP(F471,'LEAID Match'!$A$2:$B$227,2,FALSE),"")</f>
        <v>3808460</v>
      </c>
      <c r="K471">
        <f t="shared" si="16"/>
        <v>8</v>
      </c>
      <c r="L471" cm="1">
        <f t="array" ref="L471">_xlfn.IFS(B471=2015,G471/$P$13,B471=2016,G471/$P$14,B471=2017,G471/$P$15,B471=2018,G471/$P$16,B471=2019,G471/$P$17,B471=2019,G471/$P$18,B471=2020,G471/$P$18,B471=2021,G471/$P$19,B471=2022,G471/$P$20)</f>
        <v>1.744514221141899E-3</v>
      </c>
    </row>
    <row r="472" spans="1:12" x14ac:dyDescent="0.2">
      <c r="A472">
        <v>3808460</v>
      </c>
      <c r="B472">
        <v>2019</v>
      </c>
      <c r="C472" t="s">
        <v>252</v>
      </c>
      <c r="D472" t="s">
        <v>254</v>
      </c>
      <c r="E472" t="s">
        <v>256</v>
      </c>
      <c r="F472" s="5" t="s">
        <v>102</v>
      </c>
      <c r="G472" s="7">
        <v>167411</v>
      </c>
      <c r="H472" s="7" cm="1">
        <f t="array" ref="H472">_xlfn.IFS(B472=2015,L472*$P$3,B472=2016,L472*$P$4,B472=2017,L472*$P$5,B472=2018,L472*$P$6,B472=2019,L472*$P$7,B472=2020,L472*$P$8,B472=2021,L472*$P$9,B472=2022,L472*$P$10)</f>
        <v>3885.5799907160699</v>
      </c>
      <c r="I472" s="7">
        <f t="shared" si="17"/>
        <v>171296.57999071607</v>
      </c>
      <c r="J472">
        <f>IFERROR(VLOOKUP(F472,'LEAID Match'!$A$2:$B$227,2,FALSE),"")</f>
        <v>3808460</v>
      </c>
      <c r="K472">
        <f t="shared" si="16"/>
        <v>8</v>
      </c>
      <c r="L472" cm="1">
        <f t="array" ref="L472">_xlfn.IFS(B472=2015,G472/$P$13,B472=2016,G472/$P$14,B472=2017,G472/$P$15,B472=2018,G472/$P$16,B472=2019,G472/$P$17,B472=2019,G472/$P$18,B472=2020,G472/$P$18,B472=2021,G472/$P$19,B472=2022,G472/$P$20)</f>
        <v>1.8716666621946387E-3</v>
      </c>
    </row>
    <row r="473" spans="1:12" x14ac:dyDescent="0.2">
      <c r="A473">
        <v>3808460</v>
      </c>
      <c r="B473">
        <v>2020</v>
      </c>
      <c r="C473" t="s">
        <v>252</v>
      </c>
      <c r="D473" t="s">
        <v>254</v>
      </c>
      <c r="E473" t="s">
        <v>256</v>
      </c>
      <c r="F473" s="5" t="s">
        <v>102</v>
      </c>
      <c r="G473" s="7">
        <v>157158</v>
      </c>
      <c r="H473" s="7" cm="1">
        <f t="array" ref="H473">_xlfn.IFS(B473=2015,L473*$P$3,B473=2016,L473*$P$4,B473=2017,L473*$P$5,B473=2018,L473*$P$6,B473=2019,L473*$P$7,B473=2020,L473*$P$8,B473=2021,L473*$P$9,B473=2022,L473*$P$10)</f>
        <v>3942.7827651291341</v>
      </c>
      <c r="I473" s="7">
        <f t="shared" si="17"/>
        <v>161100.78276512914</v>
      </c>
      <c r="J473">
        <f>IFERROR(VLOOKUP(F473,'LEAID Match'!$A$2:$B$227,2,FALSE),"")</f>
        <v>3808460</v>
      </c>
      <c r="K473">
        <f t="shared" si="16"/>
        <v>8</v>
      </c>
      <c r="L473" cm="1">
        <f t="array" ref="L473">_xlfn.IFS(B473=2015,G473/$P$13,B473=2016,G473/$P$14,B473=2017,G473/$P$15,B473=2018,G473/$P$16,B473=2019,G473/$P$17,B473=2019,G473/$P$18,B473=2020,G473/$P$18,B473=2021,G473/$P$19,B473=2022,G473/$P$20)</f>
        <v>1.6892813903723795E-3</v>
      </c>
    </row>
    <row r="474" spans="1:12" x14ac:dyDescent="0.2">
      <c r="A474">
        <v>3808460</v>
      </c>
      <c r="B474" s="5">
        <v>2021</v>
      </c>
      <c r="C474" t="s">
        <v>252</v>
      </c>
      <c r="D474" t="s">
        <v>254</v>
      </c>
      <c r="E474" t="s">
        <v>256</v>
      </c>
      <c r="F474" s="5" t="s">
        <v>102</v>
      </c>
      <c r="G474" s="7">
        <v>167734</v>
      </c>
      <c r="H474" s="7" cm="1">
        <f t="array" ref="H474">_xlfn.IFS(B474=2015,L474*$P$3,B474=2016,L474*$P$4,B474=2017,L474*$P$5,B474=2018,L474*$P$6,B474=2019,L474*$P$7,B474=2020,L474*$P$8,B474=2021,L474*$P$9,B474=2022,L474*$P$10)</f>
        <v>4583.2130369017586</v>
      </c>
      <c r="I474" s="7">
        <f t="shared" si="17"/>
        <v>172317.21303690175</v>
      </c>
      <c r="J474">
        <f>IFERROR(VLOOKUP(F474,'LEAID Match'!$A$2:$B$227,2,FALSE),"")</f>
        <v>3808460</v>
      </c>
      <c r="K474">
        <f t="shared" si="16"/>
        <v>8</v>
      </c>
      <c r="L474" cm="1">
        <f t="array" ref="L474">_xlfn.IFS(B474=2015,G474/$P$13,B474=2016,G474/$P$14,B474=2017,G474/$P$15,B474=2018,G474/$P$16,B474=2019,G474/$P$17,B474=2019,G474/$P$18,B474=2020,G474/$P$18,B474=2021,G474/$P$19,B474=2022,G474/$P$20)</f>
        <v>1.7069694737064278E-3</v>
      </c>
    </row>
    <row r="475" spans="1:12" x14ac:dyDescent="0.2">
      <c r="A475">
        <v>3808460</v>
      </c>
      <c r="B475">
        <v>2022</v>
      </c>
      <c r="C475" t="s">
        <v>252</v>
      </c>
      <c r="D475" t="s">
        <v>254</v>
      </c>
      <c r="E475" t="s">
        <v>256</v>
      </c>
      <c r="F475" s="5" t="s">
        <v>102</v>
      </c>
      <c r="G475" s="7">
        <v>196044</v>
      </c>
      <c r="H475" s="7" cm="1">
        <f t="array" ref="H475">_xlfn.IFS(B475=2015,L475*$P$3,B475=2016,L475*$P$4,B475=2017,L475*$P$5,B475=2018,L475*$P$6,B475=2019,L475*$P$7,B475=2020,L475*$P$8,B475=2021,L475*$P$9,B475=2022,L475*$P$10)</f>
        <v>3989.9978614858383</v>
      </c>
      <c r="I475" s="7">
        <f t="shared" si="17"/>
        <v>200033.99786148584</v>
      </c>
      <c r="J475">
        <f>IFERROR(VLOOKUP(F475,'LEAID Match'!$A$2:$B$227,2,FALSE),"")</f>
        <v>3808460</v>
      </c>
      <c r="K475">
        <f t="shared" si="16"/>
        <v>8</v>
      </c>
      <c r="L475" cm="1">
        <f t="array" ref="L475">_xlfn.IFS(B475=2015,G475/$P$13,B475=2016,G475/$P$14,B475=2017,G475/$P$15,B475=2018,G475/$P$16,B475=2019,G475/$P$17,B475=2019,G475/$P$18,B475=2020,G475/$P$18,B475=2021,G475/$P$19,B475=2022,G475/$P$20)</f>
        <v>1.9539656520498718E-3</v>
      </c>
    </row>
    <row r="476" spans="1:12" x14ac:dyDescent="0.2">
      <c r="A476">
        <v>3804560</v>
      </c>
      <c r="B476">
        <v>2015</v>
      </c>
      <c r="C476" t="s">
        <v>252</v>
      </c>
      <c r="D476" t="s">
        <v>254</v>
      </c>
      <c r="E476" t="s">
        <v>256</v>
      </c>
      <c r="F476" s="5" t="s">
        <v>199</v>
      </c>
      <c r="G476" s="7">
        <v>220249</v>
      </c>
      <c r="H476" s="7" cm="1">
        <f t="array" ref="H476">_xlfn.IFS(B476=2015,L476*$P$3,B476=2016,L476*$P$4,B476=2017,L476*$P$5,B476=2018,L476*$P$6,B476=2019,L476*$P$7,B476=2020,L476*$P$8,B476=2021,L476*$P$9,B476=2022,L476*$P$10)</f>
        <v>4979.4825310722363</v>
      </c>
      <c r="I476" s="7">
        <f t="shared" si="17"/>
        <v>225228.48253107222</v>
      </c>
      <c r="J476">
        <f>IFERROR(VLOOKUP(F476,'LEAID Match'!$A$2:$B$227,2,FALSE),"")</f>
        <v>3804560</v>
      </c>
      <c r="K476">
        <f t="shared" si="16"/>
        <v>8</v>
      </c>
      <c r="L476" cm="1">
        <f t="array" ref="L476">_xlfn.IFS(B476=2015,G476/$P$13,B476=2016,G476/$P$14,B476=2017,G476/$P$15,B476=2018,G476/$P$16,B476=2019,G476/$P$17,B476=2019,G476/$P$18,B476=2020,G476/$P$18,B476=2021,G476/$P$19,B476=2022,G476/$P$20)</f>
        <v>2.8085067857147412E-3</v>
      </c>
    </row>
    <row r="477" spans="1:12" x14ac:dyDescent="0.2">
      <c r="A477">
        <v>3804560</v>
      </c>
      <c r="B477">
        <v>2016</v>
      </c>
      <c r="C477" t="s">
        <v>252</v>
      </c>
      <c r="D477" t="s">
        <v>254</v>
      </c>
      <c r="E477" t="s">
        <v>256</v>
      </c>
      <c r="F477" s="5" t="s">
        <v>199</v>
      </c>
      <c r="G477" s="7">
        <v>202259</v>
      </c>
      <c r="H477" s="7" cm="1">
        <f t="array" ref="H477">_xlfn.IFS(B477=2015,L477*$P$3,B477=2016,L477*$P$4,B477=2017,L477*$P$5,B477=2018,L477*$P$6,B477=2019,L477*$P$7,B477=2020,L477*$P$8,B477=2021,L477*$P$9,B477=2022,L477*$P$10)</f>
        <v>6868.1197597810642</v>
      </c>
      <c r="I477" s="7">
        <f t="shared" si="17"/>
        <v>209127.11975978105</v>
      </c>
      <c r="J477">
        <f>IFERROR(VLOOKUP(F477,'LEAID Match'!$A$2:$B$227,2,FALSE),"")</f>
        <v>3804560</v>
      </c>
      <c r="K477">
        <f t="shared" si="16"/>
        <v>8</v>
      </c>
      <c r="L477" cm="1">
        <f t="array" ref="L477">_xlfn.IFS(B477=2015,G477/$P$13,B477=2016,G477/$P$14,B477=2017,G477/$P$15,B477=2018,G477/$P$16,B477=2019,G477/$P$17,B477=2019,G477/$P$18,B477=2020,G477/$P$18,B477=2021,G477/$P$19,B477=2022,G477/$P$20)</f>
        <v>2.4415640809744275E-3</v>
      </c>
    </row>
    <row r="478" spans="1:12" x14ac:dyDescent="0.2">
      <c r="A478">
        <v>3804560</v>
      </c>
      <c r="B478">
        <v>2017</v>
      </c>
      <c r="C478" t="s">
        <v>252</v>
      </c>
      <c r="D478" t="s">
        <v>254</v>
      </c>
      <c r="E478" t="s">
        <v>256</v>
      </c>
      <c r="F478" s="5" t="s">
        <v>199</v>
      </c>
      <c r="G478" s="7">
        <v>211164</v>
      </c>
      <c r="H478" s="7" cm="1">
        <f t="array" ref="H478">_xlfn.IFS(B478=2015,L478*$P$3,B478=2016,L478*$P$4,B478=2017,L478*$P$5,B478=2018,L478*$P$6,B478=2019,L478*$P$7,B478=2020,L478*$P$8,B478=2021,L478*$P$9,B478=2022,L478*$P$10)</f>
        <v>6843.4136295758408</v>
      </c>
      <c r="I478" s="7">
        <f t="shared" si="17"/>
        <v>218007.41362957584</v>
      </c>
      <c r="J478">
        <f>IFERROR(VLOOKUP(F478,'LEAID Match'!$A$2:$B$227,2,FALSE),"")</f>
        <v>3804560</v>
      </c>
      <c r="K478">
        <f t="shared" si="16"/>
        <v>8</v>
      </c>
      <c r="L478" cm="1">
        <f t="array" ref="L478">_xlfn.IFS(B478=2015,G478/$P$13,B478=2016,G478/$P$14,B478=2017,G478/$P$15,B478=2018,G478/$P$16,B478=2019,G478/$P$17,B478=2019,G478/$P$18,B478=2020,G478/$P$18,B478=2021,G478/$P$19,B478=2022,G478/$P$20)</f>
        <v>2.45371589443379E-3</v>
      </c>
    </row>
    <row r="479" spans="1:12" x14ac:dyDescent="0.2">
      <c r="A479">
        <v>3804560</v>
      </c>
      <c r="B479" s="5">
        <v>2018</v>
      </c>
      <c r="C479" t="s">
        <v>252</v>
      </c>
      <c r="D479" t="s">
        <v>254</v>
      </c>
      <c r="E479" t="s">
        <v>256</v>
      </c>
      <c r="F479" s="5" t="s">
        <v>199</v>
      </c>
      <c r="G479" s="7">
        <v>211793</v>
      </c>
      <c r="H479" s="7" cm="1">
        <f t="array" ref="H479">_xlfn.IFS(B479=2015,L479*$P$3,B479=2016,L479*$P$4,B479=2017,L479*$P$5,B479=2018,L479*$P$6,B479=2019,L479*$P$7,B479=2020,L479*$P$8,B479=2021,L479*$P$9,B479=2022,L479*$P$10)</f>
        <v>5803.3375673148548</v>
      </c>
      <c r="I479" s="7">
        <f t="shared" si="17"/>
        <v>217596.33756731485</v>
      </c>
      <c r="J479">
        <f>IFERROR(VLOOKUP(F479,'LEAID Match'!$A$2:$B$227,2,FALSE),"")</f>
        <v>3804560</v>
      </c>
      <c r="K479">
        <f t="shared" si="16"/>
        <v>8</v>
      </c>
      <c r="L479" cm="1">
        <f t="array" ref="L479">_xlfn.IFS(B479=2015,G479/$P$13,B479=2016,G479/$P$14,B479=2017,G479/$P$15,B479=2018,G479/$P$16,B479=2019,G479/$P$17,B479=2019,G479/$P$18,B479=2020,G479/$P$18,B479=2021,G479/$P$19,B479=2022,G479/$P$20)</f>
        <v>2.4435105546588864E-3</v>
      </c>
    </row>
    <row r="480" spans="1:12" x14ac:dyDescent="0.2">
      <c r="A480">
        <v>3804560</v>
      </c>
      <c r="B480">
        <v>2019</v>
      </c>
      <c r="C480" t="s">
        <v>252</v>
      </c>
      <c r="D480" t="s">
        <v>254</v>
      </c>
      <c r="E480" t="s">
        <v>256</v>
      </c>
      <c r="F480" s="5" t="s">
        <v>199</v>
      </c>
      <c r="G480" s="7">
        <v>217152</v>
      </c>
      <c r="H480" s="7" cm="1">
        <f t="array" ref="H480">_xlfn.IFS(B480=2015,L480*$P$3,B480=2016,L480*$P$4,B480=2017,L480*$P$5,B480=2018,L480*$P$6,B480=2019,L480*$P$7,B480=2020,L480*$P$8,B480=2021,L480*$P$9,B480=2022,L480*$P$10)</f>
        <v>5040.0598893978049</v>
      </c>
      <c r="I480" s="7">
        <f t="shared" si="17"/>
        <v>222192.05988939782</v>
      </c>
      <c r="J480">
        <f>IFERROR(VLOOKUP(F480,'LEAID Match'!$A$2:$B$227,2,FALSE),"")</f>
        <v>3804560</v>
      </c>
      <c r="K480">
        <f t="shared" si="16"/>
        <v>8</v>
      </c>
      <c r="L480" cm="1">
        <f t="array" ref="L480">_xlfn.IFS(B480=2015,G480/$P$13,B480=2016,G480/$P$14,B480=2017,G480/$P$15,B480=2018,G480/$P$16,B480=2019,G480/$P$17,B480=2019,G480/$P$18,B480=2020,G480/$P$18,B480=2021,G480/$P$19,B480=2022,G480/$P$20)</f>
        <v>2.4277745131974014E-3</v>
      </c>
    </row>
    <row r="481" spans="1:12" x14ac:dyDescent="0.2">
      <c r="A481">
        <v>3804560</v>
      </c>
      <c r="B481">
        <v>2020</v>
      </c>
      <c r="C481" t="s">
        <v>252</v>
      </c>
      <c r="D481" t="s">
        <v>254</v>
      </c>
      <c r="E481" t="s">
        <v>256</v>
      </c>
      <c r="F481" s="5" t="s">
        <v>199</v>
      </c>
      <c r="G481" s="7">
        <v>216304</v>
      </c>
      <c r="H481" s="7" cm="1">
        <f t="array" ref="H481">_xlfn.IFS(B481=2015,L481*$P$3,B481=2016,L481*$P$4,B481=2017,L481*$P$5,B481=2018,L481*$P$6,B481=2019,L481*$P$7,B481=2020,L481*$P$8,B481=2021,L481*$P$9,B481=2022,L481*$P$10)</f>
        <v>5426.6386899075587</v>
      </c>
      <c r="I481" s="7">
        <f t="shared" si="17"/>
        <v>221730.63868990756</v>
      </c>
      <c r="J481">
        <f>IFERROR(VLOOKUP(F481,'LEAID Match'!$A$2:$B$227,2,FALSE),"")</f>
        <v>3804560</v>
      </c>
      <c r="K481">
        <f t="shared" si="16"/>
        <v>8</v>
      </c>
      <c r="L481" cm="1">
        <f t="array" ref="L481">_xlfn.IFS(B481=2015,G481/$P$13,B481=2016,G481/$P$14,B481=2017,G481/$P$15,B481=2018,G481/$P$16,B481=2019,G481/$P$17,B481=2019,G481/$P$18,B481=2020,G481/$P$18,B481=2021,G481/$P$19,B481=2022,G481/$P$20)</f>
        <v>2.3250379991034955E-3</v>
      </c>
    </row>
    <row r="482" spans="1:12" x14ac:dyDescent="0.2">
      <c r="A482">
        <v>3804560</v>
      </c>
      <c r="B482" s="5">
        <v>2021</v>
      </c>
      <c r="C482" t="s">
        <v>252</v>
      </c>
      <c r="D482" t="s">
        <v>254</v>
      </c>
      <c r="E482" t="s">
        <v>256</v>
      </c>
      <c r="F482" s="5" t="s">
        <v>199</v>
      </c>
      <c r="G482" s="7">
        <v>211600</v>
      </c>
      <c r="H482" s="7" cm="1">
        <f t="array" ref="H482">_xlfn.IFS(B482=2015,L482*$P$3,B482=2016,L482*$P$4,B482=2017,L482*$P$5,B482=2018,L482*$P$6,B482=2019,L482*$P$7,B482=2020,L482*$P$8,B482=2021,L482*$P$9,B482=2022,L482*$P$10)</f>
        <v>5781.8204932119434</v>
      </c>
      <c r="I482" s="7">
        <f t="shared" si="17"/>
        <v>217381.82049321194</v>
      </c>
      <c r="J482">
        <f>IFERROR(VLOOKUP(F482,'LEAID Match'!$A$2:$B$227,2,FALSE),"")</f>
        <v>3804560</v>
      </c>
      <c r="K482">
        <f t="shared" si="16"/>
        <v>8</v>
      </c>
      <c r="L482" cm="1">
        <f t="array" ref="L482">_xlfn.IFS(B482=2015,G482/$P$13,B482=2016,G482/$P$14,B482=2017,G482/$P$15,B482=2018,G482/$P$16,B482=2019,G482/$P$17,B482=2019,G482/$P$18,B482=2020,G482/$P$18,B482=2021,G482/$P$19,B482=2022,G482/$P$20)</f>
        <v>2.1533782097623625E-3</v>
      </c>
    </row>
    <row r="483" spans="1:12" x14ac:dyDescent="0.2">
      <c r="A483">
        <v>3804560</v>
      </c>
      <c r="B483">
        <v>2022</v>
      </c>
      <c r="C483" t="s">
        <v>252</v>
      </c>
      <c r="D483" t="s">
        <v>254</v>
      </c>
      <c r="E483" t="s">
        <v>256</v>
      </c>
      <c r="F483" s="5" t="s">
        <v>199</v>
      </c>
      <c r="G483" s="7">
        <v>204059</v>
      </c>
      <c r="H483" s="7" cm="1">
        <f t="array" ref="H483">_xlfn.IFS(B483=2015,L483*$P$3,B483=2016,L483*$P$4,B483=2017,L483*$P$5,B483=2018,L483*$P$6,B483=2019,L483*$P$7,B483=2020,L483*$P$8,B483=2021,L483*$P$9,B483=2022,L483*$P$10)</f>
        <v>4153.1236539600222</v>
      </c>
      <c r="I483" s="7">
        <f t="shared" si="17"/>
        <v>208212.12365396004</v>
      </c>
      <c r="J483">
        <f>IFERROR(VLOOKUP(F483,'LEAID Match'!$A$2:$B$227,2,FALSE),"")</f>
        <v>3804560</v>
      </c>
      <c r="K483">
        <f t="shared" si="16"/>
        <v>8</v>
      </c>
      <c r="L483" cm="1">
        <f t="array" ref="L483">_xlfn.IFS(B483=2015,G483/$P$13,B483=2016,G483/$P$14,B483=2017,G483/$P$15,B483=2018,G483/$P$16,B483=2019,G483/$P$17,B483=2019,G483/$P$18,B483=2020,G483/$P$18,B483=2021,G483/$P$19,B483=2022,G483/$P$20)</f>
        <v>2.0338509568854175E-3</v>
      </c>
    </row>
    <row r="484" spans="1:12" x14ac:dyDescent="0.2">
      <c r="A484">
        <v>3880420</v>
      </c>
      <c r="B484">
        <v>2015</v>
      </c>
      <c r="C484" t="s">
        <v>252</v>
      </c>
      <c r="D484" t="s">
        <v>254</v>
      </c>
      <c r="E484" t="s">
        <v>256</v>
      </c>
      <c r="F484" s="5" t="s">
        <v>103</v>
      </c>
      <c r="G484" s="7">
        <v>181301</v>
      </c>
      <c r="H484" s="7" cm="1">
        <f t="array" ref="H484">_xlfn.IFS(B484=2015,L484*$P$3,B484=2016,L484*$P$4,B484=2017,L484*$P$5,B484=2018,L484*$P$6,B484=2019,L484*$P$7,B484=2020,L484*$P$8,B484=2021,L484*$P$9,B484=2022,L484*$P$10)</f>
        <v>4098.9296767110291</v>
      </c>
      <c r="I484" s="7">
        <f t="shared" si="17"/>
        <v>185399.92967671104</v>
      </c>
      <c r="J484">
        <f>IFERROR(VLOOKUP(F484,'LEAID Match'!$A$2:$B$227,2,FALSE),"")</f>
        <v>3880420</v>
      </c>
      <c r="K484">
        <f t="shared" si="16"/>
        <v>8</v>
      </c>
      <c r="L484" cm="1">
        <f t="array" ref="L484">_xlfn.IFS(B484=2015,G484/$P$13,B484=2016,G484/$P$14,B484=2017,G484/$P$15,B484=2018,G484/$P$16,B484=2019,G484/$P$17,B484=2019,G484/$P$18,B484=2020,G484/$P$18,B484=2021,G484/$P$19,B484=2022,G484/$P$20)</f>
        <v>2.3118610697749741E-3</v>
      </c>
    </row>
    <row r="485" spans="1:12" x14ac:dyDescent="0.2">
      <c r="A485">
        <v>3880420</v>
      </c>
      <c r="B485">
        <v>2016</v>
      </c>
      <c r="C485" t="s">
        <v>252</v>
      </c>
      <c r="D485" t="s">
        <v>254</v>
      </c>
      <c r="E485" t="s">
        <v>256</v>
      </c>
      <c r="F485" s="5" t="s">
        <v>103</v>
      </c>
      <c r="G485" s="7">
        <v>203399</v>
      </c>
      <c r="H485" s="7" cm="1">
        <f t="array" ref="H485">_xlfn.IFS(B485=2015,L485*$P$3,B485=2016,L485*$P$4,B485=2017,L485*$P$5,B485=2018,L485*$P$6,B485=2019,L485*$P$7,B485=2020,L485*$P$8,B485=2021,L485*$P$9,B485=2022,L485*$P$10)</f>
        <v>6906.8308011990021</v>
      </c>
      <c r="I485" s="7">
        <f t="shared" si="17"/>
        <v>210305.83080119902</v>
      </c>
      <c r="J485">
        <f>IFERROR(VLOOKUP(F485,'LEAID Match'!$A$2:$B$227,2,FALSE),"")</f>
        <v>3880420</v>
      </c>
      <c r="K485">
        <f t="shared" si="16"/>
        <v>8</v>
      </c>
      <c r="L485" cm="1">
        <f t="array" ref="L485">_xlfn.IFS(B485=2015,G485/$P$13,B485=2016,G485/$P$14,B485=2017,G485/$P$15,B485=2018,G485/$P$16,B485=2019,G485/$P$17,B485=2019,G485/$P$18,B485=2020,G485/$P$18,B485=2021,G485/$P$19,B485=2022,G485/$P$20)</f>
        <v>2.4553255603266982E-3</v>
      </c>
    </row>
    <row r="486" spans="1:12" x14ac:dyDescent="0.2">
      <c r="A486">
        <v>3880420</v>
      </c>
      <c r="B486">
        <v>2017</v>
      </c>
      <c r="C486" t="s">
        <v>252</v>
      </c>
      <c r="D486" t="s">
        <v>254</v>
      </c>
      <c r="E486" t="s">
        <v>256</v>
      </c>
      <c r="F486" s="5" t="s">
        <v>103</v>
      </c>
      <c r="G486" s="7">
        <v>216017</v>
      </c>
      <c r="H486" s="7" cm="1">
        <f t="array" ref="H486">_xlfn.IFS(B486=2015,L486*$P$3,B486=2016,L486*$P$4,B486=2017,L486*$P$5,B486=2018,L486*$P$6,B486=2019,L486*$P$7,B486=2020,L486*$P$8,B486=2021,L486*$P$9,B486=2022,L486*$P$10)</f>
        <v>7000.6898998886372</v>
      </c>
      <c r="I486" s="7">
        <f t="shared" si="17"/>
        <v>223017.68989988865</v>
      </c>
      <c r="J486">
        <f>IFERROR(VLOOKUP(F486,'LEAID Match'!$A$2:$B$227,2,FALSE),"")</f>
        <v>3880420</v>
      </c>
      <c r="K486">
        <f t="shared" si="16"/>
        <v>8</v>
      </c>
      <c r="L486" cm="1">
        <f t="array" ref="L486">_xlfn.IFS(B486=2015,G486/$P$13,B486=2016,G486/$P$14,B486=2017,G486/$P$15,B486=2018,G486/$P$16,B486=2019,G486/$P$17,B486=2019,G486/$P$18,B486=2020,G486/$P$18,B486=2021,G486/$P$19,B486=2022,G486/$P$20)</f>
        <v>2.5101075295405656E-3</v>
      </c>
    </row>
    <row r="487" spans="1:12" x14ac:dyDescent="0.2">
      <c r="A487">
        <v>3880420</v>
      </c>
      <c r="B487" s="5">
        <v>2018</v>
      </c>
      <c r="C487" t="s">
        <v>252</v>
      </c>
      <c r="D487" t="s">
        <v>254</v>
      </c>
      <c r="E487" t="s">
        <v>256</v>
      </c>
      <c r="F487" s="5" t="s">
        <v>103</v>
      </c>
      <c r="G487" s="7">
        <v>224573</v>
      </c>
      <c r="H487" s="7" cm="1">
        <f t="array" ref="H487">_xlfn.IFS(B487=2015,L487*$P$3,B487=2016,L487*$P$4,B487=2017,L487*$P$5,B487=2018,L487*$P$6,B487=2019,L487*$P$7,B487=2020,L487*$P$8,B487=2021,L487*$P$9,B487=2022,L487*$P$10)</f>
        <v>6153.5222009443123</v>
      </c>
      <c r="I487" s="7">
        <f t="shared" si="17"/>
        <v>230726.52220094431</v>
      </c>
      <c r="J487">
        <f>IFERROR(VLOOKUP(F487,'LEAID Match'!$A$2:$B$227,2,FALSE),"")</f>
        <v>3880420</v>
      </c>
      <c r="K487">
        <f t="shared" si="16"/>
        <v>8</v>
      </c>
      <c r="L487" cm="1">
        <f t="array" ref="L487">_xlfn.IFS(B487=2015,G487/$P$13,B487=2016,G487/$P$14,B487=2017,G487/$P$15,B487=2018,G487/$P$16,B487=2019,G487/$P$17,B487=2019,G487/$P$18,B487=2020,G487/$P$18,B487=2021,G487/$P$19,B487=2022,G487/$P$20)</f>
        <v>2.590956716187079E-3</v>
      </c>
    </row>
    <row r="488" spans="1:12" x14ac:dyDescent="0.2">
      <c r="A488">
        <v>3880420</v>
      </c>
      <c r="B488">
        <v>2019</v>
      </c>
      <c r="C488" t="s">
        <v>252</v>
      </c>
      <c r="D488" t="s">
        <v>254</v>
      </c>
      <c r="E488" t="s">
        <v>256</v>
      </c>
      <c r="F488" s="5" t="s">
        <v>103</v>
      </c>
      <c r="G488" s="7">
        <v>227340</v>
      </c>
      <c r="H488" s="7" cm="1">
        <f t="array" ref="H488">_xlfn.IFS(B488=2015,L488*$P$3,B488=2016,L488*$P$4,B488=2017,L488*$P$5,B488=2018,L488*$P$6,B488=2019,L488*$P$7,B488=2020,L488*$P$8,B488=2021,L488*$P$9,B488=2022,L488*$P$10)</f>
        <v>5276.5215851371258</v>
      </c>
      <c r="I488" s="7">
        <f t="shared" si="17"/>
        <v>232616.52158513712</v>
      </c>
      <c r="J488">
        <f>IFERROR(VLOOKUP(F488,'LEAID Match'!$A$2:$B$227,2,FALSE),"")</f>
        <v>3880420</v>
      </c>
      <c r="K488">
        <f t="shared" si="16"/>
        <v>8</v>
      </c>
      <c r="L488" cm="1">
        <f t="array" ref="L488">_xlfn.IFS(B488=2015,G488/$P$13,B488=2016,G488/$P$14,B488=2017,G488/$P$15,B488=2018,G488/$P$16,B488=2019,G488/$P$17,B488=2019,G488/$P$18,B488=2020,G488/$P$18,B488=2021,G488/$P$19,B488=2022,G488/$P$20)</f>
        <v>2.5416770641315633E-3</v>
      </c>
    </row>
    <row r="489" spans="1:12" x14ac:dyDescent="0.2">
      <c r="A489">
        <v>3880420</v>
      </c>
      <c r="B489">
        <v>2020</v>
      </c>
      <c r="C489" t="s">
        <v>252</v>
      </c>
      <c r="D489" t="s">
        <v>254</v>
      </c>
      <c r="E489" t="s">
        <v>256</v>
      </c>
      <c r="F489" s="5" t="s">
        <v>103</v>
      </c>
      <c r="G489" s="7">
        <v>249737</v>
      </c>
      <c r="H489" s="7" cm="1">
        <f t="array" ref="H489">_xlfn.IFS(B489=2015,L489*$P$3,B489=2016,L489*$P$4,B489=2017,L489*$P$5,B489=2018,L489*$P$6,B489=2019,L489*$P$7,B489=2020,L489*$P$8,B489=2021,L489*$P$9,B489=2022,L489*$P$10)</f>
        <v>6265.4064025697353</v>
      </c>
      <c r="I489" s="7">
        <f t="shared" si="17"/>
        <v>256002.40640256973</v>
      </c>
      <c r="J489">
        <f>IFERROR(VLOOKUP(F489,'LEAID Match'!$A$2:$B$227,2,FALSE),"")</f>
        <v>3880420</v>
      </c>
      <c r="K489">
        <f t="shared" si="16"/>
        <v>8</v>
      </c>
      <c r="L489" cm="1">
        <f t="array" ref="L489">_xlfn.IFS(B489=2015,G489/$P$13,B489=2016,G489/$P$14,B489=2017,G489/$P$15,B489=2018,G489/$P$16,B489=2019,G489/$P$17,B489=2019,G489/$P$18,B489=2020,G489/$P$18,B489=2021,G489/$P$19,B489=2022,G489/$P$20)</f>
        <v>2.6844071990444452E-3</v>
      </c>
    </row>
    <row r="490" spans="1:12" x14ac:dyDescent="0.2">
      <c r="A490">
        <v>3880420</v>
      </c>
      <c r="B490" s="5">
        <v>2021</v>
      </c>
      <c r="C490" t="s">
        <v>252</v>
      </c>
      <c r="D490" t="s">
        <v>254</v>
      </c>
      <c r="E490" t="s">
        <v>256</v>
      </c>
      <c r="F490" s="5" t="s">
        <v>103</v>
      </c>
      <c r="G490" s="7">
        <v>256046</v>
      </c>
      <c r="H490" s="7" cm="1">
        <f t="array" ref="H490">_xlfn.IFS(B490=2015,L490*$P$3,B490=2016,L490*$P$4,B490=2017,L490*$P$5,B490=2018,L490*$P$6,B490=2019,L490*$P$7,B490=2020,L490*$P$8,B490=2021,L490*$P$9,B490=2022,L490*$P$10)</f>
        <v>6996.276039720914</v>
      </c>
      <c r="I490" s="7">
        <f t="shared" si="17"/>
        <v>263042.27603972092</v>
      </c>
      <c r="J490">
        <f>IFERROR(VLOOKUP(F490,'LEAID Match'!$A$2:$B$227,2,FALSE),"")</f>
        <v>3880420</v>
      </c>
      <c r="K490">
        <f t="shared" si="16"/>
        <v>8</v>
      </c>
      <c r="L490" cm="1">
        <f t="array" ref="L490">_xlfn.IFS(B490=2015,G490/$P$13,B490=2016,G490/$P$14,B490=2017,G490/$P$15,B490=2018,G490/$P$16,B490=2019,G490/$P$17,B490=2019,G490/$P$18,B490=2020,G490/$P$18,B490=2021,G490/$P$19,B490=2022,G490/$P$20)</f>
        <v>2.6056894002684967E-3</v>
      </c>
    </row>
    <row r="491" spans="1:12" x14ac:dyDescent="0.2">
      <c r="A491">
        <v>3880420</v>
      </c>
      <c r="B491">
        <v>2022</v>
      </c>
      <c r="C491" t="s">
        <v>252</v>
      </c>
      <c r="D491" t="s">
        <v>254</v>
      </c>
      <c r="E491" t="s">
        <v>256</v>
      </c>
      <c r="F491" s="5" t="s">
        <v>103</v>
      </c>
      <c r="G491" s="7">
        <v>244683</v>
      </c>
      <c r="H491" s="7" cm="1">
        <f t="array" ref="H491">_xlfn.IFS(B491=2015,L491*$P$3,B491=2016,L491*$P$4,B491=2017,L491*$P$5,B491=2018,L491*$P$6,B491=2019,L491*$P$7,B491=2020,L491*$P$8,B491=2021,L491*$P$9,B491=2022,L491*$P$10)</f>
        <v>4979.9261734199436</v>
      </c>
      <c r="I491" s="7">
        <f t="shared" si="17"/>
        <v>249662.92617341995</v>
      </c>
      <c r="J491">
        <f>IFERROR(VLOOKUP(F491,'LEAID Match'!$A$2:$B$227,2,FALSE),"")</f>
        <v>3880420</v>
      </c>
      <c r="K491">
        <f t="shared" si="16"/>
        <v>8</v>
      </c>
      <c r="L491" cm="1">
        <f t="array" ref="L491">_xlfn.IFS(B491=2015,G491/$P$13,B491=2016,G491/$P$14,B491=2017,G491/$P$15,B491=2018,G491/$P$16,B491=2019,G491/$P$17,B491=2019,G491/$P$18,B491=2020,G491/$P$18,B491=2021,G491/$P$19,B491=2022,G491/$P$20)</f>
        <v>2.4387493503525677E-3</v>
      </c>
    </row>
    <row r="492" spans="1:12" x14ac:dyDescent="0.2">
      <c r="A492">
        <v>3808610</v>
      </c>
      <c r="B492">
        <v>2015</v>
      </c>
      <c r="C492" t="s">
        <v>252</v>
      </c>
      <c r="D492" t="s">
        <v>254</v>
      </c>
      <c r="E492" t="s">
        <v>256</v>
      </c>
      <c r="F492" s="5" t="s">
        <v>104</v>
      </c>
      <c r="G492" s="7">
        <v>56607</v>
      </c>
      <c r="H492" s="7" cm="1">
        <f t="array" ref="H492">_xlfn.IFS(B492=2015,L492*$P$3,B492=2016,L492*$P$4,B492=2017,L492*$P$5,B492=2018,L492*$P$6,B492=2019,L492*$P$7,B492=2020,L492*$P$8,B492=2021,L492*$P$9,B492=2022,L492*$P$10)</f>
        <v>1279.7949940131673</v>
      </c>
      <c r="I492" s="7">
        <f t="shared" si="17"/>
        <v>57886.794994013166</v>
      </c>
      <c r="J492">
        <f>IFERROR(VLOOKUP(F492,'LEAID Match'!$A$2:$B$227,2,FALSE),"")</f>
        <v>3808610</v>
      </c>
      <c r="K492">
        <f t="shared" si="16"/>
        <v>8</v>
      </c>
      <c r="L492" cm="1">
        <f t="array" ref="L492">_xlfn.IFS(B492=2015,G492/$P$13,B492=2016,G492/$P$14,B492=2017,G492/$P$15,B492=2018,G492/$P$16,B492=2019,G492/$P$17,B492=2019,G492/$P$18,B492=2020,G492/$P$18,B492=2021,G492/$P$19,B492=2022,G492/$P$20)</f>
        <v>7.2182458771188223E-4</v>
      </c>
    </row>
    <row r="493" spans="1:12" x14ac:dyDescent="0.2">
      <c r="A493">
        <v>3808610</v>
      </c>
      <c r="B493">
        <v>2016</v>
      </c>
      <c r="C493" t="s">
        <v>252</v>
      </c>
      <c r="D493" t="s">
        <v>254</v>
      </c>
      <c r="E493" t="s">
        <v>256</v>
      </c>
      <c r="F493" s="5" t="s">
        <v>104</v>
      </c>
      <c r="G493" s="7">
        <v>56885</v>
      </c>
      <c r="H493" s="7" cm="1">
        <f t="array" ref="H493">_xlfn.IFS(B493=2015,L493*$P$3,B493=2016,L493*$P$4,B493=2017,L493*$P$5,B493=2018,L493*$P$6,B493=2019,L493*$P$7,B493=2020,L493*$P$8,B493=2021,L493*$P$9,B493=2022,L493*$P$10)</f>
        <v>1931.647009701155</v>
      </c>
      <c r="I493" s="7">
        <f t="shared" si="17"/>
        <v>58816.647009701155</v>
      </c>
      <c r="J493">
        <f>IFERROR(VLOOKUP(F493,'LEAID Match'!$A$2:$B$227,2,FALSE),"")</f>
        <v>3808610</v>
      </c>
      <c r="K493">
        <f t="shared" si="16"/>
        <v>8</v>
      </c>
      <c r="L493" cm="1">
        <f t="array" ref="L493">_xlfn.IFS(B493=2015,G493/$P$13,B493=2016,G493/$P$14,B493=2017,G493/$P$15,B493=2018,G493/$P$16,B493=2019,G493/$P$17,B493=2019,G493/$P$18,B493=2020,G493/$P$18,B493=2021,G493/$P$19,B493=2022,G493/$P$20)</f>
        <v>6.8668574820517417E-4</v>
      </c>
    </row>
    <row r="494" spans="1:12" x14ac:dyDescent="0.2">
      <c r="A494">
        <v>3808610</v>
      </c>
      <c r="B494">
        <v>2017</v>
      </c>
      <c r="C494" t="s">
        <v>252</v>
      </c>
      <c r="D494" t="s">
        <v>254</v>
      </c>
      <c r="E494" t="s">
        <v>256</v>
      </c>
      <c r="F494" s="5" t="s">
        <v>104</v>
      </c>
      <c r="G494" s="7">
        <v>50180</v>
      </c>
      <c r="H494" s="7" cm="1">
        <f t="array" ref="H494">_xlfn.IFS(B494=2015,L494*$P$3,B494=2016,L494*$P$4,B494=2017,L494*$P$5,B494=2018,L494*$P$6,B494=2019,L494*$P$7,B494=2020,L494*$P$8,B494=2021,L494*$P$9,B494=2022,L494*$P$10)</f>
        <v>1626.2359868733101</v>
      </c>
      <c r="I494" s="7">
        <f t="shared" si="17"/>
        <v>51806.235986873311</v>
      </c>
      <c r="J494">
        <f>IFERROR(VLOOKUP(F494,'LEAID Match'!$A$2:$B$227,2,FALSE),"")</f>
        <v>3808610</v>
      </c>
      <c r="K494">
        <f t="shared" si="16"/>
        <v>8</v>
      </c>
      <c r="L494" cm="1">
        <f t="array" ref="L494">_xlfn.IFS(B494=2015,G494/$P$13,B494=2016,G494/$P$14,B494=2017,G494/$P$15,B494=2018,G494/$P$16,B494=2019,G494/$P$17,B494=2019,G494/$P$18,B494=2020,G494/$P$18,B494=2021,G494/$P$19,B494=2022,G494/$P$20)</f>
        <v>5.8308927460498747E-4</v>
      </c>
    </row>
    <row r="495" spans="1:12" x14ac:dyDescent="0.2">
      <c r="A495">
        <v>3808610</v>
      </c>
      <c r="B495" s="5">
        <v>2018</v>
      </c>
      <c r="C495" t="s">
        <v>252</v>
      </c>
      <c r="D495" t="s">
        <v>254</v>
      </c>
      <c r="E495" t="s">
        <v>256</v>
      </c>
      <c r="F495" s="5" t="s">
        <v>104</v>
      </c>
      <c r="G495" s="7">
        <v>33737</v>
      </c>
      <c r="H495" s="7" cm="1">
        <f t="array" ref="H495">_xlfn.IFS(B495=2015,L495*$P$3,B495=2016,L495*$P$4,B495=2017,L495*$P$5,B495=2018,L495*$P$6,B495=2019,L495*$P$7,B495=2020,L495*$P$8,B495=2021,L495*$P$9,B495=2022,L495*$P$10)</f>
        <v>924.42715060696651</v>
      </c>
      <c r="I495" s="7">
        <f t="shared" si="17"/>
        <v>34661.427150606964</v>
      </c>
      <c r="J495">
        <f>IFERROR(VLOOKUP(F495,'LEAID Match'!$A$2:$B$227,2,FALSE),"")</f>
        <v>3808610</v>
      </c>
      <c r="K495">
        <f t="shared" si="16"/>
        <v>8</v>
      </c>
      <c r="L495" cm="1">
        <f t="array" ref="L495">_xlfn.IFS(B495=2015,G495/$P$13,B495=2016,G495/$P$14,B495=2017,G495/$P$15,B495=2018,G495/$P$16,B495=2019,G495/$P$17,B495=2019,G495/$P$18,B495=2020,G495/$P$18,B495=2021,G495/$P$19,B495=2022,G495/$P$20)</f>
        <v>3.8923248446609115E-4</v>
      </c>
    </row>
    <row r="496" spans="1:12" x14ac:dyDescent="0.2">
      <c r="A496">
        <v>3808610</v>
      </c>
      <c r="B496">
        <v>2019</v>
      </c>
      <c r="C496" t="s">
        <v>252</v>
      </c>
      <c r="D496" t="s">
        <v>254</v>
      </c>
      <c r="E496" t="s">
        <v>256</v>
      </c>
      <c r="F496" s="5" t="s">
        <v>104</v>
      </c>
      <c r="G496" s="7">
        <v>35723</v>
      </c>
      <c r="H496" s="7" cm="1">
        <f t="array" ref="H496">_xlfn.IFS(B496=2015,L496*$P$3,B496=2016,L496*$P$4,B496=2017,L496*$P$5,B496=2018,L496*$P$6,B496=2019,L496*$P$7,B496=2020,L496*$P$8,B496=2021,L496*$P$9,B496=2022,L496*$P$10)</f>
        <v>829.12457370393918</v>
      </c>
      <c r="I496" s="7">
        <f t="shared" si="17"/>
        <v>36552.124573703943</v>
      </c>
      <c r="J496">
        <f>IFERROR(VLOOKUP(F496,'LEAID Match'!$A$2:$B$227,2,FALSE),"")</f>
        <v>3808610</v>
      </c>
      <c r="K496">
        <f t="shared" si="16"/>
        <v>8</v>
      </c>
      <c r="L496" cm="1">
        <f t="array" ref="L496">_xlfn.IFS(B496=2015,G496/$P$13,B496=2016,G496/$P$14,B496=2017,G496/$P$15,B496=2018,G496/$P$16,B496=2019,G496/$P$17,B496=2019,G496/$P$18,B496=2020,G496/$P$18,B496=2021,G496/$P$19,B496=2022,G496/$P$20)</f>
        <v>3.9938563280536571E-4</v>
      </c>
    </row>
    <row r="497" spans="1:12" x14ac:dyDescent="0.2">
      <c r="A497">
        <v>3808610</v>
      </c>
      <c r="B497">
        <v>2020</v>
      </c>
      <c r="C497" t="s">
        <v>252</v>
      </c>
      <c r="D497" t="s">
        <v>254</v>
      </c>
      <c r="E497" t="s">
        <v>256</v>
      </c>
      <c r="F497" s="5" t="s">
        <v>104</v>
      </c>
      <c r="G497" s="7">
        <v>37519</v>
      </c>
      <c r="H497" s="7" cm="1">
        <f t="array" ref="H497">_xlfn.IFS(B497=2015,L497*$P$3,B497=2016,L497*$P$4,B497=2017,L497*$P$5,B497=2018,L497*$P$6,B497=2019,L497*$P$7,B497=2020,L497*$P$8,B497=2021,L497*$P$9,B497=2022,L497*$P$10)</f>
        <v>941.27735504956775</v>
      </c>
      <c r="I497" s="7">
        <f t="shared" si="17"/>
        <v>38460.277355049569</v>
      </c>
      <c r="J497">
        <f>IFERROR(VLOOKUP(F497,'LEAID Match'!$A$2:$B$227,2,FALSE),"")</f>
        <v>3808610</v>
      </c>
      <c r="K497">
        <f t="shared" si="16"/>
        <v>8</v>
      </c>
      <c r="L497" cm="1">
        <f t="array" ref="L497">_xlfn.IFS(B497=2015,G497/$P$13,B497=2016,G497/$P$14,B497=2017,G497/$P$15,B497=2018,G497/$P$16,B497=2019,G497/$P$17,B497=2019,G497/$P$18,B497=2020,G497/$P$18,B497=2021,G497/$P$19,B497=2022,G497/$P$20)</f>
        <v>4.0328935520547032E-4</v>
      </c>
    </row>
    <row r="498" spans="1:12" x14ac:dyDescent="0.2">
      <c r="A498">
        <v>3808610</v>
      </c>
      <c r="B498" s="5">
        <v>2021</v>
      </c>
      <c r="C498" t="s">
        <v>252</v>
      </c>
      <c r="D498" t="s">
        <v>254</v>
      </c>
      <c r="E498" t="s">
        <v>256</v>
      </c>
      <c r="F498" s="5" t="s">
        <v>104</v>
      </c>
      <c r="G498" s="7">
        <v>39686</v>
      </c>
      <c r="H498" s="7" cm="1">
        <f t="array" ref="H498">_xlfn.IFS(B498=2015,L498*$P$3,B498=2016,L498*$P$4,B498=2017,L498*$P$5,B498=2018,L498*$P$6,B498=2019,L498*$P$7,B498=2020,L498*$P$8,B498=2021,L498*$P$9,B498=2022,L498*$P$10)</f>
        <v>1084.3919097051473</v>
      </c>
      <c r="I498" s="7">
        <f t="shared" si="17"/>
        <v>40770.391909705148</v>
      </c>
      <c r="J498">
        <f>IFERROR(VLOOKUP(F498,'LEAID Match'!$A$2:$B$227,2,FALSE),"")</f>
        <v>3808610</v>
      </c>
      <c r="K498">
        <f t="shared" si="16"/>
        <v>8</v>
      </c>
      <c r="L498" cm="1">
        <f t="array" ref="L498">_xlfn.IFS(B498=2015,G498/$P$13,B498=2016,G498/$P$14,B498=2017,G498/$P$15,B498=2018,G498/$P$16,B498=2019,G498/$P$17,B498=2019,G498/$P$18,B498=2020,G498/$P$18,B498=2021,G498/$P$19,B498=2022,G498/$P$20)</f>
        <v>4.0387035743208466E-4</v>
      </c>
    </row>
    <row r="499" spans="1:12" x14ac:dyDescent="0.2">
      <c r="A499">
        <v>3808610</v>
      </c>
      <c r="B499">
        <v>2022</v>
      </c>
      <c r="C499" t="s">
        <v>252</v>
      </c>
      <c r="D499" t="s">
        <v>254</v>
      </c>
      <c r="E499" t="s">
        <v>256</v>
      </c>
      <c r="F499" s="5" t="s">
        <v>104</v>
      </c>
      <c r="G499" s="7">
        <v>37583</v>
      </c>
      <c r="H499" s="7" cm="1">
        <f t="array" ref="H499">_xlfn.IFS(B499=2015,L499*$P$3,B499=2016,L499*$P$4,B499=2017,L499*$P$5,B499=2018,L499*$P$6,B499=2019,L499*$P$7,B499=2020,L499*$P$8,B499=2021,L499*$P$9,B499=2022,L499*$P$10)</f>
        <v>764.91037536584781</v>
      </c>
      <c r="I499" s="7">
        <f t="shared" si="17"/>
        <v>38347.910375365849</v>
      </c>
      <c r="J499">
        <f>IFERROR(VLOOKUP(F499,'LEAID Match'!$A$2:$B$227,2,FALSE),"")</f>
        <v>3808610</v>
      </c>
      <c r="K499">
        <f t="shared" si="16"/>
        <v>8</v>
      </c>
      <c r="L499" cm="1">
        <f t="array" ref="L499">_xlfn.IFS(B499=2015,G499/$P$13,B499=2016,G499/$P$14,B499=2017,G499/$P$15,B499=2018,G499/$P$16,B499=2019,G499/$P$17,B499=2019,G499/$P$18,B499=2020,G499/$P$18,B499=2021,G499/$P$19,B499=2022,G499/$P$20)</f>
        <v>3.745888224122663E-4</v>
      </c>
    </row>
    <row r="500" spans="1:12" x14ac:dyDescent="0.2">
      <c r="A500">
        <v>3808710</v>
      </c>
      <c r="B500">
        <v>2015</v>
      </c>
      <c r="C500" t="s">
        <v>252</v>
      </c>
      <c r="D500" t="s">
        <v>254</v>
      </c>
      <c r="E500" t="s">
        <v>256</v>
      </c>
      <c r="F500" s="5" t="s">
        <v>105</v>
      </c>
      <c r="G500" s="7">
        <v>187833</v>
      </c>
      <c r="H500" s="7" cm="1">
        <f t="array" ref="H500">_xlfn.IFS(B500=2015,L500*$P$3,B500=2016,L500*$P$4,B500=2017,L500*$P$5,B500=2018,L500*$P$6,B500=2019,L500*$P$7,B500=2020,L500*$P$8,B500=2021,L500*$P$9,B500=2022,L500*$P$10)</f>
        <v>4246.6078949683824</v>
      </c>
      <c r="I500" s="7">
        <f t="shared" si="17"/>
        <v>192079.60789496839</v>
      </c>
      <c r="J500">
        <f>IFERROR(VLOOKUP(F500,'LEAID Match'!$A$2:$B$227,2,FALSE),"")</f>
        <v>3808710</v>
      </c>
      <c r="K500">
        <f t="shared" si="16"/>
        <v>8</v>
      </c>
      <c r="L500" cm="1">
        <f t="array" ref="L500">_xlfn.IFS(B500=2015,G500/$P$13,B500=2016,G500/$P$14,B500=2017,G500/$P$15,B500=2018,G500/$P$16,B500=2019,G500/$P$17,B500=2019,G500/$P$18,B500=2020,G500/$P$18,B500=2021,G500/$P$19,B500=2022,G500/$P$20)</f>
        <v>2.3951539170718457E-3</v>
      </c>
    </row>
    <row r="501" spans="1:12" x14ac:dyDescent="0.2">
      <c r="A501">
        <v>3808710</v>
      </c>
      <c r="B501">
        <v>2016</v>
      </c>
      <c r="C501" t="s">
        <v>252</v>
      </c>
      <c r="D501" t="s">
        <v>254</v>
      </c>
      <c r="E501" t="s">
        <v>256</v>
      </c>
      <c r="F501" s="5" t="s">
        <v>105</v>
      </c>
      <c r="G501" s="7">
        <v>183883</v>
      </c>
      <c r="H501" s="7" cm="1">
        <f t="array" ref="H501">_xlfn.IFS(B501=2015,L501*$P$3,B501=2016,L501*$P$4,B501=2017,L501*$P$5,B501=2018,L501*$P$6,B501=2019,L501*$P$7,B501=2020,L501*$P$8,B501=2021,L501*$P$9,B501=2022,L501*$P$10)</f>
        <v>6244.1249377670301</v>
      </c>
      <c r="I501" s="7">
        <f t="shared" si="17"/>
        <v>190127.12493776702</v>
      </c>
      <c r="J501">
        <f>IFERROR(VLOOKUP(F501,'LEAID Match'!$A$2:$B$227,2,FALSE),"")</f>
        <v>3808710</v>
      </c>
      <c r="K501">
        <f t="shared" si="16"/>
        <v>8</v>
      </c>
      <c r="L501" cm="1">
        <f t="array" ref="L501">_xlfn.IFS(B501=2015,G501/$P$13,B501=2016,G501/$P$14,B501=2017,G501/$P$15,B501=2018,G501/$P$16,B501=2019,G501/$P$17,B501=2019,G501/$P$18,B501=2020,G501/$P$18,B501=2021,G501/$P$19,B501=2022,G501/$P$20)</f>
        <v>2.2197386909943227E-3</v>
      </c>
    </row>
    <row r="502" spans="1:12" x14ac:dyDescent="0.2">
      <c r="A502">
        <v>3808710</v>
      </c>
      <c r="B502">
        <v>2017</v>
      </c>
      <c r="C502" t="s">
        <v>252</v>
      </c>
      <c r="D502" t="s">
        <v>254</v>
      </c>
      <c r="E502" t="s">
        <v>256</v>
      </c>
      <c r="F502" s="5" t="s">
        <v>105</v>
      </c>
      <c r="G502" s="7">
        <v>187900</v>
      </c>
      <c r="H502" s="7" cm="1">
        <f t="array" ref="H502">_xlfn.IFS(B502=2015,L502*$P$3,B502=2016,L502*$P$4,B502=2017,L502*$P$5,B502=2018,L502*$P$6,B502=2019,L502*$P$7,B502=2020,L502*$P$8,B502=2021,L502*$P$9,B502=2022,L502*$P$10)</f>
        <v>6089.4727368173571</v>
      </c>
      <c r="I502" s="7">
        <f t="shared" si="17"/>
        <v>193989.47273681735</v>
      </c>
      <c r="J502">
        <f>IFERROR(VLOOKUP(F502,'LEAID Match'!$A$2:$B$227,2,FALSE),"")</f>
        <v>3808710</v>
      </c>
      <c r="K502">
        <f t="shared" si="16"/>
        <v>8</v>
      </c>
      <c r="L502" cm="1">
        <f t="array" ref="L502">_xlfn.IFS(B502=2015,G502/$P$13,B502=2016,G502/$P$14,B502=2017,G502/$P$15,B502=2018,G502/$P$16,B502=2019,G502/$P$17,B502=2019,G502/$P$18,B502=2020,G502/$P$18,B502=2021,G502/$P$19,B502=2022,G502/$P$20)</f>
        <v>2.1833892925124982E-3</v>
      </c>
    </row>
    <row r="503" spans="1:12" x14ac:dyDescent="0.2">
      <c r="A503">
        <v>3808710</v>
      </c>
      <c r="B503" s="5">
        <v>2018</v>
      </c>
      <c r="C503" t="s">
        <v>252</v>
      </c>
      <c r="D503" t="s">
        <v>254</v>
      </c>
      <c r="E503" t="s">
        <v>256</v>
      </c>
      <c r="F503" s="5" t="s">
        <v>105</v>
      </c>
      <c r="G503" s="7">
        <v>194168</v>
      </c>
      <c r="H503" s="7" cm="1">
        <f t="array" ref="H503">_xlfn.IFS(B503=2015,L503*$P$3,B503=2016,L503*$P$4,B503=2017,L503*$P$5,B503=2018,L503*$P$6,B503=2019,L503*$P$7,B503=2020,L503*$P$8,B503=2021,L503*$P$9,B503=2022,L503*$P$10)</f>
        <v>5320.3951441756381</v>
      </c>
      <c r="I503" s="7">
        <f t="shared" si="17"/>
        <v>199488.39514417565</v>
      </c>
      <c r="J503">
        <f>IFERROR(VLOOKUP(F503,'LEAID Match'!$A$2:$B$227,2,FALSE),"")</f>
        <v>3808710</v>
      </c>
      <c r="K503">
        <f t="shared" si="16"/>
        <v>8</v>
      </c>
      <c r="L503" cm="1">
        <f t="array" ref="L503">_xlfn.IFS(B503=2015,G503/$P$13,B503=2016,G503/$P$14,B503=2017,G503/$P$15,B503=2018,G503/$P$16,B503=2019,G503/$P$17,B503=2019,G503/$P$18,B503=2020,G503/$P$18,B503=2021,G503/$P$19,B503=2022,G503/$P$20)</f>
        <v>2.2401663764950053E-3</v>
      </c>
    </row>
    <row r="504" spans="1:12" x14ac:dyDescent="0.2">
      <c r="A504">
        <v>3808710</v>
      </c>
      <c r="B504">
        <v>2019</v>
      </c>
      <c r="C504" t="s">
        <v>252</v>
      </c>
      <c r="D504" t="s">
        <v>254</v>
      </c>
      <c r="E504" t="s">
        <v>256</v>
      </c>
      <c r="F504" s="5" t="s">
        <v>105</v>
      </c>
      <c r="G504" s="7">
        <v>198872</v>
      </c>
      <c r="H504" s="7" cm="1">
        <f t="array" ref="H504">_xlfn.IFS(B504=2015,L504*$P$3,B504=2016,L504*$P$4,B504=2017,L504*$P$5,B504=2018,L504*$P$6,B504=2019,L504*$P$7,B504=2020,L504*$P$8,B504=2021,L504*$P$9,B504=2022,L504*$P$10)</f>
        <v>4615.7842908392295</v>
      </c>
      <c r="I504" s="7">
        <f t="shared" si="17"/>
        <v>203487.78429083922</v>
      </c>
      <c r="J504">
        <f>IFERROR(VLOOKUP(F504,'LEAID Match'!$A$2:$B$227,2,FALSE),"")</f>
        <v>3808710</v>
      </c>
      <c r="K504">
        <f t="shared" si="16"/>
        <v>8</v>
      </c>
      <c r="L504" cm="1">
        <f t="array" ref="L504">_xlfn.IFS(B504=2015,G504/$P$13,B504=2016,G504/$P$14,B504=2017,G504/$P$15,B504=2018,G504/$P$16,B504=2019,G504/$P$17,B504=2019,G504/$P$18,B504=2020,G504/$P$18,B504=2021,G504/$P$19,B504=2022,G504/$P$20)</f>
        <v>2.2234028375911511E-3</v>
      </c>
    </row>
    <row r="505" spans="1:12" x14ac:dyDescent="0.2">
      <c r="A505">
        <v>3808710</v>
      </c>
      <c r="B505">
        <v>2020</v>
      </c>
      <c r="C505" t="s">
        <v>252</v>
      </c>
      <c r="D505" t="s">
        <v>254</v>
      </c>
      <c r="E505" t="s">
        <v>256</v>
      </c>
      <c r="F505" s="5" t="s">
        <v>105</v>
      </c>
      <c r="G505" s="7">
        <v>200845</v>
      </c>
      <c r="H505" s="7" cm="1">
        <f t="array" ref="H505">_xlfn.IFS(B505=2015,L505*$P$3,B505=2016,L505*$P$4,B505=2017,L505*$P$5,B505=2018,L505*$P$6,B505=2019,L505*$P$7,B505=2020,L505*$P$8,B505=2021,L505*$P$9,B505=2022,L505*$P$10)</f>
        <v>5038.8030164698002</v>
      </c>
      <c r="I505" s="7">
        <f t="shared" si="17"/>
        <v>205883.80301646981</v>
      </c>
      <c r="J505">
        <f>IFERROR(VLOOKUP(F505,'LEAID Match'!$A$2:$B$227,2,FALSE),"")</f>
        <v>3808710</v>
      </c>
      <c r="K505">
        <f t="shared" si="16"/>
        <v>8</v>
      </c>
      <c r="L505" cm="1">
        <f t="array" ref="L505">_xlfn.IFS(B505=2015,G505/$P$13,B505=2016,G505/$P$14,B505=2017,G505/$P$15,B505=2018,G505/$P$16,B505=2019,G505/$P$17,B505=2019,G505/$P$18,B505=2020,G505/$P$18,B505=2021,G505/$P$19,B505=2022,G505/$P$20)</f>
        <v>2.1588701870050558E-3</v>
      </c>
    </row>
    <row r="506" spans="1:12" x14ac:dyDescent="0.2">
      <c r="A506">
        <v>3808710</v>
      </c>
      <c r="B506" s="5">
        <v>2021</v>
      </c>
      <c r="C506" t="s">
        <v>252</v>
      </c>
      <c r="D506" t="s">
        <v>254</v>
      </c>
      <c r="E506" t="s">
        <v>256</v>
      </c>
      <c r="F506" s="5" t="s">
        <v>105</v>
      </c>
      <c r="G506" s="7">
        <v>208164</v>
      </c>
      <c r="H506" s="7" cm="1">
        <f t="array" ref="H506">_xlfn.IFS(B506=2015,L506*$P$3,B506=2016,L506*$P$4,B506=2017,L506*$P$5,B506=2018,L506*$P$6,B506=2019,L506*$P$7,B506=2020,L506*$P$8,B506=2021,L506*$P$9,B506=2022,L506*$P$10)</f>
        <v>5687.9342209308643</v>
      </c>
      <c r="I506" s="7">
        <f t="shared" si="17"/>
        <v>213851.93422093085</v>
      </c>
      <c r="J506">
        <f>IFERROR(VLOOKUP(F506,'LEAID Match'!$A$2:$B$227,2,FALSE),"")</f>
        <v>3808710</v>
      </c>
      <c r="K506">
        <f t="shared" si="16"/>
        <v>8</v>
      </c>
      <c r="L506" cm="1">
        <f t="array" ref="L506">_xlfn.IFS(B506=2015,G506/$P$13,B506=2016,G506/$P$14,B506=2017,G506/$P$15,B506=2018,G506/$P$16,B506=2019,G506/$P$17,B506=2019,G506/$P$18,B506=2020,G506/$P$18,B506=2021,G506/$P$19,B506=2022,G506/$P$20)</f>
        <v>2.1184112554677335E-3</v>
      </c>
    </row>
    <row r="507" spans="1:12" x14ac:dyDescent="0.2">
      <c r="A507">
        <v>3808710</v>
      </c>
      <c r="B507">
        <v>2022</v>
      </c>
      <c r="C507" t="s">
        <v>252</v>
      </c>
      <c r="D507" t="s">
        <v>254</v>
      </c>
      <c r="E507" t="s">
        <v>256</v>
      </c>
      <c r="F507" s="5" t="s">
        <v>105</v>
      </c>
      <c r="G507" s="7">
        <v>211087</v>
      </c>
      <c r="H507" s="7" cm="1">
        <f t="array" ref="H507">_xlfn.IFS(B507=2015,L507*$P$3,B507=2016,L507*$P$4,B507=2017,L507*$P$5,B507=2018,L507*$P$6,B507=2019,L507*$P$7,B507=2020,L507*$P$8,B507=2021,L507*$P$9,B507=2022,L507*$P$10)</f>
        <v>4296.1614667496133</v>
      </c>
      <c r="I507" s="7">
        <f t="shared" si="17"/>
        <v>215383.16146674962</v>
      </c>
      <c r="J507">
        <f>IFERROR(VLOOKUP(F507,'LEAID Match'!$A$2:$B$227,2,FALSE),"")</f>
        <v>3808710</v>
      </c>
      <c r="K507">
        <f t="shared" si="16"/>
        <v>8</v>
      </c>
      <c r="L507" cm="1">
        <f t="array" ref="L507">_xlfn.IFS(B507=2015,G507/$P$13,B507=2016,G507/$P$14,B507=2017,G507/$P$15,B507=2018,G507/$P$16,B507=2019,G507/$P$17,B507=2019,G507/$P$18,B507=2020,G507/$P$18,B507=2021,G507/$P$19,B507=2022,G507/$P$20)</f>
        <v>2.103898857370036E-3</v>
      </c>
    </row>
    <row r="508" spans="1:12" x14ac:dyDescent="0.2">
      <c r="A508">
        <v>3808890</v>
      </c>
      <c r="B508">
        <v>2015</v>
      </c>
      <c r="C508" t="s">
        <v>252</v>
      </c>
      <c r="D508" t="s">
        <v>254</v>
      </c>
      <c r="E508" t="s">
        <v>256</v>
      </c>
      <c r="F508" s="5" t="s">
        <v>202</v>
      </c>
      <c r="G508" s="7">
        <v>273494</v>
      </c>
      <c r="H508" s="7" cm="1">
        <f t="array" ref="H508">_xlfn.IFS(B508=2015,L508*$P$3,B508=2016,L508*$P$4,B508=2017,L508*$P$5,B508=2018,L508*$P$6,B508=2019,L508*$P$7,B508=2020,L508*$P$8,B508=2021,L508*$P$9,B508=2022,L508*$P$10)</f>
        <v>6183.2680073601696</v>
      </c>
      <c r="I508" s="7">
        <f t="shared" si="17"/>
        <v>279677.26800736017</v>
      </c>
      <c r="J508">
        <f>IFERROR(VLOOKUP(F508,'LEAID Match'!$A$2:$B$227,2,FALSE),"")</f>
        <v>3808890</v>
      </c>
      <c r="K508">
        <f t="shared" si="16"/>
        <v>8</v>
      </c>
      <c r="L508" cm="1">
        <f t="array" ref="L508">_xlfn.IFS(B508=2015,G508/$P$13,B508=2016,G508/$P$14,B508=2017,G508/$P$15,B508=2018,G508/$P$16,B508=2019,G508/$P$17,B508=2019,G508/$P$18,B508=2020,G508/$P$18,B508=2021,G508/$P$19,B508=2022,G508/$P$20)</f>
        <v>3.4874608050536773E-3</v>
      </c>
    </row>
    <row r="509" spans="1:12" x14ac:dyDescent="0.2">
      <c r="A509">
        <v>3808890</v>
      </c>
      <c r="B509">
        <v>2016</v>
      </c>
      <c r="C509" t="s">
        <v>252</v>
      </c>
      <c r="D509" t="s">
        <v>254</v>
      </c>
      <c r="E509" t="s">
        <v>256</v>
      </c>
      <c r="F509" s="5" t="s">
        <v>202</v>
      </c>
      <c r="G509" s="7">
        <v>298154</v>
      </c>
      <c r="H509" s="7" cm="1">
        <f t="array" ref="H509">_xlfn.IFS(B509=2015,L509*$P$3,B509=2016,L509*$P$4,B509=2017,L509*$P$5,B509=2018,L509*$P$6,B509=2019,L509*$P$7,B509=2020,L509*$P$8,B509=2021,L509*$P$9,B509=2022,L509*$P$10)</f>
        <v>10124.431441160907</v>
      </c>
      <c r="I509" s="7">
        <f t="shared" si="17"/>
        <v>308278.43144116091</v>
      </c>
      <c r="J509">
        <f>IFERROR(VLOOKUP(F509,'LEAID Match'!$A$2:$B$227,2,FALSE),"")</f>
        <v>3808890</v>
      </c>
      <c r="K509">
        <f t="shared" si="16"/>
        <v>8</v>
      </c>
      <c r="L509" cm="1">
        <f t="array" ref="L509">_xlfn.IFS(B509=2015,G509/$P$13,B509=2016,G509/$P$14,B509=2017,G509/$P$15,B509=2018,G509/$P$16,B509=2019,G509/$P$17,B509=2019,G509/$P$18,B509=2020,G509/$P$18,B509=2021,G509/$P$19,B509=2022,G509/$P$20)</f>
        <v>3.5991579954358002E-3</v>
      </c>
    </row>
    <row r="510" spans="1:12" x14ac:dyDescent="0.2">
      <c r="A510">
        <v>3808890</v>
      </c>
      <c r="B510">
        <v>2017</v>
      </c>
      <c r="C510" t="s">
        <v>252</v>
      </c>
      <c r="D510" t="s">
        <v>254</v>
      </c>
      <c r="E510" t="s">
        <v>256</v>
      </c>
      <c r="F510" s="5" t="s">
        <v>202</v>
      </c>
      <c r="G510" s="7">
        <v>298685</v>
      </c>
      <c r="H510" s="7" cm="1">
        <f t="array" ref="H510">_xlfn.IFS(B510=2015,L510*$P$3,B510=2016,L510*$P$4,B510=2017,L510*$P$5,B510=2018,L510*$P$6,B510=2019,L510*$P$7,B510=2020,L510*$P$8,B510=2021,L510*$P$9,B510=2022,L510*$P$10)</f>
        <v>9679.798639682238</v>
      </c>
      <c r="I510" s="7">
        <f t="shared" si="17"/>
        <v>308364.79863968224</v>
      </c>
      <c r="J510">
        <f>IFERROR(VLOOKUP(F510,'LEAID Match'!$A$2:$B$227,2,FALSE),"")</f>
        <v>3808890</v>
      </c>
      <c r="K510">
        <f t="shared" si="16"/>
        <v>8</v>
      </c>
      <c r="L510" cm="1">
        <f t="array" ref="L510">_xlfn.IFS(B510=2015,G510/$P$13,B510=2016,G510/$P$14,B510=2017,G510/$P$15,B510=2018,G510/$P$16,B510=2019,G510/$P$17,B510=2019,G510/$P$18,B510=2020,G510/$P$18,B510=2021,G510/$P$19,B510=2022,G510/$P$20)</f>
        <v>3.4707058586167937E-3</v>
      </c>
    </row>
    <row r="511" spans="1:12" x14ac:dyDescent="0.2">
      <c r="A511">
        <v>3808890</v>
      </c>
      <c r="B511" s="5">
        <v>2018</v>
      </c>
      <c r="C511" t="s">
        <v>252</v>
      </c>
      <c r="D511" t="s">
        <v>254</v>
      </c>
      <c r="E511" t="s">
        <v>256</v>
      </c>
      <c r="F511" s="5" t="s">
        <v>202</v>
      </c>
      <c r="G511" s="7">
        <v>293696</v>
      </c>
      <c r="H511" s="7" cm="1">
        <f t="array" ref="H511">_xlfn.IFS(B511=2015,L511*$P$3,B511=2016,L511*$P$4,B511=2017,L511*$P$5,B511=2018,L511*$P$6,B511=2019,L511*$P$7,B511=2020,L511*$P$8,B511=2021,L511*$P$9,B511=2022,L511*$P$10)</f>
        <v>8047.5607322720934</v>
      </c>
      <c r="I511" s="7">
        <f t="shared" si="17"/>
        <v>301743.5607322721</v>
      </c>
      <c r="J511">
        <f>IFERROR(VLOOKUP(F511,'LEAID Match'!$A$2:$B$227,2,FALSE),"")</f>
        <v>3808890</v>
      </c>
      <c r="K511">
        <f t="shared" si="16"/>
        <v>8</v>
      </c>
      <c r="L511" cm="1">
        <f t="array" ref="L511">_xlfn.IFS(B511=2015,G511/$P$13,B511=2016,G511/$P$14,B511=2017,G511/$P$15,B511=2018,G511/$P$16,B511=2019,G511/$P$17,B511=2019,G511/$P$18,B511=2020,G511/$P$18,B511=2021,G511/$P$19,B511=2022,G511/$P$20)</f>
        <v>3.3884466241145658E-3</v>
      </c>
    </row>
    <row r="512" spans="1:12" x14ac:dyDescent="0.2">
      <c r="A512">
        <v>3808890</v>
      </c>
      <c r="B512">
        <v>2019</v>
      </c>
      <c r="C512" t="s">
        <v>252</v>
      </c>
      <c r="D512" t="s">
        <v>254</v>
      </c>
      <c r="E512" t="s">
        <v>256</v>
      </c>
      <c r="F512" s="5" t="s">
        <v>202</v>
      </c>
      <c r="G512" s="7">
        <v>287279</v>
      </c>
      <c r="H512" s="7" cm="1">
        <f t="array" ref="H512">_xlfn.IFS(B512=2015,L512*$P$3,B512=2016,L512*$P$4,B512=2017,L512*$P$5,B512=2018,L512*$P$6,B512=2019,L512*$P$7,B512=2020,L512*$P$8,B512=2021,L512*$P$9,B512=2022,L512*$P$10)</f>
        <v>6667.6952778068462</v>
      </c>
      <c r="I512" s="7">
        <f t="shared" si="17"/>
        <v>293946.69527780684</v>
      </c>
      <c r="J512">
        <f>IFERROR(VLOOKUP(F512,'LEAID Match'!$A$2:$B$227,2,FALSE),"")</f>
        <v>3808890</v>
      </c>
      <c r="K512">
        <f t="shared" si="16"/>
        <v>8</v>
      </c>
      <c r="L512" cm="1">
        <f t="array" ref="L512">_xlfn.IFS(B512=2015,G512/$P$13,B512=2016,G512/$P$14,B512=2017,G512/$P$15,B512=2018,G512/$P$16,B512=2019,G512/$P$17,B512=2019,G512/$P$18,B512=2020,G512/$P$18,B512=2021,G512/$P$19,B512=2022,G512/$P$20)</f>
        <v>3.2117992667663035E-3</v>
      </c>
    </row>
    <row r="513" spans="1:12" x14ac:dyDescent="0.2">
      <c r="A513">
        <v>3808890</v>
      </c>
      <c r="B513">
        <v>2020</v>
      </c>
      <c r="C513" t="s">
        <v>252</v>
      </c>
      <c r="D513" t="s">
        <v>254</v>
      </c>
      <c r="E513" t="s">
        <v>256</v>
      </c>
      <c r="F513" s="5" t="s">
        <v>202</v>
      </c>
      <c r="G513" s="7">
        <v>293010</v>
      </c>
      <c r="H513" s="7" cm="1">
        <f t="array" ref="H513">_xlfn.IFS(B513=2015,L513*$P$3,B513=2016,L513*$P$4,B513=2017,L513*$P$5,B513=2018,L513*$P$6,B513=2019,L513*$P$7,B513=2020,L513*$P$8,B513=2021,L513*$P$9,B513=2022,L513*$P$10)</f>
        <v>7351.0402143733536</v>
      </c>
      <c r="I513" s="7">
        <f t="shared" si="17"/>
        <v>300361.04021437338</v>
      </c>
      <c r="J513">
        <f>IFERROR(VLOOKUP(F513,'LEAID Match'!$A$2:$B$227,2,FALSE),"")</f>
        <v>3808890</v>
      </c>
      <c r="K513">
        <f t="shared" si="16"/>
        <v>8</v>
      </c>
      <c r="L513" cm="1">
        <f t="array" ref="L513">_xlfn.IFS(B513=2015,G513/$P$13,B513=2016,G513/$P$14,B513=2017,G513/$P$15,B513=2018,G513/$P$16,B513=2019,G513/$P$17,B513=2019,G513/$P$18,B513=2020,G513/$P$18,B513=2021,G513/$P$19,B513=2022,G513/$P$20)</f>
        <v>3.1495459358926109E-3</v>
      </c>
    </row>
    <row r="514" spans="1:12" x14ac:dyDescent="0.2">
      <c r="A514">
        <v>3808890</v>
      </c>
      <c r="B514" s="5">
        <v>2021</v>
      </c>
      <c r="C514" t="s">
        <v>252</v>
      </c>
      <c r="D514" t="s">
        <v>254</v>
      </c>
      <c r="E514" t="s">
        <v>256</v>
      </c>
      <c r="F514" s="5" t="s">
        <v>202</v>
      </c>
      <c r="G514" s="7">
        <v>301576</v>
      </c>
      <c r="H514" s="7" cm="1">
        <f t="array" ref="H514">_xlfn.IFS(B514=2015,L514*$P$3,B514=2016,L514*$P$4,B514=2017,L514*$P$5,B514=2018,L514*$P$6,B514=2019,L514*$P$7,B514=2020,L514*$P$8,B514=2021,L514*$P$9,B514=2022,L514*$P$10)</f>
        <v>8240.3511203255439</v>
      </c>
      <c r="I514" s="7">
        <f t="shared" si="17"/>
        <v>309816.35112032556</v>
      </c>
      <c r="J514">
        <f>IFERROR(VLOOKUP(F514,'LEAID Match'!$A$2:$B$227,2,FALSE),"")</f>
        <v>3808890</v>
      </c>
      <c r="K514">
        <f t="shared" ref="K514:K577" si="18">COUNTIF($A$2:$A$1757,A514)</f>
        <v>8</v>
      </c>
      <c r="L514" cm="1">
        <f t="array" ref="L514">_xlfn.IFS(B514=2015,G514/$P$13,B514=2016,G514/$P$14,B514=2017,G514/$P$15,B514=2018,G514/$P$16,B514=2019,G514/$P$17,B514=2019,G514/$P$18,B514=2020,G514/$P$18,B514=2021,G514/$P$19,B514=2022,G514/$P$20)</f>
        <v>3.0690320746091411E-3</v>
      </c>
    </row>
    <row r="515" spans="1:12" x14ac:dyDescent="0.2">
      <c r="A515">
        <v>3808890</v>
      </c>
      <c r="B515">
        <v>2022</v>
      </c>
      <c r="C515" t="s">
        <v>252</v>
      </c>
      <c r="D515" t="s">
        <v>254</v>
      </c>
      <c r="E515" t="s">
        <v>256</v>
      </c>
      <c r="F515" s="5" t="s">
        <v>202</v>
      </c>
      <c r="G515" s="7">
        <v>298177</v>
      </c>
      <c r="H515" s="7" cm="1">
        <f t="array" ref="H515">_xlfn.IFS(B515=2015,L515*$P$3,B515=2016,L515*$P$4,B515=2017,L515*$P$5,B515=2018,L515*$P$6,B515=2019,L515*$P$7,B515=2020,L515*$P$8,B515=2021,L515*$P$9,B515=2022,L515*$P$10)</f>
        <v>6068.6661787367266</v>
      </c>
      <c r="I515" s="7">
        <f t="shared" ref="I515:I578" si="19">SUM(G515:H515)</f>
        <v>304245.66617873672</v>
      </c>
      <c r="J515">
        <f>IFERROR(VLOOKUP(F515,'LEAID Match'!$A$2:$B$227,2,FALSE),"")</f>
        <v>3808890</v>
      </c>
      <c r="K515">
        <f t="shared" si="18"/>
        <v>8</v>
      </c>
      <c r="L515" cm="1">
        <f t="array" ref="L515">_xlfn.IFS(B515=2015,G515/$P$13,B515=2016,G515/$P$14,B515=2017,G515/$P$15,B515=2018,G515/$P$16,B515=2019,G515/$P$17,B515=2019,G515/$P$18,B515=2020,G515/$P$18,B515=2021,G515/$P$19,B515=2022,G515/$P$20)</f>
        <v>2.9719227124077995E-3</v>
      </c>
    </row>
    <row r="516" spans="1:12" x14ac:dyDescent="0.2">
      <c r="A516">
        <v>3809000</v>
      </c>
      <c r="B516">
        <v>2015</v>
      </c>
      <c r="C516" t="s">
        <v>252</v>
      </c>
      <c r="D516" t="s">
        <v>254</v>
      </c>
      <c r="E516" t="s">
        <v>256</v>
      </c>
      <c r="F516" s="5" t="s">
        <v>106</v>
      </c>
      <c r="G516" s="7">
        <v>140902</v>
      </c>
      <c r="H516" s="7" cm="1">
        <f t="array" ref="H516">_xlfn.IFS(B516=2015,L516*$P$3,B516=2016,L516*$P$4,B516=2017,L516*$P$5,B516=2018,L516*$P$6,B516=2019,L516*$P$7,B516=2020,L516*$P$8,B516=2021,L516*$P$9,B516=2022,L516*$P$10)</f>
        <v>3185.5720007497889</v>
      </c>
      <c r="I516" s="7">
        <f t="shared" si="19"/>
        <v>144087.57200074979</v>
      </c>
      <c r="J516">
        <f>IFERROR(VLOOKUP(F516,'LEAID Match'!$A$2:$B$227,2,FALSE),"")</f>
        <v>3809000</v>
      </c>
      <c r="K516">
        <f t="shared" si="18"/>
        <v>8</v>
      </c>
      <c r="L516" cm="1">
        <f t="array" ref="L516">_xlfn.IFS(B516=2015,G516/$P$13,B516=2016,G516/$P$14,B516=2017,G516/$P$15,B516=2018,G516/$P$16,B516=2019,G516/$P$17,B516=2019,G516/$P$18,B516=2020,G516/$P$18,B516=2021,G516/$P$19,B516=2022,G516/$P$20)</f>
        <v>1.7967129163845397E-3</v>
      </c>
    </row>
    <row r="517" spans="1:12" x14ac:dyDescent="0.2">
      <c r="A517">
        <v>3809000</v>
      </c>
      <c r="B517">
        <v>2016</v>
      </c>
      <c r="C517" t="s">
        <v>252</v>
      </c>
      <c r="D517" t="s">
        <v>254</v>
      </c>
      <c r="E517" t="s">
        <v>256</v>
      </c>
      <c r="F517" s="5" t="s">
        <v>106</v>
      </c>
      <c r="G517" s="7">
        <v>144251</v>
      </c>
      <c r="H517" s="7" cm="1">
        <f t="array" ref="H517">_xlfn.IFS(B517=2015,L517*$P$3,B517=2016,L517*$P$4,B517=2017,L517*$P$5,B517=2018,L517*$P$6,B517=2019,L517*$P$7,B517=2020,L517*$P$8,B517=2021,L517*$P$9,B517=2022,L517*$P$10)</f>
        <v>4898.3389785778554</v>
      </c>
      <c r="I517" s="7">
        <f t="shared" si="19"/>
        <v>149149.33897857784</v>
      </c>
      <c r="J517">
        <f>IFERROR(VLOOKUP(F517,'LEAID Match'!$A$2:$B$227,2,FALSE),"")</f>
        <v>3809000</v>
      </c>
      <c r="K517">
        <f t="shared" si="18"/>
        <v>8</v>
      </c>
      <c r="L517" cm="1">
        <f t="array" ref="L517">_xlfn.IFS(B517=2015,G517/$P$13,B517=2016,G517/$P$14,B517=2017,G517/$P$15,B517=2018,G517/$P$16,B517=2019,G517/$P$17,B517=2019,G517/$P$18,B517=2020,G517/$P$18,B517=2021,G517/$P$19,B517=2022,G517/$P$20)</f>
        <v>1.7413220684599556E-3</v>
      </c>
    </row>
    <row r="518" spans="1:12" x14ac:dyDescent="0.2">
      <c r="A518">
        <v>3809000</v>
      </c>
      <c r="B518">
        <v>2017</v>
      </c>
      <c r="C518" t="s">
        <v>252</v>
      </c>
      <c r="D518" t="s">
        <v>254</v>
      </c>
      <c r="E518" t="s">
        <v>256</v>
      </c>
      <c r="F518" s="5" t="s">
        <v>106</v>
      </c>
      <c r="G518" s="7">
        <v>147439</v>
      </c>
      <c r="H518" s="7" cm="1">
        <f t="array" ref="H518">_xlfn.IFS(B518=2015,L518*$P$3,B518=2016,L518*$P$4,B518=2017,L518*$P$5,B518=2018,L518*$P$6,B518=2019,L518*$P$7,B518=2020,L518*$P$8,B518=2021,L518*$P$9,B518=2022,L518*$P$10)</f>
        <v>4778.2105952294542</v>
      </c>
      <c r="I518" s="7">
        <f t="shared" si="19"/>
        <v>152217.21059522947</v>
      </c>
      <c r="J518">
        <f>IFERROR(VLOOKUP(F518,'LEAID Match'!$A$2:$B$227,2,FALSE),"")</f>
        <v>3809000</v>
      </c>
      <c r="K518">
        <f t="shared" si="18"/>
        <v>8</v>
      </c>
      <c r="L518" cm="1">
        <f t="array" ref="L518">_xlfn.IFS(B518=2015,G518/$P$13,B518=2016,G518/$P$14,B518=2017,G518/$P$15,B518=2018,G518/$P$16,B518=2019,G518/$P$17,B518=2019,G518/$P$18,B518=2020,G518/$P$18,B518=2021,G518/$P$19,B518=2022,G518/$P$20)</f>
        <v>1.7132343475186281E-3</v>
      </c>
    </row>
    <row r="519" spans="1:12" x14ac:dyDescent="0.2">
      <c r="A519">
        <v>3809000</v>
      </c>
      <c r="B519" s="5">
        <v>2018</v>
      </c>
      <c r="C519" t="s">
        <v>252</v>
      </c>
      <c r="D519" t="s">
        <v>254</v>
      </c>
      <c r="E519" t="s">
        <v>256</v>
      </c>
      <c r="F519" s="5" t="s">
        <v>106</v>
      </c>
      <c r="G519" s="7">
        <v>143253</v>
      </c>
      <c r="H519" s="7" cm="1">
        <f t="array" ref="H519">_xlfn.IFS(B519=2015,L519*$P$3,B519=2016,L519*$P$4,B519=2017,L519*$P$5,B519=2018,L519*$P$6,B519=2019,L519*$P$7,B519=2020,L519*$P$8,B519=2021,L519*$P$9,B519=2022,L519*$P$10)</f>
        <v>3925.2738123099202</v>
      </c>
      <c r="I519" s="7">
        <f t="shared" si="19"/>
        <v>147178.27381230993</v>
      </c>
      <c r="J519">
        <f>IFERROR(VLOOKUP(F519,'LEAID Match'!$A$2:$B$227,2,FALSE),"")</f>
        <v>3809000</v>
      </c>
      <c r="K519">
        <f t="shared" si="18"/>
        <v>8</v>
      </c>
      <c r="L519" cm="1">
        <f t="array" ref="L519">_xlfn.IFS(B519=2015,G519/$P$13,B519=2016,G519/$P$14,B519=2017,G519/$P$15,B519=2018,G519/$P$16,B519=2019,G519/$P$17,B519=2019,G519/$P$18,B519=2020,G519/$P$18,B519=2021,G519/$P$19,B519=2022,G519/$P$20)</f>
        <v>1.652746868341019E-3</v>
      </c>
    </row>
    <row r="520" spans="1:12" x14ac:dyDescent="0.2">
      <c r="A520">
        <v>3809000</v>
      </c>
      <c r="B520">
        <v>2019</v>
      </c>
      <c r="C520" t="s">
        <v>252</v>
      </c>
      <c r="D520" t="s">
        <v>254</v>
      </c>
      <c r="E520" t="s">
        <v>256</v>
      </c>
      <c r="F520" s="5" t="s">
        <v>106</v>
      </c>
      <c r="G520" s="7">
        <v>153472</v>
      </c>
      <c r="H520" s="7" cm="1">
        <f t="array" ref="H520">_xlfn.IFS(B520=2015,L520*$P$3,B520=2016,L520*$P$4,B520=2017,L520*$P$5,B520=2018,L520*$P$6,B520=2019,L520*$P$7,B520=2020,L520*$P$8,B520=2021,L520*$P$9,B520=2022,L520*$P$10)</f>
        <v>3562.0582419027228</v>
      </c>
      <c r="I520" s="7">
        <f t="shared" si="19"/>
        <v>157034.05824190273</v>
      </c>
      <c r="J520">
        <f>IFERROR(VLOOKUP(F520,'LEAID Match'!$A$2:$B$227,2,FALSE),"")</f>
        <v>3809000</v>
      </c>
      <c r="K520">
        <f t="shared" si="18"/>
        <v>8</v>
      </c>
      <c r="L520" cm="1">
        <f t="array" ref="L520">_xlfn.IFS(B520=2015,G520/$P$13,B520=2016,G520/$P$14,B520=2017,G520/$P$15,B520=2018,G520/$P$16,B520=2019,G520/$P$17,B520=2019,G520/$P$18,B520=2020,G520/$P$18,B520=2021,G520/$P$19,B520=2022,G520/$P$20)</f>
        <v>1.715827669509982E-3</v>
      </c>
    </row>
    <row r="521" spans="1:12" x14ac:dyDescent="0.2">
      <c r="A521">
        <v>3809000</v>
      </c>
      <c r="B521">
        <v>2020</v>
      </c>
      <c r="C521" t="s">
        <v>252</v>
      </c>
      <c r="D521" t="s">
        <v>254</v>
      </c>
      <c r="E521" t="s">
        <v>256</v>
      </c>
      <c r="F521" s="5" t="s">
        <v>106</v>
      </c>
      <c r="G521" s="7">
        <v>156869</v>
      </c>
      <c r="H521" s="7" cm="1">
        <f t="array" ref="H521">_xlfn.IFS(B521=2015,L521*$P$3,B521=2016,L521*$P$4,B521=2017,L521*$P$5,B521=2018,L521*$P$6,B521=2019,L521*$P$7,B521=2020,L521*$P$8,B521=2021,L521*$P$9,B521=2022,L521*$P$10)</f>
        <v>3935.5323278677638</v>
      </c>
      <c r="I521" s="7">
        <f t="shared" si="19"/>
        <v>160804.53232786775</v>
      </c>
      <c r="J521">
        <f>IFERROR(VLOOKUP(F521,'LEAID Match'!$A$2:$B$227,2,FALSE),"")</f>
        <v>3809000</v>
      </c>
      <c r="K521">
        <f t="shared" si="18"/>
        <v>8</v>
      </c>
      <c r="L521" cm="1">
        <f t="array" ref="L521">_xlfn.IFS(B521=2015,G521/$P$13,B521=2016,G521/$P$14,B521=2017,G521/$P$15,B521=2018,G521/$P$16,B521=2019,G521/$P$17,B521=2019,G521/$P$18,B521=2020,G521/$P$18,B521=2021,G521/$P$19,B521=2022,G521/$P$20)</f>
        <v>1.6861749476725638E-3</v>
      </c>
    </row>
    <row r="522" spans="1:12" x14ac:dyDescent="0.2">
      <c r="A522">
        <v>3809000</v>
      </c>
      <c r="B522" s="5">
        <v>2021</v>
      </c>
      <c r="C522" t="s">
        <v>252</v>
      </c>
      <c r="D522" t="s">
        <v>254</v>
      </c>
      <c r="E522" t="s">
        <v>256</v>
      </c>
      <c r="F522" s="5" t="s">
        <v>106</v>
      </c>
      <c r="G522" s="7">
        <v>168741</v>
      </c>
      <c r="H522" s="7" cm="1">
        <f t="array" ref="H522">_xlfn.IFS(B522=2015,L522*$P$3,B522=2016,L522*$P$4,B522=2017,L522*$P$5,B522=2018,L522*$P$6,B522=2019,L522*$P$7,B522=2020,L522*$P$8,B522=2021,L522*$P$9,B522=2022,L522*$P$10)</f>
        <v>4610.7286004020634</v>
      </c>
      <c r="I522" s="7">
        <f t="shared" si="19"/>
        <v>173351.72860040207</v>
      </c>
      <c r="J522">
        <f>IFERROR(VLOOKUP(F522,'LEAID Match'!$A$2:$B$227,2,FALSE),"")</f>
        <v>3809000</v>
      </c>
      <c r="K522">
        <f t="shared" si="18"/>
        <v>8</v>
      </c>
      <c r="L522" cm="1">
        <f t="array" ref="L522">_xlfn.IFS(B522=2015,G522/$P$13,B522=2016,G522/$P$14,B522=2017,G522/$P$15,B522=2018,G522/$P$16,B522=2019,G522/$P$17,B522=2019,G522/$P$18,B522=2020,G522/$P$18,B522=2021,G522/$P$19,B522=2022,G522/$P$20)</f>
        <v>1.7172173558294463E-3</v>
      </c>
    </row>
    <row r="523" spans="1:12" x14ac:dyDescent="0.2">
      <c r="A523">
        <v>3809000</v>
      </c>
      <c r="B523">
        <v>2022</v>
      </c>
      <c r="C523" t="s">
        <v>252</v>
      </c>
      <c r="D523" t="s">
        <v>254</v>
      </c>
      <c r="E523" t="s">
        <v>256</v>
      </c>
      <c r="F523" s="5" t="s">
        <v>106</v>
      </c>
      <c r="G523" s="7">
        <v>167543</v>
      </c>
      <c r="H523" s="7" cm="1">
        <f t="array" ref="H523">_xlfn.IFS(B523=2015,L523*$P$3,B523=2016,L523*$P$4,B523=2017,L523*$P$5,B523=2018,L523*$P$6,B523=2019,L523*$P$7,B523=2020,L523*$P$8,B523=2021,L523*$P$9,B523=2022,L523*$P$10)</f>
        <v>3409.9294633190602</v>
      </c>
      <c r="I523" s="7">
        <f t="shared" si="19"/>
        <v>170952.92946331907</v>
      </c>
      <c r="J523">
        <f>IFERROR(VLOOKUP(F523,'LEAID Match'!$A$2:$B$227,2,FALSE),"")</f>
        <v>3809000</v>
      </c>
      <c r="K523">
        <f t="shared" si="18"/>
        <v>8</v>
      </c>
      <c r="L523" cm="1">
        <f t="array" ref="L523">_xlfn.IFS(B523=2015,G523/$P$13,B523=2016,G523/$P$14,B523=2017,G523/$P$15,B523=2018,G523/$P$16,B523=2019,G523/$P$17,B523=2019,G523/$P$18,B523=2020,G523/$P$18,B523=2021,G523/$P$19,B523=2022,G523/$P$20)</f>
        <v>1.6698968968261803E-3</v>
      </c>
    </row>
    <row r="524" spans="1:12" x14ac:dyDescent="0.2">
      <c r="A524">
        <v>3809130</v>
      </c>
      <c r="B524">
        <v>2015</v>
      </c>
      <c r="C524" t="s">
        <v>252</v>
      </c>
      <c r="D524" t="s">
        <v>254</v>
      </c>
      <c r="E524" t="s">
        <v>256</v>
      </c>
      <c r="F524" s="5" t="s">
        <v>107</v>
      </c>
      <c r="G524" s="7">
        <v>91938</v>
      </c>
      <c r="H524" s="7" cm="1">
        <f t="array" ref="H524">_xlfn.IFS(B524=2015,L524*$P$3,B524=2016,L524*$P$4,B524=2017,L524*$P$5,B524=2018,L524*$P$6,B524=2019,L524*$P$7,B524=2020,L524*$P$8,B524=2021,L524*$P$9,B524=2022,L524*$P$10)</f>
        <v>2078.5731828145385</v>
      </c>
      <c r="I524" s="7">
        <f t="shared" si="19"/>
        <v>94016.573182814536</v>
      </c>
      <c r="J524">
        <f>IFERROR(VLOOKUP(F524,'LEAID Match'!$A$2:$B$227,2,FALSE),"")</f>
        <v>3809130</v>
      </c>
      <c r="K524">
        <f t="shared" si="18"/>
        <v>8</v>
      </c>
      <c r="L524" cm="1">
        <f t="array" ref="L524">_xlfn.IFS(B524=2015,G524/$P$13,B524=2016,G524/$P$14,B524=2017,G524/$P$15,B524=2018,G524/$P$16,B524=2019,G524/$P$17,B524=2019,G524/$P$18,B524=2020,G524/$P$18,B524=2021,G524/$P$19,B524=2022,G524/$P$20)</f>
        <v>1.1723481008542236E-3</v>
      </c>
    </row>
    <row r="525" spans="1:12" x14ac:dyDescent="0.2">
      <c r="A525">
        <v>3809130</v>
      </c>
      <c r="B525">
        <v>2016</v>
      </c>
      <c r="C525" t="s">
        <v>252</v>
      </c>
      <c r="D525" t="s">
        <v>254</v>
      </c>
      <c r="E525" t="s">
        <v>256</v>
      </c>
      <c r="F525" s="5" t="s">
        <v>107</v>
      </c>
      <c r="G525" s="7">
        <v>105837</v>
      </c>
      <c r="H525" s="7" cm="1">
        <f t="array" ref="H525">_xlfn.IFS(B525=2015,L525*$P$3,B525=2016,L525*$P$4,B525=2017,L525*$P$5,B525=2018,L525*$P$6,B525=2019,L525*$P$7,B525=2020,L525*$P$8,B525=2021,L525*$P$9,B525=2022,L525*$P$10)</f>
        <v>3593.9127110088975</v>
      </c>
      <c r="I525" s="7">
        <f t="shared" si="19"/>
        <v>109430.9127110089</v>
      </c>
      <c r="J525">
        <f>IFERROR(VLOOKUP(F525,'LEAID Match'!$A$2:$B$227,2,FALSE),"")</f>
        <v>3809130</v>
      </c>
      <c r="K525">
        <f t="shared" si="18"/>
        <v>8</v>
      </c>
      <c r="L525" cm="1">
        <f t="array" ref="L525">_xlfn.IFS(B525=2015,G525/$P$13,B525=2016,G525/$P$14,B525=2017,G525/$P$15,B525=2018,G525/$P$16,B525=2019,G525/$P$17,B525=2019,G525/$P$18,B525=2020,G525/$P$18,B525=2021,G525/$P$19,B525=2022,G525/$P$20)</f>
        <v>1.2776085001809092E-3</v>
      </c>
    </row>
    <row r="526" spans="1:12" x14ac:dyDescent="0.2">
      <c r="A526">
        <v>3809130</v>
      </c>
      <c r="B526">
        <v>2017</v>
      </c>
      <c r="C526" t="s">
        <v>252</v>
      </c>
      <c r="D526" t="s">
        <v>254</v>
      </c>
      <c r="E526" t="s">
        <v>256</v>
      </c>
      <c r="F526" s="5" t="s">
        <v>107</v>
      </c>
      <c r="G526" s="7">
        <v>109788</v>
      </c>
      <c r="H526" s="7" cm="1">
        <f t="array" ref="H526">_xlfn.IFS(B526=2015,L526*$P$3,B526=2016,L526*$P$4,B526=2017,L526*$P$5,B526=2018,L526*$P$6,B526=2019,L526*$P$7,B526=2020,L526*$P$8,B526=2021,L526*$P$9,B526=2022,L526*$P$10)</f>
        <v>3558.0150762623953</v>
      </c>
      <c r="I526" s="7">
        <f t="shared" si="19"/>
        <v>113346.0150762624</v>
      </c>
      <c r="J526">
        <f>IFERROR(VLOOKUP(F526,'LEAID Match'!$A$2:$B$227,2,FALSE),"")</f>
        <v>3809130</v>
      </c>
      <c r="K526">
        <f t="shared" si="18"/>
        <v>8</v>
      </c>
      <c r="L526" cm="1">
        <f t="array" ref="L526">_xlfn.IFS(B526=2015,G526/$P$13,B526=2016,G526/$P$14,B526=2017,G526/$P$15,B526=2018,G526/$P$16,B526=2019,G526/$P$17,B526=2019,G526/$P$18,B526=2020,G526/$P$18,B526=2021,G526/$P$19,B526=2022,G526/$P$20)</f>
        <v>1.2757314723063446E-3</v>
      </c>
    </row>
    <row r="527" spans="1:12" x14ac:dyDescent="0.2">
      <c r="A527">
        <v>3809130</v>
      </c>
      <c r="B527" s="5">
        <v>2018</v>
      </c>
      <c r="C527" t="s">
        <v>252</v>
      </c>
      <c r="D527" t="s">
        <v>254</v>
      </c>
      <c r="E527" t="s">
        <v>256</v>
      </c>
      <c r="F527" s="5" t="s">
        <v>107</v>
      </c>
      <c r="G527" s="7">
        <v>102678</v>
      </c>
      <c r="H527" s="7" cm="1">
        <f t="array" ref="H527">_xlfn.IFS(B527=2015,L527*$P$3,B527=2016,L527*$P$4,B527=2017,L527*$P$5,B527=2018,L527*$P$6,B527=2019,L527*$P$7,B527=2020,L527*$P$8,B527=2021,L527*$P$9,B527=2022,L527*$P$10)</f>
        <v>2813.4787020192107</v>
      </c>
      <c r="I527" s="7">
        <f t="shared" si="19"/>
        <v>105491.47870201922</v>
      </c>
      <c r="J527">
        <f>IFERROR(VLOOKUP(F527,'LEAID Match'!$A$2:$B$227,2,FALSE),"")</f>
        <v>3809130</v>
      </c>
      <c r="K527">
        <f t="shared" si="18"/>
        <v>8</v>
      </c>
      <c r="L527" cm="1">
        <f t="array" ref="L527">_xlfn.IFS(B527=2015,G527/$P$13,B527=2016,G527/$P$14,B527=2017,G527/$P$15,B527=2018,G527/$P$16,B527=2019,G527/$P$17,B527=2019,G527/$P$18,B527=2020,G527/$P$18,B527=2021,G527/$P$19,B527=2022,G527/$P$20)</f>
        <v>1.1846226113765097E-3</v>
      </c>
    </row>
    <row r="528" spans="1:12" x14ac:dyDescent="0.2">
      <c r="A528">
        <v>3809130</v>
      </c>
      <c r="B528">
        <v>2019</v>
      </c>
      <c r="C528" t="s">
        <v>252</v>
      </c>
      <c r="D528" t="s">
        <v>254</v>
      </c>
      <c r="E528" t="s">
        <v>256</v>
      </c>
      <c r="F528" s="5" t="s">
        <v>107</v>
      </c>
      <c r="G528" s="7">
        <v>115550</v>
      </c>
      <c r="H528" s="7" cm="1">
        <f t="array" ref="H528">_xlfn.IFS(B528=2015,L528*$P$3,B528=2016,L528*$P$4,B528=2017,L528*$P$5,B528=2018,L528*$P$6,B528=2019,L528*$P$7,B528=2020,L528*$P$8,B528=2021,L528*$P$9,B528=2022,L528*$P$10)</f>
        <v>2681.8952633174754</v>
      </c>
      <c r="I528" s="7">
        <f t="shared" si="19"/>
        <v>118231.89526331748</v>
      </c>
      <c r="J528">
        <f>IFERROR(VLOOKUP(F528,'LEAID Match'!$A$2:$B$227,2,FALSE),"")</f>
        <v>3809130</v>
      </c>
      <c r="K528">
        <f t="shared" si="18"/>
        <v>8</v>
      </c>
      <c r="L528" cm="1">
        <f t="array" ref="L528">_xlfn.IFS(B528=2015,G528/$P$13,B528=2016,G528/$P$14,B528=2017,G528/$P$15,B528=2018,G528/$P$16,B528=2019,G528/$P$17,B528=2019,G528/$P$18,B528=2020,G528/$P$18,B528=2021,G528/$P$19,B528=2022,G528/$P$20)</f>
        <v>1.2918570632550459E-3</v>
      </c>
    </row>
    <row r="529" spans="1:12" x14ac:dyDescent="0.2">
      <c r="A529">
        <v>3809130</v>
      </c>
      <c r="B529">
        <v>2020</v>
      </c>
      <c r="C529" t="s">
        <v>252</v>
      </c>
      <c r="D529" t="s">
        <v>254</v>
      </c>
      <c r="E529" t="s">
        <v>256</v>
      </c>
      <c r="F529" s="5" t="s">
        <v>107</v>
      </c>
      <c r="G529" s="7">
        <v>115369</v>
      </c>
      <c r="H529" s="7" cm="1">
        <f t="array" ref="H529">_xlfn.IFS(B529=2015,L529*$P$3,B529=2016,L529*$P$4,B529=2017,L529*$P$5,B529=2018,L529*$P$6,B529=2019,L529*$P$7,B529=2020,L529*$P$8,B529=2021,L529*$P$9,B529=2022,L529*$P$10)</f>
        <v>2894.379572342375</v>
      </c>
      <c r="I529" s="7">
        <f t="shared" si="19"/>
        <v>118263.37957234237</v>
      </c>
      <c r="J529">
        <f>IFERROR(VLOOKUP(F529,'LEAID Match'!$A$2:$B$227,2,FALSE),"")</f>
        <v>3809130</v>
      </c>
      <c r="K529">
        <f t="shared" si="18"/>
        <v>8</v>
      </c>
      <c r="L529" cm="1">
        <f t="array" ref="L529">_xlfn.IFS(B529=2015,G529/$P$13,B529=2016,G529/$P$14,B529=2017,G529/$P$15,B529=2018,G529/$P$16,B529=2019,G529/$P$17,B529=2019,G529/$P$18,B529=2020,G529/$P$18,B529=2021,G529/$P$19,B529=2022,G529/$P$20)</f>
        <v>1.2400940755537169E-3</v>
      </c>
    </row>
    <row r="530" spans="1:12" x14ac:dyDescent="0.2">
      <c r="A530">
        <v>3809130</v>
      </c>
      <c r="B530" s="5">
        <v>2021</v>
      </c>
      <c r="C530" t="s">
        <v>252</v>
      </c>
      <c r="D530" t="s">
        <v>254</v>
      </c>
      <c r="E530" t="s">
        <v>256</v>
      </c>
      <c r="F530" s="5" t="s">
        <v>107</v>
      </c>
      <c r="G530" s="7">
        <v>117680</v>
      </c>
      <c r="H530" s="7" cm="1">
        <f t="array" ref="H530">_xlfn.IFS(B530=2015,L530*$P$3,B530=2016,L530*$P$4,B530=2017,L530*$P$5,B530=2018,L530*$P$6,B530=2019,L530*$P$7,B530=2020,L530*$P$8,B530=2021,L530*$P$9,B530=2022,L530*$P$10)</f>
        <v>3215.5228527466043</v>
      </c>
      <c r="I530" s="7">
        <f t="shared" si="19"/>
        <v>120895.52285274661</v>
      </c>
      <c r="J530">
        <f>IFERROR(VLOOKUP(F530,'LEAID Match'!$A$2:$B$227,2,FALSE),"")</f>
        <v>3809130</v>
      </c>
      <c r="K530">
        <f t="shared" si="18"/>
        <v>8</v>
      </c>
      <c r="L530" cm="1">
        <f t="array" ref="L530">_xlfn.IFS(B530=2015,G530/$P$13,B530=2016,G530/$P$14,B530=2017,G530/$P$15,B530=2018,G530/$P$16,B530=2019,G530/$P$17,B530=2019,G530/$P$18,B530=2020,G530/$P$18,B530=2021,G530/$P$19,B530=2022,G530/$P$20)</f>
        <v>1.1975876546542288E-3</v>
      </c>
    </row>
    <row r="531" spans="1:12" x14ac:dyDescent="0.2">
      <c r="A531">
        <v>3809130</v>
      </c>
      <c r="B531">
        <v>2022</v>
      </c>
      <c r="C531" t="s">
        <v>252</v>
      </c>
      <c r="D531" t="s">
        <v>254</v>
      </c>
      <c r="E531" t="s">
        <v>256</v>
      </c>
      <c r="F531" s="5" t="s">
        <v>107</v>
      </c>
      <c r="G531" s="7">
        <v>126786</v>
      </c>
      <c r="H531" s="7" cm="1">
        <f t="array" ref="H531">_xlfn.IFS(B531=2015,L531*$P$3,B531=2016,L531*$P$4,B531=2017,L531*$P$5,B531=2018,L531*$P$6,B531=2019,L531*$P$7,B531=2020,L531*$P$8,B531=2021,L531*$P$9,B531=2022,L531*$P$10)</f>
        <v>2580.4200529796549</v>
      </c>
      <c r="I531" s="7">
        <f t="shared" si="19"/>
        <v>129366.42005297965</v>
      </c>
      <c r="J531">
        <f>IFERROR(VLOOKUP(F531,'LEAID Match'!$A$2:$B$227,2,FALSE),"")</f>
        <v>3809130</v>
      </c>
      <c r="K531">
        <f t="shared" si="18"/>
        <v>8</v>
      </c>
      <c r="L531" cm="1">
        <f t="array" ref="L531">_xlfn.IFS(B531=2015,G531/$P$13,B531=2016,G531/$P$14,B531=2017,G531/$P$15,B531=2018,G531/$P$16,B531=2019,G531/$P$17,B531=2019,G531/$P$18,B531=2020,G531/$P$18,B531=2021,G531/$P$19,B531=2022,G531/$P$20)</f>
        <v>1.2636728956805362E-3</v>
      </c>
    </row>
    <row r="532" spans="1:12" x14ac:dyDescent="0.2">
      <c r="A532">
        <v>3800031</v>
      </c>
      <c r="B532">
        <v>2015</v>
      </c>
      <c r="C532" t="s">
        <v>252</v>
      </c>
      <c r="D532" t="s">
        <v>254</v>
      </c>
      <c r="E532" t="s">
        <v>256</v>
      </c>
      <c r="F532" s="5" t="s">
        <v>108</v>
      </c>
      <c r="G532" s="7">
        <v>355045</v>
      </c>
      <c r="H532" s="7" cm="1">
        <f t="array" ref="H532">_xlfn.IFS(B532=2015,L532*$P$3,B532=2016,L532*$P$4,B532=2017,L532*$P$5,B532=2018,L532*$P$6,B532=2019,L532*$P$7,B532=2020,L532*$P$8,B532=2021,L532*$P$9,B532=2022,L532*$P$10)</f>
        <v>8027.0075017118897</v>
      </c>
      <c r="I532" s="7">
        <f t="shared" si="19"/>
        <v>363072.00750171189</v>
      </c>
      <c r="J532">
        <f>IFERROR(VLOOKUP(F532,'LEAID Match'!$A$2:$B$227,2,FALSE),"")</f>
        <v>3800031</v>
      </c>
      <c r="K532">
        <f t="shared" si="18"/>
        <v>8</v>
      </c>
      <c r="L532" cm="1">
        <f t="array" ref="L532">_xlfn.IFS(B532=2015,G532/$P$13,B532=2016,G532/$P$14,B532=2017,G532/$P$15,B532=2018,G532/$P$16,B532=2019,G532/$P$17,B532=2019,G532/$P$18,B532=2020,G532/$P$18,B532=2021,G532/$P$19,B532=2022,G532/$P$20)</f>
        <v>4.5273589970174222E-3</v>
      </c>
    </row>
    <row r="533" spans="1:12" x14ac:dyDescent="0.2">
      <c r="A533">
        <v>3800031</v>
      </c>
      <c r="B533">
        <v>2016</v>
      </c>
      <c r="C533" t="s">
        <v>252</v>
      </c>
      <c r="D533" t="s">
        <v>254</v>
      </c>
      <c r="E533" t="s">
        <v>256</v>
      </c>
      <c r="F533" s="5" t="s">
        <v>108</v>
      </c>
      <c r="G533" s="7">
        <v>367418</v>
      </c>
      <c r="H533" s="7" cm="1">
        <f t="array" ref="H533">_xlfn.IFS(B533=2015,L533*$P$3,B533=2016,L533*$P$4,B533=2017,L533*$P$5,B533=2018,L533*$P$6,B533=2019,L533*$P$7,B533=2020,L533*$P$8,B533=2021,L533*$P$9,B533=2022,L533*$P$10)</f>
        <v>12476.432820785425</v>
      </c>
      <c r="I533" s="7">
        <f t="shared" si="19"/>
        <v>379894.43282078544</v>
      </c>
      <c r="J533">
        <f>IFERROR(VLOOKUP(F533,'LEAID Match'!$A$2:$B$227,2,FALSE),"")</f>
        <v>3800031</v>
      </c>
      <c r="K533">
        <f t="shared" si="18"/>
        <v>8</v>
      </c>
      <c r="L533" cm="1">
        <f t="array" ref="L533">_xlfn.IFS(B533=2015,G533/$P$13,B533=2016,G533/$P$14,B533=2017,G533/$P$15,B533=2018,G533/$P$16,B533=2019,G533/$P$17,B533=2019,G533/$P$18,B533=2020,G533/$P$18,B533=2021,G533/$P$19,B533=2022,G533/$P$20)</f>
        <v>4.4352765093442674E-3</v>
      </c>
    </row>
    <row r="534" spans="1:12" x14ac:dyDescent="0.2">
      <c r="A534">
        <v>3800031</v>
      </c>
      <c r="B534">
        <v>2017</v>
      </c>
      <c r="C534" t="s">
        <v>252</v>
      </c>
      <c r="D534" t="s">
        <v>254</v>
      </c>
      <c r="E534" t="s">
        <v>256</v>
      </c>
      <c r="F534" s="5" t="s">
        <v>108</v>
      </c>
      <c r="G534" s="7">
        <v>372529</v>
      </c>
      <c r="H534" s="7" cm="1">
        <f t="array" ref="H534">_xlfn.IFS(B534=2015,L534*$P$3,B534=2016,L534*$P$4,B534=2017,L534*$P$5,B534=2018,L534*$P$6,B534=2019,L534*$P$7,B534=2020,L534*$P$8,B534=2021,L534*$P$9,B534=2022,L534*$P$10)</f>
        <v>12072.938739615931</v>
      </c>
      <c r="I534" s="7">
        <f t="shared" si="19"/>
        <v>384601.93873961596</v>
      </c>
      <c r="J534">
        <f>IFERROR(VLOOKUP(F534,'LEAID Match'!$A$2:$B$227,2,FALSE),"")</f>
        <v>3800031</v>
      </c>
      <c r="K534">
        <f t="shared" si="18"/>
        <v>8</v>
      </c>
      <c r="L534" cm="1">
        <f t="array" ref="L534">_xlfn.IFS(B534=2015,G534/$P$13,B534=2016,G534/$P$14,B534=2017,G534/$P$15,B534=2018,G534/$P$16,B534=2019,G534/$P$17,B534=2019,G534/$P$18,B534=2020,G534/$P$18,B534=2021,G534/$P$19,B534=2022,G534/$P$20)</f>
        <v>4.3287697166066444E-3</v>
      </c>
    </row>
    <row r="535" spans="1:12" x14ac:dyDescent="0.2">
      <c r="A535">
        <v>3800031</v>
      </c>
      <c r="B535" s="5">
        <v>2018</v>
      </c>
      <c r="C535" t="s">
        <v>252</v>
      </c>
      <c r="D535" t="s">
        <v>254</v>
      </c>
      <c r="E535" t="s">
        <v>256</v>
      </c>
      <c r="F535" s="5" t="s">
        <v>108</v>
      </c>
      <c r="G535" s="7">
        <v>382115</v>
      </c>
      <c r="H535" s="7" cm="1">
        <f t="array" ref="H535">_xlfn.IFS(B535=2015,L535*$P$3,B535=2016,L535*$P$4,B535=2017,L535*$P$5,B535=2018,L535*$P$6,B535=2019,L535*$P$7,B535=2020,L535*$P$8,B535=2021,L535*$P$9,B535=2022,L535*$P$10)</f>
        <v>10470.328738600972</v>
      </c>
      <c r="I535" s="7">
        <f t="shared" si="19"/>
        <v>392585.32873860095</v>
      </c>
      <c r="J535">
        <f>IFERROR(VLOOKUP(F535,'LEAID Match'!$A$2:$B$227,2,FALSE),"")</f>
        <v>3800031</v>
      </c>
      <c r="K535">
        <f t="shared" si="18"/>
        <v>8</v>
      </c>
      <c r="L535" cm="1">
        <f t="array" ref="L535">_xlfn.IFS(B535=2015,G535/$P$13,B535=2016,G535/$P$14,B535=2017,G535/$P$15,B535=2018,G535/$P$16,B535=2019,G535/$P$17,B535=2019,G535/$P$18,B535=2020,G535/$P$18,B535=2021,G535/$P$19,B535=2022,G535/$P$20)</f>
        <v>4.4085594688846198E-3</v>
      </c>
    </row>
    <row r="536" spans="1:12" x14ac:dyDescent="0.2">
      <c r="A536">
        <v>3800031</v>
      </c>
      <c r="B536">
        <v>2019</v>
      </c>
      <c r="C536" t="s">
        <v>252</v>
      </c>
      <c r="D536" t="s">
        <v>254</v>
      </c>
      <c r="E536" t="s">
        <v>256</v>
      </c>
      <c r="F536" s="5" t="s">
        <v>108</v>
      </c>
      <c r="G536" s="7">
        <v>353491</v>
      </c>
      <c r="H536" s="7" cm="1">
        <f t="array" ref="H536">_xlfn.IFS(B536=2015,L536*$P$3,B536=2016,L536*$P$4,B536=2017,L536*$P$5,B536=2018,L536*$P$6,B536=2019,L536*$P$7,B536=2020,L536*$P$8,B536=2021,L536*$P$9,B536=2022,L536*$P$10)</f>
        <v>8204.4642018637624</v>
      </c>
      <c r="I536" s="7">
        <f t="shared" si="19"/>
        <v>361695.46420186374</v>
      </c>
      <c r="J536">
        <f>IFERROR(VLOOKUP(F536,'LEAID Match'!$A$2:$B$227,2,FALSE),"")</f>
        <v>3800031</v>
      </c>
      <c r="K536">
        <f t="shared" si="18"/>
        <v>8</v>
      </c>
      <c r="L536" cm="1">
        <f t="array" ref="L536">_xlfn.IFS(B536=2015,G536/$P$13,B536=2016,G536/$P$14,B536=2017,G536/$P$15,B536=2018,G536/$P$16,B536=2019,G536/$P$17,B536=2019,G536/$P$18,B536=2020,G536/$P$18,B536=2021,G536/$P$19,B536=2022,G536/$P$20)</f>
        <v>3.9520540471405406E-3</v>
      </c>
    </row>
    <row r="537" spans="1:12" x14ac:dyDescent="0.2">
      <c r="A537">
        <v>3800031</v>
      </c>
      <c r="B537">
        <v>2020</v>
      </c>
      <c r="C537" t="s">
        <v>252</v>
      </c>
      <c r="D537" t="s">
        <v>254</v>
      </c>
      <c r="E537" t="s">
        <v>256</v>
      </c>
      <c r="F537" s="5" t="s">
        <v>108</v>
      </c>
      <c r="G537" s="7">
        <v>362343</v>
      </c>
      <c r="H537" s="7" cm="1">
        <f t="array" ref="H537">_xlfn.IFS(B537=2015,L537*$P$3,B537=2016,L537*$P$4,B537=2017,L537*$P$5,B537=2018,L537*$P$6,B537=2019,L537*$P$7,B537=2020,L537*$P$8,B537=2021,L537*$P$9,B537=2022,L537*$P$10)</f>
        <v>9090.4677806105046</v>
      </c>
      <c r="I537" s="7">
        <f t="shared" si="19"/>
        <v>371433.46778061049</v>
      </c>
      <c r="J537">
        <f>IFERROR(VLOOKUP(F537,'LEAID Match'!$A$2:$B$227,2,FALSE),"")</f>
        <v>3800031</v>
      </c>
      <c r="K537">
        <f t="shared" si="18"/>
        <v>8</v>
      </c>
      <c r="L537" cm="1">
        <f t="array" ref="L537">_xlfn.IFS(B537=2015,G537/$P$13,B537=2016,G537/$P$14,B537=2017,G537/$P$15,B537=2018,G537/$P$16,B537=2019,G537/$P$17,B537=2019,G537/$P$18,B537=2020,G537/$P$18,B537=2021,G537/$P$19,B537=2022,G537/$P$20)</f>
        <v>3.894801962558057E-3</v>
      </c>
    </row>
    <row r="538" spans="1:12" x14ac:dyDescent="0.2">
      <c r="A538">
        <v>3800031</v>
      </c>
      <c r="B538" s="5">
        <v>2021</v>
      </c>
      <c r="C538" t="s">
        <v>252</v>
      </c>
      <c r="D538" t="s">
        <v>254</v>
      </c>
      <c r="E538" t="s">
        <v>256</v>
      </c>
      <c r="F538" s="5" t="s">
        <v>108</v>
      </c>
      <c r="G538" s="7">
        <v>384664</v>
      </c>
      <c r="H538" s="7" cm="1">
        <f t="array" ref="H538">_xlfn.IFS(B538=2015,L538*$P$3,B538=2016,L538*$P$4,B538=2017,L538*$P$5,B538=2018,L538*$P$6,B538=2019,L538*$P$7,B538=2020,L538*$P$8,B538=2021,L538*$P$9,B538=2022,L538*$P$10)</f>
        <v>10510.672014181846</v>
      </c>
      <c r="I538" s="7">
        <f t="shared" si="19"/>
        <v>395174.67201418185</v>
      </c>
      <c r="J538">
        <f>IFERROR(VLOOKUP(F538,'LEAID Match'!$A$2:$B$227,2,FALSE),"")</f>
        <v>3800031</v>
      </c>
      <c r="K538">
        <f t="shared" si="18"/>
        <v>8</v>
      </c>
      <c r="L538" cm="1">
        <f t="array" ref="L538">_xlfn.IFS(B538=2015,G538/$P$13,B538=2016,G538/$P$14,B538=2017,G538/$P$15,B538=2018,G538/$P$16,B538=2019,G538/$P$17,B538=2019,G538/$P$18,B538=2020,G538/$P$18,B538=2021,G538/$P$19,B538=2022,G538/$P$20)</f>
        <v>3.9145892045370006E-3</v>
      </c>
    </row>
    <row r="539" spans="1:12" x14ac:dyDescent="0.2">
      <c r="A539">
        <v>3800031</v>
      </c>
      <c r="B539">
        <v>2022</v>
      </c>
      <c r="C539" t="s">
        <v>252</v>
      </c>
      <c r="D539" t="s">
        <v>254</v>
      </c>
      <c r="E539" t="s">
        <v>256</v>
      </c>
      <c r="F539" s="5" t="s">
        <v>108</v>
      </c>
      <c r="G539" s="7">
        <v>413311</v>
      </c>
      <c r="H539" s="7" cm="1">
        <f t="array" ref="H539">_xlfn.IFS(B539=2015,L539*$P$3,B539=2016,L539*$P$4,B539=2017,L539*$P$5,B539=2018,L539*$P$6,B539=2019,L539*$P$7,B539=2020,L539*$P$8,B539=2021,L539*$P$9,B539=2022,L539*$P$10)</f>
        <v>8411.9381675979548</v>
      </c>
      <c r="I539" s="7">
        <f t="shared" si="19"/>
        <v>421722.93816759798</v>
      </c>
      <c r="J539">
        <f>IFERROR(VLOOKUP(F539,'LEAID Match'!$A$2:$B$227,2,FALSE),"")</f>
        <v>3800031</v>
      </c>
      <c r="K539">
        <f t="shared" si="18"/>
        <v>8</v>
      </c>
      <c r="L539" cm="1">
        <f t="array" ref="L539">_xlfn.IFS(B539=2015,G539/$P$13,B539=2016,G539/$P$14,B539=2017,G539/$P$15,B539=2018,G539/$P$16,B539=2019,G539/$P$17,B539=2019,G539/$P$18,B539=2020,G539/$P$18,B539=2021,G539/$P$19,B539=2022,G539/$P$20)</f>
        <v>4.11946041508225E-3</v>
      </c>
    </row>
    <row r="540" spans="1:12" x14ac:dyDescent="0.2">
      <c r="A540">
        <v>3809180</v>
      </c>
      <c r="B540">
        <v>2015</v>
      </c>
      <c r="C540" t="s">
        <v>252</v>
      </c>
      <c r="D540" t="s">
        <v>254</v>
      </c>
      <c r="E540" t="s">
        <v>256</v>
      </c>
      <c r="F540" s="5" t="s">
        <v>200</v>
      </c>
      <c r="G540" s="7">
        <v>142356</v>
      </c>
      <c r="H540" s="7" cm="1">
        <f t="array" ref="H540">_xlfn.IFS(B540=2015,L540*$P$3,B540=2016,L540*$P$4,B540=2017,L540*$P$5,B540=2018,L540*$P$6,B540=2019,L540*$P$7,B540=2020,L540*$P$8,B540=2021,L540*$P$9,B540=2022,L540*$P$10)</f>
        <v>3218.4446476184644</v>
      </c>
      <c r="I540" s="7">
        <f t="shared" si="19"/>
        <v>145574.44464761845</v>
      </c>
      <c r="J540">
        <f>IFERROR(VLOOKUP(F540,'LEAID Match'!$A$2:$B$227,2,FALSE),"")</f>
        <v>3809180</v>
      </c>
      <c r="K540">
        <f t="shared" si="18"/>
        <v>8</v>
      </c>
      <c r="L540" cm="1">
        <f t="array" ref="L540">_xlfn.IFS(B540=2015,G540/$P$13,B540=2016,G540/$P$14,B540=2017,G540/$P$15,B540=2018,G540/$P$16,B540=2019,G540/$P$17,B540=2019,G540/$P$18,B540=2020,G540/$P$18,B540=2021,G540/$P$19,B540=2022,G540/$P$20)</f>
        <v>1.815253608357848E-3</v>
      </c>
    </row>
    <row r="541" spans="1:12" x14ac:dyDescent="0.2">
      <c r="A541">
        <v>3809180</v>
      </c>
      <c r="B541">
        <v>2016</v>
      </c>
      <c r="C541" t="s">
        <v>252</v>
      </c>
      <c r="D541" t="s">
        <v>254</v>
      </c>
      <c r="E541" t="s">
        <v>256</v>
      </c>
      <c r="F541" s="5" t="s">
        <v>200</v>
      </c>
      <c r="G541" s="7">
        <v>147049</v>
      </c>
      <c r="H541" s="7" cm="1">
        <f t="array" ref="H541">_xlfn.IFS(B541=2015,L541*$P$3,B541=2016,L541*$P$4,B541=2017,L541*$P$5,B541=2018,L541*$P$6,B541=2019,L541*$P$7,B541=2020,L541*$P$8,B541=2021,L541*$P$9,B541=2022,L541*$P$10)</f>
        <v>4993.3508153211769</v>
      </c>
      <c r="I541" s="7">
        <f t="shared" si="19"/>
        <v>152042.35081532117</v>
      </c>
      <c r="J541">
        <f>IFERROR(VLOOKUP(F541,'LEAID Match'!$A$2:$B$227,2,FALSE),"")</f>
        <v>3809180</v>
      </c>
      <c r="K541">
        <f t="shared" si="18"/>
        <v>8</v>
      </c>
      <c r="L541" cm="1">
        <f t="array" ref="L541">_xlfn.IFS(B541=2015,G541/$P$13,B541=2016,G541/$P$14,B541=2017,G541/$P$15,B541=2018,G541/$P$16,B541=2019,G541/$P$17,B541=2019,G541/$P$18,B541=2020,G541/$P$18,B541=2021,G541/$P$19,B541=2022,G541/$P$20)</f>
        <v>1.7750980502385981E-3</v>
      </c>
    </row>
    <row r="542" spans="1:12" x14ac:dyDescent="0.2">
      <c r="A542">
        <v>3809180</v>
      </c>
      <c r="B542">
        <v>2017</v>
      </c>
      <c r="C542" t="s">
        <v>252</v>
      </c>
      <c r="D542" t="s">
        <v>254</v>
      </c>
      <c r="E542" t="s">
        <v>256</v>
      </c>
      <c r="F542" s="5" t="s">
        <v>200</v>
      </c>
      <c r="G542" s="7">
        <v>154578</v>
      </c>
      <c r="H542" s="7" cm="1">
        <f t="array" ref="H542">_xlfn.IFS(B542=2015,L542*$P$3,B542=2016,L542*$P$4,B542=2017,L542*$P$5,B542=2018,L542*$P$6,B542=2019,L542*$P$7,B542=2020,L542*$P$8,B542=2021,L542*$P$9,B542=2022,L542*$P$10)</f>
        <v>5009.5716695676074</v>
      </c>
      <c r="I542" s="7">
        <f t="shared" si="19"/>
        <v>159587.57166956761</v>
      </c>
      <c r="J542">
        <f>IFERROR(VLOOKUP(F542,'LEAID Match'!$A$2:$B$227,2,FALSE),"")</f>
        <v>3809180</v>
      </c>
      <c r="K542">
        <f t="shared" si="18"/>
        <v>8</v>
      </c>
      <c r="L542" cm="1">
        <f t="array" ref="L542">_xlfn.IFS(B542=2015,G542/$P$13,B542=2016,G542/$P$14,B542=2017,G542/$P$15,B542=2018,G542/$P$16,B542=2019,G542/$P$17,B542=2019,G542/$P$18,B542=2020,G542/$P$18,B542=2021,G542/$P$19,B542=2022,G542/$P$20)</f>
        <v>1.7961891966897122E-3</v>
      </c>
    </row>
    <row r="543" spans="1:12" x14ac:dyDescent="0.2">
      <c r="A543">
        <v>3809180</v>
      </c>
      <c r="B543" s="5">
        <v>2018</v>
      </c>
      <c r="C543" t="s">
        <v>252</v>
      </c>
      <c r="D543" t="s">
        <v>254</v>
      </c>
      <c r="E543" t="s">
        <v>256</v>
      </c>
      <c r="F543" s="5" t="s">
        <v>200</v>
      </c>
      <c r="G543" s="7">
        <v>152702</v>
      </c>
      <c r="H543" s="7" cm="1">
        <f t="array" ref="H543">_xlfn.IFS(B543=2015,L543*$P$3,B543=2016,L543*$P$4,B543=2017,L543*$P$5,B543=2018,L543*$P$6,B543=2019,L543*$P$7,B543=2020,L543*$P$8,B543=2021,L543*$P$9,B543=2022,L543*$P$10)</f>
        <v>4184.1857530896341</v>
      </c>
      <c r="I543" s="7">
        <f t="shared" si="19"/>
        <v>156886.18575308964</v>
      </c>
      <c r="J543">
        <f>IFERROR(VLOOKUP(F543,'LEAID Match'!$A$2:$B$227,2,FALSE),"")</f>
        <v>3809180</v>
      </c>
      <c r="K543">
        <f t="shared" si="18"/>
        <v>8</v>
      </c>
      <c r="L543" cm="1">
        <f t="array" ref="L543">_xlfn.IFS(B543=2015,G543/$P$13,B543=2016,G543/$P$14,B543=2017,G543/$P$15,B543=2018,G543/$P$16,B543=2019,G543/$P$17,B543=2019,G543/$P$18,B543=2020,G543/$P$18,B543=2021,G543/$P$19,B543=2022,G543/$P$20)</f>
        <v>1.7617624223535302E-3</v>
      </c>
    </row>
    <row r="544" spans="1:12" x14ac:dyDescent="0.2">
      <c r="A544">
        <v>3809180</v>
      </c>
      <c r="B544">
        <v>2019</v>
      </c>
      <c r="C544" t="s">
        <v>252</v>
      </c>
      <c r="D544" t="s">
        <v>254</v>
      </c>
      <c r="E544" t="s">
        <v>256</v>
      </c>
      <c r="F544" s="5" t="s">
        <v>200</v>
      </c>
      <c r="G544" s="7">
        <v>143054</v>
      </c>
      <c r="H544" s="7" cm="1">
        <f t="array" ref="H544">_xlfn.IFS(B544=2015,L544*$P$3,B544=2016,L544*$P$4,B544=2017,L544*$P$5,B544=2018,L544*$P$6,B544=2019,L544*$P$7,B544=2020,L544*$P$8,B544=2021,L544*$P$9,B544=2022,L544*$P$10)</f>
        <v>3320.2582864441206</v>
      </c>
      <c r="I544" s="7">
        <f t="shared" si="19"/>
        <v>146374.25828644412</v>
      </c>
      <c r="J544">
        <f>IFERROR(VLOOKUP(F544,'LEAID Match'!$A$2:$B$227,2,FALSE),"")</f>
        <v>3809180</v>
      </c>
      <c r="K544">
        <f t="shared" si="18"/>
        <v>8</v>
      </c>
      <c r="L544" cm="1">
        <f t="array" ref="L544">_xlfn.IFS(B544=2015,G544/$P$13,B544=2016,G544/$P$14,B544=2017,G544/$P$15,B544=2018,G544/$P$16,B544=2019,G544/$P$17,B544=2019,G544/$P$18,B544=2020,G544/$P$18,B544=2021,G544/$P$19,B544=2022,G544/$P$20)</f>
        <v>1.5993537025260696E-3</v>
      </c>
    </row>
    <row r="545" spans="1:12" x14ac:dyDescent="0.2">
      <c r="A545">
        <v>3809180</v>
      </c>
      <c r="B545">
        <v>2020</v>
      </c>
      <c r="C545" t="s">
        <v>252</v>
      </c>
      <c r="D545" t="s">
        <v>254</v>
      </c>
      <c r="E545" t="s">
        <v>256</v>
      </c>
      <c r="F545" s="5" t="s">
        <v>200</v>
      </c>
      <c r="G545" s="7">
        <v>150723</v>
      </c>
      <c r="H545" s="7" cm="1">
        <f t="array" ref="H545">_xlfn.IFS(B545=2015,L545*$P$3,B545=2016,L545*$P$4,B545=2017,L545*$P$5,B545=2018,L545*$P$6,B545=2019,L545*$P$7,B545=2020,L545*$P$8,B545=2021,L545*$P$9,B545=2022,L545*$P$10)</f>
        <v>3781.3413679771847</v>
      </c>
      <c r="I545" s="7">
        <f t="shared" si="19"/>
        <v>154504.34136797718</v>
      </c>
      <c r="J545">
        <f>IFERROR(VLOOKUP(F545,'LEAID Match'!$A$2:$B$227,2,FALSE),"")</f>
        <v>3809180</v>
      </c>
      <c r="K545">
        <f t="shared" si="18"/>
        <v>8</v>
      </c>
      <c r="L545" cm="1">
        <f t="array" ref="L545">_xlfn.IFS(B545=2015,G545/$P$13,B545=2016,G545/$P$14,B545=2017,G545/$P$15,B545=2018,G545/$P$16,B545=2019,G545/$P$17,B545=2019,G545/$P$18,B545=2020,G545/$P$18,B545=2021,G545/$P$19,B545=2022,G545/$P$20)</f>
        <v>1.6201119828522642E-3</v>
      </c>
    </row>
    <row r="546" spans="1:12" x14ac:dyDescent="0.2">
      <c r="A546">
        <v>3809180</v>
      </c>
      <c r="B546" s="5">
        <v>2021</v>
      </c>
      <c r="C546" t="s">
        <v>252</v>
      </c>
      <c r="D546" t="s">
        <v>254</v>
      </c>
      <c r="E546" t="s">
        <v>256</v>
      </c>
      <c r="F546" s="5" t="s">
        <v>200</v>
      </c>
      <c r="G546" s="7">
        <v>154193</v>
      </c>
      <c r="H546" s="7" cm="1">
        <f t="array" ref="H546">_xlfn.IFS(B546=2015,L546*$P$3,B546=2016,L546*$P$4,B546=2017,L546*$P$5,B546=2018,L546*$P$6,B546=2019,L546*$P$7,B546=2020,L546*$P$8,B546=2021,L546*$P$9,B546=2022,L546*$P$10)</f>
        <v>4213.2147793470185</v>
      </c>
      <c r="I546" s="7">
        <f t="shared" si="19"/>
        <v>158406.21477934701</v>
      </c>
      <c r="J546">
        <f>IFERROR(VLOOKUP(F546,'LEAID Match'!$A$2:$B$227,2,FALSE),"")</f>
        <v>3809180</v>
      </c>
      <c r="K546">
        <f t="shared" si="18"/>
        <v>8</v>
      </c>
      <c r="L546" cm="1">
        <f t="array" ref="L546">_xlfn.IFS(B546=2015,G546/$P$13,B546=2016,G546/$P$14,B546=2017,G546/$P$15,B546=2018,G546/$P$16,B546=2019,G546/$P$17,B546=2019,G546/$P$18,B546=2020,G546/$P$18,B546=2021,G546/$P$19,B546=2022,G546/$P$20)</f>
        <v>1.5691675155854819E-3</v>
      </c>
    </row>
    <row r="547" spans="1:12" x14ac:dyDescent="0.2">
      <c r="A547">
        <v>3809180</v>
      </c>
      <c r="B547">
        <v>2022</v>
      </c>
      <c r="C547" t="s">
        <v>252</v>
      </c>
      <c r="D547" t="s">
        <v>254</v>
      </c>
      <c r="E547" t="s">
        <v>256</v>
      </c>
      <c r="F547" s="5" t="s">
        <v>200</v>
      </c>
      <c r="G547" s="7">
        <v>147271</v>
      </c>
      <c r="H547" s="7" cm="1">
        <f t="array" ref="H547">_xlfn.IFS(B547=2015,L547*$P$3,B547=2016,L547*$P$4,B547=2017,L547*$P$5,B547=2018,L547*$P$6,B547=2019,L547*$P$7,B547=2020,L547*$P$8,B547=2021,L547*$P$9,B547=2022,L547*$P$10)</f>
        <v>2997.3423061092453</v>
      </c>
      <c r="I547" s="7">
        <f t="shared" si="19"/>
        <v>150268.34230610923</v>
      </c>
      <c r="J547">
        <f>IFERROR(VLOOKUP(F547,'LEAID Match'!$A$2:$B$227,2,FALSE),"")</f>
        <v>3809180</v>
      </c>
      <c r="K547">
        <f t="shared" si="18"/>
        <v>8</v>
      </c>
      <c r="L547" cm="1">
        <f t="array" ref="L547">_xlfn.IFS(B547=2015,G547/$P$13,B547=2016,G547/$P$14,B547=2017,G547/$P$15,B547=2018,G547/$P$16,B547=2019,G547/$P$17,B547=2019,G547/$P$18,B547=2020,G547/$P$18,B547=2021,G547/$P$19,B547=2022,G547/$P$20)</f>
        <v>1.4678463790936559E-3</v>
      </c>
    </row>
    <row r="548" spans="1:12" x14ac:dyDescent="0.2">
      <c r="A548">
        <v>3809410</v>
      </c>
      <c r="B548">
        <v>2015</v>
      </c>
      <c r="C548" t="s">
        <v>252</v>
      </c>
      <c r="D548" t="s">
        <v>254</v>
      </c>
      <c r="E548" t="s">
        <v>256</v>
      </c>
      <c r="F548" s="5" t="s">
        <v>0</v>
      </c>
      <c r="G548" s="7">
        <v>187484</v>
      </c>
      <c r="H548" s="7" cm="1">
        <f t="array" ref="H548">_xlfn.IFS(B548=2015,L548*$P$3,B548=2016,L548*$P$4,B548=2017,L548*$P$5,B548=2018,L548*$P$6,B548=2019,L548*$P$7,B548=2020,L548*$P$8,B548=2021,L548*$P$9,B548=2022,L548*$P$10)</f>
        <v>4238.7175553829857</v>
      </c>
      <c r="I548" s="7">
        <f t="shared" si="19"/>
        <v>191722.71755538299</v>
      </c>
      <c r="J548">
        <f>IFERROR(VLOOKUP(F548,'LEAID Match'!$A$2:$B$227,2,FALSE),"")</f>
        <v>3809410</v>
      </c>
      <c r="K548">
        <f t="shared" si="18"/>
        <v>8</v>
      </c>
      <c r="L548" cm="1">
        <f t="array" ref="L548">_xlfn.IFS(B548=2015,G548/$P$13,B548=2016,G548/$P$14,B548=2017,G548/$P$15,B548=2018,G548/$P$16,B548=2019,G548/$P$17,B548=2019,G548/$P$18,B548=2020,G548/$P$18,B548=2021,G548/$P$19,B548=2022,G548/$P$20)</f>
        <v>2.3907036409379499E-3</v>
      </c>
    </row>
    <row r="549" spans="1:12" x14ac:dyDescent="0.2">
      <c r="A549">
        <v>3809410</v>
      </c>
      <c r="B549">
        <v>2016</v>
      </c>
      <c r="C549" t="s">
        <v>252</v>
      </c>
      <c r="D549" t="s">
        <v>254</v>
      </c>
      <c r="E549" t="s">
        <v>256</v>
      </c>
      <c r="F549" s="5" t="s">
        <v>0</v>
      </c>
      <c r="G549" s="7">
        <v>182701</v>
      </c>
      <c r="H549" s="7" cm="1">
        <f t="array" ref="H549">_xlfn.IFS(B549=2015,L549*$P$3,B549=2016,L549*$P$4,B549=2017,L549*$P$5,B549=2018,L549*$P$6,B549=2019,L549*$P$7,B549=2020,L549*$P$8,B549=2021,L549*$P$9,B549=2022,L549*$P$10)</f>
        <v>6203.9877000863262</v>
      </c>
      <c r="I549" s="7">
        <f t="shared" si="19"/>
        <v>188904.98770008632</v>
      </c>
      <c r="J549">
        <f>IFERROR(VLOOKUP(F549,'LEAID Match'!$A$2:$B$227,2,FALSE),"")</f>
        <v>3809410</v>
      </c>
      <c r="K549">
        <f t="shared" si="18"/>
        <v>8</v>
      </c>
      <c r="L549" cm="1">
        <f t="array" ref="L549">_xlfn.IFS(B549=2015,G549/$P$13,B549=2016,G549/$P$14,B549=2017,G549/$P$15,B549=2018,G549/$P$16,B549=2019,G549/$P$17,B549=2019,G549/$P$18,B549=2020,G549/$P$18,B549=2021,G549/$P$19,B549=2022,G549/$P$20)</f>
        <v>2.2054702097711789E-3</v>
      </c>
    </row>
    <row r="550" spans="1:12" x14ac:dyDescent="0.2">
      <c r="A550">
        <v>3809410</v>
      </c>
      <c r="B550">
        <v>2017</v>
      </c>
      <c r="C550" t="s">
        <v>252</v>
      </c>
      <c r="D550" t="s">
        <v>254</v>
      </c>
      <c r="E550" t="s">
        <v>256</v>
      </c>
      <c r="F550" s="5" t="s">
        <v>0</v>
      </c>
      <c r="G550" s="7">
        <v>179871</v>
      </c>
      <c r="H550" s="7" cm="1">
        <f t="array" ref="H550">_xlfn.IFS(B550=2015,L550*$P$3,B550=2016,L550*$P$4,B550=2017,L550*$P$5,B550=2018,L550*$P$6,B550=2019,L550*$P$7,B550=2020,L550*$P$8,B550=2021,L550*$P$9,B550=2022,L550*$P$10)</f>
        <v>5829.2684973074765</v>
      </c>
      <c r="I550" s="7">
        <f t="shared" si="19"/>
        <v>185700.26849730746</v>
      </c>
      <c r="J550">
        <f>IFERROR(VLOOKUP(F550,'LEAID Match'!$A$2:$B$227,2,FALSE),"")</f>
        <v>3809410</v>
      </c>
      <c r="K550">
        <f t="shared" si="18"/>
        <v>8</v>
      </c>
      <c r="L550" cm="1">
        <f t="array" ref="L550">_xlfn.IFS(B550=2015,G550/$P$13,B550=2016,G550/$P$14,B550=2017,G550/$P$15,B550=2018,G550/$P$16,B550=2019,G550/$P$17,B550=2019,G550/$P$18,B550=2020,G550/$P$18,B550=2021,G550/$P$19,B550=2022,G550/$P$20)</f>
        <v>2.0900926845849681E-3</v>
      </c>
    </row>
    <row r="551" spans="1:12" x14ac:dyDescent="0.2">
      <c r="A551">
        <v>3809410</v>
      </c>
      <c r="B551" s="5">
        <v>2018</v>
      </c>
      <c r="C551" t="s">
        <v>252</v>
      </c>
      <c r="D551" t="s">
        <v>254</v>
      </c>
      <c r="E551" t="s">
        <v>256</v>
      </c>
      <c r="F551" s="5" t="s">
        <v>0</v>
      </c>
      <c r="G551" s="7">
        <v>176550</v>
      </c>
      <c r="H551" s="7" cm="1">
        <f t="array" ref="H551">_xlfn.IFS(B551=2015,L551*$P$3,B551=2016,L551*$P$4,B551=2017,L551*$P$5,B551=2018,L551*$P$6,B551=2019,L551*$P$7,B551=2020,L551*$P$8,B551=2021,L551*$P$9,B551=2022,L551*$P$10)</f>
        <v>4837.6445279562477</v>
      </c>
      <c r="I551" s="7">
        <f t="shared" si="19"/>
        <v>181387.64452795626</v>
      </c>
      <c r="J551">
        <f>IFERROR(VLOOKUP(F551,'LEAID Match'!$A$2:$B$227,2,FALSE),"")</f>
        <v>3809410</v>
      </c>
      <c r="K551">
        <f t="shared" si="18"/>
        <v>8</v>
      </c>
      <c r="L551" cm="1">
        <f t="array" ref="L551">_xlfn.IFS(B551=2015,G551/$P$13,B551=2016,G551/$P$14,B551=2017,G551/$P$15,B551=2018,G551/$P$16,B551=2019,G551/$P$17,B551=2019,G551/$P$18,B551=2020,G551/$P$18,B551=2021,G551/$P$19,B551=2022,G551/$P$20)</f>
        <v>2.0369029591394729E-3</v>
      </c>
    </row>
    <row r="552" spans="1:12" x14ac:dyDescent="0.2">
      <c r="A552">
        <v>3809410</v>
      </c>
      <c r="B552">
        <v>2019</v>
      </c>
      <c r="C552" t="s">
        <v>252</v>
      </c>
      <c r="D552" t="s">
        <v>254</v>
      </c>
      <c r="E552" t="s">
        <v>256</v>
      </c>
      <c r="F552" s="5" t="s">
        <v>0</v>
      </c>
      <c r="G552" s="7">
        <v>175779</v>
      </c>
      <c r="H552" s="7" cm="1">
        <f t="array" ref="H552">_xlfn.IFS(B552=2015,L552*$P$3,B552=2016,L552*$P$4,B552=2017,L552*$P$5,B552=2018,L552*$P$6,B552=2019,L552*$P$7,B552=2020,L552*$P$8,B552=2021,L552*$P$9,B552=2022,L552*$P$10)</f>
        <v>4079.7998051984641</v>
      </c>
      <c r="I552" s="7">
        <f t="shared" si="19"/>
        <v>179858.79980519848</v>
      </c>
      <c r="J552">
        <f>IFERROR(VLOOKUP(F552,'LEAID Match'!$A$2:$B$227,2,FALSE),"")</f>
        <v>3809410</v>
      </c>
      <c r="K552">
        <f t="shared" si="18"/>
        <v>8</v>
      </c>
      <c r="L552" cm="1">
        <f t="array" ref="L552">_xlfn.IFS(B552=2015,G552/$P$13,B552=2016,G552/$P$14,B552=2017,G552/$P$15,B552=2018,G552/$P$16,B552=2019,G552/$P$17,B552=2019,G552/$P$18,B552=2020,G552/$P$18,B552=2021,G552/$P$19,B552=2022,G552/$P$20)</f>
        <v>1.9652214861264278E-3</v>
      </c>
    </row>
    <row r="553" spans="1:12" x14ac:dyDescent="0.2">
      <c r="A553">
        <v>3809410</v>
      </c>
      <c r="B553">
        <v>2020</v>
      </c>
      <c r="C553" t="s">
        <v>252</v>
      </c>
      <c r="D553" t="s">
        <v>254</v>
      </c>
      <c r="E553" t="s">
        <v>256</v>
      </c>
      <c r="F553" s="5" t="s">
        <v>0</v>
      </c>
      <c r="G553" s="7">
        <v>184381</v>
      </c>
      <c r="H553" s="7" cm="1">
        <f t="array" ref="H553">_xlfn.IFS(B553=2015,L553*$P$3,B553=2016,L553*$P$4,B553=2017,L553*$P$5,B553=2018,L553*$P$6,B553=2019,L553*$P$7,B553=2020,L553*$P$8,B553=2021,L553*$P$9,B553=2022,L553*$P$10)</f>
        <v>4625.7538847355827</v>
      </c>
      <c r="I553" s="7">
        <f t="shared" si="19"/>
        <v>189006.75388473558</v>
      </c>
      <c r="J553">
        <f>IFERROR(VLOOKUP(F553,'LEAID Match'!$A$2:$B$227,2,FALSE),"")</f>
        <v>3809410</v>
      </c>
      <c r="K553">
        <f t="shared" si="18"/>
        <v>8</v>
      </c>
      <c r="L553" cm="1">
        <f t="array" ref="L553">_xlfn.IFS(B553=2015,G553/$P$13,B553=2016,G553/$P$14,B553=2017,G553/$P$15,B553=2018,G553/$P$16,B553=2019,G553/$P$17,B553=2019,G553/$P$18,B553=2020,G553/$P$18,B553=2021,G553/$P$19,B553=2022,G553/$P$20)</f>
        <v>1.9818996935456654E-3</v>
      </c>
    </row>
    <row r="554" spans="1:12" x14ac:dyDescent="0.2">
      <c r="A554">
        <v>3809410</v>
      </c>
      <c r="B554" s="5">
        <v>2021</v>
      </c>
      <c r="C554" t="s">
        <v>252</v>
      </c>
      <c r="D554" t="s">
        <v>254</v>
      </c>
      <c r="E554" t="s">
        <v>256</v>
      </c>
      <c r="F554" s="5" t="s">
        <v>0</v>
      </c>
      <c r="G554" s="7">
        <v>190733</v>
      </c>
      <c r="H554" s="7" cm="1">
        <f t="array" ref="H554">_xlfn.IFS(B554=2015,L554*$P$3,B554=2016,L554*$P$4,B554=2017,L554*$P$5,B554=2018,L554*$P$6,B554=2019,L554*$P$7,B554=2020,L554*$P$8,B554=2021,L554*$P$9,B554=2022,L554*$P$10)</f>
        <v>5211.64446187048</v>
      </c>
      <c r="I554" s="7">
        <f t="shared" si="19"/>
        <v>195944.64446187048</v>
      </c>
      <c r="J554">
        <f>IFERROR(VLOOKUP(F554,'LEAID Match'!$A$2:$B$227,2,FALSE),"")</f>
        <v>3809410</v>
      </c>
      <c r="K554">
        <f t="shared" si="18"/>
        <v>8</v>
      </c>
      <c r="L554" cm="1">
        <f t="array" ref="L554">_xlfn.IFS(B554=2015,G554/$P$13,B554=2016,G554/$P$14,B554=2017,G554/$P$15,B554=2018,G554/$P$16,B554=2019,G554/$P$17,B554=2019,G554/$P$18,B554=2020,G554/$P$18,B554=2021,G554/$P$19,B554=2022,G554/$P$20)</f>
        <v>1.9410221459480372E-3</v>
      </c>
    </row>
    <row r="555" spans="1:12" x14ac:dyDescent="0.2">
      <c r="A555">
        <v>3809410</v>
      </c>
      <c r="B555">
        <v>2022</v>
      </c>
      <c r="C555" t="s">
        <v>252</v>
      </c>
      <c r="D555" t="s">
        <v>254</v>
      </c>
      <c r="E555" t="s">
        <v>256</v>
      </c>
      <c r="F555" s="5" t="s">
        <v>0</v>
      </c>
      <c r="G555" s="7">
        <v>197744</v>
      </c>
      <c r="H555" s="7" cm="1">
        <f t="array" ref="H555">_xlfn.IFS(B555=2015,L555*$P$3,B555=2016,L555*$P$4,B555=2017,L555*$P$5,B555=2018,L555*$P$6,B555=2019,L555*$P$7,B555=2020,L555*$P$8,B555=2021,L555*$P$9,B555=2022,L555*$P$10)</f>
        <v>4024.5972185920286</v>
      </c>
      <c r="I555" s="7">
        <f t="shared" si="19"/>
        <v>201768.59721859204</v>
      </c>
      <c r="J555">
        <f>IFERROR(VLOOKUP(F555,'LEAID Match'!$A$2:$B$227,2,FALSE),"")</f>
        <v>3809410</v>
      </c>
      <c r="K555">
        <f t="shared" si="18"/>
        <v>8</v>
      </c>
      <c r="L555" cm="1">
        <f t="array" ref="L555">_xlfn.IFS(B555=2015,G555/$P$13,B555=2016,G555/$P$14,B555=2017,G555/$P$15,B555=2018,G555/$P$16,B555=2019,G555/$P$17,B555=2019,G555/$P$18,B555=2020,G555/$P$18,B555=2021,G555/$P$19,B555=2022,G555/$P$20)</f>
        <v>1.9709095095945292E-3</v>
      </c>
    </row>
    <row r="556" spans="1:12" x14ac:dyDescent="0.2">
      <c r="A556">
        <v>3809570</v>
      </c>
      <c r="B556">
        <v>2015</v>
      </c>
      <c r="C556" t="s">
        <v>252</v>
      </c>
      <c r="D556" t="s">
        <v>254</v>
      </c>
      <c r="E556" t="s">
        <v>256</v>
      </c>
      <c r="F556" s="5" t="s">
        <v>2</v>
      </c>
      <c r="G556" s="7">
        <v>297648</v>
      </c>
      <c r="H556" s="7" cm="1">
        <f t="array" ref="H556">_xlfn.IFS(B556=2015,L556*$P$3,B556=2016,L556*$P$4,B556=2017,L556*$P$5,B556=2018,L556*$P$6,B556=2019,L556*$P$7,B556=2020,L556*$P$8,B556=2021,L556*$P$9,B556=2022,L556*$P$10)</f>
        <v>6729.3518536228939</v>
      </c>
      <c r="I556" s="7">
        <f t="shared" si="19"/>
        <v>304377.35185362288</v>
      </c>
      <c r="J556">
        <f>IFERROR(VLOOKUP(F556,'LEAID Match'!$A$2:$B$227,2,FALSE),"")</f>
        <v>3809570</v>
      </c>
      <c r="K556">
        <f t="shared" si="18"/>
        <v>8</v>
      </c>
      <c r="L556" cm="1">
        <f t="array" ref="L556">_xlfn.IFS(B556=2015,G556/$P$13,B556=2016,G556/$P$14,B556=2017,G556/$P$15,B556=2018,G556/$P$16,B556=2019,G556/$P$17,B556=2019,G556/$P$18,B556=2020,G556/$P$18,B556=2021,G556/$P$19,B556=2022,G556/$P$20)</f>
        <v>3.795460718343426E-3</v>
      </c>
    </row>
    <row r="557" spans="1:12" x14ac:dyDescent="0.2">
      <c r="A557">
        <v>3809570</v>
      </c>
      <c r="B557">
        <v>2016</v>
      </c>
      <c r="C557" t="s">
        <v>252</v>
      </c>
      <c r="D557" t="s">
        <v>254</v>
      </c>
      <c r="E557" t="s">
        <v>256</v>
      </c>
      <c r="F557" s="5" t="s">
        <v>2</v>
      </c>
      <c r="G557" s="7">
        <v>313267</v>
      </c>
      <c r="H557" s="7" cm="1">
        <f t="array" ref="H557">_xlfn.IFS(B557=2015,L557*$P$3,B557=2016,L557*$P$4,B557=2017,L557*$P$5,B557=2018,L557*$P$6,B557=2019,L557*$P$7,B557=2020,L557*$P$8,B557=2021,L557*$P$9,B557=2022,L557*$P$10)</f>
        <v>10637.624396379568</v>
      </c>
      <c r="I557" s="7">
        <f t="shared" si="19"/>
        <v>323904.62439637957</v>
      </c>
      <c r="J557">
        <f>IFERROR(VLOOKUP(F557,'LEAID Match'!$A$2:$B$227,2,FALSE),"")</f>
        <v>3809570</v>
      </c>
      <c r="K557">
        <f t="shared" si="18"/>
        <v>8</v>
      </c>
      <c r="L557" cm="1">
        <f t="array" ref="L557">_xlfn.IFS(B557=2015,G557/$P$13,B557=2016,G557/$P$14,B557=2017,G557/$P$15,B557=2018,G557/$P$16,B557=2019,G557/$P$17,B557=2019,G557/$P$18,B557=2020,G557/$P$18,B557=2021,G557/$P$19,B557=2022,G557/$P$20)</f>
        <v>3.7815941686383104E-3</v>
      </c>
    </row>
    <row r="558" spans="1:12" x14ac:dyDescent="0.2">
      <c r="A558">
        <v>3809570</v>
      </c>
      <c r="B558">
        <v>2017</v>
      </c>
      <c r="C558" t="s">
        <v>252</v>
      </c>
      <c r="D558" t="s">
        <v>254</v>
      </c>
      <c r="E558" t="s">
        <v>256</v>
      </c>
      <c r="F558" s="5" t="s">
        <v>2</v>
      </c>
      <c r="G558" s="7">
        <v>329441</v>
      </c>
      <c r="H558" s="7" cm="1">
        <f t="array" ref="H558">_xlfn.IFS(B558=2015,L558*$P$3,B558=2016,L558*$P$4,B558=2017,L558*$P$5,B558=2018,L558*$P$6,B558=2019,L558*$P$7,B558=2020,L558*$P$8,B558=2021,L558*$P$9,B558=2022,L558*$P$10)</f>
        <v>10676.5406486953</v>
      </c>
      <c r="I558" s="7">
        <f t="shared" si="19"/>
        <v>340117.54064869531</v>
      </c>
      <c r="J558">
        <f>IFERROR(VLOOKUP(F558,'LEAID Match'!$A$2:$B$227,2,FALSE),"")</f>
        <v>3809570</v>
      </c>
      <c r="K558">
        <f t="shared" si="18"/>
        <v>8</v>
      </c>
      <c r="L558" cm="1">
        <f t="array" ref="L558">_xlfn.IFS(B558=2015,G558/$P$13,B558=2016,G558/$P$14,B558=2017,G558/$P$15,B558=2018,G558/$P$16,B558=2019,G558/$P$17,B558=2019,G558/$P$18,B558=2020,G558/$P$18,B558=2021,G558/$P$19,B558=2022,G558/$P$20)</f>
        <v>3.8280891533507711E-3</v>
      </c>
    </row>
    <row r="559" spans="1:12" x14ac:dyDescent="0.2">
      <c r="A559">
        <v>3809570</v>
      </c>
      <c r="B559" s="5">
        <v>2018</v>
      </c>
      <c r="C559" t="s">
        <v>252</v>
      </c>
      <c r="D559" t="s">
        <v>254</v>
      </c>
      <c r="E559" t="s">
        <v>256</v>
      </c>
      <c r="F559" s="5" t="s">
        <v>2</v>
      </c>
      <c r="G559" s="7">
        <v>337177</v>
      </c>
      <c r="H559" s="7" cm="1">
        <f t="array" ref="H559">_xlfn.IFS(B559=2015,L559*$P$3,B559=2016,L559*$P$4,B559=2017,L559*$P$5,B559=2018,L559*$P$6,B559=2019,L559*$P$7,B559=2020,L559*$P$8,B559=2021,L559*$P$9,B559=2022,L559*$P$10)</f>
        <v>9238.9831152801125</v>
      </c>
      <c r="I559" s="7">
        <f t="shared" si="19"/>
        <v>346415.98311528011</v>
      </c>
      <c r="J559">
        <f>IFERROR(VLOOKUP(F559,'LEAID Match'!$A$2:$B$227,2,FALSE),"")</f>
        <v>3809570</v>
      </c>
      <c r="K559">
        <f t="shared" si="18"/>
        <v>8</v>
      </c>
      <c r="L559" cm="1">
        <f t="array" ref="L559">_xlfn.IFS(B559=2015,G559/$P$13,B559=2016,G559/$P$14,B559=2017,G559/$P$15,B559=2018,G559/$P$16,B559=2019,G559/$P$17,B559=2019,G559/$P$18,B559=2020,G559/$P$18,B559=2021,G559/$P$19,B559=2022,G559/$P$20)</f>
        <v>3.8900981538021527E-3</v>
      </c>
    </row>
    <row r="560" spans="1:12" x14ac:dyDescent="0.2">
      <c r="A560">
        <v>3809570</v>
      </c>
      <c r="B560">
        <v>2019</v>
      </c>
      <c r="C560" t="s">
        <v>252</v>
      </c>
      <c r="D560" t="s">
        <v>254</v>
      </c>
      <c r="E560" t="s">
        <v>256</v>
      </c>
      <c r="F560" s="5" t="s">
        <v>2</v>
      </c>
      <c r="G560" s="7">
        <v>337485</v>
      </c>
      <c r="H560" s="7" cm="1">
        <f t="array" ref="H560">_xlfn.IFS(B560=2015,L560*$P$3,B560=2016,L560*$P$4,B560=2017,L560*$P$5,B560=2018,L560*$P$6,B560=2019,L560*$P$7,B560=2020,L560*$P$8,B560=2021,L560*$P$9,B560=2022,L560*$P$10)</f>
        <v>7832.9677450514773</v>
      </c>
      <c r="I560" s="7">
        <f t="shared" si="19"/>
        <v>345317.96774505149</v>
      </c>
      <c r="J560">
        <f>IFERROR(VLOOKUP(F560,'LEAID Match'!$A$2:$B$227,2,FALSE),"")</f>
        <v>3809570</v>
      </c>
      <c r="K560">
        <f t="shared" si="18"/>
        <v>8</v>
      </c>
      <c r="L560" cm="1">
        <f t="array" ref="L560">_xlfn.IFS(B560=2015,G560/$P$13,B560=2016,G560/$P$14,B560=2017,G560/$P$15,B560=2018,G560/$P$16,B560=2019,G560/$P$17,B560=2019,G560/$P$18,B560=2020,G560/$P$18,B560=2021,G560/$P$19,B560=2022,G560/$P$20)</f>
        <v>3.7731058502174747E-3</v>
      </c>
    </row>
    <row r="561" spans="1:12" x14ac:dyDescent="0.2">
      <c r="A561">
        <v>3809570</v>
      </c>
      <c r="B561">
        <v>2020</v>
      </c>
      <c r="C561" t="s">
        <v>252</v>
      </c>
      <c r="D561" t="s">
        <v>254</v>
      </c>
      <c r="E561" t="s">
        <v>256</v>
      </c>
      <c r="F561" s="5" t="s">
        <v>2</v>
      </c>
      <c r="G561" s="7">
        <v>338876</v>
      </c>
      <c r="H561" s="7" cm="1">
        <f t="array" ref="H561">_xlfn.IFS(B561=2015,L561*$P$3,B561=2016,L561*$P$4,B561=2017,L561*$P$5,B561=2018,L561*$P$6,B561=2019,L561*$P$7,B561=2020,L561*$P$8,B561=2021,L561*$P$9,B561=2022,L561*$P$10)</f>
        <v>8501.7272573836544</v>
      </c>
      <c r="I561" s="7">
        <f t="shared" si="19"/>
        <v>347377.72725738364</v>
      </c>
      <c r="J561">
        <f>IFERROR(VLOOKUP(F561,'LEAID Match'!$A$2:$B$227,2,FALSE),"")</f>
        <v>3809570</v>
      </c>
      <c r="K561">
        <f t="shared" si="18"/>
        <v>8</v>
      </c>
      <c r="L561" cm="1">
        <f t="array" ref="L561">_xlfn.IFS(B561=2015,G561/$P$13,B561=2016,G561/$P$14,B561=2017,G561/$P$15,B561=2018,G561/$P$16,B561=2019,G561/$P$17,B561=2019,G561/$P$18,B561=2020,G561/$P$18,B561=2021,G561/$P$19,B561=2022,G561/$P$20)</f>
        <v>3.6425566655456957E-3</v>
      </c>
    </row>
    <row r="562" spans="1:12" x14ac:dyDescent="0.2">
      <c r="A562">
        <v>3809570</v>
      </c>
      <c r="B562" s="5">
        <v>2021</v>
      </c>
      <c r="C562" t="s">
        <v>252</v>
      </c>
      <c r="D562" t="s">
        <v>254</v>
      </c>
      <c r="E562" t="s">
        <v>256</v>
      </c>
      <c r="F562" s="5" t="s">
        <v>2</v>
      </c>
      <c r="G562" s="7">
        <v>365770</v>
      </c>
      <c r="H562" s="7" cm="1">
        <f t="array" ref="H562">_xlfn.IFS(B562=2015,L562*$P$3,B562=2016,L562*$P$4,B562=2017,L562*$P$5,B562=2018,L562*$P$6,B562=2019,L562*$P$7,B562=2020,L562*$P$8,B562=2021,L562*$P$9,B562=2022,L562*$P$10)</f>
        <v>9994.4068138096991</v>
      </c>
      <c r="I562" s="7">
        <f t="shared" si="19"/>
        <v>375764.40681380971</v>
      </c>
      <c r="J562">
        <f>IFERROR(VLOOKUP(F562,'LEAID Match'!$A$2:$B$227,2,FALSE),"")</f>
        <v>3809570</v>
      </c>
      <c r="K562">
        <f t="shared" si="18"/>
        <v>8</v>
      </c>
      <c r="L562" cm="1">
        <f t="array" ref="L562">_xlfn.IFS(B562=2015,G562/$P$13,B562=2016,G562/$P$14,B562=2017,G562/$P$15,B562=2018,G562/$P$16,B562=2019,G562/$P$17,B562=2019,G562/$P$18,B562=2020,G562/$P$18,B562=2021,G562/$P$19,B562=2022,G562/$P$20)</f>
        <v>3.722311662498957E-3</v>
      </c>
    </row>
    <row r="563" spans="1:12" x14ac:dyDescent="0.2">
      <c r="A563">
        <v>3809570</v>
      </c>
      <c r="B563">
        <v>2022</v>
      </c>
      <c r="C563" t="s">
        <v>252</v>
      </c>
      <c r="D563" t="s">
        <v>254</v>
      </c>
      <c r="E563" t="s">
        <v>256</v>
      </c>
      <c r="F563" s="5" t="s">
        <v>2</v>
      </c>
      <c r="G563" s="7">
        <v>377372</v>
      </c>
      <c r="H563" s="7" cm="1">
        <f t="array" ref="H563">_xlfn.IFS(B563=2015,L563*$P$3,B563=2016,L563*$P$4,B563=2017,L563*$P$5,B563=2018,L563*$P$6,B563=2019,L563*$P$7,B563=2020,L563*$P$8,B563=2021,L563*$P$9,B563=2022,L563*$P$10)</f>
        <v>7680.4874058100932</v>
      </c>
      <c r="I563" s="7">
        <f t="shared" si="19"/>
        <v>385052.4874058101</v>
      </c>
      <c r="J563">
        <f>IFERROR(VLOOKUP(F563,'LEAID Match'!$A$2:$B$227,2,FALSE),"")</f>
        <v>3809570</v>
      </c>
      <c r="K563">
        <f t="shared" si="18"/>
        <v>8</v>
      </c>
      <c r="L563" cm="1">
        <f t="array" ref="L563">_xlfn.IFS(B563=2015,G563/$P$13,B563=2016,G563/$P$14,B563=2017,G563/$P$15,B563=2018,G563/$P$16,B563=2019,G563/$P$17,B563=2019,G563/$P$18,B563=2020,G563/$P$18,B563=2021,G563/$P$19,B563=2022,G563/$P$20)</f>
        <v>3.7612572996131698E-3</v>
      </c>
    </row>
    <row r="564" spans="1:12" x14ac:dyDescent="0.2">
      <c r="A564">
        <v>3809710</v>
      </c>
      <c r="B564">
        <v>2015</v>
      </c>
      <c r="C564" t="s">
        <v>252</v>
      </c>
      <c r="D564" t="s">
        <v>254</v>
      </c>
      <c r="E564" t="s">
        <v>256</v>
      </c>
      <c r="F564" s="5" t="s">
        <v>3</v>
      </c>
      <c r="G564" s="7">
        <v>76000</v>
      </c>
      <c r="H564" s="7" cm="1">
        <f t="array" ref="H564">_xlfn.IFS(B564=2015,L564*$P$3,B564=2016,L564*$P$4,B564=2017,L564*$P$5,B564=2018,L564*$P$6,B564=2019,L564*$P$7,B564=2020,L564*$P$8,B564=2021,L564*$P$9,B564=2022,L564*$P$10)</f>
        <v>1718.2401389404263</v>
      </c>
      <c r="I564" s="7">
        <f t="shared" si="19"/>
        <v>77718.240138940426</v>
      </c>
      <c r="J564">
        <f>IFERROR(VLOOKUP(F564,'LEAID Match'!$A$2:$B$227,2,FALSE),"")</f>
        <v>3809710</v>
      </c>
      <c r="K564">
        <f t="shared" si="18"/>
        <v>7</v>
      </c>
      <c r="L564" cm="1">
        <f t="array" ref="L564">_xlfn.IFS(B564=2015,G564/$P$13,B564=2016,G564/$P$14,B564=2017,G564/$P$15,B564=2018,G564/$P$16,B564=2019,G564/$P$17,B564=2019,G564/$P$18,B564=2020,G564/$P$18,B564=2021,G564/$P$19,B564=2022,G564/$P$20)</f>
        <v>9.6911457357046042E-4</v>
      </c>
    </row>
    <row r="565" spans="1:12" x14ac:dyDescent="0.2">
      <c r="A565">
        <v>3809710</v>
      </c>
      <c r="B565">
        <v>2016</v>
      </c>
      <c r="C565" t="s">
        <v>252</v>
      </c>
      <c r="D565" t="s">
        <v>254</v>
      </c>
      <c r="E565" t="s">
        <v>256</v>
      </c>
      <c r="F565" s="5" t="s">
        <v>3</v>
      </c>
      <c r="G565" s="7">
        <v>85624</v>
      </c>
      <c r="H565" s="7" cm="1">
        <f t="array" ref="H565">_xlfn.IFS(B565=2015,L565*$P$3,B565=2016,L565*$P$4,B565=2017,L565*$P$5,B565=2018,L565*$P$6,B565=2019,L565*$P$7,B565=2020,L565*$P$8,B565=2021,L565*$P$9,B565=2022,L565*$P$10)</f>
        <v>2907.538781025783</v>
      </c>
      <c r="I565" s="7">
        <f t="shared" si="19"/>
        <v>88531.538781025782</v>
      </c>
      <c r="J565">
        <f>IFERROR(VLOOKUP(F565,'LEAID Match'!$A$2:$B$227,2,FALSE),"")</f>
        <v>3809710</v>
      </c>
      <c r="K565">
        <f t="shared" si="18"/>
        <v>7</v>
      </c>
      <c r="L565" cm="1">
        <f t="array" ref="L565">_xlfn.IFS(B565=2015,G565/$P$13,B565=2016,G565/$P$14,B565=2017,G565/$P$15,B565=2018,G565/$P$16,B565=2019,G565/$P$17,B565=2019,G565/$P$18,B565=2020,G565/$P$18,B565=2021,G565/$P$19,B565=2022,G565/$P$20)</f>
        <v>1.0336078140866631E-3</v>
      </c>
    </row>
    <row r="566" spans="1:12" x14ac:dyDescent="0.2">
      <c r="A566">
        <v>3809710</v>
      </c>
      <c r="B566">
        <v>2017</v>
      </c>
      <c r="C566" t="s">
        <v>252</v>
      </c>
      <c r="D566" t="s">
        <v>254</v>
      </c>
      <c r="E566" t="s">
        <v>256</v>
      </c>
      <c r="F566" s="5" t="s">
        <v>3</v>
      </c>
      <c r="G566" s="7">
        <v>80067</v>
      </c>
      <c r="H566" s="7" cm="1">
        <f t="array" ref="H566">_xlfn.IFS(B566=2015,L566*$P$3,B566=2016,L566*$P$4,B566=2017,L566*$P$5,B566=2018,L566*$P$6,B566=2019,L566*$P$7,B566=2020,L566*$P$8,B566=2021,L566*$P$9,B566=2022,L566*$P$10)</f>
        <v>2594.8153997804966</v>
      </c>
      <c r="I566" s="7">
        <f t="shared" si="19"/>
        <v>82661.815399780491</v>
      </c>
      <c r="J566">
        <f>IFERROR(VLOOKUP(F566,'LEAID Match'!$A$2:$B$227,2,FALSE),"")</f>
        <v>3809710</v>
      </c>
      <c r="K566">
        <f t="shared" si="18"/>
        <v>7</v>
      </c>
      <c r="L566" cm="1">
        <f t="array" ref="L566">_xlfn.IFS(B566=2015,G566/$P$13,B566=2016,G566/$P$14,B566=2017,G566/$P$15,B566=2018,G566/$P$16,B566=2019,G566/$P$17,B566=2019,G566/$P$18,B566=2020,G566/$P$18,B566=2021,G566/$P$19,B566=2022,G566/$P$20)</f>
        <v>9.3037482960935699E-4</v>
      </c>
    </row>
    <row r="567" spans="1:12" x14ac:dyDescent="0.2">
      <c r="A567">
        <v>3809710</v>
      </c>
      <c r="B567" s="5">
        <v>2018</v>
      </c>
      <c r="C567" t="s">
        <v>252</v>
      </c>
      <c r="D567" t="s">
        <v>254</v>
      </c>
      <c r="E567" t="s">
        <v>256</v>
      </c>
      <c r="F567" s="5" t="s">
        <v>3</v>
      </c>
      <c r="G567" s="7">
        <v>89321</v>
      </c>
      <c r="H567" s="7" cm="1">
        <f t="array" ref="H567">_xlfn.IFS(B567=2015,L567*$P$3,B567=2016,L567*$P$4,B567=2017,L567*$P$5,B567=2018,L567*$P$6,B567=2019,L567*$P$7,B567=2020,L567*$P$8,B567=2021,L567*$P$9,B567=2022,L567*$P$10)</f>
        <v>2447.4836979981874</v>
      </c>
      <c r="I567" s="7">
        <f t="shared" si="19"/>
        <v>91768.483697998192</v>
      </c>
      <c r="J567">
        <f>IFERROR(VLOOKUP(F567,'LEAID Match'!$A$2:$B$227,2,FALSE),"")</f>
        <v>3809710</v>
      </c>
      <c r="K567">
        <f t="shared" si="18"/>
        <v>7</v>
      </c>
      <c r="L567" cm="1">
        <f t="array" ref="L567">_xlfn.IFS(B567=2015,G567/$P$13,B567=2016,G567/$P$14,B567=2017,G567/$P$15,B567=2018,G567/$P$16,B567=2019,G567/$P$17,B567=2019,G567/$P$18,B567=2020,G567/$P$18,B567=2021,G567/$P$19,B567=2022,G567/$P$20)</f>
        <v>1.0305194517887105E-3</v>
      </c>
    </row>
    <row r="568" spans="1:12" x14ac:dyDescent="0.2">
      <c r="A568">
        <v>3809710</v>
      </c>
      <c r="B568">
        <v>2019</v>
      </c>
      <c r="C568" t="s">
        <v>252</v>
      </c>
      <c r="D568" t="s">
        <v>254</v>
      </c>
      <c r="E568" t="s">
        <v>256</v>
      </c>
      <c r="F568" s="5" t="s">
        <v>3</v>
      </c>
      <c r="G568" s="7">
        <v>95702</v>
      </c>
      <c r="H568" s="7" cm="1">
        <f t="array" ref="H568">_xlfn.IFS(B568=2015,L568*$P$3,B568=2016,L568*$P$4,B568=2017,L568*$P$5,B568=2018,L568*$P$6,B568=2019,L568*$P$7,B568=2020,L568*$P$8,B568=2021,L568*$P$9,B568=2022,L568*$P$10)</f>
        <v>2221.2266593683171</v>
      </c>
      <c r="I568" s="7">
        <f t="shared" si="19"/>
        <v>97923.226659368316</v>
      </c>
      <c r="J568">
        <f>IFERROR(VLOOKUP(F568,'LEAID Match'!$A$2:$B$227,2,FALSE),"")</f>
        <v>3809710</v>
      </c>
      <c r="K568">
        <f t="shared" si="18"/>
        <v>7</v>
      </c>
      <c r="L568" cm="1">
        <f t="array" ref="L568">_xlfn.IFS(B568=2015,G568/$P$13,B568=2016,G568/$P$14,B568=2017,G568/$P$15,B568=2018,G568/$P$16,B568=2019,G568/$P$17,B568=2019,G568/$P$18,B568=2020,G568/$P$18,B568=2021,G568/$P$19,B568=2022,G568/$P$20)</f>
        <v>1.0699550382313667E-3</v>
      </c>
    </row>
    <row r="569" spans="1:12" x14ac:dyDescent="0.2">
      <c r="A569">
        <v>3809710</v>
      </c>
      <c r="B569">
        <v>2020</v>
      </c>
      <c r="C569" t="s">
        <v>252</v>
      </c>
      <c r="D569" t="s">
        <v>254</v>
      </c>
      <c r="E569" t="s">
        <v>256</v>
      </c>
      <c r="F569" s="5" t="s">
        <v>3</v>
      </c>
      <c r="G569" s="7">
        <v>104620</v>
      </c>
      <c r="H569" s="7" cm="1">
        <f t="array" ref="H569">_xlfn.IFS(B569=2015,L569*$P$3,B569=2016,L569*$P$4,B569=2017,L569*$P$5,B569=2018,L569*$P$6,B569=2019,L569*$P$7,B569=2020,L569*$P$8,B569=2021,L569*$P$9,B569=2022,L569*$P$10)</f>
        <v>2624.7084646521971</v>
      </c>
      <c r="I569" s="7">
        <f t="shared" si="19"/>
        <v>107244.7084646522</v>
      </c>
      <c r="J569">
        <f>IFERROR(VLOOKUP(F569,'LEAID Match'!$A$2:$B$227,2,FALSE),"")</f>
        <v>3809710</v>
      </c>
      <c r="K569">
        <f t="shared" si="18"/>
        <v>7</v>
      </c>
      <c r="L569" cm="1">
        <f t="array" ref="L569">_xlfn.IFS(B569=2015,G569/$P$13,B569=2016,G569/$P$14,B569=2017,G569/$P$15,B569=2018,G569/$P$16,B569=2019,G569/$P$17,B569=2019,G569/$P$18,B569=2020,G569/$P$18,B569=2021,G569/$P$19,B569=2022,G569/$P$20)</f>
        <v>1.1245537552065968E-3</v>
      </c>
    </row>
    <row r="570" spans="1:12" x14ac:dyDescent="0.2">
      <c r="A570">
        <v>3809710</v>
      </c>
      <c r="B570">
        <v>2022</v>
      </c>
      <c r="C570" t="s">
        <v>252</v>
      </c>
      <c r="D570" t="s">
        <v>254</v>
      </c>
      <c r="E570" t="s">
        <v>256</v>
      </c>
      <c r="F570" s="5" t="s">
        <v>3</v>
      </c>
      <c r="G570" s="5"/>
      <c r="H570" s="7" cm="1">
        <f t="array" ref="H570">_xlfn.IFS(B570=2015,L570*$P$3,B570=2016,L570*$P$4,B570=2017,L570*$P$5,B570=2018,L570*$P$6,B570=2019,L570*$P$7,B570=2020,L570*$P$8,B570=2021,L570*$P$9,B570=2022,L570*$P$10)</f>
        <v>0</v>
      </c>
      <c r="I570" s="7">
        <f t="shared" si="19"/>
        <v>0</v>
      </c>
      <c r="J570">
        <f>IFERROR(VLOOKUP(F570,'LEAID Match'!$A$2:$B$227,2,FALSE),"")</f>
        <v>3809710</v>
      </c>
      <c r="K570">
        <f t="shared" si="18"/>
        <v>7</v>
      </c>
      <c r="L570" cm="1">
        <f t="array" ref="L570">_xlfn.IFS(B570=2015,G570/$P$13,B570=2016,G570/$P$14,B570=2017,G570/$P$15,B570=2018,G570/$P$16,B570=2019,G570/$P$17,B570=2019,G570/$P$18,B570=2020,G570/$P$18,B570=2021,G570/$P$19,B570=2022,G570/$P$20)</f>
        <v>0</v>
      </c>
    </row>
    <row r="571" spans="1:12" x14ac:dyDescent="0.2">
      <c r="A571">
        <v>3800404</v>
      </c>
      <c r="B571" s="5">
        <v>2021</v>
      </c>
      <c r="C571" t="s">
        <v>252</v>
      </c>
      <c r="D571" t="s">
        <v>254</v>
      </c>
      <c r="E571" t="s">
        <v>256</v>
      </c>
      <c r="F571" s="5" t="s">
        <v>240</v>
      </c>
      <c r="G571" s="7">
        <v>219662</v>
      </c>
      <c r="H571" s="7" cm="1">
        <f t="array" ref="H571">_xlfn.IFS(B571=2015,L571*$P$3,B571=2016,L571*$P$4,B571=2017,L571*$P$5,B571=2018,L571*$P$6,B571=2019,L571*$P$7,B571=2020,L571*$P$8,B571=2021,L571*$P$9,B571=2022,L571*$P$10)</f>
        <v>6002.1089469750568</v>
      </c>
      <c r="I571" s="7">
        <f t="shared" si="19"/>
        <v>225664.10894697506</v>
      </c>
      <c r="J571">
        <f>IFERROR(VLOOKUP(F571,'LEAID Match'!$A$2:$B$227,2,FALSE),"")</f>
        <v>3800404</v>
      </c>
      <c r="K571">
        <f t="shared" si="18"/>
        <v>2</v>
      </c>
      <c r="L571" cm="1">
        <f t="array" ref="L571">_xlfn.IFS(B571=2015,G571/$P$13,B571=2016,G571/$P$14,B571=2017,G571/$P$15,B571=2018,G571/$P$16,B571=2019,G571/$P$17,B571=2019,G571/$P$18,B571=2020,G571/$P$18,B571=2021,G571/$P$19,B571=2022,G571/$P$20)</f>
        <v>2.2354223266201328E-3</v>
      </c>
    </row>
    <row r="572" spans="1:12" x14ac:dyDescent="0.2">
      <c r="A572">
        <v>3800404</v>
      </c>
      <c r="B572">
        <v>2022</v>
      </c>
      <c r="C572" t="s">
        <v>252</v>
      </c>
      <c r="D572" t="s">
        <v>254</v>
      </c>
      <c r="E572" t="s">
        <v>256</v>
      </c>
      <c r="F572" s="5" t="s">
        <v>240</v>
      </c>
      <c r="G572" s="7">
        <v>201877</v>
      </c>
      <c r="H572" s="7" cm="1">
        <f t="array" ref="H572">_xlfn.IFS(B572=2015,L572*$P$3,B572=2016,L572*$P$4,B572=2017,L572*$P$5,B572=2018,L572*$P$6,B572=2019,L572*$P$7,B572=2020,L572*$P$8,B572=2021,L572*$P$9,B572=2022,L572*$P$10)</f>
        <v>4108.7143614860779</v>
      </c>
      <c r="I572" s="7">
        <f t="shared" si="19"/>
        <v>205985.71436148608</v>
      </c>
      <c r="J572">
        <f>IFERROR(VLOOKUP(F572,'LEAID Match'!$A$2:$B$227,2,FALSE),"")</f>
        <v>3800404</v>
      </c>
      <c r="K572">
        <f t="shared" si="18"/>
        <v>2</v>
      </c>
      <c r="L572" cm="1">
        <f t="array" ref="L572">_xlfn.IFS(B572=2015,G572/$P$13,B572=2016,G572/$P$14,B572=2017,G572/$P$15,B572=2018,G572/$P$16,B572=2019,G572/$P$17,B572=2019,G572/$P$18,B572=2020,G572/$P$18,B572=2021,G572/$P$19,B572=2022,G572/$P$20)</f>
        <v>2.0121030173780989E-3</v>
      </c>
    </row>
    <row r="573" spans="1:12" x14ac:dyDescent="0.2">
      <c r="A573">
        <v>3809810</v>
      </c>
      <c r="B573">
        <v>2015</v>
      </c>
      <c r="C573" t="s">
        <v>252</v>
      </c>
      <c r="D573" t="s">
        <v>254</v>
      </c>
      <c r="E573" t="s">
        <v>256</v>
      </c>
      <c r="F573" s="5" t="s">
        <v>4</v>
      </c>
      <c r="G573" s="7">
        <v>4399</v>
      </c>
      <c r="H573" s="7" cm="1">
        <f t="array" ref="H573">_xlfn.IFS(B573=2015,L573*$P$3,B573=2016,L573*$P$4,B573=2017,L573*$P$5,B573=2018,L573*$P$6,B573=2019,L573*$P$7,B573=2020,L573*$P$8,B573=2021,L573*$P$9,B573=2022,L573*$P$10)</f>
        <v>99.454452252617557</v>
      </c>
      <c r="I573" s="7">
        <f t="shared" si="19"/>
        <v>4498.4544522526176</v>
      </c>
      <c r="J573">
        <f>IFERROR(VLOOKUP(F573,'LEAID Match'!$A$2:$B$227,2,FALSE),"")</f>
        <v>3809810</v>
      </c>
      <c r="K573">
        <f t="shared" si="18"/>
        <v>8</v>
      </c>
      <c r="L573" cm="1">
        <f t="array" ref="L573">_xlfn.IFS(B573=2015,G573/$P$13,B573=2016,G573/$P$14,B573=2017,G573/$P$15,B573=2018,G573/$P$16,B573=2019,G573/$P$17,B573=2019,G573/$P$18,B573=2020,G573/$P$18,B573=2021,G573/$P$19,B573=2022,G573/$P$20)</f>
        <v>5.6093881699163881E-5</v>
      </c>
    </row>
    <row r="574" spans="1:12" x14ac:dyDescent="0.2">
      <c r="A574">
        <v>3809810</v>
      </c>
      <c r="B574">
        <v>2016</v>
      </c>
      <c r="C574" t="s">
        <v>252</v>
      </c>
      <c r="D574" t="s">
        <v>254</v>
      </c>
      <c r="E574" t="s">
        <v>256</v>
      </c>
      <c r="F574" s="5" t="s">
        <v>4</v>
      </c>
      <c r="G574" s="7">
        <v>3347</v>
      </c>
      <c r="H574" s="7" cm="1">
        <f t="array" ref="H574">_xlfn.IFS(B574=2015,L574*$P$3,B574=2016,L574*$P$4,B574=2017,L574*$P$5,B574=2018,L574*$P$6,B574=2019,L574*$P$7,B574=2020,L574*$P$8,B574=2021,L574*$P$9,B574=2022,L574*$P$10)</f>
        <v>113.65425932090648</v>
      </c>
      <c r="I574" s="7">
        <f t="shared" si="19"/>
        <v>3460.6542593209065</v>
      </c>
      <c r="J574">
        <f>IFERROR(VLOOKUP(F574,'LEAID Match'!$A$2:$B$227,2,FALSE),"")</f>
        <v>3809810</v>
      </c>
      <c r="K574">
        <f t="shared" si="18"/>
        <v>8</v>
      </c>
      <c r="L574" cm="1">
        <f t="array" ref="L574">_xlfn.IFS(B574=2015,G574/$P$13,B574=2016,G574/$P$14,B574=2017,G574/$P$15,B574=2018,G574/$P$16,B574=2019,G574/$P$17,B574=2019,G574/$P$18,B574=2020,G574/$P$18,B574=2021,G574/$P$19,B574=2022,G574/$P$20)</f>
        <v>4.0403220519341088E-5</v>
      </c>
    </row>
    <row r="575" spans="1:12" x14ac:dyDescent="0.2">
      <c r="A575">
        <v>3809810</v>
      </c>
      <c r="B575">
        <v>2017</v>
      </c>
      <c r="C575" t="s">
        <v>252</v>
      </c>
      <c r="D575" t="s">
        <v>254</v>
      </c>
      <c r="E575" t="s">
        <v>256</v>
      </c>
      <c r="F575" s="5" t="s">
        <v>4</v>
      </c>
      <c r="G575" s="7">
        <v>8441</v>
      </c>
      <c r="H575" s="7" cm="1">
        <f t="array" ref="H575">_xlfn.IFS(B575=2015,L575*$P$3,B575=2016,L575*$P$4,B575=2017,L575*$P$5,B575=2018,L575*$P$6,B575=2019,L575*$P$7,B575=2020,L575*$P$8,B575=2021,L575*$P$9,B575=2022,L575*$P$10)</f>
        <v>273.55635642083723</v>
      </c>
      <c r="I575" s="7">
        <f t="shared" si="19"/>
        <v>8714.5563564208369</v>
      </c>
      <c r="J575">
        <f>IFERROR(VLOOKUP(F575,'LEAID Match'!$A$2:$B$227,2,FALSE),"")</f>
        <v>3809810</v>
      </c>
      <c r="K575">
        <f t="shared" si="18"/>
        <v>8</v>
      </c>
      <c r="L575" cm="1">
        <f t="array" ref="L575">_xlfn.IFS(B575=2015,G575/$P$13,B575=2016,G575/$P$14,B575=2017,G575/$P$15,B575=2018,G575/$P$16,B575=2019,G575/$P$17,B575=2019,G575/$P$18,B575=2020,G575/$P$18,B575=2021,G575/$P$19,B575=2022,G575/$P$20)</f>
        <v>9.8084028835007967E-5</v>
      </c>
    </row>
    <row r="576" spans="1:12" x14ac:dyDescent="0.2">
      <c r="A576">
        <v>3809810</v>
      </c>
      <c r="B576" s="5">
        <v>2018</v>
      </c>
      <c r="C576" t="s">
        <v>252</v>
      </c>
      <c r="D576" t="s">
        <v>254</v>
      </c>
      <c r="E576" t="s">
        <v>256</v>
      </c>
      <c r="F576" s="5" t="s">
        <v>4</v>
      </c>
      <c r="G576" s="7">
        <v>4922</v>
      </c>
      <c r="H576" s="7" cm="1">
        <f t="array" ref="H576">_xlfn.IFS(B576=2015,L576*$P$3,B576=2016,L576*$P$4,B576=2017,L576*$P$5,B576=2018,L576*$P$6,B576=2019,L576*$P$7,B576=2020,L576*$P$8,B576=2021,L576*$P$9,B576=2022,L576*$P$10)</f>
        <v>134.86766562787116</v>
      </c>
      <c r="I576" s="7">
        <f t="shared" si="19"/>
        <v>5056.8676656278712</v>
      </c>
      <c r="J576">
        <f>IFERROR(VLOOKUP(F576,'LEAID Match'!$A$2:$B$227,2,FALSE),"")</f>
        <v>3809810</v>
      </c>
      <c r="K576">
        <f t="shared" si="18"/>
        <v>8</v>
      </c>
      <c r="L576" cm="1">
        <f t="array" ref="L576">_xlfn.IFS(B576=2015,G576/$P$13,B576=2016,G576/$P$14,B576=2017,G576/$P$15,B576=2018,G576/$P$16,B576=2019,G576/$P$17,B576=2019,G576/$P$18,B576=2020,G576/$P$18,B576=2021,G576/$P$19,B576=2022,G576/$P$20)</f>
        <v>5.6786385527524694E-5</v>
      </c>
    </row>
    <row r="577" spans="1:12" x14ac:dyDescent="0.2">
      <c r="A577">
        <v>3809810</v>
      </c>
      <c r="B577">
        <v>2019</v>
      </c>
      <c r="C577" t="s">
        <v>252</v>
      </c>
      <c r="D577" t="s">
        <v>254</v>
      </c>
      <c r="E577" t="s">
        <v>256</v>
      </c>
      <c r="F577" s="5" t="s">
        <v>4</v>
      </c>
      <c r="G577" s="7">
        <v>5113</v>
      </c>
      <c r="H577" s="7" cm="1">
        <f t="array" ref="H577">_xlfn.IFS(B577=2015,L577*$P$3,B577=2016,L577*$P$4,B577=2017,L577*$P$5,B577=2018,L577*$P$6,B577=2019,L577*$P$7,B577=2020,L577*$P$8,B577=2021,L577*$P$9,B577=2022,L577*$P$10)</f>
        <v>118.67183454212248</v>
      </c>
      <c r="I577" s="7">
        <f t="shared" si="19"/>
        <v>5231.6718345421223</v>
      </c>
      <c r="J577">
        <f>IFERROR(VLOOKUP(F577,'LEAID Match'!$A$2:$B$227,2,FALSE),"")</f>
        <v>3809810</v>
      </c>
      <c r="K577">
        <f t="shared" si="18"/>
        <v>8</v>
      </c>
      <c r="L577" cm="1">
        <f t="array" ref="L577">_xlfn.IFS(B577=2015,G577/$P$13,B577=2016,G577/$P$14,B577=2017,G577/$P$15,B577=2018,G577/$P$16,B577=2019,G577/$P$17,B577=2019,G577/$P$18,B577=2020,G577/$P$18,B577=2021,G577/$P$19,B577=2022,G577/$P$20)</f>
        <v>5.7163696792929902E-5</v>
      </c>
    </row>
    <row r="578" spans="1:12" x14ac:dyDescent="0.2">
      <c r="A578">
        <v>3809810</v>
      </c>
      <c r="B578">
        <v>2020</v>
      </c>
      <c r="C578" t="s">
        <v>252</v>
      </c>
      <c r="D578" t="s">
        <v>254</v>
      </c>
      <c r="E578" t="s">
        <v>256</v>
      </c>
      <c r="F578" s="5" t="s">
        <v>4</v>
      </c>
      <c r="G578" s="7">
        <v>5304</v>
      </c>
      <c r="H578" s="7" cm="1">
        <f t="array" ref="H578">_xlfn.IFS(B578=2015,L578*$P$3,B578=2016,L578*$P$4,B578=2017,L578*$P$5,B578=2018,L578*$P$6,B578=2019,L578*$P$7,B578=2020,L578*$P$8,B578=2021,L578*$P$9,B578=2022,L578*$P$10)</f>
        <v>133.06684856160632</v>
      </c>
      <c r="I578" s="7">
        <f t="shared" si="19"/>
        <v>5437.0668485616061</v>
      </c>
      <c r="J578">
        <f>IFERROR(VLOOKUP(F578,'LEAID Match'!$A$2:$B$227,2,FALSE),"")</f>
        <v>3809810</v>
      </c>
      <c r="K578">
        <f t="shared" ref="K578:K641" si="20">COUNTIF($A$2:$A$1757,A578)</f>
        <v>8</v>
      </c>
      <c r="L578" cm="1">
        <f t="array" ref="L578">_xlfn.IFS(B578=2015,G578/$P$13,B578=2016,G578/$P$14,B578=2017,G578/$P$15,B578=2018,G578/$P$16,B578=2019,G578/$P$17,B578=2019,G578/$P$18,B578=2020,G578/$P$18,B578=2021,G578/$P$19,B578=2022,G578/$P$20)</f>
        <v>5.7012360137791912E-5</v>
      </c>
    </row>
    <row r="579" spans="1:12" x14ac:dyDescent="0.2">
      <c r="A579">
        <v>3809810</v>
      </c>
      <c r="B579" s="5">
        <v>2021</v>
      </c>
      <c r="C579" t="s">
        <v>252</v>
      </c>
      <c r="D579" t="s">
        <v>254</v>
      </c>
      <c r="E579" t="s">
        <v>256</v>
      </c>
      <c r="F579" s="5" t="s">
        <v>4</v>
      </c>
      <c r="G579" s="7">
        <v>5890</v>
      </c>
      <c r="H579" s="7" cm="1">
        <f t="array" ref="H579">_xlfn.IFS(B579=2015,L579*$P$3,B579=2016,L579*$P$4,B579=2017,L579*$P$5,B579=2018,L579*$P$6,B579=2019,L579*$P$7,B579=2020,L579*$P$8,B579=2021,L579*$P$9,B579=2022,L579*$P$10)</f>
        <v>160.9400883980073</v>
      </c>
      <c r="I579" s="7">
        <f t="shared" ref="I579:I642" si="21">SUM(G579:H579)</f>
        <v>6050.940088398007</v>
      </c>
      <c r="J579">
        <f>IFERROR(VLOOKUP(F579,'LEAID Match'!$A$2:$B$227,2,FALSE),"")</f>
        <v>3809810</v>
      </c>
      <c r="K579">
        <f t="shared" si="20"/>
        <v>8</v>
      </c>
      <c r="L579" cm="1">
        <f t="array" ref="L579">_xlfn.IFS(B579=2015,G579/$P$13,B579=2016,G579/$P$14,B579=2017,G579/$P$15,B579=2018,G579/$P$16,B579=2019,G579/$P$17,B579=2019,G579/$P$18,B579=2020,G579/$P$18,B579=2021,G579/$P$19,B579=2022,G579/$P$20)</f>
        <v>5.9940442606334191E-5</v>
      </c>
    </row>
    <row r="580" spans="1:12" x14ac:dyDescent="0.2">
      <c r="A580">
        <v>3809810</v>
      </c>
      <c r="B580">
        <v>2022</v>
      </c>
      <c r="C580" t="s">
        <v>252</v>
      </c>
      <c r="D580" t="s">
        <v>254</v>
      </c>
      <c r="E580" t="s">
        <v>256</v>
      </c>
      <c r="F580" s="5" t="s">
        <v>4</v>
      </c>
      <c r="G580" s="7">
        <v>5431</v>
      </c>
      <c r="H580" s="7" cm="1">
        <f t="array" ref="H580">_xlfn.IFS(B580=2015,L580*$P$3,B580=2016,L580*$P$4,B580=2017,L580*$P$5,B580=2018,L580*$P$6,B580=2019,L580*$P$7,B580=2020,L580*$P$8,B580=2021,L580*$P$9,B580=2022,L580*$P$10)</f>
        <v>110.53476967277544</v>
      </c>
      <c r="I580" s="7">
        <f t="shared" si="21"/>
        <v>5541.5347696727758</v>
      </c>
      <c r="J580">
        <f>IFERROR(VLOOKUP(F580,'LEAID Match'!$A$2:$B$227,2,FALSE),"")</f>
        <v>3809810</v>
      </c>
      <c r="K580">
        <f t="shared" si="20"/>
        <v>8</v>
      </c>
      <c r="L580" cm="1">
        <f t="array" ref="L580">_xlfn.IFS(B580=2015,G580/$P$13,B580=2016,G580/$P$14,B580=2017,G580/$P$15,B580=2018,G580/$P$16,B580=2019,G580/$P$17,B580=2019,G580/$P$18,B580=2020,G580/$P$18,B580=2021,G580/$P$19,B580=2022,G580/$P$20)</f>
        <v>5.4130641367666718E-5</v>
      </c>
    </row>
    <row r="581" spans="1:12" x14ac:dyDescent="0.2">
      <c r="A581">
        <v>3800396</v>
      </c>
      <c r="B581">
        <v>2015</v>
      </c>
      <c r="C581" t="s">
        <v>252</v>
      </c>
      <c r="D581" t="s">
        <v>254</v>
      </c>
      <c r="E581" t="s">
        <v>256</v>
      </c>
      <c r="F581" s="5" t="s">
        <v>5</v>
      </c>
      <c r="G581" s="7">
        <v>159693</v>
      </c>
      <c r="H581" s="7" cm="1">
        <f t="array" ref="H581">_xlfn.IFS(B581=2015,L581*$P$3,B581=2016,L581*$P$4,B581=2017,L581*$P$5,B581=2018,L581*$P$6,B581=2019,L581*$P$7,B581=2020,L581*$P$8,B581=2021,L581*$P$9,B581=2022,L581*$P$10)</f>
        <v>3610.4068751028094</v>
      </c>
      <c r="I581" s="7">
        <f t="shared" si="21"/>
        <v>163303.40687510281</v>
      </c>
      <c r="J581">
        <f>IFERROR(VLOOKUP(F581,'LEAID Match'!$A$2:$B$227,2,FALSE),"")</f>
        <v>3800396</v>
      </c>
      <c r="K581">
        <f t="shared" si="20"/>
        <v>8</v>
      </c>
      <c r="L581" cm="1">
        <f t="array" ref="L581">_xlfn.IFS(B581=2015,G581/$P$13,B581=2016,G581/$P$14,B581=2017,G581/$P$15,B581=2018,G581/$P$16,B581=2019,G581/$P$17,B581=2019,G581/$P$18,B581=2020,G581/$P$18,B581=2021,G581/$P$19,B581=2022,G581/$P$20)</f>
        <v>2.036326494699836E-3</v>
      </c>
    </row>
    <row r="582" spans="1:12" x14ac:dyDescent="0.2">
      <c r="A582">
        <v>3800396</v>
      </c>
      <c r="B582">
        <v>2016</v>
      </c>
      <c r="C582" t="s">
        <v>252</v>
      </c>
      <c r="D582" t="s">
        <v>254</v>
      </c>
      <c r="E582" t="s">
        <v>256</v>
      </c>
      <c r="F582" s="5" t="s">
        <v>5</v>
      </c>
      <c r="G582" s="7">
        <v>170348</v>
      </c>
      <c r="H582" s="7" cm="1">
        <f t="array" ref="H582">_xlfn.IFS(B582=2015,L582*$P$3,B582=2016,L582*$P$4,B582=2017,L582*$P$5,B582=2018,L582*$P$6,B582=2019,L582*$P$7,B582=2020,L582*$P$8,B582=2021,L582*$P$9,B582=2022,L582*$P$10)</f>
        <v>5784.516213563722</v>
      </c>
      <c r="I582" s="7">
        <f t="shared" si="21"/>
        <v>176132.51621356374</v>
      </c>
      <c r="J582">
        <f>IFERROR(VLOOKUP(F582,'LEAID Match'!$A$2:$B$227,2,FALSE),"")</f>
        <v>3800396</v>
      </c>
      <c r="K582">
        <f t="shared" si="20"/>
        <v>8</v>
      </c>
      <c r="L582" cm="1">
        <f t="array" ref="L582">_xlfn.IFS(B582=2015,G582/$P$13,B582=2016,G582/$P$14,B582=2017,G582/$P$15,B582=2018,G582/$P$16,B582=2019,G582/$P$17,B582=2019,G582/$P$18,B582=2020,G582/$P$18,B582=2021,G582/$P$19,B582=2022,G582/$P$20)</f>
        <v>2.0563513023689022E-3</v>
      </c>
    </row>
    <row r="583" spans="1:12" x14ac:dyDescent="0.2">
      <c r="A583">
        <v>3800396</v>
      </c>
      <c r="B583">
        <v>2017</v>
      </c>
      <c r="C583" t="s">
        <v>252</v>
      </c>
      <c r="D583" t="s">
        <v>254</v>
      </c>
      <c r="E583" t="s">
        <v>256</v>
      </c>
      <c r="F583" s="5" t="s">
        <v>5</v>
      </c>
      <c r="G583" s="7">
        <v>183270</v>
      </c>
      <c r="H583" s="7" cm="1">
        <f t="array" ref="H583">_xlfn.IFS(B583=2015,L583*$P$3,B583=2016,L583*$P$4,B583=2017,L583*$P$5,B583=2018,L583*$P$6,B583=2019,L583*$P$7,B583=2020,L583*$P$8,B583=2021,L583*$P$9,B583=2022,L583*$P$10)</f>
        <v>5939.4234618228693</v>
      </c>
      <c r="I583" s="7">
        <f t="shared" si="21"/>
        <v>189209.42346182288</v>
      </c>
      <c r="J583">
        <f>IFERROR(VLOOKUP(F583,'LEAID Match'!$A$2:$B$227,2,FALSE),"")</f>
        <v>3800396</v>
      </c>
      <c r="K583">
        <f t="shared" si="20"/>
        <v>8</v>
      </c>
      <c r="L583" cm="1">
        <f t="array" ref="L583">_xlfn.IFS(B583=2015,G583/$P$13,B583=2016,G583/$P$14,B583=2017,G583/$P$15,B583=2018,G583/$P$16,B583=2019,G583/$P$17,B583=2019,G583/$P$18,B583=2020,G583/$P$18,B583=2021,G583/$P$19,B583=2022,G583/$P$20)</f>
        <v>2.1295889070716634E-3</v>
      </c>
    </row>
    <row r="584" spans="1:12" x14ac:dyDescent="0.2">
      <c r="A584">
        <v>3800396</v>
      </c>
      <c r="B584" s="5">
        <v>2018</v>
      </c>
      <c r="C584" t="s">
        <v>252</v>
      </c>
      <c r="D584" t="s">
        <v>254</v>
      </c>
      <c r="E584" t="s">
        <v>256</v>
      </c>
      <c r="F584" s="5" t="s">
        <v>5</v>
      </c>
      <c r="G584" s="7">
        <v>188828</v>
      </c>
      <c r="H584" s="7" cm="1">
        <f t="array" ref="H584">_xlfn.IFS(B584=2015,L584*$P$3,B584=2016,L584*$P$4,B584=2017,L584*$P$5,B584=2018,L584*$P$6,B584=2019,L584*$P$7,B584=2020,L584*$P$8,B584=2021,L584*$P$9,B584=2022,L584*$P$10)</f>
        <v>5174.07386533516</v>
      </c>
      <c r="I584" s="7">
        <f t="shared" si="21"/>
        <v>194002.07386533517</v>
      </c>
      <c r="J584">
        <f>IFERROR(VLOOKUP(F584,'LEAID Match'!$A$2:$B$227,2,FALSE),"")</f>
        <v>3800396</v>
      </c>
      <c r="K584">
        <f t="shared" si="20"/>
        <v>8</v>
      </c>
      <c r="L584" cm="1">
        <f t="array" ref="L584">_xlfn.IFS(B584=2015,G584/$P$13,B584=2016,G584/$P$14,B584=2017,G584/$P$15,B584=2018,G584/$P$16,B584=2019,G584/$P$17,B584=2019,G584/$P$18,B584=2020,G584/$P$18,B584=2021,G584/$P$19,B584=2022,G584/$P$20)</f>
        <v>2.1785574169832251E-3</v>
      </c>
    </row>
    <row r="585" spans="1:12" x14ac:dyDescent="0.2">
      <c r="A585">
        <v>3800396</v>
      </c>
      <c r="B585">
        <v>2019</v>
      </c>
      <c r="C585" t="s">
        <v>252</v>
      </c>
      <c r="D585" t="s">
        <v>254</v>
      </c>
      <c r="E585" t="s">
        <v>256</v>
      </c>
      <c r="F585" s="5" t="s">
        <v>5</v>
      </c>
      <c r="G585" s="7">
        <v>170119</v>
      </c>
      <c r="H585" s="7" cm="1">
        <f t="array" ref="H585">_xlfn.IFS(B585=2015,L585*$P$3,B585=2016,L585*$P$4,B585=2017,L585*$P$5,B585=2018,L585*$P$6,B585=2019,L585*$P$7,B585=2020,L585*$P$8,B585=2021,L585*$P$9,B585=2022,L585*$P$10)</f>
        <v>3948.4321964543974</v>
      </c>
      <c r="I585" s="7">
        <f t="shared" si="21"/>
        <v>174067.43219645441</v>
      </c>
      <c r="J585">
        <f>IFERROR(VLOOKUP(F585,'LEAID Match'!$A$2:$B$227,2,FALSE),"")</f>
        <v>3800396</v>
      </c>
      <c r="K585">
        <f t="shared" si="20"/>
        <v>8</v>
      </c>
      <c r="L585" cm="1">
        <f t="array" ref="L585">_xlfn.IFS(B585=2015,G585/$P$13,B585=2016,G585/$P$14,B585=2017,G585/$P$15,B585=2018,G585/$P$16,B585=2019,G585/$P$17,B585=2019,G585/$P$18,B585=2020,G585/$P$18,B585=2021,G585/$P$19,B585=2022,G585/$P$20)</f>
        <v>1.9019422911630045E-3</v>
      </c>
    </row>
    <row r="586" spans="1:12" x14ac:dyDescent="0.2">
      <c r="A586">
        <v>3800396</v>
      </c>
      <c r="B586">
        <v>2020</v>
      </c>
      <c r="C586" t="s">
        <v>252</v>
      </c>
      <c r="D586" t="s">
        <v>254</v>
      </c>
      <c r="E586" t="s">
        <v>256</v>
      </c>
      <c r="F586" s="5" t="s">
        <v>5</v>
      </c>
      <c r="G586" s="7">
        <v>170094</v>
      </c>
      <c r="H586" s="7" cm="1">
        <f t="array" ref="H586">_xlfn.IFS(B586=2015,L586*$P$3,B586=2016,L586*$P$4,B586=2017,L586*$P$5,B586=2018,L586*$P$6,B586=2019,L586*$P$7,B586=2020,L586*$P$8,B586=2021,L586*$P$9,B586=2022,L586*$P$10)</f>
        <v>4267.3213686345898</v>
      </c>
      <c r="I586" s="7">
        <f t="shared" si="21"/>
        <v>174361.32136863458</v>
      </c>
      <c r="J586">
        <f>IFERROR(VLOOKUP(F586,'LEAID Match'!$A$2:$B$227,2,FALSE),"")</f>
        <v>3800396</v>
      </c>
      <c r="K586">
        <f t="shared" si="20"/>
        <v>8</v>
      </c>
      <c r="L586" cm="1">
        <f t="array" ref="L586">_xlfn.IFS(B586=2015,G586/$P$13,B586=2016,G586/$P$14,B586=2017,G586/$P$15,B586=2018,G586/$P$16,B586=2019,G586/$P$17,B586=2019,G586/$P$18,B586=2020,G586/$P$18,B586=2021,G586/$P$19,B586=2022,G586/$P$20)</f>
        <v>1.8283296352333289E-3</v>
      </c>
    </row>
    <row r="587" spans="1:12" x14ac:dyDescent="0.2">
      <c r="A587">
        <v>3800396</v>
      </c>
      <c r="B587" s="5">
        <v>2021</v>
      </c>
      <c r="C587" t="s">
        <v>252</v>
      </c>
      <c r="D587" t="s">
        <v>254</v>
      </c>
      <c r="E587" t="s">
        <v>256</v>
      </c>
      <c r="F587" s="5" t="s">
        <v>5</v>
      </c>
      <c r="G587" s="7">
        <v>176873</v>
      </c>
      <c r="H587" s="7" cm="1">
        <f t="array" ref="H587">_xlfn.IFS(B587=2015,L587*$P$3,B587=2016,L587*$P$4,B587=2017,L587*$P$5,B587=2018,L587*$P$6,B587=2019,L587*$P$7,B587=2020,L587*$P$8,B587=2021,L587*$P$9,B587=2022,L587*$P$10)</f>
        <v>4832.9297547064089</v>
      </c>
      <c r="I587" s="7">
        <f t="shared" si="21"/>
        <v>181705.92975470642</v>
      </c>
      <c r="J587">
        <f>IFERROR(VLOOKUP(F587,'LEAID Match'!$A$2:$B$227,2,FALSE),"")</f>
        <v>3800396</v>
      </c>
      <c r="K587">
        <f t="shared" si="20"/>
        <v>8</v>
      </c>
      <c r="L587" cm="1">
        <f t="array" ref="L587">_xlfn.IFS(B587=2015,G587/$P$13,B587=2016,G587/$P$14,B587=2017,G587/$P$15,B587=2018,G587/$P$16,B587=2019,G587/$P$17,B587=2019,G587/$P$18,B587=2020,G587/$P$18,B587=2021,G587/$P$19,B587=2022,G587/$P$20)</f>
        <v>1.7999738378794818E-3</v>
      </c>
    </row>
    <row r="588" spans="1:12" x14ac:dyDescent="0.2">
      <c r="A588">
        <v>3800396</v>
      </c>
      <c r="B588">
        <v>2022</v>
      </c>
      <c r="C588" t="s">
        <v>252</v>
      </c>
      <c r="D588" t="s">
        <v>254</v>
      </c>
      <c r="E588" t="s">
        <v>256</v>
      </c>
      <c r="F588" s="5" t="s">
        <v>5</v>
      </c>
      <c r="G588" s="7">
        <v>150258</v>
      </c>
      <c r="H588" s="7" cm="1">
        <f t="array" ref="H588">_xlfn.IFS(B588=2015,L588*$P$3,B588=2016,L588*$P$4,B588=2017,L588*$P$5,B588=2018,L588*$P$6,B588=2019,L588*$P$7,B588=2020,L588*$P$8,B588=2021,L588*$P$9,B588=2022,L588*$P$10)</f>
        <v>3058.1354118011218</v>
      </c>
      <c r="I588" s="7">
        <f t="shared" si="21"/>
        <v>153316.13541180111</v>
      </c>
      <c r="J588">
        <f>IFERROR(VLOOKUP(F588,'LEAID Match'!$A$2:$B$227,2,FALSE),"")</f>
        <v>3800396</v>
      </c>
      <c r="K588">
        <f t="shared" si="20"/>
        <v>8</v>
      </c>
      <c r="L588" cm="1">
        <f t="array" ref="L588">_xlfn.IFS(B588=2015,G588/$P$13,B588=2016,G588/$P$14,B588=2017,G588/$P$15,B588=2018,G588/$P$16,B588=2019,G588/$P$17,B588=2019,G588/$P$18,B588=2020,G588/$P$18,B588=2021,G588/$P$19,B588=2022,G588/$P$20)</f>
        <v>1.4976177334971212E-3</v>
      </c>
    </row>
    <row r="589" spans="1:12" x14ac:dyDescent="0.2">
      <c r="A589">
        <v>3800021</v>
      </c>
      <c r="B589">
        <v>2015</v>
      </c>
      <c r="C589" t="s">
        <v>252</v>
      </c>
      <c r="D589" t="s">
        <v>254</v>
      </c>
      <c r="E589" t="s">
        <v>256</v>
      </c>
      <c r="F589" s="5" t="s">
        <v>6</v>
      </c>
      <c r="G589" s="7">
        <v>1637999</v>
      </c>
      <c r="H589" s="7" cm="1">
        <f t="array" ref="H589">_xlfn.IFS(B589=2015,L589*$P$3,B589=2016,L589*$P$4,B589=2017,L589*$P$5,B589=2018,L589*$P$6,B589=2019,L589*$P$7,B589=2020,L589*$P$8,B589=2021,L589*$P$9,B589=2022,L589*$P$10)</f>
        <v>37032.574070319461</v>
      </c>
      <c r="I589" s="7">
        <f t="shared" si="21"/>
        <v>1675031.5740703195</v>
      </c>
      <c r="J589">
        <f>IFERROR(VLOOKUP(F589,'LEAID Match'!$A$2:$B$227,2,FALSE),"")</f>
        <v>3800021</v>
      </c>
      <c r="K589">
        <f t="shared" si="20"/>
        <v>8</v>
      </c>
      <c r="L589" cm="1">
        <f t="array" ref="L589">_xlfn.IFS(B589=2015,G589/$P$13,B589=2016,G589/$P$14,B589=2017,G589/$P$15,B589=2018,G589/$P$16,B589=2019,G589/$P$17,B589=2019,G589/$P$18,B589=2020,G589/$P$18,B589=2021,G589/$P$19,B589=2022,G589/$P$20)</f>
        <v>2.0886956610445269E-2</v>
      </c>
    </row>
    <row r="590" spans="1:12" x14ac:dyDescent="0.2">
      <c r="A590">
        <v>3800021</v>
      </c>
      <c r="B590">
        <v>2016</v>
      </c>
      <c r="C590" t="s">
        <v>252</v>
      </c>
      <c r="D590" t="s">
        <v>254</v>
      </c>
      <c r="E590" t="s">
        <v>256</v>
      </c>
      <c r="F590" s="5" t="s">
        <v>6</v>
      </c>
      <c r="G590" s="7">
        <v>1667524</v>
      </c>
      <c r="H590" s="7" cm="1">
        <f t="array" ref="H590">_xlfn.IFS(B590=2015,L590*$P$3,B590=2016,L590*$P$4,B590=2017,L590*$P$5,B590=2018,L590*$P$6,B590=2019,L590*$P$7,B590=2020,L590*$P$8,B590=2021,L590*$P$9,B590=2022,L590*$P$10)</f>
        <v>56624.202306493957</v>
      </c>
      <c r="I590" s="7">
        <f t="shared" si="21"/>
        <v>1724148.2023064939</v>
      </c>
      <c r="J590">
        <f>IFERROR(VLOOKUP(F590,'LEAID Match'!$A$2:$B$227,2,FALSE),"")</f>
        <v>3800021</v>
      </c>
      <c r="K590">
        <f t="shared" si="20"/>
        <v>8</v>
      </c>
      <c r="L590" cm="1">
        <f t="array" ref="L590">_xlfn.IFS(B590=2015,G590/$P$13,B590=2016,G590/$P$14,B590=2017,G590/$P$15,B590=2018,G590/$P$16,B590=2019,G590/$P$17,B590=2019,G590/$P$18,B590=2020,G590/$P$18,B590=2021,G590/$P$19,B590=2022,G590/$P$20)</f>
        <v>2.012947113632917E-2</v>
      </c>
    </row>
    <row r="591" spans="1:12" x14ac:dyDescent="0.2">
      <c r="A591">
        <v>3800021</v>
      </c>
      <c r="B591">
        <v>2017</v>
      </c>
      <c r="C591" t="s">
        <v>252</v>
      </c>
      <c r="D591" t="s">
        <v>254</v>
      </c>
      <c r="E591" t="s">
        <v>256</v>
      </c>
      <c r="F591" s="5" t="s">
        <v>6</v>
      </c>
      <c r="G591" s="7">
        <v>1718250</v>
      </c>
      <c r="H591" s="7" cm="1">
        <f t="array" ref="H591">_xlfn.IFS(B591=2015,L591*$P$3,B591=2016,L591*$P$4,B591=2017,L591*$P$5,B591=2018,L591*$P$6,B591=2019,L591*$P$7,B591=2020,L591*$P$8,B591=2021,L591*$P$9,B591=2022,L591*$P$10)</f>
        <v>55685.133209347652</v>
      </c>
      <c r="I591" s="7">
        <f t="shared" si="21"/>
        <v>1773935.1332093477</v>
      </c>
      <c r="J591">
        <f>IFERROR(VLOOKUP(F591,'LEAID Match'!$A$2:$B$227,2,FALSE),"")</f>
        <v>3800021</v>
      </c>
      <c r="K591">
        <f t="shared" si="20"/>
        <v>8</v>
      </c>
      <c r="L591" cm="1">
        <f t="array" ref="L591">_xlfn.IFS(B591=2015,G591/$P$13,B591=2016,G591/$P$14,B591=2017,G591/$P$15,B591=2018,G591/$P$16,B591=2019,G591/$P$17,B591=2019,G591/$P$18,B591=2020,G591/$P$18,B591=2021,G591/$P$19,B591=2022,G591/$P$20)</f>
        <v>1.9965985374452367E-2</v>
      </c>
    </row>
    <row r="592" spans="1:12" x14ac:dyDescent="0.2">
      <c r="A592">
        <v>3800021</v>
      </c>
      <c r="B592" s="5">
        <v>2018</v>
      </c>
      <c r="C592" t="s">
        <v>252</v>
      </c>
      <c r="D592" t="s">
        <v>254</v>
      </c>
      <c r="E592" t="s">
        <v>256</v>
      </c>
      <c r="F592" s="5" t="s">
        <v>6</v>
      </c>
      <c r="G592" s="7">
        <v>1706684</v>
      </c>
      <c r="H592" s="7" cm="1">
        <f t="array" ref="H592">_xlfn.IFS(B592=2015,L592*$P$3,B592=2016,L592*$P$4,B592=2017,L592*$P$5,B592=2018,L592*$P$6,B592=2019,L592*$P$7,B592=2020,L592*$P$8,B592=2021,L592*$P$9,B592=2022,L592*$P$10)</f>
        <v>46764.828737187658</v>
      </c>
      <c r="I592" s="7">
        <f t="shared" si="21"/>
        <v>1753448.8287371877</v>
      </c>
      <c r="J592">
        <f>IFERROR(VLOOKUP(F592,'LEAID Match'!$A$2:$B$227,2,FALSE),"")</f>
        <v>3800021</v>
      </c>
      <c r="K592">
        <f t="shared" si="20"/>
        <v>8</v>
      </c>
      <c r="L592" cm="1">
        <f t="array" ref="L592">_xlfn.IFS(B592=2015,G592/$P$13,B592=2016,G592/$P$14,B592=2017,G592/$P$15,B592=2018,G592/$P$16,B592=2019,G592/$P$17,B592=2019,G592/$P$18,B592=2020,G592/$P$18,B592=2021,G592/$P$19,B592=2022,G592/$P$20)</f>
        <v>1.9690454205131644E-2</v>
      </c>
    </row>
    <row r="593" spans="1:12" x14ac:dyDescent="0.2">
      <c r="A593">
        <v>3800021</v>
      </c>
      <c r="B593">
        <v>2019</v>
      </c>
      <c r="C593" t="s">
        <v>252</v>
      </c>
      <c r="D593" t="s">
        <v>254</v>
      </c>
      <c r="E593" t="s">
        <v>256</v>
      </c>
      <c r="F593" s="5" t="s">
        <v>6</v>
      </c>
      <c r="G593" s="7">
        <v>1723687</v>
      </c>
      <c r="H593" s="7" cm="1">
        <f t="array" ref="H593">_xlfn.IFS(B593=2015,L593*$P$3,B593=2016,L593*$P$4,B593=2017,L593*$P$5,B593=2018,L593*$P$6,B593=2019,L593*$P$7,B593=2020,L593*$P$8,B593=2021,L593*$P$9,B593=2022,L593*$P$10)</f>
        <v>40006.473394564346</v>
      </c>
      <c r="I593" s="7">
        <f t="shared" si="21"/>
        <v>1763693.4733945644</v>
      </c>
      <c r="J593">
        <f>IFERROR(VLOOKUP(F593,'LEAID Match'!$A$2:$B$227,2,FALSE),"")</f>
        <v>3800021</v>
      </c>
      <c r="K593">
        <f t="shared" si="20"/>
        <v>8</v>
      </c>
      <c r="L593" cm="1">
        <f t="array" ref="L593">_xlfn.IFS(B593=2015,G593/$P$13,B593=2016,G593/$P$14,B593=2017,G593/$P$15,B593=2018,G593/$P$16,B593=2019,G593/$P$17,B593=2019,G593/$P$18,B593=2020,G593/$P$18,B593=2021,G593/$P$19,B593=2022,G593/$P$20)</f>
        <v>1.9270940941504982E-2</v>
      </c>
    </row>
    <row r="594" spans="1:12" x14ac:dyDescent="0.2">
      <c r="A594">
        <v>3800021</v>
      </c>
      <c r="B594">
        <v>2020</v>
      </c>
      <c r="C594" t="s">
        <v>252</v>
      </c>
      <c r="D594" t="s">
        <v>254</v>
      </c>
      <c r="E594" t="s">
        <v>256</v>
      </c>
      <c r="F594" s="5" t="s">
        <v>6</v>
      </c>
      <c r="G594" s="7">
        <v>1757358</v>
      </c>
      <c r="H594" s="7" cm="1">
        <f t="array" ref="H594">_xlfn.IFS(B594=2015,L594*$P$3,B594=2016,L594*$P$4,B594=2017,L594*$P$5,B594=2018,L594*$P$6,B594=2019,L594*$P$7,B594=2020,L594*$P$8,B594=2021,L594*$P$9,B594=2022,L594*$P$10)</f>
        <v>44088.629497459908</v>
      </c>
      <c r="I594" s="7">
        <f t="shared" si="21"/>
        <v>1801446.6294974599</v>
      </c>
      <c r="J594">
        <f>IFERROR(VLOOKUP(F594,'LEAID Match'!$A$2:$B$227,2,FALSE),"")</f>
        <v>3800021</v>
      </c>
      <c r="K594">
        <f t="shared" si="20"/>
        <v>8</v>
      </c>
      <c r="L594" cm="1">
        <f t="array" ref="L594">_xlfn.IFS(B594=2015,G594/$P$13,B594=2016,G594/$P$14,B594=2017,G594/$P$15,B594=2018,G594/$P$16,B594=2019,G594/$P$17,B594=2019,G594/$P$18,B594=2020,G594/$P$18,B594=2021,G594/$P$19,B594=2022,G594/$P$20)</f>
        <v>1.8889729861808015E-2</v>
      </c>
    </row>
    <row r="595" spans="1:12" x14ac:dyDescent="0.2">
      <c r="A595">
        <v>3800021</v>
      </c>
      <c r="B595" s="5">
        <v>2021</v>
      </c>
      <c r="C595" t="s">
        <v>252</v>
      </c>
      <c r="D595" t="s">
        <v>254</v>
      </c>
      <c r="E595" t="s">
        <v>256</v>
      </c>
      <c r="F595" s="5" t="s">
        <v>6</v>
      </c>
      <c r="G595" s="7">
        <v>1810770</v>
      </c>
      <c r="H595" s="7" cm="1">
        <f t="array" ref="H595">_xlfn.IFS(B595=2015,L595*$P$3,B595=2016,L595*$P$4,B595=2017,L595*$P$5,B595=2018,L595*$P$6,B595=2019,L595*$P$7,B595=2020,L595*$P$8,B595=2021,L595*$P$9,B595=2022,L595*$P$10)</f>
        <v>49478.010843541539</v>
      </c>
      <c r="I595" s="7">
        <f t="shared" si="21"/>
        <v>1860248.0108435415</v>
      </c>
      <c r="J595">
        <f>IFERROR(VLOOKUP(F595,'LEAID Match'!$A$2:$B$227,2,FALSE),"")</f>
        <v>3800021</v>
      </c>
      <c r="K595">
        <f t="shared" si="20"/>
        <v>8</v>
      </c>
      <c r="L595" cm="1">
        <f t="array" ref="L595">_xlfn.IFS(B595=2015,G595/$P$13,B595=2016,G595/$P$14,B595=2017,G595/$P$15,B595=2018,G595/$P$16,B595=2019,G595/$P$17,B595=2019,G595/$P$18,B595=2020,G595/$P$18,B595=2021,G595/$P$19,B595=2022,G595/$P$20)</f>
        <v>1.8427564559978227E-2</v>
      </c>
    </row>
    <row r="596" spans="1:12" x14ac:dyDescent="0.2">
      <c r="A596">
        <v>3800021</v>
      </c>
      <c r="B596">
        <v>2022</v>
      </c>
      <c r="C596" t="s">
        <v>252</v>
      </c>
      <c r="D596" t="s">
        <v>254</v>
      </c>
      <c r="E596" t="s">
        <v>256</v>
      </c>
      <c r="F596" s="5" t="s">
        <v>6</v>
      </c>
      <c r="G596" s="7">
        <v>1794506</v>
      </c>
      <c r="H596" s="7" cm="1">
        <f t="array" ref="H596">_xlfn.IFS(B596=2015,L596*$P$3,B596=2016,L596*$P$4,B596=2017,L596*$P$5,B596=2018,L596*$P$6,B596=2019,L596*$P$7,B596=2020,L596*$P$8,B596=2021,L596*$P$9,B596=2022,L596*$P$10)</f>
        <v>36522.796425412183</v>
      </c>
      <c r="I596" s="7">
        <f t="shared" si="21"/>
        <v>1831028.7964254122</v>
      </c>
      <c r="J596">
        <f>IFERROR(VLOOKUP(F596,'LEAID Match'!$A$2:$B$227,2,FALSE),"")</f>
        <v>3800021</v>
      </c>
      <c r="K596">
        <f t="shared" si="20"/>
        <v>8</v>
      </c>
      <c r="L596" cm="1">
        <f t="array" ref="L596">_xlfn.IFS(B596=2015,G596/$P$13,B596=2016,G596/$P$14,B596=2017,G596/$P$15,B596=2018,G596/$P$16,B596=2019,G596/$P$17,B596=2019,G596/$P$18,B596=2020,G596/$P$18,B596=2021,G596/$P$19,B596=2022,G596/$P$20)</f>
        <v>1.7885796486489806E-2</v>
      </c>
    </row>
    <row r="597" spans="1:12" x14ac:dyDescent="0.2">
      <c r="A597">
        <v>3810180</v>
      </c>
      <c r="B597">
        <v>2015</v>
      </c>
      <c r="C597" t="s">
        <v>252</v>
      </c>
      <c r="D597" t="s">
        <v>254</v>
      </c>
      <c r="E597" t="s">
        <v>256</v>
      </c>
      <c r="F597" s="5" t="s">
        <v>7</v>
      </c>
      <c r="G597" s="7">
        <v>211323</v>
      </c>
      <c r="H597" s="7" cm="1">
        <f t="array" ref="H597">_xlfn.IFS(B597=2015,L597*$P$3,B597=2016,L597*$P$4,B597=2017,L597*$P$5,B597=2018,L597*$P$6,B597=2019,L597*$P$7,B597=2020,L597*$P$8,B597=2021,L597*$P$9,B597=2022,L597*$P$10)</f>
        <v>4777.6797484382587</v>
      </c>
      <c r="I597" s="7">
        <f t="shared" si="21"/>
        <v>216100.67974843827</v>
      </c>
      <c r="J597">
        <f>IFERROR(VLOOKUP(F597,'LEAID Match'!$A$2:$B$227,2,FALSE),"")</f>
        <v>3810180</v>
      </c>
      <c r="K597">
        <f t="shared" si="20"/>
        <v>8</v>
      </c>
      <c r="L597" cm="1">
        <f t="array" ref="L597">_xlfn.IFS(B597=2015,G597/$P$13,B597=2016,G597/$P$14,B597=2017,G597/$P$15,B597=2018,G597/$P$16,B597=2019,G597/$P$17,B597=2019,G597/$P$18,B597=2020,G597/$P$18,B597=2021,G597/$P$19,B597=2022,G597/$P$20)</f>
        <v>2.6946868293503999E-3</v>
      </c>
    </row>
    <row r="598" spans="1:12" x14ac:dyDescent="0.2">
      <c r="A598">
        <v>3810180</v>
      </c>
      <c r="B598">
        <v>2016</v>
      </c>
      <c r="C598" t="s">
        <v>252</v>
      </c>
      <c r="D598" t="s">
        <v>254</v>
      </c>
      <c r="E598" t="s">
        <v>256</v>
      </c>
      <c r="F598" s="5" t="s">
        <v>7</v>
      </c>
      <c r="G598" s="7">
        <v>220609</v>
      </c>
      <c r="H598" s="7" cm="1">
        <f t="array" ref="H598">_xlfn.IFS(B598=2015,L598*$P$3,B598=2016,L598*$P$4,B598=2017,L598*$P$5,B598=2018,L598*$P$6,B598=2019,L598*$P$7,B598=2020,L598*$P$8,B598=2021,L598*$P$9,B598=2022,L598*$P$10)</f>
        <v>7491.2316983943401</v>
      </c>
      <c r="I598" s="7">
        <f t="shared" si="21"/>
        <v>228100.23169839435</v>
      </c>
      <c r="J598">
        <f>IFERROR(VLOOKUP(F598,'LEAID Match'!$A$2:$B$227,2,FALSE),"")</f>
        <v>3810180</v>
      </c>
      <c r="K598">
        <f t="shared" si="20"/>
        <v>8</v>
      </c>
      <c r="L598" cm="1">
        <f t="array" ref="L598">_xlfn.IFS(B598=2015,G598/$P$13,B598=2016,G598/$P$14,B598=2017,G598/$P$15,B598=2018,G598/$P$16,B598=2019,G598/$P$17,B598=2019,G598/$P$18,B598=2020,G598/$P$18,B598=2021,G598/$P$19,B598=2022,G598/$P$20)</f>
        <v>2.663075612653516E-3</v>
      </c>
    </row>
    <row r="599" spans="1:12" x14ac:dyDescent="0.2">
      <c r="A599">
        <v>3810180</v>
      </c>
      <c r="B599">
        <v>2017</v>
      </c>
      <c r="C599" t="s">
        <v>252</v>
      </c>
      <c r="D599" t="s">
        <v>254</v>
      </c>
      <c r="E599" t="s">
        <v>256</v>
      </c>
      <c r="F599" s="5" t="s">
        <v>7</v>
      </c>
      <c r="G599" s="7">
        <v>231953</v>
      </c>
      <c r="H599" s="7" cm="1">
        <f t="array" ref="H599">_xlfn.IFS(B599=2015,L599*$P$3,B599=2016,L599*$P$4,B599=2017,L599*$P$5,B599=2018,L599*$P$6,B599=2019,L599*$P$7,B599=2020,L599*$P$8,B599=2021,L599*$P$9,B599=2022,L599*$P$10)</f>
        <v>7517.1445967163199</v>
      </c>
      <c r="I599" s="7">
        <f t="shared" si="21"/>
        <v>239470.14459671633</v>
      </c>
      <c r="J599">
        <f>IFERROR(VLOOKUP(F599,'LEAID Match'!$A$2:$B$227,2,FALSE),"")</f>
        <v>3810180</v>
      </c>
      <c r="K599">
        <f t="shared" si="20"/>
        <v>8</v>
      </c>
      <c r="L599" cm="1">
        <f t="array" ref="L599">_xlfn.IFS(B599=2015,G599/$P$13,B599=2016,G599/$P$14,B599=2017,G599/$P$15,B599=2018,G599/$P$16,B599=2019,G599/$P$17,B599=2019,G599/$P$18,B599=2020,G599/$P$18,B599=2021,G599/$P$19,B599=2022,G599/$P$20)</f>
        <v>2.6952831110492364E-3</v>
      </c>
    </row>
    <row r="600" spans="1:12" x14ac:dyDescent="0.2">
      <c r="A600">
        <v>3810180</v>
      </c>
      <c r="B600" s="5">
        <v>2018</v>
      </c>
      <c r="C600" t="s">
        <v>252</v>
      </c>
      <c r="D600" t="s">
        <v>254</v>
      </c>
      <c r="E600" t="s">
        <v>256</v>
      </c>
      <c r="F600" s="5" t="s">
        <v>7</v>
      </c>
      <c r="G600" s="7">
        <v>230459</v>
      </c>
      <c r="H600" s="7" cm="1">
        <f t="array" ref="H600">_xlfn.IFS(B600=2015,L600*$P$3,B600=2016,L600*$P$4,B600=2017,L600*$P$5,B600=2018,L600*$P$6,B600=2019,L600*$P$7,B600=2020,L600*$P$8,B600=2021,L600*$P$9,B600=2022,L600*$P$10)</f>
        <v>6314.8044195314014</v>
      </c>
      <c r="I600" s="7">
        <f t="shared" si="21"/>
        <v>236773.8044195314</v>
      </c>
      <c r="J600">
        <f>IFERROR(VLOOKUP(F600,'LEAID Match'!$A$2:$B$227,2,FALSE),"")</f>
        <v>3810180</v>
      </c>
      <c r="K600">
        <f t="shared" si="20"/>
        <v>8</v>
      </c>
      <c r="L600" cm="1">
        <f t="array" ref="L600">_xlfn.IFS(B600=2015,G600/$P$13,B600=2016,G600/$P$14,B600=2017,G600/$P$15,B600=2018,G600/$P$16,B600=2019,G600/$P$17,B600=2019,G600/$P$18,B600=2020,G600/$P$18,B600=2021,G600/$P$19,B600=2022,G600/$P$20)</f>
        <v>2.6588650187500638E-3</v>
      </c>
    </row>
    <row r="601" spans="1:12" x14ac:dyDescent="0.2">
      <c r="A601">
        <v>3810180</v>
      </c>
      <c r="B601">
        <v>2019</v>
      </c>
      <c r="C601" t="s">
        <v>252</v>
      </c>
      <c r="D601" t="s">
        <v>254</v>
      </c>
      <c r="E601" t="s">
        <v>256</v>
      </c>
      <c r="F601" s="5" t="s">
        <v>7</v>
      </c>
      <c r="G601" s="7">
        <v>223200</v>
      </c>
      <c r="H601" s="7" cm="1">
        <f t="array" ref="H601">_xlfn.IFS(B601=2015,L601*$P$3,B601=2016,L601*$P$4,B601=2017,L601*$P$5,B601=2018,L601*$P$6,B601=2019,L601*$P$7,B601=2020,L601*$P$8,B601=2021,L601*$P$9,B601=2022,L601*$P$10)</f>
        <v>5180.4329101900521</v>
      </c>
      <c r="I601" s="7">
        <f t="shared" si="21"/>
        <v>228380.43291019005</v>
      </c>
      <c r="J601">
        <f>IFERROR(VLOOKUP(F601,'LEAID Match'!$A$2:$B$227,2,FALSE),"")</f>
        <v>3810180</v>
      </c>
      <c r="K601">
        <f t="shared" si="20"/>
        <v>8</v>
      </c>
      <c r="L601" cm="1">
        <f t="array" ref="L601">_xlfn.IFS(B601=2015,G601/$P$13,B601=2016,G601/$P$14,B601=2017,G601/$P$15,B601=2018,G601/$P$16,B601=2019,G601/$P$17,B601=2019,G601/$P$18,B601=2020,G601/$P$18,B601=2021,G601/$P$19,B601=2022,G601/$P$20)</f>
        <v>2.4953915752360559E-3</v>
      </c>
    </row>
    <row r="602" spans="1:12" x14ac:dyDescent="0.2">
      <c r="A602">
        <v>3810180</v>
      </c>
      <c r="B602">
        <v>2020</v>
      </c>
      <c r="C602" t="s">
        <v>252</v>
      </c>
      <c r="D602" t="s">
        <v>254</v>
      </c>
      <c r="E602" t="s">
        <v>256</v>
      </c>
      <c r="F602" s="5" t="s">
        <v>7</v>
      </c>
      <c r="G602" s="7">
        <v>238089</v>
      </c>
      <c r="H602" s="7" cm="1">
        <f t="array" ref="H602">_xlfn.IFS(B602=2015,L602*$P$3,B602=2016,L602*$P$4,B602=2017,L602*$P$5,B602=2018,L602*$P$6,B602=2019,L602*$P$7,B602=2020,L602*$P$8,B602=2021,L602*$P$9,B602=2022,L602*$P$10)</f>
        <v>5973.1811665128753</v>
      </c>
      <c r="I602" s="7">
        <f t="shared" si="21"/>
        <v>244062.18116651286</v>
      </c>
      <c r="J602">
        <f>IFERROR(VLOOKUP(F602,'LEAID Match'!$A$2:$B$227,2,FALSE),"")</f>
        <v>3810180</v>
      </c>
      <c r="K602">
        <f t="shared" si="20"/>
        <v>8</v>
      </c>
      <c r="L602" cm="1">
        <f t="array" ref="L602">_xlfn.IFS(B602=2015,G602/$P$13,B602=2016,G602/$P$14,B602=2017,G602/$P$15,B602=2018,G602/$P$16,B602=2019,G602/$P$17,B602=2019,G602/$P$18,B602=2020,G602/$P$18,B602=2021,G602/$P$19,B602=2022,G602/$P$20)</f>
        <v>2.5592035846241966E-3</v>
      </c>
    </row>
    <row r="603" spans="1:12" x14ac:dyDescent="0.2">
      <c r="A603">
        <v>3810180</v>
      </c>
      <c r="B603" s="5">
        <v>2021</v>
      </c>
      <c r="C603" t="s">
        <v>252</v>
      </c>
      <c r="D603" t="s">
        <v>254</v>
      </c>
      <c r="E603" t="s">
        <v>256</v>
      </c>
      <c r="F603" s="5" t="s">
        <v>7</v>
      </c>
      <c r="G603" s="7">
        <v>256280</v>
      </c>
      <c r="H603" s="7" cm="1">
        <f t="array" ref="H603">_xlfn.IFS(B603=2015,L603*$P$3,B603=2016,L603*$P$4,B603=2017,L603*$P$5,B603=2018,L603*$P$6,B603=2019,L603*$P$7,B603=2020,L603*$P$8,B603=2021,L603*$P$9,B603=2022,L603*$P$10)</f>
        <v>7002.66992438732</v>
      </c>
      <c r="I603" s="7">
        <f t="shared" si="21"/>
        <v>263282.6699243873</v>
      </c>
      <c r="J603">
        <f>IFERROR(VLOOKUP(F603,'LEAID Match'!$A$2:$B$227,2,FALSE),"")</f>
        <v>3810180</v>
      </c>
      <c r="K603">
        <f t="shared" si="20"/>
        <v>8</v>
      </c>
      <c r="L603" cm="1">
        <f t="array" ref="L603">_xlfn.IFS(B603=2015,G603/$P$13,B603=2016,G603/$P$14,B603=2017,G603/$P$15,B603=2018,G603/$P$16,B603=2019,G603/$P$17,B603=2019,G603/$P$18,B603=2020,G603/$P$18,B603=2021,G603/$P$19,B603=2022,G603/$P$20)</f>
        <v>2.6080707353397839E-3</v>
      </c>
    </row>
    <row r="604" spans="1:12" x14ac:dyDescent="0.2">
      <c r="A604">
        <v>3810180</v>
      </c>
      <c r="B604">
        <v>2022</v>
      </c>
      <c r="C604" t="s">
        <v>252</v>
      </c>
      <c r="D604" t="s">
        <v>254</v>
      </c>
      <c r="E604" t="s">
        <v>256</v>
      </c>
      <c r="F604" s="5" t="s">
        <v>7</v>
      </c>
      <c r="G604" s="7">
        <v>239834</v>
      </c>
      <c r="H604" s="7" cm="1">
        <f t="array" ref="H604">_xlfn.IFS(B604=2015,L604*$P$3,B604=2016,L604*$P$4,B604=2017,L604*$P$5,B604=2018,L604*$P$6,B604=2019,L604*$P$7,B604=2020,L604*$P$8,B604=2021,L604*$P$9,B604=2022,L604*$P$10)</f>
        <v>4881.2365954152874</v>
      </c>
      <c r="I604" s="7">
        <f t="shared" si="21"/>
        <v>244715.23659541528</v>
      </c>
      <c r="J604">
        <f>IFERROR(VLOOKUP(F604,'LEAID Match'!$A$2:$B$227,2,FALSE),"")</f>
        <v>3810180</v>
      </c>
      <c r="K604">
        <f t="shared" si="20"/>
        <v>8</v>
      </c>
      <c r="L604" cm="1">
        <f t="array" ref="L604">_xlfn.IFS(B604=2015,G604/$P$13,B604=2016,G604/$P$14,B604=2017,G604/$P$15,B604=2018,G604/$P$16,B604=2019,G604/$P$17,B604=2019,G604/$P$18,B604=2020,G604/$P$18,B604=2021,G604/$P$19,B604=2022,G604/$P$20)</f>
        <v>2.3904194884501895E-3</v>
      </c>
    </row>
    <row r="605" spans="1:12" x14ac:dyDescent="0.2">
      <c r="A605">
        <v>3810260</v>
      </c>
      <c r="B605">
        <v>2015</v>
      </c>
      <c r="C605" t="s">
        <v>252</v>
      </c>
      <c r="D605" t="s">
        <v>254</v>
      </c>
      <c r="E605" t="s">
        <v>256</v>
      </c>
      <c r="F605" s="5" t="s">
        <v>226</v>
      </c>
      <c r="G605" s="7">
        <v>53103</v>
      </c>
      <c r="H605" s="7" cm="1">
        <f t="array" ref="H605">_xlfn.IFS(B605=2015,L605*$P$3,B605=2016,L605*$P$4,B605=2017,L605*$P$5,B605=2018,L605*$P$6,B605=2019,L605*$P$7,B605=2020,L605*$P$8,B605=2021,L605*$P$9,B605=2022,L605*$P$10)</f>
        <v>1200.5750802388611</v>
      </c>
      <c r="I605" s="7">
        <f t="shared" si="21"/>
        <v>54303.575080238865</v>
      </c>
      <c r="J605">
        <f>IFERROR(VLOOKUP(F605,'LEAID Match'!$A$2:$B$227,2,FALSE),"")</f>
        <v>3810260</v>
      </c>
      <c r="K605">
        <f t="shared" si="20"/>
        <v>8</v>
      </c>
      <c r="L605" cm="1">
        <f t="array" ref="L605">_xlfn.IFS(B605=2015,G605/$P$13,B605=2016,G605/$P$14,B605=2017,G605/$P$15,B605=2018,G605/$P$16,B605=2019,G605/$P$17,B605=2019,G605/$P$18,B605=2020,G605/$P$18,B605=2021,G605/$P$19,B605=2022,G605/$P$20)</f>
        <v>6.7714330526726519E-4</v>
      </c>
    </row>
    <row r="606" spans="1:12" x14ac:dyDescent="0.2">
      <c r="A606">
        <v>3810260</v>
      </c>
      <c r="B606">
        <v>2016</v>
      </c>
      <c r="C606" t="s">
        <v>252</v>
      </c>
      <c r="D606" t="s">
        <v>254</v>
      </c>
      <c r="E606" t="s">
        <v>256</v>
      </c>
      <c r="F606" s="5" t="s">
        <v>226</v>
      </c>
      <c r="G606" s="7">
        <v>57329</v>
      </c>
      <c r="H606" s="7" cm="1">
        <f t="array" ref="H606">_xlfn.IFS(B606=2015,L606*$P$3,B606=2016,L606*$P$4,B606=2017,L606*$P$5,B606=2018,L606*$P$6,B606=2019,L606*$P$7,B606=2020,L606*$P$8,B606=2021,L606*$P$9,B606=2022,L606*$P$10)</f>
        <v>1946.7239416218249</v>
      </c>
      <c r="I606" s="7">
        <f t="shared" si="21"/>
        <v>59275.723941621822</v>
      </c>
      <c r="J606">
        <f>IFERROR(VLOOKUP(F606,'LEAID Match'!$A$2:$B$227,2,FALSE),"")</f>
        <v>3810260</v>
      </c>
      <c r="K606">
        <f t="shared" si="20"/>
        <v>8</v>
      </c>
      <c r="L606" cm="1">
        <f t="array" ref="L606">_xlfn.IFS(B606=2015,G606/$P$13,B606=2016,G606/$P$14,B606=2017,G606/$P$15,B606=2018,G606/$P$16,B606=2019,G606/$P$17,B606=2019,G606/$P$18,B606=2020,G606/$P$18,B606=2021,G606/$P$19,B606=2022,G606/$P$20)</f>
        <v>6.9204548226869001E-4</v>
      </c>
    </row>
    <row r="607" spans="1:12" x14ac:dyDescent="0.2">
      <c r="A607">
        <v>3810260</v>
      </c>
      <c r="B607">
        <v>2017</v>
      </c>
      <c r="C607" t="s">
        <v>252</v>
      </c>
      <c r="D607" t="s">
        <v>254</v>
      </c>
      <c r="E607" t="s">
        <v>256</v>
      </c>
      <c r="F607" s="5" t="s">
        <v>226</v>
      </c>
      <c r="G607" s="7">
        <v>37012</v>
      </c>
      <c r="H607" s="7" cm="1">
        <f t="array" ref="H607">_xlfn.IFS(B607=2015,L607*$P$3,B607=2016,L607*$P$4,B607=2017,L607*$P$5,B607=2018,L607*$P$6,B607=2019,L607*$P$7,B607=2020,L607*$P$8,B607=2021,L607*$P$9,B607=2022,L607*$P$10)</f>
        <v>1199.486774534774</v>
      </c>
      <c r="I607" s="7">
        <f t="shared" si="21"/>
        <v>38211.486774534773</v>
      </c>
      <c r="J607">
        <f>IFERROR(VLOOKUP(F607,'LEAID Match'!$A$2:$B$227,2,FALSE),"")</f>
        <v>3810260</v>
      </c>
      <c r="K607">
        <f t="shared" si="20"/>
        <v>8</v>
      </c>
      <c r="L607" cm="1">
        <f t="array" ref="L607">_xlfn.IFS(B607=2015,G607/$P$13,B607=2016,G607/$P$14,B607=2017,G607/$P$15,B607=2018,G607/$P$16,B607=2019,G607/$P$17,B607=2019,G607/$P$18,B607=2020,G607/$P$18,B607=2021,G607/$P$19,B607=2022,G607/$P$20)</f>
        <v>4.3007772482422875E-4</v>
      </c>
    </row>
    <row r="608" spans="1:12" x14ac:dyDescent="0.2">
      <c r="A608">
        <v>3810260</v>
      </c>
      <c r="B608" s="5">
        <v>2018</v>
      </c>
      <c r="C608" t="s">
        <v>252</v>
      </c>
      <c r="D608" t="s">
        <v>254</v>
      </c>
      <c r="E608" t="s">
        <v>256</v>
      </c>
      <c r="F608" s="5" t="s">
        <v>226</v>
      </c>
      <c r="G608" s="7">
        <v>37162</v>
      </c>
      <c r="H608" s="7" cm="1">
        <f t="array" ref="H608">_xlfn.IFS(B608=2015,L608*$P$3,B608=2016,L608*$P$4,B608=2017,L608*$P$5,B608=2018,L608*$P$6,B608=2019,L608*$P$7,B608=2020,L608*$P$8,B608=2021,L608*$P$9,B608=2022,L608*$P$10)</f>
        <v>1018.2755363801194</v>
      </c>
      <c r="I608" s="7">
        <f t="shared" si="21"/>
        <v>38180.275536380119</v>
      </c>
      <c r="J608">
        <f>IFERROR(VLOOKUP(F608,'LEAID Match'!$A$2:$B$227,2,FALSE),"")</f>
        <v>3810260</v>
      </c>
      <c r="K608">
        <f t="shared" si="20"/>
        <v>8</v>
      </c>
      <c r="L608" cm="1">
        <f t="array" ref="L608">_xlfn.IFS(B608=2015,G608/$P$13,B608=2016,G608/$P$14,B608=2017,G608/$P$15,B608=2018,G608/$P$16,B608=2019,G608/$P$17,B608=2019,G608/$P$18,B608=2020,G608/$P$18,B608=2021,G608/$P$19,B608=2022,G608/$P$20)</f>
        <v>4.2874759426531344E-4</v>
      </c>
    </row>
    <row r="609" spans="1:12" x14ac:dyDescent="0.2">
      <c r="A609">
        <v>3810260</v>
      </c>
      <c r="B609">
        <v>2019</v>
      </c>
      <c r="C609" t="s">
        <v>252</v>
      </c>
      <c r="D609" t="s">
        <v>254</v>
      </c>
      <c r="E609" t="s">
        <v>256</v>
      </c>
      <c r="F609" s="5" t="s">
        <v>226</v>
      </c>
      <c r="G609" s="7">
        <v>36091</v>
      </c>
      <c r="H609" s="7" cm="1">
        <f t="array" ref="H609">_xlfn.IFS(B609=2015,L609*$P$3,B609=2016,L609*$P$4,B609=2017,L609*$P$5,B609=2018,L609*$P$6,B609=2019,L609*$P$7,B609=2020,L609*$P$8,B609=2021,L609*$P$9,B609=2022,L609*$P$10)</f>
        <v>837.66578925479018</v>
      </c>
      <c r="I609" s="7">
        <f t="shared" si="21"/>
        <v>36928.665789254788</v>
      </c>
      <c r="J609">
        <f>IFERROR(VLOOKUP(F609,'LEAID Match'!$A$2:$B$227,2,FALSE),"")</f>
        <v>3810260</v>
      </c>
      <c r="K609">
        <f t="shared" si="20"/>
        <v>8</v>
      </c>
      <c r="L609" cm="1">
        <f t="array" ref="L609">_xlfn.IFS(B609=2015,G609/$P$13,B609=2016,G609/$P$14,B609=2017,G609/$P$15,B609=2018,G609/$P$16,B609=2019,G609/$P$17,B609=2019,G609/$P$18,B609=2020,G609/$P$18,B609=2021,G609/$P$19,B609=2022,G609/$P$20)</f>
        <v>4.0349989848496637E-4</v>
      </c>
    </row>
    <row r="610" spans="1:12" x14ac:dyDescent="0.2">
      <c r="A610">
        <v>3810260</v>
      </c>
      <c r="B610">
        <v>2020</v>
      </c>
      <c r="C610" t="s">
        <v>252</v>
      </c>
      <c r="D610" t="s">
        <v>254</v>
      </c>
      <c r="E610" t="s">
        <v>256</v>
      </c>
      <c r="F610" s="5" t="s">
        <v>226</v>
      </c>
      <c r="G610" s="7">
        <v>32707</v>
      </c>
      <c r="H610" s="7" cm="1">
        <f t="array" ref="H610">_xlfn.IFS(B610=2015,L610*$P$3,B610=2016,L610*$P$4,B610=2017,L610*$P$5,B610=2018,L610*$P$6,B610=2019,L610*$P$7,B610=2020,L610*$P$8,B610=2021,L610*$P$9,B610=2022,L610*$P$10)</f>
        <v>820.55381144503349</v>
      </c>
      <c r="I610" s="7">
        <f t="shared" si="21"/>
        <v>33527.553811445032</v>
      </c>
      <c r="J610">
        <f>IFERROR(VLOOKUP(F610,'LEAID Match'!$A$2:$B$227,2,FALSE),"")</f>
        <v>3810260</v>
      </c>
      <c r="K610">
        <f t="shared" si="20"/>
        <v>8</v>
      </c>
      <c r="L610" cm="1">
        <f t="array" ref="L610">_xlfn.IFS(B610=2015,G610/$P$13,B610=2016,G610/$P$14,B610=2017,G610/$P$15,B610=2018,G610/$P$16,B610=2019,G610/$P$17,B610=2019,G610/$P$18,B610=2020,G610/$P$18,B610=2021,G610/$P$19,B610=2022,G610/$P$20)</f>
        <v>3.5156547191303922E-4</v>
      </c>
    </row>
    <row r="611" spans="1:12" x14ac:dyDescent="0.2">
      <c r="A611">
        <v>3810260</v>
      </c>
      <c r="B611" s="5">
        <v>2021</v>
      </c>
      <c r="C611" t="s">
        <v>252</v>
      </c>
      <c r="D611" t="s">
        <v>254</v>
      </c>
      <c r="E611" t="s">
        <v>256</v>
      </c>
      <c r="F611" s="5" t="s">
        <v>226</v>
      </c>
      <c r="G611" s="7">
        <v>38264</v>
      </c>
      <c r="H611" s="7" cm="1">
        <f t="array" ref="H611">_xlfn.IFS(B611=2015,L611*$P$3,B611=2016,L611*$P$4,B611=2017,L611*$P$5,B611=2018,L611*$P$6,B611=2019,L611*$P$7,B611=2020,L611*$P$8,B611=2021,L611*$P$9,B611=2022,L611*$P$10)</f>
        <v>1045.5367644246776</v>
      </c>
      <c r="I611" s="7">
        <f t="shared" si="21"/>
        <v>39309.53676442468</v>
      </c>
      <c r="J611">
        <f>IFERROR(VLOOKUP(F611,'LEAID Match'!$A$2:$B$227,2,FALSE),"")</f>
        <v>3810260</v>
      </c>
      <c r="K611">
        <f t="shared" si="20"/>
        <v>8</v>
      </c>
      <c r="L611" cm="1">
        <f t="array" ref="L611">_xlfn.IFS(B611=2015,G611/$P$13,B611=2016,G611/$P$14,B611=2017,G611/$P$15,B611=2018,G611/$P$16,B611=2019,G611/$P$17,B611=2019,G611/$P$18,B611=2020,G611/$P$18,B611=2021,G611/$P$19,B611=2022,G611/$P$20)</f>
        <v>3.8939916738349261E-4</v>
      </c>
    </row>
    <row r="612" spans="1:12" x14ac:dyDescent="0.2">
      <c r="A612">
        <v>3810260</v>
      </c>
      <c r="B612">
        <v>2022</v>
      </c>
      <c r="C612" t="s">
        <v>252</v>
      </c>
      <c r="D612" t="s">
        <v>254</v>
      </c>
      <c r="E612" t="s">
        <v>256</v>
      </c>
      <c r="F612" s="5" t="s">
        <v>226</v>
      </c>
      <c r="G612" s="7">
        <v>37830</v>
      </c>
      <c r="H612" s="7" cm="1">
        <f t="array" ref="H612">_xlfn.IFS(B612=2015,L612*$P$3,B612=2016,L612*$P$4,B612=2017,L612*$P$5,B612=2018,L612*$P$6,B612=2019,L612*$P$7,B612=2020,L612*$P$8,B612=2021,L612*$P$9,B612=2022,L612*$P$10)</f>
        <v>769.93745842774717</v>
      </c>
      <c r="I612" s="7">
        <f t="shared" si="21"/>
        <v>38599.937458427747</v>
      </c>
      <c r="J612">
        <f>IFERROR(VLOOKUP(F612,'LEAID Match'!$A$2:$B$227,2,FALSE),"")</f>
        <v>3810260</v>
      </c>
      <c r="K612">
        <f t="shared" si="20"/>
        <v>8</v>
      </c>
      <c r="L612" cm="1">
        <f t="array" ref="L612">_xlfn.IFS(B612=2015,G612/$P$13,B612=2016,G612/$P$14,B612=2017,G612/$P$15,B612=2018,G612/$P$16,B612=2019,G612/$P$17,B612=2019,G612/$P$18,B612=2020,G612/$P$18,B612=2021,G612/$P$19,B612=2022,G612/$P$20)</f>
        <v>3.7705066524375475E-4</v>
      </c>
    </row>
    <row r="613" spans="1:12" x14ac:dyDescent="0.2">
      <c r="A613">
        <v>3800389</v>
      </c>
      <c r="B613">
        <v>2015</v>
      </c>
      <c r="C613" t="s">
        <v>252</v>
      </c>
      <c r="D613" t="s">
        <v>254</v>
      </c>
      <c r="E613" t="s">
        <v>256</v>
      </c>
      <c r="F613" s="5" t="s">
        <v>8</v>
      </c>
      <c r="G613" s="7">
        <v>269418</v>
      </c>
      <c r="H613" s="7" cm="1">
        <f t="array" ref="H613">_xlfn.IFS(B613=2015,L613*$P$3,B613=2016,L613*$P$4,B613=2017,L613*$P$5,B613=2018,L613*$P$6,B613=2019,L613*$P$7,B613=2020,L613*$P$8,B613=2021,L613*$P$9,B613=2022,L613*$P$10)</f>
        <v>6091.1160756980489</v>
      </c>
      <c r="I613" s="7">
        <f t="shared" si="21"/>
        <v>275509.11607569805</v>
      </c>
      <c r="J613">
        <f>IFERROR(VLOOKUP(F613,'LEAID Match'!$A$2:$B$227,2,FALSE),"")</f>
        <v>3800389</v>
      </c>
      <c r="K613">
        <f t="shared" si="20"/>
        <v>8</v>
      </c>
      <c r="L613" cm="1">
        <f t="array" ref="L613">_xlfn.IFS(B613=2015,G613/$P$13,B613=2016,G613/$P$14,B613=2017,G613/$P$15,B613=2018,G613/$P$16,B613=2019,G613/$P$17,B613=2019,G613/$P$18,B613=2020,G613/$P$18,B613=2021,G613/$P$19,B613=2022,G613/$P$20)</f>
        <v>3.435485660292188E-3</v>
      </c>
    </row>
    <row r="614" spans="1:12" x14ac:dyDescent="0.2">
      <c r="A614">
        <v>3800389</v>
      </c>
      <c r="B614">
        <v>2016</v>
      </c>
      <c r="C614" t="s">
        <v>252</v>
      </c>
      <c r="D614" t="s">
        <v>254</v>
      </c>
      <c r="E614" t="s">
        <v>256</v>
      </c>
      <c r="F614" s="5" t="s">
        <v>8</v>
      </c>
      <c r="G614" s="7">
        <v>276562</v>
      </c>
      <c r="H614" s="7" cm="1">
        <f t="array" ref="H614">_xlfn.IFS(B614=2015,L614*$P$3,B614=2016,L614*$P$4,B614=2017,L614*$P$5,B614=2018,L614*$P$6,B614=2019,L614*$P$7,B614=2020,L614*$P$8,B614=2021,L614*$P$9,B614=2022,L614*$P$10)</f>
        <v>9391.2307338836381</v>
      </c>
      <c r="I614" s="7">
        <f t="shared" si="21"/>
        <v>285953.23073388363</v>
      </c>
      <c r="J614">
        <f>IFERROR(VLOOKUP(F614,'LEAID Match'!$A$2:$B$227,2,FALSE),"")</f>
        <v>3800389</v>
      </c>
      <c r="K614">
        <f t="shared" si="20"/>
        <v>8</v>
      </c>
      <c r="L614" cm="1">
        <f t="array" ref="L614">_xlfn.IFS(B614=2015,G614/$P$13,B614=2016,G614/$P$14,B614=2017,G614/$P$15,B614=2018,G614/$P$16,B614=2019,G614/$P$17,B614=2019,G614/$P$18,B614=2020,G614/$P$18,B614=2021,G614/$P$19,B614=2022,G614/$P$20)</f>
        <v>3.3385107479145535E-3</v>
      </c>
    </row>
    <row r="615" spans="1:12" x14ac:dyDescent="0.2">
      <c r="A615">
        <v>3800389</v>
      </c>
      <c r="B615">
        <v>2017</v>
      </c>
      <c r="C615" t="s">
        <v>252</v>
      </c>
      <c r="D615" t="s">
        <v>254</v>
      </c>
      <c r="E615" t="s">
        <v>256</v>
      </c>
      <c r="F615" s="5" t="s">
        <v>8</v>
      </c>
      <c r="G615" s="7">
        <v>265057</v>
      </c>
      <c r="H615" s="7" cm="1">
        <f t="array" ref="H615">_xlfn.IFS(B615=2015,L615*$P$3,B615=2016,L615*$P$4,B615=2017,L615*$P$5,B615=2018,L615*$P$6,B615=2019,L615*$P$7,B615=2020,L615*$P$8,B615=2021,L615*$P$9,B615=2022,L615*$P$10)</f>
        <v>8589.9807089015339</v>
      </c>
      <c r="I615" s="7">
        <f t="shared" si="21"/>
        <v>273646.98070890154</v>
      </c>
      <c r="J615">
        <f>IFERROR(VLOOKUP(F615,'LEAID Match'!$A$2:$B$227,2,FALSE),"")</f>
        <v>3800389</v>
      </c>
      <c r="K615">
        <f t="shared" si="20"/>
        <v>8</v>
      </c>
      <c r="L615" cm="1">
        <f t="array" ref="L615">_xlfn.IFS(B615=2015,G615/$P$13,B615=2016,G615/$P$14,B615=2017,G615/$P$15,B615=2018,G615/$P$16,B615=2019,G615/$P$17,B615=2019,G615/$P$18,B615=2020,G615/$P$18,B615=2021,G615/$P$19,B615=2022,G615/$P$20)</f>
        <v>3.0799500569743759E-3</v>
      </c>
    </row>
    <row r="616" spans="1:12" x14ac:dyDescent="0.2">
      <c r="A616">
        <v>3800389</v>
      </c>
      <c r="B616" s="5">
        <v>2018</v>
      </c>
      <c r="C616" t="s">
        <v>252</v>
      </c>
      <c r="D616" t="s">
        <v>254</v>
      </c>
      <c r="E616" t="s">
        <v>256</v>
      </c>
      <c r="F616" s="5" t="s">
        <v>8</v>
      </c>
      <c r="G616" s="7">
        <v>275361</v>
      </c>
      <c r="H616" s="7" cm="1">
        <f t="array" ref="H616">_xlfn.IFS(B616=2015,L616*$P$3,B616=2016,L616*$P$4,B616=2017,L616*$P$5,B616=2018,L616*$P$6,B616=2019,L616*$P$7,B616=2020,L616*$P$8,B616=2021,L616*$P$9,B616=2022,L616*$P$10)</f>
        <v>7545.1636072645733</v>
      </c>
      <c r="I616" s="7">
        <f t="shared" si="21"/>
        <v>282906.16360726458</v>
      </c>
      <c r="J616">
        <f>IFERROR(VLOOKUP(F616,'LEAID Match'!$A$2:$B$227,2,FALSE),"")</f>
        <v>3800389</v>
      </c>
      <c r="K616">
        <f t="shared" si="20"/>
        <v>8</v>
      </c>
      <c r="L616" cm="1">
        <f t="array" ref="L616">_xlfn.IFS(B616=2015,G616/$P$13,B616=2016,G616/$P$14,B616=2017,G616/$P$15,B616=2018,G616/$P$16,B616=2019,G616/$P$17,B616=2019,G616/$P$18,B616=2020,G616/$P$18,B616=2021,G616/$P$19,B616=2022,G616/$P$20)</f>
        <v>3.1769109925324519E-3</v>
      </c>
    </row>
    <row r="617" spans="1:12" x14ac:dyDescent="0.2">
      <c r="A617">
        <v>3800389</v>
      </c>
      <c r="B617">
        <v>2019</v>
      </c>
      <c r="C617" t="s">
        <v>252</v>
      </c>
      <c r="D617" t="s">
        <v>254</v>
      </c>
      <c r="E617" t="s">
        <v>256</v>
      </c>
      <c r="F617" s="5" t="s">
        <v>8</v>
      </c>
      <c r="G617" s="7">
        <v>292768</v>
      </c>
      <c r="H617" s="7" cm="1">
        <f t="array" ref="H617">_xlfn.IFS(B617=2015,L617*$P$3,B617=2016,L617*$P$4,B617=2017,L617*$P$5,B617=2018,L617*$P$6,B617=2019,L617*$P$7,B617=2020,L617*$P$8,B617=2021,L617*$P$9,B617=2022,L617*$P$10)</f>
        <v>6795.0940064987517</v>
      </c>
      <c r="I617" s="7">
        <f t="shared" si="21"/>
        <v>299563.09400649875</v>
      </c>
      <c r="J617">
        <f>IFERROR(VLOOKUP(F617,'LEAID Match'!$A$2:$B$227,2,FALSE),"")</f>
        <v>3800389</v>
      </c>
      <c r="K617">
        <f t="shared" si="20"/>
        <v>8</v>
      </c>
      <c r="L617" cm="1">
        <f t="array" ref="L617">_xlfn.IFS(B617=2015,G617/$P$13,B617=2016,G617/$P$14,B617=2017,G617/$P$15,B617=2018,G617/$P$16,B617=2019,G617/$P$17,B617=2019,G617/$P$18,B617=2020,G617/$P$18,B617=2021,G617/$P$19,B617=2022,G617/$P$20)</f>
        <v>3.2731666697970864E-3</v>
      </c>
    </row>
    <row r="618" spans="1:12" x14ac:dyDescent="0.2">
      <c r="A618">
        <v>3800389</v>
      </c>
      <c r="B618">
        <v>2020</v>
      </c>
      <c r="C618" t="s">
        <v>252</v>
      </c>
      <c r="D618" t="s">
        <v>254</v>
      </c>
      <c r="E618" t="s">
        <v>256</v>
      </c>
      <c r="F618" s="5" t="s">
        <v>8</v>
      </c>
      <c r="G618" s="7">
        <v>266953</v>
      </c>
      <c r="H618" s="7" cm="1">
        <f t="array" ref="H618">_xlfn.IFS(B618=2015,L618*$P$3,B618=2016,L618*$P$4,B618=2017,L618*$P$5,B618=2018,L618*$P$6,B618=2019,L618*$P$7,B618=2020,L618*$P$8,B618=2021,L618*$P$9,B618=2022,L618*$P$10)</f>
        <v>6697.321723994437</v>
      </c>
      <c r="I618" s="7">
        <f t="shared" si="21"/>
        <v>273650.32172399445</v>
      </c>
      <c r="J618">
        <f>IFERROR(VLOOKUP(F618,'LEAID Match'!$A$2:$B$227,2,FALSE),"")</f>
        <v>3800389</v>
      </c>
      <c r="K618">
        <f t="shared" si="20"/>
        <v>8</v>
      </c>
      <c r="L618" cm="1">
        <f t="array" ref="L618">_xlfn.IFS(B618=2015,G618/$P$13,B618=2016,G618/$P$14,B618=2017,G618/$P$15,B618=2018,G618/$P$16,B618=2019,G618/$P$17,B618=2019,G618/$P$18,B618=2020,G618/$P$18,B618=2021,G618/$P$19,B618=2022,G618/$P$20)</f>
        <v>2.8694608928853628E-3</v>
      </c>
    </row>
    <row r="619" spans="1:12" x14ac:dyDescent="0.2">
      <c r="A619">
        <v>3800389</v>
      </c>
      <c r="B619" s="5">
        <v>2021</v>
      </c>
      <c r="C619" t="s">
        <v>252</v>
      </c>
      <c r="D619" t="s">
        <v>254</v>
      </c>
      <c r="E619" t="s">
        <v>256</v>
      </c>
      <c r="F619" s="5" t="s">
        <v>8</v>
      </c>
      <c r="G619" s="7">
        <v>271469</v>
      </c>
      <c r="H619" s="7" cm="1">
        <f t="array" ref="H619">_xlfn.IFS(B619=2015,L619*$P$3,B619=2016,L619*$P$4,B619=2017,L619*$P$5,B619=2018,L619*$P$6,B619=2019,L619*$P$7,B619=2020,L619*$P$8,B619=2021,L619*$P$9,B619=2022,L619*$P$10)</f>
        <v>7417.6986175413658</v>
      </c>
      <c r="I619" s="7">
        <f t="shared" si="21"/>
        <v>278886.69861754135</v>
      </c>
      <c r="J619">
        <f>IFERROR(VLOOKUP(F619,'LEAID Match'!$A$2:$B$227,2,FALSE),"")</f>
        <v>3800389</v>
      </c>
      <c r="K619">
        <f t="shared" si="20"/>
        <v>8</v>
      </c>
      <c r="L619" cm="1">
        <f t="array" ref="L619">_xlfn.IFS(B619=2015,G619/$P$13,B619=2016,G619/$P$14,B619=2017,G619/$P$15,B619=2018,G619/$P$16,B619=2019,G619/$P$17,B619=2019,G619/$P$18,B619=2020,G619/$P$18,B619=2021,G619/$P$19,B619=2022,G619/$P$20)</f>
        <v>2.7626438054157787E-3</v>
      </c>
    </row>
    <row r="620" spans="1:12" x14ac:dyDescent="0.2">
      <c r="A620">
        <v>3800389</v>
      </c>
      <c r="B620">
        <v>2022</v>
      </c>
      <c r="C620" t="s">
        <v>252</v>
      </c>
      <c r="D620" t="s">
        <v>254</v>
      </c>
      <c r="E620" t="s">
        <v>256</v>
      </c>
      <c r="F620" s="5" t="s">
        <v>8</v>
      </c>
      <c r="G620" s="7">
        <v>279006</v>
      </c>
      <c r="H620" s="7" cm="1">
        <f t="array" ref="H620">_xlfn.IFS(B620=2015,L620*$P$3,B620=2016,L620*$P$4,B620=2017,L620*$P$5,B620=2018,L620*$P$6,B620=2019,L620*$P$7,B620=2020,L620*$P$8,B620=2021,L620*$P$9,B620=2022,L620*$P$10)</f>
        <v>5678.4871933939203</v>
      </c>
      <c r="I620" s="7">
        <f t="shared" si="21"/>
        <v>284684.48719339393</v>
      </c>
      <c r="J620">
        <f>IFERROR(VLOOKUP(F620,'LEAID Match'!$A$2:$B$227,2,FALSE),"")</f>
        <v>3800389</v>
      </c>
      <c r="K620">
        <f t="shared" si="20"/>
        <v>8</v>
      </c>
      <c r="L620" cm="1">
        <f t="array" ref="L620">_xlfn.IFS(B620=2015,G620/$P$13,B620=2016,G620/$P$14,B620=2017,G620/$P$15,B620=2018,G620/$P$16,B620=2019,G620/$P$17,B620=2019,G620/$P$18,B620=2020,G620/$P$18,B620=2021,G620/$P$19,B620=2022,G620/$P$20)</f>
        <v>2.7808458341791972E-3</v>
      </c>
    </row>
    <row r="621" spans="1:12" x14ac:dyDescent="0.2">
      <c r="A621">
        <v>3810270</v>
      </c>
      <c r="B621">
        <v>2015</v>
      </c>
      <c r="C621" t="s">
        <v>252</v>
      </c>
      <c r="D621" t="s">
        <v>254</v>
      </c>
      <c r="E621" t="s">
        <v>256</v>
      </c>
      <c r="F621" s="5" t="s">
        <v>9</v>
      </c>
      <c r="G621" s="7">
        <v>325438</v>
      </c>
      <c r="H621" s="7" cm="1">
        <f t="array" ref="H621">_xlfn.IFS(B621=2015,L621*$P$3,B621=2016,L621*$P$4,B621=2017,L621*$P$5,B621=2018,L621*$P$6,B621=2019,L621*$P$7,B621=2020,L621*$P$8,B621=2021,L621*$P$9,B621=2022,L621*$P$10)</f>
        <v>7357.63992548019</v>
      </c>
      <c r="I621" s="7">
        <f t="shared" si="21"/>
        <v>332795.63992548018</v>
      </c>
      <c r="J621">
        <f>IFERROR(VLOOKUP(F621,'LEAID Match'!$A$2:$B$227,2,FALSE),"")</f>
        <v>3810270</v>
      </c>
      <c r="K621">
        <f t="shared" si="20"/>
        <v>8</v>
      </c>
      <c r="L621" cm="1">
        <f t="array" ref="L621">_xlfn.IFS(B621=2015,G621/$P$13,B621=2016,G621/$P$14,B621=2017,G621/$P$15,B621=2018,G621/$P$16,B621=2019,G621/$P$17,B621=2019,G621/$P$18,B621=2020,G621/$P$18,B621=2021,G621/$P$19,B621=2022,G621/$P$20)</f>
        <v>4.1498251130739931E-3</v>
      </c>
    </row>
    <row r="622" spans="1:12" x14ac:dyDescent="0.2">
      <c r="A622">
        <v>3810270</v>
      </c>
      <c r="B622">
        <v>2016</v>
      </c>
      <c r="C622" t="s">
        <v>252</v>
      </c>
      <c r="D622" t="s">
        <v>254</v>
      </c>
      <c r="E622" t="s">
        <v>256</v>
      </c>
      <c r="F622" s="5" t="s">
        <v>9</v>
      </c>
      <c r="G622" s="7">
        <v>336110</v>
      </c>
      <c r="H622" s="7" cm="1">
        <f t="array" ref="H622">_xlfn.IFS(B622=2015,L622*$P$3,B622=2016,L622*$P$4,B622=2017,L622*$P$5,B622=2018,L622*$P$6,B622=2019,L622*$P$7,B622=2020,L622*$P$8,B622=2021,L622*$P$9,B622=2022,L622*$P$10)</f>
        <v>11413.305378054938</v>
      </c>
      <c r="I622" s="7">
        <f t="shared" si="21"/>
        <v>347523.30537805497</v>
      </c>
      <c r="J622">
        <f>IFERROR(VLOOKUP(F622,'LEAID Match'!$A$2:$B$227,2,FALSE),"")</f>
        <v>3810270</v>
      </c>
      <c r="K622">
        <f t="shared" si="20"/>
        <v>8</v>
      </c>
      <c r="L622" cm="1">
        <f t="array" ref="L622">_xlfn.IFS(B622=2015,G622/$P$13,B622=2016,G622/$P$14,B622=2017,G622/$P$15,B622=2018,G622/$P$16,B622=2019,G622/$P$17,B622=2019,G622/$P$18,B622=2020,G622/$P$18,B622=2021,G622/$P$19,B622=2022,G622/$P$20)</f>
        <v>4.0573428290277061E-3</v>
      </c>
    </row>
    <row r="623" spans="1:12" x14ac:dyDescent="0.2">
      <c r="A623">
        <v>3810270</v>
      </c>
      <c r="B623">
        <v>2017</v>
      </c>
      <c r="C623" t="s">
        <v>252</v>
      </c>
      <c r="D623" t="s">
        <v>254</v>
      </c>
      <c r="E623" t="s">
        <v>256</v>
      </c>
      <c r="F623" s="5" t="s">
        <v>9</v>
      </c>
      <c r="G623" s="7">
        <v>348155</v>
      </c>
      <c r="H623" s="7" cm="1">
        <f t="array" ref="H623">_xlfn.IFS(B623=2015,L623*$P$3,B623=2016,L623*$P$4,B623=2017,L623*$P$5,B623=2018,L623*$P$6,B623=2019,L623*$P$7,B623=2020,L623*$P$8,B623=2021,L623*$P$9,B623=2022,L623*$P$10)</f>
        <v>11283.024910519674</v>
      </c>
      <c r="I623" s="7">
        <f t="shared" si="21"/>
        <v>359438.02491051966</v>
      </c>
      <c r="J623">
        <f>IFERROR(VLOOKUP(F623,'LEAID Match'!$A$2:$B$227,2,FALSE),"")</f>
        <v>3810270</v>
      </c>
      <c r="K623">
        <f t="shared" si="20"/>
        <v>8</v>
      </c>
      <c r="L623" cm="1">
        <f t="array" ref="L623">_xlfn.IFS(B623=2015,G623/$P$13,B623=2016,G623/$P$14,B623=2017,G623/$P$15,B623=2018,G623/$P$16,B623=2019,G623/$P$17,B623=2019,G623/$P$18,B623=2020,G623/$P$18,B623=2021,G623/$P$19,B623=2022,G623/$P$20)</f>
        <v>4.045544966123942E-3</v>
      </c>
    </row>
    <row r="624" spans="1:12" x14ac:dyDescent="0.2">
      <c r="A624">
        <v>3810270</v>
      </c>
      <c r="B624" s="5">
        <v>2018</v>
      </c>
      <c r="C624" t="s">
        <v>252</v>
      </c>
      <c r="D624" t="s">
        <v>254</v>
      </c>
      <c r="E624" t="s">
        <v>256</v>
      </c>
      <c r="F624" s="5" t="s">
        <v>9</v>
      </c>
      <c r="G624" s="7">
        <v>367531</v>
      </c>
      <c r="H624" s="7" cm="1">
        <f t="array" ref="H624">_xlfn.IFS(B624=2015,L624*$P$3,B624=2016,L624*$P$4,B624=2017,L624*$P$5,B624=2018,L624*$P$6,B624=2019,L624*$P$7,B624=2020,L624*$P$8,B624=2021,L624*$P$9,B624=2022,L624*$P$10)</f>
        <v>10070.712721632897</v>
      </c>
      <c r="I624" s="7">
        <f t="shared" si="21"/>
        <v>377601.71272163291</v>
      </c>
      <c r="J624">
        <f>IFERROR(VLOOKUP(F624,'LEAID Match'!$A$2:$B$227,2,FALSE),"")</f>
        <v>3810270</v>
      </c>
      <c r="K624">
        <f t="shared" si="20"/>
        <v>8</v>
      </c>
      <c r="L624" cm="1">
        <f t="array" ref="L624">_xlfn.IFS(B624=2015,G624/$P$13,B624=2016,G624/$P$14,B624=2017,G624/$P$15,B624=2018,G624/$P$16,B624=2019,G624/$P$17,B624=2019,G624/$P$18,B624=2020,G624/$P$18,B624=2021,G624/$P$19,B624=2022,G624/$P$20)</f>
        <v>4.2403000933191144E-3</v>
      </c>
    </row>
    <row r="625" spans="1:12" x14ac:dyDescent="0.2">
      <c r="A625">
        <v>3810270</v>
      </c>
      <c r="B625">
        <v>2019</v>
      </c>
      <c r="C625" t="s">
        <v>252</v>
      </c>
      <c r="D625" t="s">
        <v>254</v>
      </c>
      <c r="E625" t="s">
        <v>256</v>
      </c>
      <c r="F625" s="5" t="s">
        <v>9</v>
      </c>
      <c r="G625" s="7">
        <v>390736</v>
      </c>
      <c r="H625" s="7" cm="1">
        <f t="array" ref="H625">_xlfn.IFS(B625=2015,L625*$P$3,B625=2016,L625*$P$4,B625=2017,L625*$P$5,B625=2018,L625*$P$6,B625=2019,L625*$P$7,B625=2020,L625*$P$8,B625=2021,L625*$P$9,B625=2022,L625*$P$10)</f>
        <v>9068.9141290144271</v>
      </c>
      <c r="I625" s="7">
        <f t="shared" si="21"/>
        <v>399804.91412901442</v>
      </c>
      <c r="J625">
        <f>IFERROR(VLOOKUP(F625,'LEAID Match'!$A$2:$B$227,2,FALSE),"")</f>
        <v>3810270</v>
      </c>
      <c r="K625">
        <f t="shared" si="20"/>
        <v>8</v>
      </c>
      <c r="L625" cm="1">
        <f t="array" ref="L625">_xlfn.IFS(B625=2015,G625/$P$13,B625=2016,G625/$P$14,B625=2017,G625/$P$15,B625=2018,G625/$P$16,B625=2019,G625/$P$17,B625=2019,G625/$P$18,B625=2020,G625/$P$18,B625=2021,G625/$P$19,B625=2022,G625/$P$20)</f>
        <v>4.368455746153385E-3</v>
      </c>
    </row>
    <row r="626" spans="1:12" x14ac:dyDescent="0.2">
      <c r="A626">
        <v>3810270</v>
      </c>
      <c r="B626">
        <v>2020</v>
      </c>
      <c r="C626" t="s">
        <v>252</v>
      </c>
      <c r="D626" t="s">
        <v>254</v>
      </c>
      <c r="E626" t="s">
        <v>256</v>
      </c>
      <c r="F626" s="5" t="s">
        <v>9</v>
      </c>
      <c r="G626" s="7">
        <v>475888</v>
      </c>
      <c r="H626" s="7" cm="1">
        <f t="array" ref="H626">_xlfn.IFS(B626=2015,L626*$P$3,B626=2016,L626*$P$4,B626=2017,L626*$P$5,B626=2018,L626*$P$6,B626=2019,L626*$P$7,B626=2020,L626*$P$8,B626=2021,L626*$P$9,B626=2022,L626*$P$10)</f>
        <v>11939.086807746175</v>
      </c>
      <c r="I626" s="7">
        <f t="shared" si="21"/>
        <v>487827.08680774615</v>
      </c>
      <c r="J626">
        <f>IFERROR(VLOOKUP(F626,'LEAID Match'!$A$2:$B$227,2,FALSE),"")</f>
        <v>3810270</v>
      </c>
      <c r="K626">
        <f t="shared" si="20"/>
        <v>8</v>
      </c>
      <c r="L626" cm="1">
        <f t="array" ref="L626">_xlfn.IFS(B626=2015,G626/$P$13,B626=2016,G626/$P$14,B626=2017,G626/$P$15,B626=2018,G626/$P$16,B626=2019,G626/$P$17,B626=2019,G626/$P$18,B626=2020,G626/$P$18,B626=2021,G626/$P$19,B626=2022,G626/$P$20)</f>
        <v>5.1152899776118997E-3</v>
      </c>
    </row>
    <row r="627" spans="1:12" x14ac:dyDescent="0.2">
      <c r="A627">
        <v>3810270</v>
      </c>
      <c r="B627" s="5">
        <v>2021</v>
      </c>
      <c r="C627" t="s">
        <v>252</v>
      </c>
      <c r="D627" t="s">
        <v>254</v>
      </c>
      <c r="E627" t="s">
        <v>256</v>
      </c>
      <c r="F627" s="5" t="s">
        <v>9</v>
      </c>
      <c r="G627" s="7">
        <v>515300</v>
      </c>
      <c r="H627" s="7" cm="1">
        <f t="array" ref="H627">_xlfn.IFS(B627=2015,L627*$P$3,B627=2016,L627*$P$4,B627=2017,L627*$P$5,B627=2018,L627*$P$6,B627=2019,L627*$P$7,B627=2020,L627*$P$8,B627=2021,L627*$P$9,B627=2022,L627*$P$10)</f>
        <v>14080.208412817177</v>
      </c>
      <c r="I627" s="7">
        <f t="shared" si="21"/>
        <v>529380.20841281721</v>
      </c>
      <c r="J627">
        <f>IFERROR(VLOOKUP(F627,'LEAID Match'!$A$2:$B$227,2,FALSE),"")</f>
        <v>3810270</v>
      </c>
      <c r="K627">
        <f t="shared" si="20"/>
        <v>8</v>
      </c>
      <c r="L627" cm="1">
        <f t="array" ref="L627">_xlfn.IFS(B627=2015,G627/$P$13,B627=2016,G627/$P$14,B627=2017,G627/$P$15,B627=2018,G627/$P$16,B627=2019,G627/$P$17,B627=2019,G627/$P$18,B627=2020,G627/$P$18,B627=2021,G627/$P$19,B627=2022,G627/$P$20)</f>
        <v>5.2440254796339578E-3</v>
      </c>
    </row>
    <row r="628" spans="1:12" x14ac:dyDescent="0.2">
      <c r="A628">
        <v>3810270</v>
      </c>
      <c r="B628">
        <v>2022</v>
      </c>
      <c r="C628" t="s">
        <v>252</v>
      </c>
      <c r="D628" t="s">
        <v>254</v>
      </c>
      <c r="E628" t="s">
        <v>256</v>
      </c>
      <c r="F628" s="5" t="s">
        <v>9</v>
      </c>
      <c r="G628" s="7">
        <v>519999</v>
      </c>
      <c r="H628" s="7" cm="1">
        <f t="array" ref="H628">_xlfn.IFS(B628=2015,L628*$P$3,B628=2016,L628*$P$4,B628=2017,L628*$P$5,B628=2018,L628*$P$6,B628=2019,L628*$P$7,B628=2020,L628*$P$8,B628=2021,L628*$P$9,B628=2022,L628*$P$10)</f>
        <v>10583.312409330427</v>
      </c>
      <c r="I628" s="7">
        <f t="shared" si="21"/>
        <v>530582.31240933039</v>
      </c>
      <c r="J628">
        <f>IFERROR(VLOOKUP(F628,'LEAID Match'!$A$2:$B$227,2,FALSE),"")</f>
        <v>3810270</v>
      </c>
      <c r="K628">
        <f t="shared" si="20"/>
        <v>8</v>
      </c>
      <c r="L628" cm="1">
        <f t="array" ref="L628">_xlfn.IFS(B628=2015,G628/$P$13,B628=2016,G628/$P$14,B628=2017,G628/$P$15,B628=2018,G628/$P$16,B628=2019,G628/$P$17,B628=2019,G628/$P$18,B628=2020,G628/$P$18,B628=2021,G628/$P$19,B628=2022,G628/$P$20)</f>
        <v>5.1828170466848324E-3</v>
      </c>
    </row>
    <row r="629" spans="1:12" x14ac:dyDescent="0.2">
      <c r="A629">
        <v>3800025</v>
      </c>
      <c r="B629">
        <v>2015</v>
      </c>
      <c r="C629" t="s">
        <v>252</v>
      </c>
      <c r="D629" t="s">
        <v>254</v>
      </c>
      <c r="E629" t="s">
        <v>256</v>
      </c>
      <c r="F629" s="5" t="s">
        <v>10</v>
      </c>
      <c r="G629" s="7">
        <v>389367</v>
      </c>
      <c r="H629" s="7" cm="1">
        <f t="array" ref="H629">_xlfn.IFS(B629=2015,L629*$P$3,B629=2016,L629*$P$4,B629=2017,L629*$P$5,B629=2018,L629*$P$6,B629=2019,L629*$P$7,B629=2020,L629*$P$8,B629=2021,L629*$P$9,B629=2022,L629*$P$10)</f>
        <v>8802.9737918265382</v>
      </c>
      <c r="I629" s="7">
        <f t="shared" si="21"/>
        <v>398169.97379182652</v>
      </c>
      <c r="J629">
        <f>IFERROR(VLOOKUP(F629,'LEAID Match'!$A$2:$B$227,2,FALSE),"")</f>
        <v>3800025</v>
      </c>
      <c r="K629">
        <f t="shared" si="20"/>
        <v>8</v>
      </c>
      <c r="L629" cm="1">
        <f t="array" ref="L629">_xlfn.IFS(B629=2015,G629/$P$13,B629=2016,G629/$P$14,B629=2017,G629/$P$15,B629=2018,G629/$P$16,B629=2019,G629/$P$17,B629=2019,G629/$P$18,B629=2020,G629/$P$18,B629=2021,G629/$P$19,B629=2022,G629/$P$20)</f>
        <v>4.9650162390448612E-3</v>
      </c>
    </row>
    <row r="630" spans="1:12" x14ac:dyDescent="0.2">
      <c r="A630">
        <v>3800025</v>
      </c>
      <c r="B630">
        <v>2016</v>
      </c>
      <c r="C630" t="s">
        <v>252</v>
      </c>
      <c r="D630" t="s">
        <v>254</v>
      </c>
      <c r="E630" t="s">
        <v>256</v>
      </c>
      <c r="F630" s="5" t="s">
        <v>10</v>
      </c>
      <c r="G630" s="7">
        <v>397502</v>
      </c>
      <c r="H630" s="7" cm="1">
        <f t="array" ref="H630">_xlfn.IFS(B630=2015,L630*$P$3,B630=2016,L630*$P$4,B630=2017,L630*$P$5,B630=2018,L630*$P$6,B630=2019,L630*$P$7,B630=2020,L630*$P$8,B630=2021,L630*$P$9,B630=2022,L630*$P$10)</f>
        <v>13497.996829572445</v>
      </c>
      <c r="I630" s="7">
        <f t="shared" si="21"/>
        <v>410999.99682957242</v>
      </c>
      <c r="J630">
        <f>IFERROR(VLOOKUP(F630,'LEAID Match'!$A$2:$B$227,2,FALSE),"")</f>
        <v>3800025</v>
      </c>
      <c r="K630">
        <f t="shared" si="20"/>
        <v>8</v>
      </c>
      <c r="L630" cm="1">
        <f t="array" ref="L630">_xlfn.IFS(B630=2015,G630/$P$13,B630=2016,G630/$P$14,B630=2017,G630/$P$15,B630=2018,G630/$P$16,B630=2019,G630/$P$17,B630=2019,G630/$P$18,B630=2020,G630/$P$18,B630=2021,G630/$P$19,B630=2022,G630/$P$20)</f>
        <v>4.7984347065668127E-3</v>
      </c>
    </row>
    <row r="631" spans="1:12" x14ac:dyDescent="0.2">
      <c r="A631">
        <v>3800025</v>
      </c>
      <c r="B631">
        <v>2017</v>
      </c>
      <c r="C631" t="s">
        <v>252</v>
      </c>
      <c r="D631" t="s">
        <v>254</v>
      </c>
      <c r="E631" t="s">
        <v>256</v>
      </c>
      <c r="F631" s="5" t="s">
        <v>10</v>
      </c>
      <c r="G631" s="7">
        <v>418300</v>
      </c>
      <c r="H631" s="7" cm="1">
        <f t="array" ref="H631">_xlfn.IFS(B631=2015,L631*$P$3,B631=2016,L631*$P$4,B631=2017,L631*$P$5,B631=2018,L631*$P$6,B631=2019,L631*$P$7,B631=2020,L631*$P$8,B631=2021,L631*$P$9,B631=2022,L631*$P$10)</f>
        <v>13556.287630711551</v>
      </c>
      <c r="I631" s="7">
        <f t="shared" si="21"/>
        <v>431856.28763071157</v>
      </c>
      <c r="J631">
        <f>IFERROR(VLOOKUP(F631,'LEAID Match'!$A$2:$B$227,2,FALSE),"")</f>
        <v>3800025</v>
      </c>
      <c r="K631">
        <f t="shared" si="20"/>
        <v>8</v>
      </c>
      <c r="L631" cm="1">
        <f t="array" ref="L631">_xlfn.IFS(B631=2015,G631/$P$13,B631=2016,G631/$P$14,B631=2017,G631/$P$15,B631=2018,G631/$P$16,B631=2019,G631/$P$17,B631=2019,G631/$P$18,B631=2020,G631/$P$18,B631=2021,G631/$P$19,B631=2022,G631/$P$20)</f>
        <v>4.8606266155294198E-3</v>
      </c>
    </row>
    <row r="632" spans="1:12" x14ac:dyDescent="0.2">
      <c r="A632">
        <v>3800025</v>
      </c>
      <c r="B632" s="5">
        <v>2018</v>
      </c>
      <c r="C632" t="s">
        <v>252</v>
      </c>
      <c r="D632" t="s">
        <v>254</v>
      </c>
      <c r="E632" t="s">
        <v>256</v>
      </c>
      <c r="F632" s="5" t="s">
        <v>10</v>
      </c>
      <c r="G632" s="7">
        <v>432782</v>
      </c>
      <c r="H632" s="7" cm="1">
        <f t="array" ref="H632">_xlfn.IFS(B632=2015,L632*$P$3,B632=2016,L632*$P$4,B632=2017,L632*$P$5,B632=2018,L632*$P$6,B632=2019,L632*$P$7,B632=2020,L632*$P$8,B632=2021,L632*$P$9,B632=2022,L632*$P$10)</f>
        <v>11858.654625307057</v>
      </c>
      <c r="I632" s="7">
        <f t="shared" si="21"/>
        <v>444640.65462530707</v>
      </c>
      <c r="J632">
        <f>IFERROR(VLOOKUP(F632,'LEAID Match'!$A$2:$B$227,2,FALSE),"")</f>
        <v>3800025</v>
      </c>
      <c r="K632">
        <f t="shared" si="20"/>
        <v>8</v>
      </c>
      <c r="L632" cm="1">
        <f t="array" ref="L632">_xlfn.IFS(B632=2015,G632/$P$13,B632=2016,G632/$P$14,B632=2017,G632/$P$15,B632=2018,G632/$P$16,B632=2019,G632/$P$17,B632=2019,G632/$P$18,B632=2020,G632/$P$18,B632=2021,G632/$P$19,B632=2022,G632/$P$20)</f>
        <v>4.9931177369713928E-3</v>
      </c>
    </row>
    <row r="633" spans="1:12" x14ac:dyDescent="0.2">
      <c r="A633">
        <v>3800025</v>
      </c>
      <c r="B633">
        <v>2019</v>
      </c>
      <c r="C633" t="s">
        <v>252</v>
      </c>
      <c r="D633" t="s">
        <v>254</v>
      </c>
      <c r="E633" t="s">
        <v>256</v>
      </c>
      <c r="F633" s="5" t="s">
        <v>10</v>
      </c>
      <c r="G633" s="7">
        <v>451273</v>
      </c>
      <c r="H633" s="7" cm="1">
        <f t="array" ref="H633">_xlfn.IFS(B633=2015,L633*$P$3,B633=2016,L633*$P$4,B633=2017,L633*$P$5,B633=2018,L633*$P$6,B633=2019,L633*$P$7,B633=2020,L633*$P$8,B633=2021,L633*$P$9,B633=2022,L633*$P$10)</f>
        <v>10473.967296954281</v>
      </c>
      <c r="I633" s="7">
        <f t="shared" si="21"/>
        <v>461746.9672969543</v>
      </c>
      <c r="J633">
        <f>IFERROR(VLOOKUP(F633,'LEAID Match'!$A$2:$B$227,2,FALSE),"")</f>
        <v>3800025</v>
      </c>
      <c r="K633">
        <f t="shared" si="20"/>
        <v>8</v>
      </c>
      <c r="L633" cm="1">
        <f t="array" ref="L633">_xlfn.IFS(B633=2015,G633/$P$13,B633=2016,G633/$P$14,B633=2017,G633/$P$15,B633=2018,G633/$P$16,B633=2019,G633/$P$17,B633=2019,G633/$P$18,B633=2020,G633/$P$18,B633=2021,G633/$P$19,B633=2022,G633/$P$20)</f>
        <v>5.0452636305174763E-3</v>
      </c>
    </row>
    <row r="634" spans="1:12" x14ac:dyDescent="0.2">
      <c r="A634">
        <v>3800025</v>
      </c>
      <c r="B634">
        <v>2020</v>
      </c>
      <c r="C634" t="s">
        <v>252</v>
      </c>
      <c r="D634" t="s">
        <v>254</v>
      </c>
      <c r="E634" t="s">
        <v>256</v>
      </c>
      <c r="F634" s="5" t="s">
        <v>10</v>
      </c>
      <c r="G634" s="7">
        <v>479929</v>
      </c>
      <c r="H634" s="7" cm="1">
        <f t="array" ref="H634">_xlfn.IFS(B634=2015,L634*$P$3,B634=2016,L634*$P$4,B634=2017,L634*$P$5,B634=2018,L634*$P$6,B634=2019,L634*$P$7,B634=2020,L634*$P$8,B634=2021,L634*$P$9,B634=2022,L634*$P$10)</f>
        <v>12040.467489314322</v>
      </c>
      <c r="I634" s="7">
        <f t="shared" si="21"/>
        <v>491969.46748931432</v>
      </c>
      <c r="J634">
        <f>IFERROR(VLOOKUP(F634,'LEAID Match'!$A$2:$B$227,2,FALSE),"")</f>
        <v>3800025</v>
      </c>
      <c r="K634">
        <f t="shared" si="20"/>
        <v>8</v>
      </c>
      <c r="L634" cm="1">
        <f t="array" ref="L634">_xlfn.IFS(B634=2015,G634/$P$13,B634=2016,G634/$P$14,B634=2017,G634/$P$15,B634=2018,G634/$P$16,B634=2019,G634/$P$17,B634=2019,G634/$P$18,B634=2020,G634/$P$18,B634=2021,G634/$P$19,B634=2022,G634/$P$20)</f>
        <v>5.1587264307259304E-3</v>
      </c>
    </row>
    <row r="635" spans="1:12" x14ac:dyDescent="0.2">
      <c r="A635">
        <v>3800025</v>
      </c>
      <c r="B635" s="5">
        <v>2021</v>
      </c>
      <c r="C635" t="s">
        <v>252</v>
      </c>
      <c r="D635" t="s">
        <v>254</v>
      </c>
      <c r="E635" t="s">
        <v>256</v>
      </c>
      <c r="F635" s="5" t="s">
        <v>10</v>
      </c>
      <c r="G635" s="7">
        <v>533332</v>
      </c>
      <c r="H635" s="7" cm="1">
        <f t="array" ref="H635">_xlfn.IFS(B635=2015,L635*$P$3,B635=2016,L635*$P$4,B635=2017,L635*$P$5,B635=2018,L635*$P$6,B635=2019,L635*$P$7,B635=2020,L635*$P$8,B635=2021,L635*$P$9,B635=2022,L635*$P$10)</f>
        <v>14572.920072238716</v>
      </c>
      <c r="I635" s="7">
        <f t="shared" si="21"/>
        <v>547904.92007223866</v>
      </c>
      <c r="J635">
        <f>IFERROR(VLOOKUP(F635,'LEAID Match'!$A$2:$B$227,2,FALSE),"")</f>
        <v>3800025</v>
      </c>
      <c r="K635">
        <f t="shared" si="20"/>
        <v>8</v>
      </c>
      <c r="L635" cm="1">
        <f t="array" ref="L635">_xlfn.IFS(B635=2015,G635/$P$13,B635=2016,G635/$P$14,B635=2017,G635/$P$15,B635=2018,G635/$P$16,B635=2019,G635/$P$17,B635=2019,G635/$P$18,B635=2020,G635/$P$18,B635=2021,G635/$P$19,B635=2022,G635/$P$20)</f>
        <v>5.427530753161533E-3</v>
      </c>
    </row>
    <row r="636" spans="1:12" x14ac:dyDescent="0.2">
      <c r="A636">
        <v>3800025</v>
      </c>
      <c r="B636">
        <v>2022</v>
      </c>
      <c r="C636" t="s">
        <v>252</v>
      </c>
      <c r="D636" t="s">
        <v>254</v>
      </c>
      <c r="E636" t="s">
        <v>256</v>
      </c>
      <c r="F636" s="5" t="s">
        <v>10</v>
      </c>
      <c r="G636" s="7">
        <v>557577</v>
      </c>
      <c r="H636" s="7" cm="1">
        <f t="array" ref="H636">_xlfn.IFS(B636=2015,L636*$P$3,B636=2016,L636*$P$4,B636=2017,L636*$P$5,B636=2018,L636*$P$6,B636=2019,L636*$P$7,B636=2020,L636*$P$8,B636=2021,L636*$P$9,B636=2022,L636*$P$10)</f>
        <v>11348.121021881258</v>
      </c>
      <c r="I636" s="7">
        <f t="shared" si="21"/>
        <v>568925.12102188123</v>
      </c>
      <c r="J636">
        <f>IFERROR(VLOOKUP(F636,'LEAID Match'!$A$2:$B$227,2,FALSE),"")</f>
        <v>3800025</v>
      </c>
      <c r="K636">
        <f t="shared" si="20"/>
        <v>8</v>
      </c>
      <c r="L636" cm="1">
        <f t="array" ref="L636">_xlfn.IFS(B636=2015,G636/$P$13,B636=2016,G636/$P$14,B636=2017,G636/$P$15,B636=2018,G636/$P$16,B636=2019,G636/$P$17,B636=2019,G636/$P$18,B636=2020,G636/$P$18,B636=2021,G636/$P$19,B636=2022,G636/$P$20)</f>
        <v>5.5573560342219675E-3</v>
      </c>
    </row>
    <row r="637" spans="1:12" x14ac:dyDescent="0.2">
      <c r="A637">
        <v>3810500</v>
      </c>
      <c r="B637">
        <v>2015</v>
      </c>
      <c r="C637" t="s">
        <v>252</v>
      </c>
      <c r="D637" t="s">
        <v>254</v>
      </c>
      <c r="E637" t="s">
        <v>256</v>
      </c>
      <c r="F637" s="5" t="s">
        <v>225</v>
      </c>
      <c r="G637" s="7">
        <v>133834</v>
      </c>
      <c r="H637" s="7" cm="1">
        <f t="array" ref="H637">_xlfn.IFS(B637=2015,L637*$P$3,B637=2016,L637*$P$4,B637=2017,L637*$P$5,B637=2018,L637*$P$6,B637=2019,L637*$P$7,B637=2020,L637*$P$8,B637=2021,L637*$P$9,B637=2022,L637*$P$10)</f>
        <v>3025.775667828329</v>
      </c>
      <c r="I637" s="7">
        <f t="shared" si="21"/>
        <v>136859.77566782833</v>
      </c>
      <c r="J637">
        <f>IFERROR(VLOOKUP(F637,'LEAID Match'!$A$2:$B$227,2,FALSE),"")</f>
        <v>3810500</v>
      </c>
      <c r="K637">
        <f t="shared" si="20"/>
        <v>8</v>
      </c>
      <c r="L637" cm="1">
        <f t="array" ref="L637">_xlfn.IFS(B637=2015,G637/$P$13,B637=2016,G637/$P$14,B637=2017,G637/$P$15,B637=2018,G637/$P$16,B637=2019,G637/$P$17,B637=2019,G637/$P$18,B637=2020,G637/$P$18,B637=2021,G637/$P$19,B637=2022,G637/$P$20)</f>
        <v>1.7065852610424867E-3</v>
      </c>
    </row>
    <row r="638" spans="1:12" x14ac:dyDescent="0.2">
      <c r="A638">
        <v>3810500</v>
      </c>
      <c r="B638">
        <v>2016</v>
      </c>
      <c r="C638" t="s">
        <v>252</v>
      </c>
      <c r="D638" t="s">
        <v>254</v>
      </c>
      <c r="E638" t="s">
        <v>256</v>
      </c>
      <c r="F638" s="5" t="s">
        <v>225</v>
      </c>
      <c r="G638" s="7">
        <v>135976</v>
      </c>
      <c r="H638" s="7" cm="1">
        <f t="array" ref="H638">_xlfn.IFS(B638=2015,L638*$P$3,B638=2016,L638*$P$4,B638=2017,L638*$P$5,B638=2018,L638*$P$6,B638=2019,L638*$P$7,B638=2020,L638*$P$8,B638=2021,L638*$P$9,B638=2022,L638*$P$10)</f>
        <v>4617.3443577590615</v>
      </c>
      <c r="I638" s="7">
        <f t="shared" si="21"/>
        <v>140593.34435775905</v>
      </c>
      <c r="J638">
        <f>IFERROR(VLOOKUP(F638,'LEAID Match'!$A$2:$B$227,2,FALSE),"")</f>
        <v>3810500</v>
      </c>
      <c r="K638">
        <f t="shared" si="20"/>
        <v>8</v>
      </c>
      <c r="L638" cm="1">
        <f t="array" ref="L638">_xlfn.IFS(B638=2015,G638/$P$13,B638=2016,G638/$P$14,B638=2017,G638/$P$15,B638=2018,G638/$P$16,B638=2019,G638/$P$17,B638=2019,G638/$P$18,B638=2020,G638/$P$18,B638=2021,G638/$P$19,B638=2022,G638/$P$20)</f>
        <v>1.6414306284248353E-3</v>
      </c>
    </row>
    <row r="639" spans="1:12" x14ac:dyDescent="0.2">
      <c r="A639">
        <v>3810500</v>
      </c>
      <c r="B639">
        <v>2017</v>
      </c>
      <c r="C639" t="s">
        <v>252</v>
      </c>
      <c r="D639" t="s">
        <v>254</v>
      </c>
      <c r="E639" t="s">
        <v>256</v>
      </c>
      <c r="F639" s="5" t="s">
        <v>225</v>
      </c>
      <c r="G639" s="7">
        <v>128125</v>
      </c>
      <c r="H639" s="7" cm="1">
        <f t="array" ref="H639">_xlfn.IFS(B639=2015,L639*$P$3,B639=2016,L639*$P$4,B639=2017,L639*$P$5,B639=2018,L639*$P$6,B639=2019,L639*$P$7,B639=2020,L639*$P$8,B639=2021,L639*$P$9,B639=2022,L639*$P$10)</f>
        <v>4152.2815029522289</v>
      </c>
      <c r="I639" s="7">
        <f t="shared" si="21"/>
        <v>132277.28150295222</v>
      </c>
      <c r="J639">
        <f>IFERROR(VLOOKUP(F639,'LEAID Match'!$A$2:$B$227,2,FALSE),"")</f>
        <v>3810500</v>
      </c>
      <c r="K639">
        <f t="shared" si="20"/>
        <v>8</v>
      </c>
      <c r="L639" cm="1">
        <f t="array" ref="L639">_xlfn.IFS(B639=2015,G639/$P$13,B639=2016,G639/$P$14,B639=2017,G639/$P$15,B639=2018,G639/$P$16,B639=2019,G639/$P$17,B639=2019,G639/$P$18,B639=2020,G639/$P$18,B639=2021,G639/$P$19,B639=2022,G639/$P$20)</f>
        <v>1.4888065625501001E-3</v>
      </c>
    </row>
    <row r="640" spans="1:12" x14ac:dyDescent="0.2">
      <c r="A640">
        <v>3810500</v>
      </c>
      <c r="B640" s="5">
        <v>2018</v>
      </c>
      <c r="C640" t="s">
        <v>252</v>
      </c>
      <c r="D640" t="s">
        <v>254</v>
      </c>
      <c r="E640" t="s">
        <v>256</v>
      </c>
      <c r="F640" s="5" t="s">
        <v>225</v>
      </c>
      <c r="G640" s="7">
        <v>133432</v>
      </c>
      <c r="H640" s="7" cm="1">
        <f t="array" ref="H640">_xlfn.IFS(B640=2015,L640*$P$3,B640=2016,L640*$P$4,B640=2017,L640*$P$5,B640=2018,L640*$P$6,B640=2019,L640*$P$7,B640=2020,L640*$P$8,B640=2021,L640*$P$9,B640=2022,L640*$P$10)</f>
        <v>3656.1687037907568</v>
      </c>
      <c r="I640" s="7">
        <f t="shared" si="21"/>
        <v>137088.16870379075</v>
      </c>
      <c r="J640">
        <f>IFERROR(VLOOKUP(F640,'LEAID Match'!$A$2:$B$227,2,FALSE),"")</f>
        <v>3810500</v>
      </c>
      <c r="K640">
        <f t="shared" si="20"/>
        <v>8</v>
      </c>
      <c r="L640" cm="1">
        <f t="array" ref="L640">_xlfn.IFS(B640=2015,G640/$P$13,B640=2016,G640/$P$14,B640=2017,G640/$P$15,B640=2018,G640/$P$16,B640=2019,G640/$P$17,B640=2019,G640/$P$18,B640=2020,G640/$P$18,B640=2021,G640/$P$19,B640=2022,G640/$P$20)</f>
        <v>1.539439454227687E-3</v>
      </c>
    </row>
    <row r="641" spans="1:12" x14ac:dyDescent="0.2">
      <c r="A641">
        <v>3810500</v>
      </c>
      <c r="B641">
        <v>2019</v>
      </c>
      <c r="C641" t="s">
        <v>252</v>
      </c>
      <c r="D641" t="s">
        <v>254</v>
      </c>
      <c r="E641" t="s">
        <v>256</v>
      </c>
      <c r="F641" s="5" t="s">
        <v>225</v>
      </c>
      <c r="G641" s="7">
        <v>128204</v>
      </c>
      <c r="H641" s="7" cm="1">
        <f t="array" ref="H641">_xlfn.IFS(B641=2015,L641*$P$3,B641=2016,L641*$P$4,B641=2017,L641*$P$5,B641=2018,L641*$P$6,B641=2019,L641*$P$7,B641=2020,L641*$P$8,B641=2021,L641*$P$9,B641=2022,L641*$P$10)</f>
        <v>2975.5923871774439</v>
      </c>
      <c r="I641" s="7">
        <f t="shared" si="21"/>
        <v>131179.59238717746</v>
      </c>
      <c r="J641">
        <f>IFERROR(VLOOKUP(F641,'LEAID Match'!$A$2:$B$227,2,FALSE),"")</f>
        <v>3810500</v>
      </c>
      <c r="K641">
        <f t="shared" si="20"/>
        <v>8</v>
      </c>
      <c r="L641" cm="1">
        <f t="array" ref="L641">_xlfn.IFS(B641=2015,G641/$P$13,B641=2016,G641/$P$14,B641=2017,G641/$P$15,B641=2018,G641/$P$16,B641=2019,G641/$P$17,B641=2019,G641/$P$18,B641=2020,G641/$P$18,B641=2021,G641/$P$19,B641=2022,G641/$P$20)</f>
        <v>1.433329666270445E-3</v>
      </c>
    </row>
    <row r="642" spans="1:12" x14ac:dyDescent="0.2">
      <c r="A642">
        <v>3810500</v>
      </c>
      <c r="B642">
        <v>2020</v>
      </c>
      <c r="C642" t="s">
        <v>252</v>
      </c>
      <c r="D642" t="s">
        <v>254</v>
      </c>
      <c r="E642" t="s">
        <v>256</v>
      </c>
      <c r="F642" s="5" t="s">
        <v>225</v>
      </c>
      <c r="G642" s="7">
        <v>133497</v>
      </c>
      <c r="H642" s="7" cm="1">
        <f t="array" ref="H642">_xlfn.IFS(B642=2015,L642*$P$3,B642=2016,L642*$P$4,B642=2017,L642*$P$5,B642=2018,L642*$P$6,B642=2019,L642*$P$7,B642=2020,L642*$P$8,B642=2021,L642*$P$9,B642=2022,L642*$P$10)</f>
        <v>3349.1751663704299</v>
      </c>
      <c r="I642" s="7">
        <f t="shared" si="21"/>
        <v>136846.17516637043</v>
      </c>
      <c r="J642">
        <f>IFERROR(VLOOKUP(F642,'LEAID Match'!$A$2:$B$227,2,FALSE),"")</f>
        <v>3810500</v>
      </c>
      <c r="K642">
        <f t="shared" ref="K642:K705" si="22">COUNTIF($A$2:$A$1757,A642)</f>
        <v>8</v>
      </c>
      <c r="L642" cm="1">
        <f t="array" ref="L642">_xlfn.IFS(B642=2015,G642/$P$13,B642=2016,G642/$P$14,B642=2017,G642/$P$15,B642=2018,G642/$P$16,B642=2019,G642/$P$17,B642=2019,G642/$P$18,B642=2020,G642/$P$18,B642=2021,G642/$P$19,B642=2022,G642/$P$20)</f>
        <v>1.4349507996445714E-3</v>
      </c>
    </row>
    <row r="643" spans="1:12" x14ac:dyDescent="0.2">
      <c r="A643">
        <v>3810500</v>
      </c>
      <c r="B643" s="5">
        <v>2021</v>
      </c>
      <c r="C643" t="s">
        <v>252</v>
      </c>
      <c r="D643" t="s">
        <v>254</v>
      </c>
      <c r="E643" t="s">
        <v>256</v>
      </c>
      <c r="F643" s="5" t="s">
        <v>225</v>
      </c>
      <c r="G643" s="7">
        <v>139673</v>
      </c>
      <c r="H643" s="7" cm="1">
        <f t="array" ref="H643">_xlfn.IFS(B643=2015,L643*$P$3,B643=2016,L643*$P$4,B643=2017,L643*$P$5,B643=2018,L643*$P$6,B643=2019,L643*$P$7,B643=2020,L643*$P$8,B643=2021,L643*$P$9,B643=2022,L643*$P$10)</f>
        <v>3816.4660385084676</v>
      </c>
      <c r="I643" s="7">
        <f t="shared" ref="I643:I706" si="23">SUM(G643:H643)</f>
        <v>143489.46603850846</v>
      </c>
      <c r="J643">
        <f>IFERROR(VLOOKUP(F643,'LEAID Match'!$A$2:$B$227,2,FALSE),"")</f>
        <v>3810500</v>
      </c>
      <c r="K643">
        <f t="shared" si="22"/>
        <v>8</v>
      </c>
      <c r="L643" cm="1">
        <f t="array" ref="L643">_xlfn.IFS(B643=2015,G643/$P$13,B643=2016,G643/$P$14,B643=2017,G643/$P$15,B643=2018,G643/$P$16,B643=2019,G643/$P$17,B643=2019,G643/$P$18,B643=2020,G643/$P$18,B643=2021,G643/$P$19,B643=2022,G643/$P$20)</f>
        <v>1.4214026214184237E-3</v>
      </c>
    </row>
    <row r="644" spans="1:12" x14ac:dyDescent="0.2">
      <c r="A644">
        <v>3810500</v>
      </c>
      <c r="B644">
        <v>2022</v>
      </c>
      <c r="C644" t="s">
        <v>252</v>
      </c>
      <c r="D644" t="s">
        <v>254</v>
      </c>
      <c r="E644" t="s">
        <v>256</v>
      </c>
      <c r="F644" s="5" t="s">
        <v>225</v>
      </c>
      <c r="G644" s="7">
        <v>133583</v>
      </c>
      <c r="H644" s="7" cm="1">
        <f t="array" ref="H644">_xlfn.IFS(B644=2015,L644*$P$3,B644=2016,L644*$P$4,B644=2017,L644*$P$5,B644=2018,L644*$P$6,B644=2019,L644*$P$7,B644=2020,L644*$P$8,B644=2021,L644*$P$9,B644=2022,L644*$P$10)</f>
        <v>2718.7564237154043</v>
      </c>
      <c r="I644" s="7">
        <f t="shared" si="23"/>
        <v>136301.75642371541</v>
      </c>
      <c r="J644">
        <f>IFERROR(VLOOKUP(F644,'LEAID Match'!$A$2:$B$227,2,FALSE),"")</f>
        <v>3810500</v>
      </c>
      <c r="K644">
        <f t="shared" si="22"/>
        <v>8</v>
      </c>
      <c r="L644" cm="1">
        <f t="array" ref="L644">_xlfn.IFS(B644=2015,G644/$P$13,B644=2016,G644/$P$14,B644=2017,G644/$P$15,B644=2018,G644/$P$16,B644=2019,G644/$P$17,B644=2019,G644/$P$18,B644=2020,G644/$P$18,B644=2021,G644/$P$19,B644=2022,G644/$P$20)</f>
        <v>1.3314184249340864E-3</v>
      </c>
    </row>
    <row r="645" spans="1:12" x14ac:dyDescent="0.2">
      <c r="A645">
        <v>3880280</v>
      </c>
      <c r="B645">
        <v>2015</v>
      </c>
      <c r="C645" t="s">
        <v>252</v>
      </c>
      <c r="D645" t="s">
        <v>254</v>
      </c>
      <c r="E645" t="s">
        <v>256</v>
      </c>
      <c r="F645" s="5" t="s">
        <v>11</v>
      </c>
      <c r="G645" s="7">
        <v>217341</v>
      </c>
      <c r="H645" s="7" cm="1">
        <f t="array" ref="H645">_xlfn.IFS(B645=2015,L645*$P$3,B645=2016,L645*$P$4,B645=2017,L645*$P$5,B645=2018,L645*$P$6,B645=2019,L645*$P$7,B645=2020,L645*$P$8,B645=2021,L645*$P$9,B645=2022,L645*$P$10)</f>
        <v>4913.7372373348844</v>
      </c>
      <c r="I645" s="7">
        <f t="shared" si="23"/>
        <v>222254.73723733489</v>
      </c>
      <c r="J645">
        <f>IFERROR(VLOOKUP(F645,'LEAID Match'!$A$2:$B$227,2,FALSE),"")</f>
        <v>3880280</v>
      </c>
      <c r="K645">
        <f t="shared" si="22"/>
        <v>8</v>
      </c>
      <c r="L645" cm="1">
        <f t="array" ref="L645">_xlfn.IFS(B645=2015,G645/$P$13,B645=2016,G645/$P$14,B645=2017,G645/$P$15,B645=2018,G645/$P$16,B645=2019,G645/$P$17,B645=2019,G645/$P$18,B645=2020,G645/$P$18,B645=2021,G645/$P$19,B645=2022,G645/$P$20)</f>
        <v>2.7714254017681241E-3</v>
      </c>
    </row>
    <row r="646" spans="1:12" x14ac:dyDescent="0.2">
      <c r="A646">
        <v>3880280</v>
      </c>
      <c r="B646">
        <v>2016</v>
      </c>
      <c r="C646" t="s">
        <v>252</v>
      </c>
      <c r="D646" t="s">
        <v>254</v>
      </c>
      <c r="E646" t="s">
        <v>256</v>
      </c>
      <c r="F646" s="5" t="s">
        <v>11</v>
      </c>
      <c r="G646" s="7">
        <v>213698</v>
      </c>
      <c r="H646" s="7" cm="1">
        <f t="array" ref="H646">_xlfn.IFS(B646=2015,L646*$P$3,B646=2016,L646*$P$4,B646=2017,L646*$P$5,B646=2018,L646*$P$6,B646=2019,L646*$P$7,B646=2020,L646*$P$8,B646=2021,L646*$P$9,B646=2022,L646*$P$10)</f>
        <v>7256.5544990615699</v>
      </c>
      <c r="I646" s="7">
        <f t="shared" si="23"/>
        <v>220954.55449906157</v>
      </c>
      <c r="J646">
        <f>IFERROR(VLOOKUP(F646,'LEAID Match'!$A$2:$B$227,2,FALSE),"")</f>
        <v>3880280</v>
      </c>
      <c r="K646">
        <f t="shared" si="22"/>
        <v>8</v>
      </c>
      <c r="L646" cm="1">
        <f t="array" ref="L646">_xlfn.IFS(B646=2015,G646/$P$13,B646=2016,G646/$P$14,B646=2017,G646/$P$15,B646=2018,G646/$P$16,B646=2019,G646/$P$17,B646=2019,G646/$P$18,B646=2020,G646/$P$18,B646=2021,G646/$P$19,B646=2022,G646/$P$20)</f>
        <v>2.5796496619486563E-3</v>
      </c>
    </row>
    <row r="647" spans="1:12" x14ac:dyDescent="0.2">
      <c r="A647">
        <v>3880280</v>
      </c>
      <c r="B647">
        <v>2017</v>
      </c>
      <c r="C647" t="s">
        <v>252</v>
      </c>
      <c r="D647" t="s">
        <v>254</v>
      </c>
      <c r="E647" t="s">
        <v>256</v>
      </c>
      <c r="F647" s="5" t="s">
        <v>11</v>
      </c>
      <c r="G647" s="7">
        <v>219624</v>
      </c>
      <c r="H647" s="7" cm="1">
        <f t="array" ref="H647">_xlfn.IFS(B647=2015,L647*$P$3,B647=2016,L647*$P$4,B647=2017,L647*$P$5,B647=2018,L647*$P$6,B647=2019,L647*$P$7,B647=2020,L647*$P$8,B647=2021,L647*$P$9,B647=2022,L647*$P$10)</f>
        <v>7117.5857389610173</v>
      </c>
      <c r="I647" s="7">
        <f t="shared" si="23"/>
        <v>226741.585738961</v>
      </c>
      <c r="J647">
        <f>IFERROR(VLOOKUP(F647,'LEAID Match'!$A$2:$B$227,2,FALSE),"")</f>
        <v>3880280</v>
      </c>
      <c r="K647">
        <f t="shared" si="22"/>
        <v>8</v>
      </c>
      <c r="L647" cm="1">
        <f t="array" ref="L647">_xlfn.IFS(B647=2015,G647/$P$13,B647=2016,G647/$P$14,B647=2017,G647/$P$15,B647=2018,G647/$P$16,B647=2019,G647/$P$17,B647=2019,G647/$P$18,B647=2020,G647/$P$18,B647=2021,G647/$P$19,B647=2022,G647/$P$20)</f>
        <v>2.5520207023883175E-3</v>
      </c>
    </row>
    <row r="648" spans="1:12" x14ac:dyDescent="0.2">
      <c r="A648">
        <v>3880280</v>
      </c>
      <c r="B648" s="5">
        <v>2018</v>
      </c>
      <c r="C648" t="s">
        <v>252</v>
      </c>
      <c r="D648" t="s">
        <v>254</v>
      </c>
      <c r="E648" t="s">
        <v>256</v>
      </c>
      <c r="F648" s="5" t="s">
        <v>11</v>
      </c>
      <c r="G648" s="7">
        <v>231771</v>
      </c>
      <c r="H648" s="7" cm="1">
        <f t="array" ref="H648">_xlfn.IFS(B648=2015,L648*$P$3,B648=2016,L648*$P$4,B648=2017,L648*$P$5,B648=2018,L648*$P$6,B648=2019,L648*$P$7,B648=2020,L648*$P$8,B648=2021,L648*$P$9,B648=2022,L648*$P$10)</f>
        <v>6350.7545165049414</v>
      </c>
      <c r="I648" s="7">
        <f t="shared" si="23"/>
        <v>238121.75451650494</v>
      </c>
      <c r="J648">
        <f>IFERROR(VLOOKUP(F648,'LEAID Match'!$A$2:$B$227,2,FALSE),"")</f>
        <v>3880280</v>
      </c>
      <c r="K648">
        <f t="shared" si="22"/>
        <v>8</v>
      </c>
      <c r="L648" cm="1">
        <f t="array" ref="L648">_xlfn.IFS(B648=2015,G648/$P$13,B648=2016,G648/$P$14,B648=2017,G648/$P$15,B648=2018,G648/$P$16,B648=2019,G648/$P$17,B648=2019,G648/$P$18,B648=2020,G648/$P$18,B648=2021,G648/$P$19,B648=2022,G648/$P$20)</f>
        <v>2.6740019016862912E-3</v>
      </c>
    </row>
    <row r="649" spans="1:12" x14ac:dyDescent="0.2">
      <c r="A649">
        <v>3880280</v>
      </c>
      <c r="B649">
        <v>2019</v>
      </c>
      <c r="C649" t="s">
        <v>252</v>
      </c>
      <c r="D649" t="s">
        <v>254</v>
      </c>
      <c r="E649" t="s">
        <v>256</v>
      </c>
      <c r="F649" s="5" t="s">
        <v>11</v>
      </c>
      <c r="G649" s="7">
        <v>244162</v>
      </c>
      <c r="H649" s="7" cm="1">
        <f t="array" ref="H649">_xlfn.IFS(B649=2015,L649*$P$3,B649=2016,L649*$P$4,B649=2017,L649*$P$5,B649=2018,L649*$P$6,B649=2019,L649*$P$7,B649=2020,L649*$P$8,B649=2021,L649*$P$9,B649=2022,L649*$P$10)</f>
        <v>5666.9572590404277</v>
      </c>
      <c r="I649" s="7">
        <f t="shared" si="23"/>
        <v>249828.95725904044</v>
      </c>
      <c r="J649">
        <f>IFERROR(VLOOKUP(F649,'LEAID Match'!$A$2:$B$227,2,FALSE),"")</f>
        <v>3880280</v>
      </c>
      <c r="K649">
        <f t="shared" si="22"/>
        <v>8</v>
      </c>
      <c r="L649" cm="1">
        <f t="array" ref="L649">_xlfn.IFS(B649=2015,G649/$P$13,B649=2016,G649/$P$14,B649=2017,G649/$P$15,B649=2018,G649/$P$16,B649=2019,G649/$P$17,B649=2019,G649/$P$18,B649=2020,G649/$P$18,B649=2021,G649/$P$19,B649=2022,G649/$P$20)</f>
        <v>2.7297481979963525E-3</v>
      </c>
    </row>
    <row r="650" spans="1:12" x14ac:dyDescent="0.2">
      <c r="A650">
        <v>3880280</v>
      </c>
      <c r="B650">
        <v>2020</v>
      </c>
      <c r="C650" t="s">
        <v>252</v>
      </c>
      <c r="D650" t="s">
        <v>254</v>
      </c>
      <c r="E650" t="s">
        <v>256</v>
      </c>
      <c r="F650" s="5" t="s">
        <v>11</v>
      </c>
      <c r="G650" s="7">
        <v>265385</v>
      </c>
      <c r="H650" s="7" cm="1">
        <f t="array" ref="H650">_xlfn.IFS(B650=2015,L650*$P$3,B650=2016,L650*$P$4,B650=2017,L650*$P$5,B650=2018,L650*$P$6,B650=2019,L650*$P$7,B650=2020,L650*$P$8,B650=2021,L650*$P$9,B650=2022,L650*$P$10)</f>
        <v>6657.9837114483198</v>
      </c>
      <c r="I650" s="7">
        <f t="shared" si="23"/>
        <v>272042.98371144832</v>
      </c>
      <c r="J650">
        <f>IFERROR(VLOOKUP(F650,'LEAID Match'!$A$2:$B$227,2,FALSE),"")</f>
        <v>3880280</v>
      </c>
      <c r="K650">
        <f t="shared" si="22"/>
        <v>8</v>
      </c>
      <c r="L650" cm="1">
        <f t="array" ref="L650">_xlfn.IFS(B650=2015,G650/$P$13,B650=2016,G650/$P$14,B650=2017,G650/$P$15,B650=2018,G650/$P$16,B650=2019,G650/$P$17,B650=2019,G650/$P$18,B650=2020,G650/$P$18,B650=2021,G650/$P$19,B650=2022,G650/$P$20)</f>
        <v>2.8526065601749443E-3</v>
      </c>
    </row>
    <row r="651" spans="1:12" x14ac:dyDescent="0.2">
      <c r="A651">
        <v>3880280</v>
      </c>
      <c r="B651" s="5">
        <v>2021</v>
      </c>
      <c r="C651" t="s">
        <v>252</v>
      </c>
      <c r="D651" t="s">
        <v>254</v>
      </c>
      <c r="E651" t="s">
        <v>256</v>
      </c>
      <c r="F651" s="5" t="s">
        <v>11</v>
      </c>
      <c r="G651" s="7">
        <v>266920</v>
      </c>
      <c r="H651" s="7" cm="1">
        <f t="array" ref="H651">_xlfn.IFS(B651=2015,L651*$P$3,B651=2016,L651*$P$4,B651=2017,L651*$P$5,B651=2018,L651*$P$6,B651=2019,L651*$P$7,B651=2020,L651*$P$8,B651=2021,L651*$P$9,B651=2022,L651*$P$10)</f>
        <v>7293.4004066546877</v>
      </c>
      <c r="I651" s="7">
        <f t="shared" si="23"/>
        <v>274213.40040665469</v>
      </c>
      <c r="J651">
        <f>IFERROR(VLOOKUP(F651,'LEAID Match'!$A$2:$B$227,2,FALSE),"")</f>
        <v>3880280</v>
      </c>
      <c r="K651">
        <f t="shared" si="22"/>
        <v>8</v>
      </c>
      <c r="L651" cm="1">
        <f t="array" ref="L651">_xlfn.IFS(B651=2015,G651/$P$13,B651=2016,G651/$P$14,B651=2017,G651/$P$15,B651=2018,G651/$P$16,B651=2019,G651/$P$17,B651=2019,G651/$P$18,B651=2020,G651/$P$18,B651=2021,G651/$P$19,B651=2022,G651/$P$20)</f>
        <v>2.7163502445641296E-3</v>
      </c>
    </row>
    <row r="652" spans="1:12" x14ac:dyDescent="0.2">
      <c r="A652">
        <v>3880280</v>
      </c>
      <c r="B652">
        <v>2022</v>
      </c>
      <c r="C652" t="s">
        <v>252</v>
      </c>
      <c r="D652" t="s">
        <v>254</v>
      </c>
      <c r="E652" t="s">
        <v>256</v>
      </c>
      <c r="F652" s="5" t="s">
        <v>11</v>
      </c>
      <c r="G652" s="7">
        <v>251848</v>
      </c>
      <c r="H652" s="7" cm="1">
        <f t="array" ref="H652">_xlfn.IFS(B652=2015,L652*$P$3,B652=2016,L652*$P$4,B652=2017,L652*$P$5,B652=2018,L652*$P$6,B652=2019,L652*$P$7,B652=2020,L652*$P$8,B652=2021,L652*$P$9,B652=2022,L652*$P$10)</f>
        <v>5125.7522873410326</v>
      </c>
      <c r="I652" s="7">
        <f t="shared" si="23"/>
        <v>256973.75228734102</v>
      </c>
      <c r="J652">
        <f>IFERROR(VLOOKUP(F652,'LEAID Match'!$A$2:$B$227,2,FALSE),"")</f>
        <v>3880280</v>
      </c>
      <c r="K652">
        <f t="shared" si="22"/>
        <v>8</v>
      </c>
      <c r="L652" cm="1">
        <f t="array" ref="L652">_xlfn.IFS(B652=2015,G652/$P$13,B652=2016,G652/$P$14,B652=2017,G652/$P$15,B652=2018,G652/$P$16,B652=2019,G652/$P$17,B652=2019,G652/$P$18,B652=2020,G652/$P$18,B652=2021,G652/$P$19,B652=2022,G652/$P$20)</f>
        <v>2.510162726415785E-3</v>
      </c>
    </row>
    <row r="653" spans="1:12" x14ac:dyDescent="0.2">
      <c r="A653">
        <v>3810600</v>
      </c>
      <c r="B653">
        <v>2015</v>
      </c>
      <c r="C653" t="s">
        <v>252</v>
      </c>
      <c r="D653" t="s">
        <v>254</v>
      </c>
      <c r="E653" t="s">
        <v>256</v>
      </c>
      <c r="F653" s="5" t="s">
        <v>12</v>
      </c>
      <c r="G653" s="7">
        <v>137559</v>
      </c>
      <c r="H653" s="7" cm="1">
        <f t="array" ref="H653">_xlfn.IFS(B653=2015,L653*$P$3,B653=2016,L653*$P$4,B653=2017,L653*$P$5,B653=2018,L653*$P$6,B653=2019,L653*$P$7,B653=2020,L653*$P$8,B653=2021,L653*$P$9,B653=2022,L653*$P$10)</f>
        <v>3109.9920430592906</v>
      </c>
      <c r="I653" s="7">
        <f t="shared" si="23"/>
        <v>140668.99204305929</v>
      </c>
      <c r="J653">
        <f>IFERROR(VLOOKUP(F653,'LEAID Match'!$A$2:$B$227,2,FALSE),"")</f>
        <v>3810600</v>
      </c>
      <c r="K653">
        <f t="shared" si="22"/>
        <v>8</v>
      </c>
      <c r="L653" cm="1">
        <f t="array" ref="L653">_xlfn.IFS(B653=2015,G653/$P$13,B653=2016,G653/$P$14,B653=2017,G653/$P$15,B653=2018,G653/$P$16,B653=2019,G653/$P$17,B653=2019,G653/$P$18,B653=2020,G653/$P$18,B653=2021,G653/$P$19,B653=2022,G653/$P$20)</f>
        <v>1.7540846266549863E-3</v>
      </c>
    </row>
    <row r="654" spans="1:12" x14ac:dyDescent="0.2">
      <c r="A654">
        <v>3810600</v>
      </c>
      <c r="B654">
        <v>2016</v>
      </c>
      <c r="C654" t="s">
        <v>252</v>
      </c>
      <c r="D654" t="s">
        <v>254</v>
      </c>
      <c r="E654" t="s">
        <v>256</v>
      </c>
      <c r="F654" s="5" t="s">
        <v>12</v>
      </c>
      <c r="G654" s="7">
        <v>146838</v>
      </c>
      <c r="H654" s="7" cm="1">
        <f t="array" ref="H654">_xlfn.IFS(B654=2015,L654*$P$3,B654=2016,L654*$P$4,B654=2017,L654*$P$5,B654=2018,L654*$P$6,B654=2019,L654*$P$7,B654=2020,L654*$P$8,B654=2021,L654*$P$9,B654=2022,L654*$P$10)</f>
        <v>4986.1858769534701</v>
      </c>
      <c r="I654" s="7">
        <f t="shared" si="23"/>
        <v>151824.18587695347</v>
      </c>
      <c r="J654">
        <f>IFERROR(VLOOKUP(F654,'LEAID Match'!$A$2:$B$227,2,FALSE),"")</f>
        <v>3810600</v>
      </c>
      <c r="K654">
        <f t="shared" si="22"/>
        <v>8</v>
      </c>
      <c r="L654" cm="1">
        <f t="array" ref="L654">_xlfn.IFS(B654=2015,G654/$P$13,B654=2016,G654/$P$14,B654=2017,G654/$P$15,B654=2018,G654/$P$16,B654=2019,G654/$P$17,B654=2019,G654/$P$18,B654=2020,G654/$P$18,B654=2021,G654/$P$19,B654=2022,G654/$P$20)</f>
        <v>1.7725509694111164E-3</v>
      </c>
    </row>
    <row r="655" spans="1:12" x14ac:dyDescent="0.2">
      <c r="A655">
        <v>3810600</v>
      </c>
      <c r="B655">
        <v>2017</v>
      </c>
      <c r="C655" t="s">
        <v>252</v>
      </c>
      <c r="D655" t="s">
        <v>254</v>
      </c>
      <c r="E655" t="s">
        <v>256</v>
      </c>
      <c r="F655" s="5" t="s">
        <v>12</v>
      </c>
      <c r="G655" s="7">
        <v>151228</v>
      </c>
      <c r="H655" s="7" cm="1">
        <f t="array" ref="H655">_xlfn.IFS(B655=2015,L655*$P$3,B655=2016,L655*$P$4,B655=2017,L655*$P$5,B655=2018,L655*$P$6,B655=2019,L655*$P$7,B655=2020,L655*$P$8,B655=2021,L655*$P$9,B655=2022,L655*$P$10)</f>
        <v>4901.0046995391976</v>
      </c>
      <c r="I655" s="7">
        <f t="shared" si="23"/>
        <v>156129.00469953919</v>
      </c>
      <c r="J655">
        <f>IFERROR(VLOOKUP(F655,'LEAID Match'!$A$2:$B$227,2,FALSE),"")</f>
        <v>3810600</v>
      </c>
      <c r="K655">
        <f t="shared" si="22"/>
        <v>8</v>
      </c>
      <c r="L655" cm="1">
        <f t="array" ref="L655">_xlfn.IFS(B655=2015,G655/$P$13,B655=2016,G655/$P$14,B655=2017,G655/$P$15,B655=2018,G655/$P$16,B655=2019,G655/$P$17,B655=2019,G655/$P$18,B655=2020,G655/$P$18,B655=2021,G655/$P$19,B655=2022,G655/$P$20)</f>
        <v>1.7572623519323048E-3</v>
      </c>
    </row>
    <row r="656" spans="1:12" x14ac:dyDescent="0.2">
      <c r="A656">
        <v>3810600</v>
      </c>
      <c r="B656" s="5">
        <v>2018</v>
      </c>
      <c r="C656" t="s">
        <v>252</v>
      </c>
      <c r="D656" t="s">
        <v>254</v>
      </c>
      <c r="E656" t="s">
        <v>256</v>
      </c>
      <c r="F656" s="5" t="s">
        <v>12</v>
      </c>
      <c r="G656" s="7">
        <v>162300</v>
      </c>
      <c r="H656" s="7" cm="1">
        <f t="array" ref="H656">_xlfn.IFS(B656=2015,L656*$P$3,B656=2016,L656*$P$4,B656=2017,L656*$P$5,B656=2018,L656*$P$6,B656=2019,L656*$P$7,B656=2020,L656*$P$8,B656=2021,L656*$P$9,B656=2022,L656*$P$10)</f>
        <v>4447.1804411628373</v>
      </c>
      <c r="I656" s="7">
        <f t="shared" si="23"/>
        <v>166747.18044116284</v>
      </c>
      <c r="J656">
        <f>IFERROR(VLOOKUP(F656,'LEAID Match'!$A$2:$B$227,2,FALSE),"")</f>
        <v>3810600</v>
      </c>
      <c r="K656">
        <f t="shared" si="22"/>
        <v>8</v>
      </c>
      <c r="L656" cm="1">
        <f t="array" ref="L656">_xlfn.IFS(B656=2015,G656/$P$13,B656=2016,G656/$P$14,B656=2017,G656/$P$15,B656=2018,G656/$P$16,B656=2019,G656/$P$17,B656=2019,G656/$P$18,B656=2020,G656/$P$18,B656=2021,G656/$P$19,B656=2022,G656/$P$20)</f>
        <v>1.8724970278580369E-3</v>
      </c>
    </row>
    <row r="657" spans="1:12" x14ac:dyDescent="0.2">
      <c r="A657">
        <v>3810600</v>
      </c>
      <c r="B657">
        <v>2019</v>
      </c>
      <c r="C657" t="s">
        <v>252</v>
      </c>
      <c r="D657" t="s">
        <v>254</v>
      </c>
      <c r="E657" t="s">
        <v>256</v>
      </c>
      <c r="F657" s="5" t="s">
        <v>12</v>
      </c>
      <c r="G657" s="7">
        <v>154109</v>
      </c>
      <c r="H657" s="7" cm="1">
        <f t="array" ref="H657">_xlfn.IFS(B657=2015,L657*$P$3,B657=2016,L657*$P$4,B657=2017,L657*$P$5,B657=2018,L657*$P$6,B657=2019,L657*$P$7,B657=2020,L657*$P$8,B657=2021,L657*$P$9,B657=2022,L657*$P$10)</f>
        <v>3576.8429003426468</v>
      </c>
      <c r="I657" s="7">
        <f t="shared" si="23"/>
        <v>157685.84290034266</v>
      </c>
      <c r="J657">
        <f>IFERROR(VLOOKUP(F657,'LEAID Match'!$A$2:$B$227,2,FALSE),"")</f>
        <v>3810600</v>
      </c>
      <c r="K657">
        <f t="shared" si="22"/>
        <v>8</v>
      </c>
      <c r="L657" cm="1">
        <f t="array" ref="L657">_xlfn.IFS(B657=2015,G657/$P$13,B657=2016,G657/$P$14,B657=2017,G657/$P$15,B657=2018,G657/$P$16,B657=2019,G657/$P$17,B657=2019,G657/$P$18,B657=2020,G657/$P$18,B657=2021,G657/$P$19,B657=2022,G657/$P$20)</f>
        <v>1.7229493739608125E-3</v>
      </c>
    </row>
    <row r="658" spans="1:12" x14ac:dyDescent="0.2">
      <c r="A658">
        <v>3810600</v>
      </c>
      <c r="B658">
        <v>2020</v>
      </c>
      <c r="C658" t="s">
        <v>252</v>
      </c>
      <c r="D658" t="s">
        <v>254</v>
      </c>
      <c r="E658" t="s">
        <v>256</v>
      </c>
      <c r="F658" s="5" t="s">
        <v>12</v>
      </c>
      <c r="G658" s="7">
        <v>153722</v>
      </c>
      <c r="H658" s="7" cm="1">
        <f t="array" ref="H658">_xlfn.IFS(B658=2015,L658*$P$3,B658=2016,L658*$P$4,B658=2017,L658*$P$5,B658=2018,L658*$P$6,B658=2019,L658*$P$7,B658=2020,L658*$P$8,B658=2021,L658*$P$9,B658=2022,L658*$P$10)</f>
        <v>3856.5803345752729</v>
      </c>
      <c r="I658" s="7">
        <f t="shared" si="23"/>
        <v>157578.58033457526</v>
      </c>
      <c r="J658">
        <f>IFERROR(VLOOKUP(F658,'LEAID Match'!$A$2:$B$227,2,FALSE),"")</f>
        <v>3810600</v>
      </c>
      <c r="K658">
        <f t="shared" si="22"/>
        <v>8</v>
      </c>
      <c r="L658" cm="1">
        <f t="array" ref="L658">_xlfn.IFS(B658=2015,G658/$P$13,B658=2016,G658/$P$14,B658=2017,G658/$P$15,B658=2018,G658/$P$16,B658=2019,G658/$P$17,B658=2019,G658/$P$18,B658=2020,G658/$P$18,B658=2021,G658/$P$19,B658=2022,G658/$P$20)</f>
        <v>1.6523480439482746E-3</v>
      </c>
    </row>
    <row r="659" spans="1:12" x14ac:dyDescent="0.2">
      <c r="A659">
        <v>3810600</v>
      </c>
      <c r="B659" s="5">
        <v>2021</v>
      </c>
      <c r="C659" t="s">
        <v>252</v>
      </c>
      <c r="D659" t="s">
        <v>254</v>
      </c>
      <c r="E659" t="s">
        <v>256</v>
      </c>
      <c r="F659" s="5" t="s">
        <v>12</v>
      </c>
      <c r="G659" s="7">
        <v>151473</v>
      </c>
      <c r="H659" s="7" cm="1">
        <f t="array" ref="H659">_xlfn.IFS(B659=2015,L659*$P$3,B659=2016,L659*$P$4,B659=2017,L659*$P$5,B659=2018,L659*$P$6,B659=2019,L659*$P$7,B659=2020,L659*$P$8,B659=2021,L659*$P$9,B659=2022,L659*$P$10)</f>
        <v>4138.8927011734058</v>
      </c>
      <c r="I659" s="7">
        <f t="shared" si="23"/>
        <v>155611.8927011734</v>
      </c>
      <c r="J659">
        <f>IFERROR(VLOOKUP(F659,'LEAID Match'!$A$2:$B$227,2,FALSE),"")</f>
        <v>3810600</v>
      </c>
      <c r="K659">
        <f t="shared" si="22"/>
        <v>8</v>
      </c>
      <c r="L659" cm="1">
        <f t="array" ref="L659">_xlfn.IFS(B659=2015,G659/$P$13,B659=2016,G659/$P$14,B659=2017,G659/$P$15,B659=2018,G659/$P$16,B659=2019,G659/$P$17,B659=2019,G659/$P$18,B659=2020,G659/$P$18,B659=2021,G659/$P$19,B659=2022,G659/$P$20)</f>
        <v>1.541487039543168E-3</v>
      </c>
    </row>
    <row r="660" spans="1:12" x14ac:dyDescent="0.2">
      <c r="A660">
        <v>3810600</v>
      </c>
      <c r="B660">
        <v>2022</v>
      </c>
      <c r="C660" t="s">
        <v>252</v>
      </c>
      <c r="D660" t="s">
        <v>254</v>
      </c>
      <c r="E660" t="s">
        <v>256</v>
      </c>
      <c r="F660" s="5" t="s">
        <v>12</v>
      </c>
      <c r="G660" s="7">
        <v>158438</v>
      </c>
      <c r="H660" s="7" cm="1">
        <f t="array" ref="H660">_xlfn.IFS(B660=2015,L660*$P$3,B660=2016,L660*$P$4,B660=2017,L660*$P$5,B660=2018,L660*$P$6,B660=2019,L660*$P$7,B660=2020,L660*$P$8,B660=2021,L660*$P$9,B660=2022,L660*$P$10)</f>
        <v>3224.6193771709068</v>
      </c>
      <c r="I660" s="7">
        <f t="shared" si="23"/>
        <v>161662.61937717089</v>
      </c>
      <c r="J660">
        <f>IFERROR(VLOOKUP(F660,'LEAID Match'!$A$2:$B$227,2,FALSE),"")</f>
        <v>3810600</v>
      </c>
      <c r="K660">
        <f t="shared" si="22"/>
        <v>8</v>
      </c>
      <c r="L660" cm="1">
        <f t="array" ref="L660">_xlfn.IFS(B660=2015,G660/$P$13,B660=2016,G660/$P$14,B660=2017,G660/$P$15,B660=2018,G660/$P$16,B660=2019,G660/$P$17,B660=2019,G660/$P$18,B660=2020,G660/$P$18,B660=2021,G660/$P$19,B660=2022,G660/$P$20)</f>
        <v>1.5791475892120014E-3</v>
      </c>
    </row>
    <row r="661" spans="1:12" x14ac:dyDescent="0.2">
      <c r="A661">
        <v>3810740</v>
      </c>
      <c r="B661">
        <v>2015</v>
      </c>
      <c r="C661" t="s">
        <v>252</v>
      </c>
      <c r="D661" t="s">
        <v>254</v>
      </c>
      <c r="E661" t="s">
        <v>256</v>
      </c>
      <c r="F661" s="5" t="s">
        <v>13</v>
      </c>
      <c r="G661" s="7">
        <v>194550</v>
      </c>
      <c r="H661" s="7" cm="1">
        <f t="array" ref="H661">_xlfn.IFS(B661=2015,L661*$P$3,B661=2016,L661*$P$4,B661=2017,L661*$P$5,B661=2018,L661*$P$6,B661=2019,L661*$P$7,B661=2020,L661*$P$8,B661=2021,L661*$P$9,B661=2022,L661*$P$10)</f>
        <v>4398.4686714586833</v>
      </c>
      <c r="I661" s="7">
        <f t="shared" si="23"/>
        <v>198948.46867145869</v>
      </c>
      <c r="J661">
        <f>IFERROR(VLOOKUP(F661,'LEAID Match'!$A$2:$B$227,2,FALSE),"")</f>
        <v>3810740</v>
      </c>
      <c r="K661">
        <f t="shared" si="22"/>
        <v>8</v>
      </c>
      <c r="L661" cm="1">
        <f t="array" ref="L661">_xlfn.IFS(B661=2015,G661/$P$13,B661=2016,G661/$P$14,B661=2017,G661/$P$15,B661=2018,G661/$P$16,B661=2019,G661/$P$17,B661=2019,G661/$P$18,B661=2020,G661/$P$18,B661=2021,G661/$P$19,B661=2022,G661/$P$20)</f>
        <v>2.4808057932649086E-3</v>
      </c>
    </row>
    <row r="662" spans="1:12" x14ac:dyDescent="0.2">
      <c r="A662">
        <v>3810740</v>
      </c>
      <c r="B662">
        <v>2016</v>
      </c>
      <c r="C662" t="s">
        <v>252</v>
      </c>
      <c r="D662" t="s">
        <v>254</v>
      </c>
      <c r="E662" t="s">
        <v>256</v>
      </c>
      <c r="F662" s="5" t="s">
        <v>13</v>
      </c>
      <c r="G662" s="7">
        <v>198519</v>
      </c>
      <c r="H662" s="7" cm="1">
        <f t="array" ref="H662">_xlfn.IFS(B662=2015,L662*$P$3,B662=2016,L662*$P$4,B662=2017,L662*$P$5,B662=2018,L662*$P$6,B662=2019,L662*$P$7,B662=2020,L662*$P$8,B662=2021,L662*$P$9,B662=2022,L662*$P$10)</f>
        <v>6741.1203782871335</v>
      </c>
      <c r="I662" s="7">
        <f t="shared" si="23"/>
        <v>205260.12037828713</v>
      </c>
      <c r="J662">
        <f>IFERROR(VLOOKUP(F662,'LEAID Match'!$A$2:$B$227,2,FALSE),"")</f>
        <v>3810740</v>
      </c>
      <c r="K662">
        <f t="shared" si="22"/>
        <v>8</v>
      </c>
      <c r="L662" cm="1">
        <f t="array" ref="L662">_xlfn.IFS(B662=2015,G662/$P$13,B662=2016,G662/$P$14,B662=2017,G662/$P$15,B662=2018,G662/$P$16,B662=2019,G662/$P$17,B662=2019,G662/$P$18,B662=2020,G662/$P$18,B662=2021,G662/$P$19,B662=2022,G662/$P$20)</f>
        <v>2.3964167715204883E-3</v>
      </c>
    </row>
    <row r="663" spans="1:12" x14ac:dyDescent="0.2">
      <c r="A663">
        <v>3810740</v>
      </c>
      <c r="B663">
        <v>2017</v>
      </c>
      <c r="C663" t="s">
        <v>252</v>
      </c>
      <c r="D663" t="s">
        <v>254</v>
      </c>
      <c r="E663" t="s">
        <v>256</v>
      </c>
      <c r="F663" s="5" t="s">
        <v>13</v>
      </c>
      <c r="G663" s="7">
        <v>200133</v>
      </c>
      <c r="H663" s="7" cm="1">
        <f t="array" ref="H663">_xlfn.IFS(B663=2015,L663*$P$3,B663=2016,L663*$P$4,B663=2017,L663*$P$5,B663=2018,L663*$P$6,B663=2019,L663*$P$7,B663=2020,L663*$P$8,B663=2021,L663*$P$9,B663=2022,L663*$P$10)</f>
        <v>6485.9204217002034</v>
      </c>
      <c r="I663" s="7">
        <f t="shared" si="23"/>
        <v>206618.9204217002</v>
      </c>
      <c r="J663">
        <f>IFERROR(VLOOKUP(F663,'LEAID Match'!$A$2:$B$227,2,FALSE),"")</f>
        <v>3810740</v>
      </c>
      <c r="K663">
        <f t="shared" si="22"/>
        <v>8</v>
      </c>
      <c r="L663" cm="1">
        <f t="array" ref="L663">_xlfn.IFS(B663=2015,G663/$P$13,B663=2016,G663/$P$14,B663=2017,G663/$P$15,B663=2018,G663/$P$16,B663=2019,G663/$P$17,B663=2019,G663/$P$18,B663=2020,G663/$P$18,B663=2021,G663/$P$19,B663=2022,G663/$P$20)</f>
        <v>2.3255361856221596E-3</v>
      </c>
    </row>
    <row r="664" spans="1:12" x14ac:dyDescent="0.2">
      <c r="A664">
        <v>3810740</v>
      </c>
      <c r="B664" s="5">
        <v>2018</v>
      </c>
      <c r="C664" t="s">
        <v>252</v>
      </c>
      <c r="D664" t="s">
        <v>254</v>
      </c>
      <c r="E664" t="s">
        <v>256</v>
      </c>
      <c r="F664" s="5" t="s">
        <v>13</v>
      </c>
      <c r="G664" s="7">
        <v>193948</v>
      </c>
      <c r="H664" s="7" cm="1">
        <f t="array" ref="H664">_xlfn.IFS(B664=2015,L664*$P$3,B664=2016,L664*$P$4,B664=2017,L664*$P$5,B664=2018,L664*$P$6,B664=2019,L664*$P$7,B664=2020,L664*$P$8,B664=2021,L664*$P$9,B664=2022,L664*$P$10)</f>
        <v>5314.3669266953175</v>
      </c>
      <c r="I664" s="7">
        <f t="shared" si="23"/>
        <v>199262.36692669531</v>
      </c>
      <c r="J664">
        <f>IFERROR(VLOOKUP(F664,'LEAID Match'!$A$2:$B$227,2,FALSE),"")</f>
        <v>3810740</v>
      </c>
      <c r="K664">
        <f t="shared" si="22"/>
        <v>8</v>
      </c>
      <c r="L664" cm="1">
        <f t="array" ref="L664">_xlfn.IFS(B664=2015,G664/$P$13,B664=2016,G664/$P$14,B664=2017,G664/$P$15,B664=2018,G664/$P$16,B664=2019,G664/$P$17,B664=2019,G664/$P$18,B664=2020,G664/$P$18,B664=2021,G664/$P$19,B664=2022,G664/$P$20)</f>
        <v>2.2376281796611863E-3</v>
      </c>
    </row>
    <row r="665" spans="1:12" x14ac:dyDescent="0.2">
      <c r="A665">
        <v>3810740</v>
      </c>
      <c r="B665">
        <v>2019</v>
      </c>
      <c r="C665" t="s">
        <v>252</v>
      </c>
      <c r="D665" t="s">
        <v>254</v>
      </c>
      <c r="E665" t="s">
        <v>256</v>
      </c>
      <c r="F665" s="5" t="s">
        <v>13</v>
      </c>
      <c r="G665" s="7">
        <v>190296</v>
      </c>
      <c r="H665" s="7" cm="1">
        <f t="array" ref="H665">_xlfn.IFS(B665=2015,L665*$P$3,B665=2016,L665*$P$4,B665=2017,L665*$P$5,B665=2018,L665*$P$6,B665=2019,L665*$P$7,B665=2020,L665*$P$8,B665=2021,L665*$P$9,B665=2022,L665*$P$10)</f>
        <v>4416.7368327846161</v>
      </c>
      <c r="I665" s="7">
        <f t="shared" si="23"/>
        <v>194712.73683278461</v>
      </c>
      <c r="J665">
        <f>IFERROR(VLOOKUP(F665,'LEAID Match'!$A$2:$B$227,2,FALSE),"")</f>
        <v>3810740</v>
      </c>
      <c r="K665">
        <f t="shared" si="22"/>
        <v>8</v>
      </c>
      <c r="L665" cm="1">
        <f t="array" ref="L665">_xlfn.IFS(B665=2015,G665/$P$13,B665=2016,G665/$P$14,B665=2017,G665/$P$15,B665=2018,G665/$P$16,B665=2019,G665/$P$17,B665=2019,G665/$P$18,B665=2020,G665/$P$18,B665=2021,G665/$P$19,B665=2022,G665/$P$20)</f>
        <v>2.1275225591448053E-3</v>
      </c>
    </row>
    <row r="666" spans="1:12" x14ac:dyDescent="0.2">
      <c r="A666">
        <v>3810740</v>
      </c>
      <c r="B666">
        <v>2020</v>
      </c>
      <c r="C666" t="s">
        <v>252</v>
      </c>
      <c r="D666" t="s">
        <v>254</v>
      </c>
      <c r="E666" t="s">
        <v>256</v>
      </c>
      <c r="F666" s="5" t="s">
        <v>13</v>
      </c>
      <c r="G666" s="7">
        <v>190019</v>
      </c>
      <c r="H666" s="7" cm="1">
        <f t="array" ref="H666">_xlfn.IFS(B666=2015,L666*$P$3,B666=2016,L666*$P$4,B666=2017,L666*$P$5,B666=2018,L666*$P$6,B666=2019,L666*$P$7,B666=2020,L666*$P$8,B666=2021,L666*$P$9,B666=2022,L666*$P$10)</f>
        <v>4767.2001313778037</v>
      </c>
      <c r="I666" s="7">
        <f t="shared" si="23"/>
        <v>194786.20013137782</v>
      </c>
      <c r="J666">
        <f>IFERROR(VLOOKUP(F666,'LEAID Match'!$A$2:$B$227,2,FALSE),"")</f>
        <v>3810740</v>
      </c>
      <c r="K666">
        <f t="shared" si="22"/>
        <v>8</v>
      </c>
      <c r="L666" cm="1">
        <f t="array" ref="L666">_xlfn.IFS(B666=2015,G666/$P$13,B666=2016,G666/$P$14,B666=2017,G666/$P$15,B666=2018,G666/$P$16,B666=2019,G666/$P$17,B666=2019,G666/$P$18,B666=2020,G666/$P$18,B666=2021,G666/$P$19,B666=2022,G666/$P$20)</f>
        <v>2.0425021985337635E-3</v>
      </c>
    </row>
    <row r="667" spans="1:12" x14ac:dyDescent="0.2">
      <c r="A667">
        <v>3810740</v>
      </c>
      <c r="B667" s="5">
        <v>2021</v>
      </c>
      <c r="C667" t="s">
        <v>252</v>
      </c>
      <c r="D667" t="s">
        <v>254</v>
      </c>
      <c r="E667" t="s">
        <v>256</v>
      </c>
      <c r="F667" s="5" t="s">
        <v>13</v>
      </c>
      <c r="G667" s="7">
        <v>200752</v>
      </c>
      <c r="H667" s="7" cm="1">
        <f t="array" ref="H667">_xlfn.IFS(B667=2015,L667*$P$3,B667=2016,L667*$P$4,B667=2017,L667*$P$5,B667=2018,L667*$P$6,B667=2019,L667*$P$7,B667=2020,L667*$P$8,B667=2021,L667*$P$9,B667=2022,L667*$P$10)</f>
        <v>5485.4065579077696</v>
      </c>
      <c r="I667" s="7">
        <f t="shared" si="23"/>
        <v>206237.40655790776</v>
      </c>
      <c r="J667">
        <f>IFERROR(VLOOKUP(F667,'LEAID Match'!$A$2:$B$227,2,FALSE),"")</f>
        <v>3810740</v>
      </c>
      <c r="K667">
        <f t="shared" si="22"/>
        <v>8</v>
      </c>
      <c r="L667" cm="1">
        <f t="array" ref="L667">_xlfn.IFS(B667=2015,G667/$P$13,B667=2016,G667/$P$14,B667=2017,G667/$P$15,B667=2018,G667/$P$16,B667=2019,G667/$P$17,B667=2019,G667/$P$18,B667=2020,G667/$P$18,B667=2021,G667/$P$19,B667=2022,G667/$P$20)</f>
        <v>2.0429819582524281E-3</v>
      </c>
    </row>
    <row r="668" spans="1:12" x14ac:dyDescent="0.2">
      <c r="A668">
        <v>3810740</v>
      </c>
      <c r="B668">
        <v>2022</v>
      </c>
      <c r="C668" t="s">
        <v>252</v>
      </c>
      <c r="D668" t="s">
        <v>254</v>
      </c>
      <c r="E668" t="s">
        <v>256</v>
      </c>
      <c r="F668" s="5" t="s">
        <v>13</v>
      </c>
      <c r="G668" s="7">
        <v>201716</v>
      </c>
      <c r="H668" s="7" cm="1">
        <f t="array" ref="H668">_xlfn.IFS(B668=2015,L668*$P$3,B668=2016,L668*$P$4,B668=2017,L668*$P$5,B668=2018,L668*$P$6,B668=2019,L668*$P$7,B668=2020,L668*$P$8,B668=2021,L668*$P$9,B668=2022,L668*$P$10)</f>
        <v>4105.4375988424918</v>
      </c>
      <c r="I668" s="7">
        <f t="shared" si="23"/>
        <v>205821.43759884249</v>
      </c>
      <c r="J668">
        <f>IFERROR(VLOOKUP(F668,'LEAID Match'!$A$2:$B$227,2,FALSE),"")</f>
        <v>3810740</v>
      </c>
      <c r="K668">
        <f t="shared" si="22"/>
        <v>8</v>
      </c>
      <c r="L668" cm="1">
        <f t="array" ref="L668">_xlfn.IFS(B668=2015,G668/$P$13,B668=2016,G668/$P$14,B668=2017,G668/$P$15,B668=2018,G668/$P$16,B668=2019,G668/$P$17,B668=2019,G668/$P$18,B668=2020,G668/$P$18,B668=2021,G668/$P$19,B668=2022,G668/$P$20)</f>
        <v>2.0104983343988696E-3</v>
      </c>
    </row>
    <row r="669" spans="1:12" x14ac:dyDescent="0.2">
      <c r="A669">
        <v>3810810</v>
      </c>
      <c r="B669">
        <v>2015</v>
      </c>
      <c r="C669" t="s">
        <v>252</v>
      </c>
      <c r="D669" t="s">
        <v>254</v>
      </c>
      <c r="E669" t="s">
        <v>256</v>
      </c>
      <c r="F669" s="5" t="s">
        <v>183</v>
      </c>
      <c r="G669" s="7">
        <v>260593</v>
      </c>
      <c r="H669" s="7" cm="1">
        <f t="array" ref="H669">_xlfn.IFS(B669=2015,L669*$P$3,B669=2016,L669*$P$4,B669=2017,L669*$P$5,B669=2018,L669*$P$6,B669=2019,L669*$P$7,B669=2020,L669*$P$8,B669=2021,L669*$P$9,B669=2022,L669*$P$10)</f>
        <v>5891.5967437750323</v>
      </c>
      <c r="I669" s="7">
        <f t="shared" si="23"/>
        <v>266484.59674377501</v>
      </c>
      <c r="J669">
        <f>IFERROR(VLOOKUP(F669,'LEAID Match'!$A$2:$B$227,2,FALSE),"")</f>
        <v>3810810</v>
      </c>
      <c r="K669">
        <f t="shared" si="22"/>
        <v>8</v>
      </c>
      <c r="L669" cm="1">
        <f t="array" ref="L669">_xlfn.IFS(B669=2015,G669/$P$13,B669=2016,G669/$P$14,B669=2017,G669/$P$15,B669=2018,G669/$P$16,B669=2019,G669/$P$17,B669=2019,G669/$P$18,B669=2020,G669/$P$18,B669=2021,G669/$P$19,B669=2022,G669/$P$20)</f>
        <v>3.3229536061900916E-3</v>
      </c>
    </row>
    <row r="670" spans="1:12" x14ac:dyDescent="0.2">
      <c r="A670">
        <v>3810810</v>
      </c>
      <c r="B670">
        <v>2016</v>
      </c>
      <c r="C670" t="s">
        <v>252</v>
      </c>
      <c r="D670" t="s">
        <v>254</v>
      </c>
      <c r="E670" t="s">
        <v>256</v>
      </c>
      <c r="F670" s="5" t="s">
        <v>183</v>
      </c>
      <c r="G670" s="7">
        <v>223909</v>
      </c>
      <c r="H670" s="7" cm="1">
        <f t="array" ref="H670">_xlfn.IFS(B670=2015,L670*$P$3,B670=2016,L670*$P$4,B670=2017,L670*$P$5,B670=2018,L670*$P$6,B670=2019,L670*$P$7,B670=2020,L670*$P$8,B670=2021,L670*$P$9,B670=2022,L670*$P$10)</f>
        <v>7603.289976183105</v>
      </c>
      <c r="I670" s="7">
        <f t="shared" si="23"/>
        <v>231512.28997618309</v>
      </c>
      <c r="J670">
        <f>IFERROR(VLOOKUP(F670,'LEAID Match'!$A$2:$B$227,2,FALSE),"")</f>
        <v>3810810</v>
      </c>
      <c r="K670">
        <f t="shared" si="22"/>
        <v>8</v>
      </c>
      <c r="L670" cm="1">
        <f t="array" ref="L670">_xlfn.IFS(B670=2015,G670/$P$13,B670=2016,G670/$P$14,B670=2017,G670/$P$15,B670=2018,G670/$P$16,B670=2019,G670/$P$17,B670=2019,G670/$P$18,B670=2020,G670/$P$18,B670=2021,G670/$P$19,B670=2022,G670/$P$20)</f>
        <v>2.7029114739364041E-3</v>
      </c>
    </row>
    <row r="671" spans="1:12" x14ac:dyDescent="0.2">
      <c r="A671">
        <v>3810810</v>
      </c>
      <c r="B671">
        <v>2017</v>
      </c>
      <c r="C671" t="s">
        <v>252</v>
      </c>
      <c r="D671" t="s">
        <v>254</v>
      </c>
      <c r="E671" t="s">
        <v>256</v>
      </c>
      <c r="F671" s="5" t="s">
        <v>183</v>
      </c>
      <c r="G671" s="7">
        <v>290899</v>
      </c>
      <c r="H671" s="7" cm="1">
        <f t="array" ref="H671">_xlfn.IFS(B671=2015,L671*$P$3,B671=2016,L671*$P$4,B671=2017,L671*$P$5,B671=2018,L671*$P$6,B671=2019,L671*$P$7,B671=2020,L671*$P$8,B671=2021,L671*$P$9,B671=2022,L671*$P$10)</f>
        <v>9427.4695565057609</v>
      </c>
      <c r="I671" s="7">
        <f t="shared" si="23"/>
        <v>300326.46955650573</v>
      </c>
      <c r="J671">
        <f>IFERROR(VLOOKUP(F671,'LEAID Match'!$A$2:$B$227,2,FALSE),"")</f>
        <v>3810810</v>
      </c>
      <c r="K671">
        <f t="shared" si="22"/>
        <v>8</v>
      </c>
      <c r="L671" cm="1">
        <f t="array" ref="L671">_xlfn.IFS(B671=2015,G671/$P$13,B671=2016,G671/$P$14,B671=2017,G671/$P$15,B671=2018,G671/$P$16,B671=2019,G671/$P$17,B671=2019,G671/$P$18,B671=2020,G671/$P$18,B671=2021,G671/$P$19,B671=2022,G671/$P$20)</f>
        <v>3.3802328994283833E-3</v>
      </c>
    </row>
    <row r="672" spans="1:12" x14ac:dyDescent="0.2">
      <c r="A672">
        <v>3810810</v>
      </c>
      <c r="B672" s="5">
        <v>2018</v>
      </c>
      <c r="C672" t="s">
        <v>252</v>
      </c>
      <c r="D672" t="s">
        <v>254</v>
      </c>
      <c r="E672" t="s">
        <v>256</v>
      </c>
      <c r="F672" s="5" t="s">
        <v>183</v>
      </c>
      <c r="G672" s="7">
        <v>298992</v>
      </c>
      <c r="H672" s="7" cm="1">
        <f t="array" ref="H672">_xlfn.IFS(B672=2015,L672*$P$3,B672=2016,L672*$P$4,B672=2017,L672*$P$5,B672=2018,L672*$P$6,B672=2019,L672*$P$7,B672=2020,L672*$P$8,B672=2021,L672*$P$9,B672=2022,L672*$P$10)</f>
        <v>8192.6763676165083</v>
      </c>
      <c r="I672" s="7">
        <f t="shared" si="23"/>
        <v>307184.67636761651</v>
      </c>
      <c r="J672">
        <f>IFERROR(VLOOKUP(F672,'LEAID Match'!$A$2:$B$227,2,FALSE),"")</f>
        <v>3810810</v>
      </c>
      <c r="K672">
        <f t="shared" si="22"/>
        <v>8</v>
      </c>
      <c r="L672" cm="1">
        <f t="array" ref="L672">_xlfn.IFS(B672=2015,G672/$P$13,B672=2016,G672/$P$14,B672=2017,G672/$P$15,B672=2018,G672/$P$16,B672=2019,G672/$P$17,B672=2019,G672/$P$18,B672=2020,G672/$P$18,B672=2021,G672/$P$19,B672=2022,G672/$P$20)</f>
        <v>3.4495479442595823E-3</v>
      </c>
    </row>
    <row r="673" spans="1:12" x14ac:dyDescent="0.2">
      <c r="A673">
        <v>3810810</v>
      </c>
      <c r="B673">
        <v>2019</v>
      </c>
      <c r="C673" t="s">
        <v>252</v>
      </c>
      <c r="D673" t="s">
        <v>254</v>
      </c>
      <c r="E673" t="s">
        <v>256</v>
      </c>
      <c r="F673" s="5" t="s">
        <v>183</v>
      </c>
      <c r="G673" s="7">
        <v>325254</v>
      </c>
      <c r="H673" s="7" cm="1">
        <f t="array" ref="H673">_xlfn.IFS(B673=2015,L673*$P$3,B673=2016,L673*$P$4,B673=2017,L673*$P$5,B673=2018,L673*$P$6,B673=2019,L673*$P$7,B673=2020,L673*$P$8,B673=2021,L673*$P$9,B673=2022,L673*$P$10)</f>
        <v>7549.0883771100143</v>
      </c>
      <c r="I673" s="7">
        <f t="shared" si="23"/>
        <v>332803.08837711002</v>
      </c>
      <c r="J673">
        <f>IFERROR(VLOOKUP(F673,'LEAID Match'!$A$2:$B$227,2,FALSE),"")</f>
        <v>3810810</v>
      </c>
      <c r="K673">
        <f t="shared" si="22"/>
        <v>8</v>
      </c>
      <c r="L673" cm="1">
        <f t="array" ref="L673">_xlfn.IFS(B673=2015,G673/$P$13,B673=2016,G673/$P$14,B673=2017,G673/$P$15,B673=2018,G673/$P$16,B673=2019,G673/$P$17,B673=2019,G673/$P$18,B673=2020,G673/$P$18,B673=2021,G673/$P$19,B673=2022,G673/$P$20)</f>
        <v>3.6363624167196603E-3</v>
      </c>
    </row>
    <row r="674" spans="1:12" x14ac:dyDescent="0.2">
      <c r="A674">
        <v>3810810</v>
      </c>
      <c r="B674">
        <v>2020</v>
      </c>
      <c r="C674" t="s">
        <v>252</v>
      </c>
      <c r="D674" t="s">
        <v>254</v>
      </c>
      <c r="E674" t="s">
        <v>256</v>
      </c>
      <c r="F674" s="5" t="s">
        <v>183</v>
      </c>
      <c r="G674" s="7">
        <v>339914</v>
      </c>
      <c r="H674" s="7" cm="1">
        <f t="array" ref="H674">_xlfn.IFS(B674=2015,L674*$P$3,B674=2016,L674*$P$4,B674=2017,L674*$P$5,B674=2018,L674*$P$6,B674=2019,L674*$P$7,B674=2020,L674*$P$8,B674=2021,L674*$P$9,B674=2022,L674*$P$10)</f>
        <v>8527.7686202808909</v>
      </c>
      <c r="I674" s="7">
        <f t="shared" si="23"/>
        <v>348441.7686202809</v>
      </c>
      <c r="J674">
        <f>IFERROR(VLOOKUP(F674,'LEAID Match'!$A$2:$B$227,2,FALSE),"")</f>
        <v>3810810</v>
      </c>
      <c r="K674">
        <f t="shared" si="22"/>
        <v>8</v>
      </c>
      <c r="L674" cm="1">
        <f t="array" ref="L674">_xlfn.IFS(B674=2015,G674/$P$13,B674=2016,G674/$P$14,B674=2017,G674/$P$15,B674=2018,G674/$P$16,B674=2019,G674/$P$17,B674=2019,G674/$P$18,B674=2020,G674/$P$18,B674=2021,G674/$P$19,B674=2022,G674/$P$20)</f>
        <v>3.6537140618170057E-3</v>
      </c>
    </row>
    <row r="675" spans="1:12" x14ac:dyDescent="0.2">
      <c r="A675">
        <v>3810810</v>
      </c>
      <c r="B675" s="5">
        <v>2021</v>
      </c>
      <c r="C675" t="s">
        <v>252</v>
      </c>
      <c r="D675" t="s">
        <v>254</v>
      </c>
      <c r="E675" t="s">
        <v>256</v>
      </c>
      <c r="F675" s="5" t="s">
        <v>183</v>
      </c>
      <c r="G675" s="7">
        <v>331429</v>
      </c>
      <c r="H675" s="7" cm="1">
        <f t="array" ref="H675">_xlfn.IFS(B675=2015,L675*$P$3,B675=2016,L675*$P$4,B675=2017,L675*$P$5,B675=2018,L675*$P$6,B675=2019,L675*$P$7,B675=2020,L675*$P$8,B675=2021,L675*$P$9,B675=2022,L675*$P$10)</f>
        <v>9056.0632525743913</v>
      </c>
      <c r="I675" s="7">
        <f t="shared" si="23"/>
        <v>340485.06325257441</v>
      </c>
      <c r="J675">
        <f>IFERROR(VLOOKUP(F675,'LEAID Match'!$A$2:$B$227,2,FALSE),"")</f>
        <v>3810810</v>
      </c>
      <c r="K675">
        <f t="shared" si="22"/>
        <v>8</v>
      </c>
      <c r="L675" cm="1">
        <f t="array" ref="L675">_xlfn.IFS(B675=2015,G675/$P$13,B675=2016,G675/$P$14,B675=2017,G675/$P$15,B675=2018,G675/$P$16,B675=2019,G675/$P$17,B675=2019,G675/$P$18,B675=2020,G675/$P$18,B675=2021,G675/$P$19,B675=2022,G675/$P$20)</f>
        <v>3.37283547581914E-3</v>
      </c>
    </row>
    <row r="676" spans="1:12" x14ac:dyDescent="0.2">
      <c r="A676">
        <v>3810810</v>
      </c>
      <c r="B676">
        <v>2022</v>
      </c>
      <c r="C676" t="s">
        <v>252</v>
      </c>
      <c r="D676" t="s">
        <v>254</v>
      </c>
      <c r="E676" t="s">
        <v>256</v>
      </c>
      <c r="F676" s="5" t="s">
        <v>183</v>
      </c>
      <c r="G676" s="7">
        <v>310165</v>
      </c>
      <c r="H676" s="7" cm="1">
        <f t="array" ref="H676">_xlfn.IFS(B676=2015,L676*$P$3,B676=2016,L676*$P$4,B676=2017,L676*$P$5,B676=2018,L676*$P$6,B676=2019,L676*$P$7,B676=2020,L676*$P$8,B676=2021,L676*$P$9,B676=2022,L676*$P$10)</f>
        <v>6312.6527040243773</v>
      </c>
      <c r="I676" s="7">
        <f t="shared" si="23"/>
        <v>316477.6527040244</v>
      </c>
      <c r="J676">
        <f>IFERROR(VLOOKUP(F676,'LEAID Match'!$A$2:$B$227,2,FALSE),"")</f>
        <v>3810810</v>
      </c>
      <c r="K676">
        <f t="shared" si="22"/>
        <v>8</v>
      </c>
      <c r="L676" cm="1">
        <f t="array" ref="L676">_xlfn.IFS(B676=2015,G676/$P$13,B676=2016,G676/$P$14,B676=2017,G676/$P$15,B676=2018,G676/$P$16,B676=2019,G676/$P$17,B676=2019,G676/$P$18,B676=2020,G676/$P$18,B676=2021,G676/$P$19,B676=2022,G676/$P$20)</f>
        <v>3.0914068090227118E-3</v>
      </c>
    </row>
    <row r="677" spans="1:12" x14ac:dyDescent="0.2">
      <c r="A677">
        <v>3810860</v>
      </c>
      <c r="B677">
        <v>2015</v>
      </c>
      <c r="C677" t="s">
        <v>252</v>
      </c>
      <c r="D677" t="s">
        <v>254</v>
      </c>
      <c r="E677" t="s">
        <v>256</v>
      </c>
      <c r="F677" s="5" t="s">
        <v>14</v>
      </c>
      <c r="G677" s="7">
        <v>248211</v>
      </c>
      <c r="H677" s="7" cm="1">
        <f t="array" ref="H677">_xlfn.IFS(B677=2015,L677*$P$3,B677=2016,L677*$P$4,B677=2017,L677*$P$5,B677=2018,L677*$P$6,B677=2019,L677*$P$7,B677=2020,L677*$P$8,B677=2021,L677*$P$9,B677=2022,L677*$P$10)</f>
        <v>5611.659251665028</v>
      </c>
      <c r="I677" s="7">
        <f t="shared" si="23"/>
        <v>253822.65925166503</v>
      </c>
      <c r="J677">
        <f>IFERROR(VLOOKUP(F677,'LEAID Match'!$A$2:$B$227,2,FALSE),"")</f>
        <v>3810860</v>
      </c>
      <c r="K677">
        <f t="shared" si="22"/>
        <v>8</v>
      </c>
      <c r="L677" cm="1">
        <f t="array" ref="L677">_xlfn.IFS(B677=2015,G677/$P$13,B677=2016,G677/$P$14,B677=2017,G677/$P$15,B677=2018,G677/$P$16,B677=2019,G677/$P$17,B677=2019,G677/$P$18,B677=2020,G677/$P$18,B677=2021,G677/$P$19,B677=2022,G677/$P$20)</f>
        <v>3.1650644397433888E-3</v>
      </c>
    </row>
    <row r="678" spans="1:12" x14ac:dyDescent="0.2">
      <c r="A678">
        <v>3810860</v>
      </c>
      <c r="B678">
        <v>2016</v>
      </c>
      <c r="C678" t="s">
        <v>252</v>
      </c>
      <c r="D678" t="s">
        <v>254</v>
      </c>
      <c r="E678" t="s">
        <v>256</v>
      </c>
      <c r="F678" s="5" t="s">
        <v>14</v>
      </c>
      <c r="G678" s="7">
        <v>268763</v>
      </c>
      <c r="H678" s="7" cm="1">
        <f t="array" ref="H678">_xlfn.IFS(B678=2015,L678*$P$3,B678=2016,L678*$P$4,B678=2017,L678*$P$5,B678=2018,L678*$P$6,B678=2019,L678*$P$7,B678=2020,L678*$P$8,B678=2021,L678*$P$9,B678=2022,L678*$P$10)</f>
        <v>9126.3996707095266</v>
      </c>
      <c r="I678" s="7">
        <f t="shared" si="23"/>
        <v>277889.39967070951</v>
      </c>
      <c r="J678">
        <f>IFERROR(VLOOKUP(F678,'LEAID Match'!$A$2:$B$227,2,FALSE),"")</f>
        <v>3810860</v>
      </c>
      <c r="K678">
        <f t="shared" si="22"/>
        <v>8</v>
      </c>
      <c r="L678" cm="1">
        <f t="array" ref="L678">_xlfn.IFS(B678=2015,G678/$P$13,B678=2016,G678/$P$14,B678=2017,G678/$P$15,B678=2018,G678/$P$16,B678=2019,G678/$P$17,B678=2019,G678/$P$18,B678=2020,G678/$P$18,B678=2021,G678/$P$19,B678=2022,G678/$P$20)</f>
        <v>3.2443653290826617E-3</v>
      </c>
    </row>
    <row r="679" spans="1:12" x14ac:dyDescent="0.2">
      <c r="A679">
        <v>3810860</v>
      </c>
      <c r="B679">
        <v>2017</v>
      </c>
      <c r="C679" t="s">
        <v>252</v>
      </c>
      <c r="D679" t="s">
        <v>254</v>
      </c>
      <c r="E679" t="s">
        <v>256</v>
      </c>
      <c r="F679" s="5" t="s">
        <v>14</v>
      </c>
      <c r="G679" s="7">
        <v>274929</v>
      </c>
      <c r="H679" s="7" cm="1">
        <f t="array" ref="H679">_xlfn.IFS(B679=2015,L679*$P$3,B679=2016,L679*$P$4,B679=2017,L679*$P$5,B679=2018,L679*$P$6,B679=2019,L679*$P$7,B679=2020,L679*$P$8,B679=2021,L679*$P$9,B679=2022,L679*$P$10)</f>
        <v>8909.9129859524164</v>
      </c>
      <c r="I679" s="7">
        <f t="shared" si="23"/>
        <v>283838.9129859524</v>
      </c>
      <c r="J679">
        <f>IFERROR(VLOOKUP(F679,'LEAID Match'!$A$2:$B$227,2,FALSE),"")</f>
        <v>3810860</v>
      </c>
      <c r="K679">
        <f t="shared" si="22"/>
        <v>8</v>
      </c>
      <c r="L679" cm="1">
        <f t="array" ref="L679">_xlfn.IFS(B679=2015,G679/$P$13,B679=2016,G679/$P$14,B679=2017,G679/$P$15,B679=2018,G679/$P$16,B679=2019,G679/$P$17,B679=2019,G679/$P$18,B679=2020,G679/$P$18,B679=2021,G679/$P$19,B679=2022,G679/$P$20)</f>
        <v>3.194662239495309E-3</v>
      </c>
    </row>
    <row r="680" spans="1:12" x14ac:dyDescent="0.2">
      <c r="A680">
        <v>3810860</v>
      </c>
      <c r="B680" s="5">
        <v>2018</v>
      </c>
      <c r="C680" t="s">
        <v>252</v>
      </c>
      <c r="D680" t="s">
        <v>254</v>
      </c>
      <c r="E680" t="s">
        <v>256</v>
      </c>
      <c r="F680" s="5" t="s">
        <v>14</v>
      </c>
      <c r="G680" s="7">
        <v>284587</v>
      </c>
      <c r="H680" s="7" cm="1">
        <f t="array" ref="H680">_xlfn.IFS(B680=2015,L680*$P$3,B680=2016,L680*$P$4,B680=2017,L680*$P$5,B680=2018,L680*$P$6,B680=2019,L680*$P$7,B680=2020,L680*$P$8,B680=2021,L680*$P$9,B680=2022,L680*$P$10)</f>
        <v>7797.9651275983279</v>
      </c>
      <c r="I680" s="7">
        <f t="shared" si="23"/>
        <v>292384.96512759832</v>
      </c>
      <c r="J680">
        <f>IFERROR(VLOOKUP(F680,'LEAID Match'!$A$2:$B$227,2,FALSE),"")</f>
        <v>3810860</v>
      </c>
      <c r="K680">
        <f t="shared" si="22"/>
        <v>8</v>
      </c>
      <c r="L680" cm="1">
        <f t="array" ref="L680">_xlfn.IFS(B680=2015,G680/$P$13,B680=2016,G680/$P$14,B680=2017,G680/$P$15,B680=2018,G680/$P$16,B680=2019,G680/$P$17,B680=2019,G680/$P$18,B680=2020,G680/$P$18,B680=2021,G680/$P$19,B680=2022,G680/$P$20)</f>
        <v>3.2833537379361381E-3</v>
      </c>
    </row>
    <row r="681" spans="1:12" x14ac:dyDescent="0.2">
      <c r="A681">
        <v>3810860</v>
      </c>
      <c r="B681">
        <v>2019</v>
      </c>
      <c r="C681" t="s">
        <v>252</v>
      </c>
      <c r="D681" t="s">
        <v>254</v>
      </c>
      <c r="E681" t="s">
        <v>256</v>
      </c>
      <c r="F681" s="5" t="s">
        <v>14</v>
      </c>
      <c r="G681" s="7">
        <v>271978</v>
      </c>
      <c r="H681" s="7" cm="1">
        <f t="array" ref="H681">_xlfn.IFS(B681=2015,L681*$P$3,B681=2016,L681*$P$4,B681=2017,L681*$P$5,B681=2018,L681*$P$6,B681=2019,L681*$P$7,B681=2020,L681*$P$8,B681=2021,L681*$P$9,B681=2022,L681*$P$10)</f>
        <v>6312.561747525403</v>
      </c>
      <c r="I681" s="7">
        <f t="shared" si="23"/>
        <v>278290.56174752541</v>
      </c>
      <c r="J681">
        <f>IFERROR(VLOOKUP(F681,'LEAID Match'!$A$2:$B$227,2,FALSE),"")</f>
        <v>3810860</v>
      </c>
      <c r="K681">
        <f t="shared" si="22"/>
        <v>8</v>
      </c>
      <c r="L681" cm="1">
        <f t="array" ref="L681">_xlfn.IFS(B681=2015,G681/$P$13,B681=2016,G681/$P$14,B681=2017,G681/$P$15,B681=2018,G681/$P$16,B681=2019,G681/$P$17,B681=2019,G681/$P$18,B681=2020,G681/$P$18,B681=2021,G681/$P$19,B681=2022,G681/$P$20)</f>
        <v>3.0407330190392115E-3</v>
      </c>
    </row>
    <row r="682" spans="1:12" x14ac:dyDescent="0.2">
      <c r="A682">
        <v>3810860</v>
      </c>
      <c r="B682">
        <v>2020</v>
      </c>
      <c r="C682" t="s">
        <v>252</v>
      </c>
      <c r="D682" t="s">
        <v>254</v>
      </c>
      <c r="E682" t="s">
        <v>256</v>
      </c>
      <c r="F682" s="5" t="s">
        <v>14</v>
      </c>
      <c r="G682" s="7">
        <v>275287</v>
      </c>
      <c r="H682" s="7" cm="1">
        <f t="array" ref="H682">_xlfn.IFS(B682=2015,L682*$P$3,B682=2016,L682*$P$4,B682=2017,L682*$P$5,B682=2018,L682*$P$6,B682=2019,L682*$P$7,B682=2020,L682*$P$8,B682=2021,L682*$P$9,B682=2022,L682*$P$10)</f>
        <v>6906.4052677184991</v>
      </c>
      <c r="I682" s="7">
        <f t="shared" si="23"/>
        <v>282193.40526771848</v>
      </c>
      <c r="J682">
        <f>IFERROR(VLOOKUP(F682,'LEAID Match'!$A$2:$B$227,2,FALSE),"")</f>
        <v>3810860</v>
      </c>
      <c r="K682">
        <f t="shared" si="22"/>
        <v>8</v>
      </c>
      <c r="L682" cm="1">
        <f t="array" ref="L682">_xlfn.IFS(B682=2015,G682/$P$13,B682=2016,G682/$P$14,B682=2017,G682/$P$15,B682=2018,G682/$P$16,B682=2019,G682/$P$17,B682=2019,G682/$P$18,B682=2020,G682/$P$18,B682=2021,G682/$P$19,B682=2022,G682/$P$20)</f>
        <v>2.9590425311561692E-3</v>
      </c>
    </row>
    <row r="683" spans="1:12" x14ac:dyDescent="0.2">
      <c r="A683">
        <v>3810860</v>
      </c>
      <c r="B683" s="5">
        <v>2021</v>
      </c>
      <c r="C683" t="s">
        <v>252</v>
      </c>
      <c r="D683" t="s">
        <v>254</v>
      </c>
      <c r="E683" t="s">
        <v>256</v>
      </c>
      <c r="F683" s="5" t="s">
        <v>14</v>
      </c>
      <c r="G683" s="7">
        <v>284411</v>
      </c>
      <c r="H683" s="7" cm="1">
        <f t="array" ref="H683">_xlfn.IFS(B683=2015,L683*$P$3,B683=2016,L683*$P$4,B683=2017,L683*$P$5,B683=2018,L683*$P$6,B683=2019,L683*$P$7,B683=2020,L683*$P$8,B683=2021,L683*$P$9,B683=2022,L683*$P$10)</f>
        <v>7771.3296233218434</v>
      </c>
      <c r="I683" s="7">
        <f t="shared" si="23"/>
        <v>292182.32962332183</v>
      </c>
      <c r="J683">
        <f>IFERROR(VLOOKUP(F683,'LEAID Match'!$A$2:$B$227,2,FALSE),"")</f>
        <v>3810860</v>
      </c>
      <c r="K683">
        <f t="shared" si="22"/>
        <v>8</v>
      </c>
      <c r="L683" cm="1">
        <f t="array" ref="L683">_xlfn.IFS(B683=2015,G683/$P$13,B683=2016,G683/$P$14,B683=2017,G683/$P$15,B683=2018,G683/$P$16,B683=2019,G683/$P$17,B683=2019,G683/$P$18,B683=2020,G683/$P$18,B683=2021,G683/$P$19,B683=2022,G683/$P$20)</f>
        <v>2.8943499528200534E-3</v>
      </c>
    </row>
    <row r="684" spans="1:12" x14ac:dyDescent="0.2">
      <c r="A684">
        <v>3810860</v>
      </c>
      <c r="B684">
        <v>2022</v>
      </c>
      <c r="C684" t="s">
        <v>252</v>
      </c>
      <c r="D684" t="s">
        <v>254</v>
      </c>
      <c r="E684" t="s">
        <v>256</v>
      </c>
      <c r="F684" s="5" t="s">
        <v>14</v>
      </c>
      <c r="G684" s="7">
        <v>269504</v>
      </c>
      <c r="H684" s="7" cm="1">
        <f t="array" ref="H684">_xlfn.IFS(B684=2015,L684*$P$3,B684=2016,L684*$P$4,B684=2017,L684*$P$5,B684=2018,L684*$P$6,B684=2019,L684*$P$7,B684=2020,L684*$P$8,B684=2021,L684*$P$9,B684=2022,L684*$P$10)</f>
        <v>5485.0971397333224</v>
      </c>
      <c r="I684" s="7">
        <f t="shared" si="23"/>
        <v>274989.09713973332</v>
      </c>
      <c r="J684">
        <f>IFERROR(VLOOKUP(F684,'LEAID Match'!$A$2:$B$227,2,FALSE),"")</f>
        <v>3810860</v>
      </c>
      <c r="K684">
        <f t="shared" si="22"/>
        <v>8</v>
      </c>
      <c r="L684" cm="1">
        <f t="array" ref="L684">_xlfn.IFS(B684=2015,G684/$P$13,B684=2016,G684/$P$14,B684=2017,G684/$P$15,B684=2018,G684/$P$16,B684=2019,G684/$P$17,B684=2019,G684/$P$18,B684=2020,G684/$P$18,B684=2021,G684/$P$19,B684=2022,G684/$P$20)</f>
        <v>2.6861396374795897E-3</v>
      </c>
    </row>
    <row r="685" spans="1:12" x14ac:dyDescent="0.2">
      <c r="A685">
        <v>3810980</v>
      </c>
      <c r="B685">
        <v>2015</v>
      </c>
      <c r="C685" t="s">
        <v>252</v>
      </c>
      <c r="D685" t="s">
        <v>254</v>
      </c>
      <c r="E685" t="s">
        <v>256</v>
      </c>
      <c r="F685" s="5" t="s">
        <v>15</v>
      </c>
      <c r="G685" s="7">
        <v>137820</v>
      </c>
      <c r="H685" s="7" cm="1">
        <f t="array" ref="H685">_xlfn.IFS(B685=2015,L685*$P$3,B685=2016,L685*$P$4,B685=2017,L685*$P$5,B685=2018,L685*$P$6,B685=2019,L685*$P$7,B685=2020,L685*$P$8,B685=2021,L685*$P$9,B685=2022,L685*$P$10)</f>
        <v>3115.8928414311781</v>
      </c>
      <c r="I685" s="7">
        <f t="shared" si="23"/>
        <v>140935.89284143117</v>
      </c>
      <c r="J685">
        <f>IFERROR(VLOOKUP(F685,'LEAID Match'!$A$2:$B$227,2,FALSE),"")</f>
        <v>3810980</v>
      </c>
      <c r="K685">
        <f t="shared" si="22"/>
        <v>8</v>
      </c>
      <c r="L685" cm="1">
        <f t="array" ref="L685">_xlfn.IFS(B685=2015,G685/$P$13,B685=2016,G685/$P$14,B685=2017,G685/$P$15,B685=2018,G685/$P$16,B685=2019,G685/$P$17,B685=2019,G685/$P$18,B685=2020,G685/$P$18,B685=2021,G685/$P$19,B685=2022,G685/$P$20)</f>
        <v>1.7574127701247479E-3</v>
      </c>
    </row>
    <row r="686" spans="1:12" x14ac:dyDescent="0.2">
      <c r="A686">
        <v>3810980</v>
      </c>
      <c r="B686">
        <v>2016</v>
      </c>
      <c r="C686" t="s">
        <v>252</v>
      </c>
      <c r="D686" t="s">
        <v>254</v>
      </c>
      <c r="E686" t="s">
        <v>256</v>
      </c>
      <c r="F686" s="5" t="s">
        <v>15</v>
      </c>
      <c r="G686" s="7">
        <v>135825</v>
      </c>
      <c r="H686" s="7" cm="1">
        <f t="array" ref="H686">_xlfn.IFS(B686=2015,L686*$P$3,B686=2016,L686*$P$4,B686=2017,L686*$P$5,B686=2018,L686*$P$6,B686=2019,L686*$P$7,B686=2020,L686*$P$8,B686=2021,L686*$P$9,B686=2022,L686*$P$10)</f>
        <v>4612.2168426238795</v>
      </c>
      <c r="I686" s="7">
        <f t="shared" si="23"/>
        <v>140437.21684262389</v>
      </c>
      <c r="J686">
        <f>IFERROR(VLOOKUP(F686,'LEAID Match'!$A$2:$B$227,2,FALSE),"")</f>
        <v>3810980</v>
      </c>
      <c r="K686">
        <f t="shared" si="22"/>
        <v>8</v>
      </c>
      <c r="L686" cm="1">
        <f t="array" ref="L686">_xlfn.IFS(B686=2015,G686/$P$13,B686=2016,G686/$P$14,B686=2017,G686/$P$15,B686=2018,G686/$P$16,B686=2019,G686/$P$17,B686=2019,G686/$P$18,B686=2020,G686/$P$18,B686=2021,G686/$P$19,B686=2022,G686/$P$20)</f>
        <v>1.6396078359843154E-3</v>
      </c>
    </row>
    <row r="687" spans="1:12" x14ac:dyDescent="0.2">
      <c r="A687">
        <v>3810980</v>
      </c>
      <c r="B687">
        <v>2017</v>
      </c>
      <c r="C687" t="s">
        <v>252</v>
      </c>
      <c r="D687" t="s">
        <v>254</v>
      </c>
      <c r="E687" t="s">
        <v>256</v>
      </c>
      <c r="F687" s="5" t="s">
        <v>15</v>
      </c>
      <c r="G687" s="7">
        <v>137592</v>
      </c>
      <c r="H687" s="7" cm="1">
        <f t="array" ref="H687">_xlfn.IFS(B687=2015,L687*$P$3,B687=2016,L687*$P$4,B687=2017,L687*$P$5,B687=2018,L687*$P$6,B687=2019,L687*$P$7,B687=2020,L687*$P$8,B687=2021,L687*$P$9,B687=2022,L687*$P$10)</f>
        <v>4459.0885194474395</v>
      </c>
      <c r="I687" s="7">
        <f t="shared" si="23"/>
        <v>142051.08851944742</v>
      </c>
      <c r="J687">
        <f>IFERROR(VLOOKUP(F687,'LEAID Match'!$A$2:$B$227,2,FALSE),"")</f>
        <v>3810980</v>
      </c>
      <c r="K687">
        <f t="shared" si="22"/>
        <v>8</v>
      </c>
      <c r="L687" cm="1">
        <f t="array" ref="L687">_xlfn.IFS(B687=2015,G687/$P$13,B687=2016,G687/$P$14,B687=2017,G687/$P$15,B687=2018,G687/$P$16,B687=2019,G687/$P$17,B687=2019,G687/$P$18,B687=2020,G687/$P$18,B687=2021,G687/$P$19,B687=2022,G687/$P$20)</f>
        <v>1.5988126638391679E-3</v>
      </c>
    </row>
    <row r="688" spans="1:12" x14ac:dyDescent="0.2">
      <c r="A688">
        <v>3810980</v>
      </c>
      <c r="B688" s="5">
        <v>2018</v>
      </c>
      <c r="C688" t="s">
        <v>252</v>
      </c>
      <c r="D688" t="s">
        <v>254</v>
      </c>
      <c r="E688" t="s">
        <v>256</v>
      </c>
      <c r="F688" s="5" t="s">
        <v>15</v>
      </c>
      <c r="G688" s="7">
        <v>135714</v>
      </c>
      <c r="H688" s="7" cm="1">
        <f t="array" ref="H688">_xlfn.IFS(B688=2015,L688*$P$3,B688=2016,L688*$P$4,B688=2017,L688*$P$5,B688=2018,L688*$P$6,B688=2019,L688*$P$7,B688=2020,L688*$P$8,B688=2021,L688*$P$9,B688=2022,L688*$P$10)</f>
        <v>3718.6977596547963</v>
      </c>
      <c r="I688" s="7">
        <f t="shared" si="23"/>
        <v>139432.69775965481</v>
      </c>
      <c r="J688">
        <f>IFERROR(VLOOKUP(F688,'LEAID Match'!$A$2:$B$227,2,FALSE),"")</f>
        <v>3810980</v>
      </c>
      <c r="K688">
        <f t="shared" si="22"/>
        <v>8</v>
      </c>
      <c r="L688" cm="1">
        <f t="array" ref="L688">_xlfn.IFS(B688=2015,G688/$P$13,B688=2016,G688/$P$14,B688=2017,G688/$P$15,B688=2018,G688/$P$16,B688=2019,G688/$P$17,B688=2019,G688/$P$18,B688=2020,G688/$P$18,B688=2021,G688/$P$19,B688=2022,G688/$P$20)</f>
        <v>1.5657674777493878E-3</v>
      </c>
    </row>
    <row r="689" spans="1:12" x14ac:dyDescent="0.2">
      <c r="A689">
        <v>3810980</v>
      </c>
      <c r="B689">
        <v>2019</v>
      </c>
      <c r="C689" t="s">
        <v>252</v>
      </c>
      <c r="D689" t="s">
        <v>254</v>
      </c>
      <c r="E689" t="s">
        <v>256</v>
      </c>
      <c r="F689" s="5" t="s">
        <v>15</v>
      </c>
      <c r="G689" s="7">
        <v>134039</v>
      </c>
      <c r="H689" s="7" cm="1">
        <f t="array" ref="H689">_xlfn.IFS(B689=2015,L689*$P$3,B689=2016,L689*$P$4,B689=2017,L689*$P$5,B689=2018,L689*$P$6,B689=2019,L689*$P$7,B689=2020,L689*$P$8,B689=2021,L689*$P$9,B689=2022,L689*$P$10)</f>
        <v>3111.0217152731384</v>
      </c>
      <c r="I689" s="7">
        <f t="shared" si="23"/>
        <v>137150.02171527315</v>
      </c>
      <c r="J689">
        <f>IFERROR(VLOOKUP(F689,'LEAID Match'!$A$2:$B$227,2,FALSE),"")</f>
        <v>3810980</v>
      </c>
      <c r="K689">
        <f t="shared" si="22"/>
        <v>8</v>
      </c>
      <c r="L689" cm="1">
        <f t="array" ref="L689">_xlfn.IFS(B689=2015,G689/$P$13,B689=2016,G689/$P$14,B689=2017,G689/$P$15,B689=2018,G689/$P$16,B689=2019,G689/$P$17,B689=2019,G689/$P$18,B689=2020,G689/$P$18,B689=2021,G689/$P$19,B689=2022,G689/$P$20)</f>
        <v>1.498565373445635E-3</v>
      </c>
    </row>
    <row r="690" spans="1:12" x14ac:dyDescent="0.2">
      <c r="A690">
        <v>3810980</v>
      </c>
      <c r="B690">
        <v>2020</v>
      </c>
      <c r="C690" t="s">
        <v>252</v>
      </c>
      <c r="D690" t="s">
        <v>254</v>
      </c>
      <c r="E690" t="s">
        <v>256</v>
      </c>
      <c r="F690" s="5" t="s">
        <v>15</v>
      </c>
      <c r="G690" s="7">
        <v>137860</v>
      </c>
      <c r="H690" s="7" cm="1">
        <f t="array" ref="H690">_xlfn.IFS(B690=2015,L690*$P$3,B690=2016,L690*$P$4,B690=2017,L690*$P$5,B690=2018,L690*$P$6,B690=2019,L690*$P$7,B690=2020,L690*$P$8,B690=2021,L690*$P$9,B690=2022,L690*$P$10)</f>
        <v>3458.6341898007254</v>
      </c>
      <c r="I690" s="7">
        <f t="shared" si="23"/>
        <v>141318.63418980074</v>
      </c>
      <c r="J690">
        <f>IFERROR(VLOOKUP(F690,'LEAID Match'!$A$2:$B$227,2,FALSE),"")</f>
        <v>3810980</v>
      </c>
      <c r="K690">
        <f t="shared" si="22"/>
        <v>8</v>
      </c>
      <c r="L690" cm="1">
        <f t="array" ref="L690">_xlfn.IFS(B690=2015,G690/$P$13,B690=2016,G690/$P$14,B690=2017,G690/$P$15,B690=2018,G690/$P$16,B690=2019,G690/$P$17,B690=2019,G690/$P$18,B690=2020,G690/$P$18,B690=2021,G690/$P$19,B690=2022,G690/$P$20)</f>
        <v>1.481848410368777E-3</v>
      </c>
    </row>
    <row r="691" spans="1:12" x14ac:dyDescent="0.2">
      <c r="A691">
        <v>3810980</v>
      </c>
      <c r="B691" s="5">
        <v>2021</v>
      </c>
      <c r="C691" t="s">
        <v>252</v>
      </c>
      <c r="D691" t="s">
        <v>254</v>
      </c>
      <c r="E691" t="s">
        <v>256</v>
      </c>
      <c r="F691" s="5" t="s">
        <v>15</v>
      </c>
      <c r="G691" s="7">
        <v>134538</v>
      </c>
      <c r="H691" s="7" cm="1">
        <f t="array" ref="H691">_xlfn.IFS(B691=2015,L691*$P$3,B691=2016,L691*$P$4,B691=2017,L691*$P$5,B691=2018,L691*$P$6,B691=2019,L691*$P$7,B691=2020,L691*$P$8,B691=2021,L691*$P$9,B691=2022,L691*$P$10)</f>
        <v>3676.1557916623269</v>
      </c>
      <c r="I691" s="7">
        <f t="shared" si="23"/>
        <v>138214.15579166231</v>
      </c>
      <c r="J691">
        <f>IFERROR(VLOOKUP(F691,'LEAID Match'!$A$2:$B$227,2,FALSE),"")</f>
        <v>3810980</v>
      </c>
      <c r="K691">
        <f t="shared" si="22"/>
        <v>8</v>
      </c>
      <c r="L691" cm="1">
        <f t="array" ref="L691">_xlfn.IFS(B691=2015,G691/$P$13,B691=2016,G691/$P$14,B691=2017,G691/$P$15,B691=2018,G691/$P$16,B691=2019,G691/$P$17,B691=2019,G691/$P$18,B691=2020,G691/$P$18,B691=2021,G691/$P$19,B691=2022,G691/$P$20)</f>
        <v>1.3691455462429523E-3</v>
      </c>
    </row>
    <row r="692" spans="1:12" x14ac:dyDescent="0.2">
      <c r="A692">
        <v>3810980</v>
      </c>
      <c r="B692">
        <v>2022</v>
      </c>
      <c r="C692" t="s">
        <v>252</v>
      </c>
      <c r="D692" t="s">
        <v>254</v>
      </c>
      <c r="E692" t="s">
        <v>256</v>
      </c>
      <c r="F692" s="5" t="s">
        <v>15</v>
      </c>
      <c r="G692" s="7">
        <v>124278</v>
      </c>
      <c r="H692" s="7" cm="1">
        <f t="array" ref="H692">_xlfn.IFS(B692=2015,L692*$P$3,B692=2016,L692*$P$4,B692=2017,L692*$P$5,B692=2018,L692*$P$6,B692=2019,L692*$P$7,B692=2020,L692*$P$8,B692=2021,L692*$P$9,B692=2022,L692*$P$10)</f>
        <v>2529.3758249665229</v>
      </c>
      <c r="I692" s="7">
        <f t="shared" si="23"/>
        <v>126807.37582496653</v>
      </c>
      <c r="J692">
        <f>IFERROR(VLOOKUP(F692,'LEAID Match'!$A$2:$B$227,2,FALSE),"")</f>
        <v>3810980</v>
      </c>
      <c r="K692">
        <f t="shared" si="22"/>
        <v>8</v>
      </c>
      <c r="L692" cm="1">
        <f t="array" ref="L692">_xlfn.IFS(B692=2015,G692/$P$13,B692=2016,G692/$P$14,B692=2017,G692/$P$15,B692=2018,G692/$P$16,B692=2019,G692/$P$17,B692=2019,G692/$P$18,B692=2020,G692/$P$18,B692=2021,G692/$P$19,B692=2022,G692/$P$20)</f>
        <v>1.2386757223146537E-3</v>
      </c>
    </row>
    <row r="693" spans="1:12" x14ac:dyDescent="0.2">
      <c r="A693">
        <v>3800058</v>
      </c>
      <c r="B693">
        <v>2015</v>
      </c>
      <c r="C693" t="s">
        <v>252</v>
      </c>
      <c r="D693" t="s">
        <v>254</v>
      </c>
      <c r="E693" t="s">
        <v>256</v>
      </c>
      <c r="F693" s="5" t="s">
        <v>16</v>
      </c>
      <c r="G693" s="7">
        <v>323021</v>
      </c>
      <c r="H693" s="7" cm="1">
        <f t="array" ref="H693">_xlfn.IFS(B693=2015,L693*$P$3,B693=2016,L693*$P$4,B693=2017,L693*$P$5,B693=2018,L693*$P$6,B693=2019,L693*$P$7,B693=2020,L693*$P$8,B693=2021,L693*$P$9,B693=2022,L693*$P$10)</f>
        <v>7302.995367377308</v>
      </c>
      <c r="I693" s="7">
        <f t="shared" si="23"/>
        <v>330323.9953673773</v>
      </c>
      <c r="J693">
        <f>IFERROR(VLOOKUP(F693,'LEAID Match'!$A$2:$B$227,2,FALSE),"")</f>
        <v>3800058</v>
      </c>
      <c r="K693">
        <f t="shared" si="22"/>
        <v>8</v>
      </c>
      <c r="L693" cm="1">
        <f t="array" ref="L693">_xlfn.IFS(B693=2015,G693/$P$13,B693=2016,G693/$P$14,B693=2017,G693/$P$15,B693=2018,G693/$P$16,B693=2019,G693/$P$17,B693=2019,G693/$P$18,B693=2020,G693/$P$18,B693=2021,G693/$P$19,B693=2022,G693/$P$20)</f>
        <v>4.1190047193329429E-3</v>
      </c>
    </row>
    <row r="694" spans="1:12" x14ac:dyDescent="0.2">
      <c r="A694">
        <v>3800058</v>
      </c>
      <c r="B694">
        <v>2016</v>
      </c>
      <c r="C694" t="s">
        <v>252</v>
      </c>
      <c r="D694" t="s">
        <v>254</v>
      </c>
      <c r="E694" t="s">
        <v>256</v>
      </c>
      <c r="F694" s="5" t="s">
        <v>16</v>
      </c>
      <c r="G694" s="7">
        <v>335571</v>
      </c>
      <c r="H694" s="7" cm="1">
        <f t="array" ref="H694">_xlfn.IFS(B694=2015,L694*$P$3,B694=2016,L694*$P$4,B694=2017,L694*$P$5,B694=2018,L694*$P$6,B694=2019,L694*$P$7,B694=2020,L694*$P$8,B694=2021,L694*$P$9,B694=2022,L694*$P$10)</f>
        <v>11395.002526016107</v>
      </c>
      <c r="I694" s="7">
        <f t="shared" si="23"/>
        <v>346966.00252601609</v>
      </c>
      <c r="J694">
        <f>IFERROR(VLOOKUP(F694,'LEAID Match'!$A$2:$B$227,2,FALSE),"")</f>
        <v>3800058</v>
      </c>
      <c r="K694">
        <f t="shared" si="22"/>
        <v>8</v>
      </c>
      <c r="L694" cm="1">
        <f t="array" ref="L694">_xlfn.IFS(B694=2015,G694/$P$13,B694=2016,G694/$P$14,B694=2017,G694/$P$15,B694=2018,G694/$P$16,B694=2019,G694/$P$17,B694=2019,G694/$P$18,B694=2020,G694/$P$18,B694=2021,G694/$P$19,B694=2022,G694/$P$20)</f>
        <v>4.0508363050181682E-3</v>
      </c>
    </row>
    <row r="695" spans="1:12" x14ac:dyDescent="0.2">
      <c r="A695">
        <v>3800058</v>
      </c>
      <c r="B695">
        <v>2017</v>
      </c>
      <c r="C695" t="s">
        <v>252</v>
      </c>
      <c r="D695" t="s">
        <v>254</v>
      </c>
      <c r="E695" t="s">
        <v>256</v>
      </c>
      <c r="F695" s="5" t="s">
        <v>16</v>
      </c>
      <c r="G695" s="7">
        <v>352924</v>
      </c>
      <c r="H695" s="7" cm="1">
        <f t="array" ref="H695">_xlfn.IFS(B695=2015,L695*$P$3,B695=2016,L695*$P$4,B695=2017,L695*$P$5,B695=2018,L695*$P$6,B695=2019,L695*$P$7,B695=2020,L695*$P$8,B695=2021,L695*$P$9,B695=2022,L695*$P$10)</f>
        <v>11437.578904569074</v>
      </c>
      <c r="I695" s="7">
        <f t="shared" si="23"/>
        <v>364361.57890456909</v>
      </c>
      <c r="J695">
        <f>IFERROR(VLOOKUP(F695,'LEAID Match'!$A$2:$B$227,2,FALSE),"")</f>
        <v>3800058</v>
      </c>
      <c r="K695">
        <f t="shared" si="22"/>
        <v>8</v>
      </c>
      <c r="L695" cm="1">
        <f t="array" ref="L695">_xlfn.IFS(B695=2015,G695/$P$13,B695=2016,G695/$P$14,B695=2017,G695/$P$15,B695=2018,G695/$P$16,B695=2019,G695/$P$17,B695=2019,G695/$P$18,B695=2020,G695/$P$18,B695=2021,G695/$P$19,B695=2022,G695/$P$20)</f>
        <v>4.1009605251233682E-3</v>
      </c>
    </row>
    <row r="696" spans="1:12" x14ac:dyDescent="0.2">
      <c r="A696">
        <v>3800058</v>
      </c>
      <c r="B696" s="5">
        <v>2018</v>
      </c>
      <c r="C696" t="s">
        <v>252</v>
      </c>
      <c r="D696" t="s">
        <v>254</v>
      </c>
      <c r="E696" t="s">
        <v>256</v>
      </c>
      <c r="F696" s="5" t="s">
        <v>16</v>
      </c>
      <c r="G696" s="7">
        <v>332684</v>
      </c>
      <c r="H696" s="7" cm="1">
        <f t="array" ref="H696">_xlfn.IFS(B696=2015,L696*$P$3,B696=2016,L696*$P$4,B696=2017,L696*$P$5,B696=2018,L696*$P$6,B696=2019,L696*$P$7,B696=2020,L696*$P$8,B696=2021,L696*$P$9,B696=2022,L696*$P$10)</f>
        <v>9115.8704737388634</v>
      </c>
      <c r="I696" s="7">
        <f t="shared" si="23"/>
        <v>341799.87047373888</v>
      </c>
      <c r="J696">
        <f>IFERROR(VLOOKUP(F696,'LEAID Match'!$A$2:$B$227,2,FALSE),"")</f>
        <v>3800058</v>
      </c>
      <c r="K696">
        <f t="shared" si="22"/>
        <v>8</v>
      </c>
      <c r="L696" cm="1">
        <f t="array" ref="L696">_xlfn.IFS(B696=2015,G696/$P$13,B696=2016,G696/$P$14,B696=2017,G696/$P$15,B696=2018,G696/$P$16,B696=2019,G696/$P$17,B696=2019,G696/$P$18,B696=2020,G696/$P$18,B696=2021,G696/$P$19,B696=2022,G696/$P$20)</f>
        <v>3.8382612521005743E-3</v>
      </c>
    </row>
    <row r="697" spans="1:12" x14ac:dyDescent="0.2">
      <c r="A697">
        <v>3800058</v>
      </c>
      <c r="B697">
        <v>2019</v>
      </c>
      <c r="C697" t="s">
        <v>252</v>
      </c>
      <c r="D697" t="s">
        <v>254</v>
      </c>
      <c r="E697" t="s">
        <v>256</v>
      </c>
      <c r="F697" s="5" t="s">
        <v>16</v>
      </c>
      <c r="G697" s="7">
        <v>321621</v>
      </c>
      <c r="H697" s="7" cm="1">
        <f t="array" ref="H697">_xlfn.IFS(B697=2015,L697*$P$3,B697=2016,L697*$P$4,B697=2017,L697*$P$5,B697=2018,L697*$P$6,B697=2019,L697*$P$7,B697=2020,L697*$P$8,B697=2021,L697*$P$9,B697=2022,L697*$P$10)</f>
        <v>7464.7670833702277</v>
      </c>
      <c r="I697" s="7">
        <f t="shared" si="23"/>
        <v>329085.76708337024</v>
      </c>
      <c r="J697">
        <f>IFERROR(VLOOKUP(F697,'LEAID Match'!$A$2:$B$227,2,FALSE),"")</f>
        <v>3800058</v>
      </c>
      <c r="K697">
        <f t="shared" si="22"/>
        <v>8</v>
      </c>
      <c r="L697" cm="1">
        <f t="array" ref="L697">_xlfn.IFS(B697=2015,G697/$P$13,B697=2016,G697/$P$14,B697=2017,G697/$P$15,B697=2018,G697/$P$16,B697=2019,G697/$P$17,B697=2019,G697/$P$18,B697=2020,G697/$P$18,B697=2021,G697/$P$19,B697=2022,G697/$P$20)</f>
        <v>3.595745223203385E-3</v>
      </c>
    </row>
    <row r="698" spans="1:12" x14ac:dyDescent="0.2">
      <c r="A698">
        <v>3800058</v>
      </c>
      <c r="B698">
        <v>2020</v>
      </c>
      <c r="C698" t="s">
        <v>252</v>
      </c>
      <c r="D698" t="s">
        <v>254</v>
      </c>
      <c r="E698" t="s">
        <v>256</v>
      </c>
      <c r="F698" s="5" t="s">
        <v>16</v>
      </c>
      <c r="G698" s="7">
        <v>318724</v>
      </c>
      <c r="H698" s="7" cm="1">
        <f t="array" ref="H698">_xlfn.IFS(B698=2015,L698*$P$3,B698=2016,L698*$P$4,B698=2017,L698*$P$5,B698=2018,L698*$P$6,B698=2019,L698*$P$7,B698=2020,L698*$P$8,B698=2021,L698*$P$9,B698=2022,L698*$P$10)</f>
        <v>7996.1535145078078</v>
      </c>
      <c r="I698" s="7">
        <f t="shared" si="23"/>
        <v>326720.15351450781</v>
      </c>
      <c r="J698">
        <f>IFERROR(VLOOKUP(F698,'LEAID Match'!$A$2:$B$227,2,FALSE),"")</f>
        <v>3800058</v>
      </c>
      <c r="K698">
        <f t="shared" si="22"/>
        <v>8</v>
      </c>
      <c r="L698" cm="1">
        <f t="array" ref="L698">_xlfn.IFS(B698=2015,G698/$P$13,B698=2016,G698/$P$14,B698=2017,G698/$P$15,B698=2018,G698/$P$16,B698=2019,G698/$P$17,B698=2019,G698/$P$18,B698=2020,G698/$P$18,B698=2021,G698/$P$19,B698=2022,G698/$P$20)</f>
        <v>3.4259440936194548E-3</v>
      </c>
    </row>
    <row r="699" spans="1:12" x14ac:dyDescent="0.2">
      <c r="A699">
        <v>3800058</v>
      </c>
      <c r="B699" s="5">
        <v>2021</v>
      </c>
      <c r="C699" t="s">
        <v>252</v>
      </c>
      <c r="D699" t="s">
        <v>254</v>
      </c>
      <c r="E699" t="s">
        <v>256</v>
      </c>
      <c r="F699" s="5" t="s">
        <v>16</v>
      </c>
      <c r="G699" s="7">
        <v>340127</v>
      </c>
      <c r="H699" s="7" cm="1">
        <f t="array" ref="H699">_xlfn.IFS(B699=2015,L699*$P$3,B699=2016,L699*$P$4,B699=2017,L699*$P$5,B699=2018,L699*$P$6,B699=2019,L699*$P$7,B699=2020,L699*$P$8,B699=2021,L699*$P$9,B699=2022,L699*$P$10)</f>
        <v>9293.729956969275</v>
      </c>
      <c r="I699" s="7">
        <f t="shared" si="23"/>
        <v>349420.72995696927</v>
      </c>
      <c r="J699">
        <f>IFERROR(VLOOKUP(F699,'LEAID Match'!$A$2:$B$227,2,FALSE),"")</f>
        <v>3800058</v>
      </c>
      <c r="K699">
        <f t="shared" si="22"/>
        <v>8</v>
      </c>
      <c r="L699" cm="1">
        <f t="array" ref="L699">_xlfn.IFS(B699=2015,G699/$P$13,B699=2016,G699/$P$14,B699=2017,G699/$P$15,B699=2018,G699/$P$16,B699=2019,G699/$P$17,B699=2019,G699/$P$18,B699=2020,G699/$P$18,B699=2021,G699/$P$19,B699=2022,G699/$P$20)</f>
        <v>3.4613519392809218E-3</v>
      </c>
    </row>
    <row r="700" spans="1:12" x14ac:dyDescent="0.2">
      <c r="A700">
        <v>3800058</v>
      </c>
      <c r="B700">
        <v>2022</v>
      </c>
      <c r="C700" t="s">
        <v>252</v>
      </c>
      <c r="D700" t="s">
        <v>254</v>
      </c>
      <c r="E700" t="s">
        <v>256</v>
      </c>
      <c r="F700" s="5" t="s">
        <v>16</v>
      </c>
      <c r="G700" s="7">
        <v>329384</v>
      </c>
      <c r="H700" s="7" cm="1">
        <f t="array" ref="H700">_xlfn.IFS(B700=2015,L700*$P$3,B700=2016,L700*$P$4,B700=2017,L700*$P$5,B700=2018,L700*$P$6,B700=2019,L700*$P$7,B700=2020,L700*$P$8,B700=2021,L700*$P$9,B700=2022,L700*$P$10)</f>
        <v>6703.8086123913581</v>
      </c>
      <c r="I700" s="7">
        <f t="shared" si="23"/>
        <v>336087.80861239135</v>
      </c>
      <c r="J700">
        <f>IFERROR(VLOOKUP(F700,'LEAID Match'!$A$2:$B$227,2,FALSE),"")</f>
        <v>3800058</v>
      </c>
      <c r="K700">
        <f t="shared" si="22"/>
        <v>8</v>
      </c>
      <c r="L700" cm="1">
        <f t="array" ref="L700">_xlfn.IFS(B700=2015,G700/$P$13,B700=2016,G700/$P$14,B700=2017,G700/$P$15,B700=2018,G700/$P$16,B700=2019,G700/$P$17,B700=2019,G700/$P$18,B700=2020,G700/$P$18,B700=2021,G700/$P$19,B700=2022,G700/$P$20)</f>
        <v>3.2829621020525751E-3</v>
      </c>
    </row>
    <row r="701" spans="1:12" x14ac:dyDescent="0.2">
      <c r="A701">
        <v>3811140</v>
      </c>
      <c r="B701">
        <v>2015</v>
      </c>
      <c r="C701" t="s">
        <v>252</v>
      </c>
      <c r="D701" t="s">
        <v>254</v>
      </c>
      <c r="E701" t="s">
        <v>256</v>
      </c>
      <c r="F701" s="5" t="s">
        <v>224</v>
      </c>
      <c r="G701" s="7">
        <v>137170</v>
      </c>
      <c r="H701" s="7" cm="1">
        <f t="array" ref="H701">_xlfn.IFS(B701=2015,L701*$P$3,B701=2016,L701*$P$4,B701=2017,L701*$P$5,B701=2018,L701*$P$6,B701=2019,L701*$P$7,B701=2020,L701*$P$8,B701=2021,L701*$P$9,B701=2022,L701*$P$10)</f>
        <v>3101.1973665586615</v>
      </c>
      <c r="I701" s="7">
        <f t="shared" si="23"/>
        <v>140271.19736655866</v>
      </c>
      <c r="J701">
        <f>IFERROR(VLOOKUP(F701,'LEAID Match'!$A$2:$B$227,2,FALSE),"")</f>
        <v>3811140</v>
      </c>
      <c r="K701">
        <f t="shared" si="22"/>
        <v>8</v>
      </c>
      <c r="L701" cm="1">
        <f t="array" ref="L701">_xlfn.IFS(B701=2015,G701/$P$13,B701=2016,G701/$P$14,B701=2017,G701/$P$15,B701=2018,G701/$P$16,B701=2019,G701/$P$17,B701=2019,G701/$P$18,B701=2020,G701/$P$18,B701=2021,G701/$P$19,B701=2022,G701/$P$20)</f>
        <v>1.7491242902192112E-3</v>
      </c>
    </row>
    <row r="702" spans="1:12" x14ac:dyDescent="0.2">
      <c r="A702">
        <v>3811140</v>
      </c>
      <c r="B702">
        <v>2016</v>
      </c>
      <c r="C702" t="s">
        <v>252</v>
      </c>
      <c r="D702" t="s">
        <v>254</v>
      </c>
      <c r="E702" t="s">
        <v>256</v>
      </c>
      <c r="F702" s="5" t="s">
        <v>224</v>
      </c>
      <c r="G702" s="7">
        <v>148944</v>
      </c>
      <c r="H702" s="7" cm="1">
        <f t="array" ref="H702">_xlfn.IFS(B702=2015,L702*$P$3,B702=2016,L702*$P$4,B702=2017,L702*$P$5,B702=2018,L702*$P$6,B702=2019,L702*$P$7,B702=2020,L702*$P$8,B702=2021,L702*$P$9,B702=2022,L702*$P$10)</f>
        <v>5057.6994324150273</v>
      </c>
      <c r="I702" s="7">
        <f t="shared" si="23"/>
        <v>154001.69943241501</v>
      </c>
      <c r="J702">
        <f>IFERROR(VLOOKUP(F702,'LEAID Match'!$A$2:$B$227,2,FALSE),"")</f>
        <v>3811140</v>
      </c>
      <c r="K702">
        <f t="shared" si="22"/>
        <v>8</v>
      </c>
      <c r="L702" cm="1">
        <f t="array" ref="L702">_xlfn.IFS(B702=2015,G702/$P$13,B702=2016,G702/$P$14,B702=2017,G702/$P$15,B702=2018,G702/$P$16,B702=2019,G702/$P$17,B702=2019,G702/$P$18,B702=2020,G702/$P$18,B702=2021,G702/$P$19,B702=2022,G702/$P$20)</f>
        <v>1.7979734917934686E-3</v>
      </c>
    </row>
    <row r="703" spans="1:12" x14ac:dyDescent="0.2">
      <c r="A703">
        <v>3811140</v>
      </c>
      <c r="B703">
        <v>2017</v>
      </c>
      <c r="C703" t="s">
        <v>252</v>
      </c>
      <c r="D703" t="s">
        <v>254</v>
      </c>
      <c r="E703" t="s">
        <v>256</v>
      </c>
      <c r="F703" s="5" t="s">
        <v>224</v>
      </c>
      <c r="G703" s="7">
        <v>153271</v>
      </c>
      <c r="H703" s="7" cm="1">
        <f t="array" ref="H703">_xlfn.IFS(B703=2015,L703*$P$3,B703=2016,L703*$P$4,B703=2017,L703*$P$5,B703=2018,L703*$P$6,B703=2019,L703*$P$7,B703=2020,L703*$P$8,B703=2021,L703*$P$9,B703=2022,L703*$P$10)</f>
        <v>4967.21434723115</v>
      </c>
      <c r="I703" s="7">
        <f t="shared" si="23"/>
        <v>158238.21434723114</v>
      </c>
      <c r="J703">
        <f>IFERROR(VLOOKUP(F703,'LEAID Match'!$A$2:$B$227,2,FALSE),"")</f>
        <v>3811140</v>
      </c>
      <c r="K703">
        <f t="shared" si="22"/>
        <v>8</v>
      </c>
      <c r="L703" cm="1">
        <f t="array" ref="L703">_xlfn.IFS(B703=2015,G703/$P$13,B703=2016,G703/$P$14,B703=2017,G703/$P$15,B703=2018,G703/$P$16,B703=2019,G703/$P$17,B703=2019,G703/$P$18,B703=2020,G703/$P$18,B703=2021,G703/$P$19,B703=2022,G703/$P$20)</f>
        <v>1.7810019172574939E-3</v>
      </c>
    </row>
    <row r="704" spans="1:12" x14ac:dyDescent="0.2">
      <c r="A704">
        <v>3811140</v>
      </c>
      <c r="B704" s="5">
        <v>2018</v>
      </c>
      <c r="C704" t="s">
        <v>252</v>
      </c>
      <c r="D704" t="s">
        <v>254</v>
      </c>
      <c r="E704" t="s">
        <v>256</v>
      </c>
      <c r="F704" s="5" t="s">
        <v>224</v>
      </c>
      <c r="G704" s="7">
        <v>143330</v>
      </c>
      <c r="H704" s="7" cm="1">
        <f t="array" ref="H704">_xlfn.IFS(B704=2015,L704*$P$3,B704=2016,L704*$P$4,B704=2017,L704*$P$5,B704=2018,L704*$P$6,B704=2019,L704*$P$7,B704=2020,L704*$P$8,B704=2021,L704*$P$9,B704=2022,L704*$P$10)</f>
        <v>3927.3836884280317</v>
      </c>
      <c r="I704" s="7">
        <f t="shared" si="23"/>
        <v>147257.38368842803</v>
      </c>
      <c r="J704">
        <f>IFERROR(VLOOKUP(F704,'LEAID Match'!$A$2:$B$227,2,FALSE),"")</f>
        <v>3811140</v>
      </c>
      <c r="K704">
        <f t="shared" si="22"/>
        <v>8</v>
      </c>
      <c r="L704" cm="1">
        <f t="array" ref="L704">_xlfn.IFS(B704=2015,G704/$P$13,B704=2016,G704/$P$14,B704=2017,G704/$P$15,B704=2018,G704/$P$16,B704=2019,G704/$P$17,B704=2019,G704/$P$18,B704=2020,G704/$P$18,B704=2021,G704/$P$19,B704=2022,G704/$P$20)</f>
        <v>1.6536352372328554E-3</v>
      </c>
    </row>
    <row r="705" spans="1:12" x14ac:dyDescent="0.2">
      <c r="A705">
        <v>3811140</v>
      </c>
      <c r="B705">
        <v>2019</v>
      </c>
      <c r="C705" t="s">
        <v>252</v>
      </c>
      <c r="D705" t="s">
        <v>254</v>
      </c>
      <c r="E705" t="s">
        <v>256</v>
      </c>
      <c r="F705" s="5" t="s">
        <v>224</v>
      </c>
      <c r="G705" s="7">
        <v>146191</v>
      </c>
      <c r="H705" s="7" cm="1">
        <f t="array" ref="H705">_xlfn.IFS(B705=2015,L705*$P$3,B705=2016,L705*$P$4,B705=2017,L705*$P$5,B705=2018,L705*$P$6,B705=2019,L705*$P$7,B705=2020,L705*$P$8,B705=2021,L705*$P$9,B705=2022,L705*$P$10)</f>
        <v>3393.067507050152</v>
      </c>
      <c r="I705" s="7">
        <f t="shared" si="23"/>
        <v>149584.06750705015</v>
      </c>
      <c r="J705">
        <f>IFERROR(VLOOKUP(F705,'LEAID Match'!$A$2:$B$227,2,FALSE),"")</f>
        <v>3811140</v>
      </c>
      <c r="K705">
        <f t="shared" si="22"/>
        <v>8</v>
      </c>
      <c r="L705" cm="1">
        <f t="array" ref="L705">_xlfn.IFS(B705=2015,G705/$P$13,B705=2016,G705/$P$14,B705=2017,G705/$P$15,B705=2018,G705/$P$16,B705=2019,G705/$P$17,B705=2019,G705/$P$18,B705=2020,G705/$P$18,B705=2021,G705/$P$19,B705=2022,G705/$P$20)</f>
        <v>1.634425581430709E-3</v>
      </c>
    </row>
    <row r="706" spans="1:12" x14ac:dyDescent="0.2">
      <c r="A706">
        <v>3811140</v>
      </c>
      <c r="B706">
        <v>2020</v>
      </c>
      <c r="C706" t="s">
        <v>252</v>
      </c>
      <c r="D706" t="s">
        <v>254</v>
      </c>
      <c r="E706" t="s">
        <v>256</v>
      </c>
      <c r="F706" s="5" t="s">
        <v>224</v>
      </c>
      <c r="G706" s="7">
        <v>152626</v>
      </c>
      <c r="H706" s="7" cm="1">
        <f t="array" ref="H706">_xlfn.IFS(B706=2015,L706*$P$3,B706=2016,L706*$P$4,B706=2017,L706*$P$5,B706=2018,L706*$P$6,B706=2019,L706*$P$7,B706=2020,L706*$P$8,B706=2021,L706*$P$9,B706=2022,L706*$P$10)</f>
        <v>3829.0838666221202</v>
      </c>
      <c r="I706" s="7">
        <f t="shared" si="23"/>
        <v>156455.08386662212</v>
      </c>
      <c r="J706">
        <f>IFERROR(VLOOKUP(F706,'LEAID Match'!$A$2:$B$227,2,FALSE),"")</f>
        <v>3811140</v>
      </c>
      <c r="K706">
        <f t="shared" ref="K706:K769" si="24">COUNTIF($A$2:$A$1757,A706)</f>
        <v>8</v>
      </c>
      <c r="L706" cm="1">
        <f t="array" ref="L706">_xlfn.IFS(B706=2015,G706/$P$13,B706=2016,G706/$P$14,B706=2017,G706/$P$15,B706=2018,G706/$P$16,B706=2019,G706/$P$17,B706=2019,G706/$P$18,B706=2020,G706/$P$18,B706=2021,G706/$P$19,B706=2022,G706/$P$20)</f>
        <v>1.640567209349666E-3</v>
      </c>
    </row>
    <row r="707" spans="1:12" x14ac:dyDescent="0.2">
      <c r="A707">
        <v>3811140</v>
      </c>
      <c r="B707" s="5">
        <v>2021</v>
      </c>
      <c r="C707" t="s">
        <v>252</v>
      </c>
      <c r="D707" t="s">
        <v>254</v>
      </c>
      <c r="E707" t="s">
        <v>256</v>
      </c>
      <c r="F707" s="5" t="s">
        <v>224</v>
      </c>
      <c r="G707" s="7">
        <v>151054</v>
      </c>
      <c r="H707" s="7" cm="1">
        <f t="array" ref="H707">_xlfn.IFS(B707=2015,L707*$P$3,B707=2016,L707*$P$4,B707=2017,L707*$P$5,B707=2018,L707*$P$6,B707=2019,L707*$P$7,B707=2020,L707*$P$8,B707=2021,L707*$P$9,B707=2022,L707*$P$10)</f>
        <v>4127.4438222194558</v>
      </c>
      <c r="I707" s="7">
        <f t="shared" ref="I707:I770" si="25">SUM(G707:H707)</f>
        <v>155181.44382221944</v>
      </c>
      <c r="J707">
        <f>IFERROR(VLOOKUP(F707,'LEAID Match'!$A$2:$B$227,2,FALSE),"")</f>
        <v>3811140</v>
      </c>
      <c r="K707">
        <f t="shared" si="24"/>
        <v>8</v>
      </c>
      <c r="L707" cm="1">
        <f t="array" ref="L707">_xlfn.IFS(B707=2015,G707/$P$13,B707=2016,G707/$P$14,B707=2017,G707/$P$15,B707=2018,G707/$P$16,B707=2019,G707/$P$17,B707=2019,G707/$P$18,B707=2020,G707/$P$18,B707=2021,G707/$P$19,B707=2022,G707/$P$20)</f>
        <v>1.5372230250351791E-3</v>
      </c>
    </row>
    <row r="708" spans="1:12" x14ac:dyDescent="0.2">
      <c r="A708">
        <v>3811140</v>
      </c>
      <c r="B708">
        <v>2022</v>
      </c>
      <c r="C708" t="s">
        <v>252</v>
      </c>
      <c r="D708" t="s">
        <v>254</v>
      </c>
      <c r="E708" t="s">
        <v>256</v>
      </c>
      <c r="F708" s="5" t="s">
        <v>224</v>
      </c>
      <c r="G708" s="7">
        <v>159553</v>
      </c>
      <c r="H708" s="7" cm="1">
        <f t="array" ref="H708">_xlfn.IFS(B708=2015,L708*$P$3,B708=2016,L708*$P$4,B708=2017,L708*$P$5,B708=2018,L708*$P$6,B708=2019,L708*$P$7,B708=2020,L708*$P$8,B708=2021,L708*$P$9,B708=2022,L708*$P$10)</f>
        <v>3247.3124849199667</v>
      </c>
      <c r="I708" s="7">
        <f t="shared" si="25"/>
        <v>162800.31248491997</v>
      </c>
      <c r="J708">
        <f>IFERROR(VLOOKUP(F708,'LEAID Match'!$A$2:$B$227,2,FALSE),"")</f>
        <v>3811140</v>
      </c>
      <c r="K708">
        <f t="shared" si="24"/>
        <v>8</v>
      </c>
      <c r="L708" cm="1">
        <f t="array" ref="L708">_xlfn.IFS(B708=2015,G708/$P$13,B708=2016,G708/$P$14,B708=2017,G708/$P$15,B708=2018,G708/$P$16,B708=2019,G708/$P$17,B708=2019,G708/$P$18,B708=2020,G708/$P$18,B708=2021,G708/$P$19,B708=2022,G708/$P$20)</f>
        <v>1.5902607663662912E-3</v>
      </c>
    </row>
    <row r="709" spans="1:12" x14ac:dyDescent="0.2">
      <c r="A709">
        <v>3800017</v>
      </c>
      <c r="B709">
        <v>2015</v>
      </c>
      <c r="C709" t="s">
        <v>252</v>
      </c>
      <c r="D709" t="s">
        <v>254</v>
      </c>
      <c r="E709" t="s">
        <v>256</v>
      </c>
      <c r="F709" s="5" t="s">
        <v>17</v>
      </c>
      <c r="G709" s="7">
        <v>203093</v>
      </c>
      <c r="H709" s="7" cm="1">
        <f t="array" ref="H709">_xlfn.IFS(B709=2015,L709*$P$3,B709=2016,L709*$P$4,B709=2017,L709*$P$5,B709=2018,L709*$P$6,B709=2019,L709*$P$7,B709=2020,L709*$P$8,B709=2021,L709*$P$9,B709=2022,L709*$P$10)</f>
        <v>4591.612428129316</v>
      </c>
      <c r="I709" s="7">
        <f t="shared" si="25"/>
        <v>207684.6124281293</v>
      </c>
      <c r="J709">
        <f>IFERROR(VLOOKUP(F709,'LEAID Match'!$A$2:$B$227,2,FALSE),"")</f>
        <v>3800017</v>
      </c>
      <c r="K709">
        <f t="shared" si="24"/>
        <v>8</v>
      </c>
      <c r="L709" cm="1">
        <f t="array" ref="L709">_xlfn.IFS(B709=2015,G709/$P$13,B709=2016,G709/$P$14,B709=2017,G709/$P$15,B709=2018,G709/$P$16,B709=2019,G709/$P$17,B709=2019,G709/$P$18,B709=2020,G709/$P$18,B709=2021,G709/$P$19,B709=2022,G709/$P$20)</f>
        <v>2.5897419222387567E-3</v>
      </c>
    </row>
    <row r="710" spans="1:12" x14ac:dyDescent="0.2">
      <c r="A710">
        <v>3800017</v>
      </c>
      <c r="B710">
        <v>2016</v>
      </c>
      <c r="C710" t="s">
        <v>252</v>
      </c>
      <c r="D710" t="s">
        <v>254</v>
      </c>
      <c r="E710" t="s">
        <v>256</v>
      </c>
      <c r="F710" s="5" t="s">
        <v>17</v>
      </c>
      <c r="G710" s="7">
        <v>210562</v>
      </c>
      <c r="H710" s="7" cm="1">
        <f t="array" ref="H710">_xlfn.IFS(B710=2015,L710*$P$3,B710=2016,L710*$P$4,B710=2017,L710*$P$5,B710=2018,L710*$P$6,B710=2019,L710*$P$7,B710=2020,L710*$P$8,B710=2021,L710*$P$9,B710=2022,L710*$P$10)</f>
        <v>7150.0651781083689</v>
      </c>
      <c r="I710" s="7">
        <f t="shared" si="25"/>
        <v>217712.06517810837</v>
      </c>
      <c r="J710">
        <f>IFERROR(VLOOKUP(F710,'LEAID Match'!$A$2:$B$227,2,FALSE),"")</f>
        <v>3800017</v>
      </c>
      <c r="K710">
        <f t="shared" si="24"/>
        <v>8</v>
      </c>
      <c r="L710" cm="1">
        <f t="array" ref="L710">_xlfn.IFS(B710=2015,G710/$P$13,B710=2016,G710/$P$14,B710=2017,G710/$P$15,B710=2018,G710/$P$16,B710=2019,G710/$P$17,B710=2019,G710/$P$18,B710=2020,G710/$P$18,B710=2021,G710/$P$19,B710=2022,G710/$P$20)</f>
        <v>2.5417935222567965E-3</v>
      </c>
    </row>
    <row r="711" spans="1:12" x14ac:dyDescent="0.2">
      <c r="A711">
        <v>3800017</v>
      </c>
      <c r="B711">
        <v>2017</v>
      </c>
      <c r="C711" t="s">
        <v>252</v>
      </c>
      <c r="D711" t="s">
        <v>254</v>
      </c>
      <c r="E711" t="s">
        <v>256</v>
      </c>
      <c r="F711" s="5" t="s">
        <v>17</v>
      </c>
      <c r="G711" s="7">
        <v>207976</v>
      </c>
      <c r="H711" s="7" cm="1">
        <f t="array" ref="H711">_xlfn.IFS(B711=2015,L711*$P$3,B711=2016,L711*$P$4,B711=2017,L711*$P$5,B711=2018,L711*$P$6,B711=2019,L711*$P$7,B711=2020,L711*$P$8,B711=2021,L711*$P$9,B711=2022,L711*$P$10)</f>
        <v>6740.0967637697004</v>
      </c>
      <c r="I711" s="7">
        <f t="shared" si="25"/>
        <v>214716.09676376969</v>
      </c>
      <c r="J711">
        <f>IFERROR(VLOOKUP(F711,'LEAID Match'!$A$2:$B$227,2,FALSE),"")</f>
        <v>3800017</v>
      </c>
      <c r="K711">
        <f t="shared" si="24"/>
        <v>8</v>
      </c>
      <c r="L711" cm="1">
        <f t="array" ref="L711">_xlfn.IFS(B711=2015,G711/$P$13,B711=2016,G711/$P$14,B711=2017,G711/$P$15,B711=2018,G711/$P$16,B711=2019,G711/$P$17,B711=2019,G711/$P$18,B711=2020,G711/$P$18,B711=2021,G711/$P$19,B711=2022,G711/$P$20)</f>
        <v>2.4166714821691289E-3</v>
      </c>
    </row>
    <row r="712" spans="1:12" x14ac:dyDescent="0.2">
      <c r="A712">
        <v>3800017</v>
      </c>
      <c r="B712" s="5">
        <v>2018</v>
      </c>
      <c r="C712" t="s">
        <v>252</v>
      </c>
      <c r="D712" t="s">
        <v>254</v>
      </c>
      <c r="E712" t="s">
        <v>256</v>
      </c>
      <c r="F712" s="5" t="s">
        <v>17</v>
      </c>
      <c r="G712" s="7">
        <v>210477</v>
      </c>
      <c r="H712" s="7" cm="1">
        <f t="array" ref="H712">_xlfn.IFS(B712=2015,L712*$P$3,B712=2016,L712*$P$4,B712=2017,L712*$P$5,B712=2018,L712*$P$6,B712=2019,L712*$P$7,B712=2020,L712*$P$8,B712=2021,L712*$P$9,B712=2022,L712*$P$10)</f>
        <v>5767.2778663871268</v>
      </c>
      <c r="I712" s="7">
        <f t="shared" si="25"/>
        <v>216244.27786638713</v>
      </c>
      <c r="J712">
        <f>IFERROR(VLOOKUP(F712,'LEAID Match'!$A$2:$B$227,2,FALSE),"")</f>
        <v>3800017</v>
      </c>
      <c r="K712">
        <f t="shared" si="24"/>
        <v>8</v>
      </c>
      <c r="L712" cm="1">
        <f t="array" ref="L712">_xlfn.IFS(B712=2015,G712/$P$13,B712=2016,G712/$P$14,B712=2017,G712/$P$15,B712=2018,G712/$P$16,B712=2019,G712/$P$17,B712=2019,G712/$P$18,B712=2020,G712/$P$18,B712=2021,G712/$P$19,B712=2022,G712/$P$20)</f>
        <v>2.4283275226893164E-3</v>
      </c>
    </row>
    <row r="713" spans="1:12" x14ac:dyDescent="0.2">
      <c r="A713">
        <v>3800017</v>
      </c>
      <c r="B713">
        <v>2019</v>
      </c>
      <c r="C713" t="s">
        <v>252</v>
      </c>
      <c r="D713" t="s">
        <v>254</v>
      </c>
      <c r="E713" t="s">
        <v>256</v>
      </c>
      <c r="F713" s="5" t="s">
        <v>17</v>
      </c>
      <c r="G713" s="7">
        <v>214289</v>
      </c>
      <c r="H713" s="7" cm="1">
        <f t="array" ref="H713">_xlfn.IFS(B713=2015,L713*$P$3,B713=2016,L713*$P$4,B713=2017,L713*$P$5,B713=2018,L713*$P$6,B713=2019,L713*$P$7,B713=2020,L713*$P$8,B713=2021,L713*$P$9,B713=2022,L713*$P$10)</f>
        <v>4973.6101608051795</v>
      </c>
      <c r="I713" s="7">
        <f t="shared" si="25"/>
        <v>219262.61016080517</v>
      </c>
      <c r="J713">
        <f>IFERROR(VLOOKUP(F713,'LEAID Match'!$A$2:$B$227,2,FALSE),"")</f>
        <v>3800017</v>
      </c>
      <c r="K713">
        <f t="shared" si="24"/>
        <v>8</v>
      </c>
      <c r="L713" cm="1">
        <f t="array" ref="L713">_xlfn.IFS(B713=2015,G713/$P$13,B713=2016,G713/$P$14,B713=2017,G713/$P$15,B713=2018,G713/$P$16,B713=2019,G713/$P$17,B713=2019,G713/$P$18,B713=2020,G713/$P$18,B713=2021,G713/$P$19,B713=2022,G713/$P$20)</f>
        <v>2.3957659734128996E-3</v>
      </c>
    </row>
    <row r="714" spans="1:12" x14ac:dyDescent="0.2">
      <c r="A714">
        <v>3800017</v>
      </c>
      <c r="B714">
        <v>2020</v>
      </c>
      <c r="C714" t="s">
        <v>252</v>
      </c>
      <c r="D714" t="s">
        <v>254</v>
      </c>
      <c r="E714" t="s">
        <v>256</v>
      </c>
      <c r="F714" s="5" t="s">
        <v>17</v>
      </c>
      <c r="G714" s="7">
        <v>204121</v>
      </c>
      <c r="H714" s="7" cm="1">
        <f t="array" ref="H714">_xlfn.IFS(B714=2015,L714*$P$3,B714=2016,L714*$P$4,B714=2017,L714*$P$5,B714=2018,L714*$P$6,B714=2019,L714*$P$7,B714=2020,L714*$P$8,B714=2021,L714*$P$9,B714=2022,L714*$P$10)</f>
        <v>5120.9913641107923</v>
      </c>
      <c r="I714" s="7">
        <f t="shared" si="25"/>
        <v>209241.99136411079</v>
      </c>
      <c r="J714">
        <f>IFERROR(VLOOKUP(F714,'LEAID Match'!$A$2:$B$227,2,FALSE),"")</f>
        <v>3800017</v>
      </c>
      <c r="K714">
        <f t="shared" si="24"/>
        <v>8</v>
      </c>
      <c r="L714" cm="1">
        <f t="array" ref="L714">_xlfn.IFS(B714=2015,G714/$P$13,B714=2016,G714/$P$14,B714=2017,G714/$P$15,B714=2018,G714/$P$16,B714=2019,G714/$P$17,B714=2019,G714/$P$18,B714=2020,G714/$P$18,B714=2021,G714/$P$19,B714=2022,G714/$P$20)</f>
        <v>2.1940837035607508E-3</v>
      </c>
    </row>
    <row r="715" spans="1:12" x14ac:dyDescent="0.2">
      <c r="A715">
        <v>3800017</v>
      </c>
      <c r="B715" s="5">
        <v>2021</v>
      </c>
      <c r="C715" t="s">
        <v>252</v>
      </c>
      <c r="D715" t="s">
        <v>254</v>
      </c>
      <c r="E715" t="s">
        <v>256</v>
      </c>
      <c r="F715" s="5" t="s">
        <v>17</v>
      </c>
      <c r="G715" s="7">
        <v>212656</v>
      </c>
      <c r="H715" s="7" cm="1">
        <f t="array" ref="H715">_xlfn.IFS(B715=2015,L715*$P$3,B715=2016,L715*$P$4,B715=2017,L715*$P$5,B715=2018,L715*$P$6,B715=2019,L715*$P$7,B715=2020,L715*$P$8,B715=2021,L715*$P$9,B715=2022,L715*$P$10)</f>
        <v>5810.6749470911109</v>
      </c>
      <c r="I715" s="7">
        <f t="shared" si="25"/>
        <v>218466.67494709112</v>
      </c>
      <c r="J715">
        <f>IFERROR(VLOOKUP(F715,'LEAID Match'!$A$2:$B$227,2,FALSE),"")</f>
        <v>3800017</v>
      </c>
      <c r="K715">
        <f t="shared" si="24"/>
        <v>8</v>
      </c>
      <c r="L715" cm="1">
        <f t="array" ref="L715">_xlfn.IFS(B715=2015,G715/$P$13,B715=2016,G715/$P$14,B715=2017,G715/$P$15,B715=2018,G715/$P$16,B715=2019,G715/$P$17,B715=2019,G715/$P$18,B715=2020,G715/$P$18,B715=2021,G715/$P$19,B715=2022,G715/$P$20)</f>
        <v>2.1641247475199668E-3</v>
      </c>
    </row>
    <row r="716" spans="1:12" x14ac:dyDescent="0.2">
      <c r="A716">
        <v>3800017</v>
      </c>
      <c r="B716">
        <v>2022</v>
      </c>
      <c r="C716" t="s">
        <v>252</v>
      </c>
      <c r="D716" t="s">
        <v>254</v>
      </c>
      <c r="E716" t="s">
        <v>256</v>
      </c>
      <c r="F716" s="5" t="s">
        <v>17</v>
      </c>
      <c r="G716" s="7">
        <v>213574</v>
      </c>
      <c r="H716" s="7" cm="1">
        <f t="array" ref="H716">_xlfn.IFS(B716=2015,L716*$P$3,B716=2016,L716*$P$4,B716=2017,L716*$P$5,B716=2018,L716*$P$6,B716=2019,L716*$P$7,B716=2020,L716*$P$8,B716=2021,L716*$P$9,B716=2022,L716*$P$10)</f>
        <v>4346.7782909396692</v>
      </c>
      <c r="I716" s="7">
        <f t="shared" si="25"/>
        <v>217920.77829093966</v>
      </c>
      <c r="J716">
        <f>IFERROR(VLOOKUP(F716,'LEAID Match'!$A$2:$B$227,2,FALSE),"")</f>
        <v>3800017</v>
      </c>
      <c r="K716">
        <f t="shared" si="24"/>
        <v>8</v>
      </c>
      <c r="L716" cm="1">
        <f t="array" ref="L716">_xlfn.IFS(B716=2015,G716/$P$13,B716=2016,G716/$P$14,B716=2017,G716/$P$15,B716=2018,G716/$P$16,B716=2019,G716/$P$17,B716=2019,G716/$P$18,B716=2020,G716/$P$18,B716=2021,G716/$P$19,B716=2022,G716/$P$20)</f>
        <v>2.1286867242603668E-3</v>
      </c>
    </row>
    <row r="717" spans="1:12" x14ac:dyDescent="0.2">
      <c r="A717">
        <v>3811430</v>
      </c>
      <c r="B717">
        <v>2015</v>
      </c>
      <c r="C717" t="s">
        <v>252</v>
      </c>
      <c r="D717" t="s">
        <v>254</v>
      </c>
      <c r="E717" t="s">
        <v>256</v>
      </c>
      <c r="F717" s="5" t="s">
        <v>18</v>
      </c>
      <c r="G717" s="7">
        <v>411725</v>
      </c>
      <c r="H717" s="7" cm="1">
        <f t="array" ref="H717">_xlfn.IFS(B717=2015,L717*$P$3,B717=2016,L717*$P$4,B717=2017,L717*$P$5,B717=2018,L717*$P$6,B717=2019,L717*$P$7,B717=2020,L717*$P$8,B717=2021,L717*$P$9,B717=2022,L717*$P$10)</f>
        <v>9308.4529105953552</v>
      </c>
      <c r="I717" s="7">
        <f t="shared" si="25"/>
        <v>421033.45291059534</v>
      </c>
      <c r="J717">
        <f>IFERROR(VLOOKUP(F717,'LEAID Match'!$A$2:$B$227,2,FALSE),"")</f>
        <v>3811430</v>
      </c>
      <c r="K717">
        <f t="shared" si="24"/>
        <v>8</v>
      </c>
      <c r="L717" cm="1">
        <f t="array" ref="L717">_xlfn.IFS(B717=2015,G717/$P$13,B717=2016,G717/$P$14,B717=2017,G717/$P$15,B717=2018,G717/$P$16,B717=2019,G717/$P$17,B717=2019,G717/$P$18,B717=2020,G717/$P$18,B717=2021,G717/$P$19,B717=2022,G717/$P$20)</f>
        <v>5.2501144447802345E-3</v>
      </c>
    </row>
    <row r="718" spans="1:12" x14ac:dyDescent="0.2">
      <c r="A718">
        <v>3811430</v>
      </c>
      <c r="B718">
        <v>2016</v>
      </c>
      <c r="C718" t="s">
        <v>252</v>
      </c>
      <c r="D718" t="s">
        <v>254</v>
      </c>
      <c r="E718" t="s">
        <v>256</v>
      </c>
      <c r="F718" s="5" t="s">
        <v>18</v>
      </c>
      <c r="G718" s="7">
        <v>443827</v>
      </c>
      <c r="H718" s="7" cm="1">
        <f t="array" ref="H718">_xlfn.IFS(B718=2015,L718*$P$3,B718=2016,L718*$P$4,B718=2017,L718*$P$5,B718=2018,L718*$P$6,B718=2019,L718*$P$7,B718=2020,L718*$P$8,B718=2021,L718*$P$9,B718=2022,L718*$P$10)</f>
        <v>15071.057350349554</v>
      </c>
      <c r="I718" s="7">
        <f t="shared" si="25"/>
        <v>458898.05735034955</v>
      </c>
      <c r="J718">
        <f>IFERROR(VLOOKUP(F718,'LEAID Match'!$A$2:$B$227,2,FALSE),"")</f>
        <v>3811430</v>
      </c>
      <c r="K718">
        <f t="shared" si="24"/>
        <v>8</v>
      </c>
      <c r="L718" cm="1">
        <f t="array" ref="L718">_xlfn.IFS(B718=2015,G718/$P$13,B718=2016,G718/$P$14,B718=2017,G718/$P$15,B718=2018,G718/$P$16,B718=2019,G718/$P$17,B718=2019,G718/$P$18,B718=2020,G718/$P$18,B718=2021,G718/$P$19,B718=2022,G718/$P$20)</f>
        <v>5.3576456986667454E-3</v>
      </c>
    </row>
    <row r="719" spans="1:12" x14ac:dyDescent="0.2">
      <c r="A719">
        <v>3811430</v>
      </c>
      <c r="B719">
        <v>2017</v>
      </c>
      <c r="C719" t="s">
        <v>252</v>
      </c>
      <c r="D719" t="s">
        <v>254</v>
      </c>
      <c r="E719" t="s">
        <v>256</v>
      </c>
      <c r="F719" s="5" t="s">
        <v>18</v>
      </c>
      <c r="G719" s="7">
        <v>448550</v>
      </c>
      <c r="H719" s="7" cm="1">
        <f t="array" ref="H719">_xlfn.IFS(B719=2015,L719*$P$3,B719=2016,L719*$P$4,B719=2017,L719*$P$5,B719=2018,L719*$P$6,B719=2019,L719*$P$7,B719=2020,L719*$P$8,B719=2021,L719*$P$9,B719=2022,L719*$P$10)</f>
        <v>14536.631166042713</v>
      </c>
      <c r="I719" s="7">
        <f t="shared" si="25"/>
        <v>463086.6311660427</v>
      </c>
      <c r="J719">
        <f>IFERROR(VLOOKUP(F719,'LEAID Match'!$A$2:$B$227,2,FALSE),"")</f>
        <v>3811430</v>
      </c>
      <c r="K719">
        <f t="shared" si="24"/>
        <v>8</v>
      </c>
      <c r="L719" cm="1">
        <f t="array" ref="L719">_xlfn.IFS(B719=2015,G719/$P$13,B719=2016,G719/$P$14,B719=2017,G719/$P$15,B719=2018,G719/$P$16,B719=2019,G719/$P$17,B719=2019,G719/$P$18,B719=2020,G719/$P$18,B719=2021,G719/$P$19,B719=2022,G719/$P$20)</f>
        <v>5.2121302137119801E-3</v>
      </c>
    </row>
    <row r="720" spans="1:12" x14ac:dyDescent="0.2">
      <c r="A720">
        <v>3811430</v>
      </c>
      <c r="B720" s="5">
        <v>2018</v>
      </c>
      <c r="C720" t="s">
        <v>252</v>
      </c>
      <c r="D720" t="s">
        <v>254</v>
      </c>
      <c r="E720" t="s">
        <v>256</v>
      </c>
      <c r="F720" s="5" t="s">
        <v>18</v>
      </c>
      <c r="G720" s="7">
        <v>457258</v>
      </c>
      <c r="H720" s="7" cm="1">
        <f t="array" ref="H720">_xlfn.IFS(B720=2015,L720*$P$3,B720=2016,L720*$P$4,B720=2017,L720*$P$5,B720=2018,L720*$P$6,B720=2019,L720*$P$7,B720=2020,L720*$P$8,B720=2021,L720*$P$9,B720=2022,L720*$P$10)</f>
        <v>12529.321220981128</v>
      </c>
      <c r="I720" s="7">
        <f t="shared" si="25"/>
        <v>469787.32122098113</v>
      </c>
      <c r="J720">
        <f>IFERROR(VLOOKUP(F720,'LEAID Match'!$A$2:$B$227,2,FALSE),"")</f>
        <v>3811430</v>
      </c>
      <c r="K720">
        <f t="shared" si="24"/>
        <v>8</v>
      </c>
      <c r="L720" cm="1">
        <f t="array" ref="L720">_xlfn.IFS(B720=2015,G720/$P$13,B720=2016,G720/$P$14,B720=2017,G720/$P$15,B720=2018,G720/$P$16,B720=2019,G720/$P$17,B720=2019,G720/$P$18,B720=2020,G720/$P$18,B720=2021,G720/$P$19,B720=2022,G720/$P$20)</f>
        <v>5.275503671992054E-3</v>
      </c>
    </row>
    <row r="721" spans="1:12" x14ac:dyDescent="0.2">
      <c r="A721">
        <v>3811430</v>
      </c>
      <c r="B721">
        <v>2019</v>
      </c>
      <c r="C721" t="s">
        <v>252</v>
      </c>
      <c r="D721" t="s">
        <v>254</v>
      </c>
      <c r="E721" t="s">
        <v>256</v>
      </c>
      <c r="F721" s="5" t="s">
        <v>18</v>
      </c>
      <c r="G721" s="7">
        <v>451110</v>
      </c>
      <c r="H721" s="7" cm="1">
        <f t="array" ref="H721">_xlfn.IFS(B721=2015,L721*$P$3,B721=2016,L721*$P$4,B721=2017,L721*$P$5,B721=2018,L721*$P$6,B721=2019,L721*$P$7,B721=2020,L721*$P$8,B721=2021,L721*$P$9,B721=2022,L721*$P$10)</f>
        <v>10470.18409550105</v>
      </c>
      <c r="I721" s="7">
        <f t="shared" si="25"/>
        <v>461580.18409550103</v>
      </c>
      <c r="J721">
        <f>IFERROR(VLOOKUP(F721,'LEAID Match'!$A$2:$B$227,2,FALSE),"")</f>
        <v>3811430</v>
      </c>
      <c r="K721">
        <f t="shared" si="24"/>
        <v>8</v>
      </c>
      <c r="L721" cm="1">
        <f t="array" ref="L721">_xlfn.IFS(B721=2015,G721/$P$13,B721=2016,G721/$P$14,B721=2017,G721/$P$15,B721=2018,G721/$P$16,B721=2019,G721/$P$17,B721=2019,G721/$P$18,B721=2020,G721/$P$18,B721=2021,G721/$P$19,B721=2022,G721/$P$20)</f>
        <v>5.0434412791430881E-3</v>
      </c>
    </row>
    <row r="722" spans="1:12" x14ac:dyDescent="0.2">
      <c r="A722">
        <v>3811430</v>
      </c>
      <c r="B722">
        <v>2020</v>
      </c>
      <c r="C722" t="s">
        <v>252</v>
      </c>
      <c r="D722" t="s">
        <v>254</v>
      </c>
      <c r="E722" t="s">
        <v>256</v>
      </c>
      <c r="F722" s="5" t="s">
        <v>18</v>
      </c>
      <c r="G722" s="7">
        <v>452588</v>
      </c>
      <c r="H722" s="7" cm="1">
        <f t="array" ref="H722">_xlfn.IFS(B722=2015,L722*$P$3,B722=2016,L722*$P$4,B722=2017,L722*$P$5,B722=2018,L722*$P$6,B722=2019,L722*$P$7,B722=2020,L722*$P$8,B722=2021,L722*$P$9,B722=2022,L722*$P$10)</f>
        <v>11354.53598355963</v>
      </c>
      <c r="I722" s="7">
        <f t="shared" si="25"/>
        <v>463942.53598355962</v>
      </c>
      <c r="J722">
        <f>IFERROR(VLOOKUP(F722,'LEAID Match'!$A$2:$B$227,2,FALSE),"")</f>
        <v>3811430</v>
      </c>
      <c r="K722">
        <f t="shared" si="24"/>
        <v>8</v>
      </c>
      <c r="L722" cm="1">
        <f t="array" ref="L722">_xlfn.IFS(B722=2015,G722/$P$13,B722=2016,G722/$P$14,B722=2017,G722/$P$15,B722=2018,G722/$P$16,B722=2019,G722/$P$17,B722=2019,G722/$P$18,B722=2020,G722/$P$18,B722=2021,G722/$P$19,B722=2022,G722/$P$20)</f>
        <v>4.8648397530246914E-3</v>
      </c>
    </row>
    <row r="723" spans="1:12" x14ac:dyDescent="0.2">
      <c r="A723">
        <v>3811430</v>
      </c>
      <c r="B723" s="5">
        <v>2021</v>
      </c>
      <c r="C723" t="s">
        <v>252</v>
      </c>
      <c r="D723" t="s">
        <v>254</v>
      </c>
      <c r="E723" t="s">
        <v>256</v>
      </c>
      <c r="F723" s="5" t="s">
        <v>18</v>
      </c>
      <c r="G723" s="7">
        <v>500169</v>
      </c>
      <c r="H723" s="7" cm="1">
        <f t="array" ref="H723">_xlfn.IFS(B723=2015,L723*$P$3,B723=2016,L723*$P$4,B723=2017,L723*$P$5,B723=2018,L723*$P$6,B723=2019,L723*$P$7,B723=2020,L723*$P$8,B723=2021,L723*$P$9,B723=2022,L723*$P$10)</f>
        <v>13666.764528683008</v>
      </c>
      <c r="I723" s="7">
        <f t="shared" si="25"/>
        <v>513835.76452868304</v>
      </c>
      <c r="J723">
        <f>IFERROR(VLOOKUP(F723,'LEAID Match'!$A$2:$B$227,2,FALSE),"")</f>
        <v>3811430</v>
      </c>
      <c r="K723">
        <f t="shared" si="24"/>
        <v>8</v>
      </c>
      <c r="L723" cm="1">
        <f t="array" ref="L723">_xlfn.IFS(B723=2015,G723/$P$13,B723=2016,G723/$P$14,B723=2017,G723/$P$15,B723=2018,G723/$P$16,B723=2019,G723/$P$17,B723=2019,G723/$P$18,B723=2020,G723/$P$18,B723=2021,G723/$P$19,B723=2022,G723/$P$20)</f>
        <v>5.0900426550029828E-3</v>
      </c>
    </row>
    <row r="724" spans="1:12" x14ac:dyDescent="0.2">
      <c r="A724">
        <v>3811430</v>
      </c>
      <c r="B724">
        <v>2022</v>
      </c>
      <c r="C724" t="s">
        <v>252</v>
      </c>
      <c r="D724" t="s">
        <v>254</v>
      </c>
      <c r="E724" t="s">
        <v>256</v>
      </c>
      <c r="F724" s="5" t="s">
        <v>18</v>
      </c>
      <c r="G724" s="7">
        <v>512559</v>
      </c>
      <c r="H724" s="7" cm="1">
        <f t="array" ref="H724">_xlfn.IFS(B724=2015,L724*$P$3,B724=2016,L724*$P$4,B724=2017,L724*$P$5,B724=2018,L724*$P$6,B724=2019,L724*$P$7,B724=2020,L724*$P$8,B724=2021,L724*$P$9,B724=2022,L724*$P$10)</f>
        <v>10431.889340583339</v>
      </c>
      <c r="I724" s="7">
        <f t="shared" si="25"/>
        <v>522990.88934058335</v>
      </c>
      <c r="J724">
        <f>IFERROR(VLOOKUP(F724,'LEAID Match'!$A$2:$B$227,2,FALSE),"")</f>
        <v>3811430</v>
      </c>
      <c r="K724">
        <f t="shared" si="24"/>
        <v>8</v>
      </c>
      <c r="L724" cm="1">
        <f t="array" ref="L724">_xlfn.IFS(B724=2015,G724/$P$13,B724=2016,G724/$P$14,B724=2017,G724/$P$15,B724=2018,G724/$P$16,B724=2019,G724/$P$17,B724=2019,G724/$P$18,B724=2020,G724/$P$18,B724=2021,G724/$P$19,B724=2022,G724/$P$20)</f>
        <v>5.1086627524893919E-3</v>
      </c>
    </row>
    <row r="725" spans="1:12" x14ac:dyDescent="0.2">
      <c r="A725">
        <v>3800057</v>
      </c>
      <c r="B725">
        <v>2015</v>
      </c>
      <c r="C725" t="s">
        <v>252</v>
      </c>
      <c r="D725" t="s">
        <v>254</v>
      </c>
      <c r="E725" t="s">
        <v>256</v>
      </c>
      <c r="F725" s="5" t="s">
        <v>19</v>
      </c>
      <c r="G725" s="7">
        <v>102324</v>
      </c>
      <c r="H725" s="7" cm="1">
        <f t="array" ref="H725">_xlfn.IFS(B725=2015,L725*$P$3,B725=2016,L725*$P$4,B725=2017,L725*$P$5,B725=2018,L725*$P$6,B725=2019,L725*$P$7,B725=2020,L725*$P$8,B725=2021,L725*$P$9,B725=2022,L725*$P$10)</f>
        <v>2313.3842628544762</v>
      </c>
      <c r="I725" s="7">
        <f t="shared" si="25"/>
        <v>104637.38426285448</v>
      </c>
      <c r="J725">
        <f>IFERROR(VLOOKUP(F725,'LEAID Match'!$A$2:$B$227,2,FALSE),"")</f>
        <v>3800057</v>
      </c>
      <c r="K725">
        <f t="shared" si="24"/>
        <v>8</v>
      </c>
      <c r="L725" cm="1">
        <f t="array" ref="L725">_xlfn.IFS(B725=2015,G725/$P$13,B725=2016,G725/$P$14,B725=2017,G725/$P$15,B725=2018,G725/$P$16,B725=2019,G725/$P$17,B725=2019,G725/$P$18,B725=2020,G725/$P$18,B725=2021,G725/$P$19,B725=2022,G725/$P$20)</f>
        <v>1.3047852582371551E-3</v>
      </c>
    </row>
    <row r="726" spans="1:12" x14ac:dyDescent="0.2">
      <c r="A726">
        <v>3800057</v>
      </c>
      <c r="B726">
        <v>2016</v>
      </c>
      <c r="C726" t="s">
        <v>252</v>
      </c>
      <c r="D726" t="s">
        <v>254</v>
      </c>
      <c r="E726" t="s">
        <v>256</v>
      </c>
      <c r="F726" s="5" t="s">
        <v>19</v>
      </c>
      <c r="G726" s="7">
        <v>108899</v>
      </c>
      <c r="H726" s="7" cm="1">
        <f t="array" ref="H726">_xlfn.IFS(B726=2015,L726*$P$3,B726=2016,L726*$P$4,B726=2017,L726*$P$5,B726=2018,L726*$P$6,B726=2019,L726*$P$7,B726=2020,L726*$P$8,B726=2021,L726*$P$9,B726=2022,L726*$P$10)</f>
        <v>3697.8892099753198</v>
      </c>
      <c r="I726" s="7">
        <f t="shared" si="25"/>
        <v>112596.88920997531</v>
      </c>
      <c r="J726">
        <f>IFERROR(VLOOKUP(F726,'LEAID Match'!$A$2:$B$227,2,FALSE),"")</f>
        <v>3800057</v>
      </c>
      <c r="K726">
        <f t="shared" si="24"/>
        <v>8</v>
      </c>
      <c r="L726" cm="1">
        <f t="array" ref="L726">_xlfn.IFS(B726=2015,G726/$P$13,B726=2016,G726/$P$14,B726=2017,G726/$P$15,B726=2018,G726/$P$16,B726=2019,G726/$P$17,B726=2019,G726/$P$18,B726=2020,G726/$P$18,B726=2021,G726/$P$19,B726=2022,G726/$P$20)</f>
        <v>1.3145713508621827E-3</v>
      </c>
    </row>
    <row r="727" spans="1:12" x14ac:dyDescent="0.2">
      <c r="A727">
        <v>3800057</v>
      </c>
      <c r="B727">
        <v>2017</v>
      </c>
      <c r="C727" t="s">
        <v>252</v>
      </c>
      <c r="D727" t="s">
        <v>254</v>
      </c>
      <c r="E727" t="s">
        <v>256</v>
      </c>
      <c r="F727" s="5" t="s">
        <v>19</v>
      </c>
      <c r="G727" s="7">
        <v>113109</v>
      </c>
      <c r="H727" s="7" cm="1">
        <f t="array" ref="H727">_xlfn.IFS(B727=2015,L727*$P$3,B727=2016,L727*$P$4,B727=2017,L727*$P$5,B727=2018,L727*$P$6,B727=2019,L727*$P$7,B727=2020,L727*$P$8,B727=2021,L727*$P$9,B727=2022,L727*$P$10)</f>
        <v>3665.6422128189165</v>
      </c>
      <c r="I727" s="7">
        <f t="shared" si="25"/>
        <v>116774.64221281892</v>
      </c>
      <c r="J727">
        <f>IFERROR(VLOOKUP(F727,'LEAID Match'!$A$2:$B$227,2,FALSE),"")</f>
        <v>3800057</v>
      </c>
      <c r="K727">
        <f t="shared" si="24"/>
        <v>8</v>
      </c>
      <c r="L727" cm="1">
        <f t="array" ref="L727">_xlfn.IFS(B727=2015,G727/$P$13,B727=2016,G727/$P$14,B727=2017,G727/$P$15,B727=2018,G727/$P$16,B727=2019,G727/$P$17,B727=2019,G727/$P$18,B727=2020,G727/$P$18,B727=2021,G727/$P$19,B727=2022,G727/$P$20)</f>
        <v>1.3143213384076431E-3</v>
      </c>
    </row>
    <row r="728" spans="1:12" x14ac:dyDescent="0.2">
      <c r="A728">
        <v>3800057</v>
      </c>
      <c r="B728" s="5">
        <v>2018</v>
      </c>
      <c r="C728" t="s">
        <v>252</v>
      </c>
      <c r="D728" t="s">
        <v>254</v>
      </c>
      <c r="E728" t="s">
        <v>256</v>
      </c>
      <c r="F728" s="5" t="s">
        <v>19</v>
      </c>
      <c r="G728" s="7">
        <v>100629</v>
      </c>
      <c r="H728" s="7" cm="1">
        <f t="array" ref="H728">_xlfn.IFS(B728=2015,L728*$P$3,B728=2016,L728*$P$4,B728=2017,L728*$P$5,B728=2018,L728*$P$6,B728=2019,L728*$P$7,B728=2020,L728*$P$8,B728=2021,L728*$P$9,B728=2022,L728*$P$10)</f>
        <v>2757.3340764866002</v>
      </c>
      <c r="I728" s="7">
        <f t="shared" si="25"/>
        <v>103386.3340764866</v>
      </c>
      <c r="J728">
        <f>IFERROR(VLOOKUP(F728,'LEAID Match'!$A$2:$B$227,2,FALSE),"")</f>
        <v>3800057</v>
      </c>
      <c r="K728">
        <f t="shared" si="24"/>
        <v>8</v>
      </c>
      <c r="L728" cm="1">
        <f t="array" ref="L728">_xlfn.IFS(B728=2015,G728/$P$13,B728=2016,G728/$P$14,B728=2017,G728/$P$15,B728=2018,G728/$P$16,B728=2019,G728/$P$17,B728=2019,G728/$P$18,B728=2020,G728/$P$18,B728=2021,G728/$P$19,B728=2022,G728/$P$20)</f>
        <v>1.1609827690469896E-3</v>
      </c>
    </row>
    <row r="729" spans="1:12" x14ac:dyDescent="0.2">
      <c r="A729">
        <v>3800057</v>
      </c>
      <c r="B729">
        <v>2019</v>
      </c>
      <c r="C729" t="s">
        <v>252</v>
      </c>
      <c r="D729" t="s">
        <v>254</v>
      </c>
      <c r="E729" t="s">
        <v>256</v>
      </c>
      <c r="F729" s="5" t="s">
        <v>19</v>
      </c>
      <c r="G729" s="7">
        <v>107377</v>
      </c>
      <c r="H729" s="7" cm="1">
        <f t="array" ref="H729">_xlfn.IFS(B729=2015,L729*$P$3,B729=2016,L729*$P$4,B729=2017,L729*$P$5,B729=2018,L729*$P$6,B729=2019,L729*$P$7,B729=2020,L729*$P$8,B729=2021,L729*$P$9,B729=2022,L729*$P$10)</f>
        <v>2492.2013646840378</v>
      </c>
      <c r="I729" s="7">
        <f t="shared" si="25"/>
        <v>109869.20136468404</v>
      </c>
      <c r="J729">
        <f>IFERROR(VLOOKUP(F729,'LEAID Match'!$A$2:$B$227,2,FALSE),"")</f>
        <v>3800057</v>
      </c>
      <c r="K729">
        <f t="shared" si="24"/>
        <v>8</v>
      </c>
      <c r="L729" cm="1">
        <f t="array" ref="L729">_xlfn.IFS(B729=2015,G729/$P$13,B729=2016,G729/$P$14,B729=2017,G729/$P$15,B729=2018,G729/$P$16,B729=2019,G729/$P$17,B729=2019,G729/$P$18,B729=2020,G729/$P$18,B729=2021,G729/$P$19,B729=2022,G729/$P$20)</f>
        <v>1.200482352930654E-3</v>
      </c>
    </row>
    <row r="730" spans="1:12" x14ac:dyDescent="0.2">
      <c r="A730">
        <v>3800057</v>
      </c>
      <c r="B730">
        <v>2020</v>
      </c>
      <c r="C730" t="s">
        <v>252</v>
      </c>
      <c r="D730" t="s">
        <v>254</v>
      </c>
      <c r="E730" t="s">
        <v>256</v>
      </c>
      <c r="F730" s="5" t="s">
        <v>19</v>
      </c>
      <c r="G730" s="7">
        <v>110193</v>
      </c>
      <c r="H730" s="7" cm="1">
        <f t="array" ref="H730">_xlfn.IFS(B730=2015,L730*$P$3,B730=2016,L730*$P$4,B730=2017,L730*$P$5,B730=2018,L730*$P$6,B730=2019,L730*$P$7,B730=2020,L730*$P$8,B730=2021,L730*$P$9,B730=2022,L730*$P$10)</f>
        <v>2764.5239901110644</v>
      </c>
      <c r="I730" s="7">
        <f t="shared" si="25"/>
        <v>112957.52399011106</v>
      </c>
      <c r="J730">
        <f>IFERROR(VLOOKUP(F730,'LEAID Match'!$A$2:$B$227,2,FALSE),"")</f>
        <v>3800057</v>
      </c>
      <c r="K730">
        <f t="shared" si="24"/>
        <v>8</v>
      </c>
      <c r="L730" cm="1">
        <f t="array" ref="L730">_xlfn.IFS(B730=2015,G730/$P$13,B730=2016,G730/$P$14,B730=2017,G730/$P$15,B730=2018,G730/$P$16,B730=2019,G730/$P$17,B730=2019,G730/$P$18,B730=2020,G730/$P$18,B730=2021,G730/$P$19,B730=2022,G730/$P$20)</f>
        <v>1.1844575793106531E-3</v>
      </c>
    </row>
    <row r="731" spans="1:12" x14ac:dyDescent="0.2">
      <c r="A731">
        <v>3800057</v>
      </c>
      <c r="B731" s="5">
        <v>2021</v>
      </c>
      <c r="C731" t="s">
        <v>252</v>
      </c>
      <c r="D731" t="s">
        <v>254</v>
      </c>
      <c r="E731" t="s">
        <v>256</v>
      </c>
      <c r="F731" s="5" t="s">
        <v>19</v>
      </c>
      <c r="G731" s="7">
        <v>114417</v>
      </c>
      <c r="H731" s="7" cm="1">
        <f t="array" ref="H731">_xlfn.IFS(B731=2015,L731*$P$3,B731=2016,L731*$P$4,B731=2017,L731*$P$5,B731=2018,L731*$P$6,B731=2019,L731*$P$7,B731=2020,L731*$P$8,B731=2021,L731*$P$9,B731=2022,L731*$P$10)</f>
        <v>3126.3636832317152</v>
      </c>
      <c r="I731" s="7">
        <f t="shared" si="25"/>
        <v>117543.36368323171</v>
      </c>
      <c r="J731">
        <f>IFERROR(VLOOKUP(F731,'LEAID Match'!$A$2:$B$227,2,FALSE),"")</f>
        <v>3800057</v>
      </c>
      <c r="K731">
        <f t="shared" si="24"/>
        <v>8</v>
      </c>
      <c r="L731" cm="1">
        <f t="array" ref="L731">_xlfn.IFS(B731=2015,G731/$P$13,B731=2016,G731/$P$14,B731=2017,G731/$P$15,B731=2018,G731/$P$16,B731=2019,G731/$P$17,B731=2019,G731/$P$18,B731=2020,G731/$P$18,B731=2021,G731/$P$19,B731=2022,G731/$P$20)</f>
        <v>1.164381260049056E-3</v>
      </c>
    </row>
    <row r="732" spans="1:12" x14ac:dyDescent="0.2">
      <c r="A732">
        <v>3800057</v>
      </c>
      <c r="B732">
        <v>2022</v>
      </c>
      <c r="C732" t="s">
        <v>252</v>
      </c>
      <c r="D732" t="s">
        <v>254</v>
      </c>
      <c r="E732" t="s">
        <v>256</v>
      </c>
      <c r="F732" s="5" t="s">
        <v>19</v>
      </c>
      <c r="G732" s="7">
        <v>119152</v>
      </c>
      <c r="H732" s="7" cm="1">
        <f t="array" ref="H732">_xlfn.IFS(B732=2015,L732*$P$3,B732=2016,L732*$P$4,B732=2017,L732*$P$5,B732=2018,L732*$P$6,B732=2019,L732*$P$7,B732=2020,L732*$P$8,B732=2021,L732*$P$9,B732=2022,L732*$P$10)</f>
        <v>2425.0485870098582</v>
      </c>
      <c r="I732" s="7">
        <f t="shared" si="25"/>
        <v>121577.04858700986</v>
      </c>
      <c r="J732">
        <f>IFERROR(VLOOKUP(F732,'LEAID Match'!$A$2:$B$227,2,FALSE),"")</f>
        <v>3800057</v>
      </c>
      <c r="K732">
        <f t="shared" si="24"/>
        <v>8</v>
      </c>
      <c r="L732" cm="1">
        <f t="array" ref="L732">_xlfn.IFS(B732=2015,G732/$P$13,B732=2016,G732/$P$14,B732=2017,G732/$P$15,B732=2018,G732/$P$16,B732=2019,G732/$P$17,B732=2019,G732/$P$18,B732=2020,G732/$P$18,B732=2021,G732/$P$19,B732=2022,G732/$P$20)</f>
        <v>1.1875850083299991E-3</v>
      </c>
    </row>
    <row r="733" spans="1:12" x14ac:dyDescent="0.2">
      <c r="A733">
        <v>3811540</v>
      </c>
      <c r="B733">
        <v>2015</v>
      </c>
      <c r="C733" t="s">
        <v>252</v>
      </c>
      <c r="D733" t="s">
        <v>254</v>
      </c>
      <c r="E733" t="s">
        <v>256</v>
      </c>
      <c r="F733" s="5" t="s">
        <v>223</v>
      </c>
      <c r="G733" s="7">
        <v>13049</v>
      </c>
      <c r="H733" s="7" cm="1">
        <f t="array" ref="H733">_xlfn.IFS(B733=2015,L733*$P$3,B733=2016,L733*$P$4,B733=2017,L733*$P$5,B733=2018,L733*$P$6,B733=2019,L733*$P$7,B733=2020,L733*$P$8,B733=2021,L733*$P$9,B733=2022,L733*$P$10)</f>
        <v>295.01731017149501</v>
      </c>
      <c r="I733" s="7">
        <f t="shared" si="25"/>
        <v>13344.017310171495</v>
      </c>
      <c r="J733">
        <f>IFERROR(VLOOKUP(F733,'LEAID Match'!$A$2:$B$227,2,FALSE),"")</f>
        <v>3811540</v>
      </c>
      <c r="K733">
        <f t="shared" si="24"/>
        <v>8</v>
      </c>
      <c r="L733" cm="1">
        <f t="array" ref="L733">_xlfn.IFS(B733=2015,G733/$P$13,B733=2016,G733/$P$14,B733=2017,G733/$P$15,B733=2018,G733/$P$16,B733=2019,G733/$P$17,B733=2019,G733/$P$18,B733=2020,G733/$P$18,B733=2021,G733/$P$19,B733=2022,G733/$P$20)</f>
        <v>1.6639442198053864E-4</v>
      </c>
    </row>
    <row r="734" spans="1:12" x14ac:dyDescent="0.2">
      <c r="A734">
        <v>3811540</v>
      </c>
      <c r="B734">
        <v>2016</v>
      </c>
      <c r="C734" t="s">
        <v>252</v>
      </c>
      <c r="D734" t="s">
        <v>254</v>
      </c>
      <c r="E734" t="s">
        <v>256</v>
      </c>
      <c r="F734" s="5" t="s">
        <v>223</v>
      </c>
      <c r="G734" s="7">
        <v>12941</v>
      </c>
      <c r="H734" s="7" cm="1">
        <f t="array" ref="H734">_xlfn.IFS(B734=2015,L734*$P$3,B734=2016,L734*$P$4,B734=2017,L734*$P$5,B734=2018,L734*$P$6,B734=2019,L734*$P$7,B734=2020,L734*$P$8,B734=2021,L734*$P$9,B734=2022,L734*$P$10)</f>
        <v>439.43823420132981</v>
      </c>
      <c r="I734" s="7">
        <f t="shared" si="25"/>
        <v>13380.43823420133</v>
      </c>
      <c r="J734">
        <f>IFERROR(VLOOKUP(F734,'LEAID Match'!$A$2:$B$227,2,FALSE),"")</f>
        <v>3811540</v>
      </c>
      <c r="K734">
        <f t="shared" si="24"/>
        <v>8</v>
      </c>
      <c r="L734" cm="1">
        <f t="array" ref="L734">_xlfn.IFS(B734=2015,G734/$P$13,B734=2016,G734/$P$14,B734=2017,G734/$P$15,B734=2018,G734/$P$16,B734=2019,G734/$P$17,B734=2019,G734/$P$18,B734=2020,G734/$P$18,B734=2021,G734/$P$19,B734=2022,G734/$P$20)</f>
        <v>1.5621693359450046E-4</v>
      </c>
    </row>
    <row r="735" spans="1:12" x14ac:dyDescent="0.2">
      <c r="A735">
        <v>3811540</v>
      </c>
      <c r="B735">
        <v>2017</v>
      </c>
      <c r="C735" t="s">
        <v>252</v>
      </c>
      <c r="D735" t="s">
        <v>254</v>
      </c>
      <c r="E735" t="s">
        <v>256</v>
      </c>
      <c r="F735" s="5" t="s">
        <v>223</v>
      </c>
      <c r="G735" s="7">
        <v>15555</v>
      </c>
      <c r="H735" s="7" cm="1">
        <f t="array" ref="H735">_xlfn.IFS(B735=2015,L735*$P$3,B735=2016,L735*$P$4,B735=2017,L735*$P$5,B735=2018,L735*$P$6,B735=2019,L735*$P$7,B735=2020,L735*$P$8,B735=2021,L735*$P$9,B735=2022,L735*$P$10)</f>
        <v>504.10722949012239</v>
      </c>
      <c r="I735" s="7">
        <f t="shared" si="25"/>
        <v>16059.107229490122</v>
      </c>
      <c r="J735">
        <f>IFERROR(VLOOKUP(F735,'LEAID Match'!$A$2:$B$227,2,FALSE),"")</f>
        <v>3811540</v>
      </c>
      <c r="K735">
        <f t="shared" si="24"/>
        <v>8</v>
      </c>
      <c r="L735" cm="1">
        <f t="array" ref="L735">_xlfn.IFS(B735=2015,G735/$P$13,B735=2016,G735/$P$14,B735=2017,G735/$P$15,B735=2018,G735/$P$16,B735=2019,G735/$P$17,B735=2019,G735/$P$18,B735=2020,G735/$P$18,B735=2021,G735/$P$19,B735=2022,G735/$P$20)</f>
        <v>1.80748379164619E-4</v>
      </c>
    </row>
    <row r="736" spans="1:12" x14ac:dyDescent="0.2">
      <c r="A736">
        <v>3811540</v>
      </c>
      <c r="B736" s="5">
        <v>2018</v>
      </c>
      <c r="C736" t="s">
        <v>252</v>
      </c>
      <c r="D736" t="s">
        <v>254</v>
      </c>
      <c r="E736" t="s">
        <v>256</v>
      </c>
      <c r="F736" s="5" t="s">
        <v>223</v>
      </c>
      <c r="G736" s="7">
        <v>16941</v>
      </c>
      <c r="H736" s="7" cm="1">
        <f t="array" ref="H736">_xlfn.IFS(B736=2015,L736*$P$3,B736=2016,L736*$P$4,B736=2017,L736*$P$5,B736=2018,L736*$P$6,B736=2019,L736*$P$7,B736=2020,L736*$P$8,B736=2021,L736*$P$9,B736=2022,L736*$P$10)</f>
        <v>464.20014697313388</v>
      </c>
      <c r="I736" s="7">
        <f t="shared" si="25"/>
        <v>17405.200146973133</v>
      </c>
      <c r="J736">
        <f>IFERROR(VLOOKUP(F736,'LEAID Match'!$A$2:$B$227,2,FALSE),"")</f>
        <v>3811540</v>
      </c>
      <c r="K736">
        <f t="shared" si="24"/>
        <v>8</v>
      </c>
      <c r="L736" cm="1">
        <f t="array" ref="L736">_xlfn.IFS(B736=2015,G736/$P$13,B736=2016,G736/$P$14,B736=2017,G736/$P$15,B736=2018,G736/$P$16,B736=2019,G736/$P$17,B736=2019,G736/$P$18,B736=2020,G736/$P$18,B736=2021,G736/$P$19,B736=2022,G736/$P$20)</f>
        <v>1.9545269346237217E-4</v>
      </c>
    </row>
    <row r="737" spans="1:12" x14ac:dyDescent="0.2">
      <c r="A737">
        <v>3811540</v>
      </c>
      <c r="B737">
        <v>2019</v>
      </c>
      <c r="C737" t="s">
        <v>252</v>
      </c>
      <c r="D737" t="s">
        <v>254</v>
      </c>
      <c r="E737" t="s">
        <v>256</v>
      </c>
      <c r="F737" s="5" t="s">
        <v>223</v>
      </c>
      <c r="G737" s="7">
        <v>17772</v>
      </c>
      <c r="H737" s="7" cm="1">
        <f t="array" ref="H737">_xlfn.IFS(B737=2015,L737*$P$3,B737=2016,L737*$P$4,B737=2017,L737*$P$5,B737=2018,L737*$P$6,B737=2019,L737*$P$7,B737=2020,L737*$P$8,B737=2021,L737*$P$9,B737=2022,L737*$P$10)</f>
        <v>412.48500752642298</v>
      </c>
      <c r="I737" s="7">
        <f t="shared" si="25"/>
        <v>18184.485007526422</v>
      </c>
      <c r="J737">
        <f>IFERROR(VLOOKUP(F737,'LEAID Match'!$A$2:$B$227,2,FALSE),"")</f>
        <v>3811540</v>
      </c>
      <c r="K737">
        <f t="shared" si="24"/>
        <v>8</v>
      </c>
      <c r="L737" cm="1">
        <f t="array" ref="L737">_xlfn.IFS(B737=2015,G737/$P$13,B737=2016,G737/$P$14,B737=2017,G737/$P$15,B737=2018,G737/$P$16,B737=2019,G737/$P$17,B737=2019,G737/$P$18,B737=2020,G737/$P$18,B737=2021,G737/$P$19,B737=2022,G737/$P$20)</f>
        <v>1.986922001572365E-4</v>
      </c>
    </row>
    <row r="738" spans="1:12" x14ac:dyDescent="0.2">
      <c r="A738">
        <v>3811540</v>
      </c>
      <c r="B738">
        <v>2020</v>
      </c>
      <c r="C738" t="s">
        <v>252</v>
      </c>
      <c r="D738" t="s">
        <v>254</v>
      </c>
      <c r="E738" t="s">
        <v>256</v>
      </c>
      <c r="F738" s="5" t="s">
        <v>223</v>
      </c>
      <c r="G738" s="7">
        <v>19042</v>
      </c>
      <c r="H738" s="7" cm="1">
        <f t="array" ref="H738">_xlfn.IFS(B738=2015,L738*$P$3,B738=2016,L738*$P$4,B738=2017,L738*$P$5,B738=2018,L738*$P$6,B738=2019,L738*$P$7,B738=2020,L738*$P$8,B738=2021,L738*$P$9,B738=2022,L738*$P$10)</f>
        <v>477.72604266781815</v>
      </c>
      <c r="I738" s="7">
        <f t="shared" si="25"/>
        <v>19519.726042667819</v>
      </c>
      <c r="J738">
        <f>IFERROR(VLOOKUP(F738,'LEAID Match'!$A$2:$B$227,2,FALSE),"")</f>
        <v>3811540</v>
      </c>
      <c r="K738">
        <f t="shared" si="24"/>
        <v>8</v>
      </c>
      <c r="L738" cm="1">
        <f t="array" ref="L738">_xlfn.IFS(B738=2015,G738/$P$13,B738=2016,G738/$P$14,B738=2017,G738/$P$15,B738=2018,G738/$P$16,B738=2019,G738/$P$17,B738=2019,G738/$P$18,B738=2020,G738/$P$18,B738=2021,G738/$P$19,B738=2022,G738/$P$20)</f>
        <v>2.0468125221414658E-4</v>
      </c>
    </row>
    <row r="739" spans="1:12" x14ac:dyDescent="0.2">
      <c r="A739">
        <v>3811540</v>
      </c>
      <c r="B739" s="5">
        <v>2021</v>
      </c>
      <c r="C739" t="s">
        <v>252</v>
      </c>
      <c r="D739" t="s">
        <v>254</v>
      </c>
      <c r="E739" t="s">
        <v>256</v>
      </c>
      <c r="F739" s="5" t="s">
        <v>223</v>
      </c>
      <c r="G739" s="7">
        <v>22626</v>
      </c>
      <c r="H739" s="7" cm="1">
        <f t="array" ref="H739">_xlfn.IFS(B739=2015,L739*$P$3,B739=2016,L739*$P$4,B739=2017,L739*$P$5,B739=2018,L739*$P$6,B739=2019,L739*$P$7,B739=2020,L739*$P$8,B739=2021,L739*$P$9,B739=2022,L739*$P$10)</f>
        <v>618.23946351329596</v>
      </c>
      <c r="I739" s="7">
        <f t="shared" si="25"/>
        <v>23244.239463513295</v>
      </c>
      <c r="J739">
        <f>IFERROR(VLOOKUP(F739,'LEAID Match'!$A$2:$B$227,2,FALSE),"")</f>
        <v>3811540</v>
      </c>
      <c r="K739">
        <f t="shared" si="24"/>
        <v>8</v>
      </c>
      <c r="L739" cm="1">
        <f t="array" ref="L739">_xlfn.IFS(B739=2015,G739/$P$13,B739=2016,G739/$P$14,B739=2017,G739/$P$15,B739=2018,G739/$P$16,B739=2019,G739/$P$17,B739=2019,G739/$P$18,B739=2020,G739/$P$18,B739=2021,G739/$P$19,B739=2022,G739/$P$20)</f>
        <v>2.3025678343139514E-4</v>
      </c>
    </row>
    <row r="740" spans="1:12" x14ac:dyDescent="0.2">
      <c r="A740">
        <v>3811540</v>
      </c>
      <c r="B740">
        <v>2022</v>
      </c>
      <c r="C740" t="s">
        <v>252</v>
      </c>
      <c r="D740" t="s">
        <v>254</v>
      </c>
      <c r="E740" t="s">
        <v>256</v>
      </c>
      <c r="F740" s="5" t="s">
        <v>223</v>
      </c>
      <c r="G740" s="7">
        <v>22351</v>
      </c>
      <c r="H740" s="7" cm="1">
        <f t="array" ref="H740">_xlfn.IFS(B740=2015,L740*$P$3,B740=2016,L740*$P$4,B740=2017,L740*$P$5,B740=2018,L740*$P$6,B740=2019,L740*$P$7,B740=2020,L740*$P$8,B740=2021,L740*$P$9,B740=2022,L740*$P$10)</f>
        <v>454.9001356943848</v>
      </c>
      <c r="I740" s="7">
        <f t="shared" si="25"/>
        <v>22805.900135694385</v>
      </c>
      <c r="J740">
        <f>IFERROR(VLOOKUP(F740,'LEAID Match'!$A$2:$B$227,2,FALSE),"")</f>
        <v>3811540</v>
      </c>
      <c r="K740">
        <f t="shared" si="24"/>
        <v>8</v>
      </c>
      <c r="L740" cm="1">
        <f t="array" ref="L740">_xlfn.IFS(B740=2015,G740/$P$13,B740=2016,G740/$P$14,B740=2017,G740/$P$15,B740=2018,G740/$P$16,B740=2019,G740/$P$17,B740=2019,G740/$P$18,B740=2020,G740/$P$18,B740=2021,G740/$P$19,B740=2022,G740/$P$20)</f>
        <v>2.2277185881213751E-4</v>
      </c>
    </row>
    <row r="741" spans="1:12" x14ac:dyDescent="0.2">
      <c r="A741">
        <v>0</v>
      </c>
      <c r="B741">
        <v>2015</v>
      </c>
      <c r="C741" t="s">
        <v>252</v>
      </c>
      <c r="D741" t="s">
        <v>254</v>
      </c>
      <c r="E741" t="s">
        <v>256</v>
      </c>
      <c r="F741" s="5" t="s">
        <v>20</v>
      </c>
      <c r="G741" s="5">
        <v>520</v>
      </c>
      <c r="H741" s="7" cm="1">
        <f t="array" ref="H741">_xlfn.IFS(B741=2015,L741*$P$3,B741=2016,L741*$P$4,B741=2017,L741*$P$5,B741=2018,L741*$P$6,B741=2019,L741*$P$7,B741=2020,L741*$P$8,B741=2021,L741*$P$9,B741=2022,L741*$P$10)</f>
        <v>11.756379898013442</v>
      </c>
      <c r="I741" s="7">
        <f t="shared" si="25"/>
        <v>531.75637989801339</v>
      </c>
      <c r="J741">
        <f>IFERROR(VLOOKUP(F741,'LEAID Match'!$A$2:$B$227,2,FALSE),"")</f>
        <v>0</v>
      </c>
      <c r="K741">
        <f t="shared" si="24"/>
        <v>130</v>
      </c>
      <c r="L741" cm="1">
        <f t="array" ref="L741">_xlfn.IFS(B741=2015,G741/$P$13,B741=2016,G741/$P$14,B741=2017,G741/$P$15,B741=2018,G741/$P$16,B741=2019,G741/$P$17,B741=2019,G741/$P$18,B741=2020,G741/$P$18,B741=2021,G741/$P$19,B741=2022,G741/$P$20)</f>
        <v>6.6307839244294658E-6</v>
      </c>
    </row>
    <row r="742" spans="1:12" x14ac:dyDescent="0.2">
      <c r="A742">
        <v>0</v>
      </c>
      <c r="B742">
        <v>2016</v>
      </c>
      <c r="C742" t="s">
        <v>252</v>
      </c>
      <c r="D742" t="s">
        <v>254</v>
      </c>
      <c r="E742" t="s">
        <v>256</v>
      </c>
      <c r="F742" s="5" t="s">
        <v>20</v>
      </c>
      <c r="G742" s="5">
        <v>520</v>
      </c>
      <c r="H742" s="7" cm="1">
        <f t="array" ref="H742">_xlfn.IFS(B742=2015,L742*$P$3,B742=2016,L742*$P$4,B742=2017,L742*$P$5,B742=2018,L742*$P$6,B742=2019,L742*$P$7,B742=2020,L742*$P$8,B742=2021,L742*$P$9,B742=2022,L742*$P$10)</f>
        <v>17.657668015199093</v>
      </c>
      <c r="I742" s="7">
        <f t="shared" si="25"/>
        <v>537.65766801519908</v>
      </c>
      <c r="J742">
        <f>IFERROR(VLOOKUP(F742,'LEAID Match'!$A$2:$B$227,2,FALSE),"")</f>
        <v>0</v>
      </c>
      <c r="K742">
        <f t="shared" si="24"/>
        <v>130</v>
      </c>
      <c r="L742" cm="1">
        <f t="array" ref="L742">_xlfn.IFS(B742=2015,G742/$P$13,B742=2016,G742/$P$14,B742=2017,G742/$P$15,B742=2018,G742/$P$16,B742=2019,G742/$P$17,B742=2019,G742/$P$18,B742=2020,G742/$P$18,B742=2021,G742/$P$19,B742=2022,G742/$P$20)</f>
        <v>6.2771660203338409E-6</v>
      </c>
    </row>
    <row r="743" spans="1:12" x14ac:dyDescent="0.2">
      <c r="A743">
        <v>0</v>
      </c>
      <c r="B743">
        <v>2017</v>
      </c>
      <c r="C743" t="s">
        <v>252</v>
      </c>
      <c r="D743" t="s">
        <v>254</v>
      </c>
      <c r="E743" t="s">
        <v>256</v>
      </c>
      <c r="F743" s="5" t="s">
        <v>20</v>
      </c>
      <c r="G743" s="5">
        <v>520</v>
      </c>
      <c r="H743" s="7" cm="1">
        <f t="array" ref="H743">_xlfn.IFS(B743=2015,L743*$P$3,B743=2016,L743*$P$4,B743=2017,L743*$P$5,B743=2018,L743*$P$6,B743=2019,L743*$P$7,B743=2020,L743*$P$8,B743=2021,L743*$P$9,B743=2022,L743*$P$10)</f>
        <v>16.852186392469534</v>
      </c>
      <c r="I743" s="7">
        <f t="shared" si="25"/>
        <v>536.85218639246955</v>
      </c>
      <c r="J743">
        <f>IFERROR(VLOOKUP(F743,'LEAID Match'!$A$2:$B$227,2,FALSE),"")</f>
        <v>0</v>
      </c>
      <c r="K743">
        <f t="shared" si="24"/>
        <v>130</v>
      </c>
      <c r="L743" cm="1">
        <f t="array" ref="L743">_xlfn.IFS(B743=2015,G743/$P$13,B743=2016,G743/$P$14,B743=2017,G743/$P$15,B743=2018,G743/$P$16,B743=2019,G743/$P$17,B743=2019,G743/$P$18,B743=2020,G743/$P$18,B743=2021,G743/$P$19,B743=2022,G743/$P$20)</f>
        <v>6.0423759026423576E-6</v>
      </c>
    </row>
    <row r="744" spans="1:12" x14ac:dyDescent="0.2">
      <c r="A744">
        <v>0</v>
      </c>
      <c r="B744" s="5">
        <v>2018</v>
      </c>
      <c r="C744" t="s">
        <v>252</v>
      </c>
      <c r="D744" t="s">
        <v>254</v>
      </c>
      <c r="E744" t="s">
        <v>256</v>
      </c>
      <c r="F744" s="5" t="s">
        <v>20</v>
      </c>
      <c r="G744" s="5">
        <v>520</v>
      </c>
      <c r="H744" s="7" cm="1">
        <f t="array" ref="H744">_xlfn.IFS(B744=2015,L744*$P$3,B744=2016,L744*$P$4,B744=2017,L744*$P$5,B744=2018,L744*$P$6,B744=2019,L744*$P$7,B744=2020,L744*$P$8,B744=2021,L744*$P$9,B744=2022,L744*$P$10)</f>
        <v>14.248514044391101</v>
      </c>
      <c r="I744" s="7">
        <f t="shared" si="25"/>
        <v>534.24851404439107</v>
      </c>
      <c r="J744">
        <f>IFERROR(VLOOKUP(F744,'LEAID Match'!$A$2:$B$227,2,FALSE),"")</f>
        <v>0</v>
      </c>
      <c r="K744">
        <f t="shared" si="24"/>
        <v>130</v>
      </c>
      <c r="L744" cm="1">
        <f t="array" ref="L744">_xlfn.IFS(B744=2015,G744/$P$13,B744=2016,G744/$P$14,B744=2017,G744/$P$15,B744=2018,G744/$P$16,B744=2019,G744/$P$17,B744=2019,G744/$P$18,B744=2020,G744/$P$18,B744=2021,G744/$P$19,B744=2022,G744/$P$20)</f>
        <v>5.9993743344804633E-6</v>
      </c>
    </row>
    <row r="745" spans="1:12" x14ac:dyDescent="0.2">
      <c r="A745">
        <v>0</v>
      </c>
      <c r="B745">
        <v>2019</v>
      </c>
      <c r="C745" t="s">
        <v>252</v>
      </c>
      <c r="D745" t="s">
        <v>254</v>
      </c>
      <c r="E745" t="s">
        <v>256</v>
      </c>
      <c r="F745" s="5" t="s">
        <v>20</v>
      </c>
      <c r="G745" s="5">
        <v>520</v>
      </c>
      <c r="H745" s="7" cm="1">
        <f t="array" ref="H745">_xlfn.IFS(B745=2015,L745*$P$3,B745=2016,L745*$P$4,B745=2017,L745*$P$5,B745=2018,L745*$P$6,B745=2019,L745*$P$7,B745=2020,L745*$P$8,B745=2021,L745*$P$9,B745=2022,L745*$P$10)</f>
        <v>12.069108930550302</v>
      </c>
      <c r="I745" s="7">
        <f t="shared" si="25"/>
        <v>532.06910893055033</v>
      </c>
      <c r="J745">
        <f>IFERROR(VLOOKUP(F745,'LEAID Match'!$A$2:$B$227,2,FALSE),"")</f>
        <v>0</v>
      </c>
      <c r="K745">
        <f t="shared" si="24"/>
        <v>130</v>
      </c>
      <c r="L745" cm="1">
        <f t="array" ref="L745">_xlfn.IFS(B745=2015,G745/$P$13,B745=2016,G745/$P$14,B745=2017,G745/$P$15,B745=2018,G745/$P$16,B745=2019,G745/$P$17,B745=2019,G745/$P$18,B745=2020,G745/$P$18,B745=2021,G745/$P$19,B745=2022,G745/$P$20)</f>
        <v>5.8136362863922451E-6</v>
      </c>
    </row>
    <row r="746" spans="1:12" x14ac:dyDescent="0.2">
      <c r="A746">
        <v>0</v>
      </c>
      <c r="B746">
        <v>2020</v>
      </c>
      <c r="C746" t="s">
        <v>252</v>
      </c>
      <c r="D746" t="s">
        <v>254</v>
      </c>
      <c r="E746" t="s">
        <v>256</v>
      </c>
      <c r="F746" s="5" t="s">
        <v>20</v>
      </c>
      <c r="G746" s="5">
        <v>276</v>
      </c>
      <c r="H746" s="7" cm="1">
        <f t="array" ref="H746">_xlfn.IFS(B746=2015,L746*$P$3,B746=2016,L746*$P$4,B746=2017,L746*$P$5,B746=2018,L746*$P$6,B746=2019,L746*$P$7,B746=2020,L746*$P$8,B746=2021,L746*$P$9,B746=2022,L746*$P$10)</f>
        <v>6.9242930246989713</v>
      </c>
      <c r="I746" s="7">
        <f t="shared" si="25"/>
        <v>282.92429302469895</v>
      </c>
      <c r="J746">
        <f>IFERROR(VLOOKUP(F746,'LEAID Match'!$A$2:$B$227,2,FALSE),"")</f>
        <v>0</v>
      </c>
      <c r="K746">
        <f t="shared" si="24"/>
        <v>130</v>
      </c>
      <c r="L746" cm="1">
        <f t="array" ref="L746">_xlfn.IFS(B746=2015,G746/$P$13,B746=2016,G746/$P$14,B746=2017,G746/$P$15,B746=2018,G746/$P$16,B746=2019,G746/$P$17,B746=2019,G746/$P$18,B746=2020,G746/$P$18,B746=2021,G746/$P$19,B746=2022,G746/$P$20)</f>
        <v>2.9667065230072713E-6</v>
      </c>
    </row>
    <row r="747" spans="1:12" x14ac:dyDescent="0.2">
      <c r="A747">
        <v>0</v>
      </c>
      <c r="B747" s="5">
        <v>2021</v>
      </c>
      <c r="C747" t="s">
        <v>252</v>
      </c>
      <c r="D747" t="s">
        <v>254</v>
      </c>
      <c r="E747" t="s">
        <v>256</v>
      </c>
      <c r="F747" s="5" t="s">
        <v>20</v>
      </c>
      <c r="G747" s="5"/>
      <c r="H747" s="7" cm="1">
        <f t="array" ref="H747">_xlfn.IFS(B747=2015,L747*$P$3,B747=2016,L747*$P$4,B747=2017,L747*$P$5,B747=2018,L747*$P$6,B747=2019,L747*$P$7,B747=2020,L747*$P$8,B747=2021,L747*$P$9,B747=2022,L747*$P$10)</f>
        <v>0</v>
      </c>
      <c r="I747" s="7">
        <f t="shared" si="25"/>
        <v>0</v>
      </c>
      <c r="J747">
        <f>IFERROR(VLOOKUP(F747,'LEAID Match'!$A$2:$B$227,2,FALSE),"")</f>
        <v>0</v>
      </c>
      <c r="K747">
        <f t="shared" si="24"/>
        <v>130</v>
      </c>
      <c r="L747" cm="1">
        <f t="array" ref="L747">_xlfn.IFS(B747=2015,G747/$P$13,B747=2016,G747/$P$14,B747=2017,G747/$P$15,B747=2018,G747/$P$16,B747=2019,G747/$P$17,B747=2019,G747/$P$18,B747=2020,G747/$P$18,B747=2021,G747/$P$19,B747=2022,G747/$P$20)</f>
        <v>0</v>
      </c>
    </row>
    <row r="748" spans="1:12" x14ac:dyDescent="0.2">
      <c r="A748">
        <v>0</v>
      </c>
      <c r="B748">
        <v>2022</v>
      </c>
      <c r="C748" t="s">
        <v>252</v>
      </c>
      <c r="D748" t="s">
        <v>254</v>
      </c>
      <c r="E748" t="s">
        <v>256</v>
      </c>
      <c r="F748" s="5" t="s">
        <v>20</v>
      </c>
      <c r="G748" s="5"/>
      <c r="H748" s="7" cm="1">
        <f t="array" ref="H748">_xlfn.IFS(B748=2015,L748*$P$3,B748=2016,L748*$P$4,B748=2017,L748*$P$5,B748=2018,L748*$P$6,B748=2019,L748*$P$7,B748=2020,L748*$P$8,B748=2021,L748*$P$9,B748=2022,L748*$P$10)</f>
        <v>0</v>
      </c>
      <c r="I748" s="7">
        <f t="shared" si="25"/>
        <v>0</v>
      </c>
      <c r="J748">
        <f>IFERROR(VLOOKUP(F748,'LEAID Match'!$A$2:$B$227,2,FALSE),"")</f>
        <v>0</v>
      </c>
      <c r="K748">
        <f t="shared" si="24"/>
        <v>130</v>
      </c>
      <c r="L748" cm="1">
        <f t="array" ref="L748">_xlfn.IFS(B748=2015,G748/$P$13,B748=2016,G748/$P$14,B748=2017,G748/$P$15,B748=2018,G748/$P$16,B748=2019,G748/$P$17,B748=2019,G748/$P$18,B748=2020,G748/$P$18,B748=2021,G748/$P$19,B748=2022,G748/$P$20)</f>
        <v>0</v>
      </c>
    </row>
    <row r="749" spans="1:12" x14ac:dyDescent="0.2">
      <c r="A749">
        <v>3811610</v>
      </c>
      <c r="B749">
        <v>2015</v>
      </c>
      <c r="C749" t="s">
        <v>252</v>
      </c>
      <c r="D749" t="s">
        <v>254</v>
      </c>
      <c r="E749" t="s">
        <v>256</v>
      </c>
      <c r="F749" s="5" t="s">
        <v>21</v>
      </c>
      <c r="G749" s="7">
        <v>28325</v>
      </c>
      <c r="H749" s="7" cm="1">
        <f t="array" ref="H749">_xlfn.IFS(B749=2015,L749*$P$3,B749=2016,L749*$P$4,B749=2017,L749*$P$5,B749=2018,L749*$P$6,B749=2019,L749*$P$7,B749=2020,L749*$P$8,B749=2021,L749*$P$9,B749=2022,L749*$P$10)</f>
        <v>640.38357809852073</v>
      </c>
      <c r="I749" s="7">
        <f t="shared" si="25"/>
        <v>28965.383578098521</v>
      </c>
      <c r="J749">
        <f>IFERROR(VLOOKUP(F749,'LEAID Match'!$A$2:$B$227,2,FALSE),"")</f>
        <v>3811610</v>
      </c>
      <c r="K749">
        <f t="shared" si="24"/>
        <v>8</v>
      </c>
      <c r="L749" cm="1">
        <f t="array" ref="L749">_xlfn.IFS(B749=2015,G749/$P$13,B749=2016,G749/$P$14,B749=2017,G749/$P$15,B749=2018,G749/$P$16,B749=2019,G749/$P$17,B749=2019,G749/$P$18,B749=2020,G749/$P$18,B749=2021,G749/$P$19,B749=2022,G749/$P$20)</f>
        <v>3.6118645126820119E-4</v>
      </c>
    </row>
    <row r="750" spans="1:12" x14ac:dyDescent="0.2">
      <c r="A750">
        <v>3811610</v>
      </c>
      <c r="B750">
        <v>2016</v>
      </c>
      <c r="C750" t="s">
        <v>252</v>
      </c>
      <c r="D750" t="s">
        <v>254</v>
      </c>
      <c r="E750" t="s">
        <v>256</v>
      </c>
      <c r="F750" s="5" t="s">
        <v>21</v>
      </c>
      <c r="G750" s="7">
        <v>32729</v>
      </c>
      <c r="H750" s="7" cm="1">
        <f t="array" ref="H750">_xlfn.IFS(B750=2015,L750*$P$3,B750=2016,L750*$P$4,B750=2017,L750*$P$5,B750=2018,L750*$P$6,B750=2019,L750*$P$7,B750=2020,L750*$P$8,B750=2021,L750*$P$9,B750=2022,L750*$P$10)</f>
        <v>1111.3804162874062</v>
      </c>
      <c r="I750" s="7">
        <f t="shared" si="25"/>
        <v>33840.380416287408</v>
      </c>
      <c r="J750">
        <f>IFERROR(VLOOKUP(F750,'LEAID Match'!$A$2:$B$227,2,FALSE),"")</f>
        <v>3811610</v>
      </c>
      <c r="K750">
        <f t="shared" si="24"/>
        <v>8</v>
      </c>
      <c r="L750" cm="1">
        <f t="array" ref="L750">_xlfn.IFS(B750=2015,G750/$P$13,B750=2016,G750/$P$14,B750=2017,G750/$P$15,B750=2018,G750/$P$16,B750=2019,G750/$P$17,B750=2019,G750/$P$18,B750=2020,G750/$P$18,B750=2021,G750/$P$19,B750=2022,G750/$P$20)</f>
        <v>3.9508724361443518E-4</v>
      </c>
    </row>
    <row r="751" spans="1:12" x14ac:dyDescent="0.2">
      <c r="A751">
        <v>3811610</v>
      </c>
      <c r="B751">
        <v>2017</v>
      </c>
      <c r="C751" t="s">
        <v>252</v>
      </c>
      <c r="D751" t="s">
        <v>254</v>
      </c>
      <c r="E751" t="s">
        <v>256</v>
      </c>
      <c r="F751" s="5" t="s">
        <v>21</v>
      </c>
      <c r="G751" s="7">
        <v>29112</v>
      </c>
      <c r="H751" s="7" cm="1">
        <f t="array" ref="H751">_xlfn.IFS(B751=2015,L751*$P$3,B751=2016,L751*$P$4,B751=2017,L751*$P$5,B751=2018,L751*$P$6,B751=2019,L751*$P$7,B751=2020,L751*$P$8,B751=2021,L751*$P$9,B751=2022,L751*$P$10)</f>
        <v>943.46317357225598</v>
      </c>
      <c r="I751" s="7">
        <f t="shared" si="25"/>
        <v>30055.463173572258</v>
      </c>
      <c r="J751">
        <f>IFERROR(VLOOKUP(F751,'LEAID Match'!$A$2:$B$227,2,FALSE),"")</f>
        <v>3811610</v>
      </c>
      <c r="K751">
        <f t="shared" si="24"/>
        <v>8</v>
      </c>
      <c r="L751" cm="1">
        <f t="array" ref="L751">_xlfn.IFS(B751=2015,G751/$P$13,B751=2016,G751/$P$14,B751=2017,G751/$P$15,B751=2018,G751/$P$16,B751=2019,G751/$P$17,B751=2019,G751/$P$18,B751=2020,G751/$P$18,B751=2021,G751/$P$19,B751=2022,G751/$P$20)</f>
        <v>3.3828009091870062E-4</v>
      </c>
    </row>
    <row r="752" spans="1:12" x14ac:dyDescent="0.2">
      <c r="A752">
        <v>3811610</v>
      </c>
      <c r="B752" s="5">
        <v>2018</v>
      </c>
      <c r="C752" t="s">
        <v>252</v>
      </c>
      <c r="D752" t="s">
        <v>254</v>
      </c>
      <c r="E752" t="s">
        <v>256</v>
      </c>
      <c r="F752" s="5" t="s">
        <v>21</v>
      </c>
      <c r="G752" s="7">
        <v>30360</v>
      </c>
      <c r="H752" s="7" cm="1">
        <f t="array" ref="H752">_xlfn.IFS(B752=2015,L752*$P$3,B752=2016,L752*$P$4,B752=2017,L752*$P$5,B752=2018,L752*$P$6,B752=2019,L752*$P$7,B752=2020,L752*$P$8,B752=2021,L752*$P$9,B752=2022,L752*$P$10)</f>
        <v>831.89401228406507</v>
      </c>
      <c r="I752" s="7">
        <f t="shared" si="25"/>
        <v>31191.894012284065</v>
      </c>
      <c r="J752">
        <f>IFERROR(VLOOKUP(F752,'LEAID Match'!$A$2:$B$227,2,FALSE),"")</f>
        <v>3811610</v>
      </c>
      <c r="K752">
        <f t="shared" si="24"/>
        <v>8</v>
      </c>
      <c r="L752" cm="1">
        <f t="array" ref="L752">_xlfn.IFS(B752=2015,G752/$P$13,B752=2016,G752/$P$14,B752=2017,G752/$P$15,B752=2018,G752/$P$16,B752=2019,G752/$P$17,B752=2019,G752/$P$18,B752=2020,G752/$P$18,B752=2021,G752/$P$19,B752=2022,G752/$P$20)</f>
        <v>3.5027116306697478E-4</v>
      </c>
    </row>
    <row r="753" spans="1:12" x14ac:dyDescent="0.2">
      <c r="A753">
        <v>3811610</v>
      </c>
      <c r="B753">
        <v>2019</v>
      </c>
      <c r="C753" t="s">
        <v>252</v>
      </c>
      <c r="D753" t="s">
        <v>254</v>
      </c>
      <c r="E753" t="s">
        <v>256</v>
      </c>
      <c r="F753" s="5" t="s">
        <v>21</v>
      </c>
      <c r="G753" s="7">
        <v>32310</v>
      </c>
      <c r="H753" s="7" cm="1">
        <f t="array" ref="H753">_xlfn.IFS(B753=2015,L753*$P$3,B753=2016,L753*$P$4,B753=2017,L753*$P$5,B753=2018,L753*$P$6,B753=2019,L753*$P$7,B753=2020,L753*$P$8,B753=2021,L753*$P$9,B753=2022,L753*$P$10)</f>
        <v>749.90944143476975</v>
      </c>
      <c r="I753" s="7">
        <f t="shared" si="25"/>
        <v>33059.909441434771</v>
      </c>
      <c r="J753">
        <f>IFERROR(VLOOKUP(F753,'LEAID Match'!$A$2:$B$227,2,FALSE),"")</f>
        <v>3811610</v>
      </c>
      <c r="K753">
        <f t="shared" si="24"/>
        <v>8</v>
      </c>
      <c r="L753" cm="1">
        <f t="array" ref="L753">_xlfn.IFS(B753=2015,G753/$P$13,B753=2016,G753/$P$14,B753=2017,G753/$P$15,B753=2018,G753/$P$16,B753=2019,G753/$P$17,B753=2019,G753/$P$18,B753=2020,G753/$P$18,B753=2021,G753/$P$19,B753=2022,G753/$P$20)</f>
        <v>3.6122805464102587E-4</v>
      </c>
    </row>
    <row r="754" spans="1:12" x14ac:dyDescent="0.2">
      <c r="A754">
        <v>3811610</v>
      </c>
      <c r="B754">
        <v>2020</v>
      </c>
      <c r="C754" t="s">
        <v>252</v>
      </c>
      <c r="D754" t="s">
        <v>254</v>
      </c>
      <c r="E754" t="s">
        <v>256</v>
      </c>
      <c r="F754" s="5" t="s">
        <v>21</v>
      </c>
      <c r="G754" s="7">
        <v>33776</v>
      </c>
      <c r="H754" s="7" cm="1">
        <f t="array" ref="H754">_xlfn.IFS(B754=2015,L754*$P$3,B754=2016,L754*$P$4,B754=2017,L754*$P$5,B754=2018,L754*$P$6,B754=2019,L754*$P$7,B754=2020,L754*$P$8,B754=2021,L754*$P$9,B754=2022,L754*$P$10)</f>
        <v>847.37290290663941</v>
      </c>
      <c r="I754" s="7">
        <f t="shared" si="25"/>
        <v>34623.372902906638</v>
      </c>
      <c r="J754">
        <f>IFERROR(VLOOKUP(F754,'LEAID Match'!$A$2:$B$227,2,FALSE),"")</f>
        <v>3811610</v>
      </c>
      <c r="K754">
        <f t="shared" si="24"/>
        <v>8</v>
      </c>
      <c r="L754" cm="1">
        <f t="array" ref="L754">_xlfn.IFS(B754=2015,G754/$P$13,B754=2016,G754/$P$14,B754=2017,G754/$P$15,B754=2018,G754/$P$16,B754=2019,G754/$P$17,B754=2019,G754/$P$18,B754=2020,G754/$P$18,B754=2021,G754/$P$19,B754=2022,G754/$P$20)</f>
        <v>3.6305608522135363E-4</v>
      </c>
    </row>
    <row r="755" spans="1:12" x14ac:dyDescent="0.2">
      <c r="A755">
        <v>3811610</v>
      </c>
      <c r="B755" s="5">
        <v>2021</v>
      </c>
      <c r="C755" t="s">
        <v>252</v>
      </c>
      <c r="D755" t="s">
        <v>254</v>
      </c>
      <c r="E755" t="s">
        <v>256</v>
      </c>
      <c r="F755" s="5" t="s">
        <v>21</v>
      </c>
      <c r="G755" s="7">
        <v>37127</v>
      </c>
      <c r="H755" s="7" cm="1">
        <f t="array" ref="H755">_xlfn.IFS(B755=2015,L755*$P$3,B755=2016,L755*$P$4,B755=2017,L755*$P$5,B755=2018,L755*$P$6,B755=2019,L755*$P$7,B755=2020,L755*$P$8,B755=2021,L755*$P$9,B755=2022,L755*$P$10)</f>
        <v>1014.4690427763696</v>
      </c>
      <c r="I755" s="7">
        <f t="shared" si="25"/>
        <v>38141.469042776371</v>
      </c>
      <c r="J755">
        <f>IFERROR(VLOOKUP(F755,'LEAID Match'!$A$2:$B$227,2,FALSE),"")</f>
        <v>3811610</v>
      </c>
      <c r="K755">
        <f t="shared" si="24"/>
        <v>8</v>
      </c>
      <c r="L755" cm="1">
        <f t="array" ref="L755">_xlfn.IFS(B755=2015,G755/$P$13,B755=2016,G755/$P$14,B755=2017,G755/$P$15,B755=2018,G755/$P$16,B755=2019,G755/$P$17,B755=2019,G755/$P$18,B755=2020,G755/$P$18,B755=2021,G755/$P$19,B755=2022,G755/$P$20)</f>
        <v>3.7782832133198123E-4</v>
      </c>
    </row>
    <row r="756" spans="1:12" x14ac:dyDescent="0.2">
      <c r="A756">
        <v>3811610</v>
      </c>
      <c r="B756">
        <v>2022</v>
      </c>
      <c r="C756" t="s">
        <v>252</v>
      </c>
      <c r="D756" t="s">
        <v>254</v>
      </c>
      <c r="E756" t="s">
        <v>256</v>
      </c>
      <c r="F756" s="5" t="s">
        <v>21</v>
      </c>
      <c r="G756" s="7">
        <v>36690</v>
      </c>
      <c r="H756" s="7" cm="1">
        <f t="array" ref="H756">_xlfn.IFS(B756=2015,L756*$P$3,B756=2016,L756*$P$4,B756=2017,L756*$P$5,B756=2018,L756*$P$6,B756=2019,L756*$P$7,B756=2020,L756*$P$8,B756=2021,L756*$P$9,B756=2022,L756*$P$10)</f>
        <v>746.73553660359619</v>
      </c>
      <c r="I756" s="7">
        <f t="shared" si="25"/>
        <v>37436.735536603599</v>
      </c>
      <c r="J756">
        <f>IFERROR(VLOOKUP(F756,'LEAID Match'!$A$2:$B$227,2,FALSE),"")</f>
        <v>3811610</v>
      </c>
      <c r="K756">
        <f t="shared" si="24"/>
        <v>8</v>
      </c>
      <c r="L756" cm="1">
        <f t="array" ref="L756">_xlfn.IFS(B756=2015,G756/$P$13,B756=2016,G756/$P$14,B756=2017,G756/$P$15,B756=2018,G756/$P$16,B756=2019,G756/$P$17,B756=2019,G756/$P$18,B756=2020,G756/$P$18,B756=2021,G756/$P$19,B756=2022,G756/$P$20)</f>
        <v>3.656883137138081E-4</v>
      </c>
    </row>
    <row r="757" spans="1:12" x14ac:dyDescent="0.2">
      <c r="A757">
        <v>3880160</v>
      </c>
      <c r="B757">
        <v>2015</v>
      </c>
      <c r="C757" t="s">
        <v>252</v>
      </c>
      <c r="D757" t="s">
        <v>254</v>
      </c>
      <c r="E757" t="s">
        <v>256</v>
      </c>
      <c r="F757" s="5" t="s">
        <v>22</v>
      </c>
      <c r="G757" s="7">
        <v>18410</v>
      </c>
      <c r="H757" s="7" cm="1">
        <f t="array" ref="H757">_xlfn.IFS(B757=2015,L757*$P$3,B757=2016,L757*$P$4,B757=2017,L757*$P$5,B757=2018,L757*$P$6,B757=2019,L757*$P$7,B757=2020,L757*$P$8,B757=2021,L757*$P$9,B757=2022,L757*$P$10)</f>
        <v>416.22106523543744</v>
      </c>
      <c r="I757" s="7">
        <f t="shared" si="25"/>
        <v>18826.221065235437</v>
      </c>
      <c r="J757">
        <f>IFERROR(VLOOKUP(F757,'LEAID Match'!$A$2:$B$227,2,FALSE),"")</f>
        <v>3880160</v>
      </c>
      <c r="K757">
        <f t="shared" si="24"/>
        <v>8</v>
      </c>
      <c r="L757" cm="1">
        <f t="array" ref="L757">_xlfn.IFS(B757=2015,G757/$P$13,B757=2016,G757/$P$14,B757=2017,G757/$P$15,B757=2018,G757/$P$16,B757=2019,G757/$P$17,B757=2019,G757/$P$18,B757=2020,G757/$P$18,B757=2021,G757/$P$19,B757=2022,G757/$P$20)</f>
        <v>2.3475525393989704E-4</v>
      </c>
    </row>
    <row r="758" spans="1:12" x14ac:dyDescent="0.2">
      <c r="A758">
        <v>3880160</v>
      </c>
      <c r="B758">
        <v>2016</v>
      </c>
      <c r="C758" t="s">
        <v>252</v>
      </c>
      <c r="D758" t="s">
        <v>254</v>
      </c>
      <c r="E758" t="s">
        <v>256</v>
      </c>
      <c r="F758" s="5" t="s">
        <v>22</v>
      </c>
      <c r="G758" s="7">
        <v>20152</v>
      </c>
      <c r="H758" s="7" cm="1">
        <f t="array" ref="H758">_xlfn.IFS(B758=2015,L758*$P$3,B758=2016,L758*$P$4,B758=2017,L758*$P$5,B758=2018,L758*$P$6,B758=2019,L758*$P$7,B758=2020,L758*$P$8,B758=2021,L758*$P$9,B758=2022,L758*$P$10)</f>
        <v>684.30254969671569</v>
      </c>
      <c r="I758" s="7">
        <f t="shared" si="25"/>
        <v>20836.302549696717</v>
      </c>
      <c r="J758">
        <f>IFERROR(VLOOKUP(F758,'LEAID Match'!$A$2:$B$227,2,FALSE),"")</f>
        <v>3880160</v>
      </c>
      <c r="K758">
        <f t="shared" si="24"/>
        <v>8</v>
      </c>
      <c r="L758" cm="1">
        <f t="array" ref="L758">_xlfn.IFS(B758=2015,G758/$P$13,B758=2016,G758/$P$14,B758=2017,G758/$P$15,B758=2018,G758/$P$16,B758=2019,G758/$P$17,B758=2019,G758/$P$18,B758=2020,G758/$P$18,B758=2021,G758/$P$19,B758=2022,G758/$P$20)</f>
        <v>2.432643262341684E-4</v>
      </c>
    </row>
    <row r="759" spans="1:12" x14ac:dyDescent="0.2">
      <c r="A759">
        <v>3880160</v>
      </c>
      <c r="B759">
        <v>2017</v>
      </c>
      <c r="C759" t="s">
        <v>252</v>
      </c>
      <c r="D759" t="s">
        <v>254</v>
      </c>
      <c r="E759" t="s">
        <v>256</v>
      </c>
      <c r="F759" s="5" t="s">
        <v>22</v>
      </c>
      <c r="G759" s="7">
        <v>20420</v>
      </c>
      <c r="H759" s="7" cm="1">
        <f t="array" ref="H759">_xlfn.IFS(B759=2015,L759*$P$3,B759=2016,L759*$P$4,B759=2017,L759*$P$5,B759=2018,L759*$P$6,B759=2019,L759*$P$7,B759=2020,L759*$P$8,B759=2021,L759*$P$9,B759=2022,L759*$P$10)</f>
        <v>661.77239641197673</v>
      </c>
      <c r="I759" s="7">
        <f t="shared" si="25"/>
        <v>21081.772396411976</v>
      </c>
      <c r="J759">
        <f>IFERROR(VLOOKUP(F759,'LEAID Match'!$A$2:$B$227,2,FALSE),"")</f>
        <v>3880160</v>
      </c>
      <c r="K759">
        <f t="shared" si="24"/>
        <v>8</v>
      </c>
      <c r="L759" cm="1">
        <f t="array" ref="L759">_xlfn.IFS(B759=2015,G759/$P$13,B759=2016,G759/$P$14,B759=2017,G759/$P$15,B759=2018,G759/$P$16,B759=2019,G759/$P$17,B759=2019,G759/$P$18,B759=2020,G759/$P$18,B759=2021,G759/$P$19,B759=2022,G759/$P$20)</f>
        <v>2.3727945371530181E-4</v>
      </c>
    </row>
    <row r="760" spans="1:12" x14ac:dyDescent="0.2">
      <c r="A760">
        <v>3880160</v>
      </c>
      <c r="B760" s="5">
        <v>2018</v>
      </c>
      <c r="C760" t="s">
        <v>252</v>
      </c>
      <c r="D760" t="s">
        <v>254</v>
      </c>
      <c r="E760" t="s">
        <v>256</v>
      </c>
      <c r="F760" s="5" t="s">
        <v>22</v>
      </c>
      <c r="G760" s="7">
        <v>27333</v>
      </c>
      <c r="H760" s="7" cm="1">
        <f t="array" ref="H760">_xlfn.IFS(B760=2015,L760*$P$3,B760=2016,L760*$P$4,B760=2017,L760*$P$5,B760=2018,L760*$P$6,B760=2019,L760*$P$7,B760=2020,L760*$P$8,B760=2021,L760*$P$9,B760=2022,L760*$P$10)</f>
        <v>748.9512199525808</v>
      </c>
      <c r="I760" s="7">
        <f t="shared" si="25"/>
        <v>28081.951219952582</v>
      </c>
      <c r="J760">
        <f>IFERROR(VLOOKUP(F760,'LEAID Match'!$A$2:$B$227,2,FALSE),"")</f>
        <v>3880160</v>
      </c>
      <c r="K760">
        <f t="shared" si="24"/>
        <v>8</v>
      </c>
      <c r="L760" cm="1">
        <f t="array" ref="L760">_xlfn.IFS(B760=2015,G760/$P$13,B760=2016,G760/$P$14,B760=2017,G760/$P$15,B760=2018,G760/$P$16,B760=2019,G760/$P$17,B760=2019,G760/$P$18,B760=2020,G760/$P$18,B760=2021,G760/$P$19,B760=2022,G760/$P$20)</f>
        <v>3.1534788208529717E-4</v>
      </c>
    </row>
    <row r="761" spans="1:12" x14ac:dyDescent="0.2">
      <c r="A761">
        <v>3880160</v>
      </c>
      <c r="B761">
        <v>2019</v>
      </c>
      <c r="C761" t="s">
        <v>252</v>
      </c>
      <c r="D761" t="s">
        <v>254</v>
      </c>
      <c r="E761" t="s">
        <v>256</v>
      </c>
      <c r="F761" s="5" t="s">
        <v>22</v>
      </c>
      <c r="G761" s="7">
        <v>21907</v>
      </c>
      <c r="H761" s="7" cm="1">
        <f t="array" ref="H761">_xlfn.IFS(B761=2015,L761*$P$3,B761=2016,L761*$P$4,B761=2017,L761*$P$5,B761=2018,L761*$P$6,B761=2019,L761*$P$7,B761=2020,L761*$P$8,B761=2021,L761*$P$9,B761=2022,L761*$P$10)</f>
        <v>508.45763334916433</v>
      </c>
      <c r="I761" s="7">
        <f t="shared" si="25"/>
        <v>22415.457633349164</v>
      </c>
      <c r="J761">
        <f>IFERROR(VLOOKUP(F761,'LEAID Match'!$A$2:$B$227,2,FALSE),"")</f>
        <v>3880160</v>
      </c>
      <c r="K761">
        <f t="shared" si="24"/>
        <v>8</v>
      </c>
      <c r="L761" cm="1">
        <f t="array" ref="L761">_xlfn.IFS(B761=2015,G761/$P$13,B761=2016,G761/$P$14,B761=2017,G761/$P$15,B761=2018,G761/$P$16,B761=2019,G761/$P$17,B761=2019,G761/$P$18,B761=2020,G761/$P$18,B761=2021,G761/$P$19,B761=2022,G761/$P$20)</f>
        <v>2.4492178870383639E-4</v>
      </c>
    </row>
    <row r="762" spans="1:12" x14ac:dyDescent="0.2">
      <c r="A762">
        <v>3880160</v>
      </c>
      <c r="B762">
        <v>2020</v>
      </c>
      <c r="C762" t="s">
        <v>252</v>
      </c>
      <c r="D762" t="s">
        <v>254</v>
      </c>
      <c r="E762" t="s">
        <v>256</v>
      </c>
      <c r="F762" s="5" t="s">
        <v>22</v>
      </c>
      <c r="G762" s="7">
        <v>29096</v>
      </c>
      <c r="H762" s="7" cm="1">
        <f t="array" ref="H762">_xlfn.IFS(B762=2015,L762*$P$3,B762=2016,L762*$P$4,B762=2017,L762*$P$5,B762=2018,L762*$P$6,B762=2019,L762*$P$7,B762=2020,L762*$P$8,B762=2021,L762*$P$9,B762=2022,L762*$P$10)</f>
        <v>729.96097770522192</v>
      </c>
      <c r="I762" s="7">
        <f t="shared" si="25"/>
        <v>29825.960977705221</v>
      </c>
      <c r="J762">
        <f>IFERROR(VLOOKUP(F762,'LEAID Match'!$A$2:$B$227,2,FALSE),"")</f>
        <v>3880160</v>
      </c>
      <c r="K762">
        <f t="shared" si="24"/>
        <v>8</v>
      </c>
      <c r="L762" cm="1">
        <f t="array" ref="L762">_xlfn.IFS(B762=2015,G762/$P$13,B762=2016,G762/$P$14,B762=2017,G762/$P$15,B762=2018,G762/$P$16,B762=2019,G762/$P$17,B762=2019,G762/$P$18,B762=2020,G762/$P$18,B762=2021,G762/$P$19,B762=2022,G762/$P$20)</f>
        <v>3.1275106157036074E-4</v>
      </c>
    </row>
    <row r="763" spans="1:12" x14ac:dyDescent="0.2">
      <c r="A763">
        <v>3880160</v>
      </c>
      <c r="B763" s="5">
        <v>2021</v>
      </c>
      <c r="C763" t="s">
        <v>252</v>
      </c>
      <c r="D763" t="s">
        <v>254</v>
      </c>
      <c r="E763" t="s">
        <v>256</v>
      </c>
      <c r="F763" s="5" t="s">
        <v>22</v>
      </c>
      <c r="G763" s="7">
        <v>17298</v>
      </c>
      <c r="H763" s="7" cm="1">
        <f t="array" ref="H763">_xlfn.IFS(B763=2015,L763*$P$3,B763=2016,L763*$P$4,B763=2017,L763*$P$5,B763=2018,L763*$P$6,B763=2019,L763*$P$7,B763=2020,L763*$P$8,B763=2021,L763*$P$9,B763=2022,L763*$P$10)</f>
        <v>472.6556280320425</v>
      </c>
      <c r="I763" s="7">
        <f t="shared" si="25"/>
        <v>17770.655628032044</v>
      </c>
      <c r="J763">
        <f>IFERROR(VLOOKUP(F763,'LEAID Match'!$A$2:$B$227,2,FALSE),"")</f>
        <v>3880160</v>
      </c>
      <c r="K763">
        <f t="shared" si="24"/>
        <v>8</v>
      </c>
      <c r="L763" cm="1">
        <f t="array" ref="L763">_xlfn.IFS(B763=2015,G763/$P$13,B763=2016,G763/$P$14,B763=2017,G763/$P$15,B763=2018,G763/$P$16,B763=2019,G763/$P$17,B763=2019,G763/$P$18,B763=2020,G763/$P$18,B763=2021,G763/$P$19,B763=2022,G763/$P$20)</f>
        <v>1.76035615654392E-4</v>
      </c>
    </row>
    <row r="764" spans="1:12" x14ac:dyDescent="0.2">
      <c r="A764">
        <v>3880160</v>
      </c>
      <c r="B764">
        <v>2022</v>
      </c>
      <c r="C764" t="s">
        <v>252</v>
      </c>
      <c r="D764" t="s">
        <v>254</v>
      </c>
      <c r="E764" t="s">
        <v>256</v>
      </c>
      <c r="F764" s="5" t="s">
        <v>22</v>
      </c>
      <c r="G764" s="5"/>
      <c r="H764" s="7" cm="1">
        <f t="array" ref="H764">_xlfn.IFS(B764=2015,L764*$P$3,B764=2016,L764*$P$4,B764=2017,L764*$P$5,B764=2018,L764*$P$6,B764=2019,L764*$P$7,B764=2020,L764*$P$8,B764=2021,L764*$P$9,B764=2022,L764*$P$10)</f>
        <v>0</v>
      </c>
      <c r="I764" s="7">
        <f t="shared" si="25"/>
        <v>0</v>
      </c>
      <c r="J764">
        <f>IFERROR(VLOOKUP(F764,'LEAID Match'!$A$2:$B$227,2,FALSE),"")</f>
        <v>3880160</v>
      </c>
      <c r="K764">
        <f t="shared" si="24"/>
        <v>8</v>
      </c>
      <c r="L764" cm="1">
        <f t="array" ref="L764">_xlfn.IFS(B764=2015,G764/$P$13,B764=2016,G764/$P$14,B764=2017,G764/$P$15,B764=2018,G764/$P$16,B764=2019,G764/$P$17,B764=2019,G764/$P$18,B764=2020,G764/$P$18,B764=2021,G764/$P$19,B764=2022,G764/$P$20)</f>
        <v>0</v>
      </c>
    </row>
    <row r="765" spans="1:12" x14ac:dyDescent="0.2">
      <c r="A765">
        <v>3811700</v>
      </c>
      <c r="B765">
        <v>2015</v>
      </c>
      <c r="C765" t="s">
        <v>252</v>
      </c>
      <c r="D765" t="s">
        <v>254</v>
      </c>
      <c r="E765" t="s">
        <v>256</v>
      </c>
      <c r="F765" s="5" t="s">
        <v>222</v>
      </c>
      <c r="G765" s="7">
        <v>123838</v>
      </c>
      <c r="H765" s="7" cm="1">
        <f t="array" ref="H765">_xlfn.IFS(B765=2015,L765*$P$3,B765=2016,L765*$P$4,B765=2017,L765*$P$5,B765=2018,L765*$P$6,B765=2019,L765*$P$7,B765=2020,L765*$P$8,B765=2021,L765*$P$9,B765=2022,L765*$P$10)</f>
        <v>2799.7818727119011</v>
      </c>
      <c r="I765" s="7">
        <f t="shared" si="25"/>
        <v>126637.7818727119</v>
      </c>
      <c r="J765">
        <f>IFERROR(VLOOKUP(F765,'LEAID Match'!$A$2:$B$227,2,FALSE),"")</f>
        <v>3811700</v>
      </c>
      <c r="K765">
        <f t="shared" si="24"/>
        <v>8</v>
      </c>
      <c r="L765" cm="1">
        <f t="array" ref="L765">_xlfn.IFS(B765=2015,G765/$P$13,B765=2016,G765/$P$14,B765=2017,G765/$P$15,B765=2018,G765/$P$16,B765=2019,G765/$P$17,B765=2019,G765/$P$18,B765=2020,G765/$P$18,B765=2021,G765/$P$19,B765=2022,G765/$P$20)</f>
        <v>1.5791211916028772E-3</v>
      </c>
    </row>
    <row r="766" spans="1:12" x14ac:dyDescent="0.2">
      <c r="A766">
        <v>3811700</v>
      </c>
      <c r="B766">
        <v>2016</v>
      </c>
      <c r="C766" t="s">
        <v>252</v>
      </c>
      <c r="D766" t="s">
        <v>254</v>
      </c>
      <c r="E766" t="s">
        <v>256</v>
      </c>
      <c r="F766" s="5" t="s">
        <v>222</v>
      </c>
      <c r="G766" s="7">
        <v>125378</v>
      </c>
      <c r="H766" s="7" cm="1">
        <f t="array" ref="H766">_xlfn.IFS(B766=2015,L766*$P$3,B766=2016,L766*$P$4,B766=2017,L766*$P$5,B766=2018,L766*$P$6,B766=2019,L766*$P$7,B766=2020,L766*$P$8,B766=2021,L766*$P$9,B766=2022,L766*$P$10)</f>
        <v>4257.467500787754</v>
      </c>
      <c r="I766" s="7">
        <f t="shared" si="25"/>
        <v>129635.46750078775</v>
      </c>
      <c r="J766">
        <f>IFERROR(VLOOKUP(F766,'LEAID Match'!$A$2:$B$227,2,FALSE),"")</f>
        <v>3811700</v>
      </c>
      <c r="K766">
        <f t="shared" si="24"/>
        <v>8</v>
      </c>
      <c r="L766" cm="1">
        <f t="array" ref="L766">_xlfn.IFS(B766=2015,G766/$P$13,B766=2016,G766/$P$14,B766=2017,G766/$P$15,B766=2018,G766/$P$16,B766=2019,G766/$P$17,B766=2019,G766/$P$18,B766=2020,G766/$P$18,B766=2021,G766/$P$19,B766=2022,G766/$P$20)</f>
        <v>1.5134971563411854E-3</v>
      </c>
    </row>
    <row r="767" spans="1:12" x14ac:dyDescent="0.2">
      <c r="A767">
        <v>3811700</v>
      </c>
      <c r="B767">
        <v>2017</v>
      </c>
      <c r="C767" t="s">
        <v>252</v>
      </c>
      <c r="D767" t="s">
        <v>254</v>
      </c>
      <c r="E767" t="s">
        <v>256</v>
      </c>
      <c r="F767" s="5" t="s">
        <v>222</v>
      </c>
      <c r="G767" s="7">
        <v>122867</v>
      </c>
      <c r="H767" s="7" cm="1">
        <f t="array" ref="H767">_xlfn.IFS(B767=2015,L767*$P$3,B767=2016,L767*$P$4,B767=2017,L767*$P$5,B767=2018,L767*$P$6,B767=2019,L767*$P$7,B767=2020,L767*$P$8,B767=2021,L767*$P$9,B767=2022,L767*$P$10)</f>
        <v>3981.8799720837583</v>
      </c>
      <c r="I767" s="7">
        <f t="shared" si="25"/>
        <v>126848.87997208376</v>
      </c>
      <c r="J767">
        <f>IFERROR(VLOOKUP(F767,'LEAID Match'!$A$2:$B$227,2,FALSE),"")</f>
        <v>3811700</v>
      </c>
      <c r="K767">
        <f t="shared" si="24"/>
        <v>8</v>
      </c>
      <c r="L767" cm="1">
        <f t="array" ref="L767">_xlfn.IFS(B767=2015,G767/$P$13,B767=2016,G767/$P$14,B767=2017,G767/$P$15,B767=2018,G767/$P$16,B767=2019,G767/$P$17,B767=2019,G767/$P$18,B767=2020,G767/$P$18,B767=2021,G767/$P$19,B767=2022,G767/$P$20)</f>
        <v>1.4277088462114587E-3</v>
      </c>
    </row>
    <row r="768" spans="1:12" x14ac:dyDescent="0.2">
      <c r="A768">
        <v>3811700</v>
      </c>
      <c r="B768" s="5">
        <v>2018</v>
      </c>
      <c r="C768" t="s">
        <v>252</v>
      </c>
      <c r="D768" t="s">
        <v>254</v>
      </c>
      <c r="E768" t="s">
        <v>256</v>
      </c>
      <c r="F768" s="5" t="s">
        <v>222</v>
      </c>
      <c r="G768" s="7">
        <v>116390</v>
      </c>
      <c r="H768" s="7" cm="1">
        <f t="array" ref="H768">_xlfn.IFS(B768=2015,L768*$P$3,B768=2016,L768*$P$4,B768=2017,L768*$P$5,B768=2018,L768*$P$6,B768=2019,L768*$P$7,B768=2020,L768*$P$8,B768=2021,L768*$P$9,B768=2022,L768*$P$10)</f>
        <v>3189.2010569743852</v>
      </c>
      <c r="I768" s="7">
        <f t="shared" si="25"/>
        <v>119579.20105697439</v>
      </c>
      <c r="J768">
        <f>IFERROR(VLOOKUP(F768,'LEAID Match'!$A$2:$B$227,2,FALSE),"")</f>
        <v>3811700</v>
      </c>
      <c r="K768">
        <f t="shared" si="24"/>
        <v>8</v>
      </c>
      <c r="L768" cm="1">
        <f t="array" ref="L768">_xlfn.IFS(B768=2015,G768/$P$13,B768=2016,G768/$P$14,B768=2017,G768/$P$15,B768=2018,G768/$P$16,B768=2019,G768/$P$17,B768=2019,G768/$P$18,B768=2020,G768/$P$18,B768=2021,G768/$P$19,B768=2022,G768/$P$20)</f>
        <v>1.3428214976734254E-3</v>
      </c>
    </row>
    <row r="769" spans="1:12" x14ac:dyDescent="0.2">
      <c r="A769">
        <v>3811700</v>
      </c>
      <c r="B769">
        <v>2019</v>
      </c>
      <c r="C769" t="s">
        <v>252</v>
      </c>
      <c r="D769" t="s">
        <v>254</v>
      </c>
      <c r="E769" t="s">
        <v>256</v>
      </c>
      <c r="F769" s="5" t="s">
        <v>222</v>
      </c>
      <c r="G769" s="7">
        <v>120756</v>
      </c>
      <c r="H769" s="7" cm="1">
        <f t="array" ref="H769">_xlfn.IFS(B769=2015,L769*$P$3,B769=2016,L769*$P$4,B769=2017,L769*$P$5,B769=2018,L769*$P$6,B769=2019,L769*$P$7,B769=2020,L769*$P$8,B769=2021,L769*$P$9,B769=2022,L769*$P$10)</f>
        <v>2802.7256115721775</v>
      </c>
      <c r="I769" s="7">
        <f t="shared" si="25"/>
        <v>123558.72561157218</v>
      </c>
      <c r="J769">
        <f>IFERROR(VLOOKUP(F769,'LEAID Match'!$A$2:$B$227,2,FALSE),"")</f>
        <v>3811700</v>
      </c>
      <c r="K769">
        <f t="shared" si="24"/>
        <v>8</v>
      </c>
      <c r="L769" cm="1">
        <f t="array" ref="L769">_xlfn.IFS(B769=2015,G769/$P$13,B769=2016,G769/$P$14,B769=2017,G769/$P$15,B769=2018,G769/$P$16,B769=2019,G769/$P$17,B769=2019,G769/$P$18,B769=2020,G769/$P$18,B769=2021,G769/$P$19,B769=2022,G769/$P$20)</f>
        <v>1.3500605065376577E-3</v>
      </c>
    </row>
    <row r="770" spans="1:12" x14ac:dyDescent="0.2">
      <c r="A770">
        <v>3811700</v>
      </c>
      <c r="B770">
        <v>2020</v>
      </c>
      <c r="C770" t="s">
        <v>252</v>
      </c>
      <c r="D770" t="s">
        <v>254</v>
      </c>
      <c r="E770" t="s">
        <v>256</v>
      </c>
      <c r="F770" s="5" t="s">
        <v>222</v>
      </c>
      <c r="G770" s="7">
        <v>123147</v>
      </c>
      <c r="H770" s="7" cm="1">
        <f t="array" ref="H770">_xlfn.IFS(B770=2015,L770*$P$3,B770=2016,L770*$P$4,B770=2017,L770*$P$5,B770=2018,L770*$P$6,B770=2019,L770*$P$7,B770=2020,L770*$P$8,B770=2021,L770*$P$9,B770=2022,L770*$P$10)</f>
        <v>3089.5141779442179</v>
      </c>
      <c r="I770" s="7">
        <f t="shared" si="25"/>
        <v>126236.51417794422</v>
      </c>
      <c r="J770">
        <f>IFERROR(VLOOKUP(F770,'LEAID Match'!$A$2:$B$227,2,FALSE),"")</f>
        <v>3811700</v>
      </c>
      <c r="K770">
        <f t="shared" ref="K770:K833" si="26">COUNTIF($A$2:$A$1757,A770)</f>
        <v>8</v>
      </c>
      <c r="L770" cm="1">
        <f t="array" ref="L770">_xlfn.IFS(B770=2015,G770/$P$13,B770=2016,G770/$P$14,B770=2017,G770/$P$15,B770=2018,G770/$P$16,B770=2019,G770/$P$17,B770=2019,G770/$P$18,B770=2020,G770/$P$18,B770=2021,G770/$P$19,B770=2022,G770/$P$20)</f>
        <v>1.3236993050317987E-3</v>
      </c>
    </row>
    <row r="771" spans="1:12" x14ac:dyDescent="0.2">
      <c r="A771">
        <v>3811700</v>
      </c>
      <c r="B771" s="5">
        <v>2021</v>
      </c>
      <c r="C771" t="s">
        <v>252</v>
      </c>
      <c r="D771" t="s">
        <v>254</v>
      </c>
      <c r="E771" t="s">
        <v>256</v>
      </c>
      <c r="F771" s="5" t="s">
        <v>222</v>
      </c>
      <c r="G771" s="7">
        <v>114040</v>
      </c>
      <c r="H771" s="7" cm="1">
        <f t="array" ref="H771">_xlfn.IFS(B771=2015,L771*$P$3,B771=2016,L771*$P$4,B771=2017,L771*$P$5,B771=2018,L771*$P$6,B771=2019,L771*$P$7,B771=2020,L771*$P$8,B771=2021,L771*$P$9,B771=2022,L771*$P$10)</f>
        <v>3116.062424602505</v>
      </c>
      <c r="I771" s="7">
        <f t="shared" ref="I771:I834" si="27">SUM(G771:H771)</f>
        <v>117156.06242460251</v>
      </c>
      <c r="J771">
        <f>IFERROR(VLOOKUP(F771,'LEAID Match'!$A$2:$B$227,2,FALSE),"")</f>
        <v>3811700</v>
      </c>
      <c r="K771">
        <f t="shared" si="26"/>
        <v>8</v>
      </c>
      <c r="L771" cm="1">
        <f t="array" ref="L771">_xlfn.IFS(B771=2015,G771/$P$13,B771=2016,G771/$P$14,B771=2017,G771/$P$15,B771=2018,G771/$P$16,B771=2019,G771/$P$17,B771=2019,G771/$P$18,B771=2020,G771/$P$18,B771=2021,G771/$P$19,B771=2022,G771/$P$20)</f>
        <v>1.1605446646564264E-3</v>
      </c>
    </row>
    <row r="772" spans="1:12" x14ac:dyDescent="0.2">
      <c r="A772">
        <v>3811700</v>
      </c>
      <c r="B772">
        <v>2022</v>
      </c>
      <c r="C772" t="s">
        <v>252</v>
      </c>
      <c r="D772" t="s">
        <v>254</v>
      </c>
      <c r="E772" t="s">
        <v>256</v>
      </c>
      <c r="F772" s="5" t="s">
        <v>222</v>
      </c>
      <c r="G772" s="7">
        <v>111428</v>
      </c>
      <c r="H772" s="7" cm="1">
        <f t="array" ref="H772">_xlfn.IFS(B772=2015,L772*$P$3,B772=2016,L772*$P$4,B772=2017,L772*$P$5,B772=2018,L772*$P$6,B772=2019,L772*$P$7,B772=2020,L772*$P$8,B772=2021,L772*$P$9,B772=2022,L772*$P$10)</f>
        <v>2267.8453903697337</v>
      </c>
      <c r="I772" s="7">
        <f t="shared" si="27"/>
        <v>113695.84539036974</v>
      </c>
      <c r="J772">
        <f>IFERROR(VLOOKUP(F772,'LEAID Match'!$A$2:$B$227,2,FALSE),"")</f>
        <v>3811700</v>
      </c>
      <c r="K772">
        <f t="shared" si="26"/>
        <v>8</v>
      </c>
      <c r="L772" cm="1">
        <f t="array" ref="L772">_xlfn.IFS(B772=2015,G772/$P$13,B772=2016,G772/$P$14,B772=2017,G772/$P$15,B772=2018,G772/$P$16,B772=2019,G772/$P$17,B772=2019,G772/$P$18,B772=2020,G772/$P$18,B772=2021,G772/$P$19,B772=2022,G772/$P$20)</f>
        <v>1.1106000932270977E-3</v>
      </c>
    </row>
    <row r="773" spans="1:12" x14ac:dyDescent="0.2">
      <c r="A773">
        <v>3811820</v>
      </c>
      <c r="B773">
        <v>2015</v>
      </c>
      <c r="C773" t="s">
        <v>252</v>
      </c>
      <c r="D773" t="s">
        <v>254</v>
      </c>
      <c r="E773" t="s">
        <v>256</v>
      </c>
      <c r="F773" s="5" t="s">
        <v>23</v>
      </c>
      <c r="G773" s="7">
        <v>2308472</v>
      </c>
      <c r="H773" s="7" cm="1">
        <f t="array" ref="H773">_xlfn.IFS(B773=2015,L773*$P$3,B773=2016,L773*$P$4,B773=2017,L773*$P$5,B773=2018,L773*$P$6,B773=2019,L773*$P$7,B773=2020,L773*$P$8,B773=2021,L773*$P$9,B773=2022,L773*$P$10)</f>
        <v>52190.911184474782</v>
      </c>
      <c r="I773" s="7">
        <f t="shared" si="27"/>
        <v>2360662.9111844748</v>
      </c>
      <c r="J773">
        <f>IFERROR(VLOOKUP(F773,'LEAID Match'!$A$2:$B$227,2,FALSE),"")</f>
        <v>3811820</v>
      </c>
      <c r="K773">
        <f t="shared" si="26"/>
        <v>8</v>
      </c>
      <c r="L773" cm="1">
        <f t="array" ref="L773">_xlfn.IFS(B773=2015,G773/$P$13,B773=2016,G773/$P$14,B773=2017,G773/$P$15,B773=2018,G773/$P$16,B773=2019,G773/$P$17,B773=2019,G773/$P$18,B773=2020,G773/$P$18,B773=2021,G773/$P$19,B773=2022,G773/$P$20)</f>
        <v>2.9436498129991419E-2</v>
      </c>
    </row>
    <row r="774" spans="1:12" x14ac:dyDescent="0.2">
      <c r="A774">
        <v>3811820</v>
      </c>
      <c r="B774">
        <v>2016</v>
      </c>
      <c r="C774" t="s">
        <v>252</v>
      </c>
      <c r="D774" t="s">
        <v>254</v>
      </c>
      <c r="E774" t="s">
        <v>256</v>
      </c>
      <c r="F774" s="5" t="s">
        <v>23</v>
      </c>
      <c r="G774" s="7">
        <v>2461089</v>
      </c>
      <c r="H774" s="7" cm="1">
        <f t="array" ref="H774">_xlfn.IFS(B774=2015,L774*$P$3,B774=2016,L774*$P$4,B774=2017,L774*$P$5,B774=2018,L774*$P$6,B774=2019,L774*$P$7,B774=2020,L774*$P$8,B774=2021,L774*$P$9,B774=2022,L774*$P$10)</f>
        <v>83571.331765112176</v>
      </c>
      <c r="I774" s="7">
        <f t="shared" si="27"/>
        <v>2544660.331765112</v>
      </c>
      <c r="J774">
        <f>IFERROR(VLOOKUP(F774,'LEAID Match'!$A$2:$B$227,2,FALSE),"")</f>
        <v>3811820</v>
      </c>
      <c r="K774">
        <f t="shared" si="26"/>
        <v>8</v>
      </c>
      <c r="L774" cm="1">
        <f t="array" ref="L774">_xlfn.IFS(B774=2015,G774/$P$13,B774=2016,G774/$P$14,B774=2017,G774/$P$15,B774=2018,G774/$P$16,B774=2019,G774/$P$17,B774=2019,G774/$P$18,B774=2020,G774/$P$18,B774=2021,G774/$P$19,B774=2022,G774/$P$20)</f>
        <v>2.9708969699648834E-2</v>
      </c>
    </row>
    <row r="775" spans="1:12" x14ac:dyDescent="0.2">
      <c r="A775">
        <v>3811820</v>
      </c>
      <c r="B775">
        <v>2017</v>
      </c>
      <c r="C775" t="s">
        <v>252</v>
      </c>
      <c r="D775" t="s">
        <v>254</v>
      </c>
      <c r="E775" t="s">
        <v>256</v>
      </c>
      <c r="F775" s="5" t="s">
        <v>23</v>
      </c>
      <c r="G775" s="7">
        <v>2567370</v>
      </c>
      <c r="H775" s="7" cm="1">
        <f t="array" ref="H775">_xlfn.IFS(B775=2015,L775*$P$3,B775=2016,L775*$P$4,B775=2017,L775*$P$5,B775=2018,L775*$P$6,B775=2019,L775*$P$7,B775=2020,L775*$P$8,B775=2021,L775*$P$9,B775=2022,L775*$P$10)</f>
        <v>83203.457266220212</v>
      </c>
      <c r="I775" s="7">
        <f t="shared" si="27"/>
        <v>2650573.4572662204</v>
      </c>
      <c r="J775">
        <f>IFERROR(VLOOKUP(F775,'LEAID Match'!$A$2:$B$227,2,FALSE),"")</f>
        <v>3811820</v>
      </c>
      <c r="K775">
        <f t="shared" si="26"/>
        <v>8</v>
      </c>
      <c r="L775" cm="1">
        <f t="array" ref="L775">_xlfn.IFS(B775=2015,G775/$P$13,B775=2016,G775/$P$14,B775=2017,G775/$P$15,B775=2018,G775/$P$16,B775=2019,G775/$P$17,B775=2019,G775/$P$18,B775=2020,G775/$P$18,B775=2021,G775/$P$19,B775=2022,G775/$P$20)</f>
        <v>2.983272042532098E-2</v>
      </c>
    </row>
    <row r="776" spans="1:12" x14ac:dyDescent="0.2">
      <c r="A776">
        <v>3811820</v>
      </c>
      <c r="B776" s="5">
        <v>2018</v>
      </c>
      <c r="C776" t="s">
        <v>252</v>
      </c>
      <c r="D776" t="s">
        <v>254</v>
      </c>
      <c r="E776" t="s">
        <v>256</v>
      </c>
      <c r="F776" s="5" t="s">
        <v>23</v>
      </c>
      <c r="G776" s="7">
        <v>2577460</v>
      </c>
      <c r="H776" s="7" cm="1">
        <f t="array" ref="H776">_xlfn.IFS(B776=2015,L776*$P$3,B776=2016,L776*$P$4,B776=2017,L776*$P$5,B776=2018,L776*$P$6,B776=2019,L776*$P$7,B776=2020,L776*$P$8,B776=2021,L776*$P$9,B776=2022,L776*$P$10)</f>
        <v>70624.951940108251</v>
      </c>
      <c r="I776" s="7">
        <f t="shared" si="27"/>
        <v>2648084.9519401081</v>
      </c>
      <c r="J776">
        <f>IFERROR(VLOOKUP(F776,'LEAID Match'!$A$2:$B$227,2,FALSE),"")</f>
        <v>3811820</v>
      </c>
      <c r="K776">
        <f t="shared" si="26"/>
        <v>8</v>
      </c>
      <c r="L776" cm="1">
        <f t="array" ref="L776">_xlfn.IFS(B776=2015,G776/$P$13,B776=2016,G776/$P$14,B776=2017,G776/$P$15,B776=2018,G776/$P$16,B776=2019,G776/$P$17,B776=2019,G776/$P$18,B776=2020,G776/$P$18,B776=2021,G776/$P$19,B776=2022,G776/$P$20)</f>
        <v>2.9736821869519262E-2</v>
      </c>
    </row>
    <row r="777" spans="1:12" x14ac:dyDescent="0.2">
      <c r="A777">
        <v>3811820</v>
      </c>
      <c r="B777">
        <v>2019</v>
      </c>
      <c r="C777" t="s">
        <v>252</v>
      </c>
      <c r="D777" t="s">
        <v>254</v>
      </c>
      <c r="E777" t="s">
        <v>256</v>
      </c>
      <c r="F777" s="5" t="s">
        <v>23</v>
      </c>
      <c r="G777" s="7">
        <v>2682303</v>
      </c>
      <c r="H777" s="7" cm="1">
        <f t="array" ref="H777">_xlfn.IFS(B777=2015,L777*$P$3,B777=2016,L777*$P$4,B777=2017,L777*$P$5,B777=2018,L777*$P$6,B777=2019,L777*$P$7,B777=2020,L777*$P$8,B777=2021,L777*$P$9,B777=2022,L777*$P$10)</f>
        <v>62255.78286873435</v>
      </c>
      <c r="I777" s="7">
        <f t="shared" si="27"/>
        <v>2744558.7828687346</v>
      </c>
      <c r="J777">
        <f>IFERROR(VLOOKUP(F777,'LEAID Match'!$A$2:$B$227,2,FALSE),"")</f>
        <v>3811820</v>
      </c>
      <c r="K777">
        <f t="shared" si="26"/>
        <v>8</v>
      </c>
      <c r="L777" cm="1">
        <f t="array" ref="L777">_xlfn.IFS(B777=2015,G777/$P$13,B777=2016,G777/$P$14,B777=2017,G777/$P$15,B777=2018,G777/$P$16,B777=2019,G777/$P$17,B777=2019,G777/$P$18,B777=2020,G777/$P$18,B777=2021,G777/$P$19,B777=2022,G777/$P$20)</f>
        <v>2.9988334715189958E-2</v>
      </c>
    </row>
    <row r="778" spans="1:12" x14ac:dyDescent="0.2">
      <c r="A778">
        <v>3811820</v>
      </c>
      <c r="B778">
        <v>2020</v>
      </c>
      <c r="C778" t="s">
        <v>252</v>
      </c>
      <c r="D778" t="s">
        <v>254</v>
      </c>
      <c r="E778" t="s">
        <v>256</v>
      </c>
      <c r="F778" s="5" t="s">
        <v>23</v>
      </c>
      <c r="G778" s="7">
        <v>2816700</v>
      </c>
      <c r="H778" s="7" cm="1">
        <f t="array" ref="H778">_xlfn.IFS(B778=2015,L778*$P$3,B778=2016,L778*$P$4,B778=2017,L778*$P$5,B778=2018,L778*$P$6,B778=2019,L778*$P$7,B778=2020,L778*$P$8,B778=2021,L778*$P$9,B778=2022,L778*$P$10)</f>
        <v>70665.420879237645</v>
      </c>
      <c r="I778" s="7">
        <f t="shared" si="27"/>
        <v>2887365.4208792378</v>
      </c>
      <c r="J778">
        <f>IFERROR(VLOOKUP(F778,'LEAID Match'!$A$2:$B$227,2,FALSE),"")</f>
        <v>3811820</v>
      </c>
      <c r="K778">
        <f t="shared" si="26"/>
        <v>8</v>
      </c>
      <c r="L778" cm="1">
        <f t="array" ref="L778">_xlfn.IFS(B778=2015,G778/$P$13,B778=2016,G778/$P$14,B778=2017,G778/$P$15,B778=2018,G778/$P$16,B778=2019,G778/$P$17,B778=2019,G778/$P$18,B778=2020,G778/$P$18,B778=2021,G778/$P$19,B778=2022,G778/$P$20)</f>
        <v>3.0276529939690509E-2</v>
      </c>
    </row>
    <row r="779" spans="1:12" x14ac:dyDescent="0.2">
      <c r="A779">
        <v>3811820</v>
      </c>
      <c r="B779" s="5">
        <v>2021</v>
      </c>
      <c r="C779" t="s">
        <v>252</v>
      </c>
      <c r="D779" t="s">
        <v>254</v>
      </c>
      <c r="E779" t="s">
        <v>256</v>
      </c>
      <c r="F779" s="5" t="s">
        <v>23</v>
      </c>
      <c r="G779" s="7">
        <v>2971959</v>
      </c>
      <c r="H779" s="7" cm="1">
        <f t="array" ref="H779">_xlfn.IFS(B779=2015,L779*$P$3,B779=2016,L779*$P$4,B779=2017,L779*$P$5,B779=2018,L779*$P$6,B779=2019,L779*$P$7,B779=2020,L779*$P$8,B779=2021,L779*$P$9,B779=2022,L779*$P$10)</f>
        <v>81206.679826019259</v>
      </c>
      <c r="I779" s="7">
        <f t="shared" si="27"/>
        <v>3053165.6798260193</v>
      </c>
      <c r="J779">
        <f>IFERROR(VLOOKUP(F779,'LEAID Match'!$A$2:$B$227,2,FALSE),"")</f>
        <v>3811820</v>
      </c>
      <c r="K779">
        <f t="shared" si="26"/>
        <v>8</v>
      </c>
      <c r="L779" cm="1">
        <f t="array" ref="L779">_xlfn.IFS(B779=2015,G779/$P$13,B779=2016,G779/$P$14,B779=2017,G779/$P$15,B779=2018,G779/$P$16,B779=2019,G779/$P$17,B779=2019,G779/$P$18,B779=2020,G779/$P$18,B779=2021,G779/$P$19,B779=2022,G779/$P$20)</f>
        <v>3.0244573491999723E-2</v>
      </c>
    </row>
    <row r="780" spans="1:12" x14ac:dyDescent="0.2">
      <c r="A780">
        <v>3811820</v>
      </c>
      <c r="B780">
        <v>2022</v>
      </c>
      <c r="C780" t="s">
        <v>252</v>
      </c>
      <c r="D780" t="s">
        <v>254</v>
      </c>
      <c r="E780" t="s">
        <v>256</v>
      </c>
      <c r="F780" s="5" t="s">
        <v>23</v>
      </c>
      <c r="G780" s="7">
        <v>3045046</v>
      </c>
      <c r="H780" s="7" cm="1">
        <f t="array" ref="H780">_xlfn.IFS(B780=2015,L780*$P$3,B780=2016,L780*$P$4,B780=2017,L780*$P$5,B780=2018,L780*$P$6,B780=2019,L780*$P$7,B780=2020,L780*$P$8,B780=2021,L780*$P$9,B780=2022,L780*$P$10)</f>
        <v>61974.490563985673</v>
      </c>
      <c r="I780" s="7">
        <f t="shared" si="27"/>
        <v>3107020.4905639859</v>
      </c>
      <c r="J780">
        <f>IFERROR(VLOOKUP(F780,'LEAID Match'!$A$2:$B$227,2,FALSE),"")</f>
        <v>3811820</v>
      </c>
      <c r="K780">
        <f t="shared" si="26"/>
        <v>8</v>
      </c>
      <c r="L780" cm="1">
        <f t="array" ref="L780">_xlfn.IFS(B780=2015,G780/$P$13,B780=2016,G780/$P$14,B780=2017,G780/$P$15,B780=2018,G780/$P$16,B780=2019,G780/$P$17,B780=2019,G780/$P$18,B780=2020,G780/$P$18,B780=2021,G780/$P$19,B780=2022,G780/$P$20)</f>
        <v>3.0349897435840191E-2</v>
      </c>
    </row>
    <row r="781" spans="1:12" x14ac:dyDescent="0.2">
      <c r="A781">
        <v>3811850</v>
      </c>
      <c r="B781">
        <v>2022</v>
      </c>
      <c r="C781" t="s">
        <v>252</v>
      </c>
      <c r="D781" t="s">
        <v>254</v>
      </c>
      <c r="E781" t="s">
        <v>256</v>
      </c>
      <c r="F781" s="5" t="s">
        <v>24</v>
      </c>
      <c r="G781" s="7">
        <v>199159</v>
      </c>
      <c r="H781" s="7" cm="1">
        <f t="array" ref="H781">_xlfn.IFS(B781=2015,L781*$P$3,B781=2016,L781*$P$4,B781=2017,L781*$P$5,B781=2018,L781*$P$6,B781=2019,L781*$P$7,B781=2020,L781*$P$8,B781=2021,L781*$P$9,B781=2022,L781*$P$10)</f>
        <v>4053.3960952421803</v>
      </c>
      <c r="I781" s="7">
        <f t="shared" si="27"/>
        <v>203212.39609524218</v>
      </c>
      <c r="J781">
        <f>IFERROR(VLOOKUP(F781,'LEAID Match'!$A$2:$B$227,2,FALSE),"")</f>
        <v>3811850</v>
      </c>
      <c r="K781">
        <f t="shared" si="26"/>
        <v>8</v>
      </c>
      <c r="L781" cm="1">
        <f t="array" ref="L781">_xlfn.IFS(B781=2015,G781/$P$13,B781=2016,G781/$P$14,B781=2017,G781/$P$15,B781=2018,G781/$P$16,B781=2019,G781/$P$17,B781=2019,G781/$P$18,B781=2020,G781/$P$18,B781=2021,G781/$P$19,B781=2022,G781/$P$20)</f>
        <v>1.9850127792566995E-3</v>
      </c>
    </row>
    <row r="782" spans="1:12" x14ac:dyDescent="0.2">
      <c r="A782">
        <v>3811850</v>
      </c>
      <c r="B782">
        <v>2015</v>
      </c>
      <c r="C782" t="s">
        <v>252</v>
      </c>
      <c r="D782" t="s">
        <v>254</v>
      </c>
      <c r="E782" t="s">
        <v>256</v>
      </c>
      <c r="F782" s="5" t="s">
        <v>24</v>
      </c>
      <c r="G782" s="7">
        <v>196992</v>
      </c>
      <c r="H782" s="7" cm="1">
        <f t="array" ref="H782">_xlfn.IFS(B782=2015,L782*$P$3,B782=2016,L782*$P$4,B782=2017,L782*$P$5,B782=2018,L782*$P$6,B782=2019,L782*$P$7,B782=2020,L782*$P$8,B782=2021,L782*$P$9,B782=2022,L782*$P$10)</f>
        <v>4453.6784401335844</v>
      </c>
      <c r="I782" s="7">
        <f t="shared" si="27"/>
        <v>201445.67844013358</v>
      </c>
      <c r="J782">
        <f>IFERROR(VLOOKUP(F782,'LEAID Match'!$A$2:$B$227,2,FALSE),"")</f>
        <v>3811850</v>
      </c>
      <c r="K782">
        <f t="shared" si="26"/>
        <v>8</v>
      </c>
      <c r="L782" cm="1">
        <f t="array" ref="L782">_xlfn.IFS(B782=2015,G782/$P$13,B782=2016,G782/$P$14,B782=2017,G782/$P$15,B782=2018,G782/$P$16,B782=2019,G782/$P$17,B782=2019,G782/$P$18,B782=2020,G782/$P$18,B782=2021,G782/$P$19,B782=2022,G782/$P$20)</f>
        <v>2.5119449746946331E-3</v>
      </c>
    </row>
    <row r="783" spans="1:12" x14ac:dyDescent="0.2">
      <c r="A783">
        <v>3811850</v>
      </c>
      <c r="B783">
        <v>2016</v>
      </c>
      <c r="C783" t="s">
        <v>252</v>
      </c>
      <c r="D783" t="s">
        <v>254</v>
      </c>
      <c r="E783" t="s">
        <v>256</v>
      </c>
      <c r="F783" s="5" t="s">
        <v>24</v>
      </c>
      <c r="G783" s="7">
        <v>212463</v>
      </c>
      <c r="H783" s="7" cm="1">
        <f t="array" ref="H783">_xlfn.IFS(B783=2015,L783*$P$3,B783=2016,L783*$P$4,B783=2017,L783*$P$5,B783=2018,L783*$P$6,B783=2019,L783*$P$7,B783=2020,L783*$P$8,B783=2021,L783*$P$9,B783=2022,L783*$P$10)</f>
        <v>7214.6175375254725</v>
      </c>
      <c r="I783" s="7">
        <f t="shared" si="27"/>
        <v>219677.61753752548</v>
      </c>
      <c r="J783">
        <f>IFERROR(VLOOKUP(F783,'LEAID Match'!$A$2:$B$227,2,FALSE),"")</f>
        <v>3811850</v>
      </c>
      <c r="K783">
        <f t="shared" si="26"/>
        <v>8</v>
      </c>
      <c r="L783" cm="1">
        <f t="array" ref="L783">_xlfn.IFS(B783=2015,G783/$P$13,B783=2016,G783/$P$14,B783=2017,G783/$P$15,B783=2018,G783/$P$16,B783=2019,G783/$P$17,B783=2019,G783/$P$18,B783=2020,G783/$P$18,B783=2021,G783/$P$19,B783=2022,G783/$P$20)</f>
        <v>2.5647413926503633E-3</v>
      </c>
    </row>
    <row r="784" spans="1:12" x14ac:dyDescent="0.2">
      <c r="A784">
        <v>3811850</v>
      </c>
      <c r="B784">
        <v>2017</v>
      </c>
      <c r="C784" t="s">
        <v>252</v>
      </c>
      <c r="D784" t="s">
        <v>254</v>
      </c>
      <c r="E784" t="s">
        <v>256</v>
      </c>
      <c r="F784" s="5" t="s">
        <v>24</v>
      </c>
      <c r="G784" s="7">
        <v>187884</v>
      </c>
      <c r="H784" s="7" cm="1">
        <f t="array" ref="H784">_xlfn.IFS(B784=2015,L784*$P$3,B784=2016,L784*$P$4,B784=2017,L784*$P$5,B784=2018,L784*$P$6,B784=2019,L784*$P$7,B784=2020,L784*$P$8,B784=2021,L784*$P$9,B784=2022,L784*$P$10)</f>
        <v>6088.9542080052815</v>
      </c>
      <c r="I784" s="7">
        <f t="shared" si="27"/>
        <v>193972.95420800528</v>
      </c>
      <c r="J784">
        <f>IFERROR(VLOOKUP(F784,'LEAID Match'!$A$2:$B$227,2,FALSE),"")</f>
        <v>3811850</v>
      </c>
      <c r="K784">
        <f t="shared" si="26"/>
        <v>8</v>
      </c>
      <c r="L784" cm="1">
        <f t="array" ref="L784">_xlfn.IFS(B784=2015,G784/$P$13,B784=2016,G784/$P$14,B784=2017,G784/$P$15,B784=2018,G784/$P$16,B784=2019,G784/$P$17,B784=2019,G784/$P$18,B784=2020,G784/$P$18,B784=2021,G784/$P$19,B784=2022,G784/$P$20)</f>
        <v>2.1832033732539554E-3</v>
      </c>
    </row>
    <row r="785" spans="1:12" x14ac:dyDescent="0.2">
      <c r="A785">
        <v>3811850</v>
      </c>
      <c r="B785" s="5">
        <v>2018</v>
      </c>
      <c r="C785" t="s">
        <v>252</v>
      </c>
      <c r="D785" t="s">
        <v>254</v>
      </c>
      <c r="E785" t="s">
        <v>256</v>
      </c>
      <c r="F785" s="5" t="s">
        <v>24</v>
      </c>
      <c r="G785" s="7">
        <v>184148</v>
      </c>
      <c r="H785" s="7" cm="1">
        <f t="array" ref="H785">_xlfn.IFS(B785=2015,L785*$P$3,B785=2016,L785*$P$4,B785=2017,L785*$P$5,B785=2018,L785*$P$6,B785=2019,L785*$P$7,B785=2020,L785*$P$8,B785=2021,L785*$P$9,B785=2022,L785*$P$10)</f>
        <v>5045.8372389356391</v>
      </c>
      <c r="I785" s="7">
        <f t="shared" si="27"/>
        <v>189193.83723893564</v>
      </c>
      <c r="J785">
        <f>IFERROR(VLOOKUP(F785,'LEAID Match'!$A$2:$B$227,2,FALSE),"")</f>
        <v>3811850</v>
      </c>
      <c r="K785">
        <f t="shared" si="26"/>
        <v>8</v>
      </c>
      <c r="L785" cm="1">
        <f t="array" ref="L785">_xlfn.IFS(B785=2015,G785/$P$13,B785=2016,G785/$P$14,B785=2017,G785/$P$15,B785=2018,G785/$P$16,B785=2019,G785/$P$17,B785=2019,G785/$P$18,B785=2020,G785/$P$18,B785=2021,G785/$P$19,B785=2022,G785/$P$20)</f>
        <v>2.1245630479729007E-3</v>
      </c>
    </row>
    <row r="786" spans="1:12" x14ac:dyDescent="0.2">
      <c r="A786">
        <v>3811850</v>
      </c>
      <c r="B786">
        <v>2019</v>
      </c>
      <c r="C786" t="s">
        <v>252</v>
      </c>
      <c r="D786" t="s">
        <v>254</v>
      </c>
      <c r="E786" t="s">
        <v>256</v>
      </c>
      <c r="F786" s="5" t="s">
        <v>24</v>
      </c>
      <c r="G786" s="7">
        <v>210867</v>
      </c>
      <c r="H786" s="7" cm="1">
        <f t="array" ref="H786">_xlfn.IFS(B786=2015,L786*$P$3,B786=2016,L786*$P$4,B786=2017,L786*$P$5,B786=2018,L786*$P$6,B786=2019,L786*$P$7,B786=2020,L786*$P$8,B786=2021,L786*$P$9,B786=2022,L786*$P$10)</f>
        <v>4894.1861401122123</v>
      </c>
      <c r="I786" s="7">
        <f t="shared" si="27"/>
        <v>215761.1861401122</v>
      </c>
      <c r="J786">
        <f>IFERROR(VLOOKUP(F786,'LEAID Match'!$A$2:$B$227,2,FALSE),"")</f>
        <v>3811850</v>
      </c>
      <c r="K786">
        <f t="shared" si="26"/>
        <v>8</v>
      </c>
      <c r="L786" cm="1">
        <f t="array" ref="L786">_xlfn.IFS(B786=2015,G786/$P$13,B786=2016,G786/$P$14,B786=2017,G786/$P$15,B786=2018,G786/$P$16,B786=2019,G786/$P$17,B786=2019,G786/$P$18,B786=2020,G786/$P$18,B786=2021,G786/$P$19,B786=2022,G786/$P$20)</f>
        <v>2.3575077746205261E-3</v>
      </c>
    </row>
    <row r="787" spans="1:12" x14ac:dyDescent="0.2">
      <c r="A787">
        <v>3811850</v>
      </c>
      <c r="B787">
        <v>2020</v>
      </c>
      <c r="C787" t="s">
        <v>252</v>
      </c>
      <c r="D787" t="s">
        <v>254</v>
      </c>
      <c r="E787" t="s">
        <v>256</v>
      </c>
      <c r="F787" s="5" t="s">
        <v>24</v>
      </c>
      <c r="G787" s="7">
        <v>227830</v>
      </c>
      <c r="H787" s="7" cm="1">
        <f t="array" ref="H787">_xlfn.IFS(B787=2015,L787*$P$3,B787=2016,L787*$P$4,B787=2017,L787*$P$5,B787=2018,L787*$P$6,B787=2019,L787*$P$7,B787=2020,L787*$P$8,B787=2021,L787*$P$9,B787=2022,L787*$P$10)</f>
        <v>5715.8031877433577</v>
      </c>
      <c r="I787" s="7">
        <f t="shared" si="27"/>
        <v>233545.80318774335</v>
      </c>
      <c r="J787">
        <f>IFERROR(VLOOKUP(F787,'LEAID Match'!$A$2:$B$227,2,FALSE),"")</f>
        <v>3811850</v>
      </c>
      <c r="K787">
        <f t="shared" si="26"/>
        <v>8</v>
      </c>
      <c r="L787" cm="1">
        <f t="array" ref="L787">_xlfn.IFS(B787=2015,G787/$P$13,B787=2016,G787/$P$14,B787=2017,G787/$P$15,B787=2018,G787/$P$16,B787=2019,G787/$P$17,B787=2019,G787/$P$18,B787=2020,G787/$P$18,B787=2021,G787/$P$19,B787=2022,G787/$P$20)</f>
        <v>2.4489302432490821E-3</v>
      </c>
    </row>
    <row r="788" spans="1:12" x14ac:dyDescent="0.2">
      <c r="A788">
        <v>3811850</v>
      </c>
      <c r="B788" s="5">
        <v>2021</v>
      </c>
      <c r="C788" t="s">
        <v>252</v>
      </c>
      <c r="D788" t="s">
        <v>254</v>
      </c>
      <c r="E788" t="s">
        <v>256</v>
      </c>
      <c r="F788" s="5" t="s">
        <v>24</v>
      </c>
      <c r="G788" s="7">
        <v>224708</v>
      </c>
      <c r="H788" s="7" cm="1">
        <f t="array" ref="H788">_xlfn.IFS(B788=2015,L788*$P$3,B788=2016,L788*$P$4,B788=2017,L788*$P$5,B788=2018,L788*$P$6,B788=2019,L788*$P$7,B788=2020,L788*$P$8,B788=2021,L788*$P$9,B788=2022,L788*$P$10)</f>
        <v>6139.9873317044867</v>
      </c>
      <c r="I788" s="7">
        <f t="shared" si="27"/>
        <v>230847.9873317045</v>
      </c>
      <c r="J788">
        <f>IFERROR(VLOOKUP(F788,'LEAID Match'!$A$2:$B$227,2,FALSE),"")</f>
        <v>3811850</v>
      </c>
      <c r="K788">
        <f t="shared" si="26"/>
        <v>8</v>
      </c>
      <c r="L788" cm="1">
        <f t="array" ref="L788">_xlfn.IFS(B788=2015,G788/$P$13,B788=2016,G788/$P$14,B788=2017,G788/$P$15,B788=2018,G788/$P$16,B788=2019,G788/$P$17,B788=2019,G788/$P$18,B788=2020,G788/$P$18,B788=2021,G788/$P$19,B788=2022,G788/$P$20)</f>
        <v>2.2867736803368665E-3</v>
      </c>
    </row>
    <row r="789" spans="1:12" x14ac:dyDescent="0.2">
      <c r="A789">
        <v>3811970</v>
      </c>
      <c r="B789">
        <v>2015</v>
      </c>
      <c r="C789" t="s">
        <v>252</v>
      </c>
      <c r="D789" t="s">
        <v>254</v>
      </c>
      <c r="E789" t="s">
        <v>256</v>
      </c>
      <c r="F789" s="5" t="s">
        <v>25</v>
      </c>
      <c r="G789" s="7">
        <v>10744</v>
      </c>
      <c r="H789" s="7" cm="1">
        <f t="array" ref="H789">_xlfn.IFS(B789=2015,L789*$P$3,B789=2016,L789*$P$4,B789=2017,L789*$P$5,B789=2018,L789*$P$6,B789=2019,L789*$P$7,B789=2020,L789*$P$8,B789=2021,L789*$P$9,B789=2022,L789*$P$10)</f>
        <v>242.90489543126236</v>
      </c>
      <c r="I789" s="7">
        <f t="shared" si="27"/>
        <v>10986.904895431262</v>
      </c>
      <c r="J789">
        <f>IFERROR(VLOOKUP(F789,'LEAID Match'!$A$2:$B$227,2,FALSE),"")</f>
        <v>3811970</v>
      </c>
      <c r="K789">
        <f t="shared" si="26"/>
        <v>8</v>
      </c>
      <c r="L789" cm="1">
        <f t="array" ref="L789">_xlfn.IFS(B789=2015,G789/$P$13,B789=2016,G789/$P$14,B789=2017,G789/$P$15,B789=2018,G789/$P$16,B789=2019,G789/$P$17,B789=2019,G789/$P$18,B789=2020,G789/$P$18,B789=2021,G789/$P$19,B789=2022,G789/$P$20)</f>
        <v>1.3700219708475035E-4</v>
      </c>
    </row>
    <row r="790" spans="1:12" x14ac:dyDescent="0.2">
      <c r="A790">
        <v>3811970</v>
      </c>
      <c r="B790">
        <v>2016</v>
      </c>
      <c r="C790" t="s">
        <v>252</v>
      </c>
      <c r="D790" t="s">
        <v>254</v>
      </c>
      <c r="E790" t="s">
        <v>256</v>
      </c>
      <c r="F790" s="5" t="s">
        <v>25</v>
      </c>
      <c r="G790" s="7">
        <v>10815</v>
      </c>
      <c r="H790" s="7" cm="1">
        <f t="array" ref="H790">_xlfn.IFS(B790=2015,L790*$P$3,B790=2016,L790*$P$4,B790=2017,L790*$P$5,B790=2018,L790*$P$6,B790=2019,L790*$P$7,B790=2020,L790*$P$8,B790=2021,L790*$P$9,B790=2022,L790*$P$10)</f>
        <v>367.2455376622658</v>
      </c>
      <c r="I790" s="7">
        <f t="shared" si="27"/>
        <v>11182.245537662266</v>
      </c>
      <c r="J790">
        <f>IFERROR(VLOOKUP(F790,'LEAID Match'!$A$2:$B$227,2,FALSE),"")</f>
        <v>3811970</v>
      </c>
      <c r="K790">
        <f t="shared" si="26"/>
        <v>8</v>
      </c>
      <c r="L790" cm="1">
        <f t="array" ref="L790">_xlfn.IFS(B790=2015,G790/$P$13,B790=2016,G790/$P$14,B790=2017,G790/$P$15,B790=2018,G790/$P$16,B790=2019,G790/$P$17,B790=2019,G790/$P$18,B790=2020,G790/$P$18,B790=2021,G790/$P$19,B790=2022,G790/$P$20)</f>
        <v>1.3055298174982787E-4</v>
      </c>
    </row>
    <row r="791" spans="1:12" x14ac:dyDescent="0.2">
      <c r="A791">
        <v>3811970</v>
      </c>
      <c r="B791">
        <v>2017</v>
      </c>
      <c r="C791" t="s">
        <v>252</v>
      </c>
      <c r="D791" t="s">
        <v>254</v>
      </c>
      <c r="E791" t="s">
        <v>256</v>
      </c>
      <c r="F791" s="5" t="s">
        <v>25</v>
      </c>
      <c r="G791" s="7">
        <v>12488</v>
      </c>
      <c r="H791" s="7" cm="1">
        <f t="array" ref="H791">_xlfn.IFS(B791=2015,L791*$P$3,B791=2016,L791*$P$4,B791=2017,L791*$P$5,B791=2018,L791*$P$6,B791=2019,L791*$P$7,B791=2020,L791*$P$8,B791=2021,L791*$P$9,B791=2022,L791*$P$10)</f>
        <v>404.71173782530684</v>
      </c>
      <c r="I791" s="7">
        <f t="shared" si="27"/>
        <v>12892.711737825306</v>
      </c>
      <c r="J791">
        <f>IFERROR(VLOOKUP(F791,'LEAID Match'!$A$2:$B$227,2,FALSE),"")</f>
        <v>3811970</v>
      </c>
      <c r="K791">
        <f t="shared" si="26"/>
        <v>8</v>
      </c>
      <c r="L791" cm="1">
        <f t="array" ref="L791">_xlfn.IFS(B791=2015,G791/$P$13,B791=2016,G791/$P$14,B791=2017,G791/$P$15,B791=2018,G791/$P$16,B791=2019,G791/$P$17,B791=2019,G791/$P$18,B791=2020,G791/$P$18,B791=2021,G791/$P$19,B791=2022,G791/$P$20)</f>
        <v>1.4510998129268801E-4</v>
      </c>
    </row>
    <row r="792" spans="1:12" x14ac:dyDescent="0.2">
      <c r="A792">
        <v>3811970</v>
      </c>
      <c r="B792" s="5">
        <v>2018</v>
      </c>
      <c r="C792" t="s">
        <v>252</v>
      </c>
      <c r="D792" t="s">
        <v>254</v>
      </c>
      <c r="E792" t="s">
        <v>256</v>
      </c>
      <c r="F792" s="5" t="s">
        <v>25</v>
      </c>
      <c r="G792" s="7">
        <v>13291</v>
      </c>
      <c r="H792" s="7" cm="1">
        <f t="array" ref="H792">_xlfn.IFS(B792=2015,L792*$P$3,B792=2016,L792*$P$4,B792=2017,L792*$P$5,B792=2018,L792*$P$6,B792=2019,L792*$P$7,B792=2020,L792*$P$8,B792=2021,L792*$P$9,B792=2022,L792*$P$10)</f>
        <v>364.18653877692719</v>
      </c>
      <c r="I792" s="7">
        <f t="shared" si="27"/>
        <v>13655.186538776927</v>
      </c>
      <c r="J792">
        <f>IFERROR(VLOOKUP(F792,'LEAID Match'!$A$2:$B$227,2,FALSE),"")</f>
        <v>3811970</v>
      </c>
      <c r="K792">
        <f t="shared" si="26"/>
        <v>8</v>
      </c>
      <c r="L792" cm="1">
        <f t="array" ref="L792">_xlfn.IFS(B792=2015,G792/$P$13,B792=2016,G792/$P$14,B792=2017,G792/$P$15,B792=2018,G792/$P$16,B792=2019,G792/$P$17,B792=2019,G792/$P$18,B792=2020,G792/$P$18,B792=2021,G792/$P$19,B792=2022,G792/$P$20)</f>
        <v>1.5334170053765356E-4</v>
      </c>
    </row>
    <row r="793" spans="1:12" x14ac:dyDescent="0.2">
      <c r="A793">
        <v>3811970</v>
      </c>
      <c r="B793">
        <v>2019</v>
      </c>
      <c r="C793" t="s">
        <v>252</v>
      </c>
      <c r="D793" t="s">
        <v>254</v>
      </c>
      <c r="E793" t="s">
        <v>256</v>
      </c>
      <c r="F793" s="5" t="s">
        <v>25</v>
      </c>
      <c r="G793" s="7">
        <v>12335</v>
      </c>
      <c r="H793" s="7" cm="1">
        <f t="array" ref="H793">_xlfn.IFS(B793=2015,L793*$P$3,B793=2016,L793*$P$4,B793=2017,L793*$P$5,B793=2018,L793*$P$6,B793=2019,L793*$P$7,B793=2020,L793*$P$8,B793=2021,L793*$P$9,B793=2022,L793*$P$10)</f>
        <v>286.29318972757301</v>
      </c>
      <c r="I793" s="7">
        <f t="shared" si="27"/>
        <v>12621.293189727574</v>
      </c>
      <c r="J793">
        <f>IFERROR(VLOOKUP(F793,'LEAID Match'!$A$2:$B$227,2,FALSE),"")</f>
        <v>3811970</v>
      </c>
      <c r="K793">
        <f t="shared" si="26"/>
        <v>8</v>
      </c>
      <c r="L793" cm="1">
        <f t="array" ref="L793">_xlfn.IFS(B793=2015,G793/$P$13,B793=2016,G793/$P$14,B793=2017,G793/$P$15,B793=2018,G793/$P$16,B793=2019,G793/$P$17,B793=2019,G793/$P$18,B793=2020,G793/$P$18,B793=2021,G793/$P$19,B793=2022,G793/$P$20)</f>
        <v>1.3790616075509297E-4</v>
      </c>
    </row>
    <row r="794" spans="1:12" x14ac:dyDescent="0.2">
      <c r="A794">
        <v>3811970</v>
      </c>
      <c r="B794">
        <v>2020</v>
      </c>
      <c r="C794" t="s">
        <v>252</v>
      </c>
      <c r="D794" t="s">
        <v>254</v>
      </c>
      <c r="E794" t="s">
        <v>256</v>
      </c>
      <c r="F794" s="5" t="s">
        <v>25</v>
      </c>
      <c r="G794" s="7">
        <v>7533</v>
      </c>
      <c r="H794" s="7" cm="1">
        <f t="array" ref="H794">_xlfn.IFS(B794=2015,L794*$P$3,B794=2016,L794*$P$4,B794=2017,L794*$P$5,B794=2018,L794*$P$6,B794=2019,L794*$P$7,B794=2020,L794*$P$8,B794=2021,L794*$P$9,B794=2022,L794*$P$10)</f>
        <v>188.98804114151213</v>
      </c>
      <c r="I794" s="7">
        <f t="shared" si="27"/>
        <v>7721.9880411415124</v>
      </c>
      <c r="J794">
        <f>IFERROR(VLOOKUP(F794,'LEAID Match'!$A$2:$B$227,2,FALSE),"")</f>
        <v>3811970</v>
      </c>
      <c r="K794">
        <f t="shared" si="26"/>
        <v>8</v>
      </c>
      <c r="L794" cm="1">
        <f t="array" ref="L794">_xlfn.IFS(B794=2015,G794/$P$13,B794=2016,G794/$P$14,B794=2017,G794/$P$15,B794=2018,G794/$P$16,B794=2019,G794/$P$17,B794=2019,G794/$P$18,B794=2020,G794/$P$18,B794=2021,G794/$P$19,B794=2022,G794/$P$20)</f>
        <v>8.0971739992078892E-5</v>
      </c>
    </row>
    <row r="795" spans="1:12" x14ac:dyDescent="0.2">
      <c r="A795">
        <v>3811970</v>
      </c>
      <c r="B795" s="5">
        <v>2021</v>
      </c>
      <c r="C795" t="s">
        <v>252</v>
      </c>
      <c r="D795" t="s">
        <v>254</v>
      </c>
      <c r="E795" t="s">
        <v>256</v>
      </c>
      <c r="F795" s="5" t="s">
        <v>25</v>
      </c>
      <c r="G795" s="7">
        <v>15314</v>
      </c>
      <c r="H795" s="7" cm="1">
        <f t="array" ref="H795">_xlfn.IFS(B795=2015,L795*$P$3,B795=2016,L795*$P$4,B795=2017,L795*$P$5,B795=2018,L795*$P$6,B795=2019,L795*$P$7,B795=2020,L795*$P$8,B795=2021,L795*$P$9,B795=2022,L795*$P$10)</f>
        <v>418.44422983481894</v>
      </c>
      <c r="I795" s="7">
        <f t="shared" si="27"/>
        <v>15732.444229834819</v>
      </c>
      <c r="J795">
        <f>IFERROR(VLOOKUP(F795,'LEAID Match'!$A$2:$B$227,2,FALSE),"")</f>
        <v>3811970</v>
      </c>
      <c r="K795">
        <f t="shared" si="26"/>
        <v>8</v>
      </c>
      <c r="L795" cm="1">
        <f t="array" ref="L795">_xlfn.IFS(B795=2015,G795/$P$13,B795=2016,G795/$P$14,B795=2017,G795/$P$15,B795=2018,G795/$P$16,B795=2019,G795/$P$17,B795=2019,G795/$P$18,B795=2020,G795/$P$18,B795=2021,G795/$P$19,B795=2022,G795/$P$20)</f>
        <v>1.5584515077646889E-4</v>
      </c>
    </row>
    <row r="796" spans="1:12" x14ac:dyDescent="0.2">
      <c r="A796">
        <v>3811970</v>
      </c>
      <c r="B796">
        <v>2022</v>
      </c>
      <c r="C796" t="s">
        <v>252</v>
      </c>
      <c r="D796" t="s">
        <v>254</v>
      </c>
      <c r="E796" t="s">
        <v>256</v>
      </c>
      <c r="F796" s="5" t="s">
        <v>25</v>
      </c>
      <c r="G796" s="7">
        <v>15024</v>
      </c>
      <c r="H796" s="7" cm="1">
        <f t="array" ref="H796">_xlfn.IFS(B796=2015,L796*$P$3,B796=2016,L796*$P$4,B796=2017,L796*$P$5,B796=2018,L796*$P$6,B796=2019,L796*$P$7,B796=2020,L796*$P$8,B796=2021,L796*$P$9,B796=2022,L796*$P$10)</f>
        <v>305.77690656670558</v>
      </c>
      <c r="I796" s="7">
        <f t="shared" si="27"/>
        <v>15329.776906566705</v>
      </c>
      <c r="J796">
        <f>IFERROR(VLOOKUP(F796,'LEAID Match'!$A$2:$B$227,2,FALSE),"")</f>
        <v>3811970</v>
      </c>
      <c r="K796">
        <f t="shared" si="26"/>
        <v>8</v>
      </c>
      <c r="L796" cm="1">
        <f t="array" ref="L796">_xlfn.IFS(B796=2015,G796/$P$13,B796=2016,G796/$P$14,B796=2017,G796/$P$15,B796=2018,G796/$P$16,B796=2019,G796/$P$17,B796=2019,G796/$P$18,B796=2020,G796/$P$18,B796=2021,G796/$P$19,B796=2022,G796/$P$20)</f>
        <v>1.4974383279466483E-4</v>
      </c>
    </row>
    <row r="797" spans="1:12" x14ac:dyDescent="0.2">
      <c r="A797">
        <v>3812000</v>
      </c>
      <c r="B797">
        <v>2015</v>
      </c>
      <c r="C797" t="s">
        <v>252</v>
      </c>
      <c r="D797" t="s">
        <v>254</v>
      </c>
      <c r="E797" t="s">
        <v>256</v>
      </c>
      <c r="F797" s="5" t="s">
        <v>228</v>
      </c>
      <c r="G797" s="7">
        <v>94346</v>
      </c>
      <c r="H797" s="7" cm="1">
        <f t="array" ref="H797">_xlfn.IFS(B797=2015,L797*$P$3,B797=2016,L797*$P$4,B797=2017,L797*$P$5,B797=2018,L797*$P$6,B797=2019,L797*$P$7,B797=2020,L797*$P$8,B797=2021,L797*$P$9,B797=2022,L797*$P$10)</f>
        <v>2133.0142651114929</v>
      </c>
      <c r="I797" s="7">
        <f t="shared" si="27"/>
        <v>96479.014265111487</v>
      </c>
      <c r="J797">
        <f>IFERROR(VLOOKUP(F797,'LEAID Match'!$A$2:$B$227,2,FALSE),"")</f>
        <v>3812000</v>
      </c>
      <c r="K797">
        <f t="shared" si="26"/>
        <v>8</v>
      </c>
      <c r="L797" cm="1">
        <f t="array" ref="L797">_xlfn.IFS(B797=2015,G797/$P$13,B797=2016,G797/$P$14,B797=2017,G797/$P$15,B797=2018,G797/$P$16,B797=2019,G797/$P$17,B797=2019,G797/$P$18,B797=2020,G797/$P$18,B797=2021,G797/$P$19,B797=2022,G797/$P$20)</f>
        <v>1.2030537310273508E-3</v>
      </c>
    </row>
    <row r="798" spans="1:12" x14ac:dyDescent="0.2">
      <c r="A798">
        <v>3812000</v>
      </c>
      <c r="B798">
        <v>2016</v>
      </c>
      <c r="C798" t="s">
        <v>252</v>
      </c>
      <c r="D798" t="s">
        <v>254</v>
      </c>
      <c r="E798" t="s">
        <v>256</v>
      </c>
      <c r="F798" s="5" t="s">
        <v>228</v>
      </c>
      <c r="G798" s="7">
        <v>102419</v>
      </c>
      <c r="H798" s="7" cm="1">
        <f t="array" ref="H798">_xlfn.IFS(B798=2015,L798*$P$3,B798=2016,L798*$P$4,B798=2017,L798*$P$5,B798=2018,L798*$P$6,B798=2019,L798*$P$7,B798=2020,L798*$P$8,B798=2021,L798*$P$9,B798=2022,L798*$P$10)</f>
        <v>3477.8475008628388</v>
      </c>
      <c r="I798" s="7">
        <f t="shared" si="27"/>
        <v>105896.84750086284</v>
      </c>
      <c r="J798">
        <f>IFERROR(VLOOKUP(F798,'LEAID Match'!$A$2:$B$227,2,FALSE),"")</f>
        <v>3812000</v>
      </c>
      <c r="K798">
        <f t="shared" si="26"/>
        <v>8</v>
      </c>
      <c r="L798" cm="1">
        <f t="array" ref="L798">_xlfn.IFS(B798=2015,G798/$P$13,B798=2016,G798/$P$14,B798=2017,G798/$P$15,B798=2018,G798/$P$16,B798=2019,G798/$P$17,B798=2019,G798/$P$18,B798=2020,G798/$P$18,B798=2021,G798/$P$19,B798=2022,G798/$P$20)</f>
        <v>1.2363482050703303E-3</v>
      </c>
    </row>
    <row r="799" spans="1:12" x14ac:dyDescent="0.2">
      <c r="A799">
        <v>3812000</v>
      </c>
      <c r="B799">
        <v>2017</v>
      </c>
      <c r="C799" t="s">
        <v>252</v>
      </c>
      <c r="D799" t="s">
        <v>254</v>
      </c>
      <c r="E799" t="s">
        <v>256</v>
      </c>
      <c r="F799" s="5" t="s">
        <v>228</v>
      </c>
      <c r="G799" s="7">
        <v>107482</v>
      </c>
      <c r="H799" s="7" cm="1">
        <f t="array" ref="H799">_xlfn.IFS(B799=2015,L799*$P$3,B799=2016,L799*$P$4,B799=2017,L799*$P$5,B799=2018,L799*$P$6,B799=2019,L799*$P$7,B799=2020,L799*$P$8,B799=2021,L799*$P$9,B799=2022,L799*$P$10)</f>
        <v>3483.2821112219435</v>
      </c>
      <c r="I799" s="7">
        <f t="shared" si="27"/>
        <v>110965.28211122194</v>
      </c>
      <c r="J799">
        <f>IFERROR(VLOOKUP(F799,'LEAID Match'!$A$2:$B$227,2,FALSE),"")</f>
        <v>3812000</v>
      </c>
      <c r="K799">
        <f t="shared" si="26"/>
        <v>8</v>
      </c>
      <c r="L799" cm="1">
        <f t="array" ref="L799">_xlfn.IFS(B799=2015,G799/$P$13,B799=2016,G799/$P$14,B799=2017,G799/$P$15,B799=2018,G799/$P$16,B799=2019,G799/$P$17,B799=2019,G799/$P$18,B799=2020,G799/$P$18,B799=2021,G799/$P$19,B799=2022,G799/$P$20)</f>
        <v>1.2489358591688574E-3</v>
      </c>
    </row>
    <row r="800" spans="1:12" x14ac:dyDescent="0.2">
      <c r="A800">
        <v>3812000</v>
      </c>
      <c r="B800" s="5">
        <v>2018</v>
      </c>
      <c r="C800" t="s">
        <v>252</v>
      </c>
      <c r="D800" t="s">
        <v>254</v>
      </c>
      <c r="E800" t="s">
        <v>256</v>
      </c>
      <c r="F800" s="5" t="s">
        <v>228</v>
      </c>
      <c r="G800" s="7">
        <v>107328</v>
      </c>
      <c r="H800" s="7" cm="1">
        <f t="array" ref="H800">_xlfn.IFS(B800=2015,L800*$P$3,B800=2016,L800*$P$4,B800=2017,L800*$P$5,B800=2018,L800*$P$6,B800=2019,L800*$P$7,B800=2020,L800*$P$8,B800=2021,L800*$P$9,B800=2022,L800*$P$10)</f>
        <v>2940.893298762323</v>
      </c>
      <c r="I800" s="7">
        <f t="shared" si="27"/>
        <v>110268.89329876233</v>
      </c>
      <c r="J800">
        <f>IFERROR(VLOOKUP(F800,'LEAID Match'!$A$2:$B$227,2,FALSE),"")</f>
        <v>3812000</v>
      </c>
      <c r="K800">
        <f t="shared" si="26"/>
        <v>8</v>
      </c>
      <c r="L800" cm="1">
        <f t="array" ref="L800">_xlfn.IFS(B800=2015,G800/$P$13,B800=2016,G800/$P$14,B800=2017,G800/$P$15,B800=2018,G800/$P$16,B800=2019,G800/$P$17,B800=2019,G800/$P$18,B800=2020,G800/$P$18,B800=2021,G800/$P$19,B800=2022,G800/$P$20)</f>
        <v>1.2382708626367677E-3</v>
      </c>
    </row>
    <row r="801" spans="1:12" x14ac:dyDescent="0.2">
      <c r="A801">
        <v>3812000</v>
      </c>
      <c r="B801">
        <v>2019</v>
      </c>
      <c r="C801" t="s">
        <v>252</v>
      </c>
      <c r="D801" t="s">
        <v>254</v>
      </c>
      <c r="E801" t="s">
        <v>256</v>
      </c>
      <c r="F801" s="5" t="s">
        <v>228</v>
      </c>
      <c r="G801" s="7">
        <v>125570</v>
      </c>
      <c r="H801" s="7" cm="1">
        <f t="array" ref="H801">_xlfn.IFS(B801=2015,L801*$P$3,B801=2016,L801*$P$4,B801=2017,L801*$P$5,B801=2018,L801*$P$6,B801=2019,L801*$P$7,B801=2020,L801*$P$8,B801=2021,L801*$P$9,B801=2022,L801*$P$10)</f>
        <v>2914.4577084792331</v>
      </c>
      <c r="I801" s="7">
        <f t="shared" si="27"/>
        <v>128484.45770847924</v>
      </c>
      <c r="J801">
        <f>IFERROR(VLOOKUP(F801,'LEAID Match'!$A$2:$B$227,2,FALSE),"")</f>
        <v>3812000</v>
      </c>
      <c r="K801">
        <f t="shared" si="26"/>
        <v>8</v>
      </c>
      <c r="L801" cm="1">
        <f t="array" ref="L801">_xlfn.IFS(B801=2015,G801/$P$13,B801=2016,G801/$P$14,B801=2017,G801/$P$15,B801=2018,G801/$P$16,B801=2019,G801/$P$17,B801=2019,G801/$P$18,B801=2020,G801/$P$18,B801=2021,G801/$P$19,B801=2022,G801/$P$20)</f>
        <v>1.4038813624659119E-3</v>
      </c>
    </row>
    <row r="802" spans="1:12" x14ac:dyDescent="0.2">
      <c r="A802">
        <v>3812000</v>
      </c>
      <c r="B802">
        <v>2020</v>
      </c>
      <c r="C802" t="s">
        <v>252</v>
      </c>
      <c r="D802" t="s">
        <v>254</v>
      </c>
      <c r="E802" t="s">
        <v>256</v>
      </c>
      <c r="F802" s="5" t="s">
        <v>228</v>
      </c>
      <c r="G802" s="7">
        <v>126939</v>
      </c>
      <c r="H802" s="7" cm="1">
        <f t="array" ref="H802">_xlfn.IFS(B802=2015,L802*$P$3,B802=2016,L802*$P$4,B802=2017,L802*$P$5,B802=2018,L802*$P$6,B802=2019,L802*$P$7,B802=2020,L802*$P$8,B802=2021,L802*$P$9,B802=2022,L802*$P$10)</f>
        <v>3184.6479429792125</v>
      </c>
      <c r="I802" s="7">
        <f t="shared" si="27"/>
        <v>130123.64794297921</v>
      </c>
      <c r="J802">
        <f>IFERROR(VLOOKUP(F802,'LEAID Match'!$A$2:$B$227,2,FALSE),"")</f>
        <v>3812000</v>
      </c>
      <c r="K802">
        <f t="shared" si="26"/>
        <v>8</v>
      </c>
      <c r="L802" cm="1">
        <f t="array" ref="L802">_xlfn.IFS(B802=2015,G802/$P$13,B802=2016,G802/$P$14,B802=2017,G802/$P$15,B802=2018,G802/$P$16,B802=2019,G802/$P$17,B802=2019,G802/$P$18,B802=2020,G802/$P$18,B802=2021,G802/$P$19,B802=2022,G802/$P$20)</f>
        <v>1.3644592729131159E-3</v>
      </c>
    </row>
    <row r="803" spans="1:12" x14ac:dyDescent="0.2">
      <c r="A803">
        <v>3812000</v>
      </c>
      <c r="B803" s="5">
        <v>2021</v>
      </c>
      <c r="C803" t="s">
        <v>252</v>
      </c>
      <c r="D803" t="s">
        <v>254</v>
      </c>
      <c r="E803" t="s">
        <v>256</v>
      </c>
      <c r="F803" s="5" t="s">
        <v>228</v>
      </c>
      <c r="G803" s="7">
        <v>133069</v>
      </c>
      <c r="H803" s="7" cm="1">
        <f t="array" ref="H803">_xlfn.IFS(B803=2015,L803*$P$3,B803=2016,L803*$P$4,B803=2017,L803*$P$5,B803=2018,L803*$P$6,B803=2019,L803*$P$7,B803=2020,L803*$P$8,B803=2021,L803*$P$9,B803=2022,L803*$P$10)</f>
        <v>3636.0164045898869</v>
      </c>
      <c r="I803" s="7">
        <f t="shared" si="27"/>
        <v>136705.0164045899</v>
      </c>
      <c r="J803">
        <f>IFERROR(VLOOKUP(F803,'LEAID Match'!$A$2:$B$227,2,FALSE),"")</f>
        <v>3812000</v>
      </c>
      <c r="K803">
        <f t="shared" si="26"/>
        <v>8</v>
      </c>
      <c r="L803" cm="1">
        <f t="array" ref="L803">_xlfn.IFS(B803=2015,G803/$P$13,B803=2016,G803/$P$14,B803=2017,G803/$P$15,B803=2018,G803/$P$16,B803=2019,G803/$P$17,B803=2019,G803/$P$18,B803=2020,G803/$P$18,B803=2021,G803/$P$19,B803=2022,G803/$P$20)</f>
        <v>1.3541960538509821E-3</v>
      </c>
    </row>
    <row r="804" spans="1:12" x14ac:dyDescent="0.2">
      <c r="A804">
        <v>3812000</v>
      </c>
      <c r="B804">
        <v>2022</v>
      </c>
      <c r="C804" t="s">
        <v>252</v>
      </c>
      <c r="D804" t="s">
        <v>254</v>
      </c>
      <c r="E804" t="s">
        <v>256</v>
      </c>
      <c r="F804" s="5" t="s">
        <v>228</v>
      </c>
      <c r="G804" s="7">
        <v>138335</v>
      </c>
      <c r="H804" s="7" cm="1">
        <f t="array" ref="H804">_xlfn.IFS(B804=2015,L804*$P$3,B804=2016,L804*$P$4,B804=2017,L804*$P$5,B804=2018,L804*$P$6,B804=2019,L804*$P$7,B804=2020,L804*$P$8,B804=2021,L804*$P$9,B804=2022,L804*$P$10)</f>
        <v>2815.4718031087077</v>
      </c>
      <c r="I804" s="7">
        <f t="shared" si="27"/>
        <v>141150.4718031087</v>
      </c>
      <c r="J804">
        <f>IFERROR(VLOOKUP(F804,'LEAID Match'!$A$2:$B$227,2,FALSE),"")</f>
        <v>3812000</v>
      </c>
      <c r="K804">
        <f t="shared" si="26"/>
        <v>8</v>
      </c>
      <c r="L804" cm="1">
        <f t="array" ref="L804">_xlfn.IFS(B804=2015,G804/$P$13,B804=2016,G804/$P$14,B804=2017,G804/$P$15,B804=2018,G804/$P$16,B804=2019,G804/$P$17,B804=2019,G804/$P$18,B804=2020,G804/$P$18,B804=2021,G804/$P$19,B804=2022,G804/$P$20)</f>
        <v>1.3787814902589165E-3</v>
      </c>
    </row>
    <row r="805" spans="1:12" x14ac:dyDescent="0.2">
      <c r="A805">
        <v>3812020</v>
      </c>
      <c r="B805">
        <v>2015</v>
      </c>
      <c r="C805" t="s">
        <v>252</v>
      </c>
      <c r="D805" t="s">
        <v>254</v>
      </c>
      <c r="E805" t="s">
        <v>256</v>
      </c>
      <c r="F805" s="5" t="s">
        <v>26</v>
      </c>
      <c r="G805" s="7">
        <v>199780</v>
      </c>
      <c r="H805" s="7" cm="1">
        <f t="array" ref="H805">_xlfn.IFS(B805=2015,L805*$P$3,B805=2016,L805*$P$4,B805=2017,L805*$P$5,B805=2018,L805*$P$6,B805=2019,L805*$P$7,B805=2020,L805*$P$8,B805=2021,L805*$P$9,B805=2022,L805*$P$10)</f>
        <v>4516.7107231252421</v>
      </c>
      <c r="I805" s="7">
        <f t="shared" si="27"/>
        <v>204296.71072312523</v>
      </c>
      <c r="J805">
        <f>IFERROR(VLOOKUP(F805,'LEAID Match'!$A$2:$B$227,2,FALSE),"")</f>
        <v>3812020</v>
      </c>
      <c r="K805">
        <f t="shared" si="26"/>
        <v>8</v>
      </c>
      <c r="L805" cm="1">
        <f t="array" ref="L805">_xlfn.IFS(B805=2015,G805/$P$13,B805=2016,G805/$P$14,B805=2017,G805/$P$15,B805=2018,G805/$P$16,B805=2019,G805/$P$17,B805=2019,G805/$P$18,B805=2020,G805/$P$18,B805=2021,G805/$P$19,B805=2022,G805/$P$20)</f>
        <v>2.5474961777356129E-3</v>
      </c>
    </row>
    <row r="806" spans="1:12" x14ac:dyDescent="0.2">
      <c r="A806">
        <v>3812020</v>
      </c>
      <c r="B806">
        <v>2016</v>
      </c>
      <c r="C806" t="s">
        <v>252</v>
      </c>
      <c r="D806" t="s">
        <v>254</v>
      </c>
      <c r="E806" t="s">
        <v>256</v>
      </c>
      <c r="F806" s="5" t="s">
        <v>26</v>
      </c>
      <c r="G806" s="7">
        <v>202148</v>
      </c>
      <c r="H806" s="7" cm="1">
        <f t="array" ref="H806">_xlfn.IFS(B806=2015,L806*$P$3,B806=2016,L806*$P$4,B806=2017,L806*$P$5,B806=2018,L806*$P$6,B806=2019,L806*$P$7,B806=2020,L806*$P$8,B806=2021,L806*$P$9,B806=2022,L806*$P$10)</f>
        <v>6864.3505268008976</v>
      </c>
      <c r="I806" s="7">
        <f t="shared" si="27"/>
        <v>209012.3505268009</v>
      </c>
      <c r="J806">
        <f>IFERROR(VLOOKUP(F806,'LEAID Match'!$A$2:$B$227,2,FALSE),"")</f>
        <v>3812020</v>
      </c>
      <c r="K806">
        <f t="shared" si="26"/>
        <v>8</v>
      </c>
      <c r="L806" cm="1">
        <f t="array" ref="L806">_xlfn.IFS(B806=2015,G806/$P$13,B806=2016,G806/$P$14,B806=2017,G806/$P$15,B806=2018,G806/$P$16,B806=2019,G806/$P$17,B806=2019,G806/$P$18,B806=2020,G806/$P$18,B806=2021,G806/$P$19,B806=2022,G806/$P$20)</f>
        <v>2.4402241474585488E-3</v>
      </c>
    </row>
    <row r="807" spans="1:12" x14ac:dyDescent="0.2">
      <c r="A807">
        <v>3812020</v>
      </c>
      <c r="B807">
        <v>2017</v>
      </c>
      <c r="C807" t="s">
        <v>252</v>
      </c>
      <c r="D807" t="s">
        <v>254</v>
      </c>
      <c r="E807" t="s">
        <v>256</v>
      </c>
      <c r="F807" s="5" t="s">
        <v>26</v>
      </c>
      <c r="G807" s="7">
        <v>213082</v>
      </c>
      <c r="H807" s="7" cm="1">
        <f t="array" ref="H807">_xlfn.IFS(B807=2015,L807*$P$3,B807=2016,L807*$P$4,B807=2017,L807*$P$5,B807=2018,L807*$P$6,B807=2019,L807*$P$7,B807=2020,L807*$P$8,B807=2021,L807*$P$9,B807=2022,L807*$P$10)</f>
        <v>6905.5722709234497</v>
      </c>
      <c r="I807" s="7">
        <f t="shared" si="27"/>
        <v>219987.57227092344</v>
      </c>
      <c r="J807">
        <f>IFERROR(VLOOKUP(F807,'LEAID Match'!$A$2:$B$227,2,FALSE),"")</f>
        <v>3812020</v>
      </c>
      <c r="K807">
        <f t="shared" si="26"/>
        <v>8</v>
      </c>
      <c r="L807" cm="1">
        <f t="array" ref="L807">_xlfn.IFS(B807=2015,G807/$P$13,B807=2016,G807/$P$14,B807=2017,G807/$P$15,B807=2018,G807/$P$16,B807=2019,G807/$P$17,B807=2019,G807/$P$18,B807=2020,G807/$P$18,B807=2021,G807/$P$19,B807=2022,G807/$P$20)</f>
        <v>2.4760029655516132E-3</v>
      </c>
    </row>
    <row r="808" spans="1:12" x14ac:dyDescent="0.2">
      <c r="A808">
        <v>3812020</v>
      </c>
      <c r="B808" s="5">
        <v>2018</v>
      </c>
      <c r="C808" t="s">
        <v>252</v>
      </c>
      <c r="D808" t="s">
        <v>254</v>
      </c>
      <c r="E808" t="s">
        <v>256</v>
      </c>
      <c r="F808" s="5" t="s">
        <v>26</v>
      </c>
      <c r="G808" s="7">
        <v>213543</v>
      </c>
      <c r="H808" s="7" cm="1">
        <f t="array" ref="H808">_xlfn.IFS(B808=2015,L808*$P$3,B808=2016,L808*$P$4,B808=2017,L808*$P$5,B808=2018,L808*$P$6,B808=2019,L808*$P$7,B808=2020,L808*$P$8,B808=2021,L808*$P$9,B808=2022,L808*$P$10)</f>
        <v>5851.2892972719401</v>
      </c>
      <c r="I808" s="7">
        <f t="shared" si="27"/>
        <v>219394.28929727193</v>
      </c>
      <c r="J808">
        <f>IFERROR(VLOOKUP(F808,'LEAID Match'!$A$2:$B$227,2,FALSE),"")</f>
        <v>3812020</v>
      </c>
      <c r="K808">
        <f t="shared" si="26"/>
        <v>8</v>
      </c>
      <c r="L808" cm="1">
        <f t="array" ref="L808">_xlfn.IFS(B808=2015,G808/$P$13,B808=2016,G808/$P$14,B808=2017,G808/$P$15,B808=2018,G808/$P$16,B808=2019,G808/$P$17,B808=2019,G808/$P$18,B808=2020,G808/$P$18,B808=2021,G808/$P$19,B808=2022,G808/$P$20)</f>
        <v>2.46370075674608E-3</v>
      </c>
    </row>
    <row r="809" spans="1:12" x14ac:dyDescent="0.2">
      <c r="A809">
        <v>3812020</v>
      </c>
      <c r="B809">
        <v>2019</v>
      </c>
      <c r="C809" t="s">
        <v>252</v>
      </c>
      <c r="D809" t="s">
        <v>254</v>
      </c>
      <c r="E809" t="s">
        <v>256</v>
      </c>
      <c r="F809" s="5" t="s">
        <v>26</v>
      </c>
      <c r="G809" s="7">
        <v>216242</v>
      </c>
      <c r="H809" s="7" cm="1">
        <f t="array" ref="H809">_xlfn.IFS(B809=2015,L809*$P$3,B809=2016,L809*$P$4,B809=2017,L809*$P$5,B809=2018,L809*$P$6,B809=2019,L809*$P$7,B809=2020,L809*$P$8,B809=2021,L809*$P$9,B809=2022,L809*$P$10)</f>
        <v>5018.9389487693425</v>
      </c>
      <c r="I809" s="7">
        <f t="shared" si="27"/>
        <v>221260.93894876936</v>
      </c>
      <c r="J809">
        <f>IFERROR(VLOOKUP(F809,'LEAID Match'!$A$2:$B$227,2,FALSE),"")</f>
        <v>3812020</v>
      </c>
      <c r="K809">
        <f t="shared" si="26"/>
        <v>8</v>
      </c>
      <c r="L809" cm="1">
        <f t="array" ref="L809">_xlfn.IFS(B809=2015,G809/$P$13,B809=2016,G809/$P$14,B809=2017,G809/$P$15,B809=2018,G809/$P$16,B809=2019,G809/$P$17,B809=2019,G809/$P$18,B809=2020,G809/$P$18,B809=2021,G809/$P$19,B809=2022,G809/$P$20)</f>
        <v>2.417600649696215E-3</v>
      </c>
    </row>
    <row r="810" spans="1:12" x14ac:dyDescent="0.2">
      <c r="A810">
        <v>3812020</v>
      </c>
      <c r="B810">
        <v>2020</v>
      </c>
      <c r="C810" t="s">
        <v>252</v>
      </c>
      <c r="D810" t="s">
        <v>254</v>
      </c>
      <c r="E810" t="s">
        <v>256</v>
      </c>
      <c r="F810" s="5" t="s">
        <v>26</v>
      </c>
      <c r="G810" s="7">
        <v>211853</v>
      </c>
      <c r="H810" s="7" cm="1">
        <f t="array" ref="H810">_xlfn.IFS(B810=2015,L810*$P$3,B810=2016,L810*$P$4,B810=2017,L810*$P$5,B810=2018,L810*$P$6,B810=2019,L810*$P$7,B810=2020,L810*$P$8,B810=2021,L810*$P$9,B810=2022,L810*$P$10)</f>
        <v>5314.9719208751849</v>
      </c>
      <c r="I810" s="7">
        <f t="shared" si="27"/>
        <v>217167.97192087519</v>
      </c>
      <c r="J810">
        <f>IFERROR(VLOOKUP(F810,'LEAID Match'!$A$2:$B$227,2,FALSE),"")</f>
        <v>3812020</v>
      </c>
      <c r="K810">
        <f t="shared" si="26"/>
        <v>8</v>
      </c>
      <c r="L810" cm="1">
        <f t="array" ref="L810">_xlfn.IFS(B810=2015,G810/$P$13,B810=2016,G810/$P$14,B810=2017,G810/$P$15,B810=2018,G810/$P$16,B810=2019,G810/$P$17,B810=2019,G810/$P$18,B810=2020,G810/$P$18,B810=2021,G810/$P$19,B810=2022,G810/$P$20)</f>
        <v>2.2771944819516645E-3</v>
      </c>
    </row>
    <row r="811" spans="1:12" x14ac:dyDescent="0.2">
      <c r="A811">
        <v>3812020</v>
      </c>
      <c r="B811" s="5">
        <v>2021</v>
      </c>
      <c r="C811" t="s">
        <v>252</v>
      </c>
      <c r="D811" t="s">
        <v>254</v>
      </c>
      <c r="E811" t="s">
        <v>256</v>
      </c>
      <c r="F811" s="5" t="s">
        <v>26</v>
      </c>
      <c r="G811" s="7">
        <v>223756</v>
      </c>
      <c r="H811" s="7" cm="1">
        <f t="array" ref="H811">_xlfn.IFS(B811=2015,L811*$P$3,B811=2016,L811*$P$4,B811=2017,L811*$P$5,B811=2018,L811*$P$6,B811=2019,L811*$P$7,B811=2020,L811*$P$8,B811=2021,L811*$P$9,B811=2022,L811*$P$10)</f>
        <v>6113.9746043437217</v>
      </c>
      <c r="I811" s="7">
        <f t="shared" si="27"/>
        <v>229869.97460434373</v>
      </c>
      <c r="J811">
        <f>IFERROR(VLOOKUP(F811,'LEAID Match'!$A$2:$B$227,2,FALSE),"")</f>
        <v>3812020</v>
      </c>
      <c r="K811">
        <f t="shared" si="26"/>
        <v>8</v>
      </c>
      <c r="L811" cm="1">
        <f t="array" ref="L811">_xlfn.IFS(B811=2015,G811/$P$13,B811=2016,G811/$P$14,B811=2017,G811/$P$15,B811=2018,G811/$P$16,B811=2019,G811/$P$17,B811=2019,G811/$P$18,B811=2020,G811/$P$18,B811=2021,G811/$P$19,B811=2022,G811/$P$20)</f>
        <v>2.2770855137220565E-3</v>
      </c>
    </row>
    <row r="812" spans="1:12" x14ac:dyDescent="0.2">
      <c r="A812">
        <v>3812020</v>
      </c>
      <c r="B812">
        <v>2022</v>
      </c>
      <c r="C812" t="s">
        <v>252</v>
      </c>
      <c r="D812" t="s">
        <v>254</v>
      </c>
      <c r="E812" t="s">
        <v>256</v>
      </c>
      <c r="F812" s="5" t="s">
        <v>26</v>
      </c>
      <c r="G812" s="7">
        <v>214705</v>
      </c>
      <c r="H812" s="7" cm="1">
        <f t="array" ref="H812">_xlfn.IFS(B812=2015,L812*$P$3,B812=2016,L812*$P$4,B812=2017,L812*$P$5,B812=2018,L812*$P$6,B812=2019,L812*$P$7,B812=2020,L812*$P$8,B812=2021,L812*$P$9,B812=2022,L812*$P$10)</f>
        <v>4369.7970396967876</v>
      </c>
      <c r="I812" s="7">
        <f t="shared" si="27"/>
        <v>219074.7970396968</v>
      </c>
      <c r="J812">
        <f>IFERROR(VLOOKUP(F812,'LEAID Match'!$A$2:$B$227,2,FALSE),"")</f>
        <v>3812020</v>
      </c>
      <c r="K812">
        <f t="shared" si="26"/>
        <v>8</v>
      </c>
      <c r="L812" cm="1">
        <f t="array" ref="L812">_xlfn.IFS(B812=2015,G812/$P$13,B812=2016,G812/$P$14,B812=2017,G812/$P$15,B812=2018,G812/$P$16,B812=2019,G812/$P$17,B812=2019,G812/$P$18,B812=2020,G812/$P$18,B812=2021,G812/$P$19,B812=2022,G812/$P$20)</f>
        <v>2.139959373015077E-3</v>
      </c>
    </row>
    <row r="813" spans="1:12" x14ac:dyDescent="0.2">
      <c r="A813">
        <v>3812030</v>
      </c>
      <c r="B813">
        <v>2015</v>
      </c>
      <c r="C813" t="s">
        <v>252</v>
      </c>
      <c r="D813" t="s">
        <v>254</v>
      </c>
      <c r="E813" t="s">
        <v>256</v>
      </c>
      <c r="F813" s="5" t="s">
        <v>27</v>
      </c>
      <c r="G813" s="7">
        <v>86108</v>
      </c>
      <c r="H813" s="7" cm="1">
        <f t="array" ref="H813">_xlfn.IFS(B813=2015,L813*$P$3,B813=2016,L813*$P$4,B813=2017,L813*$P$5,B813=2018,L813*$P$6,B813=2019,L813*$P$7,B813=2020,L813*$P$8,B813=2021,L813*$P$9,B813=2022,L813*$P$10)</f>
        <v>1946.7660774195028</v>
      </c>
      <c r="I813" s="7">
        <f t="shared" si="27"/>
        <v>88054.76607741951</v>
      </c>
      <c r="J813">
        <f>IFERROR(VLOOKUP(F813,'LEAID Match'!$A$2:$B$227,2,FALSE),"")</f>
        <v>3812030</v>
      </c>
      <c r="K813">
        <f t="shared" si="26"/>
        <v>8</v>
      </c>
      <c r="L813" cm="1">
        <f t="array" ref="L813">_xlfn.IFS(B813=2015,G813/$P$13,B813=2016,G813/$P$14,B813=2017,G813/$P$15,B813=2018,G813/$P$16,B813=2019,G813/$P$17,B813=2019,G813/$P$18,B813=2020,G813/$P$18,B813=2021,G813/$P$19,B813=2022,G813/$P$20)</f>
        <v>1.0980068118553316E-3</v>
      </c>
    </row>
    <row r="814" spans="1:12" x14ac:dyDescent="0.2">
      <c r="A814">
        <v>3812030</v>
      </c>
      <c r="B814">
        <v>2016</v>
      </c>
      <c r="C814" t="s">
        <v>252</v>
      </c>
      <c r="D814" t="s">
        <v>254</v>
      </c>
      <c r="E814" t="s">
        <v>256</v>
      </c>
      <c r="F814" s="5" t="s">
        <v>27</v>
      </c>
      <c r="G814" s="7">
        <v>85944</v>
      </c>
      <c r="H814" s="7" cm="1">
        <f t="array" ref="H814">_xlfn.IFS(B814=2015,L814*$P$3,B814=2016,L814*$P$4,B814=2017,L814*$P$5,B814=2018,L814*$P$6,B814=2019,L814*$P$7,B814=2020,L814*$P$8,B814=2021,L814*$P$9,B814=2022,L814*$P$10)</f>
        <v>2918.4050382659061</v>
      </c>
      <c r="I814" s="7">
        <f t="shared" si="27"/>
        <v>88862.405038265904</v>
      </c>
      <c r="J814">
        <f>IFERROR(VLOOKUP(F814,'LEAID Match'!$A$2:$B$227,2,FALSE),"")</f>
        <v>3812030</v>
      </c>
      <c r="K814">
        <f t="shared" si="26"/>
        <v>8</v>
      </c>
      <c r="L814" cm="1">
        <f t="array" ref="L814">_xlfn.IFS(B814=2015,G814/$P$13,B814=2016,G814/$P$14,B814=2017,G814/$P$15,B814=2018,G814/$P$16,B814=2019,G814/$P$17,B814=2019,G814/$P$18,B814=2020,G814/$P$18,B814=2021,G814/$P$19,B814=2022,G814/$P$20)</f>
        <v>1.0374706854837917E-3</v>
      </c>
    </row>
    <row r="815" spans="1:12" x14ac:dyDescent="0.2">
      <c r="A815">
        <v>3812030</v>
      </c>
      <c r="B815">
        <v>2017</v>
      </c>
      <c r="C815" t="s">
        <v>252</v>
      </c>
      <c r="D815" t="s">
        <v>254</v>
      </c>
      <c r="E815" t="s">
        <v>256</v>
      </c>
      <c r="F815" s="5" t="s">
        <v>27</v>
      </c>
      <c r="G815" s="7">
        <v>97832</v>
      </c>
      <c r="H815" s="7" cm="1">
        <f t="array" ref="H815">_xlfn.IFS(B815=2015,L815*$P$3,B815=2016,L815*$P$4,B815=2017,L815*$P$5,B815=2018,L815*$P$6,B815=2019,L815*$P$7,B815=2020,L815*$P$8,B815=2021,L815*$P$9,B815=2022,L815*$P$10)</f>
        <v>3170.5444214386148</v>
      </c>
      <c r="I815" s="7">
        <f t="shared" si="27"/>
        <v>101002.54442143861</v>
      </c>
      <c r="J815">
        <f>IFERROR(VLOOKUP(F815,'LEAID Match'!$A$2:$B$227,2,FALSE),"")</f>
        <v>3812030</v>
      </c>
      <c r="K815">
        <f t="shared" si="26"/>
        <v>8</v>
      </c>
      <c r="L815" cm="1">
        <f t="array" ref="L815">_xlfn.IFS(B815=2015,G815/$P$13,B815=2016,G815/$P$14,B815=2017,G815/$P$15,B815=2018,G815/$P$16,B815=2019,G815/$P$17,B815=2019,G815/$P$18,B815=2020,G815/$P$18,B815=2021,G815/$P$19,B815=2022,G815/$P$20)</f>
        <v>1.1368033063602061E-3</v>
      </c>
    </row>
    <row r="816" spans="1:12" x14ac:dyDescent="0.2">
      <c r="A816">
        <v>3812030</v>
      </c>
      <c r="B816" s="5">
        <v>2018</v>
      </c>
      <c r="C816" t="s">
        <v>252</v>
      </c>
      <c r="D816" t="s">
        <v>254</v>
      </c>
      <c r="E816" t="s">
        <v>256</v>
      </c>
      <c r="F816" s="5" t="s">
        <v>27</v>
      </c>
      <c r="G816" s="7">
        <v>102065</v>
      </c>
      <c r="H816" s="7" cm="1">
        <f t="array" ref="H816">_xlfn.IFS(B816=2015,L816*$P$3,B816=2016,L816*$P$4,B816=2017,L816*$P$5,B816=2018,L816*$P$6,B816=2019,L816*$P$7,B816=2020,L816*$P$8,B816=2021,L816*$P$9,B816=2022,L816*$P$10)</f>
        <v>2796.6818960399573</v>
      </c>
      <c r="I816" s="7">
        <f t="shared" si="27"/>
        <v>104861.68189603995</v>
      </c>
      <c r="J816">
        <f>IFERROR(VLOOKUP(F816,'LEAID Match'!$A$2:$B$227,2,FALSE),"")</f>
        <v>3812030</v>
      </c>
      <c r="K816">
        <f t="shared" si="26"/>
        <v>8</v>
      </c>
      <c r="L816" cm="1">
        <f t="array" ref="L816">_xlfn.IFS(B816=2015,G816/$P$13,B816=2016,G816/$P$14,B816=2017,G816/$P$15,B816=2018,G816/$P$16,B816=2019,G816/$P$17,B816=2019,G816/$P$18,B816=2020,G816/$P$18,B816=2021,G816/$P$19,B816=2022,G816/$P$20)</f>
        <v>1.1775502720168241E-3</v>
      </c>
    </row>
    <row r="817" spans="1:12" x14ac:dyDescent="0.2">
      <c r="A817">
        <v>3812030</v>
      </c>
      <c r="B817">
        <v>2019</v>
      </c>
      <c r="C817" t="s">
        <v>252</v>
      </c>
      <c r="D817" t="s">
        <v>254</v>
      </c>
      <c r="E817" t="s">
        <v>256</v>
      </c>
      <c r="F817" s="5" t="s">
        <v>27</v>
      </c>
      <c r="G817" s="7">
        <v>106677</v>
      </c>
      <c r="H817" s="7" cm="1">
        <f t="array" ref="H817">_xlfn.IFS(B817=2015,L817*$P$3,B817=2016,L817*$P$4,B817=2017,L817*$P$5,B817=2018,L817*$P$6,B817=2019,L817*$P$7,B817=2020,L817*$P$8,B817=2021,L817*$P$9,B817=2022,L817*$P$10)</f>
        <v>2475.9544872775277</v>
      </c>
      <c r="I817" s="7">
        <f t="shared" si="27"/>
        <v>109152.95448727753</v>
      </c>
      <c r="J817">
        <f>IFERROR(VLOOKUP(F817,'LEAID Match'!$A$2:$B$227,2,FALSE),"")</f>
        <v>3812030</v>
      </c>
      <c r="K817">
        <f t="shared" si="26"/>
        <v>8</v>
      </c>
      <c r="L817" cm="1">
        <f t="array" ref="L817">_xlfn.IFS(B817=2015,G817/$P$13,B817=2016,G817/$P$14,B817=2017,G817/$P$15,B817=2018,G817/$P$16,B817=2019,G817/$P$17,B817=2019,G817/$P$18,B817=2020,G817/$P$18,B817=2021,G817/$P$19,B817=2022,G817/$P$20)</f>
        <v>1.1926563040835876E-3</v>
      </c>
    </row>
    <row r="818" spans="1:12" x14ac:dyDescent="0.2">
      <c r="A818">
        <v>3812030</v>
      </c>
      <c r="B818">
        <v>2020</v>
      </c>
      <c r="C818" t="s">
        <v>252</v>
      </c>
      <c r="D818" t="s">
        <v>254</v>
      </c>
      <c r="E818" t="s">
        <v>256</v>
      </c>
      <c r="F818" s="5" t="s">
        <v>27</v>
      </c>
      <c r="G818" s="7">
        <v>129792</v>
      </c>
      <c r="H818" s="7" cm="1">
        <f t="array" ref="H818">_xlfn.IFS(B818=2015,L818*$P$3,B818=2016,L818*$P$4,B818=2017,L818*$P$5,B818=2018,L818*$P$6,B818=2019,L818*$P$7,B818=2020,L818*$P$8,B818=2021,L818*$P$9,B818=2022,L818*$P$10)</f>
        <v>3256.2240589193075</v>
      </c>
      <c r="I818" s="7">
        <f t="shared" si="27"/>
        <v>133048.2240589193</v>
      </c>
      <c r="J818">
        <f>IFERROR(VLOOKUP(F818,'LEAID Match'!$A$2:$B$227,2,FALSE),"")</f>
        <v>3812030</v>
      </c>
      <c r="K818">
        <f t="shared" si="26"/>
        <v>8</v>
      </c>
      <c r="L818" cm="1">
        <f t="array" ref="L818">_xlfn.IFS(B818=2015,G818/$P$13,B818=2016,G818/$P$14,B818=2017,G818/$P$15,B818=2018,G818/$P$16,B818=2019,G818/$P$17,B818=2019,G818/$P$18,B818=2020,G818/$P$18,B818=2021,G818/$P$19,B818=2022,G818/$P$20)</f>
        <v>1.3951259892542021E-3</v>
      </c>
    </row>
    <row r="819" spans="1:12" x14ac:dyDescent="0.2">
      <c r="A819">
        <v>3812030</v>
      </c>
      <c r="B819" s="5">
        <v>2021</v>
      </c>
      <c r="C819" t="s">
        <v>252</v>
      </c>
      <c r="D819" t="s">
        <v>254</v>
      </c>
      <c r="E819" t="s">
        <v>256</v>
      </c>
      <c r="F819" s="5" t="s">
        <v>27</v>
      </c>
      <c r="G819" s="7">
        <v>141001</v>
      </c>
      <c r="H819" s="7" cm="1">
        <f t="array" ref="H819">_xlfn.IFS(B819=2015,L819*$P$3,B819=2016,L819*$P$4,B819=2017,L819*$P$5,B819=2018,L819*$P$6,B819=2019,L819*$P$7,B819=2020,L819*$P$8,B819=2021,L819*$P$9,B819=2022,L819*$P$10)</f>
        <v>3852.7527002049965</v>
      </c>
      <c r="I819" s="7">
        <f t="shared" si="27"/>
        <v>144853.75270020499</v>
      </c>
      <c r="J819">
        <f>IFERROR(VLOOKUP(F819,'LEAID Match'!$A$2:$B$227,2,FALSE),"")</f>
        <v>3812030</v>
      </c>
      <c r="K819">
        <f t="shared" si="26"/>
        <v>8</v>
      </c>
      <c r="L819" cm="1">
        <f t="array" ref="L819">_xlfn.IFS(B819=2015,G819/$P$13,B819=2016,G819/$P$14,B819=2017,G819/$P$15,B819=2018,G819/$P$16,B819=2019,G819/$P$17,B819=2019,G819/$P$18,B819=2020,G819/$P$18,B819=2021,G819/$P$19,B819=2022,G819/$P$20)</f>
        <v>1.4349172067802593E-3</v>
      </c>
    </row>
    <row r="820" spans="1:12" x14ac:dyDescent="0.2">
      <c r="A820">
        <v>3812030</v>
      </c>
      <c r="B820">
        <v>2022</v>
      </c>
      <c r="C820" t="s">
        <v>252</v>
      </c>
      <c r="D820" t="s">
        <v>254</v>
      </c>
      <c r="E820" t="s">
        <v>256</v>
      </c>
      <c r="F820" s="5" t="s">
        <v>27</v>
      </c>
      <c r="G820" s="7">
        <v>154646</v>
      </c>
      <c r="H820" s="7" cm="1">
        <f t="array" ref="H820">_xlfn.IFS(B820=2015,L820*$P$3,B820=2016,L820*$P$4,B820=2017,L820*$P$5,B820=2018,L820*$P$6,B820=2019,L820*$P$7,B820=2020,L820*$P$8,B820=2021,L820*$P$9,B820=2022,L820*$P$10)</f>
        <v>3147.4424582610991</v>
      </c>
      <c r="I820" s="7">
        <f t="shared" si="27"/>
        <v>157793.4424582611</v>
      </c>
      <c r="J820">
        <f>IFERROR(VLOOKUP(F820,'LEAID Match'!$A$2:$B$227,2,FALSE),"")</f>
        <v>3812030</v>
      </c>
      <c r="K820">
        <f t="shared" si="26"/>
        <v>8</v>
      </c>
      <c r="L820" cm="1">
        <f t="array" ref="L820">_xlfn.IFS(B820=2015,G820/$P$13,B820=2016,G820/$P$14,B820=2017,G820/$P$15,B820=2018,G820/$P$16,B820=2019,G820/$P$17,B820=2019,G820/$P$18,B820=2020,G820/$P$18,B820=2021,G820/$P$19,B820=2022,G820/$P$20)</f>
        <v>1.5413528199123895E-3</v>
      </c>
    </row>
    <row r="821" spans="1:12" x14ac:dyDescent="0.2">
      <c r="A821">
        <v>3812120</v>
      </c>
      <c r="B821">
        <v>2015</v>
      </c>
      <c r="C821" t="s">
        <v>252</v>
      </c>
      <c r="D821" t="s">
        <v>254</v>
      </c>
      <c r="E821" t="s">
        <v>256</v>
      </c>
      <c r="F821" s="5" t="s">
        <v>28</v>
      </c>
      <c r="G821" s="7">
        <v>16998</v>
      </c>
      <c r="H821" s="7" cm="1">
        <f t="array" ref="H821">_xlfn.IFS(B821=2015,L821*$P$3,B821=2016,L821*$P$4,B821=2017,L821*$P$5,B821=2018,L821*$P$6,B821=2019,L821*$P$7,B821=2020,L821*$P$8,B821=2021,L821*$P$9,B821=2022,L821*$P$10)</f>
        <v>384.2979721277548</v>
      </c>
      <c r="I821" s="7">
        <f t="shared" si="27"/>
        <v>17382.297972127755</v>
      </c>
      <c r="J821">
        <f>IFERROR(VLOOKUP(F821,'LEAID Match'!$A$2:$B$227,2,FALSE),"")</f>
        <v>3812120</v>
      </c>
      <c r="K821">
        <f t="shared" si="26"/>
        <v>8</v>
      </c>
      <c r="L821" cm="1">
        <f t="array" ref="L821">_xlfn.IFS(B821=2015,G821/$P$13,B821=2016,G821/$P$14,B821=2017,G821/$P$15,B821=2018,G821/$P$16,B821=2019,G821/$P$17,B821=2019,G821/$P$18,B821=2020,G821/$P$18,B821=2021,G821/$P$19,B821=2022,G821/$P$20)</f>
        <v>2.1675012528356164E-4</v>
      </c>
    </row>
    <row r="822" spans="1:12" x14ac:dyDescent="0.2">
      <c r="A822">
        <v>3812120</v>
      </c>
      <c r="B822">
        <v>2016</v>
      </c>
      <c r="C822" t="s">
        <v>252</v>
      </c>
      <c r="D822" t="s">
        <v>254</v>
      </c>
      <c r="E822" t="s">
        <v>256</v>
      </c>
      <c r="F822" s="5" t="s">
        <v>28</v>
      </c>
      <c r="G822" s="7">
        <v>22877</v>
      </c>
      <c r="H822" s="7" cm="1">
        <f t="array" ref="H822">_xlfn.IFS(B822=2015,L822*$P$3,B822=2016,L822*$P$4,B822=2017,L822*$P$5,B822=2018,L822*$P$6,B822=2019,L822*$P$7,B822=2020,L822*$P$8,B822=2021,L822*$P$9,B822=2022,L822*$P$10)</f>
        <v>776.83552150713399</v>
      </c>
      <c r="I822" s="7">
        <f t="shared" si="27"/>
        <v>23653.835521507135</v>
      </c>
      <c r="J822">
        <f>IFERROR(VLOOKUP(F822,'LEAID Match'!$A$2:$B$227,2,FALSE),"")</f>
        <v>3812120</v>
      </c>
      <c r="K822">
        <f t="shared" si="26"/>
        <v>8</v>
      </c>
      <c r="L822" cm="1">
        <f t="array" ref="L822">_xlfn.IFS(B822=2015,G822/$P$13,B822=2016,G822/$P$14,B822=2017,G822/$P$15,B822=2018,G822/$P$16,B822=2019,G822/$P$17,B822=2019,G822/$P$18,B822=2020,G822/$P$18,B822=2021,G822/$P$19,B822=2022,G822/$P$20)</f>
        <v>2.7615909047534092E-4</v>
      </c>
    </row>
    <row r="823" spans="1:12" x14ac:dyDescent="0.2">
      <c r="A823">
        <v>3812120</v>
      </c>
      <c r="B823">
        <v>2017</v>
      </c>
      <c r="C823" t="s">
        <v>252</v>
      </c>
      <c r="D823" t="s">
        <v>254</v>
      </c>
      <c r="E823" t="s">
        <v>256</v>
      </c>
      <c r="F823" s="5" t="s">
        <v>28</v>
      </c>
      <c r="G823" s="7">
        <v>19036</v>
      </c>
      <c r="H823" s="7" cm="1">
        <f t="array" ref="H823">_xlfn.IFS(B823=2015,L823*$P$3,B823=2016,L823*$P$4,B823=2017,L823*$P$5,B823=2018,L823*$P$6,B823=2019,L823*$P$7,B823=2020,L823*$P$8,B823=2021,L823*$P$9,B823=2022,L823*$P$10)</f>
        <v>616.91965416740402</v>
      </c>
      <c r="I823" s="7">
        <f t="shared" si="27"/>
        <v>19652.919654167403</v>
      </c>
      <c r="J823">
        <f>IFERROR(VLOOKUP(F823,'LEAID Match'!$A$2:$B$227,2,FALSE),"")</f>
        <v>3812120</v>
      </c>
      <c r="K823">
        <f t="shared" si="26"/>
        <v>8</v>
      </c>
      <c r="L823" cm="1">
        <f t="array" ref="L823">_xlfn.IFS(B823=2015,G823/$P$13,B823=2016,G823/$P$14,B823=2017,G823/$P$15,B823=2018,G823/$P$16,B823=2019,G823/$P$17,B823=2019,G823/$P$18,B823=2020,G823/$P$18,B823=2021,G823/$P$19,B823=2022,G823/$P$20)</f>
        <v>2.2119743785134599E-4</v>
      </c>
    </row>
    <row r="824" spans="1:12" x14ac:dyDescent="0.2">
      <c r="A824">
        <v>3812120</v>
      </c>
      <c r="B824" s="5">
        <v>2018</v>
      </c>
      <c r="C824" t="s">
        <v>252</v>
      </c>
      <c r="D824" t="s">
        <v>254</v>
      </c>
      <c r="E824" t="s">
        <v>256</v>
      </c>
      <c r="F824" s="5" t="s">
        <v>28</v>
      </c>
      <c r="G824" s="7">
        <v>13424</v>
      </c>
      <c r="H824" s="7" cm="1">
        <f t="array" ref="H824">_xlfn.IFS(B824=2015,L824*$P$3,B824=2016,L824*$P$4,B824=2017,L824*$P$5,B824=2018,L824*$P$6,B824=2019,L824*$P$7,B824=2020,L824*$P$8,B824=2021,L824*$P$9,B824=2022,L824*$P$10)</f>
        <v>367.83087025366569</v>
      </c>
      <c r="I824" s="7">
        <f t="shared" si="27"/>
        <v>13791.830870253665</v>
      </c>
      <c r="J824">
        <f>IFERROR(VLOOKUP(F824,'LEAID Match'!$A$2:$B$227,2,FALSE),"")</f>
        <v>3812120</v>
      </c>
      <c r="K824">
        <f t="shared" si="26"/>
        <v>8</v>
      </c>
      <c r="L824" cm="1">
        <f t="array" ref="L824">_xlfn.IFS(B824=2015,G824/$P$13,B824=2016,G824/$P$14,B824=2017,G824/$P$15,B824=2018,G824/$P$16,B824=2019,G824/$P$17,B824=2019,G824/$P$18,B824=2020,G824/$P$18,B824=2021,G824/$P$19,B824=2022,G824/$P$20)</f>
        <v>1.5487615589628029E-4</v>
      </c>
    </row>
    <row r="825" spans="1:12" x14ac:dyDescent="0.2">
      <c r="A825">
        <v>3812120</v>
      </c>
      <c r="B825">
        <v>2019</v>
      </c>
      <c r="C825" t="s">
        <v>252</v>
      </c>
      <c r="D825" t="s">
        <v>254</v>
      </c>
      <c r="E825" t="s">
        <v>256</v>
      </c>
      <c r="F825" s="5" t="s">
        <v>28</v>
      </c>
      <c r="G825" s="7">
        <v>16259</v>
      </c>
      <c r="H825" s="7" cm="1">
        <f t="array" ref="H825">_xlfn.IFS(B825=2015,L825*$P$3,B825=2016,L825*$P$4,B825=2017,L825*$P$5,B825=2018,L825*$P$6,B825=2019,L825*$P$7,B825=2020,L825*$P$8,B825=2021,L825*$P$9,B825=2022,L825*$P$10)</f>
        <v>377.36854250349489</v>
      </c>
      <c r="I825" s="7">
        <f t="shared" si="27"/>
        <v>16636.368542503496</v>
      </c>
      <c r="J825">
        <f>IFERROR(VLOOKUP(F825,'LEAID Match'!$A$2:$B$227,2,FALSE),"")</f>
        <v>3812120</v>
      </c>
      <c r="K825">
        <f t="shared" si="26"/>
        <v>8</v>
      </c>
      <c r="L825" cm="1">
        <f t="array" ref="L825">_xlfn.IFS(B825=2015,G825/$P$13,B825=2016,G825/$P$14,B825=2017,G825/$P$15,B825=2018,G825/$P$16,B825=2019,G825/$P$17,B825=2019,G825/$P$18,B825=2020,G825/$P$18,B825=2021,G825/$P$19,B825=2022,G825/$P$20)</f>
        <v>1.8177675457779137E-4</v>
      </c>
    </row>
    <row r="826" spans="1:12" x14ac:dyDescent="0.2">
      <c r="A826">
        <v>3812120</v>
      </c>
      <c r="B826">
        <v>2020</v>
      </c>
      <c r="C826" t="s">
        <v>252</v>
      </c>
      <c r="D826" t="s">
        <v>254</v>
      </c>
      <c r="E826" t="s">
        <v>256</v>
      </c>
      <c r="F826" s="5" t="s">
        <v>28</v>
      </c>
      <c r="G826" s="7">
        <v>15345</v>
      </c>
      <c r="H826" s="7" cm="1">
        <f t="array" ref="H826">_xlfn.IFS(B826=2015,L826*$P$3,B826=2016,L826*$P$4,B826=2017,L826*$P$5,B826=2018,L826*$P$6,B826=2019,L826*$P$7,B826=2020,L826*$P$8,B826=2021,L826*$P$9,B826=2022,L826*$P$10)</f>
        <v>384.97563936233956</v>
      </c>
      <c r="I826" s="7">
        <f t="shared" si="27"/>
        <v>15729.975639362339</v>
      </c>
      <c r="J826">
        <f>IFERROR(VLOOKUP(F826,'LEAID Match'!$A$2:$B$227,2,FALSE),"")</f>
        <v>3812120</v>
      </c>
      <c r="K826">
        <f t="shared" si="26"/>
        <v>8</v>
      </c>
      <c r="L826" cm="1">
        <f t="array" ref="L826">_xlfn.IFS(B826=2015,G826/$P$13,B826=2016,G826/$P$14,B826=2017,G826/$P$15,B826=2018,G826/$P$16,B826=2019,G826/$P$17,B826=2019,G826/$P$18,B826=2020,G826/$P$18,B826=2021,G826/$P$19,B826=2022,G826/$P$20)</f>
        <v>1.6494243331719775E-4</v>
      </c>
    </row>
    <row r="827" spans="1:12" x14ac:dyDescent="0.2">
      <c r="A827">
        <v>3812120</v>
      </c>
      <c r="B827" s="5">
        <v>2021</v>
      </c>
      <c r="C827" t="s">
        <v>252</v>
      </c>
      <c r="D827" t="s">
        <v>254</v>
      </c>
      <c r="E827" t="s">
        <v>256</v>
      </c>
      <c r="F827" s="5" t="s">
        <v>28</v>
      </c>
      <c r="G827" s="7">
        <v>17766</v>
      </c>
      <c r="H827" s="7" cm="1">
        <f t="array" ref="H827">_xlfn.IFS(B827=2015,L827*$P$3,B827=2016,L827*$P$4,B827=2017,L827*$P$5,B827=2018,L827*$P$6,B827=2019,L827*$P$7,B827=2020,L827*$P$8,B827=2021,L827*$P$9,B827=2022,L827*$P$10)</f>
        <v>485.44339736485534</v>
      </c>
      <c r="I827" s="7">
        <f t="shared" si="27"/>
        <v>18251.443397364856</v>
      </c>
      <c r="J827">
        <f>IFERROR(VLOOKUP(F827,'LEAID Match'!$A$2:$B$227,2,FALSE),"")</f>
        <v>3812120</v>
      </c>
      <c r="K827">
        <f t="shared" si="26"/>
        <v>8</v>
      </c>
      <c r="L827" cm="1">
        <f t="array" ref="L827">_xlfn.IFS(B827=2015,G827/$P$13,B827=2016,G827/$P$14,B827=2017,G827/$P$15,B827=2018,G827/$P$16,B827=2019,G827/$P$17,B827=2019,G827/$P$18,B827=2020,G827/$P$18,B827=2021,G827/$P$19,B827=2022,G827/$P$20)</f>
        <v>1.807982857969666E-4</v>
      </c>
    </row>
    <row r="828" spans="1:12" x14ac:dyDescent="0.2">
      <c r="A828">
        <v>3812120</v>
      </c>
      <c r="B828">
        <v>2022</v>
      </c>
      <c r="C828" t="s">
        <v>252</v>
      </c>
      <c r="D828" t="s">
        <v>254</v>
      </c>
      <c r="E828" t="s">
        <v>256</v>
      </c>
      <c r="F828" s="5" t="s">
        <v>28</v>
      </c>
      <c r="G828" s="7">
        <v>20613</v>
      </c>
      <c r="H828" s="7" cm="1">
        <f t="array" ref="H828">_xlfn.IFS(B828=2015,L828*$P$3,B828=2016,L828*$P$4,B828=2017,L828*$P$5,B828=2018,L828*$P$6,B828=2019,L828*$P$7,B828=2020,L828*$P$8,B828=2021,L828*$P$9,B828=2022,L828*$P$10)</f>
        <v>419.52738119405632</v>
      </c>
      <c r="I828" s="7">
        <f t="shared" si="27"/>
        <v>21032.527381194057</v>
      </c>
      <c r="J828">
        <f>IFERROR(VLOOKUP(F828,'LEAID Match'!$A$2:$B$227,2,FALSE),"")</f>
        <v>3812120</v>
      </c>
      <c r="K828">
        <f t="shared" si="26"/>
        <v>8</v>
      </c>
      <c r="L828" cm="1">
        <f t="array" ref="L828">_xlfn.IFS(B828=2015,G828/$P$13,B828=2016,G828/$P$14,B828=2017,G828/$P$15,B828=2018,G828/$P$16,B828=2019,G828/$P$17,B828=2019,G828/$P$18,B828=2020,G828/$P$18,B828=2021,G828/$P$19,B828=2022,G828/$P$20)</f>
        <v>2.0544925621648205E-4</v>
      </c>
    </row>
    <row r="829" spans="1:12" x14ac:dyDescent="0.2">
      <c r="A829">
        <v>3812350</v>
      </c>
      <c r="B829">
        <v>2015</v>
      </c>
      <c r="C829" t="s">
        <v>252</v>
      </c>
      <c r="D829" t="s">
        <v>254</v>
      </c>
      <c r="E829" t="s">
        <v>256</v>
      </c>
      <c r="F829" s="5" t="s">
        <v>184</v>
      </c>
      <c r="G829" s="7">
        <v>141424</v>
      </c>
      <c r="H829" s="7" cm="1">
        <f t="array" ref="H829">_xlfn.IFS(B829=2015,L829*$P$3,B829=2016,L829*$P$4,B829=2017,L829*$P$5,B829=2018,L829*$P$6,B829=2019,L829*$P$7,B829=2020,L829*$P$8,B829=2021,L829*$P$9,B829=2022,L829*$P$10)</f>
        <v>3197.3735974935639</v>
      </c>
      <c r="I829" s="7">
        <f t="shared" si="27"/>
        <v>144621.37359749357</v>
      </c>
      <c r="J829">
        <f>IFERROR(VLOOKUP(F829,'LEAID Match'!$A$2:$B$227,2,FALSE),"")</f>
        <v>3812350</v>
      </c>
      <c r="K829">
        <f t="shared" si="26"/>
        <v>8</v>
      </c>
      <c r="L829" cm="1">
        <f t="array" ref="L829">_xlfn.IFS(B829=2015,G829/$P$13,B829=2016,G829/$P$14,B829=2017,G829/$P$15,B829=2018,G829/$P$16,B829=2019,G829/$P$17,B829=2019,G829/$P$18,B829=2020,G829/$P$18,B829=2021,G829/$P$19,B829=2022,G829/$P$20)</f>
        <v>1.8033692033240631E-3</v>
      </c>
    </row>
    <row r="830" spans="1:12" x14ac:dyDescent="0.2">
      <c r="A830">
        <v>3812350</v>
      </c>
      <c r="B830">
        <v>2016</v>
      </c>
      <c r="C830" t="s">
        <v>252</v>
      </c>
      <c r="D830" t="s">
        <v>254</v>
      </c>
      <c r="E830" t="s">
        <v>256</v>
      </c>
      <c r="F830" s="5" t="s">
        <v>184</v>
      </c>
      <c r="G830" s="7">
        <v>150996</v>
      </c>
      <c r="H830" s="7" cm="1">
        <f t="array" ref="H830">_xlfn.IFS(B830=2015,L830*$P$3,B830=2016,L830*$P$4,B830=2017,L830*$P$5,B830=2018,L830*$P$6,B830=2019,L830*$P$7,B830=2020,L830*$P$8,B830=2021,L830*$P$9,B830=2022,L830*$P$10)</f>
        <v>5127.3793069673129</v>
      </c>
      <c r="I830" s="7">
        <f t="shared" si="27"/>
        <v>156123.37930696731</v>
      </c>
      <c r="J830">
        <f>IFERROR(VLOOKUP(F830,'LEAID Match'!$A$2:$B$227,2,FALSE),"")</f>
        <v>3812350</v>
      </c>
      <c r="K830">
        <f t="shared" si="26"/>
        <v>8</v>
      </c>
      <c r="L830" cm="1">
        <f t="array" ref="L830">_xlfn.IFS(B830=2015,G830/$P$13,B830=2016,G830/$P$14,B830=2017,G830/$P$15,B830=2018,G830/$P$16,B830=2019,G830/$P$17,B830=2019,G830/$P$18,B830=2020,G830/$P$18,B830=2021,G830/$P$19,B830=2022,G830/$P$20)</f>
        <v>1.8227441546275552E-3</v>
      </c>
    </row>
    <row r="831" spans="1:12" x14ac:dyDescent="0.2">
      <c r="A831">
        <v>3812350</v>
      </c>
      <c r="B831">
        <v>2017</v>
      </c>
      <c r="C831" t="s">
        <v>252</v>
      </c>
      <c r="D831" t="s">
        <v>254</v>
      </c>
      <c r="E831" t="s">
        <v>256</v>
      </c>
      <c r="F831" s="5" t="s">
        <v>184</v>
      </c>
      <c r="G831" s="7">
        <v>154982</v>
      </c>
      <c r="H831" s="7" cm="1">
        <f t="array" ref="H831">_xlfn.IFS(B831=2015,L831*$P$3,B831=2016,L831*$P$4,B831=2017,L831*$P$5,B831=2018,L831*$P$6,B831=2019,L831*$P$7,B831=2020,L831*$P$8,B831=2021,L831*$P$9,B831=2022,L831*$P$10)</f>
        <v>5022.6645220725259</v>
      </c>
      <c r="I831" s="7">
        <f t="shared" si="27"/>
        <v>160004.66452207253</v>
      </c>
      <c r="J831">
        <f>IFERROR(VLOOKUP(F831,'LEAID Match'!$A$2:$B$227,2,FALSE),"")</f>
        <v>3812350</v>
      </c>
      <c r="K831">
        <f t="shared" si="26"/>
        <v>8</v>
      </c>
      <c r="L831" cm="1">
        <f t="array" ref="L831">_xlfn.IFS(B831=2015,G831/$P$13,B831=2016,G831/$P$14,B831=2017,G831/$P$15,B831=2018,G831/$P$16,B831=2019,G831/$P$17,B831=2019,G831/$P$18,B831=2020,G831/$P$18,B831=2021,G831/$P$19,B831=2022,G831/$P$20)</f>
        <v>1.8008836579679189E-3</v>
      </c>
    </row>
    <row r="832" spans="1:12" x14ac:dyDescent="0.2">
      <c r="A832">
        <v>3812350</v>
      </c>
      <c r="B832" s="5">
        <v>2018</v>
      </c>
      <c r="C832" t="s">
        <v>252</v>
      </c>
      <c r="D832" t="s">
        <v>254</v>
      </c>
      <c r="E832" t="s">
        <v>256</v>
      </c>
      <c r="F832" s="5" t="s">
        <v>184</v>
      </c>
      <c r="G832" s="7">
        <v>149085</v>
      </c>
      <c r="H832" s="7" cm="1">
        <f t="array" ref="H832">_xlfn.IFS(B832=2015,L832*$P$3,B832=2016,L832*$P$4,B832=2017,L832*$P$5,B832=2018,L832*$P$6,B832=2019,L832*$P$7,B832=2020,L832*$P$8,B832=2021,L832*$P$9,B832=2022,L832*$P$10)</f>
        <v>4085.076377515476</v>
      </c>
      <c r="I832" s="7">
        <f t="shared" si="27"/>
        <v>153170.07637751548</v>
      </c>
      <c r="J832">
        <f>IFERROR(VLOOKUP(F832,'LEAID Match'!$A$2:$B$227,2,FALSE),"")</f>
        <v>3812350</v>
      </c>
      <c r="K832">
        <f t="shared" si="26"/>
        <v>8</v>
      </c>
      <c r="L832" cm="1">
        <f t="array" ref="L832">_xlfn.IFS(B832=2015,G832/$P$13,B832=2016,G832/$P$14,B832=2017,G832/$P$15,B832=2018,G832/$P$16,B832=2019,G832/$P$17,B832=2019,G832/$P$18,B832=2020,G832/$P$18,B832=2021,G832/$P$19,B832=2022,G832/$P$20)</f>
        <v>1.7200321589538846E-3</v>
      </c>
    </row>
    <row r="833" spans="1:12" x14ac:dyDescent="0.2">
      <c r="A833">
        <v>3812350</v>
      </c>
      <c r="B833">
        <v>2019</v>
      </c>
      <c r="C833" t="s">
        <v>252</v>
      </c>
      <c r="D833" t="s">
        <v>254</v>
      </c>
      <c r="E833" t="s">
        <v>256</v>
      </c>
      <c r="F833" s="5" t="s">
        <v>184</v>
      </c>
      <c r="G833" s="7">
        <v>147286</v>
      </c>
      <c r="H833" s="7" cm="1">
        <f t="array" ref="H833">_xlfn.IFS(B833=2015,L833*$P$3,B833=2016,L833*$P$4,B833=2017,L833*$P$5,B833=2018,L833*$P$6,B833=2019,L833*$P$7,B833=2020,L833*$P$8,B833=2021,L833*$P$9,B833=2022,L833*$P$10)</f>
        <v>3418.4822652789071</v>
      </c>
      <c r="I833" s="7">
        <f t="shared" si="27"/>
        <v>150704.4822652789</v>
      </c>
      <c r="J833">
        <f>IFERROR(VLOOKUP(F833,'LEAID Match'!$A$2:$B$227,2,FALSE),"")</f>
        <v>3812350</v>
      </c>
      <c r="K833">
        <f t="shared" si="26"/>
        <v>8</v>
      </c>
      <c r="L833" cm="1">
        <f t="array" ref="L833">_xlfn.IFS(B833=2015,G833/$P$13,B833=2016,G833/$P$14,B833=2017,G833/$P$15,B833=2018,G833/$P$16,B833=2019,G833/$P$17,B833=2019,G833/$P$18,B833=2020,G833/$P$18,B833=2021,G833/$P$19,B833=2022,G833/$P$20)</f>
        <v>1.6466677578414774E-3</v>
      </c>
    </row>
    <row r="834" spans="1:12" x14ac:dyDescent="0.2">
      <c r="A834">
        <v>3812350</v>
      </c>
      <c r="B834">
        <v>2020</v>
      </c>
      <c r="C834" t="s">
        <v>252</v>
      </c>
      <c r="D834" t="s">
        <v>254</v>
      </c>
      <c r="E834" t="s">
        <v>256</v>
      </c>
      <c r="F834" s="5" t="s">
        <v>184</v>
      </c>
      <c r="G834" s="7">
        <v>143731</v>
      </c>
      <c r="H834" s="7" cm="1">
        <f t="array" ref="H834">_xlfn.IFS(B834=2015,L834*$P$3,B834=2016,L834*$P$4,B834=2017,L834*$P$5,B834=2018,L834*$P$6,B834=2019,L834*$P$7,B834=2020,L834*$P$8,B834=2021,L834*$P$9,B834=2022,L834*$P$10)</f>
        <v>3605.9259446848109</v>
      </c>
      <c r="I834" s="7">
        <f t="shared" si="27"/>
        <v>147336.9259446848</v>
      </c>
      <c r="J834">
        <f>IFERROR(VLOOKUP(F834,'LEAID Match'!$A$2:$B$227,2,FALSE),"")</f>
        <v>3812350</v>
      </c>
      <c r="K834">
        <f t="shared" ref="K834:K897" si="28">COUNTIF($A$2:$A$1757,A834)</f>
        <v>8</v>
      </c>
      <c r="L834" cm="1">
        <f t="array" ref="L834">_xlfn.IFS(B834=2015,G834/$P$13,B834=2016,G834/$P$14,B834=2017,G834/$P$15,B834=2018,G834/$P$16,B834=2019,G834/$P$17,B834=2019,G834/$P$18,B834=2020,G834/$P$18,B834=2021,G834/$P$19,B834=2022,G834/$P$20)</f>
        <v>1.5449554176027469E-3</v>
      </c>
    </row>
    <row r="835" spans="1:12" x14ac:dyDescent="0.2">
      <c r="A835">
        <v>3812350</v>
      </c>
      <c r="B835" s="5">
        <v>2021</v>
      </c>
      <c r="C835" t="s">
        <v>252</v>
      </c>
      <c r="D835" t="s">
        <v>254</v>
      </c>
      <c r="E835" t="s">
        <v>256</v>
      </c>
      <c r="F835" s="5" t="s">
        <v>184</v>
      </c>
      <c r="G835" s="7">
        <v>158840</v>
      </c>
      <c r="H835" s="7" cm="1">
        <f t="array" ref="H835">_xlfn.IFS(B835=2015,L835*$P$3,B835=2016,L835*$P$4,B835=2017,L835*$P$5,B835=2018,L835*$P$6,B835=2019,L835*$P$7,B835=2020,L835*$P$8,B835=2021,L835*$P$9,B835=2022,L835*$P$10)</f>
        <v>4340.1907709914231</v>
      </c>
      <c r="I835" s="7">
        <f t="shared" ref="I835:I898" si="29">SUM(G835:H835)</f>
        <v>163180.19077099144</v>
      </c>
      <c r="J835">
        <f>IFERROR(VLOOKUP(F835,'LEAID Match'!$A$2:$B$227,2,FALSE),"")</f>
        <v>3812350</v>
      </c>
      <c r="K835">
        <f t="shared" si="28"/>
        <v>8</v>
      </c>
      <c r="L835" cm="1">
        <f t="array" ref="L835">_xlfn.IFS(B835=2015,G835/$P$13,B835=2016,G835/$P$14,B835=2017,G835/$P$15,B835=2018,G835/$P$16,B835=2019,G835/$P$17,B835=2019,G835/$P$18,B835=2020,G835/$P$18,B835=2021,G835/$P$19,B835=2022,G835/$P$20)</f>
        <v>1.6164583877063027E-3</v>
      </c>
    </row>
    <row r="836" spans="1:12" x14ac:dyDescent="0.2">
      <c r="A836">
        <v>3812350</v>
      </c>
      <c r="B836">
        <v>2022</v>
      </c>
      <c r="C836" t="s">
        <v>252</v>
      </c>
      <c r="D836" t="s">
        <v>254</v>
      </c>
      <c r="E836" t="s">
        <v>256</v>
      </c>
      <c r="F836" s="5" t="s">
        <v>184</v>
      </c>
      <c r="G836" s="7">
        <v>161540</v>
      </c>
      <c r="H836" s="7" cm="1">
        <f t="array" ref="H836">_xlfn.IFS(B836=2015,L836*$P$3,B836=2016,L836*$P$4,B836=2017,L836*$P$5,B836=2018,L836*$P$6,B836=2019,L836*$P$7,B836=2020,L836*$P$8,B836=2021,L836*$P$9,B836=2022,L836*$P$10)</f>
        <v>3287.753027608202</v>
      </c>
      <c r="I836" s="7">
        <f t="shared" si="29"/>
        <v>164827.75302760821</v>
      </c>
      <c r="J836">
        <f>IFERROR(VLOOKUP(F836,'LEAID Match'!$A$2:$B$227,2,FALSE),"")</f>
        <v>3812350</v>
      </c>
      <c r="K836">
        <f t="shared" si="28"/>
        <v>8</v>
      </c>
      <c r="L836" cm="1">
        <f t="array" ref="L836">_xlfn.IFS(B836=2015,G836/$P$13,B836=2016,G836/$P$14,B836=2017,G836/$P$15,B836=2018,G836/$P$16,B836=2019,G836/$P$17,B836=2019,G836/$P$18,B836=2020,G836/$P$18,B836=2021,G836/$P$19,B836=2022,G836/$P$20)</f>
        <v>1.6100651457434877E-3</v>
      </c>
    </row>
    <row r="837" spans="1:12" x14ac:dyDescent="0.2">
      <c r="A837">
        <v>3800041</v>
      </c>
      <c r="B837">
        <v>2015</v>
      </c>
      <c r="C837" t="s">
        <v>252</v>
      </c>
      <c r="D837" t="s">
        <v>254</v>
      </c>
      <c r="E837" t="s">
        <v>256</v>
      </c>
      <c r="F837" s="5" t="s">
        <v>29</v>
      </c>
      <c r="G837" s="7">
        <v>333513</v>
      </c>
      <c r="H837" s="7" cm="1">
        <f t="array" ref="H837">_xlfn.IFS(B837=2015,L837*$P$3,B837=2016,L837*$P$4,B837=2017,L837*$P$5,B837=2018,L837*$P$6,B837=2019,L837*$P$7,B837=2020,L837*$P$8,B837=2021,L837*$P$9,B837=2022,L837*$P$10)</f>
        <v>7540.2029402426106</v>
      </c>
      <c r="I837" s="7">
        <f t="shared" si="29"/>
        <v>341053.2029402426</v>
      </c>
      <c r="J837">
        <f>IFERROR(VLOOKUP(F837,'LEAID Match'!$A$2:$B$227,2,FALSE),"")</f>
        <v>3800041</v>
      </c>
      <c r="K837">
        <f t="shared" si="28"/>
        <v>8</v>
      </c>
      <c r="L837" cm="1">
        <f t="array" ref="L837">_xlfn.IFS(B837=2015,G837/$P$13,B837=2016,G837/$P$14,B837=2017,G837/$P$15,B837=2018,G837/$P$16,B837=2019,G837/$P$17,B837=2019,G837/$P$18,B837=2020,G837/$P$18,B837=2021,G837/$P$19,B837=2022,G837/$P$20)</f>
        <v>4.2527935365158547E-3</v>
      </c>
    </row>
    <row r="838" spans="1:12" x14ac:dyDescent="0.2">
      <c r="A838">
        <v>3800041</v>
      </c>
      <c r="B838">
        <v>2016</v>
      </c>
      <c r="C838" t="s">
        <v>252</v>
      </c>
      <c r="D838" t="s">
        <v>254</v>
      </c>
      <c r="E838" t="s">
        <v>256</v>
      </c>
      <c r="F838" s="5" t="s">
        <v>29</v>
      </c>
      <c r="G838" s="7">
        <v>350336</v>
      </c>
      <c r="H838" s="7" cm="1">
        <f t="array" ref="H838">_xlfn.IFS(B838=2015,L838*$P$3,B838=2016,L838*$P$4,B838=2017,L838*$P$5,B838=2018,L838*$P$6,B838=2019,L838*$P$7,B838=2020,L838*$P$8,B838=2021,L838*$P$9,B838=2022,L838*$P$10)</f>
        <v>11896.378426486135</v>
      </c>
      <c r="I838" s="7">
        <f t="shared" si="29"/>
        <v>362232.37842648616</v>
      </c>
      <c r="J838">
        <f>IFERROR(VLOOKUP(F838,'LEAID Match'!$A$2:$B$227,2,FALSE),"")</f>
        <v>3800041</v>
      </c>
      <c r="K838">
        <f t="shared" si="28"/>
        <v>8</v>
      </c>
      <c r="L838" cm="1">
        <f t="array" ref="L838">_xlfn.IFS(B838=2015,G838/$P$13,B838=2016,G838/$P$14,B838=2017,G838/$P$15,B838=2018,G838/$P$16,B838=2019,G838/$P$17,B838=2019,G838/$P$18,B838=2020,G838/$P$18,B838=2021,G838/$P$19,B838=2022,G838/$P$20)</f>
        <v>4.229071605576301E-3</v>
      </c>
    </row>
    <row r="839" spans="1:12" x14ac:dyDescent="0.2">
      <c r="A839">
        <v>3800041</v>
      </c>
      <c r="B839">
        <v>2017</v>
      </c>
      <c r="C839" t="s">
        <v>252</v>
      </c>
      <c r="D839" t="s">
        <v>254</v>
      </c>
      <c r="E839" t="s">
        <v>256</v>
      </c>
      <c r="F839" s="5" t="s">
        <v>29</v>
      </c>
      <c r="G839" s="7">
        <v>358083</v>
      </c>
      <c r="H839" s="7" cm="1">
        <f t="array" ref="H839">_xlfn.IFS(B839=2015,L839*$P$3,B839=2016,L839*$P$4,B839=2017,L839*$P$5,B839=2018,L839*$P$6,B839=2019,L839*$P$7,B839=2020,L839*$P$8,B839=2021,L839*$P$9,B839=2022,L839*$P$10)</f>
        <v>11604.772038412824</v>
      </c>
      <c r="I839" s="7">
        <f t="shared" si="29"/>
        <v>369687.7720384128</v>
      </c>
      <c r="J839">
        <f>IFERROR(VLOOKUP(F839,'LEAID Match'!$A$2:$B$227,2,FALSE),"")</f>
        <v>3800041</v>
      </c>
      <c r="K839">
        <f t="shared" si="28"/>
        <v>8</v>
      </c>
      <c r="L839" cm="1">
        <f t="array" ref="L839">_xlfn.IFS(B839=2015,G839/$P$13,B839=2016,G839/$P$14,B839=2017,G839/$P$15,B839=2018,G839/$P$16,B839=2019,G839/$P$17,B839=2019,G839/$P$18,B839=2020,G839/$P$18,B839=2021,G839/$P$19,B839=2022,G839/$P$20)</f>
        <v>4.1609078660497754E-3</v>
      </c>
    </row>
    <row r="840" spans="1:12" x14ac:dyDescent="0.2">
      <c r="A840">
        <v>3800041</v>
      </c>
      <c r="B840" s="5">
        <v>2018</v>
      </c>
      <c r="C840" t="s">
        <v>252</v>
      </c>
      <c r="D840" t="s">
        <v>254</v>
      </c>
      <c r="E840" t="s">
        <v>256</v>
      </c>
      <c r="F840" s="5" t="s">
        <v>29</v>
      </c>
      <c r="G840" s="7">
        <v>351818</v>
      </c>
      <c r="H840" s="7" cm="1">
        <f t="array" ref="H840">_xlfn.IFS(B840=2015,L840*$P$3,B840=2016,L840*$P$4,B840=2017,L840*$P$5,B840=2018,L840*$P$6,B840=2019,L840*$P$7,B840=2020,L840*$P$8,B840=2021,L840*$P$9,B840=2022,L840*$P$10)</f>
        <v>9640.1609885953621</v>
      </c>
      <c r="I840" s="7">
        <f t="shared" si="29"/>
        <v>361458.16098859534</v>
      </c>
      <c r="J840">
        <f>IFERROR(VLOOKUP(F840,'LEAID Match'!$A$2:$B$227,2,FALSE),"")</f>
        <v>3800041</v>
      </c>
      <c r="K840">
        <f t="shared" si="28"/>
        <v>8</v>
      </c>
      <c r="L840" cm="1">
        <f t="array" ref="L840">_xlfn.IFS(B840=2015,G840/$P$13,B840=2016,G840/$P$14,B840=2017,G840/$P$15,B840=2018,G840/$P$16,B840=2019,G840/$P$17,B840=2019,G840/$P$18,B840=2020,G840/$P$18,B840=2021,G840/$P$19,B840=2022,G840/$P$20)</f>
        <v>4.0590151530927841E-3</v>
      </c>
    </row>
    <row r="841" spans="1:12" x14ac:dyDescent="0.2">
      <c r="A841">
        <v>3800041</v>
      </c>
      <c r="B841">
        <v>2019</v>
      </c>
      <c r="C841" t="s">
        <v>252</v>
      </c>
      <c r="D841" t="s">
        <v>254</v>
      </c>
      <c r="E841" t="s">
        <v>256</v>
      </c>
      <c r="F841" s="5" t="s">
        <v>29</v>
      </c>
      <c r="G841" s="7">
        <v>350640</v>
      </c>
      <c r="H841" s="7" cm="1">
        <f t="array" ref="H841">_xlfn.IFS(B841=2015,L841*$P$3,B841=2016,L841*$P$4,B841=2017,L841*$P$5,B841=2018,L841*$P$6,B841=2019,L841*$P$7,B841=2020,L841*$P$8,B841=2021,L841*$P$9,B841=2022,L841*$P$10)</f>
        <v>8138.2929911695328</v>
      </c>
      <c r="I841" s="7">
        <f t="shared" si="29"/>
        <v>358778.29299116955</v>
      </c>
      <c r="J841">
        <f>IFERROR(VLOOKUP(F841,'LEAID Match'!$A$2:$B$227,2,FALSE),"")</f>
        <v>3800041</v>
      </c>
      <c r="K841">
        <f t="shared" si="28"/>
        <v>8</v>
      </c>
      <c r="L841" cm="1">
        <f t="array" ref="L841">_xlfn.IFS(B841=2015,G841/$P$13,B841=2016,G841/$P$14,B841=2017,G841/$P$15,B841=2018,G841/$P$16,B841=2019,G841/$P$17,B841=2019,G841/$P$18,B841=2020,G841/$P$18,B841=2021,G841/$P$19,B841=2022,G841/$P$20)</f>
        <v>3.9201796681934166E-3</v>
      </c>
    </row>
    <row r="842" spans="1:12" x14ac:dyDescent="0.2">
      <c r="A842">
        <v>3800041</v>
      </c>
      <c r="B842">
        <v>2020</v>
      </c>
      <c r="C842" t="s">
        <v>252</v>
      </c>
      <c r="D842" t="s">
        <v>254</v>
      </c>
      <c r="E842" t="s">
        <v>256</v>
      </c>
      <c r="F842" s="5" t="s">
        <v>29</v>
      </c>
      <c r="G842" s="7">
        <v>352536</v>
      </c>
      <c r="H842" s="7" cm="1">
        <f t="array" ref="H842">_xlfn.IFS(B842=2015,L842*$P$3,B842=2016,L842*$P$4,B842=2017,L842*$P$5,B842=2018,L842*$P$6,B842=2019,L842*$P$7,B842=2020,L842*$P$8,B842=2021,L842*$P$9,B842=2022,L842*$P$10)</f>
        <v>8844.4295860698421</v>
      </c>
      <c r="I842" s="7">
        <f t="shared" si="29"/>
        <v>361380.42958606983</v>
      </c>
      <c r="J842">
        <f>IFERROR(VLOOKUP(F842,'LEAID Match'!$A$2:$B$227,2,FALSE),"")</f>
        <v>3800041</v>
      </c>
      <c r="K842">
        <f t="shared" si="28"/>
        <v>8</v>
      </c>
      <c r="L842" cm="1">
        <f t="array" ref="L842">_xlfn.IFS(B842=2015,G842/$P$13,B842=2016,G842/$P$14,B842=2017,G842/$P$15,B842=2018,G842/$P$16,B842=2019,G842/$P$17,B842=2019,G842/$P$18,B842=2020,G842/$P$18,B842=2021,G842/$P$19,B842=2022,G842/$P$20)</f>
        <v>3.7893871405612007E-3</v>
      </c>
    </row>
    <row r="843" spans="1:12" x14ac:dyDescent="0.2">
      <c r="A843">
        <v>3800041</v>
      </c>
      <c r="B843" s="5">
        <v>2021</v>
      </c>
      <c r="C843" t="s">
        <v>252</v>
      </c>
      <c r="D843" t="s">
        <v>254</v>
      </c>
      <c r="E843" t="s">
        <v>256</v>
      </c>
      <c r="F843" s="5" t="s">
        <v>29</v>
      </c>
      <c r="G843" s="7">
        <v>347447</v>
      </c>
      <c r="H843" s="7" cm="1">
        <f t="array" ref="H843">_xlfn.IFS(B843=2015,L843*$P$3,B843=2016,L843*$P$4,B843=2017,L843*$P$5,B843=2018,L843*$P$6,B843=2019,L843*$P$7,B843=2020,L843*$P$8,B843=2021,L843*$P$9,B843=2022,L843*$P$10)</f>
        <v>9493.7437849953221</v>
      </c>
      <c r="I843" s="7">
        <f t="shared" si="29"/>
        <v>356940.74378499534</v>
      </c>
      <c r="J843">
        <f>IFERROR(VLOOKUP(F843,'LEAID Match'!$A$2:$B$227,2,FALSE),"")</f>
        <v>3800041</v>
      </c>
      <c r="K843">
        <f t="shared" si="28"/>
        <v>8</v>
      </c>
      <c r="L843" cm="1">
        <f t="array" ref="L843">_xlfn.IFS(B843=2015,G843/$P$13,B843=2016,G843/$P$14,B843=2017,G843/$P$15,B843=2018,G843/$P$16,B843=2019,G843/$P$17,B843=2019,G843/$P$18,B843=2020,G843/$P$18,B843=2021,G843/$P$19,B843=2022,G843/$P$20)</f>
        <v>3.5358449851006783E-3</v>
      </c>
    </row>
    <row r="844" spans="1:12" x14ac:dyDescent="0.2">
      <c r="A844">
        <v>3800041</v>
      </c>
      <c r="B844">
        <v>2022</v>
      </c>
      <c r="C844" t="s">
        <v>252</v>
      </c>
      <c r="D844" t="s">
        <v>254</v>
      </c>
      <c r="E844" t="s">
        <v>256</v>
      </c>
      <c r="F844" s="5" t="s">
        <v>29</v>
      </c>
      <c r="G844" s="7">
        <v>366725</v>
      </c>
      <c r="H844" s="7" cm="1">
        <f t="array" ref="H844">_xlfn.IFS(B844=2015,L844*$P$3,B844=2016,L844*$P$4,B844=2017,L844*$P$5,B844=2018,L844*$P$6,B844=2019,L844*$P$7,B844=2020,L844*$P$8,B844=2021,L844*$P$9,B844=2022,L844*$P$10)</f>
        <v>7463.7936675103247</v>
      </c>
      <c r="I844" s="7">
        <f t="shared" si="29"/>
        <v>374188.79366751033</v>
      </c>
      <c r="J844">
        <f>IFERROR(VLOOKUP(F844,'LEAID Match'!$A$2:$B$227,2,FALSE),"")</f>
        <v>3800041</v>
      </c>
      <c r="K844">
        <f t="shared" si="28"/>
        <v>8</v>
      </c>
      <c r="L844" cm="1">
        <f t="array" ref="L844">_xlfn.IFS(B844=2015,G844/$P$13,B844=2016,G844/$P$14,B844=2017,G844/$P$15,B844=2018,G844/$P$16,B844=2019,G844/$P$17,B844=2019,G844/$P$18,B844=2020,G844/$P$18,B844=2021,G844/$P$19,B844=2022,G844/$P$20)</f>
        <v>3.6551389165084842E-3</v>
      </c>
    </row>
    <row r="845" spans="1:12" x14ac:dyDescent="0.2">
      <c r="A845">
        <v>3812430</v>
      </c>
      <c r="B845">
        <v>2015</v>
      </c>
      <c r="C845" t="s">
        <v>252</v>
      </c>
      <c r="D845" t="s">
        <v>254</v>
      </c>
      <c r="E845" t="s">
        <v>256</v>
      </c>
      <c r="F845" s="5" t="s">
        <v>30</v>
      </c>
      <c r="G845" s="7">
        <v>84377</v>
      </c>
      <c r="H845" s="7" cm="1">
        <f t="array" ref="H845">_xlfn.IFS(B845=2015,L845*$P$3,B845=2016,L845*$P$4,B845=2017,L845*$P$5,B845=2018,L845*$P$6,B845=2019,L845*$P$7,B845=2020,L845*$P$8,B845=2021,L845*$P$9,B845=2022,L845*$P$10)</f>
        <v>1907.6308974128465</v>
      </c>
      <c r="I845" s="7">
        <f t="shared" si="29"/>
        <v>86284.630897412848</v>
      </c>
      <c r="J845">
        <f>IFERROR(VLOOKUP(F845,'LEAID Match'!$A$2:$B$227,2,FALSE),"")</f>
        <v>3812430</v>
      </c>
      <c r="K845">
        <f t="shared" si="28"/>
        <v>8</v>
      </c>
      <c r="L845" cm="1">
        <f t="array" ref="L845">_xlfn.IFS(B845=2015,G845/$P$13,B845=2016,G845/$P$14,B845=2017,G845/$P$15,B845=2018,G845/$P$16,B845=2019,G845/$P$17,B845=2019,G845/$P$18,B845=2020,G845/$P$18,B845=2021,G845/$P$19,B845=2022,G845/$P$20)</f>
        <v>1.0759339522915096E-3</v>
      </c>
    </row>
    <row r="846" spans="1:12" x14ac:dyDescent="0.2">
      <c r="A846">
        <v>3812430</v>
      </c>
      <c r="B846">
        <v>2016</v>
      </c>
      <c r="C846" t="s">
        <v>252</v>
      </c>
      <c r="D846" t="s">
        <v>254</v>
      </c>
      <c r="E846" t="s">
        <v>256</v>
      </c>
      <c r="F846" s="5" t="s">
        <v>30</v>
      </c>
      <c r="G846" s="7">
        <v>94628</v>
      </c>
      <c r="H846" s="7" cm="1">
        <f t="array" ref="H846">_xlfn.IFS(B846=2015,L846*$P$3,B846=2016,L846*$P$4,B846=2017,L846*$P$5,B846=2018,L846*$P$6,B846=2019,L846*$P$7,B846=2020,L846*$P$8,B846=2021,L846*$P$9,B846=2022,L846*$P$10)</f>
        <v>3213.2880941197309</v>
      </c>
      <c r="I846" s="7">
        <f t="shared" si="29"/>
        <v>97841.288094119736</v>
      </c>
      <c r="J846">
        <f>IFERROR(VLOOKUP(F846,'LEAID Match'!$A$2:$B$227,2,FALSE),"")</f>
        <v>3812430</v>
      </c>
      <c r="K846">
        <f t="shared" si="28"/>
        <v>8</v>
      </c>
      <c r="L846" cm="1">
        <f t="array" ref="L846">_xlfn.IFS(B846=2015,G846/$P$13,B846=2016,G846/$P$14,B846=2017,G846/$P$15,B846=2018,G846/$P$16,B846=2019,G846/$P$17,B846=2019,G846/$P$18,B846=2020,G846/$P$18,B846=2021,G846/$P$19,B846=2022,G846/$P$20)</f>
        <v>1.1422993580233669E-3</v>
      </c>
    </row>
    <row r="847" spans="1:12" x14ac:dyDescent="0.2">
      <c r="A847">
        <v>3812430</v>
      </c>
      <c r="B847">
        <v>2017</v>
      </c>
      <c r="C847" t="s">
        <v>252</v>
      </c>
      <c r="D847" t="s">
        <v>254</v>
      </c>
      <c r="E847" t="s">
        <v>256</v>
      </c>
      <c r="F847" s="5" t="s">
        <v>30</v>
      </c>
      <c r="G847" s="7">
        <v>83809</v>
      </c>
      <c r="H847" s="7" cm="1">
        <f t="array" ref="H847">_xlfn.IFS(B847=2015,L847*$P$3,B847=2016,L847*$P$4,B847=2017,L847*$P$5,B847=2018,L847*$P$6,B847=2019,L847*$P$7,B847=2020,L847*$P$8,B847=2021,L847*$P$9,B847=2022,L847*$P$10)</f>
        <v>2716.0863257047681</v>
      </c>
      <c r="I847" s="7">
        <f t="shared" si="29"/>
        <v>86525.086325704775</v>
      </c>
      <c r="J847">
        <f>IFERROR(VLOOKUP(F847,'LEAID Match'!$A$2:$B$227,2,FALSE),"")</f>
        <v>3812430</v>
      </c>
      <c r="K847">
        <f t="shared" si="28"/>
        <v>8</v>
      </c>
      <c r="L847" cm="1">
        <f t="array" ref="L847">_xlfn.IFS(B847=2015,G847/$P$13,B847=2016,G847/$P$14,B847=2017,G847/$P$15,B847=2018,G847/$P$16,B847=2019,G847/$P$17,B847=2019,G847/$P$18,B847=2020,G847/$P$18,B847=2021,G847/$P$19,B847=2022,G847/$P$20)</f>
        <v>9.7385669620106419E-4</v>
      </c>
    </row>
    <row r="848" spans="1:12" x14ac:dyDescent="0.2">
      <c r="A848">
        <v>3812430</v>
      </c>
      <c r="B848" s="5">
        <v>2018</v>
      </c>
      <c r="C848" t="s">
        <v>252</v>
      </c>
      <c r="D848" t="s">
        <v>254</v>
      </c>
      <c r="E848" t="s">
        <v>256</v>
      </c>
      <c r="F848" s="5" t="s">
        <v>30</v>
      </c>
      <c r="G848" s="7">
        <v>71518</v>
      </c>
      <c r="H848" s="7" cm="1">
        <f t="array" ref="H848">_xlfn.IFS(B848=2015,L848*$P$3,B848=2016,L848*$P$4,B848=2017,L848*$P$5,B848=2018,L848*$P$6,B848=2019,L848*$P$7,B848=2020,L848*$P$8,B848=2021,L848*$P$9,B848=2022,L848*$P$10)</f>
        <v>1959.6638988976208</v>
      </c>
      <c r="I848" s="7">
        <f t="shared" si="29"/>
        <v>73477.663898897619</v>
      </c>
      <c r="J848">
        <f>IFERROR(VLOOKUP(F848,'LEAID Match'!$A$2:$B$227,2,FALSE),"")</f>
        <v>3812430</v>
      </c>
      <c r="K848">
        <f t="shared" si="28"/>
        <v>8</v>
      </c>
      <c r="L848" cm="1">
        <f t="array" ref="L848">_xlfn.IFS(B848=2015,G848/$P$13,B848=2016,G848/$P$14,B848=2017,G848/$P$15,B848=2018,G848/$P$16,B848=2019,G848/$P$17,B848=2019,G848/$P$18,B848=2020,G848/$P$18,B848=2021,G848/$P$19,B848=2022,G848/$P$20)</f>
        <v>8.2512164164110348E-4</v>
      </c>
    </row>
    <row r="849" spans="1:12" x14ac:dyDescent="0.2">
      <c r="A849">
        <v>3812430</v>
      </c>
      <c r="B849">
        <v>2019</v>
      </c>
      <c r="C849" t="s">
        <v>252</v>
      </c>
      <c r="D849" t="s">
        <v>254</v>
      </c>
      <c r="E849" t="s">
        <v>256</v>
      </c>
      <c r="F849" s="5" t="s">
        <v>30</v>
      </c>
      <c r="G849" s="7">
        <v>88657</v>
      </c>
      <c r="H849" s="7" cm="1">
        <f t="array" ref="H849">_xlfn.IFS(B849=2015,L849*$P$3,B849=2016,L849*$P$4,B849=2017,L849*$P$5,B849=2018,L849*$P$6,B849=2019,L849*$P$7,B849=2020,L849*$P$8,B849=2021,L849*$P$9,B849=2022,L849*$P$10)</f>
        <v>2057.7134431842273</v>
      </c>
      <c r="I849" s="7">
        <f t="shared" si="29"/>
        <v>90714.713443184228</v>
      </c>
      <c r="J849">
        <f>IFERROR(VLOOKUP(F849,'LEAID Match'!$A$2:$B$227,2,FALSE),"")</f>
        <v>3812430</v>
      </c>
      <c r="K849">
        <f t="shared" si="28"/>
        <v>8</v>
      </c>
      <c r="L849" cm="1">
        <f t="array" ref="L849">_xlfn.IFS(B849=2015,G849/$P$13,B849=2016,G849/$P$14,B849=2017,G849/$P$15,B849=2018,G849/$P$16,B849=2019,G849/$P$17,B849=2019,G849/$P$18,B849=2020,G849/$P$18,B849=2021,G849/$P$19,B849=2022,G849/$P$20)</f>
        <v>9.911914466205333E-4</v>
      </c>
    </row>
    <row r="850" spans="1:12" x14ac:dyDescent="0.2">
      <c r="A850">
        <v>3812430</v>
      </c>
      <c r="B850">
        <v>2020</v>
      </c>
      <c r="C850" t="s">
        <v>252</v>
      </c>
      <c r="D850" t="s">
        <v>254</v>
      </c>
      <c r="E850" t="s">
        <v>256</v>
      </c>
      <c r="F850" s="5" t="s">
        <v>30</v>
      </c>
      <c r="G850" s="7">
        <v>84285</v>
      </c>
      <c r="H850" s="7" cm="1">
        <f t="array" ref="H850">_xlfn.IFS(B850=2015,L850*$P$3,B850=2016,L850*$P$4,B850=2017,L850*$P$5,B850=2018,L850*$P$6,B850=2019,L850*$P$7,B850=2020,L850*$P$8,B850=2021,L850*$P$9,B850=2022,L850*$P$10)</f>
        <v>2114.5436144447563</v>
      </c>
      <c r="I850" s="7">
        <f t="shared" si="29"/>
        <v>86399.543614444759</v>
      </c>
      <c r="J850">
        <f>IFERROR(VLOOKUP(F850,'LEAID Match'!$A$2:$B$227,2,FALSE),"")</f>
        <v>3812430</v>
      </c>
      <c r="K850">
        <f t="shared" si="28"/>
        <v>8</v>
      </c>
      <c r="L850" cm="1">
        <f t="array" ref="L850">_xlfn.IFS(B850=2015,G850/$P$13,B850=2016,G850/$P$14,B850=2017,G850/$P$15,B850=2018,G850/$P$16,B850=2019,G850/$P$17,B850=2019,G850/$P$18,B850=2020,G850/$P$18,B850=2021,G850/$P$19,B850=2022,G850/$P$20)</f>
        <v>9.0597412786836177E-4</v>
      </c>
    </row>
    <row r="851" spans="1:12" x14ac:dyDescent="0.2">
      <c r="A851">
        <v>3812430</v>
      </c>
      <c r="B851" s="5">
        <v>2021</v>
      </c>
      <c r="C851" t="s">
        <v>252</v>
      </c>
      <c r="D851" t="s">
        <v>254</v>
      </c>
      <c r="E851" t="s">
        <v>256</v>
      </c>
      <c r="F851" s="5" t="s">
        <v>30</v>
      </c>
      <c r="G851" s="7">
        <v>96821</v>
      </c>
      <c r="H851" s="7" cm="1">
        <f t="array" ref="H851">_xlfn.IFS(B851=2015,L851*$P$3,B851=2016,L851*$P$4,B851=2017,L851*$P$5,B851=2018,L851*$P$6,B851=2019,L851*$P$7,B851=2020,L851*$P$8,B851=2021,L851*$P$9,B851=2022,L851*$P$10)</f>
        <v>2645.5654157527106</v>
      </c>
      <c r="I851" s="7">
        <f t="shared" si="29"/>
        <v>99466.565415752717</v>
      </c>
      <c r="J851">
        <f>IFERROR(VLOOKUP(F851,'LEAID Match'!$A$2:$B$227,2,FALSE),"")</f>
        <v>3812430</v>
      </c>
      <c r="K851">
        <f t="shared" si="28"/>
        <v>8</v>
      </c>
      <c r="L851" cm="1">
        <f t="array" ref="L851">_xlfn.IFS(B851=2015,G851/$P$13,B851=2016,G851/$P$14,B851=2017,G851/$P$15,B851=2018,G851/$P$16,B851=2019,G851/$P$17,B851=2019,G851/$P$18,B851=2020,G851/$P$18,B851=2021,G851/$P$19,B851=2022,G851/$P$20)</f>
        <v>9.8531300400473386E-4</v>
      </c>
    </row>
    <row r="852" spans="1:12" x14ac:dyDescent="0.2">
      <c r="A852">
        <v>3812430</v>
      </c>
      <c r="B852">
        <v>2022</v>
      </c>
      <c r="C852" t="s">
        <v>252</v>
      </c>
      <c r="D852" t="s">
        <v>254</v>
      </c>
      <c r="E852" t="s">
        <v>256</v>
      </c>
      <c r="F852" s="5" t="s">
        <v>30</v>
      </c>
      <c r="G852" s="7">
        <v>98164</v>
      </c>
      <c r="H852" s="7" cm="1">
        <f t="array" ref="H852">_xlfn.IFS(B852=2015,L852*$P$3,B852=2016,L852*$P$4,B852=2017,L852*$P$5,B852=2018,L852*$P$6,B852=2019,L852*$P$7,B852=2020,L852*$P$8,B852=2021,L852*$P$9,B852=2022,L852*$P$10)</f>
        <v>1997.8889946894362</v>
      </c>
      <c r="I852" s="7">
        <f t="shared" si="29"/>
        <v>100161.88899468943</v>
      </c>
      <c r="J852">
        <f>IFERROR(VLOOKUP(F852,'LEAID Match'!$A$2:$B$227,2,FALSE),"")</f>
        <v>3812430</v>
      </c>
      <c r="K852">
        <f t="shared" si="28"/>
        <v>8</v>
      </c>
      <c r="L852" cm="1">
        <f t="array" ref="L852">_xlfn.IFS(B852=2015,G852/$P$13,B852=2016,G852/$P$14,B852=2017,G852/$P$15,B852=2018,G852/$P$16,B852=2019,G852/$P$17,B852=2019,G852/$P$18,B852=2020,G852/$P$18,B852=2021,G852/$P$19,B852=2022,G852/$P$20)</f>
        <v>9.7839813647866616E-4</v>
      </c>
    </row>
    <row r="853" spans="1:12" x14ac:dyDescent="0.2">
      <c r="B853">
        <v>2015</v>
      </c>
      <c r="C853" t="s">
        <v>252</v>
      </c>
      <c r="D853" t="s">
        <v>254</v>
      </c>
      <c r="E853" t="s">
        <v>256</v>
      </c>
      <c r="F853" s="5" t="s">
        <v>31</v>
      </c>
      <c r="G853" s="7">
        <v>6220</v>
      </c>
      <c r="H853" s="7" cm="1">
        <f t="array" ref="H853">_xlfn.IFS(B853=2015,L853*$P$3,B853=2016,L853*$P$4,B853=2017,L853*$P$5,B853=2018,L853*$P$6,B853=2019,L853*$P$7,B853=2020,L853*$P$8,B853=2021,L853*$P$9,B853=2022,L853*$P$10)</f>
        <v>140.62439031854541</v>
      </c>
      <c r="I853" s="7">
        <f t="shared" si="29"/>
        <v>6360.624390318545</v>
      </c>
      <c r="J853">
        <f>IFERROR(VLOOKUP(F853,'LEAID Match'!$A$2:$B$227,2,FALSE),"")</f>
        <v>0</v>
      </c>
      <c r="K853">
        <f t="shared" si="28"/>
        <v>130</v>
      </c>
      <c r="L853" cm="1">
        <f t="array" ref="L853">_xlfn.IFS(B853=2015,G853/$P$13,B853=2016,G853/$P$14,B853=2017,G853/$P$15,B853=2018,G853/$P$16,B853=2019,G853/$P$17,B853=2019,G853/$P$18,B853=2020,G853/$P$18,B853=2021,G853/$P$19,B853=2022,G853/$P$20)</f>
        <v>7.9314376942213994E-5</v>
      </c>
    </row>
    <row r="854" spans="1:12" x14ac:dyDescent="0.2">
      <c r="B854">
        <v>2016</v>
      </c>
      <c r="C854" t="s">
        <v>252</v>
      </c>
      <c r="D854" t="s">
        <v>254</v>
      </c>
      <c r="E854" t="s">
        <v>256</v>
      </c>
      <c r="F854" s="5" t="s">
        <v>31</v>
      </c>
      <c r="G854" s="7">
        <v>5128</v>
      </c>
      <c r="H854" s="7" cm="1">
        <f t="array" ref="H854">_xlfn.IFS(B854=2015,L854*$P$3,B854=2016,L854*$P$4,B854=2017,L854*$P$5,B854=2018,L854*$P$6,B854=2019,L854*$P$7,B854=2020,L854*$P$8,B854=2021,L854*$P$9,B854=2022,L854*$P$10)</f>
        <v>174.13177227296339</v>
      </c>
      <c r="I854" s="7">
        <f t="shared" si="29"/>
        <v>5302.1317722729636</v>
      </c>
      <c r="J854">
        <f>IFERROR(VLOOKUP(F854,'LEAID Match'!$A$2:$B$227,2,FALSE),"")</f>
        <v>0</v>
      </c>
      <c r="K854">
        <f t="shared" si="28"/>
        <v>130</v>
      </c>
      <c r="L854" cm="1">
        <f t="array" ref="L854">_xlfn.IFS(B854=2015,G854/$P$13,B854=2016,G854/$P$14,B854=2017,G854/$P$15,B854=2018,G854/$P$16,B854=2019,G854/$P$17,B854=2019,G854/$P$18,B854=2020,G854/$P$18,B854=2021,G854/$P$19,B854=2022,G854/$P$20)</f>
        <v>6.1902514138984497E-5</v>
      </c>
    </row>
    <row r="855" spans="1:12" x14ac:dyDescent="0.2">
      <c r="B855">
        <v>2017</v>
      </c>
      <c r="C855" t="s">
        <v>252</v>
      </c>
      <c r="D855" t="s">
        <v>254</v>
      </c>
      <c r="E855" t="s">
        <v>256</v>
      </c>
      <c r="F855" s="5" t="s">
        <v>31</v>
      </c>
      <c r="G855" s="7">
        <v>5561</v>
      </c>
      <c r="H855" s="7" cm="1">
        <f t="array" ref="H855">_xlfn.IFS(B855=2015,L855*$P$3,B855=2016,L855*$P$4,B855=2017,L855*$P$5,B855=2018,L855*$P$6,B855=2019,L855*$P$7,B855=2020,L855*$P$8,B855=2021,L855*$P$9,B855=2022,L855*$P$10)</f>
        <v>180.22117024715979</v>
      </c>
      <c r="I855" s="7">
        <f t="shared" si="29"/>
        <v>5741.2211702471595</v>
      </c>
      <c r="J855">
        <f>IFERROR(VLOOKUP(F855,'LEAID Match'!$A$2:$B$227,2,FALSE),"")</f>
        <v>0</v>
      </c>
      <c r="K855">
        <f t="shared" si="28"/>
        <v>130</v>
      </c>
      <c r="L855" cm="1">
        <f t="array" ref="L855">_xlfn.IFS(B855=2015,G855/$P$13,B855=2016,G855/$P$14,B855=2017,G855/$P$15,B855=2018,G855/$P$16,B855=2019,G855/$P$17,B855=2019,G855/$P$18,B855=2020,G855/$P$18,B855=2021,G855/$P$19,B855=2022,G855/$P$20)</f>
        <v>6.461856229729645E-5</v>
      </c>
    </row>
    <row r="856" spans="1:12" x14ac:dyDescent="0.2">
      <c r="B856" s="5">
        <v>2018</v>
      </c>
      <c r="C856" t="s">
        <v>252</v>
      </c>
      <c r="D856" t="s">
        <v>254</v>
      </c>
      <c r="E856" t="s">
        <v>256</v>
      </c>
      <c r="F856" s="5" t="s">
        <v>31</v>
      </c>
      <c r="G856" s="7">
        <v>5619</v>
      </c>
      <c r="H856" s="7" cm="1">
        <f t="array" ref="H856">_xlfn.IFS(B856=2015,L856*$P$3,B856=2016,L856*$P$4,B856=2017,L856*$P$5,B856=2018,L856*$P$6,B856=2019,L856*$P$7,B856=2020,L856*$P$8,B856=2021,L856*$P$9,B856=2022,L856*$P$10)</f>
        <v>153.96615464506459</v>
      </c>
      <c r="I856" s="7">
        <f t="shared" si="29"/>
        <v>5772.9661546450643</v>
      </c>
      <c r="J856">
        <f>IFERROR(VLOOKUP(F856,'LEAID Match'!$A$2:$B$227,2,FALSE),"")</f>
        <v>0</v>
      </c>
      <c r="K856">
        <f t="shared" si="28"/>
        <v>130</v>
      </c>
      <c r="L856" cm="1">
        <f t="array" ref="L856">_xlfn.IFS(B856=2015,G856/$P$13,B856=2016,G856/$P$14,B856=2017,G856/$P$15,B856=2018,G856/$P$16,B856=2019,G856/$P$17,B856=2019,G856/$P$18,B856=2020,G856/$P$18,B856=2021,G856/$P$19,B856=2022,G856/$P$20)</f>
        <v>6.4827854587395621E-5</v>
      </c>
    </row>
    <row r="857" spans="1:12" x14ac:dyDescent="0.2">
      <c r="B857">
        <v>2019</v>
      </c>
      <c r="C857" t="s">
        <v>252</v>
      </c>
      <c r="D857" t="s">
        <v>254</v>
      </c>
      <c r="E857" t="s">
        <v>256</v>
      </c>
      <c r="F857" s="5" t="s">
        <v>31</v>
      </c>
      <c r="G857" s="7">
        <v>5679</v>
      </c>
      <c r="H857" s="7" cm="1">
        <f t="array" ref="H857">_xlfn.IFS(B857=2015,L857*$P$3,B857=2016,L857*$P$4,B857=2017,L857*$P$5,B857=2018,L857*$P$6,B857=2019,L857*$P$7,B857=2020,L857*$P$8,B857=2021,L857*$P$9,B857=2022,L857*$P$10)</f>
        <v>131.80859541652913</v>
      </c>
      <c r="I857" s="7">
        <f t="shared" si="29"/>
        <v>5810.808595416529</v>
      </c>
      <c r="J857">
        <f>IFERROR(VLOOKUP(F857,'LEAID Match'!$A$2:$B$227,2,FALSE),"")</f>
        <v>0</v>
      </c>
      <c r="K857">
        <f t="shared" si="28"/>
        <v>130</v>
      </c>
      <c r="L857" cm="1">
        <f t="array" ref="L857">_xlfn.IFS(B857=2015,G857/$P$13,B857=2016,G857/$P$14,B857=2017,G857/$P$15,B857=2018,G857/$P$16,B857=2019,G857/$P$17,B857=2019,G857/$P$18,B857=2020,G857/$P$18,B857=2021,G857/$P$19,B857=2022,G857/$P$20)</f>
        <v>6.3491616289272225E-5</v>
      </c>
    </row>
    <row r="858" spans="1:12" x14ac:dyDescent="0.2">
      <c r="B858">
        <v>2020</v>
      </c>
      <c r="C858" t="s">
        <v>252</v>
      </c>
      <c r="D858" t="s">
        <v>254</v>
      </c>
      <c r="E858" t="s">
        <v>256</v>
      </c>
      <c r="F858" s="5" t="s">
        <v>31</v>
      </c>
      <c r="G858" s="7">
        <v>6082</v>
      </c>
      <c r="H858" s="7" cm="1">
        <f t="array" ref="H858">_xlfn.IFS(B858=2015,L858*$P$3,B858=2016,L858*$P$4,B858=2017,L858*$P$5,B858=2018,L858*$P$6,B858=2019,L858*$P$7,B858=2020,L858*$P$8,B858=2021,L858*$P$9,B858=2022,L858*$P$10)</f>
        <v>152.58532672543168</v>
      </c>
      <c r="I858" s="7">
        <f t="shared" si="29"/>
        <v>6234.5853267254315</v>
      </c>
      <c r="J858">
        <f>IFERROR(VLOOKUP(F858,'LEAID Match'!$A$2:$B$227,2,FALSE),"")</f>
        <v>0</v>
      </c>
      <c r="K858">
        <f t="shared" si="28"/>
        <v>130</v>
      </c>
      <c r="L858" cm="1">
        <f t="array" ref="L858">_xlfn.IFS(B858=2015,G858/$P$13,B858=2016,G858/$P$14,B858=2017,G858/$P$15,B858=2018,G858/$P$16,B858=2019,G858/$P$17,B858=2019,G858/$P$18,B858=2020,G858/$P$18,B858=2021,G858/$P$19,B858=2022,G858/$P$20)</f>
        <v>6.5375032872935592E-5</v>
      </c>
    </row>
    <row r="859" spans="1:12" x14ac:dyDescent="0.2">
      <c r="B859" s="5">
        <v>2021</v>
      </c>
      <c r="C859" t="s">
        <v>252</v>
      </c>
      <c r="D859" t="s">
        <v>254</v>
      </c>
      <c r="E859" t="s">
        <v>256</v>
      </c>
      <c r="F859" s="5" t="s">
        <v>31</v>
      </c>
      <c r="G859" s="7">
        <v>6248</v>
      </c>
      <c r="H859" s="7" cm="1">
        <f t="array" ref="H859">_xlfn.IFS(B859=2015,L859*$P$3,B859=2016,L859*$P$4,B859=2017,L859*$P$5,B859=2018,L859*$P$6,B859=2019,L859*$P$7,B859=2020,L859*$P$8,B859=2021,L859*$P$9,B859=2022,L859*$P$10)</f>
        <v>170.72218545174016</v>
      </c>
      <c r="I859" s="7">
        <f t="shared" si="29"/>
        <v>6418.7221854517402</v>
      </c>
      <c r="J859">
        <f>IFERROR(VLOOKUP(F859,'LEAID Match'!$A$2:$B$227,2,FALSE),"")</f>
        <v>0</v>
      </c>
      <c r="K859">
        <f t="shared" si="28"/>
        <v>130</v>
      </c>
      <c r="L859" cm="1">
        <f t="array" ref="L859">_xlfn.IFS(B859=2015,G859/$P$13,B859=2016,G859/$P$14,B859=2017,G859/$P$15,B859=2018,G859/$P$16,B859=2019,G859/$P$17,B859=2019,G859/$P$18,B859=2020,G859/$P$18,B859=2021,G859/$P$19,B859=2022,G859/$P$20)</f>
        <v>6.3583681732491684E-5</v>
      </c>
    </row>
    <row r="860" spans="1:12" x14ac:dyDescent="0.2">
      <c r="B860">
        <v>2022</v>
      </c>
      <c r="C860" t="s">
        <v>252</v>
      </c>
      <c r="D860" t="s">
        <v>254</v>
      </c>
      <c r="E860" t="s">
        <v>256</v>
      </c>
      <c r="F860" s="5" t="s">
        <v>31</v>
      </c>
      <c r="G860" s="7">
        <v>6328</v>
      </c>
      <c r="H860" s="7" cm="1">
        <f t="array" ref="H860">_xlfn.IFS(B860=2015,L860*$P$3,B860=2016,L860*$P$4,B860=2017,L860*$P$5,B860=2018,L860*$P$6,B860=2019,L860*$P$7,B860=2020,L860*$P$8,B860=2021,L860*$P$9,B860=2022,L860*$P$10)</f>
        <v>128.79101868704163</v>
      </c>
      <c r="I860" s="7">
        <f t="shared" si="29"/>
        <v>6456.7910186870413</v>
      </c>
      <c r="J860">
        <f>IFERROR(VLOOKUP(F860,'LEAID Match'!$A$2:$B$227,2,FALSE),"")</f>
        <v>0</v>
      </c>
      <c r="K860">
        <f t="shared" si="28"/>
        <v>130</v>
      </c>
      <c r="L860" cm="1">
        <f t="array" ref="L860">_xlfn.IFS(B860=2015,G860/$P$13,B860=2016,G860/$P$14,B860=2017,G860/$P$15,B860=2018,G860/$P$16,B860=2019,G860/$P$17,B860=2019,G860/$P$18,B860=2020,G860/$P$18,B860=2021,G860/$P$19,B860=2022,G860/$P$20)</f>
        <v>6.3071017966229978E-5</v>
      </c>
    </row>
    <row r="861" spans="1:12" x14ac:dyDescent="0.2">
      <c r="A861">
        <v>3812540</v>
      </c>
      <c r="B861">
        <v>2015</v>
      </c>
      <c r="C861" t="s">
        <v>252</v>
      </c>
      <c r="D861" t="s">
        <v>254</v>
      </c>
      <c r="E861" t="s">
        <v>256</v>
      </c>
      <c r="F861" s="5" t="s">
        <v>221</v>
      </c>
      <c r="G861" s="7">
        <v>713022</v>
      </c>
      <c r="H861" s="7" cm="1">
        <f t="array" ref="H861">_xlfn.IFS(B861=2015,L861*$P$3,B861=2016,L861*$P$4,B861=2017,L861*$P$5,B861=2018,L861*$P$6,B861=2019,L861*$P$7,B861=2020,L861*$P$8,B861=2021,L861*$P$9,B861=2022,L861*$P$10)</f>
        <v>16120.302899310271</v>
      </c>
      <c r="I861" s="7">
        <f t="shared" si="29"/>
        <v>729142.30289931025</v>
      </c>
      <c r="J861">
        <f>IFERROR(VLOOKUP(F861,'LEAID Match'!$A$2:$B$227,2,FALSE),"")</f>
        <v>3812540</v>
      </c>
      <c r="K861">
        <f t="shared" si="28"/>
        <v>8</v>
      </c>
      <c r="L861" cm="1">
        <f t="array" ref="L861">_xlfn.IFS(B861=2015,G861/$P$13,B861=2016,G861/$P$14,B861=2017,G861/$P$15,B861=2018,G861/$P$16,B861=2019,G861/$P$17,B861=2019,G861/$P$18,B861=2020,G861/$P$18,B861=2021,G861/$P$19,B861=2022,G861/$P$20)</f>
        <v>9.0921054141625893E-3</v>
      </c>
    </row>
    <row r="862" spans="1:12" x14ac:dyDescent="0.2">
      <c r="A862">
        <v>3812540</v>
      </c>
      <c r="B862">
        <v>2016</v>
      </c>
      <c r="C862" t="s">
        <v>252</v>
      </c>
      <c r="D862" t="s">
        <v>254</v>
      </c>
      <c r="E862" t="s">
        <v>256</v>
      </c>
      <c r="F862" s="5" t="s">
        <v>221</v>
      </c>
      <c r="G862" s="7">
        <v>836007</v>
      </c>
      <c r="H862" s="7" cm="1">
        <f t="array" ref="H862">_xlfn.IFS(B862=2015,L862*$P$3,B862=2016,L862*$P$4,B862=2017,L862*$P$5,B862=2018,L862*$P$6,B862=2019,L862*$P$7,B862=2020,L862*$P$8,B862=2021,L862*$P$9,B862=2022,L862*$P$10)</f>
        <v>28388.334739197213</v>
      </c>
      <c r="I862" s="7">
        <f t="shared" si="29"/>
        <v>864395.33473919716</v>
      </c>
      <c r="J862">
        <f>IFERROR(VLOOKUP(F862,'LEAID Match'!$A$2:$B$227,2,FALSE),"")</f>
        <v>3812540</v>
      </c>
      <c r="K862">
        <f t="shared" si="28"/>
        <v>8</v>
      </c>
      <c r="L862" cm="1">
        <f t="array" ref="L862">_xlfn.IFS(B862=2015,G862/$P$13,B862=2016,G862/$P$14,B862=2017,G862/$P$15,B862=2018,G862/$P$16,B862=2019,G862/$P$17,B862=2019,G862/$P$18,B862=2020,G862/$P$18,B862=2021,G862/$P$19,B862=2022,G862/$P$20)</f>
        <v>1.0091836025310065E-2</v>
      </c>
    </row>
    <row r="863" spans="1:12" x14ac:dyDescent="0.2">
      <c r="A863">
        <v>3812540</v>
      </c>
      <c r="B863">
        <v>2017</v>
      </c>
      <c r="C863" t="s">
        <v>252</v>
      </c>
      <c r="D863" t="s">
        <v>254</v>
      </c>
      <c r="E863" t="s">
        <v>256</v>
      </c>
      <c r="F863" s="5" t="s">
        <v>221</v>
      </c>
      <c r="G863" s="7">
        <v>899677</v>
      </c>
      <c r="H863" s="7" cm="1">
        <f t="array" ref="H863">_xlfn.IFS(B863=2015,L863*$P$3,B863=2016,L863*$P$4,B863=2017,L863*$P$5,B863=2018,L863*$P$6,B863=2019,L863*$P$7,B863=2020,L863*$P$8,B863=2021,L863*$P$9,B863=2022,L863*$P$10)</f>
        <v>29156.77787888041</v>
      </c>
      <c r="I863" s="7">
        <f t="shared" si="29"/>
        <v>928833.77787888038</v>
      </c>
      <c r="J863">
        <f>IFERROR(VLOOKUP(F863,'LEAID Match'!$A$2:$B$227,2,FALSE),"")</f>
        <v>3812540</v>
      </c>
      <c r="K863">
        <f t="shared" si="28"/>
        <v>8</v>
      </c>
      <c r="L863" cm="1">
        <f t="array" ref="L863">_xlfn.IFS(B863=2015,G863/$P$13,B863=2016,G863/$P$14,B863=2017,G863/$P$15,B863=2018,G863/$P$16,B863=2019,G863/$P$17,B863=2019,G863/$P$18,B863=2020,G863/$P$18,B863=2021,G863/$P$19,B863=2022,G863/$P$20)</f>
        <v>1.0454205048003016E-2</v>
      </c>
    </row>
    <row r="864" spans="1:12" x14ac:dyDescent="0.2">
      <c r="A864">
        <v>3812540</v>
      </c>
      <c r="B864" s="5">
        <v>2018</v>
      </c>
      <c r="C864" t="s">
        <v>252</v>
      </c>
      <c r="D864" t="s">
        <v>254</v>
      </c>
      <c r="E864" t="s">
        <v>256</v>
      </c>
      <c r="F864" s="5" t="s">
        <v>221</v>
      </c>
      <c r="G864" s="7">
        <v>967069</v>
      </c>
      <c r="H864" s="7" cm="1">
        <f t="array" ref="H864">_xlfn.IFS(B864=2015,L864*$P$3,B864=2016,L864*$P$4,B864=2017,L864*$P$5,B864=2018,L864*$P$6,B864=2019,L864*$P$7,B864=2020,L864*$P$8,B864=2021,L864*$P$9,B864=2022,L864*$P$10)</f>
        <v>26498.646593067802</v>
      </c>
      <c r="I864" s="7">
        <f t="shared" si="29"/>
        <v>993567.6465930678</v>
      </c>
      <c r="J864">
        <f>IFERROR(VLOOKUP(F864,'LEAID Match'!$A$2:$B$227,2,FALSE),"")</f>
        <v>3812540</v>
      </c>
      <c r="K864">
        <f t="shared" si="28"/>
        <v>8</v>
      </c>
      <c r="L864" cm="1">
        <f t="array" ref="L864">_xlfn.IFS(B864=2015,G864/$P$13,B864=2016,G864/$P$14,B864=2017,G864/$P$15,B864=2018,G864/$P$16,B864=2019,G864/$P$17,B864=2019,G864/$P$18,B864=2020,G864/$P$18,B864=2021,G864/$P$19,B864=2022,G864/$P$20)</f>
        <v>1.1157324881291706E-2</v>
      </c>
    </row>
    <row r="865" spans="1:12" x14ac:dyDescent="0.2">
      <c r="A865">
        <v>3812540</v>
      </c>
      <c r="B865">
        <v>2019</v>
      </c>
      <c r="C865" t="s">
        <v>252</v>
      </c>
      <c r="D865" t="s">
        <v>254</v>
      </c>
      <c r="E865" t="s">
        <v>256</v>
      </c>
      <c r="F865" s="5" t="s">
        <v>221</v>
      </c>
      <c r="G865" s="7">
        <v>1133104</v>
      </c>
      <c r="H865" s="7" cm="1">
        <f t="array" ref="H865">_xlfn.IFS(B865=2015,L865*$P$3,B865=2016,L865*$P$4,B865=2017,L865*$P$5,B865=2018,L865*$P$6,B865=2019,L865*$P$7,B865=2020,L865*$P$8,B865=2021,L865*$P$9,B865=2022,L865*$P$10)</f>
        <v>26299.145395465901</v>
      </c>
      <c r="I865" s="7">
        <f t="shared" si="29"/>
        <v>1159403.1453954659</v>
      </c>
      <c r="J865">
        <f>IFERROR(VLOOKUP(F865,'LEAID Match'!$A$2:$B$227,2,FALSE),"")</f>
        <v>3812540</v>
      </c>
      <c r="K865">
        <f t="shared" si="28"/>
        <v>8</v>
      </c>
      <c r="L865" cm="1">
        <f t="array" ref="L865">_xlfn.IFS(B865=2015,G865/$P$13,B865=2016,G865/$P$14,B865=2017,G865/$P$15,B865=2018,G865/$P$16,B865=2019,G865/$P$17,B865=2019,G865/$P$18,B865=2020,G865/$P$18,B865=2021,G865/$P$19,B865=2022,G865/$P$20)</f>
        <v>1.2668181789723459E-2</v>
      </c>
    </row>
    <row r="866" spans="1:12" x14ac:dyDescent="0.2">
      <c r="A866">
        <v>3812540</v>
      </c>
      <c r="B866">
        <v>2020</v>
      </c>
      <c r="C866" t="s">
        <v>252</v>
      </c>
      <c r="D866" t="s">
        <v>254</v>
      </c>
      <c r="E866" t="s">
        <v>256</v>
      </c>
      <c r="F866" s="5" t="s">
        <v>221</v>
      </c>
      <c r="G866" s="7">
        <v>1326352</v>
      </c>
      <c r="H866" s="7" cm="1">
        <f t="array" ref="H866">_xlfn.IFS(B866=2015,L866*$P$3,B866=2016,L866*$P$4,B866=2017,L866*$P$5,B866=2018,L866*$P$6,B866=2019,L866*$P$7,B866=2020,L866*$P$8,B866=2021,L866*$P$9,B866=2022,L866*$P$10)</f>
        <v>33275.54312280989</v>
      </c>
      <c r="I866" s="7">
        <f t="shared" si="29"/>
        <v>1359627.5431228098</v>
      </c>
      <c r="J866">
        <f>IFERROR(VLOOKUP(F866,'LEAID Match'!$A$2:$B$227,2,FALSE),"")</f>
        <v>3812540</v>
      </c>
      <c r="K866">
        <f t="shared" si="28"/>
        <v>8</v>
      </c>
      <c r="L866" cm="1">
        <f t="array" ref="L866">_xlfn.IFS(B866=2015,G866/$P$13,B866=2016,G866/$P$14,B866=2017,G866/$P$15,B866=2018,G866/$P$16,B866=2019,G866/$P$17,B866=2019,G866/$P$18,B866=2020,G866/$P$18,B866=2021,G866/$P$19,B866=2022,G866/$P$20)</f>
        <v>1.425687366015848E-2</v>
      </c>
    </row>
    <row r="867" spans="1:12" x14ac:dyDescent="0.2">
      <c r="A867">
        <v>3812540</v>
      </c>
      <c r="B867" s="5">
        <v>2021</v>
      </c>
      <c r="C867" t="s">
        <v>252</v>
      </c>
      <c r="D867" t="s">
        <v>254</v>
      </c>
      <c r="E867" t="s">
        <v>256</v>
      </c>
      <c r="F867" s="5" t="s">
        <v>221</v>
      </c>
      <c r="G867" s="7">
        <v>1492214</v>
      </c>
      <c r="H867" s="7" cm="1">
        <f t="array" ref="H867">_xlfn.IFS(B867=2015,L867*$P$3,B867=2016,L867*$P$4,B867=2017,L867*$P$5,B867=2018,L867*$P$6,B867=2019,L867*$P$7,B867=2020,L867*$P$8,B867=2021,L867*$P$9,B867=2022,L867*$P$10)</f>
        <v>40773.693220499845</v>
      </c>
      <c r="I867" s="7">
        <f t="shared" si="29"/>
        <v>1532987.6932204999</v>
      </c>
      <c r="J867">
        <f>IFERROR(VLOOKUP(F867,'LEAID Match'!$A$2:$B$227,2,FALSE),"")</f>
        <v>3812540</v>
      </c>
      <c r="K867">
        <f t="shared" si="28"/>
        <v>8</v>
      </c>
      <c r="L867" cm="1">
        <f t="array" ref="L867">_xlfn.IFS(B867=2015,G867/$P$13,B867=2016,G867/$P$14,B867=2017,G867/$P$15,B867=2018,G867/$P$16,B867=2019,G867/$P$17,B867=2019,G867/$P$18,B867=2020,G867/$P$18,B867=2021,G867/$P$19,B867=2022,G867/$P$20)</f>
        <v>1.5185733043016701E-2</v>
      </c>
    </row>
    <row r="868" spans="1:12" x14ac:dyDescent="0.2">
      <c r="A868">
        <v>3812540</v>
      </c>
      <c r="B868">
        <v>2022</v>
      </c>
      <c r="C868" t="s">
        <v>252</v>
      </c>
      <c r="D868" t="s">
        <v>254</v>
      </c>
      <c r="E868" t="s">
        <v>256</v>
      </c>
      <c r="F868" s="5" t="s">
        <v>221</v>
      </c>
      <c r="G868" s="7">
        <v>1475147</v>
      </c>
      <c r="H868" s="7" cm="1">
        <f t="array" ref="H868">_xlfn.IFS(B868=2015,L868*$P$3,B868=2016,L868*$P$4,B868=2017,L868*$P$5,B868=2018,L868*$P$6,B868=2019,L868*$P$7,B868=2020,L868*$P$8,B868=2021,L868*$P$9,B868=2022,L868*$P$10)</f>
        <v>30023.022257132328</v>
      </c>
      <c r="I868" s="7">
        <f t="shared" si="29"/>
        <v>1505170.0222571322</v>
      </c>
      <c r="J868">
        <f>IFERROR(VLOOKUP(F868,'LEAID Match'!$A$2:$B$227,2,FALSE),"")</f>
        <v>3812540</v>
      </c>
      <c r="K868">
        <f t="shared" si="28"/>
        <v>8</v>
      </c>
      <c r="L868" cm="1">
        <f t="array" ref="L868">_xlfn.IFS(B868=2015,G868/$P$13,B868=2016,G868/$P$14,B868=2017,G868/$P$15,B868=2018,G868/$P$16,B868=2019,G868/$P$17,B868=2019,G868/$P$18,B868=2020,G868/$P$18,B868=2021,G868/$P$19,B868=2022,G868/$P$20)</f>
        <v>1.4702753309075577E-2</v>
      </c>
    </row>
    <row r="869" spans="1:12" x14ac:dyDescent="0.2">
      <c r="A869">
        <v>3812660</v>
      </c>
      <c r="B869">
        <v>2015</v>
      </c>
      <c r="C869" t="s">
        <v>252</v>
      </c>
      <c r="D869" t="s">
        <v>254</v>
      </c>
      <c r="E869" t="s">
        <v>256</v>
      </c>
      <c r="F869" s="5" t="s">
        <v>32</v>
      </c>
      <c r="G869" s="7">
        <v>116658</v>
      </c>
      <c r="H869" s="7" cm="1">
        <f t="array" ref="H869">_xlfn.IFS(B869=2015,L869*$P$3,B869=2016,L869*$P$4,B869=2017,L869*$P$5,B869=2018,L869*$P$6,B869=2019,L869*$P$7,B869=2020,L869*$P$8,B869=2021,L869*$P$9,B869=2022,L869*$P$10)</f>
        <v>2637.4533964277925</v>
      </c>
      <c r="I869" s="7">
        <f t="shared" si="29"/>
        <v>119295.45339642779</v>
      </c>
      <c r="J869">
        <f>IFERROR(VLOOKUP(F869,'LEAID Match'!$A$2:$B$227,2,FALSE),"")</f>
        <v>3812660</v>
      </c>
      <c r="K869">
        <f t="shared" si="28"/>
        <v>8</v>
      </c>
      <c r="L869" cm="1">
        <f t="array" ref="L869">_xlfn.IFS(B869=2015,G869/$P$13,B869=2016,G869/$P$14,B869=2017,G869/$P$15,B869=2018,G869/$P$16,B869=2019,G869/$P$17,B869=2019,G869/$P$18,B869=2020,G869/$P$18,B869=2021,G869/$P$19,B869=2022,G869/$P$20)</f>
        <v>1.4875653674155628E-3</v>
      </c>
    </row>
    <row r="870" spans="1:12" x14ac:dyDescent="0.2">
      <c r="A870">
        <v>3812660</v>
      </c>
      <c r="B870">
        <v>2016</v>
      </c>
      <c r="C870" t="s">
        <v>252</v>
      </c>
      <c r="D870" t="s">
        <v>254</v>
      </c>
      <c r="E870" t="s">
        <v>256</v>
      </c>
      <c r="F870" s="5" t="s">
        <v>32</v>
      </c>
      <c r="G870" s="7">
        <v>132068</v>
      </c>
      <c r="H870" s="7" cm="1">
        <f t="array" ref="H870">_xlfn.IFS(B870=2015,L870*$P$3,B870=2016,L870*$P$4,B870=2017,L870*$P$5,B870=2018,L870*$P$6,B870=2019,L870*$P$7,B870=2020,L870*$P$8,B870=2021,L870*$P$9,B870=2022,L870*$P$10)</f>
        <v>4484.6401912140655</v>
      </c>
      <c r="I870" s="7">
        <f t="shared" si="29"/>
        <v>136552.64019121407</v>
      </c>
      <c r="J870">
        <f>IFERROR(VLOOKUP(F870,'LEAID Match'!$A$2:$B$227,2,FALSE),"")</f>
        <v>3812660</v>
      </c>
      <c r="K870">
        <f t="shared" si="28"/>
        <v>8</v>
      </c>
      <c r="L870" cm="1">
        <f t="array" ref="L870">_xlfn.IFS(B870=2015,G870/$P$13,B870=2016,G870/$P$14,B870=2017,G870/$P$15,B870=2018,G870/$P$16,B870=2019,G870/$P$17,B870=2019,G870/$P$18,B870=2020,G870/$P$18,B870=2021,G870/$P$19,B870=2022,G870/$P$20)</f>
        <v>1.5942553114874033E-3</v>
      </c>
    </row>
    <row r="871" spans="1:12" x14ac:dyDescent="0.2">
      <c r="A871">
        <v>3812660</v>
      </c>
      <c r="B871">
        <v>2017</v>
      </c>
      <c r="C871" t="s">
        <v>252</v>
      </c>
      <c r="D871" t="s">
        <v>254</v>
      </c>
      <c r="E871" t="s">
        <v>256</v>
      </c>
      <c r="F871" s="5" t="s">
        <v>32</v>
      </c>
      <c r="G871" s="7">
        <v>139973</v>
      </c>
      <c r="H871" s="7" cm="1">
        <f t="array" ref="H871">_xlfn.IFS(B871=2015,L871*$P$3,B871=2016,L871*$P$4,B871=2017,L871*$P$5,B871=2018,L871*$P$6,B871=2019,L871*$P$7,B871=2020,L871*$P$8,B871=2021,L871*$P$9,B871=2022,L871*$P$10)</f>
        <v>4536.2520882944964</v>
      </c>
      <c r="I871" s="7">
        <f t="shared" si="29"/>
        <v>144509.25208829451</v>
      </c>
      <c r="J871">
        <f>IFERROR(VLOOKUP(F871,'LEAID Match'!$A$2:$B$227,2,FALSE),"")</f>
        <v>3812660</v>
      </c>
      <c r="K871">
        <f t="shared" si="28"/>
        <v>8</v>
      </c>
      <c r="L871" cm="1">
        <f t="array" ref="L871">_xlfn.IFS(B871=2015,G871/$P$13,B871=2016,G871/$P$14,B871=2017,G871/$P$15,B871=2018,G871/$P$16,B871=2019,G871/$P$17,B871=2019,G871/$P$18,B871=2020,G871/$P$18,B871=2021,G871/$P$19,B871=2022,G871/$P$20)</f>
        <v>1.6264797735010745E-3</v>
      </c>
    </row>
    <row r="872" spans="1:12" x14ac:dyDescent="0.2">
      <c r="A872">
        <v>3812660</v>
      </c>
      <c r="B872" s="5">
        <v>2018</v>
      </c>
      <c r="C872" t="s">
        <v>252</v>
      </c>
      <c r="D872" t="s">
        <v>254</v>
      </c>
      <c r="E872" t="s">
        <v>256</v>
      </c>
      <c r="F872" s="5" t="s">
        <v>32</v>
      </c>
      <c r="G872" s="7">
        <v>135991</v>
      </c>
      <c r="H872" s="7" cm="1">
        <f t="array" ref="H872">_xlfn.IFS(B872=2015,L872*$P$3,B872=2016,L872*$P$4,B872=2017,L872*$P$5,B872=2018,L872*$P$6,B872=2019,L872*$P$7,B872=2020,L872*$P$8,B872=2021,L872*$P$9,B872=2022,L872*$P$10)</f>
        <v>3726.287833482289</v>
      </c>
      <c r="I872" s="7">
        <f t="shared" si="29"/>
        <v>139717.28783348229</v>
      </c>
      <c r="J872">
        <f>IFERROR(VLOOKUP(F872,'LEAID Match'!$A$2:$B$227,2,FALSE),"")</f>
        <v>3812660</v>
      </c>
      <c r="K872">
        <f t="shared" si="28"/>
        <v>8</v>
      </c>
      <c r="L872" cm="1">
        <f t="array" ref="L872">_xlfn.IFS(B872=2015,G872/$P$13,B872=2016,G872/$P$14,B872=2017,G872/$P$15,B872=2018,G872/$P$16,B872=2019,G872/$P$17,B872=2019,G872/$P$18,B872=2020,G872/$P$18,B872=2021,G872/$P$19,B872=2022,G872/$P$20)</f>
        <v>1.5689632983083323E-3</v>
      </c>
    </row>
    <row r="873" spans="1:12" x14ac:dyDescent="0.2">
      <c r="A873">
        <v>3812660</v>
      </c>
      <c r="B873">
        <v>2019</v>
      </c>
      <c r="C873" t="s">
        <v>252</v>
      </c>
      <c r="D873" t="s">
        <v>254</v>
      </c>
      <c r="E873" t="s">
        <v>256</v>
      </c>
      <c r="F873" s="5" t="s">
        <v>32</v>
      </c>
      <c r="G873" s="7">
        <v>132438</v>
      </c>
      <c r="H873" s="7" cm="1">
        <f t="array" ref="H873">_xlfn.IFS(B873=2015,L873*$P$3,B873=2016,L873*$P$4,B873=2017,L873*$P$5,B873=2018,L873*$P$6,B873=2019,L873*$P$7,B873=2020,L873*$P$8,B873=2021,L873*$P$9,B873=2022,L873*$P$10)</f>
        <v>3073.8627856619632</v>
      </c>
      <c r="I873" s="7">
        <f t="shared" si="29"/>
        <v>135511.86278566197</v>
      </c>
      <c r="J873">
        <f>IFERROR(VLOOKUP(F873,'LEAID Match'!$A$2:$B$227,2,FALSE),"")</f>
        <v>3812660</v>
      </c>
      <c r="K873">
        <f t="shared" si="28"/>
        <v>8</v>
      </c>
      <c r="L873" cm="1">
        <f t="array" ref="L873">_xlfn.IFS(B873=2015,G873/$P$13,B873=2016,G873/$P$14,B873=2017,G873/$P$15,B873=2018,G873/$P$16,B873=2019,G873/$P$17,B873=2019,G873/$P$18,B873=2020,G873/$P$18,B873=2021,G873/$P$19,B873=2022,G873/$P$20)</f>
        <v>1.4806660817254158E-3</v>
      </c>
    </row>
    <row r="874" spans="1:12" x14ac:dyDescent="0.2">
      <c r="A874">
        <v>3812660</v>
      </c>
      <c r="B874">
        <v>2020</v>
      </c>
      <c r="C874" t="s">
        <v>252</v>
      </c>
      <c r="D874" t="s">
        <v>254</v>
      </c>
      <c r="E874" t="s">
        <v>256</v>
      </c>
      <c r="F874" s="5" t="s">
        <v>32</v>
      </c>
      <c r="G874" s="7">
        <v>139190</v>
      </c>
      <c r="H874" s="7" cm="1">
        <f t="array" ref="H874">_xlfn.IFS(B874=2015,L874*$P$3,B874=2016,L874*$P$4,B874=2017,L874*$P$5,B874=2018,L874*$P$6,B874=2019,L874*$P$7,B874=2020,L874*$P$8,B874=2021,L874*$P$9,B874=2022,L874*$P$10)</f>
        <v>3492.0012540139487</v>
      </c>
      <c r="I874" s="7">
        <f t="shared" si="29"/>
        <v>142682.00125401394</v>
      </c>
      <c r="J874">
        <f>IFERROR(VLOOKUP(F874,'LEAID Match'!$A$2:$B$227,2,FALSE),"")</f>
        <v>3812660</v>
      </c>
      <c r="K874">
        <f t="shared" si="28"/>
        <v>8</v>
      </c>
      <c r="L874" cm="1">
        <f t="array" ref="L874">_xlfn.IFS(B874=2015,G874/$P$13,B874=2016,G874/$P$14,B874=2017,G874/$P$15,B874=2018,G874/$P$16,B874=2019,G874/$P$17,B874=2019,G874/$P$18,B874=2020,G874/$P$18,B874=2021,G874/$P$19,B874=2022,G874/$P$20)</f>
        <v>1.4961444961499352E-3</v>
      </c>
    </row>
    <row r="875" spans="1:12" x14ac:dyDescent="0.2">
      <c r="A875">
        <v>3812660</v>
      </c>
      <c r="B875" s="5">
        <v>2021</v>
      </c>
      <c r="C875" t="s">
        <v>252</v>
      </c>
      <c r="D875" t="s">
        <v>254</v>
      </c>
      <c r="E875" t="s">
        <v>256</v>
      </c>
      <c r="F875" s="5" t="s">
        <v>32</v>
      </c>
      <c r="G875" s="7">
        <v>141013</v>
      </c>
      <c r="H875" s="7" cm="1">
        <f t="array" ref="H875">_xlfn.IFS(B875=2015,L875*$P$3,B875=2016,L875*$P$4,B875=2017,L875*$P$5,B875=2018,L875*$P$6,B875=2019,L875*$P$7,B875=2020,L875*$P$8,B875=2021,L875*$P$9,B875=2022,L875*$P$10)</f>
        <v>3853.0805917263506</v>
      </c>
      <c r="I875" s="7">
        <f t="shared" si="29"/>
        <v>144866.08059172635</v>
      </c>
      <c r="J875">
        <f>IFERROR(VLOOKUP(F875,'LEAID Match'!$A$2:$B$227,2,FALSE),"")</f>
        <v>3812660</v>
      </c>
      <c r="K875">
        <f t="shared" si="28"/>
        <v>8</v>
      </c>
      <c r="L875" cm="1">
        <f t="array" ref="L875">_xlfn.IFS(B875=2015,G875/$P$13,B875=2016,G875/$P$14,B875=2017,G875/$P$15,B875=2018,G875/$P$16,B875=2019,G875/$P$17,B875=2019,G875/$P$18,B875=2020,G875/$P$18,B875=2021,G875/$P$19,B875=2022,G875/$P$20)</f>
        <v>1.4350393265275048E-3</v>
      </c>
    </row>
    <row r="876" spans="1:12" x14ac:dyDescent="0.2">
      <c r="A876">
        <v>3812660</v>
      </c>
      <c r="B876">
        <v>2022</v>
      </c>
      <c r="C876" t="s">
        <v>252</v>
      </c>
      <c r="D876" t="s">
        <v>254</v>
      </c>
      <c r="E876" t="s">
        <v>256</v>
      </c>
      <c r="F876" s="5" t="s">
        <v>32</v>
      </c>
      <c r="G876" s="7">
        <v>147717</v>
      </c>
      <c r="H876" s="7" cm="1">
        <f t="array" ref="H876">_xlfn.IFS(B876=2015,L876*$P$3,B876=2016,L876*$P$4,B876=2017,L876*$P$5,B876=2018,L876*$P$6,B876=2019,L876*$P$7,B876=2020,L876*$P$8,B876=2021,L876*$P$9,B876=2022,L876*$P$10)</f>
        <v>3006.4195492088693</v>
      </c>
      <c r="I876" s="7">
        <f t="shared" si="29"/>
        <v>150723.41954920886</v>
      </c>
      <c r="J876">
        <f>IFERROR(VLOOKUP(F876,'LEAID Match'!$A$2:$B$227,2,FALSE),"")</f>
        <v>3812660</v>
      </c>
      <c r="K876">
        <f t="shared" si="28"/>
        <v>8</v>
      </c>
      <c r="L876" cm="1">
        <f t="array" ref="L876">_xlfn.IFS(B876=2015,G876/$P$13,B876=2016,G876/$P$14,B876=2017,G876/$P$15,B876=2018,G876/$P$16,B876=2019,G876/$P$17,B876=2019,G876/$P$18,B876=2020,G876/$P$18,B876=2021,G876/$P$19,B876=2022,G876/$P$20)</f>
        <v>1.4722916499553718E-3</v>
      </c>
    </row>
    <row r="877" spans="1:12" x14ac:dyDescent="0.2">
      <c r="A877">
        <v>3812720</v>
      </c>
      <c r="B877">
        <v>2015</v>
      </c>
      <c r="C877" t="s">
        <v>252</v>
      </c>
      <c r="D877" t="s">
        <v>254</v>
      </c>
      <c r="E877" t="s">
        <v>256</v>
      </c>
      <c r="F877" s="5" t="s">
        <v>33</v>
      </c>
      <c r="G877" s="7">
        <v>16179</v>
      </c>
      <c r="H877" s="7" cm="1">
        <f t="array" ref="H877">_xlfn.IFS(B877=2015,L877*$P$3,B877=2016,L877*$P$4,B877=2017,L877*$P$5,B877=2018,L877*$P$6,B877=2019,L877*$P$7,B877=2020,L877*$P$8,B877=2021,L877*$P$9,B877=2022,L877*$P$10)</f>
        <v>365.78167378838361</v>
      </c>
      <c r="I877" s="7">
        <f t="shared" si="29"/>
        <v>16544.781673788384</v>
      </c>
      <c r="J877">
        <f>IFERROR(VLOOKUP(F877,'LEAID Match'!$A$2:$B$227,2,FALSE),"")</f>
        <v>3812720</v>
      </c>
      <c r="K877">
        <f t="shared" si="28"/>
        <v>8</v>
      </c>
      <c r="L877" cm="1">
        <f t="array" ref="L877">_xlfn.IFS(B877=2015,G877/$P$13,B877=2016,G877/$P$14,B877=2017,G877/$P$15,B877=2018,G877/$P$16,B877=2019,G877/$P$17,B877=2019,G877/$P$18,B877=2020,G877/$P$18,B877=2021,G877/$P$19,B877=2022,G877/$P$20)</f>
        <v>2.0630664060258523E-4</v>
      </c>
    </row>
    <row r="878" spans="1:12" x14ac:dyDescent="0.2">
      <c r="A878">
        <v>3812720</v>
      </c>
      <c r="B878">
        <v>2016</v>
      </c>
      <c r="C878" t="s">
        <v>252</v>
      </c>
      <c r="D878" t="s">
        <v>254</v>
      </c>
      <c r="E878" t="s">
        <v>256</v>
      </c>
      <c r="F878" s="5" t="s">
        <v>33</v>
      </c>
      <c r="G878" s="7">
        <v>19967</v>
      </c>
      <c r="H878" s="7" cm="1">
        <f t="array" ref="H878">_xlfn.IFS(B878=2015,L878*$P$3,B878=2016,L878*$P$4,B878=2017,L878*$P$5,B878=2018,L878*$P$6,B878=2019,L878*$P$7,B878=2020,L878*$P$8,B878=2021,L878*$P$9,B878=2022,L878*$P$10)</f>
        <v>678.02049472976989</v>
      </c>
      <c r="I878" s="7">
        <f t="shared" si="29"/>
        <v>20645.020494729772</v>
      </c>
      <c r="J878">
        <f>IFERROR(VLOOKUP(F878,'LEAID Match'!$A$2:$B$227,2,FALSE),"")</f>
        <v>3812720</v>
      </c>
      <c r="K878">
        <f t="shared" si="28"/>
        <v>8</v>
      </c>
      <c r="L878" cm="1">
        <f t="array" ref="L878">_xlfn.IFS(B878=2015,G878/$P$13,B878=2016,G878/$P$14,B878=2017,G878/$P$15,B878=2018,G878/$P$16,B878=2019,G878/$P$17,B878=2019,G878/$P$18,B878=2020,G878/$P$18,B878=2021,G878/$P$19,B878=2022,G878/$P$20)</f>
        <v>2.4103110370770348E-4</v>
      </c>
    </row>
    <row r="879" spans="1:12" x14ac:dyDescent="0.2">
      <c r="A879">
        <v>3812720</v>
      </c>
      <c r="B879">
        <v>2017</v>
      </c>
      <c r="C879" t="s">
        <v>252</v>
      </c>
      <c r="D879" t="s">
        <v>254</v>
      </c>
      <c r="E879" t="s">
        <v>256</v>
      </c>
      <c r="F879" s="5" t="s">
        <v>33</v>
      </c>
      <c r="G879" s="7">
        <v>23683</v>
      </c>
      <c r="H879" s="7" cm="1">
        <f t="array" ref="H879">_xlfn.IFS(B879=2015,L879*$P$3,B879=2016,L879*$P$4,B879=2017,L879*$P$5,B879=2018,L879*$P$6,B879=2019,L879*$P$7,B879=2020,L879*$P$8,B879=2021,L879*$P$9,B879=2022,L879*$P$10)</f>
        <v>767.51986602472311</v>
      </c>
      <c r="I879" s="7">
        <f t="shared" si="29"/>
        <v>24450.519866024722</v>
      </c>
      <c r="J879">
        <f>IFERROR(VLOOKUP(F879,'LEAID Match'!$A$2:$B$227,2,FALSE),"")</f>
        <v>3812720</v>
      </c>
      <c r="K879">
        <f t="shared" si="28"/>
        <v>8</v>
      </c>
      <c r="L879" cm="1">
        <f t="array" ref="L879">_xlfn.IFS(B879=2015,G879/$P$13,B879=2016,G879/$P$14,B879=2017,G879/$P$15,B879=2018,G879/$P$16,B879=2019,G879/$P$17,B879=2019,G879/$P$18,B879=2020,G879/$P$18,B879=2021,G879/$P$19,B879=2022,G879/$P$20)</f>
        <v>2.7519536250438263E-4</v>
      </c>
    </row>
    <row r="880" spans="1:12" x14ac:dyDescent="0.2">
      <c r="A880">
        <v>3812720</v>
      </c>
      <c r="B880" s="5">
        <v>2018</v>
      </c>
      <c r="C880" t="s">
        <v>252</v>
      </c>
      <c r="D880" t="s">
        <v>254</v>
      </c>
      <c r="E880" t="s">
        <v>256</v>
      </c>
      <c r="F880" s="5" t="s">
        <v>33</v>
      </c>
      <c r="G880" s="7">
        <v>24931</v>
      </c>
      <c r="H880" s="7" cm="1">
        <f t="array" ref="H880">_xlfn.IFS(B880=2015,L880*$P$3,B880=2016,L880*$P$4,B880=2017,L880*$P$5,B880=2018,L880*$P$6,B880=2019,L880*$P$7,B880=2020,L880*$P$8,B880=2021,L880*$P$9,B880=2022,L880*$P$10)</f>
        <v>683.1340454629127</v>
      </c>
      <c r="I880" s="7">
        <f t="shared" si="29"/>
        <v>25614.134045462913</v>
      </c>
      <c r="J880">
        <f>IFERROR(VLOOKUP(F880,'LEAID Match'!$A$2:$B$227,2,FALSE),"")</f>
        <v>3812720</v>
      </c>
      <c r="K880">
        <f t="shared" si="28"/>
        <v>8</v>
      </c>
      <c r="L880" cm="1">
        <f t="array" ref="L880">_xlfn.IFS(B880=2015,G880/$P$13,B880=2016,G880/$P$14,B880=2017,G880/$P$15,B880=2018,G880/$P$16,B880=2019,G880/$P$17,B880=2019,G880/$P$18,B880=2020,G880/$P$18,B880=2021,G880/$P$19,B880=2022,G880/$P$20)</f>
        <v>2.8763538756333164E-4</v>
      </c>
    </row>
    <row r="881" spans="1:12" x14ac:dyDescent="0.2">
      <c r="A881">
        <v>3812720</v>
      </c>
      <c r="B881">
        <v>2019</v>
      </c>
      <c r="C881" t="s">
        <v>252</v>
      </c>
      <c r="D881" t="s">
        <v>254</v>
      </c>
      <c r="E881" t="s">
        <v>256</v>
      </c>
      <c r="F881" s="5" t="s">
        <v>33</v>
      </c>
      <c r="G881" s="7">
        <v>26330</v>
      </c>
      <c r="H881" s="7" cm="1">
        <f t="array" ref="H881">_xlfn.IFS(B881=2015,L881*$P$3,B881=2016,L881*$P$4,B881=2017,L881*$P$5,B881=2018,L881*$P$6,B881=2019,L881*$P$7,B881=2020,L881*$P$8,B881=2021,L881*$P$9,B881=2022,L881*$P$10)</f>
        <v>611.1146887334412</v>
      </c>
      <c r="I881" s="7">
        <f t="shared" si="29"/>
        <v>26941.11468873344</v>
      </c>
      <c r="J881">
        <f>IFERROR(VLOOKUP(F881,'LEAID Match'!$A$2:$B$227,2,FALSE),"")</f>
        <v>3812720</v>
      </c>
      <c r="K881">
        <f t="shared" si="28"/>
        <v>8</v>
      </c>
      <c r="L881" cm="1">
        <f t="array" ref="L881">_xlfn.IFS(B881=2015,G881/$P$13,B881=2016,G881/$P$14,B881=2017,G881/$P$15,B881=2018,G881/$P$16,B881=2019,G881/$P$17,B881=2019,G881/$P$18,B881=2020,G881/$P$18,B881=2021,G881/$P$19,B881=2022,G881/$P$20)</f>
        <v>2.9437123734751505E-4</v>
      </c>
    </row>
    <row r="882" spans="1:12" x14ac:dyDescent="0.2">
      <c r="A882">
        <v>3812720</v>
      </c>
      <c r="B882">
        <v>2020</v>
      </c>
      <c r="C882" t="s">
        <v>252</v>
      </c>
      <c r="D882" t="s">
        <v>254</v>
      </c>
      <c r="E882" t="s">
        <v>256</v>
      </c>
      <c r="F882" s="5" t="s">
        <v>33</v>
      </c>
      <c r="G882" s="7">
        <v>27860</v>
      </c>
      <c r="H882" s="7" cm="1">
        <f t="array" ref="H882">_xlfn.IFS(B882=2015,L882*$P$3,B882=2016,L882*$P$4,B882=2017,L882*$P$5,B882=2018,L882*$P$6,B882=2019,L882*$P$7,B882=2020,L882*$P$8,B882=2021,L882*$P$9,B882=2022,L882*$P$10)</f>
        <v>698.95218720330922</v>
      </c>
      <c r="I882" s="7">
        <f t="shared" si="29"/>
        <v>28558.952187203307</v>
      </c>
      <c r="J882">
        <f>IFERROR(VLOOKUP(F882,'LEAID Match'!$A$2:$B$227,2,FALSE),"")</f>
        <v>3812720</v>
      </c>
      <c r="K882">
        <f t="shared" si="28"/>
        <v>8</v>
      </c>
      <c r="L882" cm="1">
        <f t="array" ref="L882">_xlfn.IFS(B882=2015,G882/$P$13,B882=2016,G882/$P$14,B882=2017,G882/$P$15,B882=2018,G882/$P$16,B882=2019,G882/$P$17,B882=2019,G882/$P$18,B882=2020,G882/$P$18,B882=2021,G882/$P$19,B882=2022,G882/$P$20)</f>
        <v>2.9946537583689341E-4</v>
      </c>
    </row>
    <row r="883" spans="1:12" x14ac:dyDescent="0.2">
      <c r="A883">
        <v>3812720</v>
      </c>
      <c r="B883" s="5">
        <v>2021</v>
      </c>
      <c r="C883" t="s">
        <v>252</v>
      </c>
      <c r="D883" t="s">
        <v>254</v>
      </c>
      <c r="E883" t="s">
        <v>256</v>
      </c>
      <c r="F883" s="5" t="s">
        <v>33</v>
      </c>
      <c r="G883" s="7">
        <v>32618</v>
      </c>
      <c r="H883" s="7" cm="1">
        <f t="array" ref="H883">_xlfn.IFS(B883=2015,L883*$P$3,B883=2016,L883*$P$4,B883=2017,L883*$P$5,B883=2018,L883*$P$6,B883=2019,L883*$P$7,B883=2020,L883*$P$8,B883=2021,L883*$P$9,B883=2022,L883*$P$10)</f>
        <v>891.26380362753855</v>
      </c>
      <c r="I883" s="7">
        <f t="shared" si="29"/>
        <v>33509.263803627538</v>
      </c>
      <c r="J883">
        <f>IFERROR(VLOOKUP(F883,'LEAID Match'!$A$2:$B$227,2,FALSE),"")</f>
        <v>3812720</v>
      </c>
      <c r="K883">
        <f t="shared" si="28"/>
        <v>8</v>
      </c>
      <c r="L883" cm="1">
        <f t="array" ref="L883">_xlfn.IFS(B883=2015,G883/$P$13,B883=2016,G883/$P$14,B883=2017,G883/$P$15,B883=2018,G883/$P$16,B883=2019,G883/$P$17,B883=2019,G883/$P$18,B883=2020,G883/$P$18,B883=2021,G883/$P$19,B883=2022,G883/$P$20)</f>
        <v>3.3194182630448364E-4</v>
      </c>
    </row>
    <row r="884" spans="1:12" x14ac:dyDescent="0.2">
      <c r="A884">
        <v>3812720</v>
      </c>
      <c r="B884">
        <v>2022</v>
      </c>
      <c r="C884" t="s">
        <v>252</v>
      </c>
      <c r="D884" t="s">
        <v>254</v>
      </c>
      <c r="E884" t="s">
        <v>256</v>
      </c>
      <c r="F884" s="5" t="s">
        <v>33</v>
      </c>
      <c r="G884" s="7">
        <v>30466</v>
      </c>
      <c r="H884" s="7" cm="1">
        <f t="array" ref="H884">_xlfn.IFS(B884=2015,L884*$P$3,B884=2016,L884*$P$4,B884=2017,L884*$P$5,B884=2018,L884*$P$6,B884=2019,L884*$P$7,B884=2020,L884*$P$8,B884=2021,L884*$P$9,B884=2022,L884*$P$10)</f>
        <v>620.06118446893322</v>
      </c>
      <c r="I884" s="7">
        <f t="shared" si="29"/>
        <v>31086.061184468934</v>
      </c>
      <c r="J884">
        <f>IFERROR(VLOOKUP(F884,'LEAID Match'!$A$2:$B$227,2,FALSE),"")</f>
        <v>3812720</v>
      </c>
      <c r="K884">
        <f t="shared" si="28"/>
        <v>8</v>
      </c>
      <c r="L884" cm="1">
        <f t="array" ref="L884">_xlfn.IFS(B884=2015,G884/$P$13,B884=2016,G884/$P$14,B884=2017,G884/$P$15,B884=2018,G884/$P$16,B884=2019,G884/$P$17,B884=2019,G884/$P$18,B884=2020,G884/$P$18,B884=2021,G884/$P$19,B884=2022,G884/$P$20)</f>
        <v>3.0365386115031011E-4</v>
      </c>
    </row>
    <row r="885" spans="1:12" x14ac:dyDescent="0.2">
      <c r="A885">
        <v>3800042</v>
      </c>
      <c r="B885">
        <v>2015</v>
      </c>
      <c r="C885" t="s">
        <v>252</v>
      </c>
      <c r="D885" t="s">
        <v>254</v>
      </c>
      <c r="E885" t="s">
        <v>256</v>
      </c>
      <c r="F885" s="5" t="s">
        <v>34</v>
      </c>
      <c r="G885" s="7">
        <v>127139</v>
      </c>
      <c r="H885" s="7" cm="1">
        <f t="array" ref="H885">_xlfn.IFS(B885=2015,L885*$P$3,B885=2016,L885*$P$4,B885=2017,L885*$P$5,B885=2018,L885*$P$6,B885=2019,L885*$P$7,B885=2020,L885*$P$8,B885=2021,L885*$P$9,B885=2022,L885*$P$10)</f>
        <v>2874.4122766414057</v>
      </c>
      <c r="I885" s="7">
        <f t="shared" si="29"/>
        <v>130013.41227664141</v>
      </c>
      <c r="J885">
        <f>IFERROR(VLOOKUP(F885,'LEAID Match'!$A$2:$B$227,2,FALSE),"")</f>
        <v>3800042</v>
      </c>
      <c r="K885">
        <f t="shared" si="28"/>
        <v>8</v>
      </c>
      <c r="L885" cm="1">
        <f t="array" ref="L885">_xlfn.IFS(B885=2015,G885/$P$13,B885=2016,G885/$P$14,B885=2017,G885/$P$15,B885=2018,G885/$P$16,B885=2019,G885/$P$17,B885=2019,G885/$P$18,B885=2020,G885/$P$18,B885=2021,G885/$P$19,B885=2022,G885/$P$20)</f>
        <v>1.6212139180154573E-3</v>
      </c>
    </row>
    <row r="886" spans="1:12" x14ac:dyDescent="0.2">
      <c r="A886">
        <v>3800042</v>
      </c>
      <c r="B886">
        <v>2016</v>
      </c>
      <c r="C886" t="s">
        <v>252</v>
      </c>
      <c r="D886" t="s">
        <v>254</v>
      </c>
      <c r="E886" t="s">
        <v>256</v>
      </c>
      <c r="F886" s="5" t="s">
        <v>34</v>
      </c>
      <c r="G886" s="7">
        <v>124406</v>
      </c>
      <c r="H886" s="7" cm="1">
        <f t="array" ref="H886">_xlfn.IFS(B886=2015,L886*$P$3,B886=2016,L886*$P$4,B886=2017,L886*$P$5,B886=2018,L886*$P$6,B886=2019,L886*$P$7,B886=2020,L886*$P$8,B886=2021,L886*$P$9,B886=2022,L886*$P$10)</f>
        <v>4224.4612444208824</v>
      </c>
      <c r="I886" s="7">
        <f t="shared" si="29"/>
        <v>128630.46124442088</v>
      </c>
      <c r="J886">
        <f>IFERROR(VLOOKUP(F886,'LEAID Match'!$A$2:$B$227,2,FALSE),"")</f>
        <v>3800042</v>
      </c>
      <c r="K886">
        <f t="shared" si="28"/>
        <v>8</v>
      </c>
      <c r="L886" cm="1">
        <f t="array" ref="L886">_xlfn.IFS(B886=2015,G886/$P$13,B886=2016,G886/$P$14,B886=2017,G886/$P$15,B886=2018,G886/$P$16,B886=2019,G886/$P$17,B886=2019,G886/$P$18,B886=2020,G886/$P$18,B886=2021,G886/$P$19,B886=2022,G886/$P$20)</f>
        <v>1.5017636844724075E-3</v>
      </c>
    </row>
    <row r="887" spans="1:12" x14ac:dyDescent="0.2">
      <c r="A887">
        <v>3800042</v>
      </c>
      <c r="B887">
        <v>2017</v>
      </c>
      <c r="C887" t="s">
        <v>252</v>
      </c>
      <c r="D887" t="s">
        <v>254</v>
      </c>
      <c r="E887" t="s">
        <v>256</v>
      </c>
      <c r="F887" s="5" t="s">
        <v>34</v>
      </c>
      <c r="G887" s="7">
        <v>129869</v>
      </c>
      <c r="H887" s="7" cm="1">
        <f t="array" ref="H887">_xlfn.IFS(B887=2015,L887*$P$3,B887=2016,L887*$P$4,B887=2017,L887*$P$5,B887=2018,L887*$P$6,B887=2019,L887*$P$7,B887=2020,L887*$P$8,B887=2021,L887*$P$9,B887=2022,L887*$P$10)</f>
        <v>4208.8011434685122</v>
      </c>
      <c r="I887" s="7">
        <f t="shared" si="29"/>
        <v>134077.8011434685</v>
      </c>
      <c r="J887">
        <f>IFERROR(VLOOKUP(F887,'LEAID Match'!$A$2:$B$227,2,FALSE),"")</f>
        <v>3800042</v>
      </c>
      <c r="K887">
        <f t="shared" si="28"/>
        <v>8</v>
      </c>
      <c r="L887" cm="1">
        <f t="array" ref="L887">_xlfn.IFS(B887=2015,G887/$P$13,B887=2016,G887/$P$14,B887=2017,G887/$P$15,B887=2018,G887/$P$16,B887=2019,G887/$P$17,B887=2019,G887/$P$18,B887=2020,G887/$P$18,B887=2021,G887/$P$19,B887=2022,G887/$P$20)</f>
        <v>1.5090717617312699E-3</v>
      </c>
    </row>
    <row r="888" spans="1:12" x14ac:dyDescent="0.2">
      <c r="A888">
        <v>3800042</v>
      </c>
      <c r="B888" s="5">
        <v>2018</v>
      </c>
      <c r="C888" t="s">
        <v>252</v>
      </c>
      <c r="D888" t="s">
        <v>254</v>
      </c>
      <c r="E888" t="s">
        <v>256</v>
      </c>
      <c r="F888" s="5" t="s">
        <v>34</v>
      </c>
      <c r="G888" s="7">
        <v>135315</v>
      </c>
      <c r="H888" s="7" cm="1">
        <f t="array" ref="H888">_xlfn.IFS(B888=2015,L888*$P$3,B888=2016,L888*$P$4,B888=2017,L888*$P$5,B888=2018,L888*$P$6,B888=2019,L888*$P$7,B888=2020,L888*$P$8,B888=2021,L888*$P$9,B888=2022,L888*$P$10)</f>
        <v>3707.7647652245805</v>
      </c>
      <c r="I888" s="7">
        <f t="shared" si="29"/>
        <v>139022.76476522459</v>
      </c>
      <c r="J888">
        <f>IFERROR(VLOOKUP(F888,'LEAID Match'!$A$2:$B$227,2,FALSE),"")</f>
        <v>3800042</v>
      </c>
      <c r="K888">
        <f t="shared" si="28"/>
        <v>8</v>
      </c>
      <c r="L888" cm="1">
        <f t="array" ref="L888">_xlfn.IFS(B888=2015,G888/$P$13,B888=2016,G888/$P$14,B888=2017,G888/$P$15,B888=2018,G888/$P$16,B888=2019,G888/$P$17,B888=2019,G888/$P$18,B888=2020,G888/$P$18,B888=2021,G888/$P$19,B888=2022,G888/$P$20)</f>
        <v>1.5611641116735075E-3</v>
      </c>
    </row>
    <row r="889" spans="1:12" x14ac:dyDescent="0.2">
      <c r="A889">
        <v>3800042</v>
      </c>
      <c r="B889">
        <v>2019</v>
      </c>
      <c r="C889" t="s">
        <v>252</v>
      </c>
      <c r="D889" t="s">
        <v>254</v>
      </c>
      <c r="E889" t="s">
        <v>256</v>
      </c>
      <c r="F889" s="5" t="s">
        <v>34</v>
      </c>
      <c r="G889" s="7">
        <v>134983</v>
      </c>
      <c r="H889" s="7" cm="1">
        <f t="array" ref="H889">_xlfn.IFS(B889=2015,L889*$P$3,B889=2016,L889*$P$4,B889=2017,L889*$P$5,B889=2018,L889*$P$6,B889=2019,L889*$P$7,B889=2020,L889*$P$8,B889=2021,L889*$P$9,B889=2022,L889*$P$10)</f>
        <v>3132.9317899470602</v>
      </c>
      <c r="I889" s="7">
        <f t="shared" si="29"/>
        <v>138115.93178994706</v>
      </c>
      <c r="J889">
        <f>IFERROR(VLOOKUP(F889,'LEAID Match'!$A$2:$B$227,2,FALSE),"")</f>
        <v>3800042</v>
      </c>
      <c r="K889">
        <f t="shared" si="28"/>
        <v>8</v>
      </c>
      <c r="L889" cm="1">
        <f t="array" ref="L889">_xlfn.IFS(B889=2015,G889/$P$13,B889=2016,G889/$P$14,B889=2017,G889/$P$15,B889=2018,G889/$P$16,B889=2019,G889/$P$17,B889=2019,G889/$P$18,B889=2020,G889/$P$18,B889=2021,G889/$P$19,B889=2022,G889/$P$20)</f>
        <v>1.5091193593193932E-3</v>
      </c>
    </row>
    <row r="890" spans="1:12" x14ac:dyDescent="0.2">
      <c r="A890">
        <v>3800042</v>
      </c>
      <c r="B890">
        <v>2020</v>
      </c>
      <c r="C890" t="s">
        <v>252</v>
      </c>
      <c r="D890" t="s">
        <v>254</v>
      </c>
      <c r="E890" t="s">
        <v>256</v>
      </c>
      <c r="F890" s="5" t="s">
        <v>34</v>
      </c>
      <c r="G890" s="7">
        <v>150964</v>
      </c>
      <c r="H890" s="7" cm="1">
        <f t="array" ref="H890">_xlfn.IFS(B890=2015,L890*$P$3,B890=2016,L890*$P$4,B890=2017,L890*$P$5,B890=2018,L890*$P$6,B890=2019,L890*$P$7,B890=2020,L890*$P$8,B890=2021,L890*$P$9,B890=2022,L890*$P$10)</f>
        <v>3787.3875803646938</v>
      </c>
      <c r="I890" s="7">
        <f t="shared" si="29"/>
        <v>154751.38758036468</v>
      </c>
      <c r="J890">
        <f>IFERROR(VLOOKUP(F890,'LEAID Match'!$A$2:$B$227,2,FALSE),"")</f>
        <v>3800042</v>
      </c>
      <c r="K890">
        <f t="shared" si="28"/>
        <v>8</v>
      </c>
      <c r="L890" cm="1">
        <f t="array" ref="L890">_xlfn.IFS(B890=2015,G890/$P$13,B890=2016,G890/$P$14,B890=2017,G890/$P$15,B890=2018,G890/$P$16,B890=2019,G890/$P$17,B890=2019,G890/$P$18,B890=2020,G890/$P$18,B890=2021,G890/$P$19,B890=2022,G890/$P$20)</f>
        <v>1.622702476591557E-3</v>
      </c>
    </row>
    <row r="891" spans="1:12" x14ac:dyDescent="0.2">
      <c r="A891">
        <v>3800042</v>
      </c>
      <c r="B891" s="5">
        <v>2021</v>
      </c>
      <c r="C891" t="s">
        <v>252</v>
      </c>
      <c r="D891" t="s">
        <v>254</v>
      </c>
      <c r="E891" t="s">
        <v>256</v>
      </c>
      <c r="F891" s="5" t="s">
        <v>34</v>
      </c>
      <c r="G891" s="7">
        <v>163912</v>
      </c>
      <c r="H891" s="7" cm="1">
        <f t="array" ref="H891">_xlfn.IFS(B891=2015,L891*$P$3,B891=2016,L891*$P$4,B891=2017,L891*$P$5,B891=2018,L891*$P$6,B891=2019,L891*$P$7,B891=2020,L891*$P$8,B891=2021,L891*$P$9,B891=2022,L891*$P$10)</f>
        <v>4478.7795873504538</v>
      </c>
      <c r="I891" s="7">
        <f t="shared" si="29"/>
        <v>168390.77958735047</v>
      </c>
      <c r="J891">
        <f>IFERROR(VLOOKUP(F891,'LEAID Match'!$A$2:$B$227,2,FALSE),"")</f>
        <v>3800042</v>
      </c>
      <c r="K891">
        <f t="shared" si="28"/>
        <v>8</v>
      </c>
      <c r="L891" cm="1">
        <f t="array" ref="L891">_xlfn.IFS(B891=2015,G891/$P$13,B891=2016,G891/$P$14,B891=2017,G891/$P$15,B891=2018,G891/$P$16,B891=2019,G891/$P$17,B891=2019,G891/$P$18,B891=2020,G891/$P$18,B891=2021,G891/$P$19,B891=2022,G891/$P$20)</f>
        <v>1.6680743342087352E-3</v>
      </c>
    </row>
    <row r="892" spans="1:12" x14ac:dyDescent="0.2">
      <c r="A892">
        <v>3800042</v>
      </c>
      <c r="B892">
        <v>2022</v>
      </c>
      <c r="C892" t="s">
        <v>252</v>
      </c>
      <c r="D892" t="s">
        <v>254</v>
      </c>
      <c r="E892" t="s">
        <v>256</v>
      </c>
      <c r="F892" s="5" t="s">
        <v>34</v>
      </c>
      <c r="G892" s="7">
        <v>195277</v>
      </c>
      <c r="H892" s="7" cm="1">
        <f t="array" ref="H892">_xlfn.IFS(B892=2015,L892*$P$3,B892=2016,L892*$P$4,B892=2017,L892*$P$5,B892=2018,L892*$P$6,B892=2019,L892*$P$7,B892=2020,L892*$P$8,B892=2021,L892*$P$9,B892=2022,L892*$P$10)</f>
        <v>3974.3874456620456</v>
      </c>
      <c r="I892" s="7">
        <f t="shared" si="29"/>
        <v>199251.38744566205</v>
      </c>
      <c r="J892">
        <f>IFERROR(VLOOKUP(F892,'LEAID Match'!$A$2:$B$227,2,FALSE),"")</f>
        <v>3800042</v>
      </c>
      <c r="K892">
        <f t="shared" si="28"/>
        <v>8</v>
      </c>
      <c r="L892" cm="1">
        <f t="array" ref="L892">_xlfn.IFS(B892=2015,G892/$P$13,B892=2016,G892/$P$14,B892=2017,G892/$P$15,B892=2018,G892/$P$16,B892=2019,G892/$P$17,B892=2019,G892/$P$18,B892=2020,G892/$P$18,B892=2021,G892/$P$19,B892=2022,G892/$P$20)</f>
        <v>1.9463209822047237E-3</v>
      </c>
    </row>
    <row r="893" spans="1:12" x14ac:dyDescent="0.2">
      <c r="A893">
        <v>3812920</v>
      </c>
      <c r="B893">
        <v>2015</v>
      </c>
      <c r="C893" t="s">
        <v>252</v>
      </c>
      <c r="D893" t="s">
        <v>254</v>
      </c>
      <c r="E893" t="s">
        <v>256</v>
      </c>
      <c r="F893" s="5" t="s">
        <v>229</v>
      </c>
      <c r="G893" s="7">
        <v>171090</v>
      </c>
      <c r="H893" s="7" cm="1">
        <f t="array" ref="H893">_xlfn.IFS(B893=2015,L893*$P$3,B893=2016,L893*$P$4,B893=2017,L893*$P$5,B893=2018,L893*$P$6,B893=2019,L893*$P$7,B893=2020,L893*$P$8,B893=2021,L893*$P$9,B893=2022,L893*$P$10)</f>
        <v>3868.0750706752306</v>
      </c>
      <c r="I893" s="7">
        <f t="shared" si="29"/>
        <v>174958.07507067523</v>
      </c>
      <c r="J893">
        <f>IFERROR(VLOOKUP(F893,'LEAID Match'!$A$2:$B$227,2,FALSE),"")</f>
        <v>3812920</v>
      </c>
      <c r="K893">
        <f t="shared" si="28"/>
        <v>8</v>
      </c>
      <c r="L893" cm="1">
        <f t="array" ref="L893">_xlfn.IFS(B893=2015,G893/$P$13,B893=2016,G893/$P$14,B893=2017,G893/$P$15,B893=2018,G893/$P$16,B893=2019,G893/$P$17,B893=2019,G893/$P$18,B893=2020,G893/$P$18,B893=2021,G893/$P$19,B893=2022,G893/$P$20)</f>
        <v>2.1816554262127641E-3</v>
      </c>
    </row>
    <row r="894" spans="1:12" x14ac:dyDescent="0.2">
      <c r="A894">
        <v>3812920</v>
      </c>
      <c r="B894">
        <v>2016</v>
      </c>
      <c r="C894" t="s">
        <v>252</v>
      </c>
      <c r="D894" t="s">
        <v>254</v>
      </c>
      <c r="E894" t="s">
        <v>256</v>
      </c>
      <c r="F894" s="5" t="s">
        <v>229</v>
      </c>
      <c r="G894" s="7">
        <v>187073</v>
      </c>
      <c r="H894" s="7" cm="1">
        <f t="array" ref="H894">_xlfn.IFS(B894=2015,L894*$P$3,B894=2016,L894*$P$4,B894=2017,L894*$P$5,B894=2018,L894*$P$6,B894=2019,L894*$P$7,B894=2020,L894*$P$8,B894=2021,L894*$P$9,B894=2022,L894*$P$10)</f>
        <v>6352.447939629501</v>
      </c>
      <c r="I894" s="7">
        <f t="shared" si="29"/>
        <v>193425.44793962949</v>
      </c>
      <c r="J894">
        <f>IFERROR(VLOOKUP(F894,'LEAID Match'!$A$2:$B$227,2,FALSE),"")</f>
        <v>3812920</v>
      </c>
      <c r="K894">
        <f t="shared" si="28"/>
        <v>8</v>
      </c>
      <c r="L894" cm="1">
        <f t="array" ref="L894">_xlfn.IFS(B894=2015,G894/$P$13,B894=2016,G894/$P$14,B894=2017,G894/$P$15,B894=2018,G894/$P$16,B894=2019,G894/$P$17,B894=2019,G894/$P$18,B894=2020,G894/$P$18,B894=2021,G894/$P$19,B894=2022,G894/$P$20)</f>
        <v>2.2582466902344475E-3</v>
      </c>
    </row>
    <row r="895" spans="1:12" x14ac:dyDescent="0.2">
      <c r="A895">
        <v>3812920</v>
      </c>
      <c r="B895">
        <v>2017</v>
      </c>
      <c r="C895" t="s">
        <v>252</v>
      </c>
      <c r="D895" t="s">
        <v>254</v>
      </c>
      <c r="E895" t="s">
        <v>256</v>
      </c>
      <c r="F895" s="5" t="s">
        <v>229</v>
      </c>
      <c r="G895" s="7">
        <v>184919</v>
      </c>
      <c r="H895" s="7" cm="1">
        <f t="array" ref="H895">_xlfn.IFS(B895=2015,L895*$P$3,B895=2016,L895*$P$4,B895=2017,L895*$P$5,B895=2018,L895*$P$6,B895=2019,L895*$P$7,B895=2020,L895*$P$8,B895=2021,L895*$P$9,B895=2022,L895*$P$10)</f>
        <v>5992.8643375174506</v>
      </c>
      <c r="I895" s="7">
        <f t="shared" si="29"/>
        <v>190911.86433751744</v>
      </c>
      <c r="J895">
        <f>IFERROR(VLOOKUP(F895,'LEAID Match'!$A$2:$B$227,2,FALSE),"")</f>
        <v>3812920</v>
      </c>
      <c r="K895">
        <f t="shared" si="28"/>
        <v>8</v>
      </c>
      <c r="L895" cm="1">
        <f t="array" ref="L895">_xlfn.IFS(B895=2015,G895/$P$13,B895=2016,G895/$P$14,B895=2017,G895/$P$15,B895=2018,G895/$P$16,B895=2019,G895/$P$17,B895=2019,G895/$P$18,B895=2020,G895/$P$18,B895=2021,G895/$P$19,B895=2022,G895/$P$20)</f>
        <v>2.1487502106552351E-3</v>
      </c>
    </row>
    <row r="896" spans="1:12" x14ac:dyDescent="0.2">
      <c r="A896">
        <v>3812920</v>
      </c>
      <c r="B896" s="5">
        <v>2018</v>
      </c>
      <c r="C896" t="s">
        <v>252</v>
      </c>
      <c r="D896" t="s">
        <v>254</v>
      </c>
      <c r="E896" t="s">
        <v>256</v>
      </c>
      <c r="F896" s="5" t="s">
        <v>229</v>
      </c>
      <c r="G896" s="7">
        <v>163853</v>
      </c>
      <c r="H896" s="7" cm="1">
        <f t="array" ref="H896">_xlfn.IFS(B896=2015,L896*$P$3,B896=2016,L896*$P$4,B896=2017,L896*$P$5,B896=2018,L896*$P$6,B896=2019,L896*$P$7,B896=2020,L896*$P$8,B896=2021,L896*$P$9,B896=2022,L896*$P$10)</f>
        <v>4489.7341763761833</v>
      </c>
      <c r="I896" s="7">
        <f t="shared" si="29"/>
        <v>168342.73417637619</v>
      </c>
      <c r="J896">
        <f>IFERROR(VLOOKUP(F896,'LEAID Match'!$A$2:$B$227,2,FALSE),"")</f>
        <v>3812920</v>
      </c>
      <c r="K896">
        <f t="shared" si="28"/>
        <v>8</v>
      </c>
      <c r="L896" cm="1">
        <f t="array" ref="L896">_xlfn.IFS(B896=2015,G896/$P$13,B896=2016,G896/$P$14,B896=2017,G896/$P$15,B896=2018,G896/$P$16,B896=2019,G896/$P$17,B896=2019,G896/$P$18,B896=2020,G896/$P$18,B896=2021,G896/$P$19,B896=2022,G896/$P$20)</f>
        <v>1.8904143900531298E-3</v>
      </c>
    </row>
    <row r="897" spans="1:12" x14ac:dyDescent="0.2">
      <c r="A897">
        <v>3812920</v>
      </c>
      <c r="B897">
        <v>2019</v>
      </c>
      <c r="C897" t="s">
        <v>252</v>
      </c>
      <c r="D897" t="s">
        <v>254</v>
      </c>
      <c r="E897" t="s">
        <v>256</v>
      </c>
      <c r="F897" s="5" t="s">
        <v>229</v>
      </c>
      <c r="G897" s="7">
        <v>160765</v>
      </c>
      <c r="H897" s="7" cm="1">
        <f t="array" ref="H897">_xlfn.IFS(B897=2015,L897*$P$3,B897=2016,L897*$P$4,B897=2017,L897*$P$5,B897=2018,L897*$P$6,B897=2019,L897*$P$7,B897=2020,L897*$P$8,B897=2021,L897*$P$9,B897=2022,L897*$P$10)</f>
        <v>3731.3274946536908</v>
      </c>
      <c r="I897" s="7">
        <f t="shared" si="29"/>
        <v>164496.3274946537</v>
      </c>
      <c r="J897">
        <f>IFERROR(VLOOKUP(F897,'LEAID Match'!$A$2:$B$227,2,FALSE),"")</f>
        <v>3812920</v>
      </c>
      <c r="K897">
        <f t="shared" si="28"/>
        <v>8</v>
      </c>
      <c r="L897" cm="1">
        <f t="array" ref="L897">_xlfn.IFS(B897=2015,G897/$P$13,B897=2016,G897/$P$14,B897=2017,G897/$P$15,B897=2018,G897/$P$16,B897=2019,G897/$P$17,B897=2019,G897/$P$18,B897=2020,G897/$P$18,B897=2021,G897/$P$19,B897=2022,G897/$P$20)</f>
        <v>1.7973639184266333E-3</v>
      </c>
    </row>
    <row r="898" spans="1:12" x14ac:dyDescent="0.2">
      <c r="A898">
        <v>3812920</v>
      </c>
      <c r="B898">
        <v>2020</v>
      </c>
      <c r="C898" t="s">
        <v>252</v>
      </c>
      <c r="D898" t="s">
        <v>254</v>
      </c>
      <c r="E898" t="s">
        <v>256</v>
      </c>
      <c r="F898" s="5" t="s">
        <v>229</v>
      </c>
      <c r="G898" s="7">
        <v>157115</v>
      </c>
      <c r="H898" s="7" cm="1">
        <f t="array" ref="H898">_xlfn.IFS(B898=2015,L898*$P$3,B898=2016,L898*$P$4,B898=2017,L898*$P$5,B898=2018,L898*$P$6,B898=2019,L898*$P$7,B898=2020,L898*$P$8,B898=2021,L898*$P$9,B898=2022,L898*$P$10)</f>
        <v>3941.7039803463003</v>
      </c>
      <c r="I898" s="7">
        <f t="shared" si="29"/>
        <v>161056.7039803463</v>
      </c>
      <c r="J898">
        <f>IFERROR(VLOOKUP(F898,'LEAID Match'!$A$2:$B$227,2,FALSE),"")</f>
        <v>3812920</v>
      </c>
      <c r="K898">
        <f t="shared" ref="K898:K961" si="30">COUNTIF($A$2:$A$1757,A898)</f>
        <v>8</v>
      </c>
      <c r="L898" cm="1">
        <f t="array" ref="L898">_xlfn.IFS(B898=2015,G898/$P$13,B898=2016,G898/$P$14,B898=2017,G898/$P$15,B898=2018,G898/$P$16,B898=2019,G898/$P$17,B898=2019,G898/$P$18,B898=2020,G898/$P$18,B898=2021,G898/$P$19,B898=2022,G898/$P$20)</f>
        <v>1.6888191860952443E-3</v>
      </c>
    </row>
    <row r="899" spans="1:12" x14ac:dyDescent="0.2">
      <c r="A899">
        <v>3812920</v>
      </c>
      <c r="B899" s="5">
        <v>2021</v>
      </c>
      <c r="C899" t="s">
        <v>252</v>
      </c>
      <c r="D899" t="s">
        <v>254</v>
      </c>
      <c r="E899" t="s">
        <v>256</v>
      </c>
      <c r="F899" s="5" t="s">
        <v>229</v>
      </c>
      <c r="G899" s="7">
        <v>170625</v>
      </c>
      <c r="H899" s="7" cm="1">
        <f t="array" ref="H899">_xlfn.IFS(B899=2015,L899*$P$3,B899=2016,L899*$P$4,B899=2017,L899*$P$5,B899=2018,L899*$P$6,B899=2019,L899*$P$7,B899=2020,L899*$P$8,B899=2021,L899*$P$9,B899=2022,L899*$P$10)</f>
        <v>4662.2075692546687</v>
      </c>
      <c r="I899" s="7">
        <f t="shared" ref="I899:I962" si="31">SUM(G899:H899)</f>
        <v>175287.20756925468</v>
      </c>
      <c r="J899">
        <f>IFERROR(VLOOKUP(F899,'LEAID Match'!$A$2:$B$227,2,FALSE),"")</f>
        <v>3812920</v>
      </c>
      <c r="K899">
        <f t="shared" si="30"/>
        <v>8</v>
      </c>
      <c r="L899" cm="1">
        <f t="array" ref="L899">_xlfn.IFS(B899=2015,G899/$P$13,B899=2016,G899/$P$14,B899=2017,G899/$P$15,B899=2018,G899/$P$16,B899=2019,G899/$P$17,B899=2019,G899/$P$18,B899=2020,G899/$P$18,B899=2021,G899/$P$19,B899=2022,G899/$P$20)</f>
        <v>1.7363901561469901E-3</v>
      </c>
    </row>
    <row r="900" spans="1:12" x14ac:dyDescent="0.2">
      <c r="A900">
        <v>3812920</v>
      </c>
      <c r="B900">
        <v>2022</v>
      </c>
      <c r="C900" t="s">
        <v>252</v>
      </c>
      <c r="D900" t="s">
        <v>254</v>
      </c>
      <c r="E900" t="s">
        <v>256</v>
      </c>
      <c r="F900" s="5" t="s">
        <v>229</v>
      </c>
      <c r="G900" s="7">
        <v>180763</v>
      </c>
      <c r="H900" s="7" cm="1">
        <f t="array" ref="H900">_xlfn.IFS(B900=2015,L900*$P$3,B900=2016,L900*$P$4,B900=2017,L900*$P$5,B900=2018,L900*$P$6,B900=2019,L900*$P$7,B900=2020,L900*$P$8,B900=2021,L900*$P$9,B900=2022,L900*$P$10)</f>
        <v>3678.9903462271973</v>
      </c>
      <c r="I900" s="7">
        <f t="shared" si="31"/>
        <v>184441.99034622719</v>
      </c>
      <c r="J900">
        <f>IFERROR(VLOOKUP(F900,'LEAID Match'!$A$2:$B$227,2,FALSE),"")</f>
        <v>3812920</v>
      </c>
      <c r="K900">
        <f t="shared" si="30"/>
        <v>8</v>
      </c>
      <c r="L900" cm="1">
        <f t="array" ref="L900">_xlfn.IFS(B900=2015,G900/$P$13,B900=2016,G900/$P$14,B900=2017,G900/$P$15,B900=2018,G900/$P$16,B900=2019,G900/$P$17,B900=2019,G900/$P$18,B900=2020,G900/$P$18,B900=2021,G900/$P$19,B900=2022,G900/$P$20)</f>
        <v>1.801660306673456E-3</v>
      </c>
    </row>
    <row r="901" spans="1:12" x14ac:dyDescent="0.2">
      <c r="A901">
        <v>3812930</v>
      </c>
      <c r="B901">
        <v>2015</v>
      </c>
      <c r="C901" t="s">
        <v>252</v>
      </c>
      <c r="D901" t="s">
        <v>254</v>
      </c>
      <c r="E901" t="s">
        <v>256</v>
      </c>
      <c r="F901" s="5" t="s">
        <v>35</v>
      </c>
      <c r="G901" s="7">
        <v>185093</v>
      </c>
      <c r="H901" s="7" cm="1">
        <f t="array" ref="H901">_xlfn.IFS(B901=2015,L901*$P$3,B901=2016,L901*$P$4,B901=2017,L901*$P$5,B901=2018,L901*$P$6,B901=2019,L901*$P$7,B901=2020,L901*$P$8,B901=2021,L901*$P$9,B901=2022,L901*$P$10)</f>
        <v>4184.6608162750044</v>
      </c>
      <c r="I901" s="7">
        <f t="shared" si="31"/>
        <v>189277.66081627499</v>
      </c>
      <c r="J901">
        <f>IFERROR(VLOOKUP(F901,'LEAID Match'!$A$2:$B$227,2,FALSE),"")</f>
        <v>3812930</v>
      </c>
      <c r="K901">
        <f t="shared" si="30"/>
        <v>8</v>
      </c>
      <c r="L901" cm="1">
        <f t="array" ref="L901">_xlfn.IFS(B901=2015,G901/$P$13,B901=2016,G901/$P$14,B901=2017,G901/$P$15,B901=2018,G901/$P$16,B901=2019,G901/$P$17,B901=2019,G901/$P$18,B901=2020,G901/$P$18,B901=2021,G901/$P$19,B901=2022,G901/$P$20)</f>
        <v>2.3602147863931214E-3</v>
      </c>
    </row>
    <row r="902" spans="1:12" x14ac:dyDescent="0.2">
      <c r="A902">
        <v>3812930</v>
      </c>
      <c r="B902">
        <v>2016</v>
      </c>
      <c r="C902" t="s">
        <v>252</v>
      </c>
      <c r="D902" t="s">
        <v>254</v>
      </c>
      <c r="E902" t="s">
        <v>256</v>
      </c>
      <c r="F902" s="5" t="s">
        <v>35</v>
      </c>
      <c r="G902" s="7">
        <v>175288</v>
      </c>
      <c r="H902" s="7" cm="1">
        <f t="array" ref="H902">_xlfn.IFS(B902=2015,L902*$P$3,B902=2016,L902*$P$4,B902=2017,L902*$P$5,B902=2018,L902*$P$6,B902=2019,L902*$P$7,B902=2020,L902*$P$8,B902=2021,L902*$P$9,B902=2022,L902*$P$10)</f>
        <v>5952.2640597081127</v>
      </c>
      <c r="I902" s="7">
        <f t="shared" si="31"/>
        <v>181240.2640597081</v>
      </c>
      <c r="J902">
        <f>IFERROR(VLOOKUP(F902,'LEAID Match'!$A$2:$B$227,2,FALSE),"")</f>
        <v>3812930</v>
      </c>
      <c r="K902">
        <f t="shared" si="30"/>
        <v>8</v>
      </c>
      <c r="L902" cm="1">
        <f t="array" ref="L902">_xlfn.IFS(B902=2015,G902/$P$13,B902=2016,G902/$P$14,B902=2017,G902/$P$15,B902=2018,G902/$P$16,B902=2019,G902/$P$17,B902=2019,G902/$P$18,B902=2020,G902/$P$18,B902=2021,G902/$P$19,B902=2022,G902/$P$20)</f>
        <v>2.1159843795620736E-3</v>
      </c>
    </row>
    <row r="903" spans="1:12" x14ac:dyDescent="0.2">
      <c r="A903">
        <v>3812930</v>
      </c>
      <c r="B903">
        <v>2017</v>
      </c>
      <c r="C903" t="s">
        <v>252</v>
      </c>
      <c r="D903" t="s">
        <v>254</v>
      </c>
      <c r="E903" t="s">
        <v>256</v>
      </c>
      <c r="F903" s="5" t="s">
        <v>35</v>
      </c>
      <c r="G903" s="7">
        <v>174352</v>
      </c>
      <c r="H903" s="7" cm="1">
        <f t="array" ref="H903">_xlfn.IFS(B903=2015,L903*$P$3,B903=2016,L903*$P$4,B903=2017,L903*$P$5,B903=2018,L903*$P$6,B903=2019,L903*$P$7,B903=2020,L903*$P$8,B903=2021,L903*$P$9,B903=2022,L903*$P$10)</f>
        <v>5650.4084651920166</v>
      </c>
      <c r="I903" s="7">
        <f t="shared" si="31"/>
        <v>180002.40846519201</v>
      </c>
      <c r="J903">
        <f>IFERROR(VLOOKUP(F903,'LEAID Match'!$A$2:$B$227,2,FALSE),"")</f>
        <v>3812930</v>
      </c>
      <c r="K903">
        <f t="shared" si="30"/>
        <v>8</v>
      </c>
      <c r="L903" cm="1">
        <f t="array" ref="L903">_xlfn.IFS(B903=2015,G903/$P$13,B903=2016,G903/$P$14,B903=2017,G903/$P$15,B903=2018,G903/$P$16,B903=2019,G903/$P$17,B903=2019,G903/$P$18,B903=2020,G903/$P$18,B903=2021,G903/$P$19,B903=2022,G903/$P$20)</f>
        <v>2.025962160341347E-3</v>
      </c>
    </row>
    <row r="904" spans="1:12" x14ac:dyDescent="0.2">
      <c r="A904">
        <v>3812930</v>
      </c>
      <c r="B904" s="5">
        <v>2018</v>
      </c>
      <c r="C904" t="s">
        <v>252</v>
      </c>
      <c r="D904" t="s">
        <v>254</v>
      </c>
      <c r="E904" t="s">
        <v>256</v>
      </c>
      <c r="F904" s="5" t="s">
        <v>35</v>
      </c>
      <c r="G904" s="7">
        <v>188049</v>
      </c>
      <c r="H904" s="7" cm="1">
        <f t="array" ref="H904">_xlfn.IFS(B904=2015,L904*$P$3,B904=2016,L904*$P$4,B904=2017,L904*$P$5,B904=2018,L904*$P$6,B904=2019,L904*$P$7,B904=2020,L904*$P$8,B904=2021,L904*$P$9,B904=2022,L904*$P$10)</f>
        <v>5152.7284952571199</v>
      </c>
      <c r="I904" s="7">
        <f t="shared" si="31"/>
        <v>193201.72849525712</v>
      </c>
      <c r="J904">
        <f>IFERROR(VLOOKUP(F904,'LEAID Match'!$A$2:$B$227,2,FALSE),"")</f>
        <v>3812930</v>
      </c>
      <c r="K904">
        <f t="shared" si="30"/>
        <v>8</v>
      </c>
      <c r="L904" cm="1">
        <f t="array" ref="L904">_xlfn.IFS(B904=2015,G904/$P$13,B904=2016,G904/$P$14,B904=2017,G904/$P$15,B904=2018,G904/$P$16,B904=2019,G904/$P$17,B904=2019,G904/$P$18,B904=2020,G904/$P$18,B904=2021,G904/$P$19,B904=2022,G904/$P$20)</f>
        <v>2.1695698927398401E-3</v>
      </c>
    </row>
    <row r="905" spans="1:12" x14ac:dyDescent="0.2">
      <c r="A905">
        <v>3812930</v>
      </c>
      <c r="B905">
        <v>2019</v>
      </c>
      <c r="C905" t="s">
        <v>252</v>
      </c>
      <c r="D905" t="s">
        <v>254</v>
      </c>
      <c r="E905" t="s">
        <v>256</v>
      </c>
      <c r="F905" s="5" t="s">
        <v>35</v>
      </c>
      <c r="G905" s="7">
        <v>185164</v>
      </c>
      <c r="H905" s="7" cm="1">
        <f t="array" ref="H905">_xlfn.IFS(B905=2015,L905*$P$3,B905=2016,L905*$P$4,B905=2017,L905*$P$5,B905=2018,L905*$P$6,B905=2019,L905*$P$7,B905=2020,L905*$P$8,B905=2021,L905*$P$9,B905=2022,L905*$P$10)</f>
        <v>4297.6240115700302</v>
      </c>
      <c r="I905" s="7">
        <f t="shared" si="31"/>
        <v>189461.62401157003</v>
      </c>
      <c r="J905">
        <f>IFERROR(VLOOKUP(F905,'LEAID Match'!$A$2:$B$227,2,FALSE),"")</f>
        <v>3812930</v>
      </c>
      <c r="K905">
        <f t="shared" si="30"/>
        <v>8</v>
      </c>
      <c r="L905" cm="1">
        <f t="array" ref="L905">_xlfn.IFS(B905=2015,G905/$P$13,B905=2016,G905/$P$14,B905=2017,G905/$P$15,B905=2018,G905/$P$16,B905=2019,G905/$P$17,B905=2019,G905/$P$18,B905=2020,G905/$P$18,B905=2021,G905/$P$19,B905=2022,G905/$P$20)</f>
        <v>2.0701464410260262E-3</v>
      </c>
    </row>
    <row r="906" spans="1:12" x14ac:dyDescent="0.2">
      <c r="A906">
        <v>3812930</v>
      </c>
      <c r="B906">
        <v>2020</v>
      </c>
      <c r="C906" t="s">
        <v>252</v>
      </c>
      <c r="D906" t="s">
        <v>254</v>
      </c>
      <c r="E906" t="s">
        <v>256</v>
      </c>
      <c r="F906" s="5" t="s">
        <v>35</v>
      </c>
      <c r="G906" s="7">
        <v>188776</v>
      </c>
      <c r="H906" s="7" cm="1">
        <f t="array" ref="H906">_xlfn.IFS(B906=2015,L906*$P$3,B906=2016,L906*$P$4,B906=2017,L906*$P$5,B906=2018,L906*$P$6,B906=2019,L906*$P$7,B906=2020,L906*$P$8,B906=2021,L906*$P$9,B906=2022,L906*$P$10)</f>
        <v>4736.0157247484531</v>
      </c>
      <c r="I906" s="7">
        <f t="shared" si="31"/>
        <v>193512.01572474846</v>
      </c>
      <c r="J906">
        <f>IFERROR(VLOOKUP(F906,'LEAID Match'!$A$2:$B$227,2,FALSE),"")</f>
        <v>3812930</v>
      </c>
      <c r="K906">
        <f t="shared" si="30"/>
        <v>8</v>
      </c>
      <c r="L906" cm="1">
        <f t="array" ref="L906">_xlfn.IFS(B906=2015,G906/$P$13,B906=2016,G906/$P$14,B906=2017,G906/$P$15,B906=2018,G906/$P$16,B906=2019,G906/$P$17,B906=2019,G906/$P$18,B906=2020,G906/$P$18,B906=2021,G906/$P$19,B906=2022,G906/$P$20)</f>
        <v>2.0291412702435532E-3</v>
      </c>
    </row>
    <row r="907" spans="1:12" x14ac:dyDescent="0.2">
      <c r="A907">
        <v>3812930</v>
      </c>
      <c r="B907" s="5">
        <v>2021</v>
      </c>
      <c r="C907" t="s">
        <v>252</v>
      </c>
      <c r="D907" t="s">
        <v>254</v>
      </c>
      <c r="E907" t="s">
        <v>256</v>
      </c>
      <c r="F907" s="5" t="s">
        <v>35</v>
      </c>
      <c r="G907" s="7">
        <v>203643</v>
      </c>
      <c r="H907" s="7" cm="1">
        <f t="array" ref="H907">_xlfn.IFS(B907=2015,L907*$P$3,B907=2016,L907*$P$4,B907=2017,L907*$P$5,B907=2018,L907*$P$6,B907=2019,L907*$P$7,B907=2020,L907*$P$8,B907=2021,L907*$P$9,B907=2022,L907*$P$10)</f>
        <v>5564.4010902606797</v>
      </c>
      <c r="I907" s="7">
        <f t="shared" si="31"/>
        <v>209207.40109026068</v>
      </c>
      <c r="J907">
        <f>IFERROR(VLOOKUP(F907,'LEAID Match'!$A$2:$B$227,2,FALSE),"")</f>
        <v>3812930</v>
      </c>
      <c r="K907">
        <f t="shared" si="30"/>
        <v>8</v>
      </c>
      <c r="L907" cm="1">
        <f t="array" ref="L907">_xlfn.IFS(B907=2015,G907/$P$13,B907=2016,G907/$P$14,B907=2017,G907/$P$15,B907=2018,G907/$P$16,B907=2019,G907/$P$17,B907=2019,G907/$P$18,B907=2020,G907/$P$18,B907=2021,G907/$P$19,B907=2022,G907/$P$20)</f>
        <v>2.0724026406929905E-3</v>
      </c>
    </row>
    <row r="908" spans="1:12" x14ac:dyDescent="0.2">
      <c r="A908">
        <v>3812930</v>
      </c>
      <c r="B908">
        <v>2022</v>
      </c>
      <c r="C908" t="s">
        <v>252</v>
      </c>
      <c r="D908" t="s">
        <v>254</v>
      </c>
      <c r="E908" t="s">
        <v>256</v>
      </c>
      <c r="F908" s="5" t="s">
        <v>35</v>
      </c>
      <c r="G908" s="7">
        <v>196789</v>
      </c>
      <c r="H908" s="7" cm="1">
        <f t="array" ref="H908">_xlfn.IFS(B908=2015,L908*$P$3,B908=2016,L908*$P$4,B908=2017,L908*$P$5,B908=2018,L908*$P$6,B908=2019,L908*$P$7,B908=2020,L908*$P$8,B908=2021,L908*$P$9,B908=2022,L908*$P$10)</f>
        <v>4005.1605209235513</v>
      </c>
      <c r="I908" s="7">
        <f t="shared" si="31"/>
        <v>200794.16052092356</v>
      </c>
      <c r="J908">
        <f>IFERROR(VLOOKUP(F908,'LEAID Match'!$A$2:$B$227,2,FALSE),"")</f>
        <v>3812930</v>
      </c>
      <c r="K908">
        <f t="shared" si="30"/>
        <v>8</v>
      </c>
      <c r="L908" cm="1">
        <f t="array" ref="L908">_xlfn.IFS(B908=2015,G908/$P$13,B908=2016,G908/$P$14,B908=2017,G908/$P$15,B908=2018,G908/$P$16,B908=2019,G908/$P$17,B908=2019,G908/$P$18,B908=2020,G908/$P$18,B908=2021,G908/$P$19,B908=2022,G908/$P$20)</f>
        <v>1.9613910484444423E-3</v>
      </c>
    </row>
    <row r="909" spans="1:12" x14ac:dyDescent="0.2">
      <c r="A909">
        <v>3812990</v>
      </c>
      <c r="B909">
        <v>2015</v>
      </c>
      <c r="C909" t="s">
        <v>252</v>
      </c>
      <c r="D909" t="s">
        <v>254</v>
      </c>
      <c r="E909" t="s">
        <v>256</v>
      </c>
      <c r="F909" s="5" t="s">
        <v>36</v>
      </c>
      <c r="G909" s="7">
        <v>206155</v>
      </c>
      <c r="H909" s="7" cm="1">
        <f t="array" ref="H909">_xlfn.IFS(B909=2015,L909*$P$3,B909=2016,L909*$P$4,B909=2017,L909*$P$5,B909=2018,L909*$P$6,B909=2019,L909*$P$7,B909=2020,L909*$P$8,B909=2021,L909*$P$9,B909=2022,L909*$P$10)</f>
        <v>4660.8394189903102</v>
      </c>
      <c r="I909" s="7">
        <f t="shared" si="31"/>
        <v>210815.8394189903</v>
      </c>
      <c r="J909">
        <f>IFERROR(VLOOKUP(F909,'LEAID Match'!$A$2:$B$227,2,FALSE),"")</f>
        <v>3812990</v>
      </c>
      <c r="K909">
        <f t="shared" si="30"/>
        <v>8</v>
      </c>
      <c r="L909" cm="1">
        <f t="array" ref="L909">_xlfn.IFS(B909=2015,G909/$P$13,B909=2016,G909/$P$14,B909=2017,G909/$P$15,B909=2018,G909/$P$16,B909=2019,G909/$P$17,B909=2019,G909/$P$18,B909=2020,G909/$P$18,B909=2021,G909/$P$19,B909=2022,G909/$P$20)</f>
        <v>2.6287870383476086E-3</v>
      </c>
    </row>
    <row r="910" spans="1:12" x14ac:dyDescent="0.2">
      <c r="A910">
        <v>3812990</v>
      </c>
      <c r="B910">
        <v>2016</v>
      </c>
      <c r="C910" t="s">
        <v>252</v>
      </c>
      <c r="D910" t="s">
        <v>254</v>
      </c>
      <c r="E910" t="s">
        <v>256</v>
      </c>
      <c r="F910" s="5" t="s">
        <v>36</v>
      </c>
      <c r="G910" s="7">
        <v>217913</v>
      </c>
      <c r="H910" s="7" cm="1">
        <f t="array" ref="H910">_xlfn.IFS(B910=2015,L910*$P$3,B910=2016,L910*$P$4,B910=2017,L910*$P$5,B910=2018,L910*$P$6,B910=2019,L910*$P$7,B910=2020,L910*$P$8,B910=2021,L910*$P$9,B910=2022,L910*$P$10)</f>
        <v>7399.6834811463077</v>
      </c>
      <c r="I910" s="7">
        <f t="shared" si="31"/>
        <v>225312.68348114632</v>
      </c>
      <c r="J910">
        <f>IFERROR(VLOOKUP(F910,'LEAID Match'!$A$2:$B$227,2,FALSE),"")</f>
        <v>3812990</v>
      </c>
      <c r="K910">
        <f t="shared" si="30"/>
        <v>8</v>
      </c>
      <c r="L910" cm="1">
        <f t="array" ref="L910">_xlfn.IFS(B910=2015,G910/$P$13,B910=2016,G910/$P$14,B910=2017,G910/$P$15,B910=2018,G910/$P$16,B910=2019,G910/$P$17,B910=2019,G910/$P$18,B910=2020,G910/$P$18,B910=2021,G910/$P$19,B910=2022,G910/$P$20)</f>
        <v>2.6305309211327082E-3</v>
      </c>
    </row>
    <row r="911" spans="1:12" x14ac:dyDescent="0.2">
      <c r="A911">
        <v>3812990</v>
      </c>
      <c r="B911">
        <v>2017</v>
      </c>
      <c r="C911" t="s">
        <v>252</v>
      </c>
      <c r="D911" t="s">
        <v>254</v>
      </c>
      <c r="E911" t="s">
        <v>256</v>
      </c>
      <c r="F911" s="5" t="s">
        <v>36</v>
      </c>
      <c r="G911" s="7">
        <v>202205</v>
      </c>
      <c r="H911" s="7" cm="1">
        <f t="array" ref="H911">_xlfn.IFS(B911=2015,L911*$P$3,B911=2016,L911*$P$4,B911=2017,L911*$P$5,B911=2018,L911*$P$6,B911=2019,L911*$P$7,B911=2020,L911*$P$8,B911=2021,L911*$P$9,B911=2022,L911*$P$10)</f>
        <v>6553.0699028640429</v>
      </c>
      <c r="I911" s="7">
        <f t="shared" si="31"/>
        <v>208758.06990286405</v>
      </c>
      <c r="J911">
        <f>IFERROR(VLOOKUP(F911,'LEAID Match'!$A$2:$B$227,2,FALSE),"")</f>
        <v>3812990</v>
      </c>
      <c r="K911">
        <f t="shared" si="30"/>
        <v>8</v>
      </c>
      <c r="L911" cm="1">
        <f t="array" ref="L911">_xlfn.IFS(B911=2015,G911/$P$13,B911=2016,G911/$P$14,B911=2017,G911/$P$15,B911=2018,G911/$P$16,B911=2019,G911/$P$17,B911=2019,G911/$P$18,B911=2020,G911/$P$18,B911=2021,G911/$P$19,B911=2022,G911/$P$20)</f>
        <v>2.3496127296034576E-3</v>
      </c>
    </row>
    <row r="912" spans="1:12" x14ac:dyDescent="0.2">
      <c r="A912">
        <v>3812990</v>
      </c>
      <c r="B912" s="5">
        <v>2018</v>
      </c>
      <c r="C912" t="s">
        <v>252</v>
      </c>
      <c r="D912" t="s">
        <v>254</v>
      </c>
      <c r="E912" t="s">
        <v>256</v>
      </c>
      <c r="F912" s="5" t="s">
        <v>36</v>
      </c>
      <c r="G912" s="7">
        <v>223051</v>
      </c>
      <c r="H912" s="7" cm="1">
        <f t="array" ref="H912">_xlfn.IFS(B912=2015,L912*$P$3,B912=2016,L912*$P$4,B912=2017,L912*$P$5,B912=2018,L912*$P$6,B912=2019,L912*$P$7,B912=2020,L912*$P$8,B912=2021,L912*$P$9,B912=2022,L912*$P$10)</f>
        <v>6111.8178963759228</v>
      </c>
      <c r="I912" s="7">
        <f t="shared" si="31"/>
        <v>229162.81789637593</v>
      </c>
      <c r="J912">
        <f>IFERROR(VLOOKUP(F912,'LEAID Match'!$A$2:$B$227,2,FALSE),"")</f>
        <v>3812990</v>
      </c>
      <c r="K912">
        <f t="shared" si="30"/>
        <v>8</v>
      </c>
      <c r="L912" cm="1">
        <f t="array" ref="L912">_xlfn.IFS(B912=2015,G912/$P$13,B912=2016,G912/$P$14,B912=2017,G912/$P$15,B912=2018,G912/$P$16,B912=2019,G912/$P$17,B912=2019,G912/$P$18,B912=2020,G912/$P$18,B912=2021,G912/$P$19,B912=2022,G912/$P$20)</f>
        <v>2.5733970090003884E-3</v>
      </c>
    </row>
    <row r="913" spans="1:12" x14ac:dyDescent="0.2">
      <c r="A913">
        <v>3812990</v>
      </c>
      <c r="B913">
        <v>2019</v>
      </c>
      <c r="C913" t="s">
        <v>252</v>
      </c>
      <c r="D913" t="s">
        <v>254</v>
      </c>
      <c r="E913" t="s">
        <v>256</v>
      </c>
      <c r="F913" s="5" t="s">
        <v>36</v>
      </c>
      <c r="G913" s="7">
        <v>218149</v>
      </c>
      <c r="H913" s="7" cm="1">
        <f t="array" ref="H913">_xlfn.IFS(B913=2015,L913*$P$3,B913=2016,L913*$P$4,B913=2017,L913*$P$5,B913=2018,L913*$P$6,B913=2019,L913*$P$7,B913=2020,L913*$P$8,B913=2021,L913*$P$9,B913=2022,L913*$P$10)</f>
        <v>5063.2000847896488</v>
      </c>
      <c r="I913" s="7">
        <f t="shared" si="31"/>
        <v>223212.20008478966</v>
      </c>
      <c r="J913">
        <f>IFERROR(VLOOKUP(F913,'LEAID Match'!$A$2:$B$227,2,FALSE),"")</f>
        <v>3812990</v>
      </c>
      <c r="K913">
        <f t="shared" si="30"/>
        <v>8</v>
      </c>
      <c r="L913" cm="1">
        <f t="array" ref="L913">_xlfn.IFS(B913=2015,G913/$P$13,B913=2016,G913/$P$14,B913=2017,G913/$P$15,B913=2018,G913/$P$16,B913=2019,G913/$P$17,B913=2019,G913/$P$18,B913=2020,G913/$P$18,B913=2021,G913/$P$19,B913=2022,G913/$P$20)</f>
        <v>2.4389210427695806E-3</v>
      </c>
    </row>
    <row r="914" spans="1:12" x14ac:dyDescent="0.2">
      <c r="A914">
        <v>3812990</v>
      </c>
      <c r="B914">
        <v>2020</v>
      </c>
      <c r="C914" t="s">
        <v>252</v>
      </c>
      <c r="D914" t="s">
        <v>254</v>
      </c>
      <c r="E914" t="s">
        <v>256</v>
      </c>
      <c r="F914" s="5" t="s">
        <v>36</v>
      </c>
      <c r="G914" s="7">
        <v>241631</v>
      </c>
      <c r="H914" s="7" cm="1">
        <f t="array" ref="H914">_xlfn.IFS(B914=2015,L914*$P$3,B914=2016,L914*$P$4,B914=2017,L914*$P$5,B914=2018,L914*$P$6,B914=2019,L914*$P$7,B914=2020,L914*$P$8,B914=2021,L914*$P$9,B914=2022,L914*$P$10)</f>
        <v>6062.0429269965107</v>
      </c>
      <c r="I914" s="7">
        <f t="shared" si="31"/>
        <v>247693.04292699651</v>
      </c>
      <c r="J914">
        <f>IFERROR(VLOOKUP(F914,'LEAID Match'!$A$2:$B$227,2,FALSE),"")</f>
        <v>3812990</v>
      </c>
      <c r="K914">
        <f t="shared" si="30"/>
        <v>8</v>
      </c>
      <c r="L914" cm="1">
        <f t="array" ref="L914">_xlfn.IFS(B914=2015,G914/$P$13,B914=2016,G914/$P$14,B914=2017,G914/$P$15,B914=2018,G914/$P$16,B914=2019,G914/$P$17,B914=2019,G914/$P$18,B914=2020,G914/$P$18,B914=2021,G914/$P$19,B914=2022,G914/$P$20)</f>
        <v>2.597276318336123E-3</v>
      </c>
    </row>
    <row r="915" spans="1:12" x14ac:dyDescent="0.2">
      <c r="A915">
        <v>3812990</v>
      </c>
      <c r="B915" s="5">
        <v>2021</v>
      </c>
      <c r="C915" t="s">
        <v>252</v>
      </c>
      <c r="D915" t="s">
        <v>254</v>
      </c>
      <c r="E915" t="s">
        <v>256</v>
      </c>
      <c r="F915" s="5" t="s">
        <v>36</v>
      </c>
      <c r="G915" s="7">
        <v>270145</v>
      </c>
      <c r="H915" s="7" cm="1">
        <f t="array" ref="H915">_xlfn.IFS(B915=2015,L915*$P$3,B915=2016,L915*$P$4,B915=2017,L915*$P$5,B915=2018,L915*$P$6,B915=2019,L915*$P$7,B915=2020,L915*$P$8,B915=2021,L915*$P$9,B915=2022,L915*$P$10)</f>
        <v>7381.5212530186227</v>
      </c>
      <c r="I915" s="7">
        <f t="shared" si="31"/>
        <v>277526.52125301864</v>
      </c>
      <c r="J915">
        <f>IFERROR(VLOOKUP(F915,'LEAID Match'!$A$2:$B$227,2,FALSE),"")</f>
        <v>3812990</v>
      </c>
      <c r="K915">
        <f t="shared" si="30"/>
        <v>8</v>
      </c>
      <c r="L915" cm="1">
        <f t="array" ref="L915">_xlfn.IFS(B915=2015,G915/$P$13,B915=2016,G915/$P$14,B915=2017,G915/$P$15,B915=2018,G915/$P$16,B915=2019,G915/$P$17,B915=2019,G915/$P$18,B915=2020,G915/$P$18,B915=2021,G915/$P$19,B915=2022,G915/$P$20)</f>
        <v>2.7491699266363584E-3</v>
      </c>
    </row>
    <row r="916" spans="1:12" x14ac:dyDescent="0.2">
      <c r="A916">
        <v>3812990</v>
      </c>
      <c r="B916">
        <v>2022</v>
      </c>
      <c r="C916" t="s">
        <v>252</v>
      </c>
      <c r="D916" t="s">
        <v>254</v>
      </c>
      <c r="E916" t="s">
        <v>256</v>
      </c>
      <c r="F916" s="5" t="s">
        <v>36</v>
      </c>
      <c r="G916" s="7">
        <v>262704</v>
      </c>
      <c r="H916" s="7" cm="1">
        <f t="array" ref="H916">_xlfn.IFS(B916=2015,L916*$P$3,B916=2016,L916*$P$4,B916=2017,L916*$P$5,B916=2018,L916*$P$6,B916=2019,L916*$P$7,B916=2020,L916*$P$8,B916=2021,L916*$P$9,B916=2022,L916*$P$10)</f>
        <v>5346.6997113085617</v>
      </c>
      <c r="I916" s="7">
        <f t="shared" si="31"/>
        <v>268050.69971130858</v>
      </c>
      <c r="J916">
        <f>IFERROR(VLOOKUP(F916,'LEAID Match'!$A$2:$B$227,2,FALSE),"")</f>
        <v>3812990</v>
      </c>
      <c r="K916">
        <f t="shared" si="30"/>
        <v>8</v>
      </c>
      <c r="L916" cm="1">
        <f t="array" ref="L916">_xlfn.IFS(B916=2015,G916/$P$13,B916=2016,G916/$P$14,B916=2017,G916/$P$15,B916=2018,G916/$P$16,B916=2019,G916/$P$17,B916=2019,G916/$P$18,B916=2020,G916/$P$18,B916=2021,G916/$P$19,B916=2022,G916/$P$20)</f>
        <v>2.6183642073009609E-3</v>
      </c>
    </row>
    <row r="917" spans="1:12" x14ac:dyDescent="0.2">
      <c r="A917">
        <v>3813030</v>
      </c>
      <c r="B917">
        <v>2020</v>
      </c>
      <c r="C917" t="s">
        <v>252</v>
      </c>
      <c r="D917" t="s">
        <v>254</v>
      </c>
      <c r="E917" t="s">
        <v>256</v>
      </c>
      <c r="F917" s="5" t="s">
        <v>37</v>
      </c>
      <c r="G917" s="7">
        <v>5883357</v>
      </c>
      <c r="H917" s="7" cm="1">
        <f t="array" ref="H917">_xlfn.IFS(B917=2015,L917*$P$3,B917=2016,L917*$P$4,B917=2017,L917*$P$5,B917=2018,L917*$P$6,B917=2019,L917*$P$7,B917=2020,L917*$P$8,B917=2021,L917*$P$9,B917=2022,L917*$P$10)</f>
        <v>147601.76752505024</v>
      </c>
      <c r="I917" s="7">
        <f t="shared" si="31"/>
        <v>6030958.7675250499</v>
      </c>
      <c r="J917">
        <f>IFERROR(VLOOKUP(F917,'LEAID Match'!$A$2:$B$227,2,FALSE),"")</f>
        <v>3813030</v>
      </c>
      <c r="K917">
        <f t="shared" si="30"/>
        <v>8</v>
      </c>
      <c r="L917" cm="1">
        <f t="array" ref="L917">_xlfn.IFS(B917=2015,G917/$P$13,B917=2016,G917/$P$14,B917=2017,G917/$P$15,B917=2018,G917/$P$16,B917=2019,G917/$P$17,B917=2019,G917/$P$18,B917=2020,G917/$P$18,B917=2021,G917/$P$19,B917=2022,G917/$P$20)</f>
        <v>6.3239831844494526E-2</v>
      </c>
    </row>
    <row r="918" spans="1:12" x14ac:dyDescent="0.2">
      <c r="A918">
        <v>3813030</v>
      </c>
      <c r="B918">
        <v>2015</v>
      </c>
      <c r="C918" t="s">
        <v>252</v>
      </c>
      <c r="D918" t="s">
        <v>254</v>
      </c>
      <c r="E918" t="s">
        <v>256</v>
      </c>
      <c r="F918" s="5" t="s">
        <v>37</v>
      </c>
      <c r="G918" s="7">
        <v>5326988</v>
      </c>
      <c r="H918" s="7" cm="1">
        <f t="array" ref="H918">_xlfn.IFS(B918=2015,L918*$P$3,B918=2016,L918*$P$4,B918=2017,L918*$P$5,B918=2018,L918*$P$6,B918=2019,L918*$P$7,B918=2020,L918*$P$8,B918=2021,L918*$P$9,B918=2022,L918*$P$10)</f>
        <v>120434.79738492084</v>
      </c>
      <c r="I918" s="7">
        <f t="shared" si="31"/>
        <v>5447422.7973849205</v>
      </c>
      <c r="J918">
        <f>IFERROR(VLOOKUP(F918,'LEAID Match'!$A$2:$B$227,2,FALSE),"")</f>
        <v>3813030</v>
      </c>
      <c r="K918">
        <f t="shared" si="30"/>
        <v>8</v>
      </c>
      <c r="L918" cm="1">
        <f t="array" ref="L918">_xlfn.IFS(B918=2015,G918/$P$13,B918=2016,G918/$P$14,B918=2017,G918/$P$15,B918=2018,G918/$P$16,B918=2019,G918/$P$17,B918=2019,G918/$P$18,B918=2020,G918/$P$18,B918=2021,G918/$P$19,B918=2022,G918/$P$20)</f>
        <v>6.7927127684670519E-2</v>
      </c>
    </row>
    <row r="919" spans="1:12" x14ac:dyDescent="0.2">
      <c r="A919">
        <v>3813030</v>
      </c>
      <c r="B919">
        <v>2016</v>
      </c>
      <c r="C919" t="s">
        <v>252</v>
      </c>
      <c r="D919" t="s">
        <v>254</v>
      </c>
      <c r="E919" t="s">
        <v>256</v>
      </c>
      <c r="F919" s="5" t="s">
        <v>37</v>
      </c>
      <c r="G919" s="7">
        <v>5554730</v>
      </c>
      <c r="H919" s="7" cm="1">
        <f t="array" ref="H919">_xlfn.IFS(B919=2015,L919*$P$3,B919=2016,L919*$P$4,B919=2017,L919*$P$5,B919=2018,L919*$P$6,B919=2019,L919*$P$7,B919=2020,L919*$P$8,B919=2021,L919*$P$9,B919=2022,L919*$P$10)</f>
        <v>188622.2658732055</v>
      </c>
      <c r="I919" s="7">
        <f t="shared" si="31"/>
        <v>5743352.2658732058</v>
      </c>
      <c r="J919">
        <f>IFERROR(VLOOKUP(F919,'LEAID Match'!$A$2:$B$227,2,FALSE),"")</f>
        <v>3813030</v>
      </c>
      <c r="K919">
        <f t="shared" si="30"/>
        <v>8</v>
      </c>
      <c r="L919" cm="1">
        <f t="array" ref="L919">_xlfn.IFS(B919=2015,G919/$P$13,B919=2016,G919/$P$14,B919=2017,G919/$P$15,B919=2018,G919/$P$16,B919=2019,G919/$P$17,B919=2019,G919/$P$18,B919=2020,G919/$P$18,B919=2021,G919/$P$19,B919=2022,G919/$P$20)</f>
        <v>6.7053773861786528E-2</v>
      </c>
    </row>
    <row r="920" spans="1:12" x14ac:dyDescent="0.2">
      <c r="A920">
        <v>3813030</v>
      </c>
      <c r="B920">
        <v>2017</v>
      </c>
      <c r="C920" t="s">
        <v>252</v>
      </c>
      <c r="D920" t="s">
        <v>254</v>
      </c>
      <c r="E920" t="s">
        <v>256</v>
      </c>
      <c r="F920" s="5" t="s">
        <v>37</v>
      </c>
      <c r="G920" s="7">
        <v>5727812</v>
      </c>
      <c r="H920" s="7" cm="1">
        <f t="array" ref="H920">_xlfn.IFS(B920=2015,L920*$P$3,B920=2016,L920*$P$4,B920=2017,L920*$P$5,B920=2018,L920*$P$6,B920=2019,L920*$P$7,B920=2020,L920*$P$8,B920=2021,L920*$P$9,B920=2022,L920*$P$10)</f>
        <v>185627.222009661</v>
      </c>
      <c r="I920" s="7">
        <f t="shared" si="31"/>
        <v>5913439.2220096607</v>
      </c>
      <c r="J920">
        <f>IFERROR(VLOOKUP(F920,'LEAID Match'!$A$2:$B$227,2,FALSE),"")</f>
        <v>3813030</v>
      </c>
      <c r="K920">
        <f t="shared" si="30"/>
        <v>8</v>
      </c>
      <c r="L920" cm="1">
        <f t="array" ref="L920">_xlfn.IFS(B920=2015,G920/$P$13,B920=2016,G920/$P$14,B920=2017,G920/$P$15,B920=2018,G920/$P$16,B920=2019,G920/$P$17,B920=2019,G920/$P$18,B920=2020,G920/$P$18,B920=2021,G920/$P$19,B920=2022,G920/$P$20)</f>
        <v>6.6556910007049483E-2</v>
      </c>
    </row>
    <row r="921" spans="1:12" x14ac:dyDescent="0.2">
      <c r="A921">
        <v>3813030</v>
      </c>
      <c r="B921" s="5">
        <v>2018</v>
      </c>
      <c r="C921" t="s">
        <v>252</v>
      </c>
      <c r="D921" t="s">
        <v>254</v>
      </c>
      <c r="E921" t="s">
        <v>256</v>
      </c>
      <c r="F921" s="5" t="s">
        <v>37</v>
      </c>
      <c r="G921" s="7">
        <v>5674141</v>
      </c>
      <c r="H921" s="7" cm="1">
        <f t="array" ref="H921">_xlfn.IFS(B921=2015,L921*$P$3,B921=2016,L921*$P$4,B921=2017,L921*$P$5,B921=2018,L921*$P$6,B921=2019,L921*$P$7,B921=2020,L921*$P$8,B921=2021,L921*$P$9,B921=2022,L921*$P$10)</f>
        <v>155477.07255452956</v>
      </c>
      <c r="I921" s="7">
        <f t="shared" si="31"/>
        <v>5829618.0725545296</v>
      </c>
      <c r="J921">
        <f>IFERROR(VLOOKUP(F921,'LEAID Match'!$A$2:$B$227,2,FALSE),"")</f>
        <v>3813030</v>
      </c>
      <c r="K921">
        <f t="shared" si="30"/>
        <v>8</v>
      </c>
      <c r="L921" cm="1">
        <f t="array" ref="L921">_xlfn.IFS(B921=2015,G921/$P$13,B921=2016,G921/$P$14,B921=2017,G921/$P$15,B921=2018,G921/$P$16,B921=2019,G921/$P$17,B921=2019,G921/$P$18,B921=2020,G921/$P$18,B921=2021,G921/$P$19,B921=2022,G921/$P$20)</f>
        <v>6.5464030549275604E-2</v>
      </c>
    </row>
    <row r="922" spans="1:12" x14ac:dyDescent="0.2">
      <c r="A922">
        <v>3813030</v>
      </c>
      <c r="B922">
        <v>2019</v>
      </c>
      <c r="C922" t="s">
        <v>252</v>
      </c>
      <c r="D922" t="s">
        <v>254</v>
      </c>
      <c r="E922" t="s">
        <v>256</v>
      </c>
      <c r="F922" s="5" t="s">
        <v>37</v>
      </c>
      <c r="G922" s="7">
        <v>5691413</v>
      </c>
      <c r="H922" s="7" cm="1">
        <f t="array" ref="H922">_xlfn.IFS(B922=2015,L922*$P$3,B922=2016,L922*$P$4,B922=2017,L922*$P$5,B922=2018,L922*$P$6,B922=2019,L922*$P$7,B922=2020,L922*$P$8,B922=2021,L922*$P$9,B922=2022,L922*$P$10)</f>
        <v>132096.69897259632</v>
      </c>
      <c r="I922" s="7">
        <f t="shared" si="31"/>
        <v>5823509.6989725959</v>
      </c>
      <c r="J922">
        <f>IFERROR(VLOOKUP(F922,'LEAID Match'!$A$2:$B$227,2,FALSE),"")</f>
        <v>3813030</v>
      </c>
      <c r="K922">
        <f t="shared" si="30"/>
        <v>8</v>
      </c>
      <c r="L922" cm="1">
        <f t="array" ref="L922">_xlfn.IFS(B922=2015,G922/$P$13,B922=2016,G922/$P$14,B922=2017,G922/$P$15,B922=2018,G922/$P$16,B922=2019,G922/$P$17,B922=2019,G922/$P$18,B922=2020,G922/$P$18,B922=2021,G922/$P$19,B922=2022,G922/$P$20)</f>
        <v>6.3630394495470283E-2</v>
      </c>
    </row>
    <row r="923" spans="1:12" x14ac:dyDescent="0.2">
      <c r="A923">
        <v>3813030</v>
      </c>
      <c r="B923" s="5">
        <v>2021</v>
      </c>
      <c r="C923" t="s">
        <v>252</v>
      </c>
      <c r="D923" t="s">
        <v>254</v>
      </c>
      <c r="E923" t="s">
        <v>256</v>
      </c>
      <c r="F923" s="5" t="s">
        <v>37</v>
      </c>
      <c r="G923" s="7">
        <v>6338860</v>
      </c>
      <c r="H923" s="7" cm="1">
        <f t="array" ref="H923">_xlfn.IFS(B923=2015,L923*$P$3,B923=2016,L923*$P$4,B923=2017,L923*$P$5,B923=2018,L923*$P$6,B923=2019,L923*$P$7,B923=2020,L923*$P$8,B923=2021,L923*$P$9,B923=2022,L923*$P$10)</f>
        <v>173204.87075426019</v>
      </c>
      <c r="I923" s="7">
        <f t="shared" si="31"/>
        <v>6512064.8707542606</v>
      </c>
      <c r="J923">
        <f>IFERROR(VLOOKUP(F923,'LEAID Match'!$A$2:$B$227,2,FALSE),"")</f>
        <v>3813030</v>
      </c>
      <c r="K923">
        <f t="shared" si="30"/>
        <v>8</v>
      </c>
      <c r="L923" cm="1">
        <f t="array" ref="L923">_xlfn.IFS(B923=2015,G923/$P$13,B923=2016,G923/$P$14,B923=2017,G923/$P$15,B923=2018,G923/$P$16,B923=2019,G923/$P$17,B923=2019,G923/$P$18,B923=2020,G923/$P$18,B923=2021,G923/$P$19,B923=2022,G923/$P$20)</f>
        <v>6.4508331752052214E-2</v>
      </c>
    </row>
    <row r="924" spans="1:12" x14ac:dyDescent="0.2">
      <c r="A924">
        <v>3813030</v>
      </c>
      <c r="B924">
        <v>2022</v>
      </c>
      <c r="C924" t="s">
        <v>252</v>
      </c>
      <c r="D924" t="s">
        <v>254</v>
      </c>
      <c r="E924" t="s">
        <v>256</v>
      </c>
      <c r="F924" s="5" t="s">
        <v>37</v>
      </c>
      <c r="G924" s="7">
        <v>6379794</v>
      </c>
      <c r="H924" s="7" cm="1">
        <f t="array" ref="H924">_xlfn.IFS(B924=2015,L924*$P$3,B924=2016,L924*$P$4,B924=2017,L924*$P$5,B924=2018,L924*$P$6,B924=2019,L924*$P$7,B924=2020,L924*$P$8,B924=2021,L924*$P$9,B924=2022,L924*$P$10)</f>
        <v>129845.15933525219</v>
      </c>
      <c r="I924" s="7">
        <f t="shared" si="31"/>
        <v>6509639.1593352519</v>
      </c>
      <c r="J924">
        <f>IFERROR(VLOOKUP(F924,'LEAID Match'!$A$2:$B$227,2,FALSE),"")</f>
        <v>3813030</v>
      </c>
      <c r="K924">
        <f t="shared" si="30"/>
        <v>8</v>
      </c>
      <c r="L924" cm="1">
        <f t="array" ref="L924">_xlfn.IFS(B924=2015,G924/$P$13,B924=2016,G924/$P$14,B924=2017,G924/$P$15,B924=2018,G924/$P$16,B924=2019,G924/$P$17,B924=2019,G924/$P$18,B924=2020,G924/$P$18,B924=2021,G924/$P$19,B924=2022,G924/$P$20)</f>
        <v>6.3587247470740543E-2</v>
      </c>
    </row>
    <row r="925" spans="1:12" x14ac:dyDescent="0.2">
      <c r="A925">
        <v>3813050</v>
      </c>
      <c r="B925">
        <v>2015</v>
      </c>
      <c r="C925" t="s">
        <v>252</v>
      </c>
      <c r="D925" t="s">
        <v>254</v>
      </c>
      <c r="E925" t="s">
        <v>256</v>
      </c>
      <c r="F925" s="5" t="s">
        <v>219</v>
      </c>
      <c r="G925" s="7">
        <v>144686</v>
      </c>
      <c r="H925" s="7" cm="1">
        <f t="array" ref="H925">_xlfn.IFS(B925=2015,L925*$P$3,B925=2016,L925*$P$4,B925=2017,L925*$P$5,B925=2018,L925*$P$6,B925=2019,L925*$P$7,B925=2020,L925*$P$8,B925=2021,L925*$P$9,B925=2022,L925*$P$10)</f>
        <v>3271.1222729307174</v>
      </c>
      <c r="I925" s="7">
        <f t="shared" si="31"/>
        <v>147957.12227293072</v>
      </c>
      <c r="J925">
        <f>IFERROR(VLOOKUP(F925,'LEAID Match'!$A$2:$B$227,2,FALSE),"")</f>
        <v>3813050</v>
      </c>
      <c r="K925">
        <f t="shared" si="30"/>
        <v>8</v>
      </c>
      <c r="L925" cm="1">
        <f t="array" ref="L925">_xlfn.IFS(B925=2015,G925/$P$13,B925=2016,G925/$P$14,B925=2017,G925/$P$15,B925=2018,G925/$P$16,B925=2019,G925/$P$17,B925=2019,G925/$P$18,B925=2020,G925/$P$18,B925=2021,G925/$P$19,B925=2022,G925/$P$20)</f>
        <v>1.844964620942311E-3</v>
      </c>
    </row>
    <row r="926" spans="1:12" x14ac:dyDescent="0.2">
      <c r="A926">
        <v>3813050</v>
      </c>
      <c r="B926">
        <v>2016</v>
      </c>
      <c r="C926" t="s">
        <v>252</v>
      </c>
      <c r="D926" t="s">
        <v>254</v>
      </c>
      <c r="E926" t="s">
        <v>256</v>
      </c>
      <c r="F926" s="5" t="s">
        <v>219</v>
      </c>
      <c r="G926" s="7">
        <v>148006</v>
      </c>
      <c r="H926" s="7" cm="1">
        <f t="array" ref="H926">_xlfn.IFS(B926=2015,L926*$P$3,B926=2016,L926*$P$4,B926=2017,L926*$P$5,B926=2018,L926*$P$6,B926=2019,L926*$P$7,B926=2020,L926*$P$8,B926=2021,L926*$P$9,B926=2022,L926*$P$10)</f>
        <v>5025.8477158799178</v>
      </c>
      <c r="I926" s="7">
        <f t="shared" si="31"/>
        <v>153031.84771587991</v>
      </c>
      <c r="J926">
        <f>IFERROR(VLOOKUP(F926,'LEAID Match'!$A$2:$B$227,2,FALSE),"")</f>
        <v>3813050</v>
      </c>
      <c r="K926">
        <f t="shared" si="30"/>
        <v>8</v>
      </c>
      <c r="L926" cm="1">
        <f t="array" ref="L926">_xlfn.IFS(B926=2015,G926/$P$13,B926=2016,G926/$P$14,B926=2017,G926/$P$15,B926=2018,G926/$P$16,B926=2019,G926/$P$17,B926=2019,G926/$P$18,B926=2020,G926/$P$18,B926=2021,G926/$P$19,B926=2022,G926/$P$20)</f>
        <v>1.7866504500106356E-3</v>
      </c>
    </row>
    <row r="927" spans="1:12" x14ac:dyDescent="0.2">
      <c r="A927">
        <v>3813050</v>
      </c>
      <c r="B927">
        <v>2017</v>
      </c>
      <c r="C927" t="s">
        <v>252</v>
      </c>
      <c r="D927" t="s">
        <v>254</v>
      </c>
      <c r="E927" t="s">
        <v>256</v>
      </c>
      <c r="F927" s="5" t="s">
        <v>219</v>
      </c>
      <c r="G927" s="7">
        <v>166254</v>
      </c>
      <c r="H927" s="7" cm="1">
        <f t="array" ref="H927">_xlfn.IFS(B927=2015,L927*$P$3,B927=2016,L927*$P$4,B927=2017,L927*$P$5,B927=2018,L927*$P$6,B927=2019,L927*$P$7,B927=2020,L927*$P$8,B927=2021,L927*$P$9,B927=2022,L927*$P$10)</f>
        <v>5387.968070180058</v>
      </c>
      <c r="I927" s="7">
        <f t="shared" si="31"/>
        <v>171641.96807018007</v>
      </c>
      <c r="J927">
        <f>IFERROR(VLOOKUP(F927,'LEAID Match'!$A$2:$B$227,2,FALSE),"")</f>
        <v>3813050</v>
      </c>
      <c r="K927">
        <f t="shared" si="30"/>
        <v>8</v>
      </c>
      <c r="L927" cm="1">
        <f t="array" ref="L927">_xlfn.IFS(B927=2015,G927/$P$13,B927=2016,G927/$P$14,B927=2017,G927/$P$15,B927=2018,G927/$P$16,B927=2019,G927/$P$17,B927=2019,G927/$P$18,B927=2020,G927/$P$18,B927=2021,G927/$P$19,B927=2022,G927/$P$20)</f>
        <v>1.931863775611351E-3</v>
      </c>
    </row>
    <row r="928" spans="1:12" x14ac:dyDescent="0.2">
      <c r="A928">
        <v>3813050</v>
      </c>
      <c r="B928" s="5">
        <v>2018</v>
      </c>
      <c r="C928" t="s">
        <v>252</v>
      </c>
      <c r="D928" t="s">
        <v>254</v>
      </c>
      <c r="E928" t="s">
        <v>256</v>
      </c>
      <c r="F928" s="5" t="s">
        <v>219</v>
      </c>
      <c r="G928" s="7">
        <v>163397</v>
      </c>
      <c r="H928" s="7" cm="1">
        <f t="array" ref="H928">_xlfn.IFS(B928=2015,L928*$P$3,B928=2016,L928*$P$4,B928=2017,L928*$P$5,B928=2018,L928*$P$6,B928=2019,L928*$P$7,B928=2020,L928*$P$8,B928=2021,L928*$P$9,B928=2022,L928*$P$10)</f>
        <v>4477.2393255987936</v>
      </c>
      <c r="I928" s="7">
        <f t="shared" si="31"/>
        <v>167874.23932559878</v>
      </c>
      <c r="J928">
        <f>IFERROR(VLOOKUP(F928,'LEAID Match'!$A$2:$B$227,2,FALSE),"")</f>
        <v>3813050</v>
      </c>
      <c r="K928">
        <f t="shared" si="30"/>
        <v>8</v>
      </c>
      <c r="L928" cm="1">
        <f t="array" ref="L928">_xlfn.IFS(B928=2015,G928/$P$13,B928=2016,G928/$P$14,B928=2017,G928/$P$15,B928=2018,G928/$P$16,B928=2019,G928/$P$17,B928=2019,G928/$P$18,B928=2020,G928/$P$18,B928=2021,G928/$P$19,B928=2022,G928/$P$20)</f>
        <v>1.8851534002521236E-3</v>
      </c>
    </row>
    <row r="929" spans="1:12" x14ac:dyDescent="0.2">
      <c r="A929">
        <v>3813050</v>
      </c>
      <c r="B929">
        <v>2019</v>
      </c>
      <c r="C929" t="s">
        <v>252</v>
      </c>
      <c r="D929" t="s">
        <v>254</v>
      </c>
      <c r="E929" t="s">
        <v>256</v>
      </c>
      <c r="F929" s="5" t="s">
        <v>219</v>
      </c>
      <c r="G929" s="7">
        <v>175472</v>
      </c>
      <c r="H929" s="7" cm="1">
        <f t="array" ref="H929">_xlfn.IFS(B929=2015,L929*$P$3,B929=2016,L929*$P$4,B929=2017,L929*$P$5,B929=2018,L929*$P$6,B929=2019,L929*$P$7,B929=2020,L929*$P$8,B929=2021,L929*$P$9,B929=2022,L929*$P$10)</f>
        <v>4072.6743889644663</v>
      </c>
      <c r="I929" s="7">
        <f t="shared" si="31"/>
        <v>179544.67438896446</v>
      </c>
      <c r="J929">
        <f>IFERROR(VLOOKUP(F929,'LEAID Match'!$A$2:$B$227,2,FALSE),"")</f>
        <v>3813050</v>
      </c>
      <c r="K929">
        <f t="shared" si="30"/>
        <v>8</v>
      </c>
      <c r="L929" cm="1">
        <f t="array" ref="L929">_xlfn.IFS(B929=2015,G929/$P$13,B929=2016,G929/$P$14,B929=2017,G929/$P$15,B929=2018,G929/$P$16,B929=2019,G929/$P$17,B929=2019,G929/$P$18,B929=2020,G929/$P$18,B929=2021,G929/$P$19,B929=2022,G929/$P$20)</f>
        <v>1.9617892047035001E-3</v>
      </c>
    </row>
    <row r="930" spans="1:12" x14ac:dyDescent="0.2">
      <c r="A930">
        <v>3813050</v>
      </c>
      <c r="B930">
        <v>2020</v>
      </c>
      <c r="C930" t="s">
        <v>252</v>
      </c>
      <c r="D930" t="s">
        <v>254</v>
      </c>
      <c r="E930" t="s">
        <v>256</v>
      </c>
      <c r="F930" s="5" t="s">
        <v>219</v>
      </c>
      <c r="G930" s="7">
        <v>209485</v>
      </c>
      <c r="H930" s="7" cm="1">
        <f t="array" ref="H930">_xlfn.IFS(B930=2015,L930*$P$3,B930=2016,L930*$P$4,B930=2017,L930*$P$5,B930=2018,L930*$P$6,B930=2019,L930*$P$7,B930=2020,L930*$P$8,B930=2021,L930*$P$9,B930=2022,L930*$P$10)</f>
        <v>5255.5634937647246</v>
      </c>
      <c r="I930" s="7">
        <f t="shared" si="31"/>
        <v>214740.56349376473</v>
      </c>
      <c r="J930">
        <f>IFERROR(VLOOKUP(F930,'LEAID Match'!$A$2:$B$227,2,FALSE),"")</f>
        <v>3813050</v>
      </c>
      <c r="K930">
        <f t="shared" si="30"/>
        <v>8</v>
      </c>
      <c r="L930" cm="1">
        <f t="array" ref="L930">_xlfn.IFS(B930=2015,G930/$P$13,B930=2016,G930/$P$14,B930=2017,G930/$P$15,B930=2018,G930/$P$16,B930=2019,G930/$P$17,B930=2019,G930/$P$18,B930=2020,G930/$P$18,B930=2021,G930/$P$19,B930=2022,G930/$P$20)</f>
        <v>2.2517409998991963E-3</v>
      </c>
    </row>
    <row r="931" spans="1:12" x14ac:dyDescent="0.2">
      <c r="A931">
        <v>3813050</v>
      </c>
      <c r="B931" s="5">
        <v>2021</v>
      </c>
      <c r="C931" t="s">
        <v>252</v>
      </c>
      <c r="D931" t="s">
        <v>254</v>
      </c>
      <c r="E931" t="s">
        <v>256</v>
      </c>
      <c r="F931" s="5" t="s">
        <v>219</v>
      </c>
      <c r="G931" s="7">
        <v>206744</v>
      </c>
      <c r="H931" s="7" cm="1">
        <f t="array" ref="H931">_xlfn.IFS(B931=2015,L931*$P$3,B931=2016,L931*$P$4,B931=2017,L931*$P$5,B931=2018,L931*$P$6,B931=2019,L931*$P$7,B931=2020,L931*$P$8,B931=2021,L931*$P$9,B931=2022,L931*$P$10)</f>
        <v>5649.1337242372874</v>
      </c>
      <c r="I931" s="7">
        <f t="shared" si="31"/>
        <v>212393.1337242373</v>
      </c>
      <c r="J931">
        <f>IFERROR(VLOOKUP(F931,'LEAID Match'!$A$2:$B$227,2,FALSE),"")</f>
        <v>3813050</v>
      </c>
      <c r="K931">
        <f t="shared" si="30"/>
        <v>8</v>
      </c>
      <c r="L931" cm="1">
        <f t="array" ref="L931">_xlfn.IFS(B931=2015,G931/$P$13,B931=2016,G931/$P$14,B931=2017,G931/$P$15,B931=2018,G931/$P$16,B931=2019,G931/$P$17,B931=2019,G931/$P$18,B931=2020,G931/$P$18,B931=2021,G931/$P$19,B931=2022,G931/$P$20)</f>
        <v>2.1039604187103491E-3</v>
      </c>
    </row>
    <row r="932" spans="1:12" x14ac:dyDescent="0.2">
      <c r="A932">
        <v>3813050</v>
      </c>
      <c r="B932">
        <v>2022</v>
      </c>
      <c r="C932" t="s">
        <v>252</v>
      </c>
      <c r="D932" t="s">
        <v>254</v>
      </c>
      <c r="E932" t="s">
        <v>256</v>
      </c>
      <c r="F932" s="5" t="s">
        <v>219</v>
      </c>
      <c r="G932" s="7">
        <v>225371</v>
      </c>
      <c r="H932" s="7" cm="1">
        <f t="array" ref="H932">_xlfn.IFS(B932=2015,L932*$P$3,B932=2016,L932*$P$4,B932=2017,L932*$P$5,B932=2018,L932*$P$6,B932=2019,L932*$P$7,B932=2020,L932*$P$8,B932=2021,L932*$P$9,B932=2022,L932*$P$10)</f>
        <v>4586.877476693624</v>
      </c>
      <c r="I932" s="7">
        <f t="shared" si="31"/>
        <v>229957.87747669363</v>
      </c>
      <c r="J932">
        <f>IFERROR(VLOOKUP(F932,'LEAID Match'!$A$2:$B$227,2,FALSE),"")</f>
        <v>3813050</v>
      </c>
      <c r="K932">
        <f t="shared" si="30"/>
        <v>8</v>
      </c>
      <c r="L932" cm="1">
        <f t="array" ref="L932">_xlfn.IFS(B932=2015,G932/$P$13,B932=2016,G932/$P$14,B932=2017,G932/$P$15,B932=2018,G932/$P$16,B932=2019,G932/$P$17,B932=2019,G932/$P$18,B932=2020,G932/$P$18,B932=2021,G932/$P$19,B932=2022,G932/$P$20)</f>
        <v>2.2462671286452617E-3</v>
      </c>
    </row>
    <row r="933" spans="1:12" x14ac:dyDescent="0.2">
      <c r="A933">
        <v>3800050</v>
      </c>
      <c r="B933">
        <v>2015</v>
      </c>
      <c r="C933" t="s">
        <v>252</v>
      </c>
      <c r="D933" t="s">
        <v>254</v>
      </c>
      <c r="E933" t="s">
        <v>256</v>
      </c>
      <c r="F933" s="5" t="s">
        <v>38</v>
      </c>
      <c r="G933" s="7">
        <v>288952</v>
      </c>
      <c r="H933" s="7" cm="1">
        <f t="array" ref="H933">_xlfn.IFS(B933=2015,L933*$P$3,B933=2016,L933*$P$4,B933=2017,L933*$P$5,B933=2018,L933*$P$6,B933=2019,L933*$P$7,B933=2020,L933*$P$8,B933=2021,L933*$P$9,B933=2022,L933*$P$10)</f>
        <v>6532.7490082515005</v>
      </c>
      <c r="I933" s="7">
        <f t="shared" si="31"/>
        <v>295484.74900825153</v>
      </c>
      <c r="J933">
        <f>IFERROR(VLOOKUP(F933,'LEAID Match'!$A$2:$B$227,2,FALSE),"")</f>
        <v>3800050</v>
      </c>
      <c r="K933">
        <f t="shared" si="30"/>
        <v>8</v>
      </c>
      <c r="L933" cm="1">
        <f t="array" ref="L933">_xlfn.IFS(B933=2015,G933/$P$13,B933=2016,G933/$P$14,B933=2017,G933/$P$15,B933=2018,G933/$P$16,B933=2019,G933/$P$17,B933=2019,G933/$P$18,B933=2020,G933/$P$18,B933=2021,G933/$P$19,B933=2022,G933/$P$20)</f>
        <v>3.6845736087148901E-3</v>
      </c>
    </row>
    <row r="934" spans="1:12" x14ac:dyDescent="0.2">
      <c r="A934">
        <v>3800050</v>
      </c>
      <c r="B934">
        <v>2016</v>
      </c>
      <c r="C934" t="s">
        <v>252</v>
      </c>
      <c r="D934" t="s">
        <v>254</v>
      </c>
      <c r="E934" t="s">
        <v>256</v>
      </c>
      <c r="F934" s="5" t="s">
        <v>38</v>
      </c>
      <c r="G934" s="7">
        <v>275749</v>
      </c>
      <c r="H934" s="7" cm="1">
        <f t="array" ref="H934">_xlfn.IFS(B934=2015,L934*$P$3,B934=2016,L934*$P$4,B934=2017,L934*$P$5,B934=2018,L934*$P$6,B934=2019,L934*$P$7,B934=2020,L934*$P$8,B934=2021,L934*$P$9,B934=2022,L934*$P$10)</f>
        <v>9363.6236490829524</v>
      </c>
      <c r="I934" s="7">
        <f t="shared" si="31"/>
        <v>285112.62364908296</v>
      </c>
      <c r="J934">
        <f>IFERROR(VLOOKUP(F934,'LEAID Match'!$A$2:$B$227,2,FALSE),"")</f>
        <v>3800050</v>
      </c>
      <c r="K934">
        <f t="shared" si="30"/>
        <v>8</v>
      </c>
      <c r="L934" cm="1">
        <f t="array" ref="L934">_xlfn.IFS(B934=2015,G934/$P$13,B934=2016,G934/$P$14,B934=2017,G934/$P$15,B934=2018,G934/$P$16,B934=2019,G934/$P$17,B934=2019,G934/$P$18,B934=2020,G934/$P$18,B934=2021,G934/$P$19,B934=2022,G934/$P$20)</f>
        <v>3.328696640271224E-3</v>
      </c>
    </row>
    <row r="935" spans="1:12" x14ac:dyDescent="0.2">
      <c r="A935">
        <v>3800050</v>
      </c>
      <c r="B935">
        <v>2017</v>
      </c>
      <c r="C935" t="s">
        <v>252</v>
      </c>
      <c r="D935" t="s">
        <v>254</v>
      </c>
      <c r="E935" t="s">
        <v>256</v>
      </c>
      <c r="F935" s="5" t="s">
        <v>38</v>
      </c>
      <c r="G935" s="7">
        <v>275530</v>
      </c>
      <c r="H935" s="7" cm="1">
        <f t="array" ref="H935">_xlfn.IFS(B935=2015,L935*$P$3,B935=2016,L935*$P$4,B935=2017,L935*$P$5,B935=2018,L935*$P$6,B935=2019,L935*$P$7,B935=2020,L935*$P$8,B935=2021,L935*$P$9,B935=2022,L935*$P$10)</f>
        <v>8929.3902244560213</v>
      </c>
      <c r="I935" s="7">
        <f t="shared" si="31"/>
        <v>284459.39022445603</v>
      </c>
      <c r="J935">
        <f>IFERROR(VLOOKUP(F935,'LEAID Match'!$A$2:$B$227,2,FALSE),"")</f>
        <v>3800050</v>
      </c>
      <c r="K935">
        <f t="shared" si="30"/>
        <v>8</v>
      </c>
      <c r="L935" cm="1">
        <f t="array" ref="L935">_xlfn.IFS(B935=2015,G935/$P$13,B935=2016,G935/$P$14,B935=2017,G935/$P$15,B935=2018,G935/$P$16,B935=2019,G935/$P$17,B935=2019,G935/$P$18,B935=2020,G935/$P$18,B935=2021,G935/$P$19,B935=2022,G935/$P$20)</f>
        <v>3.2016458316443245E-3</v>
      </c>
    </row>
    <row r="936" spans="1:12" x14ac:dyDescent="0.2">
      <c r="A936">
        <v>3800050</v>
      </c>
      <c r="B936" s="5">
        <v>2018</v>
      </c>
      <c r="C936" t="s">
        <v>252</v>
      </c>
      <c r="D936" t="s">
        <v>254</v>
      </c>
      <c r="E936" t="s">
        <v>256</v>
      </c>
      <c r="F936" s="5" t="s">
        <v>38</v>
      </c>
      <c r="G936" s="7">
        <v>268532</v>
      </c>
      <c r="H936" s="7" cm="1">
        <f t="array" ref="H936">_xlfn.IFS(B936=2015,L936*$P$3,B936=2016,L936*$P$4,B936=2017,L936*$P$5,B936=2018,L936*$P$6,B936=2019,L936*$P$7,B936=2020,L936*$P$8,B936=2021,L936*$P$9,B936=2022,L936*$P$10)</f>
        <v>7358.0422564777527</v>
      </c>
      <c r="I936" s="7">
        <f t="shared" si="31"/>
        <v>275890.04225647775</v>
      </c>
      <c r="J936">
        <f>IFERROR(VLOOKUP(F936,'LEAID Match'!$A$2:$B$227,2,FALSE),"")</f>
        <v>3800050</v>
      </c>
      <c r="K936">
        <f t="shared" si="30"/>
        <v>8</v>
      </c>
      <c r="L936" cm="1">
        <f t="array" ref="L936">_xlfn.IFS(B936=2015,G936/$P$13,B936=2016,G936/$P$14,B936=2017,G936/$P$15,B936=2018,G936/$P$16,B936=2019,G936/$P$17,B936=2019,G936/$P$18,B936=2020,G936/$P$18,B936=2021,G936/$P$19,B936=2022,G936/$P$20)</f>
        <v>3.0981230553590536E-3</v>
      </c>
    </row>
    <row r="937" spans="1:12" x14ac:dyDescent="0.2">
      <c r="A937">
        <v>3800050</v>
      </c>
      <c r="B937">
        <v>2019</v>
      </c>
      <c r="C937" t="s">
        <v>252</v>
      </c>
      <c r="D937" t="s">
        <v>254</v>
      </c>
      <c r="E937" t="s">
        <v>256</v>
      </c>
      <c r="F937" s="5" t="s">
        <v>38</v>
      </c>
      <c r="G937" s="7">
        <v>268887</v>
      </c>
      <c r="H937" s="7" cm="1">
        <f t="array" ref="H937">_xlfn.IFS(B937=2015,L937*$P$3,B937=2016,L937*$P$4,B937=2017,L937*$P$5,B937=2018,L937*$P$6,B937=2019,L937*$P$7,B937=2020,L937*$P$8,B937=2021,L937*$P$9,B937=2022,L937*$P$10)</f>
        <v>6240.8201788632286</v>
      </c>
      <c r="I937" s="7">
        <f t="shared" si="31"/>
        <v>275127.82017886324</v>
      </c>
      <c r="J937">
        <f>IFERROR(VLOOKUP(F937,'LEAID Match'!$A$2:$B$227,2,FALSE),"")</f>
        <v>3800050</v>
      </c>
      <c r="K937">
        <f t="shared" si="30"/>
        <v>8</v>
      </c>
      <c r="L937" cm="1">
        <f t="array" ref="L937">_xlfn.IFS(B937=2015,G937/$P$13,B937=2016,G937/$P$14,B937=2017,G937/$P$15,B937=2018,G937/$P$16,B937=2019,G937/$P$17,B937=2019,G937/$P$18,B937=2020,G937/$P$18,B937=2021,G937/$P$19,B937=2022,G937/$P$20)</f>
        <v>3.0061754233445225E-3</v>
      </c>
    </row>
    <row r="938" spans="1:12" x14ac:dyDescent="0.2">
      <c r="A938">
        <v>3800050</v>
      </c>
      <c r="B938">
        <v>2020</v>
      </c>
      <c r="C938" t="s">
        <v>252</v>
      </c>
      <c r="D938" t="s">
        <v>254</v>
      </c>
      <c r="E938" t="s">
        <v>256</v>
      </c>
      <c r="F938" s="5" t="s">
        <v>38</v>
      </c>
      <c r="G938" s="7">
        <v>262033</v>
      </c>
      <c r="H938" s="7" cm="1">
        <f t="array" ref="H938">_xlfn.IFS(B938=2015,L938*$P$3,B938=2016,L938*$P$4,B938=2017,L938*$P$5,B938=2018,L938*$P$6,B938=2019,L938*$P$7,B938=2020,L938*$P$8,B938=2021,L938*$P$9,B938=2022,L938*$P$10)</f>
        <v>6573.8886744237152</v>
      </c>
      <c r="I938" s="7">
        <f t="shared" si="31"/>
        <v>268606.88867442374</v>
      </c>
      <c r="J938">
        <f>IFERROR(VLOOKUP(F938,'LEAID Match'!$A$2:$B$227,2,FALSE),"")</f>
        <v>3800050</v>
      </c>
      <c r="K938">
        <f t="shared" si="30"/>
        <v>8</v>
      </c>
      <c r="L938" cm="1">
        <f t="array" ref="L938">_xlfn.IFS(B938=2015,G938/$P$13,B938=2016,G938/$P$14,B938=2017,G938/$P$15,B938=2018,G938/$P$16,B938=2019,G938/$P$17,B938=2019,G938/$P$18,B938=2020,G938/$P$18,B938=2021,G938/$P$19,B938=2022,G938/$P$20)</f>
        <v>2.8165761244317547E-3</v>
      </c>
    </row>
    <row r="939" spans="1:12" x14ac:dyDescent="0.2">
      <c r="A939">
        <v>3800050</v>
      </c>
      <c r="B939" s="5">
        <v>2021</v>
      </c>
      <c r="C939" t="s">
        <v>252</v>
      </c>
      <c r="D939" t="s">
        <v>254</v>
      </c>
      <c r="E939" t="s">
        <v>256</v>
      </c>
      <c r="F939" s="5" t="s">
        <v>38</v>
      </c>
      <c r="G939" s="7">
        <v>270644</v>
      </c>
      <c r="H939" s="7" cm="1">
        <f t="array" ref="H939">_xlfn.IFS(B939=2015,L939*$P$3,B939=2016,L939*$P$4,B939=2017,L939*$P$5,B939=2018,L939*$P$6,B939=2019,L939*$P$7,B939=2020,L939*$P$8,B939=2021,L939*$P$9,B939=2022,L939*$P$10)</f>
        <v>7395.1560754482662</v>
      </c>
      <c r="I939" s="7">
        <f t="shared" si="31"/>
        <v>278039.15607544826</v>
      </c>
      <c r="J939">
        <f>IFERROR(VLOOKUP(F939,'LEAID Match'!$A$2:$B$227,2,FALSE),"")</f>
        <v>3800050</v>
      </c>
      <c r="K939">
        <f t="shared" si="30"/>
        <v>8</v>
      </c>
      <c r="L939" cm="1">
        <f t="array" ref="L939">_xlfn.IFS(B939=2015,G939/$P$13,B939=2016,G939/$P$14,B939=2017,G939/$P$15,B939=2018,G939/$P$16,B939=2019,G939/$P$17,B939=2019,G939/$P$18,B939=2020,G939/$P$18,B939=2021,G939/$P$19,B939=2022,G939/$P$20)</f>
        <v>2.7542480727926503E-3</v>
      </c>
    </row>
    <row r="940" spans="1:12" x14ac:dyDescent="0.2">
      <c r="A940">
        <v>3800050</v>
      </c>
      <c r="B940">
        <v>2022</v>
      </c>
      <c r="C940" t="s">
        <v>252</v>
      </c>
      <c r="D940" t="s">
        <v>254</v>
      </c>
      <c r="E940" t="s">
        <v>256</v>
      </c>
      <c r="F940" s="5" t="s">
        <v>38</v>
      </c>
      <c r="G940" s="7">
        <v>269194</v>
      </c>
      <c r="H940" s="7" cm="1">
        <f t="array" ref="H940">_xlfn.IFS(B940=2015,L940*$P$3,B940=2016,L940*$P$4,B940=2017,L940*$P$5,B940=2018,L940*$P$6,B940=2019,L940*$P$7,B940=2020,L940*$P$8,B940=2021,L940*$P$9,B940=2022,L940*$P$10)</f>
        <v>5478.7878452021932</v>
      </c>
      <c r="I940" s="7">
        <f t="shared" si="31"/>
        <v>274672.7878452022</v>
      </c>
      <c r="J940">
        <f>IFERROR(VLOOKUP(F940,'LEAID Match'!$A$2:$B$227,2,FALSE),"")</f>
        <v>3800050</v>
      </c>
      <c r="K940">
        <f t="shared" si="30"/>
        <v>8</v>
      </c>
      <c r="L940" cm="1">
        <f t="array" ref="L940">_xlfn.IFS(B940=2015,G940/$P$13,B940=2016,G940/$P$14,B940=2017,G940/$P$15,B940=2018,G940/$P$16,B940=2019,G940/$P$17,B940=2019,G940/$P$18,B940=2020,G940/$P$18,B940=2021,G940/$P$19,B940=2022,G940/$P$20)</f>
        <v>2.6830498752214464E-3</v>
      </c>
    </row>
    <row r="941" spans="1:12" x14ac:dyDescent="0.2">
      <c r="A941">
        <v>3813230</v>
      </c>
      <c r="B941">
        <v>2015</v>
      </c>
      <c r="C941" t="s">
        <v>252</v>
      </c>
      <c r="D941" t="s">
        <v>254</v>
      </c>
      <c r="E941" t="s">
        <v>256</v>
      </c>
      <c r="F941" s="5" t="s">
        <v>39</v>
      </c>
      <c r="G941" s="7">
        <v>89336</v>
      </c>
      <c r="H941" s="7" cm="1">
        <f t="array" ref="H941">_xlfn.IFS(B941=2015,L941*$P$3,B941=2016,L941*$P$4,B941=2017,L941*$P$5,B941=2018,L941*$P$6,B941=2019,L941*$P$7,B941=2020,L941*$P$8,B941=2021,L941*$P$9,B941=2022,L941*$P$10)</f>
        <v>2019.7460664787095</v>
      </c>
      <c r="I941" s="7">
        <f t="shared" si="31"/>
        <v>91355.746066478707</v>
      </c>
      <c r="J941">
        <f>IFERROR(VLOOKUP(F941,'LEAID Match'!$A$2:$B$227,2,FALSE),"")</f>
        <v>3813230</v>
      </c>
      <c r="K941">
        <f t="shared" si="30"/>
        <v>8</v>
      </c>
      <c r="L941" cm="1">
        <f t="array" ref="L941">_xlfn.IFS(B941=2015,G941/$P$13,B941=2016,G941/$P$14,B941=2017,G941/$P$15,B941=2018,G941/$P$16,B941=2019,G941/$P$17,B941=2019,G941/$P$18,B941=2020,G941/$P$18,B941=2021,G941/$P$19,B941=2022,G941/$P$20)</f>
        <v>1.1391686782169822E-3</v>
      </c>
    </row>
    <row r="942" spans="1:12" x14ac:dyDescent="0.2">
      <c r="A942">
        <v>3813230</v>
      </c>
      <c r="B942">
        <v>2016</v>
      </c>
      <c r="C942" t="s">
        <v>252</v>
      </c>
      <c r="D942" t="s">
        <v>254</v>
      </c>
      <c r="E942" t="s">
        <v>256</v>
      </c>
      <c r="F942" s="5" t="s">
        <v>39</v>
      </c>
      <c r="G942" s="7">
        <v>97261</v>
      </c>
      <c r="H942" s="7" cm="1">
        <f t="array" ref="H942">_xlfn.IFS(B942=2015,L942*$P$3,B942=2016,L942*$P$4,B942=2017,L942*$P$5,B942=2018,L942*$P$6,B942=2019,L942*$P$7,B942=2020,L942*$P$8,B942=2021,L942*$P$9,B942=2022,L942*$P$10)</f>
        <v>3302.6970169736137</v>
      </c>
      <c r="I942" s="7">
        <f t="shared" si="31"/>
        <v>100563.69701697362</v>
      </c>
      <c r="J942">
        <f>IFERROR(VLOOKUP(F942,'LEAID Match'!$A$2:$B$227,2,FALSE),"")</f>
        <v>3813230</v>
      </c>
      <c r="K942">
        <f t="shared" si="30"/>
        <v>8</v>
      </c>
      <c r="L942" cm="1">
        <f t="array" ref="L942">_xlfn.IFS(B942=2015,G942/$P$13,B942=2016,G942/$P$14,B942=2017,G942/$P$15,B942=2018,G942/$P$16,B942=2019,G942/$P$17,B942=2019,G942/$P$18,B942=2020,G942/$P$18,B942=2021,G942/$P$19,B942=2022,G942/$P$20)</f>
        <v>1.1740835467378649E-3</v>
      </c>
    </row>
    <row r="943" spans="1:12" x14ac:dyDescent="0.2">
      <c r="A943">
        <v>3813230</v>
      </c>
      <c r="B943">
        <v>2017</v>
      </c>
      <c r="C943" t="s">
        <v>252</v>
      </c>
      <c r="D943" t="s">
        <v>254</v>
      </c>
      <c r="E943" t="s">
        <v>256</v>
      </c>
      <c r="F943" s="5" t="s">
        <v>39</v>
      </c>
      <c r="G943" s="7">
        <v>99305</v>
      </c>
      <c r="H943" s="7" cm="1">
        <f t="array" ref="H943">_xlfn.IFS(B943=2015,L943*$P$3,B943=2016,L943*$P$4,B943=2017,L943*$P$5,B943=2018,L943*$P$6,B943=2019,L943*$P$7,B943=2020,L943*$P$8,B943=2021,L943*$P$9,B943=2022,L943*$P$10)</f>
        <v>3218.28148020036</v>
      </c>
      <c r="I943" s="7">
        <f t="shared" si="31"/>
        <v>102523.28148020036</v>
      </c>
      <c r="J943">
        <f>IFERROR(VLOOKUP(F943,'LEAID Match'!$A$2:$B$227,2,FALSE),"")</f>
        <v>3813230</v>
      </c>
      <c r="K943">
        <f t="shared" si="30"/>
        <v>8</v>
      </c>
      <c r="L943" cm="1">
        <f t="array" ref="L943">_xlfn.IFS(B943=2015,G943/$P$13,B943=2016,G943/$P$14,B943=2017,G943/$P$15,B943=2018,G943/$P$16,B943=2019,G943/$P$17,B943=2019,G943/$P$18,B943=2020,G943/$P$18,B943=2021,G943/$P$19,B943=2022,G943/$P$20)</f>
        <v>1.1539194980998064E-3</v>
      </c>
    </row>
    <row r="944" spans="1:12" x14ac:dyDescent="0.2">
      <c r="A944">
        <v>3813230</v>
      </c>
      <c r="B944" s="5">
        <v>2018</v>
      </c>
      <c r="C944" t="s">
        <v>252</v>
      </c>
      <c r="D944" t="s">
        <v>254</v>
      </c>
      <c r="E944" t="s">
        <v>256</v>
      </c>
      <c r="F944" s="5" t="s">
        <v>39</v>
      </c>
      <c r="G944" s="7">
        <v>99593</v>
      </c>
      <c r="H944" s="7" cm="1">
        <f t="array" ref="H944">_xlfn.IFS(B944=2015,L944*$P$3,B944=2016,L944*$P$4,B944=2017,L944*$P$5,B944=2018,L944*$P$6,B944=2019,L944*$P$7,B944=2020,L944*$P$8,B944=2021,L944*$P$9,B944=2022,L944*$P$10)</f>
        <v>2728.9466523520059</v>
      </c>
      <c r="I944" s="7">
        <f t="shared" si="31"/>
        <v>102321.94665235201</v>
      </c>
      <c r="J944">
        <f>IFERROR(VLOOKUP(F944,'LEAID Match'!$A$2:$B$227,2,FALSE),"")</f>
        <v>3813230</v>
      </c>
      <c r="K944">
        <f t="shared" si="30"/>
        <v>8</v>
      </c>
      <c r="L944" cm="1">
        <f t="array" ref="L944">_xlfn.IFS(B944=2015,G944/$P$13,B944=2016,G944/$P$14,B944=2017,G944/$P$15,B944=2018,G944/$P$16,B944=2019,G944/$P$17,B944=2019,G944/$P$18,B944=2020,G944/$P$18,B944=2021,G944/$P$19,B944=2022,G944/$P$20)</f>
        <v>1.1490301694113709E-3</v>
      </c>
    </row>
    <row r="945" spans="1:12" x14ac:dyDescent="0.2">
      <c r="A945">
        <v>3813230</v>
      </c>
      <c r="B945">
        <v>2019</v>
      </c>
      <c r="C945" t="s">
        <v>252</v>
      </c>
      <c r="D945" t="s">
        <v>254</v>
      </c>
      <c r="E945" t="s">
        <v>256</v>
      </c>
      <c r="F945" s="5" t="s">
        <v>39</v>
      </c>
      <c r="G945" s="7">
        <v>103092</v>
      </c>
      <c r="H945" s="7" cm="1">
        <f t="array" ref="H945">_xlfn.IFS(B945=2015,L945*$P$3,B945=2016,L945*$P$4,B945=2017,L945*$P$5,B945=2018,L945*$P$6,B945=2019,L945*$P$7,B945=2020,L945*$P$8,B945=2021,L945*$P$9,B945=2022,L945*$P$10)</f>
        <v>2392.7472651313301</v>
      </c>
      <c r="I945" s="7">
        <f t="shared" si="31"/>
        <v>105484.74726513133</v>
      </c>
      <c r="J945">
        <f>IFERROR(VLOOKUP(F945,'LEAID Match'!$A$2:$B$227,2,FALSE),"")</f>
        <v>3813230</v>
      </c>
      <c r="K945">
        <f t="shared" si="30"/>
        <v>8</v>
      </c>
      <c r="L945" cm="1">
        <f t="array" ref="L945">_xlfn.IFS(B945=2015,G945/$P$13,B945=2016,G945/$P$14,B945=2017,G945/$P$15,B945=2018,G945/$P$16,B945=2019,G945/$P$17,B945=2019,G945/$P$18,B945=2020,G945/$P$18,B945=2021,G945/$P$19,B945=2022,G945/$P$20)</f>
        <v>1.1525757539168258E-3</v>
      </c>
    </row>
    <row r="946" spans="1:12" x14ac:dyDescent="0.2">
      <c r="A946">
        <v>3813230</v>
      </c>
      <c r="B946">
        <v>2020</v>
      </c>
      <c r="C946" t="s">
        <v>252</v>
      </c>
      <c r="D946" t="s">
        <v>254</v>
      </c>
      <c r="E946" t="s">
        <v>256</v>
      </c>
      <c r="F946" s="5" t="s">
        <v>39</v>
      </c>
      <c r="G946" s="7">
        <v>103864</v>
      </c>
      <c r="H946" s="7" cm="1">
        <f t="array" ref="H946">_xlfn.IFS(B946=2015,L946*$P$3,B946=2016,L946*$P$4,B946=2017,L946*$P$5,B946=2018,L946*$P$6,B946=2019,L946*$P$7,B946=2020,L946*$P$8,B946=2021,L946*$P$9,B946=2022,L946*$P$10)</f>
        <v>2605.7419228888912</v>
      </c>
      <c r="I946" s="7">
        <f t="shared" si="31"/>
        <v>106469.74192288889</v>
      </c>
      <c r="J946">
        <f>IFERROR(VLOOKUP(F946,'LEAID Match'!$A$2:$B$227,2,FALSE),"")</f>
        <v>3813230</v>
      </c>
      <c r="K946">
        <f t="shared" si="30"/>
        <v>8</v>
      </c>
      <c r="L946" cm="1">
        <f t="array" ref="L946">_xlfn.IFS(B946=2015,G946/$P$13,B946=2016,G946/$P$14,B946=2017,G946/$P$15,B946=2018,G946/$P$16,B946=2019,G946/$P$17,B946=2019,G946/$P$18,B946=2020,G946/$P$18,B946=2021,G946/$P$19,B946=2022,G946/$P$20)</f>
        <v>1.1164275590783595E-3</v>
      </c>
    </row>
    <row r="947" spans="1:12" x14ac:dyDescent="0.2">
      <c r="A947">
        <v>3813230</v>
      </c>
      <c r="B947" s="5">
        <v>2021</v>
      </c>
      <c r="C947" t="s">
        <v>252</v>
      </c>
      <c r="D947" t="s">
        <v>254</v>
      </c>
      <c r="E947" t="s">
        <v>256</v>
      </c>
      <c r="F947" s="5" t="s">
        <v>39</v>
      </c>
      <c r="G947" s="7">
        <v>106048</v>
      </c>
      <c r="H947" s="7" cm="1">
        <f t="array" ref="H947">_xlfn.IFS(B947=2015,L947*$P$3,B947=2016,L947*$P$4,B947=2017,L947*$P$5,B947=2018,L947*$P$6,B947=2019,L947*$P$7,B947=2020,L947*$P$8,B947=2021,L947*$P$9,B947=2022,L947*$P$10)</f>
        <v>2897.6866713806244</v>
      </c>
      <c r="I947" s="7">
        <f t="shared" si="31"/>
        <v>108945.68667138062</v>
      </c>
      <c r="J947">
        <f>IFERROR(VLOOKUP(F947,'LEAID Match'!$A$2:$B$227,2,FALSE),"")</f>
        <v>3813230</v>
      </c>
      <c r="K947">
        <f t="shared" si="30"/>
        <v>8</v>
      </c>
      <c r="L947" cm="1">
        <f t="array" ref="L947">_xlfn.IFS(B947=2015,G947/$P$13,B947=2016,G947/$P$14,B947=2017,G947/$P$15,B947=2018,G947/$P$16,B947=2019,G947/$P$17,B947=2019,G947/$P$18,B947=2020,G947/$P$18,B947=2021,G947/$P$19,B947=2022,G947/$P$20)</f>
        <v>1.0792129129909215E-3</v>
      </c>
    </row>
    <row r="948" spans="1:12" x14ac:dyDescent="0.2">
      <c r="A948">
        <v>3813230</v>
      </c>
      <c r="B948">
        <v>2022</v>
      </c>
      <c r="C948" t="s">
        <v>252</v>
      </c>
      <c r="D948" t="s">
        <v>254</v>
      </c>
      <c r="E948" t="s">
        <v>256</v>
      </c>
      <c r="F948" s="5" t="s">
        <v>39</v>
      </c>
      <c r="G948" s="7">
        <v>104482</v>
      </c>
      <c r="H948" s="7" cm="1">
        <f t="array" ref="H948">_xlfn.IFS(B948=2015,L948*$P$3,B948=2016,L948*$P$4,B948=2017,L948*$P$5,B948=2018,L948*$P$6,B948=2019,L948*$P$7,B948=2020,L948*$P$8,B948=2021,L948*$P$9,B948=2022,L948*$P$10)</f>
        <v>2126.4764877464418</v>
      </c>
      <c r="I948" s="7">
        <f t="shared" si="31"/>
        <v>106608.47648774645</v>
      </c>
      <c r="J948">
        <f>IFERROR(VLOOKUP(F948,'LEAID Match'!$A$2:$B$227,2,FALSE),"")</f>
        <v>3813230</v>
      </c>
      <c r="K948">
        <f t="shared" si="30"/>
        <v>8</v>
      </c>
      <c r="L948" cm="1">
        <f t="array" ref="L948">_xlfn.IFS(B948=2015,G948/$P$13,B948=2016,G948/$P$14,B948=2017,G948/$P$15,B948=2018,G948/$P$16,B948=2019,G948/$P$17,B948=2019,G948/$P$18,B948=2020,G948/$P$18,B948=2021,G948/$P$19,B948=2022,G948/$P$20)</f>
        <v>1.0413694846946335E-3</v>
      </c>
    </row>
    <row r="949" spans="1:12" x14ac:dyDescent="0.2">
      <c r="A949">
        <v>0</v>
      </c>
      <c r="B949">
        <v>2015</v>
      </c>
      <c r="C949" t="s">
        <v>252</v>
      </c>
      <c r="D949" t="s">
        <v>254</v>
      </c>
      <c r="E949" t="s">
        <v>256</v>
      </c>
      <c r="F949" s="5" t="s">
        <v>40</v>
      </c>
      <c r="G949" s="7">
        <v>3637</v>
      </c>
      <c r="H949" s="7" cm="1">
        <f t="array" ref="H949">_xlfn.IFS(B949=2015,L949*$P$3,B949=2016,L949*$P$4,B949=2017,L949*$P$5,B949=2018,L949*$P$6,B949=2019,L949*$P$7,B949=2020,L949*$P$8,B949=2021,L949*$P$9,B949=2022,L949*$P$10)</f>
        <v>82.226834017451722</v>
      </c>
      <c r="I949" s="7">
        <f t="shared" si="31"/>
        <v>3719.2268340174519</v>
      </c>
      <c r="J949">
        <f>IFERROR(VLOOKUP(F949,'LEAID Match'!$A$2:$B$227,2,FALSE),"")</f>
        <v>0</v>
      </c>
      <c r="K949">
        <f t="shared" si="30"/>
        <v>130</v>
      </c>
      <c r="L949" cm="1">
        <f t="array" ref="L949">_xlfn.IFS(B949=2015,G949/$P$13,B949=2016,G949/$P$14,B949=2017,G949/$P$15,B949=2018,G949/$P$16,B949=2019,G949/$P$17,B949=2019,G949/$P$18,B949=2020,G949/$P$18,B949=2021,G949/$P$19,B949=2022,G949/$P$20)</f>
        <v>4.6377232948365323E-5</v>
      </c>
    </row>
    <row r="950" spans="1:12" x14ac:dyDescent="0.2">
      <c r="A950">
        <v>0</v>
      </c>
      <c r="B950">
        <v>2016</v>
      </c>
      <c r="C950" t="s">
        <v>252</v>
      </c>
      <c r="D950" t="s">
        <v>254</v>
      </c>
      <c r="E950" t="s">
        <v>256</v>
      </c>
      <c r="F950" s="5" t="s">
        <v>40</v>
      </c>
      <c r="G950" s="7">
        <v>3895</v>
      </c>
      <c r="H950" s="7" cm="1">
        <f t="array" ref="H950">_xlfn.IFS(B950=2015,L950*$P$3,B950=2016,L950*$P$4,B950=2017,L950*$P$5,B950=2018,L950*$P$6,B950=2019,L950*$P$7,B950=2020,L950*$P$8,B950=2021,L950*$P$9,B950=2022,L950*$P$10)</f>
        <v>132.26272484461629</v>
      </c>
      <c r="I950" s="7">
        <f t="shared" si="31"/>
        <v>4027.2627248446161</v>
      </c>
      <c r="J950">
        <f>IFERROR(VLOOKUP(F950,'LEAID Match'!$A$2:$B$227,2,FALSE),"")</f>
        <v>0</v>
      </c>
      <c r="K950">
        <f t="shared" si="30"/>
        <v>130</v>
      </c>
      <c r="L950" cm="1">
        <f t="array" ref="L950">_xlfn.IFS(B950=2015,G950/$P$13,B950=2016,G950/$P$14,B950=2017,G950/$P$15,B950=2018,G950/$P$16,B950=2019,G950/$P$17,B950=2019,G950/$P$18,B950=2020,G950/$P$18,B950=2021,G950/$P$19,B950=2022,G950/$P$20)</f>
        <v>4.7018387786923676E-5</v>
      </c>
    </row>
    <row r="951" spans="1:12" x14ac:dyDescent="0.2">
      <c r="A951">
        <v>0</v>
      </c>
      <c r="B951">
        <v>2017</v>
      </c>
      <c r="C951" t="s">
        <v>252</v>
      </c>
      <c r="D951" t="s">
        <v>254</v>
      </c>
      <c r="E951" t="s">
        <v>256</v>
      </c>
      <c r="F951" s="5" t="s">
        <v>40</v>
      </c>
      <c r="G951" s="7">
        <v>3983</v>
      </c>
      <c r="H951" s="7" cm="1">
        <f t="array" ref="H951">_xlfn.IFS(B951=2015,L951*$P$3,B951=2016,L951*$P$4,B951=2017,L951*$P$5,B951=2018,L951*$P$6,B951=2019,L951*$P$7,B951=2020,L951*$P$8,B951=2021,L951*$P$9,B951=2022,L951*$P$10)</f>
        <v>129.0812661561657</v>
      </c>
      <c r="I951" s="7">
        <f t="shared" si="31"/>
        <v>4112.0812661561658</v>
      </c>
      <c r="J951">
        <f>IFERROR(VLOOKUP(F951,'LEAID Match'!$A$2:$B$227,2,FALSE),"")</f>
        <v>0</v>
      </c>
      <c r="K951">
        <f t="shared" si="30"/>
        <v>130</v>
      </c>
      <c r="L951" cm="1">
        <f t="array" ref="L951">_xlfn.IFS(B951=2015,G951/$P$13,B951=2016,G951/$P$14,B951=2017,G951/$P$15,B951=2018,G951/$P$16,B951=2019,G951/$P$17,B951=2019,G951/$P$18,B951=2020,G951/$P$18,B951=2021,G951/$P$19,B951=2022,G951/$P$20)</f>
        <v>4.6282275423508675E-5</v>
      </c>
    </row>
    <row r="952" spans="1:12" x14ac:dyDescent="0.2">
      <c r="A952">
        <v>0</v>
      </c>
      <c r="B952" s="5">
        <v>2018</v>
      </c>
      <c r="C952" t="s">
        <v>252</v>
      </c>
      <c r="D952" t="s">
        <v>254</v>
      </c>
      <c r="E952" t="s">
        <v>256</v>
      </c>
      <c r="F952" s="5" t="s">
        <v>40</v>
      </c>
      <c r="G952" s="7">
        <v>1297</v>
      </c>
      <c r="H952" s="7" cm="1">
        <f t="array" ref="H952">_xlfn.IFS(B952=2015,L952*$P$3,B952=2016,L952*$P$4,B952=2017,L952*$P$5,B952=2018,L952*$P$6,B952=2019,L952*$P$7,B952=2020,L952*$P$8,B952=2021,L952*$P$9,B952=2022,L952*$P$10)</f>
        <v>35.539082145337041</v>
      </c>
      <c r="I952" s="7">
        <f t="shared" si="31"/>
        <v>1332.539082145337</v>
      </c>
      <c r="J952">
        <f>IFERROR(VLOOKUP(F952,'LEAID Match'!$A$2:$B$227,2,FALSE),"")</f>
        <v>0</v>
      </c>
      <c r="K952">
        <f t="shared" si="30"/>
        <v>130</v>
      </c>
      <c r="L952" cm="1">
        <f t="array" ref="L952">_xlfn.IFS(B952=2015,G952/$P$13,B952=2016,G952/$P$14,B952=2017,G952/$P$15,B952=2018,G952/$P$16,B952=2019,G952/$P$17,B952=2019,G952/$P$18,B952=2020,G952/$P$18,B952=2021,G952/$P$19,B952=2022,G952/$P$20)</f>
        <v>1.4963824061194542E-5</v>
      </c>
    </row>
    <row r="953" spans="1:12" x14ac:dyDescent="0.2">
      <c r="A953">
        <v>0</v>
      </c>
      <c r="B953">
        <v>2019</v>
      </c>
      <c r="C953" t="s">
        <v>252</v>
      </c>
      <c r="D953" t="s">
        <v>254</v>
      </c>
      <c r="E953" t="s">
        <v>256</v>
      </c>
      <c r="F953" s="5" t="s">
        <v>40</v>
      </c>
      <c r="G953" s="5">
        <v>760</v>
      </c>
      <c r="H953" s="7" cm="1">
        <f t="array" ref="H953">_xlfn.IFS(B953=2015,L953*$P$3,B953=2016,L953*$P$4,B953=2017,L953*$P$5,B953=2018,L953*$P$6,B953=2019,L953*$P$7,B953=2020,L953*$P$8,B953=2021,L953*$P$9,B953=2022,L953*$P$10)</f>
        <v>17.639466898496593</v>
      </c>
      <c r="I953" s="7">
        <f t="shared" si="31"/>
        <v>777.63946689849661</v>
      </c>
      <c r="J953">
        <f>IFERROR(VLOOKUP(F953,'LEAID Match'!$A$2:$B$227,2,FALSE),"")</f>
        <v>0</v>
      </c>
      <c r="K953">
        <f t="shared" si="30"/>
        <v>130</v>
      </c>
      <c r="L953" cm="1">
        <f t="array" ref="L953">_xlfn.IFS(B953=2015,G953/$P$13,B953=2016,G953/$P$14,B953=2017,G953/$P$15,B953=2018,G953/$P$16,B953=2019,G953/$P$17,B953=2019,G953/$P$18,B953=2020,G953/$P$18,B953=2021,G953/$P$19,B953=2022,G953/$P$20)</f>
        <v>8.4968530339578961E-6</v>
      </c>
    </row>
    <row r="954" spans="1:12" x14ac:dyDescent="0.2">
      <c r="A954">
        <v>0</v>
      </c>
      <c r="B954">
        <v>2020</v>
      </c>
      <c r="C954" t="s">
        <v>252</v>
      </c>
      <c r="D954" t="s">
        <v>254</v>
      </c>
      <c r="E954" t="s">
        <v>256</v>
      </c>
      <c r="F954" s="5" t="s">
        <v>40</v>
      </c>
      <c r="G954" s="5">
        <v>760</v>
      </c>
      <c r="H954" s="7" cm="1">
        <f t="array" ref="H954">_xlfn.IFS(B954=2015,L954*$P$3,B954=2016,L954*$P$4,B954=2017,L954*$P$5,B954=2018,L954*$P$6,B954=2019,L954*$P$7,B954=2020,L954*$P$8,B954=2021,L954*$P$9,B954=2022,L954*$P$10)</f>
        <v>19.066893836127601</v>
      </c>
      <c r="I954" s="7">
        <f t="shared" si="31"/>
        <v>779.06689383612763</v>
      </c>
      <c r="J954">
        <f>IFERROR(VLOOKUP(F954,'LEAID Match'!$A$2:$B$227,2,FALSE),"")</f>
        <v>0</v>
      </c>
      <c r="K954">
        <f t="shared" si="30"/>
        <v>130</v>
      </c>
      <c r="L954" cm="1">
        <f t="array" ref="L954">_xlfn.IFS(B954=2015,G954/$P$13,B954=2016,G954/$P$14,B954=2017,G954/$P$15,B954=2018,G954/$P$16,B954=2019,G954/$P$17,B954=2019,G954/$P$18,B954=2020,G954/$P$18,B954=2021,G954/$P$19,B954=2022,G954/$P$20)</f>
        <v>8.1691918749475584E-6</v>
      </c>
    </row>
    <row r="955" spans="1:12" x14ac:dyDescent="0.2">
      <c r="A955">
        <v>0</v>
      </c>
      <c r="B955" s="5">
        <v>2021</v>
      </c>
      <c r="C955" t="s">
        <v>252</v>
      </c>
      <c r="D955" t="s">
        <v>254</v>
      </c>
      <c r="E955" t="s">
        <v>256</v>
      </c>
      <c r="F955" s="5" t="s">
        <v>40</v>
      </c>
      <c r="G955" s="5"/>
      <c r="H955" s="7" cm="1">
        <f t="array" ref="H955">_xlfn.IFS(B955=2015,L955*$P$3,B955=2016,L955*$P$4,B955=2017,L955*$P$5,B955=2018,L955*$P$6,B955=2019,L955*$P$7,B955=2020,L955*$P$8,B955=2021,L955*$P$9,B955=2022,L955*$P$10)</f>
        <v>0</v>
      </c>
      <c r="I955" s="7">
        <f t="shared" si="31"/>
        <v>0</v>
      </c>
      <c r="J955">
        <f>IFERROR(VLOOKUP(F955,'LEAID Match'!$A$2:$B$227,2,FALSE),"")</f>
        <v>0</v>
      </c>
      <c r="K955">
        <f t="shared" si="30"/>
        <v>130</v>
      </c>
      <c r="L955" cm="1">
        <f t="array" ref="L955">_xlfn.IFS(B955=2015,G955/$P$13,B955=2016,G955/$P$14,B955=2017,G955/$P$15,B955=2018,G955/$P$16,B955=2019,G955/$P$17,B955=2019,G955/$P$18,B955=2020,G955/$P$18,B955=2021,G955/$P$19,B955=2022,G955/$P$20)</f>
        <v>0</v>
      </c>
    </row>
    <row r="956" spans="1:12" x14ac:dyDescent="0.2">
      <c r="A956">
        <v>0</v>
      </c>
      <c r="B956">
        <v>2022</v>
      </c>
      <c r="C956" t="s">
        <v>252</v>
      </c>
      <c r="D956" t="s">
        <v>254</v>
      </c>
      <c r="E956" t="s">
        <v>256</v>
      </c>
      <c r="F956" s="5" t="s">
        <v>40</v>
      </c>
      <c r="G956" s="5"/>
      <c r="H956" s="7" cm="1">
        <f t="array" ref="H956">_xlfn.IFS(B956=2015,L956*$P$3,B956=2016,L956*$P$4,B956=2017,L956*$P$5,B956=2018,L956*$P$6,B956=2019,L956*$P$7,B956=2020,L956*$P$8,B956=2021,L956*$P$9,B956=2022,L956*$P$10)</f>
        <v>0</v>
      </c>
      <c r="I956" s="7">
        <f t="shared" si="31"/>
        <v>0</v>
      </c>
      <c r="J956">
        <f>IFERROR(VLOOKUP(F956,'LEAID Match'!$A$2:$B$227,2,FALSE),"")</f>
        <v>0</v>
      </c>
      <c r="K956">
        <f t="shared" si="30"/>
        <v>130</v>
      </c>
      <c r="L956" cm="1">
        <f t="array" ref="L956">_xlfn.IFS(B956=2015,G956/$P$13,B956=2016,G956/$P$14,B956=2017,G956/$P$15,B956=2018,G956/$P$16,B956=2019,G956/$P$17,B956=2019,G956/$P$18,B956=2020,G956/$P$18,B956=2021,G956/$P$19,B956=2022,G956/$P$20)</f>
        <v>0</v>
      </c>
    </row>
    <row r="957" spans="1:12" x14ac:dyDescent="0.2">
      <c r="A957">
        <v>3800046</v>
      </c>
      <c r="B957">
        <v>2015</v>
      </c>
      <c r="C957" t="s">
        <v>252</v>
      </c>
      <c r="D957" t="s">
        <v>254</v>
      </c>
      <c r="E957" t="s">
        <v>256</v>
      </c>
      <c r="F957" s="5" t="s">
        <v>220</v>
      </c>
      <c r="G957" s="7">
        <v>189694</v>
      </c>
      <c r="H957" s="7" cm="1">
        <f t="array" ref="H957">_xlfn.IFS(B957=2015,L957*$P$3,B957=2016,L957*$P$4,B957=2017,L957*$P$5,B957=2018,L957*$P$6,B957=2019,L957*$P$7,B957=2020,L957*$P$8,B957=2021,L957*$P$9,B957=2022,L957*$P$10)</f>
        <v>4288.6821699495422</v>
      </c>
      <c r="I957" s="7">
        <f t="shared" si="31"/>
        <v>193982.68216994955</v>
      </c>
      <c r="J957">
        <f>IFERROR(VLOOKUP(F957,'LEAID Match'!$A$2:$B$227,2,FALSE),"")</f>
        <v>3800046</v>
      </c>
      <c r="K957">
        <f t="shared" si="30"/>
        <v>8</v>
      </c>
      <c r="L957" cm="1">
        <f t="array" ref="L957">_xlfn.IFS(B957=2015,G957/$P$13,B957=2016,G957/$P$14,B957=2017,G957/$P$15,B957=2018,G957/$P$16,B957=2019,G957/$P$17,B957=2019,G957/$P$18,B957=2020,G957/$P$18,B957=2021,G957/$P$19,B957=2022,G957/$P$20)</f>
        <v>2.4188844726167752E-3</v>
      </c>
    </row>
    <row r="958" spans="1:12" x14ac:dyDescent="0.2">
      <c r="A958">
        <v>3800046</v>
      </c>
      <c r="B958">
        <v>2016</v>
      </c>
      <c r="C958" t="s">
        <v>252</v>
      </c>
      <c r="D958" t="s">
        <v>254</v>
      </c>
      <c r="E958" t="s">
        <v>256</v>
      </c>
      <c r="F958" s="5" t="s">
        <v>220</v>
      </c>
      <c r="G958" s="7">
        <v>196765</v>
      </c>
      <c r="H958" s="7" cm="1">
        <f t="array" ref="H958">_xlfn.IFS(B958=2015,L958*$P$3,B958=2016,L958*$P$4,B958=2017,L958*$P$5,B958=2018,L958*$P$6,B958=2019,L958*$P$7,B958=2020,L958*$P$8,B958=2021,L958*$P$9,B958=2022,L958*$P$10)</f>
        <v>6681.5597057897121</v>
      </c>
      <c r="I958" s="7">
        <f t="shared" si="31"/>
        <v>203446.55970578972</v>
      </c>
      <c r="J958">
        <f>IFERROR(VLOOKUP(F958,'LEAID Match'!$A$2:$B$227,2,FALSE),"")</f>
        <v>3800046</v>
      </c>
      <c r="K958">
        <f t="shared" si="30"/>
        <v>8</v>
      </c>
      <c r="L958" cm="1">
        <f t="array" ref="L958">_xlfn.IFS(B958=2015,G958/$P$13,B958=2016,G958/$P$14,B958=2017,G958/$P$15,B958=2018,G958/$P$16,B958=2019,G958/$P$17,B958=2019,G958/$P$18,B958=2020,G958/$P$18,B958=2021,G958/$P$19,B958=2022,G958/$P$20)</f>
        <v>2.3752434076749775E-3</v>
      </c>
    </row>
    <row r="959" spans="1:12" x14ac:dyDescent="0.2">
      <c r="A959">
        <v>3800046</v>
      </c>
      <c r="B959">
        <v>2017</v>
      </c>
      <c r="C959" t="s">
        <v>252</v>
      </c>
      <c r="D959" t="s">
        <v>254</v>
      </c>
      <c r="E959" t="s">
        <v>256</v>
      </c>
      <c r="F959" s="5" t="s">
        <v>220</v>
      </c>
      <c r="G959" s="7">
        <v>189254</v>
      </c>
      <c r="H959" s="7" cm="1">
        <f t="array" ref="H959">_xlfn.IFS(B959=2015,L959*$P$3,B959=2016,L959*$P$4,B959=2017,L959*$P$5,B959=2018,L959*$P$6,B959=2019,L959*$P$7,B959=2020,L959*$P$8,B959=2021,L959*$P$9,B959=2022,L959*$P$10)</f>
        <v>6133.353237539287</v>
      </c>
      <c r="I959" s="7">
        <f t="shared" si="31"/>
        <v>195387.3532375393</v>
      </c>
      <c r="J959">
        <f>IFERROR(VLOOKUP(F959,'LEAID Match'!$A$2:$B$227,2,FALSE),"")</f>
        <v>3800046</v>
      </c>
      <c r="K959">
        <f t="shared" si="30"/>
        <v>8</v>
      </c>
      <c r="L959" cm="1">
        <f t="array" ref="L959">_xlfn.IFS(B959=2015,G959/$P$13,B959=2016,G959/$P$14,B959=2017,G959/$P$15,B959=2018,G959/$P$16,B959=2019,G959/$P$17,B959=2019,G959/$P$18,B959=2020,G959/$P$18,B959=2021,G959/$P$19,B959=2022,G959/$P$20)</f>
        <v>2.1991227097666859E-3</v>
      </c>
    </row>
    <row r="960" spans="1:12" x14ac:dyDescent="0.2">
      <c r="A960">
        <v>3800046</v>
      </c>
      <c r="B960" s="5">
        <v>2018</v>
      </c>
      <c r="C960" t="s">
        <v>252</v>
      </c>
      <c r="D960" t="s">
        <v>254</v>
      </c>
      <c r="E960" t="s">
        <v>256</v>
      </c>
      <c r="F960" s="5" t="s">
        <v>220</v>
      </c>
      <c r="G960" s="7">
        <v>180338</v>
      </c>
      <c r="H960" s="7" cm="1">
        <f t="array" ref="H960">_xlfn.IFS(B960=2015,L960*$P$3,B960=2016,L960*$P$4,B960=2017,L960*$P$5,B960=2018,L960*$P$6,B960=2019,L960*$P$7,B960=2020,L960*$P$8,B960=2021,L960*$P$9,B960=2022,L960*$P$10)</f>
        <v>4941.4394725719276</v>
      </c>
      <c r="I960" s="7">
        <f t="shared" si="31"/>
        <v>185279.43947257192</v>
      </c>
      <c r="J960">
        <f>IFERROR(VLOOKUP(F960,'LEAID Match'!$A$2:$B$227,2,FALSE),"")</f>
        <v>3800046</v>
      </c>
      <c r="K960">
        <f t="shared" si="30"/>
        <v>8</v>
      </c>
      <c r="L960" cm="1">
        <f t="array" ref="L960">_xlfn.IFS(B960=2015,G960/$P$13,B960=2016,G960/$P$14,B960=2017,G960/$P$15,B960=2018,G960/$P$16,B960=2019,G960/$P$17,B960=2019,G960/$P$18,B960=2020,G960/$P$18,B960=2021,G960/$P$19,B960=2022,G960/$P$20)</f>
        <v>2.0806060937144958E-3</v>
      </c>
    </row>
    <row r="961" spans="1:12" x14ac:dyDescent="0.2">
      <c r="A961">
        <v>3800046</v>
      </c>
      <c r="B961">
        <v>2019</v>
      </c>
      <c r="C961" t="s">
        <v>252</v>
      </c>
      <c r="D961" t="s">
        <v>254</v>
      </c>
      <c r="E961" t="s">
        <v>256</v>
      </c>
      <c r="F961" s="5" t="s">
        <v>220</v>
      </c>
      <c r="G961" s="7">
        <v>171881</v>
      </c>
      <c r="H961" s="7" cm="1">
        <f t="array" ref="H961">_xlfn.IFS(B961=2015,L961*$P$3,B961=2016,L961*$P$4,B961=2017,L961*$P$5,B961=2018,L961*$P$6,B961=2019,L961*$P$7,B961=2020,L961*$P$8,B961=2021,L961*$P$9,B961=2022,L961*$P$10)</f>
        <v>3989.3279078690698</v>
      </c>
      <c r="I961" s="7">
        <f t="shared" si="31"/>
        <v>175870.32790786907</v>
      </c>
      <c r="J961">
        <f>IFERROR(VLOOKUP(F961,'LEAID Match'!$A$2:$B$227,2,FALSE),"")</f>
        <v>3800046</v>
      </c>
      <c r="K961">
        <f t="shared" si="30"/>
        <v>8</v>
      </c>
      <c r="L961" cm="1">
        <f t="array" ref="L961">_xlfn.IFS(B961=2015,G961/$P$13,B961=2016,G961/$P$14,B961=2017,G961/$P$15,B961=2018,G961/$P$16,B961=2019,G961/$P$17,B961=2019,G961/$P$18,B961=2020,G961/$P$18,B961=2021,G961/$P$19,B961=2022,G961/$P$20)</f>
        <v>1.9216415741180491E-3</v>
      </c>
    </row>
    <row r="962" spans="1:12" x14ac:dyDescent="0.2">
      <c r="A962">
        <v>3800046</v>
      </c>
      <c r="B962">
        <v>2020</v>
      </c>
      <c r="C962" t="s">
        <v>252</v>
      </c>
      <c r="D962" t="s">
        <v>254</v>
      </c>
      <c r="E962" t="s">
        <v>256</v>
      </c>
      <c r="F962" s="5" t="s">
        <v>220</v>
      </c>
      <c r="G962" s="7">
        <v>192357</v>
      </c>
      <c r="H962" s="7" cm="1">
        <f t="array" ref="H962">_xlfn.IFS(B962=2015,L962*$P$3,B962=2016,L962*$P$4,B962=2017,L962*$P$5,B962=2018,L962*$P$6,B962=2019,L962*$P$7,B962=2020,L962*$P$8,B962=2021,L962*$P$9,B962=2022,L962*$P$10)</f>
        <v>4825.8559179421009</v>
      </c>
      <c r="I962" s="7">
        <f t="shared" si="31"/>
        <v>197182.8559179421</v>
      </c>
      <c r="J962">
        <f>IFERROR(VLOOKUP(F962,'LEAID Match'!$A$2:$B$227,2,FALSE),"")</f>
        <v>3800046</v>
      </c>
      <c r="K962">
        <f t="shared" ref="K962:K1025" si="32">COUNTIF($A$2:$A$1757,A962)</f>
        <v>8</v>
      </c>
      <c r="L962" cm="1">
        <f t="array" ref="L962">_xlfn.IFS(B962=2015,G962/$P$13,B962=2016,G962/$P$14,B962=2017,G962/$P$15,B962=2018,G962/$P$16,B962=2019,G962/$P$17,B962=2019,G962/$P$18,B962=2020,G962/$P$18,B962=2021,G962/$P$19,B962=2022,G962/$P$20)</f>
        <v>2.0676332124859045E-3</v>
      </c>
    </row>
    <row r="963" spans="1:12" x14ac:dyDescent="0.2">
      <c r="A963">
        <v>3800046</v>
      </c>
      <c r="B963" s="5">
        <v>2021</v>
      </c>
      <c r="C963" t="s">
        <v>252</v>
      </c>
      <c r="D963" t="s">
        <v>254</v>
      </c>
      <c r="E963" t="s">
        <v>256</v>
      </c>
      <c r="F963" s="5" t="s">
        <v>220</v>
      </c>
      <c r="G963" s="7">
        <v>188250</v>
      </c>
      <c r="H963" s="7" cm="1">
        <f t="array" ref="H963">_xlfn.IFS(B963=2015,L963*$P$3,B963=2016,L963*$P$4,B963=2017,L963*$P$5,B963=2018,L963*$P$6,B963=2019,L963*$P$7,B963=2020,L963*$P$8,B963=2021,L963*$P$9,B963=2022,L963*$P$10)</f>
        <v>5143.7982412436122</v>
      </c>
      <c r="I963" s="7">
        <f t="shared" ref="I963:I1026" si="33">SUM(G963:H963)</f>
        <v>193393.79824124361</v>
      </c>
      <c r="J963">
        <f>IFERROR(VLOOKUP(F963,'LEAID Match'!$A$2:$B$227,2,FALSE),"")</f>
        <v>3800046</v>
      </c>
      <c r="K963">
        <f t="shared" si="32"/>
        <v>8</v>
      </c>
      <c r="L963" cm="1">
        <f t="array" ref="L963">_xlfn.IFS(B963=2015,G963/$P$13,B963=2016,G963/$P$14,B963=2017,G963/$P$15,B963=2018,G963/$P$16,B963=2019,G963/$P$17,B963=2019,G963/$P$18,B963=2020,G963/$P$18,B963=2021,G963/$P$19,B963=2022,G963/$P$20)</f>
        <v>1.9157535349138221E-3</v>
      </c>
    </row>
    <row r="964" spans="1:12" x14ac:dyDescent="0.2">
      <c r="A964">
        <v>3800046</v>
      </c>
      <c r="B964">
        <v>2022</v>
      </c>
      <c r="C964" t="s">
        <v>252</v>
      </c>
      <c r="D964" t="s">
        <v>254</v>
      </c>
      <c r="E964" t="s">
        <v>256</v>
      </c>
      <c r="F964" s="5" t="s">
        <v>220</v>
      </c>
      <c r="G964" s="7">
        <v>174078</v>
      </c>
      <c r="H964" s="7" cm="1">
        <f t="array" ref="H964">_xlfn.IFS(B964=2015,L964*$P$3,B964=2016,L964*$P$4,B964=2017,L964*$P$5,B964=2018,L964*$P$6,B964=2019,L964*$P$7,B964=2020,L964*$P$8,B964=2021,L964*$P$9,B964=2022,L964*$P$10)</f>
        <v>3542.9334625478555</v>
      </c>
      <c r="I964" s="7">
        <f t="shared" si="33"/>
        <v>177620.93346254787</v>
      </c>
      <c r="J964">
        <f>IFERROR(VLOOKUP(F964,'LEAID Match'!$A$2:$B$227,2,FALSE),"")</f>
        <v>3800046</v>
      </c>
      <c r="K964">
        <f t="shared" si="32"/>
        <v>8</v>
      </c>
      <c r="L964" cm="1">
        <f t="array" ref="L964">_xlfn.IFS(B964=2015,G964/$P$13,B964=2016,G964/$P$14,B964=2017,G964/$P$15,B964=2018,G964/$P$16,B964=2019,G964/$P$17,B964=2019,G964/$P$18,B964=2020,G964/$P$18,B964=2021,G964/$P$19,B964=2022,G964/$P$20)</f>
        <v>1.735031078622848E-3</v>
      </c>
    </row>
    <row r="965" spans="1:12" x14ac:dyDescent="0.2">
      <c r="A965">
        <v>3813400</v>
      </c>
      <c r="B965">
        <v>2015</v>
      </c>
      <c r="C965" t="s">
        <v>252</v>
      </c>
      <c r="D965" t="s">
        <v>254</v>
      </c>
      <c r="E965" t="s">
        <v>256</v>
      </c>
      <c r="F965" s="5" t="s">
        <v>41</v>
      </c>
      <c r="G965" s="7">
        <v>198414</v>
      </c>
      <c r="H965" s="7" cm="1">
        <f t="array" ref="H965">_xlfn.IFS(B965=2015,L965*$P$3,B965=2016,L965*$P$4,B965=2017,L965*$P$5,B965=2018,L965*$P$6,B965=2019,L965*$P$7,B965=2020,L965*$P$8,B965=2021,L965*$P$9,B965=2022,L965*$P$10)</f>
        <v>4485.827617470075</v>
      </c>
      <c r="I965" s="7">
        <f t="shared" si="33"/>
        <v>202899.82761747009</v>
      </c>
      <c r="J965">
        <f>IFERROR(VLOOKUP(F965,'LEAID Match'!$A$2:$B$227,2,FALSE),"")</f>
        <v>3813400</v>
      </c>
      <c r="K965">
        <f t="shared" si="32"/>
        <v>8</v>
      </c>
      <c r="L965" cm="1">
        <f t="array" ref="L965">_xlfn.IFS(B965=2015,G965/$P$13,B965=2016,G965/$P$14,B965=2017,G965/$P$15,B965=2018,G965/$P$16,B965=2019,G965/$P$17,B965=2019,G965/$P$18,B965=2020,G965/$P$18,B965=2021,G965/$P$19,B965=2022,G965/$P$20)</f>
        <v>2.5300776184264385E-3</v>
      </c>
    </row>
    <row r="966" spans="1:12" x14ac:dyDescent="0.2">
      <c r="A966">
        <v>3813400</v>
      </c>
      <c r="B966">
        <v>2016</v>
      </c>
      <c r="C966" t="s">
        <v>252</v>
      </c>
      <c r="D966" t="s">
        <v>254</v>
      </c>
      <c r="E966" t="s">
        <v>256</v>
      </c>
      <c r="F966" s="5" t="s">
        <v>41</v>
      </c>
      <c r="G966" s="7">
        <v>210219</v>
      </c>
      <c r="H966" s="7" cm="1">
        <f t="array" ref="H966">_xlfn.IFS(B966=2015,L966*$P$3,B966=2016,L966*$P$4,B966=2017,L966*$P$5,B966=2018,L966*$P$6,B966=2019,L966*$P$7,B966=2020,L966*$P$8,B966=2021,L966*$P$9,B966=2022,L966*$P$10)</f>
        <v>7138.4179086291133</v>
      </c>
      <c r="I966" s="7">
        <f t="shared" si="33"/>
        <v>217357.41790862911</v>
      </c>
      <c r="J966">
        <f>IFERROR(VLOOKUP(F966,'LEAID Match'!$A$2:$B$227,2,FALSE),"")</f>
        <v>3813400</v>
      </c>
      <c r="K966">
        <f t="shared" si="32"/>
        <v>8</v>
      </c>
      <c r="L966" cm="1">
        <f t="array" ref="L966">_xlfn.IFS(B966=2015,G966/$P$13,B966=2016,G966/$P$14,B966=2017,G966/$P$15,B966=2018,G966/$P$16,B966=2019,G966/$P$17,B966=2019,G966/$P$18,B966=2020,G966/$P$18,B966=2021,G966/$P$19,B966=2022,G966/$P$20)</f>
        <v>2.5376530069779997E-3</v>
      </c>
    </row>
    <row r="967" spans="1:12" x14ac:dyDescent="0.2">
      <c r="A967">
        <v>3813400</v>
      </c>
      <c r="B967">
        <v>2017</v>
      </c>
      <c r="C967" t="s">
        <v>252</v>
      </c>
      <c r="D967" t="s">
        <v>254</v>
      </c>
      <c r="E967" t="s">
        <v>256</v>
      </c>
      <c r="F967" s="5" t="s">
        <v>41</v>
      </c>
      <c r="G967" s="7">
        <v>211266</v>
      </c>
      <c r="H967" s="7" cm="1">
        <f t="array" ref="H967">_xlfn.IFS(B967=2015,L967*$P$3,B967=2016,L967*$P$4,B967=2017,L967*$P$5,B967=2018,L967*$P$6,B967=2019,L967*$P$7,B967=2020,L967*$P$8,B967=2021,L967*$P$9,B967=2022,L967*$P$10)</f>
        <v>6846.7192507528243</v>
      </c>
      <c r="I967" s="7">
        <f t="shared" si="33"/>
        <v>218112.71925075282</v>
      </c>
      <c r="J967">
        <f>IFERROR(VLOOKUP(F967,'LEAID Match'!$A$2:$B$227,2,FALSE),"")</f>
        <v>3813400</v>
      </c>
      <c r="K967">
        <f t="shared" si="32"/>
        <v>8</v>
      </c>
      <c r="L967" cm="1">
        <f t="array" ref="L967">_xlfn.IFS(B967=2015,G967/$P$13,B967=2016,G967/$P$14,B967=2017,G967/$P$15,B967=2018,G967/$P$16,B967=2019,G967/$P$17,B967=2019,G967/$P$18,B967=2020,G967/$P$18,B967=2021,G967/$P$19,B967=2022,G967/$P$20)</f>
        <v>2.4549011297070006E-3</v>
      </c>
    </row>
    <row r="968" spans="1:12" x14ac:dyDescent="0.2">
      <c r="A968">
        <v>3813400</v>
      </c>
      <c r="B968" s="5">
        <v>2018</v>
      </c>
      <c r="C968" t="s">
        <v>252</v>
      </c>
      <c r="D968" t="s">
        <v>254</v>
      </c>
      <c r="E968" t="s">
        <v>256</v>
      </c>
      <c r="F968" s="5" t="s">
        <v>41</v>
      </c>
      <c r="G968" s="7">
        <v>205545</v>
      </c>
      <c r="H968" s="7" cm="1">
        <f t="array" ref="H968">_xlfn.IFS(B968=2015,L968*$P$3,B968=2016,L968*$P$4,B968=2017,L968*$P$5,B968=2018,L968*$P$6,B968=2019,L968*$P$7,B968=2020,L968*$P$8,B968=2021,L968*$P$9,B968=2022,L968*$P$10)</f>
        <v>5632.1361908737863</v>
      </c>
      <c r="I968" s="7">
        <f t="shared" si="33"/>
        <v>211177.13619087377</v>
      </c>
      <c r="J968">
        <f>IFERROR(VLOOKUP(F968,'LEAID Match'!$A$2:$B$227,2,FALSE),"")</f>
        <v>3813400</v>
      </c>
      <c r="K968">
        <f t="shared" si="32"/>
        <v>8</v>
      </c>
      <c r="L968" cm="1">
        <f t="array" ref="L968">_xlfn.IFS(B968=2015,G968/$P$13,B968=2016,G968/$P$14,B968=2017,G968/$P$15,B968=2018,G968/$P$16,B968=2019,G968/$P$17,B968=2019,G968/$P$18,B968=2020,G968/$P$18,B968=2021,G968/$P$19,B968=2022,G968/$P$20)</f>
        <v>2.3714257645784365E-3</v>
      </c>
    </row>
    <row r="969" spans="1:12" x14ac:dyDescent="0.2">
      <c r="A969">
        <v>3813400</v>
      </c>
      <c r="B969">
        <v>2019</v>
      </c>
      <c r="C969" t="s">
        <v>252</v>
      </c>
      <c r="D969" t="s">
        <v>254</v>
      </c>
      <c r="E969" t="s">
        <v>256</v>
      </c>
      <c r="F969" s="5" t="s">
        <v>41</v>
      </c>
      <c r="G969" s="7">
        <v>218979</v>
      </c>
      <c r="H969" s="7" cm="1">
        <f t="array" ref="H969">_xlfn.IFS(B969=2015,L969*$P$3,B969=2016,L969*$P$4,B969=2017,L969*$P$5,B969=2018,L969*$P$6,B969=2019,L969*$P$7,B969=2020,L969*$P$8,B969=2021,L969*$P$9,B969=2022,L969*$P$10)</f>
        <v>5082.4642394287966</v>
      </c>
      <c r="I969" s="7">
        <f t="shared" si="33"/>
        <v>224061.46423942881</v>
      </c>
      <c r="J969">
        <f>IFERROR(VLOOKUP(F969,'LEAID Match'!$A$2:$B$227,2,FALSE),"")</f>
        <v>3813400</v>
      </c>
      <c r="K969">
        <f t="shared" si="32"/>
        <v>8</v>
      </c>
      <c r="L969" cm="1">
        <f t="array" ref="L969">_xlfn.IFS(B969=2015,G969/$P$13,B969=2016,G969/$P$14,B969=2017,G969/$P$15,B969=2018,G969/$P$16,B969=2019,G969/$P$17,B969=2019,G969/$P$18,B969=2020,G969/$P$18,B969=2021,G969/$P$19,B969=2022,G969/$P$20)</f>
        <v>2.448200500688245E-3</v>
      </c>
    </row>
    <row r="970" spans="1:12" x14ac:dyDescent="0.2">
      <c r="A970">
        <v>3813400</v>
      </c>
      <c r="B970">
        <v>2020</v>
      </c>
      <c r="C970" t="s">
        <v>252</v>
      </c>
      <c r="D970" t="s">
        <v>254</v>
      </c>
      <c r="E970" t="s">
        <v>256</v>
      </c>
      <c r="F970" s="5" t="s">
        <v>41</v>
      </c>
      <c r="G970" s="7">
        <v>235280</v>
      </c>
      <c r="H970" s="7" cm="1">
        <f t="array" ref="H970">_xlfn.IFS(B970=2015,L970*$P$3,B970=2016,L970*$P$4,B970=2017,L970*$P$5,B970=2018,L970*$P$6,B970=2019,L970*$P$7,B970=2020,L970*$P$8,B970=2021,L970*$P$9,B970=2022,L970*$P$10)</f>
        <v>5902.7089233738179</v>
      </c>
      <c r="I970" s="7">
        <f t="shared" si="33"/>
        <v>241182.70892337381</v>
      </c>
      <c r="J970">
        <f>IFERROR(VLOOKUP(F970,'LEAID Match'!$A$2:$B$227,2,FALSE),"")</f>
        <v>3813400</v>
      </c>
      <c r="K970">
        <f t="shared" si="32"/>
        <v>8</v>
      </c>
      <c r="L970" cm="1">
        <f t="array" ref="L970">_xlfn.IFS(B970=2015,G970/$P$13,B970=2016,G970/$P$14,B970=2017,G970/$P$15,B970=2018,G970/$P$16,B970=2019,G970/$P$17,B970=2019,G970/$P$18,B970=2020,G970/$P$18,B970=2021,G970/$P$19,B970=2022,G970/$P$20)</f>
        <v>2.529009821496923E-3</v>
      </c>
    </row>
    <row r="971" spans="1:12" x14ac:dyDescent="0.2">
      <c r="A971">
        <v>3813400</v>
      </c>
      <c r="B971" s="5">
        <v>2021</v>
      </c>
      <c r="C971" t="s">
        <v>252</v>
      </c>
      <c r="D971" t="s">
        <v>254</v>
      </c>
      <c r="E971" t="s">
        <v>256</v>
      </c>
      <c r="F971" s="5" t="s">
        <v>41</v>
      </c>
      <c r="G971" s="7">
        <v>263484</v>
      </c>
      <c r="H971" s="7" cm="1">
        <f t="array" ref="H971">_xlfn.IFS(B971=2015,L971*$P$3,B971=2016,L971*$P$4,B971=2017,L971*$P$5,B971=2018,L971*$P$6,B971=2019,L971*$P$7,B971=2020,L971*$P$8,B971=2021,L971*$P$9,B971=2022,L971*$P$10)</f>
        <v>7199.5141343736086</v>
      </c>
      <c r="I971" s="7">
        <f t="shared" si="33"/>
        <v>270683.51413437363</v>
      </c>
      <c r="J971">
        <f>IFERROR(VLOOKUP(F971,'LEAID Match'!$A$2:$B$227,2,FALSE),"")</f>
        <v>3813400</v>
      </c>
      <c r="K971">
        <f t="shared" si="32"/>
        <v>8</v>
      </c>
      <c r="L971" cm="1">
        <f t="array" ref="L971">_xlfn.IFS(B971=2015,G971/$P$13,B971=2016,G971/$P$14,B971=2017,G971/$P$15,B971=2018,G971/$P$16,B971=2019,G971/$P$17,B971=2019,G971/$P$18,B971=2020,G971/$P$18,B971=2021,G971/$P$19,B971=2022,G971/$P$20)</f>
        <v>2.6813832902695006E-3</v>
      </c>
    </row>
    <row r="972" spans="1:12" x14ac:dyDescent="0.2">
      <c r="A972">
        <v>3813400</v>
      </c>
      <c r="B972">
        <v>2022</v>
      </c>
      <c r="C972" t="s">
        <v>252</v>
      </c>
      <c r="D972" t="s">
        <v>254</v>
      </c>
      <c r="E972" t="s">
        <v>256</v>
      </c>
      <c r="F972" s="5" t="s">
        <v>41</v>
      </c>
      <c r="G972" s="7">
        <v>252838</v>
      </c>
      <c r="H972" s="7" cm="1">
        <f t="array" ref="H972">_xlfn.IFS(B972=2015,L972*$P$3,B972=2016,L972*$P$4,B972=2017,L972*$P$5,B972=2018,L972*$P$6,B972=2019,L972*$P$7,B972=2020,L972*$P$8,B972=2021,L972*$P$9,B972=2022,L972*$P$10)</f>
        <v>5145.9013247146377</v>
      </c>
      <c r="I972" s="7">
        <f t="shared" si="33"/>
        <v>257983.90132471465</v>
      </c>
      <c r="J972">
        <f>IFERROR(VLOOKUP(F972,'LEAID Match'!$A$2:$B$227,2,FALSE),"")</f>
        <v>3813400</v>
      </c>
      <c r="K972">
        <f t="shared" si="32"/>
        <v>8</v>
      </c>
      <c r="L972" cm="1">
        <f t="array" ref="L972">_xlfn.IFS(B972=2015,G972/$P$13,B972=2016,G972/$P$14,B972=2017,G972/$P$15,B972=2018,G972/$P$16,B972=2019,G972/$P$17,B972=2019,G972/$P$18,B972=2020,G972/$P$18,B972=2021,G972/$P$19,B972=2022,G972/$P$20)</f>
        <v>2.520030031691791E-3</v>
      </c>
    </row>
    <row r="973" spans="1:12" x14ac:dyDescent="0.2">
      <c r="A973">
        <v>3813440</v>
      </c>
      <c r="B973">
        <v>2015</v>
      </c>
      <c r="C973" t="s">
        <v>252</v>
      </c>
      <c r="D973" t="s">
        <v>254</v>
      </c>
      <c r="E973" t="s">
        <v>256</v>
      </c>
      <c r="F973" s="5" t="s">
        <v>42</v>
      </c>
      <c r="G973" s="7">
        <v>105625</v>
      </c>
      <c r="H973" s="7" cm="1">
        <f t="array" ref="H973">_xlfn.IFS(B973=2015,L973*$P$3,B973=2016,L973*$P$4,B973=2017,L973*$P$5,B973=2018,L973*$P$6,B973=2019,L973*$P$7,B973=2020,L973*$P$8,B973=2021,L973*$P$9,B973=2022,L973*$P$10)</f>
        <v>2388.0146667839804</v>
      </c>
      <c r="I973" s="7">
        <f t="shared" si="33"/>
        <v>108013.01466678399</v>
      </c>
      <c r="J973">
        <f>IFERROR(VLOOKUP(F973,'LEAID Match'!$A$2:$B$227,2,FALSE),"")</f>
        <v>3813440</v>
      </c>
      <c r="K973">
        <f t="shared" si="32"/>
        <v>8</v>
      </c>
      <c r="L973" cm="1">
        <f t="array" ref="L973">_xlfn.IFS(B973=2015,G973/$P$13,B973=2016,G973/$P$14,B973=2017,G973/$P$15,B973=2018,G973/$P$16,B973=2019,G973/$P$17,B973=2019,G973/$P$18,B973=2020,G973/$P$18,B973=2021,G973/$P$19,B973=2022,G973/$P$20)</f>
        <v>1.3468779846497352E-3</v>
      </c>
    </row>
    <row r="974" spans="1:12" x14ac:dyDescent="0.2">
      <c r="A974">
        <v>3813440</v>
      </c>
      <c r="B974">
        <v>2016</v>
      </c>
      <c r="C974" t="s">
        <v>252</v>
      </c>
      <c r="D974" t="s">
        <v>254</v>
      </c>
      <c r="E974" t="s">
        <v>256</v>
      </c>
      <c r="F974" s="5" t="s">
        <v>42</v>
      </c>
      <c r="G974" s="7">
        <v>119377</v>
      </c>
      <c r="H974" s="7" cm="1">
        <f t="array" ref="H974">_xlfn.IFS(B974=2015,L974*$P$3,B974=2016,L974*$P$4,B974=2017,L974*$P$5,B974=2018,L974*$P$6,B974=2019,L974*$P$7,B974=2020,L974*$P$8,B974=2021,L974*$P$9,B974=2022,L974*$P$10)</f>
        <v>4053.6912204815812</v>
      </c>
      <c r="I974" s="7">
        <f t="shared" si="33"/>
        <v>123430.69122048157</v>
      </c>
      <c r="J974">
        <f>IFERROR(VLOOKUP(F974,'LEAID Match'!$A$2:$B$227,2,FALSE),"")</f>
        <v>3813440</v>
      </c>
      <c r="K974">
        <f t="shared" si="32"/>
        <v>8</v>
      </c>
      <c r="L974" cm="1">
        <f t="array" ref="L974">_xlfn.IFS(B974=2015,G974/$P$13,B974=2016,G974/$P$14,B974=2017,G974/$P$15,B974=2018,G974/$P$16,B974=2019,G974/$P$17,B974=2019,G974/$P$18,B974=2020,G974/$P$18,B974=2021,G974/$P$19,B974=2022,G974/$P$20)</f>
        <v>1.4410562461719095E-3</v>
      </c>
    </row>
    <row r="975" spans="1:12" x14ac:dyDescent="0.2">
      <c r="A975">
        <v>3813440</v>
      </c>
      <c r="B975">
        <v>2017</v>
      </c>
      <c r="C975" t="s">
        <v>252</v>
      </c>
      <c r="D975" t="s">
        <v>254</v>
      </c>
      <c r="E975" t="s">
        <v>256</v>
      </c>
      <c r="F975" s="5" t="s">
        <v>42</v>
      </c>
      <c r="G975" s="7">
        <v>123268</v>
      </c>
      <c r="H975" s="7" cm="1">
        <f t="array" ref="H975">_xlfn.IFS(B975=2015,L975*$P$3,B975=2016,L975*$P$4,B975=2017,L975*$P$5,B975=2018,L975*$P$6,B975=2019,L975*$P$7,B975=2020,L975*$P$8,B975=2021,L975*$P$9,B975=2022,L975*$P$10)</f>
        <v>3994.8756004364127</v>
      </c>
      <c r="I975" s="7">
        <f t="shared" si="33"/>
        <v>127262.87560043641</v>
      </c>
      <c r="J975">
        <f>IFERROR(VLOOKUP(F975,'LEAID Match'!$A$2:$B$227,2,FALSE),"")</f>
        <v>3813440</v>
      </c>
      <c r="K975">
        <f t="shared" si="32"/>
        <v>8</v>
      </c>
      <c r="L975" cm="1">
        <f t="array" ref="L975">_xlfn.IFS(B975=2015,G975/$P$13,B975=2016,G975/$P$14,B975=2017,G975/$P$15,B975=2018,G975/$P$16,B975=2019,G975/$P$17,B975=2019,G975/$P$18,B975=2020,G975/$P$18,B975=2021,G975/$P$19,B975=2022,G975/$P$20)</f>
        <v>1.4323684476286887E-3</v>
      </c>
    </row>
    <row r="976" spans="1:12" x14ac:dyDescent="0.2">
      <c r="A976">
        <v>3813440</v>
      </c>
      <c r="B976" s="5">
        <v>2018</v>
      </c>
      <c r="C976" t="s">
        <v>252</v>
      </c>
      <c r="D976" t="s">
        <v>254</v>
      </c>
      <c r="E976" t="s">
        <v>256</v>
      </c>
      <c r="F976" s="5" t="s">
        <v>42</v>
      </c>
      <c r="G976" s="7">
        <v>129980</v>
      </c>
      <c r="H976" s="7" cm="1">
        <f t="array" ref="H976">_xlfn.IFS(B976=2015,L976*$P$3,B976=2016,L976*$P$4,B976=2017,L976*$P$5,B976=2018,L976*$P$6,B976=2019,L976*$P$7,B976=2020,L976*$P$8,B976=2021,L976*$P$9,B976=2022,L976*$P$10)</f>
        <v>3561.5804913268375</v>
      </c>
      <c r="I976" s="7">
        <f t="shared" si="33"/>
        <v>133541.58049132684</v>
      </c>
      <c r="J976">
        <f>IFERROR(VLOOKUP(F976,'LEAID Match'!$A$2:$B$227,2,FALSE),"")</f>
        <v>3813440</v>
      </c>
      <c r="K976">
        <f t="shared" si="32"/>
        <v>8</v>
      </c>
      <c r="L976" cm="1">
        <f t="array" ref="L976">_xlfn.IFS(B976=2015,G976/$P$13,B976=2016,G976/$P$14,B976=2017,G976/$P$15,B976=2018,G976/$P$16,B976=2019,G976/$P$17,B976=2019,G976/$P$18,B976=2020,G976/$P$18,B976=2021,G976/$P$19,B976=2022,G976/$P$20)</f>
        <v>1.4996128384534052E-3</v>
      </c>
    </row>
    <row r="977" spans="1:12" x14ac:dyDescent="0.2">
      <c r="A977">
        <v>3813440</v>
      </c>
      <c r="B977">
        <v>2019</v>
      </c>
      <c r="C977" t="s">
        <v>252</v>
      </c>
      <c r="D977" t="s">
        <v>254</v>
      </c>
      <c r="E977" t="s">
        <v>256</v>
      </c>
      <c r="F977" s="5" t="s">
        <v>42</v>
      </c>
      <c r="G977" s="7">
        <v>137970</v>
      </c>
      <c r="H977" s="7" cm="1">
        <f t="array" ref="H977">_xlfn.IFS(B977=2015,L977*$P$3,B977=2016,L977*$P$4,B977=2017,L977*$P$5,B977=2018,L977*$P$6,B977=2019,L977*$P$7,B977=2020,L977*$P$8,B977=2021,L977*$P$9,B977=2022,L977*$P$10)</f>
        <v>3202.259536823125</v>
      </c>
      <c r="I977" s="7">
        <f t="shared" si="33"/>
        <v>141172.25953682311</v>
      </c>
      <c r="J977">
        <f>IFERROR(VLOOKUP(F977,'LEAID Match'!$A$2:$B$227,2,FALSE),"")</f>
        <v>3813440</v>
      </c>
      <c r="K977">
        <f t="shared" si="32"/>
        <v>8</v>
      </c>
      <c r="L977" cm="1">
        <f t="array" ref="L977">_xlfn.IFS(B977=2015,G977/$P$13,B977=2016,G977/$P$14,B977=2017,G977/$P$15,B977=2018,G977/$P$16,B977=2019,G977/$P$17,B977=2019,G977/$P$18,B977=2020,G977/$P$18,B977=2021,G977/$P$19,B977=2022,G977/$P$20)</f>
        <v>1.5425142277568039E-3</v>
      </c>
    </row>
    <row r="978" spans="1:12" x14ac:dyDescent="0.2">
      <c r="A978">
        <v>3813440</v>
      </c>
      <c r="B978">
        <v>2020</v>
      </c>
      <c r="C978" t="s">
        <v>252</v>
      </c>
      <c r="D978" t="s">
        <v>254</v>
      </c>
      <c r="E978" t="s">
        <v>256</v>
      </c>
      <c r="F978" s="5" t="s">
        <v>42</v>
      </c>
      <c r="G978" s="7">
        <v>135068</v>
      </c>
      <c r="H978" s="7" cm="1">
        <f t="array" ref="H978">_xlfn.IFS(B978=2015,L978*$P$3,B978=2016,L978*$P$4,B978=2017,L978*$P$5,B978=2018,L978*$P$6,B978=2019,L978*$P$7,B978=2020,L978*$P$8,B978=2021,L978*$P$9,B978=2022,L978*$P$10)</f>
        <v>3388.5884429711618</v>
      </c>
      <c r="I978" s="7">
        <f t="shared" si="33"/>
        <v>138456.58844297117</v>
      </c>
      <c r="J978">
        <f>IFERROR(VLOOKUP(F978,'LEAID Match'!$A$2:$B$227,2,FALSE),"")</f>
        <v>3813440</v>
      </c>
      <c r="K978">
        <f t="shared" si="32"/>
        <v>8</v>
      </c>
      <c r="L978" cm="1">
        <f t="array" ref="L978">_xlfn.IFS(B978=2015,G978/$P$13,B978=2016,G978/$P$14,B978=2017,G978/$P$15,B978=2018,G978/$P$16,B978=2019,G978/$P$17,B978=2019,G978/$P$18,B978=2020,G978/$P$18,B978=2021,G978/$P$19,B978=2022,G978/$P$20)</f>
        <v>1.4518373791650222E-3</v>
      </c>
    </row>
    <row r="979" spans="1:12" x14ac:dyDescent="0.2">
      <c r="A979">
        <v>3813440</v>
      </c>
      <c r="B979" s="5">
        <v>2021</v>
      </c>
      <c r="C979" t="s">
        <v>252</v>
      </c>
      <c r="D979" t="s">
        <v>254</v>
      </c>
      <c r="E979" t="s">
        <v>256</v>
      </c>
      <c r="F979" s="5" t="s">
        <v>42</v>
      </c>
      <c r="G979" s="7">
        <v>136927</v>
      </c>
      <c r="H979" s="7" cm="1">
        <f t="array" ref="H979">_xlfn.IFS(B979=2015,L979*$P$3,B979=2016,L979*$P$4,B979=2017,L979*$P$5,B979=2018,L979*$P$6,B979=2019,L979*$P$7,B979=2020,L979*$P$8,B979=2021,L979*$P$9,B979=2022,L979*$P$10)</f>
        <v>3741.433528705254</v>
      </c>
      <c r="I979" s="7">
        <f t="shared" si="33"/>
        <v>140668.43352870527</v>
      </c>
      <c r="J979">
        <f>IFERROR(VLOOKUP(F979,'LEAID Match'!$A$2:$B$227,2,FALSE),"")</f>
        <v>3813440</v>
      </c>
      <c r="K979">
        <f t="shared" si="32"/>
        <v>8</v>
      </c>
      <c r="L979" cm="1">
        <f t="array" ref="L979">_xlfn.IFS(B979=2015,G979/$P$13,B979=2016,G979/$P$14,B979=2017,G979/$P$15,B979=2018,G979/$P$16,B979=2019,G979/$P$17,B979=2019,G979/$P$18,B979=2020,G979/$P$18,B979=2021,G979/$P$19,B979=2022,G979/$P$20)</f>
        <v>1.3934575525904112E-3</v>
      </c>
    </row>
    <row r="980" spans="1:12" x14ac:dyDescent="0.2">
      <c r="A980">
        <v>3813440</v>
      </c>
      <c r="B980">
        <v>2022</v>
      </c>
      <c r="C980" t="s">
        <v>252</v>
      </c>
      <c r="D980" t="s">
        <v>254</v>
      </c>
      <c r="E980" t="s">
        <v>256</v>
      </c>
      <c r="F980" s="5" t="s">
        <v>42</v>
      </c>
      <c r="G980" s="7">
        <v>135903</v>
      </c>
      <c r="H980" s="7" cm="1">
        <f t="array" ref="H980">_xlfn.IFS(B980=2015,L980*$P$3,B980=2016,L980*$P$4,B980=2017,L980*$P$5,B980=2018,L980*$P$6,B980=2019,L980*$P$7,B980=2020,L980*$P$8,B980=2021,L980*$P$9,B980=2022,L980*$P$10)</f>
        <v>2765.974369883852</v>
      </c>
      <c r="I980" s="7">
        <f t="shared" si="33"/>
        <v>138668.97436988386</v>
      </c>
      <c r="J980">
        <f>IFERROR(VLOOKUP(F980,'LEAID Match'!$A$2:$B$227,2,FALSE),"")</f>
        <v>3813440</v>
      </c>
      <c r="K980">
        <f t="shared" si="32"/>
        <v>8</v>
      </c>
      <c r="L980" cm="1">
        <f t="array" ref="L980">_xlfn.IFS(B980=2015,G980/$P$13,B980=2016,G980/$P$14,B980=2017,G980/$P$15,B980=2018,G980/$P$16,B980=2019,G980/$P$17,B980=2019,G980/$P$18,B980=2020,G980/$P$18,B980=2021,G980/$P$19,B980=2022,G980/$P$20)</f>
        <v>1.3545418069950304E-3</v>
      </c>
    </row>
    <row r="981" spans="1:12" x14ac:dyDescent="0.2">
      <c r="A981">
        <v>0</v>
      </c>
      <c r="B981">
        <v>2015</v>
      </c>
      <c r="C981" t="s">
        <v>252</v>
      </c>
      <c r="D981" t="s">
        <v>254</v>
      </c>
      <c r="E981" t="s">
        <v>256</v>
      </c>
      <c r="F981" s="5" t="s">
        <v>43</v>
      </c>
      <c r="G981" s="7">
        <v>18306</v>
      </c>
      <c r="H981" s="7" cm="1">
        <f t="array" ref="H981">_xlfn.IFS(B981=2015,L981*$P$3,B981=2016,L981*$P$4,B981=2017,L981*$P$5,B981=2018,L981*$P$6,B981=2019,L981*$P$7,B981=2020,L981*$P$8,B981=2021,L981*$P$9,B981=2022,L981*$P$10)</f>
        <v>413.86978925583475</v>
      </c>
      <c r="I981" s="7">
        <f t="shared" si="33"/>
        <v>18719.869789255834</v>
      </c>
      <c r="J981">
        <f>IFERROR(VLOOKUP(F981,'LEAID Match'!$A$2:$B$227,2,FALSE),"")</f>
        <v>0</v>
      </c>
      <c r="K981">
        <f t="shared" si="32"/>
        <v>130</v>
      </c>
      <c r="L981" cm="1">
        <f t="array" ref="L981">_xlfn.IFS(B981=2015,G981/$P$13,B981=2016,G981/$P$14,B981=2017,G981/$P$15,B981=2018,G981/$P$16,B981=2019,G981/$P$17,B981=2019,G981/$P$18,B981=2020,G981/$P$18,B981=2021,G981/$P$19,B981=2022,G981/$P$20)</f>
        <v>2.3342909715501115E-4</v>
      </c>
    </row>
    <row r="982" spans="1:12" x14ac:dyDescent="0.2">
      <c r="A982">
        <v>0</v>
      </c>
      <c r="B982">
        <v>2016</v>
      </c>
      <c r="C982" t="s">
        <v>252</v>
      </c>
      <c r="D982" t="s">
        <v>254</v>
      </c>
      <c r="E982" t="s">
        <v>256</v>
      </c>
      <c r="F982" s="5" t="s">
        <v>43</v>
      </c>
      <c r="G982" s="7">
        <v>18532</v>
      </c>
      <c r="H982" s="7" cm="1">
        <f t="array" ref="H982">_xlfn.IFS(B982=2015,L982*$P$3,B982=2016,L982*$P$4,B982=2017,L982*$P$5,B982=2018,L982*$P$6,B982=2019,L982*$P$7,B982=2020,L982*$P$8,B982=2021,L982*$P$9,B982=2022,L982*$P$10)</f>
        <v>629.29212241859545</v>
      </c>
      <c r="I982" s="7">
        <f t="shared" si="33"/>
        <v>19161.292122418596</v>
      </c>
      <c r="J982">
        <f>IFERROR(VLOOKUP(F982,'LEAID Match'!$A$2:$B$227,2,FALSE),"")</f>
        <v>0</v>
      </c>
      <c r="K982">
        <f t="shared" si="32"/>
        <v>130</v>
      </c>
      <c r="L982" cm="1">
        <f t="array" ref="L982">_xlfn.IFS(B982=2015,G982/$P$13,B982=2016,G982/$P$14,B982=2017,G982/$P$15,B982=2018,G982/$P$16,B982=2019,G982/$P$17,B982=2019,G982/$P$18,B982=2020,G982/$P$18,B982=2021,G982/$P$19,B982=2022,G982/$P$20)</f>
        <v>2.2370853978620527E-4</v>
      </c>
    </row>
    <row r="983" spans="1:12" x14ac:dyDescent="0.2">
      <c r="A983">
        <v>0</v>
      </c>
      <c r="B983">
        <v>2017</v>
      </c>
      <c r="C983" t="s">
        <v>252</v>
      </c>
      <c r="D983" t="s">
        <v>254</v>
      </c>
      <c r="E983" t="s">
        <v>256</v>
      </c>
      <c r="F983" s="5" t="s">
        <v>43</v>
      </c>
      <c r="G983" s="7">
        <v>18474</v>
      </c>
      <c r="H983" s="7" cm="1">
        <f t="array" ref="H983">_xlfn.IFS(B983=2015,L983*$P$3,B983=2016,L983*$P$4,B983=2017,L983*$P$5,B983=2018,L983*$P$6,B983=2019,L983*$P$7,B983=2020,L983*$P$8,B983=2021,L983*$P$9,B983=2022,L983*$P$10)</f>
        <v>598.70632964323499</v>
      </c>
      <c r="I983" s="7">
        <f t="shared" si="33"/>
        <v>19072.706329643235</v>
      </c>
      <c r="J983">
        <f>IFERROR(VLOOKUP(F983,'LEAID Match'!$A$2:$B$227,2,FALSE),"")</f>
        <v>0</v>
      </c>
      <c r="K983">
        <f t="shared" si="32"/>
        <v>130</v>
      </c>
      <c r="L983" cm="1">
        <f t="array" ref="L983">_xlfn.IFS(B983=2015,G983/$P$13,B983=2016,G983/$P$14,B983=2017,G983/$P$15,B983=2018,G983/$P$16,B983=2019,G983/$P$17,B983=2019,G983/$P$18,B983=2020,G983/$P$18,B983=2021,G983/$P$19,B983=2022,G983/$P$20)</f>
        <v>2.1466702389502868E-4</v>
      </c>
    </row>
    <row r="984" spans="1:12" x14ac:dyDescent="0.2">
      <c r="A984">
        <v>0</v>
      </c>
      <c r="B984" s="5">
        <v>2018</v>
      </c>
      <c r="C984" t="s">
        <v>252</v>
      </c>
      <c r="D984" t="s">
        <v>254</v>
      </c>
      <c r="E984" t="s">
        <v>256</v>
      </c>
      <c r="F984" s="5" t="s">
        <v>43</v>
      </c>
      <c r="G984" s="5"/>
      <c r="H984" s="7" cm="1">
        <f t="array" ref="H984">_xlfn.IFS(B984=2015,L984*$P$3,B984=2016,L984*$P$4,B984=2017,L984*$P$5,B984=2018,L984*$P$6,B984=2019,L984*$P$7,B984=2020,L984*$P$8,B984=2021,L984*$P$9,B984=2022,L984*$P$10)</f>
        <v>0</v>
      </c>
      <c r="I984" s="7">
        <f t="shared" si="33"/>
        <v>0</v>
      </c>
      <c r="J984">
        <f>IFERROR(VLOOKUP(F984,'LEAID Match'!$A$2:$B$227,2,FALSE),"")</f>
        <v>0</v>
      </c>
      <c r="K984">
        <f t="shared" si="32"/>
        <v>130</v>
      </c>
      <c r="L984" cm="1">
        <f t="array" ref="L984">_xlfn.IFS(B984=2015,G984/$P$13,B984=2016,G984/$P$14,B984=2017,G984/$P$15,B984=2018,G984/$P$16,B984=2019,G984/$P$17,B984=2019,G984/$P$18,B984=2020,G984/$P$18,B984=2021,G984/$P$19,B984=2022,G984/$P$20)</f>
        <v>0</v>
      </c>
    </row>
    <row r="985" spans="1:12" x14ac:dyDescent="0.2">
      <c r="A985">
        <v>0</v>
      </c>
      <c r="B985">
        <v>2019</v>
      </c>
      <c r="C985" t="s">
        <v>252</v>
      </c>
      <c r="D985" t="s">
        <v>254</v>
      </c>
      <c r="E985" t="s">
        <v>256</v>
      </c>
      <c r="F985" s="5" t="s">
        <v>43</v>
      </c>
      <c r="G985" s="5"/>
      <c r="H985" s="7" cm="1">
        <f t="array" ref="H985">_xlfn.IFS(B985=2015,L985*$P$3,B985=2016,L985*$P$4,B985=2017,L985*$P$5,B985=2018,L985*$P$6,B985=2019,L985*$P$7,B985=2020,L985*$P$8,B985=2021,L985*$P$9,B985=2022,L985*$P$10)</f>
        <v>0</v>
      </c>
      <c r="I985" s="7">
        <f t="shared" si="33"/>
        <v>0</v>
      </c>
      <c r="J985">
        <f>IFERROR(VLOOKUP(F985,'LEAID Match'!$A$2:$B$227,2,FALSE),"")</f>
        <v>0</v>
      </c>
      <c r="K985">
        <f t="shared" si="32"/>
        <v>130</v>
      </c>
      <c r="L985" cm="1">
        <f t="array" ref="L985">_xlfn.IFS(B985=2015,G985/$P$13,B985=2016,G985/$P$14,B985=2017,G985/$P$15,B985=2018,G985/$P$16,B985=2019,G985/$P$17,B985=2019,G985/$P$18,B985=2020,G985/$P$18,B985=2021,G985/$P$19,B985=2022,G985/$P$20)</f>
        <v>0</v>
      </c>
    </row>
    <row r="986" spans="1:12" x14ac:dyDescent="0.2">
      <c r="A986">
        <v>0</v>
      </c>
      <c r="B986">
        <v>2020</v>
      </c>
      <c r="C986" t="s">
        <v>252</v>
      </c>
      <c r="D986" t="s">
        <v>254</v>
      </c>
      <c r="E986" t="s">
        <v>256</v>
      </c>
      <c r="F986" s="5" t="s">
        <v>43</v>
      </c>
      <c r="G986" s="5"/>
      <c r="H986" s="7" cm="1">
        <f t="array" ref="H986">_xlfn.IFS(B986=2015,L986*$P$3,B986=2016,L986*$P$4,B986=2017,L986*$P$5,B986=2018,L986*$P$6,B986=2019,L986*$P$7,B986=2020,L986*$P$8,B986=2021,L986*$P$9,B986=2022,L986*$P$10)</f>
        <v>0</v>
      </c>
      <c r="I986" s="7">
        <f t="shared" si="33"/>
        <v>0</v>
      </c>
      <c r="J986">
        <f>IFERROR(VLOOKUP(F986,'LEAID Match'!$A$2:$B$227,2,FALSE),"")</f>
        <v>0</v>
      </c>
      <c r="K986">
        <f t="shared" si="32"/>
        <v>130</v>
      </c>
      <c r="L986" cm="1">
        <f t="array" ref="L986">_xlfn.IFS(B986=2015,G986/$P$13,B986=2016,G986/$P$14,B986=2017,G986/$P$15,B986=2018,G986/$P$16,B986=2019,G986/$P$17,B986=2019,G986/$P$18,B986=2020,G986/$P$18,B986=2021,G986/$P$19,B986=2022,G986/$P$20)</f>
        <v>0</v>
      </c>
    </row>
    <row r="987" spans="1:12" x14ac:dyDescent="0.2">
      <c r="A987">
        <v>0</v>
      </c>
      <c r="B987" s="5">
        <v>2021</v>
      </c>
      <c r="C987" t="s">
        <v>252</v>
      </c>
      <c r="D987" t="s">
        <v>254</v>
      </c>
      <c r="E987" t="s">
        <v>256</v>
      </c>
      <c r="F987" s="5" t="s">
        <v>43</v>
      </c>
      <c r="G987" s="5"/>
      <c r="H987" s="7" cm="1">
        <f t="array" ref="H987">_xlfn.IFS(B987=2015,L987*$P$3,B987=2016,L987*$P$4,B987=2017,L987*$P$5,B987=2018,L987*$P$6,B987=2019,L987*$P$7,B987=2020,L987*$P$8,B987=2021,L987*$P$9,B987=2022,L987*$P$10)</f>
        <v>0</v>
      </c>
      <c r="I987" s="7">
        <f t="shared" si="33"/>
        <v>0</v>
      </c>
      <c r="J987">
        <f>IFERROR(VLOOKUP(F987,'LEAID Match'!$A$2:$B$227,2,FALSE),"")</f>
        <v>0</v>
      </c>
      <c r="K987">
        <f t="shared" si="32"/>
        <v>130</v>
      </c>
      <c r="L987" cm="1">
        <f t="array" ref="L987">_xlfn.IFS(B987=2015,G987/$P$13,B987=2016,G987/$P$14,B987=2017,G987/$P$15,B987=2018,G987/$P$16,B987=2019,G987/$P$17,B987=2019,G987/$P$18,B987=2020,G987/$P$18,B987=2021,G987/$P$19,B987=2022,G987/$P$20)</f>
        <v>0</v>
      </c>
    </row>
    <row r="988" spans="1:12" x14ac:dyDescent="0.2">
      <c r="A988">
        <v>0</v>
      </c>
      <c r="B988">
        <v>2022</v>
      </c>
      <c r="C988" t="s">
        <v>252</v>
      </c>
      <c r="D988" t="s">
        <v>254</v>
      </c>
      <c r="E988" t="s">
        <v>256</v>
      </c>
      <c r="F988" s="5" t="s">
        <v>43</v>
      </c>
      <c r="G988" s="5"/>
      <c r="H988" s="7" cm="1">
        <f t="array" ref="H988">_xlfn.IFS(B988=2015,L988*$P$3,B988=2016,L988*$P$4,B988=2017,L988*$P$5,B988=2018,L988*$P$6,B988=2019,L988*$P$7,B988=2020,L988*$P$8,B988=2021,L988*$P$9,B988=2022,L988*$P$10)</f>
        <v>0</v>
      </c>
      <c r="I988" s="7">
        <f t="shared" si="33"/>
        <v>0</v>
      </c>
      <c r="J988">
        <f>IFERROR(VLOOKUP(F988,'LEAID Match'!$A$2:$B$227,2,FALSE),"")</f>
        <v>0</v>
      </c>
      <c r="K988">
        <f t="shared" si="32"/>
        <v>130</v>
      </c>
      <c r="L988" cm="1">
        <f t="array" ref="L988">_xlfn.IFS(B988=2015,G988/$P$13,B988=2016,G988/$P$14,B988=2017,G988/$P$15,B988=2018,G988/$P$16,B988=2019,G988/$P$17,B988=2019,G988/$P$18,B988=2020,G988/$P$18,B988=2021,G988/$P$19,B988=2022,G988/$P$20)</f>
        <v>0</v>
      </c>
    </row>
    <row r="989" spans="1:12" x14ac:dyDescent="0.2">
      <c r="A989">
        <v>3813510</v>
      </c>
      <c r="B989">
        <v>2015</v>
      </c>
      <c r="C989" t="s">
        <v>252</v>
      </c>
      <c r="D989" t="s">
        <v>254</v>
      </c>
      <c r="E989" t="s">
        <v>256</v>
      </c>
      <c r="F989" s="5" t="s">
        <v>185</v>
      </c>
      <c r="G989" s="7">
        <v>186022</v>
      </c>
      <c r="H989" s="7" cm="1">
        <f t="array" ref="H989">_xlfn.IFS(B989=2015,L989*$P$3,B989=2016,L989*$P$4,B989=2017,L989*$P$5,B989=2018,L989*$P$6,B989=2019,L989*$P$7,B989=2020,L989*$P$8,B989=2021,L989*$P$9,B989=2022,L989*$P$10)</f>
        <v>4205.6640411312628</v>
      </c>
      <c r="I989" s="7">
        <f t="shared" si="33"/>
        <v>190227.66404113127</v>
      </c>
      <c r="J989">
        <f>IFERROR(VLOOKUP(F989,'LEAID Match'!$A$2:$B$227,2,FALSE),"")</f>
        <v>3813510</v>
      </c>
      <c r="K989">
        <f t="shared" si="32"/>
        <v>8</v>
      </c>
      <c r="L989" cm="1">
        <f t="array" ref="L989">_xlfn.IFS(B989=2015,G989/$P$13,B989=2016,G989/$P$14,B989=2017,G989/$P$15,B989=2018,G989/$P$16,B989=2019,G989/$P$17,B989=2019,G989/$P$18,B989=2020,G989/$P$18,B989=2021,G989/$P$19,B989=2022,G989/$P$20)</f>
        <v>2.3720609369042656E-3</v>
      </c>
    </row>
    <row r="990" spans="1:12" x14ac:dyDescent="0.2">
      <c r="A990">
        <v>3813510</v>
      </c>
      <c r="B990">
        <v>2016</v>
      </c>
      <c r="C990" t="s">
        <v>252</v>
      </c>
      <c r="D990" t="s">
        <v>254</v>
      </c>
      <c r="E990" t="s">
        <v>256</v>
      </c>
      <c r="F990" s="5" t="s">
        <v>185</v>
      </c>
      <c r="G990" s="7">
        <v>189288</v>
      </c>
      <c r="H990" s="7" cm="1">
        <f t="array" ref="H990">_xlfn.IFS(B990=2015,L990*$P$3,B990=2016,L990*$P$4,B990=2017,L990*$P$5,B990=2018,L990*$P$6,B990=2019,L990*$P$7,B990=2020,L990*$P$8,B990=2021,L990*$P$9,B990=2022,L990*$P$10)</f>
        <v>6427.662813963474</v>
      </c>
      <c r="I990" s="7">
        <f t="shared" si="33"/>
        <v>195715.66281396348</v>
      </c>
      <c r="J990">
        <f>IFERROR(VLOOKUP(F990,'LEAID Match'!$A$2:$B$227,2,FALSE),"")</f>
        <v>3813510</v>
      </c>
      <c r="K990">
        <f t="shared" si="32"/>
        <v>8</v>
      </c>
      <c r="L990" cm="1">
        <f t="array" ref="L990">_xlfn.IFS(B990=2015,G990/$P$13,B990=2016,G990/$P$14,B990=2017,G990/$P$15,B990=2018,G990/$P$16,B990=2019,G990/$P$17,B990=2019,G990/$P$18,B990=2020,G990/$P$18,B990=2021,G990/$P$19,B990=2022,G990/$P$20)</f>
        <v>2.2849850031864466E-3</v>
      </c>
    </row>
    <row r="991" spans="1:12" x14ac:dyDescent="0.2">
      <c r="A991">
        <v>3813510</v>
      </c>
      <c r="B991">
        <v>2017</v>
      </c>
      <c r="C991" t="s">
        <v>252</v>
      </c>
      <c r="D991" t="s">
        <v>254</v>
      </c>
      <c r="E991" t="s">
        <v>256</v>
      </c>
      <c r="F991" s="5" t="s">
        <v>185</v>
      </c>
      <c r="G991" s="7">
        <v>191814</v>
      </c>
      <c r="H991" s="7" cm="1">
        <f t="array" ref="H991">_xlfn.IFS(B991=2015,L991*$P$3,B991=2016,L991*$P$4,B991=2017,L991*$P$5,B991=2018,L991*$P$6,B991=2019,L991*$P$7,B991=2020,L991*$P$8,B991=2021,L991*$P$9,B991=2022,L991*$P$10)</f>
        <v>6216.317847471445</v>
      </c>
      <c r="I991" s="7">
        <f t="shared" si="33"/>
        <v>198030.31784747145</v>
      </c>
      <c r="J991">
        <f>IFERROR(VLOOKUP(F991,'LEAID Match'!$A$2:$B$227,2,FALSE),"")</f>
        <v>3813510</v>
      </c>
      <c r="K991">
        <f t="shared" si="32"/>
        <v>8</v>
      </c>
      <c r="L991" cm="1">
        <f t="array" ref="L991">_xlfn.IFS(B991=2015,G991/$P$13,B991=2016,G991/$P$14,B991=2017,G991/$P$15,B991=2018,G991/$P$16,B991=2019,G991/$P$17,B991=2019,G991/$P$18,B991=2020,G991/$P$18,B991=2021,G991/$P$19,B991=2022,G991/$P$20)</f>
        <v>2.2288697911335407E-3</v>
      </c>
    </row>
    <row r="992" spans="1:12" x14ac:dyDescent="0.2">
      <c r="A992">
        <v>3813510</v>
      </c>
      <c r="B992" s="5">
        <v>2018</v>
      </c>
      <c r="C992" t="s">
        <v>252</v>
      </c>
      <c r="D992" t="s">
        <v>254</v>
      </c>
      <c r="E992" t="s">
        <v>256</v>
      </c>
      <c r="F992" s="5" t="s">
        <v>185</v>
      </c>
      <c r="G992" s="7">
        <v>198407</v>
      </c>
      <c r="H992" s="7" cm="1">
        <f t="array" ref="H992">_xlfn.IFS(B992=2015,L992*$P$3,B992=2016,L992*$P$4,B992=2017,L992*$P$5,B992=2018,L992*$P$6,B992=2019,L992*$P$7,B992=2020,L992*$P$8,B992=2021,L992*$P$9,B992=2022,L992*$P$10)</f>
        <v>5436.5479346259708</v>
      </c>
      <c r="I992" s="7">
        <f t="shared" si="33"/>
        <v>203843.54793462597</v>
      </c>
      <c r="J992">
        <f>IFERROR(VLOOKUP(F992,'LEAID Match'!$A$2:$B$227,2,FALSE),"")</f>
        <v>3813510</v>
      </c>
      <c r="K992">
        <f t="shared" si="32"/>
        <v>8</v>
      </c>
      <c r="L992" cm="1">
        <f t="array" ref="L992">_xlfn.IFS(B992=2015,G992/$P$13,B992=2016,G992/$P$14,B992=2017,G992/$P$15,B992=2018,G992/$P$16,B992=2019,G992/$P$17,B992=2019,G992/$P$18,B992=2020,G992/$P$18,B992=2021,G992/$P$19,B992=2022,G992/$P$20)</f>
        <v>2.2890728145793563E-3</v>
      </c>
    </row>
    <row r="993" spans="1:12" x14ac:dyDescent="0.2">
      <c r="A993">
        <v>3813510</v>
      </c>
      <c r="B993">
        <v>2019</v>
      </c>
      <c r="C993" t="s">
        <v>252</v>
      </c>
      <c r="D993" t="s">
        <v>254</v>
      </c>
      <c r="E993" t="s">
        <v>256</v>
      </c>
      <c r="F993" s="5" t="s">
        <v>185</v>
      </c>
      <c r="G993" s="7">
        <v>193013</v>
      </c>
      <c r="H993" s="7" cm="1">
        <f t="array" ref="H993">_xlfn.IFS(B993=2015,L993*$P$3,B993=2016,L993*$P$4,B993=2017,L993*$P$5,B993=2018,L993*$P$6,B993=2019,L993*$P$7,B993=2020,L993*$P$8,B993=2021,L993*$P$9,B993=2022,L993*$P$10)</f>
        <v>4479.7979269467414</v>
      </c>
      <c r="I993" s="7">
        <f t="shared" si="33"/>
        <v>197492.79792694675</v>
      </c>
      <c r="J993">
        <f>IFERROR(VLOOKUP(F993,'LEAID Match'!$A$2:$B$227,2,FALSE),"")</f>
        <v>3813510</v>
      </c>
      <c r="K993">
        <f t="shared" si="32"/>
        <v>8</v>
      </c>
      <c r="L993" cm="1">
        <f t="array" ref="L993">_xlfn.IFS(B993=2015,G993/$P$13,B993=2016,G993/$P$14,B993=2017,G993/$P$15,B993=2018,G993/$P$16,B993=2019,G993/$P$17,B993=2019,G993/$P$18,B993=2020,G993/$P$18,B993=2021,G993/$P$19,B993=2022,G993/$P$20)</f>
        <v>2.1578988087412048E-3</v>
      </c>
    </row>
    <row r="994" spans="1:12" x14ac:dyDescent="0.2">
      <c r="A994">
        <v>3813510</v>
      </c>
      <c r="B994">
        <v>2020</v>
      </c>
      <c r="C994" t="s">
        <v>252</v>
      </c>
      <c r="D994" t="s">
        <v>254</v>
      </c>
      <c r="E994" t="s">
        <v>256</v>
      </c>
      <c r="F994" s="5" t="s">
        <v>185</v>
      </c>
      <c r="G994" s="7">
        <v>164759</v>
      </c>
      <c r="H994" s="7" cm="1">
        <f t="array" ref="H994">_xlfn.IFS(B994=2015,L994*$P$3,B994=2016,L994*$P$4,B994=2017,L994*$P$5,B994=2018,L994*$P$6,B994=2019,L994*$P$7,B994=2020,L994*$P$8,B994=2021,L994*$P$9,B994=2022,L994*$P$10)</f>
        <v>4133.476791508615</v>
      </c>
      <c r="I994" s="7">
        <f t="shared" si="33"/>
        <v>168892.47679150861</v>
      </c>
      <c r="J994">
        <f>IFERROR(VLOOKUP(F994,'LEAID Match'!$A$2:$B$227,2,FALSE),"")</f>
        <v>3813510</v>
      </c>
      <c r="K994">
        <f t="shared" si="32"/>
        <v>8</v>
      </c>
      <c r="L994" cm="1">
        <f t="array" ref="L994">_xlfn.IFS(B994=2015,G994/$P$13,B994=2016,G994/$P$14,B994=2017,G994/$P$15,B994=2018,G994/$P$16,B994=2019,G994/$P$17,B994=2019,G994/$P$18,B994=2020,G994/$P$18,B994=2021,G994/$P$19,B994=2022,G994/$P$20)</f>
        <v>1.7709840580585326E-3</v>
      </c>
    </row>
    <row r="995" spans="1:12" x14ac:dyDescent="0.2">
      <c r="A995">
        <v>3813510</v>
      </c>
      <c r="B995" s="5">
        <v>2021</v>
      </c>
      <c r="C995" t="s">
        <v>252</v>
      </c>
      <c r="D995" t="s">
        <v>254</v>
      </c>
      <c r="E995" t="s">
        <v>256</v>
      </c>
      <c r="F995" s="5" t="s">
        <v>185</v>
      </c>
      <c r="G995" s="7">
        <v>206224</v>
      </c>
      <c r="H995" s="7" cm="1">
        <f t="array" ref="H995">_xlfn.IFS(B995=2015,L995*$P$3,B995=2016,L995*$P$4,B995=2017,L995*$P$5,B995=2018,L995*$P$6,B995=2019,L995*$P$7,B995=2020,L995*$P$8,B995=2021,L995*$P$9,B995=2022,L995*$P$10)</f>
        <v>5634.9250916452738</v>
      </c>
      <c r="I995" s="7">
        <f t="shared" si="33"/>
        <v>211858.92509164527</v>
      </c>
      <c r="J995">
        <f>IFERROR(VLOOKUP(F995,'LEAID Match'!$A$2:$B$227,2,FALSE),"")</f>
        <v>3813510</v>
      </c>
      <c r="K995">
        <f t="shared" si="32"/>
        <v>8</v>
      </c>
      <c r="L995" cm="1">
        <f t="array" ref="L995">_xlfn.IFS(B995=2015,G995/$P$13,B995=2016,G995/$P$14,B995=2017,G995/$P$15,B995=2018,G995/$P$16,B995=2019,G995/$P$17,B995=2019,G995/$P$18,B995=2020,G995/$P$18,B995=2021,G995/$P$19,B995=2022,G995/$P$20)</f>
        <v>2.0986685629963775E-3</v>
      </c>
    </row>
    <row r="996" spans="1:12" x14ac:dyDescent="0.2">
      <c r="A996">
        <v>3813510</v>
      </c>
      <c r="B996">
        <v>2022</v>
      </c>
      <c r="C996" t="s">
        <v>252</v>
      </c>
      <c r="D996" t="s">
        <v>254</v>
      </c>
      <c r="E996" t="s">
        <v>256</v>
      </c>
      <c r="F996" s="5" t="s">
        <v>185</v>
      </c>
      <c r="G996" s="7">
        <v>204906</v>
      </c>
      <c r="H996" s="7" cm="1">
        <f t="array" ref="H996">_xlfn.IFS(B996=2015,L996*$P$3,B996=2016,L996*$P$4,B996=2017,L996*$P$5,B996=2018,L996*$P$6,B996=2019,L996*$P$7,B996=2020,L996*$P$8,B996=2021,L996*$P$9,B996=2022,L996*$P$10)</f>
        <v>4170.362274824106</v>
      </c>
      <c r="I996" s="7">
        <f t="shared" si="33"/>
        <v>209076.36227482412</v>
      </c>
      <c r="J996">
        <f>IFERROR(VLOOKUP(F996,'LEAID Match'!$A$2:$B$227,2,FALSE),"")</f>
        <v>3813510</v>
      </c>
      <c r="K996">
        <f t="shared" si="32"/>
        <v>8</v>
      </c>
      <c r="L996" cm="1">
        <f t="array" ref="L996">_xlfn.IFS(B996=2015,G996/$P$13,B996=2016,G996/$P$14,B996=2017,G996/$P$15,B996=2018,G996/$P$16,B996=2019,G996/$P$17,B996=2019,G996/$P$18,B996=2020,G996/$P$18,B996=2021,G996/$P$19,B996=2022,G996/$P$20)</f>
        <v>2.0422929847326672E-3</v>
      </c>
    </row>
    <row r="997" spans="1:12" x14ac:dyDescent="0.2">
      <c r="A997">
        <v>3800015</v>
      </c>
      <c r="B997">
        <v>2015</v>
      </c>
      <c r="C997" t="s">
        <v>252</v>
      </c>
      <c r="D997" t="s">
        <v>254</v>
      </c>
      <c r="E997" t="s">
        <v>256</v>
      </c>
      <c r="F997" s="5" t="s">
        <v>44</v>
      </c>
      <c r="G997" s="7">
        <v>8696</v>
      </c>
      <c r="H997" s="7" cm="1">
        <f t="array" ref="H997">_xlfn.IFS(B997=2015,L997*$P$3,B997=2016,L997*$P$4,B997=2017,L997*$P$5,B997=2018,L997*$P$6,B997=2019,L997*$P$7,B997=2020,L997*$P$8,B997=2021,L997*$P$9,B997=2022,L997*$P$10)</f>
        <v>196.60284537139404</v>
      </c>
      <c r="I997" s="7">
        <f t="shared" si="33"/>
        <v>8892.6028453713934</v>
      </c>
      <c r="J997">
        <f>IFERROR(VLOOKUP(F997,'LEAID Match'!$A$2:$B$227,2,FALSE),"")</f>
        <v>3800015</v>
      </c>
      <c r="K997">
        <f t="shared" si="32"/>
        <v>8</v>
      </c>
      <c r="L997" cm="1">
        <f t="array" ref="L997">_xlfn.IFS(B997=2015,G997/$P$13,B997=2016,G997/$P$14,B997=2017,G997/$P$15,B997=2018,G997/$P$16,B997=2019,G997/$P$17,B997=2019,G997/$P$18,B997=2020,G997/$P$18,B997=2021,G997/$P$19,B997=2022,G997/$P$20)</f>
        <v>1.1088710962853583E-4</v>
      </c>
    </row>
    <row r="998" spans="1:12" x14ac:dyDescent="0.2">
      <c r="A998">
        <v>3800015</v>
      </c>
      <c r="B998">
        <v>2016</v>
      </c>
      <c r="C998" t="s">
        <v>252</v>
      </c>
      <c r="D998" t="s">
        <v>254</v>
      </c>
      <c r="E998" t="s">
        <v>256</v>
      </c>
      <c r="F998" s="5" t="s">
        <v>44</v>
      </c>
      <c r="G998" s="7">
        <v>9452</v>
      </c>
      <c r="H998" s="7" cm="1">
        <f t="array" ref="H998">_xlfn.IFS(B998=2015,L998*$P$3,B998=2016,L998*$P$4,B998=2017,L998*$P$5,B998=2018,L998*$P$6,B998=2019,L998*$P$7,B998=2020,L998*$P$8,B998=2021,L998*$P$9,B998=2022,L998*$P$10)</f>
        <v>320.9620732301189</v>
      </c>
      <c r="I998" s="7">
        <f t="shared" si="33"/>
        <v>9772.9620732301191</v>
      </c>
      <c r="J998">
        <f>IFERROR(VLOOKUP(F998,'LEAID Match'!$A$2:$B$227,2,FALSE),"")</f>
        <v>3800015</v>
      </c>
      <c r="K998">
        <f t="shared" si="32"/>
        <v>8</v>
      </c>
      <c r="L998" cm="1">
        <f t="array" ref="L998">_xlfn.IFS(B998=2015,G998/$P$13,B998=2016,G998/$P$14,B998=2017,G998/$P$15,B998=2018,G998/$P$16,B998=2019,G998/$P$17,B998=2019,G998/$P$18,B998=2020,G998/$P$18,B998=2021,G998/$P$19,B998=2022,G998/$P$20)</f>
        <v>1.1409956389268358E-4</v>
      </c>
    </row>
    <row r="999" spans="1:12" x14ac:dyDescent="0.2">
      <c r="A999">
        <v>3800015</v>
      </c>
      <c r="B999">
        <v>2017</v>
      </c>
      <c r="C999" t="s">
        <v>252</v>
      </c>
      <c r="D999" t="s">
        <v>254</v>
      </c>
      <c r="E999" t="s">
        <v>256</v>
      </c>
      <c r="F999" s="5" t="s">
        <v>44</v>
      </c>
      <c r="G999" s="7">
        <v>11071</v>
      </c>
      <c r="H999" s="7" cm="1">
        <f t="array" ref="H999">_xlfn.IFS(B999=2015,L999*$P$3,B999=2016,L999*$P$4,B999=2017,L999*$P$5,B999=2018,L999*$P$6,B999=2019,L999*$P$7,B999=2020,L999*$P$8,B999=2021,L999*$P$9,B999=2022,L999*$P$10)</f>
        <v>358.78952990582735</v>
      </c>
      <c r="I999" s="7">
        <f t="shared" si="33"/>
        <v>11429.789529905827</v>
      </c>
      <c r="J999">
        <f>IFERROR(VLOOKUP(F999,'LEAID Match'!$A$2:$B$227,2,FALSE),"")</f>
        <v>3800015</v>
      </c>
      <c r="K999">
        <f t="shared" si="32"/>
        <v>8</v>
      </c>
      <c r="L999" cm="1">
        <f t="array" ref="L999">_xlfn.IFS(B999=2015,G999/$P$13,B999=2016,G999/$P$14,B999=2017,G999/$P$15,B999=2018,G999/$P$16,B999=2019,G999/$P$17,B999=2019,G999/$P$18,B999=2020,G999/$P$18,B999=2021,G999/$P$19,B999=2022,G999/$P$20)</f>
        <v>1.2864450695798758E-4</v>
      </c>
    </row>
    <row r="1000" spans="1:12" x14ac:dyDescent="0.2">
      <c r="A1000">
        <v>3800015</v>
      </c>
      <c r="B1000" s="5">
        <v>2018</v>
      </c>
      <c r="C1000" t="s">
        <v>252</v>
      </c>
      <c r="D1000" t="s">
        <v>254</v>
      </c>
      <c r="E1000" t="s">
        <v>256</v>
      </c>
      <c r="F1000" s="5" t="s">
        <v>44</v>
      </c>
      <c r="G1000" s="7">
        <v>12080</v>
      </c>
      <c r="H1000" s="7" cm="1">
        <f t="array" ref="H1000">_xlfn.IFS(B1000=2015,L1000*$P$3,B1000=2016,L1000*$P$4,B1000=2017,L1000*$P$5,B1000=2018,L1000*$P$6,B1000=2019,L1000*$P$7,B1000=2020,L1000*$P$8,B1000=2021,L1000*$P$9,B1000=2022,L1000*$P$10)</f>
        <v>331.00394164662401</v>
      </c>
      <c r="I1000" s="7">
        <f t="shared" si="33"/>
        <v>12411.003941646624</v>
      </c>
      <c r="J1000">
        <f>IFERROR(VLOOKUP(F1000,'LEAID Match'!$A$2:$B$227,2,FALSE),"")</f>
        <v>3800015</v>
      </c>
      <c r="K1000">
        <f t="shared" si="32"/>
        <v>8</v>
      </c>
      <c r="L1000" cm="1">
        <f t="array" ref="L1000">_xlfn.IFS(B1000=2015,G1000/$P$13,B1000=2016,G1000/$P$14,B1000=2017,G1000/$P$15,B1000=2018,G1000/$P$16,B1000=2019,G1000/$P$17,B1000=2019,G1000/$P$18,B1000=2020,G1000/$P$18,B1000=2021,G1000/$P$19,B1000=2022,G1000/$P$20)</f>
        <v>1.3937008069331538E-4</v>
      </c>
    </row>
    <row r="1001" spans="1:12" x14ac:dyDescent="0.2">
      <c r="A1001">
        <v>3800015</v>
      </c>
      <c r="B1001">
        <v>2019</v>
      </c>
      <c r="C1001" t="s">
        <v>252</v>
      </c>
      <c r="D1001" t="s">
        <v>254</v>
      </c>
      <c r="E1001" t="s">
        <v>256</v>
      </c>
      <c r="F1001" s="5" t="s">
        <v>44</v>
      </c>
      <c r="G1001" s="7">
        <v>13409</v>
      </c>
      <c r="H1001" s="7" cm="1">
        <f t="array" ref="H1001">_xlfn.IFS(B1001=2015,L1001*$P$3,B1001=2016,L1001*$P$4,B1001=2017,L1001*$P$5,B1001=2018,L1001*$P$6,B1001=2019,L1001*$P$7,B1001=2020,L1001*$P$8,B1001=2021,L1001*$P$9,B1001=2022,L1001*$P$10)</f>
        <v>311.22054163413264</v>
      </c>
      <c r="I1001" s="7">
        <f t="shared" si="33"/>
        <v>13720.220541634133</v>
      </c>
      <c r="J1001">
        <f>IFERROR(VLOOKUP(F1001,'LEAID Match'!$A$2:$B$227,2,FALSE),"")</f>
        <v>3800015</v>
      </c>
      <c r="K1001">
        <f t="shared" si="32"/>
        <v>8</v>
      </c>
      <c r="L1001" cm="1">
        <f t="array" ref="L1001">_xlfn.IFS(B1001=2015,G1001/$P$13,B1001=2016,G1001/$P$14,B1001=2017,G1001/$P$15,B1001=2018,G1001/$P$16,B1001=2019,G1001/$P$17,B1001=2019,G1001/$P$18,B1001=2020,G1001/$P$18,B1001=2021,G1001/$P$19,B1001=2022,G1001/$P$20)</f>
        <v>1.4991355570044925E-4</v>
      </c>
    </row>
    <row r="1002" spans="1:12" x14ac:dyDescent="0.2">
      <c r="A1002">
        <v>3800015</v>
      </c>
      <c r="B1002">
        <v>2020</v>
      </c>
      <c r="C1002" t="s">
        <v>252</v>
      </c>
      <c r="D1002" t="s">
        <v>254</v>
      </c>
      <c r="E1002" t="s">
        <v>256</v>
      </c>
      <c r="F1002" s="5" t="s">
        <v>44</v>
      </c>
      <c r="G1002" s="7">
        <v>13804</v>
      </c>
      <c r="H1002" s="7" cm="1">
        <f t="array" ref="H1002">_xlfn.IFS(B1002=2015,L1002*$P$3,B1002=2016,L1002*$P$4,B1002=2017,L1002*$P$5,B1002=2018,L1002*$P$6,B1002=2019,L1002*$P$7,B1002=2020,L1002*$P$8,B1002=2021,L1002*$P$9,B1002=2022,L1002*$P$10)</f>
        <v>346.31500330777027</v>
      </c>
      <c r="I1002" s="7">
        <f t="shared" si="33"/>
        <v>14150.315003307771</v>
      </c>
      <c r="J1002">
        <f>IFERROR(VLOOKUP(F1002,'LEAID Match'!$A$2:$B$227,2,FALSE),"")</f>
        <v>3800015</v>
      </c>
      <c r="K1002">
        <f t="shared" si="32"/>
        <v>8</v>
      </c>
      <c r="L1002" cm="1">
        <f t="array" ref="L1002">_xlfn.IFS(B1002=2015,G1002/$P$13,B1002=2016,G1002/$P$14,B1002=2017,G1002/$P$15,B1002=2018,G1002/$P$16,B1002=2019,G1002/$P$17,B1002=2019,G1002/$P$18,B1002=2020,G1002/$P$18,B1002=2021,G1002/$P$19,B1002=2022,G1002/$P$20)</f>
        <v>1.4837832189707381E-4</v>
      </c>
    </row>
    <row r="1003" spans="1:12" x14ac:dyDescent="0.2">
      <c r="A1003">
        <v>3800015</v>
      </c>
      <c r="B1003" s="5">
        <v>2021</v>
      </c>
      <c r="C1003" t="s">
        <v>252</v>
      </c>
      <c r="D1003" t="s">
        <v>254</v>
      </c>
      <c r="E1003" t="s">
        <v>256</v>
      </c>
      <c r="F1003" s="5" t="s">
        <v>44</v>
      </c>
      <c r="G1003" s="7">
        <v>19349</v>
      </c>
      <c r="H1003" s="7" cm="1">
        <f t="array" ref="H1003">_xlfn.IFS(B1003=2015,L1003*$P$3,B1003=2016,L1003*$P$4,B1003=2017,L1003*$P$5,B1003=2018,L1003*$P$6,B1003=2019,L1003*$P$7,B1003=2020,L1003*$P$8,B1003=2021,L1003*$P$9,B1003=2022,L1003*$P$10)</f>
        <v>528.69775389016013</v>
      </c>
      <c r="I1003" s="7">
        <f t="shared" si="33"/>
        <v>19877.697753890159</v>
      </c>
      <c r="J1003">
        <f>IFERROR(VLOOKUP(F1003,'LEAID Match'!$A$2:$B$227,2,FALSE),"")</f>
        <v>3800015</v>
      </c>
      <c r="K1003">
        <f t="shared" si="32"/>
        <v>8</v>
      </c>
      <c r="L1003" cm="1">
        <f t="array" ref="L1003">_xlfn.IFS(B1003=2015,G1003/$P$13,B1003=2016,G1003/$P$14,B1003=2017,G1003/$P$15,B1003=2018,G1003/$P$16,B1003=2019,G1003/$P$17,B1003=2019,G1003/$P$18,B1003=2020,G1003/$P$18,B1003=2021,G1003/$P$19,B1003=2022,G1003/$P$20)</f>
        <v>1.9690791578776915E-4</v>
      </c>
    </row>
    <row r="1004" spans="1:12" x14ac:dyDescent="0.2">
      <c r="A1004">
        <v>3800015</v>
      </c>
      <c r="B1004">
        <v>2022</v>
      </c>
      <c r="C1004" t="s">
        <v>252</v>
      </c>
      <c r="D1004" t="s">
        <v>254</v>
      </c>
      <c r="E1004" t="s">
        <v>256</v>
      </c>
      <c r="F1004" s="5" t="s">
        <v>44</v>
      </c>
      <c r="G1004" s="7">
        <v>20560</v>
      </c>
      <c r="H1004" s="7" cm="1">
        <f t="array" ref="H1004">_xlfn.IFS(B1004=2015,L1004*$P$3,B1004=2016,L1004*$P$4,B1004=2017,L1004*$P$5,B1004=2018,L1004*$P$6,B1004=2019,L1004*$P$7,B1004=2020,L1004*$P$8,B1004=2021,L1004*$P$9,B1004=2022,L1004*$P$10)</f>
        <v>418.44869535486339</v>
      </c>
      <c r="I1004" s="7">
        <f t="shared" si="33"/>
        <v>20978.448695354862</v>
      </c>
      <c r="J1004">
        <f>IFERROR(VLOOKUP(F1004,'LEAID Match'!$A$2:$B$227,2,FALSE),"")</f>
        <v>3800015</v>
      </c>
      <c r="K1004">
        <f t="shared" si="32"/>
        <v>8</v>
      </c>
      <c r="L1004" cm="1">
        <f t="array" ref="L1004">_xlfn.IFS(B1004=2015,G1004/$P$13,B1004=2016,G1004/$P$14,B1004=2017,G1004/$P$15,B1004=2018,G1004/$P$16,B1004=2019,G1004/$P$17,B1004=2019,G1004/$P$18,B1004=2020,G1004/$P$18,B1004=2021,G1004/$P$19,B1004=2022,G1004/$P$20)</f>
        <v>2.0492100654008981E-4</v>
      </c>
    </row>
    <row r="1005" spans="1:12" x14ac:dyDescent="0.2">
      <c r="A1005">
        <v>0</v>
      </c>
      <c r="B1005">
        <v>2015</v>
      </c>
      <c r="C1005" t="s">
        <v>252</v>
      </c>
      <c r="D1005" t="s">
        <v>254</v>
      </c>
      <c r="E1005" t="s">
        <v>256</v>
      </c>
      <c r="F1005" s="5" t="s">
        <v>45</v>
      </c>
      <c r="G1005" s="7">
        <v>175531</v>
      </c>
      <c r="H1005" s="7" cm="1">
        <f t="array" ref="H1005">_xlfn.IFS(B1005=2015,L1005*$P$3,B1005=2016,L1005*$P$4,B1005=2017,L1005*$P$5,B1005=2018,L1005*$P$6,B1005=2019,L1005*$P$7,B1005=2020,L1005*$P$8,B1005=2021,L1005*$P$9,B1005=2022,L1005*$P$10)</f>
        <v>3968.4790766888418</v>
      </c>
      <c r="I1005" s="7">
        <f t="shared" si="33"/>
        <v>179499.47907668885</v>
      </c>
      <c r="J1005">
        <f>IFERROR(VLOOKUP(F1005,'LEAID Match'!$A$2:$B$227,2,FALSE),"")</f>
        <v>0</v>
      </c>
      <c r="K1005">
        <f t="shared" si="32"/>
        <v>130</v>
      </c>
      <c r="L1005" cm="1">
        <f t="array" ref="L1005">_xlfn.IFS(B1005=2015,G1005/$P$13,B1005=2016,G1005/$P$14,B1005=2017,G1005/$P$15,B1005=2018,G1005/$P$16,B1005=2019,G1005/$P$17,B1005=2019,G1005/$P$18,B1005=2020,G1005/$P$18,B1005=2021,G1005/$P$19,B1005=2022,G1005/$P$20)</f>
        <v>2.2382848712289012E-3</v>
      </c>
    </row>
    <row r="1006" spans="1:12" x14ac:dyDescent="0.2">
      <c r="A1006">
        <v>0</v>
      </c>
      <c r="B1006">
        <v>2016</v>
      </c>
      <c r="C1006" t="s">
        <v>252</v>
      </c>
      <c r="D1006" t="s">
        <v>254</v>
      </c>
      <c r="E1006" t="s">
        <v>256</v>
      </c>
      <c r="F1006" s="5" t="s">
        <v>45</v>
      </c>
      <c r="G1006" s="7">
        <v>168175</v>
      </c>
      <c r="H1006" s="7" cm="1">
        <f t="array" ref="H1006">_xlfn.IFS(B1006=2015,L1006*$P$3,B1006=2016,L1006*$P$4,B1006=2017,L1006*$P$5,B1006=2018,L1006*$P$6,B1006=2019,L1006*$P$7,B1006=2020,L1006*$P$8,B1006=2021,L1006*$P$9,B1006=2022,L1006*$P$10)</f>
        <v>5710.7275354925159</v>
      </c>
      <c r="I1006" s="7">
        <f t="shared" si="33"/>
        <v>173885.72753549251</v>
      </c>
      <c r="J1006">
        <f>IFERROR(VLOOKUP(F1006,'LEAID Match'!$A$2:$B$227,2,FALSE),"")</f>
        <v>0</v>
      </c>
      <c r="K1006">
        <f t="shared" si="32"/>
        <v>130</v>
      </c>
      <c r="L1006" cm="1">
        <f t="array" ref="L1006">_xlfn.IFS(B1006=2015,G1006/$P$13,B1006=2016,G1006/$P$14,B1006=2017,G1006/$P$15,B1006=2018,G1006/$P$16,B1006=2019,G1006/$P$17,B1006=2019,G1006/$P$18,B1006=2020,G1006/$P$18,B1006=2021,G1006/$P$19,B1006=2022,G1006/$P$20)</f>
        <v>2.0301199912877766E-3</v>
      </c>
    </row>
    <row r="1007" spans="1:12" x14ac:dyDescent="0.2">
      <c r="A1007">
        <v>0</v>
      </c>
      <c r="B1007">
        <v>2017</v>
      </c>
      <c r="C1007" t="s">
        <v>252</v>
      </c>
      <c r="D1007" t="s">
        <v>254</v>
      </c>
      <c r="E1007" t="s">
        <v>256</v>
      </c>
      <c r="F1007" s="5" t="s">
        <v>45</v>
      </c>
      <c r="G1007" s="7">
        <v>169595</v>
      </c>
      <c r="H1007" s="7" cm="1">
        <f t="array" ref="H1007">_xlfn.IFS(B1007=2015,L1007*$P$3,B1007=2016,L1007*$P$4,B1007=2017,L1007*$P$5,B1007=2018,L1007*$P$6,B1007=2019,L1007*$P$7,B1007=2020,L1007*$P$8,B1007=2021,L1007*$P$9,B1007=2022,L1007*$P$10)</f>
        <v>5496.2433677516747</v>
      </c>
      <c r="I1007" s="7">
        <f t="shared" si="33"/>
        <v>175091.24336775168</v>
      </c>
      <c r="J1007">
        <f>IFERROR(VLOOKUP(F1007,'LEAID Match'!$A$2:$B$227,2,FALSE),"")</f>
        <v>0</v>
      </c>
      <c r="K1007">
        <f t="shared" si="32"/>
        <v>130</v>
      </c>
      <c r="L1007" cm="1">
        <f t="array" ref="L1007">_xlfn.IFS(B1007=2015,G1007/$P$13,B1007=2016,G1007/$P$14,B1007=2017,G1007/$P$15,B1007=2018,G1007/$P$16,B1007=2019,G1007/$P$17,B1007=2019,G1007/$P$18,B1007=2020,G1007/$P$18,B1007=2021,G1007/$P$19,B1007=2022,G1007/$P$20)</f>
        <v>1.970686040785828E-3</v>
      </c>
    </row>
    <row r="1008" spans="1:12" x14ac:dyDescent="0.2">
      <c r="A1008">
        <v>0</v>
      </c>
      <c r="B1008" s="5">
        <v>2018</v>
      </c>
      <c r="C1008" t="s">
        <v>252</v>
      </c>
      <c r="D1008" t="s">
        <v>254</v>
      </c>
      <c r="E1008" t="s">
        <v>256</v>
      </c>
      <c r="F1008" s="5" t="s">
        <v>45</v>
      </c>
      <c r="G1008" s="7">
        <v>174704</v>
      </c>
      <c r="H1008" s="7" cm="1">
        <f t="array" ref="H1008">_xlfn.IFS(B1008=2015,L1008*$P$3,B1008=2016,L1008*$P$4,B1008=2017,L1008*$P$5,B1008=2018,L1008*$P$6,B1008=2019,L1008*$P$7,B1008=2020,L1008*$P$8,B1008=2021,L1008*$P$9,B1008=2022,L1008*$P$10)</f>
        <v>4787.0623030986599</v>
      </c>
      <c r="I1008" s="7">
        <f t="shared" si="33"/>
        <v>179491.06230309865</v>
      </c>
      <c r="J1008">
        <f>IFERROR(VLOOKUP(F1008,'LEAID Match'!$A$2:$B$227,2,FALSE),"")</f>
        <v>0</v>
      </c>
      <c r="K1008">
        <f t="shared" si="32"/>
        <v>130</v>
      </c>
      <c r="L1008" cm="1">
        <f t="array" ref="L1008">_xlfn.IFS(B1008=2015,G1008/$P$13,B1008=2016,G1008/$P$14,B1008=2017,G1008/$P$15,B1008=2018,G1008/$P$16,B1008=2019,G1008/$P$17,B1008=2019,G1008/$P$18,B1008=2020,G1008/$P$18,B1008=2021,G1008/$P$19,B1008=2022,G1008/$P$20)</f>
        <v>2.0156051802520674E-3</v>
      </c>
    </row>
    <row r="1009" spans="1:12" x14ac:dyDescent="0.2">
      <c r="A1009">
        <v>0</v>
      </c>
      <c r="B1009">
        <v>2019</v>
      </c>
      <c r="C1009" t="s">
        <v>252</v>
      </c>
      <c r="D1009" t="s">
        <v>254</v>
      </c>
      <c r="E1009" t="s">
        <v>256</v>
      </c>
      <c r="F1009" s="5" t="s">
        <v>45</v>
      </c>
      <c r="G1009" s="7">
        <v>179137</v>
      </c>
      <c r="H1009" s="7" cm="1">
        <f t="array" ref="H1009">_xlfn.IFS(B1009=2015,L1009*$P$3,B1009=2016,L1009*$P$4,B1009=2017,L1009*$P$5,B1009=2018,L1009*$P$6,B1009=2019,L1009*$P$7,B1009=2020,L1009*$P$8,B1009=2021,L1009*$P$9,B1009=2022,L1009*$P$10)</f>
        <v>4157.7383970999799</v>
      </c>
      <c r="I1009" s="7">
        <f t="shared" si="33"/>
        <v>183294.73839709998</v>
      </c>
      <c r="J1009">
        <f>IFERROR(VLOOKUP(F1009,'LEAID Match'!$A$2:$B$227,2,FALSE),"")</f>
        <v>0</v>
      </c>
      <c r="K1009">
        <f t="shared" si="32"/>
        <v>130</v>
      </c>
      <c r="L1009" cm="1">
        <f t="array" ref="L1009">_xlfn.IFS(B1009=2015,G1009/$P$13,B1009=2016,G1009/$P$14,B1009=2017,G1009/$P$15,B1009=2018,G1009/$P$16,B1009=2019,G1009/$P$17,B1009=2019,G1009/$P$18,B1009=2020,G1009/$P$18,B1009=2021,G1009/$P$19,B1009=2022,G1009/$P$20)</f>
        <v>2.0027641604527841E-3</v>
      </c>
    </row>
    <row r="1010" spans="1:12" x14ac:dyDescent="0.2">
      <c r="A1010">
        <v>0</v>
      </c>
      <c r="B1010">
        <v>2020</v>
      </c>
      <c r="C1010" t="s">
        <v>252</v>
      </c>
      <c r="D1010" t="s">
        <v>254</v>
      </c>
      <c r="E1010" t="s">
        <v>256</v>
      </c>
      <c r="F1010" s="5" t="s">
        <v>45</v>
      </c>
      <c r="G1010" s="7">
        <v>183622</v>
      </c>
      <c r="H1010" s="7" cm="1">
        <f t="array" ref="H1010">_xlfn.IFS(B1010=2015,L1010*$P$3,B1010=2016,L1010*$P$4,B1010=2017,L1010*$P$5,B1010=2018,L1010*$P$6,B1010=2019,L1010*$P$7,B1010=2020,L1010*$P$8,B1010=2021,L1010*$P$9,B1010=2022,L1010*$P$10)</f>
        <v>4606.7120789176615</v>
      </c>
      <c r="I1010" s="7">
        <f t="shared" si="33"/>
        <v>188228.71207891766</v>
      </c>
      <c r="J1010">
        <f>IFERROR(VLOOKUP(F1010,'LEAID Match'!$A$2:$B$227,2,FALSE),"")</f>
        <v>0</v>
      </c>
      <c r="K1010">
        <f t="shared" si="32"/>
        <v>130</v>
      </c>
      <c r="L1010" cm="1">
        <f t="array" ref="L1010">_xlfn.IFS(B1010=2015,G1010/$P$13,B1010=2016,G1010/$P$14,B1010=2017,G1010/$P$15,B1010=2018,G1010/$P$16,B1010=2019,G1010/$P$17,B1010=2019,G1010/$P$18,B1010=2020,G1010/$P$18,B1010=2021,G1010/$P$19,B1010=2022,G1010/$P$20)</f>
        <v>1.9737412506073957E-3</v>
      </c>
    </row>
    <row r="1011" spans="1:12" x14ac:dyDescent="0.2">
      <c r="A1011">
        <v>0</v>
      </c>
      <c r="B1011" s="5">
        <v>2021</v>
      </c>
      <c r="C1011" t="s">
        <v>252</v>
      </c>
      <c r="D1011" t="s">
        <v>254</v>
      </c>
      <c r="E1011" t="s">
        <v>256</v>
      </c>
      <c r="F1011" s="5" t="s">
        <v>45</v>
      </c>
      <c r="G1011" s="7">
        <v>254573</v>
      </c>
      <c r="H1011" s="7" cm="1">
        <f t="array" ref="H1011">_xlfn.IFS(B1011=2015,L1011*$P$3,B1011=2016,L1011*$P$4,B1011=2017,L1011*$P$5,B1011=2018,L1011*$P$6,B1011=2019,L1011*$P$7,B1011=2020,L1011*$P$8,B1011=2021,L1011*$P$9,B1011=2022,L1011*$P$10)</f>
        <v>6956.0273554746891</v>
      </c>
      <c r="I1011" s="7">
        <f t="shared" si="33"/>
        <v>261529.02735547468</v>
      </c>
      <c r="J1011">
        <f>IFERROR(VLOOKUP(F1011,'LEAID Match'!$A$2:$B$227,2,FALSE),"")</f>
        <v>0</v>
      </c>
      <c r="K1011">
        <f t="shared" si="32"/>
        <v>130</v>
      </c>
      <c r="L1011" cm="1">
        <f t="array" ref="L1011">_xlfn.IFS(B1011=2015,G1011/$P$13,B1011=2016,G1011/$P$14,B1011=2017,G1011/$P$15,B1011=2018,G1011/$P$16,B1011=2019,G1011/$P$17,B1011=2019,G1011/$P$18,B1011=2020,G1011/$P$18,B1011=2021,G1011/$P$19,B1011=2022,G1011/$P$20)</f>
        <v>2.5906992012941113E-3</v>
      </c>
    </row>
    <row r="1012" spans="1:12" x14ac:dyDescent="0.2">
      <c r="A1012">
        <v>0</v>
      </c>
      <c r="B1012">
        <v>2022</v>
      </c>
      <c r="C1012" t="s">
        <v>252</v>
      </c>
      <c r="D1012" t="s">
        <v>254</v>
      </c>
      <c r="E1012" t="s">
        <v>256</v>
      </c>
      <c r="F1012" s="5" t="s">
        <v>45</v>
      </c>
      <c r="G1012" s="7">
        <v>254132</v>
      </c>
      <c r="H1012" s="7" cm="1">
        <f t="array" ref="H1012">_xlfn.IFS(B1012=2015,L1012*$P$3,B1012=2016,L1012*$P$4,B1012=2017,L1012*$P$5,B1012=2018,L1012*$P$6,B1012=2019,L1012*$P$7,B1012=2020,L1012*$P$8,B1012=2021,L1012*$P$9,B1012=2022,L1012*$P$10)</f>
        <v>5172.2375412413494</v>
      </c>
      <c r="I1012" s="7">
        <f t="shared" si="33"/>
        <v>259304.23754124134</v>
      </c>
      <c r="J1012">
        <f>IFERROR(VLOOKUP(F1012,'LEAID Match'!$A$2:$B$227,2,FALSE),"")</f>
        <v>0</v>
      </c>
      <c r="K1012">
        <f t="shared" si="32"/>
        <v>130</v>
      </c>
      <c r="L1012" cm="1">
        <f t="array" ref="L1012">_xlfn.IFS(B1012=2015,G1012/$P$13,B1012=2016,G1012/$P$14,B1012=2017,G1012/$P$15,B1012=2018,G1012/$P$16,B1012=2019,G1012/$P$17,B1012=2019,G1012/$P$18,B1012=2020,G1012/$P$18,B1012=2021,G1012/$P$19,B1012=2022,G1012/$P$20)</f>
        <v>2.5329272973757832E-3</v>
      </c>
    </row>
    <row r="1013" spans="1:12" x14ac:dyDescent="0.2">
      <c r="A1013">
        <v>0</v>
      </c>
      <c r="B1013">
        <v>2015</v>
      </c>
      <c r="C1013" t="s">
        <v>252</v>
      </c>
      <c r="D1013" t="s">
        <v>254</v>
      </c>
      <c r="E1013" t="s">
        <v>256</v>
      </c>
      <c r="F1013" s="5" t="s">
        <v>46</v>
      </c>
      <c r="G1013" s="7">
        <v>14470</v>
      </c>
      <c r="H1013" s="7" cm="1">
        <f t="array" ref="H1013">_xlfn.IFS(B1013=2015,L1013*$P$3,B1013=2016,L1013*$P$4,B1013=2017,L1013*$P$5,B1013=2018,L1013*$P$6,B1013=2019,L1013*$P$7,B1013=2020,L1013*$P$8,B1013=2021,L1013*$P$9,B1013=2022,L1013*$P$10)</f>
        <v>327.1438790851048</v>
      </c>
      <c r="I1013" s="7">
        <f t="shared" si="33"/>
        <v>14797.143879085104</v>
      </c>
      <c r="J1013">
        <f>IFERROR(VLOOKUP(F1013,'LEAID Match'!$A$2:$B$227,2,FALSE),"")</f>
        <v>0</v>
      </c>
      <c r="K1013">
        <f t="shared" si="32"/>
        <v>130</v>
      </c>
      <c r="L1013" cm="1">
        <f t="array" ref="L1013">_xlfn.IFS(B1013=2015,G1013/$P$13,B1013=2016,G1013/$P$14,B1013=2017,G1013/$P$15,B1013=2018,G1013/$P$16,B1013=2019,G1013/$P$17,B1013=2019,G1013/$P$18,B1013=2020,G1013/$P$18,B1013=2021,G1013/$P$19,B1013=2022,G1013/$P$20)</f>
        <v>1.8451431420479685E-4</v>
      </c>
    </row>
    <row r="1014" spans="1:12" x14ac:dyDescent="0.2">
      <c r="A1014">
        <v>0</v>
      </c>
      <c r="B1014">
        <v>2016</v>
      </c>
      <c r="C1014" t="s">
        <v>252</v>
      </c>
      <c r="D1014" t="s">
        <v>254</v>
      </c>
      <c r="E1014" t="s">
        <v>256</v>
      </c>
      <c r="F1014" s="5" t="s">
        <v>46</v>
      </c>
      <c r="G1014" s="7">
        <v>23697</v>
      </c>
      <c r="H1014" s="7" cm="1">
        <f t="array" ref="H1014">_xlfn.IFS(B1014=2015,L1014*$P$3,B1014=2016,L1014*$P$4,B1014=2017,L1014*$P$5,B1014=2018,L1014*$P$6,B1014=2019,L1014*$P$7,B1014=2020,L1014*$P$8,B1014=2021,L1014*$P$9,B1014=2022,L1014*$P$10)</f>
        <v>804.68030568494805</v>
      </c>
      <c r="I1014" s="7">
        <f t="shared" si="33"/>
        <v>24501.680305684949</v>
      </c>
      <c r="J1014">
        <f>IFERROR(VLOOKUP(F1014,'LEAID Match'!$A$2:$B$227,2,FALSE),"")</f>
        <v>0</v>
      </c>
      <c r="K1014">
        <f t="shared" si="32"/>
        <v>130</v>
      </c>
      <c r="L1014" cm="1">
        <f t="array" ref="L1014">_xlfn.IFS(B1014=2015,G1014/$P$13,B1014=2016,G1014/$P$14,B1014=2017,G1014/$P$15,B1014=2018,G1014/$P$16,B1014=2019,G1014/$P$17,B1014=2019,G1014/$P$18,B1014=2020,G1014/$P$18,B1014=2021,G1014/$P$19,B1014=2022,G1014/$P$20)</f>
        <v>2.8605769843048276E-4</v>
      </c>
    </row>
    <row r="1015" spans="1:12" x14ac:dyDescent="0.2">
      <c r="A1015">
        <v>0</v>
      </c>
      <c r="B1015">
        <v>2017</v>
      </c>
      <c r="C1015" t="s">
        <v>252</v>
      </c>
      <c r="D1015" t="s">
        <v>254</v>
      </c>
      <c r="E1015" t="s">
        <v>256</v>
      </c>
      <c r="F1015" s="5" t="s">
        <v>46</v>
      </c>
      <c r="G1015" s="7">
        <v>33822</v>
      </c>
      <c r="H1015" s="7" cm="1">
        <f t="array" ref="H1015">_xlfn.IFS(B1015=2015,L1015*$P$3,B1015=2016,L1015*$P$4,B1015=2017,L1015*$P$5,B1015=2018,L1015*$P$6,B1015=2019,L1015*$P$7,B1015=2020,L1015*$P$8,B1015=2021,L1015*$P$9,B1015=2022,L1015*$P$10)</f>
        <v>1096.1050926271243</v>
      </c>
      <c r="I1015" s="7">
        <f t="shared" si="33"/>
        <v>34918.105092627127</v>
      </c>
      <c r="J1015">
        <f>IFERROR(VLOOKUP(F1015,'LEAID Match'!$A$2:$B$227,2,FALSE),"")</f>
        <v>0</v>
      </c>
      <c r="K1015">
        <f t="shared" si="32"/>
        <v>130</v>
      </c>
      <c r="L1015" cm="1">
        <f t="array" ref="L1015">_xlfn.IFS(B1015=2015,G1015/$P$13,B1015=2016,G1015/$P$14,B1015=2017,G1015/$P$15,B1015=2018,G1015/$P$16,B1015=2019,G1015/$P$17,B1015=2019,G1015/$P$18,B1015=2020,G1015/$P$18,B1015=2021,G1015/$P$19,B1015=2022,G1015/$P$20)</f>
        <v>3.9301007265224967E-4</v>
      </c>
    </row>
    <row r="1016" spans="1:12" x14ac:dyDescent="0.2">
      <c r="A1016">
        <v>0</v>
      </c>
      <c r="B1016" s="5">
        <v>2018</v>
      </c>
      <c r="C1016" t="s">
        <v>252</v>
      </c>
      <c r="D1016" t="s">
        <v>254</v>
      </c>
      <c r="E1016" t="s">
        <v>256</v>
      </c>
      <c r="F1016" s="5" t="s">
        <v>46</v>
      </c>
      <c r="G1016" s="7">
        <v>33822</v>
      </c>
      <c r="H1016" s="7" cm="1">
        <f t="array" ref="H1016">_xlfn.IFS(B1016=2015,L1016*$P$3,B1016=2016,L1016*$P$4,B1016=2017,L1016*$P$5,B1016=2018,L1016*$P$6,B1016=2019,L1016*$P$7,B1016=2020,L1016*$P$8,B1016=2021,L1016*$P$9,B1016=2022,L1016*$P$10)</f>
        <v>926.75623463345346</v>
      </c>
      <c r="I1016" s="7">
        <f t="shared" si="33"/>
        <v>34748.756234633453</v>
      </c>
      <c r="J1016">
        <f>IFERROR(VLOOKUP(F1016,'LEAID Match'!$A$2:$B$227,2,FALSE),"")</f>
        <v>0</v>
      </c>
      <c r="K1016">
        <f t="shared" si="32"/>
        <v>130</v>
      </c>
      <c r="L1016" cm="1">
        <f t="array" ref="L1016">_xlfn.IFS(B1016=2015,G1016/$P$13,B1016=2016,G1016/$P$14,B1016=2017,G1016/$P$15,B1016=2018,G1016/$P$16,B1016=2019,G1016/$P$17,B1016=2019,G1016/$P$18,B1016=2020,G1016/$P$18,B1016=2021,G1016/$P$19,B1016=2022,G1016/$P$20)</f>
        <v>3.9021315142461198E-4</v>
      </c>
    </row>
    <row r="1017" spans="1:12" x14ac:dyDescent="0.2">
      <c r="A1017">
        <v>0</v>
      </c>
      <c r="B1017">
        <v>2019</v>
      </c>
      <c r="C1017" t="s">
        <v>252</v>
      </c>
      <c r="D1017" t="s">
        <v>254</v>
      </c>
      <c r="E1017" t="s">
        <v>256</v>
      </c>
      <c r="F1017" s="5" t="s">
        <v>46</v>
      </c>
      <c r="G1017" s="7">
        <v>23618</v>
      </c>
      <c r="H1017" s="7" cm="1">
        <f t="array" ref="H1017">_xlfn.IFS(B1017=2015,L1017*$P$3,B1017=2016,L1017*$P$4,B1017=2017,L1017*$P$5,B1017=2018,L1017*$P$6,B1017=2019,L1017*$P$7,B1017=2020,L1017*$P$8,B1017=2021,L1017*$P$9,B1017=2022,L1017*$P$10)</f>
        <v>548.16964369564801</v>
      </c>
      <c r="I1017" s="7">
        <f t="shared" si="33"/>
        <v>24166.169643695648</v>
      </c>
      <c r="J1017">
        <f>IFERROR(VLOOKUP(F1017,'LEAID Match'!$A$2:$B$227,2,FALSE),"")</f>
        <v>0</v>
      </c>
      <c r="K1017">
        <f t="shared" si="32"/>
        <v>130</v>
      </c>
      <c r="L1017" cm="1">
        <f t="array" ref="L1017">_xlfn.IFS(B1017=2015,G1017/$P$13,B1017=2016,G1017/$P$14,B1017=2017,G1017/$P$15,B1017=2018,G1017/$P$16,B1017=2019,G1017/$P$17,B1017=2019,G1017/$P$18,B1017=2020,G1017/$P$18,B1017=2021,G1017/$P$19,B1017=2022,G1017/$P$20)</f>
        <v>2.6405088810002315E-4</v>
      </c>
    </row>
    <row r="1018" spans="1:12" x14ac:dyDescent="0.2">
      <c r="A1018">
        <v>0</v>
      </c>
      <c r="B1018">
        <v>2020</v>
      </c>
      <c r="C1018" t="s">
        <v>252</v>
      </c>
      <c r="D1018" t="s">
        <v>254</v>
      </c>
      <c r="E1018" t="s">
        <v>256</v>
      </c>
      <c r="F1018" s="5" t="s">
        <v>46</v>
      </c>
      <c r="G1018" s="7">
        <v>23911</v>
      </c>
      <c r="H1018" s="7" cm="1">
        <f t="array" ref="H1018">_xlfn.IFS(B1018=2015,L1018*$P$3,B1018=2016,L1018*$P$4,B1018=2017,L1018*$P$5,B1018=2018,L1018*$P$6,B1018=2019,L1018*$P$7,B1018=2020,L1018*$P$8,B1018=2021,L1018*$P$9,B1018=2022,L1018*$P$10)</f>
        <v>599.87960331006195</v>
      </c>
      <c r="I1018" s="7">
        <f t="shared" si="33"/>
        <v>24510.879603310063</v>
      </c>
      <c r="J1018">
        <f>IFERROR(VLOOKUP(F1018,'LEAID Match'!$A$2:$B$227,2,FALSE),"")</f>
        <v>0</v>
      </c>
      <c r="K1018">
        <f t="shared" si="32"/>
        <v>130</v>
      </c>
      <c r="L1018" cm="1">
        <f t="array" ref="L1018">_xlfn.IFS(B1018=2015,G1018/$P$13,B1018=2016,G1018/$P$14,B1018=2017,G1018/$P$15,B1018=2018,G1018/$P$16,B1018=2019,G1018/$P$17,B1018=2019,G1018/$P$18,B1018=2020,G1018/$P$18,B1018=2021,G1018/$P$19,B1018=2022,G1018/$P$20)</f>
        <v>2.5701782489719879E-4</v>
      </c>
    </row>
    <row r="1019" spans="1:12" x14ac:dyDescent="0.2">
      <c r="A1019">
        <v>0</v>
      </c>
      <c r="B1019" s="5">
        <v>2021</v>
      </c>
      <c r="C1019" t="s">
        <v>252</v>
      </c>
      <c r="D1019" t="s">
        <v>254</v>
      </c>
      <c r="E1019" t="s">
        <v>256</v>
      </c>
      <c r="F1019" s="5" t="s">
        <v>46</v>
      </c>
      <c r="G1019" s="7">
        <v>30551</v>
      </c>
      <c r="H1019" s="7" cm="1">
        <f t="array" ref="H1019">_xlfn.IFS(B1019=2015,L1019*$P$3,B1019=2016,L1019*$P$4,B1019=2017,L1019*$P$5,B1019=2018,L1019*$P$6,B1019=2019,L1019*$P$7,B1019=2020,L1019*$P$8,B1019=2021,L1019*$P$9,B1019=2022,L1019*$P$10)</f>
        <v>834.78448907428196</v>
      </c>
      <c r="I1019" s="7">
        <f t="shared" si="33"/>
        <v>31385.784489074282</v>
      </c>
      <c r="J1019">
        <f>IFERROR(VLOOKUP(F1019,'LEAID Match'!$A$2:$B$227,2,FALSE),"")</f>
        <v>0</v>
      </c>
      <c r="K1019">
        <f t="shared" si="32"/>
        <v>130</v>
      </c>
      <c r="L1019" cm="1">
        <f t="array" ref="L1019">_xlfn.IFS(B1019=2015,G1019/$P$13,B1019=2016,G1019/$P$14,B1019=2017,G1019/$P$15,B1019=2018,G1019/$P$16,B1019=2019,G1019/$P$17,B1019=2019,G1019/$P$18,B1019=2020,G1019/$P$18,B1019=2021,G1019/$P$19,B1019=2022,G1019/$P$20)</f>
        <v>3.1090669984144582E-4</v>
      </c>
    </row>
    <row r="1020" spans="1:12" x14ac:dyDescent="0.2">
      <c r="A1020">
        <v>0</v>
      </c>
      <c r="B1020">
        <v>2022</v>
      </c>
      <c r="C1020" t="s">
        <v>252</v>
      </c>
      <c r="D1020" t="s">
        <v>254</v>
      </c>
      <c r="E1020" t="s">
        <v>256</v>
      </c>
      <c r="F1020" s="5" t="s">
        <v>46</v>
      </c>
      <c r="G1020" s="7">
        <v>36767</v>
      </c>
      <c r="H1020" s="7" cm="1">
        <f t="array" ref="H1020">_xlfn.IFS(B1020=2015,L1020*$P$3,B1020=2016,L1020*$P$4,B1020=2017,L1020*$P$5,B1020=2018,L1020*$P$6,B1020=2019,L1020*$P$7,B1020=2020,L1020*$P$8,B1020=2021,L1020*$P$9,B1020=2022,L1020*$P$10)</f>
        <v>748.30268395487656</v>
      </c>
      <c r="I1020" s="7">
        <f t="shared" si="33"/>
        <v>37515.302683954877</v>
      </c>
      <c r="J1020">
        <f>IFERROR(VLOOKUP(F1020,'LEAID Match'!$A$2:$B$227,2,FALSE),"")</f>
        <v>0</v>
      </c>
      <c r="K1020">
        <f t="shared" si="32"/>
        <v>130</v>
      </c>
      <c r="L1020" cm="1">
        <f t="array" ref="L1020">_xlfn.IFS(B1020=2015,G1020/$P$13,B1020=2016,G1020/$P$14,B1020=2017,G1020/$P$15,B1020=2018,G1020/$P$16,B1020=2019,G1020/$P$17,B1020=2019,G1020/$P$18,B1020=2020,G1020/$P$18,B1020=2021,G1020/$P$19,B1020=2022,G1020/$P$20)</f>
        <v>3.6645577079083081E-4</v>
      </c>
    </row>
    <row r="1021" spans="1:12" x14ac:dyDescent="0.2">
      <c r="A1021">
        <v>0</v>
      </c>
      <c r="B1021">
        <v>2015</v>
      </c>
      <c r="C1021" t="s">
        <v>252</v>
      </c>
      <c r="D1021" t="s">
        <v>254</v>
      </c>
      <c r="E1021" t="s">
        <v>256</v>
      </c>
      <c r="F1021" s="5" t="s">
        <v>189</v>
      </c>
      <c r="G1021" s="7">
        <v>83281</v>
      </c>
      <c r="H1021" s="7" cm="1">
        <f t="array" ref="H1021">_xlfn.IFS(B1021=2015,L1021*$P$3,B1021=2016,L1021*$P$4,B1021=2017,L1021*$P$5,B1021=2018,L1021*$P$6,B1021=2019,L1021*$P$7,B1021=2020,L1021*$P$8,B1021=2021,L1021*$P$9,B1021=2022,L1021*$P$10)</f>
        <v>1882.8520659354954</v>
      </c>
      <c r="I1021" s="7">
        <f t="shared" si="33"/>
        <v>85163.852065935498</v>
      </c>
      <c r="J1021">
        <f>IFERROR(VLOOKUP(F1021,'LEAID Match'!$A$2:$B$227,2,FALSE),"")</f>
        <v>0</v>
      </c>
      <c r="K1021">
        <f t="shared" si="32"/>
        <v>130</v>
      </c>
      <c r="L1021" cm="1">
        <f t="array" ref="L1021">_xlfn.IFS(B1021=2015,G1021/$P$13,B1021=2016,G1021/$P$14,B1021=2017,G1021/$P$15,B1021=2018,G1021/$P$16,B1021=2019,G1021/$P$17,B1021=2019,G1021/$P$18,B1021=2020,G1021/$P$18,B1021=2021,G1021/$P$19,B1021=2022,G1021/$P$20)</f>
        <v>1.0619583000200199E-3</v>
      </c>
    </row>
    <row r="1022" spans="1:12" x14ac:dyDescent="0.2">
      <c r="A1022">
        <v>0</v>
      </c>
      <c r="B1022">
        <v>2016</v>
      </c>
      <c r="C1022" t="s">
        <v>252</v>
      </c>
      <c r="D1022" t="s">
        <v>254</v>
      </c>
      <c r="E1022" t="s">
        <v>256</v>
      </c>
      <c r="F1022" s="5" t="s">
        <v>189</v>
      </c>
      <c r="G1022" s="7">
        <v>90932</v>
      </c>
      <c r="H1022" s="7" cm="1">
        <f t="array" ref="H1022">_xlfn.IFS(B1022=2015,L1022*$P$3,B1022=2016,L1022*$P$4,B1022=2017,L1022*$P$5,B1022=2018,L1022*$P$6,B1022=2019,L1022*$P$7,B1022=2020,L1022*$P$8,B1022=2021,L1022*$P$9,B1022=2022,L1022*$P$10)</f>
        <v>3087.7828229963156</v>
      </c>
      <c r="I1022" s="7">
        <f t="shared" si="33"/>
        <v>94019.78282299632</v>
      </c>
      <c r="J1022">
        <f>IFERROR(VLOOKUP(F1022,'LEAID Match'!$A$2:$B$227,2,FALSE),"")</f>
        <v>0</v>
      </c>
      <c r="K1022">
        <f t="shared" si="32"/>
        <v>130</v>
      </c>
      <c r="L1022" cm="1">
        <f t="array" ref="L1022">_xlfn.IFS(B1022=2015,G1022/$P$13,B1022=2016,G1022/$P$14,B1022=2017,G1022/$P$15,B1022=2018,G1022/$P$16,B1022=2019,G1022/$P$17,B1022=2019,G1022/$P$18,B1022=2020,G1022/$P$18,B1022=2021,G1022/$P$19,B1022=2022,G1022/$P$20)</f>
        <v>1.0976831933865324E-3</v>
      </c>
    </row>
    <row r="1023" spans="1:12" x14ac:dyDescent="0.2">
      <c r="A1023">
        <v>0</v>
      </c>
      <c r="B1023">
        <v>2017</v>
      </c>
      <c r="C1023" t="s">
        <v>252</v>
      </c>
      <c r="D1023" t="s">
        <v>254</v>
      </c>
      <c r="E1023" t="s">
        <v>256</v>
      </c>
      <c r="F1023" s="5" t="s">
        <v>189</v>
      </c>
      <c r="G1023" s="7">
        <v>87740</v>
      </c>
      <c r="H1023" s="7" cm="1">
        <f t="array" ref="H1023">_xlfn.IFS(B1023=2015,L1023*$P$3,B1023=2016,L1023*$P$4,B1023=2017,L1023*$P$5,B1023=2018,L1023*$P$6,B1023=2019,L1023*$P$7,B1023=2020,L1023*$P$8,B1023=2021,L1023*$P$9,B1023=2022,L1023*$P$10)</f>
        <v>2843.4823732216864</v>
      </c>
      <c r="I1023" s="7">
        <f t="shared" si="33"/>
        <v>90583.48237322169</v>
      </c>
      <c r="J1023">
        <f>IFERROR(VLOOKUP(F1023,'LEAID Match'!$A$2:$B$227,2,FALSE),"")</f>
        <v>0</v>
      </c>
      <c r="K1023">
        <f t="shared" si="32"/>
        <v>130</v>
      </c>
      <c r="L1023" cm="1">
        <f t="array" ref="L1023">_xlfn.IFS(B1023=2015,G1023/$P$13,B1023=2016,G1023/$P$14,B1023=2017,G1023/$P$15,B1023=2018,G1023/$P$16,B1023=2019,G1023/$P$17,B1023=2019,G1023/$P$18,B1023=2020,G1023/$P$18,B1023=2021,G1023/$P$19,B1023=2022,G1023/$P$20)</f>
        <v>1.0195347340343085E-3</v>
      </c>
    </row>
    <row r="1024" spans="1:12" x14ac:dyDescent="0.2">
      <c r="A1024">
        <v>0</v>
      </c>
      <c r="B1024" s="5">
        <v>2018</v>
      </c>
      <c r="C1024" t="s">
        <v>252</v>
      </c>
      <c r="D1024" t="s">
        <v>254</v>
      </c>
      <c r="E1024" t="s">
        <v>256</v>
      </c>
      <c r="F1024" s="5" t="s">
        <v>189</v>
      </c>
      <c r="G1024" s="7">
        <v>91635</v>
      </c>
      <c r="H1024" s="7" cm="1">
        <f t="array" ref="H1024">_xlfn.IFS(B1024=2015,L1024*$P$3,B1024=2016,L1024*$P$4,B1024=2017,L1024*$P$5,B1024=2018,L1024*$P$6,B1024=2019,L1024*$P$7,B1024=2020,L1024*$P$8,B1024=2021,L1024*$P$9,B1024=2022,L1024*$P$10)</f>
        <v>2510.8895854957282</v>
      </c>
      <c r="I1024" s="7">
        <f t="shared" si="33"/>
        <v>94145.889585495723</v>
      </c>
      <c r="J1024">
        <f>IFERROR(VLOOKUP(F1024,'LEAID Match'!$A$2:$B$227,2,FALSE),"")</f>
        <v>0</v>
      </c>
      <c r="K1024">
        <f t="shared" si="32"/>
        <v>130</v>
      </c>
      <c r="L1024" cm="1">
        <f t="array" ref="L1024">_xlfn.IFS(B1024=2015,G1024/$P$13,B1024=2016,G1024/$P$14,B1024=2017,G1024/$P$15,B1024=2018,G1024/$P$16,B1024=2019,G1024/$P$17,B1024=2019,G1024/$P$18,B1024=2020,G1024/$P$18,B1024=2021,G1024/$P$19,B1024=2022,G1024/$P$20)</f>
        <v>1.0572166675771487E-3</v>
      </c>
    </row>
    <row r="1025" spans="1:12" x14ac:dyDescent="0.2">
      <c r="A1025">
        <v>0</v>
      </c>
      <c r="B1025">
        <v>2019</v>
      </c>
      <c r="C1025" t="s">
        <v>252</v>
      </c>
      <c r="D1025" t="s">
        <v>254</v>
      </c>
      <c r="E1025" t="s">
        <v>256</v>
      </c>
      <c r="F1025" s="5" t="s">
        <v>189</v>
      </c>
      <c r="G1025" s="7">
        <v>87271</v>
      </c>
      <c r="H1025" s="7" cm="1">
        <f t="array" ref="H1025">_xlfn.IFS(B1025=2015,L1025*$P$3,B1025=2016,L1025*$P$4,B1025=2017,L1025*$P$5,B1025=2018,L1025*$P$6,B1025=2019,L1025*$P$7,B1025=2020,L1025*$P$8,B1025=2021,L1025*$P$9,B1025=2022,L1025*$P$10)</f>
        <v>2025.544625919337</v>
      </c>
      <c r="I1025" s="7">
        <f t="shared" si="33"/>
        <v>89296.544625919341</v>
      </c>
      <c r="J1025">
        <f>IFERROR(VLOOKUP(F1025,'LEAID Match'!$A$2:$B$227,2,FALSE),"")</f>
        <v>0</v>
      </c>
      <c r="K1025">
        <f t="shared" si="32"/>
        <v>130</v>
      </c>
      <c r="L1025" cm="1">
        <f t="array" ref="L1025">_xlfn.IFS(B1025=2015,G1025/$P$13,B1025=2016,G1025/$P$14,B1025=2017,G1025/$P$15,B1025=2018,G1025/$P$16,B1025=2019,G1025/$P$17,B1025=2019,G1025/$P$18,B1025=2020,G1025/$P$18,B1025=2021,G1025/$P$19,B1025=2022,G1025/$P$20)</f>
        <v>9.7569586990334158E-4</v>
      </c>
    </row>
    <row r="1026" spans="1:12" x14ac:dyDescent="0.2">
      <c r="A1026">
        <v>0</v>
      </c>
      <c r="B1026">
        <v>2020</v>
      </c>
      <c r="C1026" t="s">
        <v>252</v>
      </c>
      <c r="D1026" t="s">
        <v>254</v>
      </c>
      <c r="E1026" t="s">
        <v>256</v>
      </c>
      <c r="F1026" s="5" t="s">
        <v>189</v>
      </c>
      <c r="G1026" s="7">
        <v>90303</v>
      </c>
      <c r="H1026" s="7" cm="1">
        <f t="array" ref="H1026">_xlfn.IFS(B1026=2015,L1026*$P$3,B1026=2016,L1026*$P$4,B1026=2017,L1026*$P$5,B1026=2018,L1026*$P$6,B1026=2019,L1026*$P$7,B1026=2020,L1026*$P$8,B1026=2021,L1026*$P$9,B1026=2022,L1026*$P$10)</f>
        <v>2265.5233080050407</v>
      </c>
      <c r="I1026" s="7">
        <f t="shared" si="33"/>
        <v>92568.523308005038</v>
      </c>
      <c r="J1026">
        <f>IFERROR(VLOOKUP(F1026,'LEAID Match'!$A$2:$B$227,2,FALSE),"")</f>
        <v>0</v>
      </c>
      <c r="K1026">
        <f t="shared" ref="K1026:K1089" si="34">COUNTIF($A$2:$A$1757,A1026)</f>
        <v>130</v>
      </c>
      <c r="L1026" cm="1">
        <f t="array" ref="L1026">_xlfn.IFS(B1026=2015,G1026/$P$13,B1026=2016,G1026/$P$14,B1026=2017,G1026/$P$15,B1026=2018,G1026/$P$16,B1026=2019,G1026/$P$17,B1026=2019,G1026/$P$18,B1026=2020,G1026/$P$18,B1026=2021,G1026/$P$19,B1026=2022,G1026/$P$20)</f>
        <v>9.7066122879393339E-4</v>
      </c>
    </row>
    <row r="1027" spans="1:12" x14ac:dyDescent="0.2">
      <c r="A1027">
        <v>0</v>
      </c>
      <c r="B1027" s="5">
        <v>2021</v>
      </c>
      <c r="C1027" t="s">
        <v>252</v>
      </c>
      <c r="D1027" t="s">
        <v>254</v>
      </c>
      <c r="E1027" t="s">
        <v>256</v>
      </c>
      <c r="F1027" s="5" t="s">
        <v>189</v>
      </c>
      <c r="G1027" s="7">
        <v>87508</v>
      </c>
      <c r="H1027" s="7" cm="1">
        <f t="array" ref="H1027">_xlfn.IFS(B1027=2015,L1027*$P$3,B1027=2016,L1027*$P$4,B1027=2017,L1027*$P$5,B1027=2018,L1027*$P$6,B1027=2019,L1027*$P$7,B1027=2020,L1027*$P$8,B1027=2021,L1027*$P$9,B1027=2022,L1027*$P$10)</f>
        <v>2391.0942708884249</v>
      </c>
      <c r="I1027" s="7">
        <f t="shared" ref="I1027:I1090" si="35">SUM(G1027:H1027)</f>
        <v>89899.094270888425</v>
      </c>
      <c r="J1027">
        <f>IFERROR(VLOOKUP(F1027,'LEAID Match'!$A$2:$B$227,2,FALSE),"")</f>
        <v>0</v>
      </c>
      <c r="K1027">
        <f t="shared" si="34"/>
        <v>130</v>
      </c>
      <c r="L1027" cm="1">
        <f t="array" ref="L1027">_xlfn.IFS(B1027=2015,G1027/$P$13,B1027=2016,G1027/$P$14,B1027=2017,G1027/$P$15,B1027=2018,G1027/$P$16,B1027=2019,G1027/$P$17,B1027=2019,G1027/$P$18,B1027=2020,G1027/$P$18,B1027=2021,G1027/$P$19,B1027=2022,G1027/$P$20)</f>
        <v>8.9053790349662013E-4</v>
      </c>
    </row>
    <row r="1028" spans="1:12" x14ac:dyDescent="0.2">
      <c r="A1028">
        <v>0</v>
      </c>
      <c r="B1028">
        <v>2022</v>
      </c>
      <c r="C1028" t="s">
        <v>252</v>
      </c>
      <c r="D1028" t="s">
        <v>254</v>
      </c>
      <c r="E1028" t="s">
        <v>256</v>
      </c>
      <c r="F1028" s="5" t="s">
        <v>189</v>
      </c>
      <c r="G1028" s="7">
        <v>89319</v>
      </c>
      <c r="H1028" s="7" cm="1">
        <f t="array" ref="H1028">_xlfn.IFS(B1028=2015,L1028*$P$3,B1028=2016,L1028*$P$4,B1028=2017,L1028*$P$5,B1028=2018,L1028*$P$6,B1028=2019,L1028*$P$7,B1028=2020,L1028*$P$8,B1028=2021,L1028*$P$9,B1028=2022,L1028*$P$10)</f>
        <v>1817.8705749222297</v>
      </c>
      <c r="I1028" s="7">
        <f t="shared" si="35"/>
        <v>91136.870574922228</v>
      </c>
      <c r="J1028">
        <f>IFERROR(VLOOKUP(F1028,'LEAID Match'!$A$2:$B$227,2,FALSE),"")</f>
        <v>0</v>
      </c>
      <c r="K1028">
        <f t="shared" si="34"/>
        <v>130</v>
      </c>
      <c r="L1028" cm="1">
        <f t="array" ref="L1028">_xlfn.IFS(B1028=2015,G1028/$P$13,B1028=2016,G1028/$P$14,B1028=2017,G1028/$P$15,B1028=2018,G1028/$P$16,B1028=2019,G1028/$P$17,B1028=2019,G1028/$P$18,B1028=2020,G1028/$P$18,B1028=2021,G1028/$P$19,B1028=2022,G1028/$P$20)</f>
        <v>8.9024024237131718E-4</v>
      </c>
    </row>
    <row r="1029" spans="1:12" x14ac:dyDescent="0.2">
      <c r="A1029">
        <v>3800006</v>
      </c>
      <c r="B1029">
        <v>2015</v>
      </c>
      <c r="C1029" t="s">
        <v>252</v>
      </c>
      <c r="D1029" t="s">
        <v>254</v>
      </c>
      <c r="E1029" t="s">
        <v>256</v>
      </c>
      <c r="F1029" s="5" t="s">
        <v>47</v>
      </c>
      <c r="G1029" s="7">
        <v>112289</v>
      </c>
      <c r="H1029" s="7" cm="1">
        <f t="array" ref="H1029">_xlfn.IFS(B1029=2015,L1029*$P$3,B1029=2016,L1029*$P$4,B1029=2017,L1029*$P$5,B1029=2018,L1029*$P$6,B1029=2019,L1029*$P$7,B1029=2020,L1029*$P$8,B1029=2021,L1029*$P$9,B1029=2022,L1029*$P$10)</f>
        <v>2538.677196861599</v>
      </c>
      <c r="I1029" s="7">
        <f t="shared" si="35"/>
        <v>114827.67719686159</v>
      </c>
      <c r="J1029">
        <f>IFERROR(VLOOKUP(F1029,'LEAID Match'!$A$2:$B$227,2,FALSE),"")</f>
        <v>3800006</v>
      </c>
      <c r="K1029">
        <f t="shared" si="34"/>
        <v>8</v>
      </c>
      <c r="L1029" cm="1">
        <f t="array" ref="L1029">_xlfn.IFS(B1029=2015,G1029/$P$13,B1029=2016,G1029/$P$14,B1029=2017,G1029/$P$15,B1029=2018,G1029/$P$16,B1029=2019,G1029/$P$17,B1029=2019,G1029/$P$18,B1029=2020,G1029/$P$18,B1029=2021,G1029/$P$19,B1029=2022,G1029/$P$20)</f>
        <v>1.4318540309428082E-3</v>
      </c>
    </row>
    <row r="1030" spans="1:12" x14ac:dyDescent="0.2">
      <c r="A1030">
        <v>3800006</v>
      </c>
      <c r="B1030">
        <v>2016</v>
      </c>
      <c r="C1030" t="s">
        <v>252</v>
      </c>
      <c r="D1030" t="s">
        <v>254</v>
      </c>
      <c r="E1030" t="s">
        <v>256</v>
      </c>
      <c r="F1030" s="5" t="s">
        <v>47</v>
      </c>
      <c r="G1030" s="7">
        <v>112539</v>
      </c>
      <c r="H1030" s="7" cm="1">
        <f t="array" ref="H1030">_xlfn.IFS(B1030=2015,L1030*$P$3,B1030=2016,L1030*$P$4,B1030=2017,L1030*$P$5,B1030=2018,L1030*$P$6,B1030=2019,L1030*$P$7,B1030=2020,L1030*$P$8,B1030=2021,L1030*$P$9,B1030=2022,L1030*$P$10)</f>
        <v>3821.4928860817131</v>
      </c>
      <c r="I1030" s="7">
        <f t="shared" si="35"/>
        <v>116360.49288608172</v>
      </c>
      <c r="J1030">
        <f>IFERROR(VLOOKUP(F1030,'LEAID Match'!$A$2:$B$227,2,FALSE),"")</f>
        <v>3800006</v>
      </c>
      <c r="K1030">
        <f t="shared" si="34"/>
        <v>8</v>
      </c>
      <c r="L1030" cm="1">
        <f t="array" ref="L1030">_xlfn.IFS(B1030=2015,G1030/$P$13,B1030=2016,G1030/$P$14,B1030=2017,G1030/$P$15,B1030=2018,G1030/$P$16,B1030=2019,G1030/$P$17,B1030=2019,G1030/$P$18,B1030=2020,G1030/$P$18,B1030=2021,G1030/$P$19,B1030=2022,G1030/$P$20)</f>
        <v>1.3585115130045195E-3</v>
      </c>
    </row>
    <row r="1031" spans="1:12" x14ac:dyDescent="0.2">
      <c r="A1031">
        <v>3800006</v>
      </c>
      <c r="B1031">
        <v>2017</v>
      </c>
      <c r="C1031" t="s">
        <v>252</v>
      </c>
      <c r="D1031" t="s">
        <v>254</v>
      </c>
      <c r="E1031" t="s">
        <v>256</v>
      </c>
      <c r="F1031" s="5" t="s">
        <v>47</v>
      </c>
      <c r="G1031" s="7">
        <v>121132</v>
      </c>
      <c r="H1031" s="7" cm="1">
        <f t="array" ref="H1031">_xlfn.IFS(B1031=2015,L1031*$P$3,B1031=2016,L1031*$P$4,B1031=2017,L1031*$P$5,B1031=2018,L1031*$P$6,B1031=2019,L1031*$P$7,B1031=2020,L1031*$P$8,B1031=2021,L1031*$P$9,B1031=2022,L1031*$P$10)</f>
        <v>3925.6520040242685</v>
      </c>
      <c r="I1031" s="7">
        <f t="shared" si="35"/>
        <v>125057.65200402428</v>
      </c>
      <c r="J1031">
        <f>IFERROR(VLOOKUP(F1031,'LEAID Match'!$A$2:$B$227,2,FALSE),"")</f>
        <v>3800006</v>
      </c>
      <c r="K1031">
        <f t="shared" si="34"/>
        <v>8</v>
      </c>
      <c r="L1031" cm="1">
        <f t="array" ref="L1031">_xlfn.IFS(B1031=2015,G1031/$P$13,B1031=2016,G1031/$P$14,B1031=2017,G1031/$P$15,B1031=2018,G1031/$P$16,B1031=2019,G1031/$P$17,B1031=2019,G1031/$P$18,B1031=2020,G1031/$P$18,B1031=2021,G1031/$P$19,B1031=2022,G1031/$P$20)</f>
        <v>1.4075482266132193E-3</v>
      </c>
    </row>
    <row r="1032" spans="1:12" x14ac:dyDescent="0.2">
      <c r="A1032">
        <v>3800006</v>
      </c>
      <c r="B1032" s="5">
        <v>2018</v>
      </c>
      <c r="C1032" t="s">
        <v>252</v>
      </c>
      <c r="D1032" t="s">
        <v>254</v>
      </c>
      <c r="E1032" t="s">
        <v>256</v>
      </c>
      <c r="F1032" s="5" t="s">
        <v>47</v>
      </c>
      <c r="G1032" s="7">
        <v>121200</v>
      </c>
      <c r="H1032" s="7" cm="1">
        <f t="array" ref="H1032">_xlfn.IFS(B1032=2015,L1032*$P$3,B1032=2016,L1032*$P$4,B1032=2017,L1032*$P$5,B1032=2018,L1032*$P$6,B1032=2019,L1032*$P$7,B1032=2020,L1032*$P$8,B1032=2021,L1032*$P$9,B1032=2022,L1032*$P$10)</f>
        <v>3320.9998118850031</v>
      </c>
      <c r="I1032" s="7">
        <f t="shared" si="35"/>
        <v>124520.99981188501</v>
      </c>
      <c r="J1032">
        <f>IFERROR(VLOOKUP(F1032,'LEAID Match'!$A$2:$B$227,2,FALSE),"")</f>
        <v>3800006</v>
      </c>
      <c r="K1032">
        <f t="shared" si="34"/>
        <v>8</v>
      </c>
      <c r="L1032" cm="1">
        <f t="array" ref="L1032">_xlfn.IFS(B1032=2015,G1032/$P$13,B1032=2016,G1032/$P$14,B1032=2017,G1032/$P$15,B1032=2018,G1032/$P$16,B1032=2019,G1032/$P$17,B1032=2019,G1032/$P$18,B1032=2020,G1032/$P$18,B1032=2021,G1032/$P$19,B1032=2022,G1032/$P$20)</f>
        <v>1.3983157102673697E-3</v>
      </c>
    </row>
    <row r="1033" spans="1:12" x14ac:dyDescent="0.2">
      <c r="A1033">
        <v>3800006</v>
      </c>
      <c r="B1033">
        <v>2019</v>
      </c>
      <c r="C1033" t="s">
        <v>252</v>
      </c>
      <c r="D1033" t="s">
        <v>254</v>
      </c>
      <c r="E1033" t="s">
        <v>256</v>
      </c>
      <c r="F1033" s="5" t="s">
        <v>47</v>
      </c>
      <c r="G1033" s="7">
        <v>120533</v>
      </c>
      <c r="H1033" s="7" cm="1">
        <f t="array" ref="H1033">_xlfn.IFS(B1033=2015,L1033*$P$3,B1033=2016,L1033*$P$4,B1033=2017,L1033*$P$5,B1033=2018,L1033*$P$6,B1033=2019,L1033*$P$7,B1033=2020,L1033*$P$8,B1033=2021,L1033*$P$9,B1033=2022,L1033*$P$10)</f>
        <v>2797.5498206269604</v>
      </c>
      <c r="I1033" s="7">
        <f t="shared" si="35"/>
        <v>123330.54982062695</v>
      </c>
      <c r="J1033">
        <f>IFERROR(VLOOKUP(F1033,'LEAID Match'!$A$2:$B$227,2,FALSE),"")</f>
        <v>3800006</v>
      </c>
      <c r="K1033">
        <f t="shared" si="34"/>
        <v>8</v>
      </c>
      <c r="L1033" cm="1">
        <f t="array" ref="L1033">_xlfn.IFS(B1033=2015,G1033/$P$13,B1033=2016,G1033/$P$14,B1033=2017,G1033/$P$15,B1033=2018,G1033/$P$16,B1033=2019,G1033/$P$17,B1033=2019,G1033/$P$18,B1033=2020,G1033/$P$18,B1033=2021,G1033/$P$19,B1033=2022,G1033/$P$20)</f>
        <v>1.3475673509763778E-3</v>
      </c>
    </row>
    <row r="1034" spans="1:12" x14ac:dyDescent="0.2">
      <c r="A1034">
        <v>3800006</v>
      </c>
      <c r="B1034">
        <v>2020</v>
      </c>
      <c r="C1034" t="s">
        <v>252</v>
      </c>
      <c r="D1034" t="s">
        <v>254</v>
      </c>
      <c r="E1034" t="s">
        <v>256</v>
      </c>
      <c r="F1034" s="5" t="s">
        <v>47</v>
      </c>
      <c r="G1034" s="7">
        <v>119019</v>
      </c>
      <c r="H1034" s="7" cm="1">
        <f t="array" ref="H1034">_xlfn.IFS(B1034=2015,L1034*$P$3,B1034=2016,L1034*$P$4,B1034=2017,L1034*$P$5,B1034=2018,L1034*$P$6,B1034=2019,L1034*$P$7,B1034=2020,L1034*$P$8,B1034=2021,L1034*$P$9,B1034=2022,L1034*$P$10)</f>
        <v>2985.9508387921987</v>
      </c>
      <c r="I1034" s="7">
        <f t="shared" si="35"/>
        <v>122004.9508387922</v>
      </c>
      <c r="J1034">
        <f>IFERROR(VLOOKUP(F1034,'LEAID Match'!$A$2:$B$227,2,FALSE),"")</f>
        <v>3800006</v>
      </c>
      <c r="K1034">
        <f t="shared" si="34"/>
        <v>8</v>
      </c>
      <c r="L1034" cm="1">
        <f t="array" ref="L1034">_xlfn.IFS(B1034=2015,G1034/$P$13,B1034=2016,G1034/$P$14,B1034=2017,G1034/$P$15,B1034=2018,G1034/$P$16,B1034=2019,G1034/$P$17,B1034=2019,G1034/$P$18,B1034=2020,G1034/$P$18,B1034=2021,G1034/$P$19,B1034=2022,G1034/$P$20)</f>
        <v>1.2793276944268203E-3</v>
      </c>
    </row>
    <row r="1035" spans="1:12" x14ac:dyDescent="0.2">
      <c r="A1035">
        <v>3800006</v>
      </c>
      <c r="B1035" s="5">
        <v>2021</v>
      </c>
      <c r="C1035" t="s">
        <v>252</v>
      </c>
      <c r="D1035" t="s">
        <v>254</v>
      </c>
      <c r="E1035" t="s">
        <v>256</v>
      </c>
      <c r="F1035" s="5" t="s">
        <v>47</v>
      </c>
      <c r="G1035" s="7">
        <v>120995</v>
      </c>
      <c r="H1035" s="7" cm="1">
        <f t="array" ref="H1035">_xlfn.IFS(B1035=2015,L1035*$P$3,B1035=2016,L1035*$P$4,B1035=2017,L1035*$P$5,B1035=2018,L1035*$P$6,B1035=2019,L1035*$P$7,B1035=2020,L1035*$P$8,B1035=2021,L1035*$P$9,B1035=2022,L1035*$P$10)</f>
        <v>3306.1028855206955</v>
      </c>
      <c r="I1035" s="7">
        <f t="shared" si="35"/>
        <v>124301.1028855207</v>
      </c>
      <c r="J1035">
        <f>IFERROR(VLOOKUP(F1035,'LEAID Match'!$A$2:$B$227,2,FALSE),"")</f>
        <v>3800006</v>
      </c>
      <c r="K1035">
        <f t="shared" si="34"/>
        <v>8</v>
      </c>
      <c r="L1035" cm="1">
        <f t="array" ref="L1035">_xlfn.IFS(B1035=2015,G1035/$P$13,B1035=2016,G1035/$P$14,B1035=2017,G1035/$P$15,B1035=2018,G1035/$P$16,B1035=2019,G1035/$P$17,B1035=2019,G1035/$P$18,B1035=2020,G1035/$P$18,B1035=2021,G1035/$P$19,B1035=2022,G1035/$P$20)</f>
        <v>1.231323234830799E-3</v>
      </c>
    </row>
    <row r="1036" spans="1:12" x14ac:dyDescent="0.2">
      <c r="A1036">
        <v>3800006</v>
      </c>
      <c r="B1036">
        <v>2022</v>
      </c>
      <c r="C1036" t="s">
        <v>252</v>
      </c>
      <c r="D1036" t="s">
        <v>254</v>
      </c>
      <c r="E1036" t="s">
        <v>256</v>
      </c>
      <c r="F1036" s="5" t="s">
        <v>47</v>
      </c>
      <c r="G1036" s="7">
        <v>112556</v>
      </c>
      <c r="H1036" s="7" cm="1">
        <f t="array" ref="H1036">_xlfn.IFS(B1036=2015,L1036*$P$3,B1036=2016,L1036*$P$4,B1036=2017,L1036*$P$5,B1036=2018,L1036*$P$6,B1036=2019,L1036*$P$7,B1036=2020,L1036*$P$8,B1036=2021,L1036*$P$9,B1036=2022,L1036*$P$10)</f>
        <v>2290.8030814378403</v>
      </c>
      <c r="I1036" s="7">
        <f t="shared" si="35"/>
        <v>114846.80308143784</v>
      </c>
      <c r="J1036">
        <f>IFERROR(VLOOKUP(F1036,'LEAID Match'!$A$2:$B$227,2,FALSE),"")</f>
        <v>3800006</v>
      </c>
      <c r="K1036">
        <f t="shared" si="34"/>
        <v>8</v>
      </c>
      <c r="L1036" cm="1">
        <f t="array" ref="L1036">_xlfn.IFS(B1036=2015,G1036/$P$13,B1036=2016,G1036/$P$14,B1036=2017,G1036/$P$15,B1036=2018,G1036/$P$16,B1036=2019,G1036/$P$17,B1036=2019,G1036/$P$18,B1036=2020,G1036/$P$18,B1036=2021,G1036/$P$19,B1036=2022,G1036/$P$20)</f>
        <v>1.1218428410567289E-3</v>
      </c>
    </row>
    <row r="1037" spans="1:12" x14ac:dyDescent="0.2">
      <c r="A1037">
        <v>0</v>
      </c>
      <c r="B1037">
        <v>2015</v>
      </c>
      <c r="C1037" t="s">
        <v>252</v>
      </c>
      <c r="D1037" t="s">
        <v>254</v>
      </c>
      <c r="E1037" t="s">
        <v>256</v>
      </c>
      <c r="F1037" s="5" t="s">
        <v>48</v>
      </c>
      <c r="G1037" s="7">
        <v>39022</v>
      </c>
      <c r="H1037" s="7" cm="1">
        <f t="array" ref="H1037">_xlfn.IFS(B1037=2015,L1037*$P$3,B1037=2016,L1037*$P$4,B1037=2017,L1037*$P$5,B1037=2018,L1037*$P$6,B1037=2019,L1037*$P$7,B1037=2020,L1037*$P$8,B1037=2021,L1037*$P$9,B1037=2022,L1037*$P$10)</f>
        <v>882.22587765438573</v>
      </c>
      <c r="I1037" s="7">
        <f t="shared" si="35"/>
        <v>39904.225877654382</v>
      </c>
      <c r="J1037">
        <f>IFERROR(VLOOKUP(F1037,'LEAID Match'!$A$2:$B$227,2,FALSE),"")</f>
        <v>0</v>
      </c>
      <c r="K1037">
        <f t="shared" si="34"/>
        <v>130</v>
      </c>
      <c r="L1037" cm="1">
        <f t="array" ref="L1037">_xlfn.IFS(B1037=2015,G1037/$P$13,B1037=2016,G1037/$P$14,B1037=2017,G1037/$P$15,B1037=2018,G1037/$P$16,B1037=2019,G1037/$P$17,B1037=2019,G1037/$P$18,B1037=2020,G1037/$P$18,B1037=2021,G1037/$P$19,B1037=2022,G1037/$P$20)</f>
        <v>4.9758932749824347E-4</v>
      </c>
    </row>
    <row r="1038" spans="1:12" x14ac:dyDescent="0.2">
      <c r="A1038">
        <v>0</v>
      </c>
      <c r="B1038">
        <v>2016</v>
      </c>
      <c r="C1038" t="s">
        <v>252</v>
      </c>
      <c r="D1038" t="s">
        <v>254</v>
      </c>
      <c r="E1038" t="s">
        <v>256</v>
      </c>
      <c r="F1038" s="5" t="s">
        <v>48</v>
      </c>
      <c r="G1038" s="7">
        <v>39805</v>
      </c>
      <c r="H1038" s="7" cm="1">
        <f t="array" ref="H1038">_xlfn.IFS(B1038=2015,L1038*$P$3,B1038=2016,L1038*$P$4,B1038=2017,L1038*$P$5,B1038=2018,L1038*$P$6,B1038=2019,L1038*$P$7,B1038=2020,L1038*$P$8,B1038=2021,L1038*$P$9,B1038=2022,L1038*$P$10)</f>
        <v>1351.6605295096153</v>
      </c>
      <c r="I1038" s="7">
        <f t="shared" si="35"/>
        <v>41156.660529509616</v>
      </c>
      <c r="J1038">
        <f>IFERROR(VLOOKUP(F1038,'LEAID Match'!$A$2:$B$227,2,FALSE),"")</f>
        <v>0</v>
      </c>
      <c r="K1038">
        <f t="shared" si="34"/>
        <v>130</v>
      </c>
      <c r="L1038" cm="1">
        <f t="array" ref="L1038">_xlfn.IFS(B1038=2015,G1038/$P$13,B1038=2016,G1038/$P$14,B1038=2017,G1038/$P$15,B1038=2018,G1038/$P$16,B1038=2019,G1038/$P$17,B1038=2019,G1038/$P$18,B1038=2020,G1038/$P$18,B1038=2021,G1038/$P$19,B1038=2022,G1038/$P$20)</f>
        <v>4.8050498738343953E-4</v>
      </c>
    </row>
    <row r="1039" spans="1:12" x14ac:dyDescent="0.2">
      <c r="A1039">
        <v>0</v>
      </c>
      <c r="B1039">
        <v>2017</v>
      </c>
      <c r="C1039" t="s">
        <v>252</v>
      </c>
      <c r="D1039" t="s">
        <v>254</v>
      </c>
      <c r="E1039" t="s">
        <v>256</v>
      </c>
      <c r="F1039" s="5" t="s">
        <v>48</v>
      </c>
      <c r="G1039" s="7">
        <v>40513</v>
      </c>
      <c r="H1039" s="7" cm="1">
        <f t="array" ref="H1039">_xlfn.IFS(B1039=2015,L1039*$P$3,B1039=2016,L1039*$P$4,B1039=2017,L1039*$P$5,B1039=2018,L1039*$P$6,B1039=2019,L1039*$P$7,B1039=2020,L1039*$P$8,B1039=2021,L1039*$P$9,B1039=2022,L1039*$P$10)</f>
        <v>1312.9473602271505</v>
      </c>
      <c r="I1039" s="7">
        <f t="shared" si="35"/>
        <v>41825.947360227154</v>
      </c>
      <c r="J1039">
        <f>IFERROR(VLOOKUP(F1039,'LEAID Match'!$A$2:$B$227,2,FALSE),"")</f>
        <v>0</v>
      </c>
      <c r="K1039">
        <f t="shared" si="34"/>
        <v>130</v>
      </c>
      <c r="L1039" cm="1">
        <f t="array" ref="L1039">_xlfn.IFS(B1039=2015,G1039/$P$13,B1039=2016,G1039/$P$14,B1039=2017,G1039/$P$15,B1039=2018,G1039/$P$16,B1039=2019,G1039/$P$17,B1039=2019,G1039/$P$18,B1039=2020,G1039/$P$18,B1039=2021,G1039/$P$19,B1039=2022,G1039/$P$20)</f>
        <v>4.7075918258413429E-4</v>
      </c>
    </row>
    <row r="1040" spans="1:12" x14ac:dyDescent="0.2">
      <c r="A1040">
        <v>0</v>
      </c>
      <c r="B1040" s="5">
        <v>2018</v>
      </c>
      <c r="C1040" t="s">
        <v>252</v>
      </c>
      <c r="D1040" t="s">
        <v>254</v>
      </c>
      <c r="E1040" t="s">
        <v>256</v>
      </c>
      <c r="F1040" s="5" t="s">
        <v>48</v>
      </c>
      <c r="G1040" s="7">
        <v>41433</v>
      </c>
      <c r="H1040" s="7" cm="1">
        <f t="array" ref="H1040">_xlfn.IFS(B1040=2015,L1040*$P$3,B1040=2016,L1040*$P$4,B1040=2017,L1040*$P$5,B1040=2018,L1040*$P$6,B1040=2019,L1040*$P$7,B1040=2020,L1040*$P$8,B1040=2021,L1040*$P$9,B1040=2022,L1040*$P$10)</f>
        <v>1135.3051584639547</v>
      </c>
      <c r="I1040" s="7">
        <f t="shared" si="35"/>
        <v>42568.305158463954</v>
      </c>
      <c r="J1040">
        <f>IFERROR(VLOOKUP(F1040,'LEAID Match'!$A$2:$B$227,2,FALSE),"")</f>
        <v>0</v>
      </c>
      <c r="K1040">
        <f t="shared" si="34"/>
        <v>130</v>
      </c>
      <c r="L1040" cm="1">
        <f t="array" ref="L1040">_xlfn.IFS(B1040=2015,G1040/$P$13,B1040=2016,G1040/$P$14,B1040=2017,G1040/$P$15,B1040=2018,G1040/$P$16,B1040=2019,G1040/$P$17,B1040=2019,G1040/$P$18,B1040=2020,G1040/$P$18,B1040=2021,G1040/$P$19,B1040=2022,G1040/$P$20)</f>
        <v>4.7802322461640203E-4</v>
      </c>
    </row>
    <row r="1041" spans="1:12" x14ac:dyDescent="0.2">
      <c r="A1041">
        <v>0</v>
      </c>
      <c r="B1041">
        <v>2019</v>
      </c>
      <c r="C1041" t="s">
        <v>252</v>
      </c>
      <c r="D1041" t="s">
        <v>254</v>
      </c>
      <c r="E1041" t="s">
        <v>256</v>
      </c>
      <c r="F1041" s="5" t="s">
        <v>48</v>
      </c>
      <c r="G1041" s="7">
        <v>19777</v>
      </c>
      <c r="H1041" s="7" cm="1">
        <f t="array" ref="H1041">_xlfn.IFS(B1041=2015,L1041*$P$3,B1041=2016,L1041*$P$4,B1041=2017,L1041*$P$5,B1041=2018,L1041*$P$6,B1041=2019,L1041*$P$7,B1041=2020,L1041*$P$8,B1041=2021,L1041*$P$9,B1041=2022,L1041*$P$10)</f>
        <v>459.02070638364097</v>
      </c>
      <c r="I1041" s="7">
        <f t="shared" si="35"/>
        <v>20236.020706383642</v>
      </c>
      <c r="J1041">
        <f>IFERROR(VLOOKUP(F1041,'LEAID Match'!$A$2:$B$227,2,FALSE),"")</f>
        <v>0</v>
      </c>
      <c r="K1041">
        <f t="shared" si="34"/>
        <v>130</v>
      </c>
      <c r="L1041" cm="1">
        <f t="array" ref="L1041">_xlfn.IFS(B1041=2015,G1041/$P$13,B1041=2016,G1041/$P$14,B1041=2017,G1041/$P$15,B1041=2018,G1041/$P$16,B1041=2019,G1041/$P$17,B1041=2019,G1041/$P$18,B1041=2020,G1041/$P$18,B1041=2021,G1041/$P$19,B1041=2022,G1041/$P$20)</f>
        <v>2.2110824006919122E-4</v>
      </c>
    </row>
    <row r="1042" spans="1:12" x14ac:dyDescent="0.2">
      <c r="A1042">
        <v>0</v>
      </c>
      <c r="B1042">
        <v>2020</v>
      </c>
      <c r="C1042" t="s">
        <v>252</v>
      </c>
      <c r="D1042" t="s">
        <v>254</v>
      </c>
      <c r="E1042" t="s">
        <v>256</v>
      </c>
      <c r="F1042" s="5" t="s">
        <v>48</v>
      </c>
      <c r="G1042" s="7">
        <v>13463</v>
      </c>
      <c r="H1042" s="7" cm="1">
        <f t="array" ref="H1042">_xlfn.IFS(B1042=2015,L1042*$P$3,B1042=2016,L1042*$P$4,B1042=2017,L1042*$P$5,B1042=2018,L1042*$P$6,B1042=2019,L1042*$P$7,B1042=2020,L1042*$P$8,B1042=2021,L1042*$P$9,B1042=2022,L1042*$P$10)</f>
        <v>337.75998909971833</v>
      </c>
      <c r="I1042" s="7">
        <f t="shared" si="35"/>
        <v>13800.759989099719</v>
      </c>
      <c r="J1042">
        <f>IFERROR(VLOOKUP(F1042,'LEAID Match'!$A$2:$B$227,2,FALSE),"")</f>
        <v>0</v>
      </c>
      <c r="K1042">
        <f t="shared" si="34"/>
        <v>130</v>
      </c>
      <c r="L1042" cm="1">
        <f t="array" ref="L1042">_xlfn.IFS(B1042=2015,G1042/$P$13,B1042=2016,G1042/$P$14,B1042=2017,G1042/$P$15,B1042=2018,G1042/$P$16,B1042=2019,G1042/$P$17,B1042=2019,G1042/$P$18,B1042=2020,G1042/$P$18,B1042=2021,G1042/$P$19,B1042=2022,G1042/$P$20)</f>
        <v>1.4471293449002499E-4</v>
      </c>
    </row>
    <row r="1043" spans="1:12" x14ac:dyDescent="0.2">
      <c r="A1043">
        <v>0</v>
      </c>
      <c r="B1043" s="5">
        <v>2021</v>
      </c>
      <c r="C1043" t="s">
        <v>252</v>
      </c>
      <c r="D1043" t="s">
        <v>254</v>
      </c>
      <c r="E1043" t="s">
        <v>256</v>
      </c>
      <c r="F1043" s="5" t="s">
        <v>48</v>
      </c>
      <c r="G1043" s="7">
        <v>13732</v>
      </c>
      <c r="H1043" s="7" cm="1">
        <f t="array" ref="H1043">_xlfn.IFS(B1043=2015,L1043*$P$3,B1043=2016,L1043*$P$4,B1043=2017,L1043*$P$5,B1043=2018,L1043*$P$6,B1043=2019,L1043*$P$7,B1043=2020,L1043*$P$8,B1043=2021,L1043*$P$9,B1043=2022,L1043*$P$10)</f>
        <v>375.21719760296031</v>
      </c>
      <c r="I1043" s="7">
        <f t="shared" si="35"/>
        <v>14107.21719760296</v>
      </c>
      <c r="J1043">
        <f>IFERROR(VLOOKUP(F1043,'LEAID Match'!$A$2:$B$227,2,FALSE),"")</f>
        <v>0</v>
      </c>
      <c r="K1043">
        <f t="shared" si="34"/>
        <v>130</v>
      </c>
      <c r="L1043" cm="1">
        <f t="array" ref="L1043">_xlfn.IFS(B1043=2015,G1043/$P$13,B1043=2016,G1043/$P$14,B1043=2017,G1043/$P$15,B1043=2018,G1043/$P$16,B1043=2019,G1043/$P$17,B1043=2019,G1043/$P$18,B1043=2020,G1043/$P$18,B1043=2021,G1043/$P$19,B1043=2022,G1043/$P$20)</f>
        <v>1.3974569743127014E-4</v>
      </c>
    </row>
    <row r="1044" spans="1:12" x14ac:dyDescent="0.2">
      <c r="A1044">
        <v>0</v>
      </c>
      <c r="B1044">
        <v>2022</v>
      </c>
      <c r="C1044" t="s">
        <v>252</v>
      </c>
      <c r="D1044" t="s">
        <v>254</v>
      </c>
      <c r="E1044" t="s">
        <v>256</v>
      </c>
      <c r="F1044" s="5" t="s">
        <v>48</v>
      </c>
      <c r="G1044" s="7">
        <v>2296</v>
      </c>
      <c r="H1044" s="7" cm="1">
        <f t="array" ref="H1044">_xlfn.IFS(B1044=2015,L1044*$P$3,B1044=2016,L1044*$P$4,B1044=2017,L1044*$P$5,B1044=2018,L1044*$P$6,B1044=2019,L1044*$P$7,B1044=2020,L1044*$P$8,B1044=2021,L1044*$P$9,B1044=2022,L1044*$P$10)</f>
        <v>46.729484656360235</v>
      </c>
      <c r="I1044" s="7">
        <f t="shared" si="35"/>
        <v>2342.7294846563605</v>
      </c>
      <c r="J1044">
        <f>IFERROR(VLOOKUP(F1044,'LEAID Match'!$A$2:$B$227,2,FALSE),"")</f>
        <v>0</v>
      </c>
      <c r="K1044">
        <f t="shared" si="34"/>
        <v>130</v>
      </c>
      <c r="L1044" cm="1">
        <f t="array" ref="L1044">_xlfn.IFS(B1044=2015,G1044/$P$13,B1044=2016,G1044/$P$14,B1044=2017,G1044/$P$15,B1044=2018,G1044/$P$16,B1044=2019,G1044/$P$17,B1044=2019,G1044/$P$18,B1044=2020,G1044/$P$18,B1044=2021,G1044/$P$19,B1044=2022,G1044/$P$20)</f>
        <v>2.2884174660313532E-5</v>
      </c>
    </row>
    <row r="1045" spans="1:12" x14ac:dyDescent="0.2">
      <c r="A1045">
        <v>0</v>
      </c>
      <c r="B1045">
        <v>2015</v>
      </c>
      <c r="C1045" t="s">
        <v>252</v>
      </c>
      <c r="D1045" t="s">
        <v>254</v>
      </c>
      <c r="E1045" t="s">
        <v>256</v>
      </c>
      <c r="F1045" s="5" t="s">
        <v>49</v>
      </c>
      <c r="G1045" s="7">
        <v>146450</v>
      </c>
      <c r="H1045" s="7" cm="1">
        <f t="array" ref="H1045">_xlfn.IFS(B1045=2015,L1045*$P$3,B1045=2016,L1045*$P$4,B1045=2017,L1045*$P$5,B1045=2018,L1045*$P$6,B1045=2019,L1045*$P$7,B1045=2020,L1045*$P$8,B1045=2021,L1045*$P$9,B1045=2022,L1045*$P$10)</f>
        <v>3311.0035308924398</v>
      </c>
      <c r="I1045" s="7">
        <f t="shared" si="35"/>
        <v>149761.00353089243</v>
      </c>
      <c r="J1045">
        <f>IFERROR(VLOOKUP(F1045,'LEAID Match'!$A$2:$B$227,2,FALSE),"")</f>
        <v>0</v>
      </c>
      <c r="K1045">
        <f t="shared" si="34"/>
        <v>130</v>
      </c>
      <c r="L1045" cm="1">
        <f t="array" ref="L1045">_xlfn.IFS(B1045=2015,G1045/$P$13,B1045=2016,G1045/$P$14,B1045=2017,G1045/$P$15,B1045=2018,G1045/$P$16,B1045=2019,G1045/$P$17,B1045=2019,G1045/$P$18,B1045=2020,G1045/$P$18,B1045=2021,G1045/$P$19,B1045=2022,G1045/$P$20)</f>
        <v>1.8674582802551832E-3</v>
      </c>
    </row>
    <row r="1046" spans="1:12" x14ac:dyDescent="0.2">
      <c r="A1046">
        <v>0</v>
      </c>
      <c r="B1046">
        <v>2016</v>
      </c>
      <c r="C1046" t="s">
        <v>252</v>
      </c>
      <c r="D1046" t="s">
        <v>254</v>
      </c>
      <c r="E1046" t="s">
        <v>256</v>
      </c>
      <c r="F1046" s="5" t="s">
        <v>49</v>
      </c>
      <c r="G1046" s="7">
        <v>156651</v>
      </c>
      <c r="H1046" s="7" cm="1">
        <f t="array" ref="H1046">_xlfn.IFS(B1046=2015,L1046*$P$3,B1046=2016,L1046*$P$4,B1046=2017,L1046*$P$5,B1046=2018,L1046*$P$6,B1046=2019,L1046*$P$7,B1046=2020,L1046*$P$8,B1046=2021,L1046*$P$9,B1046=2022,L1046*$P$10)</f>
        <v>5319.4064466326026</v>
      </c>
      <c r="I1046" s="7">
        <f t="shared" si="35"/>
        <v>161970.40644663261</v>
      </c>
      <c r="J1046">
        <f>IFERROR(VLOOKUP(F1046,'LEAID Match'!$A$2:$B$227,2,FALSE),"")</f>
        <v>0</v>
      </c>
      <c r="K1046">
        <f t="shared" si="34"/>
        <v>130</v>
      </c>
      <c r="L1046" cm="1">
        <f t="array" ref="L1046">_xlfn.IFS(B1046=2015,G1046/$P$13,B1046=2016,G1046/$P$14,B1046=2017,G1046/$P$15,B1046=2018,G1046/$P$16,B1046=2019,G1046/$P$17,B1046=2019,G1046/$P$18,B1046=2020,G1046/$P$18,B1046=2021,G1046/$P$19,B1046=2022,G1046/$P$20)</f>
        <v>1.8910083350986856E-3</v>
      </c>
    </row>
    <row r="1047" spans="1:12" x14ac:dyDescent="0.2">
      <c r="A1047">
        <v>0</v>
      </c>
      <c r="B1047">
        <v>2017</v>
      </c>
      <c r="C1047" t="s">
        <v>252</v>
      </c>
      <c r="D1047" t="s">
        <v>254</v>
      </c>
      <c r="E1047" t="s">
        <v>256</v>
      </c>
      <c r="F1047" s="5" t="s">
        <v>49</v>
      </c>
      <c r="G1047" s="7">
        <v>149628</v>
      </c>
      <c r="H1047" s="7" cm="1">
        <f t="array" ref="H1047">_xlfn.IFS(B1047=2015,L1047*$P$3,B1047=2016,L1047*$P$4,B1047=2017,L1047*$P$5,B1047=2018,L1047*$P$6,B1047=2019,L1047*$P$7,B1047=2020,L1047*$P$8,B1047=2021,L1047*$P$9,B1047=2022,L1047*$P$10)</f>
        <v>4849.1518183315993</v>
      </c>
      <c r="I1047" s="7">
        <f t="shared" si="35"/>
        <v>154477.15181833159</v>
      </c>
      <c r="J1047">
        <f>IFERROR(VLOOKUP(F1047,'LEAID Match'!$A$2:$B$227,2,FALSE),"")</f>
        <v>0</v>
      </c>
      <c r="K1047">
        <f t="shared" si="34"/>
        <v>130</v>
      </c>
      <c r="L1047" cm="1">
        <f t="array" ref="L1047">_xlfn.IFS(B1047=2015,G1047/$P$13,B1047=2016,G1047/$P$14,B1047=2017,G1047/$P$15,B1047=2018,G1047/$P$16,B1047=2019,G1047/$P$17,B1047=2019,G1047/$P$18,B1047=2020,G1047/$P$18,B1047=2021,G1047/$P$19,B1047=2022,G1047/$P$20)</f>
        <v>1.7386704260780206E-3</v>
      </c>
    </row>
    <row r="1048" spans="1:12" x14ac:dyDescent="0.2">
      <c r="A1048">
        <v>0</v>
      </c>
      <c r="B1048" s="5">
        <v>2018</v>
      </c>
      <c r="C1048" t="s">
        <v>252</v>
      </c>
      <c r="D1048" t="s">
        <v>254</v>
      </c>
      <c r="E1048" t="s">
        <v>256</v>
      </c>
      <c r="F1048" s="5" t="s">
        <v>49</v>
      </c>
      <c r="G1048" s="7">
        <v>155717</v>
      </c>
      <c r="H1048" s="7" cm="1">
        <f t="array" ref="H1048">_xlfn.IFS(B1048=2015,L1048*$P$3,B1048=2016,L1048*$P$4,B1048=2017,L1048*$P$5,B1048=2018,L1048*$P$6,B1048=2019,L1048*$P$7,B1048=2020,L1048*$P$8,B1048=2021,L1048*$P$9,B1048=2022,L1048*$P$10)</f>
        <v>4266.799733558556</v>
      </c>
      <c r="I1048" s="7">
        <f t="shared" si="35"/>
        <v>159983.79973355855</v>
      </c>
      <c r="J1048">
        <f>IFERROR(VLOOKUP(F1048,'LEAID Match'!$A$2:$B$227,2,FALSE),"")</f>
        <v>0</v>
      </c>
      <c r="K1048">
        <f t="shared" si="34"/>
        <v>130</v>
      </c>
      <c r="L1048" cm="1">
        <f t="array" ref="L1048">_xlfn.IFS(B1048=2015,G1048/$P$13,B1048=2016,G1048/$P$14,B1048=2017,G1048/$P$15,B1048=2018,G1048/$P$16,B1048=2019,G1048/$P$17,B1048=2019,G1048/$P$18,B1048=2020,G1048/$P$18,B1048=2021,G1048/$P$19,B1048=2022,G1048/$P$20)</f>
        <v>1.7965472562351814E-3</v>
      </c>
    </row>
    <row r="1049" spans="1:12" x14ac:dyDescent="0.2">
      <c r="A1049">
        <v>0</v>
      </c>
      <c r="B1049">
        <v>2019</v>
      </c>
      <c r="C1049" t="s">
        <v>252</v>
      </c>
      <c r="D1049" t="s">
        <v>254</v>
      </c>
      <c r="E1049" t="s">
        <v>256</v>
      </c>
      <c r="F1049" s="5" t="s">
        <v>49</v>
      </c>
      <c r="G1049" s="7">
        <v>149985</v>
      </c>
      <c r="H1049" s="7" cm="1">
        <f t="array" ref="H1049">_xlfn.IFS(B1049=2015,L1049*$P$3,B1049=2016,L1049*$P$4,B1049=2017,L1049*$P$5,B1049=2018,L1049*$P$6,B1049=2019,L1049*$P$7,B1049=2020,L1049*$P$8,B1049=2021,L1049*$P$9,B1049=2022,L1049*$P$10)</f>
        <v>3481.1255825934363</v>
      </c>
      <c r="I1049" s="7">
        <f t="shared" si="35"/>
        <v>153466.12558259343</v>
      </c>
      <c r="J1049">
        <f>IFERROR(VLOOKUP(F1049,'LEAID Match'!$A$2:$B$227,2,FALSE),"")</f>
        <v>0</v>
      </c>
      <c r="K1049">
        <f t="shared" si="34"/>
        <v>130</v>
      </c>
      <c r="L1049" cm="1">
        <f t="array" ref="L1049">_xlfn.IFS(B1049=2015,G1049/$P$13,B1049=2016,G1049/$P$14,B1049=2017,G1049/$P$15,B1049=2018,G1049/$P$16,B1049=2019,G1049/$P$17,B1049=2019,G1049/$P$18,B1049=2020,G1049/$P$18,B1049=2021,G1049/$P$19,B1049=2022,G1049/$P$20)</f>
        <v>1.6768427661818094E-3</v>
      </c>
    </row>
    <row r="1050" spans="1:12" x14ac:dyDescent="0.2">
      <c r="A1050">
        <v>0</v>
      </c>
      <c r="B1050">
        <v>2020</v>
      </c>
      <c r="C1050" t="s">
        <v>252</v>
      </c>
      <c r="D1050" t="s">
        <v>254</v>
      </c>
      <c r="E1050" t="s">
        <v>256</v>
      </c>
      <c r="F1050" s="5" t="s">
        <v>49</v>
      </c>
      <c r="G1050" s="7">
        <v>134136</v>
      </c>
      <c r="H1050" s="7" cm="1">
        <f t="array" ref="H1050">_xlfn.IFS(B1050=2015,L1050*$P$3,B1050=2016,L1050*$P$4,B1050=2017,L1050*$P$5,B1050=2018,L1050*$P$6,B1050=2019,L1050*$P$7,B1050=2020,L1050*$P$8,B1050=2021,L1050*$P$9,B1050=2022,L1050*$P$10)</f>
        <v>3365.2064100037001</v>
      </c>
      <c r="I1050" s="7">
        <f t="shared" si="35"/>
        <v>137501.20641000371</v>
      </c>
      <c r="J1050">
        <f>IFERROR(VLOOKUP(F1050,'LEAID Match'!$A$2:$B$227,2,FALSE),"")</f>
        <v>0</v>
      </c>
      <c r="K1050">
        <f t="shared" si="34"/>
        <v>130</v>
      </c>
      <c r="L1050" cm="1">
        <f t="array" ref="L1050">_xlfn.IFS(B1050=2015,G1050/$P$13,B1050=2016,G1050/$P$14,B1050=2017,G1050/$P$15,B1050=2018,G1050/$P$16,B1050=2019,G1050/$P$17,B1050=2019,G1050/$P$18,B1050=2020,G1050/$P$18,B1050=2021,G1050/$P$19,B1050=2022,G1050/$P$20)</f>
        <v>1.4418193701815339E-3</v>
      </c>
    </row>
    <row r="1051" spans="1:12" x14ac:dyDescent="0.2">
      <c r="A1051">
        <v>0</v>
      </c>
      <c r="B1051" s="5">
        <v>2021</v>
      </c>
      <c r="C1051" t="s">
        <v>252</v>
      </c>
      <c r="D1051" t="s">
        <v>254</v>
      </c>
      <c r="E1051" t="s">
        <v>256</v>
      </c>
      <c r="F1051" s="5" t="s">
        <v>49</v>
      </c>
      <c r="G1051" s="7">
        <v>66067</v>
      </c>
      <c r="H1051" s="7" cm="1">
        <f t="array" ref="H1051">_xlfn.IFS(B1051=2015,L1051*$P$3,B1051=2016,L1051*$P$4,B1051=2017,L1051*$P$5,B1051=2018,L1051*$P$6,B1051=2019,L1051*$P$7,B1051=2020,L1051*$P$8,B1051=2021,L1051*$P$9,B1051=2022,L1051*$P$10)</f>
        <v>1805.2340951088538</v>
      </c>
      <c r="I1051" s="7">
        <f t="shared" si="35"/>
        <v>67872.234095108855</v>
      </c>
      <c r="J1051">
        <f>IFERROR(VLOOKUP(F1051,'LEAID Match'!$A$2:$B$227,2,FALSE),"")</f>
        <v>0</v>
      </c>
      <c r="K1051">
        <f t="shared" si="34"/>
        <v>130</v>
      </c>
      <c r="L1051" cm="1">
        <f t="array" ref="L1051">_xlfn.IFS(B1051=2015,G1051/$P$13,B1051=2016,G1051/$P$14,B1051=2017,G1051/$P$15,B1051=2018,G1051/$P$16,B1051=2019,G1051/$P$17,B1051=2019,G1051/$P$18,B1051=2020,G1051/$P$18,B1051=2021,G1051/$P$19,B1051=2022,G1051/$P$20)</f>
        <v>6.7234044510571835E-4</v>
      </c>
    </row>
    <row r="1052" spans="1:12" x14ac:dyDescent="0.2">
      <c r="A1052">
        <v>0</v>
      </c>
      <c r="B1052">
        <v>2022</v>
      </c>
      <c r="C1052" t="s">
        <v>252</v>
      </c>
      <c r="D1052" t="s">
        <v>254</v>
      </c>
      <c r="E1052" t="s">
        <v>256</v>
      </c>
      <c r="F1052" s="5" t="s">
        <v>49</v>
      </c>
      <c r="G1052" s="7">
        <v>36700</v>
      </c>
      <c r="H1052" s="7" cm="1">
        <f t="array" ref="H1052">_xlfn.IFS(B1052=2015,L1052*$P$3,B1052=2016,L1052*$P$4,B1052=2017,L1052*$P$5,B1052=2018,L1052*$P$6,B1052=2019,L1052*$P$7,B1052=2020,L1052*$P$8,B1052=2021,L1052*$P$9,B1052=2022,L1052*$P$10)</f>
        <v>746.93906223363263</v>
      </c>
      <c r="I1052" s="7">
        <f t="shared" si="35"/>
        <v>37446.939062233636</v>
      </c>
      <c r="J1052">
        <f>IFERROR(VLOOKUP(F1052,'LEAID Match'!$A$2:$B$227,2,FALSE),"")</f>
        <v>0</v>
      </c>
      <c r="K1052">
        <f t="shared" si="34"/>
        <v>130</v>
      </c>
      <c r="L1052" cm="1">
        <f t="array" ref="L1052">_xlfn.IFS(B1052=2015,G1052/$P$13,B1052=2016,G1052/$P$14,B1052=2017,G1052/$P$15,B1052=2018,G1052/$P$16,B1052=2019,G1052/$P$17,B1052=2019,G1052/$P$18,B1052=2020,G1052/$P$18,B1052=2021,G1052/$P$19,B1052=2022,G1052/$P$20)</f>
        <v>3.6578798346407083E-4</v>
      </c>
    </row>
    <row r="1053" spans="1:12" x14ac:dyDescent="0.2">
      <c r="A1053">
        <v>3813660</v>
      </c>
      <c r="B1053">
        <v>2015</v>
      </c>
      <c r="C1053" t="s">
        <v>252</v>
      </c>
      <c r="D1053" t="s">
        <v>254</v>
      </c>
      <c r="E1053" t="s">
        <v>256</v>
      </c>
      <c r="F1053" s="5" t="s">
        <v>186</v>
      </c>
      <c r="G1053" s="7">
        <v>179306</v>
      </c>
      <c r="H1053" s="7" cm="1">
        <f t="array" ref="H1053">_xlfn.IFS(B1053=2015,L1053*$P$3,B1053=2016,L1053*$P$4,B1053=2017,L1053*$P$5,B1053=2018,L1053*$P$6,B1053=2019,L1053*$P$7,B1053=2020,L1053*$P$8,B1053=2021,L1053*$P$9,B1053=2022,L1053*$P$10)</f>
        <v>4053.8258730638431</v>
      </c>
      <c r="I1053" s="7">
        <f t="shared" si="35"/>
        <v>183359.82587306385</v>
      </c>
      <c r="J1053">
        <f>IFERROR(VLOOKUP(F1053,'LEAID Match'!$A$2:$B$227,2,FALSE),"")</f>
        <v>3813660</v>
      </c>
      <c r="K1053">
        <f t="shared" si="34"/>
        <v>8</v>
      </c>
      <c r="L1053" cm="1">
        <f t="array" ref="L1053">_xlfn.IFS(B1053=2015,G1053/$P$13,B1053=2016,G1053/$P$14,B1053=2017,G1053/$P$15,B1053=2018,G1053/$P$16,B1053=2019,G1053/$P$17,B1053=2019,G1053/$P$18,B1053=2020,G1053/$P$18,B1053=2021,G1053/$P$19,B1053=2022,G1053/$P$20)</f>
        <v>2.2864218122187496E-3</v>
      </c>
    </row>
    <row r="1054" spans="1:12" x14ac:dyDescent="0.2">
      <c r="A1054">
        <v>3813660</v>
      </c>
      <c r="B1054">
        <v>2016</v>
      </c>
      <c r="C1054" t="s">
        <v>252</v>
      </c>
      <c r="D1054" t="s">
        <v>254</v>
      </c>
      <c r="E1054" t="s">
        <v>256</v>
      </c>
      <c r="F1054" s="5" t="s">
        <v>186</v>
      </c>
      <c r="G1054" s="7">
        <v>312999</v>
      </c>
      <c r="H1054" s="7" cm="1">
        <f t="array" ref="H1054">_xlfn.IFS(B1054=2015,L1054*$P$3,B1054=2016,L1054*$P$4,B1054=2017,L1054*$P$5,B1054=2018,L1054*$P$6,B1054=2019,L1054*$P$7,B1054=2020,L1054*$P$8,B1054=2021,L1054*$P$9,B1054=2022,L1054*$P$10)</f>
        <v>10628.523905940965</v>
      </c>
      <c r="I1054" s="7">
        <f t="shared" si="35"/>
        <v>323627.52390594094</v>
      </c>
      <c r="J1054">
        <f>IFERROR(VLOOKUP(F1054,'LEAID Match'!$A$2:$B$227,2,FALSE),"")</f>
        <v>3813660</v>
      </c>
      <c r="K1054">
        <f t="shared" si="34"/>
        <v>8</v>
      </c>
      <c r="L1054" cm="1">
        <f t="array" ref="L1054">_xlfn.IFS(B1054=2015,G1054/$P$13,B1054=2016,G1054/$P$14,B1054=2017,G1054/$P$15,B1054=2018,G1054/$P$16,B1054=2019,G1054/$P$17,B1054=2019,G1054/$P$18,B1054=2020,G1054/$P$18,B1054=2021,G1054/$P$19,B1054=2022,G1054/$P$20)</f>
        <v>3.7783590138432154E-3</v>
      </c>
    </row>
    <row r="1055" spans="1:12" x14ac:dyDescent="0.2">
      <c r="A1055">
        <v>3813660</v>
      </c>
      <c r="B1055">
        <v>2017</v>
      </c>
      <c r="C1055" t="s">
        <v>252</v>
      </c>
      <c r="D1055" t="s">
        <v>254</v>
      </c>
      <c r="E1055" t="s">
        <v>256</v>
      </c>
      <c r="F1055" s="5" t="s">
        <v>186</v>
      </c>
      <c r="G1055" s="7">
        <v>329043</v>
      </c>
      <c r="H1055" s="7" cm="1">
        <f t="array" ref="H1055">_xlfn.IFS(B1055=2015,L1055*$P$3,B1055=2016,L1055*$P$4,B1055=2017,L1055*$P$5,B1055=2018,L1055*$P$6,B1055=2019,L1055*$P$7,B1055=2020,L1055*$P$8,B1055=2021,L1055*$P$9,B1055=2022,L1055*$P$10)</f>
        <v>10663.642244494909</v>
      </c>
      <c r="I1055" s="7">
        <f t="shared" si="35"/>
        <v>339706.64224449493</v>
      </c>
      <c r="J1055">
        <f>IFERROR(VLOOKUP(F1055,'LEAID Match'!$A$2:$B$227,2,FALSE),"")</f>
        <v>3813660</v>
      </c>
      <c r="K1055">
        <f t="shared" si="34"/>
        <v>8</v>
      </c>
      <c r="L1055" cm="1">
        <f t="array" ref="L1055">_xlfn.IFS(B1055=2015,G1055/$P$13,B1055=2016,G1055/$P$14,B1055=2017,G1055/$P$15,B1055=2018,G1055/$P$16,B1055=2019,G1055/$P$17,B1055=2019,G1055/$P$18,B1055=2020,G1055/$P$18,B1055=2021,G1055/$P$19,B1055=2022,G1055/$P$20)</f>
        <v>3.8234644117945177E-3</v>
      </c>
    </row>
    <row r="1056" spans="1:12" x14ac:dyDescent="0.2">
      <c r="A1056">
        <v>3813660</v>
      </c>
      <c r="B1056" s="5">
        <v>2018</v>
      </c>
      <c r="C1056" t="s">
        <v>252</v>
      </c>
      <c r="D1056" t="s">
        <v>254</v>
      </c>
      <c r="E1056" t="s">
        <v>256</v>
      </c>
      <c r="F1056" s="5" t="s">
        <v>186</v>
      </c>
      <c r="G1056" s="7">
        <v>351354</v>
      </c>
      <c r="H1056" s="7" cm="1">
        <f t="array" ref="H1056">_xlfn.IFS(B1056=2015,L1056*$P$3,B1056=2016,L1056*$P$4,B1056=2017,L1056*$P$5,B1056=2018,L1056*$P$6,B1056=2019,L1056*$P$7,B1056=2020,L1056*$P$8,B1056=2021,L1056*$P$9,B1056=2022,L1056*$P$10)</f>
        <v>9627.4469299095981</v>
      </c>
      <c r="I1056" s="7">
        <f t="shared" si="35"/>
        <v>360981.44692990958</v>
      </c>
      <c r="J1056">
        <f>IFERROR(VLOOKUP(F1056,'LEAID Match'!$A$2:$B$227,2,FALSE),"")</f>
        <v>3813660</v>
      </c>
      <c r="K1056">
        <f t="shared" si="34"/>
        <v>8</v>
      </c>
      <c r="L1056" cm="1">
        <f t="array" ref="L1056">_xlfn.IFS(B1056=2015,G1056/$P$13,B1056=2016,G1056/$P$14,B1056=2017,G1056/$P$15,B1056=2018,G1056/$P$16,B1056=2019,G1056/$P$17,B1056=2019,G1056/$P$18,B1056=2020,G1056/$P$18,B1056=2021,G1056/$P$19,B1056=2022,G1056/$P$20)</f>
        <v>4.0536618652250939E-3</v>
      </c>
    </row>
    <row r="1057" spans="1:12" x14ac:dyDescent="0.2">
      <c r="A1057">
        <v>3813660</v>
      </c>
      <c r="B1057">
        <v>2019</v>
      </c>
      <c r="C1057" t="s">
        <v>252</v>
      </c>
      <c r="D1057" t="s">
        <v>254</v>
      </c>
      <c r="E1057" t="s">
        <v>256</v>
      </c>
      <c r="F1057" s="5" t="s">
        <v>186</v>
      </c>
      <c r="G1057" s="7">
        <v>391695</v>
      </c>
      <c r="H1057" s="7" cm="1">
        <f t="array" ref="H1057">_xlfn.IFS(B1057=2015,L1057*$P$3,B1057=2016,L1057*$P$4,B1057=2017,L1057*$P$5,B1057=2018,L1057*$P$6,B1057=2019,L1057*$P$7,B1057=2020,L1057*$P$8,B1057=2021,L1057*$P$9,B1057=2022,L1057*$P$10)</f>
        <v>9091.1723510613465</v>
      </c>
      <c r="I1057" s="7">
        <f t="shared" si="35"/>
        <v>400786.17235106137</v>
      </c>
      <c r="J1057">
        <f>IFERROR(VLOOKUP(F1057,'LEAID Match'!$A$2:$B$227,2,FALSE),"")</f>
        <v>3813660</v>
      </c>
      <c r="K1057">
        <f t="shared" si="34"/>
        <v>8</v>
      </c>
      <c r="L1057" cm="1">
        <f t="array" ref="L1057">_xlfn.IFS(B1057=2015,G1057/$P$13,B1057=2016,G1057/$P$14,B1057=2017,G1057/$P$15,B1057=2018,G1057/$P$16,B1057=2019,G1057/$P$17,B1057=2019,G1057/$P$18,B1057=2020,G1057/$P$18,B1057=2021,G1057/$P$19,B1057=2022,G1057/$P$20)</f>
        <v>4.3791774330738664E-3</v>
      </c>
    </row>
    <row r="1058" spans="1:12" x14ac:dyDescent="0.2">
      <c r="A1058">
        <v>3813660</v>
      </c>
      <c r="B1058">
        <v>2020</v>
      </c>
      <c r="C1058" t="s">
        <v>252</v>
      </c>
      <c r="D1058" t="s">
        <v>254</v>
      </c>
      <c r="E1058" t="s">
        <v>256</v>
      </c>
      <c r="F1058" s="5" t="s">
        <v>186</v>
      </c>
      <c r="G1058" s="7">
        <v>403610</v>
      </c>
      <c r="H1058" s="7" cm="1">
        <f t="array" ref="H1058">_xlfn.IFS(B1058=2015,L1058*$P$3,B1058=2016,L1058*$P$4,B1058=2017,L1058*$P$5,B1058=2018,L1058*$P$6,B1058=2019,L1058*$P$7,B1058=2020,L1058*$P$8,B1058=2021,L1058*$P$9,B1058=2022,L1058*$P$10)</f>
        <v>10125.775027894028</v>
      </c>
      <c r="I1058" s="7">
        <f t="shared" si="35"/>
        <v>413735.77502789401</v>
      </c>
      <c r="J1058">
        <f>IFERROR(VLOOKUP(F1058,'LEAID Match'!$A$2:$B$227,2,FALSE),"")</f>
        <v>3813660</v>
      </c>
      <c r="K1058">
        <f t="shared" si="34"/>
        <v>8</v>
      </c>
      <c r="L1058" cm="1">
        <f t="array" ref="L1058">_xlfn.IFS(B1058=2015,G1058/$P$13,B1058=2016,G1058/$P$14,B1058=2017,G1058/$P$15,B1058=2018,G1058/$P$16,B1058=2019,G1058/$P$17,B1058=2019,G1058/$P$18,B1058=2020,G1058/$P$18,B1058=2021,G1058/$P$19,B1058=2022,G1058/$P$20)</f>
        <v>4.3383783324310319E-3</v>
      </c>
    </row>
    <row r="1059" spans="1:12" x14ac:dyDescent="0.2">
      <c r="A1059">
        <v>3813660</v>
      </c>
      <c r="B1059" s="5">
        <v>2021</v>
      </c>
      <c r="C1059" t="s">
        <v>252</v>
      </c>
      <c r="D1059" t="s">
        <v>254</v>
      </c>
      <c r="E1059" t="s">
        <v>256</v>
      </c>
      <c r="F1059" s="5" t="s">
        <v>186</v>
      </c>
      <c r="G1059" s="7">
        <v>448214</v>
      </c>
      <c r="H1059" s="7" cm="1">
        <f t="array" ref="H1059">_xlfn.IFS(B1059=2015,L1059*$P$3,B1059=2016,L1059*$P$4,B1059=2017,L1059*$P$5,B1059=2018,L1059*$P$6,B1059=2019,L1059*$P$7,B1059=2020,L1059*$P$8,B1059=2021,L1059*$P$9,B1059=2022,L1059*$P$10)</f>
        <v>12247.130862686663</v>
      </c>
      <c r="I1059" s="7">
        <f t="shared" si="35"/>
        <v>460461.13086268667</v>
      </c>
      <c r="J1059">
        <f>IFERROR(VLOOKUP(F1059,'LEAID Match'!$A$2:$B$227,2,FALSE),"")</f>
        <v>3813660</v>
      </c>
      <c r="K1059">
        <f t="shared" si="34"/>
        <v>8</v>
      </c>
      <c r="L1059" cm="1">
        <f t="array" ref="L1059">_xlfn.IFS(B1059=2015,G1059/$P$13,B1059=2016,G1059/$P$14,B1059=2017,G1059/$P$15,B1059=2018,G1059/$P$16,B1059=2019,G1059/$P$17,B1059=2019,G1059/$P$18,B1059=2020,G1059/$P$18,B1059=2021,G1059/$P$19,B1059=2022,G1059/$P$20)</f>
        <v>4.5613150326579751E-3</v>
      </c>
    </row>
    <row r="1060" spans="1:12" x14ac:dyDescent="0.2">
      <c r="A1060">
        <v>3813660</v>
      </c>
      <c r="B1060">
        <v>2022</v>
      </c>
      <c r="C1060" t="s">
        <v>252</v>
      </c>
      <c r="D1060" t="s">
        <v>254</v>
      </c>
      <c r="E1060" t="s">
        <v>256</v>
      </c>
      <c r="F1060" s="5" t="s">
        <v>186</v>
      </c>
      <c r="G1060" s="7">
        <v>476342</v>
      </c>
      <c r="H1060" s="7" cm="1">
        <f t="array" ref="H1060">_xlfn.IFS(B1060=2015,L1060*$P$3,B1060=2016,L1060*$P$4,B1060=2017,L1060*$P$5,B1060=2018,L1060*$P$6,B1060=2019,L1060*$P$7,B1060=2020,L1060*$P$8,B1060=2021,L1060*$P$9,B1060=2022,L1060*$P$10)</f>
        <v>9694.780566280464</v>
      </c>
      <c r="I1060" s="7">
        <f t="shared" si="35"/>
        <v>486036.78056628047</v>
      </c>
      <c r="J1060">
        <f>IFERROR(VLOOKUP(F1060,'LEAID Match'!$A$2:$B$227,2,FALSE),"")</f>
        <v>3813660</v>
      </c>
      <c r="K1060">
        <f t="shared" si="34"/>
        <v>8</v>
      </c>
      <c r="L1060" cm="1">
        <f t="array" ref="L1060">_xlfn.IFS(B1060=2015,G1060/$P$13,B1060=2016,G1060/$P$14,B1060=2017,G1060/$P$15,B1060=2018,G1060/$P$16,B1060=2019,G1060/$P$17,B1060=2019,G1060/$P$18,B1060=2020,G1060/$P$18,B1060=2021,G1060/$P$19,B1060=2022,G1060/$P$20)</f>
        <v>4.7476888179630089E-3</v>
      </c>
    </row>
    <row r="1061" spans="1:12" x14ac:dyDescent="0.2">
      <c r="A1061">
        <v>0</v>
      </c>
      <c r="B1061">
        <v>2015</v>
      </c>
      <c r="C1061" t="s">
        <v>252</v>
      </c>
      <c r="D1061" t="s">
        <v>254</v>
      </c>
      <c r="E1061" t="s">
        <v>256</v>
      </c>
      <c r="F1061" s="5" t="s">
        <v>50</v>
      </c>
      <c r="G1061" s="7">
        <v>1470</v>
      </c>
      <c r="H1061" s="7" cm="1">
        <f t="array" ref="H1061">_xlfn.IFS(B1061=2015,L1061*$P$3,B1061=2016,L1061*$P$4,B1061=2017,L1061*$P$5,B1061=2018,L1061*$P$6,B1061=2019,L1061*$P$7,B1061=2020,L1061*$P$8,B1061=2021,L1061*$P$9,B1061=2022,L1061*$P$10)</f>
        <v>33.234381634768773</v>
      </c>
      <c r="I1061" s="7">
        <f t="shared" si="35"/>
        <v>1503.2343816347689</v>
      </c>
      <c r="J1061">
        <f>IFERROR(VLOOKUP(F1061,'LEAID Match'!$A$2:$B$227,2,FALSE),"")</f>
        <v>0</v>
      </c>
      <c r="K1061">
        <f t="shared" si="34"/>
        <v>130</v>
      </c>
      <c r="L1061" cm="1">
        <f t="array" ref="L1061">_xlfn.IFS(B1061=2015,G1061/$P$13,B1061=2016,G1061/$P$14,B1061=2017,G1061/$P$15,B1061=2018,G1061/$P$16,B1061=2019,G1061/$P$17,B1061=2019,G1061/$P$18,B1061=2020,G1061/$P$18,B1061=2021,G1061/$P$19,B1061=2022,G1061/$P$20)</f>
        <v>1.8744716094060221E-5</v>
      </c>
    </row>
    <row r="1062" spans="1:12" x14ac:dyDescent="0.2">
      <c r="A1062">
        <v>0</v>
      </c>
      <c r="B1062">
        <v>2016</v>
      </c>
      <c r="C1062" t="s">
        <v>252</v>
      </c>
      <c r="D1062" t="s">
        <v>254</v>
      </c>
      <c r="E1062" t="s">
        <v>256</v>
      </c>
      <c r="F1062" s="5" t="s">
        <v>50</v>
      </c>
      <c r="G1062" s="7">
        <v>1560</v>
      </c>
      <c r="H1062" s="7" cm="1">
        <f t="array" ref="H1062">_xlfn.IFS(B1062=2015,L1062*$P$3,B1062=2016,L1062*$P$4,B1062=2017,L1062*$P$5,B1062=2018,L1062*$P$6,B1062=2019,L1062*$P$7,B1062=2020,L1062*$P$8,B1062=2021,L1062*$P$9,B1062=2022,L1062*$P$10)</f>
        <v>52.973004045597285</v>
      </c>
      <c r="I1062" s="7">
        <f t="shared" si="35"/>
        <v>1612.9730040455972</v>
      </c>
      <c r="J1062">
        <f>IFERROR(VLOOKUP(F1062,'LEAID Match'!$A$2:$B$227,2,FALSE),"")</f>
        <v>0</v>
      </c>
      <c r="K1062">
        <f t="shared" si="34"/>
        <v>130</v>
      </c>
      <c r="L1062" cm="1">
        <f t="array" ref="L1062">_xlfn.IFS(B1062=2015,G1062/$P$13,B1062=2016,G1062/$P$14,B1062=2017,G1062/$P$15,B1062=2018,G1062/$P$16,B1062=2019,G1062/$P$17,B1062=2019,G1062/$P$18,B1062=2020,G1062/$P$18,B1062=2021,G1062/$P$19,B1062=2022,G1062/$P$20)</f>
        <v>1.8831498061001523E-5</v>
      </c>
    </row>
    <row r="1063" spans="1:12" x14ac:dyDescent="0.2">
      <c r="A1063">
        <v>0</v>
      </c>
      <c r="B1063">
        <v>2017</v>
      </c>
      <c r="C1063" t="s">
        <v>252</v>
      </c>
      <c r="D1063" t="s">
        <v>254</v>
      </c>
      <c r="E1063" t="s">
        <v>256</v>
      </c>
      <c r="F1063" s="5" t="s">
        <v>50</v>
      </c>
      <c r="G1063" s="7">
        <v>1627</v>
      </c>
      <c r="H1063" s="7" cm="1">
        <f t="array" ref="H1063">_xlfn.IFS(B1063=2015,L1063*$P$3,B1063=2016,L1063*$P$4,B1063=2017,L1063*$P$5,B1063=2018,L1063*$P$6,B1063=2019,L1063*$P$7,B1063=2020,L1063*$P$8,B1063=2021,L1063*$P$9,B1063=2022,L1063*$P$10)</f>
        <v>52.727898577976795</v>
      </c>
      <c r="I1063" s="7">
        <f t="shared" si="35"/>
        <v>1679.7278985779767</v>
      </c>
      <c r="J1063">
        <f>IFERROR(VLOOKUP(F1063,'LEAID Match'!$A$2:$B$227,2,FALSE),"")</f>
        <v>0</v>
      </c>
      <c r="K1063">
        <f t="shared" si="34"/>
        <v>130</v>
      </c>
      <c r="L1063" cm="1">
        <f t="array" ref="L1063">_xlfn.IFS(B1063=2015,G1063/$P$13,B1063=2016,G1063/$P$14,B1063=2017,G1063/$P$15,B1063=2018,G1063/$P$16,B1063=2019,G1063/$P$17,B1063=2019,G1063/$P$18,B1063=2020,G1063/$P$18,B1063=2021,G1063/$P$19,B1063=2022,G1063/$P$20)</f>
        <v>1.8905664603075223E-5</v>
      </c>
    </row>
    <row r="1064" spans="1:12" x14ac:dyDescent="0.2">
      <c r="A1064">
        <v>0</v>
      </c>
      <c r="B1064" s="5">
        <v>2018</v>
      </c>
      <c r="C1064" t="s">
        <v>252</v>
      </c>
      <c r="D1064" t="s">
        <v>254</v>
      </c>
      <c r="E1064" t="s">
        <v>256</v>
      </c>
      <c r="F1064" s="5" t="s">
        <v>50</v>
      </c>
      <c r="G1064" s="7">
        <v>1674</v>
      </c>
      <c r="H1064" s="7" cm="1">
        <f t="array" ref="H1064">_xlfn.IFS(B1064=2015,L1064*$P$3,B1064=2016,L1064*$P$4,B1064=2017,L1064*$P$5,B1064=2018,L1064*$P$6,B1064=2019,L1064*$P$7,B1064=2020,L1064*$P$8,B1064=2021,L1064*$P$9,B1064=2022,L1064*$P$10)</f>
        <v>45.869254827520585</v>
      </c>
      <c r="I1064" s="7">
        <f t="shared" si="35"/>
        <v>1719.8692548275205</v>
      </c>
      <c r="J1064">
        <f>IFERROR(VLOOKUP(F1064,'LEAID Match'!$A$2:$B$227,2,FALSE),"")</f>
        <v>0</v>
      </c>
      <c r="K1064">
        <f t="shared" si="34"/>
        <v>130</v>
      </c>
      <c r="L1064" cm="1">
        <f t="array" ref="L1064">_xlfn.IFS(B1064=2015,G1064/$P$13,B1064=2016,G1064/$P$14,B1064=2017,G1064/$P$15,B1064=2018,G1064/$P$16,B1064=2019,G1064/$P$17,B1064=2019,G1064/$P$18,B1064=2020,G1064/$P$18,B1064=2021,G1064/$P$19,B1064=2022,G1064/$P$20)</f>
        <v>1.9313370453692878E-5</v>
      </c>
    </row>
    <row r="1065" spans="1:12" x14ac:dyDescent="0.2">
      <c r="A1065">
        <v>0</v>
      </c>
      <c r="B1065">
        <v>2019</v>
      </c>
      <c r="C1065" t="s">
        <v>252</v>
      </c>
      <c r="D1065" t="s">
        <v>254</v>
      </c>
      <c r="E1065" t="s">
        <v>256</v>
      </c>
      <c r="F1065" s="5" t="s">
        <v>50</v>
      </c>
      <c r="G1065" s="7">
        <v>1724</v>
      </c>
      <c r="H1065" s="7" cm="1">
        <f t="array" ref="H1065">_xlfn.IFS(B1065=2015,L1065*$P$3,B1065=2016,L1065*$P$4,B1065=2017,L1065*$P$5,B1065=2018,L1065*$P$6,B1065=2019,L1065*$P$7,B1065=2020,L1065*$P$8,B1065=2021,L1065*$P$9,B1065=2022,L1065*$P$10)</f>
        <v>40.013738069747539</v>
      </c>
      <c r="I1065" s="7">
        <f t="shared" si="35"/>
        <v>1764.0137380697474</v>
      </c>
      <c r="J1065">
        <f>IFERROR(VLOOKUP(F1065,'LEAID Match'!$A$2:$B$227,2,FALSE),"")</f>
        <v>0</v>
      </c>
      <c r="K1065">
        <f t="shared" si="34"/>
        <v>130</v>
      </c>
      <c r="L1065" cm="1">
        <f t="array" ref="L1065">_xlfn.IFS(B1065=2015,G1065/$P$13,B1065=2016,G1065/$P$14,B1065=2017,G1065/$P$15,B1065=2018,G1065/$P$16,B1065=2019,G1065/$P$17,B1065=2019,G1065/$P$18,B1065=2020,G1065/$P$18,B1065=2021,G1065/$P$19,B1065=2022,G1065/$P$20)</f>
        <v>1.9274440303346597E-5</v>
      </c>
    </row>
    <row r="1066" spans="1:12" x14ac:dyDescent="0.2">
      <c r="A1066">
        <v>0</v>
      </c>
      <c r="B1066">
        <v>2020</v>
      </c>
      <c r="C1066" t="s">
        <v>252</v>
      </c>
      <c r="D1066" t="s">
        <v>254</v>
      </c>
      <c r="E1066" t="s">
        <v>256</v>
      </c>
      <c r="F1066" s="5" t="s">
        <v>50</v>
      </c>
      <c r="G1066" s="7">
        <v>1250</v>
      </c>
      <c r="H1066" s="7" cm="1">
        <f t="array" ref="H1066">_xlfn.IFS(B1066=2015,L1066*$P$3,B1066=2016,L1066*$P$4,B1066=2017,L1066*$P$5,B1066=2018,L1066*$P$6,B1066=2019,L1066*$P$7,B1066=2020,L1066*$P$8,B1066=2021,L1066*$P$9,B1066=2022,L1066*$P$10)</f>
        <v>31.360022756788819</v>
      </c>
      <c r="I1066" s="7">
        <f t="shared" si="35"/>
        <v>1281.3600227567888</v>
      </c>
      <c r="J1066">
        <f>IFERROR(VLOOKUP(F1066,'LEAID Match'!$A$2:$B$227,2,FALSE),"")</f>
        <v>0</v>
      </c>
      <c r="K1066">
        <f t="shared" si="34"/>
        <v>130</v>
      </c>
      <c r="L1066" cm="1">
        <f t="array" ref="L1066">_xlfn.IFS(B1066=2015,G1066/$P$13,B1066=2016,G1066/$P$14,B1066=2017,G1066/$P$15,B1066=2018,G1066/$P$16,B1066=2019,G1066/$P$17,B1066=2019,G1066/$P$18,B1066=2020,G1066/$P$18,B1066=2021,G1066/$P$19,B1066=2022,G1066/$P$20)</f>
        <v>1.3436170846953221E-5</v>
      </c>
    </row>
    <row r="1067" spans="1:12" x14ac:dyDescent="0.2">
      <c r="A1067">
        <v>0</v>
      </c>
      <c r="B1067" s="5">
        <v>2021</v>
      </c>
      <c r="C1067" t="s">
        <v>252</v>
      </c>
      <c r="D1067" t="s">
        <v>254</v>
      </c>
      <c r="E1067" t="s">
        <v>256</v>
      </c>
      <c r="F1067" s="5" t="s">
        <v>50</v>
      </c>
      <c r="G1067" s="7">
        <v>1345</v>
      </c>
      <c r="H1067" s="7" cm="1">
        <f t="array" ref="H1067">_xlfn.IFS(B1067=2015,L1067*$P$3,B1067=2016,L1067*$P$4,B1067=2017,L1067*$P$5,B1067=2018,L1067*$P$6,B1067=2019,L1067*$P$7,B1067=2020,L1067*$P$8,B1067=2021,L1067*$P$9,B1067=2022,L1067*$P$10)</f>
        <v>36.751174685113725</v>
      </c>
      <c r="I1067" s="7">
        <f t="shared" si="35"/>
        <v>1381.7511746851137</v>
      </c>
      <c r="J1067">
        <f>IFERROR(VLOOKUP(F1067,'LEAID Match'!$A$2:$B$227,2,FALSE),"")</f>
        <v>0</v>
      </c>
      <c r="K1067">
        <f t="shared" si="34"/>
        <v>130</v>
      </c>
      <c r="L1067" cm="1">
        <f t="array" ref="L1067">_xlfn.IFS(B1067=2015,G1067/$P$13,B1067=2016,G1067/$P$14,B1067=2017,G1067/$P$15,B1067=2018,G1067/$P$16,B1067=2019,G1067/$P$17,B1067=2019,G1067/$P$18,B1067=2020,G1067/$P$18,B1067=2021,G1067/$P$19,B1067=2022,G1067/$P$20)</f>
        <v>1.3687588337100083E-5</v>
      </c>
    </row>
    <row r="1068" spans="1:12" x14ac:dyDescent="0.2">
      <c r="A1068">
        <v>0</v>
      </c>
      <c r="B1068">
        <v>2022</v>
      </c>
      <c r="C1068" t="s">
        <v>252</v>
      </c>
      <c r="D1068" t="s">
        <v>254</v>
      </c>
      <c r="E1068" t="s">
        <v>256</v>
      </c>
      <c r="F1068" s="5" t="s">
        <v>50</v>
      </c>
      <c r="G1068" s="7">
        <v>1385</v>
      </c>
      <c r="H1068" s="7" cm="1">
        <f t="array" ref="H1068">_xlfn.IFS(B1068=2015,L1068*$P$3,B1068=2016,L1068*$P$4,B1068=2017,L1068*$P$5,B1068=2018,L1068*$P$6,B1068=2019,L1068*$P$7,B1068=2020,L1068*$P$8,B1068=2021,L1068*$P$9,B1068=2022,L1068*$P$10)</f>
        <v>28.18829976004308</v>
      </c>
      <c r="I1068" s="7">
        <f t="shared" si="35"/>
        <v>1413.188299760043</v>
      </c>
      <c r="J1068">
        <f>IFERROR(VLOOKUP(F1068,'LEAID Match'!$A$2:$B$227,2,FALSE),"")</f>
        <v>0</v>
      </c>
      <c r="K1068">
        <f t="shared" si="34"/>
        <v>130</v>
      </c>
      <c r="L1068" cm="1">
        <f t="array" ref="L1068">_xlfn.IFS(B1068=2015,G1068/$P$13,B1068=2016,G1068/$P$14,B1068=2017,G1068/$P$15,B1068=2018,G1068/$P$16,B1068=2019,G1068/$P$17,B1068=2019,G1068/$P$18,B1068=2020,G1068/$P$18,B1068=2021,G1068/$P$19,B1068=2022,G1068/$P$20)</f>
        <v>1.3804260411382508E-5</v>
      </c>
    </row>
    <row r="1069" spans="1:12" x14ac:dyDescent="0.2">
      <c r="A1069">
        <v>3813710</v>
      </c>
      <c r="B1069">
        <v>2015</v>
      </c>
      <c r="C1069" t="s">
        <v>252</v>
      </c>
      <c r="D1069" t="s">
        <v>254</v>
      </c>
      <c r="E1069" t="s">
        <v>256</v>
      </c>
      <c r="F1069" s="5" t="s">
        <v>51</v>
      </c>
      <c r="G1069" s="7">
        <v>186428</v>
      </c>
      <c r="H1069" s="7" cm="1">
        <f t="array" ref="H1069">_xlfn.IFS(B1069=2015,L1069*$P$3,B1069=2016,L1069*$P$4,B1069=2017,L1069*$P$5,B1069=2018,L1069*$P$6,B1069=2019,L1069*$P$7,B1069=2020,L1069*$P$8,B1069=2021,L1069*$P$9,B1069=2022,L1069*$P$10)</f>
        <v>4214.8430608208655</v>
      </c>
      <c r="I1069" s="7">
        <f t="shared" si="35"/>
        <v>190642.84306082086</v>
      </c>
      <c r="J1069">
        <f>IFERROR(VLOOKUP(F1069,'LEAID Match'!$A$2:$B$227,2,FALSE),"")</f>
        <v>3813710</v>
      </c>
      <c r="K1069">
        <f t="shared" si="34"/>
        <v>8</v>
      </c>
      <c r="L1069" cm="1">
        <f t="array" ref="L1069">_xlfn.IFS(B1069=2015,G1069/$P$13,B1069=2016,G1069/$P$14,B1069=2017,G1069/$P$15,B1069=2018,G1069/$P$16,B1069=2019,G1069/$P$17,B1069=2019,G1069/$P$18,B1069=2020,G1069/$P$18,B1069=2021,G1069/$P$19,B1069=2022,G1069/$P$20)</f>
        <v>2.3772380489683392E-3</v>
      </c>
    </row>
    <row r="1070" spans="1:12" x14ac:dyDescent="0.2">
      <c r="A1070">
        <v>3813710</v>
      </c>
      <c r="B1070">
        <v>2016</v>
      </c>
      <c r="C1070" t="s">
        <v>252</v>
      </c>
      <c r="D1070" t="s">
        <v>254</v>
      </c>
      <c r="E1070" t="s">
        <v>256</v>
      </c>
      <c r="F1070" s="5" t="s">
        <v>51</v>
      </c>
      <c r="G1070" s="7">
        <v>207572</v>
      </c>
      <c r="H1070" s="7" cm="1">
        <f t="array" ref="H1070">_xlfn.IFS(B1070=2015,L1070*$P$3,B1070=2016,L1070*$P$4,B1070=2017,L1070*$P$5,B1070=2018,L1070*$P$6,B1070=2019,L1070*$P$7,B1070=2020,L1070*$P$8,B1070=2021,L1070*$P$9,B1070=2022,L1070*$P$10)</f>
        <v>7048.5335870209738</v>
      </c>
      <c r="I1070" s="7">
        <f t="shared" si="35"/>
        <v>214620.53358702097</v>
      </c>
      <c r="J1070">
        <f>IFERROR(VLOOKUP(F1070,'LEAID Match'!$A$2:$B$227,2,FALSE),"")</f>
        <v>3813710</v>
      </c>
      <c r="K1070">
        <f t="shared" si="34"/>
        <v>8</v>
      </c>
      <c r="L1070" cm="1">
        <f t="array" ref="L1070">_xlfn.IFS(B1070=2015,G1070/$P$13,B1070=2016,G1070/$P$14,B1070=2017,G1070/$P$15,B1070=2018,G1070/$P$16,B1070=2019,G1070/$P$17,B1070=2019,G1070/$P$18,B1070=2020,G1070/$P$18,B1070=2021,G1070/$P$19,B1070=2022,G1070/$P$20)</f>
        <v>2.5056998176398769E-3</v>
      </c>
    </row>
    <row r="1071" spans="1:12" x14ac:dyDescent="0.2">
      <c r="A1071">
        <v>3813710</v>
      </c>
      <c r="B1071">
        <v>2017</v>
      </c>
      <c r="C1071" t="s">
        <v>252</v>
      </c>
      <c r="D1071" t="s">
        <v>254</v>
      </c>
      <c r="E1071" t="s">
        <v>256</v>
      </c>
      <c r="F1071" s="5" t="s">
        <v>51</v>
      </c>
      <c r="G1071" s="7">
        <v>207156</v>
      </c>
      <c r="H1071" s="7" cm="1">
        <f t="array" ref="H1071">_xlfn.IFS(B1071=2015,L1071*$P$3,B1071=2016,L1071*$P$4,B1071=2017,L1071*$P$5,B1071=2018,L1071*$P$6,B1071=2019,L1071*$P$7,B1071=2020,L1071*$P$8,B1071=2021,L1071*$P$9,B1071=2022,L1071*$P$10)</f>
        <v>6713.5221621508063</v>
      </c>
      <c r="I1071" s="7">
        <f t="shared" si="35"/>
        <v>213869.5221621508</v>
      </c>
      <c r="J1071">
        <f>IFERROR(VLOOKUP(F1071,'LEAID Match'!$A$2:$B$227,2,FALSE),"")</f>
        <v>3813710</v>
      </c>
      <c r="K1071">
        <f t="shared" si="34"/>
        <v>8</v>
      </c>
      <c r="L1071" cm="1">
        <f t="array" ref="L1071">_xlfn.IFS(B1071=2015,G1071/$P$13,B1071=2016,G1071/$P$14,B1071=2017,G1071/$P$15,B1071=2018,G1071/$P$16,B1071=2019,G1071/$P$17,B1071=2019,G1071/$P$18,B1071=2020,G1071/$P$18,B1071=2021,G1071/$P$19,B1071=2022,G1071/$P$20)</f>
        <v>2.4071431201688081E-3</v>
      </c>
    </row>
    <row r="1072" spans="1:12" x14ac:dyDescent="0.2">
      <c r="A1072">
        <v>3813710</v>
      </c>
      <c r="B1072" s="5">
        <v>2018</v>
      </c>
      <c r="C1072" t="s">
        <v>252</v>
      </c>
      <c r="D1072" t="s">
        <v>254</v>
      </c>
      <c r="E1072" t="s">
        <v>256</v>
      </c>
      <c r="F1072" s="5" t="s">
        <v>51</v>
      </c>
      <c r="G1072" s="7">
        <v>229588</v>
      </c>
      <c r="H1072" s="7" cm="1">
        <f t="array" ref="H1072">_xlfn.IFS(B1072=2015,L1072*$P$3,B1072=2016,L1072*$P$4,B1072=2017,L1072*$P$5,B1072=2018,L1072*$P$6,B1072=2019,L1072*$P$7,B1072=2020,L1072*$P$8,B1072=2021,L1072*$P$9,B1072=2022,L1072*$P$10)</f>
        <v>6290.938158507046</v>
      </c>
      <c r="I1072" s="7">
        <f t="shared" si="35"/>
        <v>235878.93815850705</v>
      </c>
      <c r="J1072">
        <f>IFERROR(VLOOKUP(F1072,'LEAID Match'!$A$2:$B$227,2,FALSE),"")</f>
        <v>3813710</v>
      </c>
      <c r="K1072">
        <f t="shared" si="34"/>
        <v>8</v>
      </c>
      <c r="L1072" cm="1">
        <f t="array" ref="L1072">_xlfn.IFS(B1072=2015,G1072/$P$13,B1072=2016,G1072/$P$14,B1072=2017,G1072/$P$15,B1072=2018,G1072/$P$16,B1072=2019,G1072/$P$17,B1072=2019,G1072/$P$18,B1072=2020,G1072/$P$18,B1072=2021,G1072/$P$19,B1072=2022,G1072/$P$20)</f>
        <v>2.648816066739809E-3</v>
      </c>
    </row>
    <row r="1073" spans="1:12" x14ac:dyDescent="0.2">
      <c r="A1073">
        <v>3813710</v>
      </c>
      <c r="B1073">
        <v>2019</v>
      </c>
      <c r="C1073" t="s">
        <v>252</v>
      </c>
      <c r="D1073" t="s">
        <v>254</v>
      </c>
      <c r="E1073" t="s">
        <v>256</v>
      </c>
      <c r="F1073" s="5" t="s">
        <v>51</v>
      </c>
      <c r="G1073" s="7">
        <v>234334</v>
      </c>
      <c r="H1073" s="7" cm="1">
        <f t="array" ref="H1073">_xlfn.IFS(B1073=2015,L1073*$P$3,B1073=2016,L1073*$P$4,B1073=2017,L1073*$P$5,B1073=2018,L1073*$P$6,B1073=2019,L1073*$P$7,B1073=2020,L1073*$P$8,B1073=2021,L1073*$P$9,B1073=2022,L1073*$P$10)</f>
        <v>5438.8511002530267</v>
      </c>
      <c r="I1073" s="7">
        <f t="shared" si="35"/>
        <v>239772.85110025303</v>
      </c>
      <c r="J1073">
        <f>IFERROR(VLOOKUP(F1073,'LEAID Match'!$A$2:$B$227,2,FALSE),"")</f>
        <v>3813710</v>
      </c>
      <c r="K1073">
        <f t="shared" si="34"/>
        <v>8</v>
      </c>
      <c r="L1073" cm="1">
        <f t="array" ref="L1073">_xlfn.IFS(B1073=2015,G1073/$P$13,B1073=2016,G1073/$P$14,B1073=2017,G1073/$P$15,B1073=2018,G1073/$P$16,B1073=2019,G1073/$P$17,B1073=2019,G1073/$P$18,B1073=2020,G1073/$P$18,B1073=2021,G1073/$P$19,B1073=2022,G1073/$P$20)</f>
        <v>2.6198704721835391E-3</v>
      </c>
    </row>
    <row r="1074" spans="1:12" x14ac:dyDescent="0.2">
      <c r="A1074">
        <v>3813710</v>
      </c>
      <c r="B1074">
        <v>2020</v>
      </c>
      <c r="C1074" t="s">
        <v>252</v>
      </c>
      <c r="D1074" t="s">
        <v>254</v>
      </c>
      <c r="E1074" t="s">
        <v>256</v>
      </c>
      <c r="F1074" s="5" t="s">
        <v>51</v>
      </c>
      <c r="G1074" s="7">
        <v>260199</v>
      </c>
      <c r="H1074" s="7" cm="1">
        <f t="array" ref="H1074">_xlfn.IFS(B1074=2015,L1074*$P$3,B1074=2016,L1074*$P$4,B1074=2017,L1074*$P$5,B1074=2018,L1074*$P$6,B1074=2019,L1074*$P$7,B1074=2020,L1074*$P$8,B1074=2021,L1074*$P$9,B1074=2022,L1074*$P$10)</f>
        <v>6527.8772490349547</v>
      </c>
      <c r="I1074" s="7">
        <f t="shared" si="35"/>
        <v>266726.87724903494</v>
      </c>
      <c r="J1074">
        <f>IFERROR(VLOOKUP(F1074,'LEAID Match'!$A$2:$B$227,2,FALSE),"")</f>
        <v>3813710</v>
      </c>
      <c r="K1074">
        <f t="shared" si="34"/>
        <v>8</v>
      </c>
      <c r="L1074" cm="1">
        <f t="array" ref="L1074">_xlfn.IFS(B1074=2015,G1074/$P$13,B1074=2016,G1074/$P$14,B1074=2017,G1074/$P$15,B1074=2018,G1074/$P$16,B1074=2019,G1074/$P$17,B1074=2019,G1074/$P$18,B1074=2020,G1074/$P$18,B1074=2021,G1074/$P$19,B1074=2022,G1074/$P$20)</f>
        <v>2.7968625745651049E-3</v>
      </c>
    </row>
    <row r="1075" spans="1:12" x14ac:dyDescent="0.2">
      <c r="A1075">
        <v>3813710</v>
      </c>
      <c r="B1075" s="5">
        <v>2021</v>
      </c>
      <c r="C1075" t="s">
        <v>252</v>
      </c>
      <c r="D1075" t="s">
        <v>254</v>
      </c>
      <c r="E1075" t="s">
        <v>256</v>
      </c>
      <c r="F1075" s="5" t="s">
        <v>51</v>
      </c>
      <c r="G1075" s="7">
        <v>296805</v>
      </c>
      <c r="H1075" s="7" cm="1">
        <f t="array" ref="H1075">_xlfn.IFS(B1075=2015,L1075*$P$3,B1075=2016,L1075*$P$4,B1075=2017,L1075*$P$5,B1075=2018,L1075*$P$6,B1075=2019,L1075*$P$7,B1075=2020,L1075*$P$8,B1075=2021,L1075*$P$9,B1075=2022,L1075*$P$10)</f>
        <v>8109.986916293813</v>
      </c>
      <c r="I1075" s="7">
        <f t="shared" si="35"/>
        <v>304914.9869162938</v>
      </c>
      <c r="J1075">
        <f>IFERROR(VLOOKUP(F1075,'LEAID Match'!$A$2:$B$227,2,FALSE),"")</f>
        <v>3813710</v>
      </c>
      <c r="K1075">
        <f t="shared" si="34"/>
        <v>8</v>
      </c>
      <c r="L1075" cm="1">
        <f t="array" ref="L1075">_xlfn.IFS(B1075=2015,G1075/$P$13,B1075=2016,G1075/$P$14,B1075=2017,G1075/$P$15,B1075=2018,G1075/$P$16,B1075=2019,G1075/$P$17,B1075=2019,G1075/$P$18,B1075=2020,G1075/$P$18,B1075=2021,G1075/$P$19,B1075=2022,G1075/$P$20)</f>
        <v>3.0204792984334498E-3</v>
      </c>
    </row>
    <row r="1076" spans="1:12" x14ac:dyDescent="0.2">
      <c r="A1076">
        <v>3813710</v>
      </c>
      <c r="B1076">
        <v>2022</v>
      </c>
      <c r="C1076" t="s">
        <v>252</v>
      </c>
      <c r="D1076" t="s">
        <v>254</v>
      </c>
      <c r="E1076" t="s">
        <v>256</v>
      </c>
      <c r="F1076" s="5" t="s">
        <v>51</v>
      </c>
      <c r="G1076" s="7">
        <v>317053</v>
      </c>
      <c r="H1076" s="7" cm="1">
        <f t="array" ref="H1076">_xlfn.IFS(B1076=2015,L1076*$P$3,B1076=2016,L1076*$P$4,B1076=2017,L1076*$P$5,B1076=2018,L1076*$P$6,B1076=2019,L1076*$P$7,B1076=2020,L1076*$P$8,B1076=2021,L1076*$P$9,B1076=2022,L1076*$P$10)</f>
        <v>6452.8411579934582</v>
      </c>
      <c r="I1076" s="7">
        <f t="shared" si="35"/>
        <v>323505.84115799348</v>
      </c>
      <c r="J1076">
        <f>IFERROR(VLOOKUP(F1076,'LEAID Match'!$A$2:$B$227,2,FALSE),"")</f>
        <v>3813710</v>
      </c>
      <c r="K1076">
        <f t="shared" si="34"/>
        <v>8</v>
      </c>
      <c r="L1076" cm="1">
        <f t="array" ref="L1076">_xlfn.IFS(B1076=2015,G1076/$P$13,B1076=2016,G1076/$P$14,B1076=2017,G1076/$P$15,B1076=2018,G1076/$P$16,B1076=2019,G1076/$P$17,B1076=2019,G1076/$P$18,B1076=2020,G1076/$P$18,B1076=2021,G1076/$P$19,B1076=2022,G1076/$P$20)</f>
        <v>3.1600593330036522E-3</v>
      </c>
    </row>
    <row r="1077" spans="1:12" x14ac:dyDescent="0.2">
      <c r="A1077">
        <v>3800027</v>
      </c>
      <c r="B1077">
        <v>2015</v>
      </c>
      <c r="C1077" t="s">
        <v>252</v>
      </c>
      <c r="D1077" t="s">
        <v>254</v>
      </c>
      <c r="E1077" t="s">
        <v>256</v>
      </c>
      <c r="F1077" s="5" t="s">
        <v>52</v>
      </c>
      <c r="G1077" s="7">
        <v>156076</v>
      </c>
      <c r="H1077" s="7" cm="1">
        <f t="array" ref="H1077">_xlfn.IFS(B1077=2015,L1077*$P$3,B1077=2016,L1077*$P$4,B1077=2017,L1077*$P$5,B1077=2018,L1077*$P$6,B1077=2019,L1077*$P$7,B1077=2020,L1077*$P$8,B1077=2021,L1077*$P$9,B1077=2022,L1077*$P$10)</f>
        <v>3528.6322095429728</v>
      </c>
      <c r="I1077" s="7">
        <f t="shared" si="35"/>
        <v>159604.63220954296</v>
      </c>
      <c r="J1077">
        <f>IFERROR(VLOOKUP(F1077,'LEAID Match'!$A$2:$B$227,2,FALSE),"")</f>
        <v>3800027</v>
      </c>
      <c r="K1077">
        <f t="shared" si="34"/>
        <v>8</v>
      </c>
      <c r="L1077" cm="1">
        <f t="array" ref="L1077">_xlfn.IFS(B1077=2015,G1077/$P$13,B1077=2016,G1077/$P$14,B1077=2017,G1077/$P$15,B1077=2018,G1077/$P$16,B1077=2019,G1077/$P$17,B1077=2019,G1077/$P$18,B1077=2020,G1077/$P$18,B1077=2021,G1077/$P$19,B1077=2022,G1077/$P$20)</f>
        <v>1.99020429190241E-3</v>
      </c>
    </row>
    <row r="1078" spans="1:12" x14ac:dyDescent="0.2">
      <c r="A1078">
        <v>3800027</v>
      </c>
      <c r="B1078">
        <v>2016</v>
      </c>
      <c r="C1078" t="s">
        <v>252</v>
      </c>
      <c r="D1078" t="s">
        <v>254</v>
      </c>
      <c r="E1078" t="s">
        <v>256</v>
      </c>
      <c r="F1078" s="5" t="s">
        <v>52</v>
      </c>
      <c r="G1078" s="7">
        <v>175110</v>
      </c>
      <c r="H1078" s="7" cm="1">
        <f t="array" ref="H1078">_xlfn.IFS(B1078=2015,L1078*$P$3,B1078=2016,L1078*$P$4,B1078=2017,L1078*$P$5,B1078=2018,L1078*$P$6,B1078=2019,L1078*$P$7,B1078=2020,L1078*$P$8,B1078=2021,L1078*$P$9,B1078=2022,L1078*$P$10)</f>
        <v>5946.2197041182953</v>
      </c>
      <c r="I1078" s="7">
        <f t="shared" si="35"/>
        <v>181056.2197041183</v>
      </c>
      <c r="J1078">
        <f>IFERROR(VLOOKUP(F1078,'LEAID Match'!$A$2:$B$227,2,FALSE),"")</f>
        <v>3800027</v>
      </c>
      <c r="K1078">
        <f t="shared" si="34"/>
        <v>8</v>
      </c>
      <c r="L1078" cm="1">
        <f t="array" ref="L1078">_xlfn.IFS(B1078=2015,G1078/$P$13,B1078=2016,G1078/$P$14,B1078=2017,G1078/$P$15,B1078=2018,G1078/$P$16,B1078=2019,G1078/$P$17,B1078=2019,G1078/$P$18,B1078=2020,G1078/$P$18,B1078=2021,G1078/$P$19,B1078=2022,G1078/$P$20)</f>
        <v>2.113835657347421E-3</v>
      </c>
    </row>
    <row r="1079" spans="1:12" x14ac:dyDescent="0.2">
      <c r="A1079">
        <v>3800027</v>
      </c>
      <c r="B1079">
        <v>2017</v>
      </c>
      <c r="C1079" t="s">
        <v>252</v>
      </c>
      <c r="D1079" t="s">
        <v>254</v>
      </c>
      <c r="E1079" t="s">
        <v>256</v>
      </c>
      <c r="F1079" s="5" t="s">
        <v>52</v>
      </c>
      <c r="G1079" s="7">
        <v>182182</v>
      </c>
      <c r="H1079" s="7" cm="1">
        <f t="array" ref="H1079">_xlfn.IFS(B1079=2015,L1079*$P$3,B1079=2016,L1079*$P$4,B1079=2017,L1079*$P$5,B1079=2018,L1079*$P$6,B1079=2019,L1079*$P$7,B1079=2020,L1079*$P$8,B1079=2021,L1079*$P$9,B1079=2022,L1079*$P$10)</f>
        <v>5904.163502601702</v>
      </c>
      <c r="I1079" s="7">
        <f t="shared" si="35"/>
        <v>188086.1635026017</v>
      </c>
      <c r="J1079">
        <f>IFERROR(VLOOKUP(F1079,'LEAID Match'!$A$2:$B$227,2,FALSE),"")</f>
        <v>3800027</v>
      </c>
      <c r="K1079">
        <f t="shared" si="34"/>
        <v>8</v>
      </c>
      <c r="L1079" cm="1">
        <f t="array" ref="L1079">_xlfn.IFS(B1079=2015,G1079/$P$13,B1079=2016,G1079/$P$14,B1079=2017,G1079/$P$15,B1079=2018,G1079/$P$16,B1079=2019,G1079/$P$17,B1079=2019,G1079/$P$18,B1079=2020,G1079/$P$18,B1079=2021,G1079/$P$19,B1079=2022,G1079/$P$20)</f>
        <v>2.1169463974907501E-3</v>
      </c>
    </row>
    <row r="1080" spans="1:12" x14ac:dyDescent="0.2">
      <c r="A1080">
        <v>3800027</v>
      </c>
      <c r="B1080" s="5">
        <v>2018</v>
      </c>
      <c r="C1080" t="s">
        <v>252</v>
      </c>
      <c r="D1080" t="s">
        <v>254</v>
      </c>
      <c r="E1080" t="s">
        <v>256</v>
      </c>
      <c r="F1080" s="5" t="s">
        <v>52</v>
      </c>
      <c r="G1080" s="7">
        <v>182260</v>
      </c>
      <c r="H1080" s="7" cm="1">
        <f t="array" ref="H1080">_xlfn.IFS(B1080=2015,L1080*$P$3,B1080=2016,L1080*$P$4,B1080=2017,L1080*$P$5,B1080=2018,L1080*$P$6,B1080=2019,L1080*$P$7,B1080=2020,L1080*$P$8,B1080=2021,L1080*$P$9,B1080=2022,L1080*$P$10)</f>
        <v>4994.1041725590812</v>
      </c>
      <c r="I1080" s="7">
        <f t="shared" si="35"/>
        <v>187254.10417255908</v>
      </c>
      <c r="J1080">
        <f>IFERROR(VLOOKUP(F1080,'LEAID Match'!$A$2:$B$227,2,FALSE),"")</f>
        <v>3800027</v>
      </c>
      <c r="K1080">
        <f t="shared" si="34"/>
        <v>8</v>
      </c>
      <c r="L1080" cm="1">
        <f t="array" ref="L1080">_xlfn.IFS(B1080=2015,G1080/$P$13,B1080=2016,G1080/$P$14,B1080=2017,G1080/$P$15,B1080=2018,G1080/$P$16,B1080=2019,G1080/$P$17,B1080=2019,G1080/$P$18,B1080=2020,G1080/$P$18,B1080=2021,G1080/$P$19,B1080=2022,G1080/$P$20)</f>
        <v>2.1027807042354025E-3</v>
      </c>
    </row>
    <row r="1081" spans="1:12" x14ac:dyDescent="0.2">
      <c r="A1081">
        <v>3800027</v>
      </c>
      <c r="B1081">
        <v>2019</v>
      </c>
      <c r="C1081" t="s">
        <v>252</v>
      </c>
      <c r="D1081" t="s">
        <v>254</v>
      </c>
      <c r="E1081" t="s">
        <v>256</v>
      </c>
      <c r="F1081" s="5" t="s">
        <v>52</v>
      </c>
      <c r="G1081" s="7">
        <v>189515</v>
      </c>
      <c r="H1081" s="7" cm="1">
        <f t="array" ref="H1081">_xlfn.IFS(B1081=2015,L1081*$P$3,B1081=2016,L1081*$P$4,B1081=2017,L1081*$P$5,B1081=2018,L1081*$P$6,B1081=2019,L1081*$P$7,B1081=2020,L1081*$P$8,B1081=2021,L1081*$P$9,B1081=2022,L1081*$P$10)</f>
        <v>4398.6099595639243</v>
      </c>
      <c r="I1081" s="7">
        <f t="shared" si="35"/>
        <v>193913.60995956394</v>
      </c>
      <c r="J1081">
        <f>IFERROR(VLOOKUP(F1081,'LEAID Match'!$A$2:$B$227,2,FALSE),"")</f>
        <v>3800027</v>
      </c>
      <c r="K1081">
        <f t="shared" si="34"/>
        <v>8</v>
      </c>
      <c r="L1081" cm="1">
        <f t="array" ref="L1081">_xlfn.IFS(B1081=2015,G1081/$P$13,B1081=2016,G1081/$P$14,B1081=2017,G1081/$P$15,B1081=2018,G1081/$P$16,B1081=2019,G1081/$P$17,B1081=2019,G1081/$P$18,B1081=2020,G1081/$P$18,B1081=2021,G1081/$P$19,B1081=2022,G1081/$P$20)</f>
        <v>2.1187909246454355E-3</v>
      </c>
    </row>
    <row r="1082" spans="1:12" x14ac:dyDescent="0.2">
      <c r="A1082">
        <v>3800027</v>
      </c>
      <c r="B1082">
        <v>2020</v>
      </c>
      <c r="C1082" t="s">
        <v>252</v>
      </c>
      <c r="D1082" t="s">
        <v>254</v>
      </c>
      <c r="E1082" t="s">
        <v>256</v>
      </c>
      <c r="F1082" s="5" t="s">
        <v>52</v>
      </c>
      <c r="G1082" s="7">
        <v>179146</v>
      </c>
      <c r="H1082" s="7" cm="1">
        <f t="array" ref="H1082">_xlfn.IFS(B1082=2015,L1082*$P$3,B1082=2016,L1082*$P$4,B1082=2017,L1082*$P$5,B1082=2018,L1082*$P$6,B1082=2019,L1082*$P$7,B1082=2020,L1082*$P$8,B1082=2021,L1082*$P$9,B1082=2022,L1082*$P$10)</f>
        <v>4494.4181094301521</v>
      </c>
      <c r="I1082" s="7">
        <f t="shared" si="35"/>
        <v>183640.41810943015</v>
      </c>
      <c r="J1082">
        <f>IFERROR(VLOOKUP(F1082,'LEAID Match'!$A$2:$B$227,2,FALSE),"")</f>
        <v>3800027</v>
      </c>
      <c r="K1082">
        <f t="shared" si="34"/>
        <v>8</v>
      </c>
      <c r="L1082" cm="1">
        <f t="array" ref="L1082">_xlfn.IFS(B1082=2015,G1082/$P$13,B1082=2016,G1082/$P$14,B1082=2017,G1082/$P$15,B1082=2018,G1082/$P$16,B1082=2019,G1082/$P$17,B1082=2019,G1082/$P$18,B1082=2020,G1082/$P$18,B1082=2021,G1082/$P$19,B1082=2022,G1082/$P$20)</f>
        <v>1.9256290100386254E-3</v>
      </c>
    </row>
    <row r="1083" spans="1:12" x14ac:dyDescent="0.2">
      <c r="A1083">
        <v>3800027</v>
      </c>
      <c r="B1083" s="5">
        <v>2021</v>
      </c>
      <c r="C1083" t="s">
        <v>252</v>
      </c>
      <c r="D1083" t="s">
        <v>254</v>
      </c>
      <c r="E1083" t="s">
        <v>256</v>
      </c>
      <c r="F1083" s="5" t="s">
        <v>52</v>
      </c>
      <c r="G1083" s="7">
        <v>195996</v>
      </c>
      <c r="H1083" s="7" cm="1">
        <f t="array" ref="H1083">_xlfn.IFS(B1083=2015,L1083*$P$3,B1083=2016,L1083*$P$4,B1083=2017,L1083*$P$5,B1083=2018,L1083*$P$6,B1083=2019,L1083*$P$7,B1083=2020,L1083*$P$8,B1083=2021,L1083*$P$9,B1083=2022,L1083*$P$10)</f>
        <v>5355.4522182777318</v>
      </c>
      <c r="I1083" s="7">
        <f t="shared" si="35"/>
        <v>201351.45221827773</v>
      </c>
      <c r="J1083">
        <f>IFERROR(VLOOKUP(F1083,'LEAID Match'!$A$2:$B$227,2,FALSE),"")</f>
        <v>3800027</v>
      </c>
      <c r="K1083">
        <f t="shared" si="34"/>
        <v>8</v>
      </c>
      <c r="L1083" cm="1">
        <f t="array" ref="L1083">_xlfn.IFS(B1083=2015,G1083/$P$13,B1083=2016,G1083/$P$14,B1083=2017,G1083/$P$15,B1083=2018,G1083/$P$16,B1083=2019,G1083/$P$17,B1083=2019,G1083/$P$18,B1083=2020,G1083/$P$18,B1083=2021,G1083/$P$19,B1083=2022,G1083/$P$20)</f>
        <v>1.994581831760794E-3</v>
      </c>
    </row>
    <row r="1084" spans="1:12" x14ac:dyDescent="0.2">
      <c r="A1084">
        <v>3800027</v>
      </c>
      <c r="B1084">
        <v>2022</v>
      </c>
      <c r="C1084" t="s">
        <v>252</v>
      </c>
      <c r="D1084" t="s">
        <v>254</v>
      </c>
      <c r="E1084" t="s">
        <v>256</v>
      </c>
      <c r="F1084" s="5" t="s">
        <v>52</v>
      </c>
      <c r="G1084" s="7">
        <v>221548</v>
      </c>
      <c r="H1084" s="7" cm="1">
        <f t="array" ref="H1084">_xlfn.IFS(B1084=2015,L1084*$P$3,B1084=2016,L1084*$P$4,B1084=2017,L1084*$P$5,B1084=2018,L1084*$P$6,B1084=2019,L1084*$P$7,B1084=2020,L1084*$P$8,B1084=2021,L1084*$P$9,B1084=2022,L1084*$P$10)</f>
        <v>4509.0696283307034</v>
      </c>
      <c r="I1084" s="7">
        <f t="shared" si="35"/>
        <v>226057.0696283307</v>
      </c>
      <c r="J1084">
        <f>IFERROR(VLOOKUP(F1084,'LEAID Match'!$A$2:$B$227,2,FALSE),"")</f>
        <v>3800027</v>
      </c>
      <c r="K1084">
        <f t="shared" si="34"/>
        <v>8</v>
      </c>
      <c r="L1084" cm="1">
        <f t="array" ref="L1084">_xlfn.IFS(B1084=2015,G1084/$P$13,B1084=2016,G1084/$P$14,B1084=2017,G1084/$P$15,B1084=2018,G1084/$P$16,B1084=2019,G1084/$P$17,B1084=2019,G1084/$P$18,B1084=2020,G1084/$P$18,B1084=2021,G1084/$P$19,B1084=2022,G1084/$P$20)</f>
        <v>2.2081633831198353E-3</v>
      </c>
    </row>
    <row r="1085" spans="1:12" x14ac:dyDescent="0.2">
      <c r="A1085">
        <v>0</v>
      </c>
      <c r="B1085">
        <v>2015</v>
      </c>
      <c r="C1085" t="s">
        <v>252</v>
      </c>
      <c r="D1085" t="s">
        <v>254</v>
      </c>
      <c r="E1085" t="s">
        <v>256</v>
      </c>
      <c r="F1085" s="5" t="s">
        <v>56</v>
      </c>
      <c r="G1085" s="7">
        <v>257343</v>
      </c>
      <c r="H1085" s="7" cm="1">
        <f t="array" ref="H1085">_xlfn.IFS(B1085=2015,L1085*$P$3,B1085=2016,L1085*$P$4,B1085=2017,L1085*$P$5,B1085=2018,L1085*$P$6,B1085=2019,L1085*$P$7,B1085=2020,L1085*$P$8,B1085=2021,L1085*$P$9,B1085=2022,L1085*$P$10)</f>
        <v>5818.1193694124486</v>
      </c>
      <c r="I1085" s="7">
        <f t="shared" si="35"/>
        <v>263161.11936941242</v>
      </c>
      <c r="J1085">
        <f>IFERROR(VLOOKUP(F1085,'LEAID Match'!$A$2:$B$227,2,FALSE),"")</f>
        <v>0</v>
      </c>
      <c r="K1085">
        <f t="shared" si="34"/>
        <v>130</v>
      </c>
      <c r="L1085" cm="1">
        <f t="array" ref="L1085">_xlfn.IFS(B1085=2015,G1085/$P$13,B1085=2016,G1085/$P$14,B1085=2017,G1085/$P$15,B1085=2018,G1085/$P$16,B1085=2019,G1085/$P$17,B1085=2019,G1085/$P$18,B1085=2020,G1085/$P$18,B1085=2021,G1085/$P$19,B1085=2022,G1085/$P$20)</f>
        <v>3.2815112066624076E-3</v>
      </c>
    </row>
    <row r="1086" spans="1:12" x14ac:dyDescent="0.2">
      <c r="A1086">
        <v>0</v>
      </c>
      <c r="B1086">
        <v>2016</v>
      </c>
      <c r="C1086" t="s">
        <v>252</v>
      </c>
      <c r="D1086" t="s">
        <v>254</v>
      </c>
      <c r="E1086" t="s">
        <v>256</v>
      </c>
      <c r="F1086" s="5" t="s">
        <v>56</v>
      </c>
      <c r="G1086" s="7">
        <v>259181</v>
      </c>
      <c r="H1086" s="7" cm="1">
        <f t="array" ref="H1086">_xlfn.IFS(B1086=2015,L1086*$P$3,B1086=2016,L1086*$P$4,B1086=2017,L1086*$P$5,B1086=2018,L1086*$P$6,B1086=2019,L1086*$P$7,B1086=2020,L1086*$P$8,B1086=2021,L1086*$P$9,B1086=2022,L1086*$P$10)</f>
        <v>8801.0231804756095</v>
      </c>
      <c r="I1086" s="7">
        <f t="shared" si="35"/>
        <v>267982.02318047563</v>
      </c>
      <c r="J1086">
        <f>IFERROR(VLOOKUP(F1086,'LEAID Match'!$A$2:$B$227,2,FALSE),"")</f>
        <v>0</v>
      </c>
      <c r="K1086">
        <f t="shared" si="34"/>
        <v>130</v>
      </c>
      <c r="L1086" cm="1">
        <f t="array" ref="L1086">_xlfn.IFS(B1086=2015,G1086/$P$13,B1086=2016,G1086/$P$14,B1086=2017,G1086/$P$15,B1086=2018,G1086/$P$16,B1086=2019,G1086/$P$17,B1086=2019,G1086/$P$18,B1086=2020,G1086/$P$18,B1086=2021,G1086/$P$19,B1086=2022,G1086/$P$20)</f>
        <v>3.1286964736848949E-3</v>
      </c>
    </row>
    <row r="1087" spans="1:12" x14ac:dyDescent="0.2">
      <c r="A1087">
        <v>0</v>
      </c>
      <c r="B1087">
        <v>2017</v>
      </c>
      <c r="C1087" t="s">
        <v>252</v>
      </c>
      <c r="D1087" t="s">
        <v>254</v>
      </c>
      <c r="E1087" t="s">
        <v>256</v>
      </c>
      <c r="F1087" s="5" t="s">
        <v>56</v>
      </c>
      <c r="G1087" s="7">
        <v>264029</v>
      </c>
      <c r="H1087" s="7" cm="1">
        <f t="array" ref="H1087">_xlfn.IFS(B1087=2015,L1087*$P$3,B1087=2016,L1087*$P$4,B1087=2017,L1087*$P$5,B1087=2018,L1087*$P$6,B1087=2019,L1087*$P$7,B1087=2020,L1087*$P$8,B1087=2021,L1087*$P$9,B1087=2022,L1087*$P$10)</f>
        <v>8556.6652327256506</v>
      </c>
      <c r="I1087" s="7">
        <f t="shared" si="35"/>
        <v>272585.66523272567</v>
      </c>
      <c r="J1087">
        <f>IFERROR(VLOOKUP(F1087,'LEAID Match'!$A$2:$B$227,2,FALSE),"")</f>
        <v>0</v>
      </c>
      <c r="K1087">
        <f t="shared" si="34"/>
        <v>130</v>
      </c>
      <c r="L1087" cm="1">
        <f t="array" ref="L1087">_xlfn.IFS(B1087=2015,G1087/$P$13,B1087=2016,G1087/$P$14,B1087=2017,G1087/$P$15,B1087=2018,G1087/$P$16,B1087=2019,G1087/$P$17,B1087=2019,G1087/$P$18,B1087=2020,G1087/$P$18,B1087=2021,G1087/$P$19,B1087=2022,G1087/$P$20)</f>
        <v>3.068004744612998E-3</v>
      </c>
    </row>
    <row r="1088" spans="1:12" x14ac:dyDescent="0.2">
      <c r="A1088">
        <v>3800059</v>
      </c>
      <c r="B1088">
        <v>2015</v>
      </c>
      <c r="C1088" t="s">
        <v>252</v>
      </c>
      <c r="D1088" t="s">
        <v>254</v>
      </c>
      <c r="E1088" t="s">
        <v>256</v>
      </c>
      <c r="F1088" s="5" t="s">
        <v>109</v>
      </c>
      <c r="G1088" s="7">
        <v>220537</v>
      </c>
      <c r="H1088" s="7" cm="1">
        <f t="array" ref="H1088">_xlfn.IFS(B1088=2015,L1088*$P$3,B1088=2016,L1088*$P$4,B1088=2017,L1088*$P$5,B1088=2018,L1088*$P$6,B1088=2019,L1088*$P$7,B1088=2020,L1088*$P$8,B1088=2021,L1088*$P$9,B1088=2022,L1088*$P$10)</f>
        <v>4985.9937568619052</v>
      </c>
      <c r="I1088" s="7">
        <f t="shared" si="35"/>
        <v>225522.99375686189</v>
      </c>
      <c r="J1088">
        <f>IFERROR(VLOOKUP(F1088,'LEAID Match'!$A$2:$B$227,2,FALSE),"")</f>
        <v>3800059</v>
      </c>
      <c r="K1088">
        <f t="shared" si="34"/>
        <v>8</v>
      </c>
      <c r="L1088" cm="1">
        <f t="array" ref="L1088">_xlfn.IFS(B1088=2015,G1088/$P$13,B1088=2016,G1088/$P$14,B1088=2017,G1088/$P$15,B1088=2018,G1088/$P$16,B1088=2019,G1088/$P$17,B1088=2019,G1088/$P$18,B1088=2020,G1088/$P$18,B1088=2021,G1088/$P$19,B1088=2022,G1088/$P$20)</f>
        <v>2.8121792198882714E-3</v>
      </c>
    </row>
    <row r="1089" spans="1:12" x14ac:dyDescent="0.2">
      <c r="A1089">
        <v>3800059</v>
      </c>
      <c r="B1089">
        <v>2016</v>
      </c>
      <c r="C1089" t="s">
        <v>252</v>
      </c>
      <c r="D1089" t="s">
        <v>254</v>
      </c>
      <c r="E1089" t="s">
        <v>256</v>
      </c>
      <c r="F1089" s="5" t="s">
        <v>109</v>
      </c>
      <c r="G1089" s="7">
        <v>217556</v>
      </c>
      <c r="H1089" s="7" cm="1">
        <f t="array" ref="H1089">_xlfn.IFS(B1089=2015,L1089*$P$3,B1089=2016,L1089*$P$4,B1089=2017,L1089*$P$5,B1089=2018,L1089*$P$6,B1089=2019,L1089*$P$7,B1089=2020,L1089*$P$8,B1089=2021,L1089*$P$9,B1089=2022,L1089*$P$10)</f>
        <v>7387.5608129127977</v>
      </c>
      <c r="I1089" s="7">
        <f t="shared" si="35"/>
        <v>224943.56081291279</v>
      </c>
      <c r="J1089">
        <f>IFERROR(VLOOKUP(F1089,'LEAID Match'!$A$2:$B$227,2,FALSE),"")</f>
        <v>3800059</v>
      </c>
      <c r="K1089">
        <f t="shared" si="34"/>
        <v>8</v>
      </c>
      <c r="L1089" cm="1">
        <f t="array" ref="L1089">_xlfn.IFS(B1089=2015,G1089/$P$13,B1089=2016,G1089/$P$14,B1089=2017,G1089/$P$15,B1089=2018,G1089/$P$16,B1089=2019,G1089/$P$17,B1089=2019,G1089/$P$18,B1089=2020,G1089/$P$18,B1089=2021,G1089/$P$19,B1089=2022,G1089/$P$20)</f>
        <v>2.626221405230287E-3</v>
      </c>
    </row>
    <row r="1090" spans="1:12" x14ac:dyDescent="0.2">
      <c r="A1090">
        <v>3800059</v>
      </c>
      <c r="B1090">
        <v>2017</v>
      </c>
      <c r="C1090" t="s">
        <v>252</v>
      </c>
      <c r="D1090" t="s">
        <v>254</v>
      </c>
      <c r="E1090" t="s">
        <v>256</v>
      </c>
      <c r="F1090" s="5" t="s">
        <v>109</v>
      </c>
      <c r="G1090" s="7">
        <v>210553</v>
      </c>
      <c r="H1090" s="7" cm="1">
        <f t="array" ref="H1090">_xlfn.IFS(B1090=2015,L1090*$P$3,B1090=2016,L1090*$P$4,B1090=2017,L1090*$P$5,B1090=2018,L1090*$P$6,B1090=2019,L1090*$P$7,B1090=2020,L1090*$P$8,B1090=2021,L1090*$P$9,B1090=2022,L1090*$P$10)</f>
        <v>6823.6123105646893</v>
      </c>
      <c r="I1090" s="7">
        <f t="shared" si="35"/>
        <v>217376.6123105647</v>
      </c>
      <c r="J1090">
        <f>IFERROR(VLOOKUP(F1090,'LEAID Match'!$A$2:$B$227,2,FALSE),"")</f>
        <v>3800059</v>
      </c>
      <c r="K1090">
        <f t="shared" ref="K1090:K1153" si="36">COUNTIF($A$2:$A$1757,A1090)</f>
        <v>8</v>
      </c>
      <c r="L1090" cm="1">
        <f t="array" ref="L1090">_xlfn.IFS(B1090=2015,G1090/$P$13,B1090=2016,G1090/$P$14,B1090=2017,G1090/$P$15,B1090=2018,G1090/$P$16,B1090=2019,G1090/$P$17,B1090=2019,G1090/$P$18,B1090=2020,G1090/$P$18,B1090=2021,G1090/$P$19,B1090=2022,G1090/$P$20)</f>
        <v>2.4466161027481854E-3</v>
      </c>
    </row>
    <row r="1091" spans="1:12" x14ac:dyDescent="0.2">
      <c r="A1091">
        <v>3800059</v>
      </c>
      <c r="B1091" s="5">
        <v>2018</v>
      </c>
      <c r="C1091" t="s">
        <v>252</v>
      </c>
      <c r="D1091" t="s">
        <v>254</v>
      </c>
      <c r="E1091" t="s">
        <v>256</v>
      </c>
      <c r="F1091" s="5" t="s">
        <v>109</v>
      </c>
      <c r="G1091" s="7">
        <v>220789</v>
      </c>
      <c r="H1091" s="7" cm="1">
        <f t="array" ref="H1091">_xlfn.IFS(B1091=2015,L1091*$P$3,B1091=2016,L1091*$P$4,B1091=2017,L1091*$P$5,B1091=2018,L1091*$P$6,B1091=2019,L1091*$P$7,B1091=2020,L1091*$P$8,B1091=2021,L1091*$P$9,B1091=2022,L1091*$P$10)</f>
        <v>6049.8368602828205</v>
      </c>
      <c r="I1091" s="7">
        <f t="shared" ref="I1091:I1154" si="37">SUM(G1091:H1091)</f>
        <v>226838.83686028281</v>
      </c>
      <c r="J1091">
        <f>IFERROR(VLOOKUP(F1091,'LEAID Match'!$A$2:$B$227,2,FALSE),"")</f>
        <v>3800059</v>
      </c>
      <c r="K1091">
        <f t="shared" si="36"/>
        <v>8</v>
      </c>
      <c r="L1091" cm="1">
        <f t="array" ref="L1091">_xlfn.IFS(B1091=2015,G1091/$P$13,B1091=2016,G1091/$P$14,B1091=2017,G1091/$P$15,B1091=2018,G1091/$P$16,B1091=2019,G1091/$P$17,B1091=2019,G1091/$P$18,B1091=2020,G1091/$P$18,B1091=2021,G1091/$P$19,B1091=2022,G1091/$P$20)</f>
        <v>2.5472997306453982E-3</v>
      </c>
    </row>
    <row r="1092" spans="1:12" x14ac:dyDescent="0.2">
      <c r="A1092">
        <v>3800059</v>
      </c>
      <c r="B1092">
        <v>2019</v>
      </c>
      <c r="C1092" t="s">
        <v>252</v>
      </c>
      <c r="D1092" t="s">
        <v>254</v>
      </c>
      <c r="E1092" t="s">
        <v>256</v>
      </c>
      <c r="F1092" s="5" t="s">
        <v>109</v>
      </c>
      <c r="G1092" s="7">
        <v>229419</v>
      </c>
      <c r="H1092" s="7" cm="1">
        <f t="array" ref="H1092">_xlfn.IFS(B1092=2015,L1092*$P$3,B1092=2016,L1092*$P$4,B1092=2017,L1092*$P$5,B1092=2018,L1092*$P$6,B1092=2019,L1092*$P$7,B1092=2020,L1092*$P$8,B1092=2021,L1092*$P$9,B1092=2022,L1092*$P$10)</f>
        <v>5324.774811034461</v>
      </c>
      <c r="I1092" s="7">
        <f t="shared" si="37"/>
        <v>234743.77481103447</v>
      </c>
      <c r="J1092">
        <f>IFERROR(VLOOKUP(F1092,'LEAID Match'!$A$2:$B$227,2,FALSE),"")</f>
        <v>3800059</v>
      </c>
      <c r="K1092">
        <f t="shared" si="36"/>
        <v>8</v>
      </c>
      <c r="L1092" cm="1">
        <f t="array" ref="L1092">_xlfn.IFS(B1092=2015,G1092/$P$13,B1092=2016,G1092/$P$14,B1092=2017,G1092/$P$15,B1092=2018,G1092/$P$16,B1092=2019,G1092/$P$17,B1092=2019,G1092/$P$18,B1092=2020,G1092/$P$18,B1092=2021,G1092/$P$19,B1092=2022,G1092/$P$20)</f>
        <v>2.5649204292073511E-3</v>
      </c>
    </row>
    <row r="1093" spans="1:12" x14ac:dyDescent="0.2">
      <c r="A1093">
        <v>3800059</v>
      </c>
      <c r="B1093">
        <v>2020</v>
      </c>
      <c r="C1093" t="s">
        <v>252</v>
      </c>
      <c r="D1093" t="s">
        <v>254</v>
      </c>
      <c r="E1093" t="s">
        <v>256</v>
      </c>
      <c r="F1093" s="5" t="s">
        <v>109</v>
      </c>
      <c r="G1093" s="7">
        <v>232372</v>
      </c>
      <c r="H1093" s="7" cm="1">
        <f t="array" ref="H1093">_xlfn.IFS(B1093=2015,L1093*$P$3,B1093=2016,L1093*$P$4,B1093=2017,L1093*$P$5,B1093=2018,L1093*$P$6,B1093=2019,L1093*$P$7,B1093=2020,L1093*$P$8,B1093=2021,L1093*$P$9,B1093=2022,L1093*$P$10)</f>
        <v>5829.7529664324256</v>
      </c>
      <c r="I1093" s="7">
        <f t="shared" si="37"/>
        <v>238201.75296643242</v>
      </c>
      <c r="J1093">
        <f>IFERROR(VLOOKUP(F1093,'LEAID Match'!$A$2:$B$227,2,FALSE),"")</f>
        <v>3800059</v>
      </c>
      <c r="K1093">
        <f t="shared" si="36"/>
        <v>8</v>
      </c>
      <c r="L1093" cm="1">
        <f t="array" ref="L1093">_xlfn.IFS(B1093=2015,G1093/$P$13,B1093=2016,G1093/$P$14,B1093=2017,G1093/$P$15,B1093=2018,G1093/$P$16,B1093=2019,G1093/$P$17,B1093=2019,G1093/$P$18,B1093=2020,G1093/$P$18,B1093=2021,G1093/$P$19,B1093=2022,G1093/$P$20)</f>
        <v>2.4977519136385714E-3</v>
      </c>
    </row>
    <row r="1094" spans="1:12" x14ac:dyDescent="0.2">
      <c r="A1094">
        <v>3800059</v>
      </c>
      <c r="B1094" s="5">
        <v>2021</v>
      </c>
      <c r="C1094" t="s">
        <v>252</v>
      </c>
      <c r="D1094" t="s">
        <v>254</v>
      </c>
      <c r="E1094" t="s">
        <v>256</v>
      </c>
      <c r="F1094" s="5" t="s">
        <v>109</v>
      </c>
      <c r="G1094" s="7">
        <v>236624</v>
      </c>
      <c r="H1094" s="7" cm="1">
        <f t="array" ref="H1094">_xlfn.IFS(B1094=2015,L1094*$P$3,B1094=2016,L1094*$P$4,B1094=2017,L1094*$P$5,B1094=2018,L1094*$P$6,B1094=2019,L1094*$P$7,B1094=2020,L1094*$P$8,B1094=2021,L1094*$P$9,B1094=2022,L1094*$P$10)</f>
        <v>6465.583612409182</v>
      </c>
      <c r="I1094" s="7">
        <f t="shared" si="37"/>
        <v>243089.58361240919</v>
      </c>
      <c r="J1094">
        <f>IFERROR(VLOOKUP(F1094,'LEAID Match'!$A$2:$B$227,2,FALSE),"")</f>
        <v>3800059</v>
      </c>
      <c r="K1094">
        <f t="shared" si="36"/>
        <v>8</v>
      </c>
      <c r="L1094" cm="1">
        <f t="array" ref="L1094">_xlfn.IFS(B1094=2015,G1094/$P$13,B1094=2016,G1094/$P$14,B1094=2017,G1094/$P$15,B1094=2018,G1094/$P$16,B1094=2019,G1094/$P$17,B1094=2019,G1094/$P$18,B1094=2020,G1094/$P$18,B1094=2021,G1094/$P$19,B1094=2022,G1094/$P$20)</f>
        <v>2.4080385893516507E-3</v>
      </c>
    </row>
    <row r="1095" spans="1:12" x14ac:dyDescent="0.2">
      <c r="A1095">
        <v>3800059</v>
      </c>
      <c r="B1095">
        <v>2022</v>
      </c>
      <c r="C1095" t="s">
        <v>252</v>
      </c>
      <c r="D1095" t="s">
        <v>254</v>
      </c>
      <c r="E1095" t="s">
        <v>256</v>
      </c>
      <c r="F1095" s="5" t="s">
        <v>109</v>
      </c>
      <c r="G1095" s="7">
        <v>237674</v>
      </c>
      <c r="H1095" s="7" cm="1">
        <f t="array" ref="H1095">_xlfn.IFS(B1095=2015,L1095*$P$3,B1095=2016,L1095*$P$4,B1095=2017,L1095*$P$5,B1095=2018,L1095*$P$6,B1095=2019,L1095*$P$7,B1095=2020,L1095*$P$8,B1095=2021,L1095*$P$9,B1095=2022,L1095*$P$10)</f>
        <v>4837.2750593274222</v>
      </c>
      <c r="I1095" s="7">
        <f t="shared" si="37"/>
        <v>242511.27505932742</v>
      </c>
      <c r="J1095">
        <f>IFERROR(VLOOKUP(F1095,'LEAID Match'!$A$2:$B$227,2,FALSE),"")</f>
        <v>3800059</v>
      </c>
      <c r="K1095">
        <f t="shared" si="36"/>
        <v>8</v>
      </c>
      <c r="L1095" cm="1">
        <f t="array" ref="L1095">_xlfn.IFS(B1095=2015,G1095/$P$13,B1095=2016,G1095/$P$14,B1095=2017,G1095/$P$15,B1095=2018,G1095/$P$16,B1095=2019,G1095/$P$17,B1095=2019,G1095/$P$18,B1095=2020,G1095/$P$18,B1095=2021,G1095/$P$19,B1095=2022,G1095/$P$20)</f>
        <v>2.3688908223934487E-3</v>
      </c>
    </row>
    <row r="1096" spans="1:12" x14ac:dyDescent="0.2">
      <c r="A1096">
        <v>3800392</v>
      </c>
      <c r="B1096">
        <v>2015</v>
      </c>
      <c r="C1096" t="s">
        <v>252</v>
      </c>
      <c r="D1096" t="s">
        <v>254</v>
      </c>
      <c r="E1096" t="s">
        <v>256</v>
      </c>
      <c r="F1096" s="5" t="s">
        <v>110</v>
      </c>
      <c r="G1096" s="7">
        <v>222263</v>
      </c>
      <c r="H1096" s="7" cm="1">
        <f t="array" ref="H1096">_xlfn.IFS(B1096=2015,L1096*$P$3,B1096=2016,L1096*$P$4,B1096=2017,L1096*$P$5,B1096=2018,L1096*$P$6,B1096=2019,L1096*$P$7,B1096=2020,L1096*$P$8,B1096=2021,L1096*$P$9,B1096=2022,L1096*$P$10)</f>
        <v>5025.0158947541577</v>
      </c>
      <c r="I1096" s="7">
        <f t="shared" si="37"/>
        <v>227288.01589475415</v>
      </c>
      <c r="J1096">
        <f>IFERROR(VLOOKUP(F1096,'LEAID Match'!$A$2:$B$227,2,FALSE),"")</f>
        <v>3800392</v>
      </c>
      <c r="K1096">
        <f t="shared" si="36"/>
        <v>8</v>
      </c>
      <c r="L1096" cm="1">
        <f t="array" ref="L1096">_xlfn.IFS(B1096=2015,G1096/$P$13,B1096=2016,G1096/$P$14,B1096=2017,G1096/$P$15,B1096=2018,G1096/$P$16,B1096=2019,G1096/$P$17,B1096=2019,G1096/$P$18,B1096=2020,G1096/$P$18,B1096=2021,G1096/$P$19,B1096=2022,G1096/$P$20)</f>
        <v>2.8341883219143585E-3</v>
      </c>
    </row>
    <row r="1097" spans="1:12" x14ac:dyDescent="0.2">
      <c r="A1097">
        <v>3800392</v>
      </c>
      <c r="B1097">
        <v>2016</v>
      </c>
      <c r="C1097" t="s">
        <v>252</v>
      </c>
      <c r="D1097" t="s">
        <v>254</v>
      </c>
      <c r="E1097" t="s">
        <v>256</v>
      </c>
      <c r="F1097" s="5" t="s">
        <v>110</v>
      </c>
      <c r="G1097" s="7">
        <v>216562</v>
      </c>
      <c r="H1097" s="7" cm="1">
        <f t="array" ref="H1097">_xlfn.IFS(B1097=2015,L1097*$P$3,B1097=2016,L1097*$P$4,B1097=2017,L1097*$P$5,B1097=2018,L1097*$P$6,B1097=2019,L1097*$P$7,B1097=2020,L1097*$P$8,B1097=2021,L1097*$P$9,B1097=2022,L1097*$P$10)</f>
        <v>7353.8075013606667</v>
      </c>
      <c r="I1097" s="7">
        <f t="shared" si="37"/>
        <v>223915.80750136066</v>
      </c>
      <c r="J1097">
        <f>IFERROR(VLOOKUP(F1097,'LEAID Match'!$A$2:$B$227,2,FALSE),"")</f>
        <v>3800392</v>
      </c>
      <c r="K1097">
        <f t="shared" si="36"/>
        <v>8</v>
      </c>
      <c r="L1097" cm="1">
        <f t="array" ref="L1097">_xlfn.IFS(B1097=2015,G1097/$P$13,B1097=2016,G1097/$P$14,B1097=2017,G1097/$P$15,B1097=2018,G1097/$P$16,B1097=2019,G1097/$P$17,B1097=2019,G1097/$P$18,B1097=2020,G1097/$P$18,B1097=2021,G1097/$P$19,B1097=2022,G1097/$P$20)</f>
        <v>2.6142223609529566E-3</v>
      </c>
    </row>
    <row r="1098" spans="1:12" x14ac:dyDescent="0.2">
      <c r="A1098">
        <v>3800392</v>
      </c>
      <c r="B1098">
        <v>2017</v>
      </c>
      <c r="C1098" t="s">
        <v>252</v>
      </c>
      <c r="D1098" t="s">
        <v>254</v>
      </c>
      <c r="E1098" t="s">
        <v>256</v>
      </c>
      <c r="F1098" s="5" t="s">
        <v>110</v>
      </c>
      <c r="G1098" s="7">
        <v>244528</v>
      </c>
      <c r="H1098" s="7" cm="1">
        <f t="array" ref="H1098">_xlfn.IFS(B1098=2015,L1098*$P$3,B1098=2016,L1098*$P$4,B1098=2017,L1098*$P$5,B1098=2018,L1098*$P$6,B1098=2019,L1098*$P$7,B1098=2020,L1098*$P$8,B1098=2021,L1098*$P$9,B1098=2022,L1098*$P$10)</f>
        <v>7924.6758349572901</v>
      </c>
      <c r="I1098" s="7">
        <f t="shared" si="37"/>
        <v>252452.67583495728</v>
      </c>
      <c r="J1098">
        <f>IFERROR(VLOOKUP(F1098,'LEAID Match'!$A$2:$B$227,2,FALSE),"")</f>
        <v>3800392</v>
      </c>
      <c r="K1098">
        <f t="shared" si="36"/>
        <v>8</v>
      </c>
      <c r="L1098" cm="1">
        <f t="array" ref="L1098">_xlfn.IFS(B1098=2015,G1098/$P$13,B1098=2016,G1098/$P$14,B1098=2017,G1098/$P$15,B1098=2018,G1098/$P$16,B1098=2019,G1098/$P$17,B1098=2019,G1098/$P$18,B1098=2020,G1098/$P$18,B1098=2021,G1098/$P$19,B1098=2022,G1098/$P$20)</f>
        <v>2.8414040283102509E-3</v>
      </c>
    </row>
    <row r="1099" spans="1:12" x14ac:dyDescent="0.2">
      <c r="A1099">
        <v>3800392</v>
      </c>
      <c r="B1099" s="5">
        <v>2018</v>
      </c>
      <c r="C1099" t="s">
        <v>252</v>
      </c>
      <c r="D1099" t="s">
        <v>254</v>
      </c>
      <c r="E1099" t="s">
        <v>256</v>
      </c>
      <c r="F1099" s="5" t="s">
        <v>110</v>
      </c>
      <c r="G1099" s="7">
        <v>248140</v>
      </c>
      <c r="H1099" s="7" cm="1">
        <f t="array" ref="H1099">_xlfn.IFS(B1099=2015,L1099*$P$3,B1099=2016,L1099*$P$4,B1099=2017,L1099*$P$5,B1099=2018,L1099*$P$6,B1099=2019,L1099*$P$7,B1099=2020,L1099*$P$8,B1099=2021,L1099*$P$9,B1099=2022,L1099*$P$10)</f>
        <v>6799.2812980292465</v>
      </c>
      <c r="I1099" s="7">
        <f t="shared" si="37"/>
        <v>254939.28129802924</v>
      </c>
      <c r="J1099">
        <f>IFERROR(VLOOKUP(F1099,'LEAID Match'!$A$2:$B$227,2,FALSE),"")</f>
        <v>3800392</v>
      </c>
      <c r="K1099">
        <f t="shared" si="36"/>
        <v>8</v>
      </c>
      <c r="L1099" cm="1">
        <f t="array" ref="L1099">_xlfn.IFS(B1099=2015,G1099/$P$13,B1099=2016,G1099/$P$14,B1099=2017,G1099/$P$15,B1099=2018,G1099/$P$16,B1099=2019,G1099/$P$17,B1099=2019,G1099/$P$18,B1099=2020,G1099/$P$18,B1099=2021,G1099/$P$19,B1099=2022,G1099/$P$20)</f>
        <v>2.8628552833807352E-3</v>
      </c>
    </row>
    <row r="1100" spans="1:12" x14ac:dyDescent="0.2">
      <c r="A1100">
        <v>3800392</v>
      </c>
      <c r="B1100">
        <v>2019</v>
      </c>
      <c r="C1100" t="s">
        <v>252</v>
      </c>
      <c r="D1100" t="s">
        <v>254</v>
      </c>
      <c r="E1100" t="s">
        <v>256</v>
      </c>
      <c r="F1100" s="5" t="s">
        <v>110</v>
      </c>
      <c r="G1100" s="7">
        <v>262689</v>
      </c>
      <c r="H1100" s="7" cm="1">
        <f t="array" ref="H1100">_xlfn.IFS(B1100=2015,L1100*$P$3,B1100=2016,L1100*$P$4,B1100=2017,L1100*$P$5,B1100=2018,L1100*$P$6,B1100=2019,L1100*$P$7,B1100=2020,L1100*$P$8,B1100=2021,L1100*$P$9,B1100=2022,L1100*$P$10)</f>
        <v>6096.9656843410157</v>
      </c>
      <c r="I1100" s="7">
        <f t="shared" si="37"/>
        <v>268785.96568434103</v>
      </c>
      <c r="J1100">
        <f>IFERROR(VLOOKUP(F1100,'LEAID Match'!$A$2:$B$227,2,FALSE),"")</f>
        <v>3800392</v>
      </c>
      <c r="K1100">
        <f t="shared" si="36"/>
        <v>8</v>
      </c>
      <c r="L1100" cm="1">
        <f t="array" ref="L1100">_xlfn.IFS(B1100=2015,G1100/$P$13,B1100=2016,G1100/$P$14,B1100=2017,G1100/$P$15,B1100=2018,G1100/$P$16,B1100=2019,G1100/$P$17,B1100=2019,G1100/$P$18,B1100=2020,G1100/$P$18,B1100=2021,G1100/$P$19,B1100=2022,G1100/$P$20)</f>
        <v>2.9368813508386395E-3</v>
      </c>
    </row>
    <row r="1101" spans="1:12" x14ac:dyDescent="0.2">
      <c r="A1101">
        <v>3800392</v>
      </c>
      <c r="B1101">
        <v>2020</v>
      </c>
      <c r="C1101" t="s">
        <v>252</v>
      </c>
      <c r="D1101" t="s">
        <v>254</v>
      </c>
      <c r="E1101" t="s">
        <v>256</v>
      </c>
      <c r="F1101" s="5" t="s">
        <v>110</v>
      </c>
      <c r="G1101" s="7">
        <v>272381</v>
      </c>
      <c r="H1101" s="7" cm="1">
        <f t="array" ref="H1101">_xlfn.IFS(B1101=2015,L1101*$P$3,B1101=2016,L1101*$P$4,B1101=2017,L1101*$P$5,B1101=2018,L1101*$P$6,B1101=2019,L1101*$P$7,B1101=2020,L1101*$P$8,B1101=2021,L1101*$P$9,B1101=2022,L1101*$P$10)</f>
        <v>6833.4994868135163</v>
      </c>
      <c r="I1101" s="7">
        <f t="shared" si="37"/>
        <v>279214.4994868135</v>
      </c>
      <c r="J1101">
        <f>IFERROR(VLOOKUP(F1101,'LEAID Match'!$A$2:$B$227,2,FALSE),"")</f>
        <v>3800392</v>
      </c>
      <c r="K1101">
        <f t="shared" si="36"/>
        <v>8</v>
      </c>
      <c r="L1101" cm="1">
        <f t="array" ref="L1101">_xlfn.IFS(B1101=2015,G1101/$P$13,B1101=2016,G1101/$P$14,B1101=2017,G1101/$P$15,B1101=2018,G1101/$P$16,B1101=2019,G1101/$P$17,B1101=2019,G1101/$P$18,B1101=2020,G1101/$P$18,B1101=2021,G1101/$P$19,B1101=2022,G1101/$P$20)</f>
        <v>2.9278061211711723E-3</v>
      </c>
    </row>
    <row r="1102" spans="1:12" x14ac:dyDescent="0.2">
      <c r="A1102">
        <v>3800392</v>
      </c>
      <c r="B1102" s="5">
        <v>2021</v>
      </c>
      <c r="C1102" t="s">
        <v>252</v>
      </c>
      <c r="D1102" t="s">
        <v>254</v>
      </c>
      <c r="E1102" t="s">
        <v>256</v>
      </c>
      <c r="F1102" s="5" t="s">
        <v>110</v>
      </c>
      <c r="G1102" s="7">
        <v>277088</v>
      </c>
      <c r="H1102" s="7" cm="1">
        <f t="array" ref="H1102">_xlfn.IFS(B1102=2015,L1102*$P$3,B1102=2016,L1102*$P$4,B1102=2017,L1102*$P$5,B1102=2018,L1102*$P$6,B1102=2019,L1102*$P$7,B1102=2020,L1102*$P$8,B1102=2021,L1102*$P$9,B1102=2022,L1102*$P$10)</f>
        <v>7571.2338224154573</v>
      </c>
      <c r="I1102" s="7">
        <f t="shared" si="37"/>
        <v>284659.23382241547</v>
      </c>
      <c r="J1102">
        <f>IFERROR(VLOOKUP(F1102,'LEAID Match'!$A$2:$B$227,2,FALSE),"")</f>
        <v>3800392</v>
      </c>
      <c r="K1102">
        <f t="shared" si="36"/>
        <v>8</v>
      </c>
      <c r="L1102" cm="1">
        <f t="array" ref="L1102">_xlfn.IFS(B1102=2015,G1102/$P$13,B1102=2016,G1102/$P$14,B1102=2017,G1102/$P$15,B1102=2018,G1102/$P$16,B1102=2019,G1102/$P$17,B1102=2019,G1102/$P$18,B1102=2020,G1102/$P$18,B1102=2021,G1102/$P$19,B1102=2022,G1102/$P$20)</f>
        <v>2.8198263770634851E-3</v>
      </c>
    </row>
    <row r="1103" spans="1:12" x14ac:dyDescent="0.2">
      <c r="A1103">
        <v>3800392</v>
      </c>
      <c r="B1103">
        <v>2022</v>
      </c>
      <c r="C1103" t="s">
        <v>252</v>
      </c>
      <c r="D1103" t="s">
        <v>254</v>
      </c>
      <c r="E1103" t="s">
        <v>256</v>
      </c>
      <c r="F1103" s="5" t="s">
        <v>110</v>
      </c>
      <c r="G1103" s="7">
        <v>288119</v>
      </c>
      <c r="H1103" s="7" cm="1">
        <f t="array" ref="H1103">_xlfn.IFS(B1103=2015,L1103*$P$3,B1103=2016,L1103*$P$4,B1103=2017,L1103*$P$5,B1103=2018,L1103*$P$6,B1103=2019,L1103*$P$7,B1103=2020,L1103*$P$8,B1103=2021,L1103*$P$9,B1103=2022,L1103*$P$10)</f>
        <v>5863.9601000461034</v>
      </c>
      <c r="I1103" s="7">
        <f t="shared" si="37"/>
        <v>293982.96010004613</v>
      </c>
      <c r="J1103">
        <f>IFERROR(VLOOKUP(F1103,'LEAID Match'!$A$2:$B$227,2,FALSE),"")</f>
        <v>3800392</v>
      </c>
      <c r="K1103">
        <f t="shared" si="36"/>
        <v>8</v>
      </c>
      <c r="L1103" cm="1">
        <f t="array" ref="L1103">_xlfn.IFS(B1103=2015,G1103/$P$13,B1103=2016,G1103/$P$14,B1103=2017,G1103/$P$15,B1103=2018,G1103/$P$16,B1103=2019,G1103/$P$17,B1103=2019,G1103/$P$18,B1103=2020,G1103/$P$18,B1103=2021,G1103/$P$19,B1103=2022,G1103/$P$20)</f>
        <v>2.8716748775935862E-3</v>
      </c>
    </row>
    <row r="1104" spans="1:12" x14ac:dyDescent="0.2">
      <c r="A1104">
        <v>3813920</v>
      </c>
      <c r="B1104">
        <v>2015</v>
      </c>
      <c r="C1104" t="s">
        <v>252</v>
      </c>
      <c r="D1104" t="s">
        <v>254</v>
      </c>
      <c r="E1104" t="s">
        <v>256</v>
      </c>
      <c r="F1104" s="5" t="s">
        <v>111</v>
      </c>
      <c r="G1104" s="7">
        <v>536810</v>
      </c>
      <c r="H1104" s="7" cm="1">
        <f t="array" ref="H1104">_xlfn.IFS(B1104=2015,L1104*$P$3,B1104=2016,L1104*$P$4,B1104=2017,L1104*$P$5,B1104=2018,L1104*$P$6,B1104=2019,L1104*$P$7,B1104=2020,L1104*$P$8,B1104=2021,L1104*$P$9,B1104=2022,L1104*$P$10)</f>
        <v>12136.427486639608</v>
      </c>
      <c r="I1104" s="7">
        <f t="shared" si="37"/>
        <v>548946.42748663959</v>
      </c>
      <c r="J1104">
        <f>IFERROR(VLOOKUP(F1104,'LEAID Match'!$A$2:$B$227,2,FALSE),"")</f>
        <v>3813920</v>
      </c>
      <c r="K1104">
        <f t="shared" si="36"/>
        <v>8</v>
      </c>
      <c r="L1104" cm="1">
        <f t="array" ref="L1104">_xlfn.IFS(B1104=2015,G1104/$P$13,B1104=2016,G1104/$P$14,B1104=2017,G1104/$P$15,B1104=2018,G1104/$P$16,B1104=2019,G1104/$P$17,B1104=2019,G1104/$P$18,B1104=2020,G1104/$P$18,B1104=2021,G1104/$P$19,B1104=2022,G1104/$P$20)</f>
        <v>6.8451367662941956E-3</v>
      </c>
    </row>
    <row r="1105" spans="1:12" x14ac:dyDescent="0.2">
      <c r="A1105">
        <v>3813920</v>
      </c>
      <c r="B1105">
        <v>2016</v>
      </c>
      <c r="C1105" t="s">
        <v>252</v>
      </c>
      <c r="D1105" t="s">
        <v>254</v>
      </c>
      <c r="E1105" t="s">
        <v>256</v>
      </c>
      <c r="F1105" s="5" t="s">
        <v>111</v>
      </c>
      <c r="G1105" s="7">
        <v>548745</v>
      </c>
      <c r="H1105" s="7" cm="1">
        <f t="array" ref="H1105">_xlfn.IFS(B1105=2015,L1105*$P$3,B1105=2016,L1105*$P$4,B1105=2017,L1105*$P$5,B1105=2018,L1105*$P$6,B1105=2019,L1105*$P$7,B1105=2020,L1105*$P$8,B1105=2021,L1105*$P$9,B1105=2022,L1105*$P$10)</f>
        <v>18633.763528846976</v>
      </c>
      <c r="I1105" s="7">
        <f t="shared" si="37"/>
        <v>567378.76352884702</v>
      </c>
      <c r="J1105">
        <f>IFERROR(VLOOKUP(F1105,'LEAID Match'!$A$2:$B$227,2,FALSE),"")</f>
        <v>3813920</v>
      </c>
      <c r="K1105">
        <f t="shared" si="36"/>
        <v>8</v>
      </c>
      <c r="L1105" cm="1">
        <f t="array" ref="L1105">_xlfn.IFS(B1105=2015,G1105/$P$13,B1105=2016,G1105/$P$14,B1105=2017,G1105/$P$15,B1105=2018,G1105/$P$16,B1105=2019,G1105/$P$17,B1105=2019,G1105/$P$18,B1105=2020,G1105/$P$18,B1105=2021,G1105/$P$19,B1105=2022,G1105/$P$20)</f>
        <v>6.6241605150540259E-3</v>
      </c>
    </row>
    <row r="1106" spans="1:12" x14ac:dyDescent="0.2">
      <c r="A1106">
        <v>3813920</v>
      </c>
      <c r="B1106">
        <v>2017</v>
      </c>
      <c r="C1106" t="s">
        <v>252</v>
      </c>
      <c r="D1106" t="s">
        <v>254</v>
      </c>
      <c r="E1106" t="s">
        <v>256</v>
      </c>
      <c r="F1106" s="5" t="s">
        <v>111</v>
      </c>
      <c r="G1106" s="7">
        <v>595255</v>
      </c>
      <c r="H1106" s="7" cm="1">
        <f t="array" ref="H1106">_xlfn.IFS(B1106=2015,L1106*$P$3,B1106=2016,L1106*$P$4,B1106=2017,L1106*$P$5,B1106=2018,L1106*$P$6,B1106=2019,L1106*$P$7,B1106=2020,L1106*$P$8,B1106=2021,L1106*$P$9,B1106=2022,L1106*$P$10)</f>
        <v>19291.054252018181</v>
      </c>
      <c r="I1106" s="7">
        <f t="shared" si="37"/>
        <v>614546.05425201822</v>
      </c>
      <c r="J1106">
        <f>IFERROR(VLOOKUP(F1106,'LEAID Match'!$A$2:$B$227,2,FALSE),"")</f>
        <v>3813920</v>
      </c>
      <c r="K1106">
        <f t="shared" si="36"/>
        <v>8</v>
      </c>
      <c r="L1106" cm="1">
        <f t="array" ref="L1106">_xlfn.IFS(B1106=2015,G1106/$P$13,B1106=2016,G1106/$P$14,B1106=2017,G1106/$P$15,B1106=2018,G1106/$P$16,B1106=2019,G1106/$P$17,B1106=2019,G1106/$P$18,B1106=2020,G1106/$P$18,B1106=2021,G1106/$P$19,B1106=2022,G1106/$P$20)</f>
        <v>6.9168355152449549E-3</v>
      </c>
    </row>
    <row r="1107" spans="1:12" x14ac:dyDescent="0.2">
      <c r="A1107">
        <v>3813920</v>
      </c>
      <c r="B1107" s="5">
        <v>2018</v>
      </c>
      <c r="C1107" t="s">
        <v>252</v>
      </c>
      <c r="D1107" t="s">
        <v>254</v>
      </c>
      <c r="E1107" t="s">
        <v>256</v>
      </c>
      <c r="F1107" s="5" t="s">
        <v>111</v>
      </c>
      <c r="G1107" s="7">
        <v>633186</v>
      </c>
      <c r="H1107" s="7" cm="1">
        <f t="array" ref="H1107">_xlfn.IFS(B1107=2015,L1107*$P$3,B1107=2016,L1107*$P$4,B1107=2017,L1107*$P$5,B1107=2018,L1107*$P$6,B1107=2019,L1107*$P$7,B1107=2020,L1107*$P$8,B1107=2021,L1107*$P$9,B1107=2022,L1107*$P$10)</f>
        <v>17349.922334061201</v>
      </c>
      <c r="I1107" s="7">
        <f t="shared" si="37"/>
        <v>650535.92233406124</v>
      </c>
      <c r="J1107">
        <f>IFERROR(VLOOKUP(F1107,'LEAID Match'!$A$2:$B$227,2,FALSE),"")</f>
        <v>3813920</v>
      </c>
      <c r="K1107">
        <f t="shared" si="36"/>
        <v>8</v>
      </c>
      <c r="L1107" cm="1">
        <f t="array" ref="L1107">_xlfn.IFS(B1107=2015,G1107/$P$13,B1107=2016,G1107/$P$14,B1107=2017,G1107/$P$15,B1107=2018,G1107/$P$16,B1107=2019,G1107/$P$17,B1107=2019,G1107/$P$18,B1107=2020,G1107/$P$18,B1107=2021,G1107/$P$19,B1107=2022,G1107/$P$20)</f>
        <v>7.3052304564468207E-3</v>
      </c>
    </row>
    <row r="1108" spans="1:12" x14ac:dyDescent="0.2">
      <c r="A1108">
        <v>3813920</v>
      </c>
      <c r="B1108">
        <v>2019</v>
      </c>
      <c r="C1108" t="s">
        <v>252</v>
      </c>
      <c r="D1108" t="s">
        <v>254</v>
      </c>
      <c r="E1108" t="s">
        <v>256</v>
      </c>
      <c r="F1108" s="5" t="s">
        <v>111</v>
      </c>
      <c r="G1108" s="7">
        <v>688460</v>
      </c>
      <c r="H1108" s="7" cm="1">
        <f t="array" ref="H1108">_xlfn.IFS(B1108=2015,L1108*$P$3,B1108=2016,L1108*$P$4,B1108=2017,L1108*$P$5,B1108=2018,L1108*$P$6,B1108=2019,L1108*$P$7,B1108=2020,L1108*$P$8,B1108=2021,L1108*$P$9,B1108=2022,L1108*$P$10)</f>
        <v>15979.036027551268</v>
      </c>
      <c r="I1108" s="7">
        <f t="shared" si="37"/>
        <v>704439.03602755128</v>
      </c>
      <c r="J1108">
        <f>IFERROR(VLOOKUP(F1108,'LEAID Match'!$A$2:$B$227,2,FALSE),"")</f>
        <v>3813920</v>
      </c>
      <c r="K1108">
        <f t="shared" si="36"/>
        <v>8</v>
      </c>
      <c r="L1108" cm="1">
        <f t="array" ref="L1108">_xlfn.IFS(B1108=2015,G1108/$P$13,B1108=2016,G1108/$P$14,B1108=2017,G1108/$P$15,B1108=2018,G1108/$P$16,B1108=2019,G1108/$P$17,B1108=2019,G1108/$P$18,B1108=2020,G1108/$P$18,B1108=2021,G1108/$P$19,B1108=2022,G1108/$P$20)</f>
        <v>7.6970308417877017E-3</v>
      </c>
    </row>
    <row r="1109" spans="1:12" x14ac:dyDescent="0.2">
      <c r="A1109">
        <v>3813920</v>
      </c>
      <c r="B1109">
        <v>2020</v>
      </c>
      <c r="C1109" t="s">
        <v>252</v>
      </c>
      <c r="D1109" t="s">
        <v>254</v>
      </c>
      <c r="E1109" t="s">
        <v>256</v>
      </c>
      <c r="F1109" s="5" t="s">
        <v>111</v>
      </c>
      <c r="G1109" s="7">
        <v>801469</v>
      </c>
      <c r="H1109" s="7" cm="1">
        <f t="array" ref="H1109">_xlfn.IFS(B1109=2015,L1109*$P$3,B1109=2016,L1109*$P$4,B1109=2017,L1109*$P$5,B1109=2018,L1109*$P$6,B1109=2019,L1109*$P$7,B1109=2020,L1109*$P$8,B1109=2021,L1109*$P$9,B1109=2022,L1109*$P$10)</f>
        <v>20107.268863088622</v>
      </c>
      <c r="I1109" s="7">
        <f t="shared" si="37"/>
        <v>821576.26886308857</v>
      </c>
      <c r="J1109">
        <f>IFERROR(VLOOKUP(F1109,'LEAID Match'!$A$2:$B$227,2,FALSE),"")</f>
        <v>3813920</v>
      </c>
      <c r="K1109">
        <f t="shared" si="36"/>
        <v>8</v>
      </c>
      <c r="L1109" cm="1">
        <f t="array" ref="L1109">_xlfn.IFS(B1109=2015,G1109/$P$13,B1109=2016,G1109/$P$14,B1109=2017,G1109/$P$15,B1109=2018,G1109/$P$16,B1109=2019,G1109/$P$17,B1109=2019,G1109/$P$18,B1109=2020,G1109/$P$18,B1109=2021,G1109/$P$19,B1109=2022,G1109/$P$20)</f>
        <v>8.6149395300294009E-3</v>
      </c>
    </row>
    <row r="1110" spans="1:12" x14ac:dyDescent="0.2">
      <c r="A1110">
        <v>3813920</v>
      </c>
      <c r="B1110" s="5">
        <v>2021</v>
      </c>
      <c r="C1110" t="s">
        <v>252</v>
      </c>
      <c r="D1110" t="s">
        <v>254</v>
      </c>
      <c r="E1110" t="s">
        <v>256</v>
      </c>
      <c r="F1110" s="5" t="s">
        <v>111</v>
      </c>
      <c r="G1110" s="7">
        <v>840084</v>
      </c>
      <c r="H1110" s="7" cm="1">
        <f t="array" ref="H1110">_xlfn.IFS(B1110=2015,L1110*$P$3,B1110=2016,L1110*$P$4,B1110=2017,L1110*$P$5,B1110=2018,L1110*$P$6,B1110=2019,L1110*$P$7,B1110=2020,L1110*$P$8,B1110=2021,L1110*$P$9,B1110=2022,L1110*$P$10)</f>
        <v>22954.701735441693</v>
      </c>
      <c r="I1110" s="7">
        <f t="shared" si="37"/>
        <v>863038.70173544169</v>
      </c>
      <c r="J1110">
        <f>IFERROR(VLOOKUP(F1110,'LEAID Match'!$A$2:$B$227,2,FALSE),"")</f>
        <v>3813920</v>
      </c>
      <c r="K1110">
        <f t="shared" si="36"/>
        <v>8</v>
      </c>
      <c r="L1110" cm="1">
        <f t="array" ref="L1110">_xlfn.IFS(B1110=2015,G1110/$P$13,B1110=2016,G1110/$P$14,B1110=2017,G1110/$P$15,B1110=2018,G1110/$P$16,B1110=2019,G1110/$P$17,B1110=2019,G1110/$P$18,B1110=2020,G1110/$P$18,B1110=2021,G1110/$P$19,B1110=2022,G1110/$P$20)</f>
        <v>8.549237145415901E-3</v>
      </c>
    </row>
    <row r="1111" spans="1:12" x14ac:dyDescent="0.2">
      <c r="A1111">
        <v>3813920</v>
      </c>
      <c r="B1111">
        <v>2022</v>
      </c>
      <c r="C1111" t="s">
        <v>252</v>
      </c>
      <c r="D1111" t="s">
        <v>254</v>
      </c>
      <c r="E1111" t="s">
        <v>256</v>
      </c>
      <c r="F1111" s="5" t="s">
        <v>111</v>
      </c>
      <c r="G1111" s="7">
        <v>898376</v>
      </c>
      <c r="H1111" s="7" cm="1">
        <f t="array" ref="H1111">_xlfn.IFS(B1111=2015,L1111*$P$3,B1111=2016,L1111*$P$4,B1111=2017,L1111*$P$5,B1111=2018,L1111*$P$6,B1111=2019,L1111*$P$7,B1111=2020,L1111*$P$8,B1111=2021,L1111*$P$9,B1111=2022,L1111*$P$10)</f>
        <v>18284.254140959183</v>
      </c>
      <c r="I1111" s="7">
        <f t="shared" si="37"/>
        <v>916660.25414095924</v>
      </c>
      <c r="J1111">
        <f>IFERROR(VLOOKUP(F1111,'LEAID Match'!$A$2:$B$227,2,FALSE),"")</f>
        <v>3813920</v>
      </c>
      <c r="K1111">
        <f t="shared" si="36"/>
        <v>8</v>
      </c>
      <c r="L1111" cm="1">
        <f t="array" ref="L1111">_xlfn.IFS(B1111=2015,G1111/$P$13,B1111=2016,G1111/$P$14,B1111=2017,G1111/$P$15,B1111=2018,G1111/$P$16,B1111=2019,G1111/$P$17,B1111=2019,G1111/$P$18,B1111=2020,G1111/$P$18,B1111=2021,G1111/$P$19,B1111=2022,G1111/$P$20)</f>
        <v>8.9540911561994032E-3</v>
      </c>
    </row>
    <row r="1112" spans="1:12" x14ac:dyDescent="0.2">
      <c r="A1112">
        <v>3800825</v>
      </c>
      <c r="B1112">
        <v>2020</v>
      </c>
      <c r="C1112" t="s">
        <v>252</v>
      </c>
      <c r="D1112" t="s">
        <v>254</v>
      </c>
      <c r="E1112" t="s">
        <v>256</v>
      </c>
      <c r="F1112" s="5" t="s">
        <v>112</v>
      </c>
      <c r="G1112" s="7">
        <v>107489</v>
      </c>
      <c r="H1112" s="7" cm="1">
        <f t="array" ref="H1112">_xlfn.IFS(B1112=2015,L1112*$P$3,B1112=2016,L1112*$P$4,B1112=2017,L1112*$P$5,B1112=2018,L1112*$P$6,B1112=2019,L1112*$P$7,B1112=2020,L1112*$P$8,B1112=2021,L1112*$P$9,B1112=2022,L1112*$P$10)</f>
        <v>2696.6859888835788</v>
      </c>
      <c r="I1112" s="7">
        <f t="shared" si="37"/>
        <v>110185.68598888358</v>
      </c>
      <c r="J1112">
        <f>IFERROR(VLOOKUP(F1112,'LEAID Match'!$A$2:$B$227,2,FALSE),"")</f>
        <v>3800825</v>
      </c>
      <c r="K1112">
        <f t="shared" si="36"/>
        <v>8</v>
      </c>
      <c r="L1112" cm="1">
        <f t="array" ref="L1112">_xlfn.IFS(B1112=2015,G1112/$P$13,B1112=2016,G1112/$P$14,B1112=2017,G1112/$P$15,B1112=2018,G1112/$P$16,B1112=2019,G1112/$P$17,B1112=2019,G1112/$P$18,B1112=2020,G1112/$P$18,B1112=2021,G1112/$P$19,B1112=2022,G1112/$P$20)</f>
        <v>1.1553924545345238E-3</v>
      </c>
    </row>
    <row r="1113" spans="1:12" x14ac:dyDescent="0.2">
      <c r="A1113">
        <v>3800825</v>
      </c>
      <c r="B1113">
        <v>2015</v>
      </c>
      <c r="C1113" t="s">
        <v>252</v>
      </c>
      <c r="D1113" t="s">
        <v>254</v>
      </c>
      <c r="E1113" t="s">
        <v>256</v>
      </c>
      <c r="F1113" s="5" t="s">
        <v>112</v>
      </c>
      <c r="G1113" s="7">
        <v>77731</v>
      </c>
      <c r="H1113" s="7" cm="1">
        <f t="array" ref="H1113">_xlfn.IFS(B1113=2015,L1113*$P$3,B1113=2016,L1113*$P$4,B1113=2017,L1113*$P$5,B1113=2018,L1113*$P$6,B1113=2019,L1113*$P$7,B1113=2020,L1113*$P$8,B1113=2021,L1113*$P$9,B1113=2022,L1113*$P$10)</f>
        <v>1757.3753189470824</v>
      </c>
      <c r="I1113" s="7">
        <f t="shared" si="37"/>
        <v>79488.375318947088</v>
      </c>
      <c r="J1113">
        <f>IFERROR(VLOOKUP(F1113,'LEAID Match'!$A$2:$B$227,2,FALSE),"")</f>
        <v>3800825</v>
      </c>
      <c r="K1113">
        <f t="shared" si="36"/>
        <v>8</v>
      </c>
      <c r="L1113" cm="1">
        <f t="array" ref="L1113">_xlfn.IFS(B1113=2015,G1113/$P$13,B1113=2016,G1113/$P$14,B1113=2017,G1113/$P$15,B1113=2018,G1113/$P$16,B1113=2019,G1113/$P$17,B1113=2019,G1113/$P$18,B1113=2020,G1113/$P$18,B1113=2021,G1113/$P$19,B1113=2022,G1113/$P$20)</f>
        <v>9.9118743313428227E-4</v>
      </c>
    </row>
    <row r="1114" spans="1:12" x14ac:dyDescent="0.2">
      <c r="A1114">
        <v>3800825</v>
      </c>
      <c r="B1114">
        <v>2016</v>
      </c>
      <c r="C1114" t="s">
        <v>252</v>
      </c>
      <c r="D1114" t="s">
        <v>254</v>
      </c>
      <c r="E1114" t="s">
        <v>256</v>
      </c>
      <c r="F1114" s="5" t="s">
        <v>112</v>
      </c>
      <c r="G1114" s="7">
        <v>83878</v>
      </c>
      <c r="H1114" s="7" cm="1">
        <f t="array" ref="H1114">_xlfn.IFS(B1114=2015,L1114*$P$3,B1114=2016,L1114*$P$4,B1114=2017,L1114*$P$5,B1114=2018,L1114*$P$6,B1114=2019,L1114*$P$7,B1114=2020,L1114*$P$8,B1114=2021,L1114*$P$9,B1114=2022,L1114*$P$10)</f>
        <v>2848.2497649593652</v>
      </c>
      <c r="I1114" s="7">
        <f t="shared" si="37"/>
        <v>86726.249764959372</v>
      </c>
      <c r="J1114">
        <f>IFERROR(VLOOKUP(F1114,'LEAID Match'!$A$2:$B$227,2,FALSE),"")</f>
        <v>3800825</v>
      </c>
      <c r="K1114">
        <f t="shared" si="36"/>
        <v>8</v>
      </c>
      <c r="L1114" cm="1">
        <f t="array" ref="L1114">_xlfn.IFS(B1114=2015,G1114/$P$13,B1114=2016,G1114/$P$14,B1114=2017,G1114/$P$15,B1114=2018,G1114/$P$16,B1114=2019,G1114/$P$17,B1114=2019,G1114/$P$18,B1114=2020,G1114/$P$18,B1114=2021,G1114/$P$19,B1114=2022,G1114/$P$20)</f>
        <v>1.0125310220260807E-3</v>
      </c>
    </row>
    <row r="1115" spans="1:12" x14ac:dyDescent="0.2">
      <c r="A1115">
        <v>3800825</v>
      </c>
      <c r="B1115">
        <v>2017</v>
      </c>
      <c r="C1115" t="s">
        <v>252</v>
      </c>
      <c r="D1115" t="s">
        <v>254</v>
      </c>
      <c r="E1115" t="s">
        <v>256</v>
      </c>
      <c r="F1115" s="5" t="s">
        <v>112</v>
      </c>
      <c r="G1115" s="7">
        <v>88327</v>
      </c>
      <c r="H1115" s="7" cm="1">
        <f t="array" ref="H1115">_xlfn.IFS(B1115=2015,L1115*$P$3,B1115=2016,L1115*$P$4,B1115=2017,L1115*$P$5,B1115=2018,L1115*$P$6,B1115=2019,L1115*$P$7,B1115=2020,L1115*$P$8,B1115=2021,L1115*$P$9,B1115=2022,L1115*$P$10)</f>
        <v>2862.505899014724</v>
      </c>
      <c r="I1115" s="7">
        <f t="shared" si="37"/>
        <v>91189.505899014723</v>
      </c>
      <c r="J1115">
        <f>IFERROR(VLOOKUP(F1115,'LEAID Match'!$A$2:$B$227,2,FALSE),"")</f>
        <v>3800825</v>
      </c>
      <c r="K1115">
        <f t="shared" si="36"/>
        <v>8</v>
      </c>
      <c r="L1115" cm="1">
        <f t="array" ref="L1115">_xlfn.IFS(B1115=2015,G1115/$P$13,B1115=2016,G1115/$P$14,B1115=2017,G1115/$P$15,B1115=2018,G1115/$P$16,B1115=2019,G1115/$P$17,B1115=2019,G1115/$P$18,B1115=2020,G1115/$P$18,B1115=2021,G1115/$P$19,B1115=2022,G1115/$P$20)</f>
        <v>1.026355646832099E-3</v>
      </c>
    </row>
    <row r="1116" spans="1:12" x14ac:dyDescent="0.2">
      <c r="A1116">
        <v>3800825</v>
      </c>
      <c r="B1116" s="5">
        <v>2018</v>
      </c>
      <c r="C1116" t="s">
        <v>252</v>
      </c>
      <c r="D1116" t="s">
        <v>254</v>
      </c>
      <c r="E1116" t="s">
        <v>256</v>
      </c>
      <c r="F1116" s="5" t="s">
        <v>112</v>
      </c>
      <c r="G1116" s="7">
        <v>97418</v>
      </c>
      <c r="H1116" s="7" cm="1">
        <f t="array" ref="H1116">_xlfn.IFS(B1116=2015,L1116*$P$3,B1116=2016,L1116*$P$4,B1116=2017,L1116*$P$5,B1116=2018,L1116*$P$6,B1116=2019,L1116*$P$7,B1116=2020,L1116*$P$8,B1116=2021,L1116*$P$9,B1116=2022,L1116*$P$10)</f>
        <v>2669.3495022624852</v>
      </c>
      <c r="I1116" s="7">
        <f t="shared" si="37"/>
        <v>100087.34950226248</v>
      </c>
      <c r="J1116">
        <f>IFERROR(VLOOKUP(F1116,'LEAID Match'!$A$2:$B$227,2,FALSE),"")</f>
        <v>3800825</v>
      </c>
      <c r="K1116">
        <f t="shared" si="36"/>
        <v>8</v>
      </c>
      <c r="L1116" cm="1">
        <f t="array" ref="L1116">_xlfn.IFS(B1116=2015,G1116/$P$13,B1116=2016,G1116/$P$14,B1116=2017,G1116/$P$15,B1116=2018,G1116/$P$16,B1116=2019,G1116/$P$17,B1116=2019,G1116/$P$18,B1116=2020,G1116/$P$18,B1116=2021,G1116/$P$19,B1116=2022,G1116/$P$20)</f>
        <v>1.1239366325315728E-3</v>
      </c>
    </row>
    <row r="1117" spans="1:12" x14ac:dyDescent="0.2">
      <c r="A1117">
        <v>3800825</v>
      </c>
      <c r="B1117">
        <v>2019</v>
      </c>
      <c r="C1117" t="s">
        <v>252</v>
      </c>
      <c r="D1117" t="s">
        <v>254</v>
      </c>
      <c r="E1117" t="s">
        <v>256</v>
      </c>
      <c r="F1117" s="5" t="s">
        <v>112</v>
      </c>
      <c r="G1117" s="7">
        <v>106188</v>
      </c>
      <c r="H1117" s="7" cm="1">
        <f t="array" ref="H1117">_xlfn.IFS(B1117=2015,L1117*$P$3,B1117=2016,L1117*$P$4,B1117=2017,L1117*$P$5,B1117=2018,L1117*$P$6,B1117=2019,L1117*$P$7,B1117=2020,L1117*$P$8,B1117=2021,L1117*$P$9,B1117=2022,L1117*$P$10)</f>
        <v>2464.6048829178371</v>
      </c>
      <c r="I1117" s="7">
        <f t="shared" si="37"/>
        <v>108652.60488291783</v>
      </c>
      <c r="J1117">
        <f>IFERROR(VLOOKUP(F1117,'LEAID Match'!$A$2:$B$227,2,FALSE),"")</f>
        <v>3800825</v>
      </c>
      <c r="K1117">
        <f t="shared" si="36"/>
        <v>8</v>
      </c>
      <c r="L1117" cm="1">
        <f t="array" ref="L1117">_xlfn.IFS(B1117=2015,G1117/$P$13,B1117=2016,G1117/$P$14,B1117=2017,G1117/$P$15,B1117=2018,G1117/$P$16,B1117=2019,G1117/$P$17,B1117=2019,G1117/$P$18,B1117=2020,G1117/$P$18,B1117=2021,G1117/$P$19,B1117=2022,G1117/$P$20)</f>
        <v>1.1871892499604225E-3</v>
      </c>
    </row>
    <row r="1118" spans="1:12" x14ac:dyDescent="0.2">
      <c r="A1118">
        <v>3800825</v>
      </c>
      <c r="B1118" s="5">
        <v>2021</v>
      </c>
      <c r="C1118" t="s">
        <v>252</v>
      </c>
      <c r="D1118" t="s">
        <v>254</v>
      </c>
      <c r="E1118" t="s">
        <v>256</v>
      </c>
      <c r="F1118" s="5" t="s">
        <v>112</v>
      </c>
      <c r="G1118" s="7">
        <v>102911</v>
      </c>
      <c r="H1118" s="7" cm="1">
        <f t="array" ref="H1118">_xlfn.IFS(B1118=2015,L1118*$P$3,B1118=2016,L1118*$P$4,B1118=2017,L1118*$P$5,B1118=2018,L1118*$P$6,B1118=2019,L1118*$P$7,B1118=2020,L1118*$P$8,B1118=2021,L1118*$P$9,B1118=2022,L1118*$P$10)</f>
        <v>2811.9703628399543</v>
      </c>
      <c r="I1118" s="7">
        <f t="shared" si="37"/>
        <v>105722.97036283996</v>
      </c>
      <c r="J1118">
        <f>IFERROR(VLOOKUP(F1118,'LEAID Match'!$A$2:$B$227,2,FALSE),"")</f>
        <v>3800825</v>
      </c>
      <c r="K1118">
        <f t="shared" si="36"/>
        <v>8</v>
      </c>
      <c r="L1118" cm="1">
        <f t="array" ref="L1118">_xlfn.IFS(B1118=2015,G1118/$P$13,B1118=2016,G1118/$P$14,B1118=2017,G1118/$P$15,B1118=2018,G1118/$P$16,B1118=2019,G1118/$P$17,B1118=2019,G1118/$P$18,B1118=2020,G1118/$P$18,B1118=2021,G1118/$P$19,B1118=2022,G1118/$P$20)</f>
        <v>1.0472887757318266E-3</v>
      </c>
    </row>
    <row r="1119" spans="1:12" x14ac:dyDescent="0.2">
      <c r="A1119">
        <v>3800825</v>
      </c>
      <c r="B1119">
        <v>2022</v>
      </c>
      <c r="C1119" t="s">
        <v>252</v>
      </c>
      <c r="D1119" t="s">
        <v>254</v>
      </c>
      <c r="E1119" t="s">
        <v>256</v>
      </c>
      <c r="F1119" s="5" t="s">
        <v>112</v>
      </c>
      <c r="G1119" s="7">
        <v>103213</v>
      </c>
      <c r="H1119" s="7" cm="1">
        <f t="array" ref="H1119">_xlfn.IFS(B1119=2015,L1119*$P$3,B1119=2016,L1119*$P$4,B1119=2017,L1119*$P$5,B1119=2018,L1119*$P$6,B1119=2019,L1119*$P$7,B1119=2020,L1119*$P$8,B1119=2021,L1119*$P$9,B1119=2022,L1119*$P$10)</f>
        <v>2100.6490852948209</v>
      </c>
      <c r="I1119" s="7">
        <f t="shared" si="37"/>
        <v>105313.64908529482</v>
      </c>
      <c r="J1119">
        <f>IFERROR(VLOOKUP(F1119,'LEAID Match'!$A$2:$B$227,2,FALSE),"")</f>
        <v>3800825</v>
      </c>
      <c r="K1119">
        <f t="shared" si="36"/>
        <v>8</v>
      </c>
      <c r="L1119" cm="1">
        <f t="array" ref="L1119">_xlfn.IFS(B1119=2015,G1119/$P$13,B1119=2016,G1119/$P$14,B1119=2017,G1119/$P$15,B1119=2018,G1119/$P$16,B1119=2019,G1119/$P$17,B1119=2019,G1119/$P$18,B1119=2020,G1119/$P$18,B1119=2021,G1119/$P$19,B1119=2022,G1119/$P$20)</f>
        <v>1.0287213933862982E-3</v>
      </c>
    </row>
    <row r="1120" spans="1:12" x14ac:dyDescent="0.2">
      <c r="A1120">
        <v>3800054</v>
      </c>
      <c r="B1120">
        <v>2015</v>
      </c>
      <c r="C1120" t="s">
        <v>252</v>
      </c>
      <c r="D1120" t="s">
        <v>254</v>
      </c>
      <c r="E1120" t="s">
        <v>256</v>
      </c>
      <c r="F1120" s="5" t="s">
        <v>113</v>
      </c>
      <c r="G1120" s="7">
        <v>324502</v>
      </c>
      <c r="H1120" s="7" cm="1">
        <f t="array" ref="H1120">_xlfn.IFS(B1120=2015,L1120*$P$3,B1120=2016,L1120*$P$4,B1120=2017,L1120*$P$5,B1120=2018,L1120*$P$6,B1120=2019,L1120*$P$7,B1120=2020,L1120*$P$8,B1120=2021,L1120*$P$9,B1120=2022,L1120*$P$10)</f>
        <v>7336.4784416637658</v>
      </c>
      <c r="I1120" s="7">
        <f t="shared" si="37"/>
        <v>331838.47844166378</v>
      </c>
      <c r="J1120">
        <f>IFERROR(VLOOKUP(F1120,'LEAID Match'!$A$2:$B$227,2,FALSE),"")</f>
        <v>3800054</v>
      </c>
      <c r="K1120">
        <f t="shared" si="36"/>
        <v>8</v>
      </c>
      <c r="L1120" cm="1">
        <f t="array" ref="L1120">_xlfn.IFS(B1120=2015,G1120/$P$13,B1120=2016,G1120/$P$14,B1120=2017,G1120/$P$15,B1120=2018,G1120/$P$16,B1120=2019,G1120/$P$17,B1120=2019,G1120/$P$18,B1120=2020,G1120/$P$18,B1120=2021,G1120/$P$19,B1120=2022,G1120/$P$20)</f>
        <v>4.1378897020100201E-3</v>
      </c>
    </row>
    <row r="1121" spans="1:12" x14ac:dyDescent="0.2">
      <c r="A1121">
        <v>3800054</v>
      </c>
      <c r="B1121">
        <v>2016</v>
      </c>
      <c r="C1121" t="s">
        <v>252</v>
      </c>
      <c r="D1121" t="s">
        <v>254</v>
      </c>
      <c r="E1121" t="s">
        <v>256</v>
      </c>
      <c r="F1121" s="5" t="s">
        <v>113</v>
      </c>
      <c r="G1121" s="7">
        <v>368366</v>
      </c>
      <c r="H1121" s="7" cm="1">
        <f t="array" ref="H1121">_xlfn.IFS(B1121=2015,L1121*$P$3,B1121=2016,L1121*$P$4,B1121=2017,L1121*$P$5,B1121=2018,L1121*$P$6,B1121=2019,L1121*$P$7,B1121=2020,L1121*$P$8,B1121=2021,L1121*$P$9,B1121=2022,L1121*$P$10)</f>
        <v>12508.624107859288</v>
      </c>
      <c r="I1121" s="7">
        <f t="shared" si="37"/>
        <v>380874.62410785927</v>
      </c>
      <c r="J1121">
        <f>IFERROR(VLOOKUP(F1121,'LEAID Match'!$A$2:$B$227,2,FALSE),"")</f>
        <v>3800054</v>
      </c>
      <c r="K1121">
        <f t="shared" si="36"/>
        <v>8</v>
      </c>
      <c r="L1121" cm="1">
        <f t="array" ref="L1121">_xlfn.IFS(B1121=2015,G1121/$P$13,B1121=2016,G1121/$P$14,B1121=2017,G1121/$P$15,B1121=2018,G1121/$P$16,B1121=2019,G1121/$P$17,B1121=2019,G1121/$P$18,B1121=2020,G1121/$P$18,B1121=2021,G1121/$P$19,B1121=2022,G1121/$P$20)</f>
        <v>4.4467202658582611E-3</v>
      </c>
    </row>
    <row r="1122" spans="1:12" x14ac:dyDescent="0.2">
      <c r="A1122">
        <v>3800054</v>
      </c>
      <c r="B1122">
        <v>2017</v>
      </c>
      <c r="C1122" t="s">
        <v>252</v>
      </c>
      <c r="D1122" t="s">
        <v>254</v>
      </c>
      <c r="E1122" t="s">
        <v>256</v>
      </c>
      <c r="F1122" s="5" t="s">
        <v>113</v>
      </c>
      <c r="G1122" s="7">
        <v>360561</v>
      </c>
      <c r="H1122" s="7" cm="1">
        <f t="array" ref="H1122">_xlfn.IFS(B1122=2015,L1122*$P$3,B1122=2016,L1122*$P$4,B1122=2017,L1122*$P$5,B1122=2018,L1122*$P$6,B1122=2019,L1122*$P$7,B1122=2020,L1122*$P$8,B1122=2021,L1122*$P$9,B1122=2022,L1122*$P$10)</f>
        <v>11685.079188183094</v>
      </c>
      <c r="I1122" s="7">
        <f t="shared" si="37"/>
        <v>372246.07918818307</v>
      </c>
      <c r="J1122">
        <f>IFERROR(VLOOKUP(F1122,'LEAID Match'!$A$2:$B$227,2,FALSE),"")</f>
        <v>3800054</v>
      </c>
      <c r="K1122">
        <f t="shared" si="36"/>
        <v>8</v>
      </c>
      <c r="L1122" cm="1">
        <f t="array" ref="L1122">_xlfn.IFS(B1122=2015,G1122/$P$13,B1122=2016,G1122/$P$14,B1122=2017,G1122/$P$15,B1122=2018,G1122/$P$16,B1122=2019,G1122/$P$17,B1122=2019,G1122/$P$18,B1122=2020,G1122/$P$18,B1122=2021,G1122/$P$19,B1122=2022,G1122/$P$20)</f>
        <v>4.1897021112165984E-3</v>
      </c>
    </row>
    <row r="1123" spans="1:12" x14ac:dyDescent="0.2">
      <c r="A1123">
        <v>3800054</v>
      </c>
      <c r="B1123" s="5">
        <v>2018</v>
      </c>
      <c r="C1123" t="s">
        <v>252</v>
      </c>
      <c r="D1123" t="s">
        <v>254</v>
      </c>
      <c r="E1123" t="s">
        <v>256</v>
      </c>
      <c r="F1123" s="5" t="s">
        <v>113</v>
      </c>
      <c r="G1123" s="7">
        <v>347860</v>
      </c>
      <c r="H1123" s="7" cm="1">
        <f t="array" ref="H1123">_xlfn.IFS(B1123=2015,L1123*$P$3,B1123=2016,L1123*$P$4,B1123=2017,L1123*$P$5,B1123=2018,L1123*$P$6,B1123=2019,L1123*$P$7,B1123=2020,L1123*$P$8,B1123=2021,L1123*$P$9,B1123=2022,L1123*$P$10)</f>
        <v>9531.7078759267097</v>
      </c>
      <c r="I1123" s="7">
        <f t="shared" si="37"/>
        <v>357391.70787592669</v>
      </c>
      <c r="J1123">
        <f>IFERROR(VLOOKUP(F1123,'LEAID Match'!$A$2:$B$227,2,FALSE),"")</f>
        <v>3800054</v>
      </c>
      <c r="K1123">
        <f t="shared" si="36"/>
        <v>8</v>
      </c>
      <c r="L1123" cm="1">
        <f t="array" ref="L1123">_xlfn.IFS(B1123=2015,G1123/$P$13,B1123=2016,G1123/$P$14,B1123=2017,G1123/$P$15,B1123=2018,G1123/$P$16,B1123=2019,G1123/$P$17,B1123=2019,G1123/$P$18,B1123=2020,G1123/$P$18,B1123=2021,G1123/$P$19,B1123=2022,G1123/$P$20)</f>
        <v>4.0133506846007196E-3</v>
      </c>
    </row>
    <row r="1124" spans="1:12" x14ac:dyDescent="0.2">
      <c r="A1124">
        <v>3800054</v>
      </c>
      <c r="B1124">
        <v>2019</v>
      </c>
      <c r="C1124" t="s">
        <v>252</v>
      </c>
      <c r="D1124" t="s">
        <v>254</v>
      </c>
      <c r="E1124" t="s">
        <v>256</v>
      </c>
      <c r="F1124" s="5" t="s">
        <v>113</v>
      </c>
      <c r="G1124" s="7">
        <v>352818</v>
      </c>
      <c r="H1124" s="7" cm="1">
        <f t="array" ref="H1124">_xlfn.IFS(B1124=2015,L1124*$P$3,B1124=2016,L1124*$P$4,B1124=2017,L1124*$P$5,B1124=2018,L1124*$P$6,B1124=2019,L1124*$P$7,B1124=2020,L1124*$P$8,B1124=2021,L1124*$P$9,B1124=2022,L1124*$P$10)</f>
        <v>8188.8439897286462</v>
      </c>
      <c r="I1124" s="7">
        <f t="shared" si="37"/>
        <v>361006.84398972866</v>
      </c>
      <c r="J1124">
        <f>IFERROR(VLOOKUP(F1124,'LEAID Match'!$A$2:$B$227,2,FALSE),"")</f>
        <v>3800054</v>
      </c>
      <c r="K1124">
        <f t="shared" si="36"/>
        <v>8</v>
      </c>
      <c r="L1124" cm="1">
        <f t="array" ref="L1124">_xlfn.IFS(B1124=2015,G1124/$P$13,B1124=2016,G1124/$P$14,B1124=2017,G1124/$P$15,B1124=2018,G1124/$P$16,B1124=2019,G1124/$P$17,B1124=2019,G1124/$P$18,B1124=2020,G1124/$P$18,B1124=2021,G1124/$P$19,B1124=2022,G1124/$P$20)</f>
        <v>3.9445298601775754E-3</v>
      </c>
    </row>
    <row r="1125" spans="1:12" x14ac:dyDescent="0.2">
      <c r="A1125">
        <v>3800054</v>
      </c>
      <c r="B1125">
        <v>2020</v>
      </c>
      <c r="C1125" t="s">
        <v>252</v>
      </c>
      <c r="D1125" t="s">
        <v>254</v>
      </c>
      <c r="E1125" t="s">
        <v>256</v>
      </c>
      <c r="F1125" s="5" t="s">
        <v>113</v>
      </c>
      <c r="G1125" s="7">
        <v>355553</v>
      </c>
      <c r="H1125" s="7" cm="1">
        <f t="array" ref="H1125">_xlfn.IFS(B1125=2015,L1125*$P$3,B1125=2016,L1125*$P$4,B1125=2017,L1125*$P$5,B1125=2018,L1125*$P$6,B1125=2019,L1125*$P$7,B1125=2020,L1125*$P$8,B1125=2021,L1125*$P$9,B1125=2022,L1125*$P$10)</f>
        <v>8920.1201369956289</v>
      </c>
      <c r="I1125" s="7">
        <f t="shared" si="37"/>
        <v>364473.12013699563</v>
      </c>
      <c r="J1125">
        <f>IFERROR(VLOOKUP(F1125,'LEAID Match'!$A$2:$B$227,2,FALSE),"")</f>
        <v>3800054</v>
      </c>
      <c r="K1125">
        <f t="shared" si="36"/>
        <v>8</v>
      </c>
      <c r="L1125" cm="1">
        <f t="array" ref="L1125">_xlfn.IFS(B1125=2015,G1125/$P$13,B1125=2016,G1125/$P$14,B1125=2017,G1125/$P$15,B1125=2018,G1125/$P$16,B1125=2019,G1125/$P$17,B1125=2019,G1125/$P$18,B1125=2020,G1125/$P$18,B1125=2021,G1125/$P$19,B1125=2022,G1125/$P$20)</f>
        <v>3.8218166825174072E-3</v>
      </c>
    </row>
    <row r="1126" spans="1:12" x14ac:dyDescent="0.2">
      <c r="A1126">
        <v>3800054</v>
      </c>
      <c r="B1126" s="5">
        <v>2021</v>
      </c>
      <c r="C1126" t="s">
        <v>252</v>
      </c>
      <c r="D1126" t="s">
        <v>254</v>
      </c>
      <c r="E1126" t="s">
        <v>256</v>
      </c>
      <c r="F1126" s="5" t="s">
        <v>113</v>
      </c>
      <c r="G1126" s="7">
        <v>344198</v>
      </c>
      <c r="H1126" s="7" cm="1">
        <f t="array" ref="H1126">_xlfn.IFS(B1126=2015,L1126*$P$3,B1126=2016,L1126*$P$4,B1126=2017,L1126*$P$5,B1126=2018,L1126*$P$6,B1126=2019,L1126*$P$7,B1126=2020,L1126*$P$8,B1126=2021,L1126*$P$9,B1126=2022,L1126*$P$10)</f>
        <v>9404.967155588678</v>
      </c>
      <c r="I1126" s="7">
        <f t="shared" si="37"/>
        <v>353602.96715558867</v>
      </c>
      <c r="J1126">
        <f>IFERROR(VLOOKUP(F1126,'LEAID Match'!$A$2:$B$227,2,FALSE),"")</f>
        <v>3800054</v>
      </c>
      <c r="K1126">
        <f t="shared" si="36"/>
        <v>8</v>
      </c>
      <c r="L1126" cm="1">
        <f t="array" ref="L1126">_xlfn.IFS(B1126=2015,G1126/$P$13,B1126=2016,G1126/$P$14,B1126=2017,G1126/$P$15,B1126=2018,G1126/$P$16,B1126=2019,G1126/$P$17,B1126=2019,G1126/$P$18,B1126=2020,G1126/$P$18,B1126=2021,G1126/$P$19,B1126=2022,G1126/$P$20)</f>
        <v>3.5027810635339584E-3</v>
      </c>
    </row>
    <row r="1127" spans="1:12" x14ac:dyDescent="0.2">
      <c r="A1127">
        <v>3800054</v>
      </c>
      <c r="B1127">
        <v>2022</v>
      </c>
      <c r="C1127" t="s">
        <v>252</v>
      </c>
      <c r="D1127" t="s">
        <v>254</v>
      </c>
      <c r="E1127" t="s">
        <v>256</v>
      </c>
      <c r="F1127" s="5" t="s">
        <v>113</v>
      </c>
      <c r="G1127" s="7">
        <v>333306</v>
      </c>
      <c r="H1127" s="7" cm="1">
        <f t="array" ref="H1127">_xlfn.IFS(B1127=2015,L1127*$P$3,B1127=2016,L1127*$P$4,B1127=2017,L1127*$P$5,B1127=2018,L1127*$P$6,B1127=2019,L1127*$P$7,B1127=2020,L1127*$P$8,B1127=2021,L1127*$P$9,B1127=2022,L1127*$P$10)</f>
        <v>6783.631364491639</v>
      </c>
      <c r="I1127" s="7">
        <f t="shared" si="37"/>
        <v>340089.63136449165</v>
      </c>
      <c r="J1127">
        <f>IFERROR(VLOOKUP(F1127,'LEAID Match'!$A$2:$B$227,2,FALSE),"")</f>
        <v>3800054</v>
      </c>
      <c r="K1127">
        <f t="shared" si="36"/>
        <v>8</v>
      </c>
      <c r="L1127" cm="1">
        <f t="array" ref="L1127">_xlfn.IFS(B1127=2015,G1127/$P$13,B1127=2016,G1127/$P$14,B1127=2017,G1127/$P$15,B1127=2018,G1127/$P$16,B1127=2019,G1127/$P$17,B1127=2019,G1127/$P$18,B1127=2020,G1127/$P$18,B1127=2021,G1127/$P$19,B1127=2022,G1127/$P$20)</f>
        <v>3.3220525781056018E-3</v>
      </c>
    </row>
    <row r="1128" spans="1:12" x14ac:dyDescent="0.2">
      <c r="A1128">
        <v>3814290</v>
      </c>
      <c r="B1128">
        <v>2015</v>
      </c>
      <c r="C1128" t="s">
        <v>252</v>
      </c>
      <c r="D1128" t="s">
        <v>254</v>
      </c>
      <c r="E1128" t="s">
        <v>256</v>
      </c>
      <c r="F1128" s="5" t="s">
        <v>114</v>
      </c>
      <c r="G1128" s="7">
        <v>161955</v>
      </c>
      <c r="H1128" s="7" cm="1">
        <f t="array" ref="H1128">_xlfn.IFS(B1128=2015,L1128*$P$3,B1128=2016,L1128*$P$4,B1128=2017,L1128*$P$5,B1128=2018,L1128*$P$6,B1128=2019,L1128*$P$7,B1128=2020,L1128*$P$8,B1128=2021,L1128*$P$9,B1128=2022,L1128*$P$10)</f>
        <v>3661.5471276591675</v>
      </c>
      <c r="I1128" s="7">
        <f t="shared" si="37"/>
        <v>165616.54712765917</v>
      </c>
      <c r="J1128">
        <f>IFERROR(VLOOKUP(F1128,'LEAID Match'!$A$2:$B$227,2,FALSE),"")</f>
        <v>3814290</v>
      </c>
      <c r="K1128">
        <f t="shared" si="36"/>
        <v>8</v>
      </c>
      <c r="L1128" cm="1">
        <f t="array" ref="L1128">_xlfn.IFS(B1128=2015,G1128/$P$13,B1128=2016,G1128/$P$14,B1128=2017,G1128/$P$15,B1128=2018,G1128/$P$16,B1128=2019,G1128/$P$17,B1128=2019,G1128/$P$18,B1128=2020,G1128/$P$18,B1128=2021,G1128/$P$19,B1128=2022,G1128/$P$20)</f>
        <v>2.0651704047711041E-3</v>
      </c>
    </row>
    <row r="1129" spans="1:12" x14ac:dyDescent="0.2">
      <c r="A1129">
        <v>3814290</v>
      </c>
      <c r="B1129">
        <v>2016</v>
      </c>
      <c r="C1129" t="s">
        <v>252</v>
      </c>
      <c r="D1129" t="s">
        <v>254</v>
      </c>
      <c r="E1129" t="s">
        <v>256</v>
      </c>
      <c r="F1129" s="5" t="s">
        <v>114</v>
      </c>
      <c r="G1129" s="7">
        <v>193124</v>
      </c>
      <c r="H1129" s="7" cm="1">
        <f t="array" ref="H1129">_xlfn.IFS(B1129=2015,L1129*$P$3,B1129=2016,L1129*$P$4,B1129=2017,L1129*$P$5,B1129=2018,L1129*$P$6,B1129=2019,L1129*$P$7,B1129=2020,L1129*$P$8,B1129=2021,L1129*$P$9,B1129=2022,L1129*$P$10)</f>
        <v>6557.9220726294434</v>
      </c>
      <c r="I1129" s="7">
        <f t="shared" si="37"/>
        <v>199681.92207262944</v>
      </c>
      <c r="J1129">
        <f>IFERROR(VLOOKUP(F1129,'LEAID Match'!$A$2:$B$227,2,FALSE),"")</f>
        <v>3814290</v>
      </c>
      <c r="K1129">
        <f t="shared" si="36"/>
        <v>8</v>
      </c>
      <c r="L1129" cm="1">
        <f t="array" ref="L1129">_xlfn.IFS(B1129=2015,G1129/$P$13,B1129=2016,G1129/$P$14,B1129=2017,G1129/$P$15,B1129=2018,G1129/$P$16,B1129=2019,G1129/$P$17,B1129=2019,G1129/$P$18,B1129=2020,G1129/$P$18,B1129=2021,G1129/$P$19,B1129=2022,G1129/$P$20)</f>
        <v>2.3312911740595247E-3</v>
      </c>
    </row>
    <row r="1130" spans="1:12" x14ac:dyDescent="0.2">
      <c r="A1130">
        <v>3814290</v>
      </c>
      <c r="B1130">
        <v>2017</v>
      </c>
      <c r="C1130" t="s">
        <v>252</v>
      </c>
      <c r="D1130" t="s">
        <v>254</v>
      </c>
      <c r="E1130" t="s">
        <v>256</v>
      </c>
      <c r="F1130" s="5" t="s">
        <v>114</v>
      </c>
      <c r="G1130" s="7">
        <v>194450</v>
      </c>
      <c r="H1130" s="7" cm="1">
        <f t="array" ref="H1130">_xlfn.IFS(B1130=2015,L1130*$P$3,B1130=2016,L1130*$P$4,B1130=2017,L1130*$P$5,B1130=2018,L1130*$P$6,B1130=2019,L1130*$P$7,B1130=2020,L1130*$P$8,B1130=2021,L1130*$P$9,B1130=2022,L1130*$P$10)</f>
        <v>6301.7454692609645</v>
      </c>
      <c r="I1130" s="7">
        <f t="shared" si="37"/>
        <v>200751.74546926096</v>
      </c>
      <c r="J1130">
        <f>IFERROR(VLOOKUP(F1130,'LEAID Match'!$A$2:$B$227,2,FALSE),"")</f>
        <v>3814290</v>
      </c>
      <c r="K1130">
        <f t="shared" si="36"/>
        <v>8</v>
      </c>
      <c r="L1130" cm="1">
        <f t="array" ref="L1130">_xlfn.IFS(B1130=2015,G1130/$P$13,B1130=2016,G1130/$P$14,B1130=2017,G1130/$P$15,B1130=2018,G1130/$P$16,B1130=2019,G1130/$P$17,B1130=2019,G1130/$P$18,B1130=2020,G1130/$P$18,B1130=2021,G1130/$P$19,B1130=2022,G1130/$P$20)</f>
        <v>2.2594999889784741E-3</v>
      </c>
    </row>
    <row r="1131" spans="1:12" x14ac:dyDescent="0.2">
      <c r="A1131">
        <v>3814290</v>
      </c>
      <c r="B1131" s="5">
        <v>2018</v>
      </c>
      <c r="C1131" t="s">
        <v>252</v>
      </c>
      <c r="D1131" t="s">
        <v>254</v>
      </c>
      <c r="E1131" t="s">
        <v>256</v>
      </c>
      <c r="F1131" s="5" t="s">
        <v>114</v>
      </c>
      <c r="G1131" s="7">
        <v>204494</v>
      </c>
      <c r="H1131" s="7" cm="1">
        <f t="array" ref="H1131">_xlfn.IFS(B1131=2015,L1131*$P$3,B1131=2016,L1131*$P$4,B1131=2017,L1131*$P$5,B1131=2018,L1131*$P$6,B1131=2019,L1131*$P$7,B1131=2020,L1131*$P$8,B1131=2021,L1131*$P$9,B1131=2022,L1131*$P$10)</f>
        <v>5603.337751910989</v>
      </c>
      <c r="I1131" s="7">
        <f t="shared" si="37"/>
        <v>210097.33775191099</v>
      </c>
      <c r="J1131">
        <f>IFERROR(VLOOKUP(F1131,'LEAID Match'!$A$2:$B$227,2,FALSE),"")</f>
        <v>3814290</v>
      </c>
      <c r="K1131">
        <f t="shared" si="36"/>
        <v>8</v>
      </c>
      <c r="L1131" cm="1">
        <f t="array" ref="L1131">_xlfn.IFS(B1131=2015,G1131/$P$13,B1131=2016,G1131/$P$14,B1131=2017,G1131/$P$15,B1131=2018,G1131/$P$16,B1131=2019,G1131/$P$17,B1131=2019,G1131/$P$18,B1131=2020,G1131/$P$18,B1131=2021,G1131/$P$19,B1131=2022,G1131/$P$20)</f>
        <v>2.3593001060677847E-3</v>
      </c>
    </row>
    <row r="1132" spans="1:12" x14ac:dyDescent="0.2">
      <c r="A1132">
        <v>3814290</v>
      </c>
      <c r="B1132">
        <v>2019</v>
      </c>
      <c r="C1132" t="s">
        <v>252</v>
      </c>
      <c r="D1132" t="s">
        <v>254</v>
      </c>
      <c r="E1132" t="s">
        <v>256</v>
      </c>
      <c r="F1132" s="5" t="s">
        <v>114</v>
      </c>
      <c r="G1132" s="7">
        <v>202236</v>
      </c>
      <c r="H1132" s="7" cm="1">
        <f t="array" ref="H1132">_xlfn.IFS(B1132=2015,L1132*$P$3,B1132=2016,L1132*$P$4,B1132=2017,L1132*$P$5,B1132=2018,L1132*$P$6,B1132=2019,L1132*$P$7,B1132=2020,L1132*$P$8,B1132=2021,L1132*$P$9,B1132=2022,L1132*$P$10)</f>
        <v>4693.8621416899432</v>
      </c>
      <c r="I1132" s="7">
        <f t="shared" si="37"/>
        <v>206929.86214168996</v>
      </c>
      <c r="J1132">
        <f>IFERROR(VLOOKUP(F1132,'LEAID Match'!$A$2:$B$227,2,FALSE),"")</f>
        <v>3814290</v>
      </c>
      <c r="K1132">
        <f t="shared" si="36"/>
        <v>8</v>
      </c>
      <c r="L1132" cm="1">
        <f t="array" ref="L1132">_xlfn.IFS(B1132=2015,G1132/$P$13,B1132=2016,G1132/$P$14,B1132=2017,G1132/$P$15,B1132=2018,G1132/$P$16,B1132=2019,G1132/$P$17,B1132=2019,G1132/$P$18,B1132=2020,G1132/$P$18,B1132=2021,G1132/$P$19,B1132=2022,G1132/$P$20)</f>
        <v>2.2610125923361963E-3</v>
      </c>
    </row>
    <row r="1133" spans="1:12" x14ac:dyDescent="0.2">
      <c r="A1133">
        <v>3814290</v>
      </c>
      <c r="B1133">
        <v>2020</v>
      </c>
      <c r="C1133" t="s">
        <v>252</v>
      </c>
      <c r="D1133" t="s">
        <v>254</v>
      </c>
      <c r="E1133" t="s">
        <v>256</v>
      </c>
      <c r="F1133" s="5" t="s">
        <v>114</v>
      </c>
      <c r="G1133" s="7">
        <v>197343</v>
      </c>
      <c r="H1133" s="7" cm="1">
        <f t="array" ref="H1133">_xlfn.IFS(B1133=2015,L1133*$P$3,B1133=2016,L1133*$P$4,B1133=2017,L1133*$P$5,B1133=2018,L1133*$P$6,B1133=2019,L1133*$P$7,B1133=2020,L1133*$P$8,B1133=2021,L1133*$P$9,B1133=2022,L1133*$P$10)</f>
        <v>4950.9447767143811</v>
      </c>
      <c r="I1133" s="7">
        <f t="shared" si="37"/>
        <v>202293.94477671437</v>
      </c>
      <c r="J1133">
        <f>IFERROR(VLOOKUP(F1133,'LEAID Match'!$A$2:$B$227,2,FALSE),"")</f>
        <v>3814290</v>
      </c>
      <c r="K1133">
        <f t="shared" si="36"/>
        <v>8</v>
      </c>
      <c r="L1133" cm="1">
        <f t="array" ref="L1133">_xlfn.IFS(B1133=2015,G1133/$P$13,B1133=2016,G1133/$P$14,B1133=2017,G1133/$P$15,B1133=2018,G1133/$P$16,B1133=2019,G1133/$P$17,B1133=2019,G1133/$P$18,B1133=2020,G1133/$P$18,B1133=2021,G1133/$P$19,B1133=2022,G1133/$P$20)</f>
        <v>2.1212274107602317E-3</v>
      </c>
    </row>
    <row r="1134" spans="1:12" x14ac:dyDescent="0.2">
      <c r="A1134">
        <v>3814290</v>
      </c>
      <c r="B1134" s="5">
        <v>2021</v>
      </c>
      <c r="C1134" t="s">
        <v>252</v>
      </c>
      <c r="D1134" t="s">
        <v>254</v>
      </c>
      <c r="E1134" t="s">
        <v>256</v>
      </c>
      <c r="F1134" s="5" t="s">
        <v>114</v>
      </c>
      <c r="G1134" s="7">
        <v>212264</v>
      </c>
      <c r="H1134" s="7" cm="1">
        <f t="array" ref="H1134">_xlfn.IFS(B1134=2015,L1134*$P$3,B1134=2016,L1134*$P$4,B1134=2017,L1134*$P$5,B1134=2018,L1134*$P$6,B1134=2019,L1134*$P$7,B1134=2020,L1134*$P$8,B1134=2021,L1134*$P$9,B1134=2022,L1134*$P$10)</f>
        <v>5799.9638240602071</v>
      </c>
      <c r="I1134" s="7">
        <f t="shared" si="37"/>
        <v>218063.96382406022</v>
      </c>
      <c r="J1134">
        <f>IFERROR(VLOOKUP(F1134,'LEAID Match'!$A$2:$B$227,2,FALSE),"")</f>
        <v>3814290</v>
      </c>
      <c r="K1134">
        <f t="shared" si="36"/>
        <v>8</v>
      </c>
      <c r="L1134" cm="1">
        <f t="array" ref="L1134">_xlfn.IFS(B1134=2015,G1134/$P$13,B1134=2016,G1134/$P$14,B1134=2017,G1134/$P$15,B1134=2018,G1134/$P$16,B1134=2019,G1134/$P$17,B1134=2019,G1134/$P$18,B1134=2020,G1134/$P$18,B1134=2021,G1134/$P$19,B1134=2022,G1134/$P$20)</f>
        <v>2.1601355024432802E-3</v>
      </c>
    </row>
    <row r="1135" spans="1:12" x14ac:dyDescent="0.2">
      <c r="A1135">
        <v>3814290</v>
      </c>
      <c r="B1135">
        <v>2022</v>
      </c>
      <c r="C1135" t="s">
        <v>252</v>
      </c>
      <c r="D1135" t="s">
        <v>254</v>
      </c>
      <c r="E1135" t="s">
        <v>256</v>
      </c>
      <c r="F1135" s="5" t="s">
        <v>114</v>
      </c>
      <c r="G1135" s="7">
        <v>193530</v>
      </c>
      <c r="H1135" s="7" cm="1">
        <f t="array" ref="H1135">_xlfn.IFS(B1135=2015,L1135*$P$3,B1135=2016,L1135*$P$4,B1135=2017,L1135*$P$5,B1135=2018,L1135*$P$6,B1135=2019,L1135*$P$7,B1135=2020,L1135*$P$8,B1135=2021,L1135*$P$9,B1135=2022,L1135*$P$10)</f>
        <v>3938.8315180946843</v>
      </c>
      <c r="I1135" s="7">
        <f t="shared" si="37"/>
        <v>197468.8315180947</v>
      </c>
      <c r="J1135">
        <f>IFERROR(VLOOKUP(F1135,'LEAID Match'!$A$2:$B$227,2,FALSE),"")</f>
        <v>3814290</v>
      </c>
      <c r="K1135">
        <f t="shared" si="36"/>
        <v>8</v>
      </c>
      <c r="L1135" cm="1">
        <f t="array" ref="L1135">_xlfn.IFS(B1135=2015,G1135/$P$13,B1135=2016,G1135/$P$14,B1135=2017,G1135/$P$15,B1135=2018,G1135/$P$16,B1135=2019,G1135/$P$17,B1135=2019,G1135/$P$18,B1135=2020,G1135/$P$18,B1135=2021,G1135/$P$19,B1135=2022,G1135/$P$20)</f>
        <v>1.9289086768338316E-3</v>
      </c>
    </row>
    <row r="1136" spans="1:12" x14ac:dyDescent="0.2">
      <c r="A1136">
        <v>3800390</v>
      </c>
      <c r="B1136">
        <v>2015</v>
      </c>
      <c r="C1136" t="s">
        <v>252</v>
      </c>
      <c r="D1136" t="s">
        <v>254</v>
      </c>
      <c r="E1136" t="s">
        <v>256</v>
      </c>
      <c r="F1136" s="5" t="s">
        <v>115</v>
      </c>
      <c r="G1136" s="7">
        <v>196566</v>
      </c>
      <c r="H1136" s="7" cm="1">
        <f t="array" ref="H1136">_xlfn.IFS(B1136=2015,L1136*$P$3,B1136=2016,L1136*$P$4,B1136=2017,L1136*$P$5,B1136=2018,L1136*$P$6,B1136=2019,L1136*$P$7,B1136=2020,L1136*$P$8,B1136=2021,L1136*$P$9,B1136=2022,L1136*$P$10)</f>
        <v>4444.0472519863661</v>
      </c>
      <c r="I1136" s="7">
        <f t="shared" si="37"/>
        <v>201010.04725198637</v>
      </c>
      <c r="J1136">
        <f>IFERROR(VLOOKUP(F1136,'LEAID Match'!$A$2:$B$227,2,FALSE),"")</f>
        <v>3800390</v>
      </c>
      <c r="K1136">
        <f t="shared" si="36"/>
        <v>8</v>
      </c>
      <c r="L1136" cm="1">
        <f t="array" ref="L1136">_xlfn.IFS(B1136=2015,G1136/$P$13,B1136=2016,G1136/$P$14,B1136=2017,G1136/$P$15,B1136=2018,G1136/$P$16,B1136=2019,G1136/$P$17,B1136=2019,G1136/$P$18,B1136=2020,G1136/$P$18,B1136=2021,G1136/$P$19,B1136=2022,G1136/$P$20)</f>
        <v>2.5065128324796198E-3</v>
      </c>
    </row>
    <row r="1137" spans="1:12" x14ac:dyDescent="0.2">
      <c r="A1137">
        <v>3800390</v>
      </c>
      <c r="B1137">
        <v>2016</v>
      </c>
      <c r="C1137" t="s">
        <v>252</v>
      </c>
      <c r="D1137" t="s">
        <v>254</v>
      </c>
      <c r="E1137" t="s">
        <v>256</v>
      </c>
      <c r="F1137" s="5" t="s">
        <v>115</v>
      </c>
      <c r="G1137" s="7">
        <v>214056</v>
      </c>
      <c r="H1137" s="7" cm="1">
        <f t="array" ref="H1137">_xlfn.IFS(B1137=2015,L1137*$P$3,B1137=2016,L1137*$P$4,B1137=2017,L1137*$P$5,B1137=2018,L1137*$P$6,B1137=2019,L1137*$P$7,B1137=2020,L1137*$P$8,B1137=2021,L1137*$P$9,B1137=2022,L1137*$P$10)</f>
        <v>7268.7111243489571</v>
      </c>
      <c r="I1137" s="7">
        <f t="shared" si="37"/>
        <v>221324.71112434895</v>
      </c>
      <c r="J1137">
        <f>IFERROR(VLOOKUP(F1137,'LEAID Match'!$A$2:$B$227,2,FALSE),"")</f>
        <v>3800390</v>
      </c>
      <c r="K1137">
        <f t="shared" si="36"/>
        <v>8</v>
      </c>
      <c r="L1137" cm="1">
        <f t="array" ref="L1137">_xlfn.IFS(B1137=2015,G1137/$P$13,B1137=2016,G1137/$P$14,B1137=2017,G1137/$P$15,B1137=2018,G1137/$P$16,B1137=2019,G1137/$P$17,B1137=2019,G1137/$P$18,B1137=2020,G1137/$P$18,B1137=2021,G1137/$P$19,B1137=2022,G1137/$P$20)</f>
        <v>2.5839712493241937E-3</v>
      </c>
    </row>
    <row r="1138" spans="1:12" x14ac:dyDescent="0.2">
      <c r="A1138">
        <v>3800390</v>
      </c>
      <c r="B1138">
        <v>2017</v>
      </c>
      <c r="C1138" t="s">
        <v>252</v>
      </c>
      <c r="D1138" t="s">
        <v>254</v>
      </c>
      <c r="E1138" t="s">
        <v>256</v>
      </c>
      <c r="F1138" s="5" t="s">
        <v>115</v>
      </c>
      <c r="G1138" s="7">
        <v>211149</v>
      </c>
      <c r="H1138" s="7" cm="1">
        <f t="array" ref="H1138">_xlfn.IFS(B1138=2015,L1138*$P$3,B1138=2016,L1138*$P$4,B1138=2017,L1138*$P$5,B1138=2018,L1138*$P$6,B1138=2019,L1138*$P$7,B1138=2020,L1138*$P$8,B1138=2021,L1138*$P$9,B1138=2022,L1138*$P$10)</f>
        <v>6842.9275088145196</v>
      </c>
      <c r="I1138" s="7">
        <f t="shared" si="37"/>
        <v>217991.92750881452</v>
      </c>
      <c r="J1138">
        <f>IFERROR(VLOOKUP(F1138,'LEAID Match'!$A$2:$B$227,2,FALSE),"")</f>
        <v>3800390</v>
      </c>
      <c r="K1138">
        <f t="shared" si="36"/>
        <v>8</v>
      </c>
      <c r="L1138" cm="1">
        <f t="array" ref="L1138">_xlfn.IFS(B1138=2015,G1138/$P$13,B1138=2016,G1138/$P$14,B1138=2017,G1138/$P$15,B1138=2018,G1138/$P$16,B1138=2019,G1138/$P$17,B1138=2019,G1138/$P$18,B1138=2020,G1138/$P$18,B1138=2021,G1138/$P$19,B1138=2022,G1138/$P$20)</f>
        <v>2.4535415951289063E-3</v>
      </c>
    </row>
    <row r="1139" spans="1:12" x14ac:dyDescent="0.2">
      <c r="A1139">
        <v>3800390</v>
      </c>
      <c r="B1139" s="5">
        <v>2018</v>
      </c>
      <c r="C1139" t="s">
        <v>252</v>
      </c>
      <c r="D1139" t="s">
        <v>254</v>
      </c>
      <c r="E1139" t="s">
        <v>256</v>
      </c>
      <c r="F1139" s="5" t="s">
        <v>115</v>
      </c>
      <c r="G1139" s="7">
        <v>217425</v>
      </c>
      <c r="H1139" s="7" cm="1">
        <f t="array" ref="H1139">_xlfn.IFS(B1139=2015,L1139*$P$3,B1139=2016,L1139*$P$4,B1139=2017,L1139*$P$5,B1139=2018,L1139*$P$6,B1139=2019,L1139*$P$7,B1139=2020,L1139*$P$8,B1139=2021,L1139*$P$9,B1139=2022,L1139*$P$10)</f>
        <v>5957.6599348110294</v>
      </c>
      <c r="I1139" s="7">
        <f t="shared" si="37"/>
        <v>223382.65993481103</v>
      </c>
      <c r="J1139">
        <f>IFERROR(VLOOKUP(F1139,'LEAID Match'!$A$2:$B$227,2,FALSE),"")</f>
        <v>3800390</v>
      </c>
      <c r="K1139">
        <f t="shared" si="36"/>
        <v>8</v>
      </c>
      <c r="L1139" cm="1">
        <f t="array" ref="L1139">_xlfn.IFS(B1139=2015,G1139/$P$13,B1139=2016,G1139/$P$14,B1139=2017,G1139/$P$15,B1139=2018,G1139/$P$16,B1139=2019,G1139/$P$17,B1139=2019,G1139/$P$18,B1139=2020,G1139/$P$18,B1139=2021,G1139/$P$19,B1139=2022,G1139/$P$20)</f>
        <v>2.5084883936046438E-3</v>
      </c>
    </row>
    <row r="1140" spans="1:12" x14ac:dyDescent="0.2">
      <c r="A1140">
        <v>3800390</v>
      </c>
      <c r="B1140">
        <v>2019</v>
      </c>
      <c r="C1140" t="s">
        <v>252</v>
      </c>
      <c r="D1140" t="s">
        <v>254</v>
      </c>
      <c r="E1140" t="s">
        <v>256</v>
      </c>
      <c r="F1140" s="5" t="s">
        <v>115</v>
      </c>
      <c r="G1140" s="7">
        <v>214949</v>
      </c>
      <c r="H1140" s="7" cm="1">
        <f t="array" ref="H1140">_xlfn.IFS(B1140=2015,L1140*$P$3,B1140=2016,L1140*$P$4,B1140=2017,L1140*$P$5,B1140=2018,L1140*$P$6,B1140=2019,L1140*$P$7,B1140=2020,L1140*$P$8,B1140=2021,L1140*$P$9,B1140=2022,L1140*$P$10)</f>
        <v>4988.9286452170318</v>
      </c>
      <c r="I1140" s="7">
        <f t="shared" si="37"/>
        <v>219937.92864521703</v>
      </c>
      <c r="J1140">
        <f>IFERROR(VLOOKUP(F1140,'LEAID Match'!$A$2:$B$227,2,FALSE),"")</f>
        <v>3800390</v>
      </c>
      <c r="K1140">
        <f t="shared" si="36"/>
        <v>8</v>
      </c>
      <c r="L1140" cm="1">
        <f t="array" ref="L1140">_xlfn.IFS(B1140=2015,G1140/$P$13,B1140=2016,G1140/$P$14,B1140=2017,G1140/$P$15,B1140=2018,G1140/$P$16,B1140=2019,G1140/$P$17,B1140=2019,G1140/$P$18,B1140=2020,G1140/$P$18,B1140=2021,G1140/$P$19,B1140=2022,G1140/$P$20)</f>
        <v>2.403144819468705E-3</v>
      </c>
    </row>
    <row r="1141" spans="1:12" x14ac:dyDescent="0.2">
      <c r="A1141">
        <v>3800390</v>
      </c>
      <c r="B1141">
        <v>2020</v>
      </c>
      <c r="C1141" t="s">
        <v>252</v>
      </c>
      <c r="D1141" t="s">
        <v>254</v>
      </c>
      <c r="E1141" t="s">
        <v>256</v>
      </c>
      <c r="F1141" s="5" t="s">
        <v>115</v>
      </c>
      <c r="G1141" s="7">
        <v>219753</v>
      </c>
      <c r="H1141" s="7" cm="1">
        <f t="array" ref="H1141">_xlfn.IFS(B1141=2015,L1141*$P$3,B1141=2016,L1141*$P$4,B1141=2017,L1141*$P$5,B1141=2018,L1141*$P$6,B1141=2019,L1141*$P$7,B1141=2020,L1141*$P$8,B1141=2021,L1141*$P$9,B1141=2022,L1141*$P$10)</f>
        <v>5513.1672646980905</v>
      </c>
      <c r="I1141" s="7">
        <f t="shared" si="37"/>
        <v>225266.1672646981</v>
      </c>
      <c r="J1141">
        <f>IFERROR(VLOOKUP(F1141,'LEAID Match'!$A$2:$B$227,2,FALSE),"")</f>
        <v>3800390</v>
      </c>
      <c r="K1141">
        <f t="shared" si="36"/>
        <v>8</v>
      </c>
      <c r="L1141" cm="1">
        <f t="array" ref="L1141">_xlfn.IFS(B1141=2015,G1141/$P$13,B1141=2016,G1141/$P$14,B1141=2017,G1141/$P$15,B1141=2018,G1141/$P$16,B1141=2019,G1141/$P$17,B1141=2019,G1141/$P$18,B1141=2020,G1141/$P$18,B1141=2021,G1141/$P$19,B1141=2022,G1141/$P$20)</f>
        <v>2.3621110817044089E-3</v>
      </c>
    </row>
    <row r="1142" spans="1:12" x14ac:dyDescent="0.2">
      <c r="A1142">
        <v>3800390</v>
      </c>
      <c r="B1142" s="5">
        <v>2021</v>
      </c>
      <c r="C1142" t="s">
        <v>252</v>
      </c>
      <c r="D1142" t="s">
        <v>254</v>
      </c>
      <c r="E1142" t="s">
        <v>256</v>
      </c>
      <c r="F1142" s="5" t="s">
        <v>115</v>
      </c>
      <c r="G1142" s="7">
        <v>219987</v>
      </c>
      <c r="H1142" s="7" cm="1">
        <f t="array" ref="H1142">_xlfn.IFS(B1142=2015,L1142*$P$3,B1142=2016,L1142*$P$4,B1142=2017,L1142*$P$5,B1142=2018,L1142*$P$6,B1142=2019,L1142*$P$7,B1142=2020,L1142*$P$8,B1142=2021,L1142*$P$9,B1142=2022,L1142*$P$10)</f>
        <v>6010.9893423450649</v>
      </c>
      <c r="I1142" s="7">
        <f t="shared" si="37"/>
        <v>225997.98934234507</v>
      </c>
      <c r="J1142">
        <f>IFERROR(VLOOKUP(F1142,'LEAID Match'!$A$2:$B$227,2,FALSE),"")</f>
        <v>3800390</v>
      </c>
      <c r="K1142">
        <f t="shared" si="36"/>
        <v>8</v>
      </c>
      <c r="L1142" cm="1">
        <f t="array" ref="L1142">_xlfn.IFS(B1142=2015,G1142/$P$13,B1142=2016,G1142/$P$14,B1142=2017,G1142/$P$15,B1142=2018,G1142/$P$16,B1142=2019,G1142/$P$17,B1142=2019,G1142/$P$18,B1142=2020,G1142/$P$18,B1142=2021,G1142/$P$19,B1142=2022,G1142/$P$20)</f>
        <v>2.238729736441365E-3</v>
      </c>
    </row>
    <row r="1143" spans="1:12" x14ac:dyDescent="0.2">
      <c r="A1143">
        <v>3800390</v>
      </c>
      <c r="B1143">
        <v>2022</v>
      </c>
      <c r="C1143" t="s">
        <v>252</v>
      </c>
      <c r="D1143" t="s">
        <v>254</v>
      </c>
      <c r="E1143" t="s">
        <v>256</v>
      </c>
      <c r="F1143" s="5" t="s">
        <v>115</v>
      </c>
      <c r="G1143" s="7">
        <v>226477</v>
      </c>
      <c r="H1143" s="7" cm="1">
        <f t="array" ref="H1143">_xlfn.IFS(B1143=2015,L1143*$P$3,B1143=2016,L1143*$P$4,B1143=2017,L1143*$P$5,B1143=2018,L1143*$P$6,B1143=2019,L1143*$P$7,B1143=2020,L1143*$P$8,B1143=2021,L1143*$P$9,B1143=2022,L1143*$P$10)</f>
        <v>4609.3874113756519</v>
      </c>
      <c r="I1143" s="7">
        <f t="shared" si="37"/>
        <v>231086.38741137565</v>
      </c>
      <c r="J1143">
        <f>IFERROR(VLOOKUP(F1143,'LEAID Match'!$A$2:$B$227,2,FALSE),"")</f>
        <v>3800390</v>
      </c>
      <c r="K1143">
        <f t="shared" si="36"/>
        <v>8</v>
      </c>
      <c r="L1143" cm="1">
        <f t="array" ref="L1143">_xlfn.IFS(B1143=2015,G1143/$P$13,B1143=2016,G1143/$P$14,B1143=2017,G1143/$P$15,B1143=2018,G1143/$P$16,B1143=2019,G1143/$P$17,B1143=2019,G1143/$P$18,B1143=2020,G1143/$P$18,B1143=2021,G1143/$P$19,B1143=2022,G1143/$P$20)</f>
        <v>2.2572906030243153E-3</v>
      </c>
    </row>
    <row r="1144" spans="1:12" x14ac:dyDescent="0.2">
      <c r="A1144">
        <v>3880700</v>
      </c>
      <c r="B1144">
        <v>2015</v>
      </c>
      <c r="C1144" t="s">
        <v>252</v>
      </c>
      <c r="D1144" t="s">
        <v>254</v>
      </c>
      <c r="E1144" t="s">
        <v>256</v>
      </c>
      <c r="F1144" s="5" t="s">
        <v>203</v>
      </c>
      <c r="G1144" s="7">
        <v>66522</v>
      </c>
      <c r="H1144" s="7" cm="1">
        <f t="array" ref="H1144">_xlfn.IFS(B1144=2015,L1144*$P$3,B1144=2016,L1144*$P$4,B1144=2017,L1144*$P$5,B1144=2018,L1144*$P$6,B1144=2019,L1144*$P$7,B1144=2020,L1144*$P$8,B1144=2021,L1144*$P$9,B1144=2022,L1144*$P$10)</f>
        <v>1503.9575068762506</v>
      </c>
      <c r="I1144" s="7">
        <f t="shared" si="37"/>
        <v>68025.95750687625</v>
      </c>
      <c r="J1144">
        <f>IFERROR(VLOOKUP(F1144,'LEAID Match'!$A$2:$B$227,2,FALSE),"")</f>
        <v>3880700</v>
      </c>
      <c r="K1144">
        <f t="shared" si="36"/>
        <v>8</v>
      </c>
      <c r="L1144" cm="1">
        <f t="array" ref="L1144">_xlfn.IFS(B1144=2015,G1144/$P$13,B1144=2016,G1144/$P$14,B1144=2017,G1144/$P$15,B1144=2018,G1144/$P$16,B1144=2019,G1144/$P$17,B1144=2019,G1144/$P$18,B1144=2020,G1144/$P$18,B1144=2021,G1144/$P$19,B1144=2022,G1144/$P$20)</f>
        <v>8.4825578504018641E-4</v>
      </c>
    </row>
    <row r="1145" spans="1:12" x14ac:dyDescent="0.2">
      <c r="A1145">
        <v>3880700</v>
      </c>
      <c r="B1145">
        <v>2016</v>
      </c>
      <c r="C1145" t="s">
        <v>252</v>
      </c>
      <c r="D1145" t="s">
        <v>254</v>
      </c>
      <c r="E1145" t="s">
        <v>256</v>
      </c>
      <c r="F1145" s="5" t="s">
        <v>203</v>
      </c>
      <c r="G1145" s="7">
        <v>65411</v>
      </c>
      <c r="H1145" s="7" cm="1">
        <f t="array" ref="H1145">_xlfn.IFS(B1145=2015,L1145*$P$3,B1145=2016,L1145*$P$4,B1145=2017,L1145*$P$5,B1145=2018,L1145*$P$6,B1145=2019,L1145*$P$7,B1145=2020,L1145*$P$8,B1145=2021,L1145*$P$9,B1145=2022,L1145*$P$10)</f>
        <v>2221.1648510426694</v>
      </c>
      <c r="I1145" s="7">
        <f t="shared" si="37"/>
        <v>67632.164851042675</v>
      </c>
      <c r="J1145">
        <f>IFERROR(VLOOKUP(F1145,'LEAID Match'!$A$2:$B$227,2,FALSE),"")</f>
        <v>3880700</v>
      </c>
      <c r="K1145">
        <f t="shared" si="36"/>
        <v>8</v>
      </c>
      <c r="L1145" cm="1">
        <f t="array" ref="L1145">_xlfn.IFS(B1145=2015,G1145/$P$13,B1145=2016,G1145/$P$14,B1145=2017,G1145/$P$15,B1145=2018,G1145/$P$16,B1145=2019,G1145/$P$17,B1145=2019,G1145/$P$18,B1145=2020,G1145/$P$18,B1145=2021,G1145/$P$19,B1145=2022,G1145/$P$20)</f>
        <v>7.8960712799241712E-4</v>
      </c>
    </row>
    <row r="1146" spans="1:12" x14ac:dyDescent="0.2">
      <c r="A1146">
        <v>3880700</v>
      </c>
      <c r="B1146">
        <v>2017</v>
      </c>
      <c r="C1146" t="s">
        <v>252</v>
      </c>
      <c r="D1146" t="s">
        <v>254</v>
      </c>
      <c r="E1146" t="s">
        <v>256</v>
      </c>
      <c r="F1146" s="5" t="s">
        <v>203</v>
      </c>
      <c r="G1146" s="7">
        <v>74543</v>
      </c>
      <c r="H1146" s="7" cm="1">
        <f t="array" ref="H1146">_xlfn.IFS(B1146=2015,L1146*$P$3,B1146=2016,L1146*$P$4,B1146=2017,L1146*$P$5,B1146=2018,L1146*$P$6,B1146=2019,L1146*$P$7,B1146=2020,L1146*$P$8,B1146=2021,L1146*$P$9,B1146=2022,L1146*$P$10)</f>
        <v>2415.7933274112625</v>
      </c>
      <c r="I1146" s="7">
        <f t="shared" si="37"/>
        <v>76958.793327411258</v>
      </c>
      <c r="J1146">
        <f>IFERROR(VLOOKUP(F1146,'LEAID Match'!$A$2:$B$227,2,FALSE),"")</f>
        <v>3880700</v>
      </c>
      <c r="K1146">
        <f t="shared" si="36"/>
        <v>8</v>
      </c>
      <c r="L1146" cm="1">
        <f t="array" ref="L1146">_xlfn.IFS(B1146=2015,G1146/$P$13,B1146=2016,G1146/$P$14,B1146=2017,G1146/$P$15,B1146=2018,G1146/$P$16,B1146=2019,G1146/$P$17,B1146=2019,G1146/$P$18,B1146=2020,G1146/$P$18,B1146=2021,G1146/$P$19,B1146=2022,G1146/$P$20)</f>
        <v>8.6618620559744089E-4</v>
      </c>
    </row>
    <row r="1147" spans="1:12" x14ac:dyDescent="0.2">
      <c r="A1147">
        <v>3880700</v>
      </c>
      <c r="B1147" s="5">
        <v>2018</v>
      </c>
      <c r="C1147" t="s">
        <v>252</v>
      </c>
      <c r="D1147" t="s">
        <v>254</v>
      </c>
      <c r="E1147" t="s">
        <v>256</v>
      </c>
      <c r="F1147" s="5" t="s">
        <v>203</v>
      </c>
      <c r="G1147" s="7">
        <v>71944</v>
      </c>
      <c r="H1147" s="7" cm="1">
        <f t="array" ref="H1147">_xlfn.IFS(B1147=2015,L1147*$P$3,B1147=2016,L1147*$P$4,B1147=2017,L1147*$P$5,B1147=2018,L1147*$P$6,B1147=2019,L1147*$P$7,B1147=2020,L1147*$P$8,B1147=2021,L1147*$P$9,B1147=2022,L1147*$P$10)</f>
        <v>1971.3367200186028</v>
      </c>
      <c r="I1147" s="7">
        <f t="shared" si="37"/>
        <v>73915.336720018604</v>
      </c>
      <c r="J1147">
        <f>IFERROR(VLOOKUP(F1147,'LEAID Match'!$A$2:$B$227,2,FALSE),"")</f>
        <v>3880700</v>
      </c>
      <c r="K1147">
        <f t="shared" si="36"/>
        <v>8</v>
      </c>
      <c r="L1147" cm="1">
        <f t="array" ref="L1147">_xlfn.IFS(B1147=2015,G1147/$P$13,B1147=2016,G1147/$P$14,B1147=2017,G1147/$P$15,B1147=2018,G1147/$P$16,B1147=2019,G1147/$P$17,B1147=2019,G1147/$P$18,B1147=2020,G1147/$P$18,B1147=2021,G1147/$P$19,B1147=2022,G1147/$P$20)</f>
        <v>8.3003651369204325E-4</v>
      </c>
    </row>
    <row r="1148" spans="1:12" x14ac:dyDescent="0.2">
      <c r="A1148">
        <v>3880700</v>
      </c>
      <c r="B1148">
        <v>2019</v>
      </c>
      <c r="C1148" t="s">
        <v>252</v>
      </c>
      <c r="D1148" t="s">
        <v>254</v>
      </c>
      <c r="E1148" t="s">
        <v>256</v>
      </c>
      <c r="F1148" s="5" t="s">
        <v>203</v>
      </c>
      <c r="G1148" s="7">
        <v>74626</v>
      </c>
      <c r="H1148" s="7" cm="1">
        <f t="array" ref="H1148">_xlfn.IFS(B1148=2015,L1148*$P$3,B1148=2016,L1148*$P$4,B1148=2017,L1148*$P$5,B1148=2018,L1148*$P$6,B1148=2019,L1148*$P$7,B1148=2020,L1148*$P$8,B1148=2021,L1148*$P$9,B1148=2022,L1148*$P$10)</f>
        <v>1732.0563904831668</v>
      </c>
      <c r="I1148" s="7">
        <f t="shared" si="37"/>
        <v>76358.056390483165</v>
      </c>
      <c r="J1148">
        <f>IFERROR(VLOOKUP(F1148,'LEAID Match'!$A$2:$B$227,2,FALSE),"")</f>
        <v>3880700</v>
      </c>
      <c r="K1148">
        <f t="shared" si="36"/>
        <v>8</v>
      </c>
      <c r="L1148" cm="1">
        <f t="array" ref="L1148">_xlfn.IFS(B1148=2015,G1148/$P$13,B1148=2016,G1148/$P$14,B1148=2017,G1148/$P$15,B1148=2018,G1148/$P$16,B1148=2019,G1148/$P$17,B1148=2019,G1148/$P$18,B1148=2020,G1148/$P$18,B1148=2021,G1148/$P$19,B1148=2022,G1148/$P$20)</f>
        <v>8.3432388751597628E-4</v>
      </c>
    </row>
    <row r="1149" spans="1:12" x14ac:dyDescent="0.2">
      <c r="A1149">
        <v>3880700</v>
      </c>
      <c r="B1149">
        <v>2020</v>
      </c>
      <c r="C1149" t="s">
        <v>252</v>
      </c>
      <c r="D1149" t="s">
        <v>254</v>
      </c>
      <c r="E1149" t="s">
        <v>256</v>
      </c>
      <c r="F1149" s="5" t="s">
        <v>203</v>
      </c>
      <c r="G1149" s="7">
        <v>90330</v>
      </c>
      <c r="H1149" s="7" cm="1">
        <f t="array" ref="H1149">_xlfn.IFS(B1149=2015,L1149*$P$3,B1149=2016,L1149*$P$4,B1149=2017,L1149*$P$5,B1149=2018,L1149*$P$6,B1149=2019,L1149*$P$7,B1149=2020,L1149*$P$8,B1149=2021,L1149*$P$9,B1149=2022,L1149*$P$10)</f>
        <v>2266.2006844965872</v>
      </c>
      <c r="I1149" s="7">
        <f t="shared" si="37"/>
        <v>92596.20068449658</v>
      </c>
      <c r="J1149">
        <f>IFERROR(VLOOKUP(F1149,'LEAID Match'!$A$2:$B$227,2,FALSE),"")</f>
        <v>3880700</v>
      </c>
      <c r="K1149">
        <f t="shared" si="36"/>
        <v>8</v>
      </c>
      <c r="L1149" cm="1">
        <f t="array" ref="L1149">_xlfn.IFS(B1149=2015,G1149/$P$13,B1149=2016,G1149/$P$14,B1149=2017,G1149/$P$15,B1149=2018,G1149/$P$16,B1149=2019,G1149/$P$17,B1149=2019,G1149/$P$18,B1149=2020,G1149/$P$18,B1149=2021,G1149/$P$19,B1149=2022,G1149/$P$20)</f>
        <v>9.7095145008422755E-4</v>
      </c>
    </row>
    <row r="1150" spans="1:12" x14ac:dyDescent="0.2">
      <c r="A1150">
        <v>3880700</v>
      </c>
      <c r="B1150" s="5">
        <v>2021</v>
      </c>
      <c r="C1150" t="s">
        <v>252</v>
      </c>
      <c r="D1150" t="s">
        <v>254</v>
      </c>
      <c r="E1150" t="s">
        <v>256</v>
      </c>
      <c r="F1150" s="5" t="s">
        <v>203</v>
      </c>
      <c r="G1150" s="7">
        <v>102570</v>
      </c>
      <c r="H1150" s="7" cm="1">
        <f t="array" ref="H1150">_xlfn.IFS(B1150=2015,L1150*$P$3,B1150=2016,L1150*$P$4,B1150=2017,L1150*$P$5,B1150=2018,L1150*$P$6,B1150=2019,L1150*$P$7,B1150=2020,L1150*$P$8,B1150=2021,L1150*$P$9,B1150=2022,L1150*$P$10)</f>
        <v>2802.6527787748064</v>
      </c>
      <c r="I1150" s="7">
        <f t="shared" si="37"/>
        <v>105372.65277877481</v>
      </c>
      <c r="J1150">
        <f>IFERROR(VLOOKUP(F1150,'LEAID Match'!$A$2:$B$227,2,FALSE),"")</f>
        <v>3880700</v>
      </c>
      <c r="K1150">
        <f t="shared" si="36"/>
        <v>8</v>
      </c>
      <c r="L1150" cm="1">
        <f t="array" ref="L1150">_xlfn.IFS(B1150=2015,G1150/$P$13,B1150=2016,G1150/$P$14,B1150=2017,G1150/$P$15,B1150=2018,G1150/$P$16,B1150=2019,G1150/$P$17,B1150=2019,G1150/$P$18,B1150=2020,G1150/$P$18,B1150=2021,G1150/$P$19,B1150=2022,G1150/$P$20)</f>
        <v>1.0438185395809335E-3</v>
      </c>
    </row>
    <row r="1151" spans="1:12" x14ac:dyDescent="0.2">
      <c r="A1151">
        <v>3880700</v>
      </c>
      <c r="B1151">
        <v>2022</v>
      </c>
      <c r="C1151" t="s">
        <v>252</v>
      </c>
      <c r="D1151" t="s">
        <v>254</v>
      </c>
      <c r="E1151" t="s">
        <v>256</v>
      </c>
      <c r="F1151" s="5" t="s">
        <v>203</v>
      </c>
      <c r="G1151" s="7">
        <v>111028</v>
      </c>
      <c r="H1151" s="7" cm="1">
        <f t="array" ref="H1151">_xlfn.IFS(B1151=2015,L1151*$P$3,B1151=2016,L1151*$P$4,B1151=2017,L1151*$P$5,B1151=2018,L1151*$P$6,B1151=2019,L1151*$P$7,B1151=2020,L1151*$P$8,B1151=2021,L1151*$P$9,B1151=2022,L1151*$P$10)</f>
        <v>2259.704365168277</v>
      </c>
      <c r="I1151" s="7">
        <f t="shared" si="37"/>
        <v>113287.70436516828</v>
      </c>
      <c r="J1151">
        <f>IFERROR(VLOOKUP(F1151,'LEAID Match'!$A$2:$B$227,2,FALSE),"")</f>
        <v>3880700</v>
      </c>
      <c r="K1151">
        <f t="shared" si="36"/>
        <v>8</v>
      </c>
      <c r="L1151" cm="1">
        <f t="array" ref="L1151">_xlfn.IFS(B1151=2015,G1151/$P$13,B1151=2016,G1151/$P$14,B1151=2017,G1151/$P$15,B1151=2018,G1151/$P$16,B1151=2019,G1151/$P$17,B1151=2019,G1151/$P$18,B1151=2020,G1151/$P$18,B1151=2021,G1151/$P$19,B1151=2022,G1151/$P$20)</f>
        <v>1.1066133032165901E-3</v>
      </c>
    </row>
    <row r="1152" spans="1:12" x14ac:dyDescent="0.2">
      <c r="A1152">
        <v>3800044</v>
      </c>
      <c r="B1152">
        <v>2015</v>
      </c>
      <c r="C1152" t="s">
        <v>252</v>
      </c>
      <c r="D1152" t="s">
        <v>254</v>
      </c>
      <c r="E1152" t="s">
        <v>256</v>
      </c>
      <c r="F1152" s="5" t="s">
        <v>116</v>
      </c>
      <c r="G1152" s="7">
        <v>324442</v>
      </c>
      <c r="H1152" s="7" cm="1">
        <f t="array" ref="H1152">_xlfn.IFS(B1152=2015,L1152*$P$3,B1152=2016,L1152*$P$4,B1152=2017,L1152*$P$5,B1152=2018,L1152*$P$6,B1152=2019,L1152*$P$7,B1152=2020,L1152*$P$8,B1152=2021,L1152*$P$9,B1152=2022,L1152*$P$10)</f>
        <v>7335.1219362909178</v>
      </c>
      <c r="I1152" s="7">
        <f t="shared" si="37"/>
        <v>331777.12193629093</v>
      </c>
      <c r="J1152">
        <f>IFERROR(VLOOKUP(F1152,'LEAID Match'!$A$2:$B$227,2,FALSE),"")</f>
        <v>3800044</v>
      </c>
      <c r="K1152">
        <f t="shared" si="36"/>
        <v>8</v>
      </c>
      <c r="L1152" cm="1">
        <f t="array" ref="L1152">_xlfn.IFS(B1152=2015,G1152/$P$13,B1152=2016,G1152/$P$14,B1152=2017,G1152/$P$15,B1152=2018,G1152/$P$16,B1152=2019,G1152/$P$17,B1152=2019,G1152/$P$18,B1152=2020,G1152/$P$18,B1152=2021,G1152/$P$19,B1152=2022,G1152/$P$20)</f>
        <v>4.1371246115572014E-3</v>
      </c>
    </row>
    <row r="1153" spans="1:12" x14ac:dyDescent="0.2">
      <c r="A1153">
        <v>3800044</v>
      </c>
      <c r="B1153">
        <v>2016</v>
      </c>
      <c r="C1153" t="s">
        <v>252</v>
      </c>
      <c r="D1153" t="s">
        <v>254</v>
      </c>
      <c r="E1153" t="s">
        <v>256</v>
      </c>
      <c r="F1153" s="5" t="s">
        <v>116</v>
      </c>
      <c r="G1153" s="7">
        <v>355064</v>
      </c>
      <c r="H1153" s="7" cm="1">
        <f t="array" ref="H1153">_xlfn.IFS(B1153=2015,L1153*$P$3,B1153=2016,L1153*$P$4,B1153=2017,L1153*$P$5,B1153=2018,L1153*$P$6,B1153=2019,L1153*$P$7,B1153=2020,L1153*$P$8,B1153=2021,L1153*$P$9,B1153=2022,L1153*$P$10)</f>
        <v>12056.927377208945</v>
      </c>
      <c r="I1153" s="7">
        <f t="shared" si="37"/>
        <v>367120.92737720895</v>
      </c>
      <c r="J1153">
        <f>IFERROR(VLOOKUP(F1153,'LEAID Match'!$A$2:$B$227,2,FALSE),"")</f>
        <v>3800044</v>
      </c>
      <c r="K1153">
        <f t="shared" si="36"/>
        <v>8</v>
      </c>
      <c r="L1153" cm="1">
        <f t="array" ref="L1153">_xlfn.IFS(B1153=2015,G1153/$P$13,B1153=2016,G1153/$P$14,B1153=2017,G1153/$P$15,B1153=2018,G1153/$P$16,B1153=2019,G1153/$P$17,B1153=2019,G1153/$P$18,B1153=2020,G1153/$P$18,B1153=2021,G1153/$P$19,B1153=2022,G1153/$P$20)</f>
        <v>4.2861455304688753E-3</v>
      </c>
    </row>
    <row r="1154" spans="1:12" x14ac:dyDescent="0.2">
      <c r="A1154">
        <v>3800044</v>
      </c>
      <c r="B1154">
        <v>2017</v>
      </c>
      <c r="C1154" t="s">
        <v>252</v>
      </c>
      <c r="D1154" t="s">
        <v>254</v>
      </c>
      <c r="E1154" t="s">
        <v>256</v>
      </c>
      <c r="F1154" s="5" t="s">
        <v>116</v>
      </c>
      <c r="G1154" s="7">
        <v>405862</v>
      </c>
      <c r="H1154" s="7" cm="1">
        <f t="array" ref="H1154">_xlfn.IFS(B1154=2015,L1154*$P$3,B1154=2016,L1154*$P$4,B1154=2017,L1154*$P$5,B1154=2018,L1154*$P$6,B1154=2019,L1154*$P$7,B1154=2020,L1154*$P$8,B1154=2021,L1154*$P$9,B1154=2022,L1154*$P$10)</f>
        <v>13153.196295423981</v>
      </c>
      <c r="I1154" s="7">
        <f t="shared" si="37"/>
        <v>419015.19629542396</v>
      </c>
      <c r="J1154">
        <f>IFERROR(VLOOKUP(F1154,'LEAID Match'!$A$2:$B$227,2,FALSE),"")</f>
        <v>3800044</v>
      </c>
      <c r="K1154">
        <f t="shared" ref="K1154:K1217" si="38">COUNTIF($A$2:$A$1757,A1154)</f>
        <v>8</v>
      </c>
      <c r="L1154" cm="1">
        <f t="array" ref="L1154">_xlfn.IFS(B1154=2015,G1154/$P$13,B1154=2016,G1154/$P$14,B1154=2017,G1154/$P$15,B1154=2018,G1154/$P$16,B1154=2019,G1154/$P$17,B1154=2019,G1154/$P$18,B1154=2020,G1154/$P$18,B1154=2021,G1154/$P$19,B1154=2022,G1154/$P$20)</f>
        <v>4.7160976319196779E-3</v>
      </c>
    </row>
    <row r="1155" spans="1:12" x14ac:dyDescent="0.2">
      <c r="A1155">
        <v>3800044</v>
      </c>
      <c r="B1155" s="5">
        <v>2018</v>
      </c>
      <c r="C1155" t="s">
        <v>252</v>
      </c>
      <c r="D1155" t="s">
        <v>254</v>
      </c>
      <c r="E1155" t="s">
        <v>256</v>
      </c>
      <c r="F1155" s="5" t="s">
        <v>116</v>
      </c>
      <c r="G1155" s="7">
        <v>409104</v>
      </c>
      <c r="H1155" s="7" cm="1">
        <f t="array" ref="H1155">_xlfn.IFS(B1155=2015,L1155*$P$3,B1155=2016,L1155*$P$4,B1155=2017,L1155*$P$5,B1155=2018,L1155*$P$6,B1155=2019,L1155*$P$7,B1155=2020,L1155*$P$8,B1155=2021,L1155*$P$9,B1155=2022,L1155*$P$10)</f>
        <v>11209.854018493417</v>
      </c>
      <c r="I1155" s="7">
        <f t="shared" ref="I1155:I1218" si="39">SUM(G1155:H1155)</f>
        <v>420313.85401849344</v>
      </c>
      <c r="J1155">
        <f>IFERROR(VLOOKUP(F1155,'LEAID Match'!$A$2:$B$227,2,FALSE),"")</f>
        <v>3800044</v>
      </c>
      <c r="K1155">
        <f t="shared" si="38"/>
        <v>8</v>
      </c>
      <c r="L1155" cm="1">
        <f t="array" ref="L1155">_xlfn.IFS(B1155=2015,G1155/$P$13,B1155=2016,G1155/$P$14,B1155=2017,G1155/$P$15,B1155=2018,G1155/$P$16,B1155=2019,G1155/$P$17,B1155=2019,G1155/$P$18,B1155=2020,G1155/$P$18,B1155=2021,G1155/$P$19,B1155=2022,G1155/$P$20)</f>
        <v>4.7199385341024913E-3</v>
      </c>
    </row>
    <row r="1156" spans="1:12" x14ac:dyDescent="0.2">
      <c r="A1156">
        <v>3800044</v>
      </c>
      <c r="B1156">
        <v>2019</v>
      </c>
      <c r="C1156" t="s">
        <v>252</v>
      </c>
      <c r="D1156" t="s">
        <v>254</v>
      </c>
      <c r="E1156" t="s">
        <v>256</v>
      </c>
      <c r="F1156" s="5" t="s">
        <v>116</v>
      </c>
      <c r="G1156" s="7">
        <v>426163</v>
      </c>
      <c r="H1156" s="7" cm="1">
        <f t="array" ref="H1156">_xlfn.IFS(B1156=2015,L1156*$P$3,B1156=2016,L1156*$P$4,B1156=2017,L1156*$P$5,B1156=2018,L1156*$P$6,B1156=2019,L1156*$P$7,B1156=2020,L1156*$P$8,B1156=2021,L1156*$P$9,B1156=2022,L1156*$P$10)</f>
        <v>9891.1685945579011</v>
      </c>
      <c r="I1156" s="7">
        <f t="shared" si="39"/>
        <v>436054.16859455791</v>
      </c>
      <c r="J1156">
        <f>IFERROR(VLOOKUP(F1156,'LEAID Match'!$A$2:$B$227,2,FALSE),"")</f>
        <v>3800044</v>
      </c>
      <c r="K1156">
        <f t="shared" si="38"/>
        <v>8</v>
      </c>
      <c r="L1156" cm="1">
        <f t="array" ref="L1156">_xlfn.IFS(B1156=2015,G1156/$P$13,B1156=2016,G1156/$P$14,B1156=2017,G1156/$P$15,B1156=2018,G1156/$P$16,B1156=2019,G1156/$P$17,B1156=2019,G1156/$P$18,B1156=2020,G1156/$P$18,B1156=2021,G1156/$P$19,B1156=2022,G1156/$P$20)</f>
        <v>4.7645320783034203E-3</v>
      </c>
    </row>
    <row r="1157" spans="1:12" x14ac:dyDescent="0.2">
      <c r="A1157">
        <v>3800044</v>
      </c>
      <c r="B1157">
        <v>2020</v>
      </c>
      <c r="C1157" t="s">
        <v>252</v>
      </c>
      <c r="D1157" t="s">
        <v>254</v>
      </c>
      <c r="E1157" t="s">
        <v>256</v>
      </c>
      <c r="F1157" s="5" t="s">
        <v>116</v>
      </c>
      <c r="G1157" s="7">
        <v>428148</v>
      </c>
      <c r="H1157" s="7" cm="1">
        <f t="array" ref="H1157">_xlfn.IFS(B1157=2015,L1157*$P$3,B1157=2016,L1157*$P$4,B1157=2017,L1157*$P$5,B1157=2018,L1157*$P$6,B1157=2019,L1157*$P$7,B1157=2020,L1157*$P$8,B1157=2021,L1157*$P$9,B1157=2022,L1157*$P$10)</f>
        <v>10741.384818618895</v>
      </c>
      <c r="I1157" s="7">
        <f t="shared" si="39"/>
        <v>438889.38481861888</v>
      </c>
      <c r="J1157">
        <f>IFERROR(VLOOKUP(F1157,'LEAID Match'!$A$2:$B$227,2,FALSE),"")</f>
        <v>3800044</v>
      </c>
      <c r="K1157">
        <f t="shared" si="38"/>
        <v>8</v>
      </c>
      <c r="L1157" cm="1">
        <f t="array" ref="L1157">_xlfn.IFS(B1157=2015,G1157/$P$13,B1157=2016,G1157/$P$14,B1157=2017,G1157/$P$15,B1157=2018,G1157/$P$16,B1157=2019,G1157/$P$17,B1157=2019,G1157/$P$18,B1157=2020,G1157/$P$18,B1157=2021,G1157/$P$19,B1157=2022,G1157/$P$20)</f>
        <v>4.6021357406250624E-3</v>
      </c>
    </row>
    <row r="1158" spans="1:12" x14ac:dyDescent="0.2">
      <c r="A1158">
        <v>3800044</v>
      </c>
      <c r="B1158" s="5">
        <v>2021</v>
      </c>
      <c r="C1158" t="s">
        <v>252</v>
      </c>
      <c r="D1158" t="s">
        <v>254</v>
      </c>
      <c r="E1158" t="s">
        <v>256</v>
      </c>
      <c r="F1158" s="5" t="s">
        <v>116</v>
      </c>
      <c r="G1158" s="7">
        <v>454781</v>
      </c>
      <c r="H1158" s="7" cm="1">
        <f t="array" ref="H1158">_xlfn.IFS(B1158=2015,L1158*$P$3,B1158=2016,L1158*$P$4,B1158=2017,L1158*$P$5,B1158=2018,L1158*$P$6,B1158=2019,L1158*$P$7,B1158=2020,L1158*$P$8,B1158=2021,L1158*$P$9,B1158=2022,L1158*$P$10)</f>
        <v>12426.569497747736</v>
      </c>
      <c r="I1158" s="7">
        <f t="shared" si="39"/>
        <v>467207.56949774775</v>
      </c>
      <c r="J1158">
        <f>IFERROR(VLOOKUP(F1158,'LEAID Match'!$A$2:$B$227,2,FALSE),"")</f>
        <v>3800044</v>
      </c>
      <c r="K1158">
        <f t="shared" si="38"/>
        <v>8</v>
      </c>
      <c r="L1158" cm="1">
        <f t="array" ref="L1158">_xlfn.IFS(B1158=2015,G1158/$P$13,B1158=2016,G1158/$P$14,B1158=2017,G1158/$P$15,B1158=2018,G1158/$P$16,B1158=2019,G1158/$P$17,B1158=2019,G1158/$P$18,B1158=2020,G1158/$P$18,B1158=2021,G1158/$P$19,B1158=2022,G1158/$P$20)</f>
        <v>4.6281450643380767E-3</v>
      </c>
    </row>
    <row r="1159" spans="1:12" x14ac:dyDescent="0.2">
      <c r="A1159">
        <v>3800044</v>
      </c>
      <c r="B1159">
        <v>2022</v>
      </c>
      <c r="C1159" t="s">
        <v>252</v>
      </c>
      <c r="D1159" t="s">
        <v>254</v>
      </c>
      <c r="E1159" t="s">
        <v>256</v>
      </c>
      <c r="F1159" s="5" t="s">
        <v>116</v>
      </c>
      <c r="G1159" s="7">
        <v>451463</v>
      </c>
      <c r="H1159" s="7" cm="1">
        <f t="array" ref="H1159">_xlfn.IFS(B1159=2015,L1159*$P$3,B1159=2016,L1159*$P$4,B1159=2017,L1159*$P$5,B1159=2018,L1159*$P$6,B1159=2019,L1159*$P$7,B1159=2020,L1159*$P$8,B1159=2021,L1159*$P$9,B1159=2022,L1159*$P$10)</f>
        <v>9188.4291513128737</v>
      </c>
      <c r="I1159" s="7">
        <f t="shared" si="39"/>
        <v>460651.42915131286</v>
      </c>
      <c r="J1159">
        <f>IFERROR(VLOOKUP(F1159,'LEAID Match'!$A$2:$B$227,2,FALSE),"")</f>
        <v>3800044</v>
      </c>
      <c r="K1159">
        <f t="shared" si="38"/>
        <v>8</v>
      </c>
      <c r="L1159" cm="1">
        <f t="array" ref="L1159">_xlfn.IFS(B1159=2015,G1159/$P$13,B1159=2016,G1159/$P$14,B1159=2017,G1159/$P$15,B1159=2018,G1159/$P$16,B1159=2019,G1159/$P$17,B1159=2019,G1159/$P$18,B1159=2020,G1159/$P$18,B1159=2021,G1159/$P$19,B1159=2022,G1159/$P$20)</f>
        <v>4.499720446284463E-3</v>
      </c>
    </row>
    <row r="1160" spans="1:12" x14ac:dyDescent="0.2">
      <c r="A1160">
        <v>3880180</v>
      </c>
      <c r="B1160">
        <v>2015</v>
      </c>
      <c r="C1160" t="s">
        <v>252</v>
      </c>
      <c r="D1160" t="s">
        <v>254</v>
      </c>
      <c r="E1160" t="s">
        <v>256</v>
      </c>
      <c r="F1160" s="5" t="s">
        <v>117</v>
      </c>
      <c r="G1160" s="7">
        <v>33267</v>
      </c>
      <c r="H1160" s="7" cm="1">
        <f t="array" ref="H1160">_xlfn.IFS(B1160=2015,L1160*$P$3,B1160=2016,L1160*$P$4,B1160=2017,L1160*$P$5,B1160=2018,L1160*$P$6,B1160=2019,L1160*$P$7,B1160=2020,L1160*$P$8,B1160=2021,L1160*$P$9,B1160=2022,L1160*$P$10)</f>
        <v>752.11440397540991</v>
      </c>
      <c r="I1160" s="7">
        <f t="shared" si="39"/>
        <v>34019.114403975407</v>
      </c>
      <c r="J1160">
        <f>IFERROR(VLOOKUP(F1160,'LEAID Match'!$A$2:$B$227,2,FALSE),"")</f>
        <v>3880180</v>
      </c>
      <c r="K1160">
        <f t="shared" si="38"/>
        <v>8</v>
      </c>
      <c r="L1160" cm="1">
        <f t="array" ref="L1160">_xlfn.IFS(B1160=2015,G1160/$P$13,B1160=2016,G1160/$P$14,B1160=2017,G1160/$P$15,B1160=2018,G1160/$P$16,B1160=2019,G1160/$P$17,B1160=2019,G1160/$P$18,B1160=2020,G1160/$P$18,B1160=2021,G1160/$P$19,B1160=2022,G1160/$P$20)</f>
        <v>4.2420440156537505E-4</v>
      </c>
    </row>
    <row r="1161" spans="1:12" x14ac:dyDescent="0.2">
      <c r="A1161">
        <v>3880180</v>
      </c>
      <c r="B1161">
        <v>2016</v>
      </c>
      <c r="C1161" t="s">
        <v>252</v>
      </c>
      <c r="D1161" t="s">
        <v>254</v>
      </c>
      <c r="E1161" t="s">
        <v>256</v>
      </c>
      <c r="F1161" s="5" t="s">
        <v>117</v>
      </c>
      <c r="G1161" s="7">
        <v>33868</v>
      </c>
      <c r="H1161" s="7" cm="1">
        <f t="array" ref="H1161">_xlfn.IFS(B1161=2015,L1161*$P$3,B1161=2016,L1161*$P$4,B1161=2017,L1161*$P$5,B1161=2018,L1161*$P$6,B1161=2019,L1161*$P$7,B1161=2020,L1161*$P$8,B1161=2021,L1161*$P$9,B1161=2022,L1161*$P$10)</f>
        <v>1150.0575006514673</v>
      </c>
      <c r="I1161" s="7">
        <f t="shared" si="39"/>
        <v>35018.05750065147</v>
      </c>
      <c r="J1161">
        <f>IFERROR(VLOOKUP(F1161,'LEAID Match'!$A$2:$B$227,2,FALSE),"")</f>
        <v>3880180</v>
      </c>
      <c r="K1161">
        <f t="shared" si="38"/>
        <v>8</v>
      </c>
      <c r="L1161" cm="1">
        <f t="array" ref="L1161">_xlfn.IFS(B1161=2015,G1161/$P$13,B1161=2016,G1161/$P$14,B1161=2017,G1161/$P$15,B1161=2018,G1161/$P$16,B1161=2019,G1161/$P$17,B1161=2019,G1161/$P$18,B1161=2020,G1161/$P$18,B1161=2021,G1161/$P$19,B1161=2022,G1161/$P$20)</f>
        <v>4.0883665149358948E-4</v>
      </c>
    </row>
    <row r="1162" spans="1:12" x14ac:dyDescent="0.2">
      <c r="A1162">
        <v>3880180</v>
      </c>
      <c r="B1162">
        <v>2017</v>
      </c>
      <c r="C1162" t="s">
        <v>252</v>
      </c>
      <c r="D1162" t="s">
        <v>254</v>
      </c>
      <c r="E1162" t="s">
        <v>256</v>
      </c>
      <c r="F1162" s="5" t="s">
        <v>117</v>
      </c>
      <c r="G1162" s="7">
        <v>39875</v>
      </c>
      <c r="H1162" s="7" cm="1">
        <f t="array" ref="H1162">_xlfn.IFS(B1162=2015,L1162*$P$3,B1162=2016,L1162*$P$4,B1162=2017,L1162*$P$5,B1162=2018,L1162*$P$6,B1162=2019,L1162*$P$7,B1162=2020,L1162*$P$8,B1162=2021,L1162*$P$9,B1162=2022,L1162*$P$10)</f>
        <v>1292.2710238456207</v>
      </c>
      <c r="I1162" s="7">
        <f t="shared" si="39"/>
        <v>41167.27102384562</v>
      </c>
      <c r="J1162">
        <f>IFERROR(VLOOKUP(F1162,'LEAID Match'!$A$2:$B$227,2,FALSE),"")</f>
        <v>3880180</v>
      </c>
      <c r="K1162">
        <f t="shared" si="38"/>
        <v>8</v>
      </c>
      <c r="L1162" cm="1">
        <f t="array" ref="L1162">_xlfn.IFS(B1162=2015,G1162/$P$13,B1162=2016,G1162/$P$14,B1162=2017,G1162/$P$15,B1162=2018,G1162/$P$16,B1162=2019,G1162/$P$17,B1162=2019,G1162/$P$18,B1162=2020,G1162/$P$18,B1162=2021,G1162/$P$19,B1162=2022,G1162/$P$20)</f>
        <v>4.633456521497385E-4</v>
      </c>
    </row>
    <row r="1163" spans="1:12" x14ac:dyDescent="0.2">
      <c r="A1163">
        <v>3880180</v>
      </c>
      <c r="B1163" s="5">
        <v>2018</v>
      </c>
      <c r="C1163" t="s">
        <v>252</v>
      </c>
      <c r="D1163" t="s">
        <v>254</v>
      </c>
      <c r="E1163" t="s">
        <v>256</v>
      </c>
      <c r="F1163" s="5" t="s">
        <v>117</v>
      </c>
      <c r="G1163" s="7">
        <v>40398</v>
      </c>
      <c r="H1163" s="7" cm="1">
        <f t="array" ref="H1163">_xlfn.IFS(B1163=2015,L1163*$P$3,B1163=2016,L1163*$P$4,B1163=2017,L1163*$P$5,B1163=2018,L1163*$P$6,B1163=2019,L1163*$P$7,B1163=2020,L1163*$P$8,B1163=2021,L1163*$P$9,B1163=2022,L1163*$P$10)</f>
        <v>1106.945135317907</v>
      </c>
      <c r="I1163" s="7">
        <f t="shared" si="39"/>
        <v>41504.94513531791</v>
      </c>
      <c r="J1163">
        <f>IFERROR(VLOOKUP(F1163,'LEAID Match'!$A$2:$B$227,2,FALSE),"")</f>
        <v>3880180</v>
      </c>
      <c r="K1163">
        <f t="shared" si="38"/>
        <v>8</v>
      </c>
      <c r="L1163" cm="1">
        <f t="array" ref="L1163">_xlfn.IFS(B1163=2015,G1163/$P$13,B1163=2016,G1163/$P$14,B1163=2017,G1163/$P$15,B1163=2018,G1163/$P$16,B1163=2019,G1163/$P$17,B1163=2019,G1163/$P$18,B1163=2020,G1163/$P$18,B1163=2021,G1163/$P$19,B1163=2022,G1163/$P$20)</f>
        <v>4.6608216223911877E-4</v>
      </c>
    </row>
    <row r="1164" spans="1:12" x14ac:dyDescent="0.2">
      <c r="A1164">
        <v>3880180</v>
      </c>
      <c r="B1164">
        <v>2019</v>
      </c>
      <c r="C1164" t="s">
        <v>252</v>
      </c>
      <c r="D1164" t="s">
        <v>254</v>
      </c>
      <c r="E1164" t="s">
        <v>256</v>
      </c>
      <c r="F1164" s="5" t="s">
        <v>117</v>
      </c>
      <c r="G1164" s="7">
        <v>40347</v>
      </c>
      <c r="H1164" s="7" cm="1">
        <f t="array" ref="H1164">_xlfn.IFS(B1164=2015,L1164*$P$3,B1164=2016,L1164*$P$4,B1164=2017,L1164*$P$5,B1164=2018,L1164*$P$6,B1164=2019,L1164*$P$7,B1164=2020,L1164*$P$8,B1164=2021,L1164*$P$9,B1164=2022,L1164*$P$10)</f>
        <v>936.44680388637119</v>
      </c>
      <c r="I1164" s="7">
        <f t="shared" si="39"/>
        <v>41283.446803886371</v>
      </c>
      <c r="J1164">
        <f>IFERROR(VLOOKUP(F1164,'LEAID Match'!$A$2:$B$227,2,FALSE),"")</f>
        <v>3880180</v>
      </c>
      <c r="K1164">
        <f t="shared" si="38"/>
        <v>8</v>
      </c>
      <c r="L1164" cm="1">
        <f t="array" ref="L1164">_xlfn.IFS(B1164=2015,G1164/$P$13,B1164=2016,G1164/$P$14,B1164=2017,G1164/$P$15,B1164=2018,G1164/$P$16,B1164=2019,G1164/$P$17,B1164=2019,G1164/$P$18,B1164=2020,G1164/$P$18,B1164=2021,G1164/$P$19,B1164=2022,G1164/$P$20)</f>
        <v>4.5108227547513061E-4</v>
      </c>
    </row>
    <row r="1165" spans="1:12" x14ac:dyDescent="0.2">
      <c r="A1165">
        <v>3880180</v>
      </c>
      <c r="B1165">
        <v>2020</v>
      </c>
      <c r="C1165" t="s">
        <v>252</v>
      </c>
      <c r="D1165" t="s">
        <v>254</v>
      </c>
      <c r="E1165" t="s">
        <v>256</v>
      </c>
      <c r="F1165" s="5" t="s">
        <v>117</v>
      </c>
      <c r="G1165" s="7">
        <v>40713</v>
      </c>
      <c r="H1165" s="7" cm="1">
        <f t="array" ref="H1165">_xlfn.IFS(B1165=2015,L1165*$P$3,B1165=2016,L1165*$P$4,B1165=2017,L1165*$P$5,B1165=2018,L1165*$P$6,B1165=2019,L1165*$P$7,B1165=2020,L1165*$P$8,B1165=2021,L1165*$P$9,B1165=2022,L1165*$P$10)</f>
        <v>1021.4084851977146</v>
      </c>
      <c r="I1165" s="7">
        <f t="shared" si="39"/>
        <v>41734.408485197717</v>
      </c>
      <c r="J1165">
        <f>IFERROR(VLOOKUP(F1165,'LEAID Match'!$A$2:$B$227,2,FALSE),"")</f>
        <v>3880180</v>
      </c>
      <c r="K1165">
        <f t="shared" si="38"/>
        <v>8</v>
      </c>
      <c r="L1165" cm="1">
        <f t="array" ref="L1165">_xlfn.IFS(B1165=2015,G1165/$P$13,B1165=2016,G1165/$P$14,B1165=2017,G1165/$P$15,B1165=2018,G1165/$P$16,B1165=2019,G1165/$P$17,B1165=2019,G1165/$P$18,B1165=2020,G1165/$P$18,B1165=2021,G1165/$P$19,B1165=2022,G1165/$P$20)</f>
        <v>4.3762145895360523E-4</v>
      </c>
    </row>
    <row r="1166" spans="1:12" x14ac:dyDescent="0.2">
      <c r="A1166">
        <v>3880180</v>
      </c>
      <c r="B1166" s="5">
        <v>2021</v>
      </c>
      <c r="C1166" t="s">
        <v>252</v>
      </c>
      <c r="D1166" t="s">
        <v>254</v>
      </c>
      <c r="E1166" t="s">
        <v>256</v>
      </c>
      <c r="F1166" s="5" t="s">
        <v>117</v>
      </c>
      <c r="G1166" s="7">
        <v>57355</v>
      </c>
      <c r="H1166" s="7" cm="1">
        <f t="array" ref="H1166">_xlfn.IFS(B1166=2015,L1166*$P$3,B1166=2016,L1166*$P$4,B1166=2017,L1166*$P$5,B1166=2018,L1166*$P$6,B1166=2019,L1166*$P$7,B1166=2020,L1166*$P$8,B1166=2021,L1166*$P$9,B1166=2022,L1166*$P$10)</f>
        <v>1567.1848506057229</v>
      </c>
      <c r="I1166" s="7">
        <f t="shared" si="39"/>
        <v>58922.184850605721</v>
      </c>
      <c r="J1166">
        <f>IFERROR(VLOOKUP(F1166,'LEAID Match'!$A$2:$B$227,2,FALSE),"")</f>
        <v>3880180</v>
      </c>
      <c r="K1166">
        <f t="shared" si="38"/>
        <v>8</v>
      </c>
      <c r="L1166" cm="1">
        <f t="array" ref="L1166">_xlfn.IFS(B1166=2015,G1166/$P$13,B1166=2016,G1166/$P$14,B1166=2017,G1166/$P$15,B1166=2018,G1166/$P$16,B1166=2019,G1166/$P$17,B1166=2019,G1166/$P$18,B1166=2020,G1166/$P$18,B1166=2021,G1166/$P$19,B1166=2022,G1166/$P$20)</f>
        <v>5.8368150860548342E-4</v>
      </c>
    </row>
    <row r="1167" spans="1:12" x14ac:dyDescent="0.2">
      <c r="A1167">
        <v>3880180</v>
      </c>
      <c r="B1167">
        <v>2022</v>
      </c>
      <c r="C1167" t="s">
        <v>252</v>
      </c>
      <c r="D1167" t="s">
        <v>254</v>
      </c>
      <c r="E1167" t="s">
        <v>256</v>
      </c>
      <c r="F1167" s="5" t="s">
        <v>117</v>
      </c>
      <c r="G1167" s="7">
        <v>64482</v>
      </c>
      <c r="H1167" s="7" cm="1">
        <f t="array" ref="H1167">_xlfn.IFS(B1167=2015,L1167*$P$3,B1167=2016,L1167*$P$4,B1167=2017,L1167*$P$5,B1167=2018,L1167*$P$6,B1167=2019,L1167*$P$7,B1167=2020,L1167*$P$8,B1167=2021,L1167*$P$9,B1167=2022,L1167*$P$10)</f>
        <v>1312.3739676007929</v>
      </c>
      <c r="I1167" s="7">
        <f t="shared" si="39"/>
        <v>65794.373967600797</v>
      </c>
      <c r="J1167">
        <f>IFERROR(VLOOKUP(F1167,'LEAID Match'!$A$2:$B$227,2,FALSE),"")</f>
        <v>3880180</v>
      </c>
      <c r="K1167">
        <f t="shared" si="38"/>
        <v>8</v>
      </c>
      <c r="L1167" cm="1">
        <f t="array" ref="L1167">_xlfn.IFS(B1167=2015,G1167/$P$13,B1167=2016,G1167/$P$14,B1167=2017,G1167/$P$15,B1167=2018,G1167/$P$16,B1167=2019,G1167/$P$17,B1167=2019,G1167/$P$18,B1167=2020,G1167/$P$18,B1167=2021,G1167/$P$19,B1167=2022,G1167/$P$20)</f>
        <v>6.4269048364387507E-4</v>
      </c>
    </row>
    <row r="1168" spans="1:12" x14ac:dyDescent="0.2">
      <c r="A1168">
        <v>3814340</v>
      </c>
      <c r="B1168">
        <v>2022</v>
      </c>
      <c r="C1168" t="s">
        <v>252</v>
      </c>
      <c r="D1168" t="s">
        <v>254</v>
      </c>
      <c r="E1168" t="s">
        <v>256</v>
      </c>
      <c r="F1168" s="5" t="s">
        <v>118</v>
      </c>
      <c r="G1168" s="7">
        <v>270643</v>
      </c>
      <c r="H1168" s="7" cm="1">
        <f t="array" ref="H1168">_xlfn.IFS(B1168=2015,L1168*$P$3,B1168=2016,L1168*$P$4,B1168=2017,L1168*$P$5,B1168=2018,L1168*$P$6,B1168=2019,L1168*$P$7,B1168=2020,L1168*$P$8,B1168=2021,L1168*$P$9,B1168=2022,L1168*$P$10)</f>
        <v>5508.2787089944695</v>
      </c>
      <c r="I1168" s="7">
        <f t="shared" si="39"/>
        <v>276151.27870899445</v>
      </c>
      <c r="J1168">
        <f>IFERROR(VLOOKUP(F1168,'LEAID Match'!$A$2:$B$227,2,FALSE),"")</f>
        <v>3814340</v>
      </c>
      <c r="K1168">
        <f t="shared" si="38"/>
        <v>8</v>
      </c>
      <c r="L1168" cm="1">
        <f t="array" ref="L1168">_xlfn.IFS(B1168=2015,G1168/$P$13,B1168=2016,G1168/$P$14,B1168=2017,G1168/$P$15,B1168=2018,G1168/$P$16,B1168=2019,G1168/$P$17,B1168=2019,G1168/$P$18,B1168=2020,G1168/$P$18,B1168=2021,G1168/$P$19,B1168=2022,G1168/$P$20)</f>
        <v>2.6974920220345102E-3</v>
      </c>
    </row>
    <row r="1169" spans="1:12" x14ac:dyDescent="0.2">
      <c r="A1169">
        <v>3814340</v>
      </c>
      <c r="B1169">
        <v>2015</v>
      </c>
      <c r="C1169" t="s">
        <v>252</v>
      </c>
      <c r="D1169" t="s">
        <v>254</v>
      </c>
      <c r="E1169" t="s">
        <v>256</v>
      </c>
      <c r="F1169" s="5" t="s">
        <v>118</v>
      </c>
      <c r="G1169" s="7">
        <v>175386</v>
      </c>
      <c r="H1169" s="7" cm="1">
        <f t="array" ref="H1169">_xlfn.IFS(B1169=2015,L1169*$P$3,B1169=2016,L1169*$P$4,B1169=2017,L1169*$P$5,B1169=2018,L1169*$P$6,B1169=2019,L1169*$P$7,B1169=2020,L1169*$P$8,B1169=2021,L1169*$P$9,B1169=2022,L1169*$P$10)</f>
        <v>3965.2008553711257</v>
      </c>
      <c r="I1169" s="7">
        <f t="shared" si="39"/>
        <v>179351.20085537113</v>
      </c>
      <c r="J1169">
        <f>IFERROR(VLOOKUP(F1169,'LEAID Match'!$A$2:$B$227,2,FALSE),"")</f>
        <v>3814340</v>
      </c>
      <c r="K1169">
        <f t="shared" si="38"/>
        <v>8</v>
      </c>
      <c r="L1169" cm="1">
        <f t="array" ref="L1169">_xlfn.IFS(B1169=2015,G1169/$P$13,B1169=2016,G1169/$P$14,B1169=2017,G1169/$P$15,B1169=2018,G1169/$P$16,B1169=2019,G1169/$P$17,B1169=2019,G1169/$P$18,B1169=2020,G1169/$P$18,B1169=2021,G1169/$P$19,B1169=2022,G1169/$P$20)</f>
        <v>2.2364359026345888E-3</v>
      </c>
    </row>
    <row r="1170" spans="1:12" x14ac:dyDescent="0.2">
      <c r="A1170">
        <v>3814340</v>
      </c>
      <c r="B1170">
        <v>2016</v>
      </c>
      <c r="C1170" t="s">
        <v>252</v>
      </c>
      <c r="D1170" t="s">
        <v>254</v>
      </c>
      <c r="E1170" t="s">
        <v>256</v>
      </c>
      <c r="F1170" s="5" t="s">
        <v>118</v>
      </c>
      <c r="G1170" s="7">
        <v>195696</v>
      </c>
      <c r="H1170" s="7" cm="1">
        <f t="array" ref="H1170">_xlfn.IFS(B1170=2015,L1170*$P$3,B1170=2016,L1170*$P$4,B1170=2017,L1170*$P$5,B1170=2018,L1170*$P$6,B1170=2019,L1170*$P$7,B1170=2020,L1170*$P$8,B1170=2021,L1170*$P$9,B1170=2022,L1170*$P$10)</f>
        <v>6645.2596151969274</v>
      </c>
      <c r="I1170" s="7">
        <f t="shared" si="39"/>
        <v>202341.25961519693</v>
      </c>
      <c r="J1170">
        <f>IFERROR(VLOOKUP(F1170,'LEAID Match'!$A$2:$B$227,2,FALSE),"")</f>
        <v>3814340</v>
      </c>
      <c r="K1170">
        <f t="shared" si="38"/>
        <v>8</v>
      </c>
      <c r="L1170" cm="1">
        <f t="array" ref="L1170">_xlfn.IFS(B1170=2015,G1170/$P$13,B1170=2016,G1170/$P$14,B1170=2017,G1170/$P$15,B1170=2018,G1170/$P$16,B1170=2019,G1170/$P$17,B1170=2019,G1170/$P$18,B1170=2020,G1170/$P$18,B1170=2021,G1170/$P$19,B1170=2022,G1170/$P$20)</f>
        <v>2.3623390029139449E-3</v>
      </c>
    </row>
    <row r="1171" spans="1:12" x14ac:dyDescent="0.2">
      <c r="A1171">
        <v>3814340</v>
      </c>
      <c r="B1171">
        <v>2017</v>
      </c>
      <c r="C1171" t="s">
        <v>252</v>
      </c>
      <c r="D1171" t="s">
        <v>254</v>
      </c>
      <c r="E1171" t="s">
        <v>256</v>
      </c>
      <c r="F1171" s="5" t="s">
        <v>118</v>
      </c>
      <c r="G1171" s="7">
        <v>209160</v>
      </c>
      <c r="H1171" s="7" cm="1">
        <f t="array" ref="H1171">_xlfn.IFS(B1171=2015,L1171*$P$3,B1171=2016,L1171*$P$4,B1171=2017,L1171*$P$5,B1171=2018,L1171*$P$6,B1171=2019,L1171*$P$7,B1171=2020,L1171*$P$8,B1171=2021,L1171*$P$9,B1171=2022,L1171*$P$10)</f>
        <v>6778.4678958633231</v>
      </c>
      <c r="I1171" s="7">
        <f t="shared" si="39"/>
        <v>215938.46789586332</v>
      </c>
      <c r="J1171">
        <f>IFERROR(VLOOKUP(F1171,'LEAID Match'!$A$2:$B$227,2,FALSE),"")</f>
        <v>3814340</v>
      </c>
      <c r="K1171">
        <f t="shared" si="38"/>
        <v>8</v>
      </c>
      <c r="L1171" cm="1">
        <f t="array" ref="L1171">_xlfn.IFS(B1171=2015,G1171/$P$13,B1171=2016,G1171/$P$14,B1171=2017,G1171/$P$15,B1171=2018,G1171/$P$16,B1171=2019,G1171/$P$17,B1171=2019,G1171/$P$18,B1171=2020,G1171/$P$18,B1171=2021,G1171/$P$19,B1171=2022,G1171/$P$20)</f>
        <v>2.4304295073012991E-3</v>
      </c>
    </row>
    <row r="1172" spans="1:12" x14ac:dyDescent="0.2">
      <c r="A1172">
        <v>3814340</v>
      </c>
      <c r="B1172" s="5">
        <v>2018</v>
      </c>
      <c r="C1172" t="s">
        <v>252</v>
      </c>
      <c r="D1172" t="s">
        <v>254</v>
      </c>
      <c r="E1172" t="s">
        <v>256</v>
      </c>
      <c r="F1172" s="5" t="s">
        <v>118</v>
      </c>
      <c r="G1172" s="7">
        <v>209350</v>
      </c>
      <c r="H1172" s="7" cm="1">
        <f t="array" ref="H1172">_xlfn.IFS(B1172=2015,L1172*$P$3,B1172=2016,L1172*$P$4,B1172=2017,L1172*$P$5,B1172=2018,L1172*$P$6,B1172=2019,L1172*$P$7,B1172=2020,L1172*$P$8,B1172=2021,L1172*$P$9,B1172=2022,L1172*$P$10)</f>
        <v>5736.3969522947637</v>
      </c>
      <c r="I1172" s="7">
        <f t="shared" si="39"/>
        <v>215086.39695229477</v>
      </c>
      <c r="J1172">
        <f>IFERROR(VLOOKUP(F1172,'LEAID Match'!$A$2:$B$227,2,FALSE),"")</f>
        <v>3814340</v>
      </c>
      <c r="K1172">
        <f t="shared" si="38"/>
        <v>8</v>
      </c>
      <c r="L1172" cm="1">
        <f t="array" ref="L1172">_xlfn.IFS(B1172=2015,G1172/$P$13,B1172=2016,G1172/$P$14,B1172=2017,G1172/$P$15,B1172=2018,G1172/$P$16,B1172=2019,G1172/$P$17,B1172=2019,G1172/$P$18,B1172=2020,G1172/$P$18,B1172=2021,G1172/$P$19,B1172=2022,G1172/$P$20)</f>
        <v>2.4153250325451635E-3</v>
      </c>
    </row>
    <row r="1173" spans="1:12" x14ac:dyDescent="0.2">
      <c r="A1173">
        <v>3814340</v>
      </c>
      <c r="B1173">
        <v>2019</v>
      </c>
      <c r="C1173" t="s">
        <v>252</v>
      </c>
      <c r="D1173" t="s">
        <v>254</v>
      </c>
      <c r="E1173" t="s">
        <v>256</v>
      </c>
      <c r="F1173" s="5" t="s">
        <v>118</v>
      </c>
      <c r="G1173" s="7">
        <v>223667</v>
      </c>
      <c r="H1173" s="7" cm="1">
        <f t="array" ref="H1173">_xlfn.IFS(B1173=2015,L1173*$P$3,B1173=2016,L1173*$P$4,B1173=2017,L1173*$P$5,B1173=2018,L1173*$P$6,B1173=2019,L1173*$P$7,B1173=2020,L1173*$P$8,B1173=2021,L1173*$P$9,B1173=2022,L1173*$P$10)</f>
        <v>5191.2718984026815</v>
      </c>
      <c r="I1173" s="7">
        <f t="shared" si="39"/>
        <v>228858.27189840269</v>
      </c>
      <c r="J1173">
        <f>IFERROR(VLOOKUP(F1173,'LEAID Match'!$A$2:$B$227,2,FALSE),"")</f>
        <v>3814340</v>
      </c>
      <c r="K1173">
        <f t="shared" si="38"/>
        <v>8</v>
      </c>
      <c r="L1173" cm="1">
        <f t="array" ref="L1173">_xlfn.IFS(B1173=2015,G1173/$P$13,B1173=2016,G1173/$P$14,B1173=2017,G1173/$P$15,B1173=2018,G1173/$P$16,B1173=2019,G1173/$P$17,B1173=2019,G1173/$P$18,B1173=2020,G1173/$P$18,B1173=2021,G1173/$P$19,B1173=2022,G1173/$P$20)</f>
        <v>2.5006126678240276E-3</v>
      </c>
    </row>
    <row r="1174" spans="1:12" x14ac:dyDescent="0.2">
      <c r="A1174">
        <v>3814340</v>
      </c>
      <c r="B1174">
        <v>2020</v>
      </c>
      <c r="C1174" t="s">
        <v>252</v>
      </c>
      <c r="D1174" t="s">
        <v>254</v>
      </c>
      <c r="E1174" t="s">
        <v>256</v>
      </c>
      <c r="F1174" s="5" t="s">
        <v>118</v>
      </c>
      <c r="G1174" s="7">
        <v>243201</v>
      </c>
      <c r="H1174" s="7" cm="1">
        <f t="array" ref="H1174">_xlfn.IFS(B1174=2015,L1174*$P$3,B1174=2016,L1174*$P$4,B1174=2017,L1174*$P$5,B1174=2018,L1174*$P$6,B1174=2019,L1174*$P$7,B1174=2020,L1174*$P$8,B1174=2021,L1174*$P$9,B1174=2022,L1174*$P$10)</f>
        <v>6101.4311155790374</v>
      </c>
      <c r="I1174" s="7">
        <f t="shared" si="39"/>
        <v>249302.43111557903</v>
      </c>
      <c r="J1174">
        <f>IFERROR(VLOOKUP(F1174,'LEAID Match'!$A$2:$B$227,2,FALSE),"")</f>
        <v>3814340</v>
      </c>
      <c r="K1174">
        <f t="shared" si="38"/>
        <v>8</v>
      </c>
      <c r="L1174" cm="1">
        <f t="array" ref="L1174">_xlfn.IFS(B1174=2015,G1174/$P$13,B1174=2016,G1174/$P$14,B1174=2017,G1174/$P$15,B1174=2018,G1174/$P$16,B1174=2019,G1174/$P$17,B1174=2019,G1174/$P$18,B1174=2020,G1174/$P$18,B1174=2021,G1174/$P$19,B1174=2022,G1174/$P$20)</f>
        <v>2.6141521489198962E-3</v>
      </c>
    </row>
    <row r="1175" spans="1:12" x14ac:dyDescent="0.2">
      <c r="A1175">
        <v>3814340</v>
      </c>
      <c r="B1175" s="5">
        <v>2021</v>
      </c>
      <c r="C1175" t="s">
        <v>252</v>
      </c>
      <c r="D1175" t="s">
        <v>254</v>
      </c>
      <c r="E1175" t="s">
        <v>256</v>
      </c>
      <c r="F1175" s="5" t="s">
        <v>118</v>
      </c>
      <c r="G1175" s="7">
        <v>264766</v>
      </c>
      <c r="H1175" s="7" cm="1">
        <f t="array" ref="H1175">_xlfn.IFS(B1175=2015,L1175*$P$3,B1175=2016,L1175*$P$4,B1175=2017,L1175*$P$5,B1175=2018,L1175*$P$6,B1175=2019,L1175*$P$7,B1175=2020,L1175*$P$8,B1175=2021,L1175*$P$9,B1175=2022,L1175*$P$10)</f>
        <v>7234.5438785716133</v>
      </c>
      <c r="I1175" s="7">
        <f t="shared" si="39"/>
        <v>272000.5438785716</v>
      </c>
      <c r="J1175">
        <f>IFERROR(VLOOKUP(F1175,'LEAID Match'!$A$2:$B$227,2,FALSE),"")</f>
        <v>3814340</v>
      </c>
      <c r="K1175">
        <f t="shared" si="38"/>
        <v>8</v>
      </c>
      <c r="L1175" cm="1">
        <f t="array" ref="L1175">_xlfn.IFS(B1175=2015,G1175/$P$13,B1175=2016,G1175/$P$14,B1175=2017,G1175/$P$15,B1175=2018,G1175/$P$16,B1175=2019,G1175/$P$17,B1175=2019,G1175/$P$18,B1175=2020,G1175/$P$18,B1175=2021,G1175/$P$19,B1175=2022,G1175/$P$20)</f>
        <v>2.6944297499335618E-3</v>
      </c>
    </row>
    <row r="1176" spans="1:12" x14ac:dyDescent="0.2">
      <c r="A1176">
        <v>3814500</v>
      </c>
      <c r="B1176">
        <v>2020</v>
      </c>
      <c r="C1176" t="s">
        <v>252</v>
      </c>
      <c r="D1176" t="s">
        <v>254</v>
      </c>
      <c r="E1176" t="s">
        <v>256</v>
      </c>
      <c r="F1176" s="5" t="s">
        <v>201</v>
      </c>
      <c r="G1176" s="7">
        <v>289731</v>
      </c>
      <c r="H1176" s="7" cm="1">
        <f t="array" ref="H1176">_xlfn.IFS(B1176=2015,L1176*$P$3,B1176=2016,L1176*$P$4,B1176=2017,L1176*$P$5,B1176=2018,L1176*$P$6,B1176=2019,L1176*$P$7,B1176=2020,L1176*$P$8,B1176=2021,L1176*$P$9,B1176=2022,L1176*$P$10)</f>
        <v>7268.7766026777444</v>
      </c>
      <c r="I1176" s="7">
        <f t="shared" si="39"/>
        <v>296999.77660267777</v>
      </c>
      <c r="J1176">
        <f>IFERROR(VLOOKUP(F1176,'LEAID Match'!$A$2:$B$227,2,FALSE),"")</f>
        <v>3814500</v>
      </c>
      <c r="K1176">
        <f t="shared" si="38"/>
        <v>8</v>
      </c>
      <c r="L1176" cm="1">
        <f t="array" ref="L1176">_xlfn.IFS(B1176=2015,G1176/$P$13,B1176=2016,G1176/$P$14,B1176=2017,G1176/$P$15,B1176=2018,G1176/$P$16,B1176=2019,G1176/$P$17,B1176=2019,G1176/$P$18,B1176=2020,G1176/$P$18,B1176=2021,G1176/$P$19,B1176=2022,G1176/$P$20)</f>
        <v>3.1143001725268829E-3</v>
      </c>
    </row>
    <row r="1177" spans="1:12" x14ac:dyDescent="0.2">
      <c r="A1177">
        <v>3814500</v>
      </c>
      <c r="B1177">
        <v>2015</v>
      </c>
      <c r="C1177" t="s">
        <v>252</v>
      </c>
      <c r="D1177" t="s">
        <v>254</v>
      </c>
      <c r="E1177" t="s">
        <v>256</v>
      </c>
      <c r="F1177" s="5" t="s">
        <v>201</v>
      </c>
      <c r="G1177" s="7">
        <v>249694</v>
      </c>
      <c r="H1177" s="7" cm="1">
        <f t="array" ref="H1177">_xlfn.IFS(B1177=2015,L1177*$P$3,B1177=2016,L1177*$P$4,B1177=2017,L1177*$P$5,B1177=2018,L1177*$P$6,B1177=2019,L1177*$P$7,B1177=2020,L1177*$P$8,B1177=2021,L1177*$P$9,B1177=2022,L1177*$P$10)</f>
        <v>5645.1875427972473</v>
      </c>
      <c r="I1177" s="7">
        <f t="shared" si="39"/>
        <v>255339.18754279724</v>
      </c>
      <c r="J1177">
        <f>IFERROR(VLOOKUP(F1177,'LEAID Match'!$A$2:$B$227,2,FALSE),"")</f>
        <v>3814500</v>
      </c>
      <c r="K1177">
        <f t="shared" si="38"/>
        <v>8</v>
      </c>
      <c r="L1177" cm="1">
        <f t="array" ref="L1177">_xlfn.IFS(B1177=2015,G1177/$P$13,B1177=2016,G1177/$P$14,B1177=2017,G1177/$P$15,B1177=2018,G1177/$P$16,B1177=2019,G1177/$P$17,B1177=2019,G1177/$P$18,B1177=2020,G1177/$P$18,B1177=2021,G1177/$P$19,B1177=2022,G1177/$P$20)</f>
        <v>3.1839749254355598E-3</v>
      </c>
    </row>
    <row r="1178" spans="1:12" x14ac:dyDescent="0.2">
      <c r="A1178">
        <v>3814500</v>
      </c>
      <c r="B1178">
        <v>2016</v>
      </c>
      <c r="C1178" t="s">
        <v>252</v>
      </c>
      <c r="D1178" t="s">
        <v>254</v>
      </c>
      <c r="E1178" t="s">
        <v>256</v>
      </c>
      <c r="F1178" s="5" t="s">
        <v>201</v>
      </c>
      <c r="G1178" s="7">
        <v>257083</v>
      </c>
      <c r="H1178" s="7" cm="1">
        <f t="array" ref="H1178">_xlfn.IFS(B1178=2015,L1178*$P$3,B1178=2016,L1178*$P$4,B1178=2017,L1178*$P$5,B1178=2018,L1178*$P$6,B1178=2019,L1178*$P$7,B1178=2020,L1178*$P$8,B1178=2021,L1178*$P$9,B1178=2022,L1178*$P$10)</f>
        <v>8729.7812814450554</v>
      </c>
      <c r="I1178" s="7">
        <f t="shared" si="39"/>
        <v>265812.78128144506</v>
      </c>
      <c r="J1178">
        <f>IFERROR(VLOOKUP(F1178,'LEAID Match'!$A$2:$B$227,2,FALSE),"")</f>
        <v>3814500</v>
      </c>
      <c r="K1178">
        <f t="shared" si="38"/>
        <v>8</v>
      </c>
      <c r="L1178" cm="1">
        <f t="array" ref="L1178">_xlfn.IFS(B1178=2015,G1178/$P$13,B1178=2016,G1178/$P$14,B1178=2017,G1178/$P$15,B1178=2018,G1178/$P$16,B1178=2019,G1178/$P$17,B1178=2019,G1178/$P$18,B1178=2020,G1178/$P$18,B1178=2021,G1178/$P$19,B1178=2022,G1178/$P$20)</f>
        <v>3.1033705230874707E-3</v>
      </c>
    </row>
    <row r="1179" spans="1:12" x14ac:dyDescent="0.2">
      <c r="A1179">
        <v>3814500</v>
      </c>
      <c r="B1179">
        <v>2017</v>
      </c>
      <c r="C1179" t="s">
        <v>252</v>
      </c>
      <c r="D1179" t="s">
        <v>254</v>
      </c>
      <c r="E1179" t="s">
        <v>256</v>
      </c>
      <c r="F1179" s="5" t="s">
        <v>201</v>
      </c>
      <c r="G1179" s="7">
        <v>257847</v>
      </c>
      <c r="H1179" s="7" cm="1">
        <f t="array" ref="H1179">_xlfn.IFS(B1179=2015,L1179*$P$3,B1179=2016,L1179*$P$4,B1179=2017,L1179*$P$5,B1179=2018,L1179*$P$6,B1179=2019,L1179*$P$7,B1179=2020,L1179*$P$8,B1179=2021,L1179*$P$9,B1179=2022,L1179*$P$10)</f>
        <v>8356.3186629597931</v>
      </c>
      <c r="I1179" s="7">
        <f t="shared" si="39"/>
        <v>266203.31866295979</v>
      </c>
      <c r="J1179">
        <f>IFERROR(VLOOKUP(F1179,'LEAID Match'!$A$2:$B$227,2,FALSE),"")</f>
        <v>3814500</v>
      </c>
      <c r="K1179">
        <f t="shared" si="38"/>
        <v>8</v>
      </c>
      <c r="L1179" cm="1">
        <f t="array" ref="L1179">_xlfn.IFS(B1179=2015,G1179/$P$13,B1179=2016,G1179/$P$14,B1179=2017,G1179/$P$15,B1179=2018,G1179/$P$16,B1179=2019,G1179/$P$17,B1179=2019,G1179/$P$18,B1179=2020,G1179/$P$18,B1179=2021,G1179/$P$19,B1179=2022,G1179/$P$20)</f>
        <v>2.9961701910935076E-3</v>
      </c>
    </row>
    <row r="1180" spans="1:12" x14ac:dyDescent="0.2">
      <c r="A1180">
        <v>3814500</v>
      </c>
      <c r="B1180" s="5">
        <v>2018</v>
      </c>
      <c r="C1180" t="s">
        <v>252</v>
      </c>
      <c r="D1180" t="s">
        <v>254</v>
      </c>
      <c r="E1180" t="s">
        <v>256</v>
      </c>
      <c r="F1180" s="5" t="s">
        <v>201</v>
      </c>
      <c r="G1180" s="7">
        <v>269343</v>
      </c>
      <c r="H1180" s="7" cm="1">
        <f t="array" ref="H1180">_xlfn.IFS(B1180=2015,L1180*$P$3,B1180=2016,L1180*$P$4,B1180=2017,L1180*$P$5,B1180=2018,L1180*$P$6,B1180=2019,L1180*$P$7,B1180=2020,L1180*$P$8,B1180=2021,L1180*$P$9,B1180=2022,L1180*$P$10)</f>
        <v>7380.2644581892928</v>
      </c>
      <c r="I1180" s="7">
        <f t="shared" si="39"/>
        <v>276723.26445818931</v>
      </c>
      <c r="J1180">
        <f>IFERROR(VLOOKUP(F1180,'LEAID Match'!$A$2:$B$227,2,FALSE),"")</f>
        <v>3814500</v>
      </c>
      <c r="K1180">
        <f t="shared" si="38"/>
        <v>8</v>
      </c>
      <c r="L1180" cm="1">
        <f t="array" ref="L1180">_xlfn.IFS(B1180=2015,G1180/$P$13,B1180=2016,G1180/$P$14,B1180=2017,G1180/$P$15,B1180=2018,G1180/$P$16,B1180=2019,G1180/$P$17,B1180=2019,G1180/$P$18,B1180=2020,G1180/$P$18,B1180=2021,G1180/$P$19,B1180=2022,G1180/$P$20)</f>
        <v>3.107479771869176E-3</v>
      </c>
    </row>
    <row r="1181" spans="1:12" x14ac:dyDescent="0.2">
      <c r="A1181">
        <v>3814500</v>
      </c>
      <c r="B1181">
        <v>2019</v>
      </c>
      <c r="C1181" t="s">
        <v>252</v>
      </c>
      <c r="D1181" t="s">
        <v>254</v>
      </c>
      <c r="E1181" t="s">
        <v>256</v>
      </c>
      <c r="F1181" s="5" t="s">
        <v>201</v>
      </c>
      <c r="G1181" s="7">
        <v>253582</v>
      </c>
      <c r="H1181" s="7" cm="1">
        <f t="array" ref="H1181">_xlfn.IFS(B1181=2015,L1181*$P$3,B1181=2016,L1181*$P$4,B1181=2017,L1181*$P$5,B1181=2018,L1181*$P$6,B1181=2019,L1181*$P$7,B1181=2020,L1181*$P$8,B1181=2021,L1181*$P$9,B1181=2022,L1181*$P$10)</f>
        <v>5885.5938092823199</v>
      </c>
      <c r="I1181" s="7">
        <f t="shared" si="39"/>
        <v>259467.59380928232</v>
      </c>
      <c r="J1181">
        <f>IFERROR(VLOOKUP(F1181,'LEAID Match'!$A$2:$B$227,2,FALSE),"")</f>
        <v>3814500</v>
      </c>
      <c r="K1181">
        <f t="shared" si="38"/>
        <v>8</v>
      </c>
      <c r="L1181" cm="1">
        <f t="array" ref="L1181">_xlfn.IFS(B1181=2015,G1181/$P$13,B1181=2016,G1181/$P$14,B1181=2017,G1181/$P$15,B1181=2018,G1181/$P$16,B1181=2019,G1181/$P$17,B1181=2019,G1181/$P$18,B1181=2020,G1181/$P$18,B1181=2021,G1181/$P$19,B1181=2022,G1181/$P$20)</f>
        <v>2.8350644553383044E-3</v>
      </c>
    </row>
    <row r="1182" spans="1:12" x14ac:dyDescent="0.2">
      <c r="A1182">
        <v>3814500</v>
      </c>
      <c r="B1182" s="5">
        <v>2021</v>
      </c>
      <c r="C1182" t="s">
        <v>252</v>
      </c>
      <c r="D1182" t="s">
        <v>254</v>
      </c>
      <c r="E1182" t="s">
        <v>256</v>
      </c>
      <c r="F1182" s="5" t="s">
        <v>201</v>
      </c>
      <c r="G1182" s="7">
        <v>319033</v>
      </c>
      <c r="H1182" s="7" cm="1">
        <f t="array" ref="H1182">_xlfn.IFS(B1182=2015,L1182*$P$3,B1182=2016,L1182*$P$4,B1182=2017,L1182*$P$5,B1182=2018,L1182*$P$6,B1182=2019,L1182*$P$7,B1182=2020,L1182*$P$8,B1182=2021,L1182*$P$9,B1182=2022,L1182*$P$10)</f>
        <v>8717.3513110155291</v>
      </c>
      <c r="I1182" s="7">
        <f t="shared" si="39"/>
        <v>327750.35131101555</v>
      </c>
      <c r="J1182">
        <f>IFERROR(VLOOKUP(F1182,'LEAID Match'!$A$2:$B$227,2,FALSE),"")</f>
        <v>3814500</v>
      </c>
      <c r="K1182">
        <f t="shared" si="38"/>
        <v>8</v>
      </c>
      <c r="L1182" cm="1">
        <f t="array" ref="L1182">_xlfn.IFS(B1182=2015,G1182/$P$13,B1182=2016,G1182/$P$14,B1182=2017,G1182/$P$15,B1182=2018,G1182/$P$16,B1182=2019,G1182/$P$17,B1182=2019,G1182/$P$18,B1182=2020,G1182/$P$18,B1182=2021,G1182/$P$19,B1182=2022,G1182/$P$20)</f>
        <v>3.2466857769145358E-3</v>
      </c>
    </row>
    <row r="1183" spans="1:12" x14ac:dyDescent="0.2">
      <c r="A1183">
        <v>3814500</v>
      </c>
      <c r="B1183">
        <v>2022</v>
      </c>
      <c r="C1183" t="s">
        <v>252</v>
      </c>
      <c r="D1183" t="s">
        <v>254</v>
      </c>
      <c r="E1183" t="s">
        <v>256</v>
      </c>
      <c r="F1183" s="5" t="s">
        <v>201</v>
      </c>
      <c r="G1183" s="7">
        <v>322722</v>
      </c>
      <c r="H1183" s="7" cm="1">
        <f t="array" ref="H1183">_xlfn.IFS(B1183=2015,L1183*$P$3,B1183=2016,L1183*$P$4,B1183=2017,L1183*$P$5,B1183=2018,L1183*$P$6,B1183=2019,L1183*$P$7,B1183=2020,L1183*$P$8,B1183=2021,L1183*$P$9,B1183=2022,L1183*$P$10)</f>
        <v>6568.2198376611004</v>
      </c>
      <c r="I1183" s="7">
        <f t="shared" si="39"/>
        <v>329290.21983766108</v>
      </c>
      <c r="J1183">
        <f>IFERROR(VLOOKUP(F1183,'LEAID Match'!$A$2:$B$227,2,FALSE),"")</f>
        <v>3814500</v>
      </c>
      <c r="K1183">
        <f t="shared" si="38"/>
        <v>8</v>
      </c>
      <c r="L1183" cm="1">
        <f t="array" ref="L1183">_xlfn.IFS(B1183=2015,G1183/$P$13,B1183=2016,G1183/$P$14,B1183=2017,G1183/$P$15,B1183=2018,G1183/$P$16,B1183=2019,G1183/$P$17,B1183=2019,G1183/$P$18,B1183=2020,G1183/$P$18,B1183=2021,G1183/$P$19,B1183=2022,G1183/$P$20)</f>
        <v>3.2165621144275712E-3</v>
      </c>
    </row>
    <row r="1184" spans="1:12" x14ac:dyDescent="0.2">
      <c r="A1184">
        <v>3814520</v>
      </c>
      <c r="B1184">
        <v>2015</v>
      </c>
      <c r="C1184" t="s">
        <v>252</v>
      </c>
      <c r="D1184" t="s">
        <v>254</v>
      </c>
      <c r="E1184" t="s">
        <v>256</v>
      </c>
      <c r="F1184" s="5" t="s">
        <v>119</v>
      </c>
      <c r="G1184" s="7">
        <v>54221</v>
      </c>
      <c r="H1184" s="7" cm="1">
        <f t="array" ref="H1184">_xlfn.IFS(B1184=2015,L1184*$P$3,B1184=2016,L1184*$P$4,B1184=2017,L1184*$P$5,B1184=2018,L1184*$P$6,B1184=2019,L1184*$P$7,B1184=2020,L1184*$P$8,B1184=2021,L1184*$P$9,B1184=2022,L1184*$P$10)</f>
        <v>1225.85129701959</v>
      </c>
      <c r="I1184" s="7">
        <f t="shared" si="39"/>
        <v>55446.851297019588</v>
      </c>
      <c r="J1184">
        <f>IFERROR(VLOOKUP(F1184,'LEAID Match'!$A$2:$B$227,2,FALSE),"")</f>
        <v>3814520</v>
      </c>
      <c r="K1184">
        <f t="shared" si="38"/>
        <v>8</v>
      </c>
      <c r="L1184" cm="1">
        <f t="array" ref="L1184">_xlfn.IFS(B1184=2015,G1184/$P$13,B1184=2016,G1184/$P$14,B1184=2017,G1184/$P$15,B1184=2018,G1184/$P$16,B1184=2019,G1184/$P$17,B1184=2019,G1184/$P$18,B1184=2020,G1184/$P$18,B1184=2021,G1184/$P$19,B1184=2022,G1184/$P$20)</f>
        <v>6.9139949070478853E-4</v>
      </c>
    </row>
    <row r="1185" spans="1:12" x14ac:dyDescent="0.2">
      <c r="A1185">
        <v>3814520</v>
      </c>
      <c r="B1185">
        <v>2016</v>
      </c>
      <c r="C1185" t="s">
        <v>252</v>
      </c>
      <c r="D1185" t="s">
        <v>254</v>
      </c>
      <c r="E1185" t="s">
        <v>256</v>
      </c>
      <c r="F1185" s="5" t="s">
        <v>119</v>
      </c>
      <c r="G1185" s="7">
        <v>35576</v>
      </c>
      <c r="H1185" s="7" cm="1">
        <f t="array" ref="H1185">_xlfn.IFS(B1185=2015,L1185*$P$3,B1185=2016,L1185*$P$4,B1185=2017,L1185*$P$5,B1185=2018,L1185*$P$6,B1185=2019,L1185*$P$7,B1185=2020,L1185*$P$8,B1185=2021,L1185*$P$9,B1185=2022,L1185*$P$10)</f>
        <v>1208.056148670621</v>
      </c>
      <c r="I1185" s="7">
        <f t="shared" si="39"/>
        <v>36784.056148670621</v>
      </c>
      <c r="J1185">
        <f>IFERROR(VLOOKUP(F1185,'LEAID Match'!$A$2:$B$227,2,FALSE),"")</f>
        <v>3814520</v>
      </c>
      <c r="K1185">
        <f t="shared" si="38"/>
        <v>8</v>
      </c>
      <c r="L1185" cm="1">
        <f t="array" ref="L1185">_xlfn.IFS(B1185=2015,G1185/$P$13,B1185=2016,G1185/$P$14,B1185=2017,G1185/$P$15,B1185=2018,G1185/$P$16,B1185=2019,G1185/$P$17,B1185=2019,G1185/$P$18,B1185=2020,G1185/$P$18,B1185=2021,G1185/$P$19,B1185=2022,G1185/$P$20)</f>
        <v>4.2945472757576294E-4</v>
      </c>
    </row>
    <row r="1186" spans="1:12" x14ac:dyDescent="0.2">
      <c r="A1186">
        <v>3814520</v>
      </c>
      <c r="B1186">
        <v>2017</v>
      </c>
      <c r="C1186" t="s">
        <v>252</v>
      </c>
      <c r="D1186" t="s">
        <v>254</v>
      </c>
      <c r="E1186" t="s">
        <v>256</v>
      </c>
      <c r="F1186" s="5" t="s">
        <v>119</v>
      </c>
      <c r="G1186" s="7">
        <v>45696</v>
      </c>
      <c r="H1186" s="7" cm="1">
        <f t="array" ref="H1186">_xlfn.IFS(B1186=2015,L1186*$P$3,B1186=2016,L1186*$P$4,B1186=2017,L1186*$P$5,B1186=2018,L1186*$P$6,B1186=2019,L1186*$P$7,B1186=2020,L1186*$P$8,B1186=2021,L1186*$P$9,B1186=2022,L1186*$P$10)</f>
        <v>1480.9182872890153</v>
      </c>
      <c r="I1186" s="7">
        <f t="shared" si="39"/>
        <v>47176.918287289016</v>
      </c>
      <c r="J1186">
        <f>IFERROR(VLOOKUP(F1186,'LEAID Match'!$A$2:$B$227,2,FALSE),"")</f>
        <v>3814520</v>
      </c>
      <c r="K1186">
        <f t="shared" si="38"/>
        <v>8</v>
      </c>
      <c r="L1186" cm="1">
        <f t="array" ref="L1186">_xlfn.IFS(B1186=2015,G1186/$P$13,B1186=2016,G1186/$P$14,B1186=2017,G1186/$P$15,B1186=2018,G1186/$P$16,B1186=2019,G1186/$P$17,B1186=2019,G1186/$P$18,B1186=2020,G1186/$P$18,B1186=2021,G1186/$P$19,B1186=2022,G1186/$P$20)</f>
        <v>5.3098540239835616E-4</v>
      </c>
    </row>
    <row r="1187" spans="1:12" x14ac:dyDescent="0.2">
      <c r="A1187">
        <v>3814520</v>
      </c>
      <c r="B1187" s="5">
        <v>2018</v>
      </c>
      <c r="C1187" t="s">
        <v>252</v>
      </c>
      <c r="D1187" t="s">
        <v>254</v>
      </c>
      <c r="E1187" t="s">
        <v>256</v>
      </c>
      <c r="F1187" s="5" t="s">
        <v>119</v>
      </c>
      <c r="G1187" s="7">
        <v>45093</v>
      </c>
      <c r="H1187" s="7" cm="1">
        <f t="array" ref="H1187">_xlfn.IFS(B1187=2015,L1187*$P$3,B1187=2016,L1187*$P$4,B1187=2017,L1187*$P$5,B1187=2018,L1187*$P$6,B1187=2019,L1187*$P$7,B1187=2020,L1187*$P$8,B1187=2021,L1187*$P$9,B1187=2022,L1187*$P$10)</f>
        <v>1235.5927765456306</v>
      </c>
      <c r="I1187" s="7">
        <f t="shared" si="39"/>
        <v>46328.592776545629</v>
      </c>
      <c r="J1187">
        <f>IFERROR(VLOOKUP(F1187,'LEAID Match'!$A$2:$B$227,2,FALSE),"")</f>
        <v>3814520</v>
      </c>
      <c r="K1187">
        <f t="shared" si="38"/>
        <v>8</v>
      </c>
      <c r="L1187" cm="1">
        <f t="array" ref="L1187">_xlfn.IFS(B1187=2015,G1187/$P$13,B1187=2016,G1187/$P$14,B1187=2017,G1187/$P$15,B1187=2018,G1187/$P$16,B1187=2019,G1187/$P$17,B1187=2019,G1187/$P$18,B1187=2020,G1187/$P$18,B1187=2021,G1187/$P$19,B1187=2022,G1187/$P$20)</f>
        <v>5.2024959012447606E-4</v>
      </c>
    </row>
    <row r="1188" spans="1:12" x14ac:dyDescent="0.2">
      <c r="A1188">
        <v>3814520</v>
      </c>
      <c r="B1188">
        <v>2019</v>
      </c>
      <c r="C1188" t="s">
        <v>252</v>
      </c>
      <c r="D1188" t="s">
        <v>254</v>
      </c>
      <c r="E1188" t="s">
        <v>256</v>
      </c>
      <c r="F1188" s="5" t="s">
        <v>119</v>
      </c>
      <c r="G1188" s="7">
        <v>60393</v>
      </c>
      <c r="H1188" s="7" cm="1">
        <f t="array" ref="H1188">_xlfn.IFS(B1188=2015,L1188*$P$3,B1188=2016,L1188*$P$4,B1188=2017,L1188*$P$5,B1188=2018,L1188*$P$6,B1188=2019,L1188*$P$7,B1188=2020,L1188*$P$8,B1188=2021,L1188*$P$9,B1188=2022,L1188*$P$10)</f>
        <v>1401.7109531590854</v>
      </c>
      <c r="I1188" s="7">
        <f t="shared" si="39"/>
        <v>61794.710953159083</v>
      </c>
      <c r="J1188">
        <f>IFERROR(VLOOKUP(F1188,'LEAID Match'!$A$2:$B$227,2,FALSE),"")</f>
        <v>3814520</v>
      </c>
      <c r="K1188">
        <f t="shared" si="38"/>
        <v>8</v>
      </c>
      <c r="L1188" cm="1">
        <f t="array" ref="L1188">_xlfn.IFS(B1188=2015,G1188/$P$13,B1188=2016,G1188/$P$14,B1188=2017,G1188/$P$15,B1188=2018,G1188/$P$16,B1188=2019,G1188/$P$17,B1188=2019,G1188/$P$18,B1188=2020,G1188/$P$18,B1188=2021,G1188/$P$19,B1188=2022,G1188/$P$20)</f>
        <v>6.7519795431555171E-4</v>
      </c>
    </row>
    <row r="1189" spans="1:12" x14ac:dyDescent="0.2">
      <c r="A1189">
        <v>3814520</v>
      </c>
      <c r="B1189">
        <v>2020</v>
      </c>
      <c r="C1189" t="s">
        <v>252</v>
      </c>
      <c r="D1189" t="s">
        <v>254</v>
      </c>
      <c r="E1189" t="s">
        <v>256</v>
      </c>
      <c r="F1189" s="5" t="s">
        <v>119</v>
      </c>
      <c r="G1189" s="7">
        <v>37625</v>
      </c>
      <c r="H1189" s="7" cm="1">
        <f t="array" ref="H1189">_xlfn.IFS(B1189=2015,L1189*$P$3,B1189=2016,L1189*$P$4,B1189=2017,L1189*$P$5,B1189=2018,L1189*$P$6,B1189=2019,L1189*$P$7,B1189=2020,L1189*$P$8,B1189=2021,L1189*$P$9,B1189=2022,L1189*$P$10)</f>
        <v>943.93668497934345</v>
      </c>
      <c r="I1189" s="7">
        <f t="shared" si="39"/>
        <v>38568.936684979344</v>
      </c>
      <c r="J1189">
        <f>IFERROR(VLOOKUP(F1189,'LEAID Match'!$A$2:$B$227,2,FALSE),"")</f>
        <v>3814520</v>
      </c>
      <c r="K1189">
        <f t="shared" si="38"/>
        <v>8</v>
      </c>
      <c r="L1189" cm="1">
        <f t="array" ref="L1189">_xlfn.IFS(B1189=2015,G1189/$P$13,B1189=2016,G1189/$P$14,B1189=2017,G1189/$P$15,B1189=2018,G1189/$P$16,B1189=2019,G1189/$P$17,B1189=2019,G1189/$P$18,B1189=2020,G1189/$P$18,B1189=2021,G1189/$P$19,B1189=2022,G1189/$P$20)</f>
        <v>4.0442874249329197E-4</v>
      </c>
    </row>
    <row r="1190" spans="1:12" x14ac:dyDescent="0.2">
      <c r="A1190">
        <v>3814520</v>
      </c>
      <c r="B1190" s="5">
        <v>2021</v>
      </c>
      <c r="C1190" t="s">
        <v>252</v>
      </c>
      <c r="D1190" t="s">
        <v>254</v>
      </c>
      <c r="E1190" t="s">
        <v>256</v>
      </c>
      <c r="F1190" s="5" t="s">
        <v>119</v>
      </c>
      <c r="G1190" s="7">
        <v>45991</v>
      </c>
      <c r="H1190" s="7" cm="1">
        <f t="array" ref="H1190">_xlfn.IFS(B1190=2015,L1190*$P$3,B1190=2016,L1190*$P$4,B1190=2017,L1190*$P$5,B1190=2018,L1190*$P$6,B1190=2019,L1190*$P$7,B1190=2020,L1190*$P$8,B1190=2021,L1190*$P$9,B1190=2022,L1190*$P$10)</f>
        <v>1256.6715798833197</v>
      </c>
      <c r="I1190" s="7">
        <f t="shared" si="39"/>
        <v>47247.671579883317</v>
      </c>
      <c r="J1190">
        <f>IFERROR(VLOOKUP(F1190,'LEAID Match'!$A$2:$B$227,2,FALSE),"")</f>
        <v>3814520</v>
      </c>
      <c r="K1190">
        <f t="shared" si="38"/>
        <v>8</v>
      </c>
      <c r="L1190" cm="1">
        <f t="array" ref="L1190">_xlfn.IFS(B1190=2015,G1190/$P$13,B1190=2016,G1190/$P$14,B1190=2017,G1190/$P$15,B1190=2018,G1190/$P$16,B1190=2019,G1190/$P$17,B1190=2019,G1190/$P$18,B1190=2020,G1190/$P$18,B1190=2021,G1190/$P$19,B1190=2022,G1190/$P$20)</f>
        <v>4.6803410796399249E-4</v>
      </c>
    </row>
    <row r="1191" spans="1:12" x14ac:dyDescent="0.2">
      <c r="A1191">
        <v>3814520</v>
      </c>
      <c r="B1191">
        <v>2022</v>
      </c>
      <c r="C1191" t="s">
        <v>252</v>
      </c>
      <c r="D1191" t="s">
        <v>254</v>
      </c>
      <c r="E1191" t="s">
        <v>256</v>
      </c>
      <c r="F1191" s="5" t="s">
        <v>119</v>
      </c>
      <c r="G1191" s="7">
        <v>65969</v>
      </c>
      <c r="H1191" s="7" cm="1">
        <f t="array" ref="H1191">_xlfn.IFS(B1191=2015,L1191*$P$3,B1191=2016,L1191*$P$4,B1191=2017,L1191*$P$5,B1191=2018,L1191*$P$6,B1191=2019,L1191*$P$7,B1191=2020,L1191*$P$8,B1191=2021,L1191*$P$9,B1191=2022,L1191*$P$10)</f>
        <v>1342.6382287872073</v>
      </c>
      <c r="I1191" s="7">
        <f t="shared" si="39"/>
        <v>67311.638228787211</v>
      </c>
      <c r="J1191">
        <f>IFERROR(VLOOKUP(F1191,'LEAID Match'!$A$2:$B$227,2,FALSE),"")</f>
        <v>3814520</v>
      </c>
      <c r="K1191">
        <f t="shared" si="38"/>
        <v>8</v>
      </c>
      <c r="L1191" cm="1">
        <f t="array" ref="L1191">_xlfn.IFS(B1191=2015,G1191/$P$13,B1191=2016,G1191/$P$14,B1191=2017,G1191/$P$15,B1191=2018,G1191/$P$16,B1191=2019,G1191/$P$17,B1191=2019,G1191/$P$18,B1191=2020,G1191/$P$18,B1191=2021,G1191/$P$19,B1191=2022,G1191/$P$20)</f>
        <v>6.5751137550793697E-4</v>
      </c>
    </row>
    <row r="1192" spans="1:12" x14ac:dyDescent="0.2">
      <c r="A1192">
        <v>3880300</v>
      </c>
      <c r="B1192">
        <v>2015</v>
      </c>
      <c r="C1192" t="s">
        <v>252</v>
      </c>
      <c r="D1192" t="s">
        <v>254</v>
      </c>
      <c r="E1192" t="s">
        <v>256</v>
      </c>
      <c r="F1192" s="5" t="s">
        <v>120</v>
      </c>
      <c r="G1192" s="7">
        <v>120297</v>
      </c>
      <c r="H1192" s="7" cm="1">
        <f t="array" ref="H1192">_xlfn.IFS(B1192=2015,L1192*$P$3,B1192=2016,L1192*$P$4,B1192=2017,L1192*$P$5,B1192=2018,L1192*$P$6,B1192=2019,L1192*$P$7,B1192=2020,L1192*$P$8,B1192=2021,L1192*$P$9,B1192=2022,L1192*$P$10)</f>
        <v>2719.7254472910063</v>
      </c>
      <c r="I1192" s="7">
        <f t="shared" si="39"/>
        <v>123016.72544729101</v>
      </c>
      <c r="J1192">
        <f>IFERROR(VLOOKUP(F1192,'LEAID Match'!$A$2:$B$227,2,FALSE),"")</f>
        <v>3880300</v>
      </c>
      <c r="K1192">
        <f t="shared" si="38"/>
        <v>8</v>
      </c>
      <c r="L1192" cm="1">
        <f t="array" ref="L1192">_xlfn.IFS(B1192=2015,G1192/$P$13,B1192=2016,G1192/$P$14,B1192=2017,G1192/$P$15,B1192=2018,G1192/$P$16,B1192=2019,G1192/$P$17,B1192=2019,G1192/$P$18,B1192=2020,G1192/$P$18,B1192=2021,G1192/$P$19,B1192=2022,G1192/$P$20)</f>
        <v>1.5339681033790221E-3</v>
      </c>
    </row>
    <row r="1193" spans="1:12" x14ac:dyDescent="0.2">
      <c r="A1193">
        <v>3880300</v>
      </c>
      <c r="B1193">
        <v>2016</v>
      </c>
      <c r="C1193" t="s">
        <v>252</v>
      </c>
      <c r="D1193" t="s">
        <v>254</v>
      </c>
      <c r="E1193" t="s">
        <v>256</v>
      </c>
      <c r="F1193" s="5" t="s">
        <v>120</v>
      </c>
      <c r="G1193" s="7">
        <v>127140</v>
      </c>
      <c r="H1193" s="7" cm="1">
        <f t="array" ref="H1193">_xlfn.IFS(B1193=2015,L1193*$P$3,B1193=2016,L1193*$P$4,B1193=2017,L1193*$P$5,B1193=2018,L1193*$P$6,B1193=2019,L1193*$P$7,B1193=2020,L1193*$P$8,B1193=2021,L1193*$P$9,B1193=2022,L1193*$P$10)</f>
        <v>4317.2998297161785</v>
      </c>
      <c r="I1193" s="7">
        <f t="shared" si="39"/>
        <v>131457.29982971618</v>
      </c>
      <c r="J1193">
        <f>IFERROR(VLOOKUP(F1193,'LEAID Match'!$A$2:$B$227,2,FALSE),"")</f>
        <v>3880300</v>
      </c>
      <c r="K1193">
        <f t="shared" si="38"/>
        <v>8</v>
      </c>
      <c r="L1193" cm="1">
        <f t="array" ref="L1193">_xlfn.IFS(B1193=2015,G1193/$P$13,B1193=2016,G1193/$P$14,B1193=2017,G1193/$P$15,B1193=2018,G1193/$P$16,B1193=2019,G1193/$P$17,B1193=2019,G1193/$P$18,B1193=2020,G1193/$P$18,B1193=2021,G1193/$P$19,B1193=2022,G1193/$P$20)</f>
        <v>1.5347670919716241E-3</v>
      </c>
    </row>
    <row r="1194" spans="1:12" x14ac:dyDescent="0.2">
      <c r="A1194">
        <v>3880300</v>
      </c>
      <c r="B1194">
        <v>2017</v>
      </c>
      <c r="C1194" t="s">
        <v>252</v>
      </c>
      <c r="D1194" t="s">
        <v>254</v>
      </c>
      <c r="E1194" t="s">
        <v>256</v>
      </c>
      <c r="F1194" s="5" t="s">
        <v>120</v>
      </c>
      <c r="G1194" s="7">
        <v>120387</v>
      </c>
      <c r="H1194" s="7" cm="1">
        <f t="array" ref="H1194">_xlfn.IFS(B1194=2015,L1194*$P$3,B1194=2016,L1194*$P$4,B1194=2017,L1194*$P$5,B1194=2018,L1194*$P$6,B1194=2019,L1194*$P$7,B1194=2020,L1194*$P$8,B1194=2021,L1194*$P$9,B1194=2022,L1194*$P$10)</f>
        <v>3901.508006211981</v>
      </c>
      <c r="I1194" s="7">
        <f t="shared" si="39"/>
        <v>124288.50800621198</v>
      </c>
      <c r="J1194">
        <f>IFERROR(VLOOKUP(F1194,'LEAID Match'!$A$2:$B$227,2,FALSE),"")</f>
        <v>3880300</v>
      </c>
      <c r="K1194">
        <f t="shared" si="38"/>
        <v>8</v>
      </c>
      <c r="L1194" cm="1">
        <f t="array" ref="L1194">_xlfn.IFS(B1194=2015,G1194/$P$13,B1194=2016,G1194/$P$14,B1194=2017,G1194/$P$15,B1194=2018,G1194/$P$16,B1194=2019,G1194/$P$17,B1194=2019,G1194/$P$18,B1194=2020,G1194/$P$18,B1194=2021,G1194/$P$19,B1194=2022,G1194/$P$20)</f>
        <v>1.3988913611373184E-3</v>
      </c>
    </row>
    <row r="1195" spans="1:12" x14ac:dyDescent="0.2">
      <c r="A1195">
        <v>3880300</v>
      </c>
      <c r="B1195" s="5">
        <v>2018</v>
      </c>
      <c r="C1195" t="s">
        <v>252</v>
      </c>
      <c r="D1195" t="s">
        <v>254</v>
      </c>
      <c r="E1195" t="s">
        <v>256</v>
      </c>
      <c r="F1195" s="5" t="s">
        <v>120</v>
      </c>
      <c r="G1195" s="7">
        <v>122203</v>
      </c>
      <c r="H1195" s="7" cm="1">
        <f t="array" ref="H1195">_xlfn.IFS(B1195=2015,L1195*$P$3,B1195=2016,L1195*$P$4,B1195=2017,L1195*$P$5,B1195=2018,L1195*$P$6,B1195=2019,L1195*$P$7,B1195=2020,L1195*$P$8,B1195=2021,L1195*$P$9,B1195=2022,L1195*$P$10)</f>
        <v>3348.4830033975495</v>
      </c>
      <c r="I1195" s="7">
        <f t="shared" si="39"/>
        <v>125551.48300339754</v>
      </c>
      <c r="J1195">
        <f>IFERROR(VLOOKUP(F1195,'LEAID Match'!$A$2:$B$227,2,FALSE),"")</f>
        <v>3880300</v>
      </c>
      <c r="K1195">
        <f t="shared" si="38"/>
        <v>8</v>
      </c>
      <c r="L1195" cm="1">
        <f t="array" ref="L1195">_xlfn.IFS(B1195=2015,G1195/$P$13,B1195=2016,G1195/$P$14,B1195=2017,G1195/$P$15,B1195=2018,G1195/$P$16,B1195=2019,G1195/$P$17,B1195=2019,G1195/$P$18,B1195=2020,G1195/$P$18,B1195=2021,G1195/$P$19,B1195=2022,G1195/$P$20)</f>
        <v>1.4098875803779155E-3</v>
      </c>
    </row>
    <row r="1196" spans="1:12" x14ac:dyDescent="0.2">
      <c r="A1196">
        <v>3880300</v>
      </c>
      <c r="B1196">
        <v>2019</v>
      </c>
      <c r="C1196" t="s">
        <v>252</v>
      </c>
      <c r="D1196" t="s">
        <v>254</v>
      </c>
      <c r="E1196" t="s">
        <v>256</v>
      </c>
      <c r="F1196" s="5" t="s">
        <v>120</v>
      </c>
      <c r="G1196" s="7">
        <v>112229</v>
      </c>
      <c r="H1196" s="7" cm="1">
        <f t="array" ref="H1196">_xlfn.IFS(B1196=2015,L1196*$P$3,B1196=2016,L1196*$P$4,B1196=2017,L1196*$P$5,B1196=2018,L1196*$P$6,B1196=2019,L1196*$P$7,B1196=2020,L1196*$P$8,B1196=2021,L1196*$P$9,B1196=2022,L1196*$P$10)</f>
        <v>2604.8154349360184</v>
      </c>
      <c r="I1196" s="7">
        <f t="shared" si="39"/>
        <v>114833.81543493601</v>
      </c>
      <c r="J1196">
        <f>IFERROR(VLOOKUP(F1196,'LEAID Match'!$A$2:$B$227,2,FALSE),"")</f>
        <v>3880300</v>
      </c>
      <c r="K1196">
        <f t="shared" si="38"/>
        <v>8</v>
      </c>
      <c r="L1196" cm="1">
        <f t="array" ref="L1196">_xlfn.IFS(B1196=2015,G1196/$P$13,B1196=2016,G1196/$P$14,B1196=2017,G1196/$P$15,B1196=2018,G1196/$P$16,B1196=2019,G1196/$P$17,B1196=2019,G1196/$P$18,B1196=2020,G1196/$P$18,B1196=2021,G1196/$P$19,B1196=2022,G1196/$P$20)</f>
        <v>1.2547280515106062E-3</v>
      </c>
    </row>
    <row r="1197" spans="1:12" x14ac:dyDescent="0.2">
      <c r="A1197">
        <v>3880300</v>
      </c>
      <c r="B1197">
        <v>2020</v>
      </c>
      <c r="C1197" t="s">
        <v>252</v>
      </c>
      <c r="D1197" t="s">
        <v>254</v>
      </c>
      <c r="E1197" t="s">
        <v>256</v>
      </c>
      <c r="F1197" s="5" t="s">
        <v>120</v>
      </c>
      <c r="G1197" s="7">
        <v>122667</v>
      </c>
      <c r="H1197" s="7" cm="1">
        <f t="array" ref="H1197">_xlfn.IFS(B1197=2015,L1197*$P$3,B1197=2016,L1197*$P$4,B1197=2017,L1197*$P$5,B1197=2018,L1197*$P$6,B1197=2019,L1197*$P$7,B1197=2020,L1197*$P$8,B1197=2021,L1197*$P$9,B1197=2022,L1197*$P$10)</f>
        <v>3077.4719292056111</v>
      </c>
      <c r="I1197" s="7">
        <f t="shared" si="39"/>
        <v>125744.47192920561</v>
      </c>
      <c r="J1197">
        <f>IFERROR(VLOOKUP(F1197,'LEAID Match'!$A$2:$B$227,2,FALSE),"")</f>
        <v>3880300</v>
      </c>
      <c r="K1197">
        <f t="shared" si="38"/>
        <v>8</v>
      </c>
      <c r="L1197" cm="1">
        <f t="array" ref="L1197">_xlfn.IFS(B1197=2015,G1197/$P$13,B1197=2016,G1197/$P$14,B1197=2017,G1197/$P$15,B1197=2018,G1197/$P$16,B1197=2019,G1197/$P$17,B1197=2019,G1197/$P$18,B1197=2020,G1197/$P$18,B1197=2021,G1197/$P$19,B1197=2022,G1197/$P$20)</f>
        <v>1.3185398154265686E-3</v>
      </c>
    </row>
    <row r="1198" spans="1:12" x14ac:dyDescent="0.2">
      <c r="A1198">
        <v>3880300</v>
      </c>
      <c r="B1198" s="5">
        <v>2021</v>
      </c>
      <c r="C1198" t="s">
        <v>252</v>
      </c>
      <c r="D1198" t="s">
        <v>254</v>
      </c>
      <c r="E1198" t="s">
        <v>256</v>
      </c>
      <c r="F1198" s="5" t="s">
        <v>120</v>
      </c>
      <c r="G1198" s="7">
        <v>110388</v>
      </c>
      <c r="H1198" s="7" cm="1">
        <f t="array" ref="H1198">_xlfn.IFS(B1198=2015,L1198*$P$3,B1198=2016,L1198*$P$4,B1198=2017,L1198*$P$5,B1198=2018,L1198*$P$6,B1198=2019,L1198*$P$7,B1198=2020,L1198*$P$8,B1198=2021,L1198*$P$9,B1198=2022,L1198*$P$10)</f>
        <v>3016.2741049370511</v>
      </c>
      <c r="I1198" s="7">
        <f t="shared" si="39"/>
        <v>113404.27410493705</v>
      </c>
      <c r="J1198">
        <f>IFERROR(VLOOKUP(F1198,'LEAID Match'!$A$2:$B$227,2,FALSE),"")</f>
        <v>3880300</v>
      </c>
      <c r="K1198">
        <f t="shared" si="38"/>
        <v>8</v>
      </c>
      <c r="L1198" cm="1">
        <f t="array" ref="L1198">_xlfn.IFS(B1198=2015,G1198/$P$13,B1198=2016,G1198/$P$14,B1198=2017,G1198/$P$15,B1198=2018,G1198/$P$16,B1198=2019,G1198/$P$17,B1198=2019,G1198/$P$18,B1198=2020,G1198/$P$18,B1198=2021,G1198/$P$19,B1198=2022,G1198/$P$20)</f>
        <v>1.1233795549113784E-3</v>
      </c>
    </row>
    <row r="1199" spans="1:12" x14ac:dyDescent="0.2">
      <c r="A1199">
        <v>3880300</v>
      </c>
      <c r="B1199">
        <v>2022</v>
      </c>
      <c r="C1199" t="s">
        <v>252</v>
      </c>
      <c r="D1199" t="s">
        <v>254</v>
      </c>
      <c r="E1199" t="s">
        <v>256</v>
      </c>
      <c r="F1199" s="5" t="s">
        <v>120</v>
      </c>
      <c r="G1199" s="7">
        <v>131014</v>
      </c>
      <c r="H1199" s="7" cm="1">
        <f t="array" ref="H1199">_xlfn.IFS(B1199=2015,L1199*$P$3,B1199=2016,L1199*$P$4,B1199=2017,L1199*$P$5,B1199=2018,L1199*$P$6,B1199=2019,L1199*$P$7,B1199=2020,L1199*$P$8,B1199=2021,L1199*$P$9,B1199=2022,L1199*$P$10)</f>
        <v>2666.4706893590501</v>
      </c>
      <c r="I1199" s="7">
        <f t="shared" si="39"/>
        <v>133680.47068935906</v>
      </c>
      <c r="J1199">
        <f>IFERROR(VLOOKUP(F1199,'LEAID Match'!$A$2:$B$227,2,FALSE),"")</f>
        <v>3880300</v>
      </c>
      <c r="K1199">
        <f t="shared" si="38"/>
        <v>8</v>
      </c>
      <c r="L1199" cm="1">
        <f t="array" ref="L1199">_xlfn.IFS(B1199=2015,G1199/$P$13,B1199=2016,G1199/$P$14,B1199=2017,G1199/$P$15,B1199=2018,G1199/$P$16,B1199=2019,G1199/$P$17,B1199=2019,G1199/$P$18,B1199=2020,G1199/$P$18,B1199=2021,G1199/$P$19,B1199=2022,G1199/$P$20)</f>
        <v>1.3058132660916015E-3</v>
      </c>
    </row>
    <row r="1200" spans="1:12" x14ac:dyDescent="0.2">
      <c r="A1200">
        <v>3814730</v>
      </c>
      <c r="B1200">
        <v>2015</v>
      </c>
      <c r="C1200" t="s">
        <v>252</v>
      </c>
      <c r="D1200" t="s">
        <v>254</v>
      </c>
      <c r="E1200" t="s">
        <v>256</v>
      </c>
      <c r="F1200" s="5" t="s">
        <v>121</v>
      </c>
      <c r="G1200" s="7">
        <v>88541</v>
      </c>
      <c r="H1200" s="7" cm="1">
        <f t="array" ref="H1200">_xlfn.IFS(B1200=2015,L1200*$P$3,B1200=2016,L1200*$P$4,B1200=2017,L1200*$P$5,B1200=2018,L1200*$P$6,B1200=2019,L1200*$P$7,B1200=2020,L1200*$P$8,B1200=2021,L1200*$P$9,B1200=2022,L1200*$P$10)</f>
        <v>2001.7723702884773</v>
      </c>
      <c r="I1200" s="7">
        <f t="shared" si="39"/>
        <v>90542.772370288483</v>
      </c>
      <c r="J1200">
        <f>IFERROR(VLOOKUP(F1200,'LEAID Match'!$A$2:$B$227,2,FALSE),"")</f>
        <v>3814730</v>
      </c>
      <c r="K1200">
        <f t="shared" si="38"/>
        <v>8</v>
      </c>
      <c r="L1200" cm="1">
        <f t="array" ref="L1200">_xlfn.IFS(B1200=2015,G1200/$P$13,B1200=2016,G1200/$P$14,B1200=2017,G1200/$P$15,B1200=2018,G1200/$P$16,B1200=2019,G1200/$P$17,B1200=2019,G1200/$P$18,B1200=2020,G1200/$P$18,B1200=2021,G1200/$P$19,B1200=2022,G1200/$P$20)</f>
        <v>1.1290312297171333E-3</v>
      </c>
    </row>
    <row r="1201" spans="1:12" x14ac:dyDescent="0.2">
      <c r="A1201">
        <v>3814730</v>
      </c>
      <c r="B1201">
        <v>2016</v>
      </c>
      <c r="C1201" t="s">
        <v>252</v>
      </c>
      <c r="D1201" t="s">
        <v>254</v>
      </c>
      <c r="E1201" t="s">
        <v>256</v>
      </c>
      <c r="F1201" s="5" t="s">
        <v>121</v>
      </c>
      <c r="G1201" s="7">
        <v>86501</v>
      </c>
      <c r="H1201" s="7" cm="1">
        <f t="array" ref="H1201">_xlfn.IFS(B1201=2015,L1201*$P$3,B1201=2016,L1201*$P$4,B1201=2017,L1201*$P$5,B1201=2018,L1201*$P$6,B1201=2019,L1201*$P$7,B1201=2020,L1201*$P$8,B1201=2021,L1201*$P$9,B1201=2022,L1201*$P$10)</f>
        <v>2937.3191172744941</v>
      </c>
      <c r="I1201" s="7">
        <f t="shared" si="39"/>
        <v>89438.319117274499</v>
      </c>
      <c r="J1201">
        <f>IFERROR(VLOOKUP(F1201,'LEAID Match'!$A$2:$B$227,2,FALSE),"")</f>
        <v>3814730</v>
      </c>
      <c r="K1201">
        <f t="shared" si="38"/>
        <v>8</v>
      </c>
      <c r="L1201" cm="1">
        <f t="array" ref="L1201">_xlfn.IFS(B1201=2015,G1201/$P$13,B1201=2016,G1201/$P$14,B1201=2017,G1201/$P$15,B1201=2018,G1201/$P$16,B1201=2019,G1201/$P$17,B1201=2019,G1201/$P$18,B1201=2020,G1201/$P$18,B1201=2021,G1201/$P$19,B1201=2022,G1201/$P$20)</f>
        <v>1.0441944960094185E-3</v>
      </c>
    </row>
    <row r="1202" spans="1:12" x14ac:dyDescent="0.2">
      <c r="A1202">
        <v>3814730</v>
      </c>
      <c r="B1202">
        <v>2017</v>
      </c>
      <c r="C1202" t="s">
        <v>252</v>
      </c>
      <c r="D1202" t="s">
        <v>254</v>
      </c>
      <c r="E1202" t="s">
        <v>256</v>
      </c>
      <c r="F1202" s="5" t="s">
        <v>121</v>
      </c>
      <c r="G1202" s="7">
        <v>96777</v>
      </c>
      <c r="H1202" s="7" cm="1">
        <f t="array" ref="H1202">_xlfn.IFS(B1202=2015,L1202*$P$3,B1202=2016,L1202*$P$4,B1202=2017,L1202*$P$5,B1202=2018,L1202*$P$6,B1202=2019,L1202*$P$7,B1202=2020,L1202*$P$8,B1202=2021,L1202*$P$9,B1202=2022,L1202*$P$10)</f>
        <v>3136.353927892354</v>
      </c>
      <c r="I1202" s="7">
        <f t="shared" si="39"/>
        <v>99913.353927892356</v>
      </c>
      <c r="J1202">
        <f>IFERROR(VLOOKUP(F1202,'LEAID Match'!$A$2:$B$227,2,FALSE),"")</f>
        <v>3814730</v>
      </c>
      <c r="K1202">
        <f t="shared" si="38"/>
        <v>8</v>
      </c>
      <c r="L1202" cm="1">
        <f t="array" ref="L1202">_xlfn.IFS(B1202=2015,G1202/$P$13,B1202=2016,G1202/$P$14,B1202=2017,G1202/$P$15,B1202=2018,G1202/$P$16,B1202=2019,G1202/$P$17,B1202=2019,G1202/$P$18,B1202=2020,G1202/$P$18,B1202=2021,G1202/$P$19,B1202=2022,G1202/$P$20)</f>
        <v>1.1245442552500374E-3</v>
      </c>
    </row>
    <row r="1203" spans="1:12" x14ac:dyDescent="0.2">
      <c r="A1203">
        <v>3814730</v>
      </c>
      <c r="B1203" s="5">
        <v>2018</v>
      </c>
      <c r="C1203" t="s">
        <v>252</v>
      </c>
      <c r="D1203" t="s">
        <v>254</v>
      </c>
      <c r="E1203" t="s">
        <v>256</v>
      </c>
      <c r="F1203" s="5" t="s">
        <v>121</v>
      </c>
      <c r="G1203" s="7">
        <v>84296</v>
      </c>
      <c r="H1203" s="7" cm="1">
        <f t="array" ref="H1203">_xlfn.IFS(B1203=2015,L1203*$P$3,B1203=2016,L1203*$P$4,B1203=2017,L1203*$P$5,B1203=2018,L1203*$P$6,B1203=2019,L1203*$P$7,B1203=2020,L1203*$P$8,B1203=2021,L1203*$P$9,B1203=2022,L1203*$P$10)</f>
        <v>2309.793730549985</v>
      </c>
      <c r="I1203" s="7">
        <f t="shared" si="39"/>
        <v>86605.79373054998</v>
      </c>
      <c r="J1203">
        <f>IFERROR(VLOOKUP(F1203,'LEAID Match'!$A$2:$B$227,2,FALSE),"")</f>
        <v>3814730</v>
      </c>
      <c r="K1203">
        <f t="shared" si="38"/>
        <v>8</v>
      </c>
      <c r="L1203" cm="1">
        <f t="array" ref="L1203">_xlfn.IFS(B1203=2015,G1203/$P$13,B1203=2016,G1203/$P$14,B1203=2017,G1203/$P$15,B1203=2018,G1203/$P$16,B1203=2019,G1203/$P$17,B1203=2019,G1203/$P$18,B1203=2020,G1203/$P$18,B1203=2021,G1203/$P$19,B1203=2022,G1203/$P$20)</f>
        <v>9.7254472865262532E-4</v>
      </c>
    </row>
    <row r="1204" spans="1:12" x14ac:dyDescent="0.2">
      <c r="A1204">
        <v>3814730</v>
      </c>
      <c r="B1204">
        <v>2019</v>
      </c>
      <c r="C1204" t="s">
        <v>252</v>
      </c>
      <c r="D1204" t="s">
        <v>254</v>
      </c>
      <c r="E1204" t="s">
        <v>256</v>
      </c>
      <c r="F1204" s="5" t="s">
        <v>121</v>
      </c>
      <c r="G1204" s="7">
        <v>87667</v>
      </c>
      <c r="H1204" s="7" cm="1">
        <f t="array" ref="H1204">_xlfn.IFS(B1204=2015,L1204*$P$3,B1204=2016,L1204*$P$4,B1204=2017,L1204*$P$5,B1204=2018,L1204*$P$6,B1204=2019,L1204*$P$7,B1204=2020,L1204*$P$8,B1204=2021,L1204*$P$9,B1204=2022,L1204*$P$10)</f>
        <v>2034.7357165664484</v>
      </c>
      <c r="I1204" s="7">
        <f t="shared" si="39"/>
        <v>89701.735716566443</v>
      </c>
      <c r="J1204">
        <f>IFERROR(VLOOKUP(F1204,'LEAID Match'!$A$2:$B$227,2,FALSE),"")</f>
        <v>3814730</v>
      </c>
      <c r="K1204">
        <f t="shared" si="38"/>
        <v>8</v>
      </c>
      <c r="L1204" cm="1">
        <f t="array" ref="L1204">_xlfn.IFS(B1204=2015,G1204/$P$13,B1204=2016,G1204/$P$14,B1204=2017,G1204/$P$15,B1204=2018,G1204/$P$16,B1204=2019,G1204/$P$17,B1204=2019,G1204/$P$18,B1204=2020,G1204/$P$18,B1204=2021,G1204/$P$19,B1204=2022,G1204/$P$20)</f>
        <v>9.8012317753682493E-4</v>
      </c>
    </row>
    <row r="1205" spans="1:12" x14ac:dyDescent="0.2">
      <c r="A1205">
        <v>3814730</v>
      </c>
      <c r="B1205">
        <v>2020</v>
      </c>
      <c r="C1205" t="s">
        <v>252</v>
      </c>
      <c r="D1205" t="s">
        <v>254</v>
      </c>
      <c r="E1205" t="s">
        <v>256</v>
      </c>
      <c r="F1205" s="5" t="s">
        <v>121</v>
      </c>
      <c r="G1205" s="7">
        <v>97912</v>
      </c>
      <c r="H1205" s="7" cm="1">
        <f t="array" ref="H1205">_xlfn.IFS(B1205=2015,L1205*$P$3,B1205=2016,L1205*$P$4,B1205=2017,L1205*$P$5,B1205=2018,L1205*$P$6,B1205=2019,L1205*$P$7,B1205=2020,L1205*$P$8,B1205=2021,L1205*$P$9,B1205=2022,L1205*$P$10)</f>
        <v>2456.4180385301652</v>
      </c>
      <c r="I1205" s="7">
        <f t="shared" si="39"/>
        <v>100368.41803853016</v>
      </c>
      <c r="J1205">
        <f>IFERROR(VLOOKUP(F1205,'LEAID Match'!$A$2:$B$227,2,FALSE),"")</f>
        <v>3814730</v>
      </c>
      <c r="K1205">
        <f t="shared" si="38"/>
        <v>8</v>
      </c>
      <c r="L1205" cm="1">
        <f t="array" ref="L1205">_xlfn.IFS(B1205=2015,G1205/$P$13,B1205=2016,G1205/$P$14,B1205=2017,G1205/$P$15,B1205=2018,G1205/$P$16,B1205=2019,G1205/$P$17,B1205=2019,G1205/$P$18,B1205=2020,G1205/$P$18,B1205=2021,G1205/$P$19,B1205=2022,G1205/$P$20)</f>
        <v>1.052449887973507E-3</v>
      </c>
    </row>
    <row r="1206" spans="1:12" x14ac:dyDescent="0.2">
      <c r="A1206">
        <v>3814730</v>
      </c>
      <c r="B1206" s="5">
        <v>2021</v>
      </c>
      <c r="C1206" t="s">
        <v>252</v>
      </c>
      <c r="D1206" t="s">
        <v>254</v>
      </c>
      <c r="E1206" t="s">
        <v>256</v>
      </c>
      <c r="F1206" s="5" t="s">
        <v>121</v>
      </c>
      <c r="G1206" s="5"/>
      <c r="H1206" s="7" cm="1">
        <f t="array" ref="H1206">_xlfn.IFS(B1206=2015,L1206*$P$3,B1206=2016,L1206*$P$4,B1206=2017,L1206*$P$5,B1206=2018,L1206*$P$6,B1206=2019,L1206*$P$7,B1206=2020,L1206*$P$8,B1206=2021,L1206*$P$9,B1206=2022,L1206*$P$10)</f>
        <v>0</v>
      </c>
      <c r="I1206" s="7">
        <f t="shared" si="39"/>
        <v>0</v>
      </c>
      <c r="J1206">
        <f>IFERROR(VLOOKUP(F1206,'LEAID Match'!$A$2:$B$227,2,FALSE),"")</f>
        <v>3814730</v>
      </c>
      <c r="K1206">
        <f t="shared" si="38"/>
        <v>8</v>
      </c>
      <c r="L1206" cm="1">
        <f t="array" ref="L1206">_xlfn.IFS(B1206=2015,G1206/$P$13,B1206=2016,G1206/$P$14,B1206=2017,G1206/$P$15,B1206=2018,G1206/$P$16,B1206=2019,G1206/$P$17,B1206=2019,G1206/$P$18,B1206=2020,G1206/$P$18,B1206=2021,G1206/$P$19,B1206=2022,G1206/$P$20)</f>
        <v>0</v>
      </c>
    </row>
    <row r="1207" spans="1:12" x14ac:dyDescent="0.2">
      <c r="A1207">
        <v>3814730</v>
      </c>
      <c r="B1207">
        <v>2022</v>
      </c>
      <c r="C1207" t="s">
        <v>252</v>
      </c>
      <c r="D1207" t="s">
        <v>254</v>
      </c>
      <c r="E1207" t="s">
        <v>256</v>
      </c>
      <c r="F1207" s="5" t="s">
        <v>121</v>
      </c>
      <c r="G1207" s="5"/>
      <c r="H1207" s="7" cm="1">
        <f t="array" ref="H1207">_xlfn.IFS(B1207=2015,L1207*$P$3,B1207=2016,L1207*$P$4,B1207=2017,L1207*$P$5,B1207=2018,L1207*$P$6,B1207=2019,L1207*$P$7,B1207=2020,L1207*$P$8,B1207=2021,L1207*$P$9,B1207=2022,L1207*$P$10)</f>
        <v>0</v>
      </c>
      <c r="I1207" s="7">
        <f t="shared" si="39"/>
        <v>0</v>
      </c>
      <c r="J1207">
        <f>IFERROR(VLOOKUP(F1207,'LEAID Match'!$A$2:$B$227,2,FALSE),"")</f>
        <v>3814730</v>
      </c>
      <c r="K1207">
        <f t="shared" si="38"/>
        <v>8</v>
      </c>
      <c r="L1207" cm="1">
        <f t="array" ref="L1207">_xlfn.IFS(B1207=2015,G1207/$P$13,B1207=2016,G1207/$P$14,B1207=2017,G1207/$P$15,B1207=2018,G1207/$P$16,B1207=2019,G1207/$P$17,B1207=2019,G1207/$P$18,B1207=2020,G1207/$P$18,B1207=2021,G1207/$P$19,B1207=2022,G1207/$P$20)</f>
        <v>0</v>
      </c>
    </row>
    <row r="1208" spans="1:12" x14ac:dyDescent="0.2">
      <c r="A1208">
        <v>3800401</v>
      </c>
      <c r="B1208">
        <v>2015</v>
      </c>
      <c r="C1208" t="s">
        <v>252</v>
      </c>
      <c r="D1208" t="s">
        <v>254</v>
      </c>
      <c r="E1208" t="s">
        <v>256</v>
      </c>
      <c r="F1208" s="5" t="s">
        <v>230</v>
      </c>
      <c r="G1208" s="7">
        <v>255956</v>
      </c>
      <c r="H1208" s="7" cm="1">
        <f t="array" ref="H1208">_xlfn.IFS(B1208=2015,L1208*$P$3,B1208=2016,L1208*$P$4,B1208=2017,L1208*$P$5,B1208=2018,L1208*$P$6,B1208=2019,L1208*$P$7,B1208=2020,L1208*$P$8,B1208=2021,L1208*$P$9,B1208=2022,L1208*$P$10)</f>
        <v>5786.761486876786</v>
      </c>
      <c r="I1208" s="7">
        <f t="shared" si="39"/>
        <v>261742.76148687679</v>
      </c>
      <c r="J1208">
        <f>IFERROR(VLOOKUP(F1208,'LEAID Match'!$A$2:$B$227,2,FALSE),"")</f>
        <v>3800401</v>
      </c>
      <c r="K1208">
        <f t="shared" si="38"/>
        <v>8</v>
      </c>
      <c r="L1208" cm="1">
        <f t="array" ref="L1208">_xlfn.IFS(B1208=2015,G1208/$P$13,B1208=2016,G1208/$P$14,B1208=2017,G1208/$P$15,B1208=2018,G1208/$P$16,B1208=2019,G1208/$P$17,B1208=2019,G1208/$P$18,B1208=2020,G1208/$P$18,B1208=2021,G1208/$P$19,B1208=2022,G1208/$P$20)</f>
        <v>3.2638248656947466E-3</v>
      </c>
    </row>
    <row r="1209" spans="1:12" x14ac:dyDescent="0.2">
      <c r="A1209">
        <v>3800401</v>
      </c>
      <c r="B1209">
        <v>2016</v>
      </c>
      <c r="C1209" t="s">
        <v>252</v>
      </c>
      <c r="D1209" t="s">
        <v>254</v>
      </c>
      <c r="E1209" t="s">
        <v>256</v>
      </c>
      <c r="F1209" s="5" t="s">
        <v>230</v>
      </c>
      <c r="G1209" s="7">
        <v>259666</v>
      </c>
      <c r="H1209" s="7" cm="1">
        <f t="array" ref="H1209">_xlfn.IFS(B1209=2015,L1209*$P$3,B1209=2016,L1209*$P$4,B1209=2017,L1209*$P$5,B1209=2018,L1209*$P$6,B1209=2019,L1209*$P$7,B1209=2020,L1209*$P$8,B1209=2021,L1209*$P$9,B1209=2022,L1209*$P$10)</f>
        <v>8817.4923516051695</v>
      </c>
      <c r="I1209" s="7">
        <f t="shared" si="39"/>
        <v>268483.49235160515</v>
      </c>
      <c r="J1209">
        <f>IFERROR(VLOOKUP(F1209,'LEAID Match'!$A$2:$B$227,2,FALSE),"")</f>
        <v>3800401</v>
      </c>
      <c r="K1209">
        <f t="shared" si="38"/>
        <v>8</v>
      </c>
      <c r="L1209" cm="1">
        <f t="array" ref="L1209">_xlfn.IFS(B1209=2015,G1209/$P$13,B1209=2016,G1209/$P$14,B1209=2017,G1209/$P$15,B1209=2018,G1209/$P$16,B1209=2019,G1209/$P$17,B1209=2019,G1209/$P$18,B1209=2020,G1209/$P$18,B1209=2021,G1209/$P$19,B1209=2022,G1209/$P$20)</f>
        <v>3.1345511381461679E-3</v>
      </c>
    </row>
    <row r="1210" spans="1:12" x14ac:dyDescent="0.2">
      <c r="A1210">
        <v>3800401</v>
      </c>
      <c r="B1210">
        <v>2017</v>
      </c>
      <c r="C1210" t="s">
        <v>252</v>
      </c>
      <c r="D1210" t="s">
        <v>254</v>
      </c>
      <c r="E1210" t="s">
        <v>256</v>
      </c>
      <c r="F1210" s="5" t="s">
        <v>230</v>
      </c>
      <c r="G1210" s="7">
        <v>274116</v>
      </c>
      <c r="H1210" s="7" cm="1">
        <f t="array" ref="H1210">_xlfn.IFS(B1210=2015,L1210*$P$3,B1210=2016,L1210*$P$4,B1210=2017,L1210*$P$5,B1210=2018,L1210*$P$6,B1210=2019,L1210*$P$7,B1210=2020,L1210*$P$8,B1210=2021,L1210*$P$9,B1210=2022,L1210*$P$10)</f>
        <v>8883.5652406888057</v>
      </c>
      <c r="I1210" s="7">
        <f t="shared" si="39"/>
        <v>282999.5652406888</v>
      </c>
      <c r="J1210">
        <f>IFERROR(VLOOKUP(F1210,'LEAID Match'!$A$2:$B$227,2,FALSE),"")</f>
        <v>3800401</v>
      </c>
      <c r="K1210">
        <f t="shared" si="38"/>
        <v>8</v>
      </c>
      <c r="L1210" cm="1">
        <f t="array" ref="L1210">_xlfn.IFS(B1210=2015,G1210/$P$13,B1210=2016,G1210/$P$14,B1210=2017,G1210/$P$15,B1210=2018,G1210/$P$16,B1210=2019,G1210/$P$17,B1210=2019,G1210/$P$18,B1210=2020,G1210/$P$18,B1210=2021,G1210/$P$19,B1210=2022,G1210/$P$20)</f>
        <v>3.1852152171706009E-3</v>
      </c>
    </row>
    <row r="1211" spans="1:12" x14ac:dyDescent="0.2">
      <c r="A1211">
        <v>3800401</v>
      </c>
      <c r="B1211" s="5">
        <v>2018</v>
      </c>
      <c r="C1211" t="s">
        <v>252</v>
      </c>
      <c r="D1211" t="s">
        <v>254</v>
      </c>
      <c r="E1211" t="s">
        <v>256</v>
      </c>
      <c r="F1211" s="5" t="s">
        <v>230</v>
      </c>
      <c r="G1211" s="7">
        <v>266543</v>
      </c>
      <c r="H1211" s="7" cm="1">
        <f t="array" ref="H1211">_xlfn.IFS(B1211=2015,L1211*$P$3,B1211=2016,L1211*$P$4,B1211=2017,L1211*$P$5,B1211=2018,L1211*$P$6,B1211=2019,L1211*$P$7,B1211=2020,L1211*$P$8,B1211=2021,L1211*$P$9,B1211=2022,L1211*$P$10)</f>
        <v>7303.5416902579564</v>
      </c>
      <c r="I1211" s="7">
        <f t="shared" si="39"/>
        <v>273846.54169025796</v>
      </c>
      <c r="J1211">
        <f>IFERROR(VLOOKUP(F1211,'LEAID Match'!$A$2:$B$227,2,FALSE),"")</f>
        <v>3800401</v>
      </c>
      <c r="K1211">
        <f t="shared" si="38"/>
        <v>8</v>
      </c>
      <c r="L1211" cm="1">
        <f t="array" ref="L1211">_xlfn.IFS(B1211=2015,G1211/$P$13,B1211=2016,G1211/$P$14,B1211=2017,G1211/$P$15,B1211=2018,G1211/$P$16,B1211=2019,G1211/$P$17,B1211=2019,G1211/$P$18,B1211=2020,G1211/$P$18,B1211=2021,G1211/$P$19,B1211=2022,G1211/$P$20)</f>
        <v>3.075175448529666E-3</v>
      </c>
    </row>
    <row r="1212" spans="1:12" x14ac:dyDescent="0.2">
      <c r="A1212">
        <v>3800401</v>
      </c>
      <c r="B1212">
        <v>2019</v>
      </c>
      <c r="C1212" t="s">
        <v>252</v>
      </c>
      <c r="D1212" t="s">
        <v>254</v>
      </c>
      <c r="E1212" t="s">
        <v>256</v>
      </c>
      <c r="F1212" s="5" t="s">
        <v>230</v>
      </c>
      <c r="G1212" s="7">
        <v>265647</v>
      </c>
      <c r="H1212" s="7" cm="1">
        <f t="array" ref="H1212">_xlfn.IFS(B1212=2015,L1212*$P$3,B1212=2016,L1212*$P$4,B1212=2017,L1212*$P$5,B1212=2018,L1212*$P$6,B1212=2019,L1212*$P$7,B1212=2020,L1212*$P$8,B1212=2021,L1212*$P$9,B1212=2022,L1212*$P$10)</f>
        <v>6165.6203462959529</v>
      </c>
      <c r="I1212" s="7">
        <f t="shared" si="39"/>
        <v>271812.62034629594</v>
      </c>
      <c r="J1212">
        <f>IFERROR(VLOOKUP(F1212,'LEAID Match'!$A$2:$B$227,2,FALSE),"")</f>
        <v>3800401</v>
      </c>
      <c r="K1212">
        <f t="shared" si="38"/>
        <v>8</v>
      </c>
      <c r="L1212" cm="1">
        <f t="array" ref="L1212">_xlfn.IFS(B1212=2015,G1212/$P$13,B1212=2016,G1212/$P$14,B1212=2017,G1212/$P$15,B1212=2018,G1212/$P$16,B1212=2019,G1212/$P$17,B1212=2019,G1212/$P$18,B1212=2020,G1212/$P$18,B1212=2021,G1212/$P$19,B1212=2022,G1212/$P$20)</f>
        <v>2.9699519972523859E-3</v>
      </c>
    </row>
    <row r="1213" spans="1:12" x14ac:dyDescent="0.2">
      <c r="A1213">
        <v>3800401</v>
      </c>
      <c r="B1213">
        <v>2020</v>
      </c>
      <c r="C1213" t="s">
        <v>252</v>
      </c>
      <c r="D1213" t="s">
        <v>254</v>
      </c>
      <c r="E1213" t="s">
        <v>256</v>
      </c>
      <c r="F1213" s="5" t="s">
        <v>230</v>
      </c>
      <c r="G1213" s="7">
        <v>267704</v>
      </c>
      <c r="H1213" s="7" cm="1">
        <f t="array" ref="H1213">_xlfn.IFS(B1213=2015,L1213*$P$3,B1213=2016,L1213*$P$4,B1213=2017,L1213*$P$5,B1213=2018,L1213*$P$6,B1213=2019,L1213*$P$7,B1213=2020,L1213*$P$8,B1213=2021,L1213*$P$9,B1213=2022,L1213*$P$10)</f>
        <v>6716.1628256667154</v>
      </c>
      <c r="I1213" s="7">
        <f t="shared" si="39"/>
        <v>274420.16282566672</v>
      </c>
      <c r="J1213">
        <f>IFERROR(VLOOKUP(F1213,'LEAID Match'!$A$2:$B$227,2,FALSE),"")</f>
        <v>3800401</v>
      </c>
      <c r="K1213">
        <f t="shared" si="38"/>
        <v>8</v>
      </c>
      <c r="L1213" cm="1">
        <f t="array" ref="L1213">_xlfn.IFS(B1213=2015,G1213/$P$13,B1213=2016,G1213/$P$14,B1213=2017,G1213/$P$15,B1213=2018,G1213/$P$16,B1213=2019,G1213/$P$17,B1213=2019,G1213/$P$18,B1213=2020,G1213/$P$18,B1213=2021,G1213/$P$19,B1213=2022,G1213/$P$20)</f>
        <v>2.8775333443302122E-3</v>
      </c>
    </row>
    <row r="1214" spans="1:12" x14ac:dyDescent="0.2">
      <c r="A1214">
        <v>3800401</v>
      </c>
      <c r="B1214" s="5">
        <v>2021</v>
      </c>
      <c r="C1214" t="s">
        <v>252</v>
      </c>
      <c r="D1214" t="s">
        <v>254</v>
      </c>
      <c r="E1214" t="s">
        <v>256</v>
      </c>
      <c r="F1214" s="5" t="s">
        <v>230</v>
      </c>
      <c r="G1214" s="7">
        <v>284053</v>
      </c>
      <c r="H1214" s="7" cm="1">
        <f t="array" ref="H1214">_xlfn.IFS(B1214=2015,L1214*$P$3,B1214=2016,L1214*$P$4,B1214=2017,L1214*$P$5,B1214=2018,L1214*$P$6,B1214=2019,L1214*$P$7,B1214=2020,L1214*$P$8,B1214=2021,L1214*$P$9,B1214=2022,L1214*$P$10)</f>
        <v>7761.5475262681102</v>
      </c>
      <c r="I1214" s="7">
        <f t="shared" si="39"/>
        <v>291814.54752626811</v>
      </c>
      <c r="J1214">
        <f>IFERROR(VLOOKUP(F1214,'LEAID Match'!$A$2:$B$227,2,FALSE),"")</f>
        <v>3800401</v>
      </c>
      <c r="K1214">
        <f t="shared" si="38"/>
        <v>8</v>
      </c>
      <c r="L1214" cm="1">
        <f t="array" ref="L1214">_xlfn.IFS(B1214=2015,G1214/$P$13,B1214=2016,G1214/$P$14,B1214=2017,G1214/$P$15,B1214=2018,G1214/$P$16,B1214=2019,G1214/$P$17,B1214=2019,G1214/$P$18,B1214=2020,G1214/$P$18,B1214=2021,G1214/$P$19,B1214=2022,G1214/$P$20)</f>
        <v>2.8907067136938959E-3</v>
      </c>
    </row>
    <row r="1215" spans="1:12" x14ac:dyDescent="0.2">
      <c r="A1215">
        <v>3800401</v>
      </c>
      <c r="B1215">
        <v>2022</v>
      </c>
      <c r="C1215" t="s">
        <v>252</v>
      </c>
      <c r="D1215" t="s">
        <v>254</v>
      </c>
      <c r="E1215" t="s">
        <v>256</v>
      </c>
      <c r="F1215" s="5" t="s">
        <v>230</v>
      </c>
      <c r="G1215" s="7">
        <v>283058</v>
      </c>
      <c r="H1215" s="7" cm="1">
        <f t="array" ref="H1215">_xlfn.IFS(B1215=2015,L1215*$P$3,B1215=2016,L1215*$P$4,B1215=2017,L1215*$P$5,B1215=2018,L1215*$P$6,B1215=2019,L1215*$P$7,B1215=2020,L1215*$P$8,B1215=2021,L1215*$P$9,B1215=2022,L1215*$P$10)</f>
        <v>5760.9557786846744</v>
      </c>
      <c r="I1215" s="7">
        <f t="shared" si="39"/>
        <v>288818.9557786847</v>
      </c>
      <c r="J1215">
        <f>IFERROR(VLOOKUP(F1215,'LEAID Match'!$A$2:$B$227,2,FALSE),"")</f>
        <v>3800401</v>
      </c>
      <c r="K1215">
        <f t="shared" si="38"/>
        <v>8</v>
      </c>
      <c r="L1215" cm="1">
        <f t="array" ref="L1215">_xlfn.IFS(B1215=2015,G1215/$P$13,B1215=2016,G1215/$P$14,B1215=2017,G1215/$P$15,B1215=2018,G1215/$P$16,B1215=2019,G1215/$P$17,B1215=2019,G1215/$P$18,B1215=2020,G1215/$P$18,B1215=2021,G1215/$P$19,B1215=2022,G1215/$P$20)</f>
        <v>2.8212320169856389E-3</v>
      </c>
    </row>
    <row r="1216" spans="1:12" x14ac:dyDescent="0.2">
      <c r="A1216">
        <v>3814940</v>
      </c>
      <c r="B1216">
        <v>2015</v>
      </c>
      <c r="C1216" t="s">
        <v>252</v>
      </c>
      <c r="D1216" t="s">
        <v>254</v>
      </c>
      <c r="E1216" t="s">
        <v>256</v>
      </c>
      <c r="F1216" s="5" t="s">
        <v>122</v>
      </c>
      <c r="G1216" s="7">
        <v>209204</v>
      </c>
      <c r="H1216" s="7" cm="1">
        <f t="array" ref="H1216">_xlfn.IFS(B1216=2015,L1216*$P$3,B1216=2016,L1216*$P$4,B1216=2017,L1216*$P$5,B1216=2018,L1216*$P$6,B1216=2019,L1216*$P$7,B1216=2020,L1216*$P$8,B1216=2021,L1216*$P$9,B1216=2022,L1216*$P$10)</f>
        <v>4729.7725003538544</v>
      </c>
      <c r="I1216" s="7">
        <f t="shared" si="39"/>
        <v>213933.77250035387</v>
      </c>
      <c r="J1216">
        <f>IFERROR(VLOOKUP(F1216,'LEAID Match'!$A$2:$B$227,2,FALSE),"")</f>
        <v>3814940</v>
      </c>
      <c r="K1216">
        <f t="shared" si="38"/>
        <v>8</v>
      </c>
      <c r="L1216" cm="1">
        <f t="array" ref="L1216">_xlfn.IFS(B1216=2015,G1216/$P$13,B1216=2016,G1216/$P$14,B1216=2017,G1216/$P$15,B1216=2018,G1216/$P$16,B1216=2019,G1216/$P$17,B1216=2019,G1216/$P$18,B1216=2020,G1216/$P$18,B1216=2021,G1216/$P$19,B1216=2022,G1216/$P$20)</f>
        <v>2.66766638485835E-3</v>
      </c>
    </row>
    <row r="1217" spans="1:12" x14ac:dyDescent="0.2">
      <c r="A1217">
        <v>3814940</v>
      </c>
      <c r="B1217">
        <v>2016</v>
      </c>
      <c r="C1217" t="s">
        <v>252</v>
      </c>
      <c r="D1217" t="s">
        <v>254</v>
      </c>
      <c r="E1217" t="s">
        <v>256</v>
      </c>
      <c r="F1217" s="5" t="s">
        <v>122</v>
      </c>
      <c r="G1217" s="7">
        <v>216082</v>
      </c>
      <c r="H1217" s="7" cm="1">
        <f t="array" ref="H1217">_xlfn.IFS(B1217=2015,L1217*$P$3,B1217=2016,L1217*$P$4,B1217=2017,L1217*$P$5,B1217=2018,L1217*$P$6,B1217=2019,L1217*$P$7,B1217=2020,L1217*$P$8,B1217=2021,L1217*$P$9,B1217=2022,L1217*$P$10)</f>
        <v>7337.5081155004827</v>
      </c>
      <c r="I1217" s="7">
        <f t="shared" si="39"/>
        <v>223419.50811550047</v>
      </c>
      <c r="J1217">
        <f>IFERROR(VLOOKUP(F1217,'LEAID Match'!$A$2:$B$227,2,FALSE),"")</f>
        <v>3814940</v>
      </c>
      <c r="K1217">
        <f t="shared" si="38"/>
        <v>8</v>
      </c>
      <c r="L1217" cm="1">
        <f t="array" ref="L1217">_xlfn.IFS(B1217=2015,G1217/$P$13,B1217=2016,G1217/$P$14,B1217=2017,G1217/$P$15,B1217=2018,G1217/$P$16,B1217=2019,G1217/$P$17,B1217=2019,G1217/$P$18,B1217=2020,G1217/$P$18,B1217=2021,G1217/$P$19,B1217=2022,G1217/$P$20)</f>
        <v>2.6084280538572636E-3</v>
      </c>
    </row>
    <row r="1218" spans="1:12" x14ac:dyDescent="0.2">
      <c r="A1218">
        <v>3814940</v>
      </c>
      <c r="B1218">
        <v>2017</v>
      </c>
      <c r="C1218" t="s">
        <v>252</v>
      </c>
      <c r="D1218" t="s">
        <v>254</v>
      </c>
      <c r="E1218" t="s">
        <v>256</v>
      </c>
      <c r="F1218" s="5" t="s">
        <v>122</v>
      </c>
      <c r="G1218" s="7">
        <v>205949</v>
      </c>
      <c r="H1218" s="7" cm="1">
        <f t="array" ref="H1218">_xlfn.IFS(B1218=2015,L1218*$P$3,B1218=2016,L1218*$P$4,B1218=2017,L1218*$P$5,B1218=2018,L1218*$P$6,B1218=2019,L1218*$P$7,B1218=2020,L1218*$P$8,B1218=2021,L1218*$P$9,B1218=2022,L1218*$P$10)</f>
        <v>6674.4056448898236</v>
      </c>
      <c r="I1218" s="7">
        <f t="shared" si="39"/>
        <v>212623.40564488983</v>
      </c>
      <c r="J1218">
        <f>IFERROR(VLOOKUP(F1218,'LEAID Match'!$A$2:$B$227,2,FALSE),"")</f>
        <v>3814940</v>
      </c>
      <c r="K1218">
        <f t="shared" ref="K1218:K1281" si="40">COUNTIF($A$2:$A$1757,A1218)</f>
        <v>8</v>
      </c>
      <c r="L1218" cm="1">
        <f t="array" ref="L1218">_xlfn.IFS(B1218=2015,G1218/$P$13,B1218=2016,G1218/$P$14,B1218=2017,G1218/$P$15,B1218=2018,G1218/$P$16,B1218=2019,G1218/$P$17,B1218=2019,G1218/$P$18,B1218=2020,G1218/$P$18,B1218=2021,G1218/$P$19,B1218=2022,G1218/$P$20)</f>
        <v>2.3931178361024825E-3</v>
      </c>
    </row>
    <row r="1219" spans="1:12" x14ac:dyDescent="0.2">
      <c r="A1219">
        <v>3814940</v>
      </c>
      <c r="B1219" s="5">
        <v>2018</v>
      </c>
      <c r="C1219" t="s">
        <v>252</v>
      </c>
      <c r="D1219" t="s">
        <v>254</v>
      </c>
      <c r="E1219" t="s">
        <v>256</v>
      </c>
      <c r="F1219" s="5" t="s">
        <v>122</v>
      </c>
      <c r="G1219" s="7">
        <v>238244</v>
      </c>
      <c r="H1219" s="7" cm="1">
        <f t="array" ref="H1219">_xlfn.IFS(B1219=2015,L1219*$P$3,B1219=2016,L1219*$P$4,B1219=2017,L1219*$P$5,B1219=2018,L1219*$P$6,B1219=2019,L1219*$P$7,B1219=2020,L1219*$P$8,B1219=2021,L1219*$P$9,B1219=2022,L1219*$P$10)</f>
        <v>6528.1211153690647</v>
      </c>
      <c r="I1219" s="7">
        <f t="shared" ref="I1219:I1282" si="41">SUM(G1219:H1219)</f>
        <v>244772.12111536905</v>
      </c>
      <c r="J1219">
        <f>IFERROR(VLOOKUP(F1219,'LEAID Match'!$A$2:$B$227,2,FALSE),"")</f>
        <v>3814940</v>
      </c>
      <c r="K1219">
        <f t="shared" si="40"/>
        <v>8</v>
      </c>
      <c r="L1219" cm="1">
        <f t="array" ref="L1219">_xlfn.IFS(B1219=2015,G1219/$P$13,B1219=2016,G1219/$P$14,B1219=2017,G1219/$P$15,B1219=2018,G1219/$P$16,B1219=2019,G1219/$P$17,B1219=2019,G1219/$P$18,B1219=2020,G1219/$P$18,B1219=2021,G1219/$P$19,B1219=2022,G1219/$P$20)</f>
        <v>2.7486825748922377E-3</v>
      </c>
    </row>
    <row r="1220" spans="1:12" x14ac:dyDescent="0.2">
      <c r="A1220">
        <v>3814940</v>
      </c>
      <c r="B1220">
        <v>2019</v>
      </c>
      <c r="C1220" t="s">
        <v>252</v>
      </c>
      <c r="D1220" t="s">
        <v>254</v>
      </c>
      <c r="E1220" t="s">
        <v>256</v>
      </c>
      <c r="F1220" s="5" t="s">
        <v>122</v>
      </c>
      <c r="G1220" s="7">
        <v>237750</v>
      </c>
      <c r="H1220" s="7" cm="1">
        <f t="array" ref="H1220">_xlfn.IFS(B1220=2015,L1220*$P$3,B1220=2016,L1220*$P$4,B1220=2017,L1220*$P$5,B1220=2018,L1220*$P$6,B1220=2019,L1220*$P$7,B1220=2020,L1220*$P$8,B1220=2021,L1220*$P$9,B1220=2022,L1220*$P$10)</f>
        <v>5518.1358619967959</v>
      </c>
      <c r="I1220" s="7">
        <f t="shared" si="41"/>
        <v>243268.13586199679</v>
      </c>
      <c r="J1220">
        <f>IFERROR(VLOOKUP(F1220,'LEAID Match'!$A$2:$B$227,2,FALSE),"")</f>
        <v>3814940</v>
      </c>
      <c r="K1220">
        <f t="shared" si="40"/>
        <v>8</v>
      </c>
      <c r="L1220" cm="1">
        <f t="array" ref="L1220">_xlfn.IFS(B1220=2015,G1220/$P$13,B1220=2016,G1220/$P$14,B1220=2017,G1220/$P$15,B1220=2018,G1220/$P$16,B1220=2019,G1220/$P$17,B1220=2019,G1220/$P$18,B1220=2020,G1220/$P$18,B1220=2021,G1220/$P$19,B1220=2022,G1220/$P$20)</f>
        <v>2.6580615905572235E-3</v>
      </c>
    </row>
    <row r="1221" spans="1:12" x14ac:dyDescent="0.2">
      <c r="A1221">
        <v>3814940</v>
      </c>
      <c r="B1221">
        <v>2020</v>
      </c>
      <c r="C1221" t="s">
        <v>252</v>
      </c>
      <c r="D1221" t="s">
        <v>254</v>
      </c>
      <c r="E1221" t="s">
        <v>256</v>
      </c>
      <c r="F1221" s="5" t="s">
        <v>122</v>
      </c>
      <c r="G1221" s="7">
        <v>241924</v>
      </c>
      <c r="H1221" s="7" cm="1">
        <f t="array" ref="H1221">_xlfn.IFS(B1221=2015,L1221*$P$3,B1221=2016,L1221*$P$4,B1221=2017,L1221*$P$5,B1221=2018,L1221*$P$6,B1221=2019,L1221*$P$7,B1221=2020,L1221*$P$8,B1221=2021,L1221*$P$9,B1221=2022,L1221*$P$10)</f>
        <v>6069.3937163307028</v>
      </c>
      <c r="I1221" s="7">
        <f t="shared" si="41"/>
        <v>247993.3937163307</v>
      </c>
      <c r="J1221">
        <f>IFERROR(VLOOKUP(F1221,'LEAID Match'!$A$2:$B$227,2,FALSE),"")</f>
        <v>3814940</v>
      </c>
      <c r="K1221">
        <f t="shared" si="40"/>
        <v>8</v>
      </c>
      <c r="L1221" cm="1">
        <f t="array" ref="L1221">_xlfn.IFS(B1221=2015,G1221/$P$13,B1221=2016,G1221/$P$14,B1221=2017,G1221/$P$15,B1221=2018,G1221/$P$16,B1221=2019,G1221/$P$17,B1221=2019,G1221/$P$18,B1221=2020,G1221/$P$18,B1221=2021,G1221/$P$19,B1221=2022,G1221/$P$20)</f>
        <v>2.6004257567826491E-3</v>
      </c>
    </row>
    <row r="1222" spans="1:12" x14ac:dyDescent="0.2">
      <c r="A1222">
        <v>3814940</v>
      </c>
      <c r="B1222" s="5">
        <v>2021</v>
      </c>
      <c r="C1222" t="s">
        <v>252</v>
      </c>
      <c r="D1222" t="s">
        <v>254</v>
      </c>
      <c r="E1222" t="s">
        <v>256</v>
      </c>
      <c r="F1222" s="5" t="s">
        <v>122</v>
      </c>
      <c r="G1222" s="7">
        <v>238830</v>
      </c>
      <c r="H1222" s="7" cm="1">
        <f t="array" ref="H1222">_xlfn.IFS(B1222=2015,L1222*$P$3,B1222=2016,L1222*$P$4,B1222=2017,L1222*$P$5,B1222=2018,L1222*$P$6,B1222=2019,L1222*$P$7,B1222=2020,L1222*$P$8,B1222=2021,L1222*$P$9,B1222=2022,L1222*$P$10)</f>
        <v>6525.8610037514572</v>
      </c>
      <c r="I1222" s="7">
        <f t="shared" si="41"/>
        <v>245355.86100375146</v>
      </c>
      <c r="J1222">
        <f>IFERROR(VLOOKUP(F1222,'LEAID Match'!$A$2:$B$227,2,FALSE),"")</f>
        <v>3814940</v>
      </c>
      <c r="K1222">
        <f t="shared" si="40"/>
        <v>8</v>
      </c>
      <c r="L1222" cm="1">
        <f t="array" ref="L1222">_xlfn.IFS(B1222=2015,G1222/$P$13,B1222=2016,G1222/$P$14,B1222=2017,G1222/$P$15,B1222=2018,G1222/$P$16,B1222=2019,G1222/$P$17,B1222=2019,G1222/$P$18,B1222=2020,G1222/$P$18,B1222=2021,G1222/$P$19,B1222=2022,G1222/$P$20)</f>
        <v>2.4304882695536153E-3</v>
      </c>
    </row>
    <row r="1223" spans="1:12" x14ac:dyDescent="0.2">
      <c r="A1223">
        <v>3814940</v>
      </c>
      <c r="B1223">
        <v>2022</v>
      </c>
      <c r="C1223" t="s">
        <v>252</v>
      </c>
      <c r="D1223" t="s">
        <v>254</v>
      </c>
      <c r="E1223" t="s">
        <v>256</v>
      </c>
      <c r="F1223" s="5" t="s">
        <v>122</v>
      </c>
      <c r="G1223" s="7">
        <v>206870</v>
      </c>
      <c r="H1223" s="7" cm="1">
        <f t="array" ref="H1223">_xlfn.IFS(B1223=2015,L1223*$P$3,B1223=2016,L1223*$P$4,B1223=2017,L1223*$P$5,B1223=2018,L1223*$P$6,B1223=2019,L1223*$P$7,B1223=2020,L1223*$P$8,B1223=2021,L1223*$P$9,B1223=2022,L1223*$P$10)</f>
        <v>4210.3347085632577</v>
      </c>
      <c r="I1223" s="7">
        <f t="shared" si="41"/>
        <v>211080.33470856326</v>
      </c>
      <c r="J1223">
        <f>IFERROR(VLOOKUP(F1223,'LEAID Match'!$A$2:$B$227,2,FALSE),"")</f>
        <v>3814940</v>
      </c>
      <c r="K1223">
        <f t="shared" si="40"/>
        <v>8</v>
      </c>
      <c r="L1223" cm="1">
        <f t="array" ref="L1223">_xlfn.IFS(B1223=2015,G1223/$P$13,B1223=2016,G1223/$P$14,B1223=2017,G1223/$P$15,B1223=2018,G1223/$P$16,B1223=2019,G1223/$P$17,B1223=2019,G1223/$P$18,B1223=2020,G1223/$P$18,B1223=2021,G1223/$P$19,B1223=2022,G1223/$P$20)</f>
        <v>2.0618681236842596E-3</v>
      </c>
    </row>
    <row r="1224" spans="1:12" x14ac:dyDescent="0.2">
      <c r="A1224">
        <v>3880480</v>
      </c>
      <c r="B1224">
        <v>2015</v>
      </c>
      <c r="C1224" t="s">
        <v>252</v>
      </c>
      <c r="D1224" t="s">
        <v>254</v>
      </c>
      <c r="E1224" t="s">
        <v>256</v>
      </c>
      <c r="F1224" s="5" t="s">
        <v>123</v>
      </c>
      <c r="G1224" s="7">
        <v>64250</v>
      </c>
      <c r="H1224" s="7" cm="1">
        <f t="array" ref="H1224">_xlfn.IFS(B1224=2015,L1224*$P$3,B1224=2016,L1224*$P$4,B1224=2017,L1224*$P$5,B1224=2018,L1224*$P$6,B1224=2019,L1224*$P$7,B1224=2020,L1224*$P$8,B1224=2021,L1224*$P$9,B1224=2022,L1224*$P$10)</f>
        <v>1452.591170091084</v>
      </c>
      <c r="I1224" s="7">
        <f t="shared" si="41"/>
        <v>65702.59117009108</v>
      </c>
      <c r="J1224">
        <f>IFERROR(VLOOKUP(F1224,'LEAID Match'!$A$2:$B$227,2,FALSE),"")</f>
        <v>3880480</v>
      </c>
      <c r="K1224">
        <f t="shared" si="40"/>
        <v>8</v>
      </c>
      <c r="L1224" cm="1">
        <f t="array" ref="L1224">_xlfn.IFS(B1224=2015,G1224/$P$13,B1224=2016,G1224/$P$14,B1224=2017,G1224/$P$15,B1224=2018,G1224/$P$16,B1224=2019,G1224/$P$17,B1224=2019,G1224/$P$18,B1224=2020,G1224/$P$18,B1224=2021,G1224/$P$19,B1224=2022,G1224/$P$20)</f>
        <v>8.1928435989344836E-4</v>
      </c>
    </row>
    <row r="1225" spans="1:12" x14ac:dyDescent="0.2">
      <c r="A1225">
        <v>3880480</v>
      </c>
      <c r="B1225">
        <v>2016</v>
      </c>
      <c r="C1225" t="s">
        <v>252</v>
      </c>
      <c r="D1225" t="s">
        <v>254</v>
      </c>
      <c r="E1225" t="s">
        <v>256</v>
      </c>
      <c r="F1225" s="5" t="s">
        <v>123</v>
      </c>
      <c r="G1225" s="7">
        <v>68180</v>
      </c>
      <c r="H1225" s="7" cm="1">
        <f t="array" ref="H1225">_xlfn.IFS(B1225=2015,L1225*$P$3,B1225=2016,L1225*$P$4,B1225=2017,L1225*$P$5,B1225=2018,L1225*$P$6,B1225=2019,L1225*$P$7,B1225=2020,L1225*$P$8,B1225=2021,L1225*$P$9,B1225=2022,L1225*$P$10)</f>
        <v>2315.1919332236043</v>
      </c>
      <c r="I1225" s="7">
        <f t="shared" si="41"/>
        <v>70495.191933223599</v>
      </c>
      <c r="J1225">
        <f>IFERROR(VLOOKUP(F1225,'LEAID Match'!$A$2:$B$227,2,FALSE),"")</f>
        <v>3880480</v>
      </c>
      <c r="K1225">
        <f t="shared" si="40"/>
        <v>8</v>
      </c>
      <c r="L1225" cm="1">
        <f t="array" ref="L1225">_xlfn.IFS(B1225=2015,G1225/$P$13,B1225=2016,G1225/$P$14,B1225=2017,G1225/$P$15,B1225=2018,G1225/$P$16,B1225=2019,G1225/$P$17,B1225=2019,G1225/$P$18,B1225=2020,G1225/$P$18,B1225=2021,G1225/$P$19,B1225=2022,G1225/$P$20)</f>
        <v>8.2303303705069479E-4</v>
      </c>
    </row>
    <row r="1226" spans="1:12" x14ac:dyDescent="0.2">
      <c r="A1226">
        <v>3880480</v>
      </c>
      <c r="B1226">
        <v>2017</v>
      </c>
      <c r="C1226" t="s">
        <v>252</v>
      </c>
      <c r="D1226" t="s">
        <v>254</v>
      </c>
      <c r="E1226" t="s">
        <v>256</v>
      </c>
      <c r="F1226" s="5" t="s">
        <v>123</v>
      </c>
      <c r="G1226" s="7">
        <v>72108</v>
      </c>
      <c r="H1226" s="7" cm="1">
        <f t="array" ref="H1226">_xlfn.IFS(B1226=2015,L1226*$P$3,B1226=2016,L1226*$P$4,B1226=2017,L1226*$P$5,B1226=2018,L1226*$P$6,B1226=2019,L1226*$P$7,B1226=2020,L1226*$P$8,B1226=2021,L1226*$P$9,B1226=2022,L1226*$P$10)</f>
        <v>2336.8797238234488</v>
      </c>
      <c r="I1226" s="7">
        <f t="shared" si="41"/>
        <v>74444.879723823455</v>
      </c>
      <c r="J1226">
        <f>IFERROR(VLOOKUP(F1226,'LEAID Match'!$A$2:$B$227,2,FALSE),"")</f>
        <v>3880480</v>
      </c>
      <c r="K1226">
        <f t="shared" si="40"/>
        <v>8</v>
      </c>
      <c r="L1226" cm="1">
        <f t="array" ref="L1226">_xlfn.IFS(B1226=2015,G1226/$P$13,B1226=2016,G1226/$P$14,B1226=2017,G1226/$P$15,B1226=2018,G1226/$P$16,B1226=2019,G1226/$P$17,B1226=2019,G1226/$P$18,B1226=2020,G1226/$P$18,B1226=2021,G1226/$P$19,B1226=2022,G1226/$P$20)</f>
        <v>8.3789161843795222E-4</v>
      </c>
    </row>
    <row r="1227" spans="1:12" x14ac:dyDescent="0.2">
      <c r="A1227">
        <v>3880480</v>
      </c>
      <c r="B1227" s="5">
        <v>2018</v>
      </c>
      <c r="C1227" t="s">
        <v>252</v>
      </c>
      <c r="D1227" t="s">
        <v>254</v>
      </c>
      <c r="E1227" t="s">
        <v>256</v>
      </c>
      <c r="F1227" s="5" t="s">
        <v>123</v>
      </c>
      <c r="G1227" s="7">
        <v>76112</v>
      </c>
      <c r="H1227" s="7" cm="1">
        <f t="array" ref="H1227">_xlfn.IFS(B1227=2015,L1227*$P$3,B1227=2016,L1227*$P$4,B1227=2017,L1227*$P$5,B1227=2018,L1227*$P$6,B1227=2019,L1227*$P$7,B1227=2020,L1227*$P$8,B1227=2021,L1227*$P$9,B1227=2022,L1227*$P$10)</f>
        <v>2085.5440402821068</v>
      </c>
      <c r="I1227" s="7">
        <f t="shared" si="41"/>
        <v>78197.544040282111</v>
      </c>
      <c r="J1227">
        <f>IFERROR(VLOOKUP(F1227,'LEAID Match'!$A$2:$B$227,2,FALSE),"")</f>
        <v>3880480</v>
      </c>
      <c r="K1227">
        <f t="shared" si="40"/>
        <v>8</v>
      </c>
      <c r="L1227" cm="1">
        <f t="array" ref="L1227">_xlfn.IFS(B1227=2015,G1227/$P$13,B1227=2016,G1227/$P$14,B1227=2017,G1227/$P$15,B1227=2018,G1227/$P$16,B1227=2019,G1227/$P$17,B1227=2019,G1227/$P$18,B1227=2020,G1227/$P$18,B1227=2021,G1227/$P$19,B1227=2022,G1227/$P$20)</f>
        <v>8.7812380643457122E-4</v>
      </c>
    </row>
    <row r="1228" spans="1:12" x14ac:dyDescent="0.2">
      <c r="A1228">
        <v>3880480</v>
      </c>
      <c r="B1228">
        <v>2019</v>
      </c>
      <c r="C1228" t="s">
        <v>252</v>
      </c>
      <c r="D1228" t="s">
        <v>254</v>
      </c>
      <c r="E1228" t="s">
        <v>256</v>
      </c>
      <c r="F1228" s="5" t="s">
        <v>123</v>
      </c>
      <c r="G1228" s="7">
        <v>68127</v>
      </c>
      <c r="H1228" s="7" cm="1">
        <f t="array" ref="H1228">_xlfn.IFS(B1228=2015,L1228*$P$3,B1228=2016,L1228*$P$4,B1228=2017,L1228*$P$5,B1228=2018,L1228*$P$6,B1228=2019,L1228*$P$7,B1228=2020,L1228*$P$8,B1228=2021,L1228*$P$9,B1228=2022,L1228*$P$10)</f>
        <v>1581.2157386761544</v>
      </c>
      <c r="I1228" s="7">
        <f t="shared" si="41"/>
        <v>69708.215738676154</v>
      </c>
      <c r="J1228">
        <f>IFERROR(VLOOKUP(F1228,'LEAID Match'!$A$2:$B$227,2,FALSE),"")</f>
        <v>3880480</v>
      </c>
      <c r="K1228">
        <f t="shared" si="40"/>
        <v>8</v>
      </c>
      <c r="L1228" cm="1">
        <f t="array" ref="L1228">_xlfn.IFS(B1228=2015,G1228/$P$13,B1228=2016,G1228/$P$14,B1228=2017,G1228/$P$15,B1228=2018,G1228/$P$16,B1228=2019,G1228/$P$17,B1228=2019,G1228/$P$18,B1228=2020,G1228/$P$18,B1228=2021,G1228/$P$19,B1228=2022,G1228/$P$20)</f>
        <v>7.6166461400585474E-4</v>
      </c>
    </row>
    <row r="1229" spans="1:12" x14ac:dyDescent="0.2">
      <c r="A1229">
        <v>3880480</v>
      </c>
      <c r="B1229">
        <v>2020</v>
      </c>
      <c r="C1229" t="s">
        <v>252</v>
      </c>
      <c r="D1229" t="s">
        <v>254</v>
      </c>
      <c r="E1229" t="s">
        <v>256</v>
      </c>
      <c r="F1229" s="5" t="s">
        <v>123</v>
      </c>
      <c r="G1229" s="7">
        <v>85307</v>
      </c>
      <c r="H1229" s="7" cm="1">
        <f t="array" ref="H1229">_xlfn.IFS(B1229=2015,L1229*$P$3,B1229=2016,L1229*$P$4,B1229=2017,L1229*$P$5,B1229=2018,L1229*$P$6,B1229=2019,L1229*$P$7,B1229=2020,L1229*$P$8,B1229=2021,L1229*$P$9,B1229=2022,L1229*$P$10)</f>
        <v>2140.1835690507069</v>
      </c>
      <c r="I1229" s="7">
        <f t="shared" si="41"/>
        <v>87447.183569050714</v>
      </c>
      <c r="J1229">
        <f>IFERROR(VLOOKUP(F1229,'LEAID Match'!$A$2:$B$227,2,FALSE),"")</f>
        <v>3880480</v>
      </c>
      <c r="K1229">
        <f t="shared" si="40"/>
        <v>8</v>
      </c>
      <c r="L1229" cm="1">
        <f t="array" ref="L1229">_xlfn.IFS(B1229=2015,G1229/$P$13,B1229=2016,G1229/$P$14,B1229=2017,G1229/$P$15,B1229=2018,G1229/$P$16,B1229=2019,G1229/$P$17,B1229=2019,G1229/$P$18,B1229=2020,G1229/$P$18,B1229=2021,G1229/$P$19,B1229=2022,G1229/$P$20)</f>
        <v>9.1695954115283073E-4</v>
      </c>
    </row>
    <row r="1230" spans="1:12" x14ac:dyDescent="0.2">
      <c r="A1230">
        <v>3880480</v>
      </c>
      <c r="B1230" s="5">
        <v>2021</v>
      </c>
      <c r="C1230" t="s">
        <v>252</v>
      </c>
      <c r="D1230" t="s">
        <v>254</v>
      </c>
      <c r="E1230" t="s">
        <v>256</v>
      </c>
      <c r="F1230" s="5" t="s">
        <v>123</v>
      </c>
      <c r="G1230" s="7">
        <v>90005</v>
      </c>
      <c r="H1230" s="7" cm="1">
        <f t="array" ref="H1230">_xlfn.IFS(B1230=2015,L1230*$P$3,B1230=2016,L1230*$P$4,B1230=2017,L1230*$P$5,B1230=2018,L1230*$P$6,B1230=2019,L1230*$P$7,B1230=2020,L1230*$P$8,B1230=2021,L1230*$P$9,B1230=2022,L1230*$P$10)</f>
        <v>2459.3230316235395</v>
      </c>
      <c r="I1230" s="7">
        <f t="shared" si="41"/>
        <v>92464.323031623542</v>
      </c>
      <c r="J1230">
        <f>IFERROR(VLOOKUP(F1230,'LEAID Match'!$A$2:$B$227,2,FALSE),"")</f>
        <v>3880480</v>
      </c>
      <c r="K1230">
        <f t="shared" si="40"/>
        <v>8</v>
      </c>
      <c r="L1230" cm="1">
        <f t="array" ref="L1230">_xlfn.IFS(B1230=2015,G1230/$P$13,B1230=2016,G1230/$P$14,B1230=2017,G1230/$P$15,B1230=2018,G1230/$P$16,B1230=2019,G1230/$P$17,B1230=2019,G1230/$P$18,B1230=2020,G1230/$P$18,B1230=2021,G1230/$P$19,B1230=2022,G1230/$P$20)</f>
        <v>9.1594898756928848E-4</v>
      </c>
    </row>
    <row r="1231" spans="1:12" x14ac:dyDescent="0.2">
      <c r="A1231">
        <v>3880480</v>
      </c>
      <c r="B1231">
        <v>2022</v>
      </c>
      <c r="C1231" t="s">
        <v>252</v>
      </c>
      <c r="D1231" t="s">
        <v>254</v>
      </c>
      <c r="E1231" t="s">
        <v>256</v>
      </c>
      <c r="F1231" s="5" t="s">
        <v>123</v>
      </c>
      <c r="G1231" s="7">
        <v>92298</v>
      </c>
      <c r="H1231" s="7" cm="1">
        <f t="array" ref="H1231">_xlfn.IFS(B1231=2015,L1231*$P$3,B1231=2016,L1231*$P$4,B1231=2017,L1231*$P$5,B1231=2018,L1231*$P$6,B1231=2019,L1231*$P$7,B1231=2020,L1231*$P$8,B1231=2021,L1231*$P$9,B1231=2022,L1231*$P$10)</f>
        <v>1878.5008601100767</v>
      </c>
      <c r="I1231" s="7">
        <f t="shared" si="41"/>
        <v>94176.500860110071</v>
      </c>
      <c r="J1231">
        <f>IFERROR(VLOOKUP(F1231,'LEAID Match'!$A$2:$B$227,2,FALSE),"")</f>
        <v>3880480</v>
      </c>
      <c r="K1231">
        <f t="shared" si="40"/>
        <v>8</v>
      </c>
      <c r="L1231" cm="1">
        <f t="array" ref="L1231">_xlfn.IFS(B1231=2015,G1231/$P$13,B1231=2016,G1231/$P$14,B1231=2017,G1231/$P$15,B1231=2018,G1231/$P$16,B1231=2019,G1231/$P$17,B1231=2019,G1231/$P$18,B1231=2020,G1231/$P$18,B1231=2021,G1231/$P$19,B1231=2022,G1231/$P$20)</f>
        <v>9.1993186097457237E-4</v>
      </c>
    </row>
    <row r="1232" spans="1:12" x14ac:dyDescent="0.2">
      <c r="A1232">
        <v>3880200</v>
      </c>
      <c r="B1232">
        <v>2022</v>
      </c>
      <c r="C1232" t="s">
        <v>252</v>
      </c>
      <c r="D1232" t="s">
        <v>254</v>
      </c>
      <c r="E1232" t="s">
        <v>256</v>
      </c>
      <c r="F1232" s="5" t="s">
        <v>124</v>
      </c>
      <c r="G1232" s="7">
        <v>16607</v>
      </c>
      <c r="H1232" s="7" cm="1">
        <f t="array" ref="H1232">_xlfn.IFS(B1232=2015,L1232*$P$3,B1232=2016,L1232*$P$4,B1232=2017,L1232*$P$5,B1232=2018,L1232*$P$6,B1232=2019,L1232*$P$7,B1232=2020,L1232*$P$8,B1232=2021,L1232*$P$9,B1232=2022,L1232*$P$10)</f>
        <v>337.99501380146961</v>
      </c>
      <c r="I1232" s="7">
        <f t="shared" si="41"/>
        <v>16944.995013801468</v>
      </c>
      <c r="J1232">
        <f>IFERROR(VLOOKUP(F1232,'LEAID Match'!$A$2:$B$227,2,FALSE),"")</f>
        <v>3880200</v>
      </c>
      <c r="K1232">
        <f t="shared" si="40"/>
        <v>8</v>
      </c>
      <c r="L1232" cm="1">
        <f t="array" ref="L1232">_xlfn.IFS(B1232=2015,G1232/$P$13,B1232=2016,G1232/$P$14,B1232=2017,G1232/$P$15,B1232=2018,G1232/$P$16,B1232=2019,G1232/$P$17,B1232=2019,G1232/$P$18,B1232=2020,G1232/$P$18,B1232=2021,G1232/$P$19,B1232=2022,G1232/$P$20)</f>
        <v>1.655215542612486E-4</v>
      </c>
    </row>
    <row r="1233" spans="1:12" x14ac:dyDescent="0.2">
      <c r="A1233">
        <v>3880200</v>
      </c>
      <c r="B1233">
        <v>2015</v>
      </c>
      <c r="C1233" t="s">
        <v>252</v>
      </c>
      <c r="D1233" t="s">
        <v>254</v>
      </c>
      <c r="E1233" t="s">
        <v>256</v>
      </c>
      <c r="F1233" s="5" t="s">
        <v>124</v>
      </c>
      <c r="G1233" s="7">
        <v>12952</v>
      </c>
      <c r="H1233" s="7" cm="1">
        <f t="array" ref="H1233">_xlfn.IFS(B1233=2015,L1233*$P$3,B1233=2016,L1233*$P$4,B1233=2017,L1233*$P$5,B1233=2018,L1233*$P$6,B1233=2019,L1233*$P$7,B1233=2020,L1233*$P$8,B1233=2021,L1233*$P$9,B1233=2022,L1233*$P$10)</f>
        <v>292.82429315205792</v>
      </c>
      <c r="I1233" s="7">
        <f t="shared" si="41"/>
        <v>13244.824293152058</v>
      </c>
      <c r="J1233">
        <f>IFERROR(VLOOKUP(F1233,'LEAID Match'!$A$2:$B$227,2,FALSE),"")</f>
        <v>3880200</v>
      </c>
      <c r="K1233">
        <f t="shared" si="40"/>
        <v>8</v>
      </c>
      <c r="L1233" cm="1">
        <f t="array" ref="L1233">_xlfn.IFS(B1233=2015,G1233/$P$13,B1233=2016,G1233/$P$14,B1233=2017,G1233/$P$15,B1233=2018,G1233/$P$16,B1233=2019,G1233/$P$17,B1233=2019,G1233/$P$18,B1233=2020,G1233/$P$18,B1233=2021,G1233/$P$19,B1233=2022,G1233/$P$20)</f>
        <v>1.6515752574848162E-4</v>
      </c>
    </row>
    <row r="1234" spans="1:12" x14ac:dyDescent="0.2">
      <c r="A1234">
        <v>3880200</v>
      </c>
      <c r="B1234">
        <v>2016</v>
      </c>
      <c r="C1234" t="s">
        <v>252</v>
      </c>
      <c r="D1234" t="s">
        <v>254</v>
      </c>
      <c r="E1234" t="s">
        <v>256</v>
      </c>
      <c r="F1234" s="5" t="s">
        <v>124</v>
      </c>
      <c r="G1234" s="7">
        <v>13515</v>
      </c>
      <c r="H1234" s="7" cm="1">
        <f t="array" ref="H1234">_xlfn.IFS(B1234=2015,L1234*$P$3,B1234=2016,L1234*$P$4,B1234=2017,L1234*$P$5,B1234=2018,L1234*$P$6,B1234=2019,L1234*$P$7,B1234=2020,L1234*$P$8,B1234=2021,L1234*$P$9,B1234=2022,L1234*$P$10)</f>
        <v>458.92958312579952</v>
      </c>
      <c r="I1234" s="7">
        <f t="shared" si="41"/>
        <v>13973.929583125799</v>
      </c>
      <c r="J1234">
        <f>IFERROR(VLOOKUP(F1234,'LEAID Match'!$A$2:$B$227,2,FALSE),"")</f>
        <v>3880200</v>
      </c>
      <c r="K1234">
        <f t="shared" si="40"/>
        <v>8</v>
      </c>
      <c r="L1234" cm="1">
        <f t="array" ref="L1234">_xlfn.IFS(B1234=2015,G1234/$P$13,B1234=2016,G1234/$P$14,B1234=2017,G1234/$P$15,B1234=2018,G1234/$P$16,B1234=2019,G1234/$P$17,B1234=2019,G1234/$P$18,B1234=2020,G1234/$P$18,B1234=2021,G1234/$P$19,B1234=2022,G1234/$P$20)</f>
        <v>1.6314595916309973E-4</v>
      </c>
    </row>
    <row r="1235" spans="1:12" x14ac:dyDescent="0.2">
      <c r="A1235">
        <v>3880200</v>
      </c>
      <c r="B1235">
        <v>2017</v>
      </c>
      <c r="C1235" t="s">
        <v>252</v>
      </c>
      <c r="D1235" t="s">
        <v>254</v>
      </c>
      <c r="E1235" t="s">
        <v>256</v>
      </c>
      <c r="F1235" s="5" t="s">
        <v>124</v>
      </c>
      <c r="G1235" s="7">
        <v>14056</v>
      </c>
      <c r="H1235" s="7" cm="1">
        <f t="array" ref="H1235">_xlfn.IFS(B1235=2015,L1235*$P$3,B1235=2016,L1235*$P$4,B1235=2017,L1235*$P$5,B1235=2018,L1235*$P$6,B1235=2019,L1235*$P$7,B1235=2020,L1235*$P$8,B1235=2021,L1235*$P$9,B1235=2022,L1235*$P$10)</f>
        <v>455.5275614087534</v>
      </c>
      <c r="I1235" s="7">
        <f t="shared" si="41"/>
        <v>14511.527561408753</v>
      </c>
      <c r="J1235">
        <f>IFERROR(VLOOKUP(F1235,'LEAID Match'!$A$2:$B$227,2,FALSE),"")</f>
        <v>3880200</v>
      </c>
      <c r="K1235">
        <f t="shared" si="40"/>
        <v>8</v>
      </c>
      <c r="L1235" cm="1">
        <f t="array" ref="L1235">_xlfn.IFS(B1235=2015,G1235/$P$13,B1235=2016,G1235/$P$14,B1235=2017,G1235/$P$15,B1235=2018,G1235/$P$16,B1235=2019,G1235/$P$17,B1235=2019,G1235/$P$18,B1235=2020,G1235/$P$18,B1235=2021,G1235/$P$19,B1235=2022,G1235/$P$20)</f>
        <v>1.6333006862988649E-4</v>
      </c>
    </row>
    <row r="1236" spans="1:12" x14ac:dyDescent="0.2">
      <c r="A1236">
        <v>3880200</v>
      </c>
      <c r="B1236" s="5">
        <v>2018</v>
      </c>
      <c r="C1236" t="s">
        <v>252</v>
      </c>
      <c r="D1236" t="s">
        <v>254</v>
      </c>
      <c r="E1236" t="s">
        <v>256</v>
      </c>
      <c r="F1236" s="5" t="s">
        <v>124</v>
      </c>
      <c r="G1236" s="7">
        <v>15827</v>
      </c>
      <c r="H1236" s="7" cm="1">
        <f t="array" ref="H1236">_xlfn.IFS(B1236=2015,L1236*$P$3,B1236=2016,L1236*$P$4,B1236=2017,L1236*$P$5,B1236=2018,L1236*$P$6,B1236=2019,L1236*$P$7,B1236=2020,L1236*$P$8,B1236=2021,L1236*$P$9,B1236=2022,L1236*$P$10)</f>
        <v>433.6754457318807</v>
      </c>
      <c r="I1236" s="7">
        <f t="shared" si="41"/>
        <v>16260.67544573188</v>
      </c>
      <c r="J1236">
        <f>IFERROR(VLOOKUP(F1236,'LEAID Match'!$A$2:$B$227,2,FALSE),"")</f>
        <v>3880200</v>
      </c>
      <c r="K1236">
        <f t="shared" si="40"/>
        <v>8</v>
      </c>
      <c r="L1236" cm="1">
        <f t="array" ref="L1236">_xlfn.IFS(B1236=2015,G1236/$P$13,B1236=2016,G1236/$P$14,B1236=2017,G1236/$P$15,B1236=2018,G1236/$P$16,B1236=2019,G1236/$P$17,B1236=2019,G1236/$P$18,B1236=2020,G1236/$P$18,B1236=2021,G1236/$P$19,B1236=2022,G1236/$P$20)</f>
        <v>1.8260018767658135E-4</v>
      </c>
    </row>
    <row r="1237" spans="1:12" x14ac:dyDescent="0.2">
      <c r="A1237">
        <v>3880200</v>
      </c>
      <c r="B1237">
        <v>2019</v>
      </c>
      <c r="C1237" t="s">
        <v>252</v>
      </c>
      <c r="D1237" t="s">
        <v>254</v>
      </c>
      <c r="E1237" t="s">
        <v>256</v>
      </c>
      <c r="F1237" s="5" t="s">
        <v>124</v>
      </c>
      <c r="G1237" s="7">
        <v>14623</v>
      </c>
      <c r="H1237" s="7" cm="1">
        <f t="array" ref="H1237">_xlfn.IFS(B1237=2015,L1237*$P$3,B1237=2016,L1237*$P$4,B1237=2017,L1237*$P$5,B1237=2018,L1237*$P$6,B1237=2019,L1237*$P$7,B1237=2020,L1237*$P$8,B1237=2021,L1237*$P$9,B1237=2022,L1237*$P$10)</f>
        <v>339.39726902199436</v>
      </c>
      <c r="I1237" s="7">
        <f t="shared" si="41"/>
        <v>14962.397269021994</v>
      </c>
      <c r="J1237">
        <f>IFERROR(VLOOKUP(F1237,'LEAID Match'!$A$2:$B$227,2,FALSE),"")</f>
        <v>3880200</v>
      </c>
      <c r="K1237">
        <f t="shared" si="40"/>
        <v>8</v>
      </c>
      <c r="L1237" cm="1">
        <f t="array" ref="L1237">_xlfn.IFS(B1237=2015,G1237/$P$13,B1237=2016,G1237/$P$14,B1237=2017,G1237/$P$15,B1237=2018,G1237/$P$16,B1237=2019,G1237/$P$17,B1237=2019,G1237/$P$18,B1237=2020,G1237/$P$18,B1237=2021,G1237/$P$19,B1237=2022,G1237/$P$20)</f>
        <v>1.6348616041521885E-4</v>
      </c>
    </row>
    <row r="1238" spans="1:12" x14ac:dyDescent="0.2">
      <c r="A1238">
        <v>3880200</v>
      </c>
      <c r="B1238">
        <v>2020</v>
      </c>
      <c r="C1238" t="s">
        <v>252</v>
      </c>
      <c r="D1238" t="s">
        <v>254</v>
      </c>
      <c r="E1238" t="s">
        <v>256</v>
      </c>
      <c r="F1238" s="5" t="s">
        <v>124</v>
      </c>
      <c r="G1238" s="7">
        <v>16419</v>
      </c>
      <c r="H1238" s="7" cm="1">
        <f t="array" ref="H1238">_xlfn.IFS(B1238=2015,L1238*$P$3,B1238=2016,L1238*$P$4,B1238=2017,L1238*$P$5,B1238=2018,L1238*$P$6,B1238=2019,L1238*$P$7,B1238=2020,L1238*$P$8,B1238=2021,L1238*$P$9,B1238=2022,L1238*$P$10)</f>
        <v>411.92017091497246</v>
      </c>
      <c r="I1238" s="7">
        <f t="shared" si="41"/>
        <v>16830.920170914971</v>
      </c>
      <c r="J1238">
        <f>IFERROR(VLOOKUP(F1238,'LEAID Match'!$A$2:$B$227,2,FALSE),"")</f>
        <v>3880200</v>
      </c>
      <c r="K1238">
        <f t="shared" si="40"/>
        <v>8</v>
      </c>
      <c r="L1238" cm="1">
        <f t="array" ref="L1238">_xlfn.IFS(B1238=2015,G1238/$P$13,B1238=2016,G1238/$P$14,B1238=2017,G1238/$P$15,B1238=2018,G1238/$P$16,B1238=2019,G1238/$P$17,B1238=2019,G1238/$P$18,B1238=2020,G1238/$P$18,B1238=2021,G1238/$P$19,B1238=2022,G1238/$P$20)</f>
        <v>1.7648679130889995E-4</v>
      </c>
    </row>
    <row r="1239" spans="1:12" x14ac:dyDescent="0.2">
      <c r="A1239">
        <v>3880200</v>
      </c>
      <c r="B1239" s="5">
        <v>2021</v>
      </c>
      <c r="C1239" t="s">
        <v>252</v>
      </c>
      <c r="D1239" t="s">
        <v>254</v>
      </c>
      <c r="E1239" t="s">
        <v>256</v>
      </c>
      <c r="F1239" s="5" t="s">
        <v>124</v>
      </c>
      <c r="G1239" s="7">
        <v>16877</v>
      </c>
      <c r="H1239" s="7" cm="1">
        <f t="array" ref="H1239">_xlfn.IFS(B1239=2015,L1239*$P$3,B1239=2016,L1239*$P$4,B1239=2017,L1239*$P$5,B1239=2018,L1239*$P$6,B1239=2019,L1239*$P$7,B1239=2020,L1239*$P$8,B1239=2021,L1239*$P$9,B1239=2022,L1239*$P$10)</f>
        <v>461.1521004912002</v>
      </c>
      <c r="I1239" s="7">
        <f t="shared" si="41"/>
        <v>17338.152100491199</v>
      </c>
      <c r="J1239">
        <f>IFERROR(VLOOKUP(F1239,'LEAID Match'!$A$2:$B$227,2,FALSE),"")</f>
        <v>3880200</v>
      </c>
      <c r="K1239">
        <f t="shared" si="40"/>
        <v>8</v>
      </c>
      <c r="L1239" cm="1">
        <f t="array" ref="L1239">_xlfn.IFS(B1239=2015,G1239/$P$13,B1239=2016,G1239/$P$14,B1239=2017,G1239/$P$15,B1239=2018,G1239/$P$16,B1239=2019,G1239/$P$17,B1239=2019,G1239/$P$18,B1239=2020,G1239/$P$18,B1239=2021,G1239/$P$19,B1239=2022,G1239/$P$20)</f>
        <v>1.7175124785519561E-4</v>
      </c>
    </row>
    <row r="1240" spans="1:12" x14ac:dyDescent="0.2">
      <c r="A1240">
        <v>3815150</v>
      </c>
      <c r="B1240">
        <v>2020</v>
      </c>
      <c r="C1240" t="s">
        <v>252</v>
      </c>
      <c r="D1240" t="s">
        <v>254</v>
      </c>
      <c r="E1240" t="s">
        <v>256</v>
      </c>
      <c r="F1240" s="5" t="s">
        <v>216</v>
      </c>
      <c r="G1240" s="7">
        <v>112166</v>
      </c>
      <c r="H1240" s="7" cm="1">
        <f t="array" ref="H1240">_xlfn.IFS(B1240=2015,L1240*$P$3,B1240=2016,L1240*$P$4,B1240=2017,L1240*$P$5,B1240=2018,L1240*$P$6,B1240=2019,L1240*$P$7,B1240=2020,L1240*$P$8,B1240=2021,L1240*$P$9,B1240=2022,L1240*$P$10)</f>
        <v>2814.0226500303797</v>
      </c>
      <c r="I1240" s="7">
        <f t="shared" si="41"/>
        <v>114980.02265003038</v>
      </c>
      <c r="J1240">
        <f>IFERROR(VLOOKUP(F1240,'LEAID Match'!$A$2:$B$227,2,FALSE),"")</f>
        <v>3815150</v>
      </c>
      <c r="K1240">
        <f t="shared" si="40"/>
        <v>8</v>
      </c>
      <c r="L1240" cm="1">
        <f t="array" ref="L1240">_xlfn.IFS(B1240=2015,G1240/$P$13,B1240=2016,G1240/$P$14,B1240=2017,G1240/$P$15,B1240=2018,G1240/$P$16,B1240=2019,G1240/$P$17,B1240=2019,G1240/$P$18,B1240=2020,G1240/$P$18,B1240=2021,G1240/$P$19,B1240=2022,G1240/$P$20)</f>
        <v>1.205665231375484E-3</v>
      </c>
    </row>
    <row r="1241" spans="1:12" x14ac:dyDescent="0.2">
      <c r="A1241">
        <v>3815150</v>
      </c>
      <c r="B1241">
        <v>2015</v>
      </c>
      <c r="C1241" t="s">
        <v>252</v>
      </c>
      <c r="D1241" t="s">
        <v>254</v>
      </c>
      <c r="E1241" t="s">
        <v>256</v>
      </c>
      <c r="F1241" s="5" t="s">
        <v>216</v>
      </c>
      <c r="G1241" s="7">
        <v>98293</v>
      </c>
      <c r="H1241" s="7" cm="1">
        <f t="array" ref="H1241">_xlfn.IFS(B1241=2015,L1241*$P$3,B1241=2016,L1241*$P$4,B1241=2017,L1241*$P$5,B1241=2018,L1241*$P$6,B1241=2019,L1241*$P$7,B1241=2020,L1241*$P$8,B1241=2021,L1241*$P$9,B1241=2022,L1241*$P$10)</f>
        <v>2222.2497102219909</v>
      </c>
      <c r="I1241" s="7">
        <f t="shared" si="41"/>
        <v>100515.24971022199</v>
      </c>
      <c r="J1241">
        <f>IFERROR(VLOOKUP(F1241,'LEAID Match'!$A$2:$B$227,2,FALSE),"")</f>
        <v>3815150</v>
      </c>
      <c r="K1241">
        <f t="shared" si="40"/>
        <v>8</v>
      </c>
      <c r="L1241" cm="1">
        <f t="array" ref="L1241">_xlfn.IFS(B1241=2015,G1241/$P$13,B1241=2016,G1241/$P$14,B1241=2017,G1241/$P$15,B1241=2018,G1241/$P$16,B1241=2019,G1241/$P$17,B1241=2019,G1241/$P$18,B1241=2020,G1241/$P$18,B1241=2021,G1241/$P$19,B1241=2022,G1241/$P$20)</f>
        <v>1.2533839313152797E-3</v>
      </c>
    </row>
    <row r="1242" spans="1:12" x14ac:dyDescent="0.2">
      <c r="A1242">
        <v>3815150</v>
      </c>
      <c r="B1242">
        <v>2016</v>
      </c>
      <c r="C1242" t="s">
        <v>252</v>
      </c>
      <c r="D1242" t="s">
        <v>254</v>
      </c>
      <c r="E1242" t="s">
        <v>256</v>
      </c>
      <c r="F1242" s="5" t="s">
        <v>216</v>
      </c>
      <c r="G1242" s="7">
        <v>105124</v>
      </c>
      <c r="H1242" s="7" cm="1">
        <f t="array" ref="H1242">_xlfn.IFS(B1242=2015,L1242*$P$3,B1242=2016,L1242*$P$4,B1242=2017,L1242*$P$5,B1242=2018,L1242*$P$6,B1242=2019,L1242*$P$7,B1242=2020,L1242*$P$8,B1242=2021,L1242*$P$9,B1242=2022,L1242*$P$10)</f>
        <v>3569.7013315957493</v>
      </c>
      <c r="I1242" s="7">
        <f t="shared" si="41"/>
        <v>108693.70133159574</v>
      </c>
      <c r="J1242">
        <f>IFERROR(VLOOKUP(F1242,'LEAID Match'!$A$2:$B$227,2,FALSE),"")</f>
        <v>3815150</v>
      </c>
      <c r="K1242">
        <f t="shared" si="40"/>
        <v>8</v>
      </c>
      <c r="L1242" cm="1">
        <f t="array" ref="L1242">_xlfn.IFS(B1242=2015,G1242/$P$13,B1242=2016,G1242/$P$14,B1242=2017,G1242/$P$15,B1242=2018,G1242/$P$16,B1242=2019,G1242/$P$17,B1242=2019,G1242/$P$18,B1242=2020,G1242/$P$18,B1242=2021,G1242/$P$19,B1242=2022,G1242/$P$20)</f>
        <v>1.2690015398491821E-3</v>
      </c>
    </row>
    <row r="1243" spans="1:12" x14ac:dyDescent="0.2">
      <c r="A1243">
        <v>3815150</v>
      </c>
      <c r="B1243">
        <v>2017</v>
      </c>
      <c r="C1243" t="s">
        <v>252</v>
      </c>
      <c r="D1243" t="s">
        <v>254</v>
      </c>
      <c r="E1243" t="s">
        <v>256</v>
      </c>
      <c r="F1243" s="5" t="s">
        <v>216</v>
      </c>
      <c r="G1243" s="7">
        <v>108610</v>
      </c>
      <c r="H1243" s="7" cm="1">
        <f t="array" ref="H1243">_xlfn.IFS(B1243=2015,L1243*$P$3,B1243=2016,L1243*$P$4,B1243=2017,L1243*$P$5,B1243=2018,L1243*$P$6,B1243=2019,L1243*$P$7,B1243=2020,L1243*$P$8,B1243=2021,L1243*$P$9,B1243=2022,L1243*$P$10)</f>
        <v>3519.8383924733002</v>
      </c>
      <c r="I1243" s="7">
        <f t="shared" si="41"/>
        <v>112129.83839247331</v>
      </c>
      <c r="J1243">
        <f>IFERROR(VLOOKUP(F1243,'LEAID Match'!$A$2:$B$227,2,FALSE),"")</f>
        <v>3815150</v>
      </c>
      <c r="K1243">
        <f t="shared" si="40"/>
        <v>8</v>
      </c>
      <c r="L1243" cm="1">
        <f t="array" ref="L1243">_xlfn.IFS(B1243=2015,G1243/$P$13,B1243=2016,G1243/$P$14,B1243=2017,G1243/$P$15,B1243=2018,G1243/$P$16,B1243=2019,G1243/$P$17,B1243=2019,G1243/$P$18,B1243=2020,G1243/$P$18,B1243=2021,G1243/$P$19,B1243=2022,G1243/$P$20)</f>
        <v>1.2620431668961278E-3</v>
      </c>
    </row>
    <row r="1244" spans="1:12" x14ac:dyDescent="0.2">
      <c r="A1244">
        <v>3815150</v>
      </c>
      <c r="B1244" s="5">
        <v>2018</v>
      </c>
      <c r="C1244" t="s">
        <v>252</v>
      </c>
      <c r="D1244" t="s">
        <v>254</v>
      </c>
      <c r="E1244" t="s">
        <v>256</v>
      </c>
      <c r="F1244" s="5" t="s">
        <v>216</v>
      </c>
      <c r="G1244" s="7">
        <v>106956</v>
      </c>
      <c r="H1244" s="7" cm="1">
        <f t="array" ref="H1244">_xlfn.IFS(B1244=2015,L1244*$P$3,B1244=2016,L1244*$P$4,B1244=2017,L1244*$P$5,B1244=2018,L1244*$P$6,B1244=2019,L1244*$P$7,B1244=2020,L1244*$P$8,B1244=2021,L1244*$P$9,B1244=2022,L1244*$P$10)</f>
        <v>2930.7001310228743</v>
      </c>
      <c r="I1244" s="7">
        <f t="shared" si="41"/>
        <v>109886.70013102288</v>
      </c>
      <c r="J1244">
        <f>IFERROR(VLOOKUP(F1244,'LEAID Match'!$A$2:$B$227,2,FALSE),"")</f>
        <v>3815150</v>
      </c>
      <c r="K1244">
        <f t="shared" si="40"/>
        <v>8</v>
      </c>
      <c r="L1244" cm="1">
        <f t="array" ref="L1244">_xlfn.IFS(B1244=2015,G1244/$P$13,B1244=2016,G1244/$P$14,B1244=2017,G1244/$P$15,B1244=2018,G1244/$P$16,B1244=2019,G1244/$P$17,B1244=2019,G1244/$P$18,B1244=2020,G1244/$P$18,B1244=2021,G1244/$P$19,B1244=2022,G1244/$P$20)</f>
        <v>1.233979002535947E-3</v>
      </c>
    </row>
    <row r="1245" spans="1:12" x14ac:dyDescent="0.2">
      <c r="A1245">
        <v>3815150</v>
      </c>
      <c r="B1245">
        <v>2019</v>
      </c>
      <c r="C1245" t="s">
        <v>252</v>
      </c>
      <c r="D1245" t="s">
        <v>254</v>
      </c>
      <c r="E1245" t="s">
        <v>256</v>
      </c>
      <c r="F1245" s="5" t="s">
        <v>216</v>
      </c>
      <c r="G1245" s="7">
        <v>96481</v>
      </c>
      <c r="H1245" s="7" cm="1">
        <f t="array" ref="H1245">_xlfn.IFS(B1245=2015,L1245*$P$3,B1245=2016,L1245*$P$4,B1245=2017,L1245*$P$5,B1245=2018,L1245*$P$6,B1245=2019,L1245*$P$7,B1245=2020,L1245*$P$8,B1245=2021,L1245*$P$9,B1245=2022,L1245*$P$10)</f>
        <v>2239.3071129392761</v>
      </c>
      <c r="I1245" s="7">
        <f t="shared" si="41"/>
        <v>98720.307112939277</v>
      </c>
      <c r="J1245">
        <f>IFERROR(VLOOKUP(F1245,'LEAID Match'!$A$2:$B$227,2,FALSE),"")</f>
        <v>3815150</v>
      </c>
      <c r="K1245">
        <f t="shared" si="40"/>
        <v>8</v>
      </c>
      <c r="L1245" cm="1">
        <f t="array" ref="L1245">_xlfn.IFS(B1245=2015,G1245/$P$13,B1245=2016,G1245/$P$14,B1245=2017,G1245/$P$15,B1245=2018,G1245/$P$16,B1245=2019,G1245/$P$17,B1245=2019,G1245/$P$18,B1245=2020,G1245/$P$18,B1245=2021,G1245/$P$19,B1245=2022,G1245/$P$20)</f>
        <v>1.0786643125911734E-3</v>
      </c>
    </row>
    <row r="1246" spans="1:12" x14ac:dyDescent="0.2">
      <c r="A1246">
        <v>3815150</v>
      </c>
      <c r="B1246" s="5">
        <v>2021</v>
      </c>
      <c r="C1246" t="s">
        <v>252</v>
      </c>
      <c r="D1246" t="s">
        <v>254</v>
      </c>
      <c r="E1246" t="s">
        <v>256</v>
      </c>
      <c r="F1246" s="5" t="s">
        <v>216</v>
      </c>
      <c r="G1246" s="7">
        <v>118866</v>
      </c>
      <c r="H1246" s="7" cm="1">
        <f t="array" ref="H1246">_xlfn.IFS(B1246=2015,L1246*$P$3,B1246=2016,L1246*$P$4,B1246=2017,L1246*$P$5,B1246=2018,L1246*$P$6,B1246=2019,L1246*$P$7,B1246=2020,L1246*$P$8,B1246=2021,L1246*$P$9,B1246=2022,L1246*$P$10)</f>
        <v>3247.9294647737752</v>
      </c>
      <c r="I1246" s="7">
        <f t="shared" si="41"/>
        <v>122113.92946477377</v>
      </c>
      <c r="J1246">
        <f>IFERROR(VLOOKUP(F1246,'LEAID Match'!$A$2:$B$227,2,FALSE),"")</f>
        <v>3815150</v>
      </c>
      <c r="K1246">
        <f t="shared" si="40"/>
        <v>8</v>
      </c>
      <c r="L1246" cm="1">
        <f t="array" ref="L1246">_xlfn.IFS(B1246=2015,G1246/$P$13,B1246=2016,G1246/$P$14,B1246=2017,G1246/$P$15,B1246=2018,G1246/$P$16,B1246=2019,G1246/$P$17,B1246=2019,G1246/$P$18,B1246=2020,G1246/$P$18,B1246=2021,G1246/$P$19,B1246=2022,G1246/$P$20)</f>
        <v>1.2096571563403259E-3</v>
      </c>
    </row>
    <row r="1247" spans="1:12" x14ac:dyDescent="0.2">
      <c r="A1247">
        <v>3815150</v>
      </c>
      <c r="B1247">
        <v>2022</v>
      </c>
      <c r="C1247" t="s">
        <v>252</v>
      </c>
      <c r="D1247" t="s">
        <v>254</v>
      </c>
      <c r="E1247" t="s">
        <v>256</v>
      </c>
      <c r="F1247" s="5" t="s">
        <v>216</v>
      </c>
      <c r="G1247" s="7">
        <v>121327</v>
      </c>
      <c r="H1247" s="7" cm="1">
        <f t="array" ref="H1247">_xlfn.IFS(B1247=2015,L1247*$P$3,B1247=2016,L1247*$P$4,B1247=2017,L1247*$P$5,B1247=2018,L1247*$P$6,B1247=2019,L1247*$P$7,B1247=2020,L1247*$P$8,B1247=2021,L1247*$P$9,B1247=2022,L1247*$P$10)</f>
        <v>2469.3154115427778</v>
      </c>
      <c r="I1247" s="7">
        <f t="shared" si="41"/>
        <v>123796.31541154278</v>
      </c>
      <c r="J1247">
        <f>IFERROR(VLOOKUP(F1247,'LEAID Match'!$A$2:$B$227,2,FALSE),"")</f>
        <v>3815150</v>
      </c>
      <c r="K1247">
        <f t="shared" si="40"/>
        <v>8</v>
      </c>
      <c r="L1247" cm="1">
        <f t="array" ref="L1247">_xlfn.IFS(B1247=2015,G1247/$P$13,B1247=2016,G1247/$P$14,B1247=2017,G1247/$P$15,B1247=2018,G1247/$P$16,B1247=2019,G1247/$P$17,B1247=2019,G1247/$P$18,B1247=2020,G1247/$P$18,B1247=2021,G1247/$P$19,B1247=2022,G1247/$P$20)</f>
        <v>1.209263179012134E-3</v>
      </c>
    </row>
    <row r="1248" spans="1:12" x14ac:dyDescent="0.2">
      <c r="A1248">
        <v>3815360</v>
      </c>
      <c r="B1248">
        <v>2015</v>
      </c>
      <c r="C1248" t="s">
        <v>252</v>
      </c>
      <c r="D1248" t="s">
        <v>254</v>
      </c>
      <c r="E1248" t="s">
        <v>256</v>
      </c>
      <c r="F1248" s="5" t="s">
        <v>125</v>
      </c>
      <c r="G1248" s="5"/>
      <c r="H1248" s="7" cm="1">
        <f t="array" ref="H1248">_xlfn.IFS(B1248=2015,L1248*$P$3,B1248=2016,L1248*$P$4,B1248=2017,L1248*$P$5,B1248=2018,L1248*$P$6,B1248=2019,L1248*$P$7,B1248=2020,L1248*$P$8,B1248=2021,L1248*$P$9,B1248=2022,L1248*$P$10)</f>
        <v>0</v>
      </c>
      <c r="I1248" s="7">
        <f t="shared" si="41"/>
        <v>0</v>
      </c>
      <c r="J1248">
        <f>IFERROR(VLOOKUP(F1248,'LEAID Match'!$A$2:$B$227,2,FALSE),"")</f>
        <v>3815360</v>
      </c>
      <c r="K1248">
        <f t="shared" si="40"/>
        <v>7</v>
      </c>
      <c r="L1248" cm="1">
        <f t="array" ref="L1248">_xlfn.IFS(B1248=2015,G1248/$P$13,B1248=2016,G1248/$P$14,B1248=2017,G1248/$P$15,B1248=2018,G1248/$P$16,B1248=2019,G1248/$P$17,B1248=2019,G1248/$P$18,B1248=2020,G1248/$P$18,B1248=2021,G1248/$P$19,B1248=2022,G1248/$P$20)</f>
        <v>0</v>
      </c>
    </row>
    <row r="1249" spans="1:12" x14ac:dyDescent="0.2">
      <c r="A1249">
        <v>3815360</v>
      </c>
      <c r="B1249">
        <v>2016</v>
      </c>
      <c r="C1249" t="s">
        <v>252</v>
      </c>
      <c r="D1249" t="s">
        <v>254</v>
      </c>
      <c r="E1249" t="s">
        <v>256</v>
      </c>
      <c r="F1249" s="5" t="s">
        <v>125</v>
      </c>
      <c r="G1249" s="5"/>
      <c r="H1249" s="7" cm="1">
        <f t="array" ref="H1249">_xlfn.IFS(B1249=2015,L1249*$P$3,B1249=2016,L1249*$P$4,B1249=2017,L1249*$P$5,B1249=2018,L1249*$P$6,B1249=2019,L1249*$P$7,B1249=2020,L1249*$P$8,B1249=2021,L1249*$P$9,B1249=2022,L1249*$P$10)</f>
        <v>0</v>
      </c>
      <c r="I1249" s="7">
        <f t="shared" si="41"/>
        <v>0</v>
      </c>
      <c r="J1249">
        <f>IFERROR(VLOOKUP(F1249,'LEAID Match'!$A$2:$B$227,2,FALSE),"")</f>
        <v>3815360</v>
      </c>
      <c r="K1249">
        <f t="shared" si="40"/>
        <v>7</v>
      </c>
      <c r="L1249" cm="1">
        <f t="array" ref="L1249">_xlfn.IFS(B1249=2015,G1249/$P$13,B1249=2016,G1249/$P$14,B1249=2017,G1249/$P$15,B1249=2018,G1249/$P$16,B1249=2019,G1249/$P$17,B1249=2019,G1249/$P$18,B1249=2020,G1249/$P$18,B1249=2021,G1249/$P$19,B1249=2022,G1249/$P$20)</f>
        <v>0</v>
      </c>
    </row>
    <row r="1250" spans="1:12" x14ac:dyDescent="0.2">
      <c r="A1250">
        <v>3815360</v>
      </c>
      <c r="B1250">
        <v>2017</v>
      </c>
      <c r="C1250" t="s">
        <v>252</v>
      </c>
      <c r="D1250" t="s">
        <v>254</v>
      </c>
      <c r="E1250" t="s">
        <v>256</v>
      </c>
      <c r="F1250" s="5" t="s">
        <v>125</v>
      </c>
      <c r="G1250" s="5"/>
      <c r="H1250" s="7" cm="1">
        <f t="array" ref="H1250">_xlfn.IFS(B1250=2015,L1250*$P$3,B1250=2016,L1250*$P$4,B1250=2017,L1250*$P$5,B1250=2018,L1250*$P$6,B1250=2019,L1250*$P$7,B1250=2020,L1250*$P$8,B1250=2021,L1250*$P$9,B1250=2022,L1250*$P$10)</f>
        <v>0</v>
      </c>
      <c r="I1250" s="7">
        <f t="shared" si="41"/>
        <v>0</v>
      </c>
      <c r="J1250">
        <f>IFERROR(VLOOKUP(F1250,'LEAID Match'!$A$2:$B$227,2,FALSE),"")</f>
        <v>3815360</v>
      </c>
      <c r="K1250">
        <f t="shared" si="40"/>
        <v>7</v>
      </c>
      <c r="L1250" cm="1">
        <f t="array" ref="L1250">_xlfn.IFS(B1250=2015,G1250/$P$13,B1250=2016,G1250/$P$14,B1250=2017,G1250/$P$15,B1250=2018,G1250/$P$16,B1250=2019,G1250/$P$17,B1250=2019,G1250/$P$18,B1250=2020,G1250/$P$18,B1250=2021,G1250/$P$19,B1250=2022,G1250/$P$20)</f>
        <v>0</v>
      </c>
    </row>
    <row r="1251" spans="1:12" x14ac:dyDescent="0.2">
      <c r="A1251">
        <v>3815360</v>
      </c>
      <c r="B1251" s="5">
        <v>2018</v>
      </c>
      <c r="C1251" t="s">
        <v>252</v>
      </c>
      <c r="D1251" t="s">
        <v>254</v>
      </c>
      <c r="E1251" t="s">
        <v>256</v>
      </c>
      <c r="F1251" s="5" t="s">
        <v>125</v>
      </c>
      <c r="G1251" s="5"/>
      <c r="H1251" s="7" cm="1">
        <f t="array" ref="H1251">_xlfn.IFS(B1251=2015,L1251*$P$3,B1251=2016,L1251*$P$4,B1251=2017,L1251*$P$5,B1251=2018,L1251*$P$6,B1251=2019,L1251*$P$7,B1251=2020,L1251*$P$8,B1251=2021,L1251*$P$9,B1251=2022,L1251*$P$10)</f>
        <v>0</v>
      </c>
      <c r="I1251" s="7">
        <f t="shared" si="41"/>
        <v>0</v>
      </c>
      <c r="J1251">
        <f>IFERROR(VLOOKUP(F1251,'LEAID Match'!$A$2:$B$227,2,FALSE),"")</f>
        <v>3815360</v>
      </c>
      <c r="K1251">
        <f t="shared" si="40"/>
        <v>7</v>
      </c>
      <c r="L1251" cm="1">
        <f t="array" ref="L1251">_xlfn.IFS(B1251=2015,G1251/$P$13,B1251=2016,G1251/$P$14,B1251=2017,G1251/$P$15,B1251=2018,G1251/$P$16,B1251=2019,G1251/$P$17,B1251=2019,G1251/$P$18,B1251=2020,G1251/$P$18,B1251=2021,G1251/$P$19,B1251=2022,G1251/$P$20)</f>
        <v>0</v>
      </c>
    </row>
    <row r="1252" spans="1:12" x14ac:dyDescent="0.2">
      <c r="A1252">
        <v>3815360</v>
      </c>
      <c r="B1252">
        <v>2019</v>
      </c>
      <c r="C1252" t="s">
        <v>252</v>
      </c>
      <c r="D1252" t="s">
        <v>254</v>
      </c>
      <c r="E1252" t="s">
        <v>256</v>
      </c>
      <c r="F1252" s="5" t="s">
        <v>125</v>
      </c>
      <c r="G1252" s="5"/>
      <c r="H1252" s="7" cm="1">
        <f t="array" ref="H1252">_xlfn.IFS(B1252=2015,L1252*$P$3,B1252=2016,L1252*$P$4,B1252=2017,L1252*$P$5,B1252=2018,L1252*$P$6,B1252=2019,L1252*$P$7,B1252=2020,L1252*$P$8,B1252=2021,L1252*$P$9,B1252=2022,L1252*$P$10)</f>
        <v>0</v>
      </c>
      <c r="I1252" s="7">
        <f t="shared" si="41"/>
        <v>0</v>
      </c>
      <c r="J1252">
        <f>IFERROR(VLOOKUP(F1252,'LEAID Match'!$A$2:$B$227,2,FALSE),"")</f>
        <v>3815360</v>
      </c>
      <c r="K1252">
        <f t="shared" si="40"/>
        <v>7</v>
      </c>
      <c r="L1252" cm="1">
        <f t="array" ref="L1252">_xlfn.IFS(B1252=2015,G1252/$P$13,B1252=2016,G1252/$P$14,B1252=2017,G1252/$P$15,B1252=2018,G1252/$P$16,B1252=2019,G1252/$P$17,B1252=2019,G1252/$P$18,B1252=2020,G1252/$P$18,B1252=2021,G1252/$P$19,B1252=2022,G1252/$P$20)</f>
        <v>0</v>
      </c>
    </row>
    <row r="1253" spans="1:12" x14ac:dyDescent="0.2">
      <c r="A1253">
        <v>3815360</v>
      </c>
      <c r="B1253">
        <v>2020</v>
      </c>
      <c r="C1253" t="s">
        <v>252</v>
      </c>
      <c r="D1253" t="s">
        <v>254</v>
      </c>
      <c r="E1253" t="s">
        <v>256</v>
      </c>
      <c r="F1253" s="5" t="s">
        <v>125</v>
      </c>
      <c r="G1253" s="5"/>
      <c r="H1253" s="7" cm="1">
        <f t="array" ref="H1253">_xlfn.IFS(B1253=2015,L1253*$P$3,B1253=2016,L1253*$P$4,B1253=2017,L1253*$P$5,B1253=2018,L1253*$P$6,B1253=2019,L1253*$P$7,B1253=2020,L1253*$P$8,B1253=2021,L1253*$P$9,B1253=2022,L1253*$P$10)</f>
        <v>0</v>
      </c>
      <c r="I1253" s="7">
        <f t="shared" si="41"/>
        <v>0</v>
      </c>
      <c r="J1253">
        <f>IFERROR(VLOOKUP(F1253,'LEAID Match'!$A$2:$B$227,2,FALSE),"")</f>
        <v>3815360</v>
      </c>
      <c r="K1253">
        <f t="shared" si="40"/>
        <v>7</v>
      </c>
      <c r="L1253" cm="1">
        <f t="array" ref="L1253">_xlfn.IFS(B1253=2015,G1253/$P$13,B1253=2016,G1253/$P$14,B1253=2017,G1253/$P$15,B1253=2018,G1253/$P$16,B1253=2019,G1253/$P$17,B1253=2019,G1253/$P$18,B1253=2020,G1253/$P$18,B1253=2021,G1253/$P$19,B1253=2022,G1253/$P$20)</f>
        <v>0</v>
      </c>
    </row>
    <row r="1254" spans="1:12" x14ac:dyDescent="0.2">
      <c r="A1254">
        <v>3815360</v>
      </c>
      <c r="B1254" s="5">
        <v>2021</v>
      </c>
      <c r="C1254" t="s">
        <v>252</v>
      </c>
      <c r="D1254" t="s">
        <v>254</v>
      </c>
      <c r="E1254" t="s">
        <v>256</v>
      </c>
      <c r="F1254" s="5" t="s">
        <v>125</v>
      </c>
      <c r="G1254" s="5"/>
      <c r="H1254" s="7" cm="1">
        <f t="array" ref="H1254">_xlfn.IFS(B1254=2015,L1254*$P$3,B1254=2016,L1254*$P$4,B1254=2017,L1254*$P$5,B1254=2018,L1254*$P$6,B1254=2019,L1254*$P$7,B1254=2020,L1254*$P$8,B1254=2021,L1254*$P$9,B1254=2022,L1254*$P$10)</f>
        <v>0</v>
      </c>
      <c r="I1254" s="7">
        <f t="shared" si="41"/>
        <v>0</v>
      </c>
      <c r="J1254">
        <f>IFERROR(VLOOKUP(F1254,'LEAID Match'!$A$2:$B$227,2,FALSE),"")</f>
        <v>3815360</v>
      </c>
      <c r="K1254">
        <f t="shared" si="40"/>
        <v>7</v>
      </c>
      <c r="L1254" cm="1">
        <f t="array" ref="L1254">_xlfn.IFS(B1254=2015,G1254/$P$13,B1254=2016,G1254/$P$14,B1254=2017,G1254/$P$15,B1254=2018,G1254/$P$16,B1254=2019,G1254/$P$17,B1254=2019,G1254/$P$18,B1254=2020,G1254/$P$18,B1254=2021,G1254/$P$19,B1254=2022,G1254/$P$20)</f>
        <v>0</v>
      </c>
    </row>
    <row r="1255" spans="1:12" x14ac:dyDescent="0.2">
      <c r="A1255">
        <v>3800024</v>
      </c>
      <c r="B1255">
        <v>2015</v>
      </c>
      <c r="C1255" t="s">
        <v>252</v>
      </c>
      <c r="D1255" t="s">
        <v>254</v>
      </c>
      <c r="E1255" t="s">
        <v>256</v>
      </c>
      <c r="F1255" s="5" t="s">
        <v>126</v>
      </c>
      <c r="G1255" s="7">
        <v>129980</v>
      </c>
      <c r="H1255" s="7" cm="1">
        <f t="array" ref="H1255">_xlfn.IFS(B1255=2015,L1255*$P$3,B1255=2016,L1255*$P$4,B1255=2017,L1255*$P$5,B1255=2018,L1255*$P$6,B1255=2019,L1255*$P$7,B1255=2020,L1255*$P$8,B1255=2021,L1255*$P$9,B1255=2022,L1255*$P$10)</f>
        <v>2938.6428060457451</v>
      </c>
      <c r="I1255" s="7">
        <f t="shared" si="41"/>
        <v>132918.64280604574</v>
      </c>
      <c r="J1255">
        <f>IFERROR(VLOOKUP(F1255,'LEAID Match'!$A$2:$B$227,2,FALSE),"")</f>
        <v>3800024</v>
      </c>
      <c r="K1255">
        <f t="shared" si="40"/>
        <v>8</v>
      </c>
      <c r="L1255" cm="1">
        <f t="array" ref="L1255">_xlfn.IFS(B1255=2015,G1255/$P$13,B1255=2016,G1255/$P$14,B1255=2017,G1255/$P$15,B1255=2018,G1255/$P$16,B1255=2019,G1255/$P$17,B1255=2019,G1255/$P$18,B1255=2020,G1255/$P$18,B1255=2021,G1255/$P$19,B1255=2022,G1255/$P$20)</f>
        <v>1.6574409509564269E-3</v>
      </c>
    </row>
    <row r="1256" spans="1:12" x14ac:dyDescent="0.2">
      <c r="A1256">
        <v>3800024</v>
      </c>
      <c r="B1256">
        <v>2016</v>
      </c>
      <c r="C1256" t="s">
        <v>252</v>
      </c>
      <c r="D1256" t="s">
        <v>254</v>
      </c>
      <c r="E1256" t="s">
        <v>256</v>
      </c>
      <c r="F1256" s="5" t="s">
        <v>126</v>
      </c>
      <c r="G1256" s="7">
        <v>143859</v>
      </c>
      <c r="H1256" s="7" cm="1">
        <f t="array" ref="H1256">_xlfn.IFS(B1256=2015,L1256*$P$3,B1256=2016,L1256*$P$4,B1256=2017,L1256*$P$5,B1256=2018,L1256*$P$6,B1256=2019,L1256*$P$7,B1256=2020,L1256*$P$8,B1256=2021,L1256*$P$9,B1256=2022,L1256*$P$10)</f>
        <v>4885.0278134587052</v>
      </c>
      <c r="I1256" s="7">
        <f t="shared" si="41"/>
        <v>148744.0278134587</v>
      </c>
      <c r="J1256">
        <f>IFERROR(VLOOKUP(F1256,'LEAID Match'!$A$2:$B$227,2,FALSE),"")</f>
        <v>3800024</v>
      </c>
      <c r="K1256">
        <f t="shared" si="40"/>
        <v>8</v>
      </c>
      <c r="L1256" cm="1">
        <f t="array" ref="L1256">_xlfn.IFS(B1256=2015,G1256/$P$13,B1256=2016,G1256/$P$14,B1256=2017,G1256/$P$15,B1256=2018,G1256/$P$16,B1256=2019,G1256/$P$17,B1256=2019,G1256/$P$18,B1256=2020,G1256/$P$18,B1256=2021,G1256/$P$19,B1256=2022,G1256/$P$20)</f>
        <v>1.7365900509984731E-3</v>
      </c>
    </row>
    <row r="1257" spans="1:12" x14ac:dyDescent="0.2">
      <c r="A1257">
        <v>3800024</v>
      </c>
      <c r="B1257">
        <v>2017</v>
      </c>
      <c r="C1257" t="s">
        <v>252</v>
      </c>
      <c r="D1257" t="s">
        <v>254</v>
      </c>
      <c r="E1257" t="s">
        <v>256</v>
      </c>
      <c r="F1257" s="5" t="s">
        <v>126</v>
      </c>
      <c r="G1257" s="7">
        <v>142553</v>
      </c>
      <c r="H1257" s="7" cm="1">
        <f t="array" ref="H1257">_xlfn.IFS(B1257=2015,L1257*$P$3,B1257=2016,L1257*$P$4,B1257=2017,L1257*$P$5,B1257=2018,L1257*$P$6,B1257=2019,L1257*$P$7,B1257=2020,L1257*$P$8,B1257=2021,L1257*$P$9,B1257=2022,L1257*$P$10)</f>
        <v>4619.8648592417494</v>
      </c>
      <c r="I1257" s="7">
        <f t="shared" si="41"/>
        <v>147172.86485924176</v>
      </c>
      <c r="J1257">
        <f>IFERROR(VLOOKUP(F1257,'LEAID Match'!$A$2:$B$227,2,FALSE),"")</f>
        <v>3800024</v>
      </c>
      <c r="K1257">
        <f t="shared" si="40"/>
        <v>8</v>
      </c>
      <c r="L1257" cm="1">
        <f t="array" ref="L1257">_xlfn.IFS(B1257=2015,G1257/$P$13,B1257=2016,G1257/$P$14,B1257=2017,G1257/$P$15,B1257=2018,G1257/$P$16,B1257=2019,G1257/$P$17,B1257=2019,G1257/$P$18,B1257=2020,G1257/$P$18,B1257=2021,G1257/$P$19,B1257=2022,G1257/$P$20)</f>
        <v>1.6564592539411078E-3</v>
      </c>
    </row>
    <row r="1258" spans="1:12" x14ac:dyDescent="0.2">
      <c r="A1258">
        <v>3800024</v>
      </c>
      <c r="B1258" s="5">
        <v>2018</v>
      </c>
      <c r="C1258" t="s">
        <v>252</v>
      </c>
      <c r="D1258" t="s">
        <v>254</v>
      </c>
      <c r="E1258" t="s">
        <v>256</v>
      </c>
      <c r="F1258" s="5" t="s">
        <v>126</v>
      </c>
      <c r="G1258" s="7">
        <v>148987</v>
      </c>
      <c r="H1258" s="7" cm="1">
        <f t="array" ref="H1258">_xlfn.IFS(B1258=2015,L1258*$P$3,B1258=2016,L1258*$P$4,B1258=2017,L1258*$P$5,B1258=2018,L1258*$P$6,B1258=2019,L1258*$P$7,B1258=2020,L1258*$P$8,B1258=2021,L1258*$P$9,B1258=2022,L1258*$P$10)</f>
        <v>4082.3910806378785</v>
      </c>
      <c r="I1258" s="7">
        <f t="shared" si="41"/>
        <v>153069.39108063787</v>
      </c>
      <c r="J1258">
        <f>IFERROR(VLOOKUP(F1258,'LEAID Match'!$A$2:$B$227,2,FALSE),"")</f>
        <v>3800024</v>
      </c>
      <c r="K1258">
        <f t="shared" si="40"/>
        <v>8</v>
      </c>
      <c r="L1258" cm="1">
        <f t="array" ref="L1258">_xlfn.IFS(B1258=2015,G1258/$P$13,B1258=2016,G1258/$P$14,B1258=2017,G1258/$P$15,B1258=2018,G1258/$P$16,B1258=2019,G1258/$P$17,B1258=2019,G1258/$P$18,B1258=2020,G1258/$P$18,B1258=2021,G1258/$P$19,B1258=2022,G1258/$P$20)</f>
        <v>1.7189015076370016E-3</v>
      </c>
    </row>
    <row r="1259" spans="1:12" x14ac:dyDescent="0.2">
      <c r="A1259">
        <v>3800024</v>
      </c>
      <c r="B1259">
        <v>2019</v>
      </c>
      <c r="C1259" t="s">
        <v>252</v>
      </c>
      <c r="D1259" t="s">
        <v>254</v>
      </c>
      <c r="E1259" t="s">
        <v>256</v>
      </c>
      <c r="F1259" s="5" t="s">
        <v>126</v>
      </c>
      <c r="G1259" s="7">
        <v>155609</v>
      </c>
      <c r="H1259" s="7" cm="1">
        <f t="array" ref="H1259">_xlfn.IFS(B1259=2015,L1259*$P$3,B1259=2016,L1259*$P$4,B1259=2017,L1259*$P$5,B1259=2018,L1259*$P$6,B1259=2019,L1259*$P$7,B1259=2020,L1259*$P$8,B1259=2021,L1259*$P$9,B1259=2022,L1259*$P$10)</f>
        <v>3611.6576376423109</v>
      </c>
      <c r="I1259" s="7">
        <f t="shared" si="41"/>
        <v>159220.65763764232</v>
      </c>
      <c r="J1259">
        <f>IFERROR(VLOOKUP(F1259,'LEAID Match'!$A$2:$B$227,2,FALSE),"")</f>
        <v>3800024</v>
      </c>
      <c r="K1259">
        <f t="shared" si="40"/>
        <v>8</v>
      </c>
      <c r="L1259" cm="1">
        <f t="array" ref="L1259">_xlfn.IFS(B1259=2015,G1259/$P$13,B1259=2016,G1259/$P$14,B1259=2017,G1259/$P$15,B1259=2018,G1259/$P$16,B1259=2019,G1259/$P$17,B1259=2019,G1259/$P$18,B1259=2020,G1259/$P$18,B1259=2021,G1259/$P$19,B1259=2022,G1259/$P$20)</f>
        <v>1.7397194786330978E-3</v>
      </c>
    </row>
    <row r="1260" spans="1:12" x14ac:dyDescent="0.2">
      <c r="A1260">
        <v>3800024</v>
      </c>
      <c r="B1260">
        <v>2020</v>
      </c>
      <c r="C1260" t="s">
        <v>252</v>
      </c>
      <c r="D1260" t="s">
        <v>254</v>
      </c>
      <c r="E1260" t="s">
        <v>256</v>
      </c>
      <c r="F1260" s="5" t="s">
        <v>126</v>
      </c>
      <c r="G1260" s="7">
        <v>170883</v>
      </c>
      <c r="H1260" s="7" cm="1">
        <f t="array" ref="H1260">_xlfn.IFS(B1260=2015,L1260*$P$3,B1260=2016,L1260*$P$4,B1260=2017,L1260*$P$5,B1260=2018,L1260*$P$6,B1260=2019,L1260*$P$7,B1260=2020,L1260*$P$8,B1260=2021,L1260*$P$9,B1260=2022,L1260*$P$10)</f>
        <v>4287.115814998675</v>
      </c>
      <c r="I1260" s="7">
        <f t="shared" si="41"/>
        <v>175170.11581499869</v>
      </c>
      <c r="J1260">
        <f>IFERROR(VLOOKUP(F1260,'LEAID Match'!$A$2:$B$227,2,FALSE),"")</f>
        <v>3800024</v>
      </c>
      <c r="K1260">
        <f t="shared" si="40"/>
        <v>8</v>
      </c>
      <c r="L1260" cm="1">
        <f t="array" ref="L1260">_xlfn.IFS(B1260=2015,G1260/$P$13,B1260=2016,G1260/$P$14,B1260=2017,G1260/$P$15,B1260=2018,G1260/$P$16,B1260=2019,G1260/$P$17,B1260=2019,G1260/$P$18,B1260=2020,G1260/$P$18,B1260=2021,G1260/$P$19,B1260=2022,G1260/$P$20)</f>
        <v>1.8368105462719258E-3</v>
      </c>
    </row>
    <row r="1261" spans="1:12" x14ac:dyDescent="0.2">
      <c r="A1261">
        <v>3800024</v>
      </c>
      <c r="B1261" s="5">
        <v>2021</v>
      </c>
      <c r="C1261" t="s">
        <v>252</v>
      </c>
      <c r="D1261" t="s">
        <v>254</v>
      </c>
      <c r="E1261" t="s">
        <v>256</v>
      </c>
      <c r="F1261" s="5" t="s">
        <v>126</v>
      </c>
      <c r="G1261" s="7">
        <v>182927</v>
      </c>
      <c r="H1261" s="7" cm="1">
        <f t="array" ref="H1261">_xlfn.IFS(B1261=2015,L1261*$P$3,B1261=2016,L1261*$P$4,B1261=2017,L1261*$P$5,B1261=2018,L1261*$P$6,B1261=2019,L1261*$P$7,B1261=2020,L1261*$P$8,B1261=2021,L1261*$P$9,B1261=2022,L1261*$P$10)</f>
        <v>4998.3510272295898</v>
      </c>
      <c r="I1261" s="7">
        <f t="shared" si="41"/>
        <v>187925.3510272296</v>
      </c>
      <c r="J1261">
        <f>IFERROR(VLOOKUP(F1261,'LEAID Match'!$A$2:$B$227,2,FALSE),"")</f>
        <v>3800024</v>
      </c>
      <c r="K1261">
        <f t="shared" si="40"/>
        <v>8</v>
      </c>
      <c r="L1261" cm="1">
        <f t="array" ref="L1261">_xlfn.IFS(B1261=2015,G1261/$P$13,B1261=2016,G1261/$P$14,B1261=2017,G1261/$P$15,B1261=2018,G1261/$P$16,B1261=2019,G1261/$P$17,B1261=2019,G1261/$P$18,B1261=2020,G1261/$P$18,B1261=2021,G1261/$P$19,B1261=2022,G1261/$P$20)</f>
        <v>1.8615832503648378E-3</v>
      </c>
    </row>
    <row r="1262" spans="1:12" x14ac:dyDescent="0.2">
      <c r="A1262">
        <v>3800024</v>
      </c>
      <c r="B1262">
        <v>2022</v>
      </c>
      <c r="C1262" t="s">
        <v>252</v>
      </c>
      <c r="D1262" t="s">
        <v>254</v>
      </c>
      <c r="E1262" t="s">
        <v>256</v>
      </c>
      <c r="F1262" s="5" t="s">
        <v>126</v>
      </c>
      <c r="G1262" s="7">
        <v>180984</v>
      </c>
      <c r="H1262" s="7" cm="1">
        <f t="array" ref="H1262">_xlfn.IFS(B1262=2015,L1262*$P$3,B1262=2016,L1262*$P$4,B1262=2017,L1262*$P$5,B1262=2018,L1262*$P$6,B1262=2019,L1262*$P$7,B1262=2020,L1262*$P$8,B1262=2021,L1262*$P$9,B1262=2022,L1262*$P$10)</f>
        <v>3683.4882626510016</v>
      </c>
      <c r="I1262" s="7">
        <f t="shared" si="41"/>
        <v>184667.48826265099</v>
      </c>
      <c r="J1262">
        <f>IFERROR(VLOOKUP(F1262,'LEAID Match'!$A$2:$B$227,2,FALSE),"")</f>
        <v>3800024</v>
      </c>
      <c r="K1262">
        <f t="shared" si="40"/>
        <v>8</v>
      </c>
      <c r="L1262" cm="1">
        <f t="array" ref="L1262">_xlfn.IFS(B1262=2015,G1262/$P$13,B1262=2016,G1262/$P$14,B1262=2017,G1262/$P$15,B1262=2018,G1262/$P$16,B1262=2019,G1262/$P$17,B1262=2019,G1262/$P$18,B1262=2020,G1262/$P$18,B1262=2021,G1262/$P$19,B1262=2022,G1262/$P$20)</f>
        <v>1.8038630081542613E-3</v>
      </c>
    </row>
    <row r="1263" spans="1:12" x14ac:dyDescent="0.2">
      <c r="A1263">
        <v>3800048</v>
      </c>
      <c r="B1263">
        <v>2015</v>
      </c>
      <c r="C1263" t="s">
        <v>252</v>
      </c>
      <c r="D1263" t="s">
        <v>254</v>
      </c>
      <c r="E1263" t="s">
        <v>256</v>
      </c>
      <c r="F1263" s="5" t="s">
        <v>127</v>
      </c>
      <c r="G1263" s="7">
        <v>216103</v>
      </c>
      <c r="H1263" s="7" cm="1">
        <f t="array" ref="H1263">_xlfn.IFS(B1263=2015,L1263*$P$3,B1263=2016,L1263*$P$4,B1263=2017,L1263*$P$5,B1263=2018,L1263*$P$6,B1263=2019,L1263*$P$7,B1263=2020,L1263*$P$8,B1263=2021,L1263*$P$9,B1263=2022,L1263*$P$10)</f>
        <v>4885.7480098084598</v>
      </c>
      <c r="I1263" s="7">
        <f t="shared" si="41"/>
        <v>220988.74800980845</v>
      </c>
      <c r="J1263">
        <f>IFERROR(VLOOKUP(F1263,'LEAID Match'!$A$2:$B$227,2,FALSE),"")</f>
        <v>3800048</v>
      </c>
      <c r="K1263">
        <f t="shared" si="40"/>
        <v>8</v>
      </c>
      <c r="L1263" cm="1">
        <f t="array" ref="L1263">_xlfn.IFS(B1263=2015,G1263/$P$13,B1263=2016,G1263/$P$14,B1263=2017,G1263/$P$15,B1263=2018,G1263/$P$16,B1263=2019,G1263/$P$17,B1263=2019,G1263/$P$18,B1263=2020,G1263/$P$18,B1263=2021,G1263/$P$19,B1263=2022,G1263/$P$20)</f>
        <v>2.7556390354249631E-3</v>
      </c>
    </row>
    <row r="1264" spans="1:12" x14ac:dyDescent="0.2">
      <c r="A1264">
        <v>3800048</v>
      </c>
      <c r="B1264">
        <v>2016</v>
      </c>
      <c r="C1264" t="s">
        <v>252</v>
      </c>
      <c r="D1264" t="s">
        <v>254</v>
      </c>
      <c r="E1264" t="s">
        <v>256</v>
      </c>
      <c r="F1264" s="5" t="s">
        <v>127</v>
      </c>
      <c r="G1264" s="7">
        <v>218681</v>
      </c>
      <c r="H1264" s="7" cm="1">
        <f t="array" ref="H1264">_xlfn.IFS(B1264=2015,L1264*$P$3,B1264=2016,L1264*$P$4,B1264=2017,L1264*$P$5,B1264=2018,L1264*$P$6,B1264=2019,L1264*$P$7,B1264=2020,L1264*$P$8,B1264=2021,L1264*$P$9,B1264=2022,L1264*$P$10)</f>
        <v>7425.7624985226021</v>
      </c>
      <c r="I1264" s="7">
        <f t="shared" si="41"/>
        <v>226106.76249852261</v>
      </c>
      <c r="J1264">
        <f>IFERROR(VLOOKUP(F1264,'LEAID Match'!$A$2:$B$227,2,FALSE),"")</f>
        <v>3800048</v>
      </c>
      <c r="K1264">
        <f t="shared" si="40"/>
        <v>8</v>
      </c>
      <c r="L1264" cm="1">
        <f t="array" ref="L1264">_xlfn.IFS(B1264=2015,G1264/$P$13,B1264=2016,G1264/$P$14,B1264=2017,G1264/$P$15,B1264=2018,G1264/$P$16,B1264=2019,G1264/$P$17,B1264=2019,G1264/$P$18,B1264=2020,G1264/$P$18,B1264=2021,G1264/$P$19,B1264=2022,G1264/$P$20)</f>
        <v>2.6398018124858167E-3</v>
      </c>
    </row>
    <row r="1265" spans="1:12" x14ac:dyDescent="0.2">
      <c r="A1265">
        <v>3800048</v>
      </c>
      <c r="B1265">
        <v>2017</v>
      </c>
      <c r="C1265" t="s">
        <v>252</v>
      </c>
      <c r="D1265" t="s">
        <v>254</v>
      </c>
      <c r="E1265" t="s">
        <v>256</v>
      </c>
      <c r="F1265" s="5" t="s">
        <v>127</v>
      </c>
      <c r="G1265" s="7">
        <v>227246</v>
      </c>
      <c r="H1265" s="7" cm="1">
        <f t="array" ref="H1265">_xlfn.IFS(B1265=2015,L1265*$P$3,B1265=2016,L1265*$P$4,B1265=2017,L1265*$P$5,B1265=2018,L1265*$P$6,B1265=2019,L1265*$P$7,B1265=2020,L1265*$P$8,B1265=2021,L1265*$P$9,B1265=2022,L1265*$P$10)</f>
        <v>7364.5999018137154</v>
      </c>
      <c r="I1265" s="7">
        <f t="shared" si="41"/>
        <v>234610.59990181372</v>
      </c>
      <c r="J1265">
        <f>IFERROR(VLOOKUP(F1265,'LEAID Match'!$A$2:$B$227,2,FALSE),"")</f>
        <v>3800048</v>
      </c>
      <c r="K1265">
        <f t="shared" si="40"/>
        <v>8</v>
      </c>
      <c r="L1265" cm="1">
        <f t="array" ref="L1265">_xlfn.IFS(B1265=2015,G1265/$P$13,B1265=2016,G1265/$P$14,B1265=2017,G1265/$P$15,B1265=2018,G1265/$P$16,B1265=2019,G1265/$P$17,B1265=2019,G1265/$P$18,B1265=2020,G1265/$P$18,B1265=2021,G1265/$P$19,B1265=2022,G1265/$P$20)</f>
        <v>2.640587989176664E-3</v>
      </c>
    </row>
    <row r="1266" spans="1:12" x14ac:dyDescent="0.2">
      <c r="A1266">
        <v>3800048</v>
      </c>
      <c r="B1266" s="5">
        <v>2018</v>
      </c>
      <c r="C1266" t="s">
        <v>252</v>
      </c>
      <c r="D1266" t="s">
        <v>254</v>
      </c>
      <c r="E1266" t="s">
        <v>256</v>
      </c>
      <c r="F1266" s="5" t="s">
        <v>127</v>
      </c>
      <c r="G1266" s="7">
        <v>232258</v>
      </c>
      <c r="H1266" s="7" cm="1">
        <f t="array" ref="H1266">_xlfn.IFS(B1266=2015,L1266*$P$3,B1266=2016,L1266*$P$4,B1266=2017,L1266*$P$5,B1266=2018,L1266*$P$6,B1266=2019,L1266*$P$7,B1266=2020,L1266*$P$8,B1266=2021,L1266*$P$9,B1266=2022,L1266*$P$10)</f>
        <v>6364.0987979272859</v>
      </c>
      <c r="I1266" s="7">
        <f t="shared" si="41"/>
        <v>238622.09879792729</v>
      </c>
      <c r="J1266">
        <f>IFERROR(VLOOKUP(F1266,'LEAID Match'!$A$2:$B$227,2,FALSE),"")</f>
        <v>3800048</v>
      </c>
      <c r="K1266">
        <f t="shared" si="40"/>
        <v>8</v>
      </c>
      <c r="L1266" cm="1">
        <f t="array" ref="L1266">_xlfn.IFS(B1266=2015,G1266/$P$13,B1266=2016,G1266/$P$14,B1266=2017,G1266/$P$15,B1266=2018,G1266/$P$16,B1266=2019,G1266/$P$17,B1266=2019,G1266/$P$18,B1266=2020,G1266/$P$18,B1266=2021,G1266/$P$19,B1266=2022,G1266/$P$20)</f>
        <v>2.6796205464956991E-3</v>
      </c>
    </row>
    <row r="1267" spans="1:12" x14ac:dyDescent="0.2">
      <c r="A1267">
        <v>3800048</v>
      </c>
      <c r="B1267">
        <v>2019</v>
      </c>
      <c r="C1267" t="s">
        <v>252</v>
      </c>
      <c r="D1267" t="s">
        <v>254</v>
      </c>
      <c r="E1267" t="s">
        <v>256</v>
      </c>
      <c r="F1267" s="5" t="s">
        <v>127</v>
      </c>
      <c r="G1267" s="7">
        <v>234271</v>
      </c>
      <c r="H1267" s="7" cm="1">
        <f t="array" ref="H1267">_xlfn.IFS(B1267=2015,L1267*$P$3,B1267=2016,L1267*$P$4,B1267=2017,L1267*$P$5,B1267=2018,L1267*$P$6,B1267=2019,L1267*$P$7,B1267=2020,L1267*$P$8,B1267=2021,L1267*$P$9,B1267=2022,L1267*$P$10)</f>
        <v>5437.3888812864416</v>
      </c>
      <c r="I1267" s="7">
        <f t="shared" si="41"/>
        <v>239708.38888128643</v>
      </c>
      <c r="J1267">
        <f>IFERROR(VLOOKUP(F1267,'LEAID Match'!$A$2:$B$227,2,FALSE),"")</f>
        <v>3800048</v>
      </c>
      <c r="K1267">
        <f t="shared" si="40"/>
        <v>8</v>
      </c>
      <c r="L1267" cm="1">
        <f t="array" ref="L1267">_xlfn.IFS(B1267=2015,G1267/$P$13,B1267=2016,G1267/$P$14,B1267=2017,G1267/$P$15,B1267=2018,G1267/$P$16,B1267=2019,G1267/$P$17,B1267=2019,G1267/$P$18,B1267=2020,G1267/$P$18,B1267=2021,G1267/$P$19,B1267=2022,G1267/$P$20)</f>
        <v>2.6191661277873033E-3</v>
      </c>
    </row>
    <row r="1268" spans="1:12" x14ac:dyDescent="0.2">
      <c r="A1268">
        <v>3800048</v>
      </c>
      <c r="B1268">
        <v>2020</v>
      </c>
      <c r="C1268" t="s">
        <v>252</v>
      </c>
      <c r="D1268" t="s">
        <v>254</v>
      </c>
      <c r="E1268" t="s">
        <v>256</v>
      </c>
      <c r="F1268" s="5" t="s">
        <v>127</v>
      </c>
      <c r="G1268" s="7">
        <v>253541</v>
      </c>
      <c r="H1268" s="7" cm="1">
        <f t="array" ref="H1268">_xlfn.IFS(B1268=2015,L1268*$P$3,B1268=2016,L1268*$P$4,B1268=2017,L1268*$P$5,B1268=2018,L1268*$P$6,B1268=2019,L1268*$P$7,B1268=2020,L1268*$P$8,B1268=2021,L1268*$P$9,B1268=2022,L1268*$P$10)</f>
        <v>6360.8412238231949</v>
      </c>
      <c r="I1268" s="7">
        <f t="shared" si="41"/>
        <v>259901.8412238232</v>
      </c>
      <c r="J1268">
        <f>IFERROR(VLOOKUP(F1268,'LEAID Match'!$A$2:$B$227,2,FALSE),"")</f>
        <v>3800048</v>
      </c>
      <c r="K1268">
        <f t="shared" si="40"/>
        <v>8</v>
      </c>
      <c r="L1268" cm="1">
        <f t="array" ref="L1268">_xlfn.IFS(B1268=2015,G1268/$P$13,B1268=2016,G1268/$P$14,B1268=2017,G1268/$P$15,B1268=2018,G1268/$P$16,B1268=2019,G1268/$P$17,B1268=2019,G1268/$P$18,B1268=2020,G1268/$P$18,B1268=2021,G1268/$P$19,B1268=2022,G1268/$P$20)</f>
        <v>2.7252961541658935E-3</v>
      </c>
    </row>
    <row r="1269" spans="1:12" x14ac:dyDescent="0.2">
      <c r="A1269">
        <v>3800048</v>
      </c>
      <c r="B1269" s="5">
        <v>2021</v>
      </c>
      <c r="C1269" t="s">
        <v>252</v>
      </c>
      <c r="D1269" t="s">
        <v>254</v>
      </c>
      <c r="E1269" t="s">
        <v>256</v>
      </c>
      <c r="F1269" s="5" t="s">
        <v>127</v>
      </c>
      <c r="G1269" s="7">
        <v>248069</v>
      </c>
      <c r="H1269" s="7" cm="1">
        <f t="array" ref="H1269">_xlfn.IFS(B1269=2015,L1269*$P$3,B1269=2016,L1269*$P$4,B1269=2017,L1269*$P$5,B1269=2018,L1269*$P$6,B1269=2019,L1269*$P$7,B1269=2020,L1269*$P$8,B1269=2021,L1269*$P$9,B1269=2022,L1269*$P$10)</f>
        <v>6778.3101509007256</v>
      </c>
      <c r="I1269" s="7">
        <f t="shared" si="41"/>
        <v>254847.31015090074</v>
      </c>
      <c r="J1269">
        <f>IFERROR(VLOOKUP(F1269,'LEAID Match'!$A$2:$B$227,2,FALSE),"")</f>
        <v>3800048</v>
      </c>
      <c r="K1269">
        <f t="shared" si="40"/>
        <v>8</v>
      </c>
      <c r="L1269" cm="1">
        <f t="array" ref="L1269">_xlfn.IFS(B1269=2015,G1269/$P$13,B1269=2016,G1269/$P$14,B1269=2017,G1269/$P$15,B1269=2018,G1269/$P$16,B1269=2019,G1269/$P$17,B1269=2019,G1269/$P$18,B1269=2020,G1269/$P$18,B1269=2021,G1269/$P$19,B1269=2022,G1269/$P$20)</f>
        <v>2.5245102982870485E-3</v>
      </c>
    </row>
    <row r="1270" spans="1:12" x14ac:dyDescent="0.2">
      <c r="A1270">
        <v>3800048</v>
      </c>
      <c r="B1270">
        <v>2022</v>
      </c>
      <c r="C1270" t="s">
        <v>252</v>
      </c>
      <c r="D1270" t="s">
        <v>254</v>
      </c>
      <c r="E1270" t="s">
        <v>256</v>
      </c>
      <c r="F1270" s="5" t="s">
        <v>127</v>
      </c>
      <c r="G1270" s="7">
        <v>229433</v>
      </c>
      <c r="H1270" s="7" cm="1">
        <f t="array" ref="H1270">_xlfn.IFS(B1270=2015,L1270*$P$3,B1270=2016,L1270*$P$4,B1270=2017,L1270*$P$5,B1270=2018,L1270*$P$6,B1270=2019,L1270*$P$7,B1270=2020,L1270*$P$8,B1270=2021,L1270*$P$9,B1270=2022,L1270*$P$10)</f>
        <v>4669.5495876144141</v>
      </c>
      <c r="I1270" s="7">
        <f t="shared" si="41"/>
        <v>234102.54958761443</v>
      </c>
      <c r="J1270">
        <f>IFERROR(VLOOKUP(F1270,'LEAID Match'!$A$2:$B$227,2,FALSE),"")</f>
        <v>3800048</v>
      </c>
      <c r="K1270">
        <f t="shared" si="40"/>
        <v>8</v>
      </c>
      <c r="L1270" cm="1">
        <f t="array" ref="L1270">_xlfn.IFS(B1270=2015,G1270/$P$13,B1270=2016,G1270/$P$14,B1270=2017,G1270/$P$15,B1270=2018,G1270/$P$16,B1270=2019,G1270/$P$17,B1270=2019,G1270/$P$18,B1270=2020,G1270/$P$18,B1270=2021,G1270/$P$19,B1270=2022,G1270/$P$20)</f>
        <v>2.286752981201966E-3</v>
      </c>
    </row>
    <row r="1271" spans="1:12" x14ac:dyDescent="0.2">
      <c r="A1271">
        <v>3800036</v>
      </c>
      <c r="B1271">
        <v>2015</v>
      </c>
      <c r="C1271" t="s">
        <v>252</v>
      </c>
      <c r="D1271" t="s">
        <v>254</v>
      </c>
      <c r="E1271" t="s">
        <v>256</v>
      </c>
      <c r="F1271" s="5" t="s">
        <v>231</v>
      </c>
      <c r="G1271" s="7">
        <v>199982</v>
      </c>
      <c r="H1271" s="7" cm="1">
        <f t="array" ref="H1271">_xlfn.IFS(B1271=2015,L1271*$P$3,B1271=2016,L1271*$P$4,B1271=2017,L1271*$P$5,B1271=2018,L1271*$P$6,B1271=2019,L1271*$P$7,B1271=2020,L1271*$P$8,B1271=2021,L1271*$P$9,B1271=2022,L1271*$P$10)</f>
        <v>4521.2776245471623</v>
      </c>
      <c r="I1271" s="7">
        <f t="shared" si="41"/>
        <v>204503.27762454716</v>
      </c>
      <c r="J1271">
        <f>IFERROR(VLOOKUP(F1271,'LEAID Match'!$A$2:$B$227,2,FALSE),"")</f>
        <v>3800036</v>
      </c>
      <c r="K1271">
        <f t="shared" si="40"/>
        <v>8</v>
      </c>
      <c r="L1271" cm="1">
        <f t="array" ref="L1271">_xlfn.IFS(B1271=2015,G1271/$P$13,B1271=2016,G1271/$P$14,B1271=2017,G1271/$P$15,B1271=2018,G1271/$P$16,B1271=2019,G1271/$P$17,B1271=2019,G1271/$P$18,B1271=2020,G1271/$P$18,B1271=2021,G1271/$P$19,B1271=2022,G1271/$P$20)</f>
        <v>2.5500719822601028E-3</v>
      </c>
    </row>
    <row r="1272" spans="1:12" x14ac:dyDescent="0.2">
      <c r="A1272">
        <v>3800036</v>
      </c>
      <c r="B1272">
        <v>2022</v>
      </c>
      <c r="C1272" t="s">
        <v>252</v>
      </c>
      <c r="D1272" t="s">
        <v>254</v>
      </c>
      <c r="E1272" t="s">
        <v>256</v>
      </c>
      <c r="F1272" s="5" t="s">
        <v>231</v>
      </c>
      <c r="G1272" s="7">
        <v>236974</v>
      </c>
      <c r="H1272" s="7" cm="1">
        <f t="array" ref="H1272">_xlfn.IFS(B1272=2015,L1272*$P$3,B1272=2016,L1272*$P$4,B1272=2017,L1272*$P$5,B1272=2018,L1272*$P$6,B1272=2019,L1272*$P$7,B1272=2020,L1272*$P$8,B1272=2021,L1272*$P$9,B1272=2022,L1272*$P$10)</f>
        <v>4823.0282652248734</v>
      </c>
      <c r="I1272" s="7">
        <f t="shared" si="41"/>
        <v>241797.02826522489</v>
      </c>
      <c r="J1272">
        <f>IFERROR(VLOOKUP(F1272,'LEAID Match'!$A$2:$B$227,2,FALSE),"")</f>
        <v>3800036</v>
      </c>
      <c r="K1272">
        <f t="shared" si="40"/>
        <v>8</v>
      </c>
      <c r="L1272" cm="1">
        <f t="array" ref="L1272">_xlfn.IFS(B1272=2015,G1272/$P$13,B1272=2016,G1272/$P$14,B1272=2017,G1272/$P$15,B1272=2018,G1272/$P$16,B1272=2019,G1272/$P$17,B1272=2019,G1272/$P$18,B1272=2020,G1272/$P$18,B1272=2021,G1272/$P$19,B1272=2022,G1272/$P$20)</f>
        <v>2.3619139398750604E-3</v>
      </c>
    </row>
    <row r="1273" spans="1:12" x14ac:dyDescent="0.2">
      <c r="A1273">
        <v>3800036</v>
      </c>
      <c r="B1273">
        <v>2016</v>
      </c>
      <c r="C1273" t="s">
        <v>252</v>
      </c>
      <c r="D1273" t="s">
        <v>254</v>
      </c>
      <c r="E1273" t="s">
        <v>256</v>
      </c>
      <c r="F1273" s="5" t="s">
        <v>231</v>
      </c>
      <c r="G1273" s="7">
        <v>184689</v>
      </c>
      <c r="H1273" s="7" cm="1">
        <f t="array" ref="H1273">_xlfn.IFS(B1273=2015,L1273*$P$3,B1273=2016,L1273*$P$4,B1273=2017,L1273*$P$5,B1273=2018,L1273*$P$6,B1273=2019,L1273*$P$7,B1273=2020,L1273*$P$8,B1273=2021,L1273*$P$9,B1273=2022,L1273*$P$10)</f>
        <v>6271.4943231905872</v>
      </c>
      <c r="I1273" s="7">
        <f t="shared" si="41"/>
        <v>190960.49432319059</v>
      </c>
      <c r="J1273">
        <f>IFERROR(VLOOKUP(F1273,'LEAID Match'!$A$2:$B$227,2,FALSE),"")</f>
        <v>3800036</v>
      </c>
      <c r="K1273">
        <f t="shared" si="40"/>
        <v>8</v>
      </c>
      <c r="L1273" cm="1">
        <f t="array" ref="L1273">_xlfn.IFS(B1273=2015,G1273/$P$13,B1273=2016,G1273/$P$14,B1273=2017,G1273/$P$15,B1273=2018,G1273/$P$16,B1273=2019,G1273/$P$17,B1273=2019,G1273/$P$18,B1273=2020,G1273/$P$18,B1273=2021,G1273/$P$19,B1273=2022,G1273/$P$20)</f>
        <v>2.2294682983258398E-3</v>
      </c>
    </row>
    <row r="1274" spans="1:12" x14ac:dyDescent="0.2">
      <c r="A1274">
        <v>3800036</v>
      </c>
      <c r="B1274">
        <v>2017</v>
      </c>
      <c r="C1274" t="s">
        <v>252</v>
      </c>
      <c r="D1274" t="s">
        <v>254</v>
      </c>
      <c r="E1274" t="s">
        <v>256</v>
      </c>
      <c r="F1274" s="5" t="s">
        <v>231</v>
      </c>
      <c r="G1274" s="7">
        <v>200546</v>
      </c>
      <c r="H1274" s="7" cm="1">
        <f t="array" ref="H1274">_xlfn.IFS(B1274=2015,L1274*$P$3,B1274=2016,L1274*$P$4,B1274=2017,L1274*$P$5,B1274=2018,L1274*$P$6,B1274=2019,L1274*$P$7,B1274=2020,L1274*$P$8,B1274=2021,L1274*$P$9,B1274=2022,L1274*$P$10)</f>
        <v>6499.304946661915</v>
      </c>
      <c r="I1274" s="7">
        <f t="shared" si="41"/>
        <v>207045.30494666193</v>
      </c>
      <c r="J1274">
        <f>IFERROR(VLOOKUP(F1274,'LEAID Match'!$A$2:$B$227,2,FALSE),"")</f>
        <v>3800036</v>
      </c>
      <c r="K1274">
        <f t="shared" si="40"/>
        <v>8</v>
      </c>
      <c r="L1274" cm="1">
        <f t="array" ref="L1274">_xlfn.IFS(B1274=2015,G1274/$P$13,B1274=2016,G1274/$P$14,B1274=2017,G1274/$P$15,B1274=2018,G1274/$P$16,B1274=2019,G1274/$P$17,B1274=2019,G1274/$P$18,B1274=2020,G1274/$P$18,B1274=2021,G1274/$P$19,B1274=2022,G1274/$P$20)</f>
        <v>2.3303352264832967E-3</v>
      </c>
    </row>
    <row r="1275" spans="1:12" x14ac:dyDescent="0.2">
      <c r="A1275">
        <v>3800036</v>
      </c>
      <c r="B1275" s="5">
        <v>2018</v>
      </c>
      <c r="C1275" t="s">
        <v>252</v>
      </c>
      <c r="D1275" t="s">
        <v>254</v>
      </c>
      <c r="E1275" t="s">
        <v>256</v>
      </c>
      <c r="F1275" s="5" t="s">
        <v>231</v>
      </c>
      <c r="G1275" s="7">
        <v>193076</v>
      </c>
      <c r="H1275" s="7" cm="1">
        <f t="array" ref="H1275">_xlfn.IFS(B1275=2015,L1275*$P$3,B1275=2016,L1275*$P$4,B1275=2017,L1275*$P$5,B1275=2018,L1275*$P$6,B1275=2019,L1275*$P$7,B1275=2020,L1275*$P$8,B1275=2021,L1275*$P$9,B1275=2022,L1275*$P$10)</f>
        <v>5290.4732646824159</v>
      </c>
      <c r="I1275" s="7">
        <f t="shared" si="41"/>
        <v>198366.47326468243</v>
      </c>
      <c r="J1275">
        <f>IFERROR(VLOOKUP(F1275,'LEAID Match'!$A$2:$B$227,2,FALSE),"")</f>
        <v>3800036</v>
      </c>
      <c r="K1275">
        <f t="shared" si="40"/>
        <v>8</v>
      </c>
      <c r="L1275" cm="1">
        <f t="array" ref="L1275">_xlfn.IFS(B1275=2015,G1275/$P$13,B1275=2016,G1275/$P$14,B1275=2017,G1275/$P$15,B1275=2018,G1275/$P$16,B1275=2019,G1275/$P$17,B1275=2019,G1275/$P$18,B1275=2020,G1275/$P$18,B1275=2021,G1275/$P$19,B1275=2022,G1275/$P$20)</f>
        <v>2.2275676903925961E-3</v>
      </c>
    </row>
    <row r="1276" spans="1:12" x14ac:dyDescent="0.2">
      <c r="A1276">
        <v>3800036</v>
      </c>
      <c r="B1276">
        <v>2019</v>
      </c>
      <c r="C1276" t="s">
        <v>252</v>
      </c>
      <c r="D1276" t="s">
        <v>254</v>
      </c>
      <c r="E1276" t="s">
        <v>256</v>
      </c>
      <c r="F1276" s="5" t="s">
        <v>231</v>
      </c>
      <c r="G1276" s="7">
        <v>199328</v>
      </c>
      <c r="H1276" s="7" cm="1">
        <f t="array" ref="H1276">_xlfn.IFS(B1276=2015,L1276*$P$3,B1276=2016,L1276*$P$4,B1276=2017,L1276*$P$5,B1276=2018,L1276*$P$6,B1276=2019,L1276*$P$7,B1276=2020,L1276*$P$8,B1276=2021,L1276*$P$9,B1276=2022,L1276*$P$10)</f>
        <v>4626.3679709783282</v>
      </c>
      <c r="I1276" s="7">
        <f t="shared" si="41"/>
        <v>203954.36797097832</v>
      </c>
      <c r="J1276">
        <f>IFERROR(VLOOKUP(F1276,'LEAID Match'!$A$2:$B$227,2,FALSE),"")</f>
        <v>3800036</v>
      </c>
      <c r="K1276">
        <f t="shared" si="40"/>
        <v>8</v>
      </c>
      <c r="L1276" cm="1">
        <f t="array" ref="L1276">_xlfn.IFS(B1276=2015,G1276/$P$13,B1276=2016,G1276/$P$14,B1276=2017,G1276/$P$15,B1276=2018,G1276/$P$16,B1276=2019,G1276/$P$17,B1276=2019,G1276/$P$18,B1276=2020,G1276/$P$18,B1276=2021,G1276/$P$19,B1276=2022,G1276/$P$20)</f>
        <v>2.228500949411526E-3</v>
      </c>
    </row>
    <row r="1277" spans="1:12" x14ac:dyDescent="0.2">
      <c r="A1277">
        <v>3800036</v>
      </c>
      <c r="B1277">
        <v>2020</v>
      </c>
      <c r="C1277" t="s">
        <v>252</v>
      </c>
      <c r="D1277" t="s">
        <v>254</v>
      </c>
      <c r="E1277" t="s">
        <v>256</v>
      </c>
      <c r="F1277" s="5" t="s">
        <v>231</v>
      </c>
      <c r="G1277" s="7">
        <v>204432</v>
      </c>
      <c r="H1277" s="7" cm="1">
        <f t="array" ref="H1277">_xlfn.IFS(B1277=2015,L1277*$P$3,B1277=2016,L1277*$P$4,B1277=2017,L1277*$P$5,B1277=2018,L1277*$P$6,B1277=2019,L1277*$P$7,B1277=2020,L1277*$P$8,B1277=2021,L1277*$P$9,B1277=2022,L1277*$P$10)</f>
        <v>5128.7937377726812</v>
      </c>
      <c r="I1277" s="7">
        <f t="shared" si="41"/>
        <v>209560.79373777268</v>
      </c>
      <c r="J1277">
        <f>IFERROR(VLOOKUP(F1277,'LEAID Match'!$A$2:$B$227,2,FALSE),"")</f>
        <v>3800036</v>
      </c>
      <c r="K1277">
        <f t="shared" si="40"/>
        <v>8</v>
      </c>
      <c r="L1277" cm="1">
        <f t="array" ref="L1277">_xlfn.IFS(B1277=2015,G1277/$P$13,B1277=2016,G1277/$P$14,B1277=2017,G1277/$P$15,B1277=2018,G1277/$P$16,B1277=2019,G1277/$P$17,B1277=2019,G1277/$P$18,B1277=2020,G1277/$P$18,B1277=2021,G1277/$P$19,B1277=2022,G1277/$P$20)</f>
        <v>2.1974266228674726E-3</v>
      </c>
    </row>
    <row r="1278" spans="1:12" x14ac:dyDescent="0.2">
      <c r="A1278">
        <v>3800036</v>
      </c>
      <c r="B1278" s="5">
        <v>2021</v>
      </c>
      <c r="C1278" t="s">
        <v>252</v>
      </c>
      <c r="D1278" t="s">
        <v>254</v>
      </c>
      <c r="E1278" t="s">
        <v>256</v>
      </c>
      <c r="F1278" s="5" t="s">
        <v>231</v>
      </c>
      <c r="G1278" s="7">
        <v>215132</v>
      </c>
      <c r="H1278" s="7" cm="1">
        <f t="array" ref="H1278">_xlfn.IFS(B1278=2015,L1278*$P$3,B1278=2016,L1278*$P$4,B1278=2017,L1278*$P$5,B1278=2018,L1278*$P$6,B1278=2019,L1278*$P$7,B1278=2020,L1278*$P$8,B1278=2021,L1278*$P$9,B1278=2022,L1278*$P$10)</f>
        <v>5878.3298976638553</v>
      </c>
      <c r="I1278" s="7">
        <f t="shared" si="41"/>
        <v>221010.32989766385</v>
      </c>
      <c r="J1278">
        <f>IFERROR(VLOOKUP(F1278,'LEAID Match'!$A$2:$B$227,2,FALSE),"")</f>
        <v>3800036</v>
      </c>
      <c r="K1278">
        <f t="shared" si="40"/>
        <v>8</v>
      </c>
      <c r="L1278" cm="1">
        <f t="array" ref="L1278">_xlfn.IFS(B1278=2015,G1278/$P$13,B1278=2016,G1278/$P$14,B1278=2017,G1278/$P$15,B1278=2018,G1278/$P$16,B1278=2019,G1278/$P$17,B1278=2019,G1278/$P$18,B1278=2020,G1278/$P$18,B1278=2021,G1278/$P$19,B1278=2022,G1278/$P$20)</f>
        <v>2.1893221220349555E-3</v>
      </c>
    </row>
    <row r="1279" spans="1:12" x14ac:dyDescent="0.2">
      <c r="A1279">
        <v>3815960</v>
      </c>
      <c r="B1279">
        <v>2015</v>
      </c>
      <c r="C1279" t="s">
        <v>252</v>
      </c>
      <c r="D1279" t="s">
        <v>254</v>
      </c>
      <c r="E1279" t="s">
        <v>256</v>
      </c>
      <c r="F1279" s="5" t="s">
        <v>128</v>
      </c>
      <c r="G1279" s="7">
        <v>4747</v>
      </c>
      <c r="H1279" s="7" cm="1">
        <f t="array" ref="H1279">_xlfn.IFS(B1279=2015,L1279*$P$3,B1279=2016,L1279*$P$4,B1279=2017,L1279*$P$5,B1279=2018,L1279*$P$6,B1279=2019,L1279*$P$7,B1279=2020,L1279*$P$8,B1279=2021,L1279*$P$9,B1279=2022,L1279*$P$10)</f>
        <v>107.32218341513426</v>
      </c>
      <c r="I1279" s="7">
        <f t="shared" si="41"/>
        <v>4854.3221834151345</v>
      </c>
      <c r="J1279">
        <f>IFERROR(VLOOKUP(F1279,'LEAID Match'!$A$2:$B$227,2,FALSE),"")</f>
        <v>3815960</v>
      </c>
      <c r="K1279">
        <f t="shared" si="40"/>
        <v>6</v>
      </c>
      <c r="L1279" cm="1">
        <f t="array" ref="L1279">_xlfn.IFS(B1279=2015,G1279/$P$13,B1279=2016,G1279/$P$14,B1279=2017,G1279/$P$15,B1279=2018,G1279/$P$16,B1279=2019,G1279/$P$17,B1279=2019,G1279/$P$18,B1279=2020,G1279/$P$18,B1279=2021,G1279/$P$19,B1279=2022,G1279/$P$20)</f>
        <v>6.0531406325512835E-5</v>
      </c>
    </row>
    <row r="1280" spans="1:12" x14ac:dyDescent="0.2">
      <c r="A1280">
        <v>3815960</v>
      </c>
      <c r="B1280">
        <v>2016</v>
      </c>
      <c r="C1280" t="s">
        <v>252</v>
      </c>
      <c r="D1280" t="s">
        <v>254</v>
      </c>
      <c r="E1280" t="s">
        <v>256</v>
      </c>
      <c r="F1280" s="5" t="s">
        <v>128</v>
      </c>
      <c r="G1280" s="5"/>
      <c r="H1280" s="7" cm="1">
        <f t="array" ref="H1280">_xlfn.IFS(B1280=2015,L1280*$P$3,B1280=2016,L1280*$P$4,B1280=2017,L1280*$P$5,B1280=2018,L1280*$P$6,B1280=2019,L1280*$P$7,B1280=2020,L1280*$P$8,B1280=2021,L1280*$P$9,B1280=2022,L1280*$P$10)</f>
        <v>0</v>
      </c>
      <c r="I1280" s="7">
        <f t="shared" si="41"/>
        <v>0</v>
      </c>
      <c r="J1280">
        <f>IFERROR(VLOOKUP(F1280,'LEAID Match'!$A$2:$B$227,2,FALSE),"")</f>
        <v>3815960</v>
      </c>
      <c r="K1280">
        <f t="shared" si="40"/>
        <v>6</v>
      </c>
      <c r="L1280" cm="1">
        <f t="array" ref="L1280">_xlfn.IFS(B1280=2015,G1280/$P$13,B1280=2016,G1280/$P$14,B1280=2017,G1280/$P$15,B1280=2018,G1280/$P$16,B1280=2019,G1280/$P$17,B1280=2019,G1280/$P$18,B1280=2020,G1280/$P$18,B1280=2021,G1280/$P$19,B1280=2022,G1280/$P$20)</f>
        <v>0</v>
      </c>
    </row>
    <row r="1281" spans="1:12" x14ac:dyDescent="0.2">
      <c r="A1281">
        <v>3815960</v>
      </c>
      <c r="B1281">
        <v>2017</v>
      </c>
      <c r="C1281" t="s">
        <v>252</v>
      </c>
      <c r="D1281" t="s">
        <v>254</v>
      </c>
      <c r="E1281" t="s">
        <v>256</v>
      </c>
      <c r="F1281" s="5" t="s">
        <v>128</v>
      </c>
      <c r="G1281" s="5"/>
      <c r="H1281" s="7" cm="1">
        <f t="array" ref="H1281">_xlfn.IFS(B1281=2015,L1281*$P$3,B1281=2016,L1281*$P$4,B1281=2017,L1281*$P$5,B1281=2018,L1281*$P$6,B1281=2019,L1281*$P$7,B1281=2020,L1281*$P$8,B1281=2021,L1281*$P$9,B1281=2022,L1281*$P$10)</f>
        <v>0</v>
      </c>
      <c r="I1281" s="7">
        <f t="shared" si="41"/>
        <v>0</v>
      </c>
      <c r="J1281">
        <f>IFERROR(VLOOKUP(F1281,'LEAID Match'!$A$2:$B$227,2,FALSE),"")</f>
        <v>3815960</v>
      </c>
      <c r="K1281">
        <f t="shared" si="40"/>
        <v>6</v>
      </c>
      <c r="L1281" cm="1">
        <f t="array" ref="L1281">_xlfn.IFS(B1281=2015,G1281/$P$13,B1281=2016,G1281/$P$14,B1281=2017,G1281/$P$15,B1281=2018,G1281/$P$16,B1281=2019,G1281/$P$17,B1281=2019,G1281/$P$18,B1281=2020,G1281/$P$18,B1281=2021,G1281/$P$19,B1281=2022,G1281/$P$20)</f>
        <v>0</v>
      </c>
    </row>
    <row r="1282" spans="1:12" x14ac:dyDescent="0.2">
      <c r="A1282">
        <v>3815960</v>
      </c>
      <c r="B1282" s="5">
        <v>2018</v>
      </c>
      <c r="C1282" t="s">
        <v>252</v>
      </c>
      <c r="D1282" t="s">
        <v>254</v>
      </c>
      <c r="E1282" t="s">
        <v>256</v>
      </c>
      <c r="F1282" s="5" t="s">
        <v>128</v>
      </c>
      <c r="G1282" s="5"/>
      <c r="H1282" s="7" cm="1">
        <f t="array" ref="H1282">_xlfn.IFS(B1282=2015,L1282*$P$3,B1282=2016,L1282*$P$4,B1282=2017,L1282*$P$5,B1282=2018,L1282*$P$6,B1282=2019,L1282*$P$7,B1282=2020,L1282*$P$8,B1282=2021,L1282*$P$9,B1282=2022,L1282*$P$10)</f>
        <v>0</v>
      </c>
      <c r="I1282" s="7">
        <f t="shared" si="41"/>
        <v>0</v>
      </c>
      <c r="J1282">
        <f>IFERROR(VLOOKUP(F1282,'LEAID Match'!$A$2:$B$227,2,FALSE),"")</f>
        <v>3815960</v>
      </c>
      <c r="K1282">
        <f t="shared" ref="K1282:K1345" si="42">COUNTIF($A$2:$A$1757,A1282)</f>
        <v>6</v>
      </c>
      <c r="L1282" cm="1">
        <f t="array" ref="L1282">_xlfn.IFS(B1282=2015,G1282/$P$13,B1282=2016,G1282/$P$14,B1282=2017,G1282/$P$15,B1282=2018,G1282/$P$16,B1282=2019,G1282/$P$17,B1282=2019,G1282/$P$18,B1282=2020,G1282/$P$18,B1282=2021,G1282/$P$19,B1282=2022,G1282/$P$20)</f>
        <v>0</v>
      </c>
    </row>
    <row r="1283" spans="1:12" x14ac:dyDescent="0.2">
      <c r="A1283">
        <v>3815960</v>
      </c>
      <c r="B1283">
        <v>2019</v>
      </c>
      <c r="C1283" t="s">
        <v>252</v>
      </c>
      <c r="D1283" t="s">
        <v>254</v>
      </c>
      <c r="E1283" t="s">
        <v>256</v>
      </c>
      <c r="F1283" s="5" t="s">
        <v>128</v>
      </c>
      <c r="G1283" s="5"/>
      <c r="H1283" s="7" cm="1">
        <f t="array" ref="H1283">_xlfn.IFS(B1283=2015,L1283*$P$3,B1283=2016,L1283*$P$4,B1283=2017,L1283*$P$5,B1283=2018,L1283*$P$6,B1283=2019,L1283*$P$7,B1283=2020,L1283*$P$8,B1283=2021,L1283*$P$9,B1283=2022,L1283*$P$10)</f>
        <v>0</v>
      </c>
      <c r="I1283" s="7">
        <f t="shared" ref="I1283:I1346" si="43">SUM(G1283:H1283)</f>
        <v>0</v>
      </c>
      <c r="J1283">
        <f>IFERROR(VLOOKUP(F1283,'LEAID Match'!$A$2:$B$227,2,FALSE),"")</f>
        <v>3815960</v>
      </c>
      <c r="K1283">
        <f t="shared" si="42"/>
        <v>6</v>
      </c>
      <c r="L1283" cm="1">
        <f t="array" ref="L1283">_xlfn.IFS(B1283=2015,G1283/$P$13,B1283=2016,G1283/$P$14,B1283=2017,G1283/$P$15,B1283=2018,G1283/$P$16,B1283=2019,G1283/$P$17,B1283=2019,G1283/$P$18,B1283=2020,G1283/$P$18,B1283=2021,G1283/$P$19,B1283=2022,G1283/$P$20)</f>
        <v>0</v>
      </c>
    </row>
    <row r="1284" spans="1:12" x14ac:dyDescent="0.2">
      <c r="A1284">
        <v>3815960</v>
      </c>
      <c r="B1284">
        <v>2022</v>
      </c>
      <c r="C1284" t="s">
        <v>252</v>
      </c>
      <c r="D1284" t="s">
        <v>254</v>
      </c>
      <c r="E1284" t="s">
        <v>256</v>
      </c>
      <c r="F1284" s="5" t="s">
        <v>128</v>
      </c>
      <c r="G1284" s="5"/>
      <c r="H1284" s="7" cm="1">
        <f t="array" ref="H1284">_xlfn.IFS(B1284=2015,L1284*$P$3,B1284=2016,L1284*$P$4,B1284=2017,L1284*$P$5,B1284=2018,L1284*$P$6,B1284=2019,L1284*$P$7,B1284=2020,L1284*$P$8,B1284=2021,L1284*$P$9,B1284=2022,L1284*$P$10)</f>
        <v>0</v>
      </c>
      <c r="I1284" s="7">
        <f t="shared" si="43"/>
        <v>0</v>
      </c>
      <c r="J1284">
        <f>IFERROR(VLOOKUP(F1284,'LEAID Match'!$A$2:$B$227,2,FALSE),"")</f>
        <v>3815960</v>
      </c>
      <c r="K1284">
        <f t="shared" si="42"/>
        <v>6</v>
      </c>
      <c r="L1284" cm="1">
        <f t="array" ref="L1284">_xlfn.IFS(B1284=2015,G1284/$P$13,B1284=2016,G1284/$P$14,B1284=2017,G1284/$P$15,B1284=2018,G1284/$P$16,B1284=2019,G1284/$P$17,B1284=2019,G1284/$P$18,B1284=2020,G1284/$P$18,B1284=2021,G1284/$P$19,B1284=2022,G1284/$P$20)</f>
        <v>0</v>
      </c>
    </row>
    <row r="1285" spans="1:12" x14ac:dyDescent="0.2">
      <c r="A1285">
        <v>0</v>
      </c>
      <c r="B1285">
        <v>2015</v>
      </c>
      <c r="C1285" t="s">
        <v>252</v>
      </c>
      <c r="D1285" t="s">
        <v>254</v>
      </c>
      <c r="E1285" t="s">
        <v>256</v>
      </c>
      <c r="F1285" s="5" t="s">
        <v>129</v>
      </c>
      <c r="G1285" s="5"/>
      <c r="H1285" s="7" cm="1">
        <f t="array" ref="H1285">_xlfn.IFS(B1285=2015,L1285*$P$3,B1285=2016,L1285*$P$4,B1285=2017,L1285*$P$5,B1285=2018,L1285*$P$6,B1285=2019,L1285*$P$7,B1285=2020,L1285*$P$8,B1285=2021,L1285*$P$9,B1285=2022,L1285*$P$10)</f>
        <v>0</v>
      </c>
      <c r="I1285" s="7">
        <f t="shared" si="43"/>
        <v>0</v>
      </c>
      <c r="J1285">
        <f>IFERROR(VLOOKUP(F1285,'LEAID Match'!$A$2:$B$227,2,FALSE),"")</f>
        <v>0</v>
      </c>
      <c r="K1285">
        <f t="shared" si="42"/>
        <v>130</v>
      </c>
      <c r="L1285" cm="1">
        <f t="array" ref="L1285">_xlfn.IFS(B1285=2015,G1285/$P$13,B1285=2016,G1285/$P$14,B1285=2017,G1285/$P$15,B1285=2018,G1285/$P$16,B1285=2019,G1285/$P$17,B1285=2019,G1285/$P$18,B1285=2020,G1285/$P$18,B1285=2021,G1285/$P$19,B1285=2022,G1285/$P$20)</f>
        <v>0</v>
      </c>
    </row>
    <row r="1286" spans="1:12" x14ac:dyDescent="0.2">
      <c r="A1286">
        <v>0</v>
      </c>
      <c r="B1286">
        <v>2016</v>
      </c>
      <c r="C1286" t="s">
        <v>252</v>
      </c>
      <c r="D1286" t="s">
        <v>254</v>
      </c>
      <c r="E1286" t="s">
        <v>256</v>
      </c>
      <c r="F1286" s="5" t="s">
        <v>129</v>
      </c>
      <c r="G1286" s="5"/>
      <c r="H1286" s="7" cm="1">
        <f t="array" ref="H1286">_xlfn.IFS(B1286=2015,L1286*$P$3,B1286=2016,L1286*$P$4,B1286=2017,L1286*$P$5,B1286=2018,L1286*$P$6,B1286=2019,L1286*$P$7,B1286=2020,L1286*$P$8,B1286=2021,L1286*$P$9,B1286=2022,L1286*$P$10)</f>
        <v>0</v>
      </c>
      <c r="I1286" s="7">
        <f t="shared" si="43"/>
        <v>0</v>
      </c>
      <c r="J1286">
        <f>IFERROR(VLOOKUP(F1286,'LEAID Match'!$A$2:$B$227,2,FALSE),"")</f>
        <v>0</v>
      </c>
      <c r="K1286">
        <f t="shared" si="42"/>
        <v>130</v>
      </c>
      <c r="L1286" cm="1">
        <f t="array" ref="L1286">_xlfn.IFS(B1286=2015,G1286/$P$13,B1286=2016,G1286/$P$14,B1286=2017,G1286/$P$15,B1286=2018,G1286/$P$16,B1286=2019,G1286/$P$17,B1286=2019,G1286/$P$18,B1286=2020,G1286/$P$18,B1286=2021,G1286/$P$19,B1286=2022,G1286/$P$20)</f>
        <v>0</v>
      </c>
    </row>
    <row r="1287" spans="1:12" x14ac:dyDescent="0.2">
      <c r="A1287">
        <v>0</v>
      </c>
      <c r="B1287">
        <v>2017</v>
      </c>
      <c r="C1287" t="s">
        <v>252</v>
      </c>
      <c r="D1287" t="s">
        <v>254</v>
      </c>
      <c r="E1287" t="s">
        <v>256</v>
      </c>
      <c r="F1287" s="5" t="s">
        <v>129</v>
      </c>
      <c r="G1287" s="5"/>
      <c r="H1287" s="7" cm="1">
        <f t="array" ref="H1287">_xlfn.IFS(B1287=2015,L1287*$P$3,B1287=2016,L1287*$P$4,B1287=2017,L1287*$P$5,B1287=2018,L1287*$P$6,B1287=2019,L1287*$P$7,B1287=2020,L1287*$P$8,B1287=2021,L1287*$P$9,B1287=2022,L1287*$P$10)</f>
        <v>0</v>
      </c>
      <c r="I1287" s="7">
        <f t="shared" si="43"/>
        <v>0</v>
      </c>
      <c r="J1287">
        <f>IFERROR(VLOOKUP(F1287,'LEAID Match'!$A$2:$B$227,2,FALSE),"")</f>
        <v>0</v>
      </c>
      <c r="K1287">
        <f t="shared" si="42"/>
        <v>130</v>
      </c>
      <c r="L1287" cm="1">
        <f t="array" ref="L1287">_xlfn.IFS(B1287=2015,G1287/$P$13,B1287=2016,G1287/$P$14,B1287=2017,G1287/$P$15,B1287=2018,G1287/$P$16,B1287=2019,G1287/$P$17,B1287=2019,G1287/$P$18,B1287=2020,G1287/$P$18,B1287=2021,G1287/$P$19,B1287=2022,G1287/$P$20)</f>
        <v>0</v>
      </c>
    </row>
    <row r="1288" spans="1:12" x14ac:dyDescent="0.2">
      <c r="A1288">
        <v>0</v>
      </c>
      <c r="B1288" s="5">
        <v>2018</v>
      </c>
      <c r="C1288" t="s">
        <v>252</v>
      </c>
      <c r="D1288" t="s">
        <v>254</v>
      </c>
      <c r="E1288" t="s">
        <v>256</v>
      </c>
      <c r="F1288" s="5" t="s">
        <v>129</v>
      </c>
      <c r="G1288" s="5"/>
      <c r="H1288" s="7" cm="1">
        <f t="array" ref="H1288">_xlfn.IFS(B1288=2015,L1288*$P$3,B1288=2016,L1288*$P$4,B1288=2017,L1288*$P$5,B1288=2018,L1288*$P$6,B1288=2019,L1288*$P$7,B1288=2020,L1288*$P$8,B1288=2021,L1288*$P$9,B1288=2022,L1288*$P$10)</f>
        <v>0</v>
      </c>
      <c r="I1288" s="7">
        <f t="shared" si="43"/>
        <v>0</v>
      </c>
      <c r="J1288">
        <f>IFERROR(VLOOKUP(F1288,'LEAID Match'!$A$2:$B$227,2,FALSE),"")</f>
        <v>0</v>
      </c>
      <c r="K1288">
        <f t="shared" si="42"/>
        <v>130</v>
      </c>
      <c r="L1288" cm="1">
        <f t="array" ref="L1288">_xlfn.IFS(B1288=2015,G1288/$P$13,B1288=2016,G1288/$P$14,B1288=2017,G1288/$P$15,B1288=2018,G1288/$P$16,B1288=2019,G1288/$P$17,B1288=2019,G1288/$P$18,B1288=2020,G1288/$P$18,B1288=2021,G1288/$P$19,B1288=2022,G1288/$P$20)</f>
        <v>0</v>
      </c>
    </row>
    <row r="1289" spans="1:12" x14ac:dyDescent="0.2">
      <c r="A1289">
        <v>0</v>
      </c>
      <c r="B1289">
        <v>2019</v>
      </c>
      <c r="C1289" t="s">
        <v>252</v>
      </c>
      <c r="D1289" t="s">
        <v>254</v>
      </c>
      <c r="E1289" t="s">
        <v>256</v>
      </c>
      <c r="F1289" s="5" t="s">
        <v>129</v>
      </c>
      <c r="G1289" s="5"/>
      <c r="H1289" s="7" cm="1">
        <f t="array" ref="H1289">_xlfn.IFS(B1289=2015,L1289*$P$3,B1289=2016,L1289*$P$4,B1289=2017,L1289*$P$5,B1289=2018,L1289*$P$6,B1289=2019,L1289*$P$7,B1289=2020,L1289*$P$8,B1289=2021,L1289*$P$9,B1289=2022,L1289*$P$10)</f>
        <v>0</v>
      </c>
      <c r="I1289" s="7">
        <f t="shared" si="43"/>
        <v>0</v>
      </c>
      <c r="J1289">
        <f>IFERROR(VLOOKUP(F1289,'LEAID Match'!$A$2:$B$227,2,FALSE),"")</f>
        <v>0</v>
      </c>
      <c r="K1289">
        <f t="shared" si="42"/>
        <v>130</v>
      </c>
      <c r="L1289" cm="1">
        <f t="array" ref="L1289">_xlfn.IFS(B1289=2015,G1289/$P$13,B1289=2016,G1289/$P$14,B1289=2017,G1289/$P$15,B1289=2018,G1289/$P$16,B1289=2019,G1289/$P$17,B1289=2019,G1289/$P$18,B1289=2020,G1289/$P$18,B1289=2021,G1289/$P$19,B1289=2022,G1289/$P$20)</f>
        <v>0</v>
      </c>
    </row>
    <row r="1290" spans="1:12" x14ac:dyDescent="0.2">
      <c r="A1290">
        <v>3816050</v>
      </c>
      <c r="B1290">
        <v>2015</v>
      </c>
      <c r="C1290" t="s">
        <v>252</v>
      </c>
      <c r="D1290" t="s">
        <v>254</v>
      </c>
      <c r="E1290" t="s">
        <v>256</v>
      </c>
      <c r="F1290" s="5" t="s">
        <v>130</v>
      </c>
      <c r="G1290" s="7">
        <v>147174</v>
      </c>
      <c r="H1290" s="7" cm="1">
        <f t="array" ref="H1290">_xlfn.IFS(B1290=2015,L1290*$P$3,B1290=2016,L1290*$P$4,B1290=2017,L1290*$P$5,B1290=2018,L1290*$P$6,B1290=2019,L1290*$P$7,B1290=2020,L1290*$P$8,B1290=2021,L1290*$P$9,B1290=2022,L1290*$P$10)</f>
        <v>3327.3720290581355</v>
      </c>
      <c r="I1290" s="7">
        <f t="shared" si="43"/>
        <v>150501.37202905814</v>
      </c>
      <c r="J1290">
        <f>IFERROR(VLOOKUP(F1290,'LEAID Match'!$A$2:$B$227,2,FALSE),"")</f>
        <v>3816050</v>
      </c>
      <c r="K1290">
        <f t="shared" si="42"/>
        <v>8</v>
      </c>
      <c r="L1290" cm="1">
        <f t="array" ref="L1290">_xlfn.IFS(B1290=2015,G1290/$P$13,B1290=2016,G1290/$P$14,B1290=2017,G1290/$P$15,B1290=2018,G1290/$P$16,B1290=2019,G1290/$P$17,B1290=2019,G1290/$P$18,B1290=2020,G1290/$P$18,B1290=2021,G1290/$P$19,B1290=2022,G1290/$P$20)</f>
        <v>1.8766903717191965E-3</v>
      </c>
    </row>
    <row r="1291" spans="1:12" x14ac:dyDescent="0.2">
      <c r="A1291">
        <v>3816050</v>
      </c>
      <c r="B1291">
        <v>2016</v>
      </c>
      <c r="C1291" t="s">
        <v>252</v>
      </c>
      <c r="D1291" t="s">
        <v>254</v>
      </c>
      <c r="E1291" t="s">
        <v>256</v>
      </c>
      <c r="F1291" s="5" t="s">
        <v>130</v>
      </c>
      <c r="G1291" s="7">
        <v>153613</v>
      </c>
      <c r="H1291" s="7" cm="1">
        <f t="array" ref="H1291">_xlfn.IFS(B1291=2015,L1291*$P$3,B1291=2016,L1291*$P$4,B1291=2017,L1291*$P$5,B1291=2018,L1291*$P$6,B1291=2019,L1291*$P$7,B1291=2020,L1291*$P$8,B1291=2021,L1291*$P$9,B1291=2022,L1291*$P$10)</f>
        <v>5216.2449169591891</v>
      </c>
      <c r="I1291" s="7">
        <f t="shared" si="43"/>
        <v>158829.2449169592</v>
      </c>
      <c r="J1291">
        <f>IFERROR(VLOOKUP(F1291,'LEAID Match'!$A$2:$B$227,2,FALSE),"")</f>
        <v>3816050</v>
      </c>
      <c r="K1291">
        <f t="shared" si="42"/>
        <v>8</v>
      </c>
      <c r="L1291" cm="1">
        <f t="array" ref="L1291">_xlfn.IFS(B1291=2015,G1291/$P$13,B1291=2016,G1291/$P$14,B1291=2017,G1291/$P$15,B1291=2018,G1291/$P$16,B1291=2019,G1291/$P$17,B1291=2019,G1291/$P$18,B1291=2020,G1291/$P$18,B1291=2021,G1291/$P$19,B1291=2022,G1291/$P$20)</f>
        <v>1.8543351997721968E-3</v>
      </c>
    </row>
    <row r="1292" spans="1:12" x14ac:dyDescent="0.2">
      <c r="A1292">
        <v>3816050</v>
      </c>
      <c r="B1292">
        <v>2017</v>
      </c>
      <c r="C1292" t="s">
        <v>252</v>
      </c>
      <c r="D1292" t="s">
        <v>254</v>
      </c>
      <c r="E1292" t="s">
        <v>256</v>
      </c>
      <c r="F1292" s="5" t="s">
        <v>130</v>
      </c>
      <c r="G1292" s="7">
        <v>167207</v>
      </c>
      <c r="H1292" s="7" cm="1">
        <f t="array" ref="H1292">_xlfn.IFS(B1292=2015,L1292*$P$3,B1292=2016,L1292*$P$4,B1292=2017,L1292*$P$5,B1292=2018,L1292*$P$6,B1292=2019,L1292*$P$7,B1292=2020,L1292*$P$8,B1292=2021,L1292*$P$9,B1292=2022,L1292*$P$10)</f>
        <v>5418.8529425493334</v>
      </c>
      <c r="I1292" s="7">
        <f t="shared" si="43"/>
        <v>172625.85294254933</v>
      </c>
      <c r="J1292">
        <f>IFERROR(VLOOKUP(F1292,'LEAID Match'!$A$2:$B$227,2,FALSE),"")</f>
        <v>3816050</v>
      </c>
      <c r="K1292">
        <f t="shared" si="42"/>
        <v>8</v>
      </c>
      <c r="L1292" cm="1">
        <f t="array" ref="L1292">_xlfn.IFS(B1292=2015,G1292/$P$13,B1292=2016,G1292/$P$14,B1292=2017,G1292/$P$15,B1292=2018,G1292/$P$16,B1292=2019,G1292/$P$17,B1292=2019,G1292/$P$18,B1292=2020,G1292/$P$18,B1292=2021,G1292/$P$19,B1292=2022,G1292/$P$20)</f>
        <v>1.942937591448309E-3</v>
      </c>
    </row>
    <row r="1293" spans="1:12" x14ac:dyDescent="0.2">
      <c r="A1293">
        <v>3816050</v>
      </c>
      <c r="B1293" s="5">
        <v>2018</v>
      </c>
      <c r="C1293" t="s">
        <v>252</v>
      </c>
      <c r="D1293" t="s">
        <v>254</v>
      </c>
      <c r="E1293" t="s">
        <v>256</v>
      </c>
      <c r="F1293" s="5" t="s">
        <v>130</v>
      </c>
      <c r="G1293" s="7">
        <v>161137</v>
      </c>
      <c r="H1293" s="7" cm="1">
        <f t="array" ref="H1293">_xlfn.IFS(B1293=2015,L1293*$P$3,B1293=2016,L1293*$P$4,B1293=2017,L1293*$P$5,B1293=2018,L1293*$P$6,B1293=2019,L1293*$P$7,B1293=2020,L1293*$P$8,B1293=2021,L1293*$P$9,B1293=2022,L1293*$P$10)</f>
        <v>4415.3130914827861</v>
      </c>
      <c r="I1293" s="7">
        <f t="shared" si="43"/>
        <v>165552.31309148279</v>
      </c>
      <c r="J1293">
        <f>IFERROR(VLOOKUP(F1293,'LEAID Match'!$A$2:$B$227,2,FALSE),"")</f>
        <v>3816050</v>
      </c>
      <c r="K1293">
        <f t="shared" si="42"/>
        <v>8</v>
      </c>
      <c r="L1293" cm="1">
        <f t="array" ref="L1293">_xlfn.IFS(B1293=2015,G1293/$P$13,B1293=2016,G1293/$P$14,B1293=2017,G1293/$P$15,B1293=2018,G1293/$P$16,B1293=2019,G1293/$P$17,B1293=2019,G1293/$P$18,B1293=2020,G1293/$P$18,B1293=2021,G1293/$P$19,B1293=2022,G1293/$P$20)</f>
        <v>1.8590791964138047E-3</v>
      </c>
    </row>
    <row r="1294" spans="1:12" x14ac:dyDescent="0.2">
      <c r="A1294">
        <v>3816050</v>
      </c>
      <c r="B1294">
        <v>2019</v>
      </c>
      <c r="C1294" t="s">
        <v>252</v>
      </c>
      <c r="D1294" t="s">
        <v>254</v>
      </c>
      <c r="E1294" t="s">
        <v>256</v>
      </c>
      <c r="F1294" s="5" t="s">
        <v>130</v>
      </c>
      <c r="G1294" s="7">
        <v>157194</v>
      </c>
      <c r="H1294" s="7" cm="1">
        <f t="array" ref="H1294">_xlfn.IFS(B1294=2015,L1294*$P$3,B1294=2016,L1294*$P$4,B1294=2017,L1294*$P$5,B1294=2018,L1294*$P$6,B1294=2019,L1294*$P$7,B1294=2020,L1294*$P$8,B1294=2021,L1294*$P$9,B1294=2022,L1294*$P$10)</f>
        <v>3648.4452100556232</v>
      </c>
      <c r="I1294" s="7">
        <f t="shared" si="43"/>
        <v>160842.44521005562</v>
      </c>
      <c r="J1294">
        <f>IFERROR(VLOOKUP(F1294,'LEAID Match'!$A$2:$B$227,2,FALSE),"")</f>
        <v>3816050</v>
      </c>
      <c r="K1294">
        <f t="shared" si="42"/>
        <v>8</v>
      </c>
      <c r="L1294" cm="1">
        <f t="array" ref="L1294">_xlfn.IFS(B1294=2015,G1294/$P$13,B1294=2016,G1294/$P$14,B1294=2017,G1294/$P$15,B1294=2018,G1294/$P$16,B1294=2019,G1294/$P$17,B1294=2019,G1294/$P$18,B1294=2020,G1294/$P$18,B1294=2021,G1294/$P$19,B1294=2022,G1294/$P$20)</f>
        <v>1.7574398892368126E-3</v>
      </c>
    </row>
    <row r="1295" spans="1:12" x14ac:dyDescent="0.2">
      <c r="A1295">
        <v>3816050</v>
      </c>
      <c r="B1295">
        <v>2020</v>
      </c>
      <c r="C1295" t="s">
        <v>252</v>
      </c>
      <c r="D1295" t="s">
        <v>254</v>
      </c>
      <c r="E1295" t="s">
        <v>256</v>
      </c>
      <c r="F1295" s="5" t="s">
        <v>130</v>
      </c>
      <c r="G1295" s="7">
        <v>161963</v>
      </c>
      <c r="H1295" s="7" cm="1">
        <f t="array" ref="H1295">_xlfn.IFS(B1295=2015,L1295*$P$3,B1295=2016,L1295*$P$4,B1295=2017,L1295*$P$5,B1295=2018,L1295*$P$6,B1295=2019,L1295*$P$7,B1295=2020,L1295*$P$8,B1295=2021,L1295*$P$9,B1295=2022,L1295*$P$10)</f>
        <v>4063.3306926062301</v>
      </c>
      <c r="I1295" s="7">
        <f t="shared" si="43"/>
        <v>166026.33069260622</v>
      </c>
      <c r="J1295">
        <f>IFERROR(VLOOKUP(F1295,'LEAID Match'!$A$2:$B$227,2,FALSE),"")</f>
        <v>3816050</v>
      </c>
      <c r="K1295">
        <f t="shared" si="42"/>
        <v>8</v>
      </c>
      <c r="L1295" cm="1">
        <f t="array" ref="L1295">_xlfn.IFS(B1295=2015,G1295/$P$13,B1295=2016,G1295/$P$14,B1295=2017,G1295/$P$15,B1295=2018,G1295/$P$16,B1295=2019,G1295/$P$17,B1295=2019,G1295/$P$18,B1295=2020,G1295/$P$18,B1295=2021,G1295/$P$19,B1295=2022,G1295/$P$20)</f>
        <v>1.7409300311080676E-3</v>
      </c>
    </row>
    <row r="1296" spans="1:12" x14ac:dyDescent="0.2">
      <c r="A1296">
        <v>3816050</v>
      </c>
      <c r="B1296" s="5">
        <v>2021</v>
      </c>
      <c r="C1296" t="s">
        <v>252</v>
      </c>
      <c r="D1296" t="s">
        <v>254</v>
      </c>
      <c r="E1296" t="s">
        <v>256</v>
      </c>
      <c r="F1296" s="5" t="s">
        <v>130</v>
      </c>
      <c r="G1296" s="7">
        <v>169363</v>
      </c>
      <c r="H1296" s="7" cm="1">
        <f t="array" ref="H1296">_xlfn.IFS(B1296=2015,L1296*$P$3,B1296=2016,L1296*$P$4,B1296=2017,L1296*$P$5,B1296=2018,L1296*$P$6,B1296=2019,L1296*$P$7,B1296=2020,L1296*$P$8,B1296=2021,L1296*$P$9,B1296=2022,L1296*$P$10)</f>
        <v>4627.7243109255878</v>
      </c>
      <c r="I1296" s="7">
        <f t="shared" si="43"/>
        <v>173990.72431092558</v>
      </c>
      <c r="J1296">
        <f>IFERROR(VLOOKUP(F1296,'LEAID Match'!$A$2:$B$227,2,FALSE),"")</f>
        <v>3816050</v>
      </c>
      <c r="K1296">
        <f t="shared" si="42"/>
        <v>8</v>
      </c>
      <c r="L1296" cm="1">
        <f t="array" ref="L1296">_xlfn.IFS(B1296=2015,G1296/$P$13,B1296=2016,G1296/$P$14,B1296=2017,G1296/$P$15,B1296=2018,G1296/$P$16,B1296=2019,G1296/$P$17,B1296=2019,G1296/$P$18,B1296=2020,G1296/$P$18,B1296=2021,G1296/$P$19,B1296=2022,G1296/$P$20)</f>
        <v>1.7235472293950047E-3</v>
      </c>
    </row>
    <row r="1297" spans="1:12" x14ac:dyDescent="0.2">
      <c r="A1297">
        <v>3816050</v>
      </c>
      <c r="B1297">
        <v>2022</v>
      </c>
      <c r="C1297" t="s">
        <v>252</v>
      </c>
      <c r="D1297" t="s">
        <v>254</v>
      </c>
      <c r="E1297" t="s">
        <v>256</v>
      </c>
      <c r="F1297" s="5" t="s">
        <v>130</v>
      </c>
      <c r="G1297" s="7">
        <v>179989</v>
      </c>
      <c r="H1297" s="7" cm="1">
        <f t="array" ref="H1297">_xlfn.IFS(B1297=2015,L1297*$P$3,B1297=2016,L1297*$P$4,B1297=2017,L1297*$P$5,B1297=2018,L1297*$P$6,B1297=2019,L1297*$P$7,B1297=2020,L1297*$P$8,B1297=2021,L1297*$P$9,B1297=2022,L1297*$P$10)</f>
        <v>3663.2374624623785</v>
      </c>
      <c r="I1297" s="7">
        <f t="shared" si="43"/>
        <v>183652.23746246239</v>
      </c>
      <c r="J1297">
        <f>IFERROR(VLOOKUP(F1297,'LEAID Match'!$A$2:$B$227,2,FALSE),"")</f>
        <v>3816050</v>
      </c>
      <c r="K1297">
        <f t="shared" si="42"/>
        <v>8</v>
      </c>
      <c r="L1297" cm="1">
        <f t="array" ref="L1297">_xlfn.IFS(B1297=2015,G1297/$P$13,B1297=2016,G1297/$P$14,B1297=2017,G1297/$P$15,B1297=2018,G1297/$P$16,B1297=2019,G1297/$P$17,B1297=2019,G1297/$P$18,B1297=2020,G1297/$P$18,B1297=2021,G1297/$P$19,B1297=2022,G1297/$P$20)</f>
        <v>1.7939458680031237E-3</v>
      </c>
    </row>
    <row r="1298" spans="1:12" x14ac:dyDescent="0.2">
      <c r="A1298">
        <v>3816090</v>
      </c>
      <c r="B1298">
        <v>2015</v>
      </c>
      <c r="C1298" t="s">
        <v>252</v>
      </c>
      <c r="D1298" t="s">
        <v>254</v>
      </c>
      <c r="E1298" t="s">
        <v>256</v>
      </c>
      <c r="F1298" s="5" t="s">
        <v>204</v>
      </c>
      <c r="G1298" s="7">
        <v>48488</v>
      </c>
      <c r="H1298" s="7" cm="1">
        <f t="array" ref="H1298">_xlfn.IFS(B1298=2015,L1298*$P$3,B1298=2016,L1298*$P$4,B1298=2017,L1298*$P$5,B1298=2018,L1298*$P$6,B1298=2019,L1298*$P$7,B1298=2020,L1298*$P$8,B1298=2021,L1298*$P$9,B1298=2022,L1298*$P$10)</f>
        <v>1096.2372086439918</v>
      </c>
      <c r="I1298" s="7">
        <f t="shared" si="43"/>
        <v>49584.237208643994</v>
      </c>
      <c r="J1298">
        <f>IFERROR(VLOOKUP(F1298,'LEAID Match'!$A$2:$B$227,2,FALSE),"")</f>
        <v>3816090</v>
      </c>
      <c r="K1298">
        <f t="shared" si="42"/>
        <v>8</v>
      </c>
      <c r="L1298" cm="1">
        <f t="array" ref="L1298">_xlfn.IFS(B1298=2015,G1298/$P$13,B1298=2016,G1298/$P$14,B1298=2017,G1298/$P$15,B1298=2018,G1298/$P$16,B1298=2019,G1298/$P$17,B1298=2019,G1298/$P$18,B1298=2020,G1298/$P$18,B1298=2021,G1298/$P$19,B1298=2022,G1298/$P$20)</f>
        <v>6.1829509793795369E-4</v>
      </c>
    </row>
    <row r="1299" spans="1:12" x14ac:dyDescent="0.2">
      <c r="A1299">
        <v>3816090</v>
      </c>
      <c r="B1299">
        <v>2016</v>
      </c>
      <c r="C1299" t="s">
        <v>252</v>
      </c>
      <c r="D1299" t="s">
        <v>254</v>
      </c>
      <c r="E1299" t="s">
        <v>256</v>
      </c>
      <c r="F1299" s="5" t="s">
        <v>204</v>
      </c>
      <c r="G1299" s="7">
        <v>54250</v>
      </c>
      <c r="H1299" s="7" cm="1">
        <f t="array" ref="H1299">_xlfn.IFS(B1299=2015,L1299*$P$3,B1299=2016,L1299*$P$4,B1299=2017,L1299*$P$5,B1299=2018,L1299*$P$6,B1299=2019,L1299*$P$7,B1299=2020,L1299*$P$8,B1299=2021,L1299*$P$9,B1299=2022,L1299*$P$10)</f>
        <v>1842.1701727395209</v>
      </c>
      <c r="I1299" s="7">
        <f t="shared" si="43"/>
        <v>56092.170172739519</v>
      </c>
      <c r="J1299">
        <f>IFERROR(VLOOKUP(F1299,'LEAID Match'!$A$2:$B$227,2,FALSE),"")</f>
        <v>3816090</v>
      </c>
      <c r="K1299">
        <f t="shared" si="42"/>
        <v>8</v>
      </c>
      <c r="L1299" cm="1">
        <f t="array" ref="L1299">_xlfn.IFS(B1299=2015,G1299/$P$13,B1299=2016,G1299/$P$14,B1299=2017,G1299/$P$15,B1299=2018,G1299/$P$16,B1299=2019,G1299/$P$17,B1299=2019,G1299/$P$18,B1299=2020,G1299/$P$18,B1299=2021,G1299/$P$19,B1299=2022,G1299/$P$20)</f>
        <v>6.5487741654444401E-4</v>
      </c>
    </row>
    <row r="1300" spans="1:12" x14ac:dyDescent="0.2">
      <c r="A1300">
        <v>3816090</v>
      </c>
      <c r="B1300">
        <v>2017</v>
      </c>
      <c r="C1300" t="s">
        <v>252</v>
      </c>
      <c r="D1300" t="s">
        <v>254</v>
      </c>
      <c r="E1300" t="s">
        <v>256</v>
      </c>
      <c r="F1300" s="5" t="s">
        <v>204</v>
      </c>
      <c r="G1300" s="7">
        <v>45481</v>
      </c>
      <c r="H1300" s="7" cm="1">
        <f t="array" ref="H1300">_xlfn.IFS(B1300=2015,L1300*$P$3,B1300=2016,L1300*$P$4,B1300=2017,L1300*$P$5,B1300=2018,L1300*$P$6,B1300=2019,L1300*$P$7,B1300=2020,L1300*$P$8,B1300=2021,L1300*$P$9,B1300=2022,L1300*$P$10)</f>
        <v>1473.9505563767441</v>
      </c>
      <c r="I1300" s="7">
        <f t="shared" si="43"/>
        <v>46954.950556376745</v>
      </c>
      <c r="J1300">
        <f>IFERROR(VLOOKUP(F1300,'LEAID Match'!$A$2:$B$227,2,FALSE),"")</f>
        <v>3816090</v>
      </c>
      <c r="K1300">
        <f t="shared" si="42"/>
        <v>8</v>
      </c>
      <c r="L1300" cm="1">
        <f t="array" ref="L1300">_xlfn.IFS(B1300=2015,G1300/$P$13,B1300=2016,G1300/$P$14,B1300=2017,G1300/$P$15,B1300=2018,G1300/$P$16,B1300=2019,G1300/$P$17,B1300=2019,G1300/$P$18,B1300=2020,G1300/$P$18,B1300=2021,G1300/$P$19,B1300=2022,G1300/$P$20)</f>
        <v>5.284871123616867E-4</v>
      </c>
    </row>
    <row r="1301" spans="1:12" x14ac:dyDescent="0.2">
      <c r="A1301">
        <v>3816090</v>
      </c>
      <c r="B1301" s="5">
        <v>2018</v>
      </c>
      <c r="C1301" t="s">
        <v>252</v>
      </c>
      <c r="D1301" t="s">
        <v>254</v>
      </c>
      <c r="E1301" t="s">
        <v>256</v>
      </c>
      <c r="F1301" s="5" t="s">
        <v>204</v>
      </c>
      <c r="G1301" s="7">
        <v>49845</v>
      </c>
      <c r="H1301" s="7" cm="1">
        <f t="array" ref="H1301">_xlfn.IFS(B1301=2015,L1301*$P$3,B1301=2016,L1301*$P$4,B1301=2017,L1301*$P$5,B1301=2018,L1301*$P$6,B1301=2019,L1301*$P$7,B1301=2020,L1301*$P$8,B1301=2021,L1301*$P$9,B1301=2022,L1301*$P$10)</f>
        <v>1365.8022741205277</v>
      </c>
      <c r="I1301" s="7">
        <f t="shared" si="43"/>
        <v>51210.802274120528</v>
      </c>
      <c r="J1301">
        <f>IFERROR(VLOOKUP(F1301,'LEAID Match'!$A$2:$B$227,2,FALSE),"")</f>
        <v>3816090</v>
      </c>
      <c r="K1301">
        <f t="shared" si="42"/>
        <v>8</v>
      </c>
      <c r="L1301" cm="1">
        <f t="array" ref="L1301">_xlfn.IFS(B1301=2015,G1301/$P$13,B1301=2016,G1301/$P$14,B1301=2017,G1301/$P$15,B1301=2018,G1301/$P$16,B1301=2019,G1301/$P$17,B1301=2019,G1301/$P$18,B1301=2020,G1301/$P$18,B1301=2021,G1301/$P$19,B1301=2022,G1301/$P$20)</f>
        <v>5.7507464173495908E-4</v>
      </c>
    </row>
    <row r="1302" spans="1:12" x14ac:dyDescent="0.2">
      <c r="A1302">
        <v>3816090</v>
      </c>
      <c r="B1302">
        <v>2019</v>
      </c>
      <c r="C1302" t="s">
        <v>252</v>
      </c>
      <c r="D1302" t="s">
        <v>254</v>
      </c>
      <c r="E1302" t="s">
        <v>256</v>
      </c>
      <c r="F1302" s="5" t="s">
        <v>204</v>
      </c>
      <c r="G1302" s="7">
        <v>53299</v>
      </c>
      <c r="H1302" s="7" cm="1">
        <f t="array" ref="H1302">_xlfn.IFS(B1302=2015,L1302*$P$3,B1302=2016,L1302*$P$4,B1302=2017,L1302*$P$5,B1302=2018,L1302*$P$6,B1302=2019,L1302*$P$7,B1302=2020,L1302*$P$8,B1302=2021,L1302*$P$9,B1302=2022,L1302*$P$10)</f>
        <v>1237.0604555565394</v>
      </c>
      <c r="I1302" s="7">
        <f t="shared" si="43"/>
        <v>54536.060455556537</v>
      </c>
      <c r="J1302">
        <f>IFERROR(VLOOKUP(F1302,'LEAID Match'!$A$2:$B$227,2,FALSE),"")</f>
        <v>3816090</v>
      </c>
      <c r="K1302">
        <f t="shared" si="42"/>
        <v>8</v>
      </c>
      <c r="L1302" cm="1">
        <f t="array" ref="L1302">_xlfn.IFS(B1302=2015,G1302/$P$13,B1302=2016,G1302/$P$14,B1302=2017,G1302/$P$15,B1302=2018,G1302/$P$16,B1302=2019,G1302/$P$17,B1302=2019,G1302/$P$18,B1302=2020,G1302/$P$18,B1302=2021,G1302/$P$19,B1302=2022,G1302/$P$20)</f>
        <v>5.9588653928542362E-4</v>
      </c>
    </row>
    <row r="1303" spans="1:12" x14ac:dyDescent="0.2">
      <c r="A1303">
        <v>3816090</v>
      </c>
      <c r="B1303">
        <v>2020</v>
      </c>
      <c r="C1303" t="s">
        <v>252</v>
      </c>
      <c r="D1303" t="s">
        <v>254</v>
      </c>
      <c r="E1303" t="s">
        <v>256</v>
      </c>
      <c r="F1303" s="5" t="s">
        <v>204</v>
      </c>
      <c r="G1303" s="7">
        <v>57889</v>
      </c>
      <c r="H1303" s="7" cm="1">
        <f t="array" ref="H1303">_xlfn.IFS(B1303=2015,L1303*$P$3,B1303=2016,L1303*$P$4,B1303=2017,L1303*$P$5,B1303=2018,L1303*$P$6,B1303=2019,L1303*$P$7,B1303=2020,L1303*$P$8,B1303=2021,L1303*$P$9,B1303=2022,L1303*$P$10)</f>
        <v>1452.3202858941984</v>
      </c>
      <c r="I1303" s="7">
        <f t="shared" si="43"/>
        <v>59341.320285894195</v>
      </c>
      <c r="J1303">
        <f>IFERROR(VLOOKUP(F1303,'LEAID Match'!$A$2:$B$227,2,FALSE),"")</f>
        <v>3816090</v>
      </c>
      <c r="K1303">
        <f t="shared" si="42"/>
        <v>8</v>
      </c>
      <c r="L1303" cm="1">
        <f t="array" ref="L1303">_xlfn.IFS(B1303=2015,G1303/$P$13,B1303=2016,G1303/$P$14,B1303=2017,G1303/$P$15,B1303=2018,G1303/$P$16,B1303=2019,G1303/$P$17,B1303=2019,G1303/$P$18,B1303=2020,G1303/$P$18,B1303=2021,G1303/$P$19,B1303=2022,G1303/$P$20)</f>
        <v>6.2224519532742004E-4</v>
      </c>
    </row>
    <row r="1304" spans="1:12" x14ac:dyDescent="0.2">
      <c r="A1304">
        <v>3816090</v>
      </c>
      <c r="B1304" s="5">
        <v>2021</v>
      </c>
      <c r="C1304" t="s">
        <v>252</v>
      </c>
      <c r="D1304" t="s">
        <v>254</v>
      </c>
      <c r="E1304" t="s">
        <v>256</v>
      </c>
      <c r="F1304" s="5" t="s">
        <v>204</v>
      </c>
      <c r="G1304" s="7">
        <v>49713</v>
      </c>
      <c r="H1304" s="7" cm="1">
        <f t="array" ref="H1304">_xlfn.IFS(B1304=2015,L1304*$P$3,B1304=2016,L1304*$P$4,B1304=2017,L1304*$P$5,B1304=2018,L1304*$P$6,B1304=2019,L1304*$P$7,B1304=2020,L1304*$P$8,B1304=2021,L1304*$P$9,B1304=2022,L1304*$P$10)</f>
        <v>1358.3726000900065</v>
      </c>
      <c r="I1304" s="7">
        <f t="shared" si="43"/>
        <v>51071.372600090006</v>
      </c>
      <c r="J1304">
        <f>IFERROR(VLOOKUP(F1304,'LEAID Match'!$A$2:$B$227,2,FALSE),"")</f>
        <v>3816090</v>
      </c>
      <c r="K1304">
        <f t="shared" si="42"/>
        <v>8</v>
      </c>
      <c r="L1304" cm="1">
        <f t="array" ref="L1304">_xlfn.IFS(B1304=2015,G1304/$P$13,B1304=2016,G1304/$P$14,B1304=2017,G1304/$P$15,B1304=2018,G1304/$P$16,B1304=2019,G1304/$P$17,B1304=2019,G1304/$P$18,B1304=2020,G1304/$P$18,B1304=2021,G1304/$P$19,B1304=2022,G1304/$P$20)</f>
        <v>5.0591158290130595E-4</v>
      </c>
    </row>
    <row r="1305" spans="1:12" x14ac:dyDescent="0.2">
      <c r="A1305">
        <v>3816090</v>
      </c>
      <c r="B1305">
        <v>2022</v>
      </c>
      <c r="C1305" t="s">
        <v>252</v>
      </c>
      <c r="D1305" t="s">
        <v>254</v>
      </c>
      <c r="E1305" t="s">
        <v>256</v>
      </c>
      <c r="F1305" s="5" t="s">
        <v>204</v>
      </c>
      <c r="G1305" s="7">
        <v>48374</v>
      </c>
      <c r="H1305" s="7" cm="1">
        <f t="array" ref="H1305">_xlfn.IFS(B1305=2015,L1305*$P$3,B1305=2016,L1305*$P$4,B1305=2017,L1305*$P$5,B1305=2018,L1305*$P$6,B1305=2019,L1305*$P$7,B1305=2020,L1305*$P$8,B1305=2021,L1305*$P$9,B1305=2022,L1305*$P$10)</f>
        <v>984.53488273814014</v>
      </c>
      <c r="I1305" s="7">
        <f t="shared" si="43"/>
        <v>49358.534882738139</v>
      </c>
      <c r="J1305">
        <f>IFERROR(VLOOKUP(F1305,'LEAID Match'!$A$2:$B$227,2,FALSE),"")</f>
        <v>3816090</v>
      </c>
      <c r="K1305">
        <f t="shared" si="42"/>
        <v>8</v>
      </c>
      <c r="L1305" cm="1">
        <f t="array" ref="L1305">_xlfn.IFS(B1305=2015,G1305/$P$13,B1305=2016,G1305/$P$14,B1305=2017,G1305/$P$15,B1305=2018,G1305/$P$16,B1305=2019,G1305/$P$17,B1305=2019,G1305/$P$18,B1305=2020,G1305/$P$18,B1305=2021,G1305/$P$19,B1305=2022,G1305/$P$20)</f>
        <v>4.8214244992073464E-4</v>
      </c>
    </row>
    <row r="1306" spans="1:12" x14ac:dyDescent="0.2">
      <c r="A1306">
        <v>3800395</v>
      </c>
      <c r="B1306">
        <v>2015</v>
      </c>
      <c r="C1306" t="s">
        <v>252</v>
      </c>
      <c r="D1306" t="s">
        <v>254</v>
      </c>
      <c r="E1306" t="s">
        <v>256</v>
      </c>
      <c r="F1306" s="5" t="s">
        <v>131</v>
      </c>
      <c r="G1306" s="7">
        <v>20416</v>
      </c>
      <c r="H1306" s="7" cm="1">
        <f t="array" ref="H1306">_xlfn.IFS(B1306=2015,L1306*$P$3,B1306=2016,L1306*$P$4,B1306=2017,L1306*$P$5,B1306=2018,L1306*$P$6,B1306=2019,L1306*$P$7,B1306=2020,L1306*$P$8,B1306=2021,L1306*$P$9,B1306=2022,L1306*$P$10)</f>
        <v>461.57356153431243</v>
      </c>
      <c r="I1306" s="7">
        <f t="shared" si="43"/>
        <v>20877.573561534311</v>
      </c>
      <c r="J1306">
        <f>IFERROR(VLOOKUP(F1306,'LEAID Match'!$A$2:$B$227,2,FALSE),"")</f>
        <v>3800395</v>
      </c>
      <c r="K1306">
        <f t="shared" si="42"/>
        <v>8</v>
      </c>
      <c r="L1306" cm="1">
        <f t="array" ref="L1306">_xlfn.IFS(B1306=2015,G1306/$P$13,B1306=2016,G1306/$P$14,B1306=2017,G1306/$P$15,B1306=2018,G1306/$P$16,B1306=2019,G1306/$P$17,B1306=2019,G1306/$P$18,B1306=2020,G1306/$P$18,B1306=2021,G1306/$P$19,B1306=2022,G1306/$P$20)</f>
        <v>2.6033477807913842E-4</v>
      </c>
    </row>
    <row r="1307" spans="1:12" x14ac:dyDescent="0.2">
      <c r="A1307">
        <v>3800395</v>
      </c>
      <c r="B1307">
        <v>2016</v>
      </c>
      <c r="C1307" t="s">
        <v>252</v>
      </c>
      <c r="D1307" t="s">
        <v>254</v>
      </c>
      <c r="E1307" t="s">
        <v>256</v>
      </c>
      <c r="F1307" s="5" t="s">
        <v>131</v>
      </c>
      <c r="G1307" s="7">
        <v>12167</v>
      </c>
      <c r="H1307" s="7" cm="1">
        <f t="array" ref="H1307">_xlfn.IFS(B1307=2015,L1307*$P$3,B1307=2016,L1307*$P$4,B1307=2017,L1307*$P$5,B1307=2018,L1307*$P$6,B1307=2019,L1307*$P$7,B1307=2020,L1307*$P$8,B1307=2021,L1307*$P$9,B1307=2022,L1307*$P$10)</f>
        <v>413.15547450178343</v>
      </c>
      <c r="I1307" s="7">
        <f t="shared" si="43"/>
        <v>12580.155474501784</v>
      </c>
      <c r="J1307">
        <f>IFERROR(VLOOKUP(F1307,'LEAID Match'!$A$2:$B$227,2,FALSE),"")</f>
        <v>3800395</v>
      </c>
      <c r="K1307">
        <f t="shared" si="42"/>
        <v>8</v>
      </c>
      <c r="L1307" cm="1">
        <f t="array" ref="L1307">_xlfn.IFS(B1307=2015,G1307/$P$13,B1307=2016,G1307/$P$14,B1307=2017,G1307/$P$15,B1307=2018,G1307/$P$16,B1307=2019,G1307/$P$17,B1307=2019,G1307/$P$18,B1307=2020,G1307/$P$18,B1307=2021,G1307/$P$19,B1307=2022,G1307/$P$20)</f>
        <v>1.4687361340269585E-4</v>
      </c>
    </row>
    <row r="1308" spans="1:12" x14ac:dyDescent="0.2">
      <c r="A1308">
        <v>3800395</v>
      </c>
      <c r="B1308">
        <v>2017</v>
      </c>
      <c r="C1308" t="s">
        <v>252</v>
      </c>
      <c r="D1308" t="s">
        <v>254</v>
      </c>
      <c r="E1308" t="s">
        <v>256</v>
      </c>
      <c r="F1308" s="5" t="s">
        <v>131</v>
      </c>
      <c r="G1308" s="7">
        <v>17640</v>
      </c>
      <c r="H1308" s="7" cm="1">
        <f t="array" ref="H1308">_xlfn.IFS(B1308=2015,L1308*$P$3,B1308=2016,L1308*$P$4,B1308=2017,L1308*$P$5,B1308=2018,L1308*$P$6,B1308=2019,L1308*$P$7,B1308=2020,L1308*$P$8,B1308=2021,L1308*$P$9,B1308=2022,L1308*$P$10)</f>
        <v>571.67801531377427</v>
      </c>
      <c r="I1308" s="7">
        <f t="shared" si="43"/>
        <v>18211.678015313773</v>
      </c>
      <c r="J1308">
        <f>IFERROR(VLOOKUP(F1308,'LEAID Match'!$A$2:$B$227,2,FALSE),"")</f>
        <v>3800395</v>
      </c>
      <c r="K1308">
        <f t="shared" si="42"/>
        <v>8</v>
      </c>
      <c r="L1308" cm="1">
        <f t="array" ref="L1308">_xlfn.IFS(B1308=2015,G1308/$P$13,B1308=2016,G1308/$P$14,B1308=2017,G1308/$P$15,B1308=2018,G1308/$P$16,B1308=2019,G1308/$P$17,B1308=2019,G1308/$P$18,B1308=2020,G1308/$P$18,B1308=2021,G1308/$P$19,B1308=2022,G1308/$P$20)</f>
        <v>2.0497598254348305E-4</v>
      </c>
    </row>
    <row r="1309" spans="1:12" x14ac:dyDescent="0.2">
      <c r="A1309">
        <v>3800395</v>
      </c>
      <c r="B1309" s="5">
        <v>2018</v>
      </c>
      <c r="C1309" t="s">
        <v>252</v>
      </c>
      <c r="D1309" t="s">
        <v>254</v>
      </c>
      <c r="E1309" t="s">
        <v>256</v>
      </c>
      <c r="F1309" s="5" t="s">
        <v>131</v>
      </c>
      <c r="G1309" s="7">
        <v>17678</v>
      </c>
      <c r="H1309" s="7" cm="1">
        <f t="array" ref="H1309">_xlfn.IFS(B1309=2015,L1309*$P$3,B1309=2016,L1309*$P$4,B1309=2017,L1309*$P$5,B1309=2018,L1309*$P$6,B1309=2019,L1309*$P$7,B1309=2020,L1309*$P$8,B1309=2021,L1309*$P$9,B1309=2022,L1309*$P$10)</f>
        <v>484.39467553220362</v>
      </c>
      <c r="I1309" s="7">
        <f t="shared" si="43"/>
        <v>18162.394675532203</v>
      </c>
      <c r="J1309">
        <f>IFERROR(VLOOKUP(F1309,'LEAID Match'!$A$2:$B$227,2,FALSE),"")</f>
        <v>3800395</v>
      </c>
      <c r="K1309">
        <f t="shared" si="42"/>
        <v>8</v>
      </c>
      <c r="L1309" cm="1">
        <f t="array" ref="L1309">_xlfn.IFS(B1309=2015,G1309/$P$13,B1309=2016,G1309/$P$14,B1309=2017,G1309/$P$15,B1309=2018,G1309/$P$16,B1309=2019,G1309/$P$17,B1309=2019,G1309/$P$18,B1309=2020,G1309/$P$18,B1309=2021,G1309/$P$19,B1309=2022,G1309/$P$20)</f>
        <v>2.0395565285566468E-4</v>
      </c>
    </row>
    <row r="1310" spans="1:12" x14ac:dyDescent="0.2">
      <c r="A1310">
        <v>3800395</v>
      </c>
      <c r="B1310">
        <v>2019</v>
      </c>
      <c r="C1310" t="s">
        <v>252</v>
      </c>
      <c r="D1310" t="s">
        <v>254</v>
      </c>
      <c r="E1310" t="s">
        <v>256</v>
      </c>
      <c r="F1310" s="5" t="s">
        <v>131</v>
      </c>
      <c r="G1310" s="7">
        <v>18293</v>
      </c>
      <c r="H1310" s="7" cm="1">
        <f t="array" ref="H1310">_xlfn.IFS(B1310=2015,L1310*$P$3,B1310=2016,L1310*$P$4,B1310=2017,L1310*$P$5,B1310=2018,L1310*$P$6,B1310=2019,L1310*$P$7,B1310=2020,L1310*$P$8,B1310=2021,L1310*$P$9,B1310=2022,L1310*$P$10)</f>
        <v>424.57732628183976</v>
      </c>
      <c r="I1310" s="7">
        <f t="shared" si="43"/>
        <v>18717.57732628184</v>
      </c>
      <c r="J1310">
        <f>IFERROR(VLOOKUP(F1310,'LEAID Match'!$A$2:$B$227,2,FALSE),"")</f>
        <v>3800395</v>
      </c>
      <c r="K1310">
        <f t="shared" si="42"/>
        <v>8</v>
      </c>
      <c r="L1310" cm="1">
        <f t="array" ref="L1310">_xlfn.IFS(B1310=2015,G1310/$P$13,B1310=2016,G1310/$P$14,B1310=2017,G1310/$P$15,B1310=2018,G1310/$P$16,B1310=2019,G1310/$P$17,B1310=2019,G1310/$P$18,B1310=2020,G1310/$P$18,B1310=2021,G1310/$P$19,B1310=2022,G1310/$P$20)</f>
        <v>2.0451701651341028E-4</v>
      </c>
    </row>
    <row r="1311" spans="1:12" x14ac:dyDescent="0.2">
      <c r="A1311">
        <v>3800395</v>
      </c>
      <c r="B1311">
        <v>2020</v>
      </c>
      <c r="C1311" t="s">
        <v>252</v>
      </c>
      <c r="D1311" t="s">
        <v>254</v>
      </c>
      <c r="E1311" t="s">
        <v>256</v>
      </c>
      <c r="F1311" s="5" t="s">
        <v>131</v>
      </c>
      <c r="G1311" s="7">
        <v>25331</v>
      </c>
      <c r="H1311" s="7" cm="1">
        <f t="array" ref="H1311">_xlfn.IFS(B1311=2015,L1311*$P$3,B1311=2016,L1311*$P$4,B1311=2017,L1311*$P$5,B1311=2018,L1311*$P$6,B1311=2019,L1311*$P$7,B1311=2020,L1311*$P$8,B1311=2021,L1311*$P$9,B1311=2022,L1311*$P$10)</f>
        <v>635.50458916177399</v>
      </c>
      <c r="I1311" s="7">
        <f t="shared" si="43"/>
        <v>25966.504589161774</v>
      </c>
      <c r="J1311">
        <f>IFERROR(VLOOKUP(F1311,'LEAID Match'!$A$2:$B$227,2,FALSE),"")</f>
        <v>3800395</v>
      </c>
      <c r="K1311">
        <f t="shared" si="42"/>
        <v>8</v>
      </c>
      <c r="L1311" cm="1">
        <f t="array" ref="L1311">_xlfn.IFS(B1311=2015,G1311/$P$13,B1311=2016,G1311/$P$14,B1311=2017,G1311/$P$15,B1311=2018,G1311/$P$16,B1311=2019,G1311/$P$17,B1311=2019,G1311/$P$18,B1311=2020,G1311/$P$18,B1311=2021,G1311/$P$19,B1311=2022,G1311/$P$20)</f>
        <v>2.7228131497933762E-4</v>
      </c>
    </row>
    <row r="1312" spans="1:12" x14ac:dyDescent="0.2">
      <c r="A1312">
        <v>3800395</v>
      </c>
      <c r="B1312" s="5">
        <v>2021</v>
      </c>
      <c r="C1312" t="s">
        <v>252</v>
      </c>
      <c r="D1312" t="s">
        <v>254</v>
      </c>
      <c r="E1312" t="s">
        <v>256</v>
      </c>
      <c r="F1312" s="5" t="s">
        <v>131</v>
      </c>
      <c r="G1312" s="7">
        <v>30155</v>
      </c>
      <c r="H1312" s="7" cm="1">
        <f t="array" ref="H1312">_xlfn.IFS(B1312=2015,L1312*$P$3,B1312=2016,L1312*$P$4,B1312=2017,L1312*$P$5,B1312=2018,L1312*$P$6,B1312=2019,L1312*$P$7,B1312=2020,L1312*$P$8,B1312=2021,L1312*$P$9,B1312=2022,L1312*$P$10)</f>
        <v>823.96406886959426</v>
      </c>
      <c r="I1312" s="7">
        <f t="shared" si="43"/>
        <v>30978.964068869594</v>
      </c>
      <c r="J1312">
        <f>IFERROR(VLOOKUP(F1312,'LEAID Match'!$A$2:$B$227,2,FALSE),"")</f>
        <v>3800395</v>
      </c>
      <c r="K1312">
        <f t="shared" si="42"/>
        <v>8</v>
      </c>
      <c r="L1312" cm="1">
        <f t="array" ref="L1312">_xlfn.IFS(B1312=2015,G1312/$P$13,B1312=2016,G1312/$P$14,B1312=2017,G1312/$P$15,B1312=2018,G1312/$P$16,B1312=2019,G1312/$P$17,B1312=2019,G1312/$P$18,B1312=2020,G1312/$P$18,B1312=2021,G1312/$P$19,B1312=2022,G1312/$P$20)</f>
        <v>3.0687674818234424E-4</v>
      </c>
    </row>
    <row r="1313" spans="1:12" x14ac:dyDescent="0.2">
      <c r="A1313">
        <v>3800395</v>
      </c>
      <c r="B1313">
        <v>2022</v>
      </c>
      <c r="C1313" t="s">
        <v>252</v>
      </c>
      <c r="D1313" t="s">
        <v>254</v>
      </c>
      <c r="E1313" t="s">
        <v>256</v>
      </c>
      <c r="F1313" s="5" t="s">
        <v>131</v>
      </c>
      <c r="G1313" s="7">
        <v>34602</v>
      </c>
      <c r="H1313" s="7" cm="1">
        <f t="array" ref="H1313">_xlfn.IFS(B1313=2015,L1313*$P$3,B1313=2016,L1313*$P$4,B1313=2017,L1313*$P$5,B1313=2018,L1313*$P$6,B1313=2019,L1313*$P$7,B1313=2020,L1313*$P$8,B1313=2021,L1313*$P$9,B1313=2022,L1313*$P$10)</f>
        <v>704.23938505199328</v>
      </c>
      <c r="I1313" s="7">
        <f t="shared" si="43"/>
        <v>35306.239385051995</v>
      </c>
      <c r="J1313">
        <f>IFERROR(VLOOKUP(F1313,'LEAID Match'!$A$2:$B$227,2,FALSE),"")</f>
        <v>3800395</v>
      </c>
      <c r="K1313">
        <f t="shared" si="42"/>
        <v>8</v>
      </c>
      <c r="L1313" cm="1">
        <f t="array" ref="L1313">_xlfn.IFS(B1313=2015,G1313/$P$13,B1313=2016,G1313/$P$14,B1313=2017,G1313/$P$15,B1313=2018,G1313/$P$16,B1313=2019,G1313/$P$17,B1313=2019,G1313/$P$18,B1313=2020,G1313/$P$18,B1313=2021,G1313/$P$19,B1313=2022,G1313/$P$20)</f>
        <v>3.4487726985895853E-4</v>
      </c>
    </row>
    <row r="1314" spans="1:12" x14ac:dyDescent="0.2">
      <c r="A1314">
        <v>0</v>
      </c>
      <c r="B1314">
        <v>2015</v>
      </c>
      <c r="C1314" t="s">
        <v>252</v>
      </c>
      <c r="D1314" t="s">
        <v>254</v>
      </c>
      <c r="E1314" t="s">
        <v>256</v>
      </c>
      <c r="F1314" s="5" t="s">
        <v>132</v>
      </c>
      <c r="G1314" s="7">
        <v>24392</v>
      </c>
      <c r="H1314" s="7" cm="1">
        <f t="array" ref="H1314">_xlfn.IFS(B1314=2015,L1314*$P$3,B1314=2016,L1314*$P$4,B1314=2017,L1314*$P$5,B1314=2018,L1314*$P$6,B1314=2019,L1314*$P$7,B1314=2020,L1314*$P$8,B1314=2021,L1314*$P$9,B1314=2022,L1314*$P$10)</f>
        <v>551.46465090835363</v>
      </c>
      <c r="I1314" s="7">
        <f t="shared" si="43"/>
        <v>24943.464650908354</v>
      </c>
      <c r="J1314">
        <f>IFERROR(VLOOKUP(F1314,'LEAID Match'!$A$2:$B$227,2,FALSE),"")</f>
        <v>0</v>
      </c>
      <c r="K1314">
        <f t="shared" si="42"/>
        <v>130</v>
      </c>
      <c r="L1314" cm="1">
        <f t="array" ref="L1314">_xlfn.IFS(B1314=2015,G1314/$P$13,B1314=2016,G1314/$P$14,B1314=2017,G1314/$P$15,B1314=2018,G1314/$P$16,B1314=2019,G1314/$P$17,B1314=2019,G1314/$P$18,B1314=2020,G1314/$P$18,B1314=2021,G1314/$P$19,B1314=2022,G1314/$P$20)</f>
        <v>3.1103477208592988E-4</v>
      </c>
    </row>
    <row r="1315" spans="1:12" x14ac:dyDescent="0.2">
      <c r="A1315">
        <v>0</v>
      </c>
      <c r="B1315">
        <v>2016</v>
      </c>
      <c r="C1315" t="s">
        <v>252</v>
      </c>
      <c r="D1315" t="s">
        <v>254</v>
      </c>
      <c r="E1315" t="s">
        <v>256</v>
      </c>
      <c r="F1315" s="5" t="s">
        <v>132</v>
      </c>
      <c r="G1315" s="7">
        <v>38617</v>
      </c>
      <c r="H1315" s="7" cm="1">
        <f t="array" ref="H1315">_xlfn.IFS(B1315=2015,L1315*$P$3,B1315=2016,L1315*$P$4,B1315=2017,L1315*$P$5,B1315=2018,L1315*$P$6,B1315=2019,L1315*$P$7,B1315=2020,L1315*$P$8,B1315=2021,L1315*$P$9,B1315=2022,L1315*$P$10)</f>
        <v>1311.3195495056605</v>
      </c>
      <c r="I1315" s="7">
        <f t="shared" si="43"/>
        <v>39928.319549505657</v>
      </c>
      <c r="J1315">
        <f>IFERROR(VLOOKUP(F1315,'LEAID Match'!$A$2:$B$227,2,FALSE),"")</f>
        <v>0</v>
      </c>
      <c r="K1315">
        <f t="shared" si="42"/>
        <v>130</v>
      </c>
      <c r="L1315" cm="1">
        <f t="array" ref="L1315">_xlfn.IFS(B1315=2015,G1315/$P$13,B1315=2016,G1315/$P$14,B1315=2017,G1315/$P$15,B1315=2018,G1315/$P$16,B1315=2019,G1315/$P$17,B1315=2019,G1315/$P$18,B1315=2020,G1315/$P$18,B1315=2021,G1315/$P$19,B1315=2022,G1315/$P$20)</f>
        <v>4.6616407732159989E-4</v>
      </c>
    </row>
    <row r="1316" spans="1:12" x14ac:dyDescent="0.2">
      <c r="A1316">
        <v>0</v>
      </c>
      <c r="B1316">
        <v>2017</v>
      </c>
      <c r="C1316" t="s">
        <v>252</v>
      </c>
      <c r="D1316" t="s">
        <v>254</v>
      </c>
      <c r="E1316" t="s">
        <v>256</v>
      </c>
      <c r="F1316" s="5" t="s">
        <v>132</v>
      </c>
      <c r="G1316" s="7">
        <v>38936</v>
      </c>
      <c r="H1316" s="7" cm="1">
        <f t="array" ref="H1316">_xlfn.IFS(B1316=2015,L1316*$P$3,B1316=2016,L1316*$P$4,B1316=2017,L1316*$P$5,B1316=2018,L1316*$P$6,B1316=2019,L1316*$P$7,B1316=2020,L1316*$P$8,B1316=2021,L1316*$P$9,B1316=2022,L1316*$P$10)</f>
        <v>1261.8398641869112</v>
      </c>
      <c r="I1316" s="7">
        <f t="shared" si="43"/>
        <v>40197.839864186913</v>
      </c>
      <c r="J1316">
        <f>IFERROR(VLOOKUP(F1316,'LEAID Match'!$A$2:$B$227,2,FALSE),"")</f>
        <v>0</v>
      </c>
      <c r="K1316">
        <f t="shared" si="42"/>
        <v>130</v>
      </c>
      <c r="L1316" cm="1">
        <f t="array" ref="L1316">_xlfn.IFS(B1316=2015,G1316/$P$13,B1316=2016,G1316/$P$14,B1316=2017,G1316/$P$15,B1316=2018,G1316/$P$16,B1316=2019,G1316/$P$17,B1316=2019,G1316/$P$18,B1316=2020,G1316/$P$18,B1316=2021,G1316/$P$19,B1316=2022,G1316/$P$20)</f>
        <v>4.5243451566400546E-4</v>
      </c>
    </row>
    <row r="1317" spans="1:12" x14ac:dyDescent="0.2">
      <c r="A1317">
        <v>0</v>
      </c>
      <c r="B1317" s="5">
        <v>2018</v>
      </c>
      <c r="C1317" t="s">
        <v>252</v>
      </c>
      <c r="D1317" t="s">
        <v>254</v>
      </c>
      <c r="E1317" t="s">
        <v>256</v>
      </c>
      <c r="F1317" s="5" t="s">
        <v>132</v>
      </c>
      <c r="G1317" s="7">
        <v>33029</v>
      </c>
      <c r="H1317" s="7" cm="1">
        <f t="array" ref="H1317">_xlfn.IFS(B1317=2015,L1317*$P$3,B1317=2016,L1317*$P$4,B1317=2017,L1317*$P$5,B1317=2018,L1317*$P$6,B1317=2019,L1317*$P$7,B1317=2020,L1317*$P$8,B1317=2021,L1317*$P$9,B1317=2022,L1317*$P$10)</f>
        <v>905.02725071575708</v>
      </c>
      <c r="I1317" s="7">
        <f t="shared" si="43"/>
        <v>33934.027250715757</v>
      </c>
      <c r="J1317">
        <f>IFERROR(VLOOKUP(F1317,'LEAID Match'!$A$2:$B$227,2,FALSE),"")</f>
        <v>0</v>
      </c>
      <c r="K1317">
        <f t="shared" si="42"/>
        <v>130</v>
      </c>
      <c r="L1317" cm="1">
        <f t="array" ref="L1317">_xlfn.IFS(B1317=2015,G1317/$P$13,B1317=2016,G1317/$P$14,B1317=2017,G1317/$P$15,B1317=2018,G1317/$P$16,B1317=2019,G1317/$P$17,B1317=2019,G1317/$P$18,B1317=2020,G1317/$P$18,B1317=2021,G1317/$P$19,B1317=2022,G1317/$P$20)</f>
        <v>3.8106410556452931E-4</v>
      </c>
    </row>
    <row r="1318" spans="1:12" x14ac:dyDescent="0.2">
      <c r="A1318">
        <v>0</v>
      </c>
      <c r="B1318">
        <v>2019</v>
      </c>
      <c r="C1318" t="s">
        <v>252</v>
      </c>
      <c r="D1318" t="s">
        <v>254</v>
      </c>
      <c r="E1318" t="s">
        <v>256</v>
      </c>
      <c r="F1318" s="5" t="s">
        <v>132</v>
      </c>
      <c r="G1318" s="7">
        <v>24698</v>
      </c>
      <c r="H1318" s="7" cm="1">
        <f t="array" ref="H1318">_xlfn.IFS(B1318=2015,L1318*$P$3,B1318=2016,L1318*$P$4,B1318=2017,L1318*$P$5,B1318=2018,L1318*$P$6,B1318=2019,L1318*$P$7,B1318=2020,L1318*$P$8,B1318=2021,L1318*$P$9,B1318=2022,L1318*$P$10)</f>
        <v>573.23625455140632</v>
      </c>
      <c r="I1318" s="7">
        <f t="shared" si="43"/>
        <v>25271.236254551408</v>
      </c>
      <c r="J1318">
        <f>IFERROR(VLOOKUP(F1318,'LEAID Match'!$A$2:$B$227,2,FALSE),"")</f>
        <v>0</v>
      </c>
      <c r="K1318">
        <f t="shared" si="42"/>
        <v>130</v>
      </c>
      <c r="L1318" cm="1">
        <f t="array" ref="L1318">_xlfn.IFS(B1318=2015,G1318/$P$13,B1318=2016,G1318/$P$14,B1318=2017,G1318/$P$15,B1318=2018,G1318/$P$16,B1318=2019,G1318/$P$17,B1318=2019,G1318/$P$18,B1318=2020,G1318/$P$18,B1318=2021,G1318/$P$19,B1318=2022,G1318/$P$20)</f>
        <v>2.7612536346406858E-4</v>
      </c>
    </row>
    <row r="1319" spans="1:12" x14ac:dyDescent="0.2">
      <c r="A1319">
        <v>0</v>
      </c>
      <c r="B1319">
        <v>2020</v>
      </c>
      <c r="C1319" t="s">
        <v>252</v>
      </c>
      <c r="D1319" t="s">
        <v>254</v>
      </c>
      <c r="E1319" t="s">
        <v>256</v>
      </c>
      <c r="F1319" s="5" t="s">
        <v>132</v>
      </c>
      <c r="G1319" s="7">
        <v>25208</v>
      </c>
      <c r="H1319" s="7" cm="1">
        <f t="array" ref="H1319">_xlfn.IFS(B1319=2015,L1319*$P$3,B1319=2016,L1319*$P$4,B1319=2017,L1319*$P$5,B1319=2018,L1319*$P$6,B1319=2019,L1319*$P$7,B1319=2020,L1319*$P$8,B1319=2021,L1319*$P$9,B1319=2022,L1319*$P$10)</f>
        <v>632.41876292250606</v>
      </c>
      <c r="I1319" s="7">
        <f t="shared" si="43"/>
        <v>25840.418762922505</v>
      </c>
      <c r="J1319">
        <f>IFERROR(VLOOKUP(F1319,'LEAID Match'!$A$2:$B$227,2,FALSE),"")</f>
        <v>0</v>
      </c>
      <c r="K1319">
        <f t="shared" si="42"/>
        <v>130</v>
      </c>
      <c r="L1319" cm="1">
        <f t="array" ref="L1319">_xlfn.IFS(B1319=2015,G1319/$P$13,B1319=2016,G1319/$P$14,B1319=2017,G1319/$P$15,B1319=2018,G1319/$P$16,B1319=2019,G1319/$P$17,B1319=2019,G1319/$P$18,B1319=2020,G1319/$P$18,B1319=2021,G1319/$P$19,B1319=2022,G1319/$P$20)</f>
        <v>2.7095919576799744E-4</v>
      </c>
    </row>
    <row r="1320" spans="1:12" x14ac:dyDescent="0.2">
      <c r="A1320">
        <v>0</v>
      </c>
      <c r="B1320" s="5">
        <v>2021</v>
      </c>
      <c r="C1320" t="s">
        <v>252</v>
      </c>
      <c r="D1320" t="s">
        <v>254</v>
      </c>
      <c r="E1320" t="s">
        <v>256</v>
      </c>
      <c r="F1320" s="5" t="s">
        <v>132</v>
      </c>
      <c r="G1320" s="7">
        <v>25591</v>
      </c>
      <c r="H1320" s="7" cm="1">
        <f t="array" ref="H1320">_xlfn.IFS(B1320=2015,L1320*$P$3,B1320=2016,L1320*$P$4,B1320=2017,L1320*$P$5,B1320=2018,L1320*$P$6,B1320=2019,L1320*$P$7,B1320=2020,L1320*$P$8,B1320=2021,L1320*$P$9,B1320=2022,L1320*$P$10)</f>
        <v>699.25599358122315</v>
      </c>
      <c r="I1320" s="7">
        <f t="shared" si="43"/>
        <v>26290.255993581224</v>
      </c>
      <c r="J1320">
        <f>IFERROR(VLOOKUP(F1320,'LEAID Match'!$A$2:$B$227,2,FALSE),"")</f>
        <v>0</v>
      </c>
      <c r="K1320">
        <f t="shared" si="42"/>
        <v>130</v>
      </c>
      <c r="L1320" cm="1">
        <f t="array" ref="L1320">_xlfn.IFS(B1320=2015,G1320/$P$13,B1320=2016,G1320/$P$14,B1320=2017,G1320/$P$15,B1320=2018,G1320/$P$16,B1320=2019,G1320/$P$17,B1320=2019,G1320/$P$18,B1320=2020,G1320/$P$18,B1320=2021,G1320/$P$19,B1320=2022,G1320/$P$20)</f>
        <v>2.6043053764663806E-4</v>
      </c>
    </row>
    <row r="1321" spans="1:12" x14ac:dyDescent="0.2">
      <c r="A1321">
        <v>0</v>
      </c>
      <c r="B1321">
        <v>2022</v>
      </c>
      <c r="C1321" t="s">
        <v>252</v>
      </c>
      <c r="D1321" t="s">
        <v>254</v>
      </c>
      <c r="E1321" t="s">
        <v>256</v>
      </c>
      <c r="F1321" s="5" t="s">
        <v>132</v>
      </c>
      <c r="G1321" s="7">
        <v>26356</v>
      </c>
      <c r="H1321" s="7" cm="1">
        <f t="array" ref="H1321">_xlfn.IFS(B1321=2015,L1321*$P$3,B1321=2016,L1321*$P$4,B1321=2017,L1321*$P$5,B1321=2018,L1321*$P$6,B1321=2019,L1321*$P$7,B1321=2020,L1321*$P$8,B1321=2021,L1321*$P$9,B1321=2022,L1321*$P$10)</f>
        <v>536.41215052396785</v>
      </c>
      <c r="I1321" s="7">
        <f t="shared" si="43"/>
        <v>26892.412150523967</v>
      </c>
      <c r="J1321">
        <f>IFERROR(VLOOKUP(F1321,'LEAID Match'!$A$2:$B$227,2,FALSE),"")</f>
        <v>0</v>
      </c>
      <c r="K1321">
        <f t="shared" si="42"/>
        <v>130</v>
      </c>
      <c r="L1321" cm="1">
        <f t="array" ref="L1321">_xlfn.IFS(B1321=2015,G1321/$P$13,B1321=2016,G1321/$P$14,B1321=2017,G1321/$P$15,B1321=2018,G1321/$P$16,B1321=2019,G1321/$P$17,B1321=2019,G1321/$P$18,B1321=2020,G1321/$P$18,B1321=2021,G1321/$P$19,B1321=2022,G1321/$P$20)</f>
        <v>2.626895937923447E-4</v>
      </c>
    </row>
    <row r="1322" spans="1:12" x14ac:dyDescent="0.2">
      <c r="A1322">
        <v>3816130</v>
      </c>
      <c r="B1322">
        <v>2015</v>
      </c>
      <c r="C1322" t="s">
        <v>252</v>
      </c>
      <c r="D1322" t="s">
        <v>254</v>
      </c>
      <c r="E1322" t="s">
        <v>256</v>
      </c>
      <c r="F1322" s="5" t="s">
        <v>133</v>
      </c>
      <c r="G1322" s="7">
        <v>392139</v>
      </c>
      <c r="H1322" s="7" cm="1">
        <f t="array" ref="H1322">_xlfn.IFS(B1322=2015,L1322*$P$3,B1322=2016,L1322*$P$4,B1322=2017,L1322*$P$5,B1322=2018,L1322*$P$6,B1322=2019,L1322*$P$7,B1322=2020,L1322*$P$8,B1322=2021,L1322*$P$9,B1322=2022,L1322*$P$10)</f>
        <v>8865.6443400521021</v>
      </c>
      <c r="I1322" s="7">
        <f t="shared" si="43"/>
        <v>401004.64434005209</v>
      </c>
      <c r="J1322">
        <f>IFERROR(VLOOKUP(F1322,'LEAID Match'!$A$2:$B$227,2,FALSE),"")</f>
        <v>3816130</v>
      </c>
      <c r="K1322">
        <f t="shared" si="42"/>
        <v>8</v>
      </c>
      <c r="L1322" cm="1">
        <f t="array" ref="L1322">_xlfn.IFS(B1322=2015,G1322/$P$13,B1322=2016,G1322/$P$14,B1322=2017,G1322/$P$15,B1322=2018,G1322/$P$16,B1322=2019,G1322/$P$17,B1322=2019,G1322/$P$18,B1322=2020,G1322/$P$18,B1322=2021,G1322/$P$19,B1322=2022,G1322/$P$20)</f>
        <v>5.0003634179650886E-3</v>
      </c>
    </row>
    <row r="1323" spans="1:12" x14ac:dyDescent="0.2">
      <c r="A1323">
        <v>3816130</v>
      </c>
      <c r="B1323">
        <v>2016</v>
      </c>
      <c r="C1323" t="s">
        <v>252</v>
      </c>
      <c r="D1323" t="s">
        <v>254</v>
      </c>
      <c r="E1323" t="s">
        <v>256</v>
      </c>
      <c r="F1323" s="5" t="s">
        <v>133</v>
      </c>
      <c r="G1323" s="7">
        <v>410081</v>
      </c>
      <c r="H1323" s="7" cm="1">
        <f t="array" ref="H1323">_xlfn.IFS(B1323=2015,L1323*$P$3,B1323=2016,L1323*$P$4,B1323=2017,L1323*$P$5,B1323=2018,L1323*$P$6,B1323=2019,L1323*$P$7,B1323=2020,L1323*$P$8,B1323=2021,L1323*$P$9,B1323=2022,L1323*$P$10)</f>
        <v>13925.142610270883</v>
      </c>
      <c r="I1323" s="7">
        <f t="shared" si="43"/>
        <v>424006.14261027088</v>
      </c>
      <c r="J1323">
        <f>IFERROR(VLOOKUP(F1323,'LEAID Match'!$A$2:$B$227,2,FALSE),"")</f>
        <v>3816130</v>
      </c>
      <c r="K1323">
        <f t="shared" si="42"/>
        <v>8</v>
      </c>
      <c r="L1323" cm="1">
        <f t="array" ref="L1323">_xlfn.IFS(B1323=2015,G1323/$P$13,B1323=2016,G1323/$P$14,B1323=2017,G1323/$P$15,B1323=2018,G1323/$P$16,B1323=2019,G1323/$P$17,B1323=2019,G1323/$P$18,B1323=2020,G1323/$P$18,B1323=2021,G1323/$P$19,B1323=2022,G1323/$P$20)</f>
        <v>4.950281766893311E-3</v>
      </c>
    </row>
    <row r="1324" spans="1:12" x14ac:dyDescent="0.2">
      <c r="A1324">
        <v>3816130</v>
      </c>
      <c r="B1324">
        <v>2017</v>
      </c>
      <c r="C1324" t="s">
        <v>252</v>
      </c>
      <c r="D1324" t="s">
        <v>254</v>
      </c>
      <c r="E1324" t="s">
        <v>256</v>
      </c>
      <c r="F1324" s="5" t="s">
        <v>133</v>
      </c>
      <c r="G1324" s="7">
        <v>424002</v>
      </c>
      <c r="H1324" s="7" cm="1">
        <f t="array" ref="H1324">_xlfn.IFS(B1324=2015,L1324*$P$3,B1324=2016,L1324*$P$4,B1324=2017,L1324*$P$5,B1324=2018,L1324*$P$6,B1324=2019,L1324*$P$7,B1324=2020,L1324*$P$8,B1324=2021,L1324*$P$9,B1324=2022,L1324*$P$10)</f>
        <v>13741.078336115132</v>
      </c>
      <c r="I1324" s="7">
        <f t="shared" si="43"/>
        <v>437743.07833611511</v>
      </c>
      <c r="J1324">
        <f>IFERROR(VLOOKUP(F1324,'LEAID Match'!$A$2:$B$227,2,FALSE),"")</f>
        <v>3816130</v>
      </c>
      <c r="K1324">
        <f t="shared" si="42"/>
        <v>8</v>
      </c>
      <c r="L1324" cm="1">
        <f t="array" ref="L1324">_xlfn.IFS(B1324=2015,G1324/$P$13,B1324=2016,G1324/$P$14,B1324=2017,G1324/$P$15,B1324=2018,G1324/$P$16,B1324=2019,G1324/$P$17,B1324=2019,G1324/$P$18,B1324=2020,G1324/$P$18,B1324=2021,G1324/$P$19,B1324=2022,G1324/$P$20)</f>
        <v>4.9268835912926251E-3</v>
      </c>
    </row>
    <row r="1325" spans="1:12" x14ac:dyDescent="0.2">
      <c r="A1325">
        <v>3816130</v>
      </c>
      <c r="B1325" s="5">
        <v>2018</v>
      </c>
      <c r="C1325" t="s">
        <v>252</v>
      </c>
      <c r="D1325" t="s">
        <v>254</v>
      </c>
      <c r="E1325" t="s">
        <v>256</v>
      </c>
      <c r="F1325" s="5" t="s">
        <v>133</v>
      </c>
      <c r="G1325" s="7">
        <v>426052</v>
      </c>
      <c r="H1325" s="7" cm="1">
        <f t="array" ref="H1325">_xlfn.IFS(B1325=2015,L1325*$P$3,B1325=2016,L1325*$P$4,B1325=2017,L1325*$P$5,B1325=2018,L1325*$P$6,B1325=2019,L1325*$P$7,B1325=2020,L1325*$P$8,B1325=2021,L1325*$P$9,B1325=2022,L1325*$P$10)</f>
        <v>11674.245972386379</v>
      </c>
      <c r="I1325" s="7">
        <f t="shared" si="43"/>
        <v>437726.24597238639</v>
      </c>
      <c r="J1325">
        <f>IFERROR(VLOOKUP(F1325,'LEAID Match'!$A$2:$B$227,2,FALSE),"")</f>
        <v>3816130</v>
      </c>
      <c r="K1325">
        <f t="shared" si="42"/>
        <v>8</v>
      </c>
      <c r="L1325" cm="1">
        <f t="array" ref="L1325">_xlfn.IFS(B1325=2015,G1325/$P$13,B1325=2016,G1325/$P$14,B1325=2017,G1325/$P$15,B1325=2018,G1325/$P$16,B1325=2019,G1325/$P$17,B1325=2019,G1325/$P$18,B1325=2020,G1325/$P$18,B1325=2021,G1325/$P$19,B1325=2022,G1325/$P$20)</f>
        <v>4.9154719883732125E-3</v>
      </c>
    </row>
    <row r="1326" spans="1:12" x14ac:dyDescent="0.2">
      <c r="A1326">
        <v>3816130</v>
      </c>
      <c r="B1326">
        <v>2019</v>
      </c>
      <c r="C1326" t="s">
        <v>252</v>
      </c>
      <c r="D1326" t="s">
        <v>254</v>
      </c>
      <c r="E1326" t="s">
        <v>256</v>
      </c>
      <c r="F1326" s="5" t="s">
        <v>133</v>
      </c>
      <c r="G1326" s="7">
        <v>445407</v>
      </c>
      <c r="H1326" s="7" cm="1">
        <f t="array" ref="H1326">_xlfn.IFS(B1326=2015,L1326*$P$3,B1326=2016,L1326*$P$4,B1326=2017,L1326*$P$5,B1326=2018,L1326*$P$6,B1326=2019,L1326*$P$7,B1326=2020,L1326*$P$8,B1326=2021,L1326*$P$9,B1326=2022,L1326*$P$10)</f>
        <v>10337.818464287728</v>
      </c>
      <c r="I1326" s="7">
        <f t="shared" si="43"/>
        <v>455744.81846428773</v>
      </c>
      <c r="J1326">
        <f>IFERROR(VLOOKUP(F1326,'LEAID Match'!$A$2:$B$227,2,FALSE),"")</f>
        <v>3816130</v>
      </c>
      <c r="K1326">
        <f t="shared" si="42"/>
        <v>8</v>
      </c>
      <c r="L1326" cm="1">
        <f t="array" ref="L1326">_xlfn.IFS(B1326=2015,G1326/$P$13,B1326=2016,G1326/$P$14,B1326=2017,G1326/$P$15,B1326=2018,G1326/$P$16,B1326=2019,G1326/$P$17,B1326=2019,G1326/$P$18,B1326=2020,G1326/$P$18,B1326=2021,G1326/$P$19,B1326=2022,G1326/$P$20)</f>
        <v>4.9796813411790595E-3</v>
      </c>
    </row>
    <row r="1327" spans="1:12" x14ac:dyDescent="0.2">
      <c r="A1327">
        <v>3816130</v>
      </c>
      <c r="B1327">
        <v>2020</v>
      </c>
      <c r="C1327" t="s">
        <v>252</v>
      </c>
      <c r="D1327" t="s">
        <v>254</v>
      </c>
      <c r="E1327" t="s">
        <v>256</v>
      </c>
      <c r="F1327" s="5" t="s">
        <v>133</v>
      </c>
      <c r="G1327" s="7">
        <v>482217</v>
      </c>
      <c r="H1327" s="7" cm="1">
        <f t="array" ref="H1327">_xlfn.IFS(B1327=2015,L1327*$P$3,B1327=2016,L1327*$P$4,B1327=2017,L1327*$P$5,B1327=2018,L1327*$P$6,B1327=2019,L1327*$P$7,B1327=2020,L1327*$P$8,B1327=2021,L1327*$P$9,B1327=2022,L1327*$P$10)</f>
        <v>12097.868874968346</v>
      </c>
      <c r="I1327" s="7">
        <f t="shared" si="43"/>
        <v>494314.86887496832</v>
      </c>
      <c r="J1327">
        <f>IFERROR(VLOOKUP(F1327,'LEAID Match'!$A$2:$B$227,2,FALSE),"")</f>
        <v>3816130</v>
      </c>
      <c r="K1327">
        <f t="shared" si="42"/>
        <v>8</v>
      </c>
      <c r="L1327" cm="1">
        <f t="array" ref="L1327">_xlfn.IFS(B1327=2015,G1327/$P$13,B1327=2016,G1327/$P$14,B1327=2017,G1327/$P$15,B1327=2018,G1327/$P$16,B1327=2019,G1327/$P$17,B1327=2019,G1327/$P$18,B1327=2020,G1327/$P$18,B1327=2021,G1327/$P$19,B1327=2022,G1327/$P$20)</f>
        <v>5.1833199978441932E-3</v>
      </c>
    </row>
    <row r="1328" spans="1:12" x14ac:dyDescent="0.2">
      <c r="A1328">
        <v>3816130</v>
      </c>
      <c r="B1328" s="5">
        <v>2021</v>
      </c>
      <c r="C1328" t="s">
        <v>252</v>
      </c>
      <c r="D1328" t="s">
        <v>254</v>
      </c>
      <c r="E1328" t="s">
        <v>256</v>
      </c>
      <c r="F1328" s="5" t="s">
        <v>133</v>
      </c>
      <c r="G1328" s="7">
        <v>510703</v>
      </c>
      <c r="H1328" s="7" cm="1">
        <f t="array" ref="H1328">_xlfn.IFS(B1328=2015,L1328*$P$3,B1328=2016,L1328*$P$4,B1328=2017,L1328*$P$5,B1328=2018,L1328*$P$6,B1328=2019,L1328*$P$7,B1328=2020,L1328*$P$8,B1328=2021,L1328*$P$9,B1328=2022,L1328*$P$10)</f>
        <v>13954.598635845083</v>
      </c>
      <c r="I1328" s="7">
        <f t="shared" si="43"/>
        <v>524657.59863584512</v>
      </c>
      <c r="J1328">
        <f>IFERROR(VLOOKUP(F1328,'LEAID Match'!$A$2:$B$227,2,FALSE),"")</f>
        <v>3816130</v>
      </c>
      <c r="K1328">
        <f t="shared" si="42"/>
        <v>8</v>
      </c>
      <c r="L1328" cm="1">
        <f t="array" ref="L1328">_xlfn.IFS(B1328=2015,G1328/$P$13,B1328=2016,G1328/$P$14,B1328=2017,G1328/$P$15,B1328=2018,G1328/$P$16,B1328=2019,G1328/$P$17,B1328=2019,G1328/$P$18,B1328=2020,G1328/$P$18,B1328=2021,G1328/$P$19,B1328=2022,G1328/$P$20)</f>
        <v>5.1972434397933266E-3</v>
      </c>
    </row>
    <row r="1329" spans="1:12" x14ac:dyDescent="0.2">
      <c r="A1329">
        <v>3816130</v>
      </c>
      <c r="B1329">
        <v>2022</v>
      </c>
      <c r="C1329" t="s">
        <v>252</v>
      </c>
      <c r="D1329" t="s">
        <v>254</v>
      </c>
      <c r="E1329" t="s">
        <v>256</v>
      </c>
      <c r="F1329" s="5" t="s">
        <v>133</v>
      </c>
      <c r="G1329" s="7">
        <v>506784</v>
      </c>
      <c r="H1329" s="7" cm="1">
        <f t="array" ref="H1329">_xlfn.IFS(B1329=2015,L1329*$P$3,B1329=2016,L1329*$P$4,B1329=2017,L1329*$P$5,B1329=2018,L1329*$P$6,B1329=2019,L1329*$P$7,B1329=2020,L1329*$P$8,B1329=2021,L1329*$P$9,B1329=2022,L1329*$P$10)</f>
        <v>10314.35328923731</v>
      </c>
      <c r="I1329" s="7">
        <f t="shared" si="43"/>
        <v>517098.3532892373</v>
      </c>
      <c r="J1329">
        <f>IFERROR(VLOOKUP(F1329,'LEAID Match'!$A$2:$B$227,2,FALSE),"")</f>
        <v>3816130</v>
      </c>
      <c r="K1329">
        <f t="shared" si="42"/>
        <v>8</v>
      </c>
      <c r="L1329" cm="1">
        <f t="array" ref="L1329">_xlfn.IFS(B1329=2015,G1329/$P$13,B1329=2016,G1329/$P$14,B1329=2017,G1329/$P$15,B1329=2018,G1329/$P$16,B1329=2019,G1329/$P$17,B1329=2019,G1329/$P$18,B1329=2020,G1329/$P$18,B1329=2021,G1329/$P$19,B1329=2022,G1329/$P$20)</f>
        <v>5.0511034717126884E-3</v>
      </c>
    </row>
    <row r="1330" spans="1:12" x14ac:dyDescent="0.2">
      <c r="A1330">
        <v>3880310</v>
      </c>
      <c r="B1330">
        <v>2015</v>
      </c>
      <c r="C1330" t="s">
        <v>252</v>
      </c>
      <c r="D1330" t="s">
        <v>254</v>
      </c>
      <c r="E1330" t="s">
        <v>256</v>
      </c>
      <c r="F1330" s="5" t="s">
        <v>205</v>
      </c>
      <c r="G1330" s="7">
        <v>130815</v>
      </c>
      <c r="H1330" s="7" cm="1">
        <f t="array" ref="H1330">_xlfn.IFS(B1330=2015,L1330*$P$3,B1330=2016,L1330*$P$4,B1330=2017,L1330*$P$5,B1330=2018,L1330*$P$6,B1330=2019,L1330*$P$7,B1330=2020,L1330*$P$8,B1330=2021,L1330*$P$9,B1330=2022,L1330*$P$10)</f>
        <v>2957.5208391512083</v>
      </c>
      <c r="I1330" s="7">
        <f t="shared" si="43"/>
        <v>133772.5208391512</v>
      </c>
      <c r="J1330">
        <f>IFERROR(VLOOKUP(F1330,'LEAID Match'!$A$2:$B$227,2,FALSE),"")</f>
        <v>3880310</v>
      </c>
      <c r="K1330">
        <f t="shared" si="42"/>
        <v>8</v>
      </c>
      <c r="L1330" cm="1">
        <f t="array" ref="L1330">_xlfn.IFS(B1330=2015,G1330/$P$13,B1330=2016,G1330/$P$14,B1330=2017,G1330/$P$15,B1330=2018,G1330/$P$16,B1330=2019,G1330/$P$17,B1330=2019,G1330/$P$18,B1330=2020,G1330/$P$18,B1330=2021,G1330/$P$19,B1330=2022,G1330/$P$20)</f>
        <v>1.6680884597581548E-3</v>
      </c>
    </row>
    <row r="1331" spans="1:12" x14ac:dyDescent="0.2">
      <c r="A1331">
        <v>3880310</v>
      </c>
      <c r="B1331">
        <v>2016</v>
      </c>
      <c r="C1331" t="s">
        <v>252</v>
      </c>
      <c r="D1331" t="s">
        <v>254</v>
      </c>
      <c r="E1331" t="s">
        <v>256</v>
      </c>
      <c r="F1331" s="5" t="s">
        <v>205</v>
      </c>
      <c r="G1331" s="7">
        <v>138101</v>
      </c>
      <c r="H1331" s="7" cm="1">
        <f t="array" ref="H1331">_xlfn.IFS(B1331=2015,L1331*$P$3,B1331=2016,L1331*$P$4,B1331=2017,L1331*$P$5,B1331=2018,L1331*$P$6,B1331=2019,L1331*$P$7,B1331=2020,L1331*$P$8,B1331=2021,L1331*$P$9,B1331=2022,L1331*$P$10)</f>
        <v>4689.503097244251</v>
      </c>
      <c r="I1331" s="7">
        <f t="shared" si="43"/>
        <v>142790.50309724425</v>
      </c>
      <c r="J1331">
        <f>IFERROR(VLOOKUP(F1331,'LEAID Match'!$A$2:$B$227,2,FALSE),"")</f>
        <v>3880310</v>
      </c>
      <c r="K1331">
        <f t="shared" si="42"/>
        <v>8</v>
      </c>
      <c r="L1331" cm="1">
        <f t="array" ref="L1331">_xlfn.IFS(B1331=2015,G1331/$P$13,B1331=2016,G1331/$P$14,B1331=2017,G1331/$P$15,B1331=2018,G1331/$P$16,B1331=2019,G1331/$P$17,B1331=2019,G1331/$P$18,B1331=2020,G1331/$P$18,B1331=2021,G1331/$P$19,B1331=2022,G1331/$P$20)</f>
        <v>1.667082508796392E-3</v>
      </c>
    </row>
    <row r="1332" spans="1:12" x14ac:dyDescent="0.2">
      <c r="A1332">
        <v>3880310</v>
      </c>
      <c r="B1332">
        <v>2017</v>
      </c>
      <c r="C1332" t="s">
        <v>252</v>
      </c>
      <c r="D1332" t="s">
        <v>254</v>
      </c>
      <c r="E1332" t="s">
        <v>256</v>
      </c>
      <c r="F1332" s="5" t="s">
        <v>205</v>
      </c>
      <c r="G1332" s="7">
        <v>124814</v>
      </c>
      <c r="H1332" s="7" cm="1">
        <f t="array" ref="H1332">_xlfn.IFS(B1332=2015,L1332*$P$3,B1332=2016,L1332*$P$4,B1332=2017,L1332*$P$5,B1332=2018,L1332*$P$6,B1332=2019,L1332*$P$7,B1332=2020,L1332*$P$8,B1332=2021,L1332*$P$9,B1332=2022,L1332*$P$10)</f>
        <v>4044.9784469032552</v>
      </c>
      <c r="I1332" s="7">
        <f t="shared" si="43"/>
        <v>128858.97844690326</v>
      </c>
      <c r="J1332">
        <f>IFERROR(VLOOKUP(F1332,'LEAID Match'!$A$2:$B$227,2,FALSE),"")</f>
        <v>3880310</v>
      </c>
      <c r="K1332">
        <f t="shared" si="42"/>
        <v>8</v>
      </c>
      <c r="L1332" cm="1">
        <f t="array" ref="L1332">_xlfn.IFS(B1332=2015,G1332/$P$13,B1332=2016,G1332/$P$14,B1332=2017,G1332/$P$15,B1332=2018,G1332/$P$16,B1332=2019,G1332/$P$17,B1332=2019,G1332/$P$18,B1332=2020,G1332/$P$18,B1332=2021,G1332/$P$19,B1332=2022,G1332/$P$20)</f>
        <v>1.4503328959853908E-3</v>
      </c>
    </row>
    <row r="1333" spans="1:12" x14ac:dyDescent="0.2">
      <c r="A1333">
        <v>3880310</v>
      </c>
      <c r="B1333" s="5">
        <v>2018</v>
      </c>
      <c r="C1333" t="s">
        <v>252</v>
      </c>
      <c r="D1333" t="s">
        <v>254</v>
      </c>
      <c r="E1333" t="s">
        <v>256</v>
      </c>
      <c r="F1333" s="5" t="s">
        <v>205</v>
      </c>
      <c r="G1333" s="7">
        <v>154386</v>
      </c>
      <c r="H1333" s="7" cm="1">
        <f t="array" ref="H1333">_xlfn.IFS(B1333=2015,L1333*$P$3,B1333=2016,L1333*$P$4,B1333=2017,L1333*$P$5,B1333=2018,L1333*$P$6,B1333=2019,L1333*$P$7,B1333=2020,L1333*$P$8,B1333=2021,L1333*$P$9,B1333=2022,L1333*$P$10)</f>
        <v>4230.3290178026236</v>
      </c>
      <c r="I1333" s="7">
        <f t="shared" si="43"/>
        <v>158616.32901780264</v>
      </c>
      <c r="J1333">
        <f>IFERROR(VLOOKUP(F1333,'LEAID Match'!$A$2:$B$227,2,FALSE),"")</f>
        <v>3880310</v>
      </c>
      <c r="K1333">
        <f t="shared" si="42"/>
        <v>8</v>
      </c>
      <c r="L1333" cm="1">
        <f t="array" ref="L1333">_xlfn.IFS(B1333=2015,G1333/$P$13,B1333=2016,G1333/$P$14,B1333=2017,G1333/$P$15,B1333=2018,G1333/$P$16,B1333=2019,G1333/$P$17,B1333=2019,G1333/$P$18,B1333=2020,G1333/$P$18,B1333=2021,G1333/$P$19,B1333=2022,G1333/$P$20)</f>
        <v>1.7811911653905785E-3</v>
      </c>
    </row>
    <row r="1334" spans="1:12" x14ac:dyDescent="0.2">
      <c r="A1334">
        <v>3880310</v>
      </c>
      <c r="B1334">
        <v>2019</v>
      </c>
      <c r="C1334" t="s">
        <v>252</v>
      </c>
      <c r="D1334" t="s">
        <v>254</v>
      </c>
      <c r="E1334" t="s">
        <v>256</v>
      </c>
      <c r="F1334" s="5" t="s">
        <v>205</v>
      </c>
      <c r="G1334" s="7">
        <v>171689</v>
      </c>
      <c r="H1334" s="7" cm="1">
        <f t="array" ref="H1334">_xlfn.IFS(B1334=2015,L1334*$P$3,B1334=2016,L1334*$P$4,B1334=2017,L1334*$P$5,B1334=2018,L1334*$P$6,B1334=2019,L1334*$P$7,B1334=2020,L1334*$P$8,B1334=2021,L1334*$P$9,B1334=2022,L1334*$P$10)</f>
        <v>3984.8716214947131</v>
      </c>
      <c r="I1334" s="7">
        <f t="shared" si="43"/>
        <v>175673.87162149471</v>
      </c>
      <c r="J1334">
        <f>IFERROR(VLOOKUP(F1334,'LEAID Match'!$A$2:$B$227,2,FALSE),"")</f>
        <v>3880310</v>
      </c>
      <c r="K1334">
        <f t="shared" si="42"/>
        <v>8</v>
      </c>
      <c r="L1334" cm="1">
        <f t="array" ref="L1334">_xlfn.IFS(B1334=2015,G1334/$P$13,B1334=2016,G1334/$P$14,B1334=2017,G1334/$P$15,B1334=2018,G1334/$P$16,B1334=2019,G1334/$P$17,B1334=2019,G1334/$P$18,B1334=2020,G1334/$P$18,B1334=2021,G1334/$P$19,B1334=2022,G1334/$P$20)</f>
        <v>1.9194950007199966E-3</v>
      </c>
    </row>
    <row r="1335" spans="1:12" x14ac:dyDescent="0.2">
      <c r="A1335">
        <v>3880310</v>
      </c>
      <c r="B1335">
        <v>2020</v>
      </c>
      <c r="C1335" t="s">
        <v>252</v>
      </c>
      <c r="D1335" t="s">
        <v>254</v>
      </c>
      <c r="E1335" t="s">
        <v>256</v>
      </c>
      <c r="F1335" s="5" t="s">
        <v>205</v>
      </c>
      <c r="G1335" s="7">
        <v>187957</v>
      </c>
      <c r="H1335" s="7" cm="1">
        <f t="array" ref="H1335">_xlfn.IFS(B1335=2015,L1335*$P$3,B1335=2016,L1335*$P$4,B1335=2017,L1335*$P$5,B1335=2018,L1335*$P$6,B1335=2019,L1335*$P$7,B1335=2020,L1335*$P$8,B1335=2021,L1335*$P$9,B1335=2022,L1335*$P$10)</f>
        <v>4715.4686378382048</v>
      </c>
      <c r="I1335" s="7">
        <f t="shared" si="43"/>
        <v>192672.4686378382</v>
      </c>
      <c r="J1335">
        <f>IFERROR(VLOOKUP(F1335,'LEAID Match'!$A$2:$B$227,2,FALSE),"")</f>
        <v>3880310</v>
      </c>
      <c r="K1335">
        <f t="shared" si="42"/>
        <v>8</v>
      </c>
      <c r="L1335" cm="1">
        <f t="array" ref="L1335">_xlfn.IFS(B1335=2015,G1335/$P$13,B1335=2016,G1335/$P$14,B1335=2017,G1335/$P$15,B1335=2018,G1335/$P$16,B1335=2019,G1335/$P$17,B1335=2019,G1335/$P$18,B1335=2020,G1335/$P$18,B1335=2021,G1335/$P$19,B1335=2022,G1335/$P$20)</f>
        <v>2.0203378911046294E-3</v>
      </c>
    </row>
    <row r="1336" spans="1:12" x14ac:dyDescent="0.2">
      <c r="A1336">
        <v>3880310</v>
      </c>
      <c r="B1336" s="5">
        <v>2021</v>
      </c>
      <c r="C1336" t="s">
        <v>252</v>
      </c>
      <c r="D1336" t="s">
        <v>254</v>
      </c>
      <c r="E1336" t="s">
        <v>256</v>
      </c>
      <c r="F1336" s="5" t="s">
        <v>205</v>
      </c>
      <c r="G1336" s="7">
        <v>211355</v>
      </c>
      <c r="H1336" s="7" cm="1">
        <f t="array" ref="H1336">_xlfn.IFS(B1336=2015,L1336*$P$3,B1336=2016,L1336*$P$4,B1336=2017,L1336*$P$5,B1336=2018,L1336*$P$6,B1336=2019,L1336*$P$7,B1336=2020,L1336*$P$8,B1336=2021,L1336*$P$9,B1336=2022,L1336*$P$10)</f>
        <v>5775.1260413176296</v>
      </c>
      <c r="I1336" s="7">
        <f t="shared" si="43"/>
        <v>217130.12604131762</v>
      </c>
      <c r="J1336">
        <f>IFERROR(VLOOKUP(F1336,'LEAID Match'!$A$2:$B$227,2,FALSE),"")</f>
        <v>3880310</v>
      </c>
      <c r="K1336">
        <f t="shared" si="42"/>
        <v>8</v>
      </c>
      <c r="L1336" cm="1">
        <f t="array" ref="L1336">_xlfn.IFS(B1336=2015,G1336/$P$13,B1336=2016,G1336/$P$14,B1336=2017,G1336/$P$15,B1336=2018,G1336/$P$16,B1336=2019,G1336/$P$17,B1336=2019,G1336/$P$18,B1336=2020,G1336/$P$18,B1336=2021,G1336/$P$19,B1336=2022,G1336/$P$20)</f>
        <v>2.1508849315894337E-3</v>
      </c>
    </row>
    <row r="1337" spans="1:12" x14ac:dyDescent="0.2">
      <c r="A1337">
        <v>3880310</v>
      </c>
      <c r="B1337">
        <v>2022</v>
      </c>
      <c r="C1337" t="s">
        <v>252</v>
      </c>
      <c r="D1337" t="s">
        <v>254</v>
      </c>
      <c r="E1337" t="s">
        <v>256</v>
      </c>
      <c r="F1337" s="5" t="s">
        <v>205</v>
      </c>
      <c r="G1337" s="7">
        <v>207107</v>
      </c>
      <c r="H1337" s="7" cm="1">
        <f t="array" ref="H1337">_xlfn.IFS(B1337=2015,L1337*$P$3,B1337=2016,L1337*$P$4,B1337=2017,L1337*$P$5,B1337=2018,L1337*$P$6,B1337=2019,L1337*$P$7,B1337=2020,L1337*$P$8,B1337=2021,L1337*$P$9,B1337=2022,L1337*$P$10)</f>
        <v>4215.1582659951209</v>
      </c>
      <c r="I1337" s="7">
        <f t="shared" si="43"/>
        <v>211322.15826599512</v>
      </c>
      <c r="J1337">
        <f>IFERROR(VLOOKUP(F1337,'LEAID Match'!$A$2:$B$227,2,FALSE),"")</f>
        <v>3880310</v>
      </c>
      <c r="K1337">
        <f t="shared" si="42"/>
        <v>8</v>
      </c>
      <c r="L1337" cm="1">
        <f t="array" ref="L1337">_xlfn.IFS(B1337=2015,G1337/$P$13,B1337=2016,G1337/$P$14,B1337=2017,G1337/$P$15,B1337=2018,G1337/$P$16,B1337=2019,G1337/$P$17,B1337=2019,G1337/$P$18,B1337=2020,G1337/$P$18,B1337=2021,G1337/$P$19,B1337=2022,G1337/$P$20)</f>
        <v>2.0642302967654852E-3</v>
      </c>
    </row>
    <row r="1338" spans="1:12" x14ac:dyDescent="0.2">
      <c r="A1338">
        <v>3816430</v>
      </c>
      <c r="B1338">
        <v>2015</v>
      </c>
      <c r="C1338" t="s">
        <v>252</v>
      </c>
      <c r="D1338" t="s">
        <v>254</v>
      </c>
      <c r="E1338" t="s">
        <v>256</v>
      </c>
      <c r="F1338" s="5" t="s">
        <v>134</v>
      </c>
      <c r="G1338" s="7">
        <v>172932</v>
      </c>
      <c r="H1338" s="7" cm="1">
        <f t="array" ref="H1338">_xlfn.IFS(B1338=2015,L1338*$P$3,B1338=2016,L1338*$P$4,B1338=2017,L1338*$P$5,B1338=2018,L1338*$P$6,B1338=2019,L1338*$P$7,B1338=2020,L1338*$P$8,B1338=2021,L1338*$P$9,B1338=2022,L1338*$P$10)</f>
        <v>3909.7197856216553</v>
      </c>
      <c r="I1338" s="7">
        <f t="shared" si="43"/>
        <v>176841.71978562165</v>
      </c>
      <c r="J1338">
        <f>IFERROR(VLOOKUP(F1338,'LEAID Match'!$A$2:$B$227,2,FALSE),"")</f>
        <v>3816430</v>
      </c>
      <c r="K1338">
        <f t="shared" si="42"/>
        <v>8</v>
      </c>
      <c r="L1338" cm="1">
        <f t="array" ref="L1338">_xlfn.IFS(B1338=2015,G1338/$P$13,B1338=2016,G1338/$P$14,B1338=2017,G1338/$P$15,B1338=2018,G1338/$P$16,B1338=2019,G1338/$P$17,B1338=2019,G1338/$P$18,B1338=2020,G1338/$P$18,B1338=2021,G1338/$P$19,B1338=2022,G1338/$P$20)</f>
        <v>2.2051437031143008E-3</v>
      </c>
    </row>
    <row r="1339" spans="1:12" x14ac:dyDescent="0.2">
      <c r="A1339">
        <v>3816430</v>
      </c>
      <c r="B1339">
        <v>2016</v>
      </c>
      <c r="C1339" t="s">
        <v>252</v>
      </c>
      <c r="D1339" t="s">
        <v>254</v>
      </c>
      <c r="E1339" t="s">
        <v>256</v>
      </c>
      <c r="F1339" s="5" t="s">
        <v>134</v>
      </c>
      <c r="G1339" s="7">
        <v>182609</v>
      </c>
      <c r="H1339" s="7" cm="1">
        <f t="array" ref="H1339">_xlfn.IFS(B1339=2015,L1339*$P$3,B1339=2016,L1339*$P$4,B1339=2017,L1339*$P$5,B1339=2018,L1339*$P$6,B1339=2019,L1339*$P$7,B1339=2020,L1339*$P$8,B1339=2021,L1339*$P$9,B1339=2022,L1339*$P$10)</f>
        <v>6200.8636511297909</v>
      </c>
      <c r="I1339" s="7">
        <f t="shared" si="43"/>
        <v>188809.8636511298</v>
      </c>
      <c r="J1339">
        <f>IFERROR(VLOOKUP(F1339,'LEAID Match'!$A$2:$B$227,2,FALSE),"")</f>
        <v>3816430</v>
      </c>
      <c r="K1339">
        <f t="shared" si="42"/>
        <v>8</v>
      </c>
      <c r="L1339" cm="1">
        <f t="array" ref="L1339">_xlfn.IFS(B1339=2015,G1339/$P$13,B1339=2016,G1339/$P$14,B1339=2017,G1339/$P$15,B1339=2018,G1339/$P$16,B1339=2019,G1339/$P$17,B1339=2019,G1339/$P$18,B1339=2020,G1339/$P$18,B1339=2021,G1339/$P$19,B1339=2022,G1339/$P$20)</f>
        <v>2.2043596342445045E-3</v>
      </c>
    </row>
    <row r="1340" spans="1:12" x14ac:dyDescent="0.2">
      <c r="A1340">
        <v>3816430</v>
      </c>
      <c r="B1340">
        <v>2017</v>
      </c>
      <c r="C1340" t="s">
        <v>252</v>
      </c>
      <c r="D1340" t="s">
        <v>254</v>
      </c>
      <c r="E1340" t="s">
        <v>256</v>
      </c>
      <c r="F1340" s="5" t="s">
        <v>134</v>
      </c>
      <c r="G1340" s="7">
        <v>194805</v>
      </c>
      <c r="H1340" s="7" cm="1">
        <f t="array" ref="H1340">_xlfn.IFS(B1340=2015,L1340*$P$3,B1340=2016,L1340*$P$4,B1340=2017,L1340*$P$5,B1340=2018,L1340*$P$6,B1340=2019,L1340*$P$7,B1340=2020,L1340*$P$8,B1340=2021,L1340*$P$9,B1340=2022,L1340*$P$10)</f>
        <v>6313.2503272788999</v>
      </c>
      <c r="I1340" s="7">
        <f t="shared" si="43"/>
        <v>201118.25032727889</v>
      </c>
      <c r="J1340">
        <f>IFERROR(VLOOKUP(F1340,'LEAID Match'!$A$2:$B$227,2,FALSE),"")</f>
        <v>3816430</v>
      </c>
      <c r="K1340">
        <f t="shared" si="42"/>
        <v>8</v>
      </c>
      <c r="L1340" cm="1">
        <f t="array" ref="L1340">_xlfn.IFS(B1340=2015,G1340/$P$13,B1340=2016,G1340/$P$14,B1340=2017,G1340/$P$15,B1340=2018,G1340/$P$16,B1340=2019,G1340/$P$17,B1340=2019,G1340/$P$18,B1340=2020,G1340/$P$18,B1340=2021,G1340/$P$19,B1340=2022,G1340/$P$20)</f>
        <v>2.2636250725273934E-3</v>
      </c>
    </row>
    <row r="1341" spans="1:12" x14ac:dyDescent="0.2">
      <c r="A1341">
        <v>3816430</v>
      </c>
      <c r="B1341" s="5">
        <v>2018</v>
      </c>
      <c r="C1341" t="s">
        <v>252</v>
      </c>
      <c r="D1341" t="s">
        <v>254</v>
      </c>
      <c r="E1341" t="s">
        <v>256</v>
      </c>
      <c r="F1341" s="5" t="s">
        <v>134</v>
      </c>
      <c r="G1341" s="7">
        <v>206210</v>
      </c>
      <c r="H1341" s="7" cm="1">
        <f t="array" ref="H1341">_xlfn.IFS(B1341=2015,L1341*$P$3,B1341=2016,L1341*$P$4,B1341=2017,L1341*$P$5,B1341=2018,L1341*$P$6,B1341=2019,L1341*$P$7,B1341=2020,L1341*$P$8,B1341=2021,L1341*$P$9,B1341=2022,L1341*$P$10)</f>
        <v>5650.3578482574785</v>
      </c>
      <c r="I1341" s="7">
        <f t="shared" si="43"/>
        <v>211860.35784825747</v>
      </c>
      <c r="J1341">
        <f>IFERROR(VLOOKUP(F1341,'LEAID Match'!$A$2:$B$227,2,FALSE),"")</f>
        <v>3816430</v>
      </c>
      <c r="K1341">
        <f t="shared" si="42"/>
        <v>8</v>
      </c>
      <c r="L1341" cm="1">
        <f t="array" ref="L1341">_xlfn.IFS(B1341=2015,G1341/$P$13,B1341=2016,G1341/$P$14,B1341=2017,G1341/$P$15,B1341=2018,G1341/$P$16,B1341=2019,G1341/$P$17,B1341=2019,G1341/$P$18,B1341=2020,G1341/$P$18,B1341=2021,G1341/$P$19,B1341=2022,G1341/$P$20)</f>
        <v>2.3790980413715699E-3</v>
      </c>
    </row>
    <row r="1342" spans="1:12" x14ac:dyDescent="0.2">
      <c r="A1342">
        <v>3816430</v>
      </c>
      <c r="B1342">
        <v>2019</v>
      </c>
      <c r="C1342" t="s">
        <v>252</v>
      </c>
      <c r="D1342" t="s">
        <v>254</v>
      </c>
      <c r="E1342" t="s">
        <v>256</v>
      </c>
      <c r="F1342" s="5" t="s">
        <v>134</v>
      </c>
      <c r="G1342" s="7">
        <v>206453</v>
      </c>
      <c r="H1342" s="7" cm="1">
        <f t="array" ref="H1342">_xlfn.IFS(B1342=2015,L1342*$P$3,B1342=2016,L1342*$P$4,B1342=2017,L1342*$P$5,B1342=2018,L1342*$P$6,B1342=2019,L1342*$P$7,B1342=2020,L1342*$P$8,B1342=2021,L1342*$P$9,B1342=2022,L1342*$P$10)</f>
        <v>4791.7379731517331</v>
      </c>
      <c r="I1342" s="7">
        <f t="shared" si="43"/>
        <v>211244.73797315173</v>
      </c>
      <c r="J1342">
        <f>IFERROR(VLOOKUP(F1342,'LEAID Match'!$A$2:$B$227,2,FALSE),"")</f>
        <v>3816430</v>
      </c>
      <c r="K1342">
        <f t="shared" si="42"/>
        <v>8</v>
      </c>
      <c r="L1342" cm="1">
        <f t="array" ref="L1342">_xlfn.IFS(B1342=2015,G1342/$P$13,B1342=2016,G1342/$P$14,B1342=2017,G1342/$P$15,B1342=2018,G1342/$P$16,B1342=2019,G1342/$P$17,B1342=2019,G1342/$P$18,B1342=2020,G1342/$P$18,B1342=2021,G1342/$P$19,B1342=2022,G1342/$P$20)</f>
        <v>2.3081589466048811E-3</v>
      </c>
    </row>
    <row r="1343" spans="1:12" x14ac:dyDescent="0.2">
      <c r="A1343">
        <v>3816430</v>
      </c>
      <c r="B1343">
        <v>2020</v>
      </c>
      <c r="C1343" t="s">
        <v>252</v>
      </c>
      <c r="D1343" t="s">
        <v>254</v>
      </c>
      <c r="E1343" t="s">
        <v>256</v>
      </c>
      <c r="F1343" s="5" t="s">
        <v>134</v>
      </c>
      <c r="G1343" s="7">
        <v>219857</v>
      </c>
      <c r="H1343" s="7" cm="1">
        <f t="array" ref="H1343">_xlfn.IFS(B1343=2015,L1343*$P$3,B1343=2016,L1343*$P$4,B1343=2017,L1343*$P$5,B1343=2018,L1343*$P$6,B1343=2019,L1343*$P$7,B1343=2020,L1343*$P$8,B1343=2021,L1343*$P$9,B1343=2022,L1343*$P$10)</f>
        <v>5515.7764185914557</v>
      </c>
      <c r="I1343" s="7">
        <f t="shared" si="43"/>
        <v>225372.77641859144</v>
      </c>
      <c r="J1343">
        <f>IFERROR(VLOOKUP(F1343,'LEAID Match'!$A$2:$B$227,2,FALSE),"")</f>
        <v>3816430</v>
      </c>
      <c r="K1343">
        <f t="shared" si="42"/>
        <v>8</v>
      </c>
      <c r="L1343" cm="1">
        <f t="array" ref="L1343">_xlfn.IFS(B1343=2015,G1343/$P$13,B1343=2016,G1343/$P$14,B1343=2017,G1343/$P$15,B1343=2018,G1343/$P$16,B1343=2019,G1343/$P$17,B1343=2019,G1343/$P$18,B1343=2020,G1343/$P$18,B1343=2021,G1343/$P$19,B1343=2022,G1343/$P$20)</f>
        <v>2.3632289711188756E-3</v>
      </c>
    </row>
    <row r="1344" spans="1:12" x14ac:dyDescent="0.2">
      <c r="A1344">
        <v>3816430</v>
      </c>
      <c r="B1344" s="5">
        <v>2021</v>
      </c>
      <c r="C1344" t="s">
        <v>252</v>
      </c>
      <c r="D1344" t="s">
        <v>254</v>
      </c>
      <c r="E1344" t="s">
        <v>256</v>
      </c>
      <c r="F1344" s="5" t="s">
        <v>134</v>
      </c>
      <c r="G1344" s="7">
        <v>230713</v>
      </c>
      <c r="H1344" s="7" cm="1">
        <f t="array" ref="H1344">_xlfn.IFS(B1344=2015,L1344*$P$3,B1344=2016,L1344*$P$4,B1344=2017,L1344*$P$5,B1344=2018,L1344*$P$6,B1344=2019,L1344*$P$7,B1344=2020,L1344*$P$8,B1344=2021,L1344*$P$9,B1344=2022,L1344*$P$10)</f>
        <v>6304.0697138488049</v>
      </c>
      <c r="I1344" s="7">
        <f t="shared" si="43"/>
        <v>237017.06971384882</v>
      </c>
      <c r="J1344">
        <f>IFERROR(VLOOKUP(F1344,'LEAID Match'!$A$2:$B$227,2,FALSE),"")</f>
        <v>3816430</v>
      </c>
      <c r="K1344">
        <f t="shared" si="42"/>
        <v>8</v>
      </c>
      <c r="L1344" cm="1">
        <f t="array" ref="L1344">_xlfn.IFS(B1344=2015,G1344/$P$13,B1344=2016,G1344/$P$14,B1344=2017,G1344/$P$15,B1344=2018,G1344/$P$16,B1344=2019,G1344/$P$17,B1344=2019,G1344/$P$18,B1344=2020,G1344/$P$18,B1344=2021,G1344/$P$19,B1344=2022,G1344/$P$20)</f>
        <v>2.347884437187637E-3</v>
      </c>
    </row>
    <row r="1345" spans="1:12" x14ac:dyDescent="0.2">
      <c r="A1345">
        <v>3816430</v>
      </c>
      <c r="B1345">
        <v>2022</v>
      </c>
      <c r="C1345" t="s">
        <v>252</v>
      </c>
      <c r="D1345" t="s">
        <v>254</v>
      </c>
      <c r="E1345" t="s">
        <v>256</v>
      </c>
      <c r="F1345" s="5" t="s">
        <v>134</v>
      </c>
      <c r="G1345" s="7">
        <v>220978</v>
      </c>
      <c r="H1345" s="7" cm="1">
        <f t="array" ref="H1345">_xlfn.IFS(B1345=2015,L1345*$P$3,B1345=2016,L1345*$P$4,B1345=2017,L1345*$P$5,B1345=2018,L1345*$P$6,B1345=2019,L1345*$P$7,B1345=2020,L1345*$P$8,B1345=2021,L1345*$P$9,B1345=2022,L1345*$P$10)</f>
        <v>4497.4686674186278</v>
      </c>
      <c r="I1345" s="7">
        <f t="shared" si="43"/>
        <v>225475.46866741864</v>
      </c>
      <c r="J1345">
        <f>IFERROR(VLOOKUP(F1345,'LEAID Match'!$A$2:$B$227,2,FALSE),"")</f>
        <v>3816430</v>
      </c>
      <c r="K1345">
        <f t="shared" si="42"/>
        <v>8</v>
      </c>
      <c r="L1345" cm="1">
        <f t="array" ref="L1345">_xlfn.IFS(B1345=2015,G1345/$P$13,B1345=2016,G1345/$P$14,B1345=2017,G1345/$P$15,B1345=2018,G1345/$P$16,B1345=2019,G1345/$P$17,B1345=2019,G1345/$P$18,B1345=2020,G1345/$P$18,B1345=2021,G1345/$P$19,B1345=2022,G1345/$P$20)</f>
        <v>2.202482207354862E-3</v>
      </c>
    </row>
    <row r="1346" spans="1:12" x14ac:dyDescent="0.2">
      <c r="A1346">
        <v>3816470</v>
      </c>
      <c r="B1346">
        <v>2015</v>
      </c>
      <c r="C1346" t="s">
        <v>252</v>
      </c>
      <c r="D1346" t="s">
        <v>254</v>
      </c>
      <c r="E1346" t="s">
        <v>256</v>
      </c>
      <c r="F1346" s="5" t="s">
        <v>135</v>
      </c>
      <c r="G1346" s="7">
        <v>112178</v>
      </c>
      <c r="H1346" s="7" cm="1">
        <f t="array" ref="H1346">_xlfn.IFS(B1346=2015,L1346*$P$3,B1346=2016,L1346*$P$4,B1346=2017,L1346*$P$5,B1346=2018,L1346*$P$6,B1346=2019,L1346*$P$7,B1346=2020,L1346*$P$8,B1346=2021,L1346*$P$9,B1346=2022,L1346*$P$10)</f>
        <v>2536.1676619218306</v>
      </c>
      <c r="I1346" s="7">
        <f t="shared" si="43"/>
        <v>114714.16766192183</v>
      </c>
      <c r="J1346">
        <f>IFERROR(VLOOKUP(F1346,'LEAID Match'!$A$2:$B$227,2,FALSE),"")</f>
        <v>3816470</v>
      </c>
      <c r="K1346">
        <f t="shared" ref="K1346:K1409" si="44">COUNTIF($A$2:$A$1757,A1346)</f>
        <v>8</v>
      </c>
      <c r="L1346" cm="1">
        <f t="array" ref="L1346">_xlfn.IFS(B1346=2015,G1346/$P$13,B1346=2016,G1346/$P$14,B1346=2017,G1346/$P$15,B1346=2018,G1346/$P$16,B1346=2019,G1346/$P$17,B1346=2019,G1346/$P$18,B1346=2020,G1346/$P$18,B1346=2021,G1346/$P$19,B1346=2022,G1346/$P$20)</f>
        <v>1.4304386136050934E-3</v>
      </c>
    </row>
    <row r="1347" spans="1:12" x14ac:dyDescent="0.2">
      <c r="A1347">
        <v>3816470</v>
      </c>
      <c r="B1347">
        <v>2016</v>
      </c>
      <c r="C1347" t="s">
        <v>252</v>
      </c>
      <c r="D1347" t="s">
        <v>254</v>
      </c>
      <c r="E1347" t="s">
        <v>256</v>
      </c>
      <c r="F1347" s="5" t="s">
        <v>135</v>
      </c>
      <c r="G1347" s="7">
        <v>111746</v>
      </c>
      <c r="H1347" s="7" cm="1">
        <f t="array" ref="H1347">_xlfn.IFS(B1347=2015,L1347*$P$3,B1347=2016,L1347*$P$4,B1347=2017,L1347*$P$5,B1347=2018,L1347*$P$6,B1347=2019,L1347*$P$7,B1347=2020,L1347*$P$8,B1347=2021,L1347*$P$9,B1347=2022,L1347*$P$10)</f>
        <v>3794.5649423585351</v>
      </c>
      <c r="I1347" s="7">
        <f t="shared" ref="I1347:I1410" si="45">SUM(G1347:H1347)</f>
        <v>115540.56494235854</v>
      </c>
      <c r="J1347">
        <f>IFERROR(VLOOKUP(F1347,'LEAID Match'!$A$2:$B$227,2,FALSE),"")</f>
        <v>3816470</v>
      </c>
      <c r="K1347">
        <f t="shared" si="44"/>
        <v>8</v>
      </c>
      <c r="L1347" cm="1">
        <f t="array" ref="L1347">_xlfn.IFS(B1347=2015,G1347/$P$13,B1347=2016,G1347/$P$14,B1347=2017,G1347/$P$15,B1347=2018,G1347/$P$16,B1347=2019,G1347/$P$17,B1347=2019,G1347/$P$18,B1347=2020,G1347/$P$18,B1347=2021,G1347/$P$19,B1347=2022,G1347/$P$20)</f>
        <v>1.3489388348235105E-3</v>
      </c>
    </row>
    <row r="1348" spans="1:12" x14ac:dyDescent="0.2">
      <c r="A1348">
        <v>3816470</v>
      </c>
      <c r="B1348">
        <v>2017</v>
      </c>
      <c r="C1348" t="s">
        <v>252</v>
      </c>
      <c r="D1348" t="s">
        <v>254</v>
      </c>
      <c r="E1348" t="s">
        <v>256</v>
      </c>
      <c r="F1348" s="5" t="s">
        <v>135</v>
      </c>
      <c r="G1348" s="7">
        <v>92865</v>
      </c>
      <c r="H1348" s="7" cm="1">
        <f t="array" ref="H1348">_xlfn.IFS(B1348=2015,L1348*$P$3,B1348=2016,L1348*$P$4,B1348=2017,L1348*$P$5,B1348=2018,L1348*$P$6,B1348=2019,L1348*$P$7,B1348=2020,L1348*$P$8,B1348=2021,L1348*$P$9,B1348=2022,L1348*$P$10)</f>
        <v>3009.5736333397758</v>
      </c>
      <c r="I1348" s="7">
        <f t="shared" si="45"/>
        <v>95874.57363333978</v>
      </c>
      <c r="J1348">
        <f>IFERROR(VLOOKUP(F1348,'LEAID Match'!$A$2:$B$227,2,FALSE),"")</f>
        <v>3816470</v>
      </c>
      <c r="K1348">
        <f t="shared" si="44"/>
        <v>8</v>
      </c>
      <c r="L1348" cm="1">
        <f t="array" ref="L1348">_xlfn.IFS(B1348=2015,G1348/$P$13,B1348=2016,G1348/$P$14,B1348=2017,G1348/$P$15,B1348=2018,G1348/$P$16,B1348=2019,G1348/$P$17,B1348=2019,G1348/$P$18,B1348=2020,G1348/$P$18,B1348=2021,G1348/$P$19,B1348=2022,G1348/$P$20)</f>
        <v>1.0790869965363126E-3</v>
      </c>
    </row>
    <row r="1349" spans="1:12" x14ac:dyDescent="0.2">
      <c r="A1349">
        <v>3816470</v>
      </c>
      <c r="B1349" s="5">
        <v>2018</v>
      </c>
      <c r="C1349" t="s">
        <v>252</v>
      </c>
      <c r="D1349" t="s">
        <v>254</v>
      </c>
      <c r="E1349" t="s">
        <v>256</v>
      </c>
      <c r="F1349" s="5" t="s">
        <v>135</v>
      </c>
      <c r="G1349" s="7">
        <v>65936</v>
      </c>
      <c r="H1349" s="7" cm="1">
        <f t="array" ref="H1349">_xlfn.IFS(B1349=2015,L1349*$P$3,B1349=2016,L1349*$P$4,B1349=2017,L1349*$P$5,B1349=2018,L1349*$P$6,B1349=2019,L1349*$P$7,B1349=2020,L1349*$P$8,B1349=2021,L1349*$P$9,B1349=2022,L1349*$P$10)</f>
        <v>1806.7115808287917</v>
      </c>
      <c r="I1349" s="7">
        <f t="shared" si="45"/>
        <v>67742.711580828793</v>
      </c>
      <c r="J1349">
        <f>IFERROR(VLOOKUP(F1349,'LEAID Match'!$A$2:$B$227,2,FALSE),"")</f>
        <v>3816470</v>
      </c>
      <c r="K1349">
        <f t="shared" si="44"/>
        <v>8</v>
      </c>
      <c r="L1349" cm="1">
        <f t="array" ref="L1349">_xlfn.IFS(B1349=2015,G1349/$P$13,B1349=2016,G1349/$P$14,B1349=2017,G1349/$P$15,B1349=2018,G1349/$P$16,B1349=2019,G1349/$P$17,B1349=2019,G1349/$P$18,B1349=2020,G1349/$P$18,B1349=2021,G1349/$P$19,B1349=2022,G1349/$P$20)</f>
        <v>7.6072066561212281E-4</v>
      </c>
    </row>
    <row r="1350" spans="1:12" x14ac:dyDescent="0.2">
      <c r="A1350">
        <v>3816470</v>
      </c>
      <c r="B1350">
        <v>2019</v>
      </c>
      <c r="C1350" t="s">
        <v>252</v>
      </c>
      <c r="D1350" t="s">
        <v>254</v>
      </c>
      <c r="E1350" t="s">
        <v>256</v>
      </c>
      <c r="F1350" s="5" t="s">
        <v>135</v>
      </c>
      <c r="G1350" s="7">
        <v>72377</v>
      </c>
      <c r="H1350" s="7" cm="1">
        <f t="array" ref="H1350">_xlfn.IFS(B1350=2015,L1350*$P$3,B1350=2016,L1350*$P$4,B1350=2017,L1350*$P$5,B1350=2018,L1350*$P$6,B1350=2019,L1350*$P$7,B1350=2020,L1350*$P$8,B1350=2021,L1350*$P$9,B1350=2022,L1350*$P$10)</f>
        <v>1679.8574943585368</v>
      </c>
      <c r="I1350" s="7">
        <f t="shared" si="45"/>
        <v>74056.857494358541</v>
      </c>
      <c r="J1350">
        <f>IFERROR(VLOOKUP(F1350,'LEAID Match'!$A$2:$B$227,2,FALSE),"")</f>
        <v>3816470</v>
      </c>
      <c r="K1350">
        <f t="shared" si="44"/>
        <v>8</v>
      </c>
      <c r="L1350" cm="1">
        <f t="array" ref="L1350">_xlfn.IFS(B1350=2015,G1350/$P$13,B1350=2016,G1350/$P$14,B1350=2017,G1350/$P$15,B1350=2018,G1350/$P$16,B1350=2019,G1350/$P$17,B1350=2019,G1350/$P$18,B1350=2020,G1350/$P$18,B1350=2021,G1350/$P$19,B1350=2022,G1350/$P$20)</f>
        <v>8.0917991057732983E-4</v>
      </c>
    </row>
    <row r="1351" spans="1:12" x14ac:dyDescent="0.2">
      <c r="A1351">
        <v>3816470</v>
      </c>
      <c r="B1351">
        <v>2020</v>
      </c>
      <c r="C1351" t="s">
        <v>252</v>
      </c>
      <c r="D1351" t="s">
        <v>254</v>
      </c>
      <c r="E1351" t="s">
        <v>256</v>
      </c>
      <c r="F1351" s="5" t="s">
        <v>135</v>
      </c>
      <c r="G1351" s="7">
        <v>76662</v>
      </c>
      <c r="H1351" s="7" cm="1">
        <f t="array" ref="H1351">_xlfn.IFS(B1351=2015,L1351*$P$3,B1351=2016,L1351*$P$4,B1351=2017,L1351*$P$5,B1351=2018,L1351*$P$6,B1351=2019,L1351*$P$7,B1351=2020,L1351*$P$8,B1351=2021,L1351*$P$9,B1351=2022,L1351*$P$10)</f>
        <v>1923.2976516647557</v>
      </c>
      <c r="I1351" s="7">
        <f t="shared" si="45"/>
        <v>78585.297651664761</v>
      </c>
      <c r="J1351">
        <f>IFERROR(VLOOKUP(F1351,'LEAID Match'!$A$2:$B$227,2,FALSE),"")</f>
        <v>3816470</v>
      </c>
      <c r="K1351">
        <f t="shared" si="44"/>
        <v>8</v>
      </c>
      <c r="L1351" cm="1">
        <f t="array" ref="L1351">_xlfn.IFS(B1351=2015,G1351/$P$13,B1351=2016,G1351/$P$14,B1351=2017,G1351/$P$15,B1351=2018,G1351/$P$16,B1351=2019,G1351/$P$17,B1351=2019,G1351/$P$18,B1351=2020,G1351/$P$18,B1351=2021,G1351/$P$19,B1351=2022,G1351/$P$20)</f>
        <v>8.2403498357530233E-4</v>
      </c>
    </row>
    <row r="1352" spans="1:12" x14ac:dyDescent="0.2">
      <c r="A1352">
        <v>3816470</v>
      </c>
      <c r="B1352" s="5">
        <v>2021</v>
      </c>
      <c r="C1352" t="s">
        <v>252</v>
      </c>
      <c r="D1352" t="s">
        <v>254</v>
      </c>
      <c r="E1352" t="s">
        <v>256</v>
      </c>
      <c r="F1352" s="5" t="s">
        <v>135</v>
      </c>
      <c r="G1352" s="7">
        <v>81903</v>
      </c>
      <c r="H1352" s="7" cm="1">
        <f t="array" ref="H1352">_xlfn.IFS(B1352=2015,L1352*$P$3,B1352=2016,L1352*$P$4,B1352=2017,L1352*$P$5,B1352=2018,L1352*$P$6,B1352=2019,L1352*$P$7,B1352=2020,L1352*$P$8,B1352=2021,L1352*$P$9,B1352=2022,L1352*$P$10)</f>
        <v>2237.9416061225793</v>
      </c>
      <c r="I1352" s="7">
        <f t="shared" si="45"/>
        <v>84140.941606122578</v>
      </c>
      <c r="J1352">
        <f>IFERROR(VLOOKUP(F1352,'LEAID Match'!$A$2:$B$227,2,FALSE),"")</f>
        <v>3816470</v>
      </c>
      <c r="K1352">
        <f t="shared" si="44"/>
        <v>8</v>
      </c>
      <c r="L1352" cm="1">
        <f t="array" ref="L1352">_xlfn.IFS(B1352=2015,G1352/$P$13,B1352=2016,G1352/$P$14,B1352=2017,G1352/$P$15,B1352=2018,G1352/$P$16,B1352=2019,G1352/$P$17,B1352=2019,G1352/$P$18,B1352=2020,G1352/$P$18,B1352=2021,G1352/$P$19,B1352=2022,G1352/$P$20)</f>
        <v>8.334978048873666E-4</v>
      </c>
    </row>
    <row r="1353" spans="1:12" x14ac:dyDescent="0.2">
      <c r="A1353">
        <v>3816470</v>
      </c>
      <c r="B1353">
        <v>2022</v>
      </c>
      <c r="C1353" t="s">
        <v>252</v>
      </c>
      <c r="D1353" t="s">
        <v>254</v>
      </c>
      <c r="E1353" t="s">
        <v>256</v>
      </c>
      <c r="F1353" s="5" t="s">
        <v>135</v>
      </c>
      <c r="G1353" s="7">
        <v>110512</v>
      </c>
      <c r="H1353" s="7" cm="1">
        <f t="array" ref="H1353">_xlfn.IFS(B1353=2015,L1353*$P$3,B1353=2016,L1353*$P$4,B1353=2017,L1353*$P$5,B1353=2018,L1353*$P$6,B1353=2019,L1353*$P$7,B1353=2020,L1353*$P$8,B1353=2021,L1353*$P$9,B1353=2022,L1353*$P$10)</f>
        <v>2249.2024426583976</v>
      </c>
      <c r="I1353" s="7">
        <f t="shared" si="45"/>
        <v>112761.2024426584</v>
      </c>
      <c r="J1353">
        <f>IFERROR(VLOOKUP(F1353,'LEAID Match'!$A$2:$B$227,2,FALSE),"")</f>
        <v>3816470</v>
      </c>
      <c r="K1353">
        <f t="shared" si="44"/>
        <v>8</v>
      </c>
      <c r="L1353" cm="1">
        <f t="array" ref="L1353">_xlfn.IFS(B1353=2015,G1353/$P$13,B1353=2016,G1353/$P$14,B1353=2017,G1353/$P$15,B1353=2018,G1353/$P$16,B1353=2019,G1353/$P$17,B1353=2019,G1353/$P$18,B1353=2020,G1353/$P$18,B1353=2021,G1353/$P$19,B1353=2022,G1353/$P$20)</f>
        <v>1.1014703441030351E-3</v>
      </c>
    </row>
    <row r="1354" spans="1:12" x14ac:dyDescent="0.2">
      <c r="A1354">
        <v>3800023</v>
      </c>
      <c r="B1354">
        <v>2015</v>
      </c>
      <c r="C1354" t="s">
        <v>252</v>
      </c>
      <c r="D1354" t="s">
        <v>254</v>
      </c>
      <c r="E1354" t="s">
        <v>256</v>
      </c>
      <c r="F1354" s="5" t="s">
        <v>136</v>
      </c>
      <c r="G1354" s="7">
        <v>137465</v>
      </c>
      <c r="H1354" s="7" cm="1">
        <f t="array" ref="H1354">_xlfn.IFS(B1354=2015,L1354*$P$3,B1354=2016,L1354*$P$4,B1354=2017,L1354*$P$5,B1354=2018,L1354*$P$6,B1354=2019,L1354*$P$7,B1354=2020,L1354*$P$8,B1354=2021,L1354*$P$9,B1354=2022,L1354*$P$10)</f>
        <v>3107.8668513084958</v>
      </c>
      <c r="I1354" s="7">
        <f t="shared" si="45"/>
        <v>140572.8668513085</v>
      </c>
      <c r="J1354">
        <f>IFERROR(VLOOKUP(F1354,'LEAID Match'!$A$2:$B$227,2,FALSE),"")</f>
        <v>3800023</v>
      </c>
      <c r="K1354">
        <f t="shared" si="44"/>
        <v>8</v>
      </c>
      <c r="L1354" cm="1">
        <f t="array" ref="L1354">_xlfn.IFS(B1354=2015,G1354/$P$13,B1354=2016,G1354/$P$14,B1354=2017,G1354/$P$15,B1354=2018,G1354/$P$16,B1354=2019,G1354/$P$17,B1354=2019,G1354/$P$18,B1354=2020,G1354/$P$18,B1354=2021,G1354/$P$19,B1354=2022,G1354/$P$20)</f>
        <v>1.7528859849455702E-3</v>
      </c>
    </row>
    <row r="1355" spans="1:12" x14ac:dyDescent="0.2">
      <c r="A1355">
        <v>3800023</v>
      </c>
      <c r="B1355">
        <v>2016</v>
      </c>
      <c r="C1355" t="s">
        <v>252</v>
      </c>
      <c r="D1355" t="s">
        <v>254</v>
      </c>
      <c r="E1355" t="s">
        <v>256</v>
      </c>
      <c r="F1355" s="5" t="s">
        <v>136</v>
      </c>
      <c r="G1355" s="7">
        <v>138214</v>
      </c>
      <c r="H1355" s="7" cm="1">
        <f t="array" ref="H1355">_xlfn.IFS(B1355=2015,L1355*$P$3,B1355=2016,L1355*$P$4,B1355=2017,L1355*$P$5,B1355=2018,L1355*$P$6,B1355=2019,L1355*$P$7,B1355=2020,L1355*$P$8,B1355=2021,L1355*$P$9,B1355=2022,L1355*$P$10)</f>
        <v>4693.3402443321693</v>
      </c>
      <c r="I1355" s="7">
        <f t="shared" si="45"/>
        <v>142907.34024433218</v>
      </c>
      <c r="J1355">
        <f>IFERROR(VLOOKUP(F1355,'LEAID Match'!$A$2:$B$227,2,FALSE),"")</f>
        <v>3800023</v>
      </c>
      <c r="K1355">
        <f t="shared" si="44"/>
        <v>8</v>
      </c>
      <c r="L1355" cm="1">
        <f t="array" ref="L1355">_xlfn.IFS(B1355=2015,G1355/$P$13,B1355=2016,G1355/$P$14,B1355=2017,G1355/$P$15,B1355=2018,G1355/$P$16,B1355=2019,G1355/$P$17,B1355=2019,G1355/$P$18,B1355=2020,G1355/$P$18,B1355=2021,G1355/$P$19,B1355=2022,G1355/$P$20)</f>
        <v>1.668446585258503E-3</v>
      </c>
    </row>
    <row r="1356" spans="1:12" x14ac:dyDescent="0.2">
      <c r="A1356">
        <v>3800023</v>
      </c>
      <c r="B1356">
        <v>2017</v>
      </c>
      <c r="C1356" t="s">
        <v>252</v>
      </c>
      <c r="D1356" t="s">
        <v>254</v>
      </c>
      <c r="E1356" t="s">
        <v>256</v>
      </c>
      <c r="F1356" s="5" t="s">
        <v>136</v>
      </c>
      <c r="G1356" s="7">
        <v>143518</v>
      </c>
      <c r="H1356" s="7" cm="1">
        <f t="array" ref="H1356">_xlfn.IFS(B1356=2015,L1356*$P$3,B1356=2016,L1356*$P$4,B1356=2017,L1356*$P$5,B1356=2018,L1356*$P$6,B1356=2019,L1356*$P$7,B1356=2020,L1356*$P$8,B1356=2021,L1356*$P$9,B1356=2022,L1356*$P$10)</f>
        <v>4651.138628220082</v>
      </c>
      <c r="I1356" s="7">
        <f t="shared" si="45"/>
        <v>148169.13862822007</v>
      </c>
      <c r="J1356">
        <f>IFERROR(VLOOKUP(F1356,'LEAID Match'!$A$2:$B$227,2,FALSE),"")</f>
        <v>3800023</v>
      </c>
      <c r="K1356">
        <f t="shared" si="44"/>
        <v>8</v>
      </c>
      <c r="L1356" cm="1">
        <f t="array" ref="L1356">_xlfn.IFS(B1356=2015,G1356/$P$13,B1356=2016,G1356/$P$14,B1356=2017,G1356/$P$15,B1356=2018,G1356/$P$16,B1356=2019,G1356/$P$17,B1356=2019,G1356/$P$18,B1356=2020,G1356/$P$18,B1356=2021,G1356/$P$19,B1356=2022,G1356/$P$20)</f>
        <v>1.6676725092219728E-3</v>
      </c>
    </row>
    <row r="1357" spans="1:12" x14ac:dyDescent="0.2">
      <c r="A1357">
        <v>3800023</v>
      </c>
      <c r="B1357" s="5">
        <v>2018</v>
      </c>
      <c r="C1357" t="s">
        <v>252</v>
      </c>
      <c r="D1357" t="s">
        <v>254</v>
      </c>
      <c r="E1357" t="s">
        <v>256</v>
      </c>
      <c r="F1357" s="5" t="s">
        <v>136</v>
      </c>
      <c r="G1357" s="7">
        <v>147522</v>
      </c>
      <c r="H1357" s="7" cm="1">
        <f t="array" ref="H1357">_xlfn.IFS(B1357=2015,L1357*$P$3,B1357=2016,L1357*$P$4,B1357=2017,L1357*$P$5,B1357=2018,L1357*$P$6,B1357=2019,L1357*$P$7,B1357=2020,L1357*$P$8,B1357=2021,L1357*$P$9,B1357=2022,L1357*$P$10)</f>
        <v>4042.2486324166621</v>
      </c>
      <c r="I1357" s="7">
        <f t="shared" si="45"/>
        <v>151564.24863241665</v>
      </c>
      <c r="J1357">
        <f>IFERROR(VLOOKUP(F1357,'LEAID Match'!$A$2:$B$227,2,FALSE),"")</f>
        <v>3800023</v>
      </c>
      <c r="K1357">
        <f t="shared" si="44"/>
        <v>8</v>
      </c>
      <c r="L1357" cm="1">
        <f t="array" ref="L1357">_xlfn.IFS(B1357=2015,G1357/$P$13,B1357=2016,G1357/$P$14,B1357=2017,G1357/$P$15,B1357=2018,G1357/$P$16,B1357=2019,G1357/$P$17,B1357=2019,G1357/$P$18,B1357=2020,G1357/$P$18,B1357=2021,G1357/$P$19,B1357=2022,G1357/$P$20)</f>
        <v>1.7019994241754366E-3</v>
      </c>
    </row>
    <row r="1358" spans="1:12" x14ac:dyDescent="0.2">
      <c r="A1358">
        <v>3800023</v>
      </c>
      <c r="B1358">
        <v>2019</v>
      </c>
      <c r="C1358" t="s">
        <v>252</v>
      </c>
      <c r="D1358" t="s">
        <v>254</v>
      </c>
      <c r="E1358" t="s">
        <v>256</v>
      </c>
      <c r="F1358" s="5" t="s">
        <v>136</v>
      </c>
      <c r="G1358" s="7">
        <v>153216</v>
      </c>
      <c r="H1358" s="7" cm="1">
        <f t="array" ref="H1358">_xlfn.IFS(B1358=2015,L1358*$P$3,B1358=2016,L1358*$P$4,B1358=2017,L1358*$P$5,B1358=2018,L1358*$P$6,B1358=2019,L1358*$P$7,B1358=2020,L1358*$P$8,B1358=2021,L1358*$P$9,B1358=2022,L1358*$P$10)</f>
        <v>3556.1165267369133</v>
      </c>
      <c r="I1358" s="7">
        <f t="shared" si="45"/>
        <v>156772.11652673691</v>
      </c>
      <c r="J1358">
        <f>IFERROR(VLOOKUP(F1358,'LEAID Match'!$A$2:$B$227,2,FALSE),"")</f>
        <v>3800023</v>
      </c>
      <c r="K1358">
        <f t="shared" si="44"/>
        <v>8</v>
      </c>
      <c r="L1358" cm="1">
        <f t="array" ref="L1358">_xlfn.IFS(B1358=2015,G1358/$P$13,B1358=2016,G1358/$P$14,B1358=2017,G1358/$P$15,B1358=2018,G1358/$P$16,B1358=2019,G1358/$P$17,B1358=2019,G1358/$P$18,B1358=2020,G1358/$P$18,B1358=2021,G1358/$P$19,B1358=2022,G1358/$P$20)</f>
        <v>1.7129655716459119E-3</v>
      </c>
    </row>
    <row r="1359" spans="1:12" x14ac:dyDescent="0.2">
      <c r="A1359">
        <v>3800023</v>
      </c>
      <c r="B1359">
        <v>2020</v>
      </c>
      <c r="C1359" t="s">
        <v>252</v>
      </c>
      <c r="D1359" t="s">
        <v>254</v>
      </c>
      <c r="E1359" t="s">
        <v>256</v>
      </c>
      <c r="F1359" s="5" t="s">
        <v>136</v>
      </c>
      <c r="G1359" s="7">
        <v>151717</v>
      </c>
      <c r="H1359" s="7" cm="1">
        <f t="array" ref="H1359">_xlfn.IFS(B1359=2015,L1359*$P$3,B1359=2016,L1359*$P$4,B1359=2017,L1359*$P$5,B1359=2018,L1359*$P$6,B1359=2019,L1359*$P$7,B1359=2020,L1359*$P$8,B1359=2021,L1359*$P$9,B1359=2022,L1359*$P$10)</f>
        <v>3806.2788580733836</v>
      </c>
      <c r="I1359" s="7">
        <f t="shared" si="45"/>
        <v>155523.27885807338</v>
      </c>
      <c r="J1359">
        <f>IFERROR(VLOOKUP(F1359,'LEAID Match'!$A$2:$B$227,2,FALSE),"")</f>
        <v>3800023</v>
      </c>
      <c r="K1359">
        <f t="shared" si="44"/>
        <v>8</v>
      </c>
      <c r="L1359" cm="1">
        <f t="array" ref="L1359">_xlfn.IFS(B1359=2015,G1359/$P$13,B1359=2016,G1359/$P$14,B1359=2017,G1359/$P$15,B1359=2018,G1359/$P$16,B1359=2019,G1359/$P$17,B1359=2019,G1359/$P$18,B1359=2020,G1359/$P$18,B1359=2021,G1359/$P$19,B1359=2022,G1359/$P$20)</f>
        <v>1.6307964259097616E-3</v>
      </c>
    </row>
    <row r="1360" spans="1:12" x14ac:dyDescent="0.2">
      <c r="A1360">
        <v>3800023</v>
      </c>
      <c r="B1360" s="5">
        <v>2021</v>
      </c>
      <c r="C1360" t="s">
        <v>252</v>
      </c>
      <c r="D1360" t="s">
        <v>254</v>
      </c>
      <c r="E1360" t="s">
        <v>256</v>
      </c>
      <c r="F1360" s="5" t="s">
        <v>136</v>
      </c>
      <c r="G1360" s="7">
        <v>158837</v>
      </c>
      <c r="H1360" s="7" cm="1">
        <f t="array" ref="H1360">_xlfn.IFS(B1360=2015,L1360*$P$3,B1360=2016,L1360*$P$4,B1360=2017,L1360*$P$5,B1360=2018,L1360*$P$6,B1360=2019,L1360*$P$7,B1360=2020,L1360*$P$8,B1360=2021,L1360*$P$9,B1360=2022,L1360*$P$10)</f>
        <v>4340.1087981110841</v>
      </c>
      <c r="I1360" s="7">
        <f t="shared" si="45"/>
        <v>163177.10879811109</v>
      </c>
      <c r="J1360">
        <f>IFERROR(VLOOKUP(F1360,'LEAID Match'!$A$2:$B$227,2,FALSE),"")</f>
        <v>3800023</v>
      </c>
      <c r="K1360">
        <f t="shared" si="44"/>
        <v>8</v>
      </c>
      <c r="L1360" cm="1">
        <f t="array" ref="L1360">_xlfn.IFS(B1360=2015,G1360/$P$13,B1360=2016,G1360/$P$14,B1360=2017,G1360/$P$15,B1360=2018,G1360/$P$16,B1360=2019,G1360/$P$17,B1360=2019,G1360/$P$18,B1360=2020,G1360/$P$18,B1360=2021,G1360/$P$19,B1360=2022,G1360/$P$20)</f>
        <v>1.6164278577694914E-3</v>
      </c>
    </row>
    <row r="1361" spans="1:12" x14ac:dyDescent="0.2">
      <c r="A1361">
        <v>3800023</v>
      </c>
      <c r="B1361">
        <v>2022</v>
      </c>
      <c r="C1361" t="s">
        <v>252</v>
      </c>
      <c r="D1361" t="s">
        <v>254</v>
      </c>
      <c r="E1361" t="s">
        <v>256</v>
      </c>
      <c r="F1361" s="5" t="s">
        <v>136</v>
      </c>
      <c r="G1361" s="7">
        <v>149490</v>
      </c>
      <c r="H1361" s="7" cm="1">
        <f t="array" ref="H1361">_xlfn.IFS(B1361=2015,L1361*$P$3,B1361=2016,L1361*$P$4,B1361=2017,L1361*$P$5,B1361=2018,L1361*$P$6,B1361=2019,L1361*$P$7,B1361=2020,L1361*$P$8,B1361=2021,L1361*$P$9,B1361=2022,L1361*$P$10)</f>
        <v>3042.5046434143255</v>
      </c>
      <c r="I1361" s="7">
        <f t="shared" si="45"/>
        <v>152532.50464341432</v>
      </c>
      <c r="J1361">
        <f>IFERROR(VLOOKUP(F1361,'LEAID Match'!$A$2:$B$227,2,FALSE),"")</f>
        <v>3800023</v>
      </c>
      <c r="K1361">
        <f t="shared" si="44"/>
        <v>8</v>
      </c>
      <c r="L1361" cm="1">
        <f t="array" ref="L1361">_xlfn.IFS(B1361=2015,G1361/$P$13,B1361=2016,G1361/$P$14,B1361=2017,G1361/$P$15,B1361=2018,G1361/$P$16,B1361=2019,G1361/$P$17,B1361=2019,G1361/$P$18,B1361=2020,G1361/$P$18,B1361=2021,G1361/$P$19,B1361=2022,G1361/$P$20)</f>
        <v>1.4899630966769468E-3</v>
      </c>
    </row>
    <row r="1362" spans="1:12" x14ac:dyDescent="0.2">
      <c r="A1362">
        <v>0</v>
      </c>
      <c r="B1362">
        <v>2020</v>
      </c>
      <c r="C1362" t="s">
        <v>252</v>
      </c>
      <c r="D1362" t="s">
        <v>254</v>
      </c>
      <c r="E1362" t="s">
        <v>256</v>
      </c>
      <c r="F1362" s="5" t="s">
        <v>215</v>
      </c>
      <c r="G1362" s="7">
        <v>213095</v>
      </c>
      <c r="H1362" s="7" cm="1">
        <f t="array" ref="H1362">_xlfn.IFS(B1362=2015,L1362*$P$3,B1362=2016,L1362*$P$4,B1362=2017,L1362*$P$5,B1362=2018,L1362*$P$6,B1362=2019,L1362*$P$7,B1362=2020,L1362*$P$8,B1362=2021,L1362*$P$9,B1362=2022,L1362*$P$10)</f>
        <v>5346.1312394863307</v>
      </c>
      <c r="I1362" s="7">
        <f t="shared" si="45"/>
        <v>218441.13123948633</v>
      </c>
      <c r="J1362">
        <f>IFERROR(VLOOKUP(F1362,'LEAID Match'!$A$2:$B$227,2,FALSE),"")</f>
        <v>0</v>
      </c>
      <c r="K1362">
        <f t="shared" si="44"/>
        <v>130</v>
      </c>
      <c r="L1362" cm="1">
        <f t="array" ref="L1362">_xlfn.IFS(B1362=2015,G1362/$P$13,B1362=2016,G1362/$P$14,B1362=2017,G1362/$P$15,B1362=2018,G1362/$P$16,B1362=2019,G1362/$P$17,B1362=2019,G1362/$P$18,B1362=2020,G1362/$P$18,B1362=2021,G1362/$P$19,B1362=2022,G1362/$P$20)</f>
        <v>2.2905446613051975E-3</v>
      </c>
    </row>
    <row r="1363" spans="1:12" x14ac:dyDescent="0.2">
      <c r="A1363">
        <v>0</v>
      </c>
      <c r="B1363">
        <v>2015</v>
      </c>
      <c r="C1363" t="s">
        <v>252</v>
      </c>
      <c r="D1363" t="s">
        <v>254</v>
      </c>
      <c r="E1363" t="s">
        <v>256</v>
      </c>
      <c r="F1363" s="5" t="s">
        <v>215</v>
      </c>
      <c r="G1363" s="7">
        <v>170814</v>
      </c>
      <c r="H1363" s="7" cm="1">
        <f t="array" ref="H1363">_xlfn.IFS(B1363=2015,L1363*$P$3,B1363=2016,L1363*$P$4,B1363=2017,L1363*$P$5,B1363=2018,L1363*$P$6,B1363=2019,L1363*$P$7,B1363=2020,L1363*$P$8,B1363=2021,L1363*$P$9,B1363=2022,L1363*$P$10)</f>
        <v>3861.8351459601308</v>
      </c>
      <c r="I1363" s="7">
        <f t="shared" si="45"/>
        <v>174675.83514596013</v>
      </c>
      <c r="J1363">
        <f>IFERROR(VLOOKUP(F1363,'LEAID Match'!$A$2:$B$227,2,FALSE),"")</f>
        <v>0</v>
      </c>
      <c r="K1363">
        <f t="shared" si="44"/>
        <v>130</v>
      </c>
      <c r="L1363" cm="1">
        <f t="array" ref="L1363">_xlfn.IFS(B1363=2015,G1363/$P$13,B1363=2016,G1363/$P$14,B1363=2017,G1363/$P$15,B1363=2018,G1363/$P$16,B1363=2019,G1363/$P$17,B1363=2019,G1363/$P$18,B1363=2020,G1363/$P$18,B1363=2021,G1363/$P$19,B1363=2022,G1363/$P$20)</f>
        <v>2.1781360101297974E-3</v>
      </c>
    </row>
    <row r="1364" spans="1:12" x14ac:dyDescent="0.2">
      <c r="A1364">
        <v>0</v>
      </c>
      <c r="B1364">
        <v>2016</v>
      </c>
      <c r="C1364" t="s">
        <v>252</v>
      </c>
      <c r="D1364" t="s">
        <v>254</v>
      </c>
      <c r="E1364" t="s">
        <v>256</v>
      </c>
      <c r="F1364" s="5" t="s">
        <v>215</v>
      </c>
      <c r="G1364" s="7">
        <v>182176</v>
      </c>
      <c r="H1364" s="7" cm="1">
        <f t="array" ref="H1364">_xlfn.IFS(B1364=2015,L1364*$P$3,B1364=2016,L1364*$P$4,B1364=2017,L1364*$P$5,B1364=2018,L1364*$P$6,B1364=2019,L1364*$P$7,B1364=2020,L1364*$P$8,B1364=2021,L1364*$P$9,B1364=2022,L1364*$P$10)</f>
        <v>6186.16024680175</v>
      </c>
      <c r="I1364" s="7">
        <f t="shared" si="45"/>
        <v>188362.16024680174</v>
      </c>
      <c r="J1364">
        <f>IFERROR(VLOOKUP(F1364,'LEAID Match'!$A$2:$B$227,2,FALSE),"")</f>
        <v>0</v>
      </c>
      <c r="K1364">
        <f t="shared" si="44"/>
        <v>130</v>
      </c>
      <c r="L1364" cm="1">
        <f t="array" ref="L1364">_xlfn.IFS(B1364=2015,G1364/$P$13,B1364=2016,G1364/$P$14,B1364=2017,G1364/$P$15,B1364=2018,G1364/$P$16,B1364=2019,G1364/$P$17,B1364=2019,G1364/$P$18,B1364=2020,G1364/$P$18,B1364=2021,G1364/$P$19,B1364=2022,G1364/$P$20)</f>
        <v>2.1991326863852649E-3</v>
      </c>
    </row>
    <row r="1365" spans="1:12" x14ac:dyDescent="0.2">
      <c r="A1365">
        <v>0</v>
      </c>
      <c r="B1365">
        <v>2017</v>
      </c>
      <c r="C1365" t="s">
        <v>252</v>
      </c>
      <c r="D1365" t="s">
        <v>254</v>
      </c>
      <c r="E1365" t="s">
        <v>256</v>
      </c>
      <c r="F1365" s="5" t="s">
        <v>215</v>
      </c>
      <c r="G1365" s="7">
        <v>191430</v>
      </c>
      <c r="H1365" s="7" cm="1">
        <f t="array" ref="H1365">_xlfn.IFS(B1365=2015,L1365*$P$3,B1365=2016,L1365*$P$4,B1365=2017,L1365*$P$5,B1365=2018,L1365*$P$6,B1365=2019,L1365*$P$7,B1365=2020,L1365*$P$8,B1365=2021,L1365*$P$9,B1365=2022,L1365*$P$10)</f>
        <v>6203.8731559816215</v>
      </c>
      <c r="I1365" s="7">
        <f t="shared" si="45"/>
        <v>197633.87315598162</v>
      </c>
      <c r="J1365">
        <f>IFERROR(VLOOKUP(F1365,'LEAID Match'!$A$2:$B$227,2,FALSE),"")</f>
        <v>0</v>
      </c>
      <c r="K1365">
        <f t="shared" si="44"/>
        <v>130</v>
      </c>
      <c r="L1365" cm="1">
        <f t="array" ref="L1365">_xlfn.IFS(B1365=2015,G1365/$P$13,B1365=2016,G1365/$P$14,B1365=2017,G1365/$P$15,B1365=2018,G1365/$P$16,B1365=2019,G1365/$P$17,B1365=2019,G1365/$P$18,B1365=2020,G1365/$P$18,B1365=2021,G1365/$P$19,B1365=2022,G1365/$P$20)</f>
        <v>2.2244077289285125E-3</v>
      </c>
    </row>
    <row r="1366" spans="1:12" x14ac:dyDescent="0.2">
      <c r="A1366">
        <v>0</v>
      </c>
      <c r="B1366" s="5">
        <v>2018</v>
      </c>
      <c r="C1366" t="s">
        <v>252</v>
      </c>
      <c r="D1366" t="s">
        <v>254</v>
      </c>
      <c r="E1366" t="s">
        <v>256</v>
      </c>
      <c r="F1366" s="5" t="s">
        <v>215</v>
      </c>
      <c r="G1366" s="7">
        <v>192679</v>
      </c>
      <c r="H1366" s="7" cm="1">
        <f t="array" ref="H1366">_xlfn.IFS(B1366=2015,L1366*$P$3,B1366=2016,L1366*$P$4,B1366=2017,L1366*$P$5,B1366=2018,L1366*$P$6,B1366=2019,L1366*$P$7,B1366=2020,L1366*$P$8,B1366=2021,L1366*$P$9,B1366=2022,L1366*$P$10)</f>
        <v>5279.5950722292937</v>
      </c>
      <c r="I1366" s="7">
        <f t="shared" si="45"/>
        <v>197958.59507222931</v>
      </c>
      <c r="J1366">
        <f>IFERROR(VLOOKUP(F1366,'LEAID Match'!$A$2:$B$227,2,FALSE),"")</f>
        <v>0</v>
      </c>
      <c r="K1366">
        <f t="shared" si="44"/>
        <v>130</v>
      </c>
      <c r="L1366" cm="1">
        <f t="array" ref="L1366">_xlfn.IFS(B1366=2015,G1366/$P$13,B1366=2016,G1366/$P$14,B1366=2017,G1366/$P$15,B1366=2018,G1366/$P$16,B1366=2019,G1366/$P$17,B1366=2019,G1366/$P$18,B1366=2020,G1366/$P$18,B1366=2021,G1366/$P$19,B1366=2022,G1366/$P$20)</f>
        <v>2.2229873988333869E-3</v>
      </c>
    </row>
    <row r="1367" spans="1:12" x14ac:dyDescent="0.2">
      <c r="A1367">
        <v>0</v>
      </c>
      <c r="B1367">
        <v>2019</v>
      </c>
      <c r="C1367" t="s">
        <v>252</v>
      </c>
      <c r="D1367" t="s">
        <v>254</v>
      </c>
      <c r="E1367" t="s">
        <v>256</v>
      </c>
      <c r="F1367" s="5" t="s">
        <v>215</v>
      </c>
      <c r="G1367" s="7">
        <v>202541</v>
      </c>
      <c r="H1367" s="7" cm="1">
        <f t="array" ref="H1367">_xlfn.IFS(B1367=2015,L1367*$P$3,B1367=2016,L1367*$P$4,B1367=2017,L1367*$P$5,B1367=2018,L1367*$P$6,B1367=2019,L1367*$P$7,B1367=2020,L1367*$P$8,B1367=2021,L1367*$P$9,B1367=2022,L1367*$P$10)</f>
        <v>4700.9411382742082</v>
      </c>
      <c r="I1367" s="7">
        <f t="shared" si="45"/>
        <v>207241.94113827421</v>
      </c>
      <c r="J1367">
        <f>IFERROR(VLOOKUP(F1367,'LEAID Match'!$A$2:$B$227,2,FALSE),"")</f>
        <v>0</v>
      </c>
      <c r="K1367">
        <f t="shared" si="44"/>
        <v>130</v>
      </c>
      <c r="L1367" cm="1">
        <f t="array" ref="L1367">_xlfn.IFS(B1367=2015,G1367/$P$13,B1367=2016,G1367/$P$14,B1367=2017,G1367/$P$15,B1367=2018,G1367/$P$16,B1367=2019,G1367/$P$17,B1367=2019,G1367/$P$18,B1367=2020,G1367/$P$18,B1367=2021,G1367/$P$19,B1367=2022,G1367/$P$20)</f>
        <v>2.2644225136195608E-3</v>
      </c>
    </row>
    <row r="1368" spans="1:12" x14ac:dyDescent="0.2">
      <c r="A1368">
        <v>0</v>
      </c>
      <c r="B1368" s="5">
        <v>2021</v>
      </c>
      <c r="C1368" t="s">
        <v>252</v>
      </c>
      <c r="D1368" t="s">
        <v>254</v>
      </c>
      <c r="E1368" t="s">
        <v>256</v>
      </c>
      <c r="F1368" s="5" t="s">
        <v>215</v>
      </c>
      <c r="G1368" s="7">
        <v>235978</v>
      </c>
      <c r="H1368" s="7" cm="1">
        <f t="array" ref="H1368">_xlfn.IFS(B1368=2015,L1368*$P$3,B1368=2016,L1368*$P$4,B1368=2017,L1368*$P$5,B1368=2018,L1368*$P$6,B1368=2019,L1368*$P$7,B1368=2020,L1368*$P$8,B1368=2021,L1368*$P$9,B1368=2022,L1368*$P$10)</f>
        <v>6447.9321188429485</v>
      </c>
      <c r="I1368" s="7">
        <f t="shared" si="45"/>
        <v>242425.93211884296</v>
      </c>
      <c r="J1368">
        <f>IFERROR(VLOOKUP(F1368,'LEAID Match'!$A$2:$B$227,2,FALSE),"")</f>
        <v>0</v>
      </c>
      <c r="K1368">
        <f t="shared" si="44"/>
        <v>130</v>
      </c>
      <c r="L1368" cm="1">
        <f t="array" ref="L1368">_xlfn.IFS(B1368=2015,G1368/$P$13,B1368=2016,G1368/$P$14,B1368=2017,G1368/$P$15,B1368=2018,G1368/$P$16,B1368=2019,G1368/$P$17,B1368=2019,G1368/$P$18,B1368=2020,G1368/$P$18,B1368=2021,G1368/$P$19,B1368=2022,G1368/$P$20)</f>
        <v>2.4014644762916011E-3</v>
      </c>
    </row>
    <row r="1369" spans="1:12" x14ac:dyDescent="0.2">
      <c r="A1369">
        <v>0</v>
      </c>
      <c r="B1369">
        <v>2022</v>
      </c>
      <c r="C1369" t="s">
        <v>252</v>
      </c>
      <c r="D1369" t="s">
        <v>254</v>
      </c>
      <c r="E1369" t="s">
        <v>256</v>
      </c>
      <c r="F1369" s="5" t="s">
        <v>215</v>
      </c>
      <c r="G1369" s="7">
        <v>243696</v>
      </c>
      <c r="H1369" s="7" cm="1">
        <f t="array" ref="H1369">_xlfn.IFS(B1369=2015,L1369*$P$3,B1369=2016,L1369*$P$4,B1369=2017,L1369*$P$5,B1369=2018,L1369*$P$6,B1369=2019,L1369*$P$7,B1369=2020,L1369*$P$8,B1369=2021,L1369*$P$9,B1369=2022,L1369*$P$10)</f>
        <v>4959.8381937353497</v>
      </c>
      <c r="I1369" s="7">
        <f t="shared" si="45"/>
        <v>248655.83819373534</v>
      </c>
      <c r="J1369">
        <f>IFERROR(VLOOKUP(F1369,'LEAID Match'!$A$2:$B$227,2,FALSE),"")</f>
        <v>0</v>
      </c>
      <c r="K1369">
        <f t="shared" si="44"/>
        <v>130</v>
      </c>
      <c r="L1369" cm="1">
        <f t="array" ref="L1369">_xlfn.IFS(B1369=2015,G1369/$P$13,B1369=2016,G1369/$P$14,B1369=2017,G1369/$P$15,B1369=2018,G1369/$P$16,B1369=2019,G1369/$P$17,B1369=2019,G1369/$P$18,B1369=2020,G1369/$P$18,B1369=2021,G1369/$P$19,B1369=2022,G1369/$P$20)</f>
        <v>2.4289119460016405E-3</v>
      </c>
    </row>
    <row r="1370" spans="1:12" x14ac:dyDescent="0.2">
      <c r="A1370">
        <v>3816510</v>
      </c>
      <c r="B1370">
        <v>2015</v>
      </c>
      <c r="C1370" t="s">
        <v>252</v>
      </c>
      <c r="D1370" t="s">
        <v>254</v>
      </c>
      <c r="E1370" t="s">
        <v>256</v>
      </c>
      <c r="F1370" s="5" t="s">
        <v>137</v>
      </c>
      <c r="G1370" s="7">
        <v>104003</v>
      </c>
      <c r="H1370" s="7" cm="1">
        <f t="array" ref="H1370">_xlfn.IFS(B1370=2015,L1370*$P$3,B1370=2016,L1370*$P$4,B1370=2017,L1370*$P$5,B1370=2018,L1370*$P$6,B1370=2019,L1370*$P$7,B1370=2020,L1370*$P$8,B1370=2021,L1370*$P$9,B1370=2022,L1370*$P$10)</f>
        <v>2351.3438048713306</v>
      </c>
      <c r="I1370" s="7">
        <f t="shared" si="45"/>
        <v>106354.34380487133</v>
      </c>
      <c r="J1370">
        <f>IFERROR(VLOOKUP(F1370,'LEAID Match'!$A$2:$B$227,2,FALSE),"")</f>
        <v>3816510</v>
      </c>
      <c r="K1370">
        <f t="shared" si="44"/>
        <v>8</v>
      </c>
      <c r="L1370" cm="1">
        <f t="array" ref="L1370">_xlfn.IFS(B1370=2015,G1370/$P$13,B1370=2016,G1370/$P$14,B1370=2017,G1370/$P$15,B1370=2018,G1370/$P$16,B1370=2019,G1370/$P$17,B1370=2019,G1370/$P$18,B1370=2020,G1370/$P$18,B1370=2021,G1370/$P$19,B1370=2022,G1370/$P$20)</f>
        <v>1.326195039408534E-3</v>
      </c>
    </row>
    <row r="1371" spans="1:12" x14ac:dyDescent="0.2">
      <c r="A1371">
        <v>3816510</v>
      </c>
      <c r="B1371">
        <v>2016</v>
      </c>
      <c r="C1371" t="s">
        <v>252</v>
      </c>
      <c r="D1371" t="s">
        <v>254</v>
      </c>
      <c r="E1371" t="s">
        <v>256</v>
      </c>
      <c r="F1371" s="5" t="s">
        <v>137</v>
      </c>
      <c r="G1371" s="7">
        <v>111469</v>
      </c>
      <c r="H1371" s="7" cm="1">
        <f t="array" ref="H1371">_xlfn.IFS(B1371=2015,L1371*$P$3,B1371=2016,L1371*$P$4,B1371=2017,L1371*$P$5,B1371=2018,L1371*$P$6,B1371=2019,L1371*$P$7,B1371=2020,L1371*$P$8,B1371=2021,L1371*$P$9,B1371=2022,L1371*$P$10)</f>
        <v>3785.1588384350539</v>
      </c>
      <c r="I1371" s="7">
        <f t="shared" si="45"/>
        <v>115254.15883843505</v>
      </c>
      <c r="J1371">
        <f>IFERROR(VLOOKUP(F1371,'LEAID Match'!$A$2:$B$227,2,FALSE),"")</f>
        <v>3816510</v>
      </c>
      <c r="K1371">
        <f t="shared" si="44"/>
        <v>8</v>
      </c>
      <c r="L1371" cm="1">
        <f t="array" ref="L1371">_xlfn.IFS(B1371=2015,G1371/$P$13,B1371=2016,G1371/$P$14,B1371=2017,G1371/$P$15,B1371=2018,G1371/$P$16,B1371=2019,G1371/$P$17,B1371=2019,G1371/$P$18,B1371=2020,G1371/$P$18,B1371=2021,G1371/$P$19,B1371=2022,G1371/$P$20)</f>
        <v>1.345595036770371E-3</v>
      </c>
    </row>
    <row r="1372" spans="1:12" x14ac:dyDescent="0.2">
      <c r="A1372">
        <v>3816510</v>
      </c>
      <c r="B1372">
        <v>2017</v>
      </c>
      <c r="C1372" t="s">
        <v>252</v>
      </c>
      <c r="D1372" t="s">
        <v>254</v>
      </c>
      <c r="E1372" t="s">
        <v>256</v>
      </c>
      <c r="F1372" s="5" t="s">
        <v>137</v>
      </c>
      <c r="G1372" s="7">
        <v>116218</v>
      </c>
      <c r="H1372" s="7" cm="1">
        <f t="array" ref="H1372">_xlfn.IFS(B1372=2015,L1372*$P$3,B1372=2016,L1372*$P$4,B1372=2017,L1372*$P$5,B1372=2018,L1372*$P$6,B1372=2019,L1372*$P$7,B1372=2020,L1372*$P$8,B1372=2021,L1372*$P$9,B1372=2022,L1372*$P$10)</f>
        <v>3766.3988426154315</v>
      </c>
      <c r="I1372" s="7">
        <f t="shared" si="45"/>
        <v>119984.39884261542</v>
      </c>
      <c r="J1372">
        <f>IFERROR(VLOOKUP(F1372,'LEAID Match'!$A$2:$B$227,2,FALSE),"")</f>
        <v>3816510</v>
      </c>
      <c r="K1372">
        <f t="shared" si="44"/>
        <v>8</v>
      </c>
      <c r="L1372" cm="1">
        <f t="array" ref="L1372">_xlfn.IFS(B1372=2015,G1372/$P$13,B1372=2016,G1372/$P$14,B1372=2017,G1372/$P$15,B1372=2018,G1372/$P$16,B1372=2019,G1372/$P$17,B1372=2019,G1372/$P$18,B1372=2020,G1372/$P$18,B1372=2021,G1372/$P$19,B1372=2022,G1372/$P$20)</f>
        <v>1.3504477743332491E-3</v>
      </c>
    </row>
    <row r="1373" spans="1:12" x14ac:dyDescent="0.2">
      <c r="A1373">
        <v>3816510</v>
      </c>
      <c r="B1373" s="5">
        <v>2018</v>
      </c>
      <c r="C1373" t="s">
        <v>252</v>
      </c>
      <c r="D1373" t="s">
        <v>254</v>
      </c>
      <c r="E1373" t="s">
        <v>256</v>
      </c>
      <c r="F1373" s="5" t="s">
        <v>137</v>
      </c>
      <c r="G1373" s="7">
        <v>120064</v>
      </c>
      <c r="H1373" s="7" cm="1">
        <f t="array" ref="H1373">_xlfn.IFS(B1373=2015,L1373*$P$3,B1373=2016,L1373*$P$4,B1373=2017,L1373*$P$5,B1373=2018,L1373*$P$6,B1373=2019,L1373*$P$7,B1373=2020,L1373*$P$8,B1373=2021,L1373*$P$9,B1373=2022,L1373*$P$10)</f>
        <v>3289.8722888957177</v>
      </c>
      <c r="I1373" s="7">
        <f t="shared" si="45"/>
        <v>123353.87228889571</v>
      </c>
      <c r="J1373">
        <f>IFERROR(VLOOKUP(F1373,'LEAID Match'!$A$2:$B$227,2,FALSE),"")</f>
        <v>3816510</v>
      </c>
      <c r="K1373">
        <f t="shared" si="44"/>
        <v>8</v>
      </c>
      <c r="L1373" cm="1">
        <f t="array" ref="L1373">_xlfn.IFS(B1373=2015,G1373/$P$13,B1373=2016,G1373/$P$14,B1373=2017,G1373/$P$15,B1373=2018,G1373/$P$16,B1373=2019,G1373/$P$17,B1373=2019,G1373/$P$18,B1373=2020,G1373/$P$18,B1373=2021,G1373/$P$19,B1373=2022,G1373/$P$20)</f>
        <v>1.3852093847981969E-3</v>
      </c>
    </row>
    <row r="1374" spans="1:12" x14ac:dyDescent="0.2">
      <c r="A1374">
        <v>3816510</v>
      </c>
      <c r="B1374">
        <v>2019</v>
      </c>
      <c r="C1374" t="s">
        <v>252</v>
      </c>
      <c r="D1374" t="s">
        <v>254</v>
      </c>
      <c r="E1374" t="s">
        <v>256</v>
      </c>
      <c r="F1374" s="5" t="s">
        <v>137</v>
      </c>
      <c r="G1374" s="7">
        <v>121859</v>
      </c>
      <c r="H1374" s="7" cm="1">
        <f t="array" ref="H1374">_xlfn.IFS(B1374=2015,L1374*$P$3,B1374=2016,L1374*$P$4,B1374=2017,L1374*$P$5,B1374=2018,L1374*$P$6,B1374=2019,L1374*$P$7,B1374=2020,L1374*$P$8,B1374=2021,L1374*$P$9,B1374=2022,L1374*$P$10)</f>
        <v>2828.3260483998633</v>
      </c>
      <c r="I1374" s="7">
        <f t="shared" si="45"/>
        <v>124687.32604839986</v>
      </c>
      <c r="J1374">
        <f>IFERROR(VLOOKUP(F1374,'LEAID Match'!$A$2:$B$227,2,FALSE),"")</f>
        <v>3816510</v>
      </c>
      <c r="K1374">
        <f t="shared" si="44"/>
        <v>8</v>
      </c>
      <c r="L1374" cm="1">
        <f t="array" ref="L1374">_xlfn.IFS(B1374=2015,G1374/$P$13,B1374=2016,G1374/$P$14,B1374=2017,G1374/$P$15,B1374=2018,G1374/$P$16,B1374=2019,G1374/$P$17,B1374=2019,G1374/$P$18,B1374=2020,G1374/$P$18,B1374=2021,G1374/$P$19,B1374=2022,G1374/$P$20)</f>
        <v>1.362392123506678E-3</v>
      </c>
    </row>
    <row r="1375" spans="1:12" x14ac:dyDescent="0.2">
      <c r="A1375">
        <v>3816510</v>
      </c>
      <c r="B1375">
        <v>2020</v>
      </c>
      <c r="C1375" t="s">
        <v>252</v>
      </c>
      <c r="D1375" t="s">
        <v>254</v>
      </c>
      <c r="E1375" t="s">
        <v>256</v>
      </c>
      <c r="F1375" s="5" t="s">
        <v>137</v>
      </c>
      <c r="G1375" s="7">
        <v>120101</v>
      </c>
      <c r="H1375" s="7" cm="1">
        <f t="array" ref="H1375">_xlfn.IFS(B1375=2015,L1375*$P$3,B1375=2016,L1375*$P$4,B1375=2017,L1375*$P$5,B1375=2018,L1375*$P$6,B1375=2019,L1375*$P$7,B1375=2020,L1375*$P$8,B1375=2021,L1375*$P$9,B1375=2022,L1375*$P$10)</f>
        <v>3013.0960744904751</v>
      </c>
      <c r="I1375" s="7">
        <f t="shared" si="45"/>
        <v>123114.09607449047</v>
      </c>
      <c r="J1375">
        <f>IFERROR(VLOOKUP(F1375,'LEAID Match'!$A$2:$B$227,2,FALSE),"")</f>
        <v>3816510</v>
      </c>
      <c r="K1375">
        <f t="shared" si="44"/>
        <v>8</v>
      </c>
      <c r="L1375" cm="1">
        <f t="array" ref="L1375">_xlfn.IFS(B1375=2015,G1375/$P$13,B1375=2016,G1375/$P$14,B1375=2017,G1375/$P$15,B1375=2018,G1375/$P$16,B1375=2019,G1375/$P$17,B1375=2019,G1375/$P$18,B1375=2020,G1375/$P$18,B1375=2021,G1375/$P$19,B1375=2022,G1375/$P$20)</f>
        <v>1.2909580439119431E-3</v>
      </c>
    </row>
    <row r="1376" spans="1:12" x14ac:dyDescent="0.2">
      <c r="A1376">
        <v>3816510</v>
      </c>
      <c r="B1376" s="5">
        <v>2021</v>
      </c>
      <c r="C1376" t="s">
        <v>252</v>
      </c>
      <c r="D1376" t="s">
        <v>254</v>
      </c>
      <c r="E1376" t="s">
        <v>256</v>
      </c>
      <c r="F1376" s="5" t="s">
        <v>137</v>
      </c>
      <c r="G1376" s="7">
        <v>117743</v>
      </c>
      <c r="H1376" s="7" cm="1">
        <f t="array" ref="H1376">_xlfn.IFS(B1376=2015,L1376*$P$3,B1376=2016,L1376*$P$4,B1376=2017,L1376*$P$5,B1376=2018,L1376*$P$6,B1376=2019,L1376*$P$7,B1376=2020,L1376*$P$8,B1376=2021,L1376*$P$9,B1376=2022,L1376*$P$10)</f>
        <v>3217.2442832337142</v>
      </c>
      <c r="I1376" s="7">
        <f t="shared" si="45"/>
        <v>120960.24428323371</v>
      </c>
      <c r="J1376">
        <f>IFERROR(VLOOKUP(F1376,'LEAID Match'!$A$2:$B$227,2,FALSE),"")</f>
        <v>3816510</v>
      </c>
      <c r="K1376">
        <f t="shared" si="44"/>
        <v>8</v>
      </c>
      <c r="L1376" cm="1">
        <f t="array" ref="L1376">_xlfn.IFS(B1376=2015,G1376/$P$13,B1376=2016,G1376/$P$14,B1376=2017,G1376/$P$15,B1376=2018,G1376/$P$16,B1376=2019,G1376/$P$17,B1376=2019,G1376/$P$18,B1376=2020,G1376/$P$18,B1376=2021,G1376/$P$19,B1376=2022,G1376/$P$20)</f>
        <v>1.1982287833272678E-3</v>
      </c>
    </row>
    <row r="1377" spans="1:12" x14ac:dyDescent="0.2">
      <c r="A1377">
        <v>3816510</v>
      </c>
      <c r="B1377">
        <v>2022</v>
      </c>
      <c r="C1377" t="s">
        <v>252</v>
      </c>
      <c r="D1377" t="s">
        <v>254</v>
      </c>
      <c r="E1377" t="s">
        <v>256</v>
      </c>
      <c r="F1377" s="5" t="s">
        <v>137</v>
      </c>
      <c r="G1377" s="7">
        <v>95369</v>
      </c>
      <c r="H1377" s="7" cm="1">
        <f t="array" ref="H1377">_xlfn.IFS(B1377=2015,L1377*$P$3,B1377=2016,L1377*$P$4,B1377=2017,L1377*$P$5,B1377=2018,L1377*$P$6,B1377=2019,L1377*$P$7,B1377=2020,L1377*$P$8,B1377=2021,L1377*$P$9,B1377=2022,L1377*$P$10)</f>
        <v>1941.0035810942591</v>
      </c>
      <c r="I1377" s="7">
        <f t="shared" si="45"/>
        <v>97310.003581094265</v>
      </c>
      <c r="J1377">
        <f>IFERROR(VLOOKUP(F1377,'LEAID Match'!$A$2:$B$227,2,FALSE),"")</f>
        <v>3816510</v>
      </c>
      <c r="K1377">
        <f t="shared" si="44"/>
        <v>8</v>
      </c>
      <c r="L1377" cm="1">
        <f t="array" ref="L1377">_xlfn.IFS(B1377=2015,G1377/$P$13,B1377=2016,G1377/$P$14,B1377=2017,G1377/$P$15,B1377=2018,G1377/$P$16,B1377=2019,G1377/$P$17,B1377=2019,G1377/$P$18,B1377=2020,G1377/$P$18,B1377=2021,G1377/$P$19,B1377=2022,G1377/$P$20)</f>
        <v>9.5054044128024438E-4</v>
      </c>
    </row>
    <row r="1378" spans="1:12" x14ac:dyDescent="0.2">
      <c r="A1378">
        <v>3880560</v>
      </c>
      <c r="B1378">
        <v>2015</v>
      </c>
      <c r="C1378" t="s">
        <v>252</v>
      </c>
      <c r="D1378" t="s">
        <v>254</v>
      </c>
      <c r="E1378" t="s">
        <v>256</v>
      </c>
      <c r="F1378" s="5" t="s">
        <v>138</v>
      </c>
      <c r="G1378" s="7">
        <v>88535</v>
      </c>
      <c r="H1378" s="7" cm="1">
        <f t="array" ref="H1378">_xlfn.IFS(B1378=2015,L1378*$P$3,B1378=2016,L1378*$P$4,B1378=2017,L1378*$P$5,B1378=2018,L1378*$P$6,B1378=2019,L1378*$P$7,B1378=2020,L1378*$P$8,B1378=2021,L1378*$P$9,B1378=2022,L1378*$P$10)</f>
        <v>2001.6367197511925</v>
      </c>
      <c r="I1378" s="7">
        <f t="shared" si="45"/>
        <v>90536.636719751186</v>
      </c>
      <c r="J1378">
        <f>IFERROR(VLOOKUP(F1378,'LEAID Match'!$A$2:$B$227,2,FALSE),"")</f>
        <v>3880560</v>
      </c>
      <c r="K1378">
        <f t="shared" si="44"/>
        <v>8</v>
      </c>
      <c r="L1378" cm="1">
        <f t="array" ref="L1378">_xlfn.IFS(B1378=2015,G1378/$P$13,B1378=2016,G1378/$P$14,B1378=2017,G1378/$P$15,B1378=2018,G1378/$P$16,B1378=2019,G1378/$P$17,B1378=2019,G1378/$P$18,B1378=2020,G1378/$P$18,B1378=2021,G1378/$P$19,B1378=2022,G1378/$P$20)</f>
        <v>1.1289547206718513E-3</v>
      </c>
    </row>
    <row r="1379" spans="1:12" x14ac:dyDescent="0.2">
      <c r="A1379">
        <v>3880560</v>
      </c>
      <c r="B1379">
        <v>2016</v>
      </c>
      <c r="C1379" t="s">
        <v>252</v>
      </c>
      <c r="D1379" t="s">
        <v>254</v>
      </c>
      <c r="E1379" t="s">
        <v>256</v>
      </c>
      <c r="F1379" s="5" t="s">
        <v>138</v>
      </c>
      <c r="G1379" s="7">
        <v>94861</v>
      </c>
      <c r="H1379" s="7" cm="1">
        <f t="array" ref="H1379">_xlfn.IFS(B1379=2015,L1379*$P$3,B1379=2016,L1379*$P$4,B1379=2017,L1379*$P$5,B1379=2018,L1379*$P$6,B1379=2019,L1379*$P$7,B1379=2020,L1379*$P$8,B1379=2021,L1379*$P$9,B1379=2022,L1379*$P$10)</f>
        <v>3221.2000876726947</v>
      </c>
      <c r="I1379" s="7">
        <f t="shared" si="45"/>
        <v>98082.200087672696</v>
      </c>
      <c r="J1379">
        <f>IFERROR(VLOOKUP(F1379,'LEAID Match'!$A$2:$B$227,2,FALSE),"")</f>
        <v>3880560</v>
      </c>
      <c r="K1379">
        <f t="shared" si="44"/>
        <v>8</v>
      </c>
      <c r="L1379" cm="1">
        <f t="array" ref="L1379">_xlfn.IFS(B1379=2015,G1379/$P$13,B1379=2016,G1379/$P$14,B1379=2017,G1379/$P$15,B1379=2018,G1379/$P$16,B1379=2019,G1379/$P$17,B1379=2019,G1379/$P$18,B1379=2020,G1379/$P$18,B1379=2021,G1379/$P$19,B1379=2022,G1379/$P$20)</f>
        <v>1.145112011259401E-3</v>
      </c>
    </row>
    <row r="1380" spans="1:12" x14ac:dyDescent="0.2">
      <c r="A1380">
        <v>3880560</v>
      </c>
      <c r="B1380">
        <v>2017</v>
      </c>
      <c r="C1380" t="s">
        <v>252</v>
      </c>
      <c r="D1380" t="s">
        <v>254</v>
      </c>
      <c r="E1380" t="s">
        <v>256</v>
      </c>
      <c r="F1380" s="5" t="s">
        <v>138</v>
      </c>
      <c r="G1380" s="7">
        <v>92689</v>
      </c>
      <c r="H1380" s="7" cm="1">
        <f t="array" ref="H1380">_xlfn.IFS(B1380=2015,L1380*$P$3,B1380=2016,L1380*$P$4,B1380=2017,L1380*$P$5,B1380=2018,L1380*$P$6,B1380=2019,L1380*$P$7,B1380=2020,L1380*$P$8,B1380=2021,L1380*$P$9,B1380=2022,L1380*$P$10)</f>
        <v>3003.8698164069397</v>
      </c>
      <c r="I1380" s="7">
        <f t="shared" si="45"/>
        <v>95692.869816406936</v>
      </c>
      <c r="J1380">
        <f>IFERROR(VLOOKUP(F1380,'LEAID Match'!$A$2:$B$227,2,FALSE),"")</f>
        <v>3880560</v>
      </c>
      <c r="K1380">
        <f t="shared" si="44"/>
        <v>8</v>
      </c>
      <c r="L1380" cm="1">
        <f t="array" ref="L1380">_xlfn.IFS(B1380=2015,G1380/$P$13,B1380=2016,G1380/$P$14,B1380=2017,G1380/$P$15,B1380=2018,G1380/$P$16,B1380=2019,G1380/$P$17,B1380=2019,G1380/$P$18,B1380=2020,G1380/$P$18,B1380=2021,G1380/$P$19,B1380=2022,G1380/$P$20)</f>
        <v>1.0770418846923412E-3</v>
      </c>
    </row>
    <row r="1381" spans="1:12" x14ac:dyDescent="0.2">
      <c r="A1381">
        <v>3880560</v>
      </c>
      <c r="B1381" s="5">
        <v>2018</v>
      </c>
      <c r="C1381" t="s">
        <v>252</v>
      </c>
      <c r="D1381" t="s">
        <v>254</v>
      </c>
      <c r="E1381" t="s">
        <v>256</v>
      </c>
      <c r="F1381" s="5" t="s">
        <v>138</v>
      </c>
      <c r="G1381" s="7">
        <v>98939</v>
      </c>
      <c r="H1381" s="7" cm="1">
        <f t="array" ref="H1381">_xlfn.IFS(B1381=2015,L1381*$P$3,B1381=2016,L1381*$P$4,B1381=2017,L1381*$P$5,B1381=2018,L1381*$P$6,B1381=2019,L1381*$P$7,B1381=2020,L1381*$P$8,B1381=2021,L1381*$P$9,B1381=2022,L1381*$P$10)</f>
        <v>2711.026405842329</v>
      </c>
      <c r="I1381" s="7">
        <f t="shared" si="45"/>
        <v>101650.02640584233</v>
      </c>
      <c r="J1381">
        <f>IFERROR(VLOOKUP(F1381,'LEAID Match'!$A$2:$B$227,2,FALSE),"")</f>
        <v>3880560</v>
      </c>
      <c r="K1381">
        <f t="shared" si="44"/>
        <v>8</v>
      </c>
      <c r="L1381" cm="1">
        <f t="array" ref="L1381">_xlfn.IFS(B1381=2015,G1381/$P$13,B1381=2016,G1381/$P$14,B1381=2017,G1381/$P$15,B1381=2018,G1381/$P$16,B1381=2019,G1381/$P$17,B1381=2019,G1381/$P$18,B1381=2020,G1381/$P$18,B1381=2021,G1381/$P$19,B1381=2022,G1381/$P$20)</f>
        <v>1.1414848024599281E-3</v>
      </c>
    </row>
    <row r="1382" spans="1:12" x14ac:dyDescent="0.2">
      <c r="A1382">
        <v>3880560</v>
      </c>
      <c r="B1382">
        <v>2019</v>
      </c>
      <c r="C1382" t="s">
        <v>252</v>
      </c>
      <c r="D1382" t="s">
        <v>254</v>
      </c>
      <c r="E1382" t="s">
        <v>256</v>
      </c>
      <c r="F1382" s="5" t="s">
        <v>138</v>
      </c>
      <c r="G1382" s="7">
        <v>118849</v>
      </c>
      <c r="H1382" s="7" cm="1">
        <f t="array" ref="H1382">_xlfn.IFS(B1382=2015,L1382*$P$3,B1382=2016,L1382*$P$4,B1382=2017,L1382*$P$5,B1382=2018,L1382*$P$6,B1382=2019,L1382*$P$7,B1382=2020,L1382*$P$8,B1382=2021,L1382*$P$9,B1382=2022,L1382*$P$10)</f>
        <v>2758.4644755518702</v>
      </c>
      <c r="I1382" s="7">
        <f t="shared" si="45"/>
        <v>121607.46447555187</v>
      </c>
      <c r="J1382">
        <f>IFERROR(VLOOKUP(F1382,'LEAID Match'!$A$2:$B$227,2,FALSE),"")</f>
        <v>3880560</v>
      </c>
      <c r="K1382">
        <f t="shared" si="44"/>
        <v>8</v>
      </c>
      <c r="L1382" cm="1">
        <f t="array" ref="L1382">_xlfn.IFS(B1382=2015,G1382/$P$13,B1382=2016,G1382/$P$14,B1382=2017,G1382/$P$15,B1382=2018,G1382/$P$16,B1382=2019,G1382/$P$17,B1382=2019,G1382/$P$18,B1382=2020,G1382/$P$18,B1382=2021,G1382/$P$19,B1382=2022,G1382/$P$20)</f>
        <v>1.3287401134642921E-3</v>
      </c>
    </row>
    <row r="1383" spans="1:12" x14ac:dyDescent="0.2">
      <c r="A1383">
        <v>3880560</v>
      </c>
      <c r="B1383">
        <v>2020</v>
      </c>
      <c r="C1383" t="s">
        <v>252</v>
      </c>
      <c r="D1383" t="s">
        <v>254</v>
      </c>
      <c r="E1383" t="s">
        <v>256</v>
      </c>
      <c r="F1383" s="5" t="s">
        <v>138</v>
      </c>
      <c r="G1383" s="7">
        <v>123662</v>
      </c>
      <c r="H1383" s="7" cm="1">
        <f t="array" ref="H1383">_xlfn.IFS(B1383=2015,L1383*$P$3,B1383=2016,L1383*$P$4,B1383=2017,L1383*$P$5,B1383=2018,L1383*$P$6,B1383=2019,L1383*$P$7,B1383=2020,L1383*$P$8,B1383=2021,L1383*$P$9,B1383=2022,L1383*$P$10)</f>
        <v>3102.4345073200152</v>
      </c>
      <c r="I1383" s="7">
        <f t="shared" si="45"/>
        <v>126764.43450732001</v>
      </c>
      <c r="J1383">
        <f>IFERROR(VLOOKUP(F1383,'LEAID Match'!$A$2:$B$227,2,FALSE),"")</f>
        <v>3880560</v>
      </c>
      <c r="K1383">
        <f t="shared" si="44"/>
        <v>8</v>
      </c>
      <c r="L1383" cm="1">
        <f t="array" ref="L1383">_xlfn.IFS(B1383=2015,G1383/$P$13,B1383=2016,G1383/$P$14,B1383=2017,G1383/$P$15,B1383=2018,G1383/$P$16,B1383=2019,G1383/$P$17,B1383=2019,G1383/$P$18,B1383=2020,G1383/$P$18,B1383=2021,G1383/$P$19,B1383=2022,G1383/$P$20)</f>
        <v>1.3292350074207435E-3</v>
      </c>
    </row>
    <row r="1384" spans="1:12" x14ac:dyDescent="0.2">
      <c r="A1384">
        <v>3880560</v>
      </c>
      <c r="B1384" s="5">
        <v>2021</v>
      </c>
      <c r="C1384" t="s">
        <v>252</v>
      </c>
      <c r="D1384" t="s">
        <v>254</v>
      </c>
      <c r="E1384" t="s">
        <v>256</v>
      </c>
      <c r="F1384" s="5" t="s">
        <v>138</v>
      </c>
      <c r="G1384" s="7">
        <v>126563</v>
      </c>
      <c r="H1384" s="7" cm="1">
        <f t="array" ref="H1384">_xlfn.IFS(B1384=2015,L1384*$P$3,B1384=2016,L1384*$P$4,B1384=2017,L1384*$P$5,B1384=2018,L1384*$P$6,B1384=2019,L1384*$P$7,B1384=2020,L1384*$P$8,B1384=2021,L1384*$P$9,B1384=2022,L1384*$P$10)</f>
        <v>3458.2445514290321</v>
      </c>
      <c r="I1384" s="7">
        <f t="shared" si="45"/>
        <v>130021.24455142903</v>
      </c>
      <c r="J1384">
        <f>IFERROR(VLOOKUP(F1384,'LEAID Match'!$A$2:$B$227,2,FALSE),"")</f>
        <v>3880560</v>
      </c>
      <c r="K1384">
        <f t="shared" si="44"/>
        <v>8</v>
      </c>
      <c r="L1384" cm="1">
        <f t="array" ref="L1384">_xlfn.IFS(B1384=2015,G1384/$P$13,B1384=2016,G1384/$P$14,B1384=2017,G1384/$P$15,B1384=2018,G1384/$P$16,B1384=2019,G1384/$P$17,B1384=2019,G1384/$P$18,B1384=2020,G1384/$P$18,B1384=2021,G1384/$P$19,B1384=2022,G1384/$P$20)</f>
        <v>1.2879867975527121E-3</v>
      </c>
    </row>
    <row r="1385" spans="1:12" x14ac:dyDescent="0.2">
      <c r="A1385">
        <v>3880560</v>
      </c>
      <c r="B1385">
        <v>2022</v>
      </c>
      <c r="C1385" t="s">
        <v>252</v>
      </c>
      <c r="D1385" t="s">
        <v>254</v>
      </c>
      <c r="E1385" t="s">
        <v>256</v>
      </c>
      <c r="F1385" s="5" t="s">
        <v>138</v>
      </c>
      <c r="G1385" s="7">
        <v>129344</v>
      </c>
      <c r="H1385" s="7" cm="1">
        <f t="array" ref="H1385">_xlfn.IFS(B1385=2015,L1385*$P$3,B1385=2016,L1385*$P$4,B1385=2017,L1385*$P$5,B1385=2018,L1385*$P$6,B1385=2019,L1385*$P$7,B1385=2020,L1385*$P$8,B1385=2021,L1385*$P$9,B1385=2022,L1385*$P$10)</f>
        <v>2632.481909142969</v>
      </c>
      <c r="I1385" s="7">
        <f t="shared" si="45"/>
        <v>131976.48190914298</v>
      </c>
      <c r="J1385">
        <f>IFERROR(VLOOKUP(F1385,'LEAID Match'!$A$2:$B$227,2,FALSE),"")</f>
        <v>3880560</v>
      </c>
      <c r="K1385">
        <f t="shared" si="44"/>
        <v>8</v>
      </c>
      <c r="L1385" cm="1">
        <f t="array" ref="L1385">_xlfn.IFS(B1385=2015,G1385/$P$13,B1385=2016,G1385/$P$14,B1385=2017,G1385/$P$15,B1385=2018,G1385/$P$16,B1385=2019,G1385/$P$17,B1385=2019,G1385/$P$18,B1385=2020,G1385/$P$18,B1385=2021,G1385/$P$19,B1385=2022,G1385/$P$20)</f>
        <v>1.2891684177977322E-3</v>
      </c>
    </row>
    <row r="1386" spans="1:12" x14ac:dyDescent="0.2">
      <c r="A1386">
        <v>3880500</v>
      </c>
      <c r="B1386">
        <v>2015</v>
      </c>
      <c r="C1386" t="s">
        <v>252</v>
      </c>
      <c r="D1386" t="s">
        <v>254</v>
      </c>
      <c r="E1386" t="s">
        <v>256</v>
      </c>
      <c r="F1386" s="5" t="s">
        <v>139</v>
      </c>
      <c r="G1386" s="7">
        <v>204937</v>
      </c>
      <c r="H1386" s="7" cm="1">
        <f t="array" ref="H1386">_xlfn.IFS(B1386=2015,L1386*$P$3,B1386=2016,L1386*$P$4,B1386=2017,L1386*$P$5,B1386=2018,L1386*$P$6,B1386=2019,L1386*$P$7,B1386=2020,L1386*$P$8,B1386=2021,L1386*$P$9,B1386=2022,L1386*$P$10)</f>
        <v>4633.3023599215021</v>
      </c>
      <c r="I1386" s="7">
        <f t="shared" si="45"/>
        <v>209570.30235992151</v>
      </c>
      <c r="J1386">
        <f>IFERROR(VLOOKUP(F1386,'LEAID Match'!$A$2:$B$227,2,FALSE),"")</f>
        <v>3880500</v>
      </c>
      <c r="K1386">
        <f t="shared" si="44"/>
        <v>8</v>
      </c>
      <c r="L1386" cm="1">
        <f t="array" ref="L1386">_xlfn.IFS(B1386=2015,G1386/$P$13,B1386=2016,G1386/$P$14,B1386=2017,G1386/$P$15,B1386=2018,G1386/$P$16,B1386=2019,G1386/$P$17,B1386=2019,G1386/$P$18,B1386=2020,G1386/$P$18,B1386=2021,G1386/$P$19,B1386=2022,G1386/$P$20)</f>
        <v>2.6132557021553873E-3</v>
      </c>
    </row>
    <row r="1387" spans="1:12" x14ac:dyDescent="0.2">
      <c r="A1387">
        <v>3880500</v>
      </c>
      <c r="B1387">
        <v>2016</v>
      </c>
      <c r="C1387" t="s">
        <v>252</v>
      </c>
      <c r="D1387" t="s">
        <v>254</v>
      </c>
      <c r="E1387" t="s">
        <v>256</v>
      </c>
      <c r="F1387" s="5" t="s">
        <v>139</v>
      </c>
      <c r="G1387" s="7">
        <v>190223</v>
      </c>
      <c r="H1387" s="7" cm="1">
        <f t="array" ref="H1387">_xlfn.IFS(B1387=2015,L1387*$P$3,B1387=2016,L1387*$P$4,B1387=2017,L1387*$P$5,B1387=2018,L1387*$P$6,B1387=2019,L1387*$P$7,B1387=2020,L1387*$P$8,B1387=2021,L1387*$P$9,B1387=2022,L1387*$P$10)</f>
        <v>6459.4126593369565</v>
      </c>
      <c r="I1387" s="7">
        <f t="shared" si="45"/>
        <v>196682.41265933696</v>
      </c>
      <c r="J1387">
        <f>IFERROR(VLOOKUP(F1387,'LEAID Match'!$A$2:$B$227,2,FALSE),"")</f>
        <v>3880500</v>
      </c>
      <c r="K1387">
        <f t="shared" si="44"/>
        <v>8</v>
      </c>
      <c r="L1387" cm="1">
        <f t="array" ref="L1387">_xlfn.IFS(B1387=2015,G1387/$P$13,B1387=2016,G1387/$P$14,B1387=2017,G1387/$P$15,B1387=2018,G1387/$P$16,B1387=2019,G1387/$P$17,B1387=2019,G1387/$P$18,B1387=2020,G1387/$P$18,B1387=2021,G1387/$P$19,B1387=2022,G1387/$P$20)</f>
        <v>2.2962718305499312E-3</v>
      </c>
    </row>
    <row r="1388" spans="1:12" x14ac:dyDescent="0.2">
      <c r="A1388">
        <v>3880500</v>
      </c>
      <c r="B1388">
        <v>2017</v>
      </c>
      <c r="C1388" t="s">
        <v>252</v>
      </c>
      <c r="D1388" t="s">
        <v>254</v>
      </c>
      <c r="E1388" t="s">
        <v>256</v>
      </c>
      <c r="F1388" s="5" t="s">
        <v>139</v>
      </c>
      <c r="G1388" s="7">
        <v>186115</v>
      </c>
      <c r="H1388" s="7" cm="1">
        <f t="array" ref="H1388">_xlfn.IFS(B1388=2015,L1388*$P$3,B1388=2016,L1388*$P$4,B1388=2017,L1388*$P$5,B1388=2018,L1388*$P$6,B1388=2019,L1388*$P$7,B1388=2020,L1388*$P$8,B1388=2021,L1388*$P$9,B1388=2022,L1388*$P$10)</f>
        <v>6031.6243662201305</v>
      </c>
      <c r="I1388" s="7">
        <f t="shared" si="45"/>
        <v>192146.62436622015</v>
      </c>
      <c r="J1388">
        <f>IFERROR(VLOOKUP(F1388,'LEAID Match'!$A$2:$B$227,2,FALSE),"")</f>
        <v>3880500</v>
      </c>
      <c r="K1388">
        <f t="shared" si="44"/>
        <v>8</v>
      </c>
      <c r="L1388" cm="1">
        <f t="array" ref="L1388">_xlfn.IFS(B1388=2015,G1388/$P$13,B1388=2016,G1388/$P$14,B1388=2017,G1388/$P$15,B1388=2018,G1388/$P$16,B1388=2019,G1388/$P$17,B1388=2019,G1388/$P$18,B1388=2020,G1388/$P$18,B1388=2021,G1388/$P$19,B1388=2022,G1388/$P$20)</f>
        <v>2.1626476752313125E-3</v>
      </c>
    </row>
    <row r="1389" spans="1:12" x14ac:dyDescent="0.2">
      <c r="A1389">
        <v>3880500</v>
      </c>
      <c r="B1389" s="5">
        <v>2018</v>
      </c>
      <c r="C1389" t="s">
        <v>252</v>
      </c>
      <c r="D1389" t="s">
        <v>254</v>
      </c>
      <c r="E1389" t="s">
        <v>256</v>
      </c>
      <c r="F1389" s="5" t="s">
        <v>139</v>
      </c>
      <c r="G1389" s="7">
        <v>194326</v>
      </c>
      <c r="H1389" s="7" cm="1">
        <f t="array" ref="H1389">_xlfn.IFS(B1389=2015,L1389*$P$3,B1389=2016,L1389*$P$4,B1389=2017,L1389*$P$5,B1389=2018,L1389*$P$6,B1389=2019,L1389*$P$7,B1389=2020,L1389*$P$8,B1389=2021,L1389*$P$9,B1389=2022,L1389*$P$10)</f>
        <v>5324.7245003660482</v>
      </c>
      <c r="I1389" s="7">
        <f t="shared" si="45"/>
        <v>199650.72450036605</v>
      </c>
      <c r="J1389">
        <f>IFERROR(VLOOKUP(F1389,'LEAID Match'!$A$2:$B$227,2,FALSE),"")</f>
        <v>3880500</v>
      </c>
      <c r="K1389">
        <f t="shared" si="44"/>
        <v>8</v>
      </c>
      <c r="L1389" cm="1">
        <f t="array" ref="L1389">_xlfn.IFS(B1389=2015,G1389/$P$13,B1389=2016,G1389/$P$14,B1389=2017,G1389/$P$15,B1389=2018,G1389/$P$16,B1389=2019,G1389/$P$17,B1389=2019,G1389/$P$18,B1389=2020,G1389/$P$18,B1389=2021,G1389/$P$19,B1389=2022,G1389/$P$20)</f>
        <v>2.2419892633120204E-3</v>
      </c>
    </row>
    <row r="1390" spans="1:12" x14ac:dyDescent="0.2">
      <c r="A1390">
        <v>3880500</v>
      </c>
      <c r="B1390">
        <v>2019</v>
      </c>
      <c r="C1390" t="s">
        <v>252</v>
      </c>
      <c r="D1390" t="s">
        <v>254</v>
      </c>
      <c r="E1390" t="s">
        <v>256</v>
      </c>
      <c r="F1390" s="5" t="s">
        <v>139</v>
      </c>
      <c r="G1390" s="7">
        <v>185880</v>
      </c>
      <c r="H1390" s="7" cm="1">
        <f t="array" ref="H1390">_xlfn.IFS(B1390=2015,L1390*$P$3,B1390=2016,L1390*$P$4,B1390=2017,L1390*$P$5,B1390=2018,L1390*$P$6,B1390=2019,L1390*$P$7,B1390=2020,L1390*$P$8,B1390=2021,L1390*$P$9,B1390=2022,L1390*$P$10)</f>
        <v>4314.2422461744036</v>
      </c>
      <c r="I1390" s="7">
        <f t="shared" si="45"/>
        <v>190194.2422461744</v>
      </c>
      <c r="J1390">
        <f>IFERROR(VLOOKUP(F1390,'LEAID Match'!$A$2:$B$227,2,FALSE),"")</f>
        <v>3880500</v>
      </c>
      <c r="K1390">
        <f t="shared" si="44"/>
        <v>8</v>
      </c>
      <c r="L1390" cm="1">
        <f t="array" ref="L1390">_xlfn.IFS(B1390=2015,G1390/$P$13,B1390=2016,G1390/$P$14,B1390=2017,G1390/$P$15,B1390=2018,G1390/$P$16,B1390=2019,G1390/$P$17,B1390=2019,G1390/$P$18,B1390=2020,G1390/$P$18,B1390=2021,G1390/$P$19,B1390=2022,G1390/$P$20)</f>
        <v>2.078151370989597E-3</v>
      </c>
    </row>
    <row r="1391" spans="1:12" x14ac:dyDescent="0.2">
      <c r="A1391">
        <v>3880500</v>
      </c>
      <c r="B1391">
        <v>2020</v>
      </c>
      <c r="C1391" t="s">
        <v>252</v>
      </c>
      <c r="D1391" t="s">
        <v>254</v>
      </c>
      <c r="E1391" t="s">
        <v>256</v>
      </c>
      <c r="F1391" s="5" t="s">
        <v>139</v>
      </c>
      <c r="G1391" s="7">
        <v>185678</v>
      </c>
      <c r="H1391" s="7" cm="1">
        <f t="array" ref="H1391">_xlfn.IFS(B1391=2015,L1391*$P$3,B1391=2016,L1391*$P$4,B1391=2017,L1391*$P$5,B1391=2018,L1391*$P$6,B1391=2019,L1391*$P$7,B1391=2020,L1391*$P$8,B1391=2021,L1391*$P$9,B1391=2022,L1391*$P$10)</f>
        <v>4658.2930443480273</v>
      </c>
      <c r="I1391" s="7">
        <f t="shared" si="45"/>
        <v>190336.29304434801</v>
      </c>
      <c r="J1391">
        <f>IFERROR(VLOOKUP(F1391,'LEAID Match'!$A$2:$B$227,2,FALSE),"")</f>
        <v>3880500</v>
      </c>
      <c r="K1391">
        <f t="shared" si="44"/>
        <v>8</v>
      </c>
      <c r="L1391" cm="1">
        <f t="array" ref="L1391">_xlfn.IFS(B1391=2015,G1391/$P$13,B1391=2016,G1391/$P$14,B1391=2017,G1391/$P$15,B1391=2018,G1391/$P$16,B1391=2019,G1391/$P$17,B1391=2019,G1391/$P$18,B1391=2020,G1391/$P$18,B1391=2021,G1391/$P$19,B1391=2022,G1391/$P$20)</f>
        <v>1.9958410644164643E-3</v>
      </c>
    </row>
    <row r="1392" spans="1:12" x14ac:dyDescent="0.2">
      <c r="A1392">
        <v>3880500</v>
      </c>
      <c r="B1392" s="5">
        <v>2021</v>
      </c>
      <c r="C1392" t="s">
        <v>252</v>
      </c>
      <c r="D1392" t="s">
        <v>254</v>
      </c>
      <c r="E1392" t="s">
        <v>256</v>
      </c>
      <c r="F1392" s="5" t="s">
        <v>139</v>
      </c>
      <c r="G1392" s="7">
        <v>242335</v>
      </c>
      <c r="H1392" s="7" cm="1">
        <f t="array" ref="H1392">_xlfn.IFS(B1392=2015,L1392*$P$3,B1392=2016,L1392*$P$4,B1392=2017,L1392*$P$5,B1392=2018,L1392*$P$6,B1392=2019,L1392*$P$7,B1392=2020,L1392*$P$8,B1392=2021,L1392*$P$9,B1392=2022,L1392*$P$10)</f>
        <v>6621.6326522803229</v>
      </c>
      <c r="I1392" s="7">
        <f t="shared" si="45"/>
        <v>248956.63265228033</v>
      </c>
      <c r="J1392">
        <f>IFERROR(VLOOKUP(F1392,'LEAID Match'!$A$2:$B$227,2,FALSE),"")</f>
        <v>3880500</v>
      </c>
      <c r="K1392">
        <f t="shared" si="44"/>
        <v>8</v>
      </c>
      <c r="L1392" cm="1">
        <f t="array" ref="L1392">_xlfn.IFS(B1392=2015,G1392/$P$13,B1392=2016,G1392/$P$14,B1392=2017,G1392/$P$15,B1392=2018,G1392/$P$16,B1392=2019,G1392/$P$17,B1392=2019,G1392/$P$18,B1392=2020,G1392/$P$18,B1392=2021,G1392/$P$19,B1392=2022,G1392/$P$20)</f>
        <v>2.4661574123949061E-3</v>
      </c>
    </row>
    <row r="1393" spans="1:12" x14ac:dyDescent="0.2">
      <c r="A1393">
        <v>3880500</v>
      </c>
      <c r="B1393">
        <v>2022</v>
      </c>
      <c r="C1393" t="s">
        <v>252</v>
      </c>
      <c r="D1393" t="s">
        <v>254</v>
      </c>
      <c r="E1393" t="s">
        <v>256</v>
      </c>
      <c r="F1393" s="5" t="s">
        <v>139</v>
      </c>
      <c r="G1393" s="7">
        <v>209408</v>
      </c>
      <c r="H1393" s="7" cm="1">
        <f t="array" ref="H1393">_xlfn.IFS(B1393=2015,L1393*$P$3,B1393=2016,L1393*$P$4,B1393=2017,L1393*$P$5,B1393=2018,L1393*$P$6,B1393=2019,L1393*$P$7,B1393=2020,L1393*$P$8,B1393=2021,L1393*$P$9,B1393=2022,L1393*$P$10)</f>
        <v>4261.9895134664994</v>
      </c>
      <c r="I1393" s="7">
        <f t="shared" si="45"/>
        <v>213669.98951346651</v>
      </c>
      <c r="J1393">
        <f>IFERROR(VLOOKUP(F1393,'LEAID Match'!$A$2:$B$227,2,FALSE),"")</f>
        <v>3880500</v>
      </c>
      <c r="K1393">
        <f t="shared" si="44"/>
        <v>8</v>
      </c>
      <c r="L1393" cm="1">
        <f t="array" ref="L1393">_xlfn.IFS(B1393=2015,G1393/$P$13,B1393=2016,G1393/$P$14,B1393=2017,G1393/$P$15,B1393=2018,G1393/$P$16,B1393=2019,G1393/$P$17,B1393=2019,G1393/$P$18,B1393=2020,G1393/$P$18,B1393=2021,G1393/$P$19,B1393=2022,G1393/$P$20)</f>
        <v>2.0871643063009302E-3</v>
      </c>
    </row>
    <row r="1394" spans="1:12" x14ac:dyDescent="0.2">
      <c r="A1394">
        <v>0</v>
      </c>
      <c r="B1394">
        <v>2015</v>
      </c>
      <c r="C1394" t="s">
        <v>252</v>
      </c>
      <c r="D1394" t="s">
        <v>254</v>
      </c>
      <c r="E1394" t="s">
        <v>256</v>
      </c>
      <c r="F1394" s="5" t="s">
        <v>207</v>
      </c>
      <c r="G1394" s="7">
        <v>3022</v>
      </c>
      <c r="H1394" s="7" cm="1">
        <f t="array" ref="H1394">_xlfn.IFS(B1394=2015,L1394*$P$3,B1394=2016,L1394*$P$4,B1394=2017,L1394*$P$5,B1394=2018,L1394*$P$6,B1394=2019,L1394*$P$7,B1394=2020,L1394*$P$8,B1394=2021,L1394*$P$9,B1394=2022,L1394*$P$10)</f>
        <v>68.322653945762738</v>
      </c>
      <c r="I1394" s="7">
        <f t="shared" si="45"/>
        <v>3090.3226539457628</v>
      </c>
      <c r="J1394">
        <f>IFERROR(VLOOKUP(F1394,'LEAID Match'!$A$2:$B$227,2,FALSE),"")</f>
        <v>0</v>
      </c>
      <c r="K1394">
        <f t="shared" si="44"/>
        <v>130</v>
      </c>
      <c r="L1394" cm="1">
        <f t="array" ref="L1394">_xlfn.IFS(B1394=2015,G1394/$P$13,B1394=2016,G1394/$P$14,B1394=2017,G1394/$P$15,B1394=2018,G1394/$P$16,B1394=2019,G1394/$P$17,B1394=2019,G1394/$P$18,B1394=2020,G1394/$P$18,B1394=2021,G1394/$P$19,B1394=2022,G1394/$P$20)</f>
        <v>3.8535055806972781E-5</v>
      </c>
    </row>
    <row r="1395" spans="1:12" x14ac:dyDescent="0.2">
      <c r="A1395">
        <v>0</v>
      </c>
      <c r="B1395">
        <v>2016</v>
      </c>
      <c r="C1395" t="s">
        <v>252</v>
      </c>
      <c r="D1395" t="s">
        <v>254</v>
      </c>
      <c r="E1395" t="s">
        <v>256</v>
      </c>
      <c r="F1395" s="5" t="s">
        <v>207</v>
      </c>
      <c r="G1395" s="7">
        <v>3143</v>
      </c>
      <c r="H1395" s="7" cm="1">
        <f t="array" ref="H1395">_xlfn.IFS(B1395=2015,L1395*$P$3,B1395=2016,L1395*$P$4,B1395=2017,L1395*$P$5,B1395=2018,L1395*$P$6,B1395=2019,L1395*$P$7,B1395=2020,L1395*$P$8,B1395=2021,L1395*$P$9,B1395=2022,L1395*$P$10)</f>
        <v>106.72702033032839</v>
      </c>
      <c r="I1395" s="7">
        <f t="shared" si="45"/>
        <v>3249.7270203303283</v>
      </c>
      <c r="J1395">
        <f>IFERROR(VLOOKUP(F1395,'LEAID Match'!$A$2:$B$227,2,FALSE),"")</f>
        <v>0</v>
      </c>
      <c r="K1395">
        <f t="shared" si="44"/>
        <v>130</v>
      </c>
      <c r="L1395" cm="1">
        <f t="array" ref="L1395">_xlfn.IFS(B1395=2015,G1395/$P$13,B1395=2016,G1395/$P$14,B1395=2017,G1395/$P$15,B1395=2018,G1395/$P$16,B1395=2019,G1395/$P$17,B1395=2019,G1395/$P$18,B1395=2020,G1395/$P$18,B1395=2021,G1395/$P$19,B1395=2022,G1395/$P$20)</f>
        <v>3.7940640003671661E-5</v>
      </c>
    </row>
    <row r="1396" spans="1:12" x14ac:dyDescent="0.2">
      <c r="A1396">
        <v>0</v>
      </c>
      <c r="B1396">
        <v>2017</v>
      </c>
      <c r="C1396" t="s">
        <v>252</v>
      </c>
      <c r="D1396" t="s">
        <v>254</v>
      </c>
      <c r="E1396" t="s">
        <v>256</v>
      </c>
      <c r="F1396" s="5" t="s">
        <v>207</v>
      </c>
      <c r="G1396" s="7">
        <v>3221</v>
      </c>
      <c r="H1396" s="7" cm="1">
        <f t="array" ref="H1396">_xlfn.IFS(B1396=2015,L1396*$P$3,B1396=2016,L1396*$P$4,B1396=2017,L1396*$P$5,B1396=2018,L1396*$P$6,B1396=2019,L1396*$P$7,B1396=2020,L1396*$P$8,B1396=2021,L1396*$P$9,B1396=2022,L1396*$P$10)</f>
        <v>104.38633148104688</v>
      </c>
      <c r="I1396" s="7">
        <f t="shared" si="45"/>
        <v>3325.3863314810469</v>
      </c>
      <c r="J1396">
        <f>IFERROR(VLOOKUP(F1396,'LEAID Match'!$A$2:$B$227,2,FALSE),"")</f>
        <v>0</v>
      </c>
      <c r="K1396">
        <f t="shared" si="44"/>
        <v>130</v>
      </c>
      <c r="L1396" cm="1">
        <f t="array" ref="L1396">_xlfn.IFS(B1396=2015,G1396/$P$13,B1396=2016,G1396/$P$14,B1396=2017,G1396/$P$15,B1396=2018,G1396/$P$16,B1396=2019,G1396/$P$17,B1396=2019,G1396/$P$18,B1396=2020,G1396/$P$18,B1396=2021,G1396/$P$19,B1396=2022,G1396/$P$20)</f>
        <v>3.7427870735405835E-5</v>
      </c>
    </row>
    <row r="1397" spans="1:12" x14ac:dyDescent="0.2">
      <c r="A1397">
        <v>0</v>
      </c>
      <c r="B1397" s="5">
        <v>2018</v>
      </c>
      <c r="C1397" t="s">
        <v>252</v>
      </c>
      <c r="D1397" t="s">
        <v>254</v>
      </c>
      <c r="E1397" t="s">
        <v>256</v>
      </c>
      <c r="F1397" s="5" t="s">
        <v>207</v>
      </c>
      <c r="G1397" s="7">
        <v>3311</v>
      </c>
      <c r="H1397" s="7" cm="1">
        <f t="array" ref="H1397">_xlfn.IFS(B1397=2015,L1397*$P$3,B1397=2016,L1397*$P$4,B1397=2017,L1397*$P$5,B1397=2018,L1397*$P$6,B1397=2019,L1397*$P$7,B1397=2020,L1397*$P$8,B1397=2021,L1397*$P$9,B1397=2022,L1397*$P$10)</f>
        <v>90.724673078805651</v>
      </c>
      <c r="I1397" s="7">
        <f t="shared" si="45"/>
        <v>3401.7246730788056</v>
      </c>
      <c r="J1397">
        <f>IFERROR(VLOOKUP(F1397,'LEAID Match'!$A$2:$B$227,2,FALSE),"")</f>
        <v>0</v>
      </c>
      <c r="K1397">
        <f t="shared" si="44"/>
        <v>130</v>
      </c>
      <c r="L1397" cm="1">
        <f t="array" ref="L1397">_xlfn.IFS(B1397=2015,G1397/$P$13,B1397=2016,G1397/$P$14,B1397=2017,G1397/$P$15,B1397=2018,G1397/$P$16,B1397=2019,G1397/$P$17,B1397=2019,G1397/$P$18,B1397=2020,G1397/$P$18,B1397=2021,G1397/$P$19,B1397=2022,G1397/$P$20)</f>
        <v>3.8199862348970801E-5</v>
      </c>
    </row>
    <row r="1398" spans="1:12" x14ac:dyDescent="0.2">
      <c r="A1398">
        <v>0</v>
      </c>
      <c r="B1398">
        <v>2019</v>
      </c>
      <c r="C1398" t="s">
        <v>252</v>
      </c>
      <c r="D1398" t="s">
        <v>254</v>
      </c>
      <c r="E1398" t="s">
        <v>256</v>
      </c>
      <c r="F1398" s="5" t="s">
        <v>207</v>
      </c>
      <c r="G1398" s="7">
        <v>3412</v>
      </c>
      <c r="H1398" s="7" cm="1">
        <f t="array" ref="H1398">_xlfn.IFS(B1398=2015,L1398*$P$3,B1398=2016,L1398*$P$4,B1398=2017,L1398*$P$5,B1398=2018,L1398*$P$6,B1398=2019,L1398*$P$7,B1398=2020,L1398*$P$8,B1398=2021,L1398*$P$9,B1398=2022,L1398*$P$10)</f>
        <v>79.191922444303131</v>
      </c>
      <c r="I1398" s="7">
        <f t="shared" si="45"/>
        <v>3491.1919224443031</v>
      </c>
      <c r="J1398">
        <f>IFERROR(VLOOKUP(F1398,'LEAID Match'!$A$2:$B$227,2,FALSE),"")</f>
        <v>0</v>
      </c>
      <c r="K1398">
        <f t="shared" si="44"/>
        <v>130</v>
      </c>
      <c r="L1398" cm="1">
        <f t="array" ref="L1398">_xlfn.IFS(B1398=2015,G1398/$P$13,B1398=2016,G1398/$P$14,B1398=2017,G1398/$P$15,B1398=2018,G1398/$P$16,B1398=2019,G1398/$P$17,B1398=2019,G1398/$P$18,B1398=2020,G1398/$P$18,B1398=2021,G1398/$P$19,B1398=2022,G1398/$P$20)</f>
        <v>3.8146398094558346E-5</v>
      </c>
    </row>
    <row r="1399" spans="1:12" x14ac:dyDescent="0.2">
      <c r="A1399">
        <v>0</v>
      </c>
      <c r="B1399">
        <v>2020</v>
      </c>
      <c r="C1399" t="s">
        <v>252</v>
      </c>
      <c r="D1399" t="s">
        <v>254</v>
      </c>
      <c r="E1399" t="s">
        <v>256</v>
      </c>
      <c r="F1399" s="5" t="s">
        <v>207</v>
      </c>
      <c r="G1399" s="7">
        <v>3488</v>
      </c>
      <c r="H1399" s="7" cm="1">
        <f t="array" ref="H1399">_xlfn.IFS(B1399=2015,L1399*$P$3,B1399=2016,L1399*$P$4,B1399=2017,L1399*$P$5,B1399=2018,L1399*$P$6,B1399=2019,L1399*$P$7,B1399=2020,L1399*$P$8,B1399=2021,L1399*$P$9,B1399=2022,L1399*$P$10)</f>
        <v>87.507007500543523</v>
      </c>
      <c r="I1399" s="7">
        <f t="shared" si="45"/>
        <v>3575.5070075005433</v>
      </c>
      <c r="J1399">
        <f>IFERROR(VLOOKUP(F1399,'LEAID Match'!$A$2:$B$227,2,FALSE),"")</f>
        <v>0</v>
      </c>
      <c r="K1399">
        <f t="shared" si="44"/>
        <v>130</v>
      </c>
      <c r="L1399" cm="1">
        <f t="array" ref="L1399">_xlfn.IFS(B1399=2015,G1399/$P$13,B1399=2016,G1399/$P$14,B1399=2017,G1399/$P$15,B1399=2018,G1399/$P$16,B1399=2019,G1399/$P$17,B1399=2019,G1399/$P$18,B1399=2020,G1399/$P$18,B1399=2021,G1399/$P$19,B1399=2022,G1399/$P$20)</f>
        <v>3.7492291131338268E-5</v>
      </c>
    </row>
    <row r="1400" spans="1:12" x14ac:dyDescent="0.2">
      <c r="A1400">
        <v>0</v>
      </c>
      <c r="B1400" s="5">
        <v>2021</v>
      </c>
      <c r="C1400" t="s">
        <v>252</v>
      </c>
      <c r="D1400" t="s">
        <v>254</v>
      </c>
      <c r="E1400" t="s">
        <v>256</v>
      </c>
      <c r="F1400" s="5" t="s">
        <v>207</v>
      </c>
      <c r="G1400" s="7">
        <v>3523</v>
      </c>
      <c r="H1400" s="7" cm="1">
        <f t="array" ref="H1400">_xlfn.IFS(B1400=2015,L1400*$P$3,B1400=2016,L1400*$P$4,B1400=2017,L1400*$P$5,B1400=2018,L1400*$P$6,B1400=2019,L1400*$P$7,B1400=2020,L1400*$P$8,B1400=2021,L1400*$P$9,B1400=2022,L1400*$P$10)</f>
        <v>96.263485810896384</v>
      </c>
      <c r="I1400" s="7">
        <f t="shared" si="45"/>
        <v>3619.2634858108963</v>
      </c>
      <c r="J1400">
        <f>IFERROR(VLOOKUP(F1400,'LEAID Match'!$A$2:$B$227,2,FALSE),"")</f>
        <v>0</v>
      </c>
      <c r="K1400">
        <f t="shared" si="44"/>
        <v>130</v>
      </c>
      <c r="L1400" cm="1">
        <f t="array" ref="L1400">_xlfn.IFS(B1400=2015,G1400/$P$13,B1400=2016,G1400/$P$14,B1400=2017,G1400/$P$15,B1400=2018,G1400/$P$16,B1400=2019,G1400/$P$17,B1400=2019,G1400/$P$18,B1400=2020,G1400/$P$18,B1400=2021,G1400/$P$19,B1400=2022,G1400/$P$20)</f>
        <v>3.5852322462158804E-5</v>
      </c>
    </row>
    <row r="1401" spans="1:12" x14ac:dyDescent="0.2">
      <c r="A1401">
        <v>0</v>
      </c>
      <c r="B1401">
        <v>2022</v>
      </c>
      <c r="C1401" t="s">
        <v>252</v>
      </c>
      <c r="D1401" t="s">
        <v>254</v>
      </c>
      <c r="E1401" t="s">
        <v>256</v>
      </c>
      <c r="F1401" s="5" t="s">
        <v>207</v>
      </c>
      <c r="G1401" s="7">
        <v>3567</v>
      </c>
      <c r="H1401" s="7" cm="1">
        <f t="array" ref="H1401">_xlfn.IFS(B1401=2015,L1401*$P$3,B1401=2016,L1401*$P$4,B1401=2017,L1401*$P$5,B1401=2018,L1401*$P$6,B1401=2019,L1401*$P$7,B1401=2020,L1401*$P$8,B1401=2021,L1401*$P$9,B1401=2022,L1401*$P$10)</f>
        <v>72.597592233988223</v>
      </c>
      <c r="I1401" s="7">
        <f t="shared" si="45"/>
        <v>3639.5975922339881</v>
      </c>
      <c r="J1401">
        <f>IFERROR(VLOOKUP(F1401,'LEAID Match'!$A$2:$B$227,2,FALSE),"")</f>
        <v>0</v>
      </c>
      <c r="K1401">
        <f t="shared" si="44"/>
        <v>130</v>
      </c>
      <c r="L1401" cm="1">
        <f t="array" ref="L1401">_xlfn.IFS(B1401=2015,G1401/$P$13,B1401=2016,G1401/$P$14,B1401=2017,G1401/$P$15,B1401=2018,G1401/$P$16,B1401=2019,G1401/$P$17,B1401=2019,G1401/$P$18,B1401=2020,G1401/$P$18,B1401=2021,G1401/$P$19,B1401=2022,G1401/$P$20)</f>
        <v>3.5552199918701379E-5</v>
      </c>
    </row>
    <row r="1402" spans="1:12" x14ac:dyDescent="0.2">
      <c r="A1402">
        <v>3816980</v>
      </c>
      <c r="B1402">
        <v>2015</v>
      </c>
      <c r="C1402" t="s">
        <v>252</v>
      </c>
      <c r="D1402" t="s">
        <v>254</v>
      </c>
      <c r="E1402" t="s">
        <v>256</v>
      </c>
      <c r="F1402" s="5" t="s">
        <v>140</v>
      </c>
      <c r="G1402" s="7">
        <v>188933</v>
      </c>
      <c r="H1402" s="7" cm="1">
        <f t="array" ref="H1402">_xlfn.IFS(B1402=2015,L1402*$P$3,B1402=2016,L1402*$P$4,B1402=2017,L1402*$P$5,B1402=2018,L1402*$P$6,B1402=2019,L1402*$P$7,B1402=2020,L1402*$P$8,B1402=2021,L1402*$P$9,B1402=2022,L1402*$P$10)</f>
        <v>4271.4771601372568</v>
      </c>
      <c r="I1402" s="7">
        <f t="shared" si="45"/>
        <v>193204.47716013726</v>
      </c>
      <c r="J1402">
        <f>IFERROR(VLOOKUP(F1402,'LEAID Match'!$A$2:$B$227,2,FALSE),"")</f>
        <v>3816980</v>
      </c>
      <c r="K1402">
        <f t="shared" si="44"/>
        <v>8</v>
      </c>
      <c r="L1402" cm="1">
        <f t="array" ref="L1402">_xlfn.IFS(B1402=2015,G1402/$P$13,B1402=2016,G1402/$P$14,B1402=2017,G1402/$P$15,B1402=2018,G1402/$P$16,B1402=2019,G1402/$P$17,B1402=2019,G1402/$P$18,B1402=2020,G1402/$P$18,B1402=2021,G1402/$P$19,B1402=2022,G1402/$P$20)</f>
        <v>2.4091805753735235E-3</v>
      </c>
    </row>
    <row r="1403" spans="1:12" x14ac:dyDescent="0.2">
      <c r="A1403">
        <v>3816980</v>
      </c>
      <c r="B1403">
        <v>2016</v>
      </c>
      <c r="C1403" t="s">
        <v>252</v>
      </c>
      <c r="D1403" t="s">
        <v>254</v>
      </c>
      <c r="E1403" t="s">
        <v>256</v>
      </c>
      <c r="F1403" s="5" t="s">
        <v>140</v>
      </c>
      <c r="G1403" s="7">
        <v>196734</v>
      </c>
      <c r="H1403" s="7" cm="1">
        <f t="array" ref="H1403">_xlfn.IFS(B1403=2015,L1403*$P$3,B1403=2016,L1403*$P$4,B1403=2017,L1403*$P$5,B1403=2018,L1403*$P$6,B1403=2019,L1403*$P$7,B1403=2020,L1403*$P$8,B1403=2021,L1403*$P$9,B1403=2022,L1403*$P$10)</f>
        <v>6680.5070371195743</v>
      </c>
      <c r="I1403" s="7">
        <f t="shared" si="45"/>
        <v>203414.50703711956</v>
      </c>
      <c r="J1403">
        <f>IFERROR(VLOOKUP(F1403,'LEAID Match'!$A$2:$B$227,2,FALSE),"")</f>
        <v>3816980</v>
      </c>
      <c r="K1403">
        <f t="shared" si="44"/>
        <v>8</v>
      </c>
      <c r="L1403" cm="1">
        <f t="array" ref="L1403">_xlfn.IFS(B1403=2015,G1403/$P$13,B1403=2016,G1403/$P$14,B1403=2017,G1403/$P$15,B1403=2018,G1403/$P$16,B1403=2019,G1403/$P$17,B1403=2019,G1403/$P$18,B1403=2020,G1403/$P$18,B1403=2021,G1403/$P$19,B1403=2022,G1403/$P$20)</f>
        <v>2.3748691920083805E-3</v>
      </c>
    </row>
    <row r="1404" spans="1:12" x14ac:dyDescent="0.2">
      <c r="A1404">
        <v>3816980</v>
      </c>
      <c r="B1404">
        <v>2017</v>
      </c>
      <c r="C1404" t="s">
        <v>252</v>
      </c>
      <c r="D1404" t="s">
        <v>254</v>
      </c>
      <c r="E1404" t="s">
        <v>256</v>
      </c>
      <c r="F1404" s="5" t="s">
        <v>140</v>
      </c>
      <c r="G1404" s="7">
        <v>213895</v>
      </c>
      <c r="H1404" s="7" cm="1">
        <f t="array" ref="H1404">_xlfn.IFS(B1404=2015,L1404*$P$3,B1404=2016,L1404*$P$4,B1404=2017,L1404*$P$5,B1404=2018,L1404*$P$6,B1404=2019,L1404*$P$7,B1404=2020,L1404*$P$8,B1404=2021,L1404*$P$9,B1404=2022,L1404*$P$10)</f>
        <v>6931.9200161870604</v>
      </c>
      <c r="I1404" s="7">
        <f t="shared" si="45"/>
        <v>220826.92001618707</v>
      </c>
      <c r="J1404">
        <f>IFERROR(VLOOKUP(F1404,'LEAID Match'!$A$2:$B$227,2,FALSE),"")</f>
        <v>3816980</v>
      </c>
      <c r="K1404">
        <f t="shared" si="44"/>
        <v>8</v>
      </c>
      <c r="L1404" cm="1">
        <f t="array" ref="L1404">_xlfn.IFS(B1404=2015,G1404/$P$13,B1404=2016,G1404/$P$14,B1404=2017,G1404/$P$15,B1404=2018,G1404/$P$16,B1404=2019,G1404/$P$17,B1404=2019,G1404/$P$18,B1404=2020,G1404/$P$18,B1404=2021,G1404/$P$19,B1404=2022,G1404/$P$20)</f>
        <v>2.4854499878763214E-3</v>
      </c>
    </row>
    <row r="1405" spans="1:12" x14ac:dyDescent="0.2">
      <c r="A1405">
        <v>3816980</v>
      </c>
      <c r="B1405" s="5">
        <v>2018</v>
      </c>
      <c r="C1405" t="s">
        <v>252</v>
      </c>
      <c r="D1405" t="s">
        <v>254</v>
      </c>
      <c r="E1405" t="s">
        <v>256</v>
      </c>
      <c r="F1405" s="5" t="s">
        <v>140</v>
      </c>
      <c r="G1405" s="7">
        <v>203767</v>
      </c>
      <c r="H1405" s="7" cm="1">
        <f t="array" ref="H1405">_xlfn.IFS(B1405=2015,L1405*$P$3,B1405=2016,L1405*$P$4,B1405=2017,L1405*$P$5,B1405=2018,L1405*$P$6,B1405=2019,L1405*$P$7,B1405=2020,L1405*$P$8,B1405=2021,L1405*$P$9,B1405=2022,L1405*$P$10)</f>
        <v>5583.4172332373873</v>
      </c>
      <c r="I1405" s="7">
        <f t="shared" si="45"/>
        <v>209350.41723323739</v>
      </c>
      <c r="J1405">
        <f>IFERROR(VLOOKUP(F1405,'LEAID Match'!$A$2:$B$227,2,FALSE),"")</f>
        <v>3816980</v>
      </c>
      <c r="K1405">
        <f t="shared" si="44"/>
        <v>8</v>
      </c>
      <c r="L1405" cm="1">
        <f t="array" ref="L1405">_xlfn.IFS(B1405=2015,G1405/$P$13,B1405=2016,G1405/$P$14,B1405=2017,G1405/$P$15,B1405=2018,G1405/$P$16,B1405=2019,G1405/$P$17,B1405=2019,G1405/$P$18,B1405=2020,G1405/$P$18,B1405=2021,G1405/$P$19,B1405=2022,G1405/$P$20)</f>
        <v>2.3509125192578474E-3</v>
      </c>
    </row>
    <row r="1406" spans="1:12" x14ac:dyDescent="0.2">
      <c r="A1406">
        <v>3816980</v>
      </c>
      <c r="B1406">
        <v>2019</v>
      </c>
      <c r="C1406" t="s">
        <v>252</v>
      </c>
      <c r="D1406" t="s">
        <v>254</v>
      </c>
      <c r="E1406" t="s">
        <v>256</v>
      </c>
      <c r="F1406" s="5" t="s">
        <v>140</v>
      </c>
      <c r="G1406" s="7">
        <v>210083</v>
      </c>
      <c r="H1406" s="7" cm="1">
        <f t="array" ref="H1406">_xlfn.IFS(B1406=2015,L1406*$P$3,B1406=2016,L1406*$P$4,B1406=2017,L1406*$P$5,B1406=2018,L1406*$P$6,B1406=2019,L1406*$P$7,B1406=2020,L1406*$P$8,B1406=2021,L1406*$P$9,B1406=2022,L1406*$P$10)</f>
        <v>4875.9896374169211</v>
      </c>
      <c r="I1406" s="7">
        <f t="shared" si="45"/>
        <v>214958.98963741693</v>
      </c>
      <c r="J1406">
        <f>IFERROR(VLOOKUP(F1406,'LEAID Match'!$A$2:$B$227,2,FALSE),"")</f>
        <v>3816980</v>
      </c>
      <c r="K1406">
        <f t="shared" si="44"/>
        <v>8</v>
      </c>
      <c r="L1406" cm="1">
        <f t="array" ref="L1406">_xlfn.IFS(B1406=2015,G1406/$P$13,B1406=2016,G1406/$P$14,B1406=2017,G1406/$P$15,B1406=2018,G1406/$P$16,B1406=2019,G1406/$P$17,B1406=2019,G1406/$P$18,B1406=2020,G1406/$P$18,B1406=2021,G1406/$P$19,B1406=2022,G1406/$P$20)</f>
        <v>2.3487425999118117E-3</v>
      </c>
    </row>
    <row r="1407" spans="1:12" x14ac:dyDescent="0.2">
      <c r="A1407">
        <v>3816980</v>
      </c>
      <c r="B1407">
        <v>2020</v>
      </c>
      <c r="C1407" t="s">
        <v>252</v>
      </c>
      <c r="D1407" t="s">
        <v>254</v>
      </c>
      <c r="E1407" t="s">
        <v>256</v>
      </c>
      <c r="F1407" s="5" t="s">
        <v>140</v>
      </c>
      <c r="G1407" s="7">
        <v>180992</v>
      </c>
      <c r="H1407" s="7" cm="1">
        <f t="array" ref="H1407">_xlfn.IFS(B1407=2015,L1407*$P$3,B1407=2016,L1407*$P$4,B1407=2017,L1407*$P$5,B1407=2018,L1407*$P$6,B1407=2019,L1407*$P$7,B1407=2020,L1407*$P$8,B1407=2021,L1407*$P$9,B1407=2022,L1407*$P$10)</f>
        <v>4540.7305910373771</v>
      </c>
      <c r="I1407" s="7">
        <f t="shared" si="45"/>
        <v>185532.73059103737</v>
      </c>
      <c r="J1407">
        <f>IFERROR(VLOOKUP(F1407,'LEAID Match'!$A$2:$B$227,2,FALSE),"")</f>
        <v>3816980</v>
      </c>
      <c r="K1407">
        <f t="shared" si="44"/>
        <v>8</v>
      </c>
      <c r="L1407" cm="1">
        <f t="array" ref="L1407">_xlfn.IFS(B1407=2015,G1407/$P$13,B1407=2016,G1407/$P$14,B1407=2017,G1407/$P$15,B1407=2018,G1407/$P$16,B1407=2019,G1407/$P$17,B1407=2019,G1407/$P$18,B1407=2020,G1407/$P$18,B1407=2021,G1407/$P$19,B1407=2022,G1407/$P$20)</f>
        <v>1.9454715471454059E-3</v>
      </c>
    </row>
    <row r="1408" spans="1:12" x14ac:dyDescent="0.2">
      <c r="A1408">
        <v>3816980</v>
      </c>
      <c r="B1408" s="5">
        <v>2021</v>
      </c>
      <c r="C1408" t="s">
        <v>252</v>
      </c>
      <c r="D1408" t="s">
        <v>254</v>
      </c>
      <c r="E1408" t="s">
        <v>256</v>
      </c>
      <c r="F1408" s="5" t="s">
        <v>140</v>
      </c>
      <c r="G1408" s="7">
        <v>211704</v>
      </c>
      <c r="H1408" s="7" cm="1">
        <f t="array" ref="H1408">_xlfn.IFS(B1408=2015,L1408*$P$3,B1408=2016,L1408*$P$4,B1408=2017,L1408*$P$5,B1408=2018,L1408*$P$6,B1408=2019,L1408*$P$7,B1408=2020,L1408*$P$8,B1408=2021,L1408*$P$9,B1408=2022,L1408*$P$10)</f>
        <v>5784.6622197303459</v>
      </c>
      <c r="I1408" s="7">
        <f t="shared" si="45"/>
        <v>217488.66221973035</v>
      </c>
      <c r="J1408">
        <f>IFERROR(VLOOKUP(F1408,'LEAID Match'!$A$2:$B$227,2,FALSE),"")</f>
        <v>3816980</v>
      </c>
      <c r="K1408">
        <f t="shared" si="44"/>
        <v>8</v>
      </c>
      <c r="L1408" cm="1">
        <f t="array" ref="L1408">_xlfn.IFS(B1408=2015,G1408/$P$13,B1408=2016,G1408/$P$14,B1408=2017,G1408/$P$15,B1408=2018,G1408/$P$16,B1408=2019,G1408/$P$17,B1408=2019,G1408/$P$18,B1408=2020,G1408/$P$18,B1408=2021,G1408/$P$19,B1408=2022,G1408/$P$20)</f>
        <v>2.1544365809051569E-3</v>
      </c>
    </row>
    <row r="1409" spans="1:12" x14ac:dyDescent="0.2">
      <c r="A1409">
        <v>3816980</v>
      </c>
      <c r="B1409">
        <v>2022</v>
      </c>
      <c r="C1409" t="s">
        <v>252</v>
      </c>
      <c r="D1409" t="s">
        <v>254</v>
      </c>
      <c r="E1409" t="s">
        <v>256</v>
      </c>
      <c r="F1409" s="5" t="s">
        <v>140</v>
      </c>
      <c r="G1409" s="7">
        <v>235135</v>
      </c>
      <c r="H1409" s="7" cm="1">
        <f t="array" ref="H1409">_xlfn.IFS(B1409=2015,L1409*$P$3,B1409=2016,L1409*$P$4,B1409=2017,L1409*$P$5,B1409=2018,L1409*$P$6,B1409=2019,L1409*$P$7,B1409=2020,L1409*$P$8,B1409=2021,L1409*$P$9,B1409=2022,L1409*$P$10)</f>
        <v>4785.5999018611774</v>
      </c>
      <c r="I1409" s="7">
        <f t="shared" si="45"/>
        <v>239920.59990186119</v>
      </c>
      <c r="J1409">
        <f>IFERROR(VLOOKUP(F1409,'LEAID Match'!$A$2:$B$227,2,FALSE),"")</f>
        <v>3816980</v>
      </c>
      <c r="K1409">
        <f t="shared" si="44"/>
        <v>8</v>
      </c>
      <c r="L1409" cm="1">
        <f t="array" ref="L1409">_xlfn.IFS(B1409=2015,G1409/$P$13,B1409=2016,G1409/$P$14,B1409=2017,G1409/$P$15,B1409=2018,G1409/$P$16,B1409=2019,G1409/$P$17,B1409=2019,G1409/$P$18,B1409=2020,G1409/$P$18,B1409=2021,G1409/$P$19,B1409=2022,G1409/$P$20)</f>
        <v>2.3435846728017519E-3</v>
      </c>
    </row>
    <row r="1410" spans="1:12" x14ac:dyDescent="0.2">
      <c r="A1410">
        <v>3880220</v>
      </c>
      <c r="B1410">
        <v>2015</v>
      </c>
      <c r="C1410" t="s">
        <v>252</v>
      </c>
      <c r="D1410" t="s">
        <v>254</v>
      </c>
      <c r="E1410" t="s">
        <v>256</v>
      </c>
      <c r="F1410" s="5" t="s">
        <v>141</v>
      </c>
      <c r="G1410" s="7">
        <v>196461</v>
      </c>
      <c r="H1410" s="7" cm="1">
        <f t="array" ref="H1410">_xlfn.IFS(B1410=2015,L1410*$P$3,B1410=2016,L1410*$P$4,B1410=2017,L1410*$P$5,B1410=2018,L1410*$P$6,B1410=2019,L1410*$P$7,B1410=2020,L1410*$P$8,B1410=2021,L1410*$P$9,B1410=2022,L1410*$P$10)</f>
        <v>4441.6733675838832</v>
      </c>
      <c r="I1410" s="7">
        <f t="shared" si="45"/>
        <v>200902.67336758389</v>
      </c>
      <c r="J1410">
        <f>IFERROR(VLOOKUP(F1410,'LEAID Match'!$A$2:$B$227,2,FALSE),"")</f>
        <v>3880220</v>
      </c>
      <c r="K1410">
        <f t="shared" ref="K1410:K1473" si="46">COUNTIF($A$2:$A$1757,A1410)</f>
        <v>8</v>
      </c>
      <c r="L1410" cm="1">
        <f t="array" ref="L1410">_xlfn.IFS(B1410=2015,G1410/$P$13,B1410=2016,G1410/$P$14,B1410=2017,G1410/$P$15,B1410=2018,G1410/$P$16,B1410=2019,G1410/$P$17,B1410=2019,G1410/$P$18,B1410=2020,G1410/$P$18,B1410=2021,G1410/$P$19,B1410=2022,G1410/$P$20)</f>
        <v>2.5051739241871871E-3</v>
      </c>
    </row>
    <row r="1411" spans="1:12" x14ac:dyDescent="0.2">
      <c r="A1411">
        <v>3880220</v>
      </c>
      <c r="B1411">
        <v>2016</v>
      </c>
      <c r="C1411" t="s">
        <v>252</v>
      </c>
      <c r="D1411" t="s">
        <v>254</v>
      </c>
      <c r="E1411" t="s">
        <v>256</v>
      </c>
      <c r="F1411" s="5" t="s">
        <v>141</v>
      </c>
      <c r="G1411" s="7">
        <v>190325</v>
      </c>
      <c r="H1411" s="7" cm="1">
        <f t="array" ref="H1411">_xlfn.IFS(B1411=2015,L1411*$P$3,B1411=2016,L1411*$P$4,B1411=2017,L1411*$P$5,B1411=2018,L1411*$P$6,B1411=2019,L1411*$P$7,B1411=2020,L1411*$P$8,B1411=2021,L1411*$P$9,B1411=2022,L1411*$P$10)</f>
        <v>6462.8762788322456</v>
      </c>
      <c r="I1411" s="7">
        <f t="shared" ref="I1411:I1474" si="47">SUM(G1411:H1411)</f>
        <v>196787.87627883223</v>
      </c>
      <c r="J1411">
        <f>IFERROR(VLOOKUP(F1411,'LEAID Match'!$A$2:$B$227,2,FALSE),"")</f>
        <v>3880220</v>
      </c>
      <c r="K1411">
        <f t="shared" si="46"/>
        <v>8</v>
      </c>
      <c r="L1411" cm="1">
        <f t="array" ref="L1411">_xlfn.IFS(B1411=2015,G1411/$P$13,B1411=2016,G1411/$P$14,B1411=2017,G1411/$P$15,B1411=2018,G1411/$P$16,B1411=2019,G1411/$P$17,B1411=2019,G1411/$P$18,B1411=2020,G1411/$P$18,B1411=2021,G1411/$P$19,B1411=2022,G1411/$P$20)</f>
        <v>2.2975031208077659E-3</v>
      </c>
    </row>
    <row r="1412" spans="1:12" x14ac:dyDescent="0.2">
      <c r="A1412">
        <v>3880220</v>
      </c>
      <c r="B1412">
        <v>2017</v>
      </c>
      <c r="C1412" t="s">
        <v>252</v>
      </c>
      <c r="D1412" t="s">
        <v>254</v>
      </c>
      <c r="E1412" t="s">
        <v>256</v>
      </c>
      <c r="F1412" s="5" t="s">
        <v>141</v>
      </c>
      <c r="G1412" s="7">
        <v>129887</v>
      </c>
      <c r="H1412" s="7" cm="1">
        <f t="array" ref="H1412">_xlfn.IFS(B1412=2015,L1412*$P$3,B1412=2016,L1412*$P$4,B1412=2017,L1412*$P$5,B1412=2018,L1412*$P$6,B1412=2019,L1412*$P$7,B1412=2020,L1412*$P$8,B1412=2021,L1412*$P$9,B1412=2022,L1412*$P$10)</f>
        <v>4209.3844883820975</v>
      </c>
      <c r="I1412" s="7">
        <f t="shared" si="47"/>
        <v>134096.38448838209</v>
      </c>
      <c r="J1412">
        <f>IFERROR(VLOOKUP(F1412,'LEAID Match'!$A$2:$B$227,2,FALSE),"")</f>
        <v>3880220</v>
      </c>
      <c r="K1412">
        <f t="shared" si="46"/>
        <v>8</v>
      </c>
      <c r="L1412" cm="1">
        <f t="array" ref="L1412">_xlfn.IFS(B1412=2015,G1412/$P$13,B1412=2016,G1412/$P$14,B1412=2017,G1412/$P$15,B1412=2018,G1412/$P$16,B1412=2019,G1412/$P$17,B1412=2019,G1412/$P$18,B1412=2020,G1412/$P$18,B1412=2021,G1412/$P$19,B1412=2022,G1412/$P$20)</f>
        <v>1.5092809208971307E-3</v>
      </c>
    </row>
    <row r="1413" spans="1:12" x14ac:dyDescent="0.2">
      <c r="A1413">
        <v>3880220</v>
      </c>
      <c r="B1413" s="5">
        <v>2018</v>
      </c>
      <c r="C1413" t="s">
        <v>252</v>
      </c>
      <c r="D1413" t="s">
        <v>254</v>
      </c>
      <c r="E1413" t="s">
        <v>256</v>
      </c>
      <c r="F1413" s="5" t="s">
        <v>141</v>
      </c>
      <c r="G1413" s="7">
        <v>147136</v>
      </c>
      <c r="H1413" s="7" cm="1">
        <f t="array" ref="H1413">_xlfn.IFS(B1413=2015,L1413*$P$3,B1413=2016,L1413*$P$4,B1413=2017,L1413*$P$5,B1413=2018,L1413*$P$6,B1413=2019,L1413*$P$7,B1413=2020,L1413*$P$8,B1413=2021,L1413*$P$9,B1413=2022,L1413*$P$10)</f>
        <v>4031.6718508375561</v>
      </c>
      <c r="I1413" s="7">
        <f t="shared" si="47"/>
        <v>151167.67185083756</v>
      </c>
      <c r="J1413">
        <f>IFERROR(VLOOKUP(F1413,'LEAID Match'!$A$2:$B$227,2,FALSE),"")</f>
        <v>3880220</v>
      </c>
      <c r="K1413">
        <f t="shared" si="46"/>
        <v>8</v>
      </c>
      <c r="L1413" cm="1">
        <f t="array" ref="L1413">_xlfn.IFS(B1413=2015,G1413/$P$13,B1413=2016,G1413/$P$14,B1413=2017,G1413/$P$15,B1413=2018,G1413/$P$16,B1413=2019,G1413/$P$17,B1413=2019,G1413/$P$18,B1413=2020,G1413/$P$18,B1413=2021,G1413/$P$19,B1413=2022,G1413/$P$20)</f>
        <v>1.6975460424579183E-3</v>
      </c>
    </row>
    <row r="1414" spans="1:12" x14ac:dyDescent="0.2">
      <c r="A1414">
        <v>3880220</v>
      </c>
      <c r="B1414">
        <v>2019</v>
      </c>
      <c r="C1414" t="s">
        <v>252</v>
      </c>
      <c r="D1414" t="s">
        <v>254</v>
      </c>
      <c r="E1414" t="s">
        <v>256</v>
      </c>
      <c r="F1414" s="5" t="s">
        <v>141</v>
      </c>
      <c r="G1414" s="7">
        <v>158719</v>
      </c>
      <c r="H1414" s="7" cm="1">
        <f t="array" ref="H1414">_xlfn.IFS(B1414=2015,L1414*$P$3,B1414=2016,L1414*$P$4,B1414=2017,L1414*$P$5,B1414=2018,L1414*$P$6,B1414=2019,L1414*$P$7,B1414=2020,L1414*$P$8,B1414=2021,L1414*$P$9,B1414=2022,L1414*$P$10)</f>
        <v>3683.8401929769489</v>
      </c>
      <c r="I1414" s="7">
        <f t="shared" si="47"/>
        <v>162402.84019297696</v>
      </c>
      <c r="J1414">
        <f>IFERROR(VLOOKUP(F1414,'LEAID Match'!$A$2:$B$227,2,FALSE),"")</f>
        <v>3880220</v>
      </c>
      <c r="K1414">
        <f t="shared" si="46"/>
        <v>8</v>
      </c>
      <c r="L1414" cm="1">
        <f t="array" ref="L1414">_xlfn.IFS(B1414=2015,G1414/$P$13,B1414=2016,G1414/$P$14,B1414=2017,G1414/$P$15,B1414=2018,G1414/$P$16,B1414=2019,G1414/$P$17,B1414=2019,G1414/$P$18,B1414=2020,G1414/$P$18,B1414=2021,G1414/$P$19,B1414=2022,G1414/$P$20)</f>
        <v>1.7744894956536362E-3</v>
      </c>
    </row>
    <row r="1415" spans="1:12" x14ac:dyDescent="0.2">
      <c r="A1415">
        <v>3880220</v>
      </c>
      <c r="B1415">
        <v>2020</v>
      </c>
      <c r="C1415" t="s">
        <v>252</v>
      </c>
      <c r="D1415" t="s">
        <v>254</v>
      </c>
      <c r="E1415" t="s">
        <v>256</v>
      </c>
      <c r="F1415" s="5" t="s">
        <v>141</v>
      </c>
      <c r="G1415" s="7">
        <v>158935</v>
      </c>
      <c r="H1415" s="7" cm="1">
        <f t="array" ref="H1415">_xlfn.IFS(B1415=2015,L1415*$P$3,B1415=2016,L1415*$P$4,B1415=2017,L1415*$P$5,B1415=2018,L1415*$P$6,B1415=2019,L1415*$P$7,B1415=2020,L1415*$P$8,B1415=2021,L1415*$P$9,B1415=2022,L1415*$P$10)</f>
        <v>3987.3641734801849</v>
      </c>
      <c r="I1415" s="7">
        <f t="shared" si="47"/>
        <v>162922.36417348019</v>
      </c>
      <c r="J1415">
        <f>IFERROR(VLOOKUP(F1415,'LEAID Match'!$A$2:$B$227,2,FALSE),"")</f>
        <v>3880220</v>
      </c>
      <c r="K1415">
        <f t="shared" si="46"/>
        <v>8</v>
      </c>
      <c r="L1415" cm="1">
        <f t="array" ref="L1415">_xlfn.IFS(B1415=2015,G1415/$P$13,B1415=2016,G1415/$P$14,B1415=2017,G1415/$P$15,B1415=2018,G1415/$P$16,B1415=2019,G1415/$P$17,B1415=2019,G1415/$P$18,B1415=2020,G1415/$P$18,B1415=2021,G1415/$P$19,B1415=2022,G1415/$P$20)</f>
        <v>1.7083822508484083E-3</v>
      </c>
    </row>
    <row r="1416" spans="1:12" x14ac:dyDescent="0.2">
      <c r="A1416">
        <v>3880220</v>
      </c>
      <c r="B1416" s="5">
        <v>2021</v>
      </c>
      <c r="C1416" t="s">
        <v>252</v>
      </c>
      <c r="D1416" t="s">
        <v>254</v>
      </c>
      <c r="E1416" t="s">
        <v>256</v>
      </c>
      <c r="F1416" s="5" t="s">
        <v>141</v>
      </c>
      <c r="G1416" s="7">
        <v>159683</v>
      </c>
      <c r="H1416" s="7" cm="1">
        <f t="array" ref="H1416">_xlfn.IFS(B1416=2015,L1416*$P$3,B1416=2016,L1416*$P$4,B1416=2017,L1416*$P$5,B1416=2018,L1416*$P$6,B1416=2019,L1416*$P$7,B1416=2020,L1416*$P$8,B1416=2021,L1416*$P$9,B1416=2022,L1416*$P$10)</f>
        <v>4363.2251503665539</v>
      </c>
      <c r="I1416" s="7">
        <f t="shared" si="47"/>
        <v>164046.22515036655</v>
      </c>
      <c r="J1416">
        <f>IFERROR(VLOOKUP(F1416,'LEAID Match'!$A$2:$B$227,2,FALSE),"")</f>
        <v>3880220</v>
      </c>
      <c r="K1416">
        <f t="shared" si="46"/>
        <v>8</v>
      </c>
      <c r="L1416" cm="1">
        <f t="array" ref="L1416">_xlfn.IFS(B1416=2015,G1416/$P$13,B1416=2016,G1416/$P$14,B1416=2017,G1416/$P$15,B1416=2018,G1416/$P$16,B1416=2019,G1416/$P$17,B1416=2019,G1416/$P$18,B1416=2020,G1416/$P$18,B1416=2021,G1416/$P$19,B1416=2022,G1416/$P$20)</f>
        <v>1.6250372999502994E-3</v>
      </c>
    </row>
    <row r="1417" spans="1:12" x14ac:dyDescent="0.2">
      <c r="A1417">
        <v>3880220</v>
      </c>
      <c r="B1417">
        <v>2022</v>
      </c>
      <c r="C1417" t="s">
        <v>252</v>
      </c>
      <c r="D1417" t="s">
        <v>254</v>
      </c>
      <c r="E1417" t="s">
        <v>256</v>
      </c>
      <c r="F1417" s="5" t="s">
        <v>141</v>
      </c>
      <c r="G1417" s="7">
        <v>152522</v>
      </c>
      <c r="H1417" s="7" cm="1">
        <f t="array" ref="H1417">_xlfn.IFS(B1417=2015,L1417*$P$3,B1417=2016,L1417*$P$4,B1417=2017,L1417*$P$5,B1417=2018,L1417*$P$6,B1417=2019,L1417*$P$7,B1417=2020,L1417*$P$8,B1417=2021,L1417*$P$9,B1417=2022,L1417*$P$10)</f>
        <v>3104.2136144413653</v>
      </c>
      <c r="I1417" s="7">
        <f t="shared" si="47"/>
        <v>155626.21361444137</v>
      </c>
      <c r="J1417">
        <f>IFERROR(VLOOKUP(F1417,'LEAID Match'!$A$2:$B$227,2,FALSE),"")</f>
        <v>3880220</v>
      </c>
      <c r="K1417">
        <f t="shared" si="46"/>
        <v>8</v>
      </c>
      <c r="L1417" cm="1">
        <f t="array" ref="L1417">_xlfn.IFS(B1417=2015,G1417/$P$13,B1417=2016,G1417/$P$14,B1417=2017,G1417/$P$15,B1417=2018,G1417/$P$16,B1417=2019,G1417/$P$17,B1417=2019,G1417/$P$18,B1417=2020,G1417/$P$18,B1417=2021,G1417/$P$19,B1417=2022,G1417/$P$20)</f>
        <v>1.5201829649565941E-3</v>
      </c>
    </row>
    <row r="1418" spans="1:12" x14ac:dyDescent="0.2">
      <c r="A1418">
        <v>3880340</v>
      </c>
      <c r="B1418">
        <v>2015</v>
      </c>
      <c r="C1418" t="s">
        <v>252</v>
      </c>
      <c r="D1418" t="s">
        <v>254</v>
      </c>
      <c r="E1418" t="s">
        <v>256</v>
      </c>
      <c r="F1418" s="5" t="s">
        <v>142</v>
      </c>
      <c r="G1418" s="7">
        <v>12236</v>
      </c>
      <c r="H1418" s="7" cm="1">
        <f t="array" ref="H1418">_xlfn.IFS(B1418=2015,L1418*$P$3,B1418=2016,L1418*$P$4,B1418=2017,L1418*$P$5,B1418=2018,L1418*$P$6,B1418=2019,L1418*$P$7,B1418=2020,L1418*$P$8,B1418=2021,L1418*$P$9,B1418=2022,L1418*$P$10)</f>
        <v>276.63666236940867</v>
      </c>
      <c r="I1418" s="7">
        <f t="shared" si="47"/>
        <v>12512.636662369408</v>
      </c>
      <c r="J1418">
        <f>IFERROR(VLOOKUP(F1418,'LEAID Match'!$A$2:$B$227,2,FALSE),"")</f>
        <v>3880340</v>
      </c>
      <c r="K1418">
        <f t="shared" si="46"/>
        <v>8</v>
      </c>
      <c r="L1418" cm="1">
        <f t="array" ref="L1418">_xlfn.IFS(B1418=2015,G1418/$P$13,B1418=2016,G1418/$P$14,B1418=2017,G1418/$P$15,B1418=2018,G1418/$P$16,B1418=2019,G1418/$P$17,B1418=2019,G1418/$P$18,B1418=2020,G1418/$P$18,B1418=2021,G1418/$P$19,B1418=2022,G1418/$P$20)</f>
        <v>1.5602744634484413E-4</v>
      </c>
    </row>
    <row r="1419" spans="1:12" x14ac:dyDescent="0.2">
      <c r="A1419">
        <v>3880340</v>
      </c>
      <c r="B1419">
        <v>2016</v>
      </c>
      <c r="C1419" t="s">
        <v>252</v>
      </c>
      <c r="D1419" t="s">
        <v>254</v>
      </c>
      <c r="E1419" t="s">
        <v>256</v>
      </c>
      <c r="F1419" s="5" t="s">
        <v>142</v>
      </c>
      <c r="G1419" s="7">
        <v>12787</v>
      </c>
      <c r="H1419" s="7" cm="1">
        <f t="array" ref="H1419">_xlfn.IFS(B1419=2015,L1419*$P$3,B1419=2016,L1419*$P$4,B1419=2017,L1419*$P$5,B1419=2018,L1419*$P$6,B1419=2019,L1419*$P$7,B1419=2020,L1419*$P$8,B1419=2021,L1419*$P$9,B1419=2022,L1419*$P$10)</f>
        <v>434.20884790452078</v>
      </c>
      <c r="I1419" s="7">
        <f t="shared" si="47"/>
        <v>13221.208847904521</v>
      </c>
      <c r="J1419">
        <f>IFERROR(VLOOKUP(F1419,'LEAID Match'!$A$2:$B$227,2,FALSE),"")</f>
        <v>3880340</v>
      </c>
      <c r="K1419">
        <f t="shared" si="46"/>
        <v>8</v>
      </c>
      <c r="L1419" cm="1">
        <f t="array" ref="L1419">_xlfn.IFS(B1419=2015,G1419/$P$13,B1419=2016,G1419/$P$14,B1419=2017,G1419/$P$15,B1419=2018,G1419/$P$16,B1419=2019,G1419/$P$17,B1419=2019,G1419/$P$18,B1419=2020,G1419/$P$18,B1419=2021,G1419/$P$19,B1419=2022,G1419/$P$20)</f>
        <v>1.5435792673463235E-4</v>
      </c>
    </row>
    <row r="1420" spans="1:12" x14ac:dyDescent="0.2">
      <c r="A1420">
        <v>3880340</v>
      </c>
      <c r="B1420">
        <v>2017</v>
      </c>
      <c r="C1420" t="s">
        <v>252</v>
      </c>
      <c r="D1420" t="s">
        <v>254</v>
      </c>
      <c r="E1420" t="s">
        <v>256</v>
      </c>
      <c r="F1420" s="5" t="s">
        <v>142</v>
      </c>
      <c r="G1420" s="7">
        <v>13171</v>
      </c>
      <c r="H1420" s="7" cm="1">
        <f t="array" ref="H1420">_xlfn.IFS(B1420=2015,L1420*$P$3,B1420=2016,L1420*$P$4,B1420=2017,L1420*$P$5,B1420=2018,L1420*$P$6,B1420=2019,L1420*$P$7,B1420=2020,L1420*$P$8,B1420=2021,L1420*$P$9,B1420=2022,L1420*$P$10)</f>
        <v>426.8464364908005</v>
      </c>
      <c r="I1420" s="7">
        <f t="shared" si="47"/>
        <v>13597.846436490801</v>
      </c>
      <c r="J1420">
        <f>IFERROR(VLOOKUP(F1420,'LEAID Match'!$A$2:$B$227,2,FALSE),"")</f>
        <v>3880340</v>
      </c>
      <c r="K1420">
        <f t="shared" si="46"/>
        <v>8</v>
      </c>
      <c r="L1420" cm="1">
        <f t="array" ref="L1420">_xlfn.IFS(B1420=2015,G1420/$P$13,B1420=2016,G1420/$P$14,B1420=2017,G1420/$P$15,B1420=2018,G1420/$P$16,B1420=2019,G1420/$P$17,B1420=2019,G1420/$P$18,B1420=2020,G1420/$P$18,B1420=2021,G1420/$P$19,B1420=2022,G1420/$P$20)</f>
        <v>1.5304640964173557E-4</v>
      </c>
    </row>
    <row r="1421" spans="1:12" x14ac:dyDescent="0.2">
      <c r="A1421">
        <v>3880340</v>
      </c>
      <c r="B1421" s="5">
        <v>2018</v>
      </c>
      <c r="C1421" t="s">
        <v>252</v>
      </c>
      <c r="D1421" t="s">
        <v>254</v>
      </c>
      <c r="E1421" t="s">
        <v>256</v>
      </c>
      <c r="F1421" s="5" t="s">
        <v>142</v>
      </c>
      <c r="G1421" s="7">
        <v>7402</v>
      </c>
      <c r="H1421" s="7" cm="1">
        <f t="array" ref="H1421">_xlfn.IFS(B1421=2015,L1421*$P$3,B1421=2016,L1421*$P$4,B1421=2017,L1421*$P$5,B1421=2018,L1421*$P$6,B1421=2019,L1421*$P$7,B1421=2020,L1421*$P$8,B1421=2021,L1421*$P$9,B1421=2022,L1421*$P$10)</f>
        <v>202.82211722419794</v>
      </c>
      <c r="I1421" s="7">
        <f t="shared" si="47"/>
        <v>7604.8221172241983</v>
      </c>
      <c r="J1421">
        <f>IFERROR(VLOOKUP(F1421,'LEAID Match'!$A$2:$B$227,2,FALSE),"")</f>
        <v>3880340</v>
      </c>
      <c r="K1421">
        <f t="shared" si="46"/>
        <v>8</v>
      </c>
      <c r="L1421" cm="1">
        <f t="array" ref="L1421">_xlfn.IFS(B1421=2015,G1421/$P$13,B1421=2016,G1421/$P$14,B1421=2017,G1421/$P$15,B1421=2018,G1421/$P$16,B1421=2019,G1421/$P$17,B1421=2019,G1421/$P$18,B1421=2020,G1421/$P$18,B1421=2021,G1421/$P$19,B1421=2022,G1421/$P$20)</f>
        <v>8.5398786199662296E-5</v>
      </c>
    </row>
    <row r="1422" spans="1:12" x14ac:dyDescent="0.2">
      <c r="A1422">
        <v>3880340</v>
      </c>
      <c r="B1422">
        <v>2019</v>
      </c>
      <c r="C1422" t="s">
        <v>252</v>
      </c>
      <c r="D1422" t="s">
        <v>254</v>
      </c>
      <c r="E1422" t="s">
        <v>256</v>
      </c>
      <c r="F1422" s="5" t="s">
        <v>142</v>
      </c>
      <c r="G1422" s="7">
        <v>7632</v>
      </c>
      <c r="H1422" s="7" cm="1">
        <f t="array" ref="H1422">_xlfn.IFS(B1422=2015,L1422*$P$3,B1422=2016,L1422*$P$4,B1422=2017,L1422*$P$5,B1422=2018,L1422*$P$6,B1422=2019,L1422*$P$7,B1422=2020,L1422*$P$8,B1422=2021,L1422*$P$9,B1422=2022,L1422*$P$10)</f>
        <v>177.13738338069209</v>
      </c>
      <c r="I1422" s="7">
        <f t="shared" si="47"/>
        <v>7809.137383380692</v>
      </c>
      <c r="J1422">
        <f>IFERROR(VLOOKUP(F1422,'LEAID Match'!$A$2:$B$227,2,FALSE),"")</f>
        <v>3880340</v>
      </c>
      <c r="K1422">
        <f t="shared" si="46"/>
        <v>8</v>
      </c>
      <c r="L1422" cm="1">
        <f t="array" ref="L1422">_xlfn.IFS(B1422=2015,G1422/$P$13,B1422=2016,G1422/$P$14,B1422=2017,G1422/$P$15,B1422=2018,G1422/$P$16,B1422=2019,G1422/$P$17,B1422=2019,G1422/$P$18,B1422=2020,G1422/$P$18,B1422=2021,G1422/$P$19,B1422=2022,G1422/$P$20)</f>
        <v>8.5326292572587714E-5</v>
      </c>
    </row>
    <row r="1423" spans="1:12" x14ac:dyDescent="0.2">
      <c r="A1423">
        <v>3880340</v>
      </c>
      <c r="B1423">
        <v>2020</v>
      </c>
      <c r="C1423" t="s">
        <v>252</v>
      </c>
      <c r="D1423" t="s">
        <v>254</v>
      </c>
      <c r="E1423" t="s">
        <v>256</v>
      </c>
      <c r="F1423" s="5" t="s">
        <v>142</v>
      </c>
      <c r="G1423" s="7">
        <v>38179</v>
      </c>
      <c r="H1423" s="7" cm="1">
        <f t="array" ref="H1423">_xlfn.IFS(B1423=2015,L1423*$P$3,B1423=2016,L1423*$P$4,B1423=2017,L1423*$P$5,B1423=2018,L1423*$P$6,B1423=2019,L1423*$P$7,B1423=2020,L1423*$P$8,B1423=2021,L1423*$P$9,B1423=2022,L1423*$P$10)</f>
        <v>957.83544706515227</v>
      </c>
      <c r="I1423" s="7">
        <f t="shared" si="47"/>
        <v>39136.835447065154</v>
      </c>
      <c r="J1423">
        <f>IFERROR(VLOOKUP(F1423,'LEAID Match'!$A$2:$B$227,2,FALSE),"")</f>
        <v>3880340</v>
      </c>
      <c r="K1423">
        <f t="shared" si="46"/>
        <v>8</v>
      </c>
      <c r="L1423" cm="1">
        <f t="array" ref="L1423">_xlfn.IFS(B1423=2015,G1423/$P$13,B1423=2016,G1423/$P$14,B1423=2017,G1423/$P$15,B1423=2018,G1423/$P$16,B1423=2019,G1423/$P$17,B1423=2019,G1423/$P$18,B1423=2020,G1423/$P$18,B1423=2021,G1423/$P$19,B1423=2022,G1423/$P$20)</f>
        <v>4.1038365341266166E-4</v>
      </c>
    </row>
    <row r="1424" spans="1:12" x14ac:dyDescent="0.2">
      <c r="A1424">
        <v>3880340</v>
      </c>
      <c r="B1424" s="5">
        <v>2021</v>
      </c>
      <c r="C1424" t="s">
        <v>252</v>
      </c>
      <c r="D1424" t="s">
        <v>254</v>
      </c>
      <c r="E1424" t="s">
        <v>256</v>
      </c>
      <c r="F1424" s="5" t="s">
        <v>142</v>
      </c>
      <c r="G1424" s="7">
        <v>47501</v>
      </c>
      <c r="H1424" s="7" cm="1">
        <f t="array" ref="H1424">_xlfn.IFS(B1424=2015,L1424*$P$3,B1424=2016,L1424*$P$4,B1424=2017,L1424*$P$5,B1424=2018,L1424*$P$6,B1424=2019,L1424*$P$7,B1424=2020,L1424*$P$8,B1424=2021,L1424*$P$9,B1424=2022,L1424*$P$10)</f>
        <v>1297.9312629870535</v>
      </c>
      <c r="I1424" s="7">
        <f t="shared" si="47"/>
        <v>48798.931262987055</v>
      </c>
      <c r="J1424">
        <f>IFERROR(VLOOKUP(F1424,'LEAID Match'!$A$2:$B$227,2,FALSE),"")</f>
        <v>3880340</v>
      </c>
      <c r="K1424">
        <f t="shared" si="46"/>
        <v>8</v>
      </c>
      <c r="L1424" cm="1">
        <f t="array" ref="L1424">_xlfn.IFS(B1424=2015,G1424/$P$13,B1424=2016,G1424/$P$14,B1424=2017,G1424/$P$15,B1424=2018,G1424/$P$16,B1424=2019,G1424/$P$17,B1424=2019,G1424/$P$18,B1424=2020,G1424/$P$18,B1424=2021,G1424/$P$19,B1424=2022,G1424/$P$20)</f>
        <v>4.8340084282571827E-4</v>
      </c>
    </row>
    <row r="1425" spans="1:12" x14ac:dyDescent="0.2">
      <c r="A1425">
        <v>3880340</v>
      </c>
      <c r="B1425">
        <v>2022</v>
      </c>
      <c r="C1425" t="s">
        <v>252</v>
      </c>
      <c r="D1425" t="s">
        <v>254</v>
      </c>
      <c r="E1425" t="s">
        <v>256</v>
      </c>
      <c r="F1425" s="5" t="s">
        <v>142</v>
      </c>
      <c r="G1425" s="7">
        <v>47257</v>
      </c>
      <c r="H1425" s="7" cm="1">
        <f t="array" ref="H1425">_xlfn.IFS(B1425=2015,L1425*$P$3,B1425=2016,L1425*$P$4,B1425=2017,L1425*$P$5,B1425=2018,L1425*$P$6,B1425=2019,L1425*$P$7,B1425=2020,L1425*$P$8,B1425=2021,L1425*$P$9,B1425=2022,L1425*$P$10)</f>
        <v>961.80106986307283</v>
      </c>
      <c r="I1425" s="7">
        <f t="shared" si="47"/>
        <v>48218.801069863075</v>
      </c>
      <c r="J1425">
        <f>IFERROR(VLOOKUP(F1425,'LEAID Match'!$A$2:$B$227,2,FALSE),"")</f>
        <v>3880340</v>
      </c>
      <c r="K1425">
        <f t="shared" si="46"/>
        <v>8</v>
      </c>
      <c r="L1425" cm="1">
        <f t="array" ref="L1425">_xlfn.IFS(B1425=2015,G1425/$P$13,B1425=2016,G1425/$P$14,B1425=2017,G1425/$P$15,B1425=2018,G1425/$P$16,B1425=2019,G1425/$P$17,B1425=2019,G1425/$P$18,B1425=2020,G1425/$P$18,B1425=2021,G1425/$P$19,B1425=2022,G1425/$P$20)</f>
        <v>4.710093388163922E-4</v>
      </c>
    </row>
    <row r="1426" spans="1:12" x14ac:dyDescent="0.2">
      <c r="A1426">
        <v>3880660</v>
      </c>
      <c r="B1426">
        <v>2017</v>
      </c>
      <c r="C1426" t="s">
        <v>252</v>
      </c>
      <c r="D1426" t="s">
        <v>254</v>
      </c>
      <c r="E1426" t="s">
        <v>256</v>
      </c>
      <c r="F1426" s="5" t="s">
        <v>233</v>
      </c>
      <c r="G1426" s="7">
        <v>88694</v>
      </c>
      <c r="H1426" s="7" cm="1">
        <f t="array" ref="H1426">_xlfn.IFS(B1426=2015,L1426*$P$3,B1426=2016,L1426*$P$4,B1426=2017,L1426*$P$5,B1426=2018,L1426*$P$6,B1426=2019,L1426*$P$7,B1426=2020,L1426*$P$8,B1426=2021,L1426*$P$9,B1426=2022,L1426*$P$10)</f>
        <v>2874.3996536417171</v>
      </c>
      <c r="I1426" s="7">
        <f t="shared" si="47"/>
        <v>91568.399653641711</v>
      </c>
      <c r="J1426">
        <f>IFERROR(VLOOKUP(F1426,'LEAID Match'!$A$2:$B$227,2,FALSE),"")</f>
        <v>3880660</v>
      </c>
      <c r="K1426">
        <f t="shared" si="46"/>
        <v>6</v>
      </c>
      <c r="L1426" cm="1">
        <f t="array" ref="L1426">_xlfn.IFS(B1426=2015,G1426/$P$13,B1426=2016,G1426/$P$14,B1426=2017,G1426/$P$15,B1426=2018,G1426/$P$16,B1426=2019,G1426/$P$17,B1426=2019,G1426/$P$18,B1426=2020,G1426/$P$18,B1426=2021,G1426/$P$19,B1426=2022,G1426/$P$20)</f>
        <v>1.0306201698249255E-3</v>
      </c>
    </row>
    <row r="1427" spans="1:12" x14ac:dyDescent="0.2">
      <c r="A1427">
        <v>3880660</v>
      </c>
      <c r="B1427" s="5">
        <v>2018</v>
      </c>
      <c r="C1427" t="s">
        <v>252</v>
      </c>
      <c r="D1427" t="s">
        <v>254</v>
      </c>
      <c r="E1427" t="s">
        <v>256</v>
      </c>
      <c r="F1427" s="5" t="s">
        <v>233</v>
      </c>
      <c r="G1427" s="7">
        <v>67580</v>
      </c>
      <c r="H1427" s="7" cm="1">
        <f t="array" ref="H1427">_xlfn.IFS(B1427=2015,L1427*$P$3,B1427=2016,L1427*$P$4,B1427=2017,L1427*$P$5,B1427=2018,L1427*$P$6,B1427=2019,L1427*$P$7,B1427=2020,L1427*$P$8,B1427=2021,L1427*$P$9,B1427=2022,L1427*$P$10)</f>
        <v>1851.758805999905</v>
      </c>
      <c r="I1427" s="7">
        <f t="shared" si="47"/>
        <v>69431.758805999911</v>
      </c>
      <c r="J1427">
        <f>IFERROR(VLOOKUP(F1427,'LEAID Match'!$A$2:$B$227,2,FALSE),"")</f>
        <v>3880660</v>
      </c>
      <c r="K1427">
        <f t="shared" si="46"/>
        <v>6</v>
      </c>
      <c r="L1427" cm="1">
        <f t="array" ref="L1427">_xlfn.IFS(B1427=2015,G1427/$P$13,B1427=2016,G1427/$P$14,B1427=2017,G1427/$P$15,B1427=2018,G1427/$P$16,B1427=2019,G1427/$P$17,B1427=2019,G1427/$P$18,B1427=2020,G1427/$P$18,B1427=2021,G1427/$P$19,B1427=2022,G1427/$P$20)</f>
        <v>7.7968791831574944E-4</v>
      </c>
    </row>
    <row r="1428" spans="1:12" x14ac:dyDescent="0.2">
      <c r="A1428">
        <v>3880660</v>
      </c>
      <c r="B1428">
        <v>2019</v>
      </c>
      <c r="C1428" t="s">
        <v>252</v>
      </c>
      <c r="D1428" t="s">
        <v>254</v>
      </c>
      <c r="E1428" t="s">
        <v>256</v>
      </c>
      <c r="F1428" s="5" t="s">
        <v>233</v>
      </c>
      <c r="G1428" s="7">
        <v>73807</v>
      </c>
      <c r="H1428" s="7" cm="1">
        <f t="array" ref="H1428">_xlfn.IFS(B1428=2015,L1428*$P$3,B1428=2016,L1428*$P$4,B1428=2017,L1428*$P$5,B1428=2018,L1428*$P$6,B1428=2019,L1428*$P$7,B1428=2020,L1428*$P$8,B1428=2021,L1428*$P$9,B1428=2022,L1428*$P$10)</f>
        <v>1713.04754391755</v>
      </c>
      <c r="I1428" s="7">
        <f t="shared" si="47"/>
        <v>75520.04754391755</v>
      </c>
      <c r="J1428">
        <f>IFERROR(VLOOKUP(F1428,'LEAID Match'!$A$2:$B$227,2,FALSE),"")</f>
        <v>3880660</v>
      </c>
      <c r="K1428">
        <f t="shared" si="46"/>
        <v>6</v>
      </c>
      <c r="L1428" cm="1">
        <f t="array" ref="L1428">_xlfn.IFS(B1428=2015,G1428/$P$13,B1428=2016,G1428/$P$14,B1428=2017,G1428/$P$15,B1428=2018,G1428/$P$16,B1428=2019,G1428/$P$17,B1428=2019,G1428/$P$18,B1428=2020,G1428/$P$18,B1428=2021,G1428/$P$19,B1428=2022,G1428/$P$20)</f>
        <v>8.2516741036490853E-4</v>
      </c>
    </row>
    <row r="1429" spans="1:12" x14ac:dyDescent="0.2">
      <c r="A1429">
        <v>3880660</v>
      </c>
      <c r="B1429">
        <v>2020</v>
      </c>
      <c r="C1429" t="s">
        <v>252</v>
      </c>
      <c r="D1429" t="s">
        <v>254</v>
      </c>
      <c r="E1429" t="s">
        <v>256</v>
      </c>
      <c r="F1429" s="5" t="s">
        <v>233</v>
      </c>
      <c r="G1429" s="7">
        <v>62241</v>
      </c>
      <c r="H1429" s="7" cm="1">
        <f t="array" ref="H1429">_xlfn.IFS(B1429=2015,L1429*$P$3,B1429=2016,L1429*$P$4,B1429=2017,L1429*$P$5,B1429=2018,L1429*$P$6,B1429=2019,L1429*$P$7,B1429=2020,L1429*$P$8,B1429=2021,L1429*$P$9,B1429=2022,L1429*$P$10)</f>
        <v>1561.5033411242341</v>
      </c>
      <c r="I1429" s="7">
        <f t="shared" si="47"/>
        <v>63802.503341124233</v>
      </c>
      <c r="J1429">
        <f>IFERROR(VLOOKUP(F1429,'LEAID Match'!$A$2:$B$227,2,FALSE),"")</f>
        <v>3880660</v>
      </c>
      <c r="K1429">
        <f t="shared" si="46"/>
        <v>6</v>
      </c>
      <c r="L1429" cm="1">
        <f t="array" ref="L1429">_xlfn.IFS(B1429=2015,G1429/$P$13,B1429=2016,G1429/$P$14,B1429=2017,G1429/$P$15,B1429=2018,G1429/$P$16,B1429=2019,G1429/$P$17,B1429=2019,G1429/$P$18,B1429=2020,G1429/$P$18,B1429=2021,G1429/$P$19,B1429=2022,G1429/$P$20)</f>
        <v>6.6902456774817231E-4</v>
      </c>
    </row>
    <row r="1430" spans="1:12" x14ac:dyDescent="0.2">
      <c r="A1430">
        <v>3880660</v>
      </c>
      <c r="B1430" s="5">
        <v>2021</v>
      </c>
      <c r="C1430" t="s">
        <v>252</v>
      </c>
      <c r="D1430" t="s">
        <v>254</v>
      </c>
      <c r="E1430" t="s">
        <v>256</v>
      </c>
      <c r="F1430" s="5" t="s">
        <v>233</v>
      </c>
      <c r="G1430" s="7">
        <v>90785</v>
      </c>
      <c r="H1430" s="7" cm="1">
        <f t="array" ref="H1430">_xlfn.IFS(B1430=2015,L1430*$P$3,B1430=2016,L1430*$P$4,B1430=2017,L1430*$P$5,B1430=2018,L1430*$P$6,B1430=2019,L1430*$P$7,B1430=2020,L1430*$P$8,B1430=2021,L1430*$P$9,B1430=2022,L1430*$P$10)</f>
        <v>2480.6359805115608</v>
      </c>
      <c r="I1430" s="7">
        <f t="shared" si="47"/>
        <v>93265.635980511564</v>
      </c>
      <c r="J1430">
        <f>IFERROR(VLOOKUP(F1430,'LEAID Match'!$A$2:$B$227,2,FALSE),"")</f>
        <v>3880660</v>
      </c>
      <c r="K1430">
        <f t="shared" si="46"/>
        <v>6</v>
      </c>
      <c r="L1430" cm="1">
        <f t="array" ref="L1430">_xlfn.IFS(B1430=2015,G1430/$P$13,B1430=2016,G1430/$P$14,B1430=2017,G1430/$P$15,B1430=2018,G1430/$P$16,B1430=2019,G1430/$P$17,B1430=2019,G1430/$P$18,B1430=2020,G1430/$P$18,B1430=2021,G1430/$P$19,B1430=2022,G1430/$P$20)</f>
        <v>9.2388677114024612E-4</v>
      </c>
    </row>
    <row r="1431" spans="1:12" x14ac:dyDescent="0.2">
      <c r="A1431">
        <v>3880660</v>
      </c>
      <c r="B1431">
        <v>2022</v>
      </c>
      <c r="C1431" t="s">
        <v>252</v>
      </c>
      <c r="D1431" t="s">
        <v>254</v>
      </c>
      <c r="E1431" t="s">
        <v>256</v>
      </c>
      <c r="F1431" s="5" t="s">
        <v>233</v>
      </c>
      <c r="G1431" s="7">
        <v>101493</v>
      </c>
      <c r="H1431" s="7" cm="1">
        <f t="array" ref="H1431">_xlfn.IFS(B1431=2015,L1431*$P$3,B1431=2016,L1431*$P$4,B1431=2017,L1431*$P$5,B1431=2018,L1431*$P$6,B1431=2019,L1431*$P$7,B1431=2020,L1431*$P$8,B1431=2021,L1431*$P$9,B1431=2022,L1431*$P$10)</f>
        <v>2065.6426769285576</v>
      </c>
      <c r="I1431" s="7">
        <f t="shared" si="47"/>
        <v>103558.64267692856</v>
      </c>
      <c r="J1431">
        <f>IFERROR(VLOOKUP(F1431,'LEAID Match'!$A$2:$B$227,2,FALSE),"")</f>
        <v>3880660</v>
      </c>
      <c r="K1431">
        <f t="shared" si="46"/>
        <v>6</v>
      </c>
      <c r="L1431" cm="1">
        <f t="array" ref="L1431">_xlfn.IFS(B1431=2015,G1431/$P$13,B1431=2016,G1431/$P$14,B1431=2017,G1431/$P$15,B1431=2018,G1431/$P$16,B1431=2019,G1431/$P$17,B1431=2019,G1431/$P$18,B1431=2020,G1431/$P$18,B1431=2021,G1431/$P$19,B1431=2022,G1431/$P$20)</f>
        <v>1.0115781963411154E-3</v>
      </c>
    </row>
    <row r="1432" spans="1:12" x14ac:dyDescent="0.2">
      <c r="A1432">
        <v>3817130</v>
      </c>
      <c r="B1432">
        <v>2015</v>
      </c>
      <c r="C1432" t="s">
        <v>252</v>
      </c>
      <c r="D1432" t="s">
        <v>254</v>
      </c>
      <c r="E1432" t="s">
        <v>256</v>
      </c>
      <c r="F1432" s="5" t="s">
        <v>206</v>
      </c>
      <c r="G1432" s="7">
        <v>178137</v>
      </c>
      <c r="H1432" s="7" cm="1">
        <f t="array" ref="H1432">_xlfn.IFS(B1432=2015,L1432*$P$3,B1432=2016,L1432*$P$4,B1432=2017,L1432*$P$5,B1432=2018,L1432*$P$6,B1432=2019,L1432*$P$7,B1432=2020,L1432*$P$8,B1432=2021,L1432*$P$9,B1432=2022,L1432*$P$10)</f>
        <v>4027.3966267161936</v>
      </c>
      <c r="I1432" s="7">
        <f t="shared" si="47"/>
        <v>182164.39662671619</v>
      </c>
      <c r="J1432">
        <f>IFERROR(VLOOKUP(F1432,'LEAID Match'!$A$2:$B$227,2,FALSE),"")</f>
        <v>3817130</v>
      </c>
      <c r="K1432">
        <f t="shared" si="46"/>
        <v>8</v>
      </c>
      <c r="L1432" cm="1">
        <f t="array" ref="L1432">_xlfn.IFS(B1432=2015,G1432/$P$13,B1432=2016,G1432/$P$14,B1432=2017,G1432/$P$15,B1432=2018,G1432/$P$16,B1432=2019,G1432/$P$17,B1432=2019,G1432/$P$18,B1432=2020,G1432/$P$18,B1432=2021,G1432/$P$19,B1432=2022,G1432/$P$20)</f>
        <v>2.2715152998963304E-3</v>
      </c>
    </row>
    <row r="1433" spans="1:12" x14ac:dyDescent="0.2">
      <c r="A1433">
        <v>3817130</v>
      </c>
      <c r="B1433">
        <v>2016</v>
      </c>
      <c r="C1433" t="s">
        <v>252</v>
      </c>
      <c r="D1433" t="s">
        <v>254</v>
      </c>
      <c r="E1433" t="s">
        <v>256</v>
      </c>
      <c r="F1433" s="5" t="s">
        <v>206</v>
      </c>
      <c r="G1433" s="7">
        <v>196375</v>
      </c>
      <c r="H1433" s="7" cm="1">
        <f t="array" ref="H1433">_xlfn.IFS(B1433=2015,L1433*$P$3,B1433=2016,L1433*$P$4,B1433=2017,L1433*$P$5,B1433=2018,L1433*$P$6,B1433=2019,L1433*$P$7,B1433=2020,L1433*$P$8,B1433=2021,L1433*$P$9,B1433=2022,L1433*$P$10)</f>
        <v>6668.3164547783117</v>
      </c>
      <c r="I1433" s="7">
        <f t="shared" si="47"/>
        <v>203043.31645477831</v>
      </c>
      <c r="J1433">
        <f>IFERROR(VLOOKUP(F1433,'LEAID Match'!$A$2:$B$227,2,FALSE),"")</f>
        <v>3817130</v>
      </c>
      <c r="K1433">
        <f t="shared" si="46"/>
        <v>8</v>
      </c>
      <c r="L1433" cm="1">
        <f t="array" ref="L1433">_xlfn.IFS(B1433=2015,G1433/$P$13,B1433=2016,G1433/$P$14,B1433=2017,G1433/$P$15,B1433=2018,G1433/$P$16,B1433=2019,G1433/$P$17,B1433=2019,G1433/$P$18,B1433=2020,G1433/$P$18,B1433=2021,G1433/$P$19,B1433=2022,G1433/$P$20)</f>
        <v>2.3705355331597269E-3</v>
      </c>
    </row>
    <row r="1434" spans="1:12" x14ac:dyDescent="0.2">
      <c r="A1434">
        <v>3817130</v>
      </c>
      <c r="B1434">
        <v>2017</v>
      </c>
      <c r="C1434" t="s">
        <v>252</v>
      </c>
      <c r="D1434" t="s">
        <v>254</v>
      </c>
      <c r="E1434" t="s">
        <v>256</v>
      </c>
      <c r="F1434" s="5" t="s">
        <v>206</v>
      </c>
      <c r="G1434" s="7">
        <v>210253</v>
      </c>
      <c r="H1434" s="7" cm="1">
        <f t="array" ref="H1434">_xlfn.IFS(B1434=2015,L1434*$P$3,B1434=2016,L1434*$P$4,B1434=2017,L1434*$P$5,B1434=2018,L1434*$P$6,B1434=2019,L1434*$P$7,B1434=2020,L1434*$P$8,B1434=2021,L1434*$P$9,B1434=2022,L1434*$P$10)</f>
        <v>6813.8898953382641</v>
      </c>
      <c r="I1434" s="7">
        <f t="shared" si="47"/>
        <v>217066.88989533827</v>
      </c>
      <c r="J1434">
        <f>IFERROR(VLOOKUP(F1434,'LEAID Match'!$A$2:$B$227,2,FALSE),"")</f>
        <v>3817130</v>
      </c>
      <c r="K1434">
        <f t="shared" si="46"/>
        <v>8</v>
      </c>
      <c r="L1434" cm="1">
        <f t="array" ref="L1434">_xlfn.IFS(B1434=2015,G1434/$P$13,B1434=2016,G1434/$P$14,B1434=2017,G1434/$P$15,B1434=2018,G1434/$P$16,B1434=2019,G1434/$P$17,B1434=2019,G1434/$P$18,B1434=2020,G1434/$P$18,B1434=2021,G1434/$P$19,B1434=2022,G1434/$P$20)</f>
        <v>2.4431301166505069E-3</v>
      </c>
    </row>
    <row r="1435" spans="1:12" x14ac:dyDescent="0.2">
      <c r="A1435">
        <v>3817130</v>
      </c>
      <c r="B1435" s="5">
        <v>2018</v>
      </c>
      <c r="C1435" t="s">
        <v>252</v>
      </c>
      <c r="D1435" t="s">
        <v>254</v>
      </c>
      <c r="E1435" t="s">
        <v>256</v>
      </c>
      <c r="F1435" s="5" t="s">
        <v>206</v>
      </c>
      <c r="G1435" s="7">
        <v>226045</v>
      </c>
      <c r="H1435" s="7" cm="1">
        <f t="array" ref="H1435">_xlfn.IFS(B1435=2015,L1435*$P$3,B1435=2016,L1435*$P$4,B1435=2017,L1435*$P$5,B1435=2018,L1435*$P$6,B1435=2019,L1435*$P$7,B1435=2020,L1435*$P$8,B1435=2021,L1435*$P$9,B1435=2022,L1435*$P$10)</f>
        <v>6193.8564560853583</v>
      </c>
      <c r="I1435" s="7">
        <f t="shared" si="47"/>
        <v>232238.85645608537</v>
      </c>
      <c r="J1435">
        <f>IFERROR(VLOOKUP(F1435,'LEAID Match'!$A$2:$B$227,2,FALSE),"")</f>
        <v>3817130</v>
      </c>
      <c r="K1435">
        <f t="shared" si="46"/>
        <v>8</v>
      </c>
      <c r="L1435" cm="1">
        <f t="array" ref="L1435">_xlfn.IFS(B1435=2015,G1435/$P$13,B1435=2016,G1435/$P$14,B1435=2017,G1435/$P$15,B1435=2018,G1435/$P$16,B1435=2019,G1435/$P$17,B1435=2019,G1435/$P$18,B1435=2020,G1435/$P$18,B1435=2021,G1435/$P$19,B1435=2022,G1435/$P$20)</f>
        <v>2.607939560456993E-3</v>
      </c>
    </row>
    <row r="1436" spans="1:12" x14ac:dyDescent="0.2">
      <c r="A1436">
        <v>3817130</v>
      </c>
      <c r="B1436">
        <v>2019</v>
      </c>
      <c r="C1436" t="s">
        <v>252</v>
      </c>
      <c r="D1436" t="s">
        <v>254</v>
      </c>
      <c r="E1436" t="s">
        <v>256</v>
      </c>
      <c r="F1436" s="5" t="s">
        <v>206</v>
      </c>
      <c r="G1436" s="7">
        <v>249880</v>
      </c>
      <c r="H1436" s="7" cm="1">
        <f t="array" ref="H1436">_xlfn.IFS(B1436=2015,L1436*$P$3,B1436=2016,L1436*$P$4,B1436=2017,L1436*$P$5,B1436=2018,L1436*$P$6,B1436=2019,L1436*$P$7,B1436=2020,L1436*$P$8,B1436=2021,L1436*$P$9,B1436=2022,L1436*$P$10)</f>
        <v>5799.6710376267483</v>
      </c>
      <c r="I1436" s="7">
        <f t="shared" si="47"/>
        <v>255679.67103762674</v>
      </c>
      <c r="J1436">
        <f>IFERROR(VLOOKUP(F1436,'LEAID Match'!$A$2:$B$227,2,FALSE),"")</f>
        <v>3817130</v>
      </c>
      <c r="K1436">
        <f t="shared" si="46"/>
        <v>8</v>
      </c>
      <c r="L1436" cm="1">
        <f t="array" ref="L1436">_xlfn.IFS(B1436=2015,G1436/$P$13,B1436=2016,G1436/$P$14,B1436=2017,G1436/$P$15,B1436=2018,G1436/$P$16,B1436=2019,G1436/$P$17,B1436=2019,G1436/$P$18,B1436=2020,G1436/$P$18,B1436=2021,G1436/$P$19,B1436=2022,G1436/$P$20)</f>
        <v>2.7936758370071041E-3</v>
      </c>
    </row>
    <row r="1437" spans="1:12" x14ac:dyDescent="0.2">
      <c r="A1437">
        <v>3817130</v>
      </c>
      <c r="B1437">
        <v>2020</v>
      </c>
      <c r="C1437" t="s">
        <v>252</v>
      </c>
      <c r="D1437" t="s">
        <v>254</v>
      </c>
      <c r="E1437" t="s">
        <v>256</v>
      </c>
      <c r="F1437" s="5" t="s">
        <v>206</v>
      </c>
      <c r="G1437" s="7">
        <v>278329</v>
      </c>
      <c r="H1437" s="7" cm="1">
        <f t="array" ref="H1437">_xlfn.IFS(B1437=2015,L1437*$P$3,B1437=2016,L1437*$P$4,B1437=2017,L1437*$P$5,B1437=2018,L1437*$P$6,B1437=2019,L1437*$P$7,B1437=2020,L1437*$P$8,B1437=2021,L1437*$P$9,B1437=2022,L1437*$P$10)</f>
        <v>6982.7230190994196</v>
      </c>
      <c r="I1437" s="7">
        <f t="shared" si="47"/>
        <v>285311.72301909945</v>
      </c>
      <c r="J1437">
        <f>IFERROR(VLOOKUP(F1437,'LEAID Match'!$A$2:$B$227,2,FALSE),"")</f>
        <v>3817130</v>
      </c>
      <c r="K1437">
        <f t="shared" si="46"/>
        <v>8</v>
      </c>
      <c r="L1437" cm="1">
        <f t="array" ref="L1437">_xlfn.IFS(B1437=2015,G1437/$P$13,B1437=2016,G1437/$P$14,B1437=2017,G1437/$P$15,B1437=2018,G1437/$P$16,B1437=2019,G1437/$P$17,B1437=2019,G1437/$P$18,B1437=2020,G1437/$P$18,B1437=2021,G1437/$P$19,B1437=2022,G1437/$P$20)</f>
        <v>2.9917407965293144E-3</v>
      </c>
    </row>
    <row r="1438" spans="1:12" x14ac:dyDescent="0.2">
      <c r="A1438">
        <v>3817130</v>
      </c>
      <c r="B1438" s="5">
        <v>2021</v>
      </c>
      <c r="C1438" t="s">
        <v>252</v>
      </c>
      <c r="D1438" t="s">
        <v>254</v>
      </c>
      <c r="E1438" t="s">
        <v>256</v>
      </c>
      <c r="F1438" s="5" t="s">
        <v>206</v>
      </c>
      <c r="G1438" s="7">
        <v>311887</v>
      </c>
      <c r="H1438" s="7" cm="1">
        <f t="array" ref="H1438">_xlfn.IFS(B1438=2015,L1438*$P$3,B1438=2016,L1438*$P$4,B1438=2017,L1438*$P$5,B1438=2018,L1438*$P$6,B1438=2019,L1438*$P$7,B1438=2020,L1438*$P$8,B1438=2021,L1438*$P$9,B1438=2022,L1438*$P$10)</f>
        <v>8522.0919100491174</v>
      </c>
      <c r="I1438" s="7">
        <f t="shared" si="47"/>
        <v>320409.09191004914</v>
      </c>
      <c r="J1438">
        <f>IFERROR(VLOOKUP(F1438,'LEAID Match'!$A$2:$B$227,2,FALSE),"")</f>
        <v>3817130</v>
      </c>
      <c r="K1438">
        <f t="shared" si="46"/>
        <v>8</v>
      </c>
      <c r="L1438" cm="1">
        <f t="array" ref="L1438">_xlfn.IFS(B1438=2015,G1438/$P$13,B1438=2016,G1438/$P$14,B1438=2017,G1438/$P$15,B1438=2018,G1438/$P$16,B1438=2019,G1438/$P$17,B1438=2019,G1438/$P$18,B1438=2020,G1438/$P$18,B1438=2021,G1438/$P$19,B1438=2022,G1438/$P$20)</f>
        <v>3.1739634674298389E-3</v>
      </c>
    </row>
    <row r="1439" spans="1:12" x14ac:dyDescent="0.2">
      <c r="A1439">
        <v>3817130</v>
      </c>
      <c r="B1439">
        <v>2022</v>
      </c>
      <c r="C1439" t="s">
        <v>252</v>
      </c>
      <c r="D1439" t="s">
        <v>254</v>
      </c>
      <c r="E1439" t="s">
        <v>256</v>
      </c>
      <c r="F1439" s="5" t="s">
        <v>206</v>
      </c>
      <c r="G1439" s="7">
        <v>303086</v>
      </c>
      <c r="H1439" s="7" cm="1">
        <f t="array" ref="H1439">_xlfn.IFS(B1439=2015,L1439*$P$3,B1439=2016,L1439*$P$4,B1439=2017,L1439*$P$5,B1439=2018,L1439*$P$6,B1439=2019,L1439*$P$7,B1439=2020,L1439*$P$8,B1439=2021,L1439*$P$9,B1439=2022,L1439*$P$10)</f>
        <v>6168.5769105216013</v>
      </c>
      <c r="I1439" s="7">
        <f t="shared" si="47"/>
        <v>309254.5769105216</v>
      </c>
      <c r="J1439">
        <f>IFERROR(VLOOKUP(F1439,'LEAID Match'!$A$2:$B$227,2,FALSE),"")</f>
        <v>3817130</v>
      </c>
      <c r="K1439">
        <f t="shared" si="46"/>
        <v>8</v>
      </c>
      <c r="L1439" cm="1">
        <f t="array" ref="L1439">_xlfn.IFS(B1439=2015,G1439/$P$13,B1439=2016,G1439/$P$14,B1439=2017,G1439/$P$15,B1439=2018,G1439/$P$16,B1439=2019,G1439/$P$17,B1439=2019,G1439/$P$18,B1439=2020,G1439/$P$18,B1439=2021,G1439/$P$19,B1439=2022,G1439/$P$20)</f>
        <v>3.0208505928117539E-3</v>
      </c>
    </row>
    <row r="1440" spans="1:12" x14ac:dyDescent="0.2">
      <c r="A1440">
        <v>3817170</v>
      </c>
      <c r="B1440">
        <v>2015</v>
      </c>
      <c r="C1440" t="s">
        <v>252</v>
      </c>
      <c r="D1440" t="s">
        <v>254</v>
      </c>
      <c r="E1440" t="s">
        <v>256</v>
      </c>
      <c r="F1440" s="5" t="s">
        <v>234</v>
      </c>
      <c r="G1440" s="7">
        <v>173303</v>
      </c>
      <c r="H1440" s="7" cm="1">
        <f t="array" ref="H1440">_xlfn.IFS(B1440=2015,L1440*$P$3,B1440=2016,L1440*$P$4,B1440=2017,L1440*$P$5,B1440=2018,L1440*$P$6,B1440=2019,L1440*$P$7,B1440=2020,L1440*$P$8,B1440=2021,L1440*$P$9,B1440=2022,L1440*$P$10)</f>
        <v>3918.1075105104301</v>
      </c>
      <c r="I1440" s="7">
        <f t="shared" si="47"/>
        <v>177221.10751051042</v>
      </c>
      <c r="J1440">
        <f>IFERROR(VLOOKUP(F1440,'LEAID Match'!$A$2:$B$227,2,FALSE),"")</f>
        <v>3817170</v>
      </c>
      <c r="K1440">
        <f t="shared" si="46"/>
        <v>8</v>
      </c>
      <c r="L1440" cm="1">
        <f t="array" ref="L1440">_xlfn.IFS(B1440=2015,G1440/$P$13,B1440=2016,G1440/$P$14,B1440=2017,G1440/$P$15,B1440=2018,G1440/$P$16,B1440=2019,G1440/$P$17,B1440=2019,G1440/$P$18,B1440=2020,G1440/$P$18,B1440=2021,G1440/$P$19,B1440=2022,G1440/$P$20)</f>
        <v>2.2098745124142301E-3</v>
      </c>
    </row>
    <row r="1441" spans="1:12" x14ac:dyDescent="0.2">
      <c r="A1441">
        <v>3817170</v>
      </c>
      <c r="B1441">
        <v>2016</v>
      </c>
      <c r="C1441" t="s">
        <v>252</v>
      </c>
      <c r="D1441" t="s">
        <v>254</v>
      </c>
      <c r="E1441" t="s">
        <v>256</v>
      </c>
      <c r="F1441" s="5" t="s">
        <v>234</v>
      </c>
      <c r="G1441" s="7">
        <v>254981</v>
      </c>
      <c r="H1441" s="7" cm="1">
        <f t="array" ref="H1441">_xlfn.IFS(B1441=2015,L1441*$P$3,B1441=2016,L1441*$P$4,B1441=2017,L1441*$P$5,B1441=2018,L1441*$P$6,B1441=2019,L1441*$P$7,B1441=2020,L1441*$P$8,B1441=2021,L1441*$P$9,B1441=2022,L1441*$P$10)</f>
        <v>8658.4035541989997</v>
      </c>
      <c r="I1441" s="7">
        <f t="shared" si="47"/>
        <v>263639.40355419897</v>
      </c>
      <c r="J1441">
        <f>IFERROR(VLOOKUP(F1441,'LEAID Match'!$A$2:$B$227,2,FALSE),"")</f>
        <v>3817170</v>
      </c>
      <c r="K1441">
        <f t="shared" si="46"/>
        <v>8</v>
      </c>
      <c r="L1441" cm="1">
        <f t="array" ref="L1441">_xlfn.IFS(B1441=2015,G1441/$P$13,B1441=2016,G1441/$P$14,B1441=2017,G1441/$P$15,B1441=2018,G1441/$P$16,B1441=2019,G1441/$P$17,B1441=2019,G1441/$P$18,B1441=2020,G1441/$P$18,B1441=2021,G1441/$P$19,B1441=2022,G1441/$P$20)</f>
        <v>3.0779962865975828E-3</v>
      </c>
    </row>
    <row r="1442" spans="1:12" x14ac:dyDescent="0.2">
      <c r="A1442">
        <v>3817170</v>
      </c>
      <c r="B1442">
        <v>2017</v>
      </c>
      <c r="C1442" t="s">
        <v>252</v>
      </c>
      <c r="D1442" t="s">
        <v>254</v>
      </c>
      <c r="E1442" t="s">
        <v>256</v>
      </c>
      <c r="F1442" s="5" t="s">
        <v>234</v>
      </c>
      <c r="G1442" s="7">
        <v>299129</v>
      </c>
      <c r="H1442" s="7" cm="1">
        <f t="array" ref="H1442">_xlfn.IFS(B1442=2015,L1442*$P$3,B1442=2016,L1442*$P$4,B1442=2017,L1442*$P$5,B1442=2018,L1442*$P$6,B1442=2019,L1442*$P$7,B1442=2020,L1442*$P$8,B1442=2021,L1442*$P$9,B1442=2022,L1442*$P$10)</f>
        <v>9694.1878142173464</v>
      </c>
      <c r="I1442" s="7">
        <f t="shared" si="47"/>
        <v>308823.18781421735</v>
      </c>
      <c r="J1442">
        <f>IFERROR(VLOOKUP(F1442,'LEAID Match'!$A$2:$B$227,2,FALSE),"")</f>
        <v>3817170</v>
      </c>
      <c r="K1442">
        <f t="shared" si="46"/>
        <v>8</v>
      </c>
      <c r="L1442" cm="1">
        <f t="array" ref="L1442">_xlfn.IFS(B1442=2015,G1442/$P$13,B1442=2016,G1442/$P$14,B1442=2017,G1442/$P$15,B1442=2018,G1442/$P$16,B1442=2019,G1442/$P$17,B1442=2019,G1442/$P$18,B1442=2020,G1442/$P$18,B1442=2021,G1442/$P$19,B1442=2022,G1442/$P$20)</f>
        <v>3.4758651180413574E-3</v>
      </c>
    </row>
    <row r="1443" spans="1:12" x14ac:dyDescent="0.2">
      <c r="A1443">
        <v>3817170</v>
      </c>
      <c r="B1443" s="5">
        <v>2018</v>
      </c>
      <c r="C1443" t="s">
        <v>252</v>
      </c>
      <c r="D1443" t="s">
        <v>254</v>
      </c>
      <c r="E1443" t="s">
        <v>256</v>
      </c>
      <c r="F1443" s="5" t="s">
        <v>234</v>
      </c>
      <c r="G1443" s="7">
        <v>309577</v>
      </c>
      <c r="H1443" s="7" cm="1">
        <f t="array" ref="H1443">_xlfn.IFS(B1443=2015,L1443*$P$3,B1443=2016,L1443*$P$4,B1443=2017,L1443*$P$5,B1443=2018,L1443*$P$6,B1443=2019,L1443*$P$7,B1443=2020,L1443*$P$8,B1443=2021,L1443*$P$9,B1443=2022,L1443*$P$10)</f>
        <v>8482.7158313855089</v>
      </c>
      <c r="I1443" s="7">
        <f t="shared" si="47"/>
        <v>318059.71583138552</v>
      </c>
      <c r="J1443">
        <f>IFERROR(VLOOKUP(F1443,'LEAID Match'!$A$2:$B$227,2,FALSE),"")</f>
        <v>3817170</v>
      </c>
      <c r="K1443">
        <f t="shared" si="46"/>
        <v>8</v>
      </c>
      <c r="L1443" cm="1">
        <f t="array" ref="L1443">_xlfn.IFS(B1443=2015,G1443/$P$13,B1443=2016,G1443/$P$14,B1443=2017,G1443/$P$15,B1443=2018,G1443/$P$16,B1443=2019,G1443/$P$17,B1443=2019,G1443/$P$18,B1443=2020,G1443/$P$18,B1443=2021,G1443/$P$19,B1443=2022,G1443/$P$20)</f>
        <v>3.5716698237412666E-3</v>
      </c>
    </row>
    <row r="1444" spans="1:12" x14ac:dyDescent="0.2">
      <c r="A1444">
        <v>3817170</v>
      </c>
      <c r="B1444">
        <v>2019</v>
      </c>
      <c r="C1444" t="s">
        <v>252</v>
      </c>
      <c r="D1444" t="s">
        <v>254</v>
      </c>
      <c r="E1444" t="s">
        <v>256</v>
      </c>
      <c r="F1444" s="5" t="s">
        <v>234</v>
      </c>
      <c r="G1444" s="7">
        <v>326104</v>
      </c>
      <c r="H1444" s="7" cm="1">
        <f t="array" ref="H1444">_xlfn.IFS(B1444=2015,L1444*$P$3,B1444=2016,L1444*$P$4,B1444=2017,L1444*$P$5,B1444=2018,L1444*$P$6,B1444=2019,L1444*$P$7,B1444=2020,L1444*$P$8,B1444=2021,L1444*$P$9,B1444=2022,L1444*$P$10)</f>
        <v>7568.816728246491</v>
      </c>
      <c r="I1444" s="7">
        <f t="shared" si="47"/>
        <v>333672.81672824651</v>
      </c>
      <c r="J1444">
        <f>IFERROR(VLOOKUP(F1444,'LEAID Match'!$A$2:$B$227,2,FALSE),"")</f>
        <v>3817170</v>
      </c>
      <c r="K1444">
        <f t="shared" si="46"/>
        <v>8</v>
      </c>
      <c r="L1444" cm="1">
        <f t="array" ref="L1444">_xlfn.IFS(B1444=2015,G1444/$P$13,B1444=2016,G1444/$P$14,B1444=2017,G1444/$P$15,B1444=2018,G1444/$P$16,B1444=2019,G1444/$P$17,B1444=2019,G1444/$P$18,B1444=2020,G1444/$P$18,B1444=2021,G1444/$P$19,B1444=2022,G1444/$P$20)</f>
        <v>3.6458654760339552E-3</v>
      </c>
    </row>
    <row r="1445" spans="1:12" x14ac:dyDescent="0.2">
      <c r="A1445">
        <v>3817170</v>
      </c>
      <c r="B1445">
        <v>2020</v>
      </c>
      <c r="C1445" t="s">
        <v>252</v>
      </c>
      <c r="D1445" t="s">
        <v>254</v>
      </c>
      <c r="E1445" t="s">
        <v>256</v>
      </c>
      <c r="F1445" s="5" t="s">
        <v>234</v>
      </c>
      <c r="G1445" s="7">
        <v>348137</v>
      </c>
      <c r="H1445" s="7" cm="1">
        <f t="array" ref="H1445">_xlfn.IFS(B1445=2015,L1445*$P$3,B1445=2016,L1445*$P$4,B1445=2017,L1445*$P$5,B1445=2018,L1445*$P$6,B1445=2019,L1445*$P$7,B1445=2020,L1445*$P$8,B1445=2021,L1445*$P$9,B1445=2022,L1445*$P$10)</f>
        <v>8734.0673939841508</v>
      </c>
      <c r="I1445" s="7">
        <f t="shared" si="47"/>
        <v>356871.06739398418</v>
      </c>
      <c r="J1445">
        <f>IFERROR(VLOOKUP(F1445,'LEAID Match'!$A$2:$B$227,2,FALSE),"")</f>
        <v>3817170</v>
      </c>
      <c r="K1445">
        <f t="shared" si="46"/>
        <v>8</v>
      </c>
      <c r="L1445" cm="1">
        <f t="array" ref="L1445">_xlfn.IFS(B1445=2015,G1445/$P$13,B1445=2016,G1445/$P$14,B1445=2017,G1445/$P$15,B1445=2018,G1445/$P$16,B1445=2019,G1445/$P$17,B1445=2019,G1445/$P$18,B1445=2020,G1445/$P$18,B1445=2021,G1445/$P$19,B1445=2022,G1445/$P$20)</f>
        <v>3.742102568116603E-3</v>
      </c>
    </row>
    <row r="1446" spans="1:12" x14ac:dyDescent="0.2">
      <c r="A1446">
        <v>3817170</v>
      </c>
      <c r="B1446" s="5">
        <v>2021</v>
      </c>
      <c r="C1446" t="s">
        <v>252</v>
      </c>
      <c r="D1446" t="s">
        <v>254</v>
      </c>
      <c r="E1446" t="s">
        <v>256</v>
      </c>
      <c r="F1446" s="5" t="s">
        <v>234</v>
      </c>
      <c r="G1446" s="7">
        <v>376982</v>
      </c>
      <c r="H1446" s="7" cm="1">
        <f t="array" ref="H1446">_xlfn.IFS(B1446=2015,L1446*$P$3,B1446=2016,L1446*$P$4,B1446=2017,L1446*$P$5,B1446=2018,L1446*$P$6,B1446=2019,L1446*$P$7,B1446=2020,L1446*$P$8,B1446=2021,L1446*$P$9,B1446=2022,L1446*$P$10)</f>
        <v>10300.766791928285</v>
      </c>
      <c r="I1446" s="7">
        <f t="shared" si="47"/>
        <v>387282.76679192827</v>
      </c>
      <c r="J1446">
        <f>IFERROR(VLOOKUP(F1446,'LEAID Match'!$A$2:$B$227,2,FALSE),"")</f>
        <v>3817170</v>
      </c>
      <c r="K1446">
        <f t="shared" si="46"/>
        <v>8</v>
      </c>
      <c r="L1446" cm="1">
        <f t="array" ref="L1446">_xlfn.IFS(B1446=2015,G1446/$P$13,B1446=2016,G1446/$P$14,B1446=2017,G1446/$P$15,B1446=2018,G1446/$P$16,B1446=2019,G1446/$P$17,B1446=2019,G1446/$P$18,B1446=2020,G1446/$P$18,B1446=2021,G1446/$P$19,B1446=2022,G1446/$P$20)</f>
        <v>3.8364122130086719E-3</v>
      </c>
    </row>
    <row r="1447" spans="1:12" x14ac:dyDescent="0.2">
      <c r="A1447">
        <v>3817170</v>
      </c>
      <c r="B1447">
        <v>2022</v>
      </c>
      <c r="C1447" t="s">
        <v>252</v>
      </c>
      <c r="D1447" t="s">
        <v>254</v>
      </c>
      <c r="E1447" t="s">
        <v>256</v>
      </c>
      <c r="F1447" s="5" t="s">
        <v>234</v>
      </c>
      <c r="G1447" s="7">
        <v>380678</v>
      </c>
      <c r="H1447" s="7" cm="1">
        <f t="array" ref="H1447">_xlfn.IFS(B1447=2015,L1447*$P$3,B1447=2016,L1447*$P$4,B1447=2017,L1447*$P$5,B1447=2018,L1447*$P$6,B1447=2019,L1447*$P$7,B1447=2020,L1447*$P$8,B1447=2021,L1447*$P$9,B1447=2022,L1447*$P$10)</f>
        <v>7747.7729791001302</v>
      </c>
      <c r="I1447" s="7">
        <f t="shared" si="47"/>
        <v>388425.77297910012</v>
      </c>
      <c r="J1447">
        <f>IFERROR(VLOOKUP(F1447,'LEAID Match'!$A$2:$B$227,2,FALSE),"")</f>
        <v>3817170</v>
      </c>
      <c r="K1447">
        <f t="shared" si="46"/>
        <v>8</v>
      </c>
      <c r="L1447" cm="1">
        <f t="array" ref="L1447">_xlfn.IFS(B1447=2015,G1447/$P$13,B1447=2016,G1447/$P$14,B1447=2017,G1447/$P$15,B1447=2018,G1447/$P$16,B1447=2019,G1447/$P$17,B1447=2019,G1447/$P$18,B1447=2020,G1447/$P$18,B1447=2021,G1447/$P$19,B1447=2022,G1447/$P$20)</f>
        <v>3.7942081190500149E-3</v>
      </c>
    </row>
    <row r="1448" spans="1:12" x14ac:dyDescent="0.2">
      <c r="A1448">
        <v>3880520</v>
      </c>
      <c r="B1448">
        <v>2015</v>
      </c>
      <c r="C1448" t="s">
        <v>252</v>
      </c>
      <c r="D1448" t="s">
        <v>254</v>
      </c>
      <c r="E1448" t="s">
        <v>256</v>
      </c>
      <c r="F1448" s="5" t="s">
        <v>144</v>
      </c>
      <c r="G1448" s="7">
        <v>89231</v>
      </c>
      <c r="H1448" s="7" cm="1">
        <f t="array" ref="H1448">_xlfn.IFS(B1448=2015,L1448*$P$3,B1448=2016,L1448*$P$4,B1448=2017,L1448*$P$5,B1448=2018,L1448*$P$6,B1448=2019,L1448*$P$7,B1448=2020,L1448*$P$8,B1448=2021,L1448*$P$9,B1448=2022,L1448*$P$10)</f>
        <v>2017.372182076226</v>
      </c>
      <c r="I1448" s="7">
        <f t="shared" si="47"/>
        <v>91248.372182076229</v>
      </c>
      <c r="J1448">
        <f>IFERROR(VLOOKUP(F1448,'LEAID Match'!$A$2:$B$227,2,FALSE),"")</f>
        <v>3880520</v>
      </c>
      <c r="K1448">
        <f t="shared" si="46"/>
        <v>8</v>
      </c>
      <c r="L1448" cm="1">
        <f t="array" ref="L1448">_xlfn.IFS(B1448=2015,G1448/$P$13,B1448=2016,G1448/$P$14,B1448=2017,G1448/$P$15,B1448=2018,G1448/$P$16,B1448=2019,G1448/$P$17,B1448=2019,G1448/$P$18,B1448=2020,G1448/$P$18,B1448=2021,G1448/$P$19,B1448=2022,G1448/$P$20)</f>
        <v>1.1378297699245494E-3</v>
      </c>
    </row>
    <row r="1449" spans="1:12" x14ac:dyDescent="0.2">
      <c r="A1449">
        <v>3880520</v>
      </c>
      <c r="B1449">
        <v>2016</v>
      </c>
      <c r="C1449" t="s">
        <v>252</v>
      </c>
      <c r="D1449" t="s">
        <v>254</v>
      </c>
      <c r="E1449" t="s">
        <v>256</v>
      </c>
      <c r="F1449" s="5" t="s">
        <v>144</v>
      </c>
      <c r="G1449" s="7">
        <v>55339</v>
      </c>
      <c r="H1449" s="7" cm="1">
        <f t="array" ref="H1449">_xlfn.IFS(B1449=2015,L1449*$P$3,B1449=2016,L1449*$P$4,B1449=2017,L1449*$P$5,B1449=2018,L1449*$P$6,B1449=2019,L1449*$P$7,B1449=2020,L1449*$P$8,B1449=2021,L1449*$P$9,B1449=2022,L1449*$P$10)</f>
        <v>1879.1494044098129</v>
      </c>
      <c r="I1449" s="7">
        <f t="shared" si="47"/>
        <v>57218.149404409814</v>
      </c>
      <c r="J1449">
        <f>IFERROR(VLOOKUP(F1449,'LEAID Match'!$A$2:$B$227,2,FALSE),"")</f>
        <v>3880520</v>
      </c>
      <c r="K1449">
        <f t="shared" si="46"/>
        <v>8</v>
      </c>
      <c r="L1449" cm="1">
        <f t="array" ref="L1449">_xlfn.IFS(B1449=2015,G1449/$P$13,B1449=2016,G1449/$P$14,B1449=2017,G1449/$P$15,B1449=2018,G1449/$P$16,B1449=2019,G1449/$P$17,B1449=2019,G1449/$P$18,B1449=2020,G1449/$P$18,B1449=2021,G1449/$P$19,B1449=2022,G1449/$P$20)</f>
        <v>6.6802325076779695E-4</v>
      </c>
    </row>
    <row r="1450" spans="1:12" x14ac:dyDescent="0.2">
      <c r="A1450">
        <v>3880520</v>
      </c>
      <c r="B1450">
        <v>2017</v>
      </c>
      <c r="C1450" t="s">
        <v>252</v>
      </c>
      <c r="D1450" t="s">
        <v>254</v>
      </c>
      <c r="E1450" t="s">
        <v>256</v>
      </c>
      <c r="F1450" s="5" t="s">
        <v>144</v>
      </c>
      <c r="G1450" s="7">
        <v>49952</v>
      </c>
      <c r="H1450" s="7" cm="1">
        <f t="array" ref="H1450">_xlfn.IFS(B1450=2015,L1450*$P$3,B1450=2016,L1450*$P$4,B1450=2017,L1450*$P$5,B1450=2018,L1450*$P$6,B1450=2019,L1450*$P$7,B1450=2020,L1450*$P$8,B1450=2021,L1450*$P$9,B1450=2022,L1450*$P$10)</f>
        <v>1618.8469513012274</v>
      </c>
      <c r="I1450" s="7">
        <f t="shared" si="47"/>
        <v>51570.846951301224</v>
      </c>
      <c r="J1450">
        <f>IFERROR(VLOOKUP(F1450,'LEAID Match'!$A$2:$B$227,2,FALSE),"")</f>
        <v>3880520</v>
      </c>
      <c r="K1450">
        <f t="shared" si="46"/>
        <v>8</v>
      </c>
      <c r="L1450" cm="1">
        <f t="array" ref="L1450">_xlfn.IFS(B1450=2015,G1450/$P$13,B1450=2016,G1450/$P$14,B1450=2017,G1450/$P$15,B1450=2018,G1450/$P$16,B1450=2019,G1450/$P$17,B1450=2019,G1450/$P$18,B1450=2020,G1450/$P$18,B1450=2021,G1450/$P$19,B1450=2022,G1450/$P$20)</f>
        <v>5.8043992517075205E-4</v>
      </c>
    </row>
    <row r="1451" spans="1:12" x14ac:dyDescent="0.2">
      <c r="A1451">
        <v>3880520</v>
      </c>
      <c r="B1451" s="5">
        <v>2018</v>
      </c>
      <c r="C1451" t="s">
        <v>252</v>
      </c>
      <c r="D1451" t="s">
        <v>254</v>
      </c>
      <c r="E1451" t="s">
        <v>256</v>
      </c>
      <c r="F1451" s="5" t="s">
        <v>144</v>
      </c>
      <c r="G1451" s="7">
        <v>61833</v>
      </c>
      <c r="H1451" s="7" cm="1">
        <f t="array" ref="H1451">_xlfn.IFS(B1451=2015,L1451*$P$3,B1451=2016,L1451*$P$4,B1451=2017,L1451*$P$5,B1451=2018,L1451*$P$6,B1451=2019,L1451*$P$7,B1451=2020,L1451*$P$8,B1451=2021,L1451*$P$9,B1451=2022,L1451*$P$10)</f>
        <v>1694.2853248208364</v>
      </c>
      <c r="I1451" s="7">
        <f t="shared" si="47"/>
        <v>63527.285324820834</v>
      </c>
      <c r="J1451">
        <f>IFERROR(VLOOKUP(F1451,'LEAID Match'!$A$2:$B$227,2,FALSE),"")</f>
        <v>3880520</v>
      </c>
      <c r="K1451">
        <f t="shared" si="46"/>
        <v>8</v>
      </c>
      <c r="L1451" cm="1">
        <f t="array" ref="L1451">_xlfn.IFS(B1451=2015,G1451/$P$13,B1451=2016,G1451/$P$14,B1451=2017,G1451/$P$15,B1451=2018,G1451/$P$16,B1451=2019,G1451/$P$17,B1451=2019,G1451/$P$18,B1451=2020,G1451/$P$18,B1451=2021,G1451/$P$19,B1451=2022,G1451/$P$20)</f>
        <v>7.1338329466140481E-4</v>
      </c>
    </row>
    <row r="1452" spans="1:12" x14ac:dyDescent="0.2">
      <c r="A1452">
        <v>3880520</v>
      </c>
      <c r="B1452">
        <v>2019</v>
      </c>
      <c r="C1452" t="s">
        <v>252</v>
      </c>
      <c r="D1452" t="s">
        <v>254</v>
      </c>
      <c r="E1452" t="s">
        <v>256</v>
      </c>
      <c r="F1452" s="5" t="s">
        <v>144</v>
      </c>
      <c r="G1452" s="7">
        <v>63299</v>
      </c>
      <c r="H1452" s="7" cm="1">
        <f t="array" ref="H1452">_xlfn.IFS(B1452=2015,L1452*$P$3,B1452=2016,L1452*$P$4,B1452=2017,L1452*$P$5,B1452=2018,L1452*$P$6,B1452=2019,L1452*$P$7,B1452=2020,L1452*$P$8,B1452=2021,L1452*$P$9,B1452=2022,L1452*$P$10)</f>
        <v>1469.1587042209683</v>
      </c>
      <c r="I1452" s="7">
        <f t="shared" si="47"/>
        <v>64768.158704220965</v>
      </c>
      <c r="J1452">
        <f>IFERROR(VLOOKUP(F1452,'LEAID Match'!$A$2:$B$227,2,FALSE),"")</f>
        <v>3880520</v>
      </c>
      <c r="K1452">
        <f t="shared" si="46"/>
        <v>8</v>
      </c>
      <c r="L1452" cm="1">
        <f t="array" ref="L1452">_xlfn.IFS(B1452=2015,G1452/$P$13,B1452=2016,G1452/$P$14,B1452=2017,G1452/$P$15,B1452=2018,G1452/$P$16,B1452=2019,G1452/$P$17,B1452=2019,G1452/$P$18,B1452=2020,G1452/$P$18,B1452=2021,G1452/$P$19,B1452=2022,G1452/$P$20)</f>
        <v>7.0768723710065912E-4</v>
      </c>
    </row>
    <row r="1453" spans="1:12" x14ac:dyDescent="0.2">
      <c r="A1453">
        <v>3880520</v>
      </c>
      <c r="B1453">
        <v>2020</v>
      </c>
      <c r="C1453" t="s">
        <v>252</v>
      </c>
      <c r="D1453" t="s">
        <v>254</v>
      </c>
      <c r="E1453" t="s">
        <v>256</v>
      </c>
      <c r="F1453" s="5" t="s">
        <v>144</v>
      </c>
      <c r="G1453" s="7">
        <v>57333</v>
      </c>
      <c r="H1453" s="7" cm="1">
        <f t="array" ref="H1453">_xlfn.IFS(B1453=2015,L1453*$P$3,B1453=2016,L1453*$P$4,B1453=2017,L1453*$P$5,B1453=2018,L1453*$P$6,B1453=2019,L1453*$P$7,B1453=2020,L1453*$P$8,B1453=2021,L1453*$P$9,B1453=2022,L1453*$P$10)</f>
        <v>1438.3713477719787</v>
      </c>
      <c r="I1453" s="7">
        <f t="shared" si="47"/>
        <v>58771.371347771979</v>
      </c>
      <c r="J1453">
        <f>IFERROR(VLOOKUP(F1453,'LEAID Match'!$A$2:$B$227,2,FALSE),"")</f>
        <v>3880520</v>
      </c>
      <c r="K1453">
        <f t="shared" si="46"/>
        <v>8</v>
      </c>
      <c r="L1453" cm="1">
        <f t="array" ref="L1453">_xlfn.IFS(B1453=2015,G1453/$P$13,B1453=2016,G1453/$P$14,B1453=2017,G1453/$P$15,B1453=2018,G1453/$P$16,B1453=2019,G1453/$P$17,B1453=2019,G1453/$P$18,B1453=2020,G1453/$P$18,B1453=2021,G1453/$P$19,B1453=2022,G1453/$P$20)</f>
        <v>6.1626878653469523E-4</v>
      </c>
    </row>
    <row r="1454" spans="1:12" x14ac:dyDescent="0.2">
      <c r="A1454">
        <v>3880520</v>
      </c>
      <c r="B1454" s="5">
        <v>2021</v>
      </c>
      <c r="C1454" t="s">
        <v>252</v>
      </c>
      <c r="D1454" t="s">
        <v>254</v>
      </c>
      <c r="E1454" t="s">
        <v>256</v>
      </c>
      <c r="F1454" s="5" t="s">
        <v>144</v>
      </c>
      <c r="G1454" s="7">
        <v>61023</v>
      </c>
      <c r="H1454" s="7" cm="1">
        <f t="array" ref="H1454">_xlfn.IFS(B1454=2015,L1454*$P$3,B1454=2016,L1454*$P$4,B1454=2017,L1454*$P$5,B1454=2018,L1454*$P$6,B1454=2019,L1454*$P$7,B1454=2020,L1454*$P$8,B1454=2021,L1454*$P$9,B1454=2022,L1454*$P$10)</f>
        <v>1667.4103589663159</v>
      </c>
      <c r="I1454" s="7">
        <f t="shared" si="47"/>
        <v>62690.410358966314</v>
      </c>
      <c r="J1454">
        <f>IFERROR(VLOOKUP(F1454,'LEAID Match'!$A$2:$B$227,2,FALSE),"")</f>
        <v>3880520</v>
      </c>
      <c r="K1454">
        <f t="shared" si="46"/>
        <v>8</v>
      </c>
      <c r="L1454" cm="1">
        <f t="array" ref="L1454">_xlfn.IFS(B1454=2015,G1454/$P$13,B1454=2016,G1454/$P$14,B1454=2017,G1454/$P$15,B1454=2018,G1454/$P$16,B1454=2019,G1454/$P$17,B1454=2019,G1454/$P$18,B1454=2020,G1454/$P$18,B1454=2021,G1454/$P$19,B1454=2022,G1454/$P$20)</f>
        <v>6.2100944468019214E-4</v>
      </c>
    </row>
    <row r="1455" spans="1:12" x14ac:dyDescent="0.2">
      <c r="A1455">
        <v>3880520</v>
      </c>
      <c r="B1455">
        <v>2022</v>
      </c>
      <c r="C1455" t="s">
        <v>252</v>
      </c>
      <c r="D1455" t="s">
        <v>254</v>
      </c>
      <c r="E1455" t="s">
        <v>256</v>
      </c>
      <c r="F1455" s="5" t="s">
        <v>144</v>
      </c>
      <c r="G1455" s="7">
        <v>68011</v>
      </c>
      <c r="H1455" s="7" cm="1">
        <f t="array" ref="H1455">_xlfn.IFS(B1455=2015,L1455*$P$3,B1455=2016,L1455*$P$4,B1455=2017,L1455*$P$5,B1455=2018,L1455*$P$6,B1455=2019,L1455*$P$7,B1455=2020,L1455*$P$8,B1455=2021,L1455*$P$9,B1455=2022,L1455*$P$10)</f>
        <v>1384.1981624406426</v>
      </c>
      <c r="I1455" s="7">
        <f t="shared" si="47"/>
        <v>69395.198162440647</v>
      </c>
      <c r="J1455">
        <f>IFERROR(VLOOKUP(F1455,'LEAID Match'!$A$2:$B$227,2,FALSE),"")</f>
        <v>3880520</v>
      </c>
      <c r="K1455">
        <f t="shared" si="46"/>
        <v>8</v>
      </c>
      <c r="L1455" cm="1">
        <f t="array" ref="L1455">_xlfn.IFS(B1455=2015,G1455/$P$13,B1455=2016,G1455/$P$14,B1455=2017,G1455/$P$15,B1455=2018,G1455/$P$16,B1455=2019,G1455/$P$17,B1455=2019,G1455/$P$18,B1455=2020,G1455/$P$18,B1455=2021,G1455/$P$19,B1455=2022,G1455/$P$20)</f>
        <v>6.7786393851157814E-4</v>
      </c>
    </row>
    <row r="1456" spans="1:12" x14ac:dyDescent="0.2">
      <c r="A1456">
        <v>3880240</v>
      </c>
      <c r="B1456">
        <v>2015</v>
      </c>
      <c r="C1456" t="s">
        <v>252</v>
      </c>
      <c r="D1456" t="s">
        <v>254</v>
      </c>
      <c r="E1456" t="s">
        <v>256</v>
      </c>
      <c r="F1456" s="5" t="s">
        <v>145</v>
      </c>
      <c r="G1456" s="7">
        <v>7690</v>
      </c>
      <c r="H1456" s="7" cm="1">
        <f t="array" ref="H1456">_xlfn.IFS(B1456=2015,L1456*$P$3,B1456=2016,L1456*$P$4,B1456=2017,L1456*$P$5,B1456=2018,L1456*$P$6,B1456=2019,L1456*$P$7,B1456=2020,L1456*$P$8,B1456=2021,L1456*$P$9,B1456=2022,L1456*$P$10)</f>
        <v>173.85877195331418</v>
      </c>
      <c r="I1456" s="7">
        <f t="shared" si="47"/>
        <v>7863.8587719533143</v>
      </c>
      <c r="J1456">
        <f>IFERROR(VLOOKUP(F1456,'LEAID Match'!$A$2:$B$227,2,FALSE),"")</f>
        <v>3880240</v>
      </c>
      <c r="K1456">
        <f t="shared" si="46"/>
        <v>8</v>
      </c>
      <c r="L1456" cm="1">
        <f t="array" ref="L1456">_xlfn.IFS(B1456=2015,G1456/$P$13,B1456=2016,G1456/$P$14,B1456=2017,G1456/$P$15,B1456=2018,G1456/$P$16,B1456=2019,G1456/$P$17,B1456=2019,G1456/$P$18,B1456=2020,G1456/$P$18,B1456=2021,G1456/$P$19,B1456=2022,G1456/$P$20)</f>
        <v>9.8059093036274218E-5</v>
      </c>
    </row>
    <row r="1457" spans="1:12" x14ac:dyDescent="0.2">
      <c r="A1457">
        <v>3880240</v>
      </c>
      <c r="B1457">
        <v>2016</v>
      </c>
      <c r="C1457" t="s">
        <v>252</v>
      </c>
      <c r="D1457" t="s">
        <v>254</v>
      </c>
      <c r="E1457" t="s">
        <v>256</v>
      </c>
      <c r="F1457" s="5" t="s">
        <v>145</v>
      </c>
      <c r="G1457" s="7">
        <v>8075</v>
      </c>
      <c r="H1457" s="7" cm="1">
        <f t="array" ref="H1457">_xlfn.IFS(B1457=2015,L1457*$P$3,B1457=2016,L1457*$P$4,B1457=2017,L1457*$P$5,B1457=2018,L1457*$P$6,B1457=2019,L1457*$P$7,B1457=2020,L1457*$P$8,B1457=2021,L1457*$P$9,B1457=2022,L1457*$P$10)</f>
        <v>274.20321004371669</v>
      </c>
      <c r="I1457" s="7">
        <f t="shared" si="47"/>
        <v>8349.2032100437173</v>
      </c>
      <c r="J1457">
        <f>IFERROR(VLOOKUP(F1457,'LEAID Match'!$A$2:$B$227,2,FALSE),"")</f>
        <v>3880240</v>
      </c>
      <c r="K1457">
        <f t="shared" si="46"/>
        <v>8</v>
      </c>
      <c r="L1457" cm="1">
        <f t="array" ref="L1457">_xlfn.IFS(B1457=2015,G1457/$P$13,B1457=2016,G1457/$P$14,B1457=2017,G1457/$P$15,B1457=2018,G1457/$P$16,B1457=2019,G1457/$P$17,B1457=2019,G1457/$P$18,B1457=2020,G1457/$P$18,B1457=2021,G1457/$P$19,B1457=2022,G1457/$P$20)</f>
        <v>9.7477145411914933E-5</v>
      </c>
    </row>
    <row r="1458" spans="1:12" x14ac:dyDescent="0.2">
      <c r="A1458">
        <v>3880240</v>
      </c>
      <c r="B1458">
        <v>2017</v>
      </c>
      <c r="C1458" t="s">
        <v>252</v>
      </c>
      <c r="D1458" t="s">
        <v>254</v>
      </c>
      <c r="E1458" t="s">
        <v>256</v>
      </c>
      <c r="F1458" s="5" t="s">
        <v>145</v>
      </c>
      <c r="G1458" s="7">
        <v>8522</v>
      </c>
      <c r="H1458" s="7" cm="1">
        <f t="array" ref="H1458">_xlfn.IFS(B1458=2015,L1458*$P$3,B1458=2016,L1458*$P$4,B1458=2017,L1458*$P$5,B1458=2018,L1458*$P$6,B1458=2019,L1458*$P$7,B1458=2020,L1458*$P$8,B1458=2021,L1458*$P$9,B1458=2022,L1458*$P$10)</f>
        <v>276.1814085319719</v>
      </c>
      <c r="I1458" s="7">
        <f t="shared" si="47"/>
        <v>8798.1814085319711</v>
      </c>
      <c r="J1458">
        <f>IFERROR(VLOOKUP(F1458,'LEAID Match'!$A$2:$B$227,2,FALSE),"")</f>
        <v>3880240</v>
      </c>
      <c r="K1458">
        <f t="shared" si="46"/>
        <v>8</v>
      </c>
      <c r="L1458" cm="1">
        <f t="array" ref="L1458">_xlfn.IFS(B1458=2015,G1458/$P$13,B1458=2016,G1458/$P$14,B1458=2017,G1458/$P$15,B1458=2018,G1458/$P$16,B1458=2019,G1458/$P$17,B1458=2019,G1458/$P$18,B1458=2020,G1458/$P$18,B1458=2021,G1458/$P$19,B1458=2022,G1458/$P$20)</f>
        <v>9.9025245081381101E-5</v>
      </c>
    </row>
    <row r="1459" spans="1:12" x14ac:dyDescent="0.2">
      <c r="A1459">
        <v>3880240</v>
      </c>
      <c r="B1459" s="5">
        <v>2018</v>
      </c>
      <c r="C1459" t="s">
        <v>252</v>
      </c>
      <c r="D1459" t="s">
        <v>254</v>
      </c>
      <c r="E1459" t="s">
        <v>256</v>
      </c>
      <c r="F1459" s="5" t="s">
        <v>145</v>
      </c>
      <c r="G1459" s="7">
        <v>8585</v>
      </c>
      <c r="H1459" s="7" cm="1">
        <f t="array" ref="H1459">_xlfn.IFS(B1459=2015,L1459*$P$3,B1459=2016,L1459*$P$4,B1459=2017,L1459*$P$5,B1459=2018,L1459*$P$6,B1459=2019,L1459*$P$7,B1459=2020,L1459*$P$8,B1459=2021,L1459*$P$9,B1459=2022,L1459*$P$10)</f>
        <v>235.23748667518768</v>
      </c>
      <c r="I1459" s="7">
        <f t="shared" si="47"/>
        <v>8820.237486675187</v>
      </c>
      <c r="J1459">
        <f>IFERROR(VLOOKUP(F1459,'LEAID Match'!$A$2:$B$227,2,FALSE),"")</f>
        <v>3880240</v>
      </c>
      <c r="K1459">
        <f t="shared" si="46"/>
        <v>8</v>
      </c>
      <c r="L1459" cm="1">
        <f t="array" ref="L1459">_xlfn.IFS(B1459=2015,G1459/$P$13,B1459=2016,G1459/$P$14,B1459=2017,G1459/$P$15,B1459=2018,G1459/$P$16,B1459=2019,G1459/$P$17,B1459=2019,G1459/$P$18,B1459=2020,G1459/$P$18,B1459=2021,G1459/$P$19,B1459=2022,G1459/$P$20)</f>
        <v>9.9047362810605346E-5</v>
      </c>
    </row>
    <row r="1460" spans="1:12" x14ac:dyDescent="0.2">
      <c r="A1460">
        <v>3880240</v>
      </c>
      <c r="B1460">
        <v>2019</v>
      </c>
      <c r="C1460" t="s">
        <v>252</v>
      </c>
      <c r="D1460" t="s">
        <v>254</v>
      </c>
      <c r="E1460" t="s">
        <v>256</v>
      </c>
      <c r="F1460" s="5" t="s">
        <v>145</v>
      </c>
      <c r="G1460" s="7">
        <v>8777</v>
      </c>
      <c r="H1460" s="7" cm="1">
        <f t="array" ref="H1460">_xlfn.IFS(B1460=2015,L1460*$P$3,B1460=2016,L1460*$P$4,B1460=2017,L1460*$P$5,B1460=2018,L1460*$P$6,B1460=2019,L1460*$P$7,B1460=2020,L1460*$P$8,B1460=2021,L1460*$P$9,B1460=2022,L1460*$P$10)</f>
        <v>203.71263285276922</v>
      </c>
      <c r="I1460" s="7">
        <f t="shared" si="47"/>
        <v>8980.7126328527684</v>
      </c>
      <c r="J1460">
        <f>IFERROR(VLOOKUP(F1460,'LEAID Match'!$A$2:$B$227,2,FALSE),"")</f>
        <v>3880240</v>
      </c>
      <c r="K1460">
        <f t="shared" si="46"/>
        <v>8</v>
      </c>
      <c r="L1460" cm="1">
        <f t="array" ref="L1460">_xlfn.IFS(B1460=2015,G1460/$P$13,B1460=2016,G1460/$P$14,B1460=2017,G1460/$P$15,B1460=2018,G1460/$P$16,B1460=2019,G1460/$P$17,B1460=2019,G1460/$P$18,B1460=2020,G1460/$P$18,B1460=2021,G1460/$P$19,B1460=2022,G1460/$P$20)</f>
        <v>9.8127472472432181E-5</v>
      </c>
    </row>
    <row r="1461" spans="1:12" x14ac:dyDescent="0.2">
      <c r="A1461">
        <v>3880240</v>
      </c>
      <c r="B1461">
        <v>2020</v>
      </c>
      <c r="C1461" t="s">
        <v>252</v>
      </c>
      <c r="D1461" t="s">
        <v>254</v>
      </c>
      <c r="E1461" t="s">
        <v>256</v>
      </c>
      <c r="F1461" s="5" t="s">
        <v>145</v>
      </c>
      <c r="G1461" s="7">
        <v>9414</v>
      </c>
      <c r="H1461" s="7" cm="1">
        <f t="array" ref="H1461">_xlfn.IFS(B1461=2015,L1461*$P$3,B1461=2016,L1461*$P$4,B1461=2017,L1461*$P$5,B1461=2018,L1461*$P$6,B1461=2019,L1461*$P$7,B1461=2020,L1461*$P$8,B1461=2021,L1461*$P$9,B1461=2022,L1461*$P$10)</f>
        <v>236.17860338592797</v>
      </c>
      <c r="I1461" s="7">
        <f t="shared" si="47"/>
        <v>9650.178603385928</v>
      </c>
      <c r="J1461">
        <f>IFERROR(VLOOKUP(F1461,'LEAID Match'!$A$2:$B$227,2,FALSE),"")</f>
        <v>3880240</v>
      </c>
      <c r="K1461">
        <f t="shared" si="46"/>
        <v>8</v>
      </c>
      <c r="L1461" cm="1">
        <f t="array" ref="L1461">_xlfn.IFS(B1461=2015,G1461/$P$13,B1461=2016,G1461/$P$14,B1461=2017,G1461/$P$15,B1461=2018,G1461/$P$16,B1461=2019,G1461/$P$17,B1461=2019,G1461/$P$18,B1461=2020,G1461/$P$18,B1461=2021,G1461/$P$19,B1461=2022,G1461/$P$20)</f>
        <v>1.0119048988257411E-4</v>
      </c>
    </row>
    <row r="1462" spans="1:12" x14ac:dyDescent="0.2">
      <c r="A1462">
        <v>3880240</v>
      </c>
      <c r="B1462" s="5">
        <v>2021</v>
      </c>
      <c r="C1462" t="s">
        <v>252</v>
      </c>
      <c r="D1462" t="s">
        <v>254</v>
      </c>
      <c r="E1462" t="s">
        <v>256</v>
      </c>
      <c r="F1462" s="5" t="s">
        <v>145</v>
      </c>
      <c r="G1462" s="7">
        <v>8925</v>
      </c>
      <c r="H1462" s="7" cm="1">
        <f t="array" ref="H1462">_xlfn.IFS(B1462=2015,L1462*$P$3,B1462=2016,L1462*$P$4,B1462=2017,L1462*$P$5,B1462=2018,L1462*$P$6,B1462=2019,L1462*$P$7,B1462=2020,L1462*$P$8,B1462=2021,L1462*$P$9,B1462=2022,L1462*$P$10)</f>
        <v>243.86931900716726</v>
      </c>
      <c r="I1462" s="7">
        <f t="shared" si="47"/>
        <v>9168.8693190071681</v>
      </c>
      <c r="J1462">
        <f>IFERROR(VLOOKUP(F1462,'LEAID Match'!$A$2:$B$227,2,FALSE),"")</f>
        <v>3880240</v>
      </c>
      <c r="K1462">
        <f t="shared" si="46"/>
        <v>8</v>
      </c>
      <c r="L1462" cm="1">
        <f t="array" ref="L1462">_xlfn.IFS(B1462=2015,G1462/$P$13,B1462=2016,G1462/$P$14,B1462=2017,G1462/$P$15,B1462=2018,G1462/$P$16,B1462=2019,G1462/$P$17,B1462=2019,G1462/$P$18,B1462=2020,G1462/$P$18,B1462=2021,G1462/$P$19,B1462=2022,G1462/$P$20)</f>
        <v>9.0826562013842556E-5</v>
      </c>
    </row>
    <row r="1463" spans="1:12" x14ac:dyDescent="0.2">
      <c r="A1463">
        <v>3880240</v>
      </c>
      <c r="B1463">
        <v>2022</v>
      </c>
      <c r="C1463" t="s">
        <v>252</v>
      </c>
      <c r="D1463" t="s">
        <v>254</v>
      </c>
      <c r="E1463" t="s">
        <v>256</v>
      </c>
      <c r="F1463" s="5" t="s">
        <v>145</v>
      </c>
      <c r="G1463" s="7">
        <v>14866</v>
      </c>
      <c r="H1463" s="7" cm="1">
        <f t="array" ref="H1463">_xlfn.IFS(B1463=2015,L1463*$P$3,B1463=2016,L1463*$P$4,B1463=2017,L1463*$P$5,B1463=2018,L1463*$P$6,B1463=2019,L1463*$P$7,B1463=2020,L1463*$P$8,B1463=2021,L1463*$P$9,B1463=2022,L1463*$P$10)</f>
        <v>302.56120161213033</v>
      </c>
      <c r="I1463" s="7">
        <f t="shared" si="47"/>
        <v>15168.56120161213</v>
      </c>
      <c r="J1463">
        <f>IFERROR(VLOOKUP(F1463,'LEAID Match'!$A$2:$B$227,2,FALSE),"")</f>
        <v>3880240</v>
      </c>
      <c r="K1463">
        <f t="shared" si="46"/>
        <v>8</v>
      </c>
      <c r="L1463" cm="1">
        <f t="array" ref="L1463">_xlfn.IFS(B1463=2015,G1463/$P$13,B1463=2016,G1463/$P$14,B1463=2017,G1463/$P$15,B1463=2018,G1463/$P$16,B1463=2019,G1463/$P$17,B1463=2019,G1463/$P$18,B1463=2020,G1463/$P$18,B1463=2021,G1463/$P$19,B1463=2022,G1463/$P$20)</f>
        <v>1.4816905074051435E-4</v>
      </c>
    </row>
    <row r="1464" spans="1:12" x14ac:dyDescent="0.2">
      <c r="A1464">
        <v>3817460</v>
      </c>
      <c r="B1464">
        <v>2015</v>
      </c>
      <c r="C1464" t="s">
        <v>252</v>
      </c>
      <c r="D1464" t="s">
        <v>254</v>
      </c>
      <c r="E1464" t="s">
        <v>256</v>
      </c>
      <c r="F1464" s="5" t="s">
        <v>208</v>
      </c>
      <c r="G1464" s="7">
        <v>309705</v>
      </c>
      <c r="H1464" s="7" cm="1">
        <f t="array" ref="H1464">_xlfn.IFS(B1464=2015,L1464*$P$3,B1464=2016,L1464*$P$4,B1464=2017,L1464*$P$5,B1464=2018,L1464*$P$6,B1464=2019,L1464*$P$7,B1464=2020,L1464*$P$8,B1464=2021,L1464*$P$9,B1464=2022,L1464*$P$10)</f>
        <v>7001.94160829664</v>
      </c>
      <c r="I1464" s="7">
        <f t="shared" si="47"/>
        <v>316706.94160829665</v>
      </c>
      <c r="J1464">
        <f>IFERROR(VLOOKUP(F1464,'LEAID Match'!$A$2:$B$227,2,FALSE),"")</f>
        <v>3817460</v>
      </c>
      <c r="K1464">
        <f t="shared" si="46"/>
        <v>8</v>
      </c>
      <c r="L1464" cm="1">
        <f t="array" ref="L1464">_xlfn.IFS(B1464=2015,G1464/$P$13,B1464=2016,G1464/$P$14,B1464=2017,G1464/$P$15,B1464=2018,G1464/$P$16,B1464=2019,G1464/$P$17,B1464=2019,G1464/$P$18,B1464=2020,G1464/$P$18,B1464=2021,G1464/$P$19,B1464=2022,G1464/$P$20)</f>
        <v>3.9492056448373605E-3</v>
      </c>
    </row>
    <row r="1465" spans="1:12" x14ac:dyDescent="0.2">
      <c r="A1465">
        <v>3817460</v>
      </c>
      <c r="B1465">
        <v>2016</v>
      </c>
      <c r="C1465" t="s">
        <v>252</v>
      </c>
      <c r="D1465" t="s">
        <v>254</v>
      </c>
      <c r="E1465" t="s">
        <v>256</v>
      </c>
      <c r="F1465" s="5" t="s">
        <v>208</v>
      </c>
      <c r="G1465" s="7">
        <v>317732</v>
      </c>
      <c r="H1465" s="7" cm="1">
        <f t="array" ref="H1465">_xlfn.IFS(B1465=2015,L1465*$P$3,B1465=2016,L1465*$P$4,B1465=2017,L1465*$P$5,B1465=2018,L1465*$P$6,B1465=2019,L1465*$P$7,B1465=2020,L1465*$P$8,B1465=2021,L1465*$P$9,B1465=2022,L1465*$P$10)</f>
        <v>10789.242641933151</v>
      </c>
      <c r="I1465" s="7">
        <f t="shared" si="47"/>
        <v>328521.24264193315</v>
      </c>
      <c r="J1465">
        <f>IFERROR(VLOOKUP(F1465,'LEAID Match'!$A$2:$B$227,2,FALSE),"")</f>
        <v>3817460</v>
      </c>
      <c r="K1465">
        <f t="shared" si="46"/>
        <v>8</v>
      </c>
      <c r="L1465" cm="1">
        <f t="array" ref="L1465">_xlfn.IFS(B1465=2015,G1465/$P$13,B1465=2016,G1465/$P$14,B1465=2017,G1465/$P$15,B1465=2018,G1465/$P$16,B1465=2019,G1465/$P$17,B1465=2019,G1465/$P$18,B1465=2020,G1465/$P$18,B1465=2021,G1465/$P$19,B1465=2022,G1465/$P$20)</f>
        <v>3.8354932961013693E-3</v>
      </c>
    </row>
    <row r="1466" spans="1:12" x14ac:dyDescent="0.2">
      <c r="A1466">
        <v>3817460</v>
      </c>
      <c r="B1466">
        <v>2017</v>
      </c>
      <c r="C1466" t="s">
        <v>252</v>
      </c>
      <c r="D1466" t="s">
        <v>254</v>
      </c>
      <c r="E1466" t="s">
        <v>256</v>
      </c>
      <c r="F1466" s="5" t="s">
        <v>208</v>
      </c>
      <c r="G1466" s="7">
        <v>333611</v>
      </c>
      <c r="H1466" s="7" cm="1">
        <f t="array" ref="H1466">_xlfn.IFS(B1466=2015,L1466*$P$3,B1466=2016,L1466*$P$4,B1466=2017,L1466*$P$5,B1466=2018,L1466*$P$6,B1466=2019,L1466*$P$7,B1466=2020,L1466*$P$8,B1466=2021,L1466*$P$9,B1466=2022,L1466*$P$10)</f>
        <v>10811.682220342605</v>
      </c>
      <c r="I1466" s="7">
        <f t="shared" si="47"/>
        <v>344422.68222034263</v>
      </c>
      <c r="J1466">
        <f>IFERROR(VLOOKUP(F1466,'LEAID Match'!$A$2:$B$227,2,FALSE),"")</f>
        <v>3817460</v>
      </c>
      <c r="K1466">
        <f t="shared" si="46"/>
        <v>8</v>
      </c>
      <c r="L1466" cm="1">
        <f t="array" ref="L1466">_xlfn.IFS(B1466=2015,G1466/$P$13,B1466=2016,G1466/$P$14,B1466=2017,G1466/$P$15,B1466=2018,G1466/$P$16,B1466=2019,G1466/$P$17,B1466=2019,G1466/$P$18,B1466=2020,G1466/$P$18,B1466=2021,G1466/$P$19,B1466=2022,G1466/$P$20)</f>
        <v>3.8765443601084994E-3</v>
      </c>
    </row>
    <row r="1467" spans="1:12" x14ac:dyDescent="0.2">
      <c r="A1467">
        <v>3817460</v>
      </c>
      <c r="B1467" s="5">
        <v>2018</v>
      </c>
      <c r="C1467" t="s">
        <v>252</v>
      </c>
      <c r="D1467" t="s">
        <v>254</v>
      </c>
      <c r="E1467" t="s">
        <v>256</v>
      </c>
      <c r="F1467" s="5" t="s">
        <v>208</v>
      </c>
      <c r="G1467" s="7">
        <v>337027</v>
      </c>
      <c r="H1467" s="7" cm="1">
        <f t="array" ref="H1467">_xlfn.IFS(B1467=2015,L1467*$P$3,B1467=2016,L1467*$P$4,B1467=2017,L1467*$P$5,B1467=2018,L1467*$P$6,B1467=2019,L1467*$P$7,B1467=2020,L1467*$P$8,B1467=2021,L1467*$P$9,B1467=2022,L1467*$P$10)</f>
        <v>9234.8729669980767</v>
      </c>
      <c r="I1467" s="7">
        <f t="shared" si="47"/>
        <v>346261.87296699808</v>
      </c>
      <c r="J1467">
        <f>IFERROR(VLOOKUP(F1467,'LEAID Match'!$A$2:$B$227,2,FALSE),"")</f>
        <v>3817460</v>
      </c>
      <c r="K1467">
        <f t="shared" si="46"/>
        <v>8</v>
      </c>
      <c r="L1467" cm="1">
        <f t="array" ref="L1467">_xlfn.IFS(B1467=2015,G1467/$P$13,B1467=2016,G1467/$P$14,B1467=2017,G1467/$P$15,B1467=2018,G1467/$P$16,B1467=2019,G1467/$P$17,B1467=2019,G1467/$P$18,B1467=2020,G1467/$P$18,B1467=2021,G1467/$P$19,B1467=2022,G1467/$P$20)</f>
        <v>3.8883675650518215E-3</v>
      </c>
    </row>
    <row r="1468" spans="1:12" x14ac:dyDescent="0.2">
      <c r="A1468">
        <v>3817460</v>
      </c>
      <c r="B1468">
        <v>2019</v>
      </c>
      <c r="C1468" t="s">
        <v>252</v>
      </c>
      <c r="D1468" t="s">
        <v>254</v>
      </c>
      <c r="E1468" t="s">
        <v>256</v>
      </c>
      <c r="F1468" s="5" t="s">
        <v>208</v>
      </c>
      <c r="G1468" s="7">
        <v>355050</v>
      </c>
      <c r="H1468" s="7" cm="1">
        <f t="array" ref="H1468">_xlfn.IFS(B1468=2015,L1468*$P$3,B1468=2016,L1468*$P$4,B1468=2017,L1468*$P$5,B1468=2018,L1468*$P$6,B1468=2019,L1468*$P$7,B1468=2020,L1468*$P$8,B1468=2021,L1468*$P$9,B1468=2022,L1468*$P$10)</f>
        <v>8240.6483188305465</v>
      </c>
      <c r="I1468" s="7">
        <f t="shared" si="47"/>
        <v>363290.64831883053</v>
      </c>
      <c r="J1468">
        <f>IFERROR(VLOOKUP(F1468,'LEAID Match'!$A$2:$B$227,2,FALSE),"")</f>
        <v>3817460</v>
      </c>
      <c r="K1468">
        <f t="shared" si="46"/>
        <v>8</v>
      </c>
      <c r="L1468" cm="1">
        <f t="array" ref="L1468">_xlfn.IFS(B1468=2015,G1468/$P$13,B1468=2016,G1468/$P$14,B1468=2017,G1468/$P$15,B1468=2018,G1468/$P$16,B1468=2019,G1468/$P$17,B1468=2019,G1468/$P$18,B1468=2020,G1468/$P$18,B1468=2021,G1468/$P$19,B1468=2022,G1468/$P$20)</f>
        <v>3.969483775929936E-3</v>
      </c>
    </row>
    <row r="1469" spans="1:12" x14ac:dyDescent="0.2">
      <c r="A1469">
        <v>3817460</v>
      </c>
      <c r="B1469">
        <v>2020</v>
      </c>
      <c r="C1469" t="s">
        <v>252</v>
      </c>
      <c r="D1469" t="s">
        <v>254</v>
      </c>
      <c r="E1469" t="s">
        <v>256</v>
      </c>
      <c r="F1469" s="5" t="s">
        <v>208</v>
      </c>
      <c r="G1469" s="7">
        <v>404511</v>
      </c>
      <c r="H1469" s="7" cm="1">
        <f t="array" ref="H1469">_xlfn.IFS(B1469=2015,L1469*$P$3,B1469=2016,L1469*$P$4,B1469=2017,L1469*$P$5,B1469=2018,L1469*$P$6,B1469=2019,L1469*$P$7,B1469=2020,L1469*$P$8,B1469=2021,L1469*$P$9,B1469=2022,L1469*$P$10)</f>
        <v>10148.379332297121</v>
      </c>
      <c r="I1469" s="7">
        <f t="shared" si="47"/>
        <v>414659.37933229713</v>
      </c>
      <c r="J1469">
        <f>IFERROR(VLOOKUP(F1469,'LEAID Match'!$A$2:$B$227,2,FALSE),"")</f>
        <v>3817460</v>
      </c>
      <c r="K1469">
        <f t="shared" si="46"/>
        <v>8</v>
      </c>
      <c r="L1469" cm="1">
        <f t="array" ref="L1469">_xlfn.IFS(B1469=2015,G1469/$P$13,B1469=2016,G1469/$P$14,B1469=2017,G1469/$P$15,B1469=2018,G1469/$P$16,B1469=2019,G1469/$P$17,B1469=2019,G1469/$P$18,B1469=2020,G1469/$P$18,B1469=2021,G1469/$P$19,B1469=2022,G1469/$P$20)</f>
        <v>4.3480631243775153E-3</v>
      </c>
    </row>
    <row r="1470" spans="1:12" x14ac:dyDescent="0.2">
      <c r="A1470">
        <v>3817460</v>
      </c>
      <c r="B1470" s="5">
        <v>2021</v>
      </c>
      <c r="C1470" t="s">
        <v>252</v>
      </c>
      <c r="D1470" t="s">
        <v>254</v>
      </c>
      <c r="E1470" t="s">
        <v>256</v>
      </c>
      <c r="F1470" s="5" t="s">
        <v>208</v>
      </c>
      <c r="G1470" s="7">
        <v>462861</v>
      </c>
      <c r="H1470" s="7" cm="1">
        <f t="array" ref="H1470">_xlfn.IFS(B1470=2015,L1470*$P$3,B1470=2016,L1470*$P$4,B1470=2017,L1470*$P$5,B1470=2018,L1470*$P$6,B1470=2019,L1470*$P$7,B1470=2020,L1470*$P$8,B1470=2021,L1470*$P$9,B1470=2022,L1470*$P$10)</f>
        <v>12647.349788792881</v>
      </c>
      <c r="I1470" s="7">
        <f t="shared" si="47"/>
        <v>475508.3497887929</v>
      </c>
      <c r="J1470">
        <f>IFERROR(VLOOKUP(F1470,'LEAID Match'!$A$2:$B$227,2,FALSE),"")</f>
        <v>3817460</v>
      </c>
      <c r="K1470">
        <f t="shared" si="46"/>
        <v>8</v>
      </c>
      <c r="L1470" cm="1">
        <f t="array" ref="L1470">_xlfn.IFS(B1470=2015,G1470/$P$13,B1470=2016,G1470/$P$14,B1470=2017,G1470/$P$15,B1470=2018,G1470/$P$16,B1470=2019,G1470/$P$17,B1470=2019,G1470/$P$18,B1470=2020,G1470/$P$18,B1470=2021,G1470/$P$19,B1470=2022,G1470/$P$20)</f>
        <v>4.710372360816715E-3</v>
      </c>
    </row>
    <row r="1471" spans="1:12" x14ac:dyDescent="0.2">
      <c r="A1471">
        <v>3817460</v>
      </c>
      <c r="B1471">
        <v>2022</v>
      </c>
      <c r="C1471" t="s">
        <v>252</v>
      </c>
      <c r="D1471" t="s">
        <v>254</v>
      </c>
      <c r="E1471" t="s">
        <v>256</v>
      </c>
      <c r="F1471" s="5" t="s">
        <v>243</v>
      </c>
      <c r="G1471" s="7">
        <v>467043</v>
      </c>
      <c r="H1471" s="7" cm="1">
        <f t="array" ref="H1471">_xlfn.IFS(B1471=2015,L1471*$P$3,B1471=2016,L1471*$P$4,B1471=2017,L1471*$P$5,B1471=2018,L1471*$P$6,B1471=2019,L1471*$P$7,B1471=2020,L1471*$P$8,B1471=2021,L1471*$P$9,B1471=2022,L1471*$P$10)</f>
        <v>9505.5220829096033</v>
      </c>
      <c r="I1471" s="7">
        <f t="shared" si="47"/>
        <v>476548.52208290959</v>
      </c>
      <c r="J1471">
        <f>IFERROR(VLOOKUP(F1471,'LEAID Match'!$A$2:$B$227,2,FALSE),"")</f>
        <v>3817460</v>
      </c>
      <c r="K1471">
        <f t="shared" si="46"/>
        <v>8</v>
      </c>
      <c r="L1471" cm="1">
        <f t="array" ref="L1471">_xlfn.IFS(B1471=2015,G1471/$P$13,B1471=2016,G1471/$P$14,B1471=2017,G1471/$P$15,B1471=2018,G1471/$P$16,B1471=2019,G1471/$P$17,B1471=2019,G1471/$P$18,B1471=2020,G1471/$P$18,B1471=2021,G1471/$P$19,B1471=2022,G1471/$P$20)</f>
        <v>4.6550059171937335E-3</v>
      </c>
    </row>
    <row r="1472" spans="1:12" x14ac:dyDescent="0.2">
      <c r="A1472">
        <v>3817520</v>
      </c>
      <c r="B1472">
        <v>2015</v>
      </c>
      <c r="C1472" t="s">
        <v>252</v>
      </c>
      <c r="D1472" t="s">
        <v>254</v>
      </c>
      <c r="E1472" t="s">
        <v>256</v>
      </c>
      <c r="F1472" s="5" t="s">
        <v>146</v>
      </c>
      <c r="G1472" s="7">
        <v>85878</v>
      </c>
      <c r="H1472" s="7" cm="1">
        <f t="array" ref="H1472">_xlfn.IFS(B1472=2015,L1472*$P$3,B1472=2016,L1472*$P$4,B1472=2017,L1472*$P$5,B1472=2018,L1472*$P$6,B1472=2019,L1472*$P$7,B1472=2020,L1472*$P$8,B1472=2021,L1472*$P$9,B1472=2022,L1472*$P$10)</f>
        <v>1941.56614015692</v>
      </c>
      <c r="I1472" s="7">
        <f t="shared" si="47"/>
        <v>87819.566140156923</v>
      </c>
      <c r="J1472">
        <f>IFERROR(VLOOKUP(F1472,'LEAID Match'!$A$2:$B$227,2,FALSE),"")</f>
        <v>3817520</v>
      </c>
      <c r="K1472">
        <f t="shared" si="46"/>
        <v>8</v>
      </c>
      <c r="L1472" cm="1">
        <f t="array" ref="L1472">_xlfn.IFS(B1472=2015,G1472/$P$13,B1472=2016,G1472/$P$14,B1472=2017,G1472/$P$15,B1472=2018,G1472/$P$16,B1472=2019,G1472/$P$17,B1472=2019,G1472/$P$18,B1472=2020,G1472/$P$18,B1472=2021,G1472/$P$19,B1472=2022,G1472/$P$20)</f>
        <v>1.0950739651195262E-3</v>
      </c>
    </row>
    <row r="1473" spans="1:12" x14ac:dyDescent="0.2">
      <c r="A1473">
        <v>3817520</v>
      </c>
      <c r="B1473">
        <v>2016</v>
      </c>
      <c r="C1473" t="s">
        <v>252</v>
      </c>
      <c r="D1473" t="s">
        <v>254</v>
      </c>
      <c r="E1473" t="s">
        <v>256</v>
      </c>
      <c r="F1473" s="5" t="s">
        <v>146</v>
      </c>
      <c r="G1473" s="7">
        <v>82336</v>
      </c>
      <c r="H1473" s="7" cm="1">
        <f t="array" ref="H1473">_xlfn.IFS(B1473=2015,L1473*$P$3,B1473=2016,L1473*$P$4,B1473=2017,L1473*$P$5,B1473=2018,L1473*$P$6,B1473=2019,L1473*$P$7,B1473=2020,L1473*$P$8,B1473=2021,L1473*$P$9,B1473=2022,L1473*$P$10)</f>
        <v>2795.8879878835241</v>
      </c>
      <c r="I1473" s="7">
        <f t="shared" si="47"/>
        <v>85131.887987883529</v>
      </c>
      <c r="J1473">
        <f>IFERROR(VLOOKUP(F1473,'LEAID Match'!$A$2:$B$227,2,FALSE),"")</f>
        <v>3817520</v>
      </c>
      <c r="K1473">
        <f t="shared" si="46"/>
        <v>8</v>
      </c>
      <c r="L1473" cm="1">
        <f t="array" ref="L1473">_xlfn.IFS(B1473=2015,G1473/$P$13,B1473=2016,G1473/$P$14,B1473=2017,G1473/$P$15,B1473=2018,G1473/$P$16,B1473=2019,G1473/$P$17,B1473=2019,G1473/$P$18,B1473=2020,G1473/$P$18,B1473=2021,G1473/$P$19,B1473=2022,G1473/$P$20)</f>
        <v>9.9391681048116749E-4</v>
      </c>
    </row>
    <row r="1474" spans="1:12" x14ac:dyDescent="0.2">
      <c r="A1474">
        <v>3817520</v>
      </c>
      <c r="B1474">
        <v>2017</v>
      </c>
      <c r="C1474" t="s">
        <v>252</v>
      </c>
      <c r="D1474" t="s">
        <v>254</v>
      </c>
      <c r="E1474" t="s">
        <v>256</v>
      </c>
      <c r="F1474" s="5" t="s">
        <v>146</v>
      </c>
      <c r="G1474" s="7">
        <v>82356</v>
      </c>
      <c r="H1474" s="7" cm="1">
        <f t="array" ref="H1474">_xlfn.IFS(B1474=2015,L1474*$P$3,B1474=2016,L1474*$P$4,B1474=2017,L1474*$P$5,B1474=2018,L1474*$P$6,B1474=2019,L1474*$P$7,B1474=2020,L1474*$P$8,B1474=2021,L1474*$P$9,B1474=2022,L1474*$P$10)</f>
        <v>2668.9974279581174</v>
      </c>
      <c r="I1474" s="7">
        <f t="shared" si="47"/>
        <v>85024.997427958122</v>
      </c>
      <c r="J1474">
        <f>IFERROR(VLOOKUP(F1474,'LEAID Match'!$A$2:$B$227,2,FALSE),"")</f>
        <v>3817520</v>
      </c>
      <c r="K1474">
        <f t="shared" ref="K1474:K1537" si="48">COUNTIF($A$2:$A$1757,A1474)</f>
        <v>8</v>
      </c>
      <c r="L1474" cm="1">
        <f t="array" ref="L1474">_xlfn.IFS(B1474=2015,G1474/$P$13,B1474=2016,G1474/$P$14,B1474=2017,G1474/$P$15,B1474=2018,G1474/$P$16,B1474=2019,G1474/$P$17,B1474=2019,G1474/$P$18,B1474=2020,G1474/$P$18,B1474=2021,G1474/$P$19,B1474=2022,G1474/$P$20)</f>
        <v>9.5697290353464234E-4</v>
      </c>
    </row>
    <row r="1475" spans="1:12" x14ac:dyDescent="0.2">
      <c r="A1475">
        <v>3817520</v>
      </c>
      <c r="B1475" s="5">
        <v>2018</v>
      </c>
      <c r="C1475" t="s">
        <v>252</v>
      </c>
      <c r="D1475" t="s">
        <v>254</v>
      </c>
      <c r="E1475" t="s">
        <v>256</v>
      </c>
      <c r="F1475" s="5" t="s">
        <v>146</v>
      </c>
      <c r="G1475" s="7">
        <v>76253</v>
      </c>
      <c r="H1475" s="7" cm="1">
        <f t="array" ref="H1475">_xlfn.IFS(B1475=2015,L1475*$P$3,B1475=2016,L1475*$P$4,B1475=2017,L1475*$P$5,B1475=2018,L1475*$P$6,B1475=2019,L1475*$P$7,B1475=2020,L1475*$P$8,B1475=2021,L1475*$P$9,B1475=2022,L1475*$P$10)</f>
        <v>2089.4075796672205</v>
      </c>
      <c r="I1475" s="7">
        <f t="shared" ref="I1475:I1538" si="49">SUM(G1475:H1475)</f>
        <v>78342.407579667226</v>
      </c>
      <c r="J1475">
        <f>IFERROR(VLOOKUP(F1475,'LEAID Match'!$A$2:$B$227,2,FALSE),"")</f>
        <v>3817520</v>
      </c>
      <c r="K1475">
        <f t="shared" si="48"/>
        <v>8</v>
      </c>
      <c r="L1475" cm="1">
        <f t="array" ref="L1475">_xlfn.IFS(B1475=2015,G1475/$P$13,B1475=2016,G1475/$P$14,B1475=2017,G1475/$P$15,B1475=2018,G1475/$P$16,B1475=2019,G1475/$P$17,B1475=2019,G1475/$P$18,B1475=2020,G1475/$P$18,B1475=2021,G1475/$P$19,B1475=2022,G1475/$P$20)</f>
        <v>8.797505598598823E-4</v>
      </c>
    </row>
    <row r="1476" spans="1:12" x14ac:dyDescent="0.2">
      <c r="A1476">
        <v>3817520</v>
      </c>
      <c r="B1476">
        <v>2019</v>
      </c>
      <c r="C1476" t="s">
        <v>252</v>
      </c>
      <c r="D1476" t="s">
        <v>254</v>
      </c>
      <c r="E1476" t="s">
        <v>256</v>
      </c>
      <c r="F1476" s="5" t="s">
        <v>146</v>
      </c>
      <c r="G1476" s="7">
        <v>80551</v>
      </c>
      <c r="H1476" s="7" cm="1">
        <f t="array" ref="H1476">_xlfn.IFS(B1476=2015,L1476*$P$3,B1476=2016,L1476*$P$4,B1476=2017,L1476*$P$5,B1476=2018,L1476*$P$6,B1476=2019,L1476*$P$7,B1476=2020,L1476*$P$8,B1476=2021,L1476*$P$9,B1476=2022,L1476*$P$10)</f>
        <v>1869.5746028168408</v>
      </c>
      <c r="I1476" s="7">
        <f t="shared" si="49"/>
        <v>82420.574602816836</v>
      </c>
      <c r="J1476">
        <f>IFERROR(VLOOKUP(F1476,'LEAID Match'!$A$2:$B$227,2,FALSE),"")</f>
        <v>3817520</v>
      </c>
      <c r="K1476">
        <f t="shared" si="48"/>
        <v>8</v>
      </c>
      <c r="L1476" cm="1">
        <f t="array" ref="L1476">_xlfn.IFS(B1476=2015,G1476/$P$13,B1476=2016,G1476/$P$14,B1476=2017,G1476/$P$15,B1476=2018,G1476/$P$16,B1476=2019,G1476/$P$17,B1476=2019,G1476/$P$18,B1476=2020,G1476/$P$18,B1476=2021,G1476/$P$19,B1476=2022,G1476/$P$20)</f>
        <v>9.005658009715033E-4</v>
      </c>
    </row>
    <row r="1477" spans="1:12" x14ac:dyDescent="0.2">
      <c r="A1477">
        <v>3817520</v>
      </c>
      <c r="B1477">
        <v>2020</v>
      </c>
      <c r="C1477" t="s">
        <v>252</v>
      </c>
      <c r="D1477" t="s">
        <v>254</v>
      </c>
      <c r="E1477" t="s">
        <v>256</v>
      </c>
      <c r="F1477" s="5" t="s">
        <v>146</v>
      </c>
      <c r="G1477" s="7">
        <v>79569</v>
      </c>
      <c r="H1477" s="7" cm="1">
        <f t="array" ref="H1477">_xlfn.IFS(B1477=2015,L1477*$P$3,B1477=2016,L1477*$P$4,B1477=2017,L1477*$P$5,B1477=2018,L1477*$P$6,B1477=2019,L1477*$P$7,B1477=2020,L1477*$P$8,B1477=2021,L1477*$P$9,B1477=2022,L1477*$P$10)</f>
        <v>1996.2285205879436</v>
      </c>
      <c r="I1477" s="7">
        <f t="shared" si="49"/>
        <v>81565.228520587945</v>
      </c>
      <c r="J1477">
        <f>IFERROR(VLOOKUP(F1477,'LEAID Match'!$A$2:$B$227,2,FALSE),"")</f>
        <v>3817520</v>
      </c>
      <c r="K1477">
        <f t="shared" si="48"/>
        <v>8</v>
      </c>
      <c r="L1477" cm="1">
        <f t="array" ref="L1477">_xlfn.IFS(B1477=2015,G1477/$P$13,B1477=2016,G1477/$P$14,B1477=2017,G1477/$P$15,B1477=2018,G1477/$P$16,B1477=2019,G1477/$P$17,B1477=2019,G1477/$P$18,B1477=2020,G1477/$P$18,B1477=2021,G1477/$P$19,B1477=2022,G1477/$P$20)</f>
        <v>8.5528214249697674E-4</v>
      </c>
    </row>
    <row r="1478" spans="1:12" x14ac:dyDescent="0.2">
      <c r="A1478">
        <v>3817520</v>
      </c>
      <c r="B1478" s="5">
        <v>2021</v>
      </c>
      <c r="C1478" t="s">
        <v>252</v>
      </c>
      <c r="D1478" t="s">
        <v>254</v>
      </c>
      <c r="E1478" t="s">
        <v>256</v>
      </c>
      <c r="F1478" s="5" t="s">
        <v>146</v>
      </c>
      <c r="G1478" s="7">
        <v>72437</v>
      </c>
      <c r="H1478" s="7" cm="1">
        <f t="array" ref="H1478">_xlfn.IFS(B1478=2015,L1478*$P$3,B1478=2016,L1478*$P$4,B1478=2017,L1478*$P$5,B1478=2018,L1478*$P$6,B1478=2019,L1478*$P$7,B1478=2020,L1478*$P$8,B1478=2021,L1478*$P$9,B1478=2022,L1478*$P$10)</f>
        <v>1979.2898443610279</v>
      </c>
      <c r="I1478" s="7">
        <f t="shared" si="49"/>
        <v>74416.289844361032</v>
      </c>
      <c r="J1478">
        <f>IFERROR(VLOOKUP(F1478,'LEAID Match'!$A$2:$B$227,2,FALSE),"")</f>
        <v>3817520</v>
      </c>
      <c r="K1478">
        <f t="shared" si="48"/>
        <v>8</v>
      </c>
      <c r="L1478" cm="1">
        <f t="array" ref="L1478">_xlfn.IFS(B1478=2015,G1478/$P$13,B1478=2016,G1478/$P$14,B1478=2017,G1478/$P$15,B1478=2018,G1478/$P$16,B1478=2019,G1478/$P$17,B1478=2019,G1478/$P$18,B1478=2020,G1478/$P$18,B1478=2021,G1478/$P$19,B1478=2022,G1478/$P$20)</f>
        <v>7.3716567760187264E-4</v>
      </c>
    </row>
    <row r="1479" spans="1:12" x14ac:dyDescent="0.2">
      <c r="A1479">
        <v>3817520</v>
      </c>
      <c r="B1479">
        <v>2022</v>
      </c>
      <c r="C1479" t="s">
        <v>252</v>
      </c>
      <c r="D1479" t="s">
        <v>254</v>
      </c>
      <c r="E1479" t="s">
        <v>256</v>
      </c>
      <c r="F1479" s="5" t="s">
        <v>146</v>
      </c>
      <c r="G1479" s="5"/>
      <c r="H1479" s="7" cm="1">
        <f t="array" ref="H1479">_xlfn.IFS(B1479=2015,L1479*$P$3,B1479=2016,L1479*$P$4,B1479=2017,L1479*$P$5,B1479=2018,L1479*$P$6,B1479=2019,L1479*$P$7,B1479=2020,L1479*$P$8,B1479=2021,L1479*$P$9,B1479=2022,L1479*$P$10)</f>
        <v>0</v>
      </c>
      <c r="I1479" s="7">
        <f t="shared" si="49"/>
        <v>0</v>
      </c>
      <c r="J1479">
        <f>IFERROR(VLOOKUP(F1479,'LEAID Match'!$A$2:$B$227,2,FALSE),"")</f>
        <v>3817520</v>
      </c>
      <c r="K1479">
        <f t="shared" si="48"/>
        <v>8</v>
      </c>
      <c r="L1479" cm="1">
        <f t="array" ref="L1479">_xlfn.IFS(B1479=2015,G1479/$P$13,B1479=2016,G1479/$P$14,B1479=2017,G1479/$P$15,B1479=2018,G1479/$P$16,B1479=2019,G1479/$P$17,B1479=2019,G1479/$P$18,B1479=2020,G1479/$P$18,B1479=2021,G1479/$P$19,B1479=2022,G1479/$P$20)</f>
        <v>0</v>
      </c>
    </row>
    <row r="1480" spans="1:12" x14ac:dyDescent="0.2">
      <c r="A1480">
        <v>3817570</v>
      </c>
      <c r="B1480">
        <v>2015</v>
      </c>
      <c r="C1480" t="s">
        <v>252</v>
      </c>
      <c r="D1480" t="s">
        <v>254</v>
      </c>
      <c r="E1480" t="s">
        <v>256</v>
      </c>
      <c r="F1480" s="5" t="s">
        <v>147</v>
      </c>
      <c r="G1480" s="7">
        <v>396009</v>
      </c>
      <c r="H1480" s="7" cm="1">
        <f t="array" ref="H1480">_xlfn.IFS(B1480=2015,L1480*$P$3,B1480=2016,L1480*$P$4,B1480=2017,L1480*$P$5,B1480=2018,L1480*$P$6,B1480=2019,L1480*$P$7,B1480=2020,L1480*$P$8,B1480=2021,L1480*$P$9,B1480=2022,L1480*$P$10)</f>
        <v>8953.1389366007788</v>
      </c>
      <c r="I1480" s="7">
        <f t="shared" si="49"/>
        <v>404962.13893660076</v>
      </c>
      <c r="J1480">
        <f>IFERROR(VLOOKUP(F1480,'LEAID Match'!$A$2:$B$227,2,FALSE),"")</f>
        <v>3817570</v>
      </c>
      <c r="K1480">
        <f t="shared" si="48"/>
        <v>8</v>
      </c>
      <c r="L1480" cm="1">
        <f t="array" ref="L1480">_xlfn.IFS(B1480=2015,G1480/$P$13,B1480=2016,G1480/$P$14,B1480=2017,G1480/$P$15,B1480=2018,G1480/$P$16,B1480=2019,G1480/$P$17,B1480=2019,G1480/$P$18,B1480=2020,G1480/$P$18,B1480=2021,G1480/$P$19,B1480=2022,G1480/$P$20)</f>
        <v>5.0497117521719004E-3</v>
      </c>
    </row>
    <row r="1481" spans="1:12" x14ac:dyDescent="0.2">
      <c r="A1481">
        <v>3817570</v>
      </c>
      <c r="B1481">
        <v>2016</v>
      </c>
      <c r="C1481" t="s">
        <v>252</v>
      </c>
      <c r="D1481" t="s">
        <v>254</v>
      </c>
      <c r="E1481" t="s">
        <v>256</v>
      </c>
      <c r="F1481" s="5" t="s">
        <v>147</v>
      </c>
      <c r="G1481" s="7">
        <v>413363</v>
      </c>
      <c r="H1481" s="7" cm="1">
        <f t="array" ref="H1481">_xlfn.IFS(B1481=2015,L1481*$P$3,B1481=2016,L1481*$P$4,B1481=2017,L1481*$P$5,B1481=2018,L1481*$P$6,B1481=2019,L1481*$P$7,B1481=2020,L1481*$P$8,B1481=2021,L1481*$P$9,B1481=2022,L1481*$P$10)</f>
        <v>14036.589661089893</v>
      </c>
      <c r="I1481" s="7">
        <f t="shared" si="49"/>
        <v>427399.58966108988</v>
      </c>
      <c r="J1481">
        <f>IFERROR(VLOOKUP(F1481,'LEAID Match'!$A$2:$B$227,2,FALSE),"")</f>
        <v>3817570</v>
      </c>
      <c r="K1481">
        <f t="shared" si="48"/>
        <v>8</v>
      </c>
      <c r="L1481" cm="1">
        <f t="array" ref="L1481">_xlfn.IFS(B1481=2015,G1481/$P$13,B1481=2016,G1481/$P$14,B1481=2017,G1481/$P$15,B1481=2018,G1481/$P$16,B1481=2019,G1481/$P$17,B1481=2019,G1481/$P$18,B1481=2020,G1481/$P$18,B1481=2021,G1481/$P$19,B1481=2022,G1481/$P$20)</f>
        <v>4.989900341660111E-3</v>
      </c>
    </row>
    <row r="1482" spans="1:12" x14ac:dyDescent="0.2">
      <c r="A1482">
        <v>3817570</v>
      </c>
      <c r="B1482">
        <v>2017</v>
      </c>
      <c r="C1482" t="s">
        <v>252</v>
      </c>
      <c r="D1482" t="s">
        <v>254</v>
      </c>
      <c r="E1482" t="s">
        <v>256</v>
      </c>
      <c r="F1482" s="5" t="s">
        <v>147</v>
      </c>
      <c r="G1482" s="7">
        <v>465233</v>
      </c>
      <c r="H1482" s="7" cm="1">
        <f t="array" ref="H1482">_xlfn.IFS(B1482=2015,L1482*$P$3,B1482=2016,L1482*$P$4,B1482=2017,L1482*$P$5,B1482=2018,L1482*$P$6,B1482=2019,L1482*$P$7,B1482=2020,L1482*$P$8,B1482=2021,L1482*$P$9,B1482=2022,L1482*$P$10)</f>
        <v>15077.294676784191</v>
      </c>
      <c r="I1482" s="7">
        <f t="shared" si="49"/>
        <v>480310.29467678419</v>
      </c>
      <c r="J1482">
        <f>IFERROR(VLOOKUP(F1482,'LEAID Match'!$A$2:$B$227,2,FALSE),"")</f>
        <v>3817570</v>
      </c>
      <c r="K1482">
        <f t="shared" si="48"/>
        <v>8</v>
      </c>
      <c r="L1482" cm="1">
        <f t="array" ref="L1482">_xlfn.IFS(B1482=2015,G1482/$P$13,B1482=2016,G1482/$P$14,B1482=2017,G1482/$P$15,B1482=2018,G1482/$P$16,B1482=2019,G1482/$P$17,B1482=2019,G1482/$P$18,B1482=2020,G1482/$P$18,B1482=2021,G1482/$P$19,B1482=2022,G1482/$P$20)</f>
        <v>5.4059859006038696E-3</v>
      </c>
    </row>
    <row r="1483" spans="1:12" x14ac:dyDescent="0.2">
      <c r="A1483">
        <v>3817570</v>
      </c>
      <c r="B1483" s="5">
        <v>2018</v>
      </c>
      <c r="C1483" t="s">
        <v>252</v>
      </c>
      <c r="D1483" t="s">
        <v>254</v>
      </c>
      <c r="E1483" t="s">
        <v>256</v>
      </c>
      <c r="F1483" s="5" t="s">
        <v>147</v>
      </c>
      <c r="G1483" s="7">
        <v>474018</v>
      </c>
      <c r="H1483" s="7" cm="1">
        <f t="array" ref="H1483">_xlfn.IFS(B1483=2015,L1483*$P$3,B1483=2016,L1483*$P$4,B1483=2017,L1483*$P$5,B1483=2018,L1483*$P$6,B1483=2019,L1483*$P$7,B1483=2020,L1483*$P$8,B1483=2021,L1483*$P$9,B1483=2022,L1483*$P$10)</f>
        <v>12988.561789027272</v>
      </c>
      <c r="I1483" s="7">
        <f t="shared" si="49"/>
        <v>487006.5617890273</v>
      </c>
      <c r="J1483">
        <f>IFERROR(VLOOKUP(F1483,'LEAID Match'!$A$2:$B$227,2,FALSE),"")</f>
        <v>3817570</v>
      </c>
      <c r="K1483">
        <f t="shared" si="48"/>
        <v>8</v>
      </c>
      <c r="L1483" cm="1">
        <f t="array" ref="L1483">_xlfn.IFS(B1483=2015,G1483/$P$13,B1483=2016,G1483/$P$14,B1483=2017,G1483/$P$15,B1483=2018,G1483/$P$16,B1483=2019,G1483/$P$17,B1483=2019,G1483/$P$18,B1483=2020,G1483/$P$18,B1483=2021,G1483/$P$19,B1483=2022,G1483/$P$20)</f>
        <v>5.4688681216956934E-3</v>
      </c>
    </row>
    <row r="1484" spans="1:12" x14ac:dyDescent="0.2">
      <c r="A1484">
        <v>3817570</v>
      </c>
      <c r="B1484">
        <v>2019</v>
      </c>
      <c r="C1484" t="s">
        <v>252</v>
      </c>
      <c r="D1484" t="s">
        <v>254</v>
      </c>
      <c r="E1484" t="s">
        <v>256</v>
      </c>
      <c r="F1484" s="5" t="s">
        <v>147</v>
      </c>
      <c r="G1484" s="7">
        <v>480753</v>
      </c>
      <c r="H1484" s="7" cm="1">
        <f t="array" ref="H1484">_xlfn.IFS(B1484=2015,L1484*$P$3,B1484=2016,L1484*$P$4,B1484=2017,L1484*$P$5,B1484=2018,L1484*$P$6,B1484=2019,L1484*$P$7,B1484=2020,L1484*$P$8,B1484=2021,L1484*$P$9,B1484=2022,L1484*$P$10)</f>
        <v>11158.192934017017</v>
      </c>
      <c r="I1484" s="7">
        <f t="shared" si="49"/>
        <v>491911.19293401705</v>
      </c>
      <c r="J1484">
        <f>IFERROR(VLOOKUP(F1484,'LEAID Match'!$A$2:$B$227,2,FALSE),"")</f>
        <v>3817570</v>
      </c>
      <c r="K1484">
        <f t="shared" si="48"/>
        <v>8</v>
      </c>
      <c r="L1484" cm="1">
        <f t="array" ref="L1484">_xlfn.IFS(B1484=2015,G1484/$P$13,B1484=2016,G1484/$P$14,B1484=2017,G1484/$P$15,B1484=2018,G1484/$P$16,B1484=2019,G1484/$P$17,B1484=2019,G1484/$P$18,B1484=2020,G1484/$P$18,B1484=2021,G1484/$P$19,B1484=2022,G1484/$P$20)</f>
        <v>5.3748520876767906E-3</v>
      </c>
    </row>
    <row r="1485" spans="1:12" x14ac:dyDescent="0.2">
      <c r="A1485">
        <v>3817570</v>
      </c>
      <c r="B1485">
        <v>2020</v>
      </c>
      <c r="C1485" t="s">
        <v>252</v>
      </c>
      <c r="D1485" t="s">
        <v>254</v>
      </c>
      <c r="E1485" t="s">
        <v>256</v>
      </c>
      <c r="F1485" s="5" t="s">
        <v>147</v>
      </c>
      <c r="G1485" s="7">
        <v>468520</v>
      </c>
      <c r="H1485" s="7" cm="1">
        <f t="array" ref="H1485">_xlfn.IFS(B1485=2015,L1485*$P$3,B1485=2016,L1485*$P$4,B1485=2017,L1485*$P$5,B1485=2018,L1485*$P$6,B1485=2019,L1485*$P$7,B1485=2020,L1485*$P$8,B1485=2021,L1485*$P$9,B1485=2022,L1485*$P$10)</f>
        <v>11754.238289608558</v>
      </c>
      <c r="I1485" s="7">
        <f t="shared" si="49"/>
        <v>480274.23828960856</v>
      </c>
      <c r="J1485">
        <f>IFERROR(VLOOKUP(F1485,'LEAID Match'!$A$2:$B$227,2,FALSE),"")</f>
        <v>3817570</v>
      </c>
      <c r="K1485">
        <f t="shared" si="48"/>
        <v>8</v>
      </c>
      <c r="L1485" cm="1">
        <f t="array" ref="L1485">_xlfn.IFS(B1485=2015,G1485/$P$13,B1485=2016,G1485/$P$14,B1485=2017,G1485/$P$15,B1485=2018,G1485/$P$16,B1485=2019,G1485/$P$17,B1485=2019,G1485/$P$18,B1485=2020,G1485/$P$18,B1485=2021,G1485/$P$19,B1485=2022,G1485/$P$20)</f>
        <v>5.0360918121716185E-3</v>
      </c>
    </row>
    <row r="1486" spans="1:12" x14ac:dyDescent="0.2">
      <c r="A1486">
        <v>3817570</v>
      </c>
      <c r="B1486" s="5">
        <v>2021</v>
      </c>
      <c r="C1486" t="s">
        <v>252</v>
      </c>
      <c r="D1486" t="s">
        <v>254</v>
      </c>
      <c r="E1486" t="s">
        <v>256</v>
      </c>
      <c r="F1486" s="5" t="s">
        <v>147</v>
      </c>
      <c r="G1486" s="7">
        <v>481913</v>
      </c>
      <c r="H1486" s="7" cm="1">
        <f t="array" ref="H1486">_xlfn.IFS(B1486=2015,L1486*$P$3,B1486=2016,L1486*$P$4,B1486=2017,L1486*$P$5,B1486=2018,L1486*$P$6,B1486=2019,L1486*$P$7,B1486=2020,L1486*$P$8,B1486=2021,L1486*$P$9,B1486=2022,L1486*$P$10)</f>
        <v>13167.932227529524</v>
      </c>
      <c r="I1486" s="7">
        <f t="shared" si="49"/>
        <v>495080.93222752953</v>
      </c>
      <c r="J1486">
        <f>IFERROR(VLOOKUP(F1486,'LEAID Match'!$A$2:$B$227,2,FALSE),"")</f>
        <v>3817570</v>
      </c>
      <c r="K1486">
        <f t="shared" si="48"/>
        <v>8</v>
      </c>
      <c r="L1486" cm="1">
        <f t="array" ref="L1486">_xlfn.IFS(B1486=2015,G1486/$P$13,B1486=2016,G1486/$P$14,B1486=2017,G1486/$P$15,B1486=2018,G1486/$P$16,B1486=2019,G1486/$P$17,B1486=2019,G1486/$P$18,B1486=2020,G1486/$P$18,B1486=2021,G1486/$P$19,B1486=2022,G1486/$P$20)</f>
        <v>4.9042578128601581E-3</v>
      </c>
    </row>
    <row r="1487" spans="1:12" x14ac:dyDescent="0.2">
      <c r="A1487">
        <v>3817570</v>
      </c>
      <c r="B1487">
        <v>2022</v>
      </c>
      <c r="C1487" t="s">
        <v>252</v>
      </c>
      <c r="D1487" t="s">
        <v>254</v>
      </c>
      <c r="E1487" t="s">
        <v>256</v>
      </c>
      <c r="F1487" s="5" t="s">
        <v>147</v>
      </c>
      <c r="G1487" s="7">
        <v>460825</v>
      </c>
      <c r="H1487" s="7" cm="1">
        <f t="array" ref="H1487">_xlfn.IFS(B1487=2015,L1487*$P$3,B1487=2016,L1487*$P$4,B1487=2017,L1487*$P$5,B1487=2018,L1487*$P$6,B1487=2019,L1487*$P$7,B1487=2020,L1487*$P$8,B1487=2021,L1487*$P$9,B1487=2022,L1487*$P$10)</f>
        <v>9378.9698461529624</v>
      </c>
      <c r="I1487" s="7">
        <f t="shared" si="49"/>
        <v>470203.96984615293</v>
      </c>
      <c r="J1487">
        <f>IFERROR(VLOOKUP(F1487,'LEAID Match'!$A$2:$B$227,2,FALSE),"")</f>
        <v>3817570</v>
      </c>
      <c r="K1487">
        <f t="shared" si="48"/>
        <v>8</v>
      </c>
      <c r="L1487" cm="1">
        <f t="array" ref="L1487">_xlfn.IFS(B1487=2015,G1487/$P$13,B1487=2016,G1487/$P$14,B1487=2017,G1487/$P$15,B1487=2018,G1487/$P$16,B1487=2019,G1487/$P$17,B1487=2019,G1487/$P$18,B1487=2020,G1487/$P$18,B1487=2021,G1487/$P$19,B1487=2022,G1487/$P$20)</f>
        <v>4.5930312664803933E-3</v>
      </c>
    </row>
    <row r="1488" spans="1:12" x14ac:dyDescent="0.2">
      <c r="A1488">
        <v>3817670</v>
      </c>
      <c r="B1488">
        <v>2015</v>
      </c>
      <c r="C1488" t="s">
        <v>252</v>
      </c>
      <c r="D1488" t="s">
        <v>254</v>
      </c>
      <c r="E1488" t="s">
        <v>256</v>
      </c>
      <c r="F1488" s="5" t="s">
        <v>148</v>
      </c>
      <c r="G1488" s="7">
        <v>72761</v>
      </c>
      <c r="H1488" s="7" cm="1">
        <f t="array" ref="H1488">_xlfn.IFS(B1488=2015,L1488*$P$3,B1488=2016,L1488*$P$4,B1488=2017,L1488*$P$5,B1488=2018,L1488*$P$6,B1488=2019,L1488*$P$7,B1488=2020,L1488*$P$8,B1488=2021,L1488*$P$9,B1488=2022,L1488*$P$10)</f>
        <v>1645.0114572295311</v>
      </c>
      <c r="I1488" s="7">
        <f t="shared" si="49"/>
        <v>74406.011457229528</v>
      </c>
      <c r="J1488">
        <f>IFERROR(VLOOKUP(F1488,'LEAID Match'!$A$2:$B$227,2,FALSE),"")</f>
        <v>3817670</v>
      </c>
      <c r="K1488">
        <f t="shared" si="48"/>
        <v>8</v>
      </c>
      <c r="L1488" cm="1">
        <f t="array" ref="L1488">_xlfn.IFS(B1488=2015,G1488/$P$13,B1488=2016,G1488/$P$14,B1488=2017,G1488/$P$15,B1488=2018,G1488/$P$16,B1488=2019,G1488/$P$17,B1488=2019,G1488/$P$18,B1488=2020,G1488/$P$18,B1488=2021,G1488/$P$19,B1488=2022,G1488/$P$20)</f>
        <v>9.2781244062579299E-4</v>
      </c>
    </row>
    <row r="1489" spans="1:12" x14ac:dyDescent="0.2">
      <c r="A1489">
        <v>3817670</v>
      </c>
      <c r="B1489">
        <v>2016</v>
      </c>
      <c r="C1489" t="s">
        <v>252</v>
      </c>
      <c r="D1489" t="s">
        <v>254</v>
      </c>
      <c r="E1489" t="s">
        <v>256</v>
      </c>
      <c r="F1489" s="5" t="s">
        <v>148</v>
      </c>
      <c r="G1489" s="7">
        <v>73043</v>
      </c>
      <c r="H1489" s="7" cm="1">
        <f t="array" ref="H1489">_xlfn.IFS(B1489=2015,L1489*$P$3,B1489=2016,L1489*$P$4,B1489=2017,L1489*$P$5,B1489=2018,L1489*$P$6,B1489=2019,L1489*$P$7,B1489=2020,L1489*$P$8,B1489=2021,L1489*$P$9,B1489=2022,L1489*$P$10)</f>
        <v>2480.3250862195914</v>
      </c>
      <c r="I1489" s="7">
        <f t="shared" si="49"/>
        <v>75523.325086219586</v>
      </c>
      <c r="J1489">
        <f>IFERROR(VLOOKUP(F1489,'LEAID Match'!$A$2:$B$227,2,FALSE),"")</f>
        <v>3817670</v>
      </c>
      <c r="K1489">
        <f t="shared" si="48"/>
        <v>8</v>
      </c>
      <c r="L1489" cm="1">
        <f t="array" ref="L1489">_xlfn.IFS(B1489=2015,G1489/$P$13,B1489=2016,G1489/$P$14,B1489=2017,G1489/$P$15,B1489=2018,G1489/$P$16,B1489=2019,G1489/$P$17,B1489=2019,G1489/$P$18,B1489=2020,G1489/$P$18,B1489=2021,G1489/$P$19,B1489=2022,G1489/$P$20)</f>
        <v>8.8173661081393225E-4</v>
      </c>
    </row>
    <row r="1490" spans="1:12" x14ac:dyDescent="0.2">
      <c r="A1490">
        <v>3817670</v>
      </c>
      <c r="B1490">
        <v>2017</v>
      </c>
      <c r="C1490" t="s">
        <v>252</v>
      </c>
      <c r="D1490" t="s">
        <v>254</v>
      </c>
      <c r="E1490" t="s">
        <v>256</v>
      </c>
      <c r="F1490" s="5" t="s">
        <v>148</v>
      </c>
      <c r="G1490" s="7">
        <v>66742</v>
      </c>
      <c r="H1490" s="7" cm="1">
        <f t="array" ref="H1490">_xlfn.IFS(B1490=2015,L1490*$P$3,B1490=2016,L1490*$P$4,B1490=2017,L1490*$P$5,B1490=2018,L1490*$P$6,B1490=2019,L1490*$P$7,B1490=2020,L1490*$P$8,B1490=2021,L1490*$P$9,B1490=2022,L1490*$P$10)</f>
        <v>2162.9781234734651</v>
      </c>
      <c r="I1490" s="7">
        <f t="shared" si="49"/>
        <v>68904.978123473469</v>
      </c>
      <c r="J1490">
        <f>IFERROR(VLOOKUP(F1490,'LEAID Match'!$A$2:$B$227,2,FALSE),"")</f>
        <v>3817670</v>
      </c>
      <c r="K1490">
        <f t="shared" si="48"/>
        <v>8</v>
      </c>
      <c r="L1490" cm="1">
        <f t="array" ref="L1490">_xlfn.IFS(B1490=2015,G1490/$P$13,B1490=2016,G1490/$P$14,B1490=2017,G1490/$P$15,B1490=2018,G1490/$P$16,B1490=2019,G1490/$P$17,B1490=2019,G1490/$P$18,B1490=2020,G1490/$P$18,B1490=2021,G1490/$P$19,B1490=2022,G1490/$P$20)</f>
        <v>7.7553894710414662E-4</v>
      </c>
    </row>
    <row r="1491" spans="1:12" x14ac:dyDescent="0.2">
      <c r="A1491">
        <v>3817670</v>
      </c>
      <c r="B1491" s="5">
        <v>2018</v>
      </c>
      <c r="C1491" t="s">
        <v>252</v>
      </c>
      <c r="D1491" t="s">
        <v>254</v>
      </c>
      <c r="E1491" t="s">
        <v>256</v>
      </c>
      <c r="F1491" s="5" t="s">
        <v>148</v>
      </c>
      <c r="G1491" s="7">
        <v>63073</v>
      </c>
      <c r="H1491" s="7" cm="1">
        <f t="array" ref="H1491">_xlfn.IFS(B1491=2015,L1491*$P$3,B1491=2016,L1491*$P$4,B1491=2017,L1491*$P$5,B1491=2018,L1491*$P$6,B1491=2019,L1491*$P$7,B1491=2020,L1491*$P$8,B1491=2021,L1491*$P$9,B1491=2022,L1491*$P$10)</f>
        <v>1728.262550619</v>
      </c>
      <c r="I1491" s="7">
        <f t="shared" si="49"/>
        <v>64801.262550619002</v>
      </c>
      <c r="J1491">
        <f>IFERROR(VLOOKUP(F1491,'LEAID Match'!$A$2:$B$227,2,FALSE),"")</f>
        <v>3817670</v>
      </c>
      <c r="K1491">
        <f t="shared" si="48"/>
        <v>8</v>
      </c>
      <c r="L1491" cm="1">
        <f t="array" ref="L1491">_xlfn.IFS(B1491=2015,G1491/$P$13,B1491=2016,G1491/$P$14,B1491=2017,G1491/$P$15,B1491=2018,G1491/$P$16,B1491=2019,G1491/$P$17,B1491=2019,G1491/$P$18,B1491=2020,G1491/$P$18,B1491=2021,G1491/$P$19,B1491=2022,G1491/$P$20)</f>
        <v>7.2768949499747368E-4</v>
      </c>
    </row>
    <row r="1492" spans="1:12" x14ac:dyDescent="0.2">
      <c r="A1492">
        <v>3817670</v>
      </c>
      <c r="B1492">
        <v>2019</v>
      </c>
      <c r="C1492" t="s">
        <v>252</v>
      </c>
      <c r="D1492" t="s">
        <v>254</v>
      </c>
      <c r="E1492" t="s">
        <v>256</v>
      </c>
      <c r="F1492" s="5" t="s">
        <v>148</v>
      </c>
      <c r="G1492" s="7">
        <v>69243</v>
      </c>
      <c r="H1492" s="7" cm="1">
        <f t="array" ref="H1492">_xlfn.IFS(B1492=2015,L1492*$P$3,B1492=2016,L1492*$P$4,B1492=2017,L1492*$P$5,B1492=2018,L1492*$P$6,B1492=2019,L1492*$P$7,B1492=2020,L1492*$P$8,B1492=2021,L1492*$P$9,B1492=2022,L1492*$P$10)</f>
        <v>1607.117903227105</v>
      </c>
      <c r="I1492" s="7">
        <f t="shared" si="49"/>
        <v>70850.117903227103</v>
      </c>
      <c r="J1492">
        <f>IFERROR(VLOOKUP(F1492,'LEAID Match'!$A$2:$B$227,2,FALSE),"")</f>
        <v>3817670</v>
      </c>
      <c r="K1492">
        <f t="shared" si="48"/>
        <v>8</v>
      </c>
      <c r="L1492" cm="1">
        <f t="array" ref="L1492">_xlfn.IFS(B1492=2015,G1492/$P$13,B1492=2016,G1492/$P$14,B1492=2017,G1492/$P$15,B1492=2018,G1492/$P$16,B1492=2019,G1492/$P$17,B1492=2019,G1492/$P$18,B1492=2020,G1492/$P$18,B1492=2021,G1492/$P$19,B1492=2022,G1492/$P$20)</f>
        <v>7.7414157188203511E-4</v>
      </c>
    </row>
    <row r="1493" spans="1:12" x14ac:dyDescent="0.2">
      <c r="A1493">
        <v>3817670</v>
      </c>
      <c r="B1493">
        <v>2020</v>
      </c>
      <c r="C1493" t="s">
        <v>252</v>
      </c>
      <c r="D1493" t="s">
        <v>254</v>
      </c>
      <c r="E1493" t="s">
        <v>256</v>
      </c>
      <c r="F1493" s="5" t="s">
        <v>148</v>
      </c>
      <c r="G1493" s="7">
        <v>75046</v>
      </c>
      <c r="H1493" s="7" cm="1">
        <f t="array" ref="H1493">_xlfn.IFS(B1493=2015,L1493*$P$3,B1493=2016,L1493*$P$4,B1493=2017,L1493*$P$5,B1493=2018,L1493*$P$6,B1493=2019,L1493*$P$7,B1493=2020,L1493*$P$8,B1493=2021,L1493*$P$9,B1493=2022,L1493*$P$10)</f>
        <v>1882.7554142447789</v>
      </c>
      <c r="I1493" s="7">
        <f t="shared" si="49"/>
        <v>76928.755414244777</v>
      </c>
      <c r="J1493">
        <f>IFERROR(VLOOKUP(F1493,'LEAID Match'!$A$2:$B$227,2,FALSE),"")</f>
        <v>3817670</v>
      </c>
      <c r="K1493">
        <f t="shared" si="48"/>
        <v>8</v>
      </c>
      <c r="L1493" cm="1">
        <f t="array" ref="L1493">_xlfn.IFS(B1493=2015,G1493/$P$13,B1493=2016,G1493/$P$14,B1493=2017,G1493/$P$15,B1493=2018,G1493/$P$16,B1493=2019,G1493/$P$17,B1493=2019,G1493/$P$18,B1493=2020,G1493/$P$18,B1493=2021,G1493/$P$19,B1493=2022,G1493/$P$20)</f>
        <v>8.0666470190436114E-4</v>
      </c>
    </row>
    <row r="1494" spans="1:12" x14ac:dyDescent="0.2">
      <c r="A1494">
        <v>3817670</v>
      </c>
      <c r="B1494" s="5">
        <v>2021</v>
      </c>
      <c r="C1494" t="s">
        <v>252</v>
      </c>
      <c r="D1494" t="s">
        <v>254</v>
      </c>
      <c r="E1494" t="s">
        <v>256</v>
      </c>
      <c r="F1494" s="5" t="s">
        <v>148</v>
      </c>
      <c r="G1494" s="7">
        <v>83547</v>
      </c>
      <c r="H1494" s="7" cm="1">
        <f t="array" ref="H1494">_xlfn.IFS(B1494=2015,L1494*$P$3,B1494=2016,L1494*$P$4,B1494=2017,L1494*$P$5,B1494=2018,L1494*$P$6,B1494=2019,L1494*$P$7,B1494=2020,L1494*$P$8,B1494=2021,L1494*$P$9,B1494=2022,L1494*$P$10)</f>
        <v>2282.8627445481011</v>
      </c>
      <c r="I1494" s="7">
        <f t="shared" si="49"/>
        <v>85829.862744548096</v>
      </c>
      <c r="J1494">
        <f>IFERROR(VLOOKUP(F1494,'LEAID Match'!$A$2:$B$227,2,FALSE),"")</f>
        <v>3817670</v>
      </c>
      <c r="K1494">
        <f t="shared" si="48"/>
        <v>8</v>
      </c>
      <c r="L1494" cm="1">
        <f t="array" ref="L1494">_xlfn.IFS(B1494=2015,G1494/$P$13,B1494=2016,G1494/$P$14,B1494=2017,G1494/$P$15,B1494=2018,G1494/$P$16,B1494=2019,G1494/$P$17,B1494=2019,G1494/$P$18,B1494=2020,G1494/$P$18,B1494=2021,G1494/$P$19,B1494=2022,G1494/$P$20)</f>
        <v>8.5022821026000046E-4</v>
      </c>
    </row>
    <row r="1495" spans="1:12" x14ac:dyDescent="0.2">
      <c r="A1495">
        <v>3817670</v>
      </c>
      <c r="B1495">
        <v>2022</v>
      </c>
      <c r="C1495" t="s">
        <v>252</v>
      </c>
      <c r="D1495" t="s">
        <v>254</v>
      </c>
      <c r="E1495" t="s">
        <v>256</v>
      </c>
      <c r="F1495" s="5" t="s">
        <v>148</v>
      </c>
      <c r="G1495" s="7">
        <v>87611</v>
      </c>
      <c r="H1495" s="7" cm="1">
        <f t="array" ref="H1495">_xlfn.IFS(B1495=2015,L1495*$P$3,B1495=2016,L1495*$P$4,B1495=2017,L1495*$P$5,B1495=2018,L1495*$P$6,B1495=2019,L1495*$P$7,B1495=2020,L1495*$P$8,B1495=2021,L1495*$P$9,B1495=2022,L1495*$P$10)</f>
        <v>1783.1083973120105</v>
      </c>
      <c r="I1495" s="7">
        <f t="shared" si="49"/>
        <v>89394.108397312011</v>
      </c>
      <c r="J1495">
        <f>IFERROR(VLOOKUP(F1495,'LEAID Match'!$A$2:$B$227,2,FALSE),"")</f>
        <v>3817670</v>
      </c>
      <c r="K1495">
        <f t="shared" si="48"/>
        <v>8</v>
      </c>
      <c r="L1495" cm="1">
        <f t="array" ref="L1495">_xlfn.IFS(B1495=2015,G1495/$P$13,B1495=2016,G1495/$P$14,B1495=2017,G1495/$P$15,B1495=2018,G1495/$P$16,B1495=2019,G1495/$P$17,B1495=2019,G1495/$P$18,B1495=2020,G1495/$P$18,B1495=2021,G1495/$P$19,B1495=2022,G1495/$P$20)</f>
        <v>8.7321664902644978E-4</v>
      </c>
    </row>
    <row r="1496" spans="1:12" x14ac:dyDescent="0.2">
      <c r="A1496">
        <v>3817760</v>
      </c>
      <c r="B1496">
        <v>2015</v>
      </c>
      <c r="C1496" t="s">
        <v>252</v>
      </c>
      <c r="D1496" t="s">
        <v>254</v>
      </c>
      <c r="E1496" t="s">
        <v>256</v>
      </c>
      <c r="F1496" s="5" t="s">
        <v>209</v>
      </c>
      <c r="G1496" s="7">
        <v>29837</v>
      </c>
      <c r="H1496" s="7" cm="1">
        <f t="array" ref="H1496">_xlfn.IFS(B1496=2015,L1496*$P$3,B1496=2016,L1496*$P$4,B1496=2017,L1496*$P$5,B1496=2018,L1496*$P$6,B1496=2019,L1496*$P$7,B1496=2020,L1496*$P$8,B1496=2021,L1496*$P$9,B1496=2022,L1496*$P$10)</f>
        <v>674.56751349428282</v>
      </c>
      <c r="I1496" s="7">
        <f t="shared" si="49"/>
        <v>30511.567513494283</v>
      </c>
      <c r="J1496">
        <f>IFERROR(VLOOKUP(F1496,'LEAID Match'!$A$2:$B$227,2,FALSE),"")</f>
        <v>3817760</v>
      </c>
      <c r="K1496">
        <f t="shared" si="48"/>
        <v>8</v>
      </c>
      <c r="L1496" cm="1">
        <f t="array" ref="L1496">_xlfn.IFS(B1496=2015,G1496/$P$13,B1496=2016,G1496/$P$14,B1496=2017,G1496/$P$15,B1496=2018,G1496/$P$16,B1496=2019,G1496/$P$17,B1496=2019,G1496/$P$18,B1496=2020,G1496/$P$18,B1496=2021,G1496/$P$19,B1496=2022,G1496/$P$20)</f>
        <v>3.8046673067923455E-4</v>
      </c>
    </row>
    <row r="1497" spans="1:12" x14ac:dyDescent="0.2">
      <c r="A1497">
        <v>3817760</v>
      </c>
      <c r="B1497">
        <v>2016</v>
      </c>
      <c r="C1497" t="s">
        <v>252</v>
      </c>
      <c r="D1497" t="s">
        <v>254</v>
      </c>
      <c r="E1497" t="s">
        <v>256</v>
      </c>
      <c r="F1497" s="5" t="s">
        <v>209</v>
      </c>
      <c r="G1497" s="7">
        <v>31814</v>
      </c>
      <c r="H1497" s="7" cm="1">
        <f t="array" ref="H1497">_xlfn.IFS(B1497=2015,L1497*$P$3,B1497=2016,L1497*$P$4,B1497=2017,L1497*$P$5,B1497=2018,L1497*$P$6,B1497=2019,L1497*$P$7,B1497=2020,L1497*$P$8,B1497=2021,L1497*$P$9,B1497=2022,L1497*$P$10)</f>
        <v>1080.3097119914307</v>
      </c>
      <c r="I1497" s="7">
        <f t="shared" si="49"/>
        <v>32894.309711991431</v>
      </c>
      <c r="J1497">
        <f>IFERROR(VLOOKUP(F1497,'LEAID Match'!$A$2:$B$227,2,FALSE),"")</f>
        <v>3817760</v>
      </c>
      <c r="K1497">
        <f t="shared" si="48"/>
        <v>8</v>
      </c>
      <c r="L1497" cm="1">
        <f t="array" ref="L1497">_xlfn.IFS(B1497=2015,G1497/$P$13,B1497=2016,G1497/$P$14,B1497=2017,G1497/$P$15,B1497=2018,G1497/$P$16,B1497=2019,G1497/$P$17,B1497=2019,G1497/$P$18,B1497=2020,G1497/$P$18,B1497=2021,G1497/$P$19,B1497=2022,G1497/$P$20)</f>
        <v>3.8404184571327079E-4</v>
      </c>
    </row>
    <row r="1498" spans="1:12" x14ac:dyDescent="0.2">
      <c r="A1498">
        <v>3817760</v>
      </c>
      <c r="B1498">
        <v>2017</v>
      </c>
      <c r="C1498" t="s">
        <v>252</v>
      </c>
      <c r="D1498" t="s">
        <v>254</v>
      </c>
      <c r="E1498" t="s">
        <v>256</v>
      </c>
      <c r="F1498" s="5" t="s">
        <v>209</v>
      </c>
      <c r="G1498" s="7">
        <v>33624</v>
      </c>
      <c r="H1498" s="7" cm="1">
        <f t="array" ref="H1498">_xlfn.IFS(B1498=2015,L1498*$P$3,B1498=2016,L1498*$P$4,B1498=2017,L1498*$P$5,B1498=2018,L1498*$P$6,B1498=2019,L1498*$P$7,B1498=2020,L1498*$P$8,B1498=2021,L1498*$P$9,B1498=2022,L1498*$P$10)</f>
        <v>1089.688298577684</v>
      </c>
      <c r="I1498" s="7">
        <f t="shared" si="49"/>
        <v>34713.688298577683</v>
      </c>
      <c r="J1498">
        <f>IFERROR(VLOOKUP(F1498,'LEAID Match'!$A$2:$B$227,2,FALSE),"")</f>
        <v>3817760</v>
      </c>
      <c r="K1498">
        <f t="shared" si="48"/>
        <v>8</v>
      </c>
      <c r="L1498" cm="1">
        <f t="array" ref="L1498">_xlfn.IFS(B1498=2015,G1498/$P$13,B1498=2016,G1498/$P$14,B1498=2017,G1498/$P$15,B1498=2018,G1498/$P$16,B1498=2019,G1498/$P$17,B1498=2019,G1498/$P$18,B1498=2020,G1498/$P$18,B1498=2021,G1498/$P$19,B1498=2022,G1498/$P$20)</f>
        <v>3.9070932182778197E-4</v>
      </c>
    </row>
    <row r="1499" spans="1:12" x14ac:dyDescent="0.2">
      <c r="A1499">
        <v>3817760</v>
      </c>
      <c r="B1499" s="5">
        <v>2018</v>
      </c>
      <c r="C1499" t="s">
        <v>252</v>
      </c>
      <c r="D1499" t="s">
        <v>254</v>
      </c>
      <c r="E1499" t="s">
        <v>256</v>
      </c>
      <c r="F1499" s="5" t="s">
        <v>209</v>
      </c>
      <c r="G1499" s="7">
        <v>37341</v>
      </c>
      <c r="H1499" s="7" cm="1">
        <f t="array" ref="H1499">_xlfn.IFS(B1499=2015,L1499*$P$3,B1499=2016,L1499*$P$4,B1499=2017,L1499*$P$5,B1499=2018,L1499*$P$6,B1499=2019,L1499*$P$7,B1499=2020,L1499*$P$8,B1499=2021,L1499*$P$9,B1499=2022,L1499*$P$10)</f>
        <v>1023.1803133300156</v>
      </c>
      <c r="I1499" s="7">
        <f t="shared" si="49"/>
        <v>38364.180313330013</v>
      </c>
      <c r="J1499">
        <f>IFERROR(VLOOKUP(F1499,'LEAID Match'!$A$2:$B$227,2,FALSE),"")</f>
        <v>3817760</v>
      </c>
      <c r="K1499">
        <f t="shared" si="48"/>
        <v>8</v>
      </c>
      <c r="L1499" cm="1">
        <f t="array" ref="L1499">_xlfn.IFS(B1499=2015,G1499/$P$13,B1499=2016,G1499/$P$14,B1499=2017,G1499/$P$15,B1499=2018,G1499/$P$16,B1499=2019,G1499/$P$17,B1499=2019,G1499/$P$18,B1499=2020,G1499/$P$18,B1499=2021,G1499/$P$19,B1499=2022,G1499/$P$20)</f>
        <v>4.3081276350737498E-4</v>
      </c>
    </row>
    <row r="1500" spans="1:12" x14ac:dyDescent="0.2">
      <c r="A1500">
        <v>3817760</v>
      </c>
      <c r="B1500">
        <v>2019</v>
      </c>
      <c r="C1500" t="s">
        <v>252</v>
      </c>
      <c r="D1500" t="s">
        <v>254</v>
      </c>
      <c r="E1500" t="s">
        <v>256</v>
      </c>
      <c r="F1500" s="5" t="s">
        <v>209</v>
      </c>
      <c r="G1500" s="7">
        <v>38831</v>
      </c>
      <c r="H1500" s="7" cm="1">
        <f t="array" ref="H1500">_xlfn.IFS(B1500=2015,L1500*$P$3,B1500=2016,L1500*$P$4,B1500=2017,L1500*$P$5,B1500=2018,L1500*$P$6,B1500=2019,L1500*$P$7,B1500=2020,L1500*$P$8,B1500=2021,L1500*$P$9,B1500=2022,L1500*$P$10)</f>
        <v>901.26070938884368</v>
      </c>
      <c r="I1500" s="7">
        <f t="shared" si="49"/>
        <v>39732.260709388844</v>
      </c>
      <c r="J1500">
        <f>IFERROR(VLOOKUP(F1500,'LEAID Match'!$A$2:$B$227,2,FALSE),"")</f>
        <v>3817760</v>
      </c>
      <c r="K1500">
        <f t="shared" si="48"/>
        <v>8</v>
      </c>
      <c r="L1500" cm="1">
        <f t="array" ref="L1500">_xlfn.IFS(B1500=2015,G1500/$P$13,B1500=2016,G1500/$P$14,B1500=2017,G1500/$P$15,B1500=2018,G1500/$P$16,B1500=2019,G1500/$P$17,B1500=2019,G1500/$P$18,B1500=2020,G1500/$P$18,B1500=2021,G1500/$P$19,B1500=2022,G1500/$P$20)</f>
        <v>4.341332896863409E-4</v>
      </c>
    </row>
    <row r="1501" spans="1:12" x14ac:dyDescent="0.2">
      <c r="A1501">
        <v>3817760</v>
      </c>
      <c r="B1501">
        <v>2020</v>
      </c>
      <c r="C1501" t="s">
        <v>252</v>
      </c>
      <c r="D1501" t="s">
        <v>254</v>
      </c>
      <c r="E1501" t="s">
        <v>256</v>
      </c>
      <c r="F1501" s="5" t="s">
        <v>209</v>
      </c>
      <c r="G1501" s="7">
        <v>22434</v>
      </c>
      <c r="H1501" s="7" cm="1">
        <f t="array" ref="H1501">_xlfn.IFS(B1501=2015,L1501*$P$3,B1501=2016,L1501*$P$4,B1501=2017,L1501*$P$5,B1501=2018,L1501*$P$6,B1501=2019,L1501*$P$7,B1501=2020,L1501*$P$8,B1501=2021,L1501*$P$9,B1501=2022,L1501*$P$10)</f>
        <v>562.82460042064031</v>
      </c>
      <c r="I1501" s="7">
        <f t="shared" si="49"/>
        <v>22996.824600420641</v>
      </c>
      <c r="J1501">
        <f>IFERROR(VLOOKUP(F1501,'LEAID Match'!$A$2:$B$227,2,FALSE),"")</f>
        <v>3817760</v>
      </c>
      <c r="K1501">
        <f t="shared" si="48"/>
        <v>8</v>
      </c>
      <c r="L1501" cm="1">
        <f t="array" ref="L1501">_xlfn.IFS(B1501=2015,G1501/$P$13,B1501=2016,G1501/$P$14,B1501=2017,G1501/$P$15,B1501=2018,G1501/$P$16,B1501=2019,G1501/$P$17,B1501=2019,G1501/$P$18,B1501=2020,G1501/$P$18,B1501=2021,G1501/$P$19,B1501=2022,G1501/$P$20)</f>
        <v>2.4114164542443886E-4</v>
      </c>
    </row>
    <row r="1502" spans="1:12" x14ac:dyDescent="0.2">
      <c r="A1502">
        <v>3817760</v>
      </c>
      <c r="B1502" s="5">
        <v>2021</v>
      </c>
      <c r="C1502" t="s">
        <v>252</v>
      </c>
      <c r="D1502" t="s">
        <v>254</v>
      </c>
      <c r="E1502" t="s">
        <v>256</v>
      </c>
      <c r="F1502" s="5" t="s">
        <v>209</v>
      </c>
      <c r="G1502" s="7">
        <v>22110</v>
      </c>
      <c r="H1502" s="7" cm="1">
        <f t="array" ref="H1502">_xlfn.IFS(B1502=2015,L1502*$P$3,B1502=2016,L1502*$P$4,B1502=2017,L1502*$P$5,B1502=2018,L1502*$P$6,B1502=2019,L1502*$P$7,B1502=2020,L1502*$P$8,B1502=2021,L1502*$P$9,B1502=2022,L1502*$P$10)</f>
        <v>604.14012809506642</v>
      </c>
      <c r="I1502" s="7">
        <f t="shared" si="49"/>
        <v>22714.140128095067</v>
      </c>
      <c r="J1502">
        <f>IFERROR(VLOOKUP(F1502,'LEAID Match'!$A$2:$B$227,2,FALSE),"")</f>
        <v>3817760</v>
      </c>
      <c r="K1502">
        <f t="shared" si="48"/>
        <v>8</v>
      </c>
      <c r="L1502" cm="1">
        <f t="array" ref="L1502">_xlfn.IFS(B1502=2015,G1502/$P$13,B1502=2016,G1502/$P$14,B1502=2017,G1502/$P$15,B1502=2018,G1502/$P$16,B1502=2019,G1502/$P$17,B1502=2019,G1502/$P$18,B1502=2020,G1502/$P$18,B1502=2021,G1502/$P$19,B1502=2022,G1502/$P$20)</f>
        <v>2.2500563429983853E-4</v>
      </c>
    </row>
    <row r="1503" spans="1:12" x14ac:dyDescent="0.2">
      <c r="A1503">
        <v>3817760</v>
      </c>
      <c r="B1503">
        <v>2022</v>
      </c>
      <c r="C1503" t="s">
        <v>252</v>
      </c>
      <c r="D1503" t="s">
        <v>254</v>
      </c>
      <c r="E1503" t="s">
        <v>256</v>
      </c>
      <c r="F1503" s="5" t="s">
        <v>209</v>
      </c>
      <c r="G1503" s="7">
        <v>19948</v>
      </c>
      <c r="H1503" s="7" cm="1">
        <f t="array" ref="H1503">_xlfn.IFS(B1503=2015,L1503*$P$3,B1503=2016,L1503*$P$4,B1503=2017,L1503*$P$5,B1503=2018,L1503*$P$6,B1503=2019,L1503*$P$7,B1503=2020,L1503*$P$8,B1503=2021,L1503*$P$9,B1503=2022,L1503*$P$10)</f>
        <v>405.99292679663495</v>
      </c>
      <c r="I1503" s="7">
        <f t="shared" si="49"/>
        <v>20353.992926796636</v>
      </c>
      <c r="J1503">
        <f>IFERROR(VLOOKUP(F1503,'LEAID Match'!$A$2:$B$227,2,FALSE),"")</f>
        <v>3817760</v>
      </c>
      <c r="K1503">
        <f t="shared" si="48"/>
        <v>8</v>
      </c>
      <c r="L1503" cm="1">
        <f t="array" ref="L1503">_xlfn.IFS(B1503=2015,G1503/$P$13,B1503=2016,G1503/$P$14,B1503=2017,G1503/$P$15,B1503=2018,G1503/$P$16,B1503=2019,G1503/$P$17,B1503=2019,G1503/$P$18,B1503=2020,G1503/$P$18,B1503=2021,G1503/$P$19,B1503=2022,G1503/$P$20)</f>
        <v>1.9882121782401321E-4</v>
      </c>
    </row>
    <row r="1504" spans="1:12" x14ac:dyDescent="0.2">
      <c r="A1504">
        <v>3800016</v>
      </c>
      <c r="B1504">
        <v>2015</v>
      </c>
      <c r="C1504" t="s">
        <v>252</v>
      </c>
      <c r="D1504" t="s">
        <v>254</v>
      </c>
      <c r="E1504" t="s">
        <v>256</v>
      </c>
      <c r="F1504" s="5" t="s">
        <v>149</v>
      </c>
      <c r="G1504" s="7">
        <v>96316</v>
      </c>
      <c r="H1504" s="7" cm="1">
        <f t="array" ref="H1504">_xlfn.IFS(B1504=2015,L1504*$P$3,B1504=2016,L1504*$P$4,B1504=2017,L1504*$P$5,B1504=2018,L1504*$P$6,B1504=2019,L1504*$P$7,B1504=2020,L1504*$P$8,B1504=2021,L1504*$P$9,B1504=2022,L1504*$P$10)</f>
        <v>2177.5528581866593</v>
      </c>
      <c r="I1504" s="7">
        <f t="shared" si="49"/>
        <v>98493.552858186653</v>
      </c>
      <c r="J1504">
        <f>IFERROR(VLOOKUP(F1504,'LEAID Match'!$A$2:$B$227,2,FALSE),"")</f>
        <v>3800016</v>
      </c>
      <c r="K1504">
        <f t="shared" si="48"/>
        <v>8</v>
      </c>
      <c r="L1504" cm="1">
        <f t="array" ref="L1504">_xlfn.IFS(B1504=2015,G1504/$P$13,B1504=2016,G1504/$P$14,B1504=2017,G1504/$P$15,B1504=2018,G1504/$P$16,B1504=2019,G1504/$P$17,B1504=2019,G1504/$P$18,B1504=2020,G1504/$P$18,B1504=2021,G1504/$P$19,B1504=2022,G1504/$P$20)</f>
        <v>1.2281742008949008E-3</v>
      </c>
    </row>
    <row r="1505" spans="1:12" x14ac:dyDescent="0.2">
      <c r="A1505">
        <v>3800016</v>
      </c>
      <c r="B1505">
        <v>2016</v>
      </c>
      <c r="C1505" t="s">
        <v>252</v>
      </c>
      <c r="D1505" t="s">
        <v>254</v>
      </c>
      <c r="E1505" t="s">
        <v>256</v>
      </c>
      <c r="F1505" s="5" t="s">
        <v>149</v>
      </c>
      <c r="G1505" s="7">
        <v>103333</v>
      </c>
      <c r="H1505" s="7" cm="1">
        <f t="array" ref="H1505">_xlfn.IFS(B1505=2015,L1505*$P$3,B1505=2016,L1505*$P$4,B1505=2017,L1505*$P$5,B1505=2018,L1505*$P$6,B1505=2019,L1505*$P$7,B1505=2020,L1505*$P$8,B1505=2021,L1505*$P$9,B1505=2022,L1505*$P$10)</f>
        <v>3508.8842481049383</v>
      </c>
      <c r="I1505" s="7">
        <f t="shared" si="49"/>
        <v>106841.88424810494</v>
      </c>
      <c r="J1505">
        <f>IFERROR(VLOOKUP(F1505,'LEAID Match'!$A$2:$B$227,2,FALSE),"")</f>
        <v>3800016</v>
      </c>
      <c r="K1505">
        <f t="shared" si="48"/>
        <v>8</v>
      </c>
      <c r="L1505" cm="1">
        <f t="array" ref="L1505">_xlfn.IFS(B1505=2015,G1505/$P$13,B1505=2016,G1505/$P$14,B1505=2017,G1505/$P$15,B1505=2018,G1505/$P$16,B1505=2019,G1505/$P$17,B1505=2019,G1505/$P$18,B1505=2020,G1505/$P$18,B1505=2021,G1505/$P$19,B1505=2022,G1505/$P$20)</f>
        <v>1.2473815314983784E-3</v>
      </c>
    </row>
    <row r="1506" spans="1:12" x14ac:dyDescent="0.2">
      <c r="A1506">
        <v>3800016</v>
      </c>
      <c r="B1506">
        <v>2017</v>
      </c>
      <c r="C1506" t="s">
        <v>252</v>
      </c>
      <c r="D1506" t="s">
        <v>254</v>
      </c>
      <c r="E1506" t="s">
        <v>256</v>
      </c>
      <c r="F1506" s="5" t="s">
        <v>149</v>
      </c>
      <c r="G1506" s="7">
        <v>112628</v>
      </c>
      <c r="H1506" s="7" cm="1">
        <f t="array" ref="H1506">_xlfn.IFS(B1506=2015,L1506*$P$3,B1506=2016,L1506*$P$4,B1506=2017,L1506*$P$5,B1506=2018,L1506*$P$6,B1506=2019,L1506*$P$7,B1506=2020,L1506*$P$8,B1506=2021,L1506*$P$9,B1506=2022,L1506*$P$10)</f>
        <v>3650.0539404058823</v>
      </c>
      <c r="I1506" s="7">
        <f t="shared" si="49"/>
        <v>116278.05394040588</v>
      </c>
      <c r="J1506">
        <f>IFERROR(VLOOKUP(F1506,'LEAID Match'!$A$2:$B$227,2,FALSE),"")</f>
        <v>3800016</v>
      </c>
      <c r="K1506">
        <f t="shared" si="48"/>
        <v>8</v>
      </c>
      <c r="L1506" cm="1">
        <f t="array" ref="L1506">_xlfn.IFS(B1506=2015,G1506/$P$13,B1506=2016,G1506/$P$14,B1506=2017,G1506/$P$15,B1506=2018,G1506/$P$16,B1506=2019,G1506/$P$17,B1506=2019,G1506/$P$18,B1506=2020,G1506/$P$18,B1506=2021,G1506/$P$19,B1506=2022,G1506/$P$20)</f>
        <v>1.3087321406976989E-3</v>
      </c>
    </row>
    <row r="1507" spans="1:12" x14ac:dyDescent="0.2">
      <c r="A1507">
        <v>3800016</v>
      </c>
      <c r="B1507" s="5">
        <v>2018</v>
      </c>
      <c r="C1507" t="s">
        <v>252</v>
      </c>
      <c r="D1507" t="s">
        <v>254</v>
      </c>
      <c r="E1507" t="s">
        <v>256</v>
      </c>
      <c r="F1507" s="5" t="s">
        <v>149</v>
      </c>
      <c r="G1507" s="7">
        <v>122206</v>
      </c>
      <c r="H1507" s="7" cm="1">
        <f t="array" ref="H1507">_xlfn.IFS(B1507=2015,L1507*$P$3,B1507=2016,L1507*$P$4,B1507=2017,L1507*$P$5,B1507=2018,L1507*$P$6,B1507=2019,L1507*$P$7,B1507=2020,L1507*$P$8,B1507=2021,L1507*$P$9,B1507=2022,L1507*$P$10)</f>
        <v>3348.5652063631901</v>
      </c>
      <c r="I1507" s="7">
        <f t="shared" si="49"/>
        <v>125554.56520636319</v>
      </c>
      <c r="J1507">
        <f>IFERROR(VLOOKUP(F1507,'LEAID Match'!$A$2:$B$227,2,FALSE),"")</f>
        <v>3800016</v>
      </c>
      <c r="K1507">
        <f t="shared" si="48"/>
        <v>8</v>
      </c>
      <c r="L1507" cm="1">
        <f t="array" ref="L1507">_xlfn.IFS(B1507=2015,G1507/$P$13,B1507=2016,G1507/$P$14,B1507=2017,G1507/$P$15,B1507=2018,G1507/$P$16,B1507=2019,G1507/$P$17,B1507=2019,G1507/$P$18,B1507=2020,G1507/$P$18,B1507=2021,G1507/$P$19,B1507=2022,G1507/$P$20)</f>
        <v>1.4099221921529221E-3</v>
      </c>
    </row>
    <row r="1508" spans="1:12" x14ac:dyDescent="0.2">
      <c r="A1508">
        <v>3800016</v>
      </c>
      <c r="B1508">
        <v>2019</v>
      </c>
      <c r="C1508" t="s">
        <v>252</v>
      </c>
      <c r="D1508" t="s">
        <v>254</v>
      </c>
      <c r="E1508" t="s">
        <v>256</v>
      </c>
      <c r="F1508" s="5" t="s">
        <v>149</v>
      </c>
      <c r="G1508" s="7">
        <v>127204</v>
      </c>
      <c r="H1508" s="7" cm="1">
        <f t="array" ref="H1508">_xlfn.IFS(B1508=2015,L1508*$P$3,B1508=2016,L1508*$P$4,B1508=2017,L1508*$P$5,B1508=2018,L1508*$P$6,B1508=2019,L1508*$P$7,B1508=2020,L1508*$P$8,B1508=2021,L1508*$P$9,B1508=2022,L1508*$P$10)</f>
        <v>2952.3825623110006</v>
      </c>
      <c r="I1508" s="7">
        <f t="shared" si="49"/>
        <v>130156.382562311</v>
      </c>
      <c r="J1508">
        <f>IFERROR(VLOOKUP(F1508,'LEAID Match'!$A$2:$B$227,2,FALSE),"")</f>
        <v>3800016</v>
      </c>
      <c r="K1508">
        <f t="shared" si="48"/>
        <v>8</v>
      </c>
      <c r="L1508" cm="1">
        <f t="array" ref="L1508">_xlfn.IFS(B1508=2015,G1508/$P$13,B1508=2016,G1508/$P$14,B1508=2017,G1508/$P$15,B1508=2018,G1508/$P$16,B1508=2019,G1508/$P$17,B1508=2019,G1508/$P$18,B1508=2020,G1508/$P$18,B1508=2021,G1508/$P$19,B1508=2022,G1508/$P$20)</f>
        <v>1.4221495964889213E-3</v>
      </c>
    </row>
    <row r="1509" spans="1:12" x14ac:dyDescent="0.2">
      <c r="A1509">
        <v>3800016</v>
      </c>
      <c r="B1509">
        <v>2020</v>
      </c>
      <c r="C1509" t="s">
        <v>252</v>
      </c>
      <c r="D1509" t="s">
        <v>254</v>
      </c>
      <c r="E1509" t="s">
        <v>256</v>
      </c>
      <c r="F1509" s="5" t="s">
        <v>149</v>
      </c>
      <c r="G1509" s="7">
        <v>113275</v>
      </c>
      <c r="H1509" s="7" cm="1">
        <f t="array" ref="H1509">_xlfn.IFS(B1509=2015,L1509*$P$3,B1509=2016,L1509*$P$4,B1509=2017,L1509*$P$5,B1509=2018,L1509*$P$6,B1509=2019,L1509*$P$7,B1509=2020,L1509*$P$8,B1509=2021,L1509*$P$9,B1509=2022,L1509*$P$10)</f>
        <v>2841.845262220203</v>
      </c>
      <c r="I1509" s="7">
        <f t="shared" si="49"/>
        <v>116116.8452622202</v>
      </c>
      <c r="J1509">
        <f>IFERROR(VLOOKUP(F1509,'LEAID Match'!$A$2:$B$227,2,FALSE),"")</f>
        <v>3800016</v>
      </c>
      <c r="K1509">
        <f t="shared" si="48"/>
        <v>8</v>
      </c>
      <c r="L1509" cm="1">
        <f t="array" ref="L1509">_xlfn.IFS(B1509=2015,G1509/$P$13,B1509=2016,G1509/$P$14,B1509=2017,G1509/$P$15,B1509=2018,G1509/$P$16,B1509=2019,G1509/$P$17,B1509=2019,G1509/$P$18,B1509=2020,G1509/$P$18,B1509=2021,G1509/$P$19,B1509=2022,G1509/$P$20)</f>
        <v>1.217585802150901E-3</v>
      </c>
    </row>
    <row r="1510" spans="1:12" x14ac:dyDescent="0.2">
      <c r="A1510">
        <v>3800016</v>
      </c>
      <c r="B1510" s="5">
        <v>2021</v>
      </c>
      <c r="C1510" t="s">
        <v>252</v>
      </c>
      <c r="D1510" t="s">
        <v>254</v>
      </c>
      <c r="E1510" t="s">
        <v>256</v>
      </c>
      <c r="F1510" s="5" t="s">
        <v>149</v>
      </c>
      <c r="G1510" s="7">
        <v>115167</v>
      </c>
      <c r="H1510" s="7" cm="1">
        <f t="array" ref="H1510">_xlfn.IFS(B1510=2015,L1510*$P$3,B1510=2016,L1510*$P$4,B1510=2017,L1510*$P$5,B1510=2018,L1510*$P$6,B1510=2019,L1510*$P$7,B1510=2020,L1510*$P$8,B1510=2021,L1510*$P$9,B1510=2022,L1510*$P$10)</f>
        <v>3146.8569033163512</v>
      </c>
      <c r="I1510" s="7">
        <f t="shared" si="49"/>
        <v>118313.85690331635</v>
      </c>
      <c r="J1510">
        <f>IFERROR(VLOOKUP(F1510,'LEAID Match'!$A$2:$B$227,2,FALSE),"")</f>
        <v>3800016</v>
      </c>
      <c r="K1510">
        <f t="shared" si="48"/>
        <v>8</v>
      </c>
      <c r="L1510" cm="1">
        <f t="array" ref="L1510">_xlfn.IFS(B1510=2015,G1510/$P$13,B1510=2016,G1510/$P$14,B1510=2017,G1510/$P$15,B1510=2018,G1510/$P$16,B1510=2019,G1510/$P$17,B1510=2019,G1510/$P$18,B1510=2020,G1510/$P$18,B1510=2021,G1510/$P$19,B1510=2022,G1510/$P$20)</f>
        <v>1.1720137442518999E-3</v>
      </c>
    </row>
    <row r="1511" spans="1:12" x14ac:dyDescent="0.2">
      <c r="A1511">
        <v>3800016</v>
      </c>
      <c r="B1511">
        <v>2022</v>
      </c>
      <c r="C1511" t="s">
        <v>252</v>
      </c>
      <c r="D1511" t="s">
        <v>254</v>
      </c>
      <c r="E1511" t="s">
        <v>256</v>
      </c>
      <c r="F1511" s="5" t="s">
        <v>149</v>
      </c>
      <c r="G1511" s="7">
        <v>118894</v>
      </c>
      <c r="H1511" s="7" cm="1">
        <f t="array" ref="H1511">_xlfn.IFS(B1511=2015,L1511*$P$3,B1511=2016,L1511*$P$4,B1511=2017,L1511*$P$5,B1511=2018,L1511*$P$6,B1511=2019,L1511*$P$7,B1511=2020,L1511*$P$8,B1511=2021,L1511*$P$9,B1511=2022,L1511*$P$10)</f>
        <v>2419.7976257549185</v>
      </c>
      <c r="I1511" s="7">
        <f t="shared" si="49"/>
        <v>121313.79762575492</v>
      </c>
      <c r="J1511">
        <f>IFERROR(VLOOKUP(F1511,'LEAID Match'!$A$2:$B$227,2,FALSE),"")</f>
        <v>3800016</v>
      </c>
      <c r="K1511">
        <f t="shared" si="48"/>
        <v>8</v>
      </c>
      <c r="L1511" cm="1">
        <f t="array" ref="L1511">_xlfn.IFS(B1511=2015,G1511/$P$13,B1511=2016,G1511/$P$14,B1511=2017,G1511/$P$15,B1511=2018,G1511/$P$16,B1511=2019,G1511/$P$17,B1511=2019,G1511/$P$18,B1511=2020,G1511/$P$18,B1511=2021,G1511/$P$19,B1511=2022,G1511/$P$20)</f>
        <v>1.1850135287732216E-3</v>
      </c>
    </row>
    <row r="1512" spans="1:12" x14ac:dyDescent="0.2">
      <c r="A1512">
        <v>3817910</v>
      </c>
      <c r="B1512">
        <v>2015</v>
      </c>
      <c r="C1512" t="s">
        <v>252</v>
      </c>
      <c r="D1512" t="s">
        <v>254</v>
      </c>
      <c r="E1512" t="s">
        <v>256</v>
      </c>
      <c r="F1512" s="5" t="s">
        <v>150</v>
      </c>
      <c r="G1512" s="7">
        <v>290439</v>
      </c>
      <c r="H1512" s="7" cm="1">
        <f t="array" ref="H1512">_xlfn.IFS(B1512=2015,L1512*$P$3,B1512=2016,L1512*$P$4,B1512=2017,L1512*$P$5,B1512=2018,L1512*$P$6,B1512=2019,L1512*$P$7,B1512=2020,L1512*$P$8,B1512=2021,L1512*$P$9,B1512=2022,L1512*$P$10)</f>
        <v>6566.3677330752425</v>
      </c>
      <c r="I1512" s="7">
        <f t="shared" si="49"/>
        <v>297005.36773307523</v>
      </c>
      <c r="J1512">
        <f>IFERROR(VLOOKUP(F1512,'LEAID Match'!$A$2:$B$227,2,FALSE),"")</f>
        <v>3817910</v>
      </c>
      <c r="K1512">
        <f t="shared" si="48"/>
        <v>8</v>
      </c>
      <c r="L1512" cm="1">
        <f t="array" ref="L1512">_xlfn.IFS(B1512=2015,G1512/$P$13,B1512=2016,G1512/$P$14,B1512=2017,G1512/$P$15,B1512=2018,G1512/$P$16,B1512=2019,G1512/$P$17,B1512=2019,G1512/$P$18,B1512=2020,G1512/$P$18,B1512=2021,G1512/$P$19,B1512=2022,G1512/$P$20)</f>
        <v>3.7035351004372492E-3</v>
      </c>
    </row>
    <row r="1513" spans="1:12" x14ac:dyDescent="0.2">
      <c r="A1513">
        <v>3817910</v>
      </c>
      <c r="B1513">
        <v>2016</v>
      </c>
      <c r="C1513" t="s">
        <v>252</v>
      </c>
      <c r="D1513" t="s">
        <v>254</v>
      </c>
      <c r="E1513" t="s">
        <v>256</v>
      </c>
      <c r="F1513" s="5" t="s">
        <v>150</v>
      </c>
      <c r="G1513" s="7">
        <v>303178</v>
      </c>
      <c r="H1513" s="7" cm="1">
        <f t="array" ref="H1513">_xlfn.IFS(B1513=2015,L1513*$P$3,B1513=2016,L1513*$P$4,B1513=2017,L1513*$P$5,B1513=2018,L1513*$P$6,B1513=2019,L1513*$P$7,B1513=2020,L1513*$P$8,B1513=2021,L1513*$P$9,B1513=2022,L1513*$P$10)</f>
        <v>10295.031679830829</v>
      </c>
      <c r="I1513" s="7">
        <f t="shared" si="49"/>
        <v>313473.0316798308</v>
      </c>
      <c r="J1513">
        <f>IFERROR(VLOOKUP(F1513,'LEAID Match'!$A$2:$B$227,2,FALSE),"")</f>
        <v>3817910</v>
      </c>
      <c r="K1513">
        <f t="shared" si="48"/>
        <v>8</v>
      </c>
      <c r="L1513" cm="1">
        <f t="array" ref="L1513">_xlfn.IFS(B1513=2015,G1513/$P$13,B1513=2016,G1513/$P$14,B1513=2017,G1513/$P$15,B1513=2018,G1513/$P$16,B1513=2019,G1513/$P$17,B1513=2019,G1513/$P$18,B1513=2020,G1513/$P$18,B1513=2021,G1513/$P$19,B1513=2022,G1513/$P$20)</f>
        <v>3.6598050763707178E-3</v>
      </c>
    </row>
    <row r="1514" spans="1:12" x14ac:dyDescent="0.2">
      <c r="A1514">
        <v>3817910</v>
      </c>
      <c r="B1514">
        <v>2017</v>
      </c>
      <c r="C1514" t="s">
        <v>252</v>
      </c>
      <c r="D1514" t="s">
        <v>254</v>
      </c>
      <c r="E1514" t="s">
        <v>256</v>
      </c>
      <c r="F1514" s="5" t="s">
        <v>150</v>
      </c>
      <c r="G1514" s="7">
        <v>309184</v>
      </c>
      <c r="H1514" s="7" cm="1">
        <f t="array" ref="H1514">_xlfn.IFS(B1514=2015,L1514*$P$3,B1514=2016,L1514*$P$4,B1514=2017,L1514*$P$5,B1514=2018,L1514*$P$6,B1514=2019,L1514*$P$7,B1514=2020,L1514*$P$8,B1514=2021,L1514*$P$9,B1514=2022,L1514*$P$10)</f>
        <v>10020.050764556348</v>
      </c>
      <c r="I1514" s="7">
        <f t="shared" si="49"/>
        <v>319204.05076455633</v>
      </c>
      <c r="J1514">
        <f>IFERROR(VLOOKUP(F1514,'LEAID Match'!$A$2:$B$227,2,FALSE),"")</f>
        <v>3817910</v>
      </c>
      <c r="K1514">
        <f t="shared" si="48"/>
        <v>8</v>
      </c>
      <c r="L1514" cm="1">
        <f t="array" ref="L1514">_xlfn.IFS(B1514=2015,G1514/$P$13,B1514=2016,G1514/$P$14,B1514=2017,G1514/$P$15,B1514=2018,G1514/$P$16,B1514=2019,G1514/$P$17,B1514=2019,G1514/$P$18,B1514=2020,G1514/$P$18,B1514=2021,G1514/$P$19,B1514=2022,G1514/$P$20)</f>
        <v>3.5927037520818747E-3</v>
      </c>
    </row>
    <row r="1515" spans="1:12" x14ac:dyDescent="0.2">
      <c r="A1515">
        <v>3817910</v>
      </c>
      <c r="B1515" s="5">
        <v>2018</v>
      </c>
      <c r="C1515" t="s">
        <v>252</v>
      </c>
      <c r="D1515" t="s">
        <v>254</v>
      </c>
      <c r="E1515" t="s">
        <v>256</v>
      </c>
      <c r="F1515" s="5" t="s">
        <v>150</v>
      </c>
      <c r="G1515" s="7">
        <v>321538</v>
      </c>
      <c r="H1515" s="7" cm="1">
        <f t="array" ref="H1515">_xlfn.IFS(B1515=2015,L1515*$P$3,B1515=2016,L1515*$P$4,B1515=2017,L1515*$P$5,B1515=2018,L1515*$P$6,B1515=2019,L1515*$P$7,B1515=2020,L1515*$P$8,B1515=2021,L1515*$P$9,B1515=2022,L1515*$P$10)</f>
        <v>8810.4590553950493</v>
      </c>
      <c r="I1515" s="7">
        <f t="shared" si="49"/>
        <v>330348.45905539504</v>
      </c>
      <c r="J1515">
        <f>IFERROR(VLOOKUP(F1515,'LEAID Match'!$A$2:$B$227,2,FALSE),"")</f>
        <v>3817910</v>
      </c>
      <c r="K1515">
        <f t="shared" si="48"/>
        <v>8</v>
      </c>
      <c r="L1515" cm="1">
        <f t="array" ref="L1515">_xlfn.IFS(B1515=2015,G1515/$P$13,B1515=2016,G1515/$P$14,B1515=2017,G1515/$P$15,B1515=2018,G1515/$P$16,B1515=2019,G1515/$P$17,B1515=2019,G1515/$P$18,B1515=2020,G1515/$P$18,B1515=2021,G1515/$P$19,B1515=2022,G1515/$P$20)</f>
        <v>3.7096669706926525E-3</v>
      </c>
    </row>
    <row r="1516" spans="1:12" x14ac:dyDescent="0.2">
      <c r="A1516">
        <v>3817910</v>
      </c>
      <c r="B1516">
        <v>2019</v>
      </c>
      <c r="C1516" t="s">
        <v>252</v>
      </c>
      <c r="D1516" t="s">
        <v>254</v>
      </c>
      <c r="E1516" t="s">
        <v>256</v>
      </c>
      <c r="F1516" s="5" t="s">
        <v>150</v>
      </c>
      <c r="G1516" s="7">
        <v>322716</v>
      </c>
      <c r="H1516" s="7" cm="1">
        <f t="array" ref="H1516">_xlfn.IFS(B1516=2015,L1516*$P$3,B1516=2016,L1516*$P$4,B1516=2017,L1516*$P$5,B1516=2018,L1516*$P$6,B1516=2019,L1516*$P$7,B1516=2020,L1516*$P$8,B1516=2021,L1516*$P$9,B1516=2022,L1516*$P$10)</f>
        <v>7490.1818415989828</v>
      </c>
      <c r="I1516" s="7">
        <f t="shared" si="49"/>
        <v>330206.181841599</v>
      </c>
      <c r="J1516">
        <f>IFERROR(VLOOKUP(F1516,'LEAID Match'!$A$2:$B$227,2,FALSE),"")</f>
        <v>3817910</v>
      </c>
      <c r="K1516">
        <f t="shared" si="48"/>
        <v>8</v>
      </c>
      <c r="L1516" cm="1">
        <f t="array" ref="L1516">_xlfn.IFS(B1516=2015,G1516/$P$13,B1516=2016,G1516/$P$14,B1516=2017,G1516/$P$15,B1516=2018,G1516/$P$16,B1516=2019,G1516/$P$17,B1516=2019,G1516/$P$18,B1516=2020,G1516/$P$18,B1516=2021,G1516/$P$19,B1516=2022,G1516/$P$20)</f>
        <v>3.6079873996141534E-3</v>
      </c>
    </row>
    <row r="1517" spans="1:12" x14ac:dyDescent="0.2">
      <c r="A1517">
        <v>3817910</v>
      </c>
      <c r="B1517">
        <v>2020</v>
      </c>
      <c r="C1517" t="s">
        <v>252</v>
      </c>
      <c r="D1517" t="s">
        <v>254</v>
      </c>
      <c r="E1517" t="s">
        <v>256</v>
      </c>
      <c r="F1517" s="5" t="s">
        <v>150</v>
      </c>
      <c r="G1517" s="7">
        <v>338579</v>
      </c>
      <c r="H1517" s="7" cm="1">
        <f t="array" ref="H1517">_xlfn.IFS(B1517=2015,L1517*$P$3,B1517=2016,L1517*$P$4,B1517=2017,L1517*$P$5,B1517=2018,L1517*$P$6,B1517=2019,L1517*$P$7,B1517=2020,L1517*$P$8,B1517=2021,L1517*$P$9,B1517=2022,L1517*$P$10)</f>
        <v>8494.2761159766414</v>
      </c>
      <c r="I1517" s="7">
        <f t="shared" si="49"/>
        <v>347073.27611597662</v>
      </c>
      <c r="J1517">
        <f>IFERROR(VLOOKUP(F1517,'LEAID Match'!$A$2:$B$227,2,FALSE),"")</f>
        <v>3817910</v>
      </c>
      <c r="K1517">
        <f t="shared" si="48"/>
        <v>8</v>
      </c>
      <c r="L1517" cm="1">
        <f t="array" ref="L1517">_xlfn.IFS(B1517=2015,G1517/$P$13,B1517=2016,G1517/$P$14,B1517=2017,G1517/$P$15,B1517=2018,G1517/$P$16,B1517=2019,G1517/$P$17,B1517=2019,G1517/$P$18,B1517=2020,G1517/$P$18,B1517=2021,G1517/$P$19,B1517=2022,G1517/$P$20)</f>
        <v>3.6393642313524597E-3</v>
      </c>
    </row>
    <row r="1518" spans="1:12" x14ac:dyDescent="0.2">
      <c r="A1518">
        <v>3817910</v>
      </c>
      <c r="B1518" s="5">
        <v>2021</v>
      </c>
      <c r="C1518" t="s">
        <v>252</v>
      </c>
      <c r="D1518" t="s">
        <v>254</v>
      </c>
      <c r="E1518" t="s">
        <v>256</v>
      </c>
      <c r="F1518" s="5" t="s">
        <v>150</v>
      </c>
      <c r="G1518" s="7">
        <v>344878</v>
      </c>
      <c r="H1518" s="7" cm="1">
        <f t="array" ref="H1518">_xlfn.IFS(B1518=2015,L1518*$P$3,B1518=2016,L1518*$P$4,B1518=2017,L1518*$P$5,B1518=2018,L1518*$P$6,B1518=2019,L1518*$P$7,B1518=2020,L1518*$P$8,B1518=2021,L1518*$P$9,B1518=2022,L1518*$P$10)</f>
        <v>9423.5476751320821</v>
      </c>
      <c r="I1518" s="7">
        <f t="shared" si="49"/>
        <v>354301.54767513205</v>
      </c>
      <c r="J1518">
        <f>IFERROR(VLOOKUP(F1518,'LEAID Match'!$A$2:$B$227,2,FALSE),"")</f>
        <v>3817910</v>
      </c>
      <c r="K1518">
        <f t="shared" si="48"/>
        <v>8</v>
      </c>
      <c r="L1518" cm="1">
        <f t="array" ref="L1518">_xlfn.IFS(B1518=2015,G1518/$P$13,B1518=2016,G1518/$P$14,B1518=2017,G1518/$P$15,B1518=2018,G1518/$P$16,B1518=2019,G1518/$P$17,B1518=2019,G1518/$P$18,B1518=2020,G1518/$P$18,B1518=2021,G1518/$P$19,B1518=2022,G1518/$P$20)</f>
        <v>3.5097011825445373E-3</v>
      </c>
    </row>
    <row r="1519" spans="1:12" x14ac:dyDescent="0.2">
      <c r="A1519">
        <v>3817910</v>
      </c>
      <c r="B1519">
        <v>2022</v>
      </c>
      <c r="C1519" t="s">
        <v>252</v>
      </c>
      <c r="D1519" t="s">
        <v>254</v>
      </c>
      <c r="E1519" t="s">
        <v>256</v>
      </c>
      <c r="F1519" s="5" t="s">
        <v>150</v>
      </c>
      <c r="G1519" s="7">
        <v>342962</v>
      </c>
      <c r="H1519" s="7" cm="1">
        <f t="array" ref="H1519">_xlfn.IFS(B1519=2015,L1519*$P$3,B1519=2016,L1519*$P$4,B1519=2017,L1519*$P$5,B1519=2018,L1519*$P$6,B1519=2019,L1519*$P$7,B1519=2020,L1519*$P$8,B1519=2021,L1519*$P$9,B1519=2022,L1519*$P$10)</f>
        <v>6980.1557128547984</v>
      </c>
      <c r="I1519" s="7">
        <f t="shared" si="49"/>
        <v>349942.15571285482</v>
      </c>
      <c r="J1519">
        <f>IFERROR(VLOOKUP(F1519,'LEAID Match'!$A$2:$B$227,2,FALSE),"")</f>
        <v>3817910</v>
      </c>
      <c r="K1519">
        <f t="shared" si="48"/>
        <v>8</v>
      </c>
      <c r="L1519" cm="1">
        <f t="array" ref="L1519">_xlfn.IFS(B1519=2015,G1519/$P$13,B1519=2016,G1519/$P$14,B1519=2017,G1519/$P$15,B1519=2018,G1519/$P$16,B1519=2019,G1519/$P$17,B1519=2019,G1519/$P$18,B1519=2020,G1519/$P$18,B1519=2021,G1519/$P$19,B1519=2022,G1519/$P$20)</f>
        <v>3.4182936889592549E-3</v>
      </c>
    </row>
    <row r="1520" spans="1:12" x14ac:dyDescent="0.2">
      <c r="A1520">
        <v>3817940</v>
      </c>
      <c r="B1520">
        <v>2015</v>
      </c>
      <c r="C1520" t="s">
        <v>252</v>
      </c>
      <c r="D1520" t="s">
        <v>254</v>
      </c>
      <c r="E1520" t="s">
        <v>256</v>
      </c>
      <c r="F1520" s="5" t="s">
        <v>151</v>
      </c>
      <c r="G1520" s="7">
        <v>9817</v>
      </c>
      <c r="H1520" s="7" cm="1">
        <f t="array" ref="H1520">_xlfn.IFS(B1520=2015,L1520*$P$3,B1520=2016,L1520*$P$4,B1520=2017,L1520*$P$5,B1520=2018,L1520*$P$6,B1520=2019,L1520*$P$7,B1520=2020,L1520*$P$8,B1520=2021,L1520*$P$9,B1520=2022,L1520*$P$10)</f>
        <v>221.94688742076534</v>
      </c>
      <c r="I1520" s="7">
        <f t="shared" si="49"/>
        <v>10038.946887420765</v>
      </c>
      <c r="J1520">
        <f>IFERROR(VLOOKUP(F1520,'LEAID Match'!$A$2:$B$227,2,FALSE),"")</f>
        <v>3817940</v>
      </c>
      <c r="K1520">
        <f t="shared" si="48"/>
        <v>8</v>
      </c>
      <c r="L1520" cm="1">
        <f t="array" ref="L1520">_xlfn.IFS(B1520=2015,G1520/$P$13,B1520=2016,G1520/$P$14,B1520=2017,G1520/$P$15,B1520=2018,G1520/$P$16,B1520=2019,G1520/$P$17,B1520=2019,G1520/$P$18,B1520=2020,G1520/$P$18,B1520=2021,G1520/$P$19,B1520=2022,G1520/$P$20)</f>
        <v>1.2518154958870013E-4</v>
      </c>
    </row>
    <row r="1521" spans="1:12" x14ac:dyDescent="0.2">
      <c r="A1521">
        <v>3817940</v>
      </c>
      <c r="B1521">
        <v>2016</v>
      </c>
      <c r="C1521" t="s">
        <v>252</v>
      </c>
      <c r="D1521" t="s">
        <v>254</v>
      </c>
      <c r="E1521" t="s">
        <v>256</v>
      </c>
      <c r="F1521" s="5" t="s">
        <v>151</v>
      </c>
      <c r="G1521" s="7">
        <v>10679</v>
      </c>
      <c r="H1521" s="7" cm="1">
        <f t="array" ref="H1521">_xlfn.IFS(B1521=2015,L1521*$P$3,B1521=2016,L1521*$P$4,B1521=2017,L1521*$P$5,B1521=2018,L1521*$P$6,B1521=2019,L1521*$P$7,B1521=2020,L1521*$P$8,B1521=2021,L1521*$P$9,B1521=2022,L1521*$P$10)</f>
        <v>362.62737833521373</v>
      </c>
      <c r="I1521" s="7">
        <f t="shared" si="49"/>
        <v>11041.627378335214</v>
      </c>
      <c r="J1521">
        <f>IFERROR(VLOOKUP(F1521,'LEAID Match'!$A$2:$B$227,2,FALSE),"")</f>
        <v>3817940</v>
      </c>
      <c r="K1521">
        <f t="shared" si="48"/>
        <v>8</v>
      </c>
      <c r="L1521" cm="1">
        <f t="array" ref="L1521">_xlfn.IFS(B1521=2015,G1521/$P$13,B1521=2016,G1521/$P$14,B1521=2017,G1521/$P$15,B1521=2018,G1521/$P$16,B1521=2019,G1521/$P$17,B1521=2019,G1521/$P$18,B1521=2020,G1521/$P$18,B1521=2021,G1521/$P$19,B1521=2022,G1521/$P$20)</f>
        <v>1.2891126140604826E-4</v>
      </c>
    </row>
    <row r="1522" spans="1:12" x14ac:dyDescent="0.2">
      <c r="A1522">
        <v>3817940</v>
      </c>
      <c r="B1522">
        <v>2017</v>
      </c>
      <c r="C1522" t="s">
        <v>252</v>
      </c>
      <c r="D1522" t="s">
        <v>254</v>
      </c>
      <c r="E1522" t="s">
        <v>256</v>
      </c>
      <c r="F1522" s="5" t="s">
        <v>151</v>
      </c>
      <c r="G1522" s="7">
        <v>13002</v>
      </c>
      <c r="H1522" s="7" cm="1">
        <f t="array" ref="H1522">_xlfn.IFS(B1522=2015,L1522*$P$3,B1522=2016,L1522*$P$4,B1522=2017,L1522*$P$5,B1522=2018,L1522*$P$6,B1522=2019,L1522*$P$7,B1522=2020,L1522*$P$8,B1522=2021,L1522*$P$9,B1522=2022,L1522*$P$10)</f>
        <v>421.36947591324787</v>
      </c>
      <c r="I1522" s="7">
        <f t="shared" si="49"/>
        <v>13423.369475913249</v>
      </c>
      <c r="J1522">
        <f>IFERROR(VLOOKUP(F1522,'LEAID Match'!$A$2:$B$227,2,FALSE),"")</f>
        <v>3817940</v>
      </c>
      <c r="K1522">
        <f t="shared" si="48"/>
        <v>8</v>
      </c>
      <c r="L1522" cm="1">
        <f t="array" ref="L1522">_xlfn.IFS(B1522=2015,G1522/$P$13,B1522=2016,G1522/$P$14,B1522=2017,G1522/$P$15,B1522=2018,G1522/$P$16,B1522=2019,G1522/$P$17,B1522=2019,G1522/$P$18,B1522=2020,G1522/$P$18,B1522=2021,G1522/$P$19,B1522=2022,G1522/$P$20)</f>
        <v>1.5108263747337679E-4</v>
      </c>
    </row>
    <row r="1523" spans="1:12" x14ac:dyDescent="0.2">
      <c r="A1523">
        <v>3817940</v>
      </c>
      <c r="B1523" s="5">
        <v>2018</v>
      </c>
      <c r="C1523" t="s">
        <v>252</v>
      </c>
      <c r="D1523" t="s">
        <v>254</v>
      </c>
      <c r="E1523" t="s">
        <v>256</v>
      </c>
      <c r="F1523" s="5" t="s">
        <v>151</v>
      </c>
      <c r="G1523" s="7">
        <v>14267</v>
      </c>
      <c r="H1523" s="7" cm="1">
        <f t="array" ref="H1523">_xlfn.IFS(B1523=2015,L1523*$P$3,B1523=2016,L1523*$P$4,B1523=2017,L1523*$P$5,B1523=2018,L1523*$P$6,B1523=2019,L1523*$P$7,B1523=2020,L1523*$P$8,B1523=2021,L1523*$P$9,B1523=2022,L1523*$P$10)</f>
        <v>390.92990359870743</v>
      </c>
      <c r="I1523" s="7">
        <f t="shared" si="49"/>
        <v>14657.929903598708</v>
      </c>
      <c r="J1523">
        <f>IFERROR(VLOOKUP(F1523,'LEAID Match'!$A$2:$B$227,2,FALSE),"")</f>
        <v>3817940</v>
      </c>
      <c r="K1523">
        <f t="shared" si="48"/>
        <v>8</v>
      </c>
      <c r="L1523" cm="1">
        <f t="array" ref="L1523">_xlfn.IFS(B1523=2015,G1523/$P$13,B1523=2016,G1523/$P$14,B1523=2017,G1523/$P$15,B1523=2018,G1523/$P$16,B1523=2019,G1523/$P$17,B1523=2019,G1523/$P$18,B1523=2020,G1523/$P$18,B1523=2021,G1523/$P$19,B1523=2022,G1523/$P$20)</f>
        <v>1.6460206467313997E-4</v>
      </c>
    </row>
    <row r="1524" spans="1:12" x14ac:dyDescent="0.2">
      <c r="A1524">
        <v>3817940</v>
      </c>
      <c r="B1524">
        <v>2019</v>
      </c>
      <c r="C1524" t="s">
        <v>252</v>
      </c>
      <c r="D1524" t="s">
        <v>254</v>
      </c>
      <c r="E1524" t="s">
        <v>256</v>
      </c>
      <c r="F1524" s="5" t="s">
        <v>151</v>
      </c>
      <c r="G1524" s="7">
        <v>15184</v>
      </c>
      <c r="H1524" s="7" cm="1">
        <f t="array" ref="H1524">_xlfn.IFS(B1524=2015,L1524*$P$3,B1524=2016,L1524*$P$4,B1524=2017,L1524*$P$5,B1524=2018,L1524*$P$6,B1524=2019,L1524*$P$7,B1524=2020,L1524*$P$8,B1524=2021,L1524*$P$9,B1524=2022,L1524*$P$10)</f>
        <v>352.4179807720688</v>
      </c>
      <c r="I1524" s="7">
        <f t="shared" si="49"/>
        <v>15536.417980772068</v>
      </c>
      <c r="J1524">
        <f>IFERROR(VLOOKUP(F1524,'LEAID Match'!$A$2:$B$227,2,FALSE),"")</f>
        <v>3817940</v>
      </c>
      <c r="K1524">
        <f t="shared" si="48"/>
        <v>8</v>
      </c>
      <c r="L1524" cm="1">
        <f t="array" ref="L1524">_xlfn.IFS(B1524=2015,G1524/$P$13,B1524=2016,G1524/$P$14,B1524=2017,G1524/$P$15,B1524=2018,G1524/$P$16,B1524=2019,G1524/$P$17,B1524=2019,G1524/$P$18,B1524=2020,G1524/$P$18,B1524=2021,G1524/$P$19,B1524=2022,G1524/$P$20)</f>
        <v>1.6975817956265356E-4</v>
      </c>
    </row>
    <row r="1525" spans="1:12" x14ac:dyDescent="0.2">
      <c r="A1525">
        <v>3817940</v>
      </c>
      <c r="B1525">
        <v>2020</v>
      </c>
      <c r="C1525" t="s">
        <v>252</v>
      </c>
      <c r="D1525" t="s">
        <v>254</v>
      </c>
      <c r="E1525" t="s">
        <v>256</v>
      </c>
      <c r="F1525" s="5" t="s">
        <v>151</v>
      </c>
      <c r="G1525" s="7">
        <v>14978</v>
      </c>
      <c r="H1525" s="7" cm="1">
        <f t="array" ref="H1525">_xlfn.IFS(B1525=2015,L1525*$P$3,B1525=2016,L1525*$P$4,B1525=2017,L1525*$P$5,B1525=2018,L1525*$P$6,B1525=2019,L1525*$P$7,B1525=2020,L1525*$P$8,B1525=2021,L1525*$P$9,B1525=2022,L1525*$P$10)</f>
        <v>375.76833668094633</v>
      </c>
      <c r="I1525" s="7">
        <f t="shared" si="49"/>
        <v>15353.768336680947</v>
      </c>
      <c r="J1525">
        <f>IFERROR(VLOOKUP(F1525,'LEAID Match'!$A$2:$B$227,2,FALSE),"")</f>
        <v>3817940</v>
      </c>
      <c r="K1525">
        <f t="shared" si="48"/>
        <v>8</v>
      </c>
      <c r="L1525" cm="1">
        <f t="array" ref="L1525">_xlfn.IFS(B1525=2015,G1525/$P$13,B1525=2016,G1525/$P$14,B1525=2017,G1525/$P$15,B1525=2018,G1525/$P$16,B1525=2019,G1525/$P$17,B1525=2019,G1525/$P$18,B1525=2020,G1525/$P$18,B1525=2021,G1525/$P$19,B1525=2022,G1525/$P$20)</f>
        <v>1.6099757355653228E-4</v>
      </c>
    </row>
    <row r="1526" spans="1:12" x14ac:dyDescent="0.2">
      <c r="A1526">
        <v>3817940</v>
      </c>
      <c r="B1526" s="5">
        <v>2021</v>
      </c>
      <c r="C1526" t="s">
        <v>252</v>
      </c>
      <c r="D1526" t="s">
        <v>254</v>
      </c>
      <c r="E1526" t="s">
        <v>256</v>
      </c>
      <c r="F1526" s="5" t="s">
        <v>151</v>
      </c>
      <c r="G1526" s="7">
        <v>15792</v>
      </c>
      <c r="H1526" s="7" cm="1">
        <f t="array" ref="H1526">_xlfn.IFS(B1526=2015,L1526*$P$3,B1526=2016,L1526*$P$4,B1526=2017,L1526*$P$5,B1526=2018,L1526*$P$6,B1526=2019,L1526*$P$7,B1526=2020,L1526*$P$8,B1526=2021,L1526*$P$9,B1526=2022,L1526*$P$10)</f>
        <v>431.50524210209363</v>
      </c>
      <c r="I1526" s="7">
        <f t="shared" si="49"/>
        <v>16223.505242102094</v>
      </c>
      <c r="J1526">
        <f>IFERROR(VLOOKUP(F1526,'LEAID Match'!$A$2:$B$227,2,FALSE),"")</f>
        <v>3817940</v>
      </c>
      <c r="K1526">
        <f t="shared" si="48"/>
        <v>8</v>
      </c>
      <c r="L1526" cm="1">
        <f t="array" ref="L1526">_xlfn.IFS(B1526=2015,G1526/$P$13,B1526=2016,G1526/$P$14,B1526=2017,G1526/$P$15,B1526=2018,G1526/$P$16,B1526=2019,G1526/$P$17,B1526=2019,G1526/$P$18,B1526=2020,G1526/$P$18,B1526=2021,G1526/$P$19,B1526=2022,G1526/$P$20)</f>
        <v>1.6070958737508142E-4</v>
      </c>
    </row>
    <row r="1527" spans="1:12" x14ac:dyDescent="0.2">
      <c r="A1527">
        <v>3817940</v>
      </c>
      <c r="B1527">
        <v>2022</v>
      </c>
      <c r="C1527" t="s">
        <v>252</v>
      </c>
      <c r="D1527" t="s">
        <v>254</v>
      </c>
      <c r="E1527" t="s">
        <v>256</v>
      </c>
      <c r="F1527" s="5" t="s">
        <v>151</v>
      </c>
      <c r="G1527" s="7">
        <v>16720</v>
      </c>
      <c r="H1527" s="7" cm="1">
        <f t="array" ref="H1527">_xlfn.IFS(B1527=2015,L1527*$P$3,B1527=2016,L1527*$P$4,B1527=2017,L1527*$P$5,B1527=2018,L1527*$P$6,B1527=2019,L1527*$P$7,B1527=2020,L1527*$P$8,B1527=2021,L1527*$P$9,B1527=2022,L1527*$P$10)</f>
        <v>340.29485342088111</v>
      </c>
      <c r="I1527" s="7">
        <f t="shared" si="49"/>
        <v>17060.294853420881</v>
      </c>
      <c r="J1527">
        <f>IFERROR(VLOOKUP(F1527,'LEAID Match'!$A$2:$B$227,2,FALSE),"")</f>
        <v>3817940</v>
      </c>
      <c r="K1527">
        <f t="shared" si="48"/>
        <v>8</v>
      </c>
      <c r="L1527" cm="1">
        <f t="array" ref="L1527">_xlfn.IFS(B1527=2015,G1527/$P$13,B1527=2016,G1527/$P$14,B1527=2017,G1527/$P$15,B1527=2018,G1527/$P$16,B1527=2019,G1527/$P$17,B1527=2019,G1527/$P$18,B1527=2020,G1527/$P$18,B1527=2021,G1527/$P$19,B1527=2022,G1527/$P$20)</f>
        <v>1.6664782243921701E-4</v>
      </c>
    </row>
    <row r="1528" spans="1:12" x14ac:dyDescent="0.2">
      <c r="A1528">
        <v>3800047</v>
      </c>
      <c r="B1528">
        <v>2015</v>
      </c>
      <c r="C1528" t="s">
        <v>252</v>
      </c>
      <c r="D1528" t="s">
        <v>254</v>
      </c>
      <c r="E1528" t="s">
        <v>256</v>
      </c>
      <c r="F1528" s="5" t="s">
        <v>210</v>
      </c>
      <c r="G1528" s="7">
        <v>331182</v>
      </c>
      <c r="H1528" s="7" cm="1">
        <f t="array" ref="H1528">_xlfn.IFS(B1528=2015,L1528*$P$3,B1528=2016,L1528*$P$4,B1528=2017,L1528*$P$5,B1528=2018,L1528*$P$6,B1528=2019,L1528*$P$7,B1528=2020,L1528*$P$8,B1528=2021,L1528*$P$9,B1528=2022,L1528*$P$10)</f>
        <v>7487.5027065074764</v>
      </c>
      <c r="I1528" s="7">
        <f t="shared" si="49"/>
        <v>338669.50270650745</v>
      </c>
      <c r="J1528">
        <f>IFERROR(VLOOKUP(F1528,'LEAID Match'!$A$2:$B$227,2,FALSE),"")</f>
        <v>3800047</v>
      </c>
      <c r="K1528">
        <f t="shared" si="48"/>
        <v>8</v>
      </c>
      <c r="L1528" cm="1">
        <f t="array" ref="L1528">_xlfn.IFS(B1528=2015,G1528/$P$13,B1528=2016,G1528/$P$14,B1528=2017,G1528/$P$15,B1528=2018,G1528/$P$16,B1528=2019,G1528/$P$17,B1528=2019,G1528/$P$18,B1528=2020,G1528/$P$18,B1528=2021,G1528/$P$19,B1528=2022,G1528/$P$20)</f>
        <v>4.2230697724238448E-3</v>
      </c>
    </row>
    <row r="1529" spans="1:12" x14ac:dyDescent="0.2">
      <c r="A1529">
        <v>3800047</v>
      </c>
      <c r="B1529">
        <v>2016</v>
      </c>
      <c r="C1529" t="s">
        <v>252</v>
      </c>
      <c r="D1529" t="s">
        <v>254</v>
      </c>
      <c r="E1529" t="s">
        <v>256</v>
      </c>
      <c r="F1529" s="5" t="s">
        <v>210</v>
      </c>
      <c r="G1529" s="7">
        <v>344743</v>
      </c>
      <c r="H1529" s="7" cm="1">
        <f t="array" ref="H1529">_xlfn.IFS(B1529=2015,L1529*$P$3,B1529=2016,L1529*$P$4,B1529=2017,L1529*$P$5,B1529=2018,L1529*$P$6,B1529=2019,L1529*$P$7,B1529=2020,L1529*$P$8,B1529=2021,L1529*$P$9,B1529=2022,L1529*$P$10)</f>
        <v>11706.456624161119</v>
      </c>
      <c r="I1529" s="7">
        <f t="shared" si="49"/>
        <v>356449.4566241611</v>
      </c>
      <c r="J1529">
        <f>IFERROR(VLOOKUP(F1529,'LEAID Match'!$A$2:$B$227,2,FALSE),"")</f>
        <v>3800047</v>
      </c>
      <c r="K1529">
        <f t="shared" si="48"/>
        <v>8</v>
      </c>
      <c r="L1529" cm="1">
        <f t="array" ref="L1529">_xlfn.IFS(B1529=2015,G1529/$P$13,B1529=2016,G1529/$P$14,B1529=2017,G1529/$P$15,B1529=2018,G1529/$P$16,B1529=2019,G1529/$P$17,B1529=2019,G1529/$P$18,B1529=2020,G1529/$P$18,B1529=2021,G1529/$P$19,B1529=2022,G1529/$P$20)</f>
        <v>4.1615558564383646E-3</v>
      </c>
    </row>
    <row r="1530" spans="1:12" x14ac:dyDescent="0.2">
      <c r="A1530">
        <v>3800047</v>
      </c>
      <c r="B1530">
        <v>2017</v>
      </c>
      <c r="C1530" t="s">
        <v>252</v>
      </c>
      <c r="D1530" t="s">
        <v>254</v>
      </c>
      <c r="E1530" t="s">
        <v>256</v>
      </c>
      <c r="F1530" s="5" t="s">
        <v>210</v>
      </c>
      <c r="G1530" s="7">
        <v>341013</v>
      </c>
      <c r="H1530" s="7" cm="1">
        <f t="array" ref="H1530">_xlfn.IFS(B1530=2015,L1530*$P$3,B1530=2016,L1530*$P$4,B1530=2017,L1530*$P$5,B1530=2018,L1530*$P$6,B1530=2019,L1530*$P$7,B1530=2020,L1530*$P$8,B1530=2021,L1530*$P$9,B1530=2022,L1530*$P$10)</f>
        <v>11051.566612029257</v>
      </c>
      <c r="I1530" s="7">
        <f t="shared" si="49"/>
        <v>352064.56661202927</v>
      </c>
      <c r="J1530">
        <f>IFERROR(VLOOKUP(F1530,'LEAID Match'!$A$2:$B$227,2,FALSE),"")</f>
        <v>3800047</v>
      </c>
      <c r="K1530">
        <f t="shared" si="48"/>
        <v>8</v>
      </c>
      <c r="L1530" cm="1">
        <f t="array" ref="L1530">_xlfn.IFS(B1530=2015,G1530/$P$13,B1530=2016,G1530/$P$14,B1530=2017,G1530/$P$15,B1530=2018,G1530/$P$16,B1530=2019,G1530/$P$17,B1530=2019,G1530/$P$18,B1530=2020,G1530/$P$18,B1530=2021,G1530/$P$19,B1530=2022,G1530/$P$20)</f>
        <v>3.9625552570918812E-3</v>
      </c>
    </row>
    <row r="1531" spans="1:12" x14ac:dyDescent="0.2">
      <c r="A1531">
        <v>3800047</v>
      </c>
      <c r="B1531" s="5">
        <v>2018</v>
      </c>
      <c r="C1531" t="s">
        <v>252</v>
      </c>
      <c r="D1531" t="s">
        <v>254</v>
      </c>
      <c r="E1531" t="s">
        <v>256</v>
      </c>
      <c r="F1531" s="5" t="s">
        <v>210</v>
      </c>
      <c r="G1531" s="7">
        <v>330347</v>
      </c>
      <c r="H1531" s="7" cm="1">
        <f t="array" ref="H1531">_xlfn.IFS(B1531=2015,L1531*$P$3,B1531=2016,L1531*$P$4,B1531=2017,L1531*$P$5,B1531=2018,L1531*$P$6,B1531=2019,L1531*$P$7,B1531=2020,L1531*$P$8,B1531=2021,L1531*$P$9,B1531=2022,L1531*$P$10)</f>
        <v>9051.834363504744</v>
      </c>
      <c r="I1531" s="7">
        <f t="shared" si="49"/>
        <v>339398.83436350472</v>
      </c>
      <c r="J1531">
        <f>IFERROR(VLOOKUP(F1531,'LEAID Match'!$A$2:$B$227,2,FALSE),"")</f>
        <v>3800047</v>
      </c>
      <c r="K1531">
        <f t="shared" si="48"/>
        <v>8</v>
      </c>
      <c r="L1531" cm="1">
        <f t="array" ref="L1531">_xlfn.IFS(B1531=2015,G1531/$P$13,B1531=2016,G1531/$P$14,B1531=2017,G1531/$P$15,B1531=2018,G1531/$P$16,B1531=2019,G1531/$P$17,B1531=2019,G1531/$P$18,B1531=2020,G1531/$P$18,B1531=2021,G1531/$P$19,B1531=2022,G1531/$P$20)</f>
        <v>3.8112986793704187E-3</v>
      </c>
    </row>
    <row r="1532" spans="1:12" x14ac:dyDescent="0.2">
      <c r="A1532">
        <v>3800047</v>
      </c>
      <c r="B1532">
        <v>2019</v>
      </c>
      <c r="C1532" t="s">
        <v>252</v>
      </c>
      <c r="D1532" t="s">
        <v>254</v>
      </c>
      <c r="E1532" t="s">
        <v>256</v>
      </c>
      <c r="F1532" s="5" t="s">
        <v>210</v>
      </c>
      <c r="G1532" s="7">
        <v>323738</v>
      </c>
      <c r="H1532" s="7" cm="1">
        <f t="array" ref="H1532">_xlfn.IFS(B1532=2015,L1532*$P$3,B1532=2016,L1532*$P$4,B1532=2017,L1532*$P$5,B1532=2018,L1532*$P$6,B1532=2019,L1532*$P$7,B1532=2020,L1532*$P$8,B1532=2021,L1532*$P$9,B1532=2022,L1532*$P$10)</f>
        <v>7513.9022826124874</v>
      </c>
      <c r="I1532" s="7">
        <f t="shared" si="49"/>
        <v>331251.90228261251</v>
      </c>
      <c r="J1532">
        <f>IFERROR(VLOOKUP(F1532,'LEAID Match'!$A$2:$B$227,2,FALSE),"")</f>
        <v>3800047</v>
      </c>
      <c r="K1532">
        <f t="shared" si="48"/>
        <v>8</v>
      </c>
      <c r="L1532" cm="1">
        <f t="array" ref="L1532">_xlfn.IFS(B1532=2015,G1532/$P$13,B1532=2016,G1532/$P$14,B1532=2017,G1532/$P$15,B1532=2018,G1532/$P$16,B1532=2019,G1532/$P$17,B1532=2019,G1532/$P$18,B1532=2020,G1532/$P$18,B1532=2021,G1532/$P$19,B1532=2022,G1532/$P$20)</f>
        <v>3.6194134309308706E-3</v>
      </c>
    </row>
    <row r="1533" spans="1:12" x14ac:dyDescent="0.2">
      <c r="A1533">
        <v>3800047</v>
      </c>
      <c r="B1533">
        <v>2020</v>
      </c>
      <c r="C1533" t="s">
        <v>252</v>
      </c>
      <c r="D1533" t="s">
        <v>254</v>
      </c>
      <c r="E1533" t="s">
        <v>256</v>
      </c>
      <c r="F1533" s="5" t="s">
        <v>210</v>
      </c>
      <c r="G1533" s="7">
        <v>334106</v>
      </c>
      <c r="H1533" s="7" cm="1">
        <f t="array" ref="H1533">_xlfn.IFS(B1533=2015,L1533*$P$3,B1533=2016,L1533*$P$4,B1533=2017,L1533*$P$5,B1533=2018,L1533*$P$6,B1533=2019,L1533*$P$7,B1533=2020,L1533*$P$8,B1533=2021,L1533*$P$9,B1533=2022,L1533*$P$10)</f>
        <v>8382.0574105437481</v>
      </c>
      <c r="I1533" s="7">
        <f t="shared" si="49"/>
        <v>342488.05741054373</v>
      </c>
      <c r="J1533">
        <f>IFERROR(VLOOKUP(F1533,'LEAID Match'!$A$2:$B$227,2,FALSE),"")</f>
        <v>3800047</v>
      </c>
      <c r="K1533">
        <f t="shared" si="48"/>
        <v>8</v>
      </c>
      <c r="L1533" cm="1">
        <f t="array" ref="L1533">_xlfn.IFS(B1533=2015,G1533/$P$13,B1533=2016,G1533/$P$14,B1533=2017,G1533/$P$15,B1533=2018,G1533/$P$16,B1533=2019,G1533/$P$17,B1533=2019,G1533/$P$18,B1533=2020,G1533/$P$18,B1533=2021,G1533/$P$19,B1533=2022,G1533/$P$20)</f>
        <v>3.5912842375937222E-3</v>
      </c>
    </row>
    <row r="1534" spans="1:12" x14ac:dyDescent="0.2">
      <c r="A1534">
        <v>3800047</v>
      </c>
      <c r="B1534" s="5">
        <v>2021</v>
      </c>
      <c r="C1534" t="s">
        <v>252</v>
      </c>
      <c r="D1534" t="s">
        <v>254</v>
      </c>
      <c r="E1534" t="s">
        <v>256</v>
      </c>
      <c r="F1534" s="5" t="s">
        <v>210</v>
      </c>
      <c r="G1534" s="7">
        <v>341008</v>
      </c>
      <c r="H1534" s="7" cm="1">
        <f t="array" ref="H1534">_xlfn.IFS(B1534=2015,L1534*$P$3,B1534=2016,L1534*$P$4,B1534=2017,L1534*$P$5,B1534=2018,L1534*$P$6,B1534=2019,L1534*$P$7,B1534=2020,L1534*$P$8,B1534=2021,L1534*$P$9,B1534=2022,L1534*$P$10)</f>
        <v>9317.8026594953608</v>
      </c>
      <c r="I1534" s="7">
        <f t="shared" si="49"/>
        <v>350325.80265949538</v>
      </c>
      <c r="J1534">
        <f>IFERROR(VLOOKUP(F1534,'LEAID Match'!$A$2:$B$227,2,FALSE),"")</f>
        <v>3800047</v>
      </c>
      <c r="K1534">
        <f t="shared" si="48"/>
        <v>8</v>
      </c>
      <c r="L1534" cm="1">
        <f t="array" ref="L1534">_xlfn.IFS(B1534=2015,G1534/$P$13,B1534=2016,G1534/$P$14,B1534=2017,G1534/$P$15,B1534=2018,G1534/$P$16,B1534=2019,G1534/$P$17,B1534=2019,G1534/$P$18,B1534=2020,G1534/$P$18,B1534=2021,G1534/$P$19,B1534=2022,G1534/$P$20)</f>
        <v>3.4703175640578626E-3</v>
      </c>
    </row>
    <row r="1535" spans="1:12" x14ac:dyDescent="0.2">
      <c r="A1535">
        <v>3800047</v>
      </c>
      <c r="B1535">
        <v>2022</v>
      </c>
      <c r="C1535" t="s">
        <v>252</v>
      </c>
      <c r="D1535" t="s">
        <v>254</v>
      </c>
      <c r="E1535" t="s">
        <v>256</v>
      </c>
      <c r="F1535" s="5" t="s">
        <v>210</v>
      </c>
      <c r="G1535" s="7">
        <v>345382</v>
      </c>
      <c r="H1535" s="7" cm="1">
        <f t="array" ref="H1535">_xlfn.IFS(B1535=2015,L1535*$P$3,B1535=2016,L1535*$P$4,B1535=2017,L1535*$P$5,B1535=2018,L1535*$P$6,B1535=2019,L1535*$P$7,B1535=2020,L1535*$P$8,B1535=2021,L1535*$P$9,B1535=2022,L1535*$P$10)</f>
        <v>7029.40891532361</v>
      </c>
      <c r="I1535" s="7">
        <f t="shared" si="49"/>
        <v>352411.40891532361</v>
      </c>
      <c r="J1535">
        <f>IFERROR(VLOOKUP(F1535,'LEAID Match'!$A$2:$B$227,2,FALSE),"")</f>
        <v>3800047</v>
      </c>
      <c r="K1535">
        <f t="shared" si="48"/>
        <v>8</v>
      </c>
      <c r="L1535" cm="1">
        <f t="array" ref="L1535">_xlfn.IFS(B1535=2015,G1535/$P$13,B1535=2016,G1535/$P$14,B1535=2017,G1535/$P$15,B1535=2018,G1535/$P$16,B1535=2019,G1535/$P$17,B1535=2019,G1535/$P$18,B1535=2020,G1535/$P$18,B1535=2021,G1535/$P$19,B1535=2022,G1535/$P$20)</f>
        <v>3.4424137685228257E-3</v>
      </c>
    </row>
    <row r="1536" spans="1:12" x14ac:dyDescent="0.2">
      <c r="A1536">
        <v>3818280</v>
      </c>
      <c r="B1536">
        <v>2015</v>
      </c>
      <c r="C1536" t="s">
        <v>252</v>
      </c>
      <c r="D1536" t="s">
        <v>254</v>
      </c>
      <c r="E1536" t="s">
        <v>256</v>
      </c>
      <c r="F1536" s="5" t="s">
        <v>152</v>
      </c>
      <c r="G1536" s="7">
        <v>243792</v>
      </c>
      <c r="H1536" s="7" cm="1">
        <f t="array" ref="H1536">_xlfn.IFS(B1536=2015,L1536*$P$3,B1536=2016,L1536*$P$4,B1536=2017,L1536*$P$5,B1536=2018,L1536*$P$6,B1536=2019,L1536*$P$7,B1536=2020,L1536*$P$8,B1536=2021,L1536*$P$9,B1536=2022,L1536*$P$10)</f>
        <v>5511.7526309547948</v>
      </c>
      <c r="I1536" s="7">
        <f t="shared" si="49"/>
        <v>249303.75263095478</v>
      </c>
      <c r="J1536">
        <f>IFERROR(VLOOKUP(F1536,'LEAID Match'!$A$2:$B$227,2,FALSE),"")</f>
        <v>3818280</v>
      </c>
      <c r="K1536">
        <f t="shared" si="48"/>
        <v>8</v>
      </c>
      <c r="L1536" cm="1">
        <f t="array" ref="L1536">_xlfn.IFS(B1536=2015,G1536/$P$13,B1536=2016,G1536/$P$14,B1536=2017,G1536/$P$15,B1536=2018,G1536/$P$16,B1536=2019,G1536/$P$17,B1536=2019,G1536/$P$18,B1536=2020,G1536/$P$18,B1536=2021,G1536/$P$19,B1536=2022,G1536/$P$20)</f>
        <v>3.1087155278932853E-3</v>
      </c>
    </row>
    <row r="1537" spans="1:12" x14ac:dyDescent="0.2">
      <c r="A1537">
        <v>3818280</v>
      </c>
      <c r="B1537">
        <v>2016</v>
      </c>
      <c r="C1537" t="s">
        <v>252</v>
      </c>
      <c r="D1537" t="s">
        <v>254</v>
      </c>
      <c r="E1537" t="s">
        <v>256</v>
      </c>
      <c r="F1537" s="5" t="s">
        <v>152</v>
      </c>
      <c r="G1537" s="7">
        <v>265899</v>
      </c>
      <c r="H1537" s="7" cm="1">
        <f t="array" ref="H1537">_xlfn.IFS(B1537=2015,L1537*$P$3,B1537=2016,L1537*$P$4,B1537=2017,L1537*$P$5,B1537=2018,L1537*$P$6,B1537=2019,L1537*$P$7,B1537=2020,L1537*$P$8,B1537=2021,L1537*$P$9,B1537=2022,L1537*$P$10)</f>
        <v>9029.1466684104325</v>
      </c>
      <c r="I1537" s="7">
        <f t="shared" si="49"/>
        <v>274928.14666841045</v>
      </c>
      <c r="J1537">
        <f>IFERROR(VLOOKUP(F1537,'LEAID Match'!$A$2:$B$227,2,FALSE),"")</f>
        <v>3818280</v>
      </c>
      <c r="K1537">
        <f t="shared" si="48"/>
        <v>8</v>
      </c>
      <c r="L1537" cm="1">
        <f t="array" ref="L1537">_xlfn.IFS(B1537=2015,G1537/$P$13,B1537=2016,G1537/$P$14,B1537=2017,G1537/$P$15,B1537=2018,G1537/$P$16,B1537=2019,G1537/$P$17,B1537=2019,G1537/$P$18,B1537=2020,G1537/$P$18,B1537=2021,G1537/$P$19,B1537=2022,G1537/$P$20)</f>
        <v>3.2097926300783618E-3</v>
      </c>
    </row>
    <row r="1538" spans="1:12" x14ac:dyDescent="0.2">
      <c r="A1538">
        <v>3818280</v>
      </c>
      <c r="B1538">
        <v>2017</v>
      </c>
      <c r="C1538" t="s">
        <v>252</v>
      </c>
      <c r="D1538" t="s">
        <v>254</v>
      </c>
      <c r="E1538" t="s">
        <v>256</v>
      </c>
      <c r="F1538" s="5" t="s">
        <v>152</v>
      </c>
      <c r="G1538" s="7">
        <v>289181</v>
      </c>
      <c r="H1538" s="7" cm="1">
        <f t="array" ref="H1538">_xlfn.IFS(B1538=2015,L1538*$P$3,B1538=2016,L1538*$P$4,B1538=2017,L1538*$P$5,B1538=2018,L1538*$P$6,B1538=2019,L1538*$P$7,B1538=2020,L1538*$P$8,B1538=2021,L1538*$P$9,B1538=2022,L1538*$P$10)</f>
        <v>9371.7925253091016</v>
      </c>
      <c r="I1538" s="7">
        <f t="shared" si="49"/>
        <v>298552.79252530908</v>
      </c>
      <c r="J1538">
        <f>IFERROR(VLOOKUP(F1538,'LEAID Match'!$A$2:$B$227,2,FALSE),"")</f>
        <v>3818280</v>
      </c>
      <c r="K1538">
        <f t="shared" ref="K1538:K1601" si="50">COUNTIF($A$2:$A$1757,A1538)</f>
        <v>8</v>
      </c>
      <c r="L1538" cm="1">
        <f t="array" ref="L1538">_xlfn.IFS(B1538=2015,G1538/$P$13,B1538=2016,G1538/$P$14,B1538=2017,G1538/$P$15,B1538=2018,G1538/$P$16,B1538=2019,G1538/$P$17,B1538=2019,G1538/$P$18,B1538=2020,G1538/$P$18,B1538=2021,G1538/$P$19,B1538=2022,G1538/$P$20)</f>
        <v>3.3602698190423456E-3</v>
      </c>
    </row>
    <row r="1539" spans="1:12" x14ac:dyDescent="0.2">
      <c r="A1539">
        <v>3818280</v>
      </c>
      <c r="B1539" s="5">
        <v>2018</v>
      </c>
      <c r="C1539" t="s">
        <v>252</v>
      </c>
      <c r="D1539" t="s">
        <v>254</v>
      </c>
      <c r="E1539" t="s">
        <v>256</v>
      </c>
      <c r="F1539" s="5" t="s">
        <v>152</v>
      </c>
      <c r="G1539" s="7">
        <v>301905</v>
      </c>
      <c r="H1539" s="7" cm="1">
        <f t="array" ref="H1539">_xlfn.IFS(B1539=2015,L1539*$P$3,B1539=2016,L1539*$P$4,B1539=2017,L1539*$P$5,B1539=2018,L1539*$P$6,B1539=2019,L1539*$P$7,B1539=2020,L1539*$P$8,B1539=2021,L1539*$P$9,B1539=2022,L1539*$P$10)</f>
        <v>8272.4954472536447</v>
      </c>
      <c r="I1539" s="7">
        <f t="shared" ref="I1539:I1602" si="51">SUM(G1539:H1539)</f>
        <v>310177.49544725363</v>
      </c>
      <c r="J1539">
        <f>IFERROR(VLOOKUP(F1539,'LEAID Match'!$A$2:$B$227,2,FALSE),"")</f>
        <v>3818280</v>
      </c>
      <c r="K1539">
        <f t="shared" si="50"/>
        <v>8</v>
      </c>
      <c r="L1539" cm="1">
        <f t="array" ref="L1539">_xlfn.IFS(B1539=2015,G1539/$P$13,B1539=2016,G1539/$P$14,B1539=2017,G1539/$P$15,B1539=2018,G1539/$P$16,B1539=2019,G1539/$P$17,B1539=2019,G1539/$P$18,B1539=2020,G1539/$P$18,B1539=2021,G1539/$P$19,B1539=2022,G1539/$P$20)</f>
        <v>3.4831559777910082E-3</v>
      </c>
    </row>
    <row r="1540" spans="1:12" x14ac:dyDescent="0.2">
      <c r="A1540">
        <v>3818280</v>
      </c>
      <c r="B1540">
        <v>2019</v>
      </c>
      <c r="C1540" t="s">
        <v>252</v>
      </c>
      <c r="D1540" t="s">
        <v>254</v>
      </c>
      <c r="E1540" t="s">
        <v>256</v>
      </c>
      <c r="F1540" s="5" t="s">
        <v>152</v>
      </c>
      <c r="G1540" s="7">
        <v>316019</v>
      </c>
      <c r="H1540" s="7" cm="1">
        <f t="array" ref="H1540">_xlfn.IFS(B1540=2015,L1540*$P$3,B1540=2016,L1540*$P$4,B1540=2017,L1540*$P$5,B1540=2018,L1540*$P$6,B1540=2019,L1540*$P$7,B1540=2020,L1540*$P$8,B1540=2021,L1540*$P$9,B1540=2022,L1540*$P$10)</f>
        <v>7334.7456444684149</v>
      </c>
      <c r="I1540" s="7">
        <f t="shared" si="51"/>
        <v>323353.74564446841</v>
      </c>
      <c r="J1540">
        <f>IFERROR(VLOOKUP(F1540,'LEAID Match'!$A$2:$B$227,2,FALSE),"")</f>
        <v>3818280</v>
      </c>
      <c r="K1540">
        <f t="shared" si="50"/>
        <v>8</v>
      </c>
      <c r="L1540" cm="1">
        <f t="array" ref="L1540">_xlfn.IFS(B1540=2015,G1540/$P$13,B1540=2016,G1540/$P$14,B1540=2017,G1540/$P$15,B1540=2018,G1540/$P$16,B1540=2019,G1540/$P$17,B1540=2019,G1540/$P$18,B1540=2020,G1540/$P$18,B1540=2021,G1540/$P$19,B1540=2022,G1540/$P$20)</f>
        <v>3.5331144722872904E-3</v>
      </c>
    </row>
    <row r="1541" spans="1:12" x14ac:dyDescent="0.2">
      <c r="A1541">
        <v>3818280</v>
      </c>
      <c r="B1541">
        <v>2020</v>
      </c>
      <c r="C1541" t="s">
        <v>252</v>
      </c>
      <c r="D1541" t="s">
        <v>254</v>
      </c>
      <c r="E1541" t="s">
        <v>256</v>
      </c>
      <c r="F1541" s="5" t="s">
        <v>152</v>
      </c>
      <c r="G1541" s="7">
        <v>331080</v>
      </c>
      <c r="H1541" s="7" cm="1">
        <f t="array" ref="H1541">_xlfn.IFS(B1541=2015,L1541*$P$3,B1541=2016,L1541*$P$4,B1541=2017,L1541*$P$5,B1541=2018,L1541*$P$6,B1541=2019,L1541*$P$7,B1541=2020,L1541*$P$8,B1541=2021,L1541*$P$9,B1541=2022,L1541*$P$10)</f>
        <v>8306.141067454113</v>
      </c>
      <c r="I1541" s="7">
        <f t="shared" si="51"/>
        <v>339386.14106745413</v>
      </c>
      <c r="J1541">
        <f>IFERROR(VLOOKUP(F1541,'LEAID Match'!$A$2:$B$227,2,FALSE),"")</f>
        <v>3818280</v>
      </c>
      <c r="K1541">
        <f t="shared" si="50"/>
        <v>8</v>
      </c>
      <c r="L1541" cm="1">
        <f t="array" ref="L1541">_xlfn.IFS(B1541=2015,G1541/$P$13,B1541=2016,G1541/$P$14,B1541=2017,G1541/$P$15,B1541=2018,G1541/$P$16,B1541=2019,G1541/$P$17,B1541=2019,G1541/$P$18,B1541=2020,G1541/$P$18,B1541=2021,G1541/$P$19,B1541=2022,G1541/$P$20)</f>
        <v>3.558757955207418E-3</v>
      </c>
    </row>
    <row r="1542" spans="1:12" x14ac:dyDescent="0.2">
      <c r="A1542">
        <v>3818280</v>
      </c>
      <c r="B1542" s="5">
        <v>2021</v>
      </c>
      <c r="C1542" t="s">
        <v>252</v>
      </c>
      <c r="D1542" t="s">
        <v>254</v>
      </c>
      <c r="E1542" t="s">
        <v>256</v>
      </c>
      <c r="F1542" s="5" t="s">
        <v>152</v>
      </c>
      <c r="G1542" s="7">
        <v>343637</v>
      </c>
      <c r="H1542" s="7" cm="1">
        <f t="array" ref="H1542">_xlfn.IFS(B1542=2015,L1542*$P$3,B1542=2016,L1542*$P$4,B1542=2017,L1542*$P$5,B1542=2018,L1542*$P$6,B1542=2019,L1542*$P$7,B1542=2020,L1542*$P$8,B1542=2021,L1542*$P$9,B1542=2022,L1542*$P$10)</f>
        <v>9389.6382269653714</v>
      </c>
      <c r="I1542" s="7">
        <f t="shared" si="51"/>
        <v>353026.63822696538</v>
      </c>
      <c r="J1542">
        <f>IFERROR(VLOOKUP(F1542,'LEAID Match'!$A$2:$B$227,2,FALSE),"")</f>
        <v>3818280</v>
      </c>
      <c r="K1542">
        <f t="shared" si="50"/>
        <v>8</v>
      </c>
      <c r="L1542" cm="1">
        <f t="array" ref="L1542">_xlfn.IFS(B1542=2015,G1542/$P$13,B1542=2016,G1542/$P$14,B1542=2017,G1542/$P$15,B1542=2018,G1542/$P$16,B1542=2019,G1542/$P$17,B1542=2019,G1542/$P$18,B1542=2020,G1542/$P$18,B1542=2021,G1542/$P$19,B1542=2022,G1542/$P$20)</f>
        <v>3.4970719653502312E-3</v>
      </c>
    </row>
    <row r="1543" spans="1:12" x14ac:dyDescent="0.2">
      <c r="A1543">
        <v>3818280</v>
      </c>
      <c r="B1543">
        <v>2022</v>
      </c>
      <c r="C1543" t="s">
        <v>252</v>
      </c>
      <c r="D1543" t="s">
        <v>254</v>
      </c>
      <c r="E1543" t="s">
        <v>256</v>
      </c>
      <c r="F1543" s="5" t="s">
        <v>152</v>
      </c>
      <c r="G1543" s="7">
        <v>363425</v>
      </c>
      <c r="H1543" s="7" cm="1">
        <f t="array" ref="H1543">_xlfn.IFS(B1543=2015,L1543*$P$3,B1543=2016,L1543*$P$4,B1543=2017,L1543*$P$5,B1543=2018,L1543*$P$6,B1543=2019,L1543*$P$7,B1543=2020,L1543*$P$8,B1543=2021,L1543*$P$9,B1543=2022,L1543*$P$10)</f>
        <v>7396.6302095983092</v>
      </c>
      <c r="I1543" s="7">
        <f t="shared" si="51"/>
        <v>370821.63020959828</v>
      </c>
      <c r="J1543">
        <f>IFERROR(VLOOKUP(F1543,'LEAID Match'!$A$2:$B$227,2,FALSE),"")</f>
        <v>3818280</v>
      </c>
      <c r="K1543">
        <f t="shared" si="50"/>
        <v>8</v>
      </c>
      <c r="L1543" cm="1">
        <f t="array" ref="L1543">_xlfn.IFS(B1543=2015,G1543/$P$13,B1543=2016,G1543/$P$14,B1543=2017,G1543/$P$15,B1543=2018,G1543/$P$16,B1543=2019,G1543/$P$17,B1543=2019,G1543/$P$18,B1543=2020,G1543/$P$18,B1543=2021,G1543/$P$19,B1543=2022,G1543/$P$20)</f>
        <v>3.6222478989217967E-3</v>
      </c>
    </row>
    <row r="1544" spans="1:12" x14ac:dyDescent="0.2">
      <c r="A1544">
        <v>3800039</v>
      </c>
      <c r="B1544">
        <v>2015</v>
      </c>
      <c r="C1544" t="s">
        <v>252</v>
      </c>
      <c r="D1544" t="s">
        <v>254</v>
      </c>
      <c r="E1544" t="s">
        <v>256</v>
      </c>
      <c r="F1544" s="5" t="s">
        <v>153</v>
      </c>
      <c r="G1544" s="7">
        <v>353284</v>
      </c>
      <c r="H1544" s="7" cm="1">
        <f t="array" ref="H1544">_xlfn.IFS(B1544=2015,L1544*$P$3,B1544=2016,L1544*$P$4,B1544=2017,L1544*$P$5,B1544=2018,L1544*$P$6,B1544=2019,L1544*$P$7,B1544=2020,L1544*$P$8,B1544=2021,L1544*$P$9,B1544=2022,L1544*$P$10)</f>
        <v>7987.1940690188094</v>
      </c>
      <c r="I1544" s="7">
        <f t="shared" si="51"/>
        <v>361271.19406901882</v>
      </c>
      <c r="J1544">
        <f>IFERROR(VLOOKUP(F1544,'LEAID Match'!$A$2:$B$227,2,FALSE),"")</f>
        <v>3800039</v>
      </c>
      <c r="K1544">
        <f t="shared" si="50"/>
        <v>8</v>
      </c>
      <c r="L1544" cm="1">
        <f t="array" ref="L1544">_xlfn.IFS(B1544=2015,G1544/$P$13,B1544=2016,G1544/$P$14,B1544=2017,G1544/$P$15,B1544=2018,G1544/$P$16,B1544=2019,G1544/$P$17,B1544=2019,G1544/$P$18,B1544=2020,G1544/$P$18,B1544=2021,G1544/$P$19,B1544=2022,G1544/$P$20)</f>
        <v>4.5049035922271911E-3</v>
      </c>
    </row>
    <row r="1545" spans="1:12" x14ac:dyDescent="0.2">
      <c r="A1545">
        <v>3800039</v>
      </c>
      <c r="B1545">
        <v>2016</v>
      </c>
      <c r="C1545" t="s">
        <v>252</v>
      </c>
      <c r="D1545" t="s">
        <v>254</v>
      </c>
      <c r="E1545" t="s">
        <v>256</v>
      </c>
      <c r="F1545" s="5" t="s">
        <v>153</v>
      </c>
      <c r="G1545" s="7">
        <v>385273</v>
      </c>
      <c r="H1545" s="7" cm="1">
        <f t="array" ref="H1545">_xlfn.IFS(B1545=2015,L1545*$P$3,B1545=2016,L1545*$P$4,B1545=2017,L1545*$P$5,B1545=2018,L1545*$P$6,B1545=2019,L1545*$P$7,B1545=2020,L1545*$P$8,B1545=2021,L1545*$P$9,B1545=2022,L1545*$P$10)</f>
        <v>13082.736017730387</v>
      </c>
      <c r="I1545" s="7">
        <f t="shared" si="51"/>
        <v>398355.73601773038</v>
      </c>
      <c r="J1545">
        <f>IFERROR(VLOOKUP(F1545,'LEAID Match'!$A$2:$B$227,2,FALSE),"")</f>
        <v>3800039</v>
      </c>
      <c r="K1545">
        <f t="shared" si="50"/>
        <v>8</v>
      </c>
      <c r="L1545" cm="1">
        <f t="array" ref="L1545">_xlfn.IFS(B1545=2015,G1545/$P$13,B1545=2016,G1545/$P$14,B1545=2017,G1545/$P$15,B1545=2018,G1545/$P$16,B1545=2019,G1545/$P$17,B1545=2019,G1545/$P$18,B1545=2020,G1545/$P$18,B1545=2021,G1545/$P$19,B1545=2022,G1545/$P$20)</f>
        <v>4.6508126618309232E-3</v>
      </c>
    </row>
    <row r="1546" spans="1:12" x14ac:dyDescent="0.2">
      <c r="A1546">
        <v>3800039</v>
      </c>
      <c r="B1546">
        <v>2017</v>
      </c>
      <c r="C1546" t="s">
        <v>252</v>
      </c>
      <c r="D1546" t="s">
        <v>254</v>
      </c>
      <c r="E1546" t="s">
        <v>256</v>
      </c>
      <c r="F1546" s="5" t="s">
        <v>153</v>
      </c>
      <c r="G1546" s="7">
        <v>395022</v>
      </c>
      <c r="H1546" s="7" cm="1">
        <f t="array" ref="H1546">_xlfn.IFS(B1546=2015,L1546*$P$3,B1546=2016,L1546*$P$4,B1546=2017,L1546*$P$5,B1546=2018,L1546*$P$6,B1546=2019,L1546*$P$7,B1546=2020,L1546*$P$8,B1546=2021,L1546*$P$9,B1546=2022,L1546*$P$10)</f>
        <v>12801.893025242502</v>
      </c>
      <c r="I1546" s="7">
        <f t="shared" si="51"/>
        <v>407823.89302524249</v>
      </c>
      <c r="J1546">
        <f>IFERROR(VLOOKUP(F1546,'LEAID Match'!$A$2:$B$227,2,FALSE),"")</f>
        <v>3800039</v>
      </c>
      <c r="K1546">
        <f t="shared" si="50"/>
        <v>8</v>
      </c>
      <c r="L1546" cm="1">
        <f t="array" ref="L1546">_xlfn.IFS(B1546=2015,G1546/$P$13,B1546=2016,G1546/$P$14,B1546=2017,G1546/$P$15,B1546=2018,G1546/$P$16,B1546=2019,G1546/$P$17,B1546=2019,G1546/$P$18,B1546=2020,G1546/$P$18,B1546=2021,G1546/$P$19,B1546=2022,G1546/$P$20)</f>
        <v>4.5901373342569027E-3</v>
      </c>
    </row>
    <row r="1547" spans="1:12" x14ac:dyDescent="0.2">
      <c r="A1547">
        <v>3800039</v>
      </c>
      <c r="B1547" s="5">
        <v>2018</v>
      </c>
      <c r="C1547" t="s">
        <v>252</v>
      </c>
      <c r="D1547" t="s">
        <v>254</v>
      </c>
      <c r="E1547" t="s">
        <v>256</v>
      </c>
      <c r="F1547" s="5" t="s">
        <v>153</v>
      </c>
      <c r="G1547" s="7">
        <v>403274</v>
      </c>
      <c r="H1547" s="7" cm="1">
        <f t="array" ref="H1547">_xlfn.IFS(B1547=2015,L1547*$P$3,B1547=2016,L1547*$P$4,B1547=2017,L1547*$P$5,B1547=2018,L1547*$P$6,B1547=2019,L1547*$P$7,B1547=2020,L1547*$P$8,B1547=2021,L1547*$P$9,B1547=2022,L1547*$P$10)</f>
        <v>11050.106255264956</v>
      </c>
      <c r="I1547" s="7">
        <f t="shared" si="51"/>
        <v>414324.10625526495</v>
      </c>
      <c r="J1547">
        <f>IFERROR(VLOOKUP(F1547,'LEAID Match'!$A$2:$B$227,2,FALSE),"")</f>
        <v>3800039</v>
      </c>
      <c r="K1547">
        <f t="shared" si="50"/>
        <v>8</v>
      </c>
      <c r="L1547" cm="1">
        <f t="array" ref="L1547">_xlfn.IFS(B1547=2015,G1547/$P$13,B1547=2016,G1547/$P$14,B1547=2017,G1547/$P$15,B1547=2018,G1547/$P$16,B1547=2019,G1547/$P$17,B1547=2019,G1547/$P$18,B1547=2020,G1547/$P$18,B1547=2021,G1547/$P$19,B1547=2022,G1547/$P$20)</f>
        <v>4.6526763180062972E-3</v>
      </c>
    </row>
    <row r="1548" spans="1:12" x14ac:dyDescent="0.2">
      <c r="A1548">
        <v>3800039</v>
      </c>
      <c r="B1548">
        <v>2019</v>
      </c>
      <c r="C1548" t="s">
        <v>252</v>
      </c>
      <c r="D1548" t="s">
        <v>254</v>
      </c>
      <c r="E1548" t="s">
        <v>256</v>
      </c>
      <c r="F1548" s="5" t="s">
        <v>153</v>
      </c>
      <c r="G1548" s="7">
        <v>426727</v>
      </c>
      <c r="H1548" s="7" cm="1">
        <f t="array" ref="H1548">_xlfn.IFS(B1548=2015,L1548*$P$3,B1548=2016,L1548*$P$4,B1548=2017,L1548*$P$5,B1548=2018,L1548*$P$6,B1548=2019,L1548*$P$7,B1548=2020,L1548*$P$8,B1548=2021,L1548*$P$9,B1548=2022,L1548*$P$10)</f>
        <v>9904.2589357825727</v>
      </c>
      <c r="I1548" s="7">
        <f t="shared" si="51"/>
        <v>436631.25893578259</v>
      </c>
      <c r="J1548">
        <f>IFERROR(VLOOKUP(F1548,'LEAID Match'!$A$2:$B$227,2,FALSE),"")</f>
        <v>3800039</v>
      </c>
      <c r="K1548">
        <f t="shared" si="50"/>
        <v>8</v>
      </c>
      <c r="L1548" cm="1">
        <f t="array" ref="L1548">_xlfn.IFS(B1548=2015,G1548/$P$13,B1548=2016,G1548/$P$14,B1548=2017,G1548/$P$15,B1548=2018,G1548/$P$16,B1548=2019,G1548/$P$17,B1548=2019,G1548/$P$18,B1548=2020,G1548/$P$18,B1548=2021,G1548/$P$19,B1548=2022,G1548/$P$20)</f>
        <v>4.7708376376601989E-3</v>
      </c>
    </row>
    <row r="1549" spans="1:12" x14ac:dyDescent="0.2">
      <c r="A1549">
        <v>3800039</v>
      </c>
      <c r="B1549">
        <v>2020</v>
      </c>
      <c r="C1549" t="s">
        <v>252</v>
      </c>
      <c r="D1549" t="s">
        <v>254</v>
      </c>
      <c r="E1549" t="s">
        <v>256</v>
      </c>
      <c r="F1549" s="5" t="s">
        <v>153</v>
      </c>
      <c r="G1549" s="7">
        <v>432277</v>
      </c>
      <c r="H1549" s="7" cm="1">
        <f t="array" ref="H1549">_xlfn.IFS(B1549=2015,L1549*$P$3,B1549=2016,L1549*$P$4,B1549=2017,L1549*$P$5,B1549=2018,L1549*$P$6,B1549=2019,L1549*$P$7,B1549=2020,L1549*$P$8,B1549=2021,L1549*$P$9,B1549=2022,L1549*$P$10)</f>
        <v>10844.97324578912</v>
      </c>
      <c r="I1549" s="7">
        <f t="shared" si="51"/>
        <v>443121.97324578912</v>
      </c>
      <c r="J1549">
        <f>IFERROR(VLOOKUP(F1549,'LEAID Match'!$A$2:$B$227,2,FALSE),"")</f>
        <v>3800039</v>
      </c>
      <c r="K1549">
        <f t="shared" si="50"/>
        <v>8</v>
      </c>
      <c r="L1549" cm="1">
        <f t="array" ref="L1549">_xlfn.IFS(B1549=2015,G1549/$P$13,B1549=2016,G1549/$P$14,B1549=2017,G1549/$P$15,B1549=2018,G1549/$P$16,B1549=2019,G1549/$P$17,B1549=2019,G1549/$P$18,B1549=2020,G1549/$P$18,B1549=2021,G1549/$P$19,B1549=2022,G1549/$P$20)</f>
        <v>4.6465181001667183E-3</v>
      </c>
    </row>
    <row r="1550" spans="1:12" x14ac:dyDescent="0.2">
      <c r="A1550">
        <v>3800039</v>
      </c>
      <c r="B1550" s="5">
        <v>2021</v>
      </c>
      <c r="C1550" t="s">
        <v>252</v>
      </c>
      <c r="D1550" t="s">
        <v>254</v>
      </c>
      <c r="E1550" t="s">
        <v>256</v>
      </c>
      <c r="F1550" s="5" t="s">
        <v>153</v>
      </c>
      <c r="G1550" s="7">
        <v>441000</v>
      </c>
      <c r="H1550" s="7" cm="1">
        <f t="array" ref="H1550">_xlfn.IFS(B1550=2015,L1550*$P$3,B1550=2016,L1550*$P$4,B1550=2017,L1550*$P$5,B1550=2018,L1550*$P$6,B1550=2019,L1550*$P$7,B1550=2020,L1550*$P$8,B1550=2021,L1550*$P$9,B1550=2022,L1550*$P$10)</f>
        <v>12050.013409765912</v>
      </c>
      <c r="I1550" s="7">
        <f t="shared" si="51"/>
        <v>453050.0134097659</v>
      </c>
      <c r="J1550">
        <f>IFERROR(VLOOKUP(F1550,'LEAID Match'!$A$2:$B$227,2,FALSE),"")</f>
        <v>3800039</v>
      </c>
      <c r="K1550">
        <f t="shared" si="50"/>
        <v>8</v>
      </c>
      <c r="L1550" cm="1">
        <f t="array" ref="L1550">_xlfn.IFS(B1550=2015,G1550/$P$13,B1550=2016,G1550/$P$14,B1550=2017,G1550/$P$15,B1550=2018,G1550/$P$16,B1550=2019,G1550/$P$17,B1550=2019,G1550/$P$18,B1550=2020,G1550/$P$18,B1550=2021,G1550/$P$19,B1550=2022,G1550/$P$20)</f>
        <v>4.4879007112722203E-3</v>
      </c>
    </row>
    <row r="1551" spans="1:12" x14ac:dyDescent="0.2">
      <c r="A1551">
        <v>3800039</v>
      </c>
      <c r="B1551">
        <v>2022</v>
      </c>
      <c r="C1551" t="s">
        <v>252</v>
      </c>
      <c r="D1551" t="s">
        <v>254</v>
      </c>
      <c r="E1551" t="s">
        <v>256</v>
      </c>
      <c r="F1551" s="5" t="s">
        <v>153</v>
      </c>
      <c r="G1551" s="7">
        <v>445712</v>
      </c>
      <c r="H1551" s="7" cm="1">
        <f t="array" ref="H1551">_xlfn.IFS(B1551=2015,L1551*$P$3,B1551=2016,L1551*$P$4,B1551=2017,L1551*$P$5,B1551=2018,L1551*$P$6,B1551=2019,L1551*$P$7,B1551=2020,L1551*$P$8,B1551=2021,L1551*$P$9,B1551=2022,L1551*$P$10)</f>
        <v>9071.3815614789346</v>
      </c>
      <c r="I1551" s="7">
        <f t="shared" si="51"/>
        <v>454783.38156147895</v>
      </c>
      <c r="J1551">
        <f>IFERROR(VLOOKUP(F1551,'LEAID Match'!$A$2:$B$227,2,FALSE),"")</f>
        <v>3800039</v>
      </c>
      <c r="K1551">
        <f t="shared" si="50"/>
        <v>8</v>
      </c>
      <c r="L1551" cm="1">
        <f t="array" ref="L1551">_xlfn.IFS(B1551=2015,G1551/$P$13,B1551=2016,G1551/$P$14,B1551=2017,G1551/$P$15,B1551=2018,G1551/$P$16,B1551=2019,G1551/$P$17,B1551=2019,G1551/$P$18,B1551=2020,G1551/$P$18,B1551=2021,G1551/$P$19,B1551=2022,G1551/$P$20)</f>
        <v>4.4424003729083908E-3</v>
      </c>
    </row>
    <row r="1552" spans="1:12" x14ac:dyDescent="0.2">
      <c r="A1552">
        <v>3818500</v>
      </c>
      <c r="B1552">
        <v>2015</v>
      </c>
      <c r="C1552" t="s">
        <v>252</v>
      </c>
      <c r="D1552" t="s">
        <v>254</v>
      </c>
      <c r="E1552" t="s">
        <v>256</v>
      </c>
      <c r="F1552" s="5" t="s">
        <v>154</v>
      </c>
      <c r="G1552" s="7">
        <v>147584</v>
      </c>
      <c r="H1552" s="7" cm="1">
        <f t="array" ref="H1552">_xlfn.IFS(B1552=2015,L1552*$P$3,B1552=2016,L1552*$P$4,B1552=2017,L1552*$P$5,B1552=2018,L1552*$P$6,B1552=2019,L1552*$P$7,B1552=2020,L1552*$P$8,B1552=2021,L1552*$P$9,B1552=2022,L1552*$P$10)</f>
        <v>3336.6414824392614</v>
      </c>
      <c r="I1552" s="7">
        <f t="shared" si="51"/>
        <v>150920.64148243927</v>
      </c>
      <c r="J1552">
        <f>IFERROR(VLOOKUP(F1552,'LEAID Match'!$A$2:$B$227,2,FALSE),"")</f>
        <v>3818500</v>
      </c>
      <c r="K1552">
        <f t="shared" si="50"/>
        <v>8</v>
      </c>
      <c r="L1552" cm="1">
        <f t="array" ref="L1552">_xlfn.IFS(B1552=2015,G1552/$P$13,B1552=2016,G1552/$P$14,B1552=2017,G1552/$P$15,B1552=2018,G1552/$P$16,B1552=2019,G1552/$P$17,B1552=2019,G1552/$P$18,B1552=2020,G1552/$P$18,B1552=2021,G1552/$P$19,B1552=2022,G1552/$P$20)</f>
        <v>1.8819184898134582E-3</v>
      </c>
    </row>
    <row r="1553" spans="1:12" x14ac:dyDescent="0.2">
      <c r="A1553">
        <v>3818500</v>
      </c>
      <c r="B1553">
        <v>2016</v>
      </c>
      <c r="C1553" t="s">
        <v>252</v>
      </c>
      <c r="D1553" t="s">
        <v>254</v>
      </c>
      <c r="E1553" t="s">
        <v>256</v>
      </c>
      <c r="F1553" s="5" t="s">
        <v>154</v>
      </c>
      <c r="G1553" s="7">
        <v>146516</v>
      </c>
      <c r="H1553" s="7" cm="1">
        <f t="array" ref="H1553">_xlfn.IFS(B1553=2015,L1553*$P$3,B1553=2016,L1553*$P$4,B1553=2017,L1553*$P$5,B1553=2018,L1553*$P$6,B1553=2019,L1553*$P$7,B1553=2020,L1553*$P$8,B1553=2021,L1553*$P$9,B1553=2022,L1553*$P$10)</f>
        <v>4975.2517056055976</v>
      </c>
      <c r="I1553" s="7">
        <f t="shared" si="51"/>
        <v>151491.25170560559</v>
      </c>
      <c r="J1553">
        <f>IFERROR(VLOOKUP(F1553,'LEAID Match'!$A$2:$B$227,2,FALSE),"")</f>
        <v>3818500</v>
      </c>
      <c r="K1553">
        <f t="shared" si="50"/>
        <v>8</v>
      </c>
      <c r="L1553" cm="1">
        <f t="array" ref="L1553">_xlfn.IFS(B1553=2015,G1553/$P$13,B1553=2016,G1553/$P$14,B1553=2017,G1553/$P$15,B1553=2018,G1553/$P$16,B1553=2019,G1553/$P$17,B1553=2019,G1553/$P$18,B1553=2020,G1553/$P$18,B1553=2021,G1553/$P$19,B1553=2022,G1553/$P$20)</f>
        <v>1.768663955067756E-3</v>
      </c>
    </row>
    <row r="1554" spans="1:12" x14ac:dyDescent="0.2">
      <c r="A1554">
        <v>3818500</v>
      </c>
      <c r="B1554">
        <v>2017</v>
      </c>
      <c r="C1554" t="s">
        <v>252</v>
      </c>
      <c r="D1554" t="s">
        <v>254</v>
      </c>
      <c r="E1554" t="s">
        <v>256</v>
      </c>
      <c r="F1554" s="5" t="s">
        <v>154</v>
      </c>
      <c r="G1554" s="7">
        <v>159682</v>
      </c>
      <c r="H1554" s="7" cm="1">
        <f t="array" ref="H1554">_xlfn.IFS(B1554=2015,L1554*$P$3,B1554=2016,L1554*$P$4,B1554=2017,L1554*$P$5,B1554=2018,L1554*$P$6,B1554=2019,L1554*$P$7,B1554=2020,L1554*$P$8,B1554=2021,L1554*$P$9,B1554=2022,L1554*$P$10)</f>
        <v>5174.982360619847</v>
      </c>
      <c r="I1554" s="7">
        <f t="shared" si="51"/>
        <v>164856.98236061985</v>
      </c>
      <c r="J1554">
        <f>IFERROR(VLOOKUP(F1554,'LEAID Match'!$A$2:$B$227,2,FALSE),"")</f>
        <v>3818500</v>
      </c>
      <c r="K1554">
        <f t="shared" si="50"/>
        <v>8</v>
      </c>
      <c r="L1554" cm="1">
        <f t="array" ref="L1554">_xlfn.IFS(B1554=2015,G1554/$P$13,B1554=2016,G1554/$P$14,B1554=2017,G1554/$P$15,B1554=2018,G1554/$P$16,B1554=2019,G1554/$P$17,B1554=2019,G1554/$P$18,B1554=2020,G1554/$P$18,B1554=2021,G1554/$P$19,B1554=2022,G1554/$P$20)</f>
        <v>1.8554974401648787E-3</v>
      </c>
    </row>
    <row r="1555" spans="1:12" x14ac:dyDescent="0.2">
      <c r="A1555">
        <v>3818500</v>
      </c>
      <c r="B1555" s="5">
        <v>2018</v>
      </c>
      <c r="C1555" t="s">
        <v>252</v>
      </c>
      <c r="D1555" t="s">
        <v>254</v>
      </c>
      <c r="E1555" t="s">
        <v>256</v>
      </c>
      <c r="F1555" s="5" t="s">
        <v>154</v>
      </c>
      <c r="G1555" s="7">
        <v>168123</v>
      </c>
      <c r="H1555" s="7" cm="1">
        <f t="array" ref="H1555">_xlfn.IFS(B1555=2015,L1555*$P$3,B1555=2016,L1555*$P$4,B1555=2017,L1555*$P$5,B1555=2018,L1555*$P$6,B1555=2019,L1555*$P$7,B1555=2020,L1555*$P$8,B1555=2021,L1555*$P$9,B1555=2022,L1555*$P$10)</f>
        <v>4606.7363974714717</v>
      </c>
      <c r="I1555" s="7">
        <f t="shared" si="51"/>
        <v>172729.73639747148</v>
      </c>
      <c r="J1555">
        <f>IFERROR(VLOOKUP(F1555,'LEAID Match'!$A$2:$B$227,2,FALSE),"")</f>
        <v>3818500</v>
      </c>
      <c r="K1555">
        <f t="shared" si="50"/>
        <v>8</v>
      </c>
      <c r="L1555" cm="1">
        <f t="array" ref="L1555">_xlfn.IFS(B1555=2015,G1555/$P$13,B1555=2016,G1555/$P$14,B1555=2017,G1555/$P$15,B1555=2018,G1555/$P$16,B1555=2019,G1555/$P$17,B1555=2019,G1555/$P$18,B1555=2020,G1555/$P$18,B1555=2021,G1555/$P$19,B1555=2022,G1555/$P$20)</f>
        <v>1.9396784831458827E-3</v>
      </c>
    </row>
    <row r="1556" spans="1:12" x14ac:dyDescent="0.2">
      <c r="A1556">
        <v>3818500</v>
      </c>
      <c r="B1556">
        <v>2019</v>
      </c>
      <c r="C1556" t="s">
        <v>252</v>
      </c>
      <c r="D1556" t="s">
        <v>254</v>
      </c>
      <c r="E1556" t="s">
        <v>256</v>
      </c>
      <c r="F1556" s="5" t="s">
        <v>154</v>
      </c>
      <c r="G1556" s="7">
        <v>171588</v>
      </c>
      <c r="H1556" s="7" cm="1">
        <f t="array" ref="H1556">_xlfn.IFS(B1556=2015,L1556*$P$3,B1556=2016,L1556*$P$4,B1556=2017,L1556*$P$5,B1556=2018,L1556*$P$6,B1556=2019,L1556*$P$7,B1556=2020,L1556*$P$8,B1556=2021,L1556*$P$9,B1556=2022,L1556*$P$10)</f>
        <v>3982.527429183202</v>
      </c>
      <c r="I1556" s="7">
        <f t="shared" si="51"/>
        <v>175570.52742918319</v>
      </c>
      <c r="J1556">
        <f>IFERROR(VLOOKUP(F1556,'LEAID Match'!$A$2:$B$227,2,FALSE),"")</f>
        <v>3818500</v>
      </c>
      <c r="K1556">
        <f t="shared" si="50"/>
        <v>8</v>
      </c>
      <c r="L1556" cm="1">
        <f t="array" ref="L1556">_xlfn.IFS(B1556=2015,G1556/$P$13,B1556=2016,G1556/$P$14,B1556=2017,G1556/$P$15,B1556=2018,G1556/$P$16,B1556=2019,G1556/$P$17,B1556=2019,G1556/$P$18,B1556=2020,G1556/$P$18,B1556=2021,G1556/$P$19,B1556=2022,G1556/$P$20)</f>
        <v>1.9183658136720627E-3</v>
      </c>
    </row>
    <row r="1557" spans="1:12" x14ac:dyDescent="0.2">
      <c r="A1557">
        <v>3818500</v>
      </c>
      <c r="B1557">
        <v>2020</v>
      </c>
      <c r="C1557" t="s">
        <v>252</v>
      </c>
      <c r="D1557" t="s">
        <v>254</v>
      </c>
      <c r="E1557" t="s">
        <v>256</v>
      </c>
      <c r="F1557" s="5" t="s">
        <v>154</v>
      </c>
      <c r="G1557" s="7">
        <v>179165</v>
      </c>
      <c r="H1557" s="7" cm="1">
        <f t="array" ref="H1557">_xlfn.IFS(B1557=2015,L1557*$P$3,B1557=2016,L1557*$P$4,B1557=2017,L1557*$P$5,B1557=2018,L1557*$P$6,B1557=2019,L1557*$P$7,B1557=2020,L1557*$P$8,B1557=2021,L1557*$P$9,B1557=2022,L1557*$P$10)</f>
        <v>4494.8947817760554</v>
      </c>
      <c r="I1557" s="7">
        <f t="shared" si="51"/>
        <v>183659.89478177606</v>
      </c>
      <c r="J1557">
        <f>IFERROR(VLOOKUP(F1557,'LEAID Match'!$A$2:$B$227,2,FALSE),"")</f>
        <v>3818500</v>
      </c>
      <c r="K1557">
        <f t="shared" si="50"/>
        <v>8</v>
      </c>
      <c r="L1557" cm="1">
        <f t="array" ref="L1557">_xlfn.IFS(B1557=2015,G1557/$P$13,B1557=2016,G1557/$P$14,B1557=2017,G1557/$P$15,B1557=2018,G1557/$P$16,B1557=2019,G1557/$P$17,B1557=2019,G1557/$P$18,B1557=2020,G1557/$P$18,B1557=2021,G1557/$P$19,B1557=2022,G1557/$P$20)</f>
        <v>1.9258332398354992E-3</v>
      </c>
    </row>
    <row r="1558" spans="1:12" x14ac:dyDescent="0.2">
      <c r="A1558">
        <v>3818500</v>
      </c>
      <c r="B1558" s="5">
        <v>2021</v>
      </c>
      <c r="C1558" t="s">
        <v>252</v>
      </c>
      <c r="D1558" t="s">
        <v>254</v>
      </c>
      <c r="E1558" t="s">
        <v>256</v>
      </c>
      <c r="F1558" s="5" t="s">
        <v>154</v>
      </c>
      <c r="G1558" s="7">
        <v>182204</v>
      </c>
      <c r="H1558" s="7" cm="1">
        <f t="array" ref="H1558">_xlfn.IFS(B1558=2015,L1558*$P$3,B1558=2016,L1558*$P$4,B1558=2017,L1558*$P$5,B1558=2018,L1558*$P$6,B1558=2019,L1558*$P$7,B1558=2020,L1558*$P$8,B1558=2021,L1558*$P$9,B1558=2022,L1558*$P$10)</f>
        <v>4978.595563068</v>
      </c>
      <c r="I1558" s="7">
        <f t="shared" si="51"/>
        <v>187182.595563068</v>
      </c>
      <c r="J1558">
        <f>IFERROR(VLOOKUP(F1558,'LEAID Match'!$A$2:$B$227,2,FALSE),"")</f>
        <v>3818500</v>
      </c>
      <c r="K1558">
        <f t="shared" si="50"/>
        <v>8</v>
      </c>
      <c r="L1558" cm="1">
        <f t="array" ref="L1558">_xlfn.IFS(B1558=2015,G1558/$P$13,B1558=2016,G1558/$P$14,B1558=2017,G1558/$P$15,B1558=2018,G1558/$P$16,B1558=2019,G1558/$P$17,B1558=2019,G1558/$P$18,B1558=2020,G1558/$P$18,B1558=2021,G1558/$P$19,B1558=2022,G1558/$P$20)</f>
        <v>1.8542255355932962E-3</v>
      </c>
    </row>
    <row r="1559" spans="1:12" x14ac:dyDescent="0.2">
      <c r="A1559">
        <v>3818500</v>
      </c>
      <c r="B1559">
        <v>2022</v>
      </c>
      <c r="C1559" t="s">
        <v>252</v>
      </c>
      <c r="D1559" t="s">
        <v>254</v>
      </c>
      <c r="E1559" t="s">
        <v>256</v>
      </c>
      <c r="F1559" s="5" t="s">
        <v>154</v>
      </c>
      <c r="G1559" s="7">
        <v>181021</v>
      </c>
      <c r="H1559" s="7" cm="1">
        <f t="array" ref="H1559">_xlfn.IFS(B1559=2015,L1559*$P$3,B1559=2016,L1559*$P$4,B1559=2017,L1559*$P$5,B1559=2018,L1559*$P$6,B1559=2019,L1559*$P$7,B1559=2020,L1559*$P$8,B1559=2021,L1559*$P$9,B1559=2022,L1559*$P$10)</f>
        <v>3684.2413074821366</v>
      </c>
      <c r="I1559" s="7">
        <f t="shared" si="51"/>
        <v>184705.24130748212</v>
      </c>
      <c r="J1559">
        <f>IFERROR(VLOOKUP(F1559,'LEAID Match'!$A$2:$B$227,2,FALSE),"")</f>
        <v>3818500</v>
      </c>
      <c r="K1559">
        <f t="shared" si="50"/>
        <v>8</v>
      </c>
      <c r="L1559" cm="1">
        <f t="array" ref="L1559">_xlfn.IFS(B1559=2015,G1559/$P$13,B1559=2016,G1559/$P$14,B1559=2017,G1559/$P$15,B1559=2018,G1559/$P$16,B1559=2019,G1559/$P$17,B1559=2019,G1559/$P$18,B1559=2020,G1559/$P$18,B1559=2021,G1559/$P$19,B1559=2022,G1559/$P$20)</f>
        <v>1.8042317862302334E-3</v>
      </c>
    </row>
    <row r="1560" spans="1:12" x14ac:dyDescent="0.2">
      <c r="A1560">
        <v>3818600</v>
      </c>
      <c r="B1560">
        <v>2015</v>
      </c>
      <c r="C1560" t="s">
        <v>252</v>
      </c>
      <c r="D1560" t="s">
        <v>254</v>
      </c>
      <c r="E1560" t="s">
        <v>256</v>
      </c>
      <c r="F1560" s="5" t="s">
        <v>214</v>
      </c>
      <c r="G1560" s="7">
        <v>57131</v>
      </c>
      <c r="H1560" s="7" cm="1">
        <f t="array" ref="H1560">_xlfn.IFS(B1560=2015,L1560*$P$3,B1560=2016,L1560*$P$4,B1560=2017,L1560*$P$5,B1560=2018,L1560*$P$6,B1560=2019,L1560*$P$7,B1560=2020,L1560*$P$8,B1560=2021,L1560*$P$9,B1560=2022,L1560*$P$10)</f>
        <v>1291.6418076027037</v>
      </c>
      <c r="I1560" s="7">
        <f t="shared" si="51"/>
        <v>58422.641807602704</v>
      </c>
      <c r="J1560">
        <f>IFERROR(VLOOKUP(F1560,'LEAID Match'!$A$2:$B$227,2,FALSE),"")</f>
        <v>3818600</v>
      </c>
      <c r="K1560">
        <f t="shared" si="50"/>
        <v>8</v>
      </c>
      <c r="L1560" cm="1">
        <f t="array" ref="L1560">_xlfn.IFS(B1560=2015,G1560/$P$13,B1560=2016,G1560/$P$14,B1560=2017,G1560/$P$15,B1560=2018,G1560/$P$16,B1560=2019,G1560/$P$17,B1560=2019,G1560/$P$18,B1560=2020,G1560/$P$18,B1560=2021,G1560/$P$19,B1560=2022,G1560/$P$20)</f>
        <v>7.285063776664996E-4</v>
      </c>
    </row>
    <row r="1561" spans="1:12" x14ac:dyDescent="0.2">
      <c r="A1561">
        <v>3818600</v>
      </c>
      <c r="B1561">
        <v>2016</v>
      </c>
      <c r="C1561" t="s">
        <v>252</v>
      </c>
      <c r="D1561" t="s">
        <v>254</v>
      </c>
      <c r="E1561" t="s">
        <v>256</v>
      </c>
      <c r="F1561" s="5" t="s">
        <v>214</v>
      </c>
      <c r="G1561" s="7">
        <v>51177</v>
      </c>
      <c r="H1561" s="7" cm="1">
        <f t="array" ref="H1561">_xlfn.IFS(B1561=2015,L1561*$P$3,B1561=2016,L1561*$P$4,B1561=2017,L1561*$P$5,B1561=2018,L1561*$P$6,B1561=2019,L1561*$P$7,B1561=2020,L1561*$P$8,B1561=2021,L1561*$P$9,B1561=2022,L1561*$P$10)</f>
        <v>1737.8201461804692</v>
      </c>
      <c r="I1561" s="7">
        <f t="shared" si="51"/>
        <v>52914.820146180471</v>
      </c>
      <c r="J1561">
        <f>IFERROR(VLOOKUP(F1561,'LEAID Match'!$A$2:$B$227,2,FALSE),"")</f>
        <v>3818600</v>
      </c>
      <c r="K1561">
        <f t="shared" si="50"/>
        <v>8</v>
      </c>
      <c r="L1561" cm="1">
        <f t="array" ref="L1561">_xlfn.IFS(B1561=2015,G1561/$P$13,B1561=2016,G1561/$P$14,B1561=2017,G1561/$P$15,B1561=2018,G1561/$P$16,B1561=2019,G1561/$P$17,B1561=2019,G1561/$P$18,B1561=2020,G1561/$P$18,B1561=2021,G1561/$P$19,B1561=2022,G1561/$P$20)</f>
        <v>6.1778177965889417E-4</v>
      </c>
    </row>
    <row r="1562" spans="1:12" x14ac:dyDescent="0.2">
      <c r="A1562">
        <v>3818600</v>
      </c>
      <c r="B1562">
        <v>2017</v>
      </c>
      <c r="C1562" t="s">
        <v>252</v>
      </c>
      <c r="D1562" t="s">
        <v>254</v>
      </c>
      <c r="E1562" t="s">
        <v>256</v>
      </c>
      <c r="F1562" s="5" t="s">
        <v>214</v>
      </c>
      <c r="G1562" s="7">
        <v>54766</v>
      </c>
      <c r="H1562" s="7" cm="1">
        <f t="array" ref="H1562">_xlfn.IFS(B1562=2015,L1562*$P$3,B1562=2016,L1562*$P$4,B1562=2017,L1562*$P$5,B1562=2018,L1562*$P$6,B1562=2019,L1562*$P$7,B1562=2020,L1562*$P$8,B1562=2021,L1562*$P$9,B1562=2022,L1562*$P$10)</f>
        <v>1774.8593076345896</v>
      </c>
      <c r="I1562" s="7">
        <f t="shared" si="51"/>
        <v>56540.859307634586</v>
      </c>
      <c r="J1562">
        <f>IFERROR(VLOOKUP(F1562,'LEAID Match'!$A$2:$B$227,2,FALSE),"")</f>
        <v>3818600</v>
      </c>
      <c r="K1562">
        <f t="shared" si="50"/>
        <v>8</v>
      </c>
      <c r="L1562" cm="1">
        <f t="array" ref="L1562">_xlfn.IFS(B1562=2015,G1562/$P$13,B1562=2016,G1562/$P$14,B1562=2017,G1562/$P$15,B1562=2018,G1562/$P$16,B1562=2019,G1562/$P$17,B1562=2019,G1562/$P$18,B1562=2020,G1562/$P$18,B1562=2021,G1562/$P$19,B1562=2022,G1562/$P$20)</f>
        <v>6.3637838208482954E-4</v>
      </c>
    </row>
    <row r="1563" spans="1:12" x14ac:dyDescent="0.2">
      <c r="A1563">
        <v>3818600</v>
      </c>
      <c r="B1563" s="5">
        <v>2018</v>
      </c>
      <c r="C1563" t="s">
        <v>252</v>
      </c>
      <c r="D1563" t="s">
        <v>254</v>
      </c>
      <c r="E1563" t="s">
        <v>256</v>
      </c>
      <c r="F1563" s="5" t="s">
        <v>214</v>
      </c>
      <c r="G1563" s="7">
        <v>57501</v>
      </c>
      <c r="H1563" s="7" cm="1">
        <f t="array" ref="H1563">_xlfn.IFS(B1563=2015,L1563*$P$3,B1563=2016,L1563*$P$4,B1563=2017,L1563*$P$5,B1563=2018,L1563*$P$6,B1563=2019,L1563*$P$7,B1563=2020,L1563*$P$8,B1563=2021,L1563*$P$9,B1563=2022,L1563*$P$10)</f>
        <v>1575.5842424356397</v>
      </c>
      <c r="I1563" s="7">
        <f t="shared" si="51"/>
        <v>59076.584242435638</v>
      </c>
      <c r="J1563">
        <f>IFERROR(VLOOKUP(F1563,'LEAID Match'!$A$2:$B$227,2,FALSE),"")</f>
        <v>3818600</v>
      </c>
      <c r="K1563">
        <f t="shared" si="50"/>
        <v>8</v>
      </c>
      <c r="L1563" cm="1">
        <f t="array" ref="L1563">_xlfn.IFS(B1563=2015,G1563/$P$13,B1563=2016,G1563/$P$14,B1563=2017,G1563/$P$15,B1563=2018,G1563/$P$16,B1563=2019,G1563/$P$17,B1563=2019,G1563/$P$18,B1563=2020,G1563/$P$18,B1563=2021,G1563/$P$19,B1563=2022,G1563/$P$20)</f>
        <v>6.6340389155184832E-4</v>
      </c>
    </row>
    <row r="1564" spans="1:12" x14ac:dyDescent="0.2">
      <c r="A1564">
        <v>3818600</v>
      </c>
      <c r="B1564">
        <v>2019</v>
      </c>
      <c r="C1564" t="s">
        <v>252</v>
      </c>
      <c r="D1564" t="s">
        <v>254</v>
      </c>
      <c r="E1564" t="s">
        <v>256</v>
      </c>
      <c r="F1564" s="5" t="s">
        <v>214</v>
      </c>
      <c r="G1564" s="7">
        <v>57336</v>
      </c>
      <c r="H1564" s="7" cm="1">
        <f t="array" ref="H1564">_xlfn.IFS(B1564=2015,L1564*$P$3,B1564=2016,L1564*$P$4,B1564=2017,L1564*$P$5,B1564=2018,L1564*$P$6,B1564=2019,L1564*$P$7,B1564=2020,L1564*$P$8,B1564=2021,L1564*$P$9,B1564=2022,L1564*$P$10)</f>
        <v>1330.7585185423693</v>
      </c>
      <c r="I1564" s="7">
        <f t="shared" si="51"/>
        <v>58666.758518542367</v>
      </c>
      <c r="J1564">
        <f>IFERROR(VLOOKUP(F1564,'LEAID Match'!$A$2:$B$227,2,FALSE),"")</f>
        <v>3818600</v>
      </c>
      <c r="K1564">
        <f t="shared" si="50"/>
        <v>8</v>
      </c>
      <c r="L1564" cm="1">
        <f t="array" ref="L1564">_xlfn.IFS(B1564=2015,G1564/$P$13,B1564=2016,G1564/$P$14,B1564=2017,G1564/$P$15,B1564=2018,G1564/$P$16,B1564=2019,G1564/$P$17,B1564=2019,G1564/$P$18,B1564=2020,G1564/$P$18,B1564=2021,G1564/$P$19,B1564=2022,G1564/$P$20)</f>
        <v>6.4102048099343417E-4</v>
      </c>
    </row>
    <row r="1565" spans="1:12" x14ac:dyDescent="0.2">
      <c r="A1565">
        <v>3818600</v>
      </c>
      <c r="B1565">
        <v>2020</v>
      </c>
      <c r="C1565" t="s">
        <v>252</v>
      </c>
      <c r="D1565" t="s">
        <v>254</v>
      </c>
      <c r="E1565" t="s">
        <v>256</v>
      </c>
      <c r="F1565" s="5" t="s">
        <v>214</v>
      </c>
      <c r="G1565" s="7">
        <v>57407</v>
      </c>
      <c r="H1565" s="7" cm="1">
        <f t="array" ref="H1565">_xlfn.IFS(B1565=2015,L1565*$P$3,B1565=2016,L1565*$P$4,B1565=2017,L1565*$P$5,B1565=2018,L1565*$P$6,B1565=2019,L1565*$P$7,B1565=2020,L1565*$P$8,B1565=2021,L1565*$P$9,B1565=2022,L1565*$P$10)</f>
        <v>1440.2278611191807</v>
      </c>
      <c r="I1565" s="7">
        <f t="shared" si="51"/>
        <v>58847.22786111918</v>
      </c>
      <c r="J1565">
        <f>IFERROR(VLOOKUP(F1565,'LEAID Match'!$A$2:$B$227,2,FALSE),"")</f>
        <v>3818600</v>
      </c>
      <c r="K1565">
        <f t="shared" si="50"/>
        <v>8</v>
      </c>
      <c r="L1565" cm="1">
        <f t="array" ref="L1565">_xlfn.IFS(B1565=2015,G1565/$P$13,B1565=2016,G1565/$P$14,B1565=2017,G1565/$P$15,B1565=2018,G1565/$P$16,B1565=2019,G1565/$P$17,B1565=2019,G1565/$P$18,B1565=2020,G1565/$P$18,B1565=2021,G1565/$P$19,B1565=2022,G1565/$P$20)</f>
        <v>6.1706420784883489E-4</v>
      </c>
    </row>
    <row r="1566" spans="1:12" x14ac:dyDescent="0.2">
      <c r="A1566">
        <v>3818600</v>
      </c>
      <c r="B1566" s="5">
        <v>2021</v>
      </c>
      <c r="C1566" t="s">
        <v>252</v>
      </c>
      <c r="D1566" t="s">
        <v>254</v>
      </c>
      <c r="E1566" t="s">
        <v>256</v>
      </c>
      <c r="F1566" s="5" t="s">
        <v>214</v>
      </c>
      <c r="G1566" s="7">
        <v>61187</v>
      </c>
      <c r="H1566" s="7" cm="1">
        <f t="array" ref="H1566">_xlfn.IFS(B1566=2015,L1566*$P$3,B1566=2016,L1566*$P$4,B1566=2017,L1566*$P$5,B1566=2018,L1566*$P$6,B1566=2019,L1566*$P$7,B1566=2020,L1566*$P$8,B1566=2021,L1566*$P$9,B1566=2022,L1566*$P$10)</f>
        <v>1671.8915430914897</v>
      </c>
      <c r="I1566" s="7">
        <f t="shared" si="51"/>
        <v>62858.891543091493</v>
      </c>
      <c r="J1566">
        <f>IFERROR(VLOOKUP(F1566,'LEAID Match'!$A$2:$B$227,2,FALSE),"")</f>
        <v>3818600</v>
      </c>
      <c r="K1566">
        <f t="shared" si="50"/>
        <v>8</v>
      </c>
      <c r="L1566" cm="1">
        <f t="array" ref="L1566">_xlfn.IFS(B1566=2015,G1566/$P$13,B1566=2016,G1566/$P$14,B1566=2017,G1566/$P$15,B1566=2018,G1566/$P$16,B1566=2019,G1566/$P$17,B1566=2019,G1566/$P$18,B1566=2020,G1566/$P$18,B1566=2021,G1566/$P$19,B1566=2022,G1566/$P$20)</f>
        <v>6.2267841455921399E-4</v>
      </c>
    </row>
    <row r="1567" spans="1:12" x14ac:dyDescent="0.2">
      <c r="A1567">
        <v>3818600</v>
      </c>
      <c r="B1567">
        <v>2022</v>
      </c>
      <c r="C1567" t="s">
        <v>252</v>
      </c>
      <c r="D1567" t="s">
        <v>254</v>
      </c>
      <c r="E1567" t="s">
        <v>256</v>
      </c>
      <c r="F1567" s="5" t="s">
        <v>214</v>
      </c>
      <c r="G1567" s="7">
        <v>74596</v>
      </c>
      <c r="H1567" s="7" cm="1">
        <f t="array" ref="H1567">_xlfn.IFS(B1567=2015,L1567*$P$3,B1567=2016,L1567*$P$4,B1567=2017,L1567*$P$5,B1567=2018,L1567*$P$6,B1567=2019,L1567*$P$7,B1567=2020,L1567*$P$8,B1567=2021,L1567*$P$9,B1567=2022,L1567*$P$10)</f>
        <v>1518.21978981962</v>
      </c>
      <c r="I1567" s="7">
        <f t="shared" si="51"/>
        <v>76114.219789819617</v>
      </c>
      <c r="J1567">
        <f>IFERROR(VLOOKUP(F1567,'LEAID Match'!$A$2:$B$227,2,FALSE),"")</f>
        <v>3818600</v>
      </c>
      <c r="K1567">
        <f t="shared" si="50"/>
        <v>8</v>
      </c>
      <c r="L1567" cm="1">
        <f t="array" ref="L1567">_xlfn.IFS(B1567=2015,G1567/$P$13,B1567=2016,G1567/$P$14,B1567=2017,G1567/$P$15,B1567=2018,G1567/$P$16,B1567=2019,G1567/$P$17,B1567=2019,G1567/$P$18,B1567=2020,G1567/$P$18,B1567=2021,G1567/$P$19,B1567=2022,G1567/$P$20)</f>
        <v>7.4349646905955927E-4</v>
      </c>
    </row>
    <row r="1568" spans="1:12" x14ac:dyDescent="0.2">
      <c r="A1568">
        <v>3818660</v>
      </c>
      <c r="B1568">
        <v>2015</v>
      </c>
      <c r="C1568" t="s">
        <v>252</v>
      </c>
      <c r="D1568" t="s">
        <v>254</v>
      </c>
      <c r="E1568" t="s">
        <v>256</v>
      </c>
      <c r="F1568" s="5" t="s">
        <v>155</v>
      </c>
      <c r="G1568" s="7">
        <v>189930</v>
      </c>
      <c r="H1568" s="7" cm="1">
        <f t="array" ref="H1568">_xlfn.IFS(B1568=2015,L1568*$P$3,B1568=2016,L1568*$P$4,B1568=2017,L1568*$P$5,B1568=2018,L1568*$P$6,B1568=2019,L1568*$P$7,B1568=2020,L1568*$P$8,B1568=2021,L1568*$P$9,B1568=2022,L1568*$P$10)</f>
        <v>4294.0177577494105</v>
      </c>
      <c r="I1568" s="7">
        <f t="shared" si="51"/>
        <v>194224.01775774942</v>
      </c>
      <c r="J1568">
        <f>IFERROR(VLOOKUP(F1568,'LEAID Match'!$A$2:$B$227,2,FALSE),"")</f>
        <v>3818660</v>
      </c>
      <c r="K1568">
        <f t="shared" si="50"/>
        <v>8</v>
      </c>
      <c r="L1568" cm="1">
        <f t="array" ref="L1568">_xlfn.IFS(B1568=2015,G1568/$P$13,B1568=2016,G1568/$P$14,B1568=2017,G1568/$P$15,B1568=2018,G1568/$P$16,B1568=2019,G1568/$P$17,B1568=2019,G1568/$P$18,B1568=2020,G1568/$P$18,B1568=2021,G1568/$P$19,B1568=2022,G1568/$P$20)</f>
        <v>2.4218938283978625E-3</v>
      </c>
    </row>
    <row r="1569" spans="1:12" x14ac:dyDescent="0.2">
      <c r="A1569">
        <v>3818660</v>
      </c>
      <c r="B1569">
        <v>2016</v>
      </c>
      <c r="C1569" t="s">
        <v>252</v>
      </c>
      <c r="D1569" t="s">
        <v>254</v>
      </c>
      <c r="E1569" t="s">
        <v>256</v>
      </c>
      <c r="F1569" s="5" t="s">
        <v>155</v>
      </c>
      <c r="G1569" s="7">
        <v>195352</v>
      </c>
      <c r="H1569" s="7" cm="1">
        <f t="array" ref="H1569">_xlfn.IFS(B1569=2015,L1569*$P$3,B1569=2016,L1569*$P$4,B1569=2017,L1569*$P$5,B1569=2018,L1569*$P$6,B1569=2019,L1569*$P$7,B1569=2020,L1569*$P$8,B1569=2021,L1569*$P$9,B1569=2022,L1569*$P$10)</f>
        <v>6633.5783886637955</v>
      </c>
      <c r="I1569" s="7">
        <f t="shared" si="51"/>
        <v>201985.57838866379</v>
      </c>
      <c r="J1569">
        <f>IFERROR(VLOOKUP(F1569,'LEAID Match'!$A$2:$B$227,2,FALSE),"")</f>
        <v>3818660</v>
      </c>
      <c r="K1569">
        <f t="shared" si="50"/>
        <v>8</v>
      </c>
      <c r="L1569" cm="1">
        <f t="array" ref="L1569">_xlfn.IFS(B1569=2015,G1569/$P$13,B1569=2016,G1569/$P$14,B1569=2017,G1569/$P$15,B1569=2018,G1569/$P$16,B1569=2019,G1569/$P$17,B1569=2019,G1569/$P$18,B1569=2020,G1569/$P$18,B1569=2021,G1569/$P$19,B1569=2022,G1569/$P$20)</f>
        <v>2.3581864161620319E-3</v>
      </c>
    </row>
    <row r="1570" spans="1:12" x14ac:dyDescent="0.2">
      <c r="A1570">
        <v>3818660</v>
      </c>
      <c r="B1570">
        <v>2017</v>
      </c>
      <c r="C1570" t="s">
        <v>252</v>
      </c>
      <c r="D1570" t="s">
        <v>254</v>
      </c>
      <c r="E1570" t="s">
        <v>256</v>
      </c>
      <c r="F1570" s="5" t="s">
        <v>155</v>
      </c>
      <c r="G1570" s="7">
        <v>195687</v>
      </c>
      <c r="H1570" s="7" cm="1">
        <f t="array" ref="H1570">_xlfn.IFS(B1570=2015,L1570*$P$3,B1570=2016,L1570*$P$4,B1570=2017,L1570*$P$5,B1570=2018,L1570*$P$6,B1570=2019,L1570*$P$7,B1570=2020,L1570*$P$8,B1570=2021,L1570*$P$9,B1570=2022,L1570*$P$10)</f>
        <v>6341.8342280445886</v>
      </c>
      <c r="I1570" s="7">
        <f t="shared" si="51"/>
        <v>202028.83422804458</v>
      </c>
      <c r="J1570">
        <f>IFERROR(VLOOKUP(F1570,'LEAID Match'!$A$2:$B$227,2,FALSE),"")</f>
        <v>3818660</v>
      </c>
      <c r="K1570">
        <f t="shared" si="50"/>
        <v>8</v>
      </c>
      <c r="L1570" cm="1">
        <f t="array" ref="L1570">_xlfn.IFS(B1570=2015,G1570/$P$13,B1570=2016,G1570/$P$14,B1570=2017,G1570/$P$15,B1570=2018,G1570/$P$16,B1570=2019,G1570/$P$17,B1570=2019,G1570/$P$18,B1570=2020,G1570/$P$18,B1570=2021,G1570/$P$19,B1570=2022,G1570/$P$20)</f>
        <v>2.2738738716545676E-3</v>
      </c>
    </row>
    <row r="1571" spans="1:12" x14ac:dyDescent="0.2">
      <c r="A1571">
        <v>3818660</v>
      </c>
      <c r="B1571" s="5">
        <v>2018</v>
      </c>
      <c r="C1571" t="s">
        <v>252</v>
      </c>
      <c r="D1571" t="s">
        <v>254</v>
      </c>
      <c r="E1571" t="s">
        <v>256</v>
      </c>
      <c r="F1571" s="5" t="s">
        <v>155</v>
      </c>
      <c r="G1571" s="7">
        <v>192599</v>
      </c>
      <c r="H1571" s="7" cm="1">
        <f t="array" ref="H1571">_xlfn.IFS(B1571=2015,L1571*$P$3,B1571=2016,L1571*$P$4,B1571=2017,L1571*$P$5,B1571=2018,L1571*$P$6,B1571=2019,L1571*$P$7,B1571=2020,L1571*$P$8,B1571=2021,L1571*$P$9,B1571=2022,L1571*$P$10)</f>
        <v>5277.4029931455425</v>
      </c>
      <c r="I1571" s="7">
        <f t="shared" si="51"/>
        <v>197876.40299314554</v>
      </c>
      <c r="J1571">
        <f>IFERROR(VLOOKUP(F1571,'LEAID Match'!$A$2:$B$227,2,FALSE),"")</f>
        <v>3818660</v>
      </c>
      <c r="K1571">
        <f t="shared" si="50"/>
        <v>8</v>
      </c>
      <c r="L1571" cm="1">
        <f t="array" ref="L1571">_xlfn.IFS(B1571=2015,G1571/$P$13,B1571=2016,G1571/$P$14,B1571=2017,G1571/$P$15,B1571=2018,G1571/$P$16,B1571=2019,G1571/$P$17,B1571=2019,G1571/$P$18,B1571=2020,G1571/$P$18,B1571=2021,G1571/$P$19,B1571=2022,G1571/$P$20)</f>
        <v>2.2220644181665441E-3</v>
      </c>
    </row>
    <row r="1572" spans="1:12" x14ac:dyDescent="0.2">
      <c r="A1572">
        <v>3818660</v>
      </c>
      <c r="B1572">
        <v>2019</v>
      </c>
      <c r="C1572" t="s">
        <v>252</v>
      </c>
      <c r="D1572" t="s">
        <v>254</v>
      </c>
      <c r="E1572" t="s">
        <v>256</v>
      </c>
      <c r="F1572" s="5" t="s">
        <v>155</v>
      </c>
      <c r="G1572" s="7">
        <v>188179</v>
      </c>
      <c r="H1572" s="7" cm="1">
        <f t="array" ref="H1572">_xlfn.IFS(B1572=2015,L1572*$P$3,B1572=2016,L1572*$P$4,B1572=2017,L1572*$P$5,B1572=2018,L1572*$P$6,B1572=2019,L1572*$P$7,B1572=2020,L1572*$P$8,B1572=2021,L1572*$P$9,B1572=2022,L1572*$P$10)</f>
        <v>4367.6016335423556</v>
      </c>
      <c r="I1572" s="7">
        <f t="shared" si="51"/>
        <v>192546.60163354236</v>
      </c>
      <c r="J1572">
        <f>IFERROR(VLOOKUP(F1572,'LEAID Match'!$A$2:$B$227,2,FALSE),"")</f>
        <v>3818660</v>
      </c>
      <c r="K1572">
        <f t="shared" si="50"/>
        <v>8</v>
      </c>
      <c r="L1572" cm="1">
        <f t="array" ref="L1572">_xlfn.IFS(B1572=2015,G1572/$P$13,B1572=2016,G1572/$P$14,B1572=2017,G1572/$P$15,B1572=2018,G1572/$P$16,B1572=2019,G1572/$P$17,B1572=2019,G1572/$P$18,B1572=2020,G1572/$P$18,B1572=2021,G1572/$P$19,B1572=2022,G1572/$P$20)</f>
        <v>2.1038543514173198E-3</v>
      </c>
    </row>
    <row r="1573" spans="1:12" x14ac:dyDescent="0.2">
      <c r="A1573">
        <v>3818660</v>
      </c>
      <c r="B1573">
        <v>2020</v>
      </c>
      <c r="C1573" t="s">
        <v>252</v>
      </c>
      <c r="D1573" t="s">
        <v>254</v>
      </c>
      <c r="E1573" t="s">
        <v>256</v>
      </c>
      <c r="F1573" s="5" t="s">
        <v>155</v>
      </c>
      <c r="G1573" s="7">
        <v>192167</v>
      </c>
      <c r="H1573" s="7" cm="1">
        <f t="array" ref="H1573">_xlfn.IFS(B1573=2015,L1573*$P$3,B1573=2016,L1573*$P$4,B1573=2017,L1573*$P$5,B1573=2018,L1573*$P$6,B1573=2019,L1573*$P$7,B1573=2020,L1573*$P$8,B1573=2021,L1573*$P$9,B1573=2022,L1573*$P$10)</f>
        <v>4821.0891944830692</v>
      </c>
      <c r="I1573" s="7">
        <f t="shared" si="51"/>
        <v>196988.08919448307</v>
      </c>
      <c r="J1573">
        <f>IFERROR(VLOOKUP(F1573,'LEAID Match'!$A$2:$B$227,2,FALSE),"")</f>
        <v>3818660</v>
      </c>
      <c r="K1573">
        <f t="shared" si="50"/>
        <v>8</v>
      </c>
      <c r="L1573" cm="1">
        <f t="array" ref="L1573">_xlfn.IFS(B1573=2015,G1573/$P$13,B1573=2016,G1573/$P$14,B1573=2017,G1573/$P$15,B1573=2018,G1573/$P$16,B1573=2019,G1573/$P$17,B1573=2019,G1573/$P$18,B1573=2020,G1573/$P$18,B1573=2021,G1573/$P$19,B1573=2022,G1573/$P$20)</f>
        <v>2.0655909145171677E-3</v>
      </c>
    </row>
    <row r="1574" spans="1:12" x14ac:dyDescent="0.2">
      <c r="A1574">
        <v>3818660</v>
      </c>
      <c r="B1574" s="5">
        <v>2021</v>
      </c>
      <c r="C1574" t="s">
        <v>252</v>
      </c>
      <c r="D1574" t="s">
        <v>254</v>
      </c>
      <c r="E1574" t="s">
        <v>256</v>
      </c>
      <c r="F1574" s="5" t="s">
        <v>155</v>
      </c>
      <c r="G1574" s="7">
        <v>201348</v>
      </c>
      <c r="H1574" s="7" cm="1">
        <f t="array" ref="H1574">_xlfn.IFS(B1574=2015,L1574*$P$3,B1574=2016,L1574*$P$4,B1574=2017,L1574*$P$5,B1574=2018,L1574*$P$6,B1574=2019,L1574*$P$7,B1574=2020,L1574*$P$8,B1574=2021,L1574*$P$9,B1574=2022,L1574*$P$10)</f>
        <v>5501.6918368016932</v>
      </c>
      <c r="I1574" s="7">
        <f t="shared" si="51"/>
        <v>206849.69183680171</v>
      </c>
      <c r="J1574">
        <f>IFERROR(VLOOKUP(F1574,'LEAID Match'!$A$2:$B$227,2,FALSE),"")</f>
        <v>3818660</v>
      </c>
      <c r="K1574">
        <f t="shared" si="50"/>
        <v>8</v>
      </c>
      <c r="L1574" cm="1">
        <f t="array" ref="L1574">_xlfn.IFS(B1574=2015,G1574/$P$13,B1574=2016,G1574/$P$14,B1574=2017,G1574/$P$15,B1574=2018,G1574/$P$16,B1574=2019,G1574/$P$17,B1574=2019,G1574/$P$18,B1574=2020,G1574/$P$18,B1574=2021,G1574/$P$19,B1574=2022,G1574/$P$20)</f>
        <v>2.0490472390322879E-3</v>
      </c>
    </row>
    <row r="1575" spans="1:12" x14ac:dyDescent="0.2">
      <c r="A1575">
        <v>3818660</v>
      </c>
      <c r="B1575">
        <v>2022</v>
      </c>
      <c r="C1575" t="s">
        <v>252</v>
      </c>
      <c r="D1575" t="s">
        <v>254</v>
      </c>
      <c r="E1575" t="s">
        <v>256</v>
      </c>
      <c r="F1575" s="5" t="s">
        <v>155</v>
      </c>
      <c r="G1575" s="7">
        <v>198147</v>
      </c>
      <c r="H1575" s="7" cm="1">
        <f t="array" ref="H1575">_xlfn.IFS(B1575=2015,L1575*$P$3,B1575=2016,L1575*$P$4,B1575=2017,L1575*$P$5,B1575=2018,L1575*$P$6,B1575=2019,L1575*$P$7,B1575=2020,L1575*$P$8,B1575=2021,L1575*$P$9,B1575=2022,L1575*$P$10)</f>
        <v>4032.799301482496</v>
      </c>
      <c r="I1575" s="7">
        <f t="shared" si="51"/>
        <v>202179.7993014825</v>
      </c>
      <c r="J1575">
        <f>IFERROR(VLOOKUP(F1575,'LEAID Match'!$A$2:$B$227,2,FALSE),"")</f>
        <v>3818660</v>
      </c>
      <c r="K1575">
        <f t="shared" si="50"/>
        <v>8</v>
      </c>
      <c r="L1575" cm="1">
        <f t="array" ref="L1575">_xlfn.IFS(B1575=2015,G1575/$P$13,B1575=2016,G1575/$P$14,B1575=2017,G1575/$P$15,B1575=2018,G1575/$P$16,B1575=2019,G1575/$P$17,B1575=2019,G1575/$P$18,B1575=2020,G1575/$P$18,B1575=2021,G1575/$P$19,B1575=2022,G1575/$P$20)</f>
        <v>1.9749262005301156E-3</v>
      </c>
    </row>
    <row r="1576" spans="1:12" x14ac:dyDescent="0.2">
      <c r="A1576">
        <v>3818730</v>
      </c>
      <c r="B1576">
        <v>2015</v>
      </c>
      <c r="C1576" t="s">
        <v>252</v>
      </c>
      <c r="D1576" t="s">
        <v>254</v>
      </c>
      <c r="E1576" t="s">
        <v>256</v>
      </c>
      <c r="F1576" s="5" t="s">
        <v>156</v>
      </c>
      <c r="G1576" s="7">
        <v>353423</v>
      </c>
      <c r="H1576" s="7" cm="1">
        <f t="array" ref="H1576">_xlfn.IFS(B1576=2015,L1576*$P$3,B1576=2016,L1576*$P$4,B1576=2017,L1576*$P$5,B1576=2018,L1576*$P$6,B1576=2019,L1576*$P$7,B1576=2020,L1576*$P$8,B1576=2021,L1576*$P$9,B1576=2022,L1576*$P$10)</f>
        <v>7990.3366397992413</v>
      </c>
      <c r="I1576" s="7">
        <f t="shared" si="51"/>
        <v>361413.33663979924</v>
      </c>
      <c r="J1576">
        <f>IFERROR(VLOOKUP(F1576,'LEAID Match'!$A$2:$B$227,2,FALSE),"")</f>
        <v>3818730</v>
      </c>
      <c r="K1576">
        <f t="shared" si="50"/>
        <v>8</v>
      </c>
      <c r="L1576" cm="1">
        <f t="array" ref="L1576">_xlfn.IFS(B1576=2015,G1576/$P$13,B1576=2016,G1576/$P$14,B1576=2017,G1576/$P$15,B1576=2018,G1576/$P$16,B1576=2019,G1576/$P$17,B1576=2019,G1576/$P$18,B1576=2020,G1576/$P$18,B1576=2021,G1576/$P$19,B1576=2022,G1576/$P$20)</f>
        <v>4.5066760517762216E-3</v>
      </c>
    </row>
    <row r="1577" spans="1:12" x14ac:dyDescent="0.2">
      <c r="A1577">
        <v>3818730</v>
      </c>
      <c r="B1577">
        <v>2016</v>
      </c>
      <c r="C1577" t="s">
        <v>252</v>
      </c>
      <c r="D1577" t="s">
        <v>254</v>
      </c>
      <c r="E1577" t="s">
        <v>256</v>
      </c>
      <c r="F1577" s="5" t="s">
        <v>156</v>
      </c>
      <c r="G1577" s="7">
        <v>373420</v>
      </c>
      <c r="H1577" s="7" cm="1">
        <f t="array" ref="H1577">_xlfn.IFS(B1577=2015,L1577*$P$3,B1577=2016,L1577*$P$4,B1577=2017,L1577*$P$5,B1577=2018,L1577*$P$6,B1577=2019,L1577*$P$7,B1577=2020,L1577*$P$8,B1577=2021,L1577*$P$9,B1577=2022,L1577*$P$10)</f>
        <v>12680.243058145474</v>
      </c>
      <c r="I1577" s="7">
        <f t="shared" si="51"/>
        <v>386100.24305814545</v>
      </c>
      <c r="J1577">
        <f>IFERROR(VLOOKUP(F1577,'LEAID Match'!$A$2:$B$227,2,FALSE),"")</f>
        <v>3818730</v>
      </c>
      <c r="K1577">
        <f t="shared" si="50"/>
        <v>8</v>
      </c>
      <c r="L1577" cm="1">
        <f t="array" ref="L1577">_xlfn.IFS(B1577=2015,G1577/$P$13,B1577=2016,G1577/$P$14,B1577=2017,G1577/$P$15,B1577=2018,G1577/$P$16,B1577=2019,G1577/$P$17,B1577=2019,G1577/$P$18,B1577=2020,G1577/$P$18,B1577=2021,G1577/$P$19,B1577=2022,G1577/$P$20)</f>
        <v>4.5077294909866596E-3</v>
      </c>
    </row>
    <row r="1578" spans="1:12" x14ac:dyDescent="0.2">
      <c r="A1578">
        <v>3818730</v>
      </c>
      <c r="B1578">
        <v>2017</v>
      </c>
      <c r="C1578" t="s">
        <v>252</v>
      </c>
      <c r="D1578" t="s">
        <v>254</v>
      </c>
      <c r="E1578" t="s">
        <v>256</v>
      </c>
      <c r="F1578" s="5" t="s">
        <v>156</v>
      </c>
      <c r="G1578" s="7">
        <v>428713</v>
      </c>
      <c r="H1578" s="7" cm="1">
        <f t="array" ref="H1578">_xlfn.IFS(B1578=2015,L1578*$P$3,B1578=2016,L1578*$P$4,B1578=2017,L1578*$P$5,B1578=2018,L1578*$P$6,B1578=2019,L1578*$P$7,B1578=2020,L1578*$P$8,B1578=2021,L1578*$P$9,B1578=2022,L1578*$P$10)</f>
        <v>13893.752663220754</v>
      </c>
      <c r="I1578" s="7">
        <f t="shared" si="51"/>
        <v>442606.75266322074</v>
      </c>
      <c r="J1578">
        <f>IFERROR(VLOOKUP(F1578,'LEAID Match'!$A$2:$B$227,2,FALSE),"")</f>
        <v>3818730</v>
      </c>
      <c r="K1578">
        <f t="shared" si="50"/>
        <v>8</v>
      </c>
      <c r="L1578" cm="1">
        <f t="array" ref="L1578">_xlfn.IFS(B1578=2015,G1578/$P$13,B1578=2016,G1578/$P$14,B1578=2017,G1578/$P$15,B1578=2018,G1578/$P$16,B1578=2019,G1578/$P$17,B1578=2019,G1578/$P$18,B1578=2020,G1578/$P$18,B1578=2021,G1578/$P$19,B1578=2022,G1578/$P$20)</f>
        <v>4.9816251929798326E-3</v>
      </c>
    </row>
    <row r="1579" spans="1:12" x14ac:dyDescent="0.2">
      <c r="A1579">
        <v>3818730</v>
      </c>
      <c r="B1579" s="5">
        <v>2018</v>
      </c>
      <c r="C1579" t="s">
        <v>252</v>
      </c>
      <c r="D1579" t="s">
        <v>254</v>
      </c>
      <c r="E1579" t="s">
        <v>256</v>
      </c>
      <c r="F1579" s="5" t="s">
        <v>156</v>
      </c>
      <c r="G1579" s="7">
        <v>428125</v>
      </c>
      <c r="H1579" s="7" cm="1">
        <f t="array" ref="H1579">_xlfn.IFS(B1579=2015,L1579*$P$3,B1579=2016,L1579*$P$4,B1579=2017,L1579*$P$5,B1579=2018,L1579*$P$6,B1579=2019,L1579*$P$7,B1579=2020,L1579*$P$8,B1579=2021,L1579*$P$9,B1579=2022,L1579*$P$10)</f>
        <v>11731.048221644116</v>
      </c>
      <c r="I1579" s="7">
        <f t="shared" si="51"/>
        <v>439856.04822164413</v>
      </c>
      <c r="J1579">
        <f>IFERROR(VLOOKUP(F1579,'LEAID Match'!$A$2:$B$227,2,FALSE),"")</f>
        <v>3818730</v>
      </c>
      <c r="K1579">
        <f t="shared" si="50"/>
        <v>8</v>
      </c>
      <c r="L1579" cm="1">
        <f t="array" ref="L1579">_xlfn.IFS(B1579=2015,G1579/$P$13,B1579=2016,G1579/$P$14,B1579=2017,G1579/$P$15,B1579=2018,G1579/$P$16,B1579=2019,G1579/$P$17,B1579=2019,G1579/$P$18,B1579=2020,G1579/$P$18,B1579=2021,G1579/$P$19,B1579=2022,G1579/$P$20)</f>
        <v>4.9393887249027857E-3</v>
      </c>
    </row>
    <row r="1580" spans="1:12" x14ac:dyDescent="0.2">
      <c r="A1580">
        <v>3818730</v>
      </c>
      <c r="B1580">
        <v>2019</v>
      </c>
      <c r="C1580" t="s">
        <v>252</v>
      </c>
      <c r="D1580" t="s">
        <v>254</v>
      </c>
      <c r="E1580" t="s">
        <v>256</v>
      </c>
      <c r="F1580" s="5" t="s">
        <v>156</v>
      </c>
      <c r="G1580" s="7">
        <v>431211</v>
      </c>
      <c r="H1580" s="7" cm="1">
        <f t="array" ref="H1580">_xlfn.IFS(B1580=2015,L1580*$P$3,B1580=2016,L1580*$P$4,B1580=2017,L1580*$P$5,B1580=2018,L1580*$P$6,B1580=2019,L1580*$P$7,B1580=2020,L1580*$P$8,B1580=2021,L1580*$P$9,B1580=2022,L1580*$P$10)</f>
        <v>10008.331790483704</v>
      </c>
      <c r="I1580" s="7">
        <f t="shared" si="51"/>
        <v>441219.33179048373</v>
      </c>
      <c r="J1580">
        <f>IFERROR(VLOOKUP(F1580,'LEAID Match'!$A$2:$B$227,2,FALSE),"")</f>
        <v>3818730</v>
      </c>
      <c r="K1580">
        <f t="shared" si="50"/>
        <v>8</v>
      </c>
      <c r="L1580" cm="1">
        <f t="array" ref="L1580">_xlfn.IFS(B1580=2015,G1580/$P$13,B1580=2016,G1580/$P$14,B1580=2017,G1580/$P$15,B1580=2018,G1580/$P$16,B1580=2019,G1580/$P$17,B1580=2019,G1580/$P$18,B1580=2020,G1580/$P$18,B1580=2021,G1580/$P$19,B1580=2022,G1580/$P$20)</f>
        <v>4.8209690705605509E-3</v>
      </c>
    </row>
    <row r="1581" spans="1:12" x14ac:dyDescent="0.2">
      <c r="A1581">
        <v>3818730</v>
      </c>
      <c r="B1581">
        <v>2020</v>
      </c>
      <c r="C1581" t="s">
        <v>252</v>
      </c>
      <c r="D1581" t="s">
        <v>254</v>
      </c>
      <c r="E1581" t="s">
        <v>256</v>
      </c>
      <c r="F1581" s="5" t="s">
        <v>156</v>
      </c>
      <c r="G1581" s="7">
        <v>434523</v>
      </c>
      <c r="H1581" s="7" cm="1">
        <f t="array" ref="H1581">_xlfn.IFS(B1581=2015,L1581*$P$3,B1581=2016,L1581*$P$4,B1581=2017,L1581*$P$5,B1581=2018,L1581*$P$6,B1581=2019,L1581*$P$7,B1581=2020,L1581*$P$8,B1581=2021,L1581*$P$9,B1581=2022,L1581*$P$10)</f>
        <v>10901.320934678519</v>
      </c>
      <c r="I1581" s="7">
        <f t="shared" si="51"/>
        <v>445424.32093467854</v>
      </c>
      <c r="J1581">
        <f>IFERROR(VLOOKUP(F1581,'LEAID Match'!$A$2:$B$227,2,FALSE),"")</f>
        <v>3818730</v>
      </c>
      <c r="K1581">
        <f t="shared" si="50"/>
        <v>8</v>
      </c>
      <c r="L1581" cm="1">
        <f t="array" ref="L1581">_xlfn.IFS(B1581=2015,G1581/$P$13,B1581=2016,G1581/$P$14,B1581=2017,G1581/$P$15,B1581=2018,G1581/$P$16,B1581=2019,G1581/$P$17,B1581=2019,G1581/$P$18,B1581=2020,G1581/$P$18,B1581=2021,G1581/$P$19,B1581=2022,G1581/$P$20)</f>
        <v>4.6706602119445237E-3</v>
      </c>
    </row>
    <row r="1582" spans="1:12" x14ac:dyDescent="0.2">
      <c r="A1582">
        <v>3818730</v>
      </c>
      <c r="B1582" s="5">
        <v>2021</v>
      </c>
      <c r="C1582" t="s">
        <v>252</v>
      </c>
      <c r="D1582" t="s">
        <v>254</v>
      </c>
      <c r="E1582" t="s">
        <v>256</v>
      </c>
      <c r="F1582" s="5" t="s">
        <v>156</v>
      </c>
      <c r="G1582" s="7">
        <v>451502</v>
      </c>
      <c r="H1582" s="7" cm="1">
        <f t="array" ref="H1582">_xlfn.IFS(B1582=2015,L1582*$P$3,B1582=2016,L1582*$P$4,B1582=2017,L1582*$P$5,B1582=2018,L1582*$P$6,B1582=2019,L1582*$P$7,B1582=2020,L1582*$P$8,B1582=2021,L1582*$P$9,B1582=2022,L1582*$P$10)</f>
        <v>12336.973139537708</v>
      </c>
      <c r="I1582" s="7">
        <f t="shared" si="51"/>
        <v>463838.97313953773</v>
      </c>
      <c r="J1582">
        <f>IFERROR(VLOOKUP(F1582,'LEAID Match'!$A$2:$B$227,2,FALSE),"")</f>
        <v>3818730</v>
      </c>
      <c r="K1582">
        <f t="shared" si="50"/>
        <v>8</v>
      </c>
      <c r="L1582" cm="1">
        <f t="array" ref="L1582">_xlfn.IFS(B1582=2015,G1582/$P$13,B1582=2016,G1582/$P$14,B1582=2017,G1582/$P$15,B1582=2018,G1582/$P$16,B1582=2019,G1582/$P$17,B1582=2019,G1582/$P$18,B1582=2020,G1582/$P$18,B1582=2021,G1582/$P$19,B1582=2022,G1582/$P$20)</f>
        <v>4.5947758434032428E-3</v>
      </c>
    </row>
    <row r="1583" spans="1:12" x14ac:dyDescent="0.2">
      <c r="A1583">
        <v>3818730</v>
      </c>
      <c r="B1583">
        <v>2022</v>
      </c>
      <c r="C1583" t="s">
        <v>252</v>
      </c>
      <c r="D1583" t="s">
        <v>254</v>
      </c>
      <c r="E1583" t="s">
        <v>256</v>
      </c>
      <c r="F1583" s="5" t="s">
        <v>156</v>
      </c>
      <c r="G1583" s="7">
        <v>470451</v>
      </c>
      <c r="H1583" s="7" cm="1">
        <f t="array" ref="H1583">_xlfn.IFS(B1583=2015,L1583*$P$3,B1583=2016,L1583*$P$4,B1583=2017,L1583*$P$5,B1583=2018,L1583*$P$6,B1583=2019,L1583*$P$7,B1583=2020,L1583*$P$8,B1583=2021,L1583*$P$9,B1583=2022,L1583*$P$10)</f>
        <v>9574.8836176260138</v>
      </c>
      <c r="I1583" s="7">
        <f t="shared" si="51"/>
        <v>480025.88361762604</v>
      </c>
      <c r="J1583">
        <f>IFERROR(VLOOKUP(F1583,'LEAID Match'!$A$2:$B$227,2,FALSE),"")</f>
        <v>3818730</v>
      </c>
      <c r="K1583">
        <f t="shared" si="50"/>
        <v>8</v>
      </c>
      <c r="L1583" cm="1">
        <f t="array" ref="L1583">_xlfn.IFS(B1583=2015,G1583/$P$13,B1583=2016,G1583/$P$14,B1583=2017,G1583/$P$15,B1583=2018,G1583/$P$16,B1583=2019,G1583/$P$17,B1583=2019,G1583/$P$18,B1583=2020,G1583/$P$18,B1583=2021,G1583/$P$19,B1583=2022,G1583/$P$20)</f>
        <v>4.6889733680832582E-3</v>
      </c>
    </row>
    <row r="1584" spans="1:12" x14ac:dyDescent="0.2">
      <c r="A1584">
        <v>3880540</v>
      </c>
      <c r="B1584">
        <v>2015</v>
      </c>
      <c r="C1584" t="s">
        <v>252</v>
      </c>
      <c r="D1584" t="s">
        <v>254</v>
      </c>
      <c r="E1584" t="s">
        <v>256</v>
      </c>
      <c r="F1584" s="5" t="s">
        <v>157</v>
      </c>
      <c r="G1584" s="7">
        <v>295814</v>
      </c>
      <c r="H1584" s="7" cm="1">
        <f t="array" ref="H1584">_xlfn.IFS(B1584=2015,L1584*$P$3,B1584=2016,L1584*$P$4,B1584=2017,L1584*$P$5,B1584=2018,L1584*$P$6,B1584=2019,L1584*$P$7,B1584=2020,L1584*$P$8,B1584=2021,L1584*$P$9,B1584=2022,L1584*$P$10)</f>
        <v>6687.8880060595166</v>
      </c>
      <c r="I1584" s="7">
        <f t="shared" si="51"/>
        <v>302501.88800605951</v>
      </c>
      <c r="J1584">
        <f>IFERROR(VLOOKUP(F1584,'LEAID Match'!$A$2:$B$227,2,FALSE),"")</f>
        <v>3880540</v>
      </c>
      <c r="K1584">
        <f t="shared" si="50"/>
        <v>8</v>
      </c>
      <c r="L1584" cm="1">
        <f t="array" ref="L1584">_xlfn.IFS(B1584=2015,G1584/$P$13,B1584=2016,G1584/$P$14,B1584=2017,G1584/$P$15,B1584=2018,G1584/$P$16,B1584=2019,G1584/$P$17,B1584=2019,G1584/$P$18,B1584=2020,G1584/$P$18,B1584=2021,G1584/$P$19,B1584=2022,G1584/$P$20)</f>
        <v>3.7720744535022655E-3</v>
      </c>
    </row>
    <row r="1585" spans="1:12" x14ac:dyDescent="0.2">
      <c r="A1585">
        <v>3880540</v>
      </c>
      <c r="B1585">
        <v>2016</v>
      </c>
      <c r="C1585" t="s">
        <v>252</v>
      </c>
      <c r="D1585" t="s">
        <v>254</v>
      </c>
      <c r="E1585" t="s">
        <v>256</v>
      </c>
      <c r="F1585" s="5" t="s">
        <v>157</v>
      </c>
      <c r="G1585" s="7">
        <v>307907</v>
      </c>
      <c r="H1585" s="7" cm="1">
        <f t="array" ref="H1585">_xlfn.IFS(B1585=2015,L1585*$P$3,B1585=2016,L1585*$P$4,B1585=2017,L1585*$P$5,B1585=2018,L1585*$P$6,B1585=2019,L1585*$P$7,B1585=2020,L1585*$P$8,B1585=2021,L1585*$P$9,B1585=2022,L1585*$P$10)</f>
        <v>10455.614587607515</v>
      </c>
      <c r="I1585" s="7">
        <f t="shared" si="51"/>
        <v>318362.6145876075</v>
      </c>
      <c r="J1585">
        <f>IFERROR(VLOOKUP(F1585,'LEAID Match'!$A$2:$B$227,2,FALSE),"")</f>
        <v>3880540</v>
      </c>
      <c r="K1585">
        <f t="shared" si="50"/>
        <v>8</v>
      </c>
      <c r="L1585" cm="1">
        <f t="array" ref="L1585">_xlfn.IFS(B1585=2015,G1585/$P$13,B1585=2016,G1585/$P$14,B1585=2017,G1585/$P$15,B1585=2018,G1585/$P$16,B1585=2019,G1585/$P$17,B1585=2019,G1585/$P$18,B1585=2020,G1585/$P$18,B1585=2021,G1585/$P$19,B1585=2022,G1585/$P$20)</f>
        <v>3.7168910727364076E-3</v>
      </c>
    </row>
    <row r="1586" spans="1:12" x14ac:dyDescent="0.2">
      <c r="A1586">
        <v>3880540</v>
      </c>
      <c r="B1586">
        <v>2017</v>
      </c>
      <c r="C1586" t="s">
        <v>252</v>
      </c>
      <c r="D1586" t="s">
        <v>254</v>
      </c>
      <c r="E1586" t="s">
        <v>256</v>
      </c>
      <c r="F1586" s="5" t="s">
        <v>157</v>
      </c>
      <c r="G1586" s="7">
        <v>328870</v>
      </c>
      <c r="H1586" s="7" cm="1">
        <f t="array" ref="H1586">_xlfn.IFS(B1586=2015,L1586*$P$3,B1586=2016,L1586*$P$4,B1586=2017,L1586*$P$5,B1586=2018,L1586*$P$6,B1586=2019,L1586*$P$7,B1586=2020,L1586*$P$8,B1586=2021,L1586*$P$9,B1586=2022,L1586*$P$10)</f>
        <v>10658.035651714339</v>
      </c>
      <c r="I1586" s="7">
        <f t="shared" si="51"/>
        <v>339528.03565171437</v>
      </c>
      <c r="J1586">
        <f>IFERROR(VLOOKUP(F1586,'LEAID Match'!$A$2:$B$227,2,FALSE),"")</f>
        <v>3880540</v>
      </c>
      <c r="K1586">
        <f t="shared" si="50"/>
        <v>8</v>
      </c>
      <c r="L1586" cm="1">
        <f t="array" ref="L1586">_xlfn.IFS(B1586=2015,G1586/$P$13,B1586=2016,G1586/$P$14,B1586=2017,G1586/$P$15,B1586=2018,G1586/$P$16,B1586=2019,G1586/$P$17,B1586=2019,G1586/$P$18,B1586=2020,G1586/$P$18,B1586=2021,G1586/$P$19,B1586=2022,G1586/$P$20)</f>
        <v>3.8214541598115236E-3</v>
      </c>
    </row>
    <row r="1587" spans="1:12" x14ac:dyDescent="0.2">
      <c r="A1587">
        <v>3880540</v>
      </c>
      <c r="B1587" s="5">
        <v>2018</v>
      </c>
      <c r="C1587" t="s">
        <v>252</v>
      </c>
      <c r="D1587" t="s">
        <v>254</v>
      </c>
      <c r="E1587" t="s">
        <v>256</v>
      </c>
      <c r="F1587" s="5" t="s">
        <v>157</v>
      </c>
      <c r="G1587" s="7">
        <v>335200</v>
      </c>
      <c r="H1587" s="7" cm="1">
        <f t="array" ref="H1587">_xlfn.IFS(B1587=2015,L1587*$P$3,B1587=2016,L1587*$P$4,B1587=2017,L1587*$P$5,B1587=2018,L1587*$P$6,B1587=2019,L1587*$P$7,B1587=2020,L1587*$P$8,B1587=2021,L1587*$P$9,B1587=2022,L1587*$P$10)</f>
        <v>9184.8113609228785</v>
      </c>
      <c r="I1587" s="7">
        <f t="shared" si="51"/>
        <v>344384.81136092287</v>
      </c>
      <c r="J1587">
        <f>IFERROR(VLOOKUP(F1587,'LEAID Match'!$A$2:$B$227,2,FALSE),"")</f>
        <v>3880540</v>
      </c>
      <c r="K1587">
        <f t="shared" si="50"/>
        <v>8</v>
      </c>
      <c r="L1587" cm="1">
        <f t="array" ref="L1587">_xlfn.IFS(B1587=2015,G1587/$P$13,B1587=2016,G1587/$P$14,B1587=2017,G1587/$P$15,B1587=2018,G1587/$P$16,B1587=2019,G1587/$P$17,B1587=2019,G1587/$P$18,B1587=2020,G1587/$P$18,B1587=2021,G1587/$P$19,B1587=2022,G1587/$P$20)</f>
        <v>3.8672889940727911E-3</v>
      </c>
    </row>
    <row r="1588" spans="1:12" x14ac:dyDescent="0.2">
      <c r="A1588">
        <v>3880540</v>
      </c>
      <c r="B1588">
        <v>2019</v>
      </c>
      <c r="C1588" t="s">
        <v>252</v>
      </c>
      <c r="D1588" t="s">
        <v>254</v>
      </c>
      <c r="E1588" t="s">
        <v>256</v>
      </c>
      <c r="F1588" s="5" t="s">
        <v>157</v>
      </c>
      <c r="G1588" s="7">
        <v>331559</v>
      </c>
      <c r="H1588" s="7" cm="1">
        <f t="array" ref="H1588">_xlfn.IFS(B1588=2015,L1588*$P$3,B1588=2016,L1588*$P$4,B1588=2017,L1588*$P$5,B1588=2018,L1588*$P$6,B1588=2019,L1588*$P$7,B1588=2020,L1588*$P$8,B1588=2021,L1588*$P$9,B1588=2022,L1588*$P$10)</f>
        <v>7695.4263228929367</v>
      </c>
      <c r="I1588" s="7">
        <f t="shared" si="51"/>
        <v>339254.42632289295</v>
      </c>
      <c r="J1588">
        <f>IFERROR(VLOOKUP(F1588,'LEAID Match'!$A$2:$B$227,2,FALSE),"")</f>
        <v>3880540</v>
      </c>
      <c r="K1588">
        <f t="shared" si="50"/>
        <v>8</v>
      </c>
      <c r="L1588" cm="1">
        <f t="array" ref="L1588">_xlfn.IFS(B1588=2015,G1588/$P$13,B1588=2016,G1588/$P$14,B1588=2017,G1588/$P$15,B1588=2018,G1588/$P$16,B1588=2019,G1588/$P$17,B1588=2019,G1588/$P$18,B1588=2020,G1588/$P$18,B1588=2021,G1588/$P$19,B1588=2022,G1588/$P$20)</f>
        <v>3.706852756692166E-3</v>
      </c>
    </row>
    <row r="1589" spans="1:12" x14ac:dyDescent="0.2">
      <c r="A1589">
        <v>3880540</v>
      </c>
      <c r="B1589">
        <v>2020</v>
      </c>
      <c r="C1589" t="s">
        <v>252</v>
      </c>
      <c r="D1589" t="s">
        <v>254</v>
      </c>
      <c r="E1589" t="s">
        <v>256</v>
      </c>
      <c r="F1589" s="5" t="s">
        <v>157</v>
      </c>
      <c r="G1589" s="7">
        <v>336747</v>
      </c>
      <c r="H1589" s="7" cm="1">
        <f t="array" ref="H1589">_xlfn.IFS(B1589=2015,L1589*$P$3,B1589=2016,L1589*$P$4,B1589=2017,L1589*$P$5,B1589=2018,L1589*$P$6,B1589=2019,L1589*$P$7,B1589=2020,L1589*$P$8,B1589=2021,L1589*$P$9,B1589=2022,L1589*$P$10)</f>
        <v>8448.3148666242905</v>
      </c>
      <c r="I1589" s="7">
        <f t="shared" si="51"/>
        <v>345195.31486662431</v>
      </c>
      <c r="J1589">
        <f>IFERROR(VLOOKUP(F1589,'LEAID Match'!$A$2:$B$227,2,FALSE),"")</f>
        <v>3880540</v>
      </c>
      <c r="K1589">
        <f t="shared" si="50"/>
        <v>8</v>
      </c>
      <c r="L1589" cm="1">
        <f t="array" ref="L1589">_xlfn.IFS(B1589=2015,G1589/$P$13,B1589=2016,G1589/$P$14,B1589=2017,G1589/$P$15,B1589=2018,G1589/$P$16,B1589=2019,G1589/$P$17,B1589=2019,G1589/$P$18,B1589=2020,G1589/$P$18,B1589=2021,G1589/$P$19,B1589=2022,G1589/$P$20)</f>
        <v>3.6196721793591651E-3</v>
      </c>
    </row>
    <row r="1590" spans="1:12" x14ac:dyDescent="0.2">
      <c r="A1590">
        <v>3880540</v>
      </c>
      <c r="B1590" s="5">
        <v>2021</v>
      </c>
      <c r="C1590" t="s">
        <v>252</v>
      </c>
      <c r="D1590" t="s">
        <v>254</v>
      </c>
      <c r="E1590" t="s">
        <v>256</v>
      </c>
      <c r="F1590" s="5" t="s">
        <v>157</v>
      </c>
      <c r="G1590" s="7">
        <v>339770</v>
      </c>
      <c r="H1590" s="7" cm="1">
        <f t="array" ref="H1590">_xlfn.IFS(B1590=2015,L1590*$P$3,B1590=2016,L1590*$P$4,B1590=2017,L1590*$P$5,B1590=2018,L1590*$P$6,B1590=2019,L1590*$P$7,B1590=2020,L1590*$P$8,B1590=2021,L1590*$P$9,B1590=2022,L1590*$P$10)</f>
        <v>9283.9751842089881</v>
      </c>
      <c r="I1590" s="7">
        <f t="shared" si="51"/>
        <v>349053.975184209</v>
      </c>
      <c r="J1590">
        <f>IFERROR(VLOOKUP(F1590,'LEAID Match'!$A$2:$B$227,2,FALSE),"")</f>
        <v>3880540</v>
      </c>
      <c r="K1590">
        <f t="shared" si="50"/>
        <v>8</v>
      </c>
      <c r="L1590" cm="1">
        <f t="array" ref="L1590">_xlfn.IFS(B1590=2015,G1590/$P$13,B1590=2016,G1590/$P$14,B1590=2017,G1590/$P$15,B1590=2018,G1590/$P$16,B1590=2019,G1590/$P$17,B1590=2019,G1590/$P$18,B1590=2020,G1590/$P$18,B1590=2021,G1590/$P$19,B1590=2022,G1590/$P$20)</f>
        <v>3.4577188768003682E-3</v>
      </c>
    </row>
    <row r="1591" spans="1:12" x14ac:dyDescent="0.2">
      <c r="A1591">
        <v>3880540</v>
      </c>
      <c r="B1591">
        <v>2022</v>
      </c>
      <c r="C1591" t="s">
        <v>252</v>
      </c>
      <c r="D1591" t="s">
        <v>254</v>
      </c>
      <c r="E1591" t="s">
        <v>256</v>
      </c>
      <c r="F1591" s="5" t="s">
        <v>157</v>
      </c>
      <c r="G1591" s="7">
        <v>358991</v>
      </c>
      <c r="H1591" s="7" cm="1">
        <f t="array" ref="H1591">_xlfn.IFS(B1591=2015,L1591*$P$3,B1591=2016,L1591*$P$4,B1591=2017,L1591*$P$5,B1591=2018,L1591*$P$6,B1591=2019,L1591*$P$7,B1591=2020,L1591*$P$8,B1591=2021,L1591*$P$9,B1591=2022,L1591*$P$10)</f>
        <v>7306.3869452401641</v>
      </c>
      <c r="I1591" s="7">
        <f t="shared" si="51"/>
        <v>366297.38694524014</v>
      </c>
      <c r="J1591">
        <f>IFERROR(VLOOKUP(F1591,'LEAID Match'!$A$2:$B$227,2,FALSE),"")</f>
        <v>3880540</v>
      </c>
      <c r="K1591">
        <f t="shared" si="50"/>
        <v>8</v>
      </c>
      <c r="L1591" cm="1">
        <f t="array" ref="L1591">_xlfn.IFS(B1591=2015,G1591/$P$13,B1591=2016,G1591/$P$14,B1591=2017,G1591/$P$15,B1591=2018,G1591/$P$16,B1591=2019,G1591/$P$17,B1591=2019,G1591/$P$18,B1591=2020,G1591/$P$18,B1591=2021,G1591/$P$19,B1591=2022,G1591/$P$20)</f>
        <v>3.5780543316553202E-3</v>
      </c>
    </row>
    <row r="1592" spans="1:12" x14ac:dyDescent="0.2">
      <c r="A1592">
        <v>3800397</v>
      </c>
      <c r="B1592">
        <v>2015</v>
      </c>
      <c r="C1592" t="s">
        <v>252</v>
      </c>
      <c r="D1592" t="s">
        <v>254</v>
      </c>
      <c r="E1592" t="s">
        <v>256</v>
      </c>
      <c r="F1592" s="5" t="s">
        <v>213</v>
      </c>
      <c r="G1592" s="7">
        <v>184302</v>
      </c>
      <c r="H1592" s="7" cm="1">
        <f t="array" ref="H1592">_xlfn.IFS(B1592=2015,L1592*$P$3,B1592=2016,L1592*$P$4,B1592=2017,L1592*$P$5,B1592=2018,L1592*$P$6,B1592=2019,L1592*$P$7,B1592=2020,L1592*$P$8,B1592=2021,L1592*$P$9,B1592=2022,L1592*$P$10)</f>
        <v>4166.7775537762955</v>
      </c>
      <c r="I1592" s="7">
        <f t="shared" si="51"/>
        <v>188468.77755377631</v>
      </c>
      <c r="J1592">
        <f>IFERROR(VLOOKUP(F1592,'LEAID Match'!$A$2:$B$227,2,FALSE),"")</f>
        <v>3800397</v>
      </c>
      <c r="K1592">
        <f t="shared" si="50"/>
        <v>8</v>
      </c>
      <c r="L1592" cm="1">
        <f t="array" ref="L1592">_xlfn.IFS(B1592=2015,G1592/$P$13,B1592=2016,G1592/$P$14,B1592=2017,G1592/$P$15,B1592=2018,G1592/$P$16,B1592=2019,G1592/$P$17,B1592=2019,G1592/$P$18,B1592=2020,G1592/$P$18,B1592=2021,G1592/$P$19,B1592=2022,G1592/$P$20)</f>
        <v>2.3501283439234604E-3</v>
      </c>
    </row>
    <row r="1593" spans="1:12" x14ac:dyDescent="0.2">
      <c r="A1593">
        <v>3800397</v>
      </c>
      <c r="B1593">
        <v>2016</v>
      </c>
      <c r="C1593" t="s">
        <v>252</v>
      </c>
      <c r="D1593" t="s">
        <v>254</v>
      </c>
      <c r="E1593" t="s">
        <v>256</v>
      </c>
      <c r="F1593" s="5" t="s">
        <v>213</v>
      </c>
      <c r="G1593" s="7">
        <v>217239</v>
      </c>
      <c r="H1593" s="7" cm="1">
        <f t="array" ref="H1593">_xlfn.IFS(B1593=2015,L1593*$P$3,B1593=2016,L1593*$P$4,B1593=2017,L1593*$P$5,B1593=2018,L1593*$P$6,B1593=2019,L1593*$P$7,B1593=2020,L1593*$P$8,B1593=2021,L1593*$P$9,B1593=2022,L1593*$P$10)</f>
        <v>7376.7964268343012</v>
      </c>
      <c r="I1593" s="7">
        <f t="shared" si="51"/>
        <v>224615.79642683431</v>
      </c>
      <c r="J1593">
        <f>IFERROR(VLOOKUP(F1593,'LEAID Match'!$A$2:$B$227,2,FALSE),"")</f>
        <v>3800397</v>
      </c>
      <c r="K1593">
        <f t="shared" si="50"/>
        <v>8</v>
      </c>
      <c r="L1593" cm="1">
        <f t="array" ref="L1593">_xlfn.IFS(B1593=2015,G1593/$P$13,B1593=2016,G1593/$P$14,B1593=2017,G1593/$P$15,B1593=2018,G1593/$P$16,B1593=2019,G1593/$P$17,B1593=2019,G1593/$P$18,B1593=2020,G1593/$P$18,B1593=2021,G1593/$P$19,B1593=2022,G1593/$P$20)</f>
        <v>2.6223947482525065E-3</v>
      </c>
    </row>
    <row r="1594" spans="1:12" x14ac:dyDescent="0.2">
      <c r="A1594">
        <v>3800397</v>
      </c>
      <c r="B1594">
        <v>2017</v>
      </c>
      <c r="C1594" t="s">
        <v>252</v>
      </c>
      <c r="D1594" t="s">
        <v>254</v>
      </c>
      <c r="E1594" t="s">
        <v>256</v>
      </c>
      <c r="F1594" s="5" t="s">
        <v>213</v>
      </c>
      <c r="G1594" s="7">
        <v>217199</v>
      </c>
      <c r="H1594" s="7" cm="1">
        <f t="array" ref="H1594">_xlfn.IFS(B1594=2015,L1594*$P$3,B1594=2016,L1594*$P$4,B1594=2017,L1594*$P$5,B1594=2018,L1594*$P$6,B1594=2019,L1594*$P$7,B1594=2020,L1594*$P$8,B1594=2021,L1594*$P$9,B1594=2022,L1594*$P$10)</f>
        <v>7038.9962158807512</v>
      </c>
      <c r="I1594" s="7">
        <f t="shared" si="51"/>
        <v>224237.99621588076</v>
      </c>
      <c r="J1594">
        <f>IFERROR(VLOOKUP(F1594,'LEAID Match'!$A$2:$B$227,2,FALSE),"")</f>
        <v>3800397</v>
      </c>
      <c r="K1594">
        <f t="shared" si="50"/>
        <v>8</v>
      </c>
      <c r="L1594" cm="1">
        <f t="array" ref="L1594">_xlfn.IFS(B1594=2015,G1594/$P$13,B1594=2016,G1594/$P$14,B1594=2017,G1594/$P$15,B1594=2018,G1594/$P$16,B1594=2019,G1594/$P$17,B1594=2019,G1594/$P$18,B1594=2020,G1594/$P$18,B1594=2021,G1594/$P$19,B1594=2022,G1594/$P$20)</f>
        <v>2.5238423147654183E-3</v>
      </c>
    </row>
    <row r="1595" spans="1:12" x14ac:dyDescent="0.2">
      <c r="A1595">
        <v>3800397</v>
      </c>
      <c r="B1595" s="5">
        <v>2018</v>
      </c>
      <c r="C1595" t="s">
        <v>252</v>
      </c>
      <c r="D1595" t="s">
        <v>254</v>
      </c>
      <c r="E1595" t="s">
        <v>256</v>
      </c>
      <c r="F1595" s="5" t="s">
        <v>213</v>
      </c>
      <c r="G1595" s="7">
        <v>207287</v>
      </c>
      <c r="H1595" s="7" cm="1">
        <f t="array" ref="H1595">_xlfn.IFS(B1595=2015,L1595*$P$3,B1595=2016,L1595*$P$4,B1595=2017,L1595*$P$5,B1595=2018,L1595*$P$6,B1595=2019,L1595*$P$7,B1595=2020,L1595*$P$8,B1595=2021,L1595*$P$9,B1595=2022,L1595*$P$10)</f>
        <v>5679.8687129224963</v>
      </c>
      <c r="I1595" s="7">
        <f t="shared" si="51"/>
        <v>212966.8687129225</v>
      </c>
      <c r="J1595">
        <f>IFERROR(VLOOKUP(F1595,'LEAID Match'!$A$2:$B$227,2,FALSE),"")</f>
        <v>3800397</v>
      </c>
      <c r="K1595">
        <f t="shared" si="50"/>
        <v>8</v>
      </c>
      <c r="L1595" cm="1">
        <f t="array" ref="L1595">_xlfn.IFS(B1595=2015,G1595/$P$13,B1595=2016,G1595/$P$14,B1595=2017,G1595/$P$15,B1595=2018,G1595/$P$16,B1595=2019,G1595/$P$17,B1595=2019,G1595/$P$18,B1595=2020,G1595/$P$18,B1595=2021,G1595/$P$19,B1595=2022,G1595/$P$20)</f>
        <v>2.3915236685989457E-3</v>
      </c>
    </row>
    <row r="1596" spans="1:12" x14ac:dyDescent="0.2">
      <c r="A1596">
        <v>3800397</v>
      </c>
      <c r="B1596">
        <v>2019</v>
      </c>
      <c r="C1596" t="s">
        <v>252</v>
      </c>
      <c r="D1596" t="s">
        <v>254</v>
      </c>
      <c r="E1596" t="s">
        <v>256</v>
      </c>
      <c r="F1596" s="5" t="s">
        <v>213</v>
      </c>
      <c r="G1596" s="7">
        <v>200337</v>
      </c>
      <c r="H1596" s="7" cm="1">
        <f t="array" ref="H1596">_xlfn.IFS(B1596=2015,L1596*$P$3,B1596=2016,L1596*$P$4,B1596=2017,L1596*$P$5,B1596=2018,L1596*$P$6,B1596=2019,L1596*$P$7,B1596=2020,L1596*$P$8,B1596=2021,L1596*$P$9,B1596=2022,L1596*$P$10)</f>
        <v>4649.786684268568</v>
      </c>
      <c r="I1596" s="7">
        <f t="shared" si="51"/>
        <v>204986.78668426856</v>
      </c>
      <c r="J1596">
        <f>IFERROR(VLOOKUP(F1596,'LEAID Match'!$A$2:$B$227,2,FALSE),"")</f>
        <v>3800397</v>
      </c>
      <c r="K1596">
        <f t="shared" si="50"/>
        <v>8</v>
      </c>
      <c r="L1596" cm="1">
        <f t="array" ref="L1596">_xlfn.IFS(B1596=2015,G1596/$P$13,B1596=2016,G1596/$P$14,B1596=2017,G1596/$P$15,B1596=2018,G1596/$P$16,B1596=2019,G1596/$P$17,B1596=2019,G1596/$P$18,B1596=2020,G1596/$P$18,B1596=2021,G1596/$P$19,B1596=2022,G1596/$P$20)</f>
        <v>2.239781639821083E-3</v>
      </c>
    </row>
    <row r="1597" spans="1:12" x14ac:dyDescent="0.2">
      <c r="A1597">
        <v>3800397</v>
      </c>
      <c r="B1597">
        <v>2020</v>
      </c>
      <c r="C1597" t="s">
        <v>252</v>
      </c>
      <c r="D1597" t="s">
        <v>254</v>
      </c>
      <c r="E1597" t="s">
        <v>256</v>
      </c>
      <c r="F1597" s="5" t="s">
        <v>213</v>
      </c>
      <c r="G1597" s="7">
        <v>196329</v>
      </c>
      <c r="H1597" s="7" cm="1">
        <f t="array" ref="H1597">_xlfn.IFS(B1597=2015,L1597*$P$3,B1597=2016,L1597*$P$4,B1597=2017,L1597*$P$5,B1597=2018,L1597*$P$6,B1597=2019,L1597*$P$7,B1597=2020,L1597*$P$8,B1597=2021,L1597*$P$9,B1597=2022,L1597*$P$10)</f>
        <v>4925.5055262540736</v>
      </c>
      <c r="I1597" s="7">
        <f t="shared" si="51"/>
        <v>201254.50552625407</v>
      </c>
      <c r="J1597">
        <f>IFERROR(VLOOKUP(F1597,'LEAID Match'!$A$2:$B$227,2,FALSE),"")</f>
        <v>3800397</v>
      </c>
      <c r="K1597">
        <f t="shared" si="50"/>
        <v>8</v>
      </c>
      <c r="L1597" cm="1">
        <f t="array" ref="L1597">_xlfn.IFS(B1597=2015,G1597/$P$13,B1597=2016,G1597/$P$14,B1597=2017,G1597/$P$15,B1597=2018,G1597/$P$16,B1597=2019,G1597/$P$17,B1597=2019,G1597/$P$18,B1597=2020,G1597/$P$18,B1597=2021,G1597/$P$19,B1597=2022,G1597/$P$20)</f>
        <v>2.1103279889691834E-3</v>
      </c>
    </row>
    <row r="1598" spans="1:12" x14ac:dyDescent="0.2">
      <c r="A1598">
        <v>3800397</v>
      </c>
      <c r="B1598" s="5">
        <v>2021</v>
      </c>
      <c r="C1598" t="s">
        <v>252</v>
      </c>
      <c r="D1598" t="s">
        <v>254</v>
      </c>
      <c r="E1598" t="s">
        <v>256</v>
      </c>
      <c r="F1598" s="5" t="s">
        <v>213</v>
      </c>
      <c r="G1598" s="7">
        <v>199598</v>
      </c>
      <c r="H1598" s="7" cm="1">
        <f t="array" ref="H1598">_xlfn.IFS(B1598=2015,L1598*$P$3,B1598=2016,L1598*$P$4,B1598=2017,L1598*$P$5,B1598=2018,L1598*$P$6,B1598=2019,L1598*$P$7,B1598=2020,L1598*$P$8,B1598=2021,L1598*$P$9,B1598=2022,L1598*$P$10)</f>
        <v>5453.8743232708766</v>
      </c>
      <c r="I1598" s="7">
        <f t="shared" si="51"/>
        <v>205051.87432327087</v>
      </c>
      <c r="J1598">
        <f>IFERROR(VLOOKUP(F1598,'LEAID Match'!$A$2:$B$227,2,FALSE),"")</f>
        <v>3800397</v>
      </c>
      <c r="K1598">
        <f t="shared" si="50"/>
        <v>8</v>
      </c>
      <c r="L1598" cm="1">
        <f t="array" ref="L1598">_xlfn.IFS(B1598=2015,G1598/$P$13,B1598=2016,G1598/$P$14,B1598=2017,G1598/$P$15,B1598=2018,G1598/$P$16,B1598=2019,G1598/$P$17,B1598=2019,G1598/$P$18,B1598=2020,G1598/$P$18,B1598=2021,G1598/$P$19,B1598=2022,G1598/$P$20)</f>
        <v>2.0312381092256523E-3</v>
      </c>
    </row>
    <row r="1599" spans="1:12" x14ac:dyDescent="0.2">
      <c r="A1599">
        <v>3800397</v>
      </c>
      <c r="B1599">
        <v>2022</v>
      </c>
      <c r="C1599" t="s">
        <v>252</v>
      </c>
      <c r="D1599" t="s">
        <v>254</v>
      </c>
      <c r="E1599" t="s">
        <v>256</v>
      </c>
      <c r="F1599" s="5" t="s">
        <v>213</v>
      </c>
      <c r="G1599" s="7">
        <v>200672</v>
      </c>
      <c r="H1599" s="7" cm="1">
        <f t="array" ref="H1599">_xlfn.IFS(B1599=2015,L1599*$P$3,B1599=2016,L1599*$P$4,B1599=2017,L1599*$P$5,B1599=2018,L1599*$P$6,B1599=2019,L1599*$P$7,B1599=2020,L1599*$P$8,B1599=2021,L1599*$P$9,B1599=2022,L1599*$P$10)</f>
        <v>4084.1895230666896</v>
      </c>
      <c r="I1599" s="7">
        <f t="shared" si="51"/>
        <v>204756.18952306669</v>
      </c>
      <c r="J1599">
        <f>IFERROR(VLOOKUP(F1599,'LEAID Match'!$A$2:$B$227,2,FALSE),"")</f>
        <v>3800397</v>
      </c>
      <c r="K1599">
        <f t="shared" si="50"/>
        <v>8</v>
      </c>
      <c r="L1599" cm="1">
        <f t="array" ref="L1599">_xlfn.IFS(B1599=2015,G1599/$P$13,B1599=2016,G1599/$P$14,B1599=2017,G1599/$P$15,B1599=2018,G1599/$P$16,B1599=2019,G1599/$P$17,B1599=2019,G1599/$P$18,B1599=2020,G1599/$P$18,B1599=2021,G1599/$P$19,B1599=2022,G1599/$P$20)</f>
        <v>2.0000928124714445E-3</v>
      </c>
    </row>
    <row r="1600" spans="1:12" x14ac:dyDescent="0.2">
      <c r="A1600">
        <v>3818850</v>
      </c>
      <c r="B1600">
        <v>2015</v>
      </c>
      <c r="C1600" t="s">
        <v>252</v>
      </c>
      <c r="D1600" t="s">
        <v>254</v>
      </c>
      <c r="E1600" t="s">
        <v>256</v>
      </c>
      <c r="F1600" s="5" t="s">
        <v>158</v>
      </c>
      <c r="G1600" s="7">
        <v>717389</v>
      </c>
      <c r="H1600" s="7" cm="1">
        <f t="array" ref="H1600">_xlfn.IFS(B1600=2015,L1600*$P$3,B1600=2016,L1600*$P$4,B1600=2017,L1600*$P$5,B1600=2018,L1600*$P$6,B1600=2019,L1600*$P$7,B1600=2020,L1600*$P$8,B1600=2021,L1600*$P$9,B1600=2022,L1600*$P$10)</f>
        <v>16219.033882030702</v>
      </c>
      <c r="I1600" s="7">
        <f t="shared" si="51"/>
        <v>733608.03388203075</v>
      </c>
      <c r="J1600">
        <f>IFERROR(VLOOKUP(F1600,'LEAID Match'!$A$2:$B$227,2,FALSE),"")</f>
        <v>3818850</v>
      </c>
      <c r="K1600">
        <f t="shared" si="50"/>
        <v>8</v>
      </c>
      <c r="L1600" cm="1">
        <f t="array" ref="L1600">_xlfn.IFS(B1600=2015,G1600/$P$13,B1600=2016,G1600/$P$14,B1600=2017,G1600/$P$15,B1600=2018,G1600/$P$16,B1600=2019,G1600/$P$17,B1600=2019,G1600/$P$18,B1600=2020,G1600/$P$18,B1600=2021,G1600/$P$19,B1600=2022,G1600/$P$20)</f>
        <v>9.1477912476202496E-3</v>
      </c>
    </row>
    <row r="1601" spans="1:12" x14ac:dyDescent="0.2">
      <c r="A1601">
        <v>3818850</v>
      </c>
      <c r="B1601">
        <v>2016</v>
      </c>
      <c r="C1601" t="s">
        <v>252</v>
      </c>
      <c r="D1601" t="s">
        <v>254</v>
      </c>
      <c r="E1601" t="s">
        <v>256</v>
      </c>
      <c r="F1601" s="5" t="s">
        <v>158</v>
      </c>
      <c r="G1601" s="7">
        <v>769583</v>
      </c>
      <c r="H1601" s="7" cm="1">
        <f t="array" ref="H1601">_xlfn.IFS(B1601=2015,L1601*$P$3,B1601=2016,L1601*$P$4,B1601=2017,L1601*$P$5,B1601=2018,L1601*$P$6,B1601=2019,L1601*$P$7,B1601=2020,L1601*$P$8,B1601=2021,L1601*$P$9,B1601=2022,L1601*$P$10)</f>
        <v>26132.771392578779</v>
      </c>
      <c r="I1601" s="7">
        <f t="shared" si="51"/>
        <v>795715.77139257872</v>
      </c>
      <c r="J1601">
        <f>IFERROR(VLOOKUP(F1601,'LEAID Match'!$A$2:$B$227,2,FALSE),"")</f>
        <v>3818850</v>
      </c>
      <c r="K1601">
        <f t="shared" si="50"/>
        <v>8</v>
      </c>
      <c r="L1601" cm="1">
        <f t="array" ref="L1601">_xlfn.IFS(B1601=2015,G1601/$P$13,B1601=2016,G1601/$P$14,B1601=2017,G1601/$P$15,B1601=2018,G1601/$P$16,B1601=2019,G1601/$P$17,B1601=2019,G1601/$P$18,B1601=2020,G1601/$P$18,B1601=2021,G1601/$P$19,B1601=2022,G1601/$P$20)</f>
        <v>9.2900004950511126E-3</v>
      </c>
    </row>
    <row r="1602" spans="1:12" x14ac:dyDescent="0.2">
      <c r="A1602">
        <v>3818850</v>
      </c>
      <c r="B1602">
        <v>2017</v>
      </c>
      <c r="C1602" t="s">
        <v>252</v>
      </c>
      <c r="D1602" t="s">
        <v>254</v>
      </c>
      <c r="E1602" t="s">
        <v>256</v>
      </c>
      <c r="F1602" s="5" t="s">
        <v>158</v>
      </c>
      <c r="G1602" s="7">
        <v>788042</v>
      </c>
      <c r="H1602" s="7" cm="1">
        <f t="array" ref="H1602">_xlfn.IFS(B1602=2015,L1602*$P$3,B1602=2016,L1602*$P$4,B1602=2017,L1602*$P$5,B1602=2018,L1602*$P$6,B1602=2019,L1602*$P$7,B1602=2020,L1602*$P$8,B1602=2021,L1602*$P$9,B1602=2022,L1602*$P$10)</f>
        <v>25538.905132873995</v>
      </c>
      <c r="I1602" s="7">
        <f t="shared" si="51"/>
        <v>813580.90513287403</v>
      </c>
      <c r="J1602">
        <f>IFERROR(VLOOKUP(F1602,'LEAID Match'!$A$2:$B$227,2,FALSE),"")</f>
        <v>3818850</v>
      </c>
      <c r="K1602">
        <f t="shared" ref="K1602:K1665" si="52">COUNTIF($A$2:$A$1757,A1602)</f>
        <v>8</v>
      </c>
      <c r="L1602" cm="1">
        <f t="array" ref="L1602">_xlfn.IFS(B1602=2015,G1602/$P$13,B1602=2016,G1602/$P$14,B1602=2017,G1602/$P$15,B1602=2018,G1602/$P$16,B1602=2019,G1602/$P$17,B1602=2019,G1602/$P$18,B1602=2020,G1602/$P$18,B1602=2021,G1602/$P$19,B1602=2022,G1602/$P$20)</f>
        <v>9.1570115212886317E-3</v>
      </c>
    </row>
    <row r="1603" spans="1:12" x14ac:dyDescent="0.2">
      <c r="A1603">
        <v>3818850</v>
      </c>
      <c r="B1603" s="5">
        <v>2018</v>
      </c>
      <c r="C1603" t="s">
        <v>252</v>
      </c>
      <c r="D1603" t="s">
        <v>254</v>
      </c>
      <c r="E1603" t="s">
        <v>256</v>
      </c>
      <c r="F1603" s="5" t="s">
        <v>158</v>
      </c>
      <c r="G1603" s="7">
        <v>781192</v>
      </c>
      <c r="H1603" s="7" cm="1">
        <f t="array" ref="H1603">_xlfn.IFS(B1603=2015,L1603*$P$3,B1603=2016,L1603*$P$4,B1603=2017,L1603*$P$5,B1603=2018,L1603*$P$6,B1603=2019,L1603*$P$7,B1603=2020,L1603*$P$8,B1603=2021,L1603*$P$9,B1603=2022,L1603*$P$10)</f>
        <v>21405.433044934565</v>
      </c>
      <c r="I1603" s="7">
        <f t="shared" ref="I1603:I1666" si="53">SUM(G1603:H1603)</f>
        <v>802597.43304493453</v>
      </c>
      <c r="J1603">
        <f>IFERROR(VLOOKUP(F1603,'LEAID Match'!$A$2:$B$227,2,FALSE),"")</f>
        <v>3818850</v>
      </c>
      <c r="K1603">
        <f t="shared" si="52"/>
        <v>8</v>
      </c>
      <c r="L1603" cm="1">
        <f t="array" ref="L1603">_xlfn.IFS(B1603=2015,G1603/$P$13,B1603=2016,G1603/$P$14,B1603=2017,G1603/$P$15,B1603=2018,G1603/$P$16,B1603=2019,G1603/$P$17,B1603=2019,G1603/$P$18,B1603=2020,G1603/$P$18,B1603=2021,G1603/$P$19,B1603=2022,G1603/$P$20)</f>
        <v>9.0128139136566587E-3</v>
      </c>
    </row>
    <row r="1604" spans="1:12" x14ac:dyDescent="0.2">
      <c r="A1604">
        <v>3818850</v>
      </c>
      <c r="B1604">
        <v>2019</v>
      </c>
      <c r="C1604" t="s">
        <v>252</v>
      </c>
      <c r="D1604" t="s">
        <v>254</v>
      </c>
      <c r="E1604" t="s">
        <v>256</v>
      </c>
      <c r="F1604" s="5" t="s">
        <v>158</v>
      </c>
      <c r="G1604" s="7">
        <v>776984</v>
      </c>
      <c r="H1604" s="7" cm="1">
        <f t="array" ref="H1604">_xlfn.IFS(B1604=2015,L1604*$P$3,B1604=2016,L1604*$P$4,B1604=2017,L1604*$P$5,B1604=2018,L1604*$P$6,B1604=2019,L1604*$P$7,B1604=2020,L1604*$P$8,B1604=2021,L1604*$P$9,B1604=2022,L1604*$P$10)</f>
        <v>18033.662564028262</v>
      </c>
      <c r="I1604" s="7">
        <f t="shared" si="53"/>
        <v>795017.66256402829</v>
      </c>
      <c r="J1604">
        <f>IFERROR(VLOOKUP(F1604,'LEAID Match'!$A$2:$B$227,2,FALSE),"")</f>
        <v>3818850</v>
      </c>
      <c r="K1604">
        <f t="shared" si="52"/>
        <v>8</v>
      </c>
      <c r="L1604" cm="1">
        <f t="array" ref="L1604">_xlfn.IFS(B1604=2015,G1604/$P$13,B1604=2016,G1604/$P$14,B1604=2017,G1604/$P$15,B1604=2018,G1604/$P$16,B1604=2019,G1604/$P$17,B1604=2019,G1604/$P$18,B1604=2020,G1604/$P$18,B1604=2021,G1604/$P$19,B1604=2022,G1604/$P$20)</f>
        <v>8.6867353391272932E-3</v>
      </c>
    </row>
    <row r="1605" spans="1:12" x14ac:dyDescent="0.2">
      <c r="A1605">
        <v>3818850</v>
      </c>
      <c r="B1605">
        <v>2020</v>
      </c>
      <c r="C1605" t="s">
        <v>252</v>
      </c>
      <c r="D1605" t="s">
        <v>254</v>
      </c>
      <c r="E1605" t="s">
        <v>256</v>
      </c>
      <c r="F1605" s="5" t="s">
        <v>158</v>
      </c>
      <c r="G1605" s="7">
        <v>791441</v>
      </c>
      <c r="H1605" s="7" cm="1">
        <f t="array" ref="H1605">_xlfn.IFS(B1605=2015,L1605*$P$3,B1605=2016,L1605*$P$4,B1605=2017,L1605*$P$5,B1605=2018,L1605*$P$6,B1605=2019,L1605*$P$7,B1605=2020,L1605*$P$8,B1605=2021,L1605*$P$9,B1605=2022,L1605*$P$10)</f>
        <v>19855.686216524558</v>
      </c>
      <c r="I1605" s="7">
        <f t="shared" si="53"/>
        <v>811296.68621652457</v>
      </c>
      <c r="J1605">
        <f>IFERROR(VLOOKUP(F1605,'LEAID Match'!$A$2:$B$227,2,FALSE),"")</f>
        <v>3818850</v>
      </c>
      <c r="K1605">
        <f t="shared" si="52"/>
        <v>8</v>
      </c>
      <c r="L1605" cm="1">
        <f t="array" ref="L1605">_xlfn.IFS(B1605=2015,G1605/$P$13,B1605=2016,G1605/$P$14,B1605=2017,G1605/$P$15,B1605=2018,G1605/$P$16,B1605=2019,G1605/$P$17,B1605=2019,G1605/$P$18,B1605=2020,G1605/$P$18,B1605=2021,G1605/$P$19,B1605=2022,G1605/$P$20)</f>
        <v>8.5071491930268032E-3</v>
      </c>
    </row>
    <row r="1606" spans="1:12" x14ac:dyDescent="0.2">
      <c r="A1606">
        <v>3818850</v>
      </c>
      <c r="B1606" s="5">
        <v>2021</v>
      </c>
      <c r="C1606" t="s">
        <v>252</v>
      </c>
      <c r="D1606" t="s">
        <v>254</v>
      </c>
      <c r="E1606" t="s">
        <v>256</v>
      </c>
      <c r="F1606" s="5" t="s">
        <v>158</v>
      </c>
      <c r="G1606" s="7">
        <v>833099</v>
      </c>
      <c r="H1606" s="7" cm="1">
        <f t="array" ref="H1606">_xlfn.IFS(B1606=2015,L1606*$P$3,B1606=2016,L1606*$P$4,B1606=2017,L1606*$P$5,B1606=2018,L1606*$P$6,B1606=2019,L1606*$P$7,B1606=2020,L1606*$P$8,B1606=2021,L1606*$P$9,B1606=2022,L1606*$P$10)</f>
        <v>22763.841545720119</v>
      </c>
      <c r="I1606" s="7">
        <f t="shared" si="53"/>
        <v>855862.84154572012</v>
      </c>
      <c r="J1606">
        <f>IFERROR(VLOOKUP(F1606,'LEAID Match'!$A$2:$B$227,2,FALSE),"")</f>
        <v>3818850</v>
      </c>
      <c r="K1606">
        <f t="shared" si="52"/>
        <v>8</v>
      </c>
      <c r="L1606" cm="1">
        <f t="array" ref="L1606">_xlfn.IFS(B1606=2015,G1606/$P$13,B1606=2016,G1606/$P$14,B1606=2017,G1606/$P$15,B1606=2018,G1606/$P$16,B1606=2019,G1606/$P$17,B1606=2019,G1606/$P$18,B1606=2020,G1606/$P$18,B1606=2021,G1606/$P$19,B1606=2022,G1606/$P$20)</f>
        <v>8.4781532758734148E-3</v>
      </c>
    </row>
    <row r="1607" spans="1:12" x14ac:dyDescent="0.2">
      <c r="A1607">
        <v>3818850</v>
      </c>
      <c r="B1607">
        <v>2022</v>
      </c>
      <c r="C1607" t="s">
        <v>252</v>
      </c>
      <c r="D1607" t="s">
        <v>254</v>
      </c>
      <c r="E1607" t="s">
        <v>256</v>
      </c>
      <c r="F1607" s="5" t="s">
        <v>158</v>
      </c>
      <c r="G1607" s="7">
        <v>840088</v>
      </c>
      <c r="H1607" s="7" cm="1">
        <f t="array" ref="H1607">_xlfn.IFS(B1607=2015,L1607*$P$3,B1607=2016,L1607*$P$4,B1607=2017,L1607*$P$5,B1607=2018,L1607*$P$6,B1607=2019,L1607*$P$7,B1607=2020,L1607*$P$8,B1607=2021,L1607*$P$9,B1607=2022,L1607*$P$10)</f>
        <v>17097.943948602944</v>
      </c>
      <c r="I1607" s="7">
        <f t="shared" si="53"/>
        <v>857185.943948603</v>
      </c>
      <c r="J1607">
        <f>IFERROR(VLOOKUP(F1607,'LEAID Match'!$A$2:$B$227,2,FALSE),"")</f>
        <v>3818850</v>
      </c>
      <c r="K1607">
        <f t="shared" si="52"/>
        <v>8</v>
      </c>
      <c r="L1607" cm="1">
        <f t="array" ref="L1607">_xlfn.IFS(B1607=2015,G1607/$P$13,B1607=2016,G1607/$P$14,B1607=2017,G1607/$P$15,B1607=2018,G1607/$P$16,B1607=2019,G1607/$P$17,B1607=2019,G1607/$P$18,B1607=2020,G1607/$P$18,B1607=2021,G1607/$P$19,B1607=2022,G1607/$P$20)</f>
        <v>8.3731361158682384E-3</v>
      </c>
    </row>
    <row r="1608" spans="1:12" x14ac:dyDescent="0.2">
      <c r="A1608">
        <v>3817040</v>
      </c>
      <c r="B1608">
        <v>2015</v>
      </c>
      <c r="C1608" t="s">
        <v>252</v>
      </c>
      <c r="D1608" t="s">
        <v>254</v>
      </c>
      <c r="E1608" t="s">
        <v>256</v>
      </c>
      <c r="F1608" s="5" t="s">
        <v>159</v>
      </c>
      <c r="G1608" s="7">
        <v>301435</v>
      </c>
      <c r="H1608" s="7" cm="1">
        <f t="array" ref="H1608">_xlfn.IFS(B1608=2015,L1608*$P$3,B1608=2016,L1608*$P$4,B1608=2017,L1608*$P$5,B1608=2018,L1608*$P$6,B1608=2019,L1608*$P$7,B1608=2020,L1608*$P$8,B1608=2021,L1608*$P$9,B1608=2022,L1608*$P$10)</f>
        <v>6814.9699510724649</v>
      </c>
      <c r="I1608" s="7">
        <f t="shared" si="53"/>
        <v>308249.96995107247</v>
      </c>
      <c r="J1608">
        <f>IFERROR(VLOOKUP(F1608,'LEAID Match'!$A$2:$B$227,2,FALSE),"")</f>
        <v>3817040</v>
      </c>
      <c r="K1608">
        <f t="shared" si="52"/>
        <v>8</v>
      </c>
      <c r="L1608" cm="1">
        <f t="array" ref="L1608">_xlfn.IFS(B1608=2015,G1608/$P$13,B1608=2016,G1608/$P$14,B1608=2017,G1608/$P$15,B1608=2018,G1608/$P$16,B1608=2019,G1608/$P$17,B1608=2019,G1608/$P$18,B1608=2020,G1608/$P$18,B1608=2021,G1608/$P$19,B1608=2022,G1608/$P$20)</f>
        <v>3.8437506774238383E-3</v>
      </c>
    </row>
    <row r="1609" spans="1:12" x14ac:dyDescent="0.2">
      <c r="A1609">
        <v>3817040</v>
      </c>
      <c r="B1609">
        <v>2016</v>
      </c>
      <c r="C1609" t="s">
        <v>252</v>
      </c>
      <c r="D1609" t="s">
        <v>254</v>
      </c>
      <c r="E1609" t="s">
        <v>256</v>
      </c>
      <c r="F1609" s="5" t="s">
        <v>159</v>
      </c>
      <c r="G1609" s="7">
        <v>316208</v>
      </c>
      <c r="H1609" s="7" cm="1">
        <f t="array" ref="H1609">_xlfn.IFS(B1609=2015,L1609*$P$3,B1609=2016,L1609*$P$4,B1609=2017,L1609*$P$5,B1609=2018,L1609*$P$6,B1609=2019,L1609*$P$7,B1609=2020,L1609*$P$8,B1609=2021,L1609*$P$9,B1609=2022,L1609*$P$10)</f>
        <v>10737.492091827067</v>
      </c>
      <c r="I1609" s="7">
        <f t="shared" si="53"/>
        <v>326945.49209182709</v>
      </c>
      <c r="J1609">
        <f>IFERROR(VLOOKUP(F1609,'LEAID Match'!$A$2:$B$227,2,FALSE),"")</f>
        <v>3817040</v>
      </c>
      <c r="K1609">
        <f t="shared" si="52"/>
        <v>8</v>
      </c>
      <c r="L1609" cm="1">
        <f t="array" ref="L1609">_xlfn.IFS(B1609=2015,G1609/$P$13,B1609=2016,G1609/$P$14,B1609=2017,G1609/$P$15,B1609=2018,G1609/$P$16,B1609=2019,G1609/$P$17,B1609=2019,G1609/$P$18,B1609=2020,G1609/$P$18,B1609=2021,G1609/$P$19,B1609=2022,G1609/$P$20)</f>
        <v>3.8170963710725445E-3</v>
      </c>
    </row>
    <row r="1610" spans="1:12" x14ac:dyDescent="0.2">
      <c r="A1610">
        <v>3817040</v>
      </c>
      <c r="B1610">
        <v>2017</v>
      </c>
      <c r="C1610" t="s">
        <v>252</v>
      </c>
      <c r="D1610" t="s">
        <v>254</v>
      </c>
      <c r="E1610" t="s">
        <v>256</v>
      </c>
      <c r="F1610" s="5" t="s">
        <v>159</v>
      </c>
      <c r="G1610" s="7">
        <v>335332</v>
      </c>
      <c r="H1610" s="7" cm="1">
        <f t="array" ref="H1610">_xlfn.IFS(B1610=2015,L1610*$P$3,B1610=2016,L1610*$P$4,B1610=2017,L1610*$P$5,B1610=2018,L1610*$P$6,B1610=2019,L1610*$P$7,B1610=2020,L1610*$P$8,B1610=2021,L1610*$P$9,B1610=2022,L1610*$P$10)</f>
        <v>10867.456475691528</v>
      </c>
      <c r="I1610" s="7">
        <f t="shared" si="53"/>
        <v>346199.45647569152</v>
      </c>
      <c r="J1610">
        <f>IFERROR(VLOOKUP(F1610,'LEAID Match'!$A$2:$B$227,2,FALSE),"")</f>
        <v>3817040</v>
      </c>
      <c r="K1610">
        <f t="shared" si="52"/>
        <v>8</v>
      </c>
      <c r="L1610" cm="1">
        <f t="array" ref="L1610">_xlfn.IFS(B1610=2015,G1610/$P$13,B1610=2016,G1610/$P$14,B1610=2017,G1610/$P$15,B1610=2018,G1610/$P$16,B1610=2019,G1610/$P$17,B1610=2019,G1610/$P$18,B1610=2020,G1610/$P$18,B1610=2021,G1610/$P$19,B1610=2022,G1610/$P$20)</f>
        <v>3.8965423003555137E-3</v>
      </c>
    </row>
    <row r="1611" spans="1:12" x14ac:dyDescent="0.2">
      <c r="A1611">
        <v>3817040</v>
      </c>
      <c r="B1611" s="5">
        <v>2018</v>
      </c>
      <c r="C1611" t="s">
        <v>252</v>
      </c>
      <c r="D1611" t="s">
        <v>254</v>
      </c>
      <c r="E1611" t="s">
        <v>256</v>
      </c>
      <c r="F1611" s="5" t="s">
        <v>159</v>
      </c>
      <c r="G1611" s="7">
        <v>341281</v>
      </c>
      <c r="H1611" s="7" cm="1">
        <f t="array" ref="H1611">_xlfn.IFS(B1611=2015,L1611*$P$3,B1611=2016,L1611*$P$4,B1611=2017,L1611*$P$5,B1611=2018,L1611*$P$6,B1611=2019,L1611*$P$7,B1611=2020,L1611*$P$8,B1611=2021,L1611*$P$9,B1611=2022,L1611*$P$10)</f>
        <v>9351.4367722766146</v>
      </c>
      <c r="I1611" s="7">
        <f t="shared" si="53"/>
        <v>350632.43677227659</v>
      </c>
      <c r="J1611">
        <f>IFERROR(VLOOKUP(F1611,'LEAID Match'!$A$2:$B$227,2,FALSE),"")</f>
        <v>3817040</v>
      </c>
      <c r="K1611">
        <f t="shared" si="52"/>
        <v>8</v>
      </c>
      <c r="L1611" cm="1">
        <f t="array" ref="L1611">_xlfn.IFS(B1611=2015,G1611/$P$13,B1611=2016,G1611/$P$14,B1611=2017,G1611/$P$15,B1611=2018,G1611/$P$16,B1611=2019,G1611/$P$17,B1611=2019,G1611/$P$18,B1611=2020,G1611/$P$18,B1611=2021,G1611/$P$19,B1611=2022,G1611/$P$20)</f>
        <v>3.9374470620112062E-3</v>
      </c>
    </row>
    <row r="1612" spans="1:12" x14ac:dyDescent="0.2">
      <c r="A1612">
        <v>3817040</v>
      </c>
      <c r="B1612">
        <v>2019</v>
      </c>
      <c r="C1612" t="s">
        <v>252</v>
      </c>
      <c r="D1612" t="s">
        <v>254</v>
      </c>
      <c r="E1612" t="s">
        <v>256</v>
      </c>
      <c r="F1612" s="5" t="s">
        <v>159</v>
      </c>
      <c r="G1612" s="7">
        <v>340019</v>
      </c>
      <c r="H1612" s="7" cm="1">
        <f t="array" ref="H1612">_xlfn.IFS(B1612=2015,L1612*$P$3,B1612=2016,L1612*$P$4,B1612=2017,L1612*$P$5,B1612=2018,L1612*$P$6,B1612=2019,L1612*$P$7,B1612=2020,L1612*$P$8,B1612=2021,L1612*$P$9,B1612=2022,L1612*$P$10)</f>
        <v>7891.7814412630441</v>
      </c>
      <c r="I1612" s="7">
        <f t="shared" si="53"/>
        <v>347910.78144126304</v>
      </c>
      <c r="J1612">
        <f>IFERROR(VLOOKUP(F1612,'LEAID Match'!$A$2:$B$227,2,FALSE),"")</f>
        <v>3817040</v>
      </c>
      <c r="K1612">
        <f t="shared" si="52"/>
        <v>8</v>
      </c>
      <c r="L1612" cm="1">
        <f t="array" ref="L1612">_xlfn.IFS(B1612=2015,G1612/$P$13,B1612=2016,G1612/$P$14,B1612=2017,G1612/$P$15,B1612=2018,G1612/$P$16,B1612=2019,G1612/$P$17,B1612=2019,G1612/$P$18,B1612=2020,G1612/$P$18,B1612=2021,G1612/$P$19,B1612=2022,G1612/$P$20)</f>
        <v>3.8014361470438554E-3</v>
      </c>
    </row>
    <row r="1613" spans="1:12" x14ac:dyDescent="0.2">
      <c r="A1613">
        <v>3817040</v>
      </c>
      <c r="B1613">
        <v>2020</v>
      </c>
      <c r="C1613" t="s">
        <v>252</v>
      </c>
      <c r="D1613" t="s">
        <v>254</v>
      </c>
      <c r="E1613" t="s">
        <v>256</v>
      </c>
      <c r="F1613" s="5" t="s">
        <v>159</v>
      </c>
      <c r="G1613" s="7">
        <v>355329</v>
      </c>
      <c r="H1613" s="7" cm="1">
        <f t="array" ref="H1613">_xlfn.IFS(B1613=2015,L1613*$P$3,B1613=2016,L1613*$P$4,B1613=2017,L1613*$P$5,B1613=2018,L1613*$P$6,B1613=2019,L1613*$P$7,B1613=2020,L1613*$P$8,B1613=2021,L1613*$P$9,B1613=2022,L1613*$P$10)</f>
        <v>8914.5004209176113</v>
      </c>
      <c r="I1613" s="7">
        <f t="shared" si="53"/>
        <v>364243.50042091764</v>
      </c>
      <c r="J1613">
        <f>IFERROR(VLOOKUP(F1613,'LEAID Match'!$A$2:$B$227,2,FALSE),"")</f>
        <v>3817040</v>
      </c>
      <c r="K1613">
        <f t="shared" si="52"/>
        <v>8</v>
      </c>
      <c r="L1613" cm="1">
        <f t="array" ref="L1613">_xlfn.IFS(B1613=2015,G1613/$P$13,B1613=2016,G1613/$P$14,B1613=2017,G1613/$P$15,B1613=2018,G1613/$P$16,B1613=2019,G1613/$P$17,B1613=2019,G1613/$P$18,B1613=2020,G1613/$P$18,B1613=2021,G1613/$P$19,B1613=2022,G1613/$P$20)</f>
        <v>3.8194089207016328E-3</v>
      </c>
    </row>
    <row r="1614" spans="1:12" x14ac:dyDescent="0.2">
      <c r="A1614">
        <v>3817040</v>
      </c>
      <c r="B1614" s="5">
        <v>2021</v>
      </c>
      <c r="C1614" t="s">
        <v>252</v>
      </c>
      <c r="D1614" t="s">
        <v>254</v>
      </c>
      <c r="E1614" t="s">
        <v>256</v>
      </c>
      <c r="F1614" s="5" t="s">
        <v>159</v>
      </c>
      <c r="G1614" s="7">
        <v>391749</v>
      </c>
      <c r="H1614" s="7" cm="1">
        <f t="array" ref="H1614">_xlfn.IFS(B1614=2015,L1614*$P$3,B1614=2016,L1614*$P$4,B1614=2017,L1614*$P$5,B1614=2018,L1614*$P$6,B1614=2019,L1614*$P$7,B1614=2020,L1614*$P$8,B1614=2021,L1614*$P$9,B1614=2022,L1614*$P$10)</f>
        <v>10704.264633248042</v>
      </c>
      <c r="I1614" s="7">
        <f t="shared" si="53"/>
        <v>402453.26463324804</v>
      </c>
      <c r="J1614">
        <f>IFERROR(VLOOKUP(F1614,'LEAID Match'!$A$2:$B$227,2,FALSE),"")</f>
        <v>3817040</v>
      </c>
      <c r="K1614">
        <f t="shared" si="52"/>
        <v>8</v>
      </c>
      <c r="L1614" cm="1">
        <f t="array" ref="L1614">_xlfn.IFS(B1614=2015,G1614/$P$13,B1614=2016,G1614/$P$14,B1614=2017,G1614/$P$15,B1614=2018,G1614/$P$16,B1614=2019,G1614/$P$17,B1614=2019,G1614/$P$18,B1614=2020,G1614/$P$18,B1614=2021,G1614/$P$19,B1614=2022,G1614/$P$20)</f>
        <v>3.9866907386398665E-3</v>
      </c>
    </row>
    <row r="1615" spans="1:12" x14ac:dyDescent="0.2">
      <c r="A1615">
        <v>3817040</v>
      </c>
      <c r="B1615">
        <v>2022</v>
      </c>
      <c r="C1615" t="s">
        <v>252</v>
      </c>
      <c r="D1615" t="s">
        <v>254</v>
      </c>
      <c r="E1615" t="s">
        <v>256</v>
      </c>
      <c r="F1615" s="5" t="s">
        <v>159</v>
      </c>
      <c r="G1615" s="7">
        <v>380115</v>
      </c>
      <c r="H1615" s="7" cm="1">
        <f t="array" ref="H1615">_xlfn.IFS(B1615=2015,L1615*$P$3,B1615=2016,L1615*$P$4,B1615=2017,L1615*$P$5,B1615=2018,L1615*$P$6,B1615=2019,L1615*$P$7,B1615=2020,L1615*$P$8,B1615=2021,L1615*$P$9,B1615=2022,L1615*$P$10)</f>
        <v>7736.3144861290803</v>
      </c>
      <c r="I1615" s="7">
        <f t="shared" si="53"/>
        <v>387851.31448612909</v>
      </c>
      <c r="J1615">
        <f>IFERROR(VLOOKUP(F1615,'LEAID Match'!$A$2:$B$227,2,FALSE),"")</f>
        <v>3817040</v>
      </c>
      <c r="K1615">
        <f t="shared" si="52"/>
        <v>8</v>
      </c>
      <c r="L1615" cm="1">
        <f t="array" ref="L1615">_xlfn.IFS(B1615=2015,G1615/$P$13,B1615=2016,G1615/$P$14,B1615=2017,G1615/$P$15,B1615=2018,G1615/$P$16,B1615=2019,G1615/$P$17,B1615=2019,G1615/$P$18,B1615=2020,G1615/$P$18,B1615=2021,G1615/$P$19,B1615=2022,G1615/$P$20)</f>
        <v>3.7885967121102254E-3</v>
      </c>
    </row>
    <row r="1616" spans="1:12" x14ac:dyDescent="0.2">
      <c r="A1616">
        <v>3819020</v>
      </c>
      <c r="B1616">
        <v>2015</v>
      </c>
      <c r="C1616" t="s">
        <v>252</v>
      </c>
      <c r="D1616" t="s">
        <v>254</v>
      </c>
      <c r="E1616" t="s">
        <v>256</v>
      </c>
      <c r="F1616" s="5" t="s">
        <v>160</v>
      </c>
      <c r="G1616" s="7">
        <v>834853</v>
      </c>
      <c r="H1616" s="7" cm="1">
        <f t="array" ref="H1616">_xlfn.IFS(B1616=2015,L1616*$P$3,B1616=2016,L1616*$P$4,B1616=2017,L1616*$P$5,B1616=2018,L1616*$P$6,B1616=2019,L1616*$P$7,B1616=2020,L1616*$P$8,B1616=2021,L1616*$P$9,B1616=2022,L1616*$P$10)</f>
        <v>18874.709667300416</v>
      </c>
      <c r="I1616" s="7">
        <f t="shared" si="53"/>
        <v>853727.70966730046</v>
      </c>
      <c r="J1616">
        <f>IFERROR(VLOOKUP(F1616,'LEAID Match'!$A$2:$B$227,2,FALSE),"")</f>
        <v>3819020</v>
      </c>
      <c r="K1616">
        <f t="shared" si="52"/>
        <v>8</v>
      </c>
      <c r="L1616" cm="1">
        <f t="array" ref="L1616">_xlfn.IFS(B1616=2015,G1616/$P$13,B1616=2016,G1616/$P$14,B1616=2017,G1616/$P$15,B1616=2018,G1616/$P$16,B1616=2019,G1616/$P$17,B1616=2019,G1616/$P$18,B1616=2020,G1616/$P$18,B1616=2021,G1616/$P$19,B1616=2022,G1616/$P$20)</f>
        <v>1.0645634330118678E-2</v>
      </c>
    </row>
    <row r="1617" spans="1:12" x14ac:dyDescent="0.2">
      <c r="A1617">
        <v>3819020</v>
      </c>
      <c r="B1617">
        <v>2016</v>
      </c>
      <c r="C1617" t="s">
        <v>252</v>
      </c>
      <c r="D1617" t="s">
        <v>254</v>
      </c>
      <c r="E1617" t="s">
        <v>256</v>
      </c>
      <c r="F1617" s="5" t="s">
        <v>160</v>
      </c>
      <c r="G1617" s="7">
        <v>854531</v>
      </c>
      <c r="H1617" s="7" cm="1">
        <f t="array" ref="H1617">_xlfn.IFS(B1617=2015,L1617*$P$3,B1617=2016,L1617*$P$4,B1617=2017,L1617*$P$5,B1617=2018,L1617*$P$6,B1617=2019,L1617*$P$7,B1617=2020,L1617*$P$8,B1617=2021,L1617*$P$9,B1617=2022,L1617*$P$10)</f>
        <v>29017.355205184802</v>
      </c>
      <c r="I1617" s="7">
        <f t="shared" si="53"/>
        <v>883548.35520518478</v>
      </c>
      <c r="J1617">
        <f>IFERROR(VLOOKUP(F1617,'LEAID Match'!$A$2:$B$227,2,FALSE),"")</f>
        <v>3819020</v>
      </c>
      <c r="K1617">
        <f t="shared" si="52"/>
        <v>8</v>
      </c>
      <c r="L1617" cm="1">
        <f t="array" ref="L1617">_xlfn.IFS(B1617=2015,G1617/$P$13,B1617=2016,G1617/$P$14,B1617=2017,G1617/$P$15,B1617=2018,G1617/$P$16,B1617=2019,G1617/$P$17,B1617=2019,G1617/$P$18,B1617=2020,G1617/$P$18,B1617=2021,G1617/$P$19,B1617=2022,G1617/$P$20)</f>
        <v>1.0315447993311341E-2</v>
      </c>
    </row>
    <row r="1618" spans="1:12" x14ac:dyDescent="0.2">
      <c r="A1618">
        <v>3819020</v>
      </c>
      <c r="B1618">
        <v>2017</v>
      </c>
      <c r="C1618" t="s">
        <v>252</v>
      </c>
      <c r="D1618" t="s">
        <v>254</v>
      </c>
      <c r="E1618" t="s">
        <v>256</v>
      </c>
      <c r="F1618" s="5" t="s">
        <v>160</v>
      </c>
      <c r="G1618" s="7">
        <v>857229</v>
      </c>
      <c r="H1618" s="7" cm="1">
        <f t="array" ref="H1618">_xlfn.IFS(B1618=2015,L1618*$P$3,B1618=2016,L1618*$P$4,B1618=2017,L1618*$P$5,B1618=2018,L1618*$P$6,B1618=2019,L1618*$P$7,B1618=2020,L1618*$P$8,B1618=2021,L1618*$P$9,B1618=2022,L1618*$P$10)</f>
        <v>27781.120940442823</v>
      </c>
      <c r="I1618" s="7">
        <f t="shared" si="53"/>
        <v>885010.12094044278</v>
      </c>
      <c r="J1618">
        <f>IFERROR(VLOOKUP(F1618,'LEAID Match'!$A$2:$B$227,2,FALSE),"")</f>
        <v>3819020</v>
      </c>
      <c r="K1618">
        <f t="shared" si="52"/>
        <v>8</v>
      </c>
      <c r="L1618" cm="1">
        <f t="array" ref="L1618">_xlfn.IFS(B1618=2015,G1618/$P$13,B1618=2016,G1618/$P$14,B1618=2017,G1618/$P$15,B1618=2018,G1618/$P$16,B1618=2019,G1618/$P$17,B1618=2019,G1618/$P$18,B1618=2020,G1618/$P$18,B1618=2021,G1618/$P$19,B1618=2022,G1618/$P$20)</f>
        <v>9.9609612550888571E-3</v>
      </c>
    </row>
    <row r="1619" spans="1:12" x14ac:dyDescent="0.2">
      <c r="A1619">
        <v>3819020</v>
      </c>
      <c r="B1619" s="5">
        <v>2018</v>
      </c>
      <c r="C1619" t="s">
        <v>252</v>
      </c>
      <c r="D1619" t="s">
        <v>254</v>
      </c>
      <c r="E1619" t="s">
        <v>256</v>
      </c>
      <c r="F1619" s="5" t="s">
        <v>160</v>
      </c>
      <c r="G1619" s="7">
        <v>842205</v>
      </c>
      <c r="H1619" s="7" cm="1">
        <f t="array" ref="H1619">_xlfn.IFS(B1619=2015,L1619*$P$3,B1619=2016,L1619*$P$4,B1619=2017,L1619*$P$5,B1619=2018,L1619*$P$6,B1619=2019,L1619*$P$7,B1619=2020,L1619*$P$8,B1619=2021,L1619*$P$9,B1619=2022,L1619*$P$10)</f>
        <v>23077.249559146934</v>
      </c>
      <c r="I1619" s="7">
        <f t="shared" si="53"/>
        <v>865282.24955914693</v>
      </c>
      <c r="J1619">
        <f>IFERROR(VLOOKUP(F1619,'LEAID Match'!$A$2:$B$227,2,FALSE),"")</f>
        <v>3819020</v>
      </c>
      <c r="K1619">
        <f t="shared" si="52"/>
        <v>8</v>
      </c>
      <c r="L1619" cm="1">
        <f t="array" ref="L1619">_xlfn.IFS(B1619=2015,G1619/$P$13,B1619=2016,G1619/$P$14,B1619=2017,G1619/$P$15,B1619=2018,G1619/$P$16,B1619=2019,G1619/$P$17,B1619=2019,G1619/$P$18,B1619=2020,G1619/$P$18,B1619=2021,G1619/$P$19,B1619=2022,G1619/$P$20)</f>
        <v>9.7167366564829202E-3</v>
      </c>
    </row>
    <row r="1620" spans="1:12" x14ac:dyDescent="0.2">
      <c r="A1620">
        <v>3819020</v>
      </c>
      <c r="B1620">
        <v>2019</v>
      </c>
      <c r="C1620" t="s">
        <v>252</v>
      </c>
      <c r="D1620" t="s">
        <v>254</v>
      </c>
      <c r="E1620" t="s">
        <v>256</v>
      </c>
      <c r="F1620" s="5" t="s">
        <v>160</v>
      </c>
      <c r="G1620" s="7">
        <v>860361</v>
      </c>
      <c r="H1620" s="7" cm="1">
        <f t="array" ref="H1620">_xlfn.IFS(B1620=2015,L1620*$P$3,B1620=2016,L1620*$P$4,B1620=2017,L1620*$P$5,B1620=2018,L1620*$P$6,B1620=2019,L1620*$P$7,B1620=2020,L1620*$P$8,B1620=2021,L1620*$P$9,B1620=2022,L1620*$P$10)</f>
        <v>19968.828131917668</v>
      </c>
      <c r="I1620" s="7">
        <f t="shared" si="53"/>
        <v>880329.82813191763</v>
      </c>
      <c r="J1620">
        <f>IFERROR(VLOOKUP(F1620,'LEAID Match'!$A$2:$B$227,2,FALSE),"")</f>
        <v>3819020</v>
      </c>
      <c r="K1620">
        <f t="shared" si="52"/>
        <v>8</v>
      </c>
      <c r="L1620" cm="1">
        <f t="array" ref="L1620">_xlfn.IFS(B1620=2015,G1620/$P$13,B1620=2016,G1620/$P$14,B1620=2017,G1620/$P$15,B1620=2018,G1620/$P$16,B1620=2019,G1620/$P$17,B1620=2019,G1620/$P$18,B1620=2020,G1620/$P$18,B1620=2021,G1620/$P$19,B1620=2022,G1620/$P$20)</f>
        <v>9.6188960173013809E-3</v>
      </c>
    </row>
    <row r="1621" spans="1:12" x14ac:dyDescent="0.2">
      <c r="A1621">
        <v>3819020</v>
      </c>
      <c r="B1621">
        <v>2020</v>
      </c>
      <c r="C1621" t="s">
        <v>252</v>
      </c>
      <c r="D1621" t="s">
        <v>254</v>
      </c>
      <c r="E1621" t="s">
        <v>256</v>
      </c>
      <c r="F1621" s="5" t="s">
        <v>160</v>
      </c>
      <c r="G1621" s="7">
        <v>887375</v>
      </c>
      <c r="H1621" s="7" cm="1">
        <f t="array" ref="H1621">_xlfn.IFS(B1621=2015,L1621*$P$3,B1621=2016,L1621*$P$4,B1621=2017,L1621*$P$5,B1621=2018,L1621*$P$6,B1621=2019,L1621*$P$7,B1621=2020,L1621*$P$8,B1621=2021,L1621*$P$9,B1621=2022,L1621*$P$10)</f>
        <v>22262.480155044381</v>
      </c>
      <c r="I1621" s="7">
        <f t="shared" si="53"/>
        <v>909637.48015504435</v>
      </c>
      <c r="J1621">
        <f>IFERROR(VLOOKUP(F1621,'LEAID Match'!$A$2:$B$227,2,FALSE),"")</f>
        <v>3819020</v>
      </c>
      <c r="K1621">
        <f t="shared" si="52"/>
        <v>8</v>
      </c>
      <c r="L1621" cm="1">
        <f t="array" ref="L1621">_xlfn.IFS(B1621=2015,G1621/$P$13,B1621=2016,G1621/$P$14,B1621=2017,G1621/$P$15,B1621=2018,G1621/$P$16,B1621=2019,G1621/$P$17,B1621=2019,G1621/$P$18,B1621=2020,G1621/$P$18,B1621=2021,G1621/$P$19,B1621=2022,G1621/$P$20)</f>
        <v>9.5383376842520916E-3</v>
      </c>
    </row>
    <row r="1622" spans="1:12" x14ac:dyDescent="0.2">
      <c r="A1622">
        <v>3819020</v>
      </c>
      <c r="B1622" s="5">
        <v>2021</v>
      </c>
      <c r="C1622" t="s">
        <v>252</v>
      </c>
      <c r="D1622" t="s">
        <v>254</v>
      </c>
      <c r="E1622" t="s">
        <v>256</v>
      </c>
      <c r="F1622" s="5" t="s">
        <v>160</v>
      </c>
      <c r="G1622" s="7">
        <v>962912</v>
      </c>
      <c r="H1622" s="7" cm="1">
        <f t="array" ref="H1622">_xlfn.IFS(B1622=2015,L1622*$P$3,B1622=2016,L1622*$P$4,B1622=2017,L1622*$P$5,B1622=2018,L1622*$P$6,B1622=2019,L1622*$P$7,B1622=2020,L1622*$P$8,B1622=2021,L1622*$P$9,B1622=2022,L1622*$P$10)</f>
        <v>26310.890050849241</v>
      </c>
      <c r="I1622" s="7">
        <f t="shared" si="53"/>
        <v>989222.8900508493</v>
      </c>
      <c r="J1622">
        <f>IFERROR(VLOOKUP(F1622,'LEAID Match'!$A$2:$B$227,2,FALSE),"")</f>
        <v>3819020</v>
      </c>
      <c r="K1622">
        <f t="shared" si="52"/>
        <v>8</v>
      </c>
      <c r="L1622" cm="1">
        <f t="array" ref="L1622">_xlfn.IFS(B1622=2015,G1622/$P$13,B1622=2016,G1622/$P$14,B1622=2017,G1622/$P$15,B1622=2018,G1622/$P$16,B1622=2019,G1622/$P$17,B1622=2019,G1622/$P$18,B1622=2020,G1622/$P$18,B1622=2021,G1622/$P$19,B1622=2022,G1622/$P$20)</f>
        <v>9.7992141716384505E-3</v>
      </c>
    </row>
    <row r="1623" spans="1:12" x14ac:dyDescent="0.2">
      <c r="A1623">
        <v>3819020</v>
      </c>
      <c r="B1623">
        <v>2022</v>
      </c>
      <c r="C1623" t="s">
        <v>252</v>
      </c>
      <c r="D1623" t="s">
        <v>254</v>
      </c>
      <c r="E1623" t="s">
        <v>256</v>
      </c>
      <c r="F1623" s="5" t="s">
        <v>160</v>
      </c>
      <c r="G1623" s="7">
        <v>928195</v>
      </c>
      <c r="H1623" s="7" cm="1">
        <f t="array" ref="H1623">_xlfn.IFS(B1623=2015,L1623*$P$3,B1623=2016,L1623*$P$4,B1623=2017,L1623*$P$5,B1623=2018,L1623*$P$6,B1623=2019,L1623*$P$7,B1623=2020,L1623*$P$8,B1623=2021,L1623*$P$9,B1623=2022,L1623*$P$10)</f>
        <v>18891.147217164758</v>
      </c>
      <c r="I1623" s="7">
        <f t="shared" si="53"/>
        <v>947086.14721716475</v>
      </c>
      <c r="J1623">
        <f>IFERROR(VLOOKUP(F1623,'LEAID Match'!$A$2:$B$227,2,FALSE),"")</f>
        <v>3819020</v>
      </c>
      <c r="K1623">
        <f t="shared" si="52"/>
        <v>8</v>
      </c>
      <c r="L1623" cm="1">
        <f t="array" ref="L1623">_xlfn.IFS(B1623=2015,G1623/$P$13,B1623=2016,G1623/$P$14,B1623=2017,G1623/$P$15,B1623=2018,G1623/$P$16,B1623=2019,G1623/$P$17,B1623=2019,G1623/$P$18,B1623=2020,G1623/$P$18,B1623=2021,G1623/$P$19,B1623=2022,G1623/$P$20)</f>
        <v>9.2512963845077165E-3</v>
      </c>
    </row>
    <row r="1624" spans="1:12" x14ac:dyDescent="0.2">
      <c r="A1624">
        <v>0</v>
      </c>
      <c r="B1624">
        <v>2015</v>
      </c>
      <c r="C1624" t="s">
        <v>252</v>
      </c>
      <c r="D1624" t="s">
        <v>254</v>
      </c>
      <c r="E1624" t="s">
        <v>256</v>
      </c>
      <c r="F1624" s="5" t="s">
        <v>211</v>
      </c>
      <c r="G1624" s="7">
        <v>3502</v>
      </c>
      <c r="H1624" s="7" cm="1">
        <f t="array" ref="H1624">_xlfn.IFS(B1624=2015,L1624*$P$3,B1624=2016,L1624*$P$4,B1624=2017,L1624*$P$5,B1624=2018,L1624*$P$6,B1624=2019,L1624*$P$7,B1624=2020,L1624*$P$8,B1624=2021,L1624*$P$9,B1624=2022,L1624*$P$10)</f>
        <v>79.174696928544378</v>
      </c>
      <c r="I1624" s="7">
        <f t="shared" si="53"/>
        <v>3581.1746969285446</v>
      </c>
      <c r="J1624">
        <f>IFERROR(VLOOKUP(F1624,'LEAID Match'!$A$2:$B$227,2,FALSE),"")</f>
        <v>0</v>
      </c>
      <c r="K1624">
        <f t="shared" si="52"/>
        <v>130</v>
      </c>
      <c r="L1624" cm="1">
        <f t="array" ref="L1624">_xlfn.IFS(B1624=2015,G1624/$P$13,B1624=2016,G1624/$P$14,B1624=2017,G1624/$P$15,B1624=2018,G1624/$P$16,B1624=2019,G1624/$P$17,B1624=2019,G1624/$P$18,B1624=2020,G1624/$P$18,B1624=2021,G1624/$P$19,B1624=2022,G1624/$P$20)</f>
        <v>4.4655779429523058E-5</v>
      </c>
    </row>
    <row r="1625" spans="1:12" x14ac:dyDescent="0.2">
      <c r="A1625">
        <v>0</v>
      </c>
      <c r="B1625">
        <v>2016</v>
      </c>
      <c r="C1625" t="s">
        <v>252</v>
      </c>
      <c r="D1625" t="s">
        <v>254</v>
      </c>
      <c r="E1625" t="s">
        <v>256</v>
      </c>
      <c r="F1625" s="5" t="s">
        <v>211</v>
      </c>
      <c r="G1625" s="7">
        <v>3604</v>
      </c>
      <c r="H1625" s="7" cm="1">
        <f t="array" ref="H1625">_xlfn.IFS(B1625=2015,L1625*$P$3,B1625=2016,L1625*$P$4,B1625=2017,L1625*$P$5,B1625=2018,L1625*$P$6,B1625=2019,L1625*$P$7,B1625=2020,L1625*$P$8,B1625=2021,L1625*$P$9,B1625=2022,L1625*$P$10)</f>
        <v>122.38122216687988</v>
      </c>
      <c r="I1625" s="7">
        <f t="shared" si="53"/>
        <v>3726.38122216688</v>
      </c>
      <c r="J1625">
        <f>IFERROR(VLOOKUP(F1625,'LEAID Match'!$A$2:$B$227,2,FALSE),"")</f>
        <v>0</v>
      </c>
      <c r="K1625">
        <f t="shared" si="52"/>
        <v>130</v>
      </c>
      <c r="L1625" cm="1">
        <f t="array" ref="L1625">_xlfn.IFS(B1625=2015,G1625/$P$13,B1625=2016,G1625/$P$14,B1625=2017,G1625/$P$15,B1625=2018,G1625/$P$16,B1625=2019,G1625/$P$17,B1625=2019,G1625/$P$18,B1625=2020,G1625/$P$18,B1625=2021,G1625/$P$19,B1625=2022,G1625/$P$20)</f>
        <v>4.350558911015993E-5</v>
      </c>
    </row>
    <row r="1626" spans="1:12" x14ac:dyDescent="0.2">
      <c r="A1626">
        <v>0</v>
      </c>
      <c r="B1626">
        <v>2017</v>
      </c>
      <c r="C1626" t="s">
        <v>252</v>
      </c>
      <c r="D1626" t="s">
        <v>254</v>
      </c>
      <c r="E1626" t="s">
        <v>256</v>
      </c>
      <c r="F1626" s="5" t="s">
        <v>211</v>
      </c>
      <c r="G1626" s="7">
        <v>3667</v>
      </c>
      <c r="H1626" s="7" cm="1">
        <f t="array" ref="H1626">_xlfn.IFS(B1626=2015,L1626*$P$3,B1626=2016,L1626*$P$4,B1626=2017,L1626*$P$5,B1626=2018,L1626*$P$6,B1626=2019,L1626*$P$7,B1626=2020,L1626*$P$8,B1626=2021,L1626*$P$9,B1626=2022,L1626*$P$10)</f>
        <v>118.84032211766498</v>
      </c>
      <c r="I1626" s="7">
        <f t="shared" si="53"/>
        <v>3785.840322117665</v>
      </c>
      <c r="J1626">
        <f>IFERROR(VLOOKUP(F1626,'LEAID Match'!$A$2:$B$227,2,FALSE),"")</f>
        <v>0</v>
      </c>
      <c r="K1626">
        <f t="shared" si="52"/>
        <v>130</v>
      </c>
      <c r="L1626" cm="1">
        <f t="array" ref="L1626">_xlfn.IFS(B1626=2015,G1626/$P$13,B1626=2016,G1626/$P$14,B1626=2017,G1626/$P$15,B1626=2018,G1626/$P$16,B1626=2019,G1626/$P$17,B1626=2019,G1626/$P$18,B1626=2020,G1626/$P$18,B1626=2021,G1626/$P$19,B1626=2022,G1626/$P$20)</f>
        <v>4.2610370067287551E-5</v>
      </c>
    </row>
    <row r="1627" spans="1:12" x14ac:dyDescent="0.2">
      <c r="A1627">
        <v>0</v>
      </c>
      <c r="B1627" s="5">
        <v>2018</v>
      </c>
      <c r="C1627" t="s">
        <v>252</v>
      </c>
      <c r="D1627" t="s">
        <v>254</v>
      </c>
      <c r="E1627" t="s">
        <v>256</v>
      </c>
      <c r="F1627" s="5" t="s">
        <v>211</v>
      </c>
      <c r="G1627" s="7">
        <v>3749</v>
      </c>
      <c r="H1627" s="7" cm="1">
        <f t="array" ref="H1627">_xlfn.IFS(B1627=2015,L1627*$P$3,B1627=2016,L1627*$P$4,B1627=2017,L1627*$P$5,B1627=2018,L1627*$P$6,B1627=2019,L1627*$P$7,B1627=2020,L1627*$P$8,B1627=2021,L1627*$P$9,B1627=2022,L1627*$P$10)</f>
        <v>102.72630606235046</v>
      </c>
      <c r="I1627" s="7">
        <f t="shared" si="53"/>
        <v>3851.7263060623504</v>
      </c>
      <c r="J1627">
        <f>IFERROR(VLOOKUP(F1627,'LEAID Match'!$A$2:$B$227,2,FALSE),"")</f>
        <v>0</v>
      </c>
      <c r="K1627">
        <f t="shared" si="52"/>
        <v>130</v>
      </c>
      <c r="L1627" cm="1">
        <f t="array" ref="L1627">_xlfn.IFS(B1627=2015,G1627/$P$13,B1627=2016,G1627/$P$14,B1627=2017,G1627/$P$15,B1627=2018,G1627/$P$16,B1627=2019,G1627/$P$17,B1627=2019,G1627/$P$18,B1627=2020,G1627/$P$18,B1627=2021,G1627/$P$19,B1627=2022,G1627/$P$20)</f>
        <v>4.3253181499937036E-5</v>
      </c>
    </row>
    <row r="1628" spans="1:12" x14ac:dyDescent="0.2">
      <c r="A1628">
        <v>0</v>
      </c>
      <c r="B1628">
        <v>2019</v>
      </c>
      <c r="C1628" t="s">
        <v>252</v>
      </c>
      <c r="D1628" t="s">
        <v>254</v>
      </c>
      <c r="E1628" t="s">
        <v>256</v>
      </c>
      <c r="F1628" s="5" t="s">
        <v>211</v>
      </c>
      <c r="G1628" s="7">
        <v>3805</v>
      </c>
      <c r="H1628" s="7" cm="1">
        <f t="array" ref="H1628">_xlfn.IFS(B1628=2015,L1628*$P$3,B1628=2016,L1628*$P$4,B1628=2017,L1628*$P$5,B1628=2018,L1628*$P$6,B1628=2019,L1628*$P$7,B1628=2020,L1628*$P$8,B1628=2021,L1628*$P$9,B1628=2022,L1628*$P$10)</f>
        <v>88.313383616815173</v>
      </c>
      <c r="I1628" s="7">
        <f t="shared" si="53"/>
        <v>3893.3133836168154</v>
      </c>
      <c r="J1628">
        <f>IFERROR(VLOOKUP(F1628,'LEAID Match'!$A$2:$B$227,2,FALSE),"")</f>
        <v>0</v>
      </c>
      <c r="K1628">
        <f t="shared" si="52"/>
        <v>130</v>
      </c>
      <c r="L1628" cm="1">
        <f t="array" ref="L1628">_xlfn.IFS(B1628=2015,G1628/$P$13,B1628=2016,G1628/$P$14,B1628=2017,G1628/$P$15,B1628=2018,G1628/$P$16,B1628=2019,G1628/$P$17,B1628=2019,G1628/$P$18,B1628=2020,G1628/$P$18,B1628=2021,G1628/$P$19,B1628=2022,G1628/$P$20)</f>
        <v>4.2540165518697099E-5</v>
      </c>
    </row>
    <row r="1629" spans="1:12" x14ac:dyDescent="0.2">
      <c r="A1629">
        <v>0</v>
      </c>
      <c r="B1629">
        <v>2020</v>
      </c>
      <c r="C1629" t="s">
        <v>252</v>
      </c>
      <c r="D1629" t="s">
        <v>254</v>
      </c>
      <c r="E1629" t="s">
        <v>256</v>
      </c>
      <c r="F1629" s="5" t="s">
        <v>211</v>
      </c>
      <c r="G1629" s="7">
        <v>3901</v>
      </c>
      <c r="H1629" s="7" cm="1">
        <f t="array" ref="H1629">_xlfn.IFS(B1629=2015,L1629*$P$3,B1629=2016,L1629*$P$4,B1629=2017,L1629*$P$5,B1629=2018,L1629*$P$6,B1629=2019,L1629*$P$7,B1629=2020,L1629*$P$8,B1629=2021,L1629*$P$9,B1629=2022,L1629*$P$10)</f>
        <v>97.868359019386546</v>
      </c>
      <c r="I1629" s="7">
        <f t="shared" si="53"/>
        <v>3998.8683590193864</v>
      </c>
      <c r="J1629">
        <f>IFERROR(VLOOKUP(F1629,'LEAID Match'!$A$2:$B$227,2,FALSE),"")</f>
        <v>0</v>
      </c>
      <c r="K1629">
        <f t="shared" si="52"/>
        <v>130</v>
      </c>
      <c r="L1629" cm="1">
        <f t="array" ref="L1629">_xlfn.IFS(B1629=2015,G1629/$P$13,B1629=2016,G1629/$P$14,B1629=2017,G1629/$P$15,B1629=2018,G1629/$P$16,B1629=2019,G1629/$P$17,B1629=2019,G1629/$P$18,B1629=2020,G1629/$P$18,B1629=2021,G1629/$P$19,B1629=2022,G1629/$P$20)</f>
        <v>4.1931601979171611E-5</v>
      </c>
    </row>
    <row r="1630" spans="1:12" x14ac:dyDescent="0.2">
      <c r="A1630">
        <v>0</v>
      </c>
      <c r="B1630" s="5">
        <v>2021</v>
      </c>
      <c r="C1630" t="s">
        <v>252</v>
      </c>
      <c r="D1630" t="s">
        <v>254</v>
      </c>
      <c r="E1630" t="s">
        <v>256</v>
      </c>
      <c r="F1630" s="5" t="s">
        <v>211</v>
      </c>
      <c r="G1630" s="7">
        <v>4010</v>
      </c>
      <c r="H1630" s="7" cm="1">
        <f t="array" ref="H1630">_xlfn.IFS(B1630=2015,L1630*$P$3,B1630=2016,L1630*$P$4,B1630=2017,L1630*$P$5,B1630=2018,L1630*$P$6,B1630=2019,L1630*$P$7,B1630=2020,L1630*$P$8,B1630=2021,L1630*$P$9,B1630=2022,L1630*$P$10)</f>
        <v>109.57041671918664</v>
      </c>
      <c r="I1630" s="7">
        <f t="shared" si="53"/>
        <v>4119.5704167191871</v>
      </c>
      <c r="J1630">
        <f>IFERROR(VLOOKUP(F1630,'LEAID Match'!$A$2:$B$227,2,FALSE),"")</f>
        <v>0</v>
      </c>
      <c r="K1630">
        <f t="shared" si="52"/>
        <v>130</v>
      </c>
      <c r="L1630" cm="1">
        <f t="array" ref="L1630">_xlfn.IFS(B1630=2015,G1630/$P$13,B1630=2016,G1630/$P$14,B1630=2017,G1630/$P$15,B1630=2018,G1630/$P$16,B1630=2019,G1630/$P$17,B1630=2019,G1630/$P$18,B1630=2020,G1630/$P$18,B1630=2021,G1630/$P$19,B1630=2022,G1630/$P$20)</f>
        <v>4.080834887120545E-5</v>
      </c>
    </row>
    <row r="1631" spans="1:12" x14ac:dyDescent="0.2">
      <c r="A1631">
        <v>0</v>
      </c>
      <c r="B1631">
        <v>2022</v>
      </c>
      <c r="C1631" t="s">
        <v>252</v>
      </c>
      <c r="D1631" t="s">
        <v>254</v>
      </c>
      <c r="E1631" t="s">
        <v>256</v>
      </c>
      <c r="F1631" s="5" t="s">
        <v>211</v>
      </c>
      <c r="G1631" s="7">
        <v>4110</v>
      </c>
      <c r="H1631" s="7" cm="1">
        <f t="array" ref="H1631">_xlfn.IFS(B1631=2015,L1631*$P$3,B1631=2016,L1631*$P$4,B1631=2017,L1631*$P$5,B1631=2018,L1631*$P$6,B1631=2019,L1631*$P$7,B1631=2020,L1631*$P$8,B1631=2021,L1631*$P$9,B1631=2022,L1631*$P$10)</f>
        <v>83.649033944965382</v>
      </c>
      <c r="I1631" s="7">
        <f t="shared" si="53"/>
        <v>4193.6490339449656</v>
      </c>
      <c r="J1631">
        <f>IFERROR(VLOOKUP(F1631,'LEAID Match'!$A$2:$B$227,2,FALSE),"")</f>
        <v>0</v>
      </c>
      <c r="K1631">
        <f t="shared" si="52"/>
        <v>130</v>
      </c>
      <c r="L1631" cm="1">
        <f t="array" ref="L1631">_xlfn.IFS(B1631=2015,G1631/$P$13,B1631=2016,G1631/$P$14,B1631=2017,G1631/$P$15,B1631=2018,G1631/$P$16,B1631=2019,G1631/$P$17,B1631=2019,G1631/$P$18,B1631=2020,G1631/$P$18,B1631=2021,G1631/$P$19,B1631=2022,G1631/$P$20)</f>
        <v>4.096426735796542E-5</v>
      </c>
    </row>
    <row r="1632" spans="1:12" x14ac:dyDescent="0.2">
      <c r="A1632">
        <v>3819260</v>
      </c>
      <c r="B1632">
        <v>2015</v>
      </c>
      <c r="C1632" t="s">
        <v>252</v>
      </c>
      <c r="D1632" t="s">
        <v>254</v>
      </c>
      <c r="E1632" t="s">
        <v>256</v>
      </c>
      <c r="F1632" s="5" t="s">
        <v>161</v>
      </c>
      <c r="G1632" s="7">
        <v>227034</v>
      </c>
      <c r="H1632" s="7" cm="1">
        <f t="array" ref="H1632">_xlfn.IFS(B1632=2015,L1632*$P$3,B1632=2016,L1632*$P$4,B1632=2017,L1632*$P$5,B1632=2018,L1632*$P$6,B1632=2019,L1632*$P$7,B1632=2020,L1632*$P$8,B1632=2021,L1632*$P$9,B1632=2022,L1632*$P$10)</f>
        <v>5132.8806803184307</v>
      </c>
      <c r="I1632" s="7">
        <f t="shared" si="53"/>
        <v>232166.88068031843</v>
      </c>
      <c r="J1632">
        <f>IFERROR(VLOOKUP(F1632,'LEAID Match'!$A$2:$B$227,2,FALSE),"")</f>
        <v>3819260</v>
      </c>
      <c r="K1632">
        <f t="shared" si="52"/>
        <v>8</v>
      </c>
      <c r="L1632" cm="1">
        <f t="array" ref="L1632">_xlfn.IFS(B1632=2015,G1632/$P$13,B1632=2016,G1632/$P$14,B1632=2017,G1632/$P$15,B1632=2018,G1632/$P$16,B1632=2019,G1632/$P$17,B1632=2019,G1632/$P$18,B1632=2020,G1632/$P$18,B1632=2021,G1632/$P$19,B1632=2022,G1632/$P$20)</f>
        <v>2.8950257644209986E-3</v>
      </c>
    </row>
    <row r="1633" spans="1:12" x14ac:dyDescent="0.2">
      <c r="A1633">
        <v>3819260</v>
      </c>
      <c r="B1633">
        <v>2016</v>
      </c>
      <c r="C1633" t="s">
        <v>252</v>
      </c>
      <c r="D1633" t="s">
        <v>254</v>
      </c>
      <c r="E1633" t="s">
        <v>256</v>
      </c>
      <c r="F1633" s="5" t="s">
        <v>161</v>
      </c>
      <c r="G1633" s="7">
        <v>219566</v>
      </c>
      <c r="H1633" s="7" cm="1">
        <f t="array" ref="H1633">_xlfn.IFS(B1633=2015,L1633*$P$3,B1633=2016,L1633*$P$4,B1633=2017,L1633*$P$5,B1633=2018,L1633*$P$6,B1633=2019,L1633*$P$7,B1633=2020,L1633*$P$8,B1633=2021,L1633*$P$9,B1633=2022,L1633*$P$10)</f>
        <v>7455.8144912023172</v>
      </c>
      <c r="I1633" s="7">
        <f t="shared" si="53"/>
        <v>227021.81449120233</v>
      </c>
      <c r="J1633">
        <f>IFERROR(VLOOKUP(F1633,'LEAID Match'!$A$2:$B$227,2,FALSE),"")</f>
        <v>3819260</v>
      </c>
      <c r="K1633">
        <f t="shared" si="52"/>
        <v>8</v>
      </c>
      <c r="L1633" cm="1">
        <f t="array" ref="L1633">_xlfn.IFS(B1633=2015,G1633/$P$13,B1633=2016,G1633/$P$14,B1633=2017,G1633/$P$15,B1633=2018,G1633/$P$16,B1633=2019,G1633/$P$17,B1633=2019,G1633/$P$18,B1633=2020,G1633/$P$18,B1633=2021,G1633/$P$19,B1633=2022,G1633/$P$20)</f>
        <v>2.6504850661935005E-3</v>
      </c>
    </row>
    <row r="1634" spans="1:12" x14ac:dyDescent="0.2">
      <c r="A1634">
        <v>3819260</v>
      </c>
      <c r="B1634">
        <v>2017</v>
      </c>
      <c r="C1634" t="s">
        <v>252</v>
      </c>
      <c r="D1634" t="s">
        <v>254</v>
      </c>
      <c r="E1634" t="s">
        <v>256</v>
      </c>
      <c r="F1634" s="5" t="s">
        <v>161</v>
      </c>
      <c r="G1634" s="7">
        <v>199513</v>
      </c>
      <c r="H1634" s="7" cm="1">
        <f t="array" ref="H1634">_xlfn.IFS(B1634=2015,L1634*$P$3,B1634=2016,L1634*$P$4,B1634=2017,L1634*$P$5,B1634=2018,L1634*$P$6,B1634=2019,L1634*$P$7,B1634=2020,L1634*$P$8,B1634=2021,L1634*$P$9,B1634=2022,L1634*$P$10)</f>
        <v>6465.8274302322579</v>
      </c>
      <c r="I1634" s="7">
        <f t="shared" si="53"/>
        <v>205978.82743023225</v>
      </c>
      <c r="J1634">
        <f>IFERROR(VLOOKUP(F1634,'LEAID Match'!$A$2:$B$227,2,FALSE),"")</f>
        <v>3819260</v>
      </c>
      <c r="K1634">
        <f t="shared" si="52"/>
        <v>8</v>
      </c>
      <c r="L1634" cm="1">
        <f t="array" ref="L1634">_xlfn.IFS(B1634=2015,G1634/$P$13,B1634=2016,G1634/$P$14,B1634=2017,G1634/$P$15,B1634=2018,G1634/$P$16,B1634=2019,G1634/$P$17,B1634=2019,G1634/$P$18,B1634=2020,G1634/$P$18,B1634=2021,G1634/$P$19,B1634=2022,G1634/$P$20)</f>
        <v>2.3183318143536243E-3</v>
      </c>
    </row>
    <row r="1635" spans="1:12" x14ac:dyDescent="0.2">
      <c r="A1635">
        <v>3819260</v>
      </c>
      <c r="B1635" s="5">
        <v>2018</v>
      </c>
      <c r="C1635" t="s">
        <v>252</v>
      </c>
      <c r="D1635" t="s">
        <v>254</v>
      </c>
      <c r="E1635" t="s">
        <v>256</v>
      </c>
      <c r="F1635" s="5" t="s">
        <v>161</v>
      </c>
      <c r="G1635" s="7">
        <v>196950</v>
      </c>
      <c r="H1635" s="7" cm="1">
        <f t="array" ref="H1635">_xlfn.IFS(B1635=2015,L1635*$P$3,B1635=2016,L1635*$P$4,B1635=2017,L1635*$P$5,B1635=2018,L1635*$P$6,B1635=2019,L1635*$P$7,B1635=2020,L1635*$P$8,B1635=2021,L1635*$P$9,B1635=2022,L1635*$P$10)</f>
        <v>5396.62469431313</v>
      </c>
      <c r="I1635" s="7">
        <f t="shared" si="53"/>
        <v>202346.62469431313</v>
      </c>
      <c r="J1635">
        <f>IFERROR(VLOOKUP(F1635,'LEAID Match'!$A$2:$B$227,2,FALSE),"")</f>
        <v>3819260</v>
      </c>
      <c r="K1635">
        <f t="shared" si="52"/>
        <v>8</v>
      </c>
      <c r="L1635" cm="1">
        <f t="array" ref="L1635">_xlfn.IFS(B1635=2015,G1635/$P$13,B1635=2016,G1635/$P$14,B1635=2017,G1635/$P$15,B1635=2018,G1635/$P$16,B1635=2019,G1635/$P$17,B1635=2019,G1635/$P$18,B1635=2020,G1635/$P$18,B1635=2021,G1635/$P$19,B1635=2022,G1635/$P$20)</f>
        <v>2.2722630291844756E-3</v>
      </c>
    </row>
    <row r="1636" spans="1:12" x14ac:dyDescent="0.2">
      <c r="A1636">
        <v>3819260</v>
      </c>
      <c r="B1636">
        <v>2019</v>
      </c>
      <c r="C1636" t="s">
        <v>252</v>
      </c>
      <c r="D1636" t="s">
        <v>254</v>
      </c>
      <c r="E1636" t="s">
        <v>256</v>
      </c>
      <c r="F1636" s="5" t="s">
        <v>161</v>
      </c>
      <c r="G1636" s="7">
        <v>206768</v>
      </c>
      <c r="H1636" s="7" cm="1">
        <f t="array" ref="H1636">_xlfn.IFS(B1636=2015,L1636*$P$3,B1636=2016,L1636*$P$4,B1636=2017,L1636*$P$5,B1636=2018,L1636*$P$6,B1636=2019,L1636*$P$7,B1636=2020,L1636*$P$8,B1636=2021,L1636*$P$9,B1636=2022,L1636*$P$10)</f>
        <v>4799.0490679846625</v>
      </c>
      <c r="I1636" s="7">
        <f t="shared" si="53"/>
        <v>211567.04906798466</v>
      </c>
      <c r="J1636">
        <f>IFERROR(VLOOKUP(F1636,'LEAID Match'!$A$2:$B$227,2,FALSE),"")</f>
        <v>3819260</v>
      </c>
      <c r="K1636">
        <f t="shared" si="52"/>
        <v>8</v>
      </c>
      <c r="L1636" cm="1">
        <f t="array" ref="L1636">_xlfn.IFS(B1636=2015,G1636/$P$13,B1636=2016,G1636/$P$14,B1636=2017,G1636/$P$15,B1636=2018,G1636/$P$16,B1636=2019,G1636/$P$17,B1636=2019,G1636/$P$18,B1636=2020,G1636/$P$18,B1636=2021,G1636/$P$19,B1636=2022,G1636/$P$20)</f>
        <v>2.3116806685860611E-3</v>
      </c>
    </row>
    <row r="1637" spans="1:12" x14ac:dyDescent="0.2">
      <c r="A1637">
        <v>3819260</v>
      </c>
      <c r="B1637">
        <v>2020</v>
      </c>
      <c r="C1637" t="s">
        <v>252</v>
      </c>
      <c r="D1637" t="s">
        <v>254</v>
      </c>
      <c r="E1637" t="s">
        <v>256</v>
      </c>
      <c r="F1637" s="5" t="s">
        <v>161</v>
      </c>
      <c r="G1637" s="7">
        <v>235564</v>
      </c>
      <c r="H1637" s="7" cm="1">
        <f t="array" ref="H1637">_xlfn.IFS(B1637=2015,L1637*$P$3,B1637=2016,L1637*$P$4,B1637=2017,L1637*$P$5,B1637=2018,L1637*$P$6,B1637=2019,L1637*$P$7,B1637=2020,L1637*$P$8,B1637=2021,L1637*$P$9,B1637=2022,L1637*$P$10)</f>
        <v>5909.8339205441616</v>
      </c>
      <c r="I1637" s="7">
        <f t="shared" si="53"/>
        <v>241473.83392054416</v>
      </c>
      <c r="J1637">
        <f>IFERROR(VLOOKUP(F1637,'LEAID Match'!$A$2:$B$227,2,FALSE),"")</f>
        <v>3819260</v>
      </c>
      <c r="K1637">
        <f t="shared" si="52"/>
        <v>8</v>
      </c>
      <c r="L1637" cm="1">
        <f t="array" ref="L1637">_xlfn.IFS(B1637=2015,G1637/$P$13,B1637=2016,G1637/$P$14,B1637=2017,G1637/$P$15,B1637=2018,G1637/$P$16,B1637=2019,G1637/$P$17,B1637=2019,G1637/$P$18,B1637=2020,G1637/$P$18,B1637=2021,G1637/$P$19,B1637=2022,G1637/$P$20)</f>
        <v>2.532062519513351E-3</v>
      </c>
    </row>
    <row r="1638" spans="1:12" x14ac:dyDescent="0.2">
      <c r="A1638">
        <v>3819260</v>
      </c>
      <c r="B1638" s="5">
        <v>2021</v>
      </c>
      <c r="C1638" t="s">
        <v>252</v>
      </c>
      <c r="D1638" t="s">
        <v>254</v>
      </c>
      <c r="E1638" t="s">
        <v>256</v>
      </c>
      <c r="F1638" s="5" t="s">
        <v>161</v>
      </c>
      <c r="G1638" s="7">
        <v>236118</v>
      </c>
      <c r="H1638" s="7" cm="1">
        <f t="array" ref="H1638">_xlfn.IFS(B1638=2015,L1638*$P$3,B1638=2016,L1638*$P$4,B1638=2017,L1638*$P$5,B1638=2018,L1638*$P$6,B1638=2019,L1638*$P$7,B1638=2020,L1638*$P$8,B1638=2021,L1638*$P$9,B1638=2022,L1638*$P$10)</f>
        <v>6451.7575199254143</v>
      </c>
      <c r="I1638" s="7">
        <f t="shared" si="53"/>
        <v>242569.75751992542</v>
      </c>
      <c r="J1638">
        <f>IFERROR(VLOOKUP(F1638,'LEAID Match'!$A$2:$B$227,2,FALSE),"")</f>
        <v>3819260</v>
      </c>
      <c r="K1638">
        <f t="shared" si="52"/>
        <v>8</v>
      </c>
      <c r="L1638" cm="1">
        <f t="array" ref="L1638">_xlfn.IFS(B1638=2015,G1638/$P$13,B1638=2016,G1638/$P$14,B1638=2017,G1638/$P$15,B1638=2018,G1638/$P$16,B1638=2019,G1638/$P$17,B1638=2019,G1638/$P$18,B1638=2020,G1638/$P$18,B1638=2021,G1638/$P$19,B1638=2022,G1638/$P$20)</f>
        <v>2.402889206676132E-3</v>
      </c>
    </row>
    <row r="1639" spans="1:12" x14ac:dyDescent="0.2">
      <c r="A1639">
        <v>3819260</v>
      </c>
      <c r="B1639">
        <v>2022</v>
      </c>
      <c r="C1639" t="s">
        <v>252</v>
      </c>
      <c r="D1639" t="s">
        <v>254</v>
      </c>
      <c r="E1639" t="s">
        <v>256</v>
      </c>
      <c r="F1639" s="5" t="s">
        <v>161</v>
      </c>
      <c r="G1639" s="7">
        <v>242037</v>
      </c>
      <c r="H1639" s="7" cm="1">
        <f t="array" ref="H1639">_xlfn.IFS(B1639=2015,L1639*$P$3,B1639=2016,L1639*$P$4,B1639=2017,L1639*$P$5,B1639=2018,L1639*$P$6,B1639=2019,L1639*$P$7,B1639=2020,L1639*$P$8,B1639=2021,L1639*$P$9,B1639=2022,L1639*$P$10)</f>
        <v>4926.0732917123096</v>
      </c>
      <c r="I1639" s="7">
        <f t="shared" si="53"/>
        <v>246963.07329171232</v>
      </c>
      <c r="J1639">
        <f>IFERROR(VLOOKUP(F1639,'LEAID Match'!$A$2:$B$227,2,FALSE),"")</f>
        <v>3819260</v>
      </c>
      <c r="K1639">
        <f t="shared" si="52"/>
        <v>8</v>
      </c>
      <c r="L1639" cm="1">
        <f t="array" ref="L1639">_xlfn.IFS(B1639=2015,G1639/$P$13,B1639=2016,G1639/$P$14,B1639=2017,G1639/$P$15,B1639=2018,G1639/$P$16,B1639=2019,G1639/$P$17,B1639=2019,G1639/$P$18,B1639=2020,G1639/$P$18,B1639=2021,G1639/$P$19,B1639=2022,G1639/$P$20)</f>
        <v>2.4123767344330603E-3</v>
      </c>
    </row>
    <row r="1640" spans="1:12" x14ac:dyDescent="0.2">
      <c r="A1640">
        <v>3819290</v>
      </c>
      <c r="B1640">
        <v>2015</v>
      </c>
      <c r="C1640" t="s">
        <v>252</v>
      </c>
      <c r="D1640" t="s">
        <v>254</v>
      </c>
      <c r="E1640" t="s">
        <v>256</v>
      </c>
      <c r="F1640" s="5" t="s">
        <v>162</v>
      </c>
      <c r="G1640" s="7">
        <v>191721</v>
      </c>
      <c r="H1640" s="7" cm="1">
        <f t="array" ref="H1640">_xlfn.IFS(B1640=2015,L1640*$P$3,B1640=2016,L1640*$P$4,B1640=2017,L1640*$P$5,B1640=2018,L1640*$P$6,B1640=2019,L1640*$P$7,B1640=2020,L1640*$P$8,B1640=2021,L1640*$P$9,B1640=2022,L1640*$P$10)</f>
        <v>4334.5094431289135</v>
      </c>
      <c r="I1640" s="7">
        <f t="shared" si="53"/>
        <v>196055.50944312892</v>
      </c>
      <c r="J1640">
        <f>IFERROR(VLOOKUP(F1640,'LEAID Match'!$A$2:$B$227,2,FALSE),"")</f>
        <v>3819290</v>
      </c>
      <c r="K1640">
        <f t="shared" si="52"/>
        <v>8</v>
      </c>
      <c r="L1640" cm="1">
        <f t="array" ref="L1640">_xlfn.IFS(B1640=2015,G1640/$P$13,B1640=2016,G1640/$P$14,B1640=2017,G1640/$P$15,B1640=2018,G1640/$P$16,B1640=2019,G1640/$P$17,B1640=2019,G1640/$P$18,B1640=2020,G1640/$P$18,B1640=2021,G1640/$P$19,B1640=2022,G1640/$P$20)</f>
        <v>2.4447317784145029E-3</v>
      </c>
    </row>
    <row r="1641" spans="1:12" x14ac:dyDescent="0.2">
      <c r="A1641">
        <v>3819290</v>
      </c>
      <c r="B1641">
        <v>2016</v>
      </c>
      <c r="C1641" t="s">
        <v>252</v>
      </c>
      <c r="D1641" t="s">
        <v>254</v>
      </c>
      <c r="E1641" t="s">
        <v>256</v>
      </c>
      <c r="F1641" s="5" t="s">
        <v>162</v>
      </c>
      <c r="G1641" s="7">
        <v>211182</v>
      </c>
      <c r="H1641" s="7" cm="1">
        <f t="array" ref="H1641">_xlfn.IFS(B1641=2015,L1641*$P$3,B1641=2016,L1641*$P$4,B1641=2017,L1641*$P$5,B1641=2018,L1641*$P$6,B1641=2019,L1641*$P$7,B1641=2020,L1641*$P$8,B1641=2021,L1641*$P$9,B1641=2022,L1641*$P$10)</f>
        <v>7171.1185515111065</v>
      </c>
      <c r="I1641" s="7">
        <f t="shared" si="53"/>
        <v>218353.11855151111</v>
      </c>
      <c r="J1641">
        <f>IFERROR(VLOOKUP(F1641,'LEAID Match'!$A$2:$B$227,2,FALSE),"")</f>
        <v>3819290</v>
      </c>
      <c r="K1641">
        <f t="shared" si="52"/>
        <v>8</v>
      </c>
      <c r="L1641" cm="1">
        <f t="array" ref="L1641">_xlfn.IFS(B1641=2015,G1641/$P$13,B1641=2016,G1641/$P$14,B1641=2017,G1641/$P$15,B1641=2018,G1641/$P$16,B1641=2019,G1641/$P$17,B1641=2019,G1641/$P$18,B1641=2020,G1641/$P$18,B1641=2021,G1641/$P$19,B1641=2022,G1641/$P$20)</f>
        <v>2.5492778355887332E-3</v>
      </c>
    </row>
    <row r="1642" spans="1:12" x14ac:dyDescent="0.2">
      <c r="A1642">
        <v>3819290</v>
      </c>
      <c r="B1642">
        <v>2017</v>
      </c>
      <c r="C1642" t="s">
        <v>252</v>
      </c>
      <c r="D1642" t="s">
        <v>254</v>
      </c>
      <c r="E1642" t="s">
        <v>256</v>
      </c>
      <c r="F1642" s="5" t="s">
        <v>162</v>
      </c>
      <c r="G1642" s="7">
        <v>210367</v>
      </c>
      <c r="H1642" s="7" cm="1">
        <f t="array" ref="H1642">_xlfn.IFS(B1642=2015,L1642*$P$3,B1642=2016,L1642*$P$4,B1642=2017,L1642*$P$5,B1642=2018,L1642*$P$6,B1642=2019,L1642*$P$7,B1642=2020,L1642*$P$8,B1642=2021,L1642*$P$9,B1642=2022,L1642*$P$10)</f>
        <v>6817.5844131243048</v>
      </c>
      <c r="I1642" s="7">
        <f t="shared" si="53"/>
        <v>217184.58441312431</v>
      </c>
      <c r="J1642">
        <f>IFERROR(VLOOKUP(F1642,'LEAID Match'!$A$2:$B$227,2,FALSE),"")</f>
        <v>3819290</v>
      </c>
      <c r="K1642">
        <f t="shared" si="52"/>
        <v>8</v>
      </c>
      <c r="L1642" cm="1">
        <f t="array" ref="L1642">_xlfn.IFS(B1642=2015,G1642/$P$13,B1642=2016,G1642/$P$14,B1642=2017,G1642/$P$15,B1642=2018,G1642/$P$16,B1642=2019,G1642/$P$17,B1642=2019,G1642/$P$18,B1642=2020,G1642/$P$18,B1642=2021,G1642/$P$19,B1642=2022,G1642/$P$20)</f>
        <v>2.4444547913676246E-3</v>
      </c>
    </row>
    <row r="1643" spans="1:12" x14ac:dyDescent="0.2">
      <c r="A1643">
        <v>3819290</v>
      </c>
      <c r="B1643" s="5">
        <v>2018</v>
      </c>
      <c r="C1643" t="s">
        <v>252</v>
      </c>
      <c r="D1643" t="s">
        <v>254</v>
      </c>
      <c r="E1643" t="s">
        <v>256</v>
      </c>
      <c r="F1643" s="5" t="s">
        <v>162</v>
      </c>
      <c r="G1643" s="7">
        <v>224161</v>
      </c>
      <c r="H1643" s="7" cm="1">
        <f t="array" ref="H1643">_xlfn.IFS(B1643=2015,L1643*$P$3,B1643=2016,L1643*$P$4,B1643=2017,L1643*$P$5,B1643=2018,L1643*$P$6,B1643=2019,L1643*$P$7,B1643=2020,L1643*$P$8,B1643=2021,L1643*$P$9,B1643=2022,L1643*$P$10)</f>
        <v>6142.2329936629876</v>
      </c>
      <c r="I1643" s="7">
        <f t="shared" si="53"/>
        <v>230303.232993663</v>
      </c>
      <c r="J1643">
        <f>IFERROR(VLOOKUP(F1643,'LEAID Match'!$A$2:$B$227,2,FALSE),"")</f>
        <v>3819290</v>
      </c>
      <c r="K1643">
        <f t="shared" si="52"/>
        <v>8</v>
      </c>
      <c r="L1643" cm="1">
        <f t="array" ref="L1643">_xlfn.IFS(B1643=2015,G1643/$P$13,B1643=2016,G1643/$P$14,B1643=2017,G1643/$P$15,B1643=2018,G1643/$P$16,B1643=2019,G1643/$P$17,B1643=2019,G1643/$P$18,B1643=2020,G1643/$P$18,B1643=2021,G1643/$P$19,B1643=2022,G1643/$P$20)</f>
        <v>2.5862033657528369E-3</v>
      </c>
    </row>
    <row r="1644" spans="1:12" x14ac:dyDescent="0.2">
      <c r="A1644">
        <v>3819290</v>
      </c>
      <c r="B1644">
        <v>2019</v>
      </c>
      <c r="C1644" t="s">
        <v>252</v>
      </c>
      <c r="D1644" t="s">
        <v>254</v>
      </c>
      <c r="E1644" t="s">
        <v>256</v>
      </c>
      <c r="F1644" s="5" t="s">
        <v>162</v>
      </c>
      <c r="G1644" s="7">
        <v>233627</v>
      </c>
      <c r="H1644" s="7" cm="1">
        <f t="array" ref="H1644">_xlfn.IFS(B1644=2015,L1644*$P$3,B1644=2016,L1644*$P$4,B1644=2017,L1644*$P$5,B1644=2018,L1644*$P$6,B1644=2019,L1644*$P$7,B1644=2020,L1644*$P$8,B1644=2021,L1644*$P$9,B1644=2022,L1644*$P$10)</f>
        <v>5422.4417540724517</v>
      </c>
      <c r="I1644" s="7">
        <f t="shared" si="53"/>
        <v>239049.44175407244</v>
      </c>
      <c r="J1644">
        <f>IFERROR(VLOOKUP(F1644,'LEAID Match'!$A$2:$B$227,2,FALSE),"")</f>
        <v>3819290</v>
      </c>
      <c r="K1644">
        <f t="shared" si="52"/>
        <v>8</v>
      </c>
      <c r="L1644" cm="1">
        <f t="array" ref="L1644">_xlfn.IFS(B1644=2015,G1644/$P$13,B1644=2016,G1644/$P$14,B1644=2017,G1644/$P$15,B1644=2018,G1644/$P$16,B1644=2019,G1644/$P$17,B1644=2019,G1644/$P$18,B1644=2020,G1644/$P$18,B1644=2021,G1644/$P$19,B1644=2022,G1644/$P$20)</f>
        <v>2.6119661628480019E-3</v>
      </c>
    </row>
    <row r="1645" spans="1:12" x14ac:dyDescent="0.2">
      <c r="A1645">
        <v>3819290</v>
      </c>
      <c r="B1645">
        <v>2020</v>
      </c>
      <c r="C1645" t="s">
        <v>252</v>
      </c>
      <c r="D1645" t="s">
        <v>254</v>
      </c>
      <c r="E1645" t="s">
        <v>256</v>
      </c>
      <c r="F1645" s="5" t="s">
        <v>162</v>
      </c>
      <c r="G1645" s="7">
        <v>246185</v>
      </c>
      <c r="H1645" s="7" cm="1">
        <f t="array" ref="H1645">_xlfn.IFS(B1645=2015,L1645*$P$3,B1645=2016,L1645*$P$4,B1645=2017,L1645*$P$5,B1645=2018,L1645*$P$6,B1645=2019,L1645*$P$7,B1645=2020,L1645*$P$8,B1645=2021,L1645*$P$9,B1645=2022,L1645*$P$10)</f>
        <v>6176.293761904044</v>
      </c>
      <c r="I1645" s="7">
        <f t="shared" si="53"/>
        <v>252361.29376190403</v>
      </c>
      <c r="J1645">
        <f>IFERROR(VLOOKUP(F1645,'LEAID Match'!$A$2:$B$227,2,FALSE),"")</f>
        <v>3819290</v>
      </c>
      <c r="K1645">
        <f t="shared" si="52"/>
        <v>8</v>
      </c>
      <c r="L1645" cm="1">
        <f t="array" ref="L1645">_xlfn.IFS(B1645=2015,G1645/$P$13,B1645=2016,G1645/$P$14,B1645=2017,G1645/$P$15,B1645=2018,G1645/$P$16,B1645=2019,G1645/$P$17,B1645=2019,G1645/$P$18,B1645=2020,G1645/$P$18,B1645=2021,G1645/$P$19,B1645=2022,G1645/$P$20)</f>
        <v>2.6462269759657429E-3</v>
      </c>
    </row>
    <row r="1646" spans="1:12" x14ac:dyDescent="0.2">
      <c r="A1646">
        <v>3819290</v>
      </c>
      <c r="B1646" s="5">
        <v>2021</v>
      </c>
      <c r="C1646" t="s">
        <v>252</v>
      </c>
      <c r="D1646" t="s">
        <v>254</v>
      </c>
      <c r="E1646" t="s">
        <v>256</v>
      </c>
      <c r="F1646" s="5" t="s">
        <v>162</v>
      </c>
      <c r="G1646" s="7">
        <v>264942</v>
      </c>
      <c r="H1646" s="7" cm="1">
        <f t="array" ref="H1646">_xlfn.IFS(B1646=2015,L1646*$P$3,B1646=2016,L1646*$P$4,B1646=2017,L1646*$P$5,B1646=2018,L1646*$P$6,B1646=2019,L1646*$P$7,B1646=2020,L1646*$P$8,B1646=2021,L1646*$P$9,B1646=2022,L1646*$P$10)</f>
        <v>7239.3529542181413</v>
      </c>
      <c r="I1646" s="7">
        <f t="shared" si="53"/>
        <v>272181.35295421816</v>
      </c>
      <c r="J1646">
        <f>IFERROR(VLOOKUP(F1646,'LEAID Match'!$A$2:$B$227,2,FALSE),"")</f>
        <v>3819290</v>
      </c>
      <c r="K1646">
        <f t="shared" si="52"/>
        <v>8</v>
      </c>
      <c r="L1646" cm="1">
        <f t="array" ref="L1646">_xlfn.IFS(B1646=2015,G1646/$P$13,B1646=2016,G1646/$P$14,B1646=2017,G1646/$P$15,B1646=2018,G1646/$P$16,B1646=2019,G1646/$P$17,B1646=2019,G1646/$P$18,B1646=2020,G1646/$P$18,B1646=2021,G1646/$P$19,B1646=2022,G1646/$P$20)</f>
        <v>2.6962208395598292E-3</v>
      </c>
    </row>
    <row r="1647" spans="1:12" x14ac:dyDescent="0.2">
      <c r="A1647">
        <v>3819290</v>
      </c>
      <c r="B1647">
        <v>2022</v>
      </c>
      <c r="C1647" t="s">
        <v>252</v>
      </c>
      <c r="D1647" t="s">
        <v>254</v>
      </c>
      <c r="E1647" t="s">
        <v>256</v>
      </c>
      <c r="F1647" s="5" t="s">
        <v>162</v>
      </c>
      <c r="G1647" s="7">
        <v>270421</v>
      </c>
      <c r="H1647" s="7" cm="1">
        <f t="array" ref="H1647">_xlfn.IFS(B1647=2015,L1647*$P$3,B1647=2016,L1647*$P$4,B1647=2017,L1647*$P$5,B1647=2018,L1647*$P$6,B1647=2019,L1647*$P$7,B1647=2020,L1647*$P$8,B1647=2021,L1647*$P$9,B1647=2022,L1647*$P$10)</f>
        <v>5503.7604400076607</v>
      </c>
      <c r="I1647" s="7">
        <f t="shared" si="53"/>
        <v>275924.76044000767</v>
      </c>
      <c r="J1647">
        <f>IFERROR(VLOOKUP(F1647,'LEAID Match'!$A$2:$B$227,2,FALSE),"")</f>
        <v>3819290</v>
      </c>
      <c r="K1647">
        <f t="shared" si="52"/>
        <v>8</v>
      </c>
      <c r="L1647" cm="1">
        <f t="array" ref="L1647">_xlfn.IFS(B1647=2015,G1647/$P$13,B1647=2016,G1647/$P$14,B1647=2017,G1647/$P$15,B1647=2018,G1647/$P$16,B1647=2019,G1647/$P$17,B1647=2019,G1647/$P$18,B1647=2020,G1647/$P$18,B1647=2021,G1647/$P$19,B1647=2022,G1647/$P$20)</f>
        <v>2.6952793535786781E-3</v>
      </c>
    </row>
    <row r="1648" spans="1:12" x14ac:dyDescent="0.2">
      <c r="A1648">
        <v>3819410</v>
      </c>
      <c r="B1648">
        <v>2015</v>
      </c>
      <c r="C1648" t="s">
        <v>252</v>
      </c>
      <c r="D1648" t="s">
        <v>254</v>
      </c>
      <c r="E1648" t="s">
        <v>256</v>
      </c>
      <c r="F1648" s="5" t="s">
        <v>163</v>
      </c>
      <c r="G1648" s="7">
        <v>6136591</v>
      </c>
      <c r="H1648" s="7" cm="1">
        <f t="array" ref="H1648">_xlfn.IFS(B1648=2015,L1648*$P$3,B1648=2016,L1648*$P$4,B1648=2017,L1648*$P$5,B1648=2018,L1648*$P$6,B1648=2019,L1648*$P$7,B1648=2020,L1648*$P$8,B1648=2021,L1648*$P$9,B1648=2022,L1648*$P$10)</f>
        <v>138738.64437448117</v>
      </c>
      <c r="I1648" s="7">
        <f t="shared" si="53"/>
        <v>6275329.6443744814</v>
      </c>
      <c r="J1648">
        <f>IFERROR(VLOOKUP(F1648,'LEAID Match'!$A$2:$B$227,2,FALSE),"")</f>
        <v>3819410</v>
      </c>
      <c r="K1648">
        <f t="shared" si="52"/>
        <v>8</v>
      </c>
      <c r="L1648" cm="1">
        <f t="array" ref="L1648">_xlfn.IFS(B1648=2015,G1648/$P$13,B1648=2016,G1648/$P$14,B1648=2017,G1648/$P$15,B1648=2018,G1648/$P$16,B1648=2019,G1648/$P$17,B1648=2019,G1648/$P$18,B1648=2020,G1648/$P$18,B1648=2021,G1648/$P$19,B1648=2022,G1648/$P$20)</f>
        <v>7.8250786449227963E-2</v>
      </c>
    </row>
    <row r="1649" spans="1:12" x14ac:dyDescent="0.2">
      <c r="A1649">
        <v>3819410</v>
      </c>
      <c r="B1649">
        <v>2016</v>
      </c>
      <c r="C1649" t="s">
        <v>252</v>
      </c>
      <c r="D1649" t="s">
        <v>254</v>
      </c>
      <c r="E1649" t="s">
        <v>256</v>
      </c>
      <c r="F1649" s="5" t="s">
        <v>163</v>
      </c>
      <c r="G1649" s="7">
        <v>6828144</v>
      </c>
      <c r="H1649" s="7" cm="1">
        <f t="array" ref="H1649">_xlfn.IFS(B1649=2015,L1649*$P$3,B1649=2016,L1649*$P$4,B1649=2017,L1649*$P$5,B1649=2018,L1649*$P$6,B1649=2019,L1649*$P$7,B1649=2020,L1649*$P$8,B1649=2021,L1649*$P$9,B1649=2022,L1649*$P$10)</f>
        <v>231863.65367687235</v>
      </c>
      <c r="I1649" s="7">
        <f t="shared" si="53"/>
        <v>7060007.6536768721</v>
      </c>
      <c r="J1649">
        <f>IFERROR(VLOOKUP(F1649,'LEAID Match'!$A$2:$B$227,2,FALSE),"")</f>
        <v>3819410</v>
      </c>
      <c r="K1649">
        <f t="shared" si="52"/>
        <v>8</v>
      </c>
      <c r="L1649" cm="1">
        <f t="array" ref="L1649">_xlfn.IFS(B1649=2015,G1649/$P$13,B1649=2016,G1649/$P$14,B1649=2017,G1649/$P$15,B1649=2018,G1649/$P$16,B1649=2019,G1649/$P$17,B1649=2019,G1649/$P$18,B1649=2020,G1649/$P$18,B1649=2021,G1649/$P$19,B1649=2022,G1649/$P$20)</f>
        <v>8.242575672835846E-2</v>
      </c>
    </row>
    <row r="1650" spans="1:12" x14ac:dyDescent="0.2">
      <c r="A1650">
        <v>3819410</v>
      </c>
      <c r="B1650">
        <v>2017</v>
      </c>
      <c r="C1650" t="s">
        <v>252</v>
      </c>
      <c r="D1650" t="s">
        <v>254</v>
      </c>
      <c r="E1650" t="s">
        <v>256</v>
      </c>
      <c r="F1650" s="5" t="s">
        <v>163</v>
      </c>
      <c r="G1650" s="7">
        <v>7487341</v>
      </c>
      <c r="H1650" s="7" cm="1">
        <f t="array" ref="H1650">_xlfn.IFS(B1650=2015,L1650*$P$3,B1650=2016,L1650*$P$4,B1650=2017,L1650*$P$5,B1650=2018,L1650*$P$6,B1650=2019,L1650*$P$7,B1650=2020,L1650*$P$8,B1650=2021,L1650*$P$9,B1650=2022,L1650*$P$10)</f>
        <v>242650.12714611393</v>
      </c>
      <c r="I1650" s="7">
        <f t="shared" si="53"/>
        <v>7729991.1271461137</v>
      </c>
      <c r="J1650">
        <f>IFERROR(VLOOKUP(F1650,'LEAID Match'!$A$2:$B$227,2,FALSE),"")</f>
        <v>3819410</v>
      </c>
      <c r="K1650">
        <f t="shared" si="52"/>
        <v>8</v>
      </c>
      <c r="L1650" cm="1">
        <f t="array" ref="L1650">_xlfn.IFS(B1650=2015,G1650/$P$13,B1650=2016,G1650/$P$14,B1650=2017,G1650/$P$15,B1650=2018,G1650/$P$16,B1650=2019,G1650/$P$17,B1650=2019,G1650/$P$18,B1650=2020,G1650/$P$18,B1650=2021,G1650/$P$19,B1650=2022,G1650/$P$20)</f>
        <v>8.7002555448588717E-2</v>
      </c>
    </row>
    <row r="1651" spans="1:12" x14ac:dyDescent="0.2">
      <c r="A1651">
        <v>3819410</v>
      </c>
      <c r="B1651" s="5">
        <v>2018</v>
      </c>
      <c r="C1651" t="s">
        <v>252</v>
      </c>
      <c r="D1651" t="s">
        <v>254</v>
      </c>
      <c r="E1651" t="s">
        <v>256</v>
      </c>
      <c r="F1651" s="5" t="s">
        <v>163</v>
      </c>
      <c r="G1651" s="7">
        <v>7718845</v>
      </c>
      <c r="H1651" s="7" cm="1">
        <f t="array" ref="H1651">_xlfn.IFS(B1651=2015,L1651*$P$3,B1651=2016,L1651*$P$4,B1651=2017,L1651*$P$5,B1651=2018,L1651*$P$6,B1651=2019,L1651*$P$7,B1651=2020,L1651*$P$8,B1651=2021,L1651*$P$9,B1651=2022,L1651*$P$10)</f>
        <v>211503.98344034236</v>
      </c>
      <c r="I1651" s="7">
        <f t="shared" si="53"/>
        <v>7930348.9834403424</v>
      </c>
      <c r="J1651">
        <f>IFERROR(VLOOKUP(F1651,'LEAID Match'!$A$2:$B$227,2,FALSE),"")</f>
        <v>3819410</v>
      </c>
      <c r="K1651">
        <f t="shared" si="52"/>
        <v>8</v>
      </c>
      <c r="L1651" cm="1">
        <f t="array" ref="L1651">_xlfn.IFS(B1651=2015,G1651/$P$13,B1651=2016,G1651/$P$14,B1651=2017,G1651/$P$15,B1651=2018,G1651/$P$16,B1651=2019,G1651/$P$17,B1651=2019,G1651/$P$18,B1651=2020,G1651/$P$18,B1651=2021,G1651/$P$19,B1651=2022,G1651/$P$20)</f>
        <v>8.9054308816986255E-2</v>
      </c>
    </row>
    <row r="1652" spans="1:12" x14ac:dyDescent="0.2">
      <c r="A1652">
        <v>3819410</v>
      </c>
      <c r="B1652">
        <v>2019</v>
      </c>
      <c r="C1652" t="s">
        <v>252</v>
      </c>
      <c r="D1652" t="s">
        <v>254</v>
      </c>
      <c r="E1652" t="s">
        <v>256</v>
      </c>
      <c r="F1652" s="5" t="s">
        <v>163</v>
      </c>
      <c r="G1652" s="7">
        <v>8222133</v>
      </c>
      <c r="H1652" s="7" cm="1">
        <f t="array" ref="H1652">_xlfn.IFS(B1652=2015,L1652*$P$3,B1652=2016,L1652*$P$4,B1652=2017,L1652*$P$5,B1652=2018,L1652*$P$6,B1652=2019,L1652*$P$7,B1652=2020,L1652*$P$8,B1652=2021,L1652*$P$9,B1652=2022,L1652*$P$10)</f>
        <v>190834.26695860064</v>
      </c>
      <c r="I1652" s="7">
        <f t="shared" si="53"/>
        <v>8412967.2669585999</v>
      </c>
      <c r="J1652">
        <f>IFERROR(VLOOKUP(F1652,'LEAID Match'!$A$2:$B$227,2,FALSE),"")</f>
        <v>3819410</v>
      </c>
      <c r="K1652">
        <f t="shared" si="52"/>
        <v>8</v>
      </c>
      <c r="L1652" cm="1">
        <f t="array" ref="L1652">_xlfn.IFS(B1652=2015,G1652/$P$13,B1652=2016,G1652/$P$14,B1652=2017,G1652/$P$15,B1652=2018,G1652/$P$16,B1652=2019,G1652/$P$17,B1652=2019,G1652/$P$18,B1652=2020,G1652/$P$18,B1652=2021,G1652/$P$19,B1652=2022,G1652/$P$20)</f>
        <v>9.1924020692967554E-2</v>
      </c>
    </row>
    <row r="1653" spans="1:12" x14ac:dyDescent="0.2">
      <c r="A1653">
        <v>3819410</v>
      </c>
      <c r="B1653">
        <v>2020</v>
      </c>
      <c r="C1653" t="s">
        <v>252</v>
      </c>
      <c r="D1653" t="s">
        <v>254</v>
      </c>
      <c r="E1653" t="s">
        <v>256</v>
      </c>
      <c r="F1653" s="5" t="s">
        <v>163</v>
      </c>
      <c r="G1653" s="7">
        <v>8573766</v>
      </c>
      <c r="H1653" s="7" cm="1">
        <f t="array" ref="H1653">_xlfn.IFS(B1653=2015,L1653*$P$3,B1653=2016,L1653*$P$4,B1653=2017,L1653*$P$5,B1653=2018,L1653*$P$6,B1653=2019,L1653*$P$7,B1653=2020,L1653*$P$8,B1653=2021,L1653*$P$9,B1653=2022,L1653*$P$10)</f>
        <v>215098.79749710581</v>
      </c>
      <c r="I1653" s="7">
        <f t="shared" si="53"/>
        <v>8788864.7974971067</v>
      </c>
      <c r="J1653">
        <f>IFERROR(VLOOKUP(F1653,'LEAID Match'!$A$2:$B$227,2,FALSE),"")</f>
        <v>3819410</v>
      </c>
      <c r="K1653">
        <f t="shared" si="52"/>
        <v>8</v>
      </c>
      <c r="L1653" cm="1">
        <f t="array" ref="L1653">_xlfn.IFS(B1653=2015,G1653/$P$13,B1653=2016,G1653/$P$14,B1653=2017,G1653/$P$15,B1653=2018,G1653/$P$16,B1653=2019,G1653/$P$17,B1653=2019,G1653/$P$18,B1653=2020,G1653/$P$18,B1653=2021,G1653/$P$19,B1653=2022,G1653/$P$20)</f>
        <v>9.2158867822238991E-2</v>
      </c>
    </row>
    <row r="1654" spans="1:12" x14ac:dyDescent="0.2">
      <c r="A1654">
        <v>3819410</v>
      </c>
      <c r="B1654" s="5">
        <v>2021</v>
      </c>
      <c r="C1654" t="s">
        <v>252</v>
      </c>
      <c r="D1654" t="s">
        <v>254</v>
      </c>
      <c r="E1654" t="s">
        <v>256</v>
      </c>
      <c r="F1654" s="5" t="s">
        <v>163</v>
      </c>
      <c r="G1654" s="7">
        <v>9153085</v>
      </c>
      <c r="H1654" s="7" cm="1">
        <f t="array" ref="H1654">_xlfn.IFS(B1654=2015,L1654*$P$3,B1654=2016,L1654*$P$4,B1654=2017,L1654*$P$5,B1654=2018,L1654*$P$6,B1654=2019,L1654*$P$7,B1654=2020,L1654*$P$8,B1654=2021,L1654*$P$9,B1654=2022,L1654*$P$10)</f>
        <v>250101.58047783948</v>
      </c>
      <c r="I1654" s="7">
        <f t="shared" si="53"/>
        <v>9403186.5804778393</v>
      </c>
      <c r="J1654">
        <f>IFERROR(VLOOKUP(F1654,'LEAID Match'!$A$2:$B$227,2,FALSE),"")</f>
        <v>3819410</v>
      </c>
      <c r="K1654">
        <f t="shared" si="52"/>
        <v>8</v>
      </c>
      <c r="L1654" cm="1">
        <f t="array" ref="L1654">_xlfn.IFS(B1654=2015,G1654/$P$13,B1654=2016,G1654/$P$14,B1654=2017,G1654/$P$15,B1654=2018,G1654/$P$16,B1654=2019,G1654/$P$17,B1654=2019,G1654/$P$18,B1654=2020,G1654/$P$18,B1654=2021,G1654/$P$19,B1654=2022,G1654/$P$20)</f>
        <v>9.3147702226383425E-2</v>
      </c>
    </row>
    <row r="1655" spans="1:12" x14ac:dyDescent="0.2">
      <c r="A1655">
        <v>3819410</v>
      </c>
      <c r="B1655">
        <v>2022</v>
      </c>
      <c r="C1655" t="s">
        <v>252</v>
      </c>
      <c r="D1655" t="s">
        <v>254</v>
      </c>
      <c r="E1655" t="s">
        <v>256</v>
      </c>
      <c r="F1655" s="5" t="s">
        <v>163</v>
      </c>
      <c r="G1655" s="7">
        <v>9530612</v>
      </c>
      <c r="H1655" s="7" cm="1">
        <f t="array" ref="H1655">_xlfn.IFS(B1655=2015,L1655*$P$3,B1655=2016,L1655*$P$4,B1655=2017,L1655*$P$5,B1655=2018,L1655*$P$6,B1655=2019,L1655*$P$7,B1655=2020,L1655*$P$8,B1655=2021,L1655*$P$9,B1655=2022,L1655*$P$10)</f>
        <v>193972.381193259</v>
      </c>
      <c r="I1655" s="7">
        <f t="shared" si="53"/>
        <v>9724584.3811932597</v>
      </c>
      <c r="J1655">
        <f>IFERROR(VLOOKUP(F1655,'LEAID Match'!$A$2:$B$227,2,FALSE),"")</f>
        <v>3819410</v>
      </c>
      <c r="K1655">
        <f t="shared" si="52"/>
        <v>8</v>
      </c>
      <c r="L1655" cm="1">
        <f t="array" ref="L1655">_xlfn.IFS(B1655=2015,G1655/$P$13,B1655=2016,G1655/$P$14,B1655=2017,G1655/$P$15,B1655=2018,G1655/$P$16,B1655=2019,G1655/$P$17,B1655=2019,G1655/$P$18,B1655=2020,G1655/$P$18,B1655=2021,G1655/$P$19,B1655=2022,G1655/$P$20)</f>
        <v>9.4991371789059253E-2</v>
      </c>
    </row>
    <row r="1656" spans="1:12" x14ac:dyDescent="0.2">
      <c r="A1656">
        <v>3880100</v>
      </c>
      <c r="B1656">
        <v>2015</v>
      </c>
      <c r="C1656" t="s">
        <v>252</v>
      </c>
      <c r="D1656" t="s">
        <v>254</v>
      </c>
      <c r="E1656" t="s">
        <v>256</v>
      </c>
      <c r="F1656" s="5" t="s">
        <v>164</v>
      </c>
      <c r="G1656" s="7">
        <v>86109</v>
      </c>
      <c r="H1656" s="7" cm="1">
        <f t="array" ref="H1656">_xlfn.IFS(B1656=2015,L1656*$P$3,B1656=2016,L1656*$P$4,B1656=2017,L1656*$P$5,B1656=2018,L1656*$P$6,B1656=2019,L1656*$P$7,B1656=2020,L1656*$P$8,B1656=2021,L1656*$P$9,B1656=2022,L1656*$P$10)</f>
        <v>1946.7886858423835</v>
      </c>
      <c r="I1656" s="7">
        <f t="shared" si="53"/>
        <v>88055.788685842388</v>
      </c>
      <c r="J1656">
        <f>IFERROR(VLOOKUP(F1656,'LEAID Match'!$A$2:$B$227,2,FALSE),"")</f>
        <v>3880100</v>
      </c>
      <c r="K1656">
        <f t="shared" si="52"/>
        <v>8</v>
      </c>
      <c r="L1656" cm="1">
        <f t="array" ref="L1656">_xlfn.IFS(B1656=2015,G1656/$P$13,B1656=2016,G1656/$P$14,B1656=2017,G1656/$P$15,B1656=2018,G1656/$P$16,B1656=2019,G1656/$P$17,B1656=2019,G1656/$P$18,B1656=2020,G1656/$P$18,B1656=2021,G1656/$P$19,B1656=2022,G1656/$P$20)</f>
        <v>1.0980195633628785E-3</v>
      </c>
    </row>
    <row r="1657" spans="1:12" x14ac:dyDescent="0.2">
      <c r="A1657">
        <v>3880100</v>
      </c>
      <c r="B1657">
        <v>2016</v>
      </c>
      <c r="C1657" t="s">
        <v>252</v>
      </c>
      <c r="D1657" t="s">
        <v>254</v>
      </c>
      <c r="E1657" t="s">
        <v>256</v>
      </c>
      <c r="F1657" s="5" t="s">
        <v>164</v>
      </c>
      <c r="G1657" s="7">
        <v>88143</v>
      </c>
      <c r="H1657" s="7" cm="1">
        <f t="array" ref="H1657">_xlfn.IFS(B1657=2015,L1657*$P$3,B1657=2016,L1657*$P$4,B1657=2017,L1657*$P$5,B1657=2018,L1657*$P$6,B1657=2019,L1657*$P$7,B1657=2020,L1657*$P$8,B1657=2021,L1657*$P$9,B1657=2022,L1657*$P$10)</f>
        <v>2993.0765997378726</v>
      </c>
      <c r="I1657" s="7">
        <f t="shared" si="53"/>
        <v>91136.076599737877</v>
      </c>
      <c r="J1657">
        <f>IFERROR(VLOOKUP(F1657,'LEAID Match'!$A$2:$B$227,2,FALSE),"")</f>
        <v>3880100</v>
      </c>
      <c r="K1657">
        <f t="shared" si="52"/>
        <v>8</v>
      </c>
      <c r="L1657" cm="1">
        <f t="array" ref="L1657">_xlfn.IFS(B1657=2015,G1657/$P$13,B1657=2016,G1657/$P$14,B1657=2017,G1657/$P$15,B1657=2018,G1657/$P$16,B1657=2019,G1657/$P$17,B1657=2019,G1657/$P$18,B1657=2020,G1657/$P$18,B1657=2021,G1657/$P$19,B1657=2022,G1657/$P$20)</f>
        <v>1.0640158548659341E-3</v>
      </c>
    </row>
    <row r="1658" spans="1:12" x14ac:dyDescent="0.2">
      <c r="A1658">
        <v>3880100</v>
      </c>
      <c r="B1658">
        <v>2017</v>
      </c>
      <c r="C1658" t="s">
        <v>252</v>
      </c>
      <c r="D1658" t="s">
        <v>254</v>
      </c>
      <c r="E1658" t="s">
        <v>256</v>
      </c>
      <c r="F1658" s="5" t="s">
        <v>164</v>
      </c>
      <c r="G1658" s="7">
        <v>90962</v>
      </c>
      <c r="H1658" s="7" cm="1">
        <f t="array" ref="H1658">_xlfn.IFS(B1658=2015,L1658*$P$3,B1658=2016,L1658*$P$4,B1658=2017,L1658*$P$5,B1658=2018,L1658*$P$6,B1658=2019,L1658*$P$7,B1658=2020,L1658*$P$8,B1658=2021,L1658*$P$9,B1658=2022,L1658*$P$10)</f>
        <v>2947.9011127534882</v>
      </c>
      <c r="I1658" s="7">
        <f t="shared" si="53"/>
        <v>93909.90111275349</v>
      </c>
      <c r="J1658">
        <f>IFERROR(VLOOKUP(F1658,'LEAID Match'!$A$2:$B$227,2,FALSE),"")</f>
        <v>3880100</v>
      </c>
      <c r="K1658">
        <f t="shared" si="52"/>
        <v>8</v>
      </c>
      <c r="L1658" cm="1">
        <f t="array" ref="L1658">_xlfn.IFS(B1658=2015,G1658/$P$13,B1658=2016,G1658/$P$14,B1658=2017,G1658/$P$15,B1658=2018,G1658/$P$16,B1658=2019,G1658/$P$17,B1658=2019,G1658/$P$18,B1658=2020,G1658/$P$18,B1658=2021,G1658/$P$19,B1658=2022,G1658/$P$20)</f>
        <v>1.0569742247233734E-3</v>
      </c>
    </row>
    <row r="1659" spans="1:12" x14ac:dyDescent="0.2">
      <c r="A1659">
        <v>3880100</v>
      </c>
      <c r="B1659" s="5">
        <v>2018</v>
      </c>
      <c r="C1659" t="s">
        <v>252</v>
      </c>
      <c r="D1659" t="s">
        <v>254</v>
      </c>
      <c r="E1659" t="s">
        <v>256</v>
      </c>
      <c r="F1659" s="5" t="s">
        <v>164</v>
      </c>
      <c r="G1659" s="7">
        <v>77591</v>
      </c>
      <c r="H1659" s="7" cm="1">
        <f t="array" ref="H1659">_xlfn.IFS(B1659=2015,L1659*$P$3,B1659=2016,L1659*$P$4,B1659=2017,L1659*$P$5,B1659=2018,L1659*$P$6,B1659=2019,L1659*$P$7,B1659=2020,L1659*$P$8,B1659=2021,L1659*$P$9,B1659=2022,L1659*$P$10)</f>
        <v>2126.0701023429806</v>
      </c>
      <c r="I1659" s="7">
        <f t="shared" si="53"/>
        <v>79717.070102342987</v>
      </c>
      <c r="J1659">
        <f>IFERROR(VLOOKUP(F1659,'LEAID Match'!$A$2:$B$227,2,FALSE),"")</f>
        <v>3880100</v>
      </c>
      <c r="K1659">
        <f t="shared" si="52"/>
        <v>8</v>
      </c>
      <c r="L1659" cm="1">
        <f t="array" ref="L1659">_xlfn.IFS(B1659=2015,G1659/$P$13,B1659=2016,G1659/$P$14,B1659=2017,G1659/$P$15,B1659=2018,G1659/$P$16,B1659=2019,G1659/$P$17,B1659=2019,G1659/$P$18,B1659=2020,G1659/$P$18,B1659=2021,G1659/$P$19,B1659=2022,G1659/$P$20)</f>
        <v>8.9518741151283399E-4</v>
      </c>
    </row>
    <row r="1660" spans="1:12" x14ac:dyDescent="0.2">
      <c r="A1660">
        <v>3880100</v>
      </c>
      <c r="B1660">
        <v>2019</v>
      </c>
      <c r="C1660" t="s">
        <v>252</v>
      </c>
      <c r="D1660" t="s">
        <v>254</v>
      </c>
      <c r="E1660" t="s">
        <v>256</v>
      </c>
      <c r="F1660" s="5" t="s">
        <v>164</v>
      </c>
      <c r="G1660" s="7">
        <v>87242</v>
      </c>
      <c r="H1660" s="7" cm="1">
        <f t="array" ref="H1660">_xlfn.IFS(B1660=2015,L1660*$P$3,B1660=2016,L1660*$P$4,B1660=2017,L1660*$P$5,B1660=2018,L1660*$P$6,B1660=2019,L1660*$P$7,B1660=2020,L1660*$P$8,B1660=2021,L1660*$P$9,B1660=2022,L1660*$P$10)</f>
        <v>2024.8715409982103</v>
      </c>
      <c r="I1660" s="7">
        <f t="shared" si="53"/>
        <v>89266.871540998211</v>
      </c>
      <c r="J1660">
        <f>IFERROR(VLOOKUP(F1660,'LEAID Match'!$A$2:$B$227,2,FALSE),"")</f>
        <v>3880100</v>
      </c>
      <c r="K1660">
        <f t="shared" si="52"/>
        <v>8</v>
      </c>
      <c r="L1660" cm="1">
        <f t="array" ref="L1660">_xlfn.IFS(B1660=2015,G1660/$P$13,B1660=2016,G1660/$P$14,B1660=2017,G1660/$P$15,B1660=2018,G1660/$P$16,B1660=2019,G1660/$P$17,B1660=2019,G1660/$P$18,B1660=2020,G1660/$P$18,B1660=2021,G1660/$P$19,B1660=2022,G1660/$P$20)</f>
        <v>9.7537164787967737E-4</v>
      </c>
    </row>
    <row r="1661" spans="1:12" x14ac:dyDescent="0.2">
      <c r="A1661">
        <v>3880100</v>
      </c>
      <c r="B1661">
        <v>2020</v>
      </c>
      <c r="C1661" t="s">
        <v>252</v>
      </c>
      <c r="D1661" t="s">
        <v>254</v>
      </c>
      <c r="E1661" t="s">
        <v>256</v>
      </c>
      <c r="F1661" s="5" t="s">
        <v>164</v>
      </c>
      <c r="G1661" s="7">
        <v>69170</v>
      </c>
      <c r="H1661" s="7" cm="1">
        <f t="array" ref="H1661">_xlfn.IFS(B1661=2015,L1661*$P$3,B1661=2016,L1661*$P$4,B1661=2017,L1661*$P$5,B1661=2018,L1661*$P$6,B1661=2019,L1661*$P$7,B1661=2020,L1661*$P$8,B1661=2021,L1661*$P$9,B1661=2022,L1661*$P$10)</f>
        <v>1735.3382192696661</v>
      </c>
      <c r="I1661" s="7">
        <f t="shared" si="53"/>
        <v>70905.338219269659</v>
      </c>
      <c r="J1661">
        <f>IFERROR(VLOOKUP(F1661,'LEAID Match'!$A$2:$B$227,2,FALSE),"")</f>
        <v>3880100</v>
      </c>
      <c r="K1661">
        <f t="shared" si="52"/>
        <v>8</v>
      </c>
      <c r="L1661" cm="1">
        <f t="array" ref="L1661">_xlfn.IFS(B1661=2015,G1661/$P$13,B1661=2016,G1661/$P$14,B1661=2017,G1661/$P$15,B1661=2018,G1661/$P$16,B1661=2019,G1661/$P$17,B1661=2019,G1661/$P$18,B1661=2020,G1661/$P$18,B1661=2021,G1661/$P$19,B1661=2022,G1661/$P$20)</f>
        <v>7.4350394998700341E-4</v>
      </c>
    </row>
    <row r="1662" spans="1:12" x14ac:dyDescent="0.2">
      <c r="A1662">
        <v>3880100</v>
      </c>
      <c r="B1662" s="5">
        <v>2021</v>
      </c>
      <c r="C1662" t="s">
        <v>252</v>
      </c>
      <c r="D1662" t="s">
        <v>254</v>
      </c>
      <c r="E1662" t="s">
        <v>256</v>
      </c>
      <c r="F1662" s="5" t="s">
        <v>164</v>
      </c>
      <c r="G1662" s="7">
        <v>70485</v>
      </c>
      <c r="H1662" s="7" cm="1">
        <f t="array" ref="H1662">_xlfn.IFS(B1662=2015,L1662*$P$3,B1662=2016,L1662*$P$4,B1662=2017,L1662*$P$5,B1662=2018,L1662*$P$6,B1662=2019,L1662*$P$7,B1662=2020,L1662*$P$8,B1662=2021,L1662*$P$9,B1662=2022,L1662*$P$10)</f>
        <v>1925.9528235540824</v>
      </c>
      <c r="I1662" s="7">
        <f t="shared" si="53"/>
        <v>72410.952823554078</v>
      </c>
      <c r="J1662">
        <f>IFERROR(VLOOKUP(F1662,'LEAID Match'!$A$2:$B$227,2,FALSE),"")</f>
        <v>3880100</v>
      </c>
      <c r="K1662">
        <f t="shared" si="52"/>
        <v>8</v>
      </c>
      <c r="L1662" cm="1">
        <f t="array" ref="L1662">_xlfn.IFS(B1662=2015,G1662/$P$13,B1662=2016,G1662/$P$14,B1662=2017,G1662/$P$15,B1662=2018,G1662/$P$16,B1662=2019,G1662/$P$17,B1662=2019,G1662/$P$18,B1662=2020,G1662/$P$18,B1662=2021,G1662/$P$19,B1662=2022,G1662/$P$20)</f>
        <v>7.1730086538327094E-4</v>
      </c>
    </row>
    <row r="1663" spans="1:12" x14ac:dyDescent="0.2">
      <c r="A1663">
        <v>3880100</v>
      </c>
      <c r="B1663">
        <v>2022</v>
      </c>
      <c r="C1663" t="s">
        <v>252</v>
      </c>
      <c r="D1663" t="s">
        <v>254</v>
      </c>
      <c r="E1663" t="s">
        <v>256</v>
      </c>
      <c r="F1663" s="5" t="s">
        <v>164</v>
      </c>
      <c r="G1663" s="7">
        <v>78200</v>
      </c>
      <c r="H1663" s="7" cm="1">
        <f t="array" ref="H1663">_xlfn.IFS(B1663=2015,L1663*$P$3,B1663=2016,L1663*$P$4,B1663=2017,L1663*$P$5,B1663=2018,L1663*$P$6,B1663=2019,L1663*$P$7,B1663=2020,L1663*$P$8,B1663=2021,L1663*$P$9,B1663=2022,L1663*$P$10)</f>
        <v>1591.570426884743</v>
      </c>
      <c r="I1663" s="7">
        <f t="shared" si="53"/>
        <v>79791.570426884748</v>
      </c>
      <c r="J1663">
        <f>IFERROR(VLOOKUP(F1663,'LEAID Match'!$A$2:$B$227,2,FALSE),"")</f>
        <v>3880100</v>
      </c>
      <c r="K1663">
        <f t="shared" si="52"/>
        <v>8</v>
      </c>
      <c r="L1663" cm="1">
        <f t="array" ref="L1663">_xlfn.IFS(B1663=2015,G1663/$P$13,B1663=2016,G1663/$P$14,B1663=2017,G1663/$P$15,B1663=2018,G1663/$P$16,B1663=2019,G1663/$P$17,B1663=2019,G1663/$P$18,B1663=2020,G1663/$P$18,B1663=2021,G1663/$P$19,B1663=2022,G1663/$P$20)</f>
        <v>7.7941744705423263E-4</v>
      </c>
    </row>
    <row r="1664" spans="1:12" x14ac:dyDescent="0.2">
      <c r="A1664">
        <v>3819470</v>
      </c>
      <c r="B1664">
        <v>2015</v>
      </c>
      <c r="C1664" t="s">
        <v>252</v>
      </c>
      <c r="D1664" t="s">
        <v>254</v>
      </c>
      <c r="E1664" t="s">
        <v>256</v>
      </c>
      <c r="F1664" s="5" t="s">
        <v>165</v>
      </c>
      <c r="G1664" s="7">
        <v>135003</v>
      </c>
      <c r="H1664" s="7" cm="1">
        <f t="array" ref="H1664">_xlfn.IFS(B1664=2015,L1664*$P$3,B1664=2016,L1664*$P$4,B1664=2017,L1664*$P$5,B1664=2018,L1664*$P$6,B1664=2019,L1664*$P$7,B1664=2020,L1664*$P$8,B1664=2021,L1664*$P$9,B1664=2022,L1664*$P$10)</f>
        <v>3052.2049141759785</v>
      </c>
      <c r="I1664" s="7">
        <f t="shared" si="53"/>
        <v>138055.20491417599</v>
      </c>
      <c r="J1664">
        <f>IFERROR(VLOOKUP(F1664,'LEAID Match'!$A$2:$B$227,2,FALSE),"")</f>
        <v>3819470</v>
      </c>
      <c r="K1664">
        <f t="shared" si="52"/>
        <v>8</v>
      </c>
      <c r="L1664" cm="1">
        <f t="array" ref="L1664">_xlfn.IFS(B1664=2015,G1664/$P$13,B1664=2016,G1664/$P$14,B1664=2017,G1664/$P$15,B1664=2018,G1664/$P$16,B1664=2019,G1664/$P$17,B1664=2019,G1664/$P$18,B1664=2020,G1664/$P$18,B1664=2021,G1664/$P$19,B1664=2022,G1664/$P$20)</f>
        <v>1.7214917733649061E-3</v>
      </c>
    </row>
    <row r="1665" spans="1:12" x14ac:dyDescent="0.2">
      <c r="A1665">
        <v>3819470</v>
      </c>
      <c r="B1665">
        <v>2016</v>
      </c>
      <c r="C1665" t="s">
        <v>252</v>
      </c>
      <c r="D1665" t="s">
        <v>254</v>
      </c>
      <c r="E1665" t="s">
        <v>256</v>
      </c>
      <c r="F1665" s="5" t="s">
        <v>165</v>
      </c>
      <c r="G1665" s="7">
        <v>136152</v>
      </c>
      <c r="H1665" s="7" cm="1">
        <f t="array" ref="H1665">_xlfn.IFS(B1665=2015,L1665*$P$3,B1665=2016,L1665*$P$4,B1665=2017,L1665*$P$5,B1665=2018,L1665*$P$6,B1665=2019,L1665*$P$7,B1665=2020,L1665*$P$8,B1665=2021,L1665*$P$9,B1665=2022,L1665*$P$10)</f>
        <v>4623.3207992411299</v>
      </c>
      <c r="I1665" s="7">
        <f t="shared" si="53"/>
        <v>140775.32079924113</v>
      </c>
      <c r="J1665">
        <f>IFERROR(VLOOKUP(F1665,'LEAID Match'!$A$2:$B$227,2,FALSE),"")</f>
        <v>3819470</v>
      </c>
      <c r="K1665">
        <f t="shared" si="52"/>
        <v>8</v>
      </c>
      <c r="L1665" cm="1">
        <f t="array" ref="L1665">_xlfn.IFS(B1665=2015,G1665/$P$13,B1665=2016,G1665/$P$14,B1665=2017,G1665/$P$15,B1665=2018,G1665/$P$16,B1665=2019,G1665/$P$17,B1665=2019,G1665/$P$18,B1665=2020,G1665/$P$18,B1665=2021,G1665/$P$19,B1665=2022,G1665/$P$20)</f>
        <v>1.6435552076932561E-3</v>
      </c>
    </row>
    <row r="1666" spans="1:12" x14ac:dyDescent="0.2">
      <c r="A1666">
        <v>3819470</v>
      </c>
      <c r="B1666">
        <v>2017</v>
      </c>
      <c r="C1666" t="s">
        <v>252</v>
      </c>
      <c r="D1666" t="s">
        <v>254</v>
      </c>
      <c r="E1666" t="s">
        <v>256</v>
      </c>
      <c r="F1666" s="5" t="s">
        <v>165</v>
      </c>
      <c r="G1666" s="7">
        <v>141324</v>
      </c>
      <c r="H1666" s="7" cm="1">
        <f t="array" ref="H1666">_xlfn.IFS(B1666=2015,L1666*$P$3,B1666=2016,L1666*$P$4,B1666=2017,L1666*$P$5,B1666=2018,L1666*$P$6,B1666=2019,L1666*$P$7,B1666=2020,L1666*$P$8,B1666=2021,L1666*$P$9,B1666=2022,L1666*$P$10)</f>
        <v>4580.0353648641631</v>
      </c>
      <c r="I1666" s="7">
        <f t="shared" si="53"/>
        <v>145904.03536486416</v>
      </c>
      <c r="J1666">
        <f>IFERROR(VLOOKUP(F1666,'LEAID Match'!$A$2:$B$227,2,FALSE),"")</f>
        <v>3819470</v>
      </c>
      <c r="K1666">
        <f t="shared" ref="K1666:K1729" si="54">COUNTIF($A$2:$A$1757,A1666)</f>
        <v>8</v>
      </c>
      <c r="L1666" cm="1">
        <f t="array" ref="L1666">_xlfn.IFS(B1666=2015,G1666/$P$13,B1666=2016,G1666/$P$14,B1666=2017,G1666/$P$15,B1666=2018,G1666/$P$16,B1666=2019,G1666/$P$17,B1666=2019,G1666/$P$18,B1666=2020,G1666/$P$18,B1666=2021,G1666/$P$19,B1666=2022,G1666/$P$20)</f>
        <v>1.6421783308942857E-3</v>
      </c>
    </row>
    <row r="1667" spans="1:12" x14ac:dyDescent="0.2">
      <c r="A1667">
        <v>3819470</v>
      </c>
      <c r="B1667" s="5">
        <v>2018</v>
      </c>
      <c r="C1667" t="s">
        <v>252</v>
      </c>
      <c r="D1667" t="s">
        <v>254</v>
      </c>
      <c r="E1667" t="s">
        <v>256</v>
      </c>
      <c r="F1667" s="5" t="s">
        <v>165</v>
      </c>
      <c r="G1667" s="7">
        <v>135430</v>
      </c>
      <c r="H1667" s="7" cm="1">
        <f t="array" ref="H1667">_xlfn.IFS(B1667=2015,L1667*$P$3,B1667=2016,L1667*$P$4,B1667=2017,L1667*$P$5,B1667=2018,L1667*$P$6,B1667=2019,L1667*$P$7,B1667=2020,L1667*$P$8,B1667=2021,L1667*$P$9,B1667=2022,L1667*$P$10)</f>
        <v>3710.9158789074745</v>
      </c>
      <c r="I1667" s="7">
        <f t="shared" ref="I1667:I1730" si="55">SUM(G1667:H1667)</f>
        <v>139140.91587890749</v>
      </c>
      <c r="J1667">
        <f>IFERROR(VLOOKUP(F1667,'LEAID Match'!$A$2:$B$227,2,FALSE),"")</f>
        <v>3819470</v>
      </c>
      <c r="K1667">
        <f t="shared" si="54"/>
        <v>8</v>
      </c>
      <c r="L1667" cm="1">
        <f t="array" ref="L1667">_xlfn.IFS(B1667=2015,G1667/$P$13,B1667=2016,G1667/$P$14,B1667=2017,G1667/$P$15,B1667=2018,G1667/$P$16,B1667=2019,G1667/$P$17,B1667=2019,G1667/$P$18,B1667=2020,G1667/$P$18,B1667=2021,G1667/$P$19,B1667=2022,G1667/$P$20)</f>
        <v>1.5624908963820946E-3</v>
      </c>
    </row>
    <row r="1668" spans="1:12" x14ac:dyDescent="0.2">
      <c r="A1668">
        <v>3819470</v>
      </c>
      <c r="B1668">
        <v>2019</v>
      </c>
      <c r="C1668" t="s">
        <v>252</v>
      </c>
      <c r="D1668" t="s">
        <v>254</v>
      </c>
      <c r="E1668" t="s">
        <v>256</v>
      </c>
      <c r="F1668" s="5" t="s">
        <v>165</v>
      </c>
      <c r="G1668" s="7">
        <v>141473</v>
      </c>
      <c r="H1668" s="7" cm="1">
        <f t="array" ref="H1668">_xlfn.IFS(B1668=2015,L1668*$P$3,B1668=2016,L1668*$P$4,B1668=2017,L1668*$P$5,B1668=2018,L1668*$P$6,B1668=2019,L1668*$P$7,B1668=2020,L1668*$P$8,B1668=2021,L1668*$P$9,B1668=2022,L1668*$P$10)</f>
        <v>3283.5635533302743</v>
      </c>
      <c r="I1668" s="7">
        <f t="shared" si="55"/>
        <v>144756.56355333028</v>
      </c>
      <c r="J1668">
        <f>IFERROR(VLOOKUP(F1668,'LEAID Match'!$A$2:$B$227,2,FALSE),"")</f>
        <v>3819470</v>
      </c>
      <c r="K1668">
        <f t="shared" si="54"/>
        <v>8</v>
      </c>
      <c r="L1668" cm="1">
        <f t="array" ref="L1668">_xlfn.IFS(B1668=2015,G1668/$P$13,B1668=2016,G1668/$P$14,B1668=2017,G1668/$P$15,B1668=2018,G1668/$P$16,B1668=2019,G1668/$P$17,B1668=2019,G1668/$P$18,B1668=2020,G1668/$P$18,B1668=2021,G1668/$P$19,B1668=2022,G1668/$P$20)</f>
        <v>1.5816780122014809E-3</v>
      </c>
    </row>
    <row r="1669" spans="1:12" x14ac:dyDescent="0.2">
      <c r="A1669">
        <v>3819470</v>
      </c>
      <c r="B1669">
        <v>2020</v>
      </c>
      <c r="C1669" t="s">
        <v>252</v>
      </c>
      <c r="D1669" t="s">
        <v>254</v>
      </c>
      <c r="E1669" t="s">
        <v>256</v>
      </c>
      <c r="F1669" s="5" t="s">
        <v>165</v>
      </c>
      <c r="G1669" s="7">
        <v>140826</v>
      </c>
      <c r="H1669" s="7" cm="1">
        <f t="array" ref="H1669">_xlfn.IFS(B1669=2015,L1669*$P$3,B1669=2016,L1669*$P$4,B1669=2017,L1669*$P$5,B1669=2018,L1669*$P$6,B1669=2019,L1669*$P$7,B1669=2020,L1669*$P$8,B1669=2021,L1669*$P$9,B1669=2022,L1669*$P$10)</f>
        <v>3533.0452517980339</v>
      </c>
      <c r="I1669" s="7">
        <f t="shared" si="55"/>
        <v>144359.04525179803</v>
      </c>
      <c r="J1669">
        <f>IFERROR(VLOOKUP(F1669,'LEAID Match'!$A$2:$B$227,2,FALSE),"")</f>
        <v>3819470</v>
      </c>
      <c r="K1669">
        <f t="shared" si="54"/>
        <v>8</v>
      </c>
      <c r="L1669" cm="1">
        <f t="array" ref="L1669">_xlfn.IFS(B1669=2015,G1669/$P$13,B1669=2016,G1669/$P$14,B1669=2017,G1669/$P$15,B1669=2018,G1669/$P$16,B1669=2019,G1669/$P$17,B1669=2019,G1669/$P$18,B1669=2020,G1669/$P$18,B1669=2021,G1669/$P$19,B1669=2022,G1669/$P$20)</f>
        <v>1.5137297565544275E-3</v>
      </c>
    </row>
    <row r="1670" spans="1:12" x14ac:dyDescent="0.2">
      <c r="A1670">
        <v>3819470</v>
      </c>
      <c r="B1670" s="5">
        <v>2021</v>
      </c>
      <c r="C1670" t="s">
        <v>252</v>
      </c>
      <c r="D1670" t="s">
        <v>254</v>
      </c>
      <c r="E1670" t="s">
        <v>256</v>
      </c>
      <c r="F1670" s="5" t="s">
        <v>165</v>
      </c>
      <c r="G1670" s="7">
        <v>150612</v>
      </c>
      <c r="H1670" s="7" cm="1">
        <f t="array" ref="H1670">_xlfn.IFS(B1670=2015,L1670*$P$3,B1670=2016,L1670*$P$4,B1670=2017,L1670*$P$5,B1670=2018,L1670*$P$6,B1670=2019,L1670*$P$7,B1670=2020,L1670*$P$8,B1670=2021,L1670*$P$9,B1670=2022,L1670*$P$10)</f>
        <v>4115.3664845162439</v>
      </c>
      <c r="I1670" s="7">
        <f t="shared" si="55"/>
        <v>154727.36648451624</v>
      </c>
      <c r="J1670">
        <f>IFERROR(VLOOKUP(F1670,'LEAID Match'!$A$2:$B$227,2,FALSE),"")</f>
        <v>3819470</v>
      </c>
      <c r="K1670">
        <f t="shared" si="54"/>
        <v>8</v>
      </c>
      <c r="L1670" cm="1">
        <f t="array" ref="L1670">_xlfn.IFS(B1670=2015,G1670/$P$13,B1670=2016,G1670/$P$14,B1670=2017,G1670/$P$15,B1670=2018,G1670/$P$16,B1670=2019,G1670/$P$17,B1670=2019,G1670/$P$18,B1670=2020,G1670/$P$18,B1670=2021,G1670/$P$19,B1670=2022,G1670/$P$20)</f>
        <v>1.5327249476783031E-3</v>
      </c>
    </row>
    <row r="1671" spans="1:12" x14ac:dyDescent="0.2">
      <c r="A1671">
        <v>3819470</v>
      </c>
      <c r="B1671">
        <v>2022</v>
      </c>
      <c r="C1671" t="s">
        <v>252</v>
      </c>
      <c r="D1671" t="s">
        <v>254</v>
      </c>
      <c r="E1671" t="s">
        <v>256</v>
      </c>
      <c r="F1671" s="5" t="s">
        <v>165</v>
      </c>
      <c r="G1671" s="7">
        <v>165361</v>
      </c>
      <c r="H1671" s="7" cm="1">
        <f t="array" ref="H1671">_xlfn.IFS(B1671=2015,L1671*$P$3,B1671=2016,L1671*$P$4,B1671=2017,L1671*$P$5,B1671=2018,L1671*$P$6,B1671=2019,L1671*$P$7,B1671=2020,L1671*$P$8,B1671=2021,L1671*$P$9,B1671=2022,L1671*$P$10)</f>
        <v>3365.520170845115</v>
      </c>
      <c r="I1671" s="7">
        <f t="shared" si="55"/>
        <v>168726.52017084512</v>
      </c>
      <c r="J1671">
        <f>IFERROR(VLOOKUP(F1671,'LEAID Match'!$A$2:$B$227,2,FALSE),"")</f>
        <v>3819470</v>
      </c>
      <c r="K1671">
        <f t="shared" si="54"/>
        <v>8</v>
      </c>
      <c r="L1671" cm="1">
        <f t="array" ref="L1671">_xlfn.IFS(B1671=2015,G1671/$P$13,B1671=2016,G1671/$P$14,B1671=2017,G1671/$P$15,B1671=2018,G1671/$P$16,B1671=2019,G1671/$P$17,B1671=2019,G1671/$P$18,B1671=2020,G1671/$P$18,B1671=2021,G1671/$P$19,B1671=2022,G1671/$P$20)</f>
        <v>1.6481489573188614E-3</v>
      </c>
    </row>
    <row r="1672" spans="1:12" x14ac:dyDescent="0.2">
      <c r="A1672">
        <v>3819680</v>
      </c>
      <c r="B1672">
        <v>2015</v>
      </c>
      <c r="C1672" t="s">
        <v>252</v>
      </c>
      <c r="D1672" t="s">
        <v>254</v>
      </c>
      <c r="E1672" t="s">
        <v>256</v>
      </c>
      <c r="F1672" s="5" t="s">
        <v>166</v>
      </c>
      <c r="G1672" s="7">
        <v>178159</v>
      </c>
      <c r="H1672" s="7" cm="1">
        <f t="array" ref="H1672">_xlfn.IFS(B1672=2015,L1672*$P$3,B1672=2016,L1672*$P$4,B1672=2017,L1672*$P$5,B1672=2018,L1672*$P$6,B1672=2019,L1672*$P$7,B1672=2020,L1672*$P$8,B1672=2021,L1672*$P$9,B1672=2022,L1672*$P$10)</f>
        <v>4027.8940120195712</v>
      </c>
      <c r="I1672" s="7">
        <f t="shared" si="55"/>
        <v>182186.89401201956</v>
      </c>
      <c r="J1672">
        <f>IFERROR(VLOOKUP(F1672,'LEAID Match'!$A$2:$B$227,2,FALSE),"")</f>
        <v>3819680</v>
      </c>
      <c r="K1672">
        <f t="shared" si="54"/>
        <v>8</v>
      </c>
      <c r="L1672" cm="1">
        <f t="array" ref="L1672">_xlfn.IFS(B1672=2015,G1672/$P$13,B1672=2016,G1672/$P$14,B1672=2017,G1672/$P$15,B1672=2018,G1672/$P$16,B1672=2019,G1672/$P$17,B1672=2019,G1672/$P$18,B1672=2020,G1672/$P$18,B1672=2021,G1672/$P$19,B1672=2022,G1672/$P$20)</f>
        <v>2.2717958330623639E-3</v>
      </c>
    </row>
    <row r="1673" spans="1:12" x14ac:dyDescent="0.2">
      <c r="A1673">
        <v>3819680</v>
      </c>
      <c r="B1673">
        <v>2016</v>
      </c>
      <c r="C1673" t="s">
        <v>252</v>
      </c>
      <c r="D1673" t="s">
        <v>254</v>
      </c>
      <c r="E1673" t="s">
        <v>256</v>
      </c>
      <c r="F1673" s="5" t="s">
        <v>166</v>
      </c>
      <c r="G1673" s="7">
        <v>179000</v>
      </c>
      <c r="H1673" s="7" cm="1">
        <f t="array" ref="H1673">_xlfn.IFS(B1673=2015,L1673*$P$3,B1673=2016,L1673*$P$4,B1673=2017,L1673*$P$5,B1673=2018,L1673*$P$6,B1673=2019,L1673*$P$7,B1673=2020,L1673*$P$8,B1673=2021,L1673*$P$9,B1673=2022,L1673*$P$10)</f>
        <v>6078.3126436935345</v>
      </c>
      <c r="I1673" s="7">
        <f t="shared" si="55"/>
        <v>185078.31264369353</v>
      </c>
      <c r="J1673">
        <f>IFERROR(VLOOKUP(F1673,'LEAID Match'!$A$2:$B$227,2,FALSE),"")</f>
        <v>3819680</v>
      </c>
      <c r="K1673">
        <f t="shared" si="54"/>
        <v>8</v>
      </c>
      <c r="L1673" cm="1">
        <f t="array" ref="L1673">_xlfn.IFS(B1673=2015,G1673/$P$13,B1673=2016,G1673/$P$14,B1673=2017,G1673/$P$15,B1673=2018,G1673/$P$16,B1673=2019,G1673/$P$17,B1673=2019,G1673/$P$18,B1673=2020,G1673/$P$18,B1673=2021,G1673/$P$19,B1673=2022,G1673/$P$20)</f>
        <v>2.1607936877687645E-3</v>
      </c>
    </row>
    <row r="1674" spans="1:12" x14ac:dyDescent="0.2">
      <c r="A1674">
        <v>3819680</v>
      </c>
      <c r="B1674">
        <v>2017</v>
      </c>
      <c r="C1674" t="s">
        <v>252</v>
      </c>
      <c r="D1674" t="s">
        <v>254</v>
      </c>
      <c r="E1674" t="s">
        <v>256</v>
      </c>
      <c r="F1674" s="5" t="s">
        <v>166</v>
      </c>
      <c r="G1674" s="7">
        <v>177779</v>
      </c>
      <c r="H1674" s="7" cm="1">
        <f t="array" ref="H1674">_xlfn.IFS(B1674=2015,L1674*$P$3,B1674=2016,L1674*$P$4,B1674=2017,L1674*$P$5,B1674=2018,L1674*$P$6,B1674=2019,L1674*$P$7,B1674=2020,L1674*$P$8,B1674=2021,L1674*$P$9,B1674=2022,L1674*$P$10)</f>
        <v>5761.4708551285421</v>
      </c>
      <c r="I1674" s="7">
        <f t="shared" si="55"/>
        <v>183540.47085512854</v>
      </c>
      <c r="J1674">
        <f>IFERROR(VLOOKUP(F1674,'LEAID Match'!$A$2:$B$227,2,FALSE),"")</f>
        <v>3819680</v>
      </c>
      <c r="K1674">
        <f t="shared" si="54"/>
        <v>8</v>
      </c>
      <c r="L1674" cm="1">
        <f t="array" ref="L1674">_xlfn.IFS(B1674=2015,G1674/$P$13,B1674=2016,G1674/$P$14,B1674=2017,G1674/$P$15,B1674=2018,G1674/$P$16,B1674=2019,G1674/$P$17,B1674=2019,G1674/$P$18,B1674=2020,G1674/$P$18,B1674=2021,G1674/$P$19,B1674=2022,G1674/$P$20)</f>
        <v>2.0657837415304918E-3</v>
      </c>
    </row>
    <row r="1675" spans="1:12" x14ac:dyDescent="0.2">
      <c r="A1675">
        <v>3819680</v>
      </c>
      <c r="B1675" s="5">
        <v>2018</v>
      </c>
      <c r="C1675" t="s">
        <v>252</v>
      </c>
      <c r="D1675" t="s">
        <v>254</v>
      </c>
      <c r="E1675" t="s">
        <v>256</v>
      </c>
      <c r="F1675" s="5" t="s">
        <v>166</v>
      </c>
      <c r="G1675" s="7">
        <v>183938</v>
      </c>
      <c r="H1675" s="7" cm="1">
        <f t="array" ref="H1675">_xlfn.IFS(B1675=2015,L1675*$P$3,B1675=2016,L1675*$P$4,B1675=2017,L1675*$P$5,B1675=2018,L1675*$P$6,B1675=2019,L1675*$P$7,B1675=2020,L1675*$P$8,B1675=2021,L1675*$P$9,B1675=2022,L1675*$P$10)</f>
        <v>5040.0830313407887</v>
      </c>
      <c r="I1675" s="7">
        <f t="shared" si="55"/>
        <v>188978.08303134079</v>
      </c>
      <c r="J1675">
        <f>IFERROR(VLOOKUP(F1675,'LEAID Match'!$A$2:$B$227,2,FALSE),"")</f>
        <v>3819680</v>
      </c>
      <c r="K1675">
        <f t="shared" si="54"/>
        <v>8</v>
      </c>
      <c r="L1675" cm="1">
        <f t="array" ref="L1675">_xlfn.IFS(B1675=2015,G1675/$P$13,B1675=2016,G1675/$P$14,B1675=2017,G1675/$P$15,B1675=2018,G1675/$P$16,B1675=2019,G1675/$P$17,B1675=2019,G1675/$P$18,B1675=2020,G1675/$P$18,B1675=2021,G1675/$P$19,B1675=2022,G1675/$P$20)</f>
        <v>2.1221402237224375E-3</v>
      </c>
    </row>
    <row r="1676" spans="1:12" x14ac:dyDescent="0.2">
      <c r="A1676">
        <v>3819680</v>
      </c>
      <c r="B1676">
        <v>2019</v>
      </c>
      <c r="C1676" t="s">
        <v>252</v>
      </c>
      <c r="D1676" t="s">
        <v>254</v>
      </c>
      <c r="E1676" t="s">
        <v>256</v>
      </c>
      <c r="F1676" s="5" t="s">
        <v>166</v>
      </c>
      <c r="G1676" s="7">
        <v>211345</v>
      </c>
      <c r="H1676" s="7" cm="1">
        <f t="array" ref="H1676">_xlfn.IFS(B1676=2015,L1676*$P$3,B1676=2016,L1676*$P$4,B1676=2017,L1676*$P$5,B1676=2018,L1676*$P$6,B1676=2019,L1676*$P$7,B1676=2020,L1676*$P$8,B1676=2021,L1676*$P$9,B1676=2022,L1676*$P$10)</f>
        <v>4905.2804363983714</v>
      </c>
      <c r="I1676" s="7">
        <f t="shared" si="55"/>
        <v>216250.28043639837</v>
      </c>
      <c r="J1676">
        <f>IFERROR(VLOOKUP(F1676,'LEAID Match'!$A$2:$B$227,2,FALSE),"")</f>
        <v>3819680</v>
      </c>
      <c r="K1676">
        <f t="shared" si="54"/>
        <v>8</v>
      </c>
      <c r="L1676" cm="1">
        <f t="array" ref="L1676">_xlfn.IFS(B1676=2015,G1676/$P$13,B1676=2016,G1676/$P$14,B1676=2017,G1676/$P$15,B1676=2018,G1676/$P$16,B1676=2019,G1676/$P$17,B1676=2019,G1676/$P$18,B1676=2020,G1676/$P$18,B1676=2021,G1676/$P$19,B1676=2022,G1676/$P$20)</f>
        <v>2.3628518479760943E-3</v>
      </c>
    </row>
    <row r="1677" spans="1:12" x14ac:dyDescent="0.2">
      <c r="A1677">
        <v>3819680</v>
      </c>
      <c r="B1677">
        <v>2020</v>
      </c>
      <c r="C1677" t="s">
        <v>252</v>
      </c>
      <c r="D1677" t="s">
        <v>254</v>
      </c>
      <c r="E1677" t="s">
        <v>256</v>
      </c>
      <c r="F1677" s="5" t="s">
        <v>166</v>
      </c>
      <c r="G1677" s="7">
        <v>232627</v>
      </c>
      <c r="H1677" s="7" cm="1">
        <f t="array" ref="H1677">_xlfn.IFS(B1677=2015,L1677*$P$3,B1677=2016,L1677*$P$4,B1677=2017,L1677*$P$5,B1677=2018,L1677*$P$6,B1677=2019,L1677*$P$7,B1677=2020,L1677*$P$8,B1677=2021,L1677*$P$9,B1677=2022,L1677*$P$10)</f>
        <v>5836.1504110748101</v>
      </c>
      <c r="I1677" s="7">
        <f t="shared" si="55"/>
        <v>238463.15041107481</v>
      </c>
      <c r="J1677">
        <f>IFERROR(VLOOKUP(F1677,'LEAID Match'!$A$2:$B$227,2,FALSE),"")</f>
        <v>3819680</v>
      </c>
      <c r="K1677">
        <f t="shared" si="54"/>
        <v>8</v>
      </c>
      <c r="L1677" cm="1">
        <f t="array" ref="L1677">_xlfn.IFS(B1677=2015,G1677/$P$13,B1677=2016,G1677/$P$14,B1677=2017,G1677/$P$15,B1677=2018,G1677/$P$16,B1677=2019,G1677/$P$17,B1677=2019,G1677/$P$18,B1677=2020,G1677/$P$18,B1677=2021,G1677/$P$19,B1677=2022,G1677/$P$20)</f>
        <v>2.5004928924913495E-3</v>
      </c>
    </row>
    <row r="1678" spans="1:12" x14ac:dyDescent="0.2">
      <c r="A1678">
        <v>3819680</v>
      </c>
      <c r="B1678" s="5">
        <v>2021</v>
      </c>
      <c r="C1678" t="s">
        <v>252</v>
      </c>
      <c r="D1678" t="s">
        <v>254</v>
      </c>
      <c r="E1678" t="s">
        <v>256</v>
      </c>
      <c r="F1678" s="5" t="s">
        <v>166</v>
      </c>
      <c r="G1678" s="7">
        <v>213100</v>
      </c>
      <c r="H1678" s="7" cm="1">
        <f t="array" ref="H1678">_xlfn.IFS(B1678=2015,L1678*$P$3,B1678=2016,L1678*$P$4,B1678=2017,L1678*$P$5,B1678=2018,L1678*$P$6,B1678=2019,L1678*$P$7,B1678=2020,L1678*$P$8,B1678=2021,L1678*$P$9,B1678=2022,L1678*$P$10)</f>
        <v>5822.8069333812145</v>
      </c>
      <c r="I1678" s="7">
        <f t="shared" si="55"/>
        <v>218922.80693338122</v>
      </c>
      <c r="J1678">
        <f>IFERROR(VLOOKUP(F1678,'LEAID Match'!$A$2:$B$227,2,FALSE),"")</f>
        <v>3819680</v>
      </c>
      <c r="K1678">
        <f t="shared" si="54"/>
        <v>8</v>
      </c>
      <c r="L1678" cm="1">
        <f t="array" ref="L1678">_xlfn.IFS(B1678=2015,G1678/$P$13,B1678=2016,G1678/$P$14,B1678=2017,G1678/$P$15,B1678=2018,G1678/$P$16,B1678=2019,G1678/$P$17,B1678=2019,G1678/$P$18,B1678=2020,G1678/$P$18,B1678=2021,G1678/$P$19,B1678=2022,G1678/$P$20)</f>
        <v>2.1686431781680502E-3</v>
      </c>
    </row>
    <row r="1679" spans="1:12" x14ac:dyDescent="0.2">
      <c r="A1679">
        <v>3819680</v>
      </c>
      <c r="B1679">
        <v>2022</v>
      </c>
      <c r="C1679" t="s">
        <v>252</v>
      </c>
      <c r="D1679" t="s">
        <v>254</v>
      </c>
      <c r="E1679" t="s">
        <v>256</v>
      </c>
      <c r="F1679" s="5" t="s">
        <v>166</v>
      </c>
      <c r="G1679" s="7">
        <v>219347</v>
      </c>
      <c r="H1679" s="7" cm="1">
        <f t="array" ref="H1679">_xlfn.IFS(B1679=2015,L1679*$P$3,B1679=2016,L1679*$P$4,B1679=2017,L1679*$P$5,B1679=2018,L1679*$P$6,B1679=2019,L1679*$P$7,B1679=2020,L1679*$P$8,B1679=2021,L1679*$P$9,B1679=2022,L1679*$P$10)</f>
        <v>4464.2736371596893</v>
      </c>
      <c r="I1679" s="7">
        <f t="shared" si="55"/>
        <v>223811.2736371597</v>
      </c>
      <c r="J1679">
        <f>IFERROR(VLOOKUP(F1679,'LEAID Match'!$A$2:$B$227,2,FALSE),"")</f>
        <v>3819680</v>
      </c>
      <c r="K1679">
        <f t="shared" si="54"/>
        <v>8</v>
      </c>
      <c r="L1679" cm="1">
        <f t="array" ref="L1679">_xlfn.IFS(B1679=2015,G1679/$P$13,B1679=2016,G1679/$P$14,B1679=2017,G1679/$P$15,B1679=2018,G1679/$P$16,B1679=2019,G1679/$P$17,B1679=2019,G1679/$P$18,B1679=2020,G1679/$P$18,B1679=2021,G1679/$P$19,B1679=2022,G1679/$P$20)</f>
        <v>2.1862260710870172E-3</v>
      </c>
    </row>
    <row r="1680" spans="1:12" x14ac:dyDescent="0.2">
      <c r="A1680">
        <v>3813760</v>
      </c>
      <c r="B1680" s="5">
        <v>2018</v>
      </c>
      <c r="C1680" t="s">
        <v>252</v>
      </c>
      <c r="D1680" t="s">
        <v>254</v>
      </c>
      <c r="E1680" t="s">
        <v>256</v>
      </c>
      <c r="F1680" s="5" t="s">
        <v>235</v>
      </c>
      <c r="G1680" s="7">
        <v>273675</v>
      </c>
      <c r="H1680" s="7" cm="1">
        <f t="array" ref="H1680">_xlfn.IFS(B1680=2015,L1680*$P$3,B1680=2016,L1680*$P$4,B1680=2017,L1680*$P$5,B1680=2018,L1680*$P$6,B1680=2019,L1680*$P$7,B1680=2020,L1680*$P$8,B1680=2021,L1680*$P$9,B1680=2022,L1680*$P$10)</f>
        <v>7498.9655405744898</v>
      </c>
      <c r="I1680" s="7">
        <f t="shared" si="55"/>
        <v>281173.96554057451</v>
      </c>
      <c r="J1680">
        <f>IFERROR(VLOOKUP(F1680,'LEAID Match'!$A$2:$B$227,2,FALSE),"")</f>
        <v>3813760</v>
      </c>
      <c r="K1680">
        <f t="shared" si="54"/>
        <v>5</v>
      </c>
      <c r="L1680" cm="1">
        <f t="array" ref="L1680">_xlfn.IFS(B1680=2015,G1680/$P$13,B1680=2016,G1680/$P$14,B1680=2017,G1680/$P$15,B1680=2018,G1680/$P$16,B1680=2019,G1680/$P$17,B1680=2019,G1680/$P$18,B1680=2020,G1680/$P$18,B1680=2021,G1680/$P$19,B1680=2022,G1680/$P$20)</f>
        <v>3.1574591749787325E-3</v>
      </c>
    </row>
    <row r="1681" spans="1:12" x14ac:dyDescent="0.2">
      <c r="A1681">
        <v>3813760</v>
      </c>
      <c r="B1681">
        <v>2019</v>
      </c>
      <c r="C1681" t="s">
        <v>252</v>
      </c>
      <c r="D1681" t="s">
        <v>254</v>
      </c>
      <c r="E1681" t="s">
        <v>256</v>
      </c>
      <c r="F1681" s="5" t="s">
        <v>235</v>
      </c>
      <c r="G1681" s="7">
        <v>307391</v>
      </c>
      <c r="H1681" s="7" cm="1">
        <f t="array" ref="H1681">_xlfn.IFS(B1681=2015,L1681*$P$3,B1681=2016,L1681*$P$4,B1681=2017,L1681*$P$5,B1681=2018,L1681*$P$6,B1681=2019,L1681*$P$7,B1681=2020,L1681*$P$8,B1681=2021,L1681*$P$9,B1681=2022,L1681*$P$10)</f>
        <v>7134.4912755207461</v>
      </c>
      <c r="I1681" s="7">
        <f t="shared" si="55"/>
        <v>314525.49127552076</v>
      </c>
      <c r="J1681">
        <f>IFERROR(VLOOKUP(F1681,'LEAID Match'!$A$2:$B$227,2,FALSE),"")</f>
        <v>3813760</v>
      </c>
      <c r="K1681">
        <f t="shared" si="54"/>
        <v>5</v>
      </c>
      <c r="L1681" cm="1">
        <f t="array" ref="L1681">_xlfn.IFS(B1681=2015,G1681/$P$13,B1681=2016,G1681/$P$14,B1681=2017,G1681/$P$15,B1681=2018,G1681/$P$16,B1681=2019,G1681/$P$17,B1681=2019,G1681/$P$18,B1681=2020,G1681/$P$18,B1681=2021,G1681/$P$19,B1681=2022,G1681/$P$20)</f>
        <v>3.4366528302123053E-3</v>
      </c>
    </row>
    <row r="1682" spans="1:12" x14ac:dyDescent="0.2">
      <c r="A1682">
        <v>3813760</v>
      </c>
      <c r="B1682">
        <v>2020</v>
      </c>
      <c r="C1682" t="s">
        <v>252</v>
      </c>
      <c r="D1682" t="s">
        <v>254</v>
      </c>
      <c r="E1682" t="s">
        <v>256</v>
      </c>
      <c r="F1682" s="5" t="s">
        <v>235</v>
      </c>
      <c r="G1682" s="7">
        <v>343649</v>
      </c>
      <c r="H1682" s="7" cm="1">
        <f t="array" ref="H1682">_xlfn.IFS(B1682=2015,L1682*$P$3,B1682=2016,L1682*$P$4,B1682=2017,L1682*$P$5,B1682=2018,L1682*$P$6,B1682=2019,L1682*$P$7,B1682=2020,L1682*$P$8,B1682=2021,L1682*$P$9,B1682=2022,L1682*$P$10)</f>
        <v>8621.4723682781769</v>
      </c>
      <c r="I1682" s="7">
        <f t="shared" si="55"/>
        <v>352270.47236827819</v>
      </c>
      <c r="J1682">
        <f>IFERROR(VLOOKUP(F1682,'LEAID Match'!$A$2:$B$227,2,FALSE),"")</f>
        <v>3813760</v>
      </c>
      <c r="K1682">
        <f t="shared" si="54"/>
        <v>5</v>
      </c>
      <c r="L1682" cm="1">
        <f t="array" ref="L1682">_xlfn.IFS(B1682=2015,G1682/$P$13,B1682=2016,G1682/$P$14,B1682=2017,G1682/$P$15,B1682=2018,G1682/$P$16,B1682=2019,G1682/$P$17,B1682=2019,G1682/$P$18,B1682=2020,G1682/$P$18,B1682=2021,G1682/$P$19,B1682=2022,G1682/$P$20)</f>
        <v>3.6938613403077023E-3</v>
      </c>
    </row>
    <row r="1683" spans="1:12" x14ac:dyDescent="0.2">
      <c r="A1683">
        <v>3813760</v>
      </c>
      <c r="B1683" s="5">
        <v>2021</v>
      </c>
      <c r="C1683" t="s">
        <v>252</v>
      </c>
      <c r="D1683" t="s">
        <v>254</v>
      </c>
      <c r="E1683" t="s">
        <v>256</v>
      </c>
      <c r="F1683" s="5" t="s">
        <v>235</v>
      </c>
      <c r="G1683" s="7">
        <v>413508</v>
      </c>
      <c r="H1683" s="7" cm="1">
        <f t="array" ref="H1683">_xlfn.IFS(B1683=2015,L1683*$P$3,B1683=2016,L1683*$P$4,B1683=2017,L1683*$P$5,B1683=2018,L1683*$P$6,B1683=2019,L1683*$P$7,B1683=2020,L1683*$P$8,B1683=2021,L1683*$P$9,B1683=2022,L1683*$P$10)</f>
        <v>11298.813934343498</v>
      </c>
      <c r="I1683" s="7">
        <f t="shared" si="55"/>
        <v>424806.81393434352</v>
      </c>
      <c r="J1683">
        <f>IFERROR(VLOOKUP(F1683,'LEAID Match'!$A$2:$B$227,2,FALSE),"")</f>
        <v>3813760</v>
      </c>
      <c r="K1683">
        <f t="shared" si="54"/>
        <v>5</v>
      </c>
      <c r="L1683" cm="1">
        <f t="array" ref="L1683">_xlfn.IFS(B1683=2015,G1683/$P$13,B1683=2016,G1683/$P$14,B1683=2017,G1683/$P$15,B1683=2018,G1683/$P$16,B1683=2019,G1683/$P$17,B1683=2019,G1683/$P$18,B1683=2020,G1683/$P$18,B1683=2021,G1683/$P$19,B1683=2022,G1683/$P$20)</f>
        <v>4.2081243703327737E-3</v>
      </c>
    </row>
    <row r="1684" spans="1:12" x14ac:dyDescent="0.2">
      <c r="A1684">
        <v>3813760</v>
      </c>
      <c r="B1684">
        <v>2022</v>
      </c>
      <c r="C1684" t="s">
        <v>252</v>
      </c>
      <c r="D1684" t="s">
        <v>254</v>
      </c>
      <c r="E1684" t="s">
        <v>256</v>
      </c>
      <c r="F1684" s="5" t="s">
        <v>235</v>
      </c>
      <c r="G1684" s="5"/>
      <c r="H1684" s="7" cm="1">
        <f t="array" ref="H1684">_xlfn.IFS(B1684=2015,L1684*$P$3,B1684=2016,L1684*$P$4,B1684=2017,L1684*$P$5,B1684=2018,L1684*$P$6,B1684=2019,L1684*$P$7,B1684=2020,L1684*$P$8,B1684=2021,L1684*$P$9,B1684=2022,L1684*$P$10)</f>
        <v>0</v>
      </c>
      <c r="I1684" s="7">
        <f t="shared" si="55"/>
        <v>0</v>
      </c>
      <c r="J1684">
        <f>IFERROR(VLOOKUP(F1684,'LEAID Match'!$A$2:$B$227,2,FALSE),"")</f>
        <v>3813760</v>
      </c>
      <c r="K1684">
        <f t="shared" si="54"/>
        <v>5</v>
      </c>
      <c r="L1684" cm="1">
        <f t="array" ref="L1684">_xlfn.IFS(B1684=2015,G1684/$P$13,B1684=2016,G1684/$P$14,B1684=2017,G1684/$P$15,B1684=2018,G1684/$P$16,B1684=2019,G1684/$P$17,B1684=2019,G1684/$P$18,B1684=2020,G1684/$P$18,B1684=2021,G1684/$P$19,B1684=2022,G1684/$P$20)</f>
        <v>0</v>
      </c>
    </row>
    <row r="1685" spans="1:12" x14ac:dyDescent="0.2">
      <c r="A1685">
        <v>3800405</v>
      </c>
      <c r="B1685">
        <v>2022</v>
      </c>
      <c r="C1685" t="s">
        <v>252</v>
      </c>
      <c r="D1685" t="s">
        <v>254</v>
      </c>
      <c r="E1685" t="s">
        <v>256</v>
      </c>
      <c r="F1685" s="5" t="s">
        <v>248</v>
      </c>
      <c r="G1685" s="7">
        <v>3715013</v>
      </c>
      <c r="H1685" s="7" cm="1">
        <f t="array" ref="H1685">_xlfn.IFS(B1685=2015,L1685*$P$3,B1685=2016,L1685*$P$4,B1685=2017,L1685*$P$5,B1685=2018,L1685*$P$6,B1685=2019,L1685*$P$7,B1685=2020,L1685*$P$8,B1685=2021,L1685*$P$9,B1685=2022,L1685*$P$10)</f>
        <v>75610.036141846154</v>
      </c>
      <c r="I1685" s="7">
        <f t="shared" si="55"/>
        <v>3790623.0361418463</v>
      </c>
      <c r="J1685">
        <f>IFERROR(VLOOKUP(F1685,'LEAID Match'!$A$2:$B$227,2,FALSE),"")</f>
        <v>3800405</v>
      </c>
      <c r="K1685">
        <f t="shared" si="54"/>
        <v>1</v>
      </c>
      <c r="L1685" cm="1">
        <f t="array" ref="L1685">_xlfn.IFS(B1685=2015,G1685/$P$13,B1685=2016,G1685/$P$14,B1685=2017,G1685/$P$15,B1685=2018,G1685/$P$16,B1685=2019,G1685/$P$17,B1685=2019,G1685/$P$18,B1685=2020,G1685/$P$18,B1685=2021,G1685/$P$19,B1685=2022,G1685/$P$20)</f>
        <v>3.7027441793264525E-2</v>
      </c>
    </row>
    <row r="1686" spans="1:12" x14ac:dyDescent="0.2">
      <c r="A1686">
        <v>3819880</v>
      </c>
      <c r="B1686">
        <v>2015</v>
      </c>
      <c r="C1686" t="s">
        <v>252</v>
      </c>
      <c r="D1686" t="s">
        <v>254</v>
      </c>
      <c r="E1686" t="s">
        <v>256</v>
      </c>
      <c r="F1686" s="5" t="s">
        <v>167</v>
      </c>
      <c r="G1686" s="7">
        <v>2096828</v>
      </c>
      <c r="H1686" s="7" cm="1">
        <f t="array" ref="H1686">_xlfn.IFS(B1686=2015,L1686*$P$3,B1686=2016,L1686*$P$4,B1686=2017,L1686*$P$5,B1686=2018,L1686*$P$6,B1686=2019,L1686*$P$7,B1686=2020,L1686*$P$8,B1686=2021,L1686*$P$9,B1686=2022,L1686*$P$10)</f>
        <v>47405.974132291791</v>
      </c>
      <c r="I1686" s="7">
        <f t="shared" si="55"/>
        <v>2144233.974132292</v>
      </c>
      <c r="J1686">
        <f>IFERROR(VLOOKUP(F1686,'LEAID Match'!$A$2:$B$227,2,FALSE),"")</f>
        <v>3819880</v>
      </c>
      <c r="K1686">
        <f t="shared" si="54"/>
        <v>8</v>
      </c>
      <c r="L1686" cm="1">
        <f t="array" ref="L1686">_xlfn.IFS(B1686=2015,G1686/$P$13,B1686=2016,G1686/$P$14,B1686=2017,G1686/$P$15,B1686=2018,G1686/$P$16,B1686=2019,G1686/$P$17,B1686=2019,G1686/$P$18,B1686=2020,G1686/$P$18,B1686=2021,G1686/$P$19,B1686=2022,G1686/$P$20)</f>
        <v>2.6737718066718437E-2</v>
      </c>
    </row>
    <row r="1687" spans="1:12" x14ac:dyDescent="0.2">
      <c r="A1687">
        <v>3819880</v>
      </c>
      <c r="B1687">
        <v>2016</v>
      </c>
      <c r="C1687" t="s">
        <v>252</v>
      </c>
      <c r="D1687" t="s">
        <v>254</v>
      </c>
      <c r="E1687" t="s">
        <v>256</v>
      </c>
      <c r="F1687" s="5" t="s">
        <v>167</v>
      </c>
      <c r="G1687" s="7">
        <v>2344514</v>
      </c>
      <c r="H1687" s="7" cm="1">
        <f t="array" ref="H1687">_xlfn.IFS(B1687=2015,L1687*$P$3,B1687=2016,L1687*$P$4,B1687=2017,L1687*$P$5,B1687=2018,L1687*$P$6,B1687=2019,L1687*$P$7,B1687=2020,L1687*$P$8,B1687=2021,L1687*$P$9,B1687=2022,L1687*$P$10)</f>
        <v>79612.788209589417</v>
      </c>
      <c r="I1687" s="7">
        <f t="shared" si="55"/>
        <v>2424126.7882095892</v>
      </c>
      <c r="J1687">
        <f>IFERROR(VLOOKUP(F1687,'LEAID Match'!$A$2:$B$227,2,FALSE),"")</f>
        <v>3819880</v>
      </c>
      <c r="K1687">
        <f t="shared" si="54"/>
        <v>8</v>
      </c>
      <c r="L1687" cm="1">
        <f t="array" ref="L1687">_xlfn.IFS(B1687=2015,G1687/$P$13,B1687=2016,G1687/$P$14,B1687=2017,G1687/$P$15,B1687=2018,G1687/$P$16,B1687=2019,G1687/$P$17,B1687=2019,G1687/$P$18,B1687=2020,G1687/$P$18,B1687=2021,G1687/$P$19,B1687=2022,G1687/$P$20)</f>
        <v>2.8301737721148031E-2</v>
      </c>
    </row>
    <row r="1688" spans="1:12" x14ac:dyDescent="0.2">
      <c r="A1688">
        <v>3819880</v>
      </c>
      <c r="B1688">
        <v>2017</v>
      </c>
      <c r="C1688" t="s">
        <v>252</v>
      </c>
      <c r="D1688" t="s">
        <v>254</v>
      </c>
      <c r="E1688" t="s">
        <v>256</v>
      </c>
      <c r="F1688" s="5" t="s">
        <v>167</v>
      </c>
      <c r="G1688" s="7">
        <v>2426372</v>
      </c>
      <c r="H1688" s="7" cm="1">
        <f t="array" ref="H1688">_xlfn.IFS(B1688=2015,L1688*$P$3,B1688=2016,L1688*$P$4,B1688=2017,L1688*$P$5,B1688=2018,L1688*$P$6,B1688=2019,L1688*$P$7,B1688=2020,L1688*$P$8,B1688=2021,L1688*$P$9,B1688=2022,L1688*$P$10)</f>
        <v>78633.986925902107</v>
      </c>
      <c r="I1688" s="7">
        <f t="shared" si="55"/>
        <v>2505005.9869259023</v>
      </c>
      <c r="J1688">
        <f>IFERROR(VLOOKUP(F1688,'LEAID Match'!$A$2:$B$227,2,FALSE),"")</f>
        <v>3819880</v>
      </c>
      <c r="K1688">
        <f t="shared" si="54"/>
        <v>8</v>
      </c>
      <c r="L1688" cm="1">
        <f t="array" ref="L1688">_xlfn.IFS(B1688=2015,G1688/$P$13,B1688=2016,G1688/$P$14,B1688=2017,G1688/$P$15,B1688=2018,G1688/$P$16,B1688=2019,G1688/$P$17,B1688=2019,G1688/$P$18,B1688=2020,G1688/$P$18,B1688=2021,G1688/$P$19,B1688=2022,G1688/$P$20)</f>
        <v>2.8194330199319505E-2</v>
      </c>
    </row>
    <row r="1689" spans="1:12" x14ac:dyDescent="0.2">
      <c r="A1689">
        <v>3819880</v>
      </c>
      <c r="B1689" s="5">
        <v>2018</v>
      </c>
      <c r="C1689" t="s">
        <v>252</v>
      </c>
      <c r="D1689" t="s">
        <v>254</v>
      </c>
      <c r="E1689" t="s">
        <v>256</v>
      </c>
      <c r="F1689" s="5" t="s">
        <v>167</v>
      </c>
      <c r="G1689" s="7">
        <v>2454990</v>
      </c>
      <c r="H1689" s="7" cm="1">
        <f t="array" ref="H1689">_xlfn.IFS(B1689=2015,L1689*$P$3,B1689=2016,L1689*$P$4,B1689=2017,L1689*$P$5,B1689=2018,L1689*$P$6,B1689=2019,L1689*$P$7,B1689=2020,L1689*$P$8,B1689=2021,L1689*$P$9,B1689=2022,L1689*$P$10)</f>
        <v>67269.152872768682</v>
      </c>
      <c r="I1689" s="7">
        <f t="shared" si="55"/>
        <v>2522259.1528727687</v>
      </c>
      <c r="J1689">
        <f>IFERROR(VLOOKUP(F1689,'LEAID Match'!$A$2:$B$227,2,FALSE),"")</f>
        <v>3819880</v>
      </c>
      <c r="K1689">
        <f t="shared" si="54"/>
        <v>8</v>
      </c>
      <c r="L1689" cm="1">
        <f t="array" ref="L1689">_xlfn.IFS(B1689=2015,G1689/$P$13,B1689=2016,G1689/$P$14,B1689=2017,G1689/$P$15,B1689=2018,G1689/$P$16,B1689=2019,G1689/$P$17,B1689=2019,G1689/$P$18,B1689=2020,G1689/$P$18,B1689=2021,G1689/$P$19,B1689=2022,G1689/$P$20)</f>
        <v>2.8323853841165758E-2</v>
      </c>
    </row>
    <row r="1690" spans="1:12" x14ac:dyDescent="0.2">
      <c r="A1690">
        <v>3819880</v>
      </c>
      <c r="B1690">
        <v>2019</v>
      </c>
      <c r="C1690" t="s">
        <v>252</v>
      </c>
      <c r="D1690" t="s">
        <v>254</v>
      </c>
      <c r="E1690" t="s">
        <v>256</v>
      </c>
      <c r="F1690" s="5" t="s">
        <v>167</v>
      </c>
      <c r="G1690" s="7">
        <v>2649802</v>
      </c>
      <c r="H1690" s="7" cm="1">
        <f t="array" ref="H1690">_xlfn.IFS(B1690=2015,L1690*$P$3,B1690=2016,L1690*$P$4,B1690=2017,L1690*$P$5,B1690=2018,L1690*$P$6,B1690=2019,L1690*$P$7,B1690=2020,L1690*$P$8,B1690=2021,L1690*$P$9,B1690=2022,L1690*$P$10)</f>
        <v>61501.440350750097</v>
      </c>
      <c r="I1690" s="7">
        <f t="shared" si="55"/>
        <v>2711303.44035075</v>
      </c>
      <c r="J1690">
        <f>IFERROR(VLOOKUP(F1690,'LEAID Match'!$A$2:$B$227,2,FALSE),"")</f>
        <v>3819880</v>
      </c>
      <c r="K1690">
        <f t="shared" si="54"/>
        <v>8</v>
      </c>
      <c r="L1690" cm="1">
        <f t="array" ref="L1690">_xlfn.IFS(B1690=2015,G1690/$P$13,B1690=2016,G1690/$P$14,B1690=2017,G1690/$P$15,B1690=2018,G1690/$P$16,B1690=2019,G1690/$P$17,B1690=2019,G1690/$P$18,B1690=2020,G1690/$P$18,B1690=2021,G1690/$P$19,B1690=2022,G1690/$P$20)</f>
        <v>2.9624971267220662E-2</v>
      </c>
    </row>
    <row r="1691" spans="1:12" x14ac:dyDescent="0.2">
      <c r="A1691">
        <v>3819880</v>
      </c>
      <c r="B1691">
        <v>2020</v>
      </c>
      <c r="C1691" t="s">
        <v>252</v>
      </c>
      <c r="D1691" t="s">
        <v>254</v>
      </c>
      <c r="E1691" t="s">
        <v>256</v>
      </c>
      <c r="F1691" s="5" t="s">
        <v>167</v>
      </c>
      <c r="G1691" s="7">
        <v>2988061</v>
      </c>
      <c r="H1691" s="7" cm="1">
        <f t="array" ref="H1691">_xlfn.IFS(B1691=2015,L1691*$P$3,B1691=2016,L1691*$P$4,B1691=2017,L1691*$P$5,B1691=2018,L1691*$P$6,B1691=2019,L1691*$P$7,B1691=2020,L1691*$P$8,B1691=2021,L1691*$P$9,B1691=2022,L1691*$P$10)</f>
        <v>74964.528766938529</v>
      </c>
      <c r="I1691" s="7">
        <f t="shared" si="55"/>
        <v>3063025.5287669385</v>
      </c>
      <c r="J1691">
        <f>IFERROR(VLOOKUP(F1691,'LEAID Match'!$A$2:$B$227,2,FALSE),"")</f>
        <v>3819880</v>
      </c>
      <c r="K1691">
        <f t="shared" si="54"/>
        <v>8</v>
      </c>
      <c r="L1691" cm="1">
        <f t="array" ref="L1691">_xlfn.IFS(B1691=2015,G1691/$P$13,B1691=2016,G1691/$P$14,B1691=2017,G1691/$P$15,B1691=2018,G1691/$P$16,B1691=2019,G1691/$P$17,B1691=2019,G1691/$P$18,B1691=2020,G1691/$P$18,B1691=2021,G1691/$P$19,B1691=2022,G1691/$P$20)</f>
        <v>3.2118478477694314E-2</v>
      </c>
    </row>
    <row r="1692" spans="1:12" x14ac:dyDescent="0.2">
      <c r="A1692">
        <v>3819880</v>
      </c>
      <c r="B1692" s="5">
        <v>2021</v>
      </c>
      <c r="C1692" t="s">
        <v>252</v>
      </c>
      <c r="D1692" t="s">
        <v>254</v>
      </c>
      <c r="E1692" t="s">
        <v>256</v>
      </c>
      <c r="F1692" s="5" t="s">
        <v>167</v>
      </c>
      <c r="G1692" s="7">
        <v>3283187</v>
      </c>
      <c r="H1692" s="7" cm="1">
        <f t="array" ref="H1692">_xlfn.IFS(B1692=2015,L1692*$P$3,B1692=2016,L1692*$P$4,B1692=2017,L1692*$P$5,B1692=2018,L1692*$P$6,B1692=2019,L1692*$P$7,B1692=2020,L1692*$P$8,B1692=2021,L1692*$P$9,B1692=2022,L1692*$P$10)</f>
        <v>89710.765026687339</v>
      </c>
      <c r="I1692" s="7">
        <f t="shared" si="55"/>
        <v>3372897.7650266872</v>
      </c>
      <c r="J1692">
        <f>IFERROR(VLOOKUP(F1692,'LEAID Match'!$A$2:$B$227,2,FALSE),"")</f>
        <v>3819880</v>
      </c>
      <c r="K1692">
        <f t="shared" si="54"/>
        <v>8</v>
      </c>
      <c r="L1692" cm="1">
        <f t="array" ref="L1692">_xlfn.IFS(B1692=2015,G1692/$P$13,B1692=2016,G1692/$P$14,B1692=2017,G1692/$P$15,B1692=2018,G1692/$P$16,B1692=2019,G1692/$P$17,B1692=2019,G1692/$P$18,B1692=2020,G1692/$P$18,B1692=2021,G1692/$P$19,B1692=2022,G1692/$P$20)</f>
        <v>3.3411830549976665E-2</v>
      </c>
    </row>
    <row r="1693" spans="1:12" x14ac:dyDescent="0.2">
      <c r="A1693">
        <v>3819880</v>
      </c>
      <c r="B1693">
        <v>2022</v>
      </c>
      <c r="C1693" t="s">
        <v>252</v>
      </c>
      <c r="D1693" t="s">
        <v>254</v>
      </c>
      <c r="E1693" t="s">
        <v>256</v>
      </c>
      <c r="F1693" s="5" t="s">
        <v>167</v>
      </c>
      <c r="G1693" s="5"/>
      <c r="H1693" s="7" cm="1">
        <f t="array" ref="H1693">_xlfn.IFS(B1693=2015,L1693*$P$3,B1693=2016,L1693*$P$4,B1693=2017,L1693*$P$5,B1693=2018,L1693*$P$6,B1693=2019,L1693*$P$7,B1693=2020,L1693*$P$8,B1693=2021,L1693*$P$9,B1693=2022,L1693*$P$10)</f>
        <v>0</v>
      </c>
      <c r="I1693" s="7">
        <f t="shared" si="55"/>
        <v>0</v>
      </c>
      <c r="J1693">
        <f>IFERROR(VLOOKUP(F1693,'LEAID Match'!$A$2:$B$227,2,FALSE),"")</f>
        <v>3819880</v>
      </c>
      <c r="K1693">
        <f t="shared" si="54"/>
        <v>8</v>
      </c>
      <c r="L1693" cm="1">
        <f t="array" ref="L1693">_xlfn.IFS(B1693=2015,G1693/$P$13,B1693=2016,G1693/$P$14,B1693=2017,G1693/$P$15,B1693=2018,G1693/$P$16,B1693=2019,G1693/$P$17,B1693=2019,G1693/$P$18,B1693=2020,G1693/$P$18,B1693=2021,G1693/$P$19,B1693=2022,G1693/$P$20)</f>
        <v>0</v>
      </c>
    </row>
    <row r="1694" spans="1:12" x14ac:dyDescent="0.2">
      <c r="A1694">
        <v>3880360</v>
      </c>
      <c r="B1694">
        <v>2015</v>
      </c>
      <c r="C1694" t="s">
        <v>252</v>
      </c>
      <c r="D1694" t="s">
        <v>254</v>
      </c>
      <c r="E1694" t="s">
        <v>256</v>
      </c>
      <c r="F1694" s="5" t="s">
        <v>232</v>
      </c>
      <c r="G1694" s="7">
        <v>369120</v>
      </c>
      <c r="H1694" s="7" cm="1">
        <f t="array" ref="H1694">_xlfn.IFS(B1694=2015,L1694*$P$3,B1694=2016,L1694*$P$4,B1694=2017,L1694*$P$5,B1694=2018,L1694*$P$6,B1694=2019,L1694*$P$7,B1694=2020,L1694*$P$8,B1694=2021,L1694*$P$9,B1694=2022,L1694*$P$10)</f>
        <v>8345.2210537590818</v>
      </c>
      <c r="I1694" s="7">
        <f t="shared" si="55"/>
        <v>377465.2210537591</v>
      </c>
      <c r="J1694">
        <f>IFERROR(VLOOKUP(F1694,'LEAID Match'!$A$2:$B$227,2,FALSE),"")</f>
        <v>3880360</v>
      </c>
      <c r="K1694">
        <f t="shared" si="54"/>
        <v>8</v>
      </c>
      <c r="L1694" cm="1">
        <f t="array" ref="L1694">_xlfn.IFS(B1694=2015,G1694/$P$13,B1694=2016,G1694/$P$14,B1694=2017,G1694/$P$15,B1694=2018,G1694/$P$16,B1694=2019,G1694/$P$17,B1694=2019,G1694/$P$18,B1694=2020,G1694/$P$18,B1694=2021,G1694/$P$19,B1694=2022,G1694/$P$20)</f>
        <v>4.7068364657411625E-3</v>
      </c>
    </row>
    <row r="1695" spans="1:12" x14ac:dyDescent="0.2">
      <c r="A1695">
        <v>3880360</v>
      </c>
      <c r="B1695">
        <v>2016</v>
      </c>
      <c r="C1695" t="s">
        <v>252</v>
      </c>
      <c r="D1695" t="s">
        <v>254</v>
      </c>
      <c r="E1695" t="s">
        <v>256</v>
      </c>
      <c r="F1695" s="5" t="s">
        <v>232</v>
      </c>
      <c r="G1695" s="7">
        <v>424237</v>
      </c>
      <c r="H1695" s="7" cm="1">
        <f t="array" ref="H1695">_xlfn.IFS(B1695=2015,L1695*$P$3,B1695=2016,L1695*$P$4,B1695=2017,L1695*$P$5,B1695=2018,L1695*$P$6,B1695=2019,L1695*$P$7,B1695=2020,L1695*$P$8,B1695=2021,L1695*$P$9,B1695=2022,L1695*$P$10)</f>
        <v>14405.838664930805</v>
      </c>
      <c r="I1695" s="7">
        <f t="shared" si="55"/>
        <v>438642.83866493078</v>
      </c>
      <c r="J1695">
        <f>IFERROR(VLOOKUP(F1695,'LEAID Match'!$A$2:$B$227,2,FALSE),"")</f>
        <v>3880360</v>
      </c>
      <c r="K1695">
        <f t="shared" si="54"/>
        <v>8</v>
      </c>
      <c r="L1695" cm="1">
        <f t="array" ref="L1695">_xlfn.IFS(B1695=2015,G1695/$P$13,B1695=2016,G1695/$P$14,B1695=2017,G1695/$P$15,B1695=2018,G1695/$P$16,B1695=2019,G1695/$P$17,B1695=2019,G1695/$P$18,B1695=2020,G1695/$P$18,B1695=2021,G1695/$P$19,B1695=2022,G1695/$P$20)</f>
        <v>5.1211655403237844E-3</v>
      </c>
    </row>
    <row r="1696" spans="1:12" x14ac:dyDescent="0.2">
      <c r="A1696">
        <v>3880360</v>
      </c>
      <c r="B1696">
        <v>2017</v>
      </c>
      <c r="C1696" t="s">
        <v>252</v>
      </c>
      <c r="D1696" t="s">
        <v>254</v>
      </c>
      <c r="E1696" t="s">
        <v>256</v>
      </c>
      <c r="F1696" s="5" t="s">
        <v>232</v>
      </c>
      <c r="G1696" s="7">
        <v>495484</v>
      </c>
      <c r="H1696" s="7" cm="1">
        <f t="array" ref="H1696">_xlfn.IFS(B1696=2015,L1696*$P$3,B1696=2016,L1696*$P$4,B1696=2017,L1696*$P$5,B1696=2018,L1696*$P$6,B1696=2019,L1696*$P$7,B1696=2020,L1696*$P$8,B1696=2021,L1696*$P$9,B1696=2022,L1696*$P$10)</f>
        <v>16057.670620166105</v>
      </c>
      <c r="I1696" s="7">
        <f t="shared" si="55"/>
        <v>511541.67062016611</v>
      </c>
      <c r="J1696">
        <f>IFERROR(VLOOKUP(F1696,'LEAID Match'!$A$2:$B$227,2,FALSE),"")</f>
        <v>3880360</v>
      </c>
      <c r="K1696">
        <f t="shared" si="54"/>
        <v>8</v>
      </c>
      <c r="L1696" cm="1">
        <f t="array" ref="L1696">_xlfn.IFS(B1696=2015,G1696/$P$13,B1696=2016,G1696/$P$14,B1696=2017,G1696/$P$15,B1696=2018,G1696/$P$16,B1696=2019,G1696/$P$17,B1696=2019,G1696/$P$18,B1696=2020,G1696/$P$18,B1696=2021,G1696/$P$19,B1696=2022,G1696/$P$20)</f>
        <v>5.757501118740088E-3</v>
      </c>
    </row>
    <row r="1697" spans="1:12" x14ac:dyDescent="0.2">
      <c r="A1697">
        <v>3880360</v>
      </c>
      <c r="B1697" s="5">
        <v>2018</v>
      </c>
      <c r="C1697" t="s">
        <v>252</v>
      </c>
      <c r="D1697" t="s">
        <v>254</v>
      </c>
      <c r="E1697" t="s">
        <v>256</v>
      </c>
      <c r="F1697" s="5" t="s">
        <v>232</v>
      </c>
      <c r="G1697" s="7">
        <v>479786</v>
      </c>
      <c r="H1697" s="7" cm="1">
        <f t="array" ref="H1697">_xlfn.IFS(B1697=2015,L1697*$P$3,B1697=2016,L1697*$P$4,B1697=2017,L1697*$P$5,B1697=2018,L1697*$P$6,B1697=2019,L1697*$P$7,B1697=2020,L1697*$P$8,B1697=2021,L1697*$P$9,B1697=2022,L1697*$P$10)</f>
        <v>13146.610690965825</v>
      </c>
      <c r="I1697" s="7">
        <f t="shared" si="55"/>
        <v>492932.61069096584</v>
      </c>
      <c r="J1697">
        <f>IFERROR(VLOOKUP(F1697,'LEAID Match'!$A$2:$B$227,2,FALSE),"")</f>
        <v>3880360</v>
      </c>
      <c r="K1697">
        <f t="shared" si="54"/>
        <v>8</v>
      </c>
      <c r="L1697" cm="1">
        <f t="array" ref="L1697">_xlfn.IFS(B1697=2015,G1697/$P$13,B1697=2016,G1697/$P$14,B1697=2017,G1697/$P$15,B1697=2018,G1697/$P$16,B1697=2019,G1697/$P$17,B1697=2019,G1697/$P$18,B1697=2020,G1697/$P$18,B1697=2021,G1697/$P$19,B1697=2022,G1697/$P$20)</f>
        <v>5.5354150277750844E-3</v>
      </c>
    </row>
    <row r="1698" spans="1:12" x14ac:dyDescent="0.2">
      <c r="A1698">
        <v>3880360</v>
      </c>
      <c r="B1698">
        <v>2019</v>
      </c>
      <c r="C1698" t="s">
        <v>252</v>
      </c>
      <c r="D1698" t="s">
        <v>254</v>
      </c>
      <c r="E1698" t="s">
        <v>256</v>
      </c>
      <c r="F1698" s="5" t="s">
        <v>232</v>
      </c>
      <c r="G1698" s="7">
        <v>547236</v>
      </c>
      <c r="H1698" s="7" cm="1">
        <f t="array" ref="H1698">_xlfn.IFS(B1698=2015,L1698*$P$3,B1698=2016,L1698*$P$4,B1698=2017,L1698*$P$5,B1698=2018,L1698*$P$6,B1698=2019,L1698*$P$7,B1698=2020,L1698*$P$8,B1698=2021,L1698*$P$9,B1698=2022,L1698*$P$10)</f>
        <v>12701.25172061274</v>
      </c>
      <c r="I1698" s="7">
        <f t="shared" si="55"/>
        <v>559937.25172061275</v>
      </c>
      <c r="J1698">
        <f>IFERROR(VLOOKUP(F1698,'LEAID Match'!$A$2:$B$227,2,FALSE),"")</f>
        <v>3880360</v>
      </c>
      <c r="K1698">
        <f t="shared" si="54"/>
        <v>8</v>
      </c>
      <c r="L1698" cm="1">
        <f t="array" ref="L1698">_xlfn.IFS(B1698=2015,G1698/$P$13,B1698=2016,G1698/$P$14,B1698=2017,G1698/$P$15,B1698=2018,G1698/$P$16,B1698=2019,G1698/$P$17,B1698=2019,G1698/$P$18,B1698=2020,G1698/$P$18,B1698=2021,G1698/$P$19,B1698=2022,G1698/$P$20)</f>
        <v>6.1181366669618206E-3</v>
      </c>
    </row>
    <row r="1699" spans="1:12" x14ac:dyDescent="0.2">
      <c r="A1699">
        <v>3880360</v>
      </c>
      <c r="B1699">
        <v>2020</v>
      </c>
      <c r="C1699" t="s">
        <v>252</v>
      </c>
      <c r="D1699" t="s">
        <v>254</v>
      </c>
      <c r="E1699" t="s">
        <v>256</v>
      </c>
      <c r="F1699" s="5" t="s">
        <v>232</v>
      </c>
      <c r="G1699" s="7">
        <v>565616</v>
      </c>
      <c r="H1699" s="7" cm="1">
        <f t="array" ref="H1699">_xlfn.IFS(B1699=2015,L1699*$P$3,B1699=2016,L1699*$P$4,B1699=2017,L1699*$P$5,B1699=2018,L1699*$P$6,B1699=2019,L1699*$P$7,B1699=2020,L1699*$P$8,B1699=2021,L1699*$P$9,B1699=2022,L1699*$P$10)</f>
        <v>14190.184505283092</v>
      </c>
      <c r="I1699" s="7">
        <f t="shared" si="55"/>
        <v>579806.18450528313</v>
      </c>
      <c r="J1699">
        <f>IFERROR(VLOOKUP(F1699,'LEAID Match'!$A$2:$B$227,2,FALSE),"")</f>
        <v>3880360</v>
      </c>
      <c r="K1699">
        <f t="shared" si="54"/>
        <v>8</v>
      </c>
      <c r="L1699" cm="1">
        <f t="array" ref="L1699">_xlfn.IFS(B1699=2015,G1699/$P$13,B1699=2016,G1699/$P$14,B1699=2017,G1699/$P$15,B1699=2018,G1699/$P$16,B1699=2019,G1699/$P$17,B1699=2019,G1699/$P$18,B1699=2020,G1699/$P$18,B1699=2021,G1699/$P$19,B1699=2022,G1699/$P$20)</f>
        <v>6.079770567816235E-3</v>
      </c>
    </row>
    <row r="1700" spans="1:12" x14ac:dyDescent="0.2">
      <c r="A1700">
        <v>3880360</v>
      </c>
      <c r="B1700" s="5">
        <v>2021</v>
      </c>
      <c r="C1700" t="s">
        <v>252</v>
      </c>
      <c r="D1700" t="s">
        <v>254</v>
      </c>
      <c r="E1700" t="s">
        <v>256</v>
      </c>
      <c r="F1700" s="5" t="s">
        <v>232</v>
      </c>
      <c r="G1700" s="7">
        <v>648288</v>
      </c>
      <c r="H1700" s="7" cm="1">
        <f t="array" ref="H1700">_xlfn.IFS(B1700=2015,L1700*$P$3,B1700=2016,L1700*$P$4,B1700=2017,L1700*$P$5,B1700=2018,L1700*$P$6,B1700=2019,L1700*$P$7,B1700=2020,L1700*$P$8,B1700=2021,L1700*$P$9,B1700=2022,L1700*$P$10)</f>
        <v>17714.011549637922</v>
      </c>
      <c r="I1700" s="7">
        <f t="shared" si="55"/>
        <v>666002.01154963789</v>
      </c>
      <c r="J1700">
        <f>IFERROR(VLOOKUP(F1700,'LEAID Match'!$A$2:$B$227,2,FALSE),"")</f>
        <v>3880360</v>
      </c>
      <c r="K1700">
        <f t="shared" si="54"/>
        <v>8</v>
      </c>
      <c r="L1700" cm="1">
        <f t="array" ref="L1700">_xlfn.IFS(B1700=2015,G1700/$P$13,B1700=2016,G1700/$P$14,B1700=2017,G1700/$P$15,B1700=2018,G1700/$P$16,B1700=2019,G1700/$P$17,B1700=2019,G1700/$P$18,B1700=2020,G1700/$P$18,B1700=2021,G1700/$P$19,B1700=2022,G1700/$P$20)</f>
        <v>6.5973972251910321E-3</v>
      </c>
    </row>
    <row r="1701" spans="1:12" x14ac:dyDescent="0.2">
      <c r="A1701">
        <v>3880360</v>
      </c>
      <c r="B1701">
        <v>2022</v>
      </c>
      <c r="C1701" t="s">
        <v>252</v>
      </c>
      <c r="D1701" t="s">
        <v>254</v>
      </c>
      <c r="E1701" t="s">
        <v>256</v>
      </c>
      <c r="F1701" s="5" t="s">
        <v>232</v>
      </c>
      <c r="G1701" s="7">
        <v>690172</v>
      </c>
      <c r="H1701" s="7" cm="1">
        <f t="array" ref="H1701">_xlfn.IFS(B1701=2015,L1701*$P$3,B1701=2016,L1701*$P$4,B1701=2017,L1701*$P$5,B1701=2018,L1701*$P$6,B1701=2019,L1701*$P$7,B1701=2020,L1701*$P$8,B1701=2021,L1701*$P$9,B1701=2022,L1701*$P$10)</f>
        <v>14046.769113349064</v>
      </c>
      <c r="I1701" s="7">
        <f t="shared" si="55"/>
        <v>704218.76911334903</v>
      </c>
      <c r="J1701">
        <f>IFERROR(VLOOKUP(F1701,'LEAID Match'!$A$2:$B$227,2,FALSE),"")</f>
        <v>3880360</v>
      </c>
      <c r="K1701">
        <f t="shared" si="54"/>
        <v>8</v>
      </c>
      <c r="L1701" cm="1">
        <f t="array" ref="L1701">_xlfn.IFS(B1701=2015,G1701/$P$13,B1701=2016,G1701/$P$14,B1701=2017,G1701/$P$15,B1701=2018,G1701/$P$16,B1701=2019,G1701/$P$17,B1701=2019,G1701/$P$18,B1701=2020,G1701/$P$18,B1701=2021,G1701/$P$19,B1701=2022,G1701/$P$20)</f>
        <v>6.8789270878300999E-3</v>
      </c>
    </row>
    <row r="1702" spans="1:12" x14ac:dyDescent="0.2">
      <c r="A1702">
        <v>3813200</v>
      </c>
      <c r="B1702">
        <v>2015</v>
      </c>
      <c r="C1702" t="s">
        <v>252</v>
      </c>
      <c r="D1702" t="s">
        <v>254</v>
      </c>
      <c r="E1702" t="s">
        <v>256</v>
      </c>
      <c r="F1702" s="5" t="s">
        <v>168</v>
      </c>
      <c r="G1702" s="7">
        <v>153910</v>
      </c>
      <c r="H1702" s="7" cm="1">
        <f t="array" ref="H1702">_xlfn.IFS(B1702=2015,L1702*$P$3,B1702=2016,L1702*$P$4,B1702=2017,L1702*$P$5,B1702=2018,L1702*$P$6,B1702=2019,L1702*$P$7,B1702=2020,L1702*$P$8,B1702=2021,L1702*$P$9,B1702=2022,L1702*$P$10)</f>
        <v>3479.6623655831713</v>
      </c>
      <c r="I1702" s="7">
        <f t="shared" si="55"/>
        <v>157389.66236558318</v>
      </c>
      <c r="J1702">
        <f>IFERROR(VLOOKUP(F1702,'LEAID Match'!$A$2:$B$227,2,FALSE),"")</f>
        <v>3813200</v>
      </c>
      <c r="K1702">
        <f t="shared" si="54"/>
        <v>8</v>
      </c>
      <c r="L1702" cm="1">
        <f t="array" ref="L1702">_xlfn.IFS(B1702=2015,G1702/$P$13,B1702=2016,G1702/$P$14,B1702=2017,G1702/$P$15,B1702=2018,G1702/$P$16,B1702=2019,G1702/$P$17,B1702=2019,G1702/$P$18,B1702=2020,G1702/$P$18,B1702=2021,G1702/$P$19,B1702=2022,G1702/$P$20)</f>
        <v>1.9625845265556522E-3</v>
      </c>
    </row>
    <row r="1703" spans="1:12" x14ac:dyDescent="0.2">
      <c r="A1703">
        <v>3813200</v>
      </c>
      <c r="B1703">
        <v>2016</v>
      </c>
      <c r="C1703" t="s">
        <v>252</v>
      </c>
      <c r="D1703" t="s">
        <v>254</v>
      </c>
      <c r="E1703" t="s">
        <v>256</v>
      </c>
      <c r="F1703" s="5" t="s">
        <v>168</v>
      </c>
      <c r="G1703" s="7">
        <v>164021</v>
      </c>
      <c r="H1703" s="7" cm="1">
        <f t="array" ref="H1703">_xlfn.IFS(B1703=2015,L1703*$P$3,B1703=2016,L1703*$P$4,B1703=2017,L1703*$P$5,B1703=2018,L1703*$P$6,B1703=2019,L1703*$P$7,B1703=2020,L1703*$P$8,B1703=2021,L1703*$P$9,B1703=2022,L1703*$P$10)</f>
        <v>5569.6699336941747</v>
      </c>
      <c r="I1703" s="7">
        <f t="shared" si="55"/>
        <v>169590.66993369418</v>
      </c>
      <c r="J1703">
        <f>IFERROR(VLOOKUP(F1703,'LEAID Match'!$A$2:$B$227,2,FALSE),"")</f>
        <v>3813200</v>
      </c>
      <c r="K1703">
        <f t="shared" si="54"/>
        <v>8</v>
      </c>
      <c r="L1703" cm="1">
        <f t="array" ref="L1703">_xlfn.IFS(B1703=2015,G1703/$P$13,B1703=2016,G1703/$P$14,B1703=2017,G1703/$P$15,B1703=2018,G1703/$P$16,B1703=2019,G1703/$P$17,B1703=2019,G1703/$P$18,B1703=2020,G1703/$P$18,B1703=2021,G1703/$P$19,B1703=2022,G1703/$P$20)</f>
        <v>1.9799750919638017E-3</v>
      </c>
    </row>
    <row r="1704" spans="1:12" x14ac:dyDescent="0.2">
      <c r="A1704">
        <v>3813200</v>
      </c>
      <c r="B1704">
        <v>2017</v>
      </c>
      <c r="C1704" t="s">
        <v>252</v>
      </c>
      <c r="D1704" t="s">
        <v>254</v>
      </c>
      <c r="E1704" t="s">
        <v>256</v>
      </c>
      <c r="F1704" s="5" t="s">
        <v>168</v>
      </c>
      <c r="G1704" s="7">
        <v>175138</v>
      </c>
      <c r="H1704" s="7" cm="1">
        <f t="array" ref="H1704">_xlfn.IFS(B1704=2015,L1704*$P$3,B1704=2016,L1704*$P$4,B1704=2017,L1704*$P$5,B1704=2018,L1704*$P$6,B1704=2019,L1704*$P$7,B1704=2020,L1704*$P$8,B1704=2021,L1704*$P$9,B1704=2022,L1704*$P$10)</f>
        <v>5675.8811930852489</v>
      </c>
      <c r="I1704" s="7">
        <f t="shared" si="55"/>
        <v>180813.88119308525</v>
      </c>
      <c r="J1704">
        <f>IFERROR(VLOOKUP(F1704,'LEAID Match'!$A$2:$B$227,2,FALSE),"")</f>
        <v>3813200</v>
      </c>
      <c r="K1704">
        <f t="shared" si="54"/>
        <v>8</v>
      </c>
      <c r="L1704" cm="1">
        <f t="array" ref="L1704">_xlfn.IFS(B1704=2015,G1704/$P$13,B1704=2016,G1704/$P$14,B1704=2017,G1704/$P$15,B1704=2018,G1704/$P$16,B1704=2019,G1704/$P$17,B1704=2019,G1704/$P$18,B1704=2020,G1704/$P$18,B1704=2021,G1704/$P$19,B1704=2022,G1704/$P$20)</f>
        <v>2.0350954439172638E-3</v>
      </c>
    </row>
    <row r="1705" spans="1:12" x14ac:dyDescent="0.2">
      <c r="A1705">
        <v>3813200</v>
      </c>
      <c r="B1705" s="5">
        <v>2018</v>
      </c>
      <c r="C1705" t="s">
        <v>252</v>
      </c>
      <c r="D1705" t="s">
        <v>254</v>
      </c>
      <c r="E1705" t="s">
        <v>256</v>
      </c>
      <c r="F1705" s="5" t="s">
        <v>168</v>
      </c>
      <c r="G1705" s="7">
        <v>171515</v>
      </c>
      <c r="H1705" s="7" cm="1">
        <f t="array" ref="H1705">_xlfn.IFS(B1705=2015,L1705*$P$3,B1705=2016,L1705*$P$4,B1705=2017,L1705*$P$5,B1705=2018,L1705*$P$6,B1705=2019,L1705*$P$7,B1705=2020,L1705*$P$8,B1705=2021,L1705*$P$9,B1705=2022,L1705*$P$10)</f>
        <v>4699.6805506225764</v>
      </c>
      <c r="I1705" s="7">
        <f t="shared" si="55"/>
        <v>176214.68055062258</v>
      </c>
      <c r="J1705">
        <f>IFERROR(VLOOKUP(F1705,'LEAID Match'!$A$2:$B$227,2,FALSE),"")</f>
        <v>3813200</v>
      </c>
      <c r="K1705">
        <f t="shared" si="54"/>
        <v>8</v>
      </c>
      <c r="L1705" cm="1">
        <f t="array" ref="L1705">_xlfn.IFS(B1705=2015,G1705/$P$13,B1705=2016,G1705/$P$14,B1705=2017,G1705/$P$15,B1705=2018,G1705/$P$16,B1705=2019,G1705/$P$17,B1705=2019,G1705/$P$18,B1705=2020,G1705/$P$18,B1705=2021,G1705/$P$19,B1705=2022,G1705/$P$20)</f>
        <v>1.978812863420032E-3</v>
      </c>
    </row>
    <row r="1706" spans="1:12" x14ac:dyDescent="0.2">
      <c r="A1706">
        <v>3813200</v>
      </c>
      <c r="B1706">
        <v>2019</v>
      </c>
      <c r="C1706" t="s">
        <v>252</v>
      </c>
      <c r="D1706" t="s">
        <v>254</v>
      </c>
      <c r="E1706" t="s">
        <v>256</v>
      </c>
      <c r="F1706" s="5" t="s">
        <v>168</v>
      </c>
      <c r="G1706" s="7">
        <v>182998</v>
      </c>
      <c r="H1706" s="7" cm="1">
        <f t="array" ref="H1706">_xlfn.IFS(B1706=2015,L1706*$P$3,B1706=2016,L1706*$P$4,B1706=2017,L1706*$P$5,B1706=2018,L1706*$P$6,B1706=2019,L1706*$P$7,B1706=2020,L1706*$P$8,B1706=2021,L1706*$P$9,B1706=2022,L1706*$P$10)</f>
        <v>4247.3515309093154</v>
      </c>
      <c r="I1706" s="7">
        <f t="shared" si="55"/>
        <v>187245.35153090931</v>
      </c>
      <c r="J1706">
        <f>IFERROR(VLOOKUP(F1706,'LEAID Match'!$A$2:$B$227,2,FALSE),"")</f>
        <v>3813200</v>
      </c>
      <c r="K1706">
        <f t="shared" si="54"/>
        <v>8</v>
      </c>
      <c r="L1706" cm="1">
        <f t="array" ref="L1706">_xlfn.IFS(B1706=2015,G1706/$P$13,B1706=2016,G1706/$P$14,B1706=2017,G1706/$P$15,B1706=2018,G1706/$P$16,B1706=2019,G1706/$P$17,B1706=2019,G1706/$P$18,B1706=2020,G1706/$P$18,B1706=2021,G1706/$P$19,B1706=2022,G1706/$P$20)</f>
        <v>2.0459304098792465E-3</v>
      </c>
    </row>
    <row r="1707" spans="1:12" x14ac:dyDescent="0.2">
      <c r="A1707">
        <v>3813200</v>
      </c>
      <c r="B1707">
        <v>2020</v>
      </c>
      <c r="C1707" t="s">
        <v>252</v>
      </c>
      <c r="D1707" t="s">
        <v>254</v>
      </c>
      <c r="E1707" t="s">
        <v>256</v>
      </c>
      <c r="F1707" s="5" t="s">
        <v>168</v>
      </c>
      <c r="G1707" s="7">
        <v>192682</v>
      </c>
      <c r="H1707" s="7" cm="1">
        <f t="array" ref="H1707">_xlfn.IFS(B1707=2015,L1707*$P$3,B1707=2016,L1707*$P$4,B1707=2017,L1707*$P$5,B1707=2018,L1707*$P$6,B1707=2019,L1707*$P$7,B1707=2020,L1707*$P$8,B1707=2021,L1707*$P$9,B1707=2022,L1707*$P$10)</f>
        <v>4834.0095238588665</v>
      </c>
      <c r="I1707" s="7">
        <f t="shared" si="55"/>
        <v>197516.00952385887</v>
      </c>
      <c r="J1707">
        <f>IFERROR(VLOOKUP(F1707,'LEAID Match'!$A$2:$B$227,2,FALSE),"")</f>
        <v>3813200</v>
      </c>
      <c r="K1707">
        <f t="shared" si="54"/>
        <v>8</v>
      </c>
      <c r="L1707" cm="1">
        <f t="array" ref="L1707">_xlfn.IFS(B1707=2015,G1707/$P$13,B1707=2016,G1707/$P$14,B1707=2017,G1707/$P$15,B1707=2018,G1707/$P$16,B1707=2019,G1707/$P$17,B1707=2019,G1707/$P$18,B1707=2020,G1707/$P$18,B1707=2021,G1707/$P$19,B1707=2022,G1707/$P$20)</f>
        <v>2.0711266169061125E-3</v>
      </c>
    </row>
    <row r="1708" spans="1:12" x14ac:dyDescent="0.2">
      <c r="A1708">
        <v>3813200</v>
      </c>
      <c r="B1708" s="5">
        <v>2021</v>
      </c>
      <c r="C1708" t="s">
        <v>252</v>
      </c>
      <c r="D1708" t="s">
        <v>254</v>
      </c>
      <c r="E1708" t="s">
        <v>256</v>
      </c>
      <c r="F1708" s="5" t="s">
        <v>168</v>
      </c>
      <c r="G1708" s="7">
        <v>202111</v>
      </c>
      <c r="H1708" s="7" cm="1">
        <f t="array" ref="H1708">_xlfn.IFS(B1708=2015,L1708*$P$3,B1708=2016,L1708*$P$4,B1708=2017,L1708*$P$5,B1708=2018,L1708*$P$6,B1708=2019,L1708*$P$7,B1708=2020,L1708*$P$8,B1708=2021,L1708*$P$9,B1708=2022,L1708*$P$10)</f>
        <v>5522.5402727011297</v>
      </c>
      <c r="I1708" s="7">
        <f t="shared" si="55"/>
        <v>207633.54027270112</v>
      </c>
      <c r="J1708">
        <f>IFERROR(VLOOKUP(F1708,'LEAID Match'!$A$2:$B$227,2,FALSE),"")</f>
        <v>3813200</v>
      </c>
      <c r="K1708">
        <f t="shared" si="54"/>
        <v>8</v>
      </c>
      <c r="L1708" cm="1">
        <f t="array" ref="L1708">_xlfn.IFS(B1708=2015,G1708/$P$13,B1708=2016,G1708/$P$14,B1708=2017,G1708/$P$15,B1708=2018,G1708/$P$16,B1708=2019,G1708/$P$17,B1708=2019,G1708/$P$18,B1708=2020,G1708/$P$18,B1708=2021,G1708/$P$19,B1708=2022,G1708/$P$20)</f>
        <v>2.0568120196279814E-3</v>
      </c>
    </row>
    <row r="1709" spans="1:12" x14ac:dyDescent="0.2">
      <c r="A1709">
        <v>3813200</v>
      </c>
      <c r="B1709">
        <v>2022</v>
      </c>
      <c r="C1709" t="s">
        <v>252</v>
      </c>
      <c r="D1709" t="s">
        <v>254</v>
      </c>
      <c r="E1709" t="s">
        <v>256</v>
      </c>
      <c r="F1709" s="5" t="s">
        <v>168</v>
      </c>
      <c r="G1709" s="7">
        <v>218111</v>
      </c>
      <c r="H1709" s="7" cm="1">
        <f t="array" ref="H1709">_xlfn.IFS(B1709=2015,L1709*$P$3,B1709=2016,L1709*$P$4,B1709=2017,L1709*$P$5,B1709=2018,L1709*$P$6,B1709=2019,L1709*$P$7,B1709=2020,L1709*$P$8,B1709=2021,L1709*$P$9,B1709=2022,L1709*$P$10)</f>
        <v>4439.117869287189</v>
      </c>
      <c r="I1709" s="7">
        <f t="shared" si="55"/>
        <v>222550.11786928718</v>
      </c>
      <c r="J1709">
        <f>IFERROR(VLOOKUP(F1709,'LEAID Match'!$A$2:$B$227,2,FALSE),"")</f>
        <v>3813200</v>
      </c>
      <c r="K1709">
        <f t="shared" si="54"/>
        <v>8</v>
      </c>
      <c r="L1709" cm="1">
        <f t="array" ref="L1709">_xlfn.IFS(B1709=2015,G1709/$P$13,B1709=2016,G1709/$P$14,B1709=2017,G1709/$P$15,B1709=2018,G1709/$P$16,B1709=2019,G1709/$P$17,B1709=2019,G1709/$P$18,B1709=2020,G1709/$P$18,B1709=2021,G1709/$P$19,B1709=2022,G1709/$P$20)</f>
        <v>2.173906889954549E-3</v>
      </c>
    </row>
    <row r="1710" spans="1:12" x14ac:dyDescent="0.2">
      <c r="A1710">
        <v>3820130</v>
      </c>
      <c r="B1710">
        <v>2022</v>
      </c>
      <c r="C1710" t="s">
        <v>252</v>
      </c>
      <c r="D1710" t="s">
        <v>254</v>
      </c>
      <c r="E1710" t="s">
        <v>256</v>
      </c>
      <c r="F1710" s="5" t="s">
        <v>169</v>
      </c>
      <c r="G1710" s="7">
        <v>84110</v>
      </c>
      <c r="H1710" s="7" cm="1">
        <f t="array" ref="H1710">_xlfn.IFS(B1710=2015,L1710*$P$3,B1710=2016,L1710*$P$4,B1710=2017,L1710*$P$5,B1710=2018,L1710*$P$6,B1710=2019,L1710*$P$7,B1710=2020,L1710*$P$8,B1710=2021,L1710*$P$9,B1710=2022,L1710*$P$10)</f>
        <v>1711.8540742362625</v>
      </c>
      <c r="I1710" s="7">
        <f t="shared" si="55"/>
        <v>85821.854074236267</v>
      </c>
      <c r="J1710">
        <f>IFERROR(VLOOKUP(F1710,'LEAID Match'!$A$2:$B$227,2,FALSE),"")</f>
        <v>3820130</v>
      </c>
      <c r="K1710">
        <f t="shared" si="54"/>
        <v>8</v>
      </c>
      <c r="L1710" cm="1">
        <f t="array" ref="L1710">_xlfn.IFS(B1710=2015,G1710/$P$13,B1710=2016,G1710/$P$14,B1710=2017,G1710/$P$15,B1710=2018,G1710/$P$16,B1710=2019,G1710/$P$17,B1710=2019,G1710/$P$18,B1710=2020,G1710/$P$18,B1710=2021,G1710/$P$19,B1710=2022,G1710/$P$20)</f>
        <v>8.3832226945948214E-4</v>
      </c>
    </row>
    <row r="1711" spans="1:12" x14ac:dyDescent="0.2">
      <c r="A1711">
        <v>3820130</v>
      </c>
      <c r="B1711">
        <v>2015</v>
      </c>
      <c r="C1711" t="s">
        <v>252</v>
      </c>
      <c r="D1711" t="s">
        <v>254</v>
      </c>
      <c r="E1711" t="s">
        <v>256</v>
      </c>
      <c r="F1711" s="5" t="s">
        <v>169</v>
      </c>
      <c r="G1711" s="7">
        <v>83085</v>
      </c>
      <c r="H1711" s="7" cm="1">
        <f t="array" ref="H1711">_xlfn.IFS(B1711=2015,L1711*$P$3,B1711=2016,L1711*$P$4,B1711=2017,L1711*$P$5,B1711=2018,L1711*$P$6,B1711=2019,L1711*$P$7,B1711=2020,L1711*$P$8,B1711=2021,L1711*$P$9,B1711=2022,L1711*$P$10)</f>
        <v>1878.4208150508591</v>
      </c>
      <c r="I1711" s="7">
        <f t="shared" si="55"/>
        <v>84963.420815050864</v>
      </c>
      <c r="J1711">
        <f>IFERROR(VLOOKUP(F1711,'LEAID Match'!$A$2:$B$227,2,FALSE),"")</f>
        <v>3820130</v>
      </c>
      <c r="K1711">
        <f t="shared" si="54"/>
        <v>8</v>
      </c>
      <c r="L1711" cm="1">
        <f t="array" ref="L1711">_xlfn.IFS(B1711=2015,G1711/$P$13,B1711=2016,G1711/$P$14,B1711=2017,G1711/$P$15,B1711=2018,G1711/$P$16,B1711=2019,G1711/$P$17,B1711=2019,G1711/$P$18,B1711=2020,G1711/$P$18,B1711=2021,G1711/$P$19,B1711=2022,G1711/$P$20)</f>
        <v>1.0594590045408117E-3</v>
      </c>
    </row>
    <row r="1712" spans="1:12" x14ac:dyDescent="0.2">
      <c r="A1712">
        <v>3820130</v>
      </c>
      <c r="B1712">
        <v>2016</v>
      </c>
      <c r="C1712" t="s">
        <v>252</v>
      </c>
      <c r="D1712" t="s">
        <v>254</v>
      </c>
      <c r="E1712" t="s">
        <v>256</v>
      </c>
      <c r="F1712" s="5" t="s">
        <v>169</v>
      </c>
      <c r="G1712" s="7">
        <v>84029</v>
      </c>
      <c r="H1712" s="7" cm="1">
        <f t="array" ref="H1712">_xlfn.IFS(B1712=2015,L1712*$P$3,B1712=2016,L1712*$P$4,B1712=2017,L1712*$P$5,B1712=2018,L1712*$P$6,B1712=2019,L1712*$P$7,B1712=2020,L1712*$P$8,B1712=2021,L1712*$P$9,B1712=2022,L1712*$P$10)</f>
        <v>2853.3772800945476</v>
      </c>
      <c r="I1712" s="7">
        <f t="shared" si="55"/>
        <v>86882.377280094544</v>
      </c>
      <c r="J1712">
        <f>IFERROR(VLOOKUP(F1712,'LEAID Match'!$A$2:$B$227,2,FALSE),"")</f>
        <v>3820130</v>
      </c>
      <c r="K1712">
        <f t="shared" si="54"/>
        <v>8</v>
      </c>
      <c r="L1712" cm="1">
        <f t="array" ref="L1712">_xlfn.IFS(B1712=2015,G1712/$P$13,B1712=2016,G1712/$P$14,B1712=2017,G1712/$P$15,B1712=2018,G1712/$P$16,B1712=2019,G1712/$P$17,B1712=2019,G1712/$P$18,B1712=2020,G1712/$P$18,B1712=2021,G1712/$P$19,B1712=2022,G1712/$P$20)</f>
        <v>1.0143538144666007E-3</v>
      </c>
    </row>
    <row r="1713" spans="1:12" x14ac:dyDescent="0.2">
      <c r="A1713">
        <v>3820130</v>
      </c>
      <c r="B1713">
        <v>2017</v>
      </c>
      <c r="C1713" t="s">
        <v>252</v>
      </c>
      <c r="D1713" t="s">
        <v>254</v>
      </c>
      <c r="E1713" t="s">
        <v>256</v>
      </c>
      <c r="F1713" s="5" t="s">
        <v>169</v>
      </c>
      <c r="G1713" s="7">
        <v>92662</v>
      </c>
      <c r="H1713" s="7" cm="1">
        <f t="array" ref="H1713">_xlfn.IFS(B1713=2015,L1713*$P$3,B1713=2016,L1713*$P$4,B1713=2017,L1713*$P$5,B1713=2018,L1713*$P$6,B1713=2019,L1713*$P$7,B1713=2020,L1713*$P$8,B1713=2021,L1713*$P$9,B1713=2022,L1713*$P$10)</f>
        <v>3002.9947990365617</v>
      </c>
      <c r="I1713" s="7">
        <f t="shared" si="55"/>
        <v>95664.994799036562</v>
      </c>
      <c r="J1713">
        <f>IFERROR(VLOOKUP(F1713,'LEAID Match'!$A$2:$B$227,2,FALSE),"")</f>
        <v>3820130</v>
      </c>
      <c r="K1713">
        <f t="shared" si="54"/>
        <v>8</v>
      </c>
      <c r="L1713" cm="1">
        <f t="array" ref="L1713">_xlfn.IFS(B1713=2015,G1713/$P$13,B1713=2016,G1713/$P$14,B1713=2017,G1713/$P$15,B1713=2018,G1713/$P$16,B1713=2019,G1713/$P$17,B1713=2019,G1713/$P$18,B1713=2020,G1713/$P$18,B1713=2021,G1713/$P$19,B1713=2022,G1713/$P$20)</f>
        <v>1.0767281459435503E-3</v>
      </c>
    </row>
    <row r="1714" spans="1:12" x14ac:dyDescent="0.2">
      <c r="A1714">
        <v>3820130</v>
      </c>
      <c r="B1714" s="5">
        <v>2018</v>
      </c>
      <c r="C1714" t="s">
        <v>252</v>
      </c>
      <c r="D1714" t="s">
        <v>254</v>
      </c>
      <c r="E1714" t="s">
        <v>256</v>
      </c>
      <c r="F1714" s="5" t="s">
        <v>169</v>
      </c>
      <c r="G1714" s="7">
        <v>90673</v>
      </c>
      <c r="H1714" s="7" cm="1">
        <f t="array" ref="H1714">_xlfn.IFS(B1714=2015,L1714*$P$3,B1714=2016,L1714*$P$4,B1714=2017,L1714*$P$5,B1714=2018,L1714*$P$6,B1714=2019,L1714*$P$7,B1714=2020,L1714*$P$8,B1714=2021,L1714*$P$9,B1714=2022,L1714*$P$10)</f>
        <v>2484.5298345136043</v>
      </c>
      <c r="I1714" s="7">
        <f t="shared" si="55"/>
        <v>93157.529834513611</v>
      </c>
      <c r="J1714">
        <f>IFERROR(VLOOKUP(F1714,'LEAID Match'!$A$2:$B$227,2,FALSE),"")</f>
        <v>3820130</v>
      </c>
      <c r="K1714">
        <f t="shared" si="54"/>
        <v>8</v>
      </c>
      <c r="L1714" cm="1">
        <f t="array" ref="L1714">_xlfn.IFS(B1714=2015,G1714/$P$13,B1714=2016,G1714/$P$14,B1714=2017,G1714/$P$15,B1714=2018,G1714/$P$16,B1714=2019,G1714/$P$17,B1714=2019,G1714/$P$18,B1714=2020,G1714/$P$18,B1714=2021,G1714/$P$19,B1714=2022,G1714/$P$20)</f>
        <v>1.0461178250583598E-3</v>
      </c>
    </row>
    <row r="1715" spans="1:12" x14ac:dyDescent="0.2">
      <c r="A1715">
        <v>3820130</v>
      </c>
      <c r="B1715">
        <v>2019</v>
      </c>
      <c r="C1715" t="s">
        <v>252</v>
      </c>
      <c r="D1715" t="s">
        <v>254</v>
      </c>
      <c r="E1715" t="s">
        <v>256</v>
      </c>
      <c r="F1715" s="5" t="s">
        <v>169</v>
      </c>
      <c r="G1715" s="7">
        <v>92738</v>
      </c>
      <c r="H1715" s="7" cm="1">
        <f t="array" ref="H1715">_xlfn.IFS(B1715=2015,L1715*$P$3,B1715=2016,L1715*$P$4,B1715=2017,L1715*$P$5,B1715=2018,L1715*$P$6,B1715=2019,L1715*$P$7,B1715=2020,L1715*$P$8,B1715=2021,L1715*$P$9,B1715=2022,L1715*$P$10)</f>
        <v>2152.4327384641801</v>
      </c>
      <c r="I1715" s="7">
        <f t="shared" si="55"/>
        <v>94890.43273846418</v>
      </c>
      <c r="J1715">
        <f>IFERROR(VLOOKUP(F1715,'LEAID Match'!$A$2:$B$227,2,FALSE),"")</f>
        <v>3820130</v>
      </c>
      <c r="K1715">
        <f t="shared" si="54"/>
        <v>8</v>
      </c>
      <c r="L1715" cm="1">
        <f t="array" ref="L1715">_xlfn.IFS(B1715=2015,G1715/$P$13,B1715=2016,G1715/$P$14,B1715=2017,G1715/$P$15,B1715=2018,G1715/$P$16,B1715=2019,G1715/$P$17,B1715=2019,G1715/$P$18,B1715=2020,G1715/$P$18,B1715=2021,G1715/$P$19,B1715=2022,G1715/$P$20)</f>
        <v>1.0368173113989307E-3</v>
      </c>
    </row>
    <row r="1716" spans="1:12" x14ac:dyDescent="0.2">
      <c r="A1716">
        <v>3820130</v>
      </c>
      <c r="B1716">
        <v>2020</v>
      </c>
      <c r="C1716" t="s">
        <v>252</v>
      </c>
      <c r="D1716" t="s">
        <v>254</v>
      </c>
      <c r="E1716" t="s">
        <v>256</v>
      </c>
      <c r="F1716" s="5" t="s">
        <v>169</v>
      </c>
      <c r="G1716" s="7">
        <v>80862</v>
      </c>
      <c r="H1716" s="7" cm="1">
        <f t="array" ref="H1716">_xlfn.IFS(B1716=2015,L1716*$P$3,B1716=2016,L1716*$P$4,B1716=2017,L1716*$P$5,B1716=2018,L1716*$P$6,B1716=2019,L1716*$P$7,B1716=2020,L1716*$P$8,B1716=2021,L1716*$P$9,B1716=2022,L1716*$P$10)</f>
        <v>2028.667328127566</v>
      </c>
      <c r="I1716" s="7">
        <f t="shared" si="55"/>
        <v>82890.667328127573</v>
      </c>
      <c r="J1716">
        <f>IFERROR(VLOOKUP(F1716,'LEAID Match'!$A$2:$B$227,2,FALSE),"")</f>
        <v>3820130</v>
      </c>
      <c r="K1716">
        <f t="shared" si="54"/>
        <v>8</v>
      </c>
      <c r="L1716" cm="1">
        <f t="array" ref="L1716">_xlfn.IFS(B1716=2015,G1716/$P$13,B1716=2016,G1716/$P$14,B1716=2017,G1716/$P$15,B1716=2018,G1716/$P$16,B1716=2019,G1716/$P$17,B1716=2019,G1716/$P$18,B1716=2020,G1716/$P$18,B1716=2021,G1716/$P$19,B1716=2022,G1716/$P$20)</f>
        <v>8.6918051762106515E-4</v>
      </c>
    </row>
    <row r="1717" spans="1:12" x14ac:dyDescent="0.2">
      <c r="A1717">
        <v>3820130</v>
      </c>
      <c r="B1717" s="5">
        <v>2021</v>
      </c>
      <c r="C1717" t="s">
        <v>252</v>
      </c>
      <c r="D1717" t="s">
        <v>254</v>
      </c>
      <c r="E1717" t="s">
        <v>256</v>
      </c>
      <c r="F1717" s="5" t="s">
        <v>169</v>
      </c>
      <c r="G1717" s="7">
        <v>91611</v>
      </c>
      <c r="H1717" s="7" cm="1">
        <f t="array" ref="H1717">_xlfn.IFS(B1717=2015,L1717*$P$3,B1717=2016,L1717*$P$4,B1717=2017,L1717*$P$5,B1717=2018,L1717*$P$6,B1717=2019,L1717*$P$7,B1717=2020,L1717*$P$8,B1717=2021,L1717*$P$9,B1717=2022,L1717*$P$10)</f>
        <v>2503.2058468981063</v>
      </c>
      <c r="I1717" s="7">
        <f t="shared" si="55"/>
        <v>94114.205846898112</v>
      </c>
      <c r="J1717">
        <f>IFERROR(VLOOKUP(F1717,'LEAID Match'!$A$2:$B$227,2,FALSE),"")</f>
        <v>3820130</v>
      </c>
      <c r="K1717">
        <f t="shared" si="54"/>
        <v>8</v>
      </c>
      <c r="L1717" cm="1">
        <f t="array" ref="L1717">_xlfn.IFS(B1717=2015,G1717/$P$13,B1717=2016,G1717/$P$14,B1717=2017,G1717/$P$15,B1717=2018,G1717/$P$16,B1717=2019,G1717/$P$17,B1717=2019,G1717/$P$18,B1717=2020,G1717/$P$18,B1717=2021,G1717/$P$19,B1717=2022,G1717/$P$20)</f>
        <v>9.3229268040897822E-4</v>
      </c>
    </row>
    <row r="1718" spans="1:12" x14ac:dyDescent="0.2">
      <c r="A1718">
        <v>3820190</v>
      </c>
      <c r="B1718">
        <v>2015</v>
      </c>
      <c r="C1718" t="s">
        <v>252</v>
      </c>
      <c r="D1718" t="s">
        <v>254</v>
      </c>
      <c r="E1718" t="s">
        <v>256</v>
      </c>
      <c r="F1718" s="5" t="s">
        <v>170</v>
      </c>
      <c r="G1718" s="7">
        <v>149078</v>
      </c>
      <c r="H1718" s="7" cm="1">
        <f t="array" ref="H1718">_xlfn.IFS(B1718=2015,L1718*$P$3,B1718=2016,L1718*$P$4,B1718=2017,L1718*$P$5,B1718=2018,L1718*$P$6,B1718=2019,L1718*$P$7,B1718=2020,L1718*$P$8,B1718=2021,L1718*$P$9,B1718=2022,L1718*$P$10)</f>
        <v>3370.4184662231692</v>
      </c>
      <c r="I1718" s="7">
        <f t="shared" si="55"/>
        <v>152448.41846622317</v>
      </c>
      <c r="J1718">
        <f>IFERROR(VLOOKUP(F1718,'LEAID Match'!$A$2:$B$227,2,FALSE),"")</f>
        <v>3820190</v>
      </c>
      <c r="K1718">
        <f t="shared" si="54"/>
        <v>8</v>
      </c>
      <c r="L1718" cm="1">
        <f t="array" ref="L1718">_xlfn.IFS(B1718=2015,G1718/$P$13,B1718=2016,G1718/$P$14,B1718=2017,G1718/$P$15,B1718=2018,G1718/$P$16,B1718=2019,G1718/$P$17,B1718=2019,G1718/$P$18,B1718=2020,G1718/$P$18,B1718=2021,G1718/$P$19,B1718=2022,G1718/$P$20)</f>
        <v>1.900969242088646E-3</v>
      </c>
    </row>
    <row r="1719" spans="1:12" x14ac:dyDescent="0.2">
      <c r="A1719">
        <v>3820190</v>
      </c>
      <c r="B1719">
        <v>2016</v>
      </c>
      <c r="C1719" t="s">
        <v>252</v>
      </c>
      <c r="D1719" t="s">
        <v>254</v>
      </c>
      <c r="E1719" t="s">
        <v>256</v>
      </c>
      <c r="F1719" s="5" t="s">
        <v>170</v>
      </c>
      <c r="G1719" s="7">
        <v>154028</v>
      </c>
      <c r="H1719" s="7" cm="1">
        <f t="array" ref="H1719">_xlfn.IFS(B1719=2015,L1719*$P$3,B1719=2016,L1719*$P$4,B1719=2017,L1719*$P$5,B1719=2018,L1719*$P$6,B1719=2019,L1719*$P$7,B1719=2020,L1719*$P$8,B1719=2021,L1719*$P$9,B1719=2022,L1719*$P$10)</f>
        <v>5230.3370943174732</v>
      </c>
      <c r="I1719" s="7">
        <f t="shared" si="55"/>
        <v>159258.33709431748</v>
      </c>
      <c r="J1719">
        <f>IFERROR(VLOOKUP(F1719,'LEAID Match'!$A$2:$B$227,2,FALSE),"")</f>
        <v>3820190</v>
      </c>
      <c r="K1719">
        <f t="shared" si="54"/>
        <v>8</v>
      </c>
      <c r="L1719" cm="1">
        <f t="array" ref="L1719">_xlfn.IFS(B1719=2015,G1719/$P$13,B1719=2016,G1719/$P$14,B1719=2017,G1719/$P$15,B1719=2018,G1719/$P$16,B1719=2019,G1719/$P$17,B1719=2019,G1719/$P$18,B1719=2020,G1719/$P$18,B1719=2021,G1719/$P$19,B1719=2022,G1719/$P$20)</f>
        <v>1.8593448611153478E-3</v>
      </c>
    </row>
    <row r="1720" spans="1:12" x14ac:dyDescent="0.2">
      <c r="A1720">
        <v>3820190</v>
      </c>
      <c r="B1720">
        <v>2017</v>
      </c>
      <c r="C1720" t="s">
        <v>252</v>
      </c>
      <c r="D1720" t="s">
        <v>254</v>
      </c>
      <c r="E1720" t="s">
        <v>256</v>
      </c>
      <c r="F1720" s="5" t="s">
        <v>170</v>
      </c>
      <c r="G1720" s="7">
        <v>165184</v>
      </c>
      <c r="H1720" s="7" cm="1">
        <f t="array" ref="H1720">_xlfn.IFS(B1720=2015,L1720*$P$3,B1720=2016,L1720*$P$4,B1720=2017,L1720*$P$5,B1720=2018,L1720*$P$6,B1720=2019,L1720*$P$7,B1720=2020,L1720*$P$8,B1720=2021,L1720*$P$9,B1720=2022,L1720*$P$10)</f>
        <v>5353.291455872476</v>
      </c>
      <c r="I1720" s="7">
        <f t="shared" si="55"/>
        <v>170537.29145587247</v>
      </c>
      <c r="J1720">
        <f>IFERROR(VLOOKUP(F1720,'LEAID Match'!$A$2:$B$227,2,FALSE),"")</f>
        <v>3820190</v>
      </c>
      <c r="K1720">
        <f t="shared" si="54"/>
        <v>8</v>
      </c>
      <c r="L1720" cm="1">
        <f t="array" ref="L1720">_xlfn.IFS(B1720=2015,G1720/$P$13,B1720=2016,G1720/$P$14,B1720=2017,G1720/$P$15,B1720=2018,G1720/$P$16,B1720=2019,G1720/$P$17,B1720=2019,G1720/$P$18,B1720=2020,G1720/$P$18,B1720=2021,G1720/$P$19,B1720=2022,G1720/$P$20)</f>
        <v>1.9194304251962985E-3</v>
      </c>
    </row>
    <row r="1721" spans="1:12" x14ac:dyDescent="0.2">
      <c r="A1721">
        <v>3820190</v>
      </c>
      <c r="B1721" s="5">
        <v>2018</v>
      </c>
      <c r="C1721" t="s">
        <v>252</v>
      </c>
      <c r="D1721" t="s">
        <v>254</v>
      </c>
      <c r="E1721" t="s">
        <v>256</v>
      </c>
      <c r="F1721" s="5" t="s">
        <v>170</v>
      </c>
      <c r="G1721" s="7">
        <v>165806</v>
      </c>
      <c r="H1721" s="7" cm="1">
        <f t="array" ref="H1721">_xlfn.IFS(B1721=2015,L1721*$P$3,B1721=2016,L1721*$P$4,B1721=2017,L1721*$P$5,B1721=2018,L1721*$P$6,B1721=2019,L1721*$P$7,B1721=2020,L1721*$P$8,B1721=2021,L1721*$P$9,B1721=2022,L1721*$P$10)</f>
        <v>4543.2483070082899</v>
      </c>
      <c r="I1721" s="7">
        <f t="shared" si="55"/>
        <v>170349.2483070083</v>
      </c>
      <c r="J1721">
        <f>IFERROR(VLOOKUP(F1721,'LEAID Match'!$A$2:$B$227,2,FALSE),"")</f>
        <v>3820190</v>
      </c>
      <c r="K1721">
        <f t="shared" si="54"/>
        <v>8</v>
      </c>
      <c r="L1721" cm="1">
        <f t="array" ref="L1721">_xlfn.IFS(B1721=2015,G1721/$P$13,B1721=2016,G1721/$P$14,B1721=2017,G1721/$P$15,B1721=2018,G1721/$P$16,B1721=2019,G1721/$P$17,B1721=2019,G1721/$P$18,B1721=2020,G1721/$P$18,B1721=2021,G1721/$P$19,B1721=2022,G1721/$P$20)</f>
        <v>1.9129466555824379E-3</v>
      </c>
    </row>
    <row r="1722" spans="1:12" x14ac:dyDescent="0.2">
      <c r="A1722">
        <v>3820190</v>
      </c>
      <c r="B1722">
        <v>2019</v>
      </c>
      <c r="C1722" t="s">
        <v>252</v>
      </c>
      <c r="D1722" t="s">
        <v>254</v>
      </c>
      <c r="E1722" t="s">
        <v>256</v>
      </c>
      <c r="F1722" s="5" t="s">
        <v>170</v>
      </c>
      <c r="G1722" s="7">
        <v>169032</v>
      </c>
      <c r="H1722" s="7" cm="1">
        <f t="array" ref="H1722">_xlfn.IFS(B1722=2015,L1722*$P$3,B1722=2016,L1722*$P$4,B1722=2017,L1722*$P$5,B1722=2018,L1722*$P$6,B1722=2019,L1722*$P$7,B1722=2020,L1722*$P$8,B1722=2021,L1722*$P$9,B1722=2022,L1722*$P$10)</f>
        <v>3923.203116824574</v>
      </c>
      <c r="I1722" s="7">
        <f t="shared" si="55"/>
        <v>172955.20311682456</v>
      </c>
      <c r="J1722">
        <f>IFERROR(VLOOKUP(F1722,'LEAID Match'!$A$2:$B$227,2,FALSE),"")</f>
        <v>3820190</v>
      </c>
      <c r="K1722">
        <f t="shared" si="54"/>
        <v>8</v>
      </c>
      <c r="L1722" cm="1">
        <f t="array" ref="L1722">_xlfn.IFS(B1722=2015,G1722/$P$13,B1722=2016,G1722/$P$14,B1722=2017,G1722/$P$15,B1722=2018,G1722/$P$16,B1722=2019,G1722/$P$17,B1722=2019,G1722/$P$18,B1722=2020,G1722/$P$18,B1722=2021,G1722/$P$19,B1722=2022,G1722/$P$20)</f>
        <v>1.8897895553104884E-3</v>
      </c>
    </row>
    <row r="1723" spans="1:12" x14ac:dyDescent="0.2">
      <c r="A1723">
        <v>3820190</v>
      </c>
      <c r="B1723">
        <v>2020</v>
      </c>
      <c r="C1723" t="s">
        <v>252</v>
      </c>
      <c r="D1723" t="s">
        <v>254</v>
      </c>
      <c r="E1723" t="s">
        <v>256</v>
      </c>
      <c r="F1723" s="5" t="s">
        <v>170</v>
      </c>
      <c r="G1723" s="7">
        <v>150883</v>
      </c>
      <c r="H1723" s="7" cm="1">
        <f t="array" ref="H1723">_xlfn.IFS(B1723=2015,L1723*$P$3,B1723=2016,L1723*$P$4,B1723=2017,L1723*$P$5,B1723=2018,L1723*$P$6,B1723=2019,L1723*$P$7,B1723=2020,L1723*$P$8,B1723=2021,L1723*$P$9,B1723=2022,L1723*$P$10)</f>
        <v>3785.3554508900543</v>
      </c>
      <c r="I1723" s="7">
        <f t="shared" si="55"/>
        <v>154668.35545089006</v>
      </c>
      <c r="J1723">
        <f>IFERROR(VLOOKUP(F1723,'LEAID Match'!$A$2:$B$227,2,FALSE),"")</f>
        <v>3820190</v>
      </c>
      <c r="K1723">
        <f t="shared" si="54"/>
        <v>8</v>
      </c>
      <c r="L1723" cm="1">
        <f t="array" ref="L1723">_xlfn.IFS(B1723=2015,G1723/$P$13,B1723=2016,G1723/$P$14,B1723=2017,G1723/$P$15,B1723=2018,G1723/$P$16,B1723=2019,G1723/$P$17,B1723=2019,G1723/$P$18,B1723=2020,G1723/$P$18,B1723=2021,G1723/$P$19,B1723=2022,G1723/$P$20)</f>
        <v>1.6218318127206744E-3</v>
      </c>
    </row>
    <row r="1724" spans="1:12" x14ac:dyDescent="0.2">
      <c r="A1724">
        <v>3820190</v>
      </c>
      <c r="B1724" s="5">
        <v>2021</v>
      </c>
      <c r="C1724" t="s">
        <v>252</v>
      </c>
      <c r="D1724" t="s">
        <v>254</v>
      </c>
      <c r="E1724" t="s">
        <v>256</v>
      </c>
      <c r="F1724" s="5" t="s">
        <v>170</v>
      </c>
      <c r="G1724" s="7">
        <v>165118</v>
      </c>
      <c r="H1724" s="7" cm="1">
        <f t="array" ref="H1724">_xlfn.IFS(B1724=2015,L1724*$P$3,B1724=2016,L1724*$P$4,B1724=2017,L1724*$P$5,B1724=2018,L1724*$P$6,B1724=2019,L1724*$P$7,B1724=2020,L1724*$P$8,B1724=2021,L1724*$P$9,B1724=2022,L1724*$P$10)</f>
        <v>4511.7326852465485</v>
      </c>
      <c r="I1724" s="7">
        <f t="shared" si="55"/>
        <v>169629.73268524656</v>
      </c>
      <c r="J1724">
        <f>IFERROR(VLOOKUP(F1724,'LEAID Match'!$A$2:$B$227,2,FALSE),"")</f>
        <v>3820190</v>
      </c>
      <c r="K1724">
        <f t="shared" si="54"/>
        <v>8</v>
      </c>
      <c r="L1724" cm="1">
        <f t="array" ref="L1724">_xlfn.IFS(B1724=2015,G1724/$P$13,B1724=2016,G1724/$P$14,B1724=2017,G1724/$P$15,B1724=2018,G1724/$P$16,B1724=2019,G1724/$P$17,B1724=2019,G1724/$P$18,B1724=2020,G1724/$P$18,B1724=2021,G1724/$P$19,B1724=2022,G1724/$P$20)</f>
        <v>1.6803473688069082E-3</v>
      </c>
    </row>
    <row r="1725" spans="1:12" x14ac:dyDescent="0.2">
      <c r="A1725">
        <v>3820190</v>
      </c>
      <c r="B1725">
        <v>2022</v>
      </c>
      <c r="C1725" t="s">
        <v>252</v>
      </c>
      <c r="D1725" t="s">
        <v>254</v>
      </c>
      <c r="E1725" t="s">
        <v>256</v>
      </c>
      <c r="F1725" s="5" t="s">
        <v>170</v>
      </c>
      <c r="G1725" s="7">
        <v>181449</v>
      </c>
      <c r="H1725" s="7" cm="1">
        <f t="array" ref="H1725">_xlfn.IFS(B1725=2015,L1725*$P$3,B1725=2016,L1725*$P$4,B1725=2017,L1725*$P$5,B1725=2018,L1725*$P$6,B1725=2019,L1725*$P$7,B1725=2020,L1725*$P$8,B1725=2021,L1725*$P$9,B1725=2022,L1725*$P$10)</f>
        <v>3692.9522044476948</v>
      </c>
      <c r="I1725" s="7">
        <f t="shared" si="55"/>
        <v>185141.95220444771</v>
      </c>
      <c r="J1725">
        <f>IFERROR(VLOOKUP(F1725,'LEAID Match'!$A$2:$B$227,2,FALSE),"")</f>
        <v>3820190</v>
      </c>
      <c r="K1725">
        <f t="shared" si="54"/>
        <v>8</v>
      </c>
      <c r="L1725" cm="1">
        <f t="array" ref="L1725">_xlfn.IFS(B1725=2015,G1725/$P$13,B1725=2016,G1725/$P$14,B1725=2017,G1725/$P$15,B1725=2018,G1725/$P$16,B1725=2019,G1725/$P$17,B1725=2019,G1725/$P$18,B1725=2020,G1725/$P$18,B1725=2021,G1725/$P$19,B1725=2022,G1725/$P$20)</f>
        <v>1.8084976515414764E-3</v>
      </c>
    </row>
    <row r="1726" spans="1:12" x14ac:dyDescent="0.2">
      <c r="A1726">
        <v>3820230</v>
      </c>
      <c r="B1726">
        <v>2015</v>
      </c>
      <c r="C1726" t="s">
        <v>252</v>
      </c>
      <c r="D1726" t="s">
        <v>254</v>
      </c>
      <c r="E1726" t="s">
        <v>256</v>
      </c>
      <c r="F1726" s="5" t="s">
        <v>212</v>
      </c>
      <c r="G1726" s="7">
        <v>65104</v>
      </c>
      <c r="H1726" s="7" cm="1">
        <f t="array" ref="H1726">_xlfn.IFS(B1726=2015,L1726*$P$3,B1726=2016,L1726*$P$4,B1726=2017,L1726*$P$5,B1726=2018,L1726*$P$6,B1726=2019,L1726*$P$7,B1726=2020,L1726*$P$8,B1726=2021,L1726*$P$9,B1726=2022,L1726*$P$10)</f>
        <v>1471.8987632312831</v>
      </c>
      <c r="I1726" s="7">
        <f t="shared" si="55"/>
        <v>66575.898763231278</v>
      </c>
      <c r="J1726">
        <f>IFERROR(VLOOKUP(F1726,'LEAID Match'!$A$2:$B$227,2,FALSE),"")</f>
        <v>3820230</v>
      </c>
      <c r="K1726">
        <f t="shared" si="54"/>
        <v>8</v>
      </c>
      <c r="L1726" cm="1">
        <f t="array" ref="L1726">_xlfn.IFS(B1726=2015,G1726/$P$13,B1726=2016,G1726/$P$14,B1726=2017,G1726/$P$15,B1726=2018,G1726/$P$16,B1726=2019,G1726/$P$17,B1726=2019,G1726/$P$18,B1726=2020,G1726/$P$18,B1726=2021,G1726/$P$19,B1726=2022,G1726/$P$20)</f>
        <v>8.3017414733856912E-4</v>
      </c>
    </row>
    <row r="1727" spans="1:12" x14ac:dyDescent="0.2">
      <c r="A1727">
        <v>3820230</v>
      </c>
      <c r="B1727">
        <v>2016</v>
      </c>
      <c r="C1727" t="s">
        <v>252</v>
      </c>
      <c r="D1727" t="s">
        <v>254</v>
      </c>
      <c r="E1727" t="s">
        <v>256</v>
      </c>
      <c r="F1727" s="5" t="s">
        <v>212</v>
      </c>
      <c r="G1727" s="7">
        <v>66027</v>
      </c>
      <c r="H1727" s="7" cm="1">
        <f t="array" ref="H1727">_xlfn.IFS(B1727=2015,L1727*$P$3,B1727=2016,L1727*$P$4,B1727=2017,L1727*$P$5,B1727=2018,L1727*$P$6,B1727=2019,L1727*$P$7,B1727=2020,L1727*$P$8,B1727=2021,L1727*$P$9,B1727=2022,L1727*$P$10)</f>
        <v>2242.082396229905</v>
      </c>
      <c r="I1727" s="7">
        <f t="shared" si="55"/>
        <v>68269.082396229904</v>
      </c>
      <c r="J1727">
        <f>IFERROR(VLOOKUP(F1727,'LEAID Match'!$A$2:$B$227,2,FALSE),"")</f>
        <v>3820230</v>
      </c>
      <c r="K1727">
        <f t="shared" si="54"/>
        <v>8</v>
      </c>
      <c r="L1727" cm="1">
        <f t="array" ref="L1727">_xlfn.IFS(B1727=2015,G1727/$P$13,B1727=2016,G1727/$P$14,B1727=2017,G1727/$P$15,B1727=2018,G1727/$P$16,B1727=2019,G1727/$P$17,B1727=2019,G1727/$P$18,B1727=2020,G1727/$P$18,B1727=2021,G1727/$P$19,B1727=2022,G1727/$P$20)</f>
        <v>7.9704315543188946E-4</v>
      </c>
    </row>
    <row r="1728" spans="1:12" x14ac:dyDescent="0.2">
      <c r="A1728">
        <v>3820230</v>
      </c>
      <c r="B1728">
        <v>2017</v>
      </c>
      <c r="C1728" t="s">
        <v>252</v>
      </c>
      <c r="D1728" t="s">
        <v>254</v>
      </c>
      <c r="E1728" t="s">
        <v>256</v>
      </c>
      <c r="F1728" s="5" t="s">
        <v>212</v>
      </c>
      <c r="G1728" s="7">
        <v>68688</v>
      </c>
      <c r="H1728" s="7" cm="1">
        <f t="array" ref="H1728">_xlfn.IFS(B1728=2015,L1728*$P$3,B1728=2016,L1728*$P$4,B1728=2017,L1728*$P$5,B1728=2018,L1728*$P$6,B1728=2019,L1728*$P$7,B1728=2020,L1728*$P$8,B1728=2021,L1728*$P$9,B1728=2022,L1728*$P$10)</f>
        <v>2226.0441902422067</v>
      </c>
      <c r="I1728" s="7">
        <f t="shared" si="55"/>
        <v>70914.044190242203</v>
      </c>
      <c r="J1728">
        <f>IFERROR(VLOOKUP(F1728,'LEAID Match'!$A$2:$B$227,2,FALSE),"")</f>
        <v>3820230</v>
      </c>
      <c r="K1728">
        <f t="shared" si="54"/>
        <v>8</v>
      </c>
      <c r="L1728" cm="1">
        <f t="array" ref="L1728">_xlfn.IFS(B1728=2015,G1728/$P$13,B1728=2016,G1728/$P$14,B1728=2017,G1728/$P$15,B1728=2018,G1728/$P$16,B1728=2019,G1728/$P$17,B1728=2019,G1728/$P$18,B1728=2020,G1728/$P$18,B1728=2021,G1728/$P$19,B1728=2022,G1728/$P$20)</f>
        <v>7.9815137692441972E-4</v>
      </c>
    </row>
    <row r="1729" spans="1:12" x14ac:dyDescent="0.2">
      <c r="A1729">
        <v>3820230</v>
      </c>
      <c r="B1729" s="5">
        <v>2018</v>
      </c>
      <c r="C1729" t="s">
        <v>252</v>
      </c>
      <c r="D1729" t="s">
        <v>254</v>
      </c>
      <c r="E1729" t="s">
        <v>256</v>
      </c>
      <c r="F1729" s="5" t="s">
        <v>212</v>
      </c>
      <c r="G1729" s="7">
        <v>71432</v>
      </c>
      <c r="H1729" s="7" cm="1">
        <f t="array" ref="H1729">_xlfn.IFS(B1729=2015,L1729*$P$3,B1729=2016,L1729*$P$4,B1729=2017,L1729*$P$5,B1729=2018,L1729*$P$6,B1729=2019,L1729*$P$7,B1729=2020,L1729*$P$8,B1729=2021,L1729*$P$9,B1729=2022,L1729*$P$10)</f>
        <v>1957.3074138825868</v>
      </c>
      <c r="I1729" s="7">
        <f t="shared" si="55"/>
        <v>73389.30741388259</v>
      </c>
      <c r="J1729">
        <f>IFERROR(VLOOKUP(F1729,'LEAID Match'!$A$2:$B$227,2,FALSE),"")</f>
        <v>3820230</v>
      </c>
      <c r="K1729">
        <f t="shared" si="54"/>
        <v>8</v>
      </c>
      <c r="L1729" cm="1">
        <f t="array" ref="L1729">_xlfn.IFS(B1729=2015,G1729/$P$13,B1729=2016,G1729/$P$14,B1729=2017,G1729/$P$15,B1729=2018,G1729/$P$16,B1729=2019,G1729/$P$17,B1729=2019,G1729/$P$18,B1729=2020,G1729/$P$18,B1729=2021,G1729/$P$19,B1729=2022,G1729/$P$20)</f>
        <v>8.2412943742424705E-4</v>
      </c>
    </row>
    <row r="1730" spans="1:12" x14ac:dyDescent="0.2">
      <c r="A1730">
        <v>3820230</v>
      </c>
      <c r="B1730">
        <v>2019</v>
      </c>
      <c r="C1730" t="s">
        <v>252</v>
      </c>
      <c r="D1730" t="s">
        <v>254</v>
      </c>
      <c r="E1730" t="s">
        <v>256</v>
      </c>
      <c r="F1730" s="5" t="s">
        <v>212</v>
      </c>
      <c r="G1730" s="7">
        <v>68998</v>
      </c>
      <c r="H1730" s="7" cm="1">
        <f t="array" ref="H1730">_xlfn.IFS(B1730=2015,L1730*$P$3,B1730=2016,L1730*$P$4,B1730=2017,L1730*$P$5,B1730=2018,L1730*$P$6,B1730=2019,L1730*$P$7,B1730=2020,L1730*$P$8,B1730=2021,L1730*$P$9,B1730=2022,L1730*$P$10)</f>
        <v>1601.4314961348261</v>
      </c>
      <c r="I1730" s="7">
        <f t="shared" si="55"/>
        <v>70599.431496134828</v>
      </c>
      <c r="J1730">
        <f>IFERROR(VLOOKUP(F1730,'LEAID Match'!$A$2:$B$227,2,FALSE),"")</f>
        <v>3820230</v>
      </c>
      <c r="K1730">
        <f t="shared" ref="K1730:K1757" si="56">COUNTIF($A$2:$A$1757,A1730)</f>
        <v>8</v>
      </c>
      <c r="L1730" cm="1">
        <f t="array" ref="L1730">_xlfn.IFS(B1730=2015,G1730/$P$13,B1730=2016,G1730/$P$14,B1730=2017,G1730/$P$15,B1730=2018,G1730/$P$16,B1730=2019,G1730/$P$17,B1730=2019,G1730/$P$18,B1730=2020,G1730/$P$18,B1730=2021,G1730/$P$19,B1730=2022,G1730/$P$20)</f>
        <v>7.7140245478556177E-4</v>
      </c>
    </row>
    <row r="1731" spans="1:12" x14ac:dyDescent="0.2">
      <c r="A1731">
        <v>3820230</v>
      </c>
      <c r="B1731">
        <v>2020</v>
      </c>
      <c r="C1731" t="s">
        <v>252</v>
      </c>
      <c r="D1731" t="s">
        <v>254</v>
      </c>
      <c r="E1731" t="s">
        <v>256</v>
      </c>
      <c r="F1731" s="5" t="s">
        <v>212</v>
      </c>
      <c r="G1731" s="5"/>
      <c r="H1731" s="7" cm="1">
        <f t="array" ref="H1731">_xlfn.IFS(B1731=2015,L1731*$P$3,B1731=2016,L1731*$P$4,B1731=2017,L1731*$P$5,B1731=2018,L1731*$P$6,B1731=2019,L1731*$P$7,B1731=2020,L1731*$P$8,B1731=2021,L1731*$P$9,B1731=2022,L1731*$P$10)</f>
        <v>0</v>
      </c>
      <c r="I1731" s="7">
        <f t="shared" ref="I1731:I1757" si="57">SUM(G1731:H1731)</f>
        <v>0</v>
      </c>
      <c r="J1731">
        <f>IFERROR(VLOOKUP(F1731,'LEAID Match'!$A$2:$B$227,2,FALSE),"")</f>
        <v>3820230</v>
      </c>
      <c r="K1731">
        <f t="shared" si="56"/>
        <v>8</v>
      </c>
      <c r="L1731" cm="1">
        <f t="array" ref="L1731">_xlfn.IFS(B1731=2015,G1731/$P$13,B1731=2016,G1731/$P$14,B1731=2017,G1731/$P$15,B1731=2018,G1731/$P$16,B1731=2019,G1731/$P$17,B1731=2019,G1731/$P$18,B1731=2020,G1731/$P$18,B1731=2021,G1731/$P$19,B1731=2022,G1731/$P$20)</f>
        <v>0</v>
      </c>
    </row>
    <row r="1732" spans="1:12" x14ac:dyDescent="0.2">
      <c r="A1732">
        <v>3820230</v>
      </c>
      <c r="B1732" s="5">
        <v>2021</v>
      </c>
      <c r="C1732" t="s">
        <v>252</v>
      </c>
      <c r="D1732" t="s">
        <v>254</v>
      </c>
      <c r="E1732" t="s">
        <v>256</v>
      </c>
      <c r="F1732" s="5" t="s">
        <v>212</v>
      </c>
      <c r="G1732" s="5"/>
      <c r="H1732" s="7" cm="1">
        <f t="array" ref="H1732">_xlfn.IFS(B1732=2015,L1732*$P$3,B1732=2016,L1732*$P$4,B1732=2017,L1732*$P$5,B1732=2018,L1732*$P$6,B1732=2019,L1732*$P$7,B1732=2020,L1732*$P$8,B1732=2021,L1732*$P$9,B1732=2022,L1732*$P$10)</f>
        <v>0</v>
      </c>
      <c r="I1732" s="7">
        <f t="shared" si="57"/>
        <v>0</v>
      </c>
      <c r="J1732">
        <f>IFERROR(VLOOKUP(F1732,'LEAID Match'!$A$2:$B$227,2,FALSE),"")</f>
        <v>3820230</v>
      </c>
      <c r="K1732">
        <f t="shared" si="56"/>
        <v>8</v>
      </c>
      <c r="L1732" cm="1">
        <f t="array" ref="L1732">_xlfn.IFS(B1732=2015,G1732/$P$13,B1732=2016,G1732/$P$14,B1732=2017,G1732/$P$15,B1732=2018,G1732/$P$16,B1732=2019,G1732/$P$17,B1732=2019,G1732/$P$18,B1732=2020,G1732/$P$18,B1732=2021,G1732/$P$19,B1732=2022,G1732/$P$20)</f>
        <v>0</v>
      </c>
    </row>
    <row r="1733" spans="1:12" x14ac:dyDescent="0.2">
      <c r="A1733">
        <v>3820230</v>
      </c>
      <c r="B1733">
        <v>2022</v>
      </c>
      <c r="C1733" t="s">
        <v>252</v>
      </c>
      <c r="D1733" t="s">
        <v>254</v>
      </c>
      <c r="E1733" t="s">
        <v>256</v>
      </c>
      <c r="F1733" s="5" t="s">
        <v>212</v>
      </c>
      <c r="G1733" s="5"/>
      <c r="H1733" s="7" cm="1">
        <f t="array" ref="H1733">_xlfn.IFS(B1733=2015,L1733*$P$3,B1733=2016,L1733*$P$4,B1733=2017,L1733*$P$5,B1733=2018,L1733*$P$6,B1733=2019,L1733*$P$7,B1733=2020,L1733*$P$8,B1733=2021,L1733*$P$9,B1733=2022,L1733*$P$10)</f>
        <v>0</v>
      </c>
      <c r="I1733" s="7">
        <f t="shared" si="57"/>
        <v>0</v>
      </c>
      <c r="J1733">
        <f>IFERROR(VLOOKUP(F1733,'LEAID Match'!$A$2:$B$227,2,FALSE),"")</f>
        <v>3820230</v>
      </c>
      <c r="K1733">
        <f t="shared" si="56"/>
        <v>8</v>
      </c>
      <c r="L1733" cm="1">
        <f t="array" ref="L1733">_xlfn.IFS(B1733=2015,G1733/$P$13,B1733=2016,G1733/$P$14,B1733=2017,G1733/$P$15,B1733=2018,G1733/$P$16,B1733=2019,G1733/$P$17,B1733=2019,G1733/$P$18,B1733=2020,G1733/$P$18,B1733=2021,G1733/$P$19,B1733=2022,G1733/$P$20)</f>
        <v>0</v>
      </c>
    </row>
    <row r="1734" spans="1:12" x14ac:dyDescent="0.2">
      <c r="A1734">
        <v>3820310</v>
      </c>
      <c r="B1734">
        <v>2015</v>
      </c>
      <c r="C1734" t="s">
        <v>252</v>
      </c>
      <c r="D1734" t="s">
        <v>254</v>
      </c>
      <c r="E1734" t="s">
        <v>256</v>
      </c>
      <c r="F1734" s="5" t="s">
        <v>171</v>
      </c>
      <c r="G1734" s="7">
        <v>176103</v>
      </c>
      <c r="H1734" s="7" cm="1">
        <f t="array" ref="H1734">_xlfn.IFS(B1734=2015,L1734*$P$3,B1734=2016,L1734*$P$4,B1734=2017,L1734*$P$5,B1734=2018,L1734*$P$6,B1734=2019,L1734*$P$7,B1734=2020,L1734*$P$8,B1734=2021,L1734*$P$9,B1734=2022,L1734*$P$10)</f>
        <v>3981.4110945766561</v>
      </c>
      <c r="I1734" s="7">
        <f t="shared" si="57"/>
        <v>180084.41109457664</v>
      </c>
      <c r="J1734">
        <f>IFERROR(VLOOKUP(F1734,'LEAID Match'!$A$2:$B$227,2,FALSE),"")</f>
        <v>3820310</v>
      </c>
      <c r="K1734">
        <f t="shared" si="56"/>
        <v>8</v>
      </c>
      <c r="L1734" cm="1">
        <f t="array" ref="L1734">_xlfn.IFS(B1734=2015,G1734/$P$13,B1734=2016,G1734/$P$14,B1734=2017,G1734/$P$15,B1734=2018,G1734/$P$16,B1734=2019,G1734/$P$17,B1734=2019,G1734/$P$18,B1734=2020,G1734/$P$18,B1734=2021,G1734/$P$19,B1734=2022,G1734/$P$20)</f>
        <v>2.2455787335457734E-3</v>
      </c>
    </row>
    <row r="1735" spans="1:12" x14ac:dyDescent="0.2">
      <c r="A1735">
        <v>3820310</v>
      </c>
      <c r="B1735">
        <v>2016</v>
      </c>
      <c r="C1735" t="s">
        <v>252</v>
      </c>
      <c r="D1735" t="s">
        <v>254</v>
      </c>
      <c r="E1735" t="s">
        <v>256</v>
      </c>
      <c r="F1735" s="5" t="s">
        <v>171</v>
      </c>
      <c r="G1735" s="7">
        <v>179153</v>
      </c>
      <c r="H1735" s="7" cm="1">
        <f t="array" ref="H1735">_xlfn.IFS(B1735=2015,L1735*$P$3,B1735=2016,L1735*$P$4,B1735=2017,L1735*$P$5,B1735=2018,L1735*$P$6,B1735=2019,L1735*$P$7,B1735=2020,L1735*$P$8,B1735=2021,L1735*$P$9,B1735=2022,L1735*$P$10)</f>
        <v>6083.5080729364681</v>
      </c>
      <c r="I1735" s="7">
        <f t="shared" si="57"/>
        <v>185236.50807293647</v>
      </c>
      <c r="J1735">
        <f>IFERROR(VLOOKUP(F1735,'LEAID Match'!$A$2:$B$227,2,FALSE),"")</f>
        <v>3820310</v>
      </c>
      <c r="K1735">
        <f t="shared" si="56"/>
        <v>8</v>
      </c>
      <c r="L1735" cm="1">
        <f t="array" ref="L1735">_xlfn.IFS(B1735=2015,G1735/$P$13,B1735=2016,G1735/$P$14,B1735=2017,G1735/$P$15,B1735=2018,G1735/$P$16,B1735=2019,G1735/$P$17,B1735=2019,G1735/$P$18,B1735=2020,G1735/$P$18,B1735=2021,G1735/$P$19,B1735=2022,G1735/$P$20)</f>
        <v>2.1626406231555167E-3</v>
      </c>
    </row>
    <row r="1736" spans="1:12" x14ac:dyDescent="0.2">
      <c r="A1736">
        <v>3820310</v>
      </c>
      <c r="B1736">
        <v>2017</v>
      </c>
      <c r="C1736" t="s">
        <v>252</v>
      </c>
      <c r="D1736" t="s">
        <v>254</v>
      </c>
      <c r="E1736" t="s">
        <v>256</v>
      </c>
      <c r="F1736" s="5" t="s">
        <v>171</v>
      </c>
      <c r="G1736" s="7">
        <v>183622</v>
      </c>
      <c r="H1736" s="7" cm="1">
        <f t="array" ref="H1736">_xlfn.IFS(B1736=2015,L1736*$P$3,B1736=2016,L1736*$P$4,B1736=2017,L1736*$P$5,B1736=2018,L1736*$P$6,B1736=2019,L1736*$P$7,B1736=2020,L1736*$P$8,B1736=2021,L1736*$P$9,B1736=2022,L1736*$P$10)</f>
        <v>5950.8310956885407</v>
      </c>
      <c r="I1736" s="7">
        <f t="shared" si="57"/>
        <v>189572.83109568854</v>
      </c>
      <c r="J1736">
        <f>IFERROR(VLOOKUP(F1736,'LEAID Match'!$A$2:$B$227,2,FALSE),"")</f>
        <v>3820310</v>
      </c>
      <c r="K1736">
        <f t="shared" si="56"/>
        <v>8</v>
      </c>
      <c r="L1736" cm="1">
        <f t="array" ref="L1736">_xlfn.IFS(B1736=2015,G1736/$P$13,B1736=2016,G1736/$P$14,B1736=2017,G1736/$P$15,B1736=2018,G1736/$P$16,B1736=2019,G1736/$P$17,B1736=2019,G1736/$P$18,B1736=2020,G1736/$P$18,B1736=2021,G1736/$P$19,B1736=2022,G1736/$P$20)</f>
        <v>2.1336791307596057E-3</v>
      </c>
    </row>
    <row r="1737" spans="1:12" x14ac:dyDescent="0.2">
      <c r="A1737">
        <v>3820310</v>
      </c>
      <c r="B1737" s="5">
        <v>2018</v>
      </c>
      <c r="C1737" t="s">
        <v>252</v>
      </c>
      <c r="D1737" t="s">
        <v>254</v>
      </c>
      <c r="E1737" t="s">
        <v>256</v>
      </c>
      <c r="F1737" s="5" t="s">
        <v>171</v>
      </c>
      <c r="G1737" s="7">
        <v>171481</v>
      </c>
      <c r="H1737" s="7" cm="1">
        <f t="array" ref="H1737">_xlfn.IFS(B1737=2015,L1737*$P$3,B1737=2016,L1737*$P$4,B1737=2017,L1737*$P$5,B1737=2018,L1737*$P$6,B1737=2019,L1737*$P$7,B1737=2020,L1737*$P$8,B1737=2021,L1737*$P$9,B1737=2022,L1737*$P$10)</f>
        <v>4698.7489170119825</v>
      </c>
      <c r="I1737" s="7">
        <f t="shared" si="57"/>
        <v>176179.74891701198</v>
      </c>
      <c r="J1737">
        <f>IFERROR(VLOOKUP(F1737,'LEAID Match'!$A$2:$B$227,2,FALSE),"")</f>
        <v>3820310</v>
      </c>
      <c r="K1737">
        <f t="shared" si="56"/>
        <v>8</v>
      </c>
      <c r="L1737" cm="1">
        <f t="array" ref="L1737">_xlfn.IFS(B1737=2015,G1737/$P$13,B1737=2016,G1737/$P$14,B1737=2017,G1737/$P$15,B1737=2018,G1737/$P$16,B1737=2019,G1737/$P$17,B1737=2019,G1737/$P$18,B1737=2020,G1737/$P$18,B1737=2021,G1737/$P$19,B1737=2022,G1737/$P$20)</f>
        <v>1.9784205966366241E-3</v>
      </c>
    </row>
    <row r="1738" spans="1:12" x14ac:dyDescent="0.2">
      <c r="A1738">
        <v>3820310</v>
      </c>
      <c r="B1738">
        <v>2019</v>
      </c>
      <c r="C1738" t="s">
        <v>252</v>
      </c>
      <c r="D1738" t="s">
        <v>254</v>
      </c>
      <c r="E1738" t="s">
        <v>256</v>
      </c>
      <c r="F1738" s="5" t="s">
        <v>171</v>
      </c>
      <c r="G1738" s="7">
        <v>180063</v>
      </c>
      <c r="H1738" s="7" cm="1">
        <f t="array" ref="H1738">_xlfn.IFS(B1738=2015,L1738*$P$3,B1738=2016,L1738*$P$4,B1738=2017,L1738*$P$5,B1738=2018,L1738*$P$6,B1738=2019,L1738*$P$7,B1738=2020,L1738*$P$8,B1738=2021,L1738*$P$9,B1738=2022,L1738*$P$10)</f>
        <v>4179.2306949263057</v>
      </c>
      <c r="I1738" s="7">
        <f t="shared" si="57"/>
        <v>184242.23069492631</v>
      </c>
      <c r="J1738">
        <f>IFERROR(VLOOKUP(F1738,'LEAID Match'!$A$2:$B$227,2,FALSE),"")</f>
        <v>3820310</v>
      </c>
      <c r="K1738">
        <f t="shared" si="56"/>
        <v>8</v>
      </c>
      <c r="L1738" cm="1">
        <f t="array" ref="L1738">_xlfn.IFS(B1738=2015,G1738/$P$13,B1738=2016,G1738/$P$14,B1738=2017,G1738/$P$15,B1738=2018,G1738/$P$16,B1738=2019,G1738/$P$17,B1738=2019,G1738/$P$18,B1738=2020,G1738/$P$18,B1738=2021,G1738/$P$19,B1738=2022,G1738/$P$20)</f>
        <v>2.0131169050704749E-3</v>
      </c>
    </row>
    <row r="1739" spans="1:12" x14ac:dyDescent="0.2">
      <c r="A1739">
        <v>3820310</v>
      </c>
      <c r="B1739">
        <v>2020</v>
      </c>
      <c r="C1739" t="s">
        <v>252</v>
      </c>
      <c r="D1739" t="s">
        <v>254</v>
      </c>
      <c r="E1739" t="s">
        <v>256</v>
      </c>
      <c r="F1739" s="5" t="s">
        <v>171</v>
      </c>
      <c r="G1739" s="7">
        <v>189015</v>
      </c>
      <c r="H1739" s="7" cm="1">
        <f t="array" ref="H1739">_xlfn.IFS(B1739=2015,L1739*$P$3,B1739=2016,L1739*$P$4,B1739=2017,L1739*$P$5,B1739=2018,L1739*$P$6,B1739=2019,L1739*$P$7,B1739=2020,L1739*$P$8,B1739=2021,L1739*$P$9,B1739=2022,L1739*$P$10)</f>
        <v>4742.0117610995512</v>
      </c>
      <c r="I1739" s="7">
        <f t="shared" si="57"/>
        <v>193757.01176109957</v>
      </c>
      <c r="J1739">
        <f>IFERROR(VLOOKUP(F1739,'LEAID Match'!$A$2:$B$227,2,FALSE),"")</f>
        <v>3820310</v>
      </c>
      <c r="K1739">
        <f t="shared" si="56"/>
        <v>8</v>
      </c>
      <c r="L1739" cm="1">
        <f t="array" ref="L1739">_xlfn.IFS(B1739=2015,G1739/$P$13,B1739=2016,G1739/$P$14,B1739=2017,G1739/$P$15,B1739=2018,G1739/$P$16,B1739=2019,G1739/$P$17,B1739=2019,G1739/$P$18,B1739=2020,G1739/$P$18,B1739=2021,G1739/$P$19,B1739=2022,G1739/$P$20)</f>
        <v>2.0317102661094907E-3</v>
      </c>
    </row>
    <row r="1740" spans="1:12" x14ac:dyDescent="0.2">
      <c r="A1740">
        <v>3820310</v>
      </c>
      <c r="B1740" s="5">
        <v>2021</v>
      </c>
      <c r="C1740" t="s">
        <v>252</v>
      </c>
      <c r="D1740" t="s">
        <v>254</v>
      </c>
      <c r="E1740" t="s">
        <v>256</v>
      </c>
      <c r="F1740" s="5" t="s">
        <v>171</v>
      </c>
      <c r="G1740" s="7">
        <v>185543</v>
      </c>
      <c r="H1740" s="7" cm="1">
        <f t="array" ref="H1740">_xlfn.IFS(B1740=2015,L1740*$P$3,B1740=2016,L1740*$P$4,B1740=2017,L1740*$P$5,B1740=2018,L1740*$P$6,B1740=2019,L1740*$P$7,B1740=2020,L1740*$P$8,B1740=2021,L1740*$P$9,B1740=2022,L1740*$P$10)</f>
        <v>5069.8313788848</v>
      </c>
      <c r="I1740" s="7">
        <f t="shared" si="57"/>
        <v>190612.83137888479</v>
      </c>
      <c r="J1740">
        <f>IFERROR(VLOOKUP(F1740,'LEAID Match'!$A$2:$B$227,2,FALSE),"")</f>
        <v>3820310</v>
      </c>
      <c r="K1740">
        <f t="shared" si="56"/>
        <v>8</v>
      </c>
      <c r="L1740" cm="1">
        <f t="array" ref="L1740">_xlfn.IFS(B1740=2015,G1740/$P$13,B1740=2016,G1740/$P$14,B1740=2017,G1740/$P$15,B1740=2018,G1740/$P$16,B1740=2019,G1740/$P$17,B1740=2019,G1740/$P$18,B1740=2020,G1740/$P$18,B1740=2021,G1740/$P$19,B1740=2022,G1740/$P$20)</f>
        <v>1.8882053552643574E-3</v>
      </c>
    </row>
    <row r="1741" spans="1:12" x14ac:dyDescent="0.2">
      <c r="A1741">
        <v>3820310</v>
      </c>
      <c r="B1741">
        <v>2022</v>
      </c>
      <c r="C1741" t="s">
        <v>252</v>
      </c>
      <c r="D1741" t="s">
        <v>254</v>
      </c>
      <c r="E1741" t="s">
        <v>256</v>
      </c>
      <c r="F1741" s="5" t="s">
        <v>171</v>
      </c>
      <c r="G1741" s="7">
        <v>195023</v>
      </c>
      <c r="H1741" s="7" cm="1">
        <f t="array" ref="H1741">_xlfn.IFS(B1741=2015,L1741*$P$3,B1741=2016,L1741*$P$4,B1741=2017,L1741*$P$5,B1741=2018,L1741*$P$6,B1741=2019,L1741*$P$7,B1741=2020,L1741*$P$8,B1741=2021,L1741*$P$9,B1741=2022,L1741*$P$10)</f>
        <v>3969.2178946591207</v>
      </c>
      <c r="I1741" s="7">
        <f t="shared" si="57"/>
        <v>198992.21789465912</v>
      </c>
      <c r="J1741">
        <f>IFERROR(VLOOKUP(F1741,'LEAID Match'!$A$2:$B$227,2,FALSE),"")</f>
        <v>3820310</v>
      </c>
      <c r="K1741">
        <f t="shared" si="56"/>
        <v>8</v>
      </c>
      <c r="L1741" cm="1">
        <f t="array" ref="L1741">_xlfn.IFS(B1741=2015,G1741/$P$13,B1741=2016,G1741/$P$14,B1741=2017,G1741/$P$15,B1741=2018,G1741/$P$16,B1741=2019,G1741/$P$17,B1741=2019,G1741/$P$18,B1741=2020,G1741/$P$18,B1741=2021,G1741/$P$19,B1741=2022,G1741/$P$20)</f>
        <v>1.9437893705480512E-3</v>
      </c>
    </row>
    <row r="1742" spans="1:12" x14ac:dyDescent="0.2">
      <c r="A1742">
        <v>3820340</v>
      </c>
      <c r="B1742">
        <v>2015</v>
      </c>
      <c r="C1742" t="s">
        <v>252</v>
      </c>
      <c r="D1742" t="s">
        <v>254</v>
      </c>
      <c r="E1742" t="s">
        <v>256</v>
      </c>
      <c r="F1742" s="5" t="s">
        <v>172</v>
      </c>
      <c r="G1742" s="7">
        <v>66245</v>
      </c>
      <c r="H1742" s="7" cm="1">
        <f t="array" ref="H1742">_xlfn.IFS(B1742=2015,L1742*$P$3,B1742=2016,L1742*$P$4,B1742=2017,L1742*$P$5,B1742=2018,L1742*$P$6,B1742=2019,L1742*$P$7,B1742=2020,L1742*$P$8,B1742=2021,L1742*$P$9,B1742=2022,L1742*$P$10)</f>
        <v>1497.6949737382702</v>
      </c>
      <c r="I1742" s="7">
        <f t="shared" si="57"/>
        <v>67742.694973738267</v>
      </c>
      <c r="J1742">
        <f>IFERROR(VLOOKUP(F1742,'LEAID Match'!$A$2:$B$227,2,FALSE),"")</f>
        <v>3820340</v>
      </c>
      <c r="K1742">
        <f t="shared" si="56"/>
        <v>8</v>
      </c>
      <c r="L1742" cm="1">
        <f t="array" ref="L1742">_xlfn.IFS(B1742=2015,G1742/$P$13,B1742=2016,G1742/$P$14,B1742=2017,G1742/$P$15,B1742=2018,G1742/$P$16,B1742=2019,G1742/$P$17,B1742=2019,G1742/$P$18,B1742=2020,G1742/$P$18,B1742=2021,G1742/$P$19,B1742=2022,G1742/$P$20)</f>
        <v>8.4472361744967301E-4</v>
      </c>
    </row>
    <row r="1743" spans="1:12" x14ac:dyDescent="0.2">
      <c r="A1743">
        <v>3820340</v>
      </c>
      <c r="B1743">
        <v>2016</v>
      </c>
      <c r="C1743" t="s">
        <v>252</v>
      </c>
      <c r="D1743" t="s">
        <v>254</v>
      </c>
      <c r="E1743" t="s">
        <v>256</v>
      </c>
      <c r="F1743" s="5" t="s">
        <v>172</v>
      </c>
      <c r="G1743" s="7">
        <v>64350</v>
      </c>
      <c r="H1743" s="7" cm="1">
        <f t="array" ref="H1743">_xlfn.IFS(B1743=2015,L1743*$P$3,B1743=2016,L1743*$P$4,B1743=2017,L1743*$P$5,B1743=2018,L1743*$P$6,B1743=2019,L1743*$P$7,B1743=2020,L1743*$P$8,B1743=2021,L1743*$P$9,B1743=2022,L1743*$P$10)</f>
        <v>2185.1364168808877</v>
      </c>
      <c r="I1743" s="7">
        <f t="shared" si="57"/>
        <v>66535.136416880894</v>
      </c>
      <c r="J1743">
        <f>IFERROR(VLOOKUP(F1743,'LEAID Match'!$A$2:$B$227,2,FALSE),"")</f>
        <v>3820340</v>
      </c>
      <c r="K1743">
        <f t="shared" si="56"/>
        <v>8</v>
      </c>
      <c r="L1743" cm="1">
        <f t="array" ref="L1743">_xlfn.IFS(B1743=2015,G1743/$P$13,B1743=2016,G1743/$P$14,B1743=2017,G1743/$P$15,B1743=2018,G1743/$P$16,B1743=2019,G1743/$P$17,B1743=2019,G1743/$P$18,B1743=2020,G1743/$P$18,B1743=2021,G1743/$P$19,B1743=2022,G1743/$P$20)</f>
        <v>7.7679929501631281E-4</v>
      </c>
    </row>
    <row r="1744" spans="1:12" x14ac:dyDescent="0.2">
      <c r="A1744">
        <v>3820340</v>
      </c>
      <c r="B1744">
        <v>2017</v>
      </c>
      <c r="C1744" t="s">
        <v>252</v>
      </c>
      <c r="D1744" t="s">
        <v>254</v>
      </c>
      <c r="E1744" t="s">
        <v>256</v>
      </c>
      <c r="F1744" s="5" t="s">
        <v>172</v>
      </c>
      <c r="G1744" s="7">
        <v>68388</v>
      </c>
      <c r="H1744" s="7" cm="1">
        <f t="array" ref="H1744">_xlfn.IFS(B1744=2015,L1744*$P$3,B1744=2016,L1744*$P$4,B1744=2017,L1744*$P$5,B1744=2018,L1744*$P$6,B1744=2019,L1744*$P$7,B1744=2020,L1744*$P$8,B1744=2021,L1744*$P$9,B1744=2022,L1744*$P$10)</f>
        <v>2216.3217750157819</v>
      </c>
      <c r="I1744" s="7">
        <f t="shared" si="57"/>
        <v>70604.321775015778</v>
      </c>
      <c r="J1744">
        <f>IFERROR(VLOOKUP(F1744,'LEAID Match'!$A$2:$B$227,2,FALSE),"")</f>
        <v>3820340</v>
      </c>
      <c r="K1744">
        <f t="shared" si="56"/>
        <v>8</v>
      </c>
      <c r="L1744" cm="1">
        <f t="array" ref="L1744">_xlfn.IFS(B1744=2015,G1744/$P$13,B1744=2016,G1744/$P$14,B1744=2017,G1744/$P$15,B1744=2018,G1744/$P$16,B1744=2019,G1744/$P$17,B1744=2019,G1744/$P$18,B1744=2020,G1744/$P$18,B1744=2021,G1744/$P$19,B1744=2022,G1744/$P$20)</f>
        <v>7.9466539082674148E-4</v>
      </c>
    </row>
    <row r="1745" spans="1:12" x14ac:dyDescent="0.2">
      <c r="A1745">
        <v>3820340</v>
      </c>
      <c r="B1745" s="5">
        <v>2018</v>
      </c>
      <c r="C1745" t="s">
        <v>252</v>
      </c>
      <c r="D1745" t="s">
        <v>254</v>
      </c>
      <c r="E1745" t="s">
        <v>256</v>
      </c>
      <c r="F1745" s="5" t="s">
        <v>172</v>
      </c>
      <c r="G1745" s="7">
        <v>63147</v>
      </c>
      <c r="H1745" s="7" cm="1">
        <f t="array" ref="H1745">_xlfn.IFS(B1745=2015,L1745*$P$3,B1745=2016,L1745*$P$4,B1745=2017,L1745*$P$5,B1745=2018,L1745*$P$6,B1745=2019,L1745*$P$7,B1745=2020,L1745*$P$8,B1745=2021,L1745*$P$9,B1745=2022,L1745*$P$10)</f>
        <v>1730.2902237714709</v>
      </c>
      <c r="I1745" s="7">
        <f t="shared" si="57"/>
        <v>64877.290223771473</v>
      </c>
      <c r="J1745">
        <f>IFERROR(VLOOKUP(F1745,'LEAID Match'!$A$2:$B$227,2,FALSE),"")</f>
        <v>3820340</v>
      </c>
      <c r="K1745">
        <f t="shared" si="56"/>
        <v>8</v>
      </c>
      <c r="L1745" cm="1">
        <f t="array" ref="L1745">_xlfn.IFS(B1745=2015,G1745/$P$13,B1745=2016,G1745/$P$14,B1745=2017,G1745/$P$15,B1745=2018,G1745/$P$16,B1745=2019,G1745/$P$17,B1745=2019,G1745/$P$18,B1745=2020,G1745/$P$18,B1745=2021,G1745/$P$19,B1745=2022,G1745/$P$20)</f>
        <v>7.2854325211430351E-4</v>
      </c>
    </row>
    <row r="1746" spans="1:12" x14ac:dyDescent="0.2">
      <c r="A1746">
        <v>3820340</v>
      </c>
      <c r="B1746">
        <v>2019</v>
      </c>
      <c r="C1746" t="s">
        <v>252</v>
      </c>
      <c r="D1746" t="s">
        <v>254</v>
      </c>
      <c r="E1746" t="s">
        <v>256</v>
      </c>
      <c r="F1746" s="5" t="s">
        <v>172</v>
      </c>
      <c r="G1746" s="7">
        <v>64607</v>
      </c>
      <c r="H1746" s="7" cm="1">
        <f t="array" ref="H1746">_xlfn.IFS(B1746=2015,L1746*$P$3,B1746=2016,L1746*$P$4,B1746=2017,L1746*$P$5,B1746=2018,L1746*$P$6,B1746=2019,L1746*$P$7,B1746=2020,L1746*$P$8,B1746=2021,L1746*$P$9,B1746=2022,L1746*$P$10)</f>
        <v>1499.5171551462756</v>
      </c>
      <c r="I1746" s="7">
        <f t="shared" si="57"/>
        <v>66106.51715514627</v>
      </c>
      <c r="J1746">
        <f>IFERROR(VLOOKUP(F1746,'LEAID Match'!$A$2:$B$227,2,FALSE),"")</f>
        <v>3820340</v>
      </c>
      <c r="K1746">
        <f t="shared" si="56"/>
        <v>8</v>
      </c>
      <c r="L1746" cm="1">
        <f t="array" ref="L1746">_xlfn.IFS(B1746=2015,G1746/$P$13,B1746=2016,G1746/$P$14,B1746=2017,G1746/$P$15,B1746=2018,G1746/$P$16,B1746=2019,G1746/$P$17,B1746=2019,G1746/$P$18,B1746=2020,G1746/$P$18,B1746=2021,G1746/$P$19,B1746=2022,G1746/$P$20)</f>
        <v>7.2231076837489191E-4</v>
      </c>
    </row>
    <row r="1747" spans="1:12" x14ac:dyDescent="0.2">
      <c r="A1747">
        <v>3820340</v>
      </c>
      <c r="B1747">
        <v>2020</v>
      </c>
      <c r="C1747" t="s">
        <v>252</v>
      </c>
      <c r="D1747" t="s">
        <v>254</v>
      </c>
      <c r="E1747" t="s">
        <v>256</v>
      </c>
      <c r="F1747" s="5" t="s">
        <v>172</v>
      </c>
      <c r="G1747" s="7">
        <v>67092</v>
      </c>
      <c r="H1747" s="7" cm="1">
        <f t="array" ref="H1747">_xlfn.IFS(B1747=2015,L1747*$P$3,B1747=2016,L1747*$P$4,B1747=2017,L1747*$P$5,B1747=2018,L1747*$P$6,B1747=2019,L1747*$P$7,B1747=2020,L1747*$P$8,B1747=2021,L1747*$P$9,B1747=2022,L1747*$P$10)</f>
        <v>1683.2053174387804</v>
      </c>
      <c r="I1747" s="7">
        <f t="shared" si="57"/>
        <v>68775.205317438784</v>
      </c>
      <c r="J1747">
        <f>IFERROR(VLOOKUP(F1747,'LEAID Match'!$A$2:$B$227,2,FALSE),"")</f>
        <v>3820340</v>
      </c>
      <c r="K1747">
        <f t="shared" si="56"/>
        <v>8</v>
      </c>
      <c r="L1747" cm="1">
        <f t="array" ref="L1747">_xlfn.IFS(B1747=2015,G1747/$P$13,B1747=2016,G1747/$P$14,B1747=2017,G1747/$P$15,B1747=2018,G1747/$P$16,B1747=2019,G1747/$P$17,B1747=2019,G1747/$P$18,B1747=2020,G1747/$P$18,B1747=2021,G1747/$P$19,B1747=2022,G1747/$P$20)</f>
        <v>7.2116765957102843E-4</v>
      </c>
    </row>
    <row r="1748" spans="1:12" x14ac:dyDescent="0.2">
      <c r="A1748">
        <v>3820340</v>
      </c>
      <c r="B1748" s="5">
        <v>2021</v>
      </c>
      <c r="C1748" t="s">
        <v>252</v>
      </c>
      <c r="D1748" t="s">
        <v>254</v>
      </c>
      <c r="E1748" t="s">
        <v>256</v>
      </c>
      <c r="F1748" s="5" t="s">
        <v>172</v>
      </c>
      <c r="G1748" s="7">
        <v>74766</v>
      </c>
      <c r="H1748" s="7" cm="1">
        <f t="array" ref="H1748">_xlfn.IFS(B1748=2015,L1748*$P$3,B1748=2016,L1748*$P$4,B1748=2017,L1748*$P$5,B1748=2018,L1748*$P$6,B1748=2019,L1748*$P$7,B1748=2020,L1748*$P$8,B1748=2021,L1748*$P$9,B1748=2022,L1748*$P$10)</f>
        <v>2042.9281237971841</v>
      </c>
      <c r="I1748" s="7">
        <f t="shared" si="57"/>
        <v>76808.928123797188</v>
      </c>
      <c r="J1748">
        <f>IFERROR(VLOOKUP(F1748,'LEAID Match'!$A$2:$B$227,2,FALSE),"")</f>
        <v>3820340</v>
      </c>
      <c r="K1748">
        <f t="shared" si="56"/>
        <v>8</v>
      </c>
      <c r="L1748" cm="1">
        <f t="array" ref="L1748">_xlfn.IFS(B1748=2015,G1748/$P$13,B1748=2016,G1748/$P$14,B1748=2017,G1748/$P$15,B1748=2018,G1748/$P$16,B1748=2019,G1748/$P$17,B1748=2019,G1748/$P$18,B1748=2020,G1748/$P$18,B1748=2021,G1748/$P$19,B1748=2022,G1748/$P$20)</f>
        <v>7.6086708521310397E-4</v>
      </c>
    </row>
    <row r="1749" spans="1:12" x14ac:dyDescent="0.2">
      <c r="A1749">
        <v>3820340</v>
      </c>
      <c r="B1749">
        <v>2022</v>
      </c>
      <c r="C1749" t="s">
        <v>252</v>
      </c>
      <c r="D1749" t="s">
        <v>254</v>
      </c>
      <c r="E1749" t="s">
        <v>256</v>
      </c>
      <c r="F1749" s="5" t="s">
        <v>172</v>
      </c>
      <c r="G1749" s="7">
        <v>78338</v>
      </c>
      <c r="H1749" s="7" cm="1">
        <f t="array" ref="H1749">_xlfn.IFS(B1749=2015,L1749*$P$3,B1749=2016,L1749*$P$4,B1749=2017,L1749*$P$5,B1749=2018,L1749*$P$6,B1749=2019,L1749*$P$7,B1749=2020,L1749*$P$8,B1749=2021,L1749*$P$9,B1749=2022,L1749*$P$10)</f>
        <v>1594.3790805792455</v>
      </c>
      <c r="I1749" s="7">
        <f t="shared" si="57"/>
        <v>79932.379080579252</v>
      </c>
      <c r="J1749">
        <f>IFERROR(VLOOKUP(F1749,'LEAID Match'!$A$2:$B$227,2,FALSE),"")</f>
        <v>3820340</v>
      </c>
      <c r="K1749">
        <f t="shared" si="56"/>
        <v>8</v>
      </c>
      <c r="L1749" cm="1">
        <f t="array" ref="L1749">_xlfn.IFS(B1749=2015,G1749/$P$13,B1749=2016,G1749/$P$14,B1749=2017,G1749/$P$15,B1749=2018,G1749/$P$16,B1749=2019,G1749/$P$17,B1749=2019,G1749/$P$18,B1749=2020,G1749/$P$18,B1749=2021,G1749/$P$19,B1749=2022,G1749/$P$20)</f>
        <v>7.8079288960785774E-4</v>
      </c>
    </row>
    <row r="1750" spans="1:12" x14ac:dyDescent="0.2">
      <c r="A1750">
        <v>3820400</v>
      </c>
      <c r="B1750" s="5">
        <v>2021</v>
      </c>
      <c r="C1750" t="s">
        <v>252</v>
      </c>
      <c r="D1750" t="s">
        <v>254</v>
      </c>
      <c r="E1750" t="s">
        <v>256</v>
      </c>
      <c r="F1750" s="5" t="s">
        <v>241</v>
      </c>
      <c r="G1750" s="7">
        <v>61240</v>
      </c>
      <c r="H1750" s="7" cm="1">
        <f t="array" ref="H1750">_xlfn.IFS(B1750=2015,L1750*$P$3,B1750=2016,L1750*$P$4,B1750=2017,L1750*$P$5,B1750=2018,L1750*$P$6,B1750=2019,L1750*$P$7,B1750=2020,L1750*$P$8,B1750=2021,L1750*$P$9,B1750=2022,L1750*$P$10)</f>
        <v>1673.3397306441373</v>
      </c>
      <c r="I1750" s="7">
        <f t="shared" si="57"/>
        <v>62913.33973064414</v>
      </c>
      <c r="J1750">
        <f>IFERROR(VLOOKUP(F1750,'LEAID Match'!$A$2:$B$227,2,FALSE),"")</f>
        <v>3820400</v>
      </c>
      <c r="K1750">
        <f t="shared" si="56"/>
        <v>8</v>
      </c>
      <c r="L1750" cm="1">
        <f t="array" ref="L1750">_xlfn.IFS(B1750=2015,G1750/$P$13,B1750=2016,G1750/$P$14,B1750=2017,G1750/$P$15,B1750=2018,G1750/$P$16,B1750=2019,G1750/$P$17,B1750=2019,G1750/$P$18,B1750=2020,G1750/$P$18,B1750=2021,G1750/$P$19,B1750=2022,G1750/$P$20)</f>
        <v>6.2321777677621498E-4</v>
      </c>
    </row>
    <row r="1751" spans="1:12" x14ac:dyDescent="0.2">
      <c r="A1751">
        <v>3820400</v>
      </c>
      <c r="B1751">
        <v>2015</v>
      </c>
      <c r="C1751" t="s">
        <v>252</v>
      </c>
      <c r="D1751" t="s">
        <v>254</v>
      </c>
      <c r="E1751" t="s">
        <v>256</v>
      </c>
      <c r="F1751" s="5" t="s">
        <v>173</v>
      </c>
      <c r="G1751" s="7">
        <v>57021</v>
      </c>
      <c r="H1751" s="7" cm="1">
        <f t="array" ref="H1751">_xlfn.IFS(B1751=2015,L1751*$P$3,B1751=2016,L1751*$P$4,B1751=2017,L1751*$P$5,B1751=2018,L1751*$P$6,B1751=2019,L1751*$P$7,B1751=2020,L1751*$P$8,B1751=2021,L1751*$P$9,B1751=2022,L1751*$P$10)</f>
        <v>1289.1548810858164</v>
      </c>
      <c r="I1751" s="7">
        <f t="shared" si="57"/>
        <v>58310.154881085815</v>
      </c>
      <c r="J1751">
        <f>IFERROR(VLOOKUP(F1751,'LEAID Match'!$A$2:$B$227,2,FALSE),"")</f>
        <v>3820400</v>
      </c>
      <c r="K1751">
        <f t="shared" si="56"/>
        <v>8</v>
      </c>
      <c r="L1751" cm="1">
        <f t="array" ref="L1751">_xlfn.IFS(B1751=2015,G1751/$P$13,B1751=2016,G1751/$P$14,B1751=2017,G1751/$P$15,B1751=2018,G1751/$P$16,B1751=2019,G1751/$P$17,B1751=2019,G1751/$P$18,B1751=2020,G1751/$P$18,B1751=2021,G1751/$P$19,B1751=2022,G1751/$P$20)</f>
        <v>7.2710371183633184E-4</v>
      </c>
    </row>
    <row r="1752" spans="1:12" x14ac:dyDescent="0.2">
      <c r="A1752">
        <v>3820400</v>
      </c>
      <c r="B1752">
        <v>2016</v>
      </c>
      <c r="C1752" t="s">
        <v>252</v>
      </c>
      <c r="D1752" t="s">
        <v>254</v>
      </c>
      <c r="E1752" t="s">
        <v>256</v>
      </c>
      <c r="F1752" s="5" t="s">
        <v>173</v>
      </c>
      <c r="G1752" s="7">
        <v>47827</v>
      </c>
      <c r="H1752" s="7" cm="1">
        <f t="array" ref="H1752">_xlfn.IFS(B1752=2015,L1752*$P$3,B1752=2016,L1752*$P$4,B1752=2017,L1752*$P$5,B1752=2018,L1752*$P$6,B1752=2019,L1752*$P$7,B1752=2020,L1752*$P$8,B1752=2021,L1752*$P$9,B1752=2022,L1752*$P$10)</f>
        <v>1624.0640156979368</v>
      </c>
      <c r="I1752" s="7">
        <f t="shared" si="57"/>
        <v>49451.064015697935</v>
      </c>
      <c r="J1752">
        <f>IFERROR(VLOOKUP(F1752,'LEAID Match'!$A$2:$B$227,2,FALSE),"")</f>
        <v>3820400</v>
      </c>
      <c r="K1752">
        <f t="shared" si="56"/>
        <v>8</v>
      </c>
      <c r="L1752" cm="1">
        <f t="array" ref="L1752">_xlfn.IFS(B1752=2015,G1752/$P$13,B1752=2016,G1752/$P$14,B1752=2017,G1752/$P$15,B1752=2018,G1752/$P$16,B1752=2019,G1752/$P$17,B1752=2019,G1752/$P$18,B1752=2020,G1752/$P$18,B1752=2021,G1752/$P$19,B1752=2022,G1752/$P$20)</f>
        <v>5.7734234472020507E-4</v>
      </c>
    </row>
    <row r="1753" spans="1:12" x14ac:dyDescent="0.2">
      <c r="A1753">
        <v>3820400</v>
      </c>
      <c r="B1753">
        <v>2017</v>
      </c>
      <c r="C1753" t="s">
        <v>252</v>
      </c>
      <c r="D1753" t="s">
        <v>254</v>
      </c>
      <c r="E1753" t="s">
        <v>256</v>
      </c>
      <c r="F1753" s="5" t="s">
        <v>173</v>
      </c>
      <c r="G1753" s="7">
        <v>50863</v>
      </c>
      <c r="H1753" s="7" cm="1">
        <f t="array" ref="H1753">_xlfn.IFS(B1753=2015,L1753*$P$3,B1753=2016,L1753*$P$4,B1753=2017,L1753*$P$5,B1753=2018,L1753*$P$6,B1753=2019,L1753*$P$7,B1753=2020,L1753*$P$8,B1753=2021,L1753*$P$9,B1753=2022,L1753*$P$10)</f>
        <v>1648.3706855388039</v>
      </c>
      <c r="I1753" s="7">
        <f t="shared" si="57"/>
        <v>52511.370685538801</v>
      </c>
      <c r="J1753">
        <f>IFERROR(VLOOKUP(F1753,'LEAID Match'!$A$2:$B$227,2,FALSE),"")</f>
        <v>3820400</v>
      </c>
      <c r="K1753">
        <f t="shared" si="56"/>
        <v>8</v>
      </c>
      <c r="L1753" cm="1">
        <f t="array" ref="L1753">_xlfn.IFS(B1753=2015,G1753/$P$13,B1753=2016,G1753/$P$14,B1753=2017,G1753/$P$15,B1753=2018,G1753/$P$16,B1753=2019,G1753/$P$17,B1753=2019,G1753/$P$18,B1753=2020,G1753/$P$18,B1753=2021,G1753/$P$19,B1753=2022,G1753/$P$20)</f>
        <v>5.9102570295403506E-4</v>
      </c>
    </row>
    <row r="1754" spans="1:12" x14ac:dyDescent="0.2">
      <c r="A1754">
        <v>3820400</v>
      </c>
      <c r="B1754" s="5">
        <v>2018</v>
      </c>
      <c r="C1754" t="s">
        <v>252</v>
      </c>
      <c r="D1754" t="s">
        <v>254</v>
      </c>
      <c r="E1754" t="s">
        <v>256</v>
      </c>
      <c r="F1754" s="5" t="s">
        <v>173</v>
      </c>
      <c r="G1754" s="7">
        <v>57023</v>
      </c>
      <c r="H1754" s="7" cm="1">
        <f t="array" ref="H1754">_xlfn.IFS(B1754=2015,L1754*$P$3,B1754=2016,L1754*$P$4,B1754=2017,L1754*$P$5,B1754=2018,L1754*$P$6,B1754=2019,L1754*$P$7,B1754=2020,L1754*$P$8,B1754=2021,L1754*$P$9,B1754=2022,L1754*$P$10)</f>
        <v>1562.4865699102188</v>
      </c>
      <c r="I1754" s="7">
        <f t="shared" si="57"/>
        <v>58585.486569910216</v>
      </c>
      <c r="J1754">
        <f>IFERROR(VLOOKUP(F1754,'LEAID Match'!$A$2:$B$227,2,FALSE),"")</f>
        <v>3820400</v>
      </c>
      <c r="K1754">
        <f t="shared" si="56"/>
        <v>8</v>
      </c>
      <c r="L1754" cm="1">
        <f t="array" ref="L1754">_xlfn.IFS(B1754=2015,G1754/$P$13,B1754=2016,G1754/$P$14,B1754=2017,G1754/$P$15,B1754=2018,G1754/$P$16,B1754=2019,G1754/$P$17,B1754=2019,G1754/$P$18,B1754=2020,G1754/$P$18,B1754=2021,G1754/$P$19,B1754=2022,G1754/$P$20)</f>
        <v>6.5788908206746051E-4</v>
      </c>
    </row>
    <row r="1755" spans="1:12" x14ac:dyDescent="0.2">
      <c r="A1755">
        <v>3820400</v>
      </c>
      <c r="B1755">
        <v>2019</v>
      </c>
      <c r="C1755" t="s">
        <v>252</v>
      </c>
      <c r="D1755" t="s">
        <v>254</v>
      </c>
      <c r="E1755" t="s">
        <v>256</v>
      </c>
      <c r="F1755" s="5" t="s">
        <v>173</v>
      </c>
      <c r="G1755" s="7">
        <v>53021</v>
      </c>
      <c r="H1755" s="7" cm="1">
        <f t="array" ref="H1755">_xlfn.IFS(B1755=2015,L1755*$P$3,B1755=2016,L1755*$P$4,B1755=2017,L1755*$P$5,B1755=2018,L1755*$P$6,B1755=2019,L1755*$P$7,B1755=2020,L1755*$P$8,B1755=2021,L1755*$P$9,B1755=2022,L1755*$P$10)</f>
        <v>1230.6081242436683</v>
      </c>
      <c r="I1755" s="7">
        <f t="shared" si="57"/>
        <v>54251.60812424367</v>
      </c>
      <c r="J1755">
        <f>IFERROR(VLOOKUP(F1755,'LEAID Match'!$A$2:$B$227,2,FALSE),"")</f>
        <v>3820400</v>
      </c>
      <c r="K1755">
        <f t="shared" si="56"/>
        <v>8</v>
      </c>
      <c r="L1755" cm="1">
        <f t="array" ref="L1755">_xlfn.IFS(B1755=2015,G1755/$P$13,B1755=2016,G1755/$P$14,B1755=2017,G1755/$P$15,B1755=2018,G1755/$P$16,B1755=2019,G1755/$P$17,B1755=2019,G1755/$P$18,B1755=2020,G1755/$P$18,B1755=2021,G1755/$P$19,B1755=2022,G1755/$P$20)</f>
        <v>5.9277847988616007E-4</v>
      </c>
    </row>
    <row r="1756" spans="1:12" x14ac:dyDescent="0.2">
      <c r="A1756">
        <v>3820400</v>
      </c>
      <c r="B1756">
        <v>2020</v>
      </c>
      <c r="C1756" t="s">
        <v>252</v>
      </c>
      <c r="D1756" t="s">
        <v>254</v>
      </c>
      <c r="E1756" t="s">
        <v>256</v>
      </c>
      <c r="F1756" s="5" t="s">
        <v>173</v>
      </c>
      <c r="G1756" s="7">
        <v>57192</v>
      </c>
      <c r="H1756" s="7" cm="1">
        <f t="array" ref="H1756">_xlfn.IFS(B1756=2015,L1756*$P$3,B1756=2016,L1756*$P$4,B1756=2017,L1756*$P$5,B1756=2018,L1756*$P$6,B1756=2019,L1756*$P$7,B1756=2020,L1756*$P$8,B1756=2021,L1756*$P$9,B1756=2022,L1756*$P$10)</f>
        <v>1434.8339372050129</v>
      </c>
      <c r="I1756" s="7">
        <f t="shared" si="57"/>
        <v>58626.83393720501</v>
      </c>
      <c r="J1756">
        <f>IFERROR(VLOOKUP(F1756,'LEAID Match'!$A$2:$B$227,2,FALSE),"")</f>
        <v>3820400</v>
      </c>
      <c r="K1756">
        <f t="shared" si="56"/>
        <v>8</v>
      </c>
      <c r="L1756" cm="1">
        <f t="array" ref="L1756">_xlfn.IFS(B1756=2015,G1756/$P$13,B1756=2016,G1756/$P$14,B1756=2017,G1756/$P$15,B1756=2018,G1756/$P$16,B1756=2019,G1756/$P$17,B1756=2019,G1756/$P$18,B1756=2020,G1756/$P$18,B1756=2021,G1756/$P$19,B1756=2022,G1756/$P$20)</f>
        <v>6.1475318646315893E-4</v>
      </c>
    </row>
    <row r="1757" spans="1:12" x14ac:dyDescent="0.2">
      <c r="A1757">
        <v>3820400</v>
      </c>
      <c r="B1757">
        <v>2022</v>
      </c>
      <c r="C1757" t="s">
        <v>252</v>
      </c>
      <c r="D1757" t="s">
        <v>254</v>
      </c>
      <c r="E1757" t="s">
        <v>256</v>
      </c>
      <c r="F1757" s="5" t="s">
        <v>173</v>
      </c>
      <c r="G1757" s="7">
        <v>65639</v>
      </c>
      <c r="H1757" s="7" cm="1">
        <f t="array" ref="H1757">_xlfn.IFS(B1757=2015,L1757*$P$3,B1757=2016,L1757*$P$4,B1757=2017,L1757*$P$5,B1757=2018,L1757*$P$6,B1757=2019,L1757*$P$7,B1757=2020,L1757*$P$8,B1757=2021,L1757*$P$9,B1757=2022,L1757*$P$10)</f>
        <v>1335.9218829960057</v>
      </c>
      <c r="I1757" s="7">
        <f t="shared" si="57"/>
        <v>66974.921882996001</v>
      </c>
      <c r="J1757">
        <f>IFERROR(VLOOKUP(F1757,'LEAID Match'!$A$2:$B$227,2,FALSE),"")</f>
        <v>3820400</v>
      </c>
      <c r="K1757">
        <f t="shared" si="56"/>
        <v>8</v>
      </c>
      <c r="L1757" cm="1">
        <f t="array" ref="L1757">_xlfn.IFS(B1757=2015,G1757/$P$13,B1757=2016,G1757/$P$14,B1757=2017,G1757/$P$15,B1757=2018,G1757/$P$16,B1757=2019,G1757/$P$17,B1757=2019,G1757/$P$18,B1757=2020,G1757/$P$18,B1757=2021,G1757/$P$19,B1757=2022,G1757/$P$20)</f>
        <v>6.5422227374926825E-4</v>
      </c>
    </row>
  </sheetData>
  <autoFilter ref="A1:L1" xr:uid="{2F474824-1640-864B-9F88-40F17348AAF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08A5-562D-EB43-B85A-E56D93B2D017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30EF-AE81-6949-984E-1CF2E4FDEFC4}">
  <sheetPr>
    <tabColor rgb="FFFFFF00"/>
  </sheetPr>
  <dimension ref="A1:D223"/>
  <sheetViews>
    <sheetView zoomScaleNormal="100" workbookViewId="0">
      <selection sqref="A1:D220"/>
    </sheetView>
  </sheetViews>
  <sheetFormatPr baseColWidth="10" defaultRowHeight="16" x14ac:dyDescent="0.2"/>
  <cols>
    <col min="2" max="2" width="35.33203125" style="5" bestFit="1" customWidth="1"/>
    <col min="3" max="3" width="37.1640625" bestFit="1" customWidth="1"/>
    <col min="4" max="4" width="28" bestFit="1" customWidth="1"/>
  </cols>
  <sheetData>
    <row r="1" spans="1:4" x14ac:dyDescent="0.2">
      <c r="A1" t="s">
        <v>227</v>
      </c>
      <c r="B1" s="3" t="s">
        <v>53</v>
      </c>
      <c r="C1" s="3" t="s">
        <v>54</v>
      </c>
      <c r="D1" s="3" t="s">
        <v>55</v>
      </c>
    </row>
    <row r="2" spans="1:4" x14ac:dyDescent="0.2">
      <c r="A2">
        <v>2015</v>
      </c>
      <c r="B2" s="5" t="s">
        <v>0</v>
      </c>
      <c r="C2" s="6">
        <v>2.3906999999999999E-3</v>
      </c>
      <c r="D2" s="7">
        <v>187484</v>
      </c>
    </row>
    <row r="3" spans="1:4" x14ac:dyDescent="0.2">
      <c r="A3">
        <v>2015</v>
      </c>
      <c r="B3" s="5" t="s">
        <v>2</v>
      </c>
      <c r="C3" s="6">
        <v>3.7954600000000001E-3</v>
      </c>
      <c r="D3" s="7">
        <v>297648</v>
      </c>
    </row>
    <row r="4" spans="1:4" x14ac:dyDescent="0.2">
      <c r="A4">
        <v>2015</v>
      </c>
      <c r="B4" s="5" t="s">
        <v>3</v>
      </c>
      <c r="C4" s="6">
        <v>9.6911999999999996E-4</v>
      </c>
      <c r="D4" s="7">
        <v>76000</v>
      </c>
    </row>
    <row r="5" spans="1:4" x14ac:dyDescent="0.2">
      <c r="A5">
        <v>2015</v>
      </c>
      <c r="B5" s="5" t="s">
        <v>4</v>
      </c>
      <c r="C5" s="6">
        <v>5.609E-5</v>
      </c>
      <c r="D5" s="7">
        <v>4399</v>
      </c>
    </row>
    <row r="6" spans="1:4" x14ac:dyDescent="0.2">
      <c r="A6">
        <v>2015</v>
      </c>
      <c r="B6" s="5" t="s">
        <v>5</v>
      </c>
      <c r="C6" s="6">
        <v>2.0363299999999998E-3</v>
      </c>
      <c r="D6" s="7">
        <v>159693</v>
      </c>
    </row>
    <row r="7" spans="1:4" x14ac:dyDescent="0.2">
      <c r="A7">
        <v>2015</v>
      </c>
      <c r="B7" s="5" t="s">
        <v>6</v>
      </c>
      <c r="C7" s="6">
        <v>2.088696E-2</v>
      </c>
      <c r="D7" s="7">
        <v>1637999</v>
      </c>
    </row>
    <row r="8" spans="1:4" x14ac:dyDescent="0.2">
      <c r="A8">
        <v>2015</v>
      </c>
      <c r="B8" s="5" t="s">
        <v>7</v>
      </c>
      <c r="C8" s="6">
        <v>2.69469E-3</v>
      </c>
      <c r="D8" s="7">
        <v>211323</v>
      </c>
    </row>
    <row r="9" spans="1:4" x14ac:dyDescent="0.2">
      <c r="A9">
        <v>2015</v>
      </c>
      <c r="B9" s="5" t="s">
        <v>226</v>
      </c>
      <c r="C9" s="6">
        <v>6.7714000000000001E-4</v>
      </c>
      <c r="D9" s="7">
        <v>53103</v>
      </c>
    </row>
    <row r="10" spans="1:4" x14ac:dyDescent="0.2">
      <c r="A10">
        <v>2015</v>
      </c>
      <c r="B10" s="5" t="s">
        <v>8</v>
      </c>
      <c r="C10" s="6">
        <v>3.4354899999999998E-3</v>
      </c>
      <c r="D10" s="7">
        <v>269418</v>
      </c>
    </row>
    <row r="11" spans="1:4" x14ac:dyDescent="0.2">
      <c r="A11">
        <v>2015</v>
      </c>
      <c r="B11" s="5" t="s">
        <v>9</v>
      </c>
      <c r="C11" s="6">
        <v>4.1498300000000002E-3</v>
      </c>
      <c r="D11" s="7">
        <v>325438</v>
      </c>
    </row>
    <row r="12" spans="1:4" x14ac:dyDescent="0.2">
      <c r="A12">
        <v>2015</v>
      </c>
      <c r="B12" s="5" t="s">
        <v>10</v>
      </c>
      <c r="C12" s="6">
        <v>4.9650099999999997E-3</v>
      </c>
      <c r="D12" s="7">
        <v>389367</v>
      </c>
    </row>
    <row r="13" spans="1:4" x14ac:dyDescent="0.2">
      <c r="A13">
        <v>2015</v>
      </c>
      <c r="B13" s="5" t="s">
        <v>225</v>
      </c>
      <c r="C13" s="6">
        <v>1.7065800000000001E-3</v>
      </c>
      <c r="D13" s="7">
        <v>133834</v>
      </c>
    </row>
    <row r="14" spans="1:4" x14ac:dyDescent="0.2">
      <c r="A14">
        <v>2015</v>
      </c>
      <c r="B14" s="5" t="s">
        <v>11</v>
      </c>
      <c r="C14" s="6">
        <v>2.7714200000000001E-3</v>
      </c>
      <c r="D14" s="7">
        <v>217341</v>
      </c>
    </row>
    <row r="15" spans="1:4" x14ac:dyDescent="0.2">
      <c r="A15">
        <v>2015</v>
      </c>
      <c r="B15" s="5" t="s">
        <v>12</v>
      </c>
      <c r="C15" s="6">
        <v>1.75409E-3</v>
      </c>
      <c r="D15" s="7">
        <v>137559</v>
      </c>
    </row>
    <row r="16" spans="1:4" x14ac:dyDescent="0.2">
      <c r="A16">
        <v>2015</v>
      </c>
      <c r="B16" s="5" t="s">
        <v>13</v>
      </c>
      <c r="C16" s="6">
        <v>2.4808E-3</v>
      </c>
      <c r="D16" s="7">
        <v>194550</v>
      </c>
    </row>
    <row r="17" spans="1:4" x14ac:dyDescent="0.2">
      <c r="A17">
        <v>2015</v>
      </c>
      <c r="B17" s="5" t="s">
        <v>183</v>
      </c>
      <c r="C17" s="6">
        <v>3.3229499999999999E-3</v>
      </c>
      <c r="D17" s="7">
        <v>260593</v>
      </c>
    </row>
    <row r="18" spans="1:4" x14ac:dyDescent="0.2">
      <c r="A18">
        <v>2015</v>
      </c>
      <c r="B18" s="5" t="s">
        <v>14</v>
      </c>
      <c r="C18" s="6">
        <v>3.1650699999999999E-3</v>
      </c>
      <c r="D18" s="7">
        <v>248211</v>
      </c>
    </row>
    <row r="19" spans="1:4" x14ac:dyDescent="0.2">
      <c r="A19">
        <v>2015</v>
      </c>
      <c r="B19" s="5" t="s">
        <v>15</v>
      </c>
      <c r="C19" s="6">
        <v>1.75741E-3</v>
      </c>
      <c r="D19" s="7">
        <v>137820</v>
      </c>
    </row>
    <row r="20" spans="1:4" x14ac:dyDescent="0.2">
      <c r="A20">
        <v>2015</v>
      </c>
      <c r="B20" s="5" t="s">
        <v>16</v>
      </c>
      <c r="C20" s="6">
        <v>4.1190000000000003E-3</v>
      </c>
      <c r="D20" s="7">
        <v>323021</v>
      </c>
    </row>
    <row r="21" spans="1:4" x14ac:dyDescent="0.2">
      <c r="A21">
        <v>2015</v>
      </c>
      <c r="B21" s="5" t="s">
        <v>224</v>
      </c>
      <c r="C21" s="6">
        <v>1.7491200000000001E-3</v>
      </c>
      <c r="D21" s="7">
        <v>137170</v>
      </c>
    </row>
    <row r="22" spans="1:4" x14ac:dyDescent="0.2">
      <c r="A22">
        <v>2015</v>
      </c>
      <c r="B22" s="5" t="s">
        <v>17</v>
      </c>
      <c r="C22" s="6">
        <v>2.5897400000000001E-3</v>
      </c>
      <c r="D22" s="7">
        <v>203093</v>
      </c>
    </row>
    <row r="23" spans="1:4" x14ac:dyDescent="0.2">
      <c r="A23">
        <v>2015</v>
      </c>
      <c r="B23" s="5" t="s">
        <v>18</v>
      </c>
      <c r="C23" s="6">
        <v>5.2501099999999997E-3</v>
      </c>
      <c r="D23" s="7">
        <v>411725</v>
      </c>
    </row>
    <row r="24" spans="1:4" x14ac:dyDescent="0.2">
      <c r="A24">
        <v>2015</v>
      </c>
      <c r="B24" s="5" t="s">
        <v>19</v>
      </c>
      <c r="C24" s="6">
        <v>1.3047899999999999E-3</v>
      </c>
      <c r="D24" s="7">
        <v>102324</v>
      </c>
    </row>
    <row r="25" spans="1:4" x14ac:dyDescent="0.2">
      <c r="A25">
        <v>2015</v>
      </c>
      <c r="B25" s="5" t="s">
        <v>223</v>
      </c>
      <c r="C25" s="6">
        <v>1.6639000000000001E-4</v>
      </c>
      <c r="D25" s="7">
        <v>13049</v>
      </c>
    </row>
    <row r="26" spans="1:4" x14ac:dyDescent="0.2">
      <c r="A26">
        <v>2015</v>
      </c>
      <c r="B26" s="5" t="s">
        <v>20</v>
      </c>
      <c r="C26" s="6">
        <v>6.63E-6</v>
      </c>
      <c r="D26" s="5">
        <v>520</v>
      </c>
    </row>
    <row r="27" spans="1:4" x14ac:dyDescent="0.2">
      <c r="A27">
        <v>2015</v>
      </c>
      <c r="B27" s="5" t="s">
        <v>21</v>
      </c>
      <c r="C27" s="6">
        <v>3.6119E-4</v>
      </c>
      <c r="D27" s="7">
        <v>28325</v>
      </c>
    </row>
    <row r="28" spans="1:4" x14ac:dyDescent="0.2">
      <c r="A28">
        <v>2015</v>
      </c>
      <c r="B28" s="5" t="s">
        <v>22</v>
      </c>
      <c r="C28" s="6">
        <v>2.3474999999999999E-4</v>
      </c>
      <c r="D28" s="7">
        <v>18410</v>
      </c>
    </row>
    <row r="29" spans="1:4" x14ac:dyDescent="0.2">
      <c r="A29">
        <v>2015</v>
      </c>
      <c r="B29" s="5" t="s">
        <v>222</v>
      </c>
      <c r="C29" s="6">
        <v>1.57912E-3</v>
      </c>
      <c r="D29" s="7">
        <v>123838</v>
      </c>
    </row>
    <row r="30" spans="1:4" x14ac:dyDescent="0.2">
      <c r="A30">
        <v>2015</v>
      </c>
      <c r="B30" s="5" t="s">
        <v>23</v>
      </c>
      <c r="C30" s="6">
        <v>2.9436500000000001E-2</v>
      </c>
      <c r="D30" s="7">
        <v>2308472</v>
      </c>
    </row>
    <row r="31" spans="1:4" x14ac:dyDescent="0.2">
      <c r="A31">
        <v>2015</v>
      </c>
      <c r="B31" s="5" t="s">
        <v>24</v>
      </c>
      <c r="C31" s="6">
        <v>2.5119500000000002E-3</v>
      </c>
      <c r="D31" s="7">
        <v>196992</v>
      </c>
    </row>
    <row r="32" spans="1:4" x14ac:dyDescent="0.2">
      <c r="A32">
        <v>2015</v>
      </c>
      <c r="B32" s="5" t="s">
        <v>25</v>
      </c>
      <c r="C32" s="6">
        <v>1.37E-4</v>
      </c>
      <c r="D32" s="7">
        <v>10744</v>
      </c>
    </row>
    <row r="33" spans="1:4" x14ac:dyDescent="0.2">
      <c r="A33">
        <v>2015</v>
      </c>
      <c r="B33" s="5" t="s">
        <v>175</v>
      </c>
      <c r="C33" s="6">
        <v>1.20305E-3</v>
      </c>
      <c r="D33" s="7">
        <v>94346</v>
      </c>
    </row>
    <row r="34" spans="1:4" x14ac:dyDescent="0.2">
      <c r="A34">
        <v>2015</v>
      </c>
      <c r="B34" s="5" t="s">
        <v>26</v>
      </c>
      <c r="C34" s="6">
        <v>2.5474899999999999E-3</v>
      </c>
      <c r="D34" s="7">
        <v>199780</v>
      </c>
    </row>
    <row r="35" spans="1:4" x14ac:dyDescent="0.2">
      <c r="A35">
        <v>2015</v>
      </c>
      <c r="B35" s="5" t="s">
        <v>27</v>
      </c>
      <c r="C35" s="6">
        <v>1.09801E-3</v>
      </c>
      <c r="D35" s="7">
        <v>86108</v>
      </c>
    </row>
    <row r="36" spans="1:4" x14ac:dyDescent="0.2">
      <c r="A36">
        <v>2015</v>
      </c>
      <c r="B36" s="5" t="s">
        <v>28</v>
      </c>
      <c r="C36" s="6">
        <v>2.1675000000000001E-4</v>
      </c>
      <c r="D36" s="7">
        <v>16998</v>
      </c>
    </row>
    <row r="37" spans="1:4" x14ac:dyDescent="0.2">
      <c r="A37">
        <v>2015</v>
      </c>
      <c r="B37" s="5" t="s">
        <v>184</v>
      </c>
      <c r="C37" s="6">
        <v>1.8033700000000001E-3</v>
      </c>
      <c r="D37" s="7">
        <v>141424</v>
      </c>
    </row>
    <row r="38" spans="1:4" x14ac:dyDescent="0.2">
      <c r="A38">
        <v>2015</v>
      </c>
      <c r="B38" s="5" t="s">
        <v>29</v>
      </c>
      <c r="C38" s="6">
        <v>4.2527900000000002E-3</v>
      </c>
      <c r="D38" s="7">
        <v>333513</v>
      </c>
    </row>
    <row r="39" spans="1:4" x14ac:dyDescent="0.2">
      <c r="A39">
        <v>2015</v>
      </c>
      <c r="B39" s="5" t="s">
        <v>30</v>
      </c>
      <c r="C39" s="6">
        <v>1.0759299999999999E-3</v>
      </c>
      <c r="D39" s="7">
        <v>84377</v>
      </c>
    </row>
    <row r="40" spans="1:4" x14ac:dyDescent="0.2">
      <c r="A40">
        <v>2015</v>
      </c>
      <c r="B40" s="5" t="s">
        <v>31</v>
      </c>
      <c r="C40" s="6">
        <v>7.9309999999999998E-5</v>
      </c>
      <c r="D40" s="7">
        <v>6220</v>
      </c>
    </row>
    <row r="41" spans="1:4" x14ac:dyDescent="0.2">
      <c r="A41">
        <v>2015</v>
      </c>
      <c r="B41" s="5" t="s">
        <v>221</v>
      </c>
      <c r="C41" s="6">
        <v>9.0921000000000005E-3</v>
      </c>
      <c r="D41" s="7">
        <v>713022</v>
      </c>
    </row>
    <row r="42" spans="1:4" x14ac:dyDescent="0.2">
      <c r="A42">
        <v>2015</v>
      </c>
      <c r="B42" s="5" t="s">
        <v>32</v>
      </c>
      <c r="C42" s="6">
        <v>1.48756E-3</v>
      </c>
      <c r="D42" s="7">
        <v>116658</v>
      </c>
    </row>
    <row r="43" spans="1:4" x14ac:dyDescent="0.2">
      <c r="A43">
        <v>2015</v>
      </c>
      <c r="B43" s="5" t="s">
        <v>33</v>
      </c>
      <c r="C43" s="6">
        <v>2.0630999999999999E-4</v>
      </c>
      <c r="D43" s="7">
        <v>16179</v>
      </c>
    </row>
    <row r="44" spans="1:4" x14ac:dyDescent="0.2">
      <c r="A44">
        <v>2015</v>
      </c>
      <c r="B44" s="5" t="s">
        <v>34</v>
      </c>
      <c r="C44" s="6">
        <v>1.6212100000000001E-3</v>
      </c>
      <c r="D44" s="7">
        <v>127139</v>
      </c>
    </row>
    <row r="45" spans="1:4" x14ac:dyDescent="0.2">
      <c r="A45">
        <v>2015</v>
      </c>
      <c r="B45" s="5" t="s">
        <v>176</v>
      </c>
      <c r="C45" s="6">
        <v>2.1816600000000002E-3</v>
      </c>
      <c r="D45" s="7">
        <v>171090</v>
      </c>
    </row>
    <row r="46" spans="1:4" x14ac:dyDescent="0.2">
      <c r="A46">
        <v>2015</v>
      </c>
      <c r="B46" s="5" t="s">
        <v>35</v>
      </c>
      <c r="C46" s="6">
        <v>2.3602100000000002E-3</v>
      </c>
      <c r="D46" s="7">
        <v>185093</v>
      </c>
    </row>
    <row r="47" spans="1:4" x14ac:dyDescent="0.2">
      <c r="A47">
        <v>2015</v>
      </c>
      <c r="B47" s="5" t="s">
        <v>36</v>
      </c>
      <c r="C47" s="6">
        <v>2.6287900000000002E-3</v>
      </c>
      <c r="D47" s="7">
        <v>206155</v>
      </c>
    </row>
    <row r="48" spans="1:4" x14ac:dyDescent="0.2">
      <c r="A48">
        <v>2015</v>
      </c>
      <c r="B48" s="5" t="s">
        <v>37</v>
      </c>
      <c r="C48" s="6">
        <v>6.7927130000000002E-2</v>
      </c>
      <c r="D48" s="7">
        <v>5326988</v>
      </c>
    </row>
    <row r="49" spans="1:4" x14ac:dyDescent="0.2">
      <c r="A49">
        <v>2015</v>
      </c>
      <c r="B49" s="5" t="s">
        <v>219</v>
      </c>
      <c r="C49" s="6">
        <v>1.84497E-3</v>
      </c>
      <c r="D49" s="7">
        <v>144686</v>
      </c>
    </row>
    <row r="50" spans="1:4" x14ac:dyDescent="0.2">
      <c r="A50">
        <v>2015</v>
      </c>
      <c r="B50" s="5" t="s">
        <v>38</v>
      </c>
      <c r="C50" s="6">
        <v>3.6845699999999999E-3</v>
      </c>
      <c r="D50" s="7">
        <v>288952</v>
      </c>
    </row>
    <row r="51" spans="1:4" x14ac:dyDescent="0.2">
      <c r="A51">
        <v>2015</v>
      </c>
      <c r="B51" s="5" t="s">
        <v>39</v>
      </c>
      <c r="C51" s="6">
        <v>1.1391699999999999E-3</v>
      </c>
      <c r="D51" s="7">
        <v>89336</v>
      </c>
    </row>
    <row r="52" spans="1:4" x14ac:dyDescent="0.2">
      <c r="A52">
        <v>2015</v>
      </c>
      <c r="B52" s="5" t="s">
        <v>40</v>
      </c>
      <c r="C52" s="6">
        <v>4.638E-5</v>
      </c>
      <c r="D52" s="7">
        <v>3637</v>
      </c>
    </row>
    <row r="53" spans="1:4" x14ac:dyDescent="0.2">
      <c r="A53">
        <v>2015</v>
      </c>
      <c r="B53" s="5" t="s">
        <v>220</v>
      </c>
      <c r="C53" s="6">
        <v>2.4188899999999999E-3</v>
      </c>
      <c r="D53" s="7">
        <v>189694</v>
      </c>
    </row>
    <row r="54" spans="1:4" x14ac:dyDescent="0.2">
      <c r="A54">
        <v>2015</v>
      </c>
      <c r="B54" s="5" t="s">
        <v>41</v>
      </c>
      <c r="C54" s="6">
        <v>2.5300800000000001E-3</v>
      </c>
      <c r="D54" s="7">
        <v>198414</v>
      </c>
    </row>
    <row r="55" spans="1:4" x14ac:dyDescent="0.2">
      <c r="A55">
        <v>2015</v>
      </c>
      <c r="B55" s="5" t="s">
        <v>42</v>
      </c>
      <c r="C55" s="6">
        <v>1.34688E-3</v>
      </c>
      <c r="D55" s="7">
        <v>105625</v>
      </c>
    </row>
    <row r="56" spans="1:4" x14ac:dyDescent="0.2">
      <c r="A56">
        <v>2015</v>
      </c>
      <c r="B56" s="5" t="s">
        <v>43</v>
      </c>
      <c r="C56" s="6">
        <v>2.3342999999999999E-4</v>
      </c>
      <c r="D56" s="7">
        <v>18306</v>
      </c>
    </row>
    <row r="57" spans="1:4" x14ac:dyDescent="0.2">
      <c r="A57">
        <v>2015</v>
      </c>
      <c r="B57" s="5" t="s">
        <v>185</v>
      </c>
      <c r="C57" s="6">
        <v>2.3720600000000001E-3</v>
      </c>
      <c r="D57" s="7">
        <v>186022</v>
      </c>
    </row>
    <row r="58" spans="1:4" x14ac:dyDescent="0.2">
      <c r="A58">
        <v>2015</v>
      </c>
      <c r="B58" s="5" t="s">
        <v>44</v>
      </c>
      <c r="C58" s="6">
        <v>1.1089E-4</v>
      </c>
      <c r="D58" s="7">
        <v>8696</v>
      </c>
    </row>
    <row r="59" spans="1:4" x14ac:dyDescent="0.2">
      <c r="A59">
        <v>2015</v>
      </c>
      <c r="B59" s="5" t="s">
        <v>45</v>
      </c>
      <c r="C59" s="6">
        <v>2.23829E-3</v>
      </c>
      <c r="D59" s="7">
        <v>175531</v>
      </c>
    </row>
    <row r="60" spans="1:4" x14ac:dyDescent="0.2">
      <c r="A60">
        <v>2015</v>
      </c>
      <c r="B60" s="5" t="s">
        <v>46</v>
      </c>
      <c r="C60" s="6">
        <v>1.8452E-4</v>
      </c>
      <c r="D60" s="7">
        <v>14470</v>
      </c>
    </row>
    <row r="61" spans="1:4" x14ac:dyDescent="0.2">
      <c r="A61">
        <v>2015</v>
      </c>
      <c r="B61" s="5" t="s">
        <v>189</v>
      </c>
      <c r="C61" s="6">
        <v>1.06196E-3</v>
      </c>
      <c r="D61" s="7">
        <v>83281</v>
      </c>
    </row>
    <row r="62" spans="1:4" x14ac:dyDescent="0.2">
      <c r="A62">
        <v>2015</v>
      </c>
      <c r="B62" s="5" t="s">
        <v>47</v>
      </c>
      <c r="C62" s="6">
        <v>1.4318600000000001E-3</v>
      </c>
      <c r="D62" s="7">
        <v>112289</v>
      </c>
    </row>
    <row r="63" spans="1:4" x14ac:dyDescent="0.2">
      <c r="A63">
        <v>2015</v>
      </c>
      <c r="B63" s="5" t="s">
        <v>48</v>
      </c>
      <c r="C63" s="6">
        <v>4.9759000000000001E-4</v>
      </c>
      <c r="D63" s="7">
        <v>39022</v>
      </c>
    </row>
    <row r="64" spans="1:4" x14ac:dyDescent="0.2">
      <c r="A64">
        <v>2015</v>
      </c>
      <c r="B64" s="5" t="s">
        <v>49</v>
      </c>
      <c r="C64" s="6">
        <v>1.86746E-3</v>
      </c>
      <c r="D64" s="7">
        <v>146450</v>
      </c>
    </row>
    <row r="65" spans="1:4" x14ac:dyDescent="0.2">
      <c r="A65">
        <v>2015</v>
      </c>
      <c r="B65" s="5" t="s">
        <v>186</v>
      </c>
      <c r="C65" s="6">
        <v>2.2864199999999999E-3</v>
      </c>
      <c r="D65" s="7">
        <v>179306</v>
      </c>
    </row>
    <row r="66" spans="1:4" x14ac:dyDescent="0.2">
      <c r="A66">
        <v>2015</v>
      </c>
      <c r="B66" s="5" t="s">
        <v>50</v>
      </c>
      <c r="C66" s="6">
        <v>1.8749999999999998E-5</v>
      </c>
      <c r="D66" s="7">
        <v>1470</v>
      </c>
    </row>
    <row r="67" spans="1:4" x14ac:dyDescent="0.2">
      <c r="A67">
        <v>2015</v>
      </c>
      <c r="B67" s="5" t="s">
        <v>51</v>
      </c>
      <c r="C67" s="6">
        <v>2.3772400000000001E-3</v>
      </c>
      <c r="D67" s="7">
        <v>186428</v>
      </c>
    </row>
    <row r="68" spans="1:4" x14ac:dyDescent="0.2">
      <c r="A68">
        <v>2015</v>
      </c>
      <c r="B68" s="5" t="s">
        <v>52</v>
      </c>
      <c r="C68" s="6">
        <v>1.9902000000000001E-3</v>
      </c>
      <c r="D68" s="7">
        <v>156076</v>
      </c>
    </row>
    <row r="69" spans="1:4" x14ac:dyDescent="0.2">
      <c r="A69">
        <v>2015</v>
      </c>
      <c r="B69" s="5" t="s">
        <v>56</v>
      </c>
      <c r="C69" s="6">
        <v>3.2815100000000001E-3</v>
      </c>
      <c r="D69" s="7">
        <v>257343</v>
      </c>
    </row>
    <row r="70" spans="1:4" x14ac:dyDescent="0.2">
      <c r="A70">
        <v>2015</v>
      </c>
      <c r="B70" s="5" t="s">
        <v>57</v>
      </c>
      <c r="C70" s="6">
        <v>1.5317099999999999E-3</v>
      </c>
      <c r="D70" s="7">
        <v>120120</v>
      </c>
    </row>
    <row r="71" spans="1:4" x14ac:dyDescent="0.2">
      <c r="A71">
        <v>2015</v>
      </c>
      <c r="B71" s="5" t="s">
        <v>58</v>
      </c>
      <c r="C71" s="6">
        <v>1.13872E-3</v>
      </c>
      <c r="D71" s="7">
        <v>89301</v>
      </c>
    </row>
    <row r="72" spans="1:4" x14ac:dyDescent="0.2">
      <c r="A72">
        <v>2015</v>
      </c>
      <c r="B72" s="5" t="s">
        <v>59</v>
      </c>
      <c r="C72" s="6">
        <v>5.2214000000000004E-4</v>
      </c>
      <c r="D72" s="7">
        <v>40947</v>
      </c>
    </row>
    <row r="73" spans="1:4" x14ac:dyDescent="0.2">
      <c r="A73">
        <v>2015</v>
      </c>
      <c r="B73" s="5" t="s">
        <v>60</v>
      </c>
      <c r="C73" s="6">
        <v>1.5291199999999999E-3</v>
      </c>
      <c r="D73" s="7">
        <v>119917</v>
      </c>
    </row>
    <row r="74" spans="1:4" x14ac:dyDescent="0.2">
      <c r="A74">
        <v>2015</v>
      </c>
      <c r="B74" s="5" t="s">
        <v>61</v>
      </c>
      <c r="C74" s="6">
        <v>5.609E-5</v>
      </c>
      <c r="D74" s="7">
        <v>4399</v>
      </c>
    </row>
    <row r="75" spans="1:4" x14ac:dyDescent="0.2">
      <c r="A75">
        <v>2015</v>
      </c>
      <c r="B75" s="5" t="s">
        <v>62</v>
      </c>
      <c r="C75" s="6">
        <v>2.6863099999999999E-3</v>
      </c>
      <c r="D75" s="7">
        <v>210666</v>
      </c>
    </row>
    <row r="76" spans="1:4" x14ac:dyDescent="0.2">
      <c r="A76">
        <v>2015</v>
      </c>
      <c r="B76" s="5" t="s">
        <v>63</v>
      </c>
      <c r="C76" s="6">
        <v>3.3644199999999999E-3</v>
      </c>
      <c r="D76" s="7">
        <v>263845</v>
      </c>
    </row>
    <row r="77" spans="1:4" x14ac:dyDescent="0.2">
      <c r="A77">
        <v>2015</v>
      </c>
      <c r="B77" s="5" t="s">
        <v>187</v>
      </c>
      <c r="C77" s="6">
        <v>1.3069819999999999E-2</v>
      </c>
      <c r="D77" s="7">
        <v>1024963</v>
      </c>
    </row>
    <row r="78" spans="1:4" x14ac:dyDescent="0.2">
      <c r="A78">
        <v>2015</v>
      </c>
      <c r="B78" s="5" t="s">
        <v>64</v>
      </c>
      <c r="C78" s="6">
        <v>2.2058400000000001E-3</v>
      </c>
      <c r="D78" s="7">
        <v>172987</v>
      </c>
    </row>
    <row r="79" spans="1:4" x14ac:dyDescent="0.2">
      <c r="A79">
        <v>2015</v>
      </c>
      <c r="B79" s="5" t="s">
        <v>65</v>
      </c>
      <c r="C79" s="6">
        <v>5.5062599999999998E-3</v>
      </c>
      <c r="D79" s="7">
        <v>431812</v>
      </c>
    </row>
    <row r="80" spans="1:4" x14ac:dyDescent="0.2">
      <c r="A80">
        <v>2015</v>
      </c>
      <c r="B80" s="5" t="s">
        <v>66</v>
      </c>
      <c r="C80" s="6">
        <v>1.0274100000000001E-3</v>
      </c>
      <c r="D80" s="7">
        <v>80572</v>
      </c>
    </row>
    <row r="81" spans="1:4" x14ac:dyDescent="0.2">
      <c r="A81">
        <v>2015</v>
      </c>
      <c r="B81" s="5" t="s">
        <v>188</v>
      </c>
      <c r="C81" s="6">
        <v>0.10783616</v>
      </c>
      <c r="D81" s="7">
        <v>8456738</v>
      </c>
    </row>
    <row r="82" spans="1:4" x14ac:dyDescent="0.2">
      <c r="A82">
        <v>2015</v>
      </c>
      <c r="B82" s="5" t="s">
        <v>67</v>
      </c>
      <c r="C82" s="6">
        <v>0</v>
      </c>
      <c r="D82" s="5"/>
    </row>
    <row r="83" spans="1:4" x14ac:dyDescent="0.2">
      <c r="A83">
        <v>2015</v>
      </c>
      <c r="B83" s="5" t="s">
        <v>68</v>
      </c>
      <c r="C83" s="6">
        <v>5.0179999999999997E-5</v>
      </c>
      <c r="D83" s="7">
        <v>3935</v>
      </c>
    </row>
    <row r="84" spans="1:4" x14ac:dyDescent="0.2">
      <c r="A84">
        <v>2015</v>
      </c>
      <c r="B84" s="5" t="s">
        <v>69</v>
      </c>
      <c r="C84" s="6">
        <v>5.9905899999999996E-3</v>
      </c>
      <c r="D84" s="7">
        <v>469795</v>
      </c>
    </row>
    <row r="85" spans="1:4" x14ac:dyDescent="0.2">
      <c r="A85">
        <v>2015</v>
      </c>
      <c r="B85" s="5" t="s">
        <v>192</v>
      </c>
      <c r="C85" s="6">
        <v>8.4862000000000002E-4</v>
      </c>
      <c r="D85" s="7">
        <v>66551</v>
      </c>
    </row>
    <row r="86" spans="1:4" x14ac:dyDescent="0.2">
      <c r="A86">
        <v>2015</v>
      </c>
      <c r="B86" s="5" t="s">
        <v>70</v>
      </c>
      <c r="C86" s="6">
        <v>4.4341900000000002E-3</v>
      </c>
      <c r="D86" s="7">
        <v>347738</v>
      </c>
    </row>
    <row r="87" spans="1:4" x14ac:dyDescent="0.2">
      <c r="A87">
        <v>2015</v>
      </c>
      <c r="B87" s="5" t="s">
        <v>71</v>
      </c>
      <c r="C87" s="6">
        <v>1.21295E-3</v>
      </c>
      <c r="D87" s="7">
        <v>95122</v>
      </c>
    </row>
    <row r="88" spans="1:4" x14ac:dyDescent="0.2">
      <c r="A88">
        <v>2015</v>
      </c>
      <c r="B88" s="5" t="s">
        <v>72</v>
      </c>
      <c r="C88" s="6">
        <v>1.4215000000000001E-4</v>
      </c>
      <c r="D88" s="7">
        <v>11148</v>
      </c>
    </row>
    <row r="89" spans="1:4" x14ac:dyDescent="0.2">
      <c r="A89">
        <v>2015</v>
      </c>
      <c r="B89" s="5" t="s">
        <v>190</v>
      </c>
      <c r="C89" s="6">
        <v>4.6364400000000004E-3</v>
      </c>
      <c r="D89" s="7">
        <v>363599</v>
      </c>
    </row>
    <row r="90" spans="1:4" x14ac:dyDescent="0.2">
      <c r="A90">
        <v>2015</v>
      </c>
      <c r="B90" s="5" t="s">
        <v>73</v>
      </c>
      <c r="C90" s="6">
        <v>3.4918000000000002E-3</v>
      </c>
      <c r="D90" s="7">
        <v>273834</v>
      </c>
    </row>
    <row r="91" spans="1:4" x14ac:dyDescent="0.2">
      <c r="A91">
        <v>2015</v>
      </c>
      <c r="B91" s="5" t="s">
        <v>74</v>
      </c>
      <c r="C91" s="6">
        <v>2.3031599999999998E-3</v>
      </c>
      <c r="D91" s="7">
        <v>180619</v>
      </c>
    </row>
    <row r="92" spans="1:4" x14ac:dyDescent="0.2">
      <c r="A92">
        <v>2015</v>
      </c>
      <c r="B92" s="5" t="s">
        <v>75</v>
      </c>
      <c r="C92" s="6">
        <v>5.5728499999999999E-3</v>
      </c>
      <c r="D92" s="7">
        <v>437035</v>
      </c>
    </row>
    <row r="93" spans="1:4" x14ac:dyDescent="0.2">
      <c r="A93">
        <v>2015</v>
      </c>
      <c r="B93" s="5" t="s">
        <v>191</v>
      </c>
      <c r="C93" s="6">
        <v>1.0393E-4</v>
      </c>
      <c r="D93" s="7">
        <v>8150</v>
      </c>
    </row>
    <row r="94" spans="1:4" x14ac:dyDescent="0.2">
      <c r="A94">
        <v>2015</v>
      </c>
      <c r="B94" s="5" t="s">
        <v>76</v>
      </c>
      <c r="C94" s="6">
        <v>2.0082400000000001E-3</v>
      </c>
      <c r="D94" s="7">
        <v>157490</v>
      </c>
    </row>
    <row r="95" spans="1:4" x14ac:dyDescent="0.2">
      <c r="A95">
        <v>2015</v>
      </c>
      <c r="B95" s="5" t="s">
        <v>77</v>
      </c>
      <c r="C95" s="6">
        <v>2.8575699999999998E-3</v>
      </c>
      <c r="D95" s="7">
        <v>224097</v>
      </c>
    </row>
    <row r="96" spans="1:4" x14ac:dyDescent="0.2">
      <c r="A96">
        <v>2015</v>
      </c>
      <c r="B96" s="5" t="s">
        <v>78</v>
      </c>
      <c r="C96" s="6">
        <v>1.6543289999999999E-2</v>
      </c>
      <c r="D96" s="7">
        <v>1297360</v>
      </c>
    </row>
    <row r="97" spans="1:4" x14ac:dyDescent="0.2">
      <c r="A97">
        <v>2015</v>
      </c>
      <c r="B97" s="5" t="s">
        <v>193</v>
      </c>
      <c r="C97" s="6">
        <v>2.8191239999999999E-2</v>
      </c>
      <c r="D97" s="7">
        <v>2210816</v>
      </c>
    </row>
    <row r="98" spans="1:4" x14ac:dyDescent="0.2">
      <c r="A98">
        <v>2015</v>
      </c>
      <c r="B98" s="5" t="s">
        <v>79</v>
      </c>
      <c r="C98" s="6">
        <v>3.5894799999999999E-3</v>
      </c>
      <c r="D98" s="7">
        <v>281495</v>
      </c>
    </row>
    <row r="99" spans="1:4" x14ac:dyDescent="0.2">
      <c r="A99">
        <v>2015</v>
      </c>
      <c r="B99" s="5" t="s">
        <v>80</v>
      </c>
      <c r="C99" s="6">
        <v>8.4548000000000002E-4</v>
      </c>
      <c r="D99" s="7">
        <v>66304</v>
      </c>
    </row>
    <row r="100" spans="1:4" x14ac:dyDescent="0.2">
      <c r="A100">
        <v>2015</v>
      </c>
      <c r="B100" s="5" t="s">
        <v>81</v>
      </c>
      <c r="C100" s="6">
        <v>2.0102700000000002E-3</v>
      </c>
      <c r="D100" s="7">
        <v>157650</v>
      </c>
    </row>
    <row r="101" spans="1:4" x14ac:dyDescent="0.2">
      <c r="A101">
        <v>2015</v>
      </c>
      <c r="B101" s="5" t="s">
        <v>194</v>
      </c>
      <c r="C101" s="6">
        <v>4.2092299999999996E-3</v>
      </c>
      <c r="D101" s="7">
        <v>330097</v>
      </c>
    </row>
    <row r="102" spans="1:4" x14ac:dyDescent="0.2">
      <c r="A102">
        <v>2015</v>
      </c>
      <c r="B102" s="5" t="s">
        <v>82</v>
      </c>
      <c r="C102" s="6">
        <v>1.3067599999999999E-3</v>
      </c>
      <c r="D102" s="7">
        <v>102479</v>
      </c>
    </row>
    <row r="103" spans="1:4" x14ac:dyDescent="0.2">
      <c r="A103">
        <v>2015</v>
      </c>
      <c r="B103" s="5" t="s">
        <v>83</v>
      </c>
      <c r="C103" s="6">
        <v>5.024E-5</v>
      </c>
      <c r="D103" s="7">
        <v>3940</v>
      </c>
    </row>
    <row r="104" spans="1:4" x14ac:dyDescent="0.2">
      <c r="A104">
        <v>2015</v>
      </c>
      <c r="B104" s="5" t="s">
        <v>84</v>
      </c>
      <c r="C104" s="6">
        <v>1.9853499999999999E-3</v>
      </c>
      <c r="D104" s="7">
        <v>155695</v>
      </c>
    </row>
    <row r="105" spans="1:4" x14ac:dyDescent="0.2">
      <c r="A105">
        <v>2015</v>
      </c>
      <c r="B105" s="5" t="s">
        <v>196</v>
      </c>
      <c r="C105" s="6">
        <v>1.13232E-3</v>
      </c>
      <c r="D105" s="7">
        <v>88799</v>
      </c>
    </row>
    <row r="106" spans="1:4" x14ac:dyDescent="0.2">
      <c r="A106">
        <v>2015</v>
      </c>
      <c r="B106" s="5" t="s">
        <v>85</v>
      </c>
      <c r="C106" s="6">
        <v>2.2380500000000001E-3</v>
      </c>
      <c r="D106" s="7">
        <v>175513</v>
      </c>
    </row>
    <row r="107" spans="1:4" x14ac:dyDescent="0.2">
      <c r="A107">
        <v>2015</v>
      </c>
      <c r="B107" s="5" t="s">
        <v>86</v>
      </c>
      <c r="C107" s="6">
        <v>1.59771E-3</v>
      </c>
      <c r="D107" s="7">
        <v>125296</v>
      </c>
    </row>
    <row r="108" spans="1:4" x14ac:dyDescent="0.2">
      <c r="A108">
        <v>2015</v>
      </c>
      <c r="B108" s="5" t="s">
        <v>87</v>
      </c>
      <c r="C108" s="6">
        <v>2.8019199999999998E-3</v>
      </c>
      <c r="D108" s="7">
        <v>219732</v>
      </c>
    </row>
    <row r="109" spans="1:4" x14ac:dyDescent="0.2">
      <c r="A109">
        <v>2015</v>
      </c>
      <c r="B109" s="5" t="s">
        <v>195</v>
      </c>
      <c r="C109" s="6">
        <v>9.0686E-4</v>
      </c>
      <c r="D109" s="7">
        <v>71118</v>
      </c>
    </row>
    <row r="110" spans="1:4" x14ac:dyDescent="0.2">
      <c r="A110">
        <v>2015</v>
      </c>
      <c r="B110" s="5" t="s">
        <v>88</v>
      </c>
      <c r="C110" s="6">
        <v>3.1356999999999999E-3</v>
      </c>
      <c r="D110" s="7">
        <v>245908</v>
      </c>
    </row>
    <row r="111" spans="1:4" x14ac:dyDescent="0.2">
      <c r="A111">
        <v>2015</v>
      </c>
      <c r="B111" s="5" t="s">
        <v>89</v>
      </c>
      <c r="C111" s="6">
        <v>1.59779E-3</v>
      </c>
      <c r="D111" s="7">
        <v>125302</v>
      </c>
    </row>
    <row r="112" spans="1:4" x14ac:dyDescent="0.2">
      <c r="A112">
        <v>2015</v>
      </c>
      <c r="B112" s="5" t="s">
        <v>90</v>
      </c>
      <c r="C112" s="6">
        <v>0.1063899</v>
      </c>
      <c r="D112" s="7">
        <v>8343319</v>
      </c>
    </row>
    <row r="113" spans="1:4" x14ac:dyDescent="0.2">
      <c r="A113">
        <v>2015</v>
      </c>
      <c r="B113" s="5" t="s">
        <v>218</v>
      </c>
      <c r="C113" s="6">
        <v>1.5280000000000001E-3</v>
      </c>
      <c r="D113" s="7">
        <v>119829</v>
      </c>
    </row>
    <row r="114" spans="1:4" x14ac:dyDescent="0.2">
      <c r="A114">
        <v>2015</v>
      </c>
      <c r="B114" s="5" t="s">
        <v>91</v>
      </c>
      <c r="C114" s="6">
        <v>1.8251599999999999E-3</v>
      </c>
      <c r="D114" s="7">
        <v>143133</v>
      </c>
    </row>
    <row r="115" spans="1:4" x14ac:dyDescent="0.2">
      <c r="A115">
        <v>2015</v>
      </c>
      <c r="B115" s="5" t="s">
        <v>92</v>
      </c>
      <c r="C115" s="6">
        <v>1.64281E-3</v>
      </c>
      <c r="D115" s="7">
        <v>128833</v>
      </c>
    </row>
    <row r="116" spans="1:4" x14ac:dyDescent="0.2">
      <c r="A116">
        <v>2015</v>
      </c>
      <c r="B116" s="5" t="s">
        <v>93</v>
      </c>
      <c r="C116" s="6">
        <v>9.2606000000000003E-4</v>
      </c>
      <c r="D116" s="7">
        <v>72624</v>
      </c>
    </row>
    <row r="117" spans="1:4" x14ac:dyDescent="0.2">
      <c r="A117">
        <v>2015</v>
      </c>
      <c r="B117" s="5" t="s">
        <v>197</v>
      </c>
      <c r="C117" s="6">
        <v>2.7072000000000001E-4</v>
      </c>
      <c r="D117" s="7">
        <v>21230</v>
      </c>
    </row>
    <row r="118" spans="1:4" x14ac:dyDescent="0.2">
      <c r="A118">
        <v>2015</v>
      </c>
      <c r="B118" s="5" t="s">
        <v>94</v>
      </c>
      <c r="C118" s="6">
        <v>2.5095400000000002E-3</v>
      </c>
      <c r="D118" s="7">
        <v>196803</v>
      </c>
    </row>
    <row r="119" spans="1:4" x14ac:dyDescent="0.2">
      <c r="A119">
        <v>2015</v>
      </c>
      <c r="B119" s="5" t="s">
        <v>95</v>
      </c>
      <c r="C119" s="6">
        <v>1.8189600000000001E-3</v>
      </c>
      <c r="D119" s="7">
        <v>142647</v>
      </c>
    </row>
    <row r="120" spans="1:4" x14ac:dyDescent="0.2">
      <c r="A120">
        <v>2015</v>
      </c>
      <c r="B120" s="5" t="s">
        <v>96</v>
      </c>
      <c r="C120" s="6">
        <v>1.1779200000000001E-3</v>
      </c>
      <c r="D120" s="7">
        <v>92375</v>
      </c>
    </row>
    <row r="121" spans="1:4" x14ac:dyDescent="0.2">
      <c r="A121">
        <v>2015</v>
      </c>
      <c r="B121" s="5" t="s">
        <v>198</v>
      </c>
      <c r="C121" s="6">
        <v>3.64256E-3</v>
      </c>
      <c r="D121" s="7">
        <v>285657</v>
      </c>
    </row>
    <row r="122" spans="1:4" x14ac:dyDescent="0.2">
      <c r="A122">
        <v>2015</v>
      </c>
      <c r="B122" s="5" t="s">
        <v>97</v>
      </c>
      <c r="C122" s="6">
        <v>1.79919E-3</v>
      </c>
      <c r="D122" s="7">
        <v>141096</v>
      </c>
    </row>
    <row r="123" spans="1:4" x14ac:dyDescent="0.2">
      <c r="A123">
        <v>2015</v>
      </c>
      <c r="B123" s="5" t="s">
        <v>98</v>
      </c>
      <c r="C123" s="6">
        <v>2.5045200000000001E-3</v>
      </c>
      <c r="D123" s="7">
        <v>196410</v>
      </c>
    </row>
    <row r="124" spans="1:4" x14ac:dyDescent="0.2">
      <c r="A124">
        <v>2015</v>
      </c>
      <c r="B124" s="5" t="s">
        <v>99</v>
      </c>
      <c r="C124" s="6">
        <v>4.5736000000000003E-4</v>
      </c>
      <c r="D124" s="7">
        <v>35867</v>
      </c>
    </row>
    <row r="125" spans="1:4" x14ac:dyDescent="0.2">
      <c r="A125">
        <v>2015</v>
      </c>
      <c r="B125" s="5" t="s">
        <v>217</v>
      </c>
      <c r="C125" s="6">
        <v>6.9840299999999996E-3</v>
      </c>
      <c r="D125" s="7">
        <v>547702</v>
      </c>
    </row>
    <row r="126" spans="1:4" x14ac:dyDescent="0.2">
      <c r="A126">
        <v>2015</v>
      </c>
      <c r="B126" s="5" t="s">
        <v>100</v>
      </c>
      <c r="C126" s="6">
        <v>6.9859879999999999E-2</v>
      </c>
      <c r="D126" s="7">
        <v>5478558</v>
      </c>
    </row>
    <row r="127" spans="1:4" x14ac:dyDescent="0.2">
      <c r="A127">
        <v>2015</v>
      </c>
      <c r="B127" s="5" t="s">
        <v>101</v>
      </c>
      <c r="C127" s="6">
        <v>2.6056000000000001E-4</v>
      </c>
      <c r="D127" s="7">
        <v>20434</v>
      </c>
    </row>
    <row r="128" spans="1:4" x14ac:dyDescent="0.2">
      <c r="A128">
        <v>2015</v>
      </c>
      <c r="B128" s="5" t="s">
        <v>102</v>
      </c>
      <c r="C128" s="6">
        <v>1.7902E-3</v>
      </c>
      <c r="D128" s="7">
        <v>140391</v>
      </c>
    </row>
    <row r="129" spans="1:4" x14ac:dyDescent="0.2">
      <c r="A129">
        <v>2015</v>
      </c>
      <c r="B129" s="5" t="s">
        <v>199</v>
      </c>
      <c r="C129" s="6">
        <v>2.8085100000000002E-3</v>
      </c>
      <c r="D129" s="7">
        <v>220249</v>
      </c>
    </row>
    <row r="130" spans="1:4" x14ac:dyDescent="0.2">
      <c r="A130">
        <v>2015</v>
      </c>
      <c r="B130" s="5" t="s">
        <v>103</v>
      </c>
      <c r="C130" s="6">
        <v>2.3118599999999998E-3</v>
      </c>
      <c r="D130" s="7">
        <v>181301</v>
      </c>
    </row>
    <row r="131" spans="1:4" x14ac:dyDescent="0.2">
      <c r="A131">
        <v>2015</v>
      </c>
      <c r="B131" s="5" t="s">
        <v>104</v>
      </c>
      <c r="C131" s="6">
        <v>7.2183000000000002E-4</v>
      </c>
      <c r="D131" s="7">
        <v>56607</v>
      </c>
    </row>
    <row r="132" spans="1:4" x14ac:dyDescent="0.2">
      <c r="A132">
        <v>2015</v>
      </c>
      <c r="B132" s="5" t="s">
        <v>105</v>
      </c>
      <c r="C132" s="6">
        <v>2.3951599999999999E-3</v>
      </c>
      <c r="D132" s="7">
        <v>187833</v>
      </c>
    </row>
    <row r="133" spans="1:4" x14ac:dyDescent="0.2">
      <c r="A133">
        <v>2015</v>
      </c>
      <c r="B133" s="5" t="s">
        <v>202</v>
      </c>
      <c r="C133" s="6">
        <v>3.48746E-3</v>
      </c>
      <c r="D133" s="7">
        <v>273494</v>
      </c>
    </row>
    <row r="134" spans="1:4" x14ac:dyDescent="0.2">
      <c r="A134">
        <v>2015</v>
      </c>
      <c r="B134" s="5" t="s">
        <v>106</v>
      </c>
      <c r="C134" s="6">
        <v>1.79671E-3</v>
      </c>
      <c r="D134" s="7">
        <v>140902</v>
      </c>
    </row>
    <row r="135" spans="1:4" x14ac:dyDescent="0.2">
      <c r="A135">
        <v>2015</v>
      </c>
      <c r="B135" s="5" t="s">
        <v>107</v>
      </c>
      <c r="C135" s="6">
        <v>1.17235E-3</v>
      </c>
      <c r="D135" s="7">
        <v>91938</v>
      </c>
    </row>
    <row r="136" spans="1:4" x14ac:dyDescent="0.2">
      <c r="A136">
        <v>2015</v>
      </c>
      <c r="B136" s="5" t="s">
        <v>108</v>
      </c>
      <c r="C136" s="6">
        <v>4.5273600000000002E-3</v>
      </c>
      <c r="D136" s="7">
        <v>355045</v>
      </c>
    </row>
    <row r="137" spans="1:4" x14ac:dyDescent="0.2">
      <c r="A137">
        <v>2015</v>
      </c>
      <c r="B137" s="5" t="s">
        <v>200</v>
      </c>
      <c r="C137" s="6">
        <v>1.81526E-3</v>
      </c>
      <c r="D137" s="7">
        <v>142356</v>
      </c>
    </row>
    <row r="138" spans="1:4" x14ac:dyDescent="0.2">
      <c r="A138">
        <v>2015</v>
      </c>
      <c r="B138" s="5" t="s">
        <v>109</v>
      </c>
      <c r="C138" s="6">
        <v>2.8121800000000001E-3</v>
      </c>
      <c r="D138" s="7">
        <v>220537</v>
      </c>
    </row>
    <row r="139" spans="1:4" x14ac:dyDescent="0.2">
      <c r="A139">
        <v>2015</v>
      </c>
      <c r="B139" s="5" t="s">
        <v>110</v>
      </c>
      <c r="C139" s="6">
        <v>2.8341899999999999E-3</v>
      </c>
      <c r="D139" s="7">
        <v>222263</v>
      </c>
    </row>
    <row r="140" spans="1:4" x14ac:dyDescent="0.2">
      <c r="A140">
        <v>2015</v>
      </c>
      <c r="B140" s="5" t="s">
        <v>111</v>
      </c>
      <c r="C140" s="6">
        <v>6.8451400000000004E-3</v>
      </c>
      <c r="D140" s="7">
        <v>536810</v>
      </c>
    </row>
    <row r="141" spans="1:4" x14ac:dyDescent="0.2">
      <c r="A141">
        <v>2015</v>
      </c>
      <c r="B141" s="5" t="s">
        <v>112</v>
      </c>
      <c r="C141" s="6">
        <v>9.9119000000000008E-4</v>
      </c>
      <c r="D141" s="7">
        <v>77731</v>
      </c>
    </row>
    <row r="142" spans="1:4" x14ac:dyDescent="0.2">
      <c r="A142">
        <v>2015</v>
      </c>
      <c r="B142" s="5" t="s">
        <v>113</v>
      </c>
      <c r="C142" s="6">
        <v>4.13789E-3</v>
      </c>
      <c r="D142" s="7">
        <v>324502</v>
      </c>
    </row>
    <row r="143" spans="1:4" x14ac:dyDescent="0.2">
      <c r="A143">
        <v>2015</v>
      </c>
      <c r="B143" s="5" t="s">
        <v>114</v>
      </c>
      <c r="C143" s="6">
        <v>2.0651699999999999E-3</v>
      </c>
      <c r="D143" s="7">
        <v>161955</v>
      </c>
    </row>
    <row r="144" spans="1:4" x14ac:dyDescent="0.2">
      <c r="A144">
        <v>2015</v>
      </c>
      <c r="B144" s="5" t="s">
        <v>115</v>
      </c>
      <c r="C144" s="6">
        <v>2.50651E-3</v>
      </c>
      <c r="D144" s="7">
        <v>196566</v>
      </c>
    </row>
    <row r="145" spans="1:4" x14ac:dyDescent="0.2">
      <c r="A145">
        <v>2015</v>
      </c>
      <c r="B145" s="5" t="s">
        <v>203</v>
      </c>
      <c r="C145" s="6">
        <v>8.4825000000000005E-4</v>
      </c>
      <c r="D145" s="7">
        <v>66522</v>
      </c>
    </row>
    <row r="146" spans="1:4" x14ac:dyDescent="0.2">
      <c r="A146">
        <v>2015</v>
      </c>
      <c r="B146" s="5" t="s">
        <v>116</v>
      </c>
      <c r="C146" s="6">
        <v>4.1371300000000001E-3</v>
      </c>
      <c r="D146" s="7">
        <v>324442</v>
      </c>
    </row>
    <row r="147" spans="1:4" x14ac:dyDescent="0.2">
      <c r="A147">
        <v>2015</v>
      </c>
      <c r="B147" s="5" t="s">
        <v>117</v>
      </c>
      <c r="C147" s="6">
        <v>4.2420000000000001E-4</v>
      </c>
      <c r="D147" s="7">
        <v>33267</v>
      </c>
    </row>
    <row r="148" spans="1:4" x14ac:dyDescent="0.2">
      <c r="A148">
        <v>2015</v>
      </c>
      <c r="B148" s="5" t="s">
        <v>118</v>
      </c>
      <c r="C148" s="6">
        <v>2.2364400000000001E-3</v>
      </c>
      <c r="D148" s="7">
        <v>175386</v>
      </c>
    </row>
    <row r="149" spans="1:4" x14ac:dyDescent="0.2">
      <c r="A149">
        <v>2015</v>
      </c>
      <c r="B149" s="5" t="s">
        <v>201</v>
      </c>
      <c r="C149" s="6">
        <v>3.1839799999999999E-3</v>
      </c>
      <c r="D149" s="7">
        <v>249694</v>
      </c>
    </row>
    <row r="150" spans="1:4" x14ac:dyDescent="0.2">
      <c r="A150">
        <v>2015</v>
      </c>
      <c r="B150" s="5" t="s">
        <v>119</v>
      </c>
      <c r="C150" s="6">
        <v>6.914E-4</v>
      </c>
      <c r="D150" s="7">
        <v>54221</v>
      </c>
    </row>
    <row r="151" spans="1:4" x14ac:dyDescent="0.2">
      <c r="A151">
        <v>2015</v>
      </c>
      <c r="B151" s="5" t="s">
        <v>120</v>
      </c>
      <c r="C151" s="6">
        <v>1.53397E-3</v>
      </c>
      <c r="D151" s="7">
        <v>120297</v>
      </c>
    </row>
    <row r="152" spans="1:4" x14ac:dyDescent="0.2">
      <c r="A152">
        <v>2015</v>
      </c>
      <c r="B152" s="5" t="s">
        <v>121</v>
      </c>
      <c r="C152" s="6">
        <v>1.1290300000000001E-3</v>
      </c>
      <c r="D152" s="7">
        <v>88541</v>
      </c>
    </row>
    <row r="153" spans="1:4" x14ac:dyDescent="0.2">
      <c r="A153">
        <v>2015</v>
      </c>
      <c r="B153" s="5" t="s">
        <v>178</v>
      </c>
      <c r="C153" s="6">
        <v>3.2638200000000002E-3</v>
      </c>
      <c r="D153" s="7">
        <v>255956</v>
      </c>
    </row>
    <row r="154" spans="1:4" x14ac:dyDescent="0.2">
      <c r="A154">
        <v>2015</v>
      </c>
      <c r="B154" s="5" t="s">
        <v>122</v>
      </c>
      <c r="C154" s="6">
        <v>2.66767E-3</v>
      </c>
      <c r="D154" s="7">
        <v>209204</v>
      </c>
    </row>
    <row r="155" spans="1:4" x14ac:dyDescent="0.2">
      <c r="A155">
        <v>2015</v>
      </c>
      <c r="B155" s="5" t="s">
        <v>123</v>
      </c>
      <c r="C155" s="6">
        <v>8.1928000000000003E-4</v>
      </c>
      <c r="D155" s="7">
        <v>64250</v>
      </c>
    </row>
    <row r="156" spans="1:4" x14ac:dyDescent="0.2">
      <c r="A156">
        <v>2015</v>
      </c>
      <c r="B156" s="5" t="s">
        <v>124</v>
      </c>
      <c r="C156" s="6">
        <v>1.6516E-4</v>
      </c>
      <c r="D156" s="7">
        <v>12952</v>
      </c>
    </row>
    <row r="157" spans="1:4" x14ac:dyDescent="0.2">
      <c r="A157">
        <v>2015</v>
      </c>
      <c r="B157" s="5" t="s">
        <v>216</v>
      </c>
      <c r="C157" s="6">
        <v>1.2533799999999999E-3</v>
      </c>
      <c r="D157" s="7">
        <v>98293</v>
      </c>
    </row>
    <row r="158" spans="1:4" x14ac:dyDescent="0.2">
      <c r="A158">
        <v>2015</v>
      </c>
      <c r="B158" s="5" t="s">
        <v>125</v>
      </c>
      <c r="C158" s="6">
        <v>0</v>
      </c>
      <c r="D158" s="5"/>
    </row>
    <row r="159" spans="1:4" x14ac:dyDescent="0.2">
      <c r="A159">
        <v>2015</v>
      </c>
      <c r="B159" s="5" t="s">
        <v>126</v>
      </c>
      <c r="C159" s="6">
        <v>1.65744E-3</v>
      </c>
      <c r="D159" s="7">
        <v>129980</v>
      </c>
    </row>
    <row r="160" spans="1:4" x14ac:dyDescent="0.2">
      <c r="A160">
        <v>2015</v>
      </c>
      <c r="B160" s="5" t="s">
        <v>127</v>
      </c>
      <c r="C160" s="6">
        <v>2.7556400000000002E-3</v>
      </c>
      <c r="D160" s="7">
        <v>216103</v>
      </c>
    </row>
    <row r="161" spans="1:4" x14ac:dyDescent="0.2">
      <c r="A161">
        <v>2015</v>
      </c>
      <c r="B161" s="5" t="s">
        <v>180</v>
      </c>
      <c r="C161" s="6">
        <v>2.5500700000000002E-3</v>
      </c>
      <c r="D161" s="7">
        <v>199982</v>
      </c>
    </row>
    <row r="162" spans="1:4" x14ac:dyDescent="0.2">
      <c r="A162">
        <v>2015</v>
      </c>
      <c r="B162" s="5" t="s">
        <v>128</v>
      </c>
      <c r="C162" s="6">
        <v>6.0529999999999998E-5</v>
      </c>
      <c r="D162" s="7">
        <v>4747</v>
      </c>
    </row>
    <row r="163" spans="1:4" x14ac:dyDescent="0.2">
      <c r="A163">
        <v>2015</v>
      </c>
      <c r="B163" s="5" t="s">
        <v>129</v>
      </c>
      <c r="C163" s="6">
        <v>0</v>
      </c>
      <c r="D163" s="5"/>
    </row>
    <row r="164" spans="1:4" x14ac:dyDescent="0.2">
      <c r="A164">
        <v>2015</v>
      </c>
      <c r="B164" s="5" t="s">
        <v>130</v>
      </c>
      <c r="C164" s="6">
        <v>1.8766900000000001E-3</v>
      </c>
      <c r="D164" s="7">
        <v>147174</v>
      </c>
    </row>
    <row r="165" spans="1:4" x14ac:dyDescent="0.2">
      <c r="A165">
        <v>2015</v>
      </c>
      <c r="B165" s="5" t="s">
        <v>204</v>
      </c>
      <c r="C165" s="6">
        <v>6.1828999999999996E-4</v>
      </c>
      <c r="D165" s="7">
        <v>48488</v>
      </c>
    </row>
    <row r="166" spans="1:4" x14ac:dyDescent="0.2">
      <c r="A166">
        <v>2015</v>
      </c>
      <c r="B166" s="5" t="s">
        <v>131</v>
      </c>
      <c r="C166" s="6">
        <v>2.6034000000000002E-4</v>
      </c>
      <c r="D166" s="7">
        <v>20416</v>
      </c>
    </row>
    <row r="167" spans="1:4" x14ac:dyDescent="0.2">
      <c r="A167">
        <v>2015</v>
      </c>
      <c r="B167" s="5" t="s">
        <v>132</v>
      </c>
      <c r="C167" s="6">
        <v>3.1103000000000001E-4</v>
      </c>
      <c r="D167" s="7">
        <v>24392</v>
      </c>
    </row>
    <row r="168" spans="1:4" x14ac:dyDescent="0.2">
      <c r="A168">
        <v>2015</v>
      </c>
      <c r="B168" s="5" t="s">
        <v>133</v>
      </c>
      <c r="C168" s="6">
        <v>5.0003599999999997E-3</v>
      </c>
      <c r="D168" s="7">
        <v>392139</v>
      </c>
    </row>
    <row r="169" spans="1:4" x14ac:dyDescent="0.2">
      <c r="A169">
        <v>2015</v>
      </c>
      <c r="B169" s="5" t="s">
        <v>205</v>
      </c>
      <c r="C169" s="6">
        <v>1.6680899999999999E-3</v>
      </c>
      <c r="D169" s="7">
        <v>130815</v>
      </c>
    </row>
    <row r="170" spans="1:4" x14ac:dyDescent="0.2">
      <c r="A170">
        <v>2015</v>
      </c>
      <c r="B170" s="5" t="s">
        <v>134</v>
      </c>
      <c r="C170" s="6">
        <v>2.20514E-3</v>
      </c>
      <c r="D170" s="7">
        <v>172932</v>
      </c>
    </row>
    <row r="171" spans="1:4" x14ac:dyDescent="0.2">
      <c r="A171">
        <v>2015</v>
      </c>
      <c r="B171" s="5" t="s">
        <v>135</v>
      </c>
      <c r="C171" s="6">
        <v>1.4304400000000001E-3</v>
      </c>
      <c r="D171" s="7">
        <v>112178</v>
      </c>
    </row>
    <row r="172" spans="1:4" x14ac:dyDescent="0.2">
      <c r="A172">
        <v>2015</v>
      </c>
      <c r="B172" s="5" t="s">
        <v>136</v>
      </c>
      <c r="C172" s="6">
        <v>1.7528800000000001E-3</v>
      </c>
      <c r="D172" s="7">
        <v>137465</v>
      </c>
    </row>
    <row r="173" spans="1:4" x14ac:dyDescent="0.2">
      <c r="A173">
        <v>2015</v>
      </c>
      <c r="B173" s="5" t="s">
        <v>215</v>
      </c>
      <c r="C173" s="6">
        <v>2.1781399999999999E-3</v>
      </c>
      <c r="D173" s="7">
        <v>170814</v>
      </c>
    </row>
    <row r="174" spans="1:4" x14ac:dyDescent="0.2">
      <c r="A174">
        <v>2015</v>
      </c>
      <c r="B174" s="5" t="s">
        <v>137</v>
      </c>
      <c r="C174" s="6">
        <v>1.3262E-3</v>
      </c>
      <c r="D174" s="7">
        <v>104003</v>
      </c>
    </row>
    <row r="175" spans="1:4" x14ac:dyDescent="0.2">
      <c r="A175">
        <v>2015</v>
      </c>
      <c r="B175" s="5" t="s">
        <v>138</v>
      </c>
      <c r="C175" s="6">
        <v>1.12896E-3</v>
      </c>
      <c r="D175" s="7">
        <v>88535</v>
      </c>
    </row>
    <row r="176" spans="1:4" x14ac:dyDescent="0.2">
      <c r="A176">
        <v>2015</v>
      </c>
      <c r="B176" s="5" t="s">
        <v>139</v>
      </c>
      <c r="C176" s="6">
        <v>2.6132600000000001E-3</v>
      </c>
      <c r="D176" s="7">
        <v>204937</v>
      </c>
    </row>
    <row r="177" spans="1:4" x14ac:dyDescent="0.2">
      <c r="A177">
        <v>2015</v>
      </c>
      <c r="B177" s="5" t="s">
        <v>207</v>
      </c>
      <c r="C177" s="6">
        <v>3.854E-5</v>
      </c>
      <c r="D177" s="7">
        <v>3022</v>
      </c>
    </row>
    <row r="178" spans="1:4" x14ac:dyDescent="0.2">
      <c r="A178">
        <v>2015</v>
      </c>
      <c r="B178" s="5" t="s">
        <v>140</v>
      </c>
      <c r="C178" s="6">
        <v>2.4091799999999999E-3</v>
      </c>
      <c r="D178" s="7">
        <v>188933</v>
      </c>
    </row>
    <row r="179" spans="1:4" x14ac:dyDescent="0.2">
      <c r="A179">
        <v>2015</v>
      </c>
      <c r="B179" s="5" t="s">
        <v>141</v>
      </c>
      <c r="C179" s="6">
        <v>2.5051800000000001E-3</v>
      </c>
      <c r="D179" s="7">
        <v>196461</v>
      </c>
    </row>
    <row r="180" spans="1:4" x14ac:dyDescent="0.2">
      <c r="A180">
        <v>2015</v>
      </c>
      <c r="B180" s="5" t="s">
        <v>142</v>
      </c>
      <c r="C180" s="6">
        <v>1.5603000000000001E-4</v>
      </c>
      <c r="D180" s="7">
        <v>12236</v>
      </c>
    </row>
    <row r="181" spans="1:4" x14ac:dyDescent="0.2">
      <c r="A181">
        <v>2015</v>
      </c>
      <c r="B181" s="5" t="s">
        <v>206</v>
      </c>
      <c r="C181" s="6">
        <v>2.27151E-3</v>
      </c>
      <c r="D181" s="7">
        <v>178137</v>
      </c>
    </row>
    <row r="182" spans="1:4" x14ac:dyDescent="0.2">
      <c r="A182">
        <v>2015</v>
      </c>
      <c r="B182" s="5" t="s">
        <v>143</v>
      </c>
      <c r="C182" s="6">
        <v>2.20988E-3</v>
      </c>
      <c r="D182" s="7">
        <v>173303</v>
      </c>
    </row>
    <row r="183" spans="1:4" x14ac:dyDescent="0.2">
      <c r="A183">
        <v>2015</v>
      </c>
      <c r="B183" s="5" t="s">
        <v>144</v>
      </c>
      <c r="C183" s="6">
        <v>1.13783E-3</v>
      </c>
      <c r="D183" s="7">
        <v>89231</v>
      </c>
    </row>
    <row r="184" spans="1:4" x14ac:dyDescent="0.2">
      <c r="A184">
        <v>2015</v>
      </c>
      <c r="B184" s="5" t="s">
        <v>145</v>
      </c>
      <c r="C184" s="6">
        <v>9.8060000000000006E-5</v>
      </c>
      <c r="D184" s="7">
        <v>7690</v>
      </c>
    </row>
    <row r="185" spans="1:4" x14ac:dyDescent="0.2">
      <c r="A185">
        <v>2015</v>
      </c>
      <c r="B185" s="5" t="s">
        <v>208</v>
      </c>
      <c r="C185" s="6">
        <v>3.9491999999999999E-3</v>
      </c>
      <c r="D185" s="7">
        <v>309705</v>
      </c>
    </row>
    <row r="186" spans="1:4" x14ac:dyDescent="0.2">
      <c r="A186">
        <v>2015</v>
      </c>
      <c r="B186" s="5" t="s">
        <v>146</v>
      </c>
      <c r="C186" s="6">
        <v>1.09508E-3</v>
      </c>
      <c r="D186" s="7">
        <v>85878</v>
      </c>
    </row>
    <row r="187" spans="1:4" x14ac:dyDescent="0.2">
      <c r="A187">
        <v>2015</v>
      </c>
      <c r="B187" s="5" t="s">
        <v>147</v>
      </c>
      <c r="C187" s="6">
        <v>5.0497099999999998E-3</v>
      </c>
      <c r="D187" s="7">
        <v>396009</v>
      </c>
    </row>
    <row r="188" spans="1:4" x14ac:dyDescent="0.2">
      <c r="A188">
        <v>2015</v>
      </c>
      <c r="B188" s="5" t="s">
        <v>148</v>
      </c>
      <c r="C188" s="6">
        <v>9.2781000000000005E-4</v>
      </c>
      <c r="D188" s="7">
        <v>72761</v>
      </c>
    </row>
    <row r="189" spans="1:4" x14ac:dyDescent="0.2">
      <c r="A189">
        <v>2015</v>
      </c>
      <c r="B189" s="5" t="s">
        <v>209</v>
      </c>
      <c r="C189" s="6">
        <v>3.8046999999999999E-4</v>
      </c>
      <c r="D189" s="7">
        <v>29837</v>
      </c>
    </row>
    <row r="190" spans="1:4" x14ac:dyDescent="0.2">
      <c r="A190">
        <v>2015</v>
      </c>
      <c r="B190" s="5" t="s">
        <v>149</v>
      </c>
      <c r="C190" s="6">
        <v>1.22817E-3</v>
      </c>
      <c r="D190" s="7">
        <v>96316</v>
      </c>
    </row>
    <row r="191" spans="1:4" x14ac:dyDescent="0.2">
      <c r="A191">
        <v>2015</v>
      </c>
      <c r="B191" s="5" t="s">
        <v>150</v>
      </c>
      <c r="C191" s="6">
        <v>3.70353E-3</v>
      </c>
      <c r="D191" s="7">
        <v>290439</v>
      </c>
    </row>
    <row r="192" spans="1:4" x14ac:dyDescent="0.2">
      <c r="A192">
        <v>2015</v>
      </c>
      <c r="B192" s="5" t="s">
        <v>151</v>
      </c>
      <c r="C192" s="6">
        <v>1.2517999999999999E-4</v>
      </c>
      <c r="D192" s="7">
        <v>9817</v>
      </c>
    </row>
    <row r="193" spans="1:4" x14ac:dyDescent="0.2">
      <c r="A193">
        <v>2015</v>
      </c>
      <c r="B193" s="5" t="s">
        <v>210</v>
      </c>
      <c r="C193" s="6">
        <v>4.2230699999999998E-3</v>
      </c>
      <c r="D193" s="7">
        <v>331182</v>
      </c>
    </row>
    <row r="194" spans="1:4" x14ac:dyDescent="0.2">
      <c r="A194">
        <v>2015</v>
      </c>
      <c r="B194" s="5" t="s">
        <v>152</v>
      </c>
      <c r="C194" s="6">
        <v>3.1087100000000002E-3</v>
      </c>
      <c r="D194" s="7">
        <v>243792</v>
      </c>
    </row>
    <row r="195" spans="1:4" x14ac:dyDescent="0.2">
      <c r="A195">
        <v>2015</v>
      </c>
      <c r="B195" s="5" t="s">
        <v>153</v>
      </c>
      <c r="C195" s="6">
        <v>4.5049000000000001E-3</v>
      </c>
      <c r="D195" s="7">
        <v>353284</v>
      </c>
    </row>
    <row r="196" spans="1:4" x14ac:dyDescent="0.2">
      <c r="A196">
        <v>2015</v>
      </c>
      <c r="B196" s="5" t="s">
        <v>154</v>
      </c>
      <c r="C196" s="6">
        <v>1.88192E-3</v>
      </c>
      <c r="D196" s="7">
        <v>147584</v>
      </c>
    </row>
    <row r="197" spans="1:4" x14ac:dyDescent="0.2">
      <c r="A197">
        <v>2015</v>
      </c>
      <c r="B197" s="5" t="s">
        <v>214</v>
      </c>
      <c r="C197" s="6">
        <v>7.2851000000000003E-4</v>
      </c>
      <c r="D197" s="7">
        <v>57131</v>
      </c>
    </row>
    <row r="198" spans="1:4" x14ac:dyDescent="0.2">
      <c r="A198">
        <v>2015</v>
      </c>
      <c r="B198" s="5" t="s">
        <v>155</v>
      </c>
      <c r="C198" s="6">
        <v>2.4218999999999998E-3</v>
      </c>
      <c r="D198" s="7">
        <v>189930</v>
      </c>
    </row>
    <row r="199" spans="1:4" x14ac:dyDescent="0.2">
      <c r="A199">
        <v>2015</v>
      </c>
      <c r="B199" s="5" t="s">
        <v>156</v>
      </c>
      <c r="C199" s="6">
        <v>4.5066699999999999E-3</v>
      </c>
      <c r="D199" s="7">
        <v>353423</v>
      </c>
    </row>
    <row r="200" spans="1:4" x14ac:dyDescent="0.2">
      <c r="A200">
        <v>2015</v>
      </c>
      <c r="B200" s="5" t="s">
        <v>157</v>
      </c>
      <c r="C200" s="6">
        <v>3.7720700000000002E-3</v>
      </c>
      <c r="D200" s="7">
        <v>295814</v>
      </c>
    </row>
    <row r="201" spans="1:4" x14ac:dyDescent="0.2">
      <c r="A201">
        <v>2015</v>
      </c>
      <c r="B201" s="5" t="s">
        <v>213</v>
      </c>
      <c r="C201" s="6">
        <v>2.3501300000000002E-3</v>
      </c>
      <c r="D201" s="7">
        <v>184302</v>
      </c>
    </row>
    <row r="202" spans="1:4" x14ac:dyDescent="0.2">
      <c r="A202">
        <v>2015</v>
      </c>
      <c r="B202" s="5" t="s">
        <v>158</v>
      </c>
      <c r="C202" s="6">
        <v>9.1477899999999994E-3</v>
      </c>
      <c r="D202" s="7">
        <v>717389</v>
      </c>
    </row>
    <row r="203" spans="1:4" x14ac:dyDescent="0.2">
      <c r="A203">
        <v>2015</v>
      </c>
      <c r="B203" s="5" t="s">
        <v>159</v>
      </c>
      <c r="C203" s="6">
        <v>3.8437499999999999E-3</v>
      </c>
      <c r="D203" s="7">
        <v>301435</v>
      </c>
    </row>
    <row r="204" spans="1:4" x14ac:dyDescent="0.2">
      <c r="A204">
        <v>2015</v>
      </c>
      <c r="B204" s="5" t="s">
        <v>160</v>
      </c>
      <c r="C204" s="6">
        <v>1.064563E-2</v>
      </c>
      <c r="D204" s="7">
        <v>834853</v>
      </c>
    </row>
    <row r="205" spans="1:4" x14ac:dyDescent="0.2">
      <c r="A205">
        <v>2015</v>
      </c>
      <c r="B205" s="5" t="s">
        <v>211</v>
      </c>
      <c r="C205" s="6">
        <v>4.4650000000000001E-5</v>
      </c>
      <c r="D205" s="7">
        <v>3502</v>
      </c>
    </row>
    <row r="206" spans="1:4" x14ac:dyDescent="0.2">
      <c r="A206">
        <v>2015</v>
      </c>
      <c r="B206" s="5" t="s">
        <v>161</v>
      </c>
      <c r="C206" s="6">
        <v>2.8950199999999999E-3</v>
      </c>
      <c r="D206" s="7">
        <v>227034</v>
      </c>
    </row>
    <row r="207" spans="1:4" x14ac:dyDescent="0.2">
      <c r="A207">
        <v>2015</v>
      </c>
      <c r="B207" s="5" t="s">
        <v>162</v>
      </c>
      <c r="C207" s="6">
        <v>2.44473E-3</v>
      </c>
      <c r="D207" s="7">
        <v>191721</v>
      </c>
    </row>
    <row r="208" spans="1:4" x14ac:dyDescent="0.2">
      <c r="A208">
        <v>2015</v>
      </c>
      <c r="B208" s="5" t="s">
        <v>163</v>
      </c>
      <c r="C208" s="6">
        <v>7.8250790000000001E-2</v>
      </c>
      <c r="D208" s="7">
        <v>6136591</v>
      </c>
    </row>
    <row r="209" spans="1:4" x14ac:dyDescent="0.2">
      <c r="A209">
        <v>2015</v>
      </c>
      <c r="B209" s="5" t="s">
        <v>164</v>
      </c>
      <c r="C209" s="6">
        <v>1.0980199999999999E-3</v>
      </c>
      <c r="D209" s="7">
        <v>86109</v>
      </c>
    </row>
    <row r="210" spans="1:4" x14ac:dyDescent="0.2">
      <c r="A210">
        <v>2015</v>
      </c>
      <c r="B210" s="5" t="s">
        <v>165</v>
      </c>
      <c r="C210" s="6">
        <v>1.72149E-3</v>
      </c>
      <c r="D210" s="7">
        <v>135003</v>
      </c>
    </row>
    <row r="211" spans="1:4" x14ac:dyDescent="0.2">
      <c r="A211">
        <v>2015</v>
      </c>
      <c r="B211" s="5" t="s">
        <v>166</v>
      </c>
      <c r="C211" s="6">
        <v>2.2717900000000001E-3</v>
      </c>
      <c r="D211" s="7">
        <v>178159</v>
      </c>
    </row>
    <row r="212" spans="1:4" x14ac:dyDescent="0.2">
      <c r="A212">
        <v>2015</v>
      </c>
      <c r="B212" s="5" t="s">
        <v>167</v>
      </c>
      <c r="C212" s="6">
        <v>2.673772E-2</v>
      </c>
      <c r="D212" s="7">
        <v>2096828</v>
      </c>
    </row>
    <row r="213" spans="1:4" x14ac:dyDescent="0.2">
      <c r="A213">
        <v>2015</v>
      </c>
      <c r="B213" s="5" t="s">
        <v>182</v>
      </c>
      <c r="C213" s="6">
        <v>4.7068400000000003E-3</v>
      </c>
      <c r="D213" s="7">
        <v>369120</v>
      </c>
    </row>
    <row r="214" spans="1:4" x14ac:dyDescent="0.2">
      <c r="A214">
        <v>2015</v>
      </c>
      <c r="B214" s="5" t="s">
        <v>168</v>
      </c>
      <c r="C214" s="6">
        <v>1.9625900000000002E-3</v>
      </c>
      <c r="D214" s="7">
        <v>153910</v>
      </c>
    </row>
    <row r="215" spans="1:4" x14ac:dyDescent="0.2">
      <c r="A215">
        <v>2015</v>
      </c>
      <c r="B215" s="5" t="s">
        <v>169</v>
      </c>
      <c r="C215" s="6">
        <v>1.0594599999999999E-3</v>
      </c>
      <c r="D215" s="7">
        <v>83085</v>
      </c>
    </row>
    <row r="216" spans="1:4" x14ac:dyDescent="0.2">
      <c r="A216">
        <v>2015</v>
      </c>
      <c r="B216" s="5" t="s">
        <v>170</v>
      </c>
      <c r="C216" s="6">
        <v>1.9009700000000001E-3</v>
      </c>
      <c r="D216" s="7">
        <v>149078</v>
      </c>
    </row>
    <row r="217" spans="1:4" x14ac:dyDescent="0.2">
      <c r="A217">
        <v>2015</v>
      </c>
      <c r="B217" s="5" t="s">
        <v>212</v>
      </c>
      <c r="C217" s="6">
        <v>8.3016999999999997E-4</v>
      </c>
      <c r="D217" s="7">
        <v>65104</v>
      </c>
    </row>
    <row r="218" spans="1:4" x14ac:dyDescent="0.2">
      <c r="A218">
        <v>2015</v>
      </c>
      <c r="B218" s="5" t="s">
        <v>171</v>
      </c>
      <c r="C218" s="6">
        <v>2.2455800000000001E-3</v>
      </c>
      <c r="D218" s="7">
        <v>176103</v>
      </c>
    </row>
    <row r="219" spans="1:4" x14ac:dyDescent="0.2">
      <c r="A219">
        <v>2015</v>
      </c>
      <c r="B219" s="5" t="s">
        <v>172</v>
      </c>
      <c r="C219" s="6">
        <v>8.4471999999999998E-4</v>
      </c>
      <c r="D219" s="7">
        <v>66245</v>
      </c>
    </row>
    <row r="220" spans="1:4" x14ac:dyDescent="0.2">
      <c r="A220">
        <v>2015</v>
      </c>
      <c r="B220" s="5" t="s">
        <v>173</v>
      </c>
      <c r="C220" s="6">
        <v>7.2711E-4</v>
      </c>
      <c r="D220" s="7">
        <v>57021</v>
      </c>
    </row>
    <row r="221" spans="1:4" x14ac:dyDescent="0.2">
      <c r="A221">
        <v>2015</v>
      </c>
      <c r="B221" s="3" t="s">
        <v>174</v>
      </c>
      <c r="C221" s="8">
        <v>1</v>
      </c>
      <c r="D221" s="9">
        <v>78422098</v>
      </c>
    </row>
    <row r="223" spans="1:4" x14ac:dyDescent="0.2">
      <c r="D223" s="1">
        <f>SUM(D2:D220)</f>
        <v>78422100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D603-79F4-4343-8A8E-EDAFFE4AE32D}">
  <sheetPr>
    <tabColor rgb="FFFFFF00"/>
  </sheetPr>
  <dimension ref="A1:D223"/>
  <sheetViews>
    <sheetView workbookViewId="0">
      <selection activeCell="A2" sqref="A2:D220"/>
    </sheetView>
  </sheetViews>
  <sheetFormatPr baseColWidth="10" defaultRowHeight="16" x14ac:dyDescent="0.2"/>
  <cols>
    <col min="2" max="2" width="34.6640625" style="5" bestFit="1" customWidth="1"/>
    <col min="3" max="3" width="36.1640625" style="5" bestFit="1" customWidth="1"/>
    <col min="4" max="4" width="27.1640625" style="5" bestFit="1" customWidth="1"/>
  </cols>
  <sheetData>
    <row r="1" spans="1:4" ht="17" customHeight="1" x14ac:dyDescent="0.2">
      <c r="A1" t="s">
        <v>227</v>
      </c>
      <c r="B1" s="3" t="s">
        <v>53</v>
      </c>
      <c r="C1" s="3" t="s">
        <v>54</v>
      </c>
      <c r="D1" s="3" t="s">
        <v>55</v>
      </c>
    </row>
    <row r="2" spans="1:4" x14ac:dyDescent="0.2">
      <c r="A2">
        <v>2016</v>
      </c>
      <c r="B2" s="5" t="s">
        <v>57</v>
      </c>
      <c r="C2" s="6">
        <v>1.8082263999999999E-3</v>
      </c>
      <c r="D2" s="7">
        <v>149793</v>
      </c>
    </row>
    <row r="3" spans="1:4" x14ac:dyDescent="0.2">
      <c r="A3">
        <v>2016</v>
      </c>
      <c r="B3" s="5" t="s">
        <v>58</v>
      </c>
      <c r="C3" s="6">
        <v>1.1110816000000001E-3</v>
      </c>
      <c r="D3" s="7">
        <v>92042</v>
      </c>
    </row>
    <row r="4" spans="1:4" x14ac:dyDescent="0.2">
      <c r="A4">
        <v>2016</v>
      </c>
      <c r="B4" s="5" t="s">
        <v>59</v>
      </c>
      <c r="C4" s="6">
        <v>5.3132259999999997E-4</v>
      </c>
      <c r="D4" s="7">
        <v>44015</v>
      </c>
    </row>
    <row r="5" spans="1:4" x14ac:dyDescent="0.2">
      <c r="A5">
        <v>2016</v>
      </c>
      <c r="B5" s="5" t="s">
        <v>60</v>
      </c>
      <c r="C5" s="6">
        <v>1.4635933999999999E-3</v>
      </c>
      <c r="D5" s="7">
        <v>121244</v>
      </c>
    </row>
    <row r="6" spans="1:4" x14ac:dyDescent="0.2">
      <c r="A6">
        <v>2016</v>
      </c>
      <c r="B6" s="5" t="s">
        <v>61</v>
      </c>
      <c r="C6" s="6">
        <v>5.3099400000000002E-5</v>
      </c>
      <c r="D6" s="7">
        <v>4399</v>
      </c>
    </row>
    <row r="7" spans="1:4" x14ac:dyDescent="0.2">
      <c r="A7">
        <v>2016</v>
      </c>
      <c r="B7" s="5" t="s">
        <v>62</v>
      </c>
      <c r="C7" s="6">
        <v>2.4426475999999998E-3</v>
      </c>
      <c r="D7" s="7">
        <v>202349</v>
      </c>
    </row>
    <row r="8" spans="1:4" x14ac:dyDescent="0.2">
      <c r="A8">
        <v>2016</v>
      </c>
      <c r="B8" s="5" t="s">
        <v>63</v>
      </c>
      <c r="C8" s="6">
        <v>3.2910703999999998E-3</v>
      </c>
      <c r="D8" s="7">
        <v>272632</v>
      </c>
    </row>
    <row r="9" spans="1:4" x14ac:dyDescent="0.2">
      <c r="A9">
        <v>2016</v>
      </c>
      <c r="B9" s="5" t="s">
        <v>187</v>
      </c>
      <c r="C9" s="6">
        <v>1.2791302900000001E-2</v>
      </c>
      <c r="D9" s="7">
        <v>1059631</v>
      </c>
    </row>
    <row r="10" spans="1:4" x14ac:dyDescent="0.2">
      <c r="A10">
        <v>2016</v>
      </c>
      <c r="B10" s="5" t="s">
        <v>64</v>
      </c>
      <c r="C10" s="6">
        <v>2.2790756E-3</v>
      </c>
      <c r="D10" s="7">
        <v>188798</v>
      </c>
    </row>
    <row r="11" spans="1:4" x14ac:dyDescent="0.2">
      <c r="A11">
        <v>2016</v>
      </c>
      <c r="B11" s="5" t="s">
        <v>65</v>
      </c>
      <c r="C11" s="6">
        <v>5.2676802999999999E-3</v>
      </c>
      <c r="D11" s="7">
        <v>436374</v>
      </c>
    </row>
    <row r="12" spans="1:4" x14ac:dyDescent="0.2">
      <c r="A12">
        <v>2016</v>
      </c>
      <c r="B12" s="5" t="s">
        <v>66</v>
      </c>
      <c r="C12" s="6">
        <v>1.1667315E-3</v>
      </c>
      <c r="D12" s="7">
        <v>96652</v>
      </c>
    </row>
    <row r="13" spans="1:4" x14ac:dyDescent="0.2">
      <c r="A13">
        <v>2016</v>
      </c>
      <c r="B13" s="5" t="s">
        <v>188</v>
      </c>
      <c r="C13" s="6">
        <v>0.1065403601</v>
      </c>
      <c r="D13" s="7">
        <v>8825796</v>
      </c>
    </row>
    <row r="14" spans="1:4" x14ac:dyDescent="0.2">
      <c r="A14">
        <v>2016</v>
      </c>
      <c r="B14" s="5" t="s">
        <v>67</v>
      </c>
      <c r="C14" s="6">
        <v>0</v>
      </c>
    </row>
    <row r="15" spans="1:4" x14ac:dyDescent="0.2">
      <c r="A15">
        <v>2016</v>
      </c>
      <c r="B15" s="5" t="s">
        <v>68</v>
      </c>
      <c r="C15" s="6">
        <v>0</v>
      </c>
    </row>
    <row r="16" spans="1:4" x14ac:dyDescent="0.2">
      <c r="A16">
        <v>2016</v>
      </c>
      <c r="B16" s="5" t="s">
        <v>69</v>
      </c>
      <c r="C16" s="6">
        <v>5.7864088000000001E-3</v>
      </c>
      <c r="D16" s="7">
        <v>479346</v>
      </c>
    </row>
    <row r="17" spans="1:4" x14ac:dyDescent="0.2">
      <c r="A17">
        <v>2016</v>
      </c>
      <c r="B17" s="5" t="s">
        <v>192</v>
      </c>
      <c r="C17" s="6">
        <v>8.5200719999999996E-4</v>
      </c>
      <c r="D17" s="7">
        <v>70580</v>
      </c>
    </row>
    <row r="18" spans="1:4" x14ac:dyDescent="0.2">
      <c r="A18">
        <v>2016</v>
      </c>
      <c r="B18" s="5" t="s">
        <v>70</v>
      </c>
      <c r="C18" s="6">
        <v>4.2451206E-3</v>
      </c>
      <c r="D18" s="7">
        <v>351666</v>
      </c>
    </row>
    <row r="19" spans="1:4" x14ac:dyDescent="0.2">
      <c r="A19">
        <v>2016</v>
      </c>
      <c r="B19" s="5" t="s">
        <v>71</v>
      </c>
      <c r="C19" s="6">
        <v>1.4695980999999999E-3</v>
      </c>
      <c r="D19" s="7">
        <v>121741</v>
      </c>
    </row>
    <row r="20" spans="1:4" x14ac:dyDescent="0.2">
      <c r="A20">
        <v>2016</v>
      </c>
      <c r="B20" s="5" t="s">
        <v>72</v>
      </c>
      <c r="C20" s="6">
        <v>1.3226890000000001E-4</v>
      </c>
      <c r="D20" s="7">
        <v>10957</v>
      </c>
    </row>
    <row r="21" spans="1:4" x14ac:dyDescent="0.2">
      <c r="A21">
        <v>2016</v>
      </c>
      <c r="B21" s="5" t="s">
        <v>190</v>
      </c>
      <c r="C21" s="6">
        <v>4.5614091000000002E-3</v>
      </c>
      <c r="D21" s="7">
        <v>377867</v>
      </c>
    </row>
    <row r="22" spans="1:4" x14ac:dyDescent="0.2">
      <c r="A22">
        <v>2016</v>
      </c>
      <c r="B22" s="5" t="s">
        <v>73</v>
      </c>
      <c r="C22" s="6">
        <v>3.4367967E-3</v>
      </c>
      <c r="D22" s="7">
        <v>284704</v>
      </c>
    </row>
    <row r="23" spans="1:4" x14ac:dyDescent="0.2">
      <c r="A23">
        <v>2016</v>
      </c>
      <c r="B23" s="5" t="s">
        <v>74</v>
      </c>
      <c r="C23" s="6">
        <v>2.2374025000000001E-3</v>
      </c>
      <c r="D23" s="7">
        <v>185346</v>
      </c>
    </row>
    <row r="24" spans="1:4" x14ac:dyDescent="0.2">
      <c r="A24">
        <v>2016</v>
      </c>
      <c r="B24" s="5" t="s">
        <v>75</v>
      </c>
      <c r="C24" s="6">
        <v>5.3225813000000004E-3</v>
      </c>
      <c r="D24" s="7">
        <v>440922</v>
      </c>
    </row>
    <row r="25" spans="1:4" x14ac:dyDescent="0.2">
      <c r="A25">
        <v>2016</v>
      </c>
      <c r="B25" s="5" t="s">
        <v>191</v>
      </c>
      <c r="C25" s="6">
        <v>9.68396E-5</v>
      </c>
      <c r="D25" s="7">
        <v>8022</v>
      </c>
    </row>
    <row r="26" spans="1:4" x14ac:dyDescent="0.2">
      <c r="A26">
        <v>2016</v>
      </c>
      <c r="B26" s="5" t="s">
        <v>76</v>
      </c>
      <c r="C26" s="6">
        <v>1.8948598999999999E-3</v>
      </c>
      <c r="D26" s="7">
        <v>156970</v>
      </c>
    </row>
    <row r="27" spans="1:4" x14ac:dyDescent="0.2">
      <c r="A27">
        <v>2016</v>
      </c>
      <c r="B27" s="5" t="s">
        <v>77</v>
      </c>
      <c r="C27" s="6">
        <v>2.8724741999999999E-3</v>
      </c>
      <c r="D27" s="7">
        <v>237956</v>
      </c>
    </row>
    <row r="28" spans="1:4" x14ac:dyDescent="0.2">
      <c r="A28">
        <v>2016</v>
      </c>
      <c r="B28" s="5" t="s">
        <v>78</v>
      </c>
      <c r="C28" s="6">
        <v>1.5876036100000001E-2</v>
      </c>
      <c r="D28" s="7">
        <v>1315170</v>
      </c>
    </row>
    <row r="29" spans="1:4" x14ac:dyDescent="0.2">
      <c r="A29">
        <v>2016</v>
      </c>
      <c r="B29" s="5" t="s">
        <v>193</v>
      </c>
      <c r="C29" s="6">
        <v>2.8371997600000001E-2</v>
      </c>
      <c r="D29" s="7">
        <v>2350334</v>
      </c>
    </row>
    <row r="30" spans="1:4" x14ac:dyDescent="0.2">
      <c r="A30">
        <v>2016</v>
      </c>
      <c r="B30" s="5" t="s">
        <v>79</v>
      </c>
      <c r="C30" s="6">
        <v>3.5851645999999998E-3</v>
      </c>
      <c r="D30" s="7">
        <v>296995</v>
      </c>
    </row>
    <row r="31" spans="1:4" x14ac:dyDescent="0.2">
      <c r="A31">
        <v>2016</v>
      </c>
      <c r="B31" s="5" t="s">
        <v>80</v>
      </c>
      <c r="C31" s="6">
        <v>7.7576580000000004E-4</v>
      </c>
      <c r="D31" s="7">
        <v>64264</v>
      </c>
    </row>
    <row r="32" spans="1:4" x14ac:dyDescent="0.2">
      <c r="A32">
        <v>2016</v>
      </c>
      <c r="B32" s="5" t="s">
        <v>81</v>
      </c>
      <c r="C32" s="6">
        <v>1.9058956000000001E-3</v>
      </c>
      <c r="D32" s="7">
        <v>157884</v>
      </c>
    </row>
    <row r="33" spans="1:4" x14ac:dyDescent="0.2">
      <c r="A33">
        <v>2016</v>
      </c>
      <c r="B33" s="5" t="s">
        <v>194</v>
      </c>
      <c r="C33" s="6">
        <v>4.4940822E-3</v>
      </c>
      <c r="D33" s="7">
        <v>372289</v>
      </c>
    </row>
    <row r="34" spans="1:4" x14ac:dyDescent="0.2">
      <c r="A34">
        <v>2016</v>
      </c>
      <c r="B34" s="5" t="s">
        <v>82</v>
      </c>
      <c r="C34" s="6">
        <v>1.1896896000000001E-3</v>
      </c>
      <c r="D34" s="7">
        <v>98554</v>
      </c>
    </row>
    <row r="35" spans="1:4" x14ac:dyDescent="0.2">
      <c r="A35">
        <v>2016</v>
      </c>
      <c r="B35" s="5" t="s">
        <v>83</v>
      </c>
      <c r="C35" s="6">
        <v>4.8482000000000001E-5</v>
      </c>
      <c r="D35" s="7">
        <v>4016</v>
      </c>
    </row>
    <row r="36" spans="1:4" x14ac:dyDescent="0.2">
      <c r="A36">
        <v>2016</v>
      </c>
      <c r="B36" s="5" t="s">
        <v>84</v>
      </c>
      <c r="C36" s="6">
        <v>1.9717837000000002E-3</v>
      </c>
      <c r="D36" s="7">
        <v>163342</v>
      </c>
    </row>
    <row r="37" spans="1:4" x14ac:dyDescent="0.2">
      <c r="A37">
        <v>2016</v>
      </c>
      <c r="B37" s="5" t="s">
        <v>196</v>
      </c>
      <c r="C37" s="6">
        <v>1.1166081999999999E-3</v>
      </c>
      <c r="D37" s="7">
        <v>92500</v>
      </c>
    </row>
    <row r="38" spans="1:4" x14ac:dyDescent="0.2">
      <c r="A38">
        <v>2016</v>
      </c>
      <c r="B38" s="5" t="s">
        <v>85</v>
      </c>
      <c r="C38" s="6">
        <v>2.3769386000000001E-3</v>
      </c>
      <c r="D38" s="7">
        <v>196905</v>
      </c>
    </row>
    <row r="39" spans="1:4" x14ac:dyDescent="0.2">
      <c r="A39">
        <v>2016</v>
      </c>
      <c r="B39" s="5" t="s">
        <v>86</v>
      </c>
      <c r="C39" s="6">
        <v>1.7402614E-3</v>
      </c>
      <c r="D39" s="7">
        <v>144163</v>
      </c>
    </row>
    <row r="40" spans="1:4" x14ac:dyDescent="0.2">
      <c r="A40">
        <v>2016</v>
      </c>
      <c r="B40" s="5" t="s">
        <v>87</v>
      </c>
      <c r="C40" s="6">
        <v>2.6651659E-3</v>
      </c>
      <c r="D40" s="7">
        <v>220782</v>
      </c>
    </row>
    <row r="41" spans="1:4" x14ac:dyDescent="0.2">
      <c r="A41">
        <v>2016</v>
      </c>
      <c r="B41" s="5" t="s">
        <v>195</v>
      </c>
      <c r="C41" s="6">
        <v>8.7447399999999998E-4</v>
      </c>
      <c r="D41" s="7">
        <v>72441</v>
      </c>
    </row>
    <row r="42" spans="1:4" x14ac:dyDescent="0.2">
      <c r="A42">
        <v>2016</v>
      </c>
      <c r="B42" s="5" t="s">
        <v>88</v>
      </c>
      <c r="C42" s="6">
        <v>3.1052838000000002E-3</v>
      </c>
      <c r="D42" s="7">
        <v>257241</v>
      </c>
    </row>
    <row r="43" spans="1:4" x14ac:dyDescent="0.2">
      <c r="A43">
        <v>2016</v>
      </c>
      <c r="B43" s="5" t="s">
        <v>89</v>
      </c>
      <c r="C43" s="6">
        <v>1.4946016999999999E-3</v>
      </c>
      <c r="D43" s="7">
        <v>123813</v>
      </c>
    </row>
    <row r="44" spans="1:4" x14ac:dyDescent="0.2">
      <c r="A44">
        <v>2016</v>
      </c>
      <c r="B44" s="5" t="s">
        <v>90</v>
      </c>
      <c r="C44" s="6">
        <v>0.1062667033</v>
      </c>
      <c r="D44" s="7">
        <v>8803126</v>
      </c>
    </row>
    <row r="45" spans="1:4" x14ac:dyDescent="0.2">
      <c r="A45">
        <v>2016</v>
      </c>
      <c r="B45" s="5" t="s">
        <v>218</v>
      </c>
      <c r="C45" s="6">
        <v>1.5956168000000001E-3</v>
      </c>
      <c r="D45" s="7">
        <v>132181</v>
      </c>
    </row>
    <row r="46" spans="1:4" x14ac:dyDescent="0.2">
      <c r="A46">
        <v>2016</v>
      </c>
      <c r="B46" s="5" t="s">
        <v>91</v>
      </c>
      <c r="C46" s="6">
        <v>1.5183639999999999E-3</v>
      </c>
      <c r="D46" s="7">
        <v>125781</v>
      </c>
    </row>
    <row r="47" spans="1:4" x14ac:dyDescent="0.2">
      <c r="A47">
        <v>2016</v>
      </c>
      <c r="B47" s="5" t="s">
        <v>92</v>
      </c>
      <c r="C47" s="6">
        <v>1.6525835E-3</v>
      </c>
      <c r="D47" s="7">
        <v>136900</v>
      </c>
    </row>
    <row r="48" spans="1:4" x14ac:dyDescent="0.2">
      <c r="A48">
        <v>2016</v>
      </c>
      <c r="B48" s="5" t="s">
        <v>93</v>
      </c>
      <c r="C48" s="6">
        <v>9.0013210000000003E-4</v>
      </c>
      <c r="D48" s="7">
        <v>74567</v>
      </c>
    </row>
    <row r="49" spans="1:4" x14ac:dyDescent="0.2">
      <c r="A49">
        <v>2016</v>
      </c>
      <c r="B49" s="5" t="s">
        <v>197</v>
      </c>
      <c r="C49" s="6">
        <v>2.4783040000000002E-4</v>
      </c>
      <c r="D49" s="7">
        <v>20530</v>
      </c>
    </row>
    <row r="50" spans="1:4" x14ac:dyDescent="0.2">
      <c r="A50">
        <v>2016</v>
      </c>
      <c r="B50" s="5" t="s">
        <v>94</v>
      </c>
      <c r="C50" s="6">
        <v>2.3559199E-3</v>
      </c>
      <c r="D50" s="7">
        <v>195164</v>
      </c>
    </row>
    <row r="51" spans="1:4" x14ac:dyDescent="0.2">
      <c r="A51">
        <v>2016</v>
      </c>
      <c r="B51" s="5" t="s">
        <v>95</v>
      </c>
      <c r="C51" s="6">
        <v>1.7788846999999999E-3</v>
      </c>
      <c r="D51" s="7">
        <v>147363</v>
      </c>
    </row>
    <row r="52" spans="1:4" x14ac:dyDescent="0.2">
      <c r="A52">
        <v>2016</v>
      </c>
      <c r="B52" s="5" t="s">
        <v>96</v>
      </c>
      <c r="C52" s="6">
        <v>1.1971402E-3</v>
      </c>
      <c r="D52" s="7">
        <v>99171</v>
      </c>
    </row>
    <row r="53" spans="1:4" x14ac:dyDescent="0.2">
      <c r="A53">
        <v>2016</v>
      </c>
      <c r="B53" s="5" t="s">
        <v>198</v>
      </c>
      <c r="C53" s="6">
        <v>3.5394570000000002E-3</v>
      </c>
      <c r="D53" s="7">
        <v>293208</v>
      </c>
    </row>
    <row r="54" spans="1:4" x14ac:dyDescent="0.2">
      <c r="A54">
        <v>2016</v>
      </c>
      <c r="B54" s="5" t="s">
        <v>97</v>
      </c>
      <c r="C54" s="6">
        <v>1.7979001999999999E-3</v>
      </c>
      <c r="D54" s="7">
        <v>148938</v>
      </c>
    </row>
    <row r="55" spans="1:4" x14ac:dyDescent="0.2">
      <c r="A55">
        <v>2016</v>
      </c>
      <c r="B55" s="5" t="s">
        <v>98</v>
      </c>
      <c r="C55" s="6">
        <v>2.8756569000000002E-3</v>
      </c>
      <c r="D55" s="7">
        <v>238219</v>
      </c>
    </row>
    <row r="56" spans="1:4" x14ac:dyDescent="0.2">
      <c r="A56">
        <v>2016</v>
      </c>
      <c r="B56" s="5" t="s">
        <v>99</v>
      </c>
      <c r="C56" s="6">
        <v>4.4512870000000001E-4</v>
      </c>
      <c r="D56" s="7">
        <v>36874</v>
      </c>
    </row>
    <row r="57" spans="1:4" x14ac:dyDescent="0.2">
      <c r="A57">
        <v>2016</v>
      </c>
      <c r="B57" s="5" t="s">
        <v>217</v>
      </c>
      <c r="C57" s="6">
        <v>6.8918388000000002E-3</v>
      </c>
      <c r="D57" s="7">
        <v>570919</v>
      </c>
    </row>
    <row r="58" spans="1:4" x14ac:dyDescent="0.2">
      <c r="A58">
        <v>2016</v>
      </c>
      <c r="B58" s="5" t="s">
        <v>100</v>
      </c>
      <c r="C58" s="6">
        <v>7.0628561800000003E-2</v>
      </c>
      <c r="D58" s="7">
        <v>5850865</v>
      </c>
    </row>
    <row r="59" spans="1:4" x14ac:dyDescent="0.2">
      <c r="A59">
        <v>2016</v>
      </c>
      <c r="B59" s="5" t="s">
        <v>101</v>
      </c>
      <c r="C59" s="6">
        <v>2.7430070000000002E-4</v>
      </c>
      <c r="D59" s="7">
        <v>22723</v>
      </c>
    </row>
    <row r="60" spans="1:4" x14ac:dyDescent="0.2">
      <c r="A60">
        <v>2016</v>
      </c>
      <c r="B60" s="5" t="s">
        <v>102</v>
      </c>
      <c r="C60" s="6">
        <v>1.7518945000000001E-3</v>
      </c>
      <c r="D60" s="7">
        <v>145127</v>
      </c>
    </row>
    <row r="61" spans="1:4" x14ac:dyDescent="0.2">
      <c r="A61">
        <v>2016</v>
      </c>
      <c r="B61" s="5" t="s">
        <v>199</v>
      </c>
      <c r="C61" s="6">
        <v>2.4415604999999999E-3</v>
      </c>
      <c r="D61" s="7">
        <v>202259</v>
      </c>
    </row>
    <row r="62" spans="1:4" x14ac:dyDescent="0.2">
      <c r="A62">
        <v>2016</v>
      </c>
      <c r="B62" s="5" t="s">
        <v>103</v>
      </c>
      <c r="C62" s="6">
        <v>2.4553228000000001E-3</v>
      </c>
      <c r="D62" s="7">
        <v>203399</v>
      </c>
    </row>
    <row r="63" spans="1:4" x14ac:dyDescent="0.2">
      <c r="A63">
        <v>2016</v>
      </c>
      <c r="B63" s="5" t="s">
        <v>104</v>
      </c>
      <c r="C63" s="6">
        <v>6.8668370000000002E-4</v>
      </c>
      <c r="D63" s="7">
        <v>56885</v>
      </c>
    </row>
    <row r="64" spans="1:4" x14ac:dyDescent="0.2">
      <c r="A64">
        <v>2016</v>
      </c>
      <c r="B64" s="5" t="s">
        <v>105</v>
      </c>
      <c r="C64" s="6">
        <v>2.2197355000000002E-3</v>
      </c>
      <c r="D64" s="7">
        <v>183883</v>
      </c>
    </row>
    <row r="65" spans="1:4" x14ac:dyDescent="0.2">
      <c r="A65">
        <v>2016</v>
      </c>
      <c r="B65" s="5" t="s">
        <v>202</v>
      </c>
      <c r="C65" s="6">
        <v>3.5991540999999998E-3</v>
      </c>
      <c r="D65" s="7">
        <v>298154</v>
      </c>
    </row>
    <row r="66" spans="1:4" x14ac:dyDescent="0.2">
      <c r="A66">
        <v>2016</v>
      </c>
      <c r="B66" s="5" t="s">
        <v>106</v>
      </c>
      <c r="C66" s="6">
        <v>1.7413198999999999E-3</v>
      </c>
      <c r="D66" s="7">
        <v>144251</v>
      </c>
    </row>
    <row r="67" spans="1:4" x14ac:dyDescent="0.2">
      <c r="A67">
        <v>2016</v>
      </c>
      <c r="B67" s="5" t="s">
        <v>107</v>
      </c>
      <c r="C67" s="6">
        <v>1.2776106E-3</v>
      </c>
      <c r="D67" s="7">
        <v>105837</v>
      </c>
    </row>
    <row r="68" spans="1:4" x14ac:dyDescent="0.2">
      <c r="A68">
        <v>2016</v>
      </c>
      <c r="B68" s="5" t="s">
        <v>108</v>
      </c>
      <c r="C68" s="6">
        <v>4.4352808999999997E-3</v>
      </c>
      <c r="D68" s="7">
        <v>367418</v>
      </c>
    </row>
    <row r="69" spans="1:4" x14ac:dyDescent="0.2">
      <c r="A69">
        <v>2016</v>
      </c>
      <c r="B69" s="5" t="s">
        <v>200</v>
      </c>
      <c r="C69" s="6">
        <v>1.7750965E-3</v>
      </c>
      <c r="D69" s="7">
        <v>147049</v>
      </c>
    </row>
    <row r="70" spans="1:4" x14ac:dyDescent="0.2">
      <c r="A70">
        <v>2016</v>
      </c>
      <c r="B70" s="5" t="s">
        <v>0</v>
      </c>
      <c r="C70" s="6">
        <v>2.2054667999999999E-3</v>
      </c>
      <c r="D70" s="7">
        <v>182701</v>
      </c>
    </row>
    <row r="71" spans="1:4" x14ac:dyDescent="0.2">
      <c r="A71">
        <v>2016</v>
      </c>
      <c r="B71" s="5" t="s">
        <v>2</v>
      </c>
      <c r="C71" s="6">
        <v>3.7815974E-3</v>
      </c>
      <c r="D71" s="7">
        <v>313267</v>
      </c>
    </row>
    <row r="72" spans="1:4" x14ac:dyDescent="0.2">
      <c r="A72">
        <v>2016</v>
      </c>
      <c r="B72" s="5" t="s">
        <v>3</v>
      </c>
      <c r="C72" s="6">
        <v>1.0336098000000001E-3</v>
      </c>
      <c r="D72" s="7">
        <v>85624</v>
      </c>
    </row>
    <row r="73" spans="1:4" x14ac:dyDescent="0.2">
      <c r="A73">
        <v>2016</v>
      </c>
      <c r="B73" s="5" t="s">
        <v>4</v>
      </c>
      <c r="C73" s="6">
        <v>4.0401700000000003E-5</v>
      </c>
      <c r="D73" s="7">
        <v>3347</v>
      </c>
    </row>
    <row r="74" spans="1:4" x14ac:dyDescent="0.2">
      <c r="A74">
        <v>2016</v>
      </c>
      <c r="B74" s="5" t="s">
        <v>5</v>
      </c>
      <c r="C74" s="6">
        <v>2.0563488000000002E-3</v>
      </c>
      <c r="D74" s="7">
        <v>170348</v>
      </c>
    </row>
    <row r="75" spans="1:4" x14ac:dyDescent="0.2">
      <c r="A75">
        <v>2016</v>
      </c>
      <c r="B75" s="5" t="s">
        <v>6</v>
      </c>
      <c r="C75" s="6">
        <v>2.01294651E-2</v>
      </c>
      <c r="D75" s="7">
        <v>1667524</v>
      </c>
    </row>
    <row r="76" spans="1:4" x14ac:dyDescent="0.2">
      <c r="A76">
        <v>2016</v>
      </c>
      <c r="B76" s="5" t="s">
        <v>7</v>
      </c>
      <c r="C76" s="6">
        <v>2.6630797999999999E-3</v>
      </c>
      <c r="D76" s="7">
        <v>220609</v>
      </c>
    </row>
    <row r="77" spans="1:4" x14ac:dyDescent="0.2">
      <c r="A77">
        <v>2016</v>
      </c>
      <c r="B77" s="5" t="s">
        <v>226</v>
      </c>
      <c r="C77" s="6">
        <v>6.9204460000000005E-4</v>
      </c>
      <c r="D77" s="7">
        <v>57329</v>
      </c>
    </row>
    <row r="78" spans="1:4" x14ac:dyDescent="0.2">
      <c r="A78">
        <v>2016</v>
      </c>
      <c r="B78" s="5" t="s">
        <v>8</v>
      </c>
      <c r="C78" s="6">
        <v>3.3385102999999999E-3</v>
      </c>
      <c r="D78" s="7">
        <v>276562</v>
      </c>
    </row>
    <row r="79" spans="1:4" x14ac:dyDescent="0.2">
      <c r="A79">
        <v>2016</v>
      </c>
      <c r="B79" s="5" t="s">
        <v>9</v>
      </c>
      <c r="C79" s="6">
        <v>4.0573407000000002E-3</v>
      </c>
      <c r="D79" s="7">
        <v>336110</v>
      </c>
    </row>
    <row r="80" spans="1:4" x14ac:dyDescent="0.2">
      <c r="A80">
        <v>2016</v>
      </c>
      <c r="B80" s="5" t="s">
        <v>10</v>
      </c>
      <c r="C80" s="6">
        <v>4.7984406000000004E-3</v>
      </c>
      <c r="D80" s="7">
        <v>397502</v>
      </c>
    </row>
    <row r="81" spans="1:4" x14ac:dyDescent="0.2">
      <c r="A81">
        <v>2016</v>
      </c>
      <c r="B81" s="5" t="s">
        <v>225</v>
      </c>
      <c r="C81" s="6">
        <v>1.6414361000000001E-3</v>
      </c>
      <c r="D81" s="7">
        <v>135976</v>
      </c>
    </row>
    <row r="82" spans="1:4" x14ac:dyDescent="0.2">
      <c r="A82">
        <v>2016</v>
      </c>
      <c r="B82" s="5" t="s">
        <v>11</v>
      </c>
      <c r="C82" s="6">
        <v>2.5796529999999999E-3</v>
      </c>
      <c r="D82" s="7">
        <v>213698</v>
      </c>
    </row>
    <row r="83" spans="1:4" x14ac:dyDescent="0.2">
      <c r="A83">
        <v>2016</v>
      </c>
      <c r="B83" s="5" t="s">
        <v>12</v>
      </c>
      <c r="C83" s="6">
        <v>1.7725483E-3</v>
      </c>
      <c r="D83" s="7">
        <v>146838</v>
      </c>
    </row>
    <row r="84" spans="1:4" x14ac:dyDescent="0.2">
      <c r="A84">
        <v>2016</v>
      </c>
      <c r="B84" s="5" t="s">
        <v>13</v>
      </c>
      <c r="C84" s="6">
        <v>2.3964192E-3</v>
      </c>
      <c r="D84" s="7">
        <v>198519</v>
      </c>
    </row>
    <row r="85" spans="1:4" x14ac:dyDescent="0.2">
      <c r="A85">
        <v>2016</v>
      </c>
      <c r="B85" s="5" t="s">
        <v>183</v>
      </c>
      <c r="C85" s="6">
        <v>2.7029164999999998E-3</v>
      </c>
      <c r="D85" s="7">
        <v>223909</v>
      </c>
    </row>
    <row r="86" spans="1:4" x14ac:dyDescent="0.2">
      <c r="A86">
        <v>2016</v>
      </c>
      <c r="B86" s="5" t="s">
        <v>14</v>
      </c>
      <c r="C86" s="6">
        <v>3.2443670000000002E-3</v>
      </c>
      <c r="D86" s="7">
        <v>268763</v>
      </c>
    </row>
    <row r="87" spans="1:4" x14ac:dyDescent="0.2">
      <c r="A87">
        <v>2016</v>
      </c>
      <c r="B87" s="5" t="s">
        <v>15</v>
      </c>
      <c r="C87" s="6">
        <v>1.6396137000000001E-3</v>
      </c>
      <c r="D87" s="7">
        <v>135825</v>
      </c>
    </row>
    <row r="88" spans="1:4" x14ac:dyDescent="0.2">
      <c r="A88">
        <v>2016</v>
      </c>
      <c r="B88" s="5" t="s">
        <v>16</v>
      </c>
      <c r="C88" s="6">
        <v>4.0508382000000002E-3</v>
      </c>
      <c r="D88" s="7">
        <v>335571</v>
      </c>
    </row>
    <row r="89" spans="1:4" x14ac:dyDescent="0.2">
      <c r="A89">
        <v>2016</v>
      </c>
      <c r="B89" s="5" t="s">
        <v>224</v>
      </c>
      <c r="C89" s="6">
        <v>1.7979704E-3</v>
      </c>
      <c r="D89" s="7">
        <v>148944</v>
      </c>
    </row>
    <row r="90" spans="1:4" x14ac:dyDescent="0.2">
      <c r="A90">
        <v>2016</v>
      </c>
      <c r="B90" s="5" t="s">
        <v>17</v>
      </c>
      <c r="C90" s="6">
        <v>2.5417932000000002E-3</v>
      </c>
      <c r="D90" s="7">
        <v>210562</v>
      </c>
    </row>
    <row r="91" spans="1:4" x14ac:dyDescent="0.2">
      <c r="A91">
        <v>2016</v>
      </c>
      <c r="B91" s="5" t="s">
        <v>18</v>
      </c>
      <c r="C91" s="6">
        <v>5.3576505999999996E-3</v>
      </c>
      <c r="D91" s="7">
        <v>443827</v>
      </c>
    </row>
    <row r="92" spans="1:4" x14ac:dyDescent="0.2">
      <c r="A92">
        <v>2016</v>
      </c>
      <c r="B92" s="5" t="s">
        <v>19</v>
      </c>
      <c r="C92" s="6">
        <v>1.3145766E-3</v>
      </c>
      <c r="D92" s="7">
        <v>108899</v>
      </c>
    </row>
    <row r="93" spans="1:4" x14ac:dyDescent="0.2">
      <c r="A93">
        <v>2016</v>
      </c>
      <c r="B93" s="5" t="s">
        <v>223</v>
      </c>
      <c r="C93" s="6">
        <v>1.562197E-4</v>
      </c>
      <c r="D93" s="7">
        <v>12941</v>
      </c>
    </row>
    <row r="94" spans="1:4" x14ac:dyDescent="0.2">
      <c r="A94">
        <v>2016</v>
      </c>
      <c r="B94" s="5" t="s">
        <v>20</v>
      </c>
      <c r="C94" s="6">
        <v>6.2785000000000001E-6</v>
      </c>
      <c r="D94" s="5">
        <v>520</v>
      </c>
    </row>
    <row r="95" spans="1:4" x14ac:dyDescent="0.2">
      <c r="A95">
        <v>2016</v>
      </c>
      <c r="B95" s="5" t="s">
        <v>21</v>
      </c>
      <c r="C95" s="6">
        <v>3.9508579999999999E-4</v>
      </c>
      <c r="D95" s="7">
        <v>32729</v>
      </c>
    </row>
    <row r="96" spans="1:4" x14ac:dyDescent="0.2">
      <c r="A96">
        <v>2016</v>
      </c>
      <c r="B96" s="5" t="s">
        <v>22</v>
      </c>
      <c r="C96" s="6">
        <v>2.4326529999999999E-4</v>
      </c>
      <c r="D96" s="7">
        <v>20152</v>
      </c>
    </row>
    <row r="97" spans="1:4" x14ac:dyDescent="0.2">
      <c r="A97">
        <v>2016</v>
      </c>
      <c r="B97" s="5" t="s">
        <v>222</v>
      </c>
      <c r="C97" s="6">
        <v>1.5135014999999999E-3</v>
      </c>
      <c r="D97" s="7">
        <v>125378</v>
      </c>
    </row>
    <row r="98" spans="1:4" x14ac:dyDescent="0.2">
      <c r="A98">
        <v>2016</v>
      </c>
      <c r="B98" s="5" t="s">
        <v>23</v>
      </c>
      <c r="C98" s="6">
        <v>2.97089678E-2</v>
      </c>
      <c r="D98" s="7">
        <v>2461089</v>
      </c>
    </row>
    <row r="99" spans="1:4" x14ac:dyDescent="0.2">
      <c r="A99">
        <v>2016</v>
      </c>
      <c r="B99" s="5" t="s">
        <v>24</v>
      </c>
      <c r="C99" s="6">
        <v>2.5647410000000002E-3</v>
      </c>
      <c r="D99" s="7">
        <v>212463</v>
      </c>
    </row>
    <row r="100" spans="1:4" x14ac:dyDescent="0.2">
      <c r="A100">
        <v>2016</v>
      </c>
      <c r="B100" s="5" t="s">
        <v>25</v>
      </c>
      <c r="C100" s="6">
        <v>1.3054749999999999E-4</v>
      </c>
      <c r="D100" s="7">
        <v>10815</v>
      </c>
    </row>
    <row r="101" spans="1:4" x14ac:dyDescent="0.2">
      <c r="A101">
        <v>2016</v>
      </c>
      <c r="B101" s="5" t="s">
        <v>228</v>
      </c>
      <c r="C101" s="6">
        <v>1.2363539E-3</v>
      </c>
      <c r="D101" s="7">
        <v>102419</v>
      </c>
    </row>
    <row r="102" spans="1:4" x14ac:dyDescent="0.2">
      <c r="A102">
        <v>2016</v>
      </c>
      <c r="B102" s="5" t="s">
        <v>26</v>
      </c>
      <c r="C102" s="6">
        <v>2.4402276999999999E-3</v>
      </c>
      <c r="D102" s="7">
        <v>202148</v>
      </c>
    </row>
    <row r="103" spans="1:4" x14ac:dyDescent="0.2">
      <c r="A103">
        <v>2016</v>
      </c>
      <c r="B103" s="5" t="s">
        <v>27</v>
      </c>
      <c r="C103" s="6">
        <v>1.0374674E-3</v>
      </c>
      <c r="D103" s="7">
        <v>85944</v>
      </c>
    </row>
    <row r="104" spans="1:4" x14ac:dyDescent="0.2">
      <c r="A104">
        <v>2016</v>
      </c>
      <c r="B104" s="5" t="s">
        <v>28</v>
      </c>
      <c r="C104" s="6">
        <v>2.7616030000000001E-4</v>
      </c>
      <c r="D104" s="7">
        <v>22877</v>
      </c>
    </row>
    <row r="105" spans="1:4" x14ac:dyDescent="0.2">
      <c r="A105">
        <v>2016</v>
      </c>
      <c r="B105" s="5" t="s">
        <v>184</v>
      </c>
      <c r="C105" s="6">
        <v>1.8227395E-3</v>
      </c>
      <c r="D105" s="7">
        <v>150996</v>
      </c>
    </row>
    <row r="106" spans="1:4" x14ac:dyDescent="0.2">
      <c r="A106">
        <v>2016</v>
      </c>
      <c r="B106" s="5" t="s">
        <v>29</v>
      </c>
      <c r="C106" s="6">
        <v>4.2290734E-3</v>
      </c>
      <c r="D106" s="7">
        <v>350336</v>
      </c>
    </row>
    <row r="107" spans="1:4" x14ac:dyDescent="0.2">
      <c r="A107">
        <v>2016</v>
      </c>
      <c r="B107" s="5" t="s">
        <v>30</v>
      </c>
      <c r="C107" s="6">
        <v>1.1422947000000001E-3</v>
      </c>
      <c r="D107" s="7">
        <v>94628</v>
      </c>
    </row>
    <row r="108" spans="1:4" x14ac:dyDescent="0.2">
      <c r="A108">
        <v>2016</v>
      </c>
      <c r="B108" s="5" t="s">
        <v>31</v>
      </c>
      <c r="C108" s="6">
        <v>6.1907800000000004E-5</v>
      </c>
      <c r="D108" s="7">
        <v>5128</v>
      </c>
    </row>
    <row r="109" spans="1:4" x14ac:dyDescent="0.2">
      <c r="A109">
        <v>2016</v>
      </c>
      <c r="B109" s="5" t="s">
        <v>221</v>
      </c>
      <c r="C109" s="6">
        <v>1.0091834399999999E-2</v>
      </c>
      <c r="D109" s="7">
        <v>836007</v>
      </c>
    </row>
    <row r="110" spans="1:4" x14ac:dyDescent="0.2">
      <c r="A110">
        <v>2016</v>
      </c>
      <c r="B110" s="5" t="s">
        <v>32</v>
      </c>
      <c r="C110" s="6">
        <v>1.5942583E-3</v>
      </c>
      <c r="D110" s="7">
        <v>132068</v>
      </c>
    </row>
    <row r="111" spans="1:4" x14ac:dyDescent="0.2">
      <c r="A111">
        <v>2016</v>
      </c>
      <c r="B111" s="5" t="s">
        <v>33</v>
      </c>
      <c r="C111" s="6">
        <v>2.410251E-4</v>
      </c>
      <c r="D111" s="7">
        <v>19967</v>
      </c>
    </row>
    <row r="112" spans="1:4" x14ac:dyDescent="0.2">
      <c r="A112">
        <v>2016</v>
      </c>
      <c r="B112" s="5" t="s">
        <v>34</v>
      </c>
      <c r="C112" s="6">
        <v>1.5017616000000001E-3</v>
      </c>
      <c r="D112" s="7">
        <v>124406</v>
      </c>
    </row>
    <row r="113" spans="1:4" x14ac:dyDescent="0.2">
      <c r="A113">
        <v>2016</v>
      </c>
      <c r="B113" s="5" t="s">
        <v>229</v>
      </c>
      <c r="C113" s="6">
        <v>2.2582464999999999E-3</v>
      </c>
      <c r="D113" s="7">
        <v>187073</v>
      </c>
    </row>
    <row r="114" spans="1:4" x14ac:dyDescent="0.2">
      <c r="A114">
        <v>2016</v>
      </c>
      <c r="B114" s="5" t="s">
        <v>35</v>
      </c>
      <c r="C114" s="6">
        <v>2.1159804000000001E-3</v>
      </c>
      <c r="D114" s="7">
        <v>175288</v>
      </c>
    </row>
    <row r="115" spans="1:4" x14ac:dyDescent="0.2">
      <c r="A115">
        <v>2016</v>
      </c>
      <c r="B115" s="5" t="s">
        <v>36</v>
      </c>
      <c r="C115" s="6">
        <v>2.6305272000000002E-3</v>
      </c>
      <c r="D115" s="7">
        <v>217913</v>
      </c>
    </row>
    <row r="116" spans="1:4" x14ac:dyDescent="0.2">
      <c r="A116">
        <v>2016</v>
      </c>
      <c r="B116" s="5" t="s">
        <v>37</v>
      </c>
      <c r="C116" s="6">
        <v>6.7053769999999999E-2</v>
      </c>
      <c r="D116" s="7">
        <v>5554730</v>
      </c>
    </row>
    <row r="117" spans="1:4" x14ac:dyDescent="0.2">
      <c r="A117">
        <v>2016</v>
      </c>
      <c r="B117" s="5" t="s">
        <v>219</v>
      </c>
      <c r="C117" s="6">
        <v>1.7866504E-3</v>
      </c>
      <c r="D117" s="7">
        <v>148006</v>
      </c>
    </row>
    <row r="118" spans="1:4" x14ac:dyDescent="0.2">
      <c r="A118">
        <v>2016</v>
      </c>
      <c r="B118" s="5" t="s">
        <v>38</v>
      </c>
      <c r="C118" s="6">
        <v>3.3286989E-3</v>
      </c>
      <c r="D118" s="7">
        <v>275749</v>
      </c>
    </row>
    <row r="119" spans="1:4" x14ac:dyDescent="0.2">
      <c r="A119">
        <v>2016</v>
      </c>
      <c r="B119" s="5" t="s">
        <v>39</v>
      </c>
      <c r="C119" s="6">
        <v>1.1740855E-3</v>
      </c>
      <c r="D119" s="7">
        <v>97261</v>
      </c>
    </row>
    <row r="120" spans="1:4" x14ac:dyDescent="0.2">
      <c r="A120">
        <v>2016</v>
      </c>
      <c r="B120" s="5" t="s">
        <v>40</v>
      </c>
      <c r="C120" s="6">
        <v>4.7019499999999999E-5</v>
      </c>
      <c r="D120" s="7">
        <v>3895</v>
      </c>
    </row>
    <row r="121" spans="1:4" x14ac:dyDescent="0.2">
      <c r="A121">
        <v>2016</v>
      </c>
      <c r="B121" s="5" t="s">
        <v>220</v>
      </c>
      <c r="C121" s="6">
        <v>2.3752475999999998E-3</v>
      </c>
      <c r="D121" s="7">
        <v>196765</v>
      </c>
    </row>
    <row r="122" spans="1:4" x14ac:dyDescent="0.2">
      <c r="A122">
        <v>2016</v>
      </c>
      <c r="B122" s="5" t="s">
        <v>41</v>
      </c>
      <c r="C122" s="6">
        <v>2.5376514999999999E-3</v>
      </c>
      <c r="D122" s="7">
        <v>210219</v>
      </c>
    </row>
    <row r="123" spans="1:4" x14ac:dyDescent="0.2">
      <c r="A123">
        <v>2016</v>
      </c>
      <c r="B123" s="5" t="s">
        <v>42</v>
      </c>
      <c r="C123" s="6">
        <v>1.4410593000000001E-3</v>
      </c>
      <c r="D123" s="7">
        <v>119377</v>
      </c>
    </row>
    <row r="124" spans="1:4" x14ac:dyDescent="0.2">
      <c r="A124">
        <v>2016</v>
      </c>
      <c r="B124" s="5" t="s">
        <v>43</v>
      </c>
      <c r="C124" s="6">
        <v>2.237102E-4</v>
      </c>
      <c r="D124" s="7">
        <v>18532</v>
      </c>
    </row>
    <row r="125" spans="1:4" x14ac:dyDescent="0.2">
      <c r="A125">
        <v>2016</v>
      </c>
      <c r="B125" s="5" t="s">
        <v>185</v>
      </c>
      <c r="C125" s="6">
        <v>2.2849835000000001E-3</v>
      </c>
      <c r="D125" s="7">
        <v>189288</v>
      </c>
    </row>
    <row r="126" spans="1:4" x14ac:dyDescent="0.2">
      <c r="A126">
        <v>2016</v>
      </c>
      <c r="B126" s="5" t="s">
        <v>44</v>
      </c>
      <c r="C126" s="6">
        <v>1.1409880000000001E-4</v>
      </c>
      <c r="D126" s="7">
        <v>9452</v>
      </c>
    </row>
    <row r="127" spans="1:4" x14ac:dyDescent="0.2">
      <c r="A127">
        <v>2016</v>
      </c>
      <c r="B127" s="5" t="s">
        <v>45</v>
      </c>
      <c r="C127" s="6">
        <v>2.0301221000000001E-3</v>
      </c>
      <c r="D127" s="7">
        <v>168175</v>
      </c>
    </row>
    <row r="128" spans="1:4" x14ac:dyDescent="0.2">
      <c r="A128">
        <v>2016</v>
      </c>
      <c r="B128" s="5" t="s">
        <v>46</v>
      </c>
      <c r="C128" s="6">
        <v>2.8605949999999997E-4</v>
      </c>
      <c r="D128" s="7">
        <v>23697</v>
      </c>
    </row>
    <row r="129" spans="1:4" x14ac:dyDescent="0.2">
      <c r="A129">
        <v>2016</v>
      </c>
      <c r="B129" s="5" t="s">
        <v>189</v>
      </c>
      <c r="C129" s="6">
        <v>1.0976865E-3</v>
      </c>
      <c r="D129" s="7">
        <v>90932</v>
      </c>
    </row>
    <row r="130" spans="1:4" x14ac:dyDescent="0.2">
      <c r="A130">
        <v>2016</v>
      </c>
      <c r="B130" s="5" t="s">
        <v>47</v>
      </c>
      <c r="C130" s="6">
        <v>1.3585131E-3</v>
      </c>
      <c r="D130" s="7">
        <v>112539</v>
      </c>
    </row>
    <row r="131" spans="1:4" x14ac:dyDescent="0.2">
      <c r="A131">
        <v>2016</v>
      </c>
      <c r="B131" s="5" t="s">
        <v>48</v>
      </c>
      <c r="C131" s="6">
        <v>4.8050110000000002E-4</v>
      </c>
      <c r="D131" s="7">
        <v>39805</v>
      </c>
    </row>
    <row r="132" spans="1:4" x14ac:dyDescent="0.2">
      <c r="A132">
        <v>2016</v>
      </c>
      <c r="B132" s="5" t="s">
        <v>49</v>
      </c>
      <c r="C132" s="6">
        <v>1.8910081E-3</v>
      </c>
      <c r="D132" s="7">
        <v>156651</v>
      </c>
    </row>
    <row r="133" spans="1:4" x14ac:dyDescent="0.2">
      <c r="A133">
        <v>2016</v>
      </c>
      <c r="B133" s="5" t="s">
        <v>186</v>
      </c>
      <c r="C133" s="6">
        <v>3.7783627000000002E-3</v>
      </c>
      <c r="D133" s="7">
        <v>312999</v>
      </c>
    </row>
    <row r="134" spans="1:4" x14ac:dyDescent="0.2">
      <c r="A134">
        <v>2016</v>
      </c>
      <c r="B134" s="5" t="s">
        <v>50</v>
      </c>
      <c r="C134" s="6">
        <v>1.88281E-5</v>
      </c>
      <c r="D134" s="7">
        <v>1560</v>
      </c>
    </row>
    <row r="135" spans="1:4" x14ac:dyDescent="0.2">
      <c r="A135">
        <v>2016</v>
      </c>
      <c r="B135" s="5" t="s">
        <v>51</v>
      </c>
      <c r="C135" s="6">
        <v>2.5057042000000002E-3</v>
      </c>
      <c r="D135" s="7">
        <v>207572</v>
      </c>
    </row>
    <row r="136" spans="1:4" x14ac:dyDescent="0.2">
      <c r="A136">
        <v>2016</v>
      </c>
      <c r="B136" s="5" t="s">
        <v>52</v>
      </c>
      <c r="C136" s="6">
        <v>2.1138407999999999E-3</v>
      </c>
      <c r="D136" s="7">
        <v>175110</v>
      </c>
    </row>
    <row r="137" spans="1:4" x14ac:dyDescent="0.2">
      <c r="A137">
        <v>2016</v>
      </c>
      <c r="B137" s="5" t="s">
        <v>56</v>
      </c>
      <c r="C137" s="6">
        <v>3.1286915E-3</v>
      </c>
      <c r="D137" s="7">
        <v>259181</v>
      </c>
    </row>
    <row r="138" spans="1:4" x14ac:dyDescent="0.2">
      <c r="A138">
        <v>2016</v>
      </c>
      <c r="B138" s="5" t="s">
        <v>109</v>
      </c>
      <c r="C138" s="6">
        <v>2.6262259000000001E-3</v>
      </c>
      <c r="D138" s="7">
        <v>217556</v>
      </c>
    </row>
    <row r="139" spans="1:4" x14ac:dyDescent="0.2">
      <c r="A139">
        <v>2016</v>
      </c>
      <c r="B139" s="5" t="s">
        <v>110</v>
      </c>
      <c r="C139" s="6">
        <v>2.6142243000000002E-3</v>
      </c>
      <c r="D139" s="7">
        <v>216562</v>
      </c>
    </row>
    <row r="140" spans="1:4" x14ac:dyDescent="0.2">
      <c r="A140">
        <v>2016</v>
      </c>
      <c r="B140" s="5" t="s">
        <v>111</v>
      </c>
      <c r="C140" s="6">
        <v>6.6241609000000003E-3</v>
      </c>
      <c r="D140" s="7">
        <v>548745</v>
      </c>
    </row>
    <row r="141" spans="1:4" x14ac:dyDescent="0.2">
      <c r="A141">
        <v>2016</v>
      </c>
      <c r="B141" s="5" t="s">
        <v>112</v>
      </c>
      <c r="C141" s="6">
        <v>1.0125347000000001E-3</v>
      </c>
      <c r="D141" s="7">
        <v>83878</v>
      </c>
    </row>
    <row r="142" spans="1:4" x14ac:dyDescent="0.2">
      <c r="A142">
        <v>2016</v>
      </c>
      <c r="B142" s="5" t="s">
        <v>113</v>
      </c>
      <c r="C142" s="6">
        <v>4.4467142000000001E-3</v>
      </c>
      <c r="D142" s="7">
        <v>368366</v>
      </c>
    </row>
    <row r="143" spans="1:4" x14ac:dyDescent="0.2">
      <c r="A143">
        <v>2016</v>
      </c>
      <c r="B143" s="5" t="s">
        <v>114</v>
      </c>
      <c r="C143" s="6">
        <v>2.3312921E-3</v>
      </c>
      <c r="D143" s="7">
        <v>193124</v>
      </c>
    </row>
    <row r="144" spans="1:4" x14ac:dyDescent="0.2">
      <c r="A144">
        <v>2016</v>
      </c>
      <c r="B144" s="5" t="s">
        <v>115</v>
      </c>
      <c r="C144" s="6">
        <v>2.5839675000000001E-3</v>
      </c>
      <c r="D144" s="7">
        <v>214056</v>
      </c>
    </row>
    <row r="145" spans="1:4" x14ac:dyDescent="0.2">
      <c r="A145">
        <v>2016</v>
      </c>
      <c r="B145" s="5" t="s">
        <v>203</v>
      </c>
      <c r="C145" s="6">
        <v>7.8960640000000002E-4</v>
      </c>
      <c r="D145" s="7">
        <v>65411</v>
      </c>
    </row>
    <row r="146" spans="1:4" x14ac:dyDescent="0.2">
      <c r="A146">
        <v>2016</v>
      </c>
      <c r="B146" s="5" t="s">
        <v>116</v>
      </c>
      <c r="C146" s="6">
        <v>4.2861399000000003E-3</v>
      </c>
      <c r="D146" s="7">
        <v>355064</v>
      </c>
    </row>
    <row r="147" spans="1:4" x14ac:dyDescent="0.2">
      <c r="A147">
        <v>2016</v>
      </c>
      <c r="B147" s="5" t="s">
        <v>117</v>
      </c>
      <c r="C147" s="6">
        <v>4.0883320000000001E-4</v>
      </c>
      <c r="D147" s="7">
        <v>33868</v>
      </c>
    </row>
    <row r="148" spans="1:4" x14ac:dyDescent="0.2">
      <c r="A148">
        <v>2016</v>
      </c>
      <c r="B148" s="5" t="s">
        <v>118</v>
      </c>
      <c r="C148" s="6">
        <v>2.3623388000000001E-3</v>
      </c>
      <c r="D148" s="7">
        <v>195696</v>
      </c>
    </row>
    <row r="149" spans="1:4" x14ac:dyDescent="0.2">
      <c r="A149">
        <v>2016</v>
      </c>
      <c r="B149" s="5" t="s">
        <v>201</v>
      </c>
      <c r="C149" s="6">
        <v>3.1033701999999999E-3</v>
      </c>
      <c r="D149" s="7">
        <v>257083</v>
      </c>
    </row>
    <row r="150" spans="1:4" x14ac:dyDescent="0.2">
      <c r="A150">
        <v>2016</v>
      </c>
      <c r="B150" s="5" t="s">
        <v>119</v>
      </c>
      <c r="C150" s="6">
        <v>4.2945720000000002E-4</v>
      </c>
      <c r="D150" s="7">
        <v>35576</v>
      </c>
    </row>
    <row r="151" spans="1:4" x14ac:dyDescent="0.2">
      <c r="A151">
        <v>2016</v>
      </c>
      <c r="B151" s="5" t="s">
        <v>120</v>
      </c>
      <c r="C151" s="6">
        <v>1.5347626E-3</v>
      </c>
      <c r="D151" s="7">
        <v>127140</v>
      </c>
    </row>
    <row r="152" spans="1:4" x14ac:dyDescent="0.2">
      <c r="A152">
        <v>2016</v>
      </c>
      <c r="B152" s="5" t="s">
        <v>121</v>
      </c>
      <c r="C152" s="6">
        <v>1.0441896E-3</v>
      </c>
      <c r="D152" s="7">
        <v>86501</v>
      </c>
    </row>
    <row r="153" spans="1:4" x14ac:dyDescent="0.2">
      <c r="A153">
        <v>2016</v>
      </c>
      <c r="B153" s="5" t="s">
        <v>230</v>
      </c>
      <c r="C153" s="6">
        <v>3.1345476999999999E-3</v>
      </c>
      <c r="D153" s="7">
        <v>259666</v>
      </c>
    </row>
    <row r="154" spans="1:4" x14ac:dyDescent="0.2">
      <c r="A154">
        <v>2016</v>
      </c>
      <c r="B154" s="5" t="s">
        <v>122</v>
      </c>
      <c r="C154" s="6">
        <v>2.6084321E-3</v>
      </c>
      <c r="D154" s="7">
        <v>216082</v>
      </c>
    </row>
    <row r="155" spans="1:4" x14ac:dyDescent="0.2">
      <c r="A155">
        <v>2016</v>
      </c>
      <c r="B155" s="5" t="s">
        <v>123</v>
      </c>
      <c r="C155" s="6">
        <v>8.2303870000000002E-4</v>
      </c>
      <c r="D155" s="7">
        <v>68180</v>
      </c>
    </row>
    <row r="156" spans="1:4" x14ac:dyDescent="0.2">
      <c r="A156">
        <v>2016</v>
      </c>
      <c r="B156" s="5" t="s">
        <v>124</v>
      </c>
      <c r="C156" s="6">
        <v>1.63146E-4</v>
      </c>
      <c r="D156" s="7">
        <v>13515</v>
      </c>
    </row>
    <row r="157" spans="1:4" x14ac:dyDescent="0.2">
      <c r="A157">
        <v>2016</v>
      </c>
      <c r="B157" s="5" t="s">
        <v>216</v>
      </c>
      <c r="C157" s="6">
        <v>1.2689965000000001E-3</v>
      </c>
      <c r="D157" s="7">
        <v>105124</v>
      </c>
    </row>
    <row r="158" spans="1:4" x14ac:dyDescent="0.2">
      <c r="A158">
        <v>2016</v>
      </c>
      <c r="B158" s="5" t="s">
        <v>125</v>
      </c>
      <c r="C158" s="6">
        <v>0</v>
      </c>
      <c r="D158" s="5" t="s">
        <v>1</v>
      </c>
    </row>
    <row r="159" spans="1:4" x14ac:dyDescent="0.2">
      <c r="A159">
        <v>2016</v>
      </c>
      <c r="B159" s="5" t="s">
        <v>126</v>
      </c>
      <c r="C159" s="6">
        <v>1.7365859E-3</v>
      </c>
      <c r="D159" s="7">
        <v>143859</v>
      </c>
    </row>
    <row r="160" spans="1:4" x14ac:dyDescent="0.2">
      <c r="A160">
        <v>2016</v>
      </c>
      <c r="B160" s="5" t="s">
        <v>127</v>
      </c>
      <c r="C160" s="6">
        <v>2.6397998999999998E-3</v>
      </c>
      <c r="D160" s="7">
        <v>218681</v>
      </c>
    </row>
    <row r="161" spans="1:4" x14ac:dyDescent="0.2">
      <c r="A161">
        <v>2016</v>
      </c>
      <c r="B161" s="5" t="s">
        <v>231</v>
      </c>
      <c r="C161" s="6">
        <v>2.2294717E-3</v>
      </c>
      <c r="D161" s="7">
        <v>184689</v>
      </c>
    </row>
    <row r="162" spans="1:4" x14ac:dyDescent="0.2">
      <c r="A162">
        <v>2016</v>
      </c>
      <c r="B162" s="5" t="s">
        <v>128</v>
      </c>
      <c r="C162" s="6">
        <v>0</v>
      </c>
      <c r="D162" s="5" t="s">
        <v>1</v>
      </c>
    </row>
    <row r="163" spans="1:4" x14ac:dyDescent="0.2">
      <c r="A163">
        <v>2016</v>
      </c>
      <c r="B163" s="5" t="s">
        <v>129</v>
      </c>
      <c r="C163" s="6">
        <v>0</v>
      </c>
      <c r="D163" s="5" t="s">
        <v>1</v>
      </c>
    </row>
    <row r="164" spans="1:4" x14ac:dyDescent="0.2">
      <c r="A164">
        <v>2016</v>
      </c>
      <c r="B164" s="5" t="s">
        <v>130</v>
      </c>
      <c r="C164" s="6">
        <v>1.8543398E-3</v>
      </c>
      <c r="D164" s="7">
        <v>153613</v>
      </c>
    </row>
    <row r="165" spans="1:4" x14ac:dyDescent="0.2">
      <c r="A165">
        <v>2016</v>
      </c>
      <c r="B165" s="5" t="s">
        <v>204</v>
      </c>
      <c r="C165" s="6">
        <v>6.5487230000000002E-4</v>
      </c>
      <c r="D165" s="7">
        <v>54250</v>
      </c>
    </row>
    <row r="166" spans="1:4" x14ac:dyDescent="0.2">
      <c r="A166">
        <v>2016</v>
      </c>
      <c r="B166" s="5" t="s">
        <v>131</v>
      </c>
      <c r="C166" s="6">
        <v>1.468699E-4</v>
      </c>
      <c r="D166" s="7">
        <v>12167</v>
      </c>
    </row>
    <row r="167" spans="1:4" x14ac:dyDescent="0.2">
      <c r="A167">
        <v>2016</v>
      </c>
      <c r="B167" s="5" t="s">
        <v>132</v>
      </c>
      <c r="C167" s="6">
        <v>4.6616959999999999E-4</v>
      </c>
      <c r="D167" s="7">
        <v>38617</v>
      </c>
    </row>
    <row r="168" spans="1:4" x14ac:dyDescent="0.2">
      <c r="A168">
        <v>2016</v>
      </c>
      <c r="B168" s="5" t="s">
        <v>133</v>
      </c>
      <c r="C168" s="6">
        <v>4.9502824000000004E-3</v>
      </c>
      <c r="D168" s="7">
        <v>410081</v>
      </c>
    </row>
    <row r="169" spans="1:4" x14ac:dyDescent="0.2">
      <c r="A169">
        <v>2016</v>
      </c>
      <c r="B169" s="5" t="s">
        <v>205</v>
      </c>
      <c r="C169" s="6">
        <v>1.6670853999999999E-3</v>
      </c>
      <c r="D169" s="7">
        <v>138101</v>
      </c>
    </row>
    <row r="170" spans="1:4" x14ac:dyDescent="0.2">
      <c r="A170">
        <v>2016</v>
      </c>
      <c r="B170" s="5" t="s">
        <v>134</v>
      </c>
      <c r="C170" s="6">
        <v>2.2043539999999999E-3</v>
      </c>
      <c r="D170" s="7">
        <v>182609</v>
      </c>
    </row>
    <row r="171" spans="1:4" x14ac:dyDescent="0.2">
      <c r="A171">
        <v>2016</v>
      </c>
      <c r="B171" s="5" t="s">
        <v>135</v>
      </c>
      <c r="C171" s="6">
        <v>1.3489443E-3</v>
      </c>
      <c r="D171" s="7">
        <v>111746</v>
      </c>
    </row>
    <row r="172" spans="1:4" x14ac:dyDescent="0.2">
      <c r="A172">
        <v>2016</v>
      </c>
      <c r="B172" s="5" t="s">
        <v>136</v>
      </c>
      <c r="C172" s="6">
        <v>1.6684501E-3</v>
      </c>
      <c r="D172" s="7">
        <v>138214</v>
      </c>
    </row>
    <row r="173" spans="1:4" x14ac:dyDescent="0.2">
      <c r="A173">
        <v>2016</v>
      </c>
      <c r="B173" s="5" t="s">
        <v>215</v>
      </c>
      <c r="C173" s="6">
        <v>2.1991312000000001E-3</v>
      </c>
      <c r="D173" s="7">
        <v>182176</v>
      </c>
    </row>
    <row r="174" spans="1:4" x14ac:dyDescent="0.2">
      <c r="A174">
        <v>2016</v>
      </c>
      <c r="B174" s="5" t="s">
        <v>137</v>
      </c>
      <c r="C174" s="6">
        <v>1.3455905E-3</v>
      </c>
      <c r="D174" s="7">
        <v>111469</v>
      </c>
    </row>
    <row r="175" spans="1:4" x14ac:dyDescent="0.2">
      <c r="A175">
        <v>2016</v>
      </c>
      <c r="B175" s="5" t="s">
        <v>138</v>
      </c>
      <c r="C175" s="6">
        <v>1.1451072000000001E-3</v>
      </c>
      <c r="D175" s="7">
        <v>94861</v>
      </c>
    </row>
    <row r="176" spans="1:4" x14ac:dyDescent="0.2">
      <c r="A176">
        <v>2016</v>
      </c>
      <c r="B176" s="5" t="s">
        <v>139</v>
      </c>
      <c r="C176" s="6">
        <v>2.2962775E-3</v>
      </c>
      <c r="D176" s="7">
        <v>190223</v>
      </c>
    </row>
    <row r="177" spans="1:4" x14ac:dyDescent="0.2">
      <c r="A177">
        <v>2016</v>
      </c>
      <c r="B177" s="5" t="s">
        <v>207</v>
      </c>
      <c r="C177" s="6">
        <v>3.7940600000000001E-5</v>
      </c>
      <c r="D177" s="7">
        <v>3143</v>
      </c>
    </row>
    <row r="178" spans="1:4" x14ac:dyDescent="0.2">
      <c r="A178">
        <v>2016</v>
      </c>
      <c r="B178" s="5" t="s">
        <v>140</v>
      </c>
      <c r="C178" s="6">
        <v>2.3748720000000001E-3</v>
      </c>
      <c r="D178" s="7">
        <v>196734</v>
      </c>
    </row>
    <row r="179" spans="1:4" x14ac:dyDescent="0.2">
      <c r="A179">
        <v>2016</v>
      </c>
      <c r="B179" s="5" t="s">
        <v>141</v>
      </c>
      <c r="C179" s="6">
        <v>2.2975038000000001E-3</v>
      </c>
      <c r="D179" s="7">
        <v>190325</v>
      </c>
    </row>
    <row r="180" spans="1:4" x14ac:dyDescent="0.2">
      <c r="A180">
        <v>2016</v>
      </c>
      <c r="B180" s="5" t="s">
        <v>142</v>
      </c>
      <c r="C180" s="6">
        <v>1.5435859999999999E-4</v>
      </c>
      <c r="D180" s="7">
        <v>12787</v>
      </c>
    </row>
    <row r="181" spans="1:4" x14ac:dyDescent="0.2">
      <c r="A181">
        <v>2016</v>
      </c>
      <c r="B181" s="5" t="s">
        <v>206</v>
      </c>
      <c r="C181" s="6">
        <v>2.3705333999999999E-3</v>
      </c>
      <c r="D181" s="7">
        <v>196375</v>
      </c>
    </row>
    <row r="182" spans="1:4" x14ac:dyDescent="0.2">
      <c r="A182">
        <v>2016</v>
      </c>
      <c r="B182" s="5" t="s">
        <v>143</v>
      </c>
      <c r="C182" s="6">
        <v>3.0779942999999998E-3</v>
      </c>
      <c r="D182" s="7">
        <v>254981</v>
      </c>
    </row>
    <row r="183" spans="1:4" x14ac:dyDescent="0.2">
      <c r="A183">
        <v>2016</v>
      </c>
      <c r="B183" s="5" t="s">
        <v>144</v>
      </c>
      <c r="C183" s="6">
        <v>6.6802219999999995E-4</v>
      </c>
      <c r="D183" s="7">
        <v>55339</v>
      </c>
    </row>
    <row r="184" spans="1:4" x14ac:dyDescent="0.2">
      <c r="A184">
        <v>2016</v>
      </c>
      <c r="B184" s="5" t="s">
        <v>145</v>
      </c>
      <c r="C184" s="6">
        <v>9.7481300000000005E-5</v>
      </c>
      <c r="D184" s="7">
        <v>8075</v>
      </c>
    </row>
    <row r="185" spans="1:4" x14ac:dyDescent="0.2">
      <c r="A185">
        <v>2016</v>
      </c>
      <c r="B185" s="5" t="s">
        <v>208</v>
      </c>
      <c r="C185" s="6">
        <v>3.8354979000000001E-3</v>
      </c>
      <c r="D185" s="7">
        <v>317732</v>
      </c>
    </row>
    <row r="186" spans="1:4" x14ac:dyDescent="0.2">
      <c r="A186">
        <v>2016</v>
      </c>
      <c r="B186" s="5" t="s">
        <v>146</v>
      </c>
      <c r="C186" s="6">
        <v>9.9391879999999994E-4</v>
      </c>
      <c r="D186" s="7">
        <v>82336</v>
      </c>
    </row>
    <row r="187" spans="1:4" x14ac:dyDescent="0.2">
      <c r="A187">
        <v>2016</v>
      </c>
      <c r="B187" s="5" t="s">
        <v>147</v>
      </c>
      <c r="C187" s="6">
        <v>4.9898983000000001E-3</v>
      </c>
      <c r="D187" s="7">
        <v>413363</v>
      </c>
    </row>
    <row r="188" spans="1:4" x14ac:dyDescent="0.2">
      <c r="A188">
        <v>2016</v>
      </c>
      <c r="B188" s="5" t="s">
        <v>148</v>
      </c>
      <c r="C188" s="6">
        <v>8.8173319999999996E-4</v>
      </c>
      <c r="D188" s="7">
        <v>73043</v>
      </c>
    </row>
    <row r="189" spans="1:4" x14ac:dyDescent="0.2">
      <c r="A189">
        <v>2016</v>
      </c>
      <c r="B189" s="5" t="s">
        <v>209</v>
      </c>
      <c r="C189" s="6">
        <v>3.8403949999999998E-4</v>
      </c>
      <c r="D189" s="7">
        <v>31814</v>
      </c>
    </row>
    <row r="190" spans="1:4" x14ac:dyDescent="0.2">
      <c r="A190">
        <v>2016</v>
      </c>
      <c r="B190" s="5" t="s">
        <v>149</v>
      </c>
      <c r="C190" s="6">
        <v>1.2473803000000001E-3</v>
      </c>
      <c r="D190" s="7">
        <v>103333</v>
      </c>
    </row>
    <row r="191" spans="1:4" x14ac:dyDescent="0.2">
      <c r="A191">
        <v>2016</v>
      </c>
      <c r="B191" s="5" t="s">
        <v>150</v>
      </c>
      <c r="C191" s="6">
        <v>3.6598009999999999E-3</v>
      </c>
      <c r="D191" s="7">
        <v>303178</v>
      </c>
    </row>
    <row r="192" spans="1:4" x14ac:dyDescent="0.2">
      <c r="A192">
        <v>2016</v>
      </c>
      <c r="B192" s="5" t="s">
        <v>151</v>
      </c>
      <c r="C192" s="6">
        <v>1.289161E-4</v>
      </c>
      <c r="D192" s="7">
        <v>10679</v>
      </c>
    </row>
    <row r="193" spans="1:4" x14ac:dyDescent="0.2">
      <c r="A193">
        <v>2016</v>
      </c>
      <c r="B193" s="5" t="s">
        <v>210</v>
      </c>
      <c r="C193" s="6">
        <v>4.1615506000000002E-3</v>
      </c>
      <c r="D193" s="7">
        <v>344743</v>
      </c>
    </row>
    <row r="194" spans="1:4" x14ac:dyDescent="0.2">
      <c r="A194">
        <v>2016</v>
      </c>
      <c r="B194" s="5" t="s">
        <v>152</v>
      </c>
      <c r="C194" s="6">
        <v>3.2097928999999998E-3</v>
      </c>
      <c r="D194" s="7">
        <v>265899</v>
      </c>
    </row>
    <row r="195" spans="1:4" x14ac:dyDescent="0.2">
      <c r="A195">
        <v>2016</v>
      </c>
      <c r="B195" s="5" t="s">
        <v>153</v>
      </c>
      <c r="C195" s="6">
        <v>4.6508097000000003E-3</v>
      </c>
      <c r="D195" s="7">
        <v>385273</v>
      </c>
    </row>
    <row r="196" spans="1:4" x14ac:dyDescent="0.2">
      <c r="A196">
        <v>2016</v>
      </c>
      <c r="B196" s="5" t="s">
        <v>154</v>
      </c>
      <c r="C196" s="6">
        <v>1.7686637E-3</v>
      </c>
      <c r="D196" s="7">
        <v>146516</v>
      </c>
    </row>
    <row r="197" spans="1:4" x14ac:dyDescent="0.2">
      <c r="A197">
        <v>2016</v>
      </c>
      <c r="B197" s="5" t="s">
        <v>214</v>
      </c>
      <c r="C197" s="6">
        <v>6.1777700000000002E-4</v>
      </c>
      <c r="D197" s="7">
        <v>51177</v>
      </c>
    </row>
    <row r="198" spans="1:4" x14ac:dyDescent="0.2">
      <c r="A198">
        <v>2016</v>
      </c>
      <c r="B198" s="5" t="s">
        <v>155</v>
      </c>
      <c r="C198" s="6">
        <v>2.3581819999999999E-3</v>
      </c>
      <c r="D198" s="7">
        <v>195352</v>
      </c>
    </row>
    <row r="199" spans="1:4" x14ac:dyDescent="0.2">
      <c r="A199">
        <v>2016</v>
      </c>
      <c r="B199" s="5" t="s">
        <v>156</v>
      </c>
      <c r="C199" s="6">
        <v>4.5077245E-3</v>
      </c>
      <c r="D199" s="7">
        <v>373420</v>
      </c>
    </row>
    <row r="200" spans="1:4" x14ac:dyDescent="0.2">
      <c r="A200">
        <v>2016</v>
      </c>
      <c r="B200" s="5" t="s">
        <v>157</v>
      </c>
      <c r="C200" s="6">
        <v>3.7168857999999999E-3</v>
      </c>
      <c r="D200" s="7">
        <v>307907</v>
      </c>
    </row>
    <row r="201" spans="1:4" x14ac:dyDescent="0.2">
      <c r="A201">
        <v>2016</v>
      </c>
      <c r="B201" s="5" t="s">
        <v>213</v>
      </c>
      <c r="C201" s="6">
        <v>2.6223887E-3</v>
      </c>
      <c r="D201" s="7">
        <v>217239</v>
      </c>
    </row>
    <row r="202" spans="1:4" x14ac:dyDescent="0.2">
      <c r="A202">
        <v>2016</v>
      </c>
      <c r="B202" s="5" t="s">
        <v>158</v>
      </c>
      <c r="C202" s="6">
        <v>9.2899971000000008E-3</v>
      </c>
      <c r="D202" s="7">
        <v>769583</v>
      </c>
    </row>
    <row r="203" spans="1:4" x14ac:dyDescent="0.2">
      <c r="A203">
        <v>2016</v>
      </c>
      <c r="B203" s="5" t="s">
        <v>159</v>
      </c>
      <c r="C203" s="6">
        <v>3.8170908999999999E-3</v>
      </c>
      <c r="D203" s="7">
        <v>316208</v>
      </c>
    </row>
    <row r="204" spans="1:4" x14ac:dyDescent="0.2">
      <c r="A204">
        <v>2016</v>
      </c>
      <c r="B204" s="5" t="s">
        <v>160</v>
      </c>
      <c r="C204" s="6">
        <v>1.03154471E-2</v>
      </c>
      <c r="D204" s="7">
        <v>854531</v>
      </c>
    </row>
    <row r="205" spans="1:4" x14ac:dyDescent="0.2">
      <c r="A205">
        <v>2016</v>
      </c>
      <c r="B205" s="5" t="s">
        <v>211</v>
      </c>
      <c r="C205" s="6">
        <v>4.3506400000000001E-5</v>
      </c>
      <c r="D205" s="7">
        <v>3604</v>
      </c>
    </row>
    <row r="206" spans="1:4" x14ac:dyDescent="0.2">
      <c r="A206">
        <v>2016</v>
      </c>
      <c r="B206" s="5" t="s">
        <v>161</v>
      </c>
      <c r="C206" s="6">
        <v>2.6504901000000002E-3</v>
      </c>
      <c r="D206" s="7">
        <v>219566</v>
      </c>
    </row>
    <row r="207" spans="1:4" x14ac:dyDescent="0.2">
      <c r="A207">
        <v>2016</v>
      </c>
      <c r="B207" s="5" t="s">
        <v>162</v>
      </c>
      <c r="C207" s="6">
        <v>2.5492779999999999E-3</v>
      </c>
      <c r="D207" s="7">
        <v>211182</v>
      </c>
    </row>
    <row r="208" spans="1:4" x14ac:dyDescent="0.2">
      <c r="A208">
        <v>2016</v>
      </c>
      <c r="B208" s="5" t="s">
        <v>163</v>
      </c>
      <c r="C208" s="6">
        <v>8.2425754000000004E-2</v>
      </c>
      <c r="D208" s="7">
        <v>6828144</v>
      </c>
    </row>
    <row r="209" spans="1:4" x14ac:dyDescent="0.2">
      <c r="A209">
        <v>2016</v>
      </c>
      <c r="B209" s="5" t="s">
        <v>164</v>
      </c>
      <c r="C209" s="6">
        <v>1.0640107E-3</v>
      </c>
      <c r="D209" s="7">
        <v>88143</v>
      </c>
    </row>
    <row r="210" spans="1:4" x14ac:dyDescent="0.2">
      <c r="A210">
        <v>2016</v>
      </c>
      <c r="B210" s="5" t="s">
        <v>165</v>
      </c>
      <c r="C210" s="6">
        <v>1.643558E-3</v>
      </c>
      <c r="D210" s="7">
        <v>136152</v>
      </c>
    </row>
    <row r="211" spans="1:4" x14ac:dyDescent="0.2">
      <c r="A211">
        <v>2016</v>
      </c>
      <c r="B211" s="5" t="s">
        <v>166</v>
      </c>
      <c r="C211" s="6">
        <v>2.1607893999999999E-3</v>
      </c>
      <c r="D211" s="7">
        <v>179000</v>
      </c>
    </row>
    <row r="212" spans="1:4" x14ac:dyDescent="0.2">
      <c r="A212">
        <v>2016</v>
      </c>
      <c r="B212" s="5" t="s">
        <v>167</v>
      </c>
      <c r="C212" s="6">
        <v>2.8301733999999999E-2</v>
      </c>
      <c r="D212" s="7">
        <v>2344514</v>
      </c>
    </row>
    <row r="213" spans="1:4" x14ac:dyDescent="0.2">
      <c r="A213">
        <v>2016</v>
      </c>
      <c r="B213" s="5" t="s">
        <v>232</v>
      </c>
      <c r="C213" s="6">
        <v>5.1211631999999998E-3</v>
      </c>
      <c r="D213" s="7">
        <v>424237</v>
      </c>
    </row>
    <row r="214" spans="1:4" x14ac:dyDescent="0.2">
      <c r="A214">
        <v>2016</v>
      </c>
      <c r="B214" s="5" t="s">
        <v>168</v>
      </c>
      <c r="C214" s="6">
        <v>1.9799737000000001E-3</v>
      </c>
      <c r="D214" s="7">
        <v>164021</v>
      </c>
    </row>
    <row r="215" spans="1:4" x14ac:dyDescent="0.2">
      <c r="A215">
        <v>2016</v>
      </c>
      <c r="B215" s="5" t="s">
        <v>169</v>
      </c>
      <c r="C215" s="6">
        <v>1.0143540999999999E-3</v>
      </c>
      <c r="D215" s="7">
        <v>84029</v>
      </c>
    </row>
    <row r="216" spans="1:4" x14ac:dyDescent="0.2">
      <c r="A216">
        <v>2016</v>
      </c>
      <c r="B216" s="5" t="s">
        <v>170</v>
      </c>
      <c r="C216" s="6">
        <v>1.8593429E-3</v>
      </c>
      <c r="D216" s="7">
        <v>154028</v>
      </c>
    </row>
    <row r="217" spans="1:4" x14ac:dyDescent="0.2">
      <c r="A217">
        <v>2016</v>
      </c>
      <c r="B217" s="5" t="s">
        <v>212</v>
      </c>
      <c r="C217" s="6">
        <v>7.9703809999999995E-4</v>
      </c>
      <c r="D217" s="7">
        <v>66027</v>
      </c>
    </row>
    <row r="218" spans="1:4" x14ac:dyDescent="0.2">
      <c r="A218">
        <v>2016</v>
      </c>
      <c r="B218" s="5" t="s">
        <v>171</v>
      </c>
      <c r="C218" s="6">
        <v>2.1626430000000001E-3</v>
      </c>
      <c r="D218" s="7">
        <v>179153</v>
      </c>
    </row>
    <row r="219" spans="1:4" x14ac:dyDescent="0.2">
      <c r="A219">
        <v>2016</v>
      </c>
      <c r="B219" s="5" t="s">
        <v>172</v>
      </c>
      <c r="C219" s="6">
        <v>7.767971E-4</v>
      </c>
      <c r="D219" s="7">
        <v>64350</v>
      </c>
    </row>
    <row r="220" spans="1:4" x14ac:dyDescent="0.2">
      <c r="A220">
        <v>2016</v>
      </c>
      <c r="B220" s="5" t="s">
        <v>173</v>
      </c>
      <c r="C220" s="6">
        <v>5.7734170000000001E-4</v>
      </c>
      <c r="D220" s="7">
        <v>47827</v>
      </c>
    </row>
    <row r="221" spans="1:4" x14ac:dyDescent="0.2">
      <c r="A221">
        <v>2016</v>
      </c>
      <c r="B221" s="3" t="s">
        <v>174</v>
      </c>
      <c r="C221" s="8">
        <v>1</v>
      </c>
      <c r="D221" s="9">
        <v>82839932</v>
      </c>
    </row>
    <row r="223" spans="1:4" x14ac:dyDescent="0.2">
      <c r="D223" s="7">
        <f>SUM(D2:D220)</f>
        <v>82839931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42FE-CA80-5F48-8580-7491BCE39EB3}">
  <sheetPr>
    <tabColor rgb="FFFFFF00"/>
  </sheetPr>
  <dimension ref="A1:D224"/>
  <sheetViews>
    <sheetView workbookViewId="0">
      <selection activeCell="A2" sqref="A2:D221"/>
    </sheetView>
  </sheetViews>
  <sheetFormatPr baseColWidth="10" defaultRowHeight="16" x14ac:dyDescent="0.2"/>
  <cols>
    <col min="2" max="2" width="35.1640625" style="5" bestFit="1" customWidth="1"/>
    <col min="3" max="3" width="11" style="5" bestFit="1" customWidth="1"/>
    <col min="4" max="4" width="27.5" style="5" bestFit="1" customWidth="1"/>
  </cols>
  <sheetData>
    <row r="1" spans="1:4" x14ac:dyDescent="0.2">
      <c r="A1" t="s">
        <v>227</v>
      </c>
      <c r="B1" s="3" t="s">
        <v>53</v>
      </c>
      <c r="C1" s="3" t="s">
        <v>54</v>
      </c>
      <c r="D1" s="3" t="s">
        <v>55</v>
      </c>
    </row>
    <row r="2" spans="1:4" x14ac:dyDescent="0.2">
      <c r="A2">
        <v>2017</v>
      </c>
      <c r="B2" s="5" t="s">
        <v>57</v>
      </c>
      <c r="C2" s="6">
        <v>1.7806399E-3</v>
      </c>
      <c r="D2" s="7">
        <v>153240</v>
      </c>
    </row>
    <row r="3" spans="1:4" x14ac:dyDescent="0.2">
      <c r="A3">
        <v>2017</v>
      </c>
      <c r="B3" s="5" t="s">
        <v>58</v>
      </c>
      <c r="C3" s="6">
        <v>1.1321014000000001E-3</v>
      </c>
      <c r="D3" s="7">
        <v>97427</v>
      </c>
    </row>
    <row r="4" spans="1:4" x14ac:dyDescent="0.2">
      <c r="A4">
        <v>2017</v>
      </c>
      <c r="B4" s="5" t="s">
        <v>59</v>
      </c>
      <c r="C4" s="6">
        <v>5.1517640000000003E-4</v>
      </c>
      <c r="D4" s="7">
        <v>44335</v>
      </c>
    </row>
    <row r="5" spans="1:4" x14ac:dyDescent="0.2">
      <c r="A5">
        <v>2017</v>
      </c>
      <c r="B5" s="5" t="s">
        <v>60</v>
      </c>
      <c r="C5" s="6">
        <v>1.4063328E-3</v>
      </c>
      <c r="D5" s="7">
        <v>121027</v>
      </c>
    </row>
    <row r="6" spans="1:4" x14ac:dyDescent="0.2">
      <c r="A6">
        <v>2017</v>
      </c>
      <c r="B6" s="5" t="s">
        <v>61</v>
      </c>
      <c r="C6" s="6">
        <v>5.6298699999999997E-5</v>
      </c>
      <c r="D6" s="7">
        <v>4845</v>
      </c>
    </row>
    <row r="7" spans="1:4" x14ac:dyDescent="0.2">
      <c r="A7">
        <v>2017</v>
      </c>
      <c r="B7" s="5" t="s">
        <v>62</v>
      </c>
      <c r="C7" s="6">
        <v>2.4012753000000001E-3</v>
      </c>
      <c r="D7" s="7">
        <v>206651</v>
      </c>
    </row>
    <row r="8" spans="1:4" x14ac:dyDescent="0.2">
      <c r="A8">
        <v>2017</v>
      </c>
      <c r="B8" s="5" t="s">
        <v>63</v>
      </c>
      <c r="C8" s="6">
        <v>3.0984007000000001E-3</v>
      </c>
      <c r="D8" s="7">
        <v>266645</v>
      </c>
    </row>
    <row r="9" spans="1:4" x14ac:dyDescent="0.2">
      <c r="A9">
        <v>2017</v>
      </c>
      <c r="B9" s="5" t="s">
        <v>187</v>
      </c>
      <c r="C9" s="6">
        <v>1.2474896500000001E-2</v>
      </c>
      <c r="D9" s="7">
        <v>1073575</v>
      </c>
    </row>
    <row r="10" spans="1:4" x14ac:dyDescent="0.2">
      <c r="A10">
        <v>2017</v>
      </c>
      <c r="B10" s="5" t="s">
        <v>64</v>
      </c>
      <c r="C10" s="6">
        <v>2.2096375000000001E-3</v>
      </c>
      <c r="D10" s="7">
        <v>190159</v>
      </c>
    </row>
    <row r="11" spans="1:4" x14ac:dyDescent="0.2">
      <c r="A11">
        <v>2017</v>
      </c>
      <c r="B11" s="5" t="s">
        <v>65</v>
      </c>
      <c r="C11" s="6">
        <v>5.0863139000000002E-3</v>
      </c>
      <c r="D11" s="7">
        <v>437722</v>
      </c>
    </row>
    <row r="12" spans="1:4" x14ac:dyDescent="0.2">
      <c r="A12">
        <v>2017</v>
      </c>
      <c r="B12" s="5" t="s">
        <v>66</v>
      </c>
      <c r="C12" s="6">
        <v>1.2333775999999999E-3</v>
      </c>
      <c r="D12" s="7">
        <v>106143</v>
      </c>
    </row>
    <row r="13" spans="1:4" x14ac:dyDescent="0.2">
      <c r="A13">
        <v>2017</v>
      </c>
      <c r="B13" s="5" t="s">
        <v>188</v>
      </c>
      <c r="C13" s="6">
        <v>0.1079080425</v>
      </c>
      <c r="D13" s="7">
        <v>9286444</v>
      </c>
    </row>
    <row r="14" spans="1:4" x14ac:dyDescent="0.2">
      <c r="A14">
        <v>2017</v>
      </c>
      <c r="B14" s="5" t="s">
        <v>67</v>
      </c>
      <c r="C14" s="6">
        <v>0</v>
      </c>
    </row>
    <row r="15" spans="1:4" x14ac:dyDescent="0.2">
      <c r="A15">
        <v>2017</v>
      </c>
      <c r="B15" s="5" t="s">
        <v>68</v>
      </c>
      <c r="C15" s="6">
        <v>0</v>
      </c>
    </row>
    <row r="16" spans="1:4" x14ac:dyDescent="0.2">
      <c r="A16">
        <v>2017</v>
      </c>
      <c r="B16" s="5" t="s">
        <v>69</v>
      </c>
      <c r="C16" s="6">
        <v>5.3898061999999997E-3</v>
      </c>
      <c r="D16" s="7">
        <v>463841</v>
      </c>
    </row>
    <row r="17" spans="1:4" x14ac:dyDescent="0.2">
      <c r="A17">
        <v>2017</v>
      </c>
      <c r="B17" s="5" t="s">
        <v>192</v>
      </c>
      <c r="C17" s="6">
        <v>9.296183E-4</v>
      </c>
      <c r="D17" s="7">
        <v>80002</v>
      </c>
    </row>
    <row r="18" spans="1:4" x14ac:dyDescent="0.2">
      <c r="A18">
        <v>2017</v>
      </c>
      <c r="B18" s="5" t="s">
        <v>70</v>
      </c>
      <c r="C18" s="6">
        <v>4.2070099000000001E-3</v>
      </c>
      <c r="D18" s="7">
        <v>362051</v>
      </c>
    </row>
    <row r="19" spans="1:4" x14ac:dyDescent="0.2">
      <c r="A19">
        <v>2017</v>
      </c>
      <c r="B19" s="5" t="s">
        <v>71</v>
      </c>
      <c r="C19" s="6">
        <v>1.3875068E-3</v>
      </c>
      <c r="D19" s="7">
        <v>119407</v>
      </c>
    </row>
    <row r="20" spans="1:4" x14ac:dyDescent="0.2">
      <c r="A20">
        <v>2017</v>
      </c>
      <c r="B20" s="5" t="s">
        <v>72</v>
      </c>
      <c r="C20" s="6">
        <v>1.4178030000000001E-4</v>
      </c>
      <c r="D20" s="7">
        <v>12201</v>
      </c>
    </row>
    <row r="21" spans="1:4" x14ac:dyDescent="0.2">
      <c r="A21">
        <v>2017</v>
      </c>
      <c r="B21" s="5" t="s">
        <v>190</v>
      </c>
      <c r="C21" s="6">
        <v>4.2749362000000001E-3</v>
      </c>
      <c r="D21" s="7">
        <v>367896</v>
      </c>
    </row>
    <row r="22" spans="1:4" x14ac:dyDescent="0.2">
      <c r="A22">
        <v>2017</v>
      </c>
      <c r="B22" s="5" t="s">
        <v>73</v>
      </c>
      <c r="C22" s="6">
        <v>3.3393501000000001E-3</v>
      </c>
      <c r="D22" s="7">
        <v>287381</v>
      </c>
    </row>
    <row r="23" spans="1:4" x14ac:dyDescent="0.2">
      <c r="A23">
        <v>2017</v>
      </c>
      <c r="B23" s="5" t="s">
        <v>74</v>
      </c>
      <c r="C23" s="6">
        <v>2.2226779E-3</v>
      </c>
      <c r="D23" s="7">
        <v>191281</v>
      </c>
    </row>
    <row r="24" spans="1:4" x14ac:dyDescent="0.2">
      <c r="A24">
        <v>2017</v>
      </c>
      <c r="B24" s="5" t="s">
        <v>75</v>
      </c>
      <c r="C24" s="6">
        <v>5.3879721999999996E-3</v>
      </c>
      <c r="D24" s="7">
        <v>463683</v>
      </c>
    </row>
    <row r="25" spans="1:4" x14ac:dyDescent="0.2">
      <c r="A25">
        <v>2017</v>
      </c>
      <c r="B25" s="5" t="s">
        <v>191</v>
      </c>
      <c r="C25" s="6">
        <v>9.1165699999999994E-5</v>
      </c>
      <c r="D25" s="7">
        <v>7846</v>
      </c>
    </row>
    <row r="26" spans="1:4" x14ac:dyDescent="0.2">
      <c r="A26">
        <v>2017</v>
      </c>
      <c r="B26" s="5" t="s">
        <v>76</v>
      </c>
      <c r="C26" s="6">
        <v>1.8835582999999999E-3</v>
      </c>
      <c r="D26" s="7">
        <v>162097</v>
      </c>
    </row>
    <row r="27" spans="1:4" x14ac:dyDescent="0.2">
      <c r="A27">
        <v>2017</v>
      </c>
      <c r="B27" s="5" t="s">
        <v>77</v>
      </c>
      <c r="C27" s="6">
        <v>2.7978616999999998E-3</v>
      </c>
      <c r="D27" s="7">
        <v>240781</v>
      </c>
    </row>
    <row r="28" spans="1:4" x14ac:dyDescent="0.2">
      <c r="A28">
        <v>2017</v>
      </c>
      <c r="B28" s="5" t="s">
        <v>78</v>
      </c>
      <c r="C28" s="6">
        <v>1.54383974E-2</v>
      </c>
      <c r="D28" s="7">
        <v>1328611</v>
      </c>
    </row>
    <row r="29" spans="1:4" x14ac:dyDescent="0.2">
      <c r="A29">
        <v>2017</v>
      </c>
      <c r="B29" s="5" t="s">
        <v>193</v>
      </c>
      <c r="C29" s="6">
        <v>2.8618159099999999E-2</v>
      </c>
      <c r="D29" s="7">
        <v>2462846</v>
      </c>
    </row>
    <row r="30" spans="1:4" x14ac:dyDescent="0.2">
      <c r="A30">
        <v>2017</v>
      </c>
      <c r="B30" s="5" t="s">
        <v>79</v>
      </c>
      <c r="C30" s="6">
        <v>3.6843993999999998E-3</v>
      </c>
      <c r="D30" s="7">
        <v>317075</v>
      </c>
    </row>
    <row r="31" spans="1:4" x14ac:dyDescent="0.2">
      <c r="A31">
        <v>2017</v>
      </c>
      <c r="B31" s="5" t="s">
        <v>80</v>
      </c>
      <c r="C31" s="6">
        <v>6.6865079999999996E-4</v>
      </c>
      <c r="D31" s="7">
        <v>57543</v>
      </c>
    </row>
    <row r="32" spans="1:4" x14ac:dyDescent="0.2">
      <c r="A32">
        <v>2017</v>
      </c>
      <c r="B32" s="5" t="s">
        <v>81</v>
      </c>
      <c r="C32" s="6">
        <v>2.0428276999999999E-3</v>
      </c>
      <c r="D32" s="7">
        <v>175803</v>
      </c>
    </row>
    <row r="33" spans="1:4" x14ac:dyDescent="0.2">
      <c r="A33">
        <v>2017</v>
      </c>
      <c r="B33" s="5" t="s">
        <v>194</v>
      </c>
      <c r="C33" s="6">
        <v>4.7419827999999999E-3</v>
      </c>
      <c r="D33" s="7">
        <v>408090</v>
      </c>
    </row>
    <row r="34" spans="1:4" x14ac:dyDescent="0.2">
      <c r="A34">
        <v>2017</v>
      </c>
      <c r="B34" s="5" t="s">
        <v>82</v>
      </c>
      <c r="C34" s="6">
        <v>1.1849291E-3</v>
      </c>
      <c r="D34" s="7">
        <v>101974</v>
      </c>
    </row>
    <row r="35" spans="1:4" x14ac:dyDescent="0.2">
      <c r="A35">
        <v>2017</v>
      </c>
      <c r="B35" s="5" t="s">
        <v>83</v>
      </c>
      <c r="C35" s="6">
        <v>4.7261300000000001E-5</v>
      </c>
      <c r="D35" s="7">
        <v>4067</v>
      </c>
    </row>
    <row r="36" spans="1:4" x14ac:dyDescent="0.2">
      <c r="A36">
        <v>2017</v>
      </c>
      <c r="B36" s="5" t="s">
        <v>84</v>
      </c>
      <c r="C36" s="6">
        <v>1.9442995E-3</v>
      </c>
      <c r="D36" s="7">
        <v>167324</v>
      </c>
    </row>
    <row r="37" spans="1:4" x14ac:dyDescent="0.2">
      <c r="A37">
        <v>2017</v>
      </c>
      <c r="B37" s="5" t="s">
        <v>196</v>
      </c>
      <c r="C37" s="6">
        <v>1.0408017000000001E-3</v>
      </c>
      <c r="D37" s="7">
        <v>89570</v>
      </c>
    </row>
    <row r="38" spans="1:4" x14ac:dyDescent="0.2">
      <c r="A38">
        <v>2017</v>
      </c>
      <c r="B38" s="5" t="s">
        <v>85</v>
      </c>
      <c r="C38" s="6">
        <v>2.2749741E-3</v>
      </c>
      <c r="D38" s="7">
        <v>195782</v>
      </c>
    </row>
    <row r="39" spans="1:4" x14ac:dyDescent="0.2">
      <c r="A39">
        <v>2017</v>
      </c>
      <c r="B39" s="5" t="s">
        <v>86</v>
      </c>
      <c r="C39" s="6">
        <v>1.7669820000000001E-3</v>
      </c>
      <c r="D39" s="7">
        <v>152064</v>
      </c>
    </row>
    <row r="40" spans="1:4" x14ac:dyDescent="0.2">
      <c r="A40">
        <v>2017</v>
      </c>
      <c r="B40" s="5" t="s">
        <v>87</v>
      </c>
      <c r="C40" s="6">
        <v>2.5362188000000001E-3</v>
      </c>
      <c r="D40" s="7">
        <v>218264</v>
      </c>
    </row>
    <row r="41" spans="1:4" x14ac:dyDescent="0.2">
      <c r="A41">
        <v>2017</v>
      </c>
      <c r="B41" s="5" t="s">
        <v>195</v>
      </c>
      <c r="C41" s="6">
        <v>8.9403449999999999E-4</v>
      </c>
      <c r="D41" s="7">
        <v>76940</v>
      </c>
    </row>
    <row r="42" spans="1:4" x14ac:dyDescent="0.2">
      <c r="A42">
        <v>2017</v>
      </c>
      <c r="B42" s="5" t="s">
        <v>88</v>
      </c>
      <c r="C42" s="6">
        <v>3.1327299000000002E-3</v>
      </c>
      <c r="D42" s="7">
        <v>269599</v>
      </c>
    </row>
    <row r="43" spans="1:4" x14ac:dyDescent="0.2">
      <c r="A43">
        <v>2017</v>
      </c>
      <c r="B43" s="5" t="s">
        <v>89</v>
      </c>
      <c r="C43" s="6">
        <v>1.4915753999999999E-3</v>
      </c>
      <c r="D43" s="7">
        <v>128363</v>
      </c>
    </row>
    <row r="44" spans="1:4" x14ac:dyDescent="0.2">
      <c r="A44">
        <v>2017</v>
      </c>
      <c r="B44" s="5" t="s">
        <v>90</v>
      </c>
      <c r="C44" s="6">
        <v>0.1041096235</v>
      </c>
      <c r="D44" s="7">
        <v>8959556</v>
      </c>
    </row>
    <row r="45" spans="1:4" x14ac:dyDescent="0.2">
      <c r="A45">
        <v>2017</v>
      </c>
      <c r="B45" s="5" t="s">
        <v>218</v>
      </c>
      <c r="C45" s="6">
        <v>1.5993316E-3</v>
      </c>
      <c r="D45" s="7">
        <v>137637</v>
      </c>
    </row>
    <row r="46" spans="1:4" x14ac:dyDescent="0.2">
      <c r="A46">
        <v>2017</v>
      </c>
      <c r="B46" s="5" t="s">
        <v>91</v>
      </c>
      <c r="C46" s="6">
        <v>1.4850105000000001E-3</v>
      </c>
      <c r="D46" s="7">
        <v>127798</v>
      </c>
    </row>
    <row r="47" spans="1:4" x14ac:dyDescent="0.2">
      <c r="A47">
        <v>2017</v>
      </c>
      <c r="B47" s="5" t="s">
        <v>92</v>
      </c>
      <c r="C47" s="6">
        <v>1.7332245E-3</v>
      </c>
      <c r="D47" s="7">
        <v>149159</v>
      </c>
    </row>
    <row r="48" spans="1:4" x14ac:dyDescent="0.2">
      <c r="A48">
        <v>2017</v>
      </c>
      <c r="B48" s="5" t="s">
        <v>93</v>
      </c>
      <c r="C48" s="6">
        <v>8.7552300000000001E-4</v>
      </c>
      <c r="D48" s="7">
        <v>75347</v>
      </c>
    </row>
    <row r="49" spans="1:4" x14ac:dyDescent="0.2">
      <c r="A49">
        <v>2017</v>
      </c>
      <c r="B49" s="5" t="s">
        <v>197</v>
      </c>
      <c r="C49" s="6">
        <v>2.438796E-4</v>
      </c>
      <c r="D49" s="7">
        <v>20988</v>
      </c>
    </row>
    <row r="50" spans="1:4" x14ac:dyDescent="0.2">
      <c r="A50">
        <v>2017</v>
      </c>
      <c r="B50" s="5" t="s">
        <v>94</v>
      </c>
      <c r="C50" s="6">
        <v>2.3045523000000002E-3</v>
      </c>
      <c r="D50" s="7">
        <v>198327</v>
      </c>
    </row>
    <row r="51" spans="1:4" x14ac:dyDescent="0.2">
      <c r="A51">
        <v>2017</v>
      </c>
      <c r="B51" s="5" t="s">
        <v>95</v>
      </c>
      <c r="C51" s="6">
        <v>1.9610792999999998E-3</v>
      </c>
      <c r="D51" s="7">
        <v>168768</v>
      </c>
    </row>
    <row r="52" spans="1:4" x14ac:dyDescent="0.2">
      <c r="A52">
        <v>2017</v>
      </c>
      <c r="B52" s="5" t="s">
        <v>96</v>
      </c>
      <c r="C52" s="6">
        <v>1.1764957999999999E-3</v>
      </c>
      <c r="D52" s="7">
        <v>101248</v>
      </c>
    </row>
    <row r="53" spans="1:4" x14ac:dyDescent="0.2">
      <c r="A53">
        <v>2017</v>
      </c>
      <c r="B53" s="5" t="s">
        <v>198</v>
      </c>
      <c r="C53" s="6">
        <v>3.4657999999999998E-3</v>
      </c>
      <c r="D53" s="7">
        <v>298263</v>
      </c>
    </row>
    <row r="54" spans="1:4" x14ac:dyDescent="0.2">
      <c r="A54">
        <v>2017</v>
      </c>
      <c r="B54" s="5" t="s">
        <v>97</v>
      </c>
      <c r="C54" s="6">
        <v>1.7579405999999999E-3</v>
      </c>
      <c r="D54" s="7">
        <v>151286</v>
      </c>
    </row>
    <row r="55" spans="1:4" x14ac:dyDescent="0.2">
      <c r="A55">
        <v>2017</v>
      </c>
      <c r="B55" s="5" t="s">
        <v>98</v>
      </c>
      <c r="C55" s="6">
        <v>2.7729355E-3</v>
      </c>
      <c r="D55" s="7">
        <v>238636</v>
      </c>
    </row>
    <row r="56" spans="1:4" x14ac:dyDescent="0.2">
      <c r="A56">
        <v>2017</v>
      </c>
      <c r="B56" s="5" t="s">
        <v>99</v>
      </c>
      <c r="C56" s="6">
        <v>4.2792760000000003E-4</v>
      </c>
      <c r="D56" s="7">
        <v>36827</v>
      </c>
    </row>
    <row r="57" spans="1:4" x14ac:dyDescent="0.2">
      <c r="A57">
        <v>2017</v>
      </c>
      <c r="B57" s="5" t="s">
        <v>217</v>
      </c>
      <c r="C57" s="6">
        <v>6.6644086000000003E-3</v>
      </c>
      <c r="D57" s="7">
        <v>573531</v>
      </c>
    </row>
    <row r="58" spans="1:4" x14ac:dyDescent="0.2">
      <c r="A58">
        <v>2017</v>
      </c>
      <c r="B58" s="5" t="s">
        <v>100</v>
      </c>
      <c r="C58" s="6">
        <v>7.0599805799999998E-2</v>
      </c>
      <c r="D58" s="7">
        <v>6075739</v>
      </c>
    </row>
    <row r="59" spans="1:4" x14ac:dyDescent="0.2">
      <c r="A59">
        <v>2017</v>
      </c>
      <c r="B59" s="5" t="s">
        <v>101</v>
      </c>
      <c r="C59" s="6">
        <v>2.0455390000000001E-4</v>
      </c>
      <c r="D59" s="7">
        <v>17604</v>
      </c>
    </row>
    <row r="60" spans="1:4" x14ac:dyDescent="0.2">
      <c r="A60">
        <v>2017</v>
      </c>
      <c r="B60" s="5" t="s">
        <v>102</v>
      </c>
      <c r="C60" s="6">
        <v>1.7287041E-3</v>
      </c>
      <c r="D60" s="7">
        <v>148770</v>
      </c>
    </row>
    <row r="61" spans="1:4" x14ac:dyDescent="0.2">
      <c r="A61">
        <v>2017</v>
      </c>
      <c r="B61" s="5" t="s">
        <v>199</v>
      </c>
      <c r="C61" s="6">
        <v>2.4537163E-3</v>
      </c>
      <c r="D61" s="7">
        <v>211164</v>
      </c>
    </row>
    <row r="62" spans="1:4" x14ac:dyDescent="0.2">
      <c r="A62">
        <v>2017</v>
      </c>
      <c r="B62" s="5" t="s">
        <v>103</v>
      </c>
      <c r="C62" s="6">
        <v>2.5101030000000001E-3</v>
      </c>
      <c r="D62" s="7">
        <v>216017</v>
      </c>
    </row>
    <row r="63" spans="1:4" x14ac:dyDescent="0.2">
      <c r="A63">
        <v>2017</v>
      </c>
      <c r="B63" s="5" t="s">
        <v>104</v>
      </c>
      <c r="C63" s="6">
        <v>5.830853E-4</v>
      </c>
      <c r="D63" s="7">
        <v>50180</v>
      </c>
    </row>
    <row r="64" spans="1:4" x14ac:dyDescent="0.2">
      <c r="A64">
        <v>2017</v>
      </c>
      <c r="B64" s="5" t="s">
        <v>105</v>
      </c>
      <c r="C64" s="6">
        <v>2.1833944000000001E-3</v>
      </c>
      <c r="D64" s="7">
        <v>187900</v>
      </c>
    </row>
    <row r="65" spans="1:4" x14ac:dyDescent="0.2">
      <c r="A65">
        <v>2017</v>
      </c>
      <c r="B65" s="5" t="s">
        <v>202</v>
      </c>
      <c r="C65" s="6">
        <v>3.4707023000000001E-3</v>
      </c>
      <c r="D65" s="7">
        <v>298685</v>
      </c>
    </row>
    <row r="66" spans="1:4" x14ac:dyDescent="0.2">
      <c r="A66">
        <v>2017</v>
      </c>
      <c r="B66" s="5" t="s">
        <v>106</v>
      </c>
      <c r="C66" s="6">
        <v>1.7132285E-3</v>
      </c>
      <c r="D66" s="7">
        <v>147439</v>
      </c>
    </row>
    <row r="67" spans="1:4" x14ac:dyDescent="0.2">
      <c r="A67">
        <v>2017</v>
      </c>
      <c r="B67" s="5" t="s">
        <v>107</v>
      </c>
      <c r="C67" s="6">
        <v>1.2757313000000001E-3</v>
      </c>
      <c r="D67" s="7">
        <v>109788</v>
      </c>
    </row>
    <row r="68" spans="1:4" x14ac:dyDescent="0.2">
      <c r="A68">
        <v>2017</v>
      </c>
      <c r="B68" s="5" t="s">
        <v>108</v>
      </c>
      <c r="C68" s="6">
        <v>4.3287743999999998E-3</v>
      </c>
      <c r="D68" s="7">
        <v>372529</v>
      </c>
    </row>
    <row r="69" spans="1:4" x14ac:dyDescent="0.2">
      <c r="A69">
        <v>2017</v>
      </c>
      <c r="B69" s="5" t="s">
        <v>200</v>
      </c>
      <c r="C69" s="6">
        <v>1.7961833999999999E-3</v>
      </c>
      <c r="D69" s="7">
        <v>154578</v>
      </c>
    </row>
    <row r="70" spans="1:4" x14ac:dyDescent="0.2">
      <c r="A70">
        <v>2017</v>
      </c>
      <c r="B70" s="5" t="s">
        <v>0</v>
      </c>
      <c r="C70" s="6">
        <v>2.0900928999999999E-3</v>
      </c>
      <c r="D70" s="7">
        <v>179871</v>
      </c>
    </row>
    <row r="71" spans="1:4" x14ac:dyDescent="0.2">
      <c r="A71">
        <v>2017</v>
      </c>
      <c r="B71" s="5" t="s">
        <v>2</v>
      </c>
      <c r="C71" s="6">
        <v>3.8280913000000001E-3</v>
      </c>
      <c r="D71" s="7">
        <v>329441</v>
      </c>
    </row>
    <row r="72" spans="1:4" x14ac:dyDescent="0.2">
      <c r="A72">
        <v>2017</v>
      </c>
      <c r="B72" s="5" t="s">
        <v>3</v>
      </c>
      <c r="C72" s="6">
        <v>9.3037459999999997E-4</v>
      </c>
      <c r="D72" s="7">
        <v>80067</v>
      </c>
    </row>
    <row r="73" spans="1:4" x14ac:dyDescent="0.2">
      <c r="A73">
        <v>2017</v>
      </c>
      <c r="B73" s="5" t="s">
        <v>4</v>
      </c>
      <c r="C73" s="6">
        <v>9.8078299999999999E-5</v>
      </c>
      <c r="D73" s="7">
        <v>8441</v>
      </c>
    </row>
    <row r="74" spans="1:4" x14ac:dyDescent="0.2">
      <c r="A74">
        <v>2017</v>
      </c>
      <c r="B74" s="5" t="s">
        <v>5</v>
      </c>
      <c r="C74" s="6">
        <v>2.1295938999999998E-3</v>
      </c>
      <c r="D74" s="7">
        <v>183270</v>
      </c>
    </row>
    <row r="75" spans="1:4" x14ac:dyDescent="0.2">
      <c r="A75">
        <v>2017</v>
      </c>
      <c r="B75" s="5" t="s">
        <v>6</v>
      </c>
      <c r="C75" s="6">
        <v>1.9965987800000001E-2</v>
      </c>
      <c r="D75" s="7">
        <v>1718250</v>
      </c>
    </row>
    <row r="76" spans="1:4" x14ac:dyDescent="0.2">
      <c r="A76">
        <v>2017</v>
      </c>
      <c r="B76" s="5" t="s">
        <v>7</v>
      </c>
      <c r="C76" s="6">
        <v>2.6952870999999998E-3</v>
      </c>
      <c r="D76" s="7">
        <v>231953</v>
      </c>
    </row>
    <row r="77" spans="1:4" x14ac:dyDescent="0.2">
      <c r="A77">
        <v>2017</v>
      </c>
      <c r="B77" s="5" t="s">
        <v>226</v>
      </c>
      <c r="C77" s="6">
        <v>4.300719E-4</v>
      </c>
      <c r="D77" s="7">
        <v>37012</v>
      </c>
    </row>
    <row r="78" spans="1:4" x14ac:dyDescent="0.2">
      <c r="A78">
        <v>2017</v>
      </c>
      <c r="B78" s="5" t="s">
        <v>8</v>
      </c>
      <c r="C78" s="6">
        <v>3.0799522E-3</v>
      </c>
      <c r="D78" s="7">
        <v>265057</v>
      </c>
    </row>
    <row r="79" spans="1:4" x14ac:dyDescent="0.2">
      <c r="A79">
        <v>2017</v>
      </c>
      <c r="B79" s="5" t="s">
        <v>9</v>
      </c>
      <c r="C79" s="6">
        <v>4.0455446000000001E-3</v>
      </c>
      <c r="D79" s="7">
        <v>348155</v>
      </c>
    </row>
    <row r="80" spans="1:4" x14ac:dyDescent="0.2">
      <c r="A80">
        <v>2017</v>
      </c>
      <c r="B80" s="5" t="s">
        <v>10</v>
      </c>
      <c r="C80" s="6">
        <v>4.8606316999999996E-3</v>
      </c>
      <c r="D80" s="7">
        <v>418300</v>
      </c>
    </row>
    <row r="81" spans="1:4" x14ac:dyDescent="0.2">
      <c r="A81">
        <v>2017</v>
      </c>
      <c r="B81" s="5" t="s">
        <v>225</v>
      </c>
      <c r="C81" s="6">
        <v>1.4888030999999999E-3</v>
      </c>
      <c r="D81" s="7">
        <v>128125</v>
      </c>
    </row>
    <row r="82" spans="1:4" x14ac:dyDescent="0.2">
      <c r="A82">
        <v>2017</v>
      </c>
      <c r="B82" s="5" t="s">
        <v>11</v>
      </c>
      <c r="C82" s="6">
        <v>2.5520198999999999E-3</v>
      </c>
      <c r="D82" s="7">
        <v>219624</v>
      </c>
    </row>
    <row r="83" spans="1:4" x14ac:dyDescent="0.2">
      <c r="A83">
        <v>2017</v>
      </c>
      <c r="B83" s="5" t="s">
        <v>12</v>
      </c>
      <c r="C83" s="6">
        <v>1.7572652999999999E-3</v>
      </c>
      <c r="D83" s="7">
        <v>151228</v>
      </c>
    </row>
    <row r="84" spans="1:4" x14ac:dyDescent="0.2">
      <c r="A84">
        <v>2017</v>
      </c>
      <c r="B84" s="5" t="s">
        <v>13</v>
      </c>
      <c r="C84" s="6">
        <v>2.325536E-3</v>
      </c>
      <c r="D84" s="7">
        <v>200133</v>
      </c>
    </row>
    <row r="85" spans="1:4" x14ac:dyDescent="0.2">
      <c r="A85">
        <v>2017</v>
      </c>
      <c r="B85" s="5" t="s">
        <v>183</v>
      </c>
      <c r="C85" s="6">
        <v>3.3802341999999998E-3</v>
      </c>
      <c r="D85" s="7">
        <v>290899</v>
      </c>
    </row>
    <row r="86" spans="1:4" x14ac:dyDescent="0.2">
      <c r="A86">
        <v>2017</v>
      </c>
      <c r="B86" s="5" t="s">
        <v>14</v>
      </c>
      <c r="C86" s="6">
        <v>3.1946589999999999E-3</v>
      </c>
      <c r="D86" s="7">
        <v>274929</v>
      </c>
    </row>
    <row r="87" spans="1:4" x14ac:dyDescent="0.2">
      <c r="A87">
        <v>2017</v>
      </c>
      <c r="B87" s="5" t="s">
        <v>15</v>
      </c>
      <c r="C87" s="6">
        <v>1.5988182E-3</v>
      </c>
      <c r="D87" s="7">
        <v>137592</v>
      </c>
    </row>
    <row r="88" spans="1:4" x14ac:dyDescent="0.2">
      <c r="A88">
        <v>2017</v>
      </c>
      <c r="B88" s="5" t="s">
        <v>16</v>
      </c>
      <c r="C88" s="6">
        <v>4.1009580999999996E-3</v>
      </c>
      <c r="D88" s="7">
        <v>352924</v>
      </c>
    </row>
    <row r="89" spans="1:4" x14ac:dyDescent="0.2">
      <c r="A89">
        <v>2017</v>
      </c>
      <c r="B89" s="5" t="s">
        <v>224</v>
      </c>
      <c r="C89" s="6">
        <v>1.7810005E-3</v>
      </c>
      <c r="D89" s="7">
        <v>153271</v>
      </c>
    </row>
    <row r="90" spans="1:4" x14ac:dyDescent="0.2">
      <c r="A90">
        <v>2017</v>
      </c>
      <c r="B90" s="5" t="s">
        <v>17</v>
      </c>
      <c r="C90" s="6">
        <v>2.4166663000000001E-3</v>
      </c>
      <c r="D90" s="7">
        <v>207976</v>
      </c>
    </row>
    <row r="91" spans="1:4" x14ac:dyDescent="0.2">
      <c r="A91">
        <v>2017</v>
      </c>
      <c r="B91" s="5" t="s">
        <v>18</v>
      </c>
      <c r="C91" s="6">
        <v>5.2121244000000004E-3</v>
      </c>
      <c r="D91" s="7">
        <v>448550</v>
      </c>
    </row>
    <row r="92" spans="1:4" x14ac:dyDescent="0.2">
      <c r="A92">
        <v>2017</v>
      </c>
      <c r="B92" s="5" t="s">
        <v>19</v>
      </c>
      <c r="C92" s="6">
        <v>1.3143247E-3</v>
      </c>
      <c r="D92" s="7">
        <v>113109</v>
      </c>
    </row>
    <row r="93" spans="1:4" x14ac:dyDescent="0.2">
      <c r="A93">
        <v>2017</v>
      </c>
      <c r="B93" s="5" t="s">
        <v>223</v>
      </c>
      <c r="C93" s="6">
        <v>1.807484E-4</v>
      </c>
      <c r="D93" s="7">
        <v>15555</v>
      </c>
    </row>
    <row r="94" spans="1:4" x14ac:dyDescent="0.2">
      <c r="A94">
        <v>2017</v>
      </c>
      <c r="B94" s="5" t="s">
        <v>20</v>
      </c>
      <c r="C94" s="6">
        <v>6.0436E-6</v>
      </c>
      <c r="D94" s="5">
        <v>520</v>
      </c>
    </row>
    <row r="95" spans="1:4" x14ac:dyDescent="0.2">
      <c r="A95">
        <v>2017</v>
      </c>
      <c r="B95" s="5" t="s">
        <v>21</v>
      </c>
      <c r="C95" s="6">
        <v>3.382781E-4</v>
      </c>
      <c r="D95" s="7">
        <v>29112</v>
      </c>
    </row>
    <row r="96" spans="1:4" x14ac:dyDescent="0.2">
      <c r="A96">
        <v>2017</v>
      </c>
      <c r="B96" s="5" t="s">
        <v>22</v>
      </c>
      <c r="C96" s="6">
        <v>2.3728439999999999E-4</v>
      </c>
      <c r="D96" s="7">
        <v>20420</v>
      </c>
    </row>
    <row r="97" spans="1:4" x14ac:dyDescent="0.2">
      <c r="A97">
        <v>2017</v>
      </c>
      <c r="B97" s="5" t="s">
        <v>222</v>
      </c>
      <c r="C97" s="6">
        <v>1.4277037E-3</v>
      </c>
      <c r="D97" s="7">
        <v>122867</v>
      </c>
    </row>
    <row r="98" spans="1:4" x14ac:dyDescent="0.2">
      <c r="A98">
        <v>2017</v>
      </c>
      <c r="B98" s="5" t="s">
        <v>23</v>
      </c>
      <c r="C98" s="6">
        <v>2.9832718599999999E-2</v>
      </c>
      <c r="D98" s="7">
        <v>2567370</v>
      </c>
    </row>
    <row r="99" spans="1:4" x14ac:dyDescent="0.2">
      <c r="A99">
        <v>2017</v>
      </c>
      <c r="B99" s="5" t="s">
        <v>24</v>
      </c>
      <c r="C99" s="6">
        <v>2.1832065000000002E-3</v>
      </c>
      <c r="D99" s="7">
        <v>187884</v>
      </c>
    </row>
    <row r="100" spans="1:4" x14ac:dyDescent="0.2">
      <c r="A100">
        <v>2017</v>
      </c>
      <c r="B100" s="5" t="s">
        <v>25</v>
      </c>
      <c r="C100" s="6">
        <v>1.4510449999999999E-4</v>
      </c>
      <c r="D100" s="7">
        <v>12488</v>
      </c>
    </row>
    <row r="101" spans="1:4" x14ac:dyDescent="0.2">
      <c r="A101">
        <v>2017</v>
      </c>
      <c r="B101" s="5" t="s">
        <v>228</v>
      </c>
      <c r="C101" s="6">
        <v>1.2489307999999999E-3</v>
      </c>
      <c r="D101" s="7">
        <v>107482</v>
      </c>
    </row>
    <row r="102" spans="1:4" x14ac:dyDescent="0.2">
      <c r="A102">
        <v>2017</v>
      </c>
      <c r="B102" s="5" t="s">
        <v>26</v>
      </c>
      <c r="C102" s="6">
        <v>2.4760009999999998E-3</v>
      </c>
      <c r="D102" s="7">
        <v>213082</v>
      </c>
    </row>
    <row r="103" spans="1:4" x14ac:dyDescent="0.2">
      <c r="A103">
        <v>2017</v>
      </c>
      <c r="B103" s="5" t="s">
        <v>27</v>
      </c>
      <c r="C103" s="6">
        <v>1.1367987000000001E-3</v>
      </c>
      <c r="D103" s="7">
        <v>97832</v>
      </c>
    </row>
    <row r="104" spans="1:4" x14ac:dyDescent="0.2">
      <c r="A104">
        <v>2017</v>
      </c>
      <c r="B104" s="5" t="s">
        <v>28</v>
      </c>
      <c r="C104" s="6">
        <v>2.21194E-4</v>
      </c>
      <c r="D104" s="7">
        <v>19036</v>
      </c>
    </row>
    <row r="105" spans="1:4" x14ac:dyDescent="0.2">
      <c r="A105">
        <v>2017</v>
      </c>
      <c r="B105" s="5" t="s">
        <v>184</v>
      </c>
      <c r="C105" s="6">
        <v>1.8008786999999999E-3</v>
      </c>
      <c r="D105" s="7">
        <v>154982</v>
      </c>
    </row>
    <row r="106" spans="1:4" x14ac:dyDescent="0.2">
      <c r="A106">
        <v>2017</v>
      </c>
      <c r="B106" s="5" t="s">
        <v>29</v>
      </c>
      <c r="C106" s="6">
        <v>4.1609039000000004E-3</v>
      </c>
      <c r="D106" s="7">
        <v>358083</v>
      </c>
    </row>
    <row r="107" spans="1:4" x14ac:dyDescent="0.2">
      <c r="A107">
        <v>2017</v>
      </c>
      <c r="B107" s="5" t="s">
        <v>30</v>
      </c>
      <c r="C107" s="6">
        <v>9.7386200000000003E-4</v>
      </c>
      <c r="D107" s="7">
        <v>83809</v>
      </c>
    </row>
    <row r="108" spans="1:4" x14ac:dyDescent="0.2">
      <c r="A108">
        <v>2017</v>
      </c>
      <c r="B108" s="5" t="s">
        <v>31</v>
      </c>
      <c r="C108" s="6">
        <v>6.4621400000000004E-5</v>
      </c>
      <c r="D108" s="7">
        <v>5561</v>
      </c>
    </row>
    <row r="109" spans="1:4" x14ac:dyDescent="0.2">
      <c r="A109">
        <v>2017</v>
      </c>
      <c r="B109" s="5" t="s">
        <v>221</v>
      </c>
      <c r="C109" s="6">
        <v>1.04542009E-2</v>
      </c>
      <c r="D109" s="7">
        <v>899677</v>
      </c>
    </row>
    <row r="110" spans="1:4" x14ac:dyDescent="0.2">
      <c r="A110">
        <v>2017</v>
      </c>
      <c r="B110" s="5" t="s">
        <v>32</v>
      </c>
      <c r="C110" s="6">
        <v>1.6264852000000001E-3</v>
      </c>
      <c r="D110" s="7">
        <v>139973</v>
      </c>
    </row>
    <row r="111" spans="1:4" x14ac:dyDescent="0.2">
      <c r="A111">
        <v>2017</v>
      </c>
      <c r="B111" s="5" t="s">
        <v>33</v>
      </c>
      <c r="C111" s="6">
        <v>2.7519689999999999E-4</v>
      </c>
      <c r="D111" s="7">
        <v>23683</v>
      </c>
    </row>
    <row r="112" spans="1:4" x14ac:dyDescent="0.2">
      <c r="A112">
        <v>2017</v>
      </c>
      <c r="B112" s="5" t="s">
        <v>34</v>
      </c>
      <c r="C112" s="6">
        <v>1.509069E-3</v>
      </c>
      <c r="D112" s="7">
        <v>129869</v>
      </c>
    </row>
    <row r="113" spans="1:4" x14ac:dyDescent="0.2">
      <c r="A113">
        <v>2017</v>
      </c>
      <c r="B113" s="5" t="s">
        <v>229</v>
      </c>
      <c r="C113" s="6">
        <v>2.1487472E-3</v>
      </c>
      <c r="D113" s="7">
        <v>184919</v>
      </c>
    </row>
    <row r="114" spans="1:4" x14ac:dyDescent="0.2">
      <c r="A114">
        <v>2017</v>
      </c>
      <c r="B114" s="5" t="s">
        <v>35</v>
      </c>
      <c r="C114" s="6">
        <v>2.0259668E-3</v>
      </c>
      <c r="D114" s="7">
        <v>174352</v>
      </c>
    </row>
    <row r="115" spans="1:4" x14ac:dyDescent="0.2">
      <c r="A115">
        <v>2017</v>
      </c>
      <c r="B115" s="5" t="s">
        <v>36</v>
      </c>
      <c r="C115" s="6">
        <v>2.3496071000000001E-3</v>
      </c>
      <c r="D115" s="7">
        <v>202205</v>
      </c>
    </row>
    <row r="116" spans="1:4" x14ac:dyDescent="0.2">
      <c r="A116">
        <v>2017</v>
      </c>
      <c r="B116" s="5" t="s">
        <v>37</v>
      </c>
      <c r="C116" s="6">
        <v>6.6556900399999994E-2</v>
      </c>
      <c r="D116" s="7">
        <v>5727812</v>
      </c>
    </row>
    <row r="117" spans="1:4" x14ac:dyDescent="0.2">
      <c r="A117">
        <v>2017</v>
      </c>
      <c r="B117" s="5" t="s">
        <v>219</v>
      </c>
      <c r="C117" s="6">
        <v>1.9318613999999999E-3</v>
      </c>
      <c r="D117" s="7">
        <v>166254</v>
      </c>
    </row>
    <row r="118" spans="1:4" x14ac:dyDescent="0.2">
      <c r="A118">
        <v>2017</v>
      </c>
      <c r="B118" s="5" t="s">
        <v>38</v>
      </c>
      <c r="C118" s="6">
        <v>3.2016457000000002E-3</v>
      </c>
      <c r="D118" s="7">
        <v>275530</v>
      </c>
    </row>
    <row r="119" spans="1:4" x14ac:dyDescent="0.2">
      <c r="A119">
        <v>2017</v>
      </c>
      <c r="B119" s="5" t="s">
        <v>39</v>
      </c>
      <c r="C119" s="6">
        <v>1.1539178E-3</v>
      </c>
      <c r="D119" s="7">
        <v>99305</v>
      </c>
    </row>
    <row r="120" spans="1:4" x14ac:dyDescent="0.2">
      <c r="A120">
        <v>2017</v>
      </c>
      <c r="B120" s="5" t="s">
        <v>40</v>
      </c>
      <c r="C120" s="6">
        <v>4.6278800000000002E-5</v>
      </c>
      <c r="D120" s="7">
        <v>3983</v>
      </c>
    </row>
    <row r="121" spans="1:4" x14ac:dyDescent="0.2">
      <c r="A121">
        <v>2017</v>
      </c>
      <c r="B121" s="5" t="s">
        <v>220</v>
      </c>
      <c r="C121" s="6">
        <v>2.1991248000000001E-3</v>
      </c>
      <c r="D121" s="7">
        <v>189254</v>
      </c>
    </row>
    <row r="122" spans="1:4" x14ac:dyDescent="0.2">
      <c r="A122">
        <v>2017</v>
      </c>
      <c r="B122" s="5" t="s">
        <v>41</v>
      </c>
      <c r="C122" s="6">
        <v>2.4548984999999998E-3</v>
      </c>
      <c r="D122" s="7">
        <v>211266</v>
      </c>
    </row>
    <row r="123" spans="1:4" x14ac:dyDescent="0.2">
      <c r="A123">
        <v>2017</v>
      </c>
      <c r="B123" s="5" t="s">
        <v>42</v>
      </c>
      <c r="C123" s="6">
        <v>1.4323741E-3</v>
      </c>
      <c r="D123" s="7">
        <v>123268</v>
      </c>
    </row>
    <row r="124" spans="1:4" x14ac:dyDescent="0.2">
      <c r="A124">
        <v>2017</v>
      </c>
      <c r="B124" s="5" t="s">
        <v>43</v>
      </c>
      <c r="C124" s="6">
        <v>2.1466869999999999E-4</v>
      </c>
      <c r="D124" s="7">
        <v>18474</v>
      </c>
    </row>
    <row r="125" spans="1:4" x14ac:dyDescent="0.2">
      <c r="A125">
        <v>2017</v>
      </c>
      <c r="B125" s="5" t="s">
        <v>185</v>
      </c>
      <c r="C125" s="6">
        <v>2.2288747999999999E-3</v>
      </c>
      <c r="D125" s="7">
        <v>191814</v>
      </c>
    </row>
    <row r="126" spans="1:4" x14ac:dyDescent="0.2">
      <c r="A126">
        <v>2017</v>
      </c>
      <c r="B126" s="5" t="s">
        <v>44</v>
      </c>
      <c r="C126" s="6">
        <v>1.286487E-4</v>
      </c>
      <c r="D126" s="7">
        <v>11071</v>
      </c>
    </row>
    <row r="127" spans="1:4" x14ac:dyDescent="0.2">
      <c r="A127">
        <v>2017</v>
      </c>
      <c r="B127" s="5" t="s">
        <v>45</v>
      </c>
      <c r="C127" s="6">
        <v>1.9706822000000001E-3</v>
      </c>
      <c r="D127" s="7">
        <v>169595</v>
      </c>
    </row>
    <row r="128" spans="1:4" x14ac:dyDescent="0.2">
      <c r="A128">
        <v>2017</v>
      </c>
      <c r="B128" s="5" t="s">
        <v>46</v>
      </c>
      <c r="C128" s="6">
        <v>3.9301530000000002E-4</v>
      </c>
      <c r="D128" s="7">
        <v>33822</v>
      </c>
    </row>
    <row r="129" spans="1:4" x14ac:dyDescent="0.2">
      <c r="A129">
        <v>2017</v>
      </c>
      <c r="B129" s="5" t="s">
        <v>189</v>
      </c>
      <c r="C129" s="6">
        <v>1.0195337E-3</v>
      </c>
      <c r="D129" s="7">
        <v>87740</v>
      </c>
    </row>
    <row r="130" spans="1:4" x14ac:dyDescent="0.2">
      <c r="A130">
        <v>2017</v>
      </c>
      <c r="B130" s="5" t="s">
        <v>47</v>
      </c>
      <c r="C130" s="6">
        <v>1.4075498E-3</v>
      </c>
      <c r="D130" s="7">
        <v>121132</v>
      </c>
    </row>
    <row r="131" spans="1:4" x14ac:dyDescent="0.2">
      <c r="A131">
        <v>2017</v>
      </c>
      <c r="B131" s="5" t="s">
        <v>48</v>
      </c>
      <c r="C131" s="6">
        <v>4.7076270000000003E-4</v>
      </c>
      <c r="D131" s="7">
        <v>40513</v>
      </c>
    </row>
    <row r="132" spans="1:4" x14ac:dyDescent="0.2">
      <c r="A132">
        <v>2017</v>
      </c>
      <c r="B132" s="5" t="s">
        <v>49</v>
      </c>
      <c r="C132" s="6">
        <v>1.7386712999999999E-3</v>
      </c>
      <c r="D132" s="7">
        <v>149628</v>
      </c>
    </row>
    <row r="133" spans="1:4" x14ac:dyDescent="0.2">
      <c r="A133">
        <v>2017</v>
      </c>
      <c r="B133" s="5" t="s">
        <v>186</v>
      </c>
      <c r="C133" s="6">
        <v>3.8234696000000001E-3</v>
      </c>
      <c r="D133" s="7">
        <v>329043</v>
      </c>
    </row>
    <row r="134" spans="1:4" x14ac:dyDescent="0.2">
      <c r="A134">
        <v>2017</v>
      </c>
      <c r="B134" s="5" t="s">
        <v>50</v>
      </c>
      <c r="C134" s="6">
        <v>1.8901699999999999E-5</v>
      </c>
      <c r="D134" s="7">
        <v>1627</v>
      </c>
    </row>
    <row r="135" spans="1:4" x14ac:dyDescent="0.2">
      <c r="A135">
        <v>2017</v>
      </c>
      <c r="B135" s="5" t="s">
        <v>51</v>
      </c>
      <c r="C135" s="6">
        <v>2.4071483000000001E-3</v>
      </c>
      <c r="D135" s="7">
        <v>207156</v>
      </c>
    </row>
    <row r="136" spans="1:4" x14ac:dyDescent="0.2">
      <c r="A136">
        <v>2017</v>
      </c>
      <c r="B136" s="5" t="s">
        <v>52</v>
      </c>
      <c r="C136" s="6">
        <v>2.1169447000000002E-3</v>
      </c>
      <c r="D136" s="7">
        <v>182182</v>
      </c>
    </row>
    <row r="137" spans="1:4" x14ac:dyDescent="0.2">
      <c r="A137">
        <v>2017</v>
      </c>
      <c r="B137" s="5" t="s">
        <v>56</v>
      </c>
      <c r="C137" s="6">
        <v>3.0680073999999999E-3</v>
      </c>
      <c r="D137" s="7">
        <v>264029</v>
      </c>
    </row>
    <row r="138" spans="1:4" x14ac:dyDescent="0.2">
      <c r="A138">
        <v>2017</v>
      </c>
      <c r="B138" s="5" t="s">
        <v>109</v>
      </c>
      <c r="C138" s="6">
        <v>2.4466113000000001E-3</v>
      </c>
      <c r="D138" s="7">
        <v>210553</v>
      </c>
    </row>
    <row r="139" spans="1:4" x14ac:dyDescent="0.2">
      <c r="A139">
        <v>2017</v>
      </c>
      <c r="B139" s="5" t="s">
        <v>110</v>
      </c>
      <c r="C139" s="6">
        <v>2.8414057999999998E-3</v>
      </c>
      <c r="D139" s="7">
        <v>244528</v>
      </c>
    </row>
    <row r="140" spans="1:4" x14ac:dyDescent="0.2">
      <c r="A140">
        <v>2017</v>
      </c>
      <c r="B140" s="5" t="s">
        <v>111</v>
      </c>
      <c r="C140" s="6">
        <v>6.9168375000000001E-3</v>
      </c>
      <c r="D140" s="7">
        <v>595255</v>
      </c>
    </row>
    <row r="141" spans="1:4" x14ac:dyDescent="0.2">
      <c r="A141">
        <v>2017</v>
      </c>
      <c r="B141" s="5" t="s">
        <v>112</v>
      </c>
      <c r="C141" s="6">
        <v>1.0263608999999999E-3</v>
      </c>
      <c r="D141" s="7">
        <v>88327</v>
      </c>
    </row>
    <row r="142" spans="1:4" x14ac:dyDescent="0.2">
      <c r="A142">
        <v>2017</v>
      </c>
      <c r="B142" s="5" t="s">
        <v>113</v>
      </c>
      <c r="C142" s="6">
        <v>4.1896968E-3</v>
      </c>
      <c r="D142" s="7">
        <v>360561</v>
      </c>
    </row>
    <row r="143" spans="1:4" x14ac:dyDescent="0.2">
      <c r="A143">
        <v>2017</v>
      </c>
      <c r="B143" s="5" t="s">
        <v>114</v>
      </c>
      <c r="C143" s="6">
        <v>2.2594954E-3</v>
      </c>
      <c r="D143" s="7">
        <v>194450</v>
      </c>
    </row>
    <row r="144" spans="1:4" x14ac:dyDescent="0.2">
      <c r="A144">
        <v>2017</v>
      </c>
      <c r="B144" s="5" t="s">
        <v>115</v>
      </c>
      <c r="C144" s="6">
        <v>2.4535402000000002E-3</v>
      </c>
      <c r="D144" s="7">
        <v>211149</v>
      </c>
    </row>
    <row r="145" spans="1:4" x14ac:dyDescent="0.2">
      <c r="A145">
        <v>2017</v>
      </c>
      <c r="B145" s="5" t="s">
        <v>203</v>
      </c>
      <c r="C145" s="6">
        <v>8.6618280000000001E-4</v>
      </c>
      <c r="D145" s="7">
        <v>74543</v>
      </c>
    </row>
    <row r="146" spans="1:4" x14ac:dyDescent="0.2">
      <c r="A146">
        <v>2017</v>
      </c>
      <c r="B146" s="5" t="s">
        <v>116</v>
      </c>
      <c r="C146" s="6">
        <v>4.7160978999999997E-3</v>
      </c>
      <c r="D146" s="7">
        <v>405862</v>
      </c>
    </row>
    <row r="147" spans="1:4" x14ac:dyDescent="0.2">
      <c r="A147">
        <v>2017</v>
      </c>
      <c r="B147" s="5" t="s">
        <v>117</v>
      </c>
      <c r="C147" s="6">
        <v>4.6334529999999998E-4</v>
      </c>
      <c r="D147" s="7">
        <v>39875</v>
      </c>
    </row>
    <row r="148" spans="1:4" x14ac:dyDescent="0.2">
      <c r="A148">
        <v>2017</v>
      </c>
      <c r="B148" s="5" t="s">
        <v>118</v>
      </c>
      <c r="C148" s="6">
        <v>2.4304321999999998E-3</v>
      </c>
      <c r="D148" s="7">
        <v>209160</v>
      </c>
    </row>
    <row r="149" spans="1:4" x14ac:dyDescent="0.2">
      <c r="A149">
        <v>2017</v>
      </c>
      <c r="B149" s="5" t="s">
        <v>201</v>
      </c>
      <c r="C149" s="6">
        <v>2.9961663999999999E-3</v>
      </c>
      <c r="D149" s="7">
        <v>257847</v>
      </c>
    </row>
    <row r="150" spans="1:4" x14ac:dyDescent="0.2">
      <c r="A150">
        <v>2017</v>
      </c>
      <c r="B150" s="5" t="s">
        <v>119</v>
      </c>
      <c r="C150" s="6">
        <v>5.3098149999999998E-4</v>
      </c>
      <c r="D150" s="7">
        <v>45696</v>
      </c>
    </row>
    <row r="151" spans="1:4" x14ac:dyDescent="0.2">
      <c r="A151">
        <v>2017</v>
      </c>
      <c r="B151" s="5" t="s">
        <v>120</v>
      </c>
      <c r="C151" s="6">
        <v>1.3988925000000001E-3</v>
      </c>
      <c r="D151" s="7">
        <v>120387</v>
      </c>
    </row>
    <row r="152" spans="1:4" x14ac:dyDescent="0.2">
      <c r="A152">
        <v>2017</v>
      </c>
      <c r="B152" s="5" t="s">
        <v>121</v>
      </c>
      <c r="C152" s="6">
        <v>1.1245472999999999E-3</v>
      </c>
      <c r="D152" s="7">
        <v>96777</v>
      </c>
    </row>
    <row r="153" spans="1:4" x14ac:dyDescent="0.2">
      <c r="A153">
        <v>2017</v>
      </c>
      <c r="B153" s="5" t="s">
        <v>230</v>
      </c>
      <c r="C153" s="6">
        <v>3.1852194000000001E-3</v>
      </c>
      <c r="D153" s="7">
        <v>274116</v>
      </c>
    </row>
    <row r="154" spans="1:4" x14ac:dyDescent="0.2">
      <c r="A154">
        <v>2017</v>
      </c>
      <c r="B154" s="5" t="s">
        <v>122</v>
      </c>
      <c r="C154" s="6">
        <v>2.3931234000000002E-3</v>
      </c>
      <c r="D154" s="7">
        <v>205949</v>
      </c>
    </row>
    <row r="155" spans="1:4" x14ac:dyDescent="0.2">
      <c r="A155">
        <v>2017</v>
      </c>
      <c r="B155" s="5" t="s">
        <v>123</v>
      </c>
      <c r="C155" s="6">
        <v>8.3788910000000001E-4</v>
      </c>
      <c r="D155" s="7">
        <v>72108</v>
      </c>
    </row>
    <row r="156" spans="1:4" x14ac:dyDescent="0.2">
      <c r="A156">
        <v>2017</v>
      </c>
      <c r="B156" s="5" t="s">
        <v>124</v>
      </c>
      <c r="C156" s="6">
        <v>1.6332550000000001E-4</v>
      </c>
      <c r="D156" s="7">
        <v>14056</v>
      </c>
    </row>
    <row r="157" spans="1:4" x14ac:dyDescent="0.2">
      <c r="A157">
        <v>2017</v>
      </c>
      <c r="B157" s="5" t="s">
        <v>216</v>
      </c>
      <c r="C157" s="6">
        <v>1.2620413000000001E-3</v>
      </c>
      <c r="D157" s="7">
        <v>108610</v>
      </c>
    </row>
    <row r="158" spans="1:4" x14ac:dyDescent="0.2">
      <c r="A158">
        <v>2017</v>
      </c>
      <c r="B158" s="5" t="s">
        <v>125</v>
      </c>
      <c r="C158" s="6">
        <v>0</v>
      </c>
    </row>
    <row r="159" spans="1:4" x14ac:dyDescent="0.2">
      <c r="A159">
        <v>2017</v>
      </c>
      <c r="B159" s="5" t="s">
        <v>126</v>
      </c>
      <c r="C159" s="6">
        <v>1.6564609999999999E-3</v>
      </c>
      <c r="D159" s="7">
        <v>142553</v>
      </c>
    </row>
    <row r="160" spans="1:4" x14ac:dyDescent="0.2">
      <c r="A160">
        <v>2017</v>
      </c>
      <c r="B160" s="5" t="s">
        <v>127</v>
      </c>
      <c r="C160" s="6">
        <v>2.6405935999999999E-3</v>
      </c>
      <c r="D160" s="7">
        <v>227246</v>
      </c>
    </row>
    <row r="161" spans="1:4" x14ac:dyDescent="0.2">
      <c r="A161">
        <v>2017</v>
      </c>
      <c r="B161" s="5" t="s">
        <v>231</v>
      </c>
      <c r="C161" s="6">
        <v>2.3303384000000001E-3</v>
      </c>
      <c r="D161" s="7">
        <v>200546</v>
      </c>
    </row>
    <row r="162" spans="1:4" x14ac:dyDescent="0.2">
      <c r="A162">
        <v>2017</v>
      </c>
      <c r="B162" s="5" t="s">
        <v>128</v>
      </c>
      <c r="C162" s="6">
        <v>0</v>
      </c>
    </row>
    <row r="163" spans="1:4" x14ac:dyDescent="0.2">
      <c r="A163">
        <v>2017</v>
      </c>
      <c r="B163" s="5" t="s">
        <v>129</v>
      </c>
      <c r="C163" s="6">
        <v>0</v>
      </c>
    </row>
    <row r="164" spans="1:4" x14ac:dyDescent="0.2">
      <c r="A164">
        <v>2017</v>
      </c>
      <c r="B164" s="5" t="s">
        <v>130</v>
      </c>
      <c r="C164" s="6">
        <v>1.9429381E-3</v>
      </c>
      <c r="D164" s="7">
        <v>167207</v>
      </c>
    </row>
    <row r="165" spans="1:4" x14ac:dyDescent="0.2">
      <c r="A165">
        <v>2017</v>
      </c>
      <c r="B165" s="5" t="s">
        <v>204</v>
      </c>
      <c r="C165" s="6">
        <v>5.2849220000000005E-4</v>
      </c>
      <c r="D165" s="7">
        <v>45481</v>
      </c>
    </row>
    <row r="166" spans="1:4" x14ac:dyDescent="0.2">
      <c r="A166">
        <v>2017</v>
      </c>
      <c r="B166" s="5" t="s">
        <v>131</v>
      </c>
      <c r="C166" s="6">
        <v>2.0497169999999999E-4</v>
      </c>
      <c r="D166" s="7">
        <v>17640</v>
      </c>
    </row>
    <row r="167" spans="1:4" x14ac:dyDescent="0.2">
      <c r="A167">
        <v>2017</v>
      </c>
      <c r="B167" s="5" t="s">
        <v>132</v>
      </c>
      <c r="C167" s="6">
        <v>4.5243699999999998E-4</v>
      </c>
      <c r="D167" s="7">
        <v>38936</v>
      </c>
    </row>
    <row r="168" spans="1:4" x14ac:dyDescent="0.2">
      <c r="A168">
        <v>2017</v>
      </c>
      <c r="B168" s="5" t="s">
        <v>133</v>
      </c>
      <c r="C168" s="6">
        <v>4.9268855000000004E-3</v>
      </c>
      <c r="D168" s="7">
        <v>424002</v>
      </c>
    </row>
    <row r="169" spans="1:4" x14ac:dyDescent="0.2">
      <c r="A169">
        <v>2017</v>
      </c>
      <c r="B169" s="5" t="s">
        <v>205</v>
      </c>
      <c r="C169" s="6">
        <v>1.4503356000000001E-3</v>
      </c>
      <c r="D169" s="7">
        <v>124814</v>
      </c>
    </row>
    <row r="170" spans="1:4" x14ac:dyDescent="0.2">
      <c r="A170">
        <v>2017</v>
      </c>
      <c r="B170" s="5" t="s">
        <v>134</v>
      </c>
      <c r="C170" s="6">
        <v>2.2636255000000002E-3</v>
      </c>
      <c r="D170" s="7">
        <v>194805</v>
      </c>
    </row>
    <row r="171" spans="1:4" x14ac:dyDescent="0.2">
      <c r="A171">
        <v>2017</v>
      </c>
      <c r="B171" s="5" t="s">
        <v>135</v>
      </c>
      <c r="C171" s="6">
        <v>1.079088E-3</v>
      </c>
      <c r="D171" s="7">
        <v>92865</v>
      </c>
    </row>
    <row r="172" spans="1:4" x14ac:dyDescent="0.2">
      <c r="A172">
        <v>2017</v>
      </c>
      <c r="B172" s="5" t="s">
        <v>136</v>
      </c>
      <c r="C172" s="6">
        <v>1.6676702000000001E-3</v>
      </c>
      <c r="D172" s="7">
        <v>143518</v>
      </c>
    </row>
    <row r="173" spans="1:4" x14ac:dyDescent="0.2">
      <c r="A173">
        <v>2017</v>
      </c>
      <c r="B173" s="5" t="s">
        <v>215</v>
      </c>
      <c r="C173" s="6">
        <v>2.2244109999999999E-3</v>
      </c>
      <c r="D173" s="7">
        <v>191430</v>
      </c>
    </row>
    <row r="174" spans="1:4" x14ac:dyDescent="0.2">
      <c r="A174">
        <v>2017</v>
      </c>
      <c r="B174" s="5" t="s">
        <v>137</v>
      </c>
      <c r="C174" s="6">
        <v>1.3504457000000001E-3</v>
      </c>
      <c r="D174" s="7">
        <v>116218</v>
      </c>
    </row>
    <row r="175" spans="1:4" x14ac:dyDescent="0.2">
      <c r="A175">
        <v>2017</v>
      </c>
      <c r="B175" s="5" t="s">
        <v>138</v>
      </c>
      <c r="C175" s="6">
        <v>1.0770411E-3</v>
      </c>
      <c r="D175" s="7">
        <v>92689</v>
      </c>
    </row>
    <row r="176" spans="1:4" x14ac:dyDescent="0.2">
      <c r="A176">
        <v>2017</v>
      </c>
      <c r="B176" s="5" t="s">
        <v>139</v>
      </c>
      <c r="C176" s="6">
        <v>2.1626458999999998E-3</v>
      </c>
      <c r="D176" s="7">
        <v>186115</v>
      </c>
    </row>
    <row r="177" spans="1:4" x14ac:dyDescent="0.2">
      <c r="A177">
        <v>2017</v>
      </c>
      <c r="B177" s="5" t="s">
        <v>207</v>
      </c>
      <c r="C177" s="6">
        <v>3.7432799999999998E-5</v>
      </c>
      <c r="D177" s="7">
        <v>3221</v>
      </c>
    </row>
    <row r="178" spans="1:4" x14ac:dyDescent="0.2">
      <c r="A178">
        <v>2017</v>
      </c>
      <c r="B178" s="5" t="s">
        <v>140</v>
      </c>
      <c r="C178" s="6">
        <v>2.4854496E-3</v>
      </c>
      <c r="D178" s="7">
        <v>213895</v>
      </c>
    </row>
    <row r="179" spans="1:4" x14ac:dyDescent="0.2">
      <c r="A179">
        <v>2017</v>
      </c>
      <c r="B179" s="5" t="s">
        <v>141</v>
      </c>
      <c r="C179" s="6">
        <v>1.5092752000000001E-3</v>
      </c>
      <c r="D179" s="7">
        <v>129887</v>
      </c>
    </row>
    <row r="180" spans="1:4" x14ac:dyDescent="0.2">
      <c r="A180">
        <v>2017</v>
      </c>
      <c r="B180" s="5" t="s">
        <v>142</v>
      </c>
      <c r="C180" s="6">
        <v>1.5305089999999999E-4</v>
      </c>
      <c r="D180" s="7">
        <v>13171</v>
      </c>
    </row>
    <row r="181" spans="1:4" x14ac:dyDescent="0.2">
      <c r="A181">
        <v>2017</v>
      </c>
      <c r="B181" s="5" t="s">
        <v>233</v>
      </c>
      <c r="C181" s="6">
        <v>1.0306229E-3</v>
      </c>
      <c r="D181" s="7">
        <v>88694</v>
      </c>
    </row>
    <row r="182" spans="1:4" x14ac:dyDescent="0.2">
      <c r="A182">
        <v>2017</v>
      </c>
      <c r="B182" s="5" t="s">
        <v>206</v>
      </c>
      <c r="C182" s="6">
        <v>2.4431349999999999E-3</v>
      </c>
      <c r="D182" s="7">
        <v>210253</v>
      </c>
    </row>
    <row r="183" spans="1:4" x14ac:dyDescent="0.2">
      <c r="A183">
        <v>2017</v>
      </c>
      <c r="B183" s="5" t="s">
        <v>143</v>
      </c>
      <c r="C183" s="6">
        <v>3.4758638999999999E-3</v>
      </c>
      <c r="D183" s="7">
        <v>299129</v>
      </c>
    </row>
    <row r="184" spans="1:4" x14ac:dyDescent="0.2">
      <c r="A184">
        <v>2017</v>
      </c>
      <c r="B184" s="5" t="s">
        <v>144</v>
      </c>
      <c r="C184" s="6">
        <v>5.804359E-4</v>
      </c>
      <c r="D184" s="7">
        <v>49952</v>
      </c>
    </row>
    <row r="185" spans="1:4" x14ac:dyDescent="0.2">
      <c r="A185">
        <v>2017</v>
      </c>
      <c r="B185" s="5" t="s">
        <v>145</v>
      </c>
      <c r="C185" s="6">
        <v>9.9020500000000005E-5</v>
      </c>
      <c r="D185" s="7">
        <v>8522</v>
      </c>
    </row>
    <row r="186" spans="1:4" x14ac:dyDescent="0.2">
      <c r="A186">
        <v>2017</v>
      </c>
      <c r="B186" s="5" t="s">
        <v>208</v>
      </c>
      <c r="C186" s="6">
        <v>3.8765399999999999E-3</v>
      </c>
      <c r="D186" s="7">
        <v>333611</v>
      </c>
    </row>
    <row r="187" spans="1:4" x14ac:dyDescent="0.2">
      <c r="A187">
        <v>2017</v>
      </c>
      <c r="B187" s="5" t="s">
        <v>146</v>
      </c>
      <c r="C187" s="6">
        <v>9.5697730000000002E-4</v>
      </c>
      <c r="D187" s="7">
        <v>82356</v>
      </c>
    </row>
    <row r="188" spans="1:4" x14ac:dyDescent="0.2">
      <c r="A188">
        <v>2017</v>
      </c>
      <c r="B188" s="5" t="s">
        <v>147</v>
      </c>
      <c r="C188" s="6">
        <v>5.4059907000000001E-3</v>
      </c>
      <c r="D188" s="7">
        <v>465233</v>
      </c>
    </row>
    <row r="189" spans="1:4" x14ac:dyDescent="0.2">
      <c r="A189">
        <v>2017</v>
      </c>
      <c r="B189" s="5" t="s">
        <v>148</v>
      </c>
      <c r="C189" s="6">
        <v>7.7554160000000002E-4</v>
      </c>
      <c r="D189" s="7">
        <v>66742</v>
      </c>
    </row>
    <row r="190" spans="1:4" x14ac:dyDescent="0.2">
      <c r="A190">
        <v>2017</v>
      </c>
      <c r="B190" s="5" t="s">
        <v>209</v>
      </c>
      <c r="C190" s="6">
        <v>3.9070549999999999E-4</v>
      </c>
      <c r="D190" s="7">
        <v>33624</v>
      </c>
    </row>
    <row r="191" spans="1:4" x14ac:dyDescent="0.2">
      <c r="A191">
        <v>2017</v>
      </c>
      <c r="B191" s="5" t="s">
        <v>149</v>
      </c>
      <c r="C191" s="6">
        <v>1.3087322E-3</v>
      </c>
      <c r="D191" s="7">
        <v>112628</v>
      </c>
    </row>
    <row r="192" spans="1:4" x14ac:dyDescent="0.2">
      <c r="A192">
        <v>2017</v>
      </c>
      <c r="B192" s="5" t="s">
        <v>150</v>
      </c>
      <c r="C192" s="6">
        <v>3.5926996999999998E-3</v>
      </c>
      <c r="D192" s="7">
        <v>309184</v>
      </c>
    </row>
    <row r="193" spans="1:4" x14ac:dyDescent="0.2">
      <c r="A193">
        <v>2017</v>
      </c>
      <c r="B193" s="5" t="s">
        <v>151</v>
      </c>
      <c r="C193" s="6">
        <v>1.5108069999999999E-4</v>
      </c>
      <c r="D193" s="7">
        <v>13002</v>
      </c>
    </row>
    <row r="194" spans="1:4" x14ac:dyDescent="0.2">
      <c r="A194">
        <v>2017</v>
      </c>
      <c r="B194" s="5" t="s">
        <v>210</v>
      </c>
      <c r="C194" s="6">
        <v>3.9625538E-3</v>
      </c>
      <c r="D194" s="7">
        <v>341013</v>
      </c>
    </row>
    <row r="195" spans="1:4" x14ac:dyDescent="0.2">
      <c r="A195">
        <v>2017</v>
      </c>
      <c r="B195" s="5" t="s">
        <v>152</v>
      </c>
      <c r="C195" s="6">
        <v>3.3602737999999998E-3</v>
      </c>
      <c r="D195" s="7">
        <v>289181</v>
      </c>
    </row>
    <row r="196" spans="1:4" x14ac:dyDescent="0.2">
      <c r="A196">
        <v>2017</v>
      </c>
      <c r="B196" s="5" t="s">
        <v>153</v>
      </c>
      <c r="C196" s="6">
        <v>4.5901316999999997E-3</v>
      </c>
      <c r="D196" s="7">
        <v>395022</v>
      </c>
    </row>
    <row r="197" spans="1:4" x14ac:dyDescent="0.2">
      <c r="A197">
        <v>2017</v>
      </c>
      <c r="B197" s="5" t="s">
        <v>154</v>
      </c>
      <c r="C197" s="6">
        <v>1.8555022E-3</v>
      </c>
      <c r="D197" s="7">
        <v>159682</v>
      </c>
    </row>
    <row r="198" spans="1:4" x14ac:dyDescent="0.2">
      <c r="A198">
        <v>2017</v>
      </c>
      <c r="B198" s="5" t="s">
        <v>214</v>
      </c>
      <c r="C198" s="6">
        <v>6.3637489999999997E-4</v>
      </c>
      <c r="D198" s="7">
        <v>54766</v>
      </c>
    </row>
    <row r="199" spans="1:4" x14ac:dyDescent="0.2">
      <c r="A199">
        <v>2017</v>
      </c>
      <c r="B199" s="5" t="s">
        <v>155</v>
      </c>
      <c r="C199" s="6">
        <v>2.2738787999999998E-3</v>
      </c>
      <c r="D199" s="7">
        <v>195687</v>
      </c>
    </row>
    <row r="200" spans="1:4" x14ac:dyDescent="0.2">
      <c r="A200">
        <v>2017</v>
      </c>
      <c r="B200" s="5" t="s">
        <v>156</v>
      </c>
      <c r="C200" s="6">
        <v>4.9816247000000003E-3</v>
      </c>
      <c r="D200" s="7">
        <v>428713</v>
      </c>
    </row>
    <row r="201" spans="1:4" x14ac:dyDescent="0.2">
      <c r="A201">
        <v>2017</v>
      </c>
      <c r="B201" s="5" t="s">
        <v>157</v>
      </c>
      <c r="C201" s="6">
        <v>3.8214515999999998E-3</v>
      </c>
      <c r="D201" s="7">
        <v>328870</v>
      </c>
    </row>
    <row r="202" spans="1:4" x14ac:dyDescent="0.2">
      <c r="A202">
        <v>2017</v>
      </c>
      <c r="B202" s="5" t="s">
        <v>213</v>
      </c>
      <c r="C202" s="6">
        <v>2.5238413999999999E-3</v>
      </c>
      <c r="D202" s="7">
        <v>217199</v>
      </c>
    </row>
    <row r="203" spans="1:4" x14ac:dyDescent="0.2">
      <c r="A203">
        <v>2017</v>
      </c>
      <c r="B203" s="5" t="s">
        <v>158</v>
      </c>
      <c r="C203" s="6">
        <v>9.1570122999999996E-3</v>
      </c>
      <c r="D203" s="7">
        <v>788042</v>
      </c>
    </row>
    <row r="204" spans="1:4" x14ac:dyDescent="0.2">
      <c r="A204">
        <v>2017</v>
      </c>
      <c r="B204" s="5" t="s">
        <v>159</v>
      </c>
      <c r="C204" s="6">
        <v>3.8965467000000001E-3</v>
      </c>
      <c r="D204" s="7">
        <v>335332</v>
      </c>
    </row>
    <row r="205" spans="1:4" x14ac:dyDescent="0.2">
      <c r="A205">
        <v>2017</v>
      </c>
      <c r="B205" s="5" t="s">
        <v>160</v>
      </c>
      <c r="C205" s="6">
        <v>9.9609612E-3</v>
      </c>
      <c r="D205" s="7">
        <v>857229</v>
      </c>
    </row>
    <row r="206" spans="1:4" x14ac:dyDescent="0.2">
      <c r="A206">
        <v>2017</v>
      </c>
      <c r="B206" s="5" t="s">
        <v>211</v>
      </c>
      <c r="C206" s="6">
        <v>4.2611899999999998E-5</v>
      </c>
      <c r="D206" s="7">
        <v>3667</v>
      </c>
    </row>
    <row r="207" spans="1:4" x14ac:dyDescent="0.2">
      <c r="A207">
        <v>2017</v>
      </c>
      <c r="B207" s="5" t="s">
        <v>161</v>
      </c>
      <c r="C207" s="6">
        <v>2.3183323999999999E-3</v>
      </c>
      <c r="D207" s="7">
        <v>199513</v>
      </c>
    </row>
    <row r="208" spans="1:4" x14ac:dyDescent="0.2">
      <c r="A208">
        <v>2017</v>
      </c>
      <c r="B208" s="5" t="s">
        <v>162</v>
      </c>
      <c r="C208" s="6">
        <v>2.4444569000000001E-3</v>
      </c>
      <c r="D208" s="7">
        <v>210367</v>
      </c>
    </row>
    <row r="209" spans="1:4" x14ac:dyDescent="0.2">
      <c r="A209">
        <v>2017</v>
      </c>
      <c r="B209" s="5" t="s">
        <v>163</v>
      </c>
      <c r="C209" s="6">
        <v>8.7002554800000007E-2</v>
      </c>
      <c r="D209" s="7">
        <v>7487341</v>
      </c>
    </row>
    <row r="210" spans="1:4" x14ac:dyDescent="0.2">
      <c r="A210">
        <v>2017</v>
      </c>
      <c r="B210" s="5" t="s">
        <v>164</v>
      </c>
      <c r="C210" s="6">
        <v>1.0569747E-3</v>
      </c>
      <c r="D210" s="7">
        <v>90962</v>
      </c>
    </row>
    <row r="211" spans="1:4" x14ac:dyDescent="0.2">
      <c r="A211">
        <v>2017</v>
      </c>
      <c r="B211" s="5" t="s">
        <v>165</v>
      </c>
      <c r="C211" s="6">
        <v>1.6421836E-3</v>
      </c>
      <c r="D211" s="7">
        <v>141324</v>
      </c>
    </row>
    <row r="212" spans="1:4" x14ac:dyDescent="0.2">
      <c r="A212">
        <v>2017</v>
      </c>
      <c r="B212" s="5" t="s">
        <v>166</v>
      </c>
      <c r="C212" s="6">
        <v>2.0657853000000002E-3</v>
      </c>
      <c r="D212" s="7">
        <v>177779</v>
      </c>
    </row>
    <row r="213" spans="1:4" x14ac:dyDescent="0.2">
      <c r="A213">
        <v>2017</v>
      </c>
      <c r="B213" s="5" t="s">
        <v>167</v>
      </c>
      <c r="C213" s="6">
        <v>2.81943282E-2</v>
      </c>
      <c r="D213" s="7">
        <v>2426372</v>
      </c>
    </row>
    <row r="214" spans="1:4" x14ac:dyDescent="0.2">
      <c r="A214">
        <v>2017</v>
      </c>
      <c r="B214" s="5" t="s">
        <v>232</v>
      </c>
      <c r="C214" s="6">
        <v>5.7575014999999997E-3</v>
      </c>
      <c r="D214" s="7">
        <v>495484</v>
      </c>
    </row>
    <row r="215" spans="1:4" x14ac:dyDescent="0.2">
      <c r="A215">
        <v>2017</v>
      </c>
      <c r="B215" s="5" t="s">
        <v>168</v>
      </c>
      <c r="C215" s="6">
        <v>2.0350913999999999E-3</v>
      </c>
      <c r="D215" s="7">
        <v>175138</v>
      </c>
    </row>
    <row r="216" spans="1:4" x14ac:dyDescent="0.2">
      <c r="A216">
        <v>2017</v>
      </c>
      <c r="B216" s="5" t="s">
        <v>169</v>
      </c>
      <c r="C216" s="6">
        <v>1.0767222999999999E-3</v>
      </c>
      <c r="D216" s="7">
        <v>92662</v>
      </c>
    </row>
    <row r="217" spans="1:4" x14ac:dyDescent="0.2">
      <c r="A217">
        <v>2017</v>
      </c>
      <c r="B217" s="5" t="s">
        <v>170</v>
      </c>
      <c r="C217" s="6">
        <v>1.9194272999999999E-3</v>
      </c>
      <c r="D217" s="7">
        <v>165184</v>
      </c>
    </row>
    <row r="218" spans="1:4" x14ac:dyDescent="0.2">
      <c r="A218">
        <v>2017</v>
      </c>
      <c r="B218" s="5" t="s">
        <v>212</v>
      </c>
      <c r="C218" s="6">
        <v>7.981571E-4</v>
      </c>
      <c r="D218" s="7">
        <v>68688</v>
      </c>
    </row>
    <row r="219" spans="1:4" x14ac:dyDescent="0.2">
      <c r="A219">
        <v>2017</v>
      </c>
      <c r="B219" s="5" t="s">
        <v>171</v>
      </c>
      <c r="C219" s="6">
        <v>2.1336807E-3</v>
      </c>
      <c r="D219" s="7">
        <v>183622</v>
      </c>
    </row>
    <row r="220" spans="1:4" x14ac:dyDescent="0.2">
      <c r="A220">
        <v>2017</v>
      </c>
      <c r="B220" s="5" t="s">
        <v>172</v>
      </c>
      <c r="C220" s="6">
        <v>7.94668E-4</v>
      </c>
      <c r="D220" s="7">
        <v>68388</v>
      </c>
    </row>
    <row r="221" spans="1:4" x14ac:dyDescent="0.2">
      <c r="A221">
        <v>2017</v>
      </c>
      <c r="B221" s="5" t="s">
        <v>173</v>
      </c>
      <c r="C221" s="6">
        <v>5.9102069999999996E-4</v>
      </c>
      <c r="D221" s="7">
        <v>50863</v>
      </c>
    </row>
    <row r="222" spans="1:4" x14ac:dyDescent="0.2">
      <c r="A222">
        <v>2017</v>
      </c>
      <c r="B222" s="3" t="s">
        <v>174</v>
      </c>
      <c r="C222" s="8">
        <v>1</v>
      </c>
      <c r="D222" s="9">
        <v>86058868</v>
      </c>
    </row>
    <row r="224" spans="1:4" x14ac:dyDescent="0.2">
      <c r="D224" s="7">
        <f>SUM(D2:D221)</f>
        <v>86058863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77AB-1951-2D4F-92C5-62551CA2CCE4}">
  <sheetPr>
    <tabColor rgb="FFFFFF00"/>
  </sheetPr>
  <dimension ref="A1:D224"/>
  <sheetViews>
    <sheetView workbookViewId="0">
      <selection activeCell="A2" sqref="A2:D221"/>
    </sheetView>
  </sheetViews>
  <sheetFormatPr baseColWidth="10" defaultRowHeight="16" x14ac:dyDescent="0.2"/>
  <cols>
    <col min="2" max="2" width="34.6640625" bestFit="1" customWidth="1"/>
    <col min="3" max="3" width="36.5" bestFit="1" customWidth="1"/>
    <col min="4" max="4" width="27.1640625" bestFit="1" customWidth="1"/>
  </cols>
  <sheetData>
    <row r="1" spans="1:4" x14ac:dyDescent="0.2">
      <c r="A1" t="s">
        <v>227</v>
      </c>
      <c r="B1" s="10" t="s">
        <v>53</v>
      </c>
      <c r="C1" s="10" t="s">
        <v>54</v>
      </c>
      <c r="D1" s="10" t="s">
        <v>55</v>
      </c>
    </row>
    <row r="2" spans="1:4" x14ac:dyDescent="0.2">
      <c r="A2">
        <v>2018</v>
      </c>
      <c r="B2" s="11" t="s">
        <v>57</v>
      </c>
      <c r="C2" s="12">
        <v>1.8056775000000001E-3</v>
      </c>
      <c r="D2" s="13">
        <v>156508</v>
      </c>
    </row>
    <row r="3" spans="1:4" x14ac:dyDescent="0.2">
      <c r="A3">
        <v>2018</v>
      </c>
      <c r="B3" s="11" t="s">
        <v>58</v>
      </c>
      <c r="C3" s="12">
        <v>1.1364838E-3</v>
      </c>
      <c r="D3" s="13">
        <v>98506</v>
      </c>
    </row>
    <row r="4" spans="1:4" x14ac:dyDescent="0.2">
      <c r="A4">
        <v>2018</v>
      </c>
      <c r="B4" s="11" t="s">
        <v>59</v>
      </c>
      <c r="C4" s="12">
        <v>4.4512810000000002E-4</v>
      </c>
      <c r="D4" s="13">
        <v>38582</v>
      </c>
    </row>
    <row r="5" spans="1:4" x14ac:dyDescent="0.2">
      <c r="A5">
        <v>2018</v>
      </c>
      <c r="B5" s="11" t="s">
        <v>60</v>
      </c>
      <c r="C5" s="12">
        <v>1.3933825E-3</v>
      </c>
      <c r="D5" s="13">
        <v>120772</v>
      </c>
    </row>
    <row r="6" spans="1:4" x14ac:dyDescent="0.2">
      <c r="A6">
        <v>2018</v>
      </c>
      <c r="B6" s="11" t="s">
        <v>61</v>
      </c>
      <c r="C6" s="12">
        <v>6.0310999999999999E-5</v>
      </c>
      <c r="D6" s="13">
        <v>5227</v>
      </c>
    </row>
    <row r="7" spans="1:4" x14ac:dyDescent="0.2">
      <c r="A7">
        <v>2018</v>
      </c>
      <c r="B7" s="11" t="s">
        <v>62</v>
      </c>
      <c r="C7" s="12">
        <v>2.2929762E-3</v>
      </c>
      <c r="D7" s="13">
        <v>198745</v>
      </c>
    </row>
    <row r="8" spans="1:4" x14ac:dyDescent="0.2">
      <c r="A8">
        <v>2018</v>
      </c>
      <c r="B8" s="11" t="s">
        <v>63</v>
      </c>
      <c r="C8" s="12">
        <v>3.0559440000000001E-3</v>
      </c>
      <c r="D8" s="13">
        <v>264876</v>
      </c>
    </row>
    <row r="9" spans="1:4" x14ac:dyDescent="0.2">
      <c r="A9">
        <v>2018</v>
      </c>
      <c r="B9" s="11" t="s">
        <v>187</v>
      </c>
      <c r="C9" s="12">
        <v>1.26534089E-2</v>
      </c>
      <c r="D9" s="13">
        <v>1096743</v>
      </c>
    </row>
    <row r="10" spans="1:4" x14ac:dyDescent="0.2">
      <c r="A10">
        <v>2018</v>
      </c>
      <c r="B10" s="11" t="s">
        <v>64</v>
      </c>
      <c r="C10" s="12">
        <v>2.2847865000000002E-3</v>
      </c>
      <c r="D10" s="13">
        <v>198036</v>
      </c>
    </row>
    <row r="11" spans="1:4" x14ac:dyDescent="0.2">
      <c r="A11">
        <v>2018</v>
      </c>
      <c r="B11" s="11" t="s">
        <v>65</v>
      </c>
      <c r="C11" s="12">
        <v>5.307094E-3</v>
      </c>
      <c r="D11" s="13">
        <v>459996</v>
      </c>
    </row>
    <row r="12" spans="1:4" x14ac:dyDescent="0.2">
      <c r="A12">
        <v>2018</v>
      </c>
      <c r="B12" s="11" t="s">
        <v>66</v>
      </c>
      <c r="C12" s="12">
        <v>1.2545235E-3</v>
      </c>
      <c r="D12" s="13">
        <v>108737</v>
      </c>
    </row>
    <row r="13" spans="1:4" x14ac:dyDescent="0.2">
      <c r="A13">
        <v>2018</v>
      </c>
      <c r="B13" s="11" t="s">
        <v>188</v>
      </c>
      <c r="C13" s="12">
        <v>0.1070640246</v>
      </c>
      <c r="D13" s="13">
        <v>9279851</v>
      </c>
    </row>
    <row r="14" spans="1:4" x14ac:dyDescent="0.2">
      <c r="A14">
        <v>2018</v>
      </c>
      <c r="B14" s="11" t="s">
        <v>67</v>
      </c>
      <c r="C14" s="12">
        <v>0</v>
      </c>
      <c r="D14" s="11"/>
    </row>
    <row r="15" spans="1:4" x14ac:dyDescent="0.2">
      <c r="A15">
        <v>2018</v>
      </c>
      <c r="B15" s="11" t="s">
        <v>68</v>
      </c>
      <c r="C15" s="12">
        <v>0</v>
      </c>
      <c r="D15" s="11"/>
    </row>
    <row r="16" spans="1:4" x14ac:dyDescent="0.2">
      <c r="A16">
        <v>2018</v>
      </c>
      <c r="B16" s="11" t="s">
        <v>69</v>
      </c>
      <c r="C16" s="12">
        <v>5.5666726000000001E-3</v>
      </c>
      <c r="D16" s="13">
        <v>482495</v>
      </c>
    </row>
    <row r="17" spans="1:4" x14ac:dyDescent="0.2">
      <c r="A17">
        <v>2018</v>
      </c>
      <c r="B17" s="11" t="s">
        <v>192</v>
      </c>
      <c r="C17" s="12">
        <v>8.9232489999999999E-4</v>
      </c>
      <c r="D17" s="13">
        <v>77343</v>
      </c>
    </row>
    <row r="18" spans="1:4" x14ac:dyDescent="0.2">
      <c r="A18">
        <v>2018</v>
      </c>
      <c r="B18" s="11" t="s">
        <v>70</v>
      </c>
      <c r="C18" s="12">
        <v>4.2468449000000004E-3</v>
      </c>
      <c r="D18" s="13">
        <v>368098</v>
      </c>
    </row>
    <row r="19" spans="1:4" x14ac:dyDescent="0.2">
      <c r="A19">
        <v>2018</v>
      </c>
      <c r="B19" s="11" t="s">
        <v>71</v>
      </c>
      <c r="C19" s="12">
        <v>1.5325053999999999E-3</v>
      </c>
      <c r="D19" s="13">
        <v>132831</v>
      </c>
    </row>
    <row r="20" spans="1:4" x14ac:dyDescent="0.2">
      <c r="A20">
        <v>2018</v>
      </c>
      <c r="B20" s="11" t="s">
        <v>72</v>
      </c>
      <c r="C20" s="12">
        <v>1.5228710000000001E-4</v>
      </c>
      <c r="D20" s="13">
        <v>13200</v>
      </c>
    </row>
    <row r="21" spans="1:4" x14ac:dyDescent="0.2">
      <c r="A21">
        <v>2018</v>
      </c>
      <c r="B21" s="11" t="s">
        <v>190</v>
      </c>
      <c r="C21" s="12">
        <v>4.3232212000000004E-3</v>
      </c>
      <c r="D21" s="13">
        <v>374718</v>
      </c>
    </row>
    <row r="22" spans="1:4" x14ac:dyDescent="0.2">
      <c r="A22">
        <v>2018</v>
      </c>
      <c r="B22" s="11" t="s">
        <v>73</v>
      </c>
      <c r="C22" s="12">
        <v>3.2760663999999999E-3</v>
      </c>
      <c r="D22" s="13">
        <v>283955</v>
      </c>
    </row>
    <row r="23" spans="1:4" x14ac:dyDescent="0.2">
      <c r="A23">
        <v>2018</v>
      </c>
      <c r="B23" s="11" t="s">
        <v>74</v>
      </c>
      <c r="C23" s="12">
        <v>2.3119770999999998E-3</v>
      </c>
      <c r="D23" s="13">
        <v>200392</v>
      </c>
    </row>
    <row r="24" spans="1:4" x14ac:dyDescent="0.2">
      <c r="A24">
        <v>2018</v>
      </c>
      <c r="B24" s="11" t="s">
        <v>75</v>
      </c>
      <c r="C24" s="12">
        <v>5.3881874999999997E-3</v>
      </c>
      <c r="D24" s="13">
        <v>467025</v>
      </c>
    </row>
    <row r="25" spans="1:4" x14ac:dyDescent="0.2">
      <c r="A25">
        <v>2018</v>
      </c>
      <c r="B25" s="11" t="s">
        <v>191</v>
      </c>
      <c r="C25" s="12">
        <v>9.4037300000000002E-5</v>
      </c>
      <c r="D25" s="13">
        <v>8151</v>
      </c>
    </row>
    <row r="26" spans="1:4" x14ac:dyDescent="0.2">
      <c r="A26">
        <v>2018</v>
      </c>
      <c r="B26" s="11" t="s">
        <v>76</v>
      </c>
      <c r="C26" s="12">
        <v>1.9074831E-3</v>
      </c>
      <c r="D26" s="13">
        <v>165332</v>
      </c>
    </row>
    <row r="27" spans="1:4" x14ac:dyDescent="0.2">
      <c r="A27">
        <v>2018</v>
      </c>
      <c r="B27" s="11" t="s">
        <v>77</v>
      </c>
      <c r="C27" s="12">
        <v>2.9803638E-3</v>
      </c>
      <c r="D27" s="13">
        <v>258325</v>
      </c>
    </row>
    <row r="28" spans="1:4" x14ac:dyDescent="0.2">
      <c r="A28">
        <v>2018</v>
      </c>
      <c r="B28" s="11" t="s">
        <v>78</v>
      </c>
      <c r="C28" s="12">
        <v>1.503201E-2</v>
      </c>
      <c r="D28" s="13">
        <v>1302910</v>
      </c>
    </row>
    <row r="29" spans="1:4" x14ac:dyDescent="0.2">
      <c r="A29">
        <v>2018</v>
      </c>
      <c r="B29" s="11" t="s">
        <v>193</v>
      </c>
      <c r="C29" s="12">
        <v>2.9539685100000001E-2</v>
      </c>
      <c r="D29" s="13">
        <v>2560373</v>
      </c>
    </row>
    <row r="30" spans="1:4" x14ac:dyDescent="0.2">
      <c r="A30">
        <v>2018</v>
      </c>
      <c r="B30" s="11" t="s">
        <v>79</v>
      </c>
      <c r="C30" s="12">
        <v>3.7525001999999998E-3</v>
      </c>
      <c r="D30" s="13">
        <v>325251</v>
      </c>
    </row>
    <row r="31" spans="1:4" x14ac:dyDescent="0.2">
      <c r="A31">
        <v>2018</v>
      </c>
      <c r="B31" s="11" t="s">
        <v>80</v>
      </c>
      <c r="C31" s="12">
        <v>6.8542220000000005E-4</v>
      </c>
      <c r="D31" s="13">
        <v>59409</v>
      </c>
    </row>
    <row r="32" spans="1:4" x14ac:dyDescent="0.2">
      <c r="A32">
        <v>2018</v>
      </c>
      <c r="B32" s="11" t="s">
        <v>81</v>
      </c>
      <c r="C32" s="12">
        <v>1.9925057000000001E-3</v>
      </c>
      <c r="D32" s="13">
        <v>172702</v>
      </c>
    </row>
    <row r="33" spans="1:4" x14ac:dyDescent="0.2">
      <c r="A33">
        <v>2018</v>
      </c>
      <c r="B33" s="11" t="s">
        <v>194</v>
      </c>
      <c r="C33" s="12">
        <v>4.8365915999999997E-3</v>
      </c>
      <c r="D33" s="13">
        <v>419215</v>
      </c>
    </row>
    <row r="34" spans="1:4" x14ac:dyDescent="0.2">
      <c r="A34">
        <v>2018</v>
      </c>
      <c r="B34" s="11" t="s">
        <v>82</v>
      </c>
      <c r="C34" s="12">
        <v>1.1709432999999999E-3</v>
      </c>
      <c r="D34" s="13">
        <v>101492</v>
      </c>
    </row>
    <row r="35" spans="1:4" x14ac:dyDescent="0.2">
      <c r="A35">
        <v>2018</v>
      </c>
      <c r="B35" s="11" t="s">
        <v>83</v>
      </c>
      <c r="C35" s="12">
        <v>4.9278499999999999E-5</v>
      </c>
      <c r="D35" s="13">
        <v>4271</v>
      </c>
    </row>
    <row r="36" spans="1:4" x14ac:dyDescent="0.2">
      <c r="A36">
        <v>2018</v>
      </c>
      <c r="B36" s="11" t="s">
        <v>84</v>
      </c>
      <c r="C36" s="12">
        <v>1.8089141E-3</v>
      </c>
      <c r="D36" s="13">
        <v>156789</v>
      </c>
    </row>
    <row r="37" spans="1:4" x14ac:dyDescent="0.2">
      <c r="A37">
        <v>2018</v>
      </c>
      <c r="B37" s="11" t="s">
        <v>196</v>
      </c>
      <c r="C37" s="12">
        <v>1.0920229000000001E-3</v>
      </c>
      <c r="D37" s="13">
        <v>94652</v>
      </c>
    </row>
    <row r="38" spans="1:4" x14ac:dyDescent="0.2">
      <c r="A38">
        <v>2018</v>
      </c>
      <c r="B38" s="11" t="s">
        <v>85</v>
      </c>
      <c r="C38" s="12">
        <v>2.4985946E-3</v>
      </c>
      <c r="D38" s="13">
        <v>216567</v>
      </c>
    </row>
    <row r="39" spans="1:4" x14ac:dyDescent="0.2">
      <c r="A39">
        <v>2018</v>
      </c>
      <c r="B39" s="11" t="s">
        <v>86</v>
      </c>
      <c r="C39" s="12">
        <v>1.7545961E-3</v>
      </c>
      <c r="D39" s="13">
        <v>152081</v>
      </c>
    </row>
    <row r="40" spans="1:4" x14ac:dyDescent="0.2">
      <c r="A40">
        <v>2018</v>
      </c>
      <c r="B40" s="11" t="s">
        <v>87</v>
      </c>
      <c r="C40" s="12">
        <v>2.3733869999999998E-3</v>
      </c>
      <c r="D40" s="13">
        <v>205715</v>
      </c>
    </row>
    <row r="41" spans="1:4" x14ac:dyDescent="0.2">
      <c r="A41">
        <v>2018</v>
      </c>
      <c r="B41" s="11" t="s">
        <v>195</v>
      </c>
      <c r="C41" s="12">
        <v>9.2025120000000004E-4</v>
      </c>
      <c r="D41" s="13">
        <v>79763</v>
      </c>
    </row>
    <row r="42" spans="1:4" x14ac:dyDescent="0.2">
      <c r="A42">
        <v>2018</v>
      </c>
      <c r="B42" s="11" t="s">
        <v>88</v>
      </c>
      <c r="C42" s="12">
        <v>2.9762369E-3</v>
      </c>
      <c r="D42" s="13">
        <v>257967</v>
      </c>
    </row>
    <row r="43" spans="1:4" x14ac:dyDescent="0.2">
      <c r="A43">
        <v>2018</v>
      </c>
      <c r="B43" s="11" t="s">
        <v>89</v>
      </c>
      <c r="C43" s="12">
        <v>1.5154704E-3</v>
      </c>
      <c r="D43" s="13">
        <v>131354</v>
      </c>
    </row>
    <row r="44" spans="1:4" x14ac:dyDescent="0.2">
      <c r="A44">
        <v>2018</v>
      </c>
      <c r="B44" s="11" t="s">
        <v>90</v>
      </c>
      <c r="C44" s="12">
        <v>0.10420065219999999</v>
      </c>
      <c r="D44" s="13">
        <v>9031666</v>
      </c>
    </row>
    <row r="45" spans="1:4" x14ac:dyDescent="0.2">
      <c r="A45">
        <v>2018</v>
      </c>
      <c r="B45" s="11" t="s">
        <v>218</v>
      </c>
      <c r="C45" s="12">
        <v>1.5822226000000001E-3</v>
      </c>
      <c r="D45" s="13">
        <v>137140</v>
      </c>
    </row>
    <row r="46" spans="1:4" x14ac:dyDescent="0.2">
      <c r="A46">
        <v>2018</v>
      </c>
      <c r="B46" s="11" t="s">
        <v>91</v>
      </c>
      <c r="C46" s="12">
        <v>1.5040548E-3</v>
      </c>
      <c r="D46" s="13">
        <v>130365</v>
      </c>
    </row>
    <row r="47" spans="1:4" x14ac:dyDescent="0.2">
      <c r="A47">
        <v>2018</v>
      </c>
      <c r="B47" s="11" t="s">
        <v>92</v>
      </c>
      <c r="C47" s="12">
        <v>1.7248808000000001E-3</v>
      </c>
      <c r="D47" s="13">
        <v>149505</v>
      </c>
    </row>
    <row r="48" spans="1:4" x14ac:dyDescent="0.2">
      <c r="A48">
        <v>2018</v>
      </c>
      <c r="B48" s="11" t="s">
        <v>93</v>
      </c>
      <c r="C48" s="12">
        <v>8.5234180000000001E-4</v>
      </c>
      <c r="D48" s="13">
        <v>73877</v>
      </c>
    </row>
    <row r="49" spans="1:4" x14ac:dyDescent="0.2">
      <c r="A49">
        <v>2018</v>
      </c>
      <c r="B49" s="11" t="s">
        <v>197</v>
      </c>
      <c r="C49" s="12">
        <v>2.3742359999999999E-4</v>
      </c>
      <c r="D49" s="13">
        <v>20579</v>
      </c>
    </row>
    <row r="50" spans="1:4" x14ac:dyDescent="0.2">
      <c r="A50">
        <v>2018</v>
      </c>
      <c r="B50" s="11" t="s">
        <v>94</v>
      </c>
      <c r="C50" s="12">
        <v>2.0406137E-3</v>
      </c>
      <c r="D50" s="13">
        <v>176872</v>
      </c>
    </row>
    <row r="51" spans="1:4" x14ac:dyDescent="0.2">
      <c r="A51">
        <v>2018</v>
      </c>
      <c r="B51" s="11" t="s">
        <v>95</v>
      </c>
      <c r="C51" s="12">
        <v>1.6140105999999999E-3</v>
      </c>
      <c r="D51" s="13">
        <v>139896</v>
      </c>
    </row>
    <row r="52" spans="1:4" x14ac:dyDescent="0.2">
      <c r="A52">
        <v>2018</v>
      </c>
      <c r="B52" s="11" t="s">
        <v>96</v>
      </c>
      <c r="C52" s="12">
        <v>1.1804891000000001E-3</v>
      </c>
      <c r="D52" s="13">
        <v>102320</v>
      </c>
    </row>
    <row r="53" spans="1:4" x14ac:dyDescent="0.2">
      <c r="A53">
        <v>2018</v>
      </c>
      <c r="B53" s="11" t="s">
        <v>198</v>
      </c>
      <c r="C53" s="12">
        <v>3.4684666000000001E-3</v>
      </c>
      <c r="D53" s="13">
        <v>300632</v>
      </c>
    </row>
    <row r="54" spans="1:4" x14ac:dyDescent="0.2">
      <c r="A54">
        <v>2018</v>
      </c>
      <c r="B54" s="11" t="s">
        <v>97</v>
      </c>
      <c r="C54" s="12">
        <v>1.6726708000000001E-3</v>
      </c>
      <c r="D54" s="13">
        <v>144980</v>
      </c>
    </row>
    <row r="55" spans="1:4" x14ac:dyDescent="0.2">
      <c r="A55">
        <v>2018</v>
      </c>
      <c r="B55" s="11" t="s">
        <v>98</v>
      </c>
      <c r="C55" s="12">
        <v>2.5680541000000002E-3</v>
      </c>
      <c r="D55" s="13">
        <v>222588</v>
      </c>
    </row>
    <row r="56" spans="1:4" x14ac:dyDescent="0.2">
      <c r="A56">
        <v>2018</v>
      </c>
      <c r="B56" s="11" t="s">
        <v>99</v>
      </c>
      <c r="C56" s="12">
        <v>4.447109E-4</v>
      </c>
      <c r="D56" s="13">
        <v>38546</v>
      </c>
    </row>
    <row r="57" spans="1:4" x14ac:dyDescent="0.2">
      <c r="A57">
        <v>2018</v>
      </c>
      <c r="B57" s="11" t="s">
        <v>217</v>
      </c>
      <c r="C57" s="12">
        <v>6.2656016000000002E-3</v>
      </c>
      <c r="D57" s="13">
        <v>543075</v>
      </c>
    </row>
    <row r="58" spans="1:4" x14ac:dyDescent="0.2">
      <c r="A58">
        <v>2018</v>
      </c>
      <c r="B58" s="11" t="s">
        <v>100</v>
      </c>
      <c r="C58" s="12">
        <v>6.9403767699999994E-2</v>
      </c>
      <c r="D58" s="13">
        <v>6015621</v>
      </c>
    </row>
    <row r="59" spans="1:4" x14ac:dyDescent="0.2">
      <c r="A59">
        <v>2018</v>
      </c>
      <c r="B59" s="11" t="s">
        <v>101</v>
      </c>
      <c r="C59" s="12">
        <v>1.6647400000000001E-4</v>
      </c>
      <c r="D59" s="13">
        <v>14429</v>
      </c>
    </row>
    <row r="60" spans="1:4" x14ac:dyDescent="0.2">
      <c r="A60">
        <v>2018</v>
      </c>
      <c r="B60" s="11" t="s">
        <v>102</v>
      </c>
      <c r="C60" s="12">
        <v>1.7445147E-3</v>
      </c>
      <c r="D60" s="13">
        <v>151207</v>
      </c>
    </row>
    <row r="61" spans="1:4" x14ac:dyDescent="0.2">
      <c r="A61">
        <v>2018</v>
      </c>
      <c r="B61" s="11" t="s">
        <v>199</v>
      </c>
      <c r="C61" s="12">
        <v>2.4435096000000002E-3</v>
      </c>
      <c r="D61" s="13">
        <v>211793</v>
      </c>
    </row>
    <row r="62" spans="1:4" x14ac:dyDescent="0.2">
      <c r="A62">
        <v>2018</v>
      </c>
      <c r="B62" s="11" t="s">
        <v>103</v>
      </c>
      <c r="C62" s="12">
        <v>2.5909525999999999E-3</v>
      </c>
      <c r="D62" s="13">
        <v>224573</v>
      </c>
    </row>
    <row r="63" spans="1:4" x14ac:dyDescent="0.2">
      <c r="A63">
        <v>2018</v>
      </c>
      <c r="B63" s="11" t="s">
        <v>104</v>
      </c>
      <c r="C63" s="12">
        <v>3.8923119999999999E-4</v>
      </c>
      <c r="D63" s="13">
        <v>33737</v>
      </c>
    </row>
    <row r="64" spans="1:4" x14ac:dyDescent="0.2">
      <c r="A64">
        <v>2018</v>
      </c>
      <c r="B64" s="11" t="s">
        <v>105</v>
      </c>
      <c r="C64" s="12">
        <v>2.2401612000000001E-3</v>
      </c>
      <c r="D64" s="13">
        <v>194168</v>
      </c>
    </row>
    <row r="65" spans="1:4" x14ac:dyDescent="0.2">
      <c r="A65">
        <v>2018</v>
      </c>
      <c r="B65" s="11" t="s">
        <v>202</v>
      </c>
      <c r="C65" s="12">
        <v>3.3884492E-3</v>
      </c>
      <c r="D65" s="13">
        <v>293696</v>
      </c>
    </row>
    <row r="66" spans="1:4" x14ac:dyDescent="0.2">
      <c r="A66">
        <v>2018</v>
      </c>
      <c r="B66" s="11" t="s">
        <v>106</v>
      </c>
      <c r="C66" s="12">
        <v>1.6527508E-3</v>
      </c>
      <c r="D66" s="13">
        <v>143253</v>
      </c>
    </row>
    <row r="67" spans="1:4" x14ac:dyDescent="0.2">
      <c r="A67">
        <v>2018</v>
      </c>
      <c r="B67" s="11" t="s">
        <v>107</v>
      </c>
      <c r="C67" s="12">
        <v>1.1846208E-3</v>
      </c>
      <c r="D67" s="13">
        <v>102678</v>
      </c>
    </row>
    <row r="68" spans="1:4" x14ac:dyDescent="0.2">
      <c r="A68">
        <v>2018</v>
      </c>
      <c r="B68" s="11" t="s">
        <v>108</v>
      </c>
      <c r="C68" s="12">
        <v>4.4085569999999996E-3</v>
      </c>
      <c r="D68" s="13">
        <v>382115</v>
      </c>
    </row>
    <row r="69" spans="1:4" x14ac:dyDescent="0.2">
      <c r="A69">
        <v>2018</v>
      </c>
      <c r="B69" s="11" t="s">
        <v>200</v>
      </c>
      <c r="C69" s="12">
        <v>1.7617659000000001E-3</v>
      </c>
      <c r="D69" s="13">
        <v>152702</v>
      </c>
    </row>
    <row r="70" spans="1:4" x14ac:dyDescent="0.2">
      <c r="A70">
        <v>2018</v>
      </c>
      <c r="B70" s="11" t="s">
        <v>0</v>
      </c>
      <c r="C70" s="12">
        <v>2.0368983000000002E-3</v>
      </c>
      <c r="D70" s="13">
        <v>176550</v>
      </c>
    </row>
    <row r="71" spans="1:4" x14ac:dyDescent="0.2">
      <c r="A71">
        <v>2018</v>
      </c>
      <c r="B71" s="11" t="s">
        <v>2</v>
      </c>
      <c r="C71" s="12">
        <v>3.8900961E-3</v>
      </c>
      <c r="D71" s="13">
        <v>337177</v>
      </c>
    </row>
    <row r="72" spans="1:4" x14ac:dyDescent="0.2">
      <c r="A72">
        <v>2018</v>
      </c>
      <c r="B72" s="11" t="s">
        <v>3</v>
      </c>
      <c r="C72" s="12">
        <v>1.0305170000000001E-3</v>
      </c>
      <c r="D72" s="13">
        <v>89321</v>
      </c>
    </row>
    <row r="73" spans="1:4" x14ac:dyDescent="0.2">
      <c r="A73">
        <v>2018</v>
      </c>
      <c r="B73" s="11" t="s">
        <v>4</v>
      </c>
      <c r="C73" s="12">
        <v>5.6780699999999997E-5</v>
      </c>
      <c r="D73" s="13">
        <v>4922</v>
      </c>
    </row>
    <row r="74" spans="1:4" x14ac:dyDescent="0.2">
      <c r="A74">
        <v>2018</v>
      </c>
      <c r="B74" s="11" t="s">
        <v>5</v>
      </c>
      <c r="C74" s="12">
        <v>2.1785609999999999E-3</v>
      </c>
      <c r="D74" s="13">
        <v>188828</v>
      </c>
    </row>
    <row r="75" spans="1:4" x14ac:dyDescent="0.2">
      <c r="A75">
        <v>2018</v>
      </c>
      <c r="B75" s="11" t="s">
        <v>6</v>
      </c>
      <c r="C75" s="12">
        <v>1.9690446399999999E-2</v>
      </c>
      <c r="D75" s="13">
        <v>1706684</v>
      </c>
    </row>
    <row r="76" spans="1:4" x14ac:dyDescent="0.2">
      <c r="A76">
        <v>2018</v>
      </c>
      <c r="B76" s="11" t="s">
        <v>7</v>
      </c>
      <c r="C76" s="12">
        <v>2.6588651999999999E-3</v>
      </c>
      <c r="D76" s="13">
        <v>230459</v>
      </c>
    </row>
    <row r="77" spans="1:4" x14ac:dyDescent="0.2">
      <c r="A77">
        <v>2018</v>
      </c>
      <c r="B77" s="11" t="s">
        <v>226</v>
      </c>
      <c r="C77" s="12">
        <v>4.287513E-4</v>
      </c>
      <c r="D77" s="13">
        <v>37162</v>
      </c>
    </row>
    <row r="78" spans="1:4" x14ac:dyDescent="0.2">
      <c r="A78">
        <v>2018</v>
      </c>
      <c r="B78" s="11" t="s">
        <v>8</v>
      </c>
      <c r="C78" s="12">
        <v>3.1769148000000001E-3</v>
      </c>
      <c r="D78" s="13">
        <v>275361</v>
      </c>
    </row>
    <row r="79" spans="1:4" x14ac:dyDescent="0.2">
      <c r="A79">
        <v>2018</v>
      </c>
      <c r="B79" s="11" t="s">
        <v>9</v>
      </c>
      <c r="C79" s="12">
        <v>4.2402995999999997E-3</v>
      </c>
      <c r="D79" s="13">
        <v>367531</v>
      </c>
    </row>
    <row r="80" spans="1:4" x14ac:dyDescent="0.2">
      <c r="A80">
        <v>2018</v>
      </c>
      <c r="B80" s="11" t="s">
        <v>10</v>
      </c>
      <c r="C80" s="12">
        <v>4.9931117000000004E-3</v>
      </c>
      <c r="D80" s="13">
        <v>432782</v>
      </c>
    </row>
    <row r="81" spans="1:4" x14ac:dyDescent="0.2">
      <c r="A81">
        <v>2018</v>
      </c>
      <c r="B81" s="11" t="s">
        <v>225</v>
      </c>
      <c r="C81" s="12">
        <v>1.5394432E-3</v>
      </c>
      <c r="D81" s="13">
        <v>133432</v>
      </c>
    </row>
    <row r="82" spans="1:4" x14ac:dyDescent="0.2">
      <c r="A82">
        <v>2018</v>
      </c>
      <c r="B82" s="11" t="s">
        <v>11</v>
      </c>
      <c r="C82" s="12">
        <v>2.6740002999999998E-3</v>
      </c>
      <c r="D82" s="13">
        <v>231771</v>
      </c>
    </row>
    <row r="83" spans="1:4" x14ac:dyDescent="0.2">
      <c r="A83">
        <v>2018</v>
      </c>
      <c r="B83" s="11" t="s">
        <v>12</v>
      </c>
      <c r="C83" s="12">
        <v>1.8724952999999999E-3</v>
      </c>
      <c r="D83" s="13">
        <v>162300</v>
      </c>
    </row>
    <row r="84" spans="1:4" x14ac:dyDescent="0.2">
      <c r="A84">
        <v>2018</v>
      </c>
      <c r="B84" s="11" t="s">
        <v>13</v>
      </c>
      <c r="C84" s="12">
        <v>2.2376237E-3</v>
      </c>
      <c r="D84" s="13">
        <v>193948</v>
      </c>
    </row>
    <row r="85" spans="1:4" x14ac:dyDescent="0.2">
      <c r="A85">
        <v>2018</v>
      </c>
      <c r="B85" s="11" t="s">
        <v>183</v>
      </c>
      <c r="C85" s="12">
        <v>3.4495448E-3</v>
      </c>
      <c r="D85" s="13">
        <v>298992</v>
      </c>
    </row>
    <row r="86" spans="1:4" x14ac:dyDescent="0.2">
      <c r="A86">
        <v>2018</v>
      </c>
      <c r="B86" s="11" t="s">
        <v>14</v>
      </c>
      <c r="C86" s="12">
        <v>3.2833476E-3</v>
      </c>
      <c r="D86" s="13">
        <v>284587</v>
      </c>
    </row>
    <row r="87" spans="1:4" x14ac:dyDescent="0.2">
      <c r="A87">
        <v>2018</v>
      </c>
      <c r="B87" s="11" t="s">
        <v>15</v>
      </c>
      <c r="C87" s="12">
        <v>1.5657723000000001E-3</v>
      </c>
      <c r="D87" s="13">
        <v>135714</v>
      </c>
    </row>
    <row r="88" spans="1:4" x14ac:dyDescent="0.2">
      <c r="A88">
        <v>2018</v>
      </c>
      <c r="B88" s="11" t="s">
        <v>16</v>
      </c>
      <c r="C88" s="12">
        <v>3.8382604000000002E-3</v>
      </c>
      <c r="D88" s="13">
        <v>332684</v>
      </c>
    </row>
    <row r="89" spans="1:4" x14ac:dyDescent="0.2">
      <c r="A89">
        <v>2018</v>
      </c>
      <c r="B89" s="11" t="s">
        <v>224</v>
      </c>
      <c r="C89" s="12">
        <v>1.6536401000000001E-3</v>
      </c>
      <c r="D89" s="13">
        <v>143330</v>
      </c>
    </row>
    <row r="90" spans="1:4" x14ac:dyDescent="0.2">
      <c r="A90">
        <v>2018</v>
      </c>
      <c r="B90" s="11" t="s">
        <v>17</v>
      </c>
      <c r="C90" s="12">
        <v>2.4283323000000002E-3</v>
      </c>
      <c r="D90" s="13">
        <v>210477</v>
      </c>
    </row>
    <row r="91" spans="1:4" x14ac:dyDescent="0.2">
      <c r="A91">
        <v>2018</v>
      </c>
      <c r="B91" s="11" t="s">
        <v>18</v>
      </c>
      <c r="C91" s="12">
        <v>5.2754979000000004E-3</v>
      </c>
      <c r="D91" s="13">
        <v>457258</v>
      </c>
    </row>
    <row r="92" spans="1:4" x14ac:dyDescent="0.2">
      <c r="A92">
        <v>2018</v>
      </c>
      <c r="B92" s="11" t="s">
        <v>19</v>
      </c>
      <c r="C92" s="12">
        <v>1.1609834999999999E-3</v>
      </c>
      <c r="D92" s="13">
        <v>100629</v>
      </c>
    </row>
    <row r="93" spans="1:4" x14ac:dyDescent="0.2">
      <c r="A93">
        <v>2018</v>
      </c>
      <c r="B93" s="11" t="s">
        <v>223</v>
      </c>
      <c r="C93" s="12">
        <v>1.9544899999999999E-4</v>
      </c>
      <c r="D93" s="13">
        <v>16941</v>
      </c>
    </row>
    <row r="94" spans="1:4" x14ac:dyDescent="0.2">
      <c r="A94">
        <v>2018</v>
      </c>
      <c r="B94" s="11" t="s">
        <v>20</v>
      </c>
      <c r="C94" s="12">
        <v>6.0005999999999998E-6</v>
      </c>
      <c r="D94" s="11">
        <v>520</v>
      </c>
    </row>
    <row r="95" spans="1:4" x14ac:dyDescent="0.2">
      <c r="A95">
        <v>2018</v>
      </c>
      <c r="B95" s="11" t="s">
        <v>21</v>
      </c>
      <c r="C95" s="12">
        <v>3.502717E-4</v>
      </c>
      <c r="D95" s="13">
        <v>30360</v>
      </c>
    </row>
    <row r="96" spans="1:4" x14ac:dyDescent="0.2">
      <c r="A96">
        <v>2018</v>
      </c>
      <c r="B96" s="11" t="s">
        <v>22</v>
      </c>
      <c r="C96" s="12">
        <v>3.1534869999999998E-4</v>
      </c>
      <c r="D96" s="13">
        <v>27333</v>
      </c>
    </row>
    <row r="97" spans="1:4" x14ac:dyDescent="0.2">
      <c r="A97">
        <v>2018</v>
      </c>
      <c r="B97" s="11" t="s">
        <v>222</v>
      </c>
      <c r="C97" s="12">
        <v>1.3428188E-3</v>
      </c>
      <c r="D97" s="13">
        <v>116390</v>
      </c>
    </row>
    <row r="98" spans="1:4" x14ac:dyDescent="0.2">
      <c r="A98">
        <v>2018</v>
      </c>
      <c r="B98" s="11" t="s">
        <v>23</v>
      </c>
      <c r="C98" s="12">
        <v>2.9736814699999999E-2</v>
      </c>
      <c r="D98" s="13">
        <v>2577460</v>
      </c>
    </row>
    <row r="99" spans="1:4" x14ac:dyDescent="0.2">
      <c r="A99">
        <v>2018</v>
      </c>
      <c r="B99" s="11" t="s">
        <v>24</v>
      </c>
      <c r="C99" s="12">
        <v>2.1245574000000001E-3</v>
      </c>
      <c r="D99" s="13">
        <v>184148</v>
      </c>
    </row>
    <row r="100" spans="1:4" x14ac:dyDescent="0.2">
      <c r="A100">
        <v>2018</v>
      </c>
      <c r="B100" s="11" t="s">
        <v>25</v>
      </c>
      <c r="C100" s="12">
        <v>1.5333950000000001E-4</v>
      </c>
      <c r="D100" s="13">
        <v>13291</v>
      </c>
    </row>
    <row r="101" spans="1:4" x14ac:dyDescent="0.2">
      <c r="A101">
        <v>2018</v>
      </c>
      <c r="B101" s="11" t="s">
        <v>228</v>
      </c>
      <c r="C101" s="12">
        <v>1.2382697E-3</v>
      </c>
      <c r="D101" s="13">
        <v>107328</v>
      </c>
    </row>
    <row r="102" spans="1:4" x14ac:dyDescent="0.2">
      <c r="A102">
        <v>2018</v>
      </c>
      <c r="B102" s="11" t="s">
        <v>26</v>
      </c>
      <c r="C102" s="12">
        <v>2.4636978000000002E-3</v>
      </c>
      <c r="D102" s="13">
        <v>213543</v>
      </c>
    </row>
    <row r="103" spans="1:4" x14ac:dyDescent="0.2">
      <c r="A103">
        <v>2018</v>
      </c>
      <c r="B103" s="11" t="s">
        <v>27</v>
      </c>
      <c r="C103" s="12">
        <v>1.1775542E-3</v>
      </c>
      <c r="D103" s="13">
        <v>102065</v>
      </c>
    </row>
    <row r="104" spans="1:4" x14ac:dyDescent="0.2">
      <c r="A104">
        <v>2018</v>
      </c>
      <c r="B104" s="11" t="s">
        <v>28</v>
      </c>
      <c r="C104" s="12">
        <v>1.5487779999999999E-4</v>
      </c>
      <c r="D104" s="13">
        <v>13424</v>
      </c>
    </row>
    <row r="105" spans="1:4" x14ac:dyDescent="0.2">
      <c r="A105">
        <v>2018</v>
      </c>
      <c r="B105" s="11" t="s">
        <v>184</v>
      </c>
      <c r="C105" s="12">
        <v>1.7200367999999999E-3</v>
      </c>
      <c r="D105" s="13">
        <v>149085</v>
      </c>
    </row>
    <row r="106" spans="1:4" x14ac:dyDescent="0.2">
      <c r="A106">
        <v>2018</v>
      </c>
      <c r="B106" s="11" t="s">
        <v>29</v>
      </c>
      <c r="C106" s="12">
        <v>4.0590165999999997E-3</v>
      </c>
      <c r="D106" s="13">
        <v>351818</v>
      </c>
    </row>
    <row r="107" spans="1:4" x14ac:dyDescent="0.2">
      <c r="A107">
        <v>2018</v>
      </c>
      <c r="B107" s="11" t="s">
        <v>30</v>
      </c>
      <c r="C107" s="12">
        <v>8.2511610000000001E-4</v>
      </c>
      <c r="D107" s="13">
        <v>71518</v>
      </c>
    </row>
    <row r="108" spans="1:4" x14ac:dyDescent="0.2">
      <c r="A108">
        <v>2018</v>
      </c>
      <c r="B108" s="11" t="s">
        <v>31</v>
      </c>
      <c r="C108" s="12">
        <v>6.4831899999999998E-5</v>
      </c>
      <c r="D108" s="13">
        <v>5619</v>
      </c>
    </row>
    <row r="109" spans="1:4" x14ac:dyDescent="0.2">
      <c r="A109">
        <v>2018</v>
      </c>
      <c r="B109" s="11" t="s">
        <v>221</v>
      </c>
      <c r="C109" s="12">
        <v>1.1157324999999999E-2</v>
      </c>
      <c r="D109" s="13">
        <v>967069</v>
      </c>
    </row>
    <row r="110" spans="1:4" x14ac:dyDescent="0.2">
      <c r="A110">
        <v>2018</v>
      </c>
      <c r="B110" s="11" t="s">
        <v>32</v>
      </c>
      <c r="C110" s="12">
        <v>1.5689683999999999E-3</v>
      </c>
      <c r="D110" s="13">
        <v>135991</v>
      </c>
    </row>
    <row r="111" spans="1:4" x14ac:dyDescent="0.2">
      <c r="A111">
        <v>2018</v>
      </c>
      <c r="B111" s="11" t="s">
        <v>33</v>
      </c>
      <c r="C111" s="12">
        <v>2.8763649999999998E-4</v>
      </c>
      <c r="D111" s="13">
        <v>24931</v>
      </c>
    </row>
    <row r="112" spans="1:4" x14ac:dyDescent="0.2">
      <c r="A112">
        <v>2018</v>
      </c>
      <c r="B112" s="11" t="s">
        <v>34</v>
      </c>
      <c r="C112" s="12">
        <v>1.5611651E-3</v>
      </c>
      <c r="D112" s="13">
        <v>135315</v>
      </c>
    </row>
    <row r="113" spans="1:4" x14ac:dyDescent="0.2">
      <c r="A113">
        <v>2018</v>
      </c>
      <c r="B113" s="11" t="s">
        <v>229</v>
      </c>
      <c r="C113" s="12">
        <v>1.8904093999999999E-3</v>
      </c>
      <c r="D113" s="13">
        <v>163853</v>
      </c>
    </row>
    <row r="114" spans="1:4" x14ac:dyDescent="0.2">
      <c r="A114">
        <v>2018</v>
      </c>
      <c r="B114" s="11" t="s">
        <v>35</v>
      </c>
      <c r="C114" s="12">
        <v>2.1695720999999999E-3</v>
      </c>
      <c r="D114" s="13">
        <v>188049</v>
      </c>
    </row>
    <row r="115" spans="1:4" x14ac:dyDescent="0.2">
      <c r="A115">
        <v>2018</v>
      </c>
      <c r="B115" s="11" t="s">
        <v>36</v>
      </c>
      <c r="C115" s="12">
        <v>2.5733995999999999E-3</v>
      </c>
      <c r="D115" s="13">
        <v>223051</v>
      </c>
    </row>
    <row r="116" spans="1:4" x14ac:dyDescent="0.2">
      <c r="A116">
        <v>2018</v>
      </c>
      <c r="B116" s="11" t="s">
        <v>37</v>
      </c>
      <c r="C116" s="12">
        <v>6.5464027600000002E-2</v>
      </c>
      <c r="D116" s="13">
        <v>5674141</v>
      </c>
    </row>
    <row r="117" spans="1:4" x14ac:dyDescent="0.2">
      <c r="A117">
        <v>2018</v>
      </c>
      <c r="B117" s="11" t="s">
        <v>219</v>
      </c>
      <c r="C117" s="12">
        <v>1.8851588999999999E-3</v>
      </c>
      <c r="D117" s="13">
        <v>163397</v>
      </c>
    </row>
    <row r="118" spans="1:4" x14ac:dyDescent="0.2">
      <c r="A118">
        <v>2018</v>
      </c>
      <c r="B118" s="11" t="s">
        <v>38</v>
      </c>
      <c r="C118" s="12">
        <v>3.0981232E-3</v>
      </c>
      <c r="D118" s="13">
        <v>268532</v>
      </c>
    </row>
    <row r="119" spans="1:4" x14ac:dyDescent="0.2">
      <c r="A119">
        <v>2018</v>
      </c>
      <c r="B119" s="11" t="s">
        <v>39</v>
      </c>
      <c r="C119" s="12">
        <v>1.1490306000000001E-3</v>
      </c>
      <c r="D119" s="13">
        <v>99593</v>
      </c>
    </row>
    <row r="120" spans="1:4" x14ac:dyDescent="0.2">
      <c r="A120">
        <v>2018</v>
      </c>
      <c r="B120" s="11" t="s">
        <v>40</v>
      </c>
      <c r="C120" s="12">
        <v>1.49672E-5</v>
      </c>
      <c r="D120" s="13">
        <v>1297</v>
      </c>
    </row>
    <row r="121" spans="1:4" x14ac:dyDescent="0.2">
      <c r="A121">
        <v>2018</v>
      </c>
      <c r="B121" s="11" t="s">
        <v>220</v>
      </c>
      <c r="C121" s="12">
        <v>2.0806113000000001E-3</v>
      </c>
      <c r="D121" s="13">
        <v>180338</v>
      </c>
    </row>
    <row r="122" spans="1:4" x14ac:dyDescent="0.2">
      <c r="A122">
        <v>2018</v>
      </c>
      <c r="B122" s="11" t="s">
        <v>41</v>
      </c>
      <c r="C122" s="12">
        <v>2.3714302E-3</v>
      </c>
      <c r="D122" s="13">
        <v>205545</v>
      </c>
    </row>
    <row r="123" spans="1:4" x14ac:dyDescent="0.2">
      <c r="A123">
        <v>2018</v>
      </c>
      <c r="B123" s="11" t="s">
        <v>42</v>
      </c>
      <c r="C123" s="12">
        <v>1.4996072000000001E-3</v>
      </c>
      <c r="D123" s="13">
        <v>129980</v>
      </c>
    </row>
    <row r="124" spans="1:4" x14ac:dyDescent="0.2">
      <c r="A124">
        <v>2018</v>
      </c>
      <c r="B124" s="11" t="s">
        <v>43</v>
      </c>
      <c r="C124" s="12">
        <v>0</v>
      </c>
      <c r="D124" s="11"/>
    </row>
    <row r="125" spans="1:4" x14ac:dyDescent="0.2">
      <c r="A125">
        <v>2018</v>
      </c>
      <c r="B125" s="11" t="s">
        <v>185</v>
      </c>
      <c r="C125" s="12">
        <v>2.2890713999999999E-3</v>
      </c>
      <c r="D125" s="13">
        <v>198407</v>
      </c>
    </row>
    <row r="126" spans="1:4" x14ac:dyDescent="0.2">
      <c r="A126">
        <v>2018</v>
      </c>
      <c r="B126" s="11" t="s">
        <v>44</v>
      </c>
      <c r="C126" s="12">
        <v>1.3936640000000001E-4</v>
      </c>
      <c r="D126" s="13">
        <v>12080</v>
      </c>
    </row>
    <row r="127" spans="1:4" x14ac:dyDescent="0.2">
      <c r="A127">
        <v>2018</v>
      </c>
      <c r="B127" s="11" t="s">
        <v>45</v>
      </c>
      <c r="C127" s="12">
        <v>2.0156057E-3</v>
      </c>
      <c r="D127" s="13">
        <v>174704</v>
      </c>
    </row>
    <row r="128" spans="1:4" x14ac:dyDescent="0.2">
      <c r="A128">
        <v>2018</v>
      </c>
      <c r="B128" s="11" t="s">
        <v>46</v>
      </c>
      <c r="C128" s="12">
        <v>3.902183E-4</v>
      </c>
      <c r="D128" s="13">
        <v>33822</v>
      </c>
    </row>
    <row r="129" spans="1:4" x14ac:dyDescent="0.2">
      <c r="A129">
        <v>2018</v>
      </c>
      <c r="B129" s="11" t="s">
        <v>189</v>
      </c>
      <c r="C129" s="12">
        <v>1.0572125E-3</v>
      </c>
      <c r="D129" s="13">
        <v>91635</v>
      </c>
    </row>
    <row r="130" spans="1:4" x14ac:dyDescent="0.2">
      <c r="A130">
        <v>2018</v>
      </c>
      <c r="B130" s="11" t="s">
        <v>47</v>
      </c>
      <c r="C130" s="12">
        <v>1.3983196000000001E-3</v>
      </c>
      <c r="D130" s="13">
        <v>121200</v>
      </c>
    </row>
    <row r="131" spans="1:4" x14ac:dyDescent="0.2">
      <c r="A131">
        <v>2018</v>
      </c>
      <c r="B131" s="11" t="s">
        <v>48</v>
      </c>
      <c r="C131" s="12">
        <v>4.780184E-4</v>
      </c>
      <c r="D131" s="13">
        <v>41433</v>
      </c>
    </row>
    <row r="132" spans="1:4" x14ac:dyDescent="0.2">
      <c r="A132">
        <v>2018</v>
      </c>
      <c r="B132" s="11" t="s">
        <v>49</v>
      </c>
      <c r="C132" s="12">
        <v>1.7965508999999999E-3</v>
      </c>
      <c r="D132" s="13">
        <v>155717</v>
      </c>
    </row>
    <row r="133" spans="1:4" x14ac:dyDescent="0.2">
      <c r="A133">
        <v>2018</v>
      </c>
      <c r="B133" s="11" t="s">
        <v>186</v>
      </c>
      <c r="C133" s="12">
        <v>4.0536633000000004E-3</v>
      </c>
      <c r="D133" s="13">
        <v>351354</v>
      </c>
    </row>
    <row r="134" spans="1:4" x14ac:dyDescent="0.2">
      <c r="A134">
        <v>2018</v>
      </c>
      <c r="B134" s="11" t="s">
        <v>50</v>
      </c>
      <c r="C134" s="12">
        <v>1.931E-5</v>
      </c>
      <c r="D134" s="13">
        <v>1674</v>
      </c>
    </row>
    <row r="135" spans="1:4" x14ac:dyDescent="0.2">
      <c r="A135">
        <v>2018</v>
      </c>
      <c r="B135" s="11" t="s">
        <v>51</v>
      </c>
      <c r="C135" s="12">
        <v>2.6488198E-3</v>
      </c>
      <c r="D135" s="13">
        <v>229588</v>
      </c>
    </row>
    <row r="136" spans="1:4" x14ac:dyDescent="0.2">
      <c r="A136">
        <v>2018</v>
      </c>
      <c r="B136" s="11" t="s">
        <v>52</v>
      </c>
      <c r="C136" s="12">
        <v>2.1027814999999999E-3</v>
      </c>
      <c r="D136" s="13">
        <v>182260</v>
      </c>
    </row>
    <row r="137" spans="1:4" x14ac:dyDescent="0.2">
      <c r="A137">
        <v>2018</v>
      </c>
      <c r="B137" s="11" t="s">
        <v>109</v>
      </c>
      <c r="C137" s="12">
        <v>2.5472949000000002E-3</v>
      </c>
      <c r="D137" s="13">
        <v>220789</v>
      </c>
    </row>
    <row r="138" spans="1:4" x14ac:dyDescent="0.2">
      <c r="A138">
        <v>2018</v>
      </c>
      <c r="B138" s="11" t="s">
        <v>110</v>
      </c>
      <c r="C138" s="12">
        <v>2.8628566999999998E-3</v>
      </c>
      <c r="D138" s="13">
        <v>248140</v>
      </c>
    </row>
    <row r="139" spans="1:4" x14ac:dyDescent="0.2">
      <c r="A139">
        <v>2018</v>
      </c>
      <c r="B139" s="11" t="s">
        <v>111</v>
      </c>
      <c r="C139" s="12">
        <v>7.3052257999999997E-3</v>
      </c>
      <c r="D139" s="13">
        <v>633186</v>
      </c>
    </row>
    <row r="140" spans="1:4" x14ac:dyDescent="0.2">
      <c r="A140">
        <v>2018</v>
      </c>
      <c r="B140" s="11" t="s">
        <v>112</v>
      </c>
      <c r="C140" s="12">
        <v>1.1239422E-3</v>
      </c>
      <c r="D140" s="13">
        <v>97418</v>
      </c>
    </row>
    <row r="141" spans="1:4" x14ac:dyDescent="0.2">
      <c r="A141">
        <v>2018</v>
      </c>
      <c r="B141" s="11" t="s">
        <v>113</v>
      </c>
      <c r="C141" s="12">
        <v>4.0133553000000002E-3</v>
      </c>
      <c r="D141" s="13">
        <v>347860</v>
      </c>
    </row>
    <row r="142" spans="1:4" x14ac:dyDescent="0.2">
      <c r="A142">
        <v>2018</v>
      </c>
      <c r="B142" s="11" t="s">
        <v>114</v>
      </c>
      <c r="C142" s="12">
        <v>2.3593012999999999E-3</v>
      </c>
      <c r="D142" s="13">
        <v>204494</v>
      </c>
    </row>
    <row r="143" spans="1:4" x14ac:dyDescent="0.2">
      <c r="A143">
        <v>2018</v>
      </c>
      <c r="B143" s="11" t="s">
        <v>115</v>
      </c>
      <c r="C143" s="12">
        <v>2.5084927E-3</v>
      </c>
      <c r="D143" s="13">
        <v>217425</v>
      </c>
    </row>
    <row r="144" spans="1:4" x14ac:dyDescent="0.2">
      <c r="A144">
        <v>2018</v>
      </c>
      <c r="B144" s="11" t="s">
        <v>203</v>
      </c>
      <c r="C144" s="12">
        <v>8.3003549999999997E-4</v>
      </c>
      <c r="D144" s="13">
        <v>71944</v>
      </c>
    </row>
    <row r="145" spans="1:4" x14ac:dyDescent="0.2">
      <c r="A145">
        <v>2018</v>
      </c>
      <c r="B145" s="11" t="s">
        <v>116</v>
      </c>
      <c r="C145" s="12">
        <v>4.7199386000000001E-3</v>
      </c>
      <c r="D145" s="13">
        <v>409104</v>
      </c>
    </row>
    <row r="146" spans="1:4" x14ac:dyDescent="0.2">
      <c r="A146">
        <v>2018</v>
      </c>
      <c r="B146" s="11" t="s">
        <v>117</v>
      </c>
      <c r="C146" s="12">
        <v>4.6608730000000001E-4</v>
      </c>
      <c r="D146" s="13">
        <v>40398</v>
      </c>
    </row>
    <row r="147" spans="1:4" x14ac:dyDescent="0.2">
      <c r="A147">
        <v>2018</v>
      </c>
      <c r="B147" s="11" t="s">
        <v>118</v>
      </c>
      <c r="C147" s="12">
        <v>2.4153232000000001E-3</v>
      </c>
      <c r="D147" s="13">
        <v>209350</v>
      </c>
    </row>
    <row r="148" spans="1:4" x14ac:dyDescent="0.2">
      <c r="A148">
        <v>2018</v>
      </c>
      <c r="B148" s="11" t="s">
        <v>201</v>
      </c>
      <c r="C148" s="12">
        <v>3.1074840000000002E-3</v>
      </c>
      <c r="D148" s="13">
        <v>269343</v>
      </c>
    </row>
    <row r="149" spans="1:4" x14ac:dyDescent="0.2">
      <c r="A149">
        <v>2018</v>
      </c>
      <c r="B149" s="11" t="s">
        <v>119</v>
      </c>
      <c r="C149" s="12">
        <v>5.2024989999999995E-4</v>
      </c>
      <c r="D149" s="13">
        <v>45093</v>
      </c>
    </row>
    <row r="150" spans="1:4" x14ac:dyDescent="0.2">
      <c r="A150">
        <v>2018</v>
      </c>
      <c r="B150" s="11" t="s">
        <v>120</v>
      </c>
      <c r="C150" s="12">
        <v>1.4098915999999999E-3</v>
      </c>
      <c r="D150" s="13">
        <v>122203</v>
      </c>
    </row>
    <row r="151" spans="1:4" x14ac:dyDescent="0.2">
      <c r="A151">
        <v>2018</v>
      </c>
      <c r="B151" s="11" t="s">
        <v>121</v>
      </c>
      <c r="C151" s="12">
        <v>9.7253909999999995E-4</v>
      </c>
      <c r="D151" s="13">
        <v>84296</v>
      </c>
    </row>
    <row r="152" spans="1:4" x14ac:dyDescent="0.2">
      <c r="A152">
        <v>2018</v>
      </c>
      <c r="B152" s="11" t="s">
        <v>230</v>
      </c>
      <c r="C152" s="12">
        <v>3.0751766E-3</v>
      </c>
      <c r="D152" s="13">
        <v>266543</v>
      </c>
    </row>
    <row r="153" spans="1:4" x14ac:dyDescent="0.2">
      <c r="A153">
        <v>2018</v>
      </c>
      <c r="B153" s="11" t="s">
        <v>122</v>
      </c>
      <c r="C153" s="12">
        <v>2.7486804E-3</v>
      </c>
      <c r="D153" s="13">
        <v>238244</v>
      </c>
    </row>
    <row r="154" spans="1:4" x14ac:dyDescent="0.2">
      <c r="A154">
        <v>2018</v>
      </c>
      <c r="B154" s="11" t="s">
        <v>123</v>
      </c>
      <c r="C154" s="12">
        <v>8.7812109999999997E-4</v>
      </c>
      <c r="D154" s="13">
        <v>76112</v>
      </c>
    </row>
    <row r="155" spans="1:4" x14ac:dyDescent="0.2">
      <c r="A155">
        <v>2018</v>
      </c>
      <c r="B155" s="11" t="s">
        <v>124</v>
      </c>
      <c r="C155" s="12">
        <v>1.8259870000000001E-4</v>
      </c>
      <c r="D155" s="13">
        <v>15827</v>
      </c>
    </row>
    <row r="156" spans="1:4" x14ac:dyDescent="0.2">
      <c r="A156">
        <v>2018</v>
      </c>
      <c r="B156" s="11" t="s">
        <v>216</v>
      </c>
      <c r="C156" s="12">
        <v>1.2339769E-3</v>
      </c>
      <c r="D156" s="13">
        <v>106956</v>
      </c>
    </row>
    <row r="157" spans="1:4" x14ac:dyDescent="0.2">
      <c r="A157">
        <v>2018</v>
      </c>
      <c r="B157" s="11" t="s">
        <v>125</v>
      </c>
      <c r="C157" s="12">
        <v>0</v>
      </c>
      <c r="D157" s="11"/>
    </row>
    <row r="158" spans="1:4" x14ac:dyDescent="0.2">
      <c r="A158">
        <v>2018</v>
      </c>
      <c r="B158" s="11" t="s">
        <v>126</v>
      </c>
      <c r="C158" s="12">
        <v>1.7189029999999999E-3</v>
      </c>
      <c r="D158" s="13">
        <v>148987</v>
      </c>
    </row>
    <row r="159" spans="1:4" x14ac:dyDescent="0.2">
      <c r="A159">
        <v>2018</v>
      </c>
      <c r="B159" s="11" t="s">
        <v>127</v>
      </c>
      <c r="C159" s="12">
        <v>2.6796226999999998E-3</v>
      </c>
      <c r="D159" s="13">
        <v>232258</v>
      </c>
    </row>
    <row r="160" spans="1:4" x14ac:dyDescent="0.2">
      <c r="A160">
        <v>2018</v>
      </c>
      <c r="B160" s="11" t="s">
        <v>231</v>
      </c>
      <c r="C160" s="12">
        <v>2.2275700999999999E-3</v>
      </c>
      <c r="D160" s="13">
        <v>193076</v>
      </c>
    </row>
    <row r="161" spans="1:4" x14ac:dyDescent="0.2">
      <c r="A161">
        <v>2018</v>
      </c>
      <c r="B161" s="11" t="s">
        <v>128</v>
      </c>
      <c r="C161" s="12">
        <v>0</v>
      </c>
      <c r="D161" s="11"/>
    </row>
    <row r="162" spans="1:4" x14ac:dyDescent="0.2">
      <c r="A162">
        <v>2018</v>
      </c>
      <c r="B162" s="11" t="s">
        <v>129</v>
      </c>
      <c r="C162" s="12">
        <v>0</v>
      </c>
      <c r="D162" s="11"/>
    </row>
    <row r="163" spans="1:4" x14ac:dyDescent="0.2">
      <c r="A163">
        <v>2018</v>
      </c>
      <c r="B163" s="11" t="s">
        <v>130</v>
      </c>
      <c r="C163" s="12">
        <v>1.8590847E-3</v>
      </c>
      <c r="D163" s="13">
        <v>161137</v>
      </c>
    </row>
    <row r="164" spans="1:4" x14ac:dyDescent="0.2">
      <c r="A164">
        <v>2018</v>
      </c>
      <c r="B164" s="11" t="s">
        <v>204</v>
      </c>
      <c r="C164" s="12">
        <v>5.7507800000000003E-4</v>
      </c>
      <c r="D164" s="13">
        <v>49845</v>
      </c>
    </row>
    <row r="165" spans="1:4" x14ac:dyDescent="0.2">
      <c r="A165">
        <v>2018</v>
      </c>
      <c r="B165" s="11" t="s">
        <v>131</v>
      </c>
      <c r="C165" s="12">
        <v>2.0395419999999999E-4</v>
      </c>
      <c r="D165" s="13">
        <v>17678</v>
      </c>
    </row>
    <row r="166" spans="1:4" x14ac:dyDescent="0.2">
      <c r="A166">
        <v>2018</v>
      </c>
      <c r="B166" s="11" t="s">
        <v>132</v>
      </c>
      <c r="C166" s="12">
        <v>3.8106510000000002E-4</v>
      </c>
      <c r="D166" s="13">
        <v>33029</v>
      </c>
    </row>
    <row r="167" spans="1:4" x14ac:dyDescent="0.2">
      <c r="A167">
        <v>2018</v>
      </c>
      <c r="B167" s="11" t="s">
        <v>133</v>
      </c>
      <c r="C167" s="12">
        <v>4.9154667999999997E-3</v>
      </c>
      <c r="D167" s="13">
        <v>426052</v>
      </c>
    </row>
    <row r="168" spans="1:4" x14ac:dyDescent="0.2">
      <c r="A168">
        <v>2018</v>
      </c>
      <c r="B168" s="11" t="s">
        <v>205</v>
      </c>
      <c r="C168" s="12">
        <v>1.7811925E-3</v>
      </c>
      <c r="D168" s="13">
        <v>154386</v>
      </c>
    </row>
    <row r="169" spans="1:4" x14ac:dyDescent="0.2">
      <c r="A169">
        <v>2018</v>
      </c>
      <c r="B169" s="11" t="s">
        <v>134</v>
      </c>
      <c r="C169" s="12">
        <v>2.3790992E-3</v>
      </c>
      <c r="D169" s="13">
        <v>206210</v>
      </c>
    </row>
    <row r="170" spans="1:4" x14ac:dyDescent="0.2">
      <c r="A170">
        <v>2018</v>
      </c>
      <c r="B170" s="11" t="s">
        <v>135</v>
      </c>
      <c r="C170" s="12">
        <v>7.6072080000000005E-4</v>
      </c>
      <c r="D170" s="13">
        <v>65936</v>
      </c>
    </row>
    <row r="171" spans="1:4" x14ac:dyDescent="0.2">
      <c r="A171">
        <v>2018</v>
      </c>
      <c r="B171" s="11" t="s">
        <v>136</v>
      </c>
      <c r="C171" s="12">
        <v>1.7020042000000001E-3</v>
      </c>
      <c r="D171" s="13">
        <v>147522</v>
      </c>
    </row>
    <row r="172" spans="1:4" x14ac:dyDescent="0.2">
      <c r="A172">
        <v>2018</v>
      </c>
      <c r="B172" s="11" t="s">
        <v>215</v>
      </c>
      <c r="C172" s="12">
        <v>2.2229832000000001E-3</v>
      </c>
      <c r="D172" s="13">
        <v>192679</v>
      </c>
    </row>
    <row r="173" spans="1:4" x14ac:dyDescent="0.2">
      <c r="A173">
        <v>2018</v>
      </c>
      <c r="B173" s="11" t="s">
        <v>137</v>
      </c>
      <c r="C173" s="12">
        <v>1.3852147999999999E-3</v>
      </c>
      <c r="D173" s="13">
        <v>120064</v>
      </c>
    </row>
    <row r="174" spans="1:4" x14ac:dyDescent="0.2">
      <c r="A174">
        <v>2018</v>
      </c>
      <c r="B174" s="11" t="s">
        <v>138</v>
      </c>
      <c r="C174" s="12">
        <v>1.1414881E-3</v>
      </c>
      <c r="D174" s="13">
        <v>98939</v>
      </c>
    </row>
    <row r="175" spans="1:4" x14ac:dyDescent="0.2">
      <c r="A175">
        <v>2018</v>
      </c>
      <c r="B175" s="11" t="s">
        <v>139</v>
      </c>
      <c r="C175" s="12">
        <v>2.2419839999999998E-3</v>
      </c>
      <c r="D175" s="13">
        <v>194326</v>
      </c>
    </row>
    <row r="176" spans="1:4" x14ac:dyDescent="0.2">
      <c r="A176">
        <v>2018</v>
      </c>
      <c r="B176" s="11" t="s">
        <v>207</v>
      </c>
      <c r="C176" s="12">
        <v>3.8204400000000003E-5</v>
      </c>
      <c r="D176" s="13">
        <v>3311</v>
      </c>
    </row>
    <row r="177" spans="1:4" x14ac:dyDescent="0.2">
      <c r="A177">
        <v>2018</v>
      </c>
      <c r="B177" s="11" t="s">
        <v>140</v>
      </c>
      <c r="C177" s="12">
        <v>2.3509096000000002E-3</v>
      </c>
      <c r="D177" s="13">
        <v>203767</v>
      </c>
    </row>
    <row r="178" spans="1:4" x14ac:dyDescent="0.2">
      <c r="A178">
        <v>2018</v>
      </c>
      <c r="B178" s="11" t="s">
        <v>141</v>
      </c>
      <c r="C178" s="12">
        <v>1.6975417999999999E-3</v>
      </c>
      <c r="D178" s="13">
        <v>147136</v>
      </c>
    </row>
    <row r="179" spans="1:4" x14ac:dyDescent="0.2">
      <c r="A179">
        <v>2018</v>
      </c>
      <c r="B179" s="11" t="s">
        <v>142</v>
      </c>
      <c r="C179" s="12">
        <v>8.5398900000000007E-5</v>
      </c>
      <c r="D179" s="13">
        <v>7402</v>
      </c>
    </row>
    <row r="180" spans="1:4" x14ac:dyDescent="0.2">
      <c r="A180">
        <v>2018</v>
      </c>
      <c r="B180" s="11" t="s">
        <v>233</v>
      </c>
      <c r="C180" s="12">
        <v>7.7968829999999995E-4</v>
      </c>
      <c r="D180" s="13">
        <v>67580</v>
      </c>
    </row>
    <row r="181" spans="1:4" x14ac:dyDescent="0.2">
      <c r="A181">
        <v>2018</v>
      </c>
      <c r="B181" s="11" t="s">
        <v>206</v>
      </c>
      <c r="C181" s="12">
        <v>2.6079340000000001E-3</v>
      </c>
      <c r="D181" s="13">
        <v>226045</v>
      </c>
    </row>
    <row r="182" spans="1:4" x14ac:dyDescent="0.2">
      <c r="A182">
        <v>2018</v>
      </c>
      <c r="B182" s="11" t="s">
        <v>234</v>
      </c>
      <c r="C182" s="12">
        <v>3.5716685999999998E-3</v>
      </c>
      <c r="D182" s="13">
        <v>309577</v>
      </c>
    </row>
    <row r="183" spans="1:4" x14ac:dyDescent="0.2">
      <c r="A183">
        <v>2018</v>
      </c>
      <c r="B183" s="11" t="s">
        <v>144</v>
      </c>
      <c r="C183" s="12">
        <v>7.1337940000000002E-4</v>
      </c>
      <c r="D183" s="13">
        <v>61833</v>
      </c>
    </row>
    <row r="184" spans="1:4" x14ac:dyDescent="0.2">
      <c r="A184">
        <v>2018</v>
      </c>
      <c r="B184" s="11" t="s">
        <v>145</v>
      </c>
      <c r="C184" s="12">
        <v>9.9051300000000005E-5</v>
      </c>
      <c r="D184" s="13">
        <v>8585</v>
      </c>
    </row>
    <row r="185" spans="1:4" x14ac:dyDescent="0.2">
      <c r="A185">
        <v>2018</v>
      </c>
      <c r="B185" s="11" t="s">
        <v>208</v>
      </c>
      <c r="C185" s="12">
        <v>3.8883679000000001E-3</v>
      </c>
      <c r="D185" s="13">
        <v>337027</v>
      </c>
    </row>
    <row r="186" spans="1:4" x14ac:dyDescent="0.2">
      <c r="A186">
        <v>2018</v>
      </c>
      <c r="B186" s="11" t="s">
        <v>146</v>
      </c>
      <c r="C186" s="12">
        <v>8.7974950000000004E-4</v>
      </c>
      <c r="D186" s="13">
        <v>76253</v>
      </c>
    </row>
    <row r="187" spans="1:4" x14ac:dyDescent="0.2">
      <c r="A187">
        <v>2018</v>
      </c>
      <c r="B187" s="11" t="s">
        <v>147</v>
      </c>
      <c r="C187" s="12">
        <v>5.4688673000000002E-3</v>
      </c>
      <c r="D187" s="13">
        <v>474018</v>
      </c>
    </row>
    <row r="188" spans="1:4" x14ac:dyDescent="0.2">
      <c r="A188">
        <v>2018</v>
      </c>
      <c r="B188" s="11" t="s">
        <v>148</v>
      </c>
      <c r="C188" s="12">
        <v>7.2769499999999999E-4</v>
      </c>
      <c r="D188" s="13">
        <v>63073</v>
      </c>
    </row>
    <row r="189" spans="1:4" x14ac:dyDescent="0.2">
      <c r="A189">
        <v>2018</v>
      </c>
      <c r="B189" s="11" t="s">
        <v>209</v>
      </c>
      <c r="C189" s="12">
        <v>4.30813E-4</v>
      </c>
      <c r="D189" s="13">
        <v>37341</v>
      </c>
    </row>
    <row r="190" spans="1:4" x14ac:dyDescent="0.2">
      <c r="A190">
        <v>2018</v>
      </c>
      <c r="B190" s="11" t="s">
        <v>149</v>
      </c>
      <c r="C190" s="12">
        <v>1.4099243E-3</v>
      </c>
      <c r="D190" s="13">
        <v>122206</v>
      </c>
    </row>
    <row r="191" spans="1:4" x14ac:dyDescent="0.2">
      <c r="A191">
        <v>2018</v>
      </c>
      <c r="B191" s="11" t="s">
        <v>150</v>
      </c>
      <c r="C191" s="12">
        <v>3.7096713E-3</v>
      </c>
      <c r="D191" s="13">
        <v>321538</v>
      </c>
    </row>
    <row r="192" spans="1:4" x14ac:dyDescent="0.2">
      <c r="A192">
        <v>2018</v>
      </c>
      <c r="B192" s="11" t="s">
        <v>151</v>
      </c>
      <c r="C192" s="12">
        <v>1.6460499999999999E-4</v>
      </c>
      <c r="D192" s="13">
        <v>14267</v>
      </c>
    </row>
    <row r="193" spans="1:4" x14ac:dyDescent="0.2">
      <c r="A193">
        <v>2018</v>
      </c>
      <c r="B193" s="11" t="s">
        <v>210</v>
      </c>
      <c r="C193" s="12">
        <v>3.8113016000000002E-3</v>
      </c>
      <c r="D193" s="13">
        <v>330347</v>
      </c>
    </row>
    <row r="194" spans="1:4" x14ac:dyDescent="0.2">
      <c r="A194">
        <v>2018</v>
      </c>
      <c r="B194" s="11" t="s">
        <v>152</v>
      </c>
      <c r="C194" s="12">
        <v>3.4831520999999998E-3</v>
      </c>
      <c r="D194" s="13">
        <v>301905</v>
      </c>
    </row>
    <row r="195" spans="1:4" x14ac:dyDescent="0.2">
      <c r="A195">
        <v>2018</v>
      </c>
      <c r="B195" s="11" t="s">
        <v>153</v>
      </c>
      <c r="C195" s="12">
        <v>4.6526783999999996E-3</v>
      </c>
      <c r="D195" s="13">
        <v>403274</v>
      </c>
    </row>
    <row r="196" spans="1:4" x14ac:dyDescent="0.2">
      <c r="A196">
        <v>2018</v>
      </c>
      <c r="B196" s="11" t="s">
        <v>154</v>
      </c>
      <c r="C196" s="12">
        <v>1.9396820000000001E-3</v>
      </c>
      <c r="D196" s="13">
        <v>168123</v>
      </c>
    </row>
    <row r="197" spans="1:4" x14ac:dyDescent="0.2">
      <c r="A197">
        <v>2018</v>
      </c>
      <c r="B197" s="11" t="s">
        <v>214</v>
      </c>
      <c r="C197" s="12">
        <v>6.6340799999999999E-4</v>
      </c>
      <c r="D197" s="13">
        <v>57501</v>
      </c>
    </row>
    <row r="198" spans="1:4" x14ac:dyDescent="0.2">
      <c r="A198">
        <v>2018</v>
      </c>
      <c r="B198" s="11" t="s">
        <v>155</v>
      </c>
      <c r="C198" s="12">
        <v>2.2220685E-3</v>
      </c>
      <c r="D198" s="13">
        <v>192599</v>
      </c>
    </row>
    <row r="199" spans="1:4" x14ac:dyDescent="0.2">
      <c r="A199">
        <v>2018</v>
      </c>
      <c r="B199" s="11" t="s">
        <v>156</v>
      </c>
      <c r="C199" s="12">
        <v>4.9393885999999996E-3</v>
      </c>
      <c r="D199" s="13">
        <v>428125</v>
      </c>
    </row>
    <row r="200" spans="1:4" x14ac:dyDescent="0.2">
      <c r="A200">
        <v>2018</v>
      </c>
      <c r="B200" s="11" t="s">
        <v>157</v>
      </c>
      <c r="C200" s="12">
        <v>3.8672835000000002E-3</v>
      </c>
      <c r="D200" s="13">
        <v>335200</v>
      </c>
    </row>
    <row r="201" spans="1:4" x14ac:dyDescent="0.2">
      <c r="A201">
        <v>2018</v>
      </c>
      <c r="B201" s="11" t="s">
        <v>213</v>
      </c>
      <c r="C201" s="12">
        <v>2.3915244E-3</v>
      </c>
      <c r="D201" s="13">
        <v>207287</v>
      </c>
    </row>
    <row r="202" spans="1:4" x14ac:dyDescent="0.2">
      <c r="A202">
        <v>2018</v>
      </c>
      <c r="B202" s="11" t="s">
        <v>158</v>
      </c>
      <c r="C202" s="12">
        <v>9.0128138E-3</v>
      </c>
      <c r="D202" s="13">
        <v>781192</v>
      </c>
    </row>
    <row r="203" spans="1:4" x14ac:dyDescent="0.2">
      <c r="A203">
        <v>2018</v>
      </c>
      <c r="B203" s="11" t="s">
        <v>159</v>
      </c>
      <c r="C203" s="12">
        <v>3.9374498999999999E-3</v>
      </c>
      <c r="D203" s="13">
        <v>341281</v>
      </c>
    </row>
    <row r="204" spans="1:4" x14ac:dyDescent="0.2">
      <c r="A204">
        <v>2018</v>
      </c>
      <c r="B204" s="11" t="s">
        <v>160</v>
      </c>
      <c r="C204" s="12">
        <v>9.7167312999999998E-3</v>
      </c>
      <c r="D204" s="13">
        <v>842205</v>
      </c>
    </row>
    <row r="205" spans="1:4" x14ac:dyDescent="0.2">
      <c r="A205">
        <v>2018</v>
      </c>
      <c r="B205" s="11" t="s">
        <v>211</v>
      </c>
      <c r="C205" s="12">
        <v>4.32495E-5</v>
      </c>
      <c r="D205" s="13">
        <v>3749</v>
      </c>
    </row>
    <row r="206" spans="1:4" x14ac:dyDescent="0.2">
      <c r="A206">
        <v>2018</v>
      </c>
      <c r="B206" s="11" t="s">
        <v>161</v>
      </c>
      <c r="C206" s="12">
        <v>2.2722592000000001E-3</v>
      </c>
      <c r="D206" s="13">
        <v>196950</v>
      </c>
    </row>
    <row r="207" spans="1:4" x14ac:dyDescent="0.2">
      <c r="A207">
        <v>2018</v>
      </c>
      <c r="B207" s="11" t="s">
        <v>162</v>
      </c>
      <c r="C207" s="12">
        <v>2.5862070000000001E-3</v>
      </c>
      <c r="D207" s="13">
        <v>224161</v>
      </c>
    </row>
    <row r="208" spans="1:4" x14ac:dyDescent="0.2">
      <c r="A208">
        <v>2018</v>
      </c>
      <c r="B208" s="11" t="s">
        <v>163</v>
      </c>
      <c r="C208" s="12">
        <v>8.9054298700000006E-2</v>
      </c>
      <c r="D208" s="13">
        <v>7718845</v>
      </c>
    </row>
    <row r="209" spans="1:4" x14ac:dyDescent="0.2">
      <c r="A209">
        <v>2018</v>
      </c>
      <c r="B209" s="11" t="s">
        <v>164</v>
      </c>
      <c r="C209" s="12">
        <v>8.9518919999999997E-4</v>
      </c>
      <c r="D209" s="13">
        <v>77591</v>
      </c>
    </row>
    <row r="210" spans="1:4" x14ac:dyDescent="0.2">
      <c r="A210">
        <v>2018</v>
      </c>
      <c r="B210" s="11" t="s">
        <v>165</v>
      </c>
      <c r="C210" s="12">
        <v>1.5624879999999999E-3</v>
      </c>
      <c r="D210" s="13">
        <v>135430</v>
      </c>
    </row>
    <row r="211" spans="1:4" x14ac:dyDescent="0.2">
      <c r="A211">
        <v>2018</v>
      </c>
      <c r="B211" s="11" t="s">
        <v>166</v>
      </c>
      <c r="C211" s="12">
        <v>2.1221377999999999E-3</v>
      </c>
      <c r="D211" s="13">
        <v>183938</v>
      </c>
    </row>
    <row r="212" spans="1:4" x14ac:dyDescent="0.2">
      <c r="A212">
        <v>2018</v>
      </c>
      <c r="B212" s="11" t="s">
        <v>235</v>
      </c>
      <c r="C212" s="12">
        <v>3.1574563E-3</v>
      </c>
      <c r="D212" s="13">
        <v>273675</v>
      </c>
    </row>
    <row r="213" spans="1:4" x14ac:dyDescent="0.2">
      <c r="A213">
        <v>2018</v>
      </c>
      <c r="B213" s="11" t="s">
        <v>167</v>
      </c>
      <c r="C213" s="12">
        <v>2.8323856000000001E-2</v>
      </c>
      <c r="D213" s="13">
        <v>2454990</v>
      </c>
    </row>
    <row r="214" spans="1:4" x14ac:dyDescent="0.2">
      <c r="A214">
        <v>2018</v>
      </c>
      <c r="B214" s="11" t="s">
        <v>232</v>
      </c>
      <c r="C214" s="12">
        <v>5.5354108000000004E-3</v>
      </c>
      <c r="D214" s="13">
        <v>479786</v>
      </c>
    </row>
    <row r="215" spans="1:4" x14ac:dyDescent="0.2">
      <c r="A215">
        <v>2018</v>
      </c>
      <c r="B215" s="11" t="s">
        <v>168</v>
      </c>
      <c r="C215" s="12">
        <v>1.9788154999999998E-3</v>
      </c>
      <c r="D215" s="13">
        <v>171515</v>
      </c>
    </row>
    <row r="216" spans="1:4" x14ac:dyDescent="0.2">
      <c r="A216">
        <v>2018</v>
      </c>
      <c r="B216" s="11" t="s">
        <v>169</v>
      </c>
      <c r="C216" s="12">
        <v>1.0461196000000001E-3</v>
      </c>
      <c r="D216" s="13">
        <v>90673</v>
      </c>
    </row>
    <row r="217" spans="1:4" x14ac:dyDescent="0.2">
      <c r="A217">
        <v>2018</v>
      </c>
      <c r="B217" s="11" t="s">
        <v>170</v>
      </c>
      <c r="C217" s="12">
        <v>1.9129513000000001E-3</v>
      </c>
      <c r="D217" s="13">
        <v>165806</v>
      </c>
    </row>
    <row r="218" spans="1:4" x14ac:dyDescent="0.2">
      <c r="A218">
        <v>2018</v>
      </c>
      <c r="B218" s="11" t="s">
        <v>212</v>
      </c>
      <c r="C218" s="12">
        <v>8.2412800000000004E-4</v>
      </c>
      <c r="D218" s="13">
        <v>71432</v>
      </c>
    </row>
    <row r="219" spans="1:4" x14ac:dyDescent="0.2">
      <c r="A219">
        <v>2018</v>
      </c>
      <c r="B219" s="11" t="s">
        <v>171</v>
      </c>
      <c r="C219" s="12">
        <v>1.9784197000000002E-3</v>
      </c>
      <c r="D219" s="13">
        <v>171481</v>
      </c>
    </row>
    <row r="220" spans="1:4" x14ac:dyDescent="0.2">
      <c r="A220">
        <v>2018</v>
      </c>
      <c r="B220" s="11" t="s">
        <v>172</v>
      </c>
      <c r="C220" s="12">
        <v>7.2853969999999997E-4</v>
      </c>
      <c r="D220" s="13">
        <v>63147</v>
      </c>
    </row>
    <row r="221" spans="1:4" x14ac:dyDescent="0.2">
      <c r="A221">
        <v>2018</v>
      </c>
      <c r="B221" s="11" t="s">
        <v>173</v>
      </c>
      <c r="C221" s="12">
        <v>6.5789449999999997E-4</v>
      </c>
      <c r="D221" s="13">
        <v>57023</v>
      </c>
    </row>
    <row r="222" spans="1:4" x14ac:dyDescent="0.2">
      <c r="A222">
        <v>2018</v>
      </c>
      <c r="B222" s="10" t="s">
        <v>174</v>
      </c>
      <c r="C222" s="14">
        <v>1</v>
      </c>
      <c r="D222" s="15">
        <v>86675715</v>
      </c>
    </row>
    <row r="224" spans="1:4" x14ac:dyDescent="0.2">
      <c r="D224" s="1">
        <f>SUM(D2:D221)</f>
        <v>86675705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B227-BDB6-8049-9A71-BBD2204901A2}">
  <sheetPr>
    <tabColor rgb="FFFFFF00"/>
  </sheetPr>
  <dimension ref="A1:D224"/>
  <sheetViews>
    <sheetView workbookViewId="0">
      <selection activeCell="A2" sqref="A2:D221"/>
    </sheetView>
  </sheetViews>
  <sheetFormatPr baseColWidth="10" defaultRowHeight="16" x14ac:dyDescent="0.2"/>
  <cols>
    <col min="2" max="2" width="35.1640625" style="5" bestFit="1" customWidth="1"/>
    <col min="3" max="3" width="20.1640625" style="5" customWidth="1"/>
    <col min="4" max="4" width="27.5" style="5" bestFit="1" customWidth="1"/>
  </cols>
  <sheetData>
    <row r="1" spans="1:4" x14ac:dyDescent="0.2">
      <c r="A1" t="s">
        <v>227</v>
      </c>
      <c r="B1" s="3" t="s">
        <v>53</v>
      </c>
      <c r="C1" s="3" t="s">
        <v>54</v>
      </c>
      <c r="D1" s="3" t="s">
        <v>55</v>
      </c>
    </row>
    <row r="2" spans="1:4" x14ac:dyDescent="0.2">
      <c r="A2">
        <v>2019</v>
      </c>
      <c r="B2" s="5" t="s">
        <v>57</v>
      </c>
      <c r="C2" s="6">
        <v>2.0255003000000001E-3</v>
      </c>
      <c r="D2" s="7">
        <v>181171</v>
      </c>
    </row>
    <row r="3" spans="1:4" x14ac:dyDescent="0.2">
      <c r="A3">
        <v>2019</v>
      </c>
      <c r="B3" s="5" t="s">
        <v>58</v>
      </c>
      <c r="C3" s="6">
        <v>9.8559170000000009E-4</v>
      </c>
      <c r="D3" s="7">
        <v>88156</v>
      </c>
    </row>
    <row r="4" spans="1:4" x14ac:dyDescent="0.2">
      <c r="A4">
        <v>2019</v>
      </c>
      <c r="B4" s="5" t="s">
        <v>59</v>
      </c>
      <c r="C4" s="6">
        <v>4.2417429999999998E-4</v>
      </c>
      <c r="D4" s="7">
        <v>37940</v>
      </c>
    </row>
    <row r="5" spans="1:4" x14ac:dyDescent="0.2">
      <c r="A5">
        <v>2019</v>
      </c>
      <c r="B5" s="5" t="s">
        <v>60</v>
      </c>
      <c r="C5" s="6">
        <v>1.3812935E-3</v>
      </c>
      <c r="D5" s="7">
        <v>123550</v>
      </c>
    </row>
    <row r="6" spans="1:4" x14ac:dyDescent="0.2">
      <c r="A6">
        <v>2019</v>
      </c>
      <c r="B6" s="5" t="s">
        <v>61</v>
      </c>
      <c r="C6" s="6">
        <v>6.2043099999999996E-5</v>
      </c>
      <c r="D6" s="7">
        <v>5549</v>
      </c>
    </row>
    <row r="7" spans="1:4" x14ac:dyDescent="0.2">
      <c r="A7">
        <v>2019</v>
      </c>
      <c r="B7" s="5" t="s">
        <v>62</v>
      </c>
      <c r="C7" s="6">
        <v>2.2560523999999998E-3</v>
      </c>
      <c r="D7" s="7">
        <v>201792</v>
      </c>
    </row>
    <row r="8" spans="1:4" x14ac:dyDescent="0.2">
      <c r="A8">
        <v>2019</v>
      </c>
      <c r="B8" s="5" t="s">
        <v>63</v>
      </c>
      <c r="C8" s="6">
        <v>3.0694385E-3</v>
      </c>
      <c r="D8" s="7">
        <v>274546</v>
      </c>
    </row>
    <row r="9" spans="1:4" x14ac:dyDescent="0.2">
      <c r="A9">
        <v>2019</v>
      </c>
      <c r="B9" s="5" t="s">
        <v>187</v>
      </c>
      <c r="C9" s="6">
        <v>1.233157E-2</v>
      </c>
      <c r="D9" s="7">
        <v>1102996</v>
      </c>
    </row>
    <row r="10" spans="1:4" x14ac:dyDescent="0.2">
      <c r="A10">
        <v>2019</v>
      </c>
      <c r="B10" s="5" t="s">
        <v>64</v>
      </c>
      <c r="C10" s="6">
        <v>2.3347807000000001E-3</v>
      </c>
      <c r="D10" s="7">
        <v>208834</v>
      </c>
    </row>
    <row r="11" spans="1:4" x14ac:dyDescent="0.2">
      <c r="A11">
        <v>2019</v>
      </c>
      <c r="B11" s="5" t="s">
        <v>65</v>
      </c>
      <c r="C11" s="6">
        <v>5.0677144999999998E-3</v>
      </c>
      <c r="D11" s="7">
        <v>453281</v>
      </c>
    </row>
    <row r="12" spans="1:4" x14ac:dyDescent="0.2">
      <c r="A12">
        <v>2019</v>
      </c>
      <c r="B12" s="5" t="s">
        <v>66</v>
      </c>
      <c r="C12" s="6">
        <v>1.2097678000000001E-3</v>
      </c>
      <c r="D12" s="7">
        <v>108208</v>
      </c>
    </row>
    <row r="13" spans="1:4" x14ac:dyDescent="0.2">
      <c r="A13">
        <v>2019</v>
      </c>
      <c r="B13" s="5" t="s">
        <v>188</v>
      </c>
      <c r="C13" s="6">
        <v>0.10586113179999999</v>
      </c>
      <c r="D13" s="7">
        <v>9468736</v>
      </c>
    </row>
    <row r="14" spans="1:4" x14ac:dyDescent="0.2">
      <c r="A14">
        <v>2019</v>
      </c>
      <c r="B14" s="5" t="s">
        <v>67</v>
      </c>
      <c r="C14" s="6">
        <v>0</v>
      </c>
    </row>
    <row r="15" spans="1:4" x14ac:dyDescent="0.2">
      <c r="A15">
        <v>2019</v>
      </c>
      <c r="B15" s="5" t="s">
        <v>68</v>
      </c>
      <c r="C15" s="6">
        <v>0</v>
      </c>
    </row>
    <row r="16" spans="1:4" x14ac:dyDescent="0.2">
      <c r="A16">
        <v>2019</v>
      </c>
      <c r="B16" s="5" t="s">
        <v>69</v>
      </c>
      <c r="C16" s="6">
        <v>5.4871056000000001E-3</v>
      </c>
      <c r="D16" s="7">
        <v>490794</v>
      </c>
    </row>
    <row r="17" spans="1:4" x14ac:dyDescent="0.2">
      <c r="A17">
        <v>2019</v>
      </c>
      <c r="B17" s="5" t="s">
        <v>192</v>
      </c>
      <c r="C17" s="6">
        <v>8.732255E-4</v>
      </c>
      <c r="D17" s="7">
        <v>78106</v>
      </c>
    </row>
    <row r="18" spans="1:4" x14ac:dyDescent="0.2">
      <c r="A18">
        <v>2019</v>
      </c>
      <c r="B18" s="5" t="s">
        <v>70</v>
      </c>
      <c r="C18" s="6">
        <v>4.1982905999999997E-3</v>
      </c>
      <c r="D18" s="7">
        <v>375516</v>
      </c>
    </row>
    <row r="19" spans="1:4" x14ac:dyDescent="0.2">
      <c r="A19">
        <v>2019</v>
      </c>
      <c r="B19" s="5" t="s">
        <v>71</v>
      </c>
      <c r="C19" s="6">
        <v>1.430635E-3</v>
      </c>
      <c r="D19" s="7">
        <v>127963</v>
      </c>
    </row>
    <row r="20" spans="1:4" x14ac:dyDescent="0.2">
      <c r="A20">
        <v>2019</v>
      </c>
      <c r="B20" s="5" t="s">
        <v>72</v>
      </c>
      <c r="C20" s="6">
        <v>1.674181E-4</v>
      </c>
      <c r="D20" s="7">
        <v>14975</v>
      </c>
    </row>
    <row r="21" spans="1:4" x14ac:dyDescent="0.2">
      <c r="A21">
        <v>2019</v>
      </c>
      <c r="B21" s="5" t="s">
        <v>190</v>
      </c>
      <c r="C21" s="6">
        <v>4.1644825999999999E-3</v>
      </c>
      <c r="D21" s="7">
        <v>372492</v>
      </c>
    </row>
    <row r="22" spans="1:4" x14ac:dyDescent="0.2">
      <c r="A22">
        <v>2019</v>
      </c>
      <c r="B22" s="5" t="s">
        <v>73</v>
      </c>
      <c r="C22" s="6">
        <v>3.2912329000000001E-3</v>
      </c>
      <c r="D22" s="7">
        <v>294384</v>
      </c>
    </row>
    <row r="23" spans="1:4" x14ac:dyDescent="0.2">
      <c r="A23">
        <v>2019</v>
      </c>
      <c r="B23" s="5" t="s">
        <v>74</v>
      </c>
      <c r="C23" s="6">
        <v>2.2615995000000002E-3</v>
      </c>
      <c r="D23" s="7">
        <v>202288</v>
      </c>
    </row>
    <row r="24" spans="1:4" x14ac:dyDescent="0.2">
      <c r="A24">
        <v>2019</v>
      </c>
      <c r="B24" s="5" t="s">
        <v>75</v>
      </c>
      <c r="C24" s="6">
        <v>5.6099056999999999E-3</v>
      </c>
      <c r="D24" s="7">
        <v>501777</v>
      </c>
    </row>
    <row r="25" spans="1:4" x14ac:dyDescent="0.2">
      <c r="A25">
        <v>2019</v>
      </c>
      <c r="B25" s="5" t="s">
        <v>191</v>
      </c>
      <c r="C25" s="6">
        <v>0</v>
      </c>
    </row>
    <row r="26" spans="1:4" x14ac:dyDescent="0.2">
      <c r="A26">
        <v>2019</v>
      </c>
      <c r="B26" s="5" t="s">
        <v>76</v>
      </c>
      <c r="C26" s="6">
        <v>1.9053708E-3</v>
      </c>
      <c r="D26" s="7">
        <v>170426</v>
      </c>
    </row>
    <row r="27" spans="1:4" x14ac:dyDescent="0.2">
      <c r="A27">
        <v>2019</v>
      </c>
      <c r="B27" s="5" t="s">
        <v>77</v>
      </c>
      <c r="C27" s="6">
        <v>2.9010481999999999E-3</v>
      </c>
      <c r="D27" s="7">
        <v>259484</v>
      </c>
    </row>
    <row r="28" spans="1:4" x14ac:dyDescent="0.2">
      <c r="A28">
        <v>2019</v>
      </c>
      <c r="B28" s="5" t="s">
        <v>78</v>
      </c>
      <c r="C28" s="6">
        <v>1.54256645E-2</v>
      </c>
      <c r="D28" s="7">
        <v>1379747</v>
      </c>
    </row>
    <row r="29" spans="1:4" x14ac:dyDescent="0.2">
      <c r="A29">
        <v>2019</v>
      </c>
      <c r="B29" s="5" t="s">
        <v>193</v>
      </c>
      <c r="C29" s="6">
        <v>3.1647583799999997E-2</v>
      </c>
      <c r="D29" s="7">
        <v>2830714</v>
      </c>
    </row>
    <row r="30" spans="1:4" x14ac:dyDescent="0.2">
      <c r="A30">
        <v>2019</v>
      </c>
      <c r="B30" s="5" t="s">
        <v>79</v>
      </c>
      <c r="C30" s="6">
        <v>3.5757553E-3</v>
      </c>
      <c r="D30" s="7">
        <v>319833</v>
      </c>
    </row>
    <row r="31" spans="1:4" x14ac:dyDescent="0.2">
      <c r="A31">
        <v>2019</v>
      </c>
      <c r="B31" s="5" t="s">
        <v>80</v>
      </c>
      <c r="C31" s="6">
        <v>6.8980370000000003E-4</v>
      </c>
      <c r="D31" s="7">
        <v>61699</v>
      </c>
    </row>
    <row r="32" spans="1:4" x14ac:dyDescent="0.2">
      <c r="A32">
        <v>2019</v>
      </c>
      <c r="B32" s="5" t="s">
        <v>81</v>
      </c>
      <c r="C32" s="6">
        <v>2.0198279E-3</v>
      </c>
      <c r="D32" s="7">
        <v>180663</v>
      </c>
    </row>
    <row r="33" spans="1:4" x14ac:dyDescent="0.2">
      <c r="A33">
        <v>2019</v>
      </c>
      <c r="B33" s="5" t="s">
        <v>194</v>
      </c>
      <c r="C33" s="6">
        <v>4.7708456000000003E-3</v>
      </c>
      <c r="D33" s="7">
        <v>426728</v>
      </c>
    </row>
    <row r="34" spans="1:4" x14ac:dyDescent="0.2">
      <c r="A34">
        <v>2019</v>
      </c>
      <c r="B34" s="5" t="s">
        <v>82</v>
      </c>
      <c r="C34" s="6">
        <v>1.1321874999999999E-3</v>
      </c>
      <c r="D34" s="7">
        <v>101268</v>
      </c>
    </row>
    <row r="35" spans="1:4" x14ac:dyDescent="0.2">
      <c r="A35">
        <v>2019</v>
      </c>
      <c r="B35" s="5" t="s">
        <v>83</v>
      </c>
      <c r="C35" s="6">
        <v>3.7061799999999998E-5</v>
      </c>
      <c r="D35" s="7">
        <v>3315</v>
      </c>
    </row>
    <row r="36" spans="1:4" x14ac:dyDescent="0.2">
      <c r="A36">
        <v>2019</v>
      </c>
      <c r="B36" s="5" t="s">
        <v>84</v>
      </c>
      <c r="C36" s="6">
        <v>1.9607684E-3</v>
      </c>
      <c r="D36" s="7">
        <v>175381</v>
      </c>
    </row>
    <row r="37" spans="1:4" x14ac:dyDescent="0.2">
      <c r="A37">
        <v>2019</v>
      </c>
      <c r="B37" s="5" t="s">
        <v>196</v>
      </c>
      <c r="C37" s="6">
        <v>1.1109628999999999E-3</v>
      </c>
      <c r="D37" s="7">
        <v>99370</v>
      </c>
    </row>
    <row r="38" spans="1:4" x14ac:dyDescent="0.2">
      <c r="A38">
        <v>2019</v>
      </c>
      <c r="B38" s="5" t="s">
        <v>85</v>
      </c>
      <c r="C38" s="6">
        <v>2.3785663E-3</v>
      </c>
      <c r="D38" s="7">
        <v>212751</v>
      </c>
    </row>
    <row r="39" spans="1:4" x14ac:dyDescent="0.2">
      <c r="A39">
        <v>2019</v>
      </c>
      <c r="B39" s="5" t="s">
        <v>86</v>
      </c>
      <c r="C39" s="6">
        <v>1.7122197999999999E-3</v>
      </c>
      <c r="D39" s="7">
        <v>153149</v>
      </c>
    </row>
    <row r="40" spans="1:4" x14ac:dyDescent="0.2">
      <c r="A40">
        <v>2019</v>
      </c>
      <c r="B40" s="5" t="s">
        <v>87</v>
      </c>
      <c r="C40" s="6">
        <v>2.4525756E-3</v>
      </c>
      <c r="D40" s="7">
        <v>219370</v>
      </c>
    </row>
    <row r="41" spans="1:4" x14ac:dyDescent="0.2">
      <c r="A41">
        <v>2019</v>
      </c>
      <c r="B41" s="5" t="s">
        <v>195</v>
      </c>
      <c r="C41" s="6">
        <v>9.0086780000000002E-4</v>
      </c>
      <c r="D41" s="7">
        <v>80578</v>
      </c>
    </row>
    <row r="42" spans="1:4" x14ac:dyDescent="0.2">
      <c r="A42">
        <v>2019</v>
      </c>
      <c r="B42" s="5" t="s">
        <v>88</v>
      </c>
      <c r="C42" s="6">
        <v>2.8114065E-3</v>
      </c>
      <c r="D42" s="7">
        <v>251466</v>
      </c>
    </row>
    <row r="43" spans="1:4" x14ac:dyDescent="0.2">
      <c r="A43">
        <v>2019</v>
      </c>
      <c r="B43" s="5" t="s">
        <v>89</v>
      </c>
      <c r="C43" s="6">
        <v>1.4809138E-3</v>
      </c>
      <c r="D43" s="7">
        <v>132460</v>
      </c>
    </row>
    <row r="44" spans="1:4" x14ac:dyDescent="0.2">
      <c r="A44">
        <v>2019</v>
      </c>
      <c r="B44" s="5" t="s">
        <v>90</v>
      </c>
      <c r="C44" s="6">
        <v>0.1036200801</v>
      </c>
      <c r="D44" s="7">
        <v>9268286</v>
      </c>
    </row>
    <row r="45" spans="1:4" x14ac:dyDescent="0.2">
      <c r="A45">
        <v>2019</v>
      </c>
      <c r="B45" s="5" t="s">
        <v>218</v>
      </c>
      <c r="C45" s="6">
        <v>1.5904402999999999E-3</v>
      </c>
      <c r="D45" s="7">
        <v>142257</v>
      </c>
    </row>
    <row r="46" spans="1:4" x14ac:dyDescent="0.2">
      <c r="A46">
        <v>2019</v>
      </c>
      <c r="B46" s="5" t="s">
        <v>91</v>
      </c>
      <c r="C46" s="6">
        <v>1.5590577E-3</v>
      </c>
      <c r="D46" s="7">
        <v>139450</v>
      </c>
    </row>
    <row r="47" spans="1:4" x14ac:dyDescent="0.2">
      <c r="A47">
        <v>2019</v>
      </c>
      <c r="B47" s="5" t="s">
        <v>92</v>
      </c>
      <c r="C47" s="6">
        <v>1.7214952E-3</v>
      </c>
      <c r="D47" s="7">
        <v>153979</v>
      </c>
    </row>
    <row r="48" spans="1:4" x14ac:dyDescent="0.2">
      <c r="A48">
        <v>2019</v>
      </c>
      <c r="B48" s="5" t="s">
        <v>93</v>
      </c>
      <c r="C48" s="6">
        <v>8.9653659999999996E-4</v>
      </c>
      <c r="D48" s="7">
        <v>80191</v>
      </c>
    </row>
    <row r="49" spans="1:4" x14ac:dyDescent="0.2">
      <c r="A49">
        <v>2019</v>
      </c>
      <c r="B49" s="5" t="s">
        <v>197</v>
      </c>
      <c r="C49" s="6">
        <v>2.2548800000000001E-4</v>
      </c>
      <c r="D49" s="7">
        <v>20169</v>
      </c>
    </row>
    <row r="50" spans="1:4" x14ac:dyDescent="0.2">
      <c r="A50">
        <v>2019</v>
      </c>
      <c r="B50" s="5" t="s">
        <v>94</v>
      </c>
      <c r="C50" s="6">
        <v>2.1947488000000001E-3</v>
      </c>
      <c r="D50" s="7">
        <v>196309</v>
      </c>
    </row>
    <row r="51" spans="1:4" x14ac:dyDescent="0.2">
      <c r="A51">
        <v>2019</v>
      </c>
      <c r="B51" s="5" t="s">
        <v>95</v>
      </c>
      <c r="C51" s="6">
        <v>1.6517197000000001E-3</v>
      </c>
      <c r="D51" s="7">
        <v>147738</v>
      </c>
    </row>
    <row r="52" spans="1:4" x14ac:dyDescent="0.2">
      <c r="A52">
        <v>2019</v>
      </c>
      <c r="B52" s="5" t="s">
        <v>96</v>
      </c>
      <c r="C52" s="6">
        <v>1.1671412000000001E-3</v>
      </c>
      <c r="D52" s="7">
        <v>104395</v>
      </c>
    </row>
    <row r="53" spans="1:4" x14ac:dyDescent="0.2">
      <c r="A53">
        <v>2019</v>
      </c>
      <c r="B53" s="5" t="s">
        <v>198</v>
      </c>
      <c r="C53" s="6">
        <v>3.3240027999999998E-3</v>
      </c>
      <c r="D53" s="7">
        <v>297315</v>
      </c>
    </row>
    <row r="54" spans="1:4" x14ac:dyDescent="0.2">
      <c r="A54">
        <v>2019</v>
      </c>
      <c r="B54" s="5" t="s">
        <v>97</v>
      </c>
      <c r="C54" s="6">
        <v>1.5194201999999999E-3</v>
      </c>
      <c r="D54" s="7">
        <v>135904</v>
      </c>
    </row>
    <row r="55" spans="1:4" x14ac:dyDescent="0.2">
      <c r="A55">
        <v>2019</v>
      </c>
      <c r="B55" s="5" t="s">
        <v>98</v>
      </c>
      <c r="C55" s="6">
        <v>2.6931819000000001E-3</v>
      </c>
      <c r="D55" s="7">
        <v>240891</v>
      </c>
    </row>
    <row r="56" spans="1:4" x14ac:dyDescent="0.2">
      <c r="A56">
        <v>2019</v>
      </c>
      <c r="B56" s="5" t="s">
        <v>99</v>
      </c>
      <c r="C56" s="6">
        <v>4.4020870000000001E-4</v>
      </c>
      <c r="D56" s="7">
        <v>39374</v>
      </c>
    </row>
    <row r="57" spans="1:4" x14ac:dyDescent="0.2">
      <c r="A57">
        <v>2019</v>
      </c>
      <c r="B57" s="5" t="s">
        <v>217</v>
      </c>
      <c r="C57" s="6">
        <v>6.2494381999999996E-3</v>
      </c>
      <c r="D57" s="7">
        <v>558980</v>
      </c>
    </row>
    <row r="58" spans="1:4" x14ac:dyDescent="0.2">
      <c r="A58">
        <v>2019</v>
      </c>
      <c r="B58" s="5" t="s">
        <v>100</v>
      </c>
      <c r="C58" s="6">
        <v>6.8648290099999995E-2</v>
      </c>
      <c r="D58" s="7">
        <v>6140238</v>
      </c>
    </row>
    <row r="59" spans="1:4" x14ac:dyDescent="0.2">
      <c r="A59">
        <v>2019</v>
      </c>
      <c r="B59" s="5" t="s">
        <v>101</v>
      </c>
      <c r="C59" s="6">
        <v>2.4861490000000001E-4</v>
      </c>
      <c r="D59" s="7">
        <v>22237</v>
      </c>
    </row>
    <row r="60" spans="1:4" x14ac:dyDescent="0.2">
      <c r="A60">
        <v>2019</v>
      </c>
      <c r="B60" s="5" t="s">
        <v>102</v>
      </c>
      <c r="C60" s="6">
        <v>1.8716657E-3</v>
      </c>
      <c r="D60" s="7">
        <v>167411</v>
      </c>
    </row>
    <row r="61" spans="1:4" x14ac:dyDescent="0.2">
      <c r="A61">
        <v>2019</v>
      </c>
      <c r="B61" s="5" t="s">
        <v>199</v>
      </c>
      <c r="C61" s="6">
        <v>2.4277690000000002E-3</v>
      </c>
      <c r="D61" s="7">
        <v>217152</v>
      </c>
    </row>
    <row r="62" spans="1:4" x14ac:dyDescent="0.2">
      <c r="A62">
        <v>2019</v>
      </c>
      <c r="B62" s="5" t="s">
        <v>103</v>
      </c>
      <c r="C62" s="6">
        <v>2.5416780999999999E-3</v>
      </c>
      <c r="D62" s="7">
        <v>227340</v>
      </c>
    </row>
    <row r="63" spans="1:4" x14ac:dyDescent="0.2">
      <c r="A63">
        <v>2019</v>
      </c>
      <c r="B63" s="5" t="s">
        <v>104</v>
      </c>
      <c r="C63" s="6">
        <v>3.9938769999999998E-4</v>
      </c>
      <c r="D63" s="7">
        <v>35723</v>
      </c>
    </row>
    <row r="64" spans="1:4" x14ac:dyDescent="0.2">
      <c r="A64">
        <v>2019</v>
      </c>
      <c r="B64" s="5" t="s">
        <v>105</v>
      </c>
      <c r="C64" s="6">
        <v>2.2234004000000001E-3</v>
      </c>
      <c r="D64" s="7">
        <v>198872</v>
      </c>
    </row>
    <row r="65" spans="1:4" x14ac:dyDescent="0.2">
      <c r="A65">
        <v>2019</v>
      </c>
      <c r="B65" s="5" t="s">
        <v>202</v>
      </c>
      <c r="C65" s="6">
        <v>3.2117945000000002E-3</v>
      </c>
      <c r="D65" s="7">
        <v>287279</v>
      </c>
    </row>
    <row r="66" spans="1:4" x14ac:dyDescent="0.2">
      <c r="A66">
        <v>2019</v>
      </c>
      <c r="B66" s="5" t="s">
        <v>106</v>
      </c>
      <c r="C66" s="6">
        <v>1.7158274E-3</v>
      </c>
      <c r="D66" s="7">
        <v>153472</v>
      </c>
    </row>
    <row r="67" spans="1:4" x14ac:dyDescent="0.2">
      <c r="A67">
        <v>2019</v>
      </c>
      <c r="B67" s="5" t="s">
        <v>107</v>
      </c>
      <c r="C67" s="6">
        <v>1.2918561999999999E-3</v>
      </c>
      <c r="D67" s="7">
        <v>115550</v>
      </c>
    </row>
    <row r="68" spans="1:4" x14ac:dyDescent="0.2">
      <c r="A68">
        <v>2019</v>
      </c>
      <c r="B68" s="5" t="s">
        <v>108</v>
      </c>
      <c r="C68" s="6">
        <v>3.9520524999999999E-3</v>
      </c>
      <c r="D68" s="7">
        <v>353491</v>
      </c>
    </row>
    <row r="69" spans="1:4" x14ac:dyDescent="0.2">
      <c r="A69">
        <v>2019</v>
      </c>
      <c r="B69" s="5" t="s">
        <v>200</v>
      </c>
      <c r="C69" s="6">
        <v>1.5993511E-3</v>
      </c>
      <c r="D69" s="7">
        <v>143054</v>
      </c>
    </row>
    <row r="70" spans="1:4" x14ac:dyDescent="0.2">
      <c r="A70">
        <v>2019</v>
      </c>
      <c r="B70" s="5" t="s">
        <v>0</v>
      </c>
      <c r="C70" s="6">
        <v>1.9652184E-3</v>
      </c>
      <c r="D70" s="7">
        <v>175779</v>
      </c>
    </row>
    <row r="71" spans="1:4" x14ac:dyDescent="0.2">
      <c r="A71">
        <v>2019</v>
      </c>
      <c r="B71" s="5" t="s">
        <v>2</v>
      </c>
      <c r="C71" s="6">
        <v>3.7731084E-3</v>
      </c>
      <c r="D71" s="7">
        <v>337485</v>
      </c>
    </row>
    <row r="72" spans="1:4" x14ac:dyDescent="0.2">
      <c r="A72">
        <v>2019</v>
      </c>
      <c r="B72" s="5" t="s">
        <v>3</v>
      </c>
      <c r="C72" s="6">
        <v>1.0699526999999999E-3</v>
      </c>
      <c r="D72" s="7">
        <v>95702</v>
      </c>
    </row>
    <row r="73" spans="1:4" x14ac:dyDescent="0.2">
      <c r="A73">
        <v>2019</v>
      </c>
      <c r="B73" s="5" t="s">
        <v>4</v>
      </c>
      <c r="C73" s="6">
        <v>5.7160800000000003E-5</v>
      </c>
      <c r="D73" s="7">
        <v>5113</v>
      </c>
    </row>
    <row r="74" spans="1:4" x14ac:dyDescent="0.2">
      <c r="A74">
        <v>2019</v>
      </c>
      <c r="B74" s="5" t="s">
        <v>5</v>
      </c>
      <c r="C74" s="6">
        <v>1.9019447000000001E-3</v>
      </c>
      <c r="D74" s="7">
        <v>170119</v>
      </c>
    </row>
    <row r="75" spans="1:4" x14ac:dyDescent="0.2">
      <c r="A75">
        <v>2019</v>
      </c>
      <c r="B75" s="5" t="s">
        <v>6</v>
      </c>
      <c r="C75" s="6">
        <v>1.9270946000000001E-2</v>
      </c>
      <c r="D75" s="7">
        <v>1723687</v>
      </c>
    </row>
    <row r="76" spans="1:4" x14ac:dyDescent="0.2">
      <c r="A76">
        <v>2019</v>
      </c>
      <c r="B76" s="5" t="s">
        <v>7</v>
      </c>
      <c r="C76" s="6">
        <v>2.4953902000000002E-3</v>
      </c>
      <c r="D76" s="7">
        <v>223200</v>
      </c>
    </row>
    <row r="77" spans="1:4" x14ac:dyDescent="0.2">
      <c r="A77">
        <v>2019</v>
      </c>
      <c r="B77" s="5" t="s">
        <v>226</v>
      </c>
      <c r="C77" s="6">
        <v>4.0350139999999999E-4</v>
      </c>
      <c r="D77" s="7">
        <v>36091</v>
      </c>
    </row>
    <row r="78" spans="1:4" x14ac:dyDescent="0.2">
      <c r="A78">
        <v>2019</v>
      </c>
      <c r="B78" s="5" t="s">
        <v>8</v>
      </c>
      <c r="C78" s="6">
        <v>3.2731714999999998E-3</v>
      </c>
      <c r="D78" s="7">
        <v>292768</v>
      </c>
    </row>
    <row r="79" spans="1:4" x14ac:dyDescent="0.2">
      <c r="A79">
        <v>2019</v>
      </c>
      <c r="B79" s="5" t="s">
        <v>9</v>
      </c>
      <c r="C79" s="6">
        <v>4.3684576999999999E-3</v>
      </c>
      <c r="D79" s="7">
        <v>390736</v>
      </c>
    </row>
    <row r="80" spans="1:4" x14ac:dyDescent="0.2">
      <c r="A80">
        <v>2019</v>
      </c>
      <c r="B80" s="5" t="s">
        <v>10</v>
      </c>
      <c r="C80" s="6">
        <v>5.0452687000000001E-3</v>
      </c>
      <c r="D80" s="7">
        <v>451273</v>
      </c>
    </row>
    <row r="81" spans="1:4" x14ac:dyDescent="0.2">
      <c r="A81">
        <v>2019</v>
      </c>
      <c r="B81" s="5" t="s">
        <v>225</v>
      </c>
      <c r="C81" s="6">
        <v>1.4333242E-3</v>
      </c>
      <c r="D81" s="7">
        <v>128204</v>
      </c>
    </row>
    <row r="82" spans="1:4" x14ac:dyDescent="0.2">
      <c r="A82">
        <v>2019</v>
      </c>
      <c r="B82" s="5" t="s">
        <v>11</v>
      </c>
      <c r="C82" s="6">
        <v>2.7297468000000002E-3</v>
      </c>
      <c r="D82" s="7">
        <v>244162</v>
      </c>
    </row>
    <row r="83" spans="1:4" x14ac:dyDescent="0.2">
      <c r="A83">
        <v>2019</v>
      </c>
      <c r="B83" s="5" t="s">
        <v>12</v>
      </c>
      <c r="C83" s="6">
        <v>1.7229534999999999E-3</v>
      </c>
      <c r="D83" s="7">
        <v>154109</v>
      </c>
    </row>
    <row r="84" spans="1:4" x14ac:dyDescent="0.2">
      <c r="A84">
        <v>2019</v>
      </c>
      <c r="B84" s="5" t="s">
        <v>13</v>
      </c>
      <c r="C84" s="6">
        <v>2.1275208999999998E-3</v>
      </c>
      <c r="D84" s="7">
        <v>190296</v>
      </c>
    </row>
    <row r="85" spans="1:4" x14ac:dyDescent="0.2">
      <c r="A85">
        <v>2019</v>
      </c>
      <c r="B85" s="5" t="s">
        <v>183</v>
      </c>
      <c r="C85" s="6">
        <v>3.6363667000000001E-3</v>
      </c>
      <c r="D85" s="7">
        <v>325254</v>
      </c>
    </row>
    <row r="86" spans="1:4" x14ac:dyDescent="0.2">
      <c r="A86">
        <v>2019</v>
      </c>
      <c r="B86" s="5" t="s">
        <v>14</v>
      </c>
      <c r="C86" s="6">
        <v>3.040732E-3</v>
      </c>
      <c r="D86" s="7">
        <v>271978</v>
      </c>
    </row>
    <row r="87" spans="1:4" x14ac:dyDescent="0.2">
      <c r="A87">
        <v>2019</v>
      </c>
      <c r="B87" s="5" t="s">
        <v>15</v>
      </c>
      <c r="C87" s="6">
        <v>1.4985707999999999E-3</v>
      </c>
      <c r="D87" s="7">
        <v>134039</v>
      </c>
    </row>
    <row r="88" spans="1:4" x14ac:dyDescent="0.2">
      <c r="A88">
        <v>2019</v>
      </c>
      <c r="B88" s="5" t="s">
        <v>16</v>
      </c>
      <c r="C88" s="6">
        <v>3.59575E-3</v>
      </c>
      <c r="D88" s="7">
        <v>321621</v>
      </c>
    </row>
    <row r="89" spans="1:4" x14ac:dyDescent="0.2">
      <c r="A89">
        <v>2019</v>
      </c>
      <c r="B89" s="5" t="s">
        <v>224</v>
      </c>
      <c r="C89" s="6">
        <v>1.6344261000000001E-3</v>
      </c>
      <c r="D89" s="7">
        <v>146191</v>
      </c>
    </row>
    <row r="90" spans="1:4" x14ac:dyDescent="0.2">
      <c r="A90">
        <v>2019</v>
      </c>
      <c r="B90" s="5" t="s">
        <v>17</v>
      </c>
      <c r="C90" s="6">
        <v>2.3957635000000001E-3</v>
      </c>
      <c r="D90" s="7">
        <v>214289</v>
      </c>
    </row>
    <row r="91" spans="1:4" x14ac:dyDescent="0.2">
      <c r="A91">
        <v>2019</v>
      </c>
      <c r="B91" s="5" t="s">
        <v>18</v>
      </c>
      <c r="C91" s="6">
        <v>5.0434466000000002E-3</v>
      </c>
      <c r="D91" s="7">
        <v>451110</v>
      </c>
    </row>
    <row r="92" spans="1:4" x14ac:dyDescent="0.2">
      <c r="A92">
        <v>2019</v>
      </c>
      <c r="B92" s="5" t="s">
        <v>19</v>
      </c>
      <c r="C92" s="6">
        <v>1.2004851999999999E-3</v>
      </c>
      <c r="D92" s="7">
        <v>107377</v>
      </c>
    </row>
    <row r="93" spans="1:4" x14ac:dyDescent="0.2">
      <c r="A93">
        <v>2019</v>
      </c>
      <c r="B93" s="5" t="s">
        <v>223</v>
      </c>
      <c r="C93" s="6">
        <v>1.9869770000000001E-4</v>
      </c>
      <c r="D93" s="7">
        <v>17772</v>
      </c>
    </row>
    <row r="94" spans="1:4" x14ac:dyDescent="0.2">
      <c r="A94">
        <v>2019</v>
      </c>
      <c r="B94" s="5" t="s">
        <v>20</v>
      </c>
      <c r="C94" s="6">
        <v>5.8147999999999998E-6</v>
      </c>
      <c r="D94" s="5">
        <v>520</v>
      </c>
    </row>
    <row r="95" spans="1:4" x14ac:dyDescent="0.2">
      <c r="A95">
        <v>2019</v>
      </c>
      <c r="B95" s="5" t="s">
        <v>21</v>
      </c>
      <c r="C95" s="6">
        <v>3.6122980000000002E-4</v>
      </c>
      <c r="D95" s="7">
        <v>32310</v>
      </c>
    </row>
    <row r="96" spans="1:4" x14ac:dyDescent="0.2">
      <c r="A96">
        <v>2019</v>
      </c>
      <c r="B96" s="5" t="s">
        <v>22</v>
      </c>
      <c r="C96" s="6">
        <v>2.4492509999999998E-4</v>
      </c>
      <c r="D96" s="7">
        <v>21907</v>
      </c>
    </row>
    <row r="97" spans="1:4" x14ac:dyDescent="0.2">
      <c r="A97">
        <v>2019</v>
      </c>
      <c r="B97" s="5" t="s">
        <v>222</v>
      </c>
      <c r="C97" s="6">
        <v>1.3500605999999999E-3</v>
      </c>
      <c r="D97" s="7">
        <v>120756</v>
      </c>
    </row>
    <row r="98" spans="1:4" x14ac:dyDescent="0.2">
      <c r="A98">
        <v>2019</v>
      </c>
      <c r="B98" s="5" t="s">
        <v>23</v>
      </c>
      <c r="C98" s="6">
        <v>2.9988330899999999E-2</v>
      </c>
      <c r="D98" s="7">
        <v>2682303</v>
      </c>
    </row>
    <row r="99" spans="1:4" x14ac:dyDescent="0.2">
      <c r="A99">
        <v>2019</v>
      </c>
      <c r="B99" s="5" t="s">
        <v>24</v>
      </c>
      <c r="C99" s="6">
        <v>2.3575023000000001E-3</v>
      </c>
      <c r="D99" s="7">
        <v>210867</v>
      </c>
    </row>
    <row r="100" spans="1:4" x14ac:dyDescent="0.2">
      <c r="A100">
        <v>2019</v>
      </c>
      <c r="B100" s="5" t="s">
        <v>25</v>
      </c>
      <c r="C100" s="6">
        <v>1.379048E-4</v>
      </c>
      <c r="D100" s="7">
        <v>12335</v>
      </c>
    </row>
    <row r="101" spans="1:4" x14ac:dyDescent="0.2">
      <c r="A101">
        <v>2019</v>
      </c>
      <c r="B101" s="5" t="s">
        <v>228</v>
      </c>
      <c r="C101" s="6">
        <v>1.4038772000000001E-3</v>
      </c>
      <c r="D101" s="7">
        <v>125570</v>
      </c>
    </row>
    <row r="102" spans="1:4" x14ac:dyDescent="0.2">
      <c r="A102">
        <v>2019</v>
      </c>
      <c r="B102" s="5" t="s">
        <v>26</v>
      </c>
      <c r="C102" s="6">
        <v>2.4176009000000001E-3</v>
      </c>
      <c r="D102" s="7">
        <v>216242</v>
      </c>
    </row>
    <row r="103" spans="1:4" x14ac:dyDescent="0.2">
      <c r="A103">
        <v>2019</v>
      </c>
      <c r="B103" s="5" t="s">
        <v>27</v>
      </c>
      <c r="C103" s="6">
        <v>1.1926510999999999E-3</v>
      </c>
      <c r="D103" s="7">
        <v>106677</v>
      </c>
    </row>
    <row r="104" spans="1:4" x14ac:dyDescent="0.2">
      <c r="A104">
        <v>2019</v>
      </c>
      <c r="B104" s="5" t="s">
        <v>28</v>
      </c>
      <c r="C104" s="6">
        <v>1.817818E-4</v>
      </c>
      <c r="D104" s="7">
        <v>16259</v>
      </c>
    </row>
    <row r="105" spans="1:4" x14ac:dyDescent="0.2">
      <c r="A105">
        <v>2019</v>
      </c>
      <c r="B105" s="5" t="s">
        <v>184</v>
      </c>
      <c r="C105" s="6">
        <v>1.6466624E-3</v>
      </c>
      <c r="D105" s="7">
        <v>147286</v>
      </c>
    </row>
    <row r="106" spans="1:4" x14ac:dyDescent="0.2">
      <c r="A106">
        <v>2019</v>
      </c>
      <c r="B106" s="5" t="s">
        <v>29</v>
      </c>
      <c r="C106" s="6">
        <v>3.9201835000000004E-3</v>
      </c>
      <c r="D106" s="7">
        <v>350640</v>
      </c>
    </row>
    <row r="107" spans="1:4" x14ac:dyDescent="0.2">
      <c r="A107">
        <v>2019</v>
      </c>
      <c r="B107" s="5" t="s">
        <v>30</v>
      </c>
      <c r="C107" s="6">
        <v>9.9119149999999994E-4</v>
      </c>
      <c r="D107" s="7">
        <v>88657</v>
      </c>
    </row>
    <row r="108" spans="1:4" x14ac:dyDescent="0.2">
      <c r="A108">
        <v>2019</v>
      </c>
      <c r="B108" s="5" t="s">
        <v>31</v>
      </c>
      <c r="C108" s="6">
        <v>6.3491200000000006E-5</v>
      </c>
      <c r="D108" s="7">
        <v>5679</v>
      </c>
    </row>
    <row r="109" spans="1:4" x14ac:dyDescent="0.2">
      <c r="A109">
        <v>2019</v>
      </c>
      <c r="B109" s="5" t="s">
        <v>221</v>
      </c>
      <c r="C109" s="6">
        <v>1.2668180500000001E-2</v>
      </c>
      <c r="D109" s="7">
        <v>1133104</v>
      </c>
    </row>
    <row r="110" spans="1:4" x14ac:dyDescent="0.2">
      <c r="A110">
        <v>2019</v>
      </c>
      <c r="B110" s="5" t="s">
        <v>32</v>
      </c>
      <c r="C110" s="6">
        <v>1.4806608E-3</v>
      </c>
      <c r="D110" s="7">
        <v>132438</v>
      </c>
    </row>
    <row r="111" spans="1:4" x14ac:dyDescent="0.2">
      <c r="A111">
        <v>2019</v>
      </c>
      <c r="B111" s="5" t="s">
        <v>33</v>
      </c>
      <c r="C111" s="6">
        <v>2.9437149999999999E-4</v>
      </c>
      <c r="D111" s="7">
        <v>26330</v>
      </c>
    </row>
    <row r="112" spans="1:4" x14ac:dyDescent="0.2">
      <c r="A112">
        <v>2019</v>
      </c>
      <c r="B112" s="5" t="s">
        <v>34</v>
      </c>
      <c r="C112" s="6">
        <v>1.5091207999999999E-3</v>
      </c>
      <c r="D112" s="7">
        <v>134983</v>
      </c>
    </row>
    <row r="113" spans="1:4" x14ac:dyDescent="0.2">
      <c r="A113">
        <v>2019</v>
      </c>
      <c r="B113" s="5" t="s">
        <v>229</v>
      </c>
      <c r="C113" s="6">
        <v>1.7973602999999999E-3</v>
      </c>
      <c r="D113" s="7">
        <v>160765</v>
      </c>
    </row>
    <row r="114" spans="1:4" x14ac:dyDescent="0.2">
      <c r="A114">
        <v>2019</v>
      </c>
      <c r="B114" s="5" t="s">
        <v>35</v>
      </c>
      <c r="C114" s="6">
        <v>2.0701465999999999E-3</v>
      </c>
      <c r="D114" s="7">
        <v>185164</v>
      </c>
    </row>
    <row r="115" spans="1:4" x14ac:dyDescent="0.2">
      <c r="A115">
        <v>2019</v>
      </c>
      <c r="B115" s="5" t="s">
        <v>36</v>
      </c>
      <c r="C115" s="6">
        <v>2.4389258E-3</v>
      </c>
      <c r="D115" s="7">
        <v>218149</v>
      </c>
    </row>
    <row r="116" spans="1:4" x14ac:dyDescent="0.2">
      <c r="A116">
        <v>2019</v>
      </c>
      <c r="B116" s="5" t="s">
        <v>37</v>
      </c>
      <c r="C116" s="6">
        <v>6.36303966E-2</v>
      </c>
      <c r="D116" s="7">
        <v>5691413</v>
      </c>
    </row>
    <row r="117" spans="1:4" x14ac:dyDescent="0.2">
      <c r="A117">
        <v>2019</v>
      </c>
      <c r="B117" s="5" t="s">
        <v>219</v>
      </c>
      <c r="C117" s="6">
        <v>1.961792E-3</v>
      </c>
      <c r="D117" s="7">
        <v>175472</v>
      </c>
    </row>
    <row r="118" spans="1:4" x14ac:dyDescent="0.2">
      <c r="A118">
        <v>2019</v>
      </c>
      <c r="B118" s="5" t="s">
        <v>38</v>
      </c>
      <c r="C118" s="6">
        <v>3.0061758000000001E-3</v>
      </c>
      <c r="D118" s="7">
        <v>268887</v>
      </c>
    </row>
    <row r="119" spans="1:4" x14ac:dyDescent="0.2">
      <c r="A119">
        <v>2019</v>
      </c>
      <c r="B119" s="5" t="s">
        <v>39</v>
      </c>
      <c r="C119" s="6">
        <v>1.1525736E-3</v>
      </c>
      <c r="D119" s="7">
        <v>103092</v>
      </c>
    </row>
    <row r="120" spans="1:4" x14ac:dyDescent="0.2">
      <c r="A120">
        <v>2019</v>
      </c>
      <c r="B120" s="5" t="s">
        <v>40</v>
      </c>
      <c r="C120" s="6">
        <v>8.4999999999999999E-6</v>
      </c>
      <c r="D120" s="5">
        <v>760</v>
      </c>
    </row>
    <row r="121" spans="1:4" x14ac:dyDescent="0.2">
      <c r="A121">
        <v>2019</v>
      </c>
      <c r="B121" s="5" t="s">
        <v>220</v>
      </c>
      <c r="C121" s="6">
        <v>1.921638E-3</v>
      </c>
      <c r="D121" s="7">
        <v>171881</v>
      </c>
    </row>
    <row r="122" spans="1:4" x14ac:dyDescent="0.2">
      <c r="A122">
        <v>2019</v>
      </c>
      <c r="B122" s="5" t="s">
        <v>41</v>
      </c>
      <c r="C122" s="6">
        <v>2.4482060000000001E-3</v>
      </c>
      <c r="D122" s="7">
        <v>218979</v>
      </c>
    </row>
    <row r="123" spans="1:4" x14ac:dyDescent="0.2">
      <c r="A123">
        <v>2019</v>
      </c>
      <c r="B123" s="5" t="s">
        <v>42</v>
      </c>
      <c r="C123" s="6">
        <v>1.5425165E-3</v>
      </c>
      <c r="D123" s="7">
        <v>137970</v>
      </c>
    </row>
    <row r="124" spans="1:4" x14ac:dyDescent="0.2">
      <c r="A124">
        <v>2019</v>
      </c>
      <c r="B124" s="5" t="s">
        <v>43</v>
      </c>
      <c r="C124" s="6">
        <v>0</v>
      </c>
    </row>
    <row r="125" spans="1:4" x14ac:dyDescent="0.2">
      <c r="A125">
        <v>2019</v>
      </c>
      <c r="B125" s="5" t="s">
        <v>185</v>
      </c>
      <c r="C125" s="6">
        <v>2.1579014E-3</v>
      </c>
      <c r="D125" s="7">
        <v>193013</v>
      </c>
    </row>
    <row r="126" spans="1:4" x14ac:dyDescent="0.2">
      <c r="A126">
        <v>2019</v>
      </c>
      <c r="B126" s="5" t="s">
        <v>44</v>
      </c>
      <c r="C126" s="6">
        <v>1.4991590000000001E-4</v>
      </c>
      <c r="D126" s="7">
        <v>13409</v>
      </c>
    </row>
    <row r="127" spans="1:4" x14ac:dyDescent="0.2">
      <c r="A127">
        <v>2019</v>
      </c>
      <c r="B127" s="5" t="s">
        <v>45</v>
      </c>
      <c r="C127" s="6">
        <v>2.0027652000000002E-3</v>
      </c>
      <c r="D127" s="7">
        <v>179137</v>
      </c>
    </row>
    <row r="128" spans="1:4" x14ac:dyDescent="0.2">
      <c r="A128">
        <v>2019</v>
      </c>
      <c r="B128" s="5" t="s">
        <v>46</v>
      </c>
      <c r="C128" s="6">
        <v>2.6405629999999997E-4</v>
      </c>
      <c r="D128" s="7">
        <v>23618</v>
      </c>
    </row>
    <row r="129" spans="1:4" x14ac:dyDescent="0.2">
      <c r="A129">
        <v>2019</v>
      </c>
      <c r="B129" s="5" t="s">
        <v>189</v>
      </c>
      <c r="C129" s="6">
        <v>9.756961E-4</v>
      </c>
      <c r="D129" s="7">
        <v>87271</v>
      </c>
    </row>
    <row r="130" spans="1:4" x14ac:dyDescent="0.2">
      <c r="A130">
        <v>2019</v>
      </c>
      <c r="B130" s="5" t="s">
        <v>47</v>
      </c>
      <c r="C130" s="6">
        <v>1.3475660999999999E-3</v>
      </c>
      <c r="D130" s="7">
        <v>120533</v>
      </c>
    </row>
    <row r="131" spans="1:4" x14ac:dyDescent="0.2">
      <c r="A131">
        <v>2019</v>
      </c>
      <c r="B131" s="5" t="s">
        <v>48</v>
      </c>
      <c r="C131" s="6">
        <v>2.211088E-4</v>
      </c>
      <c r="D131" s="7">
        <v>19777</v>
      </c>
    </row>
    <row r="132" spans="1:4" x14ac:dyDescent="0.2">
      <c r="A132">
        <v>2019</v>
      </c>
      <c r="B132" s="5" t="s">
        <v>49</v>
      </c>
      <c r="C132" s="6">
        <v>1.6768434E-3</v>
      </c>
      <c r="D132" s="7">
        <v>149985</v>
      </c>
    </row>
    <row r="133" spans="1:4" x14ac:dyDescent="0.2">
      <c r="A133">
        <v>2019</v>
      </c>
      <c r="B133" s="5" t="s">
        <v>186</v>
      </c>
      <c r="C133" s="6">
        <v>4.3791790000000004E-3</v>
      </c>
      <c r="D133" s="7">
        <v>391695</v>
      </c>
    </row>
    <row r="134" spans="1:4" x14ac:dyDescent="0.2">
      <c r="A134">
        <v>2019</v>
      </c>
      <c r="B134" s="5" t="s">
        <v>50</v>
      </c>
      <c r="C134" s="6">
        <v>1.9273500000000001E-5</v>
      </c>
      <c r="D134" s="7">
        <v>1724</v>
      </c>
    </row>
    <row r="135" spans="1:4" x14ac:dyDescent="0.2">
      <c r="A135">
        <v>2019</v>
      </c>
      <c r="B135" s="5" t="s">
        <v>51</v>
      </c>
      <c r="C135" s="6">
        <v>2.6198747000000001E-3</v>
      </c>
      <c r="D135" s="7">
        <v>234334</v>
      </c>
    </row>
    <row r="136" spans="1:4" x14ac:dyDescent="0.2">
      <c r="A136">
        <v>2019</v>
      </c>
      <c r="B136" s="5" t="s">
        <v>52</v>
      </c>
      <c r="C136" s="6">
        <v>2.1187875999999998E-3</v>
      </c>
      <c r="D136" s="7">
        <v>189515</v>
      </c>
    </row>
    <row r="137" spans="1:4" x14ac:dyDescent="0.2">
      <c r="A137">
        <v>2019</v>
      </c>
      <c r="B137" s="5" t="s">
        <v>109</v>
      </c>
      <c r="C137" s="6">
        <v>2.5649178000000002E-3</v>
      </c>
      <c r="D137" s="7">
        <v>229419</v>
      </c>
    </row>
    <row r="138" spans="1:4" x14ac:dyDescent="0.2">
      <c r="A138">
        <v>2019</v>
      </c>
      <c r="B138" s="5" t="s">
        <v>110</v>
      </c>
      <c r="C138" s="6">
        <v>2.9368762999999998E-3</v>
      </c>
      <c r="D138" s="7">
        <v>262689</v>
      </c>
    </row>
    <row r="139" spans="1:4" x14ac:dyDescent="0.2">
      <c r="A139">
        <v>2019</v>
      </c>
      <c r="B139" s="5" t="s">
        <v>111</v>
      </c>
      <c r="C139" s="6">
        <v>7.6970262999999997E-3</v>
      </c>
      <c r="D139" s="7">
        <v>688460</v>
      </c>
    </row>
    <row r="140" spans="1:4" x14ac:dyDescent="0.2">
      <c r="A140">
        <v>2019</v>
      </c>
      <c r="B140" s="5" t="s">
        <v>112</v>
      </c>
      <c r="C140" s="6">
        <v>1.1871838999999999E-3</v>
      </c>
      <c r="D140" s="7">
        <v>106188</v>
      </c>
    </row>
    <row r="141" spans="1:4" x14ac:dyDescent="0.2">
      <c r="A141">
        <v>2019</v>
      </c>
      <c r="B141" s="5" t="s">
        <v>113</v>
      </c>
      <c r="C141" s="6">
        <v>3.9445282000000002E-3</v>
      </c>
      <c r="D141" s="7">
        <v>352818</v>
      </c>
    </row>
    <row r="142" spans="1:4" x14ac:dyDescent="0.2">
      <c r="A142">
        <v>2019</v>
      </c>
      <c r="B142" s="5" t="s">
        <v>114</v>
      </c>
      <c r="C142" s="6">
        <v>2.2610134999999998E-3</v>
      </c>
      <c r="D142" s="7">
        <v>202236</v>
      </c>
    </row>
    <row r="143" spans="1:4" x14ac:dyDescent="0.2">
      <c r="A143">
        <v>2019</v>
      </c>
      <c r="B143" s="5" t="s">
        <v>115</v>
      </c>
      <c r="C143" s="6">
        <v>2.4031403999999999E-3</v>
      </c>
      <c r="D143" s="7">
        <v>214949</v>
      </c>
    </row>
    <row r="144" spans="1:4" x14ac:dyDescent="0.2">
      <c r="A144">
        <v>2019</v>
      </c>
      <c r="B144" s="5" t="s">
        <v>203</v>
      </c>
      <c r="C144" s="6">
        <v>8.3432210000000001E-4</v>
      </c>
      <c r="D144" s="7">
        <v>74626</v>
      </c>
    </row>
    <row r="145" spans="1:4" x14ac:dyDescent="0.2">
      <c r="A145">
        <v>2019</v>
      </c>
      <c r="B145" s="5" t="s">
        <v>116</v>
      </c>
      <c r="C145" s="6">
        <v>4.7645279E-3</v>
      </c>
      <c r="D145" s="7">
        <v>426163</v>
      </c>
    </row>
    <row r="146" spans="1:4" x14ac:dyDescent="0.2">
      <c r="A146">
        <v>2019</v>
      </c>
      <c r="B146" s="5" t="s">
        <v>117</v>
      </c>
      <c r="C146" s="6">
        <v>4.510858E-4</v>
      </c>
      <c r="D146" s="7">
        <v>40347</v>
      </c>
    </row>
    <row r="147" spans="1:4" x14ac:dyDescent="0.2">
      <c r="A147">
        <v>2019</v>
      </c>
      <c r="B147" s="5" t="s">
        <v>118</v>
      </c>
      <c r="C147" s="6">
        <v>2.5006161999999998E-3</v>
      </c>
      <c r="D147" s="7">
        <v>223667</v>
      </c>
    </row>
    <row r="148" spans="1:4" x14ac:dyDescent="0.2">
      <c r="A148">
        <v>2019</v>
      </c>
      <c r="B148" s="5" t="s">
        <v>201</v>
      </c>
      <c r="C148" s="6">
        <v>2.8350632000000001E-3</v>
      </c>
      <c r="D148" s="7">
        <v>253582</v>
      </c>
    </row>
    <row r="149" spans="1:4" x14ac:dyDescent="0.2">
      <c r="A149">
        <v>2019</v>
      </c>
      <c r="B149" s="5" t="s">
        <v>119</v>
      </c>
      <c r="C149" s="6">
        <v>6.7519360000000003E-4</v>
      </c>
      <c r="D149" s="7">
        <v>60393</v>
      </c>
    </row>
    <row r="150" spans="1:4" x14ac:dyDescent="0.2">
      <c r="A150">
        <v>2019</v>
      </c>
      <c r="B150" s="5" t="s">
        <v>120</v>
      </c>
      <c r="C150" s="6">
        <v>1.2547318999999999E-3</v>
      </c>
      <c r="D150" s="7">
        <v>112229</v>
      </c>
    </row>
    <row r="151" spans="1:4" x14ac:dyDescent="0.2">
      <c r="A151">
        <v>2019</v>
      </c>
      <c r="B151" s="5" t="s">
        <v>121</v>
      </c>
      <c r="C151" s="6">
        <v>9.801263000000001E-4</v>
      </c>
      <c r="D151" s="7">
        <v>87667</v>
      </c>
    </row>
    <row r="152" spans="1:4" x14ac:dyDescent="0.2">
      <c r="A152">
        <v>2019</v>
      </c>
      <c r="B152" s="5" t="s">
        <v>230</v>
      </c>
      <c r="C152" s="6">
        <v>2.9699470000000001E-3</v>
      </c>
      <c r="D152" s="7">
        <v>265647</v>
      </c>
    </row>
    <row r="153" spans="1:4" x14ac:dyDescent="0.2">
      <c r="A153">
        <v>2019</v>
      </c>
      <c r="B153" s="5" t="s">
        <v>122</v>
      </c>
      <c r="C153" s="6">
        <v>2.6580576999999999E-3</v>
      </c>
      <c r="D153" s="7">
        <v>237750</v>
      </c>
    </row>
    <row r="154" spans="1:4" x14ac:dyDescent="0.2">
      <c r="A154">
        <v>2019</v>
      </c>
      <c r="B154" s="5" t="s">
        <v>123</v>
      </c>
      <c r="C154" s="6">
        <v>7.6166540000000005E-4</v>
      </c>
      <c r="D154" s="7">
        <v>68127</v>
      </c>
    </row>
    <row r="155" spans="1:4" x14ac:dyDescent="0.2">
      <c r="A155">
        <v>2019</v>
      </c>
      <c r="B155" s="5" t="s">
        <v>124</v>
      </c>
      <c r="C155" s="6">
        <v>1.634912E-4</v>
      </c>
      <c r="D155" s="7">
        <v>14623</v>
      </c>
    </row>
    <row r="156" spans="1:4" x14ac:dyDescent="0.2">
      <c r="A156">
        <v>2019</v>
      </c>
      <c r="B156" s="5" t="s">
        <v>216</v>
      </c>
      <c r="C156" s="6">
        <v>1.0786672E-3</v>
      </c>
      <c r="D156" s="7">
        <v>96481</v>
      </c>
    </row>
    <row r="157" spans="1:4" x14ac:dyDescent="0.2">
      <c r="A157">
        <v>2019</v>
      </c>
      <c r="B157" s="5" t="s">
        <v>125</v>
      </c>
      <c r="C157" s="6">
        <v>0</v>
      </c>
    </row>
    <row r="158" spans="1:4" x14ac:dyDescent="0.2">
      <c r="A158">
        <v>2019</v>
      </c>
      <c r="B158" s="5" t="s">
        <v>126</v>
      </c>
      <c r="C158" s="6">
        <v>1.7397188E-3</v>
      </c>
      <c r="D158" s="7">
        <v>155609</v>
      </c>
    </row>
    <row r="159" spans="1:4" x14ac:dyDescent="0.2">
      <c r="A159">
        <v>2019</v>
      </c>
      <c r="B159" s="5" t="s">
        <v>127</v>
      </c>
      <c r="C159" s="6">
        <v>2.6191640999999998E-3</v>
      </c>
      <c r="D159" s="7">
        <v>234271</v>
      </c>
    </row>
    <row r="160" spans="1:4" x14ac:dyDescent="0.2">
      <c r="A160">
        <v>2019</v>
      </c>
      <c r="B160" s="5" t="s">
        <v>231</v>
      </c>
      <c r="C160" s="6">
        <v>2.2284975E-3</v>
      </c>
      <c r="D160" s="7">
        <v>199328</v>
      </c>
    </row>
    <row r="161" spans="1:4" x14ac:dyDescent="0.2">
      <c r="A161">
        <v>2019</v>
      </c>
      <c r="B161" s="5" t="s">
        <v>128</v>
      </c>
      <c r="C161" s="6">
        <v>0</v>
      </c>
    </row>
    <row r="162" spans="1:4" x14ac:dyDescent="0.2">
      <c r="A162">
        <v>2019</v>
      </c>
      <c r="B162" s="5" t="s">
        <v>129</v>
      </c>
      <c r="C162" s="6">
        <v>0</v>
      </c>
    </row>
    <row r="163" spans="1:4" x14ac:dyDescent="0.2">
      <c r="A163">
        <v>2019</v>
      </c>
      <c r="B163" s="5" t="s">
        <v>130</v>
      </c>
      <c r="C163" s="6">
        <v>1.7574451999999999E-3</v>
      </c>
      <c r="D163" s="7">
        <v>157194</v>
      </c>
    </row>
    <row r="164" spans="1:4" x14ac:dyDescent="0.2">
      <c r="A164">
        <v>2019</v>
      </c>
      <c r="B164" s="5" t="s">
        <v>204</v>
      </c>
      <c r="C164" s="6">
        <v>5.9588689999999999E-4</v>
      </c>
      <c r="D164" s="7">
        <v>53299</v>
      </c>
    </row>
    <row r="165" spans="1:4" x14ac:dyDescent="0.2">
      <c r="A165">
        <v>2019</v>
      </c>
      <c r="B165" s="5" t="s">
        <v>131</v>
      </c>
      <c r="C165" s="6">
        <v>2.0451630000000001E-4</v>
      </c>
      <c r="D165" s="7">
        <v>18293</v>
      </c>
    </row>
    <row r="166" spans="1:4" x14ac:dyDescent="0.2">
      <c r="A166">
        <v>2019</v>
      </c>
      <c r="B166" s="5" t="s">
        <v>132</v>
      </c>
      <c r="C166" s="6">
        <v>2.7612859999999998E-4</v>
      </c>
      <c r="D166" s="7">
        <v>24698</v>
      </c>
    </row>
    <row r="167" spans="1:4" x14ac:dyDescent="0.2">
      <c r="A167">
        <v>2019</v>
      </c>
      <c r="B167" s="5" t="s">
        <v>133</v>
      </c>
      <c r="C167" s="6">
        <v>4.9796854000000003E-3</v>
      </c>
      <c r="D167" s="7">
        <v>445407</v>
      </c>
    </row>
    <row r="168" spans="1:4" x14ac:dyDescent="0.2">
      <c r="A168">
        <v>2019</v>
      </c>
      <c r="B168" s="5" t="s">
        <v>205</v>
      </c>
      <c r="C168" s="6">
        <v>1.9194997999999999E-3</v>
      </c>
      <c r="D168" s="7">
        <v>171689</v>
      </c>
    </row>
    <row r="169" spans="1:4" x14ac:dyDescent="0.2">
      <c r="A169">
        <v>2019</v>
      </c>
      <c r="B169" s="5" t="s">
        <v>134</v>
      </c>
      <c r="C169" s="6">
        <v>2.3081557999999999E-3</v>
      </c>
      <c r="D169" s="7">
        <v>206453</v>
      </c>
    </row>
    <row r="170" spans="1:4" x14ac:dyDescent="0.2">
      <c r="A170">
        <v>2019</v>
      </c>
      <c r="B170" s="5" t="s">
        <v>135</v>
      </c>
      <c r="C170" s="6">
        <v>8.091776E-4</v>
      </c>
      <c r="D170" s="7">
        <v>72377</v>
      </c>
    </row>
    <row r="171" spans="1:4" x14ac:dyDescent="0.2">
      <c r="A171">
        <v>2019</v>
      </c>
      <c r="B171" s="5" t="s">
        <v>136</v>
      </c>
      <c r="C171" s="6">
        <v>1.7129681999999999E-3</v>
      </c>
      <c r="D171" s="7">
        <v>153216</v>
      </c>
    </row>
    <row r="172" spans="1:4" x14ac:dyDescent="0.2">
      <c r="A172">
        <v>2019</v>
      </c>
      <c r="B172" s="5" t="s">
        <v>215</v>
      </c>
      <c r="C172" s="6">
        <v>2.2644268000000002E-3</v>
      </c>
      <c r="D172" s="7">
        <v>202541</v>
      </c>
    </row>
    <row r="173" spans="1:4" x14ac:dyDescent="0.2">
      <c r="A173">
        <v>2019</v>
      </c>
      <c r="B173" s="5" t="s">
        <v>137</v>
      </c>
      <c r="C173" s="6">
        <v>1.3623896999999999E-3</v>
      </c>
      <c r="D173" s="7">
        <v>121859</v>
      </c>
    </row>
    <row r="174" spans="1:4" x14ac:dyDescent="0.2">
      <c r="A174">
        <v>2019</v>
      </c>
      <c r="B174" s="5" t="s">
        <v>138</v>
      </c>
      <c r="C174" s="6">
        <v>1.3287395E-3</v>
      </c>
      <c r="D174" s="7">
        <v>118849</v>
      </c>
    </row>
    <row r="175" spans="1:4" x14ac:dyDescent="0.2">
      <c r="A175">
        <v>2019</v>
      </c>
      <c r="B175" s="5" t="s">
        <v>139</v>
      </c>
      <c r="C175" s="6">
        <v>2.0781479000000001E-3</v>
      </c>
      <c r="D175" s="7">
        <v>185880</v>
      </c>
    </row>
    <row r="176" spans="1:4" x14ac:dyDescent="0.2">
      <c r="A176">
        <v>2019</v>
      </c>
      <c r="B176" s="5" t="s">
        <v>207</v>
      </c>
      <c r="C176" s="6">
        <v>3.81412E-5</v>
      </c>
      <c r="D176" s="7">
        <v>3412</v>
      </c>
    </row>
    <row r="177" spans="1:4" x14ac:dyDescent="0.2">
      <c r="A177">
        <v>2019</v>
      </c>
      <c r="B177" s="5" t="s">
        <v>140</v>
      </c>
      <c r="C177" s="6">
        <v>2.3487460000000001E-3</v>
      </c>
      <c r="D177" s="7">
        <v>210083</v>
      </c>
    </row>
    <row r="178" spans="1:4" x14ac:dyDescent="0.2">
      <c r="A178">
        <v>2019</v>
      </c>
      <c r="B178" s="5" t="s">
        <v>141</v>
      </c>
      <c r="C178" s="6">
        <v>1.7744919000000001E-3</v>
      </c>
      <c r="D178" s="7">
        <v>158719</v>
      </c>
    </row>
    <row r="179" spans="1:4" x14ac:dyDescent="0.2">
      <c r="A179">
        <v>2019</v>
      </c>
      <c r="B179" s="5" t="s">
        <v>142</v>
      </c>
      <c r="C179" s="6">
        <v>8.5320800000000005E-5</v>
      </c>
      <c r="D179" s="7">
        <v>7632</v>
      </c>
    </row>
    <row r="180" spans="1:4" x14ac:dyDescent="0.2">
      <c r="A180">
        <v>2019</v>
      </c>
      <c r="B180" s="5" t="s">
        <v>233</v>
      </c>
      <c r="C180" s="6">
        <v>8.2517280000000005E-4</v>
      </c>
      <c r="D180" s="7">
        <v>73807</v>
      </c>
    </row>
    <row r="181" spans="1:4" x14ac:dyDescent="0.2">
      <c r="A181">
        <v>2019</v>
      </c>
      <c r="B181" s="5" t="s">
        <v>206</v>
      </c>
      <c r="C181" s="6">
        <v>2.7936785000000001E-3</v>
      </c>
      <c r="D181" s="7">
        <v>249880</v>
      </c>
    </row>
    <row r="182" spans="1:4" x14ac:dyDescent="0.2">
      <c r="A182">
        <v>2019</v>
      </c>
      <c r="B182" s="5" t="s">
        <v>234</v>
      </c>
      <c r="C182" s="6">
        <v>3.6458675999999999E-3</v>
      </c>
      <c r="D182" s="7">
        <v>326104</v>
      </c>
    </row>
    <row r="183" spans="1:4" x14ac:dyDescent="0.2">
      <c r="A183">
        <v>2019</v>
      </c>
      <c r="B183" s="5" t="s">
        <v>144</v>
      </c>
      <c r="C183" s="6">
        <v>7.0768839999999996E-4</v>
      </c>
      <c r="D183" s="7">
        <v>63299</v>
      </c>
    </row>
    <row r="184" spans="1:4" x14ac:dyDescent="0.2">
      <c r="A184">
        <v>2019</v>
      </c>
      <c r="B184" s="5" t="s">
        <v>145</v>
      </c>
      <c r="C184" s="6">
        <v>9.8122900000000002E-5</v>
      </c>
      <c r="D184" s="7">
        <v>8777</v>
      </c>
    </row>
    <row r="185" spans="1:4" x14ac:dyDescent="0.2">
      <c r="A185">
        <v>2019</v>
      </c>
      <c r="B185" s="5" t="s">
        <v>208</v>
      </c>
      <c r="C185" s="6">
        <v>3.9694882000000003E-3</v>
      </c>
      <c r="D185" s="7">
        <v>355050</v>
      </c>
    </row>
    <row r="186" spans="1:4" x14ac:dyDescent="0.2">
      <c r="A186">
        <v>2019</v>
      </c>
      <c r="B186" s="5" t="s">
        <v>146</v>
      </c>
      <c r="C186" s="6">
        <v>9.0056469999999999E-4</v>
      </c>
      <c r="D186" s="7">
        <v>80551</v>
      </c>
    </row>
    <row r="187" spans="1:4" x14ac:dyDescent="0.2">
      <c r="A187">
        <v>2019</v>
      </c>
      <c r="B187" s="5" t="s">
        <v>147</v>
      </c>
      <c r="C187" s="6">
        <v>5.3748549E-3</v>
      </c>
      <c r="D187" s="7">
        <v>480753</v>
      </c>
    </row>
    <row r="188" spans="1:4" x14ac:dyDescent="0.2">
      <c r="A188">
        <v>2019</v>
      </c>
      <c r="B188" s="5" t="s">
        <v>148</v>
      </c>
      <c r="C188" s="6">
        <v>7.7414659999999996E-4</v>
      </c>
      <c r="D188" s="7">
        <v>69243</v>
      </c>
    </row>
    <row r="189" spans="1:4" x14ac:dyDescent="0.2">
      <c r="A189">
        <v>2019</v>
      </c>
      <c r="B189" s="5" t="s">
        <v>209</v>
      </c>
      <c r="C189" s="6">
        <v>4.341363E-4</v>
      </c>
      <c r="D189" s="7">
        <v>38831</v>
      </c>
    </row>
    <row r="190" spans="1:4" x14ac:dyDescent="0.2">
      <c r="A190">
        <v>2019</v>
      </c>
      <c r="B190" s="5" t="s">
        <v>149</v>
      </c>
      <c r="C190" s="6">
        <v>1.4221512E-3</v>
      </c>
      <c r="D190" s="7">
        <v>127204</v>
      </c>
    </row>
    <row r="191" spans="1:4" x14ac:dyDescent="0.2">
      <c r="A191">
        <v>2019</v>
      </c>
      <c r="B191" s="5" t="s">
        <v>150</v>
      </c>
      <c r="C191" s="6">
        <v>3.6079905999999999E-3</v>
      </c>
      <c r="D191" s="7">
        <v>322716</v>
      </c>
    </row>
    <row r="192" spans="1:4" x14ac:dyDescent="0.2">
      <c r="A192">
        <v>2019</v>
      </c>
      <c r="B192" s="5" t="s">
        <v>151</v>
      </c>
      <c r="C192" s="6">
        <v>1.697581E-4</v>
      </c>
      <c r="D192" s="7">
        <v>15184</v>
      </c>
    </row>
    <row r="193" spans="1:4" x14ac:dyDescent="0.2">
      <c r="A193">
        <v>2019</v>
      </c>
      <c r="B193" s="5" t="s">
        <v>210</v>
      </c>
      <c r="C193" s="6">
        <v>3.6194174999999999E-3</v>
      </c>
      <c r="D193" s="7">
        <v>323738</v>
      </c>
    </row>
    <row r="194" spans="1:4" x14ac:dyDescent="0.2">
      <c r="A194">
        <v>2019</v>
      </c>
      <c r="B194" s="5" t="s">
        <v>152</v>
      </c>
      <c r="C194" s="6">
        <v>3.5331185000000002E-3</v>
      </c>
      <c r="D194" s="7">
        <v>316019</v>
      </c>
    </row>
    <row r="195" spans="1:4" x14ac:dyDescent="0.2">
      <c r="A195">
        <v>2019</v>
      </c>
      <c r="B195" s="5" t="s">
        <v>153</v>
      </c>
      <c r="C195" s="6">
        <v>4.7708383999999996E-3</v>
      </c>
      <c r="D195" s="7">
        <v>426727</v>
      </c>
    </row>
    <row r="196" spans="1:4" x14ac:dyDescent="0.2">
      <c r="A196">
        <v>2019</v>
      </c>
      <c r="B196" s="5" t="s">
        <v>154</v>
      </c>
      <c r="C196" s="6">
        <v>1.9183632E-3</v>
      </c>
      <c r="D196" s="7">
        <v>171588</v>
      </c>
    </row>
    <row r="197" spans="1:4" x14ac:dyDescent="0.2">
      <c r="A197">
        <v>2019</v>
      </c>
      <c r="B197" s="5" t="s">
        <v>214</v>
      </c>
      <c r="C197" s="6">
        <v>6.4102349999999996E-4</v>
      </c>
      <c r="D197" s="7">
        <v>57336</v>
      </c>
    </row>
    <row r="198" spans="1:4" x14ac:dyDescent="0.2">
      <c r="A198">
        <v>2019</v>
      </c>
      <c r="B198" s="5" t="s">
        <v>155</v>
      </c>
      <c r="C198" s="6">
        <v>2.1038491000000001E-3</v>
      </c>
      <c r="D198" s="7">
        <v>188179</v>
      </c>
    </row>
    <row r="199" spans="1:4" x14ac:dyDescent="0.2">
      <c r="A199">
        <v>2019</v>
      </c>
      <c r="B199" s="5" t="s">
        <v>156</v>
      </c>
      <c r="C199" s="6">
        <v>4.820965E-3</v>
      </c>
      <c r="D199" s="7">
        <v>431211</v>
      </c>
    </row>
    <row r="200" spans="1:4" x14ac:dyDescent="0.2">
      <c r="A200">
        <v>2019</v>
      </c>
      <c r="B200" s="5" t="s">
        <v>157</v>
      </c>
      <c r="C200" s="6">
        <v>3.7068484000000001E-3</v>
      </c>
      <c r="D200" s="7">
        <v>331559</v>
      </c>
    </row>
    <row r="201" spans="1:4" x14ac:dyDescent="0.2">
      <c r="A201">
        <v>2019</v>
      </c>
      <c r="B201" s="5" t="s">
        <v>213</v>
      </c>
      <c r="C201" s="6">
        <v>2.2397766E-3</v>
      </c>
      <c r="D201" s="7">
        <v>200337</v>
      </c>
    </row>
    <row r="202" spans="1:4" x14ac:dyDescent="0.2">
      <c r="A202">
        <v>2019</v>
      </c>
      <c r="B202" s="5" t="s">
        <v>158</v>
      </c>
      <c r="C202" s="6">
        <v>8.6867339999999998E-3</v>
      </c>
      <c r="D202" s="7">
        <v>776984</v>
      </c>
    </row>
    <row r="203" spans="1:4" x14ac:dyDescent="0.2">
      <c r="A203">
        <v>2019</v>
      </c>
      <c r="B203" s="5" t="s">
        <v>159</v>
      </c>
      <c r="C203" s="6">
        <v>3.8014313000000002E-3</v>
      </c>
      <c r="D203" s="7">
        <v>340019</v>
      </c>
    </row>
    <row r="204" spans="1:4" x14ac:dyDescent="0.2">
      <c r="A204">
        <v>2019</v>
      </c>
      <c r="B204" s="5" t="s">
        <v>160</v>
      </c>
      <c r="C204" s="6">
        <v>9.6188941000000007E-3</v>
      </c>
      <c r="D204" s="7">
        <v>860361</v>
      </c>
    </row>
    <row r="205" spans="1:4" x14ac:dyDescent="0.2">
      <c r="A205">
        <v>2019</v>
      </c>
      <c r="B205" s="5" t="s">
        <v>211</v>
      </c>
      <c r="C205" s="6">
        <v>4.2538299999999999E-5</v>
      </c>
      <c r="D205" s="7">
        <v>3805</v>
      </c>
    </row>
    <row r="206" spans="1:4" x14ac:dyDescent="0.2">
      <c r="A206">
        <v>2019</v>
      </c>
      <c r="B206" s="5" t="s">
        <v>161</v>
      </c>
      <c r="C206" s="6">
        <v>2.3116819999999998E-3</v>
      </c>
      <c r="D206" s="7">
        <v>206768</v>
      </c>
    </row>
    <row r="207" spans="1:4" x14ac:dyDescent="0.2">
      <c r="A207">
        <v>2019</v>
      </c>
      <c r="B207" s="5" t="s">
        <v>162</v>
      </c>
      <c r="C207" s="6">
        <v>2.6119679000000001E-3</v>
      </c>
      <c r="D207" s="7">
        <v>233627</v>
      </c>
    </row>
    <row r="208" spans="1:4" x14ac:dyDescent="0.2">
      <c r="A208">
        <v>2019</v>
      </c>
      <c r="B208" s="5" t="s">
        <v>163</v>
      </c>
      <c r="C208" s="6">
        <v>9.1924018400000002E-2</v>
      </c>
      <c r="D208" s="7">
        <v>8222133</v>
      </c>
    </row>
    <row r="209" spans="1:4" x14ac:dyDescent="0.2">
      <c r="A209">
        <v>2019</v>
      </c>
      <c r="B209" s="5" t="s">
        <v>164</v>
      </c>
      <c r="C209" s="6">
        <v>9.7536859999999999E-4</v>
      </c>
      <c r="D209" s="7">
        <v>87242</v>
      </c>
    </row>
    <row r="210" spans="1:4" x14ac:dyDescent="0.2">
      <c r="A210">
        <v>2019</v>
      </c>
      <c r="B210" s="5" t="s">
        <v>165</v>
      </c>
      <c r="C210" s="6">
        <v>1.5816790999999999E-3</v>
      </c>
      <c r="D210" s="7">
        <v>141473</v>
      </c>
    </row>
    <row r="211" spans="1:4" x14ac:dyDescent="0.2">
      <c r="A211">
        <v>2019</v>
      </c>
      <c r="B211" s="5" t="s">
        <v>166</v>
      </c>
      <c r="C211" s="6">
        <v>2.3628507999999999E-3</v>
      </c>
      <c r="D211" s="7">
        <v>211345</v>
      </c>
    </row>
    <row r="212" spans="1:4" x14ac:dyDescent="0.2">
      <c r="A212">
        <v>2019</v>
      </c>
      <c r="B212" s="5" t="s">
        <v>235</v>
      </c>
      <c r="C212" s="6">
        <v>3.436658E-3</v>
      </c>
      <c r="D212" s="7">
        <v>307391</v>
      </c>
    </row>
    <row r="213" spans="1:4" x14ac:dyDescent="0.2">
      <c r="A213">
        <v>2019</v>
      </c>
      <c r="B213" s="5" t="s">
        <v>167</v>
      </c>
      <c r="C213" s="6">
        <v>2.96249689E-2</v>
      </c>
      <c r="D213" s="7">
        <v>2649802</v>
      </c>
    </row>
    <row r="214" spans="1:4" x14ac:dyDescent="0.2">
      <c r="A214">
        <v>2019</v>
      </c>
      <c r="B214" s="5" t="s">
        <v>232</v>
      </c>
      <c r="C214" s="6">
        <v>6.1181313000000003E-3</v>
      </c>
      <c r="D214" s="7">
        <v>547236</v>
      </c>
    </row>
    <row r="215" spans="1:4" x14ac:dyDescent="0.2">
      <c r="A215">
        <v>2019</v>
      </c>
      <c r="B215" s="5" t="s">
        <v>168</v>
      </c>
      <c r="C215" s="6">
        <v>2.0459276000000001E-3</v>
      </c>
      <c r="D215" s="7">
        <v>182998</v>
      </c>
    </row>
    <row r="216" spans="1:4" x14ac:dyDescent="0.2">
      <c r="A216">
        <v>2019</v>
      </c>
      <c r="B216" s="5" t="s">
        <v>169</v>
      </c>
      <c r="C216" s="6">
        <v>1.0368224000000001E-3</v>
      </c>
      <c r="D216" s="7">
        <v>92738</v>
      </c>
    </row>
    <row r="217" spans="1:4" x14ac:dyDescent="0.2">
      <c r="A217">
        <v>2019</v>
      </c>
      <c r="B217" s="5" t="s">
        <v>170</v>
      </c>
      <c r="C217" s="6">
        <v>1.8897844E-3</v>
      </c>
      <c r="D217" s="7">
        <v>169032</v>
      </c>
    </row>
    <row r="218" spans="1:4" x14ac:dyDescent="0.2">
      <c r="A218">
        <v>2019</v>
      </c>
      <c r="B218" s="5" t="s">
        <v>212</v>
      </c>
      <c r="C218" s="6">
        <v>7.7140390000000002E-4</v>
      </c>
      <c r="D218" s="7">
        <v>68998</v>
      </c>
    </row>
    <row r="219" spans="1:4" x14ac:dyDescent="0.2">
      <c r="A219">
        <v>2019</v>
      </c>
      <c r="B219" s="5" t="s">
        <v>171</v>
      </c>
      <c r="C219" s="6">
        <v>2.0131183E-3</v>
      </c>
      <c r="D219" s="7">
        <v>180063</v>
      </c>
    </row>
    <row r="220" spans="1:4" x14ac:dyDescent="0.2">
      <c r="A220">
        <v>2019</v>
      </c>
      <c r="B220" s="5" t="s">
        <v>172</v>
      </c>
      <c r="C220" s="6">
        <v>7.2231460000000004E-4</v>
      </c>
      <c r="D220" s="7">
        <v>64607</v>
      </c>
    </row>
    <row r="221" spans="1:4" x14ac:dyDescent="0.2">
      <c r="A221">
        <v>2019</v>
      </c>
      <c r="B221" s="5" t="s">
        <v>173</v>
      </c>
      <c r="C221" s="6">
        <v>5.927784E-4</v>
      </c>
      <c r="D221" s="7">
        <v>53021</v>
      </c>
    </row>
    <row r="222" spans="1:4" x14ac:dyDescent="0.2">
      <c r="A222">
        <v>2019</v>
      </c>
      <c r="B222" s="3" t="s">
        <v>174</v>
      </c>
      <c r="C222" s="8">
        <v>1</v>
      </c>
      <c r="D222" s="9">
        <v>89444881</v>
      </c>
    </row>
    <row r="224" spans="1:4" x14ac:dyDescent="0.2">
      <c r="D224" s="7">
        <f>SUM(D2:D221)</f>
        <v>89444880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C10E-EA02-AB4F-B466-EFA1DDC86963}">
  <sheetPr>
    <tabColor rgb="FFFFFF00"/>
  </sheetPr>
  <dimension ref="A1:J223"/>
  <sheetViews>
    <sheetView workbookViewId="0">
      <selection activeCell="A2" sqref="A2:D220"/>
    </sheetView>
  </sheetViews>
  <sheetFormatPr baseColWidth="10" defaultRowHeight="16" x14ac:dyDescent="0.2"/>
  <cols>
    <col min="2" max="2" width="40.5" style="5" bestFit="1" customWidth="1"/>
    <col min="3" max="3" width="36.33203125" style="5" bestFit="1" customWidth="1"/>
    <col min="4" max="4" width="27.5" style="5" bestFit="1" customWidth="1"/>
    <col min="5" max="6" width="11" style="5" bestFit="1" customWidth="1"/>
    <col min="7" max="7" width="11.1640625" style="5" bestFit="1" customWidth="1"/>
    <col min="8" max="8" width="11" style="5" bestFit="1" customWidth="1"/>
    <col min="9" max="9" width="11.1640625" style="5" bestFit="1" customWidth="1"/>
    <col min="10" max="10" width="11" style="5" bestFit="1" customWidth="1"/>
  </cols>
  <sheetData>
    <row r="1" spans="1:10" x14ac:dyDescent="0.2">
      <c r="A1" t="s">
        <v>227</v>
      </c>
      <c r="B1" s="3" t="s">
        <v>53</v>
      </c>
      <c r="C1" s="3" t="s">
        <v>54</v>
      </c>
      <c r="D1" s="3" t="s">
        <v>55</v>
      </c>
      <c r="E1"/>
      <c r="F1"/>
      <c r="G1"/>
      <c r="H1"/>
      <c r="I1"/>
      <c r="J1"/>
    </row>
    <row r="2" spans="1:10" x14ac:dyDescent="0.2">
      <c r="A2">
        <v>2020</v>
      </c>
      <c r="B2" s="5" t="s">
        <v>57</v>
      </c>
      <c r="C2" s="6">
        <v>2.0781258E-3</v>
      </c>
      <c r="D2" s="7">
        <v>193333</v>
      </c>
      <c r="G2" s="6"/>
    </row>
    <row r="3" spans="1:10" x14ac:dyDescent="0.2">
      <c r="A3">
        <v>2020</v>
      </c>
      <c r="B3" s="5" t="s">
        <v>58</v>
      </c>
      <c r="C3" s="6">
        <v>9.1520079999999997E-4</v>
      </c>
      <c r="D3" s="7">
        <v>85143</v>
      </c>
      <c r="G3" s="6"/>
      <c r="H3" s="7"/>
      <c r="I3" s="7"/>
      <c r="J3" s="7"/>
    </row>
    <row r="4" spans="1:10" x14ac:dyDescent="0.2">
      <c r="A4">
        <v>2020</v>
      </c>
      <c r="B4" s="5" t="s">
        <v>59</v>
      </c>
      <c r="C4" s="6">
        <v>4.2935640000000001E-4</v>
      </c>
      <c r="D4" s="7">
        <v>39944</v>
      </c>
      <c r="G4" s="6"/>
      <c r="H4" s="7"/>
      <c r="I4" s="7"/>
      <c r="J4" s="7"/>
    </row>
    <row r="5" spans="1:10" x14ac:dyDescent="0.2">
      <c r="A5">
        <v>2020</v>
      </c>
      <c r="B5" s="5" t="s">
        <v>60</v>
      </c>
      <c r="C5" s="6">
        <v>1.3508248000000001E-3</v>
      </c>
      <c r="D5" s="7">
        <v>125671</v>
      </c>
      <c r="G5" s="6"/>
      <c r="H5" s="7"/>
      <c r="I5" s="7"/>
      <c r="J5" s="7"/>
    </row>
    <row r="6" spans="1:10" x14ac:dyDescent="0.2">
      <c r="A6">
        <v>2020</v>
      </c>
      <c r="B6" s="5" t="s">
        <v>61</v>
      </c>
      <c r="C6" s="6">
        <v>6.4413700000000003E-5</v>
      </c>
      <c r="D6" s="7">
        <v>5993</v>
      </c>
      <c r="G6" s="6"/>
      <c r="H6" s="7"/>
      <c r="I6" s="7"/>
      <c r="J6" s="7"/>
    </row>
    <row r="7" spans="1:10" x14ac:dyDescent="0.2">
      <c r="A7">
        <v>2020</v>
      </c>
      <c r="B7" s="5" t="s">
        <v>62</v>
      </c>
      <c r="C7" s="6">
        <v>2.3031533000000002E-3</v>
      </c>
      <c r="D7" s="7">
        <v>214268</v>
      </c>
      <c r="G7" s="6"/>
      <c r="H7" s="7"/>
      <c r="I7" s="7"/>
      <c r="J7" s="7"/>
    </row>
    <row r="8" spans="1:10" x14ac:dyDescent="0.2">
      <c r="A8">
        <v>2020</v>
      </c>
      <c r="B8" s="5" t="s">
        <v>63</v>
      </c>
      <c r="C8" s="6">
        <v>3.0102544000000001E-3</v>
      </c>
      <c r="D8" s="7">
        <v>280051</v>
      </c>
      <c r="G8" s="6"/>
      <c r="H8" s="7"/>
      <c r="I8" s="7"/>
      <c r="J8" s="7"/>
    </row>
    <row r="9" spans="1:10" x14ac:dyDescent="0.2">
      <c r="A9">
        <v>2020</v>
      </c>
      <c r="B9" s="5" t="s">
        <v>187</v>
      </c>
      <c r="C9" s="6">
        <v>1.2487485899999999E-2</v>
      </c>
      <c r="D9" s="7">
        <v>1161741</v>
      </c>
      <c r="G9" s="6"/>
      <c r="H9" s="7"/>
      <c r="I9" s="7"/>
      <c r="J9" s="7"/>
    </row>
    <row r="10" spans="1:10" x14ac:dyDescent="0.2">
      <c r="A10">
        <v>2020</v>
      </c>
      <c r="B10" s="5" t="s">
        <v>64</v>
      </c>
      <c r="C10" s="6">
        <v>2.1632708E-3</v>
      </c>
      <c r="D10" s="7">
        <v>201254</v>
      </c>
      <c r="G10" s="6"/>
      <c r="H10" s="7"/>
      <c r="I10" s="7"/>
      <c r="J10" s="7"/>
    </row>
    <row r="11" spans="1:10" x14ac:dyDescent="0.2">
      <c r="A11">
        <v>2020</v>
      </c>
      <c r="B11" s="5" t="s">
        <v>65</v>
      </c>
      <c r="C11" s="6">
        <v>5.1492958000000002E-3</v>
      </c>
      <c r="D11" s="7">
        <v>479052</v>
      </c>
      <c r="G11" s="6"/>
      <c r="H11" s="7"/>
      <c r="I11" s="7"/>
      <c r="J11" s="7"/>
    </row>
    <row r="12" spans="1:10" x14ac:dyDescent="0.2">
      <c r="A12">
        <v>2020</v>
      </c>
      <c r="B12" s="5" t="s">
        <v>66</v>
      </c>
      <c r="C12" s="6">
        <v>1.3247364000000001E-3</v>
      </c>
      <c r="D12" s="7">
        <v>123243</v>
      </c>
      <c r="G12" s="6"/>
      <c r="H12" s="7"/>
      <c r="I12" s="7"/>
      <c r="J12" s="7"/>
    </row>
    <row r="13" spans="1:10" x14ac:dyDescent="0.2">
      <c r="A13">
        <v>2020</v>
      </c>
      <c r="B13" s="5" t="s">
        <v>188</v>
      </c>
      <c r="C13" s="6">
        <v>0.1046426062</v>
      </c>
      <c r="D13" s="7">
        <v>9735158</v>
      </c>
      <c r="G13" s="6"/>
      <c r="H13" s="7"/>
      <c r="I13" s="7"/>
      <c r="J13" s="7"/>
    </row>
    <row r="14" spans="1:10" x14ac:dyDescent="0.2">
      <c r="A14">
        <v>2020</v>
      </c>
      <c r="B14" s="5" t="s">
        <v>67</v>
      </c>
      <c r="C14" s="6">
        <v>0</v>
      </c>
    </row>
    <row r="15" spans="1:10" x14ac:dyDescent="0.2">
      <c r="A15">
        <v>2020</v>
      </c>
      <c r="B15" s="5" t="s">
        <v>68</v>
      </c>
      <c r="C15" s="6">
        <v>0</v>
      </c>
    </row>
    <row r="16" spans="1:10" x14ac:dyDescent="0.2">
      <c r="A16">
        <v>2020</v>
      </c>
      <c r="B16" s="5" t="s">
        <v>69</v>
      </c>
      <c r="C16" s="6">
        <v>5.1648520999999998E-3</v>
      </c>
      <c r="D16" s="7">
        <v>480499</v>
      </c>
      <c r="G16" s="6"/>
      <c r="H16" s="7"/>
      <c r="I16" s="7"/>
      <c r="J16" s="7"/>
    </row>
    <row r="17" spans="1:10" x14ac:dyDescent="0.2">
      <c r="A17">
        <v>2020</v>
      </c>
      <c r="B17" s="5" t="s">
        <v>192</v>
      </c>
      <c r="C17" s="6">
        <v>8.5416370000000004E-4</v>
      </c>
      <c r="D17" s="7">
        <v>79465</v>
      </c>
      <c r="G17" s="6"/>
      <c r="H17" s="7"/>
      <c r="I17" s="7"/>
      <c r="J17" s="7"/>
    </row>
    <row r="18" spans="1:10" x14ac:dyDescent="0.2">
      <c r="A18">
        <v>2020</v>
      </c>
      <c r="B18" s="5" t="s">
        <v>70</v>
      </c>
      <c r="C18" s="6">
        <v>4.4403697999999998E-3</v>
      </c>
      <c r="D18" s="7">
        <v>413098</v>
      </c>
      <c r="G18" s="6"/>
      <c r="H18" s="7"/>
      <c r="I18" s="7"/>
      <c r="J18" s="7"/>
    </row>
    <row r="19" spans="1:10" x14ac:dyDescent="0.2">
      <c r="A19">
        <v>2020</v>
      </c>
      <c r="B19" s="5" t="s">
        <v>71</v>
      </c>
      <c r="C19" s="6">
        <v>1.1626652999999999E-3</v>
      </c>
      <c r="D19" s="7">
        <v>108166</v>
      </c>
      <c r="G19" s="6"/>
      <c r="H19" s="7"/>
      <c r="I19" s="7"/>
      <c r="J19" s="7"/>
    </row>
    <row r="20" spans="1:10" x14ac:dyDescent="0.2">
      <c r="A20">
        <v>2020</v>
      </c>
      <c r="B20" s="5" t="s">
        <v>72</v>
      </c>
      <c r="C20" s="6">
        <v>1.599626E-4</v>
      </c>
      <c r="D20" s="7">
        <v>14882</v>
      </c>
      <c r="G20" s="6"/>
      <c r="H20" s="7"/>
      <c r="I20" s="7"/>
      <c r="J20" s="7"/>
    </row>
    <row r="21" spans="1:10" x14ac:dyDescent="0.2">
      <c r="A21">
        <v>2020</v>
      </c>
      <c r="B21" s="5" t="s">
        <v>190</v>
      </c>
      <c r="C21" s="6">
        <v>3.9799494000000001E-3</v>
      </c>
      <c r="D21" s="7">
        <v>370264</v>
      </c>
      <c r="G21" s="6"/>
      <c r="H21" s="7"/>
      <c r="I21" s="7"/>
      <c r="J21" s="7"/>
    </row>
    <row r="22" spans="1:10" x14ac:dyDescent="0.2">
      <c r="A22">
        <v>2020</v>
      </c>
      <c r="B22" s="5" t="s">
        <v>73</v>
      </c>
      <c r="C22" s="6">
        <v>3.1679016000000001E-3</v>
      </c>
      <c r="D22" s="7">
        <v>294718</v>
      </c>
      <c r="G22" s="6"/>
      <c r="H22" s="7"/>
      <c r="I22" s="7"/>
      <c r="J22" s="7"/>
    </row>
    <row r="23" spans="1:10" x14ac:dyDescent="0.2">
      <c r="A23">
        <v>2020</v>
      </c>
      <c r="B23" s="5" t="s">
        <v>74</v>
      </c>
      <c r="C23" s="6">
        <v>2.2338337E-3</v>
      </c>
      <c r="D23" s="7">
        <v>207819</v>
      </c>
      <c r="G23" s="6"/>
      <c r="H23" s="7"/>
      <c r="I23" s="7"/>
      <c r="J23" s="7"/>
    </row>
    <row r="24" spans="1:10" x14ac:dyDescent="0.2">
      <c r="A24">
        <v>2020</v>
      </c>
      <c r="B24" s="5" t="s">
        <v>75</v>
      </c>
      <c r="C24" s="6">
        <v>5.9740046999999996E-3</v>
      </c>
      <c r="D24" s="7">
        <v>555776</v>
      </c>
      <c r="G24" s="6"/>
      <c r="H24" s="7"/>
      <c r="I24" s="7"/>
      <c r="J24" s="7"/>
    </row>
    <row r="25" spans="1:10" x14ac:dyDescent="0.2">
      <c r="A25">
        <v>2020</v>
      </c>
      <c r="B25" s="5" t="s">
        <v>239</v>
      </c>
      <c r="C25" s="6">
        <v>1.0351589000000001E-3</v>
      </c>
      <c r="D25" s="7">
        <v>96303</v>
      </c>
      <c r="G25" s="6"/>
      <c r="H25" s="7"/>
      <c r="I25" s="7"/>
      <c r="J25" s="7"/>
    </row>
    <row r="26" spans="1:10" x14ac:dyDescent="0.2">
      <c r="A26">
        <v>2020</v>
      </c>
      <c r="B26" s="5" t="s">
        <v>191</v>
      </c>
      <c r="C26" s="6">
        <v>0</v>
      </c>
      <c r="G26" s="6"/>
      <c r="I26" s="7"/>
      <c r="J26" s="7"/>
    </row>
    <row r="27" spans="1:10" x14ac:dyDescent="0.2">
      <c r="A27">
        <v>2020</v>
      </c>
      <c r="B27" s="5" t="s">
        <v>76</v>
      </c>
      <c r="C27" s="6">
        <v>1.8679788E-3</v>
      </c>
      <c r="D27" s="7">
        <v>173783</v>
      </c>
      <c r="G27" s="6"/>
      <c r="H27" s="7"/>
      <c r="I27" s="7"/>
      <c r="J27" s="7"/>
    </row>
    <row r="28" spans="1:10" x14ac:dyDescent="0.2">
      <c r="A28">
        <v>2020</v>
      </c>
      <c r="B28" s="5" t="s">
        <v>77</v>
      </c>
      <c r="C28" s="6">
        <v>3.0718658999999999E-3</v>
      </c>
      <c r="D28" s="7">
        <v>285783</v>
      </c>
      <c r="G28" s="6"/>
      <c r="H28" s="7"/>
      <c r="I28" s="7"/>
      <c r="J28" s="7"/>
    </row>
    <row r="29" spans="1:10" x14ac:dyDescent="0.2">
      <c r="A29">
        <v>2020</v>
      </c>
      <c r="B29" s="5" t="s">
        <v>78</v>
      </c>
      <c r="C29" s="6">
        <v>1.55434734E-2</v>
      </c>
      <c r="D29" s="7">
        <v>1446047</v>
      </c>
      <c r="G29" s="6"/>
      <c r="H29" s="7"/>
      <c r="I29" s="7"/>
      <c r="J29" s="7"/>
    </row>
    <row r="30" spans="1:10" x14ac:dyDescent="0.2">
      <c r="A30">
        <v>2020</v>
      </c>
      <c r="B30" s="5" t="s">
        <v>193</v>
      </c>
      <c r="C30" s="6">
        <v>3.1194016299999999E-2</v>
      </c>
      <c r="D30" s="7">
        <v>2902056</v>
      </c>
      <c r="G30" s="6"/>
      <c r="H30" s="7"/>
      <c r="I30" s="7"/>
      <c r="J30" s="7"/>
    </row>
    <row r="31" spans="1:10" x14ac:dyDescent="0.2">
      <c r="A31">
        <v>2020</v>
      </c>
      <c r="B31" s="5" t="s">
        <v>79</v>
      </c>
      <c r="C31" s="6">
        <v>3.848546E-3</v>
      </c>
      <c r="D31" s="7">
        <v>358040</v>
      </c>
      <c r="G31" s="6"/>
      <c r="H31" s="7"/>
      <c r="I31" s="7"/>
      <c r="J31" s="7"/>
    </row>
    <row r="32" spans="1:10" x14ac:dyDescent="0.2">
      <c r="A32">
        <v>2020</v>
      </c>
      <c r="B32" s="5" t="s">
        <v>80</v>
      </c>
      <c r="C32" s="6">
        <v>6.6652499999999995E-4</v>
      </c>
      <c r="D32" s="7">
        <v>62008</v>
      </c>
      <c r="G32" s="6"/>
      <c r="H32" s="7"/>
      <c r="I32" s="7"/>
      <c r="J32" s="7"/>
    </row>
    <row r="33" spans="1:10" x14ac:dyDescent="0.2">
      <c r="A33">
        <v>2020</v>
      </c>
      <c r="B33" s="5" t="s">
        <v>81</v>
      </c>
      <c r="C33" s="6">
        <v>1.9502092999999999E-3</v>
      </c>
      <c r="D33" s="7">
        <v>181433</v>
      </c>
      <c r="G33" s="6"/>
      <c r="H33" s="7"/>
      <c r="I33" s="7"/>
      <c r="J33" s="7"/>
    </row>
    <row r="34" spans="1:10" x14ac:dyDescent="0.2">
      <c r="A34">
        <v>2020</v>
      </c>
      <c r="B34" s="5" t="s">
        <v>194</v>
      </c>
      <c r="C34" s="6">
        <v>4.8316100000000001E-3</v>
      </c>
      <c r="D34" s="7">
        <v>449497</v>
      </c>
      <c r="G34" s="6"/>
      <c r="H34" s="7"/>
      <c r="I34" s="7"/>
      <c r="J34" s="7"/>
    </row>
    <row r="35" spans="1:10" x14ac:dyDescent="0.2">
      <c r="A35">
        <v>2020</v>
      </c>
      <c r="B35" s="5" t="s">
        <v>82</v>
      </c>
      <c r="C35" s="6">
        <v>9.2760399999999995E-4</v>
      </c>
      <c r="D35" s="7">
        <v>86297</v>
      </c>
      <c r="G35" s="6"/>
      <c r="H35" s="7"/>
      <c r="I35" s="7"/>
      <c r="J35" s="7"/>
    </row>
    <row r="36" spans="1:10" x14ac:dyDescent="0.2">
      <c r="A36">
        <v>2020</v>
      </c>
      <c r="B36" s="5" t="s">
        <v>83</v>
      </c>
      <c r="C36" s="6">
        <v>3.6455400000000003E-5</v>
      </c>
      <c r="D36" s="7">
        <v>3392</v>
      </c>
      <c r="G36" s="6"/>
      <c r="H36" s="7"/>
      <c r="I36" s="7"/>
      <c r="J36" s="7"/>
    </row>
    <row r="37" spans="1:10" x14ac:dyDescent="0.2">
      <c r="A37">
        <v>2020</v>
      </c>
      <c r="B37" s="5" t="s">
        <v>84</v>
      </c>
      <c r="C37" s="6">
        <v>1.8388085999999999E-3</v>
      </c>
      <c r="D37" s="7">
        <v>171069</v>
      </c>
      <c r="G37" s="6"/>
      <c r="H37" s="7"/>
      <c r="I37" s="7"/>
      <c r="J37" s="7"/>
    </row>
    <row r="38" spans="1:10" x14ac:dyDescent="0.2">
      <c r="A38">
        <v>2020</v>
      </c>
      <c r="B38" s="5" t="s">
        <v>196</v>
      </c>
      <c r="C38" s="6">
        <v>1.0695971000000001E-3</v>
      </c>
      <c r="D38" s="7">
        <v>99507</v>
      </c>
      <c r="G38" s="6"/>
      <c r="H38" s="7"/>
      <c r="I38" s="7"/>
      <c r="J38" s="7"/>
    </row>
    <row r="39" spans="1:10" x14ac:dyDescent="0.2">
      <c r="A39">
        <v>2020</v>
      </c>
      <c r="B39" s="5" t="s">
        <v>85</v>
      </c>
      <c r="C39" s="6">
        <v>2.4143233E-3</v>
      </c>
      <c r="D39" s="7">
        <v>224610</v>
      </c>
      <c r="G39" s="6"/>
      <c r="H39" s="7"/>
      <c r="I39" s="7"/>
      <c r="J39" s="7"/>
    </row>
    <row r="40" spans="1:10" x14ac:dyDescent="0.2">
      <c r="A40">
        <v>2020</v>
      </c>
      <c r="B40" s="5" t="s">
        <v>86</v>
      </c>
      <c r="C40" s="6">
        <v>1.588835E-3</v>
      </c>
      <c r="D40" s="7">
        <v>147813</v>
      </c>
      <c r="G40" s="6"/>
      <c r="H40" s="7"/>
      <c r="I40" s="7"/>
      <c r="J40" s="7"/>
    </row>
    <row r="41" spans="1:10" x14ac:dyDescent="0.2">
      <c r="A41">
        <v>2020</v>
      </c>
      <c r="B41" s="5" t="s">
        <v>87</v>
      </c>
      <c r="C41" s="6">
        <v>2.4222468000000001E-3</v>
      </c>
      <c r="D41" s="7">
        <v>225348</v>
      </c>
      <c r="G41" s="6"/>
      <c r="H41" s="7"/>
      <c r="I41" s="7"/>
      <c r="J41" s="7"/>
    </row>
    <row r="42" spans="1:10" x14ac:dyDescent="0.2">
      <c r="A42">
        <v>2020</v>
      </c>
      <c r="B42" s="5" t="s">
        <v>195</v>
      </c>
      <c r="C42" s="6">
        <v>9.5697450000000004E-4</v>
      </c>
      <c r="D42" s="7">
        <v>89030</v>
      </c>
      <c r="G42" s="6"/>
      <c r="H42" s="7"/>
      <c r="I42" s="7"/>
      <c r="J42" s="7"/>
    </row>
    <row r="43" spans="1:10" x14ac:dyDescent="0.2">
      <c r="A43">
        <v>2020</v>
      </c>
      <c r="B43" s="5" t="s">
        <v>88</v>
      </c>
      <c r="C43" s="6">
        <v>2.8157782000000002E-3</v>
      </c>
      <c r="D43" s="7">
        <v>261959</v>
      </c>
      <c r="G43" s="6"/>
      <c r="H43" s="7"/>
      <c r="I43" s="7"/>
      <c r="J43" s="7"/>
    </row>
    <row r="44" spans="1:10" x14ac:dyDescent="0.2">
      <c r="A44">
        <v>2020</v>
      </c>
      <c r="B44" s="5" t="s">
        <v>89</v>
      </c>
      <c r="C44" s="6">
        <v>1.2739313E-3</v>
      </c>
      <c r="D44" s="7">
        <v>118517</v>
      </c>
      <c r="G44" s="6"/>
      <c r="H44" s="7"/>
      <c r="I44" s="7"/>
      <c r="J44" s="7"/>
    </row>
    <row r="45" spans="1:10" x14ac:dyDescent="0.2">
      <c r="A45">
        <v>2020</v>
      </c>
      <c r="B45" s="5" t="s">
        <v>90</v>
      </c>
      <c r="C45" s="6">
        <v>0.1044872266</v>
      </c>
      <c r="D45" s="7">
        <v>9720703</v>
      </c>
      <c r="G45" s="6"/>
      <c r="H45" s="7"/>
      <c r="I45" s="7"/>
      <c r="J45" s="7"/>
    </row>
    <row r="46" spans="1:10" x14ac:dyDescent="0.2">
      <c r="A46">
        <v>2020</v>
      </c>
      <c r="B46" s="5" t="s">
        <v>218</v>
      </c>
      <c r="C46" s="6">
        <v>1.6271613999999999E-3</v>
      </c>
      <c r="D46" s="7">
        <v>151379</v>
      </c>
      <c r="G46" s="6"/>
      <c r="H46" s="7"/>
      <c r="I46" s="7"/>
      <c r="J46" s="7"/>
    </row>
    <row r="47" spans="1:10" x14ac:dyDescent="0.2">
      <c r="A47">
        <v>2020</v>
      </c>
      <c r="B47" s="5" t="s">
        <v>91</v>
      </c>
      <c r="C47" s="6">
        <v>1.5305557000000001E-3</v>
      </c>
      <c r="D47" s="7">
        <v>142391</v>
      </c>
      <c r="G47" s="6"/>
      <c r="H47" s="7"/>
      <c r="I47" s="7"/>
      <c r="J47" s="7"/>
    </row>
    <row r="48" spans="1:10" x14ac:dyDescent="0.2">
      <c r="A48">
        <v>2020</v>
      </c>
      <c r="B48" s="5" t="s">
        <v>92</v>
      </c>
      <c r="C48" s="6">
        <v>1.7925630000000001E-3</v>
      </c>
      <c r="D48" s="7">
        <v>166767</v>
      </c>
      <c r="G48" s="6"/>
      <c r="H48" s="7"/>
      <c r="J48" s="7"/>
    </row>
    <row r="49" spans="1:10" x14ac:dyDescent="0.2">
      <c r="A49">
        <v>2020</v>
      </c>
      <c r="B49" s="5" t="s">
        <v>93</v>
      </c>
      <c r="C49" s="6">
        <v>8.7339980000000002E-4</v>
      </c>
      <c r="D49" s="7">
        <v>81255</v>
      </c>
      <c r="G49" s="6"/>
      <c r="H49" s="7"/>
      <c r="I49" s="7"/>
      <c r="J49" s="7"/>
    </row>
    <row r="50" spans="1:10" x14ac:dyDescent="0.2">
      <c r="A50">
        <v>2020</v>
      </c>
      <c r="B50" s="5" t="s">
        <v>197</v>
      </c>
      <c r="C50" s="6">
        <v>2.232976E-4</v>
      </c>
      <c r="D50" s="7">
        <v>20774</v>
      </c>
      <c r="G50" s="6"/>
      <c r="H50" s="7"/>
      <c r="I50" s="7"/>
      <c r="J50" s="7"/>
    </row>
    <row r="51" spans="1:10" x14ac:dyDescent="0.2">
      <c r="A51">
        <v>2020</v>
      </c>
      <c r="B51" s="5" t="s">
        <v>94</v>
      </c>
      <c r="C51" s="6">
        <v>2.2179614999999998E-3</v>
      </c>
      <c r="D51" s="7">
        <v>206342</v>
      </c>
      <c r="G51" s="6"/>
      <c r="H51" s="7"/>
      <c r="I51" s="7"/>
      <c r="J51" s="7"/>
    </row>
    <row r="52" spans="1:10" x14ac:dyDescent="0.2">
      <c r="A52">
        <v>2020</v>
      </c>
      <c r="B52" s="5" t="s">
        <v>95</v>
      </c>
      <c r="C52" s="6">
        <v>1.4254091999999999E-3</v>
      </c>
      <c r="D52" s="7">
        <v>132609</v>
      </c>
      <c r="G52" s="6"/>
      <c r="H52" s="7"/>
      <c r="I52" s="7"/>
      <c r="J52" s="7"/>
    </row>
    <row r="53" spans="1:10" x14ac:dyDescent="0.2">
      <c r="A53">
        <v>2020</v>
      </c>
      <c r="B53" s="5" t="s">
        <v>96</v>
      </c>
      <c r="C53" s="6">
        <v>1.1453326E-3</v>
      </c>
      <c r="D53" s="7">
        <v>106553</v>
      </c>
      <c r="G53" s="6"/>
      <c r="H53" s="7"/>
      <c r="I53" s="7"/>
      <c r="J53" s="7"/>
    </row>
    <row r="54" spans="1:10" x14ac:dyDescent="0.2">
      <c r="A54">
        <v>2020</v>
      </c>
      <c r="B54" s="5" t="s">
        <v>198</v>
      </c>
      <c r="C54" s="6">
        <v>3.2963528000000001E-3</v>
      </c>
      <c r="D54" s="7">
        <v>306668</v>
      </c>
      <c r="G54" s="6"/>
      <c r="H54" s="7"/>
      <c r="I54" s="7"/>
      <c r="J54" s="7"/>
    </row>
    <row r="55" spans="1:10" x14ac:dyDescent="0.2">
      <c r="A55">
        <v>2020</v>
      </c>
      <c r="B55" s="5" t="s">
        <v>97</v>
      </c>
      <c r="C55" s="6">
        <v>1.5230599000000001E-3</v>
      </c>
      <c r="D55" s="7">
        <v>141694</v>
      </c>
      <c r="G55" s="6"/>
      <c r="H55" s="7"/>
      <c r="I55" s="7"/>
      <c r="J55" s="7"/>
    </row>
    <row r="56" spans="1:10" x14ac:dyDescent="0.2">
      <c r="A56">
        <v>2020</v>
      </c>
      <c r="B56" s="5" t="s">
        <v>98</v>
      </c>
      <c r="C56" s="6">
        <v>2.5699923000000002E-3</v>
      </c>
      <c r="D56" s="7">
        <v>239093</v>
      </c>
      <c r="G56" s="6"/>
      <c r="H56" s="7"/>
      <c r="I56" s="7"/>
      <c r="J56" s="7"/>
    </row>
    <row r="57" spans="1:10" x14ac:dyDescent="0.2">
      <c r="A57">
        <v>2020</v>
      </c>
      <c r="B57" s="5" t="s">
        <v>99</v>
      </c>
      <c r="C57" s="6">
        <v>4.3096840000000003E-4</v>
      </c>
      <c r="D57" s="7">
        <v>40094</v>
      </c>
      <c r="G57" s="6"/>
      <c r="H57" s="7"/>
      <c r="I57" s="7"/>
      <c r="J57" s="7"/>
    </row>
    <row r="58" spans="1:10" x14ac:dyDescent="0.2">
      <c r="A58">
        <v>2020</v>
      </c>
      <c r="B58" s="5" t="s">
        <v>217</v>
      </c>
      <c r="C58" s="6">
        <v>5.9729251999999997E-3</v>
      </c>
      <c r="D58" s="7">
        <v>555676</v>
      </c>
      <c r="G58" s="6"/>
      <c r="H58" s="7"/>
      <c r="I58" s="7"/>
      <c r="J58" s="7"/>
    </row>
    <row r="59" spans="1:10" x14ac:dyDescent="0.2">
      <c r="A59">
        <v>2020</v>
      </c>
      <c r="B59" s="5" t="s">
        <v>100</v>
      </c>
      <c r="C59" s="6">
        <v>6.7756199599999997E-2</v>
      </c>
      <c r="D59" s="7">
        <v>6303525</v>
      </c>
      <c r="G59" s="6"/>
      <c r="H59" s="7"/>
      <c r="I59" s="7"/>
      <c r="J59" s="7"/>
    </row>
    <row r="60" spans="1:10" x14ac:dyDescent="0.2">
      <c r="A60">
        <v>2020</v>
      </c>
      <c r="B60" s="5" t="s">
        <v>101</v>
      </c>
      <c r="C60" s="6">
        <v>3.0332459999999999E-4</v>
      </c>
      <c r="D60" s="7">
        <v>28219</v>
      </c>
      <c r="G60" s="6"/>
      <c r="H60" s="7"/>
      <c r="I60" s="7"/>
      <c r="J60" s="7"/>
    </row>
    <row r="61" spans="1:10" x14ac:dyDescent="0.2">
      <c r="A61">
        <v>2020</v>
      </c>
      <c r="B61" s="5" t="s">
        <v>102</v>
      </c>
      <c r="C61" s="6">
        <v>1.6892828999999999E-3</v>
      </c>
      <c r="D61" s="7">
        <v>157158</v>
      </c>
      <c r="G61" s="6"/>
      <c r="H61" s="7"/>
      <c r="J61" s="7"/>
    </row>
    <row r="62" spans="1:10" x14ac:dyDescent="0.2">
      <c r="A62">
        <v>2020</v>
      </c>
      <c r="B62" s="5" t="s">
        <v>199</v>
      </c>
      <c r="C62" s="6">
        <v>2.3250433999999999E-3</v>
      </c>
      <c r="D62" s="7">
        <v>216304</v>
      </c>
      <c r="G62" s="6"/>
      <c r="H62" s="7"/>
      <c r="I62" s="7"/>
      <c r="J62" s="7"/>
    </row>
    <row r="63" spans="1:10" x14ac:dyDescent="0.2">
      <c r="A63">
        <v>2020</v>
      </c>
      <c r="B63" s="5" t="s">
        <v>103</v>
      </c>
      <c r="C63" s="6">
        <v>2.6844101E-3</v>
      </c>
      <c r="D63" s="7">
        <v>249737</v>
      </c>
      <c r="G63" s="6"/>
      <c r="H63" s="7"/>
      <c r="I63" s="7"/>
      <c r="J63" s="7"/>
    </row>
    <row r="64" spans="1:10" x14ac:dyDescent="0.2">
      <c r="A64">
        <v>2020</v>
      </c>
      <c r="B64" s="5" t="s">
        <v>104</v>
      </c>
      <c r="C64" s="6">
        <v>4.0328860000000001E-4</v>
      </c>
      <c r="D64" s="7">
        <v>37519</v>
      </c>
      <c r="G64" s="6"/>
      <c r="H64" s="7"/>
      <c r="I64" s="7"/>
      <c r="J64" s="7"/>
    </row>
    <row r="65" spans="1:10" x14ac:dyDescent="0.2">
      <c r="A65">
        <v>2020</v>
      </c>
      <c r="B65" s="5" t="s">
        <v>105</v>
      </c>
      <c r="C65" s="6">
        <v>2.1588739999999999E-3</v>
      </c>
      <c r="D65" s="7">
        <v>200845</v>
      </c>
      <c r="G65" s="6"/>
      <c r="H65" s="7"/>
      <c r="I65" s="7"/>
      <c r="J65" s="7"/>
    </row>
    <row r="66" spans="1:10" x14ac:dyDescent="0.2">
      <c r="A66">
        <v>2020</v>
      </c>
      <c r="B66" s="5" t="s">
        <v>202</v>
      </c>
      <c r="C66" s="6">
        <v>3.1495449000000001E-3</v>
      </c>
      <c r="D66" s="7">
        <v>293010</v>
      </c>
      <c r="G66" s="6"/>
      <c r="H66" s="7"/>
      <c r="I66" s="7"/>
      <c r="J66" s="7"/>
    </row>
    <row r="67" spans="1:10" x14ac:dyDescent="0.2">
      <c r="A67">
        <v>2020</v>
      </c>
      <c r="B67" s="5" t="s">
        <v>106</v>
      </c>
      <c r="C67" s="6">
        <v>1.6861729E-3</v>
      </c>
      <c r="D67" s="7">
        <v>156869</v>
      </c>
      <c r="G67" s="6"/>
      <c r="H67" s="7"/>
      <c r="I67" s="7"/>
      <c r="J67" s="7"/>
    </row>
    <row r="68" spans="1:10" x14ac:dyDescent="0.2">
      <c r="A68">
        <v>2020</v>
      </c>
      <c r="B68" s="5" t="s">
        <v>107</v>
      </c>
      <c r="C68" s="6">
        <v>1.2400929E-3</v>
      </c>
      <c r="D68" s="7">
        <v>115369</v>
      </c>
      <c r="G68" s="6"/>
      <c r="H68" s="7"/>
      <c r="I68" s="7"/>
      <c r="J68" s="7"/>
    </row>
    <row r="69" spans="1:10" x14ac:dyDescent="0.2">
      <c r="A69">
        <v>2020</v>
      </c>
      <c r="B69" s="5" t="s">
        <v>108</v>
      </c>
      <c r="C69" s="6">
        <v>3.8948072000000002E-3</v>
      </c>
      <c r="D69" s="7">
        <v>362343</v>
      </c>
      <c r="G69" s="6"/>
      <c r="H69" s="7"/>
      <c r="I69" s="7"/>
      <c r="J69" s="7"/>
    </row>
    <row r="70" spans="1:10" x14ac:dyDescent="0.2">
      <c r="A70">
        <v>2020</v>
      </c>
      <c r="B70" s="5" t="s">
        <v>200</v>
      </c>
      <c r="C70" s="6">
        <v>1.6201080000000001E-3</v>
      </c>
      <c r="D70" s="7">
        <v>150723</v>
      </c>
      <c r="G70" s="6"/>
      <c r="H70" s="7"/>
      <c r="I70" s="7"/>
      <c r="J70" s="7"/>
    </row>
    <row r="71" spans="1:10" x14ac:dyDescent="0.2">
      <c r="A71">
        <v>2020</v>
      </c>
      <c r="B71" s="5" t="s">
        <v>0</v>
      </c>
      <c r="C71" s="6">
        <v>1.9818975E-3</v>
      </c>
      <c r="D71" s="7">
        <v>184381</v>
      </c>
      <c r="G71" s="6"/>
      <c r="H71" s="7"/>
      <c r="I71" s="7"/>
      <c r="J71" s="7"/>
    </row>
    <row r="72" spans="1:10" x14ac:dyDescent="0.2">
      <c r="A72">
        <v>2020</v>
      </c>
      <c r="B72" s="5" t="s">
        <v>2</v>
      </c>
      <c r="C72" s="6">
        <v>3.6425568000000002E-3</v>
      </c>
      <c r="D72" s="7">
        <v>338876</v>
      </c>
      <c r="G72" s="6"/>
      <c r="H72" s="7"/>
      <c r="I72" s="7"/>
      <c r="J72" s="7"/>
    </row>
    <row r="73" spans="1:10" x14ac:dyDescent="0.2">
      <c r="A73">
        <v>2020</v>
      </c>
      <c r="B73" s="5" t="s">
        <v>3</v>
      </c>
      <c r="C73" s="6">
        <v>1.1245558E-3</v>
      </c>
      <c r="D73" s="7">
        <v>104620</v>
      </c>
      <c r="G73" s="6"/>
      <c r="H73" s="7"/>
      <c r="I73" s="7"/>
      <c r="J73" s="7"/>
    </row>
    <row r="74" spans="1:10" x14ac:dyDescent="0.2">
      <c r="A74">
        <v>2020</v>
      </c>
      <c r="B74" s="5" t="s">
        <v>4</v>
      </c>
      <c r="C74" s="6">
        <v>5.7012899999999998E-5</v>
      </c>
      <c r="D74" s="7">
        <v>5304</v>
      </c>
      <c r="G74" s="6"/>
      <c r="H74" s="7"/>
      <c r="J74" s="7"/>
    </row>
    <row r="75" spans="1:10" x14ac:dyDescent="0.2">
      <c r="A75">
        <v>2020</v>
      </c>
      <c r="B75" s="5" t="s">
        <v>5</v>
      </c>
      <c r="C75" s="6">
        <v>1.8283351E-3</v>
      </c>
      <c r="D75" s="7">
        <v>170094</v>
      </c>
      <c r="G75" s="6"/>
      <c r="H75" s="7"/>
      <c r="I75" s="7"/>
      <c r="J75" s="7"/>
    </row>
    <row r="76" spans="1:10" x14ac:dyDescent="0.2">
      <c r="A76">
        <v>2020</v>
      </c>
      <c r="B76" s="5" t="s">
        <v>6</v>
      </c>
      <c r="C76" s="6">
        <v>1.8889726999999999E-2</v>
      </c>
      <c r="D76" s="7">
        <v>1757358</v>
      </c>
      <c r="G76" s="6"/>
      <c r="H76" s="7"/>
      <c r="I76" s="7"/>
      <c r="J76" s="7"/>
    </row>
    <row r="77" spans="1:10" x14ac:dyDescent="0.2">
      <c r="A77">
        <v>2020</v>
      </c>
      <c r="B77" s="5" t="s">
        <v>7</v>
      </c>
      <c r="C77" s="6">
        <v>2.5592075000000001E-3</v>
      </c>
      <c r="D77" s="7">
        <v>238089</v>
      </c>
      <c r="G77" s="6"/>
      <c r="H77" s="7"/>
      <c r="I77" s="7"/>
      <c r="J77" s="7"/>
    </row>
    <row r="78" spans="1:10" x14ac:dyDescent="0.2">
      <c r="A78">
        <v>2020</v>
      </c>
      <c r="B78" s="5" t="s">
        <v>226</v>
      </c>
      <c r="C78" s="6">
        <v>3.515611E-4</v>
      </c>
      <c r="D78" s="7">
        <v>32707</v>
      </c>
      <c r="G78" s="6"/>
      <c r="H78" s="7"/>
      <c r="I78" s="7"/>
      <c r="J78" s="7"/>
    </row>
    <row r="79" spans="1:10" x14ac:dyDescent="0.2">
      <c r="A79">
        <v>2020</v>
      </c>
      <c r="B79" s="5" t="s">
        <v>8</v>
      </c>
      <c r="C79" s="6">
        <v>2.8694606000000001E-3</v>
      </c>
      <c r="D79" s="7">
        <v>266953</v>
      </c>
      <c r="G79" s="6"/>
      <c r="H79" s="7"/>
      <c r="I79" s="7"/>
      <c r="J79" s="7"/>
    </row>
    <row r="80" spans="1:10" x14ac:dyDescent="0.2">
      <c r="A80">
        <v>2020</v>
      </c>
      <c r="B80" s="5" t="s">
        <v>9</v>
      </c>
      <c r="C80" s="6">
        <v>5.1152938999999998E-3</v>
      </c>
      <c r="D80" s="7">
        <v>475888</v>
      </c>
      <c r="G80" s="6"/>
      <c r="H80" s="7"/>
      <c r="I80" s="7"/>
      <c r="J80" s="7"/>
    </row>
    <row r="81" spans="1:10" x14ac:dyDescent="0.2">
      <c r="A81">
        <v>2020</v>
      </c>
      <c r="B81" s="5" t="s">
        <v>10</v>
      </c>
      <c r="C81" s="6">
        <v>5.1587278000000004E-3</v>
      </c>
      <c r="D81" s="7">
        <v>479929</v>
      </c>
      <c r="G81" s="6"/>
      <c r="H81" s="7"/>
      <c r="I81" s="7"/>
      <c r="J81" s="7"/>
    </row>
    <row r="82" spans="1:10" x14ac:dyDescent="0.2">
      <c r="A82">
        <v>2020</v>
      </c>
      <c r="B82" s="5" t="s">
        <v>225</v>
      </c>
      <c r="C82" s="6">
        <v>1.4349472000000001E-3</v>
      </c>
      <c r="D82" s="7">
        <v>133497</v>
      </c>
      <c r="G82" s="6"/>
      <c r="H82" s="7"/>
      <c r="I82" s="7"/>
      <c r="J82" s="7"/>
    </row>
    <row r="83" spans="1:10" x14ac:dyDescent="0.2">
      <c r="A83">
        <v>2020</v>
      </c>
      <c r="B83" s="5" t="s">
        <v>11</v>
      </c>
      <c r="C83" s="6">
        <v>2.8526053999999999E-3</v>
      </c>
      <c r="D83" s="7">
        <v>265385</v>
      </c>
      <c r="G83" s="6"/>
      <c r="H83" s="7"/>
      <c r="J83" s="7"/>
    </row>
    <row r="84" spans="1:10" x14ac:dyDescent="0.2">
      <c r="A84">
        <v>2020</v>
      </c>
      <c r="B84" s="5" t="s">
        <v>12</v>
      </c>
      <c r="C84" s="6">
        <v>1.6523477E-3</v>
      </c>
      <c r="D84" s="7">
        <v>153722</v>
      </c>
      <c r="G84" s="6"/>
      <c r="H84" s="7"/>
      <c r="I84" s="7"/>
      <c r="J84" s="7"/>
    </row>
    <row r="85" spans="1:10" x14ac:dyDescent="0.2">
      <c r="A85">
        <v>2020</v>
      </c>
      <c r="B85" s="5" t="s">
        <v>13</v>
      </c>
      <c r="C85" s="6">
        <v>2.0424987E-3</v>
      </c>
      <c r="D85" s="7">
        <v>190019</v>
      </c>
      <c r="G85" s="6"/>
      <c r="H85" s="7"/>
      <c r="I85" s="7"/>
      <c r="J85" s="7"/>
    </row>
    <row r="86" spans="1:10" x14ac:dyDescent="0.2">
      <c r="A86">
        <v>2020</v>
      </c>
      <c r="B86" s="5" t="s">
        <v>183</v>
      </c>
      <c r="C86" s="6">
        <v>3.6537116999999998E-3</v>
      </c>
      <c r="D86" s="7">
        <v>339914</v>
      </c>
      <c r="G86" s="6"/>
      <c r="H86" s="7"/>
      <c r="I86" s="7"/>
      <c r="J86" s="7"/>
    </row>
    <row r="87" spans="1:10" x14ac:dyDescent="0.2">
      <c r="A87">
        <v>2020</v>
      </c>
      <c r="B87" s="5" t="s">
        <v>14</v>
      </c>
      <c r="C87" s="6">
        <v>2.9590456999999998E-3</v>
      </c>
      <c r="D87" s="7">
        <v>275287</v>
      </c>
      <c r="G87" s="6"/>
      <c r="H87" s="7"/>
      <c r="I87" s="7"/>
      <c r="J87" s="7"/>
    </row>
    <row r="88" spans="1:10" x14ac:dyDescent="0.2">
      <c r="A88">
        <v>2020</v>
      </c>
      <c r="B88" s="5" t="s">
        <v>15</v>
      </c>
      <c r="C88" s="6">
        <v>1.481848E-3</v>
      </c>
      <c r="D88" s="7">
        <v>137860</v>
      </c>
      <c r="G88" s="6"/>
      <c r="H88" s="7"/>
      <c r="I88" s="7"/>
      <c r="J88" s="7"/>
    </row>
    <row r="89" spans="1:10" x14ac:dyDescent="0.2">
      <c r="A89">
        <v>2020</v>
      </c>
      <c r="B89" s="5" t="s">
        <v>16</v>
      </c>
      <c r="C89" s="6">
        <v>3.4259449000000001E-3</v>
      </c>
      <c r="D89" s="7">
        <v>318724</v>
      </c>
      <c r="G89" s="6"/>
      <c r="H89" s="7"/>
      <c r="I89" s="7"/>
      <c r="J89" s="7"/>
    </row>
    <row r="90" spans="1:10" x14ac:dyDescent="0.2">
      <c r="A90">
        <v>2020</v>
      </c>
      <c r="B90" s="5" t="s">
        <v>224</v>
      </c>
      <c r="C90" s="6">
        <v>1.6405674E-3</v>
      </c>
      <c r="D90" s="7">
        <v>152626</v>
      </c>
      <c r="G90" s="6"/>
      <c r="H90" s="7"/>
      <c r="I90" s="7"/>
      <c r="J90" s="7"/>
    </row>
    <row r="91" spans="1:10" x14ac:dyDescent="0.2">
      <c r="A91">
        <v>2020</v>
      </c>
      <c r="B91" s="5" t="s">
        <v>17</v>
      </c>
      <c r="C91" s="6">
        <v>2.1940890999999998E-3</v>
      </c>
      <c r="D91" s="7">
        <v>204121</v>
      </c>
      <c r="G91" s="6"/>
      <c r="H91" s="7"/>
      <c r="I91" s="7"/>
      <c r="J91" s="7"/>
    </row>
    <row r="92" spans="1:10" x14ac:dyDescent="0.2">
      <c r="A92">
        <v>2020</v>
      </c>
      <c r="B92" s="5" t="s">
        <v>18</v>
      </c>
      <c r="C92" s="6">
        <v>4.8648383000000003E-3</v>
      </c>
      <c r="D92" s="7">
        <v>452588</v>
      </c>
      <c r="G92" s="6"/>
      <c r="H92" s="7"/>
      <c r="I92" s="7"/>
      <c r="J92" s="7"/>
    </row>
    <row r="93" spans="1:10" x14ac:dyDescent="0.2">
      <c r="A93">
        <v>2020</v>
      </c>
      <c r="B93" s="5" t="s">
        <v>19</v>
      </c>
      <c r="C93" s="6">
        <v>1.1844544000000001E-3</v>
      </c>
      <c r="D93" s="7">
        <v>110193</v>
      </c>
      <c r="G93" s="6"/>
      <c r="H93" s="7"/>
      <c r="I93" s="7"/>
      <c r="J93" s="7"/>
    </row>
    <row r="94" spans="1:10" x14ac:dyDescent="0.2">
      <c r="A94">
        <v>2020</v>
      </c>
      <c r="B94" s="5" t="s">
        <v>223</v>
      </c>
      <c r="C94" s="6">
        <v>2.0467590000000001E-4</v>
      </c>
      <c r="D94" s="7">
        <v>19042</v>
      </c>
      <c r="G94" s="6"/>
      <c r="H94" s="7"/>
      <c r="I94" s="7"/>
      <c r="J94" s="7"/>
    </row>
    <row r="95" spans="1:10" x14ac:dyDescent="0.2">
      <c r="A95">
        <v>2020</v>
      </c>
      <c r="B95" s="5" t="s">
        <v>20</v>
      </c>
      <c r="C95" s="6">
        <v>2.9674000000000002E-6</v>
      </c>
      <c r="D95" s="5">
        <v>276</v>
      </c>
      <c r="G95" s="6"/>
    </row>
    <row r="96" spans="1:10" x14ac:dyDescent="0.2">
      <c r="A96">
        <v>2020</v>
      </c>
      <c r="B96" s="5" t="s">
        <v>21</v>
      </c>
      <c r="C96" s="6">
        <v>3.6305400000000002E-4</v>
      </c>
      <c r="D96" s="7">
        <v>33776</v>
      </c>
      <c r="G96" s="6"/>
      <c r="H96" s="7"/>
      <c r="I96" s="7"/>
      <c r="J96" s="7"/>
    </row>
    <row r="97" spans="1:10" x14ac:dyDescent="0.2">
      <c r="A97">
        <v>2020</v>
      </c>
      <c r="B97" s="5" t="s">
        <v>22</v>
      </c>
      <c r="C97" s="6">
        <v>3.1275010000000002E-4</v>
      </c>
      <c r="D97" s="7">
        <v>29096</v>
      </c>
      <c r="G97" s="6"/>
      <c r="H97" s="7"/>
      <c r="I97" s="7"/>
      <c r="J97" s="7"/>
    </row>
    <row r="98" spans="1:10" x14ac:dyDescent="0.2">
      <c r="A98">
        <v>2020</v>
      </c>
      <c r="B98" s="5" t="s">
        <v>222</v>
      </c>
      <c r="C98" s="6">
        <v>1.3237022E-3</v>
      </c>
      <c r="D98" s="7">
        <v>123147</v>
      </c>
      <c r="G98" s="6"/>
      <c r="H98" s="7"/>
      <c r="I98" s="7"/>
      <c r="J98" s="7"/>
    </row>
    <row r="99" spans="1:10" x14ac:dyDescent="0.2">
      <c r="A99">
        <v>2020</v>
      </c>
      <c r="B99" s="5" t="s">
        <v>23</v>
      </c>
      <c r="C99" s="6">
        <v>3.0276527300000002E-2</v>
      </c>
      <c r="D99" s="7">
        <v>2816700</v>
      </c>
      <c r="G99" s="6"/>
      <c r="H99" s="7"/>
      <c r="I99" s="7"/>
      <c r="J99" s="7"/>
    </row>
    <row r="100" spans="1:10" x14ac:dyDescent="0.2">
      <c r="A100">
        <v>2020</v>
      </c>
      <c r="B100" s="5" t="s">
        <v>24</v>
      </c>
      <c r="C100" s="6">
        <v>2.4489268E-3</v>
      </c>
      <c r="D100" s="7">
        <v>227830</v>
      </c>
      <c r="G100" s="6"/>
      <c r="H100" s="7"/>
      <c r="I100" s="7"/>
      <c r="J100" s="7"/>
    </row>
    <row r="101" spans="1:10" x14ac:dyDescent="0.2">
      <c r="A101">
        <v>2020</v>
      </c>
      <c r="B101" s="5" t="s">
        <v>25</v>
      </c>
      <c r="C101" s="6">
        <v>8.0970799999999994E-5</v>
      </c>
      <c r="D101" s="7">
        <v>7533</v>
      </c>
      <c r="G101" s="6"/>
      <c r="H101" s="7"/>
      <c r="I101" s="7"/>
      <c r="J101" s="7"/>
    </row>
    <row r="102" spans="1:10" x14ac:dyDescent="0.2">
      <c r="A102">
        <v>2020</v>
      </c>
      <c r="B102" s="5" t="s">
        <v>228</v>
      </c>
      <c r="C102" s="6">
        <v>1.3644616E-3</v>
      </c>
      <c r="D102" s="7">
        <v>126939</v>
      </c>
      <c r="G102" s="6"/>
      <c r="H102" s="7"/>
      <c r="I102" s="7"/>
      <c r="J102" s="7"/>
    </row>
    <row r="103" spans="1:10" x14ac:dyDescent="0.2">
      <c r="A103">
        <v>2020</v>
      </c>
      <c r="B103" s="5" t="s">
        <v>26</v>
      </c>
      <c r="C103" s="6">
        <v>2.277191E-3</v>
      </c>
      <c r="D103" s="7">
        <v>211853</v>
      </c>
      <c r="G103" s="6"/>
      <c r="H103" s="7"/>
      <c r="I103" s="7"/>
      <c r="J103" s="7"/>
    </row>
    <row r="104" spans="1:10" x14ac:dyDescent="0.2">
      <c r="A104">
        <v>2020</v>
      </c>
      <c r="B104" s="5" t="s">
        <v>27</v>
      </c>
      <c r="C104" s="6">
        <v>1.3951244999999999E-3</v>
      </c>
      <c r="D104" s="7">
        <v>129792</v>
      </c>
      <c r="G104" s="6"/>
      <c r="H104" s="7"/>
      <c r="I104" s="7"/>
      <c r="J104" s="7"/>
    </row>
    <row r="105" spans="1:10" x14ac:dyDescent="0.2">
      <c r="A105">
        <v>2020</v>
      </c>
      <c r="B105" s="5" t="s">
        <v>28</v>
      </c>
      <c r="C105" s="6">
        <v>1.6494529999999999E-4</v>
      </c>
      <c r="D105" s="7">
        <v>15345</v>
      </c>
      <c r="G105" s="6"/>
      <c r="H105" s="7"/>
      <c r="I105" s="7"/>
      <c r="J105" s="7"/>
    </row>
    <row r="106" spans="1:10" x14ac:dyDescent="0.2">
      <c r="A106">
        <v>2020</v>
      </c>
      <c r="B106" s="5" t="s">
        <v>184</v>
      </c>
      <c r="C106" s="6">
        <v>1.5449563E-3</v>
      </c>
      <c r="D106" s="7">
        <v>143731</v>
      </c>
      <c r="G106" s="6"/>
      <c r="H106" s="7"/>
      <c r="I106" s="7"/>
      <c r="J106" s="7"/>
    </row>
    <row r="107" spans="1:10" x14ac:dyDescent="0.2">
      <c r="A107">
        <v>2020</v>
      </c>
      <c r="B107" s="5" t="s">
        <v>29</v>
      </c>
      <c r="C107" s="6">
        <v>3.7893911000000001E-3</v>
      </c>
      <c r="D107" s="7">
        <v>352536</v>
      </c>
      <c r="G107" s="6"/>
      <c r="H107" s="7"/>
      <c r="I107" s="7"/>
      <c r="J107" s="7"/>
    </row>
    <row r="108" spans="1:10" x14ac:dyDescent="0.2">
      <c r="A108">
        <v>2020</v>
      </c>
      <c r="B108" s="5" t="s">
        <v>30</v>
      </c>
      <c r="C108" s="6">
        <v>9.0597270000000003E-4</v>
      </c>
      <c r="D108" s="7">
        <v>84285</v>
      </c>
      <c r="G108" s="6"/>
      <c r="H108" s="7"/>
      <c r="I108" s="7"/>
      <c r="J108" s="7"/>
    </row>
    <row r="109" spans="1:10" x14ac:dyDescent="0.2">
      <c r="A109">
        <v>2020</v>
      </c>
      <c r="B109" s="5" t="s">
        <v>31</v>
      </c>
      <c r="C109" s="6">
        <v>6.53734E-5</v>
      </c>
      <c r="D109" s="7">
        <v>6082</v>
      </c>
      <c r="G109" s="6"/>
      <c r="H109" s="7"/>
      <c r="I109" s="7"/>
      <c r="J109" s="7"/>
    </row>
    <row r="110" spans="1:10" x14ac:dyDescent="0.2">
      <c r="A110">
        <v>2020</v>
      </c>
      <c r="B110" s="5" t="s">
        <v>221</v>
      </c>
      <c r="C110" s="6">
        <v>1.4256877100000001E-2</v>
      </c>
      <c r="D110" s="7">
        <v>1326352</v>
      </c>
      <c r="G110" s="6"/>
      <c r="H110" s="7"/>
      <c r="I110" s="7"/>
      <c r="J110" s="7"/>
    </row>
    <row r="111" spans="1:10" x14ac:dyDescent="0.2">
      <c r="A111">
        <v>2020</v>
      </c>
      <c r="B111" s="5" t="s">
        <v>32</v>
      </c>
      <c r="C111" s="6">
        <v>1.4961397999999999E-3</v>
      </c>
      <c r="D111" s="7">
        <v>139190</v>
      </c>
      <c r="G111" s="6"/>
      <c r="H111" s="7"/>
      <c r="I111" s="7"/>
      <c r="J111" s="7"/>
    </row>
    <row r="112" spans="1:10" x14ac:dyDescent="0.2">
      <c r="A112">
        <v>2020</v>
      </c>
      <c r="B112" s="5" t="s">
        <v>33</v>
      </c>
      <c r="C112" s="6">
        <v>2.99468E-4</v>
      </c>
      <c r="D112" s="7">
        <v>27860</v>
      </c>
      <c r="G112" s="6"/>
      <c r="H112" s="7"/>
      <c r="I112" s="7"/>
      <c r="J112" s="7"/>
    </row>
    <row r="113" spans="1:10" x14ac:dyDescent="0.2">
      <c r="A113">
        <v>2020</v>
      </c>
      <c r="B113" s="5" t="s">
        <v>34</v>
      </c>
      <c r="C113" s="6">
        <v>1.6227030999999999E-3</v>
      </c>
      <c r="D113" s="7">
        <v>150964</v>
      </c>
      <c r="G113" s="6"/>
      <c r="H113" s="7"/>
      <c r="I113" s="7"/>
      <c r="J113" s="7"/>
    </row>
    <row r="114" spans="1:10" x14ac:dyDescent="0.2">
      <c r="A114">
        <v>2020</v>
      </c>
      <c r="B114" s="5" t="s">
        <v>229</v>
      </c>
      <c r="C114" s="6">
        <v>1.6888228E-3</v>
      </c>
      <c r="D114" s="7">
        <v>157115</v>
      </c>
      <c r="G114" s="6"/>
      <c r="H114" s="7"/>
      <c r="I114" s="7"/>
      <c r="J114" s="7"/>
    </row>
    <row r="115" spans="1:10" x14ac:dyDescent="0.2">
      <c r="A115">
        <v>2020</v>
      </c>
      <c r="B115" s="5" t="s">
        <v>35</v>
      </c>
      <c r="C115" s="6">
        <v>2.0291387E-3</v>
      </c>
      <c r="D115" s="7">
        <v>188776</v>
      </c>
      <c r="G115" s="6"/>
      <c r="H115" s="7"/>
      <c r="I115" s="7"/>
      <c r="J115" s="7"/>
    </row>
    <row r="116" spans="1:10" x14ac:dyDescent="0.2">
      <c r="A116">
        <v>2020</v>
      </c>
      <c r="B116" s="5" t="s">
        <v>36</v>
      </c>
      <c r="C116" s="6">
        <v>2.5972739000000001E-3</v>
      </c>
      <c r="D116" s="7">
        <v>241631</v>
      </c>
      <c r="G116" s="6"/>
      <c r="H116" s="7"/>
      <c r="I116" s="7"/>
      <c r="J116" s="7"/>
    </row>
    <row r="117" spans="1:10" x14ac:dyDescent="0.2">
      <c r="A117">
        <v>2020</v>
      </c>
      <c r="B117" s="5" t="s">
        <v>236</v>
      </c>
      <c r="C117" s="6">
        <v>6.3239834699999997E-2</v>
      </c>
      <c r="D117" s="7">
        <v>5883357</v>
      </c>
      <c r="G117" s="6"/>
      <c r="H117" s="7"/>
      <c r="I117" s="7"/>
      <c r="J117" s="7"/>
    </row>
    <row r="118" spans="1:10" x14ac:dyDescent="0.2">
      <c r="A118">
        <v>2020</v>
      </c>
      <c r="B118" s="5" t="s">
        <v>219</v>
      </c>
      <c r="C118" s="6">
        <v>2.2517413999999999E-3</v>
      </c>
      <c r="D118" s="7">
        <v>209485</v>
      </c>
      <c r="G118" s="6"/>
      <c r="H118" s="7"/>
      <c r="I118" s="7"/>
      <c r="J118" s="7"/>
    </row>
    <row r="119" spans="1:10" x14ac:dyDescent="0.2">
      <c r="A119">
        <v>2020</v>
      </c>
      <c r="B119" s="5" t="s">
        <v>38</v>
      </c>
      <c r="C119" s="6">
        <v>2.8165786999999999E-3</v>
      </c>
      <c r="D119" s="7">
        <v>262033</v>
      </c>
      <c r="G119" s="6"/>
      <c r="H119" s="7"/>
      <c r="I119" s="7"/>
      <c r="J119" s="7"/>
    </row>
    <row r="120" spans="1:10" x14ac:dyDescent="0.2">
      <c r="A120">
        <v>2020</v>
      </c>
      <c r="B120" s="5" t="s">
        <v>39</v>
      </c>
      <c r="C120" s="6">
        <v>1.1164266E-3</v>
      </c>
      <c r="D120" s="7">
        <v>103864</v>
      </c>
      <c r="G120" s="6"/>
      <c r="H120" s="7"/>
      <c r="I120" s="7"/>
      <c r="J120" s="7"/>
    </row>
    <row r="121" spans="1:10" x14ac:dyDescent="0.2">
      <c r="A121">
        <v>2020</v>
      </c>
      <c r="B121" s="5" t="s">
        <v>40</v>
      </c>
      <c r="C121" s="6">
        <v>8.1723999999999999E-6</v>
      </c>
      <c r="D121" s="5">
        <v>760</v>
      </c>
      <c r="G121" s="6"/>
      <c r="H121" s="7"/>
      <c r="I121" s="7"/>
      <c r="J121" s="7"/>
    </row>
    <row r="122" spans="1:10" x14ac:dyDescent="0.2">
      <c r="A122">
        <v>2020</v>
      </c>
      <c r="B122" s="5" t="s">
        <v>220</v>
      </c>
      <c r="C122" s="6">
        <v>2.0676361999999999E-3</v>
      </c>
      <c r="D122" s="7">
        <v>192357</v>
      </c>
      <c r="G122" s="6"/>
      <c r="H122" s="7"/>
      <c r="I122" s="7"/>
      <c r="J122" s="7"/>
    </row>
    <row r="123" spans="1:10" x14ac:dyDescent="0.2">
      <c r="A123">
        <v>2020</v>
      </c>
      <c r="B123" s="5" t="s">
        <v>41</v>
      </c>
      <c r="C123" s="6">
        <v>2.5290108999999998E-3</v>
      </c>
      <c r="D123" s="7">
        <v>235280</v>
      </c>
      <c r="G123" s="6"/>
      <c r="H123" s="7"/>
      <c r="I123" s="7"/>
      <c r="J123" s="7"/>
    </row>
    <row r="124" spans="1:10" x14ac:dyDescent="0.2">
      <c r="A124">
        <v>2020</v>
      </c>
      <c r="B124" s="5" t="s">
        <v>42</v>
      </c>
      <c r="C124" s="6">
        <v>1.4518349E-3</v>
      </c>
      <c r="D124" s="7">
        <v>135068</v>
      </c>
      <c r="G124" s="6"/>
      <c r="H124" s="7"/>
      <c r="I124" s="7"/>
      <c r="J124" s="7"/>
    </row>
    <row r="125" spans="1:10" x14ac:dyDescent="0.2">
      <c r="A125">
        <v>2020</v>
      </c>
      <c r="B125" s="5" t="s">
        <v>43</v>
      </c>
      <c r="C125" s="6">
        <v>0</v>
      </c>
      <c r="G125" s="6"/>
      <c r="I125" s="7"/>
      <c r="J125" s="7"/>
    </row>
    <row r="126" spans="1:10" x14ac:dyDescent="0.2">
      <c r="A126">
        <v>2020</v>
      </c>
      <c r="B126" s="5" t="s">
        <v>185</v>
      </c>
      <c r="C126" s="6">
        <v>1.770988E-3</v>
      </c>
      <c r="D126" s="7">
        <v>164759</v>
      </c>
      <c r="G126" s="7"/>
      <c r="H126" s="7"/>
      <c r="I126" s="7"/>
    </row>
    <row r="127" spans="1:10" x14ac:dyDescent="0.2">
      <c r="A127">
        <v>2020</v>
      </c>
      <c r="B127" s="5" t="s">
        <v>44</v>
      </c>
      <c r="C127" s="6">
        <v>1.4837380000000001E-4</v>
      </c>
      <c r="D127" s="7">
        <v>13804</v>
      </c>
      <c r="G127" s="7"/>
      <c r="H127" s="7"/>
      <c r="I127" s="7"/>
    </row>
    <row r="128" spans="1:10" x14ac:dyDescent="0.2">
      <c r="A128">
        <v>2020</v>
      </c>
      <c r="B128" s="5" t="s">
        <v>45</v>
      </c>
      <c r="C128" s="6">
        <v>1.9737410999999998E-3</v>
      </c>
      <c r="D128" s="7">
        <v>183622</v>
      </c>
      <c r="G128" s="7"/>
      <c r="H128" s="7"/>
      <c r="I128" s="7"/>
    </row>
    <row r="129" spans="1:9" x14ac:dyDescent="0.2">
      <c r="A129">
        <v>2020</v>
      </c>
      <c r="B129" s="5" t="s">
        <v>46</v>
      </c>
      <c r="C129" s="6">
        <v>2.5702089999999998E-4</v>
      </c>
      <c r="D129" s="7">
        <v>23911</v>
      </c>
      <c r="G129" s="7"/>
      <c r="H129" s="7"/>
      <c r="I129" s="7"/>
    </row>
    <row r="130" spans="1:9" x14ac:dyDescent="0.2">
      <c r="A130">
        <v>2020</v>
      </c>
      <c r="B130" s="5" t="s">
        <v>189</v>
      </c>
      <c r="C130" s="6">
        <v>9.7066350000000003E-4</v>
      </c>
      <c r="D130" s="7">
        <v>90303</v>
      </c>
      <c r="G130" s="7"/>
      <c r="H130" s="7"/>
      <c r="I130" s="7"/>
    </row>
    <row r="131" spans="1:9" x14ac:dyDescent="0.2">
      <c r="A131">
        <v>2020</v>
      </c>
      <c r="B131" s="5" t="s">
        <v>47</v>
      </c>
      <c r="C131" s="6">
        <v>1.2793287E-3</v>
      </c>
      <c r="D131" s="7">
        <v>119019</v>
      </c>
      <c r="G131" s="7"/>
      <c r="H131" s="7"/>
      <c r="I131" s="7"/>
    </row>
    <row r="132" spans="1:9" x14ac:dyDescent="0.2">
      <c r="A132">
        <v>2020</v>
      </c>
      <c r="B132" s="5" t="s">
        <v>48</v>
      </c>
      <c r="C132" s="6">
        <v>1.447148E-4</v>
      </c>
      <c r="D132" s="7">
        <v>13463</v>
      </c>
      <c r="G132" s="7"/>
      <c r="H132" s="7"/>
      <c r="I132" s="7"/>
    </row>
    <row r="133" spans="1:9" x14ac:dyDescent="0.2">
      <c r="A133">
        <v>2020</v>
      </c>
      <c r="B133" s="5" t="s">
        <v>49</v>
      </c>
      <c r="C133" s="6">
        <v>1.4418205999999999E-3</v>
      </c>
      <c r="D133" s="7">
        <v>134136</v>
      </c>
      <c r="G133" s="7"/>
      <c r="H133" s="7"/>
      <c r="I133" s="7"/>
    </row>
    <row r="134" spans="1:9" x14ac:dyDescent="0.2">
      <c r="A134">
        <v>2020</v>
      </c>
      <c r="B134" s="5" t="s">
        <v>186</v>
      </c>
      <c r="C134" s="6">
        <v>4.3383802000000003E-3</v>
      </c>
      <c r="D134" s="7">
        <v>403610</v>
      </c>
      <c r="G134" s="7"/>
      <c r="H134" s="7"/>
      <c r="I134" s="7"/>
    </row>
    <row r="135" spans="1:9" x14ac:dyDescent="0.2">
      <c r="A135">
        <v>2020</v>
      </c>
      <c r="B135" s="5" t="s">
        <v>50</v>
      </c>
      <c r="C135" s="6">
        <v>1.3433400000000001E-5</v>
      </c>
      <c r="D135" s="7">
        <v>1250</v>
      </c>
      <c r="G135" s="7"/>
      <c r="I135" s="7"/>
    </row>
    <row r="136" spans="1:9" x14ac:dyDescent="0.2">
      <c r="A136">
        <v>2020</v>
      </c>
      <c r="B136" s="5" t="s">
        <v>51</v>
      </c>
      <c r="C136" s="6">
        <v>2.7968596999999999E-3</v>
      </c>
      <c r="D136" s="7">
        <v>260199</v>
      </c>
      <c r="G136" s="7"/>
      <c r="H136" s="7"/>
      <c r="I136" s="7"/>
    </row>
    <row r="137" spans="1:9" x14ac:dyDescent="0.2">
      <c r="A137">
        <v>2020</v>
      </c>
      <c r="B137" s="5" t="s">
        <v>52</v>
      </c>
      <c r="C137" s="6">
        <v>1.9256257000000001E-3</v>
      </c>
      <c r="D137" s="7">
        <v>179146</v>
      </c>
      <c r="G137" s="7"/>
      <c r="H137" s="7"/>
      <c r="I137" s="7"/>
    </row>
    <row r="138" spans="1:9" x14ac:dyDescent="0.2">
      <c r="A138">
        <v>2020</v>
      </c>
      <c r="B138" s="5" t="s">
        <v>109</v>
      </c>
      <c r="C138" s="6">
        <v>2.4977487E-3</v>
      </c>
      <c r="D138" s="7">
        <v>232372</v>
      </c>
      <c r="G138" s="7"/>
      <c r="H138" s="7"/>
      <c r="I138" s="7"/>
    </row>
    <row r="139" spans="1:9" x14ac:dyDescent="0.2">
      <c r="A139">
        <v>2020</v>
      </c>
      <c r="B139" s="5" t="s">
        <v>110</v>
      </c>
      <c r="C139" s="6">
        <v>2.9278098999999998E-3</v>
      </c>
      <c r="D139" s="7">
        <v>272381</v>
      </c>
      <c r="G139" s="7"/>
      <c r="H139" s="7"/>
      <c r="I139" s="7"/>
    </row>
    <row r="140" spans="1:9" x14ac:dyDescent="0.2">
      <c r="A140">
        <v>2020</v>
      </c>
      <c r="B140" s="5" t="s">
        <v>111</v>
      </c>
      <c r="C140" s="6">
        <v>8.6149395E-3</v>
      </c>
      <c r="D140" s="7">
        <v>801469</v>
      </c>
      <c r="G140" s="7"/>
      <c r="H140" s="7"/>
      <c r="I140" s="7"/>
    </row>
    <row r="141" spans="1:9" x14ac:dyDescent="0.2">
      <c r="A141">
        <v>2020</v>
      </c>
      <c r="B141" s="5" t="s">
        <v>237</v>
      </c>
      <c r="C141" s="6">
        <v>1.1553892E-3</v>
      </c>
      <c r="D141" s="7">
        <v>107489</v>
      </c>
      <c r="G141" s="7"/>
      <c r="H141" s="7"/>
      <c r="I141" s="7"/>
    </row>
    <row r="142" spans="1:9" x14ac:dyDescent="0.2">
      <c r="A142">
        <v>2020</v>
      </c>
      <c r="B142" s="5" t="s">
        <v>113</v>
      </c>
      <c r="C142" s="6">
        <v>3.8218199E-3</v>
      </c>
      <c r="D142" s="7">
        <v>355553</v>
      </c>
      <c r="G142" s="7"/>
      <c r="H142" s="7"/>
      <c r="I142" s="7"/>
    </row>
    <row r="143" spans="1:9" x14ac:dyDescent="0.2">
      <c r="A143">
        <v>2020</v>
      </c>
      <c r="B143" s="5" t="s">
        <v>114</v>
      </c>
      <c r="C143" s="6">
        <v>2.1212251000000001E-3</v>
      </c>
      <c r="D143" s="7">
        <v>197343</v>
      </c>
      <c r="G143" s="7"/>
      <c r="H143" s="7"/>
      <c r="I143" s="7"/>
    </row>
    <row r="144" spans="1:9" x14ac:dyDescent="0.2">
      <c r="A144">
        <v>2020</v>
      </c>
      <c r="B144" s="5" t="s">
        <v>115</v>
      </c>
      <c r="C144" s="6">
        <v>2.3621060000000001E-3</v>
      </c>
      <c r="D144" s="7">
        <v>219753</v>
      </c>
      <c r="G144" s="7"/>
      <c r="H144" s="7"/>
      <c r="I144" s="7"/>
    </row>
    <row r="145" spans="1:9" x14ac:dyDescent="0.2">
      <c r="A145">
        <v>2020</v>
      </c>
      <c r="B145" s="5" t="s">
        <v>203</v>
      </c>
      <c r="C145" s="6">
        <v>9.7095269999999999E-4</v>
      </c>
      <c r="D145" s="7">
        <v>90330</v>
      </c>
      <c r="G145" s="7"/>
      <c r="H145" s="7"/>
      <c r="I145" s="7"/>
    </row>
    <row r="146" spans="1:9" x14ac:dyDescent="0.2">
      <c r="A146">
        <v>2020</v>
      </c>
      <c r="B146" s="5" t="s">
        <v>116</v>
      </c>
      <c r="C146" s="6">
        <v>4.6021378999999999E-3</v>
      </c>
      <c r="D146" s="7">
        <v>428148</v>
      </c>
      <c r="G146" s="7"/>
      <c r="H146" s="7"/>
      <c r="I146" s="7"/>
    </row>
    <row r="147" spans="1:9" x14ac:dyDescent="0.2">
      <c r="A147">
        <v>2020</v>
      </c>
      <c r="B147" s="5" t="s">
        <v>117</v>
      </c>
      <c r="C147" s="6">
        <v>4.3761979999999999E-4</v>
      </c>
      <c r="D147" s="7">
        <v>40713</v>
      </c>
      <c r="G147" s="7"/>
      <c r="H147" s="7"/>
      <c r="I147" s="7"/>
    </row>
    <row r="148" spans="1:9" x14ac:dyDescent="0.2">
      <c r="A148">
        <v>2020</v>
      </c>
      <c r="B148" s="5" t="s">
        <v>118</v>
      </c>
      <c r="C148" s="6">
        <v>2.6141487E-3</v>
      </c>
      <c r="D148" s="7">
        <v>243201</v>
      </c>
      <c r="G148" s="7"/>
      <c r="H148" s="7"/>
      <c r="I148" s="7"/>
    </row>
    <row r="149" spans="1:9" x14ac:dyDescent="0.2">
      <c r="A149">
        <v>2020</v>
      </c>
      <c r="B149" s="5" t="s">
        <v>177</v>
      </c>
      <c r="C149" s="6">
        <v>3.1142968000000002E-3</v>
      </c>
      <c r="D149" s="7">
        <v>289731</v>
      </c>
      <c r="G149" s="7"/>
      <c r="H149" s="7"/>
      <c r="I149" s="7"/>
    </row>
    <row r="150" spans="1:9" x14ac:dyDescent="0.2">
      <c r="A150">
        <v>2020</v>
      </c>
      <c r="B150" s="5" t="s">
        <v>119</v>
      </c>
      <c r="C150" s="6">
        <v>4.044265E-4</v>
      </c>
      <c r="D150" s="7">
        <v>37625</v>
      </c>
      <c r="G150" s="7"/>
      <c r="H150" s="7"/>
      <c r="I150" s="7"/>
    </row>
    <row r="151" spans="1:9" x14ac:dyDescent="0.2">
      <c r="A151">
        <v>2020</v>
      </c>
      <c r="B151" s="5" t="s">
        <v>120</v>
      </c>
      <c r="C151" s="6">
        <v>1.3185437E-3</v>
      </c>
      <c r="D151" s="7">
        <v>122667</v>
      </c>
      <c r="G151" s="7"/>
      <c r="H151" s="7"/>
      <c r="I151" s="7"/>
    </row>
    <row r="152" spans="1:9" x14ac:dyDescent="0.2">
      <c r="A152">
        <v>2020</v>
      </c>
      <c r="B152" s="5" t="s">
        <v>121</v>
      </c>
      <c r="C152" s="6">
        <v>1.0524500999999999E-3</v>
      </c>
      <c r="D152" s="7">
        <v>97912</v>
      </c>
      <c r="G152" s="7"/>
      <c r="H152" s="7"/>
      <c r="I152" s="7"/>
    </row>
    <row r="153" spans="1:9" x14ac:dyDescent="0.2">
      <c r="A153">
        <v>2020</v>
      </c>
      <c r="B153" s="5" t="s">
        <v>230</v>
      </c>
      <c r="C153" s="6">
        <v>2.8775319999999999E-3</v>
      </c>
      <c r="D153" s="7">
        <v>267704</v>
      </c>
      <c r="G153" s="7"/>
      <c r="H153" s="7"/>
      <c r="I153" s="7"/>
    </row>
    <row r="154" spans="1:9" x14ac:dyDescent="0.2">
      <c r="A154">
        <v>2020</v>
      </c>
      <c r="B154" s="5" t="s">
        <v>122</v>
      </c>
      <c r="C154" s="6">
        <v>2.6004309999999998E-3</v>
      </c>
      <c r="D154" s="7">
        <v>241924</v>
      </c>
      <c r="G154" s="7"/>
      <c r="H154" s="7"/>
      <c r="I154" s="7"/>
    </row>
    <row r="155" spans="1:9" x14ac:dyDescent="0.2">
      <c r="A155">
        <v>2020</v>
      </c>
      <c r="B155" s="5" t="s">
        <v>123</v>
      </c>
      <c r="C155" s="6">
        <v>9.1695749999999999E-4</v>
      </c>
      <c r="D155" s="7">
        <v>85307</v>
      </c>
      <c r="G155" s="7"/>
      <c r="H155" s="7"/>
      <c r="I155" s="7"/>
    </row>
    <row r="156" spans="1:9" x14ac:dyDescent="0.2">
      <c r="A156">
        <v>2020</v>
      </c>
      <c r="B156" s="5" t="s">
        <v>124</v>
      </c>
      <c r="C156" s="6">
        <v>1.7648619999999999E-4</v>
      </c>
      <c r="D156" s="7">
        <v>16419</v>
      </c>
      <c r="G156" s="7"/>
      <c r="H156" s="7"/>
      <c r="I156" s="7"/>
    </row>
    <row r="157" spans="1:9" x14ac:dyDescent="0.2">
      <c r="A157">
        <v>2020</v>
      </c>
      <c r="B157" s="5" t="s">
        <v>179</v>
      </c>
      <c r="C157" s="6">
        <v>1.205664E-3</v>
      </c>
      <c r="D157" s="7">
        <v>112166</v>
      </c>
      <c r="G157" s="7"/>
      <c r="H157" s="7"/>
      <c r="I157" s="7"/>
    </row>
    <row r="158" spans="1:9" x14ac:dyDescent="0.2">
      <c r="A158">
        <v>2020</v>
      </c>
      <c r="B158" s="5" t="s">
        <v>125</v>
      </c>
      <c r="C158" s="6">
        <v>0</v>
      </c>
      <c r="H158" s="7"/>
      <c r="I158" s="7"/>
    </row>
    <row r="159" spans="1:9" x14ac:dyDescent="0.2">
      <c r="A159">
        <v>2020</v>
      </c>
      <c r="B159" s="5" t="s">
        <v>126</v>
      </c>
      <c r="C159" s="6">
        <v>1.8368058E-3</v>
      </c>
      <c r="D159" s="7">
        <v>170883</v>
      </c>
      <c r="G159" s="7"/>
      <c r="H159" s="7"/>
      <c r="I159" s="7"/>
    </row>
    <row r="160" spans="1:9" x14ac:dyDescent="0.2">
      <c r="A160">
        <v>2020</v>
      </c>
      <c r="B160" s="5" t="s">
        <v>127</v>
      </c>
      <c r="C160" s="6">
        <v>2.7252946999999999E-3</v>
      </c>
      <c r="D160" s="7">
        <v>253541</v>
      </c>
      <c r="G160" s="7"/>
      <c r="H160" s="7"/>
      <c r="I160" s="7"/>
    </row>
    <row r="161" spans="1:10" x14ac:dyDescent="0.2">
      <c r="A161">
        <v>2020</v>
      </c>
      <c r="B161" s="5" t="s">
        <v>231</v>
      </c>
      <c r="C161" s="6">
        <v>2.1974252999999999E-3</v>
      </c>
      <c r="D161" s="7">
        <v>204432</v>
      </c>
      <c r="G161" s="7"/>
      <c r="H161" s="7"/>
      <c r="I161" s="7"/>
    </row>
    <row r="162" spans="1:10" x14ac:dyDescent="0.2">
      <c r="A162">
        <v>2020</v>
      </c>
      <c r="B162" s="5" t="s">
        <v>130</v>
      </c>
      <c r="C162" s="6">
        <v>1.7409257E-3</v>
      </c>
      <c r="D162" s="7">
        <v>161963</v>
      </c>
      <c r="G162" s="6"/>
      <c r="H162" s="7"/>
      <c r="I162" s="7"/>
      <c r="J162" s="7"/>
    </row>
    <row r="163" spans="1:10" x14ac:dyDescent="0.2">
      <c r="A163">
        <v>2020</v>
      </c>
      <c r="B163" s="5" t="s">
        <v>204</v>
      </c>
      <c r="C163" s="6">
        <v>6.2224489999999997E-4</v>
      </c>
      <c r="D163" s="7">
        <v>57889</v>
      </c>
      <c r="G163" s="6"/>
      <c r="H163" s="7"/>
      <c r="I163" s="7"/>
      <c r="J163" s="7"/>
    </row>
    <row r="164" spans="1:10" x14ac:dyDescent="0.2">
      <c r="A164">
        <v>2020</v>
      </c>
      <c r="B164" s="5" t="s">
        <v>131</v>
      </c>
      <c r="C164" s="6">
        <v>2.7228389999999999E-4</v>
      </c>
      <c r="D164" s="7">
        <v>25331</v>
      </c>
      <c r="G164" s="6"/>
      <c r="H164" s="7"/>
      <c r="I164" s="7"/>
      <c r="J164" s="7"/>
    </row>
    <row r="165" spans="1:10" x14ac:dyDescent="0.2">
      <c r="A165">
        <v>2020</v>
      </c>
      <c r="B165" s="5" t="s">
        <v>132</v>
      </c>
      <c r="C165" s="6">
        <v>2.709643E-4</v>
      </c>
      <c r="D165" s="7">
        <v>25208</v>
      </c>
      <c r="G165" s="6"/>
      <c r="H165" s="7"/>
      <c r="I165" s="7"/>
      <c r="J165" s="7"/>
    </row>
    <row r="166" spans="1:10" x14ac:dyDescent="0.2">
      <c r="A166">
        <v>2020</v>
      </c>
      <c r="B166" s="5" t="s">
        <v>133</v>
      </c>
      <c r="C166" s="6">
        <v>5.1833204999999997E-3</v>
      </c>
      <c r="D166" s="7">
        <v>482217</v>
      </c>
      <c r="G166" s="6"/>
      <c r="H166" s="7"/>
      <c r="I166" s="7"/>
      <c r="J166" s="7"/>
    </row>
    <row r="167" spans="1:10" x14ac:dyDescent="0.2">
      <c r="A167">
        <v>2020</v>
      </c>
      <c r="B167" s="5" t="s">
        <v>205</v>
      </c>
      <c r="C167" s="6">
        <v>2.0203402999999999E-3</v>
      </c>
      <c r="D167" s="7">
        <v>187957</v>
      </c>
      <c r="G167" s="6"/>
      <c r="H167" s="7"/>
      <c r="I167" s="7"/>
      <c r="J167" s="7"/>
    </row>
    <row r="168" spans="1:10" x14ac:dyDescent="0.2">
      <c r="A168">
        <v>2020</v>
      </c>
      <c r="B168" s="5" t="s">
        <v>134</v>
      </c>
      <c r="C168" s="6">
        <v>2.3632252000000001E-3</v>
      </c>
      <c r="D168" s="7">
        <v>219857</v>
      </c>
      <c r="G168" s="6"/>
      <c r="H168" s="7"/>
      <c r="I168" s="7"/>
      <c r="J168" s="7"/>
    </row>
    <row r="169" spans="1:10" x14ac:dyDescent="0.2">
      <c r="A169">
        <v>2020</v>
      </c>
      <c r="B169" s="5" t="s">
        <v>135</v>
      </c>
      <c r="C169" s="6">
        <v>8.240341E-4</v>
      </c>
      <c r="D169" s="7">
        <v>76662</v>
      </c>
      <c r="G169" s="6"/>
      <c r="H169" s="7"/>
      <c r="I169" s="7"/>
      <c r="J169" s="7"/>
    </row>
    <row r="170" spans="1:10" x14ac:dyDescent="0.2">
      <c r="A170">
        <v>2020</v>
      </c>
      <c r="B170" s="5" t="s">
        <v>136</v>
      </c>
      <c r="C170" s="6">
        <v>1.6307935999999999E-3</v>
      </c>
      <c r="D170" s="7">
        <v>151717</v>
      </c>
      <c r="G170" s="6"/>
      <c r="H170" s="7"/>
      <c r="I170" s="7"/>
      <c r="J170" s="7"/>
    </row>
    <row r="171" spans="1:10" x14ac:dyDescent="0.2">
      <c r="A171">
        <v>2020</v>
      </c>
      <c r="B171" s="5" t="s">
        <v>181</v>
      </c>
      <c r="C171" s="6">
        <v>2.2905409000000001E-3</v>
      </c>
      <c r="D171" s="7">
        <v>213095</v>
      </c>
      <c r="G171" s="6"/>
      <c r="H171" s="7"/>
      <c r="I171" s="7"/>
      <c r="J171" s="7"/>
    </row>
    <row r="172" spans="1:10" x14ac:dyDescent="0.2">
      <c r="A172">
        <v>2020</v>
      </c>
      <c r="B172" s="5" t="s">
        <v>137</v>
      </c>
      <c r="C172" s="6">
        <v>1.2909562000000001E-3</v>
      </c>
      <c r="D172" s="7">
        <v>120101</v>
      </c>
      <c r="G172" s="6"/>
      <c r="H172" s="7"/>
      <c r="I172" s="7"/>
      <c r="J172" s="7"/>
    </row>
    <row r="173" spans="1:10" x14ac:dyDescent="0.2">
      <c r="A173">
        <v>2020</v>
      </c>
      <c r="B173" s="5" t="s">
        <v>138</v>
      </c>
      <c r="C173" s="6">
        <v>1.3292362E-3</v>
      </c>
      <c r="D173" s="7">
        <v>123662</v>
      </c>
      <c r="G173" s="6"/>
      <c r="H173" s="7"/>
      <c r="I173" s="7"/>
      <c r="J173" s="7"/>
    </row>
    <row r="174" spans="1:10" x14ac:dyDescent="0.2">
      <c r="A174">
        <v>2020</v>
      </c>
      <c r="B174" s="5" t="s">
        <v>139</v>
      </c>
      <c r="C174" s="6">
        <v>1.9958381999999998E-3</v>
      </c>
      <c r="D174" s="7">
        <v>185678</v>
      </c>
      <c r="G174" s="6"/>
      <c r="H174" s="7"/>
      <c r="I174" s="7"/>
      <c r="J174" s="7"/>
    </row>
    <row r="175" spans="1:10" x14ac:dyDescent="0.2">
      <c r="A175">
        <v>2020</v>
      </c>
      <c r="B175" s="5" t="s">
        <v>207</v>
      </c>
      <c r="C175" s="6">
        <v>3.7494499999999998E-5</v>
      </c>
      <c r="D175" s="7">
        <v>3488</v>
      </c>
      <c r="G175" s="6"/>
      <c r="H175" s="7"/>
      <c r="J175" s="7"/>
    </row>
    <row r="176" spans="1:10" x14ac:dyDescent="0.2">
      <c r="A176">
        <v>2020</v>
      </c>
      <c r="B176" s="5" t="s">
        <v>140</v>
      </c>
      <c r="C176" s="6">
        <v>1.9454686000000001E-3</v>
      </c>
      <c r="D176" s="7">
        <v>180992</v>
      </c>
      <c r="G176" s="6"/>
      <c r="H176" s="7"/>
      <c r="I176" s="7"/>
      <c r="J176" s="7"/>
    </row>
    <row r="177" spans="1:10" x14ac:dyDescent="0.2">
      <c r="A177">
        <v>2020</v>
      </c>
      <c r="B177" s="5" t="s">
        <v>141</v>
      </c>
      <c r="C177" s="6">
        <v>1.7083797999999999E-3</v>
      </c>
      <c r="D177" s="7">
        <v>158935</v>
      </c>
      <c r="G177" s="6"/>
      <c r="H177" s="7"/>
      <c r="I177" s="7"/>
      <c r="J177" s="7"/>
    </row>
    <row r="178" spans="1:10" x14ac:dyDescent="0.2">
      <c r="A178">
        <v>2020</v>
      </c>
      <c r="B178" s="5" t="s">
        <v>142</v>
      </c>
      <c r="C178" s="6">
        <v>4.1038670000000002E-4</v>
      </c>
      <c r="D178" s="7">
        <v>38179</v>
      </c>
      <c r="G178" s="6"/>
      <c r="H178" s="7"/>
      <c r="I178" s="7"/>
      <c r="J178" s="7"/>
    </row>
    <row r="179" spans="1:10" x14ac:dyDescent="0.2">
      <c r="A179">
        <v>2020</v>
      </c>
      <c r="B179" s="5" t="s">
        <v>233</v>
      </c>
      <c r="C179" s="6">
        <v>6.6902590000000005E-4</v>
      </c>
      <c r="D179" s="7">
        <v>62241</v>
      </c>
      <c r="G179" s="6"/>
      <c r="H179" s="7"/>
      <c r="I179" s="7"/>
      <c r="J179" s="7"/>
    </row>
    <row r="180" spans="1:10" x14ac:dyDescent="0.2">
      <c r="A180">
        <v>2020</v>
      </c>
      <c r="B180" s="5" t="s">
        <v>206</v>
      </c>
      <c r="C180" s="6">
        <v>2.9917403000000002E-3</v>
      </c>
      <c r="D180" s="7">
        <v>278329</v>
      </c>
      <c r="G180" s="6"/>
      <c r="H180" s="7"/>
      <c r="I180" s="7"/>
      <c r="J180" s="7"/>
    </row>
    <row r="181" spans="1:10" x14ac:dyDescent="0.2">
      <c r="A181">
        <v>2020</v>
      </c>
      <c r="B181" s="5" t="s">
        <v>234</v>
      </c>
      <c r="C181" s="6">
        <v>3.7420973999999999E-3</v>
      </c>
      <c r="D181" s="7">
        <v>348137</v>
      </c>
      <c r="G181" s="6"/>
      <c r="H181" s="7"/>
      <c r="I181" s="7"/>
      <c r="J181" s="7"/>
    </row>
    <row r="182" spans="1:10" x14ac:dyDescent="0.2">
      <c r="A182">
        <v>2020</v>
      </c>
      <c r="B182" s="5" t="s">
        <v>144</v>
      </c>
      <c r="C182" s="6">
        <v>6.1626379999999998E-4</v>
      </c>
      <c r="D182" s="7">
        <v>57333</v>
      </c>
      <c r="G182" s="6"/>
      <c r="H182" s="7"/>
      <c r="I182" s="7"/>
      <c r="J182" s="7"/>
    </row>
    <row r="183" spans="1:10" x14ac:dyDescent="0.2">
      <c r="A183">
        <v>2020</v>
      </c>
      <c r="B183" s="5" t="s">
        <v>145</v>
      </c>
      <c r="C183" s="6">
        <v>1.011922E-4</v>
      </c>
      <c r="D183" s="7">
        <v>9414</v>
      </c>
      <c r="G183" s="6"/>
      <c r="H183" s="7"/>
      <c r="J183" s="7"/>
    </row>
    <row r="184" spans="1:10" x14ac:dyDescent="0.2">
      <c r="A184">
        <v>2020</v>
      </c>
      <c r="B184" s="5" t="s">
        <v>208</v>
      </c>
      <c r="C184" s="6">
        <v>4.3480649999999999E-3</v>
      </c>
      <c r="D184" s="7">
        <v>404511</v>
      </c>
      <c r="G184" s="6"/>
      <c r="H184" s="7"/>
      <c r="I184" s="7"/>
      <c r="J184" s="7"/>
    </row>
    <row r="185" spans="1:10" x14ac:dyDescent="0.2">
      <c r="A185">
        <v>2020</v>
      </c>
      <c r="B185" s="5" t="s">
        <v>146</v>
      </c>
      <c r="C185" s="6">
        <v>8.5527740000000002E-4</v>
      </c>
      <c r="D185" s="7">
        <v>79569</v>
      </c>
      <c r="G185" s="6"/>
      <c r="H185" s="7"/>
      <c r="I185" s="7"/>
      <c r="J185" s="7"/>
    </row>
    <row r="186" spans="1:10" x14ac:dyDescent="0.2">
      <c r="A186">
        <v>2020</v>
      </c>
      <c r="B186" s="5" t="s">
        <v>147</v>
      </c>
      <c r="C186" s="6">
        <v>5.0360880999999998E-3</v>
      </c>
      <c r="D186" s="7">
        <v>468520</v>
      </c>
      <c r="G186" s="6"/>
      <c r="H186" s="7"/>
      <c r="I186" s="7"/>
      <c r="J186" s="7"/>
    </row>
    <row r="187" spans="1:10" x14ac:dyDescent="0.2">
      <c r="A187">
        <v>2020</v>
      </c>
      <c r="B187" s="5" t="s">
        <v>148</v>
      </c>
      <c r="C187" s="6">
        <v>8.0666329999999999E-4</v>
      </c>
      <c r="D187" s="7">
        <v>75046</v>
      </c>
      <c r="G187" s="6"/>
      <c r="H187" s="7"/>
      <c r="I187" s="7"/>
      <c r="J187" s="7"/>
    </row>
    <row r="188" spans="1:10" x14ac:dyDescent="0.2">
      <c r="A188">
        <v>2020</v>
      </c>
      <c r="B188" s="5" t="s">
        <v>209</v>
      </c>
      <c r="C188" s="6">
        <v>2.411367E-4</v>
      </c>
      <c r="D188" s="7">
        <v>22434</v>
      </c>
      <c r="G188" s="6"/>
      <c r="H188" s="7"/>
      <c r="I188" s="7"/>
      <c r="J188" s="7"/>
    </row>
    <row r="189" spans="1:10" x14ac:dyDescent="0.2">
      <c r="A189">
        <v>2020</v>
      </c>
      <c r="B189" s="5" t="s">
        <v>149</v>
      </c>
      <c r="C189" s="6">
        <v>1.2175872999999999E-3</v>
      </c>
      <c r="D189" s="7">
        <v>113275</v>
      </c>
      <c r="G189" s="6"/>
      <c r="H189" s="7"/>
      <c r="I189" s="7"/>
      <c r="J189" s="7"/>
    </row>
    <row r="190" spans="1:10" x14ac:dyDescent="0.2">
      <c r="A190">
        <v>2020</v>
      </c>
      <c r="B190" s="5" t="s">
        <v>150</v>
      </c>
      <c r="C190" s="6">
        <v>3.6393679E-3</v>
      </c>
      <c r="D190" s="7">
        <v>338579</v>
      </c>
      <c r="G190" s="6"/>
      <c r="H190" s="7"/>
      <c r="I190" s="7"/>
      <c r="J190" s="7"/>
    </row>
    <row r="191" spans="1:10" x14ac:dyDescent="0.2">
      <c r="A191">
        <v>2020</v>
      </c>
      <c r="B191" s="5" t="s">
        <v>151</v>
      </c>
      <c r="C191" s="6">
        <v>1.6099269999999999E-4</v>
      </c>
      <c r="D191" s="7">
        <v>14978</v>
      </c>
      <c r="G191" s="6"/>
      <c r="H191" s="7"/>
      <c r="I191" s="7"/>
      <c r="J191" s="7"/>
    </row>
    <row r="192" spans="1:10" x14ac:dyDescent="0.2">
      <c r="A192">
        <v>2020</v>
      </c>
      <c r="B192" s="5" t="s">
        <v>210</v>
      </c>
      <c r="C192" s="6">
        <v>3.5912895999999999E-3</v>
      </c>
      <c r="D192" s="7">
        <v>334106</v>
      </c>
      <c r="G192" s="6"/>
      <c r="H192" s="7"/>
      <c r="I192" s="7"/>
      <c r="J192" s="7"/>
    </row>
    <row r="193" spans="1:10" x14ac:dyDescent="0.2">
      <c r="A193">
        <v>2020</v>
      </c>
      <c r="B193" s="5" t="s">
        <v>152</v>
      </c>
      <c r="C193" s="6">
        <v>3.5587540999999999E-3</v>
      </c>
      <c r="D193" s="7">
        <v>331080</v>
      </c>
      <c r="G193" s="6"/>
      <c r="H193" s="7"/>
      <c r="I193" s="7"/>
      <c r="J193" s="7"/>
    </row>
    <row r="194" spans="1:10" x14ac:dyDescent="0.2">
      <c r="A194">
        <v>2020</v>
      </c>
      <c r="B194" s="5" t="s">
        <v>153</v>
      </c>
      <c r="C194" s="6">
        <v>4.6465135000000003E-3</v>
      </c>
      <c r="D194" s="7">
        <v>432277</v>
      </c>
      <c r="G194" s="6"/>
      <c r="H194" s="7"/>
      <c r="I194" s="7"/>
      <c r="J194" s="7"/>
    </row>
    <row r="195" spans="1:10" x14ac:dyDescent="0.2">
      <c r="A195">
        <v>2020</v>
      </c>
      <c r="B195" s="5" t="s">
        <v>154</v>
      </c>
      <c r="C195" s="6">
        <v>1.9258328E-3</v>
      </c>
      <c r="D195" s="7">
        <v>179165</v>
      </c>
      <c r="G195" s="6"/>
      <c r="H195" s="7"/>
      <c r="I195" s="7"/>
      <c r="J195" s="7"/>
    </row>
    <row r="196" spans="1:10" x14ac:dyDescent="0.2">
      <c r="A196">
        <v>2020</v>
      </c>
      <c r="B196" s="5" t="s">
        <v>214</v>
      </c>
      <c r="C196" s="6">
        <v>6.1706779999999995E-4</v>
      </c>
      <c r="D196" s="7">
        <v>57407</v>
      </c>
      <c r="G196" s="6"/>
      <c r="H196" s="7"/>
      <c r="I196" s="7"/>
      <c r="J196" s="7"/>
    </row>
    <row r="197" spans="1:10" x14ac:dyDescent="0.2">
      <c r="A197">
        <v>2020</v>
      </c>
      <c r="B197" s="5" t="s">
        <v>155</v>
      </c>
      <c r="C197" s="6">
        <v>2.0655894999999998E-3</v>
      </c>
      <c r="D197" s="7">
        <v>192167</v>
      </c>
      <c r="G197" s="6"/>
      <c r="H197" s="7"/>
      <c r="I197" s="7"/>
      <c r="J197" s="7"/>
    </row>
    <row r="198" spans="1:10" x14ac:dyDescent="0.2">
      <c r="A198">
        <v>2020</v>
      </c>
      <c r="B198" s="5" t="s">
        <v>156</v>
      </c>
      <c r="C198" s="6">
        <v>4.6706559E-3</v>
      </c>
      <c r="D198" s="7">
        <v>434523</v>
      </c>
      <c r="G198" s="6"/>
      <c r="H198" s="7"/>
      <c r="I198" s="7"/>
      <c r="J198" s="7"/>
    </row>
    <row r="199" spans="1:10" x14ac:dyDescent="0.2">
      <c r="A199">
        <v>2020</v>
      </c>
      <c r="B199" s="5" t="s">
        <v>157</v>
      </c>
      <c r="C199" s="6">
        <v>3.6196710000000001E-3</v>
      </c>
      <c r="D199" s="7">
        <v>336747</v>
      </c>
      <c r="G199" s="6"/>
      <c r="H199" s="7"/>
      <c r="I199" s="7"/>
      <c r="J199" s="7"/>
    </row>
    <row r="200" spans="1:10" x14ac:dyDescent="0.2">
      <c r="A200">
        <v>2020</v>
      </c>
      <c r="B200" s="5" t="s">
        <v>213</v>
      </c>
      <c r="C200" s="6">
        <v>2.1103269999999999E-3</v>
      </c>
      <c r="D200" s="7">
        <v>196329</v>
      </c>
      <c r="G200" s="6"/>
      <c r="H200" s="7"/>
      <c r="I200" s="7"/>
      <c r="J200" s="7"/>
    </row>
    <row r="201" spans="1:10" x14ac:dyDescent="0.2">
      <c r="A201">
        <v>2020</v>
      </c>
      <c r="B201" s="5" t="s">
        <v>158</v>
      </c>
      <c r="C201" s="6">
        <v>8.5071539999999994E-3</v>
      </c>
      <c r="D201" s="7">
        <v>791441</v>
      </c>
      <c r="G201" s="6"/>
      <c r="H201" s="7"/>
      <c r="I201" s="7"/>
      <c r="J201" s="7"/>
    </row>
    <row r="202" spans="1:10" x14ac:dyDescent="0.2">
      <c r="A202">
        <v>2020</v>
      </c>
      <c r="B202" s="5" t="s">
        <v>159</v>
      </c>
      <c r="C202" s="6">
        <v>3.8194106999999999E-3</v>
      </c>
      <c r="D202" s="7">
        <v>355329</v>
      </c>
      <c r="G202" s="6"/>
      <c r="H202" s="7"/>
      <c r="I202" s="7"/>
      <c r="J202" s="7"/>
    </row>
    <row r="203" spans="1:10" x14ac:dyDescent="0.2">
      <c r="A203">
        <v>2020</v>
      </c>
      <c r="B203" s="5" t="s">
        <v>160</v>
      </c>
      <c r="C203" s="6">
        <v>9.5383423000000005E-3</v>
      </c>
      <c r="D203" s="7">
        <v>887375</v>
      </c>
      <c r="G203" s="6"/>
      <c r="H203" s="7"/>
      <c r="I203" s="7"/>
      <c r="J203" s="7"/>
    </row>
    <row r="204" spans="1:10" x14ac:dyDescent="0.2">
      <c r="A204">
        <v>2020</v>
      </c>
      <c r="B204" s="5" t="s">
        <v>211</v>
      </c>
      <c r="C204" s="6">
        <v>4.1936800000000001E-5</v>
      </c>
      <c r="D204" s="7">
        <v>3901</v>
      </c>
      <c r="G204" s="6"/>
      <c r="H204" s="7"/>
      <c r="J204" s="7"/>
    </row>
    <row r="205" spans="1:10" x14ac:dyDescent="0.2">
      <c r="A205">
        <v>2020</v>
      </c>
      <c r="B205" s="5" t="s">
        <v>161</v>
      </c>
      <c r="C205" s="6">
        <v>2.5320573E-3</v>
      </c>
      <c r="D205" s="7">
        <v>235564</v>
      </c>
      <c r="G205" s="6"/>
      <c r="H205" s="7"/>
      <c r="I205" s="7"/>
      <c r="J205" s="7"/>
    </row>
    <row r="206" spans="1:10" x14ac:dyDescent="0.2">
      <c r="A206">
        <v>2020</v>
      </c>
      <c r="B206" s="5" t="s">
        <v>162</v>
      </c>
      <c r="C206" s="6">
        <v>2.6462285999999998E-3</v>
      </c>
      <c r="D206" s="7">
        <v>246185</v>
      </c>
      <c r="G206" s="6"/>
      <c r="H206" s="7"/>
      <c r="I206" s="7"/>
      <c r="J206" s="7"/>
    </row>
    <row r="207" spans="1:10" x14ac:dyDescent="0.2">
      <c r="A207">
        <v>2020</v>
      </c>
      <c r="B207" s="5" t="s">
        <v>163</v>
      </c>
      <c r="C207" s="6">
        <v>9.2158874399999993E-2</v>
      </c>
      <c r="D207" s="7">
        <v>8573766</v>
      </c>
      <c r="G207" s="6"/>
      <c r="H207" s="7"/>
      <c r="I207" s="7"/>
      <c r="J207" s="7"/>
    </row>
    <row r="208" spans="1:10" x14ac:dyDescent="0.2">
      <c r="A208">
        <v>2020</v>
      </c>
      <c r="B208" s="5" t="s">
        <v>164</v>
      </c>
      <c r="C208" s="6">
        <v>7.4350429999999997E-4</v>
      </c>
      <c r="D208" s="7">
        <v>69170</v>
      </c>
      <c r="G208" s="6"/>
      <c r="H208" s="7"/>
      <c r="I208" s="7"/>
      <c r="J208" s="7"/>
    </row>
    <row r="209" spans="1:10" x14ac:dyDescent="0.2">
      <c r="A209">
        <v>2020</v>
      </c>
      <c r="B209" s="5" t="s">
        <v>165</v>
      </c>
      <c r="C209" s="6">
        <v>1.5137299E-3</v>
      </c>
      <c r="D209" s="7">
        <v>140826</v>
      </c>
      <c r="G209" s="6"/>
      <c r="H209" s="7"/>
      <c r="I209" s="7"/>
      <c r="J209" s="7"/>
    </row>
    <row r="210" spans="1:10" x14ac:dyDescent="0.2">
      <c r="A210">
        <v>2020</v>
      </c>
      <c r="B210" s="5" t="s">
        <v>166</v>
      </c>
      <c r="C210" s="6">
        <v>2.500497E-3</v>
      </c>
      <c r="D210" s="7">
        <v>232627</v>
      </c>
      <c r="G210" s="6"/>
      <c r="H210" s="7"/>
      <c r="I210" s="7"/>
      <c r="J210" s="7"/>
    </row>
    <row r="211" spans="1:10" x14ac:dyDescent="0.2">
      <c r="A211">
        <v>2020</v>
      </c>
      <c r="B211" s="5" t="s">
        <v>235</v>
      </c>
      <c r="C211" s="6">
        <v>3.6938653999999999E-3</v>
      </c>
      <c r="D211" s="7">
        <v>343649</v>
      </c>
      <c r="G211" s="6"/>
      <c r="H211" s="7"/>
      <c r="I211" s="7"/>
      <c r="J211" s="7"/>
    </row>
    <row r="212" spans="1:10" x14ac:dyDescent="0.2">
      <c r="A212">
        <v>2020</v>
      </c>
      <c r="B212" s="5" t="s">
        <v>167</v>
      </c>
      <c r="C212" s="6">
        <v>3.21184755E-2</v>
      </c>
      <c r="D212" s="7">
        <v>2988061</v>
      </c>
      <c r="G212" s="6"/>
      <c r="H212" s="7"/>
      <c r="I212" s="7"/>
      <c r="J212" s="7"/>
    </row>
    <row r="213" spans="1:10" x14ac:dyDescent="0.2">
      <c r="A213">
        <v>2020</v>
      </c>
      <c r="B213" s="5" t="s">
        <v>232</v>
      </c>
      <c r="C213" s="6">
        <v>6.0797665000000001E-3</v>
      </c>
      <c r="D213" s="7">
        <v>565616</v>
      </c>
      <c r="G213" s="6"/>
      <c r="H213" s="7"/>
      <c r="I213" s="7"/>
      <c r="J213" s="7"/>
    </row>
    <row r="214" spans="1:10" x14ac:dyDescent="0.2">
      <c r="A214">
        <v>2020</v>
      </c>
      <c r="B214" s="5" t="s">
        <v>168</v>
      </c>
      <c r="C214" s="6">
        <v>2.0711246999999999E-3</v>
      </c>
      <c r="D214" s="7">
        <v>192682</v>
      </c>
      <c r="G214" s="6"/>
      <c r="H214" s="7"/>
      <c r="I214" s="7"/>
      <c r="J214" s="7"/>
    </row>
    <row r="215" spans="1:10" x14ac:dyDescent="0.2">
      <c r="A215">
        <v>2020</v>
      </c>
      <c r="B215" s="5" t="s">
        <v>169</v>
      </c>
      <c r="C215" s="6">
        <v>8.6918019999999996E-4</v>
      </c>
      <c r="D215" s="7">
        <v>80862</v>
      </c>
      <c r="G215" s="6"/>
      <c r="H215" s="7"/>
      <c r="I215" s="7"/>
      <c r="J215" s="7"/>
    </row>
    <row r="216" spans="1:10" x14ac:dyDescent="0.2">
      <c r="A216">
        <v>2020</v>
      </c>
      <c r="B216" s="5" t="s">
        <v>170</v>
      </c>
      <c r="C216" s="6">
        <v>1.6218324000000001E-3</v>
      </c>
      <c r="D216" s="7">
        <v>150883</v>
      </c>
      <c r="G216" s="6"/>
      <c r="H216" s="7"/>
      <c r="I216" s="7"/>
      <c r="J216" s="7"/>
    </row>
    <row r="217" spans="1:10" x14ac:dyDescent="0.2">
      <c r="A217">
        <v>2020</v>
      </c>
      <c r="B217" s="5" t="s">
        <v>212</v>
      </c>
      <c r="C217" s="6">
        <v>0</v>
      </c>
      <c r="G217" s="6"/>
      <c r="I217" s="7"/>
      <c r="J217" s="7"/>
    </row>
    <row r="218" spans="1:10" x14ac:dyDescent="0.2">
      <c r="A218">
        <v>2020</v>
      </c>
      <c r="B218" s="5" t="s">
        <v>171</v>
      </c>
      <c r="C218" s="6">
        <v>2.0317101E-3</v>
      </c>
      <c r="D218" s="7">
        <v>189015</v>
      </c>
      <c r="G218" s="7"/>
      <c r="H218" s="7"/>
      <c r="I218" s="7"/>
    </row>
    <row r="219" spans="1:10" x14ac:dyDescent="0.2">
      <c r="A219">
        <v>2020</v>
      </c>
      <c r="B219" s="5" t="s">
        <v>172</v>
      </c>
      <c r="C219" s="6">
        <v>7.2116349999999999E-4</v>
      </c>
      <c r="D219" s="7">
        <v>67092</v>
      </c>
      <c r="G219" s="7"/>
      <c r="H219" s="7"/>
      <c r="I219" s="7"/>
    </row>
    <row r="220" spans="1:10" x14ac:dyDescent="0.2">
      <c r="A220">
        <v>2020</v>
      </c>
      <c r="B220" s="5" t="s">
        <v>173</v>
      </c>
      <c r="C220" s="6">
        <v>6.1474809999999996E-4</v>
      </c>
      <c r="D220" s="7">
        <v>57192</v>
      </c>
      <c r="G220" s="7"/>
      <c r="H220" s="7"/>
      <c r="I220" s="7"/>
    </row>
    <row r="221" spans="1:10" x14ac:dyDescent="0.2">
      <c r="A221">
        <v>2020</v>
      </c>
      <c r="B221" s="3" t="s">
        <v>174</v>
      </c>
      <c r="C221" s="8">
        <v>1</v>
      </c>
      <c r="D221" s="9">
        <v>93032453</v>
      </c>
      <c r="F221" s="3"/>
      <c r="G221" s="9"/>
      <c r="H221" s="3"/>
      <c r="I221" s="9"/>
    </row>
    <row r="223" spans="1:10" x14ac:dyDescent="0.2">
      <c r="D223" s="7">
        <f>SUM(D2:D220)</f>
        <v>93032458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CAD-1EE0-B444-8205-091C449C1DB0}">
  <sheetPr>
    <tabColor rgb="FFFFFF00"/>
  </sheetPr>
  <dimension ref="A1:J223"/>
  <sheetViews>
    <sheetView workbookViewId="0">
      <selection activeCell="A2" sqref="A2:D220"/>
    </sheetView>
  </sheetViews>
  <sheetFormatPr baseColWidth="10" defaultRowHeight="16" x14ac:dyDescent="0.2"/>
  <cols>
    <col min="2" max="2" width="35.1640625" style="5" bestFit="1" customWidth="1"/>
    <col min="3" max="3" width="36.83203125" style="5" bestFit="1" customWidth="1"/>
    <col min="4" max="4" width="27.5" bestFit="1" customWidth="1"/>
    <col min="5" max="5" width="11.83203125" bestFit="1" customWidth="1"/>
    <col min="6" max="6" width="11.5" bestFit="1" customWidth="1"/>
    <col min="7" max="7" width="11.1640625" bestFit="1" customWidth="1"/>
    <col min="8" max="8" width="11.5" bestFit="1" customWidth="1"/>
    <col min="9" max="9" width="11.1640625" bestFit="1" customWidth="1"/>
    <col min="10" max="10" width="11.5" bestFit="1" customWidth="1"/>
  </cols>
  <sheetData>
    <row r="1" spans="1:10" x14ac:dyDescent="0.2">
      <c r="A1" t="s">
        <v>227</v>
      </c>
      <c r="B1" s="3" t="s">
        <v>53</v>
      </c>
      <c r="C1" s="3" t="s">
        <v>54</v>
      </c>
      <c r="D1" s="3" t="s">
        <v>55</v>
      </c>
    </row>
    <row r="2" spans="1:10" x14ac:dyDescent="0.2">
      <c r="A2">
        <v>2021</v>
      </c>
      <c r="B2" s="18" t="s">
        <v>57</v>
      </c>
      <c r="C2" s="19">
        <v>1.9884341999999999E-3</v>
      </c>
      <c r="D2" s="20">
        <v>195392</v>
      </c>
      <c r="E2" s="18"/>
      <c r="F2" s="18"/>
      <c r="G2" s="19"/>
      <c r="H2" s="18"/>
      <c r="I2" s="18"/>
      <c r="J2" s="18"/>
    </row>
    <row r="3" spans="1:10" x14ac:dyDescent="0.2">
      <c r="A3">
        <v>2021</v>
      </c>
      <c r="B3" s="18" t="s">
        <v>58</v>
      </c>
      <c r="C3" s="19">
        <v>9.169696E-4</v>
      </c>
      <c r="D3" s="20">
        <v>90105</v>
      </c>
      <c r="E3" s="20"/>
      <c r="F3" s="18"/>
      <c r="G3" s="19"/>
      <c r="H3" s="20"/>
      <c r="I3" s="20"/>
      <c r="J3" s="20"/>
    </row>
    <row r="4" spans="1:10" x14ac:dyDescent="0.2">
      <c r="A4">
        <v>2021</v>
      </c>
      <c r="B4" s="18" t="s">
        <v>59</v>
      </c>
      <c r="C4" s="19">
        <v>4.6010940000000002E-4</v>
      </c>
      <c r="D4" s="20">
        <v>45212</v>
      </c>
      <c r="E4" s="20"/>
      <c r="F4" s="18"/>
      <c r="G4" s="19"/>
      <c r="H4" s="20"/>
      <c r="I4" s="20"/>
      <c r="J4" s="20"/>
    </row>
    <row r="5" spans="1:10" x14ac:dyDescent="0.2">
      <c r="A5">
        <v>2021</v>
      </c>
      <c r="B5" s="18" t="s">
        <v>60</v>
      </c>
      <c r="C5" s="19">
        <v>1.3870276000000001E-3</v>
      </c>
      <c r="D5" s="20">
        <v>136295</v>
      </c>
      <c r="E5" s="20"/>
      <c r="F5" s="18"/>
      <c r="G5" s="19"/>
      <c r="H5" s="20"/>
      <c r="I5" s="20"/>
      <c r="J5" s="20"/>
    </row>
    <row r="6" spans="1:10" x14ac:dyDescent="0.2">
      <c r="A6">
        <v>2021</v>
      </c>
      <c r="B6" s="18" t="s">
        <v>61</v>
      </c>
      <c r="C6" s="19">
        <v>7.1461199999999999E-5</v>
      </c>
      <c r="D6" s="20">
        <v>7022</v>
      </c>
      <c r="E6" s="20"/>
      <c r="F6" s="18"/>
      <c r="G6" s="19"/>
      <c r="H6" s="20"/>
      <c r="I6" s="20"/>
      <c r="J6" s="20"/>
    </row>
    <row r="7" spans="1:10" x14ac:dyDescent="0.2">
      <c r="A7">
        <v>2021</v>
      </c>
      <c r="B7" s="18" t="s">
        <v>62</v>
      </c>
      <c r="C7" s="19">
        <v>2.2346593000000001E-3</v>
      </c>
      <c r="D7" s="20">
        <v>219587</v>
      </c>
      <c r="E7" s="20"/>
      <c r="F7" s="18"/>
      <c r="G7" s="19"/>
      <c r="H7" s="20"/>
      <c r="I7" s="20"/>
      <c r="J7" s="20"/>
    </row>
    <row r="8" spans="1:10" x14ac:dyDescent="0.2">
      <c r="A8">
        <v>2021</v>
      </c>
      <c r="B8" s="18" t="s">
        <v>63</v>
      </c>
      <c r="C8" s="19">
        <v>2.8023623999999998E-3</v>
      </c>
      <c r="D8" s="20">
        <v>275372</v>
      </c>
      <c r="E8" s="20"/>
      <c r="F8" s="18"/>
      <c r="G8" s="19"/>
      <c r="H8" s="20"/>
      <c r="I8" s="20"/>
      <c r="J8" s="20"/>
    </row>
    <row r="9" spans="1:10" x14ac:dyDescent="0.2">
      <c r="A9">
        <v>2021</v>
      </c>
      <c r="B9" s="18" t="s">
        <v>187</v>
      </c>
      <c r="C9" s="19">
        <v>1.19848019E-2</v>
      </c>
      <c r="D9" s="20">
        <v>1177677</v>
      </c>
      <c r="E9" s="20"/>
      <c r="F9" s="18"/>
      <c r="G9" s="19"/>
      <c r="H9" s="20"/>
      <c r="I9" s="20"/>
      <c r="J9" s="20"/>
    </row>
    <row r="10" spans="1:10" x14ac:dyDescent="0.2">
      <c r="A10">
        <v>2021</v>
      </c>
      <c r="B10" s="18" t="s">
        <v>64</v>
      </c>
      <c r="C10" s="19">
        <v>2.0462039999999998E-3</v>
      </c>
      <c r="D10" s="20">
        <v>201069</v>
      </c>
      <c r="E10" s="20"/>
      <c r="F10" s="18"/>
      <c r="G10" s="19"/>
      <c r="H10" s="20"/>
      <c r="I10" s="20"/>
      <c r="J10" s="20"/>
    </row>
    <row r="11" spans="1:10" x14ac:dyDescent="0.2">
      <c r="A11">
        <v>2021</v>
      </c>
      <c r="B11" s="18" t="s">
        <v>65</v>
      </c>
      <c r="C11" s="19">
        <v>5.1379666999999997E-3</v>
      </c>
      <c r="D11" s="20">
        <v>504878</v>
      </c>
      <c r="E11" s="20"/>
      <c r="F11" s="18"/>
      <c r="G11" s="19"/>
      <c r="H11" s="20"/>
      <c r="I11" s="20"/>
      <c r="J11" s="20"/>
    </row>
    <row r="12" spans="1:10" x14ac:dyDescent="0.2">
      <c r="A12">
        <v>2021</v>
      </c>
      <c r="B12" s="18" t="s">
        <v>66</v>
      </c>
      <c r="C12" s="19">
        <v>1.2774806000000001E-3</v>
      </c>
      <c r="D12" s="20">
        <v>125531</v>
      </c>
      <c r="E12" s="20"/>
      <c r="F12" s="18"/>
      <c r="G12" s="19"/>
      <c r="H12" s="20"/>
      <c r="I12" s="20"/>
      <c r="J12" s="20"/>
    </row>
    <row r="13" spans="1:10" x14ac:dyDescent="0.2">
      <c r="A13">
        <v>2021</v>
      </c>
      <c r="B13" s="18" t="s">
        <v>188</v>
      </c>
      <c r="C13" s="19">
        <v>0.1047685043</v>
      </c>
      <c r="D13" s="20">
        <v>10294993</v>
      </c>
      <c r="E13" s="20"/>
      <c r="F13" s="18"/>
      <c r="G13" s="19"/>
      <c r="H13" s="20"/>
      <c r="I13" s="20"/>
      <c r="J13" s="20"/>
    </row>
    <row r="14" spans="1:10" x14ac:dyDescent="0.2">
      <c r="A14">
        <v>2021</v>
      </c>
      <c r="B14" s="18" t="s">
        <v>67</v>
      </c>
      <c r="C14" s="19">
        <v>0</v>
      </c>
    </row>
    <row r="15" spans="1:10" x14ac:dyDescent="0.2">
      <c r="A15">
        <v>2021</v>
      </c>
      <c r="B15" s="18" t="s">
        <v>68</v>
      </c>
      <c r="C15" s="19">
        <v>0</v>
      </c>
    </row>
    <row r="16" spans="1:10" x14ac:dyDescent="0.2">
      <c r="A16">
        <v>2021</v>
      </c>
      <c r="B16" s="18" t="s">
        <v>69</v>
      </c>
      <c r="C16" s="19">
        <v>5.2297432000000003E-3</v>
      </c>
      <c r="D16" s="20">
        <v>513897</v>
      </c>
      <c r="E16" s="20"/>
      <c r="F16" s="18"/>
      <c r="G16" s="19"/>
      <c r="H16" s="20"/>
      <c r="I16" s="20"/>
      <c r="J16" s="20"/>
    </row>
    <row r="17" spans="1:10" x14ac:dyDescent="0.2">
      <c r="A17">
        <v>2021</v>
      </c>
      <c r="B17" s="18" t="s">
        <v>192</v>
      </c>
      <c r="C17" s="19">
        <v>8.8608019999999999E-4</v>
      </c>
      <c r="D17" s="20">
        <v>87070</v>
      </c>
      <c r="E17" s="20"/>
      <c r="F17" s="18"/>
      <c r="G17" s="19"/>
      <c r="H17" s="20"/>
      <c r="I17" s="20"/>
      <c r="J17" s="20"/>
    </row>
    <row r="18" spans="1:10" x14ac:dyDescent="0.2">
      <c r="A18">
        <v>2021</v>
      </c>
      <c r="B18" s="18" t="s">
        <v>70</v>
      </c>
      <c r="C18" s="19">
        <v>4.4356211999999999E-3</v>
      </c>
      <c r="D18" s="20">
        <v>435863</v>
      </c>
      <c r="E18" s="20"/>
      <c r="F18" s="18"/>
      <c r="G18" s="19"/>
      <c r="H18" s="20"/>
      <c r="I18" s="20"/>
      <c r="J18" s="20"/>
    </row>
    <row r="19" spans="1:10" x14ac:dyDescent="0.2">
      <c r="A19">
        <v>2021</v>
      </c>
      <c r="B19" s="18" t="s">
        <v>71</v>
      </c>
      <c r="C19" s="19">
        <v>1.2157112E-3</v>
      </c>
      <c r="D19" s="20">
        <v>119461</v>
      </c>
      <c r="E19" s="20"/>
      <c r="F19" s="18"/>
      <c r="G19" s="19"/>
      <c r="H19" s="20"/>
      <c r="I19" s="20"/>
      <c r="J19" s="18"/>
    </row>
    <row r="20" spans="1:10" x14ac:dyDescent="0.2">
      <c r="A20">
        <v>2021</v>
      </c>
      <c r="B20" s="18" t="s">
        <v>72</v>
      </c>
      <c r="C20" s="19">
        <v>1.564848E-4</v>
      </c>
      <c r="D20" s="20">
        <v>15377</v>
      </c>
      <c r="E20" s="20"/>
      <c r="F20" s="18"/>
      <c r="G20" s="19"/>
      <c r="H20" s="20"/>
      <c r="I20" s="20"/>
      <c r="J20" s="20"/>
    </row>
    <row r="21" spans="1:10" x14ac:dyDescent="0.2">
      <c r="A21">
        <v>2021</v>
      </c>
      <c r="B21" s="18" t="s">
        <v>190</v>
      </c>
      <c r="C21" s="19">
        <v>3.8735126000000002E-3</v>
      </c>
      <c r="D21" s="20">
        <v>380628</v>
      </c>
      <c r="E21" s="20"/>
      <c r="F21" s="18"/>
      <c r="G21" s="19"/>
      <c r="H21" s="20"/>
      <c r="I21" s="20"/>
      <c r="J21" s="20"/>
    </row>
    <row r="22" spans="1:10" x14ac:dyDescent="0.2">
      <c r="A22">
        <v>2021</v>
      </c>
      <c r="B22" s="18" t="s">
        <v>73</v>
      </c>
      <c r="C22" s="19">
        <v>3.2599172999999999E-3</v>
      </c>
      <c r="D22" s="20">
        <v>320333</v>
      </c>
      <c r="E22" s="20"/>
      <c r="F22" s="18"/>
      <c r="G22" s="19"/>
      <c r="H22" s="20"/>
      <c r="I22" s="20"/>
      <c r="J22" s="20"/>
    </row>
    <row r="23" spans="1:10" x14ac:dyDescent="0.2">
      <c r="A23">
        <v>2021</v>
      </c>
      <c r="B23" s="18" t="s">
        <v>74</v>
      </c>
      <c r="C23" s="19">
        <v>2.2830446999999999E-3</v>
      </c>
      <c r="D23" s="20">
        <v>224342</v>
      </c>
      <c r="E23" s="20"/>
      <c r="F23" s="18"/>
      <c r="G23" s="19"/>
      <c r="H23" s="20"/>
      <c r="I23" s="20"/>
      <c r="J23" s="20"/>
    </row>
    <row r="24" spans="1:10" x14ac:dyDescent="0.2">
      <c r="A24">
        <v>2021</v>
      </c>
      <c r="B24" s="18" t="s">
        <v>75</v>
      </c>
      <c r="C24" s="19">
        <v>5.8675908999999997E-3</v>
      </c>
      <c r="D24" s="20">
        <v>576574</v>
      </c>
      <c r="E24" s="20"/>
      <c r="F24" s="18"/>
      <c r="G24" s="19"/>
      <c r="H24" s="20"/>
      <c r="I24" s="20"/>
      <c r="J24" s="20"/>
    </row>
    <row r="25" spans="1:10" x14ac:dyDescent="0.2">
      <c r="A25">
        <v>2021</v>
      </c>
      <c r="B25" s="18" t="s">
        <v>191</v>
      </c>
      <c r="C25" s="19">
        <v>0</v>
      </c>
      <c r="D25" s="18"/>
      <c r="E25" s="18"/>
      <c r="F25" s="18"/>
      <c r="G25" s="19"/>
      <c r="H25" s="18"/>
      <c r="I25" s="20"/>
      <c r="J25" s="20"/>
    </row>
    <row r="26" spans="1:10" x14ac:dyDescent="0.2">
      <c r="A26">
        <v>2021</v>
      </c>
      <c r="B26" s="18" t="s">
        <v>239</v>
      </c>
      <c r="C26" s="19">
        <v>1.0332162000000001E-3</v>
      </c>
      <c r="D26" s="20">
        <v>101528</v>
      </c>
      <c r="E26" s="20"/>
      <c r="F26" s="18"/>
      <c r="G26" s="19"/>
      <c r="H26" s="20"/>
      <c r="I26" s="20"/>
      <c r="J26" s="20"/>
    </row>
    <row r="27" spans="1:10" x14ac:dyDescent="0.2">
      <c r="A27">
        <v>2021</v>
      </c>
      <c r="B27" s="18" t="s">
        <v>76</v>
      </c>
      <c r="C27" s="19">
        <v>1.8493425999999999E-3</v>
      </c>
      <c r="D27" s="20">
        <v>181724</v>
      </c>
      <c r="E27" s="20"/>
      <c r="F27" s="18"/>
      <c r="G27" s="19"/>
      <c r="H27" s="20"/>
      <c r="I27" s="20"/>
      <c r="J27" s="20"/>
    </row>
    <row r="28" spans="1:10" x14ac:dyDescent="0.2">
      <c r="A28">
        <v>2021</v>
      </c>
      <c r="B28" s="18" t="s">
        <v>77</v>
      </c>
      <c r="C28" s="19">
        <v>3.0004219E-3</v>
      </c>
      <c r="D28" s="20">
        <v>294834</v>
      </c>
      <c r="E28" s="20"/>
      <c r="F28" s="18"/>
      <c r="G28" s="19"/>
      <c r="H28" s="20"/>
      <c r="I28" s="20"/>
      <c r="J28" s="20"/>
    </row>
    <row r="29" spans="1:10" x14ac:dyDescent="0.2">
      <c r="A29">
        <v>2021</v>
      </c>
      <c r="B29" s="18" t="s">
        <v>78</v>
      </c>
      <c r="C29" s="19">
        <v>1.52146882E-2</v>
      </c>
      <c r="D29" s="20">
        <v>1495059</v>
      </c>
      <c r="E29" s="20"/>
      <c r="F29" s="18"/>
      <c r="G29" s="19"/>
      <c r="H29" s="20"/>
      <c r="I29" s="20"/>
      <c r="J29" s="20"/>
    </row>
    <row r="30" spans="1:10" x14ac:dyDescent="0.2">
      <c r="A30">
        <v>2021</v>
      </c>
      <c r="B30" s="18" t="s">
        <v>193</v>
      </c>
      <c r="C30" s="19">
        <v>3.25487764E-2</v>
      </c>
      <c r="D30" s="20">
        <v>3198380</v>
      </c>
      <c r="E30" s="20"/>
      <c r="F30" s="18"/>
      <c r="G30" s="19"/>
      <c r="H30" s="20"/>
      <c r="I30" s="20"/>
      <c r="J30" s="20"/>
    </row>
    <row r="31" spans="1:10" x14ac:dyDescent="0.2">
      <c r="A31">
        <v>2021</v>
      </c>
      <c r="B31" s="18" t="s">
        <v>79</v>
      </c>
      <c r="C31" s="19">
        <v>3.8192398000000002E-3</v>
      </c>
      <c r="D31" s="20">
        <v>375295</v>
      </c>
      <c r="E31" s="20"/>
      <c r="F31" s="18"/>
      <c r="G31" s="19"/>
      <c r="H31" s="20"/>
      <c r="I31" s="20"/>
      <c r="J31" s="20"/>
    </row>
    <row r="32" spans="1:10" x14ac:dyDescent="0.2">
      <c r="A32">
        <v>2021</v>
      </c>
      <c r="B32" s="18" t="s">
        <v>80</v>
      </c>
      <c r="C32" s="19">
        <v>6.6260150000000003E-4</v>
      </c>
      <c r="D32" s="20">
        <v>65110</v>
      </c>
      <c r="E32" s="20"/>
      <c r="F32" s="18"/>
      <c r="G32" s="19"/>
      <c r="H32" s="20"/>
      <c r="I32" s="20"/>
      <c r="J32" s="20"/>
    </row>
    <row r="33" spans="1:10" x14ac:dyDescent="0.2">
      <c r="A33">
        <v>2021</v>
      </c>
      <c r="B33" s="18" t="s">
        <v>81</v>
      </c>
      <c r="C33" s="19">
        <v>2.0908980999999999E-3</v>
      </c>
      <c r="D33" s="20">
        <v>205460</v>
      </c>
      <c r="E33" s="20"/>
      <c r="F33" s="18"/>
      <c r="G33" s="19"/>
      <c r="H33" s="20"/>
      <c r="I33" s="20"/>
      <c r="J33" s="20"/>
    </row>
    <row r="34" spans="1:10" x14ac:dyDescent="0.2">
      <c r="A34">
        <v>2021</v>
      </c>
      <c r="B34" s="18" t="s">
        <v>194</v>
      </c>
      <c r="C34" s="19">
        <v>4.8883622000000003E-3</v>
      </c>
      <c r="D34" s="20">
        <v>480351</v>
      </c>
      <c r="E34" s="20"/>
      <c r="F34" s="18"/>
      <c r="G34" s="19"/>
      <c r="H34" s="20"/>
      <c r="I34" s="20"/>
      <c r="J34" s="20"/>
    </row>
    <row r="35" spans="1:10" x14ac:dyDescent="0.2">
      <c r="A35">
        <v>2021</v>
      </c>
      <c r="B35" s="18" t="s">
        <v>82</v>
      </c>
      <c r="C35" s="19">
        <v>7.8399369999999999E-4</v>
      </c>
      <c r="D35" s="20">
        <v>77039</v>
      </c>
      <c r="E35" s="20"/>
      <c r="F35" s="18"/>
      <c r="G35" s="19"/>
      <c r="H35" s="20"/>
      <c r="I35" s="20"/>
      <c r="J35" s="20"/>
    </row>
    <row r="36" spans="1:10" x14ac:dyDescent="0.2">
      <c r="A36">
        <v>2021</v>
      </c>
      <c r="B36" s="18" t="s">
        <v>83</v>
      </c>
      <c r="C36" s="19">
        <v>3.5292700000000002E-5</v>
      </c>
      <c r="D36" s="20">
        <v>3468</v>
      </c>
      <c r="E36" s="20"/>
      <c r="F36" s="18"/>
      <c r="G36" s="19"/>
      <c r="H36" s="20"/>
      <c r="I36" s="20"/>
      <c r="J36" s="20"/>
    </row>
    <row r="37" spans="1:10" x14ac:dyDescent="0.2">
      <c r="A37">
        <v>2021</v>
      </c>
      <c r="B37" s="18" t="s">
        <v>84</v>
      </c>
      <c r="C37" s="19">
        <v>1.7957559999999999E-3</v>
      </c>
      <c r="D37" s="20">
        <v>176459</v>
      </c>
      <c r="E37" s="20"/>
      <c r="F37" s="18"/>
      <c r="G37" s="19"/>
      <c r="H37" s="20"/>
      <c r="I37" s="20"/>
      <c r="J37" s="20"/>
    </row>
    <row r="38" spans="1:10" x14ac:dyDescent="0.2">
      <c r="A38">
        <v>2021</v>
      </c>
      <c r="B38" s="18" t="s">
        <v>196</v>
      </c>
      <c r="C38" s="19">
        <v>8.6849759999999996E-4</v>
      </c>
      <c r="D38" s="20">
        <v>85342</v>
      </c>
      <c r="E38" s="20"/>
      <c r="F38" s="18"/>
      <c r="G38" s="19"/>
      <c r="H38" s="20"/>
      <c r="I38" s="20"/>
      <c r="J38" s="20"/>
    </row>
    <row r="39" spans="1:10" x14ac:dyDescent="0.2">
      <c r="A39">
        <v>2021</v>
      </c>
      <c r="B39" s="18" t="s">
        <v>85</v>
      </c>
      <c r="C39" s="19">
        <v>2.5734306E-3</v>
      </c>
      <c r="D39" s="20">
        <v>252876</v>
      </c>
      <c r="E39" s="20"/>
      <c r="F39" s="18"/>
      <c r="G39" s="19"/>
      <c r="H39" s="20"/>
      <c r="I39" s="20"/>
      <c r="J39" s="20"/>
    </row>
    <row r="40" spans="1:10" x14ac:dyDescent="0.2">
      <c r="A40">
        <v>2021</v>
      </c>
      <c r="B40" s="18" t="s">
        <v>86</v>
      </c>
      <c r="C40" s="19">
        <v>1.5574454999999999E-3</v>
      </c>
      <c r="D40" s="20">
        <v>153041</v>
      </c>
      <c r="E40" s="20"/>
      <c r="F40" s="18"/>
      <c r="G40" s="19"/>
      <c r="H40" s="20"/>
      <c r="I40" s="20"/>
      <c r="J40" s="20"/>
    </row>
    <row r="41" spans="1:10" x14ac:dyDescent="0.2">
      <c r="A41">
        <v>2021</v>
      </c>
      <c r="B41" s="18" t="s">
        <v>87</v>
      </c>
      <c r="C41" s="19">
        <v>2.3756903999999999E-3</v>
      </c>
      <c r="D41" s="20">
        <v>233445</v>
      </c>
      <c r="E41" s="20"/>
      <c r="F41" s="18"/>
      <c r="G41" s="19"/>
      <c r="H41" s="20"/>
      <c r="I41" s="20"/>
      <c r="J41" s="20"/>
    </row>
    <row r="42" spans="1:10" x14ac:dyDescent="0.2">
      <c r="A42">
        <v>2021</v>
      </c>
      <c r="B42" s="18" t="s">
        <v>195</v>
      </c>
      <c r="C42" s="19">
        <v>9.7907180000000003E-4</v>
      </c>
      <c r="D42" s="20">
        <v>96208</v>
      </c>
      <c r="E42" s="20"/>
      <c r="F42" s="18"/>
      <c r="G42" s="19"/>
      <c r="H42" s="20"/>
      <c r="I42" s="20"/>
      <c r="J42" s="20"/>
    </row>
    <row r="43" spans="1:10" x14ac:dyDescent="0.2">
      <c r="A43">
        <v>2021</v>
      </c>
      <c r="B43" s="18" t="s">
        <v>88</v>
      </c>
      <c r="C43" s="19">
        <v>2.8231025999999998E-3</v>
      </c>
      <c r="D43" s="20">
        <v>277410</v>
      </c>
      <c r="E43" s="20"/>
      <c r="F43" s="18"/>
      <c r="G43" s="19"/>
      <c r="H43" s="20"/>
      <c r="I43" s="20"/>
      <c r="J43" s="20"/>
    </row>
    <row r="44" spans="1:10" x14ac:dyDescent="0.2">
      <c r="A44">
        <v>2021</v>
      </c>
      <c r="B44" s="18" t="s">
        <v>89</v>
      </c>
      <c r="C44" s="19">
        <v>1.0527434E-3</v>
      </c>
      <c r="D44" s="20">
        <v>103447</v>
      </c>
      <c r="E44" s="20"/>
      <c r="F44" s="18"/>
      <c r="G44" s="19"/>
      <c r="H44" s="20"/>
      <c r="I44" s="20"/>
      <c r="J44" s="20"/>
    </row>
    <row r="45" spans="1:10" x14ac:dyDescent="0.2">
      <c r="A45">
        <v>2021</v>
      </c>
      <c r="B45" s="18" t="s">
        <v>90</v>
      </c>
      <c r="C45" s="19">
        <v>0.101873992</v>
      </c>
      <c r="D45" s="20">
        <v>10010567</v>
      </c>
      <c r="E45" s="20"/>
      <c r="F45" s="18"/>
      <c r="G45" s="19"/>
      <c r="H45" s="20"/>
      <c r="I45" s="20"/>
      <c r="J45" s="20"/>
    </row>
    <row r="46" spans="1:10" x14ac:dyDescent="0.2">
      <c r="A46">
        <v>2021</v>
      </c>
      <c r="B46" s="18" t="s">
        <v>218</v>
      </c>
      <c r="C46" s="19">
        <v>1.5167475000000001E-3</v>
      </c>
      <c r="D46" s="20">
        <v>149042</v>
      </c>
      <c r="E46" s="20"/>
      <c r="F46" s="18"/>
      <c r="G46" s="19"/>
      <c r="H46" s="20"/>
      <c r="I46" s="20"/>
      <c r="J46" s="20"/>
    </row>
    <row r="47" spans="1:10" x14ac:dyDescent="0.2">
      <c r="A47">
        <v>2021</v>
      </c>
      <c r="B47" s="18" t="s">
        <v>91</v>
      </c>
      <c r="C47" s="19">
        <v>1.5136539000000001E-3</v>
      </c>
      <c r="D47" s="20">
        <v>148738</v>
      </c>
      <c r="E47" s="20"/>
      <c r="F47" s="18"/>
      <c r="G47" s="19"/>
      <c r="H47" s="20"/>
      <c r="I47" s="20"/>
      <c r="J47" s="20"/>
    </row>
    <row r="48" spans="1:10" x14ac:dyDescent="0.2">
      <c r="A48">
        <v>2021</v>
      </c>
      <c r="B48" s="18" t="s">
        <v>92</v>
      </c>
      <c r="C48" s="19">
        <v>1.8637055E-3</v>
      </c>
      <c r="D48" s="20">
        <v>183136</v>
      </c>
      <c r="E48" s="20"/>
      <c r="F48" s="18"/>
      <c r="G48" s="19"/>
      <c r="H48" s="20"/>
      <c r="I48" s="20"/>
      <c r="J48" s="20"/>
    </row>
    <row r="49" spans="1:10" x14ac:dyDescent="0.2">
      <c r="A49">
        <v>2021</v>
      </c>
      <c r="B49" s="18" t="s">
        <v>93</v>
      </c>
      <c r="C49" s="19">
        <v>8.0450919999999998E-4</v>
      </c>
      <c r="D49" s="20">
        <v>79054</v>
      </c>
      <c r="E49" s="20"/>
      <c r="F49" s="18"/>
      <c r="G49" s="19"/>
      <c r="H49" s="20"/>
      <c r="I49" s="20"/>
      <c r="J49" s="20"/>
    </row>
    <row r="50" spans="1:10" x14ac:dyDescent="0.2">
      <c r="A50">
        <v>2021</v>
      </c>
      <c r="B50" s="18" t="s">
        <v>197</v>
      </c>
      <c r="C50" s="19">
        <v>2.2373679999999999E-4</v>
      </c>
      <c r="D50" s="20">
        <v>21985</v>
      </c>
      <c r="E50" s="20"/>
      <c r="F50" s="18"/>
      <c r="G50" s="19"/>
      <c r="H50" s="20"/>
      <c r="I50" s="20"/>
      <c r="J50" s="20"/>
    </row>
    <row r="51" spans="1:10" x14ac:dyDescent="0.2">
      <c r="A51">
        <v>2021</v>
      </c>
      <c r="B51" s="18" t="s">
        <v>94</v>
      </c>
      <c r="C51" s="19">
        <v>2.3793068000000001E-3</v>
      </c>
      <c r="D51" s="20">
        <v>233801</v>
      </c>
      <c r="E51" s="20"/>
      <c r="F51" s="18"/>
      <c r="G51" s="19"/>
      <c r="H51" s="20"/>
      <c r="I51" s="20"/>
      <c r="J51" s="20"/>
    </row>
    <row r="52" spans="1:10" x14ac:dyDescent="0.2">
      <c r="A52">
        <v>2021</v>
      </c>
      <c r="B52" s="18" t="s">
        <v>95</v>
      </c>
      <c r="C52" s="19">
        <v>1.3627426999999999E-3</v>
      </c>
      <c r="D52" s="20">
        <v>133909</v>
      </c>
      <c r="E52" s="20"/>
      <c r="F52" s="18"/>
      <c r="G52" s="19"/>
      <c r="H52" s="20"/>
      <c r="I52" s="20"/>
      <c r="J52" s="20"/>
    </row>
    <row r="53" spans="1:10" x14ac:dyDescent="0.2">
      <c r="A53">
        <v>2021</v>
      </c>
      <c r="B53" s="18" t="s">
        <v>96</v>
      </c>
      <c r="C53" s="19">
        <v>1.1491561E-3</v>
      </c>
      <c r="D53" s="20">
        <v>112921</v>
      </c>
      <c r="E53" s="20"/>
      <c r="F53" s="18"/>
      <c r="G53" s="19"/>
      <c r="H53" s="20"/>
      <c r="I53" s="20"/>
      <c r="J53" s="20"/>
    </row>
    <row r="54" spans="1:10" x14ac:dyDescent="0.2">
      <c r="A54">
        <v>2021</v>
      </c>
      <c r="B54" s="18" t="s">
        <v>198</v>
      </c>
      <c r="C54" s="19">
        <v>3.3045686000000001E-3</v>
      </c>
      <c r="D54" s="20">
        <v>324721</v>
      </c>
      <c r="E54" s="20"/>
      <c r="F54" s="18"/>
      <c r="G54" s="19"/>
      <c r="H54" s="20"/>
      <c r="I54" s="20"/>
      <c r="J54" s="20"/>
    </row>
    <row r="55" spans="1:10" x14ac:dyDescent="0.2">
      <c r="A55">
        <v>2021</v>
      </c>
      <c r="B55" s="18" t="s">
        <v>97</v>
      </c>
      <c r="C55" s="19">
        <v>1.5849935E-3</v>
      </c>
      <c r="D55" s="20">
        <v>155748</v>
      </c>
      <c r="E55" s="20"/>
      <c r="F55" s="18"/>
      <c r="G55" s="19"/>
      <c r="H55" s="20"/>
      <c r="I55" s="20"/>
      <c r="J55" s="20"/>
    </row>
    <row r="56" spans="1:10" x14ac:dyDescent="0.2">
      <c r="A56">
        <v>2021</v>
      </c>
      <c r="B56" s="18" t="s">
        <v>98</v>
      </c>
      <c r="C56" s="19">
        <v>2.5240442000000001E-3</v>
      </c>
      <c r="D56" s="20">
        <v>248023</v>
      </c>
      <c r="E56" s="20"/>
      <c r="F56" s="18"/>
      <c r="G56" s="19"/>
      <c r="H56" s="20"/>
      <c r="I56" s="20"/>
      <c r="J56" s="20"/>
    </row>
    <row r="57" spans="1:10" x14ac:dyDescent="0.2">
      <c r="A57">
        <v>2021</v>
      </c>
      <c r="B57" s="18" t="s">
        <v>99</v>
      </c>
      <c r="C57" s="19">
        <v>2.3557480000000001E-4</v>
      </c>
      <c r="D57" s="20">
        <v>23149</v>
      </c>
      <c r="E57" s="20"/>
      <c r="F57" s="18"/>
      <c r="G57" s="19"/>
      <c r="H57" s="20"/>
      <c r="I57" s="20"/>
      <c r="J57" s="20"/>
    </row>
    <row r="58" spans="1:10" x14ac:dyDescent="0.2">
      <c r="A58">
        <v>2021</v>
      </c>
      <c r="B58" s="18" t="s">
        <v>217</v>
      </c>
      <c r="C58" s="19">
        <v>6.0701365E-3</v>
      </c>
      <c r="D58" s="20">
        <v>596477</v>
      </c>
      <c r="E58" s="20"/>
      <c r="F58" s="18"/>
      <c r="G58" s="19"/>
      <c r="H58" s="20"/>
      <c r="I58" s="20"/>
      <c r="J58" s="20"/>
    </row>
    <row r="59" spans="1:10" x14ac:dyDescent="0.2">
      <c r="A59">
        <v>2021</v>
      </c>
      <c r="B59" s="18" t="s">
        <v>100</v>
      </c>
      <c r="C59" s="19">
        <v>6.64998599E-2</v>
      </c>
      <c r="D59" s="20">
        <v>6534556</v>
      </c>
      <c r="E59" s="20"/>
      <c r="F59" s="18"/>
      <c r="G59" s="19"/>
      <c r="H59" s="20"/>
      <c r="I59" s="20"/>
      <c r="J59" s="20"/>
    </row>
    <row r="60" spans="1:10" x14ac:dyDescent="0.2">
      <c r="A60">
        <v>2021</v>
      </c>
      <c r="B60" s="18" t="s">
        <v>101</v>
      </c>
      <c r="C60" s="19">
        <v>1.777405E-4</v>
      </c>
      <c r="D60" s="20">
        <v>17466</v>
      </c>
      <c r="E60" s="20"/>
      <c r="F60" s="18"/>
      <c r="G60" s="19"/>
      <c r="H60" s="20"/>
      <c r="I60" s="20"/>
      <c r="J60" s="18"/>
    </row>
    <row r="61" spans="1:10" x14ac:dyDescent="0.2">
      <c r="A61">
        <v>2021</v>
      </c>
      <c r="B61" s="18" t="s">
        <v>102</v>
      </c>
      <c r="C61" s="19">
        <v>1.7069660999999999E-3</v>
      </c>
      <c r="D61" s="20">
        <v>167734</v>
      </c>
      <c r="E61" s="20"/>
      <c r="F61" s="18"/>
      <c r="G61" s="19"/>
      <c r="H61" s="20"/>
      <c r="I61" s="20"/>
      <c r="J61" s="20"/>
    </row>
    <row r="62" spans="1:10" x14ac:dyDescent="0.2">
      <c r="A62">
        <v>2021</v>
      </c>
      <c r="B62" s="18" t="s">
        <v>199</v>
      </c>
      <c r="C62" s="19">
        <v>2.1533822999999998E-3</v>
      </c>
      <c r="D62" s="20">
        <v>211600</v>
      </c>
      <c r="E62" s="20"/>
      <c r="F62" s="18"/>
      <c r="G62" s="19"/>
      <c r="H62" s="20"/>
      <c r="I62" s="20"/>
      <c r="J62" s="20"/>
    </row>
    <row r="63" spans="1:10" x14ac:dyDescent="0.2">
      <c r="A63">
        <v>2021</v>
      </c>
      <c r="B63" s="18" t="s">
        <v>103</v>
      </c>
      <c r="C63" s="19">
        <v>2.6056863E-3</v>
      </c>
      <c r="D63" s="20">
        <v>256046</v>
      </c>
      <c r="E63" s="20"/>
      <c r="F63" s="18"/>
      <c r="G63" s="19"/>
      <c r="H63" s="20"/>
      <c r="I63" s="20"/>
      <c r="J63" s="20"/>
    </row>
    <row r="64" spans="1:10" x14ac:dyDescent="0.2">
      <c r="A64">
        <v>2021</v>
      </c>
      <c r="B64" s="18" t="s">
        <v>104</v>
      </c>
      <c r="C64" s="19">
        <v>4.0387099999999998E-4</v>
      </c>
      <c r="D64" s="20">
        <v>39686</v>
      </c>
      <c r="E64" s="20"/>
      <c r="F64" s="18"/>
      <c r="G64" s="19"/>
      <c r="H64" s="20"/>
      <c r="I64" s="20"/>
      <c r="J64" s="20"/>
    </row>
    <row r="65" spans="1:10" x14ac:dyDescent="0.2">
      <c r="A65">
        <v>2021</v>
      </c>
      <c r="B65" s="18" t="s">
        <v>105</v>
      </c>
      <c r="C65" s="19">
        <v>2.1184118E-3</v>
      </c>
      <c r="D65" s="20">
        <v>208164</v>
      </c>
      <c r="E65" s="20"/>
      <c r="F65" s="18"/>
      <c r="G65" s="19"/>
      <c r="H65" s="20"/>
      <c r="I65" s="20"/>
      <c r="J65" s="20"/>
    </row>
    <row r="66" spans="1:10" x14ac:dyDescent="0.2">
      <c r="A66">
        <v>2021</v>
      </c>
      <c r="B66" s="18" t="s">
        <v>202</v>
      </c>
      <c r="C66" s="19">
        <v>3.0690306000000001E-3</v>
      </c>
      <c r="D66" s="20">
        <v>301576</v>
      </c>
      <c r="E66" s="20"/>
      <c r="F66" s="18"/>
      <c r="G66" s="19"/>
      <c r="H66" s="20"/>
      <c r="I66" s="20"/>
      <c r="J66" s="20"/>
    </row>
    <row r="67" spans="1:10" x14ac:dyDescent="0.2">
      <c r="A67">
        <v>2021</v>
      </c>
      <c r="B67" s="18" t="s">
        <v>106</v>
      </c>
      <c r="C67" s="19">
        <v>1.7172208E-3</v>
      </c>
      <c r="D67" s="20">
        <v>168741</v>
      </c>
      <c r="E67" s="20"/>
      <c r="F67" s="18"/>
      <c r="G67" s="19"/>
      <c r="H67" s="20"/>
      <c r="I67" s="20"/>
      <c r="J67" s="20"/>
    </row>
    <row r="68" spans="1:10" x14ac:dyDescent="0.2">
      <c r="A68">
        <v>2021</v>
      </c>
      <c r="B68" s="18" t="s">
        <v>107</v>
      </c>
      <c r="C68" s="19">
        <v>1.1975899000000001E-3</v>
      </c>
      <c r="D68" s="20">
        <v>117680</v>
      </c>
      <c r="E68" s="20"/>
      <c r="F68" s="18"/>
      <c r="G68" s="19"/>
      <c r="H68" s="20"/>
      <c r="I68" s="20"/>
      <c r="J68" s="20"/>
    </row>
    <row r="69" spans="1:10" x14ac:dyDescent="0.2">
      <c r="A69">
        <v>2021</v>
      </c>
      <c r="B69" s="18" t="s">
        <v>108</v>
      </c>
      <c r="C69" s="19">
        <v>3.9145943000000001E-3</v>
      </c>
      <c r="D69" s="20">
        <v>384664</v>
      </c>
      <c r="E69" s="20"/>
      <c r="F69" s="18"/>
      <c r="G69" s="19"/>
      <c r="H69" s="20"/>
      <c r="I69" s="20"/>
      <c r="J69" s="20"/>
    </row>
    <row r="70" spans="1:10" x14ac:dyDescent="0.2">
      <c r="A70">
        <v>2021</v>
      </c>
      <c r="B70" s="18" t="s">
        <v>200</v>
      </c>
      <c r="C70" s="19">
        <v>1.5691709E-3</v>
      </c>
      <c r="D70" s="20">
        <v>154193</v>
      </c>
      <c r="E70" s="20"/>
      <c r="F70" s="18"/>
      <c r="G70" s="19"/>
      <c r="H70" s="20"/>
      <c r="I70" s="20"/>
      <c r="J70" s="20"/>
    </row>
    <row r="71" spans="1:10" x14ac:dyDescent="0.2">
      <c r="A71">
        <v>2021</v>
      </c>
      <c r="B71" s="18" t="s">
        <v>0</v>
      </c>
      <c r="C71" s="19">
        <v>1.9410186000000001E-3</v>
      </c>
      <c r="D71" s="20">
        <v>190733</v>
      </c>
      <c r="E71" s="20"/>
      <c r="F71" s="18"/>
      <c r="G71" s="19"/>
      <c r="H71" s="20"/>
      <c r="I71" s="20"/>
      <c r="J71" s="20"/>
    </row>
    <row r="72" spans="1:10" x14ac:dyDescent="0.2">
      <c r="A72">
        <v>2021</v>
      </c>
      <c r="B72" s="18" t="s">
        <v>2</v>
      </c>
      <c r="C72" s="19">
        <v>3.722309E-3</v>
      </c>
      <c r="D72" s="20">
        <v>365770</v>
      </c>
      <c r="E72" s="20"/>
      <c r="F72" s="18"/>
      <c r="G72" s="19"/>
      <c r="H72" s="20"/>
      <c r="I72" s="20"/>
      <c r="J72" s="20"/>
    </row>
    <row r="73" spans="1:10" x14ac:dyDescent="0.2">
      <c r="A73">
        <v>2021</v>
      </c>
      <c r="B73" s="18" t="s">
        <v>240</v>
      </c>
      <c r="C73" s="19">
        <v>2.2354241000000002E-3</v>
      </c>
      <c r="D73" s="20">
        <v>219662</v>
      </c>
      <c r="E73" s="20"/>
      <c r="F73" s="18"/>
      <c r="G73" s="19"/>
      <c r="H73" s="20"/>
      <c r="I73" s="20"/>
      <c r="J73" s="20"/>
    </row>
    <row r="74" spans="1:10" x14ac:dyDescent="0.2">
      <c r="A74">
        <v>2021</v>
      </c>
      <c r="B74" s="18" t="s">
        <v>4</v>
      </c>
      <c r="C74" s="19">
        <v>5.9945499999999997E-5</v>
      </c>
      <c r="D74" s="20">
        <v>5890</v>
      </c>
      <c r="E74" s="20"/>
      <c r="F74" s="18"/>
      <c r="G74" s="19"/>
      <c r="H74" s="20"/>
      <c r="I74" s="18"/>
      <c r="J74" s="20"/>
    </row>
    <row r="75" spans="1:10" x14ac:dyDescent="0.2">
      <c r="A75">
        <v>2021</v>
      </c>
      <c r="B75" s="18" t="s">
        <v>5</v>
      </c>
      <c r="C75" s="19">
        <v>1.7999737000000001E-3</v>
      </c>
      <c r="D75" s="20">
        <v>176873</v>
      </c>
      <c r="E75" s="20"/>
      <c r="F75" s="18"/>
      <c r="G75" s="19"/>
      <c r="H75" s="20"/>
      <c r="I75" s="20"/>
      <c r="J75" s="20"/>
    </row>
    <row r="76" spans="1:10" x14ac:dyDescent="0.2">
      <c r="A76">
        <v>2021</v>
      </c>
      <c r="B76" s="18" t="s">
        <v>6</v>
      </c>
      <c r="C76" s="19">
        <v>1.8427569500000001E-2</v>
      </c>
      <c r="D76" s="20">
        <v>1810770</v>
      </c>
      <c r="E76" s="20"/>
      <c r="F76" s="18"/>
      <c r="G76" s="19"/>
      <c r="H76" s="20"/>
      <c r="I76" s="20"/>
      <c r="J76" s="20"/>
    </row>
    <row r="77" spans="1:10" x14ac:dyDescent="0.2">
      <c r="A77">
        <v>2021</v>
      </c>
      <c r="B77" s="18" t="s">
        <v>7</v>
      </c>
      <c r="C77" s="19">
        <v>2.6080665000000002E-3</v>
      </c>
      <c r="D77" s="20">
        <v>256280</v>
      </c>
      <c r="E77" s="20"/>
      <c r="F77" s="18"/>
      <c r="G77" s="19"/>
      <c r="H77" s="20"/>
      <c r="I77" s="20"/>
      <c r="J77" s="20"/>
    </row>
    <row r="78" spans="1:10" x14ac:dyDescent="0.2">
      <c r="A78">
        <v>2021</v>
      </c>
      <c r="B78" s="18" t="s">
        <v>226</v>
      </c>
      <c r="C78" s="19">
        <v>3.893956E-4</v>
      </c>
      <c r="D78" s="20">
        <v>38264</v>
      </c>
      <c r="E78" s="20"/>
      <c r="F78" s="18"/>
      <c r="G78" s="19"/>
      <c r="H78" s="20"/>
      <c r="I78" s="20"/>
      <c r="J78" s="20"/>
    </row>
    <row r="79" spans="1:10" x14ac:dyDescent="0.2">
      <c r="A79">
        <v>2021</v>
      </c>
      <c r="B79" s="18" t="s">
        <v>8</v>
      </c>
      <c r="C79" s="19">
        <v>2.7626408000000001E-3</v>
      </c>
      <c r="D79" s="20">
        <v>271469</v>
      </c>
      <c r="E79" s="20"/>
      <c r="F79" s="18"/>
      <c r="G79" s="19"/>
      <c r="H79" s="20"/>
      <c r="I79" s="20"/>
      <c r="J79" s="20"/>
    </row>
    <row r="80" spans="1:10" x14ac:dyDescent="0.2">
      <c r="A80">
        <v>2021</v>
      </c>
      <c r="B80" s="18" t="s">
        <v>9</v>
      </c>
      <c r="C80" s="19">
        <v>5.2440276000000003E-3</v>
      </c>
      <c r="D80" s="20">
        <v>515300</v>
      </c>
      <c r="E80" s="20"/>
      <c r="F80" s="18"/>
      <c r="G80" s="19"/>
      <c r="H80" s="20"/>
      <c r="I80" s="20"/>
      <c r="J80" s="20"/>
    </row>
    <row r="81" spans="1:10" x14ac:dyDescent="0.2">
      <c r="A81">
        <v>2021</v>
      </c>
      <c r="B81" s="18" t="s">
        <v>10</v>
      </c>
      <c r="C81" s="19">
        <v>5.4275354E-3</v>
      </c>
      <c r="D81" s="20">
        <v>533332</v>
      </c>
      <c r="E81" s="20"/>
      <c r="F81" s="18"/>
      <c r="G81" s="19"/>
      <c r="H81" s="20"/>
      <c r="I81" s="20"/>
      <c r="J81" s="20"/>
    </row>
    <row r="82" spans="1:10" x14ac:dyDescent="0.2">
      <c r="A82">
        <v>2021</v>
      </c>
      <c r="B82" s="18" t="s">
        <v>225</v>
      </c>
      <c r="C82" s="19">
        <v>1.4214039E-3</v>
      </c>
      <c r="D82" s="20">
        <v>139673</v>
      </c>
      <c r="E82" s="20"/>
      <c r="F82" s="18"/>
      <c r="G82" s="19"/>
      <c r="H82" s="20"/>
      <c r="I82" s="20"/>
      <c r="J82" s="20"/>
    </row>
    <row r="83" spans="1:10" x14ac:dyDescent="0.2">
      <c r="A83">
        <v>2021</v>
      </c>
      <c r="B83" s="18" t="s">
        <v>11</v>
      </c>
      <c r="C83" s="19">
        <v>2.7163552999999998E-3</v>
      </c>
      <c r="D83" s="20">
        <v>266920</v>
      </c>
      <c r="E83" s="20"/>
      <c r="F83" s="18"/>
      <c r="G83" s="19"/>
      <c r="H83" s="20"/>
      <c r="I83" s="20"/>
      <c r="J83" s="20"/>
    </row>
    <row r="84" spans="1:10" x14ac:dyDescent="0.2">
      <c r="A84">
        <v>2021</v>
      </c>
      <c r="B84" s="18" t="s">
        <v>12</v>
      </c>
      <c r="C84" s="19">
        <v>1.5414821999999999E-3</v>
      </c>
      <c r="D84" s="20">
        <v>151473</v>
      </c>
      <c r="E84" s="20"/>
      <c r="F84" s="18"/>
      <c r="G84" s="19"/>
      <c r="H84" s="20"/>
      <c r="I84" s="20"/>
      <c r="J84" s="20"/>
    </row>
    <row r="85" spans="1:10" x14ac:dyDescent="0.2">
      <c r="A85">
        <v>2021</v>
      </c>
      <c r="B85" s="18" t="s">
        <v>13</v>
      </c>
      <c r="C85" s="19">
        <v>2.0429853999999999E-3</v>
      </c>
      <c r="D85" s="20">
        <v>200752</v>
      </c>
      <c r="E85" s="20"/>
      <c r="F85" s="18"/>
      <c r="G85" s="19"/>
      <c r="H85" s="20"/>
      <c r="I85" s="20"/>
      <c r="J85" s="20"/>
    </row>
    <row r="86" spans="1:10" x14ac:dyDescent="0.2">
      <c r="A86">
        <v>2021</v>
      </c>
      <c r="B86" s="18" t="s">
        <v>183</v>
      </c>
      <c r="C86" s="19">
        <v>3.3728349000000002E-3</v>
      </c>
      <c r="D86" s="20">
        <v>331429</v>
      </c>
      <c r="E86" s="20"/>
      <c r="F86" s="18"/>
      <c r="G86" s="19"/>
      <c r="H86" s="20"/>
      <c r="I86" s="20"/>
      <c r="J86" s="20"/>
    </row>
    <row r="87" spans="1:10" x14ac:dyDescent="0.2">
      <c r="A87">
        <v>2021</v>
      </c>
      <c r="B87" s="18" t="s">
        <v>14</v>
      </c>
      <c r="C87" s="19">
        <v>2.8943455000000002E-3</v>
      </c>
      <c r="D87" s="20">
        <v>284411</v>
      </c>
      <c r="E87" s="20"/>
      <c r="F87" s="18"/>
      <c r="G87" s="19"/>
      <c r="H87" s="20"/>
      <c r="I87" s="20"/>
      <c r="J87" s="20"/>
    </row>
    <row r="88" spans="1:10" x14ac:dyDescent="0.2">
      <c r="A88">
        <v>2021</v>
      </c>
      <c r="B88" s="18" t="s">
        <v>15</v>
      </c>
      <c r="C88" s="19">
        <v>1.3691420000000001E-3</v>
      </c>
      <c r="D88" s="20">
        <v>134538</v>
      </c>
      <c r="E88" s="20"/>
      <c r="F88" s="18"/>
      <c r="G88" s="19"/>
      <c r="H88" s="20"/>
      <c r="I88" s="20"/>
      <c r="J88" s="20"/>
    </row>
    <row r="89" spans="1:10" x14ac:dyDescent="0.2">
      <c r="A89">
        <v>2021</v>
      </c>
      <c r="B89" s="18" t="s">
        <v>16</v>
      </c>
      <c r="C89" s="19">
        <v>3.4613549000000001E-3</v>
      </c>
      <c r="D89" s="20">
        <v>340127</v>
      </c>
      <c r="E89" s="20"/>
      <c r="F89" s="18"/>
      <c r="G89" s="19"/>
      <c r="H89" s="20"/>
      <c r="I89" s="20"/>
      <c r="J89" s="20"/>
    </row>
    <row r="90" spans="1:10" x14ac:dyDescent="0.2">
      <c r="A90">
        <v>2021</v>
      </c>
      <c r="B90" s="18" t="s">
        <v>224</v>
      </c>
      <c r="C90" s="19">
        <v>1.5372195E-3</v>
      </c>
      <c r="D90" s="20">
        <v>151054</v>
      </c>
      <c r="E90" s="20"/>
      <c r="F90" s="18"/>
      <c r="G90" s="19"/>
      <c r="H90" s="20"/>
      <c r="I90" s="20"/>
      <c r="J90" s="20"/>
    </row>
    <row r="91" spans="1:10" x14ac:dyDescent="0.2">
      <c r="A91">
        <v>2021</v>
      </c>
      <c r="B91" s="18" t="s">
        <v>17</v>
      </c>
      <c r="C91" s="19">
        <v>2.1641281E-3</v>
      </c>
      <c r="D91" s="20">
        <v>212656</v>
      </c>
      <c r="E91" s="20"/>
      <c r="F91" s="18"/>
      <c r="G91" s="19"/>
      <c r="H91" s="20"/>
      <c r="I91" s="20"/>
      <c r="J91" s="20"/>
    </row>
    <row r="92" spans="1:10" x14ac:dyDescent="0.2">
      <c r="A92">
        <v>2021</v>
      </c>
      <c r="B92" s="18" t="s">
        <v>18</v>
      </c>
      <c r="C92" s="19">
        <v>5.0900440999999998E-3</v>
      </c>
      <c r="D92" s="20">
        <v>500169</v>
      </c>
      <c r="E92" s="20"/>
      <c r="F92" s="18"/>
      <c r="G92" s="19"/>
      <c r="H92" s="20"/>
      <c r="I92" s="20"/>
      <c r="J92" s="20"/>
    </row>
    <row r="93" spans="1:10" x14ac:dyDescent="0.2">
      <c r="A93">
        <v>2021</v>
      </c>
      <c r="B93" s="18" t="s">
        <v>19</v>
      </c>
      <c r="C93" s="19">
        <v>1.1643783000000001E-3</v>
      </c>
      <c r="D93" s="20">
        <v>114417</v>
      </c>
      <c r="E93" s="20"/>
      <c r="F93" s="18"/>
      <c r="G93" s="19"/>
      <c r="H93" s="20"/>
      <c r="I93" s="20"/>
      <c r="J93" s="20"/>
    </row>
    <row r="94" spans="1:10" x14ac:dyDescent="0.2">
      <c r="A94">
        <v>2021</v>
      </c>
      <c r="B94" s="18" t="s">
        <v>223</v>
      </c>
      <c r="C94" s="19">
        <v>2.302545E-4</v>
      </c>
      <c r="D94" s="20">
        <v>22626</v>
      </c>
      <c r="E94" s="20"/>
      <c r="F94" s="18"/>
      <c r="G94" s="19"/>
      <c r="H94" s="20"/>
      <c r="I94" s="20"/>
      <c r="J94" s="20"/>
    </row>
    <row r="95" spans="1:10" x14ac:dyDescent="0.2">
      <c r="A95">
        <v>2021</v>
      </c>
      <c r="B95" s="18" t="s">
        <v>20</v>
      </c>
      <c r="C95" s="19">
        <v>0</v>
      </c>
      <c r="D95" s="18"/>
      <c r="E95" s="18"/>
      <c r="F95" s="18"/>
      <c r="G95" s="19"/>
      <c r="H95" s="18"/>
      <c r="I95" s="20"/>
      <c r="J95" s="20"/>
    </row>
    <row r="96" spans="1:10" x14ac:dyDescent="0.2">
      <c r="A96">
        <v>2021</v>
      </c>
      <c r="B96" s="18" t="s">
        <v>21</v>
      </c>
      <c r="C96" s="19">
        <v>3.7782659999999999E-4</v>
      </c>
      <c r="D96" s="20">
        <v>37127</v>
      </c>
      <c r="E96" s="20"/>
      <c r="F96" s="18"/>
      <c r="G96" s="19"/>
      <c r="H96" s="20"/>
      <c r="I96" s="20"/>
      <c r="J96" s="20"/>
    </row>
    <row r="97" spans="1:10" x14ac:dyDescent="0.2">
      <c r="A97">
        <v>2021</v>
      </c>
      <c r="B97" s="18" t="s">
        <v>22</v>
      </c>
      <c r="C97" s="19">
        <v>1.7603709999999999E-4</v>
      </c>
      <c r="D97" s="20">
        <v>17298</v>
      </c>
      <c r="E97" s="20"/>
      <c r="F97" s="18"/>
      <c r="G97" s="19"/>
      <c r="H97" s="20"/>
      <c r="I97" s="20"/>
      <c r="J97" s="20"/>
    </row>
    <row r="98" spans="1:10" x14ac:dyDescent="0.2">
      <c r="A98">
        <v>2021</v>
      </c>
      <c r="B98" s="18" t="s">
        <v>222</v>
      </c>
      <c r="C98" s="19">
        <v>1.1605433999999999E-3</v>
      </c>
      <c r="D98" s="20">
        <v>114040</v>
      </c>
      <c r="E98" s="20"/>
      <c r="F98" s="18"/>
      <c r="G98" s="19"/>
      <c r="H98" s="20"/>
      <c r="I98" s="20"/>
      <c r="J98" s="20"/>
    </row>
    <row r="99" spans="1:10" x14ac:dyDescent="0.2">
      <c r="A99">
        <v>2021</v>
      </c>
      <c r="B99" s="18" t="s">
        <v>23</v>
      </c>
      <c r="C99" s="19">
        <v>3.0244572399999999E-2</v>
      </c>
      <c r="D99" s="20">
        <v>2971959</v>
      </c>
      <c r="E99" s="20"/>
      <c r="F99" s="18"/>
      <c r="G99" s="19"/>
      <c r="H99" s="20"/>
      <c r="I99" s="20"/>
      <c r="J99" s="20"/>
    </row>
    <row r="100" spans="1:10" x14ac:dyDescent="0.2">
      <c r="A100">
        <v>2021</v>
      </c>
      <c r="B100" s="18" t="s">
        <v>24</v>
      </c>
      <c r="C100" s="19">
        <v>2.2867741000000001E-3</v>
      </c>
      <c r="D100" s="20">
        <v>224708</v>
      </c>
      <c r="E100" s="20"/>
      <c r="F100" s="18"/>
      <c r="G100" s="19"/>
      <c r="H100" s="20"/>
      <c r="I100" s="20"/>
      <c r="J100" s="20"/>
    </row>
    <row r="101" spans="1:10" x14ac:dyDescent="0.2">
      <c r="A101">
        <v>2021</v>
      </c>
      <c r="B101" s="18" t="s">
        <v>25</v>
      </c>
      <c r="C101" s="19">
        <v>1.5584409999999999E-4</v>
      </c>
      <c r="D101" s="20">
        <v>15314</v>
      </c>
      <c r="E101" s="20"/>
      <c r="F101" s="18"/>
      <c r="G101" s="19"/>
      <c r="H101" s="20"/>
      <c r="I101" s="20"/>
      <c r="J101" s="20"/>
    </row>
    <row r="102" spans="1:10" x14ac:dyDescent="0.2">
      <c r="A102">
        <v>2021</v>
      </c>
      <c r="B102" s="18" t="s">
        <v>228</v>
      </c>
      <c r="C102" s="19">
        <v>1.3541982999999999E-3</v>
      </c>
      <c r="D102" s="20">
        <v>133069</v>
      </c>
      <c r="E102" s="20"/>
      <c r="F102" s="18"/>
      <c r="G102" s="19"/>
      <c r="H102" s="20"/>
      <c r="I102" s="20"/>
      <c r="J102" s="20"/>
    </row>
    <row r="103" spans="1:10" x14ac:dyDescent="0.2">
      <c r="A103">
        <v>2021</v>
      </c>
      <c r="B103" s="18" t="s">
        <v>26</v>
      </c>
      <c r="C103" s="19">
        <v>2.2770871000000002E-3</v>
      </c>
      <c r="D103" s="20">
        <v>223756</v>
      </c>
      <c r="E103" s="20"/>
      <c r="F103" s="18"/>
      <c r="G103" s="19"/>
      <c r="H103" s="20"/>
      <c r="I103" s="20"/>
      <c r="J103" s="20"/>
    </row>
    <row r="104" spans="1:10" x14ac:dyDescent="0.2">
      <c r="A104">
        <v>2021</v>
      </c>
      <c r="B104" s="18" t="s">
        <v>27</v>
      </c>
      <c r="C104" s="19">
        <v>1.4349148000000001E-3</v>
      </c>
      <c r="D104" s="20">
        <v>141001</v>
      </c>
      <c r="E104" s="20"/>
      <c r="F104" s="18"/>
      <c r="G104" s="19"/>
      <c r="H104" s="20"/>
      <c r="I104" s="20"/>
      <c r="J104" s="20"/>
    </row>
    <row r="105" spans="1:10" x14ac:dyDescent="0.2">
      <c r="A105">
        <v>2021</v>
      </c>
      <c r="B105" s="18" t="s">
        <v>28</v>
      </c>
      <c r="C105" s="19">
        <v>1.8079850000000001E-4</v>
      </c>
      <c r="D105" s="20">
        <v>17766</v>
      </c>
      <c r="E105" s="20"/>
      <c r="F105" s="18"/>
      <c r="G105" s="19"/>
      <c r="H105" s="20"/>
      <c r="I105" s="20"/>
      <c r="J105" s="20"/>
    </row>
    <row r="106" spans="1:10" x14ac:dyDescent="0.2">
      <c r="A106">
        <v>2021</v>
      </c>
      <c r="B106" s="18" t="s">
        <v>184</v>
      </c>
      <c r="C106" s="19">
        <v>1.6164631999999999E-3</v>
      </c>
      <c r="D106" s="20">
        <v>158840</v>
      </c>
      <c r="E106" s="20"/>
      <c r="F106" s="18"/>
      <c r="G106" s="19"/>
      <c r="H106" s="20"/>
      <c r="I106" s="20"/>
      <c r="J106" s="20"/>
    </row>
    <row r="107" spans="1:10" x14ac:dyDescent="0.2">
      <c r="A107">
        <v>2021</v>
      </c>
      <c r="B107" s="18" t="s">
        <v>29</v>
      </c>
      <c r="C107" s="19">
        <v>3.5358422E-3</v>
      </c>
      <c r="D107" s="20">
        <v>347447</v>
      </c>
      <c r="E107" s="20"/>
      <c r="F107" s="18"/>
      <c r="G107" s="19"/>
      <c r="H107" s="20"/>
      <c r="I107" s="20"/>
      <c r="J107" s="20"/>
    </row>
    <row r="108" spans="1:10" x14ac:dyDescent="0.2">
      <c r="A108">
        <v>2021</v>
      </c>
      <c r="B108" s="18" t="s">
        <v>30</v>
      </c>
      <c r="C108" s="19">
        <v>9.8531079999999993E-4</v>
      </c>
      <c r="D108" s="20">
        <v>96821</v>
      </c>
      <c r="E108" s="20"/>
      <c r="F108" s="18"/>
      <c r="G108" s="19"/>
      <c r="H108" s="20"/>
      <c r="I108" s="20"/>
      <c r="J108" s="20"/>
    </row>
    <row r="109" spans="1:10" x14ac:dyDescent="0.2">
      <c r="A109">
        <v>2021</v>
      </c>
      <c r="B109" s="18" t="s">
        <v>31</v>
      </c>
      <c r="C109" s="19">
        <v>6.3586199999999998E-5</v>
      </c>
      <c r="D109" s="20">
        <v>6248</v>
      </c>
      <c r="E109" s="20"/>
      <c r="F109" s="18"/>
      <c r="G109" s="19"/>
      <c r="H109" s="20"/>
      <c r="I109" s="20"/>
      <c r="J109" s="20"/>
    </row>
    <row r="110" spans="1:10" x14ac:dyDescent="0.2">
      <c r="A110">
        <v>2021</v>
      </c>
      <c r="B110" s="18" t="s">
        <v>221</v>
      </c>
      <c r="C110" s="19">
        <v>1.51857383E-2</v>
      </c>
      <c r="D110" s="20">
        <v>1492214</v>
      </c>
      <c r="E110" s="20"/>
      <c r="F110" s="18"/>
      <c r="G110" s="19"/>
      <c r="H110" s="20"/>
      <c r="I110" s="20"/>
      <c r="J110" s="20"/>
    </row>
    <row r="111" spans="1:10" x14ac:dyDescent="0.2">
      <c r="A111">
        <v>2021</v>
      </c>
      <c r="B111" s="18" t="s">
        <v>32</v>
      </c>
      <c r="C111" s="19">
        <v>1.4350373E-3</v>
      </c>
      <c r="D111" s="20">
        <v>141013</v>
      </c>
      <c r="E111" s="20"/>
      <c r="F111" s="18"/>
      <c r="G111" s="19"/>
      <c r="H111" s="20"/>
      <c r="I111" s="20"/>
      <c r="J111" s="20"/>
    </row>
    <row r="112" spans="1:10" x14ac:dyDescent="0.2">
      <c r="A112">
        <v>2021</v>
      </c>
      <c r="B112" s="18" t="s">
        <v>33</v>
      </c>
      <c r="C112" s="19">
        <v>3.3194000000000002E-4</v>
      </c>
      <c r="D112" s="20">
        <v>32618</v>
      </c>
      <c r="E112" s="20"/>
      <c r="F112" s="18"/>
      <c r="G112" s="19"/>
      <c r="H112" s="20"/>
      <c r="I112" s="20"/>
      <c r="J112" s="20"/>
    </row>
    <row r="113" spans="1:10" x14ac:dyDescent="0.2">
      <c r="A113">
        <v>2021</v>
      </c>
      <c r="B113" s="18" t="s">
        <v>34</v>
      </c>
      <c r="C113" s="19">
        <v>1.6680696999999999E-3</v>
      </c>
      <c r="D113" s="20">
        <v>163912</v>
      </c>
      <c r="E113" s="20"/>
      <c r="F113" s="18"/>
      <c r="G113" s="19"/>
      <c r="H113" s="20"/>
      <c r="I113" s="20"/>
      <c r="J113" s="20"/>
    </row>
    <row r="114" spans="1:10" x14ac:dyDescent="0.2">
      <c r="A114">
        <v>2021</v>
      </c>
      <c r="B114" s="18" t="s">
        <v>229</v>
      </c>
      <c r="C114" s="19">
        <v>1.7363866999999999E-3</v>
      </c>
      <c r="D114" s="20">
        <v>170625</v>
      </c>
      <c r="E114" s="20"/>
      <c r="F114" s="18"/>
      <c r="G114" s="19"/>
      <c r="H114" s="20"/>
      <c r="I114" s="20"/>
      <c r="J114" s="20"/>
    </row>
    <row r="115" spans="1:10" x14ac:dyDescent="0.2">
      <c r="A115">
        <v>2021</v>
      </c>
      <c r="B115" s="18" t="s">
        <v>35</v>
      </c>
      <c r="C115" s="19">
        <v>2.0724045000000001E-3</v>
      </c>
      <c r="D115" s="20">
        <v>203643</v>
      </c>
      <c r="E115" s="20"/>
      <c r="F115" s="18"/>
      <c r="G115" s="19"/>
      <c r="H115" s="20"/>
      <c r="I115" s="20"/>
      <c r="J115" s="20"/>
    </row>
    <row r="116" spans="1:10" x14ac:dyDescent="0.2">
      <c r="A116">
        <v>2021</v>
      </c>
      <c r="B116" s="18" t="s">
        <v>36</v>
      </c>
      <c r="C116" s="19">
        <v>2.7491709999999999E-3</v>
      </c>
      <c r="D116" s="20">
        <v>270145</v>
      </c>
      <c r="E116" s="20"/>
      <c r="F116" s="18"/>
      <c r="G116" s="19"/>
      <c r="H116" s="20"/>
      <c r="I116" s="18"/>
      <c r="J116" s="20"/>
    </row>
    <row r="117" spans="1:10" x14ac:dyDescent="0.2">
      <c r="A117">
        <v>2021</v>
      </c>
      <c r="B117" s="18" t="s">
        <v>37</v>
      </c>
      <c r="C117" s="19">
        <v>6.4508336599999994E-2</v>
      </c>
      <c r="D117" s="20">
        <v>6338860</v>
      </c>
      <c r="E117" s="20"/>
      <c r="F117" s="18"/>
      <c r="G117" s="19"/>
      <c r="H117" s="20"/>
      <c r="I117" s="20"/>
      <c r="J117" s="20"/>
    </row>
    <row r="118" spans="1:10" x14ac:dyDescent="0.2">
      <c r="A118">
        <v>2021</v>
      </c>
      <c r="B118" s="18" t="s">
        <v>219</v>
      </c>
      <c r="C118" s="19">
        <v>2.1039619E-3</v>
      </c>
      <c r="D118" s="20">
        <v>206744</v>
      </c>
      <c r="E118" s="20"/>
      <c r="F118" s="18"/>
      <c r="G118" s="19"/>
      <c r="H118" s="20"/>
      <c r="I118" s="20"/>
      <c r="J118" s="20"/>
    </row>
    <row r="119" spans="1:10" x14ac:dyDescent="0.2">
      <c r="A119">
        <v>2021</v>
      </c>
      <c r="B119" s="18" t="s">
        <v>38</v>
      </c>
      <c r="C119" s="19">
        <v>2.7542521E-3</v>
      </c>
      <c r="D119" s="20">
        <v>270644</v>
      </c>
      <c r="E119" s="20"/>
      <c r="F119" s="18"/>
      <c r="G119" s="19"/>
      <c r="H119" s="20"/>
      <c r="I119" s="20"/>
      <c r="J119" s="20"/>
    </row>
    <row r="120" spans="1:10" x14ac:dyDescent="0.2">
      <c r="A120">
        <v>2021</v>
      </c>
      <c r="B120" s="18" t="s">
        <v>39</v>
      </c>
      <c r="C120" s="19">
        <v>1.0792085000000001E-3</v>
      </c>
      <c r="D120" s="20">
        <v>106048</v>
      </c>
      <c r="E120" s="20"/>
      <c r="F120" s="18"/>
      <c r="G120" s="19"/>
      <c r="H120" s="20"/>
      <c r="I120" s="20"/>
      <c r="J120" s="20"/>
    </row>
    <row r="121" spans="1:10" x14ac:dyDescent="0.2">
      <c r="A121">
        <v>2021</v>
      </c>
      <c r="B121" s="18" t="s">
        <v>40</v>
      </c>
      <c r="C121" s="19">
        <v>0</v>
      </c>
      <c r="D121" s="18"/>
      <c r="E121" s="18"/>
      <c r="F121" s="18"/>
      <c r="G121" s="19"/>
      <c r="H121" s="18"/>
      <c r="I121" s="20"/>
      <c r="J121" s="20"/>
    </row>
    <row r="122" spans="1:10" x14ac:dyDescent="0.2">
      <c r="A122">
        <v>2021</v>
      </c>
      <c r="B122" s="18" t="s">
        <v>220</v>
      </c>
      <c r="C122" s="19">
        <v>1.9157491E-3</v>
      </c>
      <c r="D122" s="20">
        <v>188250</v>
      </c>
      <c r="E122" s="20"/>
      <c r="F122" s="18"/>
      <c r="G122" s="19"/>
      <c r="H122" s="20"/>
      <c r="I122" s="20"/>
      <c r="J122" s="20"/>
    </row>
    <row r="123" spans="1:10" x14ac:dyDescent="0.2">
      <c r="A123">
        <v>2021</v>
      </c>
      <c r="B123" s="18" t="s">
        <v>41</v>
      </c>
      <c r="C123" s="19">
        <v>2.6813811000000001E-3</v>
      </c>
      <c r="D123" s="20">
        <v>263484</v>
      </c>
      <c r="E123" s="20"/>
      <c r="F123" s="18"/>
      <c r="G123" s="19"/>
      <c r="H123" s="20"/>
      <c r="I123" s="20"/>
      <c r="J123" s="20"/>
    </row>
    <row r="124" spans="1:10" x14ac:dyDescent="0.2">
      <c r="A124">
        <v>2021</v>
      </c>
      <c r="B124" s="18" t="s">
        <v>42</v>
      </c>
      <c r="C124" s="19">
        <v>1.3934575E-3</v>
      </c>
      <c r="D124" s="20">
        <v>136927</v>
      </c>
      <c r="E124" s="20"/>
      <c r="F124" s="18"/>
      <c r="G124" s="19"/>
      <c r="H124" s="20"/>
      <c r="I124" s="20"/>
      <c r="J124" s="20"/>
    </row>
    <row r="125" spans="1:10" x14ac:dyDescent="0.2">
      <c r="A125">
        <v>2021</v>
      </c>
      <c r="B125" s="18" t="s">
        <v>43</v>
      </c>
      <c r="C125" s="19">
        <v>0</v>
      </c>
      <c r="D125" s="18"/>
      <c r="E125" s="18"/>
      <c r="F125" s="18"/>
      <c r="G125" s="19"/>
      <c r="H125" s="18"/>
      <c r="I125" s="20"/>
      <c r="J125" s="20"/>
    </row>
    <row r="126" spans="1:10" x14ac:dyDescent="0.2">
      <c r="A126">
        <v>2021</v>
      </c>
      <c r="B126" s="18" t="s">
        <v>185</v>
      </c>
      <c r="C126" s="19">
        <v>2.0986639000000001E-3</v>
      </c>
      <c r="D126" s="20">
        <v>206224</v>
      </c>
      <c r="E126" s="20"/>
      <c r="F126" s="18"/>
      <c r="G126" s="20"/>
      <c r="H126" s="20"/>
      <c r="I126" s="20"/>
    </row>
    <row r="127" spans="1:10" x14ac:dyDescent="0.2">
      <c r="A127">
        <v>2021</v>
      </c>
      <c r="B127" s="18" t="s">
        <v>44</v>
      </c>
      <c r="C127" s="19">
        <v>1.9690779999999999E-4</v>
      </c>
      <c r="D127" s="20">
        <v>19349</v>
      </c>
      <c r="E127" s="20"/>
      <c r="F127" s="18"/>
      <c r="G127" s="20"/>
      <c r="H127" s="20"/>
      <c r="I127" s="20"/>
    </row>
    <row r="128" spans="1:10" x14ac:dyDescent="0.2">
      <c r="A128">
        <v>2021</v>
      </c>
      <c r="B128" s="18" t="s">
        <v>45</v>
      </c>
      <c r="C128" s="19">
        <v>2.5907040000000001E-3</v>
      </c>
      <c r="D128" s="20">
        <v>254573</v>
      </c>
      <c r="E128" s="20"/>
      <c r="F128" s="18"/>
      <c r="G128" s="20"/>
      <c r="H128" s="20"/>
      <c r="I128" s="20"/>
    </row>
    <row r="129" spans="1:9" x14ac:dyDescent="0.2">
      <c r="A129">
        <v>2021</v>
      </c>
      <c r="B129" s="18" t="s">
        <v>46</v>
      </c>
      <c r="C129" s="19">
        <v>3.109063E-4</v>
      </c>
      <c r="D129" s="20">
        <v>30551</v>
      </c>
      <c r="E129" s="20"/>
      <c r="F129" s="18"/>
      <c r="G129" s="20"/>
      <c r="H129" s="20"/>
      <c r="I129" s="20"/>
    </row>
    <row r="130" spans="1:9" x14ac:dyDescent="0.2">
      <c r="A130">
        <v>2021</v>
      </c>
      <c r="B130" s="18" t="s">
        <v>189</v>
      </c>
      <c r="C130" s="19">
        <v>8.9053890000000005E-4</v>
      </c>
      <c r="D130" s="20">
        <v>87508</v>
      </c>
      <c r="E130" s="20"/>
      <c r="F130" s="18"/>
      <c r="G130" s="20"/>
      <c r="H130" s="20"/>
      <c r="I130" s="20"/>
    </row>
    <row r="131" spans="1:9" x14ac:dyDescent="0.2">
      <c r="A131">
        <v>2021</v>
      </c>
      <c r="B131" s="18" t="s">
        <v>47</v>
      </c>
      <c r="C131" s="19">
        <v>1.2313235E-3</v>
      </c>
      <c r="D131" s="20">
        <v>120995</v>
      </c>
      <c r="E131" s="20"/>
      <c r="F131" s="18"/>
      <c r="G131" s="20"/>
      <c r="H131" s="20"/>
      <c r="I131" s="20"/>
    </row>
    <row r="132" spans="1:9" x14ac:dyDescent="0.2">
      <c r="A132">
        <v>2021</v>
      </c>
      <c r="B132" s="18" t="s">
        <v>48</v>
      </c>
      <c r="C132" s="19">
        <v>1.3974920000000001E-4</v>
      </c>
      <c r="D132" s="20">
        <v>13732</v>
      </c>
      <c r="E132" s="20"/>
      <c r="F132" s="18"/>
      <c r="G132" s="20"/>
      <c r="H132" s="20"/>
      <c r="I132" s="20"/>
    </row>
    <row r="133" spans="1:9" x14ac:dyDescent="0.2">
      <c r="A133">
        <v>2021</v>
      </c>
      <c r="B133" s="18" t="s">
        <v>49</v>
      </c>
      <c r="C133" s="19">
        <v>6.7234130000000001E-4</v>
      </c>
      <c r="D133" s="20">
        <v>66067</v>
      </c>
      <c r="E133" s="20"/>
      <c r="F133" s="18"/>
      <c r="G133" s="20"/>
      <c r="H133" s="20"/>
      <c r="I133" s="20"/>
    </row>
    <row r="134" spans="1:9" x14ac:dyDescent="0.2">
      <c r="A134">
        <v>2021</v>
      </c>
      <c r="B134" s="18" t="s">
        <v>186</v>
      </c>
      <c r="C134" s="19">
        <v>4.5613175000000002E-3</v>
      </c>
      <c r="D134" s="20">
        <v>448214</v>
      </c>
      <c r="E134" s="20"/>
      <c r="F134" s="18"/>
      <c r="G134" s="20"/>
      <c r="H134" s="20"/>
      <c r="I134" s="20"/>
    </row>
    <row r="135" spans="1:9" x14ac:dyDescent="0.2">
      <c r="A135">
        <v>2021</v>
      </c>
      <c r="B135" s="18" t="s">
        <v>50</v>
      </c>
      <c r="C135" s="19">
        <v>1.3684599999999999E-5</v>
      </c>
      <c r="D135" s="20">
        <v>1345</v>
      </c>
      <c r="E135" s="20"/>
      <c r="F135" s="18"/>
      <c r="G135" s="18"/>
      <c r="H135" s="18"/>
      <c r="I135" s="18"/>
    </row>
    <row r="136" spans="1:9" x14ac:dyDescent="0.2">
      <c r="A136">
        <v>2021</v>
      </c>
      <c r="B136" s="18" t="s">
        <v>51</v>
      </c>
      <c r="C136" s="19">
        <v>3.0204823000000002E-3</v>
      </c>
      <c r="D136" s="20">
        <v>296805</v>
      </c>
      <c r="E136" s="20"/>
      <c r="F136" s="18"/>
      <c r="G136" s="20"/>
      <c r="H136" s="20"/>
      <c r="I136" s="20"/>
    </row>
    <row r="137" spans="1:9" x14ac:dyDescent="0.2">
      <c r="A137">
        <v>2021</v>
      </c>
      <c r="B137" s="18" t="s">
        <v>52</v>
      </c>
      <c r="C137" s="19">
        <v>1.9945789000000002E-3</v>
      </c>
      <c r="D137" s="20">
        <v>195996</v>
      </c>
      <c r="E137" s="20"/>
      <c r="F137" s="18"/>
      <c r="G137" s="20"/>
      <c r="H137" s="20"/>
      <c r="I137" s="20"/>
    </row>
    <row r="138" spans="1:9" x14ac:dyDescent="0.2">
      <c r="A138">
        <v>2021</v>
      </c>
      <c r="B138" s="18" t="s">
        <v>109</v>
      </c>
      <c r="C138" s="19">
        <v>2.4080368E-3</v>
      </c>
      <c r="D138" s="20">
        <v>236624</v>
      </c>
      <c r="E138" s="20"/>
      <c r="F138" s="18"/>
      <c r="G138" s="20"/>
      <c r="H138" s="20"/>
      <c r="I138" s="20"/>
    </row>
    <row r="139" spans="1:9" x14ac:dyDescent="0.2">
      <c r="A139">
        <v>2021</v>
      </c>
      <c r="B139" s="18" t="s">
        <v>110</v>
      </c>
      <c r="C139" s="19">
        <v>2.8198224000000002E-3</v>
      </c>
      <c r="D139" s="20">
        <v>277088</v>
      </c>
      <c r="E139" s="20"/>
      <c r="F139" s="18"/>
      <c r="G139" s="20"/>
      <c r="H139" s="20"/>
      <c r="I139" s="20"/>
    </row>
    <row r="140" spans="1:9" x14ac:dyDescent="0.2">
      <c r="A140">
        <v>2021</v>
      </c>
      <c r="B140" s="18" t="s">
        <v>111</v>
      </c>
      <c r="C140" s="19">
        <v>8.5492329999999998E-3</v>
      </c>
      <c r="D140" s="20">
        <v>840084</v>
      </c>
      <c r="E140" s="20"/>
      <c r="F140" s="18"/>
      <c r="G140" s="20"/>
      <c r="H140" s="20"/>
      <c r="I140" s="20"/>
    </row>
    <row r="141" spans="1:9" x14ac:dyDescent="0.2">
      <c r="A141">
        <v>2021</v>
      </c>
      <c r="B141" s="18" t="s">
        <v>112</v>
      </c>
      <c r="C141" s="19">
        <v>1.0472878999999999E-3</v>
      </c>
      <c r="D141" s="20">
        <v>102911</v>
      </c>
      <c r="E141" s="20"/>
      <c r="F141" s="18"/>
      <c r="G141" s="20"/>
      <c r="H141" s="20"/>
      <c r="I141" s="20"/>
    </row>
    <row r="142" spans="1:9" x14ac:dyDescent="0.2">
      <c r="A142">
        <v>2021</v>
      </c>
      <c r="B142" s="18" t="s">
        <v>113</v>
      </c>
      <c r="C142" s="19">
        <v>3.5027840000000001E-3</v>
      </c>
      <c r="D142" s="20">
        <v>344198</v>
      </c>
      <c r="E142" s="20"/>
      <c r="F142" s="18"/>
      <c r="G142" s="20"/>
      <c r="H142" s="20"/>
      <c r="I142" s="20"/>
    </row>
    <row r="143" spans="1:9" x14ac:dyDescent="0.2">
      <c r="A143">
        <v>2021</v>
      </c>
      <c r="B143" s="18" t="s">
        <v>114</v>
      </c>
      <c r="C143" s="19">
        <v>2.1601314000000002E-3</v>
      </c>
      <c r="D143" s="20">
        <v>212264</v>
      </c>
      <c r="E143" s="20"/>
      <c r="F143" s="18"/>
      <c r="G143" s="20"/>
      <c r="H143" s="20"/>
      <c r="I143" s="20"/>
    </row>
    <row r="144" spans="1:9" x14ac:dyDescent="0.2">
      <c r="A144">
        <v>2021</v>
      </c>
      <c r="B144" s="18" t="s">
        <v>115</v>
      </c>
      <c r="C144" s="19">
        <v>2.2387315000000001E-3</v>
      </c>
      <c r="D144" s="20">
        <v>219987</v>
      </c>
      <c r="E144" s="20"/>
      <c r="F144" s="18"/>
      <c r="G144" s="20"/>
      <c r="H144" s="20"/>
      <c r="I144" s="20"/>
    </row>
    <row r="145" spans="1:9" x14ac:dyDescent="0.2">
      <c r="A145">
        <v>2021</v>
      </c>
      <c r="B145" s="18" t="s">
        <v>203</v>
      </c>
      <c r="C145" s="19">
        <v>1.0438161E-3</v>
      </c>
      <c r="D145" s="20">
        <v>102570</v>
      </c>
      <c r="E145" s="20"/>
      <c r="F145" s="18"/>
      <c r="G145" s="20"/>
      <c r="H145" s="20"/>
      <c r="I145" s="20"/>
    </row>
    <row r="146" spans="1:9" x14ac:dyDescent="0.2">
      <c r="A146">
        <v>2021</v>
      </c>
      <c r="B146" s="18" t="s">
        <v>116</v>
      </c>
      <c r="C146" s="19">
        <v>4.6281422999999997E-3</v>
      </c>
      <c r="D146" s="20">
        <v>454781</v>
      </c>
      <c r="E146" s="20"/>
      <c r="F146" s="18"/>
      <c r="G146" s="20"/>
      <c r="H146" s="20"/>
      <c r="I146" s="20"/>
    </row>
    <row r="147" spans="1:9" x14ac:dyDescent="0.2">
      <c r="A147">
        <v>2021</v>
      </c>
      <c r="B147" s="18" t="s">
        <v>117</v>
      </c>
      <c r="C147" s="19">
        <v>5.8367840000000005E-4</v>
      </c>
      <c r="D147" s="20">
        <v>57355</v>
      </c>
      <c r="E147" s="20"/>
      <c r="F147" s="18"/>
      <c r="G147" s="20"/>
      <c r="H147" s="20"/>
      <c r="I147" s="20"/>
    </row>
    <row r="148" spans="1:9" x14ac:dyDescent="0.2">
      <c r="A148">
        <v>2021</v>
      </c>
      <c r="B148" s="18" t="s">
        <v>118</v>
      </c>
      <c r="C148" s="19">
        <v>2.6944292E-3</v>
      </c>
      <c r="D148" s="20">
        <v>264766</v>
      </c>
      <c r="E148" s="20"/>
      <c r="F148" s="18"/>
      <c r="G148" s="20"/>
      <c r="H148" s="20"/>
      <c r="I148" s="20"/>
    </row>
    <row r="149" spans="1:9" x14ac:dyDescent="0.2">
      <c r="A149">
        <v>2021</v>
      </c>
      <c r="B149" s="18" t="s">
        <v>201</v>
      </c>
      <c r="C149" s="19">
        <v>3.2466830999999998E-3</v>
      </c>
      <c r="D149" s="20">
        <v>319033</v>
      </c>
      <c r="E149" s="20"/>
      <c r="F149" s="18"/>
      <c r="G149" s="20"/>
      <c r="H149" s="18"/>
      <c r="I149" s="20"/>
    </row>
    <row r="150" spans="1:9" x14ac:dyDescent="0.2">
      <c r="A150">
        <v>2021</v>
      </c>
      <c r="B150" s="18" t="s">
        <v>119</v>
      </c>
      <c r="C150" s="19">
        <v>4.6803829999999999E-4</v>
      </c>
      <c r="D150" s="20">
        <v>45991</v>
      </c>
      <c r="E150" s="20"/>
      <c r="F150" s="18"/>
      <c r="G150" s="20"/>
      <c r="H150" s="20"/>
      <c r="I150" s="20"/>
    </row>
    <row r="151" spans="1:9" x14ac:dyDescent="0.2">
      <c r="A151">
        <v>2021</v>
      </c>
      <c r="B151" s="18" t="s">
        <v>120</v>
      </c>
      <c r="C151" s="19">
        <v>1.1233831E-3</v>
      </c>
      <c r="D151" s="20">
        <v>110388</v>
      </c>
      <c r="E151" s="20"/>
      <c r="F151" s="18"/>
      <c r="G151" s="20"/>
      <c r="H151" s="20"/>
      <c r="I151" s="20"/>
    </row>
    <row r="152" spans="1:9" x14ac:dyDescent="0.2">
      <c r="A152">
        <v>2021</v>
      </c>
      <c r="B152" s="18" t="s">
        <v>121</v>
      </c>
      <c r="C152" s="19">
        <v>0</v>
      </c>
      <c r="D152" s="18"/>
      <c r="E152" s="18"/>
      <c r="F152" s="18"/>
      <c r="G152" s="18"/>
      <c r="H152" s="20"/>
      <c r="I152" s="20"/>
    </row>
    <row r="153" spans="1:9" x14ac:dyDescent="0.2">
      <c r="A153">
        <v>2021</v>
      </c>
      <c r="B153" s="18" t="s">
        <v>230</v>
      </c>
      <c r="C153" s="19">
        <v>2.8907084000000002E-3</v>
      </c>
      <c r="D153" s="20">
        <v>284053</v>
      </c>
      <c r="E153" s="20"/>
      <c r="F153" s="18"/>
      <c r="G153" s="20"/>
      <c r="H153" s="20"/>
      <c r="I153" s="20"/>
    </row>
    <row r="154" spans="1:9" x14ac:dyDescent="0.2">
      <c r="A154">
        <v>2021</v>
      </c>
      <c r="B154" s="18" t="s">
        <v>122</v>
      </c>
      <c r="C154" s="19">
        <v>2.4304926E-3</v>
      </c>
      <c r="D154" s="20">
        <v>238830</v>
      </c>
      <c r="E154" s="20"/>
      <c r="F154" s="18"/>
      <c r="G154" s="20"/>
      <c r="H154" s="20"/>
      <c r="I154" s="20"/>
    </row>
    <row r="155" spans="1:9" x14ac:dyDescent="0.2">
      <c r="A155">
        <v>2021</v>
      </c>
      <c r="B155" s="18" t="s">
        <v>123</v>
      </c>
      <c r="C155" s="19">
        <v>9.1594490000000001E-4</v>
      </c>
      <c r="D155" s="20">
        <v>90005</v>
      </c>
      <c r="E155" s="20"/>
      <c r="F155" s="18"/>
      <c r="G155" s="20"/>
      <c r="H155" s="20"/>
      <c r="I155" s="20"/>
    </row>
    <row r="156" spans="1:9" x14ac:dyDescent="0.2">
      <c r="A156">
        <v>2021</v>
      </c>
      <c r="B156" s="18" t="s">
        <v>124</v>
      </c>
      <c r="C156" s="19">
        <v>1.7174620000000001E-4</v>
      </c>
      <c r="D156" s="20">
        <v>16877</v>
      </c>
      <c r="E156" s="20"/>
      <c r="F156" s="18"/>
      <c r="G156" s="20"/>
      <c r="H156" s="20"/>
      <c r="I156" s="20"/>
    </row>
    <row r="157" spans="1:9" x14ac:dyDescent="0.2">
      <c r="A157">
        <v>2021</v>
      </c>
      <c r="B157" s="18" t="s">
        <v>216</v>
      </c>
      <c r="C157" s="19">
        <v>1.2096532000000001E-3</v>
      </c>
      <c r="D157" s="20">
        <v>118866</v>
      </c>
      <c r="E157" s="20"/>
      <c r="F157" s="18"/>
      <c r="G157" s="20"/>
      <c r="H157" s="20"/>
      <c r="I157" s="20"/>
    </row>
    <row r="158" spans="1:9" x14ac:dyDescent="0.2">
      <c r="A158">
        <v>2021</v>
      </c>
      <c r="B158" s="18" t="s">
        <v>125</v>
      </c>
      <c r="C158" s="19">
        <v>0</v>
      </c>
      <c r="D158" s="18"/>
      <c r="E158" s="18"/>
      <c r="F158" s="18"/>
      <c r="G158" s="18"/>
      <c r="H158" s="20"/>
      <c r="I158" s="20"/>
    </row>
    <row r="159" spans="1:9" x14ac:dyDescent="0.2">
      <c r="A159">
        <v>2021</v>
      </c>
      <c r="B159" s="18" t="s">
        <v>126</v>
      </c>
      <c r="C159" s="19">
        <v>1.8615839999999999E-3</v>
      </c>
      <c r="D159" s="20">
        <v>182927</v>
      </c>
      <c r="E159" s="20"/>
      <c r="F159" s="18"/>
      <c r="G159" s="20"/>
      <c r="H159" s="20"/>
      <c r="I159" s="20"/>
    </row>
    <row r="160" spans="1:9" x14ac:dyDescent="0.2">
      <c r="A160">
        <v>2021</v>
      </c>
      <c r="B160" s="18" t="s">
        <v>127</v>
      </c>
      <c r="C160" s="19">
        <v>2.5245119E-3</v>
      </c>
      <c r="D160" s="20">
        <v>248069</v>
      </c>
      <c r="E160" s="20"/>
      <c r="F160" s="18"/>
      <c r="G160" s="20"/>
      <c r="H160" s="20"/>
      <c r="I160" s="20"/>
    </row>
    <row r="161" spans="1:10" x14ac:dyDescent="0.2">
      <c r="A161">
        <v>2021</v>
      </c>
      <c r="B161" s="18" t="s">
        <v>231</v>
      </c>
      <c r="C161" s="19">
        <v>2.1893271000000001E-3</v>
      </c>
      <c r="D161" s="20">
        <v>215132</v>
      </c>
      <c r="E161" s="20"/>
      <c r="F161" s="18"/>
      <c r="G161" s="20"/>
      <c r="H161" s="20"/>
      <c r="I161" s="20"/>
    </row>
    <row r="162" spans="1:10" x14ac:dyDescent="0.2">
      <c r="A162">
        <v>2021</v>
      </c>
      <c r="B162" s="18" t="s">
        <v>130</v>
      </c>
      <c r="C162" s="19">
        <v>1.7235486999999999E-3</v>
      </c>
      <c r="D162" s="20">
        <v>169363</v>
      </c>
      <c r="E162" s="20"/>
      <c r="F162" s="18"/>
      <c r="G162" s="19"/>
      <c r="H162" s="20"/>
      <c r="I162" s="20"/>
      <c r="J162" s="20"/>
    </row>
    <row r="163" spans="1:10" x14ac:dyDescent="0.2">
      <c r="A163">
        <v>2021</v>
      </c>
      <c r="B163" s="18" t="s">
        <v>204</v>
      </c>
      <c r="C163" s="19">
        <v>5.0590659999999997E-4</v>
      </c>
      <c r="D163" s="20">
        <v>49713</v>
      </c>
      <c r="E163" s="20"/>
      <c r="F163" s="18"/>
      <c r="G163" s="19"/>
      <c r="H163" s="20"/>
      <c r="I163" s="20"/>
      <c r="J163" s="20"/>
    </row>
    <row r="164" spans="1:10" x14ac:dyDescent="0.2">
      <c r="A164">
        <v>2021</v>
      </c>
      <c r="B164" s="18" t="s">
        <v>131</v>
      </c>
      <c r="C164" s="19">
        <v>3.0687949999999998E-4</v>
      </c>
      <c r="D164" s="20">
        <v>30155</v>
      </c>
      <c r="E164" s="20"/>
      <c r="F164" s="18"/>
      <c r="G164" s="19"/>
      <c r="H164" s="20"/>
      <c r="I164" s="20"/>
      <c r="J164" s="20"/>
    </row>
    <row r="165" spans="1:10" x14ac:dyDescent="0.2">
      <c r="A165">
        <v>2021</v>
      </c>
      <c r="B165" s="18" t="s">
        <v>132</v>
      </c>
      <c r="C165" s="19">
        <v>2.6042829999999999E-4</v>
      </c>
      <c r="D165" s="20">
        <v>25591</v>
      </c>
      <c r="E165" s="20"/>
      <c r="F165" s="18"/>
      <c r="G165" s="19"/>
      <c r="H165" s="20"/>
      <c r="I165" s="20"/>
      <c r="J165" s="20"/>
    </row>
    <row r="166" spans="1:10" x14ac:dyDescent="0.2">
      <c r="A166">
        <v>2021</v>
      </c>
      <c r="B166" s="18" t="s">
        <v>133</v>
      </c>
      <c r="C166" s="19">
        <v>5.1972414999999998E-3</v>
      </c>
      <c r="D166" s="20">
        <v>510703</v>
      </c>
      <c r="E166" s="20"/>
      <c r="F166" s="18"/>
      <c r="G166" s="19"/>
      <c r="H166" s="20"/>
      <c r="I166" s="20"/>
      <c r="J166" s="20"/>
    </row>
    <row r="167" spans="1:10" x14ac:dyDescent="0.2">
      <c r="A167">
        <v>2021</v>
      </c>
      <c r="B167" s="18" t="s">
        <v>205</v>
      </c>
      <c r="C167" s="19">
        <v>2.1508813E-3</v>
      </c>
      <c r="D167" s="20">
        <v>211355</v>
      </c>
      <c r="E167" s="20"/>
      <c r="F167" s="18"/>
      <c r="G167" s="19"/>
      <c r="H167" s="20"/>
      <c r="I167" s="20"/>
      <c r="J167" s="20"/>
    </row>
    <row r="168" spans="1:10" x14ac:dyDescent="0.2">
      <c r="A168">
        <v>2021</v>
      </c>
      <c r="B168" s="18" t="s">
        <v>134</v>
      </c>
      <c r="C168" s="19">
        <v>2.3478895999999999E-3</v>
      </c>
      <c r="D168" s="20">
        <v>230713</v>
      </c>
      <c r="E168" s="20"/>
      <c r="F168" s="18"/>
      <c r="G168" s="19"/>
      <c r="H168" s="20"/>
      <c r="I168" s="20"/>
      <c r="J168" s="20"/>
    </row>
    <row r="169" spans="1:10" x14ac:dyDescent="0.2">
      <c r="A169">
        <v>2021</v>
      </c>
      <c r="B169" s="18" t="s">
        <v>135</v>
      </c>
      <c r="C169" s="19">
        <v>8.3350259999999995E-4</v>
      </c>
      <c r="D169" s="20">
        <v>81903</v>
      </c>
      <c r="E169" s="20"/>
      <c r="F169" s="18"/>
      <c r="G169" s="19"/>
      <c r="H169" s="20"/>
      <c r="I169" s="20"/>
      <c r="J169" s="20"/>
    </row>
    <row r="170" spans="1:10" x14ac:dyDescent="0.2">
      <c r="A170">
        <v>2021</v>
      </c>
      <c r="B170" s="18" t="s">
        <v>136</v>
      </c>
      <c r="C170" s="19">
        <v>1.6164293000000001E-3</v>
      </c>
      <c r="D170" s="20">
        <v>158837</v>
      </c>
      <c r="E170" s="20"/>
      <c r="F170" s="18"/>
      <c r="G170" s="19"/>
      <c r="H170" s="20"/>
      <c r="I170" s="20"/>
      <c r="J170" s="20"/>
    </row>
    <row r="171" spans="1:10" x14ac:dyDescent="0.2">
      <c r="A171">
        <v>2021</v>
      </c>
      <c r="B171" s="18" t="s">
        <v>215</v>
      </c>
      <c r="C171" s="19">
        <v>2.4014597000000001E-3</v>
      </c>
      <c r="D171" s="20">
        <v>235978</v>
      </c>
      <c r="E171" s="20"/>
      <c r="F171" s="18"/>
      <c r="G171" s="19"/>
      <c r="H171" s="20"/>
      <c r="I171" s="20"/>
      <c r="J171" s="20"/>
    </row>
    <row r="172" spans="1:10" x14ac:dyDescent="0.2">
      <c r="A172">
        <v>2021</v>
      </c>
      <c r="B172" s="18" t="s">
        <v>137</v>
      </c>
      <c r="C172" s="19">
        <v>1.1982263E-3</v>
      </c>
      <c r="D172" s="20">
        <v>117743</v>
      </c>
      <c r="E172" s="20"/>
      <c r="F172" s="18"/>
      <c r="G172" s="19"/>
      <c r="H172" s="20"/>
      <c r="I172" s="20"/>
      <c r="J172" s="20"/>
    </row>
    <row r="173" spans="1:10" x14ac:dyDescent="0.2">
      <c r="A173">
        <v>2021</v>
      </c>
      <c r="B173" s="18" t="s">
        <v>138</v>
      </c>
      <c r="C173" s="19">
        <v>1.2879901E-3</v>
      </c>
      <c r="D173" s="20">
        <v>126563</v>
      </c>
      <c r="E173" s="20"/>
      <c r="F173" s="18"/>
      <c r="G173" s="19"/>
      <c r="H173" s="20"/>
      <c r="I173" s="20"/>
      <c r="J173" s="20"/>
    </row>
    <row r="174" spans="1:10" x14ac:dyDescent="0.2">
      <c r="A174">
        <v>2021</v>
      </c>
      <c r="B174" s="18" t="s">
        <v>139</v>
      </c>
      <c r="C174" s="19">
        <v>2.466162E-3</v>
      </c>
      <c r="D174" s="20">
        <v>242335</v>
      </c>
      <c r="E174" s="20"/>
      <c r="F174" s="18"/>
      <c r="G174" s="19"/>
      <c r="H174" s="20"/>
      <c r="I174" s="20"/>
      <c r="J174" s="20"/>
    </row>
    <row r="175" spans="1:10" x14ac:dyDescent="0.2">
      <c r="A175">
        <v>2021</v>
      </c>
      <c r="B175" s="18" t="s">
        <v>207</v>
      </c>
      <c r="C175" s="19">
        <v>3.5849600000000003E-5</v>
      </c>
      <c r="D175" s="20">
        <v>3523</v>
      </c>
      <c r="E175" s="20"/>
      <c r="F175" s="18"/>
      <c r="G175" s="19"/>
      <c r="H175" s="20"/>
      <c r="I175" s="18"/>
      <c r="J175" s="18"/>
    </row>
    <row r="176" spans="1:10" x14ac:dyDescent="0.2">
      <c r="A176">
        <v>2021</v>
      </c>
      <c r="B176" s="18" t="s">
        <v>140</v>
      </c>
      <c r="C176" s="19">
        <v>2.1544414000000001E-3</v>
      </c>
      <c r="D176" s="20">
        <v>211704</v>
      </c>
      <c r="E176" s="20"/>
      <c r="F176" s="18"/>
      <c r="G176" s="19"/>
      <c r="H176" s="20"/>
      <c r="I176" s="20"/>
      <c r="J176" s="20"/>
    </row>
    <row r="177" spans="1:10" x14ac:dyDescent="0.2">
      <c r="A177">
        <v>2021</v>
      </c>
      <c r="B177" s="18" t="s">
        <v>141</v>
      </c>
      <c r="C177" s="19">
        <v>1.6250404E-3</v>
      </c>
      <c r="D177" s="20">
        <v>159683</v>
      </c>
      <c r="E177" s="20"/>
      <c r="F177" s="18"/>
      <c r="G177" s="19"/>
      <c r="H177" s="20"/>
      <c r="I177" s="20"/>
      <c r="J177" s="20"/>
    </row>
    <row r="178" spans="1:10" x14ac:dyDescent="0.2">
      <c r="A178">
        <v>2021</v>
      </c>
      <c r="B178" s="18" t="s">
        <v>142</v>
      </c>
      <c r="C178" s="19">
        <v>4.8339610000000001E-4</v>
      </c>
      <c r="D178" s="20">
        <v>47501</v>
      </c>
      <c r="E178" s="20"/>
      <c r="F178" s="18"/>
      <c r="G178" s="19"/>
      <c r="H178" s="20"/>
      <c r="I178" s="20"/>
      <c r="J178" s="20"/>
    </row>
    <row r="179" spans="1:10" x14ac:dyDescent="0.2">
      <c r="A179">
        <v>2021</v>
      </c>
      <c r="B179" s="18" t="s">
        <v>233</v>
      </c>
      <c r="C179" s="19">
        <v>9.2388520000000001E-4</v>
      </c>
      <c r="D179" s="20">
        <v>90785</v>
      </c>
      <c r="E179" s="20"/>
      <c r="F179" s="18"/>
      <c r="G179" s="19"/>
      <c r="H179" s="20"/>
      <c r="I179" s="20"/>
      <c r="J179" s="20"/>
    </row>
    <row r="180" spans="1:10" x14ac:dyDescent="0.2">
      <c r="A180">
        <v>2021</v>
      </c>
      <c r="B180" s="18" t="s">
        <v>206</v>
      </c>
      <c r="C180" s="19">
        <v>3.1739587E-3</v>
      </c>
      <c r="D180" s="20">
        <v>311887</v>
      </c>
      <c r="E180" s="20"/>
      <c r="F180" s="18"/>
      <c r="G180" s="19"/>
      <c r="H180" s="20"/>
      <c r="I180" s="20"/>
      <c r="J180" s="20"/>
    </row>
    <row r="181" spans="1:10" x14ac:dyDescent="0.2">
      <c r="A181">
        <v>2021</v>
      </c>
      <c r="B181" s="18" t="s">
        <v>234</v>
      </c>
      <c r="C181" s="19">
        <v>3.8364097000000001E-3</v>
      </c>
      <c r="D181" s="20">
        <v>376982</v>
      </c>
      <c r="E181" s="20"/>
      <c r="F181" s="18"/>
      <c r="G181" s="19"/>
      <c r="H181" s="20"/>
      <c r="I181" s="20"/>
      <c r="J181" s="20"/>
    </row>
    <row r="182" spans="1:10" x14ac:dyDescent="0.2">
      <c r="A182">
        <v>2021</v>
      </c>
      <c r="B182" s="18" t="s">
        <v>144</v>
      </c>
      <c r="C182" s="19">
        <v>6.2100619999999997E-4</v>
      </c>
      <c r="D182" s="20">
        <v>61023</v>
      </c>
      <c r="E182" s="20"/>
      <c r="F182" s="18"/>
      <c r="G182" s="19"/>
      <c r="H182" s="20"/>
      <c r="I182" s="20"/>
      <c r="J182" s="20"/>
    </row>
    <row r="183" spans="1:10" x14ac:dyDescent="0.2">
      <c r="A183">
        <v>2021</v>
      </c>
      <c r="B183" s="18" t="s">
        <v>145</v>
      </c>
      <c r="C183" s="19">
        <v>9.0826600000000002E-5</v>
      </c>
      <c r="D183" s="20">
        <v>8925</v>
      </c>
      <c r="E183" s="20"/>
      <c r="F183" s="18"/>
      <c r="G183" s="19"/>
      <c r="H183" s="20"/>
      <c r="I183" s="20"/>
      <c r="J183" s="20"/>
    </row>
    <row r="184" spans="1:10" x14ac:dyDescent="0.2">
      <c r="A184">
        <v>2021</v>
      </c>
      <c r="B184" s="18" t="s">
        <v>208</v>
      </c>
      <c r="C184" s="19">
        <v>4.7103698999999997E-3</v>
      </c>
      <c r="D184" s="20">
        <v>462861</v>
      </c>
      <c r="E184" s="20"/>
      <c r="F184" s="18"/>
      <c r="G184" s="19"/>
      <c r="H184" s="20"/>
      <c r="I184" s="20"/>
      <c r="J184" s="20"/>
    </row>
    <row r="185" spans="1:10" x14ac:dyDescent="0.2">
      <c r="A185">
        <v>2021</v>
      </c>
      <c r="B185" s="18" t="s">
        <v>146</v>
      </c>
      <c r="C185" s="19">
        <v>7.3716530000000001E-4</v>
      </c>
      <c r="D185" s="20">
        <v>72437</v>
      </c>
      <c r="E185" s="20"/>
      <c r="F185" s="18"/>
      <c r="G185" s="19"/>
      <c r="H185" s="20"/>
      <c r="I185" s="20"/>
      <c r="J185" s="20"/>
    </row>
    <row r="186" spans="1:10" x14ac:dyDescent="0.2">
      <c r="A186">
        <v>2021</v>
      </c>
      <c r="B186" s="18" t="s">
        <v>147</v>
      </c>
      <c r="C186" s="19">
        <v>4.9042605999999999E-3</v>
      </c>
      <c r="D186" s="20">
        <v>481913</v>
      </c>
      <c r="E186" s="20"/>
      <c r="F186" s="18"/>
      <c r="G186" s="19"/>
      <c r="H186" s="20"/>
      <c r="I186" s="20"/>
      <c r="J186" s="20"/>
    </row>
    <row r="187" spans="1:10" x14ac:dyDescent="0.2">
      <c r="A187">
        <v>2021</v>
      </c>
      <c r="B187" s="18" t="s">
        <v>148</v>
      </c>
      <c r="C187" s="19">
        <v>8.5023119999999997E-4</v>
      </c>
      <c r="D187" s="20">
        <v>83547</v>
      </c>
      <c r="E187" s="20"/>
      <c r="F187" s="18"/>
      <c r="G187" s="19"/>
      <c r="H187" s="20"/>
      <c r="I187" s="20"/>
      <c r="J187" s="20"/>
    </row>
    <row r="188" spans="1:10" x14ac:dyDescent="0.2">
      <c r="A188">
        <v>2021</v>
      </c>
      <c r="B188" s="18" t="s">
        <v>209</v>
      </c>
      <c r="C188" s="19">
        <v>2.2500459999999999E-4</v>
      </c>
      <c r="D188" s="20">
        <v>22110</v>
      </c>
      <c r="E188" s="20"/>
      <c r="F188" s="18"/>
      <c r="G188" s="19"/>
      <c r="H188" s="20"/>
      <c r="I188" s="20"/>
      <c r="J188" s="20"/>
    </row>
    <row r="189" spans="1:10" x14ac:dyDescent="0.2">
      <c r="A189">
        <v>2021</v>
      </c>
      <c r="B189" s="18" t="s">
        <v>149</v>
      </c>
      <c r="C189" s="19">
        <v>1.1720119E-3</v>
      </c>
      <c r="D189" s="20">
        <v>115167</v>
      </c>
      <c r="E189" s="20"/>
      <c r="F189" s="18"/>
      <c r="G189" s="19"/>
      <c r="H189" s="20"/>
      <c r="I189" s="20"/>
      <c r="J189" s="18"/>
    </row>
    <row r="190" spans="1:10" x14ac:dyDescent="0.2">
      <c r="A190">
        <v>2021</v>
      </c>
      <c r="B190" s="18" t="s">
        <v>150</v>
      </c>
      <c r="C190" s="19">
        <v>3.5097025000000001E-3</v>
      </c>
      <c r="D190" s="20">
        <v>344878</v>
      </c>
      <c r="E190" s="20"/>
      <c r="F190" s="18"/>
      <c r="G190" s="19"/>
      <c r="H190" s="20"/>
      <c r="I190" s="20"/>
      <c r="J190" s="20"/>
    </row>
    <row r="191" spans="1:10" x14ac:dyDescent="0.2">
      <c r="A191">
        <v>2021</v>
      </c>
      <c r="B191" s="18" t="s">
        <v>151</v>
      </c>
      <c r="C191" s="19">
        <v>1.607112E-4</v>
      </c>
      <c r="D191" s="20">
        <v>15792</v>
      </c>
      <c r="E191" s="20"/>
      <c r="F191" s="18"/>
      <c r="G191" s="19"/>
      <c r="H191" s="20"/>
      <c r="I191" s="20"/>
      <c r="J191" s="20"/>
    </row>
    <row r="192" spans="1:10" x14ac:dyDescent="0.2">
      <c r="A192">
        <v>2021</v>
      </c>
      <c r="B192" s="18" t="s">
        <v>210</v>
      </c>
      <c r="C192" s="19">
        <v>3.4703226999999999E-3</v>
      </c>
      <c r="D192" s="20">
        <v>341008</v>
      </c>
      <c r="E192" s="20"/>
      <c r="F192" s="18"/>
      <c r="G192" s="19"/>
      <c r="H192" s="20"/>
      <c r="I192" s="20"/>
      <c r="J192" s="20"/>
    </row>
    <row r="193" spans="1:10" x14ac:dyDescent="0.2">
      <c r="A193">
        <v>2021</v>
      </c>
      <c r="B193" s="18" t="s">
        <v>152</v>
      </c>
      <c r="C193" s="19">
        <v>3.4970763000000001E-3</v>
      </c>
      <c r="D193" s="20">
        <v>343637</v>
      </c>
      <c r="E193" s="20"/>
      <c r="F193" s="18"/>
      <c r="G193" s="19"/>
      <c r="H193" s="20"/>
      <c r="I193" s="20"/>
      <c r="J193" s="20"/>
    </row>
    <row r="194" spans="1:10" x14ac:dyDescent="0.2">
      <c r="A194">
        <v>2021</v>
      </c>
      <c r="B194" s="18" t="s">
        <v>153</v>
      </c>
      <c r="C194" s="19">
        <v>4.4878979000000001E-3</v>
      </c>
      <c r="D194" s="20">
        <v>441000</v>
      </c>
      <c r="E194" s="20"/>
      <c r="F194" s="18"/>
      <c r="G194" s="19"/>
      <c r="H194" s="20"/>
      <c r="I194" s="20"/>
      <c r="J194" s="20"/>
    </row>
    <row r="195" spans="1:10" x14ac:dyDescent="0.2">
      <c r="A195">
        <v>2021</v>
      </c>
      <c r="B195" s="18" t="s">
        <v>154</v>
      </c>
      <c r="C195" s="19">
        <v>1.8542289E-3</v>
      </c>
      <c r="D195" s="20">
        <v>182204</v>
      </c>
      <c r="E195" s="20"/>
      <c r="F195" s="18"/>
      <c r="G195" s="19"/>
      <c r="H195" s="20"/>
      <c r="I195" s="20"/>
      <c r="J195" s="20"/>
    </row>
    <row r="196" spans="1:10" x14ac:dyDescent="0.2">
      <c r="A196">
        <v>2021</v>
      </c>
      <c r="B196" s="18" t="s">
        <v>214</v>
      </c>
      <c r="C196" s="19">
        <v>6.2268139999999996E-4</v>
      </c>
      <c r="D196" s="20">
        <v>61187</v>
      </c>
      <c r="E196" s="20"/>
      <c r="F196" s="18"/>
      <c r="G196" s="19"/>
      <c r="H196" s="20"/>
      <c r="I196" s="20"/>
      <c r="J196" s="18"/>
    </row>
    <row r="197" spans="1:10" x14ac:dyDescent="0.2">
      <c r="A197">
        <v>2021</v>
      </c>
      <c r="B197" s="18" t="s">
        <v>155</v>
      </c>
      <c r="C197" s="19">
        <v>2.0490454999999999E-3</v>
      </c>
      <c r="D197" s="20">
        <v>201348</v>
      </c>
      <c r="E197" s="20"/>
      <c r="F197" s="18"/>
      <c r="G197" s="19"/>
      <c r="H197" s="20"/>
      <c r="I197" s="20"/>
      <c r="J197" s="20"/>
    </row>
    <row r="198" spans="1:10" x14ac:dyDescent="0.2">
      <c r="A198">
        <v>2021</v>
      </c>
      <c r="B198" s="18" t="s">
        <v>156</v>
      </c>
      <c r="C198" s="19">
        <v>4.5947725000000002E-3</v>
      </c>
      <c r="D198" s="20">
        <v>451502</v>
      </c>
      <c r="E198" s="20"/>
      <c r="F198" s="18"/>
      <c r="G198" s="19"/>
      <c r="H198" s="20"/>
      <c r="I198" s="20"/>
      <c r="J198" s="20"/>
    </row>
    <row r="199" spans="1:10" x14ac:dyDescent="0.2">
      <c r="A199">
        <v>2021</v>
      </c>
      <c r="B199" s="18" t="s">
        <v>157</v>
      </c>
      <c r="C199" s="19">
        <v>3.4577166000000002E-3</v>
      </c>
      <c r="D199" s="20">
        <v>339770</v>
      </c>
      <c r="E199" s="20"/>
      <c r="F199" s="18"/>
      <c r="G199" s="19"/>
      <c r="H199" s="20"/>
      <c r="I199" s="20"/>
      <c r="J199" s="20"/>
    </row>
    <row r="200" spans="1:10" x14ac:dyDescent="0.2">
      <c r="A200">
        <v>2021</v>
      </c>
      <c r="B200" s="18" t="s">
        <v>213</v>
      </c>
      <c r="C200" s="19">
        <v>2.0312355999999999E-3</v>
      </c>
      <c r="D200" s="20">
        <v>199598</v>
      </c>
      <c r="E200" s="20"/>
      <c r="F200" s="18"/>
      <c r="G200" s="19"/>
      <c r="H200" s="20"/>
      <c r="I200" s="20"/>
      <c r="J200" s="18"/>
    </row>
    <row r="201" spans="1:10" x14ac:dyDescent="0.2">
      <c r="A201">
        <v>2021</v>
      </c>
      <c r="B201" s="18" t="s">
        <v>158</v>
      </c>
      <c r="C201" s="19">
        <v>8.4781538000000007E-3</v>
      </c>
      <c r="D201" s="20">
        <v>833099</v>
      </c>
      <c r="E201" s="20"/>
      <c r="F201" s="18"/>
      <c r="G201" s="19"/>
      <c r="H201" s="20"/>
      <c r="I201" s="20"/>
      <c r="J201" s="20"/>
    </row>
    <row r="202" spans="1:10" x14ac:dyDescent="0.2">
      <c r="A202">
        <v>2021</v>
      </c>
      <c r="B202" s="18" t="s">
        <v>159</v>
      </c>
      <c r="C202" s="19">
        <v>3.9866920999999996E-3</v>
      </c>
      <c r="D202" s="20">
        <v>391749</v>
      </c>
      <c r="E202" s="20"/>
      <c r="F202" s="18"/>
      <c r="G202" s="19"/>
      <c r="H202" s="20"/>
      <c r="I202" s="18"/>
      <c r="J202" s="20"/>
    </row>
    <row r="203" spans="1:10" x14ac:dyDescent="0.2">
      <c r="A203">
        <v>2021</v>
      </c>
      <c r="B203" s="18" t="s">
        <v>160</v>
      </c>
      <c r="C203" s="19">
        <v>9.7992119000000003E-3</v>
      </c>
      <c r="D203" s="20">
        <v>962912</v>
      </c>
      <c r="E203" s="20"/>
      <c r="F203" s="18"/>
      <c r="G203" s="19"/>
      <c r="H203" s="20"/>
      <c r="I203" s="20"/>
      <c r="J203" s="20"/>
    </row>
    <row r="204" spans="1:10" x14ac:dyDescent="0.2">
      <c r="A204">
        <v>2021</v>
      </c>
      <c r="B204" s="18" t="s">
        <v>211</v>
      </c>
      <c r="C204" s="19">
        <v>4.0807299999999998E-5</v>
      </c>
      <c r="D204" s="20">
        <v>4010</v>
      </c>
      <c r="E204" s="20"/>
      <c r="F204" s="18"/>
      <c r="G204" s="19"/>
      <c r="H204" s="20"/>
      <c r="I204" s="18"/>
      <c r="J204" s="18"/>
    </row>
    <row r="205" spans="1:10" x14ac:dyDescent="0.2">
      <c r="A205">
        <v>2021</v>
      </c>
      <c r="B205" s="18" t="s">
        <v>161</v>
      </c>
      <c r="C205" s="19">
        <v>2.4028894000000002E-3</v>
      </c>
      <c r="D205" s="20">
        <v>236118</v>
      </c>
      <c r="E205" s="20"/>
      <c r="F205" s="18"/>
      <c r="G205" s="19"/>
      <c r="H205" s="20"/>
      <c r="I205" s="20"/>
      <c r="J205" s="20"/>
    </row>
    <row r="206" spans="1:10" x14ac:dyDescent="0.2">
      <c r="A206">
        <v>2021</v>
      </c>
      <c r="B206" s="18" t="s">
        <v>162</v>
      </c>
      <c r="C206" s="19">
        <v>2.6962236E-3</v>
      </c>
      <c r="D206" s="20">
        <v>264942</v>
      </c>
      <c r="E206" s="20"/>
      <c r="F206" s="18"/>
      <c r="G206" s="19"/>
      <c r="H206" s="20"/>
      <c r="I206" s="20"/>
      <c r="J206" s="20"/>
    </row>
    <row r="207" spans="1:10" x14ac:dyDescent="0.2">
      <c r="A207">
        <v>2021</v>
      </c>
      <c r="B207" s="18" t="s">
        <v>163</v>
      </c>
      <c r="C207" s="19">
        <v>9.31477104E-2</v>
      </c>
      <c r="D207" s="20">
        <v>9153085</v>
      </c>
      <c r="E207" s="20"/>
      <c r="F207" s="18"/>
      <c r="G207" s="19"/>
      <c r="H207" s="20"/>
      <c r="I207" s="20"/>
      <c r="J207" s="20"/>
    </row>
    <row r="208" spans="1:10" x14ac:dyDescent="0.2">
      <c r="A208">
        <v>2021</v>
      </c>
      <c r="B208" s="18" t="s">
        <v>164</v>
      </c>
      <c r="C208" s="19">
        <v>7.1730260000000005E-4</v>
      </c>
      <c r="D208" s="20">
        <v>70485</v>
      </c>
      <c r="E208" s="20"/>
      <c r="F208" s="18"/>
      <c r="G208" s="19"/>
      <c r="H208" s="20"/>
      <c r="I208" s="20"/>
      <c r="J208" s="20"/>
    </row>
    <row r="209" spans="1:10" x14ac:dyDescent="0.2">
      <c r="A209">
        <v>2021</v>
      </c>
      <c r="B209" s="18" t="s">
        <v>165</v>
      </c>
      <c r="C209" s="19">
        <v>1.5327210999999999E-3</v>
      </c>
      <c r="D209" s="20">
        <v>150612</v>
      </c>
      <c r="E209" s="20"/>
      <c r="F209" s="18"/>
      <c r="G209" s="19"/>
      <c r="H209" s="20"/>
      <c r="I209" s="20"/>
      <c r="J209" s="20"/>
    </row>
    <row r="210" spans="1:10" x14ac:dyDescent="0.2">
      <c r="A210">
        <v>2021</v>
      </c>
      <c r="B210" s="18" t="s">
        <v>166</v>
      </c>
      <c r="C210" s="19">
        <v>2.1686402E-3</v>
      </c>
      <c r="D210" s="20">
        <v>213100</v>
      </c>
      <c r="E210" s="20"/>
      <c r="F210" s="18"/>
      <c r="G210" s="19"/>
      <c r="H210" s="20"/>
      <c r="I210" s="20"/>
      <c r="J210" s="20"/>
    </row>
    <row r="211" spans="1:10" x14ac:dyDescent="0.2">
      <c r="A211">
        <v>2021</v>
      </c>
      <c r="B211" s="18" t="s">
        <v>235</v>
      </c>
      <c r="C211" s="19">
        <v>4.2081291000000002E-3</v>
      </c>
      <c r="D211" s="20">
        <v>413508</v>
      </c>
      <c r="E211" s="20"/>
      <c r="F211" s="18"/>
      <c r="G211" s="19"/>
      <c r="H211" s="20"/>
      <c r="I211" s="20"/>
      <c r="J211" s="20"/>
    </row>
    <row r="212" spans="1:10" x14ac:dyDescent="0.2">
      <c r="A212">
        <v>2021</v>
      </c>
      <c r="B212" s="18" t="s">
        <v>167</v>
      </c>
      <c r="C212" s="19">
        <v>3.3411835600000002E-2</v>
      </c>
      <c r="D212" s="20">
        <v>3283187</v>
      </c>
      <c r="E212" s="20"/>
      <c r="F212" s="18"/>
      <c r="G212" s="19"/>
      <c r="H212" s="20"/>
      <c r="I212" s="20"/>
      <c r="J212" s="20"/>
    </row>
    <row r="213" spans="1:10" x14ac:dyDescent="0.2">
      <c r="A213">
        <v>2021</v>
      </c>
      <c r="B213" s="18" t="s">
        <v>232</v>
      </c>
      <c r="C213" s="19">
        <v>6.5973954E-3</v>
      </c>
      <c r="D213" s="20">
        <v>648288</v>
      </c>
      <c r="E213" s="20"/>
      <c r="F213" s="18"/>
      <c r="G213" s="19"/>
      <c r="H213" s="20"/>
      <c r="I213" s="20"/>
      <c r="J213" s="20"/>
    </row>
    <row r="214" spans="1:10" x14ac:dyDescent="0.2">
      <c r="A214">
        <v>2021</v>
      </c>
      <c r="B214" s="18" t="s">
        <v>168</v>
      </c>
      <c r="C214" s="19">
        <v>2.0568158999999999E-3</v>
      </c>
      <c r="D214" s="20">
        <v>202111</v>
      </c>
      <c r="E214" s="20"/>
      <c r="F214" s="18"/>
      <c r="G214" s="19"/>
      <c r="H214" s="20"/>
      <c r="I214" s="20"/>
      <c r="J214" s="20"/>
    </row>
    <row r="215" spans="1:10" x14ac:dyDescent="0.2">
      <c r="A215">
        <v>2021</v>
      </c>
      <c r="B215" s="18" t="s">
        <v>169</v>
      </c>
      <c r="C215" s="19">
        <v>9.3229109999999995E-4</v>
      </c>
      <c r="D215" s="20">
        <v>91611</v>
      </c>
      <c r="E215" s="20"/>
      <c r="F215" s="18"/>
      <c r="G215" s="19"/>
      <c r="H215" s="20"/>
      <c r="I215" s="20"/>
      <c r="J215" s="20"/>
    </row>
    <row r="216" spans="1:10" x14ac:dyDescent="0.2">
      <c r="A216">
        <v>2021</v>
      </c>
      <c r="B216" s="18" t="s">
        <v>170</v>
      </c>
      <c r="C216" s="19">
        <v>1.6803494E-3</v>
      </c>
      <c r="D216" s="20">
        <v>165118</v>
      </c>
      <c r="E216" s="20"/>
      <c r="F216" s="18"/>
      <c r="G216" s="19"/>
      <c r="H216" s="20"/>
      <c r="I216" s="20"/>
      <c r="J216" s="20"/>
    </row>
    <row r="217" spans="1:10" x14ac:dyDescent="0.2">
      <c r="A217">
        <v>2021</v>
      </c>
      <c r="B217" s="18" t="s">
        <v>212</v>
      </c>
      <c r="C217" s="19">
        <v>0</v>
      </c>
      <c r="D217" s="18"/>
      <c r="E217" s="18"/>
      <c r="F217" s="18"/>
      <c r="G217" s="19"/>
      <c r="H217" s="18"/>
      <c r="I217" s="20"/>
      <c r="J217" s="20"/>
    </row>
    <row r="218" spans="1:10" x14ac:dyDescent="0.2">
      <c r="A218">
        <v>2021</v>
      </c>
      <c r="B218" s="18" t="s">
        <v>171</v>
      </c>
      <c r="C218" s="19">
        <v>1.8882097000000001E-3</v>
      </c>
      <c r="D218" s="20">
        <v>185543</v>
      </c>
      <c r="E218" s="20"/>
      <c r="F218" s="18"/>
      <c r="G218" s="20"/>
      <c r="H218" s="20"/>
      <c r="I218" s="20"/>
    </row>
    <row r="219" spans="1:10" x14ac:dyDescent="0.2">
      <c r="A219">
        <v>2021</v>
      </c>
      <c r="B219" s="18" t="s">
        <v>172</v>
      </c>
      <c r="C219" s="19">
        <v>7.6086709999999996E-4</v>
      </c>
      <c r="D219" s="20">
        <v>74766</v>
      </c>
      <c r="E219" s="20"/>
      <c r="F219" s="18"/>
      <c r="G219" s="20"/>
      <c r="H219" s="20"/>
      <c r="I219" s="20"/>
    </row>
    <row r="220" spans="1:10" x14ac:dyDescent="0.2">
      <c r="A220">
        <v>2021</v>
      </c>
      <c r="B220" s="18" t="s">
        <v>241</v>
      </c>
      <c r="C220" s="19">
        <v>6.2321770000000004E-4</v>
      </c>
      <c r="D220" s="20">
        <v>61240</v>
      </c>
      <c r="E220" s="20"/>
      <c r="F220" s="18"/>
      <c r="G220" s="20"/>
      <c r="H220" s="20"/>
      <c r="I220" s="20"/>
    </row>
    <row r="221" spans="1:10" x14ac:dyDescent="0.2">
      <c r="A221">
        <v>2021</v>
      </c>
      <c r="B221" s="16" t="s">
        <v>174</v>
      </c>
      <c r="C221" s="17">
        <v>1</v>
      </c>
      <c r="D221" s="21">
        <v>98264202</v>
      </c>
      <c r="E221" s="21"/>
      <c r="F221" s="16"/>
      <c r="G221" s="21"/>
      <c r="H221" s="16"/>
      <c r="I221" s="21"/>
    </row>
    <row r="223" spans="1:10" x14ac:dyDescent="0.2">
      <c r="D223" s="1">
        <f>SUM(D2:D220)</f>
        <v>98264206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00E6-BF6A-D243-A3DF-77A7DE395F55}">
  <sheetPr>
    <tabColor rgb="FFFFFF00"/>
  </sheetPr>
  <dimension ref="A1:E225"/>
  <sheetViews>
    <sheetView zoomScaleNormal="100" workbookViewId="0">
      <selection activeCell="A2" sqref="A2:D222"/>
    </sheetView>
  </sheetViews>
  <sheetFormatPr baseColWidth="10" defaultRowHeight="16" x14ac:dyDescent="0.2"/>
  <cols>
    <col min="2" max="2" width="35.1640625" style="5" bestFit="1" customWidth="1"/>
    <col min="3" max="3" width="36.1640625" style="5" bestFit="1" customWidth="1"/>
    <col min="4" max="4" width="27.5" style="5" bestFit="1" customWidth="1"/>
  </cols>
  <sheetData>
    <row r="1" spans="1:4" x14ac:dyDescent="0.2">
      <c r="A1" t="s">
        <v>227</v>
      </c>
      <c r="B1" s="3" t="s">
        <v>53</v>
      </c>
      <c r="C1" s="3" t="s">
        <v>54</v>
      </c>
      <c r="D1" s="3" t="s">
        <v>55</v>
      </c>
    </row>
    <row r="2" spans="1:4" x14ac:dyDescent="0.2">
      <c r="A2">
        <v>2022</v>
      </c>
      <c r="B2" s="5" t="s">
        <v>57</v>
      </c>
      <c r="C2" s="6">
        <v>2.1399356000000001E-3</v>
      </c>
      <c r="D2" s="7">
        <v>214703</v>
      </c>
    </row>
    <row r="3" spans="1:4" x14ac:dyDescent="0.2">
      <c r="A3">
        <v>2022</v>
      </c>
      <c r="B3" s="5" t="s">
        <v>58</v>
      </c>
      <c r="C3" s="6">
        <v>1.0195133E-3</v>
      </c>
      <c r="D3" s="7">
        <v>102289</v>
      </c>
    </row>
    <row r="4" spans="1:4" x14ac:dyDescent="0.2">
      <c r="A4">
        <v>2022</v>
      </c>
      <c r="B4" s="5" t="s">
        <v>59</v>
      </c>
      <c r="C4" s="6">
        <v>5.2506090000000003E-4</v>
      </c>
      <c r="D4" s="7">
        <v>52680</v>
      </c>
    </row>
    <row r="5" spans="1:4" x14ac:dyDescent="0.2">
      <c r="A5">
        <v>2022</v>
      </c>
      <c r="B5" s="5" t="s">
        <v>60</v>
      </c>
      <c r="C5" s="6">
        <v>1.3347903999999999E-3</v>
      </c>
      <c r="D5" s="7">
        <v>133921</v>
      </c>
    </row>
    <row r="6" spans="1:4" x14ac:dyDescent="0.2">
      <c r="A6">
        <v>2022</v>
      </c>
      <c r="B6" s="5" t="s">
        <v>61</v>
      </c>
      <c r="C6" s="6">
        <v>6.5541000000000001E-5</v>
      </c>
      <c r="D6" s="7">
        <v>6576</v>
      </c>
    </row>
    <row r="7" spans="1:4" x14ac:dyDescent="0.2">
      <c r="A7">
        <v>2022</v>
      </c>
      <c r="B7" s="5" t="s">
        <v>62</v>
      </c>
      <c r="C7" s="6">
        <v>2.2206434000000001E-3</v>
      </c>
      <c r="D7" s="7">
        <v>222800</v>
      </c>
    </row>
    <row r="8" spans="1:4" x14ac:dyDescent="0.2">
      <c r="A8">
        <v>2022</v>
      </c>
      <c r="B8" s="5" t="s">
        <v>63</v>
      </c>
      <c r="C8" s="6">
        <v>2.9203749999999998E-3</v>
      </c>
      <c r="D8" s="7">
        <v>293005</v>
      </c>
    </row>
    <row r="9" spans="1:4" x14ac:dyDescent="0.2">
      <c r="A9">
        <v>2022</v>
      </c>
      <c r="B9" s="5" t="s">
        <v>187</v>
      </c>
      <c r="C9" s="6">
        <v>1.27097779E-2</v>
      </c>
      <c r="D9" s="7">
        <v>1275189</v>
      </c>
    </row>
    <row r="10" spans="1:4" x14ac:dyDescent="0.2">
      <c r="A10">
        <v>2022</v>
      </c>
      <c r="B10" s="5" t="s">
        <v>64</v>
      </c>
      <c r="C10" s="6">
        <v>1.8638604999999999E-3</v>
      </c>
      <c r="D10" s="7">
        <v>187004</v>
      </c>
    </row>
    <row r="11" spans="1:4" x14ac:dyDescent="0.2">
      <c r="A11">
        <v>2022</v>
      </c>
      <c r="B11" s="5" t="s">
        <v>65</v>
      </c>
      <c r="C11" s="6">
        <v>4.9923666E-3</v>
      </c>
      <c r="D11" s="7">
        <v>500891</v>
      </c>
    </row>
    <row r="12" spans="1:4" x14ac:dyDescent="0.2">
      <c r="A12">
        <v>2022</v>
      </c>
      <c r="B12" s="5" t="s">
        <v>66</v>
      </c>
      <c r="C12" s="6">
        <v>1.2745352999999999E-3</v>
      </c>
      <c r="D12" s="7">
        <v>127876</v>
      </c>
    </row>
    <row r="13" spans="1:4" x14ac:dyDescent="0.2">
      <c r="A13">
        <v>2022</v>
      </c>
      <c r="B13" s="5" t="s">
        <v>188</v>
      </c>
      <c r="C13" s="6">
        <v>0.1073371266</v>
      </c>
      <c r="D13" s="7">
        <v>10769278</v>
      </c>
    </row>
    <row r="14" spans="1:4" x14ac:dyDescent="0.2">
      <c r="A14">
        <v>2022</v>
      </c>
      <c r="B14" s="5" t="s">
        <v>68</v>
      </c>
      <c r="C14" s="6">
        <v>0</v>
      </c>
    </row>
    <row r="15" spans="1:4" x14ac:dyDescent="0.2">
      <c r="A15">
        <v>2022</v>
      </c>
      <c r="B15" s="5" t="s">
        <v>69</v>
      </c>
      <c r="C15" s="6">
        <v>5.2793431000000002E-3</v>
      </c>
      <c r="D15" s="7">
        <v>529684</v>
      </c>
    </row>
    <row r="16" spans="1:4" x14ac:dyDescent="0.2">
      <c r="A16">
        <v>2022</v>
      </c>
      <c r="B16" s="5" t="s">
        <v>192</v>
      </c>
      <c r="C16" s="6">
        <v>8.8171669999999997E-4</v>
      </c>
      <c r="D16" s="7">
        <v>88464</v>
      </c>
    </row>
    <row r="17" spans="1:4" x14ac:dyDescent="0.2">
      <c r="A17">
        <v>2022</v>
      </c>
      <c r="B17" s="5" t="s">
        <v>70</v>
      </c>
      <c r="C17" s="6">
        <v>4.1788140999999999E-3</v>
      </c>
      <c r="D17" s="7">
        <v>419266</v>
      </c>
    </row>
    <row r="18" spans="1:4" x14ac:dyDescent="0.2">
      <c r="A18">
        <v>2022</v>
      </c>
      <c r="B18" s="5" t="s">
        <v>71</v>
      </c>
      <c r="C18" s="6">
        <v>1.1355444E-3</v>
      </c>
      <c r="D18" s="7">
        <v>113931</v>
      </c>
    </row>
    <row r="19" spans="1:4" x14ac:dyDescent="0.2">
      <c r="A19">
        <v>2022</v>
      </c>
      <c r="B19" s="5" t="s">
        <v>72</v>
      </c>
      <c r="C19" s="6">
        <v>1.560814E-4</v>
      </c>
      <c r="D19" s="7">
        <v>15660</v>
      </c>
    </row>
    <row r="20" spans="1:4" x14ac:dyDescent="0.2">
      <c r="A20">
        <v>2022</v>
      </c>
      <c r="B20" s="5" t="s">
        <v>190</v>
      </c>
      <c r="C20" s="6">
        <v>3.7072310000000001E-3</v>
      </c>
      <c r="D20" s="7">
        <v>371951</v>
      </c>
    </row>
    <row r="21" spans="1:4" x14ac:dyDescent="0.2">
      <c r="A21">
        <v>2022</v>
      </c>
      <c r="B21" s="5" t="s">
        <v>73</v>
      </c>
      <c r="C21" s="6">
        <v>3.1834965999999998E-3</v>
      </c>
      <c r="D21" s="7">
        <v>319405</v>
      </c>
    </row>
    <row r="22" spans="1:4" x14ac:dyDescent="0.2">
      <c r="A22">
        <v>2022</v>
      </c>
      <c r="B22" s="5" t="s">
        <v>74</v>
      </c>
      <c r="C22" s="6">
        <v>2.1765508E-3</v>
      </c>
      <c r="D22" s="7">
        <v>218376</v>
      </c>
    </row>
    <row r="23" spans="1:4" x14ac:dyDescent="0.2">
      <c r="A23">
        <v>2022</v>
      </c>
      <c r="B23" s="5" t="s">
        <v>75</v>
      </c>
      <c r="C23" s="6">
        <v>5.9571772000000002E-3</v>
      </c>
      <c r="D23" s="7">
        <v>597692</v>
      </c>
    </row>
    <row r="24" spans="1:4" x14ac:dyDescent="0.2">
      <c r="A24">
        <v>2022</v>
      </c>
      <c r="B24" s="5" t="s">
        <v>191</v>
      </c>
      <c r="C24" s="6">
        <v>0</v>
      </c>
    </row>
    <row r="25" spans="1:4" x14ac:dyDescent="0.2">
      <c r="A25">
        <v>2022</v>
      </c>
      <c r="B25" s="5" t="s">
        <v>239</v>
      </c>
      <c r="C25" s="6">
        <v>1.5732696E-3</v>
      </c>
      <c r="D25" s="7">
        <v>157848</v>
      </c>
    </row>
    <row r="26" spans="1:4" x14ac:dyDescent="0.2">
      <c r="A26">
        <v>2022</v>
      </c>
      <c r="B26" s="5" t="s">
        <v>76</v>
      </c>
      <c r="C26" s="6">
        <v>1.7460968E-3</v>
      </c>
      <c r="D26" s="7">
        <v>175188</v>
      </c>
    </row>
    <row r="27" spans="1:4" x14ac:dyDescent="0.2">
      <c r="A27">
        <v>2022</v>
      </c>
      <c r="B27" s="5" t="s">
        <v>77</v>
      </c>
      <c r="C27" s="6">
        <v>2.884916E-3</v>
      </c>
      <c r="D27" s="7">
        <v>289448</v>
      </c>
    </row>
    <row r="28" spans="1:4" x14ac:dyDescent="0.2">
      <c r="A28">
        <v>2022</v>
      </c>
      <c r="B28" s="5" t="s">
        <v>78</v>
      </c>
      <c r="C28" s="6">
        <v>1.49007788E-2</v>
      </c>
      <c r="D28" s="7">
        <v>1495015</v>
      </c>
    </row>
    <row r="29" spans="1:4" x14ac:dyDescent="0.2">
      <c r="A29">
        <v>2022</v>
      </c>
      <c r="B29" s="5" t="s">
        <v>193</v>
      </c>
      <c r="C29" s="6">
        <v>3.2124306700000001E-2</v>
      </c>
      <c r="D29" s="7">
        <v>3223075</v>
      </c>
    </row>
    <row r="30" spans="1:4" x14ac:dyDescent="0.2">
      <c r="A30">
        <v>2022</v>
      </c>
      <c r="B30" s="5" t="s">
        <v>79</v>
      </c>
      <c r="C30" s="6">
        <v>3.8707308E-3</v>
      </c>
      <c r="D30" s="7">
        <v>388356</v>
      </c>
    </row>
    <row r="31" spans="1:4" x14ac:dyDescent="0.2">
      <c r="A31">
        <v>2022</v>
      </c>
      <c r="B31" s="5" t="s">
        <v>80</v>
      </c>
      <c r="C31" s="6">
        <v>7.0522029999999999E-4</v>
      </c>
      <c r="D31" s="7">
        <v>70756</v>
      </c>
    </row>
    <row r="32" spans="1:4" x14ac:dyDescent="0.2">
      <c r="A32">
        <v>2022</v>
      </c>
      <c r="B32" s="5" t="s">
        <v>81</v>
      </c>
      <c r="C32" s="6">
        <v>1.8268245000000001E-3</v>
      </c>
      <c r="D32" s="7">
        <v>183288</v>
      </c>
    </row>
    <row r="33" spans="1:4" x14ac:dyDescent="0.2">
      <c r="A33">
        <v>2022</v>
      </c>
      <c r="B33" s="5" t="s">
        <v>194</v>
      </c>
      <c r="C33" s="6">
        <v>5.1555447000000004E-3</v>
      </c>
      <c r="D33" s="7">
        <v>517263</v>
      </c>
    </row>
    <row r="34" spans="1:4" x14ac:dyDescent="0.2">
      <c r="A34">
        <v>2022</v>
      </c>
      <c r="B34" s="5" t="s">
        <v>82</v>
      </c>
      <c r="C34" s="6">
        <v>9.0364589999999999E-4</v>
      </c>
      <c r="D34" s="7">
        <v>90664</v>
      </c>
    </row>
    <row r="35" spans="1:4" x14ac:dyDescent="0.2">
      <c r="A35">
        <v>2022</v>
      </c>
      <c r="B35" s="5" t="s">
        <v>83</v>
      </c>
      <c r="C35" s="6">
        <v>3.5327999999999998E-5</v>
      </c>
      <c r="D35" s="7">
        <v>3545</v>
      </c>
    </row>
    <row r="36" spans="1:4" x14ac:dyDescent="0.2">
      <c r="A36">
        <v>2022</v>
      </c>
      <c r="B36" s="5" t="s">
        <v>84</v>
      </c>
      <c r="C36" s="6">
        <v>1.8307861000000001E-3</v>
      </c>
      <c r="D36" s="7">
        <v>183685</v>
      </c>
    </row>
    <row r="37" spans="1:4" x14ac:dyDescent="0.2">
      <c r="A37">
        <v>2022</v>
      </c>
      <c r="B37" s="5" t="s">
        <v>196</v>
      </c>
      <c r="C37" s="6">
        <v>8.2981950000000004E-4</v>
      </c>
      <c r="D37" s="7">
        <v>83257</v>
      </c>
    </row>
    <row r="38" spans="1:4" x14ac:dyDescent="0.2">
      <c r="A38">
        <v>2022</v>
      </c>
      <c r="B38" s="5" t="s">
        <v>85</v>
      </c>
      <c r="C38" s="6">
        <v>2.5024817000000002E-3</v>
      </c>
      <c r="D38" s="7">
        <v>251077</v>
      </c>
    </row>
    <row r="39" spans="1:4" x14ac:dyDescent="0.2">
      <c r="A39">
        <v>2022</v>
      </c>
      <c r="B39" s="5" t="s">
        <v>86</v>
      </c>
      <c r="C39" s="6">
        <v>1.6483101999999999E-3</v>
      </c>
      <c r="D39" s="7">
        <v>165377</v>
      </c>
    </row>
    <row r="40" spans="1:4" x14ac:dyDescent="0.2">
      <c r="A40">
        <v>2022</v>
      </c>
      <c r="B40" s="5" t="s">
        <v>87</v>
      </c>
      <c r="C40" s="6">
        <v>2.2429870000000001E-3</v>
      </c>
      <c r="D40" s="7">
        <v>225042</v>
      </c>
    </row>
    <row r="41" spans="1:4" x14ac:dyDescent="0.2">
      <c r="A41">
        <v>2022</v>
      </c>
      <c r="B41" s="5" t="s">
        <v>195</v>
      </c>
      <c r="C41" s="6">
        <v>9.5604100000000003E-4</v>
      </c>
      <c r="D41" s="7">
        <v>95921</v>
      </c>
    </row>
    <row r="42" spans="1:4" x14ac:dyDescent="0.2">
      <c r="A42">
        <v>2022</v>
      </c>
      <c r="B42" s="5" t="s">
        <v>88</v>
      </c>
      <c r="C42" s="6">
        <v>2.8274542000000001E-3</v>
      </c>
      <c r="D42" s="7">
        <v>283682</v>
      </c>
    </row>
    <row r="43" spans="1:4" x14ac:dyDescent="0.2">
      <c r="A43">
        <v>2022</v>
      </c>
      <c r="B43" s="5" t="s">
        <v>89</v>
      </c>
      <c r="C43" s="6">
        <v>1.0179779000000001E-3</v>
      </c>
      <c r="D43" s="7">
        <v>102135</v>
      </c>
    </row>
    <row r="44" spans="1:4" x14ac:dyDescent="0.2">
      <c r="A44">
        <v>2022</v>
      </c>
      <c r="B44" s="5" t="s">
        <v>90</v>
      </c>
      <c r="C44" s="6">
        <v>0.10679734019999999</v>
      </c>
      <c r="D44" s="7">
        <v>10715121</v>
      </c>
    </row>
    <row r="45" spans="1:4" x14ac:dyDescent="0.2">
      <c r="A45">
        <v>2022</v>
      </c>
      <c r="B45" s="5" t="s">
        <v>218</v>
      </c>
      <c r="C45" s="6">
        <v>1.473156E-3</v>
      </c>
      <c r="D45" s="7">
        <v>147804</v>
      </c>
    </row>
    <row r="46" spans="1:4" x14ac:dyDescent="0.2">
      <c r="A46">
        <v>2022</v>
      </c>
      <c r="B46" s="5" t="s">
        <v>91</v>
      </c>
      <c r="C46" s="6">
        <v>1.50403E-3</v>
      </c>
      <c r="D46" s="7">
        <v>150901</v>
      </c>
    </row>
    <row r="47" spans="1:4" x14ac:dyDescent="0.2">
      <c r="A47">
        <v>2022</v>
      </c>
      <c r="B47" s="5" t="s">
        <v>92</v>
      </c>
      <c r="C47" s="6">
        <v>1.7843900000000001E-3</v>
      </c>
      <c r="D47" s="7">
        <v>179030</v>
      </c>
    </row>
    <row r="48" spans="1:4" x14ac:dyDescent="0.2">
      <c r="A48">
        <v>2022</v>
      </c>
      <c r="B48" s="5" t="s">
        <v>93</v>
      </c>
      <c r="C48" s="6">
        <v>6.1737520000000004E-4</v>
      </c>
      <c r="D48" s="7">
        <v>61942</v>
      </c>
    </row>
    <row r="49" spans="1:4" x14ac:dyDescent="0.2">
      <c r="A49">
        <v>2022</v>
      </c>
      <c r="B49" s="5" t="s">
        <v>197</v>
      </c>
      <c r="C49" s="6">
        <v>2.528144E-4</v>
      </c>
      <c r="D49" s="7">
        <v>25365</v>
      </c>
    </row>
    <row r="50" spans="1:4" x14ac:dyDescent="0.2">
      <c r="A50">
        <v>2022</v>
      </c>
      <c r="B50" s="5" t="s">
        <v>94</v>
      </c>
      <c r="C50" s="6">
        <v>2.5708596999999998E-3</v>
      </c>
      <c r="D50" s="7">
        <v>257938</v>
      </c>
    </row>
    <row r="51" spans="1:4" x14ac:dyDescent="0.2">
      <c r="A51">
        <v>2022</v>
      </c>
      <c r="B51" s="5" t="s">
        <v>95</v>
      </c>
      <c r="C51" s="6">
        <v>1.2465883E-3</v>
      </c>
      <c r="D51" s="7">
        <v>125072</v>
      </c>
    </row>
    <row r="52" spans="1:4" x14ac:dyDescent="0.2">
      <c r="A52">
        <v>2022</v>
      </c>
      <c r="B52" s="5" t="s">
        <v>96</v>
      </c>
      <c r="C52" s="6">
        <v>1.1551733999999999E-3</v>
      </c>
      <c r="D52" s="7">
        <v>115900</v>
      </c>
    </row>
    <row r="53" spans="1:4" x14ac:dyDescent="0.2">
      <c r="A53">
        <v>2022</v>
      </c>
      <c r="B53" s="5" t="s">
        <v>198</v>
      </c>
      <c r="C53" s="6">
        <v>3.2129160000000001E-3</v>
      </c>
      <c r="D53" s="7">
        <v>322356</v>
      </c>
    </row>
    <row r="54" spans="1:4" x14ac:dyDescent="0.2">
      <c r="A54">
        <v>2022</v>
      </c>
      <c r="B54" s="5" t="s">
        <v>97</v>
      </c>
      <c r="C54" s="6">
        <v>1.4108878E-3</v>
      </c>
      <c r="D54" s="7">
        <v>141556</v>
      </c>
    </row>
    <row r="55" spans="1:4" x14ac:dyDescent="0.2">
      <c r="A55">
        <v>2022</v>
      </c>
      <c r="B55" s="5" t="s">
        <v>98</v>
      </c>
      <c r="C55" s="6">
        <v>2.3320916999999999E-3</v>
      </c>
      <c r="D55" s="7">
        <v>233982</v>
      </c>
    </row>
    <row r="56" spans="1:4" x14ac:dyDescent="0.2">
      <c r="A56">
        <v>2022</v>
      </c>
      <c r="B56" s="5" t="s">
        <v>99</v>
      </c>
      <c r="C56" s="6">
        <v>2.3989390000000001E-4</v>
      </c>
      <c r="D56" s="7">
        <v>24069</v>
      </c>
    </row>
    <row r="57" spans="1:4" x14ac:dyDescent="0.2">
      <c r="A57">
        <v>2022</v>
      </c>
      <c r="B57" s="5" t="s">
        <v>217</v>
      </c>
      <c r="C57" s="6">
        <v>0</v>
      </c>
    </row>
    <row r="58" spans="1:4" x14ac:dyDescent="0.2">
      <c r="A58">
        <v>2022</v>
      </c>
      <c r="B58" s="5" t="s">
        <v>242</v>
      </c>
      <c r="C58" s="6">
        <v>6.0423400999999998E-3</v>
      </c>
      <c r="D58" s="7">
        <v>606236</v>
      </c>
    </row>
    <row r="59" spans="1:4" x14ac:dyDescent="0.2">
      <c r="A59">
        <v>2022</v>
      </c>
      <c r="B59" s="5" t="s">
        <v>100</v>
      </c>
      <c r="C59" s="6">
        <v>6.4753607300000002E-2</v>
      </c>
      <c r="D59" s="7">
        <v>6496817</v>
      </c>
    </row>
    <row r="60" spans="1:4" x14ac:dyDescent="0.2">
      <c r="A60">
        <v>2022</v>
      </c>
      <c r="B60" s="5" t="s">
        <v>101</v>
      </c>
      <c r="C60" s="6">
        <v>2.241314E-4</v>
      </c>
      <c r="D60" s="7">
        <v>22487</v>
      </c>
    </row>
    <row r="61" spans="1:4" x14ac:dyDescent="0.2">
      <c r="A61">
        <v>2022</v>
      </c>
      <c r="B61" s="5" t="s">
        <v>102</v>
      </c>
      <c r="C61" s="6">
        <v>1.9539700000000002E-3</v>
      </c>
      <c r="D61" s="7">
        <v>196044</v>
      </c>
    </row>
    <row r="62" spans="1:4" x14ac:dyDescent="0.2">
      <c r="A62">
        <v>2022</v>
      </c>
      <c r="B62" s="5" t="s">
        <v>199</v>
      </c>
      <c r="C62" s="6">
        <v>2.0338524000000002E-3</v>
      </c>
      <c r="D62" s="7">
        <v>204059</v>
      </c>
    </row>
    <row r="63" spans="1:4" x14ac:dyDescent="0.2">
      <c r="A63">
        <v>2022</v>
      </c>
      <c r="B63" s="5" t="s">
        <v>103</v>
      </c>
      <c r="C63" s="6">
        <v>2.4387533000000002E-3</v>
      </c>
      <c r="D63" s="7">
        <v>244683</v>
      </c>
    </row>
    <row r="64" spans="1:4" x14ac:dyDescent="0.2">
      <c r="A64">
        <v>2022</v>
      </c>
      <c r="B64" s="5" t="s">
        <v>104</v>
      </c>
      <c r="C64" s="6">
        <v>3.7458530000000003E-4</v>
      </c>
      <c r="D64" s="7">
        <v>37583</v>
      </c>
    </row>
    <row r="65" spans="1:4" x14ac:dyDescent="0.2">
      <c r="A65">
        <v>2022</v>
      </c>
      <c r="B65" s="5" t="s">
        <v>105</v>
      </c>
      <c r="C65" s="6">
        <v>2.1038991999999999E-3</v>
      </c>
      <c r="D65" s="7">
        <v>211087</v>
      </c>
    </row>
    <row r="66" spans="1:4" x14ac:dyDescent="0.2">
      <c r="A66">
        <v>2022</v>
      </c>
      <c r="B66" s="5" t="s">
        <v>202</v>
      </c>
      <c r="C66" s="6">
        <v>2.9719201999999999E-3</v>
      </c>
      <c r="D66" s="7">
        <v>298177</v>
      </c>
    </row>
    <row r="67" spans="1:4" x14ac:dyDescent="0.2">
      <c r="A67">
        <v>2022</v>
      </c>
      <c r="B67" s="5" t="s">
        <v>106</v>
      </c>
      <c r="C67" s="6">
        <v>1.6698920000000001E-3</v>
      </c>
      <c r="D67" s="7">
        <v>167543</v>
      </c>
    </row>
    <row r="68" spans="1:4" x14ac:dyDescent="0.2">
      <c r="A68">
        <v>2022</v>
      </c>
      <c r="B68" s="5" t="s">
        <v>107</v>
      </c>
      <c r="C68" s="6">
        <v>1.2636680999999999E-3</v>
      </c>
      <c r="D68" s="7">
        <v>126786</v>
      </c>
    </row>
    <row r="69" spans="1:4" x14ac:dyDescent="0.2">
      <c r="A69">
        <v>2022</v>
      </c>
      <c r="B69" s="5" t="s">
        <v>108</v>
      </c>
      <c r="C69" s="6">
        <v>4.1194572999999996E-3</v>
      </c>
      <c r="D69" s="7">
        <v>413311</v>
      </c>
    </row>
    <row r="70" spans="1:4" x14ac:dyDescent="0.2">
      <c r="A70">
        <v>2022</v>
      </c>
      <c r="B70" s="5" t="s">
        <v>200</v>
      </c>
      <c r="C70" s="6">
        <v>1.4678465E-3</v>
      </c>
      <c r="D70" s="7">
        <v>147271</v>
      </c>
    </row>
    <row r="71" spans="1:4" x14ac:dyDescent="0.2">
      <c r="A71">
        <v>2022</v>
      </c>
      <c r="B71" s="5" t="s">
        <v>0</v>
      </c>
      <c r="C71" s="6">
        <v>1.9709142999999999E-3</v>
      </c>
      <c r="D71" s="7">
        <v>197744</v>
      </c>
    </row>
    <row r="72" spans="1:4" x14ac:dyDescent="0.2">
      <c r="A72">
        <v>2022</v>
      </c>
      <c r="B72" s="5" t="s">
        <v>2</v>
      </c>
      <c r="C72" s="6">
        <v>3.7612548000000002E-3</v>
      </c>
      <c r="D72" s="7">
        <v>377372</v>
      </c>
    </row>
    <row r="73" spans="1:4" x14ac:dyDescent="0.2">
      <c r="A73">
        <v>2022</v>
      </c>
      <c r="B73" s="5" t="s">
        <v>3</v>
      </c>
      <c r="C73" s="6">
        <v>0</v>
      </c>
    </row>
    <row r="74" spans="1:4" x14ac:dyDescent="0.2">
      <c r="A74">
        <v>2022</v>
      </c>
      <c r="B74" s="5" t="s">
        <v>240</v>
      </c>
      <c r="C74" s="6">
        <v>2.0121062000000001E-3</v>
      </c>
      <c r="D74" s="7">
        <v>201877</v>
      </c>
    </row>
    <row r="75" spans="1:4" x14ac:dyDescent="0.2">
      <c r="A75">
        <v>2022</v>
      </c>
      <c r="B75" s="5" t="s">
        <v>4</v>
      </c>
      <c r="C75" s="6">
        <v>5.4135599999999997E-5</v>
      </c>
      <c r="D75" s="7">
        <v>5431</v>
      </c>
    </row>
    <row r="76" spans="1:4" x14ac:dyDescent="0.2">
      <c r="A76">
        <v>2022</v>
      </c>
      <c r="B76" s="5" t="s">
        <v>5</v>
      </c>
      <c r="C76" s="6">
        <v>1.4976200000000001E-3</v>
      </c>
      <c r="D76" s="7">
        <v>150258</v>
      </c>
    </row>
    <row r="77" spans="1:4" x14ac:dyDescent="0.2">
      <c r="A77">
        <v>2022</v>
      </c>
      <c r="B77" s="5" t="s">
        <v>6</v>
      </c>
      <c r="C77" s="6">
        <v>1.78857987E-2</v>
      </c>
      <c r="D77" s="7">
        <v>1794506</v>
      </c>
    </row>
    <row r="78" spans="1:4" x14ac:dyDescent="0.2">
      <c r="A78">
        <v>2022</v>
      </c>
      <c r="B78" s="5" t="s">
        <v>7</v>
      </c>
      <c r="C78" s="6">
        <v>2.3904220000000001E-3</v>
      </c>
      <c r="D78" s="7">
        <v>239834</v>
      </c>
    </row>
    <row r="79" spans="1:4" x14ac:dyDescent="0.2">
      <c r="A79">
        <v>2022</v>
      </c>
      <c r="B79" s="5" t="s">
        <v>226</v>
      </c>
      <c r="C79" s="6">
        <v>3.7704619999999998E-4</v>
      </c>
      <c r="D79" s="7">
        <v>37830</v>
      </c>
    </row>
    <row r="80" spans="1:4" x14ac:dyDescent="0.2">
      <c r="A80">
        <v>2022</v>
      </c>
      <c r="B80" s="5" t="s">
        <v>8</v>
      </c>
      <c r="C80" s="6">
        <v>2.7808484E-3</v>
      </c>
      <c r="D80" s="7">
        <v>279006</v>
      </c>
    </row>
    <row r="81" spans="1:4" x14ac:dyDescent="0.2">
      <c r="A81">
        <v>2022</v>
      </c>
      <c r="B81" s="5" t="s">
        <v>9</v>
      </c>
      <c r="C81" s="6">
        <v>5.1828192999999996E-3</v>
      </c>
      <c r="D81" s="7">
        <v>519999</v>
      </c>
    </row>
    <row r="82" spans="1:4" x14ac:dyDescent="0.2">
      <c r="A82">
        <v>2022</v>
      </c>
      <c r="B82" s="5" t="s">
        <v>10</v>
      </c>
      <c r="C82" s="6">
        <v>5.5573545999999998E-3</v>
      </c>
      <c r="D82" s="7">
        <v>557577</v>
      </c>
    </row>
    <row r="83" spans="1:4" x14ac:dyDescent="0.2">
      <c r="A83">
        <v>2022</v>
      </c>
      <c r="B83" s="5" t="s">
        <v>225</v>
      </c>
      <c r="C83" s="6">
        <v>1.3314227000000001E-3</v>
      </c>
      <c r="D83" s="7">
        <v>133583</v>
      </c>
    </row>
    <row r="84" spans="1:4" x14ac:dyDescent="0.2">
      <c r="A84">
        <v>2022</v>
      </c>
      <c r="B84" s="5" t="s">
        <v>11</v>
      </c>
      <c r="C84" s="6">
        <v>2.5101629000000001E-3</v>
      </c>
      <c r="D84" s="7">
        <v>251848</v>
      </c>
    </row>
    <row r="85" spans="1:4" x14ac:dyDescent="0.2">
      <c r="A85">
        <v>2022</v>
      </c>
      <c r="B85" s="5" t="s">
        <v>12</v>
      </c>
      <c r="C85" s="6">
        <v>1.5791522E-3</v>
      </c>
      <c r="D85" s="7">
        <v>158438</v>
      </c>
    </row>
    <row r="86" spans="1:4" x14ac:dyDescent="0.2">
      <c r="A86">
        <v>2022</v>
      </c>
      <c r="B86" s="5" t="s">
        <v>13</v>
      </c>
      <c r="C86" s="6">
        <v>2.0104973000000001E-3</v>
      </c>
      <c r="D86" s="7">
        <v>201716</v>
      </c>
    </row>
    <row r="87" spans="1:4" x14ac:dyDescent="0.2">
      <c r="A87">
        <v>2022</v>
      </c>
      <c r="B87" s="5" t="s">
        <v>183</v>
      </c>
      <c r="C87" s="6">
        <v>3.0914045E-3</v>
      </c>
      <c r="D87" s="7">
        <v>310165</v>
      </c>
    </row>
    <row r="88" spans="1:4" x14ac:dyDescent="0.2">
      <c r="A88">
        <v>2022</v>
      </c>
      <c r="B88" s="5" t="s">
        <v>14</v>
      </c>
      <c r="C88" s="6">
        <v>2.6861350000000001E-3</v>
      </c>
      <c r="D88" s="7">
        <v>269504</v>
      </c>
    </row>
    <row r="89" spans="1:4" x14ac:dyDescent="0.2">
      <c r="A89">
        <v>2022</v>
      </c>
      <c r="B89" s="5" t="s">
        <v>15</v>
      </c>
      <c r="C89" s="6">
        <v>1.2386758999999999E-3</v>
      </c>
      <c r="D89" s="7">
        <v>124278</v>
      </c>
    </row>
    <row r="90" spans="1:4" x14ac:dyDescent="0.2">
      <c r="A90">
        <v>2022</v>
      </c>
      <c r="B90" s="5" t="s">
        <v>16</v>
      </c>
      <c r="C90" s="6">
        <v>3.2829622E-3</v>
      </c>
      <c r="D90" s="7">
        <v>329384</v>
      </c>
    </row>
    <row r="91" spans="1:4" x14ac:dyDescent="0.2">
      <c r="A91">
        <v>2022</v>
      </c>
      <c r="B91" s="5" t="s">
        <v>224</v>
      </c>
      <c r="C91" s="6">
        <v>1.5902581E-3</v>
      </c>
      <c r="D91" s="7">
        <v>159553</v>
      </c>
    </row>
    <row r="92" spans="1:4" x14ac:dyDescent="0.2">
      <c r="A92">
        <v>2022</v>
      </c>
      <c r="B92" s="5" t="s">
        <v>17</v>
      </c>
      <c r="C92" s="6">
        <v>2.1286831000000002E-3</v>
      </c>
      <c r="D92" s="7">
        <v>213574</v>
      </c>
    </row>
    <row r="93" spans="1:4" x14ac:dyDescent="0.2">
      <c r="A93">
        <v>2022</v>
      </c>
      <c r="B93" s="5" t="s">
        <v>18</v>
      </c>
      <c r="C93" s="6">
        <v>5.1086600000000001E-3</v>
      </c>
      <c r="D93" s="7">
        <v>512559</v>
      </c>
    </row>
    <row r="94" spans="1:4" x14ac:dyDescent="0.2">
      <c r="A94">
        <v>2022</v>
      </c>
      <c r="B94" s="5" t="s">
        <v>19</v>
      </c>
      <c r="C94" s="6">
        <v>1.1875827E-3</v>
      </c>
      <c r="D94" s="7">
        <v>119152</v>
      </c>
    </row>
    <row r="95" spans="1:4" x14ac:dyDescent="0.2">
      <c r="A95">
        <v>2022</v>
      </c>
      <c r="B95" s="5" t="s">
        <v>223</v>
      </c>
      <c r="C95" s="6">
        <v>2.227745E-4</v>
      </c>
      <c r="D95" s="7">
        <v>22351</v>
      </c>
    </row>
    <row r="96" spans="1:4" x14ac:dyDescent="0.2">
      <c r="A96">
        <v>2022</v>
      </c>
      <c r="B96" s="5" t="s">
        <v>20</v>
      </c>
      <c r="C96" s="6">
        <v>0</v>
      </c>
    </row>
    <row r="97" spans="1:4" x14ac:dyDescent="0.2">
      <c r="A97">
        <v>2022</v>
      </c>
      <c r="B97" s="5" t="s">
        <v>21</v>
      </c>
      <c r="C97" s="6">
        <v>3.6568700000000001E-4</v>
      </c>
      <c r="D97" s="7">
        <v>36690</v>
      </c>
    </row>
    <row r="98" spans="1:4" x14ac:dyDescent="0.2">
      <c r="A98">
        <v>2022</v>
      </c>
      <c r="B98" s="5" t="s">
        <v>22</v>
      </c>
      <c r="C98" s="6">
        <v>0</v>
      </c>
    </row>
    <row r="99" spans="1:4" x14ac:dyDescent="0.2">
      <c r="A99">
        <v>2022</v>
      </c>
      <c r="B99" s="5" t="s">
        <v>222</v>
      </c>
      <c r="C99" s="6">
        <v>1.1106008000000001E-3</v>
      </c>
      <c r="D99" s="7">
        <v>111428</v>
      </c>
    </row>
    <row r="100" spans="1:4" x14ac:dyDescent="0.2">
      <c r="A100">
        <v>2022</v>
      </c>
      <c r="B100" s="5" t="s">
        <v>23</v>
      </c>
      <c r="C100" s="6">
        <v>3.0349892699999999E-2</v>
      </c>
      <c r="D100" s="7">
        <v>3045046</v>
      </c>
    </row>
    <row r="101" spans="1:4" x14ac:dyDescent="0.2">
      <c r="A101">
        <v>2022</v>
      </c>
      <c r="B101" s="5" t="s">
        <v>245</v>
      </c>
      <c r="C101" s="6">
        <v>1.9850121E-3</v>
      </c>
      <c r="D101" s="7">
        <v>199159</v>
      </c>
    </row>
    <row r="102" spans="1:4" x14ac:dyDescent="0.2">
      <c r="A102">
        <v>2022</v>
      </c>
      <c r="B102" s="5" t="s">
        <v>25</v>
      </c>
      <c r="C102" s="6">
        <v>1.49739E-4</v>
      </c>
      <c r="D102" s="7">
        <v>15024</v>
      </c>
    </row>
    <row r="103" spans="1:4" x14ac:dyDescent="0.2">
      <c r="A103">
        <v>2022</v>
      </c>
      <c r="B103" s="5" t="s">
        <v>228</v>
      </c>
      <c r="C103" s="6">
        <v>1.3787765999999999E-3</v>
      </c>
      <c r="D103" s="7">
        <v>138335</v>
      </c>
    </row>
    <row r="104" spans="1:4" x14ac:dyDescent="0.2">
      <c r="A104">
        <v>2022</v>
      </c>
      <c r="B104" s="5" t="s">
        <v>26</v>
      </c>
      <c r="C104" s="6">
        <v>2.1399545000000001E-3</v>
      </c>
      <c r="D104" s="7">
        <v>214705</v>
      </c>
    </row>
    <row r="105" spans="1:4" x14ac:dyDescent="0.2">
      <c r="A105">
        <v>2022</v>
      </c>
      <c r="B105" s="5" t="s">
        <v>27</v>
      </c>
      <c r="C105" s="6">
        <v>1.541352E-3</v>
      </c>
      <c r="D105" s="7">
        <v>154646</v>
      </c>
    </row>
    <row r="106" spans="1:4" x14ac:dyDescent="0.2">
      <c r="A106">
        <v>2022</v>
      </c>
      <c r="B106" s="5" t="s">
        <v>28</v>
      </c>
      <c r="C106" s="6">
        <v>2.054519E-4</v>
      </c>
      <c r="D106" s="7">
        <v>20613</v>
      </c>
    </row>
    <row r="107" spans="1:4" x14ac:dyDescent="0.2">
      <c r="A107">
        <v>2022</v>
      </c>
      <c r="B107" s="5" t="s">
        <v>184</v>
      </c>
      <c r="C107" s="6">
        <v>1.6100687999999999E-3</v>
      </c>
      <c r="D107" s="7">
        <v>161540</v>
      </c>
    </row>
    <row r="108" spans="1:4" x14ac:dyDescent="0.2">
      <c r="A108">
        <v>2022</v>
      </c>
      <c r="B108" s="5" t="s">
        <v>29</v>
      </c>
      <c r="C108" s="6">
        <v>3.6551346999999998E-3</v>
      </c>
      <c r="D108" s="7">
        <v>366725</v>
      </c>
    </row>
    <row r="109" spans="1:4" x14ac:dyDescent="0.2">
      <c r="A109">
        <v>2022</v>
      </c>
      <c r="B109" s="5" t="s">
        <v>30</v>
      </c>
      <c r="C109" s="6">
        <v>9.7840269999999998E-4</v>
      </c>
      <c r="D109" s="7">
        <v>98164</v>
      </c>
    </row>
    <row r="110" spans="1:4" x14ac:dyDescent="0.2">
      <c r="A110">
        <v>2022</v>
      </c>
      <c r="B110" s="5" t="s">
        <v>31</v>
      </c>
      <c r="C110" s="6">
        <v>6.3075699999999996E-5</v>
      </c>
      <c r="D110" s="7">
        <v>6328</v>
      </c>
    </row>
    <row r="111" spans="1:4" x14ac:dyDescent="0.2">
      <c r="A111">
        <v>2022</v>
      </c>
      <c r="B111" s="5" t="s">
        <v>221</v>
      </c>
      <c r="C111" s="6">
        <v>1.4702751300000001E-2</v>
      </c>
      <c r="D111" s="7">
        <v>1475147</v>
      </c>
    </row>
    <row r="112" spans="1:4" x14ac:dyDescent="0.2">
      <c r="A112">
        <v>2022</v>
      </c>
      <c r="B112" s="5" t="s">
        <v>32</v>
      </c>
      <c r="C112" s="6">
        <v>1.4722870000000001E-3</v>
      </c>
      <c r="D112" s="7">
        <v>147717</v>
      </c>
    </row>
    <row r="113" spans="1:4" x14ac:dyDescent="0.2">
      <c r="A113">
        <v>2022</v>
      </c>
      <c r="B113" s="5" t="s">
        <v>33</v>
      </c>
      <c r="C113" s="6">
        <v>3.0365509999999999E-4</v>
      </c>
      <c r="D113" s="7">
        <v>30466</v>
      </c>
    </row>
    <row r="114" spans="1:4" x14ac:dyDescent="0.2">
      <c r="A114">
        <v>2022</v>
      </c>
      <c r="B114" s="5" t="s">
        <v>34</v>
      </c>
      <c r="C114" s="6">
        <v>1.9463228E-3</v>
      </c>
      <c r="D114" s="7">
        <v>195277</v>
      </c>
    </row>
    <row r="115" spans="1:4" x14ac:dyDescent="0.2">
      <c r="A115">
        <v>2022</v>
      </c>
      <c r="B115" s="5" t="s">
        <v>229</v>
      </c>
      <c r="C115" s="6">
        <v>1.8016614999999999E-3</v>
      </c>
      <c r="D115" s="7">
        <v>180763</v>
      </c>
    </row>
    <row r="116" spans="1:4" x14ac:dyDescent="0.2">
      <c r="A116">
        <v>2022</v>
      </c>
      <c r="B116" s="5" t="s">
        <v>35</v>
      </c>
      <c r="C116" s="6">
        <v>1.9613932000000001E-3</v>
      </c>
      <c r="D116" s="7">
        <v>196789</v>
      </c>
    </row>
    <row r="117" spans="1:4" x14ac:dyDescent="0.2">
      <c r="A117">
        <v>2022</v>
      </c>
      <c r="B117" s="5" t="s">
        <v>36</v>
      </c>
      <c r="C117" s="6">
        <v>2.6183650000000001E-3</v>
      </c>
      <c r="D117" s="7">
        <v>262704</v>
      </c>
    </row>
    <row r="118" spans="1:4" x14ac:dyDescent="0.2">
      <c r="A118">
        <v>2022</v>
      </c>
      <c r="B118" s="5" t="s">
        <v>37</v>
      </c>
      <c r="C118" s="6">
        <v>6.3587249900000004E-2</v>
      </c>
      <c r="D118" s="7">
        <v>6379794</v>
      </c>
    </row>
    <row r="119" spans="1:4" x14ac:dyDescent="0.2">
      <c r="A119">
        <v>2022</v>
      </c>
      <c r="B119" s="5" t="s">
        <v>219</v>
      </c>
      <c r="C119" s="6">
        <v>2.2462659999999998E-3</v>
      </c>
      <c r="D119" s="7">
        <v>225371</v>
      </c>
    </row>
    <row r="120" spans="1:4" x14ac:dyDescent="0.2">
      <c r="A120">
        <v>2022</v>
      </c>
      <c r="B120" s="5" t="s">
        <v>38</v>
      </c>
      <c r="C120" s="6">
        <v>2.6830535000000001E-3</v>
      </c>
      <c r="D120" s="7">
        <v>269194</v>
      </c>
    </row>
    <row r="121" spans="1:4" x14ac:dyDescent="0.2">
      <c r="A121">
        <v>2022</v>
      </c>
      <c r="B121" s="5" t="s">
        <v>39</v>
      </c>
      <c r="C121" s="6">
        <v>1.0413703999999999E-3</v>
      </c>
      <c r="D121" s="7">
        <v>104482</v>
      </c>
    </row>
    <row r="122" spans="1:4" x14ac:dyDescent="0.2">
      <c r="A122">
        <v>2022</v>
      </c>
      <c r="B122" s="5" t="s">
        <v>40</v>
      </c>
      <c r="C122" s="6">
        <v>0</v>
      </c>
    </row>
    <row r="123" spans="1:4" x14ac:dyDescent="0.2">
      <c r="A123">
        <v>2022</v>
      </c>
      <c r="B123" s="5" t="s">
        <v>220</v>
      </c>
      <c r="C123" s="6">
        <v>1.7350334999999999E-3</v>
      </c>
      <c r="D123" s="7">
        <v>174078</v>
      </c>
    </row>
    <row r="124" spans="1:4" x14ac:dyDescent="0.2">
      <c r="A124">
        <v>2022</v>
      </c>
      <c r="B124" s="5" t="s">
        <v>41</v>
      </c>
      <c r="C124" s="6">
        <v>2.5200330000000001E-3</v>
      </c>
      <c r="D124" s="7">
        <v>252838</v>
      </c>
    </row>
    <row r="125" spans="1:4" x14ac:dyDescent="0.2">
      <c r="A125">
        <v>2022</v>
      </c>
      <c r="B125" s="5" t="s">
        <v>42</v>
      </c>
      <c r="C125" s="6">
        <v>1.3545401E-3</v>
      </c>
      <c r="D125" s="7">
        <v>135903</v>
      </c>
    </row>
    <row r="126" spans="1:4" x14ac:dyDescent="0.2">
      <c r="A126">
        <v>2022</v>
      </c>
      <c r="B126" s="5" t="s">
        <v>43</v>
      </c>
      <c r="C126" s="6">
        <v>0</v>
      </c>
    </row>
    <row r="127" spans="1:4" x14ac:dyDescent="0.2">
      <c r="A127">
        <v>2022</v>
      </c>
      <c r="B127" s="5" t="s">
        <v>185</v>
      </c>
      <c r="C127" s="6">
        <v>2.0422979000000001E-3</v>
      </c>
      <c r="D127" s="7">
        <v>204906</v>
      </c>
    </row>
    <row r="128" spans="1:4" x14ac:dyDescent="0.2">
      <c r="A128">
        <v>2022</v>
      </c>
      <c r="B128" s="5" t="s">
        <v>44</v>
      </c>
      <c r="C128" s="6">
        <v>2.049229E-4</v>
      </c>
      <c r="D128" s="7">
        <v>20560</v>
      </c>
    </row>
    <row r="129" spans="1:4" x14ac:dyDescent="0.2">
      <c r="A129">
        <v>2022</v>
      </c>
      <c r="B129" s="5" t="s">
        <v>45</v>
      </c>
      <c r="C129" s="6">
        <v>2.5329305999999998E-3</v>
      </c>
      <c r="D129" s="7">
        <v>254132</v>
      </c>
    </row>
    <row r="130" spans="1:4" x14ac:dyDescent="0.2">
      <c r="A130">
        <v>2022</v>
      </c>
      <c r="B130" s="5" t="s">
        <v>46</v>
      </c>
      <c r="C130" s="6">
        <v>3.6645249999999997E-4</v>
      </c>
      <c r="D130" s="7">
        <v>36767</v>
      </c>
    </row>
    <row r="131" spans="1:4" x14ac:dyDescent="0.2">
      <c r="A131">
        <v>2022</v>
      </c>
      <c r="B131" s="5" t="s">
        <v>189</v>
      </c>
      <c r="C131" s="6">
        <v>8.9023580000000002E-4</v>
      </c>
      <c r="D131" s="7">
        <v>89319</v>
      </c>
    </row>
    <row r="132" spans="1:4" x14ac:dyDescent="0.2">
      <c r="A132">
        <v>2022</v>
      </c>
      <c r="B132" s="5" t="s">
        <v>47</v>
      </c>
      <c r="C132" s="6">
        <v>1.1218385E-3</v>
      </c>
      <c r="D132" s="7">
        <v>112556</v>
      </c>
    </row>
    <row r="133" spans="1:4" x14ac:dyDescent="0.2">
      <c r="A133">
        <v>2022</v>
      </c>
      <c r="B133" s="5" t="s">
        <v>48</v>
      </c>
      <c r="C133" s="6">
        <v>2.2886499999999998E-5</v>
      </c>
      <c r="D133" s="7">
        <v>2296</v>
      </c>
    </row>
    <row r="134" spans="1:4" x14ac:dyDescent="0.2">
      <c r="A134">
        <v>2022</v>
      </c>
      <c r="B134" s="5" t="s">
        <v>49</v>
      </c>
      <c r="C134" s="6">
        <v>3.6578959999999998E-4</v>
      </c>
      <c r="D134" s="7">
        <v>36700</v>
      </c>
    </row>
    <row r="135" spans="1:4" x14ac:dyDescent="0.2">
      <c r="A135">
        <v>2022</v>
      </c>
      <c r="B135" s="5" t="s">
        <v>186</v>
      </c>
      <c r="C135" s="6">
        <v>4.7476918000000003E-3</v>
      </c>
      <c r="D135" s="7">
        <v>476342</v>
      </c>
    </row>
    <row r="136" spans="1:4" x14ac:dyDescent="0.2">
      <c r="A136">
        <v>2022</v>
      </c>
      <c r="B136" s="5" t="s">
        <v>50</v>
      </c>
      <c r="C136" s="6">
        <v>1.3806E-5</v>
      </c>
      <c r="D136" s="7">
        <v>1385</v>
      </c>
    </row>
    <row r="137" spans="1:4" x14ac:dyDescent="0.2">
      <c r="A137">
        <v>2022</v>
      </c>
      <c r="B137" s="5" t="s">
        <v>51</v>
      </c>
      <c r="C137" s="6">
        <v>3.1600619999999999E-3</v>
      </c>
      <c r="D137" s="7">
        <v>317053</v>
      </c>
    </row>
    <row r="138" spans="1:4" x14ac:dyDescent="0.2">
      <c r="A138">
        <v>2022</v>
      </c>
      <c r="B138" s="5" t="s">
        <v>52</v>
      </c>
      <c r="C138" s="6">
        <v>2.2081601999999999E-3</v>
      </c>
      <c r="D138" s="7">
        <v>221548</v>
      </c>
    </row>
    <row r="139" spans="1:4" x14ac:dyDescent="0.2">
      <c r="A139">
        <v>2022</v>
      </c>
      <c r="B139" s="5" t="s">
        <v>109</v>
      </c>
      <c r="C139" s="6">
        <v>2.3688951999999998E-3</v>
      </c>
      <c r="D139" s="7">
        <v>237674</v>
      </c>
    </row>
    <row r="140" spans="1:4" x14ac:dyDescent="0.2">
      <c r="A140">
        <v>2022</v>
      </c>
      <c r="B140" s="5" t="s">
        <v>110</v>
      </c>
      <c r="C140" s="6">
        <v>2.8716752999999999E-3</v>
      </c>
      <c r="D140" s="7">
        <v>288119</v>
      </c>
    </row>
    <row r="141" spans="1:4" x14ac:dyDescent="0.2">
      <c r="A141">
        <v>2022</v>
      </c>
      <c r="B141" s="5" t="s">
        <v>111</v>
      </c>
      <c r="C141" s="6">
        <v>8.9540955000000002E-3</v>
      </c>
      <c r="D141" s="7">
        <v>898376</v>
      </c>
    </row>
    <row r="142" spans="1:4" x14ac:dyDescent="0.2">
      <c r="A142">
        <v>2022</v>
      </c>
      <c r="B142" s="5" t="s">
        <v>112</v>
      </c>
      <c r="C142" s="6">
        <v>1.0287179E-3</v>
      </c>
      <c r="D142" s="7">
        <v>103213</v>
      </c>
    </row>
    <row r="143" spans="1:4" x14ac:dyDescent="0.2">
      <c r="A143">
        <v>2022</v>
      </c>
      <c r="B143" s="5" t="s">
        <v>113</v>
      </c>
      <c r="C143" s="6">
        <v>3.3220520999999999E-3</v>
      </c>
      <c r="D143" s="7">
        <v>333306</v>
      </c>
    </row>
    <row r="144" spans="1:4" x14ac:dyDescent="0.2">
      <c r="A144">
        <v>2022</v>
      </c>
      <c r="B144" s="5" t="s">
        <v>114</v>
      </c>
      <c r="C144" s="6">
        <v>1.9289037000000001E-3</v>
      </c>
      <c r="D144" s="7">
        <v>193530</v>
      </c>
    </row>
    <row r="145" spans="1:4" x14ac:dyDescent="0.2">
      <c r="A145">
        <v>2022</v>
      </c>
      <c r="B145" s="5" t="s">
        <v>115</v>
      </c>
      <c r="C145" s="6">
        <v>2.2572947999999998E-3</v>
      </c>
      <c r="D145" s="7">
        <v>226477</v>
      </c>
    </row>
    <row r="146" spans="1:4" x14ac:dyDescent="0.2">
      <c r="A146">
        <v>2022</v>
      </c>
      <c r="B146" s="5" t="s">
        <v>203</v>
      </c>
      <c r="C146" s="6">
        <v>1.1066146999999999E-3</v>
      </c>
      <c r="D146" s="7">
        <v>111028</v>
      </c>
    </row>
    <row r="147" spans="1:4" x14ac:dyDescent="0.2">
      <c r="A147">
        <v>2022</v>
      </c>
      <c r="B147" s="5" t="s">
        <v>116</v>
      </c>
      <c r="C147" s="6">
        <v>4.4997172000000004E-3</v>
      </c>
      <c r="D147" s="7">
        <v>451463</v>
      </c>
    </row>
    <row r="148" spans="1:4" x14ac:dyDescent="0.2">
      <c r="A148">
        <v>2022</v>
      </c>
      <c r="B148" s="5" t="s">
        <v>117</v>
      </c>
      <c r="C148" s="6">
        <v>6.4269179999999998E-4</v>
      </c>
      <c r="D148" s="7">
        <v>64482</v>
      </c>
    </row>
    <row r="149" spans="1:4" x14ac:dyDescent="0.2">
      <c r="A149">
        <v>2022</v>
      </c>
      <c r="B149" s="5" t="s">
        <v>246</v>
      </c>
      <c r="C149" s="6">
        <v>2.6974875999999999E-3</v>
      </c>
      <c r="D149" s="7">
        <v>270643</v>
      </c>
    </row>
    <row r="150" spans="1:4" x14ac:dyDescent="0.2">
      <c r="A150">
        <v>2022</v>
      </c>
      <c r="B150" s="5" t="s">
        <v>201</v>
      </c>
      <c r="C150" s="6">
        <v>3.2165637999999998E-3</v>
      </c>
      <c r="D150" s="7">
        <v>322722</v>
      </c>
    </row>
    <row r="151" spans="1:4" x14ac:dyDescent="0.2">
      <c r="A151">
        <v>2022</v>
      </c>
      <c r="B151" s="5" t="s">
        <v>119</v>
      </c>
      <c r="C151" s="6">
        <v>6.5751510000000004E-4</v>
      </c>
      <c r="D151" s="7">
        <v>65969</v>
      </c>
    </row>
    <row r="152" spans="1:4" x14ac:dyDescent="0.2">
      <c r="A152">
        <v>2022</v>
      </c>
      <c r="B152" s="5" t="s">
        <v>120</v>
      </c>
      <c r="C152" s="6">
        <v>1.3058109E-3</v>
      </c>
      <c r="D152" s="7">
        <v>131014</v>
      </c>
    </row>
    <row r="153" spans="1:4" x14ac:dyDescent="0.2">
      <c r="A153">
        <v>2022</v>
      </c>
      <c r="B153" s="5" t="s">
        <v>121</v>
      </c>
      <c r="C153" s="6">
        <v>0</v>
      </c>
    </row>
    <row r="154" spans="1:4" x14ac:dyDescent="0.2">
      <c r="A154">
        <v>2022</v>
      </c>
      <c r="B154" s="5" t="s">
        <v>230</v>
      </c>
      <c r="C154" s="6">
        <v>2.8212354000000002E-3</v>
      </c>
      <c r="D154" s="7">
        <v>283058</v>
      </c>
    </row>
    <row r="155" spans="1:4" x14ac:dyDescent="0.2">
      <c r="A155">
        <v>2022</v>
      </c>
      <c r="B155" s="5" t="s">
        <v>122</v>
      </c>
      <c r="C155" s="6">
        <v>2.0618659999999999E-3</v>
      </c>
      <c r="D155" s="7">
        <v>206870</v>
      </c>
    </row>
    <row r="156" spans="1:4" x14ac:dyDescent="0.2">
      <c r="A156">
        <v>2022</v>
      </c>
      <c r="B156" s="5" t="s">
        <v>123</v>
      </c>
      <c r="C156" s="6">
        <v>9.1992739999999999E-4</v>
      </c>
      <c r="D156" s="7">
        <v>92298</v>
      </c>
    </row>
    <row r="157" spans="1:4" x14ac:dyDescent="0.2">
      <c r="A157">
        <v>2022</v>
      </c>
      <c r="B157" s="5" t="s">
        <v>247</v>
      </c>
      <c r="C157" s="6">
        <v>1.655219E-4</v>
      </c>
      <c r="D157" s="7">
        <v>16607</v>
      </c>
    </row>
    <row r="158" spans="1:4" x14ac:dyDescent="0.2">
      <c r="A158">
        <v>2022</v>
      </c>
      <c r="B158" s="5" t="s">
        <v>216</v>
      </c>
      <c r="C158" s="6">
        <v>1.2092665E-3</v>
      </c>
      <c r="D158" s="7">
        <v>121327</v>
      </c>
    </row>
    <row r="159" spans="1:4" x14ac:dyDescent="0.2">
      <c r="A159">
        <v>2022</v>
      </c>
      <c r="B159" s="5" t="s">
        <v>126</v>
      </c>
      <c r="C159" s="6">
        <v>1.8038644E-3</v>
      </c>
      <c r="D159" s="7">
        <v>180984</v>
      </c>
    </row>
    <row r="160" spans="1:4" x14ac:dyDescent="0.2">
      <c r="A160">
        <v>2022</v>
      </c>
      <c r="B160" s="5" t="s">
        <v>127</v>
      </c>
      <c r="C160" s="6">
        <v>2.2867495E-3</v>
      </c>
      <c r="D160" s="7">
        <v>229433</v>
      </c>
    </row>
    <row r="161" spans="1:4" x14ac:dyDescent="0.2">
      <c r="A161">
        <v>2022</v>
      </c>
      <c r="B161" s="5" t="s">
        <v>180</v>
      </c>
      <c r="C161" s="6">
        <v>2.3619167000000002E-3</v>
      </c>
      <c r="D161" s="7">
        <v>236974</v>
      </c>
    </row>
    <row r="162" spans="1:4" x14ac:dyDescent="0.2">
      <c r="A162">
        <v>2022</v>
      </c>
      <c r="B162" s="5" t="s">
        <v>128</v>
      </c>
      <c r="C162" s="6">
        <v>0</v>
      </c>
    </row>
    <row r="163" spans="1:4" x14ac:dyDescent="0.2">
      <c r="A163">
        <v>2022</v>
      </c>
      <c r="B163" s="5" t="s">
        <v>130</v>
      </c>
      <c r="C163" s="6">
        <v>1.7939462999999999E-3</v>
      </c>
      <c r="D163" s="7">
        <v>179989</v>
      </c>
    </row>
    <row r="164" spans="1:4" x14ac:dyDescent="0.2">
      <c r="A164">
        <v>2022</v>
      </c>
      <c r="B164" s="5" t="s">
        <v>204</v>
      </c>
      <c r="C164" s="6">
        <v>4.8214139999999998E-4</v>
      </c>
      <c r="D164" s="7">
        <v>48374</v>
      </c>
    </row>
    <row r="165" spans="1:4" x14ac:dyDescent="0.2">
      <c r="A165">
        <v>2022</v>
      </c>
      <c r="B165" s="5" t="s">
        <v>131</v>
      </c>
      <c r="C165" s="6">
        <v>3.4488089999999997E-4</v>
      </c>
      <c r="D165" s="7">
        <v>34602</v>
      </c>
    </row>
    <row r="166" spans="1:4" x14ac:dyDescent="0.2">
      <c r="A166">
        <v>2022</v>
      </c>
      <c r="B166" s="5" t="s">
        <v>132</v>
      </c>
      <c r="C166" s="6">
        <v>2.6268739999999997E-4</v>
      </c>
      <c r="D166" s="7">
        <v>26356</v>
      </c>
    </row>
    <row r="167" spans="1:4" x14ac:dyDescent="0.2">
      <c r="A167">
        <v>2022</v>
      </c>
      <c r="B167" s="5" t="s">
        <v>133</v>
      </c>
      <c r="C167" s="6">
        <v>5.0511011999999997E-3</v>
      </c>
      <c r="D167" s="7">
        <v>506784</v>
      </c>
    </row>
    <row r="168" spans="1:4" x14ac:dyDescent="0.2">
      <c r="A168">
        <v>2022</v>
      </c>
      <c r="B168" s="5" t="s">
        <v>205</v>
      </c>
      <c r="C168" s="6">
        <v>2.0642273000000002E-3</v>
      </c>
      <c r="D168" s="7">
        <v>207107</v>
      </c>
    </row>
    <row r="169" spans="1:4" x14ac:dyDescent="0.2">
      <c r="A169">
        <v>2022</v>
      </c>
      <c r="B169" s="5" t="s">
        <v>134</v>
      </c>
      <c r="C169" s="6">
        <v>2.2024773000000001E-3</v>
      </c>
      <c r="D169" s="7">
        <v>220978</v>
      </c>
    </row>
    <row r="170" spans="1:4" x14ac:dyDescent="0.2">
      <c r="A170">
        <v>2022</v>
      </c>
      <c r="B170" s="5" t="s">
        <v>135</v>
      </c>
      <c r="C170" s="6">
        <v>1.10147E-3</v>
      </c>
      <c r="D170" s="7">
        <v>110512</v>
      </c>
    </row>
    <row r="171" spans="1:4" x14ac:dyDescent="0.2">
      <c r="A171">
        <v>2022</v>
      </c>
      <c r="B171" s="5" t="s">
        <v>136</v>
      </c>
      <c r="C171" s="6">
        <v>1.4899606E-3</v>
      </c>
      <c r="D171" s="7">
        <v>149490</v>
      </c>
    </row>
    <row r="172" spans="1:4" x14ac:dyDescent="0.2">
      <c r="A172">
        <v>2022</v>
      </c>
      <c r="B172" s="5" t="s">
        <v>215</v>
      </c>
      <c r="C172" s="6">
        <v>2.4289136000000002E-3</v>
      </c>
      <c r="D172" s="7">
        <v>243696</v>
      </c>
    </row>
    <row r="173" spans="1:4" x14ac:dyDescent="0.2">
      <c r="A173">
        <v>2022</v>
      </c>
      <c r="B173" s="5" t="s">
        <v>137</v>
      </c>
      <c r="C173" s="6">
        <v>9.5053919999999999E-4</v>
      </c>
      <c r="D173" s="7">
        <v>95369</v>
      </c>
    </row>
    <row r="174" spans="1:4" x14ac:dyDescent="0.2">
      <c r="A174">
        <v>2022</v>
      </c>
      <c r="B174" s="5" t="s">
        <v>138</v>
      </c>
      <c r="C174" s="6">
        <v>1.2891668000000001E-3</v>
      </c>
      <c r="D174" s="7">
        <v>129344</v>
      </c>
    </row>
    <row r="175" spans="1:4" x14ac:dyDescent="0.2">
      <c r="A175">
        <v>2022</v>
      </c>
      <c r="B175" s="5" t="s">
        <v>139</v>
      </c>
      <c r="C175" s="6">
        <v>2.0871663999999998E-3</v>
      </c>
      <c r="D175" s="7">
        <v>209408</v>
      </c>
    </row>
    <row r="176" spans="1:4" x14ac:dyDescent="0.2">
      <c r="A176">
        <v>2022</v>
      </c>
      <c r="B176" s="5" t="s">
        <v>207</v>
      </c>
      <c r="C176" s="6">
        <v>3.5549700000000003E-5</v>
      </c>
      <c r="D176" s="7">
        <v>3567</v>
      </c>
    </row>
    <row r="177" spans="1:4" x14ac:dyDescent="0.2">
      <c r="A177">
        <v>2022</v>
      </c>
      <c r="B177" s="5" t="s">
        <v>140</v>
      </c>
      <c r="C177" s="6">
        <v>2.3435878000000001E-3</v>
      </c>
      <c r="D177" s="7">
        <v>235135</v>
      </c>
    </row>
    <row r="178" spans="1:4" x14ac:dyDescent="0.2">
      <c r="A178">
        <v>2022</v>
      </c>
      <c r="B178" s="5" t="s">
        <v>141</v>
      </c>
      <c r="C178" s="6">
        <v>1.5201820999999999E-3</v>
      </c>
      <c r="D178" s="7">
        <v>152522</v>
      </c>
    </row>
    <row r="179" spans="1:4" x14ac:dyDescent="0.2">
      <c r="A179">
        <v>2022</v>
      </c>
      <c r="B179" s="5" t="s">
        <v>142</v>
      </c>
      <c r="C179" s="6">
        <v>4.7100629999999999E-4</v>
      </c>
      <c r="D179" s="7">
        <v>47257</v>
      </c>
    </row>
    <row r="180" spans="1:4" x14ac:dyDescent="0.2">
      <c r="A180">
        <v>2022</v>
      </c>
      <c r="B180" s="5" t="s">
        <v>233</v>
      </c>
      <c r="C180" s="6">
        <v>1.0115782E-3</v>
      </c>
      <c r="D180" s="7">
        <v>101493</v>
      </c>
    </row>
    <row r="181" spans="1:4" x14ac:dyDescent="0.2">
      <c r="A181">
        <v>2022</v>
      </c>
      <c r="B181" s="5" t="s">
        <v>206</v>
      </c>
      <c r="C181" s="6">
        <v>3.0208511000000002E-3</v>
      </c>
      <c r="D181" s="7">
        <v>303086</v>
      </c>
    </row>
    <row r="182" spans="1:4" x14ac:dyDescent="0.2">
      <c r="A182">
        <v>2022</v>
      </c>
      <c r="B182" s="5" t="s">
        <v>234</v>
      </c>
      <c r="C182" s="6">
        <v>3.7942102999999998E-3</v>
      </c>
      <c r="D182" s="7">
        <v>380678</v>
      </c>
    </row>
    <row r="183" spans="1:4" x14ac:dyDescent="0.2">
      <c r="A183">
        <v>2022</v>
      </c>
      <c r="B183" s="5" t="s">
        <v>144</v>
      </c>
      <c r="C183" s="6">
        <v>6.7786720000000003E-4</v>
      </c>
      <c r="D183" s="7">
        <v>68011</v>
      </c>
    </row>
    <row r="184" spans="1:4" x14ac:dyDescent="0.2">
      <c r="A184">
        <v>2022</v>
      </c>
      <c r="B184" s="5" t="s">
        <v>145</v>
      </c>
      <c r="C184" s="6">
        <v>1.4817399999999999E-4</v>
      </c>
      <c r="D184" s="7">
        <v>14866</v>
      </c>
    </row>
    <row r="185" spans="1:4" x14ac:dyDescent="0.2">
      <c r="A185">
        <v>2022</v>
      </c>
      <c r="B185" s="5" t="s">
        <v>243</v>
      </c>
      <c r="C185" s="6">
        <v>4.6550059000000001E-3</v>
      </c>
      <c r="D185" s="7">
        <v>467043</v>
      </c>
    </row>
    <row r="186" spans="1:4" x14ac:dyDescent="0.2">
      <c r="A186">
        <v>2022</v>
      </c>
      <c r="B186" s="5" t="s">
        <v>146</v>
      </c>
      <c r="C186" s="6">
        <v>0</v>
      </c>
    </row>
    <row r="187" spans="1:4" x14ac:dyDescent="0.2">
      <c r="A187">
        <v>2022</v>
      </c>
      <c r="B187" s="5" t="s">
        <v>147</v>
      </c>
      <c r="C187" s="6">
        <v>4.5930357999999999E-3</v>
      </c>
      <c r="D187" s="7">
        <v>460825</v>
      </c>
    </row>
    <row r="188" spans="1:4" x14ac:dyDescent="0.2">
      <c r="A188">
        <v>2022</v>
      </c>
      <c r="B188" s="5" t="s">
        <v>148</v>
      </c>
      <c r="C188" s="6">
        <v>8.7321269999999997E-4</v>
      </c>
      <c r="D188" s="7">
        <v>87611</v>
      </c>
    </row>
    <row r="189" spans="1:4" x14ac:dyDescent="0.2">
      <c r="A189">
        <v>2022</v>
      </c>
      <c r="B189" s="5" t="s">
        <v>209</v>
      </c>
      <c r="C189" s="6">
        <v>1.988193E-4</v>
      </c>
      <c r="D189" s="7">
        <v>19948</v>
      </c>
    </row>
    <row r="190" spans="1:4" x14ac:dyDescent="0.2">
      <c r="A190">
        <v>2022</v>
      </c>
      <c r="B190" s="5" t="s">
        <v>149</v>
      </c>
      <c r="C190" s="6">
        <v>1.1850115000000001E-3</v>
      </c>
      <c r="D190" s="7">
        <v>118894</v>
      </c>
    </row>
    <row r="191" spans="1:4" x14ac:dyDescent="0.2">
      <c r="A191">
        <v>2022</v>
      </c>
      <c r="B191" s="5" t="s">
        <v>150</v>
      </c>
      <c r="C191" s="6">
        <v>3.4182968000000002E-3</v>
      </c>
      <c r="D191" s="7">
        <v>342962</v>
      </c>
    </row>
    <row r="192" spans="1:4" x14ac:dyDescent="0.2">
      <c r="A192">
        <v>2022</v>
      </c>
      <c r="B192" s="5" t="s">
        <v>151</v>
      </c>
      <c r="C192" s="6">
        <v>1.6664809999999999E-4</v>
      </c>
      <c r="D192" s="7">
        <v>16720</v>
      </c>
    </row>
    <row r="193" spans="1:4" x14ac:dyDescent="0.2">
      <c r="A193">
        <v>2022</v>
      </c>
      <c r="B193" s="5" t="s">
        <v>210</v>
      </c>
      <c r="C193" s="6">
        <v>3.4424184000000002E-3</v>
      </c>
      <c r="D193" s="7">
        <v>345382</v>
      </c>
    </row>
    <row r="194" spans="1:4" x14ac:dyDescent="0.2">
      <c r="A194">
        <v>2022</v>
      </c>
      <c r="B194" s="5" t="s">
        <v>152</v>
      </c>
      <c r="C194" s="6">
        <v>3.6222461E-3</v>
      </c>
      <c r="D194" s="7">
        <v>363425</v>
      </c>
    </row>
    <row r="195" spans="1:4" x14ac:dyDescent="0.2">
      <c r="A195">
        <v>2022</v>
      </c>
      <c r="B195" s="5" t="s">
        <v>153</v>
      </c>
      <c r="C195" s="6">
        <v>4.4423973000000004E-3</v>
      </c>
      <c r="D195" s="7">
        <v>445712</v>
      </c>
    </row>
    <row r="196" spans="1:4" x14ac:dyDescent="0.2">
      <c r="A196">
        <v>2022</v>
      </c>
      <c r="B196" s="5" t="s">
        <v>154</v>
      </c>
      <c r="C196" s="6">
        <v>1.8042321E-3</v>
      </c>
      <c r="D196" s="7">
        <v>181021</v>
      </c>
    </row>
    <row r="197" spans="1:4" x14ac:dyDescent="0.2">
      <c r="A197">
        <v>2022</v>
      </c>
      <c r="B197" s="5" t="s">
        <v>214</v>
      </c>
      <c r="C197" s="6">
        <v>7.4349759999999996E-4</v>
      </c>
      <c r="D197" s="7">
        <v>74596</v>
      </c>
    </row>
    <row r="198" spans="1:4" x14ac:dyDescent="0.2">
      <c r="A198">
        <v>2022</v>
      </c>
      <c r="B198" s="5" t="s">
        <v>155</v>
      </c>
      <c r="C198" s="6">
        <v>1.9749291999999999E-3</v>
      </c>
      <c r="D198" s="7">
        <v>198147</v>
      </c>
    </row>
    <row r="199" spans="1:4" x14ac:dyDescent="0.2">
      <c r="A199">
        <v>2022</v>
      </c>
      <c r="B199" s="5" t="s">
        <v>156</v>
      </c>
      <c r="C199" s="6">
        <v>4.6889695999999996E-3</v>
      </c>
      <c r="D199" s="7">
        <v>470451</v>
      </c>
    </row>
    <row r="200" spans="1:4" x14ac:dyDescent="0.2">
      <c r="A200">
        <v>2022</v>
      </c>
      <c r="B200" s="5" t="s">
        <v>157</v>
      </c>
      <c r="C200" s="6">
        <v>3.5780503999999999E-3</v>
      </c>
      <c r="D200" s="7">
        <v>358991</v>
      </c>
    </row>
    <row r="201" spans="1:4" x14ac:dyDescent="0.2">
      <c r="A201">
        <v>2022</v>
      </c>
      <c r="B201" s="5" t="s">
        <v>213</v>
      </c>
      <c r="C201" s="6">
        <v>2.0000942000000001E-3</v>
      </c>
      <c r="D201" s="7">
        <v>200672</v>
      </c>
    </row>
    <row r="202" spans="1:4" x14ac:dyDescent="0.2">
      <c r="A202">
        <v>2022</v>
      </c>
      <c r="B202" s="5" t="s">
        <v>158</v>
      </c>
      <c r="C202" s="6">
        <v>8.3731358000000006E-3</v>
      </c>
      <c r="D202" s="7">
        <v>840088</v>
      </c>
    </row>
    <row r="203" spans="1:4" x14ac:dyDescent="0.2">
      <c r="A203">
        <v>2022</v>
      </c>
      <c r="B203" s="5" t="s">
        <v>159</v>
      </c>
      <c r="C203" s="6">
        <v>3.7885968999999999E-3</v>
      </c>
      <c r="D203" s="7">
        <v>380115</v>
      </c>
    </row>
    <row r="204" spans="1:4" x14ac:dyDescent="0.2">
      <c r="A204">
        <v>2022</v>
      </c>
      <c r="B204" s="5" t="s">
        <v>160</v>
      </c>
      <c r="C204" s="6">
        <v>9.2512931999999999E-3</v>
      </c>
      <c r="D204" s="7">
        <v>928195</v>
      </c>
    </row>
    <row r="205" spans="1:4" x14ac:dyDescent="0.2">
      <c r="A205">
        <v>2022</v>
      </c>
      <c r="B205" s="5" t="s">
        <v>211</v>
      </c>
      <c r="C205" s="6">
        <v>4.09657E-5</v>
      </c>
      <c r="D205" s="7">
        <v>4110</v>
      </c>
    </row>
    <row r="206" spans="1:4" x14ac:dyDescent="0.2">
      <c r="A206">
        <v>2022</v>
      </c>
      <c r="B206" s="5" t="s">
        <v>161</v>
      </c>
      <c r="C206" s="6">
        <v>2.4123785999999999E-3</v>
      </c>
      <c r="D206" s="7">
        <v>242037</v>
      </c>
    </row>
    <row r="207" spans="1:4" x14ac:dyDescent="0.2">
      <c r="A207">
        <v>2022</v>
      </c>
      <c r="B207" s="5" t="s">
        <v>162</v>
      </c>
      <c r="C207" s="6">
        <v>2.6952842000000001E-3</v>
      </c>
      <c r="D207" s="7">
        <v>270421</v>
      </c>
    </row>
    <row r="208" spans="1:4" x14ac:dyDescent="0.2">
      <c r="A208">
        <v>2022</v>
      </c>
      <c r="B208" s="5" t="s">
        <v>163</v>
      </c>
      <c r="C208" s="6">
        <v>9.4991367600000001E-2</v>
      </c>
      <c r="D208" s="7">
        <v>9530612</v>
      </c>
    </row>
    <row r="209" spans="1:5" x14ac:dyDescent="0.2">
      <c r="A209">
        <v>2022</v>
      </c>
      <c r="B209" s="5" t="s">
        <v>164</v>
      </c>
      <c r="C209" s="6">
        <v>7.7941839999999996E-4</v>
      </c>
      <c r="D209" s="7">
        <v>78200</v>
      </c>
    </row>
    <row r="210" spans="1:5" x14ac:dyDescent="0.2">
      <c r="A210">
        <v>2022</v>
      </c>
      <c r="B210" s="5" t="s">
        <v>165</v>
      </c>
      <c r="C210" s="6">
        <v>1.6481511999999999E-3</v>
      </c>
      <c r="D210" s="7">
        <v>165361</v>
      </c>
    </row>
    <row r="211" spans="1:5" x14ac:dyDescent="0.2">
      <c r="A211">
        <v>2022</v>
      </c>
      <c r="B211" s="5" t="s">
        <v>166</v>
      </c>
      <c r="C211" s="6">
        <v>2.1862258999999998E-3</v>
      </c>
      <c r="D211" s="7">
        <v>219347</v>
      </c>
    </row>
    <row r="212" spans="1:5" x14ac:dyDescent="0.2">
      <c r="A212">
        <v>2022</v>
      </c>
      <c r="B212" s="5" t="s">
        <v>235</v>
      </c>
      <c r="C212" s="6">
        <v>0</v>
      </c>
    </row>
    <row r="213" spans="1:5" x14ac:dyDescent="0.2">
      <c r="A213">
        <v>2022</v>
      </c>
      <c r="B213" s="5" t="s">
        <v>248</v>
      </c>
      <c r="C213" s="6">
        <v>3.7027444100000001E-2</v>
      </c>
      <c r="D213" s="7">
        <v>3715013</v>
      </c>
    </row>
    <row r="214" spans="1:5" x14ac:dyDescent="0.2">
      <c r="A214">
        <v>2022</v>
      </c>
      <c r="B214" s="5" t="s">
        <v>167</v>
      </c>
      <c r="C214" s="6">
        <v>0</v>
      </c>
    </row>
    <row r="215" spans="1:5" x14ac:dyDescent="0.2">
      <c r="A215">
        <v>2022</v>
      </c>
      <c r="B215" s="5" t="s">
        <v>232</v>
      </c>
      <c r="C215" s="6">
        <v>6.8789272E-3</v>
      </c>
      <c r="D215" s="7">
        <v>690172</v>
      </c>
    </row>
    <row r="216" spans="1:5" x14ac:dyDescent="0.2">
      <c r="A216">
        <v>2022</v>
      </c>
      <c r="B216" s="5" t="s">
        <v>168</v>
      </c>
      <c r="C216" s="6">
        <v>2.1739059000000002E-3</v>
      </c>
      <c r="D216" s="7">
        <v>218111</v>
      </c>
    </row>
    <row r="217" spans="1:5" x14ac:dyDescent="0.2">
      <c r="A217">
        <v>2022</v>
      </c>
      <c r="B217" s="5" t="s">
        <v>238</v>
      </c>
      <c r="C217" s="6">
        <v>8.3832269999999998E-4</v>
      </c>
      <c r="D217" s="7">
        <v>84110</v>
      </c>
    </row>
    <row r="218" spans="1:5" x14ac:dyDescent="0.2">
      <c r="A218">
        <v>2022</v>
      </c>
      <c r="B218" s="5" t="s">
        <v>170</v>
      </c>
      <c r="C218" s="6">
        <v>1.808502E-3</v>
      </c>
      <c r="D218" s="7">
        <v>181449</v>
      </c>
    </row>
    <row r="219" spans="1:5" x14ac:dyDescent="0.2">
      <c r="A219">
        <v>2022</v>
      </c>
      <c r="B219" s="5" t="s">
        <v>212</v>
      </c>
      <c r="C219" s="6">
        <v>0</v>
      </c>
    </row>
    <row r="220" spans="1:5" x14ac:dyDescent="0.2">
      <c r="A220">
        <v>2022</v>
      </c>
      <c r="B220" s="5" t="s">
        <v>171</v>
      </c>
      <c r="C220" s="6">
        <v>1.9437886000000001E-3</v>
      </c>
      <c r="D220" s="7">
        <v>195023</v>
      </c>
      <c r="E220" s="2"/>
    </row>
    <row r="221" spans="1:5" x14ac:dyDescent="0.2">
      <c r="A221">
        <v>2022</v>
      </c>
      <c r="B221" s="5" t="s">
        <v>172</v>
      </c>
      <c r="C221" s="6">
        <v>7.8079720000000003E-4</v>
      </c>
      <c r="D221" s="7">
        <v>78338</v>
      </c>
      <c r="E221" s="2"/>
    </row>
    <row r="222" spans="1:5" x14ac:dyDescent="0.2">
      <c r="A222">
        <v>2022</v>
      </c>
      <c r="B222" s="5" t="s">
        <v>173</v>
      </c>
      <c r="C222" s="6">
        <v>6.5422340000000003E-4</v>
      </c>
      <c r="D222" s="7">
        <v>65639</v>
      </c>
      <c r="E222" s="2"/>
    </row>
    <row r="223" spans="1:5" x14ac:dyDescent="0.2">
      <c r="A223">
        <v>2022</v>
      </c>
      <c r="B223" s="3" t="s">
        <v>244</v>
      </c>
      <c r="C223" s="4">
        <v>1</v>
      </c>
      <c r="D223" s="22">
        <v>100331347</v>
      </c>
    </row>
    <row r="225" spans="4:4" x14ac:dyDescent="0.2">
      <c r="D225" s="7">
        <f>SUM(D2:D222)</f>
        <v>100331344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DB3E-11E3-6241-BA7E-D567CCDEC1CD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E4AA-03A3-1943-8B54-3AA161550331}">
  <sheetPr>
    <tabColor rgb="FFFFFF00"/>
  </sheetPr>
  <dimension ref="A1:B227"/>
  <sheetViews>
    <sheetView topLeftCell="A87" workbookViewId="0">
      <selection activeCell="B111" sqref="B111"/>
    </sheetView>
  </sheetViews>
  <sheetFormatPr baseColWidth="10" defaultRowHeight="16" x14ac:dyDescent="0.2"/>
  <cols>
    <col min="1" max="1" width="35.1640625" bestFit="1" customWidth="1"/>
  </cols>
  <sheetData>
    <row r="1" spans="1:2" x14ac:dyDescent="0.2">
      <c r="A1" s="5" t="s">
        <v>250</v>
      </c>
    </row>
    <row r="2" spans="1:2" x14ac:dyDescent="0.2">
      <c r="A2" s="5" t="s">
        <v>57</v>
      </c>
      <c r="B2">
        <v>3801760</v>
      </c>
    </row>
    <row r="3" spans="1:2" x14ac:dyDescent="0.2">
      <c r="A3" s="5" t="s">
        <v>58</v>
      </c>
      <c r="B3">
        <v>3801950</v>
      </c>
    </row>
    <row r="4" spans="1:2" x14ac:dyDescent="0.2">
      <c r="A4" s="5" t="s">
        <v>59</v>
      </c>
      <c r="B4">
        <v>3802014</v>
      </c>
    </row>
    <row r="5" spans="1:2" x14ac:dyDescent="0.2">
      <c r="A5" s="5" t="s">
        <v>60</v>
      </c>
      <c r="B5">
        <v>3802170</v>
      </c>
    </row>
    <row r="6" spans="1:2" x14ac:dyDescent="0.2">
      <c r="A6" s="5" t="s">
        <v>61</v>
      </c>
      <c r="B6">
        <v>3802240</v>
      </c>
    </row>
    <row r="7" spans="1:2" x14ac:dyDescent="0.2">
      <c r="A7" s="5" t="s">
        <v>62</v>
      </c>
      <c r="B7">
        <v>3800060</v>
      </c>
    </row>
    <row r="8" spans="1:2" x14ac:dyDescent="0.2">
      <c r="A8" s="5" t="s">
        <v>63</v>
      </c>
      <c r="B8">
        <v>3802380</v>
      </c>
    </row>
    <row r="9" spans="1:2" x14ac:dyDescent="0.2">
      <c r="A9" s="5" t="s">
        <v>187</v>
      </c>
      <c r="B9">
        <v>3802530</v>
      </c>
    </row>
    <row r="10" spans="1:2" x14ac:dyDescent="0.2">
      <c r="A10" s="5" t="s">
        <v>64</v>
      </c>
      <c r="B10">
        <v>3806210</v>
      </c>
    </row>
    <row r="11" spans="1:2" x14ac:dyDescent="0.2">
      <c r="A11" s="5" t="s">
        <v>65</v>
      </c>
      <c r="B11">
        <v>3800032</v>
      </c>
    </row>
    <row r="12" spans="1:2" x14ac:dyDescent="0.2">
      <c r="A12" s="5" t="s">
        <v>66</v>
      </c>
      <c r="B12">
        <v>3802840</v>
      </c>
    </row>
    <row r="13" spans="1:2" x14ac:dyDescent="0.2">
      <c r="A13" s="5" t="s">
        <v>188</v>
      </c>
      <c r="B13">
        <v>3800014</v>
      </c>
    </row>
    <row r="14" spans="1:2" x14ac:dyDescent="0.2">
      <c r="A14" s="5" t="s">
        <v>67</v>
      </c>
    </row>
    <row r="15" spans="1:2" x14ac:dyDescent="0.2">
      <c r="A15" s="5" t="s">
        <v>68</v>
      </c>
    </row>
    <row r="16" spans="1:2" x14ac:dyDescent="0.2">
      <c r="A16" s="5" t="s">
        <v>69</v>
      </c>
      <c r="B16">
        <v>3803060</v>
      </c>
    </row>
    <row r="17" spans="1:2" x14ac:dyDescent="0.2">
      <c r="A17" s="5" t="s">
        <v>192</v>
      </c>
      <c r="B17">
        <v>3803090</v>
      </c>
    </row>
    <row r="18" spans="1:2" x14ac:dyDescent="0.2">
      <c r="A18" s="5" t="s">
        <v>70</v>
      </c>
      <c r="B18">
        <v>3803200</v>
      </c>
    </row>
    <row r="19" spans="1:2" x14ac:dyDescent="0.2">
      <c r="A19" s="5" t="s">
        <v>71</v>
      </c>
      <c r="B19">
        <v>3803590</v>
      </c>
    </row>
    <row r="20" spans="1:2" x14ac:dyDescent="0.2">
      <c r="A20" s="5" t="s">
        <v>72</v>
      </c>
      <c r="B20">
        <v>3880120</v>
      </c>
    </row>
    <row r="21" spans="1:2" x14ac:dyDescent="0.2">
      <c r="A21" s="5" t="s">
        <v>190</v>
      </c>
      <c r="B21">
        <v>3800053</v>
      </c>
    </row>
    <row r="22" spans="1:2" x14ac:dyDescent="0.2">
      <c r="A22" s="5" t="s">
        <v>73</v>
      </c>
      <c r="B22">
        <v>3800018</v>
      </c>
    </row>
    <row r="23" spans="1:2" x14ac:dyDescent="0.2">
      <c r="A23" s="5" t="s">
        <v>74</v>
      </c>
      <c r="B23">
        <v>3800052</v>
      </c>
    </row>
    <row r="24" spans="1:2" x14ac:dyDescent="0.2">
      <c r="A24" s="5" t="s">
        <v>75</v>
      </c>
      <c r="B24">
        <v>3804090</v>
      </c>
    </row>
    <row r="25" spans="1:2" x14ac:dyDescent="0.2">
      <c r="A25" s="5" t="s">
        <v>191</v>
      </c>
      <c r="B25">
        <v>3800037</v>
      </c>
    </row>
    <row r="26" spans="1:2" x14ac:dyDescent="0.2">
      <c r="A26" s="5" t="s">
        <v>239</v>
      </c>
    </row>
    <row r="27" spans="1:2" x14ac:dyDescent="0.2">
      <c r="A27" s="5" t="s">
        <v>76</v>
      </c>
      <c r="B27">
        <v>3804140</v>
      </c>
    </row>
    <row r="28" spans="1:2" x14ac:dyDescent="0.2">
      <c r="A28" s="5" t="s">
        <v>77</v>
      </c>
      <c r="B28">
        <v>3800040</v>
      </c>
    </row>
    <row r="29" spans="1:2" x14ac:dyDescent="0.2">
      <c r="A29" s="5" t="s">
        <v>78</v>
      </c>
      <c r="B29">
        <v>3805040</v>
      </c>
    </row>
    <row r="30" spans="1:2" x14ac:dyDescent="0.2">
      <c r="A30" s="5" t="s">
        <v>193</v>
      </c>
      <c r="B30">
        <v>3800038</v>
      </c>
    </row>
    <row r="31" spans="1:2" x14ac:dyDescent="0.2">
      <c r="A31" s="5" t="s">
        <v>79</v>
      </c>
      <c r="B31">
        <v>3805160</v>
      </c>
    </row>
    <row r="32" spans="1:2" x14ac:dyDescent="0.2">
      <c r="A32" s="5" t="s">
        <v>80</v>
      </c>
      <c r="B32">
        <v>3800029</v>
      </c>
    </row>
    <row r="33" spans="1:2" x14ac:dyDescent="0.2">
      <c r="A33" s="5" t="s">
        <v>81</v>
      </c>
      <c r="B33">
        <v>3805340</v>
      </c>
    </row>
    <row r="34" spans="1:2" x14ac:dyDescent="0.2">
      <c r="A34" s="5" t="s">
        <v>194</v>
      </c>
      <c r="B34">
        <v>3805460</v>
      </c>
    </row>
    <row r="35" spans="1:2" x14ac:dyDescent="0.2">
      <c r="A35" s="5" t="s">
        <v>82</v>
      </c>
      <c r="B35">
        <v>3880260</v>
      </c>
    </row>
    <row r="36" spans="1:2" x14ac:dyDescent="0.2">
      <c r="A36" s="5" t="s">
        <v>83</v>
      </c>
      <c r="B36">
        <v>3805670</v>
      </c>
    </row>
    <row r="37" spans="1:2" x14ac:dyDescent="0.2">
      <c r="A37" s="5" t="s">
        <v>84</v>
      </c>
      <c r="B37">
        <v>3805850</v>
      </c>
    </row>
    <row r="38" spans="1:2" x14ac:dyDescent="0.2">
      <c r="A38" s="5" t="s">
        <v>196</v>
      </c>
      <c r="B38">
        <v>3805950</v>
      </c>
    </row>
    <row r="39" spans="1:2" x14ac:dyDescent="0.2">
      <c r="A39" s="5" t="s">
        <v>85</v>
      </c>
      <c r="B39">
        <v>3806010</v>
      </c>
    </row>
    <row r="40" spans="1:2" x14ac:dyDescent="0.2">
      <c r="A40" s="5" t="s">
        <v>86</v>
      </c>
      <c r="B40">
        <v>3800045</v>
      </c>
    </row>
    <row r="41" spans="1:2" x14ac:dyDescent="0.2">
      <c r="A41" s="5" t="s">
        <v>87</v>
      </c>
      <c r="B41">
        <v>3806090</v>
      </c>
    </row>
    <row r="42" spans="1:2" x14ac:dyDescent="0.2">
      <c r="A42" s="5" t="s">
        <v>195</v>
      </c>
      <c r="B42">
        <v>3806360</v>
      </c>
    </row>
    <row r="43" spans="1:2" x14ac:dyDescent="0.2">
      <c r="A43" s="5" t="s">
        <v>88</v>
      </c>
      <c r="B43">
        <v>3800061</v>
      </c>
    </row>
    <row r="44" spans="1:2" x14ac:dyDescent="0.2">
      <c r="A44" s="5" t="s">
        <v>89</v>
      </c>
      <c r="B44">
        <v>3806690</v>
      </c>
    </row>
    <row r="45" spans="1:2" x14ac:dyDescent="0.2">
      <c r="A45" s="5" t="s">
        <v>90</v>
      </c>
      <c r="B45">
        <v>3806780</v>
      </c>
    </row>
    <row r="46" spans="1:2" x14ac:dyDescent="0.2">
      <c r="A46" s="5" t="s">
        <v>218</v>
      </c>
      <c r="B46">
        <v>3800049</v>
      </c>
    </row>
    <row r="47" spans="1:2" x14ac:dyDescent="0.2">
      <c r="A47" s="5" t="s">
        <v>91</v>
      </c>
      <c r="B47">
        <v>3806910</v>
      </c>
    </row>
    <row r="48" spans="1:2" x14ac:dyDescent="0.2">
      <c r="A48" s="5" t="s">
        <v>92</v>
      </c>
      <c r="B48">
        <v>3806930</v>
      </c>
    </row>
    <row r="49" spans="1:2" x14ac:dyDescent="0.2">
      <c r="A49" s="5" t="s">
        <v>93</v>
      </c>
      <c r="B49">
        <v>3800056</v>
      </c>
    </row>
    <row r="50" spans="1:2" x14ac:dyDescent="0.2">
      <c r="A50" s="5" t="s">
        <v>197</v>
      </c>
      <c r="B50">
        <v>3800033</v>
      </c>
    </row>
    <row r="51" spans="1:2" x14ac:dyDescent="0.2">
      <c r="A51" s="5" t="s">
        <v>94</v>
      </c>
      <c r="B51">
        <v>3807170</v>
      </c>
    </row>
    <row r="52" spans="1:2" x14ac:dyDescent="0.2">
      <c r="A52" s="5" t="s">
        <v>95</v>
      </c>
      <c r="B52">
        <v>3807200</v>
      </c>
    </row>
    <row r="53" spans="1:2" x14ac:dyDescent="0.2">
      <c r="A53" s="5" t="s">
        <v>96</v>
      </c>
      <c r="B53">
        <v>3800043</v>
      </c>
    </row>
    <row r="54" spans="1:2" x14ac:dyDescent="0.2">
      <c r="A54" s="5" t="s">
        <v>198</v>
      </c>
      <c r="B54">
        <v>3807590</v>
      </c>
    </row>
    <row r="55" spans="1:2" x14ac:dyDescent="0.2">
      <c r="A55" s="5" t="s">
        <v>97</v>
      </c>
      <c r="B55">
        <v>3807830</v>
      </c>
    </row>
    <row r="56" spans="1:2" x14ac:dyDescent="0.2">
      <c r="A56" s="5" t="s">
        <v>98</v>
      </c>
      <c r="B56">
        <v>3807850</v>
      </c>
    </row>
    <row r="57" spans="1:2" x14ac:dyDescent="0.2">
      <c r="A57" s="5" t="s">
        <v>99</v>
      </c>
      <c r="B57">
        <v>3807950</v>
      </c>
    </row>
    <row r="58" spans="1:2" x14ac:dyDescent="0.2">
      <c r="A58" s="5" t="s">
        <v>217</v>
      </c>
      <c r="B58">
        <v>3808060</v>
      </c>
    </row>
    <row r="59" spans="1:2" x14ac:dyDescent="0.2">
      <c r="A59" s="5" t="s">
        <v>242</v>
      </c>
      <c r="B59">
        <v>3808060</v>
      </c>
    </row>
    <row r="60" spans="1:2" x14ac:dyDescent="0.2">
      <c r="A60" s="5" t="s">
        <v>100</v>
      </c>
      <c r="B60">
        <v>3808130</v>
      </c>
    </row>
    <row r="61" spans="1:2" x14ac:dyDescent="0.2">
      <c r="A61" s="5" t="s">
        <v>101</v>
      </c>
      <c r="B61">
        <v>3800399</v>
      </c>
    </row>
    <row r="62" spans="1:2" x14ac:dyDescent="0.2">
      <c r="A62" s="5" t="s">
        <v>102</v>
      </c>
      <c r="B62">
        <v>3808460</v>
      </c>
    </row>
    <row r="63" spans="1:2" x14ac:dyDescent="0.2">
      <c r="A63" s="5" t="s">
        <v>199</v>
      </c>
      <c r="B63">
        <v>3804560</v>
      </c>
    </row>
    <row r="64" spans="1:2" x14ac:dyDescent="0.2">
      <c r="A64" s="5" t="s">
        <v>103</v>
      </c>
      <c r="B64">
        <v>3880420</v>
      </c>
    </row>
    <row r="65" spans="1:2" x14ac:dyDescent="0.2">
      <c r="A65" s="5" t="s">
        <v>104</v>
      </c>
      <c r="B65">
        <v>3808610</v>
      </c>
    </row>
    <row r="66" spans="1:2" x14ac:dyDescent="0.2">
      <c r="A66" s="5" t="s">
        <v>105</v>
      </c>
      <c r="B66">
        <v>3808710</v>
      </c>
    </row>
    <row r="67" spans="1:2" x14ac:dyDescent="0.2">
      <c r="A67" s="5" t="s">
        <v>202</v>
      </c>
      <c r="B67">
        <v>3808890</v>
      </c>
    </row>
    <row r="68" spans="1:2" x14ac:dyDescent="0.2">
      <c r="A68" s="5" t="s">
        <v>106</v>
      </c>
      <c r="B68">
        <v>3809000</v>
      </c>
    </row>
    <row r="69" spans="1:2" x14ac:dyDescent="0.2">
      <c r="A69" s="5" t="s">
        <v>107</v>
      </c>
      <c r="B69">
        <v>3809130</v>
      </c>
    </row>
    <row r="70" spans="1:2" x14ac:dyDescent="0.2">
      <c r="A70" s="5" t="s">
        <v>108</v>
      </c>
      <c r="B70">
        <v>3800031</v>
      </c>
    </row>
    <row r="71" spans="1:2" x14ac:dyDescent="0.2">
      <c r="A71" s="5" t="s">
        <v>200</v>
      </c>
      <c r="B71">
        <v>3809180</v>
      </c>
    </row>
    <row r="72" spans="1:2" x14ac:dyDescent="0.2">
      <c r="A72" s="5" t="s">
        <v>0</v>
      </c>
      <c r="B72">
        <v>3809410</v>
      </c>
    </row>
    <row r="73" spans="1:2" x14ac:dyDescent="0.2">
      <c r="A73" s="5" t="s">
        <v>2</v>
      </c>
      <c r="B73">
        <v>3809570</v>
      </c>
    </row>
    <row r="74" spans="1:2" x14ac:dyDescent="0.2">
      <c r="A74" s="5" t="s">
        <v>3</v>
      </c>
      <c r="B74">
        <v>3809710</v>
      </c>
    </row>
    <row r="75" spans="1:2" x14ac:dyDescent="0.2">
      <c r="A75" s="5" t="s">
        <v>240</v>
      </c>
      <c r="B75">
        <v>3800404</v>
      </c>
    </row>
    <row r="76" spans="1:2" x14ac:dyDescent="0.2">
      <c r="A76" s="5" t="s">
        <v>4</v>
      </c>
      <c r="B76">
        <v>3809810</v>
      </c>
    </row>
    <row r="77" spans="1:2" x14ac:dyDescent="0.2">
      <c r="A77" s="5" t="s">
        <v>5</v>
      </c>
      <c r="B77">
        <v>3800396</v>
      </c>
    </row>
    <row r="78" spans="1:2" x14ac:dyDescent="0.2">
      <c r="A78" s="5" t="s">
        <v>6</v>
      </c>
      <c r="B78">
        <v>3800021</v>
      </c>
    </row>
    <row r="79" spans="1:2" x14ac:dyDescent="0.2">
      <c r="A79" s="5" t="s">
        <v>7</v>
      </c>
      <c r="B79">
        <v>3810180</v>
      </c>
    </row>
    <row r="80" spans="1:2" x14ac:dyDescent="0.2">
      <c r="A80" s="5" t="s">
        <v>226</v>
      </c>
      <c r="B80">
        <v>3810260</v>
      </c>
    </row>
    <row r="81" spans="1:2" x14ac:dyDescent="0.2">
      <c r="A81" s="5" t="s">
        <v>8</v>
      </c>
      <c r="B81">
        <v>3800389</v>
      </c>
    </row>
    <row r="82" spans="1:2" x14ac:dyDescent="0.2">
      <c r="A82" s="5" t="s">
        <v>9</v>
      </c>
      <c r="B82">
        <v>3810270</v>
      </c>
    </row>
    <row r="83" spans="1:2" x14ac:dyDescent="0.2">
      <c r="A83" s="5" t="s">
        <v>10</v>
      </c>
      <c r="B83">
        <v>3800025</v>
      </c>
    </row>
    <row r="84" spans="1:2" x14ac:dyDescent="0.2">
      <c r="A84" s="5" t="s">
        <v>225</v>
      </c>
      <c r="B84">
        <v>3810500</v>
      </c>
    </row>
    <row r="85" spans="1:2" x14ac:dyDescent="0.2">
      <c r="A85" s="5" t="s">
        <v>11</v>
      </c>
      <c r="B85">
        <v>3880280</v>
      </c>
    </row>
    <row r="86" spans="1:2" x14ac:dyDescent="0.2">
      <c r="A86" s="5" t="s">
        <v>12</v>
      </c>
      <c r="B86">
        <v>3810600</v>
      </c>
    </row>
    <row r="87" spans="1:2" x14ac:dyDescent="0.2">
      <c r="A87" s="5" t="s">
        <v>13</v>
      </c>
      <c r="B87">
        <v>3810740</v>
      </c>
    </row>
    <row r="88" spans="1:2" x14ac:dyDescent="0.2">
      <c r="A88" s="5" t="s">
        <v>183</v>
      </c>
      <c r="B88">
        <v>3810810</v>
      </c>
    </row>
    <row r="89" spans="1:2" x14ac:dyDescent="0.2">
      <c r="A89" s="5" t="s">
        <v>14</v>
      </c>
      <c r="B89">
        <v>3810860</v>
      </c>
    </row>
    <row r="90" spans="1:2" x14ac:dyDescent="0.2">
      <c r="A90" s="5" t="s">
        <v>15</v>
      </c>
      <c r="B90">
        <v>3810980</v>
      </c>
    </row>
    <row r="91" spans="1:2" x14ac:dyDescent="0.2">
      <c r="A91" s="5" t="s">
        <v>16</v>
      </c>
      <c r="B91">
        <v>3800058</v>
      </c>
    </row>
    <row r="92" spans="1:2" x14ac:dyDescent="0.2">
      <c r="A92" s="5" t="s">
        <v>224</v>
      </c>
      <c r="B92">
        <v>3811140</v>
      </c>
    </row>
    <row r="93" spans="1:2" x14ac:dyDescent="0.2">
      <c r="A93" s="5" t="s">
        <v>17</v>
      </c>
      <c r="B93">
        <v>3800017</v>
      </c>
    </row>
    <row r="94" spans="1:2" x14ac:dyDescent="0.2">
      <c r="A94" s="5" t="s">
        <v>18</v>
      </c>
      <c r="B94">
        <v>3811430</v>
      </c>
    </row>
    <row r="95" spans="1:2" x14ac:dyDescent="0.2">
      <c r="A95" s="5" t="s">
        <v>19</v>
      </c>
      <c r="B95">
        <v>3800057</v>
      </c>
    </row>
    <row r="96" spans="1:2" x14ac:dyDescent="0.2">
      <c r="A96" s="5" t="s">
        <v>223</v>
      </c>
      <c r="B96">
        <v>3811540</v>
      </c>
    </row>
    <row r="97" spans="1:2" x14ac:dyDescent="0.2">
      <c r="A97" s="5" t="s">
        <v>20</v>
      </c>
    </row>
    <row r="98" spans="1:2" x14ac:dyDescent="0.2">
      <c r="A98" s="5" t="s">
        <v>21</v>
      </c>
      <c r="B98">
        <v>3811610</v>
      </c>
    </row>
    <row r="99" spans="1:2" x14ac:dyDescent="0.2">
      <c r="A99" s="5" t="s">
        <v>22</v>
      </c>
      <c r="B99">
        <v>3880160</v>
      </c>
    </row>
    <row r="100" spans="1:2" x14ac:dyDescent="0.2">
      <c r="A100" s="5" t="s">
        <v>222</v>
      </c>
      <c r="B100">
        <v>3811700</v>
      </c>
    </row>
    <row r="101" spans="1:2" x14ac:dyDescent="0.2">
      <c r="A101" s="5" t="s">
        <v>23</v>
      </c>
      <c r="B101">
        <v>3811820</v>
      </c>
    </row>
    <row r="102" spans="1:2" x14ac:dyDescent="0.2">
      <c r="A102" s="5" t="s">
        <v>24</v>
      </c>
      <c r="B102">
        <v>3811850</v>
      </c>
    </row>
    <row r="103" spans="1:2" x14ac:dyDescent="0.2">
      <c r="A103" s="5" t="s">
        <v>25</v>
      </c>
      <c r="B103">
        <v>3811970</v>
      </c>
    </row>
    <row r="104" spans="1:2" x14ac:dyDescent="0.2">
      <c r="A104" s="5" t="s">
        <v>228</v>
      </c>
      <c r="B104">
        <v>3812000</v>
      </c>
    </row>
    <row r="105" spans="1:2" x14ac:dyDescent="0.2">
      <c r="A105" s="5" t="s">
        <v>26</v>
      </c>
      <c r="B105">
        <v>3812020</v>
      </c>
    </row>
    <row r="106" spans="1:2" x14ac:dyDescent="0.2">
      <c r="A106" s="5" t="s">
        <v>27</v>
      </c>
      <c r="B106">
        <v>3812030</v>
      </c>
    </row>
    <row r="107" spans="1:2" x14ac:dyDescent="0.2">
      <c r="A107" s="5" t="s">
        <v>28</v>
      </c>
      <c r="B107">
        <v>3812120</v>
      </c>
    </row>
    <row r="108" spans="1:2" x14ac:dyDescent="0.2">
      <c r="A108" s="5" t="s">
        <v>184</v>
      </c>
      <c r="B108">
        <v>3812350</v>
      </c>
    </row>
    <row r="109" spans="1:2" x14ac:dyDescent="0.2">
      <c r="A109" s="5" t="s">
        <v>29</v>
      </c>
      <c r="B109">
        <v>3800041</v>
      </c>
    </row>
    <row r="110" spans="1:2" x14ac:dyDescent="0.2">
      <c r="A110" s="5" t="s">
        <v>30</v>
      </c>
      <c r="B110">
        <v>3812430</v>
      </c>
    </row>
    <row r="111" spans="1:2" x14ac:dyDescent="0.2">
      <c r="A111" s="5" t="s">
        <v>31</v>
      </c>
    </row>
    <row r="112" spans="1:2" x14ac:dyDescent="0.2">
      <c r="A112" s="5" t="s">
        <v>221</v>
      </c>
      <c r="B112">
        <v>3812540</v>
      </c>
    </row>
    <row r="113" spans="1:2" x14ac:dyDescent="0.2">
      <c r="A113" s="5" t="s">
        <v>32</v>
      </c>
      <c r="B113">
        <v>3812660</v>
      </c>
    </row>
    <row r="114" spans="1:2" x14ac:dyDescent="0.2">
      <c r="A114" s="5" t="s">
        <v>33</v>
      </c>
      <c r="B114">
        <v>3812720</v>
      </c>
    </row>
    <row r="115" spans="1:2" x14ac:dyDescent="0.2">
      <c r="A115" s="5" t="s">
        <v>34</v>
      </c>
      <c r="B115">
        <v>3800042</v>
      </c>
    </row>
    <row r="116" spans="1:2" x14ac:dyDescent="0.2">
      <c r="A116" s="5" t="s">
        <v>229</v>
      </c>
      <c r="B116">
        <v>3812920</v>
      </c>
    </row>
    <row r="117" spans="1:2" x14ac:dyDescent="0.2">
      <c r="A117" s="5" t="s">
        <v>35</v>
      </c>
      <c r="B117">
        <v>3812930</v>
      </c>
    </row>
    <row r="118" spans="1:2" x14ac:dyDescent="0.2">
      <c r="A118" s="5" t="s">
        <v>36</v>
      </c>
      <c r="B118">
        <v>3812990</v>
      </c>
    </row>
    <row r="119" spans="1:2" x14ac:dyDescent="0.2">
      <c r="A119" s="5" t="s">
        <v>37</v>
      </c>
      <c r="B119">
        <v>3813030</v>
      </c>
    </row>
    <row r="120" spans="1:2" x14ac:dyDescent="0.2">
      <c r="A120" s="5" t="s">
        <v>219</v>
      </c>
      <c r="B120">
        <v>3813050</v>
      </c>
    </row>
    <row r="121" spans="1:2" x14ac:dyDescent="0.2">
      <c r="A121" s="5" t="s">
        <v>38</v>
      </c>
      <c r="B121">
        <v>3800050</v>
      </c>
    </row>
    <row r="122" spans="1:2" x14ac:dyDescent="0.2">
      <c r="A122" s="5" t="s">
        <v>39</v>
      </c>
      <c r="B122">
        <v>3813230</v>
      </c>
    </row>
    <row r="123" spans="1:2" x14ac:dyDescent="0.2">
      <c r="A123" s="5" t="s">
        <v>40</v>
      </c>
    </row>
    <row r="124" spans="1:2" x14ac:dyDescent="0.2">
      <c r="A124" s="5" t="s">
        <v>220</v>
      </c>
      <c r="B124">
        <v>3800046</v>
      </c>
    </row>
    <row r="125" spans="1:2" x14ac:dyDescent="0.2">
      <c r="A125" s="5" t="s">
        <v>41</v>
      </c>
      <c r="B125">
        <v>3813400</v>
      </c>
    </row>
    <row r="126" spans="1:2" x14ac:dyDescent="0.2">
      <c r="A126" s="5" t="s">
        <v>42</v>
      </c>
      <c r="B126">
        <v>3813440</v>
      </c>
    </row>
    <row r="127" spans="1:2" x14ac:dyDescent="0.2">
      <c r="A127" s="5" t="s">
        <v>43</v>
      </c>
    </row>
    <row r="128" spans="1:2" x14ac:dyDescent="0.2">
      <c r="A128" s="5" t="s">
        <v>185</v>
      </c>
      <c r="B128">
        <v>3813510</v>
      </c>
    </row>
    <row r="129" spans="1:2" x14ac:dyDescent="0.2">
      <c r="A129" s="5" t="s">
        <v>44</v>
      </c>
      <c r="B129">
        <v>3800015</v>
      </c>
    </row>
    <row r="130" spans="1:2" x14ac:dyDescent="0.2">
      <c r="A130" s="5" t="s">
        <v>45</v>
      </c>
    </row>
    <row r="131" spans="1:2" x14ac:dyDescent="0.2">
      <c r="A131" s="5" t="s">
        <v>46</v>
      </c>
    </row>
    <row r="132" spans="1:2" x14ac:dyDescent="0.2">
      <c r="A132" s="5" t="s">
        <v>189</v>
      </c>
    </row>
    <row r="133" spans="1:2" x14ac:dyDescent="0.2">
      <c r="A133" s="5" t="s">
        <v>47</v>
      </c>
      <c r="B133">
        <v>3800006</v>
      </c>
    </row>
    <row r="134" spans="1:2" x14ac:dyDescent="0.2">
      <c r="A134" s="5" t="s">
        <v>48</v>
      </c>
    </row>
    <row r="135" spans="1:2" x14ac:dyDescent="0.2">
      <c r="A135" s="5" t="s">
        <v>49</v>
      </c>
    </row>
    <row r="136" spans="1:2" x14ac:dyDescent="0.2">
      <c r="A136" s="5" t="s">
        <v>186</v>
      </c>
      <c r="B136">
        <v>3813660</v>
      </c>
    </row>
    <row r="137" spans="1:2" x14ac:dyDescent="0.2">
      <c r="A137" s="5" t="s">
        <v>50</v>
      </c>
    </row>
    <row r="138" spans="1:2" x14ac:dyDescent="0.2">
      <c r="A138" s="5" t="s">
        <v>51</v>
      </c>
      <c r="B138">
        <v>3813710</v>
      </c>
    </row>
    <row r="139" spans="1:2" x14ac:dyDescent="0.2">
      <c r="A139" s="5" t="s">
        <v>52</v>
      </c>
      <c r="B139">
        <v>3800027</v>
      </c>
    </row>
    <row r="140" spans="1:2" x14ac:dyDescent="0.2">
      <c r="A140" s="5" t="s">
        <v>56</v>
      </c>
    </row>
    <row r="141" spans="1:2" x14ac:dyDescent="0.2">
      <c r="A141" s="5" t="s">
        <v>109</v>
      </c>
      <c r="B141">
        <v>3800059</v>
      </c>
    </row>
    <row r="142" spans="1:2" x14ac:dyDescent="0.2">
      <c r="A142" s="5" t="s">
        <v>110</v>
      </c>
      <c r="B142">
        <v>3800392</v>
      </c>
    </row>
    <row r="143" spans="1:2" x14ac:dyDescent="0.2">
      <c r="A143" s="5" t="s">
        <v>111</v>
      </c>
      <c r="B143">
        <v>3813920</v>
      </c>
    </row>
    <row r="144" spans="1:2" x14ac:dyDescent="0.2">
      <c r="A144" s="5" t="s">
        <v>112</v>
      </c>
      <c r="B144">
        <v>3800825</v>
      </c>
    </row>
    <row r="145" spans="1:2" x14ac:dyDescent="0.2">
      <c r="A145" s="5" t="s">
        <v>113</v>
      </c>
      <c r="B145">
        <v>3800054</v>
      </c>
    </row>
    <row r="146" spans="1:2" x14ac:dyDescent="0.2">
      <c r="A146" s="5" t="s">
        <v>114</v>
      </c>
      <c r="B146">
        <v>3814290</v>
      </c>
    </row>
    <row r="147" spans="1:2" x14ac:dyDescent="0.2">
      <c r="A147" s="5" t="s">
        <v>115</v>
      </c>
      <c r="B147">
        <v>3800390</v>
      </c>
    </row>
    <row r="148" spans="1:2" x14ac:dyDescent="0.2">
      <c r="A148" s="5" t="s">
        <v>203</v>
      </c>
      <c r="B148">
        <v>3880700</v>
      </c>
    </row>
    <row r="149" spans="1:2" x14ac:dyDescent="0.2">
      <c r="A149" s="5" t="s">
        <v>116</v>
      </c>
      <c r="B149">
        <v>3800044</v>
      </c>
    </row>
    <row r="150" spans="1:2" x14ac:dyDescent="0.2">
      <c r="A150" s="5" t="s">
        <v>117</v>
      </c>
      <c r="B150">
        <v>3880180</v>
      </c>
    </row>
    <row r="151" spans="1:2" x14ac:dyDescent="0.2">
      <c r="A151" s="5" t="s">
        <v>118</v>
      </c>
      <c r="B151">
        <v>3814340</v>
      </c>
    </row>
    <row r="152" spans="1:2" x14ac:dyDescent="0.2">
      <c r="A152" s="5" t="s">
        <v>201</v>
      </c>
      <c r="B152">
        <v>3814500</v>
      </c>
    </row>
    <row r="153" spans="1:2" x14ac:dyDescent="0.2">
      <c r="A153" s="5" t="s">
        <v>119</v>
      </c>
      <c r="B153">
        <v>3814520</v>
      </c>
    </row>
    <row r="154" spans="1:2" x14ac:dyDescent="0.2">
      <c r="A154" s="5" t="s">
        <v>120</v>
      </c>
      <c r="B154">
        <v>3880300</v>
      </c>
    </row>
    <row r="155" spans="1:2" x14ac:dyDescent="0.2">
      <c r="A155" s="5" t="s">
        <v>121</v>
      </c>
      <c r="B155">
        <v>3814730</v>
      </c>
    </row>
    <row r="156" spans="1:2" x14ac:dyDescent="0.2">
      <c r="A156" s="5" t="s">
        <v>230</v>
      </c>
      <c r="B156">
        <v>3800401</v>
      </c>
    </row>
    <row r="157" spans="1:2" x14ac:dyDescent="0.2">
      <c r="A157" s="5" t="s">
        <v>122</v>
      </c>
      <c r="B157">
        <v>3814940</v>
      </c>
    </row>
    <row r="158" spans="1:2" x14ac:dyDescent="0.2">
      <c r="A158" s="5" t="s">
        <v>123</v>
      </c>
      <c r="B158">
        <v>3880480</v>
      </c>
    </row>
    <row r="159" spans="1:2" x14ac:dyDescent="0.2">
      <c r="A159" s="5" t="s">
        <v>124</v>
      </c>
      <c r="B159">
        <v>3880200</v>
      </c>
    </row>
    <row r="160" spans="1:2" x14ac:dyDescent="0.2">
      <c r="A160" s="5" t="s">
        <v>216</v>
      </c>
      <c r="B160">
        <v>3815150</v>
      </c>
    </row>
    <row r="161" spans="1:2" x14ac:dyDescent="0.2">
      <c r="A161" s="5" t="s">
        <v>125</v>
      </c>
      <c r="B161">
        <v>3815360</v>
      </c>
    </row>
    <row r="162" spans="1:2" x14ac:dyDescent="0.2">
      <c r="A162" s="5" t="s">
        <v>126</v>
      </c>
      <c r="B162">
        <v>3800024</v>
      </c>
    </row>
    <row r="163" spans="1:2" x14ac:dyDescent="0.2">
      <c r="A163" s="5" t="s">
        <v>127</v>
      </c>
      <c r="B163">
        <v>3800048</v>
      </c>
    </row>
    <row r="164" spans="1:2" x14ac:dyDescent="0.2">
      <c r="A164" s="5" t="s">
        <v>231</v>
      </c>
      <c r="B164">
        <v>3800036</v>
      </c>
    </row>
    <row r="165" spans="1:2" x14ac:dyDescent="0.2">
      <c r="A165" s="5" t="s">
        <v>128</v>
      </c>
      <c r="B165">
        <v>3815960</v>
      </c>
    </row>
    <row r="166" spans="1:2" x14ac:dyDescent="0.2">
      <c r="A166" s="5" t="s">
        <v>129</v>
      </c>
    </row>
    <row r="167" spans="1:2" x14ac:dyDescent="0.2">
      <c r="A167" s="5" t="s">
        <v>130</v>
      </c>
      <c r="B167">
        <v>3816050</v>
      </c>
    </row>
    <row r="168" spans="1:2" x14ac:dyDescent="0.2">
      <c r="A168" s="5" t="s">
        <v>204</v>
      </c>
      <c r="B168">
        <v>3816090</v>
      </c>
    </row>
    <row r="169" spans="1:2" x14ac:dyDescent="0.2">
      <c r="A169" s="5" t="s">
        <v>131</v>
      </c>
      <c r="B169">
        <v>3800395</v>
      </c>
    </row>
    <row r="170" spans="1:2" x14ac:dyDescent="0.2">
      <c r="A170" s="5" t="s">
        <v>132</v>
      </c>
    </row>
    <row r="171" spans="1:2" x14ac:dyDescent="0.2">
      <c r="A171" s="5" t="s">
        <v>133</v>
      </c>
      <c r="B171">
        <v>3816130</v>
      </c>
    </row>
    <row r="172" spans="1:2" x14ac:dyDescent="0.2">
      <c r="A172" s="5" t="s">
        <v>205</v>
      </c>
      <c r="B172">
        <v>3880310</v>
      </c>
    </row>
    <row r="173" spans="1:2" x14ac:dyDescent="0.2">
      <c r="A173" s="5" t="s">
        <v>134</v>
      </c>
      <c r="B173">
        <v>3816430</v>
      </c>
    </row>
    <row r="174" spans="1:2" x14ac:dyDescent="0.2">
      <c r="A174" s="5" t="s">
        <v>135</v>
      </c>
      <c r="B174">
        <v>3816470</v>
      </c>
    </row>
    <row r="175" spans="1:2" x14ac:dyDescent="0.2">
      <c r="A175" s="5" t="s">
        <v>136</v>
      </c>
      <c r="B175">
        <v>3800023</v>
      </c>
    </row>
    <row r="176" spans="1:2" x14ac:dyDescent="0.2">
      <c r="A176" s="5" t="s">
        <v>215</v>
      </c>
    </row>
    <row r="177" spans="1:2" x14ac:dyDescent="0.2">
      <c r="A177" s="5" t="s">
        <v>137</v>
      </c>
      <c r="B177">
        <v>3816510</v>
      </c>
    </row>
    <row r="178" spans="1:2" x14ac:dyDescent="0.2">
      <c r="A178" s="5" t="s">
        <v>138</v>
      </c>
      <c r="B178">
        <v>3880560</v>
      </c>
    </row>
    <row r="179" spans="1:2" x14ac:dyDescent="0.2">
      <c r="A179" s="5" t="s">
        <v>139</v>
      </c>
      <c r="B179">
        <v>3880500</v>
      </c>
    </row>
    <row r="180" spans="1:2" x14ac:dyDescent="0.2">
      <c r="A180" s="5" t="s">
        <v>207</v>
      </c>
    </row>
    <row r="181" spans="1:2" x14ac:dyDescent="0.2">
      <c r="A181" s="5" t="s">
        <v>140</v>
      </c>
      <c r="B181">
        <v>3816980</v>
      </c>
    </row>
    <row r="182" spans="1:2" x14ac:dyDescent="0.2">
      <c r="A182" s="5" t="s">
        <v>141</v>
      </c>
      <c r="B182">
        <v>3880220</v>
      </c>
    </row>
    <row r="183" spans="1:2" x14ac:dyDescent="0.2">
      <c r="A183" s="5" t="s">
        <v>142</v>
      </c>
      <c r="B183">
        <v>3880340</v>
      </c>
    </row>
    <row r="184" spans="1:2" x14ac:dyDescent="0.2">
      <c r="A184" s="5" t="s">
        <v>233</v>
      </c>
      <c r="B184">
        <v>3880660</v>
      </c>
    </row>
    <row r="185" spans="1:2" x14ac:dyDescent="0.2">
      <c r="A185" s="5" t="s">
        <v>206</v>
      </c>
      <c r="B185">
        <v>3817130</v>
      </c>
    </row>
    <row r="186" spans="1:2" x14ac:dyDescent="0.2">
      <c r="A186" s="5" t="s">
        <v>234</v>
      </c>
      <c r="B186">
        <v>3817170</v>
      </c>
    </row>
    <row r="187" spans="1:2" x14ac:dyDescent="0.2">
      <c r="A187" s="5" t="s">
        <v>144</v>
      </c>
      <c r="B187">
        <v>3880520</v>
      </c>
    </row>
    <row r="188" spans="1:2" x14ac:dyDescent="0.2">
      <c r="A188" s="5" t="s">
        <v>145</v>
      </c>
      <c r="B188">
        <v>3880240</v>
      </c>
    </row>
    <row r="189" spans="1:2" x14ac:dyDescent="0.2">
      <c r="A189" s="5" t="s">
        <v>208</v>
      </c>
      <c r="B189">
        <v>3817460</v>
      </c>
    </row>
    <row r="190" spans="1:2" x14ac:dyDescent="0.2">
      <c r="A190" s="5" t="s">
        <v>146</v>
      </c>
      <c r="B190">
        <v>3817520</v>
      </c>
    </row>
    <row r="191" spans="1:2" x14ac:dyDescent="0.2">
      <c r="A191" s="5" t="s">
        <v>147</v>
      </c>
      <c r="B191">
        <v>3817570</v>
      </c>
    </row>
    <row r="192" spans="1:2" x14ac:dyDescent="0.2">
      <c r="A192" s="5" t="s">
        <v>148</v>
      </c>
      <c r="B192">
        <v>3817670</v>
      </c>
    </row>
    <row r="193" spans="1:2" x14ac:dyDescent="0.2">
      <c r="A193" s="5" t="s">
        <v>209</v>
      </c>
      <c r="B193">
        <v>3817760</v>
      </c>
    </row>
    <row r="194" spans="1:2" x14ac:dyDescent="0.2">
      <c r="A194" s="5" t="s">
        <v>149</v>
      </c>
      <c r="B194">
        <v>3800016</v>
      </c>
    </row>
    <row r="195" spans="1:2" x14ac:dyDescent="0.2">
      <c r="A195" s="5" t="s">
        <v>150</v>
      </c>
      <c r="B195">
        <v>3817910</v>
      </c>
    </row>
    <row r="196" spans="1:2" x14ac:dyDescent="0.2">
      <c r="A196" s="5" t="s">
        <v>151</v>
      </c>
      <c r="B196">
        <v>3817940</v>
      </c>
    </row>
    <row r="197" spans="1:2" x14ac:dyDescent="0.2">
      <c r="A197" s="5" t="s">
        <v>210</v>
      </c>
      <c r="B197">
        <v>3800047</v>
      </c>
    </row>
    <row r="198" spans="1:2" x14ac:dyDescent="0.2">
      <c r="A198" s="5" t="s">
        <v>152</v>
      </c>
      <c r="B198">
        <v>3818280</v>
      </c>
    </row>
    <row r="199" spans="1:2" x14ac:dyDescent="0.2">
      <c r="A199" s="5" t="s">
        <v>153</v>
      </c>
      <c r="B199">
        <v>3800039</v>
      </c>
    </row>
    <row r="200" spans="1:2" x14ac:dyDescent="0.2">
      <c r="A200" s="5" t="s">
        <v>154</v>
      </c>
      <c r="B200">
        <v>3818500</v>
      </c>
    </row>
    <row r="201" spans="1:2" x14ac:dyDescent="0.2">
      <c r="A201" s="5" t="s">
        <v>214</v>
      </c>
      <c r="B201">
        <v>3818600</v>
      </c>
    </row>
    <row r="202" spans="1:2" x14ac:dyDescent="0.2">
      <c r="A202" s="5" t="s">
        <v>155</v>
      </c>
      <c r="B202">
        <v>3818660</v>
      </c>
    </row>
    <row r="203" spans="1:2" x14ac:dyDescent="0.2">
      <c r="A203" s="5" t="s">
        <v>156</v>
      </c>
      <c r="B203">
        <v>3818730</v>
      </c>
    </row>
    <row r="204" spans="1:2" x14ac:dyDescent="0.2">
      <c r="A204" s="5" t="s">
        <v>157</v>
      </c>
      <c r="B204">
        <v>3880540</v>
      </c>
    </row>
    <row r="205" spans="1:2" x14ac:dyDescent="0.2">
      <c r="A205" s="5" t="s">
        <v>213</v>
      </c>
      <c r="B205">
        <v>3800397</v>
      </c>
    </row>
    <row r="206" spans="1:2" x14ac:dyDescent="0.2">
      <c r="A206" s="5" t="s">
        <v>158</v>
      </c>
      <c r="B206">
        <v>3818850</v>
      </c>
    </row>
    <row r="207" spans="1:2" x14ac:dyDescent="0.2">
      <c r="A207" s="5" t="s">
        <v>159</v>
      </c>
      <c r="B207">
        <v>3817040</v>
      </c>
    </row>
    <row r="208" spans="1:2" x14ac:dyDescent="0.2">
      <c r="A208" s="5" t="s">
        <v>160</v>
      </c>
      <c r="B208">
        <v>3819020</v>
      </c>
    </row>
    <row r="209" spans="1:2" x14ac:dyDescent="0.2">
      <c r="A209" s="5" t="s">
        <v>211</v>
      </c>
    </row>
    <row r="210" spans="1:2" x14ac:dyDescent="0.2">
      <c r="A210" s="5" t="s">
        <v>161</v>
      </c>
      <c r="B210">
        <v>3819260</v>
      </c>
    </row>
    <row r="211" spans="1:2" x14ac:dyDescent="0.2">
      <c r="A211" s="5" t="s">
        <v>162</v>
      </c>
      <c r="B211">
        <v>3819290</v>
      </c>
    </row>
    <row r="212" spans="1:2" x14ac:dyDescent="0.2">
      <c r="A212" s="5" t="s">
        <v>163</v>
      </c>
      <c r="B212">
        <v>3819410</v>
      </c>
    </row>
    <row r="213" spans="1:2" x14ac:dyDescent="0.2">
      <c r="A213" s="5" t="s">
        <v>164</v>
      </c>
      <c r="B213">
        <v>3880100</v>
      </c>
    </row>
    <row r="214" spans="1:2" x14ac:dyDescent="0.2">
      <c r="A214" s="5" t="s">
        <v>165</v>
      </c>
      <c r="B214">
        <v>3819470</v>
      </c>
    </row>
    <row r="215" spans="1:2" x14ac:dyDescent="0.2">
      <c r="A215" s="5" t="s">
        <v>166</v>
      </c>
      <c r="B215">
        <v>3819680</v>
      </c>
    </row>
    <row r="216" spans="1:2" x14ac:dyDescent="0.2">
      <c r="A216" s="5" t="s">
        <v>235</v>
      </c>
      <c r="B216">
        <v>3813760</v>
      </c>
    </row>
    <row r="217" spans="1:2" x14ac:dyDescent="0.2">
      <c r="A217" s="5" t="s">
        <v>248</v>
      </c>
      <c r="B217">
        <v>3800405</v>
      </c>
    </row>
    <row r="218" spans="1:2" x14ac:dyDescent="0.2">
      <c r="A218" s="5" t="s">
        <v>167</v>
      </c>
      <c r="B218">
        <v>3819880</v>
      </c>
    </row>
    <row r="219" spans="1:2" x14ac:dyDescent="0.2">
      <c r="A219" s="5" t="s">
        <v>232</v>
      </c>
      <c r="B219">
        <v>3880360</v>
      </c>
    </row>
    <row r="220" spans="1:2" x14ac:dyDescent="0.2">
      <c r="A220" s="5" t="s">
        <v>168</v>
      </c>
      <c r="B220">
        <v>3813200</v>
      </c>
    </row>
    <row r="221" spans="1:2" x14ac:dyDescent="0.2">
      <c r="A221" s="5" t="s">
        <v>169</v>
      </c>
      <c r="B221">
        <v>3820130</v>
      </c>
    </row>
    <row r="222" spans="1:2" x14ac:dyDescent="0.2">
      <c r="A222" s="5" t="s">
        <v>170</v>
      </c>
      <c r="B222">
        <v>3820190</v>
      </c>
    </row>
    <row r="223" spans="1:2" x14ac:dyDescent="0.2">
      <c r="A223" s="5" t="s">
        <v>212</v>
      </c>
      <c r="B223">
        <v>3820230</v>
      </c>
    </row>
    <row r="224" spans="1:2" x14ac:dyDescent="0.2">
      <c r="A224" s="5" t="s">
        <v>171</v>
      </c>
      <c r="B224">
        <v>3820310</v>
      </c>
    </row>
    <row r="225" spans="1:2" x14ac:dyDescent="0.2">
      <c r="A225" s="5" t="s">
        <v>172</v>
      </c>
      <c r="B225">
        <v>3820340</v>
      </c>
    </row>
    <row r="226" spans="1:2" x14ac:dyDescent="0.2">
      <c r="A226" s="5" t="s">
        <v>241</v>
      </c>
      <c r="B226">
        <v>3820400</v>
      </c>
    </row>
    <row r="227" spans="1:2" x14ac:dyDescent="0.2">
      <c r="A227" s="5" t="s">
        <v>173</v>
      </c>
      <c r="B227">
        <v>3820400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GASB 68 Data --&gt;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2025-02-12T21:59:37Z</dcterms:created>
  <dcterms:modified xsi:type="dcterms:W3CDTF">2025-02-13T23:36:22Z</dcterms:modified>
</cp:coreProperties>
</file>