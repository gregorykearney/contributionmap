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Hawaii/"/>
    </mc:Choice>
  </mc:AlternateContent>
  <xr:revisionPtr revIDLastSave="0" documentId="13_ncr:1_{C008345F-1B9E-A64C-8AA0-963A9E8D2EA8}" xr6:coauthVersionLast="47" xr6:coauthVersionMax="47" xr10:uidLastSave="{00000000-0000-0000-0000-000000000000}"/>
  <bookViews>
    <workbookView xWindow="4980" yWindow="-24280" windowWidth="26840" windowHeight="15940" xr2:uid="{CFB14C6F-CB7A-7949-81E8-AC81D30E1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H33" i="1"/>
  <c r="H34" i="1"/>
  <c r="H35" i="1"/>
  <c r="H36" i="1"/>
  <c r="H37" i="1"/>
  <c r="H38" i="1"/>
  <c r="H39" i="1"/>
  <c r="H40" i="1"/>
  <c r="G34" i="1"/>
  <c r="G35" i="1"/>
  <c r="G36" i="1"/>
  <c r="G37" i="1"/>
  <c r="G38" i="1"/>
  <c r="G39" i="1"/>
  <c r="G40" i="1"/>
  <c r="G33" i="1"/>
  <c r="I33" i="1"/>
  <c r="H24" i="1"/>
  <c r="H25" i="1"/>
  <c r="H26" i="1"/>
  <c r="H27" i="1"/>
  <c r="H28" i="1"/>
  <c r="H29" i="1"/>
  <c r="H30" i="1"/>
  <c r="H31" i="1"/>
  <c r="G25" i="1"/>
  <c r="G26" i="1"/>
  <c r="G27" i="1"/>
  <c r="G28" i="1"/>
  <c r="G29" i="1"/>
  <c r="G30" i="1"/>
  <c r="G31" i="1"/>
  <c r="G24" i="1"/>
</calcChain>
</file>

<file path=xl/sharedStrings.xml><?xml version="1.0" encoding="utf-8"?>
<sst xmlns="http://schemas.openxmlformats.org/spreadsheetml/2006/main" count="50" uniqueCount="22">
  <si>
    <t>LEAID</t>
  </si>
  <si>
    <t>Year</t>
  </si>
  <si>
    <t>State</t>
  </si>
  <si>
    <t>state_abv</t>
  </si>
  <si>
    <t>plan</t>
  </si>
  <si>
    <t>district_name</t>
  </si>
  <si>
    <t>district_contributions</t>
  </si>
  <si>
    <t>state_contributions</t>
  </si>
  <si>
    <t>total_contributions</t>
  </si>
  <si>
    <t>HI</t>
  </si>
  <si>
    <t>Hawaii</t>
  </si>
  <si>
    <t>Hawaii Department of Education</t>
  </si>
  <si>
    <t>Hawaii Retirement System</t>
  </si>
  <si>
    <t>District Contributions</t>
  </si>
  <si>
    <t>State Contributions</t>
  </si>
  <si>
    <t>GASB 67 Figures (000s)</t>
  </si>
  <si>
    <t>https://ers.ehawaii.gov/about-the-ers?utm_source=chatgpt.com</t>
  </si>
  <si>
    <t>https://www.hawaiipublicschools.org/Reports/EmploymentReport2022-23.pdf</t>
  </si>
  <si>
    <t>pg. 5</t>
  </si>
  <si>
    <t>% Public School Workers</t>
  </si>
  <si>
    <t>Multiplying by 1000</t>
  </si>
  <si>
    <t>Adjusting in line with covered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</si>
</sst>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2" fillId="0" borderId="0" xfId="1" applyNumberFormat="1" applyFont="1"/>
    <xf numFmtId="43" fontId="0" fillId="0" borderId="0" xfId="2" applyFont="1"/>
    <xf numFmtId="165" fontId="0" fillId="0" borderId="0" xfId="2" applyNumberFormat="1" applyFont="1"/>
    <xf numFmtId="43" fontId="0" fillId="0" borderId="0" xfId="0" applyNumberFormat="1"/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6E6B-6258-2E46-BDA4-1E2693C5AF9A}">
  <dimension ref="A1:K40"/>
  <sheetViews>
    <sheetView tabSelected="1" workbookViewId="0">
      <selection activeCell="E15" sqref="E15"/>
    </sheetView>
  </sheetViews>
  <sheetFormatPr baseColWidth="10" defaultRowHeight="16" x14ac:dyDescent="0.2"/>
  <cols>
    <col min="5" max="5" width="39.5" customWidth="1"/>
    <col min="6" max="6" width="12.6640625" bestFit="1" customWidth="1"/>
    <col min="7" max="7" width="20.5" bestFit="1" customWidth="1"/>
    <col min="8" max="8" width="17.5" bestFit="1" customWidth="1"/>
    <col min="9" max="9" width="17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">
      <c r="A2">
        <v>1500030</v>
      </c>
      <c r="B2">
        <v>2015</v>
      </c>
      <c r="C2" t="s">
        <v>10</v>
      </c>
      <c r="D2" t="s">
        <v>9</v>
      </c>
      <c r="E2" t="s">
        <v>12</v>
      </c>
      <c r="F2" t="s">
        <v>11</v>
      </c>
      <c r="G2" s="4">
        <v>249059404.75181732</v>
      </c>
      <c r="H2" s="4">
        <v>76998158.040082186</v>
      </c>
      <c r="I2" s="4">
        <f>SUM(G2:H2)</f>
        <v>326057562.7918995</v>
      </c>
    </row>
    <row r="3" spans="1:9" x14ac:dyDescent="0.2">
      <c r="A3">
        <v>1500030</v>
      </c>
      <c r="B3">
        <v>2016</v>
      </c>
      <c r="C3" t="s">
        <v>10</v>
      </c>
      <c r="D3" t="s">
        <v>9</v>
      </c>
      <c r="E3" t="s">
        <v>12</v>
      </c>
      <c r="F3" t="s">
        <v>11</v>
      </c>
      <c r="G3" s="4">
        <v>262510069.23711532</v>
      </c>
      <c r="H3" s="4">
        <v>81567926.155378789</v>
      </c>
      <c r="I3" s="4">
        <f t="shared" ref="I3:I9" si="0">SUM(G3:H3)</f>
        <v>344077995.39249408</v>
      </c>
    </row>
    <row r="4" spans="1:9" x14ac:dyDescent="0.2">
      <c r="A4">
        <v>1500030</v>
      </c>
      <c r="B4">
        <v>2017</v>
      </c>
      <c r="C4" t="s">
        <v>10</v>
      </c>
      <c r="D4" t="s">
        <v>9</v>
      </c>
      <c r="E4" t="s">
        <v>12</v>
      </c>
      <c r="F4" t="s">
        <v>11</v>
      </c>
      <c r="G4" s="4">
        <v>271075603.62996745</v>
      </c>
      <c r="H4" s="4">
        <v>86471439.565400124</v>
      </c>
      <c r="I4" s="4">
        <f t="shared" si="0"/>
        <v>357547043.19536757</v>
      </c>
    </row>
    <row r="5" spans="1:9" x14ac:dyDescent="0.2">
      <c r="A5">
        <v>1500030</v>
      </c>
      <c r="B5">
        <v>2018</v>
      </c>
      <c r="C5" t="s">
        <v>10</v>
      </c>
      <c r="D5" t="s">
        <v>9</v>
      </c>
      <c r="E5" t="s">
        <v>12</v>
      </c>
      <c r="F5" t="s">
        <v>11</v>
      </c>
      <c r="G5" s="4">
        <v>294098036.28410876</v>
      </c>
      <c r="H5" s="4">
        <v>89275727.378858402</v>
      </c>
      <c r="I5" s="4">
        <f t="shared" si="0"/>
        <v>383373763.66296715</v>
      </c>
    </row>
    <row r="6" spans="1:9" x14ac:dyDescent="0.2">
      <c r="A6">
        <v>1500030</v>
      </c>
      <c r="B6">
        <v>2019</v>
      </c>
      <c r="C6" t="s">
        <v>10</v>
      </c>
      <c r="D6" t="s">
        <v>9</v>
      </c>
      <c r="E6" t="s">
        <v>12</v>
      </c>
      <c r="F6" t="s">
        <v>11</v>
      </c>
      <c r="G6" s="4">
        <v>320135373.27023953</v>
      </c>
      <c r="H6" s="4">
        <v>93949887.380726308</v>
      </c>
      <c r="I6" s="4">
        <f t="shared" si="0"/>
        <v>414085260.65096581</v>
      </c>
    </row>
    <row r="7" spans="1:9" x14ac:dyDescent="0.2">
      <c r="A7">
        <v>1500030</v>
      </c>
      <c r="B7">
        <v>2020</v>
      </c>
      <c r="C7" t="s">
        <v>10</v>
      </c>
      <c r="D7" t="s">
        <v>9</v>
      </c>
      <c r="E7" t="s">
        <v>12</v>
      </c>
      <c r="F7" t="s">
        <v>11</v>
      </c>
      <c r="G7" s="4">
        <v>381187793.20704198</v>
      </c>
      <c r="H7" s="4">
        <v>98591431.315474063</v>
      </c>
      <c r="I7" s="4">
        <f t="shared" si="0"/>
        <v>479779224.52251601</v>
      </c>
    </row>
    <row r="8" spans="1:9" x14ac:dyDescent="0.2">
      <c r="A8">
        <v>1500030</v>
      </c>
      <c r="B8">
        <v>2021</v>
      </c>
      <c r="C8" t="s">
        <v>10</v>
      </c>
      <c r="D8" t="s">
        <v>9</v>
      </c>
      <c r="E8" t="s">
        <v>12</v>
      </c>
      <c r="F8" t="s">
        <v>11</v>
      </c>
      <c r="G8" s="4">
        <v>444674620.87698269</v>
      </c>
      <c r="H8" s="4">
        <v>103910973.07099606</v>
      </c>
      <c r="I8" s="4">
        <f t="shared" si="0"/>
        <v>548585593.94797873</v>
      </c>
    </row>
    <row r="9" spans="1:9" x14ac:dyDescent="0.2">
      <c r="A9">
        <v>1500030</v>
      </c>
      <c r="B9">
        <v>2022</v>
      </c>
      <c r="C9" t="s">
        <v>10</v>
      </c>
      <c r="D9" t="s">
        <v>9</v>
      </c>
      <c r="E9" t="s">
        <v>12</v>
      </c>
      <c r="F9" t="s">
        <v>11</v>
      </c>
      <c r="G9" s="4">
        <v>430996691.45276529</v>
      </c>
      <c r="H9" s="4">
        <v>101464421.05754712</v>
      </c>
      <c r="I9" s="4">
        <f t="shared" si="0"/>
        <v>532461112.51031244</v>
      </c>
    </row>
    <row r="13" spans="1:9" x14ac:dyDescent="0.2">
      <c r="G13" s="7" t="s">
        <v>15</v>
      </c>
      <c r="H13" s="7"/>
      <c r="I13">
        <v>1000</v>
      </c>
    </row>
    <row r="14" spans="1:9" x14ac:dyDescent="0.2">
      <c r="G14" t="s">
        <v>13</v>
      </c>
      <c r="H14" t="s">
        <v>14</v>
      </c>
    </row>
    <row r="15" spans="1:9" x14ac:dyDescent="0.2">
      <c r="F15">
        <v>2015</v>
      </c>
      <c r="G15" s="3">
        <v>717792.98100000003</v>
      </c>
      <c r="H15" s="3">
        <v>221909.859</v>
      </c>
    </row>
    <row r="16" spans="1:9" x14ac:dyDescent="0.2">
      <c r="F16">
        <v>2016</v>
      </c>
      <c r="G16" s="3">
        <v>756558</v>
      </c>
      <c r="H16" s="3">
        <v>235080</v>
      </c>
    </row>
    <row r="17" spans="5:9" x14ac:dyDescent="0.2">
      <c r="F17">
        <v>2017</v>
      </c>
      <c r="G17" s="3">
        <v>781244</v>
      </c>
      <c r="H17" s="3">
        <v>249212</v>
      </c>
    </row>
    <row r="18" spans="5:9" x14ac:dyDescent="0.2">
      <c r="F18">
        <v>2018</v>
      </c>
      <c r="G18" s="3">
        <v>847595</v>
      </c>
      <c r="H18" s="3">
        <v>257294</v>
      </c>
    </row>
    <row r="19" spans="5:9" x14ac:dyDescent="0.2">
      <c r="F19">
        <v>2019</v>
      </c>
      <c r="G19" s="3">
        <v>922635</v>
      </c>
      <c r="H19" s="3">
        <v>270765</v>
      </c>
    </row>
    <row r="20" spans="5:9" x14ac:dyDescent="0.2">
      <c r="F20">
        <v>2020</v>
      </c>
      <c r="G20" s="3">
        <v>1098589</v>
      </c>
      <c r="H20" s="3">
        <v>284142</v>
      </c>
    </row>
    <row r="21" spans="5:9" x14ac:dyDescent="0.2">
      <c r="F21">
        <v>2021</v>
      </c>
      <c r="G21" s="3">
        <v>1281559</v>
      </c>
      <c r="H21" s="3">
        <v>299473</v>
      </c>
    </row>
    <row r="22" spans="5:9" x14ac:dyDescent="0.2">
      <c r="F22">
        <v>2022</v>
      </c>
      <c r="G22" s="3">
        <v>1242139</v>
      </c>
      <c r="H22" s="3">
        <v>292422</v>
      </c>
    </row>
    <row r="24" spans="5:9" x14ac:dyDescent="0.2">
      <c r="E24" t="s">
        <v>20</v>
      </c>
      <c r="F24">
        <v>2015</v>
      </c>
      <c r="G24" s="5">
        <f>G15*$I$13</f>
        <v>717792981</v>
      </c>
      <c r="H24" s="5">
        <f>H15*$I$13</f>
        <v>221909859</v>
      </c>
    </row>
    <row r="25" spans="5:9" x14ac:dyDescent="0.2">
      <c r="F25">
        <v>2016</v>
      </c>
      <c r="G25" s="5">
        <f t="shared" ref="G25:H31" si="1">G16*$I$13</f>
        <v>756558000</v>
      </c>
      <c r="H25" s="5">
        <f t="shared" si="1"/>
        <v>235080000</v>
      </c>
    </row>
    <row r="26" spans="5:9" x14ac:dyDescent="0.2">
      <c r="F26">
        <v>2017</v>
      </c>
      <c r="G26" s="5">
        <f t="shared" si="1"/>
        <v>781244000</v>
      </c>
      <c r="H26" s="5">
        <f t="shared" si="1"/>
        <v>249212000</v>
      </c>
    </row>
    <row r="27" spans="5:9" x14ac:dyDescent="0.2">
      <c r="F27">
        <v>2018</v>
      </c>
      <c r="G27" s="5">
        <f t="shared" si="1"/>
        <v>847595000</v>
      </c>
      <c r="H27" s="5">
        <f t="shared" si="1"/>
        <v>257294000</v>
      </c>
    </row>
    <row r="28" spans="5:9" x14ac:dyDescent="0.2">
      <c r="F28">
        <v>2019</v>
      </c>
      <c r="G28" s="5">
        <f t="shared" si="1"/>
        <v>922635000</v>
      </c>
      <c r="H28" s="5">
        <f t="shared" si="1"/>
        <v>270765000</v>
      </c>
    </row>
    <row r="29" spans="5:9" x14ac:dyDescent="0.2">
      <c r="F29">
        <v>2020</v>
      </c>
      <c r="G29" s="5">
        <f t="shared" si="1"/>
        <v>1098589000</v>
      </c>
      <c r="H29" s="5">
        <f t="shared" si="1"/>
        <v>284142000</v>
      </c>
    </row>
    <row r="30" spans="5:9" x14ac:dyDescent="0.2">
      <c r="F30">
        <v>2021</v>
      </c>
      <c r="G30" s="5">
        <f t="shared" si="1"/>
        <v>1281559000</v>
      </c>
      <c r="H30" s="5">
        <f t="shared" si="1"/>
        <v>299473000</v>
      </c>
    </row>
    <row r="31" spans="5:9" x14ac:dyDescent="0.2">
      <c r="F31">
        <v>2022</v>
      </c>
      <c r="G31" s="5">
        <f t="shared" si="1"/>
        <v>1242139000</v>
      </c>
      <c r="H31" s="5">
        <f t="shared" si="1"/>
        <v>292422000</v>
      </c>
    </row>
    <row r="32" spans="5:9" x14ac:dyDescent="0.2">
      <c r="I32" t="s">
        <v>19</v>
      </c>
    </row>
    <row r="33" spans="5:11" x14ac:dyDescent="0.2">
      <c r="E33" t="s">
        <v>21</v>
      </c>
      <c r="F33">
        <v>2015</v>
      </c>
      <c r="G33" s="5">
        <f>G24*$I$33</f>
        <v>249059404.75181732</v>
      </c>
      <c r="H33" s="5">
        <f>H24*$I$33</f>
        <v>76998158.040082186</v>
      </c>
      <c r="I33">
        <f>I35/I36</f>
        <v>0.34697943744843796</v>
      </c>
    </row>
    <row r="34" spans="5:11" x14ac:dyDescent="0.2">
      <c r="F34">
        <v>2016</v>
      </c>
      <c r="G34" s="5">
        <f t="shared" ref="G34:H40" si="2">G25*$I$33</f>
        <v>262510069.23711532</v>
      </c>
      <c r="H34" s="5">
        <f t="shared" si="2"/>
        <v>81567926.155378789</v>
      </c>
    </row>
    <row r="35" spans="5:11" x14ac:dyDescent="0.2">
      <c r="F35">
        <v>2017</v>
      </c>
      <c r="G35" s="5">
        <f t="shared" si="2"/>
        <v>271075603.62996745</v>
      </c>
      <c r="H35" s="5">
        <f t="shared" si="2"/>
        <v>86471439.565400124</v>
      </c>
      <c r="I35" s="6">
        <v>22291</v>
      </c>
      <c r="J35" t="s">
        <v>18</v>
      </c>
      <c r="K35" t="s">
        <v>17</v>
      </c>
    </row>
    <row r="36" spans="5:11" x14ac:dyDescent="0.2">
      <c r="F36">
        <v>2018</v>
      </c>
      <c r="G36" s="5">
        <f t="shared" si="2"/>
        <v>294098036.28410876</v>
      </c>
      <c r="H36" s="5">
        <f t="shared" si="2"/>
        <v>89275727.378858402</v>
      </c>
      <c r="I36">
        <v>64243</v>
      </c>
      <c r="J36" t="s">
        <v>16</v>
      </c>
    </row>
    <row r="37" spans="5:11" x14ac:dyDescent="0.2">
      <c r="F37">
        <v>2019</v>
      </c>
      <c r="G37" s="5">
        <f t="shared" si="2"/>
        <v>320135373.27023953</v>
      </c>
      <c r="H37" s="5">
        <f t="shared" si="2"/>
        <v>93949887.380726308</v>
      </c>
    </row>
    <row r="38" spans="5:11" x14ac:dyDescent="0.2">
      <c r="F38">
        <v>2020</v>
      </c>
      <c r="G38" s="5">
        <f t="shared" si="2"/>
        <v>381187793.20704198</v>
      </c>
      <c r="H38" s="5">
        <f t="shared" si="2"/>
        <v>98591431.315474063</v>
      </c>
    </row>
    <row r="39" spans="5:11" x14ac:dyDescent="0.2">
      <c r="F39">
        <v>2021</v>
      </c>
      <c r="G39" s="5">
        <f t="shared" si="2"/>
        <v>444674620.87698269</v>
      </c>
      <c r="H39" s="5">
        <f t="shared" si="2"/>
        <v>103910973.07099606</v>
      </c>
    </row>
    <row r="40" spans="5:11" x14ac:dyDescent="0.2">
      <c r="F40">
        <v>2022</v>
      </c>
      <c r="G40" s="5">
        <f t="shared" si="2"/>
        <v>430996691.45276529</v>
      </c>
      <c r="H40" s="5">
        <f t="shared" si="2"/>
        <v>101464421.05754712</v>
      </c>
    </row>
  </sheetData>
  <mergeCells count="1">
    <mergeCell ref="G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2025-02-05T07:17:49Z</dcterms:created>
  <dcterms:modified xsi:type="dcterms:W3CDTF">2025-02-06T21:24:53Z</dcterms:modified>
</cp:coreProperties>
</file>