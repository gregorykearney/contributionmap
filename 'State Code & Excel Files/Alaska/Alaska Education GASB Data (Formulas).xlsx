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laska/"/>
    </mc:Choice>
  </mc:AlternateContent>
  <xr:revisionPtr revIDLastSave="0" documentId="13_ncr:1_{8CC37AD8-0170-1743-8FA3-A5B075C71CC4}" xr6:coauthVersionLast="47" xr6:coauthVersionMax="47" xr10:uidLastSave="{00000000-0000-0000-0000-000000000000}"/>
  <bookViews>
    <workbookView xWindow="0" yWindow="780" windowWidth="34200" windowHeight="20380" xr2:uid="{01FB7C27-04B9-B64A-A679-290ED7A5948F}"/>
  </bookViews>
  <sheets>
    <sheet name="Data for Export" sheetId="4" r:id="rId1"/>
    <sheet name="Relevant Data Files --&gt;" sheetId="5" r:id="rId2"/>
    <sheet name="Raw Data with Formulas" sheetId="3" r:id="rId3"/>
    <sheet name="GASB Match" sheetId="6" r:id="rId4"/>
  </sheets>
  <definedNames>
    <definedName name="_xlnm._FilterDatabase" localSheetId="2" hidden="1">'Raw Data with Formulas'!$A$1:$G$496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 a="1"/>
  <c r="I3" i="3" s="1"/>
  <c r="I4" i="3" a="1"/>
  <c r="I4" i="3"/>
  <c r="I5" i="3" a="1"/>
  <c r="I5" i="3"/>
  <c r="I6" i="3" a="1"/>
  <c r="I6" i="3" s="1"/>
  <c r="I7" i="3" a="1"/>
  <c r="I7" i="3" s="1"/>
  <c r="I8" i="3" a="1"/>
  <c r="I8" i="3" s="1"/>
  <c r="I9" i="3" a="1"/>
  <c r="I9" i="3"/>
  <c r="I10" i="3" a="1"/>
  <c r="I10" i="3" s="1"/>
  <c r="I11" i="3" a="1"/>
  <c r="I11" i="3" s="1"/>
  <c r="I12" i="3" a="1"/>
  <c r="I12" i="3" s="1"/>
  <c r="I13" i="3" a="1"/>
  <c r="I13" i="3" s="1"/>
  <c r="I14" i="3" a="1"/>
  <c r="I14" i="3"/>
  <c r="I15" i="3" a="1"/>
  <c r="I15" i="3" s="1"/>
  <c r="I16" i="3" a="1"/>
  <c r="I16" i="3"/>
  <c r="I17" i="3" a="1"/>
  <c r="I17" i="3"/>
  <c r="I18" i="3" a="1"/>
  <c r="I18" i="3"/>
  <c r="I19" i="3" a="1"/>
  <c r="I19" i="3" s="1"/>
  <c r="I20" i="3" a="1"/>
  <c r="I20" i="3" s="1"/>
  <c r="I21" i="3" a="1"/>
  <c r="I21" i="3" s="1"/>
  <c r="I22" i="3" a="1"/>
  <c r="I22" i="3" s="1"/>
  <c r="I23" i="3" a="1"/>
  <c r="I23" i="3" s="1"/>
  <c r="I24" i="3" a="1"/>
  <c r="I24" i="3" s="1"/>
  <c r="I25" i="3" a="1"/>
  <c r="I25" i="3"/>
  <c r="I26" i="3" a="1"/>
  <c r="I26" i="3"/>
  <c r="I27" i="3" a="1"/>
  <c r="I27" i="3" s="1"/>
  <c r="I28" i="3" a="1"/>
  <c r="I28" i="3"/>
  <c r="I29" i="3" a="1"/>
  <c r="I29" i="3" s="1"/>
  <c r="I30" i="3" a="1"/>
  <c r="I30" i="3" s="1"/>
  <c r="I31" i="3" a="1"/>
  <c r="I31" i="3" s="1"/>
  <c r="I32" i="3" a="1"/>
  <c r="I32" i="3"/>
  <c r="I33" i="3" a="1"/>
  <c r="I33" i="3" s="1"/>
  <c r="I34" i="3" a="1"/>
  <c r="I34" i="3"/>
  <c r="I35" i="3" a="1"/>
  <c r="I35" i="3" s="1"/>
  <c r="I36" i="3" a="1"/>
  <c r="I36" i="3" s="1"/>
  <c r="I37" i="3" a="1"/>
  <c r="I37" i="3"/>
  <c r="I38" i="3" a="1"/>
  <c r="I38" i="3" s="1"/>
  <c r="I39" i="3" a="1"/>
  <c r="I39" i="3" s="1"/>
  <c r="I40" i="3" a="1"/>
  <c r="I40" i="3"/>
  <c r="I41" i="3" a="1"/>
  <c r="I41" i="3"/>
  <c r="I42" i="3" a="1"/>
  <c r="I42" i="3" s="1"/>
  <c r="I43" i="3" a="1"/>
  <c r="I43" i="3" s="1"/>
  <c r="I44" i="3" a="1"/>
  <c r="I44" i="3" s="1"/>
  <c r="I45" i="3" a="1"/>
  <c r="I45" i="3" s="1"/>
  <c r="I46" i="3" a="1"/>
  <c r="I46" i="3"/>
  <c r="I47" i="3" a="1"/>
  <c r="I47" i="3" s="1"/>
  <c r="I48" i="3" a="1"/>
  <c r="I48" i="3"/>
  <c r="I49" i="3" a="1"/>
  <c r="I49" i="3"/>
  <c r="I50" i="3" a="1"/>
  <c r="I50" i="3"/>
  <c r="I51" i="3" a="1"/>
  <c r="I51" i="3" s="1"/>
  <c r="I52" i="3" a="1"/>
  <c r="I52" i="3" s="1"/>
  <c r="I53" i="3" a="1"/>
  <c r="I53" i="3" s="1"/>
  <c r="I54" i="3" a="1"/>
  <c r="I54" i="3" s="1"/>
  <c r="I55" i="3" a="1"/>
  <c r="I55" i="3" s="1"/>
  <c r="I56" i="3" a="1"/>
  <c r="I56" i="3" s="1"/>
  <c r="I57" i="3" a="1"/>
  <c r="I57" i="3"/>
  <c r="I58" i="3" a="1"/>
  <c r="I58" i="3"/>
  <c r="I59" i="3" a="1"/>
  <c r="I59" i="3" s="1"/>
  <c r="I60" i="3" a="1"/>
  <c r="I60" i="3"/>
  <c r="I61" i="3" a="1"/>
  <c r="I61" i="3" s="1"/>
  <c r="I62" i="3" a="1"/>
  <c r="I62" i="3" s="1"/>
  <c r="I63" i="3" a="1"/>
  <c r="I63" i="3" s="1"/>
  <c r="I64" i="3" a="1"/>
  <c r="I64" i="3" s="1"/>
  <c r="I65" i="3" a="1"/>
  <c r="I65" i="3" s="1"/>
  <c r="I66" i="3" a="1"/>
  <c r="I66" i="3"/>
  <c r="I67" i="3" a="1"/>
  <c r="I67" i="3" s="1"/>
  <c r="I68" i="3" a="1"/>
  <c r="I68" i="3"/>
  <c r="I69" i="3" a="1"/>
  <c r="I69" i="3"/>
  <c r="I70" i="3" a="1"/>
  <c r="I70" i="3" s="1"/>
  <c r="I71" i="3" a="1"/>
  <c r="I71" i="3" s="1"/>
  <c r="I72" i="3" a="1"/>
  <c r="I72" i="3"/>
  <c r="I73" i="3" a="1"/>
  <c r="I73" i="3" s="1"/>
  <c r="I74" i="3" a="1"/>
  <c r="I74" i="3" s="1"/>
  <c r="I75" i="3" a="1"/>
  <c r="I75" i="3" s="1"/>
  <c r="I76" i="3" a="1"/>
  <c r="I76" i="3" s="1"/>
  <c r="I77" i="3" a="1"/>
  <c r="I77" i="3"/>
  <c r="I78" i="3" a="1"/>
  <c r="I78" i="3"/>
  <c r="I79" i="3" a="1"/>
  <c r="I79" i="3" s="1"/>
  <c r="I80" i="3" a="1"/>
  <c r="I80" i="3"/>
  <c r="I81" i="3" a="1"/>
  <c r="I81" i="3"/>
  <c r="I82" i="3" a="1"/>
  <c r="I82" i="3" s="1"/>
  <c r="I83" i="3" a="1"/>
  <c r="I83" i="3" s="1"/>
  <c r="I84" i="3" a="1"/>
  <c r="I84" i="3" s="1"/>
  <c r="I85" i="3" a="1"/>
  <c r="I85" i="3" s="1"/>
  <c r="I86" i="3" a="1"/>
  <c r="I86" i="3"/>
  <c r="I87" i="3" a="1"/>
  <c r="I87" i="3" s="1"/>
  <c r="I88" i="3" a="1"/>
  <c r="I88" i="3" s="1"/>
  <c r="I89" i="3" a="1"/>
  <c r="I89" i="3"/>
  <c r="I90" i="3" a="1"/>
  <c r="I90" i="3"/>
  <c r="I91" i="3" a="1"/>
  <c r="I91" i="3" s="1"/>
  <c r="I92" i="3" a="1"/>
  <c r="I92" i="3"/>
  <c r="I93" i="3" a="1"/>
  <c r="I93" i="3" s="1"/>
  <c r="I94" i="3" a="1"/>
  <c r="I94" i="3" s="1"/>
  <c r="I95" i="3" a="1"/>
  <c r="I95" i="3" s="1"/>
  <c r="I96" i="3" a="1"/>
  <c r="I96" i="3" s="1"/>
  <c r="I97" i="3" a="1"/>
  <c r="I97" i="3" s="1"/>
  <c r="I98" i="3" a="1"/>
  <c r="I98" i="3"/>
  <c r="I99" i="3" a="1"/>
  <c r="I99" i="3" s="1"/>
  <c r="I100" i="3" a="1"/>
  <c r="I100" i="3"/>
  <c r="I101" i="3" a="1"/>
  <c r="I101" i="3"/>
  <c r="I102" i="3" a="1"/>
  <c r="I102" i="3" s="1"/>
  <c r="I103" i="3" a="1"/>
  <c r="I103" i="3" s="1"/>
  <c r="I104" i="3" a="1"/>
  <c r="I104" i="3"/>
  <c r="I105" i="3" a="1"/>
  <c r="I105" i="3" s="1"/>
  <c r="I106" i="3" a="1"/>
  <c r="I106" i="3" s="1"/>
  <c r="I107" i="3" a="1"/>
  <c r="I107" i="3" s="1"/>
  <c r="I108" i="3" a="1"/>
  <c r="I108" i="3" s="1"/>
  <c r="I109" i="3" a="1"/>
  <c r="I109" i="3"/>
  <c r="I110" i="3" a="1"/>
  <c r="I110" i="3"/>
  <c r="I111" i="3" a="1"/>
  <c r="I111" i="3" s="1"/>
  <c r="I112" i="3" a="1"/>
  <c r="I112" i="3"/>
  <c r="I113" i="3" a="1"/>
  <c r="I113" i="3"/>
  <c r="I114" i="3" a="1"/>
  <c r="I114" i="3" s="1"/>
  <c r="I115" i="3" a="1"/>
  <c r="I115" i="3" s="1"/>
  <c r="I116" i="3" a="1"/>
  <c r="I116" i="3" s="1"/>
  <c r="I117" i="3" a="1"/>
  <c r="I117" i="3" s="1"/>
  <c r="I118" i="3" a="1"/>
  <c r="I118" i="3"/>
  <c r="I119" i="3" a="1"/>
  <c r="I119" i="3" s="1"/>
  <c r="I120" i="3" a="1"/>
  <c r="I120" i="3" s="1"/>
  <c r="I121" i="3" a="1"/>
  <c r="I121" i="3"/>
  <c r="I122" i="3" a="1"/>
  <c r="I122" i="3"/>
  <c r="I123" i="3" a="1"/>
  <c r="I123" i="3" s="1"/>
  <c r="I124" i="3" a="1"/>
  <c r="I124" i="3"/>
  <c r="I125" i="3" a="1"/>
  <c r="I125" i="3" s="1"/>
  <c r="I126" i="3" a="1"/>
  <c r="I126" i="3" s="1"/>
  <c r="I127" i="3" a="1"/>
  <c r="I127" i="3" s="1"/>
  <c r="I128" i="3" a="1"/>
  <c r="I128" i="3" s="1"/>
  <c r="I129" i="3" a="1"/>
  <c r="I129" i="3" s="1"/>
  <c r="I130" i="3" a="1"/>
  <c r="I130" i="3"/>
  <c r="I131" i="3" a="1"/>
  <c r="I131" i="3" s="1"/>
  <c r="I132" i="3" a="1"/>
  <c r="I132" i="3"/>
  <c r="I133" i="3" a="1"/>
  <c r="I133" i="3"/>
  <c r="I134" i="3" a="1"/>
  <c r="I134" i="3" s="1"/>
  <c r="I135" i="3" a="1"/>
  <c r="I135" i="3" s="1"/>
  <c r="I136" i="3" a="1"/>
  <c r="I136" i="3" s="1"/>
  <c r="I137" i="3" a="1"/>
  <c r="I137" i="3" s="1"/>
  <c r="I138" i="3" a="1"/>
  <c r="I138" i="3" s="1"/>
  <c r="I139" i="3" a="1"/>
  <c r="I139" i="3" s="1"/>
  <c r="I140" i="3" a="1"/>
  <c r="I140" i="3"/>
  <c r="I141" i="3" a="1"/>
  <c r="I141" i="3"/>
  <c r="I142" i="3" a="1"/>
  <c r="I142" i="3"/>
  <c r="I143" i="3" a="1"/>
  <c r="I143" i="3" s="1"/>
  <c r="I144" i="3" a="1"/>
  <c r="I144" i="3"/>
  <c r="I145" i="3" a="1"/>
  <c r="I145" i="3" s="1"/>
  <c r="I146" i="3" a="1"/>
  <c r="I146" i="3" s="1"/>
  <c r="I147" i="3" a="1"/>
  <c r="I147" i="3" s="1"/>
  <c r="I148" i="3" a="1"/>
  <c r="I148" i="3" s="1"/>
  <c r="I149" i="3" a="1"/>
  <c r="I149" i="3"/>
  <c r="I150" i="3" a="1"/>
  <c r="I150" i="3"/>
  <c r="I151" i="3" a="1"/>
  <c r="I151" i="3" s="1"/>
  <c r="I152" i="3" a="1"/>
  <c r="I152" i="3" s="1"/>
  <c r="I153" i="3" a="1"/>
  <c r="I153" i="3"/>
  <c r="I154" i="3" a="1"/>
  <c r="I154" i="3" s="1"/>
  <c r="I155" i="3" a="1"/>
  <c r="I155" i="3" s="1"/>
  <c r="I156" i="3" a="1"/>
  <c r="I156" i="3"/>
  <c r="I157" i="3" a="1"/>
  <c r="I157" i="3" s="1"/>
  <c r="I158" i="3" a="1"/>
  <c r="I158" i="3"/>
  <c r="I159" i="3" a="1"/>
  <c r="I159" i="3" s="1"/>
  <c r="I160" i="3" a="1"/>
  <c r="I160" i="3" s="1"/>
  <c r="I161" i="3" a="1"/>
  <c r="I161" i="3" s="1"/>
  <c r="I162" i="3" a="1"/>
  <c r="I162" i="3"/>
  <c r="I163" i="3" a="1"/>
  <c r="I163" i="3" s="1"/>
  <c r="I164" i="3" a="1"/>
  <c r="I164" i="3"/>
  <c r="I165" i="3" a="1"/>
  <c r="I165" i="3"/>
  <c r="I166" i="3" a="1"/>
  <c r="I166" i="3" s="1"/>
  <c r="I167" i="3" a="1"/>
  <c r="I167" i="3" s="1"/>
  <c r="I168" i="3" a="1"/>
  <c r="I168" i="3" s="1"/>
  <c r="I169" i="3" a="1"/>
  <c r="I169" i="3" s="1"/>
  <c r="I170" i="3" a="1"/>
  <c r="I170" i="3" s="1"/>
  <c r="I171" i="3" a="1"/>
  <c r="I171" i="3" s="1"/>
  <c r="I172" i="3" a="1"/>
  <c r="I172" i="3"/>
  <c r="I173" i="3" a="1"/>
  <c r="I173" i="3"/>
  <c r="I174" i="3" a="1"/>
  <c r="I174" i="3"/>
  <c r="I175" i="3" a="1"/>
  <c r="I175" i="3" s="1"/>
  <c r="I176" i="3" a="1"/>
  <c r="I176" i="3"/>
  <c r="I177" i="3" a="1"/>
  <c r="I177" i="3" s="1"/>
  <c r="I178" i="3" a="1"/>
  <c r="I178" i="3" s="1"/>
  <c r="I179" i="3" a="1"/>
  <c r="I179" i="3" s="1"/>
  <c r="I180" i="3" a="1"/>
  <c r="I180" i="3" s="1"/>
  <c r="I181" i="3" a="1"/>
  <c r="I181" i="3"/>
  <c r="I182" i="3" a="1"/>
  <c r="I182" i="3"/>
  <c r="I183" i="3" a="1"/>
  <c r="I183" i="3" s="1"/>
  <c r="I184" i="3" a="1"/>
  <c r="I184" i="3" s="1"/>
  <c r="I185" i="3" a="1"/>
  <c r="I185" i="3"/>
  <c r="I186" i="3" a="1"/>
  <c r="I186" i="3" s="1"/>
  <c r="I187" i="3" a="1"/>
  <c r="I187" i="3" s="1"/>
  <c r="I188" i="3" a="1"/>
  <c r="I188" i="3"/>
  <c r="I189" i="3" a="1"/>
  <c r="I189" i="3" s="1"/>
  <c r="I190" i="3" a="1"/>
  <c r="I190" i="3"/>
  <c r="I191" i="3" a="1"/>
  <c r="I191" i="3" s="1"/>
  <c r="I192" i="3" a="1"/>
  <c r="I192" i="3" s="1"/>
  <c r="I193" i="3" a="1"/>
  <c r="I193" i="3" s="1"/>
  <c r="I194" i="3" a="1"/>
  <c r="I194" i="3"/>
  <c r="I195" i="3" a="1"/>
  <c r="I195" i="3" s="1"/>
  <c r="I196" i="3" a="1"/>
  <c r="I196" i="3"/>
  <c r="I197" i="3" a="1"/>
  <c r="I197" i="3"/>
  <c r="I198" i="3" a="1"/>
  <c r="I198" i="3" s="1"/>
  <c r="I199" i="3" a="1"/>
  <c r="I199" i="3" s="1"/>
  <c r="I200" i="3" a="1"/>
  <c r="I200" i="3" s="1"/>
  <c r="I201" i="3" a="1"/>
  <c r="I201" i="3" s="1"/>
  <c r="I202" i="3" a="1"/>
  <c r="I202" i="3" s="1"/>
  <c r="I203" i="3" a="1"/>
  <c r="I203" i="3" s="1"/>
  <c r="I204" i="3" a="1"/>
  <c r="I204" i="3"/>
  <c r="I205" i="3" a="1"/>
  <c r="I205" i="3"/>
  <c r="I206" i="3" a="1"/>
  <c r="I206" i="3"/>
  <c r="I207" i="3" a="1"/>
  <c r="I207" i="3" s="1"/>
  <c r="I208" i="3" a="1"/>
  <c r="I208" i="3" s="1"/>
  <c r="I209" i="3" a="1"/>
  <c r="I209" i="3" s="1"/>
  <c r="I210" i="3" a="1"/>
  <c r="I210" i="3" s="1"/>
  <c r="I211" i="3" a="1"/>
  <c r="I211" i="3" s="1"/>
  <c r="I212" i="3" a="1"/>
  <c r="I212" i="3"/>
  <c r="I213" i="3" a="1"/>
  <c r="I213" i="3"/>
  <c r="I214" i="3" a="1"/>
  <c r="I214" i="3"/>
  <c r="I215" i="3" a="1"/>
  <c r="I215" i="3" s="1"/>
  <c r="I216" i="3" a="1"/>
  <c r="I216" i="3" s="1"/>
  <c r="I217" i="3" a="1"/>
  <c r="I217" i="3" s="1"/>
  <c r="I218" i="3" a="1"/>
  <c r="I218" i="3" s="1"/>
  <c r="I219" i="3" a="1"/>
  <c r="I219" i="3" s="1"/>
  <c r="I220" i="3" a="1"/>
  <c r="I220" i="3"/>
  <c r="I221" i="3" a="1"/>
  <c r="I221" i="3"/>
  <c r="I222" i="3" a="1"/>
  <c r="I222" i="3"/>
  <c r="I223" i="3" a="1"/>
  <c r="I223" i="3" s="1"/>
  <c r="I224" i="3" a="1"/>
  <c r="I224" i="3" s="1"/>
  <c r="I225" i="3" a="1"/>
  <c r="I225" i="3" s="1"/>
  <c r="I226" i="3" a="1"/>
  <c r="I226" i="3" s="1"/>
  <c r="I227" i="3" a="1"/>
  <c r="I227" i="3" s="1"/>
  <c r="I228" i="3" a="1"/>
  <c r="I228" i="3"/>
  <c r="I229" i="3" a="1"/>
  <c r="I229" i="3"/>
  <c r="I230" i="3" a="1"/>
  <c r="I230" i="3"/>
  <c r="I231" i="3" a="1"/>
  <c r="I231" i="3" s="1"/>
  <c r="I232" i="3" a="1"/>
  <c r="I232" i="3" s="1"/>
  <c r="I233" i="3" a="1"/>
  <c r="I233" i="3" s="1"/>
  <c r="I234" i="3" a="1"/>
  <c r="I234" i="3" s="1"/>
  <c r="I235" i="3" a="1"/>
  <c r="I235" i="3" s="1"/>
  <c r="I236" i="3" a="1"/>
  <c r="I236" i="3"/>
  <c r="I237" i="3" a="1"/>
  <c r="I237" i="3"/>
  <c r="I238" i="3" a="1"/>
  <c r="I238" i="3"/>
  <c r="I239" i="3" a="1"/>
  <c r="I239" i="3" s="1"/>
  <c r="I240" i="3" a="1"/>
  <c r="I240" i="3" s="1"/>
  <c r="I241" i="3" a="1"/>
  <c r="I241" i="3" s="1"/>
  <c r="I242" i="3" a="1"/>
  <c r="I242" i="3" s="1"/>
  <c r="I243" i="3" a="1"/>
  <c r="I243" i="3" s="1"/>
  <c r="I244" i="3" a="1"/>
  <c r="I244" i="3"/>
  <c r="I245" i="3" a="1"/>
  <c r="I245" i="3"/>
  <c r="I246" i="3" a="1"/>
  <c r="I246" i="3"/>
  <c r="I247" i="3" a="1"/>
  <c r="I247" i="3" s="1"/>
  <c r="I248" i="3" a="1"/>
  <c r="I248" i="3" s="1"/>
  <c r="I249" i="3" a="1"/>
  <c r="I249" i="3" s="1"/>
  <c r="I250" i="3" a="1"/>
  <c r="I250" i="3" s="1"/>
  <c r="I251" i="3" a="1"/>
  <c r="I251" i="3" s="1"/>
  <c r="I252" i="3" a="1"/>
  <c r="I252" i="3"/>
  <c r="I253" i="3" a="1"/>
  <c r="I253" i="3"/>
  <c r="I254" i="3" a="1"/>
  <c r="I254" i="3"/>
  <c r="I255" i="3" a="1"/>
  <c r="I255" i="3" s="1"/>
  <c r="I256" i="3" a="1"/>
  <c r="I256" i="3" s="1"/>
  <c r="I257" i="3" a="1"/>
  <c r="I257" i="3" s="1"/>
  <c r="I258" i="3" a="1"/>
  <c r="I258" i="3" s="1"/>
  <c r="I259" i="3" a="1"/>
  <c r="I259" i="3" s="1"/>
  <c r="I260" i="3" a="1"/>
  <c r="I260" i="3"/>
  <c r="I261" i="3" a="1"/>
  <c r="I261" i="3"/>
  <c r="I262" i="3" a="1"/>
  <c r="I262" i="3"/>
  <c r="I263" i="3" a="1"/>
  <c r="I263" i="3" s="1"/>
  <c r="I264" i="3" a="1"/>
  <c r="I264" i="3" s="1"/>
  <c r="I265" i="3" a="1"/>
  <c r="I265" i="3" s="1"/>
  <c r="I266" i="3" a="1"/>
  <c r="I266" i="3" s="1"/>
  <c r="I267" i="3" a="1"/>
  <c r="I267" i="3" s="1"/>
  <c r="I268" i="3" a="1"/>
  <c r="I268" i="3"/>
  <c r="I269" i="3" a="1"/>
  <c r="I269" i="3"/>
  <c r="I270" i="3" a="1"/>
  <c r="I270" i="3"/>
  <c r="I271" i="3" a="1"/>
  <c r="I271" i="3" s="1"/>
  <c r="I272" i="3" a="1"/>
  <c r="I272" i="3" s="1"/>
  <c r="I273" i="3" a="1"/>
  <c r="I273" i="3" s="1"/>
  <c r="I274" i="3" a="1"/>
  <c r="I274" i="3" s="1"/>
  <c r="I275" i="3" a="1"/>
  <c r="I275" i="3" s="1"/>
  <c r="I276" i="3" a="1"/>
  <c r="I276" i="3"/>
  <c r="I277" i="3" a="1"/>
  <c r="I277" i="3"/>
  <c r="I278" i="3" a="1"/>
  <c r="I278" i="3"/>
  <c r="I279" i="3" a="1"/>
  <c r="I279" i="3" s="1"/>
  <c r="I280" i="3" a="1"/>
  <c r="I280" i="3" s="1"/>
  <c r="I281" i="3" a="1"/>
  <c r="I281" i="3" s="1"/>
  <c r="I282" i="3" a="1"/>
  <c r="I282" i="3" s="1"/>
  <c r="I283" i="3" a="1"/>
  <c r="I283" i="3" s="1"/>
  <c r="I284" i="3" a="1"/>
  <c r="I284" i="3"/>
  <c r="I285" i="3" a="1"/>
  <c r="I285" i="3"/>
  <c r="I286" i="3" a="1"/>
  <c r="I286" i="3"/>
  <c r="I287" i="3" a="1"/>
  <c r="I287" i="3" s="1"/>
  <c r="I288" i="3" a="1"/>
  <c r="I288" i="3" s="1"/>
  <c r="I289" i="3" a="1"/>
  <c r="I289" i="3" s="1"/>
  <c r="I290" i="3" a="1"/>
  <c r="I290" i="3" s="1"/>
  <c r="I291" i="3" a="1"/>
  <c r="I291" i="3" s="1"/>
  <c r="I292" i="3" a="1"/>
  <c r="I292" i="3"/>
  <c r="I293" i="3" a="1"/>
  <c r="I293" i="3"/>
  <c r="I294" i="3" a="1"/>
  <c r="I294" i="3"/>
  <c r="I295" i="3" a="1"/>
  <c r="I295" i="3" s="1"/>
  <c r="I296" i="3" a="1"/>
  <c r="I296" i="3" s="1"/>
  <c r="I297" i="3" a="1"/>
  <c r="I297" i="3" s="1"/>
  <c r="I298" i="3" a="1"/>
  <c r="I298" i="3" s="1"/>
  <c r="I299" i="3" a="1"/>
  <c r="I299" i="3" s="1"/>
  <c r="I300" i="3" a="1"/>
  <c r="I300" i="3"/>
  <c r="I301" i="3" a="1"/>
  <c r="I301" i="3"/>
  <c r="I302" i="3" a="1"/>
  <c r="I302" i="3"/>
  <c r="I303" i="3" a="1"/>
  <c r="I303" i="3" s="1"/>
  <c r="I304" i="3" a="1"/>
  <c r="I304" i="3" s="1"/>
  <c r="I305" i="3" a="1"/>
  <c r="I305" i="3" s="1"/>
  <c r="I306" i="3" a="1"/>
  <c r="I306" i="3" s="1"/>
  <c r="I307" i="3" a="1"/>
  <c r="I307" i="3" s="1"/>
  <c r="I308" i="3" a="1"/>
  <c r="I308" i="3"/>
  <c r="I309" i="3" a="1"/>
  <c r="I309" i="3"/>
  <c r="I310" i="3" a="1"/>
  <c r="I310" i="3"/>
  <c r="I311" i="3" a="1"/>
  <c r="I311" i="3" s="1"/>
  <c r="I312" i="3" a="1"/>
  <c r="I312" i="3" s="1"/>
  <c r="I313" i="3" a="1"/>
  <c r="I313" i="3" s="1"/>
  <c r="I314" i="3" a="1"/>
  <c r="I314" i="3" s="1"/>
  <c r="I315" i="3" a="1"/>
  <c r="I315" i="3" s="1"/>
  <c r="I316" i="3" a="1"/>
  <c r="I316" i="3"/>
  <c r="I317" i="3" a="1"/>
  <c r="I317" i="3"/>
  <c r="I318" i="3" a="1"/>
  <c r="I318" i="3"/>
  <c r="I319" i="3" a="1"/>
  <c r="I319" i="3" s="1"/>
  <c r="I320" i="3" a="1"/>
  <c r="I320" i="3" s="1"/>
  <c r="I321" i="3" a="1"/>
  <c r="I321" i="3" s="1"/>
  <c r="I322" i="3" a="1"/>
  <c r="I322" i="3" s="1"/>
  <c r="I323" i="3" a="1"/>
  <c r="I323" i="3" s="1"/>
  <c r="I324" i="3" a="1"/>
  <c r="I324" i="3"/>
  <c r="I325" i="3" a="1"/>
  <c r="I325" i="3"/>
  <c r="I326" i="3" a="1"/>
  <c r="I326" i="3"/>
  <c r="I327" i="3" a="1"/>
  <c r="I327" i="3" s="1"/>
  <c r="I328" i="3" a="1"/>
  <c r="I328" i="3" s="1"/>
  <c r="I329" i="3" a="1"/>
  <c r="I329" i="3" s="1"/>
  <c r="I330" i="3" a="1"/>
  <c r="I330" i="3" s="1"/>
  <c r="I331" i="3" a="1"/>
  <c r="I331" i="3" s="1"/>
  <c r="I332" i="3" a="1"/>
  <c r="I332" i="3"/>
  <c r="I333" i="3" a="1"/>
  <c r="I333" i="3"/>
  <c r="I334" i="3" a="1"/>
  <c r="I334" i="3"/>
  <c r="I335" i="3" a="1"/>
  <c r="I335" i="3" s="1"/>
  <c r="I336" i="3" a="1"/>
  <c r="I336" i="3" s="1"/>
  <c r="I337" i="3" a="1"/>
  <c r="I337" i="3" s="1"/>
  <c r="I338" i="3" a="1"/>
  <c r="I338" i="3" s="1"/>
  <c r="I339" i="3" a="1"/>
  <c r="I339" i="3" s="1"/>
  <c r="I340" i="3" a="1"/>
  <c r="I340" i="3"/>
  <c r="I341" i="3" a="1"/>
  <c r="I341" i="3"/>
  <c r="I342" i="3" a="1"/>
  <c r="I342" i="3"/>
  <c r="I343" i="3" a="1"/>
  <c r="I343" i="3"/>
  <c r="I344" i="3" a="1"/>
  <c r="I344" i="3"/>
  <c r="I345" i="3" a="1"/>
  <c r="I345" i="3"/>
  <c r="I346" i="3" a="1"/>
  <c r="I346" i="3"/>
  <c r="I347" i="3" a="1"/>
  <c r="I347" i="3"/>
  <c r="I348" i="3" a="1"/>
  <c r="I348" i="3"/>
  <c r="I349" i="3" a="1"/>
  <c r="I349" i="3"/>
  <c r="I350" i="3" a="1"/>
  <c r="I350" i="3"/>
  <c r="I351" i="3" a="1"/>
  <c r="I351" i="3"/>
  <c r="I352" i="3" a="1"/>
  <c r="I352" i="3"/>
  <c r="I353" i="3" a="1"/>
  <c r="I353" i="3"/>
  <c r="I354" i="3" a="1"/>
  <c r="I354" i="3"/>
  <c r="I355" i="3" a="1"/>
  <c r="I355" i="3"/>
  <c r="I356" i="3" a="1"/>
  <c r="I356" i="3"/>
  <c r="I357" i="3" a="1"/>
  <c r="I357" i="3"/>
  <c r="I358" i="3" a="1"/>
  <c r="I358" i="3"/>
  <c r="I359" i="3" a="1"/>
  <c r="I359" i="3"/>
  <c r="I360" i="3" a="1"/>
  <c r="I360" i="3"/>
  <c r="I361" i="3" a="1"/>
  <c r="I361" i="3"/>
  <c r="I362" i="3" a="1"/>
  <c r="I362" i="3"/>
  <c r="I363" i="3" a="1"/>
  <c r="I363" i="3"/>
  <c r="I364" i="3" a="1"/>
  <c r="I364" i="3"/>
  <c r="I365" i="3" a="1"/>
  <c r="I365" i="3"/>
  <c r="I366" i="3" a="1"/>
  <c r="I366" i="3"/>
  <c r="I367" i="3" a="1"/>
  <c r="I367" i="3"/>
  <c r="I368" i="3" a="1"/>
  <c r="I368" i="3"/>
  <c r="I369" i="3" a="1"/>
  <c r="I369" i="3"/>
  <c r="I370" i="3" a="1"/>
  <c r="I370" i="3"/>
  <c r="I371" i="3" a="1"/>
  <c r="I371" i="3"/>
  <c r="I372" i="3" a="1"/>
  <c r="I372" i="3"/>
  <c r="I373" i="3" a="1"/>
  <c r="I373" i="3"/>
  <c r="I374" i="3" a="1"/>
  <c r="I374" i="3"/>
  <c r="I375" i="3" a="1"/>
  <c r="I375" i="3"/>
  <c r="I376" i="3" a="1"/>
  <c r="I376" i="3"/>
  <c r="I377" i="3" a="1"/>
  <c r="I377" i="3"/>
  <c r="I378" i="3" a="1"/>
  <c r="I378" i="3"/>
  <c r="I379" i="3" a="1"/>
  <c r="I379" i="3"/>
  <c r="I380" i="3" a="1"/>
  <c r="I380" i="3"/>
  <c r="I381" i="3" a="1"/>
  <c r="I381" i="3"/>
  <c r="I382" i="3" a="1"/>
  <c r="I382" i="3"/>
  <c r="I383" i="3" a="1"/>
  <c r="I383" i="3"/>
  <c r="I384" i="3" a="1"/>
  <c r="I384" i="3"/>
  <c r="I385" i="3" a="1"/>
  <c r="I385" i="3"/>
  <c r="I386" i="3" a="1"/>
  <c r="I386" i="3"/>
  <c r="I387" i="3" a="1"/>
  <c r="I387" i="3"/>
  <c r="I388" i="3" a="1"/>
  <c r="I388" i="3"/>
  <c r="I389" i="3" a="1"/>
  <c r="I389" i="3"/>
  <c r="I390" i="3" a="1"/>
  <c r="I390" i="3"/>
  <c r="I391" i="3" a="1"/>
  <c r="I391" i="3"/>
  <c r="I392" i="3" a="1"/>
  <c r="I392" i="3"/>
  <c r="I393" i="3" a="1"/>
  <c r="I393" i="3"/>
  <c r="I394" i="3" a="1"/>
  <c r="I394" i="3" s="1"/>
  <c r="I395" i="3" a="1"/>
  <c r="I395" i="3"/>
  <c r="I396" i="3" a="1"/>
  <c r="I396" i="3"/>
  <c r="I397" i="3" a="1"/>
  <c r="I397" i="3"/>
  <c r="I398" i="3" a="1"/>
  <c r="I398" i="3" s="1"/>
  <c r="I399" i="3" a="1"/>
  <c r="I399" i="3"/>
  <c r="I400" i="3" a="1"/>
  <c r="I400" i="3"/>
  <c r="I401" i="3" a="1"/>
  <c r="I401" i="3"/>
  <c r="I402" i="3" a="1"/>
  <c r="I402" i="3" s="1"/>
  <c r="I403" i="3" a="1"/>
  <c r="I403" i="3"/>
  <c r="I404" i="3" a="1"/>
  <c r="I404" i="3"/>
  <c r="I405" i="3" a="1"/>
  <c r="I405" i="3"/>
  <c r="I406" i="3" a="1"/>
  <c r="I406" i="3" s="1"/>
  <c r="I407" i="3" a="1"/>
  <c r="I407" i="3"/>
  <c r="I408" i="3" a="1"/>
  <c r="I408" i="3"/>
  <c r="I409" i="3" a="1"/>
  <c r="I409" i="3"/>
  <c r="I410" i="3" a="1"/>
  <c r="I410" i="3" s="1"/>
  <c r="I411" i="3" a="1"/>
  <c r="I411" i="3"/>
  <c r="I412" i="3" a="1"/>
  <c r="I412" i="3"/>
  <c r="I413" i="3" a="1"/>
  <c r="I413" i="3"/>
  <c r="I414" i="3" a="1"/>
  <c r="I414" i="3" s="1"/>
  <c r="I415" i="3" a="1"/>
  <c r="I415" i="3"/>
  <c r="I416" i="3" a="1"/>
  <c r="I416" i="3"/>
  <c r="I417" i="3" a="1"/>
  <c r="I417" i="3"/>
  <c r="I418" i="3" a="1"/>
  <c r="I418" i="3" s="1"/>
  <c r="I419" i="3" a="1"/>
  <c r="I419" i="3"/>
  <c r="I420" i="3" a="1"/>
  <c r="I420" i="3"/>
  <c r="I421" i="3" a="1"/>
  <c r="I421" i="3"/>
  <c r="I422" i="3" a="1"/>
  <c r="I422" i="3" s="1"/>
  <c r="I423" i="3" a="1"/>
  <c r="I423" i="3"/>
  <c r="I424" i="3" a="1"/>
  <c r="I424" i="3"/>
  <c r="I425" i="3" a="1"/>
  <c r="I425" i="3"/>
  <c r="I426" i="3" a="1"/>
  <c r="I426" i="3" s="1"/>
  <c r="I427" i="3" a="1"/>
  <c r="I427" i="3"/>
  <c r="I428" i="3" a="1"/>
  <c r="I428" i="3"/>
  <c r="I429" i="3" a="1"/>
  <c r="I429" i="3"/>
  <c r="I430" i="3" a="1"/>
  <c r="I430" i="3" s="1"/>
  <c r="I431" i="3" a="1"/>
  <c r="I431" i="3"/>
  <c r="I432" i="3" a="1"/>
  <c r="I432" i="3"/>
  <c r="I433" i="3" a="1"/>
  <c r="I433" i="3"/>
  <c r="I434" i="3" a="1"/>
  <c r="I434" i="3" s="1"/>
  <c r="I435" i="3" a="1"/>
  <c r="I435" i="3"/>
  <c r="I436" i="3" a="1"/>
  <c r="I436" i="3"/>
  <c r="I437" i="3" a="1"/>
  <c r="I437" i="3"/>
  <c r="I438" i="3" a="1"/>
  <c r="I438" i="3" s="1"/>
  <c r="I439" i="3" a="1"/>
  <c r="I439" i="3"/>
  <c r="I440" i="3" a="1"/>
  <c r="I440" i="3"/>
  <c r="I441" i="3" a="1"/>
  <c r="I441" i="3"/>
  <c r="I442" i="3" a="1"/>
  <c r="I442" i="3" s="1"/>
  <c r="I443" i="3" a="1"/>
  <c r="I443" i="3"/>
  <c r="I444" i="3" a="1"/>
  <c r="I444" i="3"/>
  <c r="I445" i="3" a="1"/>
  <c r="I445" i="3"/>
  <c r="I446" i="3" a="1"/>
  <c r="I446" i="3" s="1"/>
  <c r="I447" i="3" a="1"/>
  <c r="I447" i="3"/>
  <c r="I448" i="3" a="1"/>
  <c r="I448" i="3"/>
  <c r="I449" i="3" a="1"/>
  <c r="I449" i="3"/>
  <c r="I450" i="3" a="1"/>
  <c r="I450" i="3" s="1"/>
  <c r="I451" i="3" a="1"/>
  <c r="I451" i="3"/>
  <c r="I452" i="3" a="1"/>
  <c r="I452" i="3"/>
  <c r="I453" i="3" a="1"/>
  <c r="I453" i="3"/>
  <c r="I454" i="3" a="1"/>
  <c r="I454" i="3" s="1"/>
  <c r="I455" i="3" a="1"/>
  <c r="I455" i="3"/>
  <c r="I456" i="3" a="1"/>
  <c r="I456" i="3"/>
  <c r="I457" i="3" a="1"/>
  <c r="I457" i="3"/>
  <c r="I458" i="3" a="1"/>
  <c r="I458" i="3" s="1"/>
  <c r="I459" i="3" a="1"/>
  <c r="I459" i="3"/>
  <c r="I460" i="3" a="1"/>
  <c r="I460" i="3"/>
  <c r="I461" i="3" a="1"/>
  <c r="I461" i="3"/>
  <c r="I462" i="3" a="1"/>
  <c r="I462" i="3" s="1"/>
  <c r="I463" i="3" a="1"/>
  <c r="I463" i="3"/>
  <c r="I464" i="3" a="1"/>
  <c r="I464" i="3"/>
  <c r="I465" i="3" a="1"/>
  <c r="I465" i="3"/>
  <c r="I466" i="3" a="1"/>
  <c r="I466" i="3" s="1"/>
  <c r="I467" i="3" a="1"/>
  <c r="I467" i="3"/>
  <c r="I468" i="3" a="1"/>
  <c r="I468" i="3"/>
  <c r="I469" i="3" a="1"/>
  <c r="I469" i="3"/>
  <c r="I470" i="3" a="1"/>
  <c r="I470" i="3" s="1"/>
  <c r="I471" i="3" a="1"/>
  <c r="I471" i="3"/>
  <c r="I472" i="3" a="1"/>
  <c r="I472" i="3"/>
  <c r="I473" i="3" a="1"/>
  <c r="I473" i="3"/>
  <c r="I474" i="3" a="1"/>
  <c r="I474" i="3" s="1"/>
  <c r="I475" i="3" a="1"/>
  <c r="I475" i="3"/>
  <c r="I476" i="3" a="1"/>
  <c r="I476" i="3"/>
  <c r="I477" i="3" a="1"/>
  <c r="I477" i="3"/>
  <c r="I478" i="3" a="1"/>
  <c r="I478" i="3" s="1"/>
  <c r="I479" i="3" a="1"/>
  <c r="I479" i="3"/>
  <c r="I480" i="3" a="1"/>
  <c r="I480" i="3"/>
  <c r="I481" i="3" a="1"/>
  <c r="I481" i="3"/>
  <c r="I482" i="3" a="1"/>
  <c r="I482" i="3" s="1"/>
  <c r="I483" i="3" a="1"/>
  <c r="I483" i="3"/>
  <c r="I484" i="3" a="1"/>
  <c r="I484" i="3"/>
  <c r="I485" i="3" a="1"/>
  <c r="I485" i="3"/>
  <c r="I486" i="3" a="1"/>
  <c r="I486" i="3" s="1"/>
  <c r="I487" i="3" a="1"/>
  <c r="I487" i="3"/>
  <c r="I488" i="3" a="1"/>
  <c r="I488" i="3"/>
  <c r="I489" i="3" a="1"/>
  <c r="I489" i="3"/>
  <c r="I490" i="3" a="1"/>
  <c r="I490" i="3" s="1"/>
  <c r="I491" i="3" a="1"/>
  <c r="I491" i="3"/>
  <c r="I492" i="3" a="1"/>
  <c r="I492" i="3"/>
  <c r="I493" i="3" a="1"/>
  <c r="I493" i="3"/>
  <c r="I494" i="3" a="1"/>
  <c r="I494" i="3" s="1"/>
  <c r="I495" i="3" a="1"/>
  <c r="I495" i="3"/>
  <c r="I496" i="3" a="1"/>
  <c r="I496" i="3"/>
  <c r="I497" i="3" a="1"/>
  <c r="I497" i="3"/>
  <c r="I498" i="3" a="1"/>
  <c r="I498" i="3" s="1"/>
  <c r="I499" i="3" a="1"/>
  <c r="I499" i="3"/>
  <c r="I500" i="3" a="1"/>
  <c r="I500" i="3"/>
  <c r="I501" i="3" a="1"/>
  <c r="I501" i="3"/>
  <c r="I502" i="3" a="1"/>
  <c r="I502" i="3" s="1"/>
  <c r="I503" i="3" a="1"/>
  <c r="I503" i="3"/>
  <c r="I504" i="3" a="1"/>
  <c r="I504" i="3"/>
  <c r="I505" i="3" a="1"/>
  <c r="I505" i="3"/>
  <c r="I506" i="3" a="1"/>
  <c r="I506" i="3" s="1"/>
  <c r="I507" i="3" a="1"/>
  <c r="I507" i="3"/>
  <c r="I508" i="3" a="1"/>
  <c r="I508" i="3"/>
  <c r="I509" i="3" a="1"/>
  <c r="I509" i="3"/>
  <c r="I510" i="3" a="1"/>
  <c r="I510" i="3" s="1"/>
  <c r="I511" i="3" a="1"/>
  <c r="I511" i="3"/>
  <c r="I512" i="3" a="1"/>
  <c r="I512" i="3"/>
  <c r="I513" i="3" a="1"/>
  <c r="I513" i="3"/>
  <c r="I514" i="3" a="1"/>
  <c r="I514" i="3" s="1"/>
  <c r="I2" i="3" a="1"/>
  <c r="I2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2" i="3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G518" i="3"/>
  <c r="G519" i="3"/>
  <c r="G520" i="3"/>
  <c r="G521" i="3"/>
  <c r="G522" i="3"/>
  <c r="G523" i="3"/>
  <c r="G524" i="3"/>
  <c r="G517" i="3"/>
  <c r="H346" i="3" l="1" a="1"/>
  <c r="H346" i="3" s="1"/>
  <c r="J346" i="3" s="1"/>
  <c r="H510" i="3" a="1"/>
  <c r="H510" i="3" s="1"/>
  <c r="J510" i="3" s="1"/>
  <c r="H492" i="3" a="1"/>
  <c r="H492" i="3" s="1"/>
  <c r="J492" i="3" s="1"/>
  <c r="H484" i="3" a="1"/>
  <c r="H484" i="3" s="1"/>
  <c r="J484" i="3" s="1"/>
  <c r="H442" i="3" a="1"/>
  <c r="H442" i="3" s="1"/>
  <c r="J442" i="3" s="1"/>
  <c r="H410" i="3" a="1"/>
  <c r="H410" i="3" s="1"/>
  <c r="J410" i="3" s="1"/>
  <c r="H378" i="3" a="1"/>
  <c r="H378" i="3" s="1"/>
  <c r="J378" i="3" s="1"/>
  <c r="H301" i="3" a="1"/>
  <c r="H301" i="3" s="1"/>
  <c r="J301" i="3" s="1"/>
  <c r="H180" i="3" a="1"/>
  <c r="H180" i="3" s="1"/>
  <c r="J180" i="3" s="1"/>
  <c r="H66" i="3" a="1"/>
  <c r="H66" i="3" s="1"/>
  <c r="J66" i="3" s="1"/>
  <c r="H491" i="3" a="1"/>
  <c r="H491" i="3" s="1"/>
  <c r="J491" i="3" s="1"/>
  <c r="H483" i="3" a="1"/>
  <c r="H483" i="3" s="1"/>
  <c r="J483" i="3" s="1"/>
  <c r="H430" i="3" a="1"/>
  <c r="H430" i="3" s="1"/>
  <c r="J430" i="3" s="1"/>
  <c r="H398" i="3" a="1"/>
  <c r="H398" i="3" s="1"/>
  <c r="J398" i="3" s="1"/>
  <c r="H366" i="3" a="1"/>
  <c r="H366" i="3" s="1"/>
  <c r="J366" i="3" s="1"/>
  <c r="H350" i="3" a="1"/>
  <c r="H350" i="3" s="1"/>
  <c r="J350" i="3" s="1"/>
  <c r="H332" i="3" a="1"/>
  <c r="H332" i="3" s="1"/>
  <c r="J332" i="3" s="1"/>
  <c r="H295" i="3" a="1"/>
  <c r="H295" i="3" s="1"/>
  <c r="J295" i="3" s="1"/>
  <c r="H249" i="3" a="1"/>
  <c r="H249" i="3" s="1"/>
  <c r="J249" i="3" s="1"/>
  <c r="H166" i="3" a="1"/>
  <c r="H166" i="3" s="1"/>
  <c r="J166" i="3" s="1"/>
  <c r="H52" i="3" a="1"/>
  <c r="H52" i="3" s="1"/>
  <c r="J52" i="3" s="1"/>
  <c r="H38" i="3" a="1"/>
  <c r="H38" i="3" s="1"/>
  <c r="J38" i="3" s="1"/>
  <c r="H2" i="3" a="1"/>
  <c r="H2" i="3" s="1"/>
  <c r="J2" i="3" s="1"/>
  <c r="H8" i="3" a="1"/>
  <c r="H8" i="3" s="1"/>
  <c r="J8" i="3" s="1"/>
  <c r="H14" i="3" a="1"/>
  <c r="H14" i="3" s="1"/>
  <c r="J14" i="3" s="1"/>
  <c r="H20" i="3" a="1"/>
  <c r="H20" i="3" s="1"/>
  <c r="J20" i="3" s="1"/>
  <c r="H27" i="3" a="1"/>
  <c r="H27" i="3" s="1"/>
  <c r="J27" i="3" s="1"/>
  <c r="H41" i="3" a="1"/>
  <c r="H41" i="3" s="1"/>
  <c r="J41" i="3" s="1"/>
  <c r="H48" i="3" a="1"/>
  <c r="H48" i="3" s="1"/>
  <c r="J48" i="3" s="1"/>
  <c r="H55" i="3" a="1"/>
  <c r="H55" i="3" s="1"/>
  <c r="J55" i="3" s="1"/>
  <c r="H62" i="3" a="1"/>
  <c r="H62" i="3" s="1"/>
  <c r="J62" i="3" s="1"/>
  <c r="H69" i="3" a="1"/>
  <c r="H69" i="3" s="1"/>
  <c r="J69" i="3" s="1"/>
  <c r="H83" i="3" a="1"/>
  <c r="H83" i="3" s="1"/>
  <c r="J83" i="3" s="1"/>
  <c r="H91" i="3" a="1"/>
  <c r="H91" i="3" s="1"/>
  <c r="J91" i="3" s="1"/>
  <c r="H105" i="3" a="1"/>
  <c r="H105" i="3" s="1"/>
  <c r="J105" i="3" s="1"/>
  <c r="H112" i="3" a="1"/>
  <c r="H112" i="3" s="1"/>
  <c r="J112" i="3" s="1"/>
  <c r="H119" i="3" a="1"/>
  <c r="H119" i="3" s="1"/>
  <c r="J119" i="3" s="1"/>
  <c r="H126" i="3" a="1"/>
  <c r="H126" i="3" s="1"/>
  <c r="J126" i="3" s="1"/>
  <c r="H133" i="3" a="1"/>
  <c r="H133" i="3" s="1"/>
  <c r="J133" i="3" s="1"/>
  <c r="H147" i="3" a="1"/>
  <c r="H147" i="3" s="1"/>
  <c r="J147" i="3" s="1"/>
  <c r="H155" i="3" a="1"/>
  <c r="H155" i="3" s="1"/>
  <c r="J155" i="3" s="1"/>
  <c r="H169" i="3" a="1"/>
  <c r="H169" i="3" s="1"/>
  <c r="J169" i="3" s="1"/>
  <c r="H176" i="3" a="1"/>
  <c r="H176" i="3" s="1"/>
  <c r="J176" i="3" s="1"/>
  <c r="H187" i="3" a="1"/>
  <c r="H187" i="3" s="1"/>
  <c r="J187" i="3" s="1"/>
  <c r="H192" i="3" a="1"/>
  <c r="H192" i="3" s="1"/>
  <c r="J192" i="3" s="1"/>
  <c r="H198" i="3" a="1"/>
  <c r="H198" i="3" s="1"/>
  <c r="J198" i="3" s="1"/>
  <c r="H204" i="3" a="1"/>
  <c r="H204" i="3" s="1"/>
  <c r="J204" i="3" s="1"/>
  <c r="H209" i="3" a="1"/>
  <c r="H209" i="3" s="1"/>
  <c r="J209" i="3" s="1"/>
  <c r="H214" i="3" a="1"/>
  <c r="H214" i="3" s="1"/>
  <c r="J214" i="3" s="1"/>
  <c r="H220" i="3" a="1"/>
  <c r="H220" i="3" s="1"/>
  <c r="J220" i="3" s="1"/>
  <c r="H225" i="3" a="1"/>
  <c r="H225" i="3" s="1"/>
  <c r="J225" i="3" s="1"/>
  <c r="H258" i="3" a="1"/>
  <c r="H258" i="3" s="1"/>
  <c r="J258" i="3" s="1"/>
  <c r="H263" i="3" a="1"/>
  <c r="H263" i="3" s="1"/>
  <c r="J263" i="3" s="1"/>
  <c r="H269" i="3" a="1"/>
  <c r="H269" i="3" s="1"/>
  <c r="J269" i="3" s="1"/>
  <c r="H3" i="3" a="1"/>
  <c r="H3" i="3" s="1"/>
  <c r="J3" i="3" s="1"/>
  <c r="H15" i="3" a="1"/>
  <c r="H15" i="3" s="1"/>
  <c r="J15" i="3" s="1"/>
  <c r="H28" i="3" a="1"/>
  <c r="H28" i="3" s="1"/>
  <c r="J28" i="3" s="1"/>
  <c r="H34" i="3" a="1"/>
  <c r="H34" i="3" s="1"/>
  <c r="J34" i="3" s="1"/>
  <c r="H42" i="3" a="1"/>
  <c r="H42" i="3" s="1"/>
  <c r="J42" i="3" s="1"/>
  <c r="H49" i="3" a="1"/>
  <c r="H49" i="3" s="1"/>
  <c r="J49" i="3" s="1"/>
  <c r="H56" i="3" a="1"/>
  <c r="H56" i="3" s="1"/>
  <c r="J56" i="3" s="1"/>
  <c r="H63" i="3" a="1"/>
  <c r="H63" i="3" s="1"/>
  <c r="J63" i="3" s="1"/>
  <c r="H70" i="3" a="1"/>
  <c r="H70" i="3" s="1"/>
  <c r="J70" i="3" s="1"/>
  <c r="H77" i="3" a="1"/>
  <c r="H77" i="3" s="1"/>
  <c r="J77" i="3" s="1"/>
  <c r="H84" i="3" a="1"/>
  <c r="H84" i="3" s="1"/>
  <c r="J84" i="3" s="1"/>
  <c r="H92" i="3" a="1"/>
  <c r="H92" i="3" s="1"/>
  <c r="J92" i="3" s="1"/>
  <c r="H98" i="3" a="1"/>
  <c r="H98" i="3" s="1"/>
  <c r="J98" i="3" s="1"/>
  <c r="H106" i="3" a="1"/>
  <c r="H106" i="3" s="1"/>
  <c r="J106" i="3" s="1"/>
  <c r="H113" i="3" a="1"/>
  <c r="H113" i="3" s="1"/>
  <c r="J113" i="3" s="1"/>
  <c r="H120" i="3" a="1"/>
  <c r="H120" i="3" s="1"/>
  <c r="J120" i="3" s="1"/>
  <c r="H127" i="3" a="1"/>
  <c r="H127" i="3" s="1"/>
  <c r="J127" i="3" s="1"/>
  <c r="H134" i="3" a="1"/>
  <c r="H134" i="3" s="1"/>
  <c r="J134" i="3" s="1"/>
  <c r="H141" i="3" a="1"/>
  <c r="H141" i="3" s="1"/>
  <c r="J141" i="3" s="1"/>
  <c r="H148" i="3" a="1"/>
  <c r="H148" i="3" s="1"/>
  <c r="J148" i="3" s="1"/>
  <c r="H156" i="3" a="1"/>
  <c r="H156" i="3" s="1"/>
  <c r="J156" i="3" s="1"/>
  <c r="H162" i="3" a="1"/>
  <c r="H162" i="3" s="1"/>
  <c r="J162" i="3" s="1"/>
  <c r="H170" i="3" a="1"/>
  <c r="H170" i="3" s="1"/>
  <c r="J170" i="3" s="1"/>
  <c r="H177" i="3" a="1"/>
  <c r="H177" i="3" s="1"/>
  <c r="J177" i="3" s="1"/>
  <c r="H182" i="3" a="1"/>
  <c r="H182" i="3" s="1"/>
  <c r="J182" i="3" s="1"/>
  <c r="H188" i="3" a="1"/>
  <c r="H188" i="3" s="1"/>
  <c r="J188" i="3" s="1"/>
  <c r="H193" i="3" a="1"/>
  <c r="H193" i="3" s="1"/>
  <c r="J193" i="3" s="1"/>
  <c r="H226" i="3" a="1"/>
  <c r="H226" i="3" s="1"/>
  <c r="J226" i="3" s="1"/>
  <c r="H231" i="3" a="1"/>
  <c r="H231" i="3" s="1"/>
  <c r="J231" i="3" s="1"/>
  <c r="H237" i="3" a="1"/>
  <c r="H237" i="3" s="1"/>
  <c r="J237" i="3" s="1"/>
  <c r="H242" i="3" a="1"/>
  <c r="H242" i="3" s="1"/>
  <c r="J242" i="3" s="1"/>
  <c r="H247" i="3" a="1"/>
  <c r="H247" i="3" s="1"/>
  <c r="J247" i="3" s="1"/>
  <c r="H4" i="3" a="1"/>
  <c r="H4" i="3" s="1"/>
  <c r="J4" i="3" s="1"/>
  <c r="H9" i="3" a="1"/>
  <c r="H9" i="3" s="1"/>
  <c r="J9" i="3" s="1"/>
  <c r="H16" i="3" a="1"/>
  <c r="H16" i="3" s="1"/>
  <c r="J16" i="3" s="1"/>
  <c r="H21" i="3" a="1"/>
  <c r="H21" i="3" s="1"/>
  <c r="J21" i="3" s="1"/>
  <c r="H35" i="3" a="1"/>
  <c r="H35" i="3" s="1"/>
  <c r="J35" i="3" s="1"/>
  <c r="H43" i="3" a="1"/>
  <c r="H43" i="3" s="1"/>
  <c r="J43" i="3" s="1"/>
  <c r="H57" i="3" a="1"/>
  <c r="H57" i="3" s="1"/>
  <c r="J57" i="3" s="1"/>
  <c r="H64" i="3" a="1"/>
  <c r="H64" i="3" s="1"/>
  <c r="J64" i="3" s="1"/>
  <c r="H71" i="3" a="1"/>
  <c r="H71" i="3" s="1"/>
  <c r="J71" i="3" s="1"/>
  <c r="H78" i="3" a="1"/>
  <c r="H78" i="3" s="1"/>
  <c r="J78" i="3" s="1"/>
  <c r="H85" i="3" a="1"/>
  <c r="H85" i="3" s="1"/>
  <c r="J85" i="3" s="1"/>
  <c r="H99" i="3" a="1"/>
  <c r="H99" i="3" s="1"/>
  <c r="J99" i="3" s="1"/>
  <c r="H107" i="3" a="1"/>
  <c r="H107" i="3" s="1"/>
  <c r="J107" i="3" s="1"/>
  <c r="H121" i="3" a="1"/>
  <c r="H121" i="3" s="1"/>
  <c r="J121" i="3" s="1"/>
  <c r="H128" i="3" a="1"/>
  <c r="H128" i="3" s="1"/>
  <c r="J128" i="3" s="1"/>
  <c r="H135" i="3" a="1"/>
  <c r="H135" i="3" s="1"/>
  <c r="J135" i="3" s="1"/>
  <c r="H142" i="3" a="1"/>
  <c r="H142" i="3" s="1"/>
  <c r="J142" i="3" s="1"/>
  <c r="H149" i="3" a="1"/>
  <c r="H149" i="3" s="1"/>
  <c r="J149" i="3" s="1"/>
  <c r="H163" i="3" a="1"/>
  <c r="H163" i="3" s="1"/>
  <c r="J163" i="3" s="1"/>
  <c r="H171" i="3" a="1"/>
  <c r="H171" i="3" s="1"/>
  <c r="J171" i="3" s="1"/>
  <c r="H194" i="3" a="1"/>
  <c r="H194" i="3" s="1"/>
  <c r="J194" i="3" s="1"/>
  <c r="H199" i="3" a="1"/>
  <c r="H199" i="3" s="1"/>
  <c r="J199" i="3" s="1"/>
  <c r="H205" i="3" a="1"/>
  <c r="H205" i="3" s="1"/>
  <c r="J205" i="3" s="1"/>
  <c r="H210" i="3" a="1"/>
  <c r="H210" i="3" s="1"/>
  <c r="J210" i="3" s="1"/>
  <c r="H215" i="3" a="1"/>
  <c r="H215" i="3" s="1"/>
  <c r="J215" i="3" s="1"/>
  <c r="H221" i="3" a="1"/>
  <c r="H221" i="3" s="1"/>
  <c r="J221" i="3" s="1"/>
  <c r="H227" i="3" a="1"/>
  <c r="H227" i="3" s="1"/>
  <c r="J227" i="3" s="1"/>
  <c r="H232" i="3" a="1"/>
  <c r="H232" i="3" s="1"/>
  <c r="J232" i="3" s="1"/>
  <c r="H243" i="3" a="1"/>
  <c r="H243" i="3" s="1"/>
  <c r="J243" i="3" s="1"/>
  <c r="H6" i="3" a="1"/>
  <c r="H6" i="3" s="1"/>
  <c r="J6" i="3" s="1"/>
  <c r="H18" i="3" a="1"/>
  <c r="H18" i="3" s="1"/>
  <c r="J18" i="3" s="1"/>
  <c r="H25" i="3" a="1"/>
  <c r="H25" i="3" s="1"/>
  <c r="J25" i="3" s="1"/>
  <c r="H32" i="3" a="1"/>
  <c r="H32" i="3" s="1"/>
  <c r="J32" i="3" s="1"/>
  <c r="H39" i="3" a="1"/>
  <c r="H39" i="3" s="1"/>
  <c r="J39" i="3" s="1"/>
  <c r="H46" i="3" a="1"/>
  <c r="H46" i="3" s="1"/>
  <c r="J46" i="3" s="1"/>
  <c r="H53" i="3" a="1"/>
  <c r="H53" i="3" s="1"/>
  <c r="J53" i="3" s="1"/>
  <c r="H67" i="3" a="1"/>
  <c r="H67" i="3" s="1"/>
  <c r="J67" i="3" s="1"/>
  <c r="H75" i="3" a="1"/>
  <c r="H75" i="3" s="1"/>
  <c r="J75" i="3" s="1"/>
  <c r="H89" i="3" a="1"/>
  <c r="H89" i="3" s="1"/>
  <c r="J89" i="3" s="1"/>
  <c r="H96" i="3" a="1"/>
  <c r="H96" i="3" s="1"/>
  <c r="J96" i="3" s="1"/>
  <c r="H103" i="3" a="1"/>
  <c r="H103" i="3" s="1"/>
  <c r="J103" i="3" s="1"/>
  <c r="H110" i="3" a="1"/>
  <c r="H110" i="3" s="1"/>
  <c r="J110" i="3" s="1"/>
  <c r="H117" i="3" a="1"/>
  <c r="H117" i="3" s="1"/>
  <c r="J117" i="3" s="1"/>
  <c r="H131" i="3" a="1"/>
  <c r="H131" i="3" s="1"/>
  <c r="J131" i="3" s="1"/>
  <c r="H139" i="3" a="1"/>
  <c r="H139" i="3" s="1"/>
  <c r="J139" i="3" s="1"/>
  <c r="H153" i="3" a="1"/>
  <c r="H153" i="3" s="1"/>
  <c r="J153" i="3" s="1"/>
  <c r="H160" i="3" a="1"/>
  <c r="H160" i="3" s="1"/>
  <c r="J160" i="3" s="1"/>
  <c r="H167" i="3" a="1"/>
  <c r="H167" i="3" s="1"/>
  <c r="J167" i="3" s="1"/>
  <c r="H174" i="3" a="1"/>
  <c r="H174" i="3" s="1"/>
  <c r="J174" i="3" s="1"/>
  <c r="H186" i="3" a="1"/>
  <c r="H186" i="3" s="1"/>
  <c r="J186" i="3" s="1"/>
  <c r="H197" i="3" a="1"/>
  <c r="H197" i="3" s="1"/>
  <c r="J197" i="3" s="1"/>
  <c r="H202" i="3" a="1"/>
  <c r="H202" i="3" s="1"/>
  <c r="J202" i="3" s="1"/>
  <c r="H207" i="3" a="1"/>
  <c r="H207" i="3" s="1"/>
  <c r="J207" i="3" s="1"/>
  <c r="H213" i="3" a="1"/>
  <c r="H213" i="3" s="1"/>
  <c r="J213" i="3" s="1"/>
  <c r="H13" i="3" a="1"/>
  <c r="H13" i="3" s="1"/>
  <c r="J13" i="3" s="1"/>
  <c r="H26" i="3" a="1"/>
  <c r="H26" i="3" s="1"/>
  <c r="J26" i="3" s="1"/>
  <c r="H40" i="3" a="1"/>
  <c r="H40" i="3" s="1"/>
  <c r="J40" i="3" s="1"/>
  <c r="H54" i="3" a="1"/>
  <c r="H54" i="3" s="1"/>
  <c r="J54" i="3" s="1"/>
  <c r="H68" i="3" a="1"/>
  <c r="H68" i="3" s="1"/>
  <c r="J68" i="3" s="1"/>
  <c r="H82" i="3" a="1"/>
  <c r="H82" i="3" s="1"/>
  <c r="J82" i="3" s="1"/>
  <c r="H97" i="3" a="1"/>
  <c r="H97" i="3" s="1"/>
  <c r="J97" i="3" s="1"/>
  <c r="H111" i="3" a="1"/>
  <c r="H111" i="3" s="1"/>
  <c r="J111" i="3" s="1"/>
  <c r="H125" i="3" a="1"/>
  <c r="H125" i="3" s="1"/>
  <c r="J125" i="3" s="1"/>
  <c r="H140" i="3" a="1"/>
  <c r="H140" i="3" s="1"/>
  <c r="J140" i="3" s="1"/>
  <c r="H154" i="3" a="1"/>
  <c r="H154" i="3" s="1"/>
  <c r="J154" i="3" s="1"/>
  <c r="H168" i="3" a="1"/>
  <c r="H168" i="3" s="1"/>
  <c r="J168" i="3" s="1"/>
  <c r="H181" i="3" a="1"/>
  <c r="H181" i="3" s="1"/>
  <c r="J181" i="3" s="1"/>
  <c r="H191" i="3" a="1"/>
  <c r="H191" i="3" s="1"/>
  <c r="J191" i="3" s="1"/>
  <c r="H203" i="3" a="1"/>
  <c r="H203" i="3" s="1"/>
  <c r="J203" i="3" s="1"/>
  <c r="H223" i="3" a="1"/>
  <c r="H223" i="3" s="1"/>
  <c r="J223" i="3" s="1"/>
  <c r="H233" i="3" a="1"/>
  <c r="H233" i="3" s="1"/>
  <c r="J233" i="3" s="1"/>
  <c r="H241" i="3" a="1"/>
  <c r="H241" i="3" s="1"/>
  <c r="J241" i="3" s="1"/>
  <c r="H250" i="3" a="1"/>
  <c r="H250" i="3" s="1"/>
  <c r="J250" i="3" s="1"/>
  <c r="H255" i="3" a="1"/>
  <c r="H255" i="3" s="1"/>
  <c r="J255" i="3" s="1"/>
  <c r="H262" i="3" a="1"/>
  <c r="H262" i="3" s="1"/>
  <c r="J262" i="3" s="1"/>
  <c r="H274" i="3" a="1"/>
  <c r="H274" i="3" s="1"/>
  <c r="J274" i="3" s="1"/>
  <c r="H279" i="3" a="1"/>
  <c r="H279" i="3" s="1"/>
  <c r="J279" i="3" s="1"/>
  <c r="H285" i="3" a="1"/>
  <c r="H285" i="3" s="1"/>
  <c r="J285" i="3" s="1"/>
  <c r="H291" i="3" a="1"/>
  <c r="H291" i="3" s="1"/>
  <c r="J291" i="3" s="1"/>
  <c r="H296" i="3" a="1"/>
  <c r="H296" i="3" s="1"/>
  <c r="J296" i="3" s="1"/>
  <c r="H307" i="3" a="1"/>
  <c r="H307" i="3" s="1"/>
  <c r="J307" i="3" s="1"/>
  <c r="H312" i="3" a="1"/>
  <c r="H312" i="3" s="1"/>
  <c r="J312" i="3" s="1"/>
  <c r="H324" i="3" a="1"/>
  <c r="H324" i="3" s="1"/>
  <c r="J324" i="3" s="1"/>
  <c r="H334" i="3" a="1"/>
  <c r="H334" i="3" s="1"/>
  <c r="J334" i="3" s="1"/>
  <c r="H340" i="3" a="1"/>
  <c r="H340" i="3" s="1"/>
  <c r="J340" i="3" s="1"/>
  <c r="H344" i="3" a="1"/>
  <c r="H344" i="3" s="1"/>
  <c r="J344" i="3" s="1"/>
  <c r="H348" i="3" a="1"/>
  <c r="H348" i="3" s="1"/>
  <c r="J348" i="3" s="1"/>
  <c r="H352" i="3" a="1"/>
  <c r="H352" i="3" s="1"/>
  <c r="J352" i="3" s="1"/>
  <c r="H356" i="3" a="1"/>
  <c r="H356" i="3" s="1"/>
  <c r="J356" i="3" s="1"/>
  <c r="H360" i="3" a="1"/>
  <c r="H360" i="3" s="1"/>
  <c r="J360" i="3" s="1"/>
  <c r="H364" i="3" a="1"/>
  <c r="H364" i="3" s="1"/>
  <c r="J364" i="3" s="1"/>
  <c r="H368" i="3" a="1"/>
  <c r="H368" i="3" s="1"/>
  <c r="J368" i="3" s="1"/>
  <c r="H372" i="3" a="1"/>
  <c r="H372" i="3" s="1"/>
  <c r="J372" i="3" s="1"/>
  <c r="H376" i="3" a="1"/>
  <c r="H376" i="3" s="1"/>
  <c r="J376" i="3" s="1"/>
  <c r="H380" i="3" a="1"/>
  <c r="H380" i="3" s="1"/>
  <c r="J380" i="3" s="1"/>
  <c r="H384" i="3" a="1"/>
  <c r="H384" i="3" s="1"/>
  <c r="J384" i="3" s="1"/>
  <c r="H388" i="3" a="1"/>
  <c r="H388" i="3" s="1"/>
  <c r="J388" i="3" s="1"/>
  <c r="H392" i="3" a="1"/>
  <c r="H392" i="3" s="1"/>
  <c r="J392" i="3" s="1"/>
  <c r="H396" i="3" a="1"/>
  <c r="H396" i="3" s="1"/>
  <c r="J396" i="3" s="1"/>
  <c r="H400" i="3" a="1"/>
  <c r="H400" i="3" s="1"/>
  <c r="J400" i="3" s="1"/>
  <c r="H404" i="3" a="1"/>
  <c r="H404" i="3" s="1"/>
  <c r="J404" i="3" s="1"/>
  <c r="H408" i="3" a="1"/>
  <c r="H408" i="3" s="1"/>
  <c r="J408" i="3" s="1"/>
  <c r="H412" i="3" a="1"/>
  <c r="H412" i="3" s="1"/>
  <c r="J412" i="3" s="1"/>
  <c r="H416" i="3" a="1"/>
  <c r="H416" i="3" s="1"/>
  <c r="J416" i="3" s="1"/>
  <c r="H420" i="3" a="1"/>
  <c r="H420" i="3" s="1"/>
  <c r="J420" i="3" s="1"/>
  <c r="H424" i="3" a="1"/>
  <c r="H424" i="3" s="1"/>
  <c r="J424" i="3" s="1"/>
  <c r="H428" i="3" a="1"/>
  <c r="H428" i="3" s="1"/>
  <c r="J428" i="3" s="1"/>
  <c r="H432" i="3" a="1"/>
  <c r="H432" i="3" s="1"/>
  <c r="J432" i="3" s="1"/>
  <c r="H436" i="3" a="1"/>
  <c r="H436" i="3" s="1"/>
  <c r="J436" i="3" s="1"/>
  <c r="H440" i="3" a="1"/>
  <c r="H440" i="3" s="1"/>
  <c r="J440" i="3" s="1"/>
  <c r="H444" i="3" a="1"/>
  <c r="H444" i="3" s="1"/>
  <c r="J444" i="3" s="1"/>
  <c r="H448" i="3" a="1"/>
  <c r="H448" i="3" s="1"/>
  <c r="J448" i="3" s="1"/>
  <c r="H452" i="3" a="1"/>
  <c r="H452" i="3" s="1"/>
  <c r="J452" i="3" s="1"/>
  <c r="H456" i="3" a="1"/>
  <c r="H456" i="3" s="1"/>
  <c r="J456" i="3" s="1"/>
  <c r="H460" i="3" a="1"/>
  <c r="H460" i="3" s="1"/>
  <c r="J460" i="3" s="1"/>
  <c r="H464" i="3" a="1"/>
  <c r="H464" i="3" s="1"/>
  <c r="J464" i="3" s="1"/>
  <c r="H468" i="3" a="1"/>
  <c r="H468" i="3" s="1"/>
  <c r="J468" i="3" s="1"/>
  <c r="H472" i="3" a="1"/>
  <c r="H472" i="3" s="1"/>
  <c r="J472" i="3" s="1"/>
  <c r="H476" i="3" a="1"/>
  <c r="H476" i="3" s="1"/>
  <c r="J476" i="3" s="1"/>
  <c r="H501" i="3" a="1"/>
  <c r="H501" i="3" s="1"/>
  <c r="J501" i="3" s="1"/>
  <c r="H506" i="3" a="1"/>
  <c r="H506" i="3" s="1"/>
  <c r="J506" i="3" s="1"/>
  <c r="H29" i="3" a="1"/>
  <c r="H29" i="3" s="1"/>
  <c r="J29" i="3" s="1"/>
  <c r="H44" i="3" a="1"/>
  <c r="H44" i="3" s="1"/>
  <c r="J44" i="3" s="1"/>
  <c r="H58" i="3" a="1"/>
  <c r="H58" i="3" s="1"/>
  <c r="J58" i="3" s="1"/>
  <c r="H72" i="3" a="1"/>
  <c r="H72" i="3" s="1"/>
  <c r="J72" i="3" s="1"/>
  <c r="H86" i="3" a="1"/>
  <c r="H86" i="3" s="1"/>
  <c r="J86" i="3" s="1"/>
  <c r="H100" i="3" a="1"/>
  <c r="H100" i="3" s="1"/>
  <c r="J100" i="3" s="1"/>
  <c r="H114" i="3" a="1"/>
  <c r="H114" i="3" s="1"/>
  <c r="J114" i="3" s="1"/>
  <c r="H129" i="3" a="1"/>
  <c r="H129" i="3" s="1"/>
  <c r="J129" i="3" s="1"/>
  <c r="H143" i="3" a="1"/>
  <c r="H143" i="3" s="1"/>
  <c r="J143" i="3" s="1"/>
  <c r="H157" i="3" a="1"/>
  <c r="H157" i="3" s="1"/>
  <c r="J157" i="3" s="1"/>
  <c r="H172" i="3" a="1"/>
  <c r="H172" i="3" s="1"/>
  <c r="J172" i="3" s="1"/>
  <c r="H183" i="3" a="1"/>
  <c r="H183" i="3" s="1"/>
  <c r="J183" i="3" s="1"/>
  <c r="H195" i="3" a="1"/>
  <c r="H195" i="3" s="1"/>
  <c r="J195" i="3" s="1"/>
  <c r="H216" i="3" a="1"/>
  <c r="H216" i="3" s="1"/>
  <c r="J216" i="3" s="1"/>
  <c r="H224" i="3" a="1"/>
  <c r="H224" i="3" s="1"/>
  <c r="J224" i="3" s="1"/>
  <c r="H234" i="3" a="1"/>
  <c r="H234" i="3" s="1"/>
  <c r="J234" i="3" s="1"/>
  <c r="H244" i="3" a="1"/>
  <c r="H244" i="3" s="1"/>
  <c r="J244" i="3" s="1"/>
  <c r="H256" i="3" a="1"/>
  <c r="H256" i="3" s="1"/>
  <c r="J256" i="3" s="1"/>
  <c r="H275" i="3" a="1"/>
  <c r="H275" i="3" s="1"/>
  <c r="J275" i="3" s="1"/>
  <c r="H280" i="3" a="1"/>
  <c r="H280" i="3" s="1"/>
  <c r="J280" i="3" s="1"/>
  <c r="H292" i="3" a="1"/>
  <c r="H292" i="3" s="1"/>
  <c r="J292" i="3" s="1"/>
  <c r="H302" i="3" a="1"/>
  <c r="H302" i="3" s="1"/>
  <c r="J302" i="3" s="1"/>
  <c r="H308" i="3" a="1"/>
  <c r="H308" i="3" s="1"/>
  <c r="J308" i="3" s="1"/>
  <c r="H313" i="3" a="1"/>
  <c r="H313" i="3" s="1"/>
  <c r="J313" i="3" s="1"/>
  <c r="H318" i="3" a="1"/>
  <c r="H318" i="3" s="1"/>
  <c r="J318" i="3" s="1"/>
  <c r="H329" i="3" a="1"/>
  <c r="H329" i="3" s="1"/>
  <c r="J329" i="3" s="1"/>
  <c r="H481" i="3" a="1"/>
  <c r="H481" i="3" s="1"/>
  <c r="J481" i="3" s="1"/>
  <c r="H485" i="3" a="1"/>
  <c r="H485" i="3" s="1"/>
  <c r="J485" i="3" s="1"/>
  <c r="H489" i="3" a="1"/>
  <c r="H489" i="3" s="1"/>
  <c r="J489" i="3" s="1"/>
  <c r="H493" i="3" a="1"/>
  <c r="H493" i="3" s="1"/>
  <c r="J493" i="3" s="1"/>
  <c r="H497" i="3" a="1"/>
  <c r="H497" i="3" s="1"/>
  <c r="J497" i="3" s="1"/>
  <c r="H502" i="3" a="1"/>
  <c r="H502" i="3" s="1"/>
  <c r="J502" i="3" s="1"/>
  <c r="H511" i="3" a="1"/>
  <c r="H511" i="3" s="1"/>
  <c r="J511" i="3" s="1"/>
  <c r="H5" i="3" a="1"/>
  <c r="H5" i="3" s="1"/>
  <c r="J5" i="3" s="1"/>
  <c r="H17" i="3" a="1"/>
  <c r="H17" i="3" s="1"/>
  <c r="J17" i="3" s="1"/>
  <c r="H30" i="3" a="1"/>
  <c r="H30" i="3" s="1"/>
  <c r="J30" i="3" s="1"/>
  <c r="H59" i="3" a="1"/>
  <c r="H59" i="3" s="1"/>
  <c r="J59" i="3" s="1"/>
  <c r="H73" i="3" a="1"/>
  <c r="H73" i="3" s="1"/>
  <c r="J73" i="3" s="1"/>
  <c r="H87" i="3" a="1"/>
  <c r="H87" i="3" s="1"/>
  <c r="J87" i="3" s="1"/>
  <c r="H101" i="3" a="1"/>
  <c r="H101" i="3" s="1"/>
  <c r="J101" i="3" s="1"/>
  <c r="H115" i="3" a="1"/>
  <c r="H115" i="3" s="1"/>
  <c r="J115" i="3" s="1"/>
  <c r="H144" i="3" a="1"/>
  <c r="H144" i="3" s="1"/>
  <c r="J144" i="3" s="1"/>
  <c r="H158" i="3" a="1"/>
  <c r="H158" i="3" s="1"/>
  <c r="J158" i="3" s="1"/>
  <c r="H184" i="3" a="1"/>
  <c r="H184" i="3" s="1"/>
  <c r="J184" i="3" s="1"/>
  <c r="H196" i="3" a="1"/>
  <c r="H196" i="3" s="1"/>
  <c r="J196" i="3" s="1"/>
  <c r="H206" i="3" a="1"/>
  <c r="H206" i="3" s="1"/>
  <c r="J206" i="3" s="1"/>
  <c r="H217" i="3" a="1"/>
  <c r="H217" i="3" s="1"/>
  <c r="J217" i="3" s="1"/>
  <c r="H228" i="3" a="1"/>
  <c r="H228" i="3" s="1"/>
  <c r="J228" i="3" s="1"/>
  <c r="H235" i="3" a="1"/>
  <c r="H235" i="3" s="1"/>
  <c r="J235" i="3" s="1"/>
  <c r="H251" i="3" a="1"/>
  <c r="H251" i="3" s="1"/>
  <c r="J251" i="3" s="1"/>
  <c r="H257" i="3" a="1"/>
  <c r="H257" i="3" s="1"/>
  <c r="J257" i="3" s="1"/>
  <c r="H264" i="3" a="1"/>
  <c r="H264" i="3" s="1"/>
  <c r="J264" i="3" s="1"/>
  <c r="H270" i="3" a="1"/>
  <c r="H270" i="3" s="1"/>
  <c r="J270" i="3" s="1"/>
  <c r="H276" i="3" a="1"/>
  <c r="H276" i="3" s="1"/>
  <c r="J276" i="3" s="1"/>
  <c r="H281" i="3" a="1"/>
  <c r="H281" i="3" s="1"/>
  <c r="J281" i="3" s="1"/>
  <c r="H286" i="3" a="1"/>
  <c r="H286" i="3" s="1"/>
  <c r="J286" i="3" s="1"/>
  <c r="H297" i="3" a="1"/>
  <c r="H297" i="3" s="1"/>
  <c r="J297" i="3" s="1"/>
  <c r="H314" i="3" a="1"/>
  <c r="H314" i="3" s="1"/>
  <c r="J314" i="3" s="1"/>
  <c r="H325" i="3" a="1"/>
  <c r="H325" i="3" s="1"/>
  <c r="J325" i="3" s="1"/>
  <c r="H330" i="3" a="1"/>
  <c r="H330" i="3" s="1"/>
  <c r="J330" i="3" s="1"/>
  <c r="H335" i="3" a="1"/>
  <c r="H335" i="3" s="1"/>
  <c r="J335" i="3" s="1"/>
  <c r="H341" i="3" a="1"/>
  <c r="H341" i="3" s="1"/>
  <c r="J341" i="3" s="1"/>
  <c r="H345" i="3" a="1"/>
  <c r="H345" i="3" s="1"/>
  <c r="J345" i="3" s="1"/>
  <c r="H349" i="3" a="1"/>
  <c r="H349" i="3" s="1"/>
  <c r="J349" i="3" s="1"/>
  <c r="H353" i="3" a="1"/>
  <c r="H353" i="3" s="1"/>
  <c r="J353" i="3" s="1"/>
  <c r="H357" i="3" a="1"/>
  <c r="H357" i="3" s="1"/>
  <c r="J357" i="3" s="1"/>
  <c r="H361" i="3" a="1"/>
  <c r="H361" i="3" s="1"/>
  <c r="J361" i="3" s="1"/>
  <c r="H365" i="3" a="1"/>
  <c r="H365" i="3" s="1"/>
  <c r="J365" i="3" s="1"/>
  <c r="H369" i="3" a="1"/>
  <c r="H369" i="3" s="1"/>
  <c r="J369" i="3" s="1"/>
  <c r="H373" i="3" a="1"/>
  <c r="H373" i="3" s="1"/>
  <c r="J373" i="3" s="1"/>
  <c r="H377" i="3" a="1"/>
  <c r="H377" i="3" s="1"/>
  <c r="J377" i="3" s="1"/>
  <c r="H381" i="3" a="1"/>
  <c r="H381" i="3" s="1"/>
  <c r="J381" i="3" s="1"/>
  <c r="H385" i="3" a="1"/>
  <c r="H385" i="3" s="1"/>
  <c r="J385" i="3" s="1"/>
  <c r="H389" i="3" a="1"/>
  <c r="H389" i="3" s="1"/>
  <c r="J389" i="3" s="1"/>
  <c r="H393" i="3" a="1"/>
  <c r="H393" i="3" s="1"/>
  <c r="J393" i="3" s="1"/>
  <c r="H397" i="3" a="1"/>
  <c r="H397" i="3" s="1"/>
  <c r="J397" i="3" s="1"/>
  <c r="H401" i="3" a="1"/>
  <c r="H401" i="3" s="1"/>
  <c r="J401" i="3" s="1"/>
  <c r="H405" i="3" a="1"/>
  <c r="H405" i="3" s="1"/>
  <c r="J405" i="3" s="1"/>
  <c r="H409" i="3" a="1"/>
  <c r="H409" i="3" s="1"/>
  <c r="J409" i="3" s="1"/>
  <c r="H413" i="3" a="1"/>
  <c r="H413" i="3" s="1"/>
  <c r="J413" i="3" s="1"/>
  <c r="H417" i="3" a="1"/>
  <c r="H417" i="3" s="1"/>
  <c r="J417" i="3" s="1"/>
  <c r="H421" i="3" a="1"/>
  <c r="H421" i="3" s="1"/>
  <c r="J421" i="3" s="1"/>
  <c r="H425" i="3" a="1"/>
  <c r="H425" i="3" s="1"/>
  <c r="J425" i="3" s="1"/>
  <c r="H429" i="3" a="1"/>
  <c r="H429" i="3" s="1"/>
  <c r="J429" i="3" s="1"/>
  <c r="H433" i="3" a="1"/>
  <c r="H433" i="3" s="1"/>
  <c r="J433" i="3" s="1"/>
  <c r="H437" i="3" a="1"/>
  <c r="H437" i="3" s="1"/>
  <c r="J437" i="3" s="1"/>
  <c r="H441" i="3" a="1"/>
  <c r="H441" i="3" s="1"/>
  <c r="J441" i="3" s="1"/>
  <c r="H445" i="3" a="1"/>
  <c r="H445" i="3" s="1"/>
  <c r="J445" i="3" s="1"/>
  <c r="H449" i="3" a="1"/>
  <c r="H449" i="3" s="1"/>
  <c r="J449" i="3" s="1"/>
  <c r="H453" i="3" a="1"/>
  <c r="H453" i="3" s="1"/>
  <c r="J453" i="3" s="1"/>
  <c r="H457" i="3" a="1"/>
  <c r="H457" i="3" s="1"/>
  <c r="J457" i="3" s="1"/>
  <c r="H461" i="3" a="1"/>
  <c r="H461" i="3" s="1"/>
  <c r="J461" i="3" s="1"/>
  <c r="H465" i="3" a="1"/>
  <c r="H465" i="3" s="1"/>
  <c r="J465" i="3" s="1"/>
  <c r="H469" i="3" a="1"/>
  <c r="H469" i="3" s="1"/>
  <c r="J469" i="3" s="1"/>
  <c r="H473" i="3" a="1"/>
  <c r="H473" i="3" s="1"/>
  <c r="J473" i="3" s="1"/>
  <c r="H477" i="3" a="1"/>
  <c r="H477" i="3" s="1"/>
  <c r="J477" i="3" s="1"/>
  <c r="H498" i="3" a="1"/>
  <c r="H498" i="3" s="1"/>
  <c r="J498" i="3" s="1"/>
  <c r="H507" i="3" a="1"/>
  <c r="H507" i="3" s="1"/>
  <c r="J507" i="3" s="1"/>
  <c r="H31" i="3" a="1"/>
  <c r="H31" i="3" s="1"/>
  <c r="J31" i="3" s="1"/>
  <c r="H45" i="3" a="1"/>
  <c r="H45" i="3" s="1"/>
  <c r="J45" i="3" s="1"/>
  <c r="H60" i="3" a="1"/>
  <c r="H60" i="3" s="1"/>
  <c r="J60" i="3" s="1"/>
  <c r="H74" i="3" a="1"/>
  <c r="H74" i="3" s="1"/>
  <c r="J74" i="3" s="1"/>
  <c r="H88" i="3" a="1"/>
  <c r="H88" i="3" s="1"/>
  <c r="J88" i="3" s="1"/>
  <c r="H102" i="3" a="1"/>
  <c r="H102" i="3" s="1"/>
  <c r="J102" i="3" s="1"/>
  <c r="H116" i="3" a="1"/>
  <c r="H116" i="3" s="1"/>
  <c r="J116" i="3" s="1"/>
  <c r="H130" i="3" a="1"/>
  <c r="H130" i="3" s="1"/>
  <c r="J130" i="3" s="1"/>
  <c r="H145" i="3" a="1"/>
  <c r="H145" i="3" s="1"/>
  <c r="J145" i="3" s="1"/>
  <c r="H159" i="3" a="1"/>
  <c r="H159" i="3" s="1"/>
  <c r="J159" i="3" s="1"/>
  <c r="H173" i="3" a="1"/>
  <c r="H173" i="3" s="1"/>
  <c r="J173" i="3" s="1"/>
  <c r="H185" i="3" a="1"/>
  <c r="H185" i="3" s="1"/>
  <c r="J185" i="3" s="1"/>
  <c r="H218" i="3" a="1"/>
  <c r="H218" i="3" s="1"/>
  <c r="J218" i="3" s="1"/>
  <c r="H236" i="3" a="1"/>
  <c r="H236" i="3" s="1"/>
  <c r="J236" i="3" s="1"/>
  <c r="H245" i="3" a="1"/>
  <c r="H245" i="3" s="1"/>
  <c r="J245" i="3" s="1"/>
  <c r="H252" i="3" a="1"/>
  <c r="H252" i="3" s="1"/>
  <c r="J252" i="3" s="1"/>
  <c r="H259" i="3" a="1"/>
  <c r="H259" i="3" s="1"/>
  <c r="J259" i="3" s="1"/>
  <c r="H282" i="3" a="1"/>
  <c r="H282" i="3" s="1"/>
  <c r="J282" i="3" s="1"/>
  <c r="H293" i="3" a="1"/>
  <c r="H293" i="3" s="1"/>
  <c r="J293" i="3" s="1"/>
  <c r="H298" i="3" a="1"/>
  <c r="H298" i="3" s="1"/>
  <c r="J298" i="3" s="1"/>
  <c r="H303" i="3" a="1"/>
  <c r="H303" i="3" s="1"/>
  <c r="J303" i="3" s="1"/>
  <c r="H309" i="3" a="1"/>
  <c r="H309" i="3" s="1"/>
  <c r="J309" i="3" s="1"/>
  <c r="H319" i="3" a="1"/>
  <c r="H319" i="3" s="1"/>
  <c r="J319" i="3" s="1"/>
  <c r="H331" i="3" a="1"/>
  <c r="H331" i="3" s="1"/>
  <c r="J331" i="3" s="1"/>
  <c r="H336" i="3" a="1"/>
  <c r="H336" i="3" s="1"/>
  <c r="J336" i="3" s="1"/>
  <c r="H7" i="3" a="1"/>
  <c r="H7" i="3" s="1"/>
  <c r="J7" i="3" s="1"/>
  <c r="H19" i="3" a="1"/>
  <c r="H19" i="3" s="1"/>
  <c r="J19" i="3" s="1"/>
  <c r="H33" i="3" a="1"/>
  <c r="H33" i="3" s="1"/>
  <c r="J33" i="3" s="1"/>
  <c r="H47" i="3" a="1"/>
  <c r="H47" i="3" s="1"/>
  <c r="J47" i="3" s="1"/>
  <c r="H61" i="3" a="1"/>
  <c r="H61" i="3" s="1"/>
  <c r="J61" i="3" s="1"/>
  <c r="H76" i="3" a="1"/>
  <c r="H76" i="3" s="1"/>
  <c r="J76" i="3" s="1"/>
  <c r="H90" i="3" a="1"/>
  <c r="H90" i="3" s="1"/>
  <c r="J90" i="3" s="1"/>
  <c r="H104" i="3" a="1"/>
  <c r="H104" i="3" s="1"/>
  <c r="J104" i="3" s="1"/>
  <c r="H118" i="3" a="1"/>
  <c r="H118" i="3" s="1"/>
  <c r="J118" i="3" s="1"/>
  <c r="H132" i="3" a="1"/>
  <c r="H132" i="3" s="1"/>
  <c r="J132" i="3" s="1"/>
  <c r="H146" i="3" a="1"/>
  <c r="H146" i="3" s="1"/>
  <c r="J146" i="3" s="1"/>
  <c r="H161" i="3" a="1"/>
  <c r="H161" i="3" s="1"/>
  <c r="J161" i="3" s="1"/>
  <c r="H175" i="3" a="1"/>
  <c r="H175" i="3" s="1"/>
  <c r="J175" i="3" s="1"/>
  <c r="H208" i="3" a="1"/>
  <c r="H208" i="3" s="1"/>
  <c r="J208" i="3" s="1"/>
  <c r="H219" i="3" a="1"/>
  <c r="H219" i="3" s="1"/>
  <c r="J219" i="3" s="1"/>
  <c r="H229" i="3" a="1"/>
  <c r="H229" i="3" s="1"/>
  <c r="J229" i="3" s="1"/>
  <c r="H238" i="3" a="1"/>
  <c r="H238" i="3" s="1"/>
  <c r="J238" i="3" s="1"/>
  <c r="H253" i="3" a="1"/>
  <c r="H253" i="3" s="1"/>
  <c r="J253" i="3" s="1"/>
  <c r="H260" i="3" a="1"/>
  <c r="H260" i="3" s="1"/>
  <c r="J260" i="3" s="1"/>
  <c r="H265" i="3" a="1"/>
  <c r="H265" i="3" s="1"/>
  <c r="J265" i="3" s="1"/>
  <c r="H271" i="3" a="1"/>
  <c r="H271" i="3" s="1"/>
  <c r="J271" i="3" s="1"/>
  <c r="H277" i="3" a="1"/>
  <c r="H277" i="3" s="1"/>
  <c r="J277" i="3" s="1"/>
  <c r="H287" i="3" a="1"/>
  <c r="H287" i="3" s="1"/>
  <c r="J287" i="3" s="1"/>
  <c r="H299" i="3" a="1"/>
  <c r="H299" i="3" s="1"/>
  <c r="J299" i="3" s="1"/>
  <c r="H304" i="3" a="1"/>
  <c r="H304" i="3" s="1"/>
  <c r="J304" i="3" s="1"/>
  <c r="H315" i="3" a="1"/>
  <c r="H315" i="3" s="1"/>
  <c r="J315" i="3" s="1"/>
  <c r="H320" i="3" a="1"/>
  <c r="H320" i="3" s="1"/>
  <c r="J320" i="3" s="1"/>
  <c r="H10" i="3" a="1"/>
  <c r="H10" i="3" s="1"/>
  <c r="J10" i="3" s="1"/>
  <c r="H22" i="3" a="1"/>
  <c r="H22" i="3" s="1"/>
  <c r="J22" i="3" s="1"/>
  <c r="H36" i="3" a="1"/>
  <c r="H36" i="3" s="1"/>
  <c r="J36" i="3" s="1"/>
  <c r="H50" i="3" a="1"/>
  <c r="H50" i="3" s="1"/>
  <c r="J50" i="3" s="1"/>
  <c r="H65" i="3" a="1"/>
  <c r="H65" i="3" s="1"/>
  <c r="J65" i="3" s="1"/>
  <c r="H79" i="3" a="1"/>
  <c r="H79" i="3" s="1"/>
  <c r="J79" i="3" s="1"/>
  <c r="H93" i="3" a="1"/>
  <c r="H93" i="3" s="1"/>
  <c r="J93" i="3" s="1"/>
  <c r="H108" i="3" a="1"/>
  <c r="H108" i="3" s="1"/>
  <c r="J108" i="3" s="1"/>
  <c r="H122" i="3" a="1"/>
  <c r="H122" i="3" s="1"/>
  <c r="J122" i="3" s="1"/>
  <c r="H136" i="3" a="1"/>
  <c r="H136" i="3" s="1"/>
  <c r="J136" i="3" s="1"/>
  <c r="H150" i="3" a="1"/>
  <c r="H150" i="3" s="1"/>
  <c r="J150" i="3" s="1"/>
  <c r="H164" i="3" a="1"/>
  <c r="H164" i="3" s="1"/>
  <c r="J164" i="3" s="1"/>
  <c r="H178" i="3" a="1"/>
  <c r="H178" i="3" s="1"/>
  <c r="J178" i="3" s="1"/>
  <c r="H189" i="3" a="1"/>
  <c r="H189" i="3" s="1"/>
  <c r="J189" i="3" s="1"/>
  <c r="H200" i="3" a="1"/>
  <c r="H200" i="3" s="1"/>
  <c r="J200" i="3" s="1"/>
  <c r="H211" i="3" a="1"/>
  <c r="H211" i="3" s="1"/>
  <c r="J211" i="3" s="1"/>
  <c r="H246" i="3" a="1"/>
  <c r="H246" i="3" s="1"/>
  <c r="J246" i="3" s="1"/>
  <c r="H266" i="3" a="1"/>
  <c r="H266" i="3" s="1"/>
  <c r="J266" i="3" s="1"/>
  <c r="H272" i="3" a="1"/>
  <c r="H272" i="3" s="1"/>
  <c r="J272" i="3" s="1"/>
  <c r="H283" i="3" a="1"/>
  <c r="H283" i="3" s="1"/>
  <c r="J283" i="3" s="1"/>
  <c r="H288" i="3" a="1"/>
  <c r="H288" i="3" s="1"/>
  <c r="J288" i="3" s="1"/>
  <c r="H294" i="3" a="1"/>
  <c r="H294" i="3" s="1"/>
  <c r="J294" i="3" s="1"/>
  <c r="H300" i="3" a="1"/>
  <c r="H300" i="3" s="1"/>
  <c r="J300" i="3" s="1"/>
  <c r="H305" i="3" a="1"/>
  <c r="H305" i="3" s="1"/>
  <c r="J305" i="3" s="1"/>
  <c r="H310" i="3" a="1"/>
  <c r="H310" i="3" s="1"/>
  <c r="J310" i="3" s="1"/>
  <c r="H316" i="3" a="1"/>
  <c r="H316" i="3" s="1"/>
  <c r="J316" i="3" s="1"/>
  <c r="H321" i="3" a="1"/>
  <c r="H321" i="3" s="1"/>
  <c r="J321" i="3" s="1"/>
  <c r="H11" i="3" a="1"/>
  <c r="H11" i="3" s="1"/>
  <c r="J11" i="3" s="1"/>
  <c r="H23" i="3" a="1"/>
  <c r="H23" i="3" s="1"/>
  <c r="J23" i="3" s="1"/>
  <c r="H37" i="3" a="1"/>
  <c r="H37" i="3" s="1"/>
  <c r="J37" i="3" s="1"/>
  <c r="H51" i="3" a="1"/>
  <c r="H51" i="3" s="1"/>
  <c r="J51" i="3" s="1"/>
  <c r="H80" i="3" a="1"/>
  <c r="H80" i="3" s="1"/>
  <c r="J80" i="3" s="1"/>
  <c r="H94" i="3" a="1"/>
  <c r="H94" i="3" s="1"/>
  <c r="J94" i="3" s="1"/>
  <c r="H123" i="3" a="1"/>
  <c r="H123" i="3" s="1"/>
  <c r="J123" i="3" s="1"/>
  <c r="H137" i="3" a="1"/>
  <c r="H137" i="3" s="1"/>
  <c r="J137" i="3" s="1"/>
  <c r="H151" i="3" a="1"/>
  <c r="H151" i="3" s="1"/>
  <c r="J151" i="3" s="1"/>
  <c r="H165" i="3" a="1"/>
  <c r="H165" i="3" s="1"/>
  <c r="J165" i="3" s="1"/>
  <c r="H179" i="3" a="1"/>
  <c r="H179" i="3" s="1"/>
  <c r="J179" i="3" s="1"/>
  <c r="H212" i="3" a="1"/>
  <c r="H212" i="3" s="1"/>
  <c r="J212" i="3" s="1"/>
  <c r="H222" i="3" a="1"/>
  <c r="H222" i="3" s="1"/>
  <c r="J222" i="3" s="1"/>
  <c r="H230" i="3" a="1"/>
  <c r="H230" i="3" s="1"/>
  <c r="J230" i="3" s="1"/>
  <c r="H239" i="3" a="1"/>
  <c r="H239" i="3" s="1"/>
  <c r="J239" i="3" s="1"/>
  <c r="H248" i="3" a="1"/>
  <c r="H248" i="3" s="1"/>
  <c r="J248" i="3" s="1"/>
  <c r="H254" i="3" a="1"/>
  <c r="H254" i="3" s="1"/>
  <c r="J254" i="3" s="1"/>
  <c r="H261" i="3" a="1"/>
  <c r="H261" i="3" s="1"/>
  <c r="J261" i="3" s="1"/>
  <c r="H267" i="3" a="1"/>
  <c r="H267" i="3" s="1"/>
  <c r="J267" i="3" s="1"/>
  <c r="H273" i="3" a="1"/>
  <c r="H273" i="3" s="1"/>
  <c r="J273" i="3" s="1"/>
  <c r="H278" i="3" a="1"/>
  <c r="H278" i="3" s="1"/>
  <c r="J278" i="3" s="1"/>
  <c r="H284" i="3" a="1"/>
  <c r="H284" i="3" s="1"/>
  <c r="J284" i="3" s="1"/>
  <c r="H289" i="3" a="1"/>
  <c r="H289" i="3" s="1"/>
  <c r="J289" i="3" s="1"/>
  <c r="H322" i="3" a="1"/>
  <c r="H322" i="3" s="1"/>
  <c r="J322" i="3" s="1"/>
  <c r="H327" i="3" a="1"/>
  <c r="H327" i="3" s="1"/>
  <c r="J327" i="3" s="1"/>
  <c r="H333" i="3" a="1"/>
  <c r="H333" i="3" s="1"/>
  <c r="J333" i="3" s="1"/>
  <c r="H338" i="3" a="1"/>
  <c r="H338" i="3" s="1"/>
  <c r="J338" i="3" s="1"/>
  <c r="H343" i="3" a="1"/>
  <c r="H343" i="3" s="1"/>
  <c r="J343" i="3" s="1"/>
  <c r="H347" i="3" a="1"/>
  <c r="H347" i="3" s="1"/>
  <c r="J347" i="3" s="1"/>
  <c r="H351" i="3" a="1"/>
  <c r="H351" i="3" s="1"/>
  <c r="J351" i="3" s="1"/>
  <c r="H355" i="3" a="1"/>
  <c r="H355" i="3" s="1"/>
  <c r="J355" i="3" s="1"/>
  <c r="H359" i="3" a="1"/>
  <c r="H359" i="3" s="1"/>
  <c r="J359" i="3" s="1"/>
  <c r="H363" i="3" a="1"/>
  <c r="H363" i="3" s="1"/>
  <c r="J363" i="3" s="1"/>
  <c r="H367" i="3" a="1"/>
  <c r="H367" i="3" s="1"/>
  <c r="J367" i="3" s="1"/>
  <c r="H371" i="3" a="1"/>
  <c r="H371" i="3" s="1"/>
  <c r="J371" i="3" s="1"/>
  <c r="H375" i="3" a="1"/>
  <c r="H375" i="3" s="1"/>
  <c r="J375" i="3" s="1"/>
  <c r="H379" i="3" a="1"/>
  <c r="H379" i="3" s="1"/>
  <c r="J379" i="3" s="1"/>
  <c r="H383" i="3" a="1"/>
  <c r="H383" i="3" s="1"/>
  <c r="J383" i="3" s="1"/>
  <c r="H387" i="3" a="1"/>
  <c r="H387" i="3" s="1"/>
  <c r="J387" i="3" s="1"/>
  <c r="H391" i="3" a="1"/>
  <c r="H391" i="3" s="1"/>
  <c r="J391" i="3" s="1"/>
  <c r="H395" i="3" a="1"/>
  <c r="H395" i="3" s="1"/>
  <c r="J395" i="3" s="1"/>
  <c r="H399" i="3" a="1"/>
  <c r="H399" i="3" s="1"/>
  <c r="J399" i="3" s="1"/>
  <c r="H403" i="3" a="1"/>
  <c r="H403" i="3" s="1"/>
  <c r="J403" i="3" s="1"/>
  <c r="H407" i="3" a="1"/>
  <c r="H407" i="3" s="1"/>
  <c r="J407" i="3" s="1"/>
  <c r="H411" i="3" a="1"/>
  <c r="H411" i="3" s="1"/>
  <c r="J411" i="3" s="1"/>
  <c r="H415" i="3" a="1"/>
  <c r="H415" i="3" s="1"/>
  <c r="J415" i="3" s="1"/>
  <c r="H419" i="3" a="1"/>
  <c r="H419" i="3" s="1"/>
  <c r="J419" i="3" s="1"/>
  <c r="H423" i="3" a="1"/>
  <c r="H423" i="3" s="1"/>
  <c r="J423" i="3" s="1"/>
  <c r="H427" i="3" a="1"/>
  <c r="H427" i="3" s="1"/>
  <c r="J427" i="3" s="1"/>
  <c r="H431" i="3" a="1"/>
  <c r="H431" i="3" s="1"/>
  <c r="J431" i="3" s="1"/>
  <c r="H435" i="3" a="1"/>
  <c r="H435" i="3" s="1"/>
  <c r="J435" i="3" s="1"/>
  <c r="H439" i="3" a="1"/>
  <c r="H439" i="3" s="1"/>
  <c r="J439" i="3" s="1"/>
  <c r="H443" i="3" a="1"/>
  <c r="H443" i="3" s="1"/>
  <c r="J443" i="3" s="1"/>
  <c r="H447" i="3" a="1"/>
  <c r="H447" i="3" s="1"/>
  <c r="J447" i="3" s="1"/>
  <c r="H451" i="3" a="1"/>
  <c r="H451" i="3" s="1"/>
  <c r="J451" i="3" s="1"/>
  <c r="H455" i="3" a="1"/>
  <c r="H455" i="3" s="1"/>
  <c r="J455" i="3" s="1"/>
  <c r="H459" i="3" a="1"/>
  <c r="H459" i="3" s="1"/>
  <c r="J459" i="3" s="1"/>
  <c r="H463" i="3" a="1"/>
  <c r="H463" i="3" s="1"/>
  <c r="J463" i="3" s="1"/>
  <c r="H467" i="3" a="1"/>
  <c r="H467" i="3" s="1"/>
  <c r="J467" i="3" s="1"/>
  <c r="H471" i="3" a="1"/>
  <c r="H471" i="3" s="1"/>
  <c r="J471" i="3" s="1"/>
  <c r="H475" i="3" a="1"/>
  <c r="H475" i="3" s="1"/>
  <c r="J475" i="3" s="1"/>
  <c r="H500" i="3" a="1"/>
  <c r="H500" i="3" s="1"/>
  <c r="J500" i="3" s="1"/>
  <c r="H509" i="3" a="1"/>
  <c r="H509" i="3" s="1"/>
  <c r="J509" i="3" s="1"/>
  <c r="H514" i="3" a="1"/>
  <c r="H514" i="3" s="1"/>
  <c r="J514" i="3" s="1"/>
  <c r="H505" i="3" a="1"/>
  <c r="H505" i="3" s="1"/>
  <c r="J505" i="3" s="1"/>
  <c r="H496" i="3" a="1"/>
  <c r="H496" i="3" s="1"/>
  <c r="J496" i="3" s="1"/>
  <c r="H488" i="3" a="1"/>
  <c r="H488" i="3" s="1"/>
  <c r="J488" i="3" s="1"/>
  <c r="H480" i="3" a="1"/>
  <c r="H480" i="3" s="1"/>
  <c r="J480" i="3" s="1"/>
  <c r="H426" i="3" a="1"/>
  <c r="H426" i="3" s="1"/>
  <c r="J426" i="3" s="1"/>
  <c r="H394" i="3" a="1"/>
  <c r="H394" i="3" s="1"/>
  <c r="J394" i="3" s="1"/>
  <c r="H323" i="3" a="1"/>
  <c r="H323" i="3" s="1"/>
  <c r="J323" i="3" s="1"/>
  <c r="H124" i="3" a="1"/>
  <c r="H124" i="3" s="1"/>
  <c r="J124" i="3" s="1"/>
  <c r="H12" i="3" a="1"/>
  <c r="H12" i="3" s="1"/>
  <c r="J12" i="3" s="1"/>
  <c r="H513" i="3" a="1"/>
  <c r="H513" i="3" s="1"/>
  <c r="J513" i="3" s="1"/>
  <c r="H504" i="3" a="1"/>
  <c r="H504" i="3" s="1"/>
  <c r="J504" i="3" s="1"/>
  <c r="H495" i="3" a="1"/>
  <c r="H495" i="3" s="1"/>
  <c r="J495" i="3" s="1"/>
  <c r="H487" i="3" a="1"/>
  <c r="H487" i="3" s="1"/>
  <c r="J487" i="3" s="1"/>
  <c r="H479" i="3" a="1"/>
  <c r="H479" i="3" s="1"/>
  <c r="J479" i="3" s="1"/>
  <c r="H446" i="3" a="1"/>
  <c r="H446" i="3" s="1"/>
  <c r="J446" i="3" s="1"/>
  <c r="H414" i="3" a="1"/>
  <c r="H414" i="3" s="1"/>
  <c r="J414" i="3" s="1"/>
  <c r="H382" i="3" a="1"/>
  <c r="H382" i="3" s="1"/>
  <c r="J382" i="3" s="1"/>
  <c r="H358" i="3" a="1"/>
  <c r="H358" i="3" s="1"/>
  <c r="J358" i="3" s="1"/>
  <c r="H342" i="3" a="1"/>
  <c r="H342" i="3" s="1"/>
  <c r="J342" i="3" s="1"/>
  <c r="H317" i="3" a="1"/>
  <c r="H317" i="3" s="1"/>
  <c r="J317" i="3" s="1"/>
  <c r="H109" i="3" a="1"/>
  <c r="H109" i="3" s="1"/>
  <c r="J109" i="3" s="1"/>
  <c r="H470" i="3" a="1"/>
  <c r="H470" i="3" s="1"/>
  <c r="J470" i="3" s="1"/>
  <c r="H462" i="3" a="1"/>
  <c r="H462" i="3" s="1"/>
  <c r="J462" i="3" s="1"/>
  <c r="H454" i="3" a="1"/>
  <c r="H454" i="3" s="1"/>
  <c r="J454" i="3" s="1"/>
  <c r="H434" i="3" a="1"/>
  <c r="H434" i="3" s="1"/>
  <c r="J434" i="3" s="1"/>
  <c r="H402" i="3" a="1"/>
  <c r="H402" i="3" s="1"/>
  <c r="J402" i="3" s="1"/>
  <c r="H370" i="3" a="1"/>
  <c r="H370" i="3" s="1"/>
  <c r="J370" i="3" s="1"/>
  <c r="H339" i="3" a="1"/>
  <c r="H339" i="3" s="1"/>
  <c r="J339" i="3" s="1"/>
  <c r="H311" i="3" a="1"/>
  <c r="H311" i="3" s="1"/>
  <c r="J311" i="3" s="1"/>
  <c r="H268" i="3" a="1"/>
  <c r="H268" i="3" s="1"/>
  <c r="J268" i="3" s="1"/>
  <c r="H201" i="3" a="1"/>
  <c r="H201" i="3" s="1"/>
  <c r="J201" i="3" s="1"/>
  <c r="H95" i="3" a="1"/>
  <c r="H95" i="3" s="1"/>
  <c r="J95" i="3" s="1"/>
  <c r="H508" i="3" a="1"/>
  <c r="H508" i="3" s="1"/>
  <c r="J508" i="3" s="1"/>
  <c r="H499" i="3" a="1"/>
  <c r="H499" i="3" s="1"/>
  <c r="J499" i="3" s="1"/>
  <c r="H474" i="3" a="1"/>
  <c r="H474" i="3" s="1"/>
  <c r="J474" i="3" s="1"/>
  <c r="H466" i="3" a="1"/>
  <c r="H466" i="3" s="1"/>
  <c r="J466" i="3" s="1"/>
  <c r="H458" i="3" a="1"/>
  <c r="H458" i="3" s="1"/>
  <c r="J458" i="3" s="1"/>
  <c r="H450" i="3" a="1"/>
  <c r="H450" i="3" s="1"/>
  <c r="J450" i="3" s="1"/>
  <c r="H418" i="3" a="1"/>
  <c r="H418" i="3" s="1"/>
  <c r="J418" i="3" s="1"/>
  <c r="H386" i="3" a="1"/>
  <c r="H386" i="3" s="1"/>
  <c r="J386" i="3" s="1"/>
  <c r="H328" i="3" a="1"/>
  <c r="H328" i="3" s="1"/>
  <c r="J328" i="3" s="1"/>
  <c r="H290" i="3" a="1"/>
  <c r="H290" i="3" s="1"/>
  <c r="J290" i="3" s="1"/>
  <c r="H240" i="3" a="1"/>
  <c r="H240" i="3" s="1"/>
  <c r="J240" i="3" s="1"/>
  <c r="H152" i="3" a="1"/>
  <c r="H152" i="3" s="1"/>
  <c r="J152" i="3" s="1"/>
  <c r="H490" i="3" a="1"/>
  <c r="H490" i="3" s="1"/>
  <c r="J490" i="3" s="1"/>
  <c r="H482" i="3" a="1"/>
  <c r="H482" i="3" s="1"/>
  <c r="J482" i="3" s="1"/>
  <c r="H438" i="3" a="1"/>
  <c r="H438" i="3" s="1"/>
  <c r="J438" i="3" s="1"/>
  <c r="H406" i="3" a="1"/>
  <c r="H406" i="3" s="1"/>
  <c r="J406" i="3" s="1"/>
  <c r="H374" i="3" a="1"/>
  <c r="H374" i="3" s="1"/>
  <c r="J374" i="3" s="1"/>
  <c r="H362" i="3" a="1"/>
  <c r="H362" i="3" s="1"/>
  <c r="J362" i="3" s="1"/>
  <c r="H326" i="3" a="1"/>
  <c r="H326" i="3" s="1"/>
  <c r="J326" i="3" s="1"/>
  <c r="H138" i="3" a="1"/>
  <c r="H138" i="3" s="1"/>
  <c r="J138" i="3" s="1"/>
  <c r="H24" i="3" a="1"/>
  <c r="H24" i="3" s="1"/>
  <c r="J24" i="3" s="1"/>
  <c r="H512" i="3" a="1"/>
  <c r="H512" i="3" s="1"/>
  <c r="J512" i="3" s="1"/>
  <c r="H503" i="3" a="1"/>
  <c r="H503" i="3" s="1"/>
  <c r="J503" i="3" s="1"/>
  <c r="H494" i="3" a="1"/>
  <c r="H494" i="3" s="1"/>
  <c r="J494" i="3" s="1"/>
  <c r="H486" i="3" a="1"/>
  <c r="H486" i="3" s="1"/>
  <c r="J486" i="3" s="1"/>
  <c r="H478" i="3" a="1"/>
  <c r="H478" i="3" s="1"/>
  <c r="J478" i="3" s="1"/>
  <c r="H422" i="3" a="1"/>
  <c r="H422" i="3" s="1"/>
  <c r="J422" i="3" s="1"/>
  <c r="H390" i="3" a="1"/>
  <c r="H390" i="3" s="1"/>
  <c r="J390" i="3" s="1"/>
  <c r="H354" i="3" a="1"/>
  <c r="H354" i="3" s="1"/>
  <c r="J354" i="3" s="1"/>
  <c r="H337" i="3" a="1"/>
  <c r="H337" i="3" s="1"/>
  <c r="J337" i="3" s="1"/>
  <c r="H306" i="3" a="1"/>
  <c r="H306" i="3" s="1"/>
  <c r="J306" i="3" s="1"/>
  <c r="H190" i="3" a="1"/>
  <c r="H190" i="3" s="1"/>
  <c r="J190" i="3" s="1"/>
  <c r="H81" i="3" a="1"/>
  <c r="H81" i="3" s="1"/>
  <c r="J8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<sst xmlns="http://schemas.openxmlformats.org/spreadsheetml/2006/main" count="4789" uniqueCount="126">
  <si>
    <t>Anchorage School District</t>
  </si>
  <si>
    <t>Cordova City School District</t>
  </si>
  <si>
    <t>Craig City School District</t>
  </si>
  <si>
    <t>Fairbanks North Star Borough School District</t>
  </si>
  <si>
    <t>Haines Borough School District</t>
  </si>
  <si>
    <t>Hoonah City School District</t>
  </si>
  <si>
    <t>Hydaburg City School District</t>
  </si>
  <si>
    <t>Juneau Borough School District</t>
  </si>
  <si>
    <t>Kake City School District</t>
  </si>
  <si>
    <t>Ketchikan Gateway Borough School District</t>
  </si>
  <si>
    <t>Klawock City School District</t>
  </si>
  <si>
    <t>Kodiak Island Borough School District</t>
  </si>
  <si>
    <t>Nenana City School District</t>
  </si>
  <si>
    <t>Nome City School District</t>
  </si>
  <si>
    <t>Matanuska-Susitna Borough School District</t>
  </si>
  <si>
    <t>Pelican City School District</t>
  </si>
  <si>
    <t>Petersburg City School District</t>
  </si>
  <si>
    <t>Sitka Borough School District</t>
  </si>
  <si>
    <t>Skagway City School District</t>
  </si>
  <si>
    <t>Unalaska City School District</t>
  </si>
  <si>
    <t>Valdez City School District</t>
  </si>
  <si>
    <t>Wrangell Public School District</t>
  </si>
  <si>
    <t>Yakutat School District</t>
  </si>
  <si>
    <t>Galena City School District</t>
  </si>
  <si>
    <t>North Slope Borough School District</t>
  </si>
  <si>
    <t>Bristol Bay Borough School District</t>
  </si>
  <si>
    <t>Dillingham City School District</t>
  </si>
  <si>
    <t>Kenai Peninsula Borough School District</t>
  </si>
  <si>
    <t>Saint Mary’s School District</t>
  </si>
  <si>
    <t>Northwest Arctic Borough School District</t>
  </si>
  <si>
    <t>Bering Strait School District</t>
  </si>
  <si>
    <t>Lower Yukon School District</t>
  </si>
  <si>
    <t>Lower Kuskokwim School District</t>
  </si>
  <si>
    <t>Kuspuk School District</t>
  </si>
  <si>
    <t>Southwest Region School District</t>
  </si>
  <si>
    <t>Lake And Peninsula Borough School District</t>
  </si>
  <si>
    <t>Aleutian Region School District</t>
  </si>
  <si>
    <t>Pribilof School District</t>
  </si>
  <si>
    <t>Iditarod Area School District</t>
  </si>
  <si>
    <t>Yukon / Koyukuk School District</t>
  </si>
  <si>
    <t>Yukon Flats School District</t>
  </si>
  <si>
    <t>Denali Borough School District</t>
  </si>
  <si>
    <t>Delta/Greely School District</t>
  </si>
  <si>
    <t>Alaska Gateway School District</t>
  </si>
  <si>
    <t>Copper River School District</t>
  </si>
  <si>
    <t>Chatham School District</t>
  </si>
  <si>
    <t>Southeast Island School District</t>
  </si>
  <si>
    <t>Annette Island School District</t>
  </si>
  <si>
    <t>Chugach School District</t>
  </si>
  <si>
    <t>Tanana School District</t>
  </si>
  <si>
    <t>Kashunamiut School District</t>
  </si>
  <si>
    <t>Yupiit School District</t>
  </si>
  <si>
    <t>Aleutians East Borough School District</t>
  </si>
  <si>
    <t>state</t>
  </si>
  <si>
    <t>state_abv</t>
  </si>
  <si>
    <t>plan</t>
  </si>
  <si>
    <t>district_name</t>
  </si>
  <si>
    <t>district_code</t>
  </si>
  <si>
    <t>Alaska</t>
  </si>
  <si>
    <t>AK</t>
  </si>
  <si>
    <t>Alaska Teachers' Retirement System Defined Benefit Pension Plan</t>
  </si>
  <si>
    <t>LEAID</t>
  </si>
  <si>
    <t>0200180</t>
  </si>
  <si>
    <t>0200060</t>
  </si>
  <si>
    <t>0200090</t>
  </si>
  <si>
    <t>0200600</t>
  </si>
  <si>
    <t>0200270</t>
  </si>
  <si>
    <t>0200300</t>
  </si>
  <si>
    <t>0200330</t>
  </si>
  <si>
    <t>0200210</t>
  </si>
  <si>
    <t>0200360</t>
  </si>
  <si>
    <t>0200150</t>
  </si>
  <si>
    <t>0200450</t>
  </si>
  <si>
    <t>0200480</t>
  </si>
  <si>
    <t>0200540</t>
  </si>
  <si>
    <t>0200570</t>
  </si>
  <si>
    <t>0200510</t>
  </si>
  <si>
    <t>0200630</t>
  </si>
  <si>
    <t>0200660</t>
  </si>
  <si>
    <t>0200240</t>
  </si>
  <si>
    <t>0200690</t>
  </si>
  <si>
    <t>0200720</t>
  </si>
  <si>
    <t>0200780</t>
  </si>
  <si>
    <t>0200810</t>
  </si>
  <si>
    <t>0200840</t>
  </si>
  <si>
    <t>0200130</t>
  </si>
  <si>
    <t>0200610</t>
  </si>
  <si>
    <t>0200030</t>
  </si>
  <si>
    <t>0200120</t>
  </si>
  <si>
    <t>0200390</t>
  </si>
  <si>
    <t>0200680</t>
  </si>
  <si>
    <t>0200625</t>
  </si>
  <si>
    <t>0200020</t>
  </si>
  <si>
    <t>0200003</t>
  </si>
  <si>
    <t>0200001</t>
  </si>
  <si>
    <t>0200760</t>
  </si>
  <si>
    <t>0200710</t>
  </si>
  <si>
    <t>0200485</t>
  </si>
  <si>
    <t>0200010</t>
  </si>
  <si>
    <t>0200670</t>
  </si>
  <si>
    <t>0200520</t>
  </si>
  <si>
    <t>0200862</t>
  </si>
  <si>
    <t>0200775</t>
  </si>
  <si>
    <t>0200770</t>
  </si>
  <si>
    <t>0200100</t>
  </si>
  <si>
    <t>0200050</t>
  </si>
  <si>
    <t>0200070</t>
  </si>
  <si>
    <t>0200730</t>
  </si>
  <si>
    <t>0200700</t>
  </si>
  <si>
    <t>0200525</t>
  </si>
  <si>
    <t>0200800</t>
  </si>
  <si>
    <t>0200715</t>
  </si>
  <si>
    <t>0200005</t>
  </si>
  <si>
    <t>0200004</t>
  </si>
  <si>
    <t>0200007</t>
  </si>
  <si>
    <t>Year</t>
  </si>
  <si>
    <t>district_contributions</t>
  </si>
  <si>
    <t>state_contributions</t>
  </si>
  <si>
    <t>total_contributions</t>
  </si>
  <si>
    <t>University of Alaska</t>
  </si>
  <si>
    <t>State of Alaska</t>
  </si>
  <si>
    <t>Southeast Regional Resource Center</t>
  </si>
  <si>
    <t>Special Education Service Agency</t>
  </si>
  <si>
    <t>State of Alaska (Nonemployer)</t>
  </si>
  <si>
    <t>Prop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</si>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</sst>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165" fontId="0" fillId="0" borderId="0" xfId="2" applyNumberFormat="1" applyFont="1"/>
    <xf numFmtId="166" fontId="0" fillId="0" borderId="0" xfId="3" applyNumberFormat="1" applyFo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5D6C-33AE-474E-80FF-2CE687936AEE}">
  <sheetPr>
    <tabColor rgb="FF002060"/>
  </sheetPr>
  <dimension ref="A1:I524"/>
  <sheetViews>
    <sheetView tabSelected="1" workbookViewId="0">
      <selection activeCell="F17" sqref="F17"/>
    </sheetView>
  </sheetViews>
  <sheetFormatPr baseColWidth="10" defaultRowHeight="16" x14ac:dyDescent="0.2"/>
  <cols>
    <col min="1" max="1" width="8.1640625" bestFit="1" customWidth="1"/>
    <col min="6" max="6" width="37.83203125" bestFit="1" customWidth="1"/>
    <col min="7" max="7" width="18.83203125" bestFit="1" customWidth="1"/>
    <col min="8" max="8" width="17.1640625" bestFit="1" customWidth="1"/>
    <col min="9" max="9" width="16.83203125" bestFit="1" customWidth="1"/>
  </cols>
  <sheetData>
    <row r="1" spans="1:9" x14ac:dyDescent="0.2">
      <c r="A1" s="1" t="s">
        <v>61</v>
      </c>
      <c r="B1" s="1" t="s">
        <v>115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116</v>
      </c>
      <c r="H1" s="1" t="s">
        <v>117</v>
      </c>
      <c r="I1" s="1" t="s">
        <v>118</v>
      </c>
    </row>
    <row r="2" spans="1:9" x14ac:dyDescent="0.2">
      <c r="A2" t="s">
        <v>105</v>
      </c>
      <c r="B2">
        <v>2015</v>
      </c>
      <c r="C2" t="s">
        <v>58</v>
      </c>
      <c r="D2" t="s">
        <v>59</v>
      </c>
      <c r="E2" t="s">
        <v>60</v>
      </c>
      <c r="F2" t="s">
        <v>43</v>
      </c>
      <c r="G2">
        <v>127792</v>
      </c>
      <c r="H2">
        <v>4343857.8849928407</v>
      </c>
      <c r="I2">
        <v>4471649.8849928407</v>
      </c>
    </row>
    <row r="3" spans="1:9" x14ac:dyDescent="0.2">
      <c r="A3" t="s">
        <v>105</v>
      </c>
      <c r="B3">
        <v>2016</v>
      </c>
      <c r="C3" t="s">
        <v>58</v>
      </c>
      <c r="D3" t="s">
        <v>59</v>
      </c>
      <c r="E3" t="s">
        <v>60</v>
      </c>
      <c r="F3" t="s">
        <v>43</v>
      </c>
      <c r="G3">
        <v>124560</v>
      </c>
      <c r="H3">
        <v>328494.14358504186</v>
      </c>
      <c r="I3">
        <v>453054.14358504186</v>
      </c>
    </row>
    <row r="4" spans="1:9" x14ac:dyDescent="0.2">
      <c r="A4" t="s">
        <v>105</v>
      </c>
      <c r="B4">
        <v>2017</v>
      </c>
      <c r="C4" t="s">
        <v>58</v>
      </c>
      <c r="D4" t="s">
        <v>59</v>
      </c>
      <c r="E4" t="s">
        <v>60</v>
      </c>
      <c r="F4" t="s">
        <v>43</v>
      </c>
      <c r="G4">
        <v>115657</v>
      </c>
      <c r="H4">
        <v>359107.1559351203</v>
      </c>
      <c r="I4">
        <v>474764.1559351203</v>
      </c>
    </row>
    <row r="5" spans="1:9" x14ac:dyDescent="0.2">
      <c r="A5" t="s">
        <v>105</v>
      </c>
      <c r="B5">
        <v>2018</v>
      </c>
      <c r="C5" t="s">
        <v>58</v>
      </c>
      <c r="D5" t="s">
        <v>59</v>
      </c>
      <c r="E5" t="s">
        <v>60</v>
      </c>
      <c r="F5" t="s">
        <v>43</v>
      </c>
      <c r="G5">
        <v>147901</v>
      </c>
      <c r="H5">
        <v>405009.8560158012</v>
      </c>
      <c r="I5">
        <v>552910.8560158012</v>
      </c>
    </row>
    <row r="6" spans="1:9" x14ac:dyDescent="0.2">
      <c r="A6" t="s">
        <v>105</v>
      </c>
      <c r="B6">
        <v>2019</v>
      </c>
      <c r="C6" t="s">
        <v>58</v>
      </c>
      <c r="D6" t="s">
        <v>59</v>
      </c>
      <c r="E6" t="s">
        <v>60</v>
      </c>
      <c r="F6" t="s">
        <v>43</v>
      </c>
      <c r="G6">
        <v>82923</v>
      </c>
      <c r="H6">
        <v>286955.80688814475</v>
      </c>
      <c r="I6">
        <v>369878.80688814475</v>
      </c>
    </row>
    <row r="7" spans="1:9" x14ac:dyDescent="0.2">
      <c r="A7" t="s">
        <v>105</v>
      </c>
      <c r="B7">
        <v>2020</v>
      </c>
      <c r="C7" t="s">
        <v>58</v>
      </c>
      <c r="D7" t="s">
        <v>59</v>
      </c>
      <c r="E7" t="s">
        <v>60</v>
      </c>
      <c r="F7" t="s">
        <v>43</v>
      </c>
      <c r="G7">
        <v>90858</v>
      </c>
      <c r="H7">
        <v>373449.83781555196</v>
      </c>
      <c r="I7">
        <v>464307.83781555196</v>
      </c>
    </row>
    <row r="8" spans="1:9" x14ac:dyDescent="0.2">
      <c r="A8" t="s">
        <v>105</v>
      </c>
      <c r="B8">
        <v>2021</v>
      </c>
      <c r="C8" t="s">
        <v>58</v>
      </c>
      <c r="D8" t="s">
        <v>59</v>
      </c>
      <c r="E8" t="s">
        <v>60</v>
      </c>
      <c r="F8" t="s">
        <v>43</v>
      </c>
      <c r="G8">
        <v>75615</v>
      </c>
      <c r="H8">
        <v>345577.09617605928</v>
      </c>
      <c r="I8">
        <v>421192.09617605928</v>
      </c>
    </row>
    <row r="9" spans="1:9" x14ac:dyDescent="0.2">
      <c r="A9" t="s">
        <v>105</v>
      </c>
      <c r="B9">
        <v>2022</v>
      </c>
      <c r="C9" t="s">
        <v>58</v>
      </c>
      <c r="D9" t="s">
        <v>59</v>
      </c>
      <c r="E9" t="s">
        <v>60</v>
      </c>
      <c r="F9" t="s">
        <v>43</v>
      </c>
      <c r="G9">
        <v>82785</v>
      </c>
      <c r="H9">
        <v>382120.65178464859</v>
      </c>
      <c r="I9">
        <v>464905.65178464859</v>
      </c>
    </row>
    <row r="10" spans="1:9" x14ac:dyDescent="0.2">
      <c r="A10" t="s">
        <v>105</v>
      </c>
      <c r="B10">
        <v>2023</v>
      </c>
      <c r="C10" t="s">
        <v>58</v>
      </c>
      <c r="D10" t="s">
        <v>59</v>
      </c>
      <c r="E10" t="s">
        <v>60</v>
      </c>
      <c r="F10" t="s">
        <v>43</v>
      </c>
      <c r="G10">
        <v>96718</v>
      </c>
      <c r="H10" t="s">
        <v>125</v>
      </c>
      <c r="I10">
        <v>96718</v>
      </c>
    </row>
    <row r="11" spans="1:9" x14ac:dyDescent="0.2">
      <c r="A11" t="s">
        <v>98</v>
      </c>
      <c r="B11">
        <v>2015</v>
      </c>
      <c r="C11" t="s">
        <v>58</v>
      </c>
      <c r="D11" t="s">
        <v>59</v>
      </c>
      <c r="E11" t="s">
        <v>60</v>
      </c>
      <c r="F11" t="s">
        <v>36</v>
      </c>
      <c r="G11">
        <v>14119</v>
      </c>
      <c r="H11">
        <v>479927.76917345304</v>
      </c>
      <c r="I11">
        <v>494046.76917345304</v>
      </c>
    </row>
    <row r="12" spans="1:9" x14ac:dyDescent="0.2">
      <c r="A12" t="s">
        <v>98</v>
      </c>
      <c r="B12">
        <v>2016</v>
      </c>
      <c r="C12" t="s">
        <v>58</v>
      </c>
      <c r="D12" t="s">
        <v>59</v>
      </c>
      <c r="E12" t="s">
        <v>60</v>
      </c>
      <c r="F12" t="s">
        <v>36</v>
      </c>
      <c r="G12">
        <v>7850</v>
      </c>
      <c r="H12">
        <v>20702.304328376515</v>
      </c>
      <c r="I12">
        <v>28552.304328376515</v>
      </c>
    </row>
    <row r="13" spans="1:9" x14ac:dyDescent="0.2">
      <c r="A13" t="s">
        <v>98</v>
      </c>
      <c r="B13">
        <v>2017</v>
      </c>
      <c r="C13" t="s">
        <v>58</v>
      </c>
      <c r="D13" t="s">
        <v>59</v>
      </c>
      <c r="E13" t="s">
        <v>60</v>
      </c>
      <c r="F13" t="s">
        <v>36</v>
      </c>
      <c r="G13">
        <v>10585</v>
      </c>
      <c r="H13">
        <v>32865.708479151697</v>
      </c>
      <c r="I13">
        <v>43450.708479151697</v>
      </c>
    </row>
    <row r="14" spans="1:9" x14ac:dyDescent="0.2">
      <c r="A14" t="s">
        <v>98</v>
      </c>
      <c r="B14">
        <v>2018</v>
      </c>
      <c r="C14" t="s">
        <v>58</v>
      </c>
      <c r="D14" t="s">
        <v>59</v>
      </c>
      <c r="E14" t="s">
        <v>60</v>
      </c>
      <c r="F14" t="s">
        <v>36</v>
      </c>
      <c r="G14">
        <v>12437</v>
      </c>
      <c r="H14">
        <v>34057.292237838279</v>
      </c>
      <c r="I14">
        <v>46494.292237838279</v>
      </c>
    </row>
    <row r="15" spans="1:9" x14ac:dyDescent="0.2">
      <c r="A15" t="s">
        <v>98</v>
      </c>
      <c r="B15">
        <v>2019</v>
      </c>
      <c r="C15" t="s">
        <v>58</v>
      </c>
      <c r="D15" t="s">
        <v>59</v>
      </c>
      <c r="E15" t="s">
        <v>60</v>
      </c>
      <c r="F15" t="s">
        <v>36</v>
      </c>
      <c r="G15">
        <v>11751</v>
      </c>
      <c r="H15">
        <v>40664.443962984806</v>
      </c>
      <c r="I15">
        <v>52415.443962984806</v>
      </c>
    </row>
    <row r="16" spans="1:9" x14ac:dyDescent="0.2">
      <c r="A16" t="s">
        <v>98</v>
      </c>
      <c r="B16">
        <v>2020</v>
      </c>
      <c r="C16" t="s">
        <v>58</v>
      </c>
      <c r="D16" t="s">
        <v>59</v>
      </c>
      <c r="E16" t="s">
        <v>60</v>
      </c>
      <c r="F16" t="s">
        <v>36</v>
      </c>
      <c r="G16">
        <v>11761</v>
      </c>
      <c r="H16">
        <v>48340.746467550533</v>
      </c>
      <c r="I16">
        <v>60101.746467550533</v>
      </c>
    </row>
    <row r="17" spans="1:9" x14ac:dyDescent="0.2">
      <c r="A17" t="s">
        <v>98</v>
      </c>
      <c r="B17">
        <v>2021</v>
      </c>
      <c r="C17" t="s">
        <v>58</v>
      </c>
      <c r="D17" t="s">
        <v>59</v>
      </c>
      <c r="E17" t="s">
        <v>60</v>
      </c>
      <c r="F17" t="s">
        <v>36</v>
      </c>
      <c r="G17">
        <v>10241</v>
      </c>
      <c r="H17">
        <v>46803.610949401882</v>
      </c>
      <c r="I17">
        <v>57044.610949401882</v>
      </c>
    </row>
    <row r="18" spans="1:9" x14ac:dyDescent="0.2">
      <c r="A18" t="s">
        <v>98</v>
      </c>
      <c r="B18">
        <v>2022</v>
      </c>
      <c r="C18" t="s">
        <v>58</v>
      </c>
      <c r="D18" t="s">
        <v>59</v>
      </c>
      <c r="E18" t="s">
        <v>60</v>
      </c>
      <c r="F18" t="s">
        <v>36</v>
      </c>
      <c r="G18">
        <v>10364</v>
      </c>
      <c r="H18">
        <v>47838.357614254979</v>
      </c>
      <c r="I18">
        <v>58202.357614254979</v>
      </c>
    </row>
    <row r="19" spans="1:9" x14ac:dyDescent="0.2">
      <c r="A19" t="s">
        <v>98</v>
      </c>
      <c r="B19">
        <v>2023</v>
      </c>
      <c r="C19" t="s">
        <v>58</v>
      </c>
      <c r="D19" t="s">
        <v>59</v>
      </c>
      <c r="E19" t="s">
        <v>60</v>
      </c>
      <c r="F19" t="s">
        <v>36</v>
      </c>
      <c r="G19">
        <v>13673</v>
      </c>
      <c r="H19" t="s">
        <v>125</v>
      </c>
      <c r="I19">
        <v>13673</v>
      </c>
    </row>
    <row r="20" spans="1:9" x14ac:dyDescent="0.2">
      <c r="A20" t="s">
        <v>114</v>
      </c>
      <c r="B20">
        <v>2015</v>
      </c>
      <c r="C20" t="s">
        <v>58</v>
      </c>
      <c r="D20" t="s">
        <v>59</v>
      </c>
      <c r="E20" t="s">
        <v>60</v>
      </c>
      <c r="F20" t="s">
        <v>52</v>
      </c>
      <c r="G20">
        <v>87302</v>
      </c>
      <c r="H20">
        <v>2967536.9434365607</v>
      </c>
      <c r="I20">
        <v>3054838.9434365607</v>
      </c>
    </row>
    <row r="21" spans="1:9" x14ac:dyDescent="0.2">
      <c r="A21" t="s">
        <v>114</v>
      </c>
      <c r="B21">
        <v>2016</v>
      </c>
      <c r="C21" t="s">
        <v>58</v>
      </c>
      <c r="D21" t="s">
        <v>59</v>
      </c>
      <c r="E21" t="s">
        <v>60</v>
      </c>
      <c r="F21" t="s">
        <v>52</v>
      </c>
      <c r="G21">
        <v>75752</v>
      </c>
      <c r="H21">
        <v>199775.91815072327</v>
      </c>
      <c r="I21">
        <v>275527.91815072327</v>
      </c>
    </row>
    <row r="22" spans="1:9" x14ac:dyDescent="0.2">
      <c r="A22" t="s">
        <v>114</v>
      </c>
      <c r="B22">
        <v>2017</v>
      </c>
      <c r="C22" t="s">
        <v>58</v>
      </c>
      <c r="D22" t="s">
        <v>59</v>
      </c>
      <c r="E22" t="s">
        <v>60</v>
      </c>
      <c r="F22" t="s">
        <v>52</v>
      </c>
      <c r="G22">
        <v>86296</v>
      </c>
      <c r="H22">
        <v>267943.23844278458</v>
      </c>
      <c r="I22">
        <v>354239.23844278458</v>
      </c>
    </row>
    <row r="23" spans="1:9" x14ac:dyDescent="0.2">
      <c r="A23" t="s">
        <v>114</v>
      </c>
      <c r="B23">
        <v>2018</v>
      </c>
      <c r="C23" t="s">
        <v>58</v>
      </c>
      <c r="D23" t="s">
        <v>59</v>
      </c>
      <c r="E23" t="s">
        <v>60</v>
      </c>
      <c r="F23" t="s">
        <v>52</v>
      </c>
      <c r="G23">
        <v>112452</v>
      </c>
      <c r="H23">
        <v>307936.85187178501</v>
      </c>
      <c r="I23">
        <v>420388.85187178501</v>
      </c>
    </row>
    <row r="24" spans="1:9" x14ac:dyDescent="0.2">
      <c r="A24" t="s">
        <v>114</v>
      </c>
      <c r="B24">
        <v>2019</v>
      </c>
      <c r="C24" t="s">
        <v>58</v>
      </c>
      <c r="D24" t="s">
        <v>59</v>
      </c>
      <c r="E24" t="s">
        <v>60</v>
      </c>
      <c r="F24" t="s">
        <v>52</v>
      </c>
      <c r="G24">
        <v>79651</v>
      </c>
      <c r="H24">
        <v>275633.02068723534</v>
      </c>
      <c r="I24">
        <v>355284.02068723534</v>
      </c>
    </row>
    <row r="25" spans="1:9" x14ac:dyDescent="0.2">
      <c r="A25" t="s">
        <v>114</v>
      </c>
      <c r="B25">
        <v>2020</v>
      </c>
      <c r="C25" t="s">
        <v>58</v>
      </c>
      <c r="D25" t="s">
        <v>59</v>
      </c>
      <c r="E25" t="s">
        <v>60</v>
      </c>
      <c r="F25" t="s">
        <v>52</v>
      </c>
      <c r="G25">
        <v>88884</v>
      </c>
      <c r="H25">
        <v>365336.18816612207</v>
      </c>
      <c r="I25">
        <v>454220.18816612207</v>
      </c>
    </row>
    <row r="26" spans="1:9" x14ac:dyDescent="0.2">
      <c r="A26" t="s">
        <v>114</v>
      </c>
      <c r="B26">
        <v>2021</v>
      </c>
      <c r="C26" t="s">
        <v>58</v>
      </c>
      <c r="D26" t="s">
        <v>59</v>
      </c>
      <c r="E26" t="s">
        <v>60</v>
      </c>
      <c r="F26" t="s">
        <v>52</v>
      </c>
      <c r="G26">
        <v>65293</v>
      </c>
      <c r="H26">
        <v>298403.29750212841</v>
      </c>
      <c r="I26">
        <v>363696.29750212841</v>
      </c>
    </row>
    <row r="27" spans="1:9" x14ac:dyDescent="0.2">
      <c r="A27" t="s">
        <v>114</v>
      </c>
      <c r="B27">
        <v>2022</v>
      </c>
      <c r="C27" t="s">
        <v>58</v>
      </c>
      <c r="D27" t="s">
        <v>59</v>
      </c>
      <c r="E27" t="s">
        <v>60</v>
      </c>
      <c r="F27" t="s">
        <v>52</v>
      </c>
      <c r="G27">
        <v>100088</v>
      </c>
      <c r="H27">
        <v>461988.18379926204</v>
      </c>
      <c r="I27">
        <v>562076.18379926204</v>
      </c>
    </row>
    <row r="28" spans="1:9" x14ac:dyDescent="0.2">
      <c r="A28" t="s">
        <v>114</v>
      </c>
      <c r="B28">
        <v>2023</v>
      </c>
      <c r="C28" t="s">
        <v>58</v>
      </c>
      <c r="D28" t="s">
        <v>59</v>
      </c>
      <c r="E28" t="s">
        <v>60</v>
      </c>
      <c r="F28" t="s">
        <v>52</v>
      </c>
      <c r="G28">
        <v>81050</v>
      </c>
      <c r="H28" t="s">
        <v>125</v>
      </c>
      <c r="I28">
        <v>81050</v>
      </c>
    </row>
    <row r="29" spans="1:9" x14ac:dyDescent="0.2">
      <c r="A29" t="s">
        <v>62</v>
      </c>
      <c r="B29">
        <v>2015</v>
      </c>
      <c r="C29" t="s">
        <v>58</v>
      </c>
      <c r="D29" t="s">
        <v>59</v>
      </c>
      <c r="E29" t="s">
        <v>60</v>
      </c>
      <c r="F29" t="s">
        <v>0</v>
      </c>
      <c r="G29">
        <v>12824989</v>
      </c>
      <c r="H29">
        <v>435942231.06764466</v>
      </c>
      <c r="I29">
        <v>448767220.06764466</v>
      </c>
    </row>
    <row r="30" spans="1:9" x14ac:dyDescent="0.2">
      <c r="A30" t="s">
        <v>62</v>
      </c>
      <c r="B30">
        <v>2016</v>
      </c>
      <c r="C30" t="s">
        <v>58</v>
      </c>
      <c r="D30" t="s">
        <v>59</v>
      </c>
      <c r="E30" t="s">
        <v>60</v>
      </c>
      <c r="F30" t="s">
        <v>0</v>
      </c>
      <c r="G30">
        <v>11850582</v>
      </c>
      <c r="H30">
        <v>31252784.080558062</v>
      </c>
      <c r="I30">
        <v>43103366.080558062</v>
      </c>
    </row>
    <row r="31" spans="1:9" x14ac:dyDescent="0.2">
      <c r="A31" t="s">
        <v>62</v>
      </c>
      <c r="B31">
        <v>2017</v>
      </c>
      <c r="C31" t="s">
        <v>58</v>
      </c>
      <c r="D31" t="s">
        <v>59</v>
      </c>
      <c r="E31" t="s">
        <v>60</v>
      </c>
      <c r="F31" t="s">
        <v>0</v>
      </c>
      <c r="G31">
        <v>12990980</v>
      </c>
      <c r="H31">
        <v>40336113.513319805</v>
      </c>
      <c r="I31">
        <v>53327093.513319805</v>
      </c>
    </row>
    <row r="32" spans="1:9" x14ac:dyDescent="0.2">
      <c r="A32" t="s">
        <v>62</v>
      </c>
      <c r="B32">
        <v>2018</v>
      </c>
      <c r="C32" t="s">
        <v>58</v>
      </c>
      <c r="D32" t="s">
        <v>59</v>
      </c>
      <c r="E32" t="s">
        <v>60</v>
      </c>
      <c r="F32" t="s">
        <v>0</v>
      </c>
      <c r="G32">
        <v>13953834</v>
      </c>
      <c r="H32">
        <v>38210967.466132015</v>
      </c>
      <c r="I32">
        <v>52164801.466132015</v>
      </c>
    </row>
    <row r="33" spans="1:9" x14ac:dyDescent="0.2">
      <c r="A33" t="s">
        <v>62</v>
      </c>
      <c r="B33">
        <v>2019</v>
      </c>
      <c r="C33" t="s">
        <v>58</v>
      </c>
      <c r="D33" t="s">
        <v>59</v>
      </c>
      <c r="E33" t="s">
        <v>60</v>
      </c>
      <c r="F33" t="s">
        <v>0</v>
      </c>
      <c r="G33">
        <v>13405087</v>
      </c>
      <c r="H33">
        <v>46388427.293884441</v>
      </c>
      <c r="I33">
        <v>59793514.293884441</v>
      </c>
    </row>
    <row r="34" spans="1:9" x14ac:dyDescent="0.2">
      <c r="A34" t="s">
        <v>62</v>
      </c>
      <c r="B34">
        <v>2020</v>
      </c>
      <c r="C34" t="s">
        <v>58</v>
      </c>
      <c r="D34" t="s">
        <v>59</v>
      </c>
      <c r="E34" t="s">
        <v>60</v>
      </c>
      <c r="F34" t="s">
        <v>0</v>
      </c>
      <c r="G34">
        <v>12025123</v>
      </c>
      <c r="H34">
        <v>49426360.189108975</v>
      </c>
      <c r="I34">
        <v>61451483.189108975</v>
      </c>
    </row>
    <row r="35" spans="1:9" x14ac:dyDescent="0.2">
      <c r="A35" t="s">
        <v>62</v>
      </c>
      <c r="B35">
        <v>2021</v>
      </c>
      <c r="C35" t="s">
        <v>58</v>
      </c>
      <c r="D35" t="s">
        <v>59</v>
      </c>
      <c r="E35" t="s">
        <v>60</v>
      </c>
      <c r="F35" t="s">
        <v>0</v>
      </c>
      <c r="G35">
        <v>9845817</v>
      </c>
      <c r="H35">
        <v>44997538.164926</v>
      </c>
      <c r="I35">
        <v>54843355.164926</v>
      </c>
    </row>
    <row r="36" spans="1:9" x14ac:dyDescent="0.2">
      <c r="A36" t="s">
        <v>62</v>
      </c>
      <c r="B36">
        <v>2022</v>
      </c>
      <c r="C36" t="s">
        <v>58</v>
      </c>
      <c r="D36" t="s">
        <v>59</v>
      </c>
      <c r="E36" t="s">
        <v>60</v>
      </c>
      <c r="F36" t="s">
        <v>0</v>
      </c>
      <c r="G36">
        <v>10949649</v>
      </c>
      <c r="H36">
        <v>50541607.932513453</v>
      </c>
      <c r="I36">
        <v>61491256.932513453</v>
      </c>
    </row>
    <row r="37" spans="1:9" x14ac:dyDescent="0.2">
      <c r="A37" t="s">
        <v>62</v>
      </c>
      <c r="B37">
        <v>2023</v>
      </c>
      <c r="C37" t="s">
        <v>58</v>
      </c>
      <c r="D37" t="s">
        <v>59</v>
      </c>
      <c r="E37" t="s">
        <v>60</v>
      </c>
      <c r="F37" t="s">
        <v>0</v>
      </c>
      <c r="G37">
        <v>18982470</v>
      </c>
      <c r="H37" t="s">
        <v>125</v>
      </c>
      <c r="I37">
        <v>18982470</v>
      </c>
    </row>
    <row r="38" spans="1:9" x14ac:dyDescent="0.2">
      <c r="A38" t="s">
        <v>109</v>
      </c>
      <c r="B38">
        <v>2015</v>
      </c>
      <c r="C38" t="s">
        <v>58</v>
      </c>
      <c r="D38" t="s">
        <v>59</v>
      </c>
      <c r="E38" t="s">
        <v>60</v>
      </c>
      <c r="F38" t="s">
        <v>47</v>
      </c>
      <c r="G38">
        <v>81026</v>
      </c>
      <c r="H38">
        <v>2754205.4979140316</v>
      </c>
      <c r="I38">
        <v>2835231.4979140316</v>
      </c>
    </row>
    <row r="39" spans="1:9" x14ac:dyDescent="0.2">
      <c r="A39" t="s">
        <v>109</v>
      </c>
      <c r="B39">
        <v>2016</v>
      </c>
      <c r="C39" t="s">
        <v>58</v>
      </c>
      <c r="D39" t="s">
        <v>59</v>
      </c>
      <c r="E39" t="s">
        <v>60</v>
      </c>
      <c r="F39" t="s">
        <v>47</v>
      </c>
      <c r="G39">
        <v>70301</v>
      </c>
      <c r="H39">
        <v>185400.34351454742</v>
      </c>
      <c r="I39">
        <v>255701.34351454742</v>
      </c>
    </row>
    <row r="40" spans="1:9" x14ac:dyDescent="0.2">
      <c r="A40" t="s">
        <v>109</v>
      </c>
      <c r="B40">
        <v>2017</v>
      </c>
      <c r="C40" t="s">
        <v>58</v>
      </c>
      <c r="D40" t="s">
        <v>59</v>
      </c>
      <c r="E40" t="s">
        <v>60</v>
      </c>
      <c r="F40" t="s">
        <v>47</v>
      </c>
      <c r="G40">
        <v>67477</v>
      </c>
      <c r="H40">
        <v>209511.51734036082</v>
      </c>
      <c r="I40">
        <v>276988.51734036079</v>
      </c>
    </row>
    <row r="41" spans="1:9" x14ac:dyDescent="0.2">
      <c r="A41" t="s">
        <v>109</v>
      </c>
      <c r="B41">
        <v>2018</v>
      </c>
      <c r="C41" t="s">
        <v>58</v>
      </c>
      <c r="D41" t="s">
        <v>59</v>
      </c>
      <c r="E41" t="s">
        <v>60</v>
      </c>
      <c r="F41" t="s">
        <v>47</v>
      </c>
      <c r="G41">
        <v>64185</v>
      </c>
      <c r="H41">
        <v>175763.23086641874</v>
      </c>
      <c r="I41">
        <v>239948.23086641874</v>
      </c>
    </row>
    <row r="42" spans="1:9" x14ac:dyDescent="0.2">
      <c r="A42" t="s">
        <v>109</v>
      </c>
      <c r="B42">
        <v>2019</v>
      </c>
      <c r="C42" t="s">
        <v>58</v>
      </c>
      <c r="D42" t="s">
        <v>59</v>
      </c>
      <c r="E42" t="s">
        <v>60</v>
      </c>
      <c r="F42" t="s">
        <v>47</v>
      </c>
      <c r="G42">
        <v>71948</v>
      </c>
      <c r="H42">
        <v>248976.71808772281</v>
      </c>
      <c r="I42">
        <v>320924.71808772278</v>
      </c>
    </row>
    <row r="43" spans="1:9" x14ac:dyDescent="0.2">
      <c r="A43" t="s">
        <v>109</v>
      </c>
      <c r="B43">
        <v>2020</v>
      </c>
      <c r="C43" t="s">
        <v>58</v>
      </c>
      <c r="D43" t="s">
        <v>59</v>
      </c>
      <c r="E43" t="s">
        <v>60</v>
      </c>
      <c r="F43" t="s">
        <v>47</v>
      </c>
      <c r="G43">
        <v>52856</v>
      </c>
      <c r="H43">
        <v>217251.80641857421</v>
      </c>
      <c r="I43">
        <v>270107.80641857418</v>
      </c>
    </row>
    <row r="44" spans="1:9" x14ac:dyDescent="0.2">
      <c r="A44" t="s">
        <v>109</v>
      </c>
      <c r="B44">
        <v>2021</v>
      </c>
      <c r="C44" t="s">
        <v>58</v>
      </c>
      <c r="D44" t="s">
        <v>59</v>
      </c>
      <c r="E44" t="s">
        <v>60</v>
      </c>
      <c r="F44" t="s">
        <v>47</v>
      </c>
      <c r="G44">
        <v>58668</v>
      </c>
      <c r="H44">
        <v>268125.59781071276</v>
      </c>
      <c r="I44">
        <v>326793.59781071276</v>
      </c>
    </row>
    <row r="45" spans="1:9" x14ac:dyDescent="0.2">
      <c r="A45" t="s">
        <v>109</v>
      </c>
      <c r="B45">
        <v>2022</v>
      </c>
      <c r="C45" t="s">
        <v>58</v>
      </c>
      <c r="D45" t="s">
        <v>59</v>
      </c>
      <c r="E45" t="s">
        <v>60</v>
      </c>
      <c r="F45" t="s">
        <v>47</v>
      </c>
      <c r="G45">
        <v>68989</v>
      </c>
      <c r="H45">
        <v>318440.80021708185</v>
      </c>
      <c r="I45">
        <v>387429.80021708185</v>
      </c>
    </row>
    <row r="46" spans="1:9" x14ac:dyDescent="0.2">
      <c r="A46" t="s">
        <v>109</v>
      </c>
      <c r="B46">
        <v>2023</v>
      </c>
      <c r="C46" t="s">
        <v>58</v>
      </c>
      <c r="D46" t="s">
        <v>59</v>
      </c>
      <c r="E46" t="s">
        <v>60</v>
      </c>
      <c r="F46" t="s">
        <v>47</v>
      </c>
      <c r="G46">
        <v>121795</v>
      </c>
      <c r="H46" t="s">
        <v>125</v>
      </c>
      <c r="I46">
        <v>121795</v>
      </c>
    </row>
    <row r="47" spans="1:9" x14ac:dyDescent="0.2">
      <c r="A47" t="s">
        <v>92</v>
      </c>
      <c r="B47">
        <v>2015</v>
      </c>
      <c r="C47" t="s">
        <v>58</v>
      </c>
      <c r="D47" t="s">
        <v>59</v>
      </c>
      <c r="E47" t="s">
        <v>60</v>
      </c>
      <c r="F47" t="s">
        <v>30</v>
      </c>
      <c r="G47">
        <v>436529</v>
      </c>
      <c r="H47">
        <v>14838330.558079062</v>
      </c>
      <c r="I47">
        <v>15274859.558079062</v>
      </c>
    </row>
    <row r="48" spans="1:9" x14ac:dyDescent="0.2">
      <c r="A48" t="s">
        <v>92</v>
      </c>
      <c r="B48">
        <v>2016</v>
      </c>
      <c r="C48" t="s">
        <v>58</v>
      </c>
      <c r="D48" t="s">
        <v>59</v>
      </c>
      <c r="E48" t="s">
        <v>60</v>
      </c>
      <c r="F48" t="s">
        <v>30</v>
      </c>
      <c r="G48">
        <v>387570</v>
      </c>
      <c r="H48">
        <v>1022113.6418533612</v>
      </c>
      <c r="I48">
        <v>1409683.6418533612</v>
      </c>
    </row>
    <row r="49" spans="1:9" x14ac:dyDescent="0.2">
      <c r="A49" t="s">
        <v>92</v>
      </c>
      <c r="B49">
        <v>2017</v>
      </c>
      <c r="C49" t="s">
        <v>58</v>
      </c>
      <c r="D49" t="s">
        <v>59</v>
      </c>
      <c r="E49" t="s">
        <v>60</v>
      </c>
      <c r="F49" t="s">
        <v>30</v>
      </c>
      <c r="G49">
        <v>522909</v>
      </c>
      <c r="H49">
        <v>1623597.048193173</v>
      </c>
      <c r="I49">
        <v>2146506.048193173</v>
      </c>
    </row>
    <row r="50" spans="1:9" x14ac:dyDescent="0.2">
      <c r="A50" t="s">
        <v>92</v>
      </c>
      <c r="B50">
        <v>2018</v>
      </c>
      <c r="C50" t="s">
        <v>58</v>
      </c>
      <c r="D50" t="s">
        <v>59</v>
      </c>
      <c r="E50" t="s">
        <v>60</v>
      </c>
      <c r="F50" t="s">
        <v>30</v>
      </c>
      <c r="G50">
        <v>696010</v>
      </c>
      <c r="H50">
        <v>1905943.2315235042</v>
      </c>
      <c r="I50">
        <v>2601953.2315235045</v>
      </c>
    </row>
    <row r="51" spans="1:9" x14ac:dyDescent="0.2">
      <c r="A51" t="s">
        <v>92</v>
      </c>
      <c r="B51">
        <v>2019</v>
      </c>
      <c r="C51" t="s">
        <v>58</v>
      </c>
      <c r="D51" t="s">
        <v>59</v>
      </c>
      <c r="E51" t="s">
        <v>60</v>
      </c>
      <c r="F51" t="s">
        <v>30</v>
      </c>
      <c r="G51">
        <v>405562</v>
      </c>
      <c r="H51">
        <v>1403451.044380567</v>
      </c>
      <c r="I51">
        <v>1809013.044380567</v>
      </c>
    </row>
    <row r="52" spans="1:9" x14ac:dyDescent="0.2">
      <c r="A52" t="s">
        <v>92</v>
      </c>
      <c r="B52">
        <v>2020</v>
      </c>
      <c r="C52" t="s">
        <v>58</v>
      </c>
      <c r="D52" t="s">
        <v>59</v>
      </c>
      <c r="E52" t="s">
        <v>60</v>
      </c>
      <c r="F52" t="s">
        <v>30</v>
      </c>
      <c r="G52">
        <v>525092</v>
      </c>
      <c r="H52">
        <v>2158263.6888137953</v>
      </c>
      <c r="I52">
        <v>2683355.6888137953</v>
      </c>
    </row>
    <row r="53" spans="1:9" x14ac:dyDescent="0.2">
      <c r="A53" t="s">
        <v>92</v>
      </c>
      <c r="B53">
        <v>2021</v>
      </c>
      <c r="C53" t="s">
        <v>58</v>
      </c>
      <c r="D53" t="s">
        <v>59</v>
      </c>
      <c r="E53" t="s">
        <v>60</v>
      </c>
      <c r="F53" t="s">
        <v>30</v>
      </c>
      <c r="G53">
        <v>493328</v>
      </c>
      <c r="H53">
        <v>2254616.9106968585</v>
      </c>
      <c r="I53">
        <v>2747944.9106968585</v>
      </c>
    </row>
    <row r="54" spans="1:9" x14ac:dyDescent="0.2">
      <c r="A54" t="s">
        <v>92</v>
      </c>
      <c r="B54">
        <v>2022</v>
      </c>
      <c r="C54" t="s">
        <v>58</v>
      </c>
      <c r="D54" t="s">
        <v>59</v>
      </c>
      <c r="E54" t="s">
        <v>60</v>
      </c>
      <c r="F54" t="s">
        <v>30</v>
      </c>
      <c r="G54">
        <v>573355</v>
      </c>
      <c r="H54">
        <v>2646503.4282054384</v>
      </c>
      <c r="I54">
        <v>3219858.4282054384</v>
      </c>
    </row>
    <row r="55" spans="1:9" x14ac:dyDescent="0.2">
      <c r="A55" t="s">
        <v>92</v>
      </c>
      <c r="B55">
        <v>2023</v>
      </c>
      <c r="C55" t="s">
        <v>58</v>
      </c>
      <c r="D55" t="s">
        <v>59</v>
      </c>
      <c r="E55" t="s">
        <v>60</v>
      </c>
      <c r="F55" t="s">
        <v>30</v>
      </c>
      <c r="G55">
        <v>807725</v>
      </c>
      <c r="H55" t="s">
        <v>125</v>
      </c>
      <c r="I55">
        <v>807725</v>
      </c>
    </row>
    <row r="56" spans="1:9" x14ac:dyDescent="0.2">
      <c r="A56" t="s">
        <v>87</v>
      </c>
      <c r="B56">
        <v>2015</v>
      </c>
      <c r="C56" t="s">
        <v>58</v>
      </c>
      <c r="D56" t="s">
        <v>59</v>
      </c>
      <c r="E56" t="s">
        <v>60</v>
      </c>
      <c r="F56" t="s">
        <v>25</v>
      </c>
      <c r="G56">
        <v>27111</v>
      </c>
      <c r="H56">
        <v>921546.97571084951</v>
      </c>
      <c r="I56">
        <v>948657.97571084951</v>
      </c>
    </row>
    <row r="57" spans="1:9" x14ac:dyDescent="0.2">
      <c r="A57" t="s">
        <v>87</v>
      </c>
      <c r="B57">
        <v>2016</v>
      </c>
      <c r="C57" t="s">
        <v>58</v>
      </c>
      <c r="D57" t="s">
        <v>59</v>
      </c>
      <c r="E57" t="s">
        <v>60</v>
      </c>
      <c r="F57" t="s">
        <v>25</v>
      </c>
      <c r="G57">
        <v>18408</v>
      </c>
      <c r="H57">
        <v>48546.244340987876</v>
      </c>
      <c r="I57">
        <v>66954.244340987876</v>
      </c>
    </row>
    <row r="58" spans="1:9" x14ac:dyDescent="0.2">
      <c r="A58" t="s">
        <v>87</v>
      </c>
      <c r="B58">
        <v>2017</v>
      </c>
      <c r="C58" t="s">
        <v>58</v>
      </c>
      <c r="D58" t="s">
        <v>59</v>
      </c>
      <c r="E58" t="s">
        <v>60</v>
      </c>
      <c r="F58" t="s">
        <v>25</v>
      </c>
      <c r="G58">
        <v>20636</v>
      </c>
      <c r="H58">
        <v>64073.383105883273</v>
      </c>
      <c r="I58">
        <v>84709.383105883273</v>
      </c>
    </row>
    <row r="59" spans="1:9" x14ac:dyDescent="0.2">
      <c r="A59" t="s">
        <v>87</v>
      </c>
      <c r="B59">
        <v>2018</v>
      </c>
      <c r="C59" t="s">
        <v>58</v>
      </c>
      <c r="D59" t="s">
        <v>59</v>
      </c>
      <c r="E59" t="s">
        <v>60</v>
      </c>
      <c r="F59" t="s">
        <v>25</v>
      </c>
      <c r="G59">
        <v>30208</v>
      </c>
      <c r="H59">
        <v>82721.129204841913</v>
      </c>
      <c r="I59">
        <v>112929.12920484191</v>
      </c>
    </row>
    <row r="60" spans="1:9" x14ac:dyDescent="0.2">
      <c r="A60" t="s">
        <v>87</v>
      </c>
      <c r="B60">
        <v>2019</v>
      </c>
      <c r="C60" t="s">
        <v>58</v>
      </c>
      <c r="D60" t="s">
        <v>59</v>
      </c>
      <c r="E60" t="s">
        <v>60</v>
      </c>
      <c r="F60" t="s">
        <v>25</v>
      </c>
      <c r="G60">
        <v>26751</v>
      </c>
      <c r="H60">
        <v>92572.082414586548</v>
      </c>
      <c r="I60">
        <v>119323.08241458655</v>
      </c>
    </row>
    <row r="61" spans="1:9" x14ac:dyDescent="0.2">
      <c r="A61" t="s">
        <v>87</v>
      </c>
      <c r="B61">
        <v>2020</v>
      </c>
      <c r="C61" t="s">
        <v>58</v>
      </c>
      <c r="D61" t="s">
        <v>59</v>
      </c>
      <c r="E61" t="s">
        <v>60</v>
      </c>
      <c r="F61" t="s">
        <v>25</v>
      </c>
      <c r="G61">
        <v>40405</v>
      </c>
      <c r="H61">
        <v>166074.98180608617</v>
      </c>
      <c r="I61">
        <v>206479.98180608617</v>
      </c>
    </row>
    <row r="62" spans="1:9" x14ac:dyDescent="0.2">
      <c r="A62" t="s">
        <v>87</v>
      </c>
      <c r="B62">
        <v>2021</v>
      </c>
      <c r="C62" t="s">
        <v>58</v>
      </c>
      <c r="D62" t="s">
        <v>59</v>
      </c>
      <c r="E62" t="s">
        <v>60</v>
      </c>
      <c r="F62" t="s">
        <v>25</v>
      </c>
      <c r="G62">
        <v>25403</v>
      </c>
      <c r="H62">
        <v>116097.26871864621</v>
      </c>
      <c r="I62">
        <v>141500.2687186462</v>
      </c>
    </row>
    <row r="63" spans="1:9" x14ac:dyDescent="0.2">
      <c r="A63" t="s">
        <v>87</v>
      </c>
      <c r="B63">
        <v>2022</v>
      </c>
      <c r="C63" t="s">
        <v>58</v>
      </c>
      <c r="D63" t="s">
        <v>59</v>
      </c>
      <c r="E63" t="s">
        <v>60</v>
      </c>
      <c r="F63" t="s">
        <v>25</v>
      </c>
      <c r="G63">
        <v>33915</v>
      </c>
      <c r="H63">
        <v>156545.53246694882</v>
      </c>
      <c r="I63">
        <v>190460.53246694882</v>
      </c>
    </row>
    <row r="64" spans="1:9" x14ac:dyDescent="0.2">
      <c r="A64" t="s">
        <v>87</v>
      </c>
      <c r="B64">
        <v>2023</v>
      </c>
      <c r="C64" t="s">
        <v>58</v>
      </c>
      <c r="D64" t="s">
        <v>59</v>
      </c>
      <c r="E64" t="s">
        <v>60</v>
      </c>
      <c r="F64" t="s">
        <v>25</v>
      </c>
      <c r="G64">
        <v>42943</v>
      </c>
      <c r="H64" t="s">
        <v>125</v>
      </c>
      <c r="I64">
        <v>42943</v>
      </c>
    </row>
    <row r="65" spans="1:9" x14ac:dyDescent="0.2">
      <c r="A65" t="s">
        <v>107</v>
      </c>
      <c r="B65">
        <v>2015</v>
      </c>
      <c r="C65" t="s">
        <v>58</v>
      </c>
      <c r="D65" t="s">
        <v>59</v>
      </c>
      <c r="E65" t="s">
        <v>60</v>
      </c>
      <c r="F65" t="s">
        <v>45</v>
      </c>
      <c r="G65">
        <v>48982</v>
      </c>
      <c r="H65">
        <v>1664977.8305584022</v>
      </c>
      <c r="I65">
        <v>1713959.8305584022</v>
      </c>
    </row>
    <row r="66" spans="1:9" x14ac:dyDescent="0.2">
      <c r="A66" t="s">
        <v>107</v>
      </c>
      <c r="B66">
        <v>2016</v>
      </c>
      <c r="C66" t="s">
        <v>58</v>
      </c>
      <c r="D66" t="s">
        <v>59</v>
      </c>
      <c r="E66" t="s">
        <v>60</v>
      </c>
      <c r="F66" t="s">
        <v>45</v>
      </c>
      <c r="G66">
        <v>47879</v>
      </c>
      <c r="H66">
        <v>126268.23298577567</v>
      </c>
      <c r="I66">
        <v>174147.23298577568</v>
      </c>
    </row>
    <row r="67" spans="1:9" x14ac:dyDescent="0.2">
      <c r="A67" t="s">
        <v>107</v>
      </c>
      <c r="B67">
        <v>2017</v>
      </c>
      <c r="C67" t="s">
        <v>58</v>
      </c>
      <c r="D67" t="s">
        <v>59</v>
      </c>
      <c r="E67" t="s">
        <v>60</v>
      </c>
      <c r="F67" t="s">
        <v>45</v>
      </c>
      <c r="G67">
        <v>42348</v>
      </c>
      <c r="H67">
        <v>131487.67337507001</v>
      </c>
      <c r="I67">
        <v>173835.67337507001</v>
      </c>
    </row>
    <row r="68" spans="1:9" x14ac:dyDescent="0.2">
      <c r="A68" t="s">
        <v>107</v>
      </c>
      <c r="B68">
        <v>2018</v>
      </c>
      <c r="C68" t="s">
        <v>58</v>
      </c>
      <c r="D68" t="s">
        <v>59</v>
      </c>
      <c r="E68" t="s">
        <v>60</v>
      </c>
      <c r="F68" t="s">
        <v>45</v>
      </c>
      <c r="G68">
        <v>62597</v>
      </c>
      <c r="H68">
        <v>171414.67574270023</v>
      </c>
      <c r="I68">
        <v>234011.67574270023</v>
      </c>
    </row>
    <row r="69" spans="1:9" x14ac:dyDescent="0.2">
      <c r="A69" t="s">
        <v>107</v>
      </c>
      <c r="B69">
        <v>2019</v>
      </c>
      <c r="C69" t="s">
        <v>58</v>
      </c>
      <c r="D69" t="s">
        <v>59</v>
      </c>
      <c r="E69" t="s">
        <v>60</v>
      </c>
      <c r="F69" t="s">
        <v>45</v>
      </c>
      <c r="G69">
        <v>16403</v>
      </c>
      <c r="H69">
        <v>56762.732901441552</v>
      </c>
      <c r="I69">
        <v>73165.732901441545</v>
      </c>
    </row>
    <row r="70" spans="1:9" x14ac:dyDescent="0.2">
      <c r="A70" t="s">
        <v>107</v>
      </c>
      <c r="B70">
        <v>2020</v>
      </c>
      <c r="C70" t="s">
        <v>58</v>
      </c>
      <c r="D70" t="s">
        <v>59</v>
      </c>
      <c r="E70" t="s">
        <v>60</v>
      </c>
      <c r="F70" t="s">
        <v>45</v>
      </c>
      <c r="G70">
        <v>39969</v>
      </c>
      <c r="H70">
        <v>164282.90923914014</v>
      </c>
      <c r="I70">
        <v>204251.90923914014</v>
      </c>
    </row>
    <row r="71" spans="1:9" x14ac:dyDescent="0.2">
      <c r="A71" t="s">
        <v>107</v>
      </c>
      <c r="B71">
        <v>2021</v>
      </c>
      <c r="C71" t="s">
        <v>58</v>
      </c>
      <c r="D71" t="s">
        <v>59</v>
      </c>
      <c r="E71" t="s">
        <v>60</v>
      </c>
      <c r="F71" t="s">
        <v>45</v>
      </c>
      <c r="G71">
        <v>32386</v>
      </c>
      <c r="H71">
        <v>148011.10674810363</v>
      </c>
      <c r="I71">
        <v>180397.10674810363</v>
      </c>
    </row>
    <row r="72" spans="1:9" x14ac:dyDescent="0.2">
      <c r="A72" t="s">
        <v>107</v>
      </c>
      <c r="B72">
        <v>2022</v>
      </c>
      <c r="C72" t="s">
        <v>58</v>
      </c>
      <c r="D72" t="s">
        <v>59</v>
      </c>
      <c r="E72" t="s">
        <v>60</v>
      </c>
      <c r="F72" t="s">
        <v>45</v>
      </c>
      <c r="G72">
        <v>48630</v>
      </c>
      <c r="H72">
        <v>224467.32253774794</v>
      </c>
      <c r="I72">
        <v>273097.32253774791</v>
      </c>
    </row>
    <row r="73" spans="1:9" x14ac:dyDescent="0.2">
      <c r="A73" t="s">
        <v>107</v>
      </c>
      <c r="B73">
        <v>2023</v>
      </c>
      <c r="C73" t="s">
        <v>58</v>
      </c>
      <c r="D73" t="s">
        <v>59</v>
      </c>
      <c r="E73" t="s">
        <v>60</v>
      </c>
      <c r="F73" t="s">
        <v>45</v>
      </c>
      <c r="G73">
        <v>60954</v>
      </c>
      <c r="H73" t="s">
        <v>125</v>
      </c>
      <c r="I73">
        <v>60954</v>
      </c>
    </row>
    <row r="74" spans="1:9" x14ac:dyDescent="0.2">
      <c r="A74" t="s">
        <v>110</v>
      </c>
      <c r="B74">
        <v>2015</v>
      </c>
      <c r="C74" t="s">
        <v>58</v>
      </c>
      <c r="D74" t="s">
        <v>59</v>
      </c>
      <c r="E74" t="s">
        <v>60</v>
      </c>
      <c r="F74" t="s">
        <v>48</v>
      </c>
      <c r="G74">
        <v>75165</v>
      </c>
      <c r="H74">
        <v>2554980.5772308661</v>
      </c>
      <c r="I74">
        <v>2630145.5772308661</v>
      </c>
    </row>
    <row r="75" spans="1:9" x14ac:dyDescent="0.2">
      <c r="A75" t="s">
        <v>110</v>
      </c>
      <c r="B75">
        <v>2016</v>
      </c>
      <c r="C75" t="s">
        <v>58</v>
      </c>
      <c r="D75" t="s">
        <v>59</v>
      </c>
      <c r="E75" t="s">
        <v>60</v>
      </c>
      <c r="F75" t="s">
        <v>48</v>
      </c>
      <c r="G75">
        <v>74675</v>
      </c>
      <c r="H75">
        <v>196935.61474159441</v>
      </c>
      <c r="I75">
        <v>271610.61474159441</v>
      </c>
    </row>
    <row r="76" spans="1:9" x14ac:dyDescent="0.2">
      <c r="A76" t="s">
        <v>110</v>
      </c>
      <c r="B76">
        <v>2017</v>
      </c>
      <c r="C76" t="s">
        <v>58</v>
      </c>
      <c r="D76" t="s">
        <v>59</v>
      </c>
      <c r="E76" t="s">
        <v>60</v>
      </c>
      <c r="F76" t="s">
        <v>48</v>
      </c>
      <c r="G76">
        <v>85760</v>
      </c>
      <c r="H76">
        <v>266278.99472574866</v>
      </c>
      <c r="I76">
        <v>352038.99472574866</v>
      </c>
    </row>
    <row r="77" spans="1:9" x14ac:dyDescent="0.2">
      <c r="A77" t="s">
        <v>110</v>
      </c>
      <c r="B77">
        <v>2018</v>
      </c>
      <c r="C77" t="s">
        <v>58</v>
      </c>
      <c r="D77" t="s">
        <v>59</v>
      </c>
      <c r="E77" t="s">
        <v>60</v>
      </c>
      <c r="F77" t="s">
        <v>48</v>
      </c>
      <c r="G77">
        <v>90177</v>
      </c>
      <c r="H77">
        <v>246939.32959166542</v>
      </c>
      <c r="I77">
        <v>337116.32959166542</v>
      </c>
    </row>
    <row r="78" spans="1:9" x14ac:dyDescent="0.2">
      <c r="A78" t="s">
        <v>110</v>
      </c>
      <c r="B78">
        <v>2019</v>
      </c>
      <c r="C78" t="s">
        <v>58</v>
      </c>
      <c r="D78" t="s">
        <v>59</v>
      </c>
      <c r="E78" t="s">
        <v>60</v>
      </c>
      <c r="F78" t="s">
        <v>48</v>
      </c>
      <c r="G78">
        <v>92071</v>
      </c>
      <c r="H78">
        <v>318612.5453251616</v>
      </c>
      <c r="I78">
        <v>410683.5453251616</v>
      </c>
    </row>
    <row r="79" spans="1:9" x14ac:dyDescent="0.2">
      <c r="A79" t="s">
        <v>110</v>
      </c>
      <c r="B79">
        <v>2020</v>
      </c>
      <c r="C79" t="s">
        <v>58</v>
      </c>
      <c r="D79" t="s">
        <v>59</v>
      </c>
      <c r="E79" t="s">
        <v>60</v>
      </c>
      <c r="F79" t="s">
        <v>48</v>
      </c>
      <c r="G79">
        <v>88587</v>
      </c>
      <c r="H79">
        <v>364115.44148634461</v>
      </c>
      <c r="I79">
        <v>452702.44148634461</v>
      </c>
    </row>
    <row r="80" spans="1:9" x14ac:dyDescent="0.2">
      <c r="A80" t="s">
        <v>110</v>
      </c>
      <c r="B80">
        <v>2021</v>
      </c>
      <c r="C80" t="s">
        <v>58</v>
      </c>
      <c r="D80" t="s">
        <v>59</v>
      </c>
      <c r="E80" t="s">
        <v>60</v>
      </c>
      <c r="F80" t="s">
        <v>48</v>
      </c>
      <c r="G80">
        <v>71896</v>
      </c>
      <c r="H80">
        <v>328580.45237947436</v>
      </c>
      <c r="I80">
        <v>400476.45237947436</v>
      </c>
    </row>
    <row r="81" spans="1:9" x14ac:dyDescent="0.2">
      <c r="A81" t="s">
        <v>110</v>
      </c>
      <c r="B81">
        <v>2022</v>
      </c>
      <c r="C81" t="s">
        <v>58</v>
      </c>
      <c r="D81" t="s">
        <v>59</v>
      </c>
      <c r="E81" t="s">
        <v>60</v>
      </c>
      <c r="F81" t="s">
        <v>48</v>
      </c>
      <c r="G81">
        <v>63279</v>
      </c>
      <c r="H81">
        <v>292084.46849406033</v>
      </c>
      <c r="I81">
        <v>355363.46849406033</v>
      </c>
    </row>
    <row r="82" spans="1:9" x14ac:dyDescent="0.2">
      <c r="A82" t="s">
        <v>110</v>
      </c>
      <c r="B82">
        <v>2023</v>
      </c>
      <c r="C82" t="s">
        <v>58</v>
      </c>
      <c r="D82" t="s">
        <v>59</v>
      </c>
      <c r="E82" t="s">
        <v>60</v>
      </c>
      <c r="F82" t="s">
        <v>48</v>
      </c>
      <c r="G82">
        <v>139942</v>
      </c>
      <c r="H82" t="s">
        <v>125</v>
      </c>
      <c r="I82">
        <v>139942</v>
      </c>
    </row>
    <row r="83" spans="1:9" x14ac:dyDescent="0.2">
      <c r="A83" t="s">
        <v>106</v>
      </c>
      <c r="B83">
        <v>2015</v>
      </c>
      <c r="C83" t="s">
        <v>58</v>
      </c>
      <c r="D83" t="s">
        <v>59</v>
      </c>
      <c r="E83" t="s">
        <v>60</v>
      </c>
      <c r="F83" t="s">
        <v>44</v>
      </c>
      <c r="G83">
        <v>115656</v>
      </c>
      <c r="H83">
        <v>3931335.5104132653</v>
      </c>
      <c r="I83">
        <v>4046991.5104132653</v>
      </c>
    </row>
    <row r="84" spans="1:9" x14ac:dyDescent="0.2">
      <c r="A84" t="s">
        <v>106</v>
      </c>
      <c r="B84">
        <v>2016</v>
      </c>
      <c r="C84" t="s">
        <v>58</v>
      </c>
      <c r="D84" t="s">
        <v>59</v>
      </c>
      <c r="E84" t="s">
        <v>60</v>
      </c>
      <c r="F84" t="s">
        <v>44</v>
      </c>
      <c r="G84">
        <v>105461</v>
      </c>
      <c r="H84">
        <v>278125.56901591277</v>
      </c>
      <c r="I84">
        <v>383586.56901591277</v>
      </c>
    </row>
    <row r="85" spans="1:9" x14ac:dyDescent="0.2">
      <c r="A85" t="s">
        <v>106</v>
      </c>
      <c r="B85">
        <v>2017</v>
      </c>
      <c r="C85" t="s">
        <v>58</v>
      </c>
      <c r="D85" t="s">
        <v>59</v>
      </c>
      <c r="E85" t="s">
        <v>60</v>
      </c>
      <c r="F85" t="s">
        <v>44</v>
      </c>
      <c r="G85">
        <v>94597</v>
      </c>
      <c r="H85">
        <v>293717.28153068619</v>
      </c>
      <c r="I85">
        <v>388314.28153068619</v>
      </c>
    </row>
    <row r="86" spans="1:9" x14ac:dyDescent="0.2">
      <c r="A86" t="s">
        <v>106</v>
      </c>
      <c r="B86">
        <v>2018</v>
      </c>
      <c r="C86" t="s">
        <v>58</v>
      </c>
      <c r="D86" t="s">
        <v>59</v>
      </c>
      <c r="E86" t="s">
        <v>60</v>
      </c>
      <c r="F86" t="s">
        <v>44</v>
      </c>
      <c r="G86">
        <v>98121</v>
      </c>
      <c r="H86">
        <v>268693.05874961248</v>
      </c>
      <c r="I86">
        <v>366814.05874961248</v>
      </c>
    </row>
    <row r="87" spans="1:9" x14ac:dyDescent="0.2">
      <c r="A87" t="s">
        <v>106</v>
      </c>
      <c r="B87">
        <v>2019</v>
      </c>
      <c r="C87" t="s">
        <v>58</v>
      </c>
      <c r="D87" t="s">
        <v>59</v>
      </c>
      <c r="E87" t="s">
        <v>60</v>
      </c>
      <c r="F87" t="s">
        <v>44</v>
      </c>
      <c r="G87">
        <v>47105</v>
      </c>
      <c r="H87">
        <v>163007.28728418</v>
      </c>
      <c r="I87">
        <v>210112.28728418</v>
      </c>
    </row>
    <row r="88" spans="1:9" x14ac:dyDescent="0.2">
      <c r="A88" t="s">
        <v>106</v>
      </c>
      <c r="B88">
        <v>2020</v>
      </c>
      <c r="C88" t="s">
        <v>58</v>
      </c>
      <c r="D88" t="s">
        <v>59</v>
      </c>
      <c r="E88" t="s">
        <v>60</v>
      </c>
      <c r="F88" t="s">
        <v>44</v>
      </c>
      <c r="G88">
        <v>60962</v>
      </c>
      <c r="H88">
        <v>250569.55923431815</v>
      </c>
      <c r="I88">
        <v>311531.55923431815</v>
      </c>
    </row>
    <row r="89" spans="1:9" x14ac:dyDescent="0.2">
      <c r="A89" t="s">
        <v>106</v>
      </c>
      <c r="B89">
        <v>2021</v>
      </c>
      <c r="C89" t="s">
        <v>58</v>
      </c>
      <c r="D89" t="s">
        <v>59</v>
      </c>
      <c r="E89" t="s">
        <v>60</v>
      </c>
      <c r="F89" t="s">
        <v>44</v>
      </c>
      <c r="G89">
        <v>44906</v>
      </c>
      <c r="H89">
        <v>205230.24639135247</v>
      </c>
      <c r="I89">
        <v>250136.24639135247</v>
      </c>
    </row>
    <row r="90" spans="1:9" x14ac:dyDescent="0.2">
      <c r="A90" t="s">
        <v>106</v>
      </c>
      <c r="B90">
        <v>2022</v>
      </c>
      <c r="C90" t="s">
        <v>58</v>
      </c>
      <c r="D90" t="s">
        <v>59</v>
      </c>
      <c r="E90" t="s">
        <v>60</v>
      </c>
      <c r="F90" t="s">
        <v>44</v>
      </c>
      <c r="G90">
        <v>71789</v>
      </c>
      <c r="H90">
        <v>331365.09598318709</v>
      </c>
      <c r="I90">
        <v>403154.09598318709</v>
      </c>
    </row>
    <row r="91" spans="1:9" x14ac:dyDescent="0.2">
      <c r="A91" t="s">
        <v>106</v>
      </c>
      <c r="B91">
        <v>2023</v>
      </c>
      <c r="C91" t="s">
        <v>58</v>
      </c>
      <c r="D91" t="s">
        <v>59</v>
      </c>
      <c r="E91" t="s">
        <v>60</v>
      </c>
      <c r="F91" t="s">
        <v>44</v>
      </c>
      <c r="G91">
        <v>93348</v>
      </c>
      <c r="H91" t="s">
        <v>125</v>
      </c>
      <c r="I91">
        <v>93348</v>
      </c>
    </row>
    <row r="92" spans="1:9" x14ac:dyDescent="0.2">
      <c r="A92" t="s">
        <v>63</v>
      </c>
      <c r="B92">
        <v>2015</v>
      </c>
      <c r="C92" t="s">
        <v>58</v>
      </c>
      <c r="D92" t="s">
        <v>59</v>
      </c>
      <c r="E92" t="s">
        <v>60</v>
      </c>
      <c r="F92" t="s">
        <v>1</v>
      </c>
      <c r="G92">
        <v>93121</v>
      </c>
      <c r="H92">
        <v>3165334.2158227302</v>
      </c>
      <c r="I92">
        <v>3258455.2158227302</v>
      </c>
    </row>
    <row r="93" spans="1:9" x14ac:dyDescent="0.2">
      <c r="A93" t="s">
        <v>63</v>
      </c>
      <c r="B93">
        <v>2016</v>
      </c>
      <c r="C93" t="s">
        <v>58</v>
      </c>
      <c r="D93" t="s">
        <v>59</v>
      </c>
      <c r="E93" t="s">
        <v>60</v>
      </c>
      <c r="F93" t="s">
        <v>1</v>
      </c>
      <c r="G93">
        <v>96780</v>
      </c>
      <c r="H93">
        <v>255231.72138857056</v>
      </c>
      <c r="I93">
        <v>352011.72138857056</v>
      </c>
    </row>
    <row r="94" spans="1:9" x14ac:dyDescent="0.2">
      <c r="A94" t="s">
        <v>63</v>
      </c>
      <c r="B94">
        <v>2017</v>
      </c>
      <c r="C94" t="s">
        <v>58</v>
      </c>
      <c r="D94" t="s">
        <v>59</v>
      </c>
      <c r="E94" t="s">
        <v>60</v>
      </c>
      <c r="F94" t="s">
        <v>1</v>
      </c>
      <c r="G94">
        <v>110356</v>
      </c>
      <c r="H94">
        <v>342647.90977092728</v>
      </c>
      <c r="I94">
        <v>453003.90977092728</v>
      </c>
    </row>
    <row r="95" spans="1:9" x14ac:dyDescent="0.2">
      <c r="A95" t="s">
        <v>63</v>
      </c>
      <c r="B95">
        <v>2018</v>
      </c>
      <c r="C95" t="s">
        <v>58</v>
      </c>
      <c r="D95" t="s">
        <v>59</v>
      </c>
      <c r="E95" t="s">
        <v>60</v>
      </c>
      <c r="F95" t="s">
        <v>1</v>
      </c>
      <c r="G95">
        <v>136708</v>
      </c>
      <c r="H95">
        <v>374359.11451719835</v>
      </c>
      <c r="I95">
        <v>511067.11451719835</v>
      </c>
    </row>
    <row r="96" spans="1:9" x14ac:dyDescent="0.2">
      <c r="A96" t="s">
        <v>63</v>
      </c>
      <c r="B96">
        <v>2019</v>
      </c>
      <c r="C96" t="s">
        <v>58</v>
      </c>
      <c r="D96" t="s">
        <v>59</v>
      </c>
      <c r="E96" t="s">
        <v>60</v>
      </c>
      <c r="F96" t="s">
        <v>1</v>
      </c>
      <c r="G96">
        <v>118029</v>
      </c>
      <c r="H96">
        <v>408440.44392027345</v>
      </c>
      <c r="I96">
        <v>526469.44392027345</v>
      </c>
    </row>
    <row r="97" spans="1:9" x14ac:dyDescent="0.2">
      <c r="A97" t="s">
        <v>63</v>
      </c>
      <c r="B97">
        <v>2020</v>
      </c>
      <c r="C97" t="s">
        <v>58</v>
      </c>
      <c r="D97" t="s">
        <v>59</v>
      </c>
      <c r="E97" t="s">
        <v>60</v>
      </c>
      <c r="F97" t="s">
        <v>1</v>
      </c>
      <c r="G97">
        <v>116153</v>
      </c>
      <c r="H97">
        <v>477418.81850568805</v>
      </c>
      <c r="I97">
        <v>593571.8185056881</v>
      </c>
    </row>
    <row r="98" spans="1:9" x14ac:dyDescent="0.2">
      <c r="A98" t="s">
        <v>63</v>
      </c>
      <c r="B98">
        <v>2021</v>
      </c>
      <c r="C98" t="s">
        <v>58</v>
      </c>
      <c r="D98" t="s">
        <v>59</v>
      </c>
      <c r="E98" t="s">
        <v>60</v>
      </c>
      <c r="F98" t="s">
        <v>1</v>
      </c>
      <c r="G98">
        <v>84368</v>
      </c>
      <c r="H98">
        <v>385580.22151929862</v>
      </c>
      <c r="I98">
        <v>469948.22151929862</v>
      </c>
    </row>
    <row r="99" spans="1:9" x14ac:dyDescent="0.2">
      <c r="A99" t="s">
        <v>63</v>
      </c>
      <c r="B99">
        <v>2022</v>
      </c>
      <c r="C99" t="s">
        <v>58</v>
      </c>
      <c r="D99" t="s">
        <v>59</v>
      </c>
      <c r="E99" t="s">
        <v>60</v>
      </c>
      <c r="F99" t="s">
        <v>1</v>
      </c>
      <c r="G99">
        <v>90204</v>
      </c>
      <c r="H99">
        <v>416365.41974491085</v>
      </c>
      <c r="I99">
        <v>506569.41974491085</v>
      </c>
    </row>
    <row r="100" spans="1:9" x14ac:dyDescent="0.2">
      <c r="A100" t="s">
        <v>63</v>
      </c>
      <c r="B100">
        <v>2023</v>
      </c>
      <c r="C100" t="s">
        <v>58</v>
      </c>
      <c r="D100" t="s">
        <v>59</v>
      </c>
      <c r="E100" t="s">
        <v>60</v>
      </c>
      <c r="F100" t="s">
        <v>1</v>
      </c>
      <c r="G100">
        <v>170529</v>
      </c>
      <c r="H100" t="s">
        <v>125</v>
      </c>
      <c r="I100">
        <v>170529</v>
      </c>
    </row>
    <row r="101" spans="1:9" x14ac:dyDescent="0.2">
      <c r="A101" t="s">
        <v>64</v>
      </c>
      <c r="B101">
        <v>2015</v>
      </c>
      <c r="C101" t="s">
        <v>58</v>
      </c>
      <c r="D101" t="s">
        <v>59</v>
      </c>
      <c r="E101" t="s">
        <v>60</v>
      </c>
      <c r="F101" t="s">
        <v>2</v>
      </c>
      <c r="G101">
        <v>110762</v>
      </c>
      <c r="H101">
        <v>3764980.4921871242</v>
      </c>
      <c r="I101">
        <v>3875742.4921871242</v>
      </c>
    </row>
    <row r="102" spans="1:9" x14ac:dyDescent="0.2">
      <c r="A102" t="s">
        <v>64</v>
      </c>
      <c r="B102">
        <v>2016</v>
      </c>
      <c r="C102" t="s">
        <v>58</v>
      </c>
      <c r="D102" t="s">
        <v>59</v>
      </c>
      <c r="E102" t="s">
        <v>60</v>
      </c>
      <c r="F102" t="s">
        <v>2</v>
      </c>
      <c r="G102">
        <v>104268</v>
      </c>
      <c r="H102">
        <v>274979.34620524361</v>
      </c>
      <c r="I102">
        <v>379247.34620524361</v>
      </c>
    </row>
    <row r="103" spans="1:9" x14ac:dyDescent="0.2">
      <c r="A103" t="s">
        <v>64</v>
      </c>
      <c r="B103">
        <v>2017</v>
      </c>
      <c r="C103" t="s">
        <v>58</v>
      </c>
      <c r="D103" t="s">
        <v>59</v>
      </c>
      <c r="E103" t="s">
        <v>60</v>
      </c>
      <c r="F103" t="s">
        <v>2</v>
      </c>
      <c r="G103">
        <v>122462</v>
      </c>
      <c r="H103">
        <v>380236.22029039916</v>
      </c>
      <c r="I103">
        <v>502698.22029039916</v>
      </c>
    </row>
    <row r="104" spans="1:9" x14ac:dyDescent="0.2">
      <c r="A104" t="s">
        <v>64</v>
      </c>
      <c r="B104">
        <v>2018</v>
      </c>
      <c r="C104" t="s">
        <v>58</v>
      </c>
      <c r="D104" t="s">
        <v>59</v>
      </c>
      <c r="E104" t="s">
        <v>60</v>
      </c>
      <c r="F104" t="s">
        <v>2</v>
      </c>
      <c r="G104">
        <v>141152</v>
      </c>
      <c r="H104">
        <v>386528.49673999753</v>
      </c>
      <c r="I104">
        <v>527680.49673999753</v>
      </c>
    </row>
    <row r="105" spans="1:9" x14ac:dyDescent="0.2">
      <c r="A105" t="s">
        <v>64</v>
      </c>
      <c r="B105">
        <v>2019</v>
      </c>
      <c r="C105" t="s">
        <v>58</v>
      </c>
      <c r="D105" t="s">
        <v>59</v>
      </c>
      <c r="E105" t="s">
        <v>60</v>
      </c>
      <c r="F105" t="s">
        <v>2</v>
      </c>
      <c r="G105">
        <v>114814</v>
      </c>
      <c r="H105">
        <v>397314.90674548014</v>
      </c>
      <c r="I105">
        <v>512128.90674548014</v>
      </c>
    </row>
    <row r="106" spans="1:9" x14ac:dyDescent="0.2">
      <c r="A106" t="s">
        <v>64</v>
      </c>
      <c r="B106">
        <v>2020</v>
      </c>
      <c r="C106" t="s">
        <v>58</v>
      </c>
      <c r="D106" t="s">
        <v>59</v>
      </c>
      <c r="E106" t="s">
        <v>60</v>
      </c>
      <c r="F106" t="s">
        <v>2</v>
      </c>
      <c r="G106">
        <v>114189</v>
      </c>
      <c r="H106">
        <v>469346.27143806883</v>
      </c>
      <c r="I106">
        <v>583535.27143806883</v>
      </c>
    </row>
    <row r="107" spans="1:9" x14ac:dyDescent="0.2">
      <c r="A107" t="s">
        <v>64</v>
      </c>
      <c r="B107">
        <v>2021</v>
      </c>
      <c r="C107" t="s">
        <v>58</v>
      </c>
      <c r="D107" t="s">
        <v>59</v>
      </c>
      <c r="E107" t="s">
        <v>60</v>
      </c>
      <c r="F107" t="s">
        <v>2</v>
      </c>
      <c r="G107">
        <v>102517</v>
      </c>
      <c r="H107">
        <v>468525.12290790275</v>
      </c>
      <c r="I107">
        <v>571042.12290790281</v>
      </c>
    </row>
    <row r="108" spans="1:9" x14ac:dyDescent="0.2">
      <c r="A108" t="s">
        <v>64</v>
      </c>
      <c r="B108">
        <v>2022</v>
      </c>
      <c r="C108" t="s">
        <v>58</v>
      </c>
      <c r="D108" t="s">
        <v>59</v>
      </c>
      <c r="E108" t="s">
        <v>60</v>
      </c>
      <c r="F108" t="s">
        <v>2</v>
      </c>
      <c r="G108">
        <v>106576</v>
      </c>
      <c r="H108">
        <v>491935.62341729441</v>
      </c>
      <c r="I108">
        <v>598511.62341729435</v>
      </c>
    </row>
    <row r="109" spans="1:9" x14ac:dyDescent="0.2">
      <c r="A109" t="s">
        <v>64</v>
      </c>
      <c r="B109">
        <v>2023</v>
      </c>
      <c r="C109" t="s">
        <v>58</v>
      </c>
      <c r="D109" t="s">
        <v>59</v>
      </c>
      <c r="E109" t="s">
        <v>60</v>
      </c>
      <c r="F109" t="s">
        <v>2</v>
      </c>
      <c r="G109">
        <v>155889</v>
      </c>
      <c r="H109" t="s">
        <v>125</v>
      </c>
      <c r="I109">
        <v>155889</v>
      </c>
    </row>
    <row r="110" spans="1:9" x14ac:dyDescent="0.2">
      <c r="A110" t="s">
        <v>104</v>
      </c>
      <c r="B110">
        <v>2015</v>
      </c>
      <c r="C110" t="s">
        <v>58</v>
      </c>
      <c r="D110" t="s">
        <v>59</v>
      </c>
      <c r="E110" t="s">
        <v>60</v>
      </c>
      <c r="F110" t="s">
        <v>42</v>
      </c>
      <c r="G110">
        <v>162565</v>
      </c>
      <c r="H110">
        <v>5525848.700027084</v>
      </c>
      <c r="I110">
        <v>5688413.700027084</v>
      </c>
    </row>
    <row r="111" spans="1:9" x14ac:dyDescent="0.2">
      <c r="A111" t="s">
        <v>104</v>
      </c>
      <c r="B111">
        <v>2016</v>
      </c>
      <c r="C111" t="s">
        <v>58</v>
      </c>
      <c r="D111" t="s">
        <v>59</v>
      </c>
      <c r="E111" t="s">
        <v>60</v>
      </c>
      <c r="F111" t="s">
        <v>42</v>
      </c>
      <c r="G111">
        <v>156302</v>
      </c>
      <c r="H111">
        <v>412205.29568584787</v>
      </c>
      <c r="I111">
        <v>568507.29568584787</v>
      </c>
    </row>
    <row r="112" spans="1:9" x14ac:dyDescent="0.2">
      <c r="A112" t="s">
        <v>104</v>
      </c>
      <c r="B112">
        <v>2017</v>
      </c>
      <c r="C112" t="s">
        <v>58</v>
      </c>
      <c r="D112" t="s">
        <v>59</v>
      </c>
      <c r="E112" t="s">
        <v>60</v>
      </c>
      <c r="F112" t="s">
        <v>42</v>
      </c>
      <c r="G112">
        <v>184543</v>
      </c>
      <c r="H112">
        <v>572993.52289731626</v>
      </c>
      <c r="I112">
        <v>757536.52289731626</v>
      </c>
    </row>
    <row r="113" spans="1:9" x14ac:dyDescent="0.2">
      <c r="A113" t="s">
        <v>104</v>
      </c>
      <c r="B113">
        <v>2018</v>
      </c>
      <c r="C113" t="s">
        <v>58</v>
      </c>
      <c r="D113" t="s">
        <v>59</v>
      </c>
      <c r="E113" t="s">
        <v>60</v>
      </c>
      <c r="F113" t="s">
        <v>42</v>
      </c>
      <c r="G113">
        <v>216894</v>
      </c>
      <c r="H113">
        <v>593939.24118627456</v>
      </c>
      <c r="I113">
        <v>810833.24118627456</v>
      </c>
    </row>
    <row r="114" spans="1:9" x14ac:dyDescent="0.2">
      <c r="A114" t="s">
        <v>104</v>
      </c>
      <c r="B114">
        <v>2019</v>
      </c>
      <c r="C114" t="s">
        <v>58</v>
      </c>
      <c r="D114" t="s">
        <v>59</v>
      </c>
      <c r="E114" t="s">
        <v>60</v>
      </c>
      <c r="F114" t="s">
        <v>42</v>
      </c>
      <c r="G114">
        <v>170907</v>
      </c>
      <c r="H114">
        <v>591425.25098985992</v>
      </c>
      <c r="I114">
        <v>762332.25098985992</v>
      </c>
    </row>
    <row r="115" spans="1:9" x14ac:dyDescent="0.2">
      <c r="A115" t="s">
        <v>104</v>
      </c>
      <c r="B115">
        <v>2020</v>
      </c>
      <c r="C115" t="s">
        <v>58</v>
      </c>
      <c r="D115" t="s">
        <v>59</v>
      </c>
      <c r="E115" t="s">
        <v>60</v>
      </c>
      <c r="F115" t="s">
        <v>42</v>
      </c>
      <c r="G115">
        <v>196577</v>
      </c>
      <c r="H115">
        <v>807982.22245996783</v>
      </c>
      <c r="I115">
        <v>1004559.2224599678</v>
      </c>
    </row>
    <row r="116" spans="1:9" x14ac:dyDescent="0.2">
      <c r="A116" t="s">
        <v>104</v>
      </c>
      <c r="B116">
        <v>2021</v>
      </c>
      <c r="C116" t="s">
        <v>58</v>
      </c>
      <c r="D116" t="s">
        <v>59</v>
      </c>
      <c r="E116" t="s">
        <v>60</v>
      </c>
      <c r="F116" t="s">
        <v>42</v>
      </c>
      <c r="G116">
        <v>154276</v>
      </c>
      <c r="H116">
        <v>705075.07888193778</v>
      </c>
      <c r="I116">
        <v>859351.07888193778</v>
      </c>
    </row>
    <row r="117" spans="1:9" x14ac:dyDescent="0.2">
      <c r="A117" t="s">
        <v>104</v>
      </c>
      <c r="B117">
        <v>2022</v>
      </c>
      <c r="C117" t="s">
        <v>58</v>
      </c>
      <c r="D117" t="s">
        <v>59</v>
      </c>
      <c r="E117" t="s">
        <v>60</v>
      </c>
      <c r="F117" t="s">
        <v>42</v>
      </c>
      <c r="G117">
        <v>156920</v>
      </c>
      <c r="H117">
        <v>724314.46129186521</v>
      </c>
      <c r="I117">
        <v>881234.46129186521</v>
      </c>
    </row>
    <row r="118" spans="1:9" x14ac:dyDescent="0.2">
      <c r="A118" t="s">
        <v>104</v>
      </c>
      <c r="B118">
        <v>2023</v>
      </c>
      <c r="C118" t="s">
        <v>58</v>
      </c>
      <c r="D118" t="s">
        <v>59</v>
      </c>
      <c r="E118" t="s">
        <v>60</v>
      </c>
      <c r="F118" t="s">
        <v>42</v>
      </c>
      <c r="G118">
        <v>260283</v>
      </c>
      <c r="H118" t="s">
        <v>125</v>
      </c>
      <c r="I118">
        <v>260283</v>
      </c>
    </row>
    <row r="119" spans="1:9" x14ac:dyDescent="0.2">
      <c r="A119" t="s">
        <v>103</v>
      </c>
      <c r="B119">
        <v>2015</v>
      </c>
      <c r="C119" t="s">
        <v>58</v>
      </c>
      <c r="D119" t="s">
        <v>59</v>
      </c>
      <c r="E119" t="s">
        <v>60</v>
      </c>
      <c r="F119" t="s">
        <v>41</v>
      </c>
      <c r="G119">
        <v>83804</v>
      </c>
      <c r="H119">
        <v>2848634.2352724741</v>
      </c>
      <c r="I119">
        <v>2932438.2352724741</v>
      </c>
    </row>
    <row r="120" spans="1:9" x14ac:dyDescent="0.2">
      <c r="A120" t="s">
        <v>103</v>
      </c>
      <c r="B120">
        <v>2016</v>
      </c>
      <c r="C120" t="s">
        <v>58</v>
      </c>
      <c r="D120" t="s">
        <v>59</v>
      </c>
      <c r="E120" t="s">
        <v>60</v>
      </c>
      <c r="F120" t="s">
        <v>41</v>
      </c>
      <c r="G120">
        <v>84272</v>
      </c>
      <c r="H120">
        <v>222245.17074661725</v>
      </c>
      <c r="I120">
        <v>306517.17074661725</v>
      </c>
    </row>
    <row r="121" spans="1:9" x14ac:dyDescent="0.2">
      <c r="A121" t="s">
        <v>103</v>
      </c>
      <c r="B121">
        <v>2017</v>
      </c>
      <c r="C121" t="s">
        <v>58</v>
      </c>
      <c r="D121" t="s">
        <v>59</v>
      </c>
      <c r="E121" t="s">
        <v>60</v>
      </c>
      <c r="F121" t="s">
        <v>41</v>
      </c>
      <c r="G121">
        <v>94972</v>
      </c>
      <c r="H121">
        <v>294881.63114614977</v>
      </c>
      <c r="I121">
        <v>389853.63114614977</v>
      </c>
    </row>
    <row r="122" spans="1:9" x14ac:dyDescent="0.2">
      <c r="A122" t="s">
        <v>103</v>
      </c>
      <c r="B122">
        <v>2018</v>
      </c>
      <c r="C122" t="s">
        <v>58</v>
      </c>
      <c r="D122" t="s">
        <v>59</v>
      </c>
      <c r="E122" t="s">
        <v>60</v>
      </c>
      <c r="F122" t="s">
        <v>41</v>
      </c>
      <c r="G122">
        <v>133593</v>
      </c>
      <c r="H122">
        <v>365829.04574491677</v>
      </c>
      <c r="I122">
        <v>499422.04574491677</v>
      </c>
    </row>
    <row r="123" spans="1:9" x14ac:dyDescent="0.2">
      <c r="A123" t="s">
        <v>103</v>
      </c>
      <c r="B123">
        <v>2019</v>
      </c>
      <c r="C123" t="s">
        <v>58</v>
      </c>
      <c r="D123" t="s">
        <v>59</v>
      </c>
      <c r="E123" t="s">
        <v>60</v>
      </c>
      <c r="F123" t="s">
        <v>41</v>
      </c>
      <c r="G123">
        <v>110107</v>
      </c>
      <c r="H123">
        <v>381026.28979936749</v>
      </c>
      <c r="I123">
        <v>491133.28979936749</v>
      </c>
    </row>
    <row r="124" spans="1:9" x14ac:dyDescent="0.2">
      <c r="A124" t="s">
        <v>103</v>
      </c>
      <c r="B124">
        <v>2020</v>
      </c>
      <c r="C124" t="s">
        <v>58</v>
      </c>
      <c r="D124" t="s">
        <v>59</v>
      </c>
      <c r="E124" t="s">
        <v>60</v>
      </c>
      <c r="F124" t="s">
        <v>41</v>
      </c>
      <c r="G124">
        <v>119235</v>
      </c>
      <c r="H124">
        <v>490086.63421974221</v>
      </c>
      <c r="I124">
        <v>609321.63421974215</v>
      </c>
    </row>
    <row r="125" spans="1:9" x14ac:dyDescent="0.2">
      <c r="A125" t="s">
        <v>103</v>
      </c>
      <c r="B125">
        <v>2021</v>
      </c>
      <c r="C125" t="s">
        <v>58</v>
      </c>
      <c r="D125" t="s">
        <v>59</v>
      </c>
      <c r="E125" t="s">
        <v>60</v>
      </c>
      <c r="F125" t="s">
        <v>41</v>
      </c>
      <c r="G125">
        <v>104267</v>
      </c>
      <c r="H125">
        <v>476523.0058452579</v>
      </c>
      <c r="I125">
        <v>580790.0058452579</v>
      </c>
    </row>
    <row r="126" spans="1:9" x14ac:dyDescent="0.2">
      <c r="A126" t="s">
        <v>103</v>
      </c>
      <c r="B126">
        <v>2022</v>
      </c>
      <c r="C126" t="s">
        <v>58</v>
      </c>
      <c r="D126" t="s">
        <v>59</v>
      </c>
      <c r="E126" t="s">
        <v>60</v>
      </c>
      <c r="F126" t="s">
        <v>41</v>
      </c>
      <c r="G126">
        <v>106485</v>
      </c>
      <c r="H126">
        <v>491515.58380489593</v>
      </c>
      <c r="I126">
        <v>598000.58380489587</v>
      </c>
    </row>
    <row r="127" spans="1:9" x14ac:dyDescent="0.2">
      <c r="A127" t="s">
        <v>103</v>
      </c>
      <c r="B127">
        <v>2023</v>
      </c>
      <c r="C127" t="s">
        <v>58</v>
      </c>
      <c r="D127" t="s">
        <v>59</v>
      </c>
      <c r="E127" t="s">
        <v>60</v>
      </c>
      <c r="F127" t="s">
        <v>41</v>
      </c>
      <c r="G127">
        <v>181774</v>
      </c>
      <c r="H127" t="s">
        <v>125</v>
      </c>
      <c r="I127">
        <v>181774</v>
      </c>
    </row>
    <row r="128" spans="1:9" x14ac:dyDescent="0.2">
      <c r="A128" t="s">
        <v>88</v>
      </c>
      <c r="B128">
        <v>2015</v>
      </c>
      <c r="C128" t="s">
        <v>58</v>
      </c>
      <c r="D128" t="s">
        <v>59</v>
      </c>
      <c r="E128" t="s">
        <v>60</v>
      </c>
      <c r="F128" t="s">
        <v>26</v>
      </c>
      <c r="G128">
        <v>148549</v>
      </c>
      <c r="H128">
        <v>5049422.0683438824</v>
      </c>
      <c r="I128">
        <v>5197971.0683438824</v>
      </c>
    </row>
    <row r="129" spans="1:9" x14ac:dyDescent="0.2">
      <c r="A129" t="s">
        <v>88</v>
      </c>
      <c r="B129">
        <v>2016</v>
      </c>
      <c r="C129" t="s">
        <v>58</v>
      </c>
      <c r="D129" t="s">
        <v>59</v>
      </c>
      <c r="E129" t="s">
        <v>60</v>
      </c>
      <c r="F129" t="s">
        <v>26</v>
      </c>
      <c r="G129">
        <v>114435</v>
      </c>
      <c r="H129">
        <v>301792.1268557664</v>
      </c>
      <c r="I129">
        <v>416227.1268557664</v>
      </c>
    </row>
    <row r="130" spans="1:9" x14ac:dyDescent="0.2">
      <c r="A130" t="s">
        <v>88</v>
      </c>
      <c r="B130">
        <v>2017</v>
      </c>
      <c r="C130" t="s">
        <v>58</v>
      </c>
      <c r="D130" t="s">
        <v>59</v>
      </c>
      <c r="E130" t="s">
        <v>60</v>
      </c>
      <c r="F130" t="s">
        <v>26</v>
      </c>
      <c r="G130">
        <v>107311</v>
      </c>
      <c r="H130">
        <v>333193.39089336304</v>
      </c>
      <c r="I130">
        <v>440504.39089336304</v>
      </c>
    </row>
    <row r="131" spans="1:9" x14ac:dyDescent="0.2">
      <c r="A131" t="s">
        <v>88</v>
      </c>
      <c r="B131">
        <v>2018</v>
      </c>
      <c r="C131" t="s">
        <v>58</v>
      </c>
      <c r="D131" t="s">
        <v>59</v>
      </c>
      <c r="E131" t="s">
        <v>60</v>
      </c>
      <c r="F131" t="s">
        <v>26</v>
      </c>
      <c r="G131">
        <v>132017</v>
      </c>
      <c r="H131">
        <v>361513.35123926157</v>
      </c>
      <c r="I131">
        <v>493530.35123926157</v>
      </c>
    </row>
    <row r="132" spans="1:9" x14ac:dyDescent="0.2">
      <c r="A132" t="s">
        <v>88</v>
      </c>
      <c r="B132">
        <v>2019</v>
      </c>
      <c r="C132" t="s">
        <v>58</v>
      </c>
      <c r="D132" t="s">
        <v>59</v>
      </c>
      <c r="E132" t="s">
        <v>60</v>
      </c>
      <c r="F132" t="s">
        <v>26</v>
      </c>
      <c r="G132">
        <v>82530</v>
      </c>
      <c r="H132">
        <v>285595.82676071278</v>
      </c>
      <c r="I132">
        <v>368125.82676071278</v>
      </c>
    </row>
    <row r="133" spans="1:9" x14ac:dyDescent="0.2">
      <c r="A133" t="s">
        <v>88</v>
      </c>
      <c r="B133">
        <v>2020</v>
      </c>
      <c r="C133" t="s">
        <v>58</v>
      </c>
      <c r="D133" t="s">
        <v>59</v>
      </c>
      <c r="E133" t="s">
        <v>60</v>
      </c>
      <c r="F133" t="s">
        <v>26</v>
      </c>
      <c r="G133">
        <v>86542</v>
      </c>
      <c r="H133">
        <v>355709.96350605885</v>
      </c>
      <c r="I133">
        <v>442251.96350605885</v>
      </c>
    </row>
    <row r="134" spans="1:9" x14ac:dyDescent="0.2">
      <c r="A134" t="s">
        <v>88</v>
      </c>
      <c r="B134">
        <v>2021</v>
      </c>
      <c r="C134" t="s">
        <v>58</v>
      </c>
      <c r="D134" t="s">
        <v>59</v>
      </c>
      <c r="E134" t="s">
        <v>60</v>
      </c>
      <c r="F134" t="s">
        <v>26</v>
      </c>
      <c r="G134">
        <v>94633</v>
      </c>
      <c r="H134">
        <v>432493.51772041281</v>
      </c>
      <c r="I134">
        <v>527126.51772041281</v>
      </c>
    </row>
    <row r="135" spans="1:9" x14ac:dyDescent="0.2">
      <c r="A135" t="s">
        <v>88</v>
      </c>
      <c r="B135">
        <v>2022</v>
      </c>
      <c r="C135" t="s">
        <v>58</v>
      </c>
      <c r="D135" t="s">
        <v>59</v>
      </c>
      <c r="E135" t="s">
        <v>60</v>
      </c>
      <c r="F135" t="s">
        <v>26</v>
      </c>
      <c r="G135">
        <v>105413</v>
      </c>
      <c r="H135">
        <v>486567.42485444422</v>
      </c>
      <c r="I135">
        <v>591980.42485444422</v>
      </c>
    </row>
    <row r="136" spans="1:9" x14ac:dyDescent="0.2">
      <c r="A136" t="s">
        <v>88</v>
      </c>
      <c r="B136">
        <v>2023</v>
      </c>
      <c r="C136" t="s">
        <v>58</v>
      </c>
      <c r="D136" t="s">
        <v>59</v>
      </c>
      <c r="E136" t="s">
        <v>60</v>
      </c>
      <c r="F136" t="s">
        <v>26</v>
      </c>
      <c r="G136">
        <v>161678</v>
      </c>
      <c r="H136" t="s">
        <v>125</v>
      </c>
      <c r="I136">
        <v>161678</v>
      </c>
    </row>
    <row r="137" spans="1:9" x14ac:dyDescent="0.2">
      <c r="A137" t="s">
        <v>65</v>
      </c>
      <c r="B137">
        <v>2015</v>
      </c>
      <c r="C137" t="s">
        <v>58</v>
      </c>
      <c r="D137" t="s">
        <v>59</v>
      </c>
      <c r="E137" t="s">
        <v>60</v>
      </c>
      <c r="F137" t="s">
        <v>3</v>
      </c>
      <c r="G137">
        <v>3876399</v>
      </c>
      <c r="H137">
        <v>131765105.49587111</v>
      </c>
      <c r="I137">
        <v>135641504.49587113</v>
      </c>
    </row>
    <row r="138" spans="1:9" x14ac:dyDescent="0.2">
      <c r="A138" t="s">
        <v>65</v>
      </c>
      <c r="B138">
        <v>2016</v>
      </c>
      <c r="C138" t="s">
        <v>58</v>
      </c>
      <c r="D138" t="s">
        <v>59</v>
      </c>
      <c r="E138" t="s">
        <v>60</v>
      </c>
      <c r="F138" t="s">
        <v>3</v>
      </c>
      <c r="G138">
        <v>3539896</v>
      </c>
      <c r="H138">
        <v>9335541.9468538482</v>
      </c>
      <c r="I138">
        <v>12875437.946853848</v>
      </c>
    </row>
    <row r="139" spans="1:9" x14ac:dyDescent="0.2">
      <c r="A139" t="s">
        <v>65</v>
      </c>
      <c r="B139">
        <v>2017</v>
      </c>
      <c r="C139" t="s">
        <v>58</v>
      </c>
      <c r="D139" t="s">
        <v>59</v>
      </c>
      <c r="E139" t="s">
        <v>60</v>
      </c>
      <c r="F139" t="s">
        <v>3</v>
      </c>
      <c r="G139">
        <v>3813656</v>
      </c>
      <c r="H139">
        <v>11841143.725627562</v>
      </c>
      <c r="I139">
        <v>15654799.725627562</v>
      </c>
    </row>
    <row r="140" spans="1:9" x14ac:dyDescent="0.2">
      <c r="A140" t="s">
        <v>65</v>
      </c>
      <c r="B140">
        <v>2018</v>
      </c>
      <c r="C140" t="s">
        <v>58</v>
      </c>
      <c r="D140" t="s">
        <v>59</v>
      </c>
      <c r="E140" t="s">
        <v>60</v>
      </c>
      <c r="F140" t="s">
        <v>3</v>
      </c>
      <c r="G140">
        <v>4017543</v>
      </c>
      <c r="H140">
        <v>11001578.839678502</v>
      </c>
      <c r="I140">
        <v>15019121.839678502</v>
      </c>
    </row>
    <row r="141" spans="1:9" x14ac:dyDescent="0.2">
      <c r="A141" t="s">
        <v>65</v>
      </c>
      <c r="B141">
        <v>2019</v>
      </c>
      <c r="C141" t="s">
        <v>58</v>
      </c>
      <c r="D141" t="s">
        <v>59</v>
      </c>
      <c r="E141" t="s">
        <v>60</v>
      </c>
      <c r="F141" t="s">
        <v>3</v>
      </c>
      <c r="G141">
        <v>3731294</v>
      </c>
      <c r="H141">
        <v>12912177.327242058</v>
      </c>
      <c r="I141">
        <v>16643471.327242058</v>
      </c>
    </row>
    <row r="142" spans="1:9" x14ac:dyDescent="0.2">
      <c r="A142" t="s">
        <v>65</v>
      </c>
      <c r="B142">
        <v>2020</v>
      </c>
      <c r="C142" t="s">
        <v>58</v>
      </c>
      <c r="D142" t="s">
        <v>59</v>
      </c>
      <c r="E142" t="s">
        <v>60</v>
      </c>
      <c r="F142" t="s">
        <v>3</v>
      </c>
      <c r="G142">
        <v>3449080</v>
      </c>
      <c r="H142">
        <v>14176609.287160886</v>
      </c>
      <c r="I142">
        <v>17625689.287160888</v>
      </c>
    </row>
    <row r="143" spans="1:9" x14ac:dyDescent="0.2">
      <c r="A143" t="s">
        <v>65</v>
      </c>
      <c r="B143">
        <v>2021</v>
      </c>
      <c r="C143" t="s">
        <v>58</v>
      </c>
      <c r="D143" t="s">
        <v>59</v>
      </c>
      <c r="E143" t="s">
        <v>60</v>
      </c>
      <c r="F143" t="s">
        <v>3</v>
      </c>
      <c r="G143">
        <v>2904889</v>
      </c>
      <c r="H143">
        <v>13275978.381720249</v>
      </c>
      <c r="I143">
        <v>16180867.381720249</v>
      </c>
    </row>
    <row r="144" spans="1:9" x14ac:dyDescent="0.2">
      <c r="A144" t="s">
        <v>65</v>
      </c>
      <c r="B144">
        <v>2022</v>
      </c>
      <c r="C144" t="s">
        <v>58</v>
      </c>
      <c r="D144" t="s">
        <v>59</v>
      </c>
      <c r="E144" t="s">
        <v>60</v>
      </c>
      <c r="F144" t="s">
        <v>3</v>
      </c>
      <c r="G144">
        <v>2690548</v>
      </c>
      <c r="H144">
        <v>12419085.044608116</v>
      </c>
      <c r="I144">
        <v>15109633.044608116</v>
      </c>
    </row>
    <row r="145" spans="1:9" x14ac:dyDescent="0.2">
      <c r="A145" t="s">
        <v>65</v>
      </c>
      <c r="B145">
        <v>2023</v>
      </c>
      <c r="C145" t="s">
        <v>58</v>
      </c>
      <c r="D145" t="s">
        <v>59</v>
      </c>
      <c r="E145" t="s">
        <v>60</v>
      </c>
      <c r="F145" t="s">
        <v>3</v>
      </c>
      <c r="G145">
        <v>4237258</v>
      </c>
      <c r="H145" t="s">
        <v>125</v>
      </c>
      <c r="I145">
        <v>4237258</v>
      </c>
    </row>
    <row r="146" spans="1:9" x14ac:dyDescent="0.2">
      <c r="A146" t="s">
        <v>85</v>
      </c>
      <c r="B146">
        <v>2015</v>
      </c>
      <c r="C146" t="s">
        <v>58</v>
      </c>
      <c r="D146" t="s">
        <v>59</v>
      </c>
      <c r="E146" t="s">
        <v>60</v>
      </c>
      <c r="F146" t="s">
        <v>23</v>
      </c>
      <c r="G146">
        <v>266991</v>
      </c>
      <c r="H146">
        <v>9075458.2491245419</v>
      </c>
      <c r="I146">
        <v>9342449.2491245419</v>
      </c>
    </row>
    <row r="147" spans="1:9" x14ac:dyDescent="0.2">
      <c r="A147" t="s">
        <v>85</v>
      </c>
      <c r="B147">
        <v>2016</v>
      </c>
      <c r="C147" t="s">
        <v>58</v>
      </c>
      <c r="D147" t="s">
        <v>59</v>
      </c>
      <c r="E147" t="s">
        <v>60</v>
      </c>
      <c r="F147" t="s">
        <v>23</v>
      </c>
      <c r="G147">
        <v>251851</v>
      </c>
      <c r="H147">
        <v>664190.57928738254</v>
      </c>
      <c r="I147">
        <v>916041.57928738254</v>
      </c>
    </row>
    <row r="148" spans="1:9" x14ac:dyDescent="0.2">
      <c r="A148" t="s">
        <v>85</v>
      </c>
      <c r="B148">
        <v>2017</v>
      </c>
      <c r="C148" t="s">
        <v>58</v>
      </c>
      <c r="D148" t="s">
        <v>59</v>
      </c>
      <c r="E148" t="s">
        <v>60</v>
      </c>
      <c r="F148" t="s">
        <v>23</v>
      </c>
      <c r="G148">
        <v>281796</v>
      </c>
      <c r="H148">
        <v>874957.50463779236</v>
      </c>
      <c r="I148">
        <v>1156753.5046377922</v>
      </c>
    </row>
    <row r="149" spans="1:9" x14ac:dyDescent="0.2">
      <c r="A149" t="s">
        <v>85</v>
      </c>
      <c r="B149">
        <v>2018</v>
      </c>
      <c r="C149" t="s">
        <v>58</v>
      </c>
      <c r="D149" t="s">
        <v>59</v>
      </c>
      <c r="E149" t="s">
        <v>60</v>
      </c>
      <c r="F149" t="s">
        <v>23</v>
      </c>
      <c r="G149">
        <v>310877</v>
      </c>
      <c r="H149">
        <v>851300.86347370362</v>
      </c>
      <c r="I149">
        <v>1162177.8634737036</v>
      </c>
    </row>
    <row r="150" spans="1:9" x14ac:dyDescent="0.2">
      <c r="A150" t="s">
        <v>85</v>
      </c>
      <c r="B150">
        <v>2019</v>
      </c>
      <c r="C150" t="s">
        <v>58</v>
      </c>
      <c r="D150" t="s">
        <v>59</v>
      </c>
      <c r="E150" t="s">
        <v>60</v>
      </c>
      <c r="F150" t="s">
        <v>23</v>
      </c>
      <c r="G150">
        <v>221982</v>
      </c>
      <c r="H150">
        <v>768170.75991756388</v>
      </c>
      <c r="I150">
        <v>990152.75991756388</v>
      </c>
    </row>
    <row r="151" spans="1:9" x14ac:dyDescent="0.2">
      <c r="A151" t="s">
        <v>85</v>
      </c>
      <c r="B151">
        <v>2020</v>
      </c>
      <c r="C151" t="s">
        <v>58</v>
      </c>
      <c r="D151" t="s">
        <v>59</v>
      </c>
      <c r="E151" t="s">
        <v>60</v>
      </c>
      <c r="F151" t="s">
        <v>23</v>
      </c>
      <c r="G151">
        <v>264334</v>
      </c>
      <c r="H151">
        <v>1086480.9860346487</v>
      </c>
      <c r="I151">
        <v>1350814.9860346487</v>
      </c>
    </row>
    <row r="152" spans="1:9" x14ac:dyDescent="0.2">
      <c r="A152" t="s">
        <v>85</v>
      </c>
      <c r="B152">
        <v>2021</v>
      </c>
      <c r="C152" t="s">
        <v>58</v>
      </c>
      <c r="D152" t="s">
        <v>59</v>
      </c>
      <c r="E152" t="s">
        <v>60</v>
      </c>
      <c r="F152" t="s">
        <v>23</v>
      </c>
      <c r="G152">
        <v>209084</v>
      </c>
      <c r="H152">
        <v>955559.63204225583</v>
      </c>
      <c r="I152">
        <v>1164643.6320422557</v>
      </c>
    </row>
    <row r="153" spans="1:9" x14ac:dyDescent="0.2">
      <c r="A153" t="s">
        <v>85</v>
      </c>
      <c r="B153">
        <v>2022</v>
      </c>
      <c r="C153" t="s">
        <v>58</v>
      </c>
      <c r="D153" t="s">
        <v>59</v>
      </c>
      <c r="E153" t="s">
        <v>60</v>
      </c>
      <c r="F153" t="s">
        <v>23</v>
      </c>
      <c r="G153">
        <v>294258</v>
      </c>
      <c r="H153">
        <v>1358241.9369794908</v>
      </c>
      <c r="I153">
        <v>1652499.9369794908</v>
      </c>
    </row>
    <row r="154" spans="1:9" x14ac:dyDescent="0.2">
      <c r="A154" t="s">
        <v>85</v>
      </c>
      <c r="B154">
        <v>2023</v>
      </c>
      <c r="C154" t="s">
        <v>58</v>
      </c>
      <c r="D154" t="s">
        <v>59</v>
      </c>
      <c r="E154" t="s">
        <v>60</v>
      </c>
      <c r="F154" t="s">
        <v>23</v>
      </c>
      <c r="G154">
        <v>437721</v>
      </c>
      <c r="H154" t="s">
        <v>125</v>
      </c>
      <c r="I154">
        <v>437721</v>
      </c>
    </row>
    <row r="155" spans="1:9" x14ac:dyDescent="0.2">
      <c r="A155" t="s">
        <v>66</v>
      </c>
      <c r="B155">
        <v>2015</v>
      </c>
      <c r="C155" t="s">
        <v>58</v>
      </c>
      <c r="D155" t="s">
        <v>59</v>
      </c>
      <c r="E155" t="s">
        <v>60</v>
      </c>
      <c r="F155" t="s">
        <v>4</v>
      </c>
      <c r="G155">
        <v>67346</v>
      </c>
      <c r="H155">
        <v>2289200.0526067973</v>
      </c>
      <c r="I155">
        <v>2356546.0526067973</v>
      </c>
    </row>
    <row r="156" spans="1:9" x14ac:dyDescent="0.2">
      <c r="A156" t="s">
        <v>66</v>
      </c>
      <c r="B156">
        <v>2016</v>
      </c>
      <c r="C156" t="s">
        <v>58</v>
      </c>
      <c r="D156" t="s">
        <v>59</v>
      </c>
      <c r="E156" t="s">
        <v>60</v>
      </c>
      <c r="F156" t="s">
        <v>4</v>
      </c>
      <c r="G156">
        <v>46281</v>
      </c>
      <c r="H156">
        <v>122053.92950593545</v>
      </c>
      <c r="I156">
        <v>168334.92950593546</v>
      </c>
    </row>
    <row r="157" spans="1:9" x14ac:dyDescent="0.2">
      <c r="A157" t="s">
        <v>66</v>
      </c>
      <c r="B157">
        <v>2017</v>
      </c>
      <c r="C157" t="s">
        <v>58</v>
      </c>
      <c r="D157" t="s">
        <v>59</v>
      </c>
      <c r="E157" t="s">
        <v>60</v>
      </c>
      <c r="F157" t="s">
        <v>4</v>
      </c>
      <c r="G157">
        <v>65343</v>
      </c>
      <c r="H157">
        <v>202885.59179529612</v>
      </c>
      <c r="I157">
        <v>268228.59179529612</v>
      </c>
    </row>
    <row r="158" spans="1:9" x14ac:dyDescent="0.2">
      <c r="A158" t="s">
        <v>66</v>
      </c>
      <c r="B158">
        <v>2018</v>
      </c>
      <c r="C158" t="s">
        <v>58</v>
      </c>
      <c r="D158" t="s">
        <v>59</v>
      </c>
      <c r="E158" t="s">
        <v>60</v>
      </c>
      <c r="F158" t="s">
        <v>4</v>
      </c>
      <c r="G158">
        <v>60119</v>
      </c>
      <c r="H158">
        <v>164628.95811261557</v>
      </c>
      <c r="I158">
        <v>224747.95811261557</v>
      </c>
    </row>
    <row r="159" spans="1:9" x14ac:dyDescent="0.2">
      <c r="A159" t="s">
        <v>66</v>
      </c>
      <c r="B159">
        <v>2019</v>
      </c>
      <c r="C159" t="s">
        <v>58</v>
      </c>
      <c r="D159" t="s">
        <v>59</v>
      </c>
      <c r="E159" t="s">
        <v>60</v>
      </c>
      <c r="F159" t="s">
        <v>4</v>
      </c>
      <c r="G159">
        <v>38117</v>
      </c>
      <c r="H159">
        <v>131904.23032398024</v>
      </c>
      <c r="I159">
        <v>170021.23032398024</v>
      </c>
    </row>
    <row r="160" spans="1:9" x14ac:dyDescent="0.2">
      <c r="A160" t="s">
        <v>66</v>
      </c>
      <c r="B160">
        <v>2020</v>
      </c>
      <c r="C160" t="s">
        <v>58</v>
      </c>
      <c r="D160" t="s">
        <v>59</v>
      </c>
      <c r="E160" t="s">
        <v>60</v>
      </c>
      <c r="F160" t="s">
        <v>4</v>
      </c>
      <c r="G160">
        <v>42278</v>
      </c>
      <c r="H160">
        <v>173773.49537922809</v>
      </c>
      <c r="I160">
        <v>216051.49537922809</v>
      </c>
    </row>
    <row r="161" spans="1:9" x14ac:dyDescent="0.2">
      <c r="A161" t="s">
        <v>66</v>
      </c>
      <c r="B161">
        <v>2021</v>
      </c>
      <c r="C161" t="s">
        <v>58</v>
      </c>
      <c r="D161" t="s">
        <v>59</v>
      </c>
      <c r="E161" t="s">
        <v>60</v>
      </c>
      <c r="F161" t="s">
        <v>4</v>
      </c>
      <c r="G161">
        <v>44989</v>
      </c>
      <c r="H161">
        <v>205609.57455352417</v>
      </c>
      <c r="I161">
        <v>250598.57455352417</v>
      </c>
    </row>
    <row r="162" spans="1:9" x14ac:dyDescent="0.2">
      <c r="A162" t="s">
        <v>66</v>
      </c>
      <c r="B162">
        <v>2022</v>
      </c>
      <c r="C162" t="s">
        <v>58</v>
      </c>
      <c r="D162" t="s">
        <v>59</v>
      </c>
      <c r="E162" t="s">
        <v>60</v>
      </c>
      <c r="F162" t="s">
        <v>4</v>
      </c>
      <c r="G162">
        <v>49448</v>
      </c>
      <c r="H162">
        <v>228243.06322941725</v>
      </c>
      <c r="I162">
        <v>277691.06322941725</v>
      </c>
    </row>
    <row r="163" spans="1:9" x14ac:dyDescent="0.2">
      <c r="A163" t="s">
        <v>66</v>
      </c>
      <c r="B163">
        <v>2023</v>
      </c>
      <c r="C163" t="s">
        <v>58</v>
      </c>
      <c r="D163" t="s">
        <v>59</v>
      </c>
      <c r="E163" t="s">
        <v>60</v>
      </c>
      <c r="F163" t="s">
        <v>4</v>
      </c>
      <c r="G163">
        <v>63772</v>
      </c>
      <c r="H163" t="s">
        <v>125</v>
      </c>
      <c r="I163">
        <v>63772</v>
      </c>
    </row>
    <row r="164" spans="1:9" x14ac:dyDescent="0.2">
      <c r="A164" t="s">
        <v>67</v>
      </c>
      <c r="B164">
        <v>2015</v>
      </c>
      <c r="C164" t="s">
        <v>58</v>
      </c>
      <c r="D164" t="s">
        <v>59</v>
      </c>
      <c r="E164" t="s">
        <v>60</v>
      </c>
      <c r="F164" t="s">
        <v>5</v>
      </c>
      <c r="G164">
        <v>46109</v>
      </c>
      <c r="H164">
        <v>1567319.8887186591</v>
      </c>
      <c r="I164">
        <v>1613428.8887186591</v>
      </c>
    </row>
    <row r="165" spans="1:9" x14ac:dyDescent="0.2">
      <c r="A165" t="s">
        <v>67</v>
      </c>
      <c r="B165">
        <v>2016</v>
      </c>
      <c r="C165" t="s">
        <v>58</v>
      </c>
      <c r="D165" t="s">
        <v>59</v>
      </c>
      <c r="E165" t="s">
        <v>60</v>
      </c>
      <c r="F165" t="s">
        <v>5</v>
      </c>
      <c r="G165">
        <v>44648</v>
      </c>
      <c r="H165">
        <v>117747.3227583891</v>
      </c>
      <c r="I165">
        <v>162395.32275838911</v>
      </c>
    </row>
    <row r="166" spans="1:9" x14ac:dyDescent="0.2">
      <c r="A166" t="s">
        <v>67</v>
      </c>
      <c r="B166">
        <v>2017</v>
      </c>
      <c r="C166" t="s">
        <v>58</v>
      </c>
      <c r="D166" t="s">
        <v>59</v>
      </c>
      <c r="E166" t="s">
        <v>60</v>
      </c>
      <c r="F166" t="s">
        <v>5</v>
      </c>
      <c r="G166">
        <v>39307</v>
      </c>
      <c r="H166">
        <v>122045.57422673743</v>
      </c>
      <c r="I166">
        <v>161352.57422673743</v>
      </c>
    </row>
    <row r="167" spans="1:9" x14ac:dyDescent="0.2">
      <c r="A167" t="s">
        <v>67</v>
      </c>
      <c r="B167">
        <v>2018</v>
      </c>
      <c r="C167" t="s">
        <v>58</v>
      </c>
      <c r="D167" t="s">
        <v>59</v>
      </c>
      <c r="E167" t="s">
        <v>60</v>
      </c>
      <c r="F167" t="s">
        <v>5</v>
      </c>
      <c r="G167">
        <v>21575</v>
      </c>
      <c r="H167">
        <v>59080.652893090046</v>
      </c>
      <c r="I167">
        <v>80655.652893090039</v>
      </c>
    </row>
    <row r="168" spans="1:9" x14ac:dyDescent="0.2">
      <c r="A168" t="s">
        <v>67</v>
      </c>
      <c r="B168">
        <v>2019</v>
      </c>
      <c r="C168" t="s">
        <v>58</v>
      </c>
      <c r="D168" t="s">
        <v>59</v>
      </c>
      <c r="E168" t="s">
        <v>60</v>
      </c>
      <c r="F168" t="s">
        <v>5</v>
      </c>
      <c r="G168">
        <v>27354</v>
      </c>
      <c r="H168">
        <v>94658.769480340925</v>
      </c>
      <c r="I168">
        <v>122012.76948034092</v>
      </c>
    </row>
    <row r="169" spans="1:9" x14ac:dyDescent="0.2">
      <c r="A169" t="s">
        <v>67</v>
      </c>
      <c r="B169">
        <v>2020</v>
      </c>
      <c r="C169" t="s">
        <v>58</v>
      </c>
      <c r="D169" t="s">
        <v>59</v>
      </c>
      <c r="E169" t="s">
        <v>60</v>
      </c>
      <c r="F169" t="s">
        <v>5</v>
      </c>
      <c r="G169">
        <v>27830</v>
      </c>
      <c r="H169">
        <v>114388.4851791456</v>
      </c>
      <c r="I169">
        <v>142218.48517914559</v>
      </c>
    </row>
    <row r="170" spans="1:9" x14ac:dyDescent="0.2">
      <c r="A170" t="s">
        <v>67</v>
      </c>
      <c r="B170">
        <v>2021</v>
      </c>
      <c r="C170" t="s">
        <v>58</v>
      </c>
      <c r="D170" t="s">
        <v>59</v>
      </c>
      <c r="E170" t="s">
        <v>60</v>
      </c>
      <c r="F170" t="s">
        <v>5</v>
      </c>
      <c r="G170">
        <v>37495</v>
      </c>
      <c r="H170">
        <v>171360.35470635907</v>
      </c>
      <c r="I170">
        <v>208855.35470635907</v>
      </c>
    </row>
    <row r="171" spans="1:9" x14ac:dyDescent="0.2">
      <c r="A171" t="s">
        <v>67</v>
      </c>
      <c r="B171">
        <v>2022</v>
      </c>
      <c r="C171" t="s">
        <v>58</v>
      </c>
      <c r="D171" t="s">
        <v>59</v>
      </c>
      <c r="E171" t="s">
        <v>60</v>
      </c>
      <c r="F171" t="s">
        <v>5</v>
      </c>
      <c r="G171">
        <v>27796</v>
      </c>
      <c r="H171">
        <v>128301.33039809257</v>
      </c>
      <c r="I171">
        <v>156097.33039809257</v>
      </c>
    </row>
    <row r="172" spans="1:9" x14ac:dyDescent="0.2">
      <c r="A172" t="s">
        <v>67</v>
      </c>
      <c r="B172">
        <v>2023</v>
      </c>
      <c r="C172" t="s">
        <v>58</v>
      </c>
      <c r="D172" t="s">
        <v>59</v>
      </c>
      <c r="E172" t="s">
        <v>60</v>
      </c>
      <c r="F172" t="s">
        <v>5</v>
      </c>
      <c r="G172">
        <v>58446</v>
      </c>
      <c r="H172" t="s">
        <v>125</v>
      </c>
      <c r="I172">
        <v>58446</v>
      </c>
    </row>
    <row r="173" spans="1:9" x14ac:dyDescent="0.2">
      <c r="A173" t="s">
        <v>68</v>
      </c>
      <c r="B173">
        <v>2015</v>
      </c>
      <c r="C173" t="s">
        <v>58</v>
      </c>
      <c r="D173" t="s">
        <v>59</v>
      </c>
      <c r="E173" t="s">
        <v>60</v>
      </c>
      <c r="F173" t="s">
        <v>6</v>
      </c>
      <c r="G173">
        <v>3661</v>
      </c>
      <c r="H173">
        <v>124443.34322147543</v>
      </c>
      <c r="I173">
        <v>128104.34322147543</v>
      </c>
    </row>
    <row r="174" spans="1:9" x14ac:dyDescent="0.2">
      <c r="A174" t="s">
        <v>68</v>
      </c>
      <c r="B174">
        <v>2016</v>
      </c>
      <c r="C174" t="s">
        <v>58</v>
      </c>
      <c r="D174" t="s">
        <v>59</v>
      </c>
      <c r="E174" t="s">
        <v>60</v>
      </c>
      <c r="F174" t="s">
        <v>6</v>
      </c>
      <c r="G174">
        <v>16966</v>
      </c>
      <c r="H174">
        <v>44743.349711495015</v>
      </c>
      <c r="I174">
        <v>61709.349711495015</v>
      </c>
    </row>
    <row r="175" spans="1:9" x14ac:dyDescent="0.2">
      <c r="A175" t="s">
        <v>68</v>
      </c>
      <c r="B175">
        <v>2017</v>
      </c>
      <c r="C175" t="s">
        <v>58</v>
      </c>
      <c r="D175" t="s">
        <v>59</v>
      </c>
      <c r="E175" t="s">
        <v>60</v>
      </c>
      <c r="F175" t="s">
        <v>6</v>
      </c>
      <c r="G175">
        <v>28581</v>
      </c>
      <c r="H175">
        <v>88742.07029217144</v>
      </c>
      <c r="I175">
        <v>117323.07029217144</v>
      </c>
    </row>
    <row r="176" spans="1:9" x14ac:dyDescent="0.2">
      <c r="A176" t="s">
        <v>68</v>
      </c>
      <c r="B176">
        <v>2018</v>
      </c>
      <c r="C176" t="s">
        <v>58</v>
      </c>
      <c r="D176" t="s">
        <v>59</v>
      </c>
      <c r="E176" t="s">
        <v>60</v>
      </c>
      <c r="F176" t="s">
        <v>6</v>
      </c>
      <c r="G176">
        <v>45017</v>
      </c>
      <c r="H176">
        <v>123273.87027987183</v>
      </c>
      <c r="I176">
        <v>168290.87027987183</v>
      </c>
    </row>
    <row r="177" spans="1:9" x14ac:dyDescent="0.2">
      <c r="A177" t="s">
        <v>68</v>
      </c>
      <c r="B177">
        <v>2019</v>
      </c>
      <c r="C177" t="s">
        <v>58</v>
      </c>
      <c r="D177" t="s">
        <v>59</v>
      </c>
      <c r="E177" t="s">
        <v>60</v>
      </c>
      <c r="F177" t="s">
        <v>6</v>
      </c>
      <c r="G177">
        <v>10813</v>
      </c>
      <c r="H177">
        <v>37418.486305144645</v>
      </c>
      <c r="I177">
        <v>48231.486305144645</v>
      </c>
    </row>
    <row r="178" spans="1:9" x14ac:dyDescent="0.2">
      <c r="A178" t="s">
        <v>68</v>
      </c>
      <c r="B178">
        <v>2020</v>
      </c>
      <c r="C178" t="s">
        <v>58</v>
      </c>
      <c r="D178" t="s">
        <v>59</v>
      </c>
      <c r="E178" t="s">
        <v>60</v>
      </c>
      <c r="F178" t="s">
        <v>6</v>
      </c>
      <c r="G178">
        <v>40891</v>
      </c>
      <c r="H178">
        <v>168072.5672820856</v>
      </c>
      <c r="I178">
        <v>208963.5672820856</v>
      </c>
    </row>
    <row r="179" spans="1:9" x14ac:dyDescent="0.2">
      <c r="A179" t="s">
        <v>68</v>
      </c>
      <c r="B179">
        <v>2021</v>
      </c>
      <c r="C179" t="s">
        <v>58</v>
      </c>
      <c r="D179" t="s">
        <v>59</v>
      </c>
      <c r="E179" t="s">
        <v>60</v>
      </c>
      <c r="F179" t="s">
        <v>6</v>
      </c>
      <c r="G179">
        <v>27158</v>
      </c>
      <c r="H179">
        <v>124118.00275010802</v>
      </c>
      <c r="I179">
        <v>151276.00275010802</v>
      </c>
    </row>
    <row r="180" spans="1:9" x14ac:dyDescent="0.2">
      <c r="A180" t="s">
        <v>68</v>
      </c>
      <c r="B180">
        <v>2022</v>
      </c>
      <c r="C180" t="s">
        <v>58</v>
      </c>
      <c r="D180" t="s">
        <v>59</v>
      </c>
      <c r="E180" t="s">
        <v>60</v>
      </c>
      <c r="F180" t="s">
        <v>6</v>
      </c>
      <c r="G180">
        <v>30485</v>
      </c>
      <c r="H180">
        <v>140713.27015346999</v>
      </c>
      <c r="I180">
        <v>171198.27015346999</v>
      </c>
    </row>
    <row r="181" spans="1:9" x14ac:dyDescent="0.2">
      <c r="A181" t="s">
        <v>68</v>
      </c>
      <c r="B181">
        <v>2023</v>
      </c>
      <c r="C181" t="s">
        <v>58</v>
      </c>
      <c r="D181" t="s">
        <v>59</v>
      </c>
      <c r="E181" t="s">
        <v>60</v>
      </c>
      <c r="F181" t="s">
        <v>6</v>
      </c>
      <c r="G181">
        <v>14831</v>
      </c>
      <c r="H181" t="s">
        <v>125</v>
      </c>
      <c r="I181">
        <v>14831</v>
      </c>
    </row>
    <row r="182" spans="1:9" x14ac:dyDescent="0.2">
      <c r="A182" t="s">
        <v>100</v>
      </c>
      <c r="B182">
        <v>2015</v>
      </c>
      <c r="C182" t="s">
        <v>58</v>
      </c>
      <c r="D182" t="s">
        <v>59</v>
      </c>
      <c r="E182" t="s">
        <v>60</v>
      </c>
      <c r="F182" t="s">
        <v>38</v>
      </c>
      <c r="G182">
        <v>51062</v>
      </c>
      <c r="H182">
        <v>1735680.4128858177</v>
      </c>
      <c r="I182">
        <v>1786742.4128858177</v>
      </c>
    </row>
    <row r="183" spans="1:9" x14ac:dyDescent="0.2">
      <c r="A183" t="s">
        <v>100</v>
      </c>
      <c r="B183">
        <v>2016</v>
      </c>
      <c r="C183" t="s">
        <v>58</v>
      </c>
      <c r="D183" t="s">
        <v>59</v>
      </c>
      <c r="E183" t="s">
        <v>60</v>
      </c>
      <c r="F183" t="s">
        <v>38</v>
      </c>
      <c r="G183">
        <v>21794</v>
      </c>
      <c r="H183">
        <v>57475.926182501622</v>
      </c>
      <c r="I183">
        <v>79269.926182501629</v>
      </c>
    </row>
    <row r="184" spans="1:9" x14ac:dyDescent="0.2">
      <c r="A184" t="s">
        <v>100</v>
      </c>
      <c r="B184">
        <v>2017</v>
      </c>
      <c r="C184" t="s">
        <v>58</v>
      </c>
      <c r="D184" t="s">
        <v>59</v>
      </c>
      <c r="E184" t="s">
        <v>60</v>
      </c>
      <c r="F184" t="s">
        <v>38</v>
      </c>
      <c r="G184">
        <v>45348</v>
      </c>
      <c r="H184">
        <v>140802.47029877859</v>
      </c>
      <c r="I184">
        <v>186150.47029877859</v>
      </c>
    </row>
    <row r="185" spans="1:9" x14ac:dyDescent="0.2">
      <c r="A185" t="s">
        <v>100</v>
      </c>
      <c r="B185">
        <v>2018</v>
      </c>
      <c r="C185" t="s">
        <v>58</v>
      </c>
      <c r="D185" t="s">
        <v>59</v>
      </c>
      <c r="E185" t="s">
        <v>60</v>
      </c>
      <c r="F185" t="s">
        <v>38</v>
      </c>
      <c r="G185">
        <v>68892</v>
      </c>
      <c r="H185">
        <v>188652.80830177333</v>
      </c>
      <c r="I185">
        <v>257544.80830177333</v>
      </c>
    </row>
    <row r="186" spans="1:9" x14ac:dyDescent="0.2">
      <c r="A186" t="s">
        <v>100</v>
      </c>
      <c r="B186">
        <v>2019</v>
      </c>
      <c r="C186" t="s">
        <v>58</v>
      </c>
      <c r="D186" t="s">
        <v>59</v>
      </c>
      <c r="E186" t="s">
        <v>60</v>
      </c>
      <c r="F186" t="s">
        <v>38</v>
      </c>
      <c r="G186">
        <v>45915</v>
      </c>
      <c r="H186">
        <v>158889.28130035292</v>
      </c>
      <c r="I186">
        <v>204804.28130035292</v>
      </c>
    </row>
    <row r="187" spans="1:9" x14ac:dyDescent="0.2">
      <c r="A187" t="s">
        <v>100</v>
      </c>
      <c r="B187">
        <v>2021</v>
      </c>
      <c r="C187" t="s">
        <v>58</v>
      </c>
      <c r="D187" t="s">
        <v>59</v>
      </c>
      <c r="E187" t="s">
        <v>60</v>
      </c>
      <c r="F187" t="s">
        <v>38</v>
      </c>
      <c r="G187">
        <v>58900</v>
      </c>
      <c r="H187">
        <v>269185.88857726497</v>
      </c>
      <c r="I187">
        <v>328085.88857726497</v>
      </c>
    </row>
    <row r="188" spans="1:9" x14ac:dyDescent="0.2">
      <c r="A188" t="s">
        <v>100</v>
      </c>
      <c r="B188">
        <v>2022</v>
      </c>
      <c r="C188" t="s">
        <v>58</v>
      </c>
      <c r="D188" t="s">
        <v>59</v>
      </c>
      <c r="E188" t="s">
        <v>60</v>
      </c>
      <c r="F188" t="s">
        <v>38</v>
      </c>
      <c r="G188">
        <v>69615</v>
      </c>
      <c r="H188">
        <v>321330.30348478968</v>
      </c>
      <c r="I188">
        <v>390945.30348478968</v>
      </c>
    </row>
    <row r="189" spans="1:9" x14ac:dyDescent="0.2">
      <c r="A189" t="s">
        <v>100</v>
      </c>
      <c r="B189">
        <v>2023</v>
      </c>
      <c r="C189" t="s">
        <v>58</v>
      </c>
      <c r="D189" t="s">
        <v>59</v>
      </c>
      <c r="E189" t="s">
        <v>60</v>
      </c>
      <c r="F189" t="s">
        <v>38</v>
      </c>
      <c r="G189">
        <v>94480</v>
      </c>
      <c r="H189" t="s">
        <v>125</v>
      </c>
      <c r="I189">
        <v>94480</v>
      </c>
    </row>
    <row r="190" spans="1:9" x14ac:dyDescent="0.2">
      <c r="A190" t="s">
        <v>69</v>
      </c>
      <c r="B190">
        <v>2015</v>
      </c>
      <c r="C190" t="s">
        <v>58</v>
      </c>
      <c r="D190" t="s">
        <v>59</v>
      </c>
      <c r="E190" t="s">
        <v>60</v>
      </c>
      <c r="F190" t="s">
        <v>7</v>
      </c>
      <c r="G190">
        <v>1401567</v>
      </c>
      <c r="H190">
        <v>47641541.444658197</v>
      </c>
      <c r="I190">
        <v>49043108.444658197</v>
      </c>
    </row>
    <row r="191" spans="1:9" x14ac:dyDescent="0.2">
      <c r="A191" t="s">
        <v>69</v>
      </c>
      <c r="B191">
        <v>2016</v>
      </c>
      <c r="C191" t="s">
        <v>58</v>
      </c>
      <c r="D191" t="s">
        <v>59</v>
      </c>
      <c r="E191" t="s">
        <v>60</v>
      </c>
      <c r="F191" t="s">
        <v>7</v>
      </c>
      <c r="G191">
        <v>1339265</v>
      </c>
      <c r="H191">
        <v>3531958.1664131428</v>
      </c>
      <c r="I191">
        <v>4871223.1664131433</v>
      </c>
    </row>
    <row r="192" spans="1:9" x14ac:dyDescent="0.2">
      <c r="A192" t="s">
        <v>69</v>
      </c>
      <c r="B192">
        <v>2017</v>
      </c>
      <c r="C192" t="s">
        <v>58</v>
      </c>
      <c r="D192" t="s">
        <v>59</v>
      </c>
      <c r="E192" t="s">
        <v>60</v>
      </c>
      <c r="F192" t="s">
        <v>7</v>
      </c>
      <c r="G192">
        <v>1428279</v>
      </c>
      <c r="H192">
        <v>4434709.6117991786</v>
      </c>
      <c r="I192">
        <v>5862988.6117991786</v>
      </c>
    </row>
    <row r="193" spans="1:9" x14ac:dyDescent="0.2">
      <c r="A193" t="s">
        <v>69</v>
      </c>
      <c r="B193">
        <v>2018</v>
      </c>
      <c r="C193" t="s">
        <v>58</v>
      </c>
      <c r="D193" t="s">
        <v>59</v>
      </c>
      <c r="E193" t="s">
        <v>60</v>
      </c>
      <c r="F193" t="s">
        <v>7</v>
      </c>
      <c r="G193">
        <v>1535689</v>
      </c>
      <c r="H193">
        <v>4205307.4744257974</v>
      </c>
      <c r="I193">
        <v>5740996.4744257974</v>
      </c>
    </row>
    <row r="194" spans="1:9" x14ac:dyDescent="0.2">
      <c r="A194" t="s">
        <v>69</v>
      </c>
      <c r="B194">
        <v>2019</v>
      </c>
      <c r="C194" t="s">
        <v>58</v>
      </c>
      <c r="D194" t="s">
        <v>59</v>
      </c>
      <c r="E194" t="s">
        <v>60</v>
      </c>
      <c r="F194" t="s">
        <v>7</v>
      </c>
      <c r="G194">
        <v>1465890</v>
      </c>
      <c r="H194">
        <v>5072725.8753212318</v>
      </c>
      <c r="I194">
        <v>6538615.8753212318</v>
      </c>
    </row>
    <row r="195" spans="1:9" x14ac:dyDescent="0.2">
      <c r="A195" t="s">
        <v>69</v>
      </c>
      <c r="B195">
        <v>2020</v>
      </c>
      <c r="C195" t="s">
        <v>58</v>
      </c>
      <c r="D195" t="s">
        <v>59</v>
      </c>
      <c r="E195" t="s">
        <v>60</v>
      </c>
      <c r="F195" t="s">
        <v>7</v>
      </c>
      <c r="G195">
        <v>1371423</v>
      </c>
      <c r="H195">
        <v>5636902.6054559611</v>
      </c>
      <c r="I195">
        <v>7008325.6054559611</v>
      </c>
    </row>
    <row r="196" spans="1:9" x14ac:dyDescent="0.2">
      <c r="A196" t="s">
        <v>69</v>
      </c>
      <c r="B196">
        <v>2021</v>
      </c>
      <c r="C196" t="s">
        <v>58</v>
      </c>
      <c r="D196" t="s">
        <v>59</v>
      </c>
      <c r="E196" t="s">
        <v>60</v>
      </c>
      <c r="F196" t="s">
        <v>7</v>
      </c>
      <c r="G196">
        <v>1067248</v>
      </c>
      <c r="H196">
        <v>4877556.8966436144</v>
      </c>
      <c r="I196">
        <v>5944804.8966436144</v>
      </c>
    </row>
    <row r="197" spans="1:9" x14ac:dyDescent="0.2">
      <c r="A197" t="s">
        <v>69</v>
      </c>
      <c r="B197">
        <v>2022</v>
      </c>
      <c r="C197" t="s">
        <v>58</v>
      </c>
      <c r="D197" t="s">
        <v>59</v>
      </c>
      <c r="E197" t="s">
        <v>60</v>
      </c>
      <c r="F197" t="s">
        <v>7</v>
      </c>
      <c r="G197">
        <v>1067172</v>
      </c>
      <c r="H197">
        <v>4925873.7718949933</v>
      </c>
      <c r="I197">
        <v>5993045.7718949933</v>
      </c>
    </row>
    <row r="198" spans="1:9" x14ac:dyDescent="0.2">
      <c r="A198" t="s">
        <v>69</v>
      </c>
      <c r="B198">
        <v>2023</v>
      </c>
      <c r="C198" t="s">
        <v>58</v>
      </c>
      <c r="D198" t="s">
        <v>59</v>
      </c>
      <c r="E198" t="s">
        <v>60</v>
      </c>
      <c r="F198" t="s">
        <v>7</v>
      </c>
      <c r="G198">
        <v>1968010</v>
      </c>
      <c r="H198" t="s">
        <v>125</v>
      </c>
      <c r="I198">
        <v>1968010</v>
      </c>
    </row>
    <row r="199" spans="1:9" x14ac:dyDescent="0.2">
      <c r="A199" t="s">
        <v>70</v>
      </c>
      <c r="B199">
        <v>2015</v>
      </c>
      <c r="C199" t="s">
        <v>58</v>
      </c>
      <c r="D199" t="s">
        <v>59</v>
      </c>
      <c r="E199" t="s">
        <v>60</v>
      </c>
      <c r="F199" t="s">
        <v>8</v>
      </c>
      <c r="G199">
        <v>34224</v>
      </c>
      <c r="H199">
        <v>1163329.4122949401</v>
      </c>
      <c r="I199">
        <v>1197553.4122949401</v>
      </c>
    </row>
    <row r="200" spans="1:9" x14ac:dyDescent="0.2">
      <c r="A200" t="s">
        <v>70</v>
      </c>
      <c r="B200">
        <v>2016</v>
      </c>
      <c r="C200" t="s">
        <v>58</v>
      </c>
      <c r="D200" t="s">
        <v>59</v>
      </c>
      <c r="E200" t="s">
        <v>60</v>
      </c>
      <c r="F200" t="s">
        <v>8</v>
      </c>
      <c r="G200">
        <v>33983</v>
      </c>
      <c r="H200">
        <v>89621.19847021898</v>
      </c>
      <c r="I200">
        <v>123604.19847021898</v>
      </c>
    </row>
    <row r="201" spans="1:9" x14ac:dyDescent="0.2">
      <c r="A201" t="s">
        <v>70</v>
      </c>
      <c r="B201">
        <v>2017</v>
      </c>
      <c r="C201" t="s">
        <v>58</v>
      </c>
      <c r="D201" t="s">
        <v>59</v>
      </c>
      <c r="E201" t="s">
        <v>60</v>
      </c>
      <c r="F201" t="s">
        <v>8</v>
      </c>
      <c r="G201">
        <v>38986</v>
      </c>
      <c r="H201">
        <v>121048.89095590063</v>
      </c>
      <c r="I201">
        <v>160034.89095590063</v>
      </c>
    </row>
    <row r="202" spans="1:9" x14ac:dyDescent="0.2">
      <c r="A202" t="s">
        <v>70</v>
      </c>
      <c r="B202">
        <v>2018</v>
      </c>
      <c r="C202" t="s">
        <v>58</v>
      </c>
      <c r="D202" t="s">
        <v>59</v>
      </c>
      <c r="E202" t="s">
        <v>60</v>
      </c>
      <c r="F202" t="s">
        <v>8</v>
      </c>
      <c r="G202">
        <v>40686</v>
      </c>
      <c r="H202">
        <v>111413.92554383601</v>
      </c>
      <c r="I202">
        <v>152099.92554383603</v>
      </c>
    </row>
    <row r="203" spans="1:9" x14ac:dyDescent="0.2">
      <c r="A203" t="s">
        <v>70</v>
      </c>
      <c r="B203">
        <v>2019</v>
      </c>
      <c r="C203" t="s">
        <v>58</v>
      </c>
      <c r="D203" t="s">
        <v>59</v>
      </c>
      <c r="E203" t="s">
        <v>60</v>
      </c>
      <c r="F203" t="s">
        <v>8</v>
      </c>
      <c r="G203">
        <v>18019</v>
      </c>
      <c r="H203">
        <v>62354.915817294124</v>
      </c>
      <c r="I203">
        <v>80373.915817294124</v>
      </c>
    </row>
    <row r="204" spans="1:9" x14ac:dyDescent="0.2">
      <c r="A204" t="s">
        <v>70</v>
      </c>
      <c r="B204">
        <v>2020</v>
      </c>
      <c r="C204" t="s">
        <v>58</v>
      </c>
      <c r="D204" t="s">
        <v>59</v>
      </c>
      <c r="E204" t="s">
        <v>60</v>
      </c>
      <c r="F204" t="s">
        <v>8</v>
      </c>
      <c r="G204">
        <v>23204</v>
      </c>
      <c r="H204">
        <v>95374.430833521183</v>
      </c>
      <c r="I204">
        <v>118578.43083352118</v>
      </c>
    </row>
    <row r="205" spans="1:9" x14ac:dyDescent="0.2">
      <c r="A205" t="s">
        <v>70</v>
      </c>
      <c r="B205">
        <v>2020</v>
      </c>
      <c r="C205" t="s">
        <v>58</v>
      </c>
      <c r="D205" t="s">
        <v>59</v>
      </c>
      <c r="E205" t="s">
        <v>60</v>
      </c>
      <c r="F205" t="s">
        <v>8</v>
      </c>
      <c r="G205">
        <v>37947</v>
      </c>
      <c r="H205">
        <v>155971.96719701897</v>
      </c>
      <c r="I205">
        <v>193918.96719701897</v>
      </c>
    </row>
    <row r="206" spans="1:9" x14ac:dyDescent="0.2">
      <c r="A206" t="s">
        <v>70</v>
      </c>
      <c r="B206">
        <v>2021</v>
      </c>
      <c r="C206" t="s">
        <v>58</v>
      </c>
      <c r="D206" t="s">
        <v>59</v>
      </c>
      <c r="E206" t="s">
        <v>60</v>
      </c>
      <c r="F206" t="s">
        <v>8</v>
      </c>
      <c r="G206">
        <v>24464</v>
      </c>
      <c r="H206">
        <v>111805.83324540255</v>
      </c>
      <c r="I206">
        <v>136269.83324540255</v>
      </c>
    </row>
    <row r="207" spans="1:9" x14ac:dyDescent="0.2">
      <c r="A207" t="s">
        <v>70</v>
      </c>
      <c r="B207">
        <v>2022</v>
      </c>
      <c r="C207" t="s">
        <v>58</v>
      </c>
      <c r="D207" t="s">
        <v>59</v>
      </c>
      <c r="E207" t="s">
        <v>60</v>
      </c>
      <c r="F207" t="s">
        <v>8</v>
      </c>
      <c r="G207">
        <v>25236</v>
      </c>
      <c r="H207">
        <v>116484.83141193927</v>
      </c>
      <c r="I207">
        <v>141720.83141193929</v>
      </c>
    </row>
    <row r="208" spans="1:9" x14ac:dyDescent="0.2">
      <c r="A208" t="s">
        <v>70</v>
      </c>
      <c r="B208">
        <v>2023</v>
      </c>
      <c r="C208" t="s">
        <v>58</v>
      </c>
      <c r="D208" t="s">
        <v>59</v>
      </c>
      <c r="E208" t="s">
        <v>60</v>
      </c>
      <c r="F208" t="s">
        <v>8</v>
      </c>
      <c r="G208">
        <v>44504</v>
      </c>
      <c r="H208" t="s">
        <v>125</v>
      </c>
      <c r="I208">
        <v>44504</v>
      </c>
    </row>
    <row r="209" spans="1:9" x14ac:dyDescent="0.2">
      <c r="A209" t="s">
        <v>112</v>
      </c>
      <c r="B209">
        <v>2015</v>
      </c>
      <c r="C209" t="s">
        <v>58</v>
      </c>
      <c r="D209" t="s">
        <v>59</v>
      </c>
      <c r="E209" t="s">
        <v>60</v>
      </c>
      <c r="F209" t="s">
        <v>50</v>
      </c>
      <c r="G209">
        <v>31482</v>
      </c>
      <c r="H209">
        <v>1070124.3734767796</v>
      </c>
      <c r="I209">
        <v>1101606.3734767796</v>
      </c>
    </row>
    <row r="210" spans="1:9" x14ac:dyDescent="0.2">
      <c r="A210" t="s">
        <v>112</v>
      </c>
      <c r="B210">
        <v>2016</v>
      </c>
      <c r="C210" t="s">
        <v>58</v>
      </c>
      <c r="D210" t="s">
        <v>59</v>
      </c>
      <c r="E210" t="s">
        <v>60</v>
      </c>
      <c r="F210" t="s">
        <v>50</v>
      </c>
      <c r="G210">
        <v>40883</v>
      </c>
      <c r="H210">
        <v>107818.12838942892</v>
      </c>
      <c r="I210">
        <v>148701.12838942892</v>
      </c>
    </row>
    <row r="211" spans="1:9" x14ac:dyDescent="0.2">
      <c r="A211" t="s">
        <v>112</v>
      </c>
      <c r="B211">
        <v>2017</v>
      </c>
      <c r="C211" t="s">
        <v>58</v>
      </c>
      <c r="D211" t="s">
        <v>59</v>
      </c>
      <c r="E211" t="s">
        <v>60</v>
      </c>
      <c r="F211" t="s">
        <v>50</v>
      </c>
      <c r="G211">
        <v>62184</v>
      </c>
      <c r="H211">
        <v>193077.11063463101</v>
      </c>
      <c r="I211">
        <v>255261.11063463101</v>
      </c>
    </row>
    <row r="212" spans="1:9" x14ac:dyDescent="0.2">
      <c r="A212" t="s">
        <v>112</v>
      </c>
      <c r="B212">
        <v>2018</v>
      </c>
      <c r="C212" t="s">
        <v>58</v>
      </c>
      <c r="D212" t="s">
        <v>59</v>
      </c>
      <c r="E212" t="s">
        <v>60</v>
      </c>
      <c r="F212" t="s">
        <v>50</v>
      </c>
      <c r="G212">
        <v>78104</v>
      </c>
      <c r="H212">
        <v>213878.80943508251</v>
      </c>
      <c r="I212">
        <v>291982.80943508248</v>
      </c>
    </row>
    <row r="213" spans="1:9" x14ac:dyDescent="0.2">
      <c r="A213" t="s">
        <v>112</v>
      </c>
      <c r="B213">
        <v>2019</v>
      </c>
      <c r="C213" t="s">
        <v>58</v>
      </c>
      <c r="D213" t="s">
        <v>59</v>
      </c>
      <c r="E213" t="s">
        <v>60</v>
      </c>
      <c r="F213" t="s">
        <v>50</v>
      </c>
      <c r="G213">
        <v>42981</v>
      </c>
      <c r="H213">
        <v>148736.14721921962</v>
      </c>
      <c r="I213">
        <v>191717.14721921962</v>
      </c>
    </row>
    <row r="214" spans="1:9" x14ac:dyDescent="0.2">
      <c r="A214" t="s">
        <v>112</v>
      </c>
      <c r="B214">
        <v>2020</v>
      </c>
      <c r="C214" t="s">
        <v>58</v>
      </c>
      <c r="D214" t="s">
        <v>59</v>
      </c>
      <c r="E214" t="s">
        <v>60</v>
      </c>
      <c r="F214" t="s">
        <v>50</v>
      </c>
      <c r="G214">
        <v>36071</v>
      </c>
      <c r="H214">
        <v>148261.12284933386</v>
      </c>
      <c r="I214">
        <v>184332.12284933386</v>
      </c>
    </row>
    <row r="215" spans="1:9" x14ac:dyDescent="0.2">
      <c r="A215" t="s">
        <v>112</v>
      </c>
      <c r="B215">
        <v>2021</v>
      </c>
      <c r="C215" t="s">
        <v>58</v>
      </c>
      <c r="D215" t="s">
        <v>59</v>
      </c>
      <c r="E215" t="s">
        <v>60</v>
      </c>
      <c r="F215" t="s">
        <v>50</v>
      </c>
      <c r="G215">
        <v>42326</v>
      </c>
      <c r="H215">
        <v>193439.08183228044</v>
      </c>
      <c r="I215">
        <v>235765.08183228044</v>
      </c>
    </row>
    <row r="216" spans="1:9" x14ac:dyDescent="0.2">
      <c r="A216" t="s">
        <v>112</v>
      </c>
      <c r="B216">
        <v>2022</v>
      </c>
      <c r="C216" t="s">
        <v>58</v>
      </c>
      <c r="D216" t="s">
        <v>59</v>
      </c>
      <c r="E216" t="s">
        <v>60</v>
      </c>
      <c r="F216" t="s">
        <v>50</v>
      </c>
      <c r="G216">
        <v>32166</v>
      </c>
      <c r="H216">
        <v>148472.46343304956</v>
      </c>
      <c r="I216">
        <v>180638.46343304956</v>
      </c>
    </row>
    <row r="217" spans="1:9" x14ac:dyDescent="0.2">
      <c r="A217" t="s">
        <v>112</v>
      </c>
      <c r="B217">
        <v>2023</v>
      </c>
      <c r="C217" t="s">
        <v>58</v>
      </c>
      <c r="D217" t="s">
        <v>59</v>
      </c>
      <c r="E217" t="s">
        <v>60</v>
      </c>
      <c r="F217" t="s">
        <v>50</v>
      </c>
      <c r="G217">
        <v>64446</v>
      </c>
      <c r="H217" t="s">
        <v>125</v>
      </c>
      <c r="I217">
        <v>64446</v>
      </c>
    </row>
    <row r="218" spans="1:9" x14ac:dyDescent="0.2">
      <c r="A218" t="s">
        <v>89</v>
      </c>
      <c r="B218">
        <v>2015</v>
      </c>
      <c r="C218" t="s">
        <v>58</v>
      </c>
      <c r="D218" t="s">
        <v>59</v>
      </c>
      <c r="E218" t="s">
        <v>60</v>
      </c>
      <c r="F218" t="s">
        <v>27</v>
      </c>
      <c r="G218">
        <v>2407075</v>
      </c>
      <c r="H218">
        <v>81820393.440271229</v>
      </c>
      <c r="I218">
        <v>84227468.440271229</v>
      </c>
    </row>
    <row r="219" spans="1:9" x14ac:dyDescent="0.2">
      <c r="A219" t="s">
        <v>89</v>
      </c>
      <c r="B219">
        <v>2016</v>
      </c>
      <c r="C219" t="s">
        <v>58</v>
      </c>
      <c r="D219" t="s">
        <v>59</v>
      </c>
      <c r="E219" t="s">
        <v>60</v>
      </c>
      <c r="F219" t="s">
        <v>27</v>
      </c>
      <c r="G219">
        <v>2256777</v>
      </c>
      <c r="H219">
        <v>5951654.0452586692</v>
      </c>
      <c r="I219">
        <v>8208431.0452586692</v>
      </c>
    </row>
    <row r="220" spans="1:9" x14ac:dyDescent="0.2">
      <c r="A220" t="s">
        <v>89</v>
      </c>
      <c r="B220">
        <v>2017</v>
      </c>
      <c r="C220" t="s">
        <v>58</v>
      </c>
      <c r="D220" t="s">
        <v>59</v>
      </c>
      <c r="E220" t="s">
        <v>60</v>
      </c>
      <c r="F220" t="s">
        <v>27</v>
      </c>
      <c r="G220">
        <v>2404196</v>
      </c>
      <c r="H220">
        <v>7464865.8349308083</v>
      </c>
      <c r="I220">
        <v>9869061.8349308074</v>
      </c>
    </row>
    <row r="221" spans="1:9" x14ac:dyDescent="0.2">
      <c r="A221" t="s">
        <v>89</v>
      </c>
      <c r="B221">
        <v>2018</v>
      </c>
      <c r="C221" t="s">
        <v>58</v>
      </c>
      <c r="D221" t="s">
        <v>59</v>
      </c>
      <c r="E221" t="s">
        <v>60</v>
      </c>
      <c r="F221" t="s">
        <v>27</v>
      </c>
      <c r="G221">
        <v>2570793</v>
      </c>
      <c r="H221">
        <v>7039820.5744141676</v>
      </c>
      <c r="I221">
        <v>9610613.5744141676</v>
      </c>
    </row>
    <row r="222" spans="1:9" x14ac:dyDescent="0.2">
      <c r="A222" t="s">
        <v>89</v>
      </c>
      <c r="B222">
        <v>2019</v>
      </c>
      <c r="C222" t="s">
        <v>58</v>
      </c>
      <c r="D222" t="s">
        <v>59</v>
      </c>
      <c r="E222" t="s">
        <v>60</v>
      </c>
      <c r="F222" t="s">
        <v>27</v>
      </c>
      <c r="G222">
        <v>2372112</v>
      </c>
      <c r="H222">
        <v>8208715.4708470609</v>
      </c>
      <c r="I222">
        <v>10580827.470847061</v>
      </c>
    </row>
    <row r="223" spans="1:9" x14ac:dyDescent="0.2">
      <c r="A223" t="s">
        <v>89</v>
      </c>
      <c r="B223">
        <v>2020</v>
      </c>
      <c r="C223" t="s">
        <v>58</v>
      </c>
      <c r="D223" t="s">
        <v>59</v>
      </c>
      <c r="E223" t="s">
        <v>60</v>
      </c>
      <c r="F223" t="s">
        <v>27</v>
      </c>
      <c r="G223">
        <v>2222018</v>
      </c>
      <c r="H223">
        <v>9133067.6629822031</v>
      </c>
      <c r="I223">
        <v>11355085.662982203</v>
      </c>
    </row>
    <row r="224" spans="1:9" x14ac:dyDescent="0.2">
      <c r="A224" t="s">
        <v>89</v>
      </c>
      <c r="B224">
        <v>2021</v>
      </c>
      <c r="C224" t="s">
        <v>58</v>
      </c>
      <c r="D224" t="s">
        <v>59</v>
      </c>
      <c r="E224" t="s">
        <v>60</v>
      </c>
      <c r="F224" t="s">
        <v>27</v>
      </c>
      <c r="G224">
        <v>1793208</v>
      </c>
      <c r="H224">
        <v>8195352.9521877784</v>
      </c>
      <c r="I224">
        <v>9988560.9521877784</v>
      </c>
    </row>
    <row r="225" spans="1:9" x14ac:dyDescent="0.2">
      <c r="A225" t="s">
        <v>89</v>
      </c>
      <c r="B225">
        <v>2022</v>
      </c>
      <c r="C225" t="s">
        <v>58</v>
      </c>
      <c r="D225" t="s">
        <v>59</v>
      </c>
      <c r="E225" t="s">
        <v>60</v>
      </c>
      <c r="F225" t="s">
        <v>27</v>
      </c>
      <c r="G225">
        <v>1876537</v>
      </c>
      <c r="H225">
        <v>8661756.8585856035</v>
      </c>
      <c r="I225">
        <v>10538293.858585604</v>
      </c>
    </row>
    <row r="226" spans="1:9" x14ac:dyDescent="0.2">
      <c r="A226" t="s">
        <v>89</v>
      </c>
      <c r="B226">
        <v>2023</v>
      </c>
      <c r="C226" t="s">
        <v>58</v>
      </c>
      <c r="D226" t="s">
        <v>59</v>
      </c>
      <c r="E226" t="s">
        <v>60</v>
      </c>
      <c r="F226" t="s">
        <v>27</v>
      </c>
      <c r="G226">
        <v>3269010</v>
      </c>
      <c r="H226" t="s">
        <v>125</v>
      </c>
      <c r="I226">
        <v>3269010</v>
      </c>
    </row>
    <row r="227" spans="1:9" x14ac:dyDescent="0.2">
      <c r="A227" t="s">
        <v>71</v>
      </c>
      <c r="B227">
        <v>2015</v>
      </c>
      <c r="C227" t="s">
        <v>58</v>
      </c>
      <c r="D227" t="s">
        <v>59</v>
      </c>
      <c r="E227" t="s">
        <v>60</v>
      </c>
      <c r="F227" t="s">
        <v>9</v>
      </c>
      <c r="G227">
        <v>737815</v>
      </c>
      <c r="H227">
        <v>25079531.624952991</v>
      </c>
      <c r="I227">
        <v>25817346.624952991</v>
      </c>
    </row>
    <row r="228" spans="1:9" x14ac:dyDescent="0.2">
      <c r="A228" t="s">
        <v>71</v>
      </c>
      <c r="B228">
        <v>2016</v>
      </c>
      <c r="C228" t="s">
        <v>58</v>
      </c>
      <c r="D228" t="s">
        <v>59</v>
      </c>
      <c r="E228" t="s">
        <v>60</v>
      </c>
      <c r="F228" t="s">
        <v>9</v>
      </c>
      <c r="G228">
        <v>646878</v>
      </c>
      <c r="H228">
        <v>1705970.0916345913</v>
      </c>
      <c r="I228">
        <v>2352848.0916345911</v>
      </c>
    </row>
    <row r="229" spans="1:9" x14ac:dyDescent="0.2">
      <c r="A229" t="s">
        <v>71</v>
      </c>
      <c r="B229">
        <v>2017</v>
      </c>
      <c r="C229" t="s">
        <v>58</v>
      </c>
      <c r="D229" t="s">
        <v>59</v>
      </c>
      <c r="E229" t="s">
        <v>60</v>
      </c>
      <c r="F229" t="s">
        <v>9</v>
      </c>
      <c r="G229">
        <v>728835</v>
      </c>
      <c r="H229">
        <v>2262983.3386303759</v>
      </c>
      <c r="I229">
        <v>2991818.3386303759</v>
      </c>
    </row>
    <row r="230" spans="1:9" x14ac:dyDescent="0.2">
      <c r="A230" t="s">
        <v>71</v>
      </c>
      <c r="B230">
        <v>2018</v>
      </c>
      <c r="C230" t="s">
        <v>58</v>
      </c>
      <c r="D230" t="s">
        <v>59</v>
      </c>
      <c r="E230" t="s">
        <v>60</v>
      </c>
      <c r="F230" t="s">
        <v>9</v>
      </c>
      <c r="G230">
        <v>765272</v>
      </c>
      <c r="H230">
        <v>2095609.2422155645</v>
      </c>
      <c r="I230">
        <v>2860881.2422155645</v>
      </c>
    </row>
    <row r="231" spans="1:9" x14ac:dyDescent="0.2">
      <c r="A231" t="s">
        <v>71</v>
      </c>
      <c r="B231">
        <v>2019</v>
      </c>
      <c r="C231" t="s">
        <v>58</v>
      </c>
      <c r="D231" t="s">
        <v>59</v>
      </c>
      <c r="E231" t="s">
        <v>60</v>
      </c>
      <c r="F231" t="s">
        <v>9</v>
      </c>
      <c r="G231">
        <v>826781</v>
      </c>
      <c r="H231">
        <v>2861083.2817769162</v>
      </c>
      <c r="I231">
        <v>3687864.2817769162</v>
      </c>
    </row>
    <row r="232" spans="1:9" x14ac:dyDescent="0.2">
      <c r="A232" t="s">
        <v>71</v>
      </c>
      <c r="B232">
        <v>2020</v>
      </c>
      <c r="C232" t="s">
        <v>58</v>
      </c>
      <c r="D232" t="s">
        <v>59</v>
      </c>
      <c r="E232" t="s">
        <v>60</v>
      </c>
      <c r="F232" t="s">
        <v>9</v>
      </c>
      <c r="G232">
        <v>742663</v>
      </c>
      <c r="H232">
        <v>3052536.6715271221</v>
      </c>
      <c r="I232">
        <v>3795199.6715271221</v>
      </c>
    </row>
    <row r="233" spans="1:9" x14ac:dyDescent="0.2">
      <c r="A233" t="s">
        <v>71</v>
      </c>
      <c r="B233">
        <v>2021</v>
      </c>
      <c r="C233" t="s">
        <v>58</v>
      </c>
      <c r="D233" t="s">
        <v>59</v>
      </c>
      <c r="E233" t="s">
        <v>60</v>
      </c>
      <c r="F233" t="s">
        <v>9</v>
      </c>
      <c r="G233">
        <v>614141</v>
      </c>
      <c r="H233">
        <v>2806758.7571601029</v>
      </c>
      <c r="I233">
        <v>3420899.7571601029</v>
      </c>
    </row>
    <row r="234" spans="1:9" x14ac:dyDescent="0.2">
      <c r="A234" t="s">
        <v>71</v>
      </c>
      <c r="B234">
        <v>2022</v>
      </c>
      <c r="C234" t="s">
        <v>58</v>
      </c>
      <c r="D234" t="s">
        <v>59</v>
      </c>
      <c r="E234" t="s">
        <v>60</v>
      </c>
      <c r="F234" t="s">
        <v>9</v>
      </c>
      <c r="G234">
        <v>561390</v>
      </c>
      <c r="H234">
        <v>2591275.1429049214</v>
      </c>
      <c r="I234">
        <v>3152665.1429049214</v>
      </c>
    </row>
    <row r="235" spans="1:9" x14ac:dyDescent="0.2">
      <c r="A235" t="s">
        <v>71</v>
      </c>
      <c r="B235">
        <v>2023</v>
      </c>
      <c r="C235" t="s">
        <v>58</v>
      </c>
      <c r="D235" t="s">
        <v>59</v>
      </c>
      <c r="E235" t="s">
        <v>60</v>
      </c>
      <c r="F235" t="s">
        <v>9</v>
      </c>
      <c r="G235">
        <v>1105515</v>
      </c>
      <c r="H235" t="s">
        <v>125</v>
      </c>
      <c r="I235">
        <v>1105515</v>
      </c>
    </row>
    <row r="236" spans="1:9" x14ac:dyDescent="0.2">
      <c r="A236" t="s">
        <v>72</v>
      </c>
      <c r="B236">
        <v>2015</v>
      </c>
      <c r="C236" t="s">
        <v>58</v>
      </c>
      <c r="D236" t="s">
        <v>59</v>
      </c>
      <c r="E236" t="s">
        <v>60</v>
      </c>
      <c r="F236" t="s">
        <v>10</v>
      </c>
      <c r="G236">
        <v>57146</v>
      </c>
      <c r="H236">
        <v>1942485.4661935086</v>
      </c>
      <c r="I236">
        <v>1999631.4661935086</v>
      </c>
    </row>
    <row r="237" spans="1:9" x14ac:dyDescent="0.2">
      <c r="A237" t="s">
        <v>72</v>
      </c>
      <c r="B237">
        <v>2016</v>
      </c>
      <c r="C237" t="s">
        <v>58</v>
      </c>
      <c r="D237" t="s">
        <v>59</v>
      </c>
      <c r="E237" t="s">
        <v>60</v>
      </c>
      <c r="F237" t="s">
        <v>10</v>
      </c>
      <c r="G237">
        <v>55504</v>
      </c>
      <c r="H237">
        <v>146377.15916461273</v>
      </c>
      <c r="I237">
        <v>201881.15916461273</v>
      </c>
    </row>
    <row r="238" spans="1:9" x14ac:dyDescent="0.2">
      <c r="A238" t="s">
        <v>72</v>
      </c>
      <c r="B238">
        <v>2017</v>
      </c>
      <c r="C238" t="s">
        <v>58</v>
      </c>
      <c r="D238" t="s">
        <v>59</v>
      </c>
      <c r="E238" t="s">
        <v>60</v>
      </c>
      <c r="F238" t="s">
        <v>10</v>
      </c>
      <c r="G238">
        <v>64679</v>
      </c>
      <c r="H238">
        <v>200823.91674284864</v>
      </c>
      <c r="I238">
        <v>265502.91674284864</v>
      </c>
    </row>
    <row r="239" spans="1:9" x14ac:dyDescent="0.2">
      <c r="A239" t="s">
        <v>72</v>
      </c>
      <c r="B239">
        <v>2018</v>
      </c>
      <c r="C239" t="s">
        <v>58</v>
      </c>
      <c r="D239" t="s">
        <v>59</v>
      </c>
      <c r="E239" t="s">
        <v>60</v>
      </c>
      <c r="F239" t="s">
        <v>10</v>
      </c>
      <c r="G239">
        <v>73149</v>
      </c>
      <c r="H239">
        <v>200310.11255975175</v>
      </c>
      <c r="I239">
        <v>273459.11255975172</v>
      </c>
    </row>
    <row r="240" spans="1:9" x14ac:dyDescent="0.2">
      <c r="A240" t="s">
        <v>72</v>
      </c>
      <c r="B240">
        <v>2019</v>
      </c>
      <c r="C240" t="s">
        <v>58</v>
      </c>
      <c r="D240" t="s">
        <v>59</v>
      </c>
      <c r="E240" t="s">
        <v>60</v>
      </c>
      <c r="F240" t="s">
        <v>10</v>
      </c>
      <c r="G240">
        <v>73941</v>
      </c>
      <c r="H240">
        <v>255873.51298332564</v>
      </c>
      <c r="I240">
        <v>329814.51298332564</v>
      </c>
    </row>
    <row r="241" spans="1:9" x14ac:dyDescent="0.2">
      <c r="A241" t="s">
        <v>72</v>
      </c>
      <c r="B241">
        <v>2020</v>
      </c>
      <c r="C241" t="s">
        <v>58</v>
      </c>
      <c r="D241" t="s">
        <v>59</v>
      </c>
      <c r="E241" t="s">
        <v>60</v>
      </c>
      <c r="F241" t="s">
        <v>10</v>
      </c>
      <c r="G241">
        <v>72046</v>
      </c>
      <c r="H241">
        <v>296127.66091328504</v>
      </c>
      <c r="I241">
        <v>368173.66091328504</v>
      </c>
    </row>
    <row r="242" spans="1:9" x14ac:dyDescent="0.2">
      <c r="A242" t="s">
        <v>72</v>
      </c>
      <c r="B242">
        <v>2021</v>
      </c>
      <c r="C242" t="s">
        <v>58</v>
      </c>
      <c r="D242" t="s">
        <v>59</v>
      </c>
      <c r="E242" t="s">
        <v>60</v>
      </c>
      <c r="F242" t="s">
        <v>10</v>
      </c>
      <c r="G242">
        <v>58956</v>
      </c>
      <c r="H242">
        <v>269441.82083126029</v>
      </c>
      <c r="I242">
        <v>328397.82083126029</v>
      </c>
    </row>
    <row r="243" spans="1:9" x14ac:dyDescent="0.2">
      <c r="A243" t="s">
        <v>72</v>
      </c>
      <c r="B243">
        <v>2022</v>
      </c>
      <c r="C243" t="s">
        <v>58</v>
      </c>
      <c r="D243" t="s">
        <v>59</v>
      </c>
      <c r="E243" t="s">
        <v>60</v>
      </c>
      <c r="F243" t="s">
        <v>10</v>
      </c>
      <c r="G243">
        <v>56347</v>
      </c>
      <c r="H243">
        <v>260087.60483311705</v>
      </c>
      <c r="I243">
        <v>316434.60483311705</v>
      </c>
    </row>
    <row r="244" spans="1:9" x14ac:dyDescent="0.2">
      <c r="A244" t="s">
        <v>72</v>
      </c>
      <c r="B244">
        <v>2023</v>
      </c>
      <c r="C244" t="s">
        <v>58</v>
      </c>
      <c r="D244" t="s">
        <v>59</v>
      </c>
      <c r="E244" t="s">
        <v>60</v>
      </c>
      <c r="F244" t="s">
        <v>10</v>
      </c>
      <c r="G244">
        <v>102103</v>
      </c>
      <c r="H244" t="s">
        <v>125</v>
      </c>
      <c r="I244">
        <v>102103</v>
      </c>
    </row>
    <row r="245" spans="1:9" x14ac:dyDescent="0.2">
      <c r="A245" t="s">
        <v>73</v>
      </c>
      <c r="B245">
        <v>2015</v>
      </c>
      <c r="C245" t="s">
        <v>58</v>
      </c>
      <c r="D245" t="s">
        <v>59</v>
      </c>
      <c r="E245" t="s">
        <v>60</v>
      </c>
      <c r="F245" t="s">
        <v>11</v>
      </c>
      <c r="G245">
        <v>647632</v>
      </c>
      <c r="H245">
        <v>22014064.806667734</v>
      </c>
      <c r="I245">
        <v>22661696.806667734</v>
      </c>
    </row>
    <row r="246" spans="1:9" x14ac:dyDescent="0.2">
      <c r="A246" t="s">
        <v>73</v>
      </c>
      <c r="B246">
        <v>2016</v>
      </c>
      <c r="C246" t="s">
        <v>58</v>
      </c>
      <c r="D246" t="s">
        <v>59</v>
      </c>
      <c r="E246" t="s">
        <v>60</v>
      </c>
      <c r="F246" t="s">
        <v>11</v>
      </c>
      <c r="G246">
        <v>543048</v>
      </c>
      <c r="H246">
        <v>1432145.8548937845</v>
      </c>
      <c r="I246">
        <v>1975193.8548937845</v>
      </c>
    </row>
    <row r="247" spans="1:9" x14ac:dyDescent="0.2">
      <c r="A247" t="s">
        <v>73</v>
      </c>
      <c r="B247">
        <v>2017</v>
      </c>
      <c r="C247" t="s">
        <v>58</v>
      </c>
      <c r="D247" t="s">
        <v>59</v>
      </c>
      <c r="E247" t="s">
        <v>60</v>
      </c>
      <c r="F247" t="s">
        <v>11</v>
      </c>
      <c r="G247">
        <v>610298</v>
      </c>
      <c r="H247">
        <v>1894933.9776484952</v>
      </c>
      <c r="I247">
        <v>2505231.9776484952</v>
      </c>
    </row>
    <row r="248" spans="1:9" x14ac:dyDescent="0.2">
      <c r="A248" t="s">
        <v>73</v>
      </c>
      <c r="B248">
        <v>2018</v>
      </c>
      <c r="C248" t="s">
        <v>58</v>
      </c>
      <c r="D248" t="s">
        <v>59</v>
      </c>
      <c r="E248" t="s">
        <v>60</v>
      </c>
      <c r="F248" t="s">
        <v>11</v>
      </c>
      <c r="G248">
        <v>665867</v>
      </c>
      <c r="H248">
        <v>1823400.0973331723</v>
      </c>
      <c r="I248">
        <v>2489267.0973331723</v>
      </c>
    </row>
    <row r="249" spans="1:9" x14ac:dyDescent="0.2">
      <c r="A249" t="s">
        <v>73</v>
      </c>
      <c r="B249">
        <v>2019</v>
      </c>
      <c r="C249" t="s">
        <v>58</v>
      </c>
      <c r="D249" t="s">
        <v>59</v>
      </c>
      <c r="E249" t="s">
        <v>60</v>
      </c>
      <c r="F249" t="s">
        <v>11</v>
      </c>
      <c r="G249">
        <v>583204</v>
      </c>
      <c r="H249">
        <v>2018182.825035196</v>
      </c>
      <c r="I249">
        <v>2601386.8250351958</v>
      </c>
    </row>
    <row r="250" spans="1:9" x14ac:dyDescent="0.2">
      <c r="A250" t="s">
        <v>73</v>
      </c>
      <c r="B250">
        <v>2020</v>
      </c>
      <c r="C250" t="s">
        <v>58</v>
      </c>
      <c r="D250" t="s">
        <v>59</v>
      </c>
      <c r="E250" t="s">
        <v>60</v>
      </c>
      <c r="F250" t="s">
        <v>11</v>
      </c>
      <c r="G250">
        <v>580410</v>
      </c>
      <c r="H250">
        <v>2385634.9508741605</v>
      </c>
      <c r="I250">
        <v>2966044.9508741605</v>
      </c>
    </row>
    <row r="251" spans="1:9" x14ac:dyDescent="0.2">
      <c r="A251" t="s">
        <v>73</v>
      </c>
      <c r="B251">
        <v>2021</v>
      </c>
      <c r="C251" t="s">
        <v>58</v>
      </c>
      <c r="D251" t="s">
        <v>59</v>
      </c>
      <c r="E251" t="s">
        <v>60</v>
      </c>
      <c r="F251" t="s">
        <v>11</v>
      </c>
      <c r="G251">
        <v>559135</v>
      </c>
      <c r="H251">
        <v>2555369.3006731584</v>
      </c>
      <c r="I251">
        <v>3114504.3006731584</v>
      </c>
    </row>
    <row r="252" spans="1:9" x14ac:dyDescent="0.2">
      <c r="A252" t="s">
        <v>73</v>
      </c>
      <c r="B252">
        <v>2022</v>
      </c>
      <c r="C252" t="s">
        <v>58</v>
      </c>
      <c r="D252" t="s">
        <v>59</v>
      </c>
      <c r="E252" t="s">
        <v>60</v>
      </c>
      <c r="F252" t="s">
        <v>11</v>
      </c>
      <c r="G252">
        <v>568230</v>
      </c>
      <c r="H252">
        <v>2622847.3511335496</v>
      </c>
      <c r="I252">
        <v>3191077.3511335496</v>
      </c>
    </row>
    <row r="253" spans="1:9" x14ac:dyDescent="0.2">
      <c r="A253" t="s">
        <v>73</v>
      </c>
      <c r="B253">
        <v>2023</v>
      </c>
      <c r="C253" t="s">
        <v>58</v>
      </c>
      <c r="D253" t="s">
        <v>59</v>
      </c>
      <c r="E253" t="s">
        <v>60</v>
      </c>
      <c r="F253" t="s">
        <v>11</v>
      </c>
      <c r="G253">
        <v>829130</v>
      </c>
      <c r="H253" t="s">
        <v>125</v>
      </c>
      <c r="I253">
        <v>829130</v>
      </c>
    </row>
    <row r="254" spans="1:9" x14ac:dyDescent="0.2">
      <c r="A254" t="s">
        <v>95</v>
      </c>
      <c r="B254">
        <v>2015</v>
      </c>
      <c r="C254" t="s">
        <v>58</v>
      </c>
      <c r="D254" t="s">
        <v>59</v>
      </c>
      <c r="E254" t="s">
        <v>60</v>
      </c>
      <c r="F254" t="s">
        <v>33</v>
      </c>
      <c r="G254">
        <v>121709</v>
      </c>
      <c r="H254">
        <v>4137086.8233112684</v>
      </c>
      <c r="I254">
        <v>4258795.8233112684</v>
      </c>
    </row>
    <row r="255" spans="1:9" x14ac:dyDescent="0.2">
      <c r="A255" t="s">
        <v>95</v>
      </c>
      <c r="B255">
        <v>2016</v>
      </c>
      <c r="C255" t="s">
        <v>58</v>
      </c>
      <c r="D255" t="s">
        <v>59</v>
      </c>
      <c r="E255" t="s">
        <v>60</v>
      </c>
      <c r="F255" t="s">
        <v>33</v>
      </c>
      <c r="G255">
        <v>98039</v>
      </c>
      <c r="H255">
        <v>258552.00178977131</v>
      </c>
      <c r="I255">
        <v>356591.00178977131</v>
      </c>
    </row>
    <row r="256" spans="1:9" x14ac:dyDescent="0.2">
      <c r="A256" t="s">
        <v>95</v>
      </c>
      <c r="B256">
        <v>2017</v>
      </c>
      <c r="C256" t="s">
        <v>58</v>
      </c>
      <c r="D256" t="s">
        <v>59</v>
      </c>
      <c r="E256" t="s">
        <v>60</v>
      </c>
      <c r="F256" t="s">
        <v>33</v>
      </c>
      <c r="G256">
        <v>106666</v>
      </c>
      <c r="H256">
        <v>331190.70955476572</v>
      </c>
      <c r="I256">
        <v>437856.70955476572</v>
      </c>
    </row>
    <row r="257" spans="1:9" x14ac:dyDescent="0.2">
      <c r="A257" t="s">
        <v>95</v>
      </c>
      <c r="B257">
        <v>2018</v>
      </c>
      <c r="C257" t="s">
        <v>58</v>
      </c>
      <c r="D257" t="s">
        <v>59</v>
      </c>
      <c r="E257" t="s">
        <v>60</v>
      </c>
      <c r="F257" t="s">
        <v>33</v>
      </c>
      <c r="G257">
        <v>142686</v>
      </c>
      <c r="H257">
        <v>390729.1790824309</v>
      </c>
      <c r="I257">
        <v>533415.1790824309</v>
      </c>
    </row>
    <row r="258" spans="1:9" x14ac:dyDescent="0.2">
      <c r="A258" t="s">
        <v>95</v>
      </c>
      <c r="B258">
        <v>2019</v>
      </c>
      <c r="C258" t="s">
        <v>58</v>
      </c>
      <c r="D258" t="s">
        <v>59</v>
      </c>
      <c r="E258" t="s">
        <v>60</v>
      </c>
      <c r="F258" t="s">
        <v>33</v>
      </c>
      <c r="G258">
        <v>76182</v>
      </c>
      <c r="H258">
        <v>263628.51416799496</v>
      </c>
      <c r="I258">
        <v>339810.51416799496</v>
      </c>
    </row>
    <row r="259" spans="1:9" x14ac:dyDescent="0.2">
      <c r="A259" t="s">
        <v>95</v>
      </c>
      <c r="B259">
        <v>2020</v>
      </c>
      <c r="C259" t="s">
        <v>58</v>
      </c>
      <c r="D259" t="s">
        <v>59</v>
      </c>
      <c r="E259" t="s">
        <v>60</v>
      </c>
      <c r="F259" t="s">
        <v>33</v>
      </c>
      <c r="G259">
        <v>59645</v>
      </c>
      <c r="H259">
        <v>245156.34920985048</v>
      </c>
      <c r="I259">
        <v>304801.34920985048</v>
      </c>
    </row>
    <row r="260" spans="1:9" x14ac:dyDescent="0.2">
      <c r="A260" t="s">
        <v>95</v>
      </c>
      <c r="B260">
        <v>2021</v>
      </c>
      <c r="C260" t="s">
        <v>58</v>
      </c>
      <c r="D260" t="s">
        <v>59</v>
      </c>
      <c r="E260" t="s">
        <v>60</v>
      </c>
      <c r="F260" t="s">
        <v>33</v>
      </c>
      <c r="G260">
        <v>83864</v>
      </c>
      <c r="H260">
        <v>383276.83123334043</v>
      </c>
      <c r="I260">
        <v>467140.83123334043</v>
      </c>
    </row>
    <row r="261" spans="1:9" x14ac:dyDescent="0.2">
      <c r="A261" t="s">
        <v>95</v>
      </c>
      <c r="B261">
        <v>2022</v>
      </c>
      <c r="C261" t="s">
        <v>58</v>
      </c>
      <c r="D261" t="s">
        <v>59</v>
      </c>
      <c r="E261" t="s">
        <v>60</v>
      </c>
      <c r="F261" t="s">
        <v>33</v>
      </c>
      <c r="G261">
        <v>117179</v>
      </c>
      <c r="H261">
        <v>540877.16199158481</v>
      </c>
      <c r="I261">
        <v>658056.16199158481</v>
      </c>
    </row>
    <row r="262" spans="1:9" x14ac:dyDescent="0.2">
      <c r="A262" t="s">
        <v>95</v>
      </c>
      <c r="B262">
        <v>2023</v>
      </c>
      <c r="C262" t="s">
        <v>58</v>
      </c>
      <c r="D262" t="s">
        <v>59</v>
      </c>
      <c r="E262" t="s">
        <v>60</v>
      </c>
      <c r="F262" t="s">
        <v>33</v>
      </c>
      <c r="G262">
        <v>123150</v>
      </c>
      <c r="H262" t="s">
        <v>125</v>
      </c>
      <c r="I262">
        <v>123150</v>
      </c>
    </row>
    <row r="263" spans="1:9" x14ac:dyDescent="0.2">
      <c r="A263" t="s">
        <v>97</v>
      </c>
      <c r="B263">
        <v>2015</v>
      </c>
      <c r="C263" t="s">
        <v>58</v>
      </c>
      <c r="D263" t="s">
        <v>59</v>
      </c>
      <c r="E263" t="s">
        <v>60</v>
      </c>
      <c r="F263" t="s">
        <v>35</v>
      </c>
      <c r="G263">
        <v>94680</v>
      </c>
      <c r="H263">
        <v>3218327.1609421726</v>
      </c>
      <c r="I263">
        <v>3313007.1609421726</v>
      </c>
    </row>
    <row r="264" spans="1:9" x14ac:dyDescent="0.2">
      <c r="A264" t="s">
        <v>97</v>
      </c>
      <c r="B264">
        <v>2016</v>
      </c>
      <c r="C264" t="s">
        <v>58</v>
      </c>
      <c r="D264" t="s">
        <v>59</v>
      </c>
      <c r="E264" t="s">
        <v>60</v>
      </c>
      <c r="F264" t="s">
        <v>35</v>
      </c>
      <c r="G264">
        <v>77483</v>
      </c>
      <c r="H264">
        <v>204340.9740478468</v>
      </c>
      <c r="I264">
        <v>281823.9740478468</v>
      </c>
    </row>
    <row r="265" spans="1:9" x14ac:dyDescent="0.2">
      <c r="A265" t="s">
        <v>97</v>
      </c>
      <c r="B265">
        <v>2017</v>
      </c>
      <c r="C265" t="s">
        <v>58</v>
      </c>
      <c r="D265" t="s">
        <v>59</v>
      </c>
      <c r="E265" t="s">
        <v>60</v>
      </c>
      <c r="F265" t="s">
        <v>35</v>
      </c>
      <c r="G265">
        <v>108448</v>
      </c>
      <c r="H265">
        <v>336723.6989274486</v>
      </c>
      <c r="I265">
        <v>445171.6989274486</v>
      </c>
    </row>
    <row r="266" spans="1:9" x14ac:dyDescent="0.2">
      <c r="A266" t="s">
        <v>97</v>
      </c>
      <c r="B266">
        <v>2018</v>
      </c>
      <c r="C266" t="s">
        <v>58</v>
      </c>
      <c r="D266" t="s">
        <v>59</v>
      </c>
      <c r="E266" t="s">
        <v>60</v>
      </c>
      <c r="F266" t="s">
        <v>35</v>
      </c>
      <c r="G266">
        <v>184495</v>
      </c>
      <c r="H266">
        <v>505218.31080003001</v>
      </c>
      <c r="I266">
        <v>689713.31080003001</v>
      </c>
    </row>
    <row r="267" spans="1:9" x14ac:dyDescent="0.2">
      <c r="A267" t="s">
        <v>97</v>
      </c>
      <c r="B267">
        <v>2019</v>
      </c>
      <c r="C267" t="s">
        <v>58</v>
      </c>
      <c r="D267" t="s">
        <v>59</v>
      </c>
      <c r="E267" t="s">
        <v>60</v>
      </c>
      <c r="F267" t="s">
        <v>35</v>
      </c>
      <c r="G267">
        <v>46896</v>
      </c>
      <c r="H267">
        <v>162284.04085508769</v>
      </c>
      <c r="I267">
        <v>209180.04085508769</v>
      </c>
    </row>
    <row r="268" spans="1:9" x14ac:dyDescent="0.2">
      <c r="A268" t="s">
        <v>97</v>
      </c>
      <c r="B268">
        <v>2020</v>
      </c>
      <c r="C268" t="s">
        <v>58</v>
      </c>
      <c r="D268" t="s">
        <v>59</v>
      </c>
      <c r="E268" t="s">
        <v>60</v>
      </c>
      <c r="F268" t="s">
        <v>35</v>
      </c>
      <c r="G268">
        <v>110178</v>
      </c>
      <c r="H268">
        <v>452860.02587380179</v>
      </c>
      <c r="I268">
        <v>563038.02587380179</v>
      </c>
    </row>
    <row r="269" spans="1:9" x14ac:dyDescent="0.2">
      <c r="A269" t="s">
        <v>97</v>
      </c>
      <c r="B269">
        <v>2021</v>
      </c>
      <c r="C269" t="s">
        <v>58</v>
      </c>
      <c r="D269" t="s">
        <v>59</v>
      </c>
      <c r="E269" t="s">
        <v>60</v>
      </c>
      <c r="F269" t="s">
        <v>35</v>
      </c>
      <c r="G269">
        <v>159522</v>
      </c>
      <c r="H269">
        <v>729050.44681871752</v>
      </c>
      <c r="I269">
        <v>888572.44681871752</v>
      </c>
    </row>
    <row r="270" spans="1:9" x14ac:dyDescent="0.2">
      <c r="A270" t="s">
        <v>97</v>
      </c>
      <c r="B270">
        <v>2022</v>
      </c>
      <c r="C270" t="s">
        <v>58</v>
      </c>
      <c r="D270" t="s">
        <v>59</v>
      </c>
      <c r="E270" t="s">
        <v>60</v>
      </c>
      <c r="F270" t="s">
        <v>35</v>
      </c>
      <c r="G270">
        <v>136437</v>
      </c>
      <c r="H270">
        <v>629768.62194288953</v>
      </c>
      <c r="I270">
        <v>766205.62194288953</v>
      </c>
    </row>
    <row r="271" spans="1:9" x14ac:dyDescent="0.2">
      <c r="A271" t="s">
        <v>97</v>
      </c>
      <c r="B271">
        <v>2023</v>
      </c>
      <c r="C271" t="s">
        <v>58</v>
      </c>
      <c r="D271" t="s">
        <v>59</v>
      </c>
      <c r="E271" t="s">
        <v>60</v>
      </c>
      <c r="F271" t="s">
        <v>35</v>
      </c>
      <c r="G271">
        <v>130002</v>
      </c>
      <c r="H271" t="s">
        <v>125</v>
      </c>
      <c r="I271">
        <v>130002</v>
      </c>
    </row>
    <row r="272" spans="1:9" x14ac:dyDescent="0.2">
      <c r="A272" t="s">
        <v>94</v>
      </c>
      <c r="B272">
        <v>2015</v>
      </c>
      <c r="C272" t="s">
        <v>58</v>
      </c>
      <c r="D272" t="s">
        <v>59</v>
      </c>
      <c r="E272" t="s">
        <v>60</v>
      </c>
      <c r="F272" t="s">
        <v>32</v>
      </c>
      <c r="G272">
        <v>1109995</v>
      </c>
      <c r="H272">
        <v>37730535.033903748</v>
      </c>
      <c r="I272">
        <v>38840530.033903748</v>
      </c>
    </row>
    <row r="273" spans="1:9" x14ac:dyDescent="0.2">
      <c r="A273" t="s">
        <v>94</v>
      </c>
      <c r="B273">
        <v>2016</v>
      </c>
      <c r="C273" t="s">
        <v>58</v>
      </c>
      <c r="D273" t="s">
        <v>59</v>
      </c>
      <c r="E273" t="s">
        <v>60</v>
      </c>
      <c r="F273" t="s">
        <v>32</v>
      </c>
      <c r="G273">
        <v>1002615</v>
      </c>
      <c r="H273">
        <v>2644132.5928911106</v>
      </c>
      <c r="I273">
        <v>3646747.5928911106</v>
      </c>
    </row>
    <row r="274" spans="1:9" x14ac:dyDescent="0.2">
      <c r="A274" t="s">
        <v>94</v>
      </c>
      <c r="B274">
        <v>2017</v>
      </c>
      <c r="C274" t="s">
        <v>58</v>
      </c>
      <c r="D274" t="s">
        <v>59</v>
      </c>
      <c r="E274" t="s">
        <v>60</v>
      </c>
      <c r="F274" t="s">
        <v>32</v>
      </c>
      <c r="G274">
        <v>1163146</v>
      </c>
      <c r="H274">
        <v>3611489.5942079718</v>
      </c>
      <c r="I274">
        <v>4774635.5942079723</v>
      </c>
    </row>
    <row r="275" spans="1:9" x14ac:dyDescent="0.2">
      <c r="A275" t="s">
        <v>94</v>
      </c>
      <c r="B275">
        <v>2018</v>
      </c>
      <c r="C275" t="s">
        <v>58</v>
      </c>
      <c r="D275" t="s">
        <v>59</v>
      </c>
      <c r="E275" t="s">
        <v>60</v>
      </c>
      <c r="F275" t="s">
        <v>32</v>
      </c>
      <c r="G275">
        <v>1244222</v>
      </c>
      <c r="H275">
        <v>3407158.6606695848</v>
      </c>
      <c r="I275">
        <v>4651380.6606695848</v>
      </c>
    </row>
    <row r="276" spans="1:9" x14ac:dyDescent="0.2">
      <c r="A276" t="s">
        <v>94</v>
      </c>
      <c r="B276">
        <v>2019</v>
      </c>
      <c r="C276" t="s">
        <v>58</v>
      </c>
      <c r="D276" t="s">
        <v>59</v>
      </c>
      <c r="E276" t="s">
        <v>60</v>
      </c>
      <c r="F276" t="s">
        <v>32</v>
      </c>
      <c r="G276">
        <v>922679</v>
      </c>
      <c r="H276">
        <v>3192939.1959256963</v>
      </c>
      <c r="I276">
        <v>4115618.1959256963</v>
      </c>
    </row>
    <row r="277" spans="1:9" x14ac:dyDescent="0.2">
      <c r="A277" t="s">
        <v>94</v>
      </c>
      <c r="B277">
        <v>2020</v>
      </c>
      <c r="C277" t="s">
        <v>58</v>
      </c>
      <c r="D277" t="s">
        <v>59</v>
      </c>
      <c r="E277" t="s">
        <v>60</v>
      </c>
      <c r="F277" t="s">
        <v>32</v>
      </c>
      <c r="G277">
        <v>899458</v>
      </c>
      <c r="H277">
        <v>3697004.6030278099</v>
      </c>
      <c r="I277">
        <v>4596462.6030278094</v>
      </c>
    </row>
    <row r="278" spans="1:9" x14ac:dyDescent="0.2">
      <c r="A278" t="s">
        <v>94</v>
      </c>
      <c r="B278">
        <v>2021</v>
      </c>
      <c r="C278" t="s">
        <v>58</v>
      </c>
      <c r="D278" t="s">
        <v>59</v>
      </c>
      <c r="E278" t="s">
        <v>60</v>
      </c>
      <c r="F278" t="s">
        <v>32</v>
      </c>
      <c r="G278">
        <v>837947</v>
      </c>
      <c r="H278">
        <v>3829601.1506902114</v>
      </c>
      <c r="I278">
        <v>4667548.150690211</v>
      </c>
    </row>
    <row r="279" spans="1:9" x14ac:dyDescent="0.2">
      <c r="A279" t="s">
        <v>94</v>
      </c>
      <c r="B279">
        <v>2022</v>
      </c>
      <c r="C279" t="s">
        <v>58</v>
      </c>
      <c r="D279" t="s">
        <v>59</v>
      </c>
      <c r="E279" t="s">
        <v>60</v>
      </c>
      <c r="F279" t="s">
        <v>32</v>
      </c>
      <c r="G279">
        <v>989897</v>
      </c>
      <c r="H279">
        <v>4569186.2878500726</v>
      </c>
      <c r="I279">
        <v>5559083.2878500726</v>
      </c>
    </row>
    <row r="280" spans="1:9" x14ac:dyDescent="0.2">
      <c r="A280" t="s">
        <v>94</v>
      </c>
      <c r="B280">
        <v>2023</v>
      </c>
      <c r="C280" t="s">
        <v>58</v>
      </c>
      <c r="D280" t="s">
        <v>59</v>
      </c>
      <c r="E280" t="s">
        <v>60</v>
      </c>
      <c r="F280" t="s">
        <v>32</v>
      </c>
      <c r="G280">
        <v>1436740</v>
      </c>
      <c r="H280" t="s">
        <v>125</v>
      </c>
      <c r="I280">
        <v>1436740</v>
      </c>
    </row>
    <row r="281" spans="1:9" x14ac:dyDescent="0.2">
      <c r="A281" t="s">
        <v>93</v>
      </c>
      <c r="B281">
        <v>2015</v>
      </c>
      <c r="C281" t="s">
        <v>58</v>
      </c>
      <c r="D281" t="s">
        <v>59</v>
      </c>
      <c r="E281" t="s">
        <v>60</v>
      </c>
      <c r="F281" t="s">
        <v>31</v>
      </c>
      <c r="G281">
        <v>393486</v>
      </c>
      <c r="H281">
        <v>13375228.995041104</v>
      </c>
      <c r="I281">
        <v>13768714.995041104</v>
      </c>
    </row>
    <row r="282" spans="1:9" x14ac:dyDescent="0.2">
      <c r="A282" t="s">
        <v>93</v>
      </c>
      <c r="B282">
        <v>2016</v>
      </c>
      <c r="C282" t="s">
        <v>58</v>
      </c>
      <c r="D282" t="s">
        <v>59</v>
      </c>
      <c r="E282" t="s">
        <v>60</v>
      </c>
      <c r="F282" t="s">
        <v>31</v>
      </c>
      <c r="G282">
        <v>400164</v>
      </c>
      <c r="H282">
        <v>1055326.9948102497</v>
      </c>
      <c r="I282">
        <v>1455490.9948102497</v>
      </c>
    </row>
    <row r="283" spans="1:9" x14ac:dyDescent="0.2">
      <c r="A283" t="s">
        <v>93</v>
      </c>
      <c r="B283">
        <v>2017</v>
      </c>
      <c r="C283" t="s">
        <v>58</v>
      </c>
      <c r="D283" t="s">
        <v>59</v>
      </c>
      <c r="E283" t="s">
        <v>60</v>
      </c>
      <c r="F283" t="s">
        <v>31</v>
      </c>
      <c r="G283">
        <v>474846</v>
      </c>
      <c r="H283">
        <v>1474364.6866784382</v>
      </c>
      <c r="I283">
        <v>1949210.6866784382</v>
      </c>
    </row>
    <row r="284" spans="1:9" x14ac:dyDescent="0.2">
      <c r="A284" t="s">
        <v>93</v>
      </c>
      <c r="B284">
        <v>2018</v>
      </c>
      <c r="C284" t="s">
        <v>58</v>
      </c>
      <c r="D284" t="s">
        <v>59</v>
      </c>
      <c r="E284" t="s">
        <v>60</v>
      </c>
      <c r="F284" t="s">
        <v>31</v>
      </c>
      <c r="G284">
        <v>521774</v>
      </c>
      <c r="H284">
        <v>1428818.010782812</v>
      </c>
      <c r="I284">
        <v>1950592.010782812</v>
      </c>
    </row>
    <row r="285" spans="1:9" x14ac:dyDescent="0.2">
      <c r="A285" t="s">
        <v>93</v>
      </c>
      <c r="B285">
        <v>2019</v>
      </c>
      <c r="C285" t="s">
        <v>58</v>
      </c>
      <c r="D285" t="s">
        <v>59</v>
      </c>
      <c r="E285" t="s">
        <v>60</v>
      </c>
      <c r="F285" t="s">
        <v>31</v>
      </c>
      <c r="G285">
        <v>519029</v>
      </c>
      <c r="H285">
        <v>1796104.6451930932</v>
      </c>
      <c r="I285">
        <v>2315133.6451930935</v>
      </c>
    </row>
    <row r="286" spans="1:9" x14ac:dyDescent="0.2">
      <c r="A286" t="s">
        <v>93</v>
      </c>
      <c r="B286">
        <v>2020</v>
      </c>
      <c r="C286" t="s">
        <v>58</v>
      </c>
      <c r="D286" t="s">
        <v>59</v>
      </c>
      <c r="E286" t="s">
        <v>60</v>
      </c>
      <c r="F286" t="s">
        <v>31</v>
      </c>
      <c r="G286">
        <v>453494</v>
      </c>
      <c r="H286">
        <v>1863977.4235656289</v>
      </c>
      <c r="I286">
        <v>2317471.4235656289</v>
      </c>
    </row>
    <row r="287" spans="1:9" x14ac:dyDescent="0.2">
      <c r="A287" t="s">
        <v>93</v>
      </c>
      <c r="B287">
        <v>2021</v>
      </c>
      <c r="C287" t="s">
        <v>58</v>
      </c>
      <c r="D287" t="s">
        <v>59</v>
      </c>
      <c r="E287" t="s">
        <v>60</v>
      </c>
      <c r="F287" t="s">
        <v>31</v>
      </c>
      <c r="G287">
        <v>523635</v>
      </c>
      <c r="H287">
        <v>2393126.5325153847</v>
      </c>
      <c r="I287">
        <v>2916761.5325153847</v>
      </c>
    </row>
    <row r="288" spans="1:9" x14ac:dyDescent="0.2">
      <c r="A288" t="s">
        <v>93</v>
      </c>
      <c r="B288">
        <v>2022</v>
      </c>
      <c r="C288" t="s">
        <v>58</v>
      </c>
      <c r="D288" t="s">
        <v>59</v>
      </c>
      <c r="E288" t="s">
        <v>60</v>
      </c>
      <c r="F288" t="s">
        <v>31</v>
      </c>
      <c r="G288">
        <v>503276</v>
      </c>
      <c r="H288">
        <v>2323031.3842794085</v>
      </c>
      <c r="I288">
        <v>2826307.3842794085</v>
      </c>
    </row>
    <row r="289" spans="1:9" x14ac:dyDescent="0.2">
      <c r="A289" t="s">
        <v>93</v>
      </c>
      <c r="B289">
        <v>2023</v>
      </c>
      <c r="C289" t="s">
        <v>58</v>
      </c>
      <c r="D289" t="s">
        <v>59</v>
      </c>
      <c r="E289" t="s">
        <v>60</v>
      </c>
      <c r="F289" t="s">
        <v>31</v>
      </c>
      <c r="G289">
        <v>659816</v>
      </c>
      <c r="H289" t="s">
        <v>125</v>
      </c>
      <c r="I289">
        <v>659816</v>
      </c>
    </row>
    <row r="290" spans="1:9" x14ac:dyDescent="0.2">
      <c r="A290" t="s">
        <v>76</v>
      </c>
      <c r="B290">
        <v>2015</v>
      </c>
      <c r="C290" t="s">
        <v>58</v>
      </c>
      <c r="D290" t="s">
        <v>59</v>
      </c>
      <c r="E290" t="s">
        <v>60</v>
      </c>
      <c r="F290" t="s">
        <v>14</v>
      </c>
      <c r="G290">
        <v>4732181</v>
      </c>
      <c r="H290">
        <v>160854527.27919826</v>
      </c>
      <c r="I290">
        <v>165586708.27919826</v>
      </c>
    </row>
    <row r="291" spans="1:9" x14ac:dyDescent="0.2">
      <c r="A291" t="s">
        <v>76</v>
      </c>
      <c r="B291">
        <v>2016</v>
      </c>
      <c r="C291" t="s">
        <v>58</v>
      </c>
      <c r="D291" t="s">
        <v>59</v>
      </c>
      <c r="E291" t="s">
        <v>60</v>
      </c>
      <c r="F291" t="s">
        <v>14</v>
      </c>
      <c r="G291">
        <v>4448917</v>
      </c>
      <c r="H291">
        <v>11732845.052953867</v>
      </c>
      <c r="I291">
        <v>16181762.052953867</v>
      </c>
    </row>
    <row r="292" spans="1:9" x14ac:dyDescent="0.2">
      <c r="A292" t="s">
        <v>76</v>
      </c>
      <c r="B292">
        <v>2017</v>
      </c>
      <c r="C292" t="s">
        <v>58</v>
      </c>
      <c r="D292" t="s">
        <v>59</v>
      </c>
      <c r="E292" t="s">
        <v>60</v>
      </c>
      <c r="F292" t="s">
        <v>14</v>
      </c>
      <c r="G292">
        <v>4891947</v>
      </c>
      <c r="H292">
        <v>15189164.288848439</v>
      </c>
      <c r="I292">
        <v>20081111.288848437</v>
      </c>
    </row>
    <row r="293" spans="1:9" x14ac:dyDescent="0.2">
      <c r="A293" t="s">
        <v>76</v>
      </c>
      <c r="B293">
        <v>2018</v>
      </c>
      <c r="C293" t="s">
        <v>58</v>
      </c>
      <c r="D293" t="s">
        <v>59</v>
      </c>
      <c r="E293" t="s">
        <v>60</v>
      </c>
      <c r="F293" t="s">
        <v>14</v>
      </c>
      <c r="G293">
        <v>5272973</v>
      </c>
      <c r="H293">
        <v>14439429.317619268</v>
      </c>
      <c r="I293">
        <v>19712402.317619268</v>
      </c>
    </row>
    <row r="294" spans="1:9" x14ac:dyDescent="0.2">
      <c r="A294" t="s">
        <v>76</v>
      </c>
      <c r="B294">
        <v>2019</v>
      </c>
      <c r="C294" t="s">
        <v>58</v>
      </c>
      <c r="D294" t="s">
        <v>59</v>
      </c>
      <c r="E294" t="s">
        <v>60</v>
      </c>
      <c r="F294" t="s">
        <v>14</v>
      </c>
      <c r="G294">
        <v>4982200</v>
      </c>
      <c r="H294">
        <v>17240949.086238012</v>
      </c>
      <c r="I294">
        <v>22223149.086238012</v>
      </c>
    </row>
    <row r="295" spans="1:9" x14ac:dyDescent="0.2">
      <c r="A295" t="s">
        <v>76</v>
      </c>
      <c r="B295">
        <v>2020</v>
      </c>
      <c r="C295" t="s">
        <v>58</v>
      </c>
      <c r="D295" t="s">
        <v>59</v>
      </c>
      <c r="E295" t="s">
        <v>60</v>
      </c>
      <c r="F295" t="s">
        <v>14</v>
      </c>
      <c r="G295">
        <v>4491685</v>
      </c>
      <c r="H295">
        <v>18461985.018034156</v>
      </c>
      <c r="I295">
        <v>22953670.018034156</v>
      </c>
    </row>
    <row r="296" spans="1:9" x14ac:dyDescent="0.2">
      <c r="A296" t="s">
        <v>76</v>
      </c>
      <c r="B296">
        <v>2021</v>
      </c>
      <c r="C296" t="s">
        <v>58</v>
      </c>
      <c r="D296" t="s">
        <v>59</v>
      </c>
      <c r="E296" t="s">
        <v>60</v>
      </c>
      <c r="F296" t="s">
        <v>14</v>
      </c>
      <c r="G296">
        <v>3797960</v>
      </c>
      <c r="H296">
        <v>17357508.274718326</v>
      </c>
      <c r="I296">
        <v>21155468.274718326</v>
      </c>
    </row>
    <row r="297" spans="1:9" x14ac:dyDescent="0.2">
      <c r="A297" t="s">
        <v>76</v>
      </c>
      <c r="B297">
        <v>2022</v>
      </c>
      <c r="C297" t="s">
        <v>58</v>
      </c>
      <c r="D297" t="s">
        <v>59</v>
      </c>
      <c r="E297" t="s">
        <v>60</v>
      </c>
      <c r="F297" t="s">
        <v>14</v>
      </c>
      <c r="G297">
        <v>3975188</v>
      </c>
      <c r="H297">
        <v>18348751.942097168</v>
      </c>
      <c r="I297">
        <v>22323939.942097168</v>
      </c>
    </row>
    <row r="298" spans="1:9" x14ac:dyDescent="0.2">
      <c r="A298" t="s">
        <v>76</v>
      </c>
      <c r="B298">
        <v>2023</v>
      </c>
      <c r="C298" t="s">
        <v>58</v>
      </c>
      <c r="D298" t="s">
        <v>59</v>
      </c>
      <c r="E298" t="s">
        <v>60</v>
      </c>
      <c r="F298" t="s">
        <v>14</v>
      </c>
      <c r="G298">
        <v>6784920</v>
      </c>
      <c r="H298" t="s">
        <v>125</v>
      </c>
      <c r="I298">
        <v>6784920</v>
      </c>
    </row>
    <row r="299" spans="1:9" x14ac:dyDescent="0.2">
      <c r="A299" t="s">
        <v>74</v>
      </c>
      <c r="B299">
        <v>2015</v>
      </c>
      <c r="C299" t="s">
        <v>58</v>
      </c>
      <c r="D299" t="s">
        <v>59</v>
      </c>
      <c r="E299" t="s">
        <v>60</v>
      </c>
      <c r="F299" t="s">
        <v>12</v>
      </c>
      <c r="G299">
        <v>91497</v>
      </c>
      <c r="H299">
        <v>3110131.8150055553</v>
      </c>
      <c r="I299">
        <v>3201628.8150055553</v>
      </c>
    </row>
    <row r="300" spans="1:9" x14ac:dyDescent="0.2">
      <c r="A300" t="s">
        <v>74</v>
      </c>
      <c r="B300">
        <v>2016</v>
      </c>
      <c r="C300" t="s">
        <v>58</v>
      </c>
      <c r="D300" t="s">
        <v>59</v>
      </c>
      <c r="E300" t="s">
        <v>60</v>
      </c>
      <c r="F300" t="s">
        <v>12</v>
      </c>
      <c r="G300">
        <v>105733</v>
      </c>
      <c r="H300">
        <v>278842.89726780046</v>
      </c>
      <c r="I300">
        <v>384575.89726780046</v>
      </c>
    </row>
    <row r="301" spans="1:9" x14ac:dyDescent="0.2">
      <c r="A301" t="s">
        <v>74</v>
      </c>
      <c r="B301">
        <v>2017</v>
      </c>
      <c r="C301" t="s">
        <v>58</v>
      </c>
      <c r="D301" t="s">
        <v>59</v>
      </c>
      <c r="E301" t="s">
        <v>60</v>
      </c>
      <c r="F301" t="s">
        <v>12</v>
      </c>
      <c r="G301">
        <v>108600</v>
      </c>
      <c r="H301">
        <v>337195.64863824984</v>
      </c>
      <c r="I301">
        <v>445795.64863824984</v>
      </c>
    </row>
    <row r="302" spans="1:9" x14ac:dyDescent="0.2">
      <c r="A302" t="s">
        <v>74</v>
      </c>
      <c r="B302">
        <v>2018</v>
      </c>
      <c r="C302" t="s">
        <v>58</v>
      </c>
      <c r="D302" t="s">
        <v>59</v>
      </c>
      <c r="E302" t="s">
        <v>60</v>
      </c>
      <c r="F302" t="s">
        <v>12</v>
      </c>
      <c r="G302">
        <v>140642</v>
      </c>
      <c r="H302">
        <v>385131.92047230457</v>
      </c>
      <c r="I302">
        <v>525773.92047230457</v>
      </c>
    </row>
    <row r="303" spans="1:9" x14ac:dyDescent="0.2">
      <c r="A303" t="s">
        <v>74</v>
      </c>
      <c r="B303">
        <v>2019</v>
      </c>
      <c r="C303" t="s">
        <v>58</v>
      </c>
      <c r="D303" t="s">
        <v>59</v>
      </c>
      <c r="E303" t="s">
        <v>60</v>
      </c>
      <c r="F303" t="s">
        <v>12</v>
      </c>
      <c r="G303">
        <v>96183</v>
      </c>
      <c r="H303">
        <v>332842.15927936067</v>
      </c>
      <c r="I303">
        <v>429025.15927936067</v>
      </c>
    </row>
    <row r="304" spans="1:9" x14ac:dyDescent="0.2">
      <c r="A304" t="s">
        <v>74</v>
      </c>
      <c r="B304">
        <v>2020</v>
      </c>
      <c r="C304" t="s">
        <v>58</v>
      </c>
      <c r="D304" t="s">
        <v>59</v>
      </c>
      <c r="E304" t="s">
        <v>60</v>
      </c>
      <c r="F304" t="s">
        <v>12</v>
      </c>
      <c r="G304">
        <v>114268</v>
      </c>
      <c r="H304">
        <v>469670.98183437332</v>
      </c>
      <c r="I304">
        <v>583938.98183437332</v>
      </c>
    </row>
    <row r="305" spans="1:9" x14ac:dyDescent="0.2">
      <c r="A305" t="s">
        <v>74</v>
      </c>
      <c r="B305">
        <v>2021</v>
      </c>
      <c r="C305" t="s">
        <v>58</v>
      </c>
      <c r="D305" t="s">
        <v>59</v>
      </c>
      <c r="E305" t="s">
        <v>60</v>
      </c>
      <c r="F305" t="s">
        <v>12</v>
      </c>
      <c r="G305">
        <v>92091</v>
      </c>
      <c r="H305">
        <v>420876.02147655195</v>
      </c>
      <c r="I305">
        <v>512967.02147655195</v>
      </c>
    </row>
    <row r="306" spans="1:9" x14ac:dyDescent="0.2">
      <c r="A306" t="s">
        <v>74</v>
      </c>
      <c r="B306">
        <v>2022</v>
      </c>
      <c r="C306" t="s">
        <v>58</v>
      </c>
      <c r="D306" t="s">
        <v>59</v>
      </c>
      <c r="E306" t="s">
        <v>60</v>
      </c>
      <c r="F306" t="s">
        <v>12</v>
      </c>
      <c r="G306">
        <v>107130</v>
      </c>
      <c r="H306">
        <v>494492.78765101655</v>
      </c>
      <c r="I306">
        <v>601622.78765101661</v>
      </c>
    </row>
    <row r="307" spans="1:9" x14ac:dyDescent="0.2">
      <c r="A307" t="s">
        <v>74</v>
      </c>
      <c r="B307">
        <v>2023</v>
      </c>
      <c r="C307" t="s">
        <v>58</v>
      </c>
      <c r="D307" t="s">
        <v>59</v>
      </c>
      <c r="E307" t="s">
        <v>60</v>
      </c>
      <c r="F307" t="s">
        <v>12</v>
      </c>
      <c r="G307">
        <v>175593</v>
      </c>
      <c r="H307" t="s">
        <v>125</v>
      </c>
      <c r="I307">
        <v>175593</v>
      </c>
    </row>
    <row r="308" spans="1:9" x14ac:dyDescent="0.2">
      <c r="A308" t="s">
        <v>75</v>
      </c>
      <c r="B308">
        <v>2015</v>
      </c>
      <c r="C308" t="s">
        <v>58</v>
      </c>
      <c r="D308" t="s">
        <v>59</v>
      </c>
      <c r="E308" t="s">
        <v>60</v>
      </c>
      <c r="F308" t="s">
        <v>13</v>
      </c>
      <c r="G308">
        <v>196991</v>
      </c>
      <c r="H308">
        <v>6696044.4207980512</v>
      </c>
      <c r="I308">
        <v>6893035.4207980512</v>
      </c>
    </row>
    <row r="309" spans="1:9" x14ac:dyDescent="0.2">
      <c r="A309" t="s">
        <v>75</v>
      </c>
      <c r="B309">
        <v>2016</v>
      </c>
      <c r="C309" t="s">
        <v>58</v>
      </c>
      <c r="D309" t="s">
        <v>59</v>
      </c>
      <c r="E309" t="s">
        <v>60</v>
      </c>
      <c r="F309" t="s">
        <v>13</v>
      </c>
      <c r="G309">
        <v>180778</v>
      </c>
      <c r="H309">
        <v>476754.28941085975</v>
      </c>
      <c r="I309">
        <v>657532.28941085981</v>
      </c>
    </row>
    <row r="310" spans="1:9" x14ac:dyDescent="0.2">
      <c r="A310" t="s">
        <v>75</v>
      </c>
      <c r="B310">
        <v>2017</v>
      </c>
      <c r="C310" t="s">
        <v>58</v>
      </c>
      <c r="D310" t="s">
        <v>59</v>
      </c>
      <c r="E310" t="s">
        <v>60</v>
      </c>
      <c r="F310" t="s">
        <v>13</v>
      </c>
      <c r="G310">
        <v>200341</v>
      </c>
      <c r="H310">
        <v>622045.24349756551</v>
      </c>
      <c r="I310">
        <v>822386.24349756551</v>
      </c>
    </row>
    <row r="311" spans="1:9" x14ac:dyDescent="0.2">
      <c r="A311" t="s">
        <v>75</v>
      </c>
      <c r="B311">
        <v>2018</v>
      </c>
      <c r="C311" t="s">
        <v>58</v>
      </c>
      <c r="D311" t="s">
        <v>59</v>
      </c>
      <c r="E311" t="s">
        <v>60</v>
      </c>
      <c r="F311" t="s">
        <v>13</v>
      </c>
      <c r="G311">
        <v>219437</v>
      </c>
      <c r="H311">
        <v>600902.95383086917</v>
      </c>
      <c r="I311">
        <v>820339.95383086917</v>
      </c>
    </row>
    <row r="312" spans="1:9" x14ac:dyDescent="0.2">
      <c r="A312" t="s">
        <v>75</v>
      </c>
      <c r="B312">
        <v>2019</v>
      </c>
      <c r="C312" t="s">
        <v>58</v>
      </c>
      <c r="D312" t="s">
        <v>59</v>
      </c>
      <c r="E312" t="s">
        <v>60</v>
      </c>
      <c r="F312" t="s">
        <v>13</v>
      </c>
      <c r="G312">
        <v>113224</v>
      </c>
      <c r="H312">
        <v>391812.69706961041</v>
      </c>
      <c r="I312">
        <v>505036.69706961041</v>
      </c>
    </row>
    <row r="313" spans="1:9" x14ac:dyDescent="0.2">
      <c r="A313" t="s">
        <v>75</v>
      </c>
      <c r="B313">
        <v>2020</v>
      </c>
      <c r="C313" t="s">
        <v>58</v>
      </c>
      <c r="D313" t="s">
        <v>59</v>
      </c>
      <c r="E313" t="s">
        <v>60</v>
      </c>
      <c r="F313" t="s">
        <v>13</v>
      </c>
      <c r="G313">
        <v>156327</v>
      </c>
      <c r="H313">
        <v>642544.33067194733</v>
      </c>
      <c r="I313">
        <v>798871.33067194733</v>
      </c>
    </row>
    <row r="314" spans="1:9" x14ac:dyDescent="0.2">
      <c r="A314" t="s">
        <v>75</v>
      </c>
      <c r="B314">
        <v>2021</v>
      </c>
      <c r="C314" t="s">
        <v>58</v>
      </c>
      <c r="D314" t="s">
        <v>59</v>
      </c>
      <c r="E314" t="s">
        <v>60</v>
      </c>
      <c r="F314" t="s">
        <v>13</v>
      </c>
      <c r="G314">
        <v>156746</v>
      </c>
      <c r="H314">
        <v>716363.5193706617</v>
      </c>
      <c r="I314">
        <v>873109.5193706617</v>
      </c>
    </row>
    <row r="315" spans="1:9" x14ac:dyDescent="0.2">
      <c r="A315" t="s">
        <v>75</v>
      </c>
      <c r="B315">
        <v>2022</v>
      </c>
      <c r="C315" t="s">
        <v>58</v>
      </c>
      <c r="D315" t="s">
        <v>59</v>
      </c>
      <c r="E315" t="s">
        <v>60</v>
      </c>
      <c r="F315" t="s">
        <v>13</v>
      </c>
      <c r="G315">
        <v>168902</v>
      </c>
      <c r="H315">
        <v>779621.21553096245</v>
      </c>
      <c r="I315">
        <v>948523.21553096245</v>
      </c>
    </row>
    <row r="316" spans="1:9" x14ac:dyDescent="0.2">
      <c r="A316" t="s">
        <v>75</v>
      </c>
      <c r="B316">
        <v>2023</v>
      </c>
      <c r="C316" t="s">
        <v>58</v>
      </c>
      <c r="D316" t="s">
        <v>59</v>
      </c>
      <c r="E316" t="s">
        <v>60</v>
      </c>
      <c r="F316" t="s">
        <v>13</v>
      </c>
      <c r="G316">
        <v>236216</v>
      </c>
      <c r="H316" t="s">
        <v>125</v>
      </c>
      <c r="I316">
        <v>236216</v>
      </c>
    </row>
    <row r="317" spans="1:9" x14ac:dyDescent="0.2">
      <c r="A317" t="s">
        <v>86</v>
      </c>
      <c r="B317">
        <v>2015</v>
      </c>
      <c r="C317" t="s">
        <v>58</v>
      </c>
      <c r="D317" t="s">
        <v>59</v>
      </c>
      <c r="E317" t="s">
        <v>60</v>
      </c>
      <c r="F317" t="s">
        <v>24</v>
      </c>
      <c r="G317">
        <v>591144</v>
      </c>
      <c r="H317">
        <v>20093945.830460496</v>
      </c>
      <c r="I317">
        <v>20685089.830460496</v>
      </c>
    </row>
    <row r="318" spans="1:9" x14ac:dyDescent="0.2">
      <c r="A318" t="s">
        <v>86</v>
      </c>
      <c r="B318">
        <v>2016</v>
      </c>
      <c r="C318" t="s">
        <v>58</v>
      </c>
      <c r="D318" t="s">
        <v>59</v>
      </c>
      <c r="E318" t="s">
        <v>60</v>
      </c>
      <c r="F318" t="s">
        <v>24</v>
      </c>
      <c r="G318">
        <v>537956</v>
      </c>
      <c r="H318">
        <v>1418717.0480606516</v>
      </c>
      <c r="I318">
        <v>1956673.0480606516</v>
      </c>
    </row>
    <row r="319" spans="1:9" x14ac:dyDescent="0.2">
      <c r="A319" t="s">
        <v>86</v>
      </c>
      <c r="B319">
        <v>2017</v>
      </c>
      <c r="C319" t="s">
        <v>58</v>
      </c>
      <c r="D319" t="s">
        <v>59</v>
      </c>
      <c r="E319" t="s">
        <v>60</v>
      </c>
      <c r="F319" t="s">
        <v>24</v>
      </c>
      <c r="G319">
        <v>588274</v>
      </c>
      <c r="H319">
        <v>1826550.948499243</v>
      </c>
      <c r="I319">
        <v>2414824.9484992428</v>
      </c>
    </row>
    <row r="320" spans="1:9" x14ac:dyDescent="0.2">
      <c r="A320" t="s">
        <v>86</v>
      </c>
      <c r="B320">
        <v>2018</v>
      </c>
      <c r="C320" t="s">
        <v>58</v>
      </c>
      <c r="D320" t="s">
        <v>59</v>
      </c>
      <c r="E320" t="s">
        <v>60</v>
      </c>
      <c r="F320" t="s">
        <v>24</v>
      </c>
      <c r="G320">
        <v>620262</v>
      </c>
      <c r="H320">
        <v>1698516.0567681955</v>
      </c>
      <c r="I320">
        <v>2318778.0567681957</v>
      </c>
    </row>
    <row r="321" spans="1:9" x14ac:dyDescent="0.2">
      <c r="A321" t="s">
        <v>86</v>
      </c>
      <c r="B321">
        <v>2019</v>
      </c>
      <c r="C321" t="s">
        <v>58</v>
      </c>
      <c r="D321" t="s">
        <v>59</v>
      </c>
      <c r="E321" t="s">
        <v>60</v>
      </c>
      <c r="F321" t="s">
        <v>24</v>
      </c>
      <c r="G321">
        <v>649289</v>
      </c>
      <c r="H321">
        <v>2246870.577506803</v>
      </c>
      <c r="I321">
        <v>2896159.577506803</v>
      </c>
    </row>
    <row r="322" spans="1:9" x14ac:dyDescent="0.2">
      <c r="A322" t="s">
        <v>86</v>
      </c>
      <c r="B322">
        <v>2020</v>
      </c>
      <c r="C322" t="s">
        <v>58</v>
      </c>
      <c r="D322" t="s">
        <v>59</v>
      </c>
      <c r="E322" t="s">
        <v>60</v>
      </c>
      <c r="F322" t="s">
        <v>24</v>
      </c>
      <c r="G322">
        <v>286809</v>
      </c>
      <c r="H322">
        <v>1178859.0386541707</v>
      </c>
      <c r="I322">
        <v>1465668.0386541707</v>
      </c>
    </row>
    <row r="323" spans="1:9" x14ac:dyDescent="0.2">
      <c r="A323" t="s">
        <v>86</v>
      </c>
      <c r="B323">
        <v>2021</v>
      </c>
      <c r="C323" t="s">
        <v>58</v>
      </c>
      <c r="D323" t="s">
        <v>59</v>
      </c>
      <c r="E323" t="s">
        <v>60</v>
      </c>
      <c r="F323" t="s">
        <v>24</v>
      </c>
      <c r="G323">
        <v>586217</v>
      </c>
      <c r="H323">
        <v>2679139.9667928442</v>
      </c>
      <c r="I323">
        <v>3265356.9667928442</v>
      </c>
    </row>
    <row r="324" spans="1:9" x14ac:dyDescent="0.2">
      <c r="A324" t="s">
        <v>86</v>
      </c>
      <c r="B324">
        <v>2022</v>
      </c>
      <c r="C324" t="s">
        <v>58</v>
      </c>
      <c r="D324" t="s">
        <v>59</v>
      </c>
      <c r="E324" t="s">
        <v>60</v>
      </c>
      <c r="F324" t="s">
        <v>24</v>
      </c>
      <c r="G324">
        <v>437709</v>
      </c>
      <c r="H324">
        <v>2020385.9198164737</v>
      </c>
      <c r="I324">
        <v>2458094.9198164735</v>
      </c>
    </row>
    <row r="325" spans="1:9" x14ac:dyDescent="0.2">
      <c r="A325" t="s">
        <v>86</v>
      </c>
      <c r="B325">
        <v>2023</v>
      </c>
      <c r="C325" t="s">
        <v>58</v>
      </c>
      <c r="D325" t="s">
        <v>59</v>
      </c>
      <c r="E325" t="s">
        <v>60</v>
      </c>
      <c r="F325" t="s">
        <v>24</v>
      </c>
      <c r="G325">
        <v>747105</v>
      </c>
      <c r="H325" t="s">
        <v>125</v>
      </c>
      <c r="I325">
        <v>747105</v>
      </c>
    </row>
    <row r="326" spans="1:9" x14ac:dyDescent="0.2">
      <c r="A326" t="s">
        <v>91</v>
      </c>
      <c r="B326">
        <v>2015</v>
      </c>
      <c r="C326" t="s">
        <v>58</v>
      </c>
      <c r="D326" t="s">
        <v>59</v>
      </c>
      <c r="E326" t="s">
        <v>60</v>
      </c>
      <c r="F326" t="s">
        <v>29</v>
      </c>
      <c r="G326">
        <v>492081</v>
      </c>
      <c r="H326">
        <v>16726633.372238964</v>
      </c>
      <c r="I326">
        <v>17218714.372238964</v>
      </c>
    </row>
    <row r="327" spans="1:9" x14ac:dyDescent="0.2">
      <c r="A327" t="s">
        <v>91</v>
      </c>
      <c r="B327">
        <v>2016</v>
      </c>
      <c r="C327" t="s">
        <v>58</v>
      </c>
      <c r="D327" t="s">
        <v>59</v>
      </c>
      <c r="E327" t="s">
        <v>60</v>
      </c>
      <c r="F327" t="s">
        <v>29</v>
      </c>
      <c r="G327">
        <v>451723</v>
      </c>
      <c r="H327">
        <v>1191300.2570862705</v>
      </c>
      <c r="I327">
        <v>1643023.2570862705</v>
      </c>
    </row>
    <row r="328" spans="1:9" x14ac:dyDescent="0.2">
      <c r="A328" t="s">
        <v>91</v>
      </c>
      <c r="B328">
        <v>2017</v>
      </c>
      <c r="C328" t="s">
        <v>58</v>
      </c>
      <c r="D328" t="s">
        <v>59</v>
      </c>
      <c r="E328" t="s">
        <v>60</v>
      </c>
      <c r="F328" t="s">
        <v>29</v>
      </c>
      <c r="G328">
        <v>527860</v>
      </c>
      <c r="H328">
        <v>1638969.5680495999</v>
      </c>
      <c r="I328">
        <v>2166829.5680495999</v>
      </c>
    </row>
    <row r="329" spans="1:9" x14ac:dyDescent="0.2">
      <c r="A329" t="s">
        <v>91</v>
      </c>
      <c r="B329">
        <v>2018</v>
      </c>
      <c r="C329" t="s">
        <v>58</v>
      </c>
      <c r="D329" t="s">
        <v>59</v>
      </c>
      <c r="E329" t="s">
        <v>60</v>
      </c>
      <c r="F329" t="s">
        <v>29</v>
      </c>
      <c r="G329">
        <v>723018</v>
      </c>
      <c r="H329">
        <v>1979901.5292447822</v>
      </c>
      <c r="I329">
        <v>2702919.5292447824</v>
      </c>
    </row>
    <row r="330" spans="1:9" x14ac:dyDescent="0.2">
      <c r="A330" t="s">
        <v>91</v>
      </c>
      <c r="B330">
        <v>2019</v>
      </c>
      <c r="C330" t="s">
        <v>58</v>
      </c>
      <c r="D330" t="s">
        <v>59</v>
      </c>
      <c r="E330" t="s">
        <v>60</v>
      </c>
      <c r="F330" t="s">
        <v>29</v>
      </c>
      <c r="G330">
        <v>398426</v>
      </c>
      <c r="H330">
        <v>1378756.8505145251</v>
      </c>
      <c r="I330">
        <v>1777182.8505145251</v>
      </c>
    </row>
    <row r="331" spans="1:9" x14ac:dyDescent="0.2">
      <c r="A331" t="s">
        <v>91</v>
      </c>
      <c r="B331">
        <v>2020</v>
      </c>
      <c r="C331" t="s">
        <v>58</v>
      </c>
      <c r="D331" t="s">
        <v>59</v>
      </c>
      <c r="E331" t="s">
        <v>60</v>
      </c>
      <c r="F331" t="s">
        <v>29</v>
      </c>
      <c r="G331">
        <v>522120</v>
      </c>
      <c r="H331">
        <v>2146048.0014996585</v>
      </c>
      <c r="I331">
        <v>2668168.0014996585</v>
      </c>
    </row>
    <row r="332" spans="1:9" x14ac:dyDescent="0.2">
      <c r="A332" t="s">
        <v>91</v>
      </c>
      <c r="B332">
        <v>2021</v>
      </c>
      <c r="C332" t="s">
        <v>58</v>
      </c>
      <c r="D332" t="s">
        <v>59</v>
      </c>
      <c r="E332" t="s">
        <v>60</v>
      </c>
      <c r="F332" t="s">
        <v>29</v>
      </c>
      <c r="G332">
        <v>492116</v>
      </c>
      <c r="H332">
        <v>2249077.8054853878</v>
      </c>
      <c r="I332">
        <v>2741193.8054853878</v>
      </c>
    </row>
    <row r="333" spans="1:9" x14ac:dyDescent="0.2">
      <c r="A333" t="s">
        <v>91</v>
      </c>
      <c r="B333">
        <v>2022</v>
      </c>
      <c r="C333" t="s">
        <v>58</v>
      </c>
      <c r="D333" t="s">
        <v>59</v>
      </c>
      <c r="E333" t="s">
        <v>60</v>
      </c>
      <c r="F333" t="s">
        <v>29</v>
      </c>
      <c r="G333">
        <v>471586</v>
      </c>
      <c r="H333">
        <v>2176756.051126597</v>
      </c>
      <c r="I333">
        <v>2648342.051126597</v>
      </c>
    </row>
    <row r="334" spans="1:9" x14ac:dyDescent="0.2">
      <c r="A334" t="s">
        <v>91</v>
      </c>
      <c r="B334">
        <v>2023</v>
      </c>
      <c r="C334" t="s">
        <v>58</v>
      </c>
      <c r="D334" t="s">
        <v>59</v>
      </c>
      <c r="E334" t="s">
        <v>60</v>
      </c>
      <c r="F334" t="s">
        <v>29</v>
      </c>
      <c r="G334">
        <v>601189</v>
      </c>
      <c r="H334" t="s">
        <v>125</v>
      </c>
      <c r="I334">
        <v>601189</v>
      </c>
    </row>
    <row r="335" spans="1:9" x14ac:dyDescent="0.2">
      <c r="A335" t="s">
        <v>77</v>
      </c>
      <c r="B335">
        <v>2015</v>
      </c>
      <c r="C335" t="s">
        <v>58</v>
      </c>
      <c r="D335" t="s">
        <v>59</v>
      </c>
      <c r="E335" t="s">
        <v>60</v>
      </c>
      <c r="F335" t="s">
        <v>15</v>
      </c>
      <c r="G335">
        <v>57</v>
      </c>
      <c r="H335">
        <v>1937.5226887801421</v>
      </c>
      <c r="I335">
        <v>1994.5226887801421</v>
      </c>
    </row>
    <row r="336" spans="1:9" x14ac:dyDescent="0.2">
      <c r="A336" t="s">
        <v>77</v>
      </c>
      <c r="B336">
        <v>2016</v>
      </c>
      <c r="C336" t="s">
        <v>58</v>
      </c>
      <c r="D336" t="s">
        <v>59</v>
      </c>
      <c r="E336" t="s">
        <v>60</v>
      </c>
      <c r="F336" t="s">
        <v>15</v>
      </c>
      <c r="G336">
        <v>77</v>
      </c>
      <c r="H336">
        <v>203.0671889535021</v>
      </c>
      <c r="I336">
        <v>280.06718895350207</v>
      </c>
    </row>
    <row r="337" spans="1:9" x14ac:dyDescent="0.2">
      <c r="A337" t="s">
        <v>77</v>
      </c>
      <c r="B337">
        <v>2017</v>
      </c>
      <c r="C337" t="s">
        <v>58</v>
      </c>
      <c r="D337" t="s">
        <v>59</v>
      </c>
      <c r="E337" t="s">
        <v>60</v>
      </c>
      <c r="F337" t="s">
        <v>15</v>
      </c>
      <c r="G337">
        <v>609</v>
      </c>
      <c r="H337">
        <v>1890.9037755128375</v>
      </c>
      <c r="I337">
        <v>2499.9037755128375</v>
      </c>
    </row>
    <row r="338" spans="1:9" x14ac:dyDescent="0.2">
      <c r="A338" t="s">
        <v>77</v>
      </c>
      <c r="B338">
        <v>2018</v>
      </c>
      <c r="C338" t="s">
        <v>58</v>
      </c>
      <c r="D338" t="s">
        <v>59</v>
      </c>
      <c r="E338" t="s">
        <v>60</v>
      </c>
      <c r="F338" t="s">
        <v>15</v>
      </c>
      <c r="G338">
        <v>821</v>
      </c>
      <c r="H338">
        <v>2248.2139525018274</v>
      </c>
      <c r="I338">
        <v>3069.2139525018274</v>
      </c>
    </row>
    <row r="339" spans="1:9" x14ac:dyDescent="0.2">
      <c r="A339" t="s">
        <v>77</v>
      </c>
      <c r="B339">
        <v>2019</v>
      </c>
      <c r="C339" t="s">
        <v>58</v>
      </c>
      <c r="D339" t="s">
        <v>59</v>
      </c>
      <c r="E339" t="s">
        <v>60</v>
      </c>
      <c r="F339" t="s">
        <v>15</v>
      </c>
      <c r="G339">
        <v>-343</v>
      </c>
      <c r="H339">
        <v>-1186.9546659266266</v>
      </c>
      <c r="I339">
        <v>-1529.9546659266266</v>
      </c>
    </row>
    <row r="340" spans="1:9" x14ac:dyDescent="0.2">
      <c r="A340" t="s">
        <v>77</v>
      </c>
      <c r="B340">
        <v>2020</v>
      </c>
      <c r="C340" t="s">
        <v>58</v>
      </c>
      <c r="D340" t="s">
        <v>59</v>
      </c>
      <c r="E340" t="s">
        <v>60</v>
      </c>
      <c r="F340" t="s">
        <v>15</v>
      </c>
      <c r="G340">
        <v>1349</v>
      </c>
      <c r="H340">
        <v>5544.7382862618542</v>
      </c>
      <c r="I340">
        <v>6893.7382862618542</v>
      </c>
    </row>
    <row r="341" spans="1:9" x14ac:dyDescent="0.2">
      <c r="A341" t="s">
        <v>77</v>
      </c>
      <c r="B341">
        <v>2021</v>
      </c>
      <c r="C341" t="s">
        <v>58</v>
      </c>
      <c r="D341" t="s">
        <v>59</v>
      </c>
      <c r="E341" t="s">
        <v>60</v>
      </c>
      <c r="F341" t="s">
        <v>15</v>
      </c>
      <c r="G341">
        <v>7753</v>
      </c>
      <c r="H341">
        <v>35432.906521893638</v>
      </c>
      <c r="I341">
        <v>43185.906521893638</v>
      </c>
    </row>
    <row r="342" spans="1:9" x14ac:dyDescent="0.2">
      <c r="A342" t="s">
        <v>77</v>
      </c>
      <c r="B342">
        <v>2022</v>
      </c>
      <c r="C342" t="s">
        <v>58</v>
      </c>
      <c r="D342" t="s">
        <v>59</v>
      </c>
      <c r="E342" t="s">
        <v>60</v>
      </c>
      <c r="F342" t="s">
        <v>15</v>
      </c>
      <c r="G342">
        <v>6134</v>
      </c>
      <c r="H342">
        <v>28313.439367603245</v>
      </c>
      <c r="I342">
        <v>34447.439367603249</v>
      </c>
    </row>
    <row r="343" spans="1:9" x14ac:dyDescent="0.2">
      <c r="A343" t="s">
        <v>77</v>
      </c>
      <c r="B343">
        <v>2023</v>
      </c>
      <c r="C343" t="s">
        <v>58</v>
      </c>
      <c r="D343" t="s">
        <v>59</v>
      </c>
      <c r="E343" t="s">
        <v>60</v>
      </c>
      <c r="F343" t="s">
        <v>15</v>
      </c>
      <c r="G343">
        <v>-100</v>
      </c>
      <c r="H343" t="s">
        <v>125</v>
      </c>
      <c r="I343">
        <v>-100</v>
      </c>
    </row>
    <row r="344" spans="1:9" x14ac:dyDescent="0.2">
      <c r="A344" t="s">
        <v>78</v>
      </c>
      <c r="B344">
        <v>2015</v>
      </c>
      <c r="C344" t="s">
        <v>58</v>
      </c>
      <c r="D344" t="s">
        <v>59</v>
      </c>
      <c r="E344" t="s">
        <v>60</v>
      </c>
      <c r="F344" t="s">
        <v>16</v>
      </c>
      <c r="G344">
        <v>178212</v>
      </c>
      <c r="H344">
        <v>6057715.6739102919</v>
      </c>
      <c r="I344">
        <v>6235927.6739102919</v>
      </c>
    </row>
    <row r="345" spans="1:9" x14ac:dyDescent="0.2">
      <c r="A345" t="s">
        <v>78</v>
      </c>
      <c r="B345">
        <v>2016</v>
      </c>
      <c r="C345" t="s">
        <v>58</v>
      </c>
      <c r="D345" t="s">
        <v>59</v>
      </c>
      <c r="E345" t="s">
        <v>60</v>
      </c>
      <c r="F345" t="s">
        <v>16</v>
      </c>
      <c r="G345">
        <v>173758</v>
      </c>
      <c r="H345">
        <v>458240.89114522876</v>
      </c>
      <c r="I345">
        <v>631998.89114522876</v>
      </c>
    </row>
    <row r="346" spans="1:9" x14ac:dyDescent="0.2">
      <c r="A346" t="s">
        <v>78</v>
      </c>
      <c r="B346">
        <v>2017</v>
      </c>
      <c r="C346" t="s">
        <v>58</v>
      </c>
      <c r="D346" t="s">
        <v>59</v>
      </c>
      <c r="E346" t="s">
        <v>60</v>
      </c>
      <c r="F346" t="s">
        <v>16</v>
      </c>
      <c r="G346">
        <v>144372</v>
      </c>
      <c r="H346">
        <v>448265.28715655068</v>
      </c>
      <c r="I346">
        <v>592637.28715655068</v>
      </c>
    </row>
    <row r="347" spans="1:9" x14ac:dyDescent="0.2">
      <c r="A347" t="s">
        <v>78</v>
      </c>
      <c r="B347">
        <v>2018</v>
      </c>
      <c r="C347" t="s">
        <v>58</v>
      </c>
      <c r="D347" t="s">
        <v>59</v>
      </c>
      <c r="E347" t="s">
        <v>60</v>
      </c>
      <c r="F347" t="s">
        <v>16</v>
      </c>
      <c r="G347">
        <v>252002</v>
      </c>
      <c r="H347">
        <v>690078.45610032347</v>
      </c>
      <c r="I347">
        <v>942080.45610032347</v>
      </c>
    </row>
    <row r="348" spans="1:9" x14ac:dyDescent="0.2">
      <c r="A348" t="s">
        <v>78</v>
      </c>
      <c r="B348">
        <v>2019</v>
      </c>
      <c r="C348" t="s">
        <v>58</v>
      </c>
      <c r="D348" t="s">
        <v>59</v>
      </c>
      <c r="E348" t="s">
        <v>60</v>
      </c>
      <c r="F348" t="s">
        <v>16</v>
      </c>
      <c r="G348">
        <v>192576</v>
      </c>
      <c r="H348">
        <v>666411.02549704385</v>
      </c>
      <c r="I348">
        <v>858987.02549704385</v>
      </c>
    </row>
    <row r="349" spans="1:9" x14ac:dyDescent="0.2">
      <c r="A349" t="s">
        <v>78</v>
      </c>
      <c r="B349">
        <v>2020</v>
      </c>
      <c r="C349" t="s">
        <v>58</v>
      </c>
      <c r="D349" t="s">
        <v>59</v>
      </c>
      <c r="E349" t="s">
        <v>60</v>
      </c>
      <c r="F349" t="s">
        <v>16</v>
      </c>
      <c r="G349">
        <v>174117</v>
      </c>
      <c r="H349">
        <v>715665.82371316175</v>
      </c>
      <c r="I349">
        <v>889782.82371316175</v>
      </c>
    </row>
    <row r="350" spans="1:9" x14ac:dyDescent="0.2">
      <c r="A350" t="s">
        <v>78</v>
      </c>
      <c r="B350">
        <v>2021</v>
      </c>
      <c r="C350" t="s">
        <v>58</v>
      </c>
      <c r="D350" t="s">
        <v>59</v>
      </c>
      <c r="E350" t="s">
        <v>60</v>
      </c>
      <c r="F350" t="s">
        <v>16</v>
      </c>
      <c r="G350">
        <v>136268</v>
      </c>
      <c r="H350">
        <v>622774.57834714337</v>
      </c>
      <c r="I350">
        <v>759042.57834714337</v>
      </c>
    </row>
    <row r="351" spans="1:9" x14ac:dyDescent="0.2">
      <c r="A351" t="s">
        <v>78</v>
      </c>
      <c r="B351">
        <v>2022</v>
      </c>
      <c r="C351" t="s">
        <v>58</v>
      </c>
      <c r="D351" t="s">
        <v>59</v>
      </c>
      <c r="E351" t="s">
        <v>60</v>
      </c>
      <c r="F351" t="s">
        <v>16</v>
      </c>
      <c r="G351">
        <v>130013</v>
      </c>
      <c r="H351">
        <v>600116.59479951102</v>
      </c>
      <c r="I351">
        <v>730129.59479951102</v>
      </c>
    </row>
    <row r="352" spans="1:9" x14ac:dyDescent="0.2">
      <c r="A352" t="s">
        <v>78</v>
      </c>
      <c r="B352">
        <v>2023</v>
      </c>
      <c r="C352" t="s">
        <v>58</v>
      </c>
      <c r="D352" t="s">
        <v>59</v>
      </c>
      <c r="E352" t="s">
        <v>60</v>
      </c>
      <c r="F352" t="s">
        <v>16</v>
      </c>
      <c r="G352">
        <v>200943</v>
      </c>
      <c r="H352" t="s">
        <v>125</v>
      </c>
      <c r="I352">
        <v>200943</v>
      </c>
    </row>
    <row r="353" spans="1:9" x14ac:dyDescent="0.2">
      <c r="A353" t="s">
        <v>99</v>
      </c>
      <c r="B353">
        <v>2015</v>
      </c>
      <c r="C353" t="s">
        <v>58</v>
      </c>
      <c r="D353" t="s">
        <v>59</v>
      </c>
      <c r="E353" t="s">
        <v>60</v>
      </c>
      <c r="F353" t="s">
        <v>37</v>
      </c>
      <c r="G353">
        <v>16079</v>
      </c>
      <c r="H353">
        <v>546551.35636659479</v>
      </c>
      <c r="I353">
        <v>562630.35636659479</v>
      </c>
    </row>
    <row r="354" spans="1:9" x14ac:dyDescent="0.2">
      <c r="A354" t="s">
        <v>99</v>
      </c>
      <c r="B354">
        <v>2016</v>
      </c>
      <c r="C354" t="s">
        <v>58</v>
      </c>
      <c r="D354" t="s">
        <v>59</v>
      </c>
      <c r="E354" t="s">
        <v>60</v>
      </c>
      <c r="F354" t="s">
        <v>37</v>
      </c>
      <c r="G354">
        <v>14521</v>
      </c>
      <c r="H354">
        <v>38295.307153166286</v>
      </c>
      <c r="I354">
        <v>52816.307153166286</v>
      </c>
    </row>
    <row r="355" spans="1:9" x14ac:dyDescent="0.2">
      <c r="A355" t="s">
        <v>99</v>
      </c>
      <c r="B355">
        <v>2017</v>
      </c>
      <c r="C355" t="s">
        <v>58</v>
      </c>
      <c r="D355" t="s">
        <v>59</v>
      </c>
      <c r="E355" t="s">
        <v>60</v>
      </c>
      <c r="F355" t="s">
        <v>37</v>
      </c>
      <c r="G355">
        <v>17772</v>
      </c>
      <c r="H355">
        <v>55180.856976049501</v>
      </c>
      <c r="I355">
        <v>72952.856976049501</v>
      </c>
    </row>
    <row r="356" spans="1:9" x14ac:dyDescent="0.2">
      <c r="A356" t="s">
        <v>99</v>
      </c>
      <c r="B356">
        <v>2018</v>
      </c>
      <c r="C356" t="s">
        <v>58</v>
      </c>
      <c r="D356" t="s">
        <v>59</v>
      </c>
      <c r="E356" t="s">
        <v>60</v>
      </c>
      <c r="F356" t="s">
        <v>37</v>
      </c>
      <c r="G356">
        <v>18914</v>
      </c>
      <c r="H356">
        <v>51793.810837539058</v>
      </c>
      <c r="I356">
        <v>70707.810837539058</v>
      </c>
    </row>
    <row r="357" spans="1:9" x14ac:dyDescent="0.2">
      <c r="A357" t="s">
        <v>99</v>
      </c>
      <c r="B357">
        <v>2019</v>
      </c>
      <c r="C357" t="s">
        <v>58</v>
      </c>
      <c r="D357" t="s">
        <v>59</v>
      </c>
      <c r="E357" t="s">
        <v>60</v>
      </c>
      <c r="F357" t="s">
        <v>37</v>
      </c>
      <c r="G357">
        <v>9192</v>
      </c>
      <c r="H357">
        <v>31809.000843141548</v>
      </c>
      <c r="I357">
        <v>41001.000843141548</v>
      </c>
    </row>
    <row r="358" spans="1:9" x14ac:dyDescent="0.2">
      <c r="A358" t="s">
        <v>99</v>
      </c>
      <c r="B358">
        <v>2020</v>
      </c>
      <c r="C358" t="s">
        <v>58</v>
      </c>
      <c r="D358" t="s">
        <v>59</v>
      </c>
      <c r="E358" t="s">
        <v>60</v>
      </c>
      <c r="F358" t="s">
        <v>37</v>
      </c>
      <c r="G358">
        <v>11744</v>
      </c>
      <c r="H358">
        <v>48270.87207847237</v>
      </c>
      <c r="I358">
        <v>60014.87207847237</v>
      </c>
    </row>
    <row r="359" spans="1:9" x14ac:dyDescent="0.2">
      <c r="A359" t="s">
        <v>99</v>
      </c>
      <c r="B359">
        <v>2021</v>
      </c>
      <c r="C359" t="s">
        <v>58</v>
      </c>
      <c r="D359" t="s">
        <v>59</v>
      </c>
      <c r="E359" t="s">
        <v>60</v>
      </c>
      <c r="F359" t="s">
        <v>37</v>
      </c>
      <c r="G359">
        <v>14522</v>
      </c>
      <c r="H359">
        <v>66368.71772358306</v>
      </c>
      <c r="I359">
        <v>80890.71772358306</v>
      </c>
    </row>
    <row r="360" spans="1:9" x14ac:dyDescent="0.2">
      <c r="A360" t="s">
        <v>99</v>
      </c>
      <c r="B360">
        <v>2022</v>
      </c>
      <c r="C360" t="s">
        <v>58</v>
      </c>
      <c r="D360" t="s">
        <v>59</v>
      </c>
      <c r="E360" t="s">
        <v>60</v>
      </c>
      <c r="F360" t="s">
        <v>37</v>
      </c>
      <c r="G360">
        <v>13724</v>
      </c>
      <c r="H360">
        <v>63347.512533581183</v>
      </c>
      <c r="I360">
        <v>77071.512533581175</v>
      </c>
    </row>
    <row r="361" spans="1:9" x14ac:dyDescent="0.2">
      <c r="A361" t="s">
        <v>99</v>
      </c>
      <c r="B361">
        <v>2023</v>
      </c>
      <c r="C361" t="s">
        <v>58</v>
      </c>
      <c r="D361" t="s">
        <v>59</v>
      </c>
      <c r="E361" t="s">
        <v>60</v>
      </c>
      <c r="F361" t="s">
        <v>37</v>
      </c>
      <c r="G361">
        <v>1989</v>
      </c>
      <c r="H361" t="s">
        <v>125</v>
      </c>
      <c r="I361">
        <v>1989</v>
      </c>
    </row>
    <row r="362" spans="1:9" x14ac:dyDescent="0.2">
      <c r="A362" t="s">
        <v>90</v>
      </c>
      <c r="B362">
        <v>2015</v>
      </c>
      <c r="C362" t="s">
        <v>58</v>
      </c>
      <c r="D362" t="s">
        <v>59</v>
      </c>
      <c r="E362" t="s">
        <v>60</v>
      </c>
      <c r="F362" t="s">
        <v>28</v>
      </c>
      <c r="G362">
        <v>44151</v>
      </c>
      <c r="H362">
        <v>1500764.2847777552</v>
      </c>
      <c r="I362">
        <v>1544915.2847777552</v>
      </c>
    </row>
    <row r="363" spans="1:9" x14ac:dyDescent="0.2">
      <c r="A363" t="s">
        <v>90</v>
      </c>
      <c r="B363">
        <v>2016</v>
      </c>
      <c r="C363" t="s">
        <v>58</v>
      </c>
      <c r="D363" t="s">
        <v>59</v>
      </c>
      <c r="E363" t="s">
        <v>60</v>
      </c>
      <c r="F363" t="s">
        <v>28</v>
      </c>
      <c r="G363">
        <v>46770</v>
      </c>
      <c r="H363">
        <v>123343.53801760121</v>
      </c>
      <c r="I363">
        <v>170113.53801760121</v>
      </c>
    </row>
    <row r="364" spans="1:9" x14ac:dyDescent="0.2">
      <c r="A364" t="s">
        <v>90</v>
      </c>
      <c r="B364">
        <v>2017</v>
      </c>
      <c r="C364" t="s">
        <v>58</v>
      </c>
      <c r="D364" t="s">
        <v>59</v>
      </c>
      <c r="E364" t="s">
        <v>60</v>
      </c>
      <c r="F364" t="s">
        <v>28</v>
      </c>
      <c r="G364">
        <v>60148</v>
      </c>
      <c r="H364">
        <v>186755.4684557408</v>
      </c>
      <c r="I364">
        <v>246903.4684557408</v>
      </c>
    </row>
    <row r="365" spans="1:9" x14ac:dyDescent="0.2">
      <c r="A365" t="s">
        <v>90</v>
      </c>
      <c r="B365">
        <v>2018</v>
      </c>
      <c r="C365" t="s">
        <v>58</v>
      </c>
      <c r="D365" t="s">
        <v>59</v>
      </c>
      <c r="E365" t="s">
        <v>60</v>
      </c>
      <c r="F365" t="s">
        <v>28</v>
      </c>
      <c r="G365">
        <v>69719</v>
      </c>
      <c r="H365">
        <v>190917.45256330684</v>
      </c>
      <c r="I365">
        <v>260636.45256330684</v>
      </c>
    </row>
    <row r="366" spans="1:9" x14ac:dyDescent="0.2">
      <c r="A366" t="s">
        <v>90</v>
      </c>
      <c r="B366">
        <v>2019</v>
      </c>
      <c r="C366" t="s">
        <v>58</v>
      </c>
      <c r="D366" t="s">
        <v>59</v>
      </c>
      <c r="E366" t="s">
        <v>60</v>
      </c>
      <c r="F366" t="s">
        <v>28</v>
      </c>
      <c r="G366">
        <v>62525</v>
      </c>
      <c r="H366">
        <v>216368.33961242659</v>
      </c>
      <c r="I366">
        <v>278893.33961242659</v>
      </c>
    </row>
    <row r="367" spans="1:9" x14ac:dyDescent="0.2">
      <c r="A367" t="s">
        <v>90</v>
      </c>
      <c r="B367">
        <v>2020</v>
      </c>
      <c r="C367" t="s">
        <v>58</v>
      </c>
      <c r="D367" t="s">
        <v>59</v>
      </c>
      <c r="E367" t="s">
        <v>60</v>
      </c>
      <c r="F367" t="s">
        <v>28</v>
      </c>
      <c r="G367">
        <v>69109</v>
      </c>
      <c r="H367">
        <v>284055.83263548592</v>
      </c>
      <c r="I367">
        <v>353164.83263548592</v>
      </c>
    </row>
    <row r="368" spans="1:9" x14ac:dyDescent="0.2">
      <c r="A368" t="s">
        <v>90</v>
      </c>
      <c r="B368">
        <v>2021</v>
      </c>
      <c r="C368" t="s">
        <v>58</v>
      </c>
      <c r="D368" t="s">
        <v>59</v>
      </c>
      <c r="E368" t="s">
        <v>60</v>
      </c>
      <c r="F368" t="s">
        <v>28</v>
      </c>
      <c r="G368">
        <v>46980</v>
      </c>
      <c r="H368">
        <v>214708.88022682359</v>
      </c>
      <c r="I368">
        <v>261688.88022682359</v>
      </c>
    </row>
    <row r="369" spans="1:9" x14ac:dyDescent="0.2">
      <c r="A369" t="s">
        <v>90</v>
      </c>
      <c r="B369">
        <v>2022</v>
      </c>
      <c r="C369" t="s">
        <v>58</v>
      </c>
      <c r="D369" t="s">
        <v>59</v>
      </c>
      <c r="E369" t="s">
        <v>60</v>
      </c>
      <c r="F369" t="s">
        <v>28</v>
      </c>
      <c r="G369">
        <v>43933</v>
      </c>
      <c r="H369">
        <v>202786.81639010651</v>
      </c>
      <c r="I369">
        <v>246719.81639010651</v>
      </c>
    </row>
    <row r="370" spans="1:9" x14ac:dyDescent="0.2">
      <c r="A370" t="s">
        <v>90</v>
      </c>
      <c r="B370">
        <v>2023</v>
      </c>
      <c r="C370" t="s">
        <v>58</v>
      </c>
      <c r="D370" t="s">
        <v>59</v>
      </c>
      <c r="E370" t="s">
        <v>60</v>
      </c>
      <c r="F370" t="s">
        <v>28</v>
      </c>
      <c r="G370">
        <v>74000</v>
      </c>
      <c r="H370" t="s">
        <v>125</v>
      </c>
      <c r="I370">
        <v>74000</v>
      </c>
    </row>
    <row r="371" spans="1:9" x14ac:dyDescent="0.2">
      <c r="A371" t="s">
        <v>79</v>
      </c>
      <c r="B371">
        <v>2015</v>
      </c>
      <c r="C371" t="s">
        <v>58</v>
      </c>
      <c r="D371" t="s">
        <v>59</v>
      </c>
      <c r="E371" t="s">
        <v>60</v>
      </c>
      <c r="F371" t="s">
        <v>17</v>
      </c>
      <c r="G371">
        <v>458336</v>
      </c>
      <c r="H371">
        <v>15579585.948855001</v>
      </c>
      <c r="I371">
        <v>16037921.948855001</v>
      </c>
    </row>
    <row r="372" spans="1:9" x14ac:dyDescent="0.2">
      <c r="A372" t="s">
        <v>79</v>
      </c>
      <c r="B372">
        <v>2016</v>
      </c>
      <c r="C372" t="s">
        <v>58</v>
      </c>
      <c r="D372" t="s">
        <v>59</v>
      </c>
      <c r="E372" t="s">
        <v>60</v>
      </c>
      <c r="F372" t="s">
        <v>17</v>
      </c>
      <c r="G372">
        <v>409792</v>
      </c>
      <c r="H372">
        <v>1080718.3051380978</v>
      </c>
      <c r="I372">
        <v>1490510.3051380978</v>
      </c>
    </row>
    <row r="373" spans="1:9" x14ac:dyDescent="0.2">
      <c r="A373" t="s">
        <v>79</v>
      </c>
      <c r="B373">
        <v>2017</v>
      </c>
      <c r="C373" t="s">
        <v>58</v>
      </c>
      <c r="D373" t="s">
        <v>59</v>
      </c>
      <c r="E373" t="s">
        <v>60</v>
      </c>
      <c r="F373" t="s">
        <v>17</v>
      </c>
      <c r="G373">
        <v>456554</v>
      </c>
      <c r="H373">
        <v>1417569.2649022792</v>
      </c>
      <c r="I373">
        <v>1874123.2649022792</v>
      </c>
    </row>
    <row r="374" spans="1:9" x14ac:dyDescent="0.2">
      <c r="A374" t="s">
        <v>79</v>
      </c>
      <c r="B374">
        <v>2018</v>
      </c>
      <c r="C374" t="s">
        <v>58</v>
      </c>
      <c r="D374" t="s">
        <v>59</v>
      </c>
      <c r="E374" t="s">
        <v>60</v>
      </c>
      <c r="F374" t="s">
        <v>17</v>
      </c>
      <c r="G374">
        <v>508568</v>
      </c>
      <c r="H374">
        <v>1392654.9006040797</v>
      </c>
      <c r="I374">
        <v>1901222.9006040797</v>
      </c>
    </row>
    <row r="375" spans="1:9" x14ac:dyDescent="0.2">
      <c r="A375" t="s">
        <v>79</v>
      </c>
      <c r="B375">
        <v>2019</v>
      </c>
      <c r="C375" t="s">
        <v>58</v>
      </c>
      <c r="D375" t="s">
        <v>59</v>
      </c>
      <c r="E375" t="s">
        <v>60</v>
      </c>
      <c r="F375" t="s">
        <v>17</v>
      </c>
      <c r="G375">
        <v>436775</v>
      </c>
      <c r="H375">
        <v>1511463.9189798902</v>
      </c>
      <c r="I375">
        <v>1948238.9189798902</v>
      </c>
    </row>
    <row r="376" spans="1:9" x14ac:dyDescent="0.2">
      <c r="A376" t="s">
        <v>79</v>
      </c>
      <c r="B376">
        <v>2020</v>
      </c>
      <c r="C376" t="s">
        <v>58</v>
      </c>
      <c r="D376" t="s">
        <v>59</v>
      </c>
      <c r="E376" t="s">
        <v>60</v>
      </c>
      <c r="F376" t="s">
        <v>17</v>
      </c>
      <c r="G376">
        <v>437062</v>
      </c>
      <c r="H376">
        <v>1796437.6611343059</v>
      </c>
      <c r="I376">
        <v>2233499.6611343059</v>
      </c>
    </row>
    <row r="377" spans="1:9" x14ac:dyDescent="0.2">
      <c r="A377" t="s">
        <v>79</v>
      </c>
      <c r="B377">
        <v>2021</v>
      </c>
      <c r="C377" t="s">
        <v>58</v>
      </c>
      <c r="D377" t="s">
        <v>59</v>
      </c>
      <c r="E377" t="s">
        <v>60</v>
      </c>
      <c r="F377" t="s">
        <v>17</v>
      </c>
      <c r="G377">
        <v>344183</v>
      </c>
      <c r="H377">
        <v>1572991.624587246</v>
      </c>
      <c r="I377">
        <v>1917174.624587246</v>
      </c>
    </row>
    <row r="378" spans="1:9" x14ac:dyDescent="0.2">
      <c r="A378" t="s">
        <v>79</v>
      </c>
      <c r="B378">
        <v>2022</v>
      </c>
      <c r="C378" t="s">
        <v>58</v>
      </c>
      <c r="D378" t="s">
        <v>59</v>
      </c>
      <c r="E378" t="s">
        <v>60</v>
      </c>
      <c r="F378" t="s">
        <v>17</v>
      </c>
      <c r="G378">
        <v>398679</v>
      </c>
      <c r="H378">
        <v>1840230.4684768005</v>
      </c>
      <c r="I378">
        <v>2238909.4684768002</v>
      </c>
    </row>
    <row r="379" spans="1:9" x14ac:dyDescent="0.2">
      <c r="A379" t="s">
        <v>79</v>
      </c>
      <c r="B379">
        <v>2023</v>
      </c>
      <c r="C379" t="s">
        <v>58</v>
      </c>
      <c r="D379" t="s">
        <v>59</v>
      </c>
      <c r="E379" t="s">
        <v>60</v>
      </c>
      <c r="F379" t="s">
        <v>17</v>
      </c>
      <c r="G379">
        <v>670833</v>
      </c>
      <c r="H379" t="s">
        <v>125</v>
      </c>
      <c r="I379">
        <v>670833</v>
      </c>
    </row>
    <row r="380" spans="1:9" x14ac:dyDescent="0.2">
      <c r="A380" t="s">
        <v>80</v>
      </c>
      <c r="B380">
        <v>2015</v>
      </c>
      <c r="C380" t="s">
        <v>58</v>
      </c>
      <c r="D380" t="s">
        <v>59</v>
      </c>
      <c r="E380" t="s">
        <v>60</v>
      </c>
      <c r="F380" t="s">
        <v>18</v>
      </c>
      <c r="G380">
        <v>36740</v>
      </c>
      <c r="H380">
        <v>1248852.3436102178</v>
      </c>
      <c r="I380">
        <v>1285592.3436102178</v>
      </c>
    </row>
    <row r="381" spans="1:9" x14ac:dyDescent="0.2">
      <c r="A381" t="s">
        <v>80</v>
      </c>
      <c r="B381">
        <v>2016</v>
      </c>
      <c r="C381" t="s">
        <v>58</v>
      </c>
      <c r="D381" t="s">
        <v>59</v>
      </c>
      <c r="E381" t="s">
        <v>60</v>
      </c>
      <c r="F381" t="s">
        <v>18</v>
      </c>
      <c r="G381">
        <v>35596</v>
      </c>
      <c r="H381">
        <v>93875.060493361816</v>
      </c>
      <c r="I381">
        <v>129471.06049336182</v>
      </c>
    </row>
    <row r="382" spans="1:9" x14ac:dyDescent="0.2">
      <c r="A382" t="s">
        <v>80</v>
      </c>
      <c r="B382">
        <v>2017</v>
      </c>
      <c r="C382" t="s">
        <v>58</v>
      </c>
      <c r="D382" t="s">
        <v>59</v>
      </c>
      <c r="E382" t="s">
        <v>60</v>
      </c>
      <c r="F382" t="s">
        <v>18</v>
      </c>
      <c r="G382">
        <v>44914</v>
      </c>
      <c r="H382">
        <v>139454.92967714876</v>
      </c>
      <c r="I382">
        <v>184368.92967714876</v>
      </c>
    </row>
    <row r="383" spans="1:9" x14ac:dyDescent="0.2">
      <c r="A383" t="s">
        <v>80</v>
      </c>
      <c r="B383">
        <v>2018</v>
      </c>
      <c r="C383" t="s">
        <v>58</v>
      </c>
      <c r="D383" t="s">
        <v>59</v>
      </c>
      <c r="E383" t="s">
        <v>60</v>
      </c>
      <c r="F383" t="s">
        <v>18</v>
      </c>
      <c r="G383">
        <v>42710</v>
      </c>
      <c r="H383">
        <v>116956.41645719008</v>
      </c>
      <c r="I383">
        <v>159666.41645719006</v>
      </c>
    </row>
    <row r="384" spans="1:9" x14ac:dyDescent="0.2">
      <c r="A384" t="s">
        <v>80</v>
      </c>
      <c r="B384">
        <v>2019</v>
      </c>
      <c r="C384" t="s">
        <v>58</v>
      </c>
      <c r="D384" t="s">
        <v>59</v>
      </c>
      <c r="E384" t="s">
        <v>60</v>
      </c>
      <c r="F384" t="s">
        <v>18</v>
      </c>
      <c r="G384">
        <v>35004</v>
      </c>
      <c r="H384">
        <v>121131.66509065783</v>
      </c>
      <c r="I384">
        <v>156135.66509065783</v>
      </c>
    </row>
    <row r="385" spans="1:9" x14ac:dyDescent="0.2">
      <c r="A385" t="s">
        <v>80</v>
      </c>
      <c r="B385">
        <v>2020</v>
      </c>
      <c r="C385" t="s">
        <v>58</v>
      </c>
      <c r="D385" t="s">
        <v>59</v>
      </c>
      <c r="E385" t="s">
        <v>60</v>
      </c>
      <c r="F385" t="s">
        <v>18</v>
      </c>
      <c r="G385">
        <v>40854</v>
      </c>
      <c r="H385">
        <v>167920.48772938608</v>
      </c>
      <c r="I385">
        <v>208774.48772938608</v>
      </c>
    </row>
    <row r="386" spans="1:9" x14ac:dyDescent="0.2">
      <c r="A386" t="s">
        <v>80</v>
      </c>
      <c r="B386">
        <v>2021</v>
      </c>
      <c r="C386" t="s">
        <v>58</v>
      </c>
      <c r="D386" t="s">
        <v>59</v>
      </c>
      <c r="E386" t="s">
        <v>60</v>
      </c>
      <c r="F386" t="s">
        <v>18</v>
      </c>
      <c r="G386">
        <v>42181</v>
      </c>
      <c r="H386">
        <v>192776.4001031853</v>
      </c>
      <c r="I386">
        <v>234957.4001031853</v>
      </c>
    </row>
    <row r="387" spans="1:9" x14ac:dyDescent="0.2">
      <c r="A387" t="s">
        <v>80</v>
      </c>
      <c r="B387">
        <v>2022</v>
      </c>
      <c r="C387" t="s">
        <v>58</v>
      </c>
      <c r="D387" t="s">
        <v>59</v>
      </c>
      <c r="E387" t="s">
        <v>60</v>
      </c>
      <c r="F387" t="s">
        <v>18</v>
      </c>
      <c r="G387">
        <v>39852</v>
      </c>
      <c r="H387">
        <v>183949.65531100822</v>
      </c>
      <c r="I387">
        <v>223801.65531100822</v>
      </c>
    </row>
    <row r="388" spans="1:9" x14ac:dyDescent="0.2">
      <c r="A388" t="s">
        <v>80</v>
      </c>
      <c r="B388">
        <v>2023</v>
      </c>
      <c r="C388" t="s">
        <v>58</v>
      </c>
      <c r="D388" t="s">
        <v>59</v>
      </c>
      <c r="E388" t="s">
        <v>60</v>
      </c>
      <c r="F388" t="s">
        <v>18</v>
      </c>
      <c r="G388">
        <v>88648</v>
      </c>
      <c r="H388" t="s">
        <v>125</v>
      </c>
      <c r="I388">
        <v>88648</v>
      </c>
    </row>
    <row r="389" spans="1:9" x14ac:dyDescent="0.2">
      <c r="A389" t="s">
        <v>108</v>
      </c>
      <c r="B389">
        <v>2015</v>
      </c>
      <c r="C389" t="s">
        <v>58</v>
      </c>
      <c r="D389" t="s">
        <v>59</v>
      </c>
      <c r="E389" t="s">
        <v>60</v>
      </c>
      <c r="F389" t="s">
        <v>46</v>
      </c>
      <c r="G389">
        <v>74096</v>
      </c>
      <c r="H389">
        <v>2518643.5289097088</v>
      </c>
      <c r="I389">
        <v>2592739.5289097088</v>
      </c>
    </row>
    <row r="390" spans="1:9" x14ac:dyDescent="0.2">
      <c r="A390" t="s">
        <v>108</v>
      </c>
      <c r="B390">
        <v>2016</v>
      </c>
      <c r="C390" t="s">
        <v>58</v>
      </c>
      <c r="D390" t="s">
        <v>59</v>
      </c>
      <c r="E390" t="s">
        <v>60</v>
      </c>
      <c r="F390" t="s">
        <v>46</v>
      </c>
      <c r="G390">
        <v>67932</v>
      </c>
      <c r="H390">
        <v>179152.73090895198</v>
      </c>
      <c r="I390">
        <v>247084.73090895198</v>
      </c>
    </row>
    <row r="391" spans="1:9" x14ac:dyDescent="0.2">
      <c r="A391" t="s">
        <v>108</v>
      </c>
      <c r="B391">
        <v>2017</v>
      </c>
      <c r="C391" t="s">
        <v>58</v>
      </c>
      <c r="D391" t="s">
        <v>59</v>
      </c>
      <c r="E391" t="s">
        <v>60</v>
      </c>
      <c r="F391" t="s">
        <v>46</v>
      </c>
      <c r="G391">
        <v>54175</v>
      </c>
      <c r="H391">
        <v>168209.70778063705</v>
      </c>
      <c r="I391">
        <v>222384.70778063705</v>
      </c>
    </row>
    <row r="392" spans="1:9" x14ac:dyDescent="0.2">
      <c r="A392" t="s">
        <v>108</v>
      </c>
      <c r="B392">
        <v>2018</v>
      </c>
      <c r="C392" t="s">
        <v>58</v>
      </c>
      <c r="D392" t="s">
        <v>59</v>
      </c>
      <c r="E392" t="s">
        <v>60</v>
      </c>
      <c r="F392" t="s">
        <v>46</v>
      </c>
      <c r="G392">
        <v>71915</v>
      </c>
      <c r="H392">
        <v>196930.94566890248</v>
      </c>
      <c r="I392">
        <v>268845.94566890248</v>
      </c>
    </row>
    <row r="393" spans="1:9" x14ac:dyDescent="0.2">
      <c r="A393" t="s">
        <v>108</v>
      </c>
      <c r="B393">
        <v>2019</v>
      </c>
      <c r="C393" t="s">
        <v>58</v>
      </c>
      <c r="D393" t="s">
        <v>59</v>
      </c>
      <c r="E393" t="s">
        <v>60</v>
      </c>
      <c r="F393" t="s">
        <v>46</v>
      </c>
      <c r="G393">
        <v>45295</v>
      </c>
      <c r="H393">
        <v>156743.76557768672</v>
      </c>
      <c r="I393">
        <v>202038.76557768672</v>
      </c>
    </row>
    <row r="394" spans="1:9" x14ac:dyDescent="0.2">
      <c r="A394" t="s">
        <v>108</v>
      </c>
      <c r="B394">
        <v>2020</v>
      </c>
      <c r="C394" t="s">
        <v>58</v>
      </c>
      <c r="D394" t="s">
        <v>59</v>
      </c>
      <c r="E394" t="s">
        <v>60</v>
      </c>
      <c r="F394" t="s">
        <v>46</v>
      </c>
      <c r="G394">
        <v>48661</v>
      </c>
      <c r="H394">
        <v>200009.27334899045</v>
      </c>
      <c r="I394">
        <v>248670.27334899045</v>
      </c>
    </row>
    <row r="395" spans="1:9" x14ac:dyDescent="0.2">
      <c r="A395" t="s">
        <v>108</v>
      </c>
      <c r="B395">
        <v>2021</v>
      </c>
      <c r="C395" t="s">
        <v>58</v>
      </c>
      <c r="D395" t="s">
        <v>59</v>
      </c>
      <c r="E395" t="s">
        <v>60</v>
      </c>
      <c r="F395" t="s">
        <v>46</v>
      </c>
      <c r="G395">
        <v>44107</v>
      </c>
      <c r="H395">
        <v>201578.64155309723</v>
      </c>
      <c r="I395">
        <v>245685.64155309723</v>
      </c>
    </row>
    <row r="396" spans="1:9" x14ac:dyDescent="0.2">
      <c r="A396" t="s">
        <v>108</v>
      </c>
      <c r="B396">
        <v>2022</v>
      </c>
      <c r="C396" t="s">
        <v>58</v>
      </c>
      <c r="D396" t="s">
        <v>59</v>
      </c>
      <c r="E396" t="s">
        <v>60</v>
      </c>
      <c r="F396" t="s">
        <v>46</v>
      </c>
      <c r="G396">
        <v>57969</v>
      </c>
      <c r="H396">
        <v>267574.46473762515</v>
      </c>
      <c r="I396">
        <v>325543.46473762515</v>
      </c>
    </row>
    <row r="397" spans="1:9" x14ac:dyDescent="0.2">
      <c r="A397" t="s">
        <v>108</v>
      </c>
      <c r="B397">
        <v>2023</v>
      </c>
      <c r="C397" t="s">
        <v>58</v>
      </c>
      <c r="D397" t="s">
        <v>59</v>
      </c>
      <c r="E397" t="s">
        <v>60</v>
      </c>
      <c r="F397" t="s">
        <v>46</v>
      </c>
      <c r="G397">
        <v>106697</v>
      </c>
      <c r="H397" t="s">
        <v>125</v>
      </c>
      <c r="I397">
        <v>106697</v>
      </c>
    </row>
    <row r="398" spans="1:9" x14ac:dyDescent="0.2">
      <c r="A398" t="s">
        <v>125</v>
      </c>
      <c r="B398">
        <v>2015</v>
      </c>
      <c r="C398" t="s">
        <v>58</v>
      </c>
      <c r="D398" t="s">
        <v>59</v>
      </c>
      <c r="E398" t="s">
        <v>60</v>
      </c>
      <c r="F398" t="s">
        <v>121</v>
      </c>
      <c r="G398">
        <v>22454</v>
      </c>
      <c r="H398">
        <v>763247.97287490021</v>
      </c>
      <c r="I398">
        <v>785701.97287490021</v>
      </c>
    </row>
    <row r="399" spans="1:9" x14ac:dyDescent="0.2">
      <c r="A399" t="s">
        <v>125</v>
      </c>
      <c r="B399">
        <v>2016</v>
      </c>
      <c r="C399" t="s">
        <v>58</v>
      </c>
      <c r="D399" t="s">
        <v>59</v>
      </c>
      <c r="E399" t="s">
        <v>60</v>
      </c>
      <c r="F399" t="s">
        <v>121</v>
      </c>
      <c r="G399">
        <v>17532</v>
      </c>
      <c r="H399">
        <v>46236.025412114272</v>
      </c>
      <c r="I399">
        <v>63768.025412114272</v>
      </c>
    </row>
    <row r="400" spans="1:9" x14ac:dyDescent="0.2">
      <c r="A400" t="s">
        <v>125</v>
      </c>
      <c r="B400">
        <v>2017</v>
      </c>
      <c r="C400" t="s">
        <v>58</v>
      </c>
      <c r="D400" t="s">
        <v>59</v>
      </c>
      <c r="E400" t="s">
        <v>60</v>
      </c>
      <c r="F400" t="s">
        <v>121</v>
      </c>
      <c r="G400">
        <v>20947</v>
      </c>
      <c r="H400">
        <v>65039.017053641066</v>
      </c>
      <c r="I400">
        <v>85986.017053641059</v>
      </c>
    </row>
    <row r="401" spans="1:9" x14ac:dyDescent="0.2">
      <c r="A401" t="s">
        <v>125</v>
      </c>
      <c r="B401">
        <v>2018</v>
      </c>
      <c r="C401" t="s">
        <v>58</v>
      </c>
      <c r="D401" t="s">
        <v>59</v>
      </c>
      <c r="E401" t="s">
        <v>60</v>
      </c>
      <c r="F401" t="s">
        <v>121</v>
      </c>
      <c r="G401">
        <v>24561</v>
      </c>
      <c r="H401">
        <v>67257.470021190486</v>
      </c>
      <c r="I401">
        <v>91818.470021190486</v>
      </c>
    </row>
    <row r="402" spans="1:9" x14ac:dyDescent="0.2">
      <c r="A402" t="s">
        <v>125</v>
      </c>
      <c r="B402">
        <v>2019</v>
      </c>
      <c r="C402" t="s">
        <v>58</v>
      </c>
      <c r="D402" t="s">
        <v>59</v>
      </c>
      <c r="E402" t="s">
        <v>60</v>
      </c>
      <c r="F402" t="s">
        <v>121</v>
      </c>
      <c r="G402">
        <v>16072</v>
      </c>
      <c r="H402">
        <v>55617.304346276214</v>
      </c>
      <c r="I402">
        <v>71689.304346276214</v>
      </c>
    </row>
    <row r="403" spans="1:9" x14ac:dyDescent="0.2">
      <c r="A403" t="s">
        <v>125</v>
      </c>
      <c r="B403">
        <v>2020</v>
      </c>
      <c r="C403" t="s">
        <v>58</v>
      </c>
      <c r="D403" t="s">
        <v>59</v>
      </c>
      <c r="E403" t="s">
        <v>60</v>
      </c>
      <c r="F403" t="s">
        <v>121</v>
      </c>
      <c r="G403">
        <v>13627</v>
      </c>
      <c r="H403">
        <v>56010.488233424978</v>
      </c>
      <c r="I403">
        <v>69637.488233424985</v>
      </c>
    </row>
    <row r="404" spans="1:9" x14ac:dyDescent="0.2">
      <c r="A404" t="s">
        <v>125</v>
      </c>
      <c r="B404">
        <v>2021</v>
      </c>
      <c r="C404" t="s">
        <v>58</v>
      </c>
      <c r="D404" t="s">
        <v>59</v>
      </c>
      <c r="E404" t="s">
        <v>60</v>
      </c>
      <c r="F404" t="s">
        <v>121</v>
      </c>
      <c r="G404">
        <v>13905</v>
      </c>
      <c r="H404">
        <v>63548.892710812725</v>
      </c>
      <c r="I404">
        <v>77453.892710812725</v>
      </c>
    </row>
    <row r="405" spans="1:9" x14ac:dyDescent="0.2">
      <c r="A405" t="s">
        <v>125</v>
      </c>
      <c r="B405">
        <v>2022</v>
      </c>
      <c r="C405" t="s">
        <v>58</v>
      </c>
      <c r="D405" t="s">
        <v>59</v>
      </c>
      <c r="E405" t="s">
        <v>60</v>
      </c>
      <c r="F405" t="s">
        <v>121</v>
      </c>
      <c r="G405">
        <v>13135</v>
      </c>
      <c r="H405">
        <v>60628.794602782626</v>
      </c>
      <c r="I405">
        <v>73763.794602782626</v>
      </c>
    </row>
    <row r="406" spans="1:9" x14ac:dyDescent="0.2">
      <c r="A406" t="s">
        <v>125</v>
      </c>
      <c r="B406">
        <v>2023</v>
      </c>
      <c r="C406" t="s">
        <v>58</v>
      </c>
      <c r="D406" t="s">
        <v>59</v>
      </c>
      <c r="E406" t="s">
        <v>60</v>
      </c>
      <c r="F406" t="s">
        <v>121</v>
      </c>
      <c r="G406">
        <v>14574</v>
      </c>
      <c r="H406" t="s">
        <v>125</v>
      </c>
      <c r="I406">
        <v>14574</v>
      </c>
    </row>
    <row r="407" spans="1:9" x14ac:dyDescent="0.2">
      <c r="A407" t="s">
        <v>96</v>
      </c>
      <c r="B407">
        <v>2015</v>
      </c>
      <c r="C407" t="s">
        <v>58</v>
      </c>
      <c r="D407" t="s">
        <v>59</v>
      </c>
      <c r="E407" t="s">
        <v>60</v>
      </c>
      <c r="F407" t="s">
        <v>34</v>
      </c>
      <c r="G407">
        <v>145378</v>
      </c>
      <c r="H407">
        <v>4941634.6219206927</v>
      </c>
      <c r="I407">
        <v>5087012.6219206927</v>
      </c>
    </row>
    <row r="408" spans="1:9" x14ac:dyDescent="0.2">
      <c r="A408" t="s">
        <v>96</v>
      </c>
      <c r="B408">
        <v>2016</v>
      </c>
      <c r="C408" t="s">
        <v>58</v>
      </c>
      <c r="D408" t="s">
        <v>59</v>
      </c>
      <c r="E408" t="s">
        <v>60</v>
      </c>
      <c r="F408" t="s">
        <v>34</v>
      </c>
      <c r="G408">
        <v>141066</v>
      </c>
      <c r="H408">
        <v>372024.36463525618</v>
      </c>
      <c r="I408">
        <v>513090.36463525618</v>
      </c>
    </row>
    <row r="409" spans="1:9" x14ac:dyDescent="0.2">
      <c r="A409" t="s">
        <v>96</v>
      </c>
      <c r="B409">
        <v>2017</v>
      </c>
      <c r="C409" t="s">
        <v>58</v>
      </c>
      <c r="D409" t="s">
        <v>59</v>
      </c>
      <c r="E409" t="s">
        <v>60</v>
      </c>
      <c r="F409" t="s">
        <v>34</v>
      </c>
      <c r="G409">
        <v>149933</v>
      </c>
      <c r="H409">
        <v>465531.81572079845</v>
      </c>
      <c r="I409">
        <v>615464.81572079845</v>
      </c>
    </row>
    <row r="410" spans="1:9" x14ac:dyDescent="0.2">
      <c r="A410" t="s">
        <v>96</v>
      </c>
      <c r="B410">
        <v>2018</v>
      </c>
      <c r="C410" t="s">
        <v>58</v>
      </c>
      <c r="D410" t="s">
        <v>59</v>
      </c>
      <c r="E410" t="s">
        <v>60</v>
      </c>
      <c r="F410" t="s">
        <v>34</v>
      </c>
      <c r="G410">
        <v>175811</v>
      </c>
      <c r="H410">
        <v>481438.17686150887</v>
      </c>
      <c r="I410">
        <v>657249.17686150887</v>
      </c>
    </row>
    <row r="411" spans="1:9" x14ac:dyDescent="0.2">
      <c r="A411" t="s">
        <v>96</v>
      </c>
      <c r="B411">
        <v>2019</v>
      </c>
      <c r="C411" t="s">
        <v>58</v>
      </c>
      <c r="D411" t="s">
        <v>59</v>
      </c>
      <c r="E411" t="s">
        <v>60</v>
      </c>
      <c r="F411" t="s">
        <v>34</v>
      </c>
      <c r="G411">
        <v>157951</v>
      </c>
      <c r="H411">
        <v>546590.89340459637</v>
      </c>
      <c r="I411">
        <v>704541.89340459637</v>
      </c>
    </row>
    <row r="412" spans="1:9" x14ac:dyDescent="0.2">
      <c r="A412" t="s">
        <v>96</v>
      </c>
      <c r="B412">
        <v>2020</v>
      </c>
      <c r="C412" t="s">
        <v>58</v>
      </c>
      <c r="D412" t="s">
        <v>59</v>
      </c>
      <c r="E412" t="s">
        <v>60</v>
      </c>
      <c r="F412" t="s">
        <v>34</v>
      </c>
      <c r="G412">
        <v>147642</v>
      </c>
      <c r="H412">
        <v>606846.73836936452</v>
      </c>
      <c r="I412">
        <v>754488.73836936452</v>
      </c>
    </row>
    <row r="413" spans="1:9" x14ac:dyDescent="0.2">
      <c r="A413" t="s">
        <v>96</v>
      </c>
      <c r="B413">
        <v>2021</v>
      </c>
      <c r="C413" t="s">
        <v>58</v>
      </c>
      <c r="D413" t="s">
        <v>59</v>
      </c>
      <c r="E413" t="s">
        <v>60</v>
      </c>
      <c r="F413" t="s">
        <v>34</v>
      </c>
      <c r="G413">
        <v>163506</v>
      </c>
      <c r="H413">
        <v>747258.19860295905</v>
      </c>
      <c r="I413">
        <v>910764.19860295905</v>
      </c>
    </row>
    <row r="414" spans="1:9" x14ac:dyDescent="0.2">
      <c r="A414" t="s">
        <v>96</v>
      </c>
      <c r="B414">
        <v>2022</v>
      </c>
      <c r="C414" t="s">
        <v>58</v>
      </c>
      <c r="D414" t="s">
        <v>59</v>
      </c>
      <c r="E414" t="s">
        <v>60</v>
      </c>
      <c r="F414" t="s">
        <v>34</v>
      </c>
      <c r="G414">
        <v>125483</v>
      </c>
      <c r="H414">
        <v>579206.93057791947</v>
      </c>
      <c r="I414">
        <v>704689.93057791947</v>
      </c>
    </row>
    <row r="415" spans="1:9" x14ac:dyDescent="0.2">
      <c r="A415" t="s">
        <v>96</v>
      </c>
      <c r="B415">
        <v>2023</v>
      </c>
      <c r="C415" t="s">
        <v>58</v>
      </c>
      <c r="D415" t="s">
        <v>59</v>
      </c>
      <c r="E415" t="s">
        <v>60</v>
      </c>
      <c r="F415" t="s">
        <v>34</v>
      </c>
      <c r="G415">
        <v>222307</v>
      </c>
      <c r="H415" t="s">
        <v>125</v>
      </c>
      <c r="I415">
        <v>222307</v>
      </c>
    </row>
    <row r="416" spans="1:9" x14ac:dyDescent="0.2">
      <c r="A416" t="s">
        <v>125</v>
      </c>
      <c r="B416">
        <v>2015</v>
      </c>
      <c r="C416" t="s">
        <v>58</v>
      </c>
      <c r="D416" t="s">
        <v>59</v>
      </c>
      <c r="E416" t="s">
        <v>60</v>
      </c>
      <c r="F416" t="s">
        <v>122</v>
      </c>
      <c r="G416">
        <v>39682</v>
      </c>
      <c r="H416">
        <v>1348855.7076521683</v>
      </c>
      <c r="I416">
        <v>1388537.7076521683</v>
      </c>
    </row>
    <row r="417" spans="1:9" x14ac:dyDescent="0.2">
      <c r="A417" t="s">
        <v>125</v>
      </c>
      <c r="B417">
        <v>2016</v>
      </c>
      <c r="C417" t="s">
        <v>58</v>
      </c>
      <c r="D417" t="s">
        <v>59</v>
      </c>
      <c r="E417" t="s">
        <v>60</v>
      </c>
      <c r="F417" t="s">
        <v>122</v>
      </c>
      <c r="G417">
        <v>30639</v>
      </c>
      <c r="H417">
        <v>80802.2805499526</v>
      </c>
      <c r="I417">
        <v>111441.2805499526</v>
      </c>
    </row>
    <row r="418" spans="1:9" x14ac:dyDescent="0.2">
      <c r="A418" t="s">
        <v>125</v>
      </c>
      <c r="B418">
        <v>2017</v>
      </c>
      <c r="C418" t="s">
        <v>58</v>
      </c>
      <c r="D418" t="s">
        <v>59</v>
      </c>
      <c r="E418" t="s">
        <v>60</v>
      </c>
      <c r="F418" t="s">
        <v>122</v>
      </c>
      <c r="G418">
        <v>30287</v>
      </c>
      <c r="H418">
        <v>94039.084809453721</v>
      </c>
      <c r="I418">
        <v>124326.08480945372</v>
      </c>
    </row>
    <row r="419" spans="1:9" x14ac:dyDescent="0.2">
      <c r="A419" t="s">
        <v>125</v>
      </c>
      <c r="B419">
        <v>2018</v>
      </c>
      <c r="C419" t="s">
        <v>58</v>
      </c>
      <c r="D419" t="s">
        <v>59</v>
      </c>
      <c r="E419" t="s">
        <v>60</v>
      </c>
      <c r="F419" t="s">
        <v>122</v>
      </c>
      <c r="G419">
        <v>32604</v>
      </c>
      <c r="H419">
        <v>89282.299278160281</v>
      </c>
      <c r="I419">
        <v>121886.29927816028</v>
      </c>
    </row>
    <row r="420" spans="1:9" x14ac:dyDescent="0.2">
      <c r="A420" t="s">
        <v>125</v>
      </c>
      <c r="B420">
        <v>2019</v>
      </c>
      <c r="C420" t="s">
        <v>58</v>
      </c>
      <c r="D420" t="s">
        <v>59</v>
      </c>
      <c r="E420" t="s">
        <v>60</v>
      </c>
      <c r="F420" t="s">
        <v>122</v>
      </c>
      <c r="G420">
        <v>37078</v>
      </c>
      <c r="H420">
        <v>128308.76123389929</v>
      </c>
      <c r="I420">
        <v>165386.76123389928</v>
      </c>
    </row>
    <row r="421" spans="1:9" x14ac:dyDescent="0.2">
      <c r="A421" t="s">
        <v>125</v>
      </c>
      <c r="B421">
        <v>2020</v>
      </c>
      <c r="C421" t="s">
        <v>58</v>
      </c>
      <c r="D421" t="s">
        <v>59</v>
      </c>
      <c r="E421" t="s">
        <v>60</v>
      </c>
      <c r="F421" t="s">
        <v>122</v>
      </c>
      <c r="G421">
        <v>22117</v>
      </c>
      <c r="H421">
        <v>90906.580190699373</v>
      </c>
      <c r="I421">
        <v>113023.58019069937</v>
      </c>
    </row>
    <row r="422" spans="1:9" x14ac:dyDescent="0.2">
      <c r="A422" t="s">
        <v>125</v>
      </c>
      <c r="B422">
        <v>2021</v>
      </c>
      <c r="C422" t="s">
        <v>58</v>
      </c>
      <c r="D422" t="s">
        <v>59</v>
      </c>
      <c r="E422" t="s">
        <v>60</v>
      </c>
      <c r="F422" t="s">
        <v>122</v>
      </c>
      <c r="G422">
        <v>38673</v>
      </c>
      <c r="H422">
        <v>176744.07247790438</v>
      </c>
      <c r="I422">
        <v>215417.07247790438</v>
      </c>
    </row>
    <row r="423" spans="1:9" x14ac:dyDescent="0.2">
      <c r="A423" t="s">
        <v>125</v>
      </c>
      <c r="B423">
        <v>2022</v>
      </c>
      <c r="C423" t="s">
        <v>58</v>
      </c>
      <c r="D423" t="s">
        <v>59</v>
      </c>
      <c r="E423" t="s">
        <v>60</v>
      </c>
      <c r="F423" t="s">
        <v>122</v>
      </c>
      <c r="G423">
        <v>42782</v>
      </c>
      <c r="H423">
        <v>197474.00766625401</v>
      </c>
      <c r="I423">
        <v>240256.00766625401</v>
      </c>
    </row>
    <row r="424" spans="1:9" x14ac:dyDescent="0.2">
      <c r="A424" t="s">
        <v>125</v>
      </c>
      <c r="B424">
        <v>2023</v>
      </c>
      <c r="C424" t="s">
        <v>58</v>
      </c>
      <c r="D424" t="s">
        <v>59</v>
      </c>
      <c r="E424" t="s">
        <v>60</v>
      </c>
      <c r="F424" t="s">
        <v>122</v>
      </c>
      <c r="G424">
        <v>40696</v>
      </c>
      <c r="H424" t="s">
        <v>125</v>
      </c>
      <c r="I424">
        <v>40696</v>
      </c>
    </row>
    <row r="425" spans="1:9" x14ac:dyDescent="0.2">
      <c r="A425" t="s">
        <v>125</v>
      </c>
      <c r="B425">
        <v>2015</v>
      </c>
      <c r="C425" t="s">
        <v>58</v>
      </c>
      <c r="D425" t="s">
        <v>59</v>
      </c>
      <c r="E425" t="s">
        <v>60</v>
      </c>
      <c r="F425" t="s">
        <v>120</v>
      </c>
      <c r="G425">
        <v>12499596</v>
      </c>
      <c r="H425">
        <v>424881593.86992115</v>
      </c>
      <c r="I425">
        <v>437381189.86992115</v>
      </c>
    </row>
    <row r="426" spans="1:9" x14ac:dyDescent="0.2">
      <c r="A426" t="s">
        <v>125</v>
      </c>
      <c r="B426">
        <v>2016</v>
      </c>
      <c r="C426" t="s">
        <v>58</v>
      </c>
      <c r="D426" t="s">
        <v>59</v>
      </c>
      <c r="E426" t="s">
        <v>60</v>
      </c>
      <c r="F426" t="s">
        <v>120</v>
      </c>
      <c r="G426">
        <v>924800</v>
      </c>
      <c r="H426">
        <v>2438916.0564181656</v>
      </c>
      <c r="I426">
        <v>3363716.0564181656</v>
      </c>
    </row>
    <row r="427" spans="1:9" x14ac:dyDescent="0.2">
      <c r="A427" t="s">
        <v>125</v>
      </c>
      <c r="B427">
        <v>2017</v>
      </c>
      <c r="C427" t="s">
        <v>58</v>
      </c>
      <c r="D427" t="s">
        <v>59</v>
      </c>
      <c r="E427" t="s">
        <v>60</v>
      </c>
      <c r="F427" t="s">
        <v>120</v>
      </c>
      <c r="G427">
        <v>1021449</v>
      </c>
      <c r="H427">
        <v>3171530.0009750612</v>
      </c>
      <c r="I427">
        <v>4192979.0009750612</v>
      </c>
    </row>
    <row r="428" spans="1:9" x14ac:dyDescent="0.2">
      <c r="A428" t="s">
        <v>125</v>
      </c>
      <c r="B428">
        <v>2018</v>
      </c>
      <c r="C428" t="s">
        <v>58</v>
      </c>
      <c r="D428" t="s">
        <v>59</v>
      </c>
      <c r="E428" t="s">
        <v>60</v>
      </c>
      <c r="F428" t="s">
        <v>120</v>
      </c>
      <c r="G428">
        <v>1004123</v>
      </c>
      <c r="H428">
        <v>2749675.1993032796</v>
      </c>
      <c r="I428">
        <v>3753798.1993032796</v>
      </c>
    </row>
    <row r="429" spans="1:9" x14ac:dyDescent="0.2">
      <c r="A429" t="s">
        <v>125</v>
      </c>
      <c r="B429">
        <v>2019</v>
      </c>
      <c r="C429" t="s">
        <v>58</v>
      </c>
      <c r="D429" t="s">
        <v>59</v>
      </c>
      <c r="E429" t="s">
        <v>60</v>
      </c>
      <c r="F429" t="s">
        <v>120</v>
      </c>
      <c r="G429">
        <v>1095527</v>
      </c>
      <c r="H429">
        <v>3791081.2953311931</v>
      </c>
      <c r="I429">
        <v>4886608.2953311931</v>
      </c>
    </row>
    <row r="430" spans="1:9" x14ac:dyDescent="0.2">
      <c r="A430" t="s">
        <v>125</v>
      </c>
      <c r="B430">
        <v>2020</v>
      </c>
      <c r="C430" t="s">
        <v>58</v>
      </c>
      <c r="D430" t="s">
        <v>59</v>
      </c>
      <c r="E430" t="s">
        <v>60</v>
      </c>
      <c r="F430" t="s">
        <v>120</v>
      </c>
      <c r="G430">
        <v>1183548</v>
      </c>
      <c r="H430">
        <v>4864687.8496876545</v>
      </c>
      <c r="I430">
        <v>6048235.8496876545</v>
      </c>
    </row>
    <row r="431" spans="1:9" x14ac:dyDescent="0.2">
      <c r="A431" t="s">
        <v>125</v>
      </c>
      <c r="B431">
        <v>2021</v>
      </c>
      <c r="C431" t="s">
        <v>58</v>
      </c>
      <c r="D431" t="s">
        <v>59</v>
      </c>
      <c r="E431" t="s">
        <v>60</v>
      </c>
      <c r="F431" t="s">
        <v>120</v>
      </c>
      <c r="G431">
        <v>1120497</v>
      </c>
      <c r="H431">
        <v>5120916.4786614543</v>
      </c>
      <c r="I431">
        <v>6241413.4786614543</v>
      </c>
    </row>
    <row r="432" spans="1:9" x14ac:dyDescent="0.2">
      <c r="A432" t="s">
        <v>125</v>
      </c>
      <c r="B432">
        <v>2022</v>
      </c>
      <c r="C432" t="s">
        <v>58</v>
      </c>
      <c r="D432" t="s">
        <v>59</v>
      </c>
      <c r="E432" t="s">
        <v>60</v>
      </c>
      <c r="F432" t="s">
        <v>120</v>
      </c>
      <c r="G432">
        <v>1146588</v>
      </c>
      <c r="H432">
        <v>5292443.7263810681</v>
      </c>
      <c r="I432">
        <v>6439031.7263810681</v>
      </c>
    </row>
    <row r="433" spans="1:9" x14ac:dyDescent="0.2">
      <c r="A433" t="s">
        <v>125</v>
      </c>
      <c r="B433">
        <v>2023</v>
      </c>
      <c r="C433" t="s">
        <v>58</v>
      </c>
      <c r="D433" t="s">
        <v>59</v>
      </c>
      <c r="E433" t="s">
        <v>60</v>
      </c>
      <c r="F433" t="s">
        <v>120</v>
      </c>
      <c r="G433">
        <v>1058755</v>
      </c>
      <c r="H433" t="s">
        <v>125</v>
      </c>
      <c r="I433">
        <v>1058755</v>
      </c>
    </row>
    <row r="434" spans="1:9" x14ac:dyDescent="0.2">
      <c r="A434" t="s">
        <v>111</v>
      </c>
      <c r="B434">
        <v>2015</v>
      </c>
      <c r="C434" t="s">
        <v>58</v>
      </c>
      <c r="D434" t="s">
        <v>59</v>
      </c>
      <c r="E434" t="s">
        <v>60</v>
      </c>
      <c r="F434" t="s">
        <v>49</v>
      </c>
      <c r="G434">
        <v>10394</v>
      </c>
      <c r="H434">
        <v>353308.96188036486</v>
      </c>
      <c r="I434">
        <v>363702.96188036486</v>
      </c>
    </row>
    <row r="435" spans="1:9" x14ac:dyDescent="0.2">
      <c r="A435" t="s">
        <v>111</v>
      </c>
      <c r="B435">
        <v>2016</v>
      </c>
      <c r="C435" t="s">
        <v>58</v>
      </c>
      <c r="D435" t="s">
        <v>59</v>
      </c>
      <c r="E435" t="s">
        <v>60</v>
      </c>
      <c r="F435" t="s">
        <v>49</v>
      </c>
      <c r="G435">
        <v>12662</v>
      </c>
      <c r="H435">
        <v>33392.685019860306</v>
      </c>
      <c r="I435">
        <v>46054.685019860306</v>
      </c>
    </row>
    <row r="436" spans="1:9" x14ac:dyDescent="0.2">
      <c r="A436" t="s">
        <v>111</v>
      </c>
      <c r="B436">
        <v>2017</v>
      </c>
      <c r="C436" t="s">
        <v>58</v>
      </c>
      <c r="D436" t="s">
        <v>59</v>
      </c>
      <c r="E436" t="s">
        <v>60</v>
      </c>
      <c r="F436" t="s">
        <v>49</v>
      </c>
      <c r="G436">
        <v>17018</v>
      </c>
      <c r="H436">
        <v>52839.738015890754</v>
      </c>
      <c r="I436">
        <v>69857.738015890762</v>
      </c>
    </row>
    <row r="437" spans="1:9" x14ac:dyDescent="0.2">
      <c r="A437" t="s">
        <v>111</v>
      </c>
      <c r="B437">
        <v>2018</v>
      </c>
      <c r="C437" t="s">
        <v>58</v>
      </c>
      <c r="D437" t="s">
        <v>59</v>
      </c>
      <c r="E437" t="s">
        <v>60</v>
      </c>
      <c r="F437" t="s">
        <v>49</v>
      </c>
      <c r="G437">
        <v>10038</v>
      </c>
      <c r="H437">
        <v>27487.907010004074</v>
      </c>
      <c r="I437">
        <v>37525.90701000407</v>
      </c>
    </row>
    <row r="438" spans="1:9" x14ac:dyDescent="0.2">
      <c r="A438" t="s">
        <v>111</v>
      </c>
      <c r="B438">
        <v>2019</v>
      </c>
      <c r="C438" t="s">
        <v>58</v>
      </c>
      <c r="D438" t="s">
        <v>59</v>
      </c>
      <c r="E438" t="s">
        <v>60</v>
      </c>
      <c r="F438" t="s">
        <v>49</v>
      </c>
      <c r="G438">
        <v>11848</v>
      </c>
      <c r="H438">
        <v>41000.113358305156</v>
      </c>
      <c r="I438">
        <v>52848.113358305156</v>
      </c>
    </row>
    <row r="439" spans="1:9" x14ac:dyDescent="0.2">
      <c r="A439" t="s">
        <v>111</v>
      </c>
      <c r="B439">
        <v>2020</v>
      </c>
      <c r="C439" t="s">
        <v>58</v>
      </c>
      <c r="D439" t="s">
        <v>59</v>
      </c>
      <c r="E439" t="s">
        <v>60</v>
      </c>
      <c r="F439" t="s">
        <v>49</v>
      </c>
      <c r="G439">
        <v>214</v>
      </c>
      <c r="H439">
        <v>879.59525074873</v>
      </c>
      <c r="I439">
        <v>1093.59525074873</v>
      </c>
    </row>
    <row r="440" spans="1:9" x14ac:dyDescent="0.2">
      <c r="A440" t="s">
        <v>111</v>
      </c>
      <c r="B440">
        <v>2021</v>
      </c>
      <c r="C440" t="s">
        <v>58</v>
      </c>
      <c r="D440" t="s">
        <v>59</v>
      </c>
      <c r="E440" t="s">
        <v>60</v>
      </c>
      <c r="F440" t="s">
        <v>49</v>
      </c>
      <c r="G440">
        <v>3702</v>
      </c>
      <c r="H440">
        <v>16918.950076621986</v>
      </c>
      <c r="I440">
        <v>20620.950076621986</v>
      </c>
    </row>
    <row r="441" spans="1:9" x14ac:dyDescent="0.2">
      <c r="A441" t="s">
        <v>111</v>
      </c>
      <c r="B441">
        <v>2022</v>
      </c>
      <c r="C441" t="s">
        <v>58</v>
      </c>
      <c r="D441" t="s">
        <v>59</v>
      </c>
      <c r="E441" t="s">
        <v>60</v>
      </c>
      <c r="F441" t="s">
        <v>49</v>
      </c>
      <c r="G441">
        <v>3496</v>
      </c>
      <c r="H441">
        <v>16136.906427965592</v>
      </c>
      <c r="I441">
        <v>19632.906427965594</v>
      </c>
    </row>
    <row r="442" spans="1:9" x14ac:dyDescent="0.2">
      <c r="A442" t="s">
        <v>111</v>
      </c>
      <c r="B442">
        <v>2023</v>
      </c>
      <c r="C442" t="s">
        <v>58</v>
      </c>
      <c r="D442" t="s">
        <v>59</v>
      </c>
      <c r="E442" t="s">
        <v>60</v>
      </c>
      <c r="F442" t="s">
        <v>49</v>
      </c>
      <c r="G442">
        <v>1937</v>
      </c>
      <c r="H442" t="s">
        <v>125</v>
      </c>
      <c r="I442">
        <v>1937</v>
      </c>
    </row>
    <row r="443" spans="1:9" x14ac:dyDescent="0.2">
      <c r="A443" t="s">
        <v>81</v>
      </c>
      <c r="B443">
        <v>2015</v>
      </c>
      <c r="C443" t="s">
        <v>58</v>
      </c>
      <c r="D443" t="s">
        <v>59</v>
      </c>
      <c r="E443" t="s">
        <v>60</v>
      </c>
      <c r="F443" t="s">
        <v>19</v>
      </c>
      <c r="G443">
        <v>123109</v>
      </c>
      <c r="H443">
        <v>4184675.099877798</v>
      </c>
      <c r="I443">
        <v>4307784.099877798</v>
      </c>
    </row>
    <row r="444" spans="1:9" x14ac:dyDescent="0.2">
      <c r="A444" t="s">
        <v>81</v>
      </c>
      <c r="B444">
        <v>2016</v>
      </c>
      <c r="C444" t="s">
        <v>58</v>
      </c>
      <c r="D444" t="s">
        <v>59</v>
      </c>
      <c r="E444" t="s">
        <v>60</v>
      </c>
      <c r="F444" t="s">
        <v>19</v>
      </c>
      <c r="G444">
        <v>122561</v>
      </c>
      <c r="H444">
        <v>323222.3083809113</v>
      </c>
      <c r="I444">
        <v>445783.3083809113</v>
      </c>
    </row>
    <row r="445" spans="1:9" x14ac:dyDescent="0.2">
      <c r="A445" t="s">
        <v>81</v>
      </c>
      <c r="B445">
        <v>2017</v>
      </c>
      <c r="C445" t="s">
        <v>58</v>
      </c>
      <c r="D445" t="s">
        <v>59</v>
      </c>
      <c r="E445" t="s">
        <v>60</v>
      </c>
      <c r="F445" t="s">
        <v>19</v>
      </c>
      <c r="G445">
        <v>133598</v>
      </c>
      <c r="H445">
        <v>414812.74647120538</v>
      </c>
      <c r="I445">
        <v>548410.74647120538</v>
      </c>
    </row>
    <row r="446" spans="1:9" x14ac:dyDescent="0.2">
      <c r="A446" t="s">
        <v>81</v>
      </c>
      <c r="B446">
        <v>2018</v>
      </c>
      <c r="C446" t="s">
        <v>58</v>
      </c>
      <c r="D446" t="s">
        <v>59</v>
      </c>
      <c r="E446" t="s">
        <v>60</v>
      </c>
      <c r="F446" t="s">
        <v>19</v>
      </c>
      <c r="G446">
        <v>149368</v>
      </c>
      <c r="H446">
        <v>409027.06657404749</v>
      </c>
      <c r="I446">
        <v>558395.06657404755</v>
      </c>
    </row>
    <row r="447" spans="1:9" x14ac:dyDescent="0.2">
      <c r="A447" t="s">
        <v>81</v>
      </c>
      <c r="B447">
        <v>2019</v>
      </c>
      <c r="C447" t="s">
        <v>58</v>
      </c>
      <c r="D447" t="s">
        <v>59</v>
      </c>
      <c r="E447" t="s">
        <v>60</v>
      </c>
      <c r="F447" t="s">
        <v>19</v>
      </c>
      <c r="G447">
        <v>72536</v>
      </c>
      <c r="H447">
        <v>251011.49751502558</v>
      </c>
      <c r="I447">
        <v>323547.49751502555</v>
      </c>
    </row>
    <row r="448" spans="1:9" x14ac:dyDescent="0.2">
      <c r="A448" t="s">
        <v>81</v>
      </c>
      <c r="B448">
        <v>2020</v>
      </c>
      <c r="C448" t="s">
        <v>58</v>
      </c>
      <c r="D448" t="s">
        <v>59</v>
      </c>
      <c r="E448" t="s">
        <v>60</v>
      </c>
      <c r="F448" t="s">
        <v>19</v>
      </c>
      <c r="G448">
        <v>100911</v>
      </c>
      <c r="H448">
        <v>414770.26330983691</v>
      </c>
      <c r="I448">
        <v>515681.26330983691</v>
      </c>
    </row>
    <row r="449" spans="1:9" x14ac:dyDescent="0.2">
      <c r="A449" t="s">
        <v>81</v>
      </c>
      <c r="B449">
        <v>2021</v>
      </c>
      <c r="C449" t="s">
        <v>58</v>
      </c>
      <c r="D449" t="s">
        <v>59</v>
      </c>
      <c r="E449" t="s">
        <v>60</v>
      </c>
      <c r="F449" t="s">
        <v>19</v>
      </c>
      <c r="G449">
        <v>94194</v>
      </c>
      <c r="H449">
        <v>430487.19165784208</v>
      </c>
      <c r="I449">
        <v>524681.19165784214</v>
      </c>
    </row>
    <row r="450" spans="1:9" x14ac:dyDescent="0.2">
      <c r="A450" t="s">
        <v>81</v>
      </c>
      <c r="B450">
        <v>2022</v>
      </c>
      <c r="C450" t="s">
        <v>58</v>
      </c>
      <c r="D450" t="s">
        <v>59</v>
      </c>
      <c r="E450" t="s">
        <v>60</v>
      </c>
      <c r="F450" t="s">
        <v>19</v>
      </c>
      <c r="G450">
        <v>75672</v>
      </c>
      <c r="H450">
        <v>349288.32471882505</v>
      </c>
      <c r="I450">
        <v>424960.32471882505</v>
      </c>
    </row>
    <row r="451" spans="1:9" x14ac:dyDescent="0.2">
      <c r="A451" t="s">
        <v>81</v>
      </c>
      <c r="B451">
        <v>2023</v>
      </c>
      <c r="C451" t="s">
        <v>58</v>
      </c>
      <c r="D451" t="s">
        <v>59</v>
      </c>
      <c r="E451" t="s">
        <v>60</v>
      </c>
      <c r="F451" t="s">
        <v>19</v>
      </c>
      <c r="G451">
        <v>133696</v>
      </c>
      <c r="H451" t="s">
        <v>125</v>
      </c>
      <c r="I451">
        <v>133696</v>
      </c>
    </row>
    <row r="452" spans="1:9" x14ac:dyDescent="0.2">
      <c r="A452" t="s">
        <v>125</v>
      </c>
      <c r="B452">
        <v>2015</v>
      </c>
      <c r="C452" t="s">
        <v>58</v>
      </c>
      <c r="D452" t="s">
        <v>59</v>
      </c>
      <c r="E452" t="s">
        <v>60</v>
      </c>
      <c r="F452" t="s">
        <v>119</v>
      </c>
      <c r="G452">
        <v>2314145</v>
      </c>
      <c r="H452">
        <v>78661551.625037223</v>
      </c>
      <c r="I452">
        <v>80975696.625037223</v>
      </c>
    </row>
    <row r="453" spans="1:9" x14ac:dyDescent="0.2">
      <c r="A453" t="s">
        <v>125</v>
      </c>
      <c r="B453">
        <v>2016</v>
      </c>
      <c r="C453" t="s">
        <v>58</v>
      </c>
      <c r="D453" t="s">
        <v>59</v>
      </c>
      <c r="E453" t="s">
        <v>60</v>
      </c>
      <c r="F453" t="s">
        <v>119</v>
      </c>
      <c r="G453">
        <v>1973801</v>
      </c>
      <c r="H453">
        <v>5205379.4886183301</v>
      </c>
      <c r="I453">
        <v>7179180.4886183301</v>
      </c>
    </row>
    <row r="454" spans="1:9" x14ac:dyDescent="0.2">
      <c r="A454" t="s">
        <v>125</v>
      </c>
      <c r="B454">
        <v>2017</v>
      </c>
      <c r="C454" t="s">
        <v>58</v>
      </c>
      <c r="D454" t="s">
        <v>59</v>
      </c>
      <c r="E454" t="s">
        <v>60</v>
      </c>
      <c r="F454" t="s">
        <v>119</v>
      </c>
      <c r="G454">
        <v>2003498</v>
      </c>
      <c r="H454">
        <v>6220725.6690187501</v>
      </c>
      <c r="I454">
        <v>8224223.6690187501</v>
      </c>
    </row>
    <row r="455" spans="1:9" x14ac:dyDescent="0.2">
      <c r="A455" t="s">
        <v>125</v>
      </c>
      <c r="B455">
        <v>2018</v>
      </c>
      <c r="C455" t="s">
        <v>58</v>
      </c>
      <c r="D455" t="s">
        <v>59</v>
      </c>
      <c r="E455" t="s">
        <v>60</v>
      </c>
      <c r="F455" t="s">
        <v>119</v>
      </c>
      <c r="G455">
        <v>1986247</v>
      </c>
      <c r="H455">
        <v>5439108.6705418974</v>
      </c>
      <c r="I455">
        <v>7425355.6705418974</v>
      </c>
    </row>
    <row r="456" spans="1:9" x14ac:dyDescent="0.2">
      <c r="A456" t="s">
        <v>125</v>
      </c>
      <c r="B456">
        <v>2019</v>
      </c>
      <c r="C456" t="s">
        <v>58</v>
      </c>
      <c r="D456" t="s">
        <v>59</v>
      </c>
      <c r="E456" t="s">
        <v>60</v>
      </c>
      <c r="F456" t="s">
        <v>119</v>
      </c>
      <c r="G456">
        <v>1829659</v>
      </c>
      <c r="H456">
        <v>6331551.8574479455</v>
      </c>
      <c r="I456">
        <v>8161210.8574479455</v>
      </c>
    </row>
    <row r="457" spans="1:9" x14ac:dyDescent="0.2">
      <c r="A457" t="s">
        <v>125</v>
      </c>
      <c r="B457">
        <v>2020</v>
      </c>
      <c r="C457" t="s">
        <v>58</v>
      </c>
      <c r="D457" t="s">
        <v>59</v>
      </c>
      <c r="E457" t="s">
        <v>60</v>
      </c>
      <c r="F457" t="s">
        <v>119</v>
      </c>
      <c r="G457">
        <v>1516834</v>
      </c>
      <c r="H457">
        <v>6234579.3578233607</v>
      </c>
      <c r="I457">
        <v>7751413.3578233607</v>
      </c>
    </row>
    <row r="458" spans="1:9" x14ac:dyDescent="0.2">
      <c r="A458" t="s">
        <v>125</v>
      </c>
      <c r="B458">
        <v>2021</v>
      </c>
      <c r="C458" t="s">
        <v>58</v>
      </c>
      <c r="D458" t="s">
        <v>59</v>
      </c>
      <c r="E458" t="s">
        <v>60</v>
      </c>
      <c r="F458" t="s">
        <v>119</v>
      </c>
      <c r="G458">
        <v>1168574</v>
      </c>
      <c r="H458">
        <v>5340638.8889352949</v>
      </c>
      <c r="I458">
        <v>6509212.8889352949</v>
      </c>
    </row>
    <row r="459" spans="1:9" x14ac:dyDescent="0.2">
      <c r="A459" t="s">
        <v>125</v>
      </c>
      <c r="B459">
        <v>2022</v>
      </c>
      <c r="C459" t="s">
        <v>58</v>
      </c>
      <c r="D459" t="s">
        <v>59</v>
      </c>
      <c r="E459" t="s">
        <v>60</v>
      </c>
      <c r="F459" t="s">
        <v>119</v>
      </c>
      <c r="G459">
        <v>1140207</v>
      </c>
      <c r="H459">
        <v>5262990.1794940969</v>
      </c>
      <c r="I459">
        <v>6403197.1794940969</v>
      </c>
    </row>
    <row r="460" spans="1:9" x14ac:dyDescent="0.2">
      <c r="A460" t="s">
        <v>125</v>
      </c>
      <c r="B460">
        <v>2023</v>
      </c>
      <c r="C460" t="s">
        <v>58</v>
      </c>
      <c r="D460" t="s">
        <v>59</v>
      </c>
      <c r="E460" t="s">
        <v>60</v>
      </c>
      <c r="F460" t="s">
        <v>119</v>
      </c>
      <c r="G460">
        <v>2335414</v>
      </c>
      <c r="H460" t="s">
        <v>125</v>
      </c>
      <c r="I460">
        <v>2335414</v>
      </c>
    </row>
    <row r="461" spans="1:9" x14ac:dyDescent="0.2">
      <c r="A461" t="s">
        <v>82</v>
      </c>
      <c r="B461">
        <v>2015</v>
      </c>
      <c r="C461" t="s">
        <v>58</v>
      </c>
      <c r="D461" t="s">
        <v>59</v>
      </c>
      <c r="E461" t="s">
        <v>60</v>
      </c>
      <c r="F461" t="s">
        <v>20</v>
      </c>
      <c r="G461">
        <v>289734</v>
      </c>
      <c r="H461">
        <v>9848529.8019478172</v>
      </c>
      <c r="I461">
        <v>10138263.801947817</v>
      </c>
    </row>
    <row r="462" spans="1:9" x14ac:dyDescent="0.2">
      <c r="A462" t="s">
        <v>82</v>
      </c>
      <c r="B462">
        <v>2016</v>
      </c>
      <c r="C462" t="s">
        <v>58</v>
      </c>
      <c r="D462" t="s">
        <v>59</v>
      </c>
      <c r="E462" t="s">
        <v>60</v>
      </c>
      <c r="F462" t="s">
        <v>20</v>
      </c>
      <c r="G462">
        <v>257196</v>
      </c>
      <c r="H462">
        <v>678286.6068842198</v>
      </c>
      <c r="I462">
        <v>935482.6068842198</v>
      </c>
    </row>
    <row r="463" spans="1:9" x14ac:dyDescent="0.2">
      <c r="A463" t="s">
        <v>82</v>
      </c>
      <c r="B463">
        <v>2017</v>
      </c>
      <c r="C463" t="s">
        <v>58</v>
      </c>
      <c r="D463" t="s">
        <v>59</v>
      </c>
      <c r="E463" t="s">
        <v>60</v>
      </c>
      <c r="F463" t="s">
        <v>20</v>
      </c>
      <c r="G463">
        <v>299121</v>
      </c>
      <c r="H463">
        <v>928750.45687220932</v>
      </c>
      <c r="I463">
        <v>1227871.4568722094</v>
      </c>
    </row>
    <row r="464" spans="1:9" x14ac:dyDescent="0.2">
      <c r="A464" t="s">
        <v>82</v>
      </c>
      <c r="B464">
        <v>2018</v>
      </c>
      <c r="C464" t="s">
        <v>58</v>
      </c>
      <c r="D464" t="s">
        <v>59</v>
      </c>
      <c r="E464" t="s">
        <v>60</v>
      </c>
      <c r="F464" t="s">
        <v>20</v>
      </c>
      <c r="G464">
        <v>303737</v>
      </c>
      <c r="H464">
        <v>831748.79572600196</v>
      </c>
      <c r="I464">
        <v>1135485.795726002</v>
      </c>
    </row>
    <row r="465" spans="1:9" x14ac:dyDescent="0.2">
      <c r="A465" t="s">
        <v>82</v>
      </c>
      <c r="B465">
        <v>2019</v>
      </c>
      <c r="C465" t="s">
        <v>58</v>
      </c>
      <c r="D465" t="s">
        <v>59</v>
      </c>
      <c r="E465" t="s">
        <v>60</v>
      </c>
      <c r="F465" t="s">
        <v>20</v>
      </c>
      <c r="G465">
        <v>248144</v>
      </c>
      <c r="H465">
        <v>858704.6023956174</v>
      </c>
      <c r="I465">
        <v>1106848.6023956174</v>
      </c>
    </row>
    <row r="466" spans="1:9" x14ac:dyDescent="0.2">
      <c r="A466" t="s">
        <v>82</v>
      </c>
      <c r="B466">
        <v>2020</v>
      </c>
      <c r="C466" t="s">
        <v>58</v>
      </c>
      <c r="D466" t="s">
        <v>59</v>
      </c>
      <c r="E466" t="s">
        <v>60</v>
      </c>
      <c r="F466" t="s">
        <v>20</v>
      </c>
      <c r="G466">
        <v>258900</v>
      </c>
      <c r="H466">
        <v>1064145.8430787206</v>
      </c>
      <c r="I466">
        <v>1323045.8430787206</v>
      </c>
    </row>
    <row r="467" spans="1:9" x14ac:dyDescent="0.2">
      <c r="A467" t="s">
        <v>82</v>
      </c>
      <c r="B467">
        <v>2021</v>
      </c>
      <c r="C467" t="s">
        <v>58</v>
      </c>
      <c r="D467" t="s">
        <v>59</v>
      </c>
      <c r="E467" t="s">
        <v>60</v>
      </c>
      <c r="F467" t="s">
        <v>20</v>
      </c>
      <c r="G467">
        <v>212196</v>
      </c>
      <c r="H467">
        <v>969782.15301428386</v>
      </c>
      <c r="I467">
        <v>1181978.1530142839</v>
      </c>
    </row>
    <row r="468" spans="1:9" x14ac:dyDescent="0.2">
      <c r="A468" t="s">
        <v>82</v>
      </c>
      <c r="B468">
        <v>2022</v>
      </c>
      <c r="C468" t="s">
        <v>58</v>
      </c>
      <c r="D468" t="s">
        <v>59</v>
      </c>
      <c r="E468" t="s">
        <v>60</v>
      </c>
      <c r="F468" t="s">
        <v>20</v>
      </c>
      <c r="G468">
        <v>215500</v>
      </c>
      <c r="H468">
        <v>994709.19199845113</v>
      </c>
      <c r="I468">
        <v>1210209.191998451</v>
      </c>
    </row>
    <row r="469" spans="1:9" x14ac:dyDescent="0.2">
      <c r="A469" t="s">
        <v>82</v>
      </c>
      <c r="B469">
        <v>2023</v>
      </c>
      <c r="C469" t="s">
        <v>58</v>
      </c>
      <c r="D469" t="s">
        <v>59</v>
      </c>
      <c r="E469" t="s">
        <v>60</v>
      </c>
      <c r="F469" t="s">
        <v>20</v>
      </c>
      <c r="G469">
        <v>365303</v>
      </c>
      <c r="H469" t="s">
        <v>125</v>
      </c>
      <c r="I469">
        <v>365303</v>
      </c>
    </row>
    <row r="470" spans="1:9" x14ac:dyDescent="0.2">
      <c r="A470" t="s">
        <v>83</v>
      </c>
      <c r="B470">
        <v>2015</v>
      </c>
      <c r="C470" t="s">
        <v>58</v>
      </c>
      <c r="D470" t="s">
        <v>59</v>
      </c>
      <c r="E470" t="s">
        <v>60</v>
      </c>
      <c r="F470" t="s">
        <v>21</v>
      </c>
      <c r="G470">
        <v>74801</v>
      </c>
      <c r="H470">
        <v>2542607.6253235685</v>
      </c>
      <c r="I470">
        <v>2617408.6253235685</v>
      </c>
    </row>
    <row r="471" spans="1:9" x14ac:dyDescent="0.2">
      <c r="A471" t="s">
        <v>83</v>
      </c>
      <c r="B471">
        <v>2016</v>
      </c>
      <c r="C471" t="s">
        <v>58</v>
      </c>
      <c r="D471" t="s">
        <v>59</v>
      </c>
      <c r="E471" t="s">
        <v>60</v>
      </c>
      <c r="F471" t="s">
        <v>21</v>
      </c>
      <c r="G471">
        <v>78637</v>
      </c>
      <c r="H471">
        <v>207384.34464592914</v>
      </c>
      <c r="I471">
        <v>286021.34464592917</v>
      </c>
    </row>
    <row r="472" spans="1:9" x14ac:dyDescent="0.2">
      <c r="A472" t="s">
        <v>83</v>
      </c>
      <c r="B472">
        <v>2017</v>
      </c>
      <c r="C472" t="s">
        <v>58</v>
      </c>
      <c r="D472" t="s">
        <v>59</v>
      </c>
      <c r="E472" t="s">
        <v>60</v>
      </c>
      <c r="F472" t="s">
        <v>21</v>
      </c>
      <c r="G472">
        <v>79314</v>
      </c>
      <c r="H472">
        <v>246264.60106900689</v>
      </c>
      <c r="I472">
        <v>325578.60106900689</v>
      </c>
    </row>
    <row r="473" spans="1:9" x14ac:dyDescent="0.2">
      <c r="A473" t="s">
        <v>83</v>
      </c>
      <c r="B473">
        <v>2018</v>
      </c>
      <c r="C473" t="s">
        <v>58</v>
      </c>
      <c r="D473" t="s">
        <v>59</v>
      </c>
      <c r="E473" t="s">
        <v>60</v>
      </c>
      <c r="F473" t="s">
        <v>21</v>
      </c>
      <c r="G473">
        <v>89138</v>
      </c>
      <c r="H473">
        <v>244094.14774434583</v>
      </c>
      <c r="I473">
        <v>333232.14774434583</v>
      </c>
    </row>
    <row r="474" spans="1:9" x14ac:dyDescent="0.2">
      <c r="A474" t="s">
        <v>83</v>
      </c>
      <c r="B474">
        <v>2019</v>
      </c>
      <c r="C474" t="s">
        <v>58</v>
      </c>
      <c r="D474" t="s">
        <v>59</v>
      </c>
      <c r="E474" t="s">
        <v>60</v>
      </c>
      <c r="F474" t="s">
        <v>21</v>
      </c>
      <c r="G474">
        <v>74356</v>
      </c>
      <c r="H474">
        <v>257309.62431381992</v>
      </c>
      <c r="I474">
        <v>331665.62431381992</v>
      </c>
    </row>
    <row r="475" spans="1:9" x14ac:dyDescent="0.2">
      <c r="A475" t="s">
        <v>83</v>
      </c>
      <c r="B475">
        <v>2020</v>
      </c>
      <c r="C475" t="s">
        <v>58</v>
      </c>
      <c r="D475" t="s">
        <v>59</v>
      </c>
      <c r="E475" t="s">
        <v>60</v>
      </c>
      <c r="F475" t="s">
        <v>21</v>
      </c>
      <c r="G475">
        <v>70592</v>
      </c>
      <c r="H475">
        <v>290151.34551801102</v>
      </c>
      <c r="I475">
        <v>360743.34551801102</v>
      </c>
    </row>
    <row r="476" spans="1:9" x14ac:dyDescent="0.2">
      <c r="A476" t="s">
        <v>83</v>
      </c>
      <c r="B476">
        <v>2021</v>
      </c>
      <c r="C476" t="s">
        <v>58</v>
      </c>
      <c r="D476" t="s">
        <v>59</v>
      </c>
      <c r="E476" t="s">
        <v>60</v>
      </c>
      <c r="F476" t="s">
        <v>21</v>
      </c>
      <c r="G476">
        <v>72657</v>
      </c>
      <c r="H476">
        <v>332058.38890251849</v>
      </c>
      <c r="I476">
        <v>404715.38890251849</v>
      </c>
    </row>
    <row r="477" spans="1:9" x14ac:dyDescent="0.2">
      <c r="A477" t="s">
        <v>83</v>
      </c>
      <c r="B477">
        <v>2022</v>
      </c>
      <c r="C477" t="s">
        <v>58</v>
      </c>
      <c r="D477" t="s">
        <v>59</v>
      </c>
      <c r="E477" t="s">
        <v>60</v>
      </c>
      <c r="F477" t="s">
        <v>21</v>
      </c>
      <c r="G477">
        <v>76221</v>
      </c>
      <c r="H477">
        <v>351822.40985296492</v>
      </c>
      <c r="I477">
        <v>428043.40985296492</v>
      </c>
    </row>
    <row r="478" spans="1:9" x14ac:dyDescent="0.2">
      <c r="A478" t="s">
        <v>83</v>
      </c>
      <c r="B478">
        <v>2023</v>
      </c>
      <c r="C478" t="s">
        <v>58</v>
      </c>
      <c r="D478" t="s">
        <v>59</v>
      </c>
      <c r="E478" t="s">
        <v>60</v>
      </c>
      <c r="F478" t="s">
        <v>21</v>
      </c>
      <c r="G478">
        <v>121974</v>
      </c>
      <c r="H478" t="s">
        <v>125</v>
      </c>
      <c r="I478">
        <v>121974</v>
      </c>
    </row>
    <row r="479" spans="1:9" x14ac:dyDescent="0.2">
      <c r="A479" t="s">
        <v>84</v>
      </c>
      <c r="B479">
        <v>2015</v>
      </c>
      <c r="C479" t="s">
        <v>58</v>
      </c>
      <c r="D479" t="s">
        <v>59</v>
      </c>
      <c r="E479" t="s">
        <v>60</v>
      </c>
      <c r="F479" t="s">
        <v>22</v>
      </c>
      <c r="G479">
        <v>35976</v>
      </c>
      <c r="H479">
        <v>1222882.7412553402</v>
      </c>
      <c r="I479">
        <v>1258858.7412553402</v>
      </c>
    </row>
    <row r="480" spans="1:9" x14ac:dyDescent="0.2">
      <c r="A480" t="s">
        <v>84</v>
      </c>
      <c r="B480">
        <v>2016</v>
      </c>
      <c r="C480" t="s">
        <v>58</v>
      </c>
      <c r="D480" t="s">
        <v>59</v>
      </c>
      <c r="E480" t="s">
        <v>60</v>
      </c>
      <c r="F480" t="s">
        <v>22</v>
      </c>
      <c r="G480">
        <v>49447</v>
      </c>
      <c r="H480">
        <v>130403.41937901064</v>
      </c>
      <c r="I480">
        <v>179850.41937901062</v>
      </c>
    </row>
    <row r="481" spans="1:9" x14ac:dyDescent="0.2">
      <c r="A481" t="s">
        <v>84</v>
      </c>
      <c r="B481">
        <v>2017</v>
      </c>
      <c r="C481" t="s">
        <v>58</v>
      </c>
      <c r="D481" t="s">
        <v>59</v>
      </c>
      <c r="E481" t="s">
        <v>60</v>
      </c>
      <c r="F481" t="s">
        <v>22</v>
      </c>
      <c r="G481">
        <v>31855</v>
      </c>
      <c r="H481">
        <v>98907.618668245384</v>
      </c>
      <c r="I481">
        <v>130762.61866824538</v>
      </c>
    </row>
    <row r="482" spans="1:9" x14ac:dyDescent="0.2">
      <c r="A482" t="s">
        <v>84</v>
      </c>
      <c r="B482">
        <v>2018</v>
      </c>
      <c r="C482" t="s">
        <v>58</v>
      </c>
      <c r="D482" t="s">
        <v>59</v>
      </c>
      <c r="E482" t="s">
        <v>60</v>
      </c>
      <c r="F482" t="s">
        <v>22</v>
      </c>
      <c r="G482">
        <v>27948</v>
      </c>
      <c r="H482">
        <v>76532.379469574997</v>
      </c>
      <c r="I482">
        <v>104480.379469575</v>
      </c>
    </row>
    <row r="483" spans="1:9" x14ac:dyDescent="0.2">
      <c r="A483" t="s">
        <v>84</v>
      </c>
      <c r="B483">
        <v>2019</v>
      </c>
      <c r="C483" t="s">
        <v>58</v>
      </c>
      <c r="D483" t="s">
        <v>59</v>
      </c>
      <c r="E483" t="s">
        <v>60</v>
      </c>
      <c r="F483" t="s">
        <v>22</v>
      </c>
      <c r="G483">
        <v>21722</v>
      </c>
      <c r="H483">
        <v>75169.181496379533</v>
      </c>
      <c r="I483">
        <v>96891.181496379533</v>
      </c>
    </row>
    <row r="484" spans="1:9" x14ac:dyDescent="0.2">
      <c r="A484" t="s">
        <v>84</v>
      </c>
      <c r="B484">
        <v>2020</v>
      </c>
      <c r="C484" t="s">
        <v>58</v>
      </c>
      <c r="D484" t="s">
        <v>59</v>
      </c>
      <c r="E484" t="s">
        <v>60</v>
      </c>
      <c r="F484" t="s">
        <v>22</v>
      </c>
      <c r="G484">
        <v>19760</v>
      </c>
      <c r="H484">
        <v>81218.70165792013</v>
      </c>
      <c r="I484">
        <v>100978.70165792013</v>
      </c>
    </row>
    <row r="485" spans="1:9" x14ac:dyDescent="0.2">
      <c r="A485" t="s">
        <v>84</v>
      </c>
      <c r="B485">
        <v>2021</v>
      </c>
      <c r="C485" t="s">
        <v>58</v>
      </c>
      <c r="D485" t="s">
        <v>59</v>
      </c>
      <c r="E485" t="s">
        <v>60</v>
      </c>
      <c r="F485" t="s">
        <v>22</v>
      </c>
      <c r="G485">
        <v>17775</v>
      </c>
      <c r="H485">
        <v>81235.639549420797</v>
      </c>
      <c r="I485">
        <v>99010.639549420797</v>
      </c>
    </row>
    <row r="486" spans="1:9" x14ac:dyDescent="0.2">
      <c r="A486" t="s">
        <v>84</v>
      </c>
      <c r="B486">
        <v>2022</v>
      </c>
      <c r="C486" t="s">
        <v>58</v>
      </c>
      <c r="D486" t="s">
        <v>59</v>
      </c>
      <c r="E486" t="s">
        <v>60</v>
      </c>
      <c r="F486" t="s">
        <v>22</v>
      </c>
      <c r="G486">
        <v>16975</v>
      </c>
      <c r="H486">
        <v>78353.543082012562</v>
      </c>
      <c r="I486">
        <v>95328.543082012562</v>
      </c>
    </row>
    <row r="487" spans="1:9" x14ac:dyDescent="0.2">
      <c r="A487" t="s">
        <v>84</v>
      </c>
      <c r="B487">
        <v>2023</v>
      </c>
      <c r="C487" t="s">
        <v>58</v>
      </c>
      <c r="D487" t="s">
        <v>59</v>
      </c>
      <c r="E487" t="s">
        <v>60</v>
      </c>
      <c r="F487" t="s">
        <v>22</v>
      </c>
      <c r="G487">
        <v>22550</v>
      </c>
      <c r="H487" t="s">
        <v>125</v>
      </c>
      <c r="I487">
        <v>22550</v>
      </c>
    </row>
    <row r="488" spans="1:9" x14ac:dyDescent="0.2">
      <c r="A488" t="s">
        <v>101</v>
      </c>
      <c r="B488">
        <v>2015</v>
      </c>
      <c r="C488" t="s">
        <v>58</v>
      </c>
      <c r="D488" t="s">
        <v>59</v>
      </c>
      <c r="E488" t="s">
        <v>60</v>
      </c>
      <c r="F488" t="s">
        <v>39</v>
      </c>
      <c r="G488">
        <v>154571</v>
      </c>
      <c r="H488">
        <v>5254119.6408321988</v>
      </c>
      <c r="I488">
        <v>5408690.6408321988</v>
      </c>
    </row>
    <row r="489" spans="1:9" x14ac:dyDescent="0.2">
      <c r="A489" t="s">
        <v>101</v>
      </c>
      <c r="B489">
        <v>2016</v>
      </c>
      <c r="C489" t="s">
        <v>58</v>
      </c>
      <c r="D489" t="s">
        <v>59</v>
      </c>
      <c r="E489" t="s">
        <v>60</v>
      </c>
      <c r="F489" t="s">
        <v>39</v>
      </c>
      <c r="G489">
        <v>159466</v>
      </c>
      <c r="H489">
        <v>420549.51108648267</v>
      </c>
      <c r="I489">
        <v>580015.51108648267</v>
      </c>
    </row>
    <row r="490" spans="1:9" x14ac:dyDescent="0.2">
      <c r="A490" t="s">
        <v>101</v>
      </c>
      <c r="B490">
        <v>2017</v>
      </c>
      <c r="C490" t="s">
        <v>58</v>
      </c>
      <c r="D490" t="s">
        <v>59</v>
      </c>
      <c r="E490" t="s">
        <v>60</v>
      </c>
      <c r="F490" t="s">
        <v>39</v>
      </c>
      <c r="G490">
        <v>177044</v>
      </c>
      <c r="H490">
        <v>549709.63552035275</v>
      </c>
      <c r="I490">
        <v>726753.63552035275</v>
      </c>
    </row>
    <row r="491" spans="1:9" x14ac:dyDescent="0.2">
      <c r="A491" t="s">
        <v>101</v>
      </c>
      <c r="B491">
        <v>2018</v>
      </c>
      <c r="C491" t="s">
        <v>58</v>
      </c>
      <c r="D491" t="s">
        <v>59</v>
      </c>
      <c r="E491" t="s">
        <v>60</v>
      </c>
      <c r="F491" t="s">
        <v>39</v>
      </c>
      <c r="G491">
        <v>229625</v>
      </c>
      <c r="H491">
        <v>628801.61856666533</v>
      </c>
      <c r="I491">
        <v>858426.61856666533</v>
      </c>
    </row>
    <row r="492" spans="1:9" x14ac:dyDescent="0.2">
      <c r="A492" t="s">
        <v>101</v>
      </c>
      <c r="B492">
        <v>2019</v>
      </c>
      <c r="C492" t="s">
        <v>58</v>
      </c>
      <c r="D492" t="s">
        <v>59</v>
      </c>
      <c r="E492" t="s">
        <v>60</v>
      </c>
      <c r="F492" t="s">
        <v>39</v>
      </c>
      <c r="G492">
        <v>184057</v>
      </c>
      <c r="H492">
        <v>636930.94736576406</v>
      </c>
      <c r="I492">
        <v>820987.94736576406</v>
      </c>
    </row>
    <row r="493" spans="1:9" x14ac:dyDescent="0.2">
      <c r="A493" t="s">
        <v>101</v>
      </c>
      <c r="B493">
        <v>2020</v>
      </c>
      <c r="C493" t="s">
        <v>58</v>
      </c>
      <c r="D493" t="s">
        <v>59</v>
      </c>
      <c r="E493" t="s">
        <v>60</v>
      </c>
      <c r="F493" t="s">
        <v>39</v>
      </c>
      <c r="G493">
        <v>171801</v>
      </c>
      <c r="H493">
        <v>706146.4657658065</v>
      </c>
      <c r="I493">
        <v>877947.4657658065</v>
      </c>
    </row>
    <row r="494" spans="1:9" x14ac:dyDescent="0.2">
      <c r="A494" t="s">
        <v>101</v>
      </c>
      <c r="B494">
        <v>2021</v>
      </c>
      <c r="C494" t="s">
        <v>58</v>
      </c>
      <c r="D494" t="s">
        <v>59</v>
      </c>
      <c r="E494" t="s">
        <v>60</v>
      </c>
      <c r="F494" t="s">
        <v>39</v>
      </c>
      <c r="G494">
        <v>177599</v>
      </c>
      <c r="H494">
        <v>811666.29245218483</v>
      </c>
      <c r="I494">
        <v>989265.29245218483</v>
      </c>
    </row>
    <row r="495" spans="1:9" x14ac:dyDescent="0.2">
      <c r="A495" t="s">
        <v>101</v>
      </c>
      <c r="B495">
        <v>2022</v>
      </c>
      <c r="C495" t="s">
        <v>58</v>
      </c>
      <c r="D495" t="s">
        <v>59</v>
      </c>
      <c r="E495" t="s">
        <v>60</v>
      </c>
      <c r="F495" t="s">
        <v>39</v>
      </c>
      <c r="G495">
        <v>192020</v>
      </c>
      <c r="H495">
        <v>886329.74035982636</v>
      </c>
      <c r="I495">
        <v>1078349.7403598265</v>
      </c>
    </row>
    <row r="496" spans="1:9" x14ac:dyDescent="0.2">
      <c r="A496" t="s">
        <v>101</v>
      </c>
      <c r="B496">
        <v>2023</v>
      </c>
      <c r="C496" t="s">
        <v>58</v>
      </c>
      <c r="D496" t="s">
        <v>59</v>
      </c>
      <c r="E496" t="s">
        <v>60</v>
      </c>
      <c r="F496" t="s">
        <v>39</v>
      </c>
      <c r="G496">
        <v>452907</v>
      </c>
      <c r="H496" t="s">
        <v>125</v>
      </c>
      <c r="I496">
        <v>452907</v>
      </c>
    </row>
    <row r="497" spans="1:9" x14ac:dyDescent="0.2">
      <c r="A497" t="s">
        <v>102</v>
      </c>
      <c r="B497">
        <v>2015</v>
      </c>
      <c r="C497" t="s">
        <v>58</v>
      </c>
      <c r="D497" t="s">
        <v>59</v>
      </c>
      <c r="E497" t="s">
        <v>60</v>
      </c>
      <c r="F497" t="s">
        <v>40</v>
      </c>
      <c r="G497">
        <v>83977</v>
      </c>
      <c r="H497">
        <v>2854514.7865910525</v>
      </c>
      <c r="I497">
        <v>2938491.7865910525</v>
      </c>
    </row>
    <row r="498" spans="1:9" x14ac:dyDescent="0.2">
      <c r="A498" t="s">
        <v>102</v>
      </c>
      <c r="B498">
        <v>2016</v>
      </c>
      <c r="C498" t="s">
        <v>58</v>
      </c>
      <c r="D498" t="s">
        <v>59</v>
      </c>
      <c r="E498" t="s">
        <v>60</v>
      </c>
      <c r="F498" t="s">
        <v>40</v>
      </c>
      <c r="G498">
        <v>65703</v>
      </c>
      <c r="H498">
        <v>173274.33137418114</v>
      </c>
      <c r="I498">
        <v>238977.33137418114</v>
      </c>
    </row>
    <row r="499" spans="1:9" x14ac:dyDescent="0.2">
      <c r="A499" t="s">
        <v>102</v>
      </c>
      <c r="B499">
        <v>2017</v>
      </c>
      <c r="C499" t="s">
        <v>58</v>
      </c>
      <c r="D499" t="s">
        <v>59</v>
      </c>
      <c r="E499" t="s">
        <v>60</v>
      </c>
      <c r="F499" t="s">
        <v>40</v>
      </c>
      <c r="G499">
        <v>77229</v>
      </c>
      <c r="H499">
        <v>239790.81720702944</v>
      </c>
      <c r="I499">
        <v>317019.81720702944</v>
      </c>
    </row>
    <row r="500" spans="1:9" x14ac:dyDescent="0.2">
      <c r="A500" t="s">
        <v>102</v>
      </c>
      <c r="B500">
        <v>2018</v>
      </c>
      <c r="C500" t="s">
        <v>58</v>
      </c>
      <c r="D500" t="s">
        <v>59</v>
      </c>
      <c r="E500" t="s">
        <v>60</v>
      </c>
      <c r="F500" t="s">
        <v>40</v>
      </c>
      <c r="G500">
        <v>93555</v>
      </c>
      <c r="H500">
        <v>256189.5935765024</v>
      </c>
      <c r="I500">
        <v>349744.5935765024</v>
      </c>
    </row>
    <row r="501" spans="1:9" x14ac:dyDescent="0.2">
      <c r="A501" t="s">
        <v>102</v>
      </c>
      <c r="B501">
        <v>2019</v>
      </c>
      <c r="C501" t="s">
        <v>58</v>
      </c>
      <c r="D501" t="s">
        <v>59</v>
      </c>
      <c r="E501" t="s">
        <v>60</v>
      </c>
      <c r="F501" t="s">
        <v>40</v>
      </c>
      <c r="G501">
        <v>69750</v>
      </c>
      <c r="H501">
        <v>241370.5187999481</v>
      </c>
      <c r="I501">
        <v>311120.5187999481</v>
      </c>
    </row>
    <row r="502" spans="1:9" x14ac:dyDescent="0.2">
      <c r="A502" t="s">
        <v>102</v>
      </c>
      <c r="B502">
        <v>2020</v>
      </c>
      <c r="C502" t="s">
        <v>58</v>
      </c>
      <c r="D502" t="s">
        <v>59</v>
      </c>
      <c r="E502" t="s">
        <v>60</v>
      </c>
      <c r="F502" t="s">
        <v>40</v>
      </c>
      <c r="G502">
        <v>60808</v>
      </c>
      <c r="H502">
        <v>249936.57947443356</v>
      </c>
      <c r="I502">
        <v>310744.57947443356</v>
      </c>
    </row>
    <row r="503" spans="1:9" x14ac:dyDescent="0.2">
      <c r="A503" t="s">
        <v>102</v>
      </c>
      <c r="B503">
        <v>2021</v>
      </c>
      <c r="C503" t="s">
        <v>58</v>
      </c>
      <c r="D503" t="s">
        <v>59</v>
      </c>
      <c r="E503" t="s">
        <v>60</v>
      </c>
      <c r="F503" t="s">
        <v>40</v>
      </c>
      <c r="G503">
        <v>79025</v>
      </c>
      <c r="H503">
        <v>361161.54235684831</v>
      </c>
      <c r="I503">
        <v>440186.54235684831</v>
      </c>
    </row>
    <row r="504" spans="1:9" x14ac:dyDescent="0.2">
      <c r="A504" t="s">
        <v>102</v>
      </c>
      <c r="B504">
        <v>2022</v>
      </c>
      <c r="C504" t="s">
        <v>58</v>
      </c>
      <c r="D504" t="s">
        <v>59</v>
      </c>
      <c r="E504" t="s">
        <v>60</v>
      </c>
      <c r="F504" t="s">
        <v>40</v>
      </c>
      <c r="G504">
        <v>56417</v>
      </c>
      <c r="H504">
        <v>260410.71222726972</v>
      </c>
      <c r="I504">
        <v>316827.71222726972</v>
      </c>
    </row>
    <row r="505" spans="1:9" x14ac:dyDescent="0.2">
      <c r="A505" t="s">
        <v>102</v>
      </c>
      <c r="B505">
        <v>2023</v>
      </c>
      <c r="C505" t="s">
        <v>58</v>
      </c>
      <c r="D505" t="s">
        <v>59</v>
      </c>
      <c r="E505" t="s">
        <v>60</v>
      </c>
      <c r="F505" t="s">
        <v>40</v>
      </c>
      <c r="G505">
        <v>134743</v>
      </c>
      <c r="H505" t="s">
        <v>125</v>
      </c>
      <c r="I505">
        <v>134743</v>
      </c>
    </row>
    <row r="506" spans="1:9" x14ac:dyDescent="0.2">
      <c r="A506" t="s">
        <v>113</v>
      </c>
      <c r="B506">
        <v>2015</v>
      </c>
      <c r="C506" t="s">
        <v>58</v>
      </c>
      <c r="D506" t="s">
        <v>59</v>
      </c>
      <c r="E506" t="s">
        <v>60</v>
      </c>
      <c r="F506" t="s">
        <v>51</v>
      </c>
      <c r="G506">
        <v>65344</v>
      </c>
      <c r="H506">
        <v>2221148.8171166596</v>
      </c>
      <c r="I506">
        <v>2286492.8171166596</v>
      </c>
    </row>
    <row r="507" spans="1:9" x14ac:dyDescent="0.2">
      <c r="A507" t="s">
        <v>113</v>
      </c>
      <c r="B507">
        <v>2016</v>
      </c>
      <c r="C507" t="s">
        <v>58</v>
      </c>
      <c r="D507" t="s">
        <v>59</v>
      </c>
      <c r="E507" t="s">
        <v>60</v>
      </c>
      <c r="F507" t="s">
        <v>51</v>
      </c>
      <c r="G507">
        <v>68270</v>
      </c>
      <c r="H507">
        <v>180044.11675137127</v>
      </c>
      <c r="I507">
        <v>248314.11675137127</v>
      </c>
    </row>
    <row r="508" spans="1:9" x14ac:dyDescent="0.2">
      <c r="A508" t="s">
        <v>113</v>
      </c>
      <c r="B508">
        <v>2017</v>
      </c>
      <c r="C508" t="s">
        <v>58</v>
      </c>
      <c r="D508" t="s">
        <v>59</v>
      </c>
      <c r="E508" t="s">
        <v>60</v>
      </c>
      <c r="F508" t="s">
        <v>51</v>
      </c>
      <c r="G508">
        <v>95206</v>
      </c>
      <c r="H508">
        <v>295608.18530619901</v>
      </c>
      <c r="I508">
        <v>390814.18530619901</v>
      </c>
    </row>
    <row r="509" spans="1:9" x14ac:dyDescent="0.2">
      <c r="A509" t="s">
        <v>113</v>
      </c>
      <c r="B509">
        <v>2018</v>
      </c>
      <c r="C509" t="s">
        <v>58</v>
      </c>
      <c r="D509" t="s">
        <v>59</v>
      </c>
      <c r="E509" t="s">
        <v>60</v>
      </c>
      <c r="F509" t="s">
        <v>51</v>
      </c>
      <c r="G509">
        <v>107494</v>
      </c>
      <c r="H509">
        <v>294359.93984193844</v>
      </c>
      <c r="I509">
        <v>401853.93984193844</v>
      </c>
    </row>
    <row r="510" spans="1:9" x14ac:dyDescent="0.2">
      <c r="A510" t="s">
        <v>113</v>
      </c>
      <c r="B510">
        <v>2019</v>
      </c>
      <c r="C510" t="s">
        <v>58</v>
      </c>
      <c r="D510" t="s">
        <v>59</v>
      </c>
      <c r="E510" t="s">
        <v>60</v>
      </c>
      <c r="F510" t="s">
        <v>51</v>
      </c>
      <c r="G510">
        <v>107334</v>
      </c>
      <c r="H510">
        <v>371430.2977042814</v>
      </c>
      <c r="I510">
        <v>478764.2977042814</v>
      </c>
    </row>
    <row r="511" spans="1:9" x14ac:dyDescent="0.2">
      <c r="A511" t="s">
        <v>113</v>
      </c>
      <c r="B511">
        <v>2020</v>
      </c>
      <c r="C511" t="s">
        <v>58</v>
      </c>
      <c r="D511" t="s">
        <v>59</v>
      </c>
      <c r="E511" t="s">
        <v>60</v>
      </c>
      <c r="F511" t="s">
        <v>51</v>
      </c>
      <c r="G511">
        <v>103408</v>
      </c>
      <c r="H511">
        <v>425033.57798796578</v>
      </c>
      <c r="I511">
        <v>528441.57798796578</v>
      </c>
    </row>
    <row r="512" spans="1:9" x14ac:dyDescent="0.2">
      <c r="A512" t="s">
        <v>113</v>
      </c>
      <c r="B512">
        <v>2021</v>
      </c>
      <c r="C512" t="s">
        <v>58</v>
      </c>
      <c r="D512" t="s">
        <v>59</v>
      </c>
      <c r="E512" t="s">
        <v>60</v>
      </c>
      <c r="F512" t="s">
        <v>51</v>
      </c>
      <c r="G512">
        <v>101573</v>
      </c>
      <c r="H512">
        <v>464210.83634055237</v>
      </c>
      <c r="I512">
        <v>565783.83634055243</v>
      </c>
    </row>
    <row r="513" spans="1:9" x14ac:dyDescent="0.2">
      <c r="A513" t="s">
        <v>113</v>
      </c>
      <c r="B513">
        <v>2022</v>
      </c>
      <c r="C513" t="s">
        <v>58</v>
      </c>
      <c r="D513" t="s">
        <v>59</v>
      </c>
      <c r="E513" t="s">
        <v>60</v>
      </c>
      <c r="F513" t="s">
        <v>51</v>
      </c>
      <c r="G513">
        <v>87532</v>
      </c>
      <c r="H513">
        <v>404031.94892811333</v>
      </c>
      <c r="I513">
        <v>491563.94892811333</v>
      </c>
    </row>
    <row r="514" spans="1:9" x14ac:dyDescent="0.2">
      <c r="A514" t="s">
        <v>113</v>
      </c>
      <c r="B514">
        <v>2023</v>
      </c>
      <c r="C514" t="s">
        <v>58</v>
      </c>
      <c r="D514" t="s">
        <v>59</v>
      </c>
      <c r="E514" t="s">
        <v>60</v>
      </c>
      <c r="F514" t="s">
        <v>51</v>
      </c>
      <c r="G514">
        <v>142997</v>
      </c>
      <c r="H514" t="s">
        <v>125</v>
      </c>
      <c r="I514">
        <v>142997</v>
      </c>
    </row>
    <row r="517" spans="1:9" x14ac:dyDescent="0.2">
      <c r="G517">
        <v>48556577</v>
      </c>
    </row>
    <row r="518" spans="1:9" x14ac:dyDescent="0.2">
      <c r="G518">
        <v>34110503</v>
      </c>
    </row>
    <row r="519" spans="1:9" x14ac:dyDescent="0.2">
      <c r="G519">
        <v>37353548</v>
      </c>
    </row>
    <row r="520" spans="1:9" x14ac:dyDescent="0.2">
      <c r="G520">
        <v>40550276</v>
      </c>
    </row>
    <row r="521" spans="1:9" x14ac:dyDescent="0.2">
      <c r="G521">
        <v>36805208</v>
      </c>
    </row>
    <row r="522" spans="1:9" x14ac:dyDescent="0.2">
      <c r="G522">
        <v>34114430</v>
      </c>
    </row>
    <row r="523" spans="1:9" x14ac:dyDescent="0.2">
      <c r="G523">
        <v>29335575</v>
      </c>
    </row>
    <row r="524" spans="1:9" x14ac:dyDescent="0.2">
      <c r="G524">
        <v>30707305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0ACC-726C-784B-80B1-8DBED7A0F089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8FE3-397F-C44D-AAFB-A4DD6EFE5CCC}">
  <sheetPr>
    <tabColor rgb="FFFFFF00"/>
  </sheetPr>
  <dimension ref="A1:S524"/>
  <sheetViews>
    <sheetView workbookViewId="0">
      <selection activeCell="G1" activeCellId="1" sqref="I1:J1048576 G1:G1048576"/>
    </sheetView>
  </sheetViews>
  <sheetFormatPr baseColWidth="10" defaultRowHeight="16" x14ac:dyDescent="0.2"/>
  <cols>
    <col min="5" max="5" width="37.83203125" bestFit="1" customWidth="1"/>
    <col min="7" max="7" width="22.33203125" bestFit="1" customWidth="1"/>
    <col min="8" max="11" width="22.33203125" customWidth="1"/>
    <col min="12" max="12" width="3.33203125" customWidth="1"/>
    <col min="19" max="19" width="15" bestFit="1" customWidth="1"/>
  </cols>
  <sheetData>
    <row r="1" spans="1:19" x14ac:dyDescent="0.2">
      <c r="A1" s="1" t="s">
        <v>115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2" t="s">
        <v>116</v>
      </c>
      <c r="H1" s="2" t="s">
        <v>124</v>
      </c>
      <c r="I1" s="2" t="s">
        <v>117</v>
      </c>
      <c r="J1" s="2" t="s">
        <v>118</v>
      </c>
      <c r="K1" s="2" t="s">
        <v>61</v>
      </c>
    </row>
    <row r="2" spans="1:19" x14ac:dyDescent="0.2">
      <c r="A2">
        <v>2015</v>
      </c>
      <c r="B2" t="s">
        <v>58</v>
      </c>
      <c r="C2" t="s">
        <v>59</v>
      </c>
      <c r="D2" t="s">
        <v>60</v>
      </c>
      <c r="E2" t="s">
        <v>43</v>
      </c>
      <c r="F2">
        <v>766</v>
      </c>
      <c r="G2" s="3">
        <v>127792</v>
      </c>
      <c r="H2" s="5" cm="1">
        <f t="array" ref="H2">IFERROR(_xlfn.IFS(A2=$F$517,G2/$G$517,A2=$F$518,G2/$G$518,A2=$F$519,G2/$G$519,A2=$F$520,G2/$G$520,A2=$F$521,G2/$G$521,A2=$F$522,G2/$G$522,A2=$F$523,G2/$G$523,A2=$F$524,G2/$G$524),"")</f>
        <v>2.6318164890412271E-3</v>
      </c>
      <c r="I2" s="3" cm="1">
        <f t="array" ref="I2">IFERROR(_xlfn.IFS(A2=$M$3,H2*$S$3,A2=$M$4,H2*$S$4,A2=$M$5,H2*$S$5,A2=$M$6,H2*$S$6,A2=$M$7,H2*$S$7,A2=$M$8,H2*$S$8,A2=$M$9,H2*$S$9,A2=$M$10,H2*$S$10),"")</f>
        <v>4343857.8849928407</v>
      </c>
      <c r="J2" s="3">
        <f>SUM(G2,I2)</f>
        <v>4471649.8849928407</v>
      </c>
      <c r="K2" s="3" t="str">
        <f>IFERROR(VLOOKUP(E2,'GASB Match'!$A$2:$C$58,3,FALSE),"")</f>
        <v>0200050</v>
      </c>
    </row>
    <row r="3" spans="1:19" x14ac:dyDescent="0.2">
      <c r="A3">
        <v>2016</v>
      </c>
      <c r="B3" t="s">
        <v>58</v>
      </c>
      <c r="C3" t="s">
        <v>59</v>
      </c>
      <c r="D3" t="s">
        <v>60</v>
      </c>
      <c r="E3" t="s">
        <v>43</v>
      </c>
      <c r="F3">
        <v>766</v>
      </c>
      <c r="G3" s="3">
        <v>124560</v>
      </c>
      <c r="H3" s="5" cm="1">
        <f t="array" ref="H3">IFERROR(_xlfn.IFS(A3=$F$517,G3/$G$517,A3=$F$518,G3/$G$518,A3=$F$519,G3/$G$519,A3=$F$520,G3/$G$520,A3=$F$521,G3/$G$521,A3=$F$522,G3/$G$522,A3=$F$523,G3/$G$523,A3=$F$524,G3/$G$524),"")</f>
        <v>3.6516611906895658E-3</v>
      </c>
      <c r="I3" s="3" cm="1">
        <f t="array" ref="I3">IFERROR(_xlfn.IFS(A3=$M$3,H3*$S$3,A3=$M$4,H3*$S$4,A3=$M$5,H3*$S$5,A3=$M$6,H3*$S$6,A3=$M$7,H3*$S$7,A3=$M$8,H3*$S$8,A3=$M$9,H3*$S$9,A3=$M$10,H3*$S$10),"")</f>
        <v>328494.14358504186</v>
      </c>
      <c r="J3" s="3">
        <f t="shared" ref="J3:J66" si="0">SUM(G3,I3)</f>
        <v>453054.14358504186</v>
      </c>
      <c r="K3" s="3" t="str">
        <f>IFERROR(VLOOKUP(E3,'GASB Match'!$A$2:$C$58,3,FALSE),"")</f>
        <v>0200050</v>
      </c>
      <c r="M3">
        <v>2015</v>
      </c>
      <c r="N3" t="s">
        <v>58</v>
      </c>
      <c r="O3" t="s">
        <v>59</v>
      </c>
      <c r="P3" t="s">
        <v>60</v>
      </c>
      <c r="Q3" t="s">
        <v>123</v>
      </c>
      <c r="R3">
        <v>999</v>
      </c>
      <c r="S3" s="3">
        <v>1650517011</v>
      </c>
    </row>
    <row r="4" spans="1:19" x14ac:dyDescent="0.2">
      <c r="A4">
        <v>2017</v>
      </c>
      <c r="B4" t="s">
        <v>58</v>
      </c>
      <c r="C4" t="s">
        <v>59</v>
      </c>
      <c r="D4" t="s">
        <v>60</v>
      </c>
      <c r="E4" t="s">
        <v>43</v>
      </c>
      <c r="F4">
        <v>766</v>
      </c>
      <c r="G4" s="3">
        <v>115657</v>
      </c>
      <c r="H4" s="5" cm="1">
        <f t="array" ref="H4">IFERROR(_xlfn.IFS(A4=$F$517,G4/$G$517,A4=$F$518,G4/$G$518,A4=$F$519,G4/$G$519,A4=$F$520,G4/$G$520,A4=$F$521,G4/$G$521,A4=$F$522,G4/$G$522,A4=$F$523,G4/$G$523,A4=$F$524,G4/$G$524),"")</f>
        <v>3.0962788327363175E-3</v>
      </c>
      <c r="I4" s="3" cm="1">
        <f t="array" ref="I4">IFERROR(_xlfn.IFS(A4=$M$3,H4*$S$3,A4=$M$4,H4*$S$4,A4=$M$5,H4*$S$5,A4=$M$6,H4*$S$6,A4=$M$7,H4*$S$7,A4=$M$8,H4*$S$8,A4=$M$9,H4*$S$9,A4=$M$10,H4*$S$10),"")</f>
        <v>359107.1559351203</v>
      </c>
      <c r="J4" s="3">
        <f t="shared" si="0"/>
        <v>474764.1559351203</v>
      </c>
      <c r="K4" s="3" t="str">
        <f>IFERROR(VLOOKUP(E4,'GASB Match'!$A$2:$C$58,3,FALSE),"")</f>
        <v>0200050</v>
      </c>
      <c r="M4">
        <v>2016</v>
      </c>
      <c r="N4" t="s">
        <v>58</v>
      </c>
      <c r="O4" t="s">
        <v>59</v>
      </c>
      <c r="P4" t="s">
        <v>60</v>
      </c>
      <c r="Q4" t="s">
        <v>123</v>
      </c>
      <c r="R4">
        <v>999</v>
      </c>
      <c r="S4" s="3">
        <v>89957454</v>
      </c>
    </row>
    <row r="5" spans="1:19" x14ac:dyDescent="0.2">
      <c r="A5">
        <v>2018</v>
      </c>
      <c r="B5" t="s">
        <v>58</v>
      </c>
      <c r="C5" t="s">
        <v>59</v>
      </c>
      <c r="D5" t="s">
        <v>60</v>
      </c>
      <c r="E5" t="s">
        <v>43</v>
      </c>
      <c r="F5">
        <v>766</v>
      </c>
      <c r="G5" s="3">
        <v>147901</v>
      </c>
      <c r="H5" s="5" cm="1">
        <f t="array" ref="H5">IFERROR(_xlfn.IFS(A5=$F$517,G5/$G$517,A5=$F$518,G5/$G$518,A5=$F$519,G5/$G$519,A5=$F$520,G5/$G$520,A5=$F$521,G5/$G$521,A5=$F$522,G5/$G$522,A5=$F$523,G5/$G$523,A5=$F$524,G5/$G$524),"")</f>
        <v>3.6473487874657128E-3</v>
      </c>
      <c r="I5" s="3" cm="1">
        <f t="array" ref="I5">IFERROR(_xlfn.IFS(A5=$M$3,H5*$S$3,A5=$M$4,H5*$S$4,A5=$M$5,H5*$S$5,A5=$M$6,H5*$S$6,A5=$M$7,H5*$S$7,A5=$M$8,H5*$S$8,A5=$M$9,H5*$S$9,A5=$M$10,H5*$S$10),"")</f>
        <v>405009.8560158012</v>
      </c>
      <c r="J5" s="3">
        <f t="shared" si="0"/>
        <v>552910.8560158012</v>
      </c>
      <c r="K5" s="3" t="str">
        <f>IFERROR(VLOOKUP(E5,'GASB Match'!$A$2:$C$58,3,FALSE),"")</f>
        <v>0200050</v>
      </c>
      <c r="M5">
        <v>2017</v>
      </c>
      <c r="N5" t="s">
        <v>58</v>
      </c>
      <c r="O5" t="s">
        <v>59</v>
      </c>
      <c r="P5" t="s">
        <v>60</v>
      </c>
      <c r="Q5" t="s">
        <v>123</v>
      </c>
      <c r="R5">
        <v>999</v>
      </c>
      <c r="S5" s="3">
        <v>115980238</v>
      </c>
    </row>
    <row r="6" spans="1:19" x14ac:dyDescent="0.2">
      <c r="A6">
        <v>2019</v>
      </c>
      <c r="B6" t="s">
        <v>58</v>
      </c>
      <c r="C6" t="s">
        <v>59</v>
      </c>
      <c r="D6" t="s">
        <v>60</v>
      </c>
      <c r="E6" t="s">
        <v>43</v>
      </c>
      <c r="F6">
        <v>766</v>
      </c>
      <c r="G6" s="3">
        <v>82923</v>
      </c>
      <c r="H6" s="5" cm="1">
        <f t="array" ref="H6">IFERROR(_xlfn.IFS(A6=$F$517,G6/$G$517,A6=$F$518,G6/$G$518,A6=$F$519,G6/$G$519,A6=$F$520,G6/$G$520,A6=$F$521,G6/$G$521,A6=$F$522,G6/$G$522,A6=$F$523,G6/$G$523,A6=$F$524,G6/$G$524),"")</f>
        <v>2.2530235394947369E-3</v>
      </c>
      <c r="I6" s="3" cm="1">
        <f t="array" ref="I6">IFERROR(_xlfn.IFS(A6=$M$3,H6*$S$3,A6=$M$4,H6*$S$4,A6=$M$5,H6*$S$5,A6=$M$6,H6*$S$6,A6=$M$7,H6*$S$7,A6=$M$8,H6*$S$8,A6=$M$9,H6*$S$9,A6=$M$10,H6*$S$10),"")</f>
        <v>286955.80688814475</v>
      </c>
      <c r="J6" s="3">
        <f t="shared" si="0"/>
        <v>369878.80688814475</v>
      </c>
      <c r="K6" s="3" t="str">
        <f>IFERROR(VLOOKUP(E6,'GASB Match'!$A$2:$C$58,3,FALSE),"")</f>
        <v>0200050</v>
      </c>
      <c r="M6">
        <v>2018</v>
      </c>
      <c r="N6" t="s">
        <v>58</v>
      </c>
      <c r="O6" t="s">
        <v>59</v>
      </c>
      <c r="P6" t="s">
        <v>60</v>
      </c>
      <c r="Q6" t="s">
        <v>123</v>
      </c>
      <c r="R6">
        <v>999</v>
      </c>
      <c r="S6" s="3">
        <v>111042261</v>
      </c>
    </row>
    <row r="7" spans="1:19" x14ac:dyDescent="0.2">
      <c r="A7">
        <v>2020</v>
      </c>
      <c r="B7" t="s">
        <v>58</v>
      </c>
      <c r="C7" t="s">
        <v>59</v>
      </c>
      <c r="D7" t="s">
        <v>60</v>
      </c>
      <c r="E7" t="s">
        <v>43</v>
      </c>
      <c r="F7">
        <v>766</v>
      </c>
      <c r="G7" s="3">
        <v>90858</v>
      </c>
      <c r="H7" s="5" cm="1">
        <f t="array" ref="H7">IFERROR(_xlfn.IFS(A7=$F$517,G7/$G$517,A7=$F$518,G7/$G$518,A7=$F$519,G7/$G$519,A7=$F$520,G7/$G$520,A7=$F$521,G7/$G$521,A7=$F$522,G7/$G$522,A7=$F$523,G7/$G$523,A7=$F$524,G7/$G$524),"")</f>
        <v>2.6633304440379043E-3</v>
      </c>
      <c r="I7" s="3" cm="1">
        <f t="array" ref="I7">IFERROR(_xlfn.IFS(A7=$M$3,H7*$S$3,A7=$M$4,H7*$S$4,A7=$M$5,H7*$S$5,A7=$M$6,H7*$S$6,A7=$M$7,H7*$S$7,A7=$M$8,H7*$S$8,A7=$M$9,H7*$S$9,A7=$M$10,H7*$S$10),"")</f>
        <v>373449.83781555196</v>
      </c>
      <c r="J7" s="3">
        <f t="shared" si="0"/>
        <v>464307.83781555196</v>
      </c>
      <c r="K7" s="3" t="str">
        <f>IFERROR(VLOOKUP(E7,'GASB Match'!$A$2:$C$58,3,FALSE),"")</f>
        <v>0200050</v>
      </c>
      <c r="M7">
        <v>2019</v>
      </c>
      <c r="N7" t="s">
        <v>58</v>
      </c>
      <c r="O7" t="s">
        <v>59</v>
      </c>
      <c r="P7" t="s">
        <v>60</v>
      </c>
      <c r="Q7" t="s">
        <v>123</v>
      </c>
      <c r="R7">
        <v>999</v>
      </c>
      <c r="S7" s="3">
        <v>127364762</v>
      </c>
    </row>
    <row r="8" spans="1:19" x14ac:dyDescent="0.2">
      <c r="A8">
        <v>2021</v>
      </c>
      <c r="B8" t="s">
        <v>58</v>
      </c>
      <c r="C8" t="s">
        <v>59</v>
      </c>
      <c r="D8" t="s">
        <v>60</v>
      </c>
      <c r="E8" t="s">
        <v>43</v>
      </c>
      <c r="F8">
        <v>766</v>
      </c>
      <c r="G8" s="3">
        <v>75615</v>
      </c>
      <c r="H8" s="5" cm="1">
        <f t="array" ref="H8">IFERROR(_xlfn.IFS(A8=$F$517,G8/$G$517,A8=$F$518,G8/$G$518,A8=$F$519,G8/$G$519,A8=$F$520,G8/$G$520,A8=$F$521,G8/$G$521,A8=$F$522,G8/$G$522,A8=$F$523,G8/$G$523,A8=$F$524,G8/$G$524),"")</f>
        <v>2.5775871105304738E-3</v>
      </c>
      <c r="I8" s="3" cm="1">
        <f t="array" ref="I8">IFERROR(_xlfn.IFS(A8=$M$3,H8*$S$3,A8=$M$4,H8*$S$4,A8=$M$5,H8*$S$5,A8=$M$6,H8*$S$6,A8=$M$7,H8*$S$7,A8=$M$8,H8*$S$8,A8=$M$9,H8*$S$9,A8=$M$10,H8*$S$10),"")</f>
        <v>345577.09617605928</v>
      </c>
      <c r="J8" s="3">
        <f t="shared" si="0"/>
        <v>421192.09617605928</v>
      </c>
      <c r="K8" s="3" t="str">
        <f>IFERROR(VLOOKUP(E8,'GASB Match'!$A$2:$C$58,3,FALSE),"")</f>
        <v>0200050</v>
      </c>
      <c r="M8">
        <v>2020</v>
      </c>
      <c r="N8" t="s">
        <v>58</v>
      </c>
      <c r="O8" t="s">
        <v>59</v>
      </c>
      <c r="P8" t="s">
        <v>60</v>
      </c>
      <c r="Q8" t="s">
        <v>123</v>
      </c>
      <c r="R8">
        <v>999</v>
      </c>
      <c r="S8" s="3">
        <v>140219115</v>
      </c>
    </row>
    <row r="9" spans="1:19" x14ac:dyDescent="0.2">
      <c r="A9">
        <v>2022</v>
      </c>
      <c r="B9" t="s">
        <v>58</v>
      </c>
      <c r="C9" t="s">
        <v>59</v>
      </c>
      <c r="D9" t="s">
        <v>60</v>
      </c>
      <c r="E9" t="s">
        <v>43</v>
      </c>
      <c r="F9">
        <v>766</v>
      </c>
      <c r="G9" s="3">
        <v>82785</v>
      </c>
      <c r="H9" s="5" cm="1">
        <f t="array" ref="H9">IFERROR(_xlfn.IFS(A9=$F$517,G9/$G$517,A9=$F$518,G9/$G$518,A9=$F$519,G9/$G$519,A9=$F$520,G9/$G$520,A9=$F$521,G9/$G$521,A9=$F$522,G9/$G$522,A9=$F$523,G9/$G$523,A9=$F$524,G9/$G$524),"")</f>
        <v>2.695938311746993E-3</v>
      </c>
      <c r="I9" s="3" cm="1">
        <f t="array" ref="I9">IFERROR(_xlfn.IFS(A9=$M$3,H9*$S$3,A9=$M$4,H9*$S$4,A9=$M$5,H9*$S$5,A9=$M$6,H9*$S$6,A9=$M$7,H9*$S$7,A9=$M$8,H9*$S$8,A9=$M$9,H9*$S$9,A9=$M$10,H9*$S$10),"")</f>
        <v>382120.65178464859</v>
      </c>
      <c r="J9" s="3">
        <f t="shared" si="0"/>
        <v>464905.65178464859</v>
      </c>
      <c r="K9" s="3" t="str">
        <f>IFERROR(VLOOKUP(E9,'GASB Match'!$A$2:$C$58,3,FALSE),"")</f>
        <v>0200050</v>
      </c>
      <c r="M9">
        <v>2021</v>
      </c>
      <c r="N9" t="s">
        <v>58</v>
      </c>
      <c r="O9" t="s">
        <v>59</v>
      </c>
      <c r="P9" t="s">
        <v>60</v>
      </c>
      <c r="Q9" t="s">
        <v>123</v>
      </c>
      <c r="R9">
        <v>999</v>
      </c>
      <c r="S9" s="3">
        <v>134069997</v>
      </c>
    </row>
    <row r="10" spans="1:19" x14ac:dyDescent="0.2">
      <c r="A10">
        <v>2023</v>
      </c>
      <c r="B10" t="s">
        <v>58</v>
      </c>
      <c r="C10" t="s">
        <v>59</v>
      </c>
      <c r="D10" t="s">
        <v>60</v>
      </c>
      <c r="E10" t="s">
        <v>43</v>
      </c>
      <c r="F10">
        <v>766</v>
      </c>
      <c r="G10" s="3">
        <v>96718</v>
      </c>
      <c r="H10" s="5" t="str" cm="1">
        <f t="array" ref="H10">IFERROR(_xlfn.IFS(A10=$F$517,G10/$G$517,A10=$F$518,G10/$G$518,A10=$F$519,G10/$G$519,A10=$F$520,G10/$G$520,A10=$F$521,G10/$G$521,A10=$F$522,G10/$G$522,A10=$F$523,G10/$G$523,A10=$F$524,G10/$G$524),"")</f>
        <v/>
      </c>
      <c r="I10" s="3" t="str" cm="1">
        <f t="array" ref="I10">IFERROR(_xlfn.IFS(A10=$M$3,H10*$S$3,A10=$M$4,H10*$S$4,A10=$M$5,H10*$S$5,A10=$M$6,H10*$S$6,A10=$M$7,H10*$S$7,A10=$M$8,H10*$S$8,A10=$M$9,H10*$S$9,A10=$M$10,H10*$S$10),"")</f>
        <v/>
      </c>
      <c r="J10" s="3">
        <f t="shared" si="0"/>
        <v>96718</v>
      </c>
      <c r="K10" s="3" t="str">
        <f>IFERROR(VLOOKUP(E10,'GASB Match'!$A$2:$C$58,3,FALSE),"")</f>
        <v>0200050</v>
      </c>
      <c r="M10">
        <v>2022</v>
      </c>
      <c r="N10" t="s">
        <v>58</v>
      </c>
      <c r="O10" t="s">
        <v>59</v>
      </c>
      <c r="P10" t="s">
        <v>60</v>
      </c>
      <c r="Q10" t="s">
        <v>123</v>
      </c>
      <c r="R10">
        <v>999</v>
      </c>
      <c r="S10" s="3">
        <v>141739390</v>
      </c>
    </row>
    <row r="11" spans="1:19" x14ac:dyDescent="0.2">
      <c r="A11">
        <v>2015</v>
      </c>
      <c r="B11" t="s">
        <v>58</v>
      </c>
      <c r="C11" t="s">
        <v>59</v>
      </c>
      <c r="D11" t="s">
        <v>60</v>
      </c>
      <c r="E11" t="s">
        <v>36</v>
      </c>
      <c r="F11">
        <v>758</v>
      </c>
      <c r="G11" s="3">
        <v>14119</v>
      </c>
      <c r="H11" s="5" cm="1">
        <f t="array" ref="H11">IFERROR(_xlfn.IFS(A11=$F$517,G11/$G$517,A11=$F$518,G11/$G$518,A11=$F$519,G11/$G$519,A11=$F$520,G11/$G$520,A11=$F$521,G11/$G$521,A11=$F$522,G11/$G$522,A11=$F$523,G11/$G$523,A11=$F$524,G11/$G$524),"")</f>
        <v>2.9077420346166493E-4</v>
      </c>
      <c r="I11" s="3" cm="1">
        <f t="array" ref="I11">IFERROR(_xlfn.IFS(A11=$M$3,H11*$S$3,A11=$M$4,H11*$S$4,A11=$M$5,H11*$S$5,A11=$M$6,H11*$S$6,A11=$M$7,H11*$S$7,A11=$M$8,H11*$S$8,A11=$M$9,H11*$S$9,A11=$M$10,H11*$S$10),"")</f>
        <v>479927.76917345304</v>
      </c>
      <c r="J11" s="3">
        <f t="shared" si="0"/>
        <v>494046.76917345304</v>
      </c>
      <c r="K11" s="3" t="str">
        <f>IFERROR(VLOOKUP(E11,'GASB Match'!$A$2:$C$58,3,FALSE),"")</f>
        <v>0200010</v>
      </c>
      <c r="M11">
        <v>2023</v>
      </c>
      <c r="N11" t="s">
        <v>58</v>
      </c>
      <c r="O11" t="s">
        <v>59</v>
      </c>
      <c r="P11" t="s">
        <v>60</v>
      </c>
      <c r="Q11" t="s">
        <v>123</v>
      </c>
      <c r="R11">
        <v>999</v>
      </c>
      <c r="S11" s="3">
        <v>90412123</v>
      </c>
    </row>
    <row r="12" spans="1:19" x14ac:dyDescent="0.2">
      <c r="A12">
        <v>2016</v>
      </c>
      <c r="B12" t="s">
        <v>58</v>
      </c>
      <c r="C12" t="s">
        <v>59</v>
      </c>
      <c r="D12" t="s">
        <v>60</v>
      </c>
      <c r="E12" t="s">
        <v>36</v>
      </c>
      <c r="F12">
        <v>758</v>
      </c>
      <c r="G12" s="3">
        <v>7850</v>
      </c>
      <c r="H12" s="5" cm="1">
        <f t="array" ref="H12">IFERROR(_xlfn.IFS(A12=$F$517,G12/$G$517,A12=$F$518,G12/$G$518,A12=$F$519,G12/$G$519,A12=$F$520,G12/$G$520,A12=$F$521,G12/$G$521,A12=$F$522,G12/$G$522,A12=$F$523,G12/$G$523,A12=$F$524,G12/$G$524),"")</f>
        <v>2.3013439584869213E-4</v>
      </c>
      <c r="I12" s="3" cm="1">
        <f t="array" ref="I12">IFERROR(_xlfn.IFS(A12=$M$3,H12*$S$3,A12=$M$4,H12*$S$4,A12=$M$5,H12*$S$5,A12=$M$6,H12*$S$6,A12=$M$7,H12*$S$7,A12=$M$8,H12*$S$8,A12=$M$9,H12*$S$9,A12=$M$10,H12*$S$10),"")</f>
        <v>20702.304328376515</v>
      </c>
      <c r="J12" s="3">
        <f t="shared" si="0"/>
        <v>28552.304328376515</v>
      </c>
      <c r="K12" s="3" t="str">
        <f>IFERROR(VLOOKUP(E12,'GASB Match'!$A$2:$C$58,3,FALSE),"")</f>
        <v>0200010</v>
      </c>
      <c r="S12" s="3"/>
    </row>
    <row r="13" spans="1:19" x14ac:dyDescent="0.2">
      <c r="A13">
        <v>2017</v>
      </c>
      <c r="B13" t="s">
        <v>58</v>
      </c>
      <c r="C13" t="s">
        <v>59</v>
      </c>
      <c r="D13" t="s">
        <v>60</v>
      </c>
      <c r="E13" t="s">
        <v>36</v>
      </c>
      <c r="F13">
        <v>758</v>
      </c>
      <c r="G13" s="3">
        <v>10585</v>
      </c>
      <c r="H13" s="5" cm="1">
        <f t="array" ref="H13">IFERROR(_xlfn.IFS(A13=$F$517,G13/$G$517,A13=$F$518,G13/$G$518,A13=$F$519,G13/$G$519,A13=$F$520,G13/$G$520,A13=$F$521,G13/$G$521,A13=$F$522,G13/$G$522,A13=$F$523,G13/$G$523,A13=$F$524,G13/$G$524),"")</f>
        <v>2.8337334916618898E-4</v>
      </c>
      <c r="I13" s="3" cm="1">
        <f t="array" ref="I13">IFERROR(_xlfn.IFS(A13=$M$3,H13*$S$3,A13=$M$4,H13*$S$4,A13=$M$5,H13*$S$5,A13=$M$6,H13*$S$6,A13=$M$7,H13*$S$7,A13=$M$8,H13*$S$8,A13=$M$9,H13*$S$9,A13=$M$10,H13*$S$10),"")</f>
        <v>32865.708479151697</v>
      </c>
      <c r="J13" s="3">
        <f t="shared" si="0"/>
        <v>43450.708479151697</v>
      </c>
      <c r="K13" s="3" t="str">
        <f>IFERROR(VLOOKUP(E13,'GASB Match'!$A$2:$C$58,3,FALSE),"")</f>
        <v>0200010</v>
      </c>
      <c r="S13" s="3"/>
    </row>
    <row r="14" spans="1:19" x14ac:dyDescent="0.2">
      <c r="A14">
        <v>2018</v>
      </c>
      <c r="B14" t="s">
        <v>58</v>
      </c>
      <c r="C14" t="s">
        <v>59</v>
      </c>
      <c r="D14" t="s">
        <v>60</v>
      </c>
      <c r="E14" t="s">
        <v>36</v>
      </c>
      <c r="F14">
        <v>758</v>
      </c>
      <c r="G14" s="3">
        <v>12437</v>
      </c>
      <c r="H14" s="5" cm="1">
        <f t="array" ref="H14">IFERROR(_xlfn.IFS(A14=$F$517,G14/$G$517,A14=$F$518,G14/$G$518,A14=$F$519,G14/$G$519,A14=$F$520,G14/$G$520,A14=$F$521,G14/$G$521,A14=$F$522,G14/$G$522,A14=$F$523,G14/$G$523,A14=$F$524,G14/$G$524),"")</f>
        <v>3.067056806222478E-4</v>
      </c>
      <c r="I14" s="3" cm="1">
        <f t="array" ref="I14">IFERROR(_xlfn.IFS(A14=$M$3,H14*$S$3,A14=$M$4,H14*$S$4,A14=$M$5,H14*$S$5,A14=$M$6,H14*$S$6,A14=$M$7,H14*$S$7,A14=$M$8,H14*$S$8,A14=$M$9,H14*$S$9,A14=$M$10,H14*$S$10),"")</f>
        <v>34057.292237838279</v>
      </c>
      <c r="J14" s="3">
        <f t="shared" si="0"/>
        <v>46494.292237838279</v>
      </c>
      <c r="K14" s="3" t="str">
        <f>IFERROR(VLOOKUP(E14,'GASB Match'!$A$2:$C$58,3,FALSE),"")</f>
        <v>0200010</v>
      </c>
      <c r="S14" s="3"/>
    </row>
    <row r="15" spans="1:19" x14ac:dyDescent="0.2">
      <c r="A15">
        <v>2019</v>
      </c>
      <c r="B15" t="s">
        <v>58</v>
      </c>
      <c r="C15" t="s">
        <v>59</v>
      </c>
      <c r="D15" t="s">
        <v>60</v>
      </c>
      <c r="E15" t="s">
        <v>36</v>
      </c>
      <c r="F15">
        <v>758</v>
      </c>
      <c r="G15" s="3">
        <v>11751</v>
      </c>
      <c r="H15" s="5" cm="1">
        <f t="array" ref="H15">IFERROR(_xlfn.IFS(A15=$F$517,G15/$G$517,A15=$F$518,G15/$G$518,A15=$F$519,G15/$G$519,A15=$F$520,G15/$G$520,A15=$F$521,G15/$G$521,A15=$F$522,G15/$G$522,A15=$F$523,G15/$G$523,A15=$F$524,G15/$G$524),"")</f>
        <v>3.1927546775445474E-4</v>
      </c>
      <c r="I15" s="3" cm="1">
        <f t="array" ref="I15">IFERROR(_xlfn.IFS(A15=$M$3,H15*$S$3,A15=$M$4,H15*$S$4,A15=$M$5,H15*$S$5,A15=$M$6,H15*$S$6,A15=$M$7,H15*$S$7,A15=$M$8,H15*$S$8,A15=$M$9,H15*$S$9,A15=$M$10,H15*$S$10),"")</f>
        <v>40664.443962984806</v>
      </c>
      <c r="J15" s="3">
        <f t="shared" si="0"/>
        <v>52415.443962984806</v>
      </c>
      <c r="K15" s="3" t="str">
        <f>IFERROR(VLOOKUP(E15,'GASB Match'!$A$2:$C$58,3,FALSE),"")</f>
        <v>0200010</v>
      </c>
      <c r="S15" s="3"/>
    </row>
    <row r="16" spans="1:19" x14ac:dyDescent="0.2">
      <c r="A16">
        <v>2020</v>
      </c>
      <c r="B16" t="s">
        <v>58</v>
      </c>
      <c r="C16" t="s">
        <v>59</v>
      </c>
      <c r="D16" t="s">
        <v>60</v>
      </c>
      <c r="E16" t="s">
        <v>36</v>
      </c>
      <c r="F16">
        <v>758</v>
      </c>
      <c r="G16" s="3">
        <v>11761</v>
      </c>
      <c r="H16" s="5" cm="1">
        <f t="array" ref="H16">IFERROR(_xlfn.IFS(A16=$F$517,G16/$G$517,A16=$F$518,G16/$G$518,A16=$F$519,G16/$G$519,A16=$F$520,G16/$G$520,A16=$F$521,G16/$G$521,A16=$F$522,G16/$G$522,A16=$F$523,G16/$G$523,A16=$F$524,G16/$G$524),"")</f>
        <v>3.4475147320356809E-4</v>
      </c>
      <c r="I16" s="3" cm="1">
        <f t="array" ref="I16">IFERROR(_xlfn.IFS(A16=$M$3,H16*$S$3,A16=$M$4,H16*$S$4,A16=$M$5,H16*$S$5,A16=$M$6,H16*$S$6,A16=$M$7,H16*$S$7,A16=$M$8,H16*$S$8,A16=$M$9,H16*$S$9,A16=$M$10,H16*$S$10),"")</f>
        <v>48340.746467550533</v>
      </c>
      <c r="J16" s="3">
        <f t="shared" si="0"/>
        <v>60101.746467550533</v>
      </c>
      <c r="K16" s="3" t="str">
        <f>IFERROR(VLOOKUP(E16,'GASB Match'!$A$2:$C$58,3,FALSE),"")</f>
        <v>0200010</v>
      </c>
      <c r="S16" s="3"/>
    </row>
    <row r="17" spans="1:19" x14ac:dyDescent="0.2">
      <c r="A17">
        <v>2021</v>
      </c>
      <c r="B17" t="s">
        <v>58</v>
      </c>
      <c r="C17" t="s">
        <v>59</v>
      </c>
      <c r="D17" t="s">
        <v>60</v>
      </c>
      <c r="E17" t="s">
        <v>36</v>
      </c>
      <c r="F17">
        <v>758</v>
      </c>
      <c r="G17" s="3">
        <v>10241</v>
      </c>
      <c r="H17" s="5" cm="1">
        <f t="array" ref="H17">IFERROR(_xlfn.IFS(A17=$F$517,G17/$G$517,A17=$F$518,G17/$G$518,A17=$F$519,G17/$G$519,A17=$F$520,G17/$G$520,A17=$F$521,G17/$G$521,A17=$F$522,G17/$G$522,A17=$F$523,G17/$G$523,A17=$F$524,G17/$G$524),"")</f>
        <v>3.4909832174757102E-4</v>
      </c>
      <c r="I17" s="3" cm="1">
        <f t="array" ref="I17">IFERROR(_xlfn.IFS(A17=$M$3,H17*$S$3,A17=$M$4,H17*$S$4,A17=$M$5,H17*$S$5,A17=$M$6,H17*$S$6,A17=$M$7,H17*$S$7,A17=$M$8,H17*$S$8,A17=$M$9,H17*$S$9,A17=$M$10,H17*$S$10),"")</f>
        <v>46803.610949401882</v>
      </c>
      <c r="J17" s="3">
        <f t="shared" si="0"/>
        <v>57044.610949401882</v>
      </c>
      <c r="K17" s="3" t="str">
        <f>IFERROR(VLOOKUP(E17,'GASB Match'!$A$2:$C$58,3,FALSE),"")</f>
        <v>0200010</v>
      </c>
      <c r="S17" s="3"/>
    </row>
    <row r="18" spans="1:19" x14ac:dyDescent="0.2">
      <c r="A18">
        <v>2022</v>
      </c>
      <c r="B18" t="s">
        <v>58</v>
      </c>
      <c r="C18" t="s">
        <v>59</v>
      </c>
      <c r="D18" t="s">
        <v>60</v>
      </c>
      <c r="E18" t="s">
        <v>36</v>
      </c>
      <c r="F18">
        <v>758</v>
      </c>
      <c r="G18" s="3">
        <v>10364</v>
      </c>
      <c r="H18" s="5" cm="1">
        <f t="array" ref="H18">IFERROR(_xlfn.IFS(A18=$F$517,G18/$G$517,A18=$F$518,G18/$G$518,A18=$F$519,G18/$G$519,A18=$F$520,G18/$G$520,A18=$F$521,G18/$G$521,A18=$F$522,G18/$G$522,A18=$F$523,G18/$G$523,A18=$F$524,G18/$G$524),"")</f>
        <v>3.3750926693176103E-4</v>
      </c>
      <c r="I18" s="3" cm="1">
        <f t="array" ref="I18">IFERROR(_xlfn.IFS(A18=$M$3,H18*$S$3,A18=$M$4,H18*$S$4,A18=$M$5,H18*$S$5,A18=$M$6,H18*$S$6,A18=$M$7,H18*$S$7,A18=$M$8,H18*$S$8,A18=$M$9,H18*$S$9,A18=$M$10,H18*$S$10),"")</f>
        <v>47838.357614254979</v>
      </c>
      <c r="J18" s="3">
        <f t="shared" si="0"/>
        <v>58202.357614254979</v>
      </c>
      <c r="K18" s="3" t="str">
        <f>IFERROR(VLOOKUP(E18,'GASB Match'!$A$2:$C$58,3,FALSE),"")</f>
        <v>0200010</v>
      </c>
      <c r="S18" s="3"/>
    </row>
    <row r="19" spans="1:19" x14ac:dyDescent="0.2">
      <c r="A19">
        <v>2023</v>
      </c>
      <c r="B19" t="s">
        <v>58</v>
      </c>
      <c r="C19" t="s">
        <v>59</v>
      </c>
      <c r="D19" t="s">
        <v>60</v>
      </c>
      <c r="E19" t="s">
        <v>36</v>
      </c>
      <c r="F19">
        <v>758</v>
      </c>
      <c r="G19" s="3">
        <v>13673</v>
      </c>
      <c r="H19" s="5" t="str" cm="1">
        <f t="array" ref="H19">IFERROR(_xlfn.IFS(A19=$F$517,G19/$G$517,A19=$F$518,G19/$G$518,A19=$F$519,G19/$G$519,A19=$F$520,G19/$G$520,A19=$F$521,G19/$G$521,A19=$F$522,G19/$G$522,A19=$F$523,G19/$G$523,A19=$F$524,G19/$G$524),"")</f>
        <v/>
      </c>
      <c r="I19" s="3" t="str" cm="1">
        <f t="array" ref="I19">IFERROR(_xlfn.IFS(A19=$M$3,H19*$S$3,A19=$M$4,H19*$S$4,A19=$M$5,H19*$S$5,A19=$M$6,H19*$S$6,A19=$M$7,H19*$S$7,A19=$M$8,H19*$S$8,A19=$M$9,H19*$S$9,A19=$M$10,H19*$S$10),"")</f>
        <v/>
      </c>
      <c r="J19" s="3">
        <f t="shared" si="0"/>
        <v>13673</v>
      </c>
      <c r="K19" s="3" t="str">
        <f>IFERROR(VLOOKUP(E19,'GASB Match'!$A$2:$C$58,3,FALSE),"")</f>
        <v>0200010</v>
      </c>
      <c r="S19" s="3"/>
    </row>
    <row r="20" spans="1:19" x14ac:dyDescent="0.2">
      <c r="A20">
        <v>2015</v>
      </c>
      <c r="B20" t="s">
        <v>58</v>
      </c>
      <c r="C20" t="s">
        <v>59</v>
      </c>
      <c r="D20" t="s">
        <v>60</v>
      </c>
      <c r="E20" t="s">
        <v>52</v>
      </c>
      <c r="F20">
        <v>780</v>
      </c>
      <c r="G20" s="3">
        <v>87302</v>
      </c>
      <c r="H20" s="5" cm="1">
        <f t="array" ref="H20">IFERROR(_xlfn.IFS(A20=$F$517,G20/$G$517,A20=$F$518,G20/$G$518,A20=$F$519,G20/$G$519,A20=$F$520,G20/$G$520,A20=$F$521,G20/$G$521,A20=$F$522,G20/$G$522,A20=$F$523,G20/$G$523,A20=$F$524,G20/$G$524),"")</f>
        <v>1.7979438707139508E-3</v>
      </c>
      <c r="I20" s="3" cm="1">
        <f t="array" ref="I20">IFERROR(_xlfn.IFS(A20=$M$3,H20*$S$3,A20=$M$4,H20*$S$4,A20=$M$5,H20*$S$5,A20=$M$6,H20*$S$6,A20=$M$7,H20*$S$7,A20=$M$8,H20*$S$8,A20=$M$9,H20*$S$9,A20=$M$10,H20*$S$10),"")</f>
        <v>2967536.9434365607</v>
      </c>
      <c r="J20" s="3">
        <f t="shared" si="0"/>
        <v>3054838.9434365607</v>
      </c>
      <c r="K20" s="3" t="str">
        <f>IFERROR(VLOOKUP(E20,'GASB Match'!$A$2:$C$58,3,FALSE),"")</f>
        <v>0200007</v>
      </c>
      <c r="S20" s="3"/>
    </row>
    <row r="21" spans="1:19" x14ac:dyDescent="0.2">
      <c r="A21">
        <v>2016</v>
      </c>
      <c r="B21" t="s">
        <v>58</v>
      </c>
      <c r="C21" t="s">
        <v>59</v>
      </c>
      <c r="D21" t="s">
        <v>60</v>
      </c>
      <c r="E21" t="s">
        <v>52</v>
      </c>
      <c r="F21">
        <v>780</v>
      </c>
      <c r="G21" s="3">
        <v>75752</v>
      </c>
      <c r="H21" s="5" cm="1">
        <f t="array" ref="H21">IFERROR(_xlfn.IFS(A21=$F$517,G21/$G$517,A21=$F$518,G21/$G$518,A21=$F$519,G21/$G$519,A21=$F$520,G21/$G$520,A21=$F$521,G21/$G$521,A21=$F$522,G21/$G$522,A21=$F$523,G21/$G$523,A21=$F$524,G21/$G$524),"")</f>
        <v>2.2207822616981052E-3</v>
      </c>
      <c r="I21" s="3" cm="1">
        <f t="array" ref="I21">IFERROR(_xlfn.IFS(A21=$M$3,H21*$S$3,A21=$M$4,H21*$S$4,A21=$M$5,H21*$S$5,A21=$M$6,H21*$S$6,A21=$M$7,H21*$S$7,A21=$M$8,H21*$S$8,A21=$M$9,H21*$S$9,A21=$M$10,H21*$S$10),"")</f>
        <v>199775.91815072327</v>
      </c>
      <c r="J21" s="3">
        <f t="shared" si="0"/>
        <v>275527.91815072327</v>
      </c>
      <c r="K21" s="3" t="str">
        <f>IFERROR(VLOOKUP(E21,'GASB Match'!$A$2:$C$58,3,FALSE),"")</f>
        <v>0200007</v>
      </c>
    </row>
    <row r="22" spans="1:19" x14ac:dyDescent="0.2">
      <c r="A22">
        <v>2017</v>
      </c>
      <c r="B22" t="s">
        <v>58</v>
      </c>
      <c r="C22" t="s">
        <v>59</v>
      </c>
      <c r="D22" t="s">
        <v>60</v>
      </c>
      <c r="E22" t="s">
        <v>52</v>
      </c>
      <c r="F22">
        <v>780</v>
      </c>
      <c r="G22" s="3">
        <v>86296</v>
      </c>
      <c r="H22" s="5" cm="1">
        <f t="array" ref="H22">IFERROR(_xlfn.IFS(A22=$F$517,G22/$G$517,A22=$F$518,G22/$G$518,A22=$F$519,G22/$G$519,A22=$F$520,G22/$G$520,A22=$F$521,G22/$G$521,A22=$F$522,G22/$G$522,A22=$F$523,G22/$G$523,A22=$F$524,G22/$G$524),"")</f>
        <v>2.3102490826306513E-3</v>
      </c>
      <c r="I22" s="3" cm="1">
        <f t="array" ref="I22">IFERROR(_xlfn.IFS(A22=$M$3,H22*$S$3,A22=$M$4,H22*$S$4,A22=$M$5,H22*$S$5,A22=$M$6,H22*$S$6,A22=$M$7,H22*$S$7,A22=$M$8,H22*$S$8,A22=$M$9,H22*$S$9,A22=$M$10,H22*$S$10),"")</f>
        <v>267943.23844278458</v>
      </c>
      <c r="J22" s="3">
        <f t="shared" si="0"/>
        <v>354239.23844278458</v>
      </c>
      <c r="K22" s="3" t="str">
        <f>IFERROR(VLOOKUP(E22,'GASB Match'!$A$2:$C$58,3,FALSE),"")</f>
        <v>0200007</v>
      </c>
    </row>
    <row r="23" spans="1:19" x14ac:dyDescent="0.2">
      <c r="A23">
        <v>2018</v>
      </c>
      <c r="B23" t="s">
        <v>58</v>
      </c>
      <c r="C23" t="s">
        <v>59</v>
      </c>
      <c r="D23" t="s">
        <v>60</v>
      </c>
      <c r="E23" t="s">
        <v>52</v>
      </c>
      <c r="F23">
        <v>780</v>
      </c>
      <c r="G23" s="3">
        <v>112452</v>
      </c>
      <c r="H23" s="5" cm="1">
        <f t="array" ref="H23">IFERROR(_xlfn.IFS(A23=$F$517,G23/$G$517,A23=$F$518,G23/$G$518,A23=$F$519,G23/$G$519,A23=$F$520,G23/$G$520,A23=$F$521,G23/$G$521,A23=$F$522,G23/$G$522,A23=$F$523,G23/$G$523,A23=$F$524,G23/$G$524),"")</f>
        <v>2.7731500520489674E-3</v>
      </c>
      <c r="I23" s="3" cm="1">
        <f t="array" ref="I23">IFERROR(_xlfn.IFS(A23=$M$3,H23*$S$3,A23=$M$4,H23*$S$4,A23=$M$5,H23*$S$5,A23=$M$6,H23*$S$6,A23=$M$7,H23*$S$7,A23=$M$8,H23*$S$8,A23=$M$9,H23*$S$9,A23=$M$10,H23*$S$10),"")</f>
        <v>307936.85187178501</v>
      </c>
      <c r="J23" s="3">
        <f t="shared" si="0"/>
        <v>420388.85187178501</v>
      </c>
      <c r="K23" s="3" t="str">
        <f>IFERROR(VLOOKUP(E23,'GASB Match'!$A$2:$C$58,3,FALSE),"")</f>
        <v>0200007</v>
      </c>
    </row>
    <row r="24" spans="1:19" x14ac:dyDescent="0.2">
      <c r="A24">
        <v>2019</v>
      </c>
      <c r="B24" t="s">
        <v>58</v>
      </c>
      <c r="C24" t="s">
        <v>59</v>
      </c>
      <c r="D24" t="s">
        <v>60</v>
      </c>
      <c r="E24" t="s">
        <v>52</v>
      </c>
      <c r="F24">
        <v>780</v>
      </c>
      <c r="G24" s="3">
        <v>79651</v>
      </c>
      <c r="H24" s="5" cm="1">
        <f t="array" ref="H24">IFERROR(_xlfn.IFS(A24=$F$517,G24/$G$517,A24=$F$518,G24/$G$518,A24=$F$519,G24/$G$519,A24=$F$520,G24/$G$520,A24=$F$521,G24/$G$521,A24=$F$522,G24/$G$522,A24=$F$523,G24/$G$523,A24=$F$524,G24/$G$524),"")</f>
        <v>2.1641230773644859E-3</v>
      </c>
      <c r="I24" s="3" cm="1">
        <f t="array" ref="I24">IFERROR(_xlfn.IFS(A24=$M$3,H24*$S$3,A24=$M$4,H24*$S$4,A24=$M$5,H24*$S$5,A24=$M$6,H24*$S$6,A24=$M$7,H24*$S$7,A24=$M$8,H24*$S$8,A24=$M$9,H24*$S$9,A24=$M$10,H24*$S$10),"")</f>
        <v>275633.02068723534</v>
      </c>
      <c r="J24" s="3">
        <f t="shared" si="0"/>
        <v>355284.02068723534</v>
      </c>
      <c r="K24" s="3" t="str">
        <f>IFERROR(VLOOKUP(E24,'GASB Match'!$A$2:$C$58,3,FALSE),"")</f>
        <v>0200007</v>
      </c>
    </row>
    <row r="25" spans="1:19" x14ac:dyDescent="0.2">
      <c r="A25">
        <v>2020</v>
      </c>
      <c r="B25" t="s">
        <v>58</v>
      </c>
      <c r="C25" t="s">
        <v>59</v>
      </c>
      <c r="D25" t="s">
        <v>60</v>
      </c>
      <c r="E25" t="s">
        <v>52</v>
      </c>
      <c r="F25">
        <v>780</v>
      </c>
      <c r="G25" s="3">
        <v>88884</v>
      </c>
      <c r="H25" s="5" cm="1">
        <f t="array" ref="H25">IFERROR(_xlfn.IFS(A25=$F$517,G25/$G$517,A25=$F$518,G25/$G$518,A25=$F$519,G25/$G$519,A25=$F$520,G25/$G$520,A25=$F$521,G25/$G$521,A25=$F$522,G25/$G$522,A25=$F$523,G25/$G$523,A25=$F$524,G25/$G$524),"")</f>
        <v>2.6054663671648626E-3</v>
      </c>
      <c r="I25" s="3" cm="1">
        <f t="array" ref="I25">IFERROR(_xlfn.IFS(A25=$M$3,H25*$S$3,A25=$M$4,H25*$S$4,A25=$M$5,H25*$S$5,A25=$M$6,H25*$S$6,A25=$M$7,H25*$S$7,A25=$M$8,H25*$S$8,A25=$M$9,H25*$S$9,A25=$M$10,H25*$S$10),"")</f>
        <v>365336.18816612207</v>
      </c>
      <c r="J25" s="3">
        <f t="shared" si="0"/>
        <v>454220.18816612207</v>
      </c>
      <c r="K25" s="3" t="str">
        <f>IFERROR(VLOOKUP(E25,'GASB Match'!$A$2:$C$58,3,FALSE),"")</f>
        <v>0200007</v>
      </c>
    </row>
    <row r="26" spans="1:19" x14ac:dyDescent="0.2">
      <c r="A26">
        <v>2021</v>
      </c>
      <c r="B26" t="s">
        <v>58</v>
      </c>
      <c r="C26" t="s">
        <v>59</v>
      </c>
      <c r="D26" t="s">
        <v>60</v>
      </c>
      <c r="E26" t="s">
        <v>52</v>
      </c>
      <c r="F26">
        <v>780</v>
      </c>
      <c r="G26" s="3">
        <v>65293</v>
      </c>
      <c r="H26" s="5" cm="1">
        <f t="array" ref="H26">IFERROR(_xlfn.IFS(A26=$F$517,G26/$G$517,A26=$F$518,G26/$G$518,A26=$F$519,G26/$G$519,A26=$F$520,G26/$G$520,A26=$F$521,G26/$G$521,A26=$F$522,G26/$G$522,A26=$F$523,G26/$G$523,A26=$F$524,G26/$G$524),"")</f>
        <v>2.2257276361550781E-3</v>
      </c>
      <c r="I26" s="3" cm="1">
        <f t="array" ref="I26">IFERROR(_xlfn.IFS(A26=$M$3,H26*$S$3,A26=$M$4,H26*$S$4,A26=$M$5,H26*$S$5,A26=$M$6,H26*$S$6,A26=$M$7,H26*$S$7,A26=$M$8,H26*$S$8,A26=$M$9,H26*$S$9,A26=$M$10,H26*$S$10),"")</f>
        <v>298403.29750212841</v>
      </c>
      <c r="J26" s="3">
        <f t="shared" si="0"/>
        <v>363696.29750212841</v>
      </c>
      <c r="K26" s="3" t="str">
        <f>IFERROR(VLOOKUP(E26,'GASB Match'!$A$2:$C$58,3,FALSE),"")</f>
        <v>0200007</v>
      </c>
    </row>
    <row r="27" spans="1:19" x14ac:dyDescent="0.2">
      <c r="A27">
        <v>2022</v>
      </c>
      <c r="B27" t="s">
        <v>58</v>
      </c>
      <c r="C27" t="s">
        <v>59</v>
      </c>
      <c r="D27" t="s">
        <v>60</v>
      </c>
      <c r="E27" t="s">
        <v>52</v>
      </c>
      <c r="F27">
        <v>780</v>
      </c>
      <c r="G27" s="3">
        <v>100088</v>
      </c>
      <c r="H27" s="5" cm="1">
        <f t="array" ref="H27">IFERROR(_xlfn.IFS(A27=$F$517,G27/$G$517,A27=$F$518,G27/$G$518,A27=$F$519,G27/$G$519,A27=$F$520,G27/$G$520,A27=$F$521,G27/$G$521,A27=$F$522,G27/$G$522,A27=$F$523,G27/$G$523,A27=$F$524,G27/$G$524),"")</f>
        <v>3.2594198676829502E-3</v>
      </c>
      <c r="I27" s="3" cm="1">
        <f t="array" ref="I27">IFERROR(_xlfn.IFS(A27=$M$3,H27*$S$3,A27=$M$4,H27*$S$4,A27=$M$5,H27*$S$5,A27=$M$6,H27*$S$6,A27=$M$7,H27*$S$7,A27=$M$8,H27*$S$8,A27=$M$9,H27*$S$9,A27=$M$10,H27*$S$10),"")</f>
        <v>461988.18379926204</v>
      </c>
      <c r="J27" s="3">
        <f t="shared" si="0"/>
        <v>562076.18379926204</v>
      </c>
      <c r="K27" s="3" t="str">
        <f>IFERROR(VLOOKUP(E27,'GASB Match'!$A$2:$C$58,3,FALSE),"")</f>
        <v>0200007</v>
      </c>
    </row>
    <row r="28" spans="1:19" x14ac:dyDescent="0.2">
      <c r="A28">
        <v>2023</v>
      </c>
      <c r="B28" t="s">
        <v>58</v>
      </c>
      <c r="C28" t="s">
        <v>59</v>
      </c>
      <c r="D28" t="s">
        <v>60</v>
      </c>
      <c r="E28" t="s">
        <v>52</v>
      </c>
      <c r="F28">
        <v>780</v>
      </c>
      <c r="G28" s="3">
        <v>81050</v>
      </c>
      <c r="H28" s="5" t="str" cm="1">
        <f t="array" ref="H28">IFERROR(_xlfn.IFS(A28=$F$517,G28/$G$517,A28=$F$518,G28/$G$518,A28=$F$519,G28/$G$519,A28=$F$520,G28/$G$520,A28=$F$521,G28/$G$521,A28=$F$522,G28/$G$522,A28=$F$523,G28/$G$523,A28=$F$524,G28/$G$524),"")</f>
        <v/>
      </c>
      <c r="I28" s="3" t="str" cm="1">
        <f t="array" ref="I28">IFERROR(_xlfn.IFS(A28=$M$3,H28*$S$3,A28=$M$4,H28*$S$4,A28=$M$5,H28*$S$5,A28=$M$6,H28*$S$6,A28=$M$7,H28*$S$7,A28=$M$8,H28*$S$8,A28=$M$9,H28*$S$9,A28=$M$10,H28*$S$10),"")</f>
        <v/>
      </c>
      <c r="J28" s="3">
        <f t="shared" si="0"/>
        <v>81050</v>
      </c>
      <c r="K28" s="3" t="str">
        <f>IFERROR(VLOOKUP(E28,'GASB Match'!$A$2:$C$58,3,FALSE),"")</f>
        <v>0200007</v>
      </c>
    </row>
    <row r="29" spans="1:19" x14ac:dyDescent="0.2">
      <c r="A29">
        <v>2015</v>
      </c>
      <c r="B29" t="s">
        <v>58</v>
      </c>
      <c r="C29" t="s">
        <v>59</v>
      </c>
      <c r="D29" t="s">
        <v>60</v>
      </c>
      <c r="E29" t="s">
        <v>0</v>
      </c>
      <c r="F29">
        <v>701</v>
      </c>
      <c r="G29" s="3">
        <v>12824989</v>
      </c>
      <c r="H29" s="5" cm="1">
        <f t="array" ref="H29">IFERROR(_xlfn.IFS(A29=$F$517,G29/$G$517,A29=$F$518,G29/$G$518,A29=$F$519,G29/$G$519,A29=$F$520,G29/$G$520,A29=$F$521,G29/$G$521,A29=$F$522,G29/$G$522,A29=$F$523,G29/$G$523,A29=$F$524,G29/$G$524),"")</f>
        <v>0.26412465194982754</v>
      </c>
      <c r="I29" s="3" cm="1">
        <f t="array" ref="I29">IFERROR(_xlfn.IFS(A29=$M$3,H29*$S$3,A29=$M$4,H29*$S$4,A29=$M$5,H29*$S$5,A29=$M$6,H29*$S$6,A29=$M$7,H29*$S$7,A29=$M$8,H29*$S$8,A29=$M$9,H29*$S$9,A29=$M$10,H29*$S$10),"")</f>
        <v>435942231.06764466</v>
      </c>
      <c r="J29" s="3">
        <f t="shared" si="0"/>
        <v>448767220.06764466</v>
      </c>
      <c r="K29" s="3" t="str">
        <f>IFERROR(VLOOKUP(E29,'GASB Match'!$A$2:$C$58,3,FALSE),"")</f>
        <v>0200180</v>
      </c>
    </row>
    <row r="30" spans="1:19" x14ac:dyDescent="0.2">
      <c r="A30">
        <v>2016</v>
      </c>
      <c r="B30" t="s">
        <v>58</v>
      </c>
      <c r="C30" t="s">
        <v>59</v>
      </c>
      <c r="D30" t="s">
        <v>60</v>
      </c>
      <c r="E30" t="s">
        <v>0</v>
      </c>
      <c r="F30">
        <v>701</v>
      </c>
      <c r="G30" s="3">
        <v>11850582</v>
      </c>
      <c r="H30" s="5" cm="1">
        <f t="array" ref="H30">IFERROR(_xlfn.IFS(A30=$F$517,G30/$G$517,A30=$F$518,G30/$G$518,A30=$F$519,G30/$G$519,A30=$F$520,G30/$G$520,A30=$F$521,G30/$G$521,A30=$F$522,G30/$G$522,A30=$F$523,G30/$G$523,A30=$F$524,G30/$G$524),"")</f>
        <v>0.34741739223253321</v>
      </c>
      <c r="I30" s="3" cm="1">
        <f t="array" ref="I30">IFERROR(_xlfn.IFS(A30=$M$3,H30*$S$3,A30=$M$4,H30*$S$4,A30=$M$5,H30*$S$5,A30=$M$6,H30*$S$6,A30=$M$7,H30*$S$7,A30=$M$8,H30*$S$8,A30=$M$9,H30*$S$9,A30=$M$10,H30*$S$10),"")</f>
        <v>31252784.080558062</v>
      </c>
      <c r="J30" s="3">
        <f t="shared" si="0"/>
        <v>43103366.080558062</v>
      </c>
      <c r="K30" s="3" t="str">
        <f>IFERROR(VLOOKUP(E30,'GASB Match'!$A$2:$C$58,3,FALSE),"")</f>
        <v>0200180</v>
      </c>
    </row>
    <row r="31" spans="1:19" x14ac:dyDescent="0.2">
      <c r="A31">
        <v>2017</v>
      </c>
      <c r="B31" t="s">
        <v>58</v>
      </c>
      <c r="C31" t="s">
        <v>59</v>
      </c>
      <c r="D31" t="s">
        <v>60</v>
      </c>
      <c r="E31" t="s">
        <v>0</v>
      </c>
      <c r="F31">
        <v>701</v>
      </c>
      <c r="G31" s="3">
        <v>12990980</v>
      </c>
      <c r="H31" s="5" cm="1">
        <f t="array" ref="H31">IFERROR(_xlfn.IFS(A31=$F$517,G31/$G$517,A31=$F$518,G31/$G$518,A31=$F$519,G31/$G$519,A31=$F$520,G31/$G$520,A31=$F$521,G31/$G$521,A31=$F$522,G31/$G$522,A31=$F$523,G31/$G$523,A31=$F$524,G31/$G$524),"")</f>
        <v>0.34778436575824068</v>
      </c>
      <c r="I31" s="3" cm="1">
        <f t="array" ref="I31">IFERROR(_xlfn.IFS(A31=$M$3,H31*$S$3,A31=$M$4,H31*$S$4,A31=$M$5,H31*$S$5,A31=$M$6,H31*$S$6,A31=$M$7,H31*$S$7,A31=$M$8,H31*$S$8,A31=$M$9,H31*$S$9,A31=$M$10,H31*$S$10),"")</f>
        <v>40336113.513319805</v>
      </c>
      <c r="J31" s="3">
        <f t="shared" si="0"/>
        <v>53327093.513319805</v>
      </c>
      <c r="K31" s="3" t="str">
        <f>IFERROR(VLOOKUP(E31,'GASB Match'!$A$2:$C$58,3,FALSE),"")</f>
        <v>0200180</v>
      </c>
    </row>
    <row r="32" spans="1:19" x14ac:dyDescent="0.2">
      <c r="A32">
        <v>2018</v>
      </c>
      <c r="B32" t="s">
        <v>58</v>
      </c>
      <c r="C32" t="s">
        <v>59</v>
      </c>
      <c r="D32" t="s">
        <v>60</v>
      </c>
      <c r="E32" t="s">
        <v>0</v>
      </c>
      <c r="F32">
        <v>701</v>
      </c>
      <c r="G32" s="3">
        <v>13953834</v>
      </c>
      <c r="H32" s="5" cm="1">
        <f t="array" ref="H32">IFERROR(_xlfn.IFS(A32=$F$517,G32/$G$517,A32=$F$518,G32/$G$518,A32=$F$519,G32/$G$519,A32=$F$520,G32/$G$520,A32=$F$521,G32/$G$521,A32=$F$522,G32/$G$522,A32=$F$523,G32/$G$523,A32=$F$524,G32/$G$524),"")</f>
        <v>0.34411193650075278</v>
      </c>
      <c r="I32" s="3" cm="1">
        <f t="array" ref="I32">IFERROR(_xlfn.IFS(A32=$M$3,H32*$S$3,A32=$M$4,H32*$S$4,A32=$M$5,H32*$S$5,A32=$M$6,H32*$S$6,A32=$M$7,H32*$S$7,A32=$M$8,H32*$S$8,A32=$M$9,H32*$S$9,A32=$M$10,H32*$S$10),"")</f>
        <v>38210967.466132015</v>
      </c>
      <c r="J32" s="3">
        <f t="shared" si="0"/>
        <v>52164801.466132015</v>
      </c>
      <c r="K32" s="3" t="str">
        <f>IFERROR(VLOOKUP(E32,'GASB Match'!$A$2:$C$58,3,FALSE),"")</f>
        <v>0200180</v>
      </c>
    </row>
    <row r="33" spans="1:11" x14ac:dyDescent="0.2">
      <c r="A33">
        <v>2019</v>
      </c>
      <c r="B33" t="s">
        <v>58</v>
      </c>
      <c r="C33" t="s">
        <v>59</v>
      </c>
      <c r="D33" t="s">
        <v>60</v>
      </c>
      <c r="E33" t="s">
        <v>0</v>
      </c>
      <c r="F33">
        <v>701</v>
      </c>
      <c r="G33" s="3">
        <v>13405087</v>
      </c>
      <c r="H33" s="5" cm="1">
        <f t="array" ref="H33">IFERROR(_xlfn.IFS(A33=$F$517,G33/$G$517,A33=$F$518,G33/$G$518,A33=$F$519,G33/$G$519,A33=$F$520,G33/$G$520,A33=$F$521,G33/$G$521,A33=$F$522,G33/$G$522,A33=$F$523,G33/$G$523,A33=$F$524,G33/$G$524),"")</f>
        <v>0.36421712383747429</v>
      </c>
      <c r="I33" s="3" cm="1">
        <f t="array" ref="I33">IFERROR(_xlfn.IFS(A33=$M$3,H33*$S$3,A33=$M$4,H33*$S$4,A33=$M$5,H33*$S$5,A33=$M$6,H33*$S$6,A33=$M$7,H33*$S$7,A33=$M$8,H33*$S$8,A33=$M$9,H33*$S$9,A33=$M$10,H33*$S$10),"")</f>
        <v>46388427.293884441</v>
      </c>
      <c r="J33" s="3">
        <f t="shared" si="0"/>
        <v>59793514.293884441</v>
      </c>
      <c r="K33" s="3" t="str">
        <f>IFERROR(VLOOKUP(E33,'GASB Match'!$A$2:$C$58,3,FALSE),"")</f>
        <v>0200180</v>
      </c>
    </row>
    <row r="34" spans="1:11" x14ac:dyDescent="0.2">
      <c r="A34">
        <v>2020</v>
      </c>
      <c r="B34" t="s">
        <v>58</v>
      </c>
      <c r="C34" t="s">
        <v>59</v>
      </c>
      <c r="D34" t="s">
        <v>60</v>
      </c>
      <c r="E34" t="s">
        <v>0</v>
      </c>
      <c r="F34">
        <v>701</v>
      </c>
      <c r="G34" s="3">
        <v>12025123</v>
      </c>
      <c r="H34" s="5" cm="1">
        <f t="array" ref="H34">IFERROR(_xlfn.IFS(A34=$F$517,G34/$G$517,A34=$F$518,G34/$G$518,A34=$F$519,G34/$G$519,A34=$F$520,G34/$G$520,A34=$F$521,G34/$G$521,A34=$F$522,G34/$G$522,A34=$F$523,G34/$G$523,A34=$F$524,G34/$G$524),"")</f>
        <v>0.35249373945277701</v>
      </c>
      <c r="I34" s="3" cm="1">
        <f t="array" ref="I34">IFERROR(_xlfn.IFS(A34=$M$3,H34*$S$3,A34=$M$4,H34*$S$4,A34=$M$5,H34*$S$5,A34=$M$6,H34*$S$6,A34=$M$7,H34*$S$7,A34=$M$8,H34*$S$8,A34=$M$9,H34*$S$9,A34=$M$10,H34*$S$10),"")</f>
        <v>49426360.189108975</v>
      </c>
      <c r="J34" s="3">
        <f t="shared" si="0"/>
        <v>61451483.189108975</v>
      </c>
      <c r="K34" s="3" t="str">
        <f>IFERROR(VLOOKUP(E34,'GASB Match'!$A$2:$C$58,3,FALSE),"")</f>
        <v>0200180</v>
      </c>
    </row>
    <row r="35" spans="1:11" x14ac:dyDescent="0.2">
      <c r="A35">
        <v>2021</v>
      </c>
      <c r="B35" t="s">
        <v>58</v>
      </c>
      <c r="C35" t="s">
        <v>59</v>
      </c>
      <c r="D35" t="s">
        <v>60</v>
      </c>
      <c r="E35" t="s">
        <v>0</v>
      </c>
      <c r="F35">
        <v>701</v>
      </c>
      <c r="G35" s="3">
        <v>9845817</v>
      </c>
      <c r="H35" s="5" cm="1">
        <f t="array" ref="H35">IFERROR(_xlfn.IFS(A35=$F$517,G35/$G$517,A35=$F$518,G35/$G$518,A35=$F$519,G35/$G$519,A35=$F$520,G35/$G$520,A35=$F$521,G35/$G$521,A35=$F$522,G35/$G$522,A35=$F$523,G35/$G$523,A35=$F$524,G35/$G$524),"")</f>
        <v>0.33562720348927882</v>
      </c>
      <c r="I35" s="3" cm="1">
        <f t="array" ref="I35">IFERROR(_xlfn.IFS(A35=$M$3,H35*$S$3,A35=$M$4,H35*$S$4,A35=$M$5,H35*$S$5,A35=$M$6,H35*$S$6,A35=$M$7,H35*$S$7,A35=$M$8,H35*$S$8,A35=$M$9,H35*$S$9,A35=$M$10,H35*$S$10),"")</f>
        <v>44997538.164926</v>
      </c>
      <c r="J35" s="3">
        <f t="shared" si="0"/>
        <v>54843355.164926</v>
      </c>
      <c r="K35" s="3" t="str">
        <f>IFERROR(VLOOKUP(E35,'GASB Match'!$A$2:$C$58,3,FALSE),"")</f>
        <v>0200180</v>
      </c>
    </row>
    <row r="36" spans="1:11" x14ac:dyDescent="0.2">
      <c r="A36">
        <v>2022</v>
      </c>
      <c r="B36" t="s">
        <v>58</v>
      </c>
      <c r="C36" t="s">
        <v>59</v>
      </c>
      <c r="D36" t="s">
        <v>60</v>
      </c>
      <c r="E36" t="s">
        <v>0</v>
      </c>
      <c r="F36">
        <v>701</v>
      </c>
      <c r="G36" s="3">
        <v>10949649</v>
      </c>
      <c r="H36" s="5" cm="1">
        <f t="array" ref="H36">IFERROR(_xlfn.IFS(A36=$F$517,G36/$G$517,A36=$F$518,G36/$G$518,A36=$F$519,G36/$G$519,A36=$F$520,G36/$G$520,A36=$F$521,G36/$G$521,A36=$F$522,G36/$G$522,A36=$F$523,G36/$G$523,A36=$F$524,G36/$G$524),"")</f>
        <v>0.35658124345330861</v>
      </c>
      <c r="I36" s="3" cm="1">
        <f t="array" ref="I36">IFERROR(_xlfn.IFS(A36=$M$3,H36*$S$3,A36=$M$4,H36*$S$4,A36=$M$5,H36*$S$5,A36=$M$6,H36*$S$6,A36=$M$7,H36*$S$7,A36=$M$8,H36*$S$8,A36=$M$9,H36*$S$9,A36=$M$10,H36*$S$10),"")</f>
        <v>50541607.932513453</v>
      </c>
      <c r="J36" s="3">
        <f t="shared" si="0"/>
        <v>61491256.932513453</v>
      </c>
      <c r="K36" s="3" t="str">
        <f>IFERROR(VLOOKUP(E36,'GASB Match'!$A$2:$C$58,3,FALSE),"")</f>
        <v>0200180</v>
      </c>
    </row>
    <row r="37" spans="1:11" x14ac:dyDescent="0.2">
      <c r="A37">
        <v>2023</v>
      </c>
      <c r="B37" t="s">
        <v>58</v>
      </c>
      <c r="C37" t="s">
        <v>59</v>
      </c>
      <c r="D37" t="s">
        <v>60</v>
      </c>
      <c r="E37" t="s">
        <v>0</v>
      </c>
      <c r="F37">
        <v>701</v>
      </c>
      <c r="G37" s="3">
        <v>18982470</v>
      </c>
      <c r="H37" s="5" t="str" cm="1">
        <f t="array" ref="H37">IFERROR(_xlfn.IFS(A37=$F$517,G37/$G$517,A37=$F$518,G37/$G$518,A37=$F$519,G37/$G$519,A37=$F$520,G37/$G$520,A37=$F$521,G37/$G$521,A37=$F$522,G37/$G$522,A37=$F$523,G37/$G$523,A37=$F$524,G37/$G$524),"")</f>
        <v/>
      </c>
      <c r="I37" s="3" t="str" cm="1">
        <f t="array" ref="I37">IFERROR(_xlfn.IFS(A37=$M$3,H37*$S$3,A37=$M$4,H37*$S$4,A37=$M$5,H37*$S$5,A37=$M$6,H37*$S$6,A37=$M$7,H37*$S$7,A37=$M$8,H37*$S$8,A37=$M$9,H37*$S$9,A37=$M$10,H37*$S$10),"")</f>
        <v/>
      </c>
      <c r="J37" s="3">
        <f t="shared" si="0"/>
        <v>18982470</v>
      </c>
      <c r="K37" s="3" t="str">
        <f>IFERROR(VLOOKUP(E37,'GASB Match'!$A$2:$C$58,3,FALSE),"")</f>
        <v>0200180</v>
      </c>
    </row>
    <row r="38" spans="1:11" x14ac:dyDescent="0.2">
      <c r="A38">
        <v>2015</v>
      </c>
      <c r="B38" t="s">
        <v>58</v>
      </c>
      <c r="C38" t="s">
        <v>59</v>
      </c>
      <c r="D38" t="s">
        <v>60</v>
      </c>
      <c r="E38" t="s">
        <v>47</v>
      </c>
      <c r="F38">
        <v>770</v>
      </c>
      <c r="G38" s="3">
        <v>81026</v>
      </c>
      <c r="H38" s="5" cm="1">
        <f t="array" ref="H38">IFERROR(_xlfn.IFS(A38=$F$517,G38/$G$517,A38=$F$518,G38/$G$518,A38=$F$519,G38/$G$519,A38=$F$520,G38/$G$520,A38=$F$521,G38/$G$521,A38=$F$522,G38/$G$522,A38=$F$523,G38/$G$523,A38=$F$524,G38/$G$524),"")</f>
        <v>1.6686925851466014E-3</v>
      </c>
      <c r="I38" s="3" cm="1">
        <f t="array" ref="I38">IFERROR(_xlfn.IFS(A38=$M$3,H38*$S$3,A38=$M$4,H38*$S$4,A38=$M$5,H38*$S$5,A38=$M$6,H38*$S$6,A38=$M$7,H38*$S$7,A38=$M$8,H38*$S$8,A38=$M$9,H38*$S$9,A38=$M$10,H38*$S$10),"")</f>
        <v>2754205.4979140316</v>
      </c>
      <c r="J38" s="3">
        <f t="shared" si="0"/>
        <v>2835231.4979140316</v>
      </c>
      <c r="K38" s="3" t="str">
        <f>IFERROR(VLOOKUP(E38,'GASB Match'!$A$2:$C$58,3,FALSE),"")</f>
        <v>0200525</v>
      </c>
    </row>
    <row r="39" spans="1:11" x14ac:dyDescent="0.2">
      <c r="A39">
        <v>2016</v>
      </c>
      <c r="B39" t="s">
        <v>58</v>
      </c>
      <c r="C39" t="s">
        <v>59</v>
      </c>
      <c r="D39" t="s">
        <v>60</v>
      </c>
      <c r="E39" t="s">
        <v>47</v>
      </c>
      <c r="F39">
        <v>770</v>
      </c>
      <c r="G39" s="3">
        <v>70301</v>
      </c>
      <c r="H39" s="5" cm="1">
        <f t="array" ref="H39">IFERROR(_xlfn.IFS(A39=$F$517,G39/$G$517,A39=$F$518,G39/$G$518,A39=$F$519,G39/$G$519,A39=$F$520,G39/$G$520,A39=$F$521,G39/$G$521,A39=$F$522,G39/$G$522,A39=$F$523,G39/$G$523,A39=$F$524,G39/$G$524),"")</f>
        <v>2.0609781098801152E-3</v>
      </c>
      <c r="I39" s="3" cm="1">
        <f t="array" ref="I39">IFERROR(_xlfn.IFS(A39=$M$3,H39*$S$3,A39=$M$4,H39*$S$4,A39=$M$5,H39*$S$5,A39=$M$6,H39*$S$6,A39=$M$7,H39*$S$7,A39=$M$8,H39*$S$8,A39=$M$9,H39*$S$9,A39=$M$10,H39*$S$10),"")</f>
        <v>185400.34351454742</v>
      </c>
      <c r="J39" s="3">
        <f t="shared" si="0"/>
        <v>255701.34351454742</v>
      </c>
      <c r="K39" s="3" t="str">
        <f>IFERROR(VLOOKUP(E39,'GASB Match'!$A$2:$C$58,3,FALSE),"")</f>
        <v>0200525</v>
      </c>
    </row>
    <row r="40" spans="1:11" x14ac:dyDescent="0.2">
      <c r="A40">
        <v>2017</v>
      </c>
      <c r="B40" t="s">
        <v>58</v>
      </c>
      <c r="C40" t="s">
        <v>59</v>
      </c>
      <c r="D40" t="s">
        <v>60</v>
      </c>
      <c r="E40" t="s">
        <v>47</v>
      </c>
      <c r="F40">
        <v>770</v>
      </c>
      <c r="G40" s="3">
        <v>67477</v>
      </c>
      <c r="H40" s="5" cm="1">
        <f t="array" ref="H40">IFERROR(_xlfn.IFS(A40=$F$517,G40/$G$517,A40=$F$518,G40/$G$518,A40=$F$519,G40/$G$519,A40=$F$520,G40/$G$520,A40=$F$521,G40/$G$521,A40=$F$522,G40/$G$522,A40=$F$523,G40/$G$523,A40=$F$524,G40/$G$524),"")</f>
        <v>1.8064415192902159E-3</v>
      </c>
      <c r="I40" s="3" cm="1">
        <f t="array" ref="I40">IFERROR(_xlfn.IFS(A40=$M$3,H40*$S$3,A40=$M$4,H40*$S$4,A40=$M$5,H40*$S$5,A40=$M$6,H40*$S$6,A40=$M$7,H40*$S$7,A40=$M$8,H40*$S$8,A40=$M$9,H40*$S$9,A40=$M$10,H40*$S$10),"")</f>
        <v>209511.51734036082</v>
      </c>
      <c r="J40" s="3">
        <f t="shared" si="0"/>
        <v>276988.51734036079</v>
      </c>
      <c r="K40" s="3" t="str">
        <f>IFERROR(VLOOKUP(E40,'GASB Match'!$A$2:$C$58,3,FALSE),"")</f>
        <v>0200525</v>
      </c>
    </row>
    <row r="41" spans="1:11" x14ac:dyDescent="0.2">
      <c r="A41">
        <v>2018</v>
      </c>
      <c r="B41" t="s">
        <v>58</v>
      </c>
      <c r="C41" t="s">
        <v>59</v>
      </c>
      <c r="D41" t="s">
        <v>60</v>
      </c>
      <c r="E41" t="s">
        <v>47</v>
      </c>
      <c r="F41">
        <v>770</v>
      </c>
      <c r="G41" s="3">
        <v>64185</v>
      </c>
      <c r="H41" s="5" cm="1">
        <f t="array" ref="H41">IFERROR(_xlfn.IFS(A41=$F$517,G41/$G$517,A41=$F$518,G41/$G$518,A41=$F$519,G41/$G$519,A41=$F$520,G41/$G$520,A41=$F$521,G41/$G$521,A41=$F$522,G41/$G$522,A41=$F$523,G41/$G$523,A41=$F$524,G41/$G$524),"")</f>
        <v>1.5828498923163925E-3</v>
      </c>
      <c r="I41" s="3" cm="1">
        <f t="array" ref="I41">IFERROR(_xlfn.IFS(A41=$M$3,H41*$S$3,A41=$M$4,H41*$S$4,A41=$M$5,H41*$S$5,A41=$M$6,H41*$S$6,A41=$M$7,H41*$S$7,A41=$M$8,H41*$S$8,A41=$M$9,H41*$S$9,A41=$M$10,H41*$S$10),"")</f>
        <v>175763.23086641874</v>
      </c>
      <c r="J41" s="3">
        <f t="shared" si="0"/>
        <v>239948.23086641874</v>
      </c>
      <c r="K41" s="3" t="str">
        <f>IFERROR(VLOOKUP(E41,'GASB Match'!$A$2:$C$58,3,FALSE),"")</f>
        <v>0200525</v>
      </c>
    </row>
    <row r="42" spans="1:11" x14ac:dyDescent="0.2">
      <c r="A42">
        <v>2019</v>
      </c>
      <c r="B42" t="s">
        <v>58</v>
      </c>
      <c r="C42" t="s">
        <v>59</v>
      </c>
      <c r="D42" t="s">
        <v>60</v>
      </c>
      <c r="E42" t="s">
        <v>47</v>
      </c>
      <c r="F42">
        <v>770</v>
      </c>
      <c r="G42" s="3">
        <v>71948</v>
      </c>
      <c r="H42" s="5" cm="1">
        <f t="array" ref="H42">IFERROR(_xlfn.IFS(A42=$F$517,G42/$G$517,A42=$F$518,G42/$G$518,A42=$F$519,G42/$G$519,A42=$F$520,G42/$G$520,A42=$F$521,G42/$G$521,A42=$F$522,G42/$G$522,A42=$F$523,G42/$G$523,A42=$F$524,G42/$G$524),"")</f>
        <v>1.9548320444215395E-3</v>
      </c>
      <c r="I42" s="3" cm="1">
        <f t="array" ref="I42">IFERROR(_xlfn.IFS(A42=$M$3,H42*$S$3,A42=$M$4,H42*$S$4,A42=$M$5,H42*$S$5,A42=$M$6,H42*$S$6,A42=$M$7,H42*$S$7,A42=$M$8,H42*$S$8,A42=$M$9,H42*$S$9,A42=$M$10,H42*$S$10),"")</f>
        <v>248976.71808772281</v>
      </c>
      <c r="J42" s="3">
        <f t="shared" si="0"/>
        <v>320924.71808772278</v>
      </c>
      <c r="K42" s="3" t="str">
        <f>IFERROR(VLOOKUP(E42,'GASB Match'!$A$2:$C$58,3,FALSE),"")</f>
        <v>0200525</v>
      </c>
    </row>
    <row r="43" spans="1:11" x14ac:dyDescent="0.2">
      <c r="A43">
        <v>2020</v>
      </c>
      <c r="B43" t="s">
        <v>58</v>
      </c>
      <c r="C43" t="s">
        <v>59</v>
      </c>
      <c r="D43" t="s">
        <v>60</v>
      </c>
      <c r="E43" t="s">
        <v>47</v>
      </c>
      <c r="F43">
        <v>770</v>
      </c>
      <c r="G43" s="3">
        <v>52856</v>
      </c>
      <c r="H43" s="5" cm="1">
        <f t="array" ref="H43">IFERROR(_xlfn.IFS(A43=$F$517,G43/$G$517,A43=$F$518,G43/$G$518,A43=$F$519,G43/$G$519,A43=$F$520,G43/$G$520,A43=$F$521,G43/$G$521,A43=$F$522,G43/$G$522,A43=$F$523,G43/$G$523,A43=$F$524,G43/$G$524),"")</f>
        <v>1.5493736814597226E-3</v>
      </c>
      <c r="I43" s="3" cm="1">
        <f t="array" ref="I43">IFERROR(_xlfn.IFS(A43=$M$3,H43*$S$3,A43=$M$4,H43*$S$4,A43=$M$5,H43*$S$5,A43=$M$6,H43*$S$6,A43=$M$7,H43*$S$7,A43=$M$8,H43*$S$8,A43=$M$9,H43*$S$9,A43=$M$10,H43*$S$10),"")</f>
        <v>217251.80641857421</v>
      </c>
      <c r="J43" s="3">
        <f t="shared" si="0"/>
        <v>270107.80641857418</v>
      </c>
      <c r="K43" s="3" t="str">
        <f>IFERROR(VLOOKUP(E43,'GASB Match'!$A$2:$C$58,3,FALSE),"")</f>
        <v>0200525</v>
      </c>
    </row>
    <row r="44" spans="1:11" x14ac:dyDescent="0.2">
      <c r="A44">
        <v>2021</v>
      </c>
      <c r="B44" t="s">
        <v>58</v>
      </c>
      <c r="C44" t="s">
        <v>59</v>
      </c>
      <c r="D44" t="s">
        <v>60</v>
      </c>
      <c r="E44" t="s">
        <v>47</v>
      </c>
      <c r="F44">
        <v>770</v>
      </c>
      <c r="G44" s="3">
        <v>58668</v>
      </c>
      <c r="H44" s="5" cm="1">
        <f t="array" ref="H44">IFERROR(_xlfn.IFS(A44=$F$517,G44/$G$517,A44=$F$518,G44/$G$518,A44=$F$519,G44/$G$519,A44=$F$520,G44/$G$520,A44=$F$521,G44/$G$521,A44=$F$522,G44/$G$522,A44=$F$523,G44/$G$523,A44=$F$524,G44/$G$524),"")</f>
        <v>1.9998926218422514E-3</v>
      </c>
      <c r="I44" s="3" cm="1">
        <f t="array" ref="I44">IFERROR(_xlfn.IFS(A44=$M$3,H44*$S$3,A44=$M$4,H44*$S$4,A44=$M$5,H44*$S$5,A44=$M$6,H44*$S$6,A44=$M$7,H44*$S$7,A44=$M$8,H44*$S$8,A44=$M$9,H44*$S$9,A44=$M$10,H44*$S$10),"")</f>
        <v>268125.59781071276</v>
      </c>
      <c r="J44" s="3">
        <f t="shared" si="0"/>
        <v>326793.59781071276</v>
      </c>
      <c r="K44" s="3" t="str">
        <f>IFERROR(VLOOKUP(E44,'GASB Match'!$A$2:$C$58,3,FALSE),"")</f>
        <v>0200525</v>
      </c>
    </row>
    <row r="45" spans="1:11" x14ac:dyDescent="0.2">
      <c r="A45">
        <v>2022</v>
      </c>
      <c r="B45" t="s">
        <v>58</v>
      </c>
      <c r="C45" t="s">
        <v>59</v>
      </c>
      <c r="D45" t="s">
        <v>60</v>
      </c>
      <c r="E45" t="s">
        <v>47</v>
      </c>
      <c r="F45">
        <v>770</v>
      </c>
      <c r="G45" s="3">
        <v>68989</v>
      </c>
      <c r="H45" s="5" cm="1">
        <f t="array" ref="H45">IFERROR(_xlfn.IFS(A45=$F$517,G45/$G$517,A45=$F$518,G45/$G$518,A45=$F$519,G45/$G$519,A45=$F$520,G45/$G$520,A45=$F$521,G45/$G$521,A45=$F$522,G45/$G$522,A45=$F$523,G45/$G$523,A45=$F$524,G45/$G$524),"")</f>
        <v>2.2466641081006619E-3</v>
      </c>
      <c r="I45" s="3" cm="1">
        <f t="array" ref="I45">IFERROR(_xlfn.IFS(A45=$M$3,H45*$S$3,A45=$M$4,H45*$S$4,A45=$M$5,H45*$S$5,A45=$M$6,H45*$S$6,A45=$M$7,H45*$S$7,A45=$M$8,H45*$S$8,A45=$M$9,H45*$S$9,A45=$M$10,H45*$S$10),"")</f>
        <v>318440.80021708185</v>
      </c>
      <c r="J45" s="3">
        <f t="shared" si="0"/>
        <v>387429.80021708185</v>
      </c>
      <c r="K45" s="3" t="str">
        <f>IFERROR(VLOOKUP(E45,'GASB Match'!$A$2:$C$58,3,FALSE),"")</f>
        <v>0200525</v>
      </c>
    </row>
    <row r="46" spans="1:11" x14ac:dyDescent="0.2">
      <c r="A46">
        <v>2023</v>
      </c>
      <c r="B46" t="s">
        <v>58</v>
      </c>
      <c r="C46" t="s">
        <v>59</v>
      </c>
      <c r="D46" t="s">
        <v>60</v>
      </c>
      <c r="E46" t="s">
        <v>47</v>
      </c>
      <c r="F46">
        <v>770</v>
      </c>
      <c r="G46" s="3">
        <v>121795</v>
      </c>
      <c r="H46" s="5" t="str" cm="1">
        <f t="array" ref="H46">IFERROR(_xlfn.IFS(A46=$F$517,G46/$G$517,A46=$F$518,G46/$G$518,A46=$F$519,G46/$G$519,A46=$F$520,G46/$G$520,A46=$F$521,G46/$G$521,A46=$F$522,G46/$G$522,A46=$F$523,G46/$G$523,A46=$F$524,G46/$G$524),"")</f>
        <v/>
      </c>
      <c r="I46" s="3" t="str" cm="1">
        <f t="array" ref="I46">IFERROR(_xlfn.IFS(A46=$M$3,H46*$S$3,A46=$M$4,H46*$S$4,A46=$M$5,H46*$S$5,A46=$M$6,H46*$S$6,A46=$M$7,H46*$S$7,A46=$M$8,H46*$S$8,A46=$M$9,H46*$S$9,A46=$M$10,H46*$S$10),"")</f>
        <v/>
      </c>
      <c r="J46" s="3">
        <f t="shared" si="0"/>
        <v>121795</v>
      </c>
      <c r="K46" s="3" t="str">
        <f>IFERROR(VLOOKUP(E46,'GASB Match'!$A$2:$C$58,3,FALSE),"")</f>
        <v>0200525</v>
      </c>
    </row>
    <row r="47" spans="1:11" x14ac:dyDescent="0.2">
      <c r="A47">
        <v>2015</v>
      </c>
      <c r="B47" t="s">
        <v>58</v>
      </c>
      <c r="C47" t="s">
        <v>59</v>
      </c>
      <c r="D47" t="s">
        <v>60</v>
      </c>
      <c r="E47" t="s">
        <v>30</v>
      </c>
      <c r="F47">
        <v>752</v>
      </c>
      <c r="G47" s="3">
        <v>436529</v>
      </c>
      <c r="H47" s="5" cm="1">
        <f t="array" ref="H47">IFERROR(_xlfn.IFS(A47=$F$517,G47/$G$517,A47=$F$518,G47/$G$518,A47=$F$519,G47/$G$519,A47=$F$520,G47/$G$520,A47=$F$521,G47/$G$521,A47=$F$522,G47/$G$522,A47=$F$523,G47/$G$523,A47=$F$524,G47/$G$524),"")</f>
        <v>8.9901106496860349E-3</v>
      </c>
      <c r="I47" s="3" cm="1">
        <f t="array" ref="I47">IFERROR(_xlfn.IFS(A47=$M$3,H47*$S$3,A47=$M$4,H47*$S$4,A47=$M$5,H47*$S$5,A47=$M$6,H47*$S$6,A47=$M$7,H47*$S$7,A47=$M$8,H47*$S$8,A47=$M$9,H47*$S$9,A47=$M$10,H47*$S$10),"")</f>
        <v>14838330.558079062</v>
      </c>
      <c r="J47" s="3">
        <f t="shared" si="0"/>
        <v>15274859.558079062</v>
      </c>
      <c r="K47" s="3" t="str">
        <f>IFERROR(VLOOKUP(E47,'GASB Match'!$A$2:$C$58,3,FALSE),"")</f>
        <v>0200020</v>
      </c>
    </row>
    <row r="48" spans="1:11" x14ac:dyDescent="0.2">
      <c r="A48">
        <v>2016</v>
      </c>
      <c r="B48" t="s">
        <v>58</v>
      </c>
      <c r="C48" t="s">
        <v>59</v>
      </c>
      <c r="D48" t="s">
        <v>60</v>
      </c>
      <c r="E48" t="s">
        <v>30</v>
      </c>
      <c r="F48">
        <v>752</v>
      </c>
      <c r="G48" s="3">
        <v>387570</v>
      </c>
      <c r="H48" s="5" cm="1">
        <f t="array" ref="H48">IFERROR(_xlfn.IFS(A48=$F$517,G48/$G$517,A48=$F$518,G48/$G$518,A48=$F$519,G48/$G$519,A48=$F$520,G48/$G$520,A48=$F$521,G48/$G$521,A48=$F$522,G48/$G$522,A48=$F$523,G48/$G$523,A48=$F$524,G48/$G$524),"")</f>
        <v>1.1362189528544918E-2</v>
      </c>
      <c r="I48" s="3" cm="1">
        <f t="array" ref="I48">IFERROR(_xlfn.IFS(A48=$M$3,H48*$S$3,A48=$M$4,H48*$S$4,A48=$M$5,H48*$S$5,A48=$M$6,H48*$S$6,A48=$M$7,H48*$S$7,A48=$M$8,H48*$S$8,A48=$M$9,H48*$S$9,A48=$M$10,H48*$S$10),"")</f>
        <v>1022113.6418533612</v>
      </c>
      <c r="J48" s="3">
        <f t="shared" si="0"/>
        <v>1409683.6418533612</v>
      </c>
      <c r="K48" s="3" t="str">
        <f>IFERROR(VLOOKUP(E48,'GASB Match'!$A$2:$C$58,3,FALSE),"")</f>
        <v>0200020</v>
      </c>
    </row>
    <row r="49" spans="1:11" x14ac:dyDescent="0.2">
      <c r="A49">
        <v>2017</v>
      </c>
      <c r="B49" t="s">
        <v>58</v>
      </c>
      <c r="C49" t="s">
        <v>59</v>
      </c>
      <c r="D49" t="s">
        <v>60</v>
      </c>
      <c r="E49" t="s">
        <v>30</v>
      </c>
      <c r="F49">
        <v>752</v>
      </c>
      <c r="G49" s="3">
        <v>522909</v>
      </c>
      <c r="H49" s="5" cm="1">
        <f t="array" ref="H49">IFERROR(_xlfn.IFS(A49=$F$517,G49/$G$517,A49=$F$518,G49/$G$518,A49=$F$519,G49/$G$519,A49=$F$520,G49/$G$520,A49=$F$521,G49/$G$521,A49=$F$522,G49/$G$522,A49=$F$523,G49/$G$523,A49=$F$524,G49/$G$524),"")</f>
        <v>1.3998911160996006E-2</v>
      </c>
      <c r="I49" s="3" cm="1">
        <f t="array" ref="I49">IFERROR(_xlfn.IFS(A49=$M$3,H49*$S$3,A49=$M$4,H49*$S$4,A49=$M$5,H49*$S$5,A49=$M$6,H49*$S$6,A49=$M$7,H49*$S$7,A49=$M$8,H49*$S$8,A49=$M$9,H49*$S$9,A49=$M$10,H49*$S$10),"")</f>
        <v>1623597.048193173</v>
      </c>
      <c r="J49" s="3">
        <f t="shared" si="0"/>
        <v>2146506.048193173</v>
      </c>
      <c r="K49" s="3" t="str">
        <f>IFERROR(VLOOKUP(E49,'GASB Match'!$A$2:$C$58,3,FALSE),"")</f>
        <v>0200020</v>
      </c>
    </row>
    <row r="50" spans="1:11" x14ac:dyDescent="0.2">
      <c r="A50">
        <v>2018</v>
      </c>
      <c r="B50" t="s">
        <v>58</v>
      </c>
      <c r="C50" t="s">
        <v>59</v>
      </c>
      <c r="D50" t="s">
        <v>60</v>
      </c>
      <c r="E50" t="s">
        <v>30</v>
      </c>
      <c r="F50">
        <v>752</v>
      </c>
      <c r="G50" s="3">
        <v>696010</v>
      </c>
      <c r="H50" s="5" cm="1">
        <f t="array" ref="H50">IFERROR(_xlfn.IFS(A50=$F$517,G50/$G$517,A50=$F$518,G50/$G$518,A50=$F$519,G50/$G$519,A50=$F$520,G50/$G$520,A50=$F$521,G50/$G$521,A50=$F$522,G50/$G$522,A50=$F$523,G50/$G$523,A50=$F$524,G50/$G$524),"")</f>
        <v>1.7164124850839485E-2</v>
      </c>
      <c r="I50" s="3" cm="1">
        <f t="array" ref="I50">IFERROR(_xlfn.IFS(A50=$M$3,H50*$S$3,A50=$M$4,H50*$S$4,A50=$M$5,H50*$S$5,A50=$M$6,H50*$S$6,A50=$M$7,H50*$S$7,A50=$M$8,H50*$S$8,A50=$M$9,H50*$S$9,A50=$M$10,H50*$S$10),"")</f>
        <v>1905943.2315235042</v>
      </c>
      <c r="J50" s="3">
        <f t="shared" si="0"/>
        <v>2601953.2315235045</v>
      </c>
      <c r="K50" s="3" t="str">
        <f>IFERROR(VLOOKUP(E50,'GASB Match'!$A$2:$C$58,3,FALSE),"")</f>
        <v>0200020</v>
      </c>
    </row>
    <row r="51" spans="1:11" x14ac:dyDescent="0.2">
      <c r="A51">
        <v>2019</v>
      </c>
      <c r="B51" t="s">
        <v>58</v>
      </c>
      <c r="C51" t="s">
        <v>59</v>
      </c>
      <c r="D51" t="s">
        <v>60</v>
      </c>
      <c r="E51" t="s">
        <v>30</v>
      </c>
      <c r="F51">
        <v>752</v>
      </c>
      <c r="G51" s="3">
        <v>405562</v>
      </c>
      <c r="H51" s="5" cm="1">
        <f t="array" ref="H51">IFERROR(_xlfn.IFS(A51=$F$517,G51/$G$517,A51=$F$518,G51/$G$518,A51=$F$519,G51/$G$519,A51=$F$520,G51/$G$520,A51=$F$521,G51/$G$521,A51=$F$522,G51/$G$522,A51=$F$523,G51/$G$523,A51=$F$524,G51/$G$524),"")</f>
        <v>1.1019147072881642E-2</v>
      </c>
      <c r="I51" s="3" cm="1">
        <f t="array" ref="I51">IFERROR(_xlfn.IFS(A51=$M$3,H51*$S$3,A51=$M$4,H51*$S$4,A51=$M$5,H51*$S$5,A51=$M$6,H51*$S$6,A51=$M$7,H51*$S$7,A51=$M$8,H51*$S$8,A51=$M$9,H51*$S$9,A51=$M$10,H51*$S$10),"")</f>
        <v>1403451.044380567</v>
      </c>
      <c r="J51" s="3">
        <f t="shared" si="0"/>
        <v>1809013.044380567</v>
      </c>
      <c r="K51" s="3" t="str">
        <f>IFERROR(VLOOKUP(E51,'GASB Match'!$A$2:$C$58,3,FALSE),"")</f>
        <v>0200020</v>
      </c>
    </row>
    <row r="52" spans="1:11" x14ac:dyDescent="0.2">
      <c r="A52">
        <v>2020</v>
      </c>
      <c r="B52" t="s">
        <v>58</v>
      </c>
      <c r="C52" t="s">
        <v>59</v>
      </c>
      <c r="D52" t="s">
        <v>60</v>
      </c>
      <c r="E52" t="s">
        <v>30</v>
      </c>
      <c r="F52">
        <v>752</v>
      </c>
      <c r="G52" s="3">
        <v>525092</v>
      </c>
      <c r="H52" s="5" cm="1">
        <f t="array" ref="H52">IFERROR(_xlfn.IFS(A52=$F$517,G52/$G$517,A52=$F$518,G52/$G$518,A52=$F$519,G52/$G$519,A52=$F$520,G52/$G$520,A52=$F$521,G52/$G$521,A52=$F$522,G52/$G$522,A52=$F$523,G52/$G$523,A52=$F$524,G52/$G$524),"")</f>
        <v>1.5392078953099905E-2</v>
      </c>
      <c r="I52" s="3" cm="1">
        <f t="array" ref="I52">IFERROR(_xlfn.IFS(A52=$M$3,H52*$S$3,A52=$M$4,H52*$S$4,A52=$M$5,H52*$S$5,A52=$M$6,H52*$S$6,A52=$M$7,H52*$S$7,A52=$M$8,H52*$S$8,A52=$M$9,H52*$S$9,A52=$M$10,H52*$S$10),"")</f>
        <v>2158263.6888137953</v>
      </c>
      <c r="J52" s="3">
        <f t="shared" si="0"/>
        <v>2683355.6888137953</v>
      </c>
      <c r="K52" s="3" t="str">
        <f>IFERROR(VLOOKUP(E52,'GASB Match'!$A$2:$C$58,3,FALSE),"")</f>
        <v>0200020</v>
      </c>
    </row>
    <row r="53" spans="1:11" x14ac:dyDescent="0.2">
      <c r="A53">
        <v>2021</v>
      </c>
      <c r="B53" t="s">
        <v>58</v>
      </c>
      <c r="C53" t="s">
        <v>59</v>
      </c>
      <c r="D53" t="s">
        <v>60</v>
      </c>
      <c r="E53" t="s">
        <v>30</v>
      </c>
      <c r="F53">
        <v>752</v>
      </c>
      <c r="G53" s="3">
        <v>493328</v>
      </c>
      <c r="H53" s="5" cm="1">
        <f t="array" ref="H53">IFERROR(_xlfn.IFS(A53=$F$517,G53/$G$517,A53=$F$518,G53/$G$518,A53=$F$519,G53/$G$519,A53=$F$520,G53/$G$520,A53=$F$521,G53/$G$521,A53=$F$522,G53/$G$522,A53=$F$523,G53/$G$523,A53=$F$524,G53/$G$524),"")</f>
        <v>1.6816714859006512E-2</v>
      </c>
      <c r="I53" s="3" cm="1">
        <f t="array" ref="I53">IFERROR(_xlfn.IFS(A53=$M$3,H53*$S$3,A53=$M$4,H53*$S$4,A53=$M$5,H53*$S$5,A53=$M$6,H53*$S$6,A53=$M$7,H53*$S$7,A53=$M$8,H53*$S$8,A53=$M$9,H53*$S$9,A53=$M$10,H53*$S$10),"")</f>
        <v>2254616.9106968585</v>
      </c>
      <c r="J53" s="3">
        <f t="shared" si="0"/>
        <v>2747944.9106968585</v>
      </c>
      <c r="K53" s="3" t="str">
        <f>IFERROR(VLOOKUP(E53,'GASB Match'!$A$2:$C$58,3,FALSE),"")</f>
        <v>0200020</v>
      </c>
    </row>
    <row r="54" spans="1:11" x14ac:dyDescent="0.2">
      <c r="A54">
        <v>2022</v>
      </c>
      <c r="B54" t="s">
        <v>58</v>
      </c>
      <c r="C54" t="s">
        <v>59</v>
      </c>
      <c r="D54" t="s">
        <v>60</v>
      </c>
      <c r="E54" t="s">
        <v>30</v>
      </c>
      <c r="F54">
        <v>752</v>
      </c>
      <c r="G54" s="3">
        <v>573355</v>
      </c>
      <c r="H54" s="5" cm="1">
        <f t="array" ref="H54">IFERROR(_xlfn.IFS(A54=$F$517,G54/$G$517,A54=$F$518,G54/$G$518,A54=$F$519,G54/$G$519,A54=$F$520,G54/$G$520,A54=$F$521,G54/$G$521,A54=$F$522,G54/$G$522,A54=$F$523,G54/$G$523,A54=$F$524,G54/$G$524),"")</f>
        <v>1.8671615760484355E-2</v>
      </c>
      <c r="I54" s="3" cm="1">
        <f t="array" ref="I54">IFERROR(_xlfn.IFS(A54=$M$3,H54*$S$3,A54=$M$4,H54*$S$4,A54=$M$5,H54*$S$5,A54=$M$6,H54*$S$6,A54=$M$7,H54*$S$7,A54=$M$8,H54*$S$8,A54=$M$9,H54*$S$9,A54=$M$10,H54*$S$10),"")</f>
        <v>2646503.4282054384</v>
      </c>
      <c r="J54" s="3">
        <f t="shared" si="0"/>
        <v>3219858.4282054384</v>
      </c>
      <c r="K54" s="3" t="str">
        <f>IFERROR(VLOOKUP(E54,'GASB Match'!$A$2:$C$58,3,FALSE),"")</f>
        <v>0200020</v>
      </c>
    </row>
    <row r="55" spans="1:11" x14ac:dyDescent="0.2">
      <c r="A55">
        <v>2023</v>
      </c>
      <c r="B55" t="s">
        <v>58</v>
      </c>
      <c r="C55" t="s">
        <v>59</v>
      </c>
      <c r="D55" t="s">
        <v>60</v>
      </c>
      <c r="E55" t="s">
        <v>30</v>
      </c>
      <c r="F55">
        <v>752</v>
      </c>
      <c r="G55" s="3">
        <v>807725</v>
      </c>
      <c r="H55" s="5" t="str" cm="1">
        <f t="array" ref="H55">IFERROR(_xlfn.IFS(A55=$F$517,G55/$G$517,A55=$F$518,G55/$G$518,A55=$F$519,G55/$G$519,A55=$F$520,G55/$G$520,A55=$F$521,G55/$G$521,A55=$F$522,G55/$G$522,A55=$F$523,G55/$G$523,A55=$F$524,G55/$G$524),"")</f>
        <v/>
      </c>
      <c r="I55" s="3" t="str" cm="1">
        <f t="array" ref="I55">IFERROR(_xlfn.IFS(A55=$M$3,H55*$S$3,A55=$M$4,H55*$S$4,A55=$M$5,H55*$S$5,A55=$M$6,H55*$S$6,A55=$M$7,H55*$S$7,A55=$M$8,H55*$S$8,A55=$M$9,H55*$S$9,A55=$M$10,H55*$S$10),"")</f>
        <v/>
      </c>
      <c r="J55" s="3">
        <f t="shared" si="0"/>
        <v>807725</v>
      </c>
      <c r="K55" s="3" t="str">
        <f>IFERROR(VLOOKUP(E55,'GASB Match'!$A$2:$C$58,3,FALSE),"")</f>
        <v>0200020</v>
      </c>
    </row>
    <row r="56" spans="1:11" x14ac:dyDescent="0.2">
      <c r="A56">
        <v>2015</v>
      </c>
      <c r="B56" t="s">
        <v>58</v>
      </c>
      <c r="C56" t="s">
        <v>59</v>
      </c>
      <c r="D56" t="s">
        <v>60</v>
      </c>
      <c r="E56" t="s">
        <v>25</v>
      </c>
      <c r="F56">
        <v>742</v>
      </c>
      <c r="G56" s="3">
        <v>27111</v>
      </c>
      <c r="H56" s="5" cm="1">
        <f t="array" ref="H56">IFERROR(_xlfn.IFS(A56=$F$517,G56/$G$517,A56=$F$518,G56/$G$518,A56=$F$519,G56/$G$519,A56=$F$520,G56/$G$520,A56=$F$521,G56/$G$521,A56=$F$522,G56/$G$522,A56=$F$523,G56/$G$523,A56=$F$524,G56/$G$524),"")</f>
        <v>5.5833836886813495E-4</v>
      </c>
      <c r="I56" s="3" cm="1">
        <f t="array" ref="I56">IFERROR(_xlfn.IFS(A56=$M$3,H56*$S$3,A56=$M$4,H56*$S$4,A56=$M$5,H56*$S$5,A56=$M$6,H56*$S$6,A56=$M$7,H56*$S$7,A56=$M$8,H56*$S$8,A56=$M$9,H56*$S$9,A56=$M$10,H56*$S$10),"")</f>
        <v>921546.97571084951</v>
      </c>
      <c r="J56" s="3">
        <f t="shared" si="0"/>
        <v>948657.97571084951</v>
      </c>
      <c r="K56" s="3" t="str">
        <f>IFERROR(VLOOKUP(E56,'GASB Match'!$A$2:$C$58,3,FALSE),"")</f>
        <v>0200030</v>
      </c>
    </row>
    <row r="57" spans="1:11" x14ac:dyDescent="0.2">
      <c r="A57">
        <v>2016</v>
      </c>
      <c r="B57" t="s">
        <v>58</v>
      </c>
      <c r="C57" t="s">
        <v>59</v>
      </c>
      <c r="D57" t="s">
        <v>60</v>
      </c>
      <c r="E57" t="s">
        <v>25</v>
      </c>
      <c r="F57">
        <v>742</v>
      </c>
      <c r="G57" s="3">
        <v>18408</v>
      </c>
      <c r="H57" s="5" cm="1">
        <f t="array" ref="H57">IFERROR(_xlfn.IFS(A57=$F$517,G57/$G$517,A57=$F$518,G57/$G$518,A57=$F$519,G57/$G$519,A57=$F$520,G57/$G$520,A57=$F$521,G57/$G$521,A57=$F$522,G57/$G$522,A57=$F$523,G57/$G$523,A57=$F$524,G57/$G$524),"")</f>
        <v>5.3965782914429611E-4</v>
      </c>
      <c r="I57" s="3" cm="1">
        <f t="array" ref="I57">IFERROR(_xlfn.IFS(A57=$M$3,H57*$S$3,A57=$M$4,H57*$S$4,A57=$M$5,H57*$S$5,A57=$M$6,H57*$S$6,A57=$M$7,H57*$S$7,A57=$M$8,H57*$S$8,A57=$M$9,H57*$S$9,A57=$M$10,H57*$S$10),"")</f>
        <v>48546.244340987876</v>
      </c>
      <c r="J57" s="3">
        <f t="shared" si="0"/>
        <v>66954.244340987876</v>
      </c>
      <c r="K57" s="3" t="str">
        <f>IFERROR(VLOOKUP(E57,'GASB Match'!$A$2:$C$58,3,FALSE),"")</f>
        <v>0200030</v>
      </c>
    </row>
    <row r="58" spans="1:11" x14ac:dyDescent="0.2">
      <c r="A58">
        <v>2017</v>
      </c>
      <c r="B58" t="s">
        <v>58</v>
      </c>
      <c r="C58" t="s">
        <v>59</v>
      </c>
      <c r="D58" t="s">
        <v>60</v>
      </c>
      <c r="E58" t="s">
        <v>25</v>
      </c>
      <c r="F58">
        <v>742</v>
      </c>
      <c r="G58" s="3">
        <v>20636</v>
      </c>
      <c r="H58" s="5" cm="1">
        <f t="array" ref="H58">IFERROR(_xlfn.IFS(A58=$F$517,G58/$G$517,A58=$F$518,G58/$G$518,A58=$F$519,G58/$G$519,A58=$F$520,G58/$G$520,A58=$F$521,G58/$G$521,A58=$F$522,G58/$G$522,A58=$F$523,G58/$G$523,A58=$F$524,G58/$G$524),"")</f>
        <v>5.5245086758559051E-4</v>
      </c>
      <c r="I58" s="3" cm="1">
        <f t="array" ref="I58">IFERROR(_xlfn.IFS(A58=$M$3,H58*$S$3,A58=$M$4,H58*$S$4,A58=$M$5,H58*$S$5,A58=$M$6,H58*$S$6,A58=$M$7,H58*$S$7,A58=$M$8,H58*$S$8,A58=$M$9,H58*$S$9,A58=$M$10,H58*$S$10),"")</f>
        <v>64073.383105883273</v>
      </c>
      <c r="J58" s="3">
        <f t="shared" si="0"/>
        <v>84709.383105883273</v>
      </c>
      <c r="K58" s="3" t="str">
        <f>IFERROR(VLOOKUP(E58,'GASB Match'!$A$2:$C$58,3,FALSE),"")</f>
        <v>0200030</v>
      </c>
    </row>
    <row r="59" spans="1:11" x14ac:dyDescent="0.2">
      <c r="A59">
        <v>2018</v>
      </c>
      <c r="B59" t="s">
        <v>58</v>
      </c>
      <c r="C59" t="s">
        <v>59</v>
      </c>
      <c r="D59" t="s">
        <v>60</v>
      </c>
      <c r="E59" t="s">
        <v>25</v>
      </c>
      <c r="F59">
        <v>742</v>
      </c>
      <c r="G59" s="3">
        <v>30208</v>
      </c>
      <c r="H59" s="5" cm="1">
        <f t="array" ref="H59">IFERROR(_xlfn.IFS(A59=$F$517,G59/$G$517,A59=$F$518,G59/$G$518,A59=$F$519,G59/$G$519,A59=$F$520,G59/$G$520,A59=$F$521,G59/$G$521,A59=$F$522,G59/$G$522,A59=$F$523,G59/$G$523,A59=$F$524,G59/$G$524),"")</f>
        <v>7.4495177295464028E-4</v>
      </c>
      <c r="I59" s="3" cm="1">
        <f t="array" ref="I59">IFERROR(_xlfn.IFS(A59=$M$3,H59*$S$3,A59=$M$4,H59*$S$4,A59=$M$5,H59*$S$5,A59=$M$6,H59*$S$6,A59=$M$7,H59*$S$7,A59=$M$8,H59*$S$8,A59=$M$9,H59*$S$9,A59=$M$10,H59*$S$10),"")</f>
        <v>82721.129204841913</v>
      </c>
      <c r="J59" s="3">
        <f t="shared" si="0"/>
        <v>112929.12920484191</v>
      </c>
      <c r="K59" s="3" t="str">
        <f>IFERROR(VLOOKUP(E59,'GASB Match'!$A$2:$C$58,3,FALSE),"")</f>
        <v>0200030</v>
      </c>
    </row>
    <row r="60" spans="1:11" x14ac:dyDescent="0.2">
      <c r="A60">
        <v>2019</v>
      </c>
      <c r="B60" t="s">
        <v>58</v>
      </c>
      <c r="C60" t="s">
        <v>59</v>
      </c>
      <c r="D60" t="s">
        <v>60</v>
      </c>
      <c r="E60" t="s">
        <v>25</v>
      </c>
      <c r="F60">
        <v>742</v>
      </c>
      <c r="G60" s="3">
        <v>26751</v>
      </c>
      <c r="H60" s="5" cm="1">
        <f t="array" ref="H60">IFERROR(_xlfn.IFS(A60=$F$517,G60/$G$517,A60=$F$518,G60/$G$518,A60=$F$519,G60/$G$519,A60=$F$520,G60/$G$520,A60=$F$521,G60/$G$521,A60=$F$522,G60/$G$522,A60=$F$523,G60/$G$523,A60=$F$524,G60/$G$524),"")</f>
        <v>7.268264860777312E-4</v>
      </c>
      <c r="I60" s="3" cm="1">
        <f t="array" ref="I60">IFERROR(_xlfn.IFS(A60=$M$3,H60*$S$3,A60=$M$4,H60*$S$4,A60=$M$5,H60*$S$5,A60=$M$6,H60*$S$6,A60=$M$7,H60*$S$7,A60=$M$8,H60*$S$8,A60=$M$9,H60*$S$9,A60=$M$10,H60*$S$10),"")</f>
        <v>92572.082414586548</v>
      </c>
      <c r="J60" s="3">
        <f t="shared" si="0"/>
        <v>119323.08241458655</v>
      </c>
      <c r="K60" s="3" t="str">
        <f>IFERROR(VLOOKUP(E60,'GASB Match'!$A$2:$C$58,3,FALSE),"")</f>
        <v>0200030</v>
      </c>
    </row>
    <row r="61" spans="1:11" x14ac:dyDescent="0.2">
      <c r="A61">
        <v>2020</v>
      </c>
      <c r="B61" t="s">
        <v>58</v>
      </c>
      <c r="C61" t="s">
        <v>59</v>
      </c>
      <c r="D61" t="s">
        <v>60</v>
      </c>
      <c r="E61" t="s">
        <v>25</v>
      </c>
      <c r="F61">
        <v>742</v>
      </c>
      <c r="G61" s="3">
        <v>40405</v>
      </c>
      <c r="H61" s="5" cm="1">
        <f t="array" ref="H61">IFERROR(_xlfn.IFS(A61=$F$517,G61/$G$517,A61=$F$518,G61/$G$518,A61=$F$519,G61/$G$519,A61=$F$520,G61/$G$520,A61=$F$521,G61/$G$521,A61=$F$522,G61/$G$522,A61=$F$523,G61/$G$523,A61=$F$524,G61/$G$524),"")</f>
        <v>1.1843961631485562E-3</v>
      </c>
      <c r="I61" s="3" cm="1">
        <f t="array" ref="I61">IFERROR(_xlfn.IFS(A61=$M$3,H61*$S$3,A61=$M$4,H61*$S$4,A61=$M$5,H61*$S$5,A61=$M$6,H61*$S$6,A61=$M$7,H61*$S$7,A61=$M$8,H61*$S$8,A61=$M$9,H61*$S$9,A61=$M$10,H61*$S$10),"")</f>
        <v>166074.98180608617</v>
      </c>
      <c r="J61" s="3">
        <f t="shared" si="0"/>
        <v>206479.98180608617</v>
      </c>
      <c r="K61" s="3" t="str">
        <f>IFERROR(VLOOKUP(E61,'GASB Match'!$A$2:$C$58,3,FALSE),"")</f>
        <v>0200030</v>
      </c>
    </row>
    <row r="62" spans="1:11" x14ac:dyDescent="0.2">
      <c r="A62">
        <v>2021</v>
      </c>
      <c r="B62" t="s">
        <v>58</v>
      </c>
      <c r="C62" t="s">
        <v>59</v>
      </c>
      <c r="D62" t="s">
        <v>60</v>
      </c>
      <c r="E62" t="s">
        <v>25</v>
      </c>
      <c r="F62">
        <v>742</v>
      </c>
      <c r="G62" s="3">
        <v>25403</v>
      </c>
      <c r="H62" s="5" cm="1">
        <f t="array" ref="H62">IFERROR(_xlfn.IFS(A62=$F$517,G62/$G$517,A62=$F$518,G62/$G$518,A62=$F$519,G62/$G$519,A62=$F$520,G62/$G$520,A62=$F$521,G62/$G$521,A62=$F$522,G62/$G$522,A62=$F$523,G62/$G$523,A62=$F$524,G62/$G$524),"")</f>
        <v>8.6594518771150727E-4</v>
      </c>
      <c r="I62" s="3" cm="1">
        <f t="array" ref="I62">IFERROR(_xlfn.IFS(A62=$M$3,H62*$S$3,A62=$M$4,H62*$S$4,A62=$M$5,H62*$S$5,A62=$M$6,H62*$S$6,A62=$M$7,H62*$S$7,A62=$M$8,H62*$S$8,A62=$M$9,H62*$S$9,A62=$M$10,H62*$S$10),"")</f>
        <v>116097.26871864621</v>
      </c>
      <c r="J62" s="3">
        <f t="shared" si="0"/>
        <v>141500.2687186462</v>
      </c>
      <c r="K62" s="3" t="str">
        <f>IFERROR(VLOOKUP(E62,'GASB Match'!$A$2:$C$58,3,FALSE),"")</f>
        <v>0200030</v>
      </c>
    </row>
    <row r="63" spans="1:11" x14ac:dyDescent="0.2">
      <c r="A63">
        <v>2022</v>
      </c>
      <c r="B63" t="s">
        <v>58</v>
      </c>
      <c r="C63" t="s">
        <v>59</v>
      </c>
      <c r="D63" t="s">
        <v>60</v>
      </c>
      <c r="E63" t="s">
        <v>25</v>
      </c>
      <c r="F63">
        <v>742</v>
      </c>
      <c r="G63" s="3">
        <v>33915</v>
      </c>
      <c r="H63" s="5" cm="1">
        <f t="array" ref="H63">IFERROR(_xlfn.IFS(A63=$F$517,G63/$G$517,A63=$F$518,G63/$G$518,A63=$F$519,G63/$G$519,A63=$F$520,G63/$G$520,A63=$F$521,G63/$G$521,A63=$F$522,G63/$G$522,A63=$F$523,G63/$G$523,A63=$F$524,G63/$G$524),"")</f>
        <v>1.104460323040397E-3</v>
      </c>
      <c r="I63" s="3" cm="1">
        <f t="array" ref="I63">IFERROR(_xlfn.IFS(A63=$M$3,H63*$S$3,A63=$M$4,H63*$S$4,A63=$M$5,H63*$S$5,A63=$M$6,H63*$S$6,A63=$M$7,H63*$S$7,A63=$M$8,H63*$S$8,A63=$M$9,H63*$S$9,A63=$M$10,H63*$S$10),"")</f>
        <v>156545.53246694882</v>
      </c>
      <c r="J63" s="3">
        <f t="shared" si="0"/>
        <v>190460.53246694882</v>
      </c>
      <c r="K63" s="3" t="str">
        <f>IFERROR(VLOOKUP(E63,'GASB Match'!$A$2:$C$58,3,FALSE),"")</f>
        <v>0200030</v>
      </c>
    </row>
    <row r="64" spans="1:11" x14ac:dyDescent="0.2">
      <c r="A64">
        <v>2023</v>
      </c>
      <c r="B64" t="s">
        <v>58</v>
      </c>
      <c r="C64" t="s">
        <v>59</v>
      </c>
      <c r="D64" t="s">
        <v>60</v>
      </c>
      <c r="E64" t="s">
        <v>25</v>
      </c>
      <c r="F64">
        <v>742</v>
      </c>
      <c r="G64" s="3">
        <v>42943</v>
      </c>
      <c r="H64" s="5" t="str" cm="1">
        <f t="array" ref="H64">IFERROR(_xlfn.IFS(A64=$F$517,G64/$G$517,A64=$F$518,G64/$G$518,A64=$F$519,G64/$G$519,A64=$F$520,G64/$G$520,A64=$F$521,G64/$G$521,A64=$F$522,G64/$G$522,A64=$F$523,G64/$G$523,A64=$F$524,G64/$G$524),"")</f>
        <v/>
      </c>
      <c r="I64" s="3" t="str" cm="1">
        <f t="array" ref="I64">IFERROR(_xlfn.IFS(A64=$M$3,H64*$S$3,A64=$M$4,H64*$S$4,A64=$M$5,H64*$S$5,A64=$M$6,H64*$S$6,A64=$M$7,H64*$S$7,A64=$M$8,H64*$S$8,A64=$M$9,H64*$S$9,A64=$M$10,H64*$S$10),"")</f>
        <v/>
      </c>
      <c r="J64" s="3">
        <f t="shared" si="0"/>
        <v>42943</v>
      </c>
      <c r="K64" s="3" t="str">
        <f>IFERROR(VLOOKUP(E64,'GASB Match'!$A$2:$C$58,3,FALSE),"")</f>
        <v>0200030</v>
      </c>
    </row>
    <row r="65" spans="1:11" x14ac:dyDescent="0.2">
      <c r="A65">
        <v>2015</v>
      </c>
      <c r="B65" t="s">
        <v>58</v>
      </c>
      <c r="C65" t="s">
        <v>59</v>
      </c>
      <c r="D65" t="s">
        <v>60</v>
      </c>
      <c r="E65" t="s">
        <v>45</v>
      </c>
      <c r="F65">
        <v>768</v>
      </c>
      <c r="G65" s="3">
        <v>48982</v>
      </c>
      <c r="H65" s="5" cm="1">
        <f t="array" ref="H65">IFERROR(_xlfn.IFS(A65=$F$517,G65/$G$517,A65=$F$518,G65/$G$518,A65=$F$519,G65/$G$519,A65=$F$520,G65/$G$520,A65=$F$521,G65/$G$521,A65=$F$522,G65/$G$522,A65=$F$523,G65/$G$523,A65=$F$524,G65/$G$524),"")</f>
        <v>1.0087613877724536E-3</v>
      </c>
      <c r="I65" s="3" cm="1">
        <f t="array" ref="I65">IFERROR(_xlfn.IFS(A65=$M$3,H65*$S$3,A65=$M$4,H65*$S$4,A65=$M$5,H65*$S$5,A65=$M$6,H65*$S$6,A65=$M$7,H65*$S$7,A65=$M$8,H65*$S$8,A65=$M$9,H65*$S$9,A65=$M$10,H65*$S$10),"")</f>
        <v>1664977.8305584022</v>
      </c>
      <c r="J65" s="3">
        <f t="shared" si="0"/>
        <v>1713959.8305584022</v>
      </c>
      <c r="K65" s="3" t="str">
        <f>IFERROR(VLOOKUP(E65,'GASB Match'!$A$2:$C$58,3,FALSE),"")</f>
        <v>0200730</v>
      </c>
    </row>
    <row r="66" spans="1:11" x14ac:dyDescent="0.2">
      <c r="A66">
        <v>2016</v>
      </c>
      <c r="B66" t="s">
        <v>58</v>
      </c>
      <c r="C66" t="s">
        <v>59</v>
      </c>
      <c r="D66" t="s">
        <v>60</v>
      </c>
      <c r="E66" t="s">
        <v>45</v>
      </c>
      <c r="F66">
        <v>768</v>
      </c>
      <c r="G66" s="3">
        <v>47879</v>
      </c>
      <c r="H66" s="5" cm="1">
        <f t="array" ref="H66">IFERROR(_xlfn.IFS(A66=$F$517,G66/$G$517,A66=$F$518,G66/$G$518,A66=$F$519,G66/$G$519,A66=$F$520,G66/$G$520,A66=$F$521,G66/$G$521,A66=$F$522,G66/$G$522,A66=$F$523,G66/$G$523,A66=$F$524,G66/$G$524),"")</f>
        <v>1.4036439157757363E-3</v>
      </c>
      <c r="I66" s="3" cm="1">
        <f t="array" ref="I66">IFERROR(_xlfn.IFS(A66=$M$3,H66*$S$3,A66=$M$4,H66*$S$4,A66=$M$5,H66*$S$5,A66=$M$6,H66*$S$6,A66=$M$7,H66*$S$7,A66=$M$8,H66*$S$8,A66=$M$9,H66*$S$9,A66=$M$10,H66*$S$10),"")</f>
        <v>126268.23298577567</v>
      </c>
      <c r="J66" s="3">
        <f t="shared" si="0"/>
        <v>174147.23298577568</v>
      </c>
      <c r="K66" s="3" t="str">
        <f>IFERROR(VLOOKUP(E66,'GASB Match'!$A$2:$C$58,3,FALSE),"")</f>
        <v>0200730</v>
      </c>
    </row>
    <row r="67" spans="1:11" x14ac:dyDescent="0.2">
      <c r="A67">
        <v>2017</v>
      </c>
      <c r="B67" t="s">
        <v>58</v>
      </c>
      <c r="C67" t="s">
        <v>59</v>
      </c>
      <c r="D67" t="s">
        <v>60</v>
      </c>
      <c r="E67" t="s">
        <v>45</v>
      </c>
      <c r="F67">
        <v>768</v>
      </c>
      <c r="G67" s="3">
        <v>42348</v>
      </c>
      <c r="H67" s="5" cm="1">
        <f t="array" ref="H67">IFERROR(_xlfn.IFS(A67=$F$517,G67/$G$517,A67=$F$518,G67/$G$518,A67=$F$519,G67/$G$519,A67=$F$520,G67/$G$520,A67=$F$521,G67/$G$521,A67=$F$522,G67/$G$522,A67=$F$523,G67/$G$523,A67=$F$524,G67/$G$524),"")</f>
        <v>1.1337075664137714E-3</v>
      </c>
      <c r="I67" s="3" cm="1">
        <f t="array" ref="I67">IFERROR(_xlfn.IFS(A67=$M$3,H67*$S$3,A67=$M$4,H67*$S$4,A67=$M$5,H67*$S$5,A67=$M$6,H67*$S$6,A67=$M$7,H67*$S$7,A67=$M$8,H67*$S$8,A67=$M$9,H67*$S$9,A67=$M$10,H67*$S$10),"")</f>
        <v>131487.67337507001</v>
      </c>
      <c r="J67" s="3">
        <f t="shared" ref="J67:J130" si="1">SUM(G67,I67)</f>
        <v>173835.67337507001</v>
      </c>
      <c r="K67" s="3" t="str">
        <f>IFERROR(VLOOKUP(E67,'GASB Match'!$A$2:$C$58,3,FALSE),"")</f>
        <v>0200730</v>
      </c>
    </row>
    <row r="68" spans="1:11" x14ac:dyDescent="0.2">
      <c r="A68">
        <v>2018</v>
      </c>
      <c r="B68" t="s">
        <v>58</v>
      </c>
      <c r="C68" t="s">
        <v>59</v>
      </c>
      <c r="D68" t="s">
        <v>60</v>
      </c>
      <c r="E68" t="s">
        <v>45</v>
      </c>
      <c r="F68">
        <v>768</v>
      </c>
      <c r="G68" s="3">
        <v>62597</v>
      </c>
      <c r="H68" s="5" cm="1">
        <f t="array" ref="H68">IFERROR(_xlfn.IFS(A68=$F$517,G68/$G$517,A68=$F$518,G68/$G$518,A68=$F$519,G68/$G$519,A68=$F$520,G68/$G$520,A68=$F$521,G68/$G$521,A68=$F$522,G68/$G$522,A68=$F$523,G68/$G$523,A68=$F$524,G68/$G$524),"")</f>
        <v>1.5436886298875005E-3</v>
      </c>
      <c r="I68" s="3" cm="1">
        <f t="array" ref="I68">IFERROR(_xlfn.IFS(A68=$M$3,H68*$S$3,A68=$M$4,H68*$S$4,A68=$M$5,H68*$S$5,A68=$M$6,H68*$S$6,A68=$M$7,H68*$S$7,A68=$M$8,H68*$S$8,A68=$M$9,H68*$S$9,A68=$M$10,H68*$S$10),"")</f>
        <v>171414.67574270023</v>
      </c>
      <c r="J68" s="3">
        <f t="shared" si="1"/>
        <v>234011.67574270023</v>
      </c>
      <c r="K68" s="3" t="str">
        <f>IFERROR(VLOOKUP(E68,'GASB Match'!$A$2:$C$58,3,FALSE),"")</f>
        <v>0200730</v>
      </c>
    </row>
    <row r="69" spans="1:11" x14ac:dyDescent="0.2">
      <c r="A69">
        <v>2019</v>
      </c>
      <c r="B69" t="s">
        <v>58</v>
      </c>
      <c r="C69" t="s">
        <v>59</v>
      </c>
      <c r="D69" t="s">
        <v>60</v>
      </c>
      <c r="E69" t="s">
        <v>45</v>
      </c>
      <c r="F69">
        <v>768</v>
      </c>
      <c r="G69" s="3">
        <v>16403</v>
      </c>
      <c r="H69" s="5" cm="1">
        <f t="array" ref="H69">IFERROR(_xlfn.IFS(A69=$F$517,G69/$G$517,A69=$F$518,G69/$G$518,A69=$F$519,G69/$G$519,A69=$F$520,G69/$G$520,A69=$F$521,G69/$G$521,A69=$F$522,G69/$G$522,A69=$F$523,G69/$G$523,A69=$F$524,G69/$G$524),"")</f>
        <v>4.4567062357044686E-4</v>
      </c>
      <c r="I69" s="3" cm="1">
        <f t="array" ref="I69">IFERROR(_xlfn.IFS(A69=$M$3,H69*$S$3,A69=$M$4,H69*$S$4,A69=$M$5,H69*$S$5,A69=$M$6,H69*$S$6,A69=$M$7,H69*$S$7,A69=$M$8,H69*$S$8,A69=$M$9,H69*$S$9,A69=$M$10,H69*$S$10),"")</f>
        <v>56762.732901441552</v>
      </c>
      <c r="J69" s="3">
        <f t="shared" si="1"/>
        <v>73165.732901441545</v>
      </c>
      <c r="K69" s="3" t="str">
        <f>IFERROR(VLOOKUP(E69,'GASB Match'!$A$2:$C$58,3,FALSE),"")</f>
        <v>0200730</v>
      </c>
    </row>
    <row r="70" spans="1:11" x14ac:dyDescent="0.2">
      <c r="A70">
        <v>2020</v>
      </c>
      <c r="B70" t="s">
        <v>58</v>
      </c>
      <c r="C70" t="s">
        <v>59</v>
      </c>
      <c r="D70" t="s">
        <v>60</v>
      </c>
      <c r="E70" t="s">
        <v>45</v>
      </c>
      <c r="F70">
        <v>768</v>
      </c>
      <c r="G70" s="3">
        <v>39969</v>
      </c>
      <c r="H70" s="5" cm="1">
        <f t="array" ref="H70">IFERROR(_xlfn.IFS(A70=$F$517,G70/$G$517,A70=$F$518,G70/$G$518,A70=$F$519,G70/$G$519,A70=$F$520,G70/$G$520,A70=$F$521,G70/$G$521,A70=$F$522,G70/$G$522,A70=$F$523,G70/$G$523,A70=$F$524,G70/$G$524),"")</f>
        <v>1.1716156476892622E-3</v>
      </c>
      <c r="I70" s="3" cm="1">
        <f t="array" ref="I70">IFERROR(_xlfn.IFS(A70=$M$3,H70*$S$3,A70=$M$4,H70*$S$4,A70=$M$5,H70*$S$5,A70=$M$6,H70*$S$6,A70=$M$7,H70*$S$7,A70=$M$8,H70*$S$8,A70=$M$9,H70*$S$9,A70=$M$10,H70*$S$10),"")</f>
        <v>164282.90923914014</v>
      </c>
      <c r="J70" s="3">
        <f t="shared" si="1"/>
        <v>204251.90923914014</v>
      </c>
      <c r="K70" s="3" t="str">
        <f>IFERROR(VLOOKUP(E70,'GASB Match'!$A$2:$C$58,3,FALSE),"")</f>
        <v>0200730</v>
      </c>
    </row>
    <row r="71" spans="1:11" x14ac:dyDescent="0.2">
      <c r="A71">
        <v>2021</v>
      </c>
      <c r="B71" t="s">
        <v>58</v>
      </c>
      <c r="C71" t="s">
        <v>59</v>
      </c>
      <c r="D71" t="s">
        <v>60</v>
      </c>
      <c r="E71" t="s">
        <v>45</v>
      </c>
      <c r="F71">
        <v>768</v>
      </c>
      <c r="G71" s="3">
        <v>32386</v>
      </c>
      <c r="H71" s="5" cm="1">
        <f t="array" ref="H71">IFERROR(_xlfn.IFS(A71=$F$517,G71/$G$517,A71=$F$518,G71/$G$518,A71=$F$519,G71/$G$519,A71=$F$520,G71/$G$520,A71=$F$521,G71/$G$521,A71=$F$522,G71/$G$522,A71=$F$523,G71/$G$523,A71=$F$524,G71/$G$524),"")</f>
        <v>1.1039838148732383E-3</v>
      </c>
      <c r="I71" s="3" cm="1">
        <f t="array" ref="I71">IFERROR(_xlfn.IFS(A71=$M$3,H71*$S$3,A71=$M$4,H71*$S$4,A71=$M$5,H71*$S$5,A71=$M$6,H71*$S$6,A71=$M$7,H71*$S$7,A71=$M$8,H71*$S$8,A71=$M$9,H71*$S$9,A71=$M$10,H71*$S$10),"")</f>
        <v>148011.10674810363</v>
      </c>
      <c r="J71" s="3">
        <f t="shared" si="1"/>
        <v>180397.10674810363</v>
      </c>
      <c r="K71" s="3" t="str">
        <f>IFERROR(VLOOKUP(E71,'GASB Match'!$A$2:$C$58,3,FALSE),"")</f>
        <v>0200730</v>
      </c>
    </row>
    <row r="72" spans="1:11" x14ac:dyDescent="0.2">
      <c r="A72">
        <v>2022</v>
      </c>
      <c r="B72" t="s">
        <v>58</v>
      </c>
      <c r="C72" t="s">
        <v>59</v>
      </c>
      <c r="D72" t="s">
        <v>60</v>
      </c>
      <c r="E72" t="s">
        <v>45</v>
      </c>
      <c r="F72">
        <v>768</v>
      </c>
      <c r="G72" s="3">
        <v>48630</v>
      </c>
      <c r="H72" s="5" cm="1">
        <f t="array" ref="H72">IFERROR(_xlfn.IFS(A72=$F$517,G72/$G$517,A72=$F$518,G72/$G$518,A72=$F$519,G72/$G$519,A72=$F$520,G72/$G$520,A72=$F$521,G72/$G$521,A72=$F$522,G72/$G$522,A72=$F$523,G72/$G$523,A72=$F$524,G72/$G$524),"")</f>
        <v>1.5836622588664164E-3</v>
      </c>
      <c r="I72" s="3" cm="1">
        <f t="array" ref="I72">IFERROR(_xlfn.IFS(A72=$M$3,H72*$S$3,A72=$M$4,H72*$S$4,A72=$M$5,H72*$S$5,A72=$M$6,H72*$S$6,A72=$M$7,H72*$S$7,A72=$M$8,H72*$S$8,A72=$M$9,H72*$S$9,A72=$M$10,H72*$S$10),"")</f>
        <v>224467.32253774794</v>
      </c>
      <c r="J72" s="3">
        <f t="shared" si="1"/>
        <v>273097.32253774791</v>
      </c>
      <c r="K72" s="3" t="str">
        <f>IFERROR(VLOOKUP(E72,'GASB Match'!$A$2:$C$58,3,FALSE),"")</f>
        <v>0200730</v>
      </c>
    </row>
    <row r="73" spans="1:11" x14ac:dyDescent="0.2">
      <c r="A73">
        <v>2023</v>
      </c>
      <c r="B73" t="s">
        <v>58</v>
      </c>
      <c r="C73" t="s">
        <v>59</v>
      </c>
      <c r="D73" t="s">
        <v>60</v>
      </c>
      <c r="E73" t="s">
        <v>45</v>
      </c>
      <c r="F73">
        <v>768</v>
      </c>
      <c r="G73" s="3">
        <v>60954</v>
      </c>
      <c r="H73" s="5" t="str" cm="1">
        <f t="array" ref="H73">IFERROR(_xlfn.IFS(A73=$F$517,G73/$G$517,A73=$F$518,G73/$G$518,A73=$F$519,G73/$G$519,A73=$F$520,G73/$G$520,A73=$F$521,G73/$G$521,A73=$F$522,G73/$G$522,A73=$F$523,G73/$G$523,A73=$F$524,G73/$G$524),"")</f>
        <v/>
      </c>
      <c r="I73" s="3" t="str" cm="1">
        <f t="array" ref="I73">IFERROR(_xlfn.IFS(A73=$M$3,H73*$S$3,A73=$M$4,H73*$S$4,A73=$M$5,H73*$S$5,A73=$M$6,H73*$S$6,A73=$M$7,H73*$S$7,A73=$M$8,H73*$S$8,A73=$M$9,H73*$S$9,A73=$M$10,H73*$S$10),"")</f>
        <v/>
      </c>
      <c r="J73" s="3">
        <f t="shared" si="1"/>
        <v>60954</v>
      </c>
      <c r="K73" s="3" t="str">
        <f>IFERROR(VLOOKUP(E73,'GASB Match'!$A$2:$C$58,3,FALSE),"")</f>
        <v>0200730</v>
      </c>
    </row>
    <row r="74" spans="1:11" x14ac:dyDescent="0.2">
      <c r="A74">
        <v>2015</v>
      </c>
      <c r="B74" t="s">
        <v>58</v>
      </c>
      <c r="C74" t="s">
        <v>59</v>
      </c>
      <c r="D74" t="s">
        <v>60</v>
      </c>
      <c r="E74" t="s">
        <v>48</v>
      </c>
      <c r="F74">
        <v>771</v>
      </c>
      <c r="G74" s="3">
        <v>75165</v>
      </c>
      <c r="H74" s="5" cm="1">
        <f t="array" ref="H74">IFERROR(_xlfn.IFS(A74=$F$517,G74/$G$517,A74=$F$518,G74/$G$518,A74=$F$519,G74/$G$519,A74=$F$520,G74/$G$520,A74=$F$521,G74/$G$521,A74=$F$522,G74/$G$522,A74=$F$523,G74/$G$523,A74=$F$524,G74/$G$524),"")</f>
        <v>1.5479880305401263E-3</v>
      </c>
      <c r="I74" s="3" cm="1">
        <f t="array" ref="I74">IFERROR(_xlfn.IFS(A74=$M$3,H74*$S$3,A74=$M$4,H74*$S$4,A74=$M$5,H74*$S$5,A74=$M$6,H74*$S$6,A74=$M$7,H74*$S$7,A74=$M$8,H74*$S$8,A74=$M$9,H74*$S$9,A74=$M$10,H74*$S$10),"")</f>
        <v>2554980.5772308661</v>
      </c>
      <c r="J74" s="3">
        <f t="shared" si="1"/>
        <v>2630145.5772308661</v>
      </c>
      <c r="K74" s="3" t="str">
        <f>IFERROR(VLOOKUP(E74,'GASB Match'!$A$2:$C$58,3,FALSE),"")</f>
        <v>0200800</v>
      </c>
    </row>
    <row r="75" spans="1:11" x14ac:dyDescent="0.2">
      <c r="A75">
        <v>2016</v>
      </c>
      <c r="B75" t="s">
        <v>58</v>
      </c>
      <c r="C75" t="s">
        <v>59</v>
      </c>
      <c r="D75" t="s">
        <v>60</v>
      </c>
      <c r="E75" t="s">
        <v>48</v>
      </c>
      <c r="F75">
        <v>771</v>
      </c>
      <c r="G75" s="3">
        <v>74675</v>
      </c>
      <c r="H75" s="5" cm="1">
        <f t="array" ref="H75">IFERROR(_xlfn.IFS(A75=$F$517,G75/$G$517,A75=$F$518,G75/$G$518,A75=$F$519,G75/$G$519,A75=$F$520,G75/$G$520,A75=$F$521,G75/$G$521,A75=$F$522,G75/$G$522,A75=$F$523,G75/$G$523,A75=$F$524,G75/$G$524),"")</f>
        <v>2.1892084089173355E-3</v>
      </c>
      <c r="I75" s="3" cm="1">
        <f t="array" ref="I75">IFERROR(_xlfn.IFS(A75=$M$3,H75*$S$3,A75=$M$4,H75*$S$4,A75=$M$5,H75*$S$5,A75=$M$6,H75*$S$6,A75=$M$7,H75*$S$7,A75=$M$8,H75*$S$8,A75=$M$9,H75*$S$9,A75=$M$10,H75*$S$10),"")</f>
        <v>196935.61474159441</v>
      </c>
      <c r="J75" s="3">
        <f t="shared" si="1"/>
        <v>271610.61474159441</v>
      </c>
      <c r="K75" s="3" t="str">
        <f>IFERROR(VLOOKUP(E75,'GASB Match'!$A$2:$C$58,3,FALSE),"")</f>
        <v>0200800</v>
      </c>
    </row>
    <row r="76" spans="1:11" x14ac:dyDescent="0.2">
      <c r="A76">
        <v>2017</v>
      </c>
      <c r="B76" t="s">
        <v>58</v>
      </c>
      <c r="C76" t="s">
        <v>59</v>
      </c>
      <c r="D76" t="s">
        <v>60</v>
      </c>
      <c r="E76" t="s">
        <v>48</v>
      </c>
      <c r="F76">
        <v>771</v>
      </c>
      <c r="G76" s="3">
        <v>85760</v>
      </c>
      <c r="H76" s="5" cm="1">
        <f t="array" ref="H76">IFERROR(_xlfn.IFS(A76=$F$517,G76/$G$517,A76=$F$518,G76/$G$518,A76=$F$519,G76/$G$519,A76=$F$520,G76/$G$520,A76=$F$521,G76/$G$521,A76=$F$522,G76/$G$522,A76=$F$523,G76/$G$523,A76=$F$524,G76/$G$524),"")</f>
        <v>2.2958997094466101E-3</v>
      </c>
      <c r="I76" s="3" cm="1">
        <f t="array" ref="I76">IFERROR(_xlfn.IFS(A76=$M$3,H76*$S$3,A76=$M$4,H76*$S$4,A76=$M$5,H76*$S$5,A76=$M$6,H76*$S$6,A76=$M$7,H76*$S$7,A76=$M$8,H76*$S$8,A76=$M$9,H76*$S$9,A76=$M$10,H76*$S$10),"")</f>
        <v>266278.99472574866</v>
      </c>
      <c r="J76" s="3">
        <f t="shared" si="1"/>
        <v>352038.99472574866</v>
      </c>
      <c r="K76" s="3" t="str">
        <f>IFERROR(VLOOKUP(E76,'GASB Match'!$A$2:$C$58,3,FALSE),"")</f>
        <v>0200800</v>
      </c>
    </row>
    <row r="77" spans="1:11" x14ac:dyDescent="0.2">
      <c r="A77">
        <v>2018</v>
      </c>
      <c r="B77" t="s">
        <v>58</v>
      </c>
      <c r="C77" t="s">
        <v>59</v>
      </c>
      <c r="D77" t="s">
        <v>60</v>
      </c>
      <c r="E77" t="s">
        <v>48</v>
      </c>
      <c r="F77">
        <v>771</v>
      </c>
      <c r="G77" s="3">
        <v>90177</v>
      </c>
      <c r="H77" s="5" cm="1">
        <f t="array" ref="H77">IFERROR(_xlfn.IFS(A77=$F$517,G77/$G$517,A77=$F$518,G77/$G$518,A77=$F$519,G77/$G$519,A77=$F$520,G77/$G$520,A77=$F$521,G77/$G$521,A77=$F$522,G77/$G$522,A77=$F$523,G77/$G$523,A77=$F$524,G77/$G$524),"")</f>
        <v>2.223831966026569E-3</v>
      </c>
      <c r="I77" s="3" cm="1">
        <f t="array" ref="I77">IFERROR(_xlfn.IFS(A77=$M$3,H77*$S$3,A77=$M$4,H77*$S$4,A77=$M$5,H77*$S$5,A77=$M$6,H77*$S$6,A77=$M$7,H77*$S$7,A77=$M$8,H77*$S$8,A77=$M$9,H77*$S$9,A77=$M$10,H77*$S$10),"")</f>
        <v>246939.32959166542</v>
      </c>
      <c r="J77" s="3">
        <f t="shared" si="1"/>
        <v>337116.32959166542</v>
      </c>
      <c r="K77" s="3" t="str">
        <f>IFERROR(VLOOKUP(E77,'GASB Match'!$A$2:$C$58,3,FALSE),"")</f>
        <v>0200800</v>
      </c>
    </row>
    <row r="78" spans="1:11" x14ac:dyDescent="0.2">
      <c r="A78">
        <v>2019</v>
      </c>
      <c r="B78" t="s">
        <v>58</v>
      </c>
      <c r="C78" t="s">
        <v>59</v>
      </c>
      <c r="D78" t="s">
        <v>60</v>
      </c>
      <c r="E78" t="s">
        <v>48</v>
      </c>
      <c r="F78">
        <v>771</v>
      </c>
      <c r="G78" s="3">
        <v>92071</v>
      </c>
      <c r="H78" s="5" cm="1">
        <f t="array" ref="H78">IFERROR(_xlfn.IFS(A78=$F$517,G78/$G$517,A78=$F$518,G78/$G$518,A78=$F$519,G78/$G$519,A78=$F$520,G78/$G$520,A78=$F$521,G78/$G$521,A78=$F$522,G78/$G$522,A78=$F$523,G78/$G$523,A78=$F$524,G78/$G$524),"")</f>
        <v>2.5015753205361591E-3</v>
      </c>
      <c r="I78" s="3" cm="1">
        <f t="array" ref="I78">IFERROR(_xlfn.IFS(A78=$M$3,H78*$S$3,A78=$M$4,H78*$S$4,A78=$M$5,H78*$S$5,A78=$M$6,H78*$S$6,A78=$M$7,H78*$S$7,A78=$M$8,H78*$S$8,A78=$M$9,H78*$S$9,A78=$M$10,H78*$S$10),"")</f>
        <v>318612.5453251616</v>
      </c>
      <c r="J78" s="3">
        <f t="shared" si="1"/>
        <v>410683.5453251616</v>
      </c>
      <c r="K78" s="3" t="str">
        <f>IFERROR(VLOOKUP(E78,'GASB Match'!$A$2:$C$58,3,FALSE),"")</f>
        <v>0200800</v>
      </c>
    </row>
    <row r="79" spans="1:11" x14ac:dyDescent="0.2">
      <c r="A79">
        <v>2020</v>
      </c>
      <c r="B79" t="s">
        <v>58</v>
      </c>
      <c r="C79" t="s">
        <v>59</v>
      </c>
      <c r="D79" t="s">
        <v>60</v>
      </c>
      <c r="E79" t="s">
        <v>48</v>
      </c>
      <c r="F79">
        <v>771</v>
      </c>
      <c r="G79" s="3">
        <v>88587</v>
      </c>
      <c r="H79" s="5" cm="1">
        <f t="array" ref="H79">IFERROR(_xlfn.IFS(A79=$F$517,G79/$G$517,A79=$F$518,G79/$G$518,A79=$F$519,G79/$G$519,A79=$F$520,G79/$G$520,A79=$F$521,G79/$G$521,A79=$F$522,G79/$G$522,A79=$F$523,G79/$G$523,A79=$F$524,G79/$G$524),"")</f>
        <v>2.5967603738359397E-3</v>
      </c>
      <c r="I79" s="3" cm="1">
        <f t="array" ref="I79">IFERROR(_xlfn.IFS(A79=$M$3,H79*$S$3,A79=$M$4,H79*$S$4,A79=$M$5,H79*$S$5,A79=$M$6,H79*$S$6,A79=$M$7,H79*$S$7,A79=$M$8,H79*$S$8,A79=$M$9,H79*$S$9,A79=$M$10,H79*$S$10),"")</f>
        <v>364115.44148634461</v>
      </c>
      <c r="J79" s="3">
        <f t="shared" si="1"/>
        <v>452702.44148634461</v>
      </c>
      <c r="K79" s="3" t="str">
        <f>IFERROR(VLOOKUP(E79,'GASB Match'!$A$2:$C$58,3,FALSE),"")</f>
        <v>0200800</v>
      </c>
    </row>
    <row r="80" spans="1:11" x14ac:dyDescent="0.2">
      <c r="A80">
        <v>2021</v>
      </c>
      <c r="B80" t="s">
        <v>58</v>
      </c>
      <c r="C80" t="s">
        <v>59</v>
      </c>
      <c r="D80" t="s">
        <v>60</v>
      </c>
      <c r="E80" t="s">
        <v>48</v>
      </c>
      <c r="F80">
        <v>771</v>
      </c>
      <c r="G80" s="3">
        <v>71896</v>
      </c>
      <c r="H80" s="5" cm="1">
        <f t="array" ref="H80">IFERROR(_xlfn.IFS(A80=$F$517,G80/$G$517,A80=$F$518,G80/$G$518,A80=$F$519,G80/$G$519,A80=$F$520,G80/$G$520,A80=$F$521,G80/$G$521,A80=$F$522,G80/$G$522,A80=$F$523,G80/$G$523,A80=$F$524,G80/$G$524),"")</f>
        <v>2.4508127077788656E-3</v>
      </c>
      <c r="I80" s="3" cm="1">
        <f t="array" ref="I80">IFERROR(_xlfn.IFS(A80=$M$3,H80*$S$3,A80=$M$4,H80*$S$4,A80=$M$5,H80*$S$5,A80=$M$6,H80*$S$6,A80=$M$7,H80*$S$7,A80=$M$8,H80*$S$8,A80=$M$9,H80*$S$9,A80=$M$10,H80*$S$10),"")</f>
        <v>328580.45237947436</v>
      </c>
      <c r="J80" s="3">
        <f t="shared" si="1"/>
        <v>400476.45237947436</v>
      </c>
      <c r="K80" s="3" t="str">
        <f>IFERROR(VLOOKUP(E80,'GASB Match'!$A$2:$C$58,3,FALSE),"")</f>
        <v>0200800</v>
      </c>
    </row>
    <row r="81" spans="1:11" x14ac:dyDescent="0.2">
      <c r="A81">
        <v>2022</v>
      </c>
      <c r="B81" t="s">
        <v>58</v>
      </c>
      <c r="C81" t="s">
        <v>59</v>
      </c>
      <c r="D81" t="s">
        <v>60</v>
      </c>
      <c r="E81" t="s">
        <v>48</v>
      </c>
      <c r="F81">
        <v>771</v>
      </c>
      <c r="G81" s="3">
        <v>63279</v>
      </c>
      <c r="H81" s="5" cm="1">
        <f t="array" ref="H81">IFERROR(_xlfn.IFS(A81=$F$517,G81/$G$517,A81=$F$518,G81/$G$518,A81=$F$519,G81/$G$519,A81=$F$520,G81/$G$520,A81=$F$521,G81/$G$521,A81=$F$522,G81/$G$522,A81=$F$523,G81/$G$523,A81=$F$524,G81/$G$524),"")</f>
        <v>2.0607148689863863E-3</v>
      </c>
      <c r="I81" s="3" cm="1">
        <f t="array" ref="I81">IFERROR(_xlfn.IFS(A81=$M$3,H81*$S$3,A81=$M$4,H81*$S$4,A81=$M$5,H81*$S$5,A81=$M$6,H81*$S$6,A81=$M$7,H81*$S$7,A81=$M$8,H81*$S$8,A81=$M$9,H81*$S$9,A81=$M$10,H81*$S$10),"")</f>
        <v>292084.46849406033</v>
      </c>
      <c r="J81" s="3">
        <f t="shared" si="1"/>
        <v>355363.46849406033</v>
      </c>
      <c r="K81" s="3" t="str">
        <f>IFERROR(VLOOKUP(E81,'GASB Match'!$A$2:$C$58,3,FALSE),"")</f>
        <v>0200800</v>
      </c>
    </row>
    <row r="82" spans="1:11" x14ac:dyDescent="0.2">
      <c r="A82">
        <v>2023</v>
      </c>
      <c r="B82" t="s">
        <v>58</v>
      </c>
      <c r="C82" t="s">
        <v>59</v>
      </c>
      <c r="D82" t="s">
        <v>60</v>
      </c>
      <c r="E82" t="s">
        <v>48</v>
      </c>
      <c r="F82">
        <v>771</v>
      </c>
      <c r="G82" s="3">
        <v>139942</v>
      </c>
      <c r="H82" s="5" t="str" cm="1">
        <f t="array" ref="H82">IFERROR(_xlfn.IFS(A82=$F$517,G82/$G$517,A82=$F$518,G82/$G$518,A82=$F$519,G82/$G$519,A82=$F$520,G82/$G$520,A82=$F$521,G82/$G$521,A82=$F$522,G82/$G$522,A82=$F$523,G82/$G$523,A82=$F$524,G82/$G$524),"")</f>
        <v/>
      </c>
      <c r="I82" s="3" t="str" cm="1">
        <f t="array" ref="I82">IFERROR(_xlfn.IFS(A82=$M$3,H82*$S$3,A82=$M$4,H82*$S$4,A82=$M$5,H82*$S$5,A82=$M$6,H82*$S$6,A82=$M$7,H82*$S$7,A82=$M$8,H82*$S$8,A82=$M$9,H82*$S$9,A82=$M$10,H82*$S$10),"")</f>
        <v/>
      </c>
      <c r="J82" s="3">
        <f t="shared" si="1"/>
        <v>139942</v>
      </c>
      <c r="K82" s="3" t="str">
        <f>IFERROR(VLOOKUP(E82,'GASB Match'!$A$2:$C$58,3,FALSE),"")</f>
        <v>0200800</v>
      </c>
    </row>
    <row r="83" spans="1:11" x14ac:dyDescent="0.2">
      <c r="A83">
        <v>2015</v>
      </c>
      <c r="B83" t="s">
        <v>58</v>
      </c>
      <c r="C83" t="s">
        <v>59</v>
      </c>
      <c r="D83" t="s">
        <v>60</v>
      </c>
      <c r="E83" t="s">
        <v>44</v>
      </c>
      <c r="F83">
        <v>767</v>
      </c>
      <c r="G83" s="3">
        <v>115656</v>
      </c>
      <c r="H83" s="5" cm="1">
        <f t="array" ref="H83">IFERROR(_xlfn.IFS(A83=$F$517,G83/$G$517,A83=$F$518,G83/$G$518,A83=$F$519,G83/$G$519,A83=$F$520,G83/$G$520,A83=$F$521,G83/$G$521,A83=$F$522,G83/$G$522,A83=$F$523,G83/$G$523,A83=$F$524,G83/$G$524),"")</f>
        <v>2.3818812433998387E-3</v>
      </c>
      <c r="I83" s="3" cm="1">
        <f t="array" ref="I83">IFERROR(_xlfn.IFS(A83=$M$3,H83*$S$3,A83=$M$4,H83*$S$4,A83=$M$5,H83*$S$5,A83=$M$6,H83*$S$6,A83=$M$7,H83*$S$7,A83=$M$8,H83*$S$8,A83=$M$9,H83*$S$9,A83=$M$10,H83*$S$10),"")</f>
        <v>3931335.5104132653</v>
      </c>
      <c r="J83" s="3">
        <f t="shared" si="1"/>
        <v>4046991.5104132653</v>
      </c>
      <c r="K83" s="3" t="str">
        <f>IFERROR(VLOOKUP(E83,'GASB Match'!$A$2:$C$58,3,FALSE),"")</f>
        <v>0200070</v>
      </c>
    </row>
    <row r="84" spans="1:11" x14ac:dyDescent="0.2">
      <c r="A84">
        <v>2016</v>
      </c>
      <c r="B84" t="s">
        <v>58</v>
      </c>
      <c r="C84" t="s">
        <v>59</v>
      </c>
      <c r="D84" t="s">
        <v>60</v>
      </c>
      <c r="E84" t="s">
        <v>44</v>
      </c>
      <c r="F84">
        <v>767</v>
      </c>
      <c r="G84" s="3">
        <v>105461</v>
      </c>
      <c r="H84" s="5" cm="1">
        <f t="array" ref="H84">IFERROR(_xlfn.IFS(A84=$F$517,G84/$G$517,A84=$F$518,G84/$G$518,A84=$F$519,G84/$G$519,A84=$F$520,G84/$G$520,A84=$F$521,G84/$G$521,A84=$F$522,G84/$G$522,A84=$F$523,G84/$G$523,A84=$F$524,G84/$G$524),"")</f>
        <v>3.0917456714138749E-3</v>
      </c>
      <c r="I84" s="3" cm="1">
        <f t="array" ref="I84">IFERROR(_xlfn.IFS(A84=$M$3,H84*$S$3,A84=$M$4,H84*$S$4,A84=$M$5,H84*$S$5,A84=$M$6,H84*$S$6,A84=$M$7,H84*$S$7,A84=$M$8,H84*$S$8,A84=$M$9,H84*$S$9,A84=$M$10,H84*$S$10),"")</f>
        <v>278125.56901591277</v>
      </c>
      <c r="J84" s="3">
        <f t="shared" si="1"/>
        <v>383586.56901591277</v>
      </c>
      <c r="K84" s="3" t="str">
        <f>IFERROR(VLOOKUP(E84,'GASB Match'!$A$2:$C$58,3,FALSE),"")</f>
        <v>0200070</v>
      </c>
    </row>
    <row r="85" spans="1:11" x14ac:dyDescent="0.2">
      <c r="A85">
        <v>2017</v>
      </c>
      <c r="B85" t="s">
        <v>58</v>
      </c>
      <c r="C85" t="s">
        <v>59</v>
      </c>
      <c r="D85" t="s">
        <v>60</v>
      </c>
      <c r="E85" t="s">
        <v>44</v>
      </c>
      <c r="F85">
        <v>767</v>
      </c>
      <c r="G85" s="3">
        <v>94597</v>
      </c>
      <c r="H85" s="5" cm="1">
        <f t="array" ref="H85">IFERROR(_xlfn.IFS(A85=$F$517,G85/$G$517,A85=$F$518,G85/$G$518,A85=$F$519,G85/$G$519,A85=$F$520,G85/$G$520,A85=$F$521,G85/$G$521,A85=$F$522,G85/$G$522,A85=$F$523,G85/$G$523,A85=$F$524,G85/$G$524),"")</f>
        <v>2.532476968452903E-3</v>
      </c>
      <c r="I85" s="3" cm="1">
        <f t="array" ref="I85">IFERROR(_xlfn.IFS(A85=$M$3,H85*$S$3,A85=$M$4,H85*$S$4,A85=$M$5,H85*$S$5,A85=$M$6,H85*$S$6,A85=$M$7,H85*$S$7,A85=$M$8,H85*$S$8,A85=$M$9,H85*$S$9,A85=$M$10,H85*$S$10),"")</f>
        <v>293717.28153068619</v>
      </c>
      <c r="J85" s="3">
        <f t="shared" si="1"/>
        <v>388314.28153068619</v>
      </c>
      <c r="K85" s="3" t="str">
        <f>IFERROR(VLOOKUP(E85,'GASB Match'!$A$2:$C$58,3,FALSE),"")</f>
        <v>0200070</v>
      </c>
    </row>
    <row r="86" spans="1:11" x14ac:dyDescent="0.2">
      <c r="A86">
        <v>2018</v>
      </c>
      <c r="B86" t="s">
        <v>58</v>
      </c>
      <c r="C86" t="s">
        <v>59</v>
      </c>
      <c r="D86" t="s">
        <v>60</v>
      </c>
      <c r="E86" t="s">
        <v>44</v>
      </c>
      <c r="F86">
        <v>767</v>
      </c>
      <c r="G86" s="3">
        <v>98121</v>
      </c>
      <c r="H86" s="5" cm="1">
        <f t="array" ref="H86">IFERROR(_xlfn.IFS(A86=$F$517,G86/$G$517,A86=$F$518,G86/$G$518,A86=$F$519,G86/$G$519,A86=$F$520,G86/$G$520,A86=$F$521,G86/$G$521,A86=$F$522,G86/$G$522,A86=$F$523,G86/$G$523,A86=$F$524,G86/$G$524),"")</f>
        <v>2.4197369211494393E-3</v>
      </c>
      <c r="I86" s="3" cm="1">
        <f t="array" ref="I86">IFERROR(_xlfn.IFS(A86=$M$3,H86*$S$3,A86=$M$4,H86*$S$4,A86=$M$5,H86*$S$5,A86=$M$6,H86*$S$6,A86=$M$7,H86*$S$7,A86=$M$8,H86*$S$8,A86=$M$9,H86*$S$9,A86=$M$10,H86*$S$10),"")</f>
        <v>268693.05874961248</v>
      </c>
      <c r="J86" s="3">
        <f t="shared" si="1"/>
        <v>366814.05874961248</v>
      </c>
      <c r="K86" s="3" t="str">
        <f>IFERROR(VLOOKUP(E86,'GASB Match'!$A$2:$C$58,3,FALSE),"")</f>
        <v>0200070</v>
      </c>
    </row>
    <row r="87" spans="1:11" x14ac:dyDescent="0.2">
      <c r="A87">
        <v>2019</v>
      </c>
      <c r="B87" t="s">
        <v>58</v>
      </c>
      <c r="C87" t="s">
        <v>59</v>
      </c>
      <c r="D87" t="s">
        <v>60</v>
      </c>
      <c r="E87" t="s">
        <v>44</v>
      </c>
      <c r="F87">
        <v>767</v>
      </c>
      <c r="G87" s="3">
        <v>47105</v>
      </c>
      <c r="H87" s="5" cm="1">
        <f t="array" ref="H87">IFERROR(_xlfn.IFS(A87=$F$517,G87/$G$517,A87=$F$518,G87/$G$518,A87=$F$519,G87/$G$519,A87=$F$520,G87/$G$520,A87=$F$521,G87/$G$521,A87=$F$522,G87/$G$522,A87=$F$523,G87/$G$523,A87=$F$524,G87/$G$524),"")</f>
        <v>1.2798460478745291E-3</v>
      </c>
      <c r="I87" s="3" cm="1">
        <f t="array" ref="I87">IFERROR(_xlfn.IFS(A87=$M$3,H87*$S$3,A87=$M$4,H87*$S$4,A87=$M$5,H87*$S$5,A87=$M$6,H87*$S$6,A87=$M$7,H87*$S$7,A87=$M$8,H87*$S$8,A87=$M$9,H87*$S$9,A87=$M$10,H87*$S$10),"")</f>
        <v>163007.28728418</v>
      </c>
      <c r="J87" s="3">
        <f t="shared" si="1"/>
        <v>210112.28728418</v>
      </c>
      <c r="K87" s="3" t="str">
        <f>IFERROR(VLOOKUP(E87,'GASB Match'!$A$2:$C$58,3,FALSE),"")</f>
        <v>0200070</v>
      </c>
    </row>
    <row r="88" spans="1:11" x14ac:dyDescent="0.2">
      <c r="A88">
        <v>2020</v>
      </c>
      <c r="B88" t="s">
        <v>58</v>
      </c>
      <c r="C88" t="s">
        <v>59</v>
      </c>
      <c r="D88" t="s">
        <v>60</v>
      </c>
      <c r="E88" t="s">
        <v>44</v>
      </c>
      <c r="F88">
        <v>767</v>
      </c>
      <c r="G88" s="3">
        <v>60962</v>
      </c>
      <c r="H88" s="5" cm="1">
        <f t="array" ref="H88">IFERROR(_xlfn.IFS(A88=$F$517,G88/$G$517,A88=$F$518,G88/$G$518,A88=$F$519,G88/$G$519,A88=$F$520,G88/$G$520,A88=$F$521,G88/$G$521,A88=$F$522,G88/$G$522,A88=$F$523,G88/$G$523,A88=$F$524,G88/$G$524),"")</f>
        <v>1.7869857418107236E-3</v>
      </c>
      <c r="I88" s="3" cm="1">
        <f t="array" ref="I88">IFERROR(_xlfn.IFS(A88=$M$3,H88*$S$3,A88=$M$4,H88*$S$4,A88=$M$5,H88*$S$5,A88=$M$6,H88*$S$6,A88=$M$7,H88*$S$7,A88=$M$8,H88*$S$8,A88=$M$9,H88*$S$9,A88=$M$10,H88*$S$10),"")</f>
        <v>250569.55923431815</v>
      </c>
      <c r="J88" s="3">
        <f t="shared" si="1"/>
        <v>311531.55923431815</v>
      </c>
      <c r="K88" s="3" t="str">
        <f>IFERROR(VLOOKUP(E88,'GASB Match'!$A$2:$C$58,3,FALSE),"")</f>
        <v>0200070</v>
      </c>
    </row>
    <row r="89" spans="1:11" x14ac:dyDescent="0.2">
      <c r="A89">
        <v>2021</v>
      </c>
      <c r="B89" t="s">
        <v>58</v>
      </c>
      <c r="C89" t="s">
        <v>59</v>
      </c>
      <c r="D89" t="s">
        <v>60</v>
      </c>
      <c r="E89" t="s">
        <v>44</v>
      </c>
      <c r="F89">
        <v>767</v>
      </c>
      <c r="G89" s="3">
        <v>44906</v>
      </c>
      <c r="H89" s="5" cm="1">
        <f t="array" ref="H89">IFERROR(_xlfn.IFS(A89=$F$517,G89/$G$517,A89=$F$518,G89/$G$518,A89=$F$519,G89/$G$519,A89=$F$520,G89/$G$520,A89=$F$521,G89/$G$521,A89=$F$522,G89/$G$522,A89=$F$523,G89/$G$523,A89=$F$524,G89/$G$524),"")</f>
        <v>1.5307693815444217E-3</v>
      </c>
      <c r="I89" s="3" cm="1">
        <f t="array" ref="I89">IFERROR(_xlfn.IFS(A89=$M$3,H89*$S$3,A89=$M$4,H89*$S$4,A89=$M$5,H89*$S$5,A89=$M$6,H89*$S$6,A89=$M$7,H89*$S$7,A89=$M$8,H89*$S$8,A89=$M$9,H89*$S$9,A89=$M$10,H89*$S$10),"")</f>
        <v>205230.24639135247</v>
      </c>
      <c r="J89" s="3">
        <f t="shared" si="1"/>
        <v>250136.24639135247</v>
      </c>
      <c r="K89" s="3" t="str">
        <f>IFERROR(VLOOKUP(E89,'GASB Match'!$A$2:$C$58,3,FALSE),"")</f>
        <v>0200070</v>
      </c>
    </row>
    <row r="90" spans="1:11" x14ac:dyDescent="0.2">
      <c r="A90">
        <v>2022</v>
      </c>
      <c r="B90" t="s">
        <v>58</v>
      </c>
      <c r="C90" t="s">
        <v>59</v>
      </c>
      <c r="D90" t="s">
        <v>60</v>
      </c>
      <c r="E90" t="s">
        <v>44</v>
      </c>
      <c r="F90">
        <v>767</v>
      </c>
      <c r="G90" s="3">
        <v>71789</v>
      </c>
      <c r="H90" s="5" cm="1">
        <f t="array" ref="H90">IFERROR(_xlfn.IFS(A90=$F$517,G90/$G$517,A90=$F$518,G90/$G$518,A90=$F$519,G90/$G$519,A90=$F$520,G90/$G$520,A90=$F$521,G90/$G$521,A90=$F$522,G90/$G$522,A90=$F$523,G90/$G$523,A90=$F$524,G90/$G$524),"")</f>
        <v>2.337847622902759E-3</v>
      </c>
      <c r="I90" s="3" cm="1">
        <f t="array" ref="I90">IFERROR(_xlfn.IFS(A90=$M$3,H90*$S$3,A90=$M$4,H90*$S$4,A90=$M$5,H90*$S$5,A90=$M$6,H90*$S$6,A90=$M$7,H90*$S$7,A90=$M$8,H90*$S$8,A90=$M$9,H90*$S$9,A90=$M$10,H90*$S$10),"")</f>
        <v>331365.09598318709</v>
      </c>
      <c r="J90" s="3">
        <f t="shared" si="1"/>
        <v>403154.09598318709</v>
      </c>
      <c r="K90" s="3" t="str">
        <f>IFERROR(VLOOKUP(E90,'GASB Match'!$A$2:$C$58,3,FALSE),"")</f>
        <v>0200070</v>
      </c>
    </row>
    <row r="91" spans="1:11" x14ac:dyDescent="0.2">
      <c r="A91">
        <v>2023</v>
      </c>
      <c r="B91" t="s">
        <v>58</v>
      </c>
      <c r="C91" t="s">
        <v>59</v>
      </c>
      <c r="D91" t="s">
        <v>60</v>
      </c>
      <c r="E91" t="s">
        <v>44</v>
      </c>
      <c r="F91">
        <v>767</v>
      </c>
      <c r="G91" s="3">
        <v>93348</v>
      </c>
      <c r="H91" s="5" t="str" cm="1">
        <f t="array" ref="H91">IFERROR(_xlfn.IFS(A91=$F$517,G91/$G$517,A91=$F$518,G91/$G$518,A91=$F$519,G91/$G$519,A91=$F$520,G91/$G$520,A91=$F$521,G91/$G$521,A91=$F$522,G91/$G$522,A91=$F$523,G91/$G$523,A91=$F$524,G91/$G$524),"")</f>
        <v/>
      </c>
      <c r="I91" s="3" t="str" cm="1">
        <f t="array" ref="I91">IFERROR(_xlfn.IFS(A91=$M$3,H91*$S$3,A91=$M$4,H91*$S$4,A91=$M$5,H91*$S$5,A91=$M$6,H91*$S$6,A91=$M$7,H91*$S$7,A91=$M$8,H91*$S$8,A91=$M$9,H91*$S$9,A91=$M$10,H91*$S$10),"")</f>
        <v/>
      </c>
      <c r="J91" s="3">
        <f t="shared" si="1"/>
        <v>93348</v>
      </c>
      <c r="K91" s="3" t="str">
        <f>IFERROR(VLOOKUP(E91,'GASB Match'!$A$2:$C$58,3,FALSE),"")</f>
        <v>0200070</v>
      </c>
    </row>
    <row r="92" spans="1:11" x14ac:dyDescent="0.2">
      <c r="A92">
        <v>2015</v>
      </c>
      <c r="B92" t="s">
        <v>58</v>
      </c>
      <c r="C92" t="s">
        <v>59</v>
      </c>
      <c r="D92" t="s">
        <v>60</v>
      </c>
      <c r="E92" t="s">
        <v>1</v>
      </c>
      <c r="F92">
        <v>704</v>
      </c>
      <c r="G92" s="3">
        <v>93121</v>
      </c>
      <c r="H92" s="5" cm="1">
        <f t="array" ref="H92">IFERROR(_xlfn.IFS(A92=$F$517,G92/$G$517,A92=$F$518,G92/$G$518,A92=$F$519,G92/$G$519,A92=$F$520,G92/$G$520,A92=$F$521,G92/$G$521,A92=$F$522,G92/$G$522,A92=$F$523,G92/$G$523,A92=$F$524,G92/$G$524),"")</f>
        <v>1.9177834549581204E-3</v>
      </c>
      <c r="I92" s="3" cm="1">
        <f t="array" ref="I92">IFERROR(_xlfn.IFS(A92=$M$3,H92*$S$3,A92=$M$4,H92*$S$4,A92=$M$5,H92*$S$5,A92=$M$6,H92*$S$6,A92=$M$7,H92*$S$7,A92=$M$8,H92*$S$8,A92=$M$9,H92*$S$9,A92=$M$10,H92*$S$10),"")</f>
        <v>3165334.2158227302</v>
      </c>
      <c r="J92" s="3">
        <f t="shared" si="1"/>
        <v>3258455.2158227302</v>
      </c>
      <c r="K92" s="3" t="str">
        <f>IFERROR(VLOOKUP(E92,'GASB Match'!$A$2:$C$58,3,FALSE),"")</f>
        <v>0200060</v>
      </c>
    </row>
    <row r="93" spans="1:11" x14ac:dyDescent="0.2">
      <c r="A93">
        <v>2016</v>
      </c>
      <c r="B93" t="s">
        <v>58</v>
      </c>
      <c r="C93" t="s">
        <v>59</v>
      </c>
      <c r="D93" t="s">
        <v>60</v>
      </c>
      <c r="E93" t="s">
        <v>1</v>
      </c>
      <c r="F93">
        <v>704</v>
      </c>
      <c r="G93" s="3">
        <v>96780</v>
      </c>
      <c r="H93" s="5" cm="1">
        <f t="array" ref="H93">IFERROR(_xlfn.IFS(A93=$F$517,G93/$G$517,A93=$F$518,G93/$G$518,A93=$F$519,G93/$G$519,A93=$F$520,G93/$G$520,A93=$F$521,G93/$G$521,A93=$F$522,G93/$G$522,A93=$F$523,G93/$G$523,A93=$F$524,G93/$G$524),"")</f>
        <v>2.8372492777371241E-3</v>
      </c>
      <c r="I93" s="3" cm="1">
        <f t="array" ref="I93">IFERROR(_xlfn.IFS(A93=$M$3,H93*$S$3,A93=$M$4,H93*$S$4,A93=$M$5,H93*$S$5,A93=$M$6,H93*$S$6,A93=$M$7,H93*$S$7,A93=$M$8,H93*$S$8,A93=$M$9,H93*$S$9,A93=$M$10,H93*$S$10),"")</f>
        <v>255231.72138857056</v>
      </c>
      <c r="J93" s="3">
        <f t="shared" si="1"/>
        <v>352011.72138857056</v>
      </c>
      <c r="K93" s="3" t="str">
        <f>IFERROR(VLOOKUP(E93,'GASB Match'!$A$2:$C$58,3,FALSE),"")</f>
        <v>0200060</v>
      </c>
    </row>
    <row r="94" spans="1:11" x14ac:dyDescent="0.2">
      <c r="A94">
        <v>2017</v>
      </c>
      <c r="B94" t="s">
        <v>58</v>
      </c>
      <c r="C94" t="s">
        <v>59</v>
      </c>
      <c r="D94" t="s">
        <v>60</v>
      </c>
      <c r="E94" t="s">
        <v>1</v>
      </c>
      <c r="F94">
        <v>704</v>
      </c>
      <c r="G94" s="3">
        <v>110356</v>
      </c>
      <c r="H94" s="5" cm="1">
        <f t="array" ref="H94">IFERROR(_xlfn.IFS(A94=$F$517,G94/$G$517,A94=$F$518,G94/$G$518,A94=$F$519,G94/$G$519,A94=$F$520,G94/$G$520,A94=$F$521,G94/$G$521,A94=$F$522,G94/$G$522,A94=$F$523,G94/$G$523,A94=$F$524,G94/$G$524),"")</f>
        <v>2.954364602794894E-3</v>
      </c>
      <c r="I94" s="3" cm="1">
        <f t="array" ref="I94">IFERROR(_xlfn.IFS(A94=$M$3,H94*$S$3,A94=$M$4,H94*$S$4,A94=$M$5,H94*$S$5,A94=$M$6,H94*$S$6,A94=$M$7,H94*$S$7,A94=$M$8,H94*$S$8,A94=$M$9,H94*$S$9,A94=$M$10,H94*$S$10),"")</f>
        <v>342647.90977092728</v>
      </c>
      <c r="J94" s="3">
        <f t="shared" si="1"/>
        <v>453003.90977092728</v>
      </c>
      <c r="K94" s="3" t="str">
        <f>IFERROR(VLOOKUP(E94,'GASB Match'!$A$2:$C$58,3,FALSE),"")</f>
        <v>0200060</v>
      </c>
    </row>
    <row r="95" spans="1:11" x14ac:dyDescent="0.2">
      <c r="A95">
        <v>2018</v>
      </c>
      <c r="B95" t="s">
        <v>58</v>
      </c>
      <c r="C95" t="s">
        <v>59</v>
      </c>
      <c r="D95" t="s">
        <v>60</v>
      </c>
      <c r="E95" t="s">
        <v>1</v>
      </c>
      <c r="F95">
        <v>704</v>
      </c>
      <c r="G95" s="3">
        <v>136708</v>
      </c>
      <c r="H95" s="5" cm="1">
        <f t="array" ref="H95">IFERROR(_xlfn.IFS(A95=$F$517,G95/$G$517,A95=$F$518,G95/$G$518,A95=$F$519,G95/$G$519,A95=$F$520,G95/$G$520,A95=$F$521,G95/$G$521,A95=$F$522,G95/$G$522,A95=$F$523,G95/$G$523,A95=$F$524,G95/$G$524),"")</f>
        <v>3.3713210731290705E-3</v>
      </c>
      <c r="I95" s="3" cm="1">
        <f t="array" ref="I95">IFERROR(_xlfn.IFS(A95=$M$3,H95*$S$3,A95=$M$4,H95*$S$4,A95=$M$5,H95*$S$5,A95=$M$6,H95*$S$6,A95=$M$7,H95*$S$7,A95=$M$8,H95*$S$8,A95=$M$9,H95*$S$9,A95=$M$10,H95*$S$10),"")</f>
        <v>374359.11451719835</v>
      </c>
      <c r="J95" s="3">
        <f t="shared" si="1"/>
        <v>511067.11451719835</v>
      </c>
      <c r="K95" s="3" t="str">
        <f>IFERROR(VLOOKUP(E95,'GASB Match'!$A$2:$C$58,3,FALSE),"")</f>
        <v>0200060</v>
      </c>
    </row>
    <row r="96" spans="1:11" x14ac:dyDescent="0.2">
      <c r="A96">
        <v>2019</v>
      </c>
      <c r="B96" t="s">
        <v>58</v>
      </c>
      <c r="C96" t="s">
        <v>59</v>
      </c>
      <c r="D96" t="s">
        <v>60</v>
      </c>
      <c r="E96" t="s">
        <v>1</v>
      </c>
      <c r="F96">
        <v>704</v>
      </c>
      <c r="G96" s="3">
        <v>118029</v>
      </c>
      <c r="H96" s="5" cm="1">
        <f t="array" ref="H96">IFERROR(_xlfn.IFS(A96=$F$517,G96/$G$517,A96=$F$518,G96/$G$518,A96=$F$519,G96/$G$519,A96=$F$520,G96/$G$520,A96=$F$521,G96/$G$521,A96=$F$522,G96/$G$522,A96=$F$523,G96/$G$523,A96=$F$524,G96/$G$524),"")</f>
        <v>3.206855942778533E-3</v>
      </c>
      <c r="I96" s="3" cm="1">
        <f t="array" ref="I96">IFERROR(_xlfn.IFS(A96=$M$3,H96*$S$3,A96=$M$4,H96*$S$4,A96=$M$5,H96*$S$5,A96=$M$6,H96*$S$6,A96=$M$7,H96*$S$7,A96=$M$8,H96*$S$8,A96=$M$9,H96*$S$9,A96=$M$10,H96*$S$10),"")</f>
        <v>408440.44392027345</v>
      </c>
      <c r="J96" s="3">
        <f t="shared" si="1"/>
        <v>526469.44392027345</v>
      </c>
      <c r="K96" s="3" t="str">
        <f>IFERROR(VLOOKUP(E96,'GASB Match'!$A$2:$C$58,3,FALSE),"")</f>
        <v>0200060</v>
      </c>
    </row>
    <row r="97" spans="1:11" x14ac:dyDescent="0.2">
      <c r="A97">
        <v>2020</v>
      </c>
      <c r="B97" t="s">
        <v>58</v>
      </c>
      <c r="C97" t="s">
        <v>59</v>
      </c>
      <c r="D97" t="s">
        <v>60</v>
      </c>
      <c r="E97" t="s">
        <v>1</v>
      </c>
      <c r="F97">
        <v>704</v>
      </c>
      <c r="G97" s="3">
        <v>116153</v>
      </c>
      <c r="H97" s="5" cm="1">
        <f t="array" ref="H97">IFERROR(_xlfn.IFS(A97=$F$517,G97/$G$517,A97=$F$518,G97/$G$518,A97=$F$519,G97/$G$519,A97=$F$520,G97/$G$520,A97=$F$521,G97/$G$521,A97=$F$522,G97/$G$522,A97=$F$523,G97/$G$523,A97=$F$524,G97/$G$524),"")</f>
        <v>3.4048055324389123E-3</v>
      </c>
      <c r="I97" s="3" cm="1">
        <f t="array" ref="I97">IFERROR(_xlfn.IFS(A97=$M$3,H97*$S$3,A97=$M$4,H97*$S$4,A97=$M$5,H97*$S$5,A97=$M$6,H97*$S$6,A97=$M$7,H97*$S$7,A97=$M$8,H97*$S$8,A97=$M$9,H97*$S$9,A97=$M$10,H97*$S$10),"")</f>
        <v>477418.81850568805</v>
      </c>
      <c r="J97" s="3">
        <f t="shared" si="1"/>
        <v>593571.8185056881</v>
      </c>
      <c r="K97" s="3" t="str">
        <f>IFERROR(VLOOKUP(E97,'GASB Match'!$A$2:$C$58,3,FALSE),"")</f>
        <v>0200060</v>
      </c>
    </row>
    <row r="98" spans="1:11" x14ac:dyDescent="0.2">
      <c r="A98">
        <v>2021</v>
      </c>
      <c r="B98" t="s">
        <v>58</v>
      </c>
      <c r="C98" t="s">
        <v>59</v>
      </c>
      <c r="D98" t="s">
        <v>60</v>
      </c>
      <c r="E98" t="s">
        <v>1</v>
      </c>
      <c r="F98">
        <v>704</v>
      </c>
      <c r="G98" s="3">
        <v>84368</v>
      </c>
      <c r="H98" s="5" cm="1">
        <f t="array" ref="H98">IFERROR(_xlfn.IFS(A98=$F$517,G98/$G$517,A98=$F$518,G98/$G$518,A98=$F$519,G98/$G$519,A98=$F$520,G98/$G$520,A98=$F$521,G98/$G$521,A98=$F$522,G98/$G$522,A98=$F$523,G98/$G$523,A98=$F$524,G98/$G$524),"")</f>
        <v>2.8759620358557825E-3</v>
      </c>
      <c r="I98" s="3" cm="1">
        <f t="array" ref="I98">IFERROR(_xlfn.IFS(A98=$M$3,H98*$S$3,A98=$M$4,H98*$S$4,A98=$M$5,H98*$S$5,A98=$M$6,H98*$S$6,A98=$M$7,H98*$S$7,A98=$M$8,H98*$S$8,A98=$M$9,H98*$S$9,A98=$M$10,H98*$S$10),"")</f>
        <v>385580.22151929862</v>
      </c>
      <c r="J98" s="3">
        <f t="shared" si="1"/>
        <v>469948.22151929862</v>
      </c>
      <c r="K98" s="3" t="str">
        <f>IFERROR(VLOOKUP(E98,'GASB Match'!$A$2:$C$58,3,FALSE),"")</f>
        <v>0200060</v>
      </c>
    </row>
    <row r="99" spans="1:11" x14ac:dyDescent="0.2">
      <c r="A99">
        <v>2022</v>
      </c>
      <c r="B99" t="s">
        <v>58</v>
      </c>
      <c r="C99" t="s">
        <v>59</v>
      </c>
      <c r="D99" t="s">
        <v>60</v>
      </c>
      <c r="E99" t="s">
        <v>1</v>
      </c>
      <c r="F99">
        <v>704</v>
      </c>
      <c r="G99" s="3">
        <v>90204</v>
      </c>
      <c r="H99" s="5" cm="1">
        <f t="array" ref="H99">IFERROR(_xlfn.IFS(A99=$F$517,G99/$G$517,A99=$F$518,G99/$G$518,A99=$F$519,G99/$G$519,A99=$F$520,G99/$G$520,A99=$F$521,G99/$G$521,A99=$F$522,G99/$G$522,A99=$F$523,G99/$G$523,A99=$F$524,G99/$G$524),"")</f>
        <v>2.9375420604315487E-3</v>
      </c>
      <c r="I99" s="3" cm="1">
        <f t="array" ref="I99">IFERROR(_xlfn.IFS(A99=$M$3,H99*$S$3,A99=$M$4,H99*$S$4,A99=$M$5,H99*$S$5,A99=$M$6,H99*$S$6,A99=$M$7,H99*$S$7,A99=$M$8,H99*$S$8,A99=$M$9,H99*$S$9,A99=$M$10,H99*$S$10),"")</f>
        <v>416365.41974491085</v>
      </c>
      <c r="J99" s="3">
        <f t="shared" si="1"/>
        <v>506569.41974491085</v>
      </c>
      <c r="K99" s="3" t="str">
        <f>IFERROR(VLOOKUP(E99,'GASB Match'!$A$2:$C$58,3,FALSE),"")</f>
        <v>0200060</v>
      </c>
    </row>
    <row r="100" spans="1:11" x14ac:dyDescent="0.2">
      <c r="A100">
        <v>2023</v>
      </c>
      <c r="B100" t="s">
        <v>58</v>
      </c>
      <c r="C100" t="s">
        <v>59</v>
      </c>
      <c r="D100" t="s">
        <v>60</v>
      </c>
      <c r="E100" t="s">
        <v>1</v>
      </c>
      <c r="F100">
        <v>704</v>
      </c>
      <c r="G100" s="3">
        <v>170529</v>
      </c>
      <c r="H100" s="5" t="str" cm="1">
        <f t="array" ref="H100">IFERROR(_xlfn.IFS(A100=$F$517,G100/$G$517,A100=$F$518,G100/$G$518,A100=$F$519,G100/$G$519,A100=$F$520,G100/$G$520,A100=$F$521,G100/$G$521,A100=$F$522,G100/$G$522,A100=$F$523,G100/$G$523,A100=$F$524,G100/$G$524),"")</f>
        <v/>
      </c>
      <c r="I100" s="3" t="str" cm="1">
        <f t="array" ref="I100">IFERROR(_xlfn.IFS(A100=$M$3,H100*$S$3,A100=$M$4,H100*$S$4,A100=$M$5,H100*$S$5,A100=$M$6,H100*$S$6,A100=$M$7,H100*$S$7,A100=$M$8,H100*$S$8,A100=$M$9,H100*$S$9,A100=$M$10,H100*$S$10),"")</f>
        <v/>
      </c>
      <c r="J100" s="3">
        <f t="shared" si="1"/>
        <v>170529</v>
      </c>
      <c r="K100" s="3" t="str">
        <f>IFERROR(VLOOKUP(E100,'GASB Match'!$A$2:$C$58,3,FALSE),"")</f>
        <v>0200060</v>
      </c>
    </row>
    <row r="101" spans="1:11" x14ac:dyDescent="0.2">
      <c r="A101">
        <v>2015</v>
      </c>
      <c r="B101" t="s">
        <v>58</v>
      </c>
      <c r="C101" t="s">
        <v>59</v>
      </c>
      <c r="D101" t="s">
        <v>60</v>
      </c>
      <c r="E101" t="s">
        <v>2</v>
      </c>
      <c r="F101">
        <v>705</v>
      </c>
      <c r="G101" s="3">
        <v>110762</v>
      </c>
      <c r="H101" s="5" cm="1">
        <f t="array" ref="H101">IFERROR(_xlfn.IFS(A101=$F$517,G101/$G$517,A101=$F$518,G101/$G$518,A101=$F$519,G101/$G$519,A101=$F$520,G101/$G$520,A101=$F$521,G101/$G$521,A101=$F$522,G101/$G$522,A101=$F$523,G101/$G$523,A101=$F$524,G101/$G$524),"")</f>
        <v>2.2810916016588237E-3</v>
      </c>
      <c r="I101" s="3" cm="1">
        <f t="array" ref="I101">IFERROR(_xlfn.IFS(A101=$M$3,H101*$S$3,A101=$M$4,H101*$S$4,A101=$M$5,H101*$S$5,A101=$M$6,H101*$S$6,A101=$M$7,H101*$S$7,A101=$M$8,H101*$S$8,A101=$M$9,H101*$S$9,A101=$M$10,H101*$S$10),"")</f>
        <v>3764980.4921871242</v>
      </c>
      <c r="J101" s="3">
        <f t="shared" si="1"/>
        <v>3875742.4921871242</v>
      </c>
      <c r="K101" s="3" t="str">
        <f>IFERROR(VLOOKUP(E101,'GASB Match'!$A$2:$C$58,3,FALSE),"")</f>
        <v>0200090</v>
      </c>
    </row>
    <row r="102" spans="1:11" x14ac:dyDescent="0.2">
      <c r="A102">
        <v>2016</v>
      </c>
      <c r="B102" t="s">
        <v>58</v>
      </c>
      <c r="C102" t="s">
        <v>59</v>
      </c>
      <c r="D102" t="s">
        <v>60</v>
      </c>
      <c r="E102" t="s">
        <v>2</v>
      </c>
      <c r="F102">
        <v>705</v>
      </c>
      <c r="G102" s="3">
        <v>104268</v>
      </c>
      <c r="H102" s="5" cm="1">
        <f t="array" ref="H102">IFERROR(_xlfn.IFS(A102=$F$517,G102/$G$517,A102=$F$518,G102/$G$518,A102=$F$519,G102/$G$519,A102=$F$520,G102/$G$520,A102=$F$521,G102/$G$521,A102=$F$522,G102/$G$522,A102=$F$523,G102/$G$523,A102=$F$524,G102/$G$524),"")</f>
        <v>3.0567711065415835E-3</v>
      </c>
      <c r="I102" s="3" cm="1">
        <f t="array" ref="I102">IFERROR(_xlfn.IFS(A102=$M$3,H102*$S$3,A102=$M$4,H102*$S$4,A102=$M$5,H102*$S$5,A102=$M$6,H102*$S$6,A102=$M$7,H102*$S$7,A102=$M$8,H102*$S$8,A102=$M$9,H102*$S$9,A102=$M$10,H102*$S$10),"")</f>
        <v>274979.34620524361</v>
      </c>
      <c r="J102" s="3">
        <f t="shared" si="1"/>
        <v>379247.34620524361</v>
      </c>
      <c r="K102" s="3" t="str">
        <f>IFERROR(VLOOKUP(E102,'GASB Match'!$A$2:$C$58,3,FALSE),"")</f>
        <v>0200090</v>
      </c>
    </row>
    <row r="103" spans="1:11" x14ac:dyDescent="0.2">
      <c r="A103">
        <v>2017</v>
      </c>
      <c r="B103" t="s">
        <v>58</v>
      </c>
      <c r="C103" t="s">
        <v>59</v>
      </c>
      <c r="D103" t="s">
        <v>60</v>
      </c>
      <c r="E103" t="s">
        <v>2</v>
      </c>
      <c r="F103">
        <v>705</v>
      </c>
      <c r="G103" s="3">
        <v>122462</v>
      </c>
      <c r="H103" s="5" cm="1">
        <f t="array" ref="H103">IFERROR(_xlfn.IFS(A103=$F$517,G103/$G$517,A103=$F$518,G103/$G$518,A103=$F$519,G103/$G$519,A103=$F$520,G103/$G$520,A103=$F$521,G103/$G$521,A103=$F$522,G103/$G$522,A103=$F$523,G103/$G$523,A103=$F$524,G103/$G$524),"")</f>
        <v>3.2784569754926627E-3</v>
      </c>
      <c r="I103" s="3" cm="1">
        <f t="array" ref="I103">IFERROR(_xlfn.IFS(A103=$M$3,H103*$S$3,A103=$M$4,H103*$S$4,A103=$M$5,H103*$S$5,A103=$M$6,H103*$S$6,A103=$M$7,H103*$S$7,A103=$M$8,H103*$S$8,A103=$M$9,H103*$S$9,A103=$M$10,H103*$S$10),"")</f>
        <v>380236.22029039916</v>
      </c>
      <c r="J103" s="3">
        <f t="shared" si="1"/>
        <v>502698.22029039916</v>
      </c>
      <c r="K103" s="3" t="str">
        <f>IFERROR(VLOOKUP(E103,'GASB Match'!$A$2:$C$58,3,FALSE),"")</f>
        <v>0200090</v>
      </c>
    </row>
    <row r="104" spans="1:11" x14ac:dyDescent="0.2">
      <c r="A104">
        <v>2018</v>
      </c>
      <c r="B104" t="s">
        <v>58</v>
      </c>
      <c r="C104" t="s">
        <v>59</v>
      </c>
      <c r="D104" t="s">
        <v>60</v>
      </c>
      <c r="E104" t="s">
        <v>2</v>
      </c>
      <c r="F104">
        <v>705</v>
      </c>
      <c r="G104" s="3">
        <v>141152</v>
      </c>
      <c r="H104" s="5" cm="1">
        <f t="array" ref="H104">IFERROR(_xlfn.IFS(A104=$F$517,G104/$G$517,A104=$F$518,G104/$G$518,A104=$F$519,G104/$G$519,A104=$F$520,G104/$G$520,A104=$F$521,G104/$G$521,A104=$F$522,G104/$G$522,A104=$F$523,G104/$G$523,A104=$F$524,G104/$G$524),"")</f>
        <v>3.4809134221429222E-3</v>
      </c>
      <c r="I104" s="3" cm="1">
        <f t="array" ref="I104">IFERROR(_xlfn.IFS(A104=$M$3,H104*$S$3,A104=$M$4,H104*$S$4,A104=$M$5,H104*$S$5,A104=$M$6,H104*$S$6,A104=$M$7,H104*$S$7,A104=$M$8,H104*$S$8,A104=$M$9,H104*$S$9,A104=$M$10,H104*$S$10),"")</f>
        <v>386528.49673999753</v>
      </c>
      <c r="J104" s="3">
        <f t="shared" si="1"/>
        <v>527680.49673999753</v>
      </c>
      <c r="K104" s="3" t="str">
        <f>IFERROR(VLOOKUP(E104,'GASB Match'!$A$2:$C$58,3,FALSE),"")</f>
        <v>0200090</v>
      </c>
    </row>
    <row r="105" spans="1:11" x14ac:dyDescent="0.2">
      <c r="A105">
        <v>2019</v>
      </c>
      <c r="B105" t="s">
        <v>58</v>
      </c>
      <c r="C105" t="s">
        <v>59</v>
      </c>
      <c r="D105" t="s">
        <v>60</v>
      </c>
      <c r="E105" t="s">
        <v>2</v>
      </c>
      <c r="F105">
        <v>705</v>
      </c>
      <c r="G105" s="3">
        <v>114814</v>
      </c>
      <c r="H105" s="5" cm="1">
        <f t="array" ref="H105">IFERROR(_xlfn.IFS(A105=$F$517,G105/$G$517,A105=$F$518,G105/$G$518,A105=$F$519,G105/$G$519,A105=$F$520,G105/$G$520,A105=$F$521,G105/$G$521,A105=$F$522,G105/$G$522,A105=$F$523,G105/$G$523,A105=$F$524,G105/$G$524),"")</f>
        <v>3.1195041745179105E-3</v>
      </c>
      <c r="I105" s="3" cm="1">
        <f t="array" ref="I105">IFERROR(_xlfn.IFS(A105=$M$3,H105*$S$3,A105=$M$4,H105*$S$4,A105=$M$5,H105*$S$5,A105=$M$6,H105*$S$6,A105=$M$7,H105*$S$7,A105=$M$8,H105*$S$8,A105=$M$9,H105*$S$9,A105=$M$10,H105*$S$10),"")</f>
        <v>397314.90674548014</v>
      </c>
      <c r="J105" s="3">
        <f t="shared" si="1"/>
        <v>512128.90674548014</v>
      </c>
      <c r="K105" s="3" t="str">
        <f>IFERROR(VLOOKUP(E105,'GASB Match'!$A$2:$C$58,3,FALSE),"")</f>
        <v>0200090</v>
      </c>
    </row>
    <row r="106" spans="1:11" x14ac:dyDescent="0.2">
      <c r="A106">
        <v>2020</v>
      </c>
      <c r="B106" t="s">
        <v>58</v>
      </c>
      <c r="C106" t="s">
        <v>59</v>
      </c>
      <c r="D106" t="s">
        <v>60</v>
      </c>
      <c r="E106" t="s">
        <v>2</v>
      </c>
      <c r="F106">
        <v>705</v>
      </c>
      <c r="G106" s="3">
        <v>114189</v>
      </c>
      <c r="H106" s="5" cm="1">
        <f t="array" ref="H106">IFERROR(_xlfn.IFS(A106=$F$517,G106/$G$517,A106=$F$518,G106/$G$518,A106=$F$519,G106/$G$519,A106=$F$520,G106/$G$520,A106=$F$521,G106/$G$521,A106=$F$522,G106/$G$522,A106=$F$523,G106/$G$523,A106=$F$524,G106/$G$524),"")</f>
        <v>3.3472345866543862E-3</v>
      </c>
      <c r="I106" s="3" cm="1">
        <f t="array" ref="I106">IFERROR(_xlfn.IFS(A106=$M$3,H106*$S$3,A106=$M$4,H106*$S$4,A106=$M$5,H106*$S$5,A106=$M$6,H106*$S$6,A106=$M$7,H106*$S$7,A106=$M$8,H106*$S$8,A106=$M$9,H106*$S$9,A106=$M$10,H106*$S$10),"")</f>
        <v>469346.27143806883</v>
      </c>
      <c r="J106" s="3">
        <f t="shared" si="1"/>
        <v>583535.27143806883</v>
      </c>
      <c r="K106" s="3" t="str">
        <f>IFERROR(VLOOKUP(E106,'GASB Match'!$A$2:$C$58,3,FALSE),"")</f>
        <v>0200090</v>
      </c>
    </row>
    <row r="107" spans="1:11" x14ac:dyDescent="0.2">
      <c r="A107">
        <v>2021</v>
      </c>
      <c r="B107" t="s">
        <v>58</v>
      </c>
      <c r="C107" t="s">
        <v>59</v>
      </c>
      <c r="D107" t="s">
        <v>60</v>
      </c>
      <c r="E107" t="s">
        <v>2</v>
      </c>
      <c r="F107">
        <v>705</v>
      </c>
      <c r="G107" s="3">
        <v>102517</v>
      </c>
      <c r="H107" s="5" cm="1">
        <f t="array" ref="H107">IFERROR(_xlfn.IFS(A107=$F$517,G107/$G$517,A107=$F$518,G107/$G$518,A107=$F$519,G107/$G$519,A107=$F$520,G107/$G$520,A107=$F$521,G107/$G$521,A107=$F$522,G107/$G$522,A107=$F$523,G107/$G$523,A107=$F$524,G107/$G$524),"")</f>
        <v>3.4946306660087623E-3</v>
      </c>
      <c r="I107" s="3" cm="1">
        <f t="array" ref="I107">IFERROR(_xlfn.IFS(A107=$M$3,H107*$S$3,A107=$M$4,H107*$S$4,A107=$M$5,H107*$S$5,A107=$M$6,H107*$S$6,A107=$M$7,H107*$S$7,A107=$M$8,H107*$S$8,A107=$M$9,H107*$S$9,A107=$M$10,H107*$S$10),"")</f>
        <v>468525.12290790275</v>
      </c>
      <c r="J107" s="3">
        <f t="shared" si="1"/>
        <v>571042.12290790281</v>
      </c>
      <c r="K107" s="3" t="str">
        <f>IFERROR(VLOOKUP(E107,'GASB Match'!$A$2:$C$58,3,FALSE),"")</f>
        <v>0200090</v>
      </c>
    </row>
    <row r="108" spans="1:11" x14ac:dyDescent="0.2">
      <c r="A108">
        <v>2022</v>
      </c>
      <c r="B108" t="s">
        <v>58</v>
      </c>
      <c r="C108" t="s">
        <v>59</v>
      </c>
      <c r="D108" t="s">
        <v>60</v>
      </c>
      <c r="E108" t="s">
        <v>2</v>
      </c>
      <c r="F108">
        <v>705</v>
      </c>
      <c r="G108" s="3">
        <v>106576</v>
      </c>
      <c r="H108" s="5" cm="1">
        <f t="array" ref="H108">IFERROR(_xlfn.IFS(A108=$F$517,G108/$G$517,A108=$F$518,G108/$G$518,A108=$F$519,G108/$G$519,A108=$F$520,G108/$G$520,A108=$F$521,G108/$G$521,A108=$F$522,G108/$G$522,A108=$F$523,G108/$G$523,A108=$F$524,G108/$G$524),"")</f>
        <v>3.4707050976958091E-3</v>
      </c>
      <c r="I108" s="3" cm="1">
        <f t="array" ref="I108">IFERROR(_xlfn.IFS(A108=$M$3,H108*$S$3,A108=$M$4,H108*$S$4,A108=$M$5,H108*$S$5,A108=$M$6,H108*$S$6,A108=$M$7,H108*$S$7,A108=$M$8,H108*$S$8,A108=$M$9,H108*$S$9,A108=$M$10,H108*$S$10),"")</f>
        <v>491935.62341729441</v>
      </c>
      <c r="J108" s="3">
        <f t="shared" si="1"/>
        <v>598511.62341729435</v>
      </c>
      <c r="K108" s="3" t="str">
        <f>IFERROR(VLOOKUP(E108,'GASB Match'!$A$2:$C$58,3,FALSE),"")</f>
        <v>0200090</v>
      </c>
    </row>
    <row r="109" spans="1:11" x14ac:dyDescent="0.2">
      <c r="A109">
        <v>2023</v>
      </c>
      <c r="B109" t="s">
        <v>58</v>
      </c>
      <c r="C109" t="s">
        <v>59</v>
      </c>
      <c r="D109" t="s">
        <v>60</v>
      </c>
      <c r="E109" t="s">
        <v>2</v>
      </c>
      <c r="F109">
        <v>705</v>
      </c>
      <c r="G109" s="3">
        <v>155889</v>
      </c>
      <c r="H109" s="5" t="str" cm="1">
        <f t="array" ref="H109">IFERROR(_xlfn.IFS(A109=$F$517,G109/$G$517,A109=$F$518,G109/$G$518,A109=$F$519,G109/$G$519,A109=$F$520,G109/$G$520,A109=$F$521,G109/$G$521,A109=$F$522,G109/$G$522,A109=$F$523,G109/$G$523,A109=$F$524,G109/$G$524),"")</f>
        <v/>
      </c>
      <c r="I109" s="3" t="str" cm="1">
        <f t="array" ref="I109">IFERROR(_xlfn.IFS(A109=$M$3,H109*$S$3,A109=$M$4,H109*$S$4,A109=$M$5,H109*$S$5,A109=$M$6,H109*$S$6,A109=$M$7,H109*$S$7,A109=$M$8,H109*$S$8,A109=$M$9,H109*$S$9,A109=$M$10,H109*$S$10),"")</f>
        <v/>
      </c>
      <c r="J109" s="3">
        <f t="shared" si="1"/>
        <v>155889</v>
      </c>
      <c r="K109" s="3" t="str">
        <f>IFERROR(VLOOKUP(E109,'GASB Match'!$A$2:$C$58,3,FALSE),"")</f>
        <v>0200090</v>
      </c>
    </row>
    <row r="110" spans="1:11" x14ac:dyDescent="0.2">
      <c r="A110">
        <v>2015</v>
      </c>
      <c r="B110" t="s">
        <v>58</v>
      </c>
      <c r="C110" t="s">
        <v>59</v>
      </c>
      <c r="D110" t="s">
        <v>60</v>
      </c>
      <c r="E110" t="s">
        <v>42</v>
      </c>
      <c r="F110">
        <v>765</v>
      </c>
      <c r="G110" s="3">
        <v>162565</v>
      </c>
      <c r="H110" s="5" cm="1">
        <f t="array" ref="H110">IFERROR(_xlfn.IFS(A110=$F$517,G110/$G$517,A110=$F$518,G110/$G$518,A110=$F$519,G110/$G$519,A110=$F$520,G110/$G$520,A110=$F$521,G110/$G$521,A110=$F$522,G110/$G$522,A110=$F$523,G110/$G$523,A110=$F$524,G110/$G$524),"")</f>
        <v>3.34795016543279E-3</v>
      </c>
      <c r="I110" s="3" cm="1">
        <f t="array" ref="I110">IFERROR(_xlfn.IFS(A110=$M$3,H110*$S$3,A110=$M$4,H110*$S$4,A110=$M$5,H110*$S$5,A110=$M$6,H110*$S$6,A110=$M$7,H110*$S$7,A110=$M$8,H110*$S$8,A110=$M$9,H110*$S$9,A110=$M$10,H110*$S$10),"")</f>
        <v>5525848.700027084</v>
      </c>
      <c r="J110" s="3">
        <f t="shared" si="1"/>
        <v>5688413.700027084</v>
      </c>
      <c r="K110" s="3" t="str">
        <f>IFERROR(VLOOKUP(E110,'GASB Match'!$A$2:$C$58,3,FALSE),"")</f>
        <v>0200100</v>
      </c>
    </row>
    <row r="111" spans="1:11" x14ac:dyDescent="0.2">
      <c r="A111">
        <v>2016</v>
      </c>
      <c r="B111" t="s">
        <v>58</v>
      </c>
      <c r="C111" t="s">
        <v>59</v>
      </c>
      <c r="D111" t="s">
        <v>60</v>
      </c>
      <c r="E111" t="s">
        <v>42</v>
      </c>
      <c r="F111">
        <v>765</v>
      </c>
      <c r="G111" s="3">
        <v>156302</v>
      </c>
      <c r="H111" s="5" cm="1">
        <f t="array" ref="H111">IFERROR(_xlfn.IFS(A111=$F$517,G111/$G$517,A111=$F$518,G111/$G$518,A111=$F$519,G111/$G$519,A111=$F$520,G111/$G$520,A111=$F$521,G111/$G$521,A111=$F$522,G111/$G$522,A111=$F$523,G111/$G$523,A111=$F$524,G111/$G$524),"")</f>
        <v>4.5822250114576149E-3</v>
      </c>
      <c r="I111" s="3" cm="1">
        <f t="array" ref="I111">IFERROR(_xlfn.IFS(A111=$M$3,H111*$S$3,A111=$M$4,H111*$S$4,A111=$M$5,H111*$S$5,A111=$M$6,H111*$S$6,A111=$M$7,H111*$S$7,A111=$M$8,H111*$S$8,A111=$M$9,H111*$S$9,A111=$M$10,H111*$S$10),"")</f>
        <v>412205.29568584787</v>
      </c>
      <c r="J111" s="3">
        <f t="shared" si="1"/>
        <v>568507.29568584787</v>
      </c>
      <c r="K111" s="3" t="str">
        <f>IFERROR(VLOOKUP(E111,'GASB Match'!$A$2:$C$58,3,FALSE),"")</f>
        <v>0200100</v>
      </c>
    </row>
    <row r="112" spans="1:11" x14ac:dyDescent="0.2">
      <c r="A112">
        <v>2017</v>
      </c>
      <c r="B112" t="s">
        <v>58</v>
      </c>
      <c r="C112" t="s">
        <v>59</v>
      </c>
      <c r="D112" t="s">
        <v>60</v>
      </c>
      <c r="E112" t="s">
        <v>42</v>
      </c>
      <c r="F112">
        <v>765</v>
      </c>
      <c r="G112" s="3">
        <v>184543</v>
      </c>
      <c r="H112" s="5" cm="1">
        <f t="array" ref="H112">IFERROR(_xlfn.IFS(A112=$F$517,G112/$G$517,A112=$F$518,G112/$G$518,A112=$F$519,G112/$G$519,A112=$F$520,G112/$G$520,A112=$F$521,G112/$G$521,A112=$F$522,G112/$G$522,A112=$F$523,G112/$G$523,A112=$F$524,G112/$G$524),"")</f>
        <v>4.9404409990718955E-3</v>
      </c>
      <c r="I112" s="3" cm="1">
        <f t="array" ref="I112">IFERROR(_xlfn.IFS(A112=$M$3,H112*$S$3,A112=$M$4,H112*$S$4,A112=$M$5,H112*$S$5,A112=$M$6,H112*$S$6,A112=$M$7,H112*$S$7,A112=$M$8,H112*$S$8,A112=$M$9,H112*$S$9,A112=$M$10,H112*$S$10),"")</f>
        <v>572993.52289731626</v>
      </c>
      <c r="J112" s="3">
        <f t="shared" si="1"/>
        <v>757536.52289731626</v>
      </c>
      <c r="K112" s="3" t="str">
        <f>IFERROR(VLOOKUP(E112,'GASB Match'!$A$2:$C$58,3,FALSE),"")</f>
        <v>0200100</v>
      </c>
    </row>
    <row r="113" spans="1:11" x14ac:dyDescent="0.2">
      <c r="A113">
        <v>2018</v>
      </c>
      <c r="B113" t="s">
        <v>58</v>
      </c>
      <c r="C113" t="s">
        <v>59</v>
      </c>
      <c r="D113" t="s">
        <v>60</v>
      </c>
      <c r="E113" t="s">
        <v>42</v>
      </c>
      <c r="F113">
        <v>765</v>
      </c>
      <c r="G113" s="3">
        <v>216894</v>
      </c>
      <c r="H113" s="5" cm="1">
        <f t="array" ref="H113">IFERROR(_xlfn.IFS(A113=$F$517,G113/$G$517,A113=$F$518,G113/$G$518,A113=$F$519,G113/$G$519,A113=$F$520,G113/$G$520,A113=$F$521,G113/$G$521,A113=$F$522,G113/$G$522,A113=$F$523,G113/$G$523,A113=$F$524,G113/$G$524),"")</f>
        <v>5.348767539831295E-3</v>
      </c>
      <c r="I113" s="3" cm="1">
        <f t="array" ref="I113">IFERROR(_xlfn.IFS(A113=$M$3,H113*$S$3,A113=$M$4,H113*$S$4,A113=$M$5,H113*$S$5,A113=$M$6,H113*$S$6,A113=$M$7,H113*$S$7,A113=$M$8,H113*$S$8,A113=$M$9,H113*$S$9,A113=$M$10,H113*$S$10),"")</f>
        <v>593939.24118627456</v>
      </c>
      <c r="J113" s="3">
        <f t="shared" si="1"/>
        <v>810833.24118627456</v>
      </c>
      <c r="K113" s="3" t="str">
        <f>IFERROR(VLOOKUP(E113,'GASB Match'!$A$2:$C$58,3,FALSE),"")</f>
        <v>0200100</v>
      </c>
    </row>
    <row r="114" spans="1:11" x14ac:dyDescent="0.2">
      <c r="A114">
        <v>2019</v>
      </c>
      <c r="B114" t="s">
        <v>58</v>
      </c>
      <c r="C114" t="s">
        <v>59</v>
      </c>
      <c r="D114" t="s">
        <v>60</v>
      </c>
      <c r="E114" t="s">
        <v>42</v>
      </c>
      <c r="F114">
        <v>765</v>
      </c>
      <c r="G114" s="3">
        <v>170907</v>
      </c>
      <c r="H114" s="5" cm="1">
        <f t="array" ref="H114">IFERROR(_xlfn.IFS(A114=$F$517,G114/$G$517,A114=$F$518,G114/$G$518,A114=$F$519,G114/$G$519,A114=$F$520,G114/$G$520,A114=$F$521,G114/$G$521,A114=$F$522,G114/$G$522,A114=$F$523,G114/$G$523,A114=$F$524,G114/$G$524),"")</f>
        <v>4.6435547925717472E-3</v>
      </c>
      <c r="I114" s="3" cm="1">
        <f t="array" ref="I114">IFERROR(_xlfn.IFS(A114=$M$3,H114*$S$3,A114=$M$4,H114*$S$4,A114=$M$5,H114*$S$5,A114=$M$6,H114*$S$6,A114=$M$7,H114*$S$7,A114=$M$8,H114*$S$8,A114=$M$9,H114*$S$9,A114=$M$10,H114*$S$10),"")</f>
        <v>591425.25098985992</v>
      </c>
      <c r="J114" s="3">
        <f t="shared" si="1"/>
        <v>762332.25098985992</v>
      </c>
      <c r="K114" s="3" t="str">
        <f>IFERROR(VLOOKUP(E114,'GASB Match'!$A$2:$C$58,3,FALSE),"")</f>
        <v>0200100</v>
      </c>
    </row>
    <row r="115" spans="1:11" x14ac:dyDescent="0.2">
      <c r="A115">
        <v>2020</v>
      </c>
      <c r="B115" t="s">
        <v>58</v>
      </c>
      <c r="C115" t="s">
        <v>59</v>
      </c>
      <c r="D115" t="s">
        <v>60</v>
      </c>
      <c r="E115" t="s">
        <v>42</v>
      </c>
      <c r="F115">
        <v>765</v>
      </c>
      <c r="G115" s="3">
        <v>196577</v>
      </c>
      <c r="H115" s="5" cm="1">
        <f t="array" ref="H115">IFERROR(_xlfn.IFS(A115=$F$517,G115/$G$517,A115=$F$518,G115/$G$518,A115=$F$519,G115/$G$519,A115=$F$520,G115/$G$520,A115=$F$521,G115/$G$521,A115=$F$522,G115/$G$522,A115=$F$523,G115/$G$523,A115=$F$524,G115/$G$524),"")</f>
        <v>5.76228299871931E-3</v>
      </c>
      <c r="I115" s="3" cm="1">
        <f t="array" ref="I115">IFERROR(_xlfn.IFS(A115=$M$3,H115*$S$3,A115=$M$4,H115*$S$4,A115=$M$5,H115*$S$5,A115=$M$6,H115*$S$6,A115=$M$7,H115*$S$7,A115=$M$8,H115*$S$8,A115=$M$9,H115*$S$9,A115=$M$10,H115*$S$10),"")</f>
        <v>807982.22245996783</v>
      </c>
      <c r="J115" s="3">
        <f t="shared" si="1"/>
        <v>1004559.2224599678</v>
      </c>
      <c r="K115" s="3" t="str">
        <f>IFERROR(VLOOKUP(E115,'GASB Match'!$A$2:$C$58,3,FALSE),"")</f>
        <v>0200100</v>
      </c>
    </row>
    <row r="116" spans="1:11" x14ac:dyDescent="0.2">
      <c r="A116">
        <v>2021</v>
      </c>
      <c r="B116" t="s">
        <v>58</v>
      </c>
      <c r="C116" t="s">
        <v>59</v>
      </c>
      <c r="D116" t="s">
        <v>60</v>
      </c>
      <c r="E116" t="s">
        <v>42</v>
      </c>
      <c r="F116">
        <v>765</v>
      </c>
      <c r="G116" s="3">
        <v>154276</v>
      </c>
      <c r="H116" s="5" cm="1">
        <f t="array" ref="H116">IFERROR(_xlfn.IFS(A116=$F$517,G116/$G$517,A116=$F$518,G116/$G$518,A116=$F$519,G116/$G$519,A116=$F$520,G116/$G$520,A116=$F$521,G116/$G$521,A116=$F$522,G116/$G$522,A116=$F$523,G116/$G$523,A116=$F$524,G116/$G$524),"")</f>
        <v>5.259007195188777E-3</v>
      </c>
      <c r="I116" s="3" cm="1">
        <f t="array" ref="I116">IFERROR(_xlfn.IFS(A116=$M$3,H116*$S$3,A116=$M$4,H116*$S$4,A116=$M$5,H116*$S$5,A116=$M$6,H116*$S$6,A116=$M$7,H116*$S$7,A116=$M$8,H116*$S$8,A116=$M$9,H116*$S$9,A116=$M$10,H116*$S$10),"")</f>
        <v>705075.07888193778</v>
      </c>
      <c r="J116" s="3">
        <f t="shared" si="1"/>
        <v>859351.07888193778</v>
      </c>
      <c r="K116" s="3" t="str">
        <f>IFERROR(VLOOKUP(E116,'GASB Match'!$A$2:$C$58,3,FALSE),"")</f>
        <v>0200100</v>
      </c>
    </row>
    <row r="117" spans="1:11" x14ac:dyDescent="0.2">
      <c r="A117">
        <v>2022</v>
      </c>
      <c r="B117" t="s">
        <v>58</v>
      </c>
      <c r="C117" t="s">
        <v>59</v>
      </c>
      <c r="D117" t="s">
        <v>60</v>
      </c>
      <c r="E117" t="s">
        <v>42</v>
      </c>
      <c r="F117">
        <v>765</v>
      </c>
      <c r="G117" s="3">
        <v>156920</v>
      </c>
      <c r="H117" s="5" cm="1">
        <f t="array" ref="H117">IFERROR(_xlfn.IFS(A117=$F$517,G117/$G$517,A117=$F$518,G117/$G$518,A117=$F$519,G117/$G$519,A117=$F$520,G117/$G$520,A117=$F$521,G117/$G$521,A117=$F$522,G117/$G$522,A117=$F$523,G117/$G$523,A117=$F$524,G117/$G$524),"")</f>
        <v>5.1101846938375085E-3</v>
      </c>
      <c r="I117" s="3" cm="1">
        <f t="array" ref="I117">IFERROR(_xlfn.IFS(A117=$M$3,H117*$S$3,A117=$M$4,H117*$S$4,A117=$M$5,H117*$S$5,A117=$M$6,H117*$S$6,A117=$M$7,H117*$S$7,A117=$M$8,H117*$S$8,A117=$M$9,H117*$S$9,A117=$M$10,H117*$S$10),"")</f>
        <v>724314.46129186521</v>
      </c>
      <c r="J117" s="3">
        <f t="shared" si="1"/>
        <v>881234.46129186521</v>
      </c>
      <c r="K117" s="3" t="str">
        <f>IFERROR(VLOOKUP(E117,'GASB Match'!$A$2:$C$58,3,FALSE),"")</f>
        <v>0200100</v>
      </c>
    </row>
    <row r="118" spans="1:11" x14ac:dyDescent="0.2">
      <c r="A118">
        <v>2023</v>
      </c>
      <c r="B118" t="s">
        <v>58</v>
      </c>
      <c r="C118" t="s">
        <v>59</v>
      </c>
      <c r="D118" t="s">
        <v>60</v>
      </c>
      <c r="E118" t="s">
        <v>42</v>
      </c>
      <c r="F118">
        <v>765</v>
      </c>
      <c r="G118" s="3">
        <v>260283</v>
      </c>
      <c r="H118" s="5" t="str" cm="1">
        <f t="array" ref="H118">IFERROR(_xlfn.IFS(A118=$F$517,G118/$G$517,A118=$F$518,G118/$G$518,A118=$F$519,G118/$G$519,A118=$F$520,G118/$G$520,A118=$F$521,G118/$G$521,A118=$F$522,G118/$G$522,A118=$F$523,G118/$G$523,A118=$F$524,G118/$G$524),"")</f>
        <v/>
      </c>
      <c r="I118" s="3" t="str" cm="1">
        <f t="array" ref="I118">IFERROR(_xlfn.IFS(A118=$M$3,H118*$S$3,A118=$M$4,H118*$S$4,A118=$M$5,H118*$S$5,A118=$M$6,H118*$S$6,A118=$M$7,H118*$S$7,A118=$M$8,H118*$S$8,A118=$M$9,H118*$S$9,A118=$M$10,H118*$S$10),"")</f>
        <v/>
      </c>
      <c r="J118" s="3">
        <f t="shared" si="1"/>
        <v>260283</v>
      </c>
      <c r="K118" s="3" t="str">
        <f>IFERROR(VLOOKUP(E118,'GASB Match'!$A$2:$C$58,3,FALSE),"")</f>
        <v>0200100</v>
      </c>
    </row>
    <row r="119" spans="1:11" x14ac:dyDescent="0.2">
      <c r="A119">
        <v>2015</v>
      </c>
      <c r="B119" t="s">
        <v>58</v>
      </c>
      <c r="C119" t="s">
        <v>59</v>
      </c>
      <c r="D119" t="s">
        <v>60</v>
      </c>
      <c r="E119" t="s">
        <v>41</v>
      </c>
      <c r="F119">
        <v>764</v>
      </c>
      <c r="G119" s="3">
        <v>83804</v>
      </c>
      <c r="H119" s="5" cm="1">
        <f t="array" ref="H119">IFERROR(_xlfn.IFS(A119=$F$517,G119/$G$517,A119=$F$518,G119/$G$518,A119=$F$519,G119/$G$519,A119=$F$520,G119/$G$520,A119=$F$521,G119/$G$521,A119=$F$522,G119/$G$522,A119=$F$523,G119/$G$523,A119=$F$524,G119/$G$524),"")</f>
        <v>1.7259041962533726E-3</v>
      </c>
      <c r="I119" s="3" cm="1">
        <f t="array" ref="I119">IFERROR(_xlfn.IFS(A119=$M$3,H119*$S$3,A119=$M$4,H119*$S$4,A119=$M$5,H119*$S$5,A119=$M$6,H119*$S$6,A119=$M$7,H119*$S$7,A119=$M$8,H119*$S$8,A119=$M$9,H119*$S$9,A119=$M$10,H119*$S$10),"")</f>
        <v>2848634.2352724741</v>
      </c>
      <c r="J119" s="3">
        <f t="shared" si="1"/>
        <v>2932438.2352724741</v>
      </c>
      <c r="K119" s="3" t="str">
        <f>IFERROR(VLOOKUP(E119,'GASB Match'!$A$2:$C$58,3,FALSE),"")</f>
        <v>0200770</v>
      </c>
    </row>
    <row r="120" spans="1:11" x14ac:dyDescent="0.2">
      <c r="A120">
        <v>2016</v>
      </c>
      <c r="B120" t="s">
        <v>58</v>
      </c>
      <c r="C120" t="s">
        <v>59</v>
      </c>
      <c r="D120" t="s">
        <v>60</v>
      </c>
      <c r="E120" t="s">
        <v>41</v>
      </c>
      <c r="F120">
        <v>764</v>
      </c>
      <c r="G120" s="3">
        <v>84272</v>
      </c>
      <c r="H120" s="5" cm="1">
        <f t="array" ref="H120">IFERROR(_xlfn.IFS(A120=$F$517,G120/$G$517,A120=$F$518,G120/$G$518,A120=$F$519,G120/$G$519,A120=$F$520,G120/$G$520,A120=$F$521,G120/$G$521,A120=$F$522,G120/$G$522,A120=$F$523,G120/$G$523,A120=$F$524,G120/$G$524),"")</f>
        <v>2.4705587015236919E-3</v>
      </c>
      <c r="I120" s="3" cm="1">
        <f t="array" ref="I120">IFERROR(_xlfn.IFS(A120=$M$3,H120*$S$3,A120=$M$4,H120*$S$4,A120=$M$5,H120*$S$5,A120=$M$6,H120*$S$6,A120=$M$7,H120*$S$7,A120=$M$8,H120*$S$8,A120=$M$9,H120*$S$9,A120=$M$10,H120*$S$10),"")</f>
        <v>222245.17074661725</v>
      </c>
      <c r="J120" s="3">
        <f t="shared" si="1"/>
        <v>306517.17074661725</v>
      </c>
      <c r="K120" s="3" t="str">
        <f>IFERROR(VLOOKUP(E120,'GASB Match'!$A$2:$C$58,3,FALSE),"")</f>
        <v>0200770</v>
      </c>
    </row>
    <row r="121" spans="1:11" x14ac:dyDescent="0.2">
      <c r="A121">
        <v>2017</v>
      </c>
      <c r="B121" t="s">
        <v>58</v>
      </c>
      <c r="C121" t="s">
        <v>59</v>
      </c>
      <c r="D121" t="s">
        <v>60</v>
      </c>
      <c r="E121" t="s">
        <v>41</v>
      </c>
      <c r="F121">
        <v>764</v>
      </c>
      <c r="G121" s="3">
        <v>94972</v>
      </c>
      <c r="H121" s="5" cm="1">
        <f t="array" ref="H121">IFERROR(_xlfn.IFS(A121=$F$517,G121/$G$517,A121=$F$518,G121/$G$518,A121=$F$519,G121/$G$519,A121=$F$520,G121/$G$520,A121=$F$521,G121/$G$521,A121=$F$522,G121/$G$522,A121=$F$523,G121/$G$523,A121=$F$524,G121/$G$524),"")</f>
        <v>2.5425161754380064E-3</v>
      </c>
      <c r="I121" s="3" cm="1">
        <f t="array" ref="I121">IFERROR(_xlfn.IFS(A121=$M$3,H121*$S$3,A121=$M$4,H121*$S$4,A121=$M$5,H121*$S$5,A121=$M$6,H121*$S$6,A121=$M$7,H121*$S$7,A121=$M$8,H121*$S$8,A121=$M$9,H121*$S$9,A121=$M$10,H121*$S$10),"")</f>
        <v>294881.63114614977</v>
      </c>
      <c r="J121" s="3">
        <f t="shared" si="1"/>
        <v>389853.63114614977</v>
      </c>
      <c r="K121" s="3" t="str">
        <f>IFERROR(VLOOKUP(E121,'GASB Match'!$A$2:$C$58,3,FALSE),"")</f>
        <v>0200770</v>
      </c>
    </row>
    <row r="122" spans="1:11" x14ac:dyDescent="0.2">
      <c r="A122">
        <v>2018</v>
      </c>
      <c r="B122" t="s">
        <v>58</v>
      </c>
      <c r="C122" t="s">
        <v>59</v>
      </c>
      <c r="D122" t="s">
        <v>60</v>
      </c>
      <c r="E122" t="s">
        <v>41</v>
      </c>
      <c r="F122">
        <v>764</v>
      </c>
      <c r="G122" s="3">
        <v>133593</v>
      </c>
      <c r="H122" s="5" cm="1">
        <f t="array" ref="H122">IFERROR(_xlfn.IFS(A122=$F$517,G122/$G$517,A122=$F$518,G122/$G$518,A122=$F$519,G122/$G$519,A122=$F$520,G122/$G$520,A122=$F$521,G122/$G$521,A122=$F$522,G122/$G$522,A122=$F$523,G122/$G$523,A122=$F$524,G122/$G$524),"")</f>
        <v>3.2945028536920441E-3</v>
      </c>
      <c r="I122" s="3" cm="1">
        <f t="array" ref="I122">IFERROR(_xlfn.IFS(A122=$M$3,H122*$S$3,A122=$M$4,H122*$S$4,A122=$M$5,H122*$S$5,A122=$M$6,H122*$S$6,A122=$M$7,H122*$S$7,A122=$M$8,H122*$S$8,A122=$M$9,H122*$S$9,A122=$M$10,H122*$S$10),"")</f>
        <v>365829.04574491677</v>
      </c>
      <c r="J122" s="3">
        <f t="shared" si="1"/>
        <v>499422.04574491677</v>
      </c>
      <c r="K122" s="3" t="str">
        <f>IFERROR(VLOOKUP(E122,'GASB Match'!$A$2:$C$58,3,FALSE),"")</f>
        <v>0200770</v>
      </c>
    </row>
    <row r="123" spans="1:11" x14ac:dyDescent="0.2">
      <c r="A123">
        <v>2019</v>
      </c>
      <c r="B123" t="s">
        <v>58</v>
      </c>
      <c r="C123" t="s">
        <v>59</v>
      </c>
      <c r="D123" t="s">
        <v>60</v>
      </c>
      <c r="E123" t="s">
        <v>41</v>
      </c>
      <c r="F123">
        <v>764</v>
      </c>
      <c r="G123" s="3">
        <v>110107</v>
      </c>
      <c r="H123" s="5" cm="1">
        <f t="array" ref="H123">IFERROR(_xlfn.IFS(A123=$F$517,G123/$G$517,A123=$F$518,G123/$G$518,A123=$F$519,G123/$G$519,A123=$F$520,G123/$G$520,A123=$F$521,G123/$G$521,A123=$F$522,G123/$G$522,A123=$F$523,G123/$G$523,A123=$F$524,G123/$G$524),"")</f>
        <v>2.9916146649680664E-3</v>
      </c>
      <c r="I123" s="3" cm="1">
        <f t="array" ref="I123">IFERROR(_xlfn.IFS(A123=$M$3,H123*$S$3,A123=$M$4,H123*$S$4,A123=$M$5,H123*$S$5,A123=$M$6,H123*$S$6,A123=$M$7,H123*$S$7,A123=$M$8,H123*$S$8,A123=$M$9,H123*$S$9,A123=$M$10,H123*$S$10),"")</f>
        <v>381026.28979936749</v>
      </c>
      <c r="J123" s="3">
        <f t="shared" si="1"/>
        <v>491133.28979936749</v>
      </c>
      <c r="K123" s="3" t="str">
        <f>IFERROR(VLOOKUP(E123,'GASB Match'!$A$2:$C$58,3,FALSE),"")</f>
        <v>0200770</v>
      </c>
    </row>
    <row r="124" spans="1:11" x14ac:dyDescent="0.2">
      <c r="A124">
        <v>2020</v>
      </c>
      <c r="B124" t="s">
        <v>58</v>
      </c>
      <c r="C124" t="s">
        <v>59</v>
      </c>
      <c r="D124" t="s">
        <v>60</v>
      </c>
      <c r="E124" t="s">
        <v>41</v>
      </c>
      <c r="F124">
        <v>764</v>
      </c>
      <c r="G124" s="3">
        <v>119235</v>
      </c>
      <c r="H124" s="5" cm="1">
        <f t="array" ref="H124">IFERROR(_xlfn.IFS(A124=$F$517,G124/$G$517,A124=$F$518,G124/$G$518,A124=$F$519,G124/$G$519,A124=$F$520,G124/$G$520,A124=$F$521,G124/$G$521,A124=$F$522,G124/$G$522,A124=$F$523,G124/$G$523,A124=$F$524,G124/$G$524),"")</f>
        <v>3.4951485339195175E-3</v>
      </c>
      <c r="I124" s="3" cm="1">
        <f t="array" ref="I124">IFERROR(_xlfn.IFS(A124=$M$3,H124*$S$3,A124=$M$4,H124*$S$4,A124=$M$5,H124*$S$5,A124=$M$6,H124*$S$6,A124=$M$7,H124*$S$7,A124=$M$8,H124*$S$8,A124=$M$9,H124*$S$9,A124=$M$10,H124*$S$10),"")</f>
        <v>490086.63421974221</v>
      </c>
      <c r="J124" s="3">
        <f t="shared" si="1"/>
        <v>609321.63421974215</v>
      </c>
      <c r="K124" s="3" t="str">
        <f>IFERROR(VLOOKUP(E124,'GASB Match'!$A$2:$C$58,3,FALSE),"")</f>
        <v>0200770</v>
      </c>
    </row>
    <row r="125" spans="1:11" x14ac:dyDescent="0.2">
      <c r="A125">
        <v>2021</v>
      </c>
      <c r="B125" t="s">
        <v>58</v>
      </c>
      <c r="C125" t="s">
        <v>59</v>
      </c>
      <c r="D125" t="s">
        <v>60</v>
      </c>
      <c r="E125" t="s">
        <v>41</v>
      </c>
      <c r="F125">
        <v>764</v>
      </c>
      <c r="G125" s="3">
        <v>104267</v>
      </c>
      <c r="H125" s="5" cm="1">
        <f t="array" ref="H125">IFERROR(_xlfn.IFS(A125=$F$517,G125/$G$517,A125=$F$518,G125/$G$518,A125=$F$519,G125/$G$519,A125=$F$520,G125/$G$520,A125=$F$521,G125/$G$521,A125=$F$522,G125/$G$522,A125=$F$523,G125/$G$523,A125=$F$524,G125/$G$524),"")</f>
        <v>3.5542851980913961E-3</v>
      </c>
      <c r="I125" s="3" cm="1">
        <f t="array" ref="I125">IFERROR(_xlfn.IFS(A125=$M$3,H125*$S$3,A125=$M$4,H125*$S$4,A125=$M$5,H125*$S$5,A125=$M$6,H125*$S$6,A125=$M$7,H125*$S$7,A125=$M$8,H125*$S$8,A125=$M$9,H125*$S$9,A125=$M$10,H125*$S$10),"")</f>
        <v>476523.0058452579</v>
      </c>
      <c r="J125" s="3">
        <f t="shared" si="1"/>
        <v>580790.0058452579</v>
      </c>
      <c r="K125" s="3" t="str">
        <f>IFERROR(VLOOKUP(E125,'GASB Match'!$A$2:$C$58,3,FALSE),"")</f>
        <v>0200770</v>
      </c>
    </row>
    <row r="126" spans="1:11" x14ac:dyDescent="0.2">
      <c r="A126">
        <v>2022</v>
      </c>
      <c r="B126" t="s">
        <v>58</v>
      </c>
      <c r="C126" t="s">
        <v>59</v>
      </c>
      <c r="D126" t="s">
        <v>60</v>
      </c>
      <c r="E126" t="s">
        <v>41</v>
      </c>
      <c r="F126">
        <v>764</v>
      </c>
      <c r="G126" s="3">
        <v>106485</v>
      </c>
      <c r="H126" s="5" cm="1">
        <f t="array" ref="H126">IFERROR(_xlfn.IFS(A126=$F$517,G126/$G$517,A126=$F$518,G126/$G$518,A126=$F$519,G126/$G$519,A126=$F$520,G126/$G$520,A126=$F$521,G126/$G$521,A126=$F$522,G126/$G$522,A126=$F$523,G126/$G$523,A126=$F$524,G126/$G$524),"")</f>
        <v>3.4677416334647406E-3</v>
      </c>
      <c r="I126" s="3" cm="1">
        <f t="array" ref="I126">IFERROR(_xlfn.IFS(A126=$M$3,H126*$S$3,A126=$M$4,H126*$S$4,A126=$M$5,H126*$S$5,A126=$M$6,H126*$S$6,A126=$M$7,H126*$S$7,A126=$M$8,H126*$S$8,A126=$M$9,H126*$S$9,A126=$M$10,H126*$S$10),"")</f>
        <v>491515.58380489593</v>
      </c>
      <c r="J126" s="3">
        <f t="shared" si="1"/>
        <v>598000.58380489587</v>
      </c>
      <c r="K126" s="3" t="str">
        <f>IFERROR(VLOOKUP(E126,'GASB Match'!$A$2:$C$58,3,FALSE),"")</f>
        <v>0200770</v>
      </c>
    </row>
    <row r="127" spans="1:11" x14ac:dyDescent="0.2">
      <c r="A127">
        <v>2023</v>
      </c>
      <c r="B127" t="s">
        <v>58</v>
      </c>
      <c r="C127" t="s">
        <v>59</v>
      </c>
      <c r="D127" t="s">
        <v>60</v>
      </c>
      <c r="E127" t="s">
        <v>41</v>
      </c>
      <c r="F127">
        <v>764</v>
      </c>
      <c r="G127" s="3">
        <v>181774</v>
      </c>
      <c r="H127" s="5" t="str" cm="1">
        <f t="array" ref="H127">IFERROR(_xlfn.IFS(A127=$F$517,G127/$G$517,A127=$F$518,G127/$G$518,A127=$F$519,G127/$G$519,A127=$F$520,G127/$G$520,A127=$F$521,G127/$G$521,A127=$F$522,G127/$G$522,A127=$F$523,G127/$G$523,A127=$F$524,G127/$G$524),"")</f>
        <v/>
      </c>
      <c r="I127" s="3" t="str" cm="1">
        <f t="array" ref="I127">IFERROR(_xlfn.IFS(A127=$M$3,H127*$S$3,A127=$M$4,H127*$S$4,A127=$M$5,H127*$S$5,A127=$M$6,H127*$S$6,A127=$M$7,H127*$S$7,A127=$M$8,H127*$S$8,A127=$M$9,H127*$S$9,A127=$M$10,H127*$S$10),"")</f>
        <v/>
      </c>
      <c r="J127" s="3">
        <f t="shared" si="1"/>
        <v>181774</v>
      </c>
      <c r="K127" s="3" t="str">
        <f>IFERROR(VLOOKUP(E127,'GASB Match'!$A$2:$C$58,3,FALSE),"")</f>
        <v>0200770</v>
      </c>
    </row>
    <row r="128" spans="1:11" x14ac:dyDescent="0.2">
      <c r="A128">
        <v>2015</v>
      </c>
      <c r="B128" t="s">
        <v>58</v>
      </c>
      <c r="C128" t="s">
        <v>59</v>
      </c>
      <c r="D128" t="s">
        <v>60</v>
      </c>
      <c r="E128" t="s">
        <v>26</v>
      </c>
      <c r="F128">
        <v>744</v>
      </c>
      <c r="G128" s="3">
        <v>148549</v>
      </c>
      <c r="H128" s="5" cm="1">
        <f t="array" ref="H128">IFERROR(_xlfn.IFS(A128=$F$517,G128/$G$517,A128=$F$518,G128/$G$518,A128=$F$519,G128/$G$519,A128=$F$520,G128/$G$520,A128=$F$521,G128/$G$521,A128=$F$522,G128/$G$522,A128=$F$523,G128/$G$523,A128=$F$524,G128/$G$524),"")</f>
        <v>3.0592971988120166E-3</v>
      </c>
      <c r="I128" s="3" cm="1">
        <f t="array" ref="I128">IFERROR(_xlfn.IFS(A128=$M$3,H128*$S$3,A128=$M$4,H128*$S$4,A128=$M$5,H128*$S$5,A128=$M$6,H128*$S$6,A128=$M$7,H128*$S$7,A128=$M$8,H128*$S$8,A128=$M$9,H128*$S$9,A128=$M$10,H128*$S$10),"")</f>
        <v>5049422.0683438824</v>
      </c>
      <c r="J128" s="3">
        <f t="shared" si="1"/>
        <v>5197971.0683438824</v>
      </c>
      <c r="K128" s="3" t="str">
        <f>IFERROR(VLOOKUP(E128,'GASB Match'!$A$2:$C$58,3,FALSE),"")</f>
        <v>0200120</v>
      </c>
    </row>
    <row r="129" spans="1:11" x14ac:dyDescent="0.2">
      <c r="A129">
        <v>2016</v>
      </c>
      <c r="B129" t="s">
        <v>58</v>
      </c>
      <c r="C129" t="s">
        <v>59</v>
      </c>
      <c r="D129" t="s">
        <v>60</v>
      </c>
      <c r="E129" t="s">
        <v>26</v>
      </c>
      <c r="F129">
        <v>744</v>
      </c>
      <c r="G129" s="3">
        <v>114435</v>
      </c>
      <c r="H129" s="5" cm="1">
        <f t="array" ref="H129">IFERROR(_xlfn.IFS(A129=$F$517,G129/$G$517,A129=$F$518,G129/$G$518,A129=$F$519,G129/$G$519,A129=$F$520,G129/$G$520,A129=$F$521,G129/$G$521,A129=$F$522,G129/$G$522,A129=$F$523,G129/$G$523,A129=$F$524,G129/$G$524),"")</f>
        <v>3.3548317947700744E-3</v>
      </c>
      <c r="I129" s="3" cm="1">
        <f t="array" ref="I129">IFERROR(_xlfn.IFS(A129=$M$3,H129*$S$3,A129=$M$4,H129*$S$4,A129=$M$5,H129*$S$5,A129=$M$6,H129*$S$6,A129=$M$7,H129*$S$7,A129=$M$8,H129*$S$8,A129=$M$9,H129*$S$9,A129=$M$10,H129*$S$10),"")</f>
        <v>301792.1268557664</v>
      </c>
      <c r="J129" s="3">
        <f t="shared" si="1"/>
        <v>416227.1268557664</v>
      </c>
      <c r="K129" s="3" t="str">
        <f>IFERROR(VLOOKUP(E129,'GASB Match'!$A$2:$C$58,3,FALSE),"")</f>
        <v>0200120</v>
      </c>
    </row>
    <row r="130" spans="1:11" x14ac:dyDescent="0.2">
      <c r="A130">
        <v>2017</v>
      </c>
      <c r="B130" t="s">
        <v>58</v>
      </c>
      <c r="C130" t="s">
        <v>59</v>
      </c>
      <c r="D130" t="s">
        <v>60</v>
      </c>
      <c r="E130" t="s">
        <v>26</v>
      </c>
      <c r="F130">
        <v>744</v>
      </c>
      <c r="G130" s="3">
        <v>107311</v>
      </c>
      <c r="H130" s="5" cm="1">
        <f t="array" ref="H130">IFERROR(_xlfn.IFS(A130=$F$517,G130/$G$517,A130=$F$518,G130/$G$518,A130=$F$519,G130/$G$519,A130=$F$520,G130/$G$520,A130=$F$521,G130/$G$521,A130=$F$522,G130/$G$522,A130=$F$523,G130/$G$523,A130=$F$524,G130/$G$524),"")</f>
        <v>2.8728462420758529E-3</v>
      </c>
      <c r="I130" s="3" cm="1">
        <f t="array" ref="I130">IFERROR(_xlfn.IFS(A130=$M$3,H130*$S$3,A130=$M$4,H130*$S$4,A130=$M$5,H130*$S$5,A130=$M$6,H130*$S$6,A130=$M$7,H130*$S$7,A130=$M$8,H130*$S$8,A130=$M$9,H130*$S$9,A130=$M$10,H130*$S$10),"")</f>
        <v>333193.39089336304</v>
      </c>
      <c r="J130" s="3">
        <f t="shared" si="1"/>
        <v>440504.39089336304</v>
      </c>
      <c r="K130" s="3" t="str">
        <f>IFERROR(VLOOKUP(E130,'GASB Match'!$A$2:$C$58,3,FALSE),"")</f>
        <v>0200120</v>
      </c>
    </row>
    <row r="131" spans="1:11" x14ac:dyDescent="0.2">
      <c r="A131">
        <v>2018</v>
      </c>
      <c r="B131" t="s">
        <v>58</v>
      </c>
      <c r="C131" t="s">
        <v>59</v>
      </c>
      <c r="D131" t="s">
        <v>60</v>
      </c>
      <c r="E131" t="s">
        <v>26</v>
      </c>
      <c r="F131">
        <v>744</v>
      </c>
      <c r="G131" s="3">
        <v>132017</v>
      </c>
      <c r="H131" s="5" cm="1">
        <f t="array" ref="H131">IFERROR(_xlfn.IFS(A131=$F$517,G131/$G$517,A131=$F$518,G131/$G$518,A131=$F$519,G131/$G$519,A131=$F$520,G131/$G$520,A131=$F$521,G131/$G$521,A131=$F$522,G131/$G$522,A131=$F$523,G131/$G$523,A131=$F$524,G131/$G$524),"")</f>
        <v>3.2556375201983827E-3</v>
      </c>
      <c r="I131" s="3" cm="1">
        <f t="array" ref="I131">IFERROR(_xlfn.IFS(A131=$M$3,H131*$S$3,A131=$M$4,H131*$S$4,A131=$M$5,H131*$S$5,A131=$M$6,H131*$S$6,A131=$M$7,H131*$S$7,A131=$M$8,H131*$S$8,A131=$M$9,H131*$S$9,A131=$M$10,H131*$S$10),"")</f>
        <v>361513.35123926157</v>
      </c>
      <c r="J131" s="3">
        <f t="shared" ref="J131:J194" si="2">SUM(G131,I131)</f>
        <v>493530.35123926157</v>
      </c>
      <c r="K131" s="3" t="str">
        <f>IFERROR(VLOOKUP(E131,'GASB Match'!$A$2:$C$58,3,FALSE),"")</f>
        <v>0200120</v>
      </c>
    </row>
    <row r="132" spans="1:11" x14ac:dyDescent="0.2">
      <c r="A132">
        <v>2019</v>
      </c>
      <c r="B132" t="s">
        <v>58</v>
      </c>
      <c r="C132" t="s">
        <v>59</v>
      </c>
      <c r="D132" t="s">
        <v>60</v>
      </c>
      <c r="E132" t="s">
        <v>26</v>
      </c>
      <c r="F132">
        <v>744</v>
      </c>
      <c r="G132" s="3">
        <v>82530</v>
      </c>
      <c r="H132" s="5" cm="1">
        <f t="array" ref="H132">IFERROR(_xlfn.IFS(A132=$F$517,G132/$G$517,A132=$F$518,G132/$G$518,A132=$F$519,G132/$G$519,A132=$F$520,G132/$G$520,A132=$F$521,G132/$G$521,A132=$F$522,G132/$G$522,A132=$F$523,G132/$G$523,A132=$F$524,G132/$G$524),"")</f>
        <v>2.2423457028146669E-3</v>
      </c>
      <c r="I132" s="3" cm="1">
        <f t="array" ref="I132">IFERROR(_xlfn.IFS(A132=$M$3,H132*$S$3,A132=$M$4,H132*$S$4,A132=$M$5,H132*$S$5,A132=$M$6,H132*$S$6,A132=$M$7,H132*$S$7,A132=$M$8,H132*$S$8,A132=$M$9,H132*$S$9,A132=$M$10,H132*$S$10),"")</f>
        <v>285595.82676071278</v>
      </c>
      <c r="J132" s="3">
        <f t="shared" si="2"/>
        <v>368125.82676071278</v>
      </c>
      <c r="K132" s="3" t="str">
        <f>IFERROR(VLOOKUP(E132,'GASB Match'!$A$2:$C$58,3,FALSE),"")</f>
        <v>0200120</v>
      </c>
    </row>
    <row r="133" spans="1:11" x14ac:dyDescent="0.2">
      <c r="A133">
        <v>2020</v>
      </c>
      <c r="B133" t="s">
        <v>58</v>
      </c>
      <c r="C133" t="s">
        <v>59</v>
      </c>
      <c r="D133" t="s">
        <v>60</v>
      </c>
      <c r="E133" t="s">
        <v>26</v>
      </c>
      <c r="F133">
        <v>744</v>
      </c>
      <c r="G133" s="3">
        <v>86542</v>
      </c>
      <c r="H133" s="5" cm="1">
        <f t="array" ref="H133">IFERROR(_xlfn.IFS(A133=$F$517,G133/$G$517,A133=$F$518,G133/$G$518,A133=$F$519,G133/$G$519,A133=$F$520,G133/$G$520,A133=$F$521,G133/$G$521,A133=$F$522,G133/$G$522,A133=$F$523,G133/$G$523,A133=$F$524,G133/$G$524),"")</f>
        <v>2.536815066234435E-3</v>
      </c>
      <c r="I133" s="3" cm="1">
        <f t="array" ref="I133">IFERROR(_xlfn.IFS(A133=$M$3,H133*$S$3,A133=$M$4,H133*$S$4,A133=$M$5,H133*$S$5,A133=$M$6,H133*$S$6,A133=$M$7,H133*$S$7,A133=$M$8,H133*$S$8,A133=$M$9,H133*$S$9,A133=$M$10,H133*$S$10),"")</f>
        <v>355709.96350605885</v>
      </c>
      <c r="J133" s="3">
        <f t="shared" si="2"/>
        <v>442251.96350605885</v>
      </c>
      <c r="K133" s="3" t="str">
        <f>IFERROR(VLOOKUP(E133,'GASB Match'!$A$2:$C$58,3,FALSE),"")</f>
        <v>0200120</v>
      </c>
    </row>
    <row r="134" spans="1:11" x14ac:dyDescent="0.2">
      <c r="A134">
        <v>2021</v>
      </c>
      <c r="B134" t="s">
        <v>58</v>
      </c>
      <c r="C134" t="s">
        <v>59</v>
      </c>
      <c r="D134" t="s">
        <v>60</v>
      </c>
      <c r="E134" t="s">
        <v>26</v>
      </c>
      <c r="F134">
        <v>744</v>
      </c>
      <c r="G134" s="3">
        <v>94633</v>
      </c>
      <c r="H134" s="5" cm="1">
        <f t="array" ref="H134">IFERROR(_xlfn.IFS(A134=$F$517,G134/$G$517,A134=$F$518,G134/$G$518,A134=$F$519,G134/$G$519,A134=$F$520,G134/$G$520,A134=$F$521,G134/$G$521,A134=$F$522,G134/$G$522,A134=$F$523,G134/$G$523,A134=$F$524,G134/$G$524),"")</f>
        <v>3.2258784769004867E-3</v>
      </c>
      <c r="I134" s="3" cm="1">
        <f t="array" ref="I134">IFERROR(_xlfn.IFS(A134=$M$3,H134*$S$3,A134=$M$4,H134*$S$4,A134=$M$5,H134*$S$5,A134=$M$6,H134*$S$6,A134=$M$7,H134*$S$7,A134=$M$8,H134*$S$8,A134=$M$9,H134*$S$9,A134=$M$10,H134*$S$10),"")</f>
        <v>432493.51772041281</v>
      </c>
      <c r="J134" s="3">
        <f t="shared" si="2"/>
        <v>527126.51772041281</v>
      </c>
      <c r="K134" s="3" t="str">
        <f>IFERROR(VLOOKUP(E134,'GASB Match'!$A$2:$C$58,3,FALSE),"")</f>
        <v>0200120</v>
      </c>
    </row>
    <row r="135" spans="1:11" x14ac:dyDescent="0.2">
      <c r="A135">
        <v>2022</v>
      </c>
      <c r="B135" t="s">
        <v>58</v>
      </c>
      <c r="C135" t="s">
        <v>59</v>
      </c>
      <c r="D135" t="s">
        <v>60</v>
      </c>
      <c r="E135" t="s">
        <v>26</v>
      </c>
      <c r="F135">
        <v>744</v>
      </c>
      <c r="G135" s="3">
        <v>105413</v>
      </c>
      <c r="H135" s="5" cm="1">
        <f t="array" ref="H135">IFERROR(_xlfn.IFS(A135=$F$517,G135/$G$517,A135=$F$518,G135/$G$518,A135=$F$519,G135/$G$519,A135=$F$520,G135/$G$520,A135=$F$521,G135/$G$521,A135=$F$522,G135/$G$522,A135=$F$523,G135/$G$523,A135=$F$524,G135/$G$524),"")</f>
        <v>3.4328313735119379E-3</v>
      </c>
      <c r="I135" s="3" cm="1">
        <f t="array" ref="I135">IFERROR(_xlfn.IFS(A135=$M$3,H135*$S$3,A135=$M$4,H135*$S$4,A135=$M$5,H135*$S$5,A135=$M$6,H135*$S$6,A135=$M$7,H135*$S$7,A135=$M$8,H135*$S$8,A135=$M$9,H135*$S$9,A135=$M$10,H135*$S$10),"")</f>
        <v>486567.42485444422</v>
      </c>
      <c r="J135" s="3">
        <f t="shared" si="2"/>
        <v>591980.42485444422</v>
      </c>
      <c r="K135" s="3" t="str">
        <f>IFERROR(VLOOKUP(E135,'GASB Match'!$A$2:$C$58,3,FALSE),"")</f>
        <v>0200120</v>
      </c>
    </row>
    <row r="136" spans="1:11" x14ac:dyDescent="0.2">
      <c r="A136">
        <v>2023</v>
      </c>
      <c r="B136" t="s">
        <v>58</v>
      </c>
      <c r="C136" t="s">
        <v>59</v>
      </c>
      <c r="D136" t="s">
        <v>60</v>
      </c>
      <c r="E136" t="s">
        <v>26</v>
      </c>
      <c r="F136">
        <v>744</v>
      </c>
      <c r="G136" s="3">
        <v>161678</v>
      </c>
      <c r="H136" s="5" t="str" cm="1">
        <f t="array" ref="H136">IFERROR(_xlfn.IFS(A136=$F$517,G136/$G$517,A136=$F$518,G136/$G$518,A136=$F$519,G136/$G$519,A136=$F$520,G136/$G$520,A136=$F$521,G136/$G$521,A136=$F$522,G136/$G$522,A136=$F$523,G136/$G$523,A136=$F$524,G136/$G$524),"")</f>
        <v/>
      </c>
      <c r="I136" s="3" t="str" cm="1">
        <f t="array" ref="I136">IFERROR(_xlfn.IFS(A136=$M$3,H136*$S$3,A136=$M$4,H136*$S$4,A136=$M$5,H136*$S$5,A136=$M$6,H136*$S$6,A136=$M$7,H136*$S$7,A136=$M$8,H136*$S$8,A136=$M$9,H136*$S$9,A136=$M$10,H136*$S$10),"")</f>
        <v/>
      </c>
      <c r="J136" s="3">
        <f t="shared" si="2"/>
        <v>161678</v>
      </c>
      <c r="K136" s="3" t="str">
        <f>IFERROR(VLOOKUP(E136,'GASB Match'!$A$2:$C$58,3,FALSE),"")</f>
        <v>0200120</v>
      </c>
    </row>
    <row r="137" spans="1:11" x14ac:dyDescent="0.2">
      <c r="A137">
        <v>2015</v>
      </c>
      <c r="B137" t="s">
        <v>58</v>
      </c>
      <c r="C137" t="s">
        <v>59</v>
      </c>
      <c r="D137" t="s">
        <v>60</v>
      </c>
      <c r="E137" t="s">
        <v>3</v>
      </c>
      <c r="F137">
        <v>706</v>
      </c>
      <c r="G137" s="3">
        <v>3876399</v>
      </c>
      <c r="H137" s="5" cm="1">
        <f t="array" ref="H137">IFERROR(_xlfn.IFS(A137=$F$517,G137/$G$517,A137=$F$518,G137/$G$518,A137=$F$519,G137/$G$519,A137=$F$520,G137/$G$520,A137=$F$521,G137/$G$521,A137=$F$522,G137/$G$522,A137=$F$523,G137/$G$523,A137=$F$524,G137/$G$524),"")</f>
        <v>7.9832624939768712E-2</v>
      </c>
      <c r="I137" s="3" cm="1">
        <f t="array" ref="I137">IFERROR(_xlfn.IFS(A137=$M$3,H137*$S$3,A137=$M$4,H137*$S$4,A137=$M$5,H137*$S$5,A137=$M$6,H137*$S$6,A137=$M$7,H137*$S$7,A137=$M$8,H137*$S$8,A137=$M$9,H137*$S$9,A137=$M$10,H137*$S$10),"")</f>
        <v>131765105.49587111</v>
      </c>
      <c r="J137" s="3">
        <f t="shared" si="2"/>
        <v>135641504.49587113</v>
      </c>
      <c r="K137" s="3" t="str">
        <f>IFERROR(VLOOKUP(E137,'GASB Match'!$A$2:$C$58,3,FALSE),"")</f>
        <v>0200600</v>
      </c>
    </row>
    <row r="138" spans="1:11" x14ac:dyDescent="0.2">
      <c r="A138">
        <v>2016</v>
      </c>
      <c r="B138" t="s">
        <v>58</v>
      </c>
      <c r="C138" t="s">
        <v>59</v>
      </c>
      <c r="D138" t="s">
        <v>60</v>
      </c>
      <c r="E138" t="s">
        <v>3</v>
      </c>
      <c r="F138">
        <v>706</v>
      </c>
      <c r="G138" s="3">
        <v>3539896</v>
      </c>
      <c r="H138" s="5" cm="1">
        <f t="array" ref="H138">IFERROR(_xlfn.IFS(A138=$F$517,G138/$G$517,A138=$F$518,G138/$G$518,A138=$F$519,G138/$G$519,A138=$F$520,G138/$G$520,A138=$F$521,G138/$G$521,A138=$F$522,G138/$G$522,A138=$F$523,G138/$G$523,A138=$F$524,G138/$G$524),"")</f>
        <v>0.10377730284422954</v>
      </c>
      <c r="I138" s="3" cm="1">
        <f t="array" ref="I138">IFERROR(_xlfn.IFS(A138=$M$3,H138*$S$3,A138=$M$4,H138*$S$4,A138=$M$5,H138*$S$5,A138=$M$6,H138*$S$6,A138=$M$7,H138*$S$7,A138=$M$8,H138*$S$8,A138=$M$9,H138*$S$9,A138=$M$10,H138*$S$10),"")</f>
        <v>9335541.9468538482</v>
      </c>
      <c r="J138" s="3">
        <f t="shared" si="2"/>
        <v>12875437.946853848</v>
      </c>
      <c r="K138" s="3" t="str">
        <f>IFERROR(VLOOKUP(E138,'GASB Match'!$A$2:$C$58,3,FALSE),"")</f>
        <v>0200600</v>
      </c>
    </row>
    <row r="139" spans="1:11" x14ac:dyDescent="0.2">
      <c r="A139">
        <v>2017</v>
      </c>
      <c r="B139" t="s">
        <v>58</v>
      </c>
      <c r="C139" t="s">
        <v>59</v>
      </c>
      <c r="D139" t="s">
        <v>60</v>
      </c>
      <c r="E139" t="s">
        <v>3</v>
      </c>
      <c r="F139">
        <v>706</v>
      </c>
      <c r="G139" s="3">
        <v>3813656</v>
      </c>
      <c r="H139" s="5" cm="1">
        <f t="array" ref="H139">IFERROR(_xlfn.IFS(A139=$F$517,G139/$G$517,A139=$F$518,G139/$G$518,A139=$F$519,G139/$G$519,A139=$F$520,G139/$G$520,A139=$F$521,G139/$G$521,A139=$F$522,G139/$G$522,A139=$F$523,G139/$G$523,A139=$F$524,G139/$G$524),"")</f>
        <v>0.10209621854395197</v>
      </c>
      <c r="I139" s="3" cm="1">
        <f t="array" ref="I139">IFERROR(_xlfn.IFS(A139=$M$3,H139*$S$3,A139=$M$4,H139*$S$4,A139=$M$5,H139*$S$5,A139=$M$6,H139*$S$6,A139=$M$7,H139*$S$7,A139=$M$8,H139*$S$8,A139=$M$9,H139*$S$9,A139=$M$10,H139*$S$10),"")</f>
        <v>11841143.725627562</v>
      </c>
      <c r="J139" s="3">
        <f t="shared" si="2"/>
        <v>15654799.725627562</v>
      </c>
      <c r="K139" s="3" t="str">
        <f>IFERROR(VLOOKUP(E139,'GASB Match'!$A$2:$C$58,3,FALSE),"")</f>
        <v>0200600</v>
      </c>
    </row>
    <row r="140" spans="1:11" x14ac:dyDescent="0.2">
      <c r="A140">
        <v>2018</v>
      </c>
      <c r="B140" t="s">
        <v>58</v>
      </c>
      <c r="C140" t="s">
        <v>59</v>
      </c>
      <c r="D140" t="s">
        <v>60</v>
      </c>
      <c r="E140" t="s">
        <v>3</v>
      </c>
      <c r="F140">
        <v>706</v>
      </c>
      <c r="G140" s="3">
        <v>4017543</v>
      </c>
      <c r="H140" s="5" cm="1">
        <f t="array" ref="H140">IFERROR(_xlfn.IFS(A140=$F$517,G140/$G$517,A140=$F$518,G140/$G$518,A140=$F$519,G140/$G$519,A140=$F$520,G140/$G$520,A140=$F$521,G140/$G$521,A140=$F$522,G140/$G$522,A140=$F$523,G140/$G$523,A140=$F$524,G140/$G$524),"")</f>
        <v>9.9075601852870246E-2</v>
      </c>
      <c r="I140" s="3" cm="1">
        <f t="array" ref="I140">IFERROR(_xlfn.IFS(A140=$M$3,H140*$S$3,A140=$M$4,H140*$S$4,A140=$M$5,H140*$S$5,A140=$M$6,H140*$S$6,A140=$M$7,H140*$S$7,A140=$M$8,H140*$S$8,A140=$M$9,H140*$S$9,A140=$M$10,H140*$S$10),"")</f>
        <v>11001578.839678502</v>
      </c>
      <c r="J140" s="3">
        <f t="shared" si="2"/>
        <v>15019121.839678502</v>
      </c>
      <c r="K140" s="3" t="str">
        <f>IFERROR(VLOOKUP(E140,'GASB Match'!$A$2:$C$58,3,FALSE),"")</f>
        <v>0200600</v>
      </c>
    </row>
    <row r="141" spans="1:11" x14ac:dyDescent="0.2">
      <c r="A141">
        <v>2019</v>
      </c>
      <c r="B141" t="s">
        <v>58</v>
      </c>
      <c r="C141" t="s">
        <v>59</v>
      </c>
      <c r="D141" t="s">
        <v>60</v>
      </c>
      <c r="E141" t="s">
        <v>3</v>
      </c>
      <c r="F141">
        <v>706</v>
      </c>
      <c r="G141" s="3">
        <v>3731294</v>
      </c>
      <c r="H141" s="5" cm="1">
        <f t="array" ref="H141">IFERROR(_xlfn.IFS(A141=$F$517,G141/$G$517,A141=$F$518,G141/$G$518,A141=$F$519,G141/$G$519,A141=$F$520,G141/$G$520,A141=$F$521,G141/$G$521,A141=$F$522,G141/$G$522,A141=$F$523,G141/$G$523,A141=$F$524,G141/$G$524),"")</f>
        <v>0.10137951129090209</v>
      </c>
      <c r="I141" s="3" cm="1">
        <f t="array" ref="I141">IFERROR(_xlfn.IFS(A141=$M$3,H141*$S$3,A141=$M$4,H141*$S$4,A141=$M$5,H141*$S$5,A141=$M$6,H141*$S$6,A141=$M$7,H141*$S$7,A141=$M$8,H141*$S$8,A141=$M$9,H141*$S$9,A141=$M$10,H141*$S$10),"")</f>
        <v>12912177.327242058</v>
      </c>
      <c r="J141" s="3">
        <f t="shared" si="2"/>
        <v>16643471.327242058</v>
      </c>
      <c r="K141" s="3" t="str">
        <f>IFERROR(VLOOKUP(E141,'GASB Match'!$A$2:$C$58,3,FALSE),"")</f>
        <v>0200600</v>
      </c>
    </row>
    <row r="142" spans="1:11" x14ac:dyDescent="0.2">
      <c r="A142">
        <v>2020</v>
      </c>
      <c r="B142" t="s">
        <v>58</v>
      </c>
      <c r="C142" t="s">
        <v>59</v>
      </c>
      <c r="D142" t="s">
        <v>60</v>
      </c>
      <c r="E142" t="s">
        <v>3</v>
      </c>
      <c r="F142">
        <v>706</v>
      </c>
      <c r="G142" s="3">
        <v>3449080</v>
      </c>
      <c r="H142" s="5" cm="1">
        <f t="array" ref="H142">IFERROR(_xlfn.IFS(A142=$F$517,G142/$G$517,A142=$F$518,G142/$G$518,A142=$F$519,G142/$G$519,A142=$F$520,G142/$G$520,A142=$F$521,G142/$G$521,A142=$F$522,G142/$G$522,A142=$F$523,G142/$G$523,A142=$F$524,G142/$G$524),"")</f>
        <v>0.10110325747784735</v>
      </c>
      <c r="I142" s="3" cm="1">
        <f t="array" ref="I142">IFERROR(_xlfn.IFS(A142=$M$3,H142*$S$3,A142=$M$4,H142*$S$4,A142=$M$5,H142*$S$5,A142=$M$6,H142*$S$6,A142=$M$7,H142*$S$7,A142=$M$8,H142*$S$8,A142=$M$9,H142*$S$9,A142=$M$10,H142*$S$10),"")</f>
        <v>14176609.287160886</v>
      </c>
      <c r="J142" s="3">
        <f t="shared" si="2"/>
        <v>17625689.287160888</v>
      </c>
      <c r="K142" s="3" t="str">
        <f>IFERROR(VLOOKUP(E142,'GASB Match'!$A$2:$C$58,3,FALSE),"")</f>
        <v>0200600</v>
      </c>
    </row>
    <row r="143" spans="1:11" x14ac:dyDescent="0.2">
      <c r="A143">
        <v>2021</v>
      </c>
      <c r="B143" t="s">
        <v>58</v>
      </c>
      <c r="C143" t="s">
        <v>59</v>
      </c>
      <c r="D143" t="s">
        <v>60</v>
      </c>
      <c r="E143" t="s">
        <v>3</v>
      </c>
      <c r="F143">
        <v>706</v>
      </c>
      <c r="G143" s="3">
        <v>2904889</v>
      </c>
      <c r="H143" s="5" cm="1">
        <f t="array" ref="H143">IFERROR(_xlfn.IFS(A143=$F$517,G143/$G$517,A143=$F$518,G143/$G$518,A143=$F$519,G143/$G$519,A143=$F$520,G143/$G$520,A143=$F$521,G143/$G$521,A143=$F$522,G143/$G$522,A143=$F$523,G143/$G$523,A143=$F$524,G143/$G$524),"")</f>
        <v>9.9022739455422296E-2</v>
      </c>
      <c r="I143" s="3" cm="1">
        <f t="array" ref="I143">IFERROR(_xlfn.IFS(A143=$M$3,H143*$S$3,A143=$M$4,H143*$S$4,A143=$M$5,H143*$S$5,A143=$M$6,H143*$S$6,A143=$M$7,H143*$S$7,A143=$M$8,H143*$S$8,A143=$M$9,H143*$S$9,A143=$M$10,H143*$S$10),"")</f>
        <v>13275978.381720249</v>
      </c>
      <c r="J143" s="3">
        <f t="shared" si="2"/>
        <v>16180867.381720249</v>
      </c>
      <c r="K143" s="3" t="str">
        <f>IFERROR(VLOOKUP(E143,'GASB Match'!$A$2:$C$58,3,FALSE),"")</f>
        <v>0200600</v>
      </c>
    </row>
    <row r="144" spans="1:11" x14ac:dyDescent="0.2">
      <c r="A144">
        <v>2022</v>
      </c>
      <c r="B144" t="s">
        <v>58</v>
      </c>
      <c r="C144" t="s">
        <v>59</v>
      </c>
      <c r="D144" t="s">
        <v>60</v>
      </c>
      <c r="E144" t="s">
        <v>3</v>
      </c>
      <c r="F144">
        <v>706</v>
      </c>
      <c r="G144" s="3">
        <v>2690548</v>
      </c>
      <c r="H144" s="5" cm="1">
        <f t="array" ref="H144">IFERROR(_xlfn.IFS(A144=$F$517,G144/$G$517,A144=$F$518,G144/$G$518,A144=$F$519,G144/$G$519,A144=$F$520,G144/$G$520,A144=$F$521,G144/$G$521,A144=$F$522,G144/$G$522,A144=$F$523,G144/$G$523,A144=$F$524,G144/$G$524),"")</f>
        <v>8.7619151208482807E-2</v>
      </c>
      <c r="I144" s="3" cm="1">
        <f t="array" ref="I144">IFERROR(_xlfn.IFS(A144=$M$3,H144*$S$3,A144=$M$4,H144*$S$4,A144=$M$5,H144*$S$5,A144=$M$6,H144*$S$6,A144=$M$7,H144*$S$7,A144=$M$8,H144*$S$8,A144=$M$9,H144*$S$9,A144=$M$10,H144*$S$10),"")</f>
        <v>12419085.044608116</v>
      </c>
      <c r="J144" s="3">
        <f t="shared" si="2"/>
        <v>15109633.044608116</v>
      </c>
      <c r="K144" s="3" t="str">
        <f>IFERROR(VLOOKUP(E144,'GASB Match'!$A$2:$C$58,3,FALSE),"")</f>
        <v>0200600</v>
      </c>
    </row>
    <row r="145" spans="1:11" x14ac:dyDescent="0.2">
      <c r="A145">
        <v>2023</v>
      </c>
      <c r="B145" t="s">
        <v>58</v>
      </c>
      <c r="C145" t="s">
        <v>59</v>
      </c>
      <c r="D145" t="s">
        <v>60</v>
      </c>
      <c r="E145" t="s">
        <v>3</v>
      </c>
      <c r="F145">
        <v>706</v>
      </c>
      <c r="G145" s="3">
        <v>4237258</v>
      </c>
      <c r="H145" s="5" t="str" cm="1">
        <f t="array" ref="H145">IFERROR(_xlfn.IFS(A145=$F$517,G145/$G$517,A145=$F$518,G145/$G$518,A145=$F$519,G145/$G$519,A145=$F$520,G145/$G$520,A145=$F$521,G145/$G$521,A145=$F$522,G145/$G$522,A145=$F$523,G145/$G$523,A145=$F$524,G145/$G$524),"")</f>
        <v/>
      </c>
      <c r="I145" s="3" t="str" cm="1">
        <f t="array" ref="I145">IFERROR(_xlfn.IFS(A145=$M$3,H145*$S$3,A145=$M$4,H145*$S$4,A145=$M$5,H145*$S$5,A145=$M$6,H145*$S$6,A145=$M$7,H145*$S$7,A145=$M$8,H145*$S$8,A145=$M$9,H145*$S$9,A145=$M$10,H145*$S$10),"")</f>
        <v/>
      </c>
      <c r="J145" s="3">
        <f t="shared" si="2"/>
        <v>4237258</v>
      </c>
      <c r="K145" s="3" t="str">
        <f>IFERROR(VLOOKUP(E145,'GASB Match'!$A$2:$C$58,3,FALSE),"")</f>
        <v>0200600</v>
      </c>
    </row>
    <row r="146" spans="1:11" x14ac:dyDescent="0.2">
      <c r="A146">
        <v>2015</v>
      </c>
      <c r="B146" t="s">
        <v>58</v>
      </c>
      <c r="C146" t="s">
        <v>59</v>
      </c>
      <c r="D146" t="s">
        <v>60</v>
      </c>
      <c r="E146" t="s">
        <v>23</v>
      </c>
      <c r="F146">
        <v>735</v>
      </c>
      <c r="G146" s="3">
        <v>266991</v>
      </c>
      <c r="H146" s="5" cm="1">
        <f t="array" ref="H146">IFERROR(_xlfn.IFS(A146=$F$517,G146/$G$517,A146=$F$518,G146/$G$518,A146=$F$519,G146/$G$519,A146=$F$520,G146/$G$520,A146=$F$521,G146/$G$521,A146=$F$522,G146/$G$522,A146=$F$523,G146/$G$523,A146=$F$524,G146/$G$524),"")</f>
        <v>5.498554809578113E-3</v>
      </c>
      <c r="I146" s="3" cm="1">
        <f t="array" ref="I146">IFERROR(_xlfn.IFS(A146=$M$3,H146*$S$3,A146=$M$4,H146*$S$4,A146=$M$5,H146*$S$5,A146=$M$6,H146*$S$6,A146=$M$7,H146*$S$7,A146=$M$8,H146*$S$8,A146=$M$9,H146*$S$9,A146=$M$10,H146*$S$10),"")</f>
        <v>9075458.2491245419</v>
      </c>
      <c r="J146" s="3">
        <f t="shared" si="2"/>
        <v>9342449.2491245419</v>
      </c>
      <c r="K146" s="3" t="str">
        <f>IFERROR(VLOOKUP(E146,'GASB Match'!$A$2:$C$58,3,FALSE),"")</f>
        <v>0200130</v>
      </c>
    </row>
    <row r="147" spans="1:11" x14ac:dyDescent="0.2">
      <c r="A147">
        <v>2016</v>
      </c>
      <c r="B147" t="s">
        <v>58</v>
      </c>
      <c r="C147" t="s">
        <v>59</v>
      </c>
      <c r="D147" t="s">
        <v>60</v>
      </c>
      <c r="E147" t="s">
        <v>23</v>
      </c>
      <c r="F147">
        <v>735</v>
      </c>
      <c r="G147" s="3">
        <v>251851</v>
      </c>
      <c r="H147" s="5" cm="1">
        <f t="array" ref="H147">IFERROR(_xlfn.IFS(A147=$F$517,G147/$G$517,A147=$F$518,G147/$G$518,A147=$F$519,G147/$G$519,A147=$F$520,G147/$G$520,A147=$F$521,G147/$G$521,A147=$F$522,G147/$G$522,A147=$F$523,G147/$G$523,A147=$F$524,G147/$G$524),"")</f>
        <v>7.3833856979476382E-3</v>
      </c>
      <c r="I147" s="3" cm="1">
        <f t="array" ref="I147">IFERROR(_xlfn.IFS(A147=$M$3,H147*$S$3,A147=$M$4,H147*$S$4,A147=$M$5,H147*$S$5,A147=$M$6,H147*$S$6,A147=$M$7,H147*$S$7,A147=$M$8,H147*$S$8,A147=$M$9,H147*$S$9,A147=$M$10,H147*$S$10),"")</f>
        <v>664190.57928738254</v>
      </c>
      <c r="J147" s="3">
        <f t="shared" si="2"/>
        <v>916041.57928738254</v>
      </c>
      <c r="K147" s="3" t="str">
        <f>IFERROR(VLOOKUP(E147,'GASB Match'!$A$2:$C$58,3,FALSE),"")</f>
        <v>0200130</v>
      </c>
    </row>
    <row r="148" spans="1:11" x14ac:dyDescent="0.2">
      <c r="A148">
        <v>2017</v>
      </c>
      <c r="B148" t="s">
        <v>58</v>
      </c>
      <c r="C148" t="s">
        <v>59</v>
      </c>
      <c r="D148" t="s">
        <v>60</v>
      </c>
      <c r="E148" t="s">
        <v>23</v>
      </c>
      <c r="F148">
        <v>735</v>
      </c>
      <c r="G148" s="3">
        <v>281796</v>
      </c>
      <c r="H148" s="5" cm="1">
        <f t="array" ref="H148">IFERROR(_xlfn.IFS(A148=$F$517,G148/$G$517,A148=$F$518,G148/$G$518,A148=$F$519,G148/$G$519,A148=$F$520,G148/$G$520,A148=$F$521,G148/$G$521,A148=$F$522,G148/$G$522,A148=$F$523,G148/$G$523,A148=$F$524,G148/$G$524),"")</f>
        <v>7.5440223241979585E-3</v>
      </c>
      <c r="I148" s="3" cm="1">
        <f t="array" ref="I148">IFERROR(_xlfn.IFS(A148=$M$3,H148*$S$3,A148=$M$4,H148*$S$4,A148=$M$5,H148*$S$5,A148=$M$6,H148*$S$6,A148=$M$7,H148*$S$7,A148=$M$8,H148*$S$8,A148=$M$9,H148*$S$9,A148=$M$10,H148*$S$10),"")</f>
        <v>874957.50463779236</v>
      </c>
      <c r="J148" s="3">
        <f t="shared" si="2"/>
        <v>1156753.5046377922</v>
      </c>
      <c r="K148" s="3" t="str">
        <f>IFERROR(VLOOKUP(E148,'GASB Match'!$A$2:$C$58,3,FALSE),"")</f>
        <v>0200130</v>
      </c>
    </row>
    <row r="149" spans="1:11" x14ac:dyDescent="0.2">
      <c r="A149">
        <v>2018</v>
      </c>
      <c r="B149" t="s">
        <v>58</v>
      </c>
      <c r="C149" t="s">
        <v>59</v>
      </c>
      <c r="D149" t="s">
        <v>60</v>
      </c>
      <c r="E149" t="s">
        <v>23</v>
      </c>
      <c r="F149">
        <v>735</v>
      </c>
      <c r="G149" s="3">
        <v>310877</v>
      </c>
      <c r="H149" s="5" cm="1">
        <f t="array" ref="H149">IFERROR(_xlfn.IFS(A149=$F$517,G149/$G$517,A149=$F$518,G149/$G$518,A149=$F$519,G149/$G$519,A149=$F$520,G149/$G$520,A149=$F$521,G149/$G$521,A149=$F$522,G149/$G$522,A149=$F$523,G149/$G$523,A149=$F$524,G149/$G$524),"")</f>
        <v>7.6664582998152717E-3</v>
      </c>
      <c r="I149" s="3" cm="1">
        <f t="array" ref="I149">IFERROR(_xlfn.IFS(A149=$M$3,H149*$S$3,A149=$M$4,H149*$S$4,A149=$M$5,H149*$S$5,A149=$M$6,H149*$S$6,A149=$M$7,H149*$S$7,A149=$M$8,H149*$S$8,A149=$M$9,H149*$S$9,A149=$M$10,H149*$S$10),"")</f>
        <v>851300.86347370362</v>
      </c>
      <c r="J149" s="3">
        <f t="shared" si="2"/>
        <v>1162177.8634737036</v>
      </c>
      <c r="K149" s="3" t="str">
        <f>IFERROR(VLOOKUP(E149,'GASB Match'!$A$2:$C$58,3,FALSE),"")</f>
        <v>0200130</v>
      </c>
    </row>
    <row r="150" spans="1:11" x14ac:dyDescent="0.2">
      <c r="A150">
        <v>2019</v>
      </c>
      <c r="B150" t="s">
        <v>58</v>
      </c>
      <c r="C150" t="s">
        <v>59</v>
      </c>
      <c r="D150" t="s">
        <v>60</v>
      </c>
      <c r="E150" t="s">
        <v>23</v>
      </c>
      <c r="F150">
        <v>735</v>
      </c>
      <c r="G150" s="3">
        <v>221982</v>
      </c>
      <c r="H150" s="5" cm="1">
        <f t="array" ref="H150">IFERROR(_xlfn.IFS(A150=$F$517,G150/$G$517,A150=$F$518,G150/$G$518,A150=$F$519,G150/$G$519,A150=$F$520,G150/$G$520,A150=$F$521,G150/$G$521,A150=$F$522,G150/$G$522,A150=$F$523,G150/$G$523,A150=$F$524,G150/$G$524),"")</f>
        <v>6.0312660099625034E-3</v>
      </c>
      <c r="I150" s="3" cm="1">
        <f t="array" ref="I150">IFERROR(_xlfn.IFS(A150=$M$3,H150*$S$3,A150=$M$4,H150*$S$4,A150=$M$5,H150*$S$5,A150=$M$6,H150*$S$6,A150=$M$7,H150*$S$7,A150=$M$8,H150*$S$8,A150=$M$9,H150*$S$9,A150=$M$10,H150*$S$10),"")</f>
        <v>768170.75991756388</v>
      </c>
      <c r="J150" s="3">
        <f t="shared" si="2"/>
        <v>990152.75991756388</v>
      </c>
      <c r="K150" s="3" t="str">
        <f>IFERROR(VLOOKUP(E150,'GASB Match'!$A$2:$C$58,3,FALSE),"")</f>
        <v>0200130</v>
      </c>
    </row>
    <row r="151" spans="1:11" x14ac:dyDescent="0.2">
      <c r="A151">
        <v>2020</v>
      </c>
      <c r="B151" t="s">
        <v>58</v>
      </c>
      <c r="C151" t="s">
        <v>59</v>
      </c>
      <c r="D151" t="s">
        <v>60</v>
      </c>
      <c r="E151" t="s">
        <v>23</v>
      </c>
      <c r="F151">
        <v>735</v>
      </c>
      <c r="G151" s="3">
        <v>264334</v>
      </c>
      <c r="H151" s="5" cm="1">
        <f t="array" ref="H151">IFERROR(_xlfn.IFS(A151=$F$517,G151/$G$517,A151=$F$518,G151/$G$518,A151=$F$519,G151/$G$519,A151=$F$520,G151/$G$520,A151=$F$521,G151/$G$521,A151=$F$522,G151/$G$522,A151=$F$523,G151/$G$523,A151=$F$524,G151/$G$524),"")</f>
        <v>7.7484513151765983E-3</v>
      </c>
      <c r="I151" s="3" cm="1">
        <f t="array" ref="I151">IFERROR(_xlfn.IFS(A151=$M$3,H151*$S$3,A151=$M$4,H151*$S$4,A151=$M$5,H151*$S$5,A151=$M$6,H151*$S$6,A151=$M$7,H151*$S$7,A151=$M$8,H151*$S$8,A151=$M$9,H151*$S$9,A151=$M$10,H151*$S$10),"")</f>
        <v>1086480.9860346487</v>
      </c>
      <c r="J151" s="3">
        <f t="shared" si="2"/>
        <v>1350814.9860346487</v>
      </c>
      <c r="K151" s="3" t="str">
        <f>IFERROR(VLOOKUP(E151,'GASB Match'!$A$2:$C$58,3,FALSE),"")</f>
        <v>0200130</v>
      </c>
    </row>
    <row r="152" spans="1:11" x14ac:dyDescent="0.2">
      <c r="A152">
        <v>2021</v>
      </c>
      <c r="B152" t="s">
        <v>58</v>
      </c>
      <c r="C152" t="s">
        <v>59</v>
      </c>
      <c r="D152" t="s">
        <v>60</v>
      </c>
      <c r="E152" t="s">
        <v>23</v>
      </c>
      <c r="F152">
        <v>735</v>
      </c>
      <c r="G152" s="3">
        <v>209084</v>
      </c>
      <c r="H152" s="5" cm="1">
        <f t="array" ref="H152">IFERROR(_xlfn.IFS(A152=$F$517,G152/$G$517,A152=$F$518,G152/$G$518,A152=$F$519,G152/$G$519,A152=$F$520,G152/$G$520,A152=$F$521,G152/$G$521,A152=$F$522,G152/$G$522,A152=$F$523,G152/$G$523,A152=$F$524,G152/$G$524),"")</f>
        <v>7.1273189634087622E-3</v>
      </c>
      <c r="I152" s="3" cm="1">
        <f t="array" ref="I152">IFERROR(_xlfn.IFS(A152=$M$3,H152*$S$3,A152=$M$4,H152*$S$4,A152=$M$5,H152*$S$5,A152=$M$6,H152*$S$6,A152=$M$7,H152*$S$7,A152=$M$8,H152*$S$8,A152=$M$9,H152*$S$9,A152=$M$10,H152*$S$10),"")</f>
        <v>955559.63204225583</v>
      </c>
      <c r="J152" s="3">
        <f t="shared" si="2"/>
        <v>1164643.6320422557</v>
      </c>
      <c r="K152" s="3" t="str">
        <f>IFERROR(VLOOKUP(E152,'GASB Match'!$A$2:$C$58,3,FALSE),"")</f>
        <v>0200130</v>
      </c>
    </row>
    <row r="153" spans="1:11" x14ac:dyDescent="0.2">
      <c r="A153">
        <v>2022</v>
      </c>
      <c r="B153" t="s">
        <v>58</v>
      </c>
      <c r="C153" t="s">
        <v>59</v>
      </c>
      <c r="D153" t="s">
        <v>60</v>
      </c>
      <c r="E153" t="s">
        <v>23</v>
      </c>
      <c r="F153">
        <v>735</v>
      </c>
      <c r="G153" s="3">
        <v>294258</v>
      </c>
      <c r="H153" s="5" cm="1">
        <f t="array" ref="H153">IFERROR(_xlfn.IFS(A153=$F$517,G153/$G$517,A153=$F$518,G153/$G$518,A153=$F$519,G153/$G$519,A153=$F$520,G153/$G$520,A153=$F$521,G153/$G$521,A153=$F$522,G153/$G$522,A153=$F$523,G153/$G$523,A153=$F$524,G153/$G$524),"")</f>
        <v>9.5826709637983534E-3</v>
      </c>
      <c r="I153" s="3" cm="1">
        <f t="array" ref="I153">IFERROR(_xlfn.IFS(A153=$M$3,H153*$S$3,A153=$M$4,H153*$S$4,A153=$M$5,H153*$S$5,A153=$M$6,H153*$S$6,A153=$M$7,H153*$S$7,A153=$M$8,H153*$S$8,A153=$M$9,H153*$S$9,A153=$M$10,H153*$S$10),"")</f>
        <v>1358241.9369794908</v>
      </c>
      <c r="J153" s="3">
        <f t="shared" si="2"/>
        <v>1652499.9369794908</v>
      </c>
      <c r="K153" s="3" t="str">
        <f>IFERROR(VLOOKUP(E153,'GASB Match'!$A$2:$C$58,3,FALSE),"")</f>
        <v>0200130</v>
      </c>
    </row>
    <row r="154" spans="1:11" x14ac:dyDescent="0.2">
      <c r="A154">
        <v>2023</v>
      </c>
      <c r="B154" t="s">
        <v>58</v>
      </c>
      <c r="C154" t="s">
        <v>59</v>
      </c>
      <c r="D154" t="s">
        <v>60</v>
      </c>
      <c r="E154" t="s">
        <v>23</v>
      </c>
      <c r="F154">
        <v>735</v>
      </c>
      <c r="G154" s="3">
        <v>437721</v>
      </c>
      <c r="H154" s="5" t="str" cm="1">
        <f t="array" ref="H154">IFERROR(_xlfn.IFS(A154=$F$517,G154/$G$517,A154=$F$518,G154/$G$518,A154=$F$519,G154/$G$519,A154=$F$520,G154/$G$520,A154=$F$521,G154/$G$521,A154=$F$522,G154/$G$522,A154=$F$523,G154/$G$523,A154=$F$524,G154/$G$524),"")</f>
        <v/>
      </c>
      <c r="I154" s="3" t="str" cm="1">
        <f t="array" ref="I154">IFERROR(_xlfn.IFS(A154=$M$3,H154*$S$3,A154=$M$4,H154*$S$4,A154=$M$5,H154*$S$5,A154=$M$6,H154*$S$6,A154=$M$7,H154*$S$7,A154=$M$8,H154*$S$8,A154=$M$9,H154*$S$9,A154=$M$10,H154*$S$10),"")</f>
        <v/>
      </c>
      <c r="J154" s="3">
        <f t="shared" si="2"/>
        <v>437721</v>
      </c>
      <c r="K154" s="3" t="str">
        <f>IFERROR(VLOOKUP(E154,'GASB Match'!$A$2:$C$58,3,FALSE),"")</f>
        <v>0200130</v>
      </c>
    </row>
    <row r="155" spans="1:11" x14ac:dyDescent="0.2">
      <c r="A155">
        <v>2015</v>
      </c>
      <c r="B155" t="s">
        <v>58</v>
      </c>
      <c r="C155" t="s">
        <v>59</v>
      </c>
      <c r="D155" t="s">
        <v>60</v>
      </c>
      <c r="E155" t="s">
        <v>4</v>
      </c>
      <c r="F155">
        <v>707</v>
      </c>
      <c r="G155" s="3">
        <v>67346</v>
      </c>
      <c r="H155" s="5" cm="1">
        <f t="array" ref="H155">IFERROR(_xlfn.IFS(A155=$F$517,G155/$G$517,A155=$F$518,G155/$G$518,A155=$F$519,G155/$G$519,A155=$F$520,G155/$G$520,A155=$F$521,G155/$G$521,A155=$F$522,G155/$G$522,A155=$F$523,G155/$G$523,A155=$F$524,G155/$G$524),"")</f>
        <v>1.3869593814242714E-3</v>
      </c>
      <c r="I155" s="3" cm="1">
        <f t="array" ref="I155">IFERROR(_xlfn.IFS(A155=$M$3,H155*$S$3,A155=$M$4,H155*$S$4,A155=$M$5,H155*$S$5,A155=$M$6,H155*$S$6,A155=$M$7,H155*$S$7,A155=$M$8,H155*$S$8,A155=$M$9,H155*$S$9,A155=$M$10,H155*$S$10),"")</f>
        <v>2289200.0526067973</v>
      </c>
      <c r="J155" s="3">
        <f t="shared" si="2"/>
        <v>2356546.0526067973</v>
      </c>
      <c r="K155" s="3" t="str">
        <f>IFERROR(VLOOKUP(E155,'GASB Match'!$A$2:$C$58,3,FALSE),"")</f>
        <v>0200270</v>
      </c>
    </row>
    <row r="156" spans="1:11" x14ac:dyDescent="0.2">
      <c r="A156">
        <v>2016</v>
      </c>
      <c r="B156" t="s">
        <v>58</v>
      </c>
      <c r="C156" t="s">
        <v>59</v>
      </c>
      <c r="D156" t="s">
        <v>60</v>
      </c>
      <c r="E156" t="s">
        <v>4</v>
      </c>
      <c r="F156">
        <v>707</v>
      </c>
      <c r="G156" s="3">
        <v>46281</v>
      </c>
      <c r="H156" s="5" cm="1">
        <f t="array" ref="H156">IFERROR(_xlfn.IFS(A156=$F$517,G156/$G$517,A156=$F$518,G156/$G$518,A156=$F$519,G156/$G$519,A156=$F$520,G156/$G$520,A156=$F$521,G156/$G$521,A156=$F$522,G156/$G$522,A156=$F$523,G156/$G$523,A156=$F$524,G156/$G$524),"")</f>
        <v>1.3567961750666649E-3</v>
      </c>
      <c r="I156" s="3" cm="1">
        <f t="array" ref="I156">IFERROR(_xlfn.IFS(A156=$M$3,H156*$S$3,A156=$M$4,H156*$S$4,A156=$M$5,H156*$S$5,A156=$M$6,H156*$S$6,A156=$M$7,H156*$S$7,A156=$M$8,H156*$S$8,A156=$M$9,H156*$S$9,A156=$M$10,H156*$S$10),"")</f>
        <v>122053.92950593545</v>
      </c>
      <c r="J156" s="3">
        <f t="shared" si="2"/>
        <v>168334.92950593546</v>
      </c>
      <c r="K156" s="3" t="str">
        <f>IFERROR(VLOOKUP(E156,'GASB Match'!$A$2:$C$58,3,FALSE),"")</f>
        <v>0200270</v>
      </c>
    </row>
    <row r="157" spans="1:11" x14ac:dyDescent="0.2">
      <c r="A157">
        <v>2017</v>
      </c>
      <c r="B157" t="s">
        <v>58</v>
      </c>
      <c r="C157" t="s">
        <v>59</v>
      </c>
      <c r="D157" t="s">
        <v>60</v>
      </c>
      <c r="E157" t="s">
        <v>4</v>
      </c>
      <c r="F157">
        <v>707</v>
      </c>
      <c r="G157" s="3">
        <v>65343</v>
      </c>
      <c r="H157" s="5" cm="1">
        <f t="array" ref="H157">IFERROR(_xlfn.IFS(A157=$F$517,G157/$G$517,A157=$F$518,G157/$G$518,A157=$F$519,G157/$G$519,A157=$F$520,G157/$G$520,A157=$F$521,G157/$G$521,A157=$F$522,G157/$G$522,A157=$F$523,G157/$G$523,A157=$F$524,G157/$G$524),"")</f>
        <v>1.7493117387403199E-3</v>
      </c>
      <c r="I157" s="3" cm="1">
        <f t="array" ref="I157">IFERROR(_xlfn.IFS(A157=$M$3,H157*$S$3,A157=$M$4,H157*$S$4,A157=$M$5,H157*$S$5,A157=$M$6,H157*$S$6,A157=$M$7,H157*$S$7,A157=$M$8,H157*$S$8,A157=$M$9,H157*$S$9,A157=$M$10,H157*$S$10),"")</f>
        <v>202885.59179529612</v>
      </c>
      <c r="J157" s="3">
        <f t="shared" si="2"/>
        <v>268228.59179529612</v>
      </c>
      <c r="K157" s="3" t="str">
        <f>IFERROR(VLOOKUP(E157,'GASB Match'!$A$2:$C$58,3,FALSE),"")</f>
        <v>0200270</v>
      </c>
    </row>
    <row r="158" spans="1:11" x14ac:dyDescent="0.2">
      <c r="A158">
        <v>2018</v>
      </c>
      <c r="B158" t="s">
        <v>58</v>
      </c>
      <c r="C158" t="s">
        <v>59</v>
      </c>
      <c r="D158" t="s">
        <v>60</v>
      </c>
      <c r="E158" t="s">
        <v>4</v>
      </c>
      <c r="F158">
        <v>707</v>
      </c>
      <c r="G158" s="3">
        <v>60119</v>
      </c>
      <c r="H158" s="5" cm="1">
        <f t="array" ref="H158">IFERROR(_xlfn.IFS(A158=$F$517,G158/$G$517,A158=$F$518,G158/$G$518,A158=$F$519,G158/$G$519,A158=$F$520,G158/$G$520,A158=$F$521,G158/$G$521,A158=$F$522,G158/$G$522,A158=$F$523,G158/$G$523,A158=$F$524,G158/$G$524),"")</f>
        <v>1.4825793047623154E-3</v>
      </c>
      <c r="I158" s="3" cm="1">
        <f t="array" ref="I158">IFERROR(_xlfn.IFS(A158=$M$3,H158*$S$3,A158=$M$4,H158*$S$4,A158=$M$5,H158*$S$5,A158=$M$6,H158*$S$6,A158=$M$7,H158*$S$7,A158=$M$8,H158*$S$8,A158=$M$9,H158*$S$9,A158=$M$10,H158*$S$10),"")</f>
        <v>164628.95811261557</v>
      </c>
      <c r="J158" s="3">
        <f t="shared" si="2"/>
        <v>224747.95811261557</v>
      </c>
      <c r="K158" s="3" t="str">
        <f>IFERROR(VLOOKUP(E158,'GASB Match'!$A$2:$C$58,3,FALSE),"")</f>
        <v>0200270</v>
      </c>
    </row>
    <row r="159" spans="1:11" x14ac:dyDescent="0.2">
      <c r="A159">
        <v>2019</v>
      </c>
      <c r="B159" t="s">
        <v>58</v>
      </c>
      <c r="C159" t="s">
        <v>59</v>
      </c>
      <c r="D159" t="s">
        <v>60</v>
      </c>
      <c r="E159" t="s">
        <v>4</v>
      </c>
      <c r="F159">
        <v>707</v>
      </c>
      <c r="G159" s="3">
        <v>38117</v>
      </c>
      <c r="H159" s="5" cm="1">
        <f t="array" ref="H159">IFERROR(_xlfn.IFS(A159=$F$517,G159/$G$517,A159=$F$518,G159/$G$518,A159=$F$519,G159/$G$519,A159=$F$520,G159/$G$520,A159=$F$521,G159/$G$521,A159=$F$522,G159/$G$522,A159=$F$523,G159/$G$523,A159=$F$524,G159/$G$524),"")</f>
        <v>1.0356414776952218E-3</v>
      </c>
      <c r="I159" s="3" cm="1">
        <f t="array" ref="I159">IFERROR(_xlfn.IFS(A159=$M$3,H159*$S$3,A159=$M$4,H159*$S$4,A159=$M$5,H159*$S$5,A159=$M$6,H159*$S$6,A159=$M$7,H159*$S$7,A159=$M$8,H159*$S$8,A159=$M$9,H159*$S$9,A159=$M$10,H159*$S$10),"")</f>
        <v>131904.23032398024</v>
      </c>
      <c r="J159" s="3">
        <f t="shared" si="2"/>
        <v>170021.23032398024</v>
      </c>
      <c r="K159" s="3" t="str">
        <f>IFERROR(VLOOKUP(E159,'GASB Match'!$A$2:$C$58,3,FALSE),"")</f>
        <v>0200270</v>
      </c>
    </row>
    <row r="160" spans="1:11" x14ac:dyDescent="0.2">
      <c r="A160">
        <v>2020</v>
      </c>
      <c r="B160" t="s">
        <v>58</v>
      </c>
      <c r="C160" t="s">
        <v>59</v>
      </c>
      <c r="D160" t="s">
        <v>60</v>
      </c>
      <c r="E160" t="s">
        <v>4</v>
      </c>
      <c r="F160">
        <v>707</v>
      </c>
      <c r="G160" s="3">
        <v>42278</v>
      </c>
      <c r="H160" s="5" cm="1">
        <f t="array" ref="H160">IFERROR(_xlfn.IFS(A160=$F$517,G160/$G$517,A160=$F$518,G160/$G$518,A160=$F$519,G160/$G$519,A160=$F$520,G160/$G$520,A160=$F$521,G160/$G$521,A160=$F$522,G160/$G$522,A160=$F$523,G160/$G$523,A160=$F$524,G160/$G$524),"")</f>
        <v>1.2392996160275871E-3</v>
      </c>
      <c r="I160" s="3" cm="1">
        <f t="array" ref="I160">IFERROR(_xlfn.IFS(A160=$M$3,H160*$S$3,A160=$M$4,H160*$S$4,A160=$M$5,H160*$S$5,A160=$M$6,H160*$S$6,A160=$M$7,H160*$S$7,A160=$M$8,H160*$S$8,A160=$M$9,H160*$S$9,A160=$M$10,H160*$S$10),"")</f>
        <v>173773.49537922809</v>
      </c>
      <c r="J160" s="3">
        <f t="shared" si="2"/>
        <v>216051.49537922809</v>
      </c>
      <c r="K160" s="3" t="str">
        <f>IFERROR(VLOOKUP(E160,'GASB Match'!$A$2:$C$58,3,FALSE),"")</f>
        <v>0200270</v>
      </c>
    </row>
    <row r="161" spans="1:11" x14ac:dyDescent="0.2">
      <c r="A161">
        <v>2021</v>
      </c>
      <c r="B161" t="s">
        <v>58</v>
      </c>
      <c r="C161" t="s">
        <v>59</v>
      </c>
      <c r="D161" t="s">
        <v>60</v>
      </c>
      <c r="E161" t="s">
        <v>4</v>
      </c>
      <c r="F161">
        <v>707</v>
      </c>
      <c r="G161" s="3">
        <v>44989</v>
      </c>
      <c r="H161" s="5" cm="1">
        <f t="array" ref="H161">IFERROR(_xlfn.IFS(A161=$F$517,G161/$G$517,A161=$F$518,G161/$G$518,A161=$F$519,G161/$G$519,A161=$F$520,G161/$G$520,A161=$F$521,G161/$G$521,A161=$F$522,G161/$G$522,A161=$F$523,G161/$G$523,A161=$F$524,G161/$G$524),"")</f>
        <v>1.533598710780341E-3</v>
      </c>
      <c r="I161" s="3" cm="1">
        <f t="array" ref="I161">IFERROR(_xlfn.IFS(A161=$M$3,H161*$S$3,A161=$M$4,H161*$S$4,A161=$M$5,H161*$S$5,A161=$M$6,H161*$S$6,A161=$M$7,H161*$S$7,A161=$M$8,H161*$S$8,A161=$M$9,H161*$S$9,A161=$M$10,H161*$S$10),"")</f>
        <v>205609.57455352417</v>
      </c>
      <c r="J161" s="3">
        <f t="shared" si="2"/>
        <v>250598.57455352417</v>
      </c>
      <c r="K161" s="3" t="str">
        <f>IFERROR(VLOOKUP(E161,'GASB Match'!$A$2:$C$58,3,FALSE),"")</f>
        <v>0200270</v>
      </c>
    </row>
    <row r="162" spans="1:11" x14ac:dyDescent="0.2">
      <c r="A162">
        <v>2022</v>
      </c>
      <c r="B162" t="s">
        <v>58</v>
      </c>
      <c r="C162" t="s">
        <v>59</v>
      </c>
      <c r="D162" t="s">
        <v>60</v>
      </c>
      <c r="E162" t="s">
        <v>4</v>
      </c>
      <c r="F162">
        <v>707</v>
      </c>
      <c r="G162" s="3">
        <v>49448</v>
      </c>
      <c r="H162" s="5" cm="1">
        <f t="array" ref="H162">IFERROR(_xlfn.IFS(A162=$F$517,G162/$G$517,A162=$F$518,G162/$G$518,A162=$F$519,G162/$G$519,A162=$F$520,G162/$G$520,A162=$F$521,G162/$G$521,A162=$F$522,G162/$G$522,A162=$F$523,G162/$G$523,A162=$F$524,G162/$G$524),"")</f>
        <v>1.6103008714050289E-3</v>
      </c>
      <c r="I162" s="3" cm="1">
        <f t="array" ref="I162">IFERROR(_xlfn.IFS(A162=$M$3,H162*$S$3,A162=$M$4,H162*$S$4,A162=$M$5,H162*$S$5,A162=$M$6,H162*$S$6,A162=$M$7,H162*$S$7,A162=$M$8,H162*$S$8,A162=$M$9,H162*$S$9,A162=$M$10,H162*$S$10),"")</f>
        <v>228243.06322941725</v>
      </c>
      <c r="J162" s="3">
        <f t="shared" si="2"/>
        <v>277691.06322941725</v>
      </c>
      <c r="K162" s="3" t="str">
        <f>IFERROR(VLOOKUP(E162,'GASB Match'!$A$2:$C$58,3,FALSE),"")</f>
        <v>0200270</v>
      </c>
    </row>
    <row r="163" spans="1:11" x14ac:dyDescent="0.2">
      <c r="A163">
        <v>2023</v>
      </c>
      <c r="B163" t="s">
        <v>58</v>
      </c>
      <c r="C163" t="s">
        <v>59</v>
      </c>
      <c r="D163" t="s">
        <v>60</v>
      </c>
      <c r="E163" t="s">
        <v>4</v>
      </c>
      <c r="F163">
        <v>707</v>
      </c>
      <c r="G163" s="3">
        <v>63772</v>
      </c>
      <c r="H163" s="5" t="str" cm="1">
        <f t="array" ref="H163">IFERROR(_xlfn.IFS(A163=$F$517,G163/$G$517,A163=$F$518,G163/$G$518,A163=$F$519,G163/$G$519,A163=$F$520,G163/$G$520,A163=$F$521,G163/$G$521,A163=$F$522,G163/$G$522,A163=$F$523,G163/$G$523,A163=$F$524,G163/$G$524),"")</f>
        <v/>
      </c>
      <c r="I163" s="3" t="str" cm="1">
        <f t="array" ref="I163">IFERROR(_xlfn.IFS(A163=$M$3,H163*$S$3,A163=$M$4,H163*$S$4,A163=$M$5,H163*$S$5,A163=$M$6,H163*$S$6,A163=$M$7,H163*$S$7,A163=$M$8,H163*$S$8,A163=$M$9,H163*$S$9,A163=$M$10,H163*$S$10),"")</f>
        <v/>
      </c>
      <c r="J163" s="3">
        <f t="shared" si="2"/>
        <v>63772</v>
      </c>
      <c r="K163" s="3" t="str">
        <f>IFERROR(VLOOKUP(E163,'GASB Match'!$A$2:$C$58,3,FALSE),"")</f>
        <v>0200270</v>
      </c>
    </row>
    <row r="164" spans="1:11" x14ac:dyDescent="0.2">
      <c r="A164">
        <v>2015</v>
      </c>
      <c r="B164" t="s">
        <v>58</v>
      </c>
      <c r="C164" t="s">
        <v>59</v>
      </c>
      <c r="D164" t="s">
        <v>60</v>
      </c>
      <c r="E164" t="s">
        <v>5</v>
      </c>
      <c r="F164">
        <v>708</v>
      </c>
      <c r="G164" s="3">
        <v>46109</v>
      </c>
      <c r="H164" s="5" cm="1">
        <f t="array" ref="H164">IFERROR(_xlfn.IFS(A164=$F$517,G164/$G$517,A164=$F$518,G164/$G$518,A164=$F$519,G164/$G$519,A164=$F$520,G164/$G$520,A164=$F$521,G164/$G$521,A164=$F$522,G164/$G$522,A164=$F$523,G164/$G$523,A164=$F$524,G164/$G$524),"")</f>
        <v>9.4959329608427709E-4</v>
      </c>
      <c r="I164" s="3" cm="1">
        <f t="array" ref="I164">IFERROR(_xlfn.IFS(A164=$M$3,H164*$S$3,A164=$M$4,H164*$S$4,A164=$M$5,H164*$S$5,A164=$M$6,H164*$S$6,A164=$M$7,H164*$S$7,A164=$M$8,H164*$S$8,A164=$M$9,H164*$S$9,A164=$M$10,H164*$S$10),"")</f>
        <v>1567319.8887186591</v>
      </c>
      <c r="J164" s="3">
        <f t="shared" si="2"/>
        <v>1613428.8887186591</v>
      </c>
      <c r="K164" s="3" t="str">
        <f>IFERROR(VLOOKUP(E164,'GASB Match'!$A$2:$C$58,3,FALSE),"")</f>
        <v>0200300</v>
      </c>
    </row>
    <row r="165" spans="1:11" x14ac:dyDescent="0.2">
      <c r="A165">
        <v>2016</v>
      </c>
      <c r="B165" t="s">
        <v>58</v>
      </c>
      <c r="C165" t="s">
        <v>59</v>
      </c>
      <c r="D165" t="s">
        <v>60</v>
      </c>
      <c r="E165" t="s">
        <v>5</v>
      </c>
      <c r="F165">
        <v>708</v>
      </c>
      <c r="G165" s="3">
        <v>44648</v>
      </c>
      <c r="H165" s="5" cm="1">
        <f t="array" ref="H165">IFERROR(_xlfn.IFS(A165=$F$517,G165/$G$517,A165=$F$518,G165/$G$518,A165=$F$519,G165/$G$519,A165=$F$520,G165/$G$520,A165=$F$521,G165/$G$521,A165=$F$522,G165/$G$522,A165=$F$523,G165/$G$523,A165=$F$524,G165/$G$524),"")</f>
        <v>1.3089223574334274E-3</v>
      </c>
      <c r="I165" s="3" cm="1">
        <f t="array" ref="I165">IFERROR(_xlfn.IFS(A165=$M$3,H165*$S$3,A165=$M$4,H165*$S$4,A165=$M$5,H165*$S$5,A165=$M$6,H165*$S$6,A165=$M$7,H165*$S$7,A165=$M$8,H165*$S$8,A165=$M$9,H165*$S$9,A165=$M$10,H165*$S$10),"")</f>
        <v>117747.3227583891</v>
      </c>
      <c r="J165" s="3">
        <f t="shared" si="2"/>
        <v>162395.32275838911</v>
      </c>
      <c r="K165" s="3" t="str">
        <f>IFERROR(VLOOKUP(E165,'GASB Match'!$A$2:$C$58,3,FALSE),"")</f>
        <v>0200300</v>
      </c>
    </row>
    <row r="166" spans="1:11" x14ac:dyDescent="0.2">
      <c r="A166">
        <v>2017</v>
      </c>
      <c r="B166" t="s">
        <v>58</v>
      </c>
      <c r="C166" t="s">
        <v>59</v>
      </c>
      <c r="D166" t="s">
        <v>60</v>
      </c>
      <c r="E166" t="s">
        <v>5</v>
      </c>
      <c r="F166">
        <v>708</v>
      </c>
      <c r="G166" s="3">
        <v>39307</v>
      </c>
      <c r="H166" s="5" cm="1">
        <f t="array" ref="H166">IFERROR(_xlfn.IFS(A166=$F$517,G166/$G$517,A166=$F$518,G166/$G$518,A166=$F$519,G166/$G$519,A166=$F$520,G166/$G$520,A166=$F$521,G166/$G$521,A166=$F$522,G166/$G$522,A166=$F$523,G166/$G$523,A166=$F$524,G166/$G$524),"")</f>
        <v>1.0522962905692385E-3</v>
      </c>
      <c r="I166" s="3" cm="1">
        <f t="array" ref="I166">IFERROR(_xlfn.IFS(A166=$M$3,H166*$S$3,A166=$M$4,H166*$S$4,A166=$M$5,H166*$S$5,A166=$M$6,H166*$S$6,A166=$M$7,H166*$S$7,A166=$M$8,H166*$S$8,A166=$M$9,H166*$S$9,A166=$M$10,H166*$S$10),"")</f>
        <v>122045.57422673743</v>
      </c>
      <c r="J166" s="3">
        <f t="shared" si="2"/>
        <v>161352.57422673743</v>
      </c>
      <c r="K166" s="3" t="str">
        <f>IFERROR(VLOOKUP(E166,'GASB Match'!$A$2:$C$58,3,FALSE),"")</f>
        <v>0200300</v>
      </c>
    </row>
    <row r="167" spans="1:11" x14ac:dyDescent="0.2">
      <c r="A167">
        <v>2018</v>
      </c>
      <c r="B167" t="s">
        <v>58</v>
      </c>
      <c r="C167" t="s">
        <v>59</v>
      </c>
      <c r="D167" t="s">
        <v>60</v>
      </c>
      <c r="E167" t="s">
        <v>5</v>
      </c>
      <c r="F167">
        <v>708</v>
      </c>
      <c r="G167" s="3">
        <v>21575</v>
      </c>
      <c r="H167" s="5" cm="1">
        <f t="array" ref="H167">IFERROR(_xlfn.IFS(A167=$F$517,G167/$G$517,A167=$F$518,G167/$G$518,A167=$F$519,G167/$G$519,A167=$F$520,G167/$G$520,A167=$F$521,G167/$G$521,A167=$F$522,G167/$G$522,A167=$F$523,G167/$G$523,A167=$F$524,G167/$G$524),"")</f>
        <v>5.3205556480059467E-4</v>
      </c>
      <c r="I167" s="3" cm="1">
        <f t="array" ref="I167">IFERROR(_xlfn.IFS(A167=$M$3,H167*$S$3,A167=$M$4,H167*$S$4,A167=$M$5,H167*$S$5,A167=$M$6,H167*$S$6,A167=$M$7,H167*$S$7,A167=$M$8,H167*$S$8,A167=$M$9,H167*$S$9,A167=$M$10,H167*$S$10),"")</f>
        <v>59080.652893090046</v>
      </c>
      <c r="J167" s="3">
        <f t="shared" si="2"/>
        <v>80655.652893090039</v>
      </c>
      <c r="K167" s="3" t="str">
        <f>IFERROR(VLOOKUP(E167,'GASB Match'!$A$2:$C$58,3,FALSE),"")</f>
        <v>0200300</v>
      </c>
    </row>
    <row r="168" spans="1:11" x14ac:dyDescent="0.2">
      <c r="A168">
        <v>2019</v>
      </c>
      <c r="B168" t="s">
        <v>58</v>
      </c>
      <c r="C168" t="s">
        <v>59</v>
      </c>
      <c r="D168" t="s">
        <v>60</v>
      </c>
      <c r="E168" t="s">
        <v>5</v>
      </c>
      <c r="F168">
        <v>708</v>
      </c>
      <c r="G168" s="3">
        <v>27354</v>
      </c>
      <c r="H168" s="5" cm="1">
        <f t="array" ref="H168">IFERROR(_xlfn.IFS(A168=$F$517,G168/$G$517,A168=$F$518,G168/$G$518,A168=$F$519,G168/$G$519,A168=$F$520,G168/$G$520,A168=$F$521,G168/$G$521,A168=$F$522,G168/$G$522,A168=$F$523,G168/$G$523,A168=$F$524,G168/$G$524),"")</f>
        <v>7.4321003701432683E-4</v>
      </c>
      <c r="I168" s="3" cm="1">
        <f t="array" ref="I168">IFERROR(_xlfn.IFS(A168=$M$3,H168*$S$3,A168=$M$4,H168*$S$4,A168=$M$5,H168*$S$5,A168=$M$6,H168*$S$6,A168=$M$7,H168*$S$7,A168=$M$8,H168*$S$8,A168=$M$9,H168*$S$9,A168=$M$10,H168*$S$10),"")</f>
        <v>94658.769480340925</v>
      </c>
      <c r="J168" s="3">
        <f t="shared" si="2"/>
        <v>122012.76948034092</v>
      </c>
      <c r="K168" s="3" t="str">
        <f>IFERROR(VLOOKUP(E168,'GASB Match'!$A$2:$C$58,3,FALSE),"")</f>
        <v>0200300</v>
      </c>
    </row>
    <row r="169" spans="1:11" x14ac:dyDescent="0.2">
      <c r="A169">
        <v>2020</v>
      </c>
      <c r="B169" t="s">
        <v>58</v>
      </c>
      <c r="C169" t="s">
        <v>59</v>
      </c>
      <c r="D169" t="s">
        <v>60</v>
      </c>
      <c r="E169" t="s">
        <v>5</v>
      </c>
      <c r="F169">
        <v>708</v>
      </c>
      <c r="G169" s="3">
        <v>27830</v>
      </c>
      <c r="H169" s="5" cm="1">
        <f t="array" ref="H169">IFERROR(_xlfn.IFS(A169=$F$517,G169/$G$517,A169=$F$518,G169/$G$518,A169=$F$519,G169/$G$519,A169=$F$520,G169/$G$520,A169=$F$521,G169/$G$521,A169=$F$522,G169/$G$522,A169=$F$523,G169/$G$523,A169=$F$524,G169/$G$524),"")</f>
        <v>8.1578381933979257E-4</v>
      </c>
      <c r="I169" s="3" cm="1">
        <f t="array" ref="I169">IFERROR(_xlfn.IFS(A169=$M$3,H169*$S$3,A169=$M$4,H169*$S$4,A169=$M$5,H169*$S$5,A169=$M$6,H169*$S$6,A169=$M$7,H169*$S$7,A169=$M$8,H169*$S$8,A169=$M$9,H169*$S$9,A169=$M$10,H169*$S$10),"")</f>
        <v>114388.4851791456</v>
      </c>
      <c r="J169" s="3">
        <f t="shared" si="2"/>
        <v>142218.48517914559</v>
      </c>
      <c r="K169" s="3" t="str">
        <f>IFERROR(VLOOKUP(E169,'GASB Match'!$A$2:$C$58,3,FALSE),"")</f>
        <v>0200300</v>
      </c>
    </row>
    <row r="170" spans="1:11" x14ac:dyDescent="0.2">
      <c r="A170">
        <v>2021</v>
      </c>
      <c r="B170" t="s">
        <v>58</v>
      </c>
      <c r="C170" t="s">
        <v>59</v>
      </c>
      <c r="D170" t="s">
        <v>60</v>
      </c>
      <c r="E170" t="s">
        <v>5</v>
      </c>
      <c r="F170">
        <v>708</v>
      </c>
      <c r="G170" s="3">
        <v>37495</v>
      </c>
      <c r="H170" s="5" cm="1">
        <f t="array" ref="H170">IFERROR(_xlfn.IFS(A170=$F$517,G170/$G$517,A170=$F$518,G170/$G$518,A170=$F$519,G170/$G$519,A170=$F$520,G170/$G$520,A170=$F$521,G170/$G$521,A170=$F$522,G170/$G$522,A170=$F$523,G170/$G$523,A170=$F$524,G170/$G$524),"")</f>
        <v>1.2781409602504808E-3</v>
      </c>
      <c r="I170" s="3" cm="1">
        <f t="array" ref="I170">IFERROR(_xlfn.IFS(A170=$M$3,H170*$S$3,A170=$M$4,H170*$S$4,A170=$M$5,H170*$S$5,A170=$M$6,H170*$S$6,A170=$M$7,H170*$S$7,A170=$M$8,H170*$S$8,A170=$M$9,H170*$S$9,A170=$M$10,H170*$S$10),"")</f>
        <v>171360.35470635907</v>
      </c>
      <c r="J170" s="3">
        <f t="shared" si="2"/>
        <v>208855.35470635907</v>
      </c>
      <c r="K170" s="3" t="str">
        <f>IFERROR(VLOOKUP(E170,'GASB Match'!$A$2:$C$58,3,FALSE),"")</f>
        <v>0200300</v>
      </c>
    </row>
    <row r="171" spans="1:11" x14ac:dyDescent="0.2">
      <c r="A171">
        <v>2022</v>
      </c>
      <c r="B171" t="s">
        <v>58</v>
      </c>
      <c r="C171" t="s">
        <v>59</v>
      </c>
      <c r="D171" t="s">
        <v>60</v>
      </c>
      <c r="E171" t="s">
        <v>5</v>
      </c>
      <c r="F171">
        <v>708</v>
      </c>
      <c r="G171" s="3">
        <v>27796</v>
      </c>
      <c r="H171" s="5" cm="1">
        <f t="array" ref="H171">IFERROR(_xlfn.IFS(A171=$F$517,G171/$G$517,A171=$F$518,G171/$G$518,A171=$F$519,G171/$G$519,A171=$F$520,G171/$G$520,A171=$F$521,G171/$G$521,A171=$F$522,G171/$G$522,A171=$F$523,G171/$G$523,A171=$F$524,G171/$G$524),"")</f>
        <v>9.0519177765681488E-4</v>
      </c>
      <c r="I171" s="3" cm="1">
        <f t="array" ref="I171">IFERROR(_xlfn.IFS(A171=$M$3,H171*$S$3,A171=$M$4,H171*$S$4,A171=$M$5,H171*$S$5,A171=$M$6,H171*$S$6,A171=$M$7,H171*$S$7,A171=$M$8,H171*$S$8,A171=$M$9,H171*$S$9,A171=$M$10,H171*$S$10),"")</f>
        <v>128301.33039809257</v>
      </c>
      <c r="J171" s="3">
        <f t="shared" si="2"/>
        <v>156097.33039809257</v>
      </c>
      <c r="K171" s="3" t="str">
        <f>IFERROR(VLOOKUP(E171,'GASB Match'!$A$2:$C$58,3,FALSE),"")</f>
        <v>0200300</v>
      </c>
    </row>
    <row r="172" spans="1:11" x14ac:dyDescent="0.2">
      <c r="A172">
        <v>2023</v>
      </c>
      <c r="B172" t="s">
        <v>58</v>
      </c>
      <c r="C172" t="s">
        <v>59</v>
      </c>
      <c r="D172" t="s">
        <v>60</v>
      </c>
      <c r="E172" t="s">
        <v>5</v>
      </c>
      <c r="F172">
        <v>708</v>
      </c>
      <c r="G172" s="3">
        <v>58446</v>
      </c>
      <c r="H172" s="5" t="str" cm="1">
        <f t="array" ref="H172">IFERROR(_xlfn.IFS(A172=$F$517,G172/$G$517,A172=$F$518,G172/$G$518,A172=$F$519,G172/$G$519,A172=$F$520,G172/$G$520,A172=$F$521,G172/$G$521,A172=$F$522,G172/$G$522,A172=$F$523,G172/$G$523,A172=$F$524,G172/$G$524),"")</f>
        <v/>
      </c>
      <c r="I172" s="3" t="str" cm="1">
        <f t="array" ref="I172">IFERROR(_xlfn.IFS(A172=$M$3,H172*$S$3,A172=$M$4,H172*$S$4,A172=$M$5,H172*$S$5,A172=$M$6,H172*$S$6,A172=$M$7,H172*$S$7,A172=$M$8,H172*$S$8,A172=$M$9,H172*$S$9,A172=$M$10,H172*$S$10),"")</f>
        <v/>
      </c>
      <c r="J172" s="3">
        <f t="shared" si="2"/>
        <v>58446</v>
      </c>
      <c r="K172" s="3" t="str">
        <f>IFERROR(VLOOKUP(E172,'GASB Match'!$A$2:$C$58,3,FALSE),"")</f>
        <v>0200300</v>
      </c>
    </row>
    <row r="173" spans="1:11" x14ac:dyDescent="0.2">
      <c r="A173">
        <v>2015</v>
      </c>
      <c r="B173" t="s">
        <v>58</v>
      </c>
      <c r="C173" t="s">
        <v>59</v>
      </c>
      <c r="D173" t="s">
        <v>60</v>
      </c>
      <c r="E173" t="s">
        <v>6</v>
      </c>
      <c r="F173">
        <v>709</v>
      </c>
      <c r="G173" s="3">
        <v>3661</v>
      </c>
      <c r="H173" s="5" cm="1">
        <f t="array" ref="H173">IFERROR(_xlfn.IFS(A173=$F$517,G173/$G$517,A173=$F$518,G173/$G$518,A173=$F$519,G173/$G$519,A173=$F$520,G173/$G$520,A173=$F$521,G173/$G$521,A173=$F$522,G173/$G$522,A173=$F$523,G173/$G$523,A173=$F$524,G173/$G$524),"")</f>
        <v>7.5396583247620605E-5</v>
      </c>
      <c r="I173" s="3" cm="1">
        <f t="array" ref="I173">IFERROR(_xlfn.IFS(A173=$M$3,H173*$S$3,A173=$M$4,H173*$S$4,A173=$M$5,H173*$S$5,A173=$M$6,H173*$S$6,A173=$M$7,H173*$S$7,A173=$M$8,H173*$S$8,A173=$M$9,H173*$S$9,A173=$M$10,H173*$S$10),"")</f>
        <v>124443.34322147543</v>
      </c>
      <c r="J173" s="3">
        <f t="shared" si="2"/>
        <v>128104.34322147543</v>
      </c>
      <c r="K173" s="3" t="str">
        <f>IFERROR(VLOOKUP(E173,'GASB Match'!$A$2:$C$58,3,FALSE),"")</f>
        <v>0200330</v>
      </c>
    </row>
    <row r="174" spans="1:11" x14ac:dyDescent="0.2">
      <c r="A174">
        <v>2016</v>
      </c>
      <c r="B174" t="s">
        <v>58</v>
      </c>
      <c r="C174" t="s">
        <v>59</v>
      </c>
      <c r="D174" t="s">
        <v>60</v>
      </c>
      <c r="E174" t="s">
        <v>6</v>
      </c>
      <c r="F174">
        <v>709</v>
      </c>
      <c r="G174" s="3">
        <v>16966</v>
      </c>
      <c r="H174" s="5" cm="1">
        <f t="array" ref="H174">IFERROR(_xlfn.IFS(A174=$F$517,G174/$G$517,A174=$F$518,G174/$G$518,A174=$F$519,G174/$G$519,A174=$F$520,G174/$G$520,A174=$F$521,G174/$G$521,A174=$F$522,G174/$G$522,A174=$F$523,G174/$G$523,A174=$F$524,G174/$G$524),"")</f>
        <v>4.9738345986865098E-4</v>
      </c>
      <c r="I174" s="3" cm="1">
        <f t="array" ref="I174">IFERROR(_xlfn.IFS(A174=$M$3,H174*$S$3,A174=$M$4,H174*$S$4,A174=$M$5,H174*$S$5,A174=$M$6,H174*$S$6,A174=$M$7,H174*$S$7,A174=$M$8,H174*$S$8,A174=$M$9,H174*$S$9,A174=$M$10,H174*$S$10),"")</f>
        <v>44743.349711495015</v>
      </c>
      <c r="J174" s="3">
        <f t="shared" si="2"/>
        <v>61709.349711495015</v>
      </c>
      <c r="K174" s="3" t="str">
        <f>IFERROR(VLOOKUP(E174,'GASB Match'!$A$2:$C$58,3,FALSE),"")</f>
        <v>0200330</v>
      </c>
    </row>
    <row r="175" spans="1:11" x14ac:dyDescent="0.2">
      <c r="A175">
        <v>2017</v>
      </c>
      <c r="B175" t="s">
        <v>58</v>
      </c>
      <c r="C175" t="s">
        <v>59</v>
      </c>
      <c r="D175" t="s">
        <v>60</v>
      </c>
      <c r="E175" t="s">
        <v>6</v>
      </c>
      <c r="F175">
        <v>709</v>
      </c>
      <c r="G175" s="3">
        <v>28581</v>
      </c>
      <c r="H175" s="5" cm="1">
        <f t="array" ref="H175">IFERROR(_xlfn.IFS(A175=$F$517,G175/$G$517,A175=$F$518,G175/$G$518,A175=$F$519,G175/$G$519,A175=$F$520,G175/$G$520,A175=$F$521,G175/$G$521,A175=$F$522,G175/$G$522,A175=$F$523,G175/$G$523,A175=$F$524,G175/$G$524),"")</f>
        <v>7.6514819957665067E-4</v>
      </c>
      <c r="I175" s="3" cm="1">
        <f t="array" ref="I175">IFERROR(_xlfn.IFS(A175=$M$3,H175*$S$3,A175=$M$4,H175*$S$4,A175=$M$5,H175*$S$5,A175=$M$6,H175*$S$6,A175=$M$7,H175*$S$7,A175=$M$8,H175*$S$8,A175=$M$9,H175*$S$9,A175=$M$10,H175*$S$10),"")</f>
        <v>88742.07029217144</v>
      </c>
      <c r="J175" s="3">
        <f t="shared" si="2"/>
        <v>117323.07029217144</v>
      </c>
      <c r="K175" s="3" t="str">
        <f>IFERROR(VLOOKUP(E175,'GASB Match'!$A$2:$C$58,3,FALSE),"")</f>
        <v>0200330</v>
      </c>
    </row>
    <row r="176" spans="1:11" x14ac:dyDescent="0.2">
      <c r="A176">
        <v>2018</v>
      </c>
      <c r="B176" t="s">
        <v>58</v>
      </c>
      <c r="C176" t="s">
        <v>59</v>
      </c>
      <c r="D176" t="s">
        <v>60</v>
      </c>
      <c r="E176" t="s">
        <v>6</v>
      </c>
      <c r="F176">
        <v>709</v>
      </c>
      <c r="G176" s="3">
        <v>45017</v>
      </c>
      <c r="H176" s="5" cm="1">
        <f t="array" ref="H176">IFERROR(_xlfn.IFS(A176=$F$517,G176/$G$517,A176=$F$518,G176/$G$518,A176=$F$519,G176/$G$519,A176=$F$520,G176/$G$520,A176=$F$521,G176/$G$521,A176=$F$522,G176/$G$522,A176=$F$523,G176/$G$523,A176=$F$524,G176/$G$524),"")</f>
        <v>1.1101527397742003E-3</v>
      </c>
      <c r="I176" s="3" cm="1">
        <f t="array" ref="I176">IFERROR(_xlfn.IFS(A176=$M$3,H176*$S$3,A176=$M$4,H176*$S$4,A176=$M$5,H176*$S$5,A176=$M$6,H176*$S$6,A176=$M$7,H176*$S$7,A176=$M$8,H176*$S$8,A176=$M$9,H176*$S$9,A176=$M$10,H176*$S$10),"")</f>
        <v>123273.87027987183</v>
      </c>
      <c r="J176" s="3">
        <f t="shared" si="2"/>
        <v>168290.87027987183</v>
      </c>
      <c r="K176" s="3" t="str">
        <f>IFERROR(VLOOKUP(E176,'GASB Match'!$A$2:$C$58,3,FALSE),"")</f>
        <v>0200330</v>
      </c>
    </row>
    <row r="177" spans="1:11" x14ac:dyDescent="0.2">
      <c r="A177">
        <v>2019</v>
      </c>
      <c r="B177" t="s">
        <v>58</v>
      </c>
      <c r="C177" t="s">
        <v>59</v>
      </c>
      <c r="D177" t="s">
        <v>60</v>
      </c>
      <c r="E177" t="s">
        <v>6</v>
      </c>
      <c r="F177">
        <v>709</v>
      </c>
      <c r="G177" s="3">
        <v>10813</v>
      </c>
      <c r="H177" s="5" cm="1">
        <f t="array" ref="H177">IFERROR(_xlfn.IFS(A177=$F$517,G177/$G$517,A177=$F$518,G177/$G$518,A177=$F$519,G177/$G$519,A177=$F$520,G177/$G$520,A177=$F$521,G177/$G$521,A177=$F$522,G177/$G$522,A177=$F$523,G177/$G$523,A177=$F$524,G177/$G$524),"")</f>
        <v>2.9378994407530586E-4</v>
      </c>
      <c r="I177" s="3" cm="1">
        <f t="array" ref="I177">IFERROR(_xlfn.IFS(A177=$M$3,H177*$S$3,A177=$M$4,H177*$S$4,A177=$M$5,H177*$S$5,A177=$M$6,H177*$S$6,A177=$M$7,H177*$S$7,A177=$M$8,H177*$S$8,A177=$M$9,H177*$S$9,A177=$M$10,H177*$S$10),"")</f>
        <v>37418.486305144645</v>
      </c>
      <c r="J177" s="3">
        <f t="shared" si="2"/>
        <v>48231.486305144645</v>
      </c>
      <c r="K177" s="3" t="str">
        <f>IFERROR(VLOOKUP(E177,'GASB Match'!$A$2:$C$58,3,FALSE),"")</f>
        <v>0200330</v>
      </c>
    </row>
    <row r="178" spans="1:11" x14ac:dyDescent="0.2">
      <c r="A178">
        <v>2020</v>
      </c>
      <c r="B178" t="s">
        <v>58</v>
      </c>
      <c r="C178" t="s">
        <v>59</v>
      </c>
      <c r="D178" t="s">
        <v>60</v>
      </c>
      <c r="E178" t="s">
        <v>6</v>
      </c>
      <c r="F178">
        <v>709</v>
      </c>
      <c r="G178" s="3">
        <v>40891</v>
      </c>
      <c r="H178" s="5" cm="1">
        <f t="array" ref="H178">IFERROR(_xlfn.IFS(A178=$F$517,G178/$G$517,A178=$F$518,G178/$G$518,A178=$F$519,G178/$G$519,A178=$F$520,G178/$G$520,A178=$F$521,G178/$G$521,A178=$F$522,G178/$G$522,A178=$F$523,G178/$G$523,A178=$F$524,G178/$G$524),"")</f>
        <v>1.1986423340504297E-3</v>
      </c>
      <c r="I178" s="3" cm="1">
        <f t="array" ref="I178">IFERROR(_xlfn.IFS(A178=$M$3,H178*$S$3,A178=$M$4,H178*$S$4,A178=$M$5,H178*$S$5,A178=$M$6,H178*$S$6,A178=$M$7,H178*$S$7,A178=$M$8,H178*$S$8,A178=$M$9,H178*$S$9,A178=$M$10,H178*$S$10),"")</f>
        <v>168072.5672820856</v>
      </c>
      <c r="J178" s="3">
        <f t="shared" si="2"/>
        <v>208963.5672820856</v>
      </c>
      <c r="K178" s="3" t="str">
        <f>IFERROR(VLOOKUP(E178,'GASB Match'!$A$2:$C$58,3,FALSE),"")</f>
        <v>0200330</v>
      </c>
    </row>
    <row r="179" spans="1:11" x14ac:dyDescent="0.2">
      <c r="A179">
        <v>2021</v>
      </c>
      <c r="B179" t="s">
        <v>58</v>
      </c>
      <c r="C179" t="s">
        <v>59</v>
      </c>
      <c r="D179" t="s">
        <v>60</v>
      </c>
      <c r="E179" t="s">
        <v>6</v>
      </c>
      <c r="F179">
        <v>709</v>
      </c>
      <c r="G179" s="3">
        <v>27158</v>
      </c>
      <c r="H179" s="5" cm="1">
        <f t="array" ref="H179">IFERROR(_xlfn.IFS(A179=$F$517,G179/$G$517,A179=$F$518,G179/$G$518,A179=$F$519,G179/$G$519,A179=$F$520,G179/$G$520,A179=$F$521,G179/$G$521,A179=$F$522,G179/$G$522,A179=$F$523,G179/$G$523,A179=$F$524,G179/$G$524),"")</f>
        <v>9.2577016131437681E-4</v>
      </c>
      <c r="I179" s="3" cm="1">
        <f t="array" ref="I179">IFERROR(_xlfn.IFS(A179=$M$3,H179*$S$3,A179=$M$4,H179*$S$4,A179=$M$5,H179*$S$5,A179=$M$6,H179*$S$6,A179=$M$7,H179*$S$7,A179=$M$8,H179*$S$8,A179=$M$9,H179*$S$9,A179=$M$10,H179*$S$10),"")</f>
        <v>124118.00275010802</v>
      </c>
      <c r="J179" s="3">
        <f t="shared" si="2"/>
        <v>151276.00275010802</v>
      </c>
      <c r="K179" s="3" t="str">
        <f>IFERROR(VLOOKUP(E179,'GASB Match'!$A$2:$C$58,3,FALSE),"")</f>
        <v>0200330</v>
      </c>
    </row>
    <row r="180" spans="1:11" x14ac:dyDescent="0.2">
      <c r="A180">
        <v>2022</v>
      </c>
      <c r="B180" t="s">
        <v>58</v>
      </c>
      <c r="C180" t="s">
        <v>59</v>
      </c>
      <c r="D180" t="s">
        <v>60</v>
      </c>
      <c r="E180" t="s">
        <v>6</v>
      </c>
      <c r="F180">
        <v>709</v>
      </c>
      <c r="G180" s="3">
        <v>30485</v>
      </c>
      <c r="H180" s="5" cm="1">
        <f t="array" ref="H180">IFERROR(_xlfn.IFS(A180=$F$517,G180/$G$517,A180=$F$518,G180/$G$518,A180=$F$519,G180/$G$519,A180=$F$520,G180/$G$520,A180=$F$521,G180/$G$521,A180=$F$522,G180/$G$522,A180=$F$523,G180/$G$523,A180=$F$524,G180/$G$524),"")</f>
        <v>9.9276051740782847E-4</v>
      </c>
      <c r="I180" s="3" cm="1">
        <f t="array" ref="I180">IFERROR(_xlfn.IFS(A180=$M$3,H180*$S$3,A180=$M$4,H180*$S$4,A180=$M$5,H180*$S$5,A180=$M$6,H180*$S$6,A180=$M$7,H180*$S$7,A180=$M$8,H180*$S$8,A180=$M$9,H180*$S$9,A180=$M$10,H180*$S$10),"")</f>
        <v>140713.27015346999</v>
      </c>
      <c r="J180" s="3">
        <f t="shared" si="2"/>
        <v>171198.27015346999</v>
      </c>
      <c r="K180" s="3" t="str">
        <f>IFERROR(VLOOKUP(E180,'GASB Match'!$A$2:$C$58,3,FALSE),"")</f>
        <v>0200330</v>
      </c>
    </row>
    <row r="181" spans="1:11" x14ac:dyDescent="0.2">
      <c r="A181">
        <v>2023</v>
      </c>
      <c r="B181" t="s">
        <v>58</v>
      </c>
      <c r="C181" t="s">
        <v>59</v>
      </c>
      <c r="D181" t="s">
        <v>60</v>
      </c>
      <c r="E181" t="s">
        <v>6</v>
      </c>
      <c r="F181">
        <v>709</v>
      </c>
      <c r="G181" s="3">
        <v>14831</v>
      </c>
      <c r="H181" s="5" t="str" cm="1">
        <f t="array" ref="H181">IFERROR(_xlfn.IFS(A181=$F$517,G181/$G$517,A181=$F$518,G181/$G$518,A181=$F$519,G181/$G$519,A181=$F$520,G181/$G$520,A181=$F$521,G181/$G$521,A181=$F$522,G181/$G$522,A181=$F$523,G181/$G$523,A181=$F$524,G181/$G$524),"")</f>
        <v/>
      </c>
      <c r="I181" s="3" t="str" cm="1">
        <f t="array" ref="I181">IFERROR(_xlfn.IFS(A181=$M$3,H181*$S$3,A181=$M$4,H181*$S$4,A181=$M$5,H181*$S$5,A181=$M$6,H181*$S$6,A181=$M$7,H181*$S$7,A181=$M$8,H181*$S$8,A181=$M$9,H181*$S$9,A181=$M$10,H181*$S$10),"")</f>
        <v/>
      </c>
      <c r="J181" s="3">
        <f t="shared" si="2"/>
        <v>14831</v>
      </c>
      <c r="K181" s="3" t="str">
        <f>IFERROR(VLOOKUP(E181,'GASB Match'!$A$2:$C$58,3,FALSE),"")</f>
        <v>0200330</v>
      </c>
    </row>
    <row r="182" spans="1:11" x14ac:dyDescent="0.2">
      <c r="A182">
        <v>2015</v>
      </c>
      <c r="B182" t="s">
        <v>58</v>
      </c>
      <c r="C182" t="s">
        <v>59</v>
      </c>
      <c r="D182" t="s">
        <v>60</v>
      </c>
      <c r="E182" t="s">
        <v>38</v>
      </c>
      <c r="F182">
        <v>761</v>
      </c>
      <c r="G182" s="3">
        <v>51062</v>
      </c>
      <c r="H182" s="5" cm="1">
        <f t="array" ref="H182">IFERROR(_xlfn.IFS(A182=$F$517,G182/$G$517,A182=$F$518,G182/$G$518,A182=$F$519,G182/$G$519,A182=$F$520,G182/$G$520,A182=$F$521,G182/$G$521,A182=$F$522,G182/$G$522,A182=$F$523,G182/$G$523,A182=$F$524,G182/$G$524),"")</f>
        <v>1.0515980152390066E-3</v>
      </c>
      <c r="I182" s="3" cm="1">
        <f t="array" ref="I182">IFERROR(_xlfn.IFS(A182=$M$3,H182*$S$3,A182=$M$4,H182*$S$4,A182=$M$5,H182*$S$5,A182=$M$6,H182*$S$6,A182=$M$7,H182*$S$7,A182=$M$8,H182*$S$8,A182=$M$9,H182*$S$9,A182=$M$10,H182*$S$10),"")</f>
        <v>1735680.4128858177</v>
      </c>
      <c r="J182" s="3">
        <f t="shared" si="2"/>
        <v>1786742.4128858177</v>
      </c>
      <c r="K182" s="3" t="str">
        <f>IFERROR(VLOOKUP(E182,'GASB Match'!$A$2:$C$58,3,FALSE),"")</f>
        <v>0200520</v>
      </c>
    </row>
    <row r="183" spans="1:11" x14ac:dyDescent="0.2">
      <c r="A183">
        <v>2016</v>
      </c>
      <c r="B183" t="s">
        <v>58</v>
      </c>
      <c r="C183" t="s">
        <v>59</v>
      </c>
      <c r="D183" t="s">
        <v>60</v>
      </c>
      <c r="E183" t="s">
        <v>38</v>
      </c>
      <c r="F183">
        <v>761</v>
      </c>
      <c r="G183" s="3">
        <v>21794</v>
      </c>
      <c r="H183" s="5" cm="1">
        <f t="array" ref="H183">IFERROR(_xlfn.IFS(A183=$F$517,G183/$G$517,A183=$F$518,G183/$G$518,A183=$F$519,G183/$G$519,A183=$F$520,G183/$G$520,A183=$F$521,G183/$G$521,A183=$F$522,G183/$G$522,A183=$F$523,G183/$G$523,A183=$F$524,G183/$G$524),"")</f>
        <v>6.3892344243648362E-4</v>
      </c>
      <c r="I183" s="3" cm="1">
        <f t="array" ref="I183">IFERROR(_xlfn.IFS(A183=$M$3,H183*$S$3,A183=$M$4,H183*$S$4,A183=$M$5,H183*$S$5,A183=$M$6,H183*$S$6,A183=$M$7,H183*$S$7,A183=$M$8,H183*$S$8,A183=$M$9,H183*$S$9,A183=$M$10,H183*$S$10),"")</f>
        <v>57475.926182501622</v>
      </c>
      <c r="J183" s="3">
        <f t="shared" si="2"/>
        <v>79269.926182501629</v>
      </c>
      <c r="K183" s="3" t="str">
        <f>IFERROR(VLOOKUP(E183,'GASB Match'!$A$2:$C$58,3,FALSE),"")</f>
        <v>0200520</v>
      </c>
    </row>
    <row r="184" spans="1:11" x14ac:dyDescent="0.2">
      <c r="A184">
        <v>2017</v>
      </c>
      <c r="B184" t="s">
        <v>58</v>
      </c>
      <c r="C184" t="s">
        <v>59</v>
      </c>
      <c r="D184" t="s">
        <v>60</v>
      </c>
      <c r="E184" t="s">
        <v>38</v>
      </c>
      <c r="F184">
        <v>761</v>
      </c>
      <c r="G184" s="3">
        <v>45348</v>
      </c>
      <c r="H184" s="5" cm="1">
        <f t="array" ref="H184">IFERROR(_xlfn.IFS(A184=$F$517,G184/$G$517,A184=$F$518,G184/$G$518,A184=$F$519,G184/$G$519,A184=$F$520,G184/$G$520,A184=$F$521,G184/$G$521,A184=$F$522,G184/$G$522,A184=$F$523,G184/$G$523,A184=$F$524,G184/$G$524),"")</f>
        <v>1.2140212222945996E-3</v>
      </c>
      <c r="I184" s="3" cm="1">
        <f t="array" ref="I184">IFERROR(_xlfn.IFS(A184=$M$3,H184*$S$3,A184=$M$4,H184*$S$4,A184=$M$5,H184*$S$5,A184=$M$6,H184*$S$6,A184=$M$7,H184*$S$7,A184=$M$8,H184*$S$8,A184=$M$9,H184*$S$9,A184=$M$10,H184*$S$10),"")</f>
        <v>140802.47029877859</v>
      </c>
      <c r="J184" s="3">
        <f t="shared" si="2"/>
        <v>186150.47029877859</v>
      </c>
      <c r="K184" s="3" t="str">
        <f>IFERROR(VLOOKUP(E184,'GASB Match'!$A$2:$C$58,3,FALSE),"")</f>
        <v>0200520</v>
      </c>
    </row>
    <row r="185" spans="1:11" x14ac:dyDescent="0.2">
      <c r="A185">
        <v>2018</v>
      </c>
      <c r="B185" t="s">
        <v>58</v>
      </c>
      <c r="C185" t="s">
        <v>59</v>
      </c>
      <c r="D185" t="s">
        <v>60</v>
      </c>
      <c r="E185" t="s">
        <v>38</v>
      </c>
      <c r="F185">
        <v>761</v>
      </c>
      <c r="G185" s="3">
        <v>68892</v>
      </c>
      <c r="H185" s="5" cm="1">
        <f t="array" ref="H185">IFERROR(_xlfn.IFS(A185=$F$517,G185/$G$517,A185=$F$518,G185/$G$518,A185=$F$519,G185/$G$519,A185=$F$520,G185/$G$520,A185=$F$521,G185/$G$521,A185=$F$522,G185/$G$522,A185=$F$523,G185/$G$523,A185=$F$524,G185/$G$524),"")</f>
        <v>1.6989280171607216E-3</v>
      </c>
      <c r="I185" s="3" cm="1">
        <f t="array" ref="I185">IFERROR(_xlfn.IFS(A185=$M$3,H185*$S$3,A185=$M$4,H185*$S$4,A185=$M$5,H185*$S$5,A185=$M$6,H185*$S$6,A185=$M$7,H185*$S$7,A185=$M$8,H185*$S$8,A185=$M$9,H185*$S$9,A185=$M$10,H185*$S$10),"")</f>
        <v>188652.80830177333</v>
      </c>
      <c r="J185" s="3">
        <f t="shared" si="2"/>
        <v>257544.80830177333</v>
      </c>
      <c r="K185" s="3" t="str">
        <f>IFERROR(VLOOKUP(E185,'GASB Match'!$A$2:$C$58,3,FALSE),"")</f>
        <v>0200520</v>
      </c>
    </row>
    <row r="186" spans="1:11" x14ac:dyDescent="0.2">
      <c r="A186">
        <v>2019</v>
      </c>
      <c r="B186" t="s">
        <v>58</v>
      </c>
      <c r="C186" t="s">
        <v>59</v>
      </c>
      <c r="D186" t="s">
        <v>60</v>
      </c>
      <c r="E186" t="s">
        <v>38</v>
      </c>
      <c r="F186">
        <v>761</v>
      </c>
      <c r="G186" s="3">
        <v>45915</v>
      </c>
      <c r="H186" s="5" cm="1">
        <f t="array" ref="H186">IFERROR(_xlfn.IFS(A186=$F$517,G186/$G$517,A186=$F$518,G186/$G$518,A186=$F$519,G186/$G$519,A186=$F$520,G186/$G$520,A186=$F$521,G186/$G$521,A186=$F$522,G186/$G$522,A186=$F$523,G186/$G$523,A186=$F$524,G186/$G$524),"")</f>
        <v>1.2475136670875491E-3</v>
      </c>
      <c r="I186" s="3" cm="1">
        <f t="array" ref="I186">IFERROR(_xlfn.IFS(A186=$M$3,H186*$S$3,A186=$M$4,H186*$S$4,A186=$M$5,H186*$S$5,A186=$M$6,H186*$S$6,A186=$M$7,H186*$S$7,A186=$M$8,H186*$S$8,A186=$M$9,H186*$S$9,A186=$M$10,H186*$S$10),"")</f>
        <v>158889.28130035292</v>
      </c>
      <c r="J186" s="3">
        <f t="shared" si="2"/>
        <v>204804.28130035292</v>
      </c>
      <c r="K186" s="3" t="str">
        <f>IFERROR(VLOOKUP(E186,'GASB Match'!$A$2:$C$58,3,FALSE),"")</f>
        <v>0200520</v>
      </c>
    </row>
    <row r="187" spans="1:11" x14ac:dyDescent="0.2">
      <c r="A187">
        <v>2021</v>
      </c>
      <c r="B187" t="s">
        <v>58</v>
      </c>
      <c r="C187" t="s">
        <v>59</v>
      </c>
      <c r="D187" t="s">
        <v>60</v>
      </c>
      <c r="E187" t="s">
        <v>38</v>
      </c>
      <c r="F187">
        <v>761</v>
      </c>
      <c r="G187" s="3">
        <v>58900</v>
      </c>
      <c r="H187" s="5" cm="1">
        <f t="array" ref="H187">IFERROR(_xlfn.IFS(A187=$F$517,G187/$G$517,A187=$F$518,G187/$G$518,A187=$F$519,G187/$G$519,A187=$F$520,G187/$G$520,A187=$F$521,G187/$G$521,A187=$F$522,G187/$G$522,A187=$F$523,G187/$G$523,A187=$F$524,G187/$G$524),"")</f>
        <v>2.0078011083812059E-3</v>
      </c>
      <c r="I187" s="3" cm="1">
        <f t="array" ref="I187">IFERROR(_xlfn.IFS(A187=$M$3,H187*$S$3,A187=$M$4,H187*$S$4,A187=$M$5,H187*$S$5,A187=$M$6,H187*$S$6,A187=$M$7,H187*$S$7,A187=$M$8,H187*$S$8,A187=$M$9,H187*$S$9,A187=$M$10,H187*$S$10),"")</f>
        <v>269185.88857726497</v>
      </c>
      <c r="J187" s="3">
        <f t="shared" si="2"/>
        <v>328085.88857726497</v>
      </c>
      <c r="K187" s="3" t="str">
        <f>IFERROR(VLOOKUP(E187,'GASB Match'!$A$2:$C$58,3,FALSE),"")</f>
        <v>0200520</v>
      </c>
    </row>
    <row r="188" spans="1:11" x14ac:dyDescent="0.2">
      <c r="A188">
        <v>2022</v>
      </c>
      <c r="B188" t="s">
        <v>58</v>
      </c>
      <c r="C188" t="s">
        <v>59</v>
      </c>
      <c r="D188" t="s">
        <v>60</v>
      </c>
      <c r="E188" t="s">
        <v>38</v>
      </c>
      <c r="F188">
        <v>761</v>
      </c>
      <c r="G188" s="3">
        <v>69615</v>
      </c>
      <c r="H188" s="5" cm="1">
        <f t="array" ref="H188">IFERROR(_xlfn.IFS(A188=$F$517,G188/$G$517,A188=$F$518,G188/$G$518,A188=$F$519,G188/$G$519,A188=$F$520,G188/$G$520,A188=$F$521,G188/$G$521,A188=$F$522,G188/$G$522,A188=$F$523,G188/$G$523,A188=$F$524,G188/$G$524),"")</f>
        <v>2.2670501367671307E-3</v>
      </c>
      <c r="I188" s="3" cm="1">
        <f t="array" ref="I188">IFERROR(_xlfn.IFS(A188=$M$3,H188*$S$3,A188=$M$4,H188*$S$4,A188=$M$5,H188*$S$5,A188=$M$6,H188*$S$6,A188=$M$7,H188*$S$7,A188=$M$8,H188*$S$8,A188=$M$9,H188*$S$9,A188=$M$10,H188*$S$10),"")</f>
        <v>321330.30348478968</v>
      </c>
      <c r="J188" s="3">
        <f t="shared" si="2"/>
        <v>390945.30348478968</v>
      </c>
      <c r="K188" s="3" t="str">
        <f>IFERROR(VLOOKUP(E188,'GASB Match'!$A$2:$C$58,3,FALSE),"")</f>
        <v>0200520</v>
      </c>
    </row>
    <row r="189" spans="1:11" x14ac:dyDescent="0.2">
      <c r="A189">
        <v>2023</v>
      </c>
      <c r="B189" t="s">
        <v>58</v>
      </c>
      <c r="C189" t="s">
        <v>59</v>
      </c>
      <c r="D189" t="s">
        <v>60</v>
      </c>
      <c r="E189" t="s">
        <v>38</v>
      </c>
      <c r="F189">
        <v>761</v>
      </c>
      <c r="G189" s="3">
        <v>94480</v>
      </c>
      <c r="H189" s="5" t="str" cm="1">
        <f t="array" ref="H189">IFERROR(_xlfn.IFS(A189=$F$517,G189/$G$517,A189=$F$518,G189/$G$518,A189=$F$519,G189/$G$519,A189=$F$520,G189/$G$520,A189=$F$521,G189/$G$521,A189=$F$522,G189/$G$522,A189=$F$523,G189/$G$523,A189=$F$524,G189/$G$524),"")</f>
        <v/>
      </c>
      <c r="I189" s="3" t="str" cm="1">
        <f t="array" ref="I189">IFERROR(_xlfn.IFS(A189=$M$3,H189*$S$3,A189=$M$4,H189*$S$4,A189=$M$5,H189*$S$5,A189=$M$6,H189*$S$6,A189=$M$7,H189*$S$7,A189=$M$8,H189*$S$8,A189=$M$9,H189*$S$9,A189=$M$10,H189*$S$10),"")</f>
        <v/>
      </c>
      <c r="J189" s="3">
        <f t="shared" si="2"/>
        <v>94480</v>
      </c>
      <c r="K189" s="3" t="str">
        <f>IFERROR(VLOOKUP(E189,'GASB Match'!$A$2:$C$58,3,FALSE),"")</f>
        <v>0200520</v>
      </c>
    </row>
    <row r="190" spans="1:11" x14ac:dyDescent="0.2">
      <c r="A190">
        <v>2015</v>
      </c>
      <c r="B190" t="s">
        <v>58</v>
      </c>
      <c r="C190" t="s">
        <v>59</v>
      </c>
      <c r="D190" t="s">
        <v>60</v>
      </c>
      <c r="E190" t="s">
        <v>7</v>
      </c>
      <c r="F190">
        <v>710</v>
      </c>
      <c r="G190" s="3">
        <v>1401567</v>
      </c>
      <c r="H190" s="5" cm="1">
        <f t="array" ref="H190">IFERROR(_xlfn.IFS(A190=$F$517,G190/$G$517,A190=$F$518,G190/$G$518,A190=$F$519,G190/$G$519,A190=$F$520,G190/$G$520,A190=$F$521,G190/$G$521,A190=$F$522,G190/$G$522,A190=$F$523,G190/$G$523,A190=$F$524,G190/$G$524),"")</f>
        <v>2.8864617042506931E-2</v>
      </c>
      <c r="I190" s="3" cm="1">
        <f t="array" ref="I190">IFERROR(_xlfn.IFS(A190=$M$3,H190*$S$3,A190=$M$4,H190*$S$4,A190=$M$5,H190*$S$5,A190=$M$6,H190*$S$6,A190=$M$7,H190*$S$7,A190=$M$8,H190*$S$8,A190=$M$9,H190*$S$9,A190=$M$10,H190*$S$10),"")</f>
        <v>47641541.444658197</v>
      </c>
      <c r="J190" s="3">
        <f t="shared" si="2"/>
        <v>49043108.444658197</v>
      </c>
      <c r="K190" s="3" t="str">
        <f>IFERROR(VLOOKUP(E190,'GASB Match'!$A$2:$C$58,3,FALSE),"")</f>
        <v>0200210</v>
      </c>
    </row>
    <row r="191" spans="1:11" x14ac:dyDescent="0.2">
      <c r="A191">
        <v>2016</v>
      </c>
      <c r="B191" t="s">
        <v>58</v>
      </c>
      <c r="C191" t="s">
        <v>59</v>
      </c>
      <c r="D191" t="s">
        <v>60</v>
      </c>
      <c r="E191" t="s">
        <v>7</v>
      </c>
      <c r="F191">
        <v>710</v>
      </c>
      <c r="G191" s="3">
        <v>1339265</v>
      </c>
      <c r="H191" s="5" cm="1">
        <f t="array" ref="H191">IFERROR(_xlfn.IFS(A191=$F$517,G191/$G$517,A191=$F$518,G191/$G$518,A191=$F$519,G191/$G$519,A191=$F$520,G191/$G$520,A191=$F$521,G191/$G$521,A191=$F$522,G191/$G$522,A191=$F$523,G191/$G$523,A191=$F$524,G191/$G$524),"")</f>
        <v>3.9262540338381995E-2</v>
      </c>
      <c r="I191" s="3" cm="1">
        <f t="array" ref="I191">IFERROR(_xlfn.IFS(A191=$M$3,H191*$S$3,A191=$M$4,H191*$S$4,A191=$M$5,H191*$S$5,A191=$M$6,H191*$S$6,A191=$M$7,H191*$S$7,A191=$M$8,H191*$S$8,A191=$M$9,H191*$S$9,A191=$M$10,H191*$S$10),"")</f>
        <v>3531958.1664131428</v>
      </c>
      <c r="J191" s="3">
        <f t="shared" si="2"/>
        <v>4871223.1664131433</v>
      </c>
      <c r="K191" s="3" t="str">
        <f>IFERROR(VLOOKUP(E191,'GASB Match'!$A$2:$C$58,3,FALSE),"")</f>
        <v>0200210</v>
      </c>
    </row>
    <row r="192" spans="1:11" x14ac:dyDescent="0.2">
      <c r="A192">
        <v>2017</v>
      </c>
      <c r="B192" t="s">
        <v>58</v>
      </c>
      <c r="C192" t="s">
        <v>59</v>
      </c>
      <c r="D192" t="s">
        <v>60</v>
      </c>
      <c r="E192" t="s">
        <v>7</v>
      </c>
      <c r="F192">
        <v>710</v>
      </c>
      <c r="G192" s="3">
        <v>1428279</v>
      </c>
      <c r="H192" s="5" cm="1">
        <f t="array" ref="H192">IFERROR(_xlfn.IFS(A192=$F$517,G192/$G$517,A192=$F$518,G192/$G$518,A192=$F$519,G192/$G$519,A192=$F$520,G192/$G$520,A192=$F$521,G192/$G$521,A192=$F$522,G192/$G$522,A192=$F$523,G192/$G$523,A192=$F$524,G192/$G$524),"")</f>
        <v>3.8236769369271159E-2</v>
      </c>
      <c r="I192" s="3" cm="1">
        <f t="array" ref="I192">IFERROR(_xlfn.IFS(A192=$M$3,H192*$S$3,A192=$M$4,H192*$S$4,A192=$M$5,H192*$S$5,A192=$M$6,H192*$S$6,A192=$M$7,H192*$S$7,A192=$M$8,H192*$S$8,A192=$M$9,H192*$S$9,A192=$M$10,H192*$S$10),"")</f>
        <v>4434709.6117991786</v>
      </c>
      <c r="J192" s="3">
        <f t="shared" si="2"/>
        <v>5862988.6117991786</v>
      </c>
      <c r="K192" s="3" t="str">
        <f>IFERROR(VLOOKUP(E192,'GASB Match'!$A$2:$C$58,3,FALSE),"")</f>
        <v>0200210</v>
      </c>
    </row>
    <row r="193" spans="1:11" x14ac:dyDescent="0.2">
      <c r="A193">
        <v>2018</v>
      </c>
      <c r="B193" t="s">
        <v>58</v>
      </c>
      <c r="C193" t="s">
        <v>59</v>
      </c>
      <c r="D193" t="s">
        <v>60</v>
      </c>
      <c r="E193" t="s">
        <v>7</v>
      </c>
      <c r="F193">
        <v>710</v>
      </c>
      <c r="G193" s="3">
        <v>1535689</v>
      </c>
      <c r="H193" s="5" cm="1">
        <f t="array" ref="H193">IFERROR(_xlfn.IFS(A193=$F$517,G193/$G$517,A193=$F$518,G193/$G$518,A193=$F$519,G193/$G$519,A193=$F$520,G193/$G$520,A193=$F$521,G193/$G$521,A193=$F$522,G193/$G$522,A193=$F$523,G193/$G$523,A193=$F$524,G193/$G$524),"")</f>
        <v>3.7871234217986584E-2</v>
      </c>
      <c r="I193" s="3" cm="1">
        <f t="array" ref="I193">IFERROR(_xlfn.IFS(A193=$M$3,H193*$S$3,A193=$M$4,H193*$S$4,A193=$M$5,H193*$S$5,A193=$M$6,H193*$S$6,A193=$M$7,H193*$S$7,A193=$M$8,H193*$S$8,A193=$M$9,H193*$S$9,A193=$M$10,H193*$S$10),"")</f>
        <v>4205307.4744257974</v>
      </c>
      <c r="J193" s="3">
        <f t="shared" si="2"/>
        <v>5740996.4744257974</v>
      </c>
      <c r="K193" s="3" t="str">
        <f>IFERROR(VLOOKUP(E193,'GASB Match'!$A$2:$C$58,3,FALSE),"")</f>
        <v>0200210</v>
      </c>
    </row>
    <row r="194" spans="1:11" x14ac:dyDescent="0.2">
      <c r="A194">
        <v>2019</v>
      </c>
      <c r="B194" t="s">
        <v>58</v>
      </c>
      <c r="C194" t="s">
        <v>59</v>
      </c>
      <c r="D194" t="s">
        <v>60</v>
      </c>
      <c r="E194" t="s">
        <v>7</v>
      </c>
      <c r="F194">
        <v>710</v>
      </c>
      <c r="G194" s="3">
        <v>1465890</v>
      </c>
      <c r="H194" s="5" cm="1">
        <f t="array" ref="H194">IFERROR(_xlfn.IFS(A194=$F$517,G194/$G$517,A194=$F$518,G194/$G$518,A194=$F$519,G194/$G$519,A194=$F$520,G194/$G$520,A194=$F$521,G194/$G$521,A194=$F$522,G194/$G$522,A194=$F$523,G194/$G$523,A194=$F$524,G194/$G$524),"")</f>
        <v>3.9828330816660512E-2</v>
      </c>
      <c r="I194" s="3" cm="1">
        <f t="array" ref="I194">IFERROR(_xlfn.IFS(A194=$M$3,H194*$S$3,A194=$M$4,H194*$S$4,A194=$M$5,H194*$S$5,A194=$M$6,H194*$S$6,A194=$M$7,H194*$S$7,A194=$M$8,H194*$S$8,A194=$M$9,H194*$S$9,A194=$M$10,H194*$S$10),"")</f>
        <v>5072725.8753212318</v>
      </c>
      <c r="J194" s="3">
        <f t="shared" si="2"/>
        <v>6538615.8753212318</v>
      </c>
      <c r="K194" s="3" t="str">
        <f>IFERROR(VLOOKUP(E194,'GASB Match'!$A$2:$C$58,3,FALSE),"")</f>
        <v>0200210</v>
      </c>
    </row>
    <row r="195" spans="1:11" x14ac:dyDescent="0.2">
      <c r="A195">
        <v>2020</v>
      </c>
      <c r="B195" t="s">
        <v>58</v>
      </c>
      <c r="C195" t="s">
        <v>59</v>
      </c>
      <c r="D195" t="s">
        <v>60</v>
      </c>
      <c r="E195" t="s">
        <v>7</v>
      </c>
      <c r="F195">
        <v>710</v>
      </c>
      <c r="G195" s="3">
        <v>1371423</v>
      </c>
      <c r="H195" s="5" cm="1">
        <f t="array" ref="H195">IFERROR(_xlfn.IFS(A195=$F$517,G195/$G$517,A195=$F$518,G195/$G$518,A195=$F$519,G195/$G$519,A195=$F$520,G195/$G$520,A195=$F$521,G195/$G$521,A195=$F$522,G195/$G$522,A195=$F$523,G195/$G$523,A195=$F$524,G195/$G$524),"")</f>
        <v>4.0200671680576228E-2</v>
      </c>
      <c r="I195" s="3" cm="1">
        <f t="array" ref="I195">IFERROR(_xlfn.IFS(A195=$M$3,H195*$S$3,A195=$M$4,H195*$S$4,A195=$M$5,H195*$S$5,A195=$M$6,H195*$S$6,A195=$M$7,H195*$S$7,A195=$M$8,H195*$S$8,A195=$M$9,H195*$S$9,A195=$M$10,H195*$S$10),"")</f>
        <v>5636902.6054559611</v>
      </c>
      <c r="J195" s="3">
        <f t="shared" ref="J195:J258" si="3">SUM(G195,I195)</f>
        <v>7008325.6054559611</v>
      </c>
      <c r="K195" s="3" t="str">
        <f>IFERROR(VLOOKUP(E195,'GASB Match'!$A$2:$C$58,3,FALSE),"")</f>
        <v>0200210</v>
      </c>
    </row>
    <row r="196" spans="1:11" x14ac:dyDescent="0.2">
      <c r="A196">
        <v>2021</v>
      </c>
      <c r="B196" t="s">
        <v>58</v>
      </c>
      <c r="C196" t="s">
        <v>59</v>
      </c>
      <c r="D196" t="s">
        <v>60</v>
      </c>
      <c r="E196" t="s">
        <v>7</v>
      </c>
      <c r="F196">
        <v>710</v>
      </c>
      <c r="G196" s="3">
        <v>1067248</v>
      </c>
      <c r="H196" s="5" cm="1">
        <f t="array" ref="H196">IFERROR(_xlfn.IFS(A196=$F$517,G196/$G$517,A196=$F$518,G196/$G$518,A196=$F$519,G196/$G$519,A196=$F$520,G196/$G$520,A196=$F$521,G196/$G$521,A196=$F$522,G196/$G$522,A196=$F$523,G196/$G$523,A196=$F$524,G196/$G$524),"")</f>
        <v>3.6380674317786507E-2</v>
      </c>
      <c r="I196" s="3" cm="1">
        <f t="array" ref="I196">IFERROR(_xlfn.IFS(A196=$M$3,H196*$S$3,A196=$M$4,H196*$S$4,A196=$M$5,H196*$S$5,A196=$M$6,H196*$S$6,A196=$M$7,H196*$S$7,A196=$M$8,H196*$S$8,A196=$M$9,H196*$S$9,A196=$M$10,H196*$S$10),"")</f>
        <v>4877556.8966436144</v>
      </c>
      <c r="J196" s="3">
        <f t="shared" si="3"/>
        <v>5944804.8966436144</v>
      </c>
      <c r="K196" s="3" t="str">
        <f>IFERROR(VLOOKUP(E196,'GASB Match'!$A$2:$C$58,3,FALSE),"")</f>
        <v>0200210</v>
      </c>
    </row>
    <row r="197" spans="1:11" x14ac:dyDescent="0.2">
      <c r="A197">
        <v>2022</v>
      </c>
      <c r="B197" t="s">
        <v>58</v>
      </c>
      <c r="C197" t="s">
        <v>59</v>
      </c>
      <c r="D197" t="s">
        <v>60</v>
      </c>
      <c r="E197" t="s">
        <v>7</v>
      </c>
      <c r="F197">
        <v>710</v>
      </c>
      <c r="G197" s="3">
        <v>1067172</v>
      </c>
      <c r="H197" s="5" cm="1">
        <f t="array" ref="H197">IFERROR(_xlfn.IFS(A197=$F$517,G197/$G$517,A197=$F$518,G197/$G$518,A197=$F$519,G197/$G$519,A197=$F$520,G197/$G$520,A197=$F$521,G197/$G$521,A197=$F$522,G197/$G$522,A197=$F$523,G197/$G$523,A197=$F$524,G197/$G$524),"")</f>
        <v>3.4753033520851143E-2</v>
      </c>
      <c r="I197" s="3" cm="1">
        <f t="array" ref="I197">IFERROR(_xlfn.IFS(A197=$M$3,H197*$S$3,A197=$M$4,H197*$S$4,A197=$M$5,H197*$S$5,A197=$M$6,H197*$S$6,A197=$M$7,H197*$S$7,A197=$M$8,H197*$S$8,A197=$M$9,H197*$S$9,A197=$M$10,H197*$S$10),"")</f>
        <v>4925873.7718949933</v>
      </c>
      <c r="J197" s="3">
        <f t="shared" si="3"/>
        <v>5993045.7718949933</v>
      </c>
      <c r="K197" s="3" t="str">
        <f>IFERROR(VLOOKUP(E197,'GASB Match'!$A$2:$C$58,3,FALSE),"")</f>
        <v>0200210</v>
      </c>
    </row>
    <row r="198" spans="1:11" x14ac:dyDescent="0.2">
      <c r="A198">
        <v>2023</v>
      </c>
      <c r="B198" t="s">
        <v>58</v>
      </c>
      <c r="C198" t="s">
        <v>59</v>
      </c>
      <c r="D198" t="s">
        <v>60</v>
      </c>
      <c r="E198" t="s">
        <v>7</v>
      </c>
      <c r="F198">
        <v>710</v>
      </c>
      <c r="G198" s="3">
        <v>1968010</v>
      </c>
      <c r="H198" s="5" t="str" cm="1">
        <f t="array" ref="H198">IFERROR(_xlfn.IFS(A198=$F$517,G198/$G$517,A198=$F$518,G198/$G$518,A198=$F$519,G198/$G$519,A198=$F$520,G198/$G$520,A198=$F$521,G198/$G$521,A198=$F$522,G198/$G$522,A198=$F$523,G198/$G$523,A198=$F$524,G198/$G$524),"")</f>
        <v/>
      </c>
      <c r="I198" s="3" t="str" cm="1">
        <f t="array" ref="I198">IFERROR(_xlfn.IFS(A198=$M$3,H198*$S$3,A198=$M$4,H198*$S$4,A198=$M$5,H198*$S$5,A198=$M$6,H198*$S$6,A198=$M$7,H198*$S$7,A198=$M$8,H198*$S$8,A198=$M$9,H198*$S$9,A198=$M$10,H198*$S$10),"")</f>
        <v/>
      </c>
      <c r="J198" s="3">
        <f t="shared" si="3"/>
        <v>1968010</v>
      </c>
      <c r="K198" s="3" t="str">
        <f>IFERROR(VLOOKUP(E198,'GASB Match'!$A$2:$C$58,3,FALSE),"")</f>
        <v>0200210</v>
      </c>
    </row>
    <row r="199" spans="1:11" x14ac:dyDescent="0.2">
      <c r="A199">
        <v>2015</v>
      </c>
      <c r="B199" t="s">
        <v>58</v>
      </c>
      <c r="C199" t="s">
        <v>59</v>
      </c>
      <c r="D199" t="s">
        <v>60</v>
      </c>
      <c r="E199" t="s">
        <v>8</v>
      </c>
      <c r="F199">
        <v>712</v>
      </c>
      <c r="G199" s="3">
        <v>34224</v>
      </c>
      <c r="H199" s="5" cm="1">
        <f t="array" ref="H199">IFERROR(_xlfn.IFS(A199=$F$517,G199/$G$517,A199=$F$518,G199/$G$518,A199=$F$519,G199/$G$519,A199=$F$520,G199/$G$520,A199=$F$521,G199/$G$521,A199=$F$522,G199/$G$522,A199=$F$523,G199/$G$523,A199=$F$524,G199/$G$524),"")</f>
        <v>7.0482727808428508E-4</v>
      </c>
      <c r="I199" s="3" cm="1">
        <f t="array" ref="I199">IFERROR(_xlfn.IFS(A199=$M$3,H199*$S$3,A199=$M$4,H199*$S$4,A199=$M$5,H199*$S$5,A199=$M$6,H199*$S$6,A199=$M$7,H199*$S$7,A199=$M$8,H199*$S$8,A199=$M$9,H199*$S$9,A199=$M$10,H199*$S$10),"")</f>
        <v>1163329.4122949401</v>
      </c>
      <c r="J199" s="3">
        <f t="shared" si="3"/>
        <v>1197553.4122949401</v>
      </c>
      <c r="K199" s="3" t="str">
        <f>IFERROR(VLOOKUP(E199,'GASB Match'!$A$2:$C$58,3,FALSE),"")</f>
        <v>0200360</v>
      </c>
    </row>
    <row r="200" spans="1:11" x14ac:dyDescent="0.2">
      <c r="A200">
        <v>2016</v>
      </c>
      <c r="B200" t="s">
        <v>58</v>
      </c>
      <c r="C200" t="s">
        <v>59</v>
      </c>
      <c r="D200" t="s">
        <v>60</v>
      </c>
      <c r="E200" t="s">
        <v>8</v>
      </c>
      <c r="F200">
        <v>712</v>
      </c>
      <c r="G200" s="3">
        <v>33983</v>
      </c>
      <c r="H200" s="5" cm="1">
        <f t="array" ref="H200">IFERROR(_xlfn.IFS(A200=$F$517,G200/$G$517,A200=$F$518,G200/$G$518,A200=$F$519,G200/$G$519,A200=$F$520,G200/$G$520,A200=$F$521,G200/$G$521,A200=$F$522,G200/$G$522,A200=$F$523,G200/$G$523,A200=$F$524,G200/$G$524),"")</f>
        <v>9.9626206039822975E-4</v>
      </c>
      <c r="I200" s="3" cm="1">
        <f t="array" ref="I200">IFERROR(_xlfn.IFS(A200=$M$3,H200*$S$3,A200=$M$4,H200*$S$4,A200=$M$5,H200*$S$5,A200=$M$6,H200*$S$6,A200=$M$7,H200*$S$7,A200=$M$8,H200*$S$8,A200=$M$9,H200*$S$9,A200=$M$10,H200*$S$10),"")</f>
        <v>89621.19847021898</v>
      </c>
      <c r="J200" s="3">
        <f t="shared" si="3"/>
        <v>123604.19847021898</v>
      </c>
      <c r="K200" s="3" t="str">
        <f>IFERROR(VLOOKUP(E200,'GASB Match'!$A$2:$C$58,3,FALSE),"")</f>
        <v>0200360</v>
      </c>
    </row>
    <row r="201" spans="1:11" x14ac:dyDescent="0.2">
      <c r="A201">
        <v>2017</v>
      </c>
      <c r="B201" t="s">
        <v>58</v>
      </c>
      <c r="C201" t="s">
        <v>59</v>
      </c>
      <c r="D201" t="s">
        <v>60</v>
      </c>
      <c r="E201" t="s">
        <v>8</v>
      </c>
      <c r="F201">
        <v>712</v>
      </c>
      <c r="G201" s="3">
        <v>38986</v>
      </c>
      <c r="H201" s="5" cm="1">
        <f t="array" ref="H201">IFERROR(_xlfn.IFS(A201=$F$517,G201/$G$517,A201=$F$518,G201/$G$518,A201=$F$519,G201/$G$519,A201=$F$520,G201/$G$520,A201=$F$521,G201/$G$521,A201=$F$522,G201/$G$522,A201=$F$523,G201/$G$523,A201=$F$524,G201/$G$524),"")</f>
        <v>1.0437027293899899E-3</v>
      </c>
      <c r="I201" s="3" cm="1">
        <f t="array" ref="I201">IFERROR(_xlfn.IFS(A201=$M$3,H201*$S$3,A201=$M$4,H201*$S$4,A201=$M$5,H201*$S$5,A201=$M$6,H201*$S$6,A201=$M$7,H201*$S$7,A201=$M$8,H201*$S$8,A201=$M$9,H201*$S$9,A201=$M$10,H201*$S$10),"")</f>
        <v>121048.89095590063</v>
      </c>
      <c r="J201" s="3">
        <f t="shared" si="3"/>
        <v>160034.89095590063</v>
      </c>
      <c r="K201" s="3" t="str">
        <f>IFERROR(VLOOKUP(E201,'GASB Match'!$A$2:$C$58,3,FALSE),"")</f>
        <v>0200360</v>
      </c>
    </row>
    <row r="202" spans="1:11" x14ac:dyDescent="0.2">
      <c r="A202">
        <v>2018</v>
      </c>
      <c r="B202" t="s">
        <v>58</v>
      </c>
      <c r="C202" t="s">
        <v>59</v>
      </c>
      <c r="D202" t="s">
        <v>60</v>
      </c>
      <c r="E202" t="s">
        <v>8</v>
      </c>
      <c r="F202">
        <v>712</v>
      </c>
      <c r="G202" s="3">
        <v>40686</v>
      </c>
      <c r="H202" s="5" cm="1">
        <f t="array" ref="H202">IFERROR(_xlfn.IFS(A202=$F$517,G202/$G$517,A202=$F$518,G202/$G$518,A202=$F$519,G202/$G$519,A202=$F$520,G202/$G$520,A202=$F$521,G202/$G$521,A202=$F$522,G202/$G$522,A202=$F$523,G202/$G$523,A202=$F$524,G202/$G$524),"")</f>
        <v>1.0033470549004402E-3</v>
      </c>
      <c r="I202" s="3" cm="1">
        <f t="array" ref="I202">IFERROR(_xlfn.IFS(A202=$M$3,H202*$S$3,A202=$M$4,H202*$S$4,A202=$M$5,H202*$S$5,A202=$M$6,H202*$S$6,A202=$M$7,H202*$S$7,A202=$M$8,H202*$S$8,A202=$M$9,H202*$S$9,A202=$M$10,H202*$S$10),"")</f>
        <v>111413.92554383601</v>
      </c>
      <c r="J202" s="3">
        <f t="shared" si="3"/>
        <v>152099.92554383603</v>
      </c>
      <c r="K202" s="3" t="str">
        <f>IFERROR(VLOOKUP(E202,'GASB Match'!$A$2:$C$58,3,FALSE),"")</f>
        <v>0200360</v>
      </c>
    </row>
    <row r="203" spans="1:11" x14ac:dyDescent="0.2">
      <c r="A203">
        <v>2019</v>
      </c>
      <c r="B203" t="s">
        <v>58</v>
      </c>
      <c r="C203" t="s">
        <v>59</v>
      </c>
      <c r="D203" t="s">
        <v>60</v>
      </c>
      <c r="E203" t="s">
        <v>8</v>
      </c>
      <c r="F203">
        <v>712</v>
      </c>
      <c r="G203" s="3">
        <v>18019</v>
      </c>
      <c r="H203" s="5" cm="1">
        <f t="array" ref="H203">IFERROR(_xlfn.IFS(A203=$F$517,G203/$G$517,A203=$F$518,G203/$G$518,A203=$F$519,G203/$G$519,A203=$F$520,G203/$G$520,A203=$F$521,G203/$G$521,A203=$F$522,G203/$G$522,A203=$F$523,G203/$G$523,A203=$F$524,G203/$G$524),"")</f>
        <v>4.8957745327780791E-4</v>
      </c>
      <c r="I203" s="3" cm="1">
        <f t="array" ref="I203">IFERROR(_xlfn.IFS(A203=$M$3,H203*$S$3,A203=$M$4,H203*$S$4,A203=$M$5,H203*$S$5,A203=$M$6,H203*$S$6,A203=$M$7,H203*$S$7,A203=$M$8,H203*$S$8,A203=$M$9,H203*$S$9,A203=$M$10,H203*$S$10),"")</f>
        <v>62354.915817294124</v>
      </c>
      <c r="J203" s="3">
        <f t="shared" si="3"/>
        <v>80373.915817294124</v>
      </c>
      <c r="K203" s="3" t="str">
        <f>IFERROR(VLOOKUP(E203,'GASB Match'!$A$2:$C$58,3,FALSE),"")</f>
        <v>0200360</v>
      </c>
    </row>
    <row r="204" spans="1:11" x14ac:dyDescent="0.2">
      <c r="A204">
        <v>2020</v>
      </c>
      <c r="B204" t="s">
        <v>58</v>
      </c>
      <c r="C204" t="s">
        <v>59</v>
      </c>
      <c r="D204" t="s">
        <v>60</v>
      </c>
      <c r="E204" t="s">
        <v>8</v>
      </c>
      <c r="F204">
        <v>712</v>
      </c>
      <c r="G204" s="3">
        <v>23204</v>
      </c>
      <c r="H204" s="5" cm="1">
        <f t="array" ref="H204">IFERROR(_xlfn.IFS(A204=$F$517,G204/$G$517,A204=$F$518,G204/$G$518,A204=$F$519,G204/$G$519,A204=$F$520,G204/$G$520,A204=$F$521,G204/$G$521,A204=$F$522,G204/$G$522,A204=$F$523,G204/$G$523,A204=$F$524,G204/$G$524),"")</f>
        <v>6.8018137779233016E-4</v>
      </c>
      <c r="I204" s="3" cm="1">
        <f t="array" ref="I204">IFERROR(_xlfn.IFS(A204=$M$3,H204*$S$3,A204=$M$4,H204*$S$4,A204=$M$5,H204*$S$5,A204=$M$6,H204*$S$6,A204=$M$7,H204*$S$7,A204=$M$8,H204*$S$8,A204=$M$9,H204*$S$9,A204=$M$10,H204*$S$10),"")</f>
        <v>95374.430833521183</v>
      </c>
      <c r="J204" s="3">
        <f t="shared" si="3"/>
        <v>118578.43083352118</v>
      </c>
      <c r="K204" s="3" t="str">
        <f>IFERROR(VLOOKUP(E204,'GASB Match'!$A$2:$C$58,3,FALSE),"")</f>
        <v>0200360</v>
      </c>
    </row>
    <row r="205" spans="1:11" x14ac:dyDescent="0.2">
      <c r="A205">
        <v>2020</v>
      </c>
      <c r="B205" t="s">
        <v>58</v>
      </c>
      <c r="C205" t="s">
        <v>59</v>
      </c>
      <c r="D205" t="s">
        <v>60</v>
      </c>
      <c r="E205" t="s">
        <v>8</v>
      </c>
      <c r="F205">
        <v>761</v>
      </c>
      <c r="G205" s="3">
        <v>37947</v>
      </c>
      <c r="H205" s="5" cm="1">
        <f t="array" ref="H205">IFERROR(_xlfn.IFS(A205=$F$517,G205/$G$517,A205=$F$518,G205/$G$518,A205=$F$519,G205/$G$519,A205=$F$520,G205/$G$520,A205=$F$521,G205/$G$521,A205=$F$522,G205/$G$522,A205=$F$523,G205/$G$523,A205=$F$524,G205/$G$524),"")</f>
        <v>1.1123445415913442E-3</v>
      </c>
      <c r="I205" s="3" cm="1">
        <f t="array" ref="I205">IFERROR(_xlfn.IFS(A205=$M$3,H205*$S$3,A205=$M$4,H205*$S$4,A205=$M$5,H205*$S$5,A205=$M$6,H205*$S$6,A205=$M$7,H205*$S$7,A205=$M$8,H205*$S$8,A205=$M$9,H205*$S$9,A205=$M$10,H205*$S$10),"")</f>
        <v>155971.96719701897</v>
      </c>
      <c r="J205" s="3">
        <f t="shared" si="3"/>
        <v>193918.96719701897</v>
      </c>
      <c r="K205" s="3" t="str">
        <f>IFERROR(VLOOKUP(E205,'GASB Match'!$A$2:$C$58,3,FALSE),"")</f>
        <v>0200360</v>
      </c>
    </row>
    <row r="206" spans="1:11" x14ac:dyDescent="0.2">
      <c r="A206">
        <v>2021</v>
      </c>
      <c r="B206" t="s">
        <v>58</v>
      </c>
      <c r="C206" t="s">
        <v>59</v>
      </c>
      <c r="D206" t="s">
        <v>60</v>
      </c>
      <c r="E206" t="s">
        <v>8</v>
      </c>
      <c r="F206">
        <v>712</v>
      </c>
      <c r="G206" s="3">
        <v>24464</v>
      </c>
      <c r="H206" s="5" cm="1">
        <f t="array" ref="H206">IFERROR(_xlfn.IFS(A206=$F$517,G206/$G$517,A206=$F$518,G206/$G$518,A206=$F$519,G206/$G$519,A206=$F$520,G206/$G$520,A206=$F$521,G206/$G$521,A206=$F$522,G206/$G$522,A206=$F$523,G206/$G$523,A206=$F$524,G206/$G$524),"")</f>
        <v>8.3393627021116851E-4</v>
      </c>
      <c r="I206" s="3" cm="1">
        <f t="array" ref="I206">IFERROR(_xlfn.IFS(A206=$M$3,H206*$S$3,A206=$M$4,H206*$S$4,A206=$M$5,H206*$S$5,A206=$M$6,H206*$S$6,A206=$M$7,H206*$S$7,A206=$M$8,H206*$S$8,A206=$M$9,H206*$S$9,A206=$M$10,H206*$S$10),"")</f>
        <v>111805.83324540255</v>
      </c>
      <c r="J206" s="3">
        <f t="shared" si="3"/>
        <v>136269.83324540255</v>
      </c>
      <c r="K206" s="3" t="str">
        <f>IFERROR(VLOOKUP(E206,'GASB Match'!$A$2:$C$58,3,FALSE),"")</f>
        <v>0200360</v>
      </c>
    </row>
    <row r="207" spans="1:11" x14ac:dyDescent="0.2">
      <c r="A207">
        <v>2022</v>
      </c>
      <c r="B207" t="s">
        <v>58</v>
      </c>
      <c r="C207" t="s">
        <v>59</v>
      </c>
      <c r="D207" t="s">
        <v>60</v>
      </c>
      <c r="E207" t="s">
        <v>8</v>
      </c>
      <c r="F207">
        <v>712</v>
      </c>
      <c r="G207" s="3">
        <v>25236</v>
      </c>
      <c r="H207" s="5" cm="1">
        <f t="array" ref="H207">IFERROR(_xlfn.IFS(A207=$F$517,G207/$G$517,A207=$F$518,G207/$G$518,A207=$F$519,G207/$G$519,A207=$F$520,G207/$G$520,A207=$F$521,G207/$G$521,A207=$F$522,G207/$G$522,A207=$F$523,G207/$G$523,A207=$F$524,G207/$G$524),"")</f>
        <v>8.2182399269489781E-4</v>
      </c>
      <c r="I207" s="3" cm="1">
        <f t="array" ref="I207">IFERROR(_xlfn.IFS(A207=$M$3,H207*$S$3,A207=$M$4,H207*$S$4,A207=$M$5,H207*$S$5,A207=$M$6,H207*$S$6,A207=$M$7,H207*$S$7,A207=$M$8,H207*$S$8,A207=$M$9,H207*$S$9,A207=$M$10,H207*$S$10),"")</f>
        <v>116484.83141193927</v>
      </c>
      <c r="J207" s="3">
        <f t="shared" si="3"/>
        <v>141720.83141193929</v>
      </c>
      <c r="K207" s="3" t="str">
        <f>IFERROR(VLOOKUP(E207,'GASB Match'!$A$2:$C$58,3,FALSE),"")</f>
        <v>0200360</v>
      </c>
    </row>
    <row r="208" spans="1:11" x14ac:dyDescent="0.2">
      <c r="A208">
        <v>2023</v>
      </c>
      <c r="B208" t="s">
        <v>58</v>
      </c>
      <c r="C208" t="s">
        <v>59</v>
      </c>
      <c r="D208" t="s">
        <v>60</v>
      </c>
      <c r="E208" t="s">
        <v>8</v>
      </c>
      <c r="F208">
        <v>712</v>
      </c>
      <c r="G208" s="3">
        <v>44504</v>
      </c>
      <c r="H208" s="5" t="str" cm="1">
        <f t="array" ref="H208">IFERROR(_xlfn.IFS(A208=$F$517,G208/$G$517,A208=$F$518,G208/$G$518,A208=$F$519,G208/$G$519,A208=$F$520,G208/$G$520,A208=$F$521,G208/$G$521,A208=$F$522,G208/$G$522,A208=$F$523,G208/$G$523,A208=$F$524,G208/$G$524),"")</f>
        <v/>
      </c>
      <c r="I208" s="3" t="str" cm="1">
        <f t="array" ref="I208">IFERROR(_xlfn.IFS(A208=$M$3,H208*$S$3,A208=$M$4,H208*$S$4,A208=$M$5,H208*$S$5,A208=$M$6,H208*$S$6,A208=$M$7,H208*$S$7,A208=$M$8,H208*$S$8,A208=$M$9,H208*$S$9,A208=$M$10,H208*$S$10),"")</f>
        <v/>
      </c>
      <c r="J208" s="3">
        <f t="shared" si="3"/>
        <v>44504</v>
      </c>
      <c r="K208" s="3" t="str">
        <f>IFERROR(VLOOKUP(E208,'GASB Match'!$A$2:$C$58,3,FALSE),"")</f>
        <v>0200360</v>
      </c>
    </row>
    <row r="209" spans="1:11" x14ac:dyDescent="0.2">
      <c r="A209">
        <v>2015</v>
      </c>
      <c r="B209" t="s">
        <v>58</v>
      </c>
      <c r="C209" t="s">
        <v>59</v>
      </c>
      <c r="D209" t="s">
        <v>60</v>
      </c>
      <c r="E209" t="s">
        <v>50</v>
      </c>
      <c r="F209">
        <v>777</v>
      </c>
      <c r="G209" s="3">
        <v>31482</v>
      </c>
      <c r="H209" s="5" cm="1">
        <f t="array" ref="H209">IFERROR(_xlfn.IFS(A209=$F$517,G209/$G$517,A209=$F$518,G209/$G$518,A209=$F$519,G209/$G$519,A209=$F$520,G209/$G$520,A209=$F$521,G209/$G$521,A209=$F$522,G209/$G$522,A209=$F$523,G209/$G$523,A209=$F$524,G209/$G$524),"")</f>
        <v>6.48357070145204E-4</v>
      </c>
      <c r="I209" s="3" cm="1">
        <f t="array" ref="I209">IFERROR(_xlfn.IFS(A209=$M$3,H209*$S$3,A209=$M$4,H209*$S$4,A209=$M$5,H209*$S$5,A209=$M$6,H209*$S$6,A209=$M$7,H209*$S$7,A209=$M$8,H209*$S$8,A209=$M$9,H209*$S$9,A209=$M$10,H209*$S$10),"")</f>
        <v>1070124.3734767796</v>
      </c>
      <c r="J209" s="3">
        <f t="shared" si="3"/>
        <v>1101606.3734767796</v>
      </c>
      <c r="K209" s="3" t="str">
        <f>IFERROR(VLOOKUP(E209,'GASB Match'!$A$2:$C$58,3,FALSE),"")</f>
        <v>0200005</v>
      </c>
    </row>
    <row r="210" spans="1:11" x14ac:dyDescent="0.2">
      <c r="A210">
        <v>2016</v>
      </c>
      <c r="B210" t="s">
        <v>58</v>
      </c>
      <c r="C210" t="s">
        <v>59</v>
      </c>
      <c r="D210" t="s">
        <v>60</v>
      </c>
      <c r="E210" t="s">
        <v>50</v>
      </c>
      <c r="F210">
        <v>777</v>
      </c>
      <c r="G210" s="3">
        <v>40883</v>
      </c>
      <c r="H210" s="5" cm="1">
        <f t="array" ref="H210">IFERROR(_xlfn.IFS(A210=$F$517,G210/$G$517,A210=$F$518,G210/$G$518,A210=$F$519,G210/$G$519,A210=$F$520,G210/$G$520,A210=$F$521,G210/$G$521,A210=$F$522,G210/$G$522,A210=$F$523,G210/$G$523,A210=$F$524,G210/$G$524),"")</f>
        <v>1.1985457968766982E-3</v>
      </c>
      <c r="I210" s="3" cm="1">
        <f t="array" ref="I210">IFERROR(_xlfn.IFS(A210=$M$3,H210*$S$3,A210=$M$4,H210*$S$4,A210=$M$5,H210*$S$5,A210=$M$6,H210*$S$6,A210=$M$7,H210*$S$7,A210=$M$8,H210*$S$8,A210=$M$9,H210*$S$9,A210=$M$10,H210*$S$10),"")</f>
        <v>107818.12838942892</v>
      </c>
      <c r="J210" s="3">
        <f t="shared" si="3"/>
        <v>148701.12838942892</v>
      </c>
      <c r="K210" s="3" t="str">
        <f>IFERROR(VLOOKUP(E210,'GASB Match'!$A$2:$C$58,3,FALSE),"")</f>
        <v>0200005</v>
      </c>
    </row>
    <row r="211" spans="1:11" x14ac:dyDescent="0.2">
      <c r="A211">
        <v>2017</v>
      </c>
      <c r="B211" t="s">
        <v>58</v>
      </c>
      <c r="C211" t="s">
        <v>59</v>
      </c>
      <c r="D211" t="s">
        <v>60</v>
      </c>
      <c r="E211" t="s">
        <v>50</v>
      </c>
      <c r="F211">
        <v>777</v>
      </c>
      <c r="G211" s="3">
        <v>62184</v>
      </c>
      <c r="H211" s="5" cm="1">
        <f t="array" ref="H211">IFERROR(_xlfn.IFS(A211=$F$517,G211/$G$517,A211=$F$518,G211/$G$518,A211=$F$519,G211/$G$519,A211=$F$520,G211/$G$520,A211=$F$521,G211/$G$521,A211=$F$522,G211/$G$522,A211=$F$523,G211/$G$523,A211=$F$524,G211/$G$524),"")</f>
        <v>1.6647414590978077E-3</v>
      </c>
      <c r="I211" s="3" cm="1">
        <f t="array" ref="I211">IFERROR(_xlfn.IFS(A211=$M$3,H211*$S$3,A211=$M$4,H211*$S$4,A211=$M$5,H211*$S$5,A211=$M$6,H211*$S$6,A211=$M$7,H211*$S$7,A211=$M$8,H211*$S$8,A211=$M$9,H211*$S$9,A211=$M$10,H211*$S$10),"")</f>
        <v>193077.11063463101</v>
      </c>
      <c r="J211" s="3">
        <f t="shared" si="3"/>
        <v>255261.11063463101</v>
      </c>
      <c r="K211" s="3" t="str">
        <f>IFERROR(VLOOKUP(E211,'GASB Match'!$A$2:$C$58,3,FALSE),"")</f>
        <v>0200005</v>
      </c>
    </row>
    <row r="212" spans="1:11" x14ac:dyDescent="0.2">
      <c r="A212">
        <v>2018</v>
      </c>
      <c r="B212" t="s">
        <v>58</v>
      </c>
      <c r="C212" t="s">
        <v>59</v>
      </c>
      <c r="D212" t="s">
        <v>60</v>
      </c>
      <c r="E212" t="s">
        <v>50</v>
      </c>
      <c r="F212">
        <v>777</v>
      </c>
      <c r="G212" s="3">
        <v>78104</v>
      </c>
      <c r="H212" s="5" cm="1">
        <f t="array" ref="H212">IFERROR(_xlfn.IFS(A212=$F$517,G212/$G$517,A212=$F$518,G212/$G$518,A212=$F$519,G212/$G$519,A212=$F$520,G212/$G$520,A212=$F$521,G212/$G$521,A212=$F$522,G212/$G$522,A212=$F$523,G212/$G$523,A212=$F$524,G212/$G$524),"")</f>
        <v>1.9261027964396593E-3</v>
      </c>
      <c r="I212" s="3" cm="1">
        <f t="array" ref="I212">IFERROR(_xlfn.IFS(A212=$M$3,H212*$S$3,A212=$M$4,H212*$S$4,A212=$M$5,H212*$S$5,A212=$M$6,H212*$S$6,A212=$M$7,H212*$S$7,A212=$M$8,H212*$S$8,A212=$M$9,H212*$S$9,A212=$M$10,H212*$S$10),"")</f>
        <v>213878.80943508251</v>
      </c>
      <c r="J212" s="3">
        <f t="shared" si="3"/>
        <v>291982.80943508248</v>
      </c>
      <c r="K212" s="3" t="str">
        <f>IFERROR(VLOOKUP(E212,'GASB Match'!$A$2:$C$58,3,FALSE),"")</f>
        <v>0200005</v>
      </c>
    </row>
    <row r="213" spans="1:11" x14ac:dyDescent="0.2">
      <c r="A213">
        <v>2019</v>
      </c>
      <c r="B213" t="s">
        <v>58</v>
      </c>
      <c r="C213" t="s">
        <v>59</v>
      </c>
      <c r="D213" t="s">
        <v>60</v>
      </c>
      <c r="E213" t="s">
        <v>50</v>
      </c>
      <c r="F213">
        <v>777</v>
      </c>
      <c r="G213" s="3">
        <v>42981</v>
      </c>
      <c r="H213" s="5" cm="1">
        <f t="array" ref="H213">IFERROR(_xlfn.IFS(A213=$F$517,G213/$G$517,A213=$F$518,G213/$G$518,A213=$F$519,G213/$G$519,A213=$F$520,G213/$G$520,A213=$F$521,G213/$G$521,A213=$F$522,G213/$G$522,A213=$F$523,G213/$G$523,A213=$F$524,G213/$G$524),"")</f>
        <v>1.1677966879035163E-3</v>
      </c>
      <c r="I213" s="3" cm="1">
        <f t="array" ref="I213">IFERROR(_xlfn.IFS(A213=$M$3,H213*$S$3,A213=$M$4,H213*$S$4,A213=$M$5,H213*$S$5,A213=$M$6,H213*$S$6,A213=$M$7,H213*$S$7,A213=$M$8,H213*$S$8,A213=$M$9,H213*$S$9,A213=$M$10,H213*$S$10),"")</f>
        <v>148736.14721921962</v>
      </c>
      <c r="J213" s="3">
        <f t="shared" si="3"/>
        <v>191717.14721921962</v>
      </c>
      <c r="K213" s="3" t="str">
        <f>IFERROR(VLOOKUP(E213,'GASB Match'!$A$2:$C$58,3,FALSE),"")</f>
        <v>0200005</v>
      </c>
    </row>
    <row r="214" spans="1:11" x14ac:dyDescent="0.2">
      <c r="A214">
        <v>2020</v>
      </c>
      <c r="B214" t="s">
        <v>58</v>
      </c>
      <c r="C214" t="s">
        <v>59</v>
      </c>
      <c r="D214" t="s">
        <v>60</v>
      </c>
      <c r="E214" t="s">
        <v>50</v>
      </c>
      <c r="F214">
        <v>777</v>
      </c>
      <c r="G214" s="3">
        <v>36071</v>
      </c>
      <c r="H214" s="5" cm="1">
        <f t="array" ref="H214">IFERROR(_xlfn.IFS(A214=$F$517,G214/$G$517,A214=$F$518,G214/$G$518,A214=$F$519,G214/$G$519,A214=$F$520,G214/$G$520,A214=$F$521,G214/$G$521,A214=$F$522,G214/$G$522,A214=$F$523,G214/$G$523,A214=$F$524,G214/$G$524),"")</f>
        <v>1.0573531493857586E-3</v>
      </c>
      <c r="I214" s="3" cm="1">
        <f t="array" ref="I214">IFERROR(_xlfn.IFS(A214=$M$3,H214*$S$3,A214=$M$4,H214*$S$4,A214=$M$5,H214*$S$5,A214=$M$6,H214*$S$6,A214=$M$7,H214*$S$7,A214=$M$8,H214*$S$8,A214=$M$9,H214*$S$9,A214=$M$10,H214*$S$10),"")</f>
        <v>148261.12284933386</v>
      </c>
      <c r="J214" s="3">
        <f t="shared" si="3"/>
        <v>184332.12284933386</v>
      </c>
      <c r="K214" s="3" t="str">
        <f>IFERROR(VLOOKUP(E214,'GASB Match'!$A$2:$C$58,3,FALSE),"")</f>
        <v>0200005</v>
      </c>
    </row>
    <row r="215" spans="1:11" x14ac:dyDescent="0.2">
      <c r="A215">
        <v>2021</v>
      </c>
      <c r="B215" t="s">
        <v>58</v>
      </c>
      <c r="C215" t="s">
        <v>59</v>
      </c>
      <c r="D215" t="s">
        <v>60</v>
      </c>
      <c r="E215" t="s">
        <v>50</v>
      </c>
      <c r="F215">
        <v>777</v>
      </c>
      <c r="G215" s="3">
        <v>42326</v>
      </c>
      <c r="H215" s="5" cm="1">
        <f t="array" ref="H215">IFERROR(_xlfn.IFS(A215=$F$517,G215/$G$517,A215=$F$518,G215/$G$518,A215=$F$519,G215/$G$519,A215=$F$520,G215/$G$520,A215=$F$521,G215/$G$521,A215=$F$522,G215/$G$522,A215=$F$523,G215/$G$523,A215=$F$524,G215/$G$524),"")</f>
        <v>1.4428215571025964E-3</v>
      </c>
      <c r="I215" s="3" cm="1">
        <f t="array" ref="I215">IFERROR(_xlfn.IFS(A215=$M$3,H215*$S$3,A215=$M$4,H215*$S$4,A215=$M$5,H215*$S$5,A215=$M$6,H215*$S$6,A215=$M$7,H215*$S$7,A215=$M$8,H215*$S$8,A215=$M$9,H215*$S$9,A215=$M$10,H215*$S$10),"")</f>
        <v>193439.08183228044</v>
      </c>
      <c r="J215" s="3">
        <f t="shared" si="3"/>
        <v>235765.08183228044</v>
      </c>
      <c r="K215" s="3" t="str">
        <f>IFERROR(VLOOKUP(E215,'GASB Match'!$A$2:$C$58,3,FALSE),"")</f>
        <v>0200005</v>
      </c>
    </row>
    <row r="216" spans="1:11" x14ac:dyDescent="0.2">
      <c r="A216">
        <v>2022</v>
      </c>
      <c r="B216" t="s">
        <v>58</v>
      </c>
      <c r="C216" t="s">
        <v>59</v>
      </c>
      <c r="D216" t="s">
        <v>60</v>
      </c>
      <c r="E216" t="s">
        <v>50</v>
      </c>
      <c r="F216">
        <v>777</v>
      </c>
      <c r="G216" s="3">
        <v>32166</v>
      </c>
      <c r="H216" s="5" cm="1">
        <f t="array" ref="H216">IFERROR(_xlfn.IFS(A216=$F$517,G216/$G$517,A216=$F$518,G216/$G$518,A216=$F$519,G216/$G$519,A216=$F$520,G216/$G$520,A216=$F$521,G216/$G$521,A216=$F$522,G216/$G$522,A216=$F$523,G216/$G$523,A216=$F$524,G216/$G$524),"")</f>
        <v>1.0475031918300874E-3</v>
      </c>
      <c r="I216" s="3" cm="1">
        <f t="array" ref="I216">IFERROR(_xlfn.IFS(A216=$M$3,H216*$S$3,A216=$M$4,H216*$S$4,A216=$M$5,H216*$S$5,A216=$M$6,H216*$S$6,A216=$M$7,H216*$S$7,A216=$M$8,H216*$S$8,A216=$M$9,H216*$S$9,A216=$M$10,H216*$S$10),"")</f>
        <v>148472.46343304956</v>
      </c>
      <c r="J216" s="3">
        <f t="shared" si="3"/>
        <v>180638.46343304956</v>
      </c>
      <c r="K216" s="3" t="str">
        <f>IFERROR(VLOOKUP(E216,'GASB Match'!$A$2:$C$58,3,FALSE),"")</f>
        <v>0200005</v>
      </c>
    </row>
    <row r="217" spans="1:11" x14ac:dyDescent="0.2">
      <c r="A217">
        <v>2023</v>
      </c>
      <c r="B217" t="s">
        <v>58</v>
      </c>
      <c r="C217" t="s">
        <v>59</v>
      </c>
      <c r="D217" t="s">
        <v>60</v>
      </c>
      <c r="E217" t="s">
        <v>50</v>
      </c>
      <c r="F217">
        <v>777</v>
      </c>
      <c r="G217" s="3">
        <v>64446</v>
      </c>
      <c r="H217" s="5" t="str" cm="1">
        <f t="array" ref="H217">IFERROR(_xlfn.IFS(A217=$F$517,G217/$G$517,A217=$F$518,G217/$G$518,A217=$F$519,G217/$G$519,A217=$F$520,G217/$G$520,A217=$F$521,G217/$G$521,A217=$F$522,G217/$G$522,A217=$F$523,G217/$G$523,A217=$F$524,G217/$G$524),"")</f>
        <v/>
      </c>
      <c r="I217" s="3" t="str" cm="1">
        <f t="array" ref="I217">IFERROR(_xlfn.IFS(A217=$M$3,H217*$S$3,A217=$M$4,H217*$S$4,A217=$M$5,H217*$S$5,A217=$M$6,H217*$S$6,A217=$M$7,H217*$S$7,A217=$M$8,H217*$S$8,A217=$M$9,H217*$S$9,A217=$M$10,H217*$S$10),"")</f>
        <v/>
      </c>
      <c r="J217" s="3">
        <f t="shared" si="3"/>
        <v>64446</v>
      </c>
      <c r="K217" s="3" t="str">
        <f>IFERROR(VLOOKUP(E217,'GASB Match'!$A$2:$C$58,3,FALSE),"")</f>
        <v>0200005</v>
      </c>
    </row>
    <row r="218" spans="1:11" x14ac:dyDescent="0.2">
      <c r="A218">
        <v>2015</v>
      </c>
      <c r="B218" t="s">
        <v>58</v>
      </c>
      <c r="C218" t="s">
        <v>59</v>
      </c>
      <c r="D218" t="s">
        <v>60</v>
      </c>
      <c r="E218" t="s">
        <v>27</v>
      </c>
      <c r="F218">
        <v>746</v>
      </c>
      <c r="G218" s="3">
        <v>2407075</v>
      </c>
      <c r="H218" s="5" cm="1">
        <f t="array" ref="H218">IFERROR(_xlfn.IFS(A218=$F$517,G218/$G$517,A218=$F$518,G218/$G$518,A218=$F$519,G218/$G$519,A218=$F$520,G218/$G$520,A218=$F$521,G218/$G$521,A218=$F$522,G218/$G$522,A218=$F$523,G218/$G$523,A218=$F$524,G218/$G$524),"")</f>
        <v>4.9572584163006382E-2</v>
      </c>
      <c r="I218" s="3" cm="1">
        <f t="array" ref="I218">IFERROR(_xlfn.IFS(A218=$M$3,H218*$S$3,A218=$M$4,H218*$S$4,A218=$M$5,H218*$S$5,A218=$M$6,H218*$S$6,A218=$M$7,H218*$S$7,A218=$M$8,H218*$S$8,A218=$M$9,H218*$S$9,A218=$M$10,H218*$S$10),"")</f>
        <v>81820393.440271229</v>
      </c>
      <c r="J218" s="3">
        <f t="shared" si="3"/>
        <v>84227468.440271229</v>
      </c>
      <c r="K218" s="3" t="str">
        <f>IFERROR(VLOOKUP(E218,'GASB Match'!$A$2:$C$58,3,FALSE),"")</f>
        <v>0200390</v>
      </c>
    </row>
    <row r="219" spans="1:11" x14ac:dyDescent="0.2">
      <c r="A219">
        <v>2016</v>
      </c>
      <c r="B219" t="s">
        <v>58</v>
      </c>
      <c r="C219" t="s">
        <v>59</v>
      </c>
      <c r="D219" t="s">
        <v>60</v>
      </c>
      <c r="E219" t="s">
        <v>27</v>
      </c>
      <c r="F219">
        <v>746</v>
      </c>
      <c r="G219" s="3">
        <v>2256777</v>
      </c>
      <c r="H219" s="5" cm="1">
        <f t="array" ref="H219">IFERROR(_xlfn.IFS(A219=$F$517,G219/$G$517,A219=$F$518,G219/$G$518,A219=$F$519,G219/$G$519,A219=$F$520,G219/$G$520,A219=$F$521,G219/$G$521,A219=$F$522,G219/$G$522,A219=$F$523,G219/$G$523,A219=$F$524,G219/$G$524),"")</f>
        <v>6.6160765791111312E-2</v>
      </c>
      <c r="I219" s="3" cm="1">
        <f t="array" ref="I219">IFERROR(_xlfn.IFS(A219=$M$3,H219*$S$3,A219=$M$4,H219*$S$4,A219=$M$5,H219*$S$5,A219=$M$6,H219*$S$6,A219=$M$7,H219*$S$7,A219=$M$8,H219*$S$8,A219=$M$9,H219*$S$9,A219=$M$10,H219*$S$10),"")</f>
        <v>5951654.0452586692</v>
      </c>
      <c r="J219" s="3">
        <f t="shared" si="3"/>
        <v>8208431.0452586692</v>
      </c>
      <c r="K219" s="3" t="str">
        <f>IFERROR(VLOOKUP(E219,'GASB Match'!$A$2:$C$58,3,FALSE),"")</f>
        <v>0200390</v>
      </c>
    </row>
    <row r="220" spans="1:11" x14ac:dyDescent="0.2">
      <c r="A220">
        <v>2017</v>
      </c>
      <c r="B220" t="s">
        <v>58</v>
      </c>
      <c r="C220" t="s">
        <v>59</v>
      </c>
      <c r="D220" t="s">
        <v>60</v>
      </c>
      <c r="E220" t="s">
        <v>27</v>
      </c>
      <c r="F220">
        <v>746</v>
      </c>
      <c r="G220" s="3">
        <v>2404196</v>
      </c>
      <c r="H220" s="5" cm="1">
        <f t="array" ref="H220">IFERROR(_xlfn.IFS(A220=$F$517,G220/$G$517,A220=$F$518,G220/$G$518,A220=$F$519,G220/$G$519,A220=$F$520,G220/$G$520,A220=$F$521,G220/$G$521,A220=$F$522,G220/$G$522,A220=$F$523,G220/$G$523,A220=$F$524,G220/$G$524),"")</f>
        <v>6.4363256738021249E-2</v>
      </c>
      <c r="I220" s="3" cm="1">
        <f t="array" ref="I220">IFERROR(_xlfn.IFS(A220=$M$3,H220*$S$3,A220=$M$4,H220*$S$4,A220=$M$5,H220*$S$5,A220=$M$6,H220*$S$6,A220=$M$7,H220*$S$7,A220=$M$8,H220*$S$8,A220=$M$9,H220*$S$9,A220=$M$10,H220*$S$10),"")</f>
        <v>7464865.8349308083</v>
      </c>
      <c r="J220" s="3">
        <f t="shared" si="3"/>
        <v>9869061.8349308074</v>
      </c>
      <c r="K220" s="3" t="str">
        <f>IFERROR(VLOOKUP(E220,'GASB Match'!$A$2:$C$58,3,FALSE),"")</f>
        <v>0200390</v>
      </c>
    </row>
    <row r="221" spans="1:11" x14ac:dyDescent="0.2">
      <c r="A221">
        <v>2018</v>
      </c>
      <c r="B221" t="s">
        <v>58</v>
      </c>
      <c r="C221" t="s">
        <v>59</v>
      </c>
      <c r="D221" t="s">
        <v>60</v>
      </c>
      <c r="E221" t="s">
        <v>27</v>
      </c>
      <c r="F221">
        <v>746</v>
      </c>
      <c r="G221" s="3">
        <v>2570793</v>
      </c>
      <c r="H221" s="5" cm="1">
        <f t="array" ref="H221">IFERROR(_xlfn.IFS(A221=$F$517,G221/$G$517,A221=$F$518,G221/$G$518,A221=$F$519,G221/$G$519,A221=$F$520,G221/$G$520,A221=$F$521,G221/$G$521,A221=$F$522,G221/$G$522,A221=$F$523,G221/$G$523,A221=$F$524,G221/$G$524),"")</f>
        <v>6.3397669599092252E-2</v>
      </c>
      <c r="I221" s="3" cm="1">
        <f t="array" ref="I221">IFERROR(_xlfn.IFS(A221=$M$3,H221*$S$3,A221=$M$4,H221*$S$4,A221=$M$5,H221*$S$5,A221=$M$6,H221*$S$6,A221=$M$7,H221*$S$7,A221=$M$8,H221*$S$8,A221=$M$9,H221*$S$9,A221=$M$10,H221*$S$10),"")</f>
        <v>7039820.5744141676</v>
      </c>
      <c r="J221" s="3">
        <f t="shared" si="3"/>
        <v>9610613.5744141676</v>
      </c>
      <c r="K221" s="3" t="str">
        <f>IFERROR(VLOOKUP(E221,'GASB Match'!$A$2:$C$58,3,FALSE),"")</f>
        <v>0200390</v>
      </c>
    </row>
    <row r="222" spans="1:11" x14ac:dyDescent="0.2">
      <c r="A222">
        <v>2019</v>
      </c>
      <c r="B222" t="s">
        <v>58</v>
      </c>
      <c r="C222" t="s">
        <v>59</v>
      </c>
      <c r="D222" t="s">
        <v>60</v>
      </c>
      <c r="E222" t="s">
        <v>27</v>
      </c>
      <c r="F222">
        <v>746</v>
      </c>
      <c r="G222" s="3">
        <v>2372112</v>
      </c>
      <c r="H222" s="5" cm="1">
        <f t="array" ref="H222">IFERROR(_xlfn.IFS(A222=$F$517,G222/$G$517,A222=$F$518,G222/$G$518,A222=$F$519,G222/$G$519,A222=$F$520,G222/$G$520,A222=$F$521,G222/$G$521,A222=$F$522,G222/$G$522,A222=$F$523,G222/$G$523,A222=$F$524,G222/$G$524),"")</f>
        <v>6.4450444078457597E-2</v>
      </c>
      <c r="I222" s="3" cm="1">
        <f t="array" ref="I222">IFERROR(_xlfn.IFS(A222=$M$3,H222*$S$3,A222=$M$4,H222*$S$4,A222=$M$5,H222*$S$5,A222=$M$6,H222*$S$6,A222=$M$7,H222*$S$7,A222=$M$8,H222*$S$8,A222=$M$9,H222*$S$9,A222=$M$10,H222*$S$10),"")</f>
        <v>8208715.4708470609</v>
      </c>
      <c r="J222" s="3">
        <f t="shared" si="3"/>
        <v>10580827.470847061</v>
      </c>
      <c r="K222" s="3" t="str">
        <f>IFERROR(VLOOKUP(E222,'GASB Match'!$A$2:$C$58,3,FALSE),"")</f>
        <v>0200390</v>
      </c>
    </row>
    <row r="223" spans="1:11" x14ac:dyDescent="0.2">
      <c r="A223">
        <v>2020</v>
      </c>
      <c r="B223" t="s">
        <v>58</v>
      </c>
      <c r="C223" t="s">
        <v>59</v>
      </c>
      <c r="D223" t="s">
        <v>60</v>
      </c>
      <c r="E223" t="s">
        <v>27</v>
      </c>
      <c r="F223">
        <v>746</v>
      </c>
      <c r="G223" s="3">
        <v>2222018</v>
      </c>
      <c r="H223" s="5" cm="1">
        <f t="array" ref="H223">IFERROR(_xlfn.IFS(A223=$F$517,G223/$G$517,A223=$F$518,G223/$G$518,A223=$F$519,G223/$G$519,A223=$F$520,G223/$G$520,A223=$F$521,G223/$G$521,A223=$F$522,G223/$G$522,A223=$F$523,G223/$G$523,A223=$F$524,G223/$G$524),"")</f>
        <v>6.5134255504195729E-2</v>
      </c>
      <c r="I223" s="3" cm="1">
        <f t="array" ref="I223">IFERROR(_xlfn.IFS(A223=$M$3,H223*$S$3,A223=$M$4,H223*$S$4,A223=$M$5,H223*$S$5,A223=$M$6,H223*$S$6,A223=$M$7,H223*$S$7,A223=$M$8,H223*$S$8,A223=$M$9,H223*$S$9,A223=$M$10,H223*$S$10),"")</f>
        <v>9133067.6629822031</v>
      </c>
      <c r="J223" s="3">
        <f t="shared" si="3"/>
        <v>11355085.662982203</v>
      </c>
      <c r="K223" s="3" t="str">
        <f>IFERROR(VLOOKUP(E223,'GASB Match'!$A$2:$C$58,3,FALSE),"")</f>
        <v>0200390</v>
      </c>
    </row>
    <row r="224" spans="1:11" x14ac:dyDescent="0.2">
      <c r="A224">
        <v>2021</v>
      </c>
      <c r="B224" t="s">
        <v>58</v>
      </c>
      <c r="C224" t="s">
        <v>59</v>
      </c>
      <c r="D224" t="s">
        <v>60</v>
      </c>
      <c r="E224" t="s">
        <v>27</v>
      </c>
      <c r="F224">
        <v>746</v>
      </c>
      <c r="G224" s="3">
        <v>1793208</v>
      </c>
      <c r="H224" s="5" cm="1">
        <f t="array" ref="H224">IFERROR(_xlfn.IFS(A224=$F$517,G224/$G$517,A224=$F$518,G224/$G$518,A224=$F$519,G224/$G$519,A224=$F$520,G224/$G$520,A224=$F$521,G224/$G$521,A224=$F$522,G224/$G$522,A224=$F$523,G224/$G$523,A224=$F$524,G224/$G$524),"")</f>
        <v>6.1127419523905699E-2</v>
      </c>
      <c r="I224" s="3" cm="1">
        <f t="array" ref="I224">IFERROR(_xlfn.IFS(A224=$M$3,H224*$S$3,A224=$M$4,H224*$S$4,A224=$M$5,H224*$S$5,A224=$M$6,H224*$S$6,A224=$M$7,H224*$S$7,A224=$M$8,H224*$S$8,A224=$M$9,H224*$S$9,A224=$M$10,H224*$S$10),"")</f>
        <v>8195352.9521877784</v>
      </c>
      <c r="J224" s="3">
        <f t="shared" si="3"/>
        <v>9988560.9521877784</v>
      </c>
      <c r="K224" s="3" t="str">
        <f>IFERROR(VLOOKUP(E224,'GASB Match'!$A$2:$C$58,3,FALSE),"")</f>
        <v>0200390</v>
      </c>
    </row>
    <row r="225" spans="1:11" x14ac:dyDescent="0.2">
      <c r="A225">
        <v>2022</v>
      </c>
      <c r="B225" t="s">
        <v>58</v>
      </c>
      <c r="C225" t="s">
        <v>59</v>
      </c>
      <c r="D225" t="s">
        <v>60</v>
      </c>
      <c r="E225" t="s">
        <v>27</v>
      </c>
      <c r="F225">
        <v>746</v>
      </c>
      <c r="G225" s="3">
        <v>1876537</v>
      </c>
      <c r="H225" s="5" cm="1">
        <f t="array" ref="H225">IFERROR(_xlfn.IFS(A225=$F$517,G225/$G$517,A225=$F$518,G225/$G$518,A225=$F$519,G225/$G$519,A225=$F$520,G225/$G$520,A225=$F$521,G225/$G$521,A225=$F$522,G225/$G$522,A225=$F$523,G225/$G$523,A225=$F$524,G225/$G$524),"")</f>
        <v>6.1110442612922235E-2</v>
      </c>
      <c r="I225" s="3" cm="1">
        <f t="array" ref="I225">IFERROR(_xlfn.IFS(A225=$M$3,H225*$S$3,A225=$M$4,H225*$S$4,A225=$M$5,H225*$S$5,A225=$M$6,H225*$S$6,A225=$M$7,H225*$S$7,A225=$M$8,H225*$S$8,A225=$M$9,H225*$S$9,A225=$M$10,H225*$S$10),"")</f>
        <v>8661756.8585856035</v>
      </c>
      <c r="J225" s="3">
        <f t="shared" si="3"/>
        <v>10538293.858585604</v>
      </c>
      <c r="K225" s="3" t="str">
        <f>IFERROR(VLOOKUP(E225,'GASB Match'!$A$2:$C$58,3,FALSE),"")</f>
        <v>0200390</v>
      </c>
    </row>
    <row r="226" spans="1:11" x14ac:dyDescent="0.2">
      <c r="A226">
        <v>2023</v>
      </c>
      <c r="B226" t="s">
        <v>58</v>
      </c>
      <c r="C226" t="s">
        <v>59</v>
      </c>
      <c r="D226" t="s">
        <v>60</v>
      </c>
      <c r="E226" t="s">
        <v>27</v>
      </c>
      <c r="F226">
        <v>746</v>
      </c>
      <c r="G226" s="3">
        <v>3269010</v>
      </c>
      <c r="H226" s="5" t="str" cm="1">
        <f t="array" ref="H226">IFERROR(_xlfn.IFS(A226=$F$517,G226/$G$517,A226=$F$518,G226/$G$518,A226=$F$519,G226/$G$519,A226=$F$520,G226/$G$520,A226=$F$521,G226/$G$521,A226=$F$522,G226/$G$522,A226=$F$523,G226/$G$523,A226=$F$524,G226/$G$524),"")</f>
        <v/>
      </c>
      <c r="I226" s="3" t="str" cm="1">
        <f t="array" ref="I226">IFERROR(_xlfn.IFS(A226=$M$3,H226*$S$3,A226=$M$4,H226*$S$4,A226=$M$5,H226*$S$5,A226=$M$6,H226*$S$6,A226=$M$7,H226*$S$7,A226=$M$8,H226*$S$8,A226=$M$9,H226*$S$9,A226=$M$10,H226*$S$10),"")</f>
        <v/>
      </c>
      <c r="J226" s="3">
        <f t="shared" si="3"/>
        <v>3269010</v>
      </c>
      <c r="K226" s="3" t="str">
        <f>IFERROR(VLOOKUP(E226,'GASB Match'!$A$2:$C$58,3,FALSE),"")</f>
        <v>0200390</v>
      </c>
    </row>
    <row r="227" spans="1:11" x14ac:dyDescent="0.2">
      <c r="A227">
        <v>2015</v>
      </c>
      <c r="B227" t="s">
        <v>58</v>
      </c>
      <c r="C227" t="s">
        <v>59</v>
      </c>
      <c r="D227" t="s">
        <v>60</v>
      </c>
      <c r="E227" t="s">
        <v>9</v>
      </c>
      <c r="F227">
        <v>714</v>
      </c>
      <c r="G227" s="3">
        <v>737815</v>
      </c>
      <c r="H227" s="5" cm="1">
        <f t="array" ref="H227">IFERROR(_xlfn.IFS(A227=$F$517,G227/$G$517,A227=$F$518,G227/$G$518,A227=$F$519,G227/$G$519,A227=$F$520,G227/$G$520,A227=$F$521,G227/$G$521,A227=$F$522,G227/$G$522,A227=$F$523,G227/$G$523,A227=$F$524,G227/$G$524),"")</f>
        <v>1.5194954949151379E-2</v>
      </c>
      <c r="I227" s="3" cm="1">
        <f t="array" ref="I227">IFERROR(_xlfn.IFS(A227=$M$3,H227*$S$3,A227=$M$4,H227*$S$4,A227=$M$5,H227*$S$5,A227=$M$6,H227*$S$6,A227=$M$7,H227*$S$7,A227=$M$8,H227*$S$8,A227=$M$9,H227*$S$9,A227=$M$10,H227*$S$10),"")</f>
        <v>25079531.624952991</v>
      </c>
      <c r="J227" s="3">
        <f t="shared" si="3"/>
        <v>25817346.624952991</v>
      </c>
      <c r="K227" s="3" t="str">
        <f>IFERROR(VLOOKUP(E227,'GASB Match'!$A$2:$C$58,3,FALSE),"")</f>
        <v>0200150</v>
      </c>
    </row>
    <row r="228" spans="1:11" x14ac:dyDescent="0.2">
      <c r="A228">
        <v>2016</v>
      </c>
      <c r="B228" t="s">
        <v>58</v>
      </c>
      <c r="C228" t="s">
        <v>59</v>
      </c>
      <c r="D228" t="s">
        <v>60</v>
      </c>
      <c r="E228" t="s">
        <v>9</v>
      </c>
      <c r="F228">
        <v>714</v>
      </c>
      <c r="G228" s="3">
        <v>646878</v>
      </c>
      <c r="H228" s="5" cm="1">
        <f t="array" ref="H228">IFERROR(_xlfn.IFS(A228=$F$517,G228/$G$517,A228=$F$518,G228/$G$518,A228=$F$519,G228/$G$519,A228=$F$520,G228/$G$520,A228=$F$521,G228/$G$521,A228=$F$522,G228/$G$522,A228=$F$523,G228/$G$523,A228=$F$524,G228/$G$524),"")</f>
        <v>1.896418824430704E-2</v>
      </c>
      <c r="I228" s="3" cm="1">
        <f t="array" ref="I228">IFERROR(_xlfn.IFS(A228=$M$3,H228*$S$3,A228=$M$4,H228*$S$4,A228=$M$5,H228*$S$5,A228=$M$6,H228*$S$6,A228=$M$7,H228*$S$7,A228=$M$8,H228*$S$8,A228=$M$9,H228*$S$9,A228=$M$10,H228*$S$10),"")</f>
        <v>1705970.0916345913</v>
      </c>
      <c r="J228" s="3">
        <f t="shared" si="3"/>
        <v>2352848.0916345911</v>
      </c>
      <c r="K228" s="3" t="str">
        <f>IFERROR(VLOOKUP(E228,'GASB Match'!$A$2:$C$58,3,FALSE),"")</f>
        <v>0200150</v>
      </c>
    </row>
    <row r="229" spans="1:11" x14ac:dyDescent="0.2">
      <c r="A229">
        <v>2017</v>
      </c>
      <c r="B229" t="s">
        <v>58</v>
      </c>
      <c r="C229" t="s">
        <v>59</v>
      </c>
      <c r="D229" t="s">
        <v>60</v>
      </c>
      <c r="E229" t="s">
        <v>9</v>
      </c>
      <c r="F229">
        <v>714</v>
      </c>
      <c r="G229" s="3">
        <v>728835</v>
      </c>
      <c r="H229" s="5" cm="1">
        <f t="array" ref="H229">IFERROR(_xlfn.IFS(A229=$F$517,G229/$G$517,A229=$F$518,G229/$G$518,A229=$F$519,G229/$G$519,A229=$F$520,G229/$G$520,A229=$F$521,G229/$G$521,A229=$F$522,G229/$G$522,A229=$F$523,G229/$G$523,A229=$F$524,G229/$G$524),"")</f>
        <v>1.9511801127967816E-2</v>
      </c>
      <c r="I229" s="3" cm="1">
        <f t="array" ref="I229">IFERROR(_xlfn.IFS(A229=$M$3,H229*$S$3,A229=$M$4,H229*$S$4,A229=$M$5,H229*$S$5,A229=$M$6,H229*$S$6,A229=$M$7,H229*$S$7,A229=$M$8,H229*$S$8,A229=$M$9,H229*$S$9,A229=$M$10,H229*$S$10),"")</f>
        <v>2262983.3386303759</v>
      </c>
      <c r="J229" s="3">
        <f t="shared" si="3"/>
        <v>2991818.3386303759</v>
      </c>
      <c r="K229" s="3" t="str">
        <f>IFERROR(VLOOKUP(E229,'GASB Match'!$A$2:$C$58,3,FALSE),"")</f>
        <v>0200150</v>
      </c>
    </row>
    <row r="230" spans="1:11" x14ac:dyDescent="0.2">
      <c r="A230">
        <v>2018</v>
      </c>
      <c r="B230" t="s">
        <v>58</v>
      </c>
      <c r="C230" t="s">
        <v>59</v>
      </c>
      <c r="D230" t="s">
        <v>60</v>
      </c>
      <c r="E230" t="s">
        <v>9</v>
      </c>
      <c r="F230">
        <v>714</v>
      </c>
      <c r="G230" s="3">
        <v>765272</v>
      </c>
      <c r="H230" s="5" cm="1">
        <f t="array" ref="H230">IFERROR(_xlfn.IFS(A230=$F$517,G230/$G$517,A230=$F$518,G230/$G$518,A230=$F$519,G230/$G$519,A230=$F$520,G230/$G$520,A230=$F$521,G230/$G$521,A230=$F$522,G230/$G$522,A230=$F$523,G230/$G$523,A230=$F$524,G230/$G$524),"")</f>
        <v>1.887217734350316E-2</v>
      </c>
      <c r="I230" s="3" cm="1">
        <f t="array" ref="I230">IFERROR(_xlfn.IFS(A230=$M$3,H230*$S$3,A230=$M$4,H230*$S$4,A230=$M$5,H230*$S$5,A230=$M$6,H230*$S$6,A230=$M$7,H230*$S$7,A230=$M$8,H230*$S$8,A230=$M$9,H230*$S$9,A230=$M$10,H230*$S$10),"")</f>
        <v>2095609.2422155645</v>
      </c>
      <c r="J230" s="3">
        <f t="shared" si="3"/>
        <v>2860881.2422155645</v>
      </c>
      <c r="K230" s="3" t="str">
        <f>IFERROR(VLOOKUP(E230,'GASB Match'!$A$2:$C$58,3,FALSE),"")</f>
        <v>0200150</v>
      </c>
    </row>
    <row r="231" spans="1:11" x14ac:dyDescent="0.2">
      <c r="A231">
        <v>2019</v>
      </c>
      <c r="B231" t="s">
        <v>58</v>
      </c>
      <c r="C231" t="s">
        <v>59</v>
      </c>
      <c r="D231" t="s">
        <v>60</v>
      </c>
      <c r="E231" t="s">
        <v>9</v>
      </c>
      <c r="F231">
        <v>714</v>
      </c>
      <c r="G231" s="3">
        <v>826781</v>
      </c>
      <c r="H231" s="5" cm="1">
        <f t="array" ref="H231">IFERROR(_xlfn.IFS(A231=$F$517,G231/$G$517,A231=$F$518,G231/$G$518,A231=$F$519,G231/$G$519,A231=$F$520,G231/$G$520,A231=$F$521,G231/$G$521,A231=$F$522,G231/$G$522,A231=$F$523,G231/$G$523,A231=$F$524,G231/$G$524),"")</f>
        <v>2.2463695898689122E-2</v>
      </c>
      <c r="I231" s="3" cm="1">
        <f t="array" ref="I231">IFERROR(_xlfn.IFS(A231=$M$3,H231*$S$3,A231=$M$4,H231*$S$4,A231=$M$5,H231*$S$5,A231=$M$6,H231*$S$6,A231=$M$7,H231*$S$7,A231=$M$8,H231*$S$8,A231=$M$9,H231*$S$9,A231=$M$10,H231*$S$10),"")</f>
        <v>2861083.2817769162</v>
      </c>
      <c r="J231" s="3">
        <f t="shared" si="3"/>
        <v>3687864.2817769162</v>
      </c>
      <c r="K231" s="3" t="str">
        <f>IFERROR(VLOOKUP(E231,'GASB Match'!$A$2:$C$58,3,FALSE),"")</f>
        <v>0200150</v>
      </c>
    </row>
    <row r="232" spans="1:11" x14ac:dyDescent="0.2">
      <c r="A232">
        <v>2020</v>
      </c>
      <c r="B232" t="s">
        <v>58</v>
      </c>
      <c r="C232" t="s">
        <v>59</v>
      </c>
      <c r="D232" t="s">
        <v>60</v>
      </c>
      <c r="E232" t="s">
        <v>9</v>
      </c>
      <c r="F232">
        <v>714</v>
      </c>
      <c r="G232" s="3">
        <v>742663</v>
      </c>
      <c r="H232" s="5" cm="1">
        <f t="array" ref="H232">IFERROR(_xlfn.IFS(A232=$F$517,G232/$G$517,A232=$F$518,G232/$G$518,A232=$F$519,G232/$G$519,A232=$F$520,G232/$G$520,A232=$F$521,G232/$G$521,A232=$F$522,G232/$G$522,A232=$F$523,G232/$G$523,A232=$F$524,G232/$G$524),"")</f>
        <v>2.1769761359049528E-2</v>
      </c>
      <c r="I232" s="3" cm="1">
        <f t="array" ref="I232">IFERROR(_xlfn.IFS(A232=$M$3,H232*$S$3,A232=$M$4,H232*$S$4,A232=$M$5,H232*$S$5,A232=$M$6,H232*$S$6,A232=$M$7,H232*$S$7,A232=$M$8,H232*$S$8,A232=$M$9,H232*$S$9,A232=$M$10,H232*$S$10),"")</f>
        <v>3052536.6715271221</v>
      </c>
      <c r="J232" s="3">
        <f t="shared" si="3"/>
        <v>3795199.6715271221</v>
      </c>
      <c r="K232" s="3" t="str">
        <f>IFERROR(VLOOKUP(E232,'GASB Match'!$A$2:$C$58,3,FALSE),"")</f>
        <v>0200150</v>
      </c>
    </row>
    <row r="233" spans="1:11" x14ac:dyDescent="0.2">
      <c r="A233">
        <v>2021</v>
      </c>
      <c r="B233" t="s">
        <v>58</v>
      </c>
      <c r="C233" t="s">
        <v>59</v>
      </c>
      <c r="D233" t="s">
        <v>60</v>
      </c>
      <c r="E233" t="s">
        <v>9</v>
      </c>
      <c r="F233">
        <v>714</v>
      </c>
      <c r="G233" s="3">
        <v>614141</v>
      </c>
      <c r="H233" s="5" cm="1">
        <f t="array" ref="H233">IFERROR(_xlfn.IFS(A233=$F$517,G233/$G$517,A233=$F$518,G233/$G$518,A233=$F$519,G233/$G$519,A233=$F$520,G233/$G$520,A233=$F$521,G233/$G$521,A233=$F$522,G233/$G$522,A233=$F$523,G233/$G$523,A233=$F$524,G233/$G$524),"")</f>
        <v>2.0935025135863195E-2</v>
      </c>
      <c r="I233" s="3" cm="1">
        <f t="array" ref="I233">IFERROR(_xlfn.IFS(A233=$M$3,H233*$S$3,A233=$M$4,H233*$S$4,A233=$M$5,H233*$S$5,A233=$M$6,H233*$S$6,A233=$M$7,H233*$S$7,A233=$M$8,H233*$S$8,A233=$M$9,H233*$S$9,A233=$M$10,H233*$S$10),"")</f>
        <v>2806758.7571601029</v>
      </c>
      <c r="J233" s="3">
        <f t="shared" si="3"/>
        <v>3420899.7571601029</v>
      </c>
      <c r="K233" s="3" t="str">
        <f>IFERROR(VLOOKUP(E233,'GASB Match'!$A$2:$C$58,3,FALSE),"")</f>
        <v>0200150</v>
      </c>
    </row>
    <row r="234" spans="1:11" x14ac:dyDescent="0.2">
      <c r="A234">
        <v>2022</v>
      </c>
      <c r="B234" t="s">
        <v>58</v>
      </c>
      <c r="C234" t="s">
        <v>59</v>
      </c>
      <c r="D234" t="s">
        <v>60</v>
      </c>
      <c r="E234" t="s">
        <v>9</v>
      </c>
      <c r="F234">
        <v>714</v>
      </c>
      <c r="G234" s="3">
        <v>561390</v>
      </c>
      <c r="H234" s="5" cm="1">
        <f t="array" ref="H234">IFERROR(_xlfn.IFS(A234=$F$517,G234/$G$517,A234=$F$518,G234/$G$518,A234=$F$519,G234/$G$519,A234=$F$520,G234/$G$520,A234=$F$521,G234/$G$521,A234=$F$522,G234/$G$522,A234=$F$523,G234/$G$523,A234=$F$524,G234/$G$524),"")</f>
        <v>1.8281969062410395E-2</v>
      </c>
      <c r="I234" s="3" cm="1">
        <f t="array" ref="I234">IFERROR(_xlfn.IFS(A234=$M$3,H234*$S$3,A234=$M$4,H234*$S$4,A234=$M$5,H234*$S$5,A234=$M$6,H234*$S$6,A234=$M$7,H234*$S$7,A234=$M$8,H234*$S$8,A234=$M$9,H234*$S$9,A234=$M$10,H234*$S$10),"")</f>
        <v>2591275.1429049214</v>
      </c>
      <c r="J234" s="3">
        <f t="shared" si="3"/>
        <v>3152665.1429049214</v>
      </c>
      <c r="K234" s="3" t="str">
        <f>IFERROR(VLOOKUP(E234,'GASB Match'!$A$2:$C$58,3,FALSE),"")</f>
        <v>0200150</v>
      </c>
    </row>
    <row r="235" spans="1:11" x14ac:dyDescent="0.2">
      <c r="A235">
        <v>2023</v>
      </c>
      <c r="B235" t="s">
        <v>58</v>
      </c>
      <c r="C235" t="s">
        <v>59</v>
      </c>
      <c r="D235" t="s">
        <v>60</v>
      </c>
      <c r="E235" t="s">
        <v>9</v>
      </c>
      <c r="F235">
        <v>714</v>
      </c>
      <c r="G235" s="3">
        <v>1105515</v>
      </c>
      <c r="H235" s="5" t="str" cm="1">
        <f t="array" ref="H235">IFERROR(_xlfn.IFS(A235=$F$517,G235/$G$517,A235=$F$518,G235/$G$518,A235=$F$519,G235/$G$519,A235=$F$520,G235/$G$520,A235=$F$521,G235/$G$521,A235=$F$522,G235/$G$522,A235=$F$523,G235/$G$523,A235=$F$524,G235/$G$524),"")</f>
        <v/>
      </c>
      <c r="I235" s="3" t="str" cm="1">
        <f t="array" ref="I235">IFERROR(_xlfn.IFS(A235=$M$3,H235*$S$3,A235=$M$4,H235*$S$4,A235=$M$5,H235*$S$5,A235=$M$6,H235*$S$6,A235=$M$7,H235*$S$7,A235=$M$8,H235*$S$8,A235=$M$9,H235*$S$9,A235=$M$10,H235*$S$10),"")</f>
        <v/>
      </c>
      <c r="J235" s="3">
        <f t="shared" si="3"/>
        <v>1105515</v>
      </c>
      <c r="K235" s="3" t="str">
        <f>IFERROR(VLOOKUP(E235,'GASB Match'!$A$2:$C$58,3,FALSE),"")</f>
        <v>0200150</v>
      </c>
    </row>
    <row r="236" spans="1:11" x14ac:dyDescent="0.2">
      <c r="A236">
        <v>2015</v>
      </c>
      <c r="B236" t="s">
        <v>58</v>
      </c>
      <c r="C236" t="s">
        <v>59</v>
      </c>
      <c r="D236" t="s">
        <v>60</v>
      </c>
      <c r="E236" t="s">
        <v>10</v>
      </c>
      <c r="F236">
        <v>717</v>
      </c>
      <c r="G236" s="3">
        <v>57146</v>
      </c>
      <c r="H236" s="5" cm="1">
        <f t="array" ref="H236">IFERROR(_xlfn.IFS(A236=$F$517,G236/$G$517,A236=$F$518,G236/$G$518,A236=$F$519,G236/$G$519,A236=$F$520,G236/$G$520,A236=$F$521,G236/$G$521,A236=$F$522,G236/$G$522,A236=$F$523,G236/$G$523,A236=$F$524,G236/$G$524),"")</f>
        <v>1.1768951505786744E-3</v>
      </c>
      <c r="I236" s="3" cm="1">
        <f t="array" ref="I236">IFERROR(_xlfn.IFS(A236=$M$3,H236*$S$3,A236=$M$4,H236*$S$4,A236=$M$5,H236*$S$5,A236=$M$6,H236*$S$6,A236=$M$7,H236*$S$7,A236=$M$8,H236*$S$8,A236=$M$9,H236*$S$9,A236=$M$10,H236*$S$10),"")</f>
        <v>1942485.4661935086</v>
      </c>
      <c r="J236" s="3">
        <f t="shared" si="3"/>
        <v>1999631.4661935086</v>
      </c>
      <c r="K236" s="3" t="str">
        <f>IFERROR(VLOOKUP(E236,'GASB Match'!$A$2:$C$58,3,FALSE),"")</f>
        <v>0200450</v>
      </c>
    </row>
    <row r="237" spans="1:11" x14ac:dyDescent="0.2">
      <c r="A237">
        <v>2016</v>
      </c>
      <c r="B237" t="s">
        <v>58</v>
      </c>
      <c r="C237" t="s">
        <v>59</v>
      </c>
      <c r="D237" t="s">
        <v>60</v>
      </c>
      <c r="E237" t="s">
        <v>10</v>
      </c>
      <c r="F237">
        <v>717</v>
      </c>
      <c r="G237" s="3">
        <v>55504</v>
      </c>
      <c r="H237" s="5" cm="1">
        <f t="array" ref="H237">IFERROR(_xlfn.IFS(A237=$F$517,G237/$G$517,A237=$F$518,G237/$G$518,A237=$F$519,G237/$G$519,A237=$F$520,G237/$G$520,A237=$F$521,G237/$G$521,A237=$F$522,G237/$G$522,A237=$F$523,G237/$G$523,A237=$F$524,G237/$G$524),"")</f>
        <v>1.6271821028262174E-3</v>
      </c>
      <c r="I237" s="3" cm="1">
        <f t="array" ref="I237">IFERROR(_xlfn.IFS(A237=$M$3,H237*$S$3,A237=$M$4,H237*$S$4,A237=$M$5,H237*$S$5,A237=$M$6,H237*$S$6,A237=$M$7,H237*$S$7,A237=$M$8,H237*$S$8,A237=$M$9,H237*$S$9,A237=$M$10,H237*$S$10),"")</f>
        <v>146377.15916461273</v>
      </c>
      <c r="J237" s="3">
        <f t="shared" si="3"/>
        <v>201881.15916461273</v>
      </c>
      <c r="K237" s="3" t="str">
        <f>IFERROR(VLOOKUP(E237,'GASB Match'!$A$2:$C$58,3,FALSE),"")</f>
        <v>0200450</v>
      </c>
    </row>
    <row r="238" spans="1:11" x14ac:dyDescent="0.2">
      <c r="A238">
        <v>2017</v>
      </c>
      <c r="B238" t="s">
        <v>58</v>
      </c>
      <c r="C238" t="s">
        <v>59</v>
      </c>
      <c r="D238" t="s">
        <v>60</v>
      </c>
      <c r="E238" t="s">
        <v>10</v>
      </c>
      <c r="F238">
        <v>717</v>
      </c>
      <c r="G238" s="3">
        <v>64679</v>
      </c>
      <c r="H238" s="5" cm="1">
        <f t="array" ref="H238">IFERROR(_xlfn.IFS(A238=$F$517,G238/$G$517,A238=$F$518,G238/$G$518,A238=$F$519,G238/$G$519,A238=$F$520,G238/$G$520,A238=$F$521,G238/$G$521,A238=$F$522,G238/$G$522,A238=$F$523,G238/$G$523,A238=$F$524,G238/$G$524),"")</f>
        <v>1.73153564957203E-3</v>
      </c>
      <c r="I238" s="3" cm="1">
        <f t="array" ref="I238">IFERROR(_xlfn.IFS(A238=$M$3,H238*$S$3,A238=$M$4,H238*$S$4,A238=$M$5,H238*$S$5,A238=$M$6,H238*$S$6,A238=$M$7,H238*$S$7,A238=$M$8,H238*$S$8,A238=$M$9,H238*$S$9,A238=$M$10,H238*$S$10),"")</f>
        <v>200823.91674284864</v>
      </c>
      <c r="J238" s="3">
        <f t="shared" si="3"/>
        <v>265502.91674284864</v>
      </c>
      <c r="K238" s="3" t="str">
        <f>IFERROR(VLOOKUP(E238,'GASB Match'!$A$2:$C$58,3,FALSE),"")</f>
        <v>0200450</v>
      </c>
    </row>
    <row r="239" spans="1:11" x14ac:dyDescent="0.2">
      <c r="A239">
        <v>2018</v>
      </c>
      <c r="B239" t="s">
        <v>58</v>
      </c>
      <c r="C239" t="s">
        <v>59</v>
      </c>
      <c r="D239" t="s">
        <v>60</v>
      </c>
      <c r="E239" t="s">
        <v>10</v>
      </c>
      <c r="F239">
        <v>717</v>
      </c>
      <c r="G239" s="3">
        <v>73149</v>
      </c>
      <c r="H239" s="5" cm="1">
        <f t="array" ref="H239">IFERROR(_xlfn.IFS(A239=$F$517,G239/$G$517,A239=$F$518,G239/$G$518,A239=$F$519,G239/$G$519,A239=$F$520,G239/$G$520,A239=$F$521,G239/$G$521,A239=$F$522,G239/$G$522,A239=$F$523,G239/$G$523,A239=$F$524,G239/$G$524),"")</f>
        <v>1.8039088069338911E-3</v>
      </c>
      <c r="I239" s="3" cm="1">
        <f t="array" ref="I239">IFERROR(_xlfn.IFS(A239=$M$3,H239*$S$3,A239=$M$4,H239*$S$4,A239=$M$5,H239*$S$5,A239=$M$6,H239*$S$6,A239=$M$7,H239*$S$7,A239=$M$8,H239*$S$8,A239=$M$9,H239*$S$9,A239=$M$10,H239*$S$10),"")</f>
        <v>200310.11255975175</v>
      </c>
      <c r="J239" s="3">
        <f t="shared" si="3"/>
        <v>273459.11255975172</v>
      </c>
      <c r="K239" s="3" t="str">
        <f>IFERROR(VLOOKUP(E239,'GASB Match'!$A$2:$C$58,3,FALSE),"")</f>
        <v>0200450</v>
      </c>
    </row>
    <row r="240" spans="1:11" x14ac:dyDescent="0.2">
      <c r="A240">
        <v>2019</v>
      </c>
      <c r="B240" t="s">
        <v>58</v>
      </c>
      <c r="C240" t="s">
        <v>59</v>
      </c>
      <c r="D240" t="s">
        <v>60</v>
      </c>
      <c r="E240" t="s">
        <v>10</v>
      </c>
      <c r="F240">
        <v>717</v>
      </c>
      <c r="G240" s="3">
        <v>73941</v>
      </c>
      <c r="H240" s="5" cm="1">
        <f t="array" ref="H240">IFERROR(_xlfn.IFS(A240=$F$517,G240/$G$517,A240=$F$518,G240/$G$518,A240=$F$519,G240/$G$519,A240=$F$520,G240/$G$520,A240=$F$521,G240/$G$521,A240=$F$522,G240/$G$522,A240=$F$523,G240/$G$523,A240=$F$524,G240/$G$524),"")</f>
        <v>2.008981989722759E-3</v>
      </c>
      <c r="I240" s="3" cm="1">
        <f t="array" ref="I240">IFERROR(_xlfn.IFS(A240=$M$3,H240*$S$3,A240=$M$4,H240*$S$4,A240=$M$5,H240*$S$5,A240=$M$6,H240*$S$6,A240=$M$7,H240*$S$7,A240=$M$8,H240*$S$8,A240=$M$9,H240*$S$9,A240=$M$10,H240*$S$10),"")</f>
        <v>255873.51298332564</v>
      </c>
      <c r="J240" s="3">
        <f t="shared" si="3"/>
        <v>329814.51298332564</v>
      </c>
      <c r="K240" s="3" t="str">
        <f>IFERROR(VLOOKUP(E240,'GASB Match'!$A$2:$C$58,3,FALSE),"")</f>
        <v>0200450</v>
      </c>
    </row>
    <row r="241" spans="1:11" x14ac:dyDescent="0.2">
      <c r="A241">
        <v>2020</v>
      </c>
      <c r="B241" t="s">
        <v>58</v>
      </c>
      <c r="C241" t="s">
        <v>59</v>
      </c>
      <c r="D241" t="s">
        <v>60</v>
      </c>
      <c r="E241" t="s">
        <v>10</v>
      </c>
      <c r="F241">
        <v>717</v>
      </c>
      <c r="G241" s="3">
        <v>72046</v>
      </c>
      <c r="H241" s="5" cm="1">
        <f t="array" ref="H241">IFERROR(_xlfn.IFS(A241=$F$517,G241/$G$517,A241=$F$518,G241/$G$518,A241=$F$519,G241/$G$519,A241=$F$520,G241/$G$520,A241=$F$521,G241/$G$521,A241=$F$522,G241/$G$522,A241=$F$523,G241/$G$523,A241=$F$524,G241/$G$524),"")</f>
        <v>2.111892240321764E-3</v>
      </c>
      <c r="I241" s="3" cm="1">
        <f t="array" ref="I241">IFERROR(_xlfn.IFS(A241=$M$3,H241*$S$3,A241=$M$4,H241*$S$4,A241=$M$5,H241*$S$5,A241=$M$6,H241*$S$6,A241=$M$7,H241*$S$7,A241=$M$8,H241*$S$8,A241=$M$9,H241*$S$9,A241=$M$10,H241*$S$10),"")</f>
        <v>296127.66091328504</v>
      </c>
      <c r="J241" s="3">
        <f t="shared" si="3"/>
        <v>368173.66091328504</v>
      </c>
      <c r="K241" s="3" t="str">
        <f>IFERROR(VLOOKUP(E241,'GASB Match'!$A$2:$C$58,3,FALSE),"")</f>
        <v>0200450</v>
      </c>
    </row>
    <row r="242" spans="1:11" x14ac:dyDescent="0.2">
      <c r="A242">
        <v>2021</v>
      </c>
      <c r="B242" t="s">
        <v>58</v>
      </c>
      <c r="C242" t="s">
        <v>59</v>
      </c>
      <c r="D242" t="s">
        <v>60</v>
      </c>
      <c r="E242" t="s">
        <v>10</v>
      </c>
      <c r="F242">
        <v>717</v>
      </c>
      <c r="G242" s="3">
        <v>58956</v>
      </c>
      <c r="H242" s="5" cm="1">
        <f t="array" ref="H242">IFERROR(_xlfn.IFS(A242=$F$517,G242/$G$517,A242=$F$518,G242/$G$518,A242=$F$519,G242/$G$519,A242=$F$520,G242/$G$520,A242=$F$521,G242/$G$521,A242=$F$522,G242/$G$522,A242=$F$523,G242/$G$523,A242=$F$524,G242/$G$524),"")</f>
        <v>2.0097100534078502E-3</v>
      </c>
      <c r="I242" s="3" cm="1">
        <f t="array" ref="I242">IFERROR(_xlfn.IFS(A242=$M$3,H242*$S$3,A242=$M$4,H242*$S$4,A242=$M$5,H242*$S$5,A242=$M$6,H242*$S$6,A242=$M$7,H242*$S$7,A242=$M$8,H242*$S$8,A242=$M$9,H242*$S$9,A242=$M$10,H242*$S$10),"")</f>
        <v>269441.82083126029</v>
      </c>
      <c r="J242" s="3">
        <f t="shared" si="3"/>
        <v>328397.82083126029</v>
      </c>
      <c r="K242" s="3" t="str">
        <f>IFERROR(VLOOKUP(E242,'GASB Match'!$A$2:$C$58,3,FALSE),"")</f>
        <v>0200450</v>
      </c>
    </row>
    <row r="243" spans="1:11" x14ac:dyDescent="0.2">
      <c r="A243">
        <v>2022</v>
      </c>
      <c r="B243" t="s">
        <v>58</v>
      </c>
      <c r="C243" t="s">
        <v>59</v>
      </c>
      <c r="D243" t="s">
        <v>60</v>
      </c>
      <c r="E243" t="s">
        <v>10</v>
      </c>
      <c r="F243">
        <v>717</v>
      </c>
      <c r="G243" s="3">
        <v>56347</v>
      </c>
      <c r="H243" s="5" cm="1">
        <f t="array" ref="H243">IFERROR(_xlfn.IFS(A243=$F$517,G243/$G$517,A243=$F$518,G243/$G$518,A243=$F$519,G243/$G$519,A243=$F$520,G243/$G$520,A243=$F$521,G243/$G$521,A243=$F$522,G243/$G$522,A243=$F$523,G243/$G$523,A243=$F$524,G243/$G$524),"")</f>
        <v>1.8349705387691951E-3</v>
      </c>
      <c r="I243" s="3" cm="1">
        <f t="array" ref="I243">IFERROR(_xlfn.IFS(A243=$M$3,H243*$S$3,A243=$M$4,H243*$S$4,A243=$M$5,H243*$S$5,A243=$M$6,H243*$S$6,A243=$M$7,H243*$S$7,A243=$M$8,H243*$S$8,A243=$M$9,H243*$S$9,A243=$M$10,H243*$S$10),"")</f>
        <v>260087.60483311705</v>
      </c>
      <c r="J243" s="3">
        <f t="shared" si="3"/>
        <v>316434.60483311705</v>
      </c>
      <c r="K243" s="3" t="str">
        <f>IFERROR(VLOOKUP(E243,'GASB Match'!$A$2:$C$58,3,FALSE),"")</f>
        <v>0200450</v>
      </c>
    </row>
    <row r="244" spans="1:11" x14ac:dyDescent="0.2">
      <c r="A244">
        <v>2023</v>
      </c>
      <c r="B244" t="s">
        <v>58</v>
      </c>
      <c r="C244" t="s">
        <v>59</v>
      </c>
      <c r="D244" t="s">
        <v>60</v>
      </c>
      <c r="E244" t="s">
        <v>10</v>
      </c>
      <c r="F244">
        <v>717</v>
      </c>
      <c r="G244" s="3">
        <v>102103</v>
      </c>
      <c r="H244" s="5" t="str" cm="1">
        <f t="array" ref="H244">IFERROR(_xlfn.IFS(A244=$F$517,G244/$G$517,A244=$F$518,G244/$G$518,A244=$F$519,G244/$G$519,A244=$F$520,G244/$G$520,A244=$F$521,G244/$G$521,A244=$F$522,G244/$G$522,A244=$F$523,G244/$G$523,A244=$F$524,G244/$G$524),"")</f>
        <v/>
      </c>
      <c r="I244" s="3" t="str" cm="1">
        <f t="array" ref="I244">IFERROR(_xlfn.IFS(A244=$M$3,H244*$S$3,A244=$M$4,H244*$S$4,A244=$M$5,H244*$S$5,A244=$M$6,H244*$S$6,A244=$M$7,H244*$S$7,A244=$M$8,H244*$S$8,A244=$M$9,H244*$S$9,A244=$M$10,H244*$S$10),"")</f>
        <v/>
      </c>
      <c r="J244" s="3">
        <f t="shared" si="3"/>
        <v>102103</v>
      </c>
      <c r="K244" s="3" t="str">
        <f>IFERROR(VLOOKUP(E244,'GASB Match'!$A$2:$C$58,3,FALSE),"")</f>
        <v>0200450</v>
      </c>
    </row>
    <row r="245" spans="1:11" x14ac:dyDescent="0.2">
      <c r="A245">
        <v>2015</v>
      </c>
      <c r="B245" t="s">
        <v>58</v>
      </c>
      <c r="C245" t="s">
        <v>59</v>
      </c>
      <c r="D245" t="s">
        <v>60</v>
      </c>
      <c r="E245" t="s">
        <v>11</v>
      </c>
      <c r="F245">
        <v>718</v>
      </c>
      <c r="G245" s="3">
        <v>647632</v>
      </c>
      <c r="H245" s="5" cm="1">
        <f t="array" ref="H245">IFERROR(_xlfn.IFS(A245=$F$517,G245/$G$517,A245=$F$518,G245/$G$518,A245=$F$519,G245/$G$519,A245=$F$520,G245/$G$520,A245=$F$521,G245/$G$521,A245=$F$522,G245/$G$522,A245=$F$523,G245/$G$523,A245=$F$524,G245/$G$524),"")</f>
        <v>1.3337678230489765E-2</v>
      </c>
      <c r="I245" s="3" cm="1">
        <f t="array" ref="I245">IFERROR(_xlfn.IFS(A245=$M$3,H245*$S$3,A245=$M$4,H245*$S$4,A245=$M$5,H245*$S$5,A245=$M$6,H245*$S$6,A245=$M$7,H245*$S$7,A245=$M$8,H245*$S$8,A245=$M$9,H245*$S$9,A245=$M$10,H245*$S$10),"")</f>
        <v>22014064.806667734</v>
      </c>
      <c r="J245" s="3">
        <f t="shared" si="3"/>
        <v>22661696.806667734</v>
      </c>
      <c r="K245" s="3" t="str">
        <f>IFERROR(VLOOKUP(E245,'GASB Match'!$A$2:$C$58,3,FALSE),"")</f>
        <v>0200480</v>
      </c>
    </row>
    <row r="246" spans="1:11" x14ac:dyDescent="0.2">
      <c r="A246">
        <v>2016</v>
      </c>
      <c r="B246" t="s">
        <v>58</v>
      </c>
      <c r="C246" t="s">
        <v>59</v>
      </c>
      <c r="D246" t="s">
        <v>60</v>
      </c>
      <c r="E246" t="s">
        <v>11</v>
      </c>
      <c r="F246">
        <v>718</v>
      </c>
      <c r="G246" s="3">
        <v>543048</v>
      </c>
      <c r="H246" s="5" cm="1">
        <f t="array" ref="H246">IFERROR(_xlfn.IFS(A246=$F$517,G246/$G$517,A246=$F$518,G246/$G$518,A246=$F$519,G246/$G$519,A246=$F$520,G246/$G$520,A246=$F$521,G246/$G$521,A246=$F$522,G246/$G$522,A246=$F$523,G246/$G$523,A246=$F$524,G246/$G$524),"")</f>
        <v>1.5920257757559307E-2</v>
      </c>
      <c r="I246" s="3" cm="1">
        <f t="array" ref="I246">IFERROR(_xlfn.IFS(A246=$M$3,H246*$S$3,A246=$M$4,H246*$S$4,A246=$M$5,H246*$S$5,A246=$M$6,H246*$S$6,A246=$M$7,H246*$S$7,A246=$M$8,H246*$S$8,A246=$M$9,H246*$S$9,A246=$M$10,H246*$S$10),"")</f>
        <v>1432145.8548937845</v>
      </c>
      <c r="J246" s="3">
        <f t="shared" si="3"/>
        <v>1975193.8548937845</v>
      </c>
      <c r="K246" s="3" t="str">
        <f>IFERROR(VLOOKUP(E246,'GASB Match'!$A$2:$C$58,3,FALSE),"")</f>
        <v>0200480</v>
      </c>
    </row>
    <row r="247" spans="1:11" x14ac:dyDescent="0.2">
      <c r="A247">
        <v>2017</v>
      </c>
      <c r="B247" t="s">
        <v>58</v>
      </c>
      <c r="C247" t="s">
        <v>59</v>
      </c>
      <c r="D247" t="s">
        <v>60</v>
      </c>
      <c r="E247" t="s">
        <v>11</v>
      </c>
      <c r="F247">
        <v>718</v>
      </c>
      <c r="G247" s="3">
        <v>610298</v>
      </c>
      <c r="H247" s="5" cm="1">
        <f t="array" ref="H247">IFERROR(_xlfn.IFS(A247=$F$517,G247/$G$517,A247=$F$518,G247/$G$518,A247=$F$519,G247/$G$519,A247=$F$520,G247/$G$520,A247=$F$521,G247/$G$521,A247=$F$522,G247/$G$522,A247=$F$523,G247/$G$523,A247=$F$524,G247/$G$524),"")</f>
        <v>1.6338421185585903E-2</v>
      </c>
      <c r="I247" s="3" cm="1">
        <f t="array" ref="I247">IFERROR(_xlfn.IFS(A247=$M$3,H247*$S$3,A247=$M$4,H247*$S$4,A247=$M$5,H247*$S$5,A247=$M$6,H247*$S$6,A247=$M$7,H247*$S$7,A247=$M$8,H247*$S$8,A247=$M$9,H247*$S$9,A247=$M$10,H247*$S$10),"")</f>
        <v>1894933.9776484952</v>
      </c>
      <c r="J247" s="3">
        <f t="shared" si="3"/>
        <v>2505231.9776484952</v>
      </c>
      <c r="K247" s="3" t="str">
        <f>IFERROR(VLOOKUP(E247,'GASB Match'!$A$2:$C$58,3,FALSE),"")</f>
        <v>0200480</v>
      </c>
    </row>
    <row r="248" spans="1:11" x14ac:dyDescent="0.2">
      <c r="A248">
        <v>2018</v>
      </c>
      <c r="B248" t="s">
        <v>58</v>
      </c>
      <c r="C248" t="s">
        <v>59</v>
      </c>
      <c r="D248" t="s">
        <v>60</v>
      </c>
      <c r="E248" t="s">
        <v>11</v>
      </c>
      <c r="F248">
        <v>718</v>
      </c>
      <c r="G248" s="3">
        <v>665867</v>
      </c>
      <c r="H248" s="5" cm="1">
        <f t="array" ref="H248">IFERROR(_xlfn.IFS(A248=$F$517,G248/$G$517,A248=$F$518,G248/$G$518,A248=$F$519,G248/$G$519,A248=$F$520,G248/$G$520,A248=$F$521,G248/$G$521,A248=$F$522,G248/$G$522,A248=$F$523,G248/$G$523,A248=$F$524,G248/$G$524),"")</f>
        <v>1.6420776026284015E-2</v>
      </c>
      <c r="I248" s="3" cm="1">
        <f t="array" ref="I248">IFERROR(_xlfn.IFS(A248=$M$3,H248*$S$3,A248=$M$4,H248*$S$4,A248=$M$5,H248*$S$5,A248=$M$6,H248*$S$6,A248=$M$7,H248*$S$7,A248=$M$8,H248*$S$8,A248=$M$9,H248*$S$9,A248=$M$10,H248*$S$10),"")</f>
        <v>1823400.0973331723</v>
      </c>
      <c r="J248" s="3">
        <f t="shared" si="3"/>
        <v>2489267.0973331723</v>
      </c>
      <c r="K248" s="3" t="str">
        <f>IFERROR(VLOOKUP(E248,'GASB Match'!$A$2:$C$58,3,FALSE),"")</f>
        <v>0200480</v>
      </c>
    </row>
    <row r="249" spans="1:11" x14ac:dyDescent="0.2">
      <c r="A249">
        <v>2019</v>
      </c>
      <c r="B249" t="s">
        <v>58</v>
      </c>
      <c r="C249" t="s">
        <v>59</v>
      </c>
      <c r="D249" t="s">
        <v>60</v>
      </c>
      <c r="E249" t="s">
        <v>11</v>
      </c>
      <c r="F249">
        <v>718</v>
      </c>
      <c r="G249" s="3">
        <v>583204</v>
      </c>
      <c r="H249" s="5" cm="1">
        <f t="array" ref="H249">IFERROR(_xlfn.IFS(A249=$F$517,G249/$G$517,A249=$F$518,G249/$G$518,A249=$F$519,G249/$G$519,A249=$F$520,G249/$G$520,A249=$F$521,G249/$G$521,A249=$F$522,G249/$G$522,A249=$F$523,G249/$G$523,A249=$F$524,G249/$G$524),"")</f>
        <v>1.5845692272680539E-2</v>
      </c>
      <c r="I249" s="3" cm="1">
        <f t="array" ref="I249">IFERROR(_xlfn.IFS(A249=$M$3,H249*$S$3,A249=$M$4,H249*$S$4,A249=$M$5,H249*$S$5,A249=$M$6,H249*$S$6,A249=$M$7,H249*$S$7,A249=$M$8,H249*$S$8,A249=$M$9,H249*$S$9,A249=$M$10,H249*$S$10),"")</f>
        <v>2018182.825035196</v>
      </c>
      <c r="J249" s="3">
        <f t="shared" si="3"/>
        <v>2601386.8250351958</v>
      </c>
      <c r="K249" s="3" t="str">
        <f>IFERROR(VLOOKUP(E249,'GASB Match'!$A$2:$C$58,3,FALSE),"")</f>
        <v>0200480</v>
      </c>
    </row>
    <row r="250" spans="1:11" x14ac:dyDescent="0.2">
      <c r="A250">
        <v>2020</v>
      </c>
      <c r="B250" t="s">
        <v>58</v>
      </c>
      <c r="C250" t="s">
        <v>59</v>
      </c>
      <c r="D250" t="s">
        <v>60</v>
      </c>
      <c r="E250" t="s">
        <v>11</v>
      </c>
      <c r="F250">
        <v>718</v>
      </c>
      <c r="G250" s="3">
        <v>580410</v>
      </c>
      <c r="H250" s="5" cm="1">
        <f t="array" ref="H250">IFERROR(_xlfn.IFS(A250=$F$517,G250/$G$517,A250=$F$518,G250/$G$518,A250=$F$519,G250/$G$519,A250=$F$520,G250/$G$520,A250=$F$521,G250/$G$521,A250=$F$522,G250/$G$522,A250=$F$523,G250/$G$523,A250=$F$524,G250/$G$524),"")</f>
        <v>1.7013621508552245E-2</v>
      </c>
      <c r="I250" s="3" cm="1">
        <f t="array" ref="I250">IFERROR(_xlfn.IFS(A250=$M$3,H250*$S$3,A250=$M$4,H250*$S$4,A250=$M$5,H250*$S$5,A250=$M$6,H250*$S$6,A250=$M$7,H250*$S$7,A250=$M$8,H250*$S$8,A250=$M$9,H250*$S$9,A250=$M$10,H250*$S$10),"")</f>
        <v>2385634.9508741605</v>
      </c>
      <c r="J250" s="3">
        <f t="shared" si="3"/>
        <v>2966044.9508741605</v>
      </c>
      <c r="K250" s="3" t="str">
        <f>IFERROR(VLOOKUP(E250,'GASB Match'!$A$2:$C$58,3,FALSE),"")</f>
        <v>0200480</v>
      </c>
    </row>
    <row r="251" spans="1:11" x14ac:dyDescent="0.2">
      <c r="A251">
        <v>2021</v>
      </c>
      <c r="B251" t="s">
        <v>58</v>
      </c>
      <c r="C251" t="s">
        <v>59</v>
      </c>
      <c r="D251" t="s">
        <v>60</v>
      </c>
      <c r="E251" t="s">
        <v>11</v>
      </c>
      <c r="F251">
        <v>718</v>
      </c>
      <c r="G251" s="3">
        <v>559135</v>
      </c>
      <c r="H251" s="5" cm="1">
        <f t="array" ref="H251">IFERROR(_xlfn.IFS(A251=$F$517,G251/$G$517,A251=$F$518,G251/$G$518,A251=$F$519,G251/$G$519,A251=$F$520,G251/$G$520,A251=$F$521,G251/$G$521,A251=$F$522,G251/$G$522,A251=$F$523,G251/$G$523,A251=$F$524,G251/$G$524),"")</f>
        <v>1.9059963883441861E-2</v>
      </c>
      <c r="I251" s="3" cm="1">
        <f t="array" ref="I251">IFERROR(_xlfn.IFS(A251=$M$3,H251*$S$3,A251=$M$4,H251*$S$4,A251=$M$5,H251*$S$5,A251=$M$6,H251*$S$6,A251=$M$7,H251*$S$7,A251=$M$8,H251*$S$8,A251=$M$9,H251*$S$9,A251=$M$10,H251*$S$10),"")</f>
        <v>2555369.3006731584</v>
      </c>
      <c r="J251" s="3">
        <f t="shared" si="3"/>
        <v>3114504.3006731584</v>
      </c>
      <c r="K251" s="3" t="str">
        <f>IFERROR(VLOOKUP(E251,'GASB Match'!$A$2:$C$58,3,FALSE),"")</f>
        <v>0200480</v>
      </c>
    </row>
    <row r="252" spans="1:11" x14ac:dyDescent="0.2">
      <c r="A252">
        <v>2022</v>
      </c>
      <c r="B252" t="s">
        <v>58</v>
      </c>
      <c r="C252" t="s">
        <v>59</v>
      </c>
      <c r="D252" t="s">
        <v>60</v>
      </c>
      <c r="E252" t="s">
        <v>11</v>
      </c>
      <c r="F252">
        <v>718</v>
      </c>
      <c r="G252" s="3">
        <v>568230</v>
      </c>
      <c r="H252" s="5" cm="1">
        <f t="array" ref="H252">IFERROR(_xlfn.IFS(A252=$F$517,G252/$G$517,A252=$F$518,G252/$G$518,A252=$F$519,G252/$G$519,A252=$F$520,G252/$G$520,A252=$F$521,G252/$G$521,A252=$F$522,G252/$G$522,A252=$F$523,G252/$G$523,A252=$F$524,G252/$G$524),"")</f>
        <v>1.8504717362855517E-2</v>
      </c>
      <c r="I252" s="3" cm="1">
        <f t="array" ref="I252">IFERROR(_xlfn.IFS(A252=$M$3,H252*$S$3,A252=$M$4,H252*$S$4,A252=$M$5,H252*$S$5,A252=$M$6,H252*$S$6,A252=$M$7,H252*$S$7,A252=$M$8,H252*$S$8,A252=$M$9,H252*$S$9,A252=$M$10,H252*$S$10),"")</f>
        <v>2622847.3511335496</v>
      </c>
      <c r="J252" s="3">
        <f t="shared" si="3"/>
        <v>3191077.3511335496</v>
      </c>
      <c r="K252" s="3" t="str">
        <f>IFERROR(VLOOKUP(E252,'GASB Match'!$A$2:$C$58,3,FALSE),"")</f>
        <v>0200480</v>
      </c>
    </row>
    <row r="253" spans="1:11" x14ac:dyDescent="0.2">
      <c r="A253">
        <v>2023</v>
      </c>
      <c r="B253" t="s">
        <v>58</v>
      </c>
      <c r="C253" t="s">
        <v>59</v>
      </c>
      <c r="D253" t="s">
        <v>60</v>
      </c>
      <c r="E253" t="s">
        <v>11</v>
      </c>
      <c r="F253">
        <v>718</v>
      </c>
      <c r="G253" s="3">
        <v>829130</v>
      </c>
      <c r="H253" s="5" t="str" cm="1">
        <f t="array" ref="H253">IFERROR(_xlfn.IFS(A253=$F$517,G253/$G$517,A253=$F$518,G253/$G$518,A253=$F$519,G253/$G$519,A253=$F$520,G253/$G$520,A253=$F$521,G253/$G$521,A253=$F$522,G253/$G$522,A253=$F$523,G253/$G$523,A253=$F$524,G253/$G$524),"")</f>
        <v/>
      </c>
      <c r="I253" s="3" t="str" cm="1">
        <f t="array" ref="I253">IFERROR(_xlfn.IFS(A253=$M$3,H253*$S$3,A253=$M$4,H253*$S$4,A253=$M$5,H253*$S$5,A253=$M$6,H253*$S$6,A253=$M$7,H253*$S$7,A253=$M$8,H253*$S$8,A253=$M$9,H253*$S$9,A253=$M$10,H253*$S$10),"")</f>
        <v/>
      </c>
      <c r="J253" s="3">
        <f t="shared" si="3"/>
        <v>829130</v>
      </c>
      <c r="K253" s="3" t="str">
        <f>IFERROR(VLOOKUP(E253,'GASB Match'!$A$2:$C$58,3,FALSE),"")</f>
        <v>0200480</v>
      </c>
    </row>
    <row r="254" spans="1:11" x14ac:dyDescent="0.2">
      <c r="A254">
        <v>2015</v>
      </c>
      <c r="B254" t="s">
        <v>58</v>
      </c>
      <c r="C254" t="s">
        <v>59</v>
      </c>
      <c r="D254" t="s">
        <v>60</v>
      </c>
      <c r="E254" t="s">
        <v>33</v>
      </c>
      <c r="F254">
        <v>755</v>
      </c>
      <c r="G254" s="3">
        <v>121709</v>
      </c>
      <c r="H254" s="5" cm="1">
        <f t="array" ref="H254">IFERROR(_xlfn.IFS(A254=$F$517,G254/$G$517,A254=$F$518,G254/$G$518,A254=$F$519,G254/$G$519,A254=$F$520,G254/$G$520,A254=$F$521,G254/$G$521,A254=$F$522,G254/$G$522,A254=$F$523,G254/$G$523,A254=$F$524,G254/$G$524),"")</f>
        <v>2.5065399482339951E-3</v>
      </c>
      <c r="I254" s="3" cm="1">
        <f t="array" ref="I254">IFERROR(_xlfn.IFS(A254=$M$3,H254*$S$3,A254=$M$4,H254*$S$4,A254=$M$5,H254*$S$5,A254=$M$6,H254*$S$6,A254=$M$7,H254*$S$7,A254=$M$8,H254*$S$8,A254=$M$9,H254*$S$9,A254=$M$10,H254*$S$10),"")</f>
        <v>4137086.8233112684</v>
      </c>
      <c r="J254" s="3">
        <f t="shared" si="3"/>
        <v>4258795.8233112684</v>
      </c>
      <c r="K254" s="3" t="str">
        <f>IFERROR(VLOOKUP(E254,'GASB Match'!$A$2:$C$58,3,FALSE),"")</f>
        <v>0200760</v>
      </c>
    </row>
    <row r="255" spans="1:11" x14ac:dyDescent="0.2">
      <c r="A255">
        <v>2016</v>
      </c>
      <c r="B255" t="s">
        <v>58</v>
      </c>
      <c r="C255" t="s">
        <v>59</v>
      </c>
      <c r="D255" t="s">
        <v>60</v>
      </c>
      <c r="E255" t="s">
        <v>33</v>
      </c>
      <c r="F255">
        <v>755</v>
      </c>
      <c r="G255" s="3">
        <v>98039</v>
      </c>
      <c r="H255" s="5" cm="1">
        <f t="array" ref="H255">IFERROR(_xlfn.IFS(A255=$F$517,G255/$G$517,A255=$F$518,G255/$G$518,A255=$F$519,G255/$G$519,A255=$F$520,G255/$G$520,A255=$F$521,G255/$G$521,A255=$F$522,G255/$G$522,A255=$F$523,G255/$G$523,A255=$F$524,G255/$G$524),"")</f>
        <v>2.8741587305235574E-3</v>
      </c>
      <c r="I255" s="3" cm="1">
        <f t="array" ref="I255">IFERROR(_xlfn.IFS(A255=$M$3,H255*$S$3,A255=$M$4,H255*$S$4,A255=$M$5,H255*$S$5,A255=$M$6,H255*$S$6,A255=$M$7,H255*$S$7,A255=$M$8,H255*$S$8,A255=$M$9,H255*$S$9,A255=$M$10,H255*$S$10),"")</f>
        <v>258552.00178977131</v>
      </c>
      <c r="J255" s="3">
        <f t="shared" si="3"/>
        <v>356591.00178977131</v>
      </c>
      <c r="K255" s="3" t="str">
        <f>IFERROR(VLOOKUP(E255,'GASB Match'!$A$2:$C$58,3,FALSE),"")</f>
        <v>0200760</v>
      </c>
    </row>
    <row r="256" spans="1:11" x14ac:dyDescent="0.2">
      <c r="A256">
        <v>2017</v>
      </c>
      <c r="B256" t="s">
        <v>58</v>
      </c>
      <c r="C256" t="s">
        <v>59</v>
      </c>
      <c r="D256" t="s">
        <v>60</v>
      </c>
      <c r="E256" t="s">
        <v>33</v>
      </c>
      <c r="F256">
        <v>755</v>
      </c>
      <c r="G256" s="3">
        <v>106666</v>
      </c>
      <c r="H256" s="5" cm="1">
        <f t="array" ref="H256">IFERROR(_xlfn.IFS(A256=$F$517,G256/$G$517,A256=$F$518,G256/$G$518,A256=$F$519,G256/$G$519,A256=$F$520,G256/$G$520,A256=$F$521,G256/$G$521,A256=$F$522,G256/$G$522,A256=$F$523,G256/$G$523,A256=$F$524,G256/$G$524),"")</f>
        <v>2.8555788060614751E-3</v>
      </c>
      <c r="I256" s="3" cm="1">
        <f t="array" ref="I256">IFERROR(_xlfn.IFS(A256=$M$3,H256*$S$3,A256=$M$4,H256*$S$4,A256=$M$5,H256*$S$5,A256=$M$6,H256*$S$6,A256=$M$7,H256*$S$7,A256=$M$8,H256*$S$8,A256=$M$9,H256*$S$9,A256=$M$10,H256*$S$10),"")</f>
        <v>331190.70955476572</v>
      </c>
      <c r="J256" s="3">
        <f t="shared" si="3"/>
        <v>437856.70955476572</v>
      </c>
      <c r="K256" s="3" t="str">
        <f>IFERROR(VLOOKUP(E256,'GASB Match'!$A$2:$C$58,3,FALSE),"")</f>
        <v>0200760</v>
      </c>
    </row>
    <row r="257" spans="1:11" x14ac:dyDescent="0.2">
      <c r="A257">
        <v>2018</v>
      </c>
      <c r="B257" t="s">
        <v>58</v>
      </c>
      <c r="C257" t="s">
        <v>59</v>
      </c>
      <c r="D257" t="s">
        <v>60</v>
      </c>
      <c r="E257" t="s">
        <v>33</v>
      </c>
      <c r="F257">
        <v>755</v>
      </c>
      <c r="G257" s="3">
        <v>142686</v>
      </c>
      <c r="H257" s="5" cm="1">
        <f t="array" ref="H257">IFERROR(_xlfn.IFS(A257=$F$517,G257/$G$517,A257=$F$518,G257/$G$518,A257=$F$519,G257/$G$519,A257=$F$520,G257/$G$520,A257=$F$521,G257/$G$521,A257=$F$522,G257/$G$522,A257=$F$523,G257/$G$523,A257=$F$524,G257/$G$524),"")</f>
        <v>3.5187430043632749E-3</v>
      </c>
      <c r="I257" s="3" cm="1">
        <f t="array" ref="I257">IFERROR(_xlfn.IFS(A257=$M$3,H257*$S$3,A257=$M$4,H257*$S$4,A257=$M$5,H257*$S$5,A257=$M$6,H257*$S$6,A257=$M$7,H257*$S$7,A257=$M$8,H257*$S$8,A257=$M$9,H257*$S$9,A257=$M$10,H257*$S$10),"")</f>
        <v>390729.1790824309</v>
      </c>
      <c r="J257" s="3">
        <f t="shared" si="3"/>
        <v>533415.1790824309</v>
      </c>
      <c r="K257" s="3" t="str">
        <f>IFERROR(VLOOKUP(E257,'GASB Match'!$A$2:$C$58,3,FALSE),"")</f>
        <v>0200760</v>
      </c>
    </row>
    <row r="258" spans="1:11" x14ac:dyDescent="0.2">
      <c r="A258">
        <v>2019</v>
      </c>
      <c r="B258" t="s">
        <v>58</v>
      </c>
      <c r="C258" t="s">
        <v>59</v>
      </c>
      <c r="D258" t="s">
        <v>60</v>
      </c>
      <c r="E258" t="s">
        <v>33</v>
      </c>
      <c r="F258">
        <v>755</v>
      </c>
      <c r="G258" s="3">
        <v>76182</v>
      </c>
      <c r="H258" s="5" cm="1">
        <f t="array" ref="H258">IFERROR(_xlfn.IFS(A258=$F$517,G258/$G$517,A258=$F$518,G258/$G$518,A258=$F$519,G258/$G$519,A258=$F$520,G258/$G$520,A258=$F$521,G258/$G$521,A258=$F$522,G258/$G$522,A258=$F$523,G258/$G$523,A258=$F$524,G258/$G$524),"")</f>
        <v>2.0698701118602564E-3</v>
      </c>
      <c r="I258" s="3" cm="1">
        <f t="array" ref="I258">IFERROR(_xlfn.IFS(A258=$M$3,H258*$S$3,A258=$M$4,H258*$S$4,A258=$M$5,H258*$S$5,A258=$M$6,H258*$S$6,A258=$M$7,H258*$S$7,A258=$M$8,H258*$S$8,A258=$M$9,H258*$S$9,A258=$M$10,H258*$S$10),"")</f>
        <v>263628.51416799496</v>
      </c>
      <c r="J258" s="3">
        <f t="shared" si="3"/>
        <v>339810.51416799496</v>
      </c>
      <c r="K258" s="3" t="str">
        <f>IFERROR(VLOOKUP(E258,'GASB Match'!$A$2:$C$58,3,FALSE),"")</f>
        <v>0200760</v>
      </c>
    </row>
    <row r="259" spans="1:11" x14ac:dyDescent="0.2">
      <c r="A259">
        <v>2020</v>
      </c>
      <c r="B259" t="s">
        <v>58</v>
      </c>
      <c r="C259" t="s">
        <v>59</v>
      </c>
      <c r="D259" t="s">
        <v>60</v>
      </c>
      <c r="E259" t="s">
        <v>33</v>
      </c>
      <c r="F259">
        <v>755</v>
      </c>
      <c r="G259" s="3">
        <v>59645</v>
      </c>
      <c r="H259" s="5" cm="1">
        <f t="array" ref="H259">IFERROR(_xlfn.IFS(A259=$F$517,G259/$G$517,A259=$F$518,G259/$G$518,A259=$F$519,G259/$G$519,A259=$F$520,G259/$G$520,A259=$F$521,G259/$G$521,A259=$F$522,G259/$G$522,A259=$F$523,G259/$G$523,A259=$F$524,G259/$G$524),"")</f>
        <v>1.7483803774531773E-3</v>
      </c>
      <c r="I259" s="3" cm="1">
        <f t="array" ref="I259">IFERROR(_xlfn.IFS(A259=$M$3,H259*$S$3,A259=$M$4,H259*$S$4,A259=$M$5,H259*$S$5,A259=$M$6,H259*$S$6,A259=$M$7,H259*$S$7,A259=$M$8,H259*$S$8,A259=$M$9,H259*$S$9,A259=$M$10,H259*$S$10),"")</f>
        <v>245156.34920985048</v>
      </c>
      <c r="J259" s="3">
        <f t="shared" ref="J259:J322" si="4">SUM(G259,I259)</f>
        <v>304801.34920985048</v>
      </c>
      <c r="K259" s="3" t="str">
        <f>IFERROR(VLOOKUP(E259,'GASB Match'!$A$2:$C$58,3,FALSE),"")</f>
        <v>0200760</v>
      </c>
    </row>
    <row r="260" spans="1:11" x14ac:dyDescent="0.2">
      <c r="A260">
        <v>2021</v>
      </c>
      <c r="B260" t="s">
        <v>58</v>
      </c>
      <c r="C260" t="s">
        <v>59</v>
      </c>
      <c r="D260" t="s">
        <v>60</v>
      </c>
      <c r="E260" t="s">
        <v>33</v>
      </c>
      <c r="F260">
        <v>755</v>
      </c>
      <c r="G260" s="3">
        <v>83864</v>
      </c>
      <c r="H260" s="5" cm="1">
        <f t="array" ref="H260">IFERROR(_xlfn.IFS(A260=$F$517,G260/$G$517,A260=$F$518,G260/$G$518,A260=$F$519,G260/$G$519,A260=$F$520,G260/$G$520,A260=$F$521,G260/$G$521,A260=$F$522,G260/$G$522,A260=$F$523,G260/$G$523,A260=$F$524,G260/$G$524),"")</f>
        <v>2.8587815306159842E-3</v>
      </c>
      <c r="I260" s="3" cm="1">
        <f t="array" ref="I260">IFERROR(_xlfn.IFS(A260=$M$3,H260*$S$3,A260=$M$4,H260*$S$4,A260=$M$5,H260*$S$5,A260=$M$6,H260*$S$6,A260=$M$7,H260*$S$7,A260=$M$8,H260*$S$8,A260=$M$9,H260*$S$9,A260=$M$10,H260*$S$10),"")</f>
        <v>383276.83123334043</v>
      </c>
      <c r="J260" s="3">
        <f t="shared" si="4"/>
        <v>467140.83123334043</v>
      </c>
      <c r="K260" s="3" t="str">
        <f>IFERROR(VLOOKUP(E260,'GASB Match'!$A$2:$C$58,3,FALSE),"")</f>
        <v>0200760</v>
      </c>
    </row>
    <row r="261" spans="1:11" x14ac:dyDescent="0.2">
      <c r="A261">
        <v>2022</v>
      </c>
      <c r="B261" t="s">
        <v>58</v>
      </c>
      <c r="C261" t="s">
        <v>59</v>
      </c>
      <c r="D261" t="s">
        <v>60</v>
      </c>
      <c r="E261" t="s">
        <v>33</v>
      </c>
      <c r="F261">
        <v>755</v>
      </c>
      <c r="G261" s="3">
        <v>117179</v>
      </c>
      <c r="H261" s="5" cm="1">
        <f t="array" ref="H261">IFERROR(_xlfn.IFS(A261=$F$517,G261/$G$517,A261=$F$518,G261/$G$518,A261=$F$519,G261/$G$519,A261=$F$520,G261/$G$520,A261=$F$521,G261/$G$521,A261=$F$522,G261/$G$522,A261=$F$523,G261/$G$523,A261=$F$524,G261/$G$524),"")</f>
        <v>3.815997528926749E-3</v>
      </c>
      <c r="I261" s="3" cm="1">
        <f t="array" ref="I261">IFERROR(_xlfn.IFS(A261=$M$3,H261*$S$3,A261=$M$4,H261*$S$4,A261=$M$5,H261*$S$5,A261=$M$6,H261*$S$6,A261=$M$7,H261*$S$7,A261=$M$8,H261*$S$8,A261=$M$9,H261*$S$9,A261=$M$10,H261*$S$10),"")</f>
        <v>540877.16199158481</v>
      </c>
      <c r="J261" s="3">
        <f t="shared" si="4"/>
        <v>658056.16199158481</v>
      </c>
      <c r="K261" s="3" t="str">
        <f>IFERROR(VLOOKUP(E261,'GASB Match'!$A$2:$C$58,3,FALSE),"")</f>
        <v>0200760</v>
      </c>
    </row>
    <row r="262" spans="1:11" x14ac:dyDescent="0.2">
      <c r="A262">
        <v>2023</v>
      </c>
      <c r="B262" t="s">
        <v>58</v>
      </c>
      <c r="C262" t="s">
        <v>59</v>
      </c>
      <c r="D262" t="s">
        <v>60</v>
      </c>
      <c r="E262" t="s">
        <v>33</v>
      </c>
      <c r="F262">
        <v>755</v>
      </c>
      <c r="G262" s="3">
        <v>123150</v>
      </c>
      <c r="H262" s="5" t="str" cm="1">
        <f t="array" ref="H262">IFERROR(_xlfn.IFS(A262=$F$517,G262/$G$517,A262=$F$518,G262/$G$518,A262=$F$519,G262/$G$519,A262=$F$520,G262/$G$520,A262=$F$521,G262/$G$521,A262=$F$522,G262/$G$522,A262=$F$523,G262/$G$523,A262=$F$524,G262/$G$524),"")</f>
        <v/>
      </c>
      <c r="I262" s="3" t="str" cm="1">
        <f t="array" ref="I262">IFERROR(_xlfn.IFS(A262=$M$3,H262*$S$3,A262=$M$4,H262*$S$4,A262=$M$5,H262*$S$5,A262=$M$6,H262*$S$6,A262=$M$7,H262*$S$7,A262=$M$8,H262*$S$8,A262=$M$9,H262*$S$9,A262=$M$10,H262*$S$10),"")</f>
        <v/>
      </c>
      <c r="J262" s="3">
        <f t="shared" si="4"/>
        <v>123150</v>
      </c>
      <c r="K262" s="3" t="str">
        <f>IFERROR(VLOOKUP(E262,'GASB Match'!$A$2:$C$58,3,FALSE),"")</f>
        <v>0200760</v>
      </c>
    </row>
    <row r="263" spans="1:11" x14ac:dyDescent="0.2">
      <c r="A263">
        <v>2015</v>
      </c>
      <c r="B263" t="s">
        <v>58</v>
      </c>
      <c r="C263" t="s">
        <v>59</v>
      </c>
      <c r="D263" t="s">
        <v>60</v>
      </c>
      <c r="E263" t="s">
        <v>35</v>
      </c>
      <c r="F263">
        <v>757</v>
      </c>
      <c r="G263" s="3">
        <v>94680</v>
      </c>
      <c r="H263" s="5" cm="1">
        <f t="array" ref="H263">IFERROR(_xlfn.IFS(A263=$F$517,G263/$G$517,A263=$F$518,G263/$G$518,A263=$F$519,G263/$G$519,A263=$F$520,G263/$G$520,A263=$F$521,G263/$G$521,A263=$F$522,G263/$G$522,A263=$F$523,G263/$G$523,A263=$F$524,G263/$G$524),"")</f>
        <v>1.9498903310255992E-3</v>
      </c>
      <c r="I263" s="3" cm="1">
        <f t="array" ref="I263">IFERROR(_xlfn.IFS(A263=$M$3,H263*$S$3,A263=$M$4,H263*$S$4,A263=$M$5,H263*$S$5,A263=$M$6,H263*$S$6,A263=$M$7,H263*$S$7,A263=$M$8,H263*$S$8,A263=$M$9,H263*$S$9,A263=$M$10,H263*$S$10),"")</f>
        <v>3218327.1609421726</v>
      </c>
      <c r="J263" s="3">
        <f t="shared" si="4"/>
        <v>3313007.1609421726</v>
      </c>
      <c r="K263" s="3" t="str">
        <f>IFERROR(VLOOKUP(E263,'GASB Match'!$A$2:$C$58,3,FALSE),"")</f>
        <v>0200485</v>
      </c>
    </row>
    <row r="264" spans="1:11" x14ac:dyDescent="0.2">
      <c r="A264">
        <v>2016</v>
      </c>
      <c r="B264" t="s">
        <v>58</v>
      </c>
      <c r="C264" t="s">
        <v>59</v>
      </c>
      <c r="D264" t="s">
        <v>60</v>
      </c>
      <c r="E264" t="s">
        <v>35</v>
      </c>
      <c r="F264">
        <v>757</v>
      </c>
      <c r="G264" s="3">
        <v>77483</v>
      </c>
      <c r="H264" s="5" cm="1">
        <f t="array" ref="H264">IFERROR(_xlfn.IFS(A264=$F$517,G264/$G$517,A264=$F$518,G264/$G$518,A264=$F$519,G264/$G$519,A264=$F$520,G264/$G$520,A264=$F$521,G264/$G$521,A264=$F$522,G264/$G$522,A264=$F$523,G264/$G$523,A264=$F$524,G264/$G$524),"")</f>
        <v>2.2715290947190078E-3</v>
      </c>
      <c r="I264" s="3" cm="1">
        <f t="array" ref="I264">IFERROR(_xlfn.IFS(A264=$M$3,H264*$S$3,A264=$M$4,H264*$S$4,A264=$M$5,H264*$S$5,A264=$M$6,H264*$S$6,A264=$M$7,H264*$S$7,A264=$M$8,H264*$S$8,A264=$M$9,H264*$S$9,A264=$M$10,H264*$S$10),"")</f>
        <v>204340.9740478468</v>
      </c>
      <c r="J264" s="3">
        <f t="shared" si="4"/>
        <v>281823.9740478468</v>
      </c>
      <c r="K264" s="3" t="str">
        <f>IFERROR(VLOOKUP(E264,'GASB Match'!$A$2:$C$58,3,FALSE),"")</f>
        <v>0200485</v>
      </c>
    </row>
    <row r="265" spans="1:11" x14ac:dyDescent="0.2">
      <c r="A265">
        <v>2017</v>
      </c>
      <c r="B265" t="s">
        <v>58</v>
      </c>
      <c r="C265" t="s">
        <v>59</v>
      </c>
      <c r="D265" t="s">
        <v>60</v>
      </c>
      <c r="E265" t="s">
        <v>35</v>
      </c>
      <c r="F265">
        <v>757</v>
      </c>
      <c r="G265" s="3">
        <v>108448</v>
      </c>
      <c r="H265" s="5" cm="1">
        <f t="array" ref="H265">IFERROR(_xlfn.IFS(A265=$F$517,G265/$G$517,A265=$F$518,G265/$G$518,A265=$F$519,G265/$G$519,A265=$F$520,G265/$G$520,A265=$F$521,G265/$G$521,A265=$F$522,G265/$G$522,A265=$F$523,G265/$G$523,A265=$F$524,G265/$G$524),"")</f>
        <v>2.903285117654687E-3</v>
      </c>
      <c r="I265" s="3" cm="1">
        <f t="array" ref="I265">IFERROR(_xlfn.IFS(A265=$M$3,H265*$S$3,A265=$M$4,H265*$S$4,A265=$M$5,H265*$S$5,A265=$M$6,H265*$S$6,A265=$M$7,H265*$S$7,A265=$M$8,H265*$S$8,A265=$M$9,H265*$S$9,A265=$M$10,H265*$S$10),"")</f>
        <v>336723.6989274486</v>
      </c>
      <c r="J265" s="3">
        <f t="shared" si="4"/>
        <v>445171.6989274486</v>
      </c>
      <c r="K265" s="3" t="str">
        <f>IFERROR(VLOOKUP(E265,'GASB Match'!$A$2:$C$58,3,FALSE),"")</f>
        <v>0200485</v>
      </c>
    </row>
    <row r="266" spans="1:11" x14ac:dyDescent="0.2">
      <c r="A266">
        <v>2018</v>
      </c>
      <c r="B266" t="s">
        <v>58</v>
      </c>
      <c r="C266" t="s">
        <v>59</v>
      </c>
      <c r="D266" t="s">
        <v>60</v>
      </c>
      <c r="E266" t="s">
        <v>35</v>
      </c>
      <c r="F266">
        <v>757</v>
      </c>
      <c r="G266" s="3">
        <v>184495</v>
      </c>
      <c r="H266" s="5" cm="1">
        <f t="array" ref="H266">IFERROR(_xlfn.IFS(A266=$F$517,G266/$G$517,A266=$F$518,G266/$G$518,A266=$F$519,G266/$G$519,A266=$F$520,G266/$G$520,A266=$F$521,G266/$G$521,A266=$F$522,G266/$G$522,A266=$F$523,G266/$G$523,A266=$F$524,G266/$G$524),"")</f>
        <v>4.5497840754524085E-3</v>
      </c>
      <c r="I266" s="3" cm="1">
        <f t="array" ref="I266">IFERROR(_xlfn.IFS(A266=$M$3,H266*$S$3,A266=$M$4,H266*$S$4,A266=$M$5,H266*$S$5,A266=$M$6,H266*$S$6,A266=$M$7,H266*$S$7,A266=$M$8,H266*$S$8,A266=$M$9,H266*$S$9,A266=$M$10,H266*$S$10),"")</f>
        <v>505218.31080003001</v>
      </c>
      <c r="J266" s="3">
        <f t="shared" si="4"/>
        <v>689713.31080003001</v>
      </c>
      <c r="K266" s="3" t="str">
        <f>IFERROR(VLOOKUP(E266,'GASB Match'!$A$2:$C$58,3,FALSE),"")</f>
        <v>0200485</v>
      </c>
    </row>
    <row r="267" spans="1:11" x14ac:dyDescent="0.2">
      <c r="A267">
        <v>2019</v>
      </c>
      <c r="B267" t="s">
        <v>58</v>
      </c>
      <c r="C267" t="s">
        <v>59</v>
      </c>
      <c r="D267" t="s">
        <v>60</v>
      </c>
      <c r="E267" t="s">
        <v>35</v>
      </c>
      <c r="F267">
        <v>757</v>
      </c>
      <c r="G267" s="3">
        <v>46896</v>
      </c>
      <c r="H267" s="5" cm="1">
        <f t="array" ref="H267">IFERROR(_xlfn.IFS(A267=$F$517,G267/$G$517,A267=$F$518,G267/$G$518,A267=$F$519,G267/$G$519,A267=$F$520,G267/$G$520,A267=$F$521,G267/$G$521,A267=$F$522,G267/$G$522,A267=$F$523,G267/$G$523,A267=$F$524,G267/$G$524),"")</f>
        <v>1.2741675036858915E-3</v>
      </c>
      <c r="I267" s="3" cm="1">
        <f t="array" ref="I267">IFERROR(_xlfn.IFS(A267=$M$3,H267*$S$3,A267=$M$4,H267*$S$4,A267=$M$5,H267*$S$5,A267=$M$6,H267*$S$6,A267=$M$7,H267*$S$7,A267=$M$8,H267*$S$8,A267=$M$9,H267*$S$9,A267=$M$10,H267*$S$10),"")</f>
        <v>162284.04085508769</v>
      </c>
      <c r="J267" s="3">
        <f t="shared" si="4"/>
        <v>209180.04085508769</v>
      </c>
      <c r="K267" s="3" t="str">
        <f>IFERROR(VLOOKUP(E267,'GASB Match'!$A$2:$C$58,3,FALSE),"")</f>
        <v>0200485</v>
      </c>
    </row>
    <row r="268" spans="1:11" x14ac:dyDescent="0.2">
      <c r="A268">
        <v>2020</v>
      </c>
      <c r="B268" t="s">
        <v>58</v>
      </c>
      <c r="C268" t="s">
        <v>59</v>
      </c>
      <c r="D268" t="s">
        <v>60</v>
      </c>
      <c r="E268" t="s">
        <v>35</v>
      </c>
      <c r="F268">
        <v>757</v>
      </c>
      <c r="G268" s="3">
        <v>110178</v>
      </c>
      <c r="H268" s="5" cm="1">
        <f t="array" ref="H268">IFERROR(_xlfn.IFS(A268=$F$517,G268/$G$517,A268=$F$518,G268/$G$518,A268=$F$519,G268/$G$519,A268=$F$520,G268/$G$520,A268=$F$521,G268/$G$521,A268=$F$522,G268/$G$522,A268=$F$523,G268/$G$523,A268=$F$524,G268/$G$524),"")</f>
        <v>3.2296597070506526E-3</v>
      </c>
      <c r="I268" s="3" cm="1">
        <f t="array" ref="I268">IFERROR(_xlfn.IFS(A268=$M$3,H268*$S$3,A268=$M$4,H268*$S$4,A268=$M$5,H268*$S$5,A268=$M$6,H268*$S$6,A268=$M$7,H268*$S$7,A268=$M$8,H268*$S$8,A268=$M$9,H268*$S$9,A268=$M$10,H268*$S$10),"")</f>
        <v>452860.02587380179</v>
      </c>
      <c r="J268" s="3">
        <f t="shared" si="4"/>
        <v>563038.02587380179</v>
      </c>
      <c r="K268" s="3" t="str">
        <f>IFERROR(VLOOKUP(E268,'GASB Match'!$A$2:$C$58,3,FALSE),"")</f>
        <v>0200485</v>
      </c>
    </row>
    <row r="269" spans="1:11" x14ac:dyDescent="0.2">
      <c r="A269">
        <v>2021</v>
      </c>
      <c r="B269" t="s">
        <v>58</v>
      </c>
      <c r="C269" t="s">
        <v>59</v>
      </c>
      <c r="D269" t="s">
        <v>60</v>
      </c>
      <c r="E269" t="s">
        <v>35</v>
      </c>
      <c r="F269">
        <v>757</v>
      </c>
      <c r="G269" s="3">
        <v>159522</v>
      </c>
      <c r="H269" s="5" cm="1">
        <f t="array" ref="H269">IFERROR(_xlfn.IFS(A269=$F$517,G269/$G$517,A269=$F$518,G269/$G$518,A269=$F$519,G269/$G$519,A269=$F$520,G269/$G$520,A269=$F$521,G269/$G$521,A269=$F$522,G269/$G$522,A269=$F$523,G269/$G$523,A269=$F$524,G269/$G$524),"")</f>
        <v>5.4378344382204884E-3</v>
      </c>
      <c r="I269" s="3" cm="1">
        <f t="array" ref="I269">IFERROR(_xlfn.IFS(A269=$M$3,H269*$S$3,A269=$M$4,H269*$S$4,A269=$M$5,H269*$S$5,A269=$M$6,H269*$S$6,A269=$M$7,H269*$S$7,A269=$M$8,H269*$S$8,A269=$M$9,H269*$S$9,A269=$M$10,H269*$S$10),"")</f>
        <v>729050.44681871752</v>
      </c>
      <c r="J269" s="3">
        <f t="shared" si="4"/>
        <v>888572.44681871752</v>
      </c>
      <c r="K269" s="3" t="str">
        <f>IFERROR(VLOOKUP(E269,'GASB Match'!$A$2:$C$58,3,FALSE),"")</f>
        <v>0200485</v>
      </c>
    </row>
    <row r="270" spans="1:11" x14ac:dyDescent="0.2">
      <c r="A270">
        <v>2022</v>
      </c>
      <c r="B270" t="s">
        <v>58</v>
      </c>
      <c r="C270" t="s">
        <v>59</v>
      </c>
      <c r="D270" t="s">
        <v>60</v>
      </c>
      <c r="E270" t="s">
        <v>35</v>
      </c>
      <c r="F270">
        <v>757</v>
      </c>
      <c r="G270" s="3">
        <v>136437</v>
      </c>
      <c r="H270" s="5" cm="1">
        <f t="array" ref="H270">IFERROR(_xlfn.IFS(A270=$F$517,G270/$G$517,A270=$F$518,G270/$G$518,A270=$F$519,G270/$G$519,A270=$F$520,G270/$G$520,A270=$F$521,G270/$G$521,A270=$F$522,G270/$G$522,A270=$F$523,G270/$G$523,A270=$F$524,G270/$G$524),"")</f>
        <v>4.4431447175191704E-3</v>
      </c>
      <c r="I270" s="3" cm="1">
        <f t="array" ref="I270">IFERROR(_xlfn.IFS(A270=$M$3,H270*$S$3,A270=$M$4,H270*$S$4,A270=$M$5,H270*$S$5,A270=$M$6,H270*$S$6,A270=$M$7,H270*$S$7,A270=$M$8,H270*$S$8,A270=$M$9,H270*$S$9,A270=$M$10,H270*$S$10),"")</f>
        <v>629768.62194288953</v>
      </c>
      <c r="J270" s="3">
        <f t="shared" si="4"/>
        <v>766205.62194288953</v>
      </c>
      <c r="K270" s="3" t="str">
        <f>IFERROR(VLOOKUP(E270,'GASB Match'!$A$2:$C$58,3,FALSE),"")</f>
        <v>0200485</v>
      </c>
    </row>
    <row r="271" spans="1:11" x14ac:dyDescent="0.2">
      <c r="A271">
        <v>2023</v>
      </c>
      <c r="B271" t="s">
        <v>58</v>
      </c>
      <c r="C271" t="s">
        <v>59</v>
      </c>
      <c r="D271" t="s">
        <v>60</v>
      </c>
      <c r="E271" t="s">
        <v>35</v>
      </c>
      <c r="F271">
        <v>757</v>
      </c>
      <c r="G271" s="3">
        <v>130002</v>
      </c>
      <c r="H271" s="5" t="str" cm="1">
        <f t="array" ref="H271">IFERROR(_xlfn.IFS(A271=$F$517,G271/$G$517,A271=$F$518,G271/$G$518,A271=$F$519,G271/$G$519,A271=$F$520,G271/$G$520,A271=$F$521,G271/$G$521,A271=$F$522,G271/$G$522,A271=$F$523,G271/$G$523,A271=$F$524,G271/$G$524),"")</f>
        <v/>
      </c>
      <c r="I271" s="3" t="str" cm="1">
        <f t="array" ref="I271">IFERROR(_xlfn.IFS(A271=$M$3,H271*$S$3,A271=$M$4,H271*$S$4,A271=$M$5,H271*$S$5,A271=$M$6,H271*$S$6,A271=$M$7,H271*$S$7,A271=$M$8,H271*$S$8,A271=$M$9,H271*$S$9,A271=$M$10,H271*$S$10),"")</f>
        <v/>
      </c>
      <c r="J271" s="3">
        <f t="shared" si="4"/>
        <v>130002</v>
      </c>
      <c r="K271" s="3" t="str">
        <f>IFERROR(VLOOKUP(E271,'GASB Match'!$A$2:$C$58,3,FALSE),"")</f>
        <v>0200485</v>
      </c>
    </row>
    <row r="272" spans="1:11" x14ac:dyDescent="0.2">
      <c r="A272">
        <v>2015</v>
      </c>
      <c r="B272" t="s">
        <v>58</v>
      </c>
      <c r="C272" t="s">
        <v>59</v>
      </c>
      <c r="D272" t="s">
        <v>60</v>
      </c>
      <c r="E272" t="s">
        <v>32</v>
      </c>
      <c r="F272">
        <v>754</v>
      </c>
      <c r="G272" s="3">
        <v>1109995</v>
      </c>
      <c r="H272" s="5" cm="1">
        <f t="array" ref="H272">IFERROR(_xlfn.IFS(A272=$F$517,G272/$G$517,A272=$F$518,G272/$G$518,A272=$F$519,G272/$G$519,A272=$F$520,G272/$G$520,A272=$F$521,G272/$G$521,A272=$F$522,G272/$G$522,A272=$F$523,G272/$G$523,A272=$F$524,G272/$G$524),"")</f>
        <v>2.2859828031123363E-2</v>
      </c>
      <c r="I272" s="3" cm="1">
        <f t="array" ref="I272">IFERROR(_xlfn.IFS(A272=$M$3,H272*$S$3,A272=$M$4,H272*$S$4,A272=$M$5,H272*$S$5,A272=$M$6,H272*$S$6,A272=$M$7,H272*$S$7,A272=$M$8,H272*$S$8,A272=$M$9,H272*$S$9,A272=$M$10,H272*$S$10),"")</f>
        <v>37730535.033903748</v>
      </c>
      <c r="J272" s="3">
        <f t="shared" si="4"/>
        <v>38840530.033903748</v>
      </c>
      <c r="K272" s="3" t="str">
        <f>IFERROR(VLOOKUP(E272,'GASB Match'!$A$2:$C$58,3,FALSE),"")</f>
        <v>0200001</v>
      </c>
    </row>
    <row r="273" spans="1:11" x14ac:dyDescent="0.2">
      <c r="A273">
        <v>2016</v>
      </c>
      <c r="B273" t="s">
        <v>58</v>
      </c>
      <c r="C273" t="s">
        <v>59</v>
      </c>
      <c r="D273" t="s">
        <v>60</v>
      </c>
      <c r="E273" t="s">
        <v>32</v>
      </c>
      <c r="F273">
        <v>754</v>
      </c>
      <c r="G273" s="3">
        <v>1002615</v>
      </c>
      <c r="H273" s="5" cm="1">
        <f t="array" ref="H273">IFERROR(_xlfn.IFS(A273=$F$517,G273/$G$517,A273=$F$518,G273/$G$518,A273=$F$519,G273/$G$519,A273=$F$520,G273/$G$520,A273=$F$521,G273/$G$521,A273=$F$522,G273/$G$522,A273=$F$523,G273/$G$523,A273=$F$524,G273/$G$524),"")</f>
        <v>2.9393146152081075E-2</v>
      </c>
      <c r="I273" s="3" cm="1">
        <f t="array" ref="I273">IFERROR(_xlfn.IFS(A273=$M$3,H273*$S$3,A273=$M$4,H273*$S$4,A273=$M$5,H273*$S$5,A273=$M$6,H273*$S$6,A273=$M$7,H273*$S$7,A273=$M$8,H273*$S$8,A273=$M$9,H273*$S$9,A273=$M$10,H273*$S$10),"")</f>
        <v>2644132.5928911106</v>
      </c>
      <c r="J273" s="3">
        <f t="shared" si="4"/>
        <v>3646747.5928911106</v>
      </c>
      <c r="K273" s="3" t="str">
        <f>IFERROR(VLOOKUP(E273,'GASB Match'!$A$2:$C$58,3,FALSE),"")</f>
        <v>0200001</v>
      </c>
    </row>
    <row r="274" spans="1:11" x14ac:dyDescent="0.2">
      <c r="A274">
        <v>2017</v>
      </c>
      <c r="B274" t="s">
        <v>58</v>
      </c>
      <c r="C274" t="s">
        <v>59</v>
      </c>
      <c r="D274" t="s">
        <v>60</v>
      </c>
      <c r="E274" t="s">
        <v>32</v>
      </c>
      <c r="F274">
        <v>754</v>
      </c>
      <c r="G274" s="3">
        <v>1163146</v>
      </c>
      <c r="H274" s="5" cm="1">
        <f t="array" ref="H274">IFERROR(_xlfn.IFS(A274=$F$517,G274/$G$517,A274=$F$518,G274/$G$518,A274=$F$519,G274/$G$519,A274=$F$520,G274/$G$520,A274=$F$521,G274/$G$521,A274=$F$522,G274/$G$522,A274=$F$523,G274/$G$523,A274=$F$524,G274/$G$524),"")</f>
        <v>3.1138835861053947E-2</v>
      </c>
      <c r="I274" s="3" cm="1">
        <f t="array" ref="I274">IFERROR(_xlfn.IFS(A274=$M$3,H274*$S$3,A274=$M$4,H274*$S$4,A274=$M$5,H274*$S$5,A274=$M$6,H274*$S$6,A274=$M$7,H274*$S$7,A274=$M$8,H274*$S$8,A274=$M$9,H274*$S$9,A274=$M$10,H274*$S$10),"")</f>
        <v>3611489.5942079718</v>
      </c>
      <c r="J274" s="3">
        <f t="shared" si="4"/>
        <v>4774635.5942079723</v>
      </c>
      <c r="K274" s="3" t="str">
        <f>IFERROR(VLOOKUP(E274,'GASB Match'!$A$2:$C$58,3,FALSE),"")</f>
        <v>0200001</v>
      </c>
    </row>
    <row r="275" spans="1:11" x14ac:dyDescent="0.2">
      <c r="A275">
        <v>2018</v>
      </c>
      <c r="B275" t="s">
        <v>58</v>
      </c>
      <c r="C275" t="s">
        <v>59</v>
      </c>
      <c r="D275" t="s">
        <v>60</v>
      </c>
      <c r="E275" t="s">
        <v>32</v>
      </c>
      <c r="F275">
        <v>754</v>
      </c>
      <c r="G275" s="3">
        <v>1244222</v>
      </c>
      <c r="H275" s="5" cm="1">
        <f t="array" ref="H275">IFERROR(_xlfn.IFS(A275=$F$517,G275/$G$517,A275=$F$518,G275/$G$518,A275=$F$519,G275/$G$519,A275=$F$520,G275/$G$520,A275=$F$521,G275/$G$521,A275=$F$522,G275/$G$522,A275=$F$523,G275/$G$523,A275=$F$524,G275/$G$524),"")</f>
        <v>3.0683440970907326E-2</v>
      </c>
      <c r="I275" s="3" cm="1">
        <f t="array" ref="I275">IFERROR(_xlfn.IFS(A275=$M$3,H275*$S$3,A275=$M$4,H275*$S$4,A275=$M$5,H275*$S$5,A275=$M$6,H275*$S$6,A275=$M$7,H275*$S$7,A275=$M$8,H275*$S$8,A275=$M$9,H275*$S$9,A275=$M$10,H275*$S$10),"")</f>
        <v>3407158.6606695848</v>
      </c>
      <c r="J275" s="3">
        <f t="shared" si="4"/>
        <v>4651380.6606695848</v>
      </c>
      <c r="K275" s="3" t="str">
        <f>IFERROR(VLOOKUP(E275,'GASB Match'!$A$2:$C$58,3,FALSE),"")</f>
        <v>0200001</v>
      </c>
    </row>
    <row r="276" spans="1:11" x14ac:dyDescent="0.2">
      <c r="A276">
        <v>2019</v>
      </c>
      <c r="B276" t="s">
        <v>58</v>
      </c>
      <c r="C276" t="s">
        <v>59</v>
      </c>
      <c r="D276" t="s">
        <v>60</v>
      </c>
      <c r="E276" t="s">
        <v>32</v>
      </c>
      <c r="F276">
        <v>754</v>
      </c>
      <c r="G276" s="3">
        <v>922679</v>
      </c>
      <c r="H276" s="5" cm="1">
        <f t="array" ref="H276">IFERROR(_xlfn.IFS(A276=$F$517,G276/$G$517,A276=$F$518,G276/$G$518,A276=$F$519,G276/$G$519,A276=$F$520,G276/$G$520,A276=$F$521,G276/$G$521,A276=$F$522,G276/$G$522,A276=$F$523,G276/$G$523,A276=$F$524,G276/$G$524),"")</f>
        <v>2.5069251069033491E-2</v>
      </c>
      <c r="I276" s="3" cm="1">
        <f t="array" ref="I276">IFERROR(_xlfn.IFS(A276=$M$3,H276*$S$3,A276=$M$4,H276*$S$4,A276=$M$5,H276*$S$5,A276=$M$6,H276*$S$6,A276=$M$7,H276*$S$7,A276=$M$8,H276*$S$8,A276=$M$9,H276*$S$9,A276=$M$10,H276*$S$10),"")</f>
        <v>3192939.1959256963</v>
      </c>
      <c r="J276" s="3">
        <f t="shared" si="4"/>
        <v>4115618.1959256963</v>
      </c>
      <c r="K276" s="3" t="str">
        <f>IFERROR(VLOOKUP(E276,'GASB Match'!$A$2:$C$58,3,FALSE),"")</f>
        <v>0200001</v>
      </c>
    </row>
    <row r="277" spans="1:11" x14ac:dyDescent="0.2">
      <c r="A277">
        <v>2020</v>
      </c>
      <c r="B277" t="s">
        <v>58</v>
      </c>
      <c r="C277" t="s">
        <v>59</v>
      </c>
      <c r="D277" t="s">
        <v>60</v>
      </c>
      <c r="E277" t="s">
        <v>32</v>
      </c>
      <c r="F277">
        <v>754</v>
      </c>
      <c r="G277" s="3">
        <v>899458</v>
      </c>
      <c r="H277" s="5" cm="1">
        <f t="array" ref="H277">IFERROR(_xlfn.IFS(A277=$F$517,G277/$G$517,A277=$F$518,G277/$G$518,A277=$F$519,G277/$G$519,A277=$F$520,G277/$G$520,A277=$F$521,G277/$G$521,A277=$F$522,G277/$G$522,A277=$F$523,G277/$G$523,A277=$F$524,G277/$G$524),"")</f>
        <v>2.6365910261434825E-2</v>
      </c>
      <c r="I277" s="3" cm="1">
        <f t="array" ref="I277">IFERROR(_xlfn.IFS(A277=$M$3,H277*$S$3,A277=$M$4,H277*$S$4,A277=$M$5,H277*$S$5,A277=$M$6,H277*$S$6,A277=$M$7,H277*$S$7,A277=$M$8,H277*$S$8,A277=$M$9,H277*$S$9,A277=$M$10,H277*$S$10),"")</f>
        <v>3697004.6030278099</v>
      </c>
      <c r="J277" s="3">
        <f t="shared" si="4"/>
        <v>4596462.6030278094</v>
      </c>
      <c r="K277" s="3" t="str">
        <f>IFERROR(VLOOKUP(E277,'GASB Match'!$A$2:$C$58,3,FALSE),"")</f>
        <v>0200001</v>
      </c>
    </row>
    <row r="278" spans="1:11" x14ac:dyDescent="0.2">
      <c r="A278">
        <v>2021</v>
      </c>
      <c r="B278" t="s">
        <v>58</v>
      </c>
      <c r="C278" t="s">
        <v>59</v>
      </c>
      <c r="D278" t="s">
        <v>60</v>
      </c>
      <c r="E278" t="s">
        <v>32</v>
      </c>
      <c r="F278">
        <v>754</v>
      </c>
      <c r="G278" s="3">
        <v>837947</v>
      </c>
      <c r="H278" s="5" cm="1">
        <f t="array" ref="H278">IFERROR(_xlfn.IFS(A278=$F$517,G278/$G$517,A278=$F$518,G278/$G$518,A278=$F$519,G278/$G$519,A278=$F$520,G278/$G$520,A278=$F$521,G278/$G$521,A278=$F$522,G278/$G$522,A278=$F$523,G278/$G$523,A278=$F$524,G278/$G$524),"")</f>
        <v>2.8564192111455118E-2</v>
      </c>
      <c r="I278" s="3" cm="1">
        <f t="array" ref="I278">IFERROR(_xlfn.IFS(A278=$M$3,H278*$S$3,A278=$M$4,H278*$S$4,A278=$M$5,H278*$S$5,A278=$M$6,H278*$S$6,A278=$M$7,H278*$S$7,A278=$M$8,H278*$S$8,A278=$M$9,H278*$S$9,A278=$M$10,H278*$S$10),"")</f>
        <v>3829601.1506902114</v>
      </c>
      <c r="J278" s="3">
        <f t="shared" si="4"/>
        <v>4667548.150690211</v>
      </c>
      <c r="K278" s="3" t="str">
        <f>IFERROR(VLOOKUP(E278,'GASB Match'!$A$2:$C$58,3,FALSE),"")</f>
        <v>0200001</v>
      </c>
    </row>
    <row r="279" spans="1:11" x14ac:dyDescent="0.2">
      <c r="A279">
        <v>2022</v>
      </c>
      <c r="B279" t="s">
        <v>58</v>
      </c>
      <c r="C279" t="s">
        <v>59</v>
      </c>
      <c r="D279" t="s">
        <v>60</v>
      </c>
      <c r="E279" t="s">
        <v>32</v>
      </c>
      <c r="F279">
        <v>754</v>
      </c>
      <c r="G279" s="3">
        <v>989897</v>
      </c>
      <c r="H279" s="5" cm="1">
        <f t="array" ref="H279">IFERROR(_xlfn.IFS(A279=$F$517,G279/$G$517,A279=$F$518,G279/$G$518,A279=$F$519,G279/$G$519,A279=$F$520,G279/$G$520,A279=$F$521,G279/$G$521,A279=$F$522,G279/$G$522,A279=$F$523,G279/$G$523,A279=$F$524,G279/$G$524),"")</f>
        <v>3.2236531340018276E-2</v>
      </c>
      <c r="I279" s="3" cm="1">
        <f t="array" ref="I279">IFERROR(_xlfn.IFS(A279=$M$3,H279*$S$3,A279=$M$4,H279*$S$4,A279=$M$5,H279*$S$5,A279=$M$6,H279*$S$6,A279=$M$7,H279*$S$7,A279=$M$8,H279*$S$8,A279=$M$9,H279*$S$9,A279=$M$10,H279*$S$10),"")</f>
        <v>4569186.2878500726</v>
      </c>
      <c r="J279" s="3">
        <f t="shared" si="4"/>
        <v>5559083.2878500726</v>
      </c>
      <c r="K279" s="3" t="str">
        <f>IFERROR(VLOOKUP(E279,'GASB Match'!$A$2:$C$58,3,FALSE),"")</f>
        <v>0200001</v>
      </c>
    </row>
    <row r="280" spans="1:11" x14ac:dyDescent="0.2">
      <c r="A280">
        <v>2023</v>
      </c>
      <c r="B280" t="s">
        <v>58</v>
      </c>
      <c r="C280" t="s">
        <v>59</v>
      </c>
      <c r="D280" t="s">
        <v>60</v>
      </c>
      <c r="E280" t="s">
        <v>32</v>
      </c>
      <c r="F280">
        <v>754</v>
      </c>
      <c r="G280" s="3">
        <v>1436740</v>
      </c>
      <c r="H280" s="5" t="str" cm="1">
        <f t="array" ref="H280">IFERROR(_xlfn.IFS(A280=$F$517,G280/$G$517,A280=$F$518,G280/$G$518,A280=$F$519,G280/$G$519,A280=$F$520,G280/$G$520,A280=$F$521,G280/$G$521,A280=$F$522,G280/$G$522,A280=$F$523,G280/$G$523,A280=$F$524,G280/$G$524),"")</f>
        <v/>
      </c>
      <c r="I280" s="3" t="str" cm="1">
        <f t="array" ref="I280">IFERROR(_xlfn.IFS(A280=$M$3,H280*$S$3,A280=$M$4,H280*$S$4,A280=$M$5,H280*$S$5,A280=$M$6,H280*$S$6,A280=$M$7,H280*$S$7,A280=$M$8,H280*$S$8,A280=$M$9,H280*$S$9,A280=$M$10,H280*$S$10),"")</f>
        <v/>
      </c>
      <c r="J280" s="3">
        <f t="shared" si="4"/>
        <v>1436740</v>
      </c>
      <c r="K280" s="3" t="str">
        <f>IFERROR(VLOOKUP(E280,'GASB Match'!$A$2:$C$58,3,FALSE),"")</f>
        <v>0200001</v>
      </c>
    </row>
    <row r="281" spans="1:11" x14ac:dyDescent="0.2">
      <c r="A281">
        <v>2015</v>
      </c>
      <c r="B281" t="s">
        <v>58</v>
      </c>
      <c r="C281" t="s">
        <v>59</v>
      </c>
      <c r="D281" t="s">
        <v>60</v>
      </c>
      <c r="E281" t="s">
        <v>31</v>
      </c>
      <c r="F281">
        <v>753</v>
      </c>
      <c r="G281" s="3">
        <v>393486</v>
      </c>
      <c r="H281" s="5" cm="1">
        <f t="array" ref="H281">IFERROR(_xlfn.IFS(A281=$F$517,G281/$G$517,A281=$F$518,G281/$G$518,A281=$F$519,G281/$G$519,A281=$F$520,G281/$G$520,A281=$F$521,G281/$G$521,A281=$F$522,G281/$G$522,A281=$F$523,G281/$G$523,A281=$F$524,G281/$G$524),"")</f>
        <v>8.1036601900500525E-3</v>
      </c>
      <c r="I281" s="3" cm="1">
        <f t="array" ref="I281">IFERROR(_xlfn.IFS(A281=$M$3,H281*$S$3,A281=$M$4,H281*$S$4,A281=$M$5,H281*$S$5,A281=$M$6,H281*$S$6,A281=$M$7,H281*$S$7,A281=$M$8,H281*$S$8,A281=$M$9,H281*$S$9,A281=$M$10,H281*$S$10),"")</f>
        <v>13375228.995041104</v>
      </c>
      <c r="J281" s="3">
        <f t="shared" si="4"/>
        <v>13768714.995041104</v>
      </c>
      <c r="K281" s="3" t="str">
        <f>IFERROR(VLOOKUP(E281,'GASB Match'!$A$2:$C$58,3,FALSE),"")</f>
        <v>0200003</v>
      </c>
    </row>
    <row r="282" spans="1:11" x14ac:dyDescent="0.2">
      <c r="A282">
        <v>2016</v>
      </c>
      <c r="B282" t="s">
        <v>58</v>
      </c>
      <c r="C282" t="s">
        <v>59</v>
      </c>
      <c r="D282" t="s">
        <v>60</v>
      </c>
      <c r="E282" t="s">
        <v>31</v>
      </c>
      <c r="F282">
        <v>753</v>
      </c>
      <c r="G282" s="3">
        <v>400164</v>
      </c>
      <c r="H282" s="5" cm="1">
        <f t="array" ref="H282">IFERROR(_xlfn.IFS(A282=$F$517,G282/$G$517,A282=$F$518,G282/$G$518,A282=$F$519,G282/$G$519,A282=$F$520,G282/$G$520,A282=$F$521,G282/$G$521,A282=$F$522,G282/$G$522,A282=$F$523,G282/$G$523,A282=$F$524,G282/$G$524),"")</f>
        <v>1.1731401322343444E-2</v>
      </c>
      <c r="I282" s="3" cm="1">
        <f t="array" ref="I282">IFERROR(_xlfn.IFS(A282=$M$3,H282*$S$3,A282=$M$4,H282*$S$4,A282=$M$5,H282*$S$5,A282=$M$6,H282*$S$6,A282=$M$7,H282*$S$7,A282=$M$8,H282*$S$8,A282=$M$9,H282*$S$9,A282=$M$10,H282*$S$10),"")</f>
        <v>1055326.9948102497</v>
      </c>
      <c r="J282" s="3">
        <f t="shared" si="4"/>
        <v>1455490.9948102497</v>
      </c>
      <c r="K282" s="3" t="str">
        <f>IFERROR(VLOOKUP(E282,'GASB Match'!$A$2:$C$58,3,FALSE),"")</f>
        <v>0200003</v>
      </c>
    </row>
    <row r="283" spans="1:11" x14ac:dyDescent="0.2">
      <c r="A283">
        <v>2017</v>
      </c>
      <c r="B283" t="s">
        <v>58</v>
      </c>
      <c r="C283" t="s">
        <v>59</v>
      </c>
      <c r="D283" t="s">
        <v>60</v>
      </c>
      <c r="E283" t="s">
        <v>31</v>
      </c>
      <c r="F283">
        <v>753</v>
      </c>
      <c r="G283" s="3">
        <v>474846</v>
      </c>
      <c r="H283" s="5" cm="1">
        <f t="array" ref="H283">IFERROR(_xlfn.IFS(A283=$F$517,G283/$G$517,A283=$F$518,G283/$G$518,A283=$F$519,G283/$G$519,A283=$F$520,G283/$G$520,A283=$F$521,G283/$G$521,A283=$F$522,G283/$G$522,A283=$F$523,G283/$G$523,A283=$F$524,G283/$G$524),"")</f>
        <v>1.2712206080129256E-2</v>
      </c>
      <c r="I283" s="3" cm="1">
        <f t="array" ref="I283">IFERROR(_xlfn.IFS(A283=$M$3,H283*$S$3,A283=$M$4,H283*$S$4,A283=$M$5,H283*$S$5,A283=$M$6,H283*$S$6,A283=$M$7,H283*$S$7,A283=$M$8,H283*$S$8,A283=$M$9,H283*$S$9,A283=$M$10,H283*$S$10),"")</f>
        <v>1474364.6866784382</v>
      </c>
      <c r="J283" s="3">
        <f t="shared" si="4"/>
        <v>1949210.6866784382</v>
      </c>
      <c r="K283" s="3" t="str">
        <f>IFERROR(VLOOKUP(E283,'GASB Match'!$A$2:$C$58,3,FALSE),"")</f>
        <v>0200003</v>
      </c>
    </row>
    <row r="284" spans="1:11" x14ac:dyDescent="0.2">
      <c r="A284">
        <v>2018</v>
      </c>
      <c r="B284" t="s">
        <v>58</v>
      </c>
      <c r="C284" t="s">
        <v>59</v>
      </c>
      <c r="D284" t="s">
        <v>60</v>
      </c>
      <c r="E284" t="s">
        <v>31</v>
      </c>
      <c r="F284">
        <v>753</v>
      </c>
      <c r="G284" s="3">
        <v>521774</v>
      </c>
      <c r="H284" s="5" cm="1">
        <f t="array" ref="H284">IFERROR(_xlfn.IFS(A284=$F$517,G284/$G$517,A284=$F$518,G284/$G$518,A284=$F$519,G284/$G$519,A284=$F$520,G284/$G$520,A284=$F$521,G284/$G$521,A284=$F$522,G284/$G$522,A284=$F$523,G284/$G$523,A284=$F$524,G284/$G$524),"")</f>
        <v>1.2867335354264913E-2</v>
      </c>
      <c r="I284" s="3" cm="1">
        <f t="array" ref="I284">IFERROR(_xlfn.IFS(A284=$M$3,H284*$S$3,A284=$M$4,H284*$S$4,A284=$M$5,H284*$S$5,A284=$M$6,H284*$S$6,A284=$M$7,H284*$S$7,A284=$M$8,H284*$S$8,A284=$M$9,H284*$S$9,A284=$M$10,H284*$S$10),"")</f>
        <v>1428818.010782812</v>
      </c>
      <c r="J284" s="3">
        <f t="shared" si="4"/>
        <v>1950592.010782812</v>
      </c>
      <c r="K284" s="3" t="str">
        <f>IFERROR(VLOOKUP(E284,'GASB Match'!$A$2:$C$58,3,FALSE),"")</f>
        <v>0200003</v>
      </c>
    </row>
    <row r="285" spans="1:11" x14ac:dyDescent="0.2">
      <c r="A285">
        <v>2019</v>
      </c>
      <c r="B285" t="s">
        <v>58</v>
      </c>
      <c r="C285" t="s">
        <v>59</v>
      </c>
      <c r="D285" t="s">
        <v>60</v>
      </c>
      <c r="E285" t="s">
        <v>31</v>
      </c>
      <c r="F285">
        <v>753</v>
      </c>
      <c r="G285" s="3">
        <v>519029</v>
      </c>
      <c r="H285" s="5" cm="1">
        <f t="array" ref="H285">IFERROR(_xlfn.IFS(A285=$F$517,G285/$G$517,A285=$F$518,G285/$G$518,A285=$F$519,G285/$G$519,A285=$F$520,G285/$G$520,A285=$F$521,G285/$G$521,A285=$F$522,G285/$G$522,A285=$F$523,G285/$G$523,A285=$F$524,G285/$G$524),"")</f>
        <v>1.4102053165954122E-2</v>
      </c>
      <c r="I285" s="3" cm="1">
        <f t="array" ref="I285">IFERROR(_xlfn.IFS(A285=$M$3,H285*$S$3,A285=$M$4,H285*$S$4,A285=$M$5,H285*$S$5,A285=$M$6,H285*$S$6,A285=$M$7,H285*$S$7,A285=$M$8,H285*$S$8,A285=$M$9,H285*$S$9,A285=$M$10,H285*$S$10),"")</f>
        <v>1796104.6451930932</v>
      </c>
      <c r="J285" s="3">
        <f t="shared" si="4"/>
        <v>2315133.6451930935</v>
      </c>
      <c r="K285" s="3" t="str">
        <f>IFERROR(VLOOKUP(E285,'GASB Match'!$A$2:$C$58,3,FALSE),"")</f>
        <v>0200003</v>
      </c>
    </row>
    <row r="286" spans="1:11" x14ac:dyDescent="0.2">
      <c r="A286">
        <v>2020</v>
      </c>
      <c r="B286" t="s">
        <v>58</v>
      </c>
      <c r="C286" t="s">
        <v>59</v>
      </c>
      <c r="D286" t="s">
        <v>60</v>
      </c>
      <c r="E286" t="s">
        <v>31</v>
      </c>
      <c r="F286">
        <v>753</v>
      </c>
      <c r="G286" s="3">
        <v>453494</v>
      </c>
      <c r="H286" s="5" cm="1">
        <f t="array" ref="H286">IFERROR(_xlfn.IFS(A286=$F$517,G286/$G$517,A286=$F$518,G286/$G$518,A286=$F$519,G286/$G$519,A286=$F$520,G286/$G$520,A286=$F$521,G286/$G$521,A286=$F$522,G286/$G$522,A286=$F$523,G286/$G$523,A286=$F$524,G286/$G$524),"")</f>
        <v>1.3293318985543654E-2</v>
      </c>
      <c r="I286" s="3" cm="1">
        <f t="array" ref="I286">IFERROR(_xlfn.IFS(A286=$M$3,H286*$S$3,A286=$M$4,H286*$S$4,A286=$M$5,H286*$S$5,A286=$M$6,H286*$S$6,A286=$M$7,H286*$S$7,A286=$M$8,H286*$S$8,A286=$M$9,H286*$S$9,A286=$M$10,H286*$S$10),"")</f>
        <v>1863977.4235656289</v>
      </c>
      <c r="J286" s="3">
        <f t="shared" si="4"/>
        <v>2317471.4235656289</v>
      </c>
      <c r="K286" s="3" t="str">
        <f>IFERROR(VLOOKUP(E286,'GASB Match'!$A$2:$C$58,3,FALSE),"")</f>
        <v>0200003</v>
      </c>
    </row>
    <row r="287" spans="1:11" x14ac:dyDescent="0.2">
      <c r="A287">
        <v>2021</v>
      </c>
      <c r="B287" t="s">
        <v>58</v>
      </c>
      <c r="C287" t="s">
        <v>59</v>
      </c>
      <c r="D287" t="s">
        <v>60</v>
      </c>
      <c r="E287" t="s">
        <v>31</v>
      </c>
      <c r="F287">
        <v>753</v>
      </c>
      <c r="G287" s="3">
        <v>523635</v>
      </c>
      <c r="H287" s="5" cm="1">
        <f t="array" ref="H287">IFERROR(_xlfn.IFS(A287=$F$517,G287/$G$517,A287=$F$518,G287/$G$518,A287=$F$519,G287/$G$519,A287=$F$520,G287/$G$520,A287=$F$521,G287/$G$521,A287=$F$522,G287/$G$522,A287=$F$523,G287/$G$523,A287=$F$524,G287/$G$524),"")</f>
        <v>1.7849829089765585E-2</v>
      </c>
      <c r="I287" s="3" cm="1">
        <f t="array" ref="I287">IFERROR(_xlfn.IFS(A287=$M$3,H287*$S$3,A287=$M$4,H287*$S$4,A287=$M$5,H287*$S$5,A287=$M$6,H287*$S$6,A287=$M$7,H287*$S$7,A287=$M$8,H287*$S$8,A287=$M$9,H287*$S$9,A287=$M$10,H287*$S$10),"")</f>
        <v>2393126.5325153847</v>
      </c>
      <c r="J287" s="3">
        <f t="shared" si="4"/>
        <v>2916761.5325153847</v>
      </c>
      <c r="K287" s="3" t="str">
        <f>IFERROR(VLOOKUP(E287,'GASB Match'!$A$2:$C$58,3,FALSE),"")</f>
        <v>0200003</v>
      </c>
    </row>
    <row r="288" spans="1:11" x14ac:dyDescent="0.2">
      <c r="A288">
        <v>2022</v>
      </c>
      <c r="B288" t="s">
        <v>58</v>
      </c>
      <c r="C288" t="s">
        <v>59</v>
      </c>
      <c r="D288" t="s">
        <v>60</v>
      </c>
      <c r="E288" t="s">
        <v>31</v>
      </c>
      <c r="F288">
        <v>753</v>
      </c>
      <c r="G288" s="3">
        <v>503276</v>
      </c>
      <c r="H288" s="5" cm="1">
        <f t="array" ref="H288">IFERROR(_xlfn.IFS(A288=$F$517,G288/$G$517,A288=$F$518,G288/$G$518,A288=$F$519,G288/$G$519,A288=$F$520,G288/$G$520,A288=$F$521,G288/$G$521,A288=$F$522,G288/$G$522,A288=$F$523,G288/$G$523,A288=$F$524,G288/$G$524),"")</f>
        <v>1.6389455212692874E-2</v>
      </c>
      <c r="I288" s="3" cm="1">
        <f t="array" ref="I288">IFERROR(_xlfn.IFS(A288=$M$3,H288*$S$3,A288=$M$4,H288*$S$4,A288=$M$5,H288*$S$5,A288=$M$6,H288*$S$6,A288=$M$7,H288*$S$7,A288=$M$8,H288*$S$8,A288=$M$9,H288*$S$9,A288=$M$10,H288*$S$10),"")</f>
        <v>2323031.3842794085</v>
      </c>
      <c r="J288" s="3">
        <f t="shared" si="4"/>
        <v>2826307.3842794085</v>
      </c>
      <c r="K288" s="3" t="str">
        <f>IFERROR(VLOOKUP(E288,'GASB Match'!$A$2:$C$58,3,FALSE),"")</f>
        <v>0200003</v>
      </c>
    </row>
    <row r="289" spans="1:11" x14ac:dyDescent="0.2">
      <c r="A289">
        <v>2023</v>
      </c>
      <c r="B289" t="s">
        <v>58</v>
      </c>
      <c r="C289" t="s">
        <v>59</v>
      </c>
      <c r="D289" t="s">
        <v>60</v>
      </c>
      <c r="E289" t="s">
        <v>31</v>
      </c>
      <c r="F289">
        <v>753</v>
      </c>
      <c r="G289" s="3">
        <v>659816</v>
      </c>
      <c r="H289" s="5" t="str" cm="1">
        <f t="array" ref="H289">IFERROR(_xlfn.IFS(A289=$F$517,G289/$G$517,A289=$F$518,G289/$G$518,A289=$F$519,G289/$G$519,A289=$F$520,G289/$G$520,A289=$F$521,G289/$G$521,A289=$F$522,G289/$G$522,A289=$F$523,G289/$G$523,A289=$F$524,G289/$G$524),"")</f>
        <v/>
      </c>
      <c r="I289" s="3" t="str" cm="1">
        <f t="array" ref="I289">IFERROR(_xlfn.IFS(A289=$M$3,H289*$S$3,A289=$M$4,H289*$S$4,A289=$M$5,H289*$S$5,A289=$M$6,H289*$S$6,A289=$M$7,H289*$S$7,A289=$M$8,H289*$S$8,A289=$M$9,H289*$S$9,A289=$M$10,H289*$S$10),"")</f>
        <v/>
      </c>
      <c r="J289" s="3">
        <f t="shared" si="4"/>
        <v>659816</v>
      </c>
      <c r="K289" s="3" t="str">
        <f>IFERROR(VLOOKUP(E289,'GASB Match'!$A$2:$C$58,3,FALSE),"")</f>
        <v>0200003</v>
      </c>
    </row>
    <row r="290" spans="1:11" x14ac:dyDescent="0.2">
      <c r="A290">
        <v>2015</v>
      </c>
      <c r="B290" t="s">
        <v>58</v>
      </c>
      <c r="C290" t="s">
        <v>59</v>
      </c>
      <c r="D290" t="s">
        <v>60</v>
      </c>
      <c r="E290" t="s">
        <v>14</v>
      </c>
      <c r="F290">
        <v>722</v>
      </c>
      <c r="G290" s="3">
        <v>4732181</v>
      </c>
      <c r="H290" s="5" cm="1">
        <f t="array" ref="H290">IFERROR(_xlfn.IFS(A290=$F$517,G290/$G$517,A290=$F$518,G290/$G$518,A290=$F$519,G290/$G$519,A290=$F$520,G290/$G$520,A290=$F$521,G290/$G$521,A290=$F$522,G290/$G$522,A290=$F$523,G290/$G$523,A290=$F$524,G290/$G$524),"")</f>
        <v>9.7457055096779169E-2</v>
      </c>
      <c r="I290" s="3" cm="1">
        <f t="array" ref="I290">IFERROR(_xlfn.IFS(A290=$M$3,H290*$S$3,A290=$M$4,H290*$S$4,A290=$M$5,H290*$S$5,A290=$M$6,H290*$S$6,A290=$M$7,H290*$S$7,A290=$M$8,H290*$S$8,A290=$M$9,H290*$S$9,A290=$M$10,H290*$S$10),"")</f>
        <v>160854527.27919826</v>
      </c>
      <c r="J290" s="3">
        <f t="shared" si="4"/>
        <v>165586708.27919826</v>
      </c>
      <c r="K290" s="3" t="str">
        <f>IFERROR(VLOOKUP(E290,'GASB Match'!$A$2:$C$58,3,FALSE),"")</f>
        <v>0200510</v>
      </c>
    </row>
    <row r="291" spans="1:11" x14ac:dyDescent="0.2">
      <c r="A291">
        <v>2016</v>
      </c>
      <c r="B291" t="s">
        <v>58</v>
      </c>
      <c r="C291" t="s">
        <v>59</v>
      </c>
      <c r="D291" t="s">
        <v>60</v>
      </c>
      <c r="E291" t="s">
        <v>14</v>
      </c>
      <c r="F291">
        <v>722</v>
      </c>
      <c r="G291" s="3">
        <v>4448917</v>
      </c>
      <c r="H291" s="5" cm="1">
        <f t="array" ref="H291">IFERROR(_xlfn.IFS(A291=$F$517,G291/$G$517,A291=$F$518,G291/$G$518,A291=$F$519,G291/$G$519,A291=$F$520,G291/$G$520,A291=$F$521,G291/$G$521,A291=$F$522,G291/$G$522,A291=$F$523,G291/$G$523,A291=$F$524,G291/$G$524),"")</f>
        <v>0.13042660203515616</v>
      </c>
      <c r="I291" s="3" cm="1">
        <f t="array" ref="I291">IFERROR(_xlfn.IFS(A291=$M$3,H291*$S$3,A291=$M$4,H291*$S$4,A291=$M$5,H291*$S$5,A291=$M$6,H291*$S$6,A291=$M$7,H291*$S$7,A291=$M$8,H291*$S$8,A291=$M$9,H291*$S$9,A291=$M$10,H291*$S$10),"")</f>
        <v>11732845.052953867</v>
      </c>
      <c r="J291" s="3">
        <f t="shared" si="4"/>
        <v>16181762.052953867</v>
      </c>
      <c r="K291" s="3" t="str">
        <f>IFERROR(VLOOKUP(E291,'GASB Match'!$A$2:$C$58,3,FALSE),"")</f>
        <v>0200510</v>
      </c>
    </row>
    <row r="292" spans="1:11" x14ac:dyDescent="0.2">
      <c r="A292">
        <v>2017</v>
      </c>
      <c r="B292" t="s">
        <v>58</v>
      </c>
      <c r="C292" t="s">
        <v>59</v>
      </c>
      <c r="D292" t="s">
        <v>60</v>
      </c>
      <c r="E292" t="s">
        <v>14</v>
      </c>
      <c r="F292">
        <v>722</v>
      </c>
      <c r="G292" s="3">
        <v>4891947</v>
      </c>
      <c r="H292" s="5" cm="1">
        <f t="array" ref="H292">IFERROR(_xlfn.IFS(A292=$F$517,G292/$G$517,A292=$F$518,G292/$G$518,A292=$F$519,G292/$G$519,A292=$F$520,G292/$G$520,A292=$F$521,G292/$G$521,A292=$F$522,G292/$G$522,A292=$F$523,G292/$G$523,A292=$F$524,G292/$G$524),"")</f>
        <v>0.1309633826484167</v>
      </c>
      <c r="I292" s="3" cm="1">
        <f t="array" ref="I292">IFERROR(_xlfn.IFS(A292=$M$3,H292*$S$3,A292=$M$4,H292*$S$4,A292=$M$5,H292*$S$5,A292=$M$6,H292*$S$6,A292=$M$7,H292*$S$7,A292=$M$8,H292*$S$8,A292=$M$9,H292*$S$9,A292=$M$10,H292*$S$10),"")</f>
        <v>15189164.288848439</v>
      </c>
      <c r="J292" s="3">
        <f t="shared" si="4"/>
        <v>20081111.288848437</v>
      </c>
      <c r="K292" s="3" t="str">
        <f>IFERROR(VLOOKUP(E292,'GASB Match'!$A$2:$C$58,3,FALSE),"")</f>
        <v>0200510</v>
      </c>
    </row>
    <row r="293" spans="1:11" x14ac:dyDescent="0.2">
      <c r="A293">
        <v>2018</v>
      </c>
      <c r="B293" t="s">
        <v>58</v>
      </c>
      <c r="C293" t="s">
        <v>59</v>
      </c>
      <c r="D293" t="s">
        <v>60</v>
      </c>
      <c r="E293" t="s">
        <v>14</v>
      </c>
      <c r="F293">
        <v>722</v>
      </c>
      <c r="G293" s="3">
        <v>5272973</v>
      </c>
      <c r="H293" s="5" cm="1">
        <f t="array" ref="H293">IFERROR(_xlfn.IFS(A293=$F$517,G293/$G$517,A293=$F$518,G293/$G$518,A293=$F$519,G293/$G$519,A293=$F$520,G293/$G$520,A293=$F$521,G293/$G$521,A293=$F$522,G293/$G$522,A293=$F$523,G293/$G$523,A293=$F$524,G293/$G$524),"")</f>
        <v>0.13003544044928325</v>
      </c>
      <c r="I293" s="3" cm="1">
        <f t="array" ref="I293">IFERROR(_xlfn.IFS(A293=$M$3,H293*$S$3,A293=$M$4,H293*$S$4,A293=$M$5,H293*$S$5,A293=$M$6,H293*$S$6,A293=$M$7,H293*$S$7,A293=$M$8,H293*$S$8,A293=$M$9,H293*$S$9,A293=$M$10,H293*$S$10),"")</f>
        <v>14439429.317619268</v>
      </c>
      <c r="J293" s="3">
        <f t="shared" si="4"/>
        <v>19712402.317619268</v>
      </c>
      <c r="K293" s="3" t="str">
        <f>IFERROR(VLOOKUP(E293,'GASB Match'!$A$2:$C$58,3,FALSE),"")</f>
        <v>0200510</v>
      </c>
    </row>
    <row r="294" spans="1:11" x14ac:dyDescent="0.2">
      <c r="A294">
        <v>2019</v>
      </c>
      <c r="B294" t="s">
        <v>58</v>
      </c>
      <c r="C294" t="s">
        <v>59</v>
      </c>
      <c r="D294" t="s">
        <v>60</v>
      </c>
      <c r="E294" t="s">
        <v>14</v>
      </c>
      <c r="F294">
        <v>722</v>
      </c>
      <c r="G294" s="3">
        <v>4982200</v>
      </c>
      <c r="H294" s="5" cm="1">
        <f t="array" ref="H294">IFERROR(_xlfn.IFS(A294=$F$517,G294/$G$517,A294=$F$518,G294/$G$518,A294=$F$519,G294/$G$519,A294=$F$520,G294/$G$520,A294=$F$521,G294/$G$521,A294=$F$522,G294/$G$522,A294=$F$523,G294/$G$523,A294=$F$524,G294/$G$524),"")</f>
        <v>0.13536671223268185</v>
      </c>
      <c r="I294" s="3" cm="1">
        <f t="array" ref="I294">IFERROR(_xlfn.IFS(A294=$M$3,H294*$S$3,A294=$M$4,H294*$S$4,A294=$M$5,H294*$S$5,A294=$M$6,H294*$S$6,A294=$M$7,H294*$S$7,A294=$M$8,H294*$S$8,A294=$M$9,H294*$S$9,A294=$M$10,H294*$S$10),"")</f>
        <v>17240949.086238012</v>
      </c>
      <c r="J294" s="3">
        <f t="shared" si="4"/>
        <v>22223149.086238012</v>
      </c>
      <c r="K294" s="3" t="str">
        <f>IFERROR(VLOOKUP(E294,'GASB Match'!$A$2:$C$58,3,FALSE),"")</f>
        <v>0200510</v>
      </c>
    </row>
    <row r="295" spans="1:11" x14ac:dyDescent="0.2">
      <c r="A295">
        <v>2020</v>
      </c>
      <c r="B295" t="s">
        <v>58</v>
      </c>
      <c r="C295" t="s">
        <v>59</v>
      </c>
      <c r="D295" t="s">
        <v>60</v>
      </c>
      <c r="E295" t="s">
        <v>14</v>
      </c>
      <c r="F295">
        <v>722</v>
      </c>
      <c r="G295" s="3">
        <v>4491685</v>
      </c>
      <c r="H295" s="5" cm="1">
        <f t="array" ref="H295">IFERROR(_xlfn.IFS(A295=$F$517,G295/$G$517,A295=$F$518,G295/$G$518,A295=$F$519,G295/$G$519,A295=$F$520,G295/$G$520,A295=$F$521,G295/$G$521,A295=$F$522,G295/$G$522,A295=$F$523,G295/$G$523,A295=$F$524,G295/$G$524),"")</f>
        <v>0.13166525133206095</v>
      </c>
      <c r="I295" s="3" cm="1">
        <f t="array" ref="I295">IFERROR(_xlfn.IFS(A295=$M$3,H295*$S$3,A295=$M$4,H295*$S$4,A295=$M$5,H295*$S$5,A295=$M$6,H295*$S$6,A295=$M$7,H295*$S$7,A295=$M$8,H295*$S$8,A295=$M$9,H295*$S$9,A295=$M$10,H295*$S$10),"")</f>
        <v>18461985.018034156</v>
      </c>
      <c r="J295" s="3">
        <f t="shared" si="4"/>
        <v>22953670.018034156</v>
      </c>
      <c r="K295" s="3" t="str">
        <f>IFERROR(VLOOKUP(E295,'GASB Match'!$A$2:$C$58,3,FALSE),"")</f>
        <v>0200510</v>
      </c>
    </row>
    <row r="296" spans="1:11" x14ac:dyDescent="0.2">
      <c r="A296">
        <v>2021</v>
      </c>
      <c r="B296" t="s">
        <v>58</v>
      </c>
      <c r="C296" t="s">
        <v>59</v>
      </c>
      <c r="D296" t="s">
        <v>60</v>
      </c>
      <c r="E296" t="s">
        <v>14</v>
      </c>
      <c r="F296">
        <v>722</v>
      </c>
      <c r="G296" s="3">
        <v>3797960</v>
      </c>
      <c r="H296" s="5" cm="1">
        <f t="array" ref="H296">IFERROR(_xlfn.IFS(A296=$F$517,G296/$G$517,A296=$F$518,G296/$G$518,A296=$F$519,G296/$G$519,A296=$F$520,G296/$G$520,A296=$F$521,G296/$G$521,A296=$F$522,G296/$G$522,A296=$F$523,G296/$G$523,A296=$F$524,G296/$G$524),"")</f>
        <v>0.12946601523917634</v>
      </c>
      <c r="I296" s="3" cm="1">
        <f t="array" ref="I296">IFERROR(_xlfn.IFS(A296=$M$3,H296*$S$3,A296=$M$4,H296*$S$4,A296=$M$5,H296*$S$5,A296=$M$6,H296*$S$6,A296=$M$7,H296*$S$7,A296=$M$8,H296*$S$8,A296=$M$9,H296*$S$9,A296=$M$10,H296*$S$10),"")</f>
        <v>17357508.274718326</v>
      </c>
      <c r="J296" s="3">
        <f t="shared" si="4"/>
        <v>21155468.274718326</v>
      </c>
      <c r="K296" s="3" t="str">
        <f>IFERROR(VLOOKUP(E296,'GASB Match'!$A$2:$C$58,3,FALSE),"")</f>
        <v>0200510</v>
      </c>
    </row>
    <row r="297" spans="1:11" x14ac:dyDescent="0.2">
      <c r="A297">
        <v>2022</v>
      </c>
      <c r="B297" t="s">
        <v>58</v>
      </c>
      <c r="C297" t="s">
        <v>59</v>
      </c>
      <c r="D297" t="s">
        <v>60</v>
      </c>
      <c r="E297" t="s">
        <v>14</v>
      </c>
      <c r="F297">
        <v>722</v>
      </c>
      <c r="G297" s="3">
        <v>3975188</v>
      </c>
      <c r="H297" s="5" cm="1">
        <f t="array" ref="H297">IFERROR(_xlfn.IFS(A297=$F$517,G297/$G$517,A297=$F$518,G297/$G$518,A297=$F$519,G297/$G$519,A297=$F$520,G297/$G$520,A297=$F$521,G297/$G$521,A297=$F$522,G297/$G$522,A297=$F$523,G297/$G$523,A297=$F$524,G297/$G$524),"")</f>
        <v>0.12945414779968481</v>
      </c>
      <c r="I297" s="3" cm="1">
        <f t="array" ref="I297">IFERROR(_xlfn.IFS(A297=$M$3,H297*$S$3,A297=$M$4,H297*$S$4,A297=$M$5,H297*$S$5,A297=$M$6,H297*$S$6,A297=$M$7,H297*$S$7,A297=$M$8,H297*$S$8,A297=$M$9,H297*$S$9,A297=$M$10,H297*$S$10),"")</f>
        <v>18348751.942097168</v>
      </c>
      <c r="J297" s="3">
        <f t="shared" si="4"/>
        <v>22323939.942097168</v>
      </c>
      <c r="K297" s="3" t="str">
        <f>IFERROR(VLOOKUP(E297,'GASB Match'!$A$2:$C$58,3,FALSE),"")</f>
        <v>0200510</v>
      </c>
    </row>
    <row r="298" spans="1:11" x14ac:dyDescent="0.2">
      <c r="A298">
        <v>2023</v>
      </c>
      <c r="B298" t="s">
        <v>58</v>
      </c>
      <c r="C298" t="s">
        <v>59</v>
      </c>
      <c r="D298" t="s">
        <v>60</v>
      </c>
      <c r="E298" t="s">
        <v>14</v>
      </c>
      <c r="F298">
        <v>722</v>
      </c>
      <c r="G298" s="3">
        <v>6784920</v>
      </c>
      <c r="H298" s="5" t="str" cm="1">
        <f t="array" ref="H298">IFERROR(_xlfn.IFS(A298=$F$517,G298/$G$517,A298=$F$518,G298/$G$518,A298=$F$519,G298/$G$519,A298=$F$520,G298/$G$520,A298=$F$521,G298/$G$521,A298=$F$522,G298/$G$522,A298=$F$523,G298/$G$523,A298=$F$524,G298/$G$524),"")</f>
        <v/>
      </c>
      <c r="I298" s="3" t="str" cm="1">
        <f t="array" ref="I298">IFERROR(_xlfn.IFS(A298=$M$3,H298*$S$3,A298=$M$4,H298*$S$4,A298=$M$5,H298*$S$5,A298=$M$6,H298*$S$6,A298=$M$7,H298*$S$7,A298=$M$8,H298*$S$8,A298=$M$9,H298*$S$9,A298=$M$10,H298*$S$10),"")</f>
        <v/>
      </c>
      <c r="J298" s="3">
        <f t="shared" si="4"/>
        <v>6784920</v>
      </c>
      <c r="K298" s="3" t="str">
        <f>IFERROR(VLOOKUP(E298,'GASB Match'!$A$2:$C$58,3,FALSE),"")</f>
        <v>0200510</v>
      </c>
    </row>
    <row r="299" spans="1:11" x14ac:dyDescent="0.2">
      <c r="A299">
        <v>2015</v>
      </c>
      <c r="B299" t="s">
        <v>58</v>
      </c>
      <c r="C299" t="s">
        <v>59</v>
      </c>
      <c r="D299" t="s">
        <v>60</v>
      </c>
      <c r="E299" t="s">
        <v>12</v>
      </c>
      <c r="F299">
        <v>719</v>
      </c>
      <c r="G299" s="3">
        <v>91497</v>
      </c>
      <c r="H299" s="5" cm="1">
        <f t="array" ref="H299">IFERROR(_xlfn.IFS(A299=$F$517,G299/$G$517,A299=$F$518,G299/$G$518,A299=$F$519,G299/$G$519,A299=$F$520,G299/$G$520,A299=$F$521,G299/$G$521,A299=$F$522,G299/$G$522,A299=$F$523,G299/$G$523,A299=$F$524,G299/$G$524),"")</f>
        <v>1.8843379342823115E-3</v>
      </c>
      <c r="I299" s="3" cm="1">
        <f t="array" ref="I299">IFERROR(_xlfn.IFS(A299=$M$3,H299*$S$3,A299=$M$4,H299*$S$4,A299=$M$5,H299*$S$5,A299=$M$6,H299*$S$6,A299=$M$7,H299*$S$7,A299=$M$8,H299*$S$8,A299=$M$9,H299*$S$9,A299=$M$10,H299*$S$10),"")</f>
        <v>3110131.8150055553</v>
      </c>
      <c r="J299" s="3">
        <f t="shared" si="4"/>
        <v>3201628.8150055553</v>
      </c>
      <c r="K299" s="3" t="str">
        <f>IFERROR(VLOOKUP(E299,'GASB Match'!$A$2:$C$58,3,FALSE),"")</f>
        <v>0200540</v>
      </c>
    </row>
    <row r="300" spans="1:11" x14ac:dyDescent="0.2">
      <c r="A300">
        <v>2016</v>
      </c>
      <c r="B300" t="s">
        <v>58</v>
      </c>
      <c r="C300" t="s">
        <v>59</v>
      </c>
      <c r="D300" t="s">
        <v>60</v>
      </c>
      <c r="E300" t="s">
        <v>12</v>
      </c>
      <c r="F300">
        <v>719</v>
      </c>
      <c r="G300" s="3">
        <v>105733</v>
      </c>
      <c r="H300" s="5" cm="1">
        <f t="array" ref="H300">IFERROR(_xlfn.IFS(A300=$F$517,G300/$G$517,A300=$F$518,G300/$G$518,A300=$F$519,G300/$G$519,A300=$F$520,G300/$G$520,A300=$F$521,G300/$G$521,A300=$F$522,G300/$G$522,A300=$F$523,G300/$G$523,A300=$F$524,G300/$G$524),"")</f>
        <v>3.0997197549388232E-3</v>
      </c>
      <c r="I300" s="3" cm="1">
        <f t="array" ref="I300">IFERROR(_xlfn.IFS(A300=$M$3,H300*$S$3,A300=$M$4,H300*$S$4,A300=$M$5,H300*$S$5,A300=$M$6,H300*$S$6,A300=$M$7,H300*$S$7,A300=$M$8,H300*$S$8,A300=$M$9,H300*$S$9,A300=$M$10,H300*$S$10),"")</f>
        <v>278842.89726780046</v>
      </c>
      <c r="J300" s="3">
        <f t="shared" si="4"/>
        <v>384575.89726780046</v>
      </c>
      <c r="K300" s="3" t="str">
        <f>IFERROR(VLOOKUP(E300,'GASB Match'!$A$2:$C$58,3,FALSE),"")</f>
        <v>0200540</v>
      </c>
    </row>
    <row r="301" spans="1:11" x14ac:dyDescent="0.2">
      <c r="A301">
        <v>2017</v>
      </c>
      <c r="B301" t="s">
        <v>58</v>
      </c>
      <c r="C301" t="s">
        <v>59</v>
      </c>
      <c r="D301" t="s">
        <v>60</v>
      </c>
      <c r="E301" t="s">
        <v>12</v>
      </c>
      <c r="F301">
        <v>719</v>
      </c>
      <c r="G301" s="3">
        <v>108600</v>
      </c>
      <c r="H301" s="5" cm="1">
        <f t="array" ref="H301">IFERROR(_xlfn.IFS(A301=$F$517,G301/$G$517,A301=$F$518,G301/$G$518,A301=$F$519,G301/$G$519,A301=$F$520,G301/$G$520,A301=$F$521,G301/$G$521,A301=$F$522,G301/$G$522,A301=$F$523,G301/$G$523,A301=$F$524,G301/$G$524),"")</f>
        <v>2.9073543428859822E-3</v>
      </c>
      <c r="I301" s="3" cm="1">
        <f t="array" ref="I301">IFERROR(_xlfn.IFS(A301=$M$3,H301*$S$3,A301=$M$4,H301*$S$4,A301=$M$5,H301*$S$5,A301=$M$6,H301*$S$6,A301=$M$7,H301*$S$7,A301=$M$8,H301*$S$8,A301=$M$9,H301*$S$9,A301=$M$10,H301*$S$10),"")</f>
        <v>337195.64863824984</v>
      </c>
      <c r="J301" s="3">
        <f t="shared" si="4"/>
        <v>445795.64863824984</v>
      </c>
      <c r="K301" s="3" t="str">
        <f>IFERROR(VLOOKUP(E301,'GASB Match'!$A$2:$C$58,3,FALSE),"")</f>
        <v>0200540</v>
      </c>
    </row>
    <row r="302" spans="1:11" x14ac:dyDescent="0.2">
      <c r="A302">
        <v>2018</v>
      </c>
      <c r="B302" t="s">
        <v>58</v>
      </c>
      <c r="C302" t="s">
        <v>59</v>
      </c>
      <c r="D302" t="s">
        <v>60</v>
      </c>
      <c r="E302" t="s">
        <v>12</v>
      </c>
      <c r="F302">
        <v>719</v>
      </c>
      <c r="G302" s="3">
        <v>140642</v>
      </c>
      <c r="H302" s="5" cm="1">
        <f t="array" ref="H302">IFERROR(_xlfn.IFS(A302=$F$517,G302/$G$517,A302=$F$518,G302/$G$518,A302=$F$519,G302/$G$519,A302=$F$520,G302/$G$520,A302=$F$521,G302/$G$521,A302=$F$522,G302/$G$522,A302=$F$523,G302/$G$523,A302=$F$524,G302/$G$524),"")</f>
        <v>3.4683364423956078E-3</v>
      </c>
      <c r="I302" s="3" cm="1">
        <f t="array" ref="I302">IFERROR(_xlfn.IFS(A302=$M$3,H302*$S$3,A302=$M$4,H302*$S$4,A302=$M$5,H302*$S$5,A302=$M$6,H302*$S$6,A302=$M$7,H302*$S$7,A302=$M$8,H302*$S$8,A302=$M$9,H302*$S$9,A302=$M$10,H302*$S$10),"")</f>
        <v>385131.92047230457</v>
      </c>
      <c r="J302" s="3">
        <f t="shared" si="4"/>
        <v>525773.92047230457</v>
      </c>
      <c r="K302" s="3" t="str">
        <f>IFERROR(VLOOKUP(E302,'GASB Match'!$A$2:$C$58,3,FALSE),"")</f>
        <v>0200540</v>
      </c>
    </row>
    <row r="303" spans="1:11" x14ac:dyDescent="0.2">
      <c r="A303">
        <v>2019</v>
      </c>
      <c r="B303" t="s">
        <v>58</v>
      </c>
      <c r="C303" t="s">
        <v>59</v>
      </c>
      <c r="D303" t="s">
        <v>60</v>
      </c>
      <c r="E303" t="s">
        <v>12</v>
      </c>
      <c r="F303">
        <v>719</v>
      </c>
      <c r="G303" s="3">
        <v>96183</v>
      </c>
      <c r="H303" s="5" cm="1">
        <f t="array" ref="H303">IFERROR(_xlfn.IFS(A303=$F$517,G303/$G$517,A303=$F$518,G303/$G$518,A303=$F$519,G303/$G$519,A303=$F$520,G303/$G$520,A303=$F$521,G303/$G$521,A303=$F$522,G303/$G$522,A303=$F$523,G303/$G$523,A303=$F$524,G303/$G$524),"")</f>
        <v>2.6132986396925129E-3</v>
      </c>
      <c r="I303" s="3" cm="1">
        <f t="array" ref="I303">IFERROR(_xlfn.IFS(A303=$M$3,H303*$S$3,A303=$M$4,H303*$S$4,A303=$M$5,H303*$S$5,A303=$M$6,H303*$S$6,A303=$M$7,H303*$S$7,A303=$M$8,H303*$S$8,A303=$M$9,H303*$S$9,A303=$M$10,H303*$S$10),"")</f>
        <v>332842.15927936067</v>
      </c>
      <c r="J303" s="3">
        <f t="shared" si="4"/>
        <v>429025.15927936067</v>
      </c>
      <c r="K303" s="3" t="str">
        <f>IFERROR(VLOOKUP(E303,'GASB Match'!$A$2:$C$58,3,FALSE),"")</f>
        <v>0200540</v>
      </c>
    </row>
    <row r="304" spans="1:11" x14ac:dyDescent="0.2">
      <c r="A304">
        <v>2020</v>
      </c>
      <c r="B304" t="s">
        <v>58</v>
      </c>
      <c r="C304" t="s">
        <v>59</v>
      </c>
      <c r="D304" t="s">
        <v>60</v>
      </c>
      <c r="E304" t="s">
        <v>12</v>
      </c>
      <c r="F304">
        <v>719</v>
      </c>
      <c r="G304" s="3">
        <v>114268</v>
      </c>
      <c r="H304" s="5" cm="1">
        <f t="array" ref="H304">IFERROR(_xlfn.IFS(A304=$F$517,G304/$G$517,A304=$F$518,G304/$G$518,A304=$F$519,G304/$G$519,A304=$F$520,G304/$G$520,A304=$F$521,G304/$G$521,A304=$F$522,G304/$G$522,A304=$F$523,G304/$G$523,A304=$F$524,G304/$G$524),"")</f>
        <v>3.3495503222536623E-3</v>
      </c>
      <c r="I304" s="3" cm="1">
        <f t="array" ref="I304">IFERROR(_xlfn.IFS(A304=$M$3,H304*$S$3,A304=$M$4,H304*$S$4,A304=$M$5,H304*$S$5,A304=$M$6,H304*$S$6,A304=$M$7,H304*$S$7,A304=$M$8,H304*$S$8,A304=$M$9,H304*$S$9,A304=$M$10,H304*$S$10),"")</f>
        <v>469670.98183437332</v>
      </c>
      <c r="J304" s="3">
        <f t="shared" si="4"/>
        <v>583938.98183437332</v>
      </c>
      <c r="K304" s="3" t="str">
        <f>IFERROR(VLOOKUP(E304,'GASB Match'!$A$2:$C$58,3,FALSE),"")</f>
        <v>0200540</v>
      </c>
    </row>
    <row r="305" spans="1:11" x14ac:dyDescent="0.2">
      <c r="A305">
        <v>2021</v>
      </c>
      <c r="B305" t="s">
        <v>58</v>
      </c>
      <c r="C305" t="s">
        <v>59</v>
      </c>
      <c r="D305" t="s">
        <v>60</v>
      </c>
      <c r="E305" t="s">
        <v>12</v>
      </c>
      <c r="F305">
        <v>719</v>
      </c>
      <c r="G305" s="3">
        <v>92091</v>
      </c>
      <c r="H305" s="5" cm="1">
        <f t="array" ref="H305">IFERROR(_xlfn.IFS(A305=$F$517,G305/$G$517,A305=$F$518,G305/$G$518,A305=$F$519,G305/$G$519,A305=$F$520,G305/$G$520,A305=$F$521,G305/$G$521,A305=$F$522,G305/$G$522,A305=$F$523,G305/$G$523,A305=$F$524,G305/$G$524),"")</f>
        <v>3.1392260080124559E-3</v>
      </c>
      <c r="I305" s="3" cm="1">
        <f t="array" ref="I305">IFERROR(_xlfn.IFS(A305=$M$3,H305*$S$3,A305=$M$4,H305*$S$4,A305=$M$5,H305*$S$5,A305=$M$6,H305*$S$6,A305=$M$7,H305*$S$7,A305=$M$8,H305*$S$8,A305=$M$9,H305*$S$9,A305=$M$10,H305*$S$10),"")</f>
        <v>420876.02147655195</v>
      </c>
      <c r="J305" s="3">
        <f t="shared" si="4"/>
        <v>512967.02147655195</v>
      </c>
      <c r="K305" s="3" t="str">
        <f>IFERROR(VLOOKUP(E305,'GASB Match'!$A$2:$C$58,3,FALSE),"")</f>
        <v>0200540</v>
      </c>
    </row>
    <row r="306" spans="1:11" x14ac:dyDescent="0.2">
      <c r="A306">
        <v>2022</v>
      </c>
      <c r="B306" t="s">
        <v>58</v>
      </c>
      <c r="C306" t="s">
        <v>59</v>
      </c>
      <c r="D306" t="s">
        <v>60</v>
      </c>
      <c r="E306" t="s">
        <v>12</v>
      </c>
      <c r="F306">
        <v>719</v>
      </c>
      <c r="G306" s="3">
        <v>107130</v>
      </c>
      <c r="H306" s="5" cm="1">
        <f t="array" ref="H306">IFERROR(_xlfn.IFS(A306=$F$517,G306/$G$517,A306=$F$518,G306/$G$518,A306=$F$519,G306/$G$519,A306=$F$520,G306/$G$520,A306=$F$521,G306/$G$521,A306=$F$522,G306/$G$522,A306=$F$523,G306/$G$523,A306=$F$524,G306/$G$524),"")</f>
        <v>3.4887464074102236E-3</v>
      </c>
      <c r="I306" s="3" cm="1">
        <f t="array" ref="I306">IFERROR(_xlfn.IFS(A306=$M$3,H306*$S$3,A306=$M$4,H306*$S$4,A306=$M$5,H306*$S$5,A306=$M$6,H306*$S$6,A306=$M$7,H306*$S$7,A306=$M$8,H306*$S$8,A306=$M$9,H306*$S$9,A306=$M$10,H306*$S$10),"")</f>
        <v>494492.78765101655</v>
      </c>
      <c r="J306" s="3">
        <f t="shared" si="4"/>
        <v>601622.78765101661</v>
      </c>
      <c r="K306" s="3" t="str">
        <f>IFERROR(VLOOKUP(E306,'GASB Match'!$A$2:$C$58,3,FALSE),"")</f>
        <v>0200540</v>
      </c>
    </row>
    <row r="307" spans="1:11" x14ac:dyDescent="0.2">
      <c r="A307">
        <v>2023</v>
      </c>
      <c r="B307" t="s">
        <v>58</v>
      </c>
      <c r="C307" t="s">
        <v>59</v>
      </c>
      <c r="D307" t="s">
        <v>60</v>
      </c>
      <c r="E307" t="s">
        <v>12</v>
      </c>
      <c r="F307">
        <v>719</v>
      </c>
      <c r="G307" s="3">
        <v>175593</v>
      </c>
      <c r="H307" s="5" t="str" cm="1">
        <f t="array" ref="H307">IFERROR(_xlfn.IFS(A307=$F$517,G307/$G$517,A307=$F$518,G307/$G$518,A307=$F$519,G307/$G$519,A307=$F$520,G307/$G$520,A307=$F$521,G307/$G$521,A307=$F$522,G307/$G$522,A307=$F$523,G307/$G$523,A307=$F$524,G307/$G$524),"")</f>
        <v/>
      </c>
      <c r="I307" s="3" t="str" cm="1">
        <f t="array" ref="I307">IFERROR(_xlfn.IFS(A307=$M$3,H307*$S$3,A307=$M$4,H307*$S$4,A307=$M$5,H307*$S$5,A307=$M$6,H307*$S$6,A307=$M$7,H307*$S$7,A307=$M$8,H307*$S$8,A307=$M$9,H307*$S$9,A307=$M$10,H307*$S$10),"")</f>
        <v/>
      </c>
      <c r="J307" s="3">
        <f t="shared" si="4"/>
        <v>175593</v>
      </c>
      <c r="K307" s="3" t="str">
        <f>IFERROR(VLOOKUP(E307,'GASB Match'!$A$2:$C$58,3,FALSE),"")</f>
        <v>0200540</v>
      </c>
    </row>
    <row r="308" spans="1:11" x14ac:dyDescent="0.2">
      <c r="A308">
        <v>2015</v>
      </c>
      <c r="B308" t="s">
        <v>58</v>
      </c>
      <c r="C308" t="s">
        <v>59</v>
      </c>
      <c r="D308" t="s">
        <v>60</v>
      </c>
      <c r="E308" t="s">
        <v>13</v>
      </c>
      <c r="F308">
        <v>720</v>
      </c>
      <c r="G308" s="3">
        <v>196991</v>
      </c>
      <c r="H308" s="5" cm="1">
        <f t="array" ref="H308">IFERROR(_xlfn.IFS(A308=$F$517,G308/$G$517,A308=$F$518,G308/$G$518,A308=$F$519,G308/$G$519,A308=$F$520,G308/$G$520,A308=$F$521,G308/$G$521,A308=$F$522,G308/$G$522,A308=$F$523,G308/$G$523,A308=$F$524,G308/$G$524),"")</f>
        <v>4.0569375390691149E-3</v>
      </c>
      <c r="I308" s="3" cm="1">
        <f t="array" ref="I308">IFERROR(_xlfn.IFS(A308=$M$3,H308*$S$3,A308=$M$4,H308*$S$4,A308=$M$5,H308*$S$5,A308=$M$6,H308*$S$6,A308=$M$7,H308*$S$7,A308=$M$8,H308*$S$8,A308=$M$9,H308*$S$9,A308=$M$10,H308*$S$10),"")</f>
        <v>6696044.4207980512</v>
      </c>
      <c r="J308" s="3">
        <f t="shared" si="4"/>
        <v>6893035.4207980512</v>
      </c>
      <c r="K308" s="3" t="str">
        <f>IFERROR(VLOOKUP(E308,'GASB Match'!$A$2:$C$58,3,FALSE),"")</f>
        <v>0200570</v>
      </c>
    </row>
    <row r="309" spans="1:11" x14ac:dyDescent="0.2">
      <c r="A309">
        <v>2016</v>
      </c>
      <c r="B309" t="s">
        <v>58</v>
      </c>
      <c r="C309" t="s">
        <v>59</v>
      </c>
      <c r="D309" t="s">
        <v>60</v>
      </c>
      <c r="E309" t="s">
        <v>13</v>
      </c>
      <c r="F309">
        <v>720</v>
      </c>
      <c r="G309" s="3">
        <v>180778</v>
      </c>
      <c r="H309" s="5" cm="1">
        <f t="array" ref="H309">IFERROR(_xlfn.IFS(A309=$F$517,G309/$G$517,A309=$F$518,G309/$G$518,A309=$F$519,G309/$G$519,A309=$F$520,G309/$G$520,A309=$F$521,G309/$G$521,A309=$F$522,G309/$G$522,A309=$F$523,G309/$G$523,A309=$F$524,G309/$G$524),"")</f>
        <v>5.2997752627687725E-3</v>
      </c>
      <c r="I309" s="3" cm="1">
        <f t="array" ref="I309">IFERROR(_xlfn.IFS(A309=$M$3,H309*$S$3,A309=$M$4,H309*$S$4,A309=$M$5,H309*$S$5,A309=$M$6,H309*$S$6,A309=$M$7,H309*$S$7,A309=$M$8,H309*$S$8,A309=$M$9,H309*$S$9,A309=$M$10,H309*$S$10),"")</f>
        <v>476754.28941085975</v>
      </c>
      <c r="J309" s="3">
        <f t="shared" si="4"/>
        <v>657532.28941085981</v>
      </c>
      <c r="K309" s="3" t="str">
        <f>IFERROR(VLOOKUP(E309,'GASB Match'!$A$2:$C$58,3,FALSE),"")</f>
        <v>0200570</v>
      </c>
    </row>
    <row r="310" spans="1:11" x14ac:dyDescent="0.2">
      <c r="A310">
        <v>2017</v>
      </c>
      <c r="B310" t="s">
        <v>58</v>
      </c>
      <c r="C310" t="s">
        <v>59</v>
      </c>
      <c r="D310" t="s">
        <v>60</v>
      </c>
      <c r="E310" t="s">
        <v>13</v>
      </c>
      <c r="F310">
        <v>720</v>
      </c>
      <c r="G310" s="3">
        <v>200341</v>
      </c>
      <c r="H310" s="5" cm="1">
        <f t="array" ref="H310">IFERROR(_xlfn.IFS(A310=$F$517,G310/$G$517,A310=$F$518,G310/$G$518,A310=$F$519,G310/$G$519,A310=$F$520,G310/$G$520,A310=$F$521,G310/$G$521,A310=$F$522,G310/$G$522,A310=$F$523,G310/$G$523,A310=$F$524,G310/$G$524),"")</f>
        <v>5.3633727109403369E-3</v>
      </c>
      <c r="I310" s="3" cm="1">
        <f t="array" ref="I310">IFERROR(_xlfn.IFS(A310=$M$3,H310*$S$3,A310=$M$4,H310*$S$4,A310=$M$5,H310*$S$5,A310=$M$6,H310*$S$6,A310=$M$7,H310*$S$7,A310=$M$8,H310*$S$8,A310=$M$9,H310*$S$9,A310=$M$10,H310*$S$10),"")</f>
        <v>622045.24349756551</v>
      </c>
      <c r="J310" s="3">
        <f t="shared" si="4"/>
        <v>822386.24349756551</v>
      </c>
      <c r="K310" s="3" t="str">
        <f>IFERROR(VLOOKUP(E310,'GASB Match'!$A$2:$C$58,3,FALSE),"")</f>
        <v>0200570</v>
      </c>
    </row>
    <row r="311" spans="1:11" x14ac:dyDescent="0.2">
      <c r="A311">
        <v>2018</v>
      </c>
      <c r="B311" t="s">
        <v>58</v>
      </c>
      <c r="C311" t="s">
        <v>59</v>
      </c>
      <c r="D311" t="s">
        <v>60</v>
      </c>
      <c r="E311" t="s">
        <v>13</v>
      </c>
      <c r="F311">
        <v>720</v>
      </c>
      <c r="G311" s="3">
        <v>219437</v>
      </c>
      <c r="H311" s="5" cm="1">
        <f t="array" ref="H311">IFERROR(_xlfn.IFS(A311=$F$517,G311/$G$517,A311=$F$518,G311/$G$518,A311=$F$519,G311/$G$519,A311=$F$520,G311/$G$520,A311=$F$521,G311/$G$521,A311=$F$522,G311/$G$522,A311=$F$523,G311/$G$523,A311=$F$524,G311/$G$524),"")</f>
        <v>5.4114798133556479E-3</v>
      </c>
      <c r="I311" s="3" cm="1">
        <f t="array" ref="I311">IFERROR(_xlfn.IFS(A311=$M$3,H311*$S$3,A311=$M$4,H311*$S$4,A311=$M$5,H311*$S$5,A311=$M$6,H311*$S$6,A311=$M$7,H311*$S$7,A311=$M$8,H311*$S$8,A311=$M$9,H311*$S$9,A311=$M$10,H311*$S$10),"")</f>
        <v>600902.95383086917</v>
      </c>
      <c r="J311" s="3">
        <f t="shared" si="4"/>
        <v>820339.95383086917</v>
      </c>
      <c r="K311" s="3" t="str">
        <f>IFERROR(VLOOKUP(E311,'GASB Match'!$A$2:$C$58,3,FALSE),"")</f>
        <v>0200570</v>
      </c>
    </row>
    <row r="312" spans="1:11" x14ac:dyDescent="0.2">
      <c r="A312">
        <v>2019</v>
      </c>
      <c r="B312" t="s">
        <v>58</v>
      </c>
      <c r="C312" t="s">
        <v>59</v>
      </c>
      <c r="D312" t="s">
        <v>60</v>
      </c>
      <c r="E312" t="s">
        <v>13</v>
      </c>
      <c r="F312">
        <v>720</v>
      </c>
      <c r="G312" s="3">
        <v>113224</v>
      </c>
      <c r="H312" s="5" cm="1">
        <f t="array" ref="H312">IFERROR(_xlfn.IFS(A312=$F$517,G312/$G$517,A312=$F$518,G312/$G$518,A312=$F$519,G312/$G$519,A312=$F$520,G312/$G$520,A312=$F$521,G312/$G$521,A312=$F$522,G312/$G$522,A312=$F$523,G312/$G$523,A312=$F$524,G312/$G$524),"")</f>
        <v>3.0763037665756435E-3</v>
      </c>
      <c r="I312" s="3" cm="1">
        <f t="array" ref="I312">IFERROR(_xlfn.IFS(A312=$M$3,H312*$S$3,A312=$M$4,H312*$S$4,A312=$M$5,H312*$S$5,A312=$M$6,H312*$S$6,A312=$M$7,H312*$S$7,A312=$M$8,H312*$S$8,A312=$M$9,H312*$S$9,A312=$M$10,H312*$S$10),"")</f>
        <v>391812.69706961041</v>
      </c>
      <c r="J312" s="3">
        <f t="shared" si="4"/>
        <v>505036.69706961041</v>
      </c>
      <c r="K312" s="3" t="str">
        <f>IFERROR(VLOOKUP(E312,'GASB Match'!$A$2:$C$58,3,FALSE),"")</f>
        <v>0200570</v>
      </c>
    </row>
    <row r="313" spans="1:11" x14ac:dyDescent="0.2">
      <c r="A313">
        <v>2020</v>
      </c>
      <c r="B313" t="s">
        <v>58</v>
      </c>
      <c r="C313" t="s">
        <v>59</v>
      </c>
      <c r="D313" t="s">
        <v>60</v>
      </c>
      <c r="E313" t="s">
        <v>13</v>
      </c>
      <c r="F313">
        <v>720</v>
      </c>
      <c r="G313" s="3">
        <v>156327</v>
      </c>
      <c r="H313" s="5" cm="1">
        <f t="array" ref="H313">IFERROR(_xlfn.IFS(A313=$F$517,G313/$G$517,A313=$F$518,G313/$G$518,A313=$F$519,G313/$G$519,A313=$F$520,G313/$G$520,A313=$F$521,G313/$G$521,A313=$F$522,G313/$G$522,A313=$F$523,G313/$G$523,A313=$F$524,G313/$G$524),"")</f>
        <v>4.5824303674427509E-3</v>
      </c>
      <c r="I313" s="3" cm="1">
        <f t="array" ref="I313">IFERROR(_xlfn.IFS(A313=$M$3,H313*$S$3,A313=$M$4,H313*$S$4,A313=$M$5,H313*$S$5,A313=$M$6,H313*$S$6,A313=$M$7,H313*$S$7,A313=$M$8,H313*$S$8,A313=$M$9,H313*$S$9,A313=$M$10,H313*$S$10),"")</f>
        <v>642544.33067194733</v>
      </c>
      <c r="J313" s="3">
        <f t="shared" si="4"/>
        <v>798871.33067194733</v>
      </c>
      <c r="K313" s="3" t="str">
        <f>IFERROR(VLOOKUP(E313,'GASB Match'!$A$2:$C$58,3,FALSE),"")</f>
        <v>0200570</v>
      </c>
    </row>
    <row r="314" spans="1:11" x14ac:dyDescent="0.2">
      <c r="A314">
        <v>2021</v>
      </c>
      <c r="B314" t="s">
        <v>58</v>
      </c>
      <c r="C314" t="s">
        <v>59</v>
      </c>
      <c r="D314" t="s">
        <v>60</v>
      </c>
      <c r="E314" t="s">
        <v>13</v>
      </c>
      <c r="F314">
        <v>720</v>
      </c>
      <c r="G314" s="3">
        <v>156746</v>
      </c>
      <c r="H314" s="5" cm="1">
        <f t="array" ref="H314">IFERROR(_xlfn.IFS(A314=$F$517,G314/$G$517,A314=$F$518,G314/$G$518,A314=$F$519,G314/$G$519,A314=$F$520,G314/$G$520,A314=$F$521,G314/$G$521,A314=$F$522,G314/$G$522,A314=$F$523,G314/$G$523,A314=$F$524,G314/$G$524),"")</f>
        <v>5.3432053061854079E-3</v>
      </c>
      <c r="I314" s="3" cm="1">
        <f t="array" ref="I314">IFERROR(_xlfn.IFS(A314=$M$3,H314*$S$3,A314=$M$4,H314*$S$4,A314=$M$5,H314*$S$5,A314=$M$6,H314*$S$6,A314=$M$7,H314*$S$7,A314=$M$8,H314*$S$8,A314=$M$9,H314*$S$9,A314=$M$10,H314*$S$10),"")</f>
        <v>716363.5193706617</v>
      </c>
      <c r="J314" s="3">
        <f t="shared" si="4"/>
        <v>873109.5193706617</v>
      </c>
      <c r="K314" s="3" t="str">
        <f>IFERROR(VLOOKUP(E314,'GASB Match'!$A$2:$C$58,3,FALSE),"")</f>
        <v>0200570</v>
      </c>
    </row>
    <row r="315" spans="1:11" x14ac:dyDescent="0.2">
      <c r="A315">
        <v>2022</v>
      </c>
      <c r="B315" t="s">
        <v>58</v>
      </c>
      <c r="C315" t="s">
        <v>59</v>
      </c>
      <c r="D315" t="s">
        <v>60</v>
      </c>
      <c r="E315" t="s">
        <v>13</v>
      </c>
      <c r="F315">
        <v>720</v>
      </c>
      <c r="G315" s="3">
        <v>168902</v>
      </c>
      <c r="H315" s="5" cm="1">
        <f t="array" ref="H315">IFERROR(_xlfn.IFS(A315=$F$517,G315/$G$517,A315=$F$518,G315/$G$518,A315=$F$519,G315/$G$519,A315=$F$520,G315/$G$520,A315=$F$521,G315/$G$521,A315=$F$522,G315/$G$522,A315=$F$523,G315/$G$523,A315=$F$524,G315/$G$524),"")</f>
        <v>5.5003850061084818E-3</v>
      </c>
      <c r="I315" s="3" cm="1">
        <f t="array" ref="I315">IFERROR(_xlfn.IFS(A315=$M$3,H315*$S$3,A315=$M$4,H315*$S$4,A315=$M$5,H315*$S$5,A315=$M$6,H315*$S$6,A315=$M$7,H315*$S$7,A315=$M$8,H315*$S$8,A315=$M$9,H315*$S$9,A315=$M$10,H315*$S$10),"")</f>
        <v>779621.21553096245</v>
      </c>
      <c r="J315" s="3">
        <f t="shared" si="4"/>
        <v>948523.21553096245</v>
      </c>
      <c r="K315" s="3" t="str">
        <f>IFERROR(VLOOKUP(E315,'GASB Match'!$A$2:$C$58,3,FALSE),"")</f>
        <v>0200570</v>
      </c>
    </row>
    <row r="316" spans="1:11" x14ac:dyDescent="0.2">
      <c r="A316">
        <v>2023</v>
      </c>
      <c r="B316" t="s">
        <v>58</v>
      </c>
      <c r="C316" t="s">
        <v>59</v>
      </c>
      <c r="D316" t="s">
        <v>60</v>
      </c>
      <c r="E316" t="s">
        <v>13</v>
      </c>
      <c r="F316">
        <v>720</v>
      </c>
      <c r="G316" s="3">
        <v>236216</v>
      </c>
      <c r="H316" s="5" t="str" cm="1">
        <f t="array" ref="H316">IFERROR(_xlfn.IFS(A316=$F$517,G316/$G$517,A316=$F$518,G316/$G$518,A316=$F$519,G316/$G$519,A316=$F$520,G316/$G$520,A316=$F$521,G316/$G$521,A316=$F$522,G316/$G$522,A316=$F$523,G316/$G$523,A316=$F$524,G316/$G$524),"")</f>
        <v/>
      </c>
      <c r="I316" s="3" t="str" cm="1">
        <f t="array" ref="I316">IFERROR(_xlfn.IFS(A316=$M$3,H316*$S$3,A316=$M$4,H316*$S$4,A316=$M$5,H316*$S$5,A316=$M$6,H316*$S$6,A316=$M$7,H316*$S$7,A316=$M$8,H316*$S$8,A316=$M$9,H316*$S$9,A316=$M$10,H316*$S$10),"")</f>
        <v/>
      </c>
      <c r="J316" s="3">
        <f t="shared" si="4"/>
        <v>236216</v>
      </c>
      <c r="K316" s="3" t="str">
        <f>IFERROR(VLOOKUP(E316,'GASB Match'!$A$2:$C$58,3,FALSE),"")</f>
        <v>0200570</v>
      </c>
    </row>
    <row r="317" spans="1:11" x14ac:dyDescent="0.2">
      <c r="A317">
        <v>2015</v>
      </c>
      <c r="B317" t="s">
        <v>58</v>
      </c>
      <c r="C317" t="s">
        <v>59</v>
      </c>
      <c r="D317" t="s">
        <v>60</v>
      </c>
      <c r="E317" t="s">
        <v>24</v>
      </c>
      <c r="F317">
        <v>736</v>
      </c>
      <c r="G317" s="3">
        <v>591144</v>
      </c>
      <c r="H317" s="5" cm="1">
        <f t="array" ref="H317">IFERROR(_xlfn.IFS(A317=$F$517,G317/$G$517,A317=$F$518,G317/$G$518,A317=$F$519,G317/$G$519,A317=$F$520,G317/$G$520,A317=$F$521,G317/$G$521,A317=$F$522,G317/$G$522,A317=$F$523,G317/$G$523,A317=$F$524,G317/$G$524),"")</f>
        <v>1.2174334282253875E-2</v>
      </c>
      <c r="I317" s="3" cm="1">
        <f t="array" ref="I317">IFERROR(_xlfn.IFS(A317=$M$3,H317*$S$3,A317=$M$4,H317*$S$4,A317=$M$5,H317*$S$5,A317=$M$6,H317*$S$6,A317=$M$7,H317*$S$7,A317=$M$8,H317*$S$8,A317=$M$9,H317*$S$9,A317=$M$10,H317*$S$10),"")</f>
        <v>20093945.830460496</v>
      </c>
      <c r="J317" s="3">
        <f t="shared" si="4"/>
        <v>20685089.830460496</v>
      </c>
      <c r="K317" s="3" t="str">
        <f>IFERROR(VLOOKUP(E317,'GASB Match'!$A$2:$C$58,3,FALSE),"")</f>
        <v>0200610</v>
      </c>
    </row>
    <row r="318" spans="1:11" x14ac:dyDescent="0.2">
      <c r="A318">
        <v>2016</v>
      </c>
      <c r="B318" t="s">
        <v>58</v>
      </c>
      <c r="C318" t="s">
        <v>59</v>
      </c>
      <c r="D318" t="s">
        <v>60</v>
      </c>
      <c r="E318" t="s">
        <v>24</v>
      </c>
      <c r="F318">
        <v>736</v>
      </c>
      <c r="G318" s="3">
        <v>537956</v>
      </c>
      <c r="H318" s="5" cm="1">
        <f t="array" ref="H318">IFERROR(_xlfn.IFS(A318=$F$517,G318/$G$517,A318=$F$518,G318/$G$518,A318=$F$519,G318/$G$519,A318=$F$520,G318/$G$520,A318=$F$521,G318/$G$521,A318=$F$522,G318/$G$522,A318=$F$523,G318/$G$523,A318=$F$524,G318/$G$524),"")</f>
        <v>1.5770978223334908E-2</v>
      </c>
      <c r="I318" s="3" cm="1">
        <f t="array" ref="I318">IFERROR(_xlfn.IFS(A318=$M$3,H318*$S$3,A318=$M$4,H318*$S$4,A318=$M$5,H318*$S$5,A318=$M$6,H318*$S$6,A318=$M$7,H318*$S$7,A318=$M$8,H318*$S$8,A318=$M$9,H318*$S$9,A318=$M$10,H318*$S$10),"")</f>
        <v>1418717.0480606516</v>
      </c>
      <c r="J318" s="3">
        <f t="shared" si="4"/>
        <v>1956673.0480606516</v>
      </c>
      <c r="K318" s="3" t="str">
        <f>IFERROR(VLOOKUP(E318,'GASB Match'!$A$2:$C$58,3,FALSE),"")</f>
        <v>0200610</v>
      </c>
    </row>
    <row r="319" spans="1:11" x14ac:dyDescent="0.2">
      <c r="A319">
        <v>2017</v>
      </c>
      <c r="B319" t="s">
        <v>58</v>
      </c>
      <c r="C319" t="s">
        <v>59</v>
      </c>
      <c r="D319" t="s">
        <v>60</v>
      </c>
      <c r="E319" t="s">
        <v>24</v>
      </c>
      <c r="F319">
        <v>736</v>
      </c>
      <c r="G319" s="3">
        <v>588274</v>
      </c>
      <c r="H319" s="5" cm="1">
        <f t="array" ref="H319">IFERROR(_xlfn.IFS(A319=$F$517,G319/$G$517,A319=$F$518,G319/$G$518,A319=$F$519,G319/$G$519,A319=$F$520,G319/$G$520,A319=$F$521,G319/$G$521,A319=$F$522,G319/$G$522,A319=$F$523,G319/$G$523,A319=$F$524,G319/$G$524),"")</f>
        <v>1.5748811866546118E-2</v>
      </c>
      <c r="I319" s="3" cm="1">
        <f t="array" ref="I319">IFERROR(_xlfn.IFS(A319=$M$3,H319*$S$3,A319=$M$4,H319*$S$4,A319=$M$5,H319*$S$5,A319=$M$6,H319*$S$6,A319=$M$7,H319*$S$7,A319=$M$8,H319*$S$8,A319=$M$9,H319*$S$9,A319=$M$10,H319*$S$10),"")</f>
        <v>1826550.948499243</v>
      </c>
      <c r="J319" s="3">
        <f t="shared" si="4"/>
        <v>2414824.9484992428</v>
      </c>
      <c r="K319" s="3" t="str">
        <f>IFERROR(VLOOKUP(E319,'GASB Match'!$A$2:$C$58,3,FALSE),"")</f>
        <v>0200610</v>
      </c>
    </row>
    <row r="320" spans="1:11" x14ac:dyDescent="0.2">
      <c r="A320">
        <v>2018</v>
      </c>
      <c r="B320" t="s">
        <v>58</v>
      </c>
      <c r="C320" t="s">
        <v>59</v>
      </c>
      <c r="D320" t="s">
        <v>60</v>
      </c>
      <c r="E320" t="s">
        <v>24</v>
      </c>
      <c r="F320">
        <v>736</v>
      </c>
      <c r="G320" s="3">
        <v>620262</v>
      </c>
      <c r="H320" s="5" cm="1">
        <f t="array" ref="H320">IFERROR(_xlfn.IFS(A320=$F$517,G320/$G$517,A320=$F$518,G320/$G$518,A320=$F$519,G320/$G$519,A320=$F$520,G320/$G$520,A320=$F$521,G320/$G$521,A320=$F$522,G320/$G$522,A320=$F$523,G320/$G$523,A320=$F$524,G320/$G$524),"")</f>
        <v>1.5296122768683498E-2</v>
      </c>
      <c r="I320" s="3" cm="1">
        <f t="array" ref="I320">IFERROR(_xlfn.IFS(A320=$M$3,H320*$S$3,A320=$M$4,H320*$S$4,A320=$M$5,H320*$S$5,A320=$M$6,H320*$S$6,A320=$M$7,H320*$S$7,A320=$M$8,H320*$S$8,A320=$M$9,H320*$S$9,A320=$M$10,H320*$S$10),"")</f>
        <v>1698516.0567681955</v>
      </c>
      <c r="J320" s="3">
        <f t="shared" si="4"/>
        <v>2318778.0567681957</v>
      </c>
      <c r="K320" s="3" t="str">
        <f>IFERROR(VLOOKUP(E320,'GASB Match'!$A$2:$C$58,3,FALSE),"")</f>
        <v>0200610</v>
      </c>
    </row>
    <row r="321" spans="1:11" x14ac:dyDescent="0.2">
      <c r="A321">
        <v>2019</v>
      </c>
      <c r="B321" t="s">
        <v>58</v>
      </c>
      <c r="C321" t="s">
        <v>59</v>
      </c>
      <c r="D321" t="s">
        <v>60</v>
      </c>
      <c r="E321" t="s">
        <v>24</v>
      </c>
      <c r="F321">
        <v>736</v>
      </c>
      <c r="G321" s="3">
        <v>649289</v>
      </c>
      <c r="H321" s="5" cm="1">
        <f t="array" ref="H321">IFERROR(_xlfn.IFS(A321=$F$517,G321/$G$517,A321=$F$518,G321/$G$518,A321=$F$519,G321/$G$519,A321=$F$520,G321/$G$520,A321=$F$521,G321/$G$521,A321=$F$522,G321/$G$522,A321=$F$523,G321/$G$523,A321=$F$524,G321/$G$524),"")</f>
        <v>1.7641226209073456E-2</v>
      </c>
      <c r="I321" s="3" cm="1">
        <f t="array" ref="I321">IFERROR(_xlfn.IFS(A321=$M$3,H321*$S$3,A321=$M$4,H321*$S$4,A321=$M$5,H321*$S$5,A321=$M$6,H321*$S$6,A321=$M$7,H321*$S$7,A321=$M$8,H321*$S$8,A321=$M$9,H321*$S$9,A321=$M$10,H321*$S$10),"")</f>
        <v>2246870.577506803</v>
      </c>
      <c r="J321" s="3">
        <f t="shared" si="4"/>
        <v>2896159.577506803</v>
      </c>
      <c r="K321" s="3" t="str">
        <f>IFERROR(VLOOKUP(E321,'GASB Match'!$A$2:$C$58,3,FALSE),"")</f>
        <v>0200610</v>
      </c>
    </row>
    <row r="322" spans="1:11" x14ac:dyDescent="0.2">
      <c r="A322">
        <v>2020</v>
      </c>
      <c r="B322" t="s">
        <v>58</v>
      </c>
      <c r="C322" t="s">
        <v>59</v>
      </c>
      <c r="D322" t="s">
        <v>60</v>
      </c>
      <c r="E322" t="s">
        <v>24</v>
      </c>
      <c r="F322">
        <v>736</v>
      </c>
      <c r="G322" s="3">
        <v>286809</v>
      </c>
      <c r="H322" s="5" cm="1">
        <f t="array" ref="H322">IFERROR(_xlfn.IFS(A322=$F$517,G322/$G$517,A322=$F$518,G322/$G$518,A322=$F$519,G322/$G$519,A322=$F$520,G322/$G$520,A322=$F$521,G322/$G$521,A322=$F$522,G322/$G$522,A322=$F$523,G322/$G$523,A322=$F$524,G322/$G$524),"")</f>
        <v>8.4072634366161181E-3</v>
      </c>
      <c r="I322" s="3" cm="1">
        <f t="array" ref="I322">IFERROR(_xlfn.IFS(A322=$M$3,H322*$S$3,A322=$M$4,H322*$S$4,A322=$M$5,H322*$S$5,A322=$M$6,H322*$S$6,A322=$M$7,H322*$S$7,A322=$M$8,H322*$S$8,A322=$M$9,H322*$S$9,A322=$M$10,H322*$S$10),"")</f>
        <v>1178859.0386541707</v>
      </c>
      <c r="J322" s="3">
        <f t="shared" si="4"/>
        <v>1465668.0386541707</v>
      </c>
      <c r="K322" s="3" t="str">
        <f>IFERROR(VLOOKUP(E322,'GASB Match'!$A$2:$C$58,3,FALSE),"")</f>
        <v>0200610</v>
      </c>
    </row>
    <row r="323" spans="1:11" x14ac:dyDescent="0.2">
      <c r="A323">
        <v>2021</v>
      </c>
      <c r="B323" t="s">
        <v>58</v>
      </c>
      <c r="C323" t="s">
        <v>59</v>
      </c>
      <c r="D323" t="s">
        <v>60</v>
      </c>
      <c r="E323" t="s">
        <v>24</v>
      </c>
      <c r="F323">
        <v>736</v>
      </c>
      <c r="G323" s="3">
        <v>586217</v>
      </c>
      <c r="H323" s="5" cm="1">
        <f t="array" ref="H323">IFERROR(_xlfn.IFS(A323=$F$517,G323/$G$517,A323=$F$518,G323/$G$518,A323=$F$519,G323/$G$519,A323=$F$520,G323/$G$520,A323=$F$521,G323/$G$521,A323=$F$522,G323/$G$522,A323=$F$523,G323/$G$523,A323=$F$524,G323/$G$524),"")</f>
        <v>1.9983143333648649E-2</v>
      </c>
      <c r="I323" s="3" cm="1">
        <f t="array" ref="I323">IFERROR(_xlfn.IFS(A323=$M$3,H323*$S$3,A323=$M$4,H323*$S$4,A323=$M$5,H323*$S$5,A323=$M$6,H323*$S$6,A323=$M$7,H323*$S$7,A323=$M$8,H323*$S$8,A323=$M$9,H323*$S$9,A323=$M$10,H323*$S$10),"")</f>
        <v>2679139.9667928442</v>
      </c>
      <c r="J323" s="3">
        <f t="shared" ref="J323:J386" si="5">SUM(G323,I323)</f>
        <v>3265356.9667928442</v>
      </c>
      <c r="K323" s="3" t="str">
        <f>IFERROR(VLOOKUP(E323,'GASB Match'!$A$2:$C$58,3,FALSE),"")</f>
        <v>0200610</v>
      </c>
    </row>
    <row r="324" spans="1:11" x14ac:dyDescent="0.2">
      <c r="A324">
        <v>2022</v>
      </c>
      <c r="B324" t="s">
        <v>58</v>
      </c>
      <c r="C324" t="s">
        <v>59</v>
      </c>
      <c r="D324" t="s">
        <v>60</v>
      </c>
      <c r="E324" t="s">
        <v>24</v>
      </c>
      <c r="F324">
        <v>736</v>
      </c>
      <c r="G324" s="3">
        <v>437709</v>
      </c>
      <c r="H324" s="5" cm="1">
        <f t="array" ref="H324">IFERROR(_xlfn.IFS(A324=$F$517,G324/$G$517,A324=$F$518,G324/$G$518,A324=$F$519,G324/$G$519,A324=$F$520,G324/$G$520,A324=$F$521,G324/$G$521,A324=$F$522,G324/$G$522,A324=$F$523,G324/$G$523,A324=$F$524,G324/$G$524),"")</f>
        <v>1.4254230385896776E-2</v>
      </c>
      <c r="I324" s="3" cm="1">
        <f t="array" ref="I324">IFERROR(_xlfn.IFS(A324=$M$3,H324*$S$3,A324=$M$4,H324*$S$4,A324=$M$5,H324*$S$5,A324=$M$6,H324*$S$6,A324=$M$7,H324*$S$7,A324=$M$8,H324*$S$8,A324=$M$9,H324*$S$9,A324=$M$10,H324*$S$10),"")</f>
        <v>2020385.9198164737</v>
      </c>
      <c r="J324" s="3">
        <f t="shared" si="5"/>
        <v>2458094.9198164735</v>
      </c>
      <c r="K324" s="3" t="str">
        <f>IFERROR(VLOOKUP(E324,'GASB Match'!$A$2:$C$58,3,FALSE),"")</f>
        <v>0200610</v>
      </c>
    </row>
    <row r="325" spans="1:11" x14ac:dyDescent="0.2">
      <c r="A325">
        <v>2023</v>
      </c>
      <c r="B325" t="s">
        <v>58</v>
      </c>
      <c r="C325" t="s">
        <v>59</v>
      </c>
      <c r="D325" t="s">
        <v>60</v>
      </c>
      <c r="E325" t="s">
        <v>24</v>
      </c>
      <c r="F325">
        <v>736</v>
      </c>
      <c r="G325" s="3">
        <v>747105</v>
      </c>
      <c r="H325" s="5" t="str" cm="1">
        <f t="array" ref="H325">IFERROR(_xlfn.IFS(A325=$F$517,G325/$G$517,A325=$F$518,G325/$G$518,A325=$F$519,G325/$G$519,A325=$F$520,G325/$G$520,A325=$F$521,G325/$G$521,A325=$F$522,G325/$G$522,A325=$F$523,G325/$G$523,A325=$F$524,G325/$G$524),"")</f>
        <v/>
      </c>
      <c r="I325" s="3" t="str" cm="1">
        <f t="array" ref="I325">IFERROR(_xlfn.IFS(A325=$M$3,H325*$S$3,A325=$M$4,H325*$S$4,A325=$M$5,H325*$S$5,A325=$M$6,H325*$S$6,A325=$M$7,H325*$S$7,A325=$M$8,H325*$S$8,A325=$M$9,H325*$S$9,A325=$M$10,H325*$S$10),"")</f>
        <v/>
      </c>
      <c r="J325" s="3">
        <f t="shared" si="5"/>
        <v>747105</v>
      </c>
      <c r="K325" s="3" t="str">
        <f>IFERROR(VLOOKUP(E325,'GASB Match'!$A$2:$C$58,3,FALSE),"")</f>
        <v>0200610</v>
      </c>
    </row>
    <row r="326" spans="1:11" x14ac:dyDescent="0.2">
      <c r="A326">
        <v>2015</v>
      </c>
      <c r="B326" t="s">
        <v>58</v>
      </c>
      <c r="C326" t="s">
        <v>59</v>
      </c>
      <c r="D326" t="s">
        <v>60</v>
      </c>
      <c r="E326" t="s">
        <v>29</v>
      </c>
      <c r="F326">
        <v>751</v>
      </c>
      <c r="G326" s="3">
        <v>492081</v>
      </c>
      <c r="H326" s="5" cm="1">
        <f t="array" ref="H326">IFERROR(_xlfn.IFS(A326=$F$517,G326/$G$517,A326=$F$518,G326/$G$518,A326=$F$519,G326/$G$519,A326=$F$520,G326/$G$520,A326=$F$521,G326/$G$521,A326=$F$522,G326/$G$522,A326=$F$523,G326/$G$523,A326=$F$524,G326/$G$524),"")</f>
        <v>1.0134178115561976E-2</v>
      </c>
      <c r="I326" s="3" cm="1">
        <f t="array" ref="I326">IFERROR(_xlfn.IFS(A326=$M$3,H326*$S$3,A326=$M$4,H326*$S$4,A326=$M$5,H326*$S$5,A326=$M$6,H326*$S$6,A326=$M$7,H326*$S$7,A326=$M$8,H326*$S$8,A326=$M$9,H326*$S$9,A326=$M$10,H326*$S$10),"")</f>
        <v>16726633.372238964</v>
      </c>
      <c r="J326" s="3">
        <f t="shared" si="5"/>
        <v>17218714.372238964</v>
      </c>
      <c r="K326" s="3" t="str">
        <f>IFERROR(VLOOKUP(E326,'GASB Match'!$A$2:$C$58,3,FALSE),"")</f>
        <v>0200625</v>
      </c>
    </row>
    <row r="327" spans="1:11" x14ac:dyDescent="0.2">
      <c r="A327">
        <v>2016</v>
      </c>
      <c r="B327" t="s">
        <v>58</v>
      </c>
      <c r="C327" t="s">
        <v>59</v>
      </c>
      <c r="D327" t="s">
        <v>60</v>
      </c>
      <c r="E327" t="s">
        <v>29</v>
      </c>
      <c r="F327">
        <v>751</v>
      </c>
      <c r="G327" s="3">
        <v>451723</v>
      </c>
      <c r="H327" s="5" cm="1">
        <f t="array" ref="H327">IFERROR(_xlfn.IFS(A327=$F$517,G327/$G$517,A327=$F$518,G327/$G$518,A327=$F$519,G327/$G$519,A327=$F$520,G327/$G$520,A327=$F$521,G327/$G$521,A327=$F$522,G327/$G$522,A327=$F$523,G327/$G$523,A327=$F$524,G327/$G$524),"")</f>
        <v>1.3242929897574363E-2</v>
      </c>
      <c r="I327" s="3" cm="1">
        <f t="array" ref="I327">IFERROR(_xlfn.IFS(A327=$M$3,H327*$S$3,A327=$M$4,H327*$S$4,A327=$M$5,H327*$S$5,A327=$M$6,H327*$S$6,A327=$M$7,H327*$S$7,A327=$M$8,H327*$S$8,A327=$M$9,H327*$S$9,A327=$M$10,H327*$S$10),"")</f>
        <v>1191300.2570862705</v>
      </c>
      <c r="J327" s="3">
        <f t="shared" si="5"/>
        <v>1643023.2570862705</v>
      </c>
      <c r="K327" s="3" t="str">
        <f>IFERROR(VLOOKUP(E327,'GASB Match'!$A$2:$C$58,3,FALSE),"")</f>
        <v>0200625</v>
      </c>
    </row>
    <row r="328" spans="1:11" x14ac:dyDescent="0.2">
      <c r="A328">
        <v>2017</v>
      </c>
      <c r="B328" t="s">
        <v>58</v>
      </c>
      <c r="C328" t="s">
        <v>59</v>
      </c>
      <c r="D328" t="s">
        <v>60</v>
      </c>
      <c r="E328" t="s">
        <v>29</v>
      </c>
      <c r="F328">
        <v>751</v>
      </c>
      <c r="G328" s="3">
        <v>527860</v>
      </c>
      <c r="H328" s="5" cm="1">
        <f t="array" ref="H328">IFERROR(_xlfn.IFS(A328=$F$517,G328/$G$517,A328=$F$518,G328/$G$518,A328=$F$519,G328/$G$519,A328=$F$520,G328/$G$520,A328=$F$521,G328/$G$521,A328=$F$522,G328/$G$522,A328=$F$523,G328/$G$523,A328=$F$524,G328/$G$524),"")</f>
        <v>1.4131455464417998E-2</v>
      </c>
      <c r="I328" s="3" cm="1">
        <f t="array" ref="I328">IFERROR(_xlfn.IFS(A328=$M$3,H328*$S$3,A328=$M$4,H328*$S$4,A328=$M$5,H328*$S$5,A328=$M$6,H328*$S$6,A328=$M$7,H328*$S$7,A328=$M$8,H328*$S$8,A328=$M$9,H328*$S$9,A328=$M$10,H328*$S$10),"")</f>
        <v>1638969.5680495999</v>
      </c>
      <c r="J328" s="3">
        <f t="shared" si="5"/>
        <v>2166829.5680495999</v>
      </c>
      <c r="K328" s="3" t="str">
        <f>IFERROR(VLOOKUP(E328,'GASB Match'!$A$2:$C$58,3,FALSE),"")</f>
        <v>0200625</v>
      </c>
    </row>
    <row r="329" spans="1:11" x14ac:dyDescent="0.2">
      <c r="A329">
        <v>2018</v>
      </c>
      <c r="B329" t="s">
        <v>58</v>
      </c>
      <c r="C329" t="s">
        <v>59</v>
      </c>
      <c r="D329" t="s">
        <v>60</v>
      </c>
      <c r="E329" t="s">
        <v>29</v>
      </c>
      <c r="F329">
        <v>751</v>
      </c>
      <c r="G329" s="3">
        <v>723018</v>
      </c>
      <c r="H329" s="5" cm="1">
        <f t="array" ref="H329">IFERROR(_xlfn.IFS(A329=$F$517,G329/$G$517,A329=$F$518,G329/$G$518,A329=$F$519,G329/$G$519,A329=$F$520,G329/$G$520,A329=$F$521,G329/$G$521,A329=$F$522,G329/$G$522,A329=$F$523,G329/$G$523,A329=$F$524,G329/$G$524),"")</f>
        <v>1.7830162241065879E-2</v>
      </c>
      <c r="I329" s="3" cm="1">
        <f t="array" ref="I329">IFERROR(_xlfn.IFS(A329=$M$3,H329*$S$3,A329=$M$4,H329*$S$4,A329=$M$5,H329*$S$5,A329=$M$6,H329*$S$6,A329=$M$7,H329*$S$7,A329=$M$8,H329*$S$8,A329=$M$9,H329*$S$9,A329=$M$10,H329*$S$10),"")</f>
        <v>1979901.5292447822</v>
      </c>
      <c r="J329" s="3">
        <f t="shared" si="5"/>
        <v>2702919.5292447824</v>
      </c>
      <c r="K329" s="3" t="str">
        <f>IFERROR(VLOOKUP(E329,'GASB Match'!$A$2:$C$58,3,FALSE),"")</f>
        <v>0200625</v>
      </c>
    </row>
    <row r="330" spans="1:11" x14ac:dyDescent="0.2">
      <c r="A330">
        <v>2019</v>
      </c>
      <c r="B330" t="s">
        <v>58</v>
      </c>
      <c r="C330" t="s">
        <v>59</v>
      </c>
      <c r="D330" t="s">
        <v>60</v>
      </c>
      <c r="E330" t="s">
        <v>29</v>
      </c>
      <c r="F330">
        <v>751</v>
      </c>
      <c r="G330" s="3">
        <v>398426</v>
      </c>
      <c r="H330" s="5" cm="1">
        <f t="array" ref="H330">IFERROR(_xlfn.IFS(A330=$F$517,G330/$G$517,A330=$F$518,G330/$G$518,A330=$F$519,G330/$G$519,A330=$F$520,G330/$G$520,A330=$F$521,G330/$G$521,A330=$F$522,G330/$G$522,A330=$F$523,G330/$G$523,A330=$F$524,G330/$G$524),"")</f>
        <v>1.0825261468431316E-2</v>
      </c>
      <c r="I330" s="3" cm="1">
        <f t="array" ref="I330">IFERROR(_xlfn.IFS(A330=$M$3,H330*$S$3,A330=$M$4,H330*$S$4,A330=$M$5,H330*$S$5,A330=$M$6,H330*$S$6,A330=$M$7,H330*$S$7,A330=$M$8,H330*$S$8,A330=$M$9,H330*$S$9,A330=$M$10,H330*$S$10),"")</f>
        <v>1378756.8505145251</v>
      </c>
      <c r="J330" s="3">
        <f t="shared" si="5"/>
        <v>1777182.8505145251</v>
      </c>
      <c r="K330" s="3" t="str">
        <f>IFERROR(VLOOKUP(E330,'GASB Match'!$A$2:$C$58,3,FALSE),"")</f>
        <v>0200625</v>
      </c>
    </row>
    <row r="331" spans="1:11" x14ac:dyDescent="0.2">
      <c r="A331">
        <v>2020</v>
      </c>
      <c r="B331" t="s">
        <v>58</v>
      </c>
      <c r="C331" t="s">
        <v>59</v>
      </c>
      <c r="D331" t="s">
        <v>60</v>
      </c>
      <c r="E331" t="s">
        <v>29</v>
      </c>
      <c r="F331">
        <v>751</v>
      </c>
      <c r="G331" s="3">
        <v>522120</v>
      </c>
      <c r="H331" s="5" cm="1">
        <f t="array" ref="H331">IFERROR(_xlfn.IFS(A331=$F$517,G331/$G$517,A331=$F$518,G331/$G$518,A331=$F$519,G331/$G$519,A331=$F$520,G331/$G$520,A331=$F$521,G331/$G$521,A331=$F$522,G331/$G$522,A331=$F$523,G331/$G$523,A331=$F$524,G331/$G$524),"")</f>
        <v>1.5304960393592975E-2</v>
      </c>
      <c r="I331" s="3" cm="1">
        <f t="array" ref="I331">IFERROR(_xlfn.IFS(A331=$M$3,H331*$S$3,A331=$M$4,H331*$S$4,A331=$M$5,H331*$S$5,A331=$M$6,H331*$S$6,A331=$M$7,H331*$S$7,A331=$M$8,H331*$S$8,A331=$M$9,H331*$S$9,A331=$M$10,H331*$S$10),"")</f>
        <v>2146048.0014996585</v>
      </c>
      <c r="J331" s="3">
        <f t="shared" si="5"/>
        <v>2668168.0014996585</v>
      </c>
      <c r="K331" s="3" t="str">
        <f>IFERROR(VLOOKUP(E331,'GASB Match'!$A$2:$C$58,3,FALSE),"")</f>
        <v>0200625</v>
      </c>
    </row>
    <row r="332" spans="1:11" x14ac:dyDescent="0.2">
      <c r="A332">
        <v>2021</v>
      </c>
      <c r="B332" t="s">
        <v>58</v>
      </c>
      <c r="C332" t="s">
        <v>59</v>
      </c>
      <c r="D332" t="s">
        <v>60</v>
      </c>
      <c r="E332" t="s">
        <v>29</v>
      </c>
      <c r="F332">
        <v>751</v>
      </c>
      <c r="G332" s="3">
        <v>492116</v>
      </c>
      <c r="H332" s="5" cm="1">
        <f t="array" ref="H332">IFERROR(_xlfn.IFS(A332=$F$517,G332/$G$517,A332=$F$518,G332/$G$518,A332=$F$519,G332/$G$519,A332=$F$520,G332/$G$520,A332=$F$521,G332/$G$521,A332=$F$522,G332/$G$522,A332=$F$523,G332/$G$523,A332=$F$524,G332/$G$524),"")</f>
        <v>1.6775399834501284E-2</v>
      </c>
      <c r="I332" s="3" cm="1">
        <f t="array" ref="I332">IFERROR(_xlfn.IFS(A332=$M$3,H332*$S$3,A332=$M$4,H332*$S$4,A332=$M$5,H332*$S$5,A332=$M$6,H332*$S$6,A332=$M$7,H332*$S$7,A332=$M$8,H332*$S$8,A332=$M$9,H332*$S$9,A332=$M$10,H332*$S$10),"")</f>
        <v>2249077.8054853878</v>
      </c>
      <c r="J332" s="3">
        <f t="shared" si="5"/>
        <v>2741193.8054853878</v>
      </c>
      <c r="K332" s="3" t="str">
        <f>IFERROR(VLOOKUP(E332,'GASB Match'!$A$2:$C$58,3,FALSE),"")</f>
        <v>0200625</v>
      </c>
    </row>
    <row r="333" spans="1:11" x14ac:dyDescent="0.2">
      <c r="A333">
        <v>2022</v>
      </c>
      <c r="B333" t="s">
        <v>58</v>
      </c>
      <c r="C333" t="s">
        <v>59</v>
      </c>
      <c r="D333" t="s">
        <v>60</v>
      </c>
      <c r="E333" t="s">
        <v>29</v>
      </c>
      <c r="F333">
        <v>751</v>
      </c>
      <c r="G333" s="3">
        <v>471586</v>
      </c>
      <c r="H333" s="5" cm="1">
        <f t="array" ref="H333">IFERROR(_xlfn.IFS(A333=$F$517,G333/$G$517,A333=$F$518,G333/$G$518,A333=$F$519,G333/$G$519,A333=$F$520,G333/$G$520,A333=$F$521,G333/$G$521,A333=$F$522,G333/$G$522,A333=$F$523,G333/$G$523,A333=$F$524,G333/$G$524),"")</f>
        <v>1.5357453218379145E-2</v>
      </c>
      <c r="I333" s="3" cm="1">
        <f t="array" ref="I333">IFERROR(_xlfn.IFS(A333=$M$3,H333*$S$3,A333=$M$4,H333*$S$4,A333=$M$5,H333*$S$5,A333=$M$6,H333*$S$6,A333=$M$7,H333*$S$7,A333=$M$8,H333*$S$8,A333=$M$9,H333*$S$9,A333=$M$10,H333*$S$10),"")</f>
        <v>2176756.051126597</v>
      </c>
      <c r="J333" s="3">
        <f t="shared" si="5"/>
        <v>2648342.051126597</v>
      </c>
      <c r="K333" s="3" t="str">
        <f>IFERROR(VLOOKUP(E333,'GASB Match'!$A$2:$C$58,3,FALSE),"")</f>
        <v>0200625</v>
      </c>
    </row>
    <row r="334" spans="1:11" x14ac:dyDescent="0.2">
      <c r="A334">
        <v>2023</v>
      </c>
      <c r="B334" t="s">
        <v>58</v>
      </c>
      <c r="C334" t="s">
        <v>59</v>
      </c>
      <c r="D334" t="s">
        <v>60</v>
      </c>
      <c r="E334" t="s">
        <v>29</v>
      </c>
      <c r="F334">
        <v>751</v>
      </c>
      <c r="G334" s="3">
        <v>601189</v>
      </c>
      <c r="H334" s="5" t="str" cm="1">
        <f t="array" ref="H334">IFERROR(_xlfn.IFS(A334=$F$517,G334/$G$517,A334=$F$518,G334/$G$518,A334=$F$519,G334/$G$519,A334=$F$520,G334/$G$520,A334=$F$521,G334/$G$521,A334=$F$522,G334/$G$522,A334=$F$523,G334/$G$523,A334=$F$524,G334/$G$524),"")</f>
        <v/>
      </c>
      <c r="I334" s="3" t="str" cm="1">
        <f t="array" ref="I334">IFERROR(_xlfn.IFS(A334=$M$3,H334*$S$3,A334=$M$4,H334*$S$4,A334=$M$5,H334*$S$5,A334=$M$6,H334*$S$6,A334=$M$7,H334*$S$7,A334=$M$8,H334*$S$8,A334=$M$9,H334*$S$9,A334=$M$10,H334*$S$10),"")</f>
        <v/>
      </c>
      <c r="J334" s="3">
        <f t="shared" si="5"/>
        <v>601189</v>
      </c>
      <c r="K334" s="3" t="str">
        <f>IFERROR(VLOOKUP(E334,'GASB Match'!$A$2:$C$58,3,FALSE),"")</f>
        <v>0200625</v>
      </c>
    </row>
    <row r="335" spans="1:11" x14ac:dyDescent="0.2">
      <c r="A335">
        <v>2015</v>
      </c>
      <c r="B335" t="s">
        <v>58</v>
      </c>
      <c r="C335" t="s">
        <v>59</v>
      </c>
      <c r="D335" t="s">
        <v>60</v>
      </c>
      <c r="E335" t="s">
        <v>15</v>
      </c>
      <c r="F335">
        <v>723</v>
      </c>
      <c r="G335" s="3">
        <v>57</v>
      </c>
      <c r="H335" s="5" cm="1">
        <f t="array" ref="H335">IFERROR(_xlfn.IFS(A335=$F$517,G335/$G$517,A335=$F$518,G335/$G$518,A335=$F$519,G335/$G$519,A335=$F$520,G335/$G$520,A335=$F$521,G335/$G$521,A335=$F$522,G335/$G$522,A335=$F$523,G335/$G$523,A335=$F$524,G335/$G$524),"")</f>
        <v>1.1738883488430415E-6</v>
      </c>
      <c r="I335" s="3" cm="1">
        <f t="array" ref="I335">IFERROR(_xlfn.IFS(A335=$M$3,H335*$S$3,A335=$M$4,H335*$S$4,A335=$M$5,H335*$S$5,A335=$M$6,H335*$S$6,A335=$M$7,H335*$S$7,A335=$M$8,H335*$S$8,A335=$M$9,H335*$S$9,A335=$M$10,H335*$S$10),"")</f>
        <v>1937.5226887801421</v>
      </c>
      <c r="J335" s="3">
        <f t="shared" si="5"/>
        <v>1994.5226887801421</v>
      </c>
      <c r="K335" s="3" t="str">
        <f>IFERROR(VLOOKUP(E335,'GASB Match'!$A$2:$C$58,3,FALSE),"")</f>
        <v>0200630</v>
      </c>
    </row>
    <row r="336" spans="1:11" x14ac:dyDescent="0.2">
      <c r="A336">
        <v>2016</v>
      </c>
      <c r="B336" t="s">
        <v>58</v>
      </c>
      <c r="C336" t="s">
        <v>59</v>
      </c>
      <c r="D336" t="s">
        <v>60</v>
      </c>
      <c r="E336" t="s">
        <v>15</v>
      </c>
      <c r="F336">
        <v>723</v>
      </c>
      <c r="G336" s="3">
        <v>77</v>
      </c>
      <c r="H336" s="5" cm="1">
        <f t="array" ref="H336">IFERROR(_xlfn.IFS(A336=$F$517,G336/$G$517,A336=$F$518,G336/$G$518,A336=$F$519,G336/$G$519,A336=$F$520,G336/$G$520,A336=$F$521,G336/$G$521,A336=$F$522,G336/$G$522,A336=$F$523,G336/$G$523,A336=$F$524,G336/$G$524),"")</f>
        <v>2.2573692331655152E-6</v>
      </c>
      <c r="I336" s="3" cm="1">
        <f t="array" ref="I336">IFERROR(_xlfn.IFS(A336=$M$3,H336*$S$3,A336=$M$4,H336*$S$4,A336=$M$5,H336*$S$5,A336=$M$6,H336*$S$6,A336=$M$7,H336*$S$7,A336=$M$8,H336*$S$8,A336=$M$9,H336*$S$9,A336=$M$10,H336*$S$10),"")</f>
        <v>203.0671889535021</v>
      </c>
      <c r="J336" s="3">
        <f t="shared" si="5"/>
        <v>280.06718895350207</v>
      </c>
      <c r="K336" s="3" t="str">
        <f>IFERROR(VLOOKUP(E336,'GASB Match'!$A$2:$C$58,3,FALSE),"")</f>
        <v>0200630</v>
      </c>
    </row>
    <row r="337" spans="1:11" x14ac:dyDescent="0.2">
      <c r="A337">
        <v>2017</v>
      </c>
      <c r="B337" t="s">
        <v>58</v>
      </c>
      <c r="C337" t="s">
        <v>59</v>
      </c>
      <c r="D337" t="s">
        <v>60</v>
      </c>
      <c r="E337" t="s">
        <v>15</v>
      </c>
      <c r="F337">
        <v>723</v>
      </c>
      <c r="G337" s="3">
        <v>609</v>
      </c>
      <c r="H337" s="5" cm="1">
        <f t="array" ref="H337">IFERROR(_xlfn.IFS(A337=$F$517,G337/$G$517,A337=$F$518,G337/$G$518,A337=$F$519,G337/$G$519,A337=$F$520,G337/$G$520,A337=$F$521,G337/$G$521,A337=$F$522,G337/$G$522,A337=$F$523,G337/$G$523,A337=$F$524,G337/$G$524),"")</f>
        <v>1.6303672143808134E-5</v>
      </c>
      <c r="I337" s="3" cm="1">
        <f t="array" ref="I337">IFERROR(_xlfn.IFS(A337=$M$3,H337*$S$3,A337=$M$4,H337*$S$4,A337=$M$5,H337*$S$5,A337=$M$6,H337*$S$6,A337=$M$7,H337*$S$7,A337=$M$8,H337*$S$8,A337=$M$9,H337*$S$9,A337=$M$10,H337*$S$10),"")</f>
        <v>1890.9037755128375</v>
      </c>
      <c r="J337" s="3">
        <f t="shared" si="5"/>
        <v>2499.9037755128375</v>
      </c>
      <c r="K337" s="3" t="str">
        <f>IFERROR(VLOOKUP(E337,'GASB Match'!$A$2:$C$58,3,FALSE),"")</f>
        <v>0200630</v>
      </c>
    </row>
    <row r="338" spans="1:11" x14ac:dyDescent="0.2">
      <c r="A338">
        <v>2018</v>
      </c>
      <c r="B338" t="s">
        <v>58</v>
      </c>
      <c r="C338" t="s">
        <v>59</v>
      </c>
      <c r="D338" t="s">
        <v>60</v>
      </c>
      <c r="E338" t="s">
        <v>15</v>
      </c>
      <c r="F338">
        <v>723</v>
      </c>
      <c r="G338" s="3">
        <v>821</v>
      </c>
      <c r="H338" s="5" cm="1">
        <f t="array" ref="H338">IFERROR(_xlfn.IFS(A338=$F$517,G338/$G$517,A338=$F$518,G338/$G$518,A338=$F$519,G338/$G$519,A338=$F$520,G338/$G$520,A338=$F$521,G338/$G$521,A338=$F$522,G338/$G$522,A338=$F$523,G338/$G$523,A338=$F$524,G338/$G$524),"")</f>
        <v>2.0246471318715561E-5</v>
      </c>
      <c r="I338" s="3" cm="1">
        <f t="array" ref="I338">IFERROR(_xlfn.IFS(A338=$M$3,H338*$S$3,A338=$M$4,H338*$S$4,A338=$M$5,H338*$S$5,A338=$M$6,H338*$S$6,A338=$M$7,H338*$S$7,A338=$M$8,H338*$S$8,A338=$M$9,H338*$S$9,A338=$M$10,H338*$S$10),"")</f>
        <v>2248.2139525018274</v>
      </c>
      <c r="J338" s="3">
        <f t="shared" si="5"/>
        <v>3069.2139525018274</v>
      </c>
      <c r="K338" s="3" t="str">
        <f>IFERROR(VLOOKUP(E338,'GASB Match'!$A$2:$C$58,3,FALSE),"")</f>
        <v>0200630</v>
      </c>
    </row>
    <row r="339" spans="1:11" x14ac:dyDescent="0.2">
      <c r="A339">
        <v>2019</v>
      </c>
      <c r="B339" t="s">
        <v>58</v>
      </c>
      <c r="C339" t="s">
        <v>59</v>
      </c>
      <c r="D339" t="s">
        <v>60</v>
      </c>
      <c r="E339" t="s">
        <v>15</v>
      </c>
      <c r="F339">
        <v>723</v>
      </c>
      <c r="G339" s="3">
        <v>-343</v>
      </c>
      <c r="H339" s="5" cm="1">
        <f t="array" ref="H339">IFERROR(_xlfn.IFS(A339=$F$517,G339/$G$517,A339=$F$518,G339/$G$518,A339=$F$519,G339/$G$519,A339=$F$520,G339/$G$520,A339=$F$521,G339/$G$521,A339=$F$522,G339/$G$522,A339=$F$523,G339/$G$523,A339=$F$524,G339/$G$524),"")</f>
        <v>-9.3193332856589216E-6</v>
      </c>
      <c r="I339" s="3" cm="1">
        <f t="array" ref="I339">IFERROR(_xlfn.IFS(A339=$M$3,H339*$S$3,A339=$M$4,H339*$S$4,A339=$M$5,H339*$S$5,A339=$M$6,H339*$S$6,A339=$M$7,H339*$S$7,A339=$M$8,H339*$S$8,A339=$M$9,H339*$S$9,A339=$M$10,H339*$S$10),"")</f>
        <v>-1186.9546659266266</v>
      </c>
      <c r="J339" s="3">
        <f t="shared" si="5"/>
        <v>-1529.9546659266266</v>
      </c>
      <c r="K339" s="3" t="str">
        <f>IFERROR(VLOOKUP(E339,'GASB Match'!$A$2:$C$58,3,FALSE),"")</f>
        <v>0200630</v>
      </c>
    </row>
    <row r="340" spans="1:11" x14ac:dyDescent="0.2">
      <c r="A340">
        <v>2020</v>
      </c>
      <c r="B340" t="s">
        <v>58</v>
      </c>
      <c r="C340" t="s">
        <v>59</v>
      </c>
      <c r="D340" t="s">
        <v>60</v>
      </c>
      <c r="E340" t="s">
        <v>15</v>
      </c>
      <c r="F340">
        <v>723</v>
      </c>
      <c r="G340" s="3">
        <v>1349</v>
      </c>
      <c r="H340" s="5" cm="1">
        <f t="array" ref="H340">IFERROR(_xlfn.IFS(A340=$F$517,G340/$G$517,A340=$F$518,G340/$G$518,A340=$F$519,G340/$G$519,A340=$F$520,G340/$G$520,A340=$F$521,G340/$G$521,A340=$F$522,G340/$G$522,A340=$F$523,G340/$G$523,A340=$F$524,G340/$G$524),"")</f>
        <v>3.9543383840796987E-5</v>
      </c>
      <c r="I340" s="3" cm="1">
        <f t="array" ref="I340">IFERROR(_xlfn.IFS(A340=$M$3,H340*$S$3,A340=$M$4,H340*$S$4,A340=$M$5,H340*$S$5,A340=$M$6,H340*$S$6,A340=$M$7,H340*$S$7,A340=$M$8,H340*$S$8,A340=$M$9,H340*$S$9,A340=$M$10,H340*$S$10),"")</f>
        <v>5544.7382862618542</v>
      </c>
      <c r="J340" s="3">
        <f t="shared" si="5"/>
        <v>6893.7382862618542</v>
      </c>
      <c r="K340" s="3" t="str">
        <f>IFERROR(VLOOKUP(E340,'GASB Match'!$A$2:$C$58,3,FALSE),"")</f>
        <v>0200630</v>
      </c>
    </row>
    <row r="341" spans="1:11" x14ac:dyDescent="0.2">
      <c r="A341">
        <v>2021</v>
      </c>
      <c r="B341" t="s">
        <v>58</v>
      </c>
      <c r="C341" t="s">
        <v>59</v>
      </c>
      <c r="D341" t="s">
        <v>60</v>
      </c>
      <c r="E341" t="s">
        <v>15</v>
      </c>
      <c r="F341">
        <v>723</v>
      </c>
      <c r="G341" s="3">
        <v>7753</v>
      </c>
      <c r="H341" s="5" cm="1">
        <f t="array" ref="H341">IFERROR(_xlfn.IFS(A341=$F$517,G341/$G$517,A341=$F$518,G341/$G$518,A341=$F$519,G341/$G$519,A341=$F$520,G341/$G$520,A341=$F$521,G341/$G$521,A341=$F$522,G341/$G$522,A341=$F$523,G341/$G$523,A341=$F$524,G341/$G$524),"")</f>
        <v>2.6428662127808982E-4</v>
      </c>
      <c r="I341" s="3" cm="1">
        <f t="array" ref="I341">IFERROR(_xlfn.IFS(A341=$M$3,H341*$S$3,A341=$M$4,H341*$S$4,A341=$M$5,H341*$S$5,A341=$M$6,H341*$S$6,A341=$M$7,H341*$S$7,A341=$M$8,H341*$S$8,A341=$M$9,H341*$S$9,A341=$M$10,H341*$S$10),"")</f>
        <v>35432.906521893638</v>
      </c>
      <c r="J341" s="3">
        <f t="shared" si="5"/>
        <v>43185.906521893638</v>
      </c>
      <c r="K341" s="3" t="str">
        <f>IFERROR(VLOOKUP(E341,'GASB Match'!$A$2:$C$58,3,FALSE),"")</f>
        <v>0200630</v>
      </c>
    </row>
    <row r="342" spans="1:11" x14ac:dyDescent="0.2">
      <c r="A342">
        <v>2022</v>
      </c>
      <c r="B342" t="s">
        <v>58</v>
      </c>
      <c r="C342" t="s">
        <v>59</v>
      </c>
      <c r="D342" t="s">
        <v>60</v>
      </c>
      <c r="E342" t="s">
        <v>15</v>
      </c>
      <c r="F342">
        <v>723</v>
      </c>
      <c r="G342" s="3">
        <v>6134</v>
      </c>
      <c r="H342" s="5" cm="1">
        <f t="array" ref="H342">IFERROR(_xlfn.IFS(A342=$F$517,G342/$G$517,A342=$F$518,G342/$G$518,A342=$F$519,G342/$G$519,A342=$F$520,G342/$G$520,A342=$F$521,G342/$G$521,A342=$F$522,G342/$G$522,A342=$F$523,G342/$G$523,A342=$F$524,G342/$G$524),"")</f>
        <v>1.9975702849859341E-4</v>
      </c>
      <c r="I342" s="3" cm="1">
        <f t="array" ref="I342">IFERROR(_xlfn.IFS(A342=$M$3,H342*$S$3,A342=$M$4,H342*$S$4,A342=$M$5,H342*$S$5,A342=$M$6,H342*$S$6,A342=$M$7,H342*$S$7,A342=$M$8,H342*$S$8,A342=$M$9,H342*$S$9,A342=$M$10,H342*$S$10),"")</f>
        <v>28313.439367603245</v>
      </c>
      <c r="J342" s="3">
        <f t="shared" si="5"/>
        <v>34447.439367603249</v>
      </c>
      <c r="K342" s="3" t="str">
        <f>IFERROR(VLOOKUP(E342,'GASB Match'!$A$2:$C$58,3,FALSE),"")</f>
        <v>0200630</v>
      </c>
    </row>
    <row r="343" spans="1:11" x14ac:dyDescent="0.2">
      <c r="A343">
        <v>2023</v>
      </c>
      <c r="B343" t="s">
        <v>58</v>
      </c>
      <c r="C343" t="s">
        <v>59</v>
      </c>
      <c r="D343" t="s">
        <v>60</v>
      </c>
      <c r="E343" t="s">
        <v>15</v>
      </c>
      <c r="F343">
        <v>723</v>
      </c>
      <c r="G343" s="3">
        <v>-100</v>
      </c>
      <c r="H343" s="5" t="str" cm="1">
        <f t="array" ref="H343">IFERROR(_xlfn.IFS(A343=$F$517,G343/$G$517,A343=$F$518,G343/$G$518,A343=$F$519,G343/$G$519,A343=$F$520,G343/$G$520,A343=$F$521,G343/$G$521,A343=$F$522,G343/$G$522,A343=$F$523,G343/$G$523,A343=$F$524,G343/$G$524),"")</f>
        <v/>
      </c>
      <c r="I343" s="3" t="str" cm="1">
        <f t="array" ref="I343">IFERROR(_xlfn.IFS(A343=$M$3,H343*$S$3,A343=$M$4,H343*$S$4,A343=$M$5,H343*$S$5,A343=$M$6,H343*$S$6,A343=$M$7,H343*$S$7,A343=$M$8,H343*$S$8,A343=$M$9,H343*$S$9,A343=$M$10,H343*$S$10),"")</f>
        <v/>
      </c>
      <c r="J343" s="3">
        <f t="shared" si="5"/>
        <v>-100</v>
      </c>
      <c r="K343" s="3" t="str">
        <f>IFERROR(VLOOKUP(E343,'GASB Match'!$A$2:$C$58,3,FALSE),"")</f>
        <v>0200630</v>
      </c>
    </row>
    <row r="344" spans="1:11" x14ac:dyDescent="0.2">
      <c r="A344">
        <v>2015</v>
      </c>
      <c r="B344" t="s">
        <v>58</v>
      </c>
      <c r="C344" t="s">
        <v>59</v>
      </c>
      <c r="D344" t="s">
        <v>60</v>
      </c>
      <c r="E344" t="s">
        <v>16</v>
      </c>
      <c r="F344">
        <v>724</v>
      </c>
      <c r="G344" s="3">
        <v>178212</v>
      </c>
      <c r="H344" s="5" cm="1">
        <f t="array" ref="H344">IFERROR(_xlfn.IFS(A344=$F$517,G344/$G$517,A344=$F$518,G344/$G$518,A344=$F$519,G344/$G$519,A344=$F$520,G344/$G$520,A344=$F$521,G344/$G$521,A344=$F$522,G344/$G$522,A344=$F$523,G344/$G$523,A344=$F$524,G344/$G$524),"")</f>
        <v>3.6701928144564225E-3</v>
      </c>
      <c r="I344" s="3" cm="1">
        <f t="array" ref="I344">IFERROR(_xlfn.IFS(A344=$M$3,H344*$S$3,A344=$M$4,H344*$S$4,A344=$M$5,H344*$S$5,A344=$M$6,H344*$S$6,A344=$M$7,H344*$S$7,A344=$M$8,H344*$S$8,A344=$M$9,H344*$S$9,A344=$M$10,H344*$S$10),"")</f>
        <v>6057715.6739102919</v>
      </c>
      <c r="J344" s="3">
        <f t="shared" si="5"/>
        <v>6235927.6739102919</v>
      </c>
      <c r="K344" s="3" t="str">
        <f>IFERROR(VLOOKUP(E344,'GASB Match'!$A$2:$C$58,3,FALSE),"")</f>
        <v>0200660</v>
      </c>
    </row>
    <row r="345" spans="1:11" x14ac:dyDescent="0.2">
      <c r="A345">
        <v>2016</v>
      </c>
      <c r="B345" t="s">
        <v>58</v>
      </c>
      <c r="C345" t="s">
        <v>59</v>
      </c>
      <c r="D345" t="s">
        <v>60</v>
      </c>
      <c r="E345" t="s">
        <v>16</v>
      </c>
      <c r="F345">
        <v>724</v>
      </c>
      <c r="G345" s="3">
        <v>173758</v>
      </c>
      <c r="H345" s="5" cm="1">
        <f t="array" ref="H345">IFERROR(_xlfn.IFS(A345=$F$517,G345/$G$517,A345=$F$518,G345/$G$518,A345=$F$519,G345/$G$519,A345=$F$520,G345/$G$520,A345=$F$521,G345/$G$521,A345=$F$522,G345/$G$522,A345=$F$523,G345/$G$523,A345=$F$524,G345/$G$524),"")</f>
        <v>5.0939735482645916E-3</v>
      </c>
      <c r="I345" s="3" cm="1">
        <f t="array" ref="I345">IFERROR(_xlfn.IFS(A345=$M$3,H345*$S$3,A345=$M$4,H345*$S$4,A345=$M$5,H345*$S$5,A345=$M$6,H345*$S$6,A345=$M$7,H345*$S$7,A345=$M$8,H345*$S$8,A345=$M$9,H345*$S$9,A345=$M$10,H345*$S$10),"")</f>
        <v>458240.89114522876</v>
      </c>
      <c r="J345" s="3">
        <f t="shared" si="5"/>
        <v>631998.89114522876</v>
      </c>
      <c r="K345" s="3" t="str">
        <f>IFERROR(VLOOKUP(E345,'GASB Match'!$A$2:$C$58,3,FALSE),"")</f>
        <v>0200660</v>
      </c>
    </row>
    <row r="346" spans="1:11" x14ac:dyDescent="0.2">
      <c r="A346">
        <v>2017</v>
      </c>
      <c r="B346" t="s">
        <v>58</v>
      </c>
      <c r="C346" t="s">
        <v>59</v>
      </c>
      <c r="D346" t="s">
        <v>60</v>
      </c>
      <c r="E346" t="s">
        <v>16</v>
      </c>
      <c r="F346">
        <v>724</v>
      </c>
      <c r="G346" s="3">
        <v>144372</v>
      </c>
      <c r="H346" s="5" cm="1">
        <f t="array" ref="H346">IFERROR(_xlfn.IFS(A346=$F$517,G346/$G$517,A346=$F$518,G346/$G$518,A346=$F$519,G346/$G$519,A346=$F$520,G346/$G$520,A346=$F$521,G346/$G$521,A346=$F$522,G346/$G$522,A346=$F$523,G346/$G$523,A346=$F$524,G346/$G$524),"")</f>
        <v>3.8650143756089783E-3</v>
      </c>
      <c r="I346" s="3" cm="1">
        <f t="array" ref="I346">IFERROR(_xlfn.IFS(A346=$M$3,H346*$S$3,A346=$M$4,H346*$S$4,A346=$M$5,H346*$S$5,A346=$M$6,H346*$S$6,A346=$M$7,H346*$S$7,A346=$M$8,H346*$S$8,A346=$M$9,H346*$S$9,A346=$M$10,H346*$S$10),"")</f>
        <v>448265.28715655068</v>
      </c>
      <c r="J346" s="3">
        <f t="shared" si="5"/>
        <v>592637.28715655068</v>
      </c>
      <c r="K346" s="3" t="str">
        <f>IFERROR(VLOOKUP(E346,'GASB Match'!$A$2:$C$58,3,FALSE),"")</f>
        <v>0200660</v>
      </c>
    </row>
    <row r="347" spans="1:11" x14ac:dyDescent="0.2">
      <c r="A347">
        <v>2018</v>
      </c>
      <c r="B347" t="s">
        <v>58</v>
      </c>
      <c r="C347" t="s">
        <v>59</v>
      </c>
      <c r="D347" t="s">
        <v>60</v>
      </c>
      <c r="E347" t="s">
        <v>16</v>
      </c>
      <c r="F347">
        <v>724</v>
      </c>
      <c r="G347" s="3">
        <v>252002</v>
      </c>
      <c r="H347" s="5" cm="1">
        <f t="array" ref="H347">IFERROR(_xlfn.IFS(A347=$F$517,G347/$G$517,A347=$F$518,G347/$G$518,A347=$F$519,G347/$G$519,A347=$F$520,G347/$G$520,A347=$F$521,G347/$G$521,A347=$F$522,G347/$G$522,A347=$F$523,G347/$G$523,A347=$F$524,G347/$G$524),"")</f>
        <v>6.2145569613385613E-3</v>
      </c>
      <c r="I347" s="3" cm="1">
        <f t="array" ref="I347">IFERROR(_xlfn.IFS(A347=$M$3,H347*$S$3,A347=$M$4,H347*$S$4,A347=$M$5,H347*$S$5,A347=$M$6,H347*$S$6,A347=$M$7,H347*$S$7,A347=$M$8,H347*$S$8,A347=$M$9,H347*$S$9,A347=$M$10,H347*$S$10),"")</f>
        <v>690078.45610032347</v>
      </c>
      <c r="J347" s="3">
        <f t="shared" si="5"/>
        <v>942080.45610032347</v>
      </c>
      <c r="K347" s="3" t="str">
        <f>IFERROR(VLOOKUP(E347,'GASB Match'!$A$2:$C$58,3,FALSE),"")</f>
        <v>0200660</v>
      </c>
    </row>
    <row r="348" spans="1:11" x14ac:dyDescent="0.2">
      <c r="A348">
        <v>2019</v>
      </c>
      <c r="B348" t="s">
        <v>58</v>
      </c>
      <c r="C348" t="s">
        <v>59</v>
      </c>
      <c r="D348" t="s">
        <v>60</v>
      </c>
      <c r="E348" t="s">
        <v>16</v>
      </c>
      <c r="F348">
        <v>724</v>
      </c>
      <c r="G348" s="3">
        <v>192576</v>
      </c>
      <c r="H348" s="5" cm="1">
        <f t="array" ref="H348">IFERROR(_xlfn.IFS(A348=$F$517,G348/$G$517,A348=$F$518,G348/$G$518,A348=$F$519,G348/$G$519,A348=$F$520,G348/$G$520,A348=$F$521,G348/$G$521,A348=$F$522,G348/$G$522,A348=$F$523,G348/$G$523,A348=$F$524,G348/$G$524),"")</f>
        <v>5.2323029936415522E-3</v>
      </c>
      <c r="I348" s="3" cm="1">
        <f t="array" ref="I348">IFERROR(_xlfn.IFS(A348=$M$3,H348*$S$3,A348=$M$4,H348*$S$4,A348=$M$5,H348*$S$5,A348=$M$6,H348*$S$6,A348=$M$7,H348*$S$7,A348=$M$8,H348*$S$8,A348=$M$9,H348*$S$9,A348=$M$10,H348*$S$10),"")</f>
        <v>666411.02549704385</v>
      </c>
      <c r="J348" s="3">
        <f t="shared" si="5"/>
        <v>858987.02549704385</v>
      </c>
      <c r="K348" s="3" t="str">
        <f>IFERROR(VLOOKUP(E348,'GASB Match'!$A$2:$C$58,3,FALSE),"")</f>
        <v>0200660</v>
      </c>
    </row>
    <row r="349" spans="1:11" x14ac:dyDescent="0.2">
      <c r="A349">
        <v>2020</v>
      </c>
      <c r="B349" t="s">
        <v>58</v>
      </c>
      <c r="C349" t="s">
        <v>59</v>
      </c>
      <c r="D349" t="s">
        <v>60</v>
      </c>
      <c r="E349" t="s">
        <v>16</v>
      </c>
      <c r="F349">
        <v>724</v>
      </c>
      <c r="G349" s="3">
        <v>174117</v>
      </c>
      <c r="H349" s="5" cm="1">
        <f t="array" ref="H349">IFERROR(_xlfn.IFS(A349=$F$517,G349/$G$517,A349=$F$518,G349/$G$518,A349=$F$519,G349/$G$519,A349=$F$520,G349/$G$520,A349=$F$521,G349/$G$521,A349=$F$522,G349/$G$522,A349=$F$523,G349/$G$523,A349=$F$524,G349/$G$524),"")</f>
        <v>5.1039105739125639E-3</v>
      </c>
      <c r="I349" s="3" cm="1">
        <f t="array" ref="I349">IFERROR(_xlfn.IFS(A349=$M$3,H349*$S$3,A349=$M$4,H349*$S$4,A349=$M$5,H349*$S$5,A349=$M$6,H349*$S$6,A349=$M$7,H349*$S$7,A349=$M$8,H349*$S$8,A349=$M$9,H349*$S$9,A349=$M$10,H349*$S$10),"")</f>
        <v>715665.82371316175</v>
      </c>
      <c r="J349" s="3">
        <f t="shared" si="5"/>
        <v>889782.82371316175</v>
      </c>
      <c r="K349" s="3" t="str">
        <f>IFERROR(VLOOKUP(E349,'GASB Match'!$A$2:$C$58,3,FALSE),"")</f>
        <v>0200660</v>
      </c>
    </row>
    <row r="350" spans="1:11" x14ac:dyDescent="0.2">
      <c r="A350">
        <v>2021</v>
      </c>
      <c r="B350" t="s">
        <v>58</v>
      </c>
      <c r="C350" t="s">
        <v>59</v>
      </c>
      <c r="D350" t="s">
        <v>60</v>
      </c>
      <c r="E350" t="s">
        <v>16</v>
      </c>
      <c r="F350">
        <v>724</v>
      </c>
      <c r="G350" s="3">
        <v>136268</v>
      </c>
      <c r="H350" s="5" cm="1">
        <f t="array" ref="H350">IFERROR(_xlfn.IFS(A350=$F$517,G350/$G$517,A350=$F$518,G350/$G$518,A350=$F$519,G350/$G$519,A350=$F$520,G350/$G$520,A350=$F$521,G350/$G$521,A350=$F$522,G350/$G$522,A350=$F$523,G350/$G$523,A350=$F$524,G350/$G$524),"")</f>
        <v>4.6451450159064548E-3</v>
      </c>
      <c r="I350" s="3" cm="1">
        <f t="array" ref="I350">IFERROR(_xlfn.IFS(A350=$M$3,H350*$S$3,A350=$M$4,H350*$S$4,A350=$M$5,H350*$S$5,A350=$M$6,H350*$S$6,A350=$M$7,H350*$S$7,A350=$M$8,H350*$S$8,A350=$M$9,H350*$S$9,A350=$M$10,H350*$S$10),"")</f>
        <v>622774.57834714337</v>
      </c>
      <c r="J350" s="3">
        <f t="shared" si="5"/>
        <v>759042.57834714337</v>
      </c>
      <c r="K350" s="3" t="str">
        <f>IFERROR(VLOOKUP(E350,'GASB Match'!$A$2:$C$58,3,FALSE),"")</f>
        <v>0200660</v>
      </c>
    </row>
    <row r="351" spans="1:11" x14ac:dyDescent="0.2">
      <c r="A351">
        <v>2022</v>
      </c>
      <c r="B351" t="s">
        <v>58</v>
      </c>
      <c r="C351" t="s">
        <v>59</v>
      </c>
      <c r="D351" t="s">
        <v>60</v>
      </c>
      <c r="E351" t="s">
        <v>16</v>
      </c>
      <c r="F351">
        <v>724</v>
      </c>
      <c r="G351" s="3">
        <v>130013</v>
      </c>
      <c r="H351" s="5" cm="1">
        <f t="array" ref="H351">IFERROR(_xlfn.IFS(A351=$F$517,G351/$G$517,A351=$F$518,G351/$G$518,A351=$F$519,G351/$G$519,A351=$F$520,G351/$G$520,A351=$F$521,G351/$G$521,A351=$F$522,G351/$G$522,A351=$F$523,G351/$G$523,A351=$F$524,G351/$G$524),"")</f>
        <v>4.2339436821303596E-3</v>
      </c>
      <c r="I351" s="3" cm="1">
        <f t="array" ref="I351">IFERROR(_xlfn.IFS(A351=$M$3,H351*$S$3,A351=$M$4,H351*$S$4,A351=$M$5,H351*$S$5,A351=$M$6,H351*$S$6,A351=$M$7,H351*$S$7,A351=$M$8,H351*$S$8,A351=$M$9,H351*$S$9,A351=$M$10,H351*$S$10),"")</f>
        <v>600116.59479951102</v>
      </c>
      <c r="J351" s="3">
        <f t="shared" si="5"/>
        <v>730129.59479951102</v>
      </c>
      <c r="K351" s="3" t="str">
        <f>IFERROR(VLOOKUP(E351,'GASB Match'!$A$2:$C$58,3,FALSE),"")</f>
        <v>0200660</v>
      </c>
    </row>
    <row r="352" spans="1:11" x14ac:dyDescent="0.2">
      <c r="A352">
        <v>2023</v>
      </c>
      <c r="B352" t="s">
        <v>58</v>
      </c>
      <c r="C352" t="s">
        <v>59</v>
      </c>
      <c r="D352" t="s">
        <v>60</v>
      </c>
      <c r="E352" t="s">
        <v>16</v>
      </c>
      <c r="F352">
        <v>724</v>
      </c>
      <c r="G352" s="3">
        <v>200943</v>
      </c>
      <c r="H352" s="5" t="str" cm="1">
        <f t="array" ref="H352">IFERROR(_xlfn.IFS(A352=$F$517,G352/$G$517,A352=$F$518,G352/$G$518,A352=$F$519,G352/$G$519,A352=$F$520,G352/$G$520,A352=$F$521,G352/$G$521,A352=$F$522,G352/$G$522,A352=$F$523,G352/$G$523,A352=$F$524,G352/$G$524),"")</f>
        <v/>
      </c>
      <c r="I352" s="3" t="str" cm="1">
        <f t="array" ref="I352">IFERROR(_xlfn.IFS(A352=$M$3,H352*$S$3,A352=$M$4,H352*$S$4,A352=$M$5,H352*$S$5,A352=$M$6,H352*$S$6,A352=$M$7,H352*$S$7,A352=$M$8,H352*$S$8,A352=$M$9,H352*$S$9,A352=$M$10,H352*$S$10),"")</f>
        <v/>
      </c>
      <c r="J352" s="3">
        <f t="shared" si="5"/>
        <v>200943</v>
      </c>
      <c r="K352" s="3" t="str">
        <f>IFERROR(VLOOKUP(E352,'GASB Match'!$A$2:$C$58,3,FALSE),"")</f>
        <v>0200660</v>
      </c>
    </row>
    <row r="353" spans="1:11" x14ac:dyDescent="0.2">
      <c r="A353">
        <v>2015</v>
      </c>
      <c r="B353" t="s">
        <v>58</v>
      </c>
      <c r="C353" t="s">
        <v>59</v>
      </c>
      <c r="D353" t="s">
        <v>60</v>
      </c>
      <c r="E353" t="s">
        <v>37</v>
      </c>
      <c r="F353">
        <v>759</v>
      </c>
      <c r="G353" s="3">
        <v>16079</v>
      </c>
      <c r="H353" s="5" cm="1">
        <f t="array" ref="H353">IFERROR(_xlfn.IFS(A353=$F$517,G353/$G$517,A353=$F$518,G353/$G$518,A353=$F$519,G353/$G$519,A353=$F$520,G353/$G$520,A353=$F$521,G353/$G$521,A353=$F$522,G353/$G$522,A353=$F$523,G353/$G$523,A353=$F$524,G353/$G$524),"")</f>
        <v>3.311394870359169E-4</v>
      </c>
      <c r="I353" s="3" cm="1">
        <f t="array" ref="I353">IFERROR(_xlfn.IFS(A353=$M$3,H353*$S$3,A353=$M$4,H353*$S$4,A353=$M$5,H353*$S$5,A353=$M$6,H353*$S$6,A353=$M$7,H353*$S$7,A353=$M$8,H353*$S$8,A353=$M$9,H353*$S$9,A353=$M$10,H353*$S$10),"")</f>
        <v>546551.35636659479</v>
      </c>
      <c r="J353" s="3">
        <f t="shared" si="5"/>
        <v>562630.35636659479</v>
      </c>
      <c r="K353" s="3" t="str">
        <f>IFERROR(VLOOKUP(E353,'GASB Match'!$A$2:$C$58,3,FALSE),"")</f>
        <v>0200670</v>
      </c>
    </row>
    <row r="354" spans="1:11" x14ac:dyDescent="0.2">
      <c r="A354">
        <v>2016</v>
      </c>
      <c r="B354" t="s">
        <v>58</v>
      </c>
      <c r="C354" t="s">
        <v>59</v>
      </c>
      <c r="D354" t="s">
        <v>60</v>
      </c>
      <c r="E354" t="s">
        <v>37</v>
      </c>
      <c r="F354">
        <v>759</v>
      </c>
      <c r="G354" s="3">
        <v>14521</v>
      </c>
      <c r="H354" s="5" cm="1">
        <f t="array" ref="H354">IFERROR(_xlfn.IFS(A354=$F$517,G354/$G$517,A354=$F$518,G354/$G$518,A354=$F$519,G354/$G$519,A354=$F$520,G354/$G$520,A354=$F$521,G354/$G$521,A354=$F$522,G354/$G$522,A354=$F$523,G354/$G$523,A354=$F$524,G354/$G$524),"")</f>
        <v>4.2570465759475903E-4</v>
      </c>
      <c r="I354" s="3" cm="1">
        <f t="array" ref="I354">IFERROR(_xlfn.IFS(A354=$M$3,H354*$S$3,A354=$M$4,H354*$S$4,A354=$M$5,H354*$S$5,A354=$M$6,H354*$S$6,A354=$M$7,H354*$S$7,A354=$M$8,H354*$S$8,A354=$M$9,H354*$S$9,A354=$M$10,H354*$S$10),"")</f>
        <v>38295.307153166286</v>
      </c>
      <c r="J354" s="3">
        <f t="shared" si="5"/>
        <v>52816.307153166286</v>
      </c>
      <c r="K354" s="3" t="str">
        <f>IFERROR(VLOOKUP(E354,'GASB Match'!$A$2:$C$58,3,FALSE),"")</f>
        <v>0200670</v>
      </c>
    </row>
    <row r="355" spans="1:11" x14ac:dyDescent="0.2">
      <c r="A355">
        <v>2017</v>
      </c>
      <c r="B355" t="s">
        <v>58</v>
      </c>
      <c r="C355" t="s">
        <v>59</v>
      </c>
      <c r="D355" t="s">
        <v>60</v>
      </c>
      <c r="E355" t="s">
        <v>37</v>
      </c>
      <c r="F355">
        <v>759</v>
      </c>
      <c r="G355" s="3">
        <v>17772</v>
      </c>
      <c r="H355" s="5" cm="1">
        <f t="array" ref="H355">IFERROR(_xlfn.IFS(A355=$F$517,G355/$G$517,A355=$F$518,G355/$G$518,A355=$F$519,G355/$G$519,A355=$F$520,G355/$G$520,A355=$F$521,G355/$G$521,A355=$F$522,G355/$G$522,A355=$F$523,G355/$G$523,A355=$F$524,G355/$G$524),"")</f>
        <v>4.757780974380265E-4</v>
      </c>
      <c r="I355" s="3" cm="1">
        <f t="array" ref="I355">IFERROR(_xlfn.IFS(A355=$M$3,H355*$S$3,A355=$M$4,H355*$S$4,A355=$M$5,H355*$S$5,A355=$M$6,H355*$S$6,A355=$M$7,H355*$S$7,A355=$M$8,H355*$S$8,A355=$M$9,H355*$S$9,A355=$M$10,H355*$S$10),"")</f>
        <v>55180.856976049501</v>
      </c>
      <c r="J355" s="3">
        <f t="shared" si="5"/>
        <v>72952.856976049501</v>
      </c>
      <c r="K355" s="3" t="str">
        <f>IFERROR(VLOOKUP(E355,'GASB Match'!$A$2:$C$58,3,FALSE),"")</f>
        <v>0200670</v>
      </c>
    </row>
    <row r="356" spans="1:11" x14ac:dyDescent="0.2">
      <c r="A356">
        <v>2018</v>
      </c>
      <c r="B356" t="s">
        <v>58</v>
      </c>
      <c r="C356" t="s">
        <v>59</v>
      </c>
      <c r="D356" t="s">
        <v>60</v>
      </c>
      <c r="E356" t="s">
        <v>37</v>
      </c>
      <c r="F356">
        <v>759</v>
      </c>
      <c r="G356" s="3">
        <v>18914</v>
      </c>
      <c r="H356" s="5" cm="1">
        <f t="array" ref="H356">IFERROR(_xlfn.IFS(A356=$F$517,G356/$G$517,A356=$F$518,G356/$G$518,A356=$F$519,G356/$G$519,A356=$F$520,G356/$G$520,A356=$F$521,G356/$G$521,A356=$F$522,G356/$G$522,A356=$F$523,G356/$G$523,A356=$F$524,G356/$G$524),"")</f>
        <v>4.6643332341313778E-4</v>
      </c>
      <c r="I356" s="3" cm="1">
        <f t="array" ref="I356">IFERROR(_xlfn.IFS(A356=$M$3,H356*$S$3,A356=$M$4,H356*$S$4,A356=$M$5,H356*$S$5,A356=$M$6,H356*$S$6,A356=$M$7,H356*$S$7,A356=$M$8,H356*$S$8,A356=$M$9,H356*$S$9,A356=$M$10,H356*$S$10),"")</f>
        <v>51793.810837539058</v>
      </c>
      <c r="J356" s="3">
        <f t="shared" si="5"/>
        <v>70707.810837539058</v>
      </c>
      <c r="K356" s="3" t="str">
        <f>IFERROR(VLOOKUP(E356,'GASB Match'!$A$2:$C$58,3,FALSE),"")</f>
        <v>0200670</v>
      </c>
    </row>
    <row r="357" spans="1:11" x14ac:dyDescent="0.2">
      <c r="A357">
        <v>2019</v>
      </c>
      <c r="B357" t="s">
        <v>58</v>
      </c>
      <c r="C357" t="s">
        <v>59</v>
      </c>
      <c r="D357" t="s">
        <v>60</v>
      </c>
      <c r="E357" t="s">
        <v>37</v>
      </c>
      <c r="F357">
        <v>759</v>
      </c>
      <c r="G357" s="3">
        <v>9192</v>
      </c>
      <c r="H357" s="5" cm="1">
        <f t="array" ref="H357">IFERROR(_xlfn.IFS(A357=$F$517,G357/$G$517,A357=$F$518,G357/$G$518,A357=$F$519,G357/$G$519,A357=$F$520,G357/$G$520,A357=$F$521,G357/$G$521,A357=$F$522,G357/$G$522,A357=$F$523,G357/$G$523,A357=$F$524,G357/$G$524),"")</f>
        <v>2.4974726402850379E-4</v>
      </c>
      <c r="I357" s="3" cm="1">
        <f t="array" ref="I357">IFERROR(_xlfn.IFS(A357=$M$3,H357*$S$3,A357=$M$4,H357*$S$4,A357=$M$5,H357*$S$5,A357=$M$6,H357*$S$6,A357=$M$7,H357*$S$7,A357=$M$8,H357*$S$8,A357=$M$9,H357*$S$9,A357=$M$10,H357*$S$10),"")</f>
        <v>31809.000843141548</v>
      </c>
      <c r="J357" s="3">
        <f t="shared" si="5"/>
        <v>41001.000843141548</v>
      </c>
      <c r="K357" s="3" t="str">
        <f>IFERROR(VLOOKUP(E357,'GASB Match'!$A$2:$C$58,3,FALSE),"")</f>
        <v>0200670</v>
      </c>
    </row>
    <row r="358" spans="1:11" x14ac:dyDescent="0.2">
      <c r="A358">
        <v>2020</v>
      </c>
      <c r="B358" t="s">
        <v>58</v>
      </c>
      <c r="C358" t="s">
        <v>59</v>
      </c>
      <c r="D358" t="s">
        <v>60</v>
      </c>
      <c r="E358" t="s">
        <v>37</v>
      </c>
      <c r="F358">
        <v>759</v>
      </c>
      <c r="G358" s="3">
        <v>11744</v>
      </c>
      <c r="H358" s="5" cm="1">
        <f t="array" ref="H358">IFERROR(_xlfn.IFS(A358=$F$517,G358/$G$517,A358=$F$518,G358/$G$518,A358=$F$519,G358/$G$519,A358=$F$520,G358/$G$520,A358=$F$521,G358/$G$521,A358=$F$522,G358/$G$522,A358=$F$523,G358/$G$523,A358=$F$524,G358/$G$524),"")</f>
        <v>3.4425315035309107E-4</v>
      </c>
      <c r="I358" s="3" cm="1">
        <f t="array" ref="I358">IFERROR(_xlfn.IFS(A358=$M$3,H358*$S$3,A358=$M$4,H358*$S$4,A358=$M$5,H358*$S$5,A358=$M$6,H358*$S$6,A358=$M$7,H358*$S$7,A358=$M$8,H358*$S$8,A358=$M$9,H358*$S$9,A358=$M$10,H358*$S$10),"")</f>
        <v>48270.87207847237</v>
      </c>
      <c r="J358" s="3">
        <f t="shared" si="5"/>
        <v>60014.87207847237</v>
      </c>
      <c r="K358" s="3" t="str">
        <f>IFERROR(VLOOKUP(E358,'GASB Match'!$A$2:$C$58,3,FALSE),"")</f>
        <v>0200670</v>
      </c>
    </row>
    <row r="359" spans="1:11" x14ac:dyDescent="0.2">
      <c r="A359">
        <v>2021</v>
      </c>
      <c r="B359" t="s">
        <v>58</v>
      </c>
      <c r="C359" t="s">
        <v>59</v>
      </c>
      <c r="D359" t="s">
        <v>60</v>
      </c>
      <c r="E359" t="s">
        <v>37</v>
      </c>
      <c r="F359">
        <v>759</v>
      </c>
      <c r="G359" s="3">
        <v>14522</v>
      </c>
      <c r="H359" s="5" cm="1">
        <f t="array" ref="H359">IFERROR(_xlfn.IFS(A359=$F$517,G359/$G$517,A359=$F$518,G359/$G$518,A359=$F$519,G359/$G$519,A359=$F$520,G359/$G$520,A359=$F$521,G359/$G$521,A359=$F$522,G359/$G$522,A359=$F$523,G359/$G$523,A359=$F$524,G359/$G$524),"")</f>
        <v>4.9503035137371607E-4</v>
      </c>
      <c r="I359" s="3" cm="1">
        <f t="array" ref="I359">IFERROR(_xlfn.IFS(A359=$M$3,H359*$S$3,A359=$M$4,H359*$S$4,A359=$M$5,H359*$S$5,A359=$M$6,H359*$S$6,A359=$M$7,H359*$S$7,A359=$M$8,H359*$S$8,A359=$M$9,H359*$S$9,A359=$M$10,H359*$S$10),"")</f>
        <v>66368.71772358306</v>
      </c>
      <c r="J359" s="3">
        <f t="shared" si="5"/>
        <v>80890.71772358306</v>
      </c>
      <c r="K359" s="3" t="str">
        <f>IFERROR(VLOOKUP(E359,'GASB Match'!$A$2:$C$58,3,FALSE),"")</f>
        <v>0200670</v>
      </c>
    </row>
    <row r="360" spans="1:11" x14ac:dyDescent="0.2">
      <c r="A360">
        <v>2022</v>
      </c>
      <c r="B360" t="s">
        <v>58</v>
      </c>
      <c r="C360" t="s">
        <v>59</v>
      </c>
      <c r="D360" t="s">
        <v>60</v>
      </c>
      <c r="E360" t="s">
        <v>37</v>
      </c>
      <c r="F360">
        <v>759</v>
      </c>
      <c r="G360" s="3">
        <v>13724</v>
      </c>
      <c r="H360" s="5" cm="1">
        <f t="array" ref="H360">IFERROR(_xlfn.IFS(A360=$F$517,G360/$G$517,A360=$F$518,G360/$G$518,A360=$F$519,G360/$G$519,A360=$F$520,G360/$G$520,A360=$F$521,G360/$G$521,A360=$F$522,G360/$G$522,A360=$F$523,G360/$G$523,A360=$F$524,G360/$G$524),"")</f>
        <v>4.4692948469427716E-4</v>
      </c>
      <c r="I360" s="3" cm="1">
        <f t="array" ref="I360">IFERROR(_xlfn.IFS(A360=$M$3,H360*$S$3,A360=$M$4,H360*$S$4,A360=$M$5,H360*$S$5,A360=$M$6,H360*$S$6,A360=$M$7,H360*$S$7,A360=$M$8,H360*$S$8,A360=$M$9,H360*$S$9,A360=$M$10,H360*$S$10),"")</f>
        <v>63347.512533581183</v>
      </c>
      <c r="J360" s="3">
        <f t="shared" si="5"/>
        <v>77071.512533581175</v>
      </c>
      <c r="K360" s="3" t="str">
        <f>IFERROR(VLOOKUP(E360,'GASB Match'!$A$2:$C$58,3,FALSE),"")</f>
        <v>0200670</v>
      </c>
    </row>
    <row r="361" spans="1:11" x14ac:dyDescent="0.2">
      <c r="A361">
        <v>2023</v>
      </c>
      <c r="B361" t="s">
        <v>58</v>
      </c>
      <c r="C361" t="s">
        <v>59</v>
      </c>
      <c r="D361" t="s">
        <v>60</v>
      </c>
      <c r="E361" t="s">
        <v>37</v>
      </c>
      <c r="F361">
        <v>759</v>
      </c>
      <c r="G361" s="3">
        <v>1989</v>
      </c>
      <c r="H361" s="5" t="str" cm="1">
        <f t="array" ref="H361">IFERROR(_xlfn.IFS(A361=$F$517,G361/$G$517,A361=$F$518,G361/$G$518,A361=$F$519,G361/$G$519,A361=$F$520,G361/$G$520,A361=$F$521,G361/$G$521,A361=$F$522,G361/$G$522,A361=$F$523,G361/$G$523,A361=$F$524,G361/$G$524),"")</f>
        <v/>
      </c>
      <c r="I361" s="3" t="str" cm="1">
        <f t="array" ref="I361">IFERROR(_xlfn.IFS(A361=$M$3,H361*$S$3,A361=$M$4,H361*$S$4,A361=$M$5,H361*$S$5,A361=$M$6,H361*$S$6,A361=$M$7,H361*$S$7,A361=$M$8,H361*$S$8,A361=$M$9,H361*$S$9,A361=$M$10,H361*$S$10),"")</f>
        <v/>
      </c>
      <c r="J361" s="3">
        <f t="shared" si="5"/>
        <v>1989</v>
      </c>
      <c r="K361" s="3" t="str">
        <f>IFERROR(VLOOKUP(E361,'GASB Match'!$A$2:$C$58,3,FALSE),"")</f>
        <v>0200670</v>
      </c>
    </row>
    <row r="362" spans="1:11" x14ac:dyDescent="0.2">
      <c r="A362">
        <v>2015</v>
      </c>
      <c r="B362" t="s">
        <v>58</v>
      </c>
      <c r="C362" t="s">
        <v>59</v>
      </c>
      <c r="D362" t="s">
        <v>60</v>
      </c>
      <c r="E362" t="s">
        <v>28</v>
      </c>
      <c r="F362">
        <v>748</v>
      </c>
      <c r="G362" s="3">
        <v>44151</v>
      </c>
      <c r="H362" s="5" cm="1">
        <f t="array" ref="H362">IFERROR(_xlfn.IFS(A362=$F$517,G362/$G$517,A362=$F$518,G362/$G$518,A362=$F$519,G362/$G$519,A362=$F$520,G362/$G$520,A362=$F$521,G362/$G$521,A362=$F$522,G362/$G$522,A362=$F$523,G362/$G$523,A362=$F$524,G362/$G$524),"")</f>
        <v>9.0926920157489684E-4</v>
      </c>
      <c r="I362" s="3" cm="1">
        <f t="array" ref="I362">IFERROR(_xlfn.IFS(A362=$M$3,H362*$S$3,A362=$M$4,H362*$S$4,A362=$M$5,H362*$S$5,A362=$M$6,H362*$S$6,A362=$M$7,H362*$S$7,A362=$M$8,H362*$S$8,A362=$M$9,H362*$S$9,A362=$M$10,H362*$S$10),"")</f>
        <v>1500764.2847777552</v>
      </c>
      <c r="J362" s="3">
        <f t="shared" si="5"/>
        <v>1544915.2847777552</v>
      </c>
      <c r="K362" s="3" t="str">
        <f>IFERROR(VLOOKUP(E362,'GASB Match'!$A$2:$C$58,3,FALSE),"")</f>
        <v>0200680</v>
      </c>
    </row>
    <row r="363" spans="1:11" x14ac:dyDescent="0.2">
      <c r="A363">
        <v>2016</v>
      </c>
      <c r="B363" t="s">
        <v>58</v>
      </c>
      <c r="C363" t="s">
        <v>59</v>
      </c>
      <c r="D363" t="s">
        <v>60</v>
      </c>
      <c r="E363" t="s">
        <v>28</v>
      </c>
      <c r="F363">
        <v>748</v>
      </c>
      <c r="G363" s="3">
        <v>46770</v>
      </c>
      <c r="H363" s="5" cm="1">
        <f t="array" ref="H363">IFERROR(_xlfn.IFS(A363=$F$517,G363/$G$517,A363=$F$518,G363/$G$518,A363=$F$519,G363/$G$519,A363=$F$520,G363/$G$520,A363=$F$521,G363/$G$521,A363=$F$522,G363/$G$522,A363=$F$523,G363/$G$523,A363=$F$524,G363/$G$524),"")</f>
        <v>1.3711319355214433E-3</v>
      </c>
      <c r="I363" s="3" cm="1">
        <f t="array" ref="I363">IFERROR(_xlfn.IFS(A363=$M$3,H363*$S$3,A363=$M$4,H363*$S$4,A363=$M$5,H363*$S$5,A363=$M$6,H363*$S$6,A363=$M$7,H363*$S$7,A363=$M$8,H363*$S$8,A363=$M$9,H363*$S$9,A363=$M$10,H363*$S$10),"")</f>
        <v>123343.53801760121</v>
      </c>
      <c r="J363" s="3">
        <f t="shared" si="5"/>
        <v>170113.53801760121</v>
      </c>
      <c r="K363" s="3" t="str">
        <f>IFERROR(VLOOKUP(E363,'GASB Match'!$A$2:$C$58,3,FALSE),"")</f>
        <v>0200680</v>
      </c>
    </row>
    <row r="364" spans="1:11" x14ac:dyDescent="0.2">
      <c r="A364">
        <v>2017</v>
      </c>
      <c r="B364" t="s">
        <v>58</v>
      </c>
      <c r="C364" t="s">
        <v>59</v>
      </c>
      <c r="D364" t="s">
        <v>60</v>
      </c>
      <c r="E364" t="s">
        <v>28</v>
      </c>
      <c r="F364">
        <v>748</v>
      </c>
      <c r="G364" s="3">
        <v>60148</v>
      </c>
      <c r="H364" s="5" cm="1">
        <f t="array" ref="H364">IFERROR(_xlfn.IFS(A364=$F$517,G364/$G$517,A364=$F$518,G364/$G$518,A364=$F$519,G364/$G$519,A364=$F$520,G364/$G$520,A364=$F$521,G364/$G$521,A364=$F$522,G364/$G$522,A364=$F$523,G364/$G$523,A364=$F$524,G364/$G$524),"")</f>
        <v>1.6102352579733523E-3</v>
      </c>
      <c r="I364" s="3" cm="1">
        <f t="array" ref="I364">IFERROR(_xlfn.IFS(A364=$M$3,H364*$S$3,A364=$M$4,H364*$S$4,A364=$M$5,H364*$S$5,A364=$M$6,H364*$S$6,A364=$M$7,H364*$S$7,A364=$M$8,H364*$S$8,A364=$M$9,H364*$S$9,A364=$M$10,H364*$S$10),"")</f>
        <v>186755.4684557408</v>
      </c>
      <c r="J364" s="3">
        <f t="shared" si="5"/>
        <v>246903.4684557408</v>
      </c>
      <c r="K364" s="3" t="str">
        <f>IFERROR(VLOOKUP(E364,'GASB Match'!$A$2:$C$58,3,FALSE),"")</f>
        <v>0200680</v>
      </c>
    </row>
    <row r="365" spans="1:11" x14ac:dyDescent="0.2">
      <c r="A365">
        <v>2018</v>
      </c>
      <c r="B365" t="s">
        <v>58</v>
      </c>
      <c r="C365" t="s">
        <v>59</v>
      </c>
      <c r="D365" t="s">
        <v>60</v>
      </c>
      <c r="E365" t="s">
        <v>28</v>
      </c>
      <c r="F365">
        <v>748</v>
      </c>
      <c r="G365" s="3">
        <v>69719</v>
      </c>
      <c r="H365" s="5" cm="1">
        <f t="array" ref="H365">IFERROR(_xlfn.IFS(A365=$F$517,G365/$G$517,A365=$F$518,G365/$G$518,A365=$F$519,G365/$G$519,A365=$F$520,G365/$G$520,A365=$F$521,G365/$G$521,A365=$F$522,G365/$G$522,A365=$F$523,G365/$G$523,A365=$F$524,G365/$G$524),"")</f>
        <v>1.7193224529470526E-3</v>
      </c>
      <c r="I365" s="3" cm="1">
        <f t="array" ref="I365">IFERROR(_xlfn.IFS(A365=$M$3,H365*$S$3,A365=$M$4,H365*$S$4,A365=$M$5,H365*$S$5,A365=$M$6,H365*$S$6,A365=$M$7,H365*$S$7,A365=$M$8,H365*$S$8,A365=$M$9,H365*$S$9,A365=$M$10,H365*$S$10),"")</f>
        <v>190917.45256330684</v>
      </c>
      <c r="J365" s="3">
        <f t="shared" si="5"/>
        <v>260636.45256330684</v>
      </c>
      <c r="K365" s="3" t="str">
        <f>IFERROR(VLOOKUP(E365,'GASB Match'!$A$2:$C$58,3,FALSE),"")</f>
        <v>0200680</v>
      </c>
    </row>
    <row r="366" spans="1:11" x14ac:dyDescent="0.2">
      <c r="A366">
        <v>2019</v>
      </c>
      <c r="B366" t="s">
        <v>58</v>
      </c>
      <c r="C366" t="s">
        <v>59</v>
      </c>
      <c r="D366" t="s">
        <v>60</v>
      </c>
      <c r="E366" t="s">
        <v>28</v>
      </c>
      <c r="F366">
        <v>748</v>
      </c>
      <c r="G366" s="3">
        <v>62525</v>
      </c>
      <c r="H366" s="5" cm="1">
        <f t="array" ref="H366">IFERROR(_xlfn.IFS(A366=$F$517,G366/$G$517,A366=$F$518,G366/$G$518,A366=$F$519,G366/$G$519,A366=$F$520,G366/$G$520,A366=$F$521,G366/$G$521,A366=$F$522,G366/$G$522,A366=$F$523,G366/$G$523,A366=$F$524,G366/$G$524),"")</f>
        <v>1.6988084947108571E-3</v>
      </c>
      <c r="I366" s="3" cm="1">
        <f t="array" ref="I366">IFERROR(_xlfn.IFS(A366=$M$3,H366*$S$3,A366=$M$4,H366*$S$4,A366=$M$5,H366*$S$5,A366=$M$6,H366*$S$6,A366=$M$7,H366*$S$7,A366=$M$8,H366*$S$8,A366=$M$9,H366*$S$9,A366=$M$10,H366*$S$10),"")</f>
        <v>216368.33961242659</v>
      </c>
      <c r="J366" s="3">
        <f t="shared" si="5"/>
        <v>278893.33961242659</v>
      </c>
      <c r="K366" s="3" t="str">
        <f>IFERROR(VLOOKUP(E366,'GASB Match'!$A$2:$C$58,3,FALSE),"")</f>
        <v>0200680</v>
      </c>
    </row>
    <row r="367" spans="1:11" x14ac:dyDescent="0.2">
      <c r="A367">
        <v>2020</v>
      </c>
      <c r="B367" t="s">
        <v>58</v>
      </c>
      <c r="C367" t="s">
        <v>59</v>
      </c>
      <c r="D367" t="s">
        <v>60</v>
      </c>
      <c r="E367" t="s">
        <v>28</v>
      </c>
      <c r="F367">
        <v>748</v>
      </c>
      <c r="G367" s="3">
        <v>69109</v>
      </c>
      <c r="H367" s="5" cm="1">
        <f t="array" ref="H367">IFERROR(_xlfn.IFS(A367=$F$517,G367/$G$517,A367=$F$518,G367/$G$518,A367=$F$519,G367/$G$519,A367=$F$520,G367/$G$520,A367=$F$521,G367/$G$521,A367=$F$522,G367/$G$522,A367=$F$523,G367/$G$523,A367=$F$524,G367/$G$524),"")</f>
        <v>2.0257996396246397E-3</v>
      </c>
      <c r="I367" s="3" cm="1">
        <f t="array" ref="I367">IFERROR(_xlfn.IFS(A367=$M$3,H367*$S$3,A367=$M$4,H367*$S$4,A367=$M$5,H367*$S$5,A367=$M$6,H367*$S$6,A367=$M$7,H367*$S$7,A367=$M$8,H367*$S$8,A367=$M$9,H367*$S$9,A367=$M$10,H367*$S$10),"")</f>
        <v>284055.83263548592</v>
      </c>
      <c r="J367" s="3">
        <f t="shared" si="5"/>
        <v>353164.83263548592</v>
      </c>
      <c r="K367" s="3" t="str">
        <f>IFERROR(VLOOKUP(E367,'GASB Match'!$A$2:$C$58,3,FALSE),"")</f>
        <v>0200680</v>
      </c>
    </row>
    <row r="368" spans="1:11" x14ac:dyDescent="0.2">
      <c r="A368">
        <v>2021</v>
      </c>
      <c r="B368" t="s">
        <v>58</v>
      </c>
      <c r="C368" t="s">
        <v>59</v>
      </c>
      <c r="D368" t="s">
        <v>60</v>
      </c>
      <c r="E368" t="s">
        <v>28</v>
      </c>
      <c r="F368">
        <v>748</v>
      </c>
      <c r="G368" s="3">
        <v>46980</v>
      </c>
      <c r="H368" s="5" cm="1">
        <f t="array" ref="H368">IFERROR(_xlfn.IFS(A368=$F$517,G368/$G$517,A368=$F$518,G368/$G$518,A368=$F$519,G368/$G$519,A368=$F$520,G368/$G$520,A368=$F$521,G368/$G$521,A368=$F$522,G368/$G$522,A368=$F$523,G368/$G$523,A368=$F$524,G368/$G$524),"")</f>
        <v>1.6014685241383542E-3</v>
      </c>
      <c r="I368" s="3" cm="1">
        <f t="array" ref="I368">IFERROR(_xlfn.IFS(A368=$M$3,H368*$S$3,A368=$M$4,H368*$S$4,A368=$M$5,H368*$S$5,A368=$M$6,H368*$S$6,A368=$M$7,H368*$S$7,A368=$M$8,H368*$S$8,A368=$M$9,H368*$S$9,A368=$M$10,H368*$S$10),"")</f>
        <v>214708.88022682359</v>
      </c>
      <c r="J368" s="3">
        <f t="shared" si="5"/>
        <v>261688.88022682359</v>
      </c>
      <c r="K368" s="3" t="str">
        <f>IFERROR(VLOOKUP(E368,'GASB Match'!$A$2:$C$58,3,FALSE),"")</f>
        <v>0200680</v>
      </c>
    </row>
    <row r="369" spans="1:11" x14ac:dyDescent="0.2">
      <c r="A369">
        <v>2022</v>
      </c>
      <c r="B369" t="s">
        <v>58</v>
      </c>
      <c r="C369" t="s">
        <v>59</v>
      </c>
      <c r="D369" t="s">
        <v>60</v>
      </c>
      <c r="E369" t="s">
        <v>28</v>
      </c>
      <c r="F369">
        <v>748</v>
      </c>
      <c r="G369" s="3">
        <v>43933</v>
      </c>
      <c r="H369" s="5" cm="1">
        <f t="array" ref="H369">IFERROR(_xlfn.IFS(A369=$F$517,G369/$G$517,A369=$F$518,G369/$G$518,A369=$F$519,G369/$G$519,A369=$F$520,G369/$G$520,A369=$F$521,G369/$G$521,A369=$F$522,G369/$G$522,A369=$F$523,G369/$G$523,A369=$F$524,G369/$G$524),"")</f>
        <v>1.4307019127858989E-3</v>
      </c>
      <c r="I369" s="3" cm="1">
        <f t="array" ref="I369">IFERROR(_xlfn.IFS(A369=$M$3,H369*$S$3,A369=$M$4,H369*$S$4,A369=$M$5,H369*$S$5,A369=$M$6,H369*$S$6,A369=$M$7,H369*$S$7,A369=$M$8,H369*$S$8,A369=$M$9,H369*$S$9,A369=$M$10,H369*$S$10),"")</f>
        <v>202786.81639010651</v>
      </c>
      <c r="J369" s="3">
        <f t="shared" si="5"/>
        <v>246719.81639010651</v>
      </c>
      <c r="K369" s="3" t="str">
        <f>IFERROR(VLOOKUP(E369,'GASB Match'!$A$2:$C$58,3,FALSE),"")</f>
        <v>0200680</v>
      </c>
    </row>
    <row r="370" spans="1:11" x14ac:dyDescent="0.2">
      <c r="A370">
        <v>2023</v>
      </c>
      <c r="B370" t="s">
        <v>58</v>
      </c>
      <c r="C370" t="s">
        <v>59</v>
      </c>
      <c r="D370" t="s">
        <v>60</v>
      </c>
      <c r="E370" t="s">
        <v>28</v>
      </c>
      <c r="F370">
        <v>748</v>
      </c>
      <c r="G370" s="3">
        <v>74000</v>
      </c>
      <c r="H370" s="5" t="str" cm="1">
        <f t="array" ref="H370">IFERROR(_xlfn.IFS(A370=$F$517,G370/$G$517,A370=$F$518,G370/$G$518,A370=$F$519,G370/$G$519,A370=$F$520,G370/$G$520,A370=$F$521,G370/$G$521,A370=$F$522,G370/$G$522,A370=$F$523,G370/$G$523,A370=$F$524,G370/$G$524),"")</f>
        <v/>
      </c>
      <c r="I370" s="3" t="str" cm="1">
        <f t="array" ref="I370">IFERROR(_xlfn.IFS(A370=$M$3,H370*$S$3,A370=$M$4,H370*$S$4,A370=$M$5,H370*$S$5,A370=$M$6,H370*$S$6,A370=$M$7,H370*$S$7,A370=$M$8,H370*$S$8,A370=$M$9,H370*$S$9,A370=$M$10,H370*$S$10),"")</f>
        <v/>
      </c>
      <c r="J370" s="3">
        <f t="shared" si="5"/>
        <v>74000</v>
      </c>
      <c r="K370" s="3" t="str">
        <f>IFERROR(VLOOKUP(E370,'GASB Match'!$A$2:$C$58,3,FALSE),"")</f>
        <v>0200680</v>
      </c>
    </row>
    <row r="371" spans="1:11" x14ac:dyDescent="0.2">
      <c r="A371">
        <v>2015</v>
      </c>
      <c r="B371" t="s">
        <v>58</v>
      </c>
      <c r="C371" t="s">
        <v>59</v>
      </c>
      <c r="D371" t="s">
        <v>60</v>
      </c>
      <c r="E371" t="s">
        <v>17</v>
      </c>
      <c r="F371">
        <v>727</v>
      </c>
      <c r="G371" s="3">
        <v>458336</v>
      </c>
      <c r="H371" s="5" cm="1">
        <f t="array" ref="H371">IFERROR(_xlfn.IFS(A371=$F$517,G371/$G$517,A371=$F$518,G371/$G$518,A371=$F$519,G371/$G$519,A371=$F$520,G371/$G$520,A371=$F$521,G371/$G$521,A371=$F$522,G371/$G$522,A371=$F$523,G371/$G$523,A371=$F$524,G371/$G$524),"")</f>
        <v>9.4392156185144592E-3</v>
      </c>
      <c r="I371" s="3" cm="1">
        <f t="array" ref="I371">IFERROR(_xlfn.IFS(A371=$M$3,H371*$S$3,A371=$M$4,H371*$S$4,A371=$M$5,H371*$S$5,A371=$M$6,H371*$S$6,A371=$M$7,H371*$S$7,A371=$M$8,H371*$S$8,A371=$M$9,H371*$S$9,A371=$M$10,H371*$S$10),"")</f>
        <v>15579585.948855001</v>
      </c>
      <c r="J371" s="3">
        <f t="shared" si="5"/>
        <v>16037921.948855001</v>
      </c>
      <c r="K371" s="3" t="str">
        <f>IFERROR(VLOOKUP(E371,'GASB Match'!$A$2:$C$58,3,FALSE),"")</f>
        <v>0200240</v>
      </c>
    </row>
    <row r="372" spans="1:11" x14ac:dyDescent="0.2">
      <c r="A372">
        <v>2016</v>
      </c>
      <c r="B372" t="s">
        <v>58</v>
      </c>
      <c r="C372" t="s">
        <v>59</v>
      </c>
      <c r="D372" t="s">
        <v>60</v>
      </c>
      <c r="E372" t="s">
        <v>17</v>
      </c>
      <c r="F372">
        <v>727</v>
      </c>
      <c r="G372" s="3">
        <v>409792</v>
      </c>
      <c r="H372" s="5" cm="1">
        <f t="array" ref="H372">IFERROR(_xlfn.IFS(A372=$F$517,G372/$G$517,A372=$F$518,G372/$G$518,A372=$F$519,G372/$G$519,A372=$F$520,G372/$G$520,A372=$F$521,G372/$G$521,A372=$F$522,G372/$G$522,A372=$F$523,G372/$G$523,A372=$F$524,G372/$G$524),"")</f>
        <v>1.2013660425939775E-2</v>
      </c>
      <c r="I372" s="3" cm="1">
        <f t="array" ref="I372">IFERROR(_xlfn.IFS(A372=$M$3,H372*$S$3,A372=$M$4,H372*$S$4,A372=$M$5,H372*$S$5,A372=$M$6,H372*$S$6,A372=$M$7,H372*$S$7,A372=$M$8,H372*$S$8,A372=$M$9,H372*$S$9,A372=$M$10,H372*$S$10),"")</f>
        <v>1080718.3051380978</v>
      </c>
      <c r="J372" s="3">
        <f t="shared" si="5"/>
        <v>1490510.3051380978</v>
      </c>
      <c r="K372" s="3" t="str">
        <f>IFERROR(VLOOKUP(E372,'GASB Match'!$A$2:$C$58,3,FALSE),"")</f>
        <v>0200240</v>
      </c>
    </row>
    <row r="373" spans="1:11" x14ac:dyDescent="0.2">
      <c r="A373">
        <v>2017</v>
      </c>
      <c r="B373" t="s">
        <v>58</v>
      </c>
      <c r="C373" t="s">
        <v>59</v>
      </c>
      <c r="D373" t="s">
        <v>60</v>
      </c>
      <c r="E373" t="s">
        <v>17</v>
      </c>
      <c r="F373">
        <v>727</v>
      </c>
      <c r="G373" s="3">
        <v>456554</v>
      </c>
      <c r="H373" s="5" cm="1">
        <f t="array" ref="H373">IFERROR(_xlfn.IFS(A373=$F$517,G373/$G$517,A373=$F$518,G373/$G$518,A373=$F$519,G373/$G$519,A373=$F$520,G373/$G$520,A373=$F$521,G373/$G$521,A373=$F$522,G373/$G$522,A373=$F$523,G373/$G$523,A373=$F$524,G373/$G$524),"")</f>
        <v>1.2222506949005219E-2</v>
      </c>
      <c r="I373" s="3" cm="1">
        <f t="array" ref="I373">IFERROR(_xlfn.IFS(A373=$M$3,H373*$S$3,A373=$M$4,H373*$S$4,A373=$M$5,H373*$S$5,A373=$M$6,H373*$S$6,A373=$M$7,H373*$S$7,A373=$M$8,H373*$S$8,A373=$M$9,H373*$S$9,A373=$M$10,H373*$S$10),"")</f>
        <v>1417569.2649022792</v>
      </c>
      <c r="J373" s="3">
        <f t="shared" si="5"/>
        <v>1874123.2649022792</v>
      </c>
      <c r="K373" s="3" t="str">
        <f>IFERROR(VLOOKUP(E373,'GASB Match'!$A$2:$C$58,3,FALSE),"")</f>
        <v>0200240</v>
      </c>
    </row>
    <row r="374" spans="1:11" x14ac:dyDescent="0.2">
      <c r="A374">
        <v>2018</v>
      </c>
      <c r="B374" t="s">
        <v>58</v>
      </c>
      <c r="C374" t="s">
        <v>59</v>
      </c>
      <c r="D374" t="s">
        <v>60</v>
      </c>
      <c r="E374" t="s">
        <v>17</v>
      </c>
      <c r="F374">
        <v>727</v>
      </c>
      <c r="G374" s="3">
        <v>508568</v>
      </c>
      <c r="H374" s="5" cm="1">
        <f t="array" ref="H374">IFERROR(_xlfn.IFS(A374=$F$517,G374/$G$517,A374=$F$518,G374/$G$518,A374=$F$519,G374/$G$519,A374=$F$520,G374/$G$520,A374=$F$521,G374/$G$521,A374=$F$522,G374/$G$522,A374=$F$523,G374/$G$523,A374=$F$524,G374/$G$524),"")</f>
        <v>1.2541665561043283E-2</v>
      </c>
      <c r="I374" s="3" cm="1">
        <f t="array" ref="I374">IFERROR(_xlfn.IFS(A374=$M$3,H374*$S$3,A374=$M$4,H374*$S$4,A374=$M$5,H374*$S$5,A374=$M$6,H374*$S$6,A374=$M$7,H374*$S$7,A374=$M$8,H374*$S$8,A374=$M$9,H374*$S$9,A374=$M$10,H374*$S$10),"")</f>
        <v>1392654.9006040797</v>
      </c>
      <c r="J374" s="3">
        <f t="shared" si="5"/>
        <v>1901222.9006040797</v>
      </c>
      <c r="K374" s="3" t="str">
        <f>IFERROR(VLOOKUP(E374,'GASB Match'!$A$2:$C$58,3,FALSE),"")</f>
        <v>0200240</v>
      </c>
    </row>
    <row r="375" spans="1:11" x14ac:dyDescent="0.2">
      <c r="A375">
        <v>2019</v>
      </c>
      <c r="B375" t="s">
        <v>58</v>
      </c>
      <c r="C375" t="s">
        <v>59</v>
      </c>
      <c r="D375" t="s">
        <v>60</v>
      </c>
      <c r="E375" t="s">
        <v>17</v>
      </c>
      <c r="F375">
        <v>727</v>
      </c>
      <c r="G375" s="3">
        <v>436775</v>
      </c>
      <c r="H375" s="5" cm="1">
        <f t="array" ref="H375">IFERROR(_xlfn.IFS(A375=$F$517,G375/$G$517,A375=$F$518,G375/$G$518,A375=$F$519,G375/$G$519,A375=$F$520,G375/$G$520,A375=$F$521,G375/$G$521,A375=$F$522,G375/$G$522,A375=$F$523,G375/$G$523,A375=$F$524,G375/$G$524),"")</f>
        <v>1.1867206401876605E-2</v>
      </c>
      <c r="I375" s="3" cm="1">
        <f t="array" ref="I375">IFERROR(_xlfn.IFS(A375=$M$3,H375*$S$3,A375=$M$4,H375*$S$4,A375=$M$5,H375*$S$5,A375=$M$6,H375*$S$6,A375=$M$7,H375*$S$7,A375=$M$8,H375*$S$8,A375=$M$9,H375*$S$9,A375=$M$10,H375*$S$10),"")</f>
        <v>1511463.9189798902</v>
      </c>
      <c r="J375" s="3">
        <f t="shared" si="5"/>
        <v>1948238.9189798902</v>
      </c>
      <c r="K375" s="3" t="str">
        <f>IFERROR(VLOOKUP(E375,'GASB Match'!$A$2:$C$58,3,FALSE),"")</f>
        <v>0200240</v>
      </c>
    </row>
    <row r="376" spans="1:11" x14ac:dyDescent="0.2">
      <c r="A376">
        <v>2020</v>
      </c>
      <c r="B376" t="s">
        <v>58</v>
      </c>
      <c r="C376" t="s">
        <v>59</v>
      </c>
      <c r="D376" t="s">
        <v>60</v>
      </c>
      <c r="E376" t="s">
        <v>17</v>
      </c>
      <c r="F376">
        <v>727</v>
      </c>
      <c r="G376" s="3">
        <v>437062</v>
      </c>
      <c r="H376" s="5" cm="1">
        <f t="array" ref="H376">IFERROR(_xlfn.IFS(A376=$F$517,G376/$G$517,A376=$F$518,G376/$G$518,A376=$F$519,G376/$G$519,A376=$F$520,G376/$G$520,A376=$F$521,G376/$G$521,A376=$F$522,G376/$G$522,A376=$F$523,G376/$G$523,A376=$F$524,G376/$G$524),"")</f>
        <v>1.2811645980894302E-2</v>
      </c>
      <c r="I376" s="3" cm="1">
        <f t="array" ref="I376">IFERROR(_xlfn.IFS(A376=$M$3,H376*$S$3,A376=$M$4,H376*$S$4,A376=$M$5,H376*$S$5,A376=$M$6,H376*$S$6,A376=$M$7,H376*$S$7,A376=$M$8,H376*$S$8,A376=$M$9,H376*$S$9,A376=$M$10,H376*$S$10),"")</f>
        <v>1796437.6611343059</v>
      </c>
      <c r="J376" s="3">
        <f t="shared" si="5"/>
        <v>2233499.6611343059</v>
      </c>
      <c r="K376" s="3" t="str">
        <f>IFERROR(VLOOKUP(E376,'GASB Match'!$A$2:$C$58,3,FALSE),"")</f>
        <v>0200240</v>
      </c>
    </row>
    <row r="377" spans="1:11" x14ac:dyDescent="0.2">
      <c r="A377">
        <v>2021</v>
      </c>
      <c r="B377" t="s">
        <v>58</v>
      </c>
      <c r="C377" t="s">
        <v>59</v>
      </c>
      <c r="D377" t="s">
        <v>60</v>
      </c>
      <c r="E377" t="s">
        <v>17</v>
      </c>
      <c r="F377">
        <v>727</v>
      </c>
      <c r="G377" s="3">
        <v>344183</v>
      </c>
      <c r="H377" s="5" cm="1">
        <f t="array" ref="H377">IFERROR(_xlfn.IFS(A377=$F$517,G377/$G$517,A377=$F$518,G377/$G$518,A377=$F$519,G377/$G$519,A377=$F$520,G377/$G$520,A377=$F$521,G377/$G$521,A377=$F$522,G377/$G$522,A377=$F$523,G377/$G$523,A377=$F$524,G377/$G$524),"")</f>
        <v>1.1732614751884017E-2</v>
      </c>
      <c r="I377" s="3" cm="1">
        <f t="array" ref="I377">IFERROR(_xlfn.IFS(A377=$M$3,H377*$S$3,A377=$M$4,H377*$S$4,A377=$M$5,H377*$S$5,A377=$M$6,H377*$S$6,A377=$M$7,H377*$S$7,A377=$M$8,H377*$S$8,A377=$M$9,H377*$S$9,A377=$M$10,H377*$S$10),"")</f>
        <v>1572991.624587246</v>
      </c>
      <c r="J377" s="3">
        <f t="shared" si="5"/>
        <v>1917174.624587246</v>
      </c>
      <c r="K377" s="3" t="str">
        <f>IFERROR(VLOOKUP(E377,'GASB Match'!$A$2:$C$58,3,FALSE),"")</f>
        <v>0200240</v>
      </c>
    </row>
    <row r="378" spans="1:11" x14ac:dyDescent="0.2">
      <c r="A378">
        <v>2022</v>
      </c>
      <c r="B378" t="s">
        <v>58</v>
      </c>
      <c r="C378" t="s">
        <v>59</v>
      </c>
      <c r="D378" t="s">
        <v>60</v>
      </c>
      <c r="E378" t="s">
        <v>17</v>
      </c>
      <c r="F378">
        <v>727</v>
      </c>
      <c r="G378" s="3">
        <v>398679</v>
      </c>
      <c r="H378" s="5" cm="1">
        <f t="array" ref="H378">IFERROR(_xlfn.IFS(A378=$F$517,G378/$G$517,A378=$F$518,G378/$G$518,A378=$F$519,G378/$G$519,A378=$F$520,G378/$G$520,A378=$F$521,G378/$G$521,A378=$F$522,G378/$G$522,A378=$F$523,G378/$G$523,A378=$F$524,G378/$G$524),"")</f>
        <v>1.2983197320637548E-2</v>
      </c>
      <c r="I378" s="3" cm="1">
        <f t="array" ref="I378">IFERROR(_xlfn.IFS(A378=$M$3,H378*$S$3,A378=$M$4,H378*$S$4,A378=$M$5,H378*$S$5,A378=$M$6,H378*$S$6,A378=$M$7,H378*$S$7,A378=$M$8,H378*$S$8,A378=$M$9,H378*$S$9,A378=$M$10,H378*$S$10),"")</f>
        <v>1840230.4684768005</v>
      </c>
      <c r="J378" s="3">
        <f t="shared" si="5"/>
        <v>2238909.4684768002</v>
      </c>
      <c r="K378" s="3" t="str">
        <f>IFERROR(VLOOKUP(E378,'GASB Match'!$A$2:$C$58,3,FALSE),"")</f>
        <v>0200240</v>
      </c>
    </row>
    <row r="379" spans="1:11" x14ac:dyDescent="0.2">
      <c r="A379">
        <v>2023</v>
      </c>
      <c r="B379" t="s">
        <v>58</v>
      </c>
      <c r="C379" t="s">
        <v>59</v>
      </c>
      <c r="D379" t="s">
        <v>60</v>
      </c>
      <c r="E379" t="s">
        <v>17</v>
      </c>
      <c r="F379">
        <v>727</v>
      </c>
      <c r="G379" s="3">
        <v>670833</v>
      </c>
      <c r="H379" s="5" t="str" cm="1">
        <f t="array" ref="H379">IFERROR(_xlfn.IFS(A379=$F$517,G379/$G$517,A379=$F$518,G379/$G$518,A379=$F$519,G379/$G$519,A379=$F$520,G379/$G$520,A379=$F$521,G379/$G$521,A379=$F$522,G379/$G$522,A379=$F$523,G379/$G$523,A379=$F$524,G379/$G$524),"")</f>
        <v/>
      </c>
      <c r="I379" s="3" t="str" cm="1">
        <f t="array" ref="I379">IFERROR(_xlfn.IFS(A379=$M$3,H379*$S$3,A379=$M$4,H379*$S$4,A379=$M$5,H379*$S$5,A379=$M$6,H379*$S$6,A379=$M$7,H379*$S$7,A379=$M$8,H379*$S$8,A379=$M$9,H379*$S$9,A379=$M$10,H379*$S$10),"")</f>
        <v/>
      </c>
      <c r="J379" s="3">
        <f t="shared" si="5"/>
        <v>670833</v>
      </c>
      <c r="K379" s="3" t="str">
        <f>IFERROR(VLOOKUP(E379,'GASB Match'!$A$2:$C$58,3,FALSE),"")</f>
        <v>0200240</v>
      </c>
    </row>
    <row r="380" spans="1:11" x14ac:dyDescent="0.2">
      <c r="A380">
        <v>2015</v>
      </c>
      <c r="B380" t="s">
        <v>58</v>
      </c>
      <c r="C380" t="s">
        <v>59</v>
      </c>
      <c r="D380" t="s">
        <v>60</v>
      </c>
      <c r="E380" t="s">
        <v>18</v>
      </c>
      <c r="F380">
        <v>728</v>
      </c>
      <c r="G380" s="3">
        <v>36740</v>
      </c>
      <c r="H380" s="5" cm="1">
        <f t="array" ref="H380">IFERROR(_xlfn.IFS(A380=$F$517,G380/$G$517,A380=$F$518,G380/$G$518,A380=$F$519,G380/$G$519,A380=$F$520,G380/$G$520,A380=$F$521,G380/$G$521,A380=$F$522,G380/$G$522,A380=$F$523,G380/$G$523,A380=$F$524,G380/$G$524),"")</f>
        <v>7.5664312169286562E-4</v>
      </c>
      <c r="I380" s="3" cm="1">
        <f t="array" ref="I380">IFERROR(_xlfn.IFS(A380=$M$3,H380*$S$3,A380=$M$4,H380*$S$4,A380=$M$5,H380*$S$5,A380=$M$6,H380*$S$6,A380=$M$7,H380*$S$7,A380=$M$8,H380*$S$8,A380=$M$9,H380*$S$9,A380=$M$10,H380*$S$10),"")</f>
        <v>1248852.3436102178</v>
      </c>
      <c r="J380" s="3">
        <f t="shared" si="5"/>
        <v>1285592.3436102178</v>
      </c>
      <c r="K380" s="3" t="str">
        <f>IFERROR(VLOOKUP(E380,'GASB Match'!$A$2:$C$58,3,FALSE),"")</f>
        <v>0200690</v>
      </c>
    </row>
    <row r="381" spans="1:11" x14ac:dyDescent="0.2">
      <c r="A381">
        <v>2016</v>
      </c>
      <c r="B381" t="s">
        <v>58</v>
      </c>
      <c r="C381" t="s">
        <v>59</v>
      </c>
      <c r="D381" t="s">
        <v>60</v>
      </c>
      <c r="E381" t="s">
        <v>18</v>
      </c>
      <c r="F381">
        <v>728</v>
      </c>
      <c r="G381" s="3">
        <v>35596</v>
      </c>
      <c r="H381" s="5" cm="1">
        <f t="array" ref="H381">IFERROR(_xlfn.IFS(A381=$F$517,G381/$G$517,A381=$F$518,G381/$G$518,A381=$F$519,G381/$G$519,A381=$F$520,G381/$G$520,A381=$F$521,G381/$G$521,A381=$F$522,G381/$G$522,A381=$F$523,G381/$G$523,A381=$F$524,G381/$G$524),"")</f>
        <v>1.0435495483605152E-3</v>
      </c>
      <c r="I381" s="3" cm="1">
        <f t="array" ref="I381">IFERROR(_xlfn.IFS(A381=$M$3,H381*$S$3,A381=$M$4,H381*$S$4,A381=$M$5,H381*$S$5,A381=$M$6,H381*$S$6,A381=$M$7,H381*$S$7,A381=$M$8,H381*$S$8,A381=$M$9,H381*$S$9,A381=$M$10,H381*$S$10),"")</f>
        <v>93875.060493361816</v>
      </c>
      <c r="J381" s="3">
        <f t="shared" si="5"/>
        <v>129471.06049336182</v>
      </c>
      <c r="K381" s="3" t="str">
        <f>IFERROR(VLOOKUP(E381,'GASB Match'!$A$2:$C$58,3,FALSE),"")</f>
        <v>0200690</v>
      </c>
    </row>
    <row r="382" spans="1:11" x14ac:dyDescent="0.2">
      <c r="A382">
        <v>2017</v>
      </c>
      <c r="B382" t="s">
        <v>58</v>
      </c>
      <c r="C382" t="s">
        <v>59</v>
      </c>
      <c r="D382" t="s">
        <v>60</v>
      </c>
      <c r="E382" t="s">
        <v>18</v>
      </c>
      <c r="F382">
        <v>728</v>
      </c>
      <c r="G382" s="3">
        <v>44914</v>
      </c>
      <c r="H382" s="5" cm="1">
        <f t="array" ref="H382">IFERROR(_xlfn.IFS(A382=$F$517,G382/$G$517,A382=$F$518,G382/$G$518,A382=$F$519,G382/$G$519,A382=$F$520,G382/$G$520,A382=$F$521,G382/$G$521,A382=$F$522,G382/$G$522,A382=$F$523,G382/$G$523,A382=$F$524,G382/$G$524),"")</f>
        <v>1.2024025134105066E-3</v>
      </c>
      <c r="I382" s="3" cm="1">
        <f t="array" ref="I382">IFERROR(_xlfn.IFS(A382=$M$3,H382*$S$3,A382=$M$4,H382*$S$4,A382=$M$5,H382*$S$5,A382=$M$6,H382*$S$6,A382=$M$7,H382*$S$7,A382=$M$8,H382*$S$8,A382=$M$9,H382*$S$9,A382=$M$10,H382*$S$10),"")</f>
        <v>139454.92967714876</v>
      </c>
      <c r="J382" s="3">
        <f t="shared" si="5"/>
        <v>184368.92967714876</v>
      </c>
      <c r="K382" s="3" t="str">
        <f>IFERROR(VLOOKUP(E382,'GASB Match'!$A$2:$C$58,3,FALSE),"")</f>
        <v>0200690</v>
      </c>
    </row>
    <row r="383" spans="1:11" x14ac:dyDescent="0.2">
      <c r="A383">
        <v>2018</v>
      </c>
      <c r="B383" t="s">
        <v>58</v>
      </c>
      <c r="C383" t="s">
        <v>59</v>
      </c>
      <c r="D383" t="s">
        <v>60</v>
      </c>
      <c r="E383" t="s">
        <v>18</v>
      </c>
      <c r="F383">
        <v>728</v>
      </c>
      <c r="G383" s="3">
        <v>42710</v>
      </c>
      <c r="H383" s="5" cm="1">
        <f t="array" ref="H383">IFERROR(_xlfn.IFS(A383=$F$517,G383/$G$517,A383=$F$518,G383/$G$518,A383=$F$519,G383/$G$519,A383=$F$520,G383/$G$520,A383=$F$521,G383/$G$521,A383=$F$522,G383/$G$522,A383=$F$523,G383/$G$523,A383=$F$524,G383/$G$524),"")</f>
        <v>1.0532604019760556E-3</v>
      </c>
      <c r="I383" s="3" cm="1">
        <f t="array" ref="I383">IFERROR(_xlfn.IFS(A383=$M$3,H383*$S$3,A383=$M$4,H383*$S$4,A383=$M$5,H383*$S$5,A383=$M$6,H383*$S$6,A383=$M$7,H383*$S$7,A383=$M$8,H383*$S$8,A383=$M$9,H383*$S$9,A383=$M$10,H383*$S$10),"")</f>
        <v>116956.41645719008</v>
      </c>
      <c r="J383" s="3">
        <f t="shared" si="5"/>
        <v>159666.41645719006</v>
      </c>
      <c r="K383" s="3" t="str">
        <f>IFERROR(VLOOKUP(E383,'GASB Match'!$A$2:$C$58,3,FALSE),"")</f>
        <v>0200690</v>
      </c>
    </row>
    <row r="384" spans="1:11" x14ac:dyDescent="0.2">
      <c r="A384">
        <v>2019</v>
      </c>
      <c r="B384" t="s">
        <v>58</v>
      </c>
      <c r="C384" t="s">
        <v>59</v>
      </c>
      <c r="D384" t="s">
        <v>60</v>
      </c>
      <c r="E384" t="s">
        <v>18</v>
      </c>
      <c r="F384">
        <v>728</v>
      </c>
      <c r="G384" s="3">
        <v>35004</v>
      </c>
      <c r="H384" s="5" cm="1">
        <f t="array" ref="H384">IFERROR(_xlfn.IFS(A384=$F$517,G384/$G$517,A384=$F$518,G384/$G$518,A384=$F$519,G384/$G$519,A384=$F$520,G384/$G$520,A384=$F$521,G384/$G$521,A384=$F$522,G384/$G$522,A384=$F$523,G384/$G$523,A384=$F$524,G384/$G$524),"")</f>
        <v>9.5106105635919791E-4</v>
      </c>
      <c r="I384" s="3" cm="1">
        <f t="array" ref="I384">IFERROR(_xlfn.IFS(A384=$M$3,H384*$S$3,A384=$M$4,H384*$S$4,A384=$M$5,H384*$S$5,A384=$M$6,H384*$S$6,A384=$M$7,H384*$S$7,A384=$M$8,H384*$S$8,A384=$M$9,H384*$S$9,A384=$M$10,H384*$S$10),"")</f>
        <v>121131.66509065783</v>
      </c>
      <c r="J384" s="3">
        <f t="shared" si="5"/>
        <v>156135.66509065783</v>
      </c>
      <c r="K384" s="3" t="str">
        <f>IFERROR(VLOOKUP(E384,'GASB Match'!$A$2:$C$58,3,FALSE),"")</f>
        <v>0200690</v>
      </c>
    </row>
    <row r="385" spans="1:11" x14ac:dyDescent="0.2">
      <c r="A385">
        <v>2020</v>
      </c>
      <c r="B385" t="s">
        <v>58</v>
      </c>
      <c r="C385" t="s">
        <v>59</v>
      </c>
      <c r="D385" t="s">
        <v>60</v>
      </c>
      <c r="E385" t="s">
        <v>18</v>
      </c>
      <c r="F385">
        <v>728</v>
      </c>
      <c r="G385" s="3">
        <v>40854</v>
      </c>
      <c r="H385" s="5" cm="1">
        <f t="array" ref="H385">IFERROR(_xlfn.IFS(A385=$F$517,G385/$G$517,A385=$F$518,G385/$G$518,A385=$F$519,G385/$G$519,A385=$F$520,G385/$G$520,A385=$F$521,G385/$G$521,A385=$F$522,G385/$G$522,A385=$F$523,G385/$G$523,A385=$F$524,G385/$G$524),"")</f>
        <v>1.1975577490229209E-3</v>
      </c>
      <c r="I385" s="3" cm="1">
        <f t="array" ref="I385">IFERROR(_xlfn.IFS(A385=$M$3,H385*$S$3,A385=$M$4,H385*$S$4,A385=$M$5,H385*$S$5,A385=$M$6,H385*$S$6,A385=$M$7,H385*$S$7,A385=$M$8,H385*$S$8,A385=$M$9,H385*$S$9,A385=$M$10,H385*$S$10),"")</f>
        <v>167920.48772938608</v>
      </c>
      <c r="J385" s="3">
        <f t="shared" si="5"/>
        <v>208774.48772938608</v>
      </c>
      <c r="K385" s="3" t="str">
        <f>IFERROR(VLOOKUP(E385,'GASB Match'!$A$2:$C$58,3,FALSE),"")</f>
        <v>0200690</v>
      </c>
    </row>
    <row r="386" spans="1:11" x14ac:dyDescent="0.2">
      <c r="A386">
        <v>2021</v>
      </c>
      <c r="B386" t="s">
        <v>58</v>
      </c>
      <c r="C386" t="s">
        <v>59</v>
      </c>
      <c r="D386" t="s">
        <v>60</v>
      </c>
      <c r="E386" t="s">
        <v>18</v>
      </c>
      <c r="F386">
        <v>728</v>
      </c>
      <c r="G386" s="3">
        <v>42181</v>
      </c>
      <c r="H386" s="5" cm="1">
        <f t="array" ref="H386">IFERROR(_xlfn.IFS(A386=$F$517,G386/$G$517,A386=$F$518,G386/$G$518,A386=$F$519,G386/$G$519,A386=$F$520,G386/$G$520,A386=$F$521,G386/$G$521,A386=$F$522,G386/$G$522,A386=$F$523,G386/$G$523,A386=$F$524,G386/$G$524),"")</f>
        <v>1.4378787530157497E-3</v>
      </c>
      <c r="I386" s="3" cm="1">
        <f t="array" ref="I386">IFERROR(_xlfn.IFS(A386=$M$3,H386*$S$3,A386=$M$4,H386*$S$4,A386=$M$5,H386*$S$5,A386=$M$6,H386*$S$6,A386=$M$7,H386*$S$7,A386=$M$8,H386*$S$8,A386=$M$9,H386*$S$9,A386=$M$10,H386*$S$10),"")</f>
        <v>192776.4001031853</v>
      </c>
      <c r="J386" s="3">
        <f t="shared" si="5"/>
        <v>234957.4001031853</v>
      </c>
      <c r="K386" s="3" t="str">
        <f>IFERROR(VLOOKUP(E386,'GASB Match'!$A$2:$C$58,3,FALSE),"")</f>
        <v>0200690</v>
      </c>
    </row>
    <row r="387" spans="1:11" x14ac:dyDescent="0.2">
      <c r="A387">
        <v>2022</v>
      </c>
      <c r="B387" t="s">
        <v>58</v>
      </c>
      <c r="C387" t="s">
        <v>59</v>
      </c>
      <c r="D387" t="s">
        <v>60</v>
      </c>
      <c r="E387" t="s">
        <v>18</v>
      </c>
      <c r="F387">
        <v>728</v>
      </c>
      <c r="G387" s="3">
        <v>39852</v>
      </c>
      <c r="H387" s="5" cm="1">
        <f t="array" ref="H387">IFERROR(_xlfn.IFS(A387=$F$517,G387/$G$517,A387=$F$518,G387/$G$518,A387=$F$519,G387/$G$519,A387=$F$520,G387/$G$520,A387=$F$521,G387/$G$521,A387=$F$522,G387/$G$522,A387=$F$523,G387/$G$523,A387=$F$524,G387/$G$524),"")</f>
        <v>1.2978019399618429E-3</v>
      </c>
      <c r="I387" s="3" cm="1">
        <f t="array" ref="I387">IFERROR(_xlfn.IFS(A387=$M$3,H387*$S$3,A387=$M$4,H387*$S$4,A387=$M$5,H387*$S$5,A387=$M$6,H387*$S$6,A387=$M$7,H387*$S$7,A387=$M$8,H387*$S$8,A387=$M$9,H387*$S$9,A387=$M$10,H387*$S$10),"")</f>
        <v>183949.65531100822</v>
      </c>
      <c r="J387" s="3">
        <f t="shared" ref="J387:J450" si="6">SUM(G387,I387)</f>
        <v>223801.65531100822</v>
      </c>
      <c r="K387" s="3" t="str">
        <f>IFERROR(VLOOKUP(E387,'GASB Match'!$A$2:$C$58,3,FALSE),"")</f>
        <v>0200690</v>
      </c>
    </row>
    <row r="388" spans="1:11" x14ac:dyDescent="0.2">
      <c r="A388">
        <v>2023</v>
      </c>
      <c r="B388" t="s">
        <v>58</v>
      </c>
      <c r="C388" t="s">
        <v>59</v>
      </c>
      <c r="D388" t="s">
        <v>60</v>
      </c>
      <c r="E388" t="s">
        <v>18</v>
      </c>
      <c r="F388">
        <v>728</v>
      </c>
      <c r="G388" s="3">
        <v>88648</v>
      </c>
      <c r="H388" s="5" t="str" cm="1">
        <f t="array" ref="H388">IFERROR(_xlfn.IFS(A388=$F$517,G388/$G$517,A388=$F$518,G388/$G$518,A388=$F$519,G388/$G$519,A388=$F$520,G388/$G$520,A388=$F$521,G388/$G$521,A388=$F$522,G388/$G$522,A388=$F$523,G388/$G$523,A388=$F$524,G388/$G$524),"")</f>
        <v/>
      </c>
      <c r="I388" s="3" t="str" cm="1">
        <f t="array" ref="I388">IFERROR(_xlfn.IFS(A388=$M$3,H388*$S$3,A388=$M$4,H388*$S$4,A388=$M$5,H388*$S$5,A388=$M$6,H388*$S$6,A388=$M$7,H388*$S$7,A388=$M$8,H388*$S$8,A388=$M$9,H388*$S$9,A388=$M$10,H388*$S$10),"")</f>
        <v/>
      </c>
      <c r="J388" s="3">
        <f t="shared" si="6"/>
        <v>88648</v>
      </c>
      <c r="K388" s="3" t="str">
        <f>IFERROR(VLOOKUP(E388,'GASB Match'!$A$2:$C$58,3,FALSE),"")</f>
        <v>0200690</v>
      </c>
    </row>
    <row r="389" spans="1:11" x14ac:dyDescent="0.2">
      <c r="A389">
        <v>2015</v>
      </c>
      <c r="B389" t="s">
        <v>58</v>
      </c>
      <c r="C389" t="s">
        <v>59</v>
      </c>
      <c r="D389" t="s">
        <v>60</v>
      </c>
      <c r="E389" t="s">
        <v>46</v>
      </c>
      <c r="F389">
        <v>769</v>
      </c>
      <c r="G389" s="3">
        <v>74096</v>
      </c>
      <c r="H389" s="5" cm="1">
        <f t="array" ref="H389">IFERROR(_xlfn.IFS(A389=$F$517,G389/$G$517,A389=$F$518,G389/$G$518,A389=$F$519,G389/$G$519,A389=$F$520,G389/$G$520,A389=$F$521,G389/$G$521,A389=$F$522,G389/$G$522,A389=$F$523,G389/$G$523,A389=$F$524,G389/$G$524),"")</f>
        <v>1.5259724753662104E-3</v>
      </c>
      <c r="I389" s="3" cm="1">
        <f t="array" ref="I389">IFERROR(_xlfn.IFS(A389=$M$3,H389*$S$3,A389=$M$4,H389*$S$4,A389=$M$5,H389*$S$5,A389=$M$6,H389*$S$6,A389=$M$7,H389*$S$7,A389=$M$8,H389*$S$8,A389=$M$9,H389*$S$9,A389=$M$10,H389*$S$10),"")</f>
        <v>2518643.5289097088</v>
      </c>
      <c r="J389" s="3">
        <f t="shared" si="6"/>
        <v>2592739.5289097088</v>
      </c>
      <c r="K389" s="3" t="str">
        <f>IFERROR(VLOOKUP(E389,'GASB Match'!$A$2:$C$58,3,FALSE),"")</f>
        <v>0200700</v>
      </c>
    </row>
    <row r="390" spans="1:11" x14ac:dyDescent="0.2">
      <c r="A390">
        <v>2016</v>
      </c>
      <c r="B390" t="s">
        <v>58</v>
      </c>
      <c r="C390" t="s">
        <v>59</v>
      </c>
      <c r="D390" t="s">
        <v>60</v>
      </c>
      <c r="E390" t="s">
        <v>46</v>
      </c>
      <c r="F390">
        <v>769</v>
      </c>
      <c r="G390" s="3">
        <v>67932</v>
      </c>
      <c r="H390" s="5" cm="1">
        <f t="array" ref="H390">IFERROR(_xlfn.IFS(A390=$F$517,G390/$G$517,A390=$F$518,G390/$G$518,A390=$F$519,G390/$G$519,A390=$F$520,G390/$G$520,A390=$F$521,G390/$G$521,A390=$F$522,G390/$G$522,A390=$F$523,G390/$G$523,A390=$F$524,G390/$G$524),"")</f>
        <v>1.991527360355841E-3</v>
      </c>
      <c r="I390" s="3" cm="1">
        <f t="array" ref="I390">IFERROR(_xlfn.IFS(A390=$M$3,H390*$S$3,A390=$M$4,H390*$S$4,A390=$M$5,H390*$S$5,A390=$M$6,H390*$S$6,A390=$M$7,H390*$S$7,A390=$M$8,H390*$S$8,A390=$M$9,H390*$S$9,A390=$M$10,H390*$S$10),"")</f>
        <v>179152.73090895198</v>
      </c>
      <c r="J390" s="3">
        <f t="shared" si="6"/>
        <v>247084.73090895198</v>
      </c>
      <c r="K390" s="3" t="str">
        <f>IFERROR(VLOOKUP(E390,'GASB Match'!$A$2:$C$58,3,FALSE),"")</f>
        <v>0200700</v>
      </c>
    </row>
    <row r="391" spans="1:11" x14ac:dyDescent="0.2">
      <c r="A391">
        <v>2017</v>
      </c>
      <c r="B391" t="s">
        <v>58</v>
      </c>
      <c r="C391" t="s">
        <v>59</v>
      </c>
      <c r="D391" t="s">
        <v>60</v>
      </c>
      <c r="E391" t="s">
        <v>46</v>
      </c>
      <c r="F391">
        <v>769</v>
      </c>
      <c r="G391" s="3">
        <v>54175</v>
      </c>
      <c r="H391" s="5" cm="1">
        <f t="array" ref="H391">IFERROR(_xlfn.IFS(A391=$F$517,G391/$G$517,A391=$F$518,G391/$G$518,A391=$F$519,G391/$G$519,A391=$F$520,G391/$G$520,A391=$F$521,G391/$G$521,A391=$F$522,G391/$G$522,A391=$F$523,G391/$G$523,A391=$F$524,G391/$G$524),"")</f>
        <v>1.4503307691146232E-3</v>
      </c>
      <c r="I391" s="3" cm="1">
        <f t="array" ref="I391">IFERROR(_xlfn.IFS(A391=$M$3,H391*$S$3,A391=$M$4,H391*$S$4,A391=$M$5,H391*$S$5,A391=$M$6,H391*$S$6,A391=$M$7,H391*$S$7,A391=$M$8,H391*$S$8,A391=$M$9,H391*$S$9,A391=$M$10,H391*$S$10),"")</f>
        <v>168209.70778063705</v>
      </c>
      <c r="J391" s="3">
        <f t="shared" si="6"/>
        <v>222384.70778063705</v>
      </c>
      <c r="K391" s="3" t="str">
        <f>IFERROR(VLOOKUP(E391,'GASB Match'!$A$2:$C$58,3,FALSE),"")</f>
        <v>0200700</v>
      </c>
    </row>
    <row r="392" spans="1:11" x14ac:dyDescent="0.2">
      <c r="A392">
        <v>2018</v>
      </c>
      <c r="B392" t="s">
        <v>58</v>
      </c>
      <c r="C392" t="s">
        <v>59</v>
      </c>
      <c r="D392" t="s">
        <v>60</v>
      </c>
      <c r="E392" t="s">
        <v>46</v>
      </c>
      <c r="F392">
        <v>769</v>
      </c>
      <c r="G392" s="3">
        <v>71915</v>
      </c>
      <c r="H392" s="5" cm="1">
        <f t="array" ref="H392">IFERROR(_xlfn.IFS(A392=$F$517,G392/$G$517,A392=$F$518,G392/$G$518,A392=$F$519,G392/$G$519,A392=$F$520,G392/$G$520,A392=$F$521,G392/$G$521,A392=$F$522,G392/$G$522,A392=$F$523,G392/$G$523,A392=$F$524,G392/$G$524),"")</f>
        <v>1.7734774480943113E-3</v>
      </c>
      <c r="I392" s="3" cm="1">
        <f t="array" ref="I392">IFERROR(_xlfn.IFS(A392=$M$3,H392*$S$3,A392=$M$4,H392*$S$4,A392=$M$5,H392*$S$5,A392=$M$6,H392*$S$6,A392=$M$7,H392*$S$7,A392=$M$8,H392*$S$8,A392=$M$9,H392*$S$9,A392=$M$10,H392*$S$10),"")</f>
        <v>196930.94566890248</v>
      </c>
      <c r="J392" s="3">
        <f t="shared" si="6"/>
        <v>268845.94566890248</v>
      </c>
      <c r="K392" s="3" t="str">
        <f>IFERROR(VLOOKUP(E392,'GASB Match'!$A$2:$C$58,3,FALSE),"")</f>
        <v>0200700</v>
      </c>
    </row>
    <row r="393" spans="1:11" ht="1" customHeight="1" x14ac:dyDescent="0.2">
      <c r="A393">
        <v>2019</v>
      </c>
      <c r="B393" t="s">
        <v>58</v>
      </c>
      <c r="C393" t="s">
        <v>59</v>
      </c>
      <c r="D393" t="s">
        <v>60</v>
      </c>
      <c r="E393" t="s">
        <v>46</v>
      </c>
      <c r="F393">
        <v>769</v>
      </c>
      <c r="G393" s="3">
        <v>45295</v>
      </c>
      <c r="H393" s="5" cm="1">
        <f t="array" ref="H393">IFERROR(_xlfn.IFS(A393=$F$517,G393/$G$517,A393=$F$518,G393/$G$518,A393=$F$519,G393/$G$519,A393=$F$520,G393/$G$520,A393=$F$521,G393/$G$521,A393=$F$522,G393/$G$522,A393=$F$523,G393/$G$523,A393=$F$524,G393/$G$524),"")</f>
        <v>1.2306682249968537E-3</v>
      </c>
      <c r="I393" s="3" cm="1">
        <f t="array" ref="I393">IFERROR(_xlfn.IFS(A393=$M$3,H393*$S$3,A393=$M$4,H393*$S$4,A393=$M$5,H393*$S$5,A393=$M$6,H393*$S$6,A393=$M$7,H393*$S$7,A393=$M$8,H393*$S$8,A393=$M$9,H393*$S$9,A393=$M$10,H393*$S$10),"")</f>
        <v>156743.76557768672</v>
      </c>
      <c r="J393" s="3">
        <f t="shared" si="6"/>
        <v>202038.76557768672</v>
      </c>
      <c r="K393" s="3" t="str">
        <f>IFERROR(VLOOKUP(E393,'GASB Match'!$A$2:$C$58,3,FALSE),"")</f>
        <v>0200700</v>
      </c>
    </row>
    <row r="394" spans="1:11" x14ac:dyDescent="0.2">
      <c r="A394">
        <v>2020</v>
      </c>
      <c r="B394" t="s">
        <v>58</v>
      </c>
      <c r="C394" t="s">
        <v>59</v>
      </c>
      <c r="D394" t="s">
        <v>60</v>
      </c>
      <c r="E394" t="s">
        <v>46</v>
      </c>
      <c r="F394">
        <v>769</v>
      </c>
      <c r="G394" s="3">
        <v>48661</v>
      </c>
      <c r="H394" s="5" cm="1">
        <f t="array" ref="H394">IFERROR(_xlfn.IFS(A394=$F$517,G394/$G$517,A394=$F$518,G394/$G$518,A394=$F$519,G394/$G$519,A394=$F$520,G394/$G$520,A394=$F$521,G394/$G$521,A394=$F$522,G394/$G$522,A394=$F$523,G394/$G$523,A394=$F$524,G394/$G$524),"")</f>
        <v>1.426405189827296E-3</v>
      </c>
      <c r="I394" s="3" cm="1">
        <f t="array" ref="I394">IFERROR(_xlfn.IFS(A394=$M$3,H394*$S$3,A394=$M$4,H394*$S$4,A394=$M$5,H394*$S$5,A394=$M$6,H394*$S$6,A394=$M$7,H394*$S$7,A394=$M$8,H394*$S$8,A394=$M$9,H394*$S$9,A394=$M$10,H394*$S$10),"")</f>
        <v>200009.27334899045</v>
      </c>
      <c r="J394" s="3">
        <f t="shared" si="6"/>
        <v>248670.27334899045</v>
      </c>
      <c r="K394" s="3" t="str">
        <f>IFERROR(VLOOKUP(E394,'GASB Match'!$A$2:$C$58,3,FALSE),"")</f>
        <v>0200700</v>
      </c>
    </row>
    <row r="395" spans="1:11" x14ac:dyDescent="0.2">
      <c r="A395">
        <v>2021</v>
      </c>
      <c r="B395" t="s">
        <v>58</v>
      </c>
      <c r="C395" t="s">
        <v>59</v>
      </c>
      <c r="D395" t="s">
        <v>60</v>
      </c>
      <c r="E395" t="s">
        <v>46</v>
      </c>
      <c r="F395">
        <v>769</v>
      </c>
      <c r="G395" s="3">
        <v>44107</v>
      </c>
      <c r="H395" s="5" cm="1">
        <f t="array" ref="H395">IFERROR(_xlfn.IFS(A395=$F$517,G395/$G$517,A395=$F$518,G395/$G$518,A395=$F$519,G395/$G$519,A395=$F$520,G395/$G$520,A395=$F$521,G395/$G$521,A395=$F$522,G395/$G$522,A395=$F$523,G395/$G$523,A395=$F$524,G395/$G$524),"")</f>
        <v>1.5035328266106937E-3</v>
      </c>
      <c r="I395" s="3" cm="1">
        <f t="array" ref="I395">IFERROR(_xlfn.IFS(A395=$M$3,H395*$S$3,A395=$M$4,H395*$S$4,A395=$M$5,H395*$S$5,A395=$M$6,H395*$S$6,A395=$M$7,H395*$S$7,A395=$M$8,H395*$S$8,A395=$M$9,H395*$S$9,A395=$M$10,H395*$S$10),"")</f>
        <v>201578.64155309723</v>
      </c>
      <c r="J395" s="3">
        <f t="shared" si="6"/>
        <v>245685.64155309723</v>
      </c>
      <c r="K395" s="3" t="str">
        <f>IFERROR(VLOOKUP(E395,'GASB Match'!$A$2:$C$58,3,FALSE),"")</f>
        <v>0200700</v>
      </c>
    </row>
    <row r="396" spans="1:11" x14ac:dyDescent="0.2">
      <c r="A396">
        <v>2022</v>
      </c>
      <c r="B396" t="s">
        <v>58</v>
      </c>
      <c r="C396" t="s">
        <v>59</v>
      </c>
      <c r="D396" t="s">
        <v>60</v>
      </c>
      <c r="E396" t="s">
        <v>46</v>
      </c>
      <c r="F396">
        <v>769</v>
      </c>
      <c r="G396" s="3">
        <v>57969</v>
      </c>
      <c r="H396" s="5" cm="1">
        <f t="array" ref="H396">IFERROR(_xlfn.IFS(A396=$F$517,G396/$G$517,A396=$F$518,G396/$G$518,A396=$F$519,G396/$G$519,A396=$F$520,G396/$G$520,A396=$F$521,G396/$G$521,A396=$F$522,G396/$G$522,A396=$F$523,G396/$G$523,A396=$F$524,G396/$G$524),"")</f>
        <v>1.8877918462724098E-3</v>
      </c>
      <c r="I396" s="3" cm="1">
        <f t="array" ref="I396">IFERROR(_xlfn.IFS(A396=$M$3,H396*$S$3,A396=$M$4,H396*$S$4,A396=$M$5,H396*$S$5,A396=$M$6,H396*$S$6,A396=$M$7,H396*$S$7,A396=$M$8,H396*$S$8,A396=$M$9,H396*$S$9,A396=$M$10,H396*$S$10),"")</f>
        <v>267574.46473762515</v>
      </c>
      <c r="J396" s="3">
        <f t="shared" si="6"/>
        <v>325543.46473762515</v>
      </c>
      <c r="K396" s="3" t="str">
        <f>IFERROR(VLOOKUP(E396,'GASB Match'!$A$2:$C$58,3,FALSE),"")</f>
        <v>0200700</v>
      </c>
    </row>
    <row r="397" spans="1:11" x14ac:dyDescent="0.2">
      <c r="A397">
        <v>2023</v>
      </c>
      <c r="B397" t="s">
        <v>58</v>
      </c>
      <c r="C397" t="s">
        <v>59</v>
      </c>
      <c r="D397" t="s">
        <v>60</v>
      </c>
      <c r="E397" t="s">
        <v>46</v>
      </c>
      <c r="F397">
        <v>769</v>
      </c>
      <c r="G397" s="3">
        <v>106697</v>
      </c>
      <c r="H397" s="5" t="str" cm="1">
        <f t="array" ref="H397">IFERROR(_xlfn.IFS(A397=$F$517,G397/$G$517,A397=$F$518,G397/$G$518,A397=$F$519,G397/$G$519,A397=$F$520,G397/$G$520,A397=$F$521,G397/$G$521,A397=$F$522,G397/$G$522,A397=$F$523,G397/$G$523,A397=$F$524,G397/$G$524),"")</f>
        <v/>
      </c>
      <c r="I397" s="3" t="str" cm="1">
        <f t="array" ref="I397">IFERROR(_xlfn.IFS(A397=$M$3,H397*$S$3,A397=$M$4,H397*$S$4,A397=$M$5,H397*$S$5,A397=$M$6,H397*$S$6,A397=$M$7,H397*$S$7,A397=$M$8,H397*$S$8,A397=$M$9,H397*$S$9,A397=$M$10,H397*$S$10),"")</f>
        <v/>
      </c>
      <c r="J397" s="3">
        <f t="shared" si="6"/>
        <v>106697</v>
      </c>
      <c r="K397" s="3" t="str">
        <f>IFERROR(VLOOKUP(E397,'GASB Match'!$A$2:$C$58,3,FALSE),"")</f>
        <v>0200700</v>
      </c>
    </row>
    <row r="398" spans="1:11" x14ac:dyDescent="0.2">
      <c r="A398">
        <v>2015</v>
      </c>
      <c r="B398" t="s">
        <v>58</v>
      </c>
      <c r="C398" t="s">
        <v>59</v>
      </c>
      <c r="D398" t="s">
        <v>60</v>
      </c>
      <c r="E398" t="s">
        <v>121</v>
      </c>
      <c r="F398">
        <v>743</v>
      </c>
      <c r="G398" s="3">
        <v>22454</v>
      </c>
      <c r="H398" s="5" cm="1">
        <f t="array" ref="H398">IFERROR(_xlfn.IFS(A398=$F$517,G398/$G$517,A398=$F$518,G398/$G$518,A398=$F$519,G398/$G$519,A398=$F$520,G398/$G$520,A398=$F$521,G398/$G$521,A398=$F$522,G398/$G$522,A398=$F$523,G398/$G$523,A398=$F$524,G398/$G$524),"")</f>
        <v>4.6242963131441496E-4</v>
      </c>
      <c r="I398" s="3" cm="1">
        <f t="array" ref="I398">IFERROR(_xlfn.IFS(A398=$M$3,H398*$S$3,A398=$M$4,H398*$S$4,A398=$M$5,H398*$S$5,A398=$M$6,H398*$S$6,A398=$M$7,H398*$S$7,A398=$M$8,H398*$S$8,A398=$M$9,H398*$S$9,A398=$M$10,H398*$S$10),"")</f>
        <v>763247.97287490021</v>
      </c>
      <c r="J398" s="3">
        <f t="shared" si="6"/>
        <v>785701.97287490021</v>
      </c>
      <c r="K398" s="3" t="str">
        <f>IFERROR(VLOOKUP(E398,'GASB Match'!$A$2:$C$58,3,FALSE),"")</f>
        <v/>
      </c>
    </row>
    <row r="399" spans="1:11" x14ac:dyDescent="0.2">
      <c r="A399">
        <v>2016</v>
      </c>
      <c r="B399" t="s">
        <v>58</v>
      </c>
      <c r="C399" t="s">
        <v>59</v>
      </c>
      <c r="D399" t="s">
        <v>60</v>
      </c>
      <c r="E399" t="s">
        <v>121</v>
      </c>
      <c r="F399">
        <v>743</v>
      </c>
      <c r="G399" s="3">
        <v>17532</v>
      </c>
      <c r="H399" s="5" cm="1">
        <f t="array" ref="H399">IFERROR(_xlfn.IFS(A399=$F$517,G399/$G$517,A399=$F$518,G399/$G$518,A399=$F$519,G399/$G$519,A399=$F$520,G399/$G$520,A399=$F$521,G399/$G$521,A399=$F$522,G399/$G$522,A399=$F$523,G399/$G$523,A399=$F$524,G399/$G$524),"")</f>
        <v>5.1397658955659492E-4</v>
      </c>
      <c r="I399" s="3" cm="1">
        <f t="array" ref="I399">IFERROR(_xlfn.IFS(A399=$M$3,H399*$S$3,A399=$M$4,H399*$S$4,A399=$M$5,H399*$S$5,A399=$M$6,H399*$S$6,A399=$M$7,H399*$S$7,A399=$M$8,H399*$S$8,A399=$M$9,H399*$S$9,A399=$M$10,H399*$S$10),"")</f>
        <v>46236.025412114272</v>
      </c>
      <c r="J399" s="3">
        <f t="shared" si="6"/>
        <v>63768.025412114272</v>
      </c>
      <c r="K399" s="3" t="str">
        <f>IFERROR(VLOOKUP(E399,'GASB Match'!$A$2:$C$58,3,FALSE),"")</f>
        <v/>
      </c>
    </row>
    <row r="400" spans="1:11" x14ac:dyDescent="0.2">
      <c r="A400">
        <v>2017</v>
      </c>
      <c r="B400" t="s">
        <v>58</v>
      </c>
      <c r="C400" t="s">
        <v>59</v>
      </c>
      <c r="D400" t="s">
        <v>60</v>
      </c>
      <c r="E400" t="s">
        <v>121</v>
      </c>
      <c r="F400">
        <v>743</v>
      </c>
      <c r="G400" s="3">
        <v>20947</v>
      </c>
      <c r="H400" s="5" cm="1">
        <f t="array" ref="H400">IFERROR(_xlfn.IFS(A400=$F$517,G400/$G$517,A400=$F$518,G400/$G$518,A400=$F$519,G400/$G$519,A400=$F$520,G400/$G$520,A400=$F$521,G400/$G$521,A400=$F$522,G400/$G$522,A400=$F$523,G400/$G$523,A400=$F$524,G400/$G$524),"")</f>
        <v>5.6077671657856973E-4</v>
      </c>
      <c r="I400" s="3" cm="1">
        <f t="array" ref="I400">IFERROR(_xlfn.IFS(A400=$M$3,H400*$S$3,A400=$M$4,H400*$S$4,A400=$M$5,H400*$S$5,A400=$M$6,H400*$S$6,A400=$M$7,H400*$S$7,A400=$M$8,H400*$S$8,A400=$M$9,H400*$S$9,A400=$M$10,H400*$S$10),"")</f>
        <v>65039.017053641066</v>
      </c>
      <c r="J400" s="3">
        <f t="shared" si="6"/>
        <v>85986.017053641059</v>
      </c>
      <c r="K400" s="3" t="str">
        <f>IFERROR(VLOOKUP(E400,'GASB Match'!$A$2:$C$58,3,FALSE),"")</f>
        <v/>
      </c>
    </row>
    <row r="401" spans="1:11" x14ac:dyDescent="0.2">
      <c r="A401">
        <v>2018</v>
      </c>
      <c r="B401" t="s">
        <v>58</v>
      </c>
      <c r="C401" t="s">
        <v>59</v>
      </c>
      <c r="D401" t="s">
        <v>60</v>
      </c>
      <c r="E401" t="s">
        <v>121</v>
      </c>
      <c r="F401">
        <v>743</v>
      </c>
      <c r="G401" s="3">
        <v>24561</v>
      </c>
      <c r="H401" s="5" cm="1">
        <f t="array" ref="H401">IFERROR(_xlfn.IFS(A401=$F$517,G401/$G$517,A401=$F$518,G401/$G$518,A401=$F$519,G401/$G$519,A401=$F$520,G401/$G$520,A401=$F$521,G401/$G$521,A401=$F$522,G401/$G$522,A401=$F$523,G401/$G$523,A401=$F$524,G401/$G$524),"")</f>
        <v>6.0569254818388903E-4</v>
      </c>
      <c r="I401" s="3" cm="1">
        <f t="array" ref="I401">IFERROR(_xlfn.IFS(A401=$M$3,H401*$S$3,A401=$M$4,H401*$S$4,A401=$M$5,H401*$S$5,A401=$M$6,H401*$S$6,A401=$M$7,H401*$S$7,A401=$M$8,H401*$S$8,A401=$M$9,H401*$S$9,A401=$M$10,H401*$S$10),"")</f>
        <v>67257.470021190486</v>
      </c>
      <c r="J401" s="3">
        <f t="shared" si="6"/>
        <v>91818.470021190486</v>
      </c>
      <c r="K401" s="3" t="str">
        <f>IFERROR(VLOOKUP(E401,'GASB Match'!$A$2:$C$58,3,FALSE),"")</f>
        <v/>
      </c>
    </row>
    <row r="402" spans="1:11" x14ac:dyDescent="0.2">
      <c r="A402">
        <v>2019</v>
      </c>
      <c r="B402" t="s">
        <v>58</v>
      </c>
      <c r="C402" t="s">
        <v>59</v>
      </c>
      <c r="D402" t="s">
        <v>60</v>
      </c>
      <c r="E402" t="s">
        <v>121</v>
      </c>
      <c r="F402">
        <v>743</v>
      </c>
      <c r="G402" s="3">
        <v>16072</v>
      </c>
      <c r="H402" s="5" cm="1">
        <f t="array" ref="H402">IFERROR(_xlfn.IFS(A402=$F$517,G402/$G$517,A402=$F$518,G402/$G$518,A402=$F$519,G402/$G$519,A402=$F$520,G402/$G$520,A402=$F$521,G402/$G$521,A402=$F$522,G402/$G$522,A402=$F$523,G402/$G$523,A402=$F$524,G402/$G$524),"")</f>
        <v>4.3667733109944659E-4</v>
      </c>
      <c r="I402" s="3" cm="1">
        <f t="array" ref="I402">IFERROR(_xlfn.IFS(A402=$M$3,H402*$S$3,A402=$M$4,H402*$S$4,A402=$M$5,H402*$S$5,A402=$M$6,H402*$S$6,A402=$M$7,H402*$S$7,A402=$M$8,H402*$S$8,A402=$M$9,H402*$S$9,A402=$M$10,H402*$S$10),"")</f>
        <v>55617.304346276214</v>
      </c>
      <c r="J402" s="3">
        <f t="shared" si="6"/>
        <v>71689.304346276214</v>
      </c>
      <c r="K402" s="3" t="str">
        <f>IFERROR(VLOOKUP(E402,'GASB Match'!$A$2:$C$58,3,FALSE),"")</f>
        <v/>
      </c>
    </row>
    <row r="403" spans="1:11" x14ac:dyDescent="0.2">
      <c r="A403">
        <v>2020</v>
      </c>
      <c r="B403" t="s">
        <v>58</v>
      </c>
      <c r="C403" t="s">
        <v>59</v>
      </c>
      <c r="D403" t="s">
        <v>60</v>
      </c>
      <c r="E403" t="s">
        <v>121</v>
      </c>
      <c r="F403">
        <v>743</v>
      </c>
      <c r="G403" s="3">
        <v>13627</v>
      </c>
      <c r="H403" s="5" cm="1">
        <f t="array" ref="H403">IFERROR(_xlfn.IFS(A403=$F$517,G403/$G$517,A403=$F$518,G403/$G$518,A403=$F$519,G403/$G$519,A403=$F$520,G403/$G$520,A403=$F$521,G403/$G$521,A403=$F$522,G403/$G$522,A403=$F$523,G403/$G$523,A403=$F$524,G403/$G$524),"")</f>
        <v>3.9944973432063795E-4</v>
      </c>
      <c r="I403" s="3" cm="1">
        <f t="array" ref="I403">IFERROR(_xlfn.IFS(A403=$M$3,H403*$S$3,A403=$M$4,H403*$S$4,A403=$M$5,H403*$S$5,A403=$M$6,H403*$S$6,A403=$M$7,H403*$S$7,A403=$M$8,H403*$S$8,A403=$M$9,H403*$S$9,A403=$M$10,H403*$S$10),"")</f>
        <v>56010.488233424978</v>
      </c>
      <c r="J403" s="3">
        <f t="shared" si="6"/>
        <v>69637.488233424985</v>
      </c>
      <c r="K403" s="3" t="str">
        <f>IFERROR(VLOOKUP(E403,'GASB Match'!$A$2:$C$58,3,FALSE),"")</f>
        <v/>
      </c>
    </row>
    <row r="404" spans="1:11" x14ac:dyDescent="0.2">
      <c r="A404">
        <v>2021</v>
      </c>
      <c r="B404" t="s">
        <v>58</v>
      </c>
      <c r="C404" t="s">
        <v>59</v>
      </c>
      <c r="D404" t="s">
        <v>60</v>
      </c>
      <c r="E404" t="s">
        <v>121</v>
      </c>
      <c r="F404">
        <v>743</v>
      </c>
      <c r="G404" s="3">
        <v>13905</v>
      </c>
      <c r="H404" s="5" cm="1">
        <f t="array" ref="H404">IFERROR(_xlfn.IFS(A404=$F$517,G404/$G$517,A404=$F$518,G404/$G$518,A404=$F$519,G404/$G$519,A404=$F$520,G404/$G$520,A404=$F$521,G404/$G$521,A404=$F$522,G404/$G$522,A404=$F$523,G404/$G$523,A404=$F$524,G404/$G$524),"")</f>
        <v>4.7399786777658186E-4</v>
      </c>
      <c r="I404" s="3" cm="1">
        <f t="array" ref="I404">IFERROR(_xlfn.IFS(A404=$M$3,H404*$S$3,A404=$M$4,H404*$S$4,A404=$M$5,H404*$S$5,A404=$M$6,H404*$S$6,A404=$M$7,H404*$S$7,A404=$M$8,H404*$S$8,A404=$M$9,H404*$S$9,A404=$M$10,H404*$S$10),"")</f>
        <v>63548.892710812725</v>
      </c>
      <c r="J404" s="3">
        <f t="shared" si="6"/>
        <v>77453.892710812725</v>
      </c>
      <c r="K404" s="3" t="str">
        <f>IFERROR(VLOOKUP(E404,'GASB Match'!$A$2:$C$58,3,FALSE),"")</f>
        <v/>
      </c>
    </row>
    <row r="405" spans="1:11" x14ac:dyDescent="0.2">
      <c r="A405">
        <v>2022</v>
      </c>
      <c r="B405" t="s">
        <v>58</v>
      </c>
      <c r="C405" t="s">
        <v>59</v>
      </c>
      <c r="D405" t="s">
        <v>60</v>
      </c>
      <c r="E405" t="s">
        <v>121</v>
      </c>
      <c r="F405">
        <v>743</v>
      </c>
      <c r="G405" s="3">
        <v>13135</v>
      </c>
      <c r="H405" s="5" cm="1">
        <f t="array" ref="H405">IFERROR(_xlfn.IFS(A405=$F$517,G405/$G$517,A405=$F$518,G405/$G$518,A405=$F$519,G405/$G$519,A405=$F$520,G405/$G$520,A405=$F$521,G405/$G$521,A405=$F$522,G405/$G$522,A405=$F$523,G405/$G$523,A405=$F$524,G405/$G$524),"")</f>
        <v>4.2774838104483608E-4</v>
      </c>
      <c r="I405" s="3" cm="1">
        <f t="array" ref="I405">IFERROR(_xlfn.IFS(A405=$M$3,H405*$S$3,A405=$M$4,H405*$S$4,A405=$M$5,H405*$S$5,A405=$M$6,H405*$S$6,A405=$M$7,H405*$S$7,A405=$M$8,H405*$S$8,A405=$M$9,H405*$S$9,A405=$M$10,H405*$S$10),"")</f>
        <v>60628.794602782626</v>
      </c>
      <c r="J405" s="3">
        <f t="shared" si="6"/>
        <v>73763.794602782626</v>
      </c>
      <c r="K405" s="3" t="str">
        <f>IFERROR(VLOOKUP(E405,'GASB Match'!$A$2:$C$58,3,FALSE),"")</f>
        <v/>
      </c>
    </row>
    <row r="406" spans="1:11" x14ac:dyDescent="0.2">
      <c r="A406">
        <v>2023</v>
      </c>
      <c r="B406" t="s">
        <v>58</v>
      </c>
      <c r="C406" t="s">
        <v>59</v>
      </c>
      <c r="D406" t="s">
        <v>60</v>
      </c>
      <c r="E406" t="s">
        <v>121</v>
      </c>
      <c r="F406">
        <v>743</v>
      </c>
      <c r="G406" s="3">
        <v>14574</v>
      </c>
      <c r="H406" s="5" t="str" cm="1">
        <f t="array" ref="H406">IFERROR(_xlfn.IFS(A406=$F$517,G406/$G$517,A406=$F$518,G406/$G$518,A406=$F$519,G406/$G$519,A406=$F$520,G406/$G$520,A406=$F$521,G406/$G$521,A406=$F$522,G406/$G$522,A406=$F$523,G406/$G$523,A406=$F$524,G406/$G$524),"")</f>
        <v/>
      </c>
      <c r="I406" s="3" t="str" cm="1">
        <f t="array" ref="I406">IFERROR(_xlfn.IFS(A406=$M$3,H406*$S$3,A406=$M$4,H406*$S$4,A406=$M$5,H406*$S$5,A406=$M$6,H406*$S$6,A406=$M$7,H406*$S$7,A406=$M$8,H406*$S$8,A406=$M$9,H406*$S$9,A406=$M$10,H406*$S$10),"")</f>
        <v/>
      </c>
      <c r="J406" s="3">
        <f t="shared" si="6"/>
        <v>14574</v>
      </c>
      <c r="K406" s="3" t="str">
        <f>IFERROR(VLOOKUP(E406,'GASB Match'!$A$2:$C$58,3,FALSE),"")</f>
        <v/>
      </c>
    </row>
    <row r="407" spans="1:11" x14ac:dyDescent="0.2">
      <c r="A407">
        <v>2015</v>
      </c>
      <c r="B407" t="s">
        <v>58</v>
      </c>
      <c r="C407" t="s">
        <v>59</v>
      </c>
      <c r="D407" t="s">
        <v>60</v>
      </c>
      <c r="E407" t="s">
        <v>34</v>
      </c>
      <c r="F407">
        <v>756</v>
      </c>
      <c r="G407" s="3">
        <v>145378</v>
      </c>
      <c r="H407" s="5" cm="1">
        <f t="array" ref="H407">IFERROR(_xlfn.IFS(A407=$F$517,G407/$G$517,A407=$F$518,G407/$G$518,A407=$F$519,G407/$G$519,A407=$F$520,G407/$G$520,A407=$F$521,G407/$G$521,A407=$F$522,G407/$G$522,A407=$F$523,G407/$G$523,A407=$F$524,G407/$G$524),"")</f>
        <v>2.993991936457959E-3</v>
      </c>
      <c r="I407" s="3" cm="1">
        <f t="array" ref="I407">IFERROR(_xlfn.IFS(A407=$M$3,H407*$S$3,A407=$M$4,H407*$S$4,A407=$M$5,H407*$S$5,A407=$M$6,H407*$S$6,A407=$M$7,H407*$S$7,A407=$M$8,H407*$S$8,A407=$M$9,H407*$S$9,A407=$M$10,H407*$S$10),"")</f>
        <v>4941634.6219206927</v>
      </c>
      <c r="J407" s="3">
        <f t="shared" si="6"/>
        <v>5087012.6219206927</v>
      </c>
      <c r="K407" s="3" t="str">
        <f>IFERROR(VLOOKUP(E407,'GASB Match'!$A$2:$C$58,3,FALSE),"")</f>
        <v>0200710</v>
      </c>
    </row>
    <row r="408" spans="1:11" x14ac:dyDescent="0.2">
      <c r="A408">
        <v>2016</v>
      </c>
      <c r="B408" t="s">
        <v>58</v>
      </c>
      <c r="C408" t="s">
        <v>59</v>
      </c>
      <c r="D408" t="s">
        <v>60</v>
      </c>
      <c r="E408" t="s">
        <v>34</v>
      </c>
      <c r="F408">
        <v>756</v>
      </c>
      <c r="G408" s="3">
        <v>141066</v>
      </c>
      <c r="H408" s="5" cm="1">
        <f t="array" ref="H408">IFERROR(_xlfn.IFS(A408=$F$517,G408/$G$517,A408=$F$518,G408/$G$518,A408=$F$519,G408/$G$519,A408=$F$520,G408/$G$520,A408=$F$521,G408/$G$521,A408=$F$522,G408/$G$522,A408=$F$523,G408/$G$523,A408=$F$524,G408/$G$524),"")</f>
        <v>4.1355590681263184E-3</v>
      </c>
      <c r="I408" s="3" cm="1">
        <f t="array" ref="I408">IFERROR(_xlfn.IFS(A408=$M$3,H408*$S$3,A408=$M$4,H408*$S$4,A408=$M$5,H408*$S$5,A408=$M$6,H408*$S$6,A408=$M$7,H408*$S$7,A408=$M$8,H408*$S$8,A408=$M$9,H408*$S$9,A408=$M$10,H408*$S$10),"")</f>
        <v>372024.36463525618</v>
      </c>
      <c r="J408" s="3">
        <f t="shared" si="6"/>
        <v>513090.36463525618</v>
      </c>
      <c r="K408" s="3" t="str">
        <f>IFERROR(VLOOKUP(E408,'GASB Match'!$A$2:$C$58,3,FALSE),"")</f>
        <v>0200710</v>
      </c>
    </row>
    <row r="409" spans="1:11" x14ac:dyDescent="0.2">
      <c r="A409">
        <v>2017</v>
      </c>
      <c r="B409" t="s">
        <v>58</v>
      </c>
      <c r="C409" t="s">
        <v>59</v>
      </c>
      <c r="D409" t="s">
        <v>60</v>
      </c>
      <c r="E409" t="s">
        <v>34</v>
      </c>
      <c r="F409">
        <v>756</v>
      </c>
      <c r="G409" s="3">
        <v>149933</v>
      </c>
      <c r="H409" s="5" cm="1">
        <f t="array" ref="H409">IFERROR(_xlfn.IFS(A409=$F$517,G409/$G$517,A409=$F$518,G409/$G$518,A409=$F$519,G409/$G$519,A409=$F$520,G409/$G$520,A409=$F$521,G409/$G$521,A409=$F$522,G409/$G$522,A409=$F$523,G409/$G$523,A409=$F$524,G409/$G$524),"")</f>
        <v>4.0138891223934067E-3</v>
      </c>
      <c r="I409" s="3" cm="1">
        <f t="array" ref="I409">IFERROR(_xlfn.IFS(A409=$M$3,H409*$S$3,A409=$M$4,H409*$S$4,A409=$M$5,H409*$S$5,A409=$M$6,H409*$S$6,A409=$M$7,H409*$S$7,A409=$M$8,H409*$S$8,A409=$M$9,H409*$S$9,A409=$M$10,H409*$S$10),"")</f>
        <v>465531.81572079845</v>
      </c>
      <c r="J409" s="3">
        <f t="shared" si="6"/>
        <v>615464.81572079845</v>
      </c>
      <c r="K409" s="3" t="str">
        <f>IFERROR(VLOOKUP(E409,'GASB Match'!$A$2:$C$58,3,FALSE),"")</f>
        <v>0200710</v>
      </c>
    </row>
    <row r="410" spans="1:11" x14ac:dyDescent="0.2">
      <c r="A410">
        <v>2018</v>
      </c>
      <c r="B410" t="s">
        <v>58</v>
      </c>
      <c r="C410" t="s">
        <v>59</v>
      </c>
      <c r="D410" t="s">
        <v>60</v>
      </c>
      <c r="E410" t="s">
        <v>34</v>
      </c>
      <c r="F410">
        <v>756</v>
      </c>
      <c r="G410" s="3">
        <v>175811</v>
      </c>
      <c r="H410" s="5" cm="1">
        <f t="array" ref="H410">IFERROR(_xlfn.IFS(A410=$F$517,G410/$G$517,A410=$F$518,G410/$G$518,A410=$F$519,G410/$G$519,A410=$F$520,G410/$G$520,A410=$F$521,G410/$G$521,A410=$F$522,G410/$G$522,A410=$F$523,G410/$G$523,A410=$F$524,G410/$G$524),"")</f>
        <v>4.3356301693236315E-3</v>
      </c>
      <c r="I410" s="3" cm="1">
        <f t="array" ref="I410">IFERROR(_xlfn.IFS(A410=$M$3,H410*$S$3,A410=$M$4,H410*$S$4,A410=$M$5,H410*$S$5,A410=$M$6,H410*$S$6,A410=$M$7,H410*$S$7,A410=$M$8,H410*$S$8,A410=$M$9,H410*$S$9,A410=$M$10,H410*$S$10),"")</f>
        <v>481438.17686150887</v>
      </c>
      <c r="J410" s="3">
        <f t="shared" si="6"/>
        <v>657249.17686150887</v>
      </c>
      <c r="K410" s="3" t="str">
        <f>IFERROR(VLOOKUP(E410,'GASB Match'!$A$2:$C$58,3,FALSE),"")</f>
        <v>0200710</v>
      </c>
    </row>
    <row r="411" spans="1:11" x14ac:dyDescent="0.2">
      <c r="A411">
        <v>2019</v>
      </c>
      <c r="B411" t="s">
        <v>58</v>
      </c>
      <c r="C411" t="s">
        <v>59</v>
      </c>
      <c r="D411" t="s">
        <v>60</v>
      </c>
      <c r="E411" t="s">
        <v>34</v>
      </c>
      <c r="F411">
        <v>756</v>
      </c>
      <c r="G411" s="3">
        <v>157951</v>
      </c>
      <c r="H411" s="5" cm="1">
        <f t="array" ref="H411">IFERROR(_xlfn.IFS(A411=$F$517,G411/$G$517,A411=$F$518,G411/$G$518,A411=$F$519,G411/$G$519,A411=$F$520,G411/$G$520,A411=$F$521,G411/$G$521,A411=$F$522,G411/$G$522,A411=$F$523,G411/$G$523,A411=$F$524,G411/$G$524),"")</f>
        <v>4.2915393930119889E-3</v>
      </c>
      <c r="I411" s="3" cm="1">
        <f t="array" ref="I411">IFERROR(_xlfn.IFS(A411=$M$3,H411*$S$3,A411=$M$4,H411*$S$4,A411=$M$5,H411*$S$5,A411=$M$6,H411*$S$6,A411=$M$7,H411*$S$7,A411=$M$8,H411*$S$8,A411=$M$9,H411*$S$9,A411=$M$10,H411*$S$10),"")</f>
        <v>546590.89340459637</v>
      </c>
      <c r="J411" s="3">
        <f t="shared" si="6"/>
        <v>704541.89340459637</v>
      </c>
      <c r="K411" s="3" t="str">
        <f>IFERROR(VLOOKUP(E411,'GASB Match'!$A$2:$C$58,3,FALSE),"")</f>
        <v>0200710</v>
      </c>
    </row>
    <row r="412" spans="1:11" x14ac:dyDescent="0.2">
      <c r="A412">
        <v>2020</v>
      </c>
      <c r="B412" t="s">
        <v>58</v>
      </c>
      <c r="C412" t="s">
        <v>59</v>
      </c>
      <c r="D412" t="s">
        <v>60</v>
      </c>
      <c r="E412" t="s">
        <v>34</v>
      </c>
      <c r="F412">
        <v>756</v>
      </c>
      <c r="G412" s="3">
        <v>147642</v>
      </c>
      <c r="H412" s="5" cm="1">
        <f t="array" ref="H412">IFERROR(_xlfn.IFS(A412=$F$517,G412/$G$517,A412=$F$518,G412/$G$518,A412=$F$519,G412/$G$519,A412=$F$520,G412/$G$520,A412=$F$521,G412/$G$521,A412=$F$522,G412/$G$522,A412=$F$523,G412/$G$523,A412=$F$524,G412/$G$524),"")</f>
        <v>4.3278460170666786E-3</v>
      </c>
      <c r="I412" s="3" cm="1">
        <f t="array" ref="I412">IFERROR(_xlfn.IFS(A412=$M$3,H412*$S$3,A412=$M$4,H412*$S$4,A412=$M$5,H412*$S$5,A412=$M$6,H412*$S$6,A412=$M$7,H412*$S$7,A412=$M$8,H412*$S$8,A412=$M$9,H412*$S$9,A412=$M$10,H412*$S$10),"")</f>
        <v>606846.73836936452</v>
      </c>
      <c r="J412" s="3">
        <f t="shared" si="6"/>
        <v>754488.73836936452</v>
      </c>
      <c r="K412" s="3" t="str">
        <f>IFERROR(VLOOKUP(E412,'GASB Match'!$A$2:$C$58,3,FALSE),"")</f>
        <v>0200710</v>
      </c>
    </row>
    <row r="413" spans="1:11" x14ac:dyDescent="0.2">
      <c r="A413">
        <v>2021</v>
      </c>
      <c r="B413" t="s">
        <v>58</v>
      </c>
      <c r="C413" t="s">
        <v>59</v>
      </c>
      <c r="D413" t="s">
        <v>60</v>
      </c>
      <c r="E413" t="s">
        <v>34</v>
      </c>
      <c r="F413">
        <v>756</v>
      </c>
      <c r="G413" s="3">
        <v>163506</v>
      </c>
      <c r="H413" s="5" cm="1">
        <f t="array" ref="H413">IFERROR(_xlfn.IFS(A413=$F$517,G413/$G$517,A413=$F$518,G413/$G$518,A413=$F$519,G413/$G$519,A413=$F$520,G413/$G$520,A413=$F$521,G413/$G$521,A413=$F$522,G413/$G$522,A413=$F$523,G413/$G$523,A413=$F$524,G413/$G$524),"")</f>
        <v>5.5736422415446091E-3</v>
      </c>
      <c r="I413" s="3" cm="1">
        <f t="array" ref="I413">IFERROR(_xlfn.IFS(A413=$M$3,H413*$S$3,A413=$M$4,H413*$S$4,A413=$M$5,H413*$S$5,A413=$M$6,H413*$S$6,A413=$M$7,H413*$S$7,A413=$M$8,H413*$S$8,A413=$M$9,H413*$S$9,A413=$M$10,H413*$S$10),"")</f>
        <v>747258.19860295905</v>
      </c>
      <c r="J413" s="3">
        <f t="shared" si="6"/>
        <v>910764.19860295905</v>
      </c>
      <c r="K413" s="3" t="str">
        <f>IFERROR(VLOOKUP(E413,'GASB Match'!$A$2:$C$58,3,FALSE),"")</f>
        <v>0200710</v>
      </c>
    </row>
    <row r="414" spans="1:11" x14ac:dyDescent="0.2">
      <c r="A414">
        <v>2022</v>
      </c>
      <c r="B414" t="s">
        <v>58</v>
      </c>
      <c r="C414" t="s">
        <v>59</v>
      </c>
      <c r="D414" t="s">
        <v>60</v>
      </c>
      <c r="E414" t="s">
        <v>34</v>
      </c>
      <c r="F414">
        <v>756</v>
      </c>
      <c r="G414" s="3">
        <v>125483</v>
      </c>
      <c r="H414" s="5" cm="1">
        <f t="array" ref="H414">IFERROR(_xlfn.IFS(A414=$F$517,G414/$G$517,A414=$F$518,G414/$G$518,A414=$F$519,G414/$G$519,A414=$F$520,G414/$G$520,A414=$F$521,G414/$G$521,A414=$F$522,G414/$G$522,A414=$F$523,G414/$G$523,A414=$F$524,G414/$G$524),"")</f>
        <v>4.0864217813969669E-3</v>
      </c>
      <c r="I414" s="3" cm="1">
        <f t="array" ref="I414">IFERROR(_xlfn.IFS(A414=$M$3,H414*$S$3,A414=$M$4,H414*$S$4,A414=$M$5,H414*$S$5,A414=$M$6,H414*$S$6,A414=$M$7,H414*$S$7,A414=$M$8,H414*$S$8,A414=$M$9,H414*$S$9,A414=$M$10,H414*$S$10),"")</f>
        <v>579206.93057791947</v>
      </c>
      <c r="J414" s="3">
        <f t="shared" si="6"/>
        <v>704689.93057791947</v>
      </c>
      <c r="K414" s="3" t="str">
        <f>IFERROR(VLOOKUP(E414,'GASB Match'!$A$2:$C$58,3,FALSE),"")</f>
        <v>0200710</v>
      </c>
    </row>
    <row r="415" spans="1:11" x14ac:dyDescent="0.2">
      <c r="A415">
        <v>2023</v>
      </c>
      <c r="B415" t="s">
        <v>58</v>
      </c>
      <c r="C415" t="s">
        <v>59</v>
      </c>
      <c r="D415" t="s">
        <v>60</v>
      </c>
      <c r="E415" t="s">
        <v>34</v>
      </c>
      <c r="F415">
        <v>756</v>
      </c>
      <c r="G415" s="3">
        <v>222307</v>
      </c>
      <c r="H415" s="5" t="str" cm="1">
        <f t="array" ref="H415">IFERROR(_xlfn.IFS(A415=$F$517,G415/$G$517,A415=$F$518,G415/$G$518,A415=$F$519,G415/$G$519,A415=$F$520,G415/$G$520,A415=$F$521,G415/$G$521,A415=$F$522,G415/$G$522,A415=$F$523,G415/$G$523,A415=$F$524,G415/$G$524),"")</f>
        <v/>
      </c>
      <c r="I415" s="3" t="str" cm="1">
        <f t="array" ref="I415">IFERROR(_xlfn.IFS(A415=$M$3,H415*$S$3,A415=$M$4,H415*$S$4,A415=$M$5,H415*$S$5,A415=$M$6,H415*$S$6,A415=$M$7,H415*$S$7,A415=$M$8,H415*$S$8,A415=$M$9,H415*$S$9,A415=$M$10,H415*$S$10),"")</f>
        <v/>
      </c>
      <c r="J415" s="3">
        <f t="shared" si="6"/>
        <v>222307</v>
      </c>
      <c r="K415" s="3" t="str">
        <f>IFERROR(VLOOKUP(E415,'GASB Match'!$A$2:$C$58,3,FALSE),"")</f>
        <v>0200710</v>
      </c>
    </row>
    <row r="416" spans="1:11" x14ac:dyDescent="0.2">
      <c r="A416">
        <v>2015</v>
      </c>
      <c r="B416" t="s">
        <v>58</v>
      </c>
      <c r="C416" t="s">
        <v>59</v>
      </c>
      <c r="D416" t="s">
        <v>60</v>
      </c>
      <c r="E416" t="s">
        <v>122</v>
      </c>
      <c r="F416">
        <v>779</v>
      </c>
      <c r="G416" s="3">
        <v>39682</v>
      </c>
      <c r="H416" s="5" cm="1">
        <f t="array" ref="H416">IFERROR(_xlfn.IFS(A416=$F$517,G416/$G$517,A416=$F$518,G416/$G$518,A416=$F$519,G416/$G$519,A416=$F$520,G416/$G$520,A416=$F$521,G416/$G$521,A416=$F$522,G416/$G$522,A416=$F$523,G416/$G$523,A416=$F$524,G416/$G$524),"")</f>
        <v>8.1723223611911524E-4</v>
      </c>
      <c r="I416" s="3" cm="1">
        <f t="array" ref="I416">IFERROR(_xlfn.IFS(A416=$M$3,H416*$S$3,A416=$M$4,H416*$S$4,A416=$M$5,H416*$S$5,A416=$M$6,H416*$S$6,A416=$M$7,H416*$S$7,A416=$M$8,H416*$S$8,A416=$M$9,H416*$S$9,A416=$M$10,H416*$S$10),"")</f>
        <v>1348855.7076521683</v>
      </c>
      <c r="J416" s="3">
        <f t="shared" si="6"/>
        <v>1388537.7076521683</v>
      </c>
      <c r="K416" s="3" t="str">
        <f>IFERROR(VLOOKUP(E416,'GASB Match'!$A$2:$C$58,3,FALSE),"")</f>
        <v/>
      </c>
    </row>
    <row r="417" spans="1:11" x14ac:dyDescent="0.2">
      <c r="A417">
        <v>2016</v>
      </c>
      <c r="B417" t="s">
        <v>58</v>
      </c>
      <c r="C417" t="s">
        <v>59</v>
      </c>
      <c r="D417" t="s">
        <v>60</v>
      </c>
      <c r="E417" t="s">
        <v>122</v>
      </c>
      <c r="F417">
        <v>779</v>
      </c>
      <c r="G417" s="3">
        <v>30639</v>
      </c>
      <c r="H417" s="5" cm="1">
        <f t="array" ref="H417">IFERROR(_xlfn.IFS(A417=$F$517,G417/$G$517,A417=$F$518,G417/$G$518,A417=$F$519,G417/$G$519,A417=$F$520,G417/$G$520,A417=$F$521,G417/$G$521,A417=$F$522,G417/$G$522,A417=$F$523,G417/$G$523,A417=$F$524,G417/$G$524),"")</f>
        <v>8.982277394150417E-4</v>
      </c>
      <c r="I417" s="3" cm="1">
        <f t="array" ref="I417">IFERROR(_xlfn.IFS(A417=$M$3,H417*$S$3,A417=$M$4,H417*$S$4,A417=$M$5,H417*$S$5,A417=$M$6,H417*$S$6,A417=$M$7,H417*$S$7,A417=$M$8,H417*$S$8,A417=$M$9,H417*$S$9,A417=$M$10,H417*$S$10),"")</f>
        <v>80802.2805499526</v>
      </c>
      <c r="J417" s="3">
        <f t="shared" si="6"/>
        <v>111441.2805499526</v>
      </c>
      <c r="K417" s="3" t="str">
        <f>IFERROR(VLOOKUP(E417,'GASB Match'!$A$2:$C$58,3,FALSE),"")</f>
        <v/>
      </c>
    </row>
    <row r="418" spans="1:11" x14ac:dyDescent="0.2">
      <c r="A418">
        <v>2017</v>
      </c>
      <c r="B418" t="s">
        <v>58</v>
      </c>
      <c r="C418" t="s">
        <v>59</v>
      </c>
      <c r="D418" t="s">
        <v>60</v>
      </c>
      <c r="E418" t="s">
        <v>122</v>
      </c>
      <c r="F418">
        <v>779</v>
      </c>
      <c r="G418" s="3">
        <v>30287</v>
      </c>
      <c r="H418" s="5" cm="1">
        <f t="array" ref="H418">IFERROR(_xlfn.IFS(A418=$F$517,G418/$G$517,A418=$F$518,G418/$G$518,A418=$F$519,G418/$G$519,A418=$F$520,G418/$G$520,A418=$F$521,G418/$G$521,A418=$F$522,G418/$G$522,A418=$F$523,G418/$G$523,A418=$F$524,G418/$G$524),"")</f>
        <v>8.1081989855421503E-4</v>
      </c>
      <c r="I418" s="3" cm="1">
        <f t="array" ref="I418">IFERROR(_xlfn.IFS(A418=$M$3,H418*$S$3,A418=$M$4,H418*$S$4,A418=$M$5,H418*$S$5,A418=$M$6,H418*$S$6,A418=$M$7,H418*$S$7,A418=$M$8,H418*$S$8,A418=$M$9,H418*$S$9,A418=$M$10,H418*$S$10),"")</f>
        <v>94039.084809453721</v>
      </c>
      <c r="J418" s="3">
        <f t="shared" si="6"/>
        <v>124326.08480945372</v>
      </c>
      <c r="K418" s="3" t="str">
        <f>IFERROR(VLOOKUP(E418,'GASB Match'!$A$2:$C$58,3,FALSE),"")</f>
        <v/>
      </c>
    </row>
    <row r="419" spans="1:11" x14ac:dyDescent="0.2">
      <c r="A419">
        <v>2018</v>
      </c>
      <c r="B419" t="s">
        <v>58</v>
      </c>
      <c r="C419" t="s">
        <v>59</v>
      </c>
      <c r="D419" t="s">
        <v>60</v>
      </c>
      <c r="E419" t="s">
        <v>122</v>
      </c>
      <c r="F419">
        <v>779</v>
      </c>
      <c r="G419" s="3">
        <v>32604</v>
      </c>
      <c r="H419" s="5" cm="1">
        <f t="array" ref="H419">IFERROR(_xlfn.IFS(A419=$F$517,G419/$G$517,A419=$F$518,G419/$G$518,A419=$F$519,G419/$G$519,A419=$F$520,G419/$G$520,A419=$F$521,G419/$G$521,A419=$F$522,G419/$G$522,A419=$F$523,G419/$G$523,A419=$F$524,G419/$G$524),"")</f>
        <v>8.0403891702241436E-4</v>
      </c>
      <c r="I419" s="3" cm="1">
        <f t="array" ref="I419">IFERROR(_xlfn.IFS(A419=$M$3,H419*$S$3,A419=$M$4,H419*$S$4,A419=$M$5,H419*$S$5,A419=$M$6,H419*$S$6,A419=$M$7,H419*$S$7,A419=$M$8,H419*$S$8,A419=$M$9,H419*$S$9,A419=$M$10,H419*$S$10),"")</f>
        <v>89282.299278160281</v>
      </c>
      <c r="J419" s="3">
        <f t="shared" si="6"/>
        <v>121886.29927816028</v>
      </c>
      <c r="K419" s="3" t="str">
        <f>IFERROR(VLOOKUP(E419,'GASB Match'!$A$2:$C$58,3,FALSE),"")</f>
        <v/>
      </c>
    </row>
    <row r="420" spans="1:11" x14ac:dyDescent="0.2">
      <c r="A420">
        <v>2019</v>
      </c>
      <c r="B420" t="s">
        <v>58</v>
      </c>
      <c r="C420" t="s">
        <v>59</v>
      </c>
      <c r="D420" t="s">
        <v>60</v>
      </c>
      <c r="E420" t="s">
        <v>122</v>
      </c>
      <c r="F420">
        <v>779</v>
      </c>
      <c r="G420" s="3">
        <v>37078</v>
      </c>
      <c r="H420" s="5" cm="1">
        <f t="array" ref="H420">IFERROR(_xlfn.IFS(A420=$F$517,G420/$G$517,A420=$F$518,G420/$G$518,A420=$F$519,G420/$G$519,A420=$F$520,G420/$G$520,A420=$F$521,G420/$G$521,A420=$F$522,G420/$G$522,A420=$F$523,G420/$G$523,A420=$F$524,G420/$G$524),"")</f>
        <v>1.0074117771593628E-3</v>
      </c>
      <c r="I420" s="3" cm="1">
        <f t="array" ref="I420">IFERROR(_xlfn.IFS(A420=$M$3,H420*$S$3,A420=$M$4,H420*$S$4,A420=$M$5,H420*$S$5,A420=$M$6,H420*$S$6,A420=$M$7,H420*$S$7,A420=$M$8,H420*$S$8,A420=$M$9,H420*$S$9,A420=$M$10,H420*$S$10),"")</f>
        <v>128308.76123389929</v>
      </c>
      <c r="J420" s="3">
        <f t="shared" si="6"/>
        <v>165386.76123389928</v>
      </c>
      <c r="K420" s="3" t="str">
        <f>IFERROR(VLOOKUP(E420,'GASB Match'!$A$2:$C$58,3,FALSE),"")</f>
        <v/>
      </c>
    </row>
    <row r="421" spans="1:11" x14ac:dyDescent="0.2">
      <c r="A421">
        <v>2020</v>
      </c>
      <c r="B421" t="s">
        <v>58</v>
      </c>
      <c r="C421" t="s">
        <v>59</v>
      </c>
      <c r="D421" t="s">
        <v>60</v>
      </c>
      <c r="E421" t="s">
        <v>122</v>
      </c>
      <c r="F421">
        <v>779</v>
      </c>
      <c r="G421" s="3">
        <v>22117</v>
      </c>
      <c r="H421" s="5" cm="1">
        <f t="array" ref="H421">IFERROR(_xlfn.IFS(A421=$F$517,G421/$G$517,A421=$F$518,G421/$G$518,A421=$F$519,G421/$G$519,A421=$F$520,G421/$G$520,A421=$F$521,G421/$G$521,A421=$F$522,G421/$G$522,A421=$F$523,G421/$G$523,A421=$F$524,G421/$G$524),"")</f>
        <v>6.4831802847065015E-4</v>
      </c>
      <c r="I421" s="3" cm="1">
        <f t="array" ref="I421">IFERROR(_xlfn.IFS(A421=$M$3,H421*$S$3,A421=$M$4,H421*$S$4,A421=$M$5,H421*$S$5,A421=$M$6,H421*$S$6,A421=$M$7,H421*$S$7,A421=$M$8,H421*$S$8,A421=$M$9,H421*$S$9,A421=$M$10,H421*$S$10),"")</f>
        <v>90906.580190699373</v>
      </c>
      <c r="J421" s="3">
        <f t="shared" si="6"/>
        <v>113023.58019069937</v>
      </c>
      <c r="K421" s="3" t="str">
        <f>IFERROR(VLOOKUP(E421,'GASB Match'!$A$2:$C$58,3,FALSE),"")</f>
        <v/>
      </c>
    </row>
    <row r="422" spans="1:11" x14ac:dyDescent="0.2">
      <c r="A422">
        <v>2021</v>
      </c>
      <c r="B422" t="s">
        <v>58</v>
      </c>
      <c r="C422" t="s">
        <v>59</v>
      </c>
      <c r="D422" t="s">
        <v>60</v>
      </c>
      <c r="E422" t="s">
        <v>122</v>
      </c>
      <c r="F422">
        <v>779</v>
      </c>
      <c r="G422" s="3">
        <v>38673</v>
      </c>
      <c r="H422" s="5" cm="1">
        <f t="array" ref="H422">IFERROR(_xlfn.IFS(A422=$F$517,G422/$G$517,A422=$F$518,G422/$G$518,A422=$F$519,G422/$G$519,A422=$F$520,G422/$G$520,A422=$F$521,G422/$G$521,A422=$F$522,G422/$G$522,A422=$F$523,G422/$G$523,A422=$F$524,G422/$G$524),"")</f>
        <v>1.318296982418105E-3</v>
      </c>
      <c r="I422" s="3" cm="1">
        <f t="array" ref="I422">IFERROR(_xlfn.IFS(A422=$M$3,H422*$S$3,A422=$M$4,H422*$S$4,A422=$M$5,H422*$S$5,A422=$M$6,H422*$S$6,A422=$M$7,H422*$S$7,A422=$M$8,H422*$S$8,A422=$M$9,H422*$S$9,A422=$M$10,H422*$S$10),"")</f>
        <v>176744.07247790438</v>
      </c>
      <c r="J422" s="3">
        <f t="shared" si="6"/>
        <v>215417.07247790438</v>
      </c>
      <c r="K422" s="3" t="str">
        <f>IFERROR(VLOOKUP(E422,'GASB Match'!$A$2:$C$58,3,FALSE),"")</f>
        <v/>
      </c>
    </row>
    <row r="423" spans="1:11" x14ac:dyDescent="0.2">
      <c r="A423">
        <v>2022</v>
      </c>
      <c r="B423" t="s">
        <v>58</v>
      </c>
      <c r="C423" t="s">
        <v>59</v>
      </c>
      <c r="D423" t="s">
        <v>60</v>
      </c>
      <c r="E423" t="s">
        <v>122</v>
      </c>
      <c r="F423">
        <v>779</v>
      </c>
      <c r="G423" s="3">
        <v>42782</v>
      </c>
      <c r="H423" s="5" cm="1">
        <f t="array" ref="H423">IFERROR(_xlfn.IFS(A423=$F$517,G423/$G$517,A423=$F$518,G423/$G$518,A423=$F$519,G423/$G$519,A423=$F$520,G423/$G$520,A423=$F$521,G423/$G$521,A423=$F$522,G423/$G$522,A423=$F$523,G423/$G$523,A423=$F$524,G423/$G$524),"")</f>
        <v>1.3932189750940371E-3</v>
      </c>
      <c r="I423" s="3" cm="1">
        <f t="array" ref="I423">IFERROR(_xlfn.IFS(A423=$M$3,H423*$S$3,A423=$M$4,H423*$S$4,A423=$M$5,H423*$S$5,A423=$M$6,H423*$S$6,A423=$M$7,H423*$S$7,A423=$M$8,H423*$S$8,A423=$M$9,H423*$S$9,A423=$M$10,H423*$S$10),"")</f>
        <v>197474.00766625401</v>
      </c>
      <c r="J423" s="3">
        <f t="shared" si="6"/>
        <v>240256.00766625401</v>
      </c>
      <c r="K423" s="3" t="str">
        <f>IFERROR(VLOOKUP(E423,'GASB Match'!$A$2:$C$58,3,FALSE),"")</f>
        <v/>
      </c>
    </row>
    <row r="424" spans="1:11" x14ac:dyDescent="0.2">
      <c r="A424">
        <v>2023</v>
      </c>
      <c r="B424" t="s">
        <v>58</v>
      </c>
      <c r="C424" t="s">
        <v>59</v>
      </c>
      <c r="D424" t="s">
        <v>60</v>
      </c>
      <c r="E424" t="s">
        <v>122</v>
      </c>
      <c r="F424">
        <v>779</v>
      </c>
      <c r="G424" s="3">
        <v>40696</v>
      </c>
      <c r="H424" s="5" t="str" cm="1">
        <f t="array" ref="H424">IFERROR(_xlfn.IFS(A424=$F$517,G424/$G$517,A424=$F$518,G424/$G$518,A424=$F$519,G424/$G$519,A424=$F$520,G424/$G$520,A424=$F$521,G424/$G$521,A424=$F$522,G424/$G$522,A424=$F$523,G424/$G$523,A424=$F$524,G424/$G$524),"")</f>
        <v/>
      </c>
      <c r="I424" s="3" t="str" cm="1">
        <f t="array" ref="I424">IFERROR(_xlfn.IFS(A424=$M$3,H424*$S$3,A424=$M$4,H424*$S$4,A424=$M$5,H424*$S$5,A424=$M$6,H424*$S$6,A424=$M$7,H424*$S$7,A424=$M$8,H424*$S$8,A424=$M$9,H424*$S$9,A424=$M$10,H424*$S$10),"")</f>
        <v/>
      </c>
      <c r="J424" s="3">
        <f t="shared" si="6"/>
        <v>40696</v>
      </c>
      <c r="K424" s="3" t="str">
        <f>IFERROR(VLOOKUP(E424,'GASB Match'!$A$2:$C$58,3,FALSE),"")</f>
        <v/>
      </c>
    </row>
    <row r="425" spans="1:11" x14ac:dyDescent="0.2">
      <c r="A425">
        <v>2015</v>
      </c>
      <c r="B425" t="s">
        <v>58</v>
      </c>
      <c r="C425" t="s">
        <v>59</v>
      </c>
      <c r="D425" t="s">
        <v>60</v>
      </c>
      <c r="E425" t="s">
        <v>120</v>
      </c>
      <c r="F425">
        <v>737</v>
      </c>
      <c r="G425" s="3">
        <v>12499596</v>
      </c>
      <c r="H425" s="5" cm="1">
        <f t="array" ref="H425">IFERROR(_xlfn.IFS(A425=$F$517,G425/$G$517,A425=$F$518,G425/$G$518,A425=$F$519,G425/$G$519,A425=$F$520,G425/$G$520,A425=$F$521,G425/$G$521,A425=$F$522,G425/$G$522,A425=$F$523,G425/$G$523,A425=$F$524,G425/$G$524),"")</f>
        <v>0.25742333525693128</v>
      </c>
      <c r="I425" s="3" cm="1">
        <f t="array" ref="I425">IFERROR(_xlfn.IFS(A425=$M$3,H425*$S$3,A425=$M$4,H425*$S$4,A425=$M$5,H425*$S$5,A425=$M$6,H425*$S$6,A425=$M$7,H425*$S$7,A425=$M$8,H425*$S$8,A425=$M$9,H425*$S$9,A425=$M$10,H425*$S$10),"")</f>
        <v>424881593.86992115</v>
      </c>
      <c r="J425" s="3">
        <f t="shared" si="6"/>
        <v>437381189.86992115</v>
      </c>
      <c r="K425" s="3" t="str">
        <f>IFERROR(VLOOKUP(E425,'GASB Match'!$A$2:$C$58,3,FALSE),"")</f>
        <v/>
      </c>
    </row>
    <row r="426" spans="1:11" x14ac:dyDescent="0.2">
      <c r="A426">
        <v>2016</v>
      </c>
      <c r="B426" t="s">
        <v>58</v>
      </c>
      <c r="C426" t="s">
        <v>59</v>
      </c>
      <c r="D426" t="s">
        <v>60</v>
      </c>
      <c r="E426" t="s">
        <v>120</v>
      </c>
      <c r="F426">
        <v>737</v>
      </c>
      <c r="G426" s="3">
        <v>924800</v>
      </c>
      <c r="H426" s="5" cm="1">
        <f t="array" ref="H426">IFERROR(_xlfn.IFS(A426=$F$517,G426/$G$517,A426=$F$518,G426/$G$518,A426=$F$519,G426/$G$519,A426=$F$520,G426/$G$520,A426=$F$521,G426/$G$521,A426=$F$522,G426/$G$522,A426=$F$523,G426/$G$523,A426=$F$524,G426/$G$524),"")</f>
        <v>2.7111883984824264E-2</v>
      </c>
      <c r="I426" s="3" cm="1">
        <f t="array" ref="I426">IFERROR(_xlfn.IFS(A426=$M$3,H426*$S$3,A426=$M$4,H426*$S$4,A426=$M$5,H426*$S$5,A426=$M$6,H426*$S$6,A426=$M$7,H426*$S$7,A426=$M$8,H426*$S$8,A426=$M$9,H426*$S$9,A426=$M$10,H426*$S$10),"")</f>
        <v>2438916.0564181656</v>
      </c>
      <c r="J426" s="3">
        <f t="shared" si="6"/>
        <v>3363716.0564181656</v>
      </c>
      <c r="K426" s="3" t="str">
        <f>IFERROR(VLOOKUP(E426,'GASB Match'!$A$2:$C$58,3,FALSE),"")</f>
        <v/>
      </c>
    </row>
    <row r="427" spans="1:11" x14ac:dyDescent="0.2">
      <c r="A427">
        <v>2017</v>
      </c>
      <c r="B427" t="s">
        <v>58</v>
      </c>
      <c r="C427" t="s">
        <v>59</v>
      </c>
      <c r="D427" t="s">
        <v>60</v>
      </c>
      <c r="E427" t="s">
        <v>120</v>
      </c>
      <c r="F427">
        <v>737</v>
      </c>
      <c r="G427" s="3">
        <v>1021449</v>
      </c>
      <c r="H427" s="5" cm="1">
        <f t="array" ref="H427">IFERROR(_xlfn.IFS(A427=$F$517,G427/$G$517,A427=$F$518,G427/$G$518,A427=$F$519,G427/$G$519,A427=$F$520,G427/$G$520,A427=$F$521,G427/$G$521,A427=$F$522,G427/$G$522,A427=$F$523,G427/$G$523,A427=$F$524,G427/$G$524),"")</f>
        <v>2.734543449527204E-2</v>
      </c>
      <c r="I427" s="3" cm="1">
        <f t="array" ref="I427">IFERROR(_xlfn.IFS(A427=$M$3,H427*$S$3,A427=$M$4,H427*$S$4,A427=$M$5,H427*$S$5,A427=$M$6,H427*$S$6,A427=$M$7,H427*$S$7,A427=$M$8,H427*$S$8,A427=$M$9,H427*$S$9,A427=$M$10,H427*$S$10),"")</f>
        <v>3171530.0009750612</v>
      </c>
      <c r="J427" s="3">
        <f t="shared" si="6"/>
        <v>4192979.0009750612</v>
      </c>
      <c r="K427" s="3" t="str">
        <f>IFERROR(VLOOKUP(E427,'GASB Match'!$A$2:$C$58,3,FALSE),"")</f>
        <v/>
      </c>
    </row>
    <row r="428" spans="1:11" x14ac:dyDescent="0.2">
      <c r="A428">
        <v>2018</v>
      </c>
      <c r="B428" t="s">
        <v>58</v>
      </c>
      <c r="C428" t="s">
        <v>59</v>
      </c>
      <c r="D428" t="s">
        <v>60</v>
      </c>
      <c r="E428" t="s">
        <v>120</v>
      </c>
      <c r="F428">
        <v>737</v>
      </c>
      <c r="G428" s="3">
        <v>1004123</v>
      </c>
      <c r="H428" s="5" cm="1">
        <f t="array" ref="H428">IFERROR(_xlfn.IFS(A428=$F$517,G428/$G$517,A428=$F$518,G428/$G$518,A428=$F$519,G428/$G$519,A428=$F$520,G428/$G$520,A428=$F$521,G428/$G$521,A428=$F$522,G428/$G$522,A428=$F$523,G428/$G$523,A428=$F$524,G428/$G$524),"")</f>
        <v>2.4762420852573234E-2</v>
      </c>
      <c r="I428" s="3" cm="1">
        <f t="array" ref="I428">IFERROR(_xlfn.IFS(A428=$M$3,H428*$S$3,A428=$M$4,H428*$S$4,A428=$M$5,H428*$S$5,A428=$M$6,H428*$S$6,A428=$M$7,H428*$S$7,A428=$M$8,H428*$S$8,A428=$M$9,H428*$S$9,A428=$M$10,H428*$S$10),"")</f>
        <v>2749675.1993032796</v>
      </c>
      <c r="J428" s="3">
        <f t="shared" si="6"/>
        <v>3753798.1993032796</v>
      </c>
      <c r="K428" s="3" t="str">
        <f>IFERROR(VLOOKUP(E428,'GASB Match'!$A$2:$C$58,3,FALSE),"")</f>
        <v/>
      </c>
    </row>
    <row r="429" spans="1:11" x14ac:dyDescent="0.2">
      <c r="A429">
        <v>2019</v>
      </c>
      <c r="B429" t="s">
        <v>58</v>
      </c>
      <c r="C429" t="s">
        <v>59</v>
      </c>
      <c r="D429" t="s">
        <v>60</v>
      </c>
      <c r="E429" t="s">
        <v>120</v>
      </c>
      <c r="F429">
        <v>737</v>
      </c>
      <c r="G429" s="3">
        <v>1095527</v>
      </c>
      <c r="H429" s="5" cm="1">
        <f t="array" ref="H429">IFERROR(_xlfn.IFS(A429=$F$517,G429/$G$517,A429=$F$518,G429/$G$518,A429=$F$519,G429/$G$519,A429=$F$520,G429/$G$520,A429=$F$521,G429/$G$521,A429=$F$522,G429/$G$522,A429=$F$523,G429/$G$523,A429=$F$524,G429/$G$524),"")</f>
        <v>2.976554296337627E-2</v>
      </c>
      <c r="I429" s="3" cm="1">
        <f t="array" ref="I429">IFERROR(_xlfn.IFS(A429=$M$3,H429*$S$3,A429=$M$4,H429*$S$4,A429=$M$5,H429*$S$5,A429=$M$6,H429*$S$6,A429=$M$7,H429*$S$7,A429=$M$8,H429*$S$8,A429=$M$9,H429*$S$9,A429=$M$10,H429*$S$10),"")</f>
        <v>3791081.2953311931</v>
      </c>
      <c r="J429" s="3">
        <f t="shared" si="6"/>
        <v>4886608.2953311931</v>
      </c>
      <c r="K429" s="3" t="str">
        <f>IFERROR(VLOOKUP(E429,'GASB Match'!$A$2:$C$58,3,FALSE),"")</f>
        <v/>
      </c>
    </row>
    <row r="430" spans="1:11" x14ac:dyDescent="0.2">
      <c r="A430">
        <v>2020</v>
      </c>
      <c r="B430" t="s">
        <v>58</v>
      </c>
      <c r="C430" t="s">
        <v>59</v>
      </c>
      <c r="D430" t="s">
        <v>60</v>
      </c>
      <c r="E430" t="s">
        <v>120</v>
      </c>
      <c r="F430">
        <v>737</v>
      </c>
      <c r="G430" s="3">
        <v>1183548</v>
      </c>
      <c r="H430" s="5" cm="1">
        <f t="array" ref="H430">IFERROR(_xlfn.IFS(A430=$F$517,G430/$G$517,A430=$F$518,G430/$G$518,A430=$F$519,G430/$G$519,A430=$F$520,G430/$G$520,A430=$F$521,G430/$G$521,A430=$F$522,G430/$G$522,A430=$F$523,G430/$G$523,A430=$F$524,G430/$G$524),"")</f>
        <v>3.4693471355083466E-2</v>
      </c>
      <c r="I430" s="3" cm="1">
        <f t="array" ref="I430">IFERROR(_xlfn.IFS(A430=$M$3,H430*$S$3,A430=$M$4,H430*$S$4,A430=$M$5,H430*$S$5,A430=$M$6,H430*$S$6,A430=$M$7,H430*$S$7,A430=$M$8,H430*$S$8,A430=$M$9,H430*$S$9,A430=$M$10,H430*$S$10),"")</f>
        <v>4864687.8496876545</v>
      </c>
      <c r="J430" s="3">
        <f t="shared" si="6"/>
        <v>6048235.8496876545</v>
      </c>
      <c r="K430" s="3" t="str">
        <f>IFERROR(VLOOKUP(E430,'GASB Match'!$A$2:$C$58,3,FALSE),"")</f>
        <v/>
      </c>
    </row>
    <row r="431" spans="1:11" x14ac:dyDescent="0.2">
      <c r="A431">
        <v>2021</v>
      </c>
      <c r="B431" t="s">
        <v>58</v>
      </c>
      <c r="C431" t="s">
        <v>59</v>
      </c>
      <c r="D431" t="s">
        <v>60</v>
      </c>
      <c r="E431" t="s">
        <v>120</v>
      </c>
      <c r="F431">
        <v>737</v>
      </c>
      <c r="G431" s="3">
        <v>1120497</v>
      </c>
      <c r="H431" s="5" cm="1">
        <f t="array" ref="H431">IFERROR(_xlfn.IFS(A431=$F$517,G431/$G$517,A431=$F$518,G431/$G$518,A431=$F$519,G431/$G$519,A431=$F$520,G431/$G$520,A431=$F$521,G431/$G$521,A431=$F$522,G431/$G$522,A431=$F$523,G431/$G$523,A431=$F$524,G431/$G$524),"")</f>
        <v>3.8195842419996878E-2</v>
      </c>
      <c r="I431" s="3" cm="1">
        <f t="array" ref="I431">IFERROR(_xlfn.IFS(A431=$M$3,H431*$S$3,A431=$M$4,H431*$S$4,A431=$M$5,H431*$S$5,A431=$M$6,H431*$S$6,A431=$M$7,H431*$S$7,A431=$M$8,H431*$S$8,A431=$M$9,H431*$S$9,A431=$M$10,H431*$S$10),"")</f>
        <v>5120916.4786614543</v>
      </c>
      <c r="J431" s="3">
        <f t="shared" si="6"/>
        <v>6241413.4786614543</v>
      </c>
      <c r="K431" s="3" t="str">
        <f>IFERROR(VLOOKUP(E431,'GASB Match'!$A$2:$C$58,3,FALSE),"")</f>
        <v/>
      </c>
    </row>
    <row r="432" spans="1:11" x14ac:dyDescent="0.2">
      <c r="A432">
        <v>2022</v>
      </c>
      <c r="B432" t="s">
        <v>58</v>
      </c>
      <c r="C432" t="s">
        <v>59</v>
      </c>
      <c r="D432" t="s">
        <v>60</v>
      </c>
      <c r="E432" t="s">
        <v>120</v>
      </c>
      <c r="F432">
        <v>737</v>
      </c>
      <c r="G432" s="3">
        <v>1146588</v>
      </c>
      <c r="H432" s="5" cm="1">
        <f t="array" ref="H432">IFERROR(_xlfn.IFS(A432=$F$517,G432/$G$517,A432=$F$518,G432/$G$518,A432=$F$519,G432/$G$519,A432=$F$520,G432/$G$520,A432=$F$521,G432/$G$521,A432=$F$522,G432/$G$522,A432=$F$523,G432/$G$523,A432=$F$524,G432/$G$524),"")</f>
        <v>3.7339258524966619E-2</v>
      </c>
      <c r="I432" s="3" cm="1">
        <f t="array" ref="I432">IFERROR(_xlfn.IFS(A432=$M$3,H432*$S$3,A432=$M$4,H432*$S$4,A432=$M$5,H432*$S$5,A432=$M$6,H432*$S$6,A432=$M$7,H432*$S$7,A432=$M$8,H432*$S$8,A432=$M$9,H432*$S$9,A432=$M$10,H432*$S$10),"")</f>
        <v>5292443.7263810681</v>
      </c>
      <c r="J432" s="3">
        <f t="shared" si="6"/>
        <v>6439031.7263810681</v>
      </c>
      <c r="K432" s="3" t="str">
        <f>IFERROR(VLOOKUP(E432,'GASB Match'!$A$2:$C$58,3,FALSE),"")</f>
        <v/>
      </c>
    </row>
    <row r="433" spans="1:11" x14ac:dyDescent="0.2">
      <c r="A433">
        <v>2023</v>
      </c>
      <c r="B433" t="s">
        <v>58</v>
      </c>
      <c r="C433" t="s">
        <v>59</v>
      </c>
      <c r="D433" t="s">
        <v>60</v>
      </c>
      <c r="E433" t="s">
        <v>120</v>
      </c>
      <c r="F433">
        <v>737</v>
      </c>
      <c r="G433" s="3">
        <v>1058755</v>
      </c>
      <c r="H433" s="5" t="str" cm="1">
        <f t="array" ref="H433">IFERROR(_xlfn.IFS(A433=$F$517,G433/$G$517,A433=$F$518,G433/$G$518,A433=$F$519,G433/$G$519,A433=$F$520,G433/$G$520,A433=$F$521,G433/$G$521,A433=$F$522,G433/$G$522,A433=$F$523,G433/$G$523,A433=$F$524,G433/$G$524),"")</f>
        <v/>
      </c>
      <c r="I433" s="3" t="str" cm="1">
        <f t="array" ref="I433">IFERROR(_xlfn.IFS(A433=$M$3,H433*$S$3,A433=$M$4,H433*$S$4,A433=$M$5,H433*$S$5,A433=$M$6,H433*$S$6,A433=$M$7,H433*$S$7,A433=$M$8,H433*$S$8,A433=$M$9,H433*$S$9,A433=$M$10,H433*$S$10),"")</f>
        <v/>
      </c>
      <c r="J433" s="3">
        <f t="shared" si="6"/>
        <v>1058755</v>
      </c>
      <c r="K433" s="3" t="str">
        <f>IFERROR(VLOOKUP(E433,'GASB Match'!$A$2:$C$58,3,FALSE),"")</f>
        <v/>
      </c>
    </row>
    <row r="434" spans="1:11" x14ac:dyDescent="0.2">
      <c r="A434">
        <v>2015</v>
      </c>
      <c r="B434" t="s">
        <v>58</v>
      </c>
      <c r="C434" t="s">
        <v>59</v>
      </c>
      <c r="D434" t="s">
        <v>60</v>
      </c>
      <c r="E434" t="s">
        <v>49</v>
      </c>
      <c r="F434">
        <v>775</v>
      </c>
      <c r="G434" s="3">
        <v>10394</v>
      </c>
      <c r="H434" s="5" cm="1">
        <f t="array" ref="H434">IFERROR(_xlfn.IFS(A434=$F$517,G434/$G$517,A434=$F$518,G434/$G$518,A434=$F$519,G434/$G$519,A434=$F$520,G434/$G$520,A434=$F$521,G434/$G$521,A434=$F$522,G434/$G$522,A434=$F$523,G434/$G$523,A434=$F$524,G434/$G$524),"")</f>
        <v>2.140595701381504E-4</v>
      </c>
      <c r="I434" s="3" cm="1">
        <f t="array" ref="I434">IFERROR(_xlfn.IFS(A434=$M$3,H434*$S$3,A434=$M$4,H434*$S$4,A434=$M$5,H434*$S$5,A434=$M$6,H434*$S$6,A434=$M$7,H434*$S$7,A434=$M$8,H434*$S$8,A434=$M$9,H434*$S$9,A434=$M$10,H434*$S$10),"")</f>
        <v>353308.96188036486</v>
      </c>
      <c r="J434" s="3">
        <f t="shared" si="6"/>
        <v>363702.96188036486</v>
      </c>
      <c r="K434" s="3" t="str">
        <f>IFERROR(VLOOKUP(E434,'GASB Match'!$A$2:$C$58,3,FALSE),"")</f>
        <v>0200715</v>
      </c>
    </row>
    <row r="435" spans="1:11" x14ac:dyDescent="0.2">
      <c r="A435">
        <v>2016</v>
      </c>
      <c r="B435" t="s">
        <v>58</v>
      </c>
      <c r="C435" t="s">
        <v>59</v>
      </c>
      <c r="D435" t="s">
        <v>60</v>
      </c>
      <c r="E435" t="s">
        <v>49</v>
      </c>
      <c r="F435">
        <v>775</v>
      </c>
      <c r="G435" s="3">
        <v>12662</v>
      </c>
      <c r="H435" s="5" cm="1">
        <f t="array" ref="H435">IFERROR(_xlfn.IFS(A435=$F$517,G435/$G$517,A435=$F$518,G435/$G$518,A435=$F$519,G435/$G$519,A435=$F$520,G435/$G$520,A435=$F$521,G435/$G$521,A435=$F$522,G435/$G$522,A435=$F$523,G435/$G$523,A435=$F$524,G435/$G$524),"")</f>
        <v>3.7120531467976298E-4</v>
      </c>
      <c r="I435" s="3" cm="1">
        <f t="array" ref="I435">IFERROR(_xlfn.IFS(A435=$M$3,H435*$S$3,A435=$M$4,H435*$S$4,A435=$M$5,H435*$S$5,A435=$M$6,H435*$S$6,A435=$M$7,H435*$S$7,A435=$M$8,H435*$S$8,A435=$M$9,H435*$S$9,A435=$M$10,H435*$S$10),"")</f>
        <v>33392.685019860306</v>
      </c>
      <c r="J435" s="3">
        <f t="shared" si="6"/>
        <v>46054.685019860306</v>
      </c>
      <c r="K435" s="3" t="str">
        <f>IFERROR(VLOOKUP(E435,'GASB Match'!$A$2:$C$58,3,FALSE),"")</f>
        <v>0200715</v>
      </c>
    </row>
    <row r="436" spans="1:11" x14ac:dyDescent="0.2">
      <c r="A436">
        <v>2017</v>
      </c>
      <c r="B436" t="s">
        <v>58</v>
      </c>
      <c r="C436" t="s">
        <v>59</v>
      </c>
      <c r="D436" t="s">
        <v>60</v>
      </c>
      <c r="E436" t="s">
        <v>49</v>
      </c>
      <c r="F436">
        <v>775</v>
      </c>
      <c r="G436" s="3">
        <v>17018</v>
      </c>
      <c r="H436" s="5" cm="1">
        <f t="array" ref="H436">IFERROR(_xlfn.IFS(A436=$F$517,G436/$G$517,A436=$F$518,G436/$G$518,A436=$F$519,G436/$G$519,A436=$F$520,G436/$G$520,A436=$F$521,G436/$G$521,A436=$F$522,G436/$G$522,A436=$F$523,G436/$G$523,A436=$F$524,G436/$G$524),"")</f>
        <v>4.5559259859331169E-4</v>
      </c>
      <c r="I436" s="3" cm="1">
        <f t="array" ref="I436">IFERROR(_xlfn.IFS(A436=$M$3,H436*$S$3,A436=$M$4,H436*$S$4,A436=$M$5,H436*$S$5,A436=$M$6,H436*$S$6,A436=$M$7,H436*$S$7,A436=$M$8,H436*$S$8,A436=$M$9,H436*$S$9,A436=$M$10,H436*$S$10),"")</f>
        <v>52839.738015890754</v>
      </c>
      <c r="J436" s="3">
        <f t="shared" si="6"/>
        <v>69857.738015890762</v>
      </c>
      <c r="K436" s="3" t="str">
        <f>IFERROR(VLOOKUP(E436,'GASB Match'!$A$2:$C$58,3,FALSE),"")</f>
        <v>0200715</v>
      </c>
    </row>
    <row r="437" spans="1:11" x14ac:dyDescent="0.2">
      <c r="A437">
        <v>2018</v>
      </c>
      <c r="B437" t="s">
        <v>58</v>
      </c>
      <c r="C437" t="s">
        <v>59</v>
      </c>
      <c r="D437" t="s">
        <v>60</v>
      </c>
      <c r="E437" t="s">
        <v>49</v>
      </c>
      <c r="F437">
        <v>775</v>
      </c>
      <c r="G437" s="3">
        <v>10038</v>
      </c>
      <c r="H437" s="5" cm="1">
        <f t="array" ref="H437">IFERROR(_xlfn.IFS(A437=$F$517,G437/$G$517,A437=$F$518,G437/$G$518,A437=$F$519,G437/$G$519,A437=$F$520,G437/$G$520,A437=$F$521,G437/$G$521,A437=$F$522,G437/$G$522,A437=$F$523,G437/$G$523,A437=$F$524,G437/$G$524),"")</f>
        <v>2.4754455432066602E-4</v>
      </c>
      <c r="I437" s="3" cm="1">
        <f t="array" ref="I437">IFERROR(_xlfn.IFS(A437=$M$3,H437*$S$3,A437=$M$4,H437*$S$4,A437=$M$5,H437*$S$5,A437=$M$6,H437*$S$6,A437=$M$7,H437*$S$7,A437=$M$8,H437*$S$8,A437=$M$9,H437*$S$9,A437=$M$10,H437*$S$10),"")</f>
        <v>27487.907010004074</v>
      </c>
      <c r="J437" s="3">
        <f t="shared" si="6"/>
        <v>37525.90701000407</v>
      </c>
      <c r="K437" s="3" t="str">
        <f>IFERROR(VLOOKUP(E437,'GASB Match'!$A$2:$C$58,3,FALSE),"")</f>
        <v>0200715</v>
      </c>
    </row>
    <row r="438" spans="1:11" x14ac:dyDescent="0.2">
      <c r="A438">
        <v>2019</v>
      </c>
      <c r="B438" t="s">
        <v>58</v>
      </c>
      <c r="C438" t="s">
        <v>59</v>
      </c>
      <c r="D438" t="s">
        <v>60</v>
      </c>
      <c r="E438" t="s">
        <v>49</v>
      </c>
      <c r="F438">
        <v>775</v>
      </c>
      <c r="G438" s="3">
        <v>11848</v>
      </c>
      <c r="H438" s="5" cm="1">
        <f t="array" ref="H438">IFERROR(_xlfn.IFS(A438=$F$517,G438/$G$517,A438=$F$518,G438/$G$518,A438=$F$519,G438/$G$519,A438=$F$520,G438/$G$520,A438=$F$521,G438/$G$521,A438=$F$522,G438/$G$522,A438=$F$523,G438/$G$523,A438=$F$524,G438/$G$524),"")</f>
        <v>3.2191096433961192E-4</v>
      </c>
      <c r="I438" s="3" cm="1">
        <f t="array" ref="I438">IFERROR(_xlfn.IFS(A438=$M$3,H438*$S$3,A438=$M$4,H438*$S$4,A438=$M$5,H438*$S$5,A438=$M$6,H438*$S$6,A438=$M$7,H438*$S$7,A438=$M$8,H438*$S$8,A438=$M$9,H438*$S$9,A438=$M$10,H438*$S$10),"")</f>
        <v>41000.113358305156</v>
      </c>
      <c r="J438" s="3">
        <f t="shared" si="6"/>
        <v>52848.113358305156</v>
      </c>
      <c r="K438" s="3" t="str">
        <f>IFERROR(VLOOKUP(E438,'GASB Match'!$A$2:$C$58,3,FALSE),"")</f>
        <v>0200715</v>
      </c>
    </row>
    <row r="439" spans="1:11" x14ac:dyDescent="0.2">
      <c r="A439">
        <v>2020</v>
      </c>
      <c r="B439" t="s">
        <v>58</v>
      </c>
      <c r="C439" t="s">
        <v>59</v>
      </c>
      <c r="D439" t="s">
        <v>60</v>
      </c>
      <c r="E439" t="s">
        <v>49</v>
      </c>
      <c r="F439">
        <v>775</v>
      </c>
      <c r="G439" s="3">
        <v>214</v>
      </c>
      <c r="H439" s="5" cm="1">
        <f t="array" ref="H439">IFERROR(_xlfn.IFS(A439=$F$517,G439/$G$517,A439=$F$518,G439/$G$518,A439=$F$519,G439/$G$519,A439=$F$520,G439/$G$520,A439=$F$521,G439/$G$521,A439=$F$522,G439/$G$522,A439=$F$523,G439/$G$523,A439=$F$524,G439/$G$524),"")</f>
        <v>6.2730052942405894E-6</v>
      </c>
      <c r="I439" s="3" cm="1">
        <f t="array" ref="I439">IFERROR(_xlfn.IFS(A439=$M$3,H439*$S$3,A439=$M$4,H439*$S$4,A439=$M$5,H439*$S$5,A439=$M$6,H439*$S$6,A439=$M$7,H439*$S$7,A439=$M$8,H439*$S$8,A439=$M$9,H439*$S$9,A439=$M$10,H439*$S$10),"")</f>
        <v>879.59525074873</v>
      </c>
      <c r="J439" s="3">
        <f t="shared" si="6"/>
        <v>1093.59525074873</v>
      </c>
      <c r="K439" s="3" t="str">
        <f>IFERROR(VLOOKUP(E439,'GASB Match'!$A$2:$C$58,3,FALSE),"")</f>
        <v>0200715</v>
      </c>
    </row>
    <row r="440" spans="1:11" x14ac:dyDescent="0.2">
      <c r="A440">
        <v>2021</v>
      </c>
      <c r="B440" t="s">
        <v>58</v>
      </c>
      <c r="C440" t="s">
        <v>59</v>
      </c>
      <c r="D440" t="s">
        <v>60</v>
      </c>
      <c r="E440" t="s">
        <v>49</v>
      </c>
      <c r="F440">
        <v>775</v>
      </c>
      <c r="G440" s="3">
        <v>3702</v>
      </c>
      <c r="H440" s="5" cm="1">
        <f t="array" ref="H440">IFERROR(_xlfn.IFS(A440=$F$517,G440/$G$517,A440=$F$518,G440/$G$518,A440=$F$519,G440/$G$519,A440=$F$520,G440/$G$520,A440=$F$521,G440/$G$521,A440=$F$522,G440/$G$522,A440=$F$523,G440/$G$523,A440=$F$524,G440/$G$524),"")</f>
        <v>1.2619490158280518E-4</v>
      </c>
      <c r="I440" s="3" cm="1">
        <f t="array" ref="I440">IFERROR(_xlfn.IFS(A440=$M$3,H440*$S$3,A440=$M$4,H440*$S$4,A440=$M$5,H440*$S$5,A440=$M$6,H440*$S$6,A440=$M$7,H440*$S$7,A440=$M$8,H440*$S$8,A440=$M$9,H440*$S$9,A440=$M$10,H440*$S$10),"")</f>
        <v>16918.950076621986</v>
      </c>
      <c r="J440" s="3">
        <f t="shared" si="6"/>
        <v>20620.950076621986</v>
      </c>
      <c r="K440" s="3" t="str">
        <f>IFERROR(VLOOKUP(E440,'GASB Match'!$A$2:$C$58,3,FALSE),"")</f>
        <v>0200715</v>
      </c>
    </row>
    <row r="441" spans="1:11" x14ac:dyDescent="0.2">
      <c r="A441">
        <v>2022</v>
      </c>
      <c r="B441" t="s">
        <v>58</v>
      </c>
      <c r="C441" t="s">
        <v>59</v>
      </c>
      <c r="D441" t="s">
        <v>60</v>
      </c>
      <c r="E441" t="s">
        <v>49</v>
      </c>
      <c r="F441">
        <v>775</v>
      </c>
      <c r="G441" s="3">
        <v>3496</v>
      </c>
      <c r="H441" s="5" cm="1">
        <f t="array" ref="H441">IFERROR(_xlfn.IFS(A441=$F$517,G441/$G$517,A441=$F$518,G441/$G$518,A441=$F$519,G441/$G$519,A441=$F$520,G441/$G$520,A441=$F$521,G441/$G$521,A441=$F$522,G441/$G$522,A441=$F$523,G441/$G$523,A441=$F$524,G441/$G$524),"")</f>
        <v>1.1384913133861796E-4</v>
      </c>
      <c r="I441" s="3" cm="1">
        <f t="array" ref="I441">IFERROR(_xlfn.IFS(A441=$M$3,H441*$S$3,A441=$M$4,H441*$S$4,A441=$M$5,H441*$S$5,A441=$M$6,H441*$S$6,A441=$M$7,H441*$S$7,A441=$M$8,H441*$S$8,A441=$M$9,H441*$S$9,A441=$M$10,H441*$S$10),"")</f>
        <v>16136.906427965592</v>
      </c>
      <c r="J441" s="3">
        <f t="shared" si="6"/>
        <v>19632.906427965594</v>
      </c>
      <c r="K441" s="3" t="str">
        <f>IFERROR(VLOOKUP(E441,'GASB Match'!$A$2:$C$58,3,FALSE),"")</f>
        <v>0200715</v>
      </c>
    </row>
    <row r="442" spans="1:11" x14ac:dyDescent="0.2">
      <c r="A442">
        <v>2023</v>
      </c>
      <c r="B442" t="s">
        <v>58</v>
      </c>
      <c r="C442" t="s">
        <v>59</v>
      </c>
      <c r="D442" t="s">
        <v>60</v>
      </c>
      <c r="E442" t="s">
        <v>49</v>
      </c>
      <c r="F442">
        <v>775</v>
      </c>
      <c r="G442" s="3">
        <v>1937</v>
      </c>
      <c r="H442" s="5" t="str" cm="1">
        <f t="array" ref="H442">IFERROR(_xlfn.IFS(A442=$F$517,G442/$G$517,A442=$F$518,G442/$G$518,A442=$F$519,G442/$G$519,A442=$F$520,G442/$G$520,A442=$F$521,G442/$G$521,A442=$F$522,G442/$G$522,A442=$F$523,G442/$G$523,A442=$F$524,G442/$G$524),"")</f>
        <v/>
      </c>
      <c r="I442" s="3" t="str" cm="1">
        <f t="array" ref="I442">IFERROR(_xlfn.IFS(A442=$M$3,H442*$S$3,A442=$M$4,H442*$S$4,A442=$M$5,H442*$S$5,A442=$M$6,H442*$S$6,A442=$M$7,H442*$S$7,A442=$M$8,H442*$S$8,A442=$M$9,H442*$S$9,A442=$M$10,H442*$S$10),"")</f>
        <v/>
      </c>
      <c r="J442" s="3">
        <f t="shared" si="6"/>
        <v>1937</v>
      </c>
      <c r="K442" s="3" t="str">
        <f>IFERROR(VLOOKUP(E442,'GASB Match'!$A$2:$C$58,3,FALSE),"")</f>
        <v>0200715</v>
      </c>
    </row>
    <row r="443" spans="1:11" x14ac:dyDescent="0.2">
      <c r="A443">
        <v>2015</v>
      </c>
      <c r="B443" t="s">
        <v>58</v>
      </c>
      <c r="C443" t="s">
        <v>59</v>
      </c>
      <c r="D443" t="s">
        <v>60</v>
      </c>
      <c r="E443" t="s">
        <v>19</v>
      </c>
      <c r="F443">
        <v>729</v>
      </c>
      <c r="G443" s="3">
        <v>123109</v>
      </c>
      <c r="H443" s="5" cm="1">
        <f t="array" ref="H443">IFERROR(_xlfn.IFS(A443=$F$517,G443/$G$517,A443=$F$518,G443/$G$518,A443=$F$519,G443/$G$519,A443=$F$520,G443/$G$520,A443=$F$521,G443/$G$521,A443=$F$522,G443/$G$522,A443=$F$523,G443/$G$523,A443=$F$524,G443/$G$524),"")</f>
        <v>2.5353722936441751E-3</v>
      </c>
      <c r="I443" s="3" cm="1">
        <f t="array" ref="I443">IFERROR(_xlfn.IFS(A443=$M$3,H443*$S$3,A443=$M$4,H443*$S$4,A443=$M$5,H443*$S$5,A443=$M$6,H443*$S$6,A443=$M$7,H443*$S$7,A443=$M$8,H443*$S$8,A443=$M$9,H443*$S$9,A443=$M$10,H443*$S$10),"")</f>
        <v>4184675.099877798</v>
      </c>
      <c r="J443" s="3">
        <f t="shared" si="6"/>
        <v>4307784.099877798</v>
      </c>
      <c r="K443" s="3" t="str">
        <f>IFERROR(VLOOKUP(E443,'GASB Match'!$A$2:$C$58,3,FALSE),"")</f>
        <v>0200720</v>
      </c>
    </row>
    <row r="444" spans="1:11" x14ac:dyDescent="0.2">
      <c r="A444">
        <v>2016</v>
      </c>
      <c r="B444" t="s">
        <v>58</v>
      </c>
      <c r="C444" t="s">
        <v>59</v>
      </c>
      <c r="D444" t="s">
        <v>60</v>
      </c>
      <c r="E444" t="s">
        <v>19</v>
      </c>
      <c r="F444">
        <v>729</v>
      </c>
      <c r="G444" s="3">
        <v>122561</v>
      </c>
      <c r="H444" s="5" cm="1">
        <f t="array" ref="H444">IFERROR(_xlfn.IFS(A444=$F$517,G444/$G$517,A444=$F$518,G444/$G$518,A444=$F$519,G444/$G$519,A444=$F$520,G444/$G$520,A444=$F$521,G444/$G$521,A444=$F$522,G444/$G$522,A444=$F$523,G444/$G$523,A444=$F$524,G444/$G$524),"")</f>
        <v>3.5930575400779049E-3</v>
      </c>
      <c r="I444" s="3" cm="1">
        <f t="array" ref="I444">IFERROR(_xlfn.IFS(A444=$M$3,H444*$S$3,A444=$M$4,H444*$S$4,A444=$M$5,H444*$S$5,A444=$M$6,H444*$S$6,A444=$M$7,H444*$S$7,A444=$M$8,H444*$S$8,A444=$M$9,H444*$S$9,A444=$M$10,H444*$S$10),"")</f>
        <v>323222.3083809113</v>
      </c>
      <c r="J444" s="3">
        <f t="shared" si="6"/>
        <v>445783.3083809113</v>
      </c>
      <c r="K444" s="3" t="str">
        <f>IFERROR(VLOOKUP(E444,'GASB Match'!$A$2:$C$58,3,FALSE),"")</f>
        <v>0200720</v>
      </c>
    </row>
    <row r="445" spans="1:11" x14ac:dyDescent="0.2">
      <c r="A445">
        <v>2017</v>
      </c>
      <c r="B445" t="s">
        <v>58</v>
      </c>
      <c r="C445" t="s">
        <v>59</v>
      </c>
      <c r="D445" t="s">
        <v>60</v>
      </c>
      <c r="E445" t="s">
        <v>19</v>
      </c>
      <c r="F445">
        <v>729</v>
      </c>
      <c r="G445" s="3">
        <v>133598</v>
      </c>
      <c r="H445" s="5" cm="1">
        <f t="array" ref="H445">IFERROR(_xlfn.IFS(A445=$F$517,G445/$G$517,A445=$F$518,G445/$G$518,A445=$F$519,G445/$G$519,A445=$F$520,G445/$G$520,A445=$F$521,G445/$G$521,A445=$F$522,G445/$G$522,A445=$F$523,G445/$G$523,A445=$F$524,G445/$G$524),"")</f>
        <v>3.5765812661222971E-3</v>
      </c>
      <c r="I445" s="3" cm="1">
        <f t="array" ref="I445">IFERROR(_xlfn.IFS(A445=$M$3,H445*$S$3,A445=$M$4,H445*$S$4,A445=$M$5,H445*$S$5,A445=$M$6,H445*$S$6,A445=$M$7,H445*$S$7,A445=$M$8,H445*$S$8,A445=$M$9,H445*$S$9,A445=$M$10,H445*$S$10),"")</f>
        <v>414812.74647120538</v>
      </c>
      <c r="J445" s="3">
        <f t="shared" si="6"/>
        <v>548410.74647120538</v>
      </c>
      <c r="K445" s="3" t="str">
        <f>IFERROR(VLOOKUP(E445,'GASB Match'!$A$2:$C$58,3,FALSE),"")</f>
        <v>0200720</v>
      </c>
    </row>
    <row r="446" spans="1:11" x14ac:dyDescent="0.2">
      <c r="A446">
        <v>2018</v>
      </c>
      <c r="B446" t="s">
        <v>58</v>
      </c>
      <c r="C446" t="s">
        <v>59</v>
      </c>
      <c r="D446" t="s">
        <v>60</v>
      </c>
      <c r="E446" t="s">
        <v>19</v>
      </c>
      <c r="F446">
        <v>729</v>
      </c>
      <c r="G446" s="3">
        <v>149368</v>
      </c>
      <c r="H446" s="5" cm="1">
        <f t="array" ref="H446">IFERROR(_xlfn.IFS(A446=$F$517,G446/$G$517,A446=$F$518,G446/$G$518,A446=$F$519,G446/$G$519,A446=$F$520,G446/$G$520,A446=$F$521,G446/$G$521,A446=$F$522,G446/$G$522,A446=$F$523,G446/$G$523,A446=$F$524,G446/$G$524),"")</f>
        <v>3.683526099797693E-3</v>
      </c>
      <c r="I446" s="3" cm="1">
        <f t="array" ref="I446">IFERROR(_xlfn.IFS(A446=$M$3,H446*$S$3,A446=$M$4,H446*$S$4,A446=$M$5,H446*$S$5,A446=$M$6,H446*$S$6,A446=$M$7,H446*$S$7,A446=$M$8,H446*$S$8,A446=$M$9,H446*$S$9,A446=$M$10,H446*$S$10),"")</f>
        <v>409027.06657404749</v>
      </c>
      <c r="J446" s="3">
        <f t="shared" si="6"/>
        <v>558395.06657404755</v>
      </c>
      <c r="K446" s="3" t="str">
        <f>IFERROR(VLOOKUP(E446,'GASB Match'!$A$2:$C$58,3,FALSE),"")</f>
        <v>0200720</v>
      </c>
    </row>
    <row r="447" spans="1:11" x14ac:dyDescent="0.2">
      <c r="A447">
        <v>2019</v>
      </c>
      <c r="B447" t="s">
        <v>58</v>
      </c>
      <c r="C447" t="s">
        <v>59</v>
      </c>
      <c r="D447" t="s">
        <v>60</v>
      </c>
      <c r="E447" t="s">
        <v>19</v>
      </c>
      <c r="F447">
        <v>729</v>
      </c>
      <c r="G447" s="3">
        <v>72536</v>
      </c>
      <c r="H447" s="5" cm="1">
        <f t="array" ref="H447">IFERROR(_xlfn.IFS(A447=$F$517,G447/$G$517,A447=$F$518,G447/$G$518,A447=$F$519,G447/$G$519,A447=$F$520,G447/$G$520,A447=$F$521,G447/$G$521,A447=$F$522,G447/$G$522,A447=$F$523,G447/$G$523,A447=$F$524,G447/$G$524),"")</f>
        <v>1.9708080443398119E-3</v>
      </c>
      <c r="I447" s="3" cm="1">
        <f t="array" ref="I447">IFERROR(_xlfn.IFS(A447=$M$3,H447*$S$3,A447=$M$4,H447*$S$4,A447=$M$5,H447*$S$5,A447=$M$6,H447*$S$6,A447=$M$7,H447*$S$7,A447=$M$8,H447*$S$8,A447=$M$9,H447*$S$9,A447=$M$10,H447*$S$10),"")</f>
        <v>251011.49751502558</v>
      </c>
      <c r="J447" s="3">
        <f t="shared" si="6"/>
        <v>323547.49751502555</v>
      </c>
      <c r="K447" s="3" t="str">
        <f>IFERROR(VLOOKUP(E447,'GASB Match'!$A$2:$C$58,3,FALSE),"")</f>
        <v>0200720</v>
      </c>
    </row>
    <row r="448" spans="1:11" x14ac:dyDescent="0.2">
      <c r="A448">
        <v>2020</v>
      </c>
      <c r="B448" t="s">
        <v>58</v>
      </c>
      <c r="C448" t="s">
        <v>59</v>
      </c>
      <c r="D448" t="s">
        <v>60</v>
      </c>
      <c r="E448" t="s">
        <v>19</v>
      </c>
      <c r="F448">
        <v>729</v>
      </c>
      <c r="G448" s="3">
        <v>100911</v>
      </c>
      <c r="H448" s="5" cm="1">
        <f t="array" ref="H448">IFERROR(_xlfn.IFS(A448=$F$517,G448/$G$517,A448=$F$518,G448/$G$518,A448=$F$519,G448/$G$519,A448=$F$520,G448/$G$520,A448=$F$521,G448/$G$521,A448=$F$522,G448/$G$522,A448=$F$523,G448/$G$523,A448=$F$524,G448/$G$524),"")</f>
        <v>2.9580151273229539E-3</v>
      </c>
      <c r="I448" s="3" cm="1">
        <f t="array" ref="I448">IFERROR(_xlfn.IFS(A448=$M$3,H448*$S$3,A448=$M$4,H448*$S$4,A448=$M$5,H448*$S$5,A448=$M$6,H448*$S$6,A448=$M$7,H448*$S$7,A448=$M$8,H448*$S$8,A448=$M$9,H448*$S$9,A448=$M$10,H448*$S$10),"")</f>
        <v>414770.26330983691</v>
      </c>
      <c r="J448" s="3">
        <f t="shared" si="6"/>
        <v>515681.26330983691</v>
      </c>
      <c r="K448" s="3" t="str">
        <f>IFERROR(VLOOKUP(E448,'GASB Match'!$A$2:$C$58,3,FALSE),"")</f>
        <v>0200720</v>
      </c>
    </row>
    <row r="449" spans="1:11" x14ac:dyDescent="0.2">
      <c r="A449">
        <v>2021</v>
      </c>
      <c r="B449" t="s">
        <v>58</v>
      </c>
      <c r="C449" t="s">
        <v>59</v>
      </c>
      <c r="D449" t="s">
        <v>60</v>
      </c>
      <c r="E449" t="s">
        <v>19</v>
      </c>
      <c r="F449">
        <v>729</v>
      </c>
      <c r="G449" s="3">
        <v>94194</v>
      </c>
      <c r="H449" s="5" cm="1">
        <f t="array" ref="H449">IFERROR(_xlfn.IFS(A449=$F$517,G449/$G$517,A449=$F$518,G449/$G$518,A449=$F$519,G449/$G$519,A449=$F$520,G449/$G$520,A449=$F$521,G449/$G$521,A449=$F$522,G449/$G$522,A449=$F$523,G449/$G$523,A449=$F$524,G449/$G$524),"")</f>
        <v>3.2109137114237577E-3</v>
      </c>
      <c r="I449" s="3" cm="1">
        <f t="array" ref="I449">IFERROR(_xlfn.IFS(A449=$M$3,H449*$S$3,A449=$M$4,H449*$S$4,A449=$M$5,H449*$S$5,A449=$M$6,H449*$S$6,A449=$M$7,H449*$S$7,A449=$M$8,H449*$S$8,A449=$M$9,H449*$S$9,A449=$M$10,H449*$S$10),"")</f>
        <v>430487.19165784208</v>
      </c>
      <c r="J449" s="3">
        <f t="shared" si="6"/>
        <v>524681.19165784214</v>
      </c>
      <c r="K449" s="3" t="str">
        <f>IFERROR(VLOOKUP(E449,'GASB Match'!$A$2:$C$58,3,FALSE),"")</f>
        <v>0200720</v>
      </c>
    </row>
    <row r="450" spans="1:11" x14ac:dyDescent="0.2">
      <c r="A450">
        <v>2022</v>
      </c>
      <c r="B450" t="s">
        <v>58</v>
      </c>
      <c r="C450" t="s">
        <v>59</v>
      </c>
      <c r="D450" t="s">
        <v>60</v>
      </c>
      <c r="E450" t="s">
        <v>19</v>
      </c>
      <c r="F450">
        <v>729</v>
      </c>
      <c r="G450" s="3">
        <v>75672</v>
      </c>
      <c r="H450" s="5" cm="1">
        <f t="array" ref="H450">IFERROR(_xlfn.IFS(A450=$F$517,G450/$G$517,A450=$F$518,G450/$G$518,A450=$F$519,G450/$G$519,A450=$F$520,G450/$G$520,A450=$F$521,G450/$G$521,A450=$F$522,G450/$G$522,A450=$F$523,G450/$G$523,A450=$F$524,G450/$G$524),"")</f>
        <v>2.4642996186086666E-3</v>
      </c>
      <c r="I450" s="3" cm="1">
        <f t="array" ref="I450">IFERROR(_xlfn.IFS(A450=$M$3,H450*$S$3,A450=$M$4,H450*$S$4,A450=$M$5,H450*$S$5,A450=$M$6,H450*$S$6,A450=$M$7,H450*$S$7,A450=$M$8,H450*$S$8,A450=$M$9,H450*$S$9,A450=$M$10,H450*$S$10),"")</f>
        <v>349288.32471882505</v>
      </c>
      <c r="J450" s="3">
        <f t="shared" si="6"/>
        <v>424960.32471882505</v>
      </c>
      <c r="K450" s="3" t="str">
        <f>IFERROR(VLOOKUP(E450,'GASB Match'!$A$2:$C$58,3,FALSE),"")</f>
        <v>0200720</v>
      </c>
    </row>
    <row r="451" spans="1:11" x14ac:dyDescent="0.2">
      <c r="A451">
        <v>2023</v>
      </c>
      <c r="B451" t="s">
        <v>58</v>
      </c>
      <c r="C451" t="s">
        <v>59</v>
      </c>
      <c r="D451" t="s">
        <v>60</v>
      </c>
      <c r="E451" t="s">
        <v>19</v>
      </c>
      <c r="F451">
        <v>729</v>
      </c>
      <c r="G451" s="3">
        <v>133696</v>
      </c>
      <c r="H451" s="5" t="str" cm="1">
        <f t="array" ref="H451">IFERROR(_xlfn.IFS(A451=$F$517,G451/$G$517,A451=$F$518,G451/$G$518,A451=$F$519,G451/$G$519,A451=$F$520,G451/$G$520,A451=$F$521,G451/$G$521,A451=$F$522,G451/$G$522,A451=$F$523,G451/$G$523,A451=$F$524,G451/$G$524),"")</f>
        <v/>
      </c>
      <c r="I451" s="3" t="str" cm="1">
        <f t="array" ref="I451">IFERROR(_xlfn.IFS(A451=$M$3,H451*$S$3,A451=$M$4,H451*$S$4,A451=$M$5,H451*$S$5,A451=$M$6,H451*$S$6,A451=$M$7,H451*$S$7,A451=$M$8,H451*$S$8,A451=$M$9,H451*$S$9,A451=$M$10,H451*$S$10),"")</f>
        <v/>
      </c>
      <c r="J451" s="3">
        <f t="shared" ref="J451:J514" si="7">SUM(G451,I451)</f>
        <v>133696</v>
      </c>
      <c r="K451" s="3" t="str">
        <f>IFERROR(VLOOKUP(E451,'GASB Match'!$A$2:$C$58,3,FALSE),"")</f>
        <v>0200720</v>
      </c>
    </row>
    <row r="452" spans="1:11" x14ac:dyDescent="0.2">
      <c r="A452">
        <v>2015</v>
      </c>
      <c r="B452" t="s">
        <v>58</v>
      </c>
      <c r="C452" t="s">
        <v>59</v>
      </c>
      <c r="D452" t="s">
        <v>60</v>
      </c>
      <c r="E452" t="s">
        <v>119</v>
      </c>
      <c r="F452">
        <v>733</v>
      </c>
      <c r="G452" s="3">
        <v>2314145</v>
      </c>
      <c r="H452" s="5" cm="1">
        <f t="array" ref="H452">IFERROR(_xlfn.IFS(A452=$F$517,G452/$G$517,A452=$F$518,G452/$G$518,A452=$F$519,G452/$G$519,A452=$F$520,G452/$G$520,A452=$F$521,G452/$G$521,A452=$F$522,G452/$G$522,A452=$F$523,G452/$G$523,A452=$F$524,G452/$G$524),"")</f>
        <v>4.7658734263743507E-2</v>
      </c>
      <c r="I452" s="3" cm="1">
        <f t="array" ref="I452">IFERROR(_xlfn.IFS(A452=$M$3,H452*$S$3,A452=$M$4,H452*$S$4,A452=$M$5,H452*$S$5,A452=$M$6,H452*$S$6,A452=$M$7,H452*$S$7,A452=$M$8,H452*$S$8,A452=$M$9,H452*$S$9,A452=$M$10,H452*$S$10),"")</f>
        <v>78661551.625037223</v>
      </c>
      <c r="J452" s="3">
        <f t="shared" si="7"/>
        <v>80975696.625037223</v>
      </c>
      <c r="K452" s="3" t="str">
        <f>IFERROR(VLOOKUP(E452,'GASB Match'!$A$2:$C$58,3,FALSE),"")</f>
        <v/>
      </c>
    </row>
    <row r="453" spans="1:11" x14ac:dyDescent="0.2">
      <c r="A453">
        <v>2016</v>
      </c>
      <c r="B453" t="s">
        <v>58</v>
      </c>
      <c r="C453" t="s">
        <v>59</v>
      </c>
      <c r="D453" t="s">
        <v>60</v>
      </c>
      <c r="E453" t="s">
        <v>119</v>
      </c>
      <c r="F453">
        <v>733</v>
      </c>
      <c r="G453" s="3">
        <v>1973801</v>
      </c>
      <c r="H453" s="5" cm="1">
        <f t="array" ref="H453">IFERROR(_xlfn.IFS(A453=$F$517,G453/$G$517,A453=$F$518,G453/$G$518,A453=$F$519,G453/$G$519,A453=$F$520,G453/$G$520,A453=$F$521,G453/$G$521,A453=$F$522,G453/$G$522,A453=$F$523,G453/$G$523,A453=$F$524,G453/$G$524),"")</f>
        <v>5.7864904542744504E-2</v>
      </c>
      <c r="I453" s="3" cm="1">
        <f t="array" ref="I453">IFERROR(_xlfn.IFS(A453=$M$3,H453*$S$3,A453=$M$4,H453*$S$4,A453=$M$5,H453*$S$5,A453=$M$6,H453*$S$6,A453=$M$7,H453*$S$7,A453=$M$8,H453*$S$8,A453=$M$9,H453*$S$9,A453=$M$10,H453*$S$10),"")</f>
        <v>5205379.4886183301</v>
      </c>
      <c r="J453" s="3">
        <f t="shared" si="7"/>
        <v>7179180.4886183301</v>
      </c>
      <c r="K453" s="3" t="str">
        <f>IFERROR(VLOOKUP(E453,'GASB Match'!$A$2:$C$58,3,FALSE),"")</f>
        <v/>
      </c>
    </row>
    <row r="454" spans="1:11" x14ac:dyDescent="0.2">
      <c r="A454">
        <v>2017</v>
      </c>
      <c r="B454" t="s">
        <v>58</v>
      </c>
      <c r="C454" t="s">
        <v>59</v>
      </c>
      <c r="D454" t="s">
        <v>60</v>
      </c>
      <c r="E454" t="s">
        <v>119</v>
      </c>
      <c r="F454">
        <v>733</v>
      </c>
      <c r="G454" s="3">
        <v>2003498</v>
      </c>
      <c r="H454" s="5" cm="1">
        <f t="array" ref="H454">IFERROR(_xlfn.IFS(A454=$F$517,G454/$G$517,A454=$F$518,G454/$G$518,A454=$F$519,G454/$G$519,A454=$F$520,G454/$G$520,A454=$F$521,G454/$G$521,A454=$F$522,G454/$G$522,A454=$F$523,G454/$G$523,A454=$F$524,G454/$G$524),"")</f>
        <v>5.3636082976642539E-2</v>
      </c>
      <c r="I454" s="3" cm="1">
        <f t="array" ref="I454">IFERROR(_xlfn.IFS(A454=$M$3,H454*$S$3,A454=$M$4,H454*$S$4,A454=$M$5,H454*$S$5,A454=$M$6,H454*$S$6,A454=$M$7,H454*$S$7,A454=$M$8,H454*$S$8,A454=$M$9,H454*$S$9,A454=$M$10,H454*$S$10),"")</f>
        <v>6220725.6690187501</v>
      </c>
      <c r="J454" s="3">
        <f t="shared" si="7"/>
        <v>8224223.6690187501</v>
      </c>
      <c r="K454" s="3" t="str">
        <f>IFERROR(VLOOKUP(E454,'GASB Match'!$A$2:$C$58,3,FALSE),"")</f>
        <v/>
      </c>
    </row>
    <row r="455" spans="1:11" x14ac:dyDescent="0.2">
      <c r="A455">
        <v>2018</v>
      </c>
      <c r="B455" t="s">
        <v>58</v>
      </c>
      <c r="C455" t="s">
        <v>59</v>
      </c>
      <c r="D455" t="s">
        <v>60</v>
      </c>
      <c r="E455" t="s">
        <v>119</v>
      </c>
      <c r="F455">
        <v>733</v>
      </c>
      <c r="G455" s="3">
        <v>1986247</v>
      </c>
      <c r="H455" s="5" cm="1">
        <f t="array" ref="H455">IFERROR(_xlfn.IFS(A455=$F$517,G455/$G$517,A455=$F$518,G455/$G$518,A455=$F$519,G455/$G$519,A455=$F$520,G455/$G$520,A455=$F$521,G455/$G$521,A455=$F$522,G455/$G$522,A455=$F$523,G455/$G$523,A455=$F$524,G455/$G$524),"")</f>
        <v>4.8982329984634386E-2</v>
      </c>
      <c r="I455" s="3" cm="1">
        <f t="array" ref="I455">IFERROR(_xlfn.IFS(A455=$M$3,H455*$S$3,A455=$M$4,H455*$S$4,A455=$M$5,H455*$S$5,A455=$M$6,H455*$S$6,A455=$M$7,H455*$S$7,A455=$M$8,H455*$S$8,A455=$M$9,H455*$S$9,A455=$M$10,H455*$S$10),"")</f>
        <v>5439108.6705418974</v>
      </c>
      <c r="J455" s="3">
        <f t="shared" si="7"/>
        <v>7425355.6705418974</v>
      </c>
      <c r="K455" s="3" t="str">
        <f>IFERROR(VLOOKUP(E455,'GASB Match'!$A$2:$C$58,3,FALSE),"")</f>
        <v/>
      </c>
    </row>
    <row r="456" spans="1:11" x14ac:dyDescent="0.2">
      <c r="A456">
        <v>2019</v>
      </c>
      <c r="B456" t="s">
        <v>58</v>
      </c>
      <c r="C456" t="s">
        <v>59</v>
      </c>
      <c r="D456" t="s">
        <v>60</v>
      </c>
      <c r="E456" t="s">
        <v>119</v>
      </c>
      <c r="F456">
        <v>733</v>
      </c>
      <c r="G456" s="3">
        <v>1829659</v>
      </c>
      <c r="H456" s="5" cm="1">
        <f t="array" ref="H456">IFERROR(_xlfn.IFS(A456=$F$517,G456/$G$517,A456=$F$518,G456/$G$518,A456=$F$519,G456/$G$519,A456=$F$520,G456/$G$520,A456=$F$521,G456/$G$521,A456=$F$522,G456/$G$522,A456=$F$523,G456/$G$523,A456=$F$524,G456/$G$524),"")</f>
        <v>4.9711959242289841E-2</v>
      </c>
      <c r="I456" s="3" cm="1">
        <f t="array" ref="I456">IFERROR(_xlfn.IFS(A456=$M$3,H456*$S$3,A456=$M$4,H456*$S$4,A456=$M$5,H456*$S$5,A456=$M$6,H456*$S$6,A456=$M$7,H456*$S$7,A456=$M$8,H456*$S$8,A456=$M$9,H456*$S$9,A456=$M$10,H456*$S$10),"")</f>
        <v>6331551.8574479455</v>
      </c>
      <c r="J456" s="3">
        <f t="shared" si="7"/>
        <v>8161210.8574479455</v>
      </c>
      <c r="K456" s="3" t="str">
        <f>IFERROR(VLOOKUP(E456,'GASB Match'!$A$2:$C$58,3,FALSE),"")</f>
        <v/>
      </c>
    </row>
    <row r="457" spans="1:11" x14ac:dyDescent="0.2">
      <c r="A457">
        <v>2020</v>
      </c>
      <c r="B457" t="s">
        <v>58</v>
      </c>
      <c r="C457" t="s">
        <v>59</v>
      </c>
      <c r="D457" t="s">
        <v>60</v>
      </c>
      <c r="E457" t="s">
        <v>119</v>
      </c>
      <c r="F457">
        <v>733</v>
      </c>
      <c r="G457" s="3">
        <v>1516834</v>
      </c>
      <c r="H457" s="5" cm="1">
        <f t="array" ref="H457">IFERROR(_xlfn.IFS(A457=$F$517,G457/$G$517,A457=$F$518,G457/$G$518,A457=$F$519,G457/$G$519,A457=$F$520,G457/$G$520,A457=$F$521,G457/$G$521,A457=$F$522,G457/$G$522,A457=$F$523,G457/$G$523,A457=$F$524,G457/$G$524),"")</f>
        <v>4.4463120151795002E-2</v>
      </c>
      <c r="I457" s="3" cm="1">
        <f t="array" ref="I457">IFERROR(_xlfn.IFS(A457=$M$3,H457*$S$3,A457=$M$4,H457*$S$4,A457=$M$5,H457*$S$5,A457=$M$6,H457*$S$6,A457=$M$7,H457*$S$7,A457=$M$8,H457*$S$8,A457=$M$9,H457*$S$9,A457=$M$10,H457*$S$10),"")</f>
        <v>6234579.3578233607</v>
      </c>
      <c r="J457" s="3">
        <f t="shared" si="7"/>
        <v>7751413.3578233607</v>
      </c>
      <c r="K457" s="3" t="str">
        <f>IFERROR(VLOOKUP(E457,'GASB Match'!$A$2:$C$58,3,FALSE),"")</f>
        <v/>
      </c>
    </row>
    <row r="458" spans="1:11" x14ac:dyDescent="0.2">
      <c r="A458">
        <v>2021</v>
      </c>
      <c r="B458" t="s">
        <v>58</v>
      </c>
      <c r="C458" t="s">
        <v>59</v>
      </c>
      <c r="D458" t="s">
        <v>60</v>
      </c>
      <c r="E458" t="s">
        <v>119</v>
      </c>
      <c r="F458">
        <v>733</v>
      </c>
      <c r="G458" s="3">
        <v>1168574</v>
      </c>
      <c r="H458" s="5" cm="1">
        <f t="array" ref="H458">IFERROR(_xlfn.IFS(A458=$F$517,G458/$G$517,A458=$F$518,G458/$G$518,A458=$F$519,G458/$G$519,A458=$F$520,G458/$G$520,A458=$F$521,G458/$G$521,A458=$F$522,G458/$G$522,A458=$F$523,G458/$G$523,A458=$F$524,G458/$G$524),"")</f>
        <v>3.9834705813675035E-2</v>
      </c>
      <c r="I458" s="3" cm="1">
        <f t="array" ref="I458">IFERROR(_xlfn.IFS(A458=$M$3,H458*$S$3,A458=$M$4,H458*$S$4,A458=$M$5,H458*$S$5,A458=$M$6,H458*$S$6,A458=$M$7,H458*$S$7,A458=$M$8,H458*$S$8,A458=$M$9,H458*$S$9,A458=$M$10,H458*$S$10),"")</f>
        <v>5340638.8889352949</v>
      </c>
      <c r="J458" s="3">
        <f t="shared" si="7"/>
        <v>6509212.8889352949</v>
      </c>
      <c r="K458" s="3" t="str">
        <f>IFERROR(VLOOKUP(E458,'GASB Match'!$A$2:$C$58,3,FALSE),"")</f>
        <v/>
      </c>
    </row>
    <row r="459" spans="1:11" x14ac:dyDescent="0.2">
      <c r="A459">
        <v>2022</v>
      </c>
      <c r="B459" t="s">
        <v>58</v>
      </c>
      <c r="C459" t="s">
        <v>59</v>
      </c>
      <c r="D459" t="s">
        <v>60</v>
      </c>
      <c r="E459" t="s">
        <v>119</v>
      </c>
      <c r="F459">
        <v>733</v>
      </c>
      <c r="G459" s="3">
        <v>1140207</v>
      </c>
      <c r="H459" s="5" cm="1">
        <f t="array" ref="H459">IFERROR(_xlfn.IFS(A459=$F$517,G459/$G$517,A459=$F$518,G459/$G$518,A459=$F$519,G459/$G$519,A459=$F$520,G459/$G$520,A459=$F$521,G459/$G$521,A459=$F$522,G459/$G$522,A459=$F$523,G459/$G$523,A459=$F$524,G459/$G$524),"")</f>
        <v>3.7131457807840836E-2</v>
      </c>
      <c r="I459" s="3" cm="1">
        <f t="array" ref="I459">IFERROR(_xlfn.IFS(A459=$M$3,H459*$S$3,A459=$M$4,H459*$S$4,A459=$M$5,H459*$S$5,A459=$M$6,H459*$S$6,A459=$M$7,H459*$S$7,A459=$M$8,H459*$S$8,A459=$M$9,H459*$S$9,A459=$M$10,H459*$S$10),"")</f>
        <v>5262990.1794940969</v>
      </c>
      <c r="J459" s="3">
        <f t="shared" si="7"/>
        <v>6403197.1794940969</v>
      </c>
      <c r="K459" s="3" t="str">
        <f>IFERROR(VLOOKUP(E459,'GASB Match'!$A$2:$C$58,3,FALSE),"")</f>
        <v/>
      </c>
    </row>
    <row r="460" spans="1:11" x14ac:dyDescent="0.2">
      <c r="A460">
        <v>2023</v>
      </c>
      <c r="B460" t="s">
        <v>58</v>
      </c>
      <c r="C460" t="s">
        <v>59</v>
      </c>
      <c r="D460" t="s">
        <v>60</v>
      </c>
      <c r="E460" t="s">
        <v>119</v>
      </c>
      <c r="F460">
        <v>733</v>
      </c>
      <c r="G460" s="3">
        <v>2335414</v>
      </c>
      <c r="H460" s="5" t="str" cm="1">
        <f t="array" ref="H460">IFERROR(_xlfn.IFS(A460=$F$517,G460/$G$517,A460=$F$518,G460/$G$518,A460=$F$519,G460/$G$519,A460=$F$520,G460/$G$520,A460=$F$521,G460/$G$521,A460=$F$522,G460/$G$522,A460=$F$523,G460/$G$523,A460=$F$524,G460/$G$524),"")</f>
        <v/>
      </c>
      <c r="I460" s="3" t="str" cm="1">
        <f t="array" ref="I460">IFERROR(_xlfn.IFS(A460=$M$3,H460*$S$3,A460=$M$4,H460*$S$4,A460=$M$5,H460*$S$5,A460=$M$6,H460*$S$6,A460=$M$7,H460*$S$7,A460=$M$8,H460*$S$8,A460=$M$9,H460*$S$9,A460=$M$10,H460*$S$10),"")</f>
        <v/>
      </c>
      <c r="J460" s="3">
        <f t="shared" si="7"/>
        <v>2335414</v>
      </c>
      <c r="K460" s="3" t="str">
        <f>IFERROR(VLOOKUP(E460,'GASB Match'!$A$2:$C$58,3,FALSE),"")</f>
        <v/>
      </c>
    </row>
    <row r="461" spans="1:11" x14ac:dyDescent="0.2">
      <c r="A461">
        <v>2015</v>
      </c>
      <c r="B461" t="s">
        <v>58</v>
      </c>
      <c r="C461" t="s">
        <v>59</v>
      </c>
      <c r="D461" t="s">
        <v>60</v>
      </c>
      <c r="E461" t="s">
        <v>20</v>
      </c>
      <c r="F461">
        <v>730</v>
      </c>
      <c r="G461" s="3">
        <v>289734</v>
      </c>
      <c r="H461" s="5" cm="1">
        <f t="array" ref="H461">IFERROR(_xlfn.IFS(A461=$F$517,G461/$G$517,A461=$F$518,G461/$G$518,A461=$F$519,G461/$G$519,A461=$F$520,G461/$G$520,A461=$F$521,G461/$G$521,A461=$F$522,G461/$G$522,A461=$F$523,G461/$G$523,A461=$F$524,G461/$G$524),"")</f>
        <v>5.9669362607664865E-3</v>
      </c>
      <c r="I461" s="3" cm="1">
        <f t="array" ref="I461">IFERROR(_xlfn.IFS(A461=$M$3,H461*$S$3,A461=$M$4,H461*$S$4,A461=$M$5,H461*$S$5,A461=$M$6,H461*$S$6,A461=$M$7,H461*$S$7,A461=$M$8,H461*$S$8,A461=$M$9,H461*$S$9,A461=$M$10,H461*$S$10),"")</f>
        <v>9848529.8019478172</v>
      </c>
      <c r="J461" s="3">
        <f t="shared" si="7"/>
        <v>10138263.801947817</v>
      </c>
      <c r="K461" s="3" t="str">
        <f>IFERROR(VLOOKUP(E461,'GASB Match'!$A$2:$C$58,3,FALSE),"")</f>
        <v>0200780</v>
      </c>
    </row>
    <row r="462" spans="1:11" x14ac:dyDescent="0.2">
      <c r="A462">
        <v>2016</v>
      </c>
      <c r="B462" t="s">
        <v>58</v>
      </c>
      <c r="C462" t="s">
        <v>59</v>
      </c>
      <c r="D462" t="s">
        <v>60</v>
      </c>
      <c r="E462" t="s">
        <v>20</v>
      </c>
      <c r="F462">
        <v>730</v>
      </c>
      <c r="G462" s="3">
        <v>257196</v>
      </c>
      <c r="H462" s="5" cm="1">
        <f t="array" ref="H462">IFERROR(_xlfn.IFS(A462=$F$517,G462/$G$517,A462=$F$518,G462/$G$518,A462=$F$519,G462/$G$519,A462=$F$520,G462/$G$520,A462=$F$521,G462/$G$521,A462=$F$522,G462/$G$522,A462=$F$523,G462/$G$523,A462=$F$524,G462/$G$524),"")</f>
        <v>7.5400823025095817E-3</v>
      </c>
      <c r="I462" s="3" cm="1">
        <f t="array" ref="I462">IFERROR(_xlfn.IFS(A462=$M$3,H462*$S$3,A462=$M$4,H462*$S$4,A462=$M$5,H462*$S$5,A462=$M$6,H462*$S$6,A462=$M$7,H462*$S$7,A462=$M$8,H462*$S$8,A462=$M$9,H462*$S$9,A462=$M$10,H462*$S$10),"")</f>
        <v>678286.6068842198</v>
      </c>
      <c r="J462" s="3">
        <f t="shared" si="7"/>
        <v>935482.6068842198</v>
      </c>
      <c r="K462" s="3" t="str">
        <f>IFERROR(VLOOKUP(E462,'GASB Match'!$A$2:$C$58,3,FALSE),"")</f>
        <v>0200780</v>
      </c>
    </row>
    <row r="463" spans="1:11" x14ac:dyDescent="0.2">
      <c r="A463">
        <v>2017</v>
      </c>
      <c r="B463" t="s">
        <v>58</v>
      </c>
      <c r="C463" t="s">
        <v>59</v>
      </c>
      <c r="D463" t="s">
        <v>60</v>
      </c>
      <c r="E463" t="s">
        <v>20</v>
      </c>
      <c r="F463">
        <v>730</v>
      </c>
      <c r="G463" s="3">
        <v>299121</v>
      </c>
      <c r="H463" s="5" cm="1">
        <f t="array" ref="H463">IFERROR(_xlfn.IFS(A463=$F$517,G463/$G$517,A463=$F$518,G463/$G$518,A463=$F$519,G463/$G$519,A463=$F$520,G463/$G$520,A463=$F$521,G463/$G$521,A463=$F$522,G463/$G$522,A463=$F$523,G463/$G$523,A463=$F$524,G463/$G$524),"")</f>
        <v>8.0078336869097416E-3</v>
      </c>
      <c r="I463" s="3" cm="1">
        <f t="array" ref="I463">IFERROR(_xlfn.IFS(A463=$M$3,H463*$S$3,A463=$M$4,H463*$S$4,A463=$M$5,H463*$S$5,A463=$M$6,H463*$S$6,A463=$M$7,H463*$S$7,A463=$M$8,H463*$S$8,A463=$M$9,H463*$S$9,A463=$M$10,H463*$S$10),"")</f>
        <v>928750.45687220932</v>
      </c>
      <c r="J463" s="3">
        <f t="shared" si="7"/>
        <v>1227871.4568722094</v>
      </c>
      <c r="K463" s="3" t="str">
        <f>IFERROR(VLOOKUP(E463,'GASB Match'!$A$2:$C$58,3,FALSE),"")</f>
        <v>0200780</v>
      </c>
    </row>
    <row r="464" spans="1:11" x14ac:dyDescent="0.2">
      <c r="A464">
        <v>2018</v>
      </c>
      <c r="B464" t="s">
        <v>58</v>
      </c>
      <c r="C464" t="s">
        <v>59</v>
      </c>
      <c r="D464" t="s">
        <v>60</v>
      </c>
      <c r="E464" t="s">
        <v>20</v>
      </c>
      <c r="F464">
        <v>730</v>
      </c>
      <c r="G464" s="3">
        <v>303737</v>
      </c>
      <c r="H464" s="5" cm="1">
        <f t="array" ref="H464">IFERROR(_xlfn.IFS(A464=$F$517,G464/$G$517,A464=$F$518,G464/$G$518,A464=$F$519,G464/$G$519,A464=$F$520,G464/$G$520,A464=$F$521,G464/$G$521,A464=$F$522,G464/$G$522,A464=$F$523,G464/$G$523,A464=$F$524,G464/$G$524),"")</f>
        <v>7.4903805833528726E-3</v>
      </c>
      <c r="I464" s="3" cm="1">
        <f t="array" ref="I464">IFERROR(_xlfn.IFS(A464=$M$3,H464*$S$3,A464=$M$4,H464*$S$4,A464=$M$5,H464*$S$5,A464=$M$6,H464*$S$6,A464=$M$7,H464*$S$7,A464=$M$8,H464*$S$8,A464=$M$9,H464*$S$9,A464=$M$10,H464*$S$10),"")</f>
        <v>831748.79572600196</v>
      </c>
      <c r="J464" s="3">
        <f t="shared" si="7"/>
        <v>1135485.795726002</v>
      </c>
      <c r="K464" s="3" t="str">
        <f>IFERROR(VLOOKUP(E464,'GASB Match'!$A$2:$C$58,3,FALSE),"")</f>
        <v>0200780</v>
      </c>
    </row>
    <row r="465" spans="1:11" x14ac:dyDescent="0.2">
      <c r="A465">
        <v>2019</v>
      </c>
      <c r="B465" t="s">
        <v>58</v>
      </c>
      <c r="C465" t="s">
        <v>59</v>
      </c>
      <c r="D465" t="s">
        <v>60</v>
      </c>
      <c r="E465" t="s">
        <v>20</v>
      </c>
      <c r="F465">
        <v>730</v>
      </c>
      <c r="G465" s="3">
        <v>248144</v>
      </c>
      <c r="H465" s="5" cm="1">
        <f t="array" ref="H465">IFERROR(_xlfn.IFS(A465=$F$517,G465/$G$517,A465=$F$518,G465/$G$518,A465=$F$519,G465/$G$519,A465=$F$520,G465/$G$520,A465=$F$521,G465/$G$521,A465=$F$522,G465/$G$522,A465=$F$523,G465/$G$523,A465=$F$524,G465/$G$524),"")</f>
        <v>6.7420893260540732E-3</v>
      </c>
      <c r="I465" s="3" cm="1">
        <f t="array" ref="I465">IFERROR(_xlfn.IFS(A465=$M$3,H465*$S$3,A465=$M$4,H465*$S$4,A465=$M$5,H465*$S$5,A465=$M$6,H465*$S$6,A465=$M$7,H465*$S$7,A465=$M$8,H465*$S$8,A465=$M$9,H465*$S$9,A465=$M$10,H465*$S$10),"")</f>
        <v>858704.6023956174</v>
      </c>
      <c r="J465" s="3">
        <f t="shared" si="7"/>
        <v>1106848.6023956174</v>
      </c>
      <c r="K465" s="3" t="str">
        <f>IFERROR(VLOOKUP(E465,'GASB Match'!$A$2:$C$58,3,FALSE),"")</f>
        <v>0200780</v>
      </c>
    </row>
    <row r="466" spans="1:11" x14ac:dyDescent="0.2">
      <c r="A466">
        <v>2020</v>
      </c>
      <c r="B466" t="s">
        <v>58</v>
      </c>
      <c r="C466" t="s">
        <v>59</v>
      </c>
      <c r="D466" t="s">
        <v>60</v>
      </c>
      <c r="E466" t="s">
        <v>20</v>
      </c>
      <c r="F466">
        <v>730</v>
      </c>
      <c r="G466" s="3">
        <v>258900</v>
      </c>
      <c r="H466" s="5" cm="1">
        <f t="array" ref="H466">IFERROR(_xlfn.IFS(A466=$F$517,G466/$G$517,A466=$F$518,G466/$G$518,A466=$F$519,G466/$G$519,A466=$F$520,G466/$G$520,A466=$F$521,G466/$G$521,A466=$F$522,G466/$G$522,A466=$F$523,G466/$G$523,A466=$F$524,G466/$G$524),"")</f>
        <v>7.5891638816770503E-3</v>
      </c>
      <c r="I466" s="3" cm="1">
        <f t="array" ref="I466">IFERROR(_xlfn.IFS(A466=$M$3,H466*$S$3,A466=$M$4,H466*$S$4,A466=$M$5,H466*$S$5,A466=$M$6,H466*$S$6,A466=$M$7,H466*$S$7,A466=$M$8,H466*$S$8,A466=$M$9,H466*$S$9,A466=$M$10,H466*$S$10),"")</f>
        <v>1064145.8430787206</v>
      </c>
      <c r="J466" s="3">
        <f t="shared" si="7"/>
        <v>1323045.8430787206</v>
      </c>
      <c r="K466" s="3" t="str">
        <f>IFERROR(VLOOKUP(E466,'GASB Match'!$A$2:$C$58,3,FALSE),"")</f>
        <v>0200780</v>
      </c>
    </row>
    <row r="467" spans="1:11" x14ac:dyDescent="0.2">
      <c r="A467">
        <v>2021</v>
      </c>
      <c r="B467" t="s">
        <v>58</v>
      </c>
      <c r="C467" t="s">
        <v>59</v>
      </c>
      <c r="D467" t="s">
        <v>60</v>
      </c>
      <c r="E467" t="s">
        <v>20</v>
      </c>
      <c r="F467">
        <v>730</v>
      </c>
      <c r="G467" s="3">
        <v>212196</v>
      </c>
      <c r="H467" s="5" cm="1">
        <f t="array" ref="H467">IFERROR(_xlfn.IFS(A467=$F$517,G467/$G$517,A467=$F$518,G467/$G$518,A467=$F$519,G467/$G$519,A467=$F$520,G467/$G$520,A467=$F$521,G467/$G$521,A467=$F$522,G467/$G$522,A467=$F$523,G467/$G$523,A467=$F$524,G467/$G$524),"")</f>
        <v>7.2334017656037084E-3</v>
      </c>
      <c r="I467" s="3" cm="1">
        <f t="array" ref="I467">IFERROR(_xlfn.IFS(A467=$M$3,H467*$S$3,A467=$M$4,H467*$S$4,A467=$M$5,H467*$S$5,A467=$M$6,H467*$S$6,A467=$M$7,H467*$S$7,A467=$M$8,H467*$S$8,A467=$M$9,H467*$S$9,A467=$M$10,H467*$S$10),"")</f>
        <v>969782.15301428386</v>
      </c>
      <c r="J467" s="3">
        <f t="shared" si="7"/>
        <v>1181978.1530142839</v>
      </c>
      <c r="K467" s="3" t="str">
        <f>IFERROR(VLOOKUP(E467,'GASB Match'!$A$2:$C$58,3,FALSE),"")</f>
        <v>0200780</v>
      </c>
    </row>
    <row r="468" spans="1:11" x14ac:dyDescent="0.2">
      <c r="A468">
        <v>2022</v>
      </c>
      <c r="B468" t="s">
        <v>58</v>
      </c>
      <c r="C468" t="s">
        <v>59</v>
      </c>
      <c r="D468" t="s">
        <v>60</v>
      </c>
      <c r="E468" t="s">
        <v>20</v>
      </c>
      <c r="F468">
        <v>730</v>
      </c>
      <c r="G468" s="3">
        <v>215500</v>
      </c>
      <c r="H468" s="5" cm="1">
        <f t="array" ref="H468">IFERROR(_xlfn.IFS(A468=$F$517,G468/$G$517,A468=$F$518,G468/$G$518,A468=$F$519,G468/$G$519,A468=$F$520,G468/$G$520,A468=$F$521,G468/$G$521,A468=$F$522,G468/$G$522,A468=$F$523,G468/$G$523,A468=$F$524,G468/$G$524),"")</f>
        <v>7.0178740856613759E-3</v>
      </c>
      <c r="I468" s="3" cm="1">
        <f t="array" ref="I468">IFERROR(_xlfn.IFS(A468=$M$3,H468*$S$3,A468=$M$4,H468*$S$4,A468=$M$5,H468*$S$5,A468=$M$6,H468*$S$6,A468=$M$7,H468*$S$7,A468=$M$8,H468*$S$8,A468=$M$9,H468*$S$9,A468=$M$10,H468*$S$10),"")</f>
        <v>994709.19199845113</v>
      </c>
      <c r="J468" s="3">
        <f t="shared" si="7"/>
        <v>1210209.191998451</v>
      </c>
      <c r="K468" s="3" t="str">
        <f>IFERROR(VLOOKUP(E468,'GASB Match'!$A$2:$C$58,3,FALSE),"")</f>
        <v>0200780</v>
      </c>
    </row>
    <row r="469" spans="1:11" x14ac:dyDescent="0.2">
      <c r="A469">
        <v>2023</v>
      </c>
      <c r="B469" t="s">
        <v>58</v>
      </c>
      <c r="C469" t="s">
        <v>59</v>
      </c>
      <c r="D469" t="s">
        <v>60</v>
      </c>
      <c r="E469" t="s">
        <v>20</v>
      </c>
      <c r="F469">
        <v>730</v>
      </c>
      <c r="G469" s="3">
        <v>365303</v>
      </c>
      <c r="H469" s="5" t="str" cm="1">
        <f t="array" ref="H469">IFERROR(_xlfn.IFS(A469=$F$517,G469/$G$517,A469=$F$518,G469/$G$518,A469=$F$519,G469/$G$519,A469=$F$520,G469/$G$520,A469=$F$521,G469/$G$521,A469=$F$522,G469/$G$522,A469=$F$523,G469/$G$523,A469=$F$524,G469/$G$524),"")</f>
        <v/>
      </c>
      <c r="I469" s="3" t="str" cm="1">
        <f t="array" ref="I469">IFERROR(_xlfn.IFS(A469=$M$3,H469*$S$3,A469=$M$4,H469*$S$4,A469=$M$5,H469*$S$5,A469=$M$6,H469*$S$6,A469=$M$7,H469*$S$7,A469=$M$8,H469*$S$8,A469=$M$9,H469*$S$9,A469=$M$10,H469*$S$10),"")</f>
        <v/>
      </c>
      <c r="J469" s="3">
        <f t="shared" si="7"/>
        <v>365303</v>
      </c>
      <c r="K469" s="3" t="str">
        <f>IFERROR(VLOOKUP(E469,'GASB Match'!$A$2:$C$58,3,FALSE),"")</f>
        <v>0200780</v>
      </c>
    </row>
    <row r="470" spans="1:11" x14ac:dyDescent="0.2">
      <c r="A470">
        <v>2015</v>
      </c>
      <c r="B470" t="s">
        <v>58</v>
      </c>
      <c r="C470" t="s">
        <v>59</v>
      </c>
      <c r="D470" t="s">
        <v>60</v>
      </c>
      <c r="E470" t="s">
        <v>21</v>
      </c>
      <c r="F470">
        <v>731</v>
      </c>
      <c r="G470" s="3">
        <v>74801</v>
      </c>
      <c r="H470" s="5" cm="1">
        <f t="array" ref="H470">IFERROR(_xlfn.IFS(A470=$F$517,G470/$G$517,A470=$F$518,G470/$G$518,A470=$F$519,G470/$G$519,A470=$F$520,G470/$G$520,A470=$F$521,G470/$G$521,A470=$F$522,G470/$G$522,A470=$F$523,G470/$G$523,A470=$F$524,G470/$G$524),"")</f>
        <v>1.5404916207334795E-3</v>
      </c>
      <c r="I470" s="3" cm="1">
        <f t="array" ref="I470">IFERROR(_xlfn.IFS(A470=$M$3,H470*$S$3,A470=$M$4,H470*$S$4,A470=$M$5,H470*$S$5,A470=$M$6,H470*$S$6,A470=$M$7,H470*$S$7,A470=$M$8,H470*$S$8,A470=$M$9,H470*$S$9,A470=$M$10,H470*$S$10),"")</f>
        <v>2542607.6253235685</v>
      </c>
      <c r="J470" s="3">
        <f t="shared" si="7"/>
        <v>2617408.6253235685</v>
      </c>
      <c r="K470" s="3" t="str">
        <f>IFERROR(VLOOKUP(E470,'GASB Match'!$A$2:$C$58,3,FALSE),"")</f>
        <v>0200810</v>
      </c>
    </row>
    <row r="471" spans="1:11" x14ac:dyDescent="0.2">
      <c r="A471">
        <v>2016</v>
      </c>
      <c r="B471" t="s">
        <v>58</v>
      </c>
      <c r="C471" t="s">
        <v>59</v>
      </c>
      <c r="D471" t="s">
        <v>60</v>
      </c>
      <c r="E471" t="s">
        <v>21</v>
      </c>
      <c r="F471">
        <v>731</v>
      </c>
      <c r="G471" s="3">
        <v>78637</v>
      </c>
      <c r="H471" s="5" cm="1">
        <f t="array" ref="H471">IFERROR(_xlfn.IFS(A471=$F$517,G471/$G$517,A471=$F$518,G471/$G$518,A471=$F$519,G471/$G$519,A471=$F$520,G471/$G$520,A471=$F$521,G471/$G$521,A471=$F$522,G471/$G$522,A471=$F$523,G471/$G$523,A471=$F$524,G471/$G$524),"")</f>
        <v>2.305360316732943E-3</v>
      </c>
      <c r="I471" s="3" cm="1">
        <f t="array" ref="I471">IFERROR(_xlfn.IFS(A471=$M$3,H471*$S$3,A471=$M$4,H471*$S$4,A471=$M$5,H471*$S$5,A471=$M$6,H471*$S$6,A471=$M$7,H471*$S$7,A471=$M$8,H471*$S$8,A471=$M$9,H471*$S$9,A471=$M$10,H471*$S$10),"")</f>
        <v>207384.34464592914</v>
      </c>
      <c r="J471" s="3">
        <f t="shared" si="7"/>
        <v>286021.34464592917</v>
      </c>
      <c r="K471" s="3" t="str">
        <f>IFERROR(VLOOKUP(E471,'GASB Match'!$A$2:$C$58,3,FALSE),"")</f>
        <v>0200810</v>
      </c>
    </row>
    <row r="472" spans="1:11" x14ac:dyDescent="0.2">
      <c r="A472">
        <v>2017</v>
      </c>
      <c r="B472" t="s">
        <v>58</v>
      </c>
      <c r="C472" t="s">
        <v>59</v>
      </c>
      <c r="D472" t="s">
        <v>60</v>
      </c>
      <c r="E472" t="s">
        <v>21</v>
      </c>
      <c r="F472">
        <v>731</v>
      </c>
      <c r="G472" s="3">
        <v>79314</v>
      </c>
      <c r="H472" s="5" cm="1">
        <f t="array" ref="H472">IFERROR(_xlfn.IFS(A472=$F$517,G472/$G$517,A472=$F$518,G472/$G$518,A472=$F$519,G472/$G$519,A472=$F$520,G472/$G$520,A472=$F$521,G472/$G$521,A472=$F$522,G472/$G$522,A472=$F$523,G472/$G$523,A472=$F$524,G472/$G$524),"")</f>
        <v>2.1233324341773372E-3</v>
      </c>
      <c r="I472" s="3" cm="1">
        <f t="array" ref="I472">IFERROR(_xlfn.IFS(A472=$M$3,H472*$S$3,A472=$M$4,H472*$S$4,A472=$M$5,H472*$S$5,A472=$M$6,H472*$S$6,A472=$M$7,H472*$S$7,A472=$M$8,H472*$S$8,A472=$M$9,H472*$S$9,A472=$M$10,H472*$S$10),"")</f>
        <v>246264.60106900689</v>
      </c>
      <c r="J472" s="3">
        <f t="shared" si="7"/>
        <v>325578.60106900689</v>
      </c>
      <c r="K472" s="3" t="str">
        <f>IFERROR(VLOOKUP(E472,'GASB Match'!$A$2:$C$58,3,FALSE),"")</f>
        <v>0200810</v>
      </c>
    </row>
    <row r="473" spans="1:11" x14ac:dyDescent="0.2">
      <c r="A473">
        <v>2018</v>
      </c>
      <c r="B473" t="s">
        <v>58</v>
      </c>
      <c r="C473" t="s">
        <v>59</v>
      </c>
      <c r="D473" t="s">
        <v>60</v>
      </c>
      <c r="E473" t="s">
        <v>21</v>
      </c>
      <c r="F473">
        <v>731</v>
      </c>
      <c r="G473" s="3">
        <v>89138</v>
      </c>
      <c r="H473" s="5" cm="1">
        <f t="array" ref="H473">IFERROR(_xlfn.IFS(A473=$F$517,G473/$G$517,A473=$F$518,G473/$G$518,A473=$F$519,G473/$G$519,A473=$F$520,G473/$G$520,A473=$F$521,G473/$G$521,A473=$F$522,G473/$G$522,A473=$F$523,G473/$G$523,A473=$F$524,G473/$G$524),"")</f>
        <v>2.1982094523844919E-3</v>
      </c>
      <c r="I473" s="3" cm="1">
        <f t="array" ref="I473">IFERROR(_xlfn.IFS(A473=$M$3,H473*$S$3,A473=$M$4,H473*$S$4,A473=$M$5,H473*$S$5,A473=$M$6,H473*$S$6,A473=$M$7,H473*$S$7,A473=$M$8,H473*$S$8,A473=$M$9,H473*$S$9,A473=$M$10,H473*$S$10),"")</f>
        <v>244094.14774434583</v>
      </c>
      <c r="J473" s="3">
        <f t="shared" si="7"/>
        <v>333232.14774434583</v>
      </c>
      <c r="K473" s="3" t="str">
        <f>IFERROR(VLOOKUP(E473,'GASB Match'!$A$2:$C$58,3,FALSE),"")</f>
        <v>0200810</v>
      </c>
    </row>
    <row r="474" spans="1:11" x14ac:dyDescent="0.2">
      <c r="A474">
        <v>2019</v>
      </c>
      <c r="B474" t="s">
        <v>58</v>
      </c>
      <c r="C474" t="s">
        <v>59</v>
      </c>
      <c r="D474" t="s">
        <v>60</v>
      </c>
      <c r="E474" t="s">
        <v>21</v>
      </c>
      <c r="F474">
        <v>731</v>
      </c>
      <c r="G474" s="3">
        <v>74356</v>
      </c>
      <c r="H474" s="5" cm="1">
        <f t="array" ref="H474">IFERROR(_xlfn.IFS(A474=$F$517,G474/$G$517,A474=$F$518,G474/$G$518,A474=$F$519,G474/$G$519,A474=$F$520,G474/$G$520,A474=$F$521,G474/$G$521,A474=$F$522,G474/$G$522,A474=$F$523,G474/$G$523,A474=$F$524,G474/$G$524),"")</f>
        <v>2.0202575678963694E-3</v>
      </c>
      <c r="I474" s="3" cm="1">
        <f t="array" ref="I474">IFERROR(_xlfn.IFS(A474=$M$3,H474*$S$3,A474=$M$4,H474*$S$4,A474=$M$5,H474*$S$5,A474=$M$6,H474*$S$6,A474=$M$7,H474*$S$7,A474=$M$8,H474*$S$8,A474=$M$9,H474*$S$9,A474=$M$10,H474*$S$10),"")</f>
        <v>257309.62431381992</v>
      </c>
      <c r="J474" s="3">
        <f t="shared" si="7"/>
        <v>331665.62431381992</v>
      </c>
      <c r="K474" s="3" t="str">
        <f>IFERROR(VLOOKUP(E474,'GASB Match'!$A$2:$C$58,3,FALSE),"")</f>
        <v>0200810</v>
      </c>
    </row>
    <row r="475" spans="1:11" x14ac:dyDescent="0.2">
      <c r="A475">
        <v>2020</v>
      </c>
      <c r="B475" t="s">
        <v>58</v>
      </c>
      <c r="C475" t="s">
        <v>59</v>
      </c>
      <c r="D475" t="s">
        <v>60</v>
      </c>
      <c r="E475" t="s">
        <v>21</v>
      </c>
      <c r="F475">
        <v>731</v>
      </c>
      <c r="G475" s="3">
        <v>70592</v>
      </c>
      <c r="H475" s="5" cm="1">
        <f t="array" ref="H475">IFERROR(_xlfn.IFS(A475=$F$517,G475/$G$517,A475=$F$518,G475/$G$518,A475=$F$519,G475/$G$519,A475=$F$520,G475/$G$520,A475=$F$521,G475/$G$521,A475=$F$522,G475/$G$522,A475=$F$523,G475/$G$523,A475=$F$524,G475/$G$524),"")</f>
        <v>2.0692709800515501E-3</v>
      </c>
      <c r="I475" s="3" cm="1">
        <f t="array" ref="I475">IFERROR(_xlfn.IFS(A475=$M$3,H475*$S$3,A475=$M$4,H475*$S$4,A475=$M$5,H475*$S$5,A475=$M$6,H475*$S$6,A475=$M$7,H475*$S$7,A475=$M$8,H475*$S$8,A475=$M$9,H475*$S$9,A475=$M$10,H475*$S$10),"")</f>
        <v>290151.34551801102</v>
      </c>
      <c r="J475" s="3">
        <f t="shared" si="7"/>
        <v>360743.34551801102</v>
      </c>
      <c r="K475" s="3" t="str">
        <f>IFERROR(VLOOKUP(E475,'GASB Match'!$A$2:$C$58,3,FALSE),"")</f>
        <v>0200810</v>
      </c>
    </row>
    <row r="476" spans="1:11" x14ac:dyDescent="0.2">
      <c r="A476">
        <v>2021</v>
      </c>
      <c r="B476" t="s">
        <v>58</v>
      </c>
      <c r="C476" t="s">
        <v>59</v>
      </c>
      <c r="D476" t="s">
        <v>60</v>
      </c>
      <c r="E476" t="s">
        <v>21</v>
      </c>
      <c r="F476">
        <v>731</v>
      </c>
      <c r="G476" s="3">
        <v>72657</v>
      </c>
      <c r="H476" s="5" cm="1">
        <f t="array" ref="H476">IFERROR(_xlfn.IFS(A476=$F$517,G476/$G$517,A476=$F$518,G476/$G$518,A476=$F$519,G476/$G$519,A476=$F$520,G476/$G$520,A476=$F$521,G476/$G$521,A476=$F$522,G476/$G$522,A476=$F$523,G476/$G$523,A476=$F$524,G476/$G$524),"")</f>
        <v>2.4767539071587994E-3</v>
      </c>
      <c r="I476" s="3" cm="1">
        <f t="array" ref="I476">IFERROR(_xlfn.IFS(A476=$M$3,H476*$S$3,A476=$M$4,H476*$S$4,A476=$M$5,H476*$S$5,A476=$M$6,H476*$S$6,A476=$M$7,H476*$S$7,A476=$M$8,H476*$S$8,A476=$M$9,H476*$S$9,A476=$M$10,H476*$S$10),"")</f>
        <v>332058.38890251849</v>
      </c>
      <c r="J476" s="3">
        <f t="shared" si="7"/>
        <v>404715.38890251849</v>
      </c>
      <c r="K476" s="3" t="str">
        <f>IFERROR(VLOOKUP(E476,'GASB Match'!$A$2:$C$58,3,FALSE),"")</f>
        <v>0200810</v>
      </c>
    </row>
    <row r="477" spans="1:11" x14ac:dyDescent="0.2">
      <c r="A477">
        <v>2022</v>
      </c>
      <c r="B477" t="s">
        <v>58</v>
      </c>
      <c r="C477" t="s">
        <v>59</v>
      </c>
      <c r="D477" t="s">
        <v>60</v>
      </c>
      <c r="E477" t="s">
        <v>21</v>
      </c>
      <c r="F477">
        <v>731</v>
      </c>
      <c r="G477" s="3">
        <v>76221</v>
      </c>
      <c r="H477" s="5" cm="1">
        <f t="array" ref="H477">IFERROR(_xlfn.IFS(A477=$F$517,G477/$G$517,A477=$F$518,G477/$G$518,A477=$F$519,G477/$G$519,A477=$F$520,G477/$G$520,A477=$F$521,G477/$G$521,A477=$F$522,G477/$G$522,A477=$F$523,G477/$G$523,A477=$F$524,G477/$G$524),"")</f>
        <v>2.4821781006180775E-3</v>
      </c>
      <c r="I477" s="3" cm="1">
        <f t="array" ref="I477">IFERROR(_xlfn.IFS(A477=$M$3,H477*$S$3,A477=$M$4,H477*$S$4,A477=$M$5,H477*$S$5,A477=$M$6,H477*$S$6,A477=$M$7,H477*$S$7,A477=$M$8,H477*$S$8,A477=$M$9,H477*$S$9,A477=$M$10,H477*$S$10),"")</f>
        <v>351822.40985296492</v>
      </c>
      <c r="J477" s="3">
        <f t="shared" si="7"/>
        <v>428043.40985296492</v>
      </c>
      <c r="K477" s="3" t="str">
        <f>IFERROR(VLOOKUP(E477,'GASB Match'!$A$2:$C$58,3,FALSE),"")</f>
        <v>0200810</v>
      </c>
    </row>
    <row r="478" spans="1:11" x14ac:dyDescent="0.2">
      <c r="A478">
        <v>2023</v>
      </c>
      <c r="B478" t="s">
        <v>58</v>
      </c>
      <c r="C478" t="s">
        <v>59</v>
      </c>
      <c r="D478" t="s">
        <v>60</v>
      </c>
      <c r="E478" t="s">
        <v>21</v>
      </c>
      <c r="F478">
        <v>731</v>
      </c>
      <c r="G478" s="3">
        <v>121974</v>
      </c>
      <c r="H478" s="5" t="str" cm="1">
        <f t="array" ref="H478">IFERROR(_xlfn.IFS(A478=$F$517,G478/$G$517,A478=$F$518,G478/$G$518,A478=$F$519,G478/$G$519,A478=$F$520,G478/$G$520,A478=$F$521,G478/$G$521,A478=$F$522,G478/$G$522,A478=$F$523,G478/$G$523,A478=$F$524,G478/$G$524),"")</f>
        <v/>
      </c>
      <c r="I478" s="3" t="str" cm="1">
        <f t="array" ref="I478">IFERROR(_xlfn.IFS(A478=$M$3,H478*$S$3,A478=$M$4,H478*$S$4,A478=$M$5,H478*$S$5,A478=$M$6,H478*$S$6,A478=$M$7,H478*$S$7,A478=$M$8,H478*$S$8,A478=$M$9,H478*$S$9,A478=$M$10,H478*$S$10),"")</f>
        <v/>
      </c>
      <c r="J478" s="3">
        <f t="shared" si="7"/>
        <v>121974</v>
      </c>
      <c r="K478" s="3" t="str">
        <f>IFERROR(VLOOKUP(E478,'GASB Match'!$A$2:$C$58,3,FALSE),"")</f>
        <v>0200810</v>
      </c>
    </row>
    <row r="479" spans="1:11" x14ac:dyDescent="0.2">
      <c r="A479">
        <v>2015</v>
      </c>
      <c r="B479" t="s">
        <v>58</v>
      </c>
      <c r="C479" t="s">
        <v>59</v>
      </c>
      <c r="D479" t="s">
        <v>60</v>
      </c>
      <c r="E479" t="s">
        <v>22</v>
      </c>
      <c r="F479">
        <v>732</v>
      </c>
      <c r="G479" s="3">
        <v>35976</v>
      </c>
      <c r="H479" s="5" cm="1">
        <f t="array" ref="H479">IFERROR(_xlfn.IFS(A479=$F$517,G479/$G$517,A479=$F$518,G479/$G$518,A479=$F$519,G479/$G$519,A479=$F$520,G479/$G$520,A479=$F$521,G479/$G$521,A479=$F$522,G479/$G$522,A479=$F$523,G479/$G$523,A479=$F$524,G479/$G$524),"")</f>
        <v>7.4090889891188175E-4</v>
      </c>
      <c r="I479" s="3" cm="1">
        <f t="array" ref="I479">IFERROR(_xlfn.IFS(A479=$M$3,H479*$S$3,A479=$M$4,H479*$S$4,A479=$M$5,H479*$S$5,A479=$M$6,H479*$S$6,A479=$M$7,H479*$S$7,A479=$M$8,H479*$S$8,A479=$M$9,H479*$S$9,A479=$M$10,H479*$S$10),"")</f>
        <v>1222882.7412553402</v>
      </c>
      <c r="J479" s="3">
        <f t="shared" si="7"/>
        <v>1258858.7412553402</v>
      </c>
      <c r="K479" s="3" t="str">
        <f>IFERROR(VLOOKUP(E479,'GASB Match'!$A$2:$C$58,3,FALSE),"")</f>
        <v>0200840</v>
      </c>
    </row>
    <row r="480" spans="1:11" x14ac:dyDescent="0.2">
      <c r="A480">
        <v>2016</v>
      </c>
      <c r="B480" t="s">
        <v>58</v>
      </c>
      <c r="C480" t="s">
        <v>59</v>
      </c>
      <c r="D480" t="s">
        <v>60</v>
      </c>
      <c r="E480" t="s">
        <v>22</v>
      </c>
      <c r="F480">
        <v>732</v>
      </c>
      <c r="G480" s="3">
        <v>49447</v>
      </c>
      <c r="H480" s="5" cm="1">
        <f t="array" ref="H480">IFERROR(_xlfn.IFS(A480=$F$517,G480/$G$517,A480=$F$518,G480/$G$518,A480=$F$519,G480/$G$519,A480=$F$520,G480/$G$520,A480=$F$521,G480/$G$521,A480=$F$522,G480/$G$522,A480=$F$523,G480/$G$523,A480=$F$524,G480/$G$524),"")</f>
        <v>1.4496121619783796E-3</v>
      </c>
      <c r="I480" s="3" cm="1">
        <f t="array" ref="I480">IFERROR(_xlfn.IFS(A480=$M$3,H480*$S$3,A480=$M$4,H480*$S$4,A480=$M$5,H480*$S$5,A480=$M$6,H480*$S$6,A480=$M$7,H480*$S$7,A480=$M$8,H480*$S$8,A480=$M$9,H480*$S$9,A480=$M$10,H480*$S$10),"")</f>
        <v>130403.41937901064</v>
      </c>
      <c r="J480" s="3">
        <f t="shared" si="7"/>
        <v>179850.41937901062</v>
      </c>
      <c r="K480" s="3" t="str">
        <f>IFERROR(VLOOKUP(E480,'GASB Match'!$A$2:$C$58,3,FALSE),"")</f>
        <v>0200840</v>
      </c>
    </row>
    <row r="481" spans="1:11" x14ac:dyDescent="0.2">
      <c r="A481">
        <v>2017</v>
      </c>
      <c r="B481" t="s">
        <v>58</v>
      </c>
      <c r="C481" t="s">
        <v>59</v>
      </c>
      <c r="D481" t="s">
        <v>60</v>
      </c>
      <c r="E481" t="s">
        <v>22</v>
      </c>
      <c r="F481">
        <v>732</v>
      </c>
      <c r="G481" s="3">
        <v>31855</v>
      </c>
      <c r="H481" s="5" cm="1">
        <f t="array" ref="H481">IFERROR(_xlfn.IFS(A481=$F$517,G481/$G$517,A481=$F$518,G481/$G$518,A481=$F$519,G481/$G$519,A481=$F$520,G481/$G$520,A481=$F$521,G481/$G$521,A481=$F$522,G481/$G$522,A481=$F$523,G481/$G$523,A481=$F$524,G481/$G$524),"")</f>
        <v>8.5279716936126121E-4</v>
      </c>
      <c r="I481" s="3" cm="1">
        <f t="array" ref="I481">IFERROR(_xlfn.IFS(A481=$M$3,H481*$S$3,A481=$M$4,H481*$S$4,A481=$M$5,H481*$S$5,A481=$M$6,H481*$S$6,A481=$M$7,H481*$S$7,A481=$M$8,H481*$S$8,A481=$M$9,H481*$S$9,A481=$M$10,H481*$S$10),"")</f>
        <v>98907.618668245384</v>
      </c>
      <c r="J481" s="3">
        <f t="shared" si="7"/>
        <v>130762.61866824538</v>
      </c>
      <c r="K481" s="3" t="str">
        <f>IFERROR(VLOOKUP(E481,'GASB Match'!$A$2:$C$58,3,FALSE),"")</f>
        <v>0200840</v>
      </c>
    </row>
    <row r="482" spans="1:11" x14ac:dyDescent="0.2">
      <c r="A482">
        <v>2018</v>
      </c>
      <c r="B482" t="s">
        <v>58</v>
      </c>
      <c r="C482" t="s">
        <v>59</v>
      </c>
      <c r="D482" t="s">
        <v>60</v>
      </c>
      <c r="E482" t="s">
        <v>22</v>
      </c>
      <c r="F482">
        <v>732</v>
      </c>
      <c r="G482" s="3">
        <v>27948</v>
      </c>
      <c r="H482" s="5" cm="1">
        <f t="array" ref="H482">IFERROR(_xlfn.IFS(A482=$F$517,G482/$G$517,A482=$F$518,G482/$G$518,A482=$F$519,G482/$G$519,A482=$F$520,G482/$G$520,A482=$F$521,G482/$G$521,A482=$F$522,G482/$G$522,A482=$F$523,G482/$G$523,A482=$F$524,G482/$G$524),"")</f>
        <v>6.8921849015281668E-4</v>
      </c>
      <c r="I482" s="3" cm="1">
        <f t="array" ref="I482">IFERROR(_xlfn.IFS(A482=$M$3,H482*$S$3,A482=$M$4,H482*$S$4,A482=$M$5,H482*$S$5,A482=$M$6,H482*$S$6,A482=$M$7,H482*$S$7,A482=$M$8,H482*$S$8,A482=$M$9,H482*$S$9,A482=$M$10,H482*$S$10),"")</f>
        <v>76532.379469574997</v>
      </c>
      <c r="J482" s="3">
        <f t="shared" si="7"/>
        <v>104480.379469575</v>
      </c>
      <c r="K482" s="3" t="str">
        <f>IFERROR(VLOOKUP(E482,'GASB Match'!$A$2:$C$58,3,FALSE),"")</f>
        <v>0200840</v>
      </c>
    </row>
    <row r="483" spans="1:11" x14ac:dyDescent="0.2">
      <c r="A483">
        <v>2019</v>
      </c>
      <c r="B483" t="s">
        <v>58</v>
      </c>
      <c r="C483" t="s">
        <v>59</v>
      </c>
      <c r="D483" t="s">
        <v>60</v>
      </c>
      <c r="E483" t="s">
        <v>22</v>
      </c>
      <c r="F483">
        <v>732</v>
      </c>
      <c r="G483" s="3">
        <v>21722</v>
      </c>
      <c r="H483" s="5" cm="1">
        <f t="array" ref="H483">IFERROR(_xlfn.IFS(A483=$F$517,G483/$G$517,A483=$F$518,G483/$G$518,A483=$F$519,G483/$G$519,A483=$F$520,G483/$G$520,A483=$F$521,G483/$G$521,A483=$F$522,G483/$G$522,A483=$F$523,G483/$G$523,A483=$F$524,G483/$G$524),"")</f>
        <v>5.9018821466788065E-4</v>
      </c>
      <c r="I483" s="3" cm="1">
        <f t="array" ref="I483">IFERROR(_xlfn.IFS(A483=$M$3,H483*$S$3,A483=$M$4,H483*$S$4,A483=$M$5,H483*$S$5,A483=$M$6,H483*$S$6,A483=$M$7,H483*$S$7,A483=$M$8,H483*$S$8,A483=$M$9,H483*$S$9,A483=$M$10,H483*$S$10),"")</f>
        <v>75169.181496379533</v>
      </c>
      <c r="J483" s="3">
        <f t="shared" si="7"/>
        <v>96891.181496379533</v>
      </c>
      <c r="K483" s="3" t="str">
        <f>IFERROR(VLOOKUP(E483,'GASB Match'!$A$2:$C$58,3,FALSE),"")</f>
        <v>0200840</v>
      </c>
    </row>
    <row r="484" spans="1:11" x14ac:dyDescent="0.2">
      <c r="A484">
        <v>2020</v>
      </c>
      <c r="B484" t="s">
        <v>58</v>
      </c>
      <c r="C484" t="s">
        <v>59</v>
      </c>
      <c r="D484" t="s">
        <v>60</v>
      </c>
      <c r="E484" t="s">
        <v>22</v>
      </c>
      <c r="F484">
        <v>732</v>
      </c>
      <c r="G484" s="3">
        <v>19760</v>
      </c>
      <c r="H484" s="5" cm="1">
        <f t="array" ref="H484">IFERROR(_xlfn.IFS(A484=$F$517,G484/$G$517,A484=$F$518,G484/$G$518,A484=$F$519,G484/$G$519,A484=$F$520,G484/$G$520,A484=$F$521,G484/$G$521,A484=$F$522,G484/$G$522,A484=$F$523,G484/$G$523,A484=$F$524,G484/$G$524),"")</f>
        <v>5.7922703090744888E-4</v>
      </c>
      <c r="I484" s="3" cm="1">
        <f t="array" ref="I484">IFERROR(_xlfn.IFS(A484=$M$3,H484*$S$3,A484=$M$4,H484*$S$4,A484=$M$5,H484*$S$5,A484=$M$6,H484*$S$6,A484=$M$7,H484*$S$7,A484=$M$8,H484*$S$8,A484=$M$9,H484*$S$9,A484=$M$10,H484*$S$10),"")</f>
        <v>81218.70165792013</v>
      </c>
      <c r="J484" s="3">
        <f t="shared" si="7"/>
        <v>100978.70165792013</v>
      </c>
      <c r="K484" s="3" t="str">
        <f>IFERROR(VLOOKUP(E484,'GASB Match'!$A$2:$C$58,3,FALSE),"")</f>
        <v>0200840</v>
      </c>
    </row>
    <row r="485" spans="1:11" x14ac:dyDescent="0.2">
      <c r="A485">
        <v>2021</v>
      </c>
      <c r="B485" t="s">
        <v>58</v>
      </c>
      <c r="C485" t="s">
        <v>59</v>
      </c>
      <c r="D485" t="s">
        <v>60</v>
      </c>
      <c r="E485" t="s">
        <v>22</v>
      </c>
      <c r="F485">
        <v>732</v>
      </c>
      <c r="G485" s="3">
        <v>17775</v>
      </c>
      <c r="H485" s="5" cm="1">
        <f t="array" ref="H485">IFERROR(_xlfn.IFS(A485=$F$517,G485/$G$517,A485=$F$518,G485/$G$518,A485=$F$519,G485/$G$519,A485=$F$520,G485/$G$520,A485=$F$521,G485/$G$521,A485=$F$522,G485/$G$522,A485=$F$523,G485/$G$523,A485=$F$524,G485/$G$524),"")</f>
        <v>6.0591960443931979E-4</v>
      </c>
      <c r="I485" s="3" cm="1">
        <f t="array" ref="I485">IFERROR(_xlfn.IFS(A485=$M$3,H485*$S$3,A485=$M$4,H485*$S$4,A485=$M$5,H485*$S$5,A485=$M$6,H485*$S$6,A485=$M$7,H485*$S$7,A485=$M$8,H485*$S$8,A485=$M$9,H485*$S$9,A485=$M$10,H485*$S$10),"")</f>
        <v>81235.639549420797</v>
      </c>
      <c r="J485" s="3">
        <f t="shared" si="7"/>
        <v>99010.639549420797</v>
      </c>
      <c r="K485" s="3" t="str">
        <f>IFERROR(VLOOKUP(E485,'GASB Match'!$A$2:$C$58,3,FALSE),"")</f>
        <v>0200840</v>
      </c>
    </row>
    <row r="486" spans="1:11" x14ac:dyDescent="0.2">
      <c r="A486">
        <v>2022</v>
      </c>
      <c r="B486" t="s">
        <v>58</v>
      </c>
      <c r="C486" t="s">
        <v>59</v>
      </c>
      <c r="D486" t="s">
        <v>60</v>
      </c>
      <c r="E486" t="s">
        <v>22</v>
      </c>
      <c r="F486">
        <v>732</v>
      </c>
      <c r="G486" s="3">
        <v>16975</v>
      </c>
      <c r="H486" s="5" cm="1">
        <f t="array" ref="H486">IFERROR(_xlfn.IFS(A486=$F$517,G486/$G$517,A486=$F$518,G486/$G$518,A486=$F$519,G486/$G$519,A486=$F$520,G486/$G$520,A486=$F$521,G486/$G$521,A486=$F$522,G486/$G$522,A486=$F$523,G486/$G$523,A486=$F$524,G486/$G$524),"")</f>
        <v>5.5280005848771163E-4</v>
      </c>
      <c r="I486" s="3" cm="1">
        <f t="array" ref="I486">IFERROR(_xlfn.IFS(A486=$M$3,H486*$S$3,A486=$M$4,H486*$S$4,A486=$M$5,H486*$S$5,A486=$M$6,H486*$S$6,A486=$M$7,H486*$S$7,A486=$M$8,H486*$S$8,A486=$M$9,H486*$S$9,A486=$M$10,H486*$S$10),"")</f>
        <v>78353.543082012562</v>
      </c>
      <c r="J486" s="3">
        <f t="shared" si="7"/>
        <v>95328.543082012562</v>
      </c>
      <c r="K486" s="3" t="str">
        <f>IFERROR(VLOOKUP(E486,'GASB Match'!$A$2:$C$58,3,FALSE),"")</f>
        <v>0200840</v>
      </c>
    </row>
    <row r="487" spans="1:11" x14ac:dyDescent="0.2">
      <c r="A487">
        <v>2023</v>
      </c>
      <c r="B487" t="s">
        <v>58</v>
      </c>
      <c r="C487" t="s">
        <v>59</v>
      </c>
      <c r="D487" t="s">
        <v>60</v>
      </c>
      <c r="E487" t="s">
        <v>22</v>
      </c>
      <c r="F487">
        <v>732</v>
      </c>
      <c r="G487" s="3">
        <v>22550</v>
      </c>
      <c r="H487" s="5" t="str" cm="1">
        <f t="array" ref="H487">IFERROR(_xlfn.IFS(A487=$F$517,G487/$G$517,A487=$F$518,G487/$G$518,A487=$F$519,G487/$G$519,A487=$F$520,G487/$G$520,A487=$F$521,G487/$G$521,A487=$F$522,G487/$G$522,A487=$F$523,G487/$G$523,A487=$F$524,G487/$G$524),"")</f>
        <v/>
      </c>
      <c r="I487" s="3" t="str" cm="1">
        <f t="array" ref="I487">IFERROR(_xlfn.IFS(A487=$M$3,H487*$S$3,A487=$M$4,H487*$S$4,A487=$M$5,H487*$S$5,A487=$M$6,H487*$S$6,A487=$M$7,H487*$S$7,A487=$M$8,H487*$S$8,A487=$M$9,H487*$S$9,A487=$M$10,H487*$S$10),"")</f>
        <v/>
      </c>
      <c r="J487" s="3">
        <f t="shared" si="7"/>
        <v>22550</v>
      </c>
      <c r="K487" s="3" t="str">
        <f>IFERROR(VLOOKUP(E487,'GASB Match'!$A$2:$C$58,3,FALSE),"")</f>
        <v>0200840</v>
      </c>
    </row>
    <row r="488" spans="1:11" x14ac:dyDescent="0.2">
      <c r="A488">
        <v>2015</v>
      </c>
      <c r="B488" t="s">
        <v>58</v>
      </c>
      <c r="C488" t="s">
        <v>59</v>
      </c>
      <c r="D488" t="s">
        <v>60</v>
      </c>
      <c r="E488" t="s">
        <v>39</v>
      </c>
      <c r="F488">
        <v>762</v>
      </c>
      <c r="G488" s="3">
        <v>154571</v>
      </c>
      <c r="H488" s="5" cm="1">
        <f t="array" ref="H488">IFERROR(_xlfn.IFS(A488=$F$517,G488/$G$517,A488=$F$518,G488/$G$518,A488=$F$519,G488/$G$519,A488=$F$520,G488/$G$520,A488=$F$521,G488/$G$521,A488=$F$522,G488/$G$522,A488=$F$523,G488/$G$523,A488=$F$524,G488/$G$524),"")</f>
        <v>3.1833174731406622E-3</v>
      </c>
      <c r="I488" s="3" cm="1">
        <f t="array" ref="I488">IFERROR(_xlfn.IFS(A488=$M$3,H488*$S$3,A488=$M$4,H488*$S$4,A488=$M$5,H488*$S$5,A488=$M$6,H488*$S$6,A488=$M$7,H488*$S$7,A488=$M$8,H488*$S$8,A488=$M$9,H488*$S$9,A488=$M$10,H488*$S$10),"")</f>
        <v>5254119.6408321988</v>
      </c>
      <c r="J488" s="3">
        <f t="shared" si="7"/>
        <v>5408690.6408321988</v>
      </c>
      <c r="K488" s="3" t="str">
        <f>IFERROR(VLOOKUP(E488,'GASB Match'!$A$2:$C$58,3,FALSE),"")</f>
        <v>0200862</v>
      </c>
    </row>
    <row r="489" spans="1:11" x14ac:dyDescent="0.2">
      <c r="A489">
        <v>2016</v>
      </c>
      <c r="B489" t="s">
        <v>58</v>
      </c>
      <c r="C489" t="s">
        <v>59</v>
      </c>
      <c r="D489" t="s">
        <v>60</v>
      </c>
      <c r="E489" t="s">
        <v>39</v>
      </c>
      <c r="F489">
        <v>762</v>
      </c>
      <c r="G489" s="3">
        <v>159466</v>
      </c>
      <c r="H489" s="5" cm="1">
        <f t="array" ref="H489">IFERROR(_xlfn.IFS(A489=$F$517,G489/$G$517,A489=$F$518,G489/$G$518,A489=$F$519,G489/$G$519,A489=$F$520,G489/$G$520,A489=$F$521,G489/$G$521,A489=$F$522,G489/$G$522,A489=$F$523,G489/$G$523,A489=$F$524,G489/$G$524),"")</f>
        <v>4.6749823654022339E-3</v>
      </c>
      <c r="I489" s="3" cm="1">
        <f t="array" ref="I489">IFERROR(_xlfn.IFS(A489=$M$3,H489*$S$3,A489=$M$4,H489*$S$4,A489=$M$5,H489*$S$5,A489=$M$6,H489*$S$6,A489=$M$7,H489*$S$7,A489=$M$8,H489*$S$8,A489=$M$9,H489*$S$9,A489=$M$10,H489*$S$10),"")</f>
        <v>420549.51108648267</v>
      </c>
      <c r="J489" s="3">
        <f t="shared" si="7"/>
        <v>580015.51108648267</v>
      </c>
      <c r="K489" s="3" t="str">
        <f>IFERROR(VLOOKUP(E489,'GASB Match'!$A$2:$C$58,3,FALSE),"")</f>
        <v>0200862</v>
      </c>
    </row>
    <row r="490" spans="1:11" x14ac:dyDescent="0.2">
      <c r="A490">
        <v>2017</v>
      </c>
      <c r="B490" t="s">
        <v>58</v>
      </c>
      <c r="C490" t="s">
        <v>59</v>
      </c>
      <c r="D490" t="s">
        <v>60</v>
      </c>
      <c r="E490" t="s">
        <v>39</v>
      </c>
      <c r="F490">
        <v>762</v>
      </c>
      <c r="G490" s="3">
        <v>177044</v>
      </c>
      <c r="H490" s="5" cm="1">
        <f t="array" ref="H490">IFERROR(_xlfn.IFS(A490=$F$517,G490/$G$517,A490=$F$518,G490/$G$518,A490=$F$519,G490/$G$519,A490=$F$520,G490/$G$520,A490=$F$521,G490/$G$521,A490=$F$522,G490/$G$522,A490=$F$523,G490/$G$523,A490=$F$524,G490/$G$524),"")</f>
        <v>4.7396836305884519E-3</v>
      </c>
      <c r="I490" s="3" cm="1">
        <f t="array" ref="I490">IFERROR(_xlfn.IFS(A490=$M$3,H490*$S$3,A490=$M$4,H490*$S$4,A490=$M$5,H490*$S$5,A490=$M$6,H490*$S$6,A490=$M$7,H490*$S$7,A490=$M$8,H490*$S$8,A490=$M$9,H490*$S$9,A490=$M$10,H490*$S$10),"")</f>
        <v>549709.63552035275</v>
      </c>
      <c r="J490" s="3">
        <f t="shared" si="7"/>
        <v>726753.63552035275</v>
      </c>
      <c r="K490" s="3" t="str">
        <f>IFERROR(VLOOKUP(E490,'GASB Match'!$A$2:$C$58,3,FALSE),"")</f>
        <v>0200862</v>
      </c>
    </row>
    <row r="491" spans="1:11" x14ac:dyDescent="0.2">
      <c r="A491">
        <v>2018</v>
      </c>
      <c r="B491" t="s">
        <v>58</v>
      </c>
      <c r="C491" t="s">
        <v>59</v>
      </c>
      <c r="D491" t="s">
        <v>60</v>
      </c>
      <c r="E491" t="s">
        <v>39</v>
      </c>
      <c r="F491">
        <v>762</v>
      </c>
      <c r="G491" s="3">
        <v>229625</v>
      </c>
      <c r="H491" s="5" cm="1">
        <f t="array" ref="H491">IFERROR(_xlfn.IFS(A491=$F$517,G491/$G$517,A491=$F$518,G491/$G$518,A491=$F$519,G491/$G$519,A491=$F$520,G491/$G$520,A491=$F$521,G491/$G$521,A491=$F$522,G491/$G$522,A491=$F$523,G491/$G$523,A491=$F$524,G491/$G$524),"")</f>
        <v>5.6627234793667006E-3</v>
      </c>
      <c r="I491" s="3" cm="1">
        <f t="array" ref="I491">IFERROR(_xlfn.IFS(A491=$M$3,H491*$S$3,A491=$M$4,H491*$S$4,A491=$M$5,H491*$S$5,A491=$M$6,H491*$S$6,A491=$M$7,H491*$S$7,A491=$M$8,H491*$S$8,A491=$M$9,H491*$S$9,A491=$M$10,H491*$S$10),"")</f>
        <v>628801.61856666533</v>
      </c>
      <c r="J491" s="3">
        <f t="shared" si="7"/>
        <v>858426.61856666533</v>
      </c>
      <c r="K491" s="3" t="str">
        <f>IFERROR(VLOOKUP(E491,'GASB Match'!$A$2:$C$58,3,FALSE),"")</f>
        <v>0200862</v>
      </c>
    </row>
    <row r="492" spans="1:11" x14ac:dyDescent="0.2">
      <c r="A492">
        <v>2019</v>
      </c>
      <c r="B492" t="s">
        <v>58</v>
      </c>
      <c r="C492" t="s">
        <v>59</v>
      </c>
      <c r="D492" t="s">
        <v>60</v>
      </c>
      <c r="E492" t="s">
        <v>39</v>
      </c>
      <c r="F492">
        <v>762</v>
      </c>
      <c r="G492" s="3">
        <v>184057</v>
      </c>
      <c r="H492" s="5" cm="1">
        <f t="array" ref="H492">IFERROR(_xlfn.IFS(A492=$F$517,G492/$G$517,A492=$F$518,G492/$G$518,A492=$F$519,G492/$G$519,A492=$F$520,G492/$G$520,A492=$F$521,G492/$G$521,A492=$F$522,G492/$G$522,A492=$F$523,G492/$G$523,A492=$F$524,G492/$G$524),"")</f>
        <v>5.0008411853018188E-3</v>
      </c>
      <c r="I492" s="3" cm="1">
        <f t="array" ref="I492">IFERROR(_xlfn.IFS(A492=$M$3,H492*$S$3,A492=$M$4,H492*$S$4,A492=$M$5,H492*$S$5,A492=$M$6,H492*$S$6,A492=$M$7,H492*$S$7,A492=$M$8,H492*$S$8,A492=$M$9,H492*$S$9,A492=$M$10,H492*$S$10),"")</f>
        <v>636930.94736576406</v>
      </c>
      <c r="J492" s="3">
        <f t="shared" si="7"/>
        <v>820987.94736576406</v>
      </c>
      <c r="K492" s="3" t="str">
        <f>IFERROR(VLOOKUP(E492,'GASB Match'!$A$2:$C$58,3,FALSE),"")</f>
        <v>0200862</v>
      </c>
    </row>
    <row r="493" spans="1:11" x14ac:dyDescent="0.2">
      <c r="A493">
        <v>2020</v>
      </c>
      <c r="B493" t="s">
        <v>58</v>
      </c>
      <c r="C493" t="s">
        <v>59</v>
      </c>
      <c r="D493" t="s">
        <v>60</v>
      </c>
      <c r="E493" t="s">
        <v>39</v>
      </c>
      <c r="F493">
        <v>762</v>
      </c>
      <c r="G493" s="3">
        <v>171801</v>
      </c>
      <c r="H493" s="5" cm="1">
        <f t="array" ref="H493">IFERROR(_xlfn.IFS(A493=$F$517,G493/$G$517,A493=$F$518,G493/$G$518,A493=$F$519,G493/$G$519,A493=$F$520,G493/$G$520,A493=$F$521,G493/$G$521,A493=$F$522,G493/$G$522,A493=$F$523,G493/$G$523,A493=$F$524,G493/$G$524),"")</f>
        <v>5.0360214138122786E-3</v>
      </c>
      <c r="I493" s="3" cm="1">
        <f t="array" ref="I493">IFERROR(_xlfn.IFS(A493=$M$3,H493*$S$3,A493=$M$4,H493*$S$4,A493=$M$5,H493*$S$5,A493=$M$6,H493*$S$6,A493=$M$7,H493*$S$7,A493=$M$8,H493*$S$8,A493=$M$9,H493*$S$9,A493=$M$10,H493*$S$10),"")</f>
        <v>706146.4657658065</v>
      </c>
      <c r="J493" s="3">
        <f t="shared" si="7"/>
        <v>877947.4657658065</v>
      </c>
      <c r="K493" s="3" t="str">
        <f>IFERROR(VLOOKUP(E493,'GASB Match'!$A$2:$C$58,3,FALSE),"")</f>
        <v>0200862</v>
      </c>
    </row>
    <row r="494" spans="1:11" x14ac:dyDescent="0.2">
      <c r="A494">
        <v>2021</v>
      </c>
      <c r="B494" t="s">
        <v>58</v>
      </c>
      <c r="C494" t="s">
        <v>59</v>
      </c>
      <c r="D494" t="s">
        <v>60</v>
      </c>
      <c r="E494" t="s">
        <v>39</v>
      </c>
      <c r="F494">
        <v>762</v>
      </c>
      <c r="G494" s="3">
        <v>177599</v>
      </c>
      <c r="H494" s="5" cm="1">
        <f t="array" ref="H494">IFERROR(_xlfn.IFS(A494=$F$517,G494/$G$517,A494=$F$518,G494/$G$518,A494=$F$519,G494/$G$519,A494=$F$520,G494/$G$520,A494=$F$521,G494/$G$521,A494=$F$522,G494/$G$522,A494=$F$523,G494/$G$523,A494=$F$524,G494/$G$524),"")</f>
        <v>6.0540487104820684E-3</v>
      </c>
      <c r="I494" s="3" cm="1">
        <f t="array" ref="I494">IFERROR(_xlfn.IFS(A494=$M$3,H494*$S$3,A494=$M$4,H494*$S$4,A494=$M$5,H494*$S$5,A494=$M$6,H494*$S$6,A494=$M$7,H494*$S$7,A494=$M$8,H494*$S$8,A494=$M$9,H494*$S$9,A494=$M$10,H494*$S$10),"")</f>
        <v>811666.29245218483</v>
      </c>
      <c r="J494" s="3">
        <f t="shared" si="7"/>
        <v>989265.29245218483</v>
      </c>
      <c r="K494" s="3" t="str">
        <f>IFERROR(VLOOKUP(E494,'GASB Match'!$A$2:$C$58,3,FALSE),"")</f>
        <v>0200862</v>
      </c>
    </row>
    <row r="495" spans="1:11" x14ac:dyDescent="0.2">
      <c r="A495">
        <v>2022</v>
      </c>
      <c r="B495" t="s">
        <v>58</v>
      </c>
      <c r="C495" t="s">
        <v>59</v>
      </c>
      <c r="D495" t="s">
        <v>60</v>
      </c>
      <c r="E495" t="s">
        <v>39</v>
      </c>
      <c r="F495">
        <v>762</v>
      </c>
      <c r="G495" s="3">
        <v>192020</v>
      </c>
      <c r="H495" s="5" cm="1">
        <f t="array" ref="H495">IFERROR(_xlfn.IFS(A495=$F$517,G495/$G$517,A495=$F$518,G495/$G$518,A495=$F$519,G495/$G$519,A495=$F$520,G495/$G$520,A495=$F$521,G495/$G$521,A495=$F$522,G495/$G$522,A495=$F$523,G495/$G$523,A495=$F$524,G495/$G$524),"")</f>
        <v>6.2532351829637928E-3</v>
      </c>
      <c r="I495" s="3" cm="1">
        <f t="array" ref="I495">IFERROR(_xlfn.IFS(A495=$M$3,H495*$S$3,A495=$M$4,H495*$S$4,A495=$M$5,H495*$S$5,A495=$M$6,H495*$S$6,A495=$M$7,H495*$S$7,A495=$M$8,H495*$S$8,A495=$M$9,H495*$S$9,A495=$M$10,H495*$S$10),"")</f>
        <v>886329.74035982636</v>
      </c>
      <c r="J495" s="3">
        <f t="shared" si="7"/>
        <v>1078349.7403598265</v>
      </c>
      <c r="K495" s="3" t="str">
        <f>IFERROR(VLOOKUP(E495,'GASB Match'!$A$2:$C$58,3,FALSE),"")</f>
        <v>0200862</v>
      </c>
    </row>
    <row r="496" spans="1:11" x14ac:dyDescent="0.2">
      <c r="A496">
        <v>2023</v>
      </c>
      <c r="B496" t="s">
        <v>58</v>
      </c>
      <c r="C496" t="s">
        <v>59</v>
      </c>
      <c r="D496" t="s">
        <v>60</v>
      </c>
      <c r="E496" t="s">
        <v>39</v>
      </c>
      <c r="F496">
        <v>762</v>
      </c>
      <c r="G496" s="3">
        <v>452907</v>
      </c>
      <c r="H496" s="5" t="str" cm="1">
        <f t="array" ref="H496">IFERROR(_xlfn.IFS(A496=$F$517,G496/$G$517,A496=$F$518,G496/$G$518,A496=$F$519,G496/$G$519,A496=$F$520,G496/$G$520,A496=$F$521,G496/$G$521,A496=$F$522,G496/$G$522,A496=$F$523,G496/$G$523,A496=$F$524,G496/$G$524),"")</f>
        <v/>
      </c>
      <c r="I496" s="3" t="str" cm="1">
        <f t="array" ref="I496">IFERROR(_xlfn.IFS(A496=$M$3,H496*$S$3,A496=$M$4,H496*$S$4,A496=$M$5,H496*$S$5,A496=$M$6,H496*$S$6,A496=$M$7,H496*$S$7,A496=$M$8,H496*$S$8,A496=$M$9,H496*$S$9,A496=$M$10,H496*$S$10),"")</f>
        <v/>
      </c>
      <c r="J496" s="3">
        <f t="shared" si="7"/>
        <v>452907</v>
      </c>
      <c r="K496" s="3" t="str">
        <f>IFERROR(VLOOKUP(E496,'GASB Match'!$A$2:$C$58,3,FALSE),"")</f>
        <v>0200862</v>
      </c>
    </row>
    <row r="497" spans="1:11" x14ac:dyDescent="0.2">
      <c r="A497">
        <v>2015</v>
      </c>
      <c r="B497" t="s">
        <v>58</v>
      </c>
      <c r="C497" t="s">
        <v>59</v>
      </c>
      <c r="D497" t="s">
        <v>60</v>
      </c>
      <c r="E497" t="s">
        <v>40</v>
      </c>
      <c r="F497">
        <v>763</v>
      </c>
      <c r="G497" s="3">
        <v>83977</v>
      </c>
      <c r="H497" s="5" cm="1">
        <f t="array" ref="H497">IFERROR(_xlfn.IFS(A497=$F$517,G497/$G$517,A497=$F$518,G497/$G$518,A497=$F$519,G497/$G$519,A497=$F$520,G497/$G$520,A497=$F$521,G497/$G$521,A497=$F$522,G497/$G$522,A497=$F$523,G497/$G$523,A497=$F$524,G497/$G$524),"")</f>
        <v>1.7294670503647735E-3</v>
      </c>
      <c r="I497" s="3" cm="1">
        <f t="array" ref="I497">IFERROR(_xlfn.IFS(A497=$M$3,H497*$S$3,A497=$M$4,H497*$S$4,A497=$M$5,H497*$S$5,A497=$M$6,H497*$S$6,A497=$M$7,H497*$S$7,A497=$M$8,H497*$S$8,A497=$M$9,H497*$S$9,A497=$M$10,H497*$S$10),"")</f>
        <v>2854514.7865910525</v>
      </c>
      <c r="J497" s="3">
        <f t="shared" si="7"/>
        <v>2938491.7865910525</v>
      </c>
      <c r="K497" s="3" t="str">
        <f>IFERROR(VLOOKUP(E497,'GASB Match'!$A$2:$C$58,3,FALSE),"")</f>
        <v>0200775</v>
      </c>
    </row>
    <row r="498" spans="1:11" x14ac:dyDescent="0.2">
      <c r="A498">
        <v>2016</v>
      </c>
      <c r="B498" t="s">
        <v>58</v>
      </c>
      <c r="C498" t="s">
        <v>59</v>
      </c>
      <c r="D498" t="s">
        <v>60</v>
      </c>
      <c r="E498" t="s">
        <v>40</v>
      </c>
      <c r="F498">
        <v>763</v>
      </c>
      <c r="G498" s="3">
        <v>65703</v>
      </c>
      <c r="H498" s="5" cm="1">
        <f t="array" ref="H498">IFERROR(_xlfn.IFS(A498=$F$517,G498/$G$517,A498=$F$518,G498/$G$518,A498=$F$519,G498/$G$519,A498=$F$520,G498/$G$520,A498=$F$521,G498/$G$521,A498=$F$522,G498/$G$522,A498=$F$523,G498/$G$523,A498=$F$524,G498/$G$524),"")</f>
        <v>1.9261809185282315E-3</v>
      </c>
      <c r="I498" s="3" cm="1">
        <f t="array" ref="I498">IFERROR(_xlfn.IFS(A498=$M$3,H498*$S$3,A498=$M$4,H498*$S$4,A498=$M$5,H498*$S$5,A498=$M$6,H498*$S$6,A498=$M$7,H498*$S$7,A498=$M$8,H498*$S$8,A498=$M$9,H498*$S$9,A498=$M$10,H498*$S$10),"")</f>
        <v>173274.33137418114</v>
      </c>
      <c r="J498" s="3">
        <f t="shared" si="7"/>
        <v>238977.33137418114</v>
      </c>
      <c r="K498" s="3" t="str">
        <f>IFERROR(VLOOKUP(E498,'GASB Match'!$A$2:$C$58,3,FALSE),"")</f>
        <v>0200775</v>
      </c>
    </row>
    <row r="499" spans="1:11" x14ac:dyDescent="0.2">
      <c r="A499">
        <v>2017</v>
      </c>
      <c r="B499" t="s">
        <v>58</v>
      </c>
      <c r="C499" t="s">
        <v>59</v>
      </c>
      <c r="D499" t="s">
        <v>60</v>
      </c>
      <c r="E499" t="s">
        <v>40</v>
      </c>
      <c r="F499">
        <v>763</v>
      </c>
      <c r="G499" s="3">
        <v>77229</v>
      </c>
      <c r="H499" s="5" cm="1">
        <f t="array" ref="H499">IFERROR(_xlfn.IFS(A499=$F$517,G499/$G$517,A499=$F$518,G499/$G$518,A499=$F$519,G499/$G$519,A499=$F$520,G499/$G$520,A499=$F$521,G499/$G$521,A499=$F$522,G499/$G$522,A499=$F$523,G499/$G$523,A499=$F$524,G499/$G$524),"")</f>
        <v>2.0675144433401614E-3</v>
      </c>
      <c r="I499" s="3" cm="1">
        <f t="array" ref="I499">IFERROR(_xlfn.IFS(A499=$M$3,H499*$S$3,A499=$M$4,H499*$S$4,A499=$M$5,H499*$S$5,A499=$M$6,H499*$S$6,A499=$M$7,H499*$S$7,A499=$M$8,H499*$S$8,A499=$M$9,H499*$S$9,A499=$M$10,H499*$S$10),"")</f>
        <v>239790.81720702944</v>
      </c>
      <c r="J499" s="3">
        <f t="shared" si="7"/>
        <v>317019.81720702944</v>
      </c>
      <c r="K499" s="3" t="str">
        <f>IFERROR(VLOOKUP(E499,'GASB Match'!$A$2:$C$58,3,FALSE),"")</f>
        <v>0200775</v>
      </c>
    </row>
    <row r="500" spans="1:11" x14ac:dyDescent="0.2">
      <c r="A500">
        <v>2018</v>
      </c>
      <c r="B500" t="s">
        <v>58</v>
      </c>
      <c r="C500" t="s">
        <v>59</v>
      </c>
      <c r="D500" t="s">
        <v>60</v>
      </c>
      <c r="E500" t="s">
        <v>40</v>
      </c>
      <c r="F500">
        <v>763</v>
      </c>
      <c r="G500" s="3">
        <v>93555</v>
      </c>
      <c r="H500" s="5" cm="1">
        <f t="array" ref="H500">IFERROR(_xlfn.IFS(A500=$F$517,G500/$G$517,A500=$F$518,G500/$G$518,A500=$F$519,G500/$G$519,A500=$F$520,G500/$G$520,A500=$F$521,G500/$G$521,A500=$F$522,G500/$G$522,A500=$F$523,G500/$G$523,A500=$F$524,G500/$G$524),"")</f>
        <v>2.3071359612940735E-3</v>
      </c>
      <c r="I500" s="3" cm="1">
        <f t="array" ref="I500">IFERROR(_xlfn.IFS(A500=$M$3,H500*$S$3,A500=$M$4,H500*$S$4,A500=$M$5,H500*$S$5,A500=$M$6,H500*$S$6,A500=$M$7,H500*$S$7,A500=$M$8,H500*$S$8,A500=$M$9,H500*$S$9,A500=$M$10,H500*$S$10),"")</f>
        <v>256189.5935765024</v>
      </c>
      <c r="J500" s="3">
        <f t="shared" si="7"/>
        <v>349744.5935765024</v>
      </c>
      <c r="K500" s="3" t="str">
        <f>IFERROR(VLOOKUP(E500,'GASB Match'!$A$2:$C$58,3,FALSE),"")</f>
        <v>0200775</v>
      </c>
    </row>
    <row r="501" spans="1:11" x14ac:dyDescent="0.2">
      <c r="A501">
        <v>2019</v>
      </c>
      <c r="B501" t="s">
        <v>58</v>
      </c>
      <c r="C501" t="s">
        <v>59</v>
      </c>
      <c r="D501" t="s">
        <v>60</v>
      </c>
      <c r="E501" t="s">
        <v>40</v>
      </c>
      <c r="F501">
        <v>763</v>
      </c>
      <c r="G501" s="3">
        <v>69750</v>
      </c>
      <c r="H501" s="5" cm="1">
        <f t="array" ref="H501">IFERROR(_xlfn.IFS(A501=$F$517,G501/$G$517,A501=$F$518,G501/$G$518,A501=$F$519,G501/$G$519,A501=$F$520,G501/$G$520,A501=$F$521,G501/$G$521,A501=$F$522,G501/$G$522,A501=$F$523,G501/$G$523,A501=$F$524,G501/$G$524),"")</f>
        <v>1.8951122352032354E-3</v>
      </c>
      <c r="I501" s="3" cm="1">
        <f t="array" ref="I501">IFERROR(_xlfn.IFS(A501=$M$3,H501*$S$3,A501=$M$4,H501*$S$4,A501=$M$5,H501*$S$5,A501=$M$6,H501*$S$6,A501=$M$7,H501*$S$7,A501=$M$8,H501*$S$8,A501=$M$9,H501*$S$9,A501=$M$10,H501*$S$10),"")</f>
        <v>241370.5187999481</v>
      </c>
      <c r="J501" s="3">
        <f t="shared" si="7"/>
        <v>311120.5187999481</v>
      </c>
      <c r="K501" s="3" t="str">
        <f>IFERROR(VLOOKUP(E501,'GASB Match'!$A$2:$C$58,3,FALSE),"")</f>
        <v>0200775</v>
      </c>
    </row>
    <row r="502" spans="1:11" x14ac:dyDescent="0.2">
      <c r="A502">
        <v>2020</v>
      </c>
      <c r="B502" t="s">
        <v>58</v>
      </c>
      <c r="C502" t="s">
        <v>59</v>
      </c>
      <c r="D502" t="s">
        <v>60</v>
      </c>
      <c r="E502" t="s">
        <v>40</v>
      </c>
      <c r="F502">
        <v>763</v>
      </c>
      <c r="G502" s="3">
        <v>60808</v>
      </c>
      <c r="H502" s="5" cm="1">
        <f t="array" ref="H502">IFERROR(_xlfn.IFS(A502=$F$517,G502/$G$517,A502=$F$518,G502/$G$518,A502=$F$519,G502/$G$519,A502=$F$520,G502/$G$520,A502=$F$521,G502/$G$521,A502=$F$522,G502/$G$522,A502=$F$523,G502/$G$523,A502=$F$524,G502/$G$524),"")</f>
        <v>1.7824715230475784E-3</v>
      </c>
      <c r="I502" s="3" cm="1">
        <f t="array" ref="I502">IFERROR(_xlfn.IFS(A502=$M$3,H502*$S$3,A502=$M$4,H502*$S$4,A502=$M$5,H502*$S$5,A502=$M$6,H502*$S$6,A502=$M$7,H502*$S$7,A502=$M$8,H502*$S$8,A502=$M$9,H502*$S$9,A502=$M$10,H502*$S$10),"")</f>
        <v>249936.57947443356</v>
      </c>
      <c r="J502" s="3">
        <f t="shared" si="7"/>
        <v>310744.57947443356</v>
      </c>
      <c r="K502" s="3" t="str">
        <f>IFERROR(VLOOKUP(E502,'GASB Match'!$A$2:$C$58,3,FALSE),"")</f>
        <v>0200775</v>
      </c>
    </row>
    <row r="503" spans="1:11" x14ac:dyDescent="0.2">
      <c r="A503">
        <v>2021</v>
      </c>
      <c r="B503" t="s">
        <v>58</v>
      </c>
      <c r="C503" t="s">
        <v>59</v>
      </c>
      <c r="D503" t="s">
        <v>60</v>
      </c>
      <c r="E503" t="s">
        <v>40</v>
      </c>
      <c r="F503">
        <v>763</v>
      </c>
      <c r="G503" s="3">
        <v>79025</v>
      </c>
      <c r="H503" s="5" cm="1">
        <f t="array" ref="H503">IFERROR(_xlfn.IFS(A503=$F$517,G503/$G$517,A503=$F$518,G503/$G$518,A503=$F$519,G503/$G$519,A503=$F$520,G503/$G$520,A503=$F$521,G503/$G$521,A503=$F$522,G503/$G$522,A503=$F$523,G503/$G$523,A503=$F$524,G503/$G$524),"")</f>
        <v>2.693828227331491E-3</v>
      </c>
      <c r="I503" s="3" cm="1">
        <f t="array" ref="I503">IFERROR(_xlfn.IFS(A503=$M$3,H503*$S$3,A503=$M$4,H503*$S$4,A503=$M$5,H503*$S$5,A503=$M$6,H503*$S$6,A503=$M$7,H503*$S$7,A503=$M$8,H503*$S$8,A503=$M$9,H503*$S$9,A503=$M$10,H503*$S$10),"")</f>
        <v>361161.54235684831</v>
      </c>
      <c r="J503" s="3">
        <f t="shared" si="7"/>
        <v>440186.54235684831</v>
      </c>
      <c r="K503" s="3" t="str">
        <f>IFERROR(VLOOKUP(E503,'GASB Match'!$A$2:$C$58,3,FALSE),"")</f>
        <v>0200775</v>
      </c>
    </row>
    <row r="504" spans="1:11" x14ac:dyDescent="0.2">
      <c r="A504">
        <v>2022</v>
      </c>
      <c r="B504" t="s">
        <v>58</v>
      </c>
      <c r="C504" t="s">
        <v>59</v>
      </c>
      <c r="D504" t="s">
        <v>60</v>
      </c>
      <c r="E504" t="s">
        <v>40</v>
      </c>
      <c r="F504">
        <v>763</v>
      </c>
      <c r="G504" s="3">
        <v>56417</v>
      </c>
      <c r="H504" s="5" cm="1">
        <f t="array" ref="H504">IFERROR(_xlfn.IFS(A504=$F$517,G504/$G$517,A504=$F$518,G504/$G$518,A504=$F$519,G504/$G$519,A504=$F$520,G504/$G$520,A504=$F$521,G504/$G$521,A504=$F$522,G504/$G$522,A504=$F$523,G504/$G$523,A504=$F$524,G504/$G$524),"")</f>
        <v>1.8372501266392476E-3</v>
      </c>
      <c r="I504" s="3" cm="1">
        <f t="array" ref="I504">IFERROR(_xlfn.IFS(A504=$M$3,H504*$S$3,A504=$M$4,H504*$S$4,A504=$M$5,H504*$S$5,A504=$M$6,H504*$S$6,A504=$M$7,H504*$S$7,A504=$M$8,H504*$S$8,A504=$M$9,H504*$S$9,A504=$M$10,H504*$S$10),"")</f>
        <v>260410.71222726972</v>
      </c>
      <c r="J504" s="3">
        <f t="shared" si="7"/>
        <v>316827.71222726972</v>
      </c>
      <c r="K504" s="3" t="str">
        <f>IFERROR(VLOOKUP(E504,'GASB Match'!$A$2:$C$58,3,FALSE),"")</f>
        <v>0200775</v>
      </c>
    </row>
    <row r="505" spans="1:11" x14ac:dyDescent="0.2">
      <c r="A505">
        <v>2023</v>
      </c>
      <c r="B505" t="s">
        <v>58</v>
      </c>
      <c r="C505" t="s">
        <v>59</v>
      </c>
      <c r="D505" t="s">
        <v>60</v>
      </c>
      <c r="E505" t="s">
        <v>40</v>
      </c>
      <c r="F505">
        <v>763</v>
      </c>
      <c r="G505" s="3">
        <v>134743</v>
      </c>
      <c r="H505" s="5" t="str" cm="1">
        <f t="array" ref="H505">IFERROR(_xlfn.IFS(A505=$F$517,G505/$G$517,A505=$F$518,G505/$G$518,A505=$F$519,G505/$G$519,A505=$F$520,G505/$G$520,A505=$F$521,G505/$G$521,A505=$F$522,G505/$G$522,A505=$F$523,G505/$G$523,A505=$F$524,G505/$G$524),"")</f>
        <v/>
      </c>
      <c r="I505" s="3" t="str" cm="1">
        <f t="array" ref="I505">IFERROR(_xlfn.IFS(A505=$M$3,H505*$S$3,A505=$M$4,H505*$S$4,A505=$M$5,H505*$S$5,A505=$M$6,H505*$S$6,A505=$M$7,H505*$S$7,A505=$M$8,H505*$S$8,A505=$M$9,H505*$S$9,A505=$M$10,H505*$S$10),"")</f>
        <v/>
      </c>
      <c r="J505" s="3">
        <f t="shared" si="7"/>
        <v>134743</v>
      </c>
      <c r="K505" s="3" t="str">
        <f>IFERROR(VLOOKUP(E505,'GASB Match'!$A$2:$C$58,3,FALSE),"")</f>
        <v>0200775</v>
      </c>
    </row>
    <row r="506" spans="1:11" x14ac:dyDescent="0.2">
      <c r="A506">
        <v>2015</v>
      </c>
      <c r="B506" t="s">
        <v>58</v>
      </c>
      <c r="C506" t="s">
        <v>59</v>
      </c>
      <c r="D506" t="s">
        <v>60</v>
      </c>
      <c r="E506" t="s">
        <v>51</v>
      </c>
      <c r="F506">
        <v>778</v>
      </c>
      <c r="G506" s="3">
        <v>65344</v>
      </c>
      <c r="H506" s="5" cm="1">
        <f t="array" ref="H506">IFERROR(_xlfn.IFS(A506=$F$517,G506/$G$517,A506=$F$518,G506/$G$518,A506=$F$519,G506/$G$519,A506=$F$520,G506/$G$520,A506=$F$521,G506/$G$521,A506=$F$522,G506/$G$522,A506=$F$523,G506/$G$523,A506=$F$524,G506/$G$524),"")</f>
        <v>1.3457291274877139E-3</v>
      </c>
      <c r="I506" s="3" cm="1">
        <f t="array" ref="I506">IFERROR(_xlfn.IFS(A506=$M$3,H506*$S$3,A506=$M$4,H506*$S$4,A506=$M$5,H506*$S$5,A506=$M$6,H506*$S$6,A506=$M$7,H506*$S$7,A506=$M$8,H506*$S$8,A506=$M$9,H506*$S$9,A506=$M$10,H506*$S$10),"")</f>
        <v>2221148.8171166596</v>
      </c>
      <c r="J506" s="3">
        <f t="shared" si="7"/>
        <v>2286492.8171166596</v>
      </c>
      <c r="K506" s="3" t="str">
        <f>IFERROR(VLOOKUP(E506,'GASB Match'!$A$2:$C$58,3,FALSE),"")</f>
        <v>0200004</v>
      </c>
    </row>
    <row r="507" spans="1:11" x14ac:dyDescent="0.2">
      <c r="A507">
        <v>2016</v>
      </c>
      <c r="B507" t="s">
        <v>58</v>
      </c>
      <c r="C507" t="s">
        <v>59</v>
      </c>
      <c r="D507" t="s">
        <v>60</v>
      </c>
      <c r="E507" t="s">
        <v>51</v>
      </c>
      <c r="F507">
        <v>778</v>
      </c>
      <c r="G507" s="3">
        <v>68270</v>
      </c>
      <c r="H507" s="5" cm="1">
        <f t="array" ref="H507">IFERROR(_xlfn.IFS(A507=$F$517,G507/$G$517,A507=$F$518,G507/$G$518,A507=$F$519,G507/$G$519,A507=$F$520,G507/$G$520,A507=$F$521,G507/$G$521,A507=$F$522,G507/$G$522,A507=$F$523,G507/$G$523,A507=$F$524,G507/$G$524),"")</f>
        <v>2.0014363317949315E-3</v>
      </c>
      <c r="I507" s="3" cm="1">
        <f t="array" ref="I507">IFERROR(_xlfn.IFS(A507=$M$3,H507*$S$3,A507=$M$4,H507*$S$4,A507=$M$5,H507*$S$5,A507=$M$6,H507*$S$6,A507=$M$7,H507*$S$7,A507=$M$8,H507*$S$8,A507=$M$9,H507*$S$9,A507=$M$10,H507*$S$10),"")</f>
        <v>180044.11675137127</v>
      </c>
      <c r="J507" s="3">
        <f t="shared" si="7"/>
        <v>248314.11675137127</v>
      </c>
      <c r="K507" s="3" t="str">
        <f>IFERROR(VLOOKUP(E507,'GASB Match'!$A$2:$C$58,3,FALSE),"")</f>
        <v>0200004</v>
      </c>
    </row>
    <row r="508" spans="1:11" x14ac:dyDescent="0.2">
      <c r="A508">
        <v>2017</v>
      </c>
      <c r="B508" t="s">
        <v>58</v>
      </c>
      <c r="C508" t="s">
        <v>59</v>
      </c>
      <c r="D508" t="s">
        <v>60</v>
      </c>
      <c r="E508" t="s">
        <v>51</v>
      </c>
      <c r="F508">
        <v>778</v>
      </c>
      <c r="G508" s="3">
        <v>95206</v>
      </c>
      <c r="H508" s="5" cm="1">
        <f t="array" ref="H508">IFERROR(_xlfn.IFS(A508=$F$517,G508/$G$517,A508=$F$518,G508/$G$518,A508=$F$519,G508/$G$519,A508=$F$520,G508/$G$520,A508=$F$521,G508/$G$521,A508=$F$522,G508/$G$522,A508=$F$523,G508/$G$523,A508=$F$524,G508/$G$524),"")</f>
        <v>2.5487806405967111E-3</v>
      </c>
      <c r="I508" s="3" cm="1">
        <f t="array" ref="I508">IFERROR(_xlfn.IFS(A508=$M$3,H508*$S$3,A508=$M$4,H508*$S$4,A508=$M$5,H508*$S$5,A508=$M$6,H508*$S$6,A508=$M$7,H508*$S$7,A508=$M$8,H508*$S$8,A508=$M$9,H508*$S$9,A508=$M$10,H508*$S$10),"")</f>
        <v>295608.18530619901</v>
      </c>
      <c r="J508" s="3">
        <f t="shared" si="7"/>
        <v>390814.18530619901</v>
      </c>
      <c r="K508" s="3" t="str">
        <f>IFERROR(VLOOKUP(E508,'GASB Match'!$A$2:$C$58,3,FALSE),"")</f>
        <v>0200004</v>
      </c>
    </row>
    <row r="509" spans="1:11" x14ac:dyDescent="0.2">
      <c r="A509">
        <v>2018</v>
      </c>
      <c r="B509" t="s">
        <v>58</v>
      </c>
      <c r="C509" t="s">
        <v>59</v>
      </c>
      <c r="D509" t="s">
        <v>60</v>
      </c>
      <c r="E509" t="s">
        <v>51</v>
      </c>
      <c r="F509">
        <v>778</v>
      </c>
      <c r="G509" s="3">
        <v>107494</v>
      </c>
      <c r="H509" s="5" cm="1">
        <f t="array" ref="H509">IFERROR(_xlfn.IFS(A509=$F$517,G509/$G$517,A509=$F$518,G509/$G$518,A509=$F$519,G509/$G$519,A509=$F$520,G509/$G$520,A509=$F$521,G509/$G$521,A509=$F$522,G509/$G$522,A509=$F$523,G509/$G$523,A509=$F$524,G509/$G$524),"")</f>
        <v>2.6508820803093918E-3</v>
      </c>
      <c r="I509" s="3" cm="1">
        <f t="array" ref="I509">IFERROR(_xlfn.IFS(A509=$M$3,H509*$S$3,A509=$M$4,H509*$S$4,A509=$M$5,H509*$S$5,A509=$M$6,H509*$S$6,A509=$M$7,H509*$S$7,A509=$M$8,H509*$S$8,A509=$M$9,H509*$S$9,A509=$M$10,H509*$S$10),"")</f>
        <v>294359.93984193844</v>
      </c>
      <c r="J509" s="3">
        <f t="shared" si="7"/>
        <v>401853.93984193844</v>
      </c>
      <c r="K509" s="3" t="str">
        <f>IFERROR(VLOOKUP(E509,'GASB Match'!$A$2:$C$58,3,FALSE),"")</f>
        <v>0200004</v>
      </c>
    </row>
    <row r="510" spans="1:11" x14ac:dyDescent="0.2">
      <c r="A510">
        <v>2019</v>
      </c>
      <c r="B510" t="s">
        <v>58</v>
      </c>
      <c r="C510" t="s">
        <v>59</v>
      </c>
      <c r="D510" t="s">
        <v>60</v>
      </c>
      <c r="E510" t="s">
        <v>51</v>
      </c>
      <c r="F510">
        <v>778</v>
      </c>
      <c r="G510" s="3">
        <v>107334</v>
      </c>
      <c r="H510" s="5" cm="1">
        <f t="array" ref="H510">IFERROR(_xlfn.IFS(A510=$F$517,G510/$G$517,A510=$F$518,G510/$G$518,A510=$F$519,G510/$G$519,A510=$F$520,G510/$G$520,A510=$F$521,G510/$G$521,A510=$F$522,G510/$G$522,A510=$F$523,G510/$G$523,A510=$F$524,G510/$G$524),"")</f>
        <v>2.9162720667140368E-3</v>
      </c>
      <c r="I510" s="3" cm="1">
        <f t="array" ref="I510">IFERROR(_xlfn.IFS(A510=$M$3,H510*$S$3,A510=$M$4,H510*$S$4,A510=$M$5,H510*$S$5,A510=$M$6,H510*$S$6,A510=$M$7,H510*$S$7,A510=$M$8,H510*$S$8,A510=$M$9,H510*$S$9,A510=$M$10,H510*$S$10),"")</f>
        <v>371430.2977042814</v>
      </c>
      <c r="J510" s="3">
        <f t="shared" si="7"/>
        <v>478764.2977042814</v>
      </c>
      <c r="K510" s="3" t="str">
        <f>IFERROR(VLOOKUP(E510,'GASB Match'!$A$2:$C$58,3,FALSE),"")</f>
        <v>0200004</v>
      </c>
    </row>
    <row r="511" spans="1:11" x14ac:dyDescent="0.2">
      <c r="A511">
        <v>2020</v>
      </c>
      <c r="B511" t="s">
        <v>58</v>
      </c>
      <c r="C511" t="s">
        <v>59</v>
      </c>
      <c r="D511" t="s">
        <v>60</v>
      </c>
      <c r="E511" t="s">
        <v>51</v>
      </c>
      <c r="F511">
        <v>778</v>
      </c>
      <c r="G511" s="3">
        <v>103408</v>
      </c>
      <c r="H511" s="5" cm="1">
        <f t="array" ref="H511">IFERROR(_xlfn.IFS(A511=$F$517,G511/$G$517,A511=$F$518,G511/$G$518,A511=$F$519,G511/$G$519,A511=$F$520,G511/$G$520,A511=$F$521,G511/$G$521,A511=$F$522,G511/$G$522,A511=$F$523,G511/$G$523,A511=$F$524,G511/$G$524),"")</f>
        <v>3.0312099601253781E-3</v>
      </c>
      <c r="I511" s="3" cm="1">
        <f t="array" ref="I511">IFERROR(_xlfn.IFS(A511=$M$3,H511*$S$3,A511=$M$4,H511*$S$4,A511=$M$5,H511*$S$5,A511=$M$6,H511*$S$6,A511=$M$7,H511*$S$7,A511=$M$8,H511*$S$8,A511=$M$9,H511*$S$9,A511=$M$10,H511*$S$10),"")</f>
        <v>425033.57798796578</v>
      </c>
      <c r="J511" s="3">
        <f t="shared" si="7"/>
        <v>528441.57798796578</v>
      </c>
      <c r="K511" s="3" t="str">
        <f>IFERROR(VLOOKUP(E511,'GASB Match'!$A$2:$C$58,3,FALSE),"")</f>
        <v>0200004</v>
      </c>
    </row>
    <row r="512" spans="1:11" x14ac:dyDescent="0.2">
      <c r="A512">
        <v>2021</v>
      </c>
      <c r="B512" t="s">
        <v>58</v>
      </c>
      <c r="C512" t="s">
        <v>59</v>
      </c>
      <c r="D512" t="s">
        <v>60</v>
      </c>
      <c r="E512" t="s">
        <v>51</v>
      </c>
      <c r="F512">
        <v>778</v>
      </c>
      <c r="G512" s="3">
        <v>101573</v>
      </c>
      <c r="H512" s="5" cm="1">
        <f t="array" ref="H512">IFERROR(_xlfn.IFS(A512=$F$517,G512/$G$517,A512=$F$518,G512/$G$518,A512=$F$519,G512/$G$519,A512=$F$520,G512/$G$520,A512=$F$521,G512/$G$521,A512=$F$522,G512/$G$522,A512=$F$523,G512/$G$523,A512=$F$524,G512/$G$524),"")</f>
        <v>3.4624513069881875E-3</v>
      </c>
      <c r="I512" s="3" cm="1">
        <f t="array" ref="I512">IFERROR(_xlfn.IFS(A512=$M$3,H512*$S$3,A512=$M$4,H512*$S$4,A512=$M$5,H512*$S$5,A512=$M$6,H512*$S$6,A512=$M$7,H512*$S$7,A512=$M$8,H512*$S$8,A512=$M$9,H512*$S$9,A512=$M$10,H512*$S$10),"")</f>
        <v>464210.83634055237</v>
      </c>
      <c r="J512" s="3">
        <f t="shared" si="7"/>
        <v>565783.83634055243</v>
      </c>
      <c r="K512" s="3" t="str">
        <f>IFERROR(VLOOKUP(E512,'GASB Match'!$A$2:$C$58,3,FALSE),"")</f>
        <v>0200004</v>
      </c>
    </row>
    <row r="513" spans="1:11" x14ac:dyDescent="0.2">
      <c r="A513">
        <v>2022</v>
      </c>
      <c r="B513" t="s">
        <v>58</v>
      </c>
      <c r="C513" t="s">
        <v>59</v>
      </c>
      <c r="D513" t="s">
        <v>60</v>
      </c>
      <c r="E513" t="s">
        <v>51</v>
      </c>
      <c r="F513">
        <v>778</v>
      </c>
      <c r="G513" s="3">
        <v>87532</v>
      </c>
      <c r="H513" s="5" cm="1">
        <f t="array" ref="H513">IFERROR(_xlfn.IFS(A513=$F$517,G513/$G$517,A513=$F$518,G513/$G$518,A513=$F$519,G513/$G$519,A513=$F$520,G513/$G$520,A513=$F$521,G513/$G$521,A513=$F$522,G513/$G$522,A513=$F$523,G513/$G$523,A513=$F$524,G513/$G$524),"")</f>
        <v>2.8505269348775477E-3</v>
      </c>
      <c r="I513" s="3" cm="1">
        <f t="array" ref="I513">IFERROR(_xlfn.IFS(A513=$M$3,H513*$S$3,A513=$M$4,H513*$S$4,A513=$M$5,H513*$S$5,A513=$M$6,H513*$S$6,A513=$M$7,H513*$S$7,A513=$M$8,H513*$S$8,A513=$M$9,H513*$S$9,A513=$M$10,H513*$S$10),"")</f>
        <v>404031.94892811333</v>
      </c>
      <c r="J513" s="3">
        <f t="shared" si="7"/>
        <v>491563.94892811333</v>
      </c>
      <c r="K513" s="3" t="str">
        <f>IFERROR(VLOOKUP(E513,'GASB Match'!$A$2:$C$58,3,FALSE),"")</f>
        <v>0200004</v>
      </c>
    </row>
    <row r="514" spans="1:11" x14ac:dyDescent="0.2">
      <c r="A514">
        <v>2023</v>
      </c>
      <c r="B514" t="s">
        <v>58</v>
      </c>
      <c r="C514" t="s">
        <v>59</v>
      </c>
      <c r="D514" t="s">
        <v>60</v>
      </c>
      <c r="E514" t="s">
        <v>51</v>
      </c>
      <c r="F514">
        <v>778</v>
      </c>
      <c r="G514" s="3">
        <v>142997</v>
      </c>
      <c r="H514" s="5" t="str" cm="1">
        <f t="array" ref="H514">IFERROR(_xlfn.IFS(A514=$F$517,G514/$G$517,A514=$F$518,G514/$G$518,A514=$F$519,G514/$G$519,A514=$F$520,G514/$G$520,A514=$F$521,G514/$G$521,A514=$F$522,G514/$G$522,A514=$F$523,G514/$G$523,A514=$F$524,G514/$G$524),"")</f>
        <v/>
      </c>
      <c r="I514" s="3" t="str" cm="1">
        <f t="array" ref="I514">IFERROR(_xlfn.IFS(A514=$M$3,H514*$S$3,A514=$M$4,H514*$S$4,A514=$M$5,H514*$S$5,A514=$M$6,H514*$S$6,A514=$M$7,H514*$S$7,A514=$M$8,H514*$S$8,A514=$M$9,H514*$S$9,A514=$M$10,H514*$S$10),"")</f>
        <v/>
      </c>
      <c r="J514" s="3">
        <f t="shared" si="7"/>
        <v>142997</v>
      </c>
      <c r="K514" s="3" t="str">
        <f>IFERROR(VLOOKUP(E514,'GASB Match'!$A$2:$C$58,3,FALSE),"")</f>
        <v>0200004</v>
      </c>
    </row>
    <row r="517" spans="1:11" x14ac:dyDescent="0.2">
      <c r="F517">
        <v>2015</v>
      </c>
      <c r="G517" s="4">
        <f t="shared" ref="G517:G524" si="8">SUMIF($A$2:$A$514,F517,$G$2:$G$514)</f>
        <v>48556577</v>
      </c>
      <c r="H517" s="4"/>
      <c r="I517" s="4"/>
      <c r="J517" s="4"/>
      <c r="K517" s="4"/>
    </row>
    <row r="518" spans="1:11" x14ac:dyDescent="0.2">
      <c r="F518">
        <v>2016</v>
      </c>
      <c r="G518" s="4">
        <f t="shared" si="8"/>
        <v>34110503</v>
      </c>
      <c r="H518" s="4"/>
      <c r="I518" s="4"/>
      <c r="J518" s="4"/>
      <c r="K518" s="4"/>
    </row>
    <row r="519" spans="1:11" x14ac:dyDescent="0.2">
      <c r="F519">
        <v>2017</v>
      </c>
      <c r="G519" s="4">
        <f t="shared" si="8"/>
        <v>37353548</v>
      </c>
      <c r="H519" s="4"/>
      <c r="I519" s="4"/>
      <c r="J519" s="4"/>
      <c r="K519" s="4"/>
    </row>
    <row r="520" spans="1:11" x14ac:dyDescent="0.2">
      <c r="F520">
        <v>2018</v>
      </c>
      <c r="G520" s="4">
        <f t="shared" si="8"/>
        <v>40550276</v>
      </c>
      <c r="H520" s="4"/>
      <c r="I520" s="4"/>
      <c r="J520" s="4"/>
      <c r="K520" s="4"/>
    </row>
    <row r="521" spans="1:11" x14ac:dyDescent="0.2">
      <c r="F521">
        <v>2019</v>
      </c>
      <c r="G521" s="4">
        <f t="shared" si="8"/>
        <v>36805208</v>
      </c>
      <c r="H521" s="4"/>
      <c r="I521" s="4"/>
      <c r="J521" s="4"/>
      <c r="K521" s="4"/>
    </row>
    <row r="522" spans="1:11" x14ac:dyDescent="0.2">
      <c r="F522">
        <v>2020</v>
      </c>
      <c r="G522" s="4">
        <f t="shared" si="8"/>
        <v>34114430</v>
      </c>
      <c r="H522" s="4"/>
      <c r="I522" s="4"/>
      <c r="J522" s="4"/>
      <c r="K522" s="4"/>
    </row>
    <row r="523" spans="1:11" x14ac:dyDescent="0.2">
      <c r="F523">
        <v>2021</v>
      </c>
      <c r="G523" s="4">
        <f t="shared" si="8"/>
        <v>29335575</v>
      </c>
      <c r="H523" s="4"/>
      <c r="I523" s="4"/>
      <c r="J523" s="4"/>
      <c r="K523" s="4"/>
    </row>
    <row r="524" spans="1:11" x14ac:dyDescent="0.2">
      <c r="F524">
        <v>2022</v>
      </c>
      <c r="G524" s="4">
        <f t="shared" si="8"/>
        <v>30707305</v>
      </c>
      <c r="H524" s="4"/>
      <c r="I524" s="4"/>
      <c r="J524" s="4"/>
      <c r="K52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CF59-82FF-984B-889F-437680C03A72}">
  <sheetPr>
    <tabColor rgb="FFFFFF00"/>
  </sheetPr>
  <dimension ref="A1:C58"/>
  <sheetViews>
    <sheetView topLeftCell="A3" workbookViewId="0">
      <selection activeCell="F58" sqref="F58"/>
    </sheetView>
  </sheetViews>
  <sheetFormatPr baseColWidth="10" defaultRowHeight="16" x14ac:dyDescent="0.2"/>
  <cols>
    <col min="1" max="1" width="37.83203125" bestFit="1" customWidth="1"/>
  </cols>
  <sheetData>
    <row r="1" spans="1:3" x14ac:dyDescent="0.2">
      <c r="A1" s="1" t="s">
        <v>56</v>
      </c>
      <c r="B1" t="s">
        <v>61</v>
      </c>
    </row>
    <row r="2" spans="1:3" x14ac:dyDescent="0.2">
      <c r="A2" t="s">
        <v>43</v>
      </c>
      <c r="B2">
        <v>200050</v>
      </c>
      <c r="C2" t="str">
        <f t="shared" ref="C2:C33" si="0">IF(B2&gt;0,0&amp;B2,"")</f>
        <v>0200050</v>
      </c>
    </row>
    <row r="3" spans="1:3" x14ac:dyDescent="0.2">
      <c r="A3" t="s">
        <v>36</v>
      </c>
      <c r="B3">
        <v>200010</v>
      </c>
      <c r="C3" t="str">
        <f t="shared" si="0"/>
        <v>0200010</v>
      </c>
    </row>
    <row r="4" spans="1:3" x14ac:dyDescent="0.2">
      <c r="A4" t="s">
        <v>52</v>
      </c>
      <c r="B4">
        <v>200007</v>
      </c>
      <c r="C4" t="str">
        <f t="shared" si="0"/>
        <v>0200007</v>
      </c>
    </row>
    <row r="5" spans="1:3" x14ac:dyDescent="0.2">
      <c r="A5" t="s">
        <v>0</v>
      </c>
      <c r="B5">
        <v>200180</v>
      </c>
      <c r="C5" t="str">
        <f t="shared" si="0"/>
        <v>0200180</v>
      </c>
    </row>
    <row r="6" spans="1:3" x14ac:dyDescent="0.2">
      <c r="A6" t="s">
        <v>47</v>
      </c>
      <c r="B6">
        <v>200525</v>
      </c>
      <c r="C6" t="str">
        <f t="shared" si="0"/>
        <v>0200525</v>
      </c>
    </row>
    <row r="7" spans="1:3" x14ac:dyDescent="0.2">
      <c r="A7" t="s">
        <v>30</v>
      </c>
      <c r="B7">
        <v>200020</v>
      </c>
      <c r="C7" t="str">
        <f t="shared" si="0"/>
        <v>0200020</v>
      </c>
    </row>
    <row r="8" spans="1:3" x14ac:dyDescent="0.2">
      <c r="A8" t="s">
        <v>25</v>
      </c>
      <c r="B8">
        <v>200030</v>
      </c>
      <c r="C8" t="str">
        <f t="shared" si="0"/>
        <v>0200030</v>
      </c>
    </row>
    <row r="9" spans="1:3" x14ac:dyDescent="0.2">
      <c r="A9" t="s">
        <v>45</v>
      </c>
      <c r="B9">
        <v>200730</v>
      </c>
      <c r="C9" t="str">
        <f t="shared" si="0"/>
        <v>0200730</v>
      </c>
    </row>
    <row r="10" spans="1:3" x14ac:dyDescent="0.2">
      <c r="A10" t="s">
        <v>48</v>
      </c>
      <c r="B10">
        <v>200800</v>
      </c>
      <c r="C10" t="str">
        <f t="shared" si="0"/>
        <v>0200800</v>
      </c>
    </row>
    <row r="11" spans="1:3" x14ac:dyDescent="0.2">
      <c r="A11" t="s">
        <v>44</v>
      </c>
      <c r="B11">
        <v>200070</v>
      </c>
      <c r="C11" t="str">
        <f t="shared" si="0"/>
        <v>0200070</v>
      </c>
    </row>
    <row r="12" spans="1:3" x14ac:dyDescent="0.2">
      <c r="A12" t="s">
        <v>1</v>
      </c>
      <c r="B12">
        <v>200060</v>
      </c>
      <c r="C12" t="str">
        <f t="shared" si="0"/>
        <v>0200060</v>
      </c>
    </row>
    <row r="13" spans="1:3" x14ac:dyDescent="0.2">
      <c r="A13" t="s">
        <v>2</v>
      </c>
      <c r="B13">
        <v>200090</v>
      </c>
      <c r="C13" t="str">
        <f t="shared" si="0"/>
        <v>0200090</v>
      </c>
    </row>
    <row r="14" spans="1:3" x14ac:dyDescent="0.2">
      <c r="A14" t="s">
        <v>42</v>
      </c>
      <c r="B14">
        <v>200100</v>
      </c>
      <c r="C14" t="str">
        <f t="shared" si="0"/>
        <v>0200100</v>
      </c>
    </row>
    <row r="15" spans="1:3" x14ac:dyDescent="0.2">
      <c r="A15" t="s">
        <v>41</v>
      </c>
      <c r="B15">
        <v>200770</v>
      </c>
      <c r="C15" t="str">
        <f t="shared" si="0"/>
        <v>0200770</v>
      </c>
    </row>
    <row r="16" spans="1:3" x14ac:dyDescent="0.2">
      <c r="A16" t="s">
        <v>26</v>
      </c>
      <c r="B16">
        <v>200120</v>
      </c>
      <c r="C16" t="str">
        <f t="shared" si="0"/>
        <v>0200120</v>
      </c>
    </row>
    <row r="17" spans="1:3" x14ac:dyDescent="0.2">
      <c r="A17" t="s">
        <v>3</v>
      </c>
      <c r="B17">
        <v>200600</v>
      </c>
      <c r="C17" t="str">
        <f t="shared" si="0"/>
        <v>0200600</v>
      </c>
    </row>
    <row r="18" spans="1:3" x14ac:dyDescent="0.2">
      <c r="A18" t="s">
        <v>23</v>
      </c>
      <c r="B18">
        <v>200130</v>
      </c>
      <c r="C18" t="str">
        <f t="shared" si="0"/>
        <v>0200130</v>
      </c>
    </row>
    <row r="19" spans="1:3" x14ac:dyDescent="0.2">
      <c r="A19" t="s">
        <v>4</v>
      </c>
      <c r="B19">
        <v>200270</v>
      </c>
      <c r="C19" t="str">
        <f t="shared" si="0"/>
        <v>0200270</v>
      </c>
    </row>
    <row r="20" spans="1:3" x14ac:dyDescent="0.2">
      <c r="A20" t="s">
        <v>5</v>
      </c>
      <c r="B20">
        <v>200300</v>
      </c>
      <c r="C20" t="str">
        <f t="shared" si="0"/>
        <v>0200300</v>
      </c>
    </row>
    <row r="21" spans="1:3" x14ac:dyDescent="0.2">
      <c r="A21" t="s">
        <v>6</v>
      </c>
      <c r="B21">
        <v>200330</v>
      </c>
      <c r="C21" t="str">
        <f t="shared" si="0"/>
        <v>0200330</v>
      </c>
    </row>
    <row r="22" spans="1:3" x14ac:dyDescent="0.2">
      <c r="A22" t="s">
        <v>38</v>
      </c>
      <c r="B22">
        <v>200520</v>
      </c>
      <c r="C22" t="str">
        <f t="shared" si="0"/>
        <v>0200520</v>
      </c>
    </row>
    <row r="23" spans="1:3" x14ac:dyDescent="0.2">
      <c r="A23" t="s">
        <v>7</v>
      </c>
      <c r="B23">
        <v>200210</v>
      </c>
      <c r="C23" t="str">
        <f t="shared" si="0"/>
        <v>0200210</v>
      </c>
    </row>
    <row r="24" spans="1:3" x14ac:dyDescent="0.2">
      <c r="A24" t="s">
        <v>8</v>
      </c>
      <c r="B24">
        <v>200360</v>
      </c>
      <c r="C24" t="str">
        <f t="shared" si="0"/>
        <v>0200360</v>
      </c>
    </row>
    <row r="25" spans="1:3" x14ac:dyDescent="0.2">
      <c r="A25" t="s">
        <v>50</v>
      </c>
      <c r="B25">
        <v>200005</v>
      </c>
      <c r="C25" t="str">
        <f t="shared" si="0"/>
        <v>0200005</v>
      </c>
    </row>
    <row r="26" spans="1:3" x14ac:dyDescent="0.2">
      <c r="A26" t="s">
        <v>27</v>
      </c>
      <c r="B26">
        <v>200390</v>
      </c>
      <c r="C26" t="str">
        <f t="shared" si="0"/>
        <v>0200390</v>
      </c>
    </row>
    <row r="27" spans="1:3" x14ac:dyDescent="0.2">
      <c r="A27" t="s">
        <v>9</v>
      </c>
      <c r="B27">
        <v>200150</v>
      </c>
      <c r="C27" t="str">
        <f t="shared" si="0"/>
        <v>0200150</v>
      </c>
    </row>
    <row r="28" spans="1:3" x14ac:dyDescent="0.2">
      <c r="A28" t="s">
        <v>10</v>
      </c>
      <c r="B28">
        <v>200450</v>
      </c>
      <c r="C28" t="str">
        <f t="shared" si="0"/>
        <v>0200450</v>
      </c>
    </row>
    <row r="29" spans="1:3" x14ac:dyDescent="0.2">
      <c r="A29" t="s">
        <v>11</v>
      </c>
      <c r="B29">
        <v>200480</v>
      </c>
      <c r="C29" t="str">
        <f t="shared" si="0"/>
        <v>0200480</v>
      </c>
    </row>
    <row r="30" spans="1:3" x14ac:dyDescent="0.2">
      <c r="A30" t="s">
        <v>33</v>
      </c>
      <c r="B30">
        <v>200760</v>
      </c>
      <c r="C30" t="str">
        <f t="shared" si="0"/>
        <v>0200760</v>
      </c>
    </row>
    <row r="31" spans="1:3" x14ac:dyDescent="0.2">
      <c r="A31" t="s">
        <v>35</v>
      </c>
      <c r="B31">
        <v>200485</v>
      </c>
      <c r="C31" t="str">
        <f t="shared" si="0"/>
        <v>0200485</v>
      </c>
    </row>
    <row r="32" spans="1:3" x14ac:dyDescent="0.2">
      <c r="A32" t="s">
        <v>32</v>
      </c>
      <c r="B32">
        <v>200001</v>
      </c>
      <c r="C32" t="str">
        <f t="shared" si="0"/>
        <v>0200001</v>
      </c>
    </row>
    <row r="33" spans="1:3" x14ac:dyDescent="0.2">
      <c r="A33" t="s">
        <v>31</v>
      </c>
      <c r="B33">
        <v>200003</v>
      </c>
      <c r="C33" t="str">
        <f t="shared" si="0"/>
        <v>0200003</v>
      </c>
    </row>
    <row r="34" spans="1:3" x14ac:dyDescent="0.2">
      <c r="A34" t="s">
        <v>14</v>
      </c>
      <c r="B34">
        <v>200510</v>
      </c>
      <c r="C34" t="str">
        <f t="shared" ref="C34:C65" si="1">IF(B34&gt;0,0&amp;B34,"")</f>
        <v>0200510</v>
      </c>
    </row>
    <row r="35" spans="1:3" x14ac:dyDescent="0.2">
      <c r="A35" t="s">
        <v>12</v>
      </c>
      <c r="B35">
        <v>200540</v>
      </c>
      <c r="C35" t="str">
        <f t="shared" si="1"/>
        <v>0200540</v>
      </c>
    </row>
    <row r="36" spans="1:3" x14ac:dyDescent="0.2">
      <c r="A36" t="s">
        <v>13</v>
      </c>
      <c r="B36">
        <v>200570</v>
      </c>
      <c r="C36" t="str">
        <f t="shared" si="1"/>
        <v>0200570</v>
      </c>
    </row>
    <row r="37" spans="1:3" x14ac:dyDescent="0.2">
      <c r="A37" t="s">
        <v>24</v>
      </c>
      <c r="B37">
        <v>200610</v>
      </c>
      <c r="C37" t="str">
        <f t="shared" si="1"/>
        <v>0200610</v>
      </c>
    </row>
    <row r="38" spans="1:3" x14ac:dyDescent="0.2">
      <c r="A38" t="s">
        <v>29</v>
      </c>
      <c r="B38">
        <v>200625</v>
      </c>
      <c r="C38" t="str">
        <f t="shared" si="1"/>
        <v>0200625</v>
      </c>
    </row>
    <row r="39" spans="1:3" x14ac:dyDescent="0.2">
      <c r="A39" t="s">
        <v>15</v>
      </c>
      <c r="B39">
        <v>200630</v>
      </c>
      <c r="C39" t="str">
        <f t="shared" si="1"/>
        <v>0200630</v>
      </c>
    </row>
    <row r="40" spans="1:3" x14ac:dyDescent="0.2">
      <c r="A40" t="s">
        <v>16</v>
      </c>
      <c r="B40">
        <v>200660</v>
      </c>
      <c r="C40" t="str">
        <f t="shared" si="1"/>
        <v>0200660</v>
      </c>
    </row>
    <row r="41" spans="1:3" x14ac:dyDescent="0.2">
      <c r="A41" t="s">
        <v>37</v>
      </c>
      <c r="B41">
        <v>200670</v>
      </c>
      <c r="C41" t="str">
        <f t="shared" si="1"/>
        <v>0200670</v>
      </c>
    </row>
    <row r="42" spans="1:3" x14ac:dyDescent="0.2">
      <c r="A42" t="s">
        <v>28</v>
      </c>
      <c r="B42">
        <v>200680</v>
      </c>
      <c r="C42" t="str">
        <f t="shared" si="1"/>
        <v>0200680</v>
      </c>
    </row>
    <row r="43" spans="1:3" x14ac:dyDescent="0.2">
      <c r="A43" t="s">
        <v>17</v>
      </c>
      <c r="B43">
        <v>200240</v>
      </c>
      <c r="C43" t="str">
        <f t="shared" si="1"/>
        <v>0200240</v>
      </c>
    </row>
    <row r="44" spans="1:3" x14ac:dyDescent="0.2">
      <c r="A44" t="s">
        <v>18</v>
      </c>
      <c r="B44">
        <v>200690</v>
      </c>
      <c r="C44" t="str">
        <f t="shared" si="1"/>
        <v>0200690</v>
      </c>
    </row>
    <row r="45" spans="1:3" x14ac:dyDescent="0.2">
      <c r="A45" t="s">
        <v>46</v>
      </c>
      <c r="B45">
        <v>200700</v>
      </c>
      <c r="C45" t="str">
        <f t="shared" si="1"/>
        <v>0200700</v>
      </c>
    </row>
    <row r="46" spans="1:3" x14ac:dyDescent="0.2">
      <c r="A46" t="s">
        <v>121</v>
      </c>
      <c r="C46" t="str">
        <f t="shared" si="1"/>
        <v/>
      </c>
    </row>
    <row r="47" spans="1:3" x14ac:dyDescent="0.2">
      <c r="A47" t="s">
        <v>34</v>
      </c>
      <c r="B47">
        <v>200710</v>
      </c>
      <c r="C47" t="str">
        <f t="shared" si="1"/>
        <v>0200710</v>
      </c>
    </row>
    <row r="48" spans="1:3" x14ac:dyDescent="0.2">
      <c r="A48" t="s">
        <v>122</v>
      </c>
      <c r="C48" t="str">
        <f t="shared" si="1"/>
        <v/>
      </c>
    </row>
    <row r="49" spans="1:3" x14ac:dyDescent="0.2">
      <c r="A49" t="s">
        <v>120</v>
      </c>
      <c r="C49" t="str">
        <f t="shared" si="1"/>
        <v/>
      </c>
    </row>
    <row r="50" spans="1:3" x14ac:dyDescent="0.2">
      <c r="A50" t="s">
        <v>49</v>
      </c>
      <c r="B50">
        <v>200715</v>
      </c>
      <c r="C50" t="str">
        <f t="shared" si="1"/>
        <v>0200715</v>
      </c>
    </row>
    <row r="51" spans="1:3" x14ac:dyDescent="0.2">
      <c r="A51" t="s">
        <v>19</v>
      </c>
      <c r="B51">
        <v>200720</v>
      </c>
      <c r="C51" t="str">
        <f t="shared" si="1"/>
        <v>0200720</v>
      </c>
    </row>
    <row r="52" spans="1:3" x14ac:dyDescent="0.2">
      <c r="A52" t="s">
        <v>119</v>
      </c>
      <c r="C52" t="str">
        <f t="shared" si="1"/>
        <v/>
      </c>
    </row>
    <row r="53" spans="1:3" x14ac:dyDescent="0.2">
      <c r="A53" t="s">
        <v>20</v>
      </c>
      <c r="B53">
        <v>200780</v>
      </c>
      <c r="C53" t="str">
        <f t="shared" si="1"/>
        <v>0200780</v>
      </c>
    </row>
    <row r="54" spans="1:3" x14ac:dyDescent="0.2">
      <c r="A54" t="s">
        <v>21</v>
      </c>
      <c r="B54">
        <v>200810</v>
      </c>
      <c r="C54" t="str">
        <f t="shared" si="1"/>
        <v>0200810</v>
      </c>
    </row>
    <row r="55" spans="1:3" x14ac:dyDescent="0.2">
      <c r="A55" t="s">
        <v>22</v>
      </c>
      <c r="B55">
        <v>200840</v>
      </c>
      <c r="C55" t="str">
        <f t="shared" si="1"/>
        <v>0200840</v>
      </c>
    </row>
    <row r="56" spans="1:3" x14ac:dyDescent="0.2">
      <c r="A56" t="s">
        <v>39</v>
      </c>
      <c r="B56">
        <v>200862</v>
      </c>
      <c r="C56" t="str">
        <f t="shared" si="1"/>
        <v>0200862</v>
      </c>
    </row>
    <row r="57" spans="1:3" x14ac:dyDescent="0.2">
      <c r="A57" t="s">
        <v>40</v>
      </c>
      <c r="B57">
        <v>200775</v>
      </c>
      <c r="C57" t="str">
        <f t="shared" si="1"/>
        <v>0200775</v>
      </c>
    </row>
    <row r="58" spans="1:3" x14ac:dyDescent="0.2">
      <c r="A58" t="s">
        <v>51</v>
      </c>
      <c r="B58">
        <v>200004</v>
      </c>
      <c r="C58" t="str">
        <f t="shared" si="1"/>
        <v>0200004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for Export</vt:lpstr>
      <vt:lpstr>Relevant Data Files --&gt;</vt:lpstr>
      <vt:lpstr>Raw Data with Formulas</vt:lpstr>
      <vt:lpstr>GASB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2025-01-21T04:50:52Z</dcterms:created>
  <dcterms:modified xsi:type="dcterms:W3CDTF">2025-02-02T10:38:42Z</dcterms:modified>
</cp:coreProperties>
</file>