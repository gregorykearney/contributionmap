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Louisiana/"/>
    </mc:Choice>
  </mc:AlternateContent>
  <xr:revisionPtr revIDLastSave="0" documentId="13_ncr:1_{B076CBD9-DBD3-AB42-B575-E4CAFCD8FEF6}" xr6:coauthVersionLast="47" xr6:coauthVersionMax="47" xr10:uidLastSave="{00000000-0000-0000-0000-000000000000}"/>
  <bookViews>
    <workbookView xWindow="-2820" yWindow="-27280" windowWidth="24260" windowHeight="20420" xr2:uid="{44E2F5D5-7D69-D847-A122-FD7708FB49BD}"/>
  </bookViews>
  <sheets>
    <sheet name="Summary" sheetId="1" r:id="rId1"/>
    <sheet name="Yearly Data &amp; Checks --&gt;" sheetId="12" r:id="rId2"/>
    <sheet name="2023" sheetId="2" r:id="rId3"/>
    <sheet name="2022" sheetId="4" r:id="rId4"/>
    <sheet name="2021" sheetId="6" r:id="rId5"/>
    <sheet name="2020" sheetId="5" r:id="rId6"/>
    <sheet name="2019" sheetId="7" r:id="rId7"/>
    <sheet name="2018" sheetId="8" r:id="rId8"/>
    <sheet name="2017" sheetId="9" r:id="rId9"/>
    <sheet name="2016" sheetId="10" r:id="rId10"/>
    <sheet name="2015" sheetId="11" r:id="rId11"/>
    <sheet name="NCES Match --&gt;" sheetId="13" r:id="rId12"/>
    <sheet name="LEAIDs" sheetId="14" r:id="rId13"/>
  </sheets>
  <definedNames>
    <definedName name="_xlnm._FilterDatabase" localSheetId="2" hidden="1">'2023'!$A$1:$H$1</definedName>
    <definedName name="_xlnm._FilterDatabase" localSheetId="12" hidden="1">LEAIDs!$A$1:$B$305</definedName>
    <definedName name="_xlnm._FilterDatabase" localSheetId="0" hidden="1">Summary!$A$1:$I$2028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0" i="1" l="1"/>
  <c r="I1331" i="1"/>
  <c r="I1332" i="1"/>
  <c r="I1333" i="1"/>
  <c r="I1334" i="1"/>
  <c r="I1335" i="1"/>
  <c r="I1336" i="1"/>
  <c r="I1337" i="1"/>
  <c r="I1266" i="1"/>
  <c r="I1267" i="1"/>
  <c r="I1268" i="1"/>
  <c r="I1269" i="1"/>
  <c r="I1270" i="1"/>
  <c r="I1271" i="1"/>
  <c r="I1272" i="1"/>
  <c r="I1273" i="1"/>
  <c r="I127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1338" i="1"/>
  <c r="I1339" i="1"/>
  <c r="I1340" i="1"/>
  <c r="I1341" i="1"/>
  <c r="I1342" i="1"/>
  <c r="I1343" i="1"/>
  <c r="I1344" i="1"/>
  <c r="I1345" i="1"/>
  <c r="I1346" i="1"/>
  <c r="I42" i="1"/>
  <c r="I43" i="1"/>
  <c r="I1347" i="1"/>
  <c r="I1348" i="1"/>
  <c r="I1349" i="1"/>
  <c r="I1350" i="1"/>
  <c r="I1351" i="1"/>
  <c r="I1352" i="1"/>
  <c r="I1353" i="1"/>
  <c r="I1354" i="1"/>
  <c r="I1355" i="1"/>
  <c r="I44" i="1"/>
  <c r="I45" i="1"/>
  <c r="I46" i="1"/>
  <c r="I47" i="1"/>
  <c r="I48" i="1"/>
  <c r="I49" i="1"/>
  <c r="I50" i="1"/>
  <c r="I51" i="1"/>
  <c r="I52" i="1"/>
  <c r="I1356" i="1"/>
  <c r="I1357" i="1"/>
  <c r="I1358" i="1"/>
  <c r="I1359" i="1"/>
  <c r="I1360" i="1"/>
  <c r="I1361" i="1"/>
  <c r="I1362" i="1"/>
  <c r="I1363" i="1"/>
  <c r="I1364" i="1"/>
  <c r="I53" i="1"/>
  <c r="I54" i="1"/>
  <c r="I55" i="1"/>
  <c r="I56" i="1"/>
  <c r="I57" i="1"/>
  <c r="I58" i="1"/>
  <c r="I59" i="1"/>
  <c r="I60" i="1"/>
  <c r="I61" i="1"/>
  <c r="I1374" i="1"/>
  <c r="I1375" i="1"/>
  <c r="I1376" i="1"/>
  <c r="I1377" i="1"/>
  <c r="I1378" i="1"/>
  <c r="I1379" i="1"/>
  <c r="I1380" i="1"/>
  <c r="I1381" i="1"/>
  <c r="I1382" i="1"/>
  <c r="I1275" i="1"/>
  <c r="I1276" i="1"/>
  <c r="I1277" i="1"/>
  <c r="I1278" i="1"/>
  <c r="I1279" i="1"/>
  <c r="I1280" i="1"/>
  <c r="I1281" i="1"/>
  <c r="I1282" i="1"/>
  <c r="I1283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1387" i="1"/>
  <c r="I1388" i="1"/>
  <c r="I1389" i="1"/>
  <c r="I1390" i="1"/>
  <c r="I1391" i="1"/>
  <c r="I1392" i="1"/>
  <c r="I1393" i="1"/>
  <c r="I1394" i="1"/>
  <c r="I1395" i="1"/>
  <c r="I80" i="1"/>
  <c r="I81" i="1"/>
  <c r="I82" i="1"/>
  <c r="I83" i="1"/>
  <c r="I84" i="1"/>
  <c r="I85" i="1"/>
  <c r="I86" i="1"/>
  <c r="I87" i="1"/>
  <c r="I88" i="1"/>
  <c r="I1423" i="1"/>
  <c r="I1424" i="1"/>
  <c r="I1425" i="1"/>
  <c r="I1426" i="1"/>
  <c r="I1427" i="1"/>
  <c r="I1428" i="1"/>
  <c r="I1429" i="1"/>
  <c r="I1430" i="1"/>
  <c r="I1431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441" i="1"/>
  <c r="I1442" i="1"/>
  <c r="I1443" i="1"/>
  <c r="I1444" i="1"/>
  <c r="I1445" i="1"/>
  <c r="I1446" i="1"/>
  <c r="I1447" i="1"/>
  <c r="I1448" i="1"/>
  <c r="I1449" i="1"/>
  <c r="I116" i="1"/>
  <c r="I117" i="1"/>
  <c r="I118" i="1"/>
  <c r="I119" i="1"/>
  <c r="I120" i="1"/>
  <c r="I121" i="1"/>
  <c r="I122" i="1"/>
  <c r="I123" i="1"/>
  <c r="I124" i="1"/>
  <c r="I1468" i="1"/>
  <c r="I1469" i="1"/>
  <c r="I1470" i="1"/>
  <c r="I1471" i="1"/>
  <c r="I1472" i="1"/>
  <c r="I1473" i="1"/>
  <c r="I1474" i="1"/>
  <c r="I1475" i="1"/>
  <c r="I1476" i="1"/>
  <c r="I1508" i="1"/>
  <c r="I1509" i="1"/>
  <c r="I1510" i="1"/>
  <c r="I1511" i="1"/>
  <c r="I1512" i="1"/>
  <c r="I1513" i="1"/>
  <c r="I1514" i="1"/>
  <c r="I1515" i="1"/>
  <c r="I1516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25" i="1"/>
  <c r="I126" i="1"/>
  <c r="I127" i="1"/>
  <c r="I128" i="1"/>
  <c r="I129" i="1"/>
  <c r="I130" i="1"/>
  <c r="I131" i="1"/>
  <c r="I132" i="1"/>
  <c r="I1571" i="1"/>
  <c r="I1572" i="1"/>
  <c r="I1573" i="1"/>
  <c r="I1574" i="1"/>
  <c r="I1575" i="1"/>
  <c r="I1576" i="1"/>
  <c r="I1577" i="1"/>
  <c r="I1578" i="1"/>
  <c r="I1579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302" i="1"/>
  <c r="I1303" i="1"/>
  <c r="I1304" i="1"/>
  <c r="I1305" i="1"/>
  <c r="I1306" i="1"/>
  <c r="I1307" i="1"/>
  <c r="I1308" i="1"/>
  <c r="I1309" i="1"/>
  <c r="I1310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" i="1"/>
  <c r="I160" i="1"/>
  <c r="I161" i="1"/>
  <c r="I162" i="1"/>
  <c r="I163" i="1"/>
  <c r="I164" i="1"/>
  <c r="I165" i="1"/>
  <c r="I166" i="1"/>
  <c r="I167" i="1"/>
  <c r="I168" i="1"/>
  <c r="I169" i="1"/>
  <c r="I1365" i="1"/>
  <c r="I1366" i="1"/>
  <c r="I1367" i="1"/>
  <c r="I1368" i="1"/>
  <c r="I1369" i="1"/>
  <c r="I1370" i="1"/>
  <c r="I1371" i="1"/>
  <c r="I1372" i="1"/>
  <c r="I1373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284" i="1"/>
  <c r="I1285" i="1"/>
  <c r="I1286" i="1"/>
  <c r="I1287" i="1"/>
  <c r="I1288" i="1"/>
  <c r="I1289" i="1"/>
  <c r="I1290" i="1"/>
  <c r="I1291" i="1"/>
  <c r="I1292" i="1"/>
  <c r="I1450" i="1"/>
  <c r="I1451" i="1"/>
  <c r="I1452" i="1"/>
  <c r="I1453" i="1"/>
  <c r="I1454" i="1"/>
  <c r="I1455" i="1"/>
  <c r="I1456" i="1"/>
  <c r="I1457" i="1"/>
  <c r="I1458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1598" i="1"/>
  <c r="I1599" i="1"/>
  <c r="I1600" i="1"/>
  <c r="I1601" i="1"/>
  <c r="I1602" i="1"/>
  <c r="I1603" i="1"/>
  <c r="I1604" i="1"/>
  <c r="I1605" i="1"/>
  <c r="I1606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493" i="1"/>
  <c r="I1494" i="1"/>
  <c r="I1495" i="1"/>
  <c r="I1496" i="1"/>
  <c r="I1497" i="1"/>
  <c r="I1498" i="1"/>
  <c r="I1499" i="1"/>
  <c r="I1500" i="1"/>
  <c r="I1501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1634" i="1"/>
  <c r="I1635" i="1"/>
  <c r="I1636" i="1"/>
  <c r="I1637" i="1"/>
  <c r="I1638" i="1"/>
  <c r="I1639" i="1"/>
  <c r="I1640" i="1"/>
  <c r="I1641" i="1"/>
  <c r="I1642" i="1"/>
  <c r="I378" i="1"/>
  <c r="I379" i="1"/>
  <c r="I380" i="1"/>
  <c r="I381" i="1"/>
  <c r="I1643" i="1"/>
  <c r="I1644" i="1"/>
  <c r="I1645" i="1"/>
  <c r="I1646" i="1"/>
  <c r="I1647" i="1"/>
  <c r="I1648" i="1"/>
  <c r="I1649" i="1"/>
  <c r="I1650" i="1"/>
  <c r="I165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1652" i="1"/>
  <c r="I1653" i="1"/>
  <c r="I1654" i="1"/>
  <c r="I1655" i="1"/>
  <c r="I1656" i="1"/>
  <c r="I1657" i="1"/>
  <c r="I1658" i="1"/>
  <c r="I1659" i="1"/>
  <c r="I1660" i="1"/>
  <c r="I409" i="1"/>
  <c r="I410" i="1"/>
  <c r="I411" i="1"/>
  <c r="I412" i="1"/>
  <c r="I413" i="1"/>
  <c r="I414" i="1"/>
  <c r="I415" i="1"/>
  <c r="I416" i="1"/>
  <c r="I417" i="1"/>
  <c r="I418" i="1"/>
  <c r="I419" i="1"/>
  <c r="I1535" i="1"/>
  <c r="I1536" i="1"/>
  <c r="I1537" i="1"/>
  <c r="I1538" i="1"/>
  <c r="I1539" i="1"/>
  <c r="I1540" i="1"/>
  <c r="I1541" i="1"/>
  <c r="I1542" i="1"/>
  <c r="I1543" i="1"/>
  <c r="I1661" i="1"/>
  <c r="I1662" i="1"/>
  <c r="I1663" i="1"/>
  <c r="I1664" i="1"/>
  <c r="I1665" i="1"/>
  <c r="I1666" i="1"/>
  <c r="I1667" i="1"/>
  <c r="I1668" i="1"/>
  <c r="I1669" i="1"/>
  <c r="I1432" i="1"/>
  <c r="I1433" i="1"/>
  <c r="I1434" i="1"/>
  <c r="I1435" i="1"/>
  <c r="I1436" i="1"/>
  <c r="I1437" i="1"/>
  <c r="I1438" i="1"/>
  <c r="I1439" i="1"/>
  <c r="I1440" i="1"/>
  <c r="I420" i="1"/>
  <c r="I421" i="1"/>
  <c r="I422" i="1"/>
  <c r="I423" i="1"/>
  <c r="I424" i="1"/>
  <c r="I425" i="1"/>
  <c r="I426" i="1"/>
  <c r="I427" i="1"/>
  <c r="I428" i="1"/>
  <c r="I42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1259" i="1"/>
  <c r="I1260" i="1"/>
  <c r="I1261" i="1"/>
  <c r="I1262" i="1"/>
  <c r="I1263" i="1"/>
  <c r="I1264" i="1"/>
  <c r="I1265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1697" i="1"/>
  <c r="I1698" i="1"/>
  <c r="I1699" i="1"/>
  <c r="I1700" i="1"/>
  <c r="I1701" i="1"/>
  <c r="I1702" i="1"/>
  <c r="I1703" i="1"/>
  <c r="I1704" i="1"/>
  <c r="I1705" i="1"/>
  <c r="I527" i="1"/>
  <c r="I528" i="1"/>
  <c r="I1706" i="1"/>
  <c r="I1707" i="1"/>
  <c r="I1708" i="1"/>
  <c r="I1709" i="1"/>
  <c r="I1710" i="1"/>
  <c r="I1711" i="1"/>
  <c r="I1712" i="1"/>
  <c r="I1713" i="1"/>
  <c r="I1714" i="1"/>
  <c r="I1484" i="1"/>
  <c r="I1485" i="1"/>
  <c r="I1486" i="1"/>
  <c r="I1487" i="1"/>
  <c r="I1488" i="1"/>
  <c r="I1489" i="1"/>
  <c r="I1490" i="1"/>
  <c r="I1491" i="1"/>
  <c r="I1492" i="1"/>
  <c r="I1715" i="1"/>
  <c r="I1716" i="1"/>
  <c r="I1717" i="1"/>
  <c r="I1718" i="1"/>
  <c r="I1719" i="1"/>
  <c r="I1720" i="1"/>
  <c r="I1721" i="1"/>
  <c r="I1722" i="1"/>
  <c r="I1723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1724" i="1"/>
  <c r="I1725" i="1"/>
  <c r="I1726" i="1"/>
  <c r="I1727" i="1"/>
  <c r="I1728" i="1"/>
  <c r="I1729" i="1"/>
  <c r="I1730" i="1"/>
  <c r="I1731" i="1"/>
  <c r="I1732" i="1"/>
  <c r="I1477" i="1"/>
  <c r="I1478" i="1"/>
  <c r="I1479" i="1"/>
  <c r="I1480" i="1"/>
  <c r="I1481" i="1"/>
  <c r="I1482" i="1"/>
  <c r="I1483" i="1"/>
  <c r="I1733" i="1"/>
  <c r="I1734" i="1"/>
  <c r="I1735" i="1"/>
  <c r="I1736" i="1"/>
  <c r="I1737" i="1"/>
  <c r="I1738" i="1"/>
  <c r="I1739" i="1"/>
  <c r="I1740" i="1"/>
  <c r="I1741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1742" i="1"/>
  <c r="I1743" i="1"/>
  <c r="I1744" i="1"/>
  <c r="I1745" i="1"/>
  <c r="I1746" i="1"/>
  <c r="I1747" i="1"/>
  <c r="I1748" i="1"/>
  <c r="I1749" i="1"/>
  <c r="I1750" i="1"/>
  <c r="I742" i="1"/>
  <c r="I743" i="1"/>
  <c r="I744" i="1"/>
  <c r="I745" i="1"/>
  <c r="I746" i="1"/>
  <c r="I747" i="1"/>
  <c r="I748" i="1"/>
  <c r="I749" i="1"/>
  <c r="I750" i="1"/>
  <c r="I1383" i="1"/>
  <c r="I1384" i="1"/>
  <c r="I1385" i="1"/>
  <c r="I1386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405" i="1"/>
  <c r="I1406" i="1"/>
  <c r="I1407" i="1"/>
  <c r="I1408" i="1"/>
  <c r="I1409" i="1"/>
  <c r="I1410" i="1"/>
  <c r="I1411" i="1"/>
  <c r="I1412" i="1"/>
  <c r="I1413" i="1"/>
  <c r="I1769" i="1"/>
  <c r="I1770" i="1"/>
  <c r="I1771" i="1"/>
  <c r="I1772" i="1"/>
  <c r="I1773" i="1"/>
  <c r="I1774" i="1"/>
  <c r="I1775" i="1"/>
  <c r="I1776" i="1"/>
  <c r="I1777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1459" i="1"/>
  <c r="I1460" i="1"/>
  <c r="I1461" i="1"/>
  <c r="I1462" i="1"/>
  <c r="I1463" i="1"/>
  <c r="I1464" i="1"/>
  <c r="I1465" i="1"/>
  <c r="I1466" i="1"/>
  <c r="I1467" i="1"/>
  <c r="I1414" i="1"/>
  <c r="I1415" i="1"/>
  <c r="I1416" i="1"/>
  <c r="I1417" i="1"/>
  <c r="I1418" i="1"/>
  <c r="I1419" i="1"/>
  <c r="I1420" i="1"/>
  <c r="I1421" i="1"/>
  <c r="I1422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1311" i="1"/>
  <c r="I1312" i="1"/>
  <c r="I1313" i="1"/>
  <c r="I1314" i="1"/>
  <c r="I1315" i="1"/>
  <c r="I1316" i="1"/>
  <c r="I1317" i="1"/>
  <c r="I1318" i="1"/>
  <c r="I1319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814" i="1"/>
  <c r="I1815" i="1"/>
  <c r="I1816" i="1"/>
  <c r="I1817" i="1"/>
  <c r="I1818" i="1"/>
  <c r="I1819" i="1"/>
  <c r="I1820" i="1"/>
  <c r="I1821" i="1"/>
  <c r="I1822" i="1"/>
  <c r="I1006" i="1"/>
  <c r="I1007" i="1"/>
  <c r="I1008" i="1"/>
  <c r="I1009" i="1"/>
  <c r="I1010" i="1"/>
  <c r="I1011" i="1"/>
  <c r="I1012" i="1"/>
  <c r="I1013" i="1"/>
  <c r="I1014" i="1"/>
  <c r="I1320" i="1"/>
  <c r="I1321" i="1"/>
  <c r="I1322" i="1"/>
  <c r="I1323" i="1"/>
  <c r="I1324" i="1"/>
  <c r="I1325" i="1"/>
  <c r="I1326" i="1"/>
  <c r="I1327" i="1"/>
  <c r="I1328" i="1"/>
  <c r="I1517" i="1"/>
  <c r="I1518" i="1"/>
  <c r="I1519" i="1"/>
  <c r="I1520" i="1"/>
  <c r="I1521" i="1"/>
  <c r="I1522" i="1"/>
  <c r="I1523" i="1"/>
  <c r="I1524" i="1"/>
  <c r="I1525" i="1"/>
  <c r="I1015" i="1"/>
  <c r="I1016" i="1"/>
  <c r="I1017" i="1"/>
  <c r="I1018" i="1"/>
  <c r="I1823" i="1"/>
  <c r="I1824" i="1"/>
  <c r="I1825" i="1"/>
  <c r="I1826" i="1"/>
  <c r="I1827" i="1"/>
  <c r="I1828" i="1"/>
  <c r="I1829" i="1"/>
  <c r="I1830" i="1"/>
  <c r="I1831" i="1"/>
  <c r="I1019" i="1"/>
  <c r="I1020" i="1"/>
  <c r="I1021" i="1"/>
  <c r="I1022" i="1"/>
  <c r="I1023" i="1"/>
  <c r="I1024" i="1"/>
  <c r="I1025" i="1"/>
  <c r="I1026" i="1"/>
  <c r="I1027" i="1"/>
  <c r="I1832" i="1"/>
  <c r="I1833" i="1"/>
  <c r="I1834" i="1"/>
  <c r="I1835" i="1"/>
  <c r="I1836" i="1"/>
  <c r="I1837" i="1"/>
  <c r="I1838" i="1"/>
  <c r="I1839" i="1"/>
  <c r="I1840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2021" i="1"/>
  <c r="I2022" i="1"/>
  <c r="I2023" i="1"/>
  <c r="I2024" i="1"/>
  <c r="I2025" i="1"/>
  <c r="I2026" i="1"/>
  <c r="I2027" i="1"/>
  <c r="I2028" i="1"/>
  <c r="I1841" i="1"/>
  <c r="I1842" i="1"/>
  <c r="I1843" i="1"/>
  <c r="I1844" i="1"/>
  <c r="I1845" i="1"/>
  <c r="I1145" i="1"/>
  <c r="I1850" i="1"/>
  <c r="I1851" i="1"/>
  <c r="I1852" i="1"/>
  <c r="I1853" i="1"/>
  <c r="I1854" i="1"/>
  <c r="I1868" i="1"/>
  <c r="I1869" i="1"/>
  <c r="I1870" i="1"/>
  <c r="I1871" i="1"/>
  <c r="I1872" i="1"/>
  <c r="I1877" i="1"/>
  <c r="I1878" i="1"/>
  <c r="I1879" i="1"/>
  <c r="I1880" i="1"/>
  <c r="I1881" i="1"/>
  <c r="I1146" i="1"/>
  <c r="I1147" i="1"/>
  <c r="I1148" i="1"/>
  <c r="I1149" i="1"/>
  <c r="I1150" i="1"/>
  <c r="I1151" i="1"/>
  <c r="I1846" i="1"/>
  <c r="I1847" i="1"/>
  <c r="I1848" i="1"/>
  <c r="I1849" i="1"/>
  <c r="I1152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73" i="1"/>
  <c r="I1874" i="1"/>
  <c r="I1875" i="1"/>
  <c r="I1876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153" i="1"/>
  <c r="I1154" i="1"/>
  <c r="I1155" i="1"/>
  <c r="I1156" i="1"/>
  <c r="I1157" i="1"/>
  <c r="I1158" i="1"/>
  <c r="I1159" i="1"/>
  <c r="I1160" i="1"/>
  <c r="I1913" i="1"/>
  <c r="I1914" i="1"/>
  <c r="I1915" i="1"/>
  <c r="I1916" i="1"/>
  <c r="I1917" i="1"/>
  <c r="I1918" i="1"/>
  <c r="I1919" i="1"/>
  <c r="I1920" i="1"/>
  <c r="I1921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396" i="1"/>
  <c r="I1397" i="1"/>
  <c r="I1398" i="1"/>
  <c r="I1399" i="1"/>
  <c r="I1400" i="1"/>
  <c r="I1401" i="1"/>
  <c r="I1402" i="1"/>
  <c r="I1403" i="1"/>
  <c r="I1404" i="1"/>
  <c r="I1175" i="1"/>
  <c r="I1176" i="1"/>
  <c r="I1177" i="1"/>
  <c r="I1178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179" i="1"/>
  <c r="I1180" i="1"/>
  <c r="I1181" i="1"/>
  <c r="I1182" i="1"/>
  <c r="I1183" i="1"/>
  <c r="I1184" i="1"/>
  <c r="I1185" i="1"/>
  <c r="I1186" i="1"/>
  <c r="I1187" i="1"/>
  <c r="I1502" i="1"/>
  <c r="I1503" i="1"/>
  <c r="I1504" i="1"/>
  <c r="I1505" i="1"/>
  <c r="I1506" i="1"/>
  <c r="I1507" i="1"/>
  <c r="I1188" i="1"/>
  <c r="I1189" i="1"/>
  <c r="I1190" i="1"/>
  <c r="I1191" i="1"/>
  <c r="I1192" i="1"/>
  <c r="I1940" i="1"/>
  <c r="I1941" i="1"/>
  <c r="I1942" i="1"/>
  <c r="I1943" i="1"/>
  <c r="I1944" i="1"/>
  <c r="I1945" i="1"/>
  <c r="I1946" i="1"/>
  <c r="I1947" i="1"/>
  <c r="I1948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526" i="1"/>
  <c r="I1527" i="1"/>
  <c r="I1528" i="1"/>
  <c r="I1529" i="1"/>
  <c r="I1530" i="1"/>
  <c r="I1531" i="1"/>
  <c r="I1532" i="1"/>
  <c r="I1533" i="1"/>
  <c r="I1534" i="1"/>
  <c r="I1967" i="1"/>
  <c r="I1968" i="1"/>
  <c r="I1969" i="1"/>
  <c r="I1970" i="1"/>
  <c r="I1971" i="1"/>
  <c r="I1972" i="1"/>
  <c r="I1973" i="1"/>
  <c r="I1974" i="1"/>
  <c r="I1975" i="1"/>
  <c r="I1244" i="1"/>
  <c r="I1245" i="1"/>
  <c r="I1246" i="1"/>
  <c r="I1247" i="1"/>
  <c r="I1248" i="1"/>
  <c r="I1249" i="1"/>
  <c r="I1250" i="1"/>
  <c r="I1251" i="1"/>
  <c r="I1252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1253" i="1"/>
  <c r="I1254" i="1"/>
  <c r="I1255" i="1"/>
  <c r="I1256" i="1"/>
  <c r="I1257" i="1"/>
  <c r="I1258" i="1"/>
  <c r="I2012" i="1"/>
  <c r="I2013" i="1"/>
  <c r="I2014" i="1"/>
  <c r="I2015" i="1"/>
  <c r="I2016" i="1"/>
  <c r="I2017" i="1"/>
  <c r="I2018" i="1"/>
  <c r="I2019" i="1"/>
  <c r="I2020" i="1"/>
  <c r="I1293" i="1"/>
  <c r="I1294" i="1"/>
  <c r="I1295" i="1"/>
  <c r="I1296" i="1"/>
  <c r="I1297" i="1"/>
  <c r="I1298" i="1"/>
  <c r="I1299" i="1"/>
  <c r="I1300" i="1"/>
  <c r="I1301" i="1"/>
  <c r="I1329" i="1"/>
  <c r="E232" i="11"/>
  <c r="F228" i="11"/>
  <c r="F232" i="11" s="1"/>
  <c r="E228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" i="11"/>
  <c r="F233" i="10"/>
  <c r="E233" i="10"/>
  <c r="F229" i="10"/>
  <c r="E229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" i="10"/>
  <c r="F229" i="9"/>
  <c r="F233" i="9" s="1"/>
  <c r="E229" i="9"/>
  <c r="E233" i="9" s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" i="9"/>
  <c r="F224" i="8"/>
  <c r="F228" i="8" s="1"/>
  <c r="E224" i="8"/>
  <c r="E228" i="8" s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" i="7"/>
  <c r="F229" i="7"/>
  <c r="F233" i="7" s="1"/>
  <c r="E229" i="7"/>
  <c r="E233" i="7" s="1"/>
  <c r="F228" i="5"/>
  <c r="F232" i="5" s="1"/>
  <c r="E228" i="5"/>
  <c r="E232" i="5" s="1"/>
  <c r="F234" i="2"/>
  <c r="F238" i="2" s="1"/>
  <c r="E234" i="2"/>
  <c r="E238" i="2" s="1"/>
  <c r="F231" i="4"/>
  <c r="E231" i="4"/>
  <c r="F227" i="4"/>
  <c r="E227" i="4"/>
  <c r="F227" i="6"/>
  <c r="F231" i="6" s="1"/>
  <c r="E227" i="6"/>
  <c r="E231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" i="4"/>
  <c r="G8" i="2"/>
  <c r="G9" i="2"/>
  <c r="G11" i="2"/>
  <c r="G13" i="2"/>
  <c r="G17" i="2"/>
  <c r="G19" i="2"/>
  <c r="G25" i="2"/>
  <c r="G26" i="2"/>
  <c r="G27" i="2"/>
  <c r="G28" i="2"/>
  <c r="G29" i="2"/>
  <c r="G31" i="2"/>
  <c r="G35" i="2"/>
  <c r="G36" i="2"/>
  <c r="G55" i="2"/>
  <c r="G70" i="2"/>
  <c r="G71" i="2"/>
  <c r="G72" i="2"/>
  <c r="G76" i="2"/>
  <c r="G78" i="2"/>
  <c r="G82" i="2"/>
  <c r="G85" i="2"/>
  <c r="G86" i="2"/>
  <c r="G88" i="2"/>
  <c r="G90" i="2"/>
  <c r="G89" i="2"/>
  <c r="G103" i="2"/>
  <c r="G104" i="2"/>
  <c r="G106" i="2"/>
  <c r="G111" i="2"/>
  <c r="G113" i="2"/>
  <c r="G135" i="2"/>
  <c r="G140" i="2"/>
  <c r="G142" i="2"/>
  <c r="G167" i="2"/>
  <c r="G168" i="2"/>
  <c r="G169" i="2"/>
  <c r="G170" i="2"/>
  <c r="G174" i="2"/>
  <c r="G177" i="2"/>
  <c r="G178" i="2"/>
  <c r="G180" i="2"/>
  <c r="G196" i="2"/>
  <c r="G197" i="2"/>
  <c r="G198" i="2"/>
  <c r="G199" i="2"/>
  <c r="G200" i="2"/>
  <c r="G201" i="2"/>
  <c r="G202" i="2"/>
  <c r="G203" i="2"/>
  <c r="G205" i="2"/>
  <c r="G209" i="2"/>
  <c r="G210" i="2"/>
  <c r="G211" i="2"/>
  <c r="G215" i="2"/>
  <c r="G220" i="2"/>
  <c r="G221" i="2"/>
  <c r="G225" i="2"/>
  <c r="G227" i="2"/>
  <c r="G228" i="2"/>
  <c r="G229" i="2"/>
  <c r="G230" i="2"/>
  <c r="G231" i="2"/>
  <c r="G23" i="2"/>
  <c r="G139" i="2"/>
  <c r="G128" i="2"/>
  <c r="G152" i="2"/>
  <c r="G127" i="2"/>
  <c r="G219" i="2"/>
  <c r="G132" i="2"/>
  <c r="G146" i="2"/>
  <c r="G187" i="2"/>
  <c r="G217" i="2"/>
  <c r="G81" i="2"/>
  <c r="G188" i="2"/>
  <c r="G189" i="2"/>
  <c r="G208" i="2"/>
  <c r="G41" i="2"/>
  <c r="G192" i="2"/>
  <c r="G114" i="2"/>
  <c r="G137" i="2"/>
  <c r="G218" i="2"/>
  <c r="G91" i="2"/>
  <c r="G98" i="2"/>
  <c r="G120" i="2"/>
  <c r="G204" i="2"/>
  <c r="G124" i="2"/>
  <c r="G190" i="2"/>
  <c r="G216" i="2"/>
  <c r="G131" i="2"/>
  <c r="G154" i="2"/>
  <c r="G150" i="2"/>
  <c r="G151" i="2"/>
  <c r="G119" i="2"/>
  <c r="G193" i="2"/>
  <c r="G126" i="2"/>
  <c r="G96" i="2"/>
  <c r="G33" i="2"/>
  <c r="G10" i="2"/>
  <c r="G223" i="2"/>
  <c r="G101" i="2"/>
  <c r="G121" i="2"/>
  <c r="G24" i="2"/>
  <c r="G133" i="2"/>
  <c r="G185" i="2"/>
  <c r="G226" i="2"/>
  <c r="G145" i="2"/>
  <c r="G15" i="2"/>
  <c r="G179" i="2"/>
  <c r="G92" i="2"/>
  <c r="G222" i="2"/>
  <c r="G14" i="2"/>
  <c r="G130" i="2"/>
  <c r="G42" i="2"/>
  <c r="G115" i="2"/>
  <c r="G34" i="2"/>
  <c r="G232" i="2"/>
  <c r="G97" i="2"/>
  <c r="G100" i="2"/>
  <c r="G7" i="2"/>
  <c r="G4" i="2"/>
  <c r="G79" i="2"/>
  <c r="G5" i="2"/>
  <c r="G105" i="2"/>
  <c r="G84" i="2"/>
  <c r="G224" i="2"/>
  <c r="G73" i="2"/>
  <c r="G6" i="2"/>
  <c r="G32" i="2"/>
  <c r="G212" i="2"/>
  <c r="G125" i="2"/>
  <c r="G83" i="2"/>
  <c r="G136" i="2"/>
  <c r="G39" i="2"/>
  <c r="G141" i="2"/>
  <c r="G16" i="2"/>
  <c r="G183" i="2"/>
  <c r="G2" i="2"/>
  <c r="G134" i="2"/>
  <c r="G153" i="2"/>
  <c r="G186" i="2"/>
  <c r="G191" i="2"/>
  <c r="G18" i="2"/>
  <c r="G43" i="2"/>
  <c r="G149" i="2"/>
  <c r="G87" i="2"/>
  <c r="G122" i="2"/>
  <c r="G148" i="2"/>
  <c r="G65" i="2"/>
  <c r="G112" i="2"/>
  <c r="G147" i="2"/>
  <c r="G182" i="2"/>
  <c r="G109" i="2"/>
  <c r="G194" i="2"/>
  <c r="G110" i="2"/>
  <c r="G59" i="2"/>
  <c r="G61" i="2"/>
  <c r="G56" i="2"/>
  <c r="G155" i="2"/>
  <c r="G80" i="2"/>
  <c r="G207" i="2"/>
  <c r="G123" i="2"/>
  <c r="G48" i="2"/>
  <c r="G69" i="2"/>
  <c r="G181" i="2"/>
  <c r="G117" i="2"/>
  <c r="G162" i="2"/>
  <c r="G214" i="2"/>
  <c r="G94" i="2"/>
  <c r="G53" i="2"/>
  <c r="G38" i="2"/>
  <c r="G156" i="2"/>
  <c r="G37" i="2"/>
  <c r="G160" i="2"/>
  <c r="G166" i="2"/>
  <c r="G50" i="2"/>
  <c r="G75" i="2"/>
  <c r="G77" i="2"/>
  <c r="G30" i="2"/>
  <c r="G107" i="2"/>
  <c r="G138" i="2"/>
  <c r="G46" i="2"/>
  <c r="G184" i="2"/>
  <c r="G143" i="2"/>
  <c r="G108" i="2"/>
  <c r="G163" i="2"/>
  <c r="G157" i="2"/>
  <c r="G49" i="2"/>
  <c r="G44" i="2"/>
  <c r="G54" i="2"/>
  <c r="G102" i="2"/>
  <c r="G161" i="2"/>
  <c r="G12" i="2"/>
  <c r="G93" i="2"/>
  <c r="G66" i="2"/>
  <c r="G57" i="2"/>
  <c r="G74" i="2"/>
  <c r="G40" i="2"/>
  <c r="G64" i="2"/>
  <c r="G175" i="2"/>
  <c r="G172" i="2"/>
  <c r="G164" i="2"/>
  <c r="G173" i="2"/>
  <c r="G67" i="2"/>
  <c r="G58" i="2"/>
  <c r="G159" i="2"/>
  <c r="G158" i="2"/>
  <c r="G118" i="2"/>
  <c r="G129" i="2"/>
  <c r="G51" i="2"/>
  <c r="G52" i="2"/>
  <c r="G47" i="2"/>
  <c r="G68" i="2"/>
  <c r="G22" i="2"/>
  <c r="G195" i="2"/>
  <c r="G99" i="2"/>
  <c r="G213" i="2"/>
  <c r="G95" i="2"/>
  <c r="G20" i="2"/>
  <c r="G21" i="2"/>
  <c r="G144" i="2"/>
  <c r="G116" i="2"/>
  <c r="G176" i="2"/>
  <c r="G206" i="2"/>
  <c r="G62" i="2"/>
  <c r="G60" i="2"/>
  <c r="G171" i="2"/>
  <c r="G63" i="2"/>
  <c r="G165" i="2"/>
  <c r="G45" i="2"/>
  <c r="G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tc={8EB5CD94-1545-9D4C-BCD3-32517D28A75E}</author>
  </authors>
  <commentList>
    <comment ref="A1450" authorId="0" shapeId="0" xr:uid="{8EB5CD94-1545-9D4C-BCD3-32517D28A75E}">
      <text>
        <t>[Threaded comment]
Your version of Excel allows you to read this threaded comment; however, any edits to it will get removed if the file is opened in a newer version of Excel. Learn more: https://go.microsoft.com/fwlink/?linkid=870924
Comment:
    LEAID change from 2015 to 2016</t>
      </text>
    </comment>
  </commentList>
</comments>
</file>

<file path=xl/sharedStrings.xml><?xml version="1.0" encoding="utf-8"?>
<sst xmlns="http://schemas.openxmlformats.org/spreadsheetml/2006/main" count="12569" uniqueCount="318">
  <si>
    <t>ACADIA PARISH SCHOOL BOARD</t>
  </si>
  <si>
    <t>ALLEN PARISH SCHOOL BOARD</t>
  </si>
  <si>
    <t>ASCENSION PARISH SCHOOL BOARD</t>
  </si>
  <si>
    <t>ASSUMPTION PARISH SCHOOL BOARD</t>
  </si>
  <si>
    <t>AVOYELLES PARISH SCHOOL BOARD</t>
  </si>
  <si>
    <t>BEAUREGARD PARISH SCHOOL BOARD</t>
  </si>
  <si>
    <t>BIENVILLE PARISH SCHOOL BOARD</t>
  </si>
  <si>
    <t>BOSSIER PARISH SCHOOL BOARD</t>
  </si>
  <si>
    <t>CADDO PARISH SCHOOL BOARD</t>
  </si>
  <si>
    <t>CALCASIEU PARISH SCHOOL SYSTEM</t>
  </si>
  <si>
    <t>CALDWELL PARISH SCHOOL BOARD</t>
  </si>
  <si>
    <t>CAMERON PARISH SCHOOL BOARD</t>
  </si>
  <si>
    <t>CATAHOULA PARISH SCHOOL BOARD</t>
  </si>
  <si>
    <t>CLAIBORNE PARISH SCHOOL BOARD</t>
  </si>
  <si>
    <t>CONCORDIA PARISH SCHOOL BOARD</t>
  </si>
  <si>
    <t>DESOTO PARISH SCHOOL BOARD</t>
  </si>
  <si>
    <t>EAST BATON ROUGE PARISH SCHOOL SYSTEM</t>
  </si>
  <si>
    <t>EAST CARROLL PARISH SCHOOL BOARD</t>
  </si>
  <si>
    <t>EAST FELICIANA PARISH SCHOOL BOARD</t>
  </si>
  <si>
    <t>EVANGELINE PARISH SCHOOL BOARD</t>
  </si>
  <si>
    <t>FRANKLIN PARISH SCHOOL BOARD</t>
  </si>
  <si>
    <t>GRANT PARISH SCHOOL BOARD</t>
  </si>
  <si>
    <t>IBERIA PARISH SCHOOL BOARD</t>
  </si>
  <si>
    <t>IBERVILLE PARISH SCHOOL BOARD</t>
  </si>
  <si>
    <t>JACKSON PARISH SCHOOL BOARD</t>
  </si>
  <si>
    <t>JEFFERSON PARISH PUBLIC SCHOOL SYSTEM</t>
  </si>
  <si>
    <t>JEFFERSON DAVIS PARISH SCHOOL BOARD</t>
  </si>
  <si>
    <t>LAFAYETTE PARISH SCHOOL SYSTEM</t>
  </si>
  <si>
    <t>LAFOURCHE PARISH SCHOOL BOARD</t>
  </si>
  <si>
    <t>LASALLE PARISH SCHOOL BOARD</t>
  </si>
  <si>
    <t>LINCOLN PARISH SCHOOL BOARD</t>
  </si>
  <si>
    <t>LIVINGSTON PARISH PUBLIC SCHOOLS</t>
  </si>
  <si>
    <t>MADISON PARISH SCHOOL BOARD</t>
  </si>
  <si>
    <t>MOREHOUSE PARISH SCHOOL BOARD</t>
  </si>
  <si>
    <t>NATCHITOCHES PARISH SCHOOL BOARD</t>
  </si>
  <si>
    <t>ORLEANS PARISH SCHOOL BOARD</t>
  </si>
  <si>
    <t>OUACHITA PARISH SCHOOL BOARD</t>
  </si>
  <si>
    <t>PLAQUEMINES PARISH SCHOOL BOARD</t>
  </si>
  <si>
    <t>POINTE COUPEE PARISH SCHOOL BOARD</t>
  </si>
  <si>
    <t>RAPIDES PARISH SCHOOL BOARD</t>
  </si>
  <si>
    <t>RED RIVER PARISH SCHOOL BOARD</t>
  </si>
  <si>
    <t>RICHLAND PARISH SCHOOL BOARD</t>
  </si>
  <si>
    <t>SABINE PARISH SCHOOL BOARD</t>
  </si>
  <si>
    <t>ST. BERNARD PARISH SCHOOL BOARD</t>
  </si>
  <si>
    <t>ST. CHARLES PARISH PUBLIC SCHOOLS</t>
  </si>
  <si>
    <t>ST. HELENA PARISH SCHOOL SYSTEM</t>
  </si>
  <si>
    <t>ST. JAMES PARISH SCHOOL BOARD</t>
  </si>
  <si>
    <t>ST. JOHN THE BAPTIST PARISH SCHOOL BOARD</t>
  </si>
  <si>
    <t>ST. LANDRY PARISH SCHOOL BOARD</t>
  </si>
  <si>
    <t>ST. MARTIN PARISH SCHOOL BOARD</t>
  </si>
  <si>
    <t>ST. MARY PARISH SCHOOL BOARD</t>
  </si>
  <si>
    <t>ST. TAMMANY PARISH SCHOOL BOARD</t>
  </si>
  <si>
    <t>TANGIPAHOA PARISH SCHOOL SYSTEM</t>
  </si>
  <si>
    <t>TENSAS PARISH SCHOOL BOARD</t>
  </si>
  <si>
    <t>TERREBONNE PARISH SCHOOL SYSTEM</t>
  </si>
  <si>
    <t>UNION PARISH SCHOOL BOARD</t>
  </si>
  <si>
    <t>VERMILION PARISH SCHOOL BOARD</t>
  </si>
  <si>
    <t>VERNON PARISH SCHOOL BOARD</t>
  </si>
  <si>
    <t>WASHINGTON PARISH SCHOOL SYSTEM</t>
  </si>
  <si>
    <t>WEBSTER PARISH SCHOOL BOARD</t>
  </si>
  <si>
    <t>WEST BATON ROUGE PARISH SCHOOL BOARD</t>
  </si>
  <si>
    <t>WEST CARROLL PARISH SCHOOL BOARD</t>
  </si>
  <si>
    <t>WEST FELICIANA PARISH SCHOOL BOARD</t>
  </si>
  <si>
    <t>WINN PARISH SCHOOL BOARD</t>
  </si>
  <si>
    <t>BOGALUSA CITY SCHOOLS</t>
  </si>
  <si>
    <t>MONROE CITY SCHOOLS</t>
  </si>
  <si>
    <t>LOUISIANA TECH UNIVERSITY</t>
  </si>
  <si>
    <t>NORTHWESTERN STATE UNIVERSITY</t>
  </si>
  <si>
    <t>LOUISIANA STATE UNIVERSITY</t>
  </si>
  <si>
    <t>UNIVERSITY OF NEW ORLEANS</t>
  </si>
  <si>
    <t>LSU HEALTH SCIENCES CENTER, NEW ORLEANS</t>
  </si>
  <si>
    <t>NICHOLLS STATE UNIVERSITY</t>
  </si>
  <si>
    <t>SOUTHEASTERN LOUISIANA UNIVERSITY</t>
  </si>
  <si>
    <t>UNIVERSITY OF LOUISIANA AT LAFAYETTE</t>
  </si>
  <si>
    <t>GRAMBLING STATE UNIVERSITY</t>
  </si>
  <si>
    <t>SOUTHERN UNIVERSITY AND A&amp;M COLLEGE</t>
  </si>
  <si>
    <t>SOUTHERN UNIVERSITY AT NEW ORLEANS</t>
  </si>
  <si>
    <t>TANGIPAHOA FEDERATION OF TEACHERS</t>
  </si>
  <si>
    <t>DELGADO COMMUNITY COLLEGE</t>
  </si>
  <si>
    <t>SOWELA TECHNICAL COMMUNITY COLLEGE</t>
  </si>
  <si>
    <t>LOUISIANA ASSOCIATION OF EDUCATORS</t>
  </si>
  <si>
    <t>MCNEESE STATE UNIVERSITY</t>
  </si>
  <si>
    <t>UNIVERSITY OF LOUISIANA AT MONROE</t>
  </si>
  <si>
    <t>L. E. FLETCHER TECH COMMUNITY COLLEGE</t>
  </si>
  <si>
    <t>LA SCHOOL EMPLOYEES RETIREMENT SYSTEM</t>
  </si>
  <si>
    <t>LOUISIANA HIGH SCHOOL ATHLETIC ASSOC</t>
  </si>
  <si>
    <t>ST. TAMMANY FEDERATION OF TEACHERS</t>
  </si>
  <si>
    <t>LOUISIANA SCHOOL BOARD ASSOCIATION</t>
  </si>
  <si>
    <t>SOUTHERN UNIVERSITY AT SHREVEPORT</t>
  </si>
  <si>
    <t>UNITED TEACHERS OF NEW ORLEANS</t>
  </si>
  <si>
    <t>LSU HEALTH SCIENCES CENTER - SHREVEPORT</t>
  </si>
  <si>
    <t>NUNEZ COMMUNITY COLLEGE</t>
  </si>
  <si>
    <t>NORTHSHORE TECHNICAL COMMUNITY COLLEGE</t>
  </si>
  <si>
    <t>NORTHWEST LOUISIANA TECHNICAL COLLEGE</t>
  </si>
  <si>
    <t>LOUISIANA FEDERATION OF TEACHERS</t>
  </si>
  <si>
    <t>SPECIAL EDUCATION DIST #1 OF LAFOURCHE</t>
  </si>
  <si>
    <t>LOUISIANA STATE SENATE</t>
  </si>
  <si>
    <t>LA HOUSE OF REPRESENTATIVES</t>
  </si>
  <si>
    <t>CENTRAL LA TECHNICAL COMMUNITY COLLEGE</t>
  </si>
  <si>
    <t>ASSOCIATED PROFESSIONAL EDUCATORS OF LA</t>
  </si>
  <si>
    <t>WARE YOUTH CENTER</t>
  </si>
  <si>
    <t>LA STATE EMPLOYEES RETIREMENT SYSTEM</t>
  </si>
  <si>
    <t>LOUISIANA LEGISLATIVE AUDITOR</t>
  </si>
  <si>
    <t>BOSSIER PARISH COMMUNITY COLLEGE</t>
  </si>
  <si>
    <t>LSU HS - HCSD/LALLIE KEMP MEDICAL CENTER</t>
  </si>
  <si>
    <t>SOUTH LOUISIANA COMMUNITY COLLEGE</t>
  </si>
  <si>
    <t>WEBSTER PARISH SALES TAX COMMISSION</t>
  </si>
  <si>
    <t>NEW VISION LEARNING ACADEMY</t>
  </si>
  <si>
    <t>BATON ROUGE COMMUNITY COLLEGE</t>
  </si>
  <si>
    <t>RIVER PARISHES COMMUNITY COLLEGE</t>
  </si>
  <si>
    <t>LA COMMUNITY &amp; TECHNICAL COLLEGE SYSTEM</t>
  </si>
  <si>
    <t>VIRGIL BROWNE GLENCOE CHARTER SCHOOL</t>
  </si>
  <si>
    <t>AVOYELLES PUBLIC CHARTER SCHOOL INC.</t>
  </si>
  <si>
    <t>LSU HEALTH CARE SERVICES DIVISION</t>
  </si>
  <si>
    <t>DELHI CHARTER SCHOOL</t>
  </si>
  <si>
    <t>LOUISIANA DELTA COMMUNITY COLLEGE</t>
  </si>
  <si>
    <t>CITY OF BAKER SCHOOL SYSTEM</t>
  </si>
  <si>
    <t>ZACHARY COMMUNITY SCHOOL BOARD</t>
  </si>
  <si>
    <t>LA RESOURCE CENTER FOR EDUCATORS</t>
  </si>
  <si>
    <t>LA STATE BD PRACTICAL NURSE EXAMINER</t>
  </si>
  <si>
    <t>ALGIERS CHARTER SCHOOLS ASSOCIATION</t>
  </si>
  <si>
    <t>ADVOCATES FOR ACADEMIC EXCELLENCE</t>
  </si>
  <si>
    <t>FRENCH AND MONTESSORI EDUCATION, INC</t>
  </si>
  <si>
    <t>ADVOCATES FOR ARTS - BASED EDUCATION CORP</t>
  </si>
  <si>
    <t>LAKE FOREST ELEMENTARY CHARTER</t>
  </si>
  <si>
    <t>HYNES CHARTER SCHOOL</t>
  </si>
  <si>
    <t>WARREN EASTON SR. HIGH SCHOOL</t>
  </si>
  <si>
    <t>EINSTEIN CHARTER SCHOOL</t>
  </si>
  <si>
    <t>ADVOCATES FOR INNOVATIVE SCHOOLS</t>
  </si>
  <si>
    <t>CENTRAL COMMUNITY SCHOOL SYSTEM</t>
  </si>
  <si>
    <t>THE MAXINE GIARDINA CHARTER SCHOOL, INC.</t>
  </si>
  <si>
    <t>LOUISIANA STATE BOARD OF NURSING</t>
  </si>
  <si>
    <t>GREATER LAFOURCHE PORT COMMISSION</t>
  </si>
  <si>
    <t>MADISON PREPARATORY ACADEMY</t>
  </si>
  <si>
    <t>DARBONNE WOODS CHARTER SCHOOL</t>
  </si>
  <si>
    <t>MORRIS JEFF COMMUNITY SCHOOL</t>
  </si>
  <si>
    <t>BAYOU COMMUNITY ACADEMY</t>
  </si>
  <si>
    <t>SLAUGHTER COMMUNITY CHARTER SCHOOL</t>
  </si>
  <si>
    <t>A. E. PHILLIPS LABORATORY SCHOOL</t>
  </si>
  <si>
    <t>LSU UNIVERSITY HIGH SCHOOL</t>
  </si>
  <si>
    <t>NORTHWESTERN STATE UNIVERSITY LAB SCHOOL</t>
  </si>
  <si>
    <t>SOUTHEASTERN LABORATORY SCHOOL</t>
  </si>
  <si>
    <t>SOUTHERN UNIVERSITY LABORATORY SCHOOL</t>
  </si>
  <si>
    <t>BEEKMAN CHARTER SCHOOL</t>
  </si>
  <si>
    <t>DELTA CHARTER GROUP</t>
  </si>
  <si>
    <t>NORTHSHORE CHARTER SCHOOLS, INC</t>
  </si>
  <si>
    <t>INSPIRE NOLA CHARTER SCHOOLS, INC.</t>
  </si>
  <si>
    <t>LOUISIANA PHYSICAL THERAPY BOARD</t>
  </si>
  <si>
    <t>NORTHEAST CLAIBORNE CHARTER SCHOOL</t>
  </si>
  <si>
    <t>DOWNSVILLE COMMUNITY CHARTER SCHOOL</t>
  </si>
  <si>
    <t>LINCOLN PREPARATORY SCHOOL</t>
  </si>
  <si>
    <t>NON-FLOOD PROTECTION ASSET MGT AUTHORITY</t>
  </si>
  <si>
    <t>SIGNIFICANT EDUCATORS/BETHUNE ELEM CHART</t>
  </si>
  <si>
    <t>LEGACY OF EXCELLENCE/BEN FRANKLIN ELEM</t>
  </si>
  <si>
    <t>SSC - SPECIAL SCHOOL DISTRICT</t>
  </si>
  <si>
    <t>LEGISLATIVE BUDGETARY CONTROL COUNCIL</t>
  </si>
  <si>
    <t>DOA - EXECUTIVE OFFICE</t>
  </si>
  <si>
    <t>DOA - LOUISIANA TAX COMMISSION</t>
  </si>
  <si>
    <t>DIVISION OF ADMINISTRATION</t>
  </si>
  <si>
    <t>OFC OF COASTAL PROTECTION &amp; RESTORATION</t>
  </si>
  <si>
    <t>GOVERNOR'S OFFICE OF HOMELAND SECURITY</t>
  </si>
  <si>
    <t>STATE MILITARY DEPARTMENT</t>
  </si>
  <si>
    <t>LOUISIANA PUBLIC DEFENDER BD</t>
  </si>
  <si>
    <t>DEPARTMENT OF VETERANS AFFAIRS</t>
  </si>
  <si>
    <t>DVA - NORTHEAST LOUISIANA VETERANS HOME</t>
  </si>
  <si>
    <t>SECRETARY OF STATE</t>
  </si>
  <si>
    <t>LOUISIANA DEPARTMENT OF JUSTICE</t>
  </si>
  <si>
    <t>OFFICE OF LIEUTENANT GOVERNOR</t>
  </si>
  <si>
    <t>TREASURY DEPARTMENT</t>
  </si>
  <si>
    <t>LA DEPT OF AGRICULTURE &amp; FORESTRY</t>
  </si>
  <si>
    <t>DEPT. OF ECONOMIC DEVELOPMENT - OFFICE OF THE SECRETARY</t>
  </si>
  <si>
    <t>CRT - OFFICE OF THE SECRETARY</t>
  </si>
  <si>
    <t>OFF OF THE STATE LIBRARY OF LA</t>
  </si>
  <si>
    <t>CRT - OFFICE OF STATE PARKS</t>
  </si>
  <si>
    <t>OFFICE OF CULTURAL DEVELOPMENT</t>
  </si>
  <si>
    <t>OFFICE OF TOURISM</t>
  </si>
  <si>
    <t>DEPT OF TRANSPORTATION AND DEVELOPMENT</t>
  </si>
  <si>
    <t>ENGINEERING AND OPERATIONS</t>
  </si>
  <si>
    <t>FLORIDA PARISHES HUMAN SVCS AUTHORITY</t>
  </si>
  <si>
    <t>CAPITAL AREA HUMAN SERVICE DISTRICT</t>
  </si>
  <si>
    <t>LDH - DEVELOPMENT DISABILITIES CENTER</t>
  </si>
  <si>
    <t>MEDICAL VENDOR ADMINISTRATION</t>
  </si>
  <si>
    <t>DEPARTMENT OF HEALTH AND HOSPITALS</t>
  </si>
  <si>
    <t>SOUTH CENTRAL LA HUMAN SERVICES AUTH.</t>
  </si>
  <si>
    <t>NE DELTA HUMAN SVCS AUTHORITY</t>
  </si>
  <si>
    <t>LDH - OFFICE OF AGING AND ADULT SERVICES</t>
  </si>
  <si>
    <t>OFFICE OF PUBLIC HEALTH</t>
  </si>
  <si>
    <t>OFFICE OF BEHAVIORAL HEALTH</t>
  </si>
  <si>
    <t>DEPT OF HEALTH &amp; HOSPITALS/OCDD OFFICES</t>
  </si>
  <si>
    <t>DEPARTMENT OF CHILDREN &amp; FAMILY SERVICES</t>
  </si>
  <si>
    <t>DEPT. OF PUBLIC SAFETY &amp; CORRECTIONS - ADMIN</t>
  </si>
  <si>
    <t>LA STATE PENITENTIARY</t>
  </si>
  <si>
    <t>OFFICE OF JUVENILE JUSTICE</t>
  </si>
  <si>
    <t>AVOYELLES CORRECTIONAL CENTER</t>
  </si>
  <si>
    <t>LA CORRECTIONAL INST WOMEN</t>
  </si>
  <si>
    <t>DPS - ALLEN CORRECTION CENTER</t>
  </si>
  <si>
    <t>DIXON CORRECTIONAL INSTITUTE</t>
  </si>
  <si>
    <t>ELAYN HUNT CORRECTIONAL CENTER</t>
  </si>
  <si>
    <t>DAVID WADE CORRECTIONAL CENTER</t>
  </si>
  <si>
    <t>DOC - ADULT PROBATION &amp; PAROLE</t>
  </si>
  <si>
    <t>RAYBURN CORRECTIONAL CENTER</t>
  </si>
  <si>
    <t>PUB SAFETY OFF OF MGT &amp; FIN</t>
  </si>
  <si>
    <t>OFFICE OF STATE POLICE</t>
  </si>
  <si>
    <t>PUBLIC SAFETY OFFICE OF MOTOR VEHICLES</t>
  </si>
  <si>
    <t>DPS - OFFICE OF STATE FIRE MARSHALL</t>
  </si>
  <si>
    <t>DNR - OFFICE OF THE SECRETARY</t>
  </si>
  <si>
    <t>OFFICE OF CONSERVATION</t>
  </si>
  <si>
    <t>OFFICE OF COASTAL MANAGEMENT</t>
  </si>
  <si>
    <t>LOUISIANA DEPARTMENT OF REVENUE</t>
  </si>
  <si>
    <t>LOUISIANA WORKFORCE COMMISSION</t>
  </si>
  <si>
    <t>DEPT OF WILDLIFE &amp; FISHERIES - MGMNT &amp; FINANCE</t>
  </si>
  <si>
    <t>DEPT OF WILDLIFE &amp; FISHERIES - OFFICE OF FISHERIES</t>
  </si>
  <si>
    <t>DEPARTMENT OF STATE CIVIL SERVICE</t>
  </si>
  <si>
    <t>DPT OF STATE CIVIL SVC - BRD OF TAX APPEALS</t>
  </si>
  <si>
    <t>BOARD OF SUPERVISORS - UNIV. OF LA SYSTEM</t>
  </si>
  <si>
    <t>LA SCHOOL FOR MATH, SCIENCE AND THE ARTS</t>
  </si>
  <si>
    <t>THRIVE ACADEMY</t>
  </si>
  <si>
    <t>LA EDUCATIONAL TELEVISION AUTHORITY</t>
  </si>
  <si>
    <t>BOARD OF ELEMENTARY &amp; SECONDARY EDUC/DOA</t>
  </si>
  <si>
    <t>BOARD OF REGENTS</t>
  </si>
  <si>
    <t>NEW ORLEANS CENTER FOR CREATIVE ARTS</t>
  </si>
  <si>
    <t>LOUISIANA DEPARTMENT OF EDUCATION</t>
  </si>
  <si>
    <t>RECOVERY SCHOOL DISTRICT OF LOUISIANA</t>
  </si>
  <si>
    <t>STATE EMPLOYEES GROUP BENEFITS</t>
  </si>
  <si>
    <t>DOA - OFFICE OF RISK MANAGEMENT</t>
  </si>
  <si>
    <t>DOA - FEDERAL PROPERTY ASSISTANCE</t>
  </si>
  <si>
    <t>PRISON ENTERPRISES</t>
  </si>
  <si>
    <t>DOA - OFFICE OF TECHNOLOGY SVCS</t>
  </si>
  <si>
    <t>OFFICE OF STATE PROCUREMENT</t>
  </si>
  <si>
    <t>DEPARTMENT OF ENVIRONMENTAL QUALITY</t>
  </si>
  <si>
    <t>district_name</t>
  </si>
  <si>
    <t>State</t>
  </si>
  <si>
    <t>Louisiana</t>
  </si>
  <si>
    <t>state_abv</t>
  </si>
  <si>
    <t>LA</t>
  </si>
  <si>
    <t>Year</t>
  </si>
  <si>
    <t>DOC-RAYMOND LABORDE CORRECTIONAL CENTER</t>
  </si>
  <si>
    <t>LSU HEALTH SCIENCES CENTER-SHREVEPORT</t>
  </si>
  <si>
    <t>LSU HS-HCSD/LALLIE KEMP MEDICAL CENTER</t>
  </si>
  <si>
    <t>FRENCH AND MONTESSORI EDUCATION, INC.</t>
  </si>
  <si>
    <t>ADVOCATES FOR ARTS-BASED EDUCATION CORP</t>
  </si>
  <si>
    <t>NORTHSHORE CHARTER SCHOOLS, INC.</t>
  </si>
  <si>
    <t>DIV OF ADMIN - EXECUTIVE OFFICE</t>
  </si>
  <si>
    <t>DOA – LOUISIANA TAX COMMISSION</t>
  </si>
  <si>
    <t>LOUISIANA PUBLIC SERVICE COMMISSION</t>
  </si>
  <si>
    <t>DEPARTMENT OF INSURANCE</t>
  </si>
  <si>
    <t>DEPT. OF ECONOMIC DEVELOPMENT – OFFICE OF THE SECRETARY</t>
  </si>
  <si>
    <t>CRT-OFFICE OF THE SECRETARY</t>
  </si>
  <si>
    <t>CRT-OFFICE OF STATE PARKS</t>
  </si>
  <si>
    <t>CENTRAL LOUISIANA HUMAN SERVICE DISTRICT</t>
  </si>
  <si>
    <t>DPS-ALLEN CORRECTION CENTER</t>
  </si>
  <si>
    <t>DOC-ADULT PROBATION &amp; PAROLE</t>
  </si>
  <si>
    <t>DPS-OFFICE OF STATE FIRE MARSHALL</t>
  </si>
  <si>
    <t>DEPT OF WILDLIFE &amp; FISHERIES-MGMNT &amp; FINANCE</t>
  </si>
  <si>
    <t>OFFICE OF WILDLIFE</t>
  </si>
  <si>
    <t>BOARD OF SUPERVISORS-UNIV. OF LA SYSTEM</t>
  </si>
  <si>
    <t>SSC-SPECIAL SCHOOL DISTRICT</t>
  </si>
  <si>
    <t>DOA-OFFICE OF RISK MANAGEMENT</t>
  </si>
  <si>
    <t>DOA-FEDERAL PROPERTY ASSISTANCE</t>
  </si>
  <si>
    <t>DIV OF ADMIN - OFFICE OF TECHNOLOGY SVCS</t>
  </si>
  <si>
    <t>DIVISION OF ADMINISTRATIVE LAW</t>
  </si>
  <si>
    <t>ST BERNARD PARISH SCHOOL BOARD</t>
  </si>
  <si>
    <t>ST CHARLES PARISH PUBLIC SCHOOLS</t>
  </si>
  <si>
    <t>ST JAMES PARISH SCHOOL BOARD</t>
  </si>
  <si>
    <t>ST JOHN THE BAPTIST PARISH SCHOOL BOARD</t>
  </si>
  <si>
    <t>NEW BEGINNINGS SCHOOLS FOUNDATION</t>
  </si>
  <si>
    <t>ST. BD. OF CERTIFIED PUBLIC ACCOUNTANTS</t>
  </si>
  <si>
    <t>LOUISIANA STATE UNIVERSITY (LAB SCHOOL)</t>
  </si>
  <si>
    <t>CRT--OFFICE OF STATE PARKS</t>
  </si>
  <si>
    <t>ACADIANA AREA HUMAN SERVICES DISTRICT</t>
  </si>
  <si>
    <t>WILDLIFE &amp; FISHERIES OFF OF SEC</t>
  </si>
  <si>
    <t>LA SCH FOR THE DEAF &amp; VISUALLY IMPAIRED</t>
  </si>
  <si>
    <t>SPECIAL SCHOOL DISTRICTS</t>
  </si>
  <si>
    <t>DOC-RAYMOND LABORDE CORRECTIONAL CTR</t>
  </si>
  <si>
    <t>Summed Formula</t>
  </si>
  <si>
    <t>GASB 68</t>
  </si>
  <si>
    <t>Check</t>
  </si>
  <si>
    <t>TANGIPHAHOA FEDERATION OF TEACHERS</t>
  </si>
  <si>
    <t>OFFICE OF STATE MUSEUM</t>
  </si>
  <si>
    <t>LA SPECIAL EDUCATION CENTER</t>
  </si>
  <si>
    <t>district_contributions</t>
  </si>
  <si>
    <t>state_contributions</t>
  </si>
  <si>
    <t>SOUTH CENTRAL LOUISIANA TECH COLLEGE</t>
  </si>
  <si>
    <t>REED ELEMENTARY SCHOOL-RENEW SCHOOLS</t>
  </si>
  <si>
    <t>MADISON TALLULAH CHARTER SCHOOL</t>
  </si>
  <si>
    <t>LEGISLATIVE FISCAL OFFICE</t>
  </si>
  <si>
    <t>LAFOURCHE PARISH ASSESSORS OFFICE</t>
  </si>
  <si>
    <t>GOVERNOR’S OFFICE OF HOMELAND SECURITY</t>
  </si>
  <si>
    <t>DEPT. OF ECONOMIC DEV – OFC OF THE SECRETARY</t>
  </si>
  <si>
    <t>LOUISIANA STATE UNIVERSITY-SHREVEPORT</t>
  </si>
  <si>
    <t>ADVOCATES FOR SCIENCE &amp; MATHEMATICS EDUC</t>
  </si>
  <si>
    <t>LCTCS ONLINE</t>
  </si>
  <si>
    <t>ORLEANS LEVEE DISTRICT</t>
  </si>
  <si>
    <t>LDH-DEVELOPMENT DISABILITIES CENTER</t>
  </si>
  <si>
    <t>DPS-LOUISIANA HIGHWAY SAFETY COMMISSION</t>
  </si>
  <si>
    <t>OFFICE OF STATE HUMAN CAPITAL MANAGEMENT</t>
  </si>
  <si>
    <t>RAPIDES FED OF TCHRS/SCH EMPLOYEES</t>
  </si>
  <si>
    <t>HUEY P LONG MEDICAL CENTER</t>
  </si>
  <si>
    <t>ST BERNARD PORT, HARBOR &amp; TERMINAL DIST.</t>
  </si>
  <si>
    <t>NEW ORLEANS CHARTER SCHOOLS FOUNDATION</t>
  </si>
  <si>
    <t>ALMA J. BROWN/GRAMBLING LAB SCHOOL</t>
  </si>
  <si>
    <t>LA UNIVERSITIES MARINE CONSORTIUM</t>
  </si>
  <si>
    <t>OFFICE OF ENVIRONMENTAL COMPLIANCE</t>
  </si>
  <si>
    <t>OFFICE OF ENVIRONMENTAL SERVICES</t>
  </si>
  <si>
    <t>total_contributions</t>
  </si>
  <si>
    <t>SPECIAL EDUCATION DIST. #1 OF LAFOURCHE</t>
  </si>
  <si>
    <t>LOUISIANA STATE LAW INSTITUTE</t>
  </si>
  <si>
    <t>ST. BERNARD PORT, HARBOR &amp; TERMINAL DIST.</t>
  </si>
  <si>
    <t>DOWNSVILLE CHARTER SCHOOL, INC.</t>
  </si>
  <si>
    <t>OFFICE OF STATE PARKS</t>
  </si>
  <si>
    <t>IMPERIAL CALCASIEU HUMAN SERV AUTHORITY</t>
  </si>
  <si>
    <t>ETHICS ADMINISTRATION</t>
  </si>
  <si>
    <t>OFFICE OF STUDENT FINANCIAL ASSISTANCE</t>
  </si>
  <si>
    <t>DIV OF ADMIN - ADMINISTRATIVE SERVICES</t>
  </si>
  <si>
    <t>DIV OF ADMIN - LA PROPERTY ASSISTANCE AG</t>
  </si>
  <si>
    <t>ENVIRONMENTAL QUALITY OFF OF SEC</t>
  </si>
  <si>
    <t>LEAID</t>
  </si>
  <si>
    <t>LEAID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</si>
</sst>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31F20"/>
      <name val="Aptos Narrow"/>
      <scheme val="minor"/>
    </font>
    <font>
      <sz val="12"/>
      <color rgb="FFFF0000"/>
      <name val="Aptos Narrow"/>
      <scheme val="minor"/>
    </font>
    <font>
      <sz val="11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5" fillId="0" borderId="0" xfId="0" applyNumberFormat="1" applyFont="1"/>
    <xf numFmtId="164" fontId="3" fillId="0" borderId="0" xfId="1" applyNumberFormat="1" applyFont="1"/>
    <xf numFmtId="0" fontId="5" fillId="0" borderId="0" xfId="0" applyFont="1"/>
    <xf numFmtId="0" fontId="2" fillId="0" borderId="0" xfId="0" applyFont="1"/>
    <xf numFmtId="3" fontId="2" fillId="0" borderId="0" xfId="0" applyNumberFormat="1" applyFont="1"/>
    <xf numFmtId="164" fontId="5" fillId="0" borderId="0" xfId="1" applyNumberFormat="1" applyFont="1"/>
    <xf numFmtId="3" fontId="4" fillId="0" borderId="0" xfId="0" applyNumberFormat="1" applyFont="1" applyAlignment="1">
      <alignment horizontal="right"/>
    </xf>
    <xf numFmtId="0" fontId="6" fillId="0" borderId="0" xfId="0" applyFont="1"/>
    <xf numFmtId="3" fontId="6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ory Kearney" id="{526190BC-9BB6-A74E-8BFE-9DBD83AC983C}" userId="S::gkearne1@stanford.edu::8abaa3ae-42bc-4b74-bc92-dcb5bcde81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50" dT="2025-02-12T01:13:18.18" personId="{526190BC-9BB6-A74E-8BFE-9DBD83AC983C}" id="{8EB5CD94-1545-9D4C-BCD3-32517D28A75E}">
    <text>LEAID change from 2015 to 2016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8402-67E6-5742-8B6C-14DF9C63BCA2}">
  <sheetPr>
    <tabColor rgb="FF002060"/>
  </sheetPr>
  <dimension ref="A1:I2028"/>
  <sheetViews>
    <sheetView tabSelected="1" workbookViewId="0">
      <selection activeCell="C2149" sqref="C2149"/>
    </sheetView>
  </sheetViews>
  <sheetFormatPr baseColWidth="10" defaultRowHeight="16" x14ac:dyDescent="0.2"/>
  <cols>
    <col min="2" max="2" width="12.83203125" customWidth="1"/>
    <col min="3" max="3" width="55.83203125" bestFit="1" customWidth="1"/>
    <col min="6" max="6" width="18.83203125" style="17" bestFit="1" customWidth="1"/>
    <col min="7" max="7" width="17.1640625" style="17" bestFit="1" customWidth="1"/>
    <col min="8" max="8" width="16.83203125" style="17" bestFit="1" customWidth="1"/>
  </cols>
  <sheetData>
    <row r="1" spans="1:9" x14ac:dyDescent="0.2">
      <c r="A1" t="s">
        <v>316</v>
      </c>
      <c r="B1" s="2" t="s">
        <v>235</v>
      </c>
      <c r="C1" s="2" t="s">
        <v>230</v>
      </c>
      <c r="D1" s="2" t="s">
        <v>231</v>
      </c>
      <c r="E1" s="2" t="s">
        <v>233</v>
      </c>
      <c r="F1" s="15" t="s">
        <v>280</v>
      </c>
      <c r="G1" s="15" t="s">
        <v>281</v>
      </c>
      <c r="H1" s="15" t="s">
        <v>304</v>
      </c>
      <c r="I1" s="15" t="s">
        <v>317</v>
      </c>
    </row>
    <row r="2" spans="1:9" x14ac:dyDescent="0.2">
      <c r="A2">
        <v>0</v>
      </c>
      <c r="B2">
        <v>2020</v>
      </c>
      <c r="C2" t="s">
        <v>269</v>
      </c>
      <c r="D2" t="s">
        <v>232</v>
      </c>
      <c r="E2" t="s">
        <v>234</v>
      </c>
      <c r="F2" s="17">
        <v>5613</v>
      </c>
      <c r="G2" s="17">
        <v>198</v>
      </c>
      <c r="H2" s="17">
        <v>5811</v>
      </c>
      <c r="I2">
        <f>VLOOKUP(C2,LEAIDs!$A$2:$B$305,2,FALSE)</f>
        <v>0</v>
      </c>
    </row>
    <row r="3" spans="1:9" x14ac:dyDescent="0.2">
      <c r="A3">
        <v>0</v>
      </c>
      <c r="B3">
        <v>2015</v>
      </c>
      <c r="C3" t="s">
        <v>121</v>
      </c>
      <c r="D3" t="s">
        <v>232</v>
      </c>
      <c r="E3" t="s">
        <v>234</v>
      </c>
      <c r="F3" s="17">
        <v>1131891</v>
      </c>
      <c r="G3" s="17">
        <v>34795</v>
      </c>
      <c r="H3" s="17">
        <v>1166686</v>
      </c>
      <c r="I3">
        <f>VLOOKUP(C3,LEAIDs!$A$2:$B$305,2,FALSE)</f>
        <v>0</v>
      </c>
    </row>
    <row r="4" spans="1:9" x14ac:dyDescent="0.2">
      <c r="A4">
        <v>0</v>
      </c>
      <c r="B4">
        <v>2016</v>
      </c>
      <c r="C4" t="s">
        <v>121</v>
      </c>
      <c r="D4" t="s">
        <v>232</v>
      </c>
      <c r="E4" t="s">
        <v>234</v>
      </c>
      <c r="F4" s="17">
        <v>1136214</v>
      </c>
      <c r="G4" s="17">
        <v>37478</v>
      </c>
      <c r="H4" s="17">
        <v>1173692</v>
      </c>
      <c r="I4">
        <f>VLOOKUP(C4,LEAIDs!$A$2:$B$305,2,FALSE)</f>
        <v>0</v>
      </c>
    </row>
    <row r="5" spans="1:9" x14ac:dyDescent="0.2">
      <c r="A5">
        <v>0</v>
      </c>
      <c r="B5">
        <v>2017</v>
      </c>
      <c r="C5" t="s">
        <v>121</v>
      </c>
      <c r="D5" t="s">
        <v>232</v>
      </c>
      <c r="E5" t="s">
        <v>234</v>
      </c>
      <c r="F5" s="17">
        <v>1182106</v>
      </c>
      <c r="G5" s="17">
        <v>40829</v>
      </c>
      <c r="H5" s="17">
        <v>1222935</v>
      </c>
      <c r="I5">
        <f>VLOOKUP(C5,LEAIDs!$A$2:$B$305,2,FALSE)</f>
        <v>0</v>
      </c>
    </row>
    <row r="6" spans="1:9" x14ac:dyDescent="0.2">
      <c r="A6">
        <v>0</v>
      </c>
      <c r="B6">
        <v>2018</v>
      </c>
      <c r="C6" t="s">
        <v>121</v>
      </c>
      <c r="D6" t="s">
        <v>232</v>
      </c>
      <c r="E6" t="s">
        <v>234</v>
      </c>
      <c r="F6" s="17">
        <v>1382116</v>
      </c>
      <c r="G6" s="17">
        <v>45483</v>
      </c>
      <c r="H6" s="17">
        <v>1427599</v>
      </c>
      <c r="I6">
        <f>VLOOKUP(C6,LEAIDs!$A$2:$B$305,2,FALSE)</f>
        <v>0</v>
      </c>
    </row>
    <row r="7" spans="1:9" x14ac:dyDescent="0.2">
      <c r="A7">
        <v>0</v>
      </c>
      <c r="B7">
        <v>2019</v>
      </c>
      <c r="C7" t="s">
        <v>121</v>
      </c>
      <c r="D7" t="s">
        <v>232</v>
      </c>
      <c r="E7" t="s">
        <v>234</v>
      </c>
      <c r="F7" s="17">
        <v>1405354</v>
      </c>
      <c r="G7" s="17">
        <v>47166</v>
      </c>
      <c r="H7" s="17">
        <v>1452520</v>
      </c>
      <c r="I7">
        <f>VLOOKUP(C7,LEAIDs!$A$2:$B$305,2,FALSE)</f>
        <v>0</v>
      </c>
    </row>
    <row r="8" spans="1:9" x14ac:dyDescent="0.2">
      <c r="A8">
        <v>0</v>
      </c>
      <c r="B8">
        <v>2020</v>
      </c>
      <c r="C8" t="s">
        <v>121</v>
      </c>
      <c r="D8" t="s">
        <v>232</v>
      </c>
      <c r="E8" t="s">
        <v>234</v>
      </c>
      <c r="F8" s="17">
        <v>1291152</v>
      </c>
      <c r="G8" s="17">
        <v>45563</v>
      </c>
      <c r="H8" s="17">
        <v>1336715</v>
      </c>
      <c r="I8">
        <f>VLOOKUP(C8,LEAIDs!$A$2:$B$305,2,FALSE)</f>
        <v>0</v>
      </c>
    </row>
    <row r="9" spans="1:9" x14ac:dyDescent="0.2">
      <c r="A9">
        <v>0</v>
      </c>
      <c r="B9" s="2">
        <v>2021</v>
      </c>
      <c r="C9" s="4" t="s">
        <v>121</v>
      </c>
      <c r="D9" s="2" t="s">
        <v>232</v>
      </c>
      <c r="E9" s="2" t="s">
        <v>234</v>
      </c>
      <c r="F9" s="16">
        <v>1400081</v>
      </c>
      <c r="G9" s="16">
        <v>48733</v>
      </c>
      <c r="H9" s="15">
        <v>1448814</v>
      </c>
      <c r="I9">
        <f>VLOOKUP(C9,LEAIDs!$A$2:$B$305,2,FALSE)</f>
        <v>0</v>
      </c>
    </row>
    <row r="10" spans="1:9" x14ac:dyDescent="0.2">
      <c r="A10">
        <v>0</v>
      </c>
      <c r="B10" s="2">
        <v>2022</v>
      </c>
      <c r="C10" s="4" t="s">
        <v>121</v>
      </c>
      <c r="D10" s="2" t="s">
        <v>232</v>
      </c>
      <c r="E10" s="2" t="s">
        <v>234</v>
      </c>
      <c r="F10" s="16">
        <v>1316137</v>
      </c>
      <c r="G10" s="16">
        <v>47022</v>
      </c>
      <c r="H10" s="15">
        <v>1363159</v>
      </c>
      <c r="I10">
        <f>VLOOKUP(C10,LEAIDs!$A$2:$B$305,2,FALSE)</f>
        <v>0</v>
      </c>
    </row>
    <row r="11" spans="1:9" x14ac:dyDescent="0.2">
      <c r="A11">
        <v>0</v>
      </c>
      <c r="B11" s="2">
        <v>2023</v>
      </c>
      <c r="C11" s="2" t="s">
        <v>121</v>
      </c>
      <c r="D11" s="2" t="s">
        <v>232</v>
      </c>
      <c r="E11" s="2" t="s">
        <v>234</v>
      </c>
      <c r="F11" s="15">
        <v>1425106</v>
      </c>
      <c r="G11" s="15">
        <v>50807</v>
      </c>
      <c r="H11" s="15">
        <v>1475913</v>
      </c>
      <c r="I11">
        <f>VLOOKUP(C11,LEAIDs!$A$2:$B$305,2,FALSE)</f>
        <v>0</v>
      </c>
    </row>
    <row r="12" spans="1:9" x14ac:dyDescent="0.2">
      <c r="A12">
        <v>0</v>
      </c>
      <c r="B12" s="2">
        <v>2023</v>
      </c>
      <c r="C12" s="2" t="s">
        <v>123</v>
      </c>
      <c r="D12" s="2" t="s">
        <v>232</v>
      </c>
      <c r="E12" s="2" t="s">
        <v>234</v>
      </c>
      <c r="F12" s="15">
        <v>2967206</v>
      </c>
      <c r="G12" s="15">
        <v>105786</v>
      </c>
      <c r="H12" s="15">
        <v>3072992</v>
      </c>
      <c r="I12">
        <f>VLOOKUP(C12,LEAIDs!$A$2:$B$305,2,FALSE)</f>
        <v>0</v>
      </c>
    </row>
    <row r="13" spans="1:9" x14ac:dyDescent="0.2">
      <c r="A13">
        <v>0</v>
      </c>
      <c r="B13">
        <v>2015</v>
      </c>
      <c r="C13" t="s">
        <v>240</v>
      </c>
      <c r="D13" t="s">
        <v>232</v>
      </c>
      <c r="E13" t="s">
        <v>234</v>
      </c>
      <c r="F13" s="17">
        <v>2419812</v>
      </c>
      <c r="G13" s="17">
        <v>74386</v>
      </c>
      <c r="H13" s="17">
        <v>2494198</v>
      </c>
      <c r="I13">
        <f>VLOOKUP(C13,LEAIDs!$A$2:$B$305,2,FALSE)</f>
        <v>0</v>
      </c>
    </row>
    <row r="14" spans="1:9" x14ac:dyDescent="0.2">
      <c r="A14">
        <v>0</v>
      </c>
      <c r="B14">
        <v>2016</v>
      </c>
      <c r="C14" t="s">
        <v>240</v>
      </c>
      <c r="D14" t="s">
        <v>232</v>
      </c>
      <c r="E14" t="s">
        <v>234</v>
      </c>
      <c r="F14" s="17">
        <v>2311796</v>
      </c>
      <c r="G14" s="17">
        <v>76255</v>
      </c>
      <c r="H14" s="17">
        <v>2388051</v>
      </c>
      <c r="I14">
        <f>VLOOKUP(C14,LEAIDs!$A$2:$B$305,2,FALSE)</f>
        <v>0</v>
      </c>
    </row>
    <row r="15" spans="1:9" x14ac:dyDescent="0.2">
      <c r="A15">
        <v>0</v>
      </c>
      <c r="B15">
        <v>2017</v>
      </c>
      <c r="C15" t="s">
        <v>240</v>
      </c>
      <c r="D15" t="s">
        <v>232</v>
      </c>
      <c r="E15" t="s">
        <v>234</v>
      </c>
      <c r="F15" s="17">
        <v>2394963</v>
      </c>
      <c r="G15" s="17">
        <v>82721</v>
      </c>
      <c r="H15" s="17">
        <v>2477684</v>
      </c>
      <c r="I15">
        <f>VLOOKUP(C15,LEAIDs!$A$2:$B$305,2,FALSE)</f>
        <v>0</v>
      </c>
    </row>
    <row r="16" spans="1:9" x14ac:dyDescent="0.2">
      <c r="A16">
        <v>0</v>
      </c>
      <c r="B16">
        <v>2018</v>
      </c>
      <c r="C16" t="s">
        <v>240</v>
      </c>
      <c r="D16" t="s">
        <v>232</v>
      </c>
      <c r="E16" t="s">
        <v>234</v>
      </c>
      <c r="F16" s="17">
        <v>2676402</v>
      </c>
      <c r="G16" s="17">
        <v>88076</v>
      </c>
      <c r="H16" s="17">
        <v>2764478</v>
      </c>
      <c r="I16">
        <f>VLOOKUP(C16,LEAIDs!$A$2:$B$305,2,FALSE)</f>
        <v>0</v>
      </c>
    </row>
    <row r="17" spans="1:9" x14ac:dyDescent="0.2">
      <c r="A17">
        <v>0</v>
      </c>
      <c r="B17">
        <v>2019</v>
      </c>
      <c r="C17" t="s">
        <v>240</v>
      </c>
      <c r="D17" t="s">
        <v>232</v>
      </c>
      <c r="E17" t="s">
        <v>234</v>
      </c>
      <c r="F17" s="17">
        <v>2502837</v>
      </c>
      <c r="G17" s="17">
        <v>83999</v>
      </c>
      <c r="H17" s="17">
        <v>2586836</v>
      </c>
      <c r="I17">
        <f>VLOOKUP(C17,LEAIDs!$A$2:$B$305,2,FALSE)</f>
        <v>0</v>
      </c>
    </row>
    <row r="18" spans="1:9" x14ac:dyDescent="0.2">
      <c r="A18">
        <v>0</v>
      </c>
      <c r="B18">
        <v>2020</v>
      </c>
      <c r="C18" t="s">
        <v>240</v>
      </c>
      <c r="D18" t="s">
        <v>232</v>
      </c>
      <c r="E18" t="s">
        <v>234</v>
      </c>
      <c r="F18" s="17">
        <v>2663499</v>
      </c>
      <c r="G18" s="17">
        <v>93991</v>
      </c>
      <c r="H18" s="17">
        <v>2757490</v>
      </c>
      <c r="I18">
        <f>VLOOKUP(C18,LEAIDs!$A$2:$B$305,2,FALSE)</f>
        <v>0</v>
      </c>
    </row>
    <row r="19" spans="1:9" x14ac:dyDescent="0.2">
      <c r="A19">
        <v>0</v>
      </c>
      <c r="B19" s="2">
        <v>2021</v>
      </c>
      <c r="C19" s="4" t="s">
        <v>240</v>
      </c>
      <c r="D19" s="2" t="s">
        <v>232</v>
      </c>
      <c r="E19" s="2" t="s">
        <v>234</v>
      </c>
      <c r="F19" s="16">
        <v>2849863</v>
      </c>
      <c r="G19" s="16">
        <v>99196</v>
      </c>
      <c r="H19" s="15">
        <v>2949059</v>
      </c>
      <c r="I19">
        <f>VLOOKUP(C19,LEAIDs!$A$2:$B$305,2,FALSE)</f>
        <v>0</v>
      </c>
    </row>
    <row r="20" spans="1:9" x14ac:dyDescent="0.2">
      <c r="A20">
        <v>0</v>
      </c>
      <c r="B20" s="2">
        <v>2022</v>
      </c>
      <c r="C20" s="4" t="s">
        <v>240</v>
      </c>
      <c r="D20" s="2" t="s">
        <v>232</v>
      </c>
      <c r="E20" s="2" t="s">
        <v>234</v>
      </c>
      <c r="F20" s="16">
        <v>2638490</v>
      </c>
      <c r="G20" s="16">
        <v>94267</v>
      </c>
      <c r="H20" s="15">
        <v>2732757</v>
      </c>
      <c r="I20">
        <f>VLOOKUP(C20,LEAIDs!$A$2:$B$305,2,FALSE)</f>
        <v>0</v>
      </c>
    </row>
    <row r="21" spans="1:9" x14ac:dyDescent="0.2">
      <c r="A21">
        <v>0</v>
      </c>
      <c r="B21">
        <v>2015</v>
      </c>
      <c r="C21" t="s">
        <v>128</v>
      </c>
      <c r="D21" t="s">
        <v>232</v>
      </c>
      <c r="E21" t="s">
        <v>234</v>
      </c>
      <c r="F21" s="17">
        <v>421353</v>
      </c>
      <c r="G21" s="17">
        <v>12953</v>
      </c>
      <c r="H21" s="17">
        <v>434306</v>
      </c>
      <c r="I21">
        <f>VLOOKUP(C21,LEAIDs!$A$2:$B$305,2,FALSE)</f>
        <v>0</v>
      </c>
    </row>
    <row r="22" spans="1:9" x14ac:dyDescent="0.2">
      <c r="A22">
        <v>0</v>
      </c>
      <c r="B22">
        <v>2016</v>
      </c>
      <c r="C22" t="s">
        <v>128</v>
      </c>
      <c r="D22" t="s">
        <v>232</v>
      </c>
      <c r="E22" t="s">
        <v>234</v>
      </c>
      <c r="F22" s="17">
        <v>311776</v>
      </c>
      <c r="G22" s="17">
        <v>10284</v>
      </c>
      <c r="H22" s="17">
        <v>322060</v>
      </c>
      <c r="I22">
        <f>VLOOKUP(C22,LEAIDs!$A$2:$B$305,2,FALSE)</f>
        <v>0</v>
      </c>
    </row>
    <row r="23" spans="1:9" x14ac:dyDescent="0.2">
      <c r="A23">
        <v>0</v>
      </c>
      <c r="B23">
        <v>2017</v>
      </c>
      <c r="C23" t="s">
        <v>128</v>
      </c>
      <c r="D23" t="s">
        <v>232</v>
      </c>
      <c r="E23" t="s">
        <v>234</v>
      </c>
      <c r="F23" s="17">
        <v>293554</v>
      </c>
      <c r="G23" s="17">
        <v>10139</v>
      </c>
      <c r="H23" s="17">
        <v>303693</v>
      </c>
      <c r="I23">
        <f>VLOOKUP(C23,LEAIDs!$A$2:$B$305,2,FALSE)</f>
        <v>0</v>
      </c>
    </row>
    <row r="24" spans="1:9" x14ac:dyDescent="0.2">
      <c r="A24">
        <v>0</v>
      </c>
      <c r="B24">
        <v>2018</v>
      </c>
      <c r="C24" t="s">
        <v>128</v>
      </c>
      <c r="D24" t="s">
        <v>232</v>
      </c>
      <c r="E24" t="s">
        <v>234</v>
      </c>
      <c r="F24" s="17">
        <v>356415</v>
      </c>
      <c r="G24" s="17">
        <v>11729</v>
      </c>
      <c r="H24" s="17">
        <v>368144</v>
      </c>
      <c r="I24">
        <f>VLOOKUP(C24,LEAIDs!$A$2:$B$305,2,FALSE)</f>
        <v>0</v>
      </c>
    </row>
    <row r="25" spans="1:9" x14ac:dyDescent="0.2">
      <c r="A25">
        <v>0</v>
      </c>
      <c r="B25">
        <v>2019</v>
      </c>
      <c r="C25" t="s">
        <v>128</v>
      </c>
      <c r="D25" t="s">
        <v>232</v>
      </c>
      <c r="E25" t="s">
        <v>234</v>
      </c>
      <c r="F25" s="17">
        <v>723509</v>
      </c>
      <c r="G25" s="17">
        <v>24282</v>
      </c>
      <c r="H25" s="17">
        <v>747791</v>
      </c>
      <c r="I25">
        <f>VLOOKUP(C25,LEAIDs!$A$2:$B$305,2,FALSE)</f>
        <v>0</v>
      </c>
    </row>
    <row r="26" spans="1:9" x14ac:dyDescent="0.2">
      <c r="A26">
        <v>0</v>
      </c>
      <c r="B26">
        <v>2020</v>
      </c>
      <c r="C26" t="s">
        <v>128</v>
      </c>
      <c r="D26" t="s">
        <v>232</v>
      </c>
      <c r="E26" t="s">
        <v>234</v>
      </c>
      <c r="F26" s="17">
        <v>935865</v>
      </c>
      <c r="G26" s="17">
        <v>33025</v>
      </c>
      <c r="H26" s="17">
        <v>968890</v>
      </c>
      <c r="I26">
        <f>VLOOKUP(C26,LEAIDs!$A$2:$B$305,2,FALSE)</f>
        <v>0</v>
      </c>
    </row>
    <row r="27" spans="1:9" x14ac:dyDescent="0.2">
      <c r="A27">
        <v>0</v>
      </c>
      <c r="B27" s="2">
        <v>2021</v>
      </c>
      <c r="C27" s="4" t="s">
        <v>128</v>
      </c>
      <c r="D27" s="2" t="s">
        <v>232</v>
      </c>
      <c r="E27" s="2" t="s">
        <v>234</v>
      </c>
      <c r="F27" s="16">
        <v>729434</v>
      </c>
      <c r="G27" s="16">
        <v>25390</v>
      </c>
      <c r="H27" s="15">
        <v>754824</v>
      </c>
      <c r="I27">
        <f>VLOOKUP(C27,LEAIDs!$A$2:$B$305,2,FALSE)</f>
        <v>0</v>
      </c>
    </row>
    <row r="28" spans="1:9" x14ac:dyDescent="0.2">
      <c r="A28">
        <v>0</v>
      </c>
      <c r="B28" s="2">
        <v>2022</v>
      </c>
      <c r="C28" s="4" t="s">
        <v>128</v>
      </c>
      <c r="D28" s="2" t="s">
        <v>232</v>
      </c>
      <c r="E28" s="2" t="s">
        <v>234</v>
      </c>
      <c r="F28" s="16">
        <v>623814</v>
      </c>
      <c r="G28" s="16">
        <v>22287</v>
      </c>
      <c r="H28" s="15">
        <v>646101</v>
      </c>
      <c r="I28">
        <f>VLOOKUP(C28,LEAIDs!$A$2:$B$305,2,FALSE)</f>
        <v>0</v>
      </c>
    </row>
    <row r="29" spans="1:9" x14ac:dyDescent="0.2">
      <c r="A29">
        <v>0</v>
      </c>
      <c r="B29" s="2">
        <v>2023</v>
      </c>
      <c r="C29" s="2" t="s">
        <v>128</v>
      </c>
      <c r="D29" s="2" t="s">
        <v>232</v>
      </c>
      <c r="E29" s="2" t="s">
        <v>234</v>
      </c>
      <c r="F29" s="15">
        <v>541354</v>
      </c>
      <c r="G29" s="15">
        <v>19300</v>
      </c>
      <c r="H29" s="15">
        <v>560654</v>
      </c>
      <c r="I29">
        <f>VLOOKUP(C29,LEAIDs!$A$2:$B$305,2,FALSE)</f>
        <v>0</v>
      </c>
    </row>
    <row r="30" spans="1:9" x14ac:dyDescent="0.2">
      <c r="A30">
        <v>0</v>
      </c>
      <c r="B30">
        <v>2015</v>
      </c>
      <c r="C30" t="s">
        <v>290</v>
      </c>
      <c r="D30" t="s">
        <v>232</v>
      </c>
      <c r="E30" t="s">
        <v>234</v>
      </c>
      <c r="F30" s="17">
        <v>546898</v>
      </c>
      <c r="G30" s="17">
        <v>16812</v>
      </c>
      <c r="H30" s="17">
        <v>563710</v>
      </c>
      <c r="I30">
        <f>VLOOKUP(C30,LEAIDs!$A$2:$B$305,2,FALSE)</f>
        <v>0</v>
      </c>
    </row>
    <row r="31" spans="1:9" x14ac:dyDescent="0.2">
      <c r="A31">
        <v>0</v>
      </c>
      <c r="B31">
        <v>2016</v>
      </c>
      <c r="C31" t="s">
        <v>290</v>
      </c>
      <c r="D31" t="s">
        <v>232</v>
      </c>
      <c r="E31" t="s">
        <v>234</v>
      </c>
      <c r="F31" s="17">
        <v>661497</v>
      </c>
      <c r="G31" s="17">
        <v>21819</v>
      </c>
      <c r="H31" s="17">
        <v>683316</v>
      </c>
      <c r="I31">
        <f>VLOOKUP(C31,LEAIDs!$A$2:$B$305,2,FALSE)</f>
        <v>0</v>
      </c>
    </row>
    <row r="32" spans="1:9" x14ac:dyDescent="0.2">
      <c r="A32">
        <v>0</v>
      </c>
      <c r="B32">
        <v>2017</v>
      </c>
      <c r="C32" t="s">
        <v>290</v>
      </c>
      <c r="D32" t="s">
        <v>232</v>
      </c>
      <c r="E32" t="s">
        <v>234</v>
      </c>
      <c r="F32" s="17">
        <v>675813</v>
      </c>
      <c r="G32" s="17">
        <v>23342</v>
      </c>
      <c r="H32" s="17">
        <v>699155</v>
      </c>
      <c r="I32">
        <f>VLOOKUP(C32,LEAIDs!$A$2:$B$305,2,FALSE)</f>
        <v>0</v>
      </c>
    </row>
    <row r="33" spans="1:9" x14ac:dyDescent="0.2">
      <c r="A33">
        <v>2200053</v>
      </c>
      <c r="B33">
        <v>2015</v>
      </c>
      <c r="C33" t="s">
        <v>120</v>
      </c>
      <c r="D33" t="s">
        <v>232</v>
      </c>
      <c r="E33" t="s">
        <v>234</v>
      </c>
      <c r="F33" s="17">
        <v>5843183</v>
      </c>
      <c r="G33" s="17">
        <v>179623</v>
      </c>
      <c r="H33" s="17">
        <v>6022806</v>
      </c>
      <c r="I33">
        <f>VLOOKUP(C33,LEAIDs!$A$2:$B$305,2,FALSE)</f>
        <v>2200053</v>
      </c>
    </row>
    <row r="34" spans="1:9" x14ac:dyDescent="0.2">
      <c r="A34">
        <v>2200053</v>
      </c>
      <c r="B34">
        <v>2016</v>
      </c>
      <c r="C34" t="s">
        <v>120</v>
      </c>
      <c r="D34" t="s">
        <v>232</v>
      </c>
      <c r="E34" t="s">
        <v>234</v>
      </c>
      <c r="F34" s="17">
        <v>4841787</v>
      </c>
      <c r="G34" s="17">
        <v>159706</v>
      </c>
      <c r="H34" s="17">
        <v>5001493</v>
      </c>
      <c r="I34">
        <f>VLOOKUP(C34,LEAIDs!$A$2:$B$305,2,FALSE)</f>
        <v>2200053</v>
      </c>
    </row>
    <row r="35" spans="1:9" x14ac:dyDescent="0.2">
      <c r="A35">
        <v>2200053</v>
      </c>
      <c r="B35">
        <v>2017</v>
      </c>
      <c r="C35" t="s">
        <v>120</v>
      </c>
      <c r="D35" t="s">
        <v>232</v>
      </c>
      <c r="E35" t="s">
        <v>234</v>
      </c>
      <c r="F35" s="17">
        <v>4531914</v>
      </c>
      <c r="G35" s="17">
        <v>156530</v>
      </c>
      <c r="H35" s="17">
        <v>4688444</v>
      </c>
      <c r="I35">
        <f>VLOOKUP(C35,LEAIDs!$A$2:$B$305,2,FALSE)</f>
        <v>2200053</v>
      </c>
    </row>
    <row r="36" spans="1:9" x14ac:dyDescent="0.2">
      <c r="A36">
        <v>2200053</v>
      </c>
      <c r="B36">
        <v>2018</v>
      </c>
      <c r="C36" t="s">
        <v>120</v>
      </c>
      <c r="D36" t="s">
        <v>232</v>
      </c>
      <c r="E36" t="s">
        <v>234</v>
      </c>
      <c r="F36" s="17">
        <v>4007812</v>
      </c>
      <c r="G36" s="17">
        <v>131891</v>
      </c>
      <c r="H36" s="17">
        <v>4139703</v>
      </c>
      <c r="I36">
        <f>VLOOKUP(C36,LEAIDs!$A$2:$B$305,2,FALSE)</f>
        <v>2200053</v>
      </c>
    </row>
    <row r="37" spans="1:9" x14ac:dyDescent="0.2">
      <c r="A37">
        <v>2200053</v>
      </c>
      <c r="B37">
        <v>2019</v>
      </c>
      <c r="C37" t="s">
        <v>120</v>
      </c>
      <c r="D37" t="s">
        <v>232</v>
      </c>
      <c r="E37" t="s">
        <v>234</v>
      </c>
      <c r="F37" s="17">
        <v>2694066</v>
      </c>
      <c r="G37" s="17">
        <v>90417</v>
      </c>
      <c r="H37" s="17">
        <v>2784483</v>
      </c>
      <c r="I37">
        <f>VLOOKUP(C37,LEAIDs!$A$2:$B$305,2,FALSE)</f>
        <v>2200053</v>
      </c>
    </row>
    <row r="38" spans="1:9" x14ac:dyDescent="0.2">
      <c r="A38">
        <v>2200053</v>
      </c>
      <c r="B38">
        <v>2020</v>
      </c>
      <c r="C38" t="s">
        <v>120</v>
      </c>
      <c r="D38" t="s">
        <v>232</v>
      </c>
      <c r="E38" t="s">
        <v>234</v>
      </c>
      <c r="F38" s="17">
        <v>2620627</v>
      </c>
      <c r="G38" s="17">
        <v>92478</v>
      </c>
      <c r="H38" s="17">
        <v>2713105</v>
      </c>
      <c r="I38">
        <f>VLOOKUP(C38,LEAIDs!$A$2:$B$305,2,FALSE)</f>
        <v>2200053</v>
      </c>
    </row>
    <row r="39" spans="1:9" x14ac:dyDescent="0.2">
      <c r="A39">
        <v>2200053</v>
      </c>
      <c r="B39" s="2">
        <v>2021</v>
      </c>
      <c r="C39" s="4" t="s">
        <v>120</v>
      </c>
      <c r="D39" s="2" t="s">
        <v>232</v>
      </c>
      <c r="E39" s="2" t="s">
        <v>234</v>
      </c>
      <c r="F39" s="16">
        <v>2711622</v>
      </c>
      <c r="G39" s="16">
        <v>94384</v>
      </c>
      <c r="H39" s="15">
        <v>2806006</v>
      </c>
      <c r="I39">
        <f>VLOOKUP(C39,LEAIDs!$A$2:$B$305,2,FALSE)</f>
        <v>2200053</v>
      </c>
    </row>
    <row r="40" spans="1:9" x14ac:dyDescent="0.2">
      <c r="A40">
        <v>2200053</v>
      </c>
      <c r="B40" s="2">
        <v>2022</v>
      </c>
      <c r="C40" s="4" t="s">
        <v>120</v>
      </c>
      <c r="D40" s="2" t="s">
        <v>232</v>
      </c>
      <c r="E40" s="2" t="s">
        <v>234</v>
      </c>
      <c r="F40" s="16">
        <v>2551041</v>
      </c>
      <c r="G40" s="16">
        <v>91143</v>
      </c>
      <c r="H40" s="15">
        <v>2642184</v>
      </c>
      <c r="I40">
        <f>VLOOKUP(C40,LEAIDs!$A$2:$B$305,2,FALSE)</f>
        <v>2200053</v>
      </c>
    </row>
    <row r="41" spans="1:9" x14ac:dyDescent="0.2">
      <c r="A41">
        <v>2200053</v>
      </c>
      <c r="B41" s="2">
        <v>2023</v>
      </c>
      <c r="C41" s="2" t="s">
        <v>120</v>
      </c>
      <c r="D41" s="2" t="s">
        <v>232</v>
      </c>
      <c r="E41" s="2" t="s">
        <v>234</v>
      </c>
      <c r="F41" s="15">
        <v>2701342</v>
      </c>
      <c r="G41" s="15">
        <v>96307</v>
      </c>
      <c r="H41" s="15">
        <v>2797649</v>
      </c>
      <c r="I41">
        <f>VLOOKUP(C41,LEAIDs!$A$2:$B$305,2,FALSE)</f>
        <v>2200053</v>
      </c>
    </row>
    <row r="42" spans="1:9" x14ac:dyDescent="0.2">
      <c r="A42">
        <v>0</v>
      </c>
      <c r="B42">
        <v>2015</v>
      </c>
      <c r="C42" t="s">
        <v>300</v>
      </c>
      <c r="D42" t="s">
        <v>232</v>
      </c>
      <c r="E42" t="s">
        <v>234</v>
      </c>
      <c r="F42" s="17">
        <v>185505</v>
      </c>
      <c r="G42" s="17">
        <v>5703</v>
      </c>
      <c r="H42" s="17">
        <v>191208</v>
      </c>
      <c r="I42">
        <f>VLOOKUP(C42,LEAIDs!$A$2:$B$305,2,FALSE)</f>
        <v>0</v>
      </c>
    </row>
    <row r="43" spans="1:9" x14ac:dyDescent="0.2">
      <c r="A43">
        <v>0</v>
      </c>
      <c r="B43">
        <v>2016</v>
      </c>
      <c r="C43" t="s">
        <v>300</v>
      </c>
      <c r="D43" t="s">
        <v>232</v>
      </c>
      <c r="E43" t="s">
        <v>234</v>
      </c>
      <c r="F43" s="17">
        <v>38315</v>
      </c>
      <c r="G43" s="17">
        <v>1264</v>
      </c>
      <c r="H43" s="17">
        <v>39579</v>
      </c>
      <c r="I43">
        <f>VLOOKUP(C43,LEAIDs!$A$2:$B$305,2,FALSE)</f>
        <v>0</v>
      </c>
    </row>
    <row r="44" spans="1:9" x14ac:dyDescent="0.2">
      <c r="A44">
        <v>0</v>
      </c>
      <c r="B44">
        <v>2015</v>
      </c>
      <c r="C44" t="s">
        <v>99</v>
      </c>
      <c r="D44" t="s">
        <v>232</v>
      </c>
      <c r="E44" t="s">
        <v>234</v>
      </c>
      <c r="F44" s="17">
        <v>52802</v>
      </c>
      <c r="G44" s="17">
        <v>1623</v>
      </c>
      <c r="H44" s="17">
        <v>54425</v>
      </c>
      <c r="I44">
        <f>VLOOKUP(C44,LEAIDs!$A$2:$B$305,2,FALSE)</f>
        <v>0</v>
      </c>
    </row>
    <row r="45" spans="1:9" x14ac:dyDescent="0.2">
      <c r="A45">
        <v>0</v>
      </c>
      <c r="B45">
        <v>2016</v>
      </c>
      <c r="C45" t="s">
        <v>99</v>
      </c>
      <c r="D45" t="s">
        <v>232</v>
      </c>
      <c r="E45" t="s">
        <v>234</v>
      </c>
      <c r="F45" s="17">
        <v>35374</v>
      </c>
      <c r="G45" s="17">
        <v>1167</v>
      </c>
      <c r="H45" s="17">
        <v>36541</v>
      </c>
      <c r="I45">
        <f>VLOOKUP(C45,LEAIDs!$A$2:$B$305,2,FALSE)</f>
        <v>0</v>
      </c>
    </row>
    <row r="46" spans="1:9" x14ac:dyDescent="0.2">
      <c r="A46">
        <v>0</v>
      </c>
      <c r="B46">
        <v>2017</v>
      </c>
      <c r="C46" t="s">
        <v>99</v>
      </c>
      <c r="D46" t="s">
        <v>232</v>
      </c>
      <c r="E46" t="s">
        <v>234</v>
      </c>
      <c r="F46" s="17">
        <v>43219</v>
      </c>
      <c r="G46" s="17">
        <v>1493</v>
      </c>
      <c r="H46" s="17">
        <v>44712</v>
      </c>
      <c r="I46">
        <f>VLOOKUP(C46,LEAIDs!$A$2:$B$305,2,FALSE)</f>
        <v>0</v>
      </c>
    </row>
    <row r="47" spans="1:9" x14ac:dyDescent="0.2">
      <c r="A47">
        <v>0</v>
      </c>
      <c r="B47">
        <v>2018</v>
      </c>
      <c r="C47" t="s">
        <v>99</v>
      </c>
      <c r="D47" t="s">
        <v>232</v>
      </c>
      <c r="E47" t="s">
        <v>234</v>
      </c>
      <c r="F47" s="17">
        <v>49059</v>
      </c>
      <c r="G47" s="17">
        <v>1614</v>
      </c>
      <c r="H47" s="17">
        <v>50673</v>
      </c>
      <c r="I47">
        <f>VLOOKUP(C47,LEAIDs!$A$2:$B$305,2,FALSE)</f>
        <v>0</v>
      </c>
    </row>
    <row r="48" spans="1:9" x14ac:dyDescent="0.2">
      <c r="A48">
        <v>0</v>
      </c>
      <c r="B48">
        <v>2019</v>
      </c>
      <c r="C48" t="s">
        <v>99</v>
      </c>
      <c r="D48" t="s">
        <v>232</v>
      </c>
      <c r="E48" t="s">
        <v>234</v>
      </c>
      <c r="F48" s="17">
        <v>54566</v>
      </c>
      <c r="G48" s="17">
        <v>1831</v>
      </c>
      <c r="H48" s="17">
        <v>56397</v>
      </c>
      <c r="I48">
        <f>VLOOKUP(C48,LEAIDs!$A$2:$B$305,2,FALSE)</f>
        <v>0</v>
      </c>
    </row>
    <row r="49" spans="1:9" x14ac:dyDescent="0.2">
      <c r="A49">
        <v>0</v>
      </c>
      <c r="B49">
        <v>2020</v>
      </c>
      <c r="C49" t="s">
        <v>99</v>
      </c>
      <c r="D49" t="s">
        <v>232</v>
      </c>
      <c r="E49" t="s">
        <v>234</v>
      </c>
      <c r="F49" s="17">
        <v>56005</v>
      </c>
      <c r="G49" s="17">
        <v>1976</v>
      </c>
      <c r="H49" s="17">
        <v>57981</v>
      </c>
      <c r="I49">
        <f>VLOOKUP(C49,LEAIDs!$A$2:$B$305,2,FALSE)</f>
        <v>0</v>
      </c>
    </row>
    <row r="50" spans="1:9" x14ac:dyDescent="0.2">
      <c r="A50">
        <v>0</v>
      </c>
      <c r="B50" s="2">
        <v>2021</v>
      </c>
      <c r="C50" s="4" t="s">
        <v>99</v>
      </c>
      <c r="D50" s="2" t="s">
        <v>232</v>
      </c>
      <c r="E50" s="2" t="s">
        <v>234</v>
      </c>
      <c r="F50" s="16">
        <v>56667</v>
      </c>
      <c r="G50" s="16">
        <v>1972</v>
      </c>
      <c r="H50" s="15">
        <v>58639</v>
      </c>
      <c r="I50">
        <f>VLOOKUP(C50,LEAIDs!$A$2:$B$305,2,FALSE)</f>
        <v>0</v>
      </c>
    </row>
    <row r="51" spans="1:9" x14ac:dyDescent="0.2">
      <c r="A51">
        <v>0</v>
      </c>
      <c r="B51" s="2">
        <v>2022</v>
      </c>
      <c r="C51" s="4" t="s">
        <v>99</v>
      </c>
      <c r="D51" s="2" t="s">
        <v>232</v>
      </c>
      <c r="E51" s="2" t="s">
        <v>234</v>
      </c>
      <c r="F51" s="16">
        <v>26347</v>
      </c>
      <c r="G51" s="16">
        <v>941</v>
      </c>
      <c r="H51" s="15">
        <v>27288</v>
      </c>
      <c r="I51">
        <f>VLOOKUP(C51,LEAIDs!$A$2:$B$305,2,FALSE)</f>
        <v>0</v>
      </c>
    </row>
    <row r="52" spans="1:9" x14ac:dyDescent="0.2">
      <c r="A52">
        <v>0</v>
      </c>
      <c r="B52" s="2">
        <v>2023</v>
      </c>
      <c r="C52" s="2" t="s">
        <v>99</v>
      </c>
      <c r="D52" s="2" t="s">
        <v>232</v>
      </c>
      <c r="E52" s="2" t="s">
        <v>234</v>
      </c>
      <c r="F52" s="15">
        <v>30302</v>
      </c>
      <c r="G52" s="15">
        <v>1080</v>
      </c>
      <c r="H52" s="15">
        <v>31382</v>
      </c>
      <c r="I52">
        <f>VLOOKUP(C52,LEAIDs!$A$2:$B$305,2,FALSE)</f>
        <v>0</v>
      </c>
    </row>
    <row r="53" spans="1:9" x14ac:dyDescent="0.2">
      <c r="A53">
        <v>0</v>
      </c>
      <c r="B53">
        <v>2015</v>
      </c>
      <c r="C53" t="s">
        <v>193</v>
      </c>
      <c r="D53" t="s">
        <v>232</v>
      </c>
      <c r="E53" t="s">
        <v>234</v>
      </c>
      <c r="F53" s="17">
        <v>57318</v>
      </c>
      <c r="G53" s="17">
        <v>1762</v>
      </c>
      <c r="H53" s="17">
        <v>59080</v>
      </c>
      <c r="I53">
        <f>VLOOKUP(C53,LEAIDs!$A$2:$B$305,2,FALSE)</f>
        <v>0</v>
      </c>
    </row>
    <row r="54" spans="1:9" x14ac:dyDescent="0.2">
      <c r="A54">
        <v>0</v>
      </c>
      <c r="B54">
        <v>2016</v>
      </c>
      <c r="C54" t="s">
        <v>193</v>
      </c>
      <c r="D54" t="s">
        <v>232</v>
      </c>
      <c r="E54" t="s">
        <v>234</v>
      </c>
      <c r="F54" s="17">
        <v>54271</v>
      </c>
      <c r="G54" s="17">
        <v>1790</v>
      </c>
      <c r="H54" s="17">
        <v>56061</v>
      </c>
      <c r="I54">
        <f>VLOOKUP(C54,LEAIDs!$A$2:$B$305,2,FALSE)</f>
        <v>0</v>
      </c>
    </row>
    <row r="55" spans="1:9" x14ac:dyDescent="0.2">
      <c r="A55">
        <v>0</v>
      </c>
      <c r="B55">
        <v>2017</v>
      </c>
      <c r="C55" t="s">
        <v>193</v>
      </c>
      <c r="D55" t="s">
        <v>232</v>
      </c>
      <c r="E55" t="s">
        <v>234</v>
      </c>
      <c r="F55" s="17">
        <v>64935</v>
      </c>
      <c r="G55" s="17">
        <v>2243</v>
      </c>
      <c r="H55" s="17">
        <v>67178</v>
      </c>
      <c r="I55">
        <f>VLOOKUP(C55,LEAIDs!$A$2:$B$305,2,FALSE)</f>
        <v>0</v>
      </c>
    </row>
    <row r="56" spans="1:9" x14ac:dyDescent="0.2">
      <c r="A56">
        <v>0</v>
      </c>
      <c r="B56">
        <v>2018</v>
      </c>
      <c r="C56" t="s">
        <v>193</v>
      </c>
      <c r="D56" t="s">
        <v>232</v>
      </c>
      <c r="E56" t="s">
        <v>234</v>
      </c>
      <c r="F56" s="17">
        <v>71737</v>
      </c>
      <c r="G56" s="17">
        <v>2361</v>
      </c>
      <c r="H56" s="17">
        <v>74098</v>
      </c>
      <c r="I56">
        <f>VLOOKUP(C56,LEAIDs!$A$2:$B$305,2,FALSE)</f>
        <v>0</v>
      </c>
    </row>
    <row r="57" spans="1:9" x14ac:dyDescent="0.2">
      <c r="A57">
        <v>0</v>
      </c>
      <c r="B57">
        <v>2019</v>
      </c>
      <c r="C57" t="s">
        <v>193</v>
      </c>
      <c r="D57" t="s">
        <v>232</v>
      </c>
      <c r="E57" t="s">
        <v>234</v>
      </c>
      <c r="F57" s="17">
        <v>71411</v>
      </c>
      <c r="G57" s="17">
        <v>2397</v>
      </c>
      <c r="H57" s="17">
        <v>73808</v>
      </c>
      <c r="I57">
        <f>VLOOKUP(C57,LEAIDs!$A$2:$B$305,2,FALSE)</f>
        <v>0</v>
      </c>
    </row>
    <row r="58" spans="1:9" x14ac:dyDescent="0.2">
      <c r="A58">
        <v>0</v>
      </c>
      <c r="B58">
        <v>2020</v>
      </c>
      <c r="C58" t="s">
        <v>193</v>
      </c>
      <c r="D58" t="s">
        <v>232</v>
      </c>
      <c r="E58" t="s">
        <v>234</v>
      </c>
      <c r="F58" s="17">
        <v>70385</v>
      </c>
      <c r="G58" s="17">
        <v>2484</v>
      </c>
      <c r="H58" s="17">
        <v>72869</v>
      </c>
      <c r="I58">
        <f>VLOOKUP(C58,LEAIDs!$A$2:$B$305,2,FALSE)</f>
        <v>0</v>
      </c>
    </row>
    <row r="59" spans="1:9" x14ac:dyDescent="0.2">
      <c r="A59">
        <v>0</v>
      </c>
      <c r="B59" s="2">
        <v>2021</v>
      </c>
      <c r="C59" s="4" t="s">
        <v>193</v>
      </c>
      <c r="D59" s="2" t="s">
        <v>232</v>
      </c>
      <c r="E59" s="2" t="s">
        <v>234</v>
      </c>
      <c r="F59" s="16">
        <v>47704</v>
      </c>
      <c r="G59" s="16">
        <v>1660</v>
      </c>
      <c r="H59" s="15">
        <v>49364</v>
      </c>
      <c r="I59">
        <f>VLOOKUP(C59,LEAIDs!$A$2:$B$305,2,FALSE)</f>
        <v>0</v>
      </c>
    </row>
    <row r="60" spans="1:9" x14ac:dyDescent="0.2">
      <c r="A60">
        <v>0</v>
      </c>
      <c r="B60" s="2">
        <v>2022</v>
      </c>
      <c r="C60" s="4" t="s">
        <v>193</v>
      </c>
      <c r="D60" s="2" t="s">
        <v>232</v>
      </c>
      <c r="E60" s="2" t="s">
        <v>234</v>
      </c>
      <c r="F60" s="16">
        <v>49061</v>
      </c>
      <c r="G60" s="16">
        <v>1753</v>
      </c>
      <c r="H60" s="15">
        <v>50814</v>
      </c>
      <c r="I60">
        <f>VLOOKUP(C60,LEAIDs!$A$2:$B$305,2,FALSE)</f>
        <v>0</v>
      </c>
    </row>
    <row r="61" spans="1:9" x14ac:dyDescent="0.2">
      <c r="A61">
        <v>0</v>
      </c>
      <c r="B61" s="2">
        <v>2023</v>
      </c>
      <c r="C61" s="2" t="s">
        <v>193</v>
      </c>
      <c r="D61" s="2" t="s">
        <v>232</v>
      </c>
      <c r="E61" s="2" t="s">
        <v>234</v>
      </c>
      <c r="F61" s="15">
        <v>53271</v>
      </c>
      <c r="G61" s="15">
        <v>1899</v>
      </c>
      <c r="H61" s="15">
        <v>55170</v>
      </c>
      <c r="I61">
        <f>VLOOKUP(C61,LEAIDs!$A$2:$B$305,2,FALSE)</f>
        <v>0</v>
      </c>
    </row>
    <row r="62" spans="1:9" x14ac:dyDescent="0.2">
      <c r="A62">
        <v>0</v>
      </c>
      <c r="B62">
        <v>2015</v>
      </c>
      <c r="C62" t="s">
        <v>108</v>
      </c>
      <c r="D62" t="s">
        <v>232</v>
      </c>
      <c r="E62" t="s">
        <v>234</v>
      </c>
      <c r="F62" s="17">
        <v>5177155</v>
      </c>
      <c r="G62" s="17">
        <v>159149</v>
      </c>
      <c r="H62" s="17">
        <v>5336304</v>
      </c>
      <c r="I62">
        <f>VLOOKUP(C62,LEAIDs!$A$2:$B$305,2,FALSE)</f>
        <v>0</v>
      </c>
    </row>
    <row r="63" spans="1:9" x14ac:dyDescent="0.2">
      <c r="A63">
        <v>0</v>
      </c>
      <c r="B63">
        <v>2016</v>
      </c>
      <c r="C63" t="s">
        <v>108</v>
      </c>
      <c r="D63" t="s">
        <v>232</v>
      </c>
      <c r="E63" t="s">
        <v>234</v>
      </c>
      <c r="F63" s="17">
        <v>5267547</v>
      </c>
      <c r="G63" s="17">
        <v>173750</v>
      </c>
      <c r="H63" s="17">
        <v>5441297</v>
      </c>
      <c r="I63">
        <f>VLOOKUP(C63,LEAIDs!$A$2:$B$305,2,FALSE)</f>
        <v>0</v>
      </c>
    </row>
    <row r="64" spans="1:9" x14ac:dyDescent="0.2">
      <c r="A64">
        <v>0</v>
      </c>
      <c r="B64">
        <v>2017</v>
      </c>
      <c r="C64" t="s">
        <v>108</v>
      </c>
      <c r="D64" t="s">
        <v>232</v>
      </c>
      <c r="E64" t="s">
        <v>234</v>
      </c>
      <c r="F64" s="17">
        <v>4790644</v>
      </c>
      <c r="G64" s="17">
        <v>165467</v>
      </c>
      <c r="H64" s="17">
        <v>4956111</v>
      </c>
      <c r="I64">
        <f>VLOOKUP(C64,LEAIDs!$A$2:$B$305,2,FALSE)</f>
        <v>0</v>
      </c>
    </row>
    <row r="65" spans="1:9" x14ac:dyDescent="0.2">
      <c r="A65">
        <v>0</v>
      </c>
      <c r="B65">
        <v>2018</v>
      </c>
      <c r="C65" t="s">
        <v>108</v>
      </c>
      <c r="D65" t="s">
        <v>232</v>
      </c>
      <c r="E65" t="s">
        <v>234</v>
      </c>
      <c r="F65" s="17">
        <v>4687507</v>
      </c>
      <c r="G65" s="17">
        <v>154259</v>
      </c>
      <c r="H65" s="17">
        <v>4841766</v>
      </c>
      <c r="I65">
        <f>VLOOKUP(C65,LEAIDs!$A$2:$B$305,2,FALSE)</f>
        <v>0</v>
      </c>
    </row>
    <row r="66" spans="1:9" x14ac:dyDescent="0.2">
      <c r="A66">
        <v>0</v>
      </c>
      <c r="B66">
        <v>2019</v>
      </c>
      <c r="C66" t="s">
        <v>108</v>
      </c>
      <c r="D66" t="s">
        <v>232</v>
      </c>
      <c r="E66" t="s">
        <v>234</v>
      </c>
      <c r="F66" s="17">
        <v>4629776</v>
      </c>
      <c r="G66" s="17">
        <v>155383</v>
      </c>
      <c r="H66" s="17">
        <v>4785159</v>
      </c>
      <c r="I66">
        <f>VLOOKUP(C66,LEAIDs!$A$2:$B$305,2,FALSE)</f>
        <v>0</v>
      </c>
    </row>
    <row r="67" spans="1:9" x14ac:dyDescent="0.2">
      <c r="A67">
        <v>0</v>
      </c>
      <c r="B67">
        <v>2020</v>
      </c>
      <c r="C67" t="s">
        <v>108</v>
      </c>
      <c r="D67" t="s">
        <v>232</v>
      </c>
      <c r="E67" t="s">
        <v>234</v>
      </c>
      <c r="F67" s="17">
        <v>4998295</v>
      </c>
      <c r="G67" s="17">
        <v>176382</v>
      </c>
      <c r="H67" s="17">
        <v>5174677</v>
      </c>
      <c r="I67">
        <f>VLOOKUP(C67,LEAIDs!$A$2:$B$305,2,FALSE)</f>
        <v>0</v>
      </c>
    </row>
    <row r="68" spans="1:9" x14ac:dyDescent="0.2">
      <c r="A68">
        <v>0</v>
      </c>
      <c r="B68" s="2">
        <v>2021</v>
      </c>
      <c r="C68" s="4" t="s">
        <v>108</v>
      </c>
      <c r="D68" s="2" t="s">
        <v>232</v>
      </c>
      <c r="E68" s="2" t="s">
        <v>234</v>
      </c>
      <c r="F68" s="16">
        <v>4571005</v>
      </c>
      <c r="G68" s="16">
        <v>159104</v>
      </c>
      <c r="H68" s="15">
        <v>4730109</v>
      </c>
      <c r="I68">
        <f>VLOOKUP(C68,LEAIDs!$A$2:$B$305,2,FALSE)</f>
        <v>0</v>
      </c>
    </row>
    <row r="69" spans="1:9" x14ac:dyDescent="0.2">
      <c r="A69">
        <v>0</v>
      </c>
      <c r="B69" s="2">
        <v>2022</v>
      </c>
      <c r="C69" s="4" t="s">
        <v>108</v>
      </c>
      <c r="D69" s="2" t="s">
        <v>232</v>
      </c>
      <c r="E69" s="2" t="s">
        <v>234</v>
      </c>
      <c r="F69" s="16">
        <v>4283683</v>
      </c>
      <c r="G69" s="16">
        <v>153046</v>
      </c>
      <c r="H69" s="15">
        <v>4436729</v>
      </c>
      <c r="I69">
        <f>VLOOKUP(C69,LEAIDs!$A$2:$B$305,2,FALSE)</f>
        <v>0</v>
      </c>
    </row>
    <row r="70" spans="1:9" x14ac:dyDescent="0.2">
      <c r="A70">
        <v>0</v>
      </c>
      <c r="B70" s="2">
        <v>2023</v>
      </c>
      <c r="C70" s="2" t="s">
        <v>108</v>
      </c>
      <c r="D70" s="2" t="s">
        <v>232</v>
      </c>
      <c r="E70" s="2" t="s">
        <v>234</v>
      </c>
      <c r="F70" s="15">
        <v>4319657</v>
      </c>
      <c r="G70" s="15">
        <v>154003</v>
      </c>
      <c r="H70" s="15">
        <v>4473660</v>
      </c>
      <c r="I70">
        <f>VLOOKUP(C70,LEAIDs!$A$2:$B$305,2,FALSE)</f>
        <v>0</v>
      </c>
    </row>
    <row r="71" spans="1:9" x14ac:dyDescent="0.2">
      <c r="A71">
        <v>0</v>
      </c>
      <c r="B71">
        <v>2015</v>
      </c>
      <c r="C71" t="s">
        <v>136</v>
      </c>
      <c r="D71" t="s">
        <v>232</v>
      </c>
      <c r="E71" t="s">
        <v>234</v>
      </c>
      <c r="F71" s="17">
        <v>440175</v>
      </c>
      <c r="G71" s="17">
        <v>13531</v>
      </c>
      <c r="H71" s="17">
        <v>453706</v>
      </c>
      <c r="I71">
        <f>VLOOKUP(C71,LEAIDs!$A$2:$B$305,2,FALSE)</f>
        <v>0</v>
      </c>
    </row>
    <row r="72" spans="1:9" x14ac:dyDescent="0.2">
      <c r="A72">
        <v>0</v>
      </c>
      <c r="B72">
        <v>2016</v>
      </c>
      <c r="C72" t="s">
        <v>136</v>
      </c>
      <c r="D72" t="s">
        <v>232</v>
      </c>
      <c r="E72" t="s">
        <v>234</v>
      </c>
      <c r="F72" s="17">
        <v>405520</v>
      </c>
      <c r="G72" s="17">
        <v>13376</v>
      </c>
      <c r="H72" s="17">
        <v>418896</v>
      </c>
      <c r="I72">
        <f>VLOOKUP(C72,LEAIDs!$A$2:$B$305,2,FALSE)</f>
        <v>0</v>
      </c>
    </row>
    <row r="73" spans="1:9" x14ac:dyDescent="0.2">
      <c r="A73">
        <v>0</v>
      </c>
      <c r="B73">
        <v>2017</v>
      </c>
      <c r="C73" t="s">
        <v>136</v>
      </c>
      <c r="D73" t="s">
        <v>232</v>
      </c>
      <c r="E73" t="s">
        <v>234</v>
      </c>
      <c r="F73" s="17">
        <v>483848</v>
      </c>
      <c r="G73" s="17">
        <v>16712</v>
      </c>
      <c r="H73" s="17">
        <v>500560</v>
      </c>
      <c r="I73">
        <f>VLOOKUP(C73,LEAIDs!$A$2:$B$305,2,FALSE)</f>
        <v>0</v>
      </c>
    </row>
    <row r="74" spans="1:9" x14ac:dyDescent="0.2">
      <c r="A74">
        <v>0</v>
      </c>
      <c r="B74">
        <v>2018</v>
      </c>
      <c r="C74" t="s">
        <v>136</v>
      </c>
      <c r="D74" t="s">
        <v>232</v>
      </c>
      <c r="E74" t="s">
        <v>234</v>
      </c>
      <c r="F74" s="17">
        <v>501571</v>
      </c>
      <c r="G74" s="17">
        <v>16506</v>
      </c>
      <c r="H74" s="17">
        <v>518077</v>
      </c>
      <c r="I74">
        <f>VLOOKUP(C74,LEAIDs!$A$2:$B$305,2,FALSE)</f>
        <v>0</v>
      </c>
    </row>
    <row r="75" spans="1:9" x14ac:dyDescent="0.2">
      <c r="A75">
        <v>0</v>
      </c>
      <c r="B75">
        <v>2019</v>
      </c>
      <c r="C75" t="s">
        <v>136</v>
      </c>
      <c r="D75" t="s">
        <v>232</v>
      </c>
      <c r="E75" t="s">
        <v>234</v>
      </c>
      <c r="F75" s="17">
        <v>470228</v>
      </c>
      <c r="G75" s="17">
        <v>15782</v>
      </c>
      <c r="H75" s="17">
        <v>486010</v>
      </c>
      <c r="I75">
        <f>VLOOKUP(C75,LEAIDs!$A$2:$B$305,2,FALSE)</f>
        <v>0</v>
      </c>
    </row>
    <row r="76" spans="1:9" x14ac:dyDescent="0.2">
      <c r="A76">
        <v>0</v>
      </c>
      <c r="B76">
        <v>2020</v>
      </c>
      <c r="C76" t="s">
        <v>136</v>
      </c>
      <c r="D76" t="s">
        <v>232</v>
      </c>
      <c r="E76" t="s">
        <v>234</v>
      </c>
      <c r="F76" s="17">
        <v>503370</v>
      </c>
      <c r="G76" s="17">
        <v>17763</v>
      </c>
      <c r="H76" s="17">
        <v>521133</v>
      </c>
      <c r="I76">
        <f>VLOOKUP(C76,LEAIDs!$A$2:$B$305,2,FALSE)</f>
        <v>0</v>
      </c>
    </row>
    <row r="77" spans="1:9" x14ac:dyDescent="0.2">
      <c r="A77">
        <v>0</v>
      </c>
      <c r="B77" s="2">
        <v>2021</v>
      </c>
      <c r="C77" s="4" t="s">
        <v>136</v>
      </c>
      <c r="D77" s="2" t="s">
        <v>232</v>
      </c>
      <c r="E77" s="2" t="s">
        <v>234</v>
      </c>
      <c r="F77" s="16">
        <v>520406</v>
      </c>
      <c r="G77" s="16">
        <v>18114</v>
      </c>
      <c r="H77" s="15">
        <v>538520</v>
      </c>
      <c r="I77">
        <f>VLOOKUP(C77,LEAIDs!$A$2:$B$305,2,FALSE)</f>
        <v>0</v>
      </c>
    </row>
    <row r="78" spans="1:9" x14ac:dyDescent="0.2">
      <c r="A78">
        <v>0</v>
      </c>
      <c r="B78" s="2">
        <v>2022</v>
      </c>
      <c r="C78" s="4" t="s">
        <v>136</v>
      </c>
      <c r="D78" s="2" t="s">
        <v>232</v>
      </c>
      <c r="E78" s="2" t="s">
        <v>234</v>
      </c>
      <c r="F78" s="16">
        <v>550698</v>
      </c>
      <c r="G78" s="16">
        <v>19675</v>
      </c>
      <c r="H78" s="15">
        <v>570373</v>
      </c>
      <c r="I78">
        <f>VLOOKUP(C78,LEAIDs!$A$2:$B$305,2,FALSE)</f>
        <v>0</v>
      </c>
    </row>
    <row r="79" spans="1:9" x14ac:dyDescent="0.2">
      <c r="A79">
        <v>0</v>
      </c>
      <c r="B79" s="2">
        <v>2023</v>
      </c>
      <c r="C79" s="2" t="s">
        <v>136</v>
      </c>
      <c r="D79" s="2" t="s">
        <v>232</v>
      </c>
      <c r="E79" s="2" t="s">
        <v>234</v>
      </c>
      <c r="F79" s="15">
        <v>580707</v>
      </c>
      <c r="G79" s="15">
        <v>20703</v>
      </c>
      <c r="H79" s="15">
        <v>601410</v>
      </c>
      <c r="I79">
        <f>VLOOKUP(C79,LEAIDs!$A$2:$B$305,2,FALSE)</f>
        <v>0</v>
      </c>
    </row>
    <row r="80" spans="1:9" x14ac:dyDescent="0.2">
      <c r="A80">
        <v>0</v>
      </c>
      <c r="B80">
        <v>2015</v>
      </c>
      <c r="C80" t="s">
        <v>143</v>
      </c>
      <c r="D80" t="s">
        <v>232</v>
      </c>
      <c r="E80" t="s">
        <v>234</v>
      </c>
      <c r="F80" s="17">
        <v>868492</v>
      </c>
      <c r="G80" s="17">
        <v>26698</v>
      </c>
      <c r="H80" s="17">
        <v>895190</v>
      </c>
      <c r="I80">
        <f>VLOOKUP(C80,LEAIDs!$A$2:$B$305,2,FALSE)</f>
        <v>0</v>
      </c>
    </row>
    <row r="81" spans="1:9" x14ac:dyDescent="0.2">
      <c r="A81">
        <v>0</v>
      </c>
      <c r="B81">
        <v>2016</v>
      </c>
      <c r="C81" t="s">
        <v>143</v>
      </c>
      <c r="D81" t="s">
        <v>232</v>
      </c>
      <c r="E81" t="s">
        <v>234</v>
      </c>
      <c r="F81" s="17">
        <v>864929</v>
      </c>
      <c r="G81" s="17">
        <v>28530</v>
      </c>
      <c r="H81" s="17">
        <v>893459</v>
      </c>
      <c r="I81">
        <f>VLOOKUP(C81,LEAIDs!$A$2:$B$305,2,FALSE)</f>
        <v>0</v>
      </c>
    </row>
    <row r="82" spans="1:9" x14ac:dyDescent="0.2">
      <c r="A82">
        <v>0</v>
      </c>
      <c r="B82">
        <v>2017</v>
      </c>
      <c r="C82" t="s">
        <v>143</v>
      </c>
      <c r="D82" t="s">
        <v>232</v>
      </c>
      <c r="E82" t="s">
        <v>234</v>
      </c>
      <c r="F82" s="17">
        <v>879922</v>
      </c>
      <c r="G82" s="17">
        <v>30392</v>
      </c>
      <c r="H82" s="17">
        <v>910314</v>
      </c>
      <c r="I82">
        <f>VLOOKUP(C82,LEAIDs!$A$2:$B$305,2,FALSE)</f>
        <v>0</v>
      </c>
    </row>
    <row r="83" spans="1:9" x14ac:dyDescent="0.2">
      <c r="A83">
        <v>0</v>
      </c>
      <c r="B83">
        <v>2018</v>
      </c>
      <c r="C83" t="s">
        <v>143</v>
      </c>
      <c r="D83" t="s">
        <v>232</v>
      </c>
      <c r="E83" t="s">
        <v>234</v>
      </c>
      <c r="F83" s="17">
        <v>985656</v>
      </c>
      <c r="G83" s="17">
        <v>32436</v>
      </c>
      <c r="H83" s="17">
        <v>1018092</v>
      </c>
      <c r="I83">
        <f>VLOOKUP(C83,LEAIDs!$A$2:$B$305,2,FALSE)</f>
        <v>0</v>
      </c>
    </row>
    <row r="84" spans="1:9" x14ac:dyDescent="0.2">
      <c r="A84">
        <v>0</v>
      </c>
      <c r="B84">
        <v>2019</v>
      </c>
      <c r="C84" t="s">
        <v>143</v>
      </c>
      <c r="D84" t="s">
        <v>232</v>
      </c>
      <c r="E84" t="s">
        <v>234</v>
      </c>
      <c r="F84" s="17">
        <v>1036211</v>
      </c>
      <c r="G84" s="17">
        <v>34777</v>
      </c>
      <c r="H84" s="17">
        <v>1070988</v>
      </c>
      <c r="I84">
        <f>VLOOKUP(C84,LEAIDs!$A$2:$B$305,2,FALSE)</f>
        <v>0</v>
      </c>
    </row>
    <row r="85" spans="1:9" x14ac:dyDescent="0.2">
      <c r="A85">
        <v>0</v>
      </c>
      <c r="B85">
        <v>2020</v>
      </c>
      <c r="C85" t="s">
        <v>143</v>
      </c>
      <c r="D85" t="s">
        <v>232</v>
      </c>
      <c r="E85" t="s">
        <v>234</v>
      </c>
      <c r="F85" s="17">
        <v>1023418</v>
      </c>
      <c r="G85" s="17">
        <v>36115</v>
      </c>
      <c r="H85" s="17">
        <v>1059533</v>
      </c>
      <c r="I85">
        <f>VLOOKUP(C85,LEAIDs!$A$2:$B$305,2,FALSE)</f>
        <v>0</v>
      </c>
    </row>
    <row r="86" spans="1:9" x14ac:dyDescent="0.2">
      <c r="A86">
        <v>0</v>
      </c>
      <c r="B86" s="2">
        <v>2021</v>
      </c>
      <c r="C86" s="4" t="s">
        <v>143</v>
      </c>
      <c r="D86" s="2" t="s">
        <v>232</v>
      </c>
      <c r="E86" s="2" t="s">
        <v>234</v>
      </c>
      <c r="F86" s="16">
        <v>993803</v>
      </c>
      <c r="G86" s="16">
        <v>34592</v>
      </c>
      <c r="H86" s="15">
        <v>1028395</v>
      </c>
      <c r="I86">
        <f>VLOOKUP(C86,LEAIDs!$A$2:$B$305,2,FALSE)</f>
        <v>0</v>
      </c>
    </row>
    <row r="87" spans="1:9" x14ac:dyDescent="0.2">
      <c r="A87">
        <v>0</v>
      </c>
      <c r="B87" s="2">
        <v>2022</v>
      </c>
      <c r="C87" s="4" t="s">
        <v>143</v>
      </c>
      <c r="D87" s="2" t="s">
        <v>232</v>
      </c>
      <c r="E87" s="2" t="s">
        <v>234</v>
      </c>
      <c r="F87" s="16">
        <v>1128920</v>
      </c>
      <c r="G87" s="16">
        <v>40334</v>
      </c>
      <c r="H87" s="15">
        <v>1169254</v>
      </c>
      <c r="I87">
        <f>VLOOKUP(C87,LEAIDs!$A$2:$B$305,2,FALSE)</f>
        <v>0</v>
      </c>
    </row>
    <row r="88" spans="1:9" x14ac:dyDescent="0.2">
      <c r="A88">
        <v>0</v>
      </c>
      <c r="B88" s="2">
        <v>2023</v>
      </c>
      <c r="C88" s="2" t="s">
        <v>143</v>
      </c>
      <c r="D88" s="2" t="s">
        <v>232</v>
      </c>
      <c r="E88" s="2" t="s">
        <v>234</v>
      </c>
      <c r="F88" s="15">
        <v>1150110</v>
      </c>
      <c r="G88" s="15">
        <v>41003</v>
      </c>
      <c r="H88" s="15">
        <v>1191113</v>
      </c>
      <c r="I88">
        <f>VLOOKUP(C88,LEAIDs!$A$2:$B$305,2,FALSE)</f>
        <v>0</v>
      </c>
    </row>
    <row r="89" spans="1:9" x14ac:dyDescent="0.2">
      <c r="A89">
        <v>0</v>
      </c>
      <c r="B89">
        <v>2015</v>
      </c>
      <c r="C89" t="s">
        <v>218</v>
      </c>
      <c r="D89" t="s">
        <v>232</v>
      </c>
      <c r="E89" t="s">
        <v>234</v>
      </c>
      <c r="F89" s="17">
        <v>185469</v>
      </c>
      <c r="G89" s="17">
        <v>5701</v>
      </c>
      <c r="H89" s="17">
        <v>191170</v>
      </c>
      <c r="I89">
        <f>VLOOKUP(C89,LEAIDs!$A$2:$B$305,2,FALSE)</f>
        <v>0</v>
      </c>
    </row>
    <row r="90" spans="1:9" x14ac:dyDescent="0.2">
      <c r="A90">
        <v>0</v>
      </c>
      <c r="B90">
        <v>2016</v>
      </c>
      <c r="C90" t="s">
        <v>218</v>
      </c>
      <c r="D90" t="s">
        <v>232</v>
      </c>
      <c r="E90" t="s">
        <v>234</v>
      </c>
      <c r="F90" s="17">
        <v>165151</v>
      </c>
      <c r="G90" s="17">
        <v>5448</v>
      </c>
      <c r="H90" s="17">
        <v>170599</v>
      </c>
      <c r="I90">
        <f>VLOOKUP(C90,LEAIDs!$A$2:$B$305,2,FALSE)</f>
        <v>0</v>
      </c>
    </row>
    <row r="91" spans="1:9" x14ac:dyDescent="0.2">
      <c r="A91">
        <v>0</v>
      </c>
      <c r="B91">
        <v>2017</v>
      </c>
      <c r="C91" t="s">
        <v>218</v>
      </c>
      <c r="D91" t="s">
        <v>232</v>
      </c>
      <c r="E91" t="s">
        <v>234</v>
      </c>
      <c r="F91" s="17">
        <v>163550</v>
      </c>
      <c r="G91" s="17">
        <v>5649</v>
      </c>
      <c r="H91" s="17">
        <v>169199</v>
      </c>
      <c r="I91">
        <f>VLOOKUP(C91,LEAIDs!$A$2:$B$305,2,FALSE)</f>
        <v>0</v>
      </c>
    </row>
    <row r="92" spans="1:9" x14ac:dyDescent="0.2">
      <c r="A92">
        <v>0</v>
      </c>
      <c r="B92">
        <v>2018</v>
      </c>
      <c r="C92" t="s">
        <v>218</v>
      </c>
      <c r="D92" t="s">
        <v>232</v>
      </c>
      <c r="E92" t="s">
        <v>234</v>
      </c>
      <c r="F92" s="17">
        <v>166501</v>
      </c>
      <c r="G92" s="17">
        <v>5479</v>
      </c>
      <c r="H92" s="17">
        <v>171980</v>
      </c>
      <c r="I92">
        <f>VLOOKUP(C92,LEAIDs!$A$2:$B$305,2,FALSE)</f>
        <v>0</v>
      </c>
    </row>
    <row r="93" spans="1:9" x14ac:dyDescent="0.2">
      <c r="A93">
        <v>0</v>
      </c>
      <c r="B93">
        <v>2019</v>
      </c>
      <c r="C93" t="s">
        <v>218</v>
      </c>
      <c r="D93" t="s">
        <v>232</v>
      </c>
      <c r="E93" t="s">
        <v>234</v>
      </c>
      <c r="F93" s="17">
        <v>170172</v>
      </c>
      <c r="G93" s="17">
        <v>5711</v>
      </c>
      <c r="H93" s="17">
        <v>175883</v>
      </c>
      <c r="I93">
        <f>VLOOKUP(C93,LEAIDs!$A$2:$B$305,2,FALSE)</f>
        <v>0</v>
      </c>
    </row>
    <row r="94" spans="1:9" x14ac:dyDescent="0.2">
      <c r="A94">
        <v>0</v>
      </c>
      <c r="B94">
        <v>2020</v>
      </c>
      <c r="C94" t="s">
        <v>218</v>
      </c>
      <c r="D94" t="s">
        <v>232</v>
      </c>
      <c r="E94" t="s">
        <v>234</v>
      </c>
      <c r="F94" s="17">
        <v>172355</v>
      </c>
      <c r="G94" s="17">
        <v>6082</v>
      </c>
      <c r="H94" s="17">
        <v>178437</v>
      </c>
      <c r="I94">
        <f>VLOOKUP(C94,LEAIDs!$A$2:$B$305,2,FALSE)</f>
        <v>0</v>
      </c>
    </row>
    <row r="95" spans="1:9" x14ac:dyDescent="0.2">
      <c r="A95">
        <v>0</v>
      </c>
      <c r="B95" s="2">
        <v>2021</v>
      </c>
      <c r="C95" s="4" t="s">
        <v>218</v>
      </c>
      <c r="D95" s="2" t="s">
        <v>232</v>
      </c>
      <c r="E95" s="2" t="s">
        <v>234</v>
      </c>
      <c r="F95" s="16">
        <v>114909</v>
      </c>
      <c r="G95" s="16">
        <v>4000</v>
      </c>
      <c r="H95" s="15">
        <v>118909</v>
      </c>
      <c r="I95">
        <f>VLOOKUP(C95,LEAIDs!$A$2:$B$305,2,FALSE)</f>
        <v>0</v>
      </c>
    </row>
    <row r="96" spans="1:9" x14ac:dyDescent="0.2">
      <c r="A96">
        <v>0</v>
      </c>
      <c r="B96" s="2">
        <v>2022</v>
      </c>
      <c r="C96" s="4" t="s">
        <v>218</v>
      </c>
      <c r="D96" s="2" t="s">
        <v>232</v>
      </c>
      <c r="E96" s="2" t="s">
        <v>234</v>
      </c>
      <c r="F96" s="16">
        <v>83486</v>
      </c>
      <c r="G96" s="16">
        <v>2983</v>
      </c>
      <c r="H96" s="15">
        <v>86469</v>
      </c>
      <c r="I96">
        <f>VLOOKUP(C96,LEAIDs!$A$2:$B$305,2,FALSE)</f>
        <v>0</v>
      </c>
    </row>
    <row r="97" spans="1:9" x14ac:dyDescent="0.2">
      <c r="A97">
        <v>0</v>
      </c>
      <c r="B97" s="2">
        <v>2023</v>
      </c>
      <c r="C97" s="2" t="s">
        <v>218</v>
      </c>
      <c r="D97" s="2" t="s">
        <v>232</v>
      </c>
      <c r="E97" s="2" t="s">
        <v>234</v>
      </c>
      <c r="F97" s="15">
        <v>149389</v>
      </c>
      <c r="G97" s="15">
        <v>5326</v>
      </c>
      <c r="H97" s="15">
        <v>154715</v>
      </c>
      <c r="I97">
        <f>VLOOKUP(C97,LEAIDs!$A$2:$B$305,2,FALSE)</f>
        <v>0</v>
      </c>
    </row>
    <row r="98" spans="1:9" x14ac:dyDescent="0.2">
      <c r="A98">
        <v>0</v>
      </c>
      <c r="B98">
        <v>2015</v>
      </c>
      <c r="C98" t="s">
        <v>219</v>
      </c>
      <c r="D98" t="s">
        <v>232</v>
      </c>
      <c r="E98" t="s">
        <v>234</v>
      </c>
      <c r="F98" s="17">
        <v>602926</v>
      </c>
      <c r="G98" s="17">
        <v>18534</v>
      </c>
      <c r="H98" s="17">
        <v>621460</v>
      </c>
      <c r="I98">
        <f>VLOOKUP(C98,LEAIDs!$A$2:$B$305,2,FALSE)</f>
        <v>0</v>
      </c>
    </row>
    <row r="99" spans="1:9" x14ac:dyDescent="0.2">
      <c r="A99">
        <v>0</v>
      </c>
      <c r="B99">
        <v>2016</v>
      </c>
      <c r="C99" t="s">
        <v>219</v>
      </c>
      <c r="D99" t="s">
        <v>232</v>
      </c>
      <c r="E99" t="s">
        <v>234</v>
      </c>
      <c r="F99" s="17">
        <v>538910</v>
      </c>
      <c r="G99" s="17">
        <v>17776</v>
      </c>
      <c r="H99" s="17">
        <v>556686</v>
      </c>
      <c r="I99">
        <f>VLOOKUP(C99,LEAIDs!$A$2:$B$305,2,FALSE)</f>
        <v>0</v>
      </c>
    </row>
    <row r="100" spans="1:9" x14ac:dyDescent="0.2">
      <c r="A100">
        <v>0</v>
      </c>
      <c r="B100">
        <v>2017</v>
      </c>
      <c r="C100" t="s">
        <v>219</v>
      </c>
      <c r="D100" t="s">
        <v>232</v>
      </c>
      <c r="E100" t="s">
        <v>234</v>
      </c>
      <c r="F100" s="17">
        <v>1528452</v>
      </c>
      <c r="G100" s="17">
        <v>52792</v>
      </c>
      <c r="H100" s="17">
        <v>1581244</v>
      </c>
      <c r="I100">
        <f>VLOOKUP(C100,LEAIDs!$A$2:$B$305,2,FALSE)</f>
        <v>0</v>
      </c>
    </row>
    <row r="101" spans="1:9" x14ac:dyDescent="0.2">
      <c r="A101">
        <v>0</v>
      </c>
      <c r="B101">
        <v>2018</v>
      </c>
      <c r="C101" t="s">
        <v>219</v>
      </c>
      <c r="D101" t="s">
        <v>232</v>
      </c>
      <c r="E101" t="s">
        <v>234</v>
      </c>
      <c r="F101" s="17">
        <v>1884817</v>
      </c>
      <c r="G101" s="17">
        <v>62026</v>
      </c>
      <c r="H101" s="17">
        <v>1946843</v>
      </c>
      <c r="I101">
        <f>VLOOKUP(C101,LEAIDs!$A$2:$B$305,2,FALSE)</f>
        <v>0</v>
      </c>
    </row>
    <row r="102" spans="1:9" x14ac:dyDescent="0.2">
      <c r="A102">
        <v>0</v>
      </c>
      <c r="B102">
        <v>2019</v>
      </c>
      <c r="C102" t="s">
        <v>219</v>
      </c>
      <c r="D102" t="s">
        <v>232</v>
      </c>
      <c r="E102" t="s">
        <v>234</v>
      </c>
      <c r="F102" s="17">
        <v>2156370</v>
      </c>
      <c r="G102" s="17">
        <v>72371</v>
      </c>
      <c r="H102" s="17">
        <v>2228741</v>
      </c>
      <c r="I102">
        <f>VLOOKUP(C102,LEAIDs!$A$2:$B$305,2,FALSE)</f>
        <v>0</v>
      </c>
    </row>
    <row r="103" spans="1:9" x14ac:dyDescent="0.2">
      <c r="A103">
        <v>0</v>
      </c>
      <c r="B103">
        <v>2020</v>
      </c>
      <c r="C103" t="s">
        <v>219</v>
      </c>
      <c r="D103" t="s">
        <v>232</v>
      </c>
      <c r="E103" t="s">
        <v>234</v>
      </c>
      <c r="F103" s="17">
        <v>2265352</v>
      </c>
      <c r="G103" s="17">
        <v>79941</v>
      </c>
      <c r="H103" s="17">
        <v>2345293</v>
      </c>
      <c r="I103">
        <f>VLOOKUP(C103,LEAIDs!$A$2:$B$305,2,FALSE)</f>
        <v>0</v>
      </c>
    </row>
    <row r="104" spans="1:9" x14ac:dyDescent="0.2">
      <c r="A104">
        <v>0</v>
      </c>
      <c r="B104" s="2">
        <v>2021</v>
      </c>
      <c r="C104" s="4" t="s">
        <v>219</v>
      </c>
      <c r="D104" s="2" t="s">
        <v>232</v>
      </c>
      <c r="E104" s="2" t="s">
        <v>234</v>
      </c>
      <c r="F104" s="16">
        <v>2382615</v>
      </c>
      <c r="G104" s="16">
        <v>82932</v>
      </c>
      <c r="H104" s="15">
        <v>2465547</v>
      </c>
      <c r="I104">
        <f>VLOOKUP(C104,LEAIDs!$A$2:$B$305,2,FALSE)</f>
        <v>0</v>
      </c>
    </row>
    <row r="105" spans="1:9" x14ac:dyDescent="0.2">
      <c r="A105">
        <v>0</v>
      </c>
      <c r="B105" s="2">
        <v>2022</v>
      </c>
      <c r="C105" s="4" t="s">
        <v>219</v>
      </c>
      <c r="D105" s="2" t="s">
        <v>232</v>
      </c>
      <c r="E105" s="2" t="s">
        <v>234</v>
      </c>
      <c r="F105" s="16">
        <v>2443487</v>
      </c>
      <c r="G105" s="16">
        <v>87300</v>
      </c>
      <c r="H105" s="15">
        <v>2530787</v>
      </c>
      <c r="I105">
        <f>VLOOKUP(C105,LEAIDs!$A$2:$B$305,2,FALSE)</f>
        <v>0</v>
      </c>
    </row>
    <row r="106" spans="1:9" x14ac:dyDescent="0.2">
      <c r="A106">
        <v>0</v>
      </c>
      <c r="B106" s="2">
        <v>2023</v>
      </c>
      <c r="C106" s="2" t="s">
        <v>219</v>
      </c>
      <c r="D106" s="2" t="s">
        <v>232</v>
      </c>
      <c r="E106" s="2" t="s">
        <v>234</v>
      </c>
      <c r="F106" s="15">
        <v>2738896</v>
      </c>
      <c r="G106" s="15">
        <v>97646</v>
      </c>
      <c r="H106" s="15">
        <v>2836542</v>
      </c>
      <c r="I106">
        <f>VLOOKUP(C106,LEAIDs!$A$2:$B$305,2,FALSE)</f>
        <v>0</v>
      </c>
    </row>
    <row r="107" spans="1:9" x14ac:dyDescent="0.2">
      <c r="A107">
        <v>0</v>
      </c>
      <c r="B107" s="2">
        <v>2023</v>
      </c>
      <c r="C107" s="2" t="s">
        <v>214</v>
      </c>
      <c r="D107" s="2" t="s">
        <v>232</v>
      </c>
      <c r="E107" s="2" t="s">
        <v>234</v>
      </c>
      <c r="F107" s="15">
        <v>380793</v>
      </c>
      <c r="G107" s="15">
        <v>13576</v>
      </c>
      <c r="H107" s="15">
        <v>394369</v>
      </c>
      <c r="I107">
        <f>VLOOKUP(C107,LEAIDs!$A$2:$B$305,2,FALSE)</f>
        <v>0</v>
      </c>
    </row>
    <row r="108" spans="1:9" x14ac:dyDescent="0.2">
      <c r="A108">
        <v>0</v>
      </c>
      <c r="B108">
        <v>2015</v>
      </c>
      <c r="C108" t="s">
        <v>255</v>
      </c>
      <c r="D108" t="s">
        <v>232</v>
      </c>
      <c r="E108" t="s">
        <v>234</v>
      </c>
      <c r="F108" s="17">
        <v>319488</v>
      </c>
      <c r="G108" s="17">
        <v>9821</v>
      </c>
      <c r="H108" s="17">
        <v>329309</v>
      </c>
      <c r="I108">
        <f>VLOOKUP(C108,LEAIDs!$A$2:$B$305,2,FALSE)</f>
        <v>0</v>
      </c>
    </row>
    <row r="109" spans="1:9" x14ac:dyDescent="0.2">
      <c r="A109">
        <v>0</v>
      </c>
      <c r="B109">
        <v>2016</v>
      </c>
      <c r="C109" t="s">
        <v>255</v>
      </c>
      <c r="D109" t="s">
        <v>232</v>
      </c>
      <c r="E109" t="s">
        <v>234</v>
      </c>
      <c r="F109" s="17">
        <v>169957</v>
      </c>
      <c r="G109" s="17">
        <v>5606</v>
      </c>
      <c r="H109" s="17">
        <v>175563</v>
      </c>
      <c r="I109">
        <f>VLOOKUP(C109,LEAIDs!$A$2:$B$305,2,FALSE)</f>
        <v>0</v>
      </c>
    </row>
    <row r="110" spans="1:9" x14ac:dyDescent="0.2">
      <c r="A110">
        <v>0</v>
      </c>
      <c r="B110">
        <v>2017</v>
      </c>
      <c r="C110" t="s">
        <v>255</v>
      </c>
      <c r="D110" t="s">
        <v>232</v>
      </c>
      <c r="E110" t="s">
        <v>234</v>
      </c>
      <c r="F110" s="17">
        <v>288650</v>
      </c>
      <c r="G110" s="17">
        <v>9970</v>
      </c>
      <c r="H110" s="17">
        <v>298620</v>
      </c>
      <c r="I110">
        <f>VLOOKUP(C110,LEAIDs!$A$2:$B$305,2,FALSE)</f>
        <v>0</v>
      </c>
    </row>
    <row r="111" spans="1:9" x14ac:dyDescent="0.2">
      <c r="A111">
        <v>0</v>
      </c>
      <c r="B111">
        <v>2018</v>
      </c>
      <c r="C111" t="s">
        <v>255</v>
      </c>
      <c r="D111" t="s">
        <v>232</v>
      </c>
      <c r="E111" t="s">
        <v>234</v>
      </c>
      <c r="F111" s="17">
        <v>308377</v>
      </c>
      <c r="G111" s="17">
        <v>10148</v>
      </c>
      <c r="H111" s="17">
        <v>318525</v>
      </c>
      <c r="I111">
        <f>VLOOKUP(C111,LEAIDs!$A$2:$B$305,2,FALSE)</f>
        <v>0</v>
      </c>
    </row>
    <row r="112" spans="1:9" x14ac:dyDescent="0.2">
      <c r="A112">
        <v>0</v>
      </c>
      <c r="B112">
        <v>2019</v>
      </c>
      <c r="C112" t="s">
        <v>255</v>
      </c>
      <c r="D112" t="s">
        <v>232</v>
      </c>
      <c r="E112" t="s">
        <v>234</v>
      </c>
      <c r="F112" s="17">
        <v>360038</v>
      </c>
      <c r="G112" s="17">
        <v>12083</v>
      </c>
      <c r="H112" s="17">
        <v>372121</v>
      </c>
      <c r="I112">
        <f>VLOOKUP(C112,LEAIDs!$A$2:$B$305,2,FALSE)</f>
        <v>0</v>
      </c>
    </row>
    <row r="113" spans="1:9" x14ac:dyDescent="0.2">
      <c r="A113">
        <v>0</v>
      </c>
      <c r="B113">
        <v>2020</v>
      </c>
      <c r="C113" t="s">
        <v>255</v>
      </c>
      <c r="D113" t="s">
        <v>232</v>
      </c>
      <c r="E113" t="s">
        <v>234</v>
      </c>
      <c r="F113" s="17">
        <v>386004</v>
      </c>
      <c r="G113" s="17">
        <v>13621</v>
      </c>
      <c r="H113" s="17">
        <v>399625</v>
      </c>
      <c r="I113">
        <f>VLOOKUP(C113,LEAIDs!$A$2:$B$305,2,FALSE)</f>
        <v>0</v>
      </c>
    </row>
    <row r="114" spans="1:9" x14ac:dyDescent="0.2">
      <c r="A114">
        <v>0</v>
      </c>
      <c r="B114" s="2">
        <v>2021</v>
      </c>
      <c r="C114" s="4" t="s">
        <v>255</v>
      </c>
      <c r="D114" s="2" t="s">
        <v>232</v>
      </c>
      <c r="E114" s="2" t="s">
        <v>234</v>
      </c>
      <c r="F114" s="16">
        <v>355897</v>
      </c>
      <c r="G114" s="16">
        <v>12388</v>
      </c>
      <c r="H114" s="15">
        <v>368285</v>
      </c>
      <c r="I114">
        <f>VLOOKUP(C114,LEAIDs!$A$2:$B$305,2,FALSE)</f>
        <v>0</v>
      </c>
    </row>
    <row r="115" spans="1:9" x14ac:dyDescent="0.2">
      <c r="A115">
        <v>0</v>
      </c>
      <c r="B115" s="2">
        <v>2022</v>
      </c>
      <c r="C115" s="4" t="s">
        <v>255</v>
      </c>
      <c r="D115" s="2" t="s">
        <v>232</v>
      </c>
      <c r="E115" s="2" t="s">
        <v>234</v>
      </c>
      <c r="F115" s="16">
        <v>351086</v>
      </c>
      <c r="G115" s="16">
        <v>12543</v>
      </c>
      <c r="H115" s="15">
        <v>363629</v>
      </c>
      <c r="I115">
        <f>VLOOKUP(C115,LEAIDs!$A$2:$B$305,2,FALSE)</f>
        <v>0</v>
      </c>
    </row>
    <row r="116" spans="1:9" x14ac:dyDescent="0.2">
      <c r="A116">
        <v>0</v>
      </c>
      <c r="B116">
        <v>2015</v>
      </c>
      <c r="C116" t="s">
        <v>103</v>
      </c>
      <c r="D116" t="s">
        <v>232</v>
      </c>
      <c r="E116" t="s">
        <v>234</v>
      </c>
      <c r="F116" s="17">
        <v>3949827</v>
      </c>
      <c r="G116" s="17">
        <v>121420</v>
      </c>
      <c r="H116" s="17">
        <v>4071247</v>
      </c>
      <c r="I116">
        <f>VLOOKUP(C116,LEAIDs!$A$2:$B$305,2,FALSE)</f>
        <v>0</v>
      </c>
    </row>
    <row r="117" spans="1:9" x14ac:dyDescent="0.2">
      <c r="A117">
        <v>0</v>
      </c>
      <c r="B117">
        <v>2016</v>
      </c>
      <c r="C117" t="s">
        <v>103</v>
      </c>
      <c r="D117" t="s">
        <v>232</v>
      </c>
      <c r="E117" t="s">
        <v>234</v>
      </c>
      <c r="F117" s="17">
        <v>3713563</v>
      </c>
      <c r="G117" s="17">
        <v>122492</v>
      </c>
      <c r="H117" s="17">
        <v>3836055</v>
      </c>
      <c r="I117">
        <f>VLOOKUP(C117,LEAIDs!$A$2:$B$305,2,FALSE)</f>
        <v>0</v>
      </c>
    </row>
    <row r="118" spans="1:9" x14ac:dyDescent="0.2">
      <c r="A118">
        <v>0</v>
      </c>
      <c r="B118">
        <v>2017</v>
      </c>
      <c r="C118" t="s">
        <v>103</v>
      </c>
      <c r="D118" t="s">
        <v>232</v>
      </c>
      <c r="E118" t="s">
        <v>234</v>
      </c>
      <c r="F118" s="17">
        <v>3320875</v>
      </c>
      <c r="G118" s="17">
        <v>114702</v>
      </c>
      <c r="H118" s="17">
        <v>3435577</v>
      </c>
      <c r="I118">
        <f>VLOOKUP(C118,LEAIDs!$A$2:$B$305,2,FALSE)</f>
        <v>0</v>
      </c>
    </row>
    <row r="119" spans="1:9" x14ac:dyDescent="0.2">
      <c r="A119">
        <v>0</v>
      </c>
      <c r="B119">
        <v>2018</v>
      </c>
      <c r="C119" t="s">
        <v>103</v>
      </c>
      <c r="D119" t="s">
        <v>232</v>
      </c>
      <c r="E119" t="s">
        <v>234</v>
      </c>
      <c r="F119" s="17">
        <v>3484235</v>
      </c>
      <c r="G119" s="17">
        <v>114661</v>
      </c>
      <c r="H119" s="17">
        <v>3598896</v>
      </c>
      <c r="I119">
        <f>VLOOKUP(C119,LEAIDs!$A$2:$B$305,2,FALSE)</f>
        <v>0</v>
      </c>
    </row>
    <row r="120" spans="1:9" x14ac:dyDescent="0.2">
      <c r="A120">
        <v>0</v>
      </c>
      <c r="B120">
        <v>2019</v>
      </c>
      <c r="C120" t="s">
        <v>103</v>
      </c>
      <c r="D120" t="s">
        <v>232</v>
      </c>
      <c r="E120" t="s">
        <v>234</v>
      </c>
      <c r="F120" s="17">
        <v>3742193</v>
      </c>
      <c r="G120" s="17">
        <v>125594</v>
      </c>
      <c r="H120" s="17">
        <v>3867787</v>
      </c>
      <c r="I120">
        <f>VLOOKUP(C120,LEAIDs!$A$2:$B$305,2,FALSE)</f>
        <v>0</v>
      </c>
    </row>
    <row r="121" spans="1:9" x14ac:dyDescent="0.2">
      <c r="A121">
        <v>0</v>
      </c>
      <c r="B121">
        <v>2020</v>
      </c>
      <c r="C121" t="s">
        <v>103</v>
      </c>
      <c r="D121" t="s">
        <v>232</v>
      </c>
      <c r="E121" t="s">
        <v>234</v>
      </c>
      <c r="F121" s="17">
        <v>3825718</v>
      </c>
      <c r="G121" s="17">
        <v>135004</v>
      </c>
      <c r="H121" s="17">
        <v>3960722</v>
      </c>
      <c r="I121">
        <f>VLOOKUP(C121,LEAIDs!$A$2:$B$305,2,FALSE)</f>
        <v>0</v>
      </c>
    </row>
    <row r="122" spans="1:9" x14ac:dyDescent="0.2">
      <c r="A122">
        <v>0</v>
      </c>
      <c r="B122" s="2">
        <v>2021</v>
      </c>
      <c r="C122" s="4" t="s">
        <v>103</v>
      </c>
      <c r="D122" s="2" t="s">
        <v>232</v>
      </c>
      <c r="E122" s="2" t="s">
        <v>234</v>
      </c>
      <c r="F122" s="16">
        <v>3431746</v>
      </c>
      <c r="G122" s="16">
        <v>119450</v>
      </c>
      <c r="H122" s="15">
        <v>3551196</v>
      </c>
      <c r="I122">
        <f>VLOOKUP(C122,LEAIDs!$A$2:$B$305,2,FALSE)</f>
        <v>0</v>
      </c>
    </row>
    <row r="123" spans="1:9" x14ac:dyDescent="0.2">
      <c r="A123">
        <v>0</v>
      </c>
      <c r="B123" s="2">
        <v>2022</v>
      </c>
      <c r="C123" s="4" t="s">
        <v>103</v>
      </c>
      <c r="D123" s="2" t="s">
        <v>232</v>
      </c>
      <c r="E123" s="2" t="s">
        <v>234</v>
      </c>
      <c r="F123" s="16">
        <v>3455142</v>
      </c>
      <c r="G123" s="16">
        <v>123444</v>
      </c>
      <c r="H123" s="15">
        <v>3578586</v>
      </c>
      <c r="I123">
        <f>VLOOKUP(C123,LEAIDs!$A$2:$B$305,2,FALSE)</f>
        <v>0</v>
      </c>
    </row>
    <row r="124" spans="1:9" x14ac:dyDescent="0.2">
      <c r="A124">
        <v>0</v>
      </c>
      <c r="B124" s="2">
        <v>2023</v>
      </c>
      <c r="C124" s="2" t="s">
        <v>103</v>
      </c>
      <c r="D124" s="2" t="s">
        <v>232</v>
      </c>
      <c r="E124" s="2" t="s">
        <v>234</v>
      </c>
      <c r="F124" s="15">
        <v>3871422</v>
      </c>
      <c r="G124" s="15">
        <v>138023</v>
      </c>
      <c r="H124" s="15">
        <v>4009445</v>
      </c>
      <c r="I124">
        <f>VLOOKUP(C124,LEAIDs!$A$2:$B$305,2,FALSE)</f>
        <v>0</v>
      </c>
    </row>
    <row r="125" spans="1:9" x14ac:dyDescent="0.2">
      <c r="A125">
        <v>0</v>
      </c>
      <c r="B125">
        <v>2016</v>
      </c>
      <c r="C125" t="s">
        <v>179</v>
      </c>
      <c r="D125" t="s">
        <v>232</v>
      </c>
      <c r="E125" t="s">
        <v>234</v>
      </c>
      <c r="F125" s="17">
        <v>23077</v>
      </c>
      <c r="G125" s="17">
        <v>761</v>
      </c>
      <c r="H125" s="17">
        <v>23838</v>
      </c>
      <c r="I125">
        <f>VLOOKUP(C125,LEAIDs!$A$2:$B$305,2,FALSE)</f>
        <v>0</v>
      </c>
    </row>
    <row r="126" spans="1:9" x14ac:dyDescent="0.2">
      <c r="A126">
        <v>0</v>
      </c>
      <c r="B126">
        <v>2017</v>
      </c>
      <c r="C126" t="s">
        <v>179</v>
      </c>
      <c r="D126" t="s">
        <v>232</v>
      </c>
      <c r="E126" t="s">
        <v>234</v>
      </c>
      <c r="F126" s="17">
        <v>24701</v>
      </c>
      <c r="G126" s="17">
        <v>853</v>
      </c>
      <c r="H126" s="17">
        <v>25554</v>
      </c>
      <c r="I126">
        <f>VLOOKUP(C126,LEAIDs!$A$2:$B$305,2,FALSE)</f>
        <v>0</v>
      </c>
    </row>
    <row r="127" spans="1:9" x14ac:dyDescent="0.2">
      <c r="A127">
        <v>0</v>
      </c>
      <c r="B127">
        <v>2018</v>
      </c>
      <c r="C127" t="s">
        <v>179</v>
      </c>
      <c r="D127" t="s">
        <v>232</v>
      </c>
      <c r="E127" t="s">
        <v>234</v>
      </c>
      <c r="F127" s="17">
        <v>25779</v>
      </c>
      <c r="G127" s="17">
        <v>848</v>
      </c>
      <c r="H127" s="17">
        <v>26627</v>
      </c>
      <c r="I127">
        <f>VLOOKUP(C127,LEAIDs!$A$2:$B$305,2,FALSE)</f>
        <v>0</v>
      </c>
    </row>
    <row r="128" spans="1:9" x14ac:dyDescent="0.2">
      <c r="A128">
        <v>0</v>
      </c>
      <c r="B128">
        <v>2019</v>
      </c>
      <c r="C128" t="s">
        <v>179</v>
      </c>
      <c r="D128" t="s">
        <v>232</v>
      </c>
      <c r="E128" t="s">
        <v>234</v>
      </c>
      <c r="F128" s="17">
        <v>50926</v>
      </c>
      <c r="G128" s="17">
        <v>1709</v>
      </c>
      <c r="H128" s="17">
        <v>52635</v>
      </c>
      <c r="I128">
        <f>VLOOKUP(C128,LEAIDs!$A$2:$B$305,2,FALSE)</f>
        <v>0</v>
      </c>
    </row>
    <row r="129" spans="1:9" x14ac:dyDescent="0.2">
      <c r="A129">
        <v>0</v>
      </c>
      <c r="B129">
        <v>2020</v>
      </c>
      <c r="C129" t="s">
        <v>179</v>
      </c>
      <c r="D129" t="s">
        <v>232</v>
      </c>
      <c r="E129" t="s">
        <v>234</v>
      </c>
      <c r="F129" s="17">
        <v>54427</v>
      </c>
      <c r="G129" s="17">
        <v>1921</v>
      </c>
      <c r="H129" s="17">
        <v>56348</v>
      </c>
      <c r="I129">
        <f>VLOOKUP(C129,LEAIDs!$A$2:$B$305,2,FALSE)</f>
        <v>0</v>
      </c>
    </row>
    <row r="130" spans="1:9" x14ac:dyDescent="0.2">
      <c r="A130">
        <v>0</v>
      </c>
      <c r="B130" s="2">
        <v>2021</v>
      </c>
      <c r="C130" s="4" t="s">
        <v>179</v>
      </c>
      <c r="D130" s="2" t="s">
        <v>232</v>
      </c>
      <c r="E130" s="2" t="s">
        <v>234</v>
      </c>
      <c r="F130" s="16">
        <v>99512</v>
      </c>
      <c r="G130" s="16">
        <v>3464</v>
      </c>
      <c r="H130" s="15">
        <v>102976</v>
      </c>
      <c r="I130">
        <f>VLOOKUP(C130,LEAIDs!$A$2:$B$305,2,FALSE)</f>
        <v>0</v>
      </c>
    </row>
    <row r="131" spans="1:9" x14ac:dyDescent="0.2">
      <c r="A131">
        <v>0</v>
      </c>
      <c r="B131" s="2">
        <v>2022</v>
      </c>
      <c r="C131" s="4" t="s">
        <v>179</v>
      </c>
      <c r="D131" s="2" t="s">
        <v>232</v>
      </c>
      <c r="E131" s="2" t="s">
        <v>234</v>
      </c>
      <c r="F131" s="16">
        <v>48782</v>
      </c>
      <c r="G131" s="16">
        <v>1743</v>
      </c>
      <c r="H131" s="15">
        <v>50525</v>
      </c>
      <c r="I131">
        <f>VLOOKUP(C131,LEAIDs!$A$2:$B$305,2,FALSE)</f>
        <v>0</v>
      </c>
    </row>
    <row r="132" spans="1:9" x14ac:dyDescent="0.2">
      <c r="A132">
        <v>0</v>
      </c>
      <c r="B132" s="2">
        <v>2023</v>
      </c>
      <c r="C132" s="2" t="s">
        <v>179</v>
      </c>
      <c r="D132" s="2" t="s">
        <v>232</v>
      </c>
      <c r="E132" s="2" t="s">
        <v>234</v>
      </c>
      <c r="F132" s="15">
        <v>47392</v>
      </c>
      <c r="G132" s="15">
        <v>1690</v>
      </c>
      <c r="H132" s="15">
        <v>49082</v>
      </c>
      <c r="I132">
        <f>VLOOKUP(C132,LEAIDs!$A$2:$B$305,2,FALSE)</f>
        <v>0</v>
      </c>
    </row>
    <row r="133" spans="1:9" x14ac:dyDescent="0.2">
      <c r="A133">
        <v>2200125</v>
      </c>
      <c r="B133">
        <v>2015</v>
      </c>
      <c r="C133" t="s">
        <v>129</v>
      </c>
      <c r="D133" t="s">
        <v>232</v>
      </c>
      <c r="E133" t="s">
        <v>234</v>
      </c>
      <c r="F133" s="17">
        <v>5691584</v>
      </c>
      <c r="G133" s="17">
        <v>174963</v>
      </c>
      <c r="H133" s="17">
        <v>5866547</v>
      </c>
      <c r="I133">
        <f>VLOOKUP(C133,LEAIDs!$A$2:$B$305,2,FALSE)</f>
        <v>2200125</v>
      </c>
    </row>
    <row r="134" spans="1:9" x14ac:dyDescent="0.2">
      <c r="A134">
        <v>2200125</v>
      </c>
      <c r="B134">
        <v>2016</v>
      </c>
      <c r="C134" t="s">
        <v>129</v>
      </c>
      <c r="D134" t="s">
        <v>232</v>
      </c>
      <c r="E134" t="s">
        <v>234</v>
      </c>
      <c r="F134" s="17">
        <v>5645185</v>
      </c>
      <c r="G134" s="17">
        <v>186206</v>
      </c>
      <c r="H134" s="17">
        <v>5831391</v>
      </c>
      <c r="I134">
        <f>VLOOKUP(C134,LEAIDs!$A$2:$B$305,2,FALSE)</f>
        <v>2200125</v>
      </c>
    </row>
    <row r="135" spans="1:9" x14ac:dyDescent="0.2">
      <c r="A135">
        <v>2200125</v>
      </c>
      <c r="B135">
        <v>2017</v>
      </c>
      <c r="C135" t="s">
        <v>129</v>
      </c>
      <c r="D135" t="s">
        <v>232</v>
      </c>
      <c r="E135" t="s">
        <v>234</v>
      </c>
      <c r="F135" s="17">
        <v>5245896</v>
      </c>
      <c r="G135" s="17">
        <v>181191</v>
      </c>
      <c r="H135" s="17">
        <v>5427087</v>
      </c>
      <c r="I135">
        <f>VLOOKUP(C135,LEAIDs!$A$2:$B$305,2,FALSE)</f>
        <v>2200125</v>
      </c>
    </row>
    <row r="136" spans="1:9" x14ac:dyDescent="0.2">
      <c r="A136">
        <v>2200125</v>
      </c>
      <c r="B136">
        <v>2018</v>
      </c>
      <c r="C136" t="s">
        <v>129</v>
      </c>
      <c r="D136" t="s">
        <v>232</v>
      </c>
      <c r="E136" t="s">
        <v>234</v>
      </c>
      <c r="F136" s="17">
        <v>5973320</v>
      </c>
      <c r="G136" s="17">
        <v>196573</v>
      </c>
      <c r="H136" s="17">
        <v>6169893</v>
      </c>
      <c r="I136">
        <f>VLOOKUP(C136,LEAIDs!$A$2:$B$305,2,FALSE)</f>
        <v>2200125</v>
      </c>
    </row>
    <row r="137" spans="1:9" x14ac:dyDescent="0.2">
      <c r="A137">
        <v>2200125</v>
      </c>
      <c r="B137">
        <v>2019</v>
      </c>
      <c r="C137" t="s">
        <v>129</v>
      </c>
      <c r="D137" t="s">
        <v>232</v>
      </c>
      <c r="E137" t="s">
        <v>234</v>
      </c>
      <c r="F137" s="17">
        <v>5651150</v>
      </c>
      <c r="G137" s="17">
        <v>189662</v>
      </c>
      <c r="H137" s="17">
        <v>5840812</v>
      </c>
      <c r="I137">
        <f>VLOOKUP(C137,LEAIDs!$A$2:$B$305,2,FALSE)</f>
        <v>2200125</v>
      </c>
    </row>
    <row r="138" spans="1:9" x14ac:dyDescent="0.2">
      <c r="A138">
        <v>2200125</v>
      </c>
      <c r="B138">
        <v>2020</v>
      </c>
      <c r="C138" t="s">
        <v>129</v>
      </c>
      <c r="D138" t="s">
        <v>232</v>
      </c>
      <c r="E138" t="s">
        <v>234</v>
      </c>
      <c r="F138" s="17">
        <v>5796716</v>
      </c>
      <c r="G138" s="17">
        <v>204557</v>
      </c>
      <c r="H138" s="17">
        <v>6001273</v>
      </c>
      <c r="I138">
        <f>VLOOKUP(C138,LEAIDs!$A$2:$B$305,2,FALSE)</f>
        <v>2200125</v>
      </c>
    </row>
    <row r="139" spans="1:9" x14ac:dyDescent="0.2">
      <c r="A139">
        <v>2200125</v>
      </c>
      <c r="B139" s="2">
        <v>2021</v>
      </c>
      <c r="C139" s="4" t="s">
        <v>129</v>
      </c>
      <c r="D139" s="2" t="s">
        <v>232</v>
      </c>
      <c r="E139" s="2" t="s">
        <v>234</v>
      </c>
      <c r="F139" s="16">
        <v>6095243</v>
      </c>
      <c r="G139" s="16">
        <v>212159</v>
      </c>
      <c r="H139" s="15">
        <v>6307402</v>
      </c>
      <c r="I139">
        <f>VLOOKUP(C139,LEAIDs!$A$2:$B$305,2,FALSE)</f>
        <v>2200125</v>
      </c>
    </row>
    <row r="140" spans="1:9" x14ac:dyDescent="0.2">
      <c r="A140">
        <v>2200125</v>
      </c>
      <c r="B140" s="2">
        <v>2022</v>
      </c>
      <c r="C140" s="4" t="s">
        <v>129</v>
      </c>
      <c r="D140" s="2" t="s">
        <v>232</v>
      </c>
      <c r="E140" s="2" t="s">
        <v>234</v>
      </c>
      <c r="F140" s="16">
        <v>6281051</v>
      </c>
      <c r="G140" s="16">
        <v>224407</v>
      </c>
      <c r="H140" s="15">
        <v>6505458</v>
      </c>
      <c r="I140">
        <f>VLOOKUP(C140,LEAIDs!$A$2:$B$305,2,FALSE)</f>
        <v>2200125</v>
      </c>
    </row>
    <row r="141" spans="1:9" x14ac:dyDescent="0.2">
      <c r="A141">
        <v>2200125</v>
      </c>
      <c r="B141" s="2">
        <v>2023</v>
      </c>
      <c r="C141" s="2" t="s">
        <v>129</v>
      </c>
      <c r="D141" s="2" t="s">
        <v>232</v>
      </c>
      <c r="E141" s="2" t="s">
        <v>234</v>
      </c>
      <c r="F141" s="15">
        <v>6446358</v>
      </c>
      <c r="G141" s="15">
        <v>229823</v>
      </c>
      <c r="H141" s="15">
        <v>6676181</v>
      </c>
      <c r="I141">
        <f>VLOOKUP(C141,LEAIDs!$A$2:$B$305,2,FALSE)</f>
        <v>2200125</v>
      </c>
    </row>
    <row r="142" spans="1:9" x14ac:dyDescent="0.2">
      <c r="A142">
        <v>0</v>
      </c>
      <c r="B142">
        <v>2015</v>
      </c>
      <c r="C142" t="s">
        <v>98</v>
      </c>
      <c r="D142" t="s">
        <v>232</v>
      </c>
      <c r="E142" t="s">
        <v>234</v>
      </c>
      <c r="F142" s="17">
        <v>1351510</v>
      </c>
      <c r="G142" s="17">
        <v>41546</v>
      </c>
      <c r="H142" s="17">
        <v>1393056</v>
      </c>
      <c r="I142">
        <f>VLOOKUP(C142,LEAIDs!$A$2:$B$305,2,FALSE)</f>
        <v>0</v>
      </c>
    </row>
    <row r="143" spans="1:9" x14ac:dyDescent="0.2">
      <c r="A143">
        <v>0</v>
      </c>
      <c r="B143">
        <v>2016</v>
      </c>
      <c r="C143" t="s">
        <v>98</v>
      </c>
      <c r="D143" t="s">
        <v>232</v>
      </c>
      <c r="E143" t="s">
        <v>234</v>
      </c>
      <c r="F143" s="17">
        <v>1099057</v>
      </c>
      <c r="G143" s="17">
        <v>36252</v>
      </c>
      <c r="H143" s="17">
        <v>1135309</v>
      </c>
      <c r="I143">
        <f>VLOOKUP(C143,LEAIDs!$A$2:$B$305,2,FALSE)</f>
        <v>0</v>
      </c>
    </row>
    <row r="144" spans="1:9" x14ac:dyDescent="0.2">
      <c r="A144">
        <v>0</v>
      </c>
      <c r="B144">
        <v>2017</v>
      </c>
      <c r="C144" t="s">
        <v>98</v>
      </c>
      <c r="D144" t="s">
        <v>232</v>
      </c>
      <c r="E144" t="s">
        <v>234</v>
      </c>
      <c r="F144" s="17">
        <v>1344691</v>
      </c>
      <c r="G144" s="17">
        <v>46445</v>
      </c>
      <c r="H144" s="17">
        <v>1391136</v>
      </c>
      <c r="I144">
        <f>VLOOKUP(C144,LEAIDs!$A$2:$B$305,2,FALSE)</f>
        <v>0</v>
      </c>
    </row>
    <row r="145" spans="1:9" x14ac:dyDescent="0.2">
      <c r="A145">
        <v>0</v>
      </c>
      <c r="B145">
        <v>2018</v>
      </c>
      <c r="C145" t="s">
        <v>98</v>
      </c>
      <c r="D145" t="s">
        <v>232</v>
      </c>
      <c r="E145" t="s">
        <v>234</v>
      </c>
      <c r="F145" s="17">
        <v>1624164</v>
      </c>
      <c r="G145" s="17">
        <v>53449</v>
      </c>
      <c r="H145" s="17">
        <v>1677613</v>
      </c>
      <c r="I145">
        <f>VLOOKUP(C145,LEAIDs!$A$2:$B$305,2,FALSE)</f>
        <v>0</v>
      </c>
    </row>
    <row r="146" spans="1:9" x14ac:dyDescent="0.2">
      <c r="A146">
        <v>0</v>
      </c>
      <c r="B146">
        <v>2019</v>
      </c>
      <c r="C146" t="s">
        <v>98</v>
      </c>
      <c r="D146" t="s">
        <v>232</v>
      </c>
      <c r="E146" t="s">
        <v>234</v>
      </c>
      <c r="F146" s="17">
        <v>1680360</v>
      </c>
      <c r="G146" s="17">
        <v>56396</v>
      </c>
      <c r="H146" s="17">
        <v>1736756</v>
      </c>
      <c r="I146">
        <f>VLOOKUP(C146,LEAIDs!$A$2:$B$305,2,FALSE)</f>
        <v>0</v>
      </c>
    </row>
    <row r="147" spans="1:9" x14ac:dyDescent="0.2">
      <c r="A147">
        <v>0</v>
      </c>
      <c r="B147">
        <v>2020</v>
      </c>
      <c r="C147" t="s">
        <v>98</v>
      </c>
      <c r="D147" t="s">
        <v>232</v>
      </c>
      <c r="E147" t="s">
        <v>234</v>
      </c>
      <c r="F147" s="17">
        <v>1906788</v>
      </c>
      <c r="G147" s="17">
        <v>67288</v>
      </c>
      <c r="H147" s="17">
        <v>1974076</v>
      </c>
      <c r="I147">
        <f>VLOOKUP(C147,LEAIDs!$A$2:$B$305,2,FALSE)</f>
        <v>0</v>
      </c>
    </row>
    <row r="148" spans="1:9" x14ac:dyDescent="0.2">
      <c r="A148">
        <v>0</v>
      </c>
      <c r="B148" s="2">
        <v>2021</v>
      </c>
      <c r="C148" s="4" t="s">
        <v>98</v>
      </c>
      <c r="D148" s="2" t="s">
        <v>232</v>
      </c>
      <c r="E148" s="2" t="s">
        <v>234</v>
      </c>
      <c r="F148" s="16">
        <v>1619052</v>
      </c>
      <c r="G148" s="16">
        <v>56355</v>
      </c>
      <c r="H148" s="15">
        <v>1675407</v>
      </c>
      <c r="I148">
        <f>VLOOKUP(C148,LEAIDs!$A$2:$B$305,2,FALSE)</f>
        <v>0</v>
      </c>
    </row>
    <row r="149" spans="1:9" x14ac:dyDescent="0.2">
      <c r="A149">
        <v>0</v>
      </c>
      <c r="B149" s="2">
        <v>2022</v>
      </c>
      <c r="C149" s="4" t="s">
        <v>98</v>
      </c>
      <c r="D149" s="2" t="s">
        <v>232</v>
      </c>
      <c r="E149" s="2" t="s">
        <v>234</v>
      </c>
      <c r="F149" s="16">
        <v>1614617</v>
      </c>
      <c r="G149" s="16">
        <v>57686</v>
      </c>
      <c r="H149" s="15">
        <v>1672303</v>
      </c>
      <c r="I149">
        <f>VLOOKUP(C149,LEAIDs!$A$2:$B$305,2,FALSE)</f>
        <v>0</v>
      </c>
    </row>
    <row r="150" spans="1:9" x14ac:dyDescent="0.2">
      <c r="A150">
        <v>0</v>
      </c>
      <c r="B150" s="2">
        <v>2023</v>
      </c>
      <c r="C150" s="2" t="s">
        <v>98</v>
      </c>
      <c r="D150" s="2" t="s">
        <v>232</v>
      </c>
      <c r="E150" s="2" t="s">
        <v>234</v>
      </c>
      <c r="F150" s="15">
        <v>1435318</v>
      </c>
      <c r="G150" s="15">
        <v>51171</v>
      </c>
      <c r="H150" s="15">
        <v>1486489</v>
      </c>
      <c r="I150">
        <f>VLOOKUP(C150,LEAIDs!$A$2:$B$305,2,FALSE)</f>
        <v>0</v>
      </c>
    </row>
    <row r="151" spans="1:9" x14ac:dyDescent="0.2">
      <c r="A151">
        <v>0</v>
      </c>
      <c r="B151">
        <v>2015</v>
      </c>
      <c r="C151" t="s">
        <v>249</v>
      </c>
      <c r="D151" t="s">
        <v>232</v>
      </c>
      <c r="E151" t="s">
        <v>234</v>
      </c>
      <c r="F151" s="17">
        <v>19966</v>
      </c>
      <c r="G151" s="17">
        <v>614</v>
      </c>
      <c r="H151" s="17">
        <v>20580</v>
      </c>
      <c r="I151">
        <f>VLOOKUP(C151,LEAIDs!$A$2:$B$305,2,FALSE)</f>
        <v>0</v>
      </c>
    </row>
    <row r="152" spans="1:9" x14ac:dyDescent="0.2">
      <c r="A152">
        <v>0</v>
      </c>
      <c r="B152">
        <v>2016</v>
      </c>
      <c r="C152" t="s">
        <v>249</v>
      </c>
      <c r="D152" t="s">
        <v>232</v>
      </c>
      <c r="E152" t="s">
        <v>234</v>
      </c>
      <c r="F152" s="17">
        <v>19580</v>
      </c>
      <c r="G152" s="17">
        <v>646</v>
      </c>
      <c r="H152" s="17">
        <v>20226</v>
      </c>
      <c r="I152">
        <f>VLOOKUP(C152,LEAIDs!$A$2:$B$305,2,FALSE)</f>
        <v>0</v>
      </c>
    </row>
    <row r="153" spans="1:9" x14ac:dyDescent="0.2">
      <c r="A153">
        <v>0</v>
      </c>
      <c r="B153">
        <v>2017</v>
      </c>
      <c r="C153" t="s">
        <v>249</v>
      </c>
      <c r="D153" t="s">
        <v>232</v>
      </c>
      <c r="E153" t="s">
        <v>234</v>
      </c>
      <c r="F153" s="17">
        <v>19011</v>
      </c>
      <c r="G153" s="17">
        <v>657</v>
      </c>
      <c r="H153" s="17">
        <v>19668</v>
      </c>
      <c r="I153">
        <f>VLOOKUP(C153,LEAIDs!$A$2:$B$305,2,FALSE)</f>
        <v>0</v>
      </c>
    </row>
    <row r="154" spans="1:9" x14ac:dyDescent="0.2">
      <c r="A154">
        <v>0</v>
      </c>
      <c r="B154">
        <v>2018</v>
      </c>
      <c r="C154" t="s">
        <v>249</v>
      </c>
      <c r="D154" t="s">
        <v>232</v>
      </c>
      <c r="E154" t="s">
        <v>234</v>
      </c>
      <c r="F154" s="17">
        <v>19854</v>
      </c>
      <c r="G154" s="17">
        <v>653</v>
      </c>
      <c r="H154" s="17">
        <v>20507</v>
      </c>
      <c r="I154">
        <f>VLOOKUP(C154,LEAIDs!$A$2:$B$305,2,FALSE)</f>
        <v>0</v>
      </c>
    </row>
    <row r="155" spans="1:9" x14ac:dyDescent="0.2">
      <c r="A155">
        <v>0</v>
      </c>
      <c r="B155">
        <v>2019</v>
      </c>
      <c r="C155" t="s">
        <v>249</v>
      </c>
      <c r="D155" t="s">
        <v>232</v>
      </c>
      <c r="E155" t="s">
        <v>234</v>
      </c>
      <c r="F155" s="17">
        <v>20911</v>
      </c>
      <c r="G155" s="17">
        <v>702</v>
      </c>
      <c r="H155" s="17">
        <v>21613</v>
      </c>
      <c r="I155">
        <f>VLOOKUP(C155,LEAIDs!$A$2:$B$305,2,FALSE)</f>
        <v>0</v>
      </c>
    </row>
    <row r="156" spans="1:9" x14ac:dyDescent="0.2">
      <c r="A156">
        <v>0</v>
      </c>
      <c r="B156">
        <v>2020</v>
      </c>
      <c r="C156" t="s">
        <v>249</v>
      </c>
      <c r="D156" t="s">
        <v>232</v>
      </c>
      <c r="E156" t="s">
        <v>234</v>
      </c>
      <c r="F156" s="17">
        <v>21460</v>
      </c>
      <c r="G156" s="17">
        <v>757</v>
      </c>
      <c r="H156" s="17">
        <v>22217</v>
      </c>
      <c r="I156">
        <f>VLOOKUP(C156,LEAIDs!$A$2:$B$305,2,FALSE)</f>
        <v>0</v>
      </c>
    </row>
    <row r="157" spans="1:9" x14ac:dyDescent="0.2">
      <c r="A157">
        <v>0</v>
      </c>
      <c r="B157" s="2">
        <v>2021</v>
      </c>
      <c r="C157" s="4" t="s">
        <v>249</v>
      </c>
      <c r="D157" s="2" t="s">
        <v>232</v>
      </c>
      <c r="E157" s="2" t="s">
        <v>234</v>
      </c>
      <c r="F157" s="16">
        <v>21683</v>
      </c>
      <c r="G157" s="16">
        <v>755</v>
      </c>
      <c r="H157" s="15">
        <v>22438</v>
      </c>
      <c r="I157">
        <f>VLOOKUP(C157,LEAIDs!$A$2:$B$305,2,FALSE)</f>
        <v>0</v>
      </c>
    </row>
    <row r="158" spans="1:9" x14ac:dyDescent="0.2">
      <c r="A158">
        <v>0</v>
      </c>
      <c r="B158" s="2">
        <v>2022</v>
      </c>
      <c r="C158" s="4" t="s">
        <v>249</v>
      </c>
      <c r="D158" s="2" t="s">
        <v>232</v>
      </c>
      <c r="E158" s="2" t="s">
        <v>234</v>
      </c>
      <c r="F158" s="16">
        <v>21511</v>
      </c>
      <c r="G158" s="16">
        <v>769</v>
      </c>
      <c r="H158" s="15">
        <v>22280</v>
      </c>
      <c r="I158">
        <f>VLOOKUP(C158,LEAIDs!$A$2:$B$305,2,FALSE)</f>
        <v>0</v>
      </c>
    </row>
    <row r="159" spans="1:9" x14ac:dyDescent="0.2">
      <c r="A159">
        <v>0</v>
      </c>
      <c r="B159" s="2">
        <v>2023</v>
      </c>
      <c r="C159" s="2" t="s">
        <v>173</v>
      </c>
      <c r="D159" s="2" t="s">
        <v>232</v>
      </c>
      <c r="E159" s="2" t="s">
        <v>234</v>
      </c>
      <c r="F159" s="15">
        <v>22836</v>
      </c>
      <c r="G159" s="15">
        <v>814</v>
      </c>
      <c r="H159" s="15">
        <v>23650</v>
      </c>
      <c r="I159">
        <f>VLOOKUP(C159,LEAIDs!$A$2:$B$305,2,FALSE)</f>
        <v>0</v>
      </c>
    </row>
    <row r="160" spans="1:9" x14ac:dyDescent="0.2">
      <c r="A160">
        <v>0</v>
      </c>
      <c r="B160" s="2">
        <v>2023</v>
      </c>
      <c r="C160" s="2" t="s">
        <v>171</v>
      </c>
      <c r="D160" s="2" t="s">
        <v>232</v>
      </c>
      <c r="E160" s="2" t="s">
        <v>234</v>
      </c>
      <c r="F160" s="15">
        <v>34608</v>
      </c>
      <c r="G160" s="15">
        <v>1234</v>
      </c>
      <c r="H160" s="15">
        <v>35842</v>
      </c>
      <c r="I160">
        <f>VLOOKUP(C160,LEAIDs!$A$2:$B$305,2,FALSE)</f>
        <v>0</v>
      </c>
    </row>
    <row r="161" spans="1:9" x14ac:dyDescent="0.2">
      <c r="A161">
        <v>0</v>
      </c>
      <c r="B161">
        <v>2020</v>
      </c>
      <c r="C161" t="s">
        <v>268</v>
      </c>
      <c r="D161" t="s">
        <v>232</v>
      </c>
      <c r="E161" t="s">
        <v>234</v>
      </c>
      <c r="F161" s="17">
        <v>1969</v>
      </c>
      <c r="G161" s="17">
        <v>69</v>
      </c>
      <c r="H161" s="17">
        <v>2038</v>
      </c>
      <c r="I161">
        <f>VLOOKUP(C161,LEAIDs!$A$2:$B$305,2,FALSE)</f>
        <v>0</v>
      </c>
    </row>
    <row r="162" spans="1:9" x14ac:dyDescent="0.2">
      <c r="A162">
        <v>0</v>
      </c>
      <c r="B162" s="2">
        <v>2021</v>
      </c>
      <c r="C162" s="4" t="s">
        <v>268</v>
      </c>
      <c r="D162" s="2" t="s">
        <v>232</v>
      </c>
      <c r="E162" s="2" t="s">
        <v>234</v>
      </c>
      <c r="F162" s="16">
        <v>19141</v>
      </c>
      <c r="G162" s="16">
        <v>666</v>
      </c>
      <c r="H162" s="15">
        <v>19807</v>
      </c>
      <c r="I162">
        <f>VLOOKUP(C162,LEAIDs!$A$2:$B$305,2,FALSE)</f>
        <v>0</v>
      </c>
    </row>
    <row r="163" spans="1:9" x14ac:dyDescent="0.2">
      <c r="A163">
        <v>0</v>
      </c>
      <c r="B163" s="2">
        <v>2022</v>
      </c>
      <c r="C163" s="4" t="s">
        <v>248</v>
      </c>
      <c r="D163" s="2" t="s">
        <v>232</v>
      </c>
      <c r="E163" s="2" t="s">
        <v>234</v>
      </c>
      <c r="F163" s="16">
        <v>27196</v>
      </c>
      <c r="G163" s="16">
        <v>972</v>
      </c>
      <c r="H163" s="15">
        <v>28168</v>
      </c>
      <c r="I163">
        <f>VLOOKUP(C163,LEAIDs!$A$2:$B$305,2,FALSE)</f>
        <v>0</v>
      </c>
    </row>
    <row r="164" spans="1:9" x14ac:dyDescent="0.2">
      <c r="A164">
        <v>0</v>
      </c>
      <c r="B164">
        <v>2017</v>
      </c>
      <c r="C164" t="s">
        <v>247</v>
      </c>
      <c r="D164" t="s">
        <v>232</v>
      </c>
      <c r="E164" t="s">
        <v>234</v>
      </c>
      <c r="F164" s="17">
        <v>32086</v>
      </c>
      <c r="G164" s="17">
        <v>1108</v>
      </c>
      <c r="H164" s="17">
        <v>33194</v>
      </c>
      <c r="I164">
        <f>VLOOKUP(C164,LEAIDs!$A$2:$B$305,2,FALSE)</f>
        <v>0</v>
      </c>
    </row>
    <row r="165" spans="1:9" x14ac:dyDescent="0.2">
      <c r="A165">
        <v>0</v>
      </c>
      <c r="B165">
        <v>2018</v>
      </c>
      <c r="C165" t="s">
        <v>247</v>
      </c>
      <c r="D165" t="s">
        <v>232</v>
      </c>
      <c r="E165" t="s">
        <v>234</v>
      </c>
      <c r="F165" s="17">
        <v>11393</v>
      </c>
      <c r="G165" s="17">
        <v>375</v>
      </c>
      <c r="H165" s="17">
        <v>11768</v>
      </c>
      <c r="I165">
        <f>VLOOKUP(C165,LEAIDs!$A$2:$B$305,2,FALSE)</f>
        <v>0</v>
      </c>
    </row>
    <row r="166" spans="1:9" x14ac:dyDescent="0.2">
      <c r="A166">
        <v>0</v>
      </c>
      <c r="B166">
        <v>2019</v>
      </c>
      <c r="C166" t="s">
        <v>247</v>
      </c>
      <c r="D166" t="s">
        <v>232</v>
      </c>
      <c r="E166" t="s">
        <v>234</v>
      </c>
      <c r="F166" s="17">
        <v>12257</v>
      </c>
      <c r="G166" s="17">
        <v>411</v>
      </c>
      <c r="H166" s="17">
        <v>12668</v>
      </c>
      <c r="I166">
        <f>VLOOKUP(C166,LEAIDs!$A$2:$B$305,2,FALSE)</f>
        <v>0</v>
      </c>
    </row>
    <row r="167" spans="1:9" x14ac:dyDescent="0.2">
      <c r="A167">
        <v>0</v>
      </c>
      <c r="B167">
        <v>2020</v>
      </c>
      <c r="C167" t="s">
        <v>247</v>
      </c>
      <c r="D167" t="s">
        <v>232</v>
      </c>
      <c r="E167" t="s">
        <v>234</v>
      </c>
      <c r="F167" s="17">
        <v>28369</v>
      </c>
      <c r="G167" s="17">
        <v>1001</v>
      </c>
      <c r="H167" s="17">
        <v>29370</v>
      </c>
      <c r="I167">
        <f>VLOOKUP(C167,LEAIDs!$A$2:$B$305,2,FALSE)</f>
        <v>0</v>
      </c>
    </row>
    <row r="168" spans="1:9" x14ac:dyDescent="0.2">
      <c r="A168">
        <v>0</v>
      </c>
      <c r="B168" s="2">
        <v>2021</v>
      </c>
      <c r="C168" s="4" t="s">
        <v>247</v>
      </c>
      <c r="D168" s="2" t="s">
        <v>232</v>
      </c>
      <c r="E168" s="2" t="s">
        <v>234</v>
      </c>
      <c r="F168" s="16">
        <v>30559</v>
      </c>
      <c r="G168" s="16">
        <v>1064</v>
      </c>
      <c r="H168" s="15">
        <v>31623</v>
      </c>
      <c r="I168">
        <f>VLOOKUP(C168,LEAIDs!$A$2:$B$305,2,FALSE)</f>
        <v>0</v>
      </c>
    </row>
    <row r="169" spans="1:9" x14ac:dyDescent="0.2">
      <c r="A169">
        <v>0</v>
      </c>
      <c r="B169" s="2">
        <v>2022</v>
      </c>
      <c r="C169" s="4" t="s">
        <v>247</v>
      </c>
      <c r="D169" s="2" t="s">
        <v>232</v>
      </c>
      <c r="E169" s="2" t="s">
        <v>234</v>
      </c>
      <c r="F169" s="16">
        <v>31564</v>
      </c>
      <c r="G169" s="16">
        <v>1128</v>
      </c>
      <c r="H169" s="15">
        <v>32692</v>
      </c>
      <c r="I169">
        <f>VLOOKUP(C169,LEAIDs!$A$2:$B$305,2,FALSE)</f>
        <v>0</v>
      </c>
    </row>
    <row r="170" spans="1:9" x14ac:dyDescent="0.2">
      <c r="A170">
        <v>0</v>
      </c>
      <c r="B170">
        <v>2015</v>
      </c>
      <c r="C170" t="s">
        <v>198</v>
      </c>
      <c r="D170" t="s">
        <v>232</v>
      </c>
      <c r="E170" t="s">
        <v>234</v>
      </c>
      <c r="F170" s="17">
        <v>85892</v>
      </c>
      <c r="G170" s="17">
        <v>2640</v>
      </c>
      <c r="H170" s="17">
        <v>88532</v>
      </c>
      <c r="I170">
        <f>VLOOKUP(C170,LEAIDs!$A$2:$B$305,2,FALSE)</f>
        <v>0</v>
      </c>
    </row>
    <row r="171" spans="1:9" x14ac:dyDescent="0.2">
      <c r="A171">
        <v>0</v>
      </c>
      <c r="B171">
        <v>2016</v>
      </c>
      <c r="C171" t="s">
        <v>198</v>
      </c>
      <c r="D171" t="s">
        <v>232</v>
      </c>
      <c r="E171" t="s">
        <v>234</v>
      </c>
      <c r="F171" s="17">
        <v>69729</v>
      </c>
      <c r="G171" s="17">
        <v>2300</v>
      </c>
      <c r="H171" s="17">
        <v>72029</v>
      </c>
      <c r="I171">
        <f>VLOOKUP(C171,LEAIDs!$A$2:$B$305,2,FALSE)</f>
        <v>0</v>
      </c>
    </row>
    <row r="172" spans="1:9" x14ac:dyDescent="0.2">
      <c r="A172">
        <v>0</v>
      </c>
      <c r="B172">
        <v>2017</v>
      </c>
      <c r="C172" t="s">
        <v>198</v>
      </c>
      <c r="D172" t="s">
        <v>232</v>
      </c>
      <c r="E172" t="s">
        <v>234</v>
      </c>
      <c r="F172" s="17">
        <v>77931</v>
      </c>
      <c r="G172" s="17">
        <v>2692</v>
      </c>
      <c r="H172" s="17">
        <v>80623</v>
      </c>
      <c r="I172">
        <f>VLOOKUP(C172,LEAIDs!$A$2:$B$305,2,FALSE)</f>
        <v>0</v>
      </c>
    </row>
    <row r="173" spans="1:9" x14ac:dyDescent="0.2">
      <c r="A173">
        <v>0</v>
      </c>
      <c r="B173">
        <v>2018</v>
      </c>
      <c r="C173" t="s">
        <v>198</v>
      </c>
      <c r="D173" t="s">
        <v>232</v>
      </c>
      <c r="E173" t="s">
        <v>234</v>
      </c>
      <c r="F173" s="17">
        <v>83888</v>
      </c>
      <c r="G173" s="17">
        <v>2761</v>
      </c>
      <c r="H173" s="17">
        <v>86649</v>
      </c>
      <c r="I173">
        <f>VLOOKUP(C173,LEAIDs!$A$2:$B$305,2,FALSE)</f>
        <v>0</v>
      </c>
    </row>
    <row r="174" spans="1:9" x14ac:dyDescent="0.2">
      <c r="A174">
        <v>0</v>
      </c>
      <c r="B174">
        <v>2019</v>
      </c>
      <c r="C174" t="s">
        <v>198</v>
      </c>
      <c r="D174" t="s">
        <v>232</v>
      </c>
      <c r="E174" t="s">
        <v>234</v>
      </c>
      <c r="F174" s="17">
        <v>69549</v>
      </c>
      <c r="G174" s="17">
        <v>2334</v>
      </c>
      <c r="H174" s="17">
        <v>71883</v>
      </c>
      <c r="I174">
        <f>VLOOKUP(C174,LEAIDs!$A$2:$B$305,2,FALSE)</f>
        <v>0</v>
      </c>
    </row>
    <row r="175" spans="1:9" x14ac:dyDescent="0.2">
      <c r="A175">
        <v>0</v>
      </c>
      <c r="B175">
        <v>2020</v>
      </c>
      <c r="C175" t="s">
        <v>198</v>
      </c>
      <c r="D175" t="s">
        <v>232</v>
      </c>
      <c r="E175" t="s">
        <v>234</v>
      </c>
      <c r="F175" s="17">
        <v>86318</v>
      </c>
      <c r="G175" s="17">
        <v>3046</v>
      </c>
      <c r="H175" s="17">
        <v>89364</v>
      </c>
      <c r="I175">
        <f>VLOOKUP(C175,LEAIDs!$A$2:$B$305,2,FALSE)</f>
        <v>0</v>
      </c>
    </row>
    <row r="176" spans="1:9" x14ac:dyDescent="0.2">
      <c r="A176">
        <v>0</v>
      </c>
      <c r="B176" s="2">
        <v>2021</v>
      </c>
      <c r="C176" s="4" t="s">
        <v>198</v>
      </c>
      <c r="D176" s="2" t="s">
        <v>232</v>
      </c>
      <c r="E176" s="2" t="s">
        <v>234</v>
      </c>
      <c r="F176" s="16">
        <v>16240</v>
      </c>
      <c r="G176" s="16">
        <v>565</v>
      </c>
      <c r="H176" s="15">
        <v>16805</v>
      </c>
      <c r="I176">
        <f>VLOOKUP(C176,LEAIDs!$A$2:$B$305,2,FALSE)</f>
        <v>0</v>
      </c>
    </row>
    <row r="177" spans="1:9" x14ac:dyDescent="0.2">
      <c r="A177">
        <v>0</v>
      </c>
      <c r="B177" s="2">
        <v>2022</v>
      </c>
      <c r="C177" s="4" t="s">
        <v>198</v>
      </c>
      <c r="D177" s="2" t="s">
        <v>232</v>
      </c>
      <c r="E177" s="2" t="s">
        <v>234</v>
      </c>
      <c r="F177" s="16">
        <v>16371</v>
      </c>
      <c r="G177" s="16">
        <v>585</v>
      </c>
      <c r="H177" s="15">
        <v>16956</v>
      </c>
      <c r="I177">
        <f>VLOOKUP(C177,LEAIDs!$A$2:$B$305,2,FALSE)</f>
        <v>0</v>
      </c>
    </row>
    <row r="178" spans="1:9" x14ac:dyDescent="0.2">
      <c r="A178">
        <v>0</v>
      </c>
      <c r="B178" s="2">
        <v>2023</v>
      </c>
      <c r="C178" s="2" t="s">
        <v>198</v>
      </c>
      <c r="D178" s="2" t="s">
        <v>232</v>
      </c>
      <c r="E178" s="2" t="s">
        <v>234</v>
      </c>
      <c r="F178" s="15">
        <v>17131</v>
      </c>
      <c r="G178" s="15">
        <v>611</v>
      </c>
      <c r="H178" s="15">
        <v>17742</v>
      </c>
      <c r="I178">
        <f>VLOOKUP(C178,LEAIDs!$A$2:$B$305,2,FALSE)</f>
        <v>0</v>
      </c>
    </row>
    <row r="179" spans="1:9" x14ac:dyDescent="0.2">
      <c r="A179">
        <v>0</v>
      </c>
      <c r="B179">
        <v>2015</v>
      </c>
      <c r="C179" t="s">
        <v>78</v>
      </c>
      <c r="D179" t="s">
        <v>232</v>
      </c>
      <c r="E179" t="s">
        <v>234</v>
      </c>
      <c r="F179" s="17">
        <v>10415574</v>
      </c>
      <c r="G179" s="17">
        <v>320181</v>
      </c>
      <c r="H179" s="17">
        <v>10735755</v>
      </c>
      <c r="I179">
        <f>VLOOKUP(C179,LEAIDs!$A$2:$B$305,2,FALSE)</f>
        <v>0</v>
      </c>
    </row>
    <row r="180" spans="1:9" x14ac:dyDescent="0.2">
      <c r="A180">
        <v>0</v>
      </c>
      <c r="B180">
        <v>2016</v>
      </c>
      <c r="C180" t="s">
        <v>78</v>
      </c>
      <c r="D180" t="s">
        <v>232</v>
      </c>
      <c r="E180" t="s">
        <v>234</v>
      </c>
      <c r="F180" s="17">
        <v>9435644</v>
      </c>
      <c r="G180" s="17">
        <v>311234</v>
      </c>
      <c r="H180" s="17">
        <v>9746878</v>
      </c>
      <c r="I180">
        <f>VLOOKUP(C180,LEAIDs!$A$2:$B$305,2,FALSE)</f>
        <v>0</v>
      </c>
    </row>
    <row r="181" spans="1:9" x14ac:dyDescent="0.2">
      <c r="A181">
        <v>0</v>
      </c>
      <c r="B181">
        <v>2017</v>
      </c>
      <c r="C181" t="s">
        <v>78</v>
      </c>
      <c r="D181" t="s">
        <v>232</v>
      </c>
      <c r="E181" t="s">
        <v>234</v>
      </c>
      <c r="F181" s="17">
        <v>11067913</v>
      </c>
      <c r="G181" s="17">
        <v>382281</v>
      </c>
      <c r="H181" s="17">
        <v>11450194</v>
      </c>
      <c r="I181">
        <f>VLOOKUP(C181,LEAIDs!$A$2:$B$305,2,FALSE)</f>
        <v>0</v>
      </c>
    </row>
    <row r="182" spans="1:9" x14ac:dyDescent="0.2">
      <c r="A182">
        <v>0</v>
      </c>
      <c r="B182">
        <v>2018</v>
      </c>
      <c r="C182" t="s">
        <v>78</v>
      </c>
      <c r="D182" t="s">
        <v>232</v>
      </c>
      <c r="E182" t="s">
        <v>234</v>
      </c>
      <c r="F182" s="17">
        <v>8388673</v>
      </c>
      <c r="G182" s="17">
        <v>276058</v>
      </c>
      <c r="H182" s="17">
        <v>8664731</v>
      </c>
      <c r="I182">
        <f>VLOOKUP(C182,LEAIDs!$A$2:$B$305,2,FALSE)</f>
        <v>0</v>
      </c>
    </row>
    <row r="183" spans="1:9" x14ac:dyDescent="0.2">
      <c r="A183">
        <v>0</v>
      </c>
      <c r="B183">
        <v>2019</v>
      </c>
      <c r="C183" t="s">
        <v>78</v>
      </c>
      <c r="D183" t="s">
        <v>232</v>
      </c>
      <c r="E183" t="s">
        <v>234</v>
      </c>
      <c r="F183" s="17">
        <v>8219628</v>
      </c>
      <c r="G183" s="17">
        <v>275864</v>
      </c>
      <c r="H183" s="17">
        <v>8495492</v>
      </c>
      <c r="I183">
        <f>VLOOKUP(C183,LEAIDs!$A$2:$B$305,2,FALSE)</f>
        <v>0</v>
      </c>
    </row>
    <row r="184" spans="1:9" x14ac:dyDescent="0.2">
      <c r="A184">
        <v>0</v>
      </c>
      <c r="B184">
        <v>2020</v>
      </c>
      <c r="C184" t="s">
        <v>78</v>
      </c>
      <c r="D184" t="s">
        <v>232</v>
      </c>
      <c r="E184" t="s">
        <v>234</v>
      </c>
      <c r="F184" s="17">
        <v>8958596</v>
      </c>
      <c r="G184" s="17">
        <v>316135</v>
      </c>
      <c r="H184" s="17">
        <v>9274731</v>
      </c>
      <c r="I184">
        <f>VLOOKUP(C184,LEAIDs!$A$2:$B$305,2,FALSE)</f>
        <v>0</v>
      </c>
    </row>
    <row r="185" spans="1:9" x14ac:dyDescent="0.2">
      <c r="A185">
        <v>0</v>
      </c>
      <c r="B185" s="2">
        <v>2021</v>
      </c>
      <c r="C185" s="4" t="s">
        <v>78</v>
      </c>
      <c r="D185" s="2" t="s">
        <v>232</v>
      </c>
      <c r="E185" s="2" t="s">
        <v>234</v>
      </c>
      <c r="F185" s="16">
        <v>8791394</v>
      </c>
      <c r="G185" s="16">
        <v>306005</v>
      </c>
      <c r="H185" s="15">
        <v>9097399</v>
      </c>
      <c r="I185">
        <f>VLOOKUP(C185,LEAIDs!$A$2:$B$305,2,FALSE)</f>
        <v>0</v>
      </c>
    </row>
    <row r="186" spans="1:9" x14ac:dyDescent="0.2">
      <c r="A186">
        <v>0</v>
      </c>
      <c r="B186" s="2">
        <v>2022</v>
      </c>
      <c r="C186" s="4" t="s">
        <v>78</v>
      </c>
      <c r="D186" s="2" t="s">
        <v>232</v>
      </c>
      <c r="E186" s="2" t="s">
        <v>234</v>
      </c>
      <c r="F186" s="16">
        <v>8381580</v>
      </c>
      <c r="G186" s="16">
        <v>299454</v>
      </c>
      <c r="H186" s="15">
        <v>8681034</v>
      </c>
      <c r="I186">
        <f>VLOOKUP(C186,LEAIDs!$A$2:$B$305,2,FALSE)</f>
        <v>0</v>
      </c>
    </row>
    <row r="187" spans="1:9" x14ac:dyDescent="0.2">
      <c r="A187">
        <v>0</v>
      </c>
      <c r="B187" s="2">
        <v>2023</v>
      </c>
      <c r="C187" s="2" t="s">
        <v>78</v>
      </c>
      <c r="D187" s="2" t="s">
        <v>232</v>
      </c>
      <c r="E187" s="2" t="s">
        <v>234</v>
      </c>
      <c r="F187" s="15">
        <v>8985046</v>
      </c>
      <c r="G187" s="15">
        <v>320332</v>
      </c>
      <c r="H187" s="15">
        <v>9305378</v>
      </c>
      <c r="I187">
        <f>VLOOKUP(C187,LEAIDs!$A$2:$B$305,2,FALSE)</f>
        <v>0</v>
      </c>
    </row>
    <row r="188" spans="1:9" x14ac:dyDescent="0.2">
      <c r="A188">
        <v>0</v>
      </c>
      <c r="B188">
        <v>2015</v>
      </c>
      <c r="C188" t="s">
        <v>189</v>
      </c>
      <c r="D188" t="s">
        <v>232</v>
      </c>
      <c r="E188" t="s">
        <v>234</v>
      </c>
      <c r="F188" s="17">
        <v>80462</v>
      </c>
      <c r="G188" s="17">
        <v>2473</v>
      </c>
      <c r="H188" s="17">
        <v>82935</v>
      </c>
      <c r="I188">
        <f>VLOOKUP(C188,LEAIDs!$A$2:$B$305,2,FALSE)</f>
        <v>0</v>
      </c>
    </row>
    <row r="189" spans="1:9" x14ac:dyDescent="0.2">
      <c r="A189">
        <v>0</v>
      </c>
      <c r="B189">
        <v>2016</v>
      </c>
      <c r="C189" t="s">
        <v>189</v>
      </c>
      <c r="D189" t="s">
        <v>232</v>
      </c>
      <c r="E189" t="s">
        <v>234</v>
      </c>
      <c r="F189" s="17">
        <v>60952</v>
      </c>
      <c r="G189" s="17">
        <v>2010</v>
      </c>
      <c r="H189" s="17">
        <v>62962</v>
      </c>
      <c r="I189">
        <f>VLOOKUP(C189,LEAIDs!$A$2:$B$305,2,FALSE)</f>
        <v>0</v>
      </c>
    </row>
    <row r="190" spans="1:9" x14ac:dyDescent="0.2">
      <c r="A190">
        <v>0</v>
      </c>
      <c r="B190">
        <v>2017</v>
      </c>
      <c r="C190" t="s">
        <v>189</v>
      </c>
      <c r="D190" t="s">
        <v>232</v>
      </c>
      <c r="E190" t="s">
        <v>234</v>
      </c>
      <c r="F190" s="17">
        <v>74486</v>
      </c>
      <c r="G190" s="17">
        <v>2573</v>
      </c>
      <c r="H190" s="17">
        <v>77059</v>
      </c>
      <c r="I190">
        <f>VLOOKUP(C190,LEAIDs!$A$2:$B$305,2,FALSE)</f>
        <v>0</v>
      </c>
    </row>
    <row r="191" spans="1:9" x14ac:dyDescent="0.2">
      <c r="A191">
        <v>0</v>
      </c>
      <c r="B191">
        <v>2018</v>
      </c>
      <c r="C191" t="s">
        <v>189</v>
      </c>
      <c r="D191" t="s">
        <v>232</v>
      </c>
      <c r="E191" t="s">
        <v>234</v>
      </c>
      <c r="F191" s="17">
        <v>80703</v>
      </c>
      <c r="G191" s="17">
        <v>2656</v>
      </c>
      <c r="H191" s="17">
        <v>83359</v>
      </c>
      <c r="I191">
        <f>VLOOKUP(C191,LEAIDs!$A$2:$B$305,2,FALSE)</f>
        <v>0</v>
      </c>
    </row>
    <row r="192" spans="1:9" x14ac:dyDescent="0.2">
      <c r="A192">
        <v>0</v>
      </c>
      <c r="B192">
        <v>2019</v>
      </c>
      <c r="C192" t="s">
        <v>189</v>
      </c>
      <c r="D192" t="s">
        <v>232</v>
      </c>
      <c r="E192" t="s">
        <v>234</v>
      </c>
      <c r="F192" s="17">
        <v>74211</v>
      </c>
      <c r="G192" s="17">
        <v>2491</v>
      </c>
      <c r="H192" s="17">
        <v>76702</v>
      </c>
      <c r="I192">
        <f>VLOOKUP(C192,LEAIDs!$A$2:$B$305,2,FALSE)</f>
        <v>0</v>
      </c>
    </row>
    <row r="193" spans="1:9" x14ac:dyDescent="0.2">
      <c r="A193">
        <v>0</v>
      </c>
      <c r="B193">
        <v>2020</v>
      </c>
      <c r="C193" t="s">
        <v>189</v>
      </c>
      <c r="D193" t="s">
        <v>232</v>
      </c>
      <c r="E193" t="s">
        <v>234</v>
      </c>
      <c r="F193" s="17">
        <v>95110</v>
      </c>
      <c r="G193" s="17">
        <v>3356</v>
      </c>
      <c r="H193" s="17">
        <v>98466</v>
      </c>
      <c r="I193">
        <f>VLOOKUP(C193,LEAIDs!$A$2:$B$305,2,FALSE)</f>
        <v>0</v>
      </c>
    </row>
    <row r="194" spans="1:9" x14ac:dyDescent="0.2">
      <c r="A194">
        <v>0</v>
      </c>
      <c r="B194" s="2">
        <v>2021</v>
      </c>
      <c r="C194" s="4" t="s">
        <v>189</v>
      </c>
      <c r="D194" s="2" t="s">
        <v>232</v>
      </c>
      <c r="E194" s="2" t="s">
        <v>234</v>
      </c>
      <c r="F194" s="16">
        <v>97850</v>
      </c>
      <c r="G194" s="16">
        <v>3406</v>
      </c>
      <c r="H194" s="15">
        <v>101256</v>
      </c>
      <c r="I194">
        <f>VLOOKUP(C194,LEAIDs!$A$2:$B$305,2,FALSE)</f>
        <v>0</v>
      </c>
    </row>
    <row r="195" spans="1:9" x14ac:dyDescent="0.2">
      <c r="A195">
        <v>0</v>
      </c>
      <c r="B195" s="2">
        <v>2022</v>
      </c>
      <c r="C195" s="4" t="s">
        <v>189</v>
      </c>
      <c r="D195" s="2" t="s">
        <v>232</v>
      </c>
      <c r="E195" s="2" t="s">
        <v>234</v>
      </c>
      <c r="F195" s="16">
        <v>137345</v>
      </c>
      <c r="G195" s="16">
        <v>4907</v>
      </c>
      <c r="H195" s="15">
        <v>142252</v>
      </c>
      <c r="I195">
        <f>VLOOKUP(C195,LEAIDs!$A$2:$B$305,2,FALSE)</f>
        <v>0</v>
      </c>
    </row>
    <row r="196" spans="1:9" x14ac:dyDescent="0.2">
      <c r="A196">
        <v>0</v>
      </c>
      <c r="B196" s="2">
        <v>2023</v>
      </c>
      <c r="C196" s="2" t="s">
        <v>189</v>
      </c>
      <c r="D196" s="2" t="s">
        <v>232</v>
      </c>
      <c r="E196" s="2" t="s">
        <v>234</v>
      </c>
      <c r="F196" s="15">
        <v>210593</v>
      </c>
      <c r="G196" s="15">
        <v>7508</v>
      </c>
      <c r="H196" s="15">
        <v>218101</v>
      </c>
      <c r="I196">
        <f>VLOOKUP(C196,LEAIDs!$A$2:$B$305,2,FALSE)</f>
        <v>0</v>
      </c>
    </row>
    <row r="197" spans="1:9" x14ac:dyDescent="0.2">
      <c r="A197">
        <v>0</v>
      </c>
      <c r="B197">
        <v>2017</v>
      </c>
      <c r="C197" t="s">
        <v>229</v>
      </c>
      <c r="D197" t="s">
        <v>232</v>
      </c>
      <c r="E197" t="s">
        <v>234</v>
      </c>
      <c r="F197" s="17">
        <v>36059</v>
      </c>
      <c r="G197" s="17">
        <v>1245</v>
      </c>
      <c r="H197" s="17">
        <v>37304</v>
      </c>
      <c r="I197">
        <f>VLOOKUP(C197,LEAIDs!$A$2:$B$305,2,FALSE)</f>
        <v>0</v>
      </c>
    </row>
    <row r="198" spans="1:9" x14ac:dyDescent="0.2">
      <c r="A198">
        <v>0</v>
      </c>
      <c r="B198">
        <v>2018</v>
      </c>
      <c r="C198" t="s">
        <v>229</v>
      </c>
      <c r="D198" t="s">
        <v>232</v>
      </c>
      <c r="E198" t="s">
        <v>234</v>
      </c>
      <c r="F198" s="17">
        <v>37834</v>
      </c>
      <c r="G198" s="17">
        <v>1245</v>
      </c>
      <c r="H198" s="17">
        <v>39079</v>
      </c>
      <c r="I198">
        <f>VLOOKUP(C198,LEAIDs!$A$2:$B$305,2,FALSE)</f>
        <v>0</v>
      </c>
    </row>
    <row r="199" spans="1:9" x14ac:dyDescent="0.2">
      <c r="A199">
        <v>0</v>
      </c>
      <c r="B199">
        <v>2019</v>
      </c>
      <c r="C199" t="s">
        <v>229</v>
      </c>
      <c r="D199" t="s">
        <v>232</v>
      </c>
      <c r="E199" t="s">
        <v>234</v>
      </c>
      <c r="F199" s="17">
        <v>42869</v>
      </c>
      <c r="G199" s="17">
        <v>1439</v>
      </c>
      <c r="H199" s="17">
        <v>44308</v>
      </c>
      <c r="I199">
        <f>VLOOKUP(C199,LEAIDs!$A$2:$B$305,2,FALSE)</f>
        <v>0</v>
      </c>
    </row>
    <row r="200" spans="1:9" x14ac:dyDescent="0.2">
      <c r="A200">
        <v>0</v>
      </c>
      <c r="B200">
        <v>2020</v>
      </c>
      <c r="C200" t="s">
        <v>229</v>
      </c>
      <c r="D200" t="s">
        <v>232</v>
      </c>
      <c r="E200" t="s">
        <v>234</v>
      </c>
      <c r="F200" s="17">
        <v>43520</v>
      </c>
      <c r="G200" s="17">
        <v>1536</v>
      </c>
      <c r="H200" s="17">
        <v>45056</v>
      </c>
      <c r="I200">
        <f>VLOOKUP(C200,LEAIDs!$A$2:$B$305,2,FALSE)</f>
        <v>0</v>
      </c>
    </row>
    <row r="201" spans="1:9" x14ac:dyDescent="0.2">
      <c r="A201">
        <v>0</v>
      </c>
      <c r="B201" s="2">
        <v>2021</v>
      </c>
      <c r="C201" s="4" t="s">
        <v>229</v>
      </c>
      <c r="D201" s="2" t="s">
        <v>232</v>
      </c>
      <c r="E201" s="2" t="s">
        <v>234</v>
      </c>
      <c r="F201" s="16">
        <v>45522</v>
      </c>
      <c r="G201" s="16">
        <v>1585</v>
      </c>
      <c r="H201" s="15">
        <v>47107</v>
      </c>
      <c r="I201">
        <f>VLOOKUP(C201,LEAIDs!$A$2:$B$305,2,FALSE)</f>
        <v>0</v>
      </c>
    </row>
    <row r="202" spans="1:9" x14ac:dyDescent="0.2">
      <c r="A202">
        <v>0</v>
      </c>
      <c r="B202" s="2">
        <v>2022</v>
      </c>
      <c r="C202" s="4" t="s">
        <v>229</v>
      </c>
      <c r="D202" s="2" t="s">
        <v>232</v>
      </c>
      <c r="E202" s="2" t="s">
        <v>234</v>
      </c>
      <c r="F202" s="16">
        <v>45516</v>
      </c>
      <c r="G202" s="16">
        <v>1626</v>
      </c>
      <c r="H202" s="15">
        <v>47142</v>
      </c>
      <c r="I202">
        <f>VLOOKUP(C202,LEAIDs!$A$2:$B$305,2,FALSE)</f>
        <v>0</v>
      </c>
    </row>
    <row r="203" spans="1:9" x14ac:dyDescent="0.2">
      <c r="A203">
        <v>0</v>
      </c>
      <c r="B203" s="2">
        <v>2023</v>
      </c>
      <c r="C203" s="2" t="s">
        <v>229</v>
      </c>
      <c r="D203" s="2" t="s">
        <v>232</v>
      </c>
      <c r="E203" s="2" t="s">
        <v>234</v>
      </c>
      <c r="F203" s="15">
        <v>72948</v>
      </c>
      <c r="G203" s="15">
        <v>2601</v>
      </c>
      <c r="H203" s="15">
        <v>75549</v>
      </c>
      <c r="I203">
        <f>VLOOKUP(C203,LEAIDs!$A$2:$B$305,2,FALSE)</f>
        <v>0</v>
      </c>
    </row>
    <row r="204" spans="1:9" x14ac:dyDescent="0.2">
      <c r="A204">
        <v>0</v>
      </c>
      <c r="B204">
        <v>2015</v>
      </c>
      <c r="C204" t="s">
        <v>182</v>
      </c>
      <c r="D204" t="s">
        <v>232</v>
      </c>
      <c r="E204" t="s">
        <v>234</v>
      </c>
      <c r="F204" s="17">
        <v>162739</v>
      </c>
      <c r="G204" s="17">
        <v>5003</v>
      </c>
      <c r="H204" s="17">
        <v>167742</v>
      </c>
      <c r="I204">
        <f>VLOOKUP(C204,LEAIDs!$A$2:$B$305,2,FALSE)</f>
        <v>0</v>
      </c>
    </row>
    <row r="205" spans="1:9" x14ac:dyDescent="0.2">
      <c r="A205">
        <v>0</v>
      </c>
      <c r="B205">
        <v>2016</v>
      </c>
      <c r="C205" t="s">
        <v>182</v>
      </c>
      <c r="D205" t="s">
        <v>232</v>
      </c>
      <c r="E205" t="s">
        <v>234</v>
      </c>
      <c r="F205" s="17">
        <v>191366</v>
      </c>
      <c r="G205" s="17">
        <v>6312</v>
      </c>
      <c r="H205" s="17">
        <v>197678</v>
      </c>
      <c r="I205">
        <f>VLOOKUP(C205,LEAIDs!$A$2:$B$305,2,FALSE)</f>
        <v>0</v>
      </c>
    </row>
    <row r="206" spans="1:9" x14ac:dyDescent="0.2">
      <c r="A206">
        <v>0</v>
      </c>
      <c r="B206">
        <v>2017</v>
      </c>
      <c r="C206" t="s">
        <v>182</v>
      </c>
      <c r="D206" t="s">
        <v>232</v>
      </c>
      <c r="E206" t="s">
        <v>234</v>
      </c>
      <c r="F206" s="17">
        <v>204311</v>
      </c>
      <c r="G206" s="17">
        <v>7057</v>
      </c>
      <c r="H206" s="17">
        <v>211368</v>
      </c>
      <c r="I206">
        <f>VLOOKUP(C206,LEAIDs!$A$2:$B$305,2,FALSE)</f>
        <v>0</v>
      </c>
    </row>
    <row r="207" spans="1:9" x14ac:dyDescent="0.2">
      <c r="A207">
        <v>0</v>
      </c>
      <c r="B207">
        <v>2018</v>
      </c>
      <c r="C207" t="s">
        <v>182</v>
      </c>
      <c r="D207" t="s">
        <v>232</v>
      </c>
      <c r="E207" t="s">
        <v>234</v>
      </c>
      <c r="F207" s="17">
        <v>255016</v>
      </c>
      <c r="G207" s="17">
        <v>8392</v>
      </c>
      <c r="H207" s="17">
        <v>263408</v>
      </c>
      <c r="I207">
        <f>VLOOKUP(C207,LEAIDs!$A$2:$B$305,2,FALSE)</f>
        <v>0</v>
      </c>
    </row>
    <row r="208" spans="1:9" x14ac:dyDescent="0.2">
      <c r="A208">
        <v>0</v>
      </c>
      <c r="B208">
        <v>2019</v>
      </c>
      <c r="C208" t="s">
        <v>182</v>
      </c>
      <c r="D208" t="s">
        <v>232</v>
      </c>
      <c r="E208" t="s">
        <v>234</v>
      </c>
      <c r="F208" s="17">
        <v>228219</v>
      </c>
      <c r="G208" s="17">
        <v>7659</v>
      </c>
      <c r="H208" s="17">
        <v>235878</v>
      </c>
      <c r="I208">
        <f>VLOOKUP(C208,LEAIDs!$A$2:$B$305,2,FALSE)</f>
        <v>0</v>
      </c>
    </row>
    <row r="209" spans="1:9" x14ac:dyDescent="0.2">
      <c r="A209">
        <v>0</v>
      </c>
      <c r="B209">
        <v>2020</v>
      </c>
      <c r="C209" t="s">
        <v>182</v>
      </c>
      <c r="D209" t="s">
        <v>232</v>
      </c>
      <c r="E209" t="s">
        <v>234</v>
      </c>
      <c r="F209" s="17">
        <v>214530</v>
      </c>
      <c r="G209" s="17">
        <v>7570</v>
      </c>
      <c r="H209" s="17">
        <v>222100</v>
      </c>
      <c r="I209">
        <f>VLOOKUP(C209,LEAIDs!$A$2:$B$305,2,FALSE)</f>
        <v>0</v>
      </c>
    </row>
    <row r="210" spans="1:9" x14ac:dyDescent="0.2">
      <c r="A210">
        <v>0</v>
      </c>
      <c r="B210" s="2">
        <v>2021</v>
      </c>
      <c r="C210" s="4" t="s">
        <v>182</v>
      </c>
      <c r="D210" s="2" t="s">
        <v>232</v>
      </c>
      <c r="E210" s="2" t="s">
        <v>234</v>
      </c>
      <c r="F210" s="16">
        <v>165873</v>
      </c>
      <c r="G210" s="16">
        <v>5774</v>
      </c>
      <c r="H210" s="15">
        <v>171647</v>
      </c>
      <c r="I210">
        <f>VLOOKUP(C210,LEAIDs!$A$2:$B$305,2,FALSE)</f>
        <v>0</v>
      </c>
    </row>
    <row r="211" spans="1:9" x14ac:dyDescent="0.2">
      <c r="A211">
        <v>0</v>
      </c>
      <c r="B211" s="2">
        <v>2022</v>
      </c>
      <c r="C211" s="4" t="s">
        <v>182</v>
      </c>
      <c r="D211" s="2" t="s">
        <v>232</v>
      </c>
      <c r="E211" s="2" t="s">
        <v>234</v>
      </c>
      <c r="F211" s="16">
        <v>123925</v>
      </c>
      <c r="G211" s="16">
        <v>4428</v>
      </c>
      <c r="H211" s="15">
        <v>128353</v>
      </c>
      <c r="I211">
        <f>VLOOKUP(C211,LEAIDs!$A$2:$B$305,2,FALSE)</f>
        <v>0</v>
      </c>
    </row>
    <row r="212" spans="1:9" x14ac:dyDescent="0.2">
      <c r="A212">
        <v>0</v>
      </c>
      <c r="B212" s="2">
        <v>2023</v>
      </c>
      <c r="C212" s="2" t="s">
        <v>182</v>
      </c>
      <c r="D212" s="2" t="s">
        <v>232</v>
      </c>
      <c r="E212" s="2" t="s">
        <v>234</v>
      </c>
      <c r="F212" s="15">
        <v>319562</v>
      </c>
      <c r="G212" s="15">
        <v>11393</v>
      </c>
      <c r="H212" s="15">
        <v>330955</v>
      </c>
      <c r="I212">
        <f>VLOOKUP(C212,LEAIDs!$A$2:$B$305,2,FALSE)</f>
        <v>0</v>
      </c>
    </row>
    <row r="213" spans="1:9" x14ac:dyDescent="0.2">
      <c r="A213">
        <v>0</v>
      </c>
      <c r="B213">
        <v>2019</v>
      </c>
      <c r="C213" t="s">
        <v>245</v>
      </c>
      <c r="D213" t="s">
        <v>232</v>
      </c>
      <c r="E213" t="s">
        <v>234</v>
      </c>
      <c r="F213" s="17">
        <v>5429</v>
      </c>
      <c r="G213" s="17">
        <v>182</v>
      </c>
      <c r="H213" s="17">
        <v>5611</v>
      </c>
      <c r="I213">
        <f>VLOOKUP(C213,LEAIDs!$A$2:$B$305,2,FALSE)</f>
        <v>0</v>
      </c>
    </row>
    <row r="214" spans="1:9" x14ac:dyDescent="0.2">
      <c r="A214">
        <v>0</v>
      </c>
      <c r="B214">
        <v>2020</v>
      </c>
      <c r="C214" t="s">
        <v>245</v>
      </c>
      <c r="D214" t="s">
        <v>232</v>
      </c>
      <c r="E214" t="s">
        <v>234</v>
      </c>
      <c r="F214" s="17">
        <v>7606</v>
      </c>
      <c r="G214" s="17">
        <v>268</v>
      </c>
      <c r="H214" s="17">
        <v>7874</v>
      </c>
      <c r="I214">
        <f>VLOOKUP(C214,LEAIDs!$A$2:$B$305,2,FALSE)</f>
        <v>0</v>
      </c>
    </row>
    <row r="215" spans="1:9" x14ac:dyDescent="0.2">
      <c r="A215">
        <v>0</v>
      </c>
      <c r="B215" s="2">
        <v>2021</v>
      </c>
      <c r="C215" s="4" t="s">
        <v>245</v>
      </c>
      <c r="D215" s="2" t="s">
        <v>232</v>
      </c>
      <c r="E215" s="2" t="s">
        <v>234</v>
      </c>
      <c r="F215" s="16">
        <v>8926</v>
      </c>
      <c r="G215" s="16">
        <v>311</v>
      </c>
      <c r="H215" s="15">
        <v>9237</v>
      </c>
      <c r="I215">
        <f>VLOOKUP(C215,LEAIDs!$A$2:$B$305,2,FALSE)</f>
        <v>0</v>
      </c>
    </row>
    <row r="216" spans="1:9" x14ac:dyDescent="0.2">
      <c r="A216">
        <v>0</v>
      </c>
      <c r="B216" s="2">
        <v>2022</v>
      </c>
      <c r="C216" s="4" t="s">
        <v>245</v>
      </c>
      <c r="D216" s="2" t="s">
        <v>232</v>
      </c>
      <c r="E216" s="2" t="s">
        <v>234</v>
      </c>
      <c r="F216" s="16">
        <v>9470</v>
      </c>
      <c r="G216" s="16">
        <v>338</v>
      </c>
      <c r="H216" s="15">
        <v>9808</v>
      </c>
      <c r="I216">
        <f>VLOOKUP(C216,LEAIDs!$A$2:$B$305,2,FALSE)</f>
        <v>0</v>
      </c>
    </row>
    <row r="217" spans="1:9" x14ac:dyDescent="0.2">
      <c r="A217">
        <v>0</v>
      </c>
      <c r="B217">
        <v>2015</v>
      </c>
      <c r="C217" t="s">
        <v>212</v>
      </c>
      <c r="D217" t="s">
        <v>232</v>
      </c>
      <c r="E217" t="s">
        <v>234</v>
      </c>
      <c r="F217" s="17">
        <v>25871</v>
      </c>
      <c r="G217" s="17">
        <v>795</v>
      </c>
      <c r="H217" s="17">
        <v>26666</v>
      </c>
      <c r="I217">
        <f>VLOOKUP(C217,LEAIDs!$A$2:$B$305,2,FALSE)</f>
        <v>0</v>
      </c>
    </row>
    <row r="218" spans="1:9" x14ac:dyDescent="0.2">
      <c r="A218">
        <v>0</v>
      </c>
      <c r="B218">
        <v>2016</v>
      </c>
      <c r="C218" t="s">
        <v>212</v>
      </c>
      <c r="D218" t="s">
        <v>232</v>
      </c>
      <c r="E218" t="s">
        <v>234</v>
      </c>
      <c r="F218" s="17">
        <v>15192</v>
      </c>
      <c r="G218" s="17">
        <v>501</v>
      </c>
      <c r="H218" s="17">
        <v>15693</v>
      </c>
      <c r="I218">
        <f>VLOOKUP(C218,LEAIDs!$A$2:$B$305,2,FALSE)</f>
        <v>0</v>
      </c>
    </row>
    <row r="219" spans="1:9" x14ac:dyDescent="0.2">
      <c r="A219">
        <v>0</v>
      </c>
      <c r="B219">
        <v>2017</v>
      </c>
      <c r="C219" t="s">
        <v>212</v>
      </c>
      <c r="D219" t="s">
        <v>232</v>
      </c>
      <c r="E219" t="s">
        <v>234</v>
      </c>
      <c r="F219" s="17">
        <v>22468</v>
      </c>
      <c r="G219" s="17">
        <v>776</v>
      </c>
      <c r="H219" s="17">
        <v>23244</v>
      </c>
      <c r="I219">
        <f>VLOOKUP(C219,LEAIDs!$A$2:$B$305,2,FALSE)</f>
        <v>0</v>
      </c>
    </row>
    <row r="220" spans="1:9" x14ac:dyDescent="0.2">
      <c r="A220">
        <v>0</v>
      </c>
      <c r="B220">
        <v>2018</v>
      </c>
      <c r="C220" t="s">
        <v>212</v>
      </c>
      <c r="D220" t="s">
        <v>232</v>
      </c>
      <c r="E220" t="s">
        <v>234</v>
      </c>
      <c r="F220" s="17">
        <v>33170</v>
      </c>
      <c r="G220" s="17">
        <v>1092</v>
      </c>
      <c r="H220" s="17">
        <v>34262</v>
      </c>
      <c r="I220">
        <f>VLOOKUP(C220,LEAIDs!$A$2:$B$305,2,FALSE)</f>
        <v>0</v>
      </c>
    </row>
    <row r="221" spans="1:9" x14ac:dyDescent="0.2">
      <c r="A221">
        <v>0</v>
      </c>
      <c r="B221">
        <v>2019</v>
      </c>
      <c r="C221" t="s">
        <v>212</v>
      </c>
      <c r="D221" t="s">
        <v>232</v>
      </c>
      <c r="E221" t="s">
        <v>234</v>
      </c>
      <c r="F221" s="17">
        <v>35188</v>
      </c>
      <c r="G221" s="17">
        <v>1181</v>
      </c>
      <c r="H221" s="17">
        <v>36369</v>
      </c>
      <c r="I221">
        <f>VLOOKUP(C221,LEAIDs!$A$2:$B$305,2,FALSE)</f>
        <v>0</v>
      </c>
    </row>
    <row r="222" spans="1:9" x14ac:dyDescent="0.2">
      <c r="A222">
        <v>0</v>
      </c>
      <c r="B222">
        <v>2020</v>
      </c>
      <c r="C222" t="s">
        <v>212</v>
      </c>
      <c r="D222" t="s">
        <v>232</v>
      </c>
      <c r="E222" t="s">
        <v>234</v>
      </c>
      <c r="F222" s="17">
        <v>36244</v>
      </c>
      <c r="G222" s="17">
        <v>1279</v>
      </c>
      <c r="H222" s="17">
        <v>37523</v>
      </c>
      <c r="I222">
        <f>VLOOKUP(C222,LEAIDs!$A$2:$B$305,2,FALSE)</f>
        <v>0</v>
      </c>
    </row>
    <row r="223" spans="1:9" x14ac:dyDescent="0.2">
      <c r="A223">
        <v>0</v>
      </c>
      <c r="B223" s="2">
        <v>2021</v>
      </c>
      <c r="C223" s="4" t="s">
        <v>212</v>
      </c>
      <c r="D223" s="2" t="s">
        <v>232</v>
      </c>
      <c r="E223" s="2" t="s">
        <v>234</v>
      </c>
      <c r="F223" s="16">
        <v>38208</v>
      </c>
      <c r="G223" s="16">
        <v>1330</v>
      </c>
      <c r="H223" s="15">
        <v>39538</v>
      </c>
      <c r="I223">
        <f>VLOOKUP(C223,LEAIDs!$A$2:$B$305,2,FALSE)</f>
        <v>0</v>
      </c>
    </row>
    <row r="224" spans="1:9" x14ac:dyDescent="0.2">
      <c r="A224">
        <v>0</v>
      </c>
      <c r="B224" s="2">
        <v>2022</v>
      </c>
      <c r="C224" s="4" t="s">
        <v>212</v>
      </c>
      <c r="D224" s="2" t="s">
        <v>232</v>
      </c>
      <c r="E224" s="2" t="s">
        <v>234</v>
      </c>
      <c r="F224" s="16">
        <v>62899</v>
      </c>
      <c r="G224" s="16">
        <v>2247</v>
      </c>
      <c r="H224" s="15">
        <v>65146</v>
      </c>
      <c r="I224">
        <f>VLOOKUP(C224,LEAIDs!$A$2:$B$305,2,FALSE)</f>
        <v>0</v>
      </c>
    </row>
    <row r="225" spans="1:9" x14ac:dyDescent="0.2">
      <c r="A225">
        <v>0</v>
      </c>
      <c r="B225" s="2">
        <v>2023</v>
      </c>
      <c r="C225" s="2" t="s">
        <v>212</v>
      </c>
      <c r="D225" s="2" t="s">
        <v>232</v>
      </c>
      <c r="E225" s="2" t="s">
        <v>234</v>
      </c>
      <c r="F225" s="15">
        <v>40127</v>
      </c>
      <c r="G225" s="15">
        <v>1431</v>
      </c>
      <c r="H225" s="15">
        <v>41558</v>
      </c>
      <c r="I225">
        <f>VLOOKUP(C225,LEAIDs!$A$2:$B$305,2,FALSE)</f>
        <v>0</v>
      </c>
    </row>
    <row r="226" spans="1:9" x14ac:dyDescent="0.2">
      <c r="A226">
        <v>0</v>
      </c>
      <c r="B226">
        <v>2015</v>
      </c>
      <c r="C226" t="s">
        <v>163</v>
      </c>
      <c r="D226" t="s">
        <v>232</v>
      </c>
      <c r="E226" t="s">
        <v>234</v>
      </c>
      <c r="F226" s="17">
        <v>30424</v>
      </c>
      <c r="G226" s="17">
        <v>935</v>
      </c>
      <c r="H226" s="17">
        <v>31359</v>
      </c>
      <c r="I226">
        <f>VLOOKUP(C226,LEAIDs!$A$2:$B$305,2,FALSE)</f>
        <v>0</v>
      </c>
    </row>
    <row r="227" spans="1:9" x14ac:dyDescent="0.2">
      <c r="A227">
        <v>0</v>
      </c>
      <c r="B227">
        <v>2016</v>
      </c>
      <c r="C227" t="s">
        <v>163</v>
      </c>
      <c r="D227" t="s">
        <v>232</v>
      </c>
      <c r="E227" t="s">
        <v>234</v>
      </c>
      <c r="F227" s="17">
        <v>28994</v>
      </c>
      <c r="G227" s="17">
        <v>956</v>
      </c>
      <c r="H227" s="17">
        <v>29950</v>
      </c>
      <c r="I227">
        <f>VLOOKUP(C227,LEAIDs!$A$2:$B$305,2,FALSE)</f>
        <v>0</v>
      </c>
    </row>
    <row r="228" spans="1:9" x14ac:dyDescent="0.2">
      <c r="A228">
        <v>0</v>
      </c>
      <c r="B228">
        <v>2017</v>
      </c>
      <c r="C228" t="s">
        <v>163</v>
      </c>
      <c r="D228" t="s">
        <v>232</v>
      </c>
      <c r="E228" t="s">
        <v>234</v>
      </c>
      <c r="F228" s="17">
        <v>33152</v>
      </c>
      <c r="G228" s="17">
        <v>1145</v>
      </c>
      <c r="H228" s="17">
        <v>34297</v>
      </c>
      <c r="I228">
        <f>VLOOKUP(C228,LEAIDs!$A$2:$B$305,2,FALSE)</f>
        <v>0</v>
      </c>
    </row>
    <row r="229" spans="1:9" x14ac:dyDescent="0.2">
      <c r="A229">
        <v>0</v>
      </c>
      <c r="B229">
        <v>2018</v>
      </c>
      <c r="C229" t="s">
        <v>163</v>
      </c>
      <c r="D229" t="s">
        <v>232</v>
      </c>
      <c r="E229" t="s">
        <v>234</v>
      </c>
      <c r="F229" s="17">
        <v>32882</v>
      </c>
      <c r="G229" s="17">
        <v>1082</v>
      </c>
      <c r="H229" s="17">
        <v>33964</v>
      </c>
      <c r="I229">
        <f>VLOOKUP(C229,LEAIDs!$A$2:$B$305,2,FALSE)</f>
        <v>0</v>
      </c>
    </row>
    <row r="230" spans="1:9" x14ac:dyDescent="0.2">
      <c r="A230">
        <v>0</v>
      </c>
      <c r="B230">
        <v>2019</v>
      </c>
      <c r="C230" t="s">
        <v>163</v>
      </c>
      <c r="D230" t="s">
        <v>232</v>
      </c>
      <c r="E230" t="s">
        <v>234</v>
      </c>
      <c r="F230" s="17">
        <v>33825</v>
      </c>
      <c r="G230" s="17">
        <v>1135</v>
      </c>
      <c r="H230" s="17">
        <v>34960</v>
      </c>
      <c r="I230">
        <f>VLOOKUP(C230,LEAIDs!$A$2:$B$305,2,FALSE)</f>
        <v>0</v>
      </c>
    </row>
    <row r="231" spans="1:9" x14ac:dyDescent="0.2">
      <c r="A231">
        <v>0</v>
      </c>
      <c r="B231">
        <v>2020</v>
      </c>
      <c r="C231" t="s">
        <v>163</v>
      </c>
      <c r="D231" t="s">
        <v>232</v>
      </c>
      <c r="E231" t="s">
        <v>234</v>
      </c>
      <c r="F231" s="17">
        <v>50490</v>
      </c>
      <c r="G231" s="17">
        <v>1782</v>
      </c>
      <c r="H231" s="17">
        <v>52272</v>
      </c>
      <c r="I231">
        <f>VLOOKUP(C231,LEAIDs!$A$2:$B$305,2,FALSE)</f>
        <v>0</v>
      </c>
    </row>
    <row r="232" spans="1:9" x14ac:dyDescent="0.2">
      <c r="A232">
        <v>0</v>
      </c>
      <c r="B232" s="2">
        <v>2021</v>
      </c>
      <c r="C232" s="4" t="s">
        <v>163</v>
      </c>
      <c r="D232" s="2" t="s">
        <v>232</v>
      </c>
      <c r="E232" s="2" t="s">
        <v>234</v>
      </c>
      <c r="F232" s="16">
        <v>52812</v>
      </c>
      <c r="G232" s="16">
        <v>1838</v>
      </c>
      <c r="H232" s="15">
        <v>54650</v>
      </c>
      <c r="I232">
        <f>VLOOKUP(C232,LEAIDs!$A$2:$B$305,2,FALSE)</f>
        <v>0</v>
      </c>
    </row>
    <row r="233" spans="1:9" x14ac:dyDescent="0.2">
      <c r="A233">
        <v>0</v>
      </c>
      <c r="B233" s="2">
        <v>2022</v>
      </c>
      <c r="C233" s="4" t="s">
        <v>163</v>
      </c>
      <c r="D233" s="2" t="s">
        <v>232</v>
      </c>
      <c r="E233" s="2" t="s">
        <v>234</v>
      </c>
      <c r="F233" s="16">
        <v>25537</v>
      </c>
      <c r="G233" s="16">
        <v>912</v>
      </c>
      <c r="H233" s="15">
        <v>26449</v>
      </c>
      <c r="I233">
        <f>VLOOKUP(C233,LEAIDs!$A$2:$B$305,2,FALSE)</f>
        <v>0</v>
      </c>
    </row>
    <row r="234" spans="1:9" x14ac:dyDescent="0.2">
      <c r="A234">
        <v>0</v>
      </c>
      <c r="B234" s="2">
        <v>2023</v>
      </c>
      <c r="C234" s="2" t="s">
        <v>163</v>
      </c>
      <c r="D234" s="2" t="s">
        <v>232</v>
      </c>
      <c r="E234" s="2" t="s">
        <v>234</v>
      </c>
      <c r="F234" s="15">
        <v>19997</v>
      </c>
      <c r="G234" s="15">
        <v>713</v>
      </c>
      <c r="H234" s="15">
        <v>20710</v>
      </c>
      <c r="I234">
        <f>VLOOKUP(C234,LEAIDs!$A$2:$B$305,2,FALSE)</f>
        <v>0</v>
      </c>
    </row>
    <row r="235" spans="1:9" x14ac:dyDescent="0.2">
      <c r="A235">
        <v>0</v>
      </c>
      <c r="B235">
        <v>2015</v>
      </c>
      <c r="C235" t="s">
        <v>188</v>
      </c>
      <c r="D235" t="s">
        <v>232</v>
      </c>
      <c r="E235" t="s">
        <v>234</v>
      </c>
      <c r="F235" s="17">
        <v>137562</v>
      </c>
      <c r="G235" s="17">
        <v>4229</v>
      </c>
      <c r="H235" s="17">
        <v>141791</v>
      </c>
      <c r="I235">
        <f>VLOOKUP(C235,LEAIDs!$A$2:$B$305,2,FALSE)</f>
        <v>0</v>
      </c>
    </row>
    <row r="236" spans="1:9" x14ac:dyDescent="0.2">
      <c r="A236">
        <v>0</v>
      </c>
      <c r="B236">
        <v>2016</v>
      </c>
      <c r="C236" t="s">
        <v>188</v>
      </c>
      <c r="D236" t="s">
        <v>232</v>
      </c>
      <c r="E236" t="s">
        <v>234</v>
      </c>
      <c r="F236" s="17">
        <v>113590</v>
      </c>
      <c r="G236" s="17">
        <v>3747</v>
      </c>
      <c r="H236" s="17">
        <v>117337</v>
      </c>
      <c r="I236">
        <f>VLOOKUP(C236,LEAIDs!$A$2:$B$305,2,FALSE)</f>
        <v>0</v>
      </c>
    </row>
    <row r="237" spans="1:9" x14ac:dyDescent="0.2">
      <c r="A237">
        <v>0</v>
      </c>
      <c r="B237">
        <v>2017</v>
      </c>
      <c r="C237" t="s">
        <v>188</v>
      </c>
      <c r="D237" t="s">
        <v>232</v>
      </c>
      <c r="E237" t="s">
        <v>234</v>
      </c>
      <c r="F237" s="17">
        <v>110062</v>
      </c>
      <c r="G237" s="17">
        <v>3801</v>
      </c>
      <c r="H237" s="17">
        <v>113863</v>
      </c>
      <c r="I237">
        <f>VLOOKUP(C237,LEAIDs!$A$2:$B$305,2,FALSE)</f>
        <v>0</v>
      </c>
    </row>
    <row r="238" spans="1:9" x14ac:dyDescent="0.2">
      <c r="A238">
        <v>0</v>
      </c>
      <c r="B238">
        <v>2018</v>
      </c>
      <c r="C238" t="s">
        <v>188</v>
      </c>
      <c r="D238" t="s">
        <v>232</v>
      </c>
      <c r="E238" t="s">
        <v>234</v>
      </c>
      <c r="F238" s="17">
        <v>129389</v>
      </c>
      <c r="G238" s="17">
        <v>4258</v>
      </c>
      <c r="H238" s="17">
        <v>133647</v>
      </c>
      <c r="I238">
        <f>VLOOKUP(C238,LEAIDs!$A$2:$B$305,2,FALSE)</f>
        <v>0</v>
      </c>
    </row>
    <row r="239" spans="1:9" x14ac:dyDescent="0.2">
      <c r="A239">
        <v>0</v>
      </c>
      <c r="B239">
        <v>2019</v>
      </c>
      <c r="C239" t="s">
        <v>188</v>
      </c>
      <c r="D239" t="s">
        <v>232</v>
      </c>
      <c r="E239" t="s">
        <v>234</v>
      </c>
      <c r="F239" s="17">
        <v>112576</v>
      </c>
      <c r="G239" s="17">
        <v>3778</v>
      </c>
      <c r="H239" s="17">
        <v>116354</v>
      </c>
      <c r="I239">
        <f>VLOOKUP(C239,LEAIDs!$A$2:$B$305,2,FALSE)</f>
        <v>0</v>
      </c>
    </row>
    <row r="240" spans="1:9" x14ac:dyDescent="0.2">
      <c r="A240">
        <v>0</v>
      </c>
      <c r="B240">
        <v>2020</v>
      </c>
      <c r="C240" t="s">
        <v>188</v>
      </c>
      <c r="D240" t="s">
        <v>232</v>
      </c>
      <c r="E240" t="s">
        <v>234</v>
      </c>
      <c r="F240" s="17">
        <v>265374</v>
      </c>
      <c r="G240" s="17">
        <v>9365</v>
      </c>
      <c r="H240" s="17">
        <v>274739</v>
      </c>
      <c r="I240">
        <f>VLOOKUP(C240,LEAIDs!$A$2:$B$305,2,FALSE)</f>
        <v>0</v>
      </c>
    </row>
    <row r="241" spans="1:9" x14ac:dyDescent="0.2">
      <c r="A241">
        <v>0</v>
      </c>
      <c r="B241" s="2">
        <v>2021</v>
      </c>
      <c r="C241" s="4" t="s">
        <v>188</v>
      </c>
      <c r="D241" s="2" t="s">
        <v>232</v>
      </c>
      <c r="E241" s="2" t="s">
        <v>234</v>
      </c>
      <c r="F241" s="16">
        <v>271100</v>
      </c>
      <c r="G241" s="16">
        <v>9436</v>
      </c>
      <c r="H241" s="15">
        <v>280536</v>
      </c>
      <c r="I241">
        <f>VLOOKUP(C241,LEAIDs!$A$2:$B$305,2,FALSE)</f>
        <v>0</v>
      </c>
    </row>
    <row r="242" spans="1:9" x14ac:dyDescent="0.2">
      <c r="A242">
        <v>0</v>
      </c>
      <c r="B242" s="2">
        <v>2022</v>
      </c>
      <c r="C242" s="4" t="s">
        <v>188</v>
      </c>
      <c r="D242" s="2" t="s">
        <v>232</v>
      </c>
      <c r="E242" s="2" t="s">
        <v>234</v>
      </c>
      <c r="F242" s="16">
        <v>284237</v>
      </c>
      <c r="G242" s="16">
        <v>10155</v>
      </c>
      <c r="H242" s="15">
        <v>294392</v>
      </c>
      <c r="I242">
        <f>VLOOKUP(C242,LEAIDs!$A$2:$B$305,2,FALSE)</f>
        <v>0</v>
      </c>
    </row>
    <row r="243" spans="1:9" x14ac:dyDescent="0.2">
      <c r="A243">
        <v>0</v>
      </c>
      <c r="B243" s="2">
        <v>2023</v>
      </c>
      <c r="C243" s="2" t="s">
        <v>188</v>
      </c>
      <c r="D243" s="2" t="s">
        <v>232</v>
      </c>
      <c r="E243" s="2" t="s">
        <v>234</v>
      </c>
      <c r="F243" s="15">
        <v>279209</v>
      </c>
      <c r="G243" s="15">
        <v>9954</v>
      </c>
      <c r="H243" s="15">
        <v>289163</v>
      </c>
      <c r="I243">
        <f>VLOOKUP(C243,LEAIDs!$A$2:$B$305,2,FALSE)</f>
        <v>0</v>
      </c>
    </row>
    <row r="244" spans="1:9" x14ac:dyDescent="0.2">
      <c r="A244">
        <v>0</v>
      </c>
      <c r="B244">
        <v>2015</v>
      </c>
      <c r="C244" t="s">
        <v>176</v>
      </c>
      <c r="D244" t="s">
        <v>232</v>
      </c>
      <c r="E244" t="s">
        <v>234</v>
      </c>
      <c r="F244" s="17">
        <v>42429</v>
      </c>
      <c r="G244" s="17">
        <v>1304</v>
      </c>
      <c r="H244" s="17">
        <v>43733</v>
      </c>
      <c r="I244">
        <f>VLOOKUP(C244,LEAIDs!$A$2:$B$305,2,FALSE)</f>
        <v>0</v>
      </c>
    </row>
    <row r="245" spans="1:9" x14ac:dyDescent="0.2">
      <c r="A245">
        <v>0</v>
      </c>
      <c r="B245" s="2">
        <v>2023</v>
      </c>
      <c r="C245" s="2" t="s">
        <v>176</v>
      </c>
      <c r="D245" s="2" t="s">
        <v>232</v>
      </c>
      <c r="E245" s="2" t="s">
        <v>234</v>
      </c>
      <c r="F245" s="15">
        <v>12038</v>
      </c>
      <c r="G245" s="15">
        <v>429</v>
      </c>
      <c r="H245" s="15">
        <v>12467</v>
      </c>
      <c r="I245">
        <f>VLOOKUP(C245,LEAIDs!$A$2:$B$305,2,FALSE)</f>
        <v>0</v>
      </c>
    </row>
    <row r="246" spans="1:9" x14ac:dyDescent="0.2">
      <c r="A246">
        <v>0</v>
      </c>
      <c r="B246" s="2">
        <v>2023</v>
      </c>
      <c r="C246" s="2" t="s">
        <v>210</v>
      </c>
      <c r="D246" s="2" t="s">
        <v>232</v>
      </c>
      <c r="E246" s="2" t="s">
        <v>234</v>
      </c>
      <c r="F246" s="15">
        <v>9678</v>
      </c>
      <c r="G246" s="15">
        <v>345</v>
      </c>
      <c r="H246" s="15">
        <v>10023</v>
      </c>
      <c r="I246">
        <f>VLOOKUP(C246,LEAIDs!$A$2:$B$305,2,FALSE)</f>
        <v>0</v>
      </c>
    </row>
    <row r="247" spans="1:9" x14ac:dyDescent="0.2">
      <c r="A247">
        <v>0</v>
      </c>
      <c r="B247" s="2">
        <v>2023</v>
      </c>
      <c r="C247" s="2" t="s">
        <v>211</v>
      </c>
      <c r="D247" s="2" t="s">
        <v>232</v>
      </c>
      <c r="E247" s="2" t="s">
        <v>234</v>
      </c>
      <c r="F247" s="15">
        <v>23156</v>
      </c>
      <c r="G247" s="15">
        <v>826</v>
      </c>
      <c r="H247" s="15">
        <v>23982</v>
      </c>
      <c r="I247">
        <f>VLOOKUP(C247,LEAIDs!$A$2:$B$305,2,FALSE)</f>
        <v>0</v>
      </c>
    </row>
    <row r="248" spans="1:9" x14ac:dyDescent="0.2">
      <c r="A248">
        <v>0</v>
      </c>
      <c r="B248">
        <v>2016</v>
      </c>
      <c r="C248" t="s">
        <v>253</v>
      </c>
      <c r="D248" t="s">
        <v>232</v>
      </c>
      <c r="E248" t="s">
        <v>234</v>
      </c>
      <c r="F248" s="17">
        <v>5627</v>
      </c>
      <c r="G248" s="17">
        <v>186</v>
      </c>
      <c r="H248" s="17">
        <v>5813</v>
      </c>
      <c r="I248">
        <f>VLOOKUP(C248,LEAIDs!$A$2:$B$305,2,FALSE)</f>
        <v>0</v>
      </c>
    </row>
    <row r="249" spans="1:9" x14ac:dyDescent="0.2">
      <c r="A249">
        <v>0</v>
      </c>
      <c r="B249">
        <v>2017</v>
      </c>
      <c r="C249" t="s">
        <v>253</v>
      </c>
      <c r="D249" t="s">
        <v>232</v>
      </c>
      <c r="E249" t="s">
        <v>234</v>
      </c>
      <c r="F249" s="17">
        <v>6094</v>
      </c>
      <c r="G249" s="17">
        <v>210</v>
      </c>
      <c r="H249" s="17">
        <v>6304</v>
      </c>
      <c r="I249">
        <f>VLOOKUP(C249,LEAIDs!$A$2:$B$305,2,FALSE)</f>
        <v>0</v>
      </c>
    </row>
    <row r="250" spans="1:9" x14ac:dyDescent="0.2">
      <c r="A250">
        <v>0</v>
      </c>
      <c r="B250" s="2">
        <v>2022</v>
      </c>
      <c r="C250" s="4" t="s">
        <v>253</v>
      </c>
      <c r="D250" s="2" t="s">
        <v>232</v>
      </c>
      <c r="E250" s="2" t="s">
        <v>234</v>
      </c>
      <c r="F250" s="16">
        <v>7305</v>
      </c>
      <c r="G250" s="16">
        <v>261</v>
      </c>
      <c r="H250" s="15">
        <v>7566</v>
      </c>
      <c r="I250">
        <f>VLOOKUP(C250,LEAIDs!$A$2:$B$305,2,FALSE)</f>
        <v>0</v>
      </c>
    </row>
    <row r="251" spans="1:9" x14ac:dyDescent="0.2">
      <c r="A251">
        <v>0</v>
      </c>
      <c r="B251">
        <v>2018</v>
      </c>
      <c r="C251" t="s">
        <v>288</v>
      </c>
      <c r="D251" t="s">
        <v>232</v>
      </c>
      <c r="E251" t="s">
        <v>234</v>
      </c>
      <c r="F251" s="17">
        <v>35586</v>
      </c>
      <c r="G251" s="17">
        <v>1171</v>
      </c>
      <c r="H251" s="17">
        <v>36757</v>
      </c>
      <c r="I251">
        <f>VLOOKUP(C251,LEAIDs!$A$2:$B$305,2,FALSE)</f>
        <v>0</v>
      </c>
    </row>
    <row r="252" spans="1:9" x14ac:dyDescent="0.2">
      <c r="A252">
        <v>0</v>
      </c>
      <c r="B252" s="2">
        <v>2023</v>
      </c>
      <c r="C252" s="2" t="s">
        <v>170</v>
      </c>
      <c r="D252" s="2" t="s">
        <v>232</v>
      </c>
      <c r="E252" s="2" t="s">
        <v>234</v>
      </c>
      <c r="F252" s="15">
        <v>18210</v>
      </c>
      <c r="G252" s="15">
        <v>649</v>
      </c>
      <c r="H252" s="15">
        <v>18859</v>
      </c>
      <c r="I252">
        <f>VLOOKUP(C252,LEAIDs!$A$2:$B$305,2,FALSE)</f>
        <v>0</v>
      </c>
    </row>
    <row r="253" spans="1:9" x14ac:dyDescent="0.2">
      <c r="A253">
        <v>0</v>
      </c>
      <c r="B253">
        <v>2019</v>
      </c>
      <c r="C253" t="s">
        <v>246</v>
      </c>
      <c r="D253" t="s">
        <v>232</v>
      </c>
      <c r="E253" t="s">
        <v>234</v>
      </c>
      <c r="F253" s="17">
        <v>17357</v>
      </c>
      <c r="G253" s="17">
        <v>583</v>
      </c>
      <c r="H253" s="17">
        <v>17940</v>
      </c>
      <c r="I253">
        <f>VLOOKUP(C253,LEAIDs!$A$2:$B$305,2,FALSE)</f>
        <v>0</v>
      </c>
    </row>
    <row r="254" spans="1:9" x14ac:dyDescent="0.2">
      <c r="A254">
        <v>0</v>
      </c>
      <c r="B254">
        <v>2020</v>
      </c>
      <c r="C254" t="s">
        <v>246</v>
      </c>
      <c r="D254" t="s">
        <v>232</v>
      </c>
      <c r="E254" t="s">
        <v>234</v>
      </c>
      <c r="F254" s="17">
        <v>17401</v>
      </c>
      <c r="G254" s="17">
        <v>614</v>
      </c>
      <c r="H254" s="17">
        <v>18015</v>
      </c>
      <c r="I254">
        <f>VLOOKUP(C254,LEAIDs!$A$2:$B$305,2,FALSE)</f>
        <v>0</v>
      </c>
    </row>
    <row r="255" spans="1:9" x14ac:dyDescent="0.2">
      <c r="A255">
        <v>0</v>
      </c>
      <c r="B255" s="2">
        <v>2021</v>
      </c>
      <c r="C255" s="4" t="s">
        <v>246</v>
      </c>
      <c r="D255" s="2" t="s">
        <v>232</v>
      </c>
      <c r="E255" s="2" t="s">
        <v>234</v>
      </c>
      <c r="F255" s="16">
        <v>17356</v>
      </c>
      <c r="G255" s="16">
        <v>604</v>
      </c>
      <c r="H255" s="15">
        <v>17960</v>
      </c>
      <c r="I255">
        <f>VLOOKUP(C255,LEAIDs!$A$2:$B$305,2,FALSE)</f>
        <v>0</v>
      </c>
    </row>
    <row r="256" spans="1:9" x14ac:dyDescent="0.2">
      <c r="A256">
        <v>0</v>
      </c>
      <c r="B256" s="2">
        <v>2022</v>
      </c>
      <c r="C256" s="4" t="s">
        <v>246</v>
      </c>
      <c r="D256" s="2" t="s">
        <v>232</v>
      </c>
      <c r="E256" s="2" t="s">
        <v>234</v>
      </c>
      <c r="F256" s="16">
        <v>17333</v>
      </c>
      <c r="G256" s="16">
        <v>619</v>
      </c>
      <c r="H256" s="15">
        <v>17952</v>
      </c>
      <c r="I256">
        <f>VLOOKUP(C256,LEAIDs!$A$2:$B$305,2,FALSE)</f>
        <v>0</v>
      </c>
    </row>
    <row r="257" spans="1:9" x14ac:dyDescent="0.2">
      <c r="A257">
        <v>0</v>
      </c>
      <c r="B257">
        <v>2015</v>
      </c>
      <c r="C257" t="s">
        <v>190</v>
      </c>
      <c r="D257" t="s">
        <v>232</v>
      </c>
      <c r="E257" t="s">
        <v>234</v>
      </c>
      <c r="F257" s="17">
        <v>24167</v>
      </c>
      <c r="G257" s="17">
        <v>743</v>
      </c>
      <c r="H257" s="17">
        <v>24910</v>
      </c>
      <c r="I257">
        <f>VLOOKUP(C257,LEAIDs!$A$2:$B$305,2,FALSE)</f>
        <v>0</v>
      </c>
    </row>
    <row r="258" spans="1:9" x14ac:dyDescent="0.2">
      <c r="A258">
        <v>0</v>
      </c>
      <c r="B258">
        <v>2016</v>
      </c>
      <c r="C258" t="s">
        <v>190</v>
      </c>
      <c r="D258" t="s">
        <v>232</v>
      </c>
      <c r="E258" t="s">
        <v>234</v>
      </c>
      <c r="F258" s="17">
        <v>19800</v>
      </c>
      <c r="G258" s="17">
        <v>653</v>
      </c>
      <c r="H258" s="17">
        <v>20453</v>
      </c>
      <c r="I258">
        <f>VLOOKUP(C258,LEAIDs!$A$2:$B$305,2,FALSE)</f>
        <v>0</v>
      </c>
    </row>
    <row r="259" spans="1:9" x14ac:dyDescent="0.2">
      <c r="A259">
        <v>0</v>
      </c>
      <c r="B259">
        <v>2017</v>
      </c>
      <c r="C259" t="s">
        <v>190</v>
      </c>
      <c r="D259" t="s">
        <v>232</v>
      </c>
      <c r="E259" t="s">
        <v>234</v>
      </c>
      <c r="F259" s="17">
        <v>68829</v>
      </c>
      <c r="G259" s="17">
        <v>2377</v>
      </c>
      <c r="H259" s="17">
        <v>71206</v>
      </c>
      <c r="I259">
        <f>VLOOKUP(C259,LEAIDs!$A$2:$B$305,2,FALSE)</f>
        <v>0</v>
      </c>
    </row>
    <row r="260" spans="1:9" x14ac:dyDescent="0.2">
      <c r="A260">
        <v>0</v>
      </c>
      <c r="B260">
        <v>2018</v>
      </c>
      <c r="C260" t="s">
        <v>190</v>
      </c>
      <c r="D260" t="s">
        <v>232</v>
      </c>
      <c r="E260" t="s">
        <v>234</v>
      </c>
      <c r="F260" s="17">
        <v>77362</v>
      </c>
      <c r="G260" s="17">
        <v>2546</v>
      </c>
      <c r="H260" s="17">
        <v>79908</v>
      </c>
      <c r="I260">
        <f>VLOOKUP(C260,LEAIDs!$A$2:$B$305,2,FALSE)</f>
        <v>0</v>
      </c>
    </row>
    <row r="261" spans="1:9" x14ac:dyDescent="0.2">
      <c r="A261">
        <v>0</v>
      </c>
      <c r="B261">
        <v>2019</v>
      </c>
      <c r="C261" t="s">
        <v>190</v>
      </c>
      <c r="D261" t="s">
        <v>232</v>
      </c>
      <c r="E261" t="s">
        <v>234</v>
      </c>
      <c r="F261" s="17">
        <v>141045</v>
      </c>
      <c r="G261" s="17">
        <v>4734</v>
      </c>
      <c r="H261" s="17">
        <v>145779</v>
      </c>
      <c r="I261">
        <f>VLOOKUP(C261,LEAIDs!$A$2:$B$305,2,FALSE)</f>
        <v>0</v>
      </c>
    </row>
    <row r="262" spans="1:9" x14ac:dyDescent="0.2">
      <c r="A262">
        <v>0</v>
      </c>
      <c r="B262">
        <v>2020</v>
      </c>
      <c r="C262" t="s">
        <v>190</v>
      </c>
      <c r="D262" t="s">
        <v>232</v>
      </c>
      <c r="E262" t="s">
        <v>234</v>
      </c>
      <c r="F262" s="17">
        <v>115225</v>
      </c>
      <c r="G262" s="17">
        <v>4066</v>
      </c>
      <c r="H262" s="17">
        <v>119291</v>
      </c>
      <c r="I262">
        <f>VLOOKUP(C262,LEAIDs!$A$2:$B$305,2,FALSE)</f>
        <v>0</v>
      </c>
    </row>
    <row r="263" spans="1:9" x14ac:dyDescent="0.2">
      <c r="A263">
        <v>0</v>
      </c>
      <c r="B263" s="2">
        <v>2021</v>
      </c>
      <c r="C263" s="4" t="s">
        <v>190</v>
      </c>
      <c r="D263" s="2" t="s">
        <v>232</v>
      </c>
      <c r="E263" s="2" t="s">
        <v>234</v>
      </c>
      <c r="F263" s="16">
        <v>62271</v>
      </c>
      <c r="G263" s="16">
        <v>2167</v>
      </c>
      <c r="H263" s="15">
        <v>64438</v>
      </c>
      <c r="I263">
        <f>VLOOKUP(C263,LEAIDs!$A$2:$B$305,2,FALSE)</f>
        <v>0</v>
      </c>
    </row>
    <row r="264" spans="1:9" x14ac:dyDescent="0.2">
      <c r="A264">
        <v>0</v>
      </c>
      <c r="B264" s="2">
        <v>2022</v>
      </c>
      <c r="C264" s="4" t="s">
        <v>190</v>
      </c>
      <c r="D264" s="2" t="s">
        <v>232</v>
      </c>
      <c r="E264" s="2" t="s">
        <v>234</v>
      </c>
      <c r="F264" s="16">
        <v>115670</v>
      </c>
      <c r="G264" s="16">
        <v>4133</v>
      </c>
      <c r="H264" s="15">
        <v>119803</v>
      </c>
      <c r="I264">
        <f>VLOOKUP(C264,LEAIDs!$A$2:$B$305,2,FALSE)</f>
        <v>0</v>
      </c>
    </row>
    <row r="265" spans="1:9" x14ac:dyDescent="0.2">
      <c r="A265">
        <v>0</v>
      </c>
      <c r="B265" s="2">
        <v>2023</v>
      </c>
      <c r="C265" s="2" t="s">
        <v>190</v>
      </c>
      <c r="D265" s="2" t="s">
        <v>232</v>
      </c>
      <c r="E265" s="2" t="s">
        <v>234</v>
      </c>
      <c r="F265" s="15">
        <v>140084</v>
      </c>
      <c r="G265" s="15">
        <v>4994</v>
      </c>
      <c r="H265" s="15">
        <v>145078</v>
      </c>
      <c r="I265">
        <f>VLOOKUP(C265,LEAIDs!$A$2:$B$305,2,FALSE)</f>
        <v>0</v>
      </c>
    </row>
    <row r="266" spans="1:9" x14ac:dyDescent="0.2">
      <c r="A266">
        <v>0</v>
      </c>
      <c r="B266">
        <v>2015</v>
      </c>
      <c r="C266" t="s">
        <v>313</v>
      </c>
      <c r="D266" t="s">
        <v>232</v>
      </c>
      <c r="E266" t="s">
        <v>234</v>
      </c>
      <c r="F266" s="17">
        <v>11602</v>
      </c>
      <c r="G266" s="17">
        <v>357</v>
      </c>
      <c r="H266" s="17">
        <v>11959</v>
      </c>
      <c r="I266">
        <f>VLOOKUP(C266,LEAIDs!$A$2:$B$305,2,FALSE)</f>
        <v>0</v>
      </c>
    </row>
    <row r="267" spans="1:9" x14ac:dyDescent="0.2">
      <c r="A267">
        <v>0</v>
      </c>
      <c r="B267">
        <v>2016</v>
      </c>
      <c r="C267" t="s">
        <v>242</v>
      </c>
      <c r="D267" t="s">
        <v>232</v>
      </c>
      <c r="E267" t="s">
        <v>234</v>
      </c>
      <c r="F267" s="17">
        <v>22243</v>
      </c>
      <c r="G267" s="17">
        <v>734</v>
      </c>
      <c r="H267" s="17">
        <v>22977</v>
      </c>
      <c r="I267">
        <f>VLOOKUP(C267,LEAIDs!$A$2:$B$305,2,FALSE)</f>
        <v>0</v>
      </c>
    </row>
    <row r="268" spans="1:9" x14ac:dyDescent="0.2">
      <c r="A268">
        <v>0</v>
      </c>
      <c r="B268">
        <v>2017</v>
      </c>
      <c r="C268" t="s">
        <v>242</v>
      </c>
      <c r="D268" t="s">
        <v>232</v>
      </c>
      <c r="E268" t="s">
        <v>234</v>
      </c>
      <c r="F268" s="17">
        <v>32872</v>
      </c>
      <c r="G268" s="17">
        <v>1135</v>
      </c>
      <c r="H268" s="17">
        <v>34007</v>
      </c>
      <c r="I268">
        <f>VLOOKUP(C268,LEAIDs!$A$2:$B$305,2,FALSE)</f>
        <v>0</v>
      </c>
    </row>
    <row r="269" spans="1:9" x14ac:dyDescent="0.2">
      <c r="A269">
        <v>0</v>
      </c>
      <c r="B269">
        <v>2018</v>
      </c>
      <c r="C269" t="s">
        <v>242</v>
      </c>
      <c r="D269" t="s">
        <v>232</v>
      </c>
      <c r="E269" t="s">
        <v>234</v>
      </c>
      <c r="F269" s="17">
        <v>50200</v>
      </c>
      <c r="G269" s="17">
        <v>1652</v>
      </c>
      <c r="H269" s="17">
        <v>51852</v>
      </c>
      <c r="I269">
        <f>VLOOKUP(C269,LEAIDs!$A$2:$B$305,2,FALSE)</f>
        <v>0</v>
      </c>
    </row>
    <row r="270" spans="1:9" x14ac:dyDescent="0.2">
      <c r="A270">
        <v>0</v>
      </c>
      <c r="B270">
        <v>2019</v>
      </c>
      <c r="C270" t="s">
        <v>242</v>
      </c>
      <c r="D270" t="s">
        <v>232</v>
      </c>
      <c r="E270" t="s">
        <v>234</v>
      </c>
      <c r="F270" s="17">
        <v>80163</v>
      </c>
      <c r="G270" s="17">
        <v>2690</v>
      </c>
      <c r="H270" s="17">
        <v>82853</v>
      </c>
      <c r="I270">
        <f>VLOOKUP(C270,LEAIDs!$A$2:$B$305,2,FALSE)</f>
        <v>0</v>
      </c>
    </row>
    <row r="271" spans="1:9" x14ac:dyDescent="0.2">
      <c r="A271">
        <v>0</v>
      </c>
      <c r="B271">
        <v>2020</v>
      </c>
      <c r="C271" t="s">
        <v>242</v>
      </c>
      <c r="D271" t="s">
        <v>232</v>
      </c>
      <c r="E271" t="s">
        <v>234</v>
      </c>
      <c r="F271" s="17">
        <v>82980</v>
      </c>
      <c r="G271" s="17">
        <v>2928</v>
      </c>
      <c r="H271" s="17">
        <v>85908</v>
      </c>
      <c r="I271">
        <f>VLOOKUP(C271,LEAIDs!$A$2:$B$305,2,FALSE)</f>
        <v>0</v>
      </c>
    </row>
    <row r="272" spans="1:9" x14ac:dyDescent="0.2">
      <c r="A272">
        <v>0</v>
      </c>
      <c r="B272" s="2">
        <v>2021</v>
      </c>
      <c r="C272" s="4" t="s">
        <v>242</v>
      </c>
      <c r="D272" s="2" t="s">
        <v>232</v>
      </c>
      <c r="E272" s="2" t="s">
        <v>234</v>
      </c>
      <c r="F272" s="16">
        <v>84486</v>
      </c>
      <c r="G272" s="16">
        <v>2941</v>
      </c>
      <c r="H272" s="15">
        <v>87427</v>
      </c>
      <c r="I272">
        <f>VLOOKUP(C272,LEAIDs!$A$2:$B$305,2,FALSE)</f>
        <v>0</v>
      </c>
    </row>
    <row r="273" spans="1:9" x14ac:dyDescent="0.2">
      <c r="A273">
        <v>0</v>
      </c>
      <c r="B273" s="2">
        <v>2022</v>
      </c>
      <c r="C273" s="4" t="s">
        <v>242</v>
      </c>
      <c r="D273" s="2" t="s">
        <v>232</v>
      </c>
      <c r="E273" s="2" t="s">
        <v>234</v>
      </c>
      <c r="F273" s="16">
        <v>108327</v>
      </c>
      <c r="G273" s="16">
        <v>3870</v>
      </c>
      <c r="H273" s="15">
        <v>112197</v>
      </c>
      <c r="I273">
        <f>VLOOKUP(C273,LEAIDs!$A$2:$B$305,2,FALSE)</f>
        <v>0</v>
      </c>
    </row>
    <row r="274" spans="1:9" x14ac:dyDescent="0.2">
      <c r="A274">
        <v>0</v>
      </c>
      <c r="B274">
        <v>2015</v>
      </c>
      <c r="C274" t="s">
        <v>314</v>
      </c>
      <c r="D274" t="s">
        <v>232</v>
      </c>
      <c r="E274" t="s">
        <v>234</v>
      </c>
      <c r="F274" s="17">
        <v>18725</v>
      </c>
      <c r="G274" s="17">
        <v>576</v>
      </c>
      <c r="H274" s="17">
        <v>19301</v>
      </c>
      <c r="I274">
        <f>VLOOKUP(C274,LEAIDs!$A$2:$B$305,2,FALSE)</f>
        <v>0</v>
      </c>
    </row>
    <row r="275" spans="1:9" x14ac:dyDescent="0.2">
      <c r="A275">
        <v>0</v>
      </c>
      <c r="B275">
        <v>2015</v>
      </c>
      <c r="C275" t="s">
        <v>259</v>
      </c>
      <c r="D275" t="s">
        <v>232</v>
      </c>
      <c r="E275" t="s">
        <v>234</v>
      </c>
      <c r="F275" s="17">
        <v>93538</v>
      </c>
      <c r="G275" s="17">
        <v>2875</v>
      </c>
      <c r="H275" s="17">
        <v>96413</v>
      </c>
      <c r="I275">
        <f>VLOOKUP(C275,LEAIDs!$A$2:$B$305,2,FALSE)</f>
        <v>0</v>
      </c>
    </row>
    <row r="276" spans="1:9" x14ac:dyDescent="0.2">
      <c r="A276">
        <v>0</v>
      </c>
      <c r="B276">
        <v>2016</v>
      </c>
      <c r="C276" t="s">
        <v>259</v>
      </c>
      <c r="D276" t="s">
        <v>232</v>
      </c>
      <c r="E276" t="s">
        <v>234</v>
      </c>
      <c r="F276" s="17">
        <v>118372</v>
      </c>
      <c r="G276" s="17">
        <v>3905</v>
      </c>
      <c r="H276" s="17">
        <v>122277</v>
      </c>
      <c r="I276">
        <f>VLOOKUP(C276,LEAIDs!$A$2:$B$305,2,FALSE)</f>
        <v>0</v>
      </c>
    </row>
    <row r="277" spans="1:9" x14ac:dyDescent="0.2">
      <c r="A277">
        <v>0</v>
      </c>
      <c r="B277">
        <v>2017</v>
      </c>
      <c r="C277" t="s">
        <v>259</v>
      </c>
      <c r="D277" t="s">
        <v>232</v>
      </c>
      <c r="E277" t="s">
        <v>234</v>
      </c>
      <c r="F277" s="17">
        <v>146064</v>
      </c>
      <c r="G277" s="17">
        <v>5045</v>
      </c>
      <c r="H277" s="17">
        <v>151109</v>
      </c>
      <c r="I277">
        <f>VLOOKUP(C277,LEAIDs!$A$2:$B$305,2,FALSE)</f>
        <v>0</v>
      </c>
    </row>
    <row r="278" spans="1:9" x14ac:dyDescent="0.2">
      <c r="A278">
        <v>0</v>
      </c>
      <c r="B278">
        <v>2018</v>
      </c>
      <c r="C278" t="s">
        <v>259</v>
      </c>
      <c r="D278" t="s">
        <v>232</v>
      </c>
      <c r="E278" t="s">
        <v>234</v>
      </c>
      <c r="F278" s="17">
        <v>190947</v>
      </c>
      <c r="G278" s="17">
        <v>6284</v>
      </c>
      <c r="H278" s="17">
        <v>197231</v>
      </c>
      <c r="I278">
        <f>VLOOKUP(C278,LEAIDs!$A$2:$B$305,2,FALSE)</f>
        <v>0</v>
      </c>
    </row>
    <row r="279" spans="1:9" x14ac:dyDescent="0.2">
      <c r="A279">
        <v>0</v>
      </c>
      <c r="B279">
        <v>2019</v>
      </c>
      <c r="C279" t="s">
        <v>259</v>
      </c>
      <c r="D279" t="s">
        <v>232</v>
      </c>
      <c r="E279" t="s">
        <v>234</v>
      </c>
      <c r="F279" s="17">
        <v>196962</v>
      </c>
      <c r="G279" s="17">
        <v>6610</v>
      </c>
      <c r="H279" s="17">
        <v>203572</v>
      </c>
      <c r="I279">
        <f>VLOOKUP(C279,LEAIDs!$A$2:$B$305,2,FALSE)</f>
        <v>0</v>
      </c>
    </row>
    <row r="280" spans="1:9" x14ac:dyDescent="0.2">
      <c r="A280">
        <v>0</v>
      </c>
      <c r="B280">
        <v>2020</v>
      </c>
      <c r="C280" t="s">
        <v>259</v>
      </c>
      <c r="D280" t="s">
        <v>232</v>
      </c>
      <c r="E280" t="s">
        <v>234</v>
      </c>
      <c r="F280" s="17">
        <v>283386</v>
      </c>
      <c r="G280" s="17">
        <v>10000</v>
      </c>
      <c r="H280" s="17">
        <v>293386</v>
      </c>
      <c r="I280">
        <f>VLOOKUP(C280,LEAIDs!$A$2:$B$305,2,FALSE)</f>
        <v>0</v>
      </c>
    </row>
    <row r="281" spans="1:9" x14ac:dyDescent="0.2">
      <c r="A281">
        <v>0</v>
      </c>
      <c r="B281" s="2">
        <v>2021</v>
      </c>
      <c r="C281" s="4" t="s">
        <v>259</v>
      </c>
      <c r="D281" s="2" t="s">
        <v>232</v>
      </c>
      <c r="E281" s="2" t="s">
        <v>234</v>
      </c>
      <c r="F281" s="16">
        <v>322449</v>
      </c>
      <c r="G281" s="16">
        <v>11224</v>
      </c>
      <c r="H281" s="15">
        <v>333673</v>
      </c>
      <c r="I281">
        <f>VLOOKUP(C281,LEAIDs!$A$2:$B$305,2,FALSE)</f>
        <v>0</v>
      </c>
    </row>
    <row r="282" spans="1:9" x14ac:dyDescent="0.2">
      <c r="A282">
        <v>0</v>
      </c>
      <c r="B282" s="2">
        <v>2022</v>
      </c>
      <c r="C282" s="4" t="s">
        <v>259</v>
      </c>
      <c r="D282" s="2" t="s">
        <v>232</v>
      </c>
      <c r="E282" s="2" t="s">
        <v>234</v>
      </c>
      <c r="F282" s="16">
        <v>329765</v>
      </c>
      <c r="G282" s="16">
        <v>11782</v>
      </c>
      <c r="H282" s="15">
        <v>341547</v>
      </c>
      <c r="I282">
        <f>VLOOKUP(C282,LEAIDs!$A$2:$B$305,2,FALSE)</f>
        <v>0</v>
      </c>
    </row>
    <row r="283" spans="1:9" x14ac:dyDescent="0.2">
      <c r="A283">
        <v>0</v>
      </c>
      <c r="B283">
        <v>2015</v>
      </c>
      <c r="C283" t="s">
        <v>158</v>
      </c>
      <c r="D283" t="s">
        <v>232</v>
      </c>
      <c r="E283" t="s">
        <v>234</v>
      </c>
      <c r="F283" s="17">
        <v>199531</v>
      </c>
      <c r="G283" s="17">
        <v>6134</v>
      </c>
      <c r="H283" s="17">
        <v>205665</v>
      </c>
      <c r="I283">
        <f>VLOOKUP(C283,LEAIDs!$A$2:$B$305,2,FALSE)</f>
        <v>0</v>
      </c>
    </row>
    <row r="284" spans="1:9" x14ac:dyDescent="0.2">
      <c r="A284">
        <v>0</v>
      </c>
      <c r="B284">
        <v>2016</v>
      </c>
      <c r="C284" t="s">
        <v>158</v>
      </c>
      <c r="D284" t="s">
        <v>232</v>
      </c>
      <c r="E284" t="s">
        <v>234</v>
      </c>
      <c r="F284" s="17">
        <v>202783</v>
      </c>
      <c r="G284" s="17">
        <v>6689</v>
      </c>
      <c r="H284" s="17">
        <v>209472</v>
      </c>
      <c r="I284">
        <f>VLOOKUP(C284,LEAIDs!$A$2:$B$305,2,FALSE)</f>
        <v>0</v>
      </c>
    </row>
    <row r="285" spans="1:9" x14ac:dyDescent="0.2">
      <c r="A285">
        <v>0</v>
      </c>
      <c r="B285">
        <v>2017</v>
      </c>
      <c r="C285" t="s">
        <v>158</v>
      </c>
      <c r="D285" t="s">
        <v>232</v>
      </c>
      <c r="E285" t="s">
        <v>234</v>
      </c>
      <c r="F285" s="17">
        <v>135549</v>
      </c>
      <c r="G285" s="17">
        <v>4682</v>
      </c>
      <c r="H285" s="17">
        <v>140231</v>
      </c>
      <c r="I285">
        <f>VLOOKUP(C285,LEAIDs!$A$2:$B$305,2,FALSE)</f>
        <v>0</v>
      </c>
    </row>
    <row r="286" spans="1:9" x14ac:dyDescent="0.2">
      <c r="A286">
        <v>0</v>
      </c>
      <c r="B286">
        <v>2018</v>
      </c>
      <c r="C286" t="s">
        <v>158</v>
      </c>
      <c r="D286" t="s">
        <v>232</v>
      </c>
      <c r="E286" t="s">
        <v>234</v>
      </c>
      <c r="F286" s="17">
        <v>104175</v>
      </c>
      <c r="G286" s="17">
        <v>3428</v>
      </c>
      <c r="H286" s="17">
        <v>107603</v>
      </c>
      <c r="I286">
        <f>VLOOKUP(C286,LEAIDs!$A$2:$B$305,2,FALSE)</f>
        <v>0</v>
      </c>
    </row>
    <row r="287" spans="1:9" x14ac:dyDescent="0.2">
      <c r="A287">
        <v>0</v>
      </c>
      <c r="B287">
        <v>2019</v>
      </c>
      <c r="C287" t="s">
        <v>158</v>
      </c>
      <c r="D287" t="s">
        <v>232</v>
      </c>
      <c r="E287" t="s">
        <v>234</v>
      </c>
      <c r="F287" s="17">
        <v>101329</v>
      </c>
      <c r="G287" s="17">
        <v>3401</v>
      </c>
      <c r="H287" s="17">
        <v>104730</v>
      </c>
      <c r="I287">
        <f>VLOOKUP(C287,LEAIDs!$A$2:$B$305,2,FALSE)</f>
        <v>0</v>
      </c>
    </row>
    <row r="288" spans="1:9" x14ac:dyDescent="0.2">
      <c r="A288">
        <v>0</v>
      </c>
      <c r="B288">
        <v>2020</v>
      </c>
      <c r="C288" t="s">
        <v>158</v>
      </c>
      <c r="D288" t="s">
        <v>232</v>
      </c>
      <c r="E288" t="s">
        <v>234</v>
      </c>
      <c r="F288" s="17">
        <v>97433</v>
      </c>
      <c r="G288" s="17">
        <v>3438</v>
      </c>
      <c r="H288" s="17">
        <v>100871</v>
      </c>
      <c r="I288">
        <f>VLOOKUP(C288,LEAIDs!$A$2:$B$305,2,FALSE)</f>
        <v>0</v>
      </c>
    </row>
    <row r="289" spans="1:9" x14ac:dyDescent="0.2">
      <c r="A289">
        <v>0</v>
      </c>
      <c r="B289" s="2">
        <v>2021</v>
      </c>
      <c r="C289" s="4" t="s">
        <v>158</v>
      </c>
      <c r="D289" s="2" t="s">
        <v>232</v>
      </c>
      <c r="E289" s="2" t="s">
        <v>234</v>
      </c>
      <c r="F289" s="16">
        <v>105524</v>
      </c>
      <c r="G289" s="16">
        <v>3673</v>
      </c>
      <c r="H289" s="15">
        <v>109197</v>
      </c>
      <c r="I289">
        <f>VLOOKUP(C289,LEAIDs!$A$2:$B$305,2,FALSE)</f>
        <v>0</v>
      </c>
    </row>
    <row r="290" spans="1:9" x14ac:dyDescent="0.2">
      <c r="A290">
        <v>0</v>
      </c>
      <c r="B290" s="2">
        <v>2022</v>
      </c>
      <c r="C290" s="4" t="s">
        <v>158</v>
      </c>
      <c r="D290" s="2" t="s">
        <v>232</v>
      </c>
      <c r="E290" s="2" t="s">
        <v>234</v>
      </c>
      <c r="F290" s="16">
        <v>106681</v>
      </c>
      <c r="G290" s="16">
        <v>3811</v>
      </c>
      <c r="H290" s="15">
        <v>110492</v>
      </c>
      <c r="I290">
        <f>VLOOKUP(C290,LEAIDs!$A$2:$B$305,2,FALSE)</f>
        <v>0</v>
      </c>
    </row>
    <row r="291" spans="1:9" x14ac:dyDescent="0.2">
      <c r="A291">
        <v>0</v>
      </c>
      <c r="B291" s="2">
        <v>2023</v>
      </c>
      <c r="C291" s="2" t="s">
        <v>158</v>
      </c>
      <c r="D291" s="2" t="s">
        <v>232</v>
      </c>
      <c r="E291" s="2" t="s">
        <v>234</v>
      </c>
      <c r="F291" s="15">
        <v>103304</v>
      </c>
      <c r="G291" s="15">
        <v>3683</v>
      </c>
      <c r="H291" s="15">
        <v>106987</v>
      </c>
      <c r="I291">
        <f>VLOOKUP(C291,LEAIDs!$A$2:$B$305,2,FALSE)</f>
        <v>0</v>
      </c>
    </row>
    <row r="292" spans="1:9" x14ac:dyDescent="0.2">
      <c r="A292">
        <v>0</v>
      </c>
      <c r="B292">
        <v>2019</v>
      </c>
      <c r="C292" t="s">
        <v>260</v>
      </c>
      <c r="D292" t="s">
        <v>232</v>
      </c>
      <c r="E292" t="s">
        <v>234</v>
      </c>
      <c r="F292" s="17">
        <v>20375</v>
      </c>
      <c r="G292" s="17">
        <v>684</v>
      </c>
      <c r="H292" s="17">
        <v>21059</v>
      </c>
      <c r="I292">
        <f>VLOOKUP(C292,LEAIDs!$A$2:$B$305,2,FALSE)</f>
        <v>0</v>
      </c>
    </row>
    <row r="293" spans="1:9" x14ac:dyDescent="0.2">
      <c r="A293">
        <v>0</v>
      </c>
      <c r="B293">
        <v>2020</v>
      </c>
      <c r="C293" t="s">
        <v>260</v>
      </c>
      <c r="D293" t="s">
        <v>232</v>
      </c>
      <c r="E293" t="s">
        <v>234</v>
      </c>
      <c r="F293" s="17">
        <v>21191</v>
      </c>
      <c r="G293" s="17">
        <v>748</v>
      </c>
      <c r="H293" s="17">
        <v>21939</v>
      </c>
      <c r="I293">
        <f>VLOOKUP(C293,LEAIDs!$A$2:$B$305,2,FALSE)</f>
        <v>0</v>
      </c>
    </row>
    <row r="294" spans="1:9" x14ac:dyDescent="0.2">
      <c r="A294">
        <v>0</v>
      </c>
      <c r="B294" s="2">
        <v>2021</v>
      </c>
      <c r="C294" s="4" t="s">
        <v>260</v>
      </c>
      <c r="D294" s="2" t="s">
        <v>232</v>
      </c>
      <c r="E294" s="2" t="s">
        <v>234</v>
      </c>
      <c r="F294" s="16">
        <v>22364</v>
      </c>
      <c r="G294" s="16">
        <v>778</v>
      </c>
      <c r="H294" s="15">
        <v>23142</v>
      </c>
      <c r="I294">
        <f>VLOOKUP(C294,LEAIDs!$A$2:$B$305,2,FALSE)</f>
        <v>0</v>
      </c>
    </row>
    <row r="295" spans="1:9" x14ac:dyDescent="0.2">
      <c r="A295">
        <v>0</v>
      </c>
      <c r="B295" s="2">
        <v>2022</v>
      </c>
      <c r="C295" s="4" t="s">
        <v>260</v>
      </c>
      <c r="D295" s="2" t="s">
        <v>232</v>
      </c>
      <c r="E295" s="2" t="s">
        <v>234</v>
      </c>
      <c r="F295" s="16">
        <v>22384</v>
      </c>
      <c r="G295" s="16">
        <v>800</v>
      </c>
      <c r="H295" s="15">
        <v>23184</v>
      </c>
      <c r="I295">
        <f>VLOOKUP(C295,LEAIDs!$A$2:$B$305,2,FALSE)</f>
        <v>0</v>
      </c>
    </row>
    <row r="296" spans="1:9" x14ac:dyDescent="0.2">
      <c r="A296">
        <v>0</v>
      </c>
      <c r="B296">
        <v>2015</v>
      </c>
      <c r="C296" t="s">
        <v>196</v>
      </c>
      <c r="D296" t="s">
        <v>232</v>
      </c>
      <c r="E296" t="s">
        <v>234</v>
      </c>
      <c r="F296" s="17">
        <v>136953</v>
      </c>
      <c r="G296" s="17">
        <v>4210</v>
      </c>
      <c r="H296" s="17">
        <v>141163</v>
      </c>
      <c r="I296">
        <f>VLOOKUP(C296,LEAIDs!$A$2:$B$305,2,FALSE)</f>
        <v>0</v>
      </c>
    </row>
    <row r="297" spans="1:9" x14ac:dyDescent="0.2">
      <c r="A297">
        <v>0</v>
      </c>
      <c r="B297">
        <v>2016</v>
      </c>
      <c r="C297" t="s">
        <v>196</v>
      </c>
      <c r="D297" t="s">
        <v>232</v>
      </c>
      <c r="E297" t="s">
        <v>234</v>
      </c>
      <c r="F297" s="17">
        <v>144390</v>
      </c>
      <c r="G297" s="17">
        <v>4763</v>
      </c>
      <c r="H297" s="17">
        <v>149153</v>
      </c>
      <c r="I297">
        <f>VLOOKUP(C297,LEAIDs!$A$2:$B$305,2,FALSE)</f>
        <v>0</v>
      </c>
    </row>
    <row r="298" spans="1:9" x14ac:dyDescent="0.2">
      <c r="A298">
        <v>0</v>
      </c>
      <c r="B298">
        <v>2017</v>
      </c>
      <c r="C298" t="s">
        <v>196</v>
      </c>
      <c r="D298" t="s">
        <v>232</v>
      </c>
      <c r="E298" t="s">
        <v>234</v>
      </c>
      <c r="F298" s="17">
        <v>128950</v>
      </c>
      <c r="G298" s="17">
        <v>4454</v>
      </c>
      <c r="H298" s="17">
        <v>133404</v>
      </c>
      <c r="I298">
        <f>VLOOKUP(C298,LEAIDs!$A$2:$B$305,2,FALSE)</f>
        <v>0</v>
      </c>
    </row>
    <row r="299" spans="1:9" x14ac:dyDescent="0.2">
      <c r="A299">
        <v>0</v>
      </c>
      <c r="B299">
        <v>2018</v>
      </c>
      <c r="C299" t="s">
        <v>196</v>
      </c>
      <c r="D299" t="s">
        <v>232</v>
      </c>
      <c r="E299" t="s">
        <v>234</v>
      </c>
      <c r="F299" s="17">
        <v>110604</v>
      </c>
      <c r="G299" s="17">
        <v>3640</v>
      </c>
      <c r="H299" s="17">
        <v>114244</v>
      </c>
      <c r="I299">
        <f>VLOOKUP(C299,LEAIDs!$A$2:$B$305,2,FALSE)</f>
        <v>0</v>
      </c>
    </row>
    <row r="300" spans="1:9" x14ac:dyDescent="0.2">
      <c r="A300">
        <v>0</v>
      </c>
      <c r="B300">
        <v>2019</v>
      </c>
      <c r="C300" t="s">
        <v>196</v>
      </c>
      <c r="D300" t="s">
        <v>232</v>
      </c>
      <c r="E300" t="s">
        <v>234</v>
      </c>
      <c r="F300" s="17">
        <v>105516</v>
      </c>
      <c r="G300" s="17">
        <v>3541</v>
      </c>
      <c r="H300" s="17">
        <v>109057</v>
      </c>
      <c r="I300">
        <f>VLOOKUP(C300,LEAIDs!$A$2:$B$305,2,FALSE)</f>
        <v>0</v>
      </c>
    </row>
    <row r="301" spans="1:9" x14ac:dyDescent="0.2">
      <c r="A301">
        <v>0</v>
      </c>
      <c r="B301">
        <v>2020</v>
      </c>
      <c r="C301" t="s">
        <v>196</v>
      </c>
      <c r="D301" t="s">
        <v>232</v>
      </c>
      <c r="E301" t="s">
        <v>234</v>
      </c>
      <c r="F301" s="17">
        <v>109833</v>
      </c>
      <c r="G301" s="17">
        <v>3876</v>
      </c>
      <c r="H301" s="17">
        <v>113709</v>
      </c>
      <c r="I301">
        <f>VLOOKUP(C301,LEAIDs!$A$2:$B$305,2,FALSE)</f>
        <v>0</v>
      </c>
    </row>
    <row r="302" spans="1:9" x14ac:dyDescent="0.2">
      <c r="A302">
        <v>0</v>
      </c>
      <c r="B302" s="2">
        <v>2021</v>
      </c>
      <c r="C302" s="4" t="s">
        <v>196</v>
      </c>
      <c r="D302" s="2" t="s">
        <v>232</v>
      </c>
      <c r="E302" s="2" t="s">
        <v>234</v>
      </c>
      <c r="F302" s="16">
        <v>110855</v>
      </c>
      <c r="G302" s="16">
        <v>3859</v>
      </c>
      <c r="H302" s="15">
        <v>114714</v>
      </c>
      <c r="I302">
        <f>VLOOKUP(C302,LEAIDs!$A$2:$B$305,2,FALSE)</f>
        <v>0</v>
      </c>
    </row>
    <row r="303" spans="1:9" x14ac:dyDescent="0.2">
      <c r="A303">
        <v>0</v>
      </c>
      <c r="B303" s="2">
        <v>2022</v>
      </c>
      <c r="C303" s="4" t="s">
        <v>196</v>
      </c>
      <c r="D303" s="2" t="s">
        <v>232</v>
      </c>
      <c r="E303" s="2" t="s">
        <v>234</v>
      </c>
      <c r="F303" s="16">
        <v>96666</v>
      </c>
      <c r="G303" s="16">
        <v>3454</v>
      </c>
      <c r="H303" s="15">
        <v>100120</v>
      </c>
      <c r="I303">
        <f>VLOOKUP(C303,LEAIDs!$A$2:$B$305,2,FALSE)</f>
        <v>0</v>
      </c>
    </row>
    <row r="304" spans="1:9" x14ac:dyDescent="0.2">
      <c r="A304">
        <v>0</v>
      </c>
      <c r="B304" s="2">
        <v>2023</v>
      </c>
      <c r="C304" s="2" t="s">
        <v>196</v>
      </c>
      <c r="D304" s="2" t="s">
        <v>232</v>
      </c>
      <c r="E304" s="2" t="s">
        <v>234</v>
      </c>
      <c r="F304" s="15">
        <v>81987</v>
      </c>
      <c r="G304" s="15">
        <v>2923</v>
      </c>
      <c r="H304" s="15">
        <v>84910</v>
      </c>
      <c r="I304">
        <f>VLOOKUP(C304,LEAIDs!$A$2:$B$305,2,FALSE)</f>
        <v>0</v>
      </c>
    </row>
    <row r="305" spans="1:9" x14ac:dyDescent="0.2">
      <c r="A305">
        <v>0</v>
      </c>
      <c r="B305" s="2">
        <v>2023</v>
      </c>
      <c r="C305" s="2" t="s">
        <v>205</v>
      </c>
      <c r="D305" s="2" t="s">
        <v>232</v>
      </c>
      <c r="E305" s="2" t="s">
        <v>234</v>
      </c>
      <c r="F305" s="15">
        <v>20343</v>
      </c>
      <c r="G305" s="15">
        <v>725</v>
      </c>
      <c r="H305" s="15">
        <v>21068</v>
      </c>
      <c r="I305">
        <f>VLOOKUP(C305,LEAIDs!$A$2:$B$305,2,FALSE)</f>
        <v>0</v>
      </c>
    </row>
    <row r="306" spans="1:9" x14ac:dyDescent="0.2">
      <c r="A306">
        <v>0</v>
      </c>
      <c r="B306" s="2">
        <v>2023</v>
      </c>
      <c r="C306" s="2" t="s">
        <v>156</v>
      </c>
      <c r="D306" s="2" t="s">
        <v>232</v>
      </c>
      <c r="E306" s="2" t="s">
        <v>234</v>
      </c>
      <c r="F306" s="15">
        <v>129899</v>
      </c>
      <c r="G306" s="15">
        <v>4631</v>
      </c>
      <c r="H306" s="15">
        <v>134530</v>
      </c>
      <c r="I306">
        <f>VLOOKUP(C306,LEAIDs!$A$2:$B$305,2,FALSE)</f>
        <v>0</v>
      </c>
    </row>
    <row r="307" spans="1:9" x14ac:dyDescent="0.2">
      <c r="A307">
        <v>0</v>
      </c>
      <c r="B307" s="2">
        <v>2023</v>
      </c>
      <c r="C307" s="2" t="s">
        <v>225</v>
      </c>
      <c r="D307" s="2" t="s">
        <v>232</v>
      </c>
      <c r="E307" s="2" t="s">
        <v>234</v>
      </c>
      <c r="F307" s="15">
        <v>8332</v>
      </c>
      <c r="G307" s="15">
        <v>297</v>
      </c>
      <c r="H307" s="15">
        <v>8629</v>
      </c>
      <c r="I307">
        <f>VLOOKUP(C307,LEAIDs!$A$2:$B$305,2,FALSE)</f>
        <v>0</v>
      </c>
    </row>
    <row r="308" spans="1:9" x14ac:dyDescent="0.2">
      <c r="A308">
        <v>0</v>
      </c>
      <c r="B308" s="2">
        <v>2023</v>
      </c>
      <c r="C308" s="2" t="s">
        <v>157</v>
      </c>
      <c r="D308" s="2" t="s">
        <v>232</v>
      </c>
      <c r="E308" s="2" t="s">
        <v>234</v>
      </c>
      <c r="F308" s="15">
        <v>31915</v>
      </c>
      <c r="G308" s="15">
        <v>1138</v>
      </c>
      <c r="H308" s="15">
        <v>33053</v>
      </c>
      <c r="I308">
        <f>VLOOKUP(C308,LEAIDs!$A$2:$B$305,2,FALSE)</f>
        <v>0</v>
      </c>
    </row>
    <row r="309" spans="1:9" x14ac:dyDescent="0.2">
      <c r="A309">
        <v>0</v>
      </c>
      <c r="B309" s="2">
        <v>2023</v>
      </c>
      <c r="C309" s="2" t="s">
        <v>224</v>
      </c>
      <c r="D309" s="2" t="s">
        <v>232</v>
      </c>
      <c r="E309" s="2" t="s">
        <v>234</v>
      </c>
      <c r="F309" s="15">
        <v>30835</v>
      </c>
      <c r="G309" s="15">
        <v>1099</v>
      </c>
      <c r="H309" s="15">
        <v>31934</v>
      </c>
      <c r="I309">
        <f>VLOOKUP(C309,LEAIDs!$A$2:$B$305,2,FALSE)</f>
        <v>0</v>
      </c>
    </row>
    <row r="310" spans="1:9" x14ac:dyDescent="0.2">
      <c r="A310">
        <v>0</v>
      </c>
      <c r="B310" s="2">
        <v>2023</v>
      </c>
      <c r="C310" s="2" t="s">
        <v>227</v>
      </c>
      <c r="D310" s="2" t="s">
        <v>232</v>
      </c>
      <c r="E310" s="2" t="s">
        <v>234</v>
      </c>
      <c r="F310" s="15">
        <v>351877</v>
      </c>
      <c r="G310" s="15">
        <v>12545</v>
      </c>
      <c r="H310" s="15">
        <v>364422</v>
      </c>
      <c r="I310">
        <f>VLOOKUP(C310,LEAIDs!$A$2:$B$305,2,FALSE)</f>
        <v>0</v>
      </c>
    </row>
    <row r="311" spans="1:9" x14ac:dyDescent="0.2">
      <c r="A311">
        <v>0</v>
      </c>
      <c r="B311">
        <v>2019</v>
      </c>
      <c r="C311" t="s">
        <v>243</v>
      </c>
      <c r="D311" t="s">
        <v>232</v>
      </c>
      <c r="E311" t="s">
        <v>234</v>
      </c>
      <c r="F311" s="17">
        <v>21824</v>
      </c>
      <c r="G311" s="17">
        <v>732</v>
      </c>
      <c r="H311" s="17">
        <v>22556</v>
      </c>
      <c r="I311">
        <f>VLOOKUP(C311,LEAIDs!$A$2:$B$305,2,FALSE)</f>
        <v>0</v>
      </c>
    </row>
    <row r="312" spans="1:9" x14ac:dyDescent="0.2">
      <c r="A312">
        <v>0</v>
      </c>
      <c r="B312">
        <v>2020</v>
      </c>
      <c r="C312" t="s">
        <v>243</v>
      </c>
      <c r="D312" t="s">
        <v>232</v>
      </c>
      <c r="E312" t="s">
        <v>234</v>
      </c>
      <c r="F312" s="17">
        <v>26205</v>
      </c>
      <c r="G312" s="17">
        <v>925</v>
      </c>
      <c r="H312" s="17">
        <v>27130</v>
      </c>
      <c r="I312">
        <f>VLOOKUP(C312,LEAIDs!$A$2:$B$305,2,FALSE)</f>
        <v>0</v>
      </c>
    </row>
    <row r="313" spans="1:9" x14ac:dyDescent="0.2">
      <c r="A313">
        <v>0</v>
      </c>
      <c r="B313" s="2">
        <v>2021</v>
      </c>
      <c r="C313" s="4" t="s">
        <v>243</v>
      </c>
      <c r="D313" s="2" t="s">
        <v>232</v>
      </c>
      <c r="E313" s="2" t="s">
        <v>234</v>
      </c>
      <c r="F313" s="16">
        <v>26691</v>
      </c>
      <c r="G313" s="16">
        <v>929</v>
      </c>
      <c r="H313" s="15">
        <v>27620</v>
      </c>
      <c r="I313">
        <f>VLOOKUP(C313,LEAIDs!$A$2:$B$305,2,FALSE)</f>
        <v>0</v>
      </c>
    </row>
    <row r="314" spans="1:9" x14ac:dyDescent="0.2">
      <c r="A314">
        <v>0</v>
      </c>
      <c r="B314" s="2">
        <v>2022</v>
      </c>
      <c r="C314" s="4" t="s">
        <v>243</v>
      </c>
      <c r="D314" s="2" t="s">
        <v>232</v>
      </c>
      <c r="E314" s="2" t="s">
        <v>234</v>
      </c>
      <c r="F314" s="16">
        <v>28335</v>
      </c>
      <c r="G314" s="16">
        <v>1012</v>
      </c>
      <c r="H314" s="15">
        <v>29347</v>
      </c>
      <c r="I314">
        <f>VLOOKUP(C314,LEAIDs!$A$2:$B$305,2,FALSE)</f>
        <v>0</v>
      </c>
    </row>
    <row r="315" spans="1:9" x14ac:dyDescent="0.2">
      <c r="A315">
        <v>0</v>
      </c>
      <c r="B315">
        <v>2018</v>
      </c>
      <c r="C315" t="s">
        <v>258</v>
      </c>
      <c r="D315" t="s">
        <v>232</v>
      </c>
      <c r="E315" t="s">
        <v>234</v>
      </c>
      <c r="F315" s="17">
        <v>6959</v>
      </c>
      <c r="G315" s="17">
        <v>229</v>
      </c>
      <c r="H315" s="17">
        <v>7188</v>
      </c>
      <c r="I315">
        <f>VLOOKUP(C315,LEAIDs!$A$2:$B$305,2,FALSE)</f>
        <v>0</v>
      </c>
    </row>
    <row r="316" spans="1:9" x14ac:dyDescent="0.2">
      <c r="A316">
        <v>0</v>
      </c>
      <c r="B316">
        <v>2019</v>
      </c>
      <c r="C316" t="s">
        <v>258</v>
      </c>
      <c r="D316" t="s">
        <v>232</v>
      </c>
      <c r="E316" t="s">
        <v>234</v>
      </c>
      <c r="F316" s="17">
        <v>7413</v>
      </c>
      <c r="G316" s="17">
        <v>249</v>
      </c>
      <c r="H316" s="17">
        <v>7662</v>
      </c>
      <c r="I316">
        <f>VLOOKUP(C316,LEAIDs!$A$2:$B$305,2,FALSE)</f>
        <v>0</v>
      </c>
    </row>
    <row r="317" spans="1:9" x14ac:dyDescent="0.2">
      <c r="A317">
        <v>0</v>
      </c>
      <c r="B317">
        <v>2020</v>
      </c>
      <c r="C317" t="s">
        <v>258</v>
      </c>
      <c r="D317" t="s">
        <v>232</v>
      </c>
      <c r="E317" t="s">
        <v>234</v>
      </c>
      <c r="F317" s="17">
        <v>7508</v>
      </c>
      <c r="G317" s="17">
        <v>265</v>
      </c>
      <c r="H317" s="17">
        <v>7773</v>
      </c>
      <c r="I317">
        <f>VLOOKUP(C317,LEAIDs!$A$2:$B$305,2,FALSE)</f>
        <v>0</v>
      </c>
    </row>
    <row r="318" spans="1:9" x14ac:dyDescent="0.2">
      <c r="A318">
        <v>0</v>
      </c>
      <c r="B318" s="2">
        <v>2021</v>
      </c>
      <c r="C318" s="4" t="s">
        <v>258</v>
      </c>
      <c r="D318" s="2" t="s">
        <v>232</v>
      </c>
      <c r="E318" s="2" t="s">
        <v>234</v>
      </c>
      <c r="F318" s="16">
        <v>7773</v>
      </c>
      <c r="G318" s="16">
        <v>271</v>
      </c>
      <c r="H318" s="15">
        <v>8044</v>
      </c>
      <c r="I318">
        <f>VLOOKUP(C318,LEAIDs!$A$2:$B$305,2,FALSE)</f>
        <v>0</v>
      </c>
    </row>
    <row r="319" spans="1:9" x14ac:dyDescent="0.2">
      <c r="A319">
        <v>0</v>
      </c>
      <c r="B319" s="2">
        <v>2022</v>
      </c>
      <c r="C319" s="4" t="s">
        <v>258</v>
      </c>
      <c r="D319" s="2" t="s">
        <v>232</v>
      </c>
      <c r="E319" s="2" t="s">
        <v>234</v>
      </c>
      <c r="F319" s="16">
        <v>7913</v>
      </c>
      <c r="G319" s="16">
        <v>283</v>
      </c>
      <c r="H319" s="15">
        <v>8196</v>
      </c>
      <c r="I319">
        <f>VLOOKUP(C319,LEAIDs!$A$2:$B$305,2,FALSE)</f>
        <v>0</v>
      </c>
    </row>
    <row r="320" spans="1:9" x14ac:dyDescent="0.2">
      <c r="A320">
        <v>0</v>
      </c>
      <c r="B320">
        <v>2017</v>
      </c>
      <c r="C320" t="s">
        <v>257</v>
      </c>
      <c r="D320" t="s">
        <v>232</v>
      </c>
      <c r="E320" t="s">
        <v>234</v>
      </c>
      <c r="F320" s="17">
        <v>28180</v>
      </c>
      <c r="G320" s="17">
        <v>973</v>
      </c>
      <c r="H320" s="17">
        <v>29153</v>
      </c>
      <c r="I320">
        <f>VLOOKUP(C320,LEAIDs!$A$2:$B$305,2,FALSE)</f>
        <v>0</v>
      </c>
    </row>
    <row r="321" spans="1:9" x14ac:dyDescent="0.2">
      <c r="A321">
        <v>0</v>
      </c>
      <c r="B321">
        <v>2018</v>
      </c>
      <c r="C321" t="s">
        <v>257</v>
      </c>
      <c r="D321" t="s">
        <v>232</v>
      </c>
      <c r="E321" t="s">
        <v>234</v>
      </c>
      <c r="F321" s="17">
        <v>29433</v>
      </c>
      <c r="G321" s="17">
        <v>969</v>
      </c>
      <c r="H321" s="17">
        <v>30402</v>
      </c>
      <c r="I321">
        <f>VLOOKUP(C321,LEAIDs!$A$2:$B$305,2,FALSE)</f>
        <v>0</v>
      </c>
    </row>
    <row r="322" spans="1:9" x14ac:dyDescent="0.2">
      <c r="A322">
        <v>0</v>
      </c>
      <c r="B322">
        <v>2019</v>
      </c>
      <c r="C322" t="s">
        <v>257</v>
      </c>
      <c r="D322" t="s">
        <v>232</v>
      </c>
      <c r="E322" t="s">
        <v>234</v>
      </c>
      <c r="F322" s="17">
        <v>30210</v>
      </c>
      <c r="G322" s="17">
        <v>1014</v>
      </c>
      <c r="H322" s="17">
        <v>31224</v>
      </c>
      <c r="I322">
        <f>VLOOKUP(C322,LEAIDs!$A$2:$B$305,2,FALSE)</f>
        <v>0</v>
      </c>
    </row>
    <row r="323" spans="1:9" x14ac:dyDescent="0.2">
      <c r="A323">
        <v>0</v>
      </c>
      <c r="B323">
        <v>2020</v>
      </c>
      <c r="C323" t="s">
        <v>257</v>
      </c>
      <c r="D323" t="s">
        <v>232</v>
      </c>
      <c r="E323" t="s">
        <v>234</v>
      </c>
      <c r="F323" s="17">
        <v>29409</v>
      </c>
      <c r="G323" s="17">
        <v>1038</v>
      </c>
      <c r="H323" s="17">
        <v>30447</v>
      </c>
      <c r="I323">
        <f>VLOOKUP(C323,LEAIDs!$A$2:$B$305,2,FALSE)</f>
        <v>0</v>
      </c>
    </row>
    <row r="324" spans="1:9" x14ac:dyDescent="0.2">
      <c r="A324">
        <v>0</v>
      </c>
      <c r="B324" s="2">
        <v>2021</v>
      </c>
      <c r="C324" s="4" t="s">
        <v>257</v>
      </c>
      <c r="D324" s="2" t="s">
        <v>232</v>
      </c>
      <c r="E324" s="2" t="s">
        <v>234</v>
      </c>
      <c r="F324" s="16">
        <v>30075</v>
      </c>
      <c r="G324" s="16">
        <v>1047</v>
      </c>
      <c r="H324" s="15">
        <v>31122</v>
      </c>
      <c r="I324">
        <f>VLOOKUP(C324,LEAIDs!$A$2:$B$305,2,FALSE)</f>
        <v>0</v>
      </c>
    </row>
    <row r="325" spans="1:9" x14ac:dyDescent="0.2">
      <c r="A325">
        <v>0</v>
      </c>
      <c r="B325" s="2">
        <v>2022</v>
      </c>
      <c r="C325" s="4" t="s">
        <v>257</v>
      </c>
      <c r="D325" s="2" t="s">
        <v>232</v>
      </c>
      <c r="E325" s="2" t="s">
        <v>234</v>
      </c>
      <c r="F325" s="16">
        <v>30260</v>
      </c>
      <c r="G325" s="16">
        <v>1081</v>
      </c>
      <c r="H325" s="15">
        <v>31341</v>
      </c>
      <c r="I325">
        <f>VLOOKUP(C325,LEAIDs!$A$2:$B$305,2,FALSE)</f>
        <v>0</v>
      </c>
    </row>
    <row r="326" spans="1:9" x14ac:dyDescent="0.2">
      <c r="A326">
        <v>0</v>
      </c>
      <c r="B326" s="2">
        <v>2023</v>
      </c>
      <c r="C326" s="2" t="s">
        <v>199</v>
      </c>
      <c r="D326" s="2" t="s">
        <v>232</v>
      </c>
      <c r="E326" s="2" t="s">
        <v>234</v>
      </c>
      <c r="F326" s="15">
        <v>25049</v>
      </c>
      <c r="G326" s="15">
        <v>893</v>
      </c>
      <c r="H326" s="15">
        <v>25942</v>
      </c>
      <c r="I326">
        <f>VLOOKUP(C326,LEAIDs!$A$2:$B$305,2,FALSE)</f>
        <v>0</v>
      </c>
    </row>
    <row r="327" spans="1:9" x14ac:dyDescent="0.2">
      <c r="A327">
        <v>0</v>
      </c>
      <c r="B327">
        <v>2017</v>
      </c>
      <c r="C327" t="s">
        <v>251</v>
      </c>
      <c r="D327" t="s">
        <v>232</v>
      </c>
      <c r="E327" t="s">
        <v>234</v>
      </c>
      <c r="F327" s="17">
        <v>5005</v>
      </c>
      <c r="G327" s="17">
        <v>173</v>
      </c>
      <c r="H327" s="17">
        <v>5178</v>
      </c>
      <c r="I327">
        <f>VLOOKUP(C327,LEAIDs!$A$2:$B$305,2,FALSE)</f>
        <v>0</v>
      </c>
    </row>
    <row r="328" spans="1:9" x14ac:dyDescent="0.2">
      <c r="A328">
        <v>0</v>
      </c>
      <c r="B328">
        <v>2018</v>
      </c>
      <c r="C328" t="s">
        <v>251</v>
      </c>
      <c r="D328" t="s">
        <v>232</v>
      </c>
      <c r="E328" t="s">
        <v>234</v>
      </c>
      <c r="F328" s="17">
        <v>9266</v>
      </c>
      <c r="G328" s="17">
        <v>305</v>
      </c>
      <c r="H328" s="17">
        <v>9571</v>
      </c>
      <c r="I328">
        <f>VLOOKUP(C328,LEAIDs!$A$2:$B$305,2,FALSE)</f>
        <v>0</v>
      </c>
    </row>
    <row r="329" spans="1:9" x14ac:dyDescent="0.2">
      <c r="A329">
        <v>0</v>
      </c>
      <c r="B329">
        <v>2019</v>
      </c>
      <c r="C329" t="s">
        <v>251</v>
      </c>
      <c r="D329" t="s">
        <v>232</v>
      </c>
      <c r="E329" t="s">
        <v>234</v>
      </c>
      <c r="F329" s="17">
        <v>11222</v>
      </c>
      <c r="G329" s="17">
        <v>377</v>
      </c>
      <c r="H329" s="17">
        <v>11599</v>
      </c>
      <c r="I329">
        <f>VLOOKUP(C329,LEAIDs!$A$2:$B$305,2,FALSE)</f>
        <v>0</v>
      </c>
    </row>
    <row r="330" spans="1:9" x14ac:dyDescent="0.2">
      <c r="A330">
        <v>0</v>
      </c>
      <c r="B330">
        <v>2020</v>
      </c>
      <c r="C330" t="s">
        <v>251</v>
      </c>
      <c r="D330" t="s">
        <v>232</v>
      </c>
      <c r="E330" t="s">
        <v>234</v>
      </c>
      <c r="F330" s="17">
        <v>19565</v>
      </c>
      <c r="G330" s="17">
        <v>690</v>
      </c>
      <c r="H330" s="17">
        <v>20255</v>
      </c>
      <c r="I330">
        <f>VLOOKUP(C330,LEAIDs!$A$2:$B$305,2,FALSE)</f>
        <v>0</v>
      </c>
    </row>
    <row r="331" spans="1:9" x14ac:dyDescent="0.2">
      <c r="A331">
        <v>0</v>
      </c>
      <c r="B331" s="2">
        <v>2021</v>
      </c>
      <c r="C331" s="4" t="s">
        <v>251</v>
      </c>
      <c r="D331" s="2" t="s">
        <v>232</v>
      </c>
      <c r="E331" s="2" t="s">
        <v>234</v>
      </c>
      <c r="F331" s="16">
        <v>29666</v>
      </c>
      <c r="G331" s="16">
        <v>1033</v>
      </c>
      <c r="H331" s="15">
        <v>30699</v>
      </c>
      <c r="I331">
        <f>VLOOKUP(C331,LEAIDs!$A$2:$B$305,2,FALSE)</f>
        <v>0</v>
      </c>
    </row>
    <row r="332" spans="1:9" x14ac:dyDescent="0.2">
      <c r="A332">
        <v>0</v>
      </c>
      <c r="B332" s="2">
        <v>2022</v>
      </c>
      <c r="C332" s="4" t="s">
        <v>251</v>
      </c>
      <c r="D332" s="2" t="s">
        <v>232</v>
      </c>
      <c r="E332" s="2" t="s">
        <v>234</v>
      </c>
      <c r="F332" s="16">
        <v>32387</v>
      </c>
      <c r="G332" s="16">
        <v>1157</v>
      </c>
      <c r="H332" s="15">
        <v>33544</v>
      </c>
      <c r="I332">
        <f>VLOOKUP(C332,LEAIDs!$A$2:$B$305,2,FALSE)</f>
        <v>0</v>
      </c>
    </row>
    <row r="333" spans="1:9" x14ac:dyDescent="0.2">
      <c r="A333">
        <v>0</v>
      </c>
      <c r="B333" s="2">
        <v>2022</v>
      </c>
      <c r="C333" s="4" t="s">
        <v>236</v>
      </c>
      <c r="D333" s="2" t="s">
        <v>232</v>
      </c>
      <c r="E333" s="2" t="s">
        <v>234</v>
      </c>
      <c r="F333" s="16">
        <v>19358</v>
      </c>
      <c r="G333" s="16">
        <v>692</v>
      </c>
      <c r="H333" s="15">
        <v>20050</v>
      </c>
      <c r="I333">
        <f>VLOOKUP(C333,LEAIDs!$A$2:$B$305,2,FALSE)</f>
        <v>0</v>
      </c>
    </row>
    <row r="334" spans="1:9" x14ac:dyDescent="0.2">
      <c r="A334">
        <v>0</v>
      </c>
      <c r="B334" s="2">
        <v>2021</v>
      </c>
      <c r="C334" s="4" t="s">
        <v>273</v>
      </c>
      <c r="D334" s="2" t="s">
        <v>232</v>
      </c>
      <c r="E334" s="2" t="s">
        <v>234</v>
      </c>
      <c r="F334" s="16">
        <v>19017</v>
      </c>
      <c r="G334" s="16">
        <v>662</v>
      </c>
      <c r="H334" s="15">
        <v>19679</v>
      </c>
      <c r="I334">
        <f>VLOOKUP(C334,LEAIDs!$A$2:$B$305,2,FALSE)</f>
        <v>0</v>
      </c>
    </row>
    <row r="335" spans="1:9" x14ac:dyDescent="0.2">
      <c r="A335">
        <v>0</v>
      </c>
      <c r="B335">
        <v>2015</v>
      </c>
      <c r="C335" t="s">
        <v>308</v>
      </c>
      <c r="D335" t="s">
        <v>232</v>
      </c>
      <c r="E335" t="s">
        <v>234</v>
      </c>
      <c r="F335" s="17">
        <v>378510</v>
      </c>
      <c r="G335" s="17">
        <v>11636</v>
      </c>
      <c r="H335" s="17">
        <v>390146</v>
      </c>
      <c r="I335">
        <f>VLOOKUP(C335,LEAIDs!$A$2:$B$305,2,FALSE)</f>
        <v>0</v>
      </c>
    </row>
    <row r="336" spans="1:9" x14ac:dyDescent="0.2">
      <c r="A336">
        <v>0</v>
      </c>
      <c r="B336">
        <v>2016</v>
      </c>
      <c r="C336" t="s">
        <v>149</v>
      </c>
      <c r="D336" t="s">
        <v>232</v>
      </c>
      <c r="E336" t="s">
        <v>234</v>
      </c>
      <c r="F336" s="17">
        <v>459224</v>
      </c>
      <c r="G336" s="17">
        <v>15147</v>
      </c>
      <c r="H336" s="17">
        <v>474371</v>
      </c>
      <c r="I336">
        <f>VLOOKUP(C336,LEAIDs!$A$2:$B$305,2,FALSE)</f>
        <v>0</v>
      </c>
    </row>
    <row r="337" spans="1:9" x14ac:dyDescent="0.2">
      <c r="A337">
        <v>0</v>
      </c>
      <c r="B337">
        <v>2017</v>
      </c>
      <c r="C337" t="s">
        <v>149</v>
      </c>
      <c r="D337" t="s">
        <v>232</v>
      </c>
      <c r="E337" t="s">
        <v>234</v>
      </c>
      <c r="F337" s="17">
        <v>369701</v>
      </c>
      <c r="G337" s="17">
        <v>12769</v>
      </c>
      <c r="H337" s="17">
        <v>382470</v>
      </c>
      <c r="I337">
        <f>VLOOKUP(C337,LEAIDs!$A$2:$B$305,2,FALSE)</f>
        <v>0</v>
      </c>
    </row>
    <row r="338" spans="1:9" x14ac:dyDescent="0.2">
      <c r="A338">
        <v>0</v>
      </c>
      <c r="B338">
        <v>2018</v>
      </c>
      <c r="C338" t="s">
        <v>149</v>
      </c>
      <c r="D338" t="s">
        <v>232</v>
      </c>
      <c r="E338" t="s">
        <v>234</v>
      </c>
      <c r="F338" s="17">
        <v>480768</v>
      </c>
      <c r="G338" s="17">
        <v>15821</v>
      </c>
      <c r="H338" s="17">
        <v>496589</v>
      </c>
      <c r="I338">
        <f>VLOOKUP(C338,LEAIDs!$A$2:$B$305,2,FALSE)</f>
        <v>0</v>
      </c>
    </row>
    <row r="339" spans="1:9" x14ac:dyDescent="0.2">
      <c r="A339">
        <v>0</v>
      </c>
      <c r="B339">
        <v>2019</v>
      </c>
      <c r="C339" t="s">
        <v>149</v>
      </c>
      <c r="D339" t="s">
        <v>232</v>
      </c>
      <c r="E339" t="s">
        <v>234</v>
      </c>
      <c r="F339" s="17">
        <v>435880</v>
      </c>
      <c r="G339" s="17">
        <v>14629</v>
      </c>
      <c r="H339" s="17">
        <v>450509</v>
      </c>
      <c r="I339">
        <f>VLOOKUP(C339,LEAIDs!$A$2:$B$305,2,FALSE)</f>
        <v>0</v>
      </c>
    </row>
    <row r="340" spans="1:9" x14ac:dyDescent="0.2">
      <c r="A340">
        <v>0</v>
      </c>
      <c r="B340">
        <v>2020</v>
      </c>
      <c r="C340" t="s">
        <v>149</v>
      </c>
      <c r="D340" t="s">
        <v>232</v>
      </c>
      <c r="E340" t="s">
        <v>234</v>
      </c>
      <c r="F340" s="17">
        <v>468642</v>
      </c>
      <c r="G340" s="17">
        <v>16538</v>
      </c>
      <c r="H340" s="17">
        <v>485180</v>
      </c>
      <c r="I340">
        <f>VLOOKUP(C340,LEAIDs!$A$2:$B$305,2,FALSE)</f>
        <v>0</v>
      </c>
    </row>
    <row r="341" spans="1:9" x14ac:dyDescent="0.2">
      <c r="A341">
        <v>0</v>
      </c>
      <c r="B341" s="2">
        <v>2021</v>
      </c>
      <c r="C341" s="4" t="s">
        <v>149</v>
      </c>
      <c r="D341" s="2" t="s">
        <v>232</v>
      </c>
      <c r="E341" s="2" t="s">
        <v>234</v>
      </c>
      <c r="F341" s="16">
        <v>510712</v>
      </c>
      <c r="G341" s="16">
        <v>17777</v>
      </c>
      <c r="H341" s="15">
        <v>528489</v>
      </c>
      <c r="I341">
        <f>VLOOKUP(C341,LEAIDs!$A$2:$B$305,2,FALSE)</f>
        <v>0</v>
      </c>
    </row>
    <row r="342" spans="1:9" x14ac:dyDescent="0.2">
      <c r="A342">
        <v>0</v>
      </c>
      <c r="B342" s="2">
        <v>2022</v>
      </c>
      <c r="C342" s="4" t="s">
        <v>149</v>
      </c>
      <c r="D342" s="2" t="s">
        <v>232</v>
      </c>
      <c r="E342" s="2" t="s">
        <v>234</v>
      </c>
      <c r="F342" s="16">
        <v>564220</v>
      </c>
      <c r="G342" s="16">
        <v>20158</v>
      </c>
      <c r="H342" s="15">
        <v>584378</v>
      </c>
      <c r="I342">
        <f>VLOOKUP(C342,LEAIDs!$A$2:$B$305,2,FALSE)</f>
        <v>0</v>
      </c>
    </row>
    <row r="343" spans="1:9" x14ac:dyDescent="0.2">
      <c r="A343">
        <v>0</v>
      </c>
      <c r="B343" s="2">
        <v>2023</v>
      </c>
      <c r="C343" s="2" t="s">
        <v>149</v>
      </c>
      <c r="D343" s="2" t="s">
        <v>232</v>
      </c>
      <c r="E343" s="2" t="s">
        <v>234</v>
      </c>
      <c r="F343" s="15">
        <v>566123</v>
      </c>
      <c r="G343" s="15">
        <v>20183</v>
      </c>
      <c r="H343" s="15">
        <v>586306</v>
      </c>
      <c r="I343">
        <f>VLOOKUP(C343,LEAIDs!$A$2:$B$305,2,FALSE)</f>
        <v>0</v>
      </c>
    </row>
    <row r="344" spans="1:9" x14ac:dyDescent="0.2">
      <c r="A344">
        <v>0</v>
      </c>
      <c r="B344" s="2">
        <v>2023</v>
      </c>
      <c r="C344" s="2" t="s">
        <v>195</v>
      </c>
      <c r="D344" s="2" t="s">
        <v>232</v>
      </c>
      <c r="E344" s="2" t="s">
        <v>234</v>
      </c>
      <c r="F344" s="15">
        <v>21597</v>
      </c>
      <c r="G344" s="15">
        <v>770</v>
      </c>
      <c r="H344" s="15">
        <v>22367</v>
      </c>
      <c r="I344">
        <f>VLOOKUP(C344,LEAIDs!$A$2:$B$305,2,FALSE)</f>
        <v>0</v>
      </c>
    </row>
    <row r="345" spans="1:9" x14ac:dyDescent="0.2">
      <c r="A345">
        <v>0</v>
      </c>
      <c r="B345" s="2">
        <v>2023</v>
      </c>
      <c r="C345" s="2" t="s">
        <v>204</v>
      </c>
      <c r="D345" s="2" t="s">
        <v>232</v>
      </c>
      <c r="E345" s="2" t="s">
        <v>234</v>
      </c>
      <c r="F345" s="15">
        <v>164294</v>
      </c>
      <c r="G345" s="15">
        <v>5857</v>
      </c>
      <c r="H345" s="15">
        <v>170151</v>
      </c>
      <c r="I345">
        <f>VLOOKUP(C345,LEAIDs!$A$2:$B$305,2,FALSE)</f>
        <v>0</v>
      </c>
    </row>
    <row r="346" spans="1:9" x14ac:dyDescent="0.2">
      <c r="A346">
        <v>0</v>
      </c>
      <c r="B346">
        <v>2018</v>
      </c>
      <c r="C346" t="s">
        <v>250</v>
      </c>
      <c r="D346" t="s">
        <v>232</v>
      </c>
      <c r="E346" t="s">
        <v>234</v>
      </c>
      <c r="F346" s="17">
        <v>10480</v>
      </c>
      <c r="G346" s="17">
        <v>345</v>
      </c>
      <c r="H346" s="17">
        <v>10825</v>
      </c>
      <c r="I346">
        <f>VLOOKUP(C346,LEAIDs!$A$2:$B$305,2,FALSE)</f>
        <v>0</v>
      </c>
    </row>
    <row r="347" spans="1:9" x14ac:dyDescent="0.2">
      <c r="A347">
        <v>0</v>
      </c>
      <c r="B347" s="2">
        <v>2021</v>
      </c>
      <c r="C347" s="4" t="s">
        <v>250</v>
      </c>
      <c r="D347" s="2" t="s">
        <v>232</v>
      </c>
      <c r="E347" s="2" t="s">
        <v>234</v>
      </c>
      <c r="F347" s="16">
        <v>18596</v>
      </c>
      <c r="G347" s="16">
        <v>647</v>
      </c>
      <c r="H347" s="15">
        <v>19243</v>
      </c>
      <c r="I347">
        <f>VLOOKUP(C347,LEAIDs!$A$2:$B$305,2,FALSE)</f>
        <v>0</v>
      </c>
    </row>
    <row r="348" spans="1:9" x14ac:dyDescent="0.2">
      <c r="A348">
        <v>0</v>
      </c>
      <c r="B348" s="2">
        <v>2022</v>
      </c>
      <c r="C348" s="4" t="s">
        <v>250</v>
      </c>
      <c r="D348" s="2" t="s">
        <v>232</v>
      </c>
      <c r="E348" s="2" t="s">
        <v>234</v>
      </c>
      <c r="F348" s="16">
        <v>18574</v>
      </c>
      <c r="G348" s="16">
        <v>664</v>
      </c>
      <c r="H348" s="15">
        <v>19238</v>
      </c>
      <c r="I348">
        <f>VLOOKUP(C348,LEAIDs!$A$2:$B$305,2,FALSE)</f>
        <v>0</v>
      </c>
    </row>
    <row r="349" spans="1:9" x14ac:dyDescent="0.2">
      <c r="A349">
        <v>0</v>
      </c>
      <c r="B349">
        <v>2017</v>
      </c>
      <c r="C349" t="s">
        <v>294</v>
      </c>
      <c r="D349" t="s">
        <v>232</v>
      </c>
      <c r="E349" t="s">
        <v>234</v>
      </c>
      <c r="F349" s="17">
        <v>24466</v>
      </c>
      <c r="G349" s="17">
        <v>845</v>
      </c>
      <c r="H349" s="17">
        <v>25311</v>
      </c>
      <c r="I349">
        <f>VLOOKUP(C349,LEAIDs!$A$2:$B$305,2,FALSE)</f>
        <v>0</v>
      </c>
    </row>
    <row r="350" spans="1:9" x14ac:dyDescent="0.2">
      <c r="A350">
        <v>0</v>
      </c>
      <c r="B350" s="2">
        <v>2022</v>
      </c>
      <c r="C350" s="4" t="s">
        <v>252</v>
      </c>
      <c r="D350" s="2" t="s">
        <v>232</v>
      </c>
      <c r="E350" s="2" t="s">
        <v>234</v>
      </c>
      <c r="F350" s="16">
        <v>158286</v>
      </c>
      <c r="G350" s="16">
        <v>5655</v>
      </c>
      <c r="H350" s="15">
        <v>163941</v>
      </c>
      <c r="I350">
        <f>VLOOKUP(C350,LEAIDs!$A$2:$B$305,2,FALSE)</f>
        <v>0</v>
      </c>
    </row>
    <row r="351" spans="1:9" x14ac:dyDescent="0.2">
      <c r="A351">
        <v>0</v>
      </c>
      <c r="B351">
        <v>2015</v>
      </c>
      <c r="C351" t="s">
        <v>213</v>
      </c>
      <c r="D351" t="s">
        <v>232</v>
      </c>
      <c r="E351" t="s">
        <v>234</v>
      </c>
      <c r="F351" s="17">
        <v>24288</v>
      </c>
      <c r="G351" s="17">
        <v>747</v>
      </c>
      <c r="H351" s="17">
        <v>25035</v>
      </c>
      <c r="I351">
        <f>VLOOKUP(C351,LEAIDs!$A$2:$B$305,2,FALSE)</f>
        <v>0</v>
      </c>
    </row>
    <row r="352" spans="1:9" x14ac:dyDescent="0.2">
      <c r="A352">
        <v>0</v>
      </c>
      <c r="B352">
        <v>2016</v>
      </c>
      <c r="C352" t="s">
        <v>213</v>
      </c>
      <c r="D352" t="s">
        <v>232</v>
      </c>
      <c r="E352" t="s">
        <v>234</v>
      </c>
      <c r="F352" s="17">
        <v>21977</v>
      </c>
      <c r="G352" s="17">
        <v>725</v>
      </c>
      <c r="H352" s="17">
        <v>22702</v>
      </c>
      <c r="I352">
        <f>VLOOKUP(C352,LEAIDs!$A$2:$B$305,2,FALSE)</f>
        <v>0</v>
      </c>
    </row>
    <row r="353" spans="1:9" x14ac:dyDescent="0.2">
      <c r="A353">
        <v>0</v>
      </c>
      <c r="B353">
        <v>2017</v>
      </c>
      <c r="C353" t="s">
        <v>213</v>
      </c>
      <c r="D353" t="s">
        <v>232</v>
      </c>
      <c r="E353" t="s">
        <v>234</v>
      </c>
      <c r="F353" s="17">
        <v>21537</v>
      </c>
      <c r="G353" s="17">
        <v>744</v>
      </c>
      <c r="H353" s="17">
        <v>22281</v>
      </c>
      <c r="I353">
        <f>VLOOKUP(C353,LEAIDs!$A$2:$B$305,2,FALSE)</f>
        <v>0</v>
      </c>
    </row>
    <row r="354" spans="1:9" x14ac:dyDescent="0.2">
      <c r="A354">
        <v>0</v>
      </c>
      <c r="B354" s="2">
        <v>2021</v>
      </c>
      <c r="C354" s="4" t="s">
        <v>213</v>
      </c>
      <c r="D354" s="2" t="s">
        <v>232</v>
      </c>
      <c r="E354" s="2" t="s">
        <v>234</v>
      </c>
      <c r="F354" s="16">
        <v>18137</v>
      </c>
      <c r="G354" s="16">
        <v>631</v>
      </c>
      <c r="H354" s="15">
        <v>18768</v>
      </c>
      <c r="I354">
        <f>VLOOKUP(C354,LEAIDs!$A$2:$B$305,2,FALSE)</f>
        <v>0</v>
      </c>
    </row>
    <row r="355" spans="1:9" x14ac:dyDescent="0.2">
      <c r="A355">
        <v>0</v>
      </c>
      <c r="B355" s="2">
        <v>2022</v>
      </c>
      <c r="C355" s="4" t="s">
        <v>213</v>
      </c>
      <c r="D355" s="2" t="s">
        <v>232</v>
      </c>
      <c r="E355" s="2" t="s">
        <v>234</v>
      </c>
      <c r="F355" s="16">
        <v>20308</v>
      </c>
      <c r="G355" s="16">
        <v>726</v>
      </c>
      <c r="H355" s="15">
        <v>21034</v>
      </c>
      <c r="I355">
        <f>VLOOKUP(C355,LEAIDs!$A$2:$B$305,2,FALSE)</f>
        <v>0</v>
      </c>
    </row>
    <row r="356" spans="1:9" x14ac:dyDescent="0.2">
      <c r="A356">
        <v>0</v>
      </c>
      <c r="B356" s="2">
        <v>2023</v>
      </c>
      <c r="C356" s="2" t="s">
        <v>213</v>
      </c>
      <c r="D356" s="2" t="s">
        <v>232</v>
      </c>
      <c r="E356" s="2" t="s">
        <v>234</v>
      </c>
      <c r="F356" s="15">
        <v>21623</v>
      </c>
      <c r="G356" s="15">
        <v>771</v>
      </c>
      <c r="H356" s="15">
        <v>22394</v>
      </c>
      <c r="I356">
        <f>VLOOKUP(C356,LEAIDs!$A$2:$B$305,2,FALSE)</f>
        <v>0</v>
      </c>
    </row>
    <row r="357" spans="1:9" x14ac:dyDescent="0.2">
      <c r="A357">
        <v>0</v>
      </c>
      <c r="B357" s="2">
        <v>2023</v>
      </c>
      <c r="C357" s="2" t="s">
        <v>164</v>
      </c>
      <c r="D357" s="2" t="s">
        <v>232</v>
      </c>
      <c r="E357" s="2" t="s">
        <v>234</v>
      </c>
      <c r="F357" s="15">
        <v>27196</v>
      </c>
      <c r="G357" s="15">
        <v>970</v>
      </c>
      <c r="H357" s="15">
        <v>28166</v>
      </c>
      <c r="I357">
        <f>VLOOKUP(C357,LEAIDs!$A$2:$B$305,2,FALSE)</f>
        <v>0</v>
      </c>
    </row>
    <row r="358" spans="1:9" x14ac:dyDescent="0.2">
      <c r="A358">
        <v>0</v>
      </c>
      <c r="B358">
        <v>2015</v>
      </c>
      <c r="C358" t="s">
        <v>197</v>
      </c>
      <c r="D358" t="s">
        <v>232</v>
      </c>
      <c r="E358" t="s">
        <v>234</v>
      </c>
      <c r="F358" s="17">
        <v>70114</v>
      </c>
      <c r="G358" s="17">
        <v>2155</v>
      </c>
      <c r="H358" s="17">
        <v>72269</v>
      </c>
      <c r="I358">
        <f>VLOOKUP(C358,LEAIDs!$A$2:$B$305,2,FALSE)</f>
        <v>0</v>
      </c>
    </row>
    <row r="359" spans="1:9" x14ac:dyDescent="0.2">
      <c r="A359">
        <v>0</v>
      </c>
      <c r="B359">
        <v>2016</v>
      </c>
      <c r="C359" t="s">
        <v>197</v>
      </c>
      <c r="D359" t="s">
        <v>232</v>
      </c>
      <c r="E359" t="s">
        <v>234</v>
      </c>
      <c r="F359" s="17">
        <v>68027</v>
      </c>
      <c r="G359" s="17">
        <v>2244</v>
      </c>
      <c r="H359" s="17">
        <v>70271</v>
      </c>
      <c r="I359">
        <f>VLOOKUP(C359,LEAIDs!$A$2:$B$305,2,FALSE)</f>
        <v>0</v>
      </c>
    </row>
    <row r="360" spans="1:9" x14ac:dyDescent="0.2">
      <c r="A360">
        <v>0</v>
      </c>
      <c r="B360">
        <v>2017</v>
      </c>
      <c r="C360" t="s">
        <v>197</v>
      </c>
      <c r="D360" t="s">
        <v>232</v>
      </c>
      <c r="E360" t="s">
        <v>234</v>
      </c>
      <c r="F360" s="17">
        <v>61950</v>
      </c>
      <c r="G360" s="17">
        <v>2140</v>
      </c>
      <c r="H360" s="17">
        <v>64090</v>
      </c>
      <c r="I360">
        <f>VLOOKUP(C360,LEAIDs!$A$2:$B$305,2,FALSE)</f>
        <v>0</v>
      </c>
    </row>
    <row r="361" spans="1:9" x14ac:dyDescent="0.2">
      <c r="A361">
        <v>0</v>
      </c>
      <c r="B361">
        <v>2018</v>
      </c>
      <c r="C361" t="s">
        <v>197</v>
      </c>
      <c r="D361" t="s">
        <v>232</v>
      </c>
      <c r="E361" t="s">
        <v>234</v>
      </c>
      <c r="F361" s="17">
        <v>94067</v>
      </c>
      <c r="G361" s="17">
        <v>3096</v>
      </c>
      <c r="H361" s="17">
        <v>97163</v>
      </c>
      <c r="I361">
        <f>VLOOKUP(C361,LEAIDs!$A$2:$B$305,2,FALSE)</f>
        <v>0</v>
      </c>
    </row>
    <row r="362" spans="1:9" x14ac:dyDescent="0.2">
      <c r="A362">
        <v>0</v>
      </c>
      <c r="B362">
        <v>2019</v>
      </c>
      <c r="C362" t="s">
        <v>197</v>
      </c>
      <c r="D362" t="s">
        <v>232</v>
      </c>
      <c r="E362" t="s">
        <v>234</v>
      </c>
      <c r="F362" s="17">
        <v>74089</v>
      </c>
      <c r="G362" s="17">
        <v>2487</v>
      </c>
      <c r="H362" s="17">
        <v>76576</v>
      </c>
      <c r="I362">
        <f>VLOOKUP(C362,LEAIDs!$A$2:$B$305,2,FALSE)</f>
        <v>0</v>
      </c>
    </row>
    <row r="363" spans="1:9" x14ac:dyDescent="0.2">
      <c r="A363">
        <v>0</v>
      </c>
      <c r="B363">
        <v>2020</v>
      </c>
      <c r="C363" t="s">
        <v>197</v>
      </c>
      <c r="D363" t="s">
        <v>232</v>
      </c>
      <c r="E363" t="s">
        <v>234</v>
      </c>
      <c r="F363" s="17">
        <v>71632</v>
      </c>
      <c r="G363" s="17">
        <v>2528</v>
      </c>
      <c r="H363" s="17">
        <v>74160</v>
      </c>
      <c r="I363">
        <f>VLOOKUP(C363,LEAIDs!$A$2:$B$305,2,FALSE)</f>
        <v>0</v>
      </c>
    </row>
    <row r="364" spans="1:9" x14ac:dyDescent="0.2">
      <c r="A364">
        <v>0</v>
      </c>
      <c r="B364" s="2">
        <v>2021</v>
      </c>
      <c r="C364" s="4" t="s">
        <v>197</v>
      </c>
      <c r="D364" s="2" t="s">
        <v>232</v>
      </c>
      <c r="E364" s="2" t="s">
        <v>234</v>
      </c>
      <c r="F364" s="16">
        <v>73961</v>
      </c>
      <c r="G364" s="16">
        <v>2574</v>
      </c>
      <c r="H364" s="15">
        <v>76535</v>
      </c>
      <c r="I364">
        <f>VLOOKUP(C364,LEAIDs!$A$2:$B$305,2,FALSE)</f>
        <v>0</v>
      </c>
    </row>
    <row r="365" spans="1:9" x14ac:dyDescent="0.2">
      <c r="A365">
        <v>0</v>
      </c>
      <c r="B365" s="2">
        <v>2022</v>
      </c>
      <c r="C365" s="4" t="s">
        <v>197</v>
      </c>
      <c r="D365" s="2" t="s">
        <v>232</v>
      </c>
      <c r="E365" s="2" t="s">
        <v>234</v>
      </c>
      <c r="F365" s="16">
        <v>82638</v>
      </c>
      <c r="G365" s="16">
        <v>2952</v>
      </c>
      <c r="H365" s="15">
        <v>85590</v>
      </c>
      <c r="I365">
        <f>VLOOKUP(C365,LEAIDs!$A$2:$B$305,2,FALSE)</f>
        <v>0</v>
      </c>
    </row>
    <row r="366" spans="1:9" x14ac:dyDescent="0.2">
      <c r="A366">
        <v>0</v>
      </c>
      <c r="B366" s="2">
        <v>2023</v>
      </c>
      <c r="C366" s="2" t="s">
        <v>197</v>
      </c>
      <c r="D366" s="2" t="s">
        <v>232</v>
      </c>
      <c r="E366" s="2" t="s">
        <v>234</v>
      </c>
      <c r="F366" s="15">
        <v>88306</v>
      </c>
      <c r="G366" s="15">
        <v>3148</v>
      </c>
      <c r="H366" s="15">
        <v>91454</v>
      </c>
      <c r="I366">
        <f>VLOOKUP(C366,LEAIDs!$A$2:$B$305,2,FALSE)</f>
        <v>0</v>
      </c>
    </row>
    <row r="367" spans="1:9" x14ac:dyDescent="0.2">
      <c r="A367">
        <v>0</v>
      </c>
      <c r="B367">
        <v>2015</v>
      </c>
      <c r="C367" t="s">
        <v>177</v>
      </c>
      <c r="D367" t="s">
        <v>232</v>
      </c>
      <c r="E367" t="s">
        <v>234</v>
      </c>
      <c r="F367" s="17">
        <v>113906</v>
      </c>
      <c r="G367" s="17">
        <v>3502</v>
      </c>
      <c r="H367" s="17">
        <v>117408</v>
      </c>
      <c r="I367">
        <f>VLOOKUP(C367,LEAIDs!$A$2:$B$305,2,FALSE)</f>
        <v>0</v>
      </c>
    </row>
    <row r="368" spans="1:9" x14ac:dyDescent="0.2">
      <c r="A368">
        <v>0</v>
      </c>
      <c r="B368">
        <v>2016</v>
      </c>
      <c r="C368" t="s">
        <v>177</v>
      </c>
      <c r="D368" t="s">
        <v>232</v>
      </c>
      <c r="E368" t="s">
        <v>234</v>
      </c>
      <c r="F368" s="17">
        <v>135718</v>
      </c>
      <c r="G368" s="17">
        <v>4477</v>
      </c>
      <c r="H368" s="17">
        <v>140195</v>
      </c>
      <c r="I368">
        <f>VLOOKUP(C368,LEAIDs!$A$2:$B$305,2,FALSE)</f>
        <v>0</v>
      </c>
    </row>
    <row r="369" spans="1:9" x14ac:dyDescent="0.2">
      <c r="A369">
        <v>0</v>
      </c>
      <c r="B369">
        <v>2017</v>
      </c>
      <c r="C369" t="s">
        <v>177</v>
      </c>
      <c r="D369" t="s">
        <v>232</v>
      </c>
      <c r="E369" t="s">
        <v>234</v>
      </c>
      <c r="F369" s="17">
        <v>150924</v>
      </c>
      <c r="G369" s="17">
        <v>5213</v>
      </c>
      <c r="H369" s="17">
        <v>156137</v>
      </c>
      <c r="I369">
        <f>VLOOKUP(C369,LEAIDs!$A$2:$B$305,2,FALSE)</f>
        <v>0</v>
      </c>
    </row>
    <row r="370" spans="1:9" x14ac:dyDescent="0.2">
      <c r="A370">
        <v>0</v>
      </c>
      <c r="B370">
        <v>2018</v>
      </c>
      <c r="C370" t="s">
        <v>177</v>
      </c>
      <c r="D370" t="s">
        <v>232</v>
      </c>
      <c r="E370" t="s">
        <v>234</v>
      </c>
      <c r="F370" s="17">
        <v>178339</v>
      </c>
      <c r="G370" s="17">
        <v>5869</v>
      </c>
      <c r="H370" s="17">
        <v>184208</v>
      </c>
      <c r="I370">
        <f>VLOOKUP(C370,LEAIDs!$A$2:$B$305,2,FALSE)</f>
        <v>0</v>
      </c>
    </row>
    <row r="371" spans="1:9" x14ac:dyDescent="0.2">
      <c r="A371">
        <v>0</v>
      </c>
      <c r="B371">
        <v>2019</v>
      </c>
      <c r="C371" t="s">
        <v>177</v>
      </c>
      <c r="D371" t="s">
        <v>232</v>
      </c>
      <c r="E371" t="s">
        <v>234</v>
      </c>
      <c r="F371" s="17">
        <v>198630</v>
      </c>
      <c r="G371" s="17">
        <v>6666</v>
      </c>
      <c r="H371" s="17">
        <v>205296</v>
      </c>
      <c r="I371">
        <f>VLOOKUP(C371,LEAIDs!$A$2:$B$305,2,FALSE)</f>
        <v>0</v>
      </c>
    </row>
    <row r="372" spans="1:9" x14ac:dyDescent="0.2">
      <c r="A372">
        <v>0</v>
      </c>
      <c r="B372">
        <v>2020</v>
      </c>
      <c r="C372" t="s">
        <v>177</v>
      </c>
      <c r="D372" t="s">
        <v>232</v>
      </c>
      <c r="E372" t="s">
        <v>234</v>
      </c>
      <c r="F372" s="17">
        <v>207658</v>
      </c>
      <c r="G372" s="17">
        <v>7328</v>
      </c>
      <c r="H372" s="17">
        <v>214986</v>
      </c>
      <c r="I372">
        <f>VLOOKUP(C372,LEAIDs!$A$2:$B$305,2,FALSE)</f>
        <v>0</v>
      </c>
    </row>
    <row r="373" spans="1:9" x14ac:dyDescent="0.2">
      <c r="A373">
        <v>0</v>
      </c>
      <c r="B373" s="2">
        <v>2021</v>
      </c>
      <c r="C373" s="4" t="s">
        <v>177</v>
      </c>
      <c r="D373" s="2" t="s">
        <v>232</v>
      </c>
      <c r="E373" s="2" t="s">
        <v>234</v>
      </c>
      <c r="F373" s="16">
        <v>219330</v>
      </c>
      <c r="G373" s="16">
        <v>7634</v>
      </c>
      <c r="H373" s="15">
        <v>226964</v>
      </c>
      <c r="I373">
        <f>VLOOKUP(C373,LEAIDs!$A$2:$B$305,2,FALSE)</f>
        <v>0</v>
      </c>
    </row>
    <row r="374" spans="1:9" x14ac:dyDescent="0.2">
      <c r="A374">
        <v>0</v>
      </c>
      <c r="B374" s="2">
        <v>2022</v>
      </c>
      <c r="C374" s="4" t="s">
        <v>177</v>
      </c>
      <c r="D374" s="2" t="s">
        <v>232</v>
      </c>
      <c r="E374" s="2" t="s">
        <v>234</v>
      </c>
      <c r="F374" s="16">
        <v>221084</v>
      </c>
      <c r="G374" s="16">
        <v>7899</v>
      </c>
      <c r="H374" s="15">
        <v>228983</v>
      </c>
      <c r="I374">
        <f>VLOOKUP(C374,LEAIDs!$A$2:$B$305,2,FALSE)</f>
        <v>0</v>
      </c>
    </row>
    <row r="375" spans="1:9" x14ac:dyDescent="0.2">
      <c r="A375">
        <v>0</v>
      </c>
      <c r="B375" s="2">
        <v>2023</v>
      </c>
      <c r="C375" s="2" t="s">
        <v>177</v>
      </c>
      <c r="D375" s="2" t="s">
        <v>232</v>
      </c>
      <c r="E375" s="2" t="s">
        <v>234</v>
      </c>
      <c r="F375" s="15">
        <v>177905</v>
      </c>
      <c r="G375" s="15">
        <v>6343</v>
      </c>
      <c r="H375" s="15">
        <v>184248</v>
      </c>
      <c r="I375">
        <f>VLOOKUP(C375,LEAIDs!$A$2:$B$305,2,FALSE)</f>
        <v>0</v>
      </c>
    </row>
    <row r="376" spans="1:9" x14ac:dyDescent="0.2">
      <c r="A376">
        <v>0</v>
      </c>
      <c r="B376">
        <v>2015</v>
      </c>
      <c r="C376" t="s">
        <v>315</v>
      </c>
      <c r="D376" t="s">
        <v>232</v>
      </c>
      <c r="E376" t="s">
        <v>234</v>
      </c>
      <c r="F376" s="17">
        <v>28416</v>
      </c>
      <c r="G376" s="17">
        <v>874</v>
      </c>
      <c r="H376" s="17">
        <v>29290</v>
      </c>
      <c r="I376">
        <f>VLOOKUP(C376,LEAIDs!$A$2:$B$305,2,FALSE)</f>
        <v>0</v>
      </c>
    </row>
    <row r="377" spans="1:9" x14ac:dyDescent="0.2">
      <c r="A377">
        <v>0</v>
      </c>
      <c r="B377">
        <v>2015</v>
      </c>
      <c r="C377" t="s">
        <v>311</v>
      </c>
      <c r="D377" t="s">
        <v>232</v>
      </c>
      <c r="E377" t="s">
        <v>234</v>
      </c>
      <c r="F377" s="17">
        <v>14585</v>
      </c>
      <c r="G377" s="17">
        <v>448</v>
      </c>
      <c r="H377" s="17">
        <v>15033</v>
      </c>
      <c r="I377">
        <f>VLOOKUP(C377,LEAIDs!$A$2:$B$305,2,FALSE)</f>
        <v>0</v>
      </c>
    </row>
    <row r="378" spans="1:9" x14ac:dyDescent="0.2">
      <c r="A378">
        <v>0</v>
      </c>
      <c r="B378">
        <v>2015</v>
      </c>
      <c r="C378" t="s">
        <v>178</v>
      </c>
      <c r="D378" t="s">
        <v>232</v>
      </c>
      <c r="E378" t="s">
        <v>234</v>
      </c>
      <c r="F378" s="17">
        <v>37656</v>
      </c>
      <c r="G378" s="17">
        <v>1158</v>
      </c>
      <c r="H378" s="17">
        <v>38814</v>
      </c>
      <c r="I378">
        <f>VLOOKUP(C378,LEAIDs!$A$2:$B$305,2,FALSE)</f>
        <v>0</v>
      </c>
    </row>
    <row r="379" spans="1:9" x14ac:dyDescent="0.2">
      <c r="A379">
        <v>0</v>
      </c>
      <c r="B379">
        <v>2016</v>
      </c>
      <c r="C379" t="s">
        <v>178</v>
      </c>
      <c r="D379" t="s">
        <v>232</v>
      </c>
      <c r="E379" t="s">
        <v>234</v>
      </c>
      <c r="F379" s="17">
        <v>18990</v>
      </c>
      <c r="G379" s="17">
        <v>626</v>
      </c>
      <c r="H379" s="17">
        <v>19616</v>
      </c>
      <c r="I379">
        <f>VLOOKUP(C379,LEAIDs!$A$2:$B$305,2,FALSE)</f>
        <v>0</v>
      </c>
    </row>
    <row r="380" spans="1:9" x14ac:dyDescent="0.2">
      <c r="A380">
        <v>0</v>
      </c>
      <c r="B380">
        <v>2017</v>
      </c>
      <c r="C380" t="s">
        <v>178</v>
      </c>
      <c r="D380" t="s">
        <v>232</v>
      </c>
      <c r="E380" t="s">
        <v>234</v>
      </c>
      <c r="F380" s="17">
        <v>18686</v>
      </c>
      <c r="G380" s="17">
        <v>645</v>
      </c>
      <c r="H380" s="17">
        <v>19331</v>
      </c>
      <c r="I380">
        <f>VLOOKUP(C380,LEAIDs!$A$2:$B$305,2,FALSE)</f>
        <v>0</v>
      </c>
    </row>
    <row r="381" spans="1:9" x14ac:dyDescent="0.2">
      <c r="A381">
        <v>0</v>
      </c>
      <c r="B381" s="2">
        <v>2023</v>
      </c>
      <c r="C381" s="2" t="s">
        <v>178</v>
      </c>
      <c r="D381" s="2" t="s">
        <v>232</v>
      </c>
      <c r="E381" s="2" t="s">
        <v>234</v>
      </c>
      <c r="F381" s="15">
        <v>28009</v>
      </c>
      <c r="G381" s="15">
        <v>999</v>
      </c>
      <c r="H381" s="15">
        <v>29008</v>
      </c>
      <c r="I381">
        <f>VLOOKUP(C381,LEAIDs!$A$2:$B$305,2,FALSE)</f>
        <v>0</v>
      </c>
    </row>
    <row r="382" spans="1:9" x14ac:dyDescent="0.2">
      <c r="A382">
        <v>0</v>
      </c>
      <c r="B382">
        <v>2015</v>
      </c>
      <c r="C382" t="s">
        <v>122</v>
      </c>
      <c r="D382" t="s">
        <v>232</v>
      </c>
      <c r="E382" t="s">
        <v>234</v>
      </c>
      <c r="F382" s="17">
        <v>1092335</v>
      </c>
      <c r="G382" s="17">
        <v>33579</v>
      </c>
      <c r="H382" s="17">
        <v>1125914</v>
      </c>
      <c r="I382">
        <f>VLOOKUP(C382,LEAIDs!$A$2:$B$305,2,FALSE)</f>
        <v>0</v>
      </c>
    </row>
    <row r="383" spans="1:9" x14ac:dyDescent="0.2">
      <c r="A383">
        <v>0</v>
      </c>
      <c r="B383">
        <v>2016</v>
      </c>
      <c r="C383" t="s">
        <v>122</v>
      </c>
      <c r="D383" t="s">
        <v>232</v>
      </c>
      <c r="E383" t="s">
        <v>234</v>
      </c>
      <c r="F383" s="17">
        <v>1056110</v>
      </c>
      <c r="G383" s="17">
        <v>34836</v>
      </c>
      <c r="H383" s="17">
        <v>1090946</v>
      </c>
      <c r="I383">
        <f>VLOOKUP(C383,LEAIDs!$A$2:$B$305,2,FALSE)</f>
        <v>0</v>
      </c>
    </row>
    <row r="384" spans="1:9" x14ac:dyDescent="0.2">
      <c r="A384">
        <v>0</v>
      </c>
      <c r="B384">
        <v>2017</v>
      </c>
      <c r="C384" t="s">
        <v>122</v>
      </c>
      <c r="D384" t="s">
        <v>232</v>
      </c>
      <c r="E384" t="s">
        <v>234</v>
      </c>
      <c r="F384" s="17">
        <v>1200725</v>
      </c>
      <c r="G384" s="17">
        <v>41472</v>
      </c>
      <c r="H384" s="17">
        <v>1242197</v>
      </c>
      <c r="I384">
        <f>VLOOKUP(C384,LEAIDs!$A$2:$B$305,2,FALSE)</f>
        <v>0</v>
      </c>
    </row>
    <row r="385" spans="1:9" x14ac:dyDescent="0.2">
      <c r="A385">
        <v>0</v>
      </c>
      <c r="B385">
        <v>2018</v>
      </c>
      <c r="C385" t="s">
        <v>122</v>
      </c>
      <c r="D385" t="s">
        <v>232</v>
      </c>
      <c r="E385" t="s">
        <v>234</v>
      </c>
      <c r="F385" s="17">
        <v>1526648</v>
      </c>
      <c r="G385" s="17">
        <v>50240</v>
      </c>
      <c r="H385" s="17">
        <v>1576888</v>
      </c>
      <c r="I385">
        <f>VLOOKUP(C385,LEAIDs!$A$2:$B$305,2,FALSE)</f>
        <v>0</v>
      </c>
    </row>
    <row r="386" spans="1:9" x14ac:dyDescent="0.2">
      <c r="A386">
        <v>0</v>
      </c>
      <c r="B386">
        <v>2019</v>
      </c>
      <c r="C386" t="s">
        <v>122</v>
      </c>
      <c r="D386" t="s">
        <v>232</v>
      </c>
      <c r="E386" t="s">
        <v>234</v>
      </c>
      <c r="F386" s="17">
        <v>1326177</v>
      </c>
      <c r="G386" s="17">
        <v>44509</v>
      </c>
      <c r="H386" s="17">
        <v>1370686</v>
      </c>
      <c r="I386">
        <f>VLOOKUP(C386,LEAIDs!$A$2:$B$305,2,FALSE)</f>
        <v>0</v>
      </c>
    </row>
    <row r="387" spans="1:9" x14ac:dyDescent="0.2">
      <c r="A387">
        <v>0</v>
      </c>
      <c r="B387">
        <v>2020</v>
      </c>
      <c r="C387" t="s">
        <v>122</v>
      </c>
      <c r="D387" t="s">
        <v>232</v>
      </c>
      <c r="E387" t="s">
        <v>234</v>
      </c>
      <c r="F387" s="17">
        <v>1347744</v>
      </c>
      <c r="G387" s="17">
        <v>47560</v>
      </c>
      <c r="H387" s="17">
        <v>1395304</v>
      </c>
      <c r="I387">
        <f>VLOOKUP(C387,LEAIDs!$A$2:$B$305,2,FALSE)</f>
        <v>0</v>
      </c>
    </row>
    <row r="388" spans="1:9" x14ac:dyDescent="0.2">
      <c r="A388">
        <v>0</v>
      </c>
      <c r="B388" s="2">
        <v>2021</v>
      </c>
      <c r="C388" s="4" t="s">
        <v>122</v>
      </c>
      <c r="D388" s="2" t="s">
        <v>232</v>
      </c>
      <c r="E388" s="2" t="s">
        <v>234</v>
      </c>
      <c r="F388" s="16">
        <v>1308107</v>
      </c>
      <c r="G388" s="16">
        <v>45532</v>
      </c>
      <c r="H388" s="15">
        <v>1353639</v>
      </c>
      <c r="I388">
        <f>VLOOKUP(C388,LEAIDs!$A$2:$B$305,2,FALSE)</f>
        <v>0</v>
      </c>
    </row>
    <row r="389" spans="1:9" x14ac:dyDescent="0.2">
      <c r="A389">
        <v>0</v>
      </c>
      <c r="B389" s="2">
        <v>2023</v>
      </c>
      <c r="C389" s="2" t="s">
        <v>122</v>
      </c>
      <c r="D389" s="2" t="s">
        <v>232</v>
      </c>
      <c r="E389" s="2" t="s">
        <v>234</v>
      </c>
      <c r="F389" s="15">
        <v>1341626</v>
      </c>
      <c r="G389" s="15">
        <v>47831</v>
      </c>
      <c r="H389" s="15">
        <v>1389457</v>
      </c>
      <c r="I389">
        <f>VLOOKUP(C389,LEAIDs!$A$2:$B$305,2,FALSE)</f>
        <v>0</v>
      </c>
    </row>
    <row r="390" spans="1:9" x14ac:dyDescent="0.2">
      <c r="A390">
        <v>0</v>
      </c>
      <c r="B390" s="2">
        <v>2022</v>
      </c>
      <c r="C390" s="4" t="s">
        <v>239</v>
      </c>
      <c r="D390" s="2" t="s">
        <v>232</v>
      </c>
      <c r="E390" s="2" t="s">
        <v>234</v>
      </c>
      <c r="F390" s="16">
        <v>1390089</v>
      </c>
      <c r="G390" s="16">
        <v>49665</v>
      </c>
      <c r="H390" s="15">
        <v>1439754</v>
      </c>
      <c r="I390">
        <f>VLOOKUP(C390,LEAIDs!$A$2:$B$305,2,FALSE)</f>
        <v>0</v>
      </c>
    </row>
    <row r="391" spans="1:9" x14ac:dyDescent="0.2">
      <c r="A391">
        <v>0</v>
      </c>
      <c r="B391">
        <v>2015</v>
      </c>
      <c r="C391" t="s">
        <v>160</v>
      </c>
      <c r="D391" t="s">
        <v>232</v>
      </c>
      <c r="E391" t="s">
        <v>234</v>
      </c>
      <c r="F391" s="17">
        <v>42843</v>
      </c>
      <c r="G391" s="17">
        <v>1317</v>
      </c>
      <c r="H391" s="17">
        <v>44160</v>
      </c>
      <c r="I391">
        <f>VLOOKUP(C391,LEAIDs!$A$2:$B$305,2,FALSE)</f>
        <v>0</v>
      </c>
    </row>
    <row r="392" spans="1:9" x14ac:dyDescent="0.2">
      <c r="A392">
        <v>0</v>
      </c>
      <c r="B392">
        <v>2016</v>
      </c>
      <c r="C392" t="s">
        <v>160</v>
      </c>
      <c r="D392" t="s">
        <v>232</v>
      </c>
      <c r="E392" t="s">
        <v>234</v>
      </c>
      <c r="F392" s="17">
        <v>21699</v>
      </c>
      <c r="G392" s="17">
        <v>716</v>
      </c>
      <c r="H392" s="17">
        <v>22415</v>
      </c>
      <c r="I392">
        <f>VLOOKUP(C392,LEAIDs!$A$2:$B$305,2,FALSE)</f>
        <v>0</v>
      </c>
    </row>
    <row r="393" spans="1:9" x14ac:dyDescent="0.2">
      <c r="A393">
        <v>0</v>
      </c>
      <c r="B393">
        <v>2017</v>
      </c>
      <c r="C393" t="s">
        <v>160</v>
      </c>
      <c r="D393" t="s">
        <v>232</v>
      </c>
      <c r="E393" t="s">
        <v>234</v>
      </c>
      <c r="F393" s="17">
        <v>21368</v>
      </c>
      <c r="G393" s="17">
        <v>738</v>
      </c>
      <c r="H393" s="17">
        <v>22106</v>
      </c>
      <c r="I393">
        <f>VLOOKUP(C393,LEAIDs!$A$2:$B$305,2,FALSE)</f>
        <v>0</v>
      </c>
    </row>
    <row r="394" spans="1:9" x14ac:dyDescent="0.2">
      <c r="A394">
        <v>0</v>
      </c>
      <c r="B394">
        <v>2019</v>
      </c>
      <c r="C394" t="s">
        <v>160</v>
      </c>
      <c r="D394" t="s">
        <v>232</v>
      </c>
      <c r="E394" t="s">
        <v>234</v>
      </c>
      <c r="F394" s="17">
        <v>21471</v>
      </c>
      <c r="G394" s="17">
        <v>721</v>
      </c>
      <c r="H394" s="17">
        <v>22192</v>
      </c>
      <c r="I394">
        <f>VLOOKUP(C394,LEAIDs!$A$2:$B$305,2,FALSE)</f>
        <v>0</v>
      </c>
    </row>
    <row r="395" spans="1:9" x14ac:dyDescent="0.2">
      <c r="A395">
        <v>0</v>
      </c>
      <c r="B395">
        <v>2020</v>
      </c>
      <c r="C395" t="s">
        <v>160</v>
      </c>
      <c r="D395" t="s">
        <v>232</v>
      </c>
      <c r="E395" t="s">
        <v>234</v>
      </c>
      <c r="F395" s="17">
        <v>27477</v>
      </c>
      <c r="G395" s="17">
        <v>970</v>
      </c>
      <c r="H395" s="17">
        <v>28447</v>
      </c>
      <c r="I395">
        <f>VLOOKUP(C395,LEAIDs!$A$2:$B$305,2,FALSE)</f>
        <v>0</v>
      </c>
    </row>
    <row r="396" spans="1:9" x14ac:dyDescent="0.2">
      <c r="A396">
        <v>0</v>
      </c>
      <c r="B396" s="2">
        <v>2021</v>
      </c>
      <c r="C396" s="4" t="s">
        <v>160</v>
      </c>
      <c r="D396" s="2" t="s">
        <v>232</v>
      </c>
      <c r="E396" s="2" t="s">
        <v>234</v>
      </c>
      <c r="F396" s="16">
        <v>30311</v>
      </c>
      <c r="G396" s="16">
        <v>1055</v>
      </c>
      <c r="H396" s="15">
        <v>31366</v>
      </c>
      <c r="I396">
        <f>VLOOKUP(C396,LEAIDs!$A$2:$B$305,2,FALSE)</f>
        <v>0</v>
      </c>
    </row>
    <row r="397" spans="1:9" x14ac:dyDescent="0.2">
      <c r="A397">
        <v>0</v>
      </c>
      <c r="B397" s="2">
        <v>2022</v>
      </c>
      <c r="C397" s="4" t="s">
        <v>160</v>
      </c>
      <c r="D397" s="2" t="s">
        <v>232</v>
      </c>
      <c r="E397" s="2" t="s">
        <v>234</v>
      </c>
      <c r="F397" s="16">
        <v>48858</v>
      </c>
      <c r="G397" s="16">
        <v>1746</v>
      </c>
      <c r="H397" s="15">
        <v>50604</v>
      </c>
      <c r="I397">
        <f>VLOOKUP(C397,LEAIDs!$A$2:$B$305,2,FALSE)</f>
        <v>0</v>
      </c>
    </row>
    <row r="398" spans="1:9" x14ac:dyDescent="0.2">
      <c r="A398">
        <v>0</v>
      </c>
      <c r="B398" s="2">
        <v>2023</v>
      </c>
      <c r="C398" s="2" t="s">
        <v>160</v>
      </c>
      <c r="D398" s="2" t="s">
        <v>232</v>
      </c>
      <c r="E398" s="2" t="s">
        <v>234</v>
      </c>
      <c r="F398" s="15">
        <v>92172</v>
      </c>
      <c r="G398" s="15">
        <v>3286</v>
      </c>
      <c r="H398" s="15">
        <v>95458</v>
      </c>
      <c r="I398">
        <f>VLOOKUP(C398,LEAIDs!$A$2:$B$305,2,FALSE)</f>
        <v>0</v>
      </c>
    </row>
    <row r="399" spans="1:9" x14ac:dyDescent="0.2">
      <c r="A399">
        <v>0</v>
      </c>
      <c r="B399">
        <v>2018</v>
      </c>
      <c r="C399" t="s">
        <v>287</v>
      </c>
      <c r="D399" t="s">
        <v>232</v>
      </c>
      <c r="E399" t="s">
        <v>234</v>
      </c>
      <c r="F399" s="17">
        <v>21585</v>
      </c>
      <c r="G399" s="17">
        <v>710</v>
      </c>
      <c r="H399" s="17">
        <v>22295</v>
      </c>
      <c r="I399">
        <f>VLOOKUP(C399,LEAIDs!$A$2:$B$305,2,FALSE)</f>
        <v>0</v>
      </c>
    </row>
    <row r="400" spans="1:9" x14ac:dyDescent="0.2">
      <c r="A400">
        <v>0</v>
      </c>
      <c r="B400">
        <v>2015</v>
      </c>
      <c r="C400" t="s">
        <v>74</v>
      </c>
      <c r="D400" t="s">
        <v>232</v>
      </c>
      <c r="E400" t="s">
        <v>234</v>
      </c>
      <c r="F400" s="17">
        <v>5597851</v>
      </c>
      <c r="G400" s="17">
        <v>172081</v>
      </c>
      <c r="H400" s="17">
        <v>5769932</v>
      </c>
      <c r="I400">
        <f>VLOOKUP(C400,LEAIDs!$A$2:$B$305,2,FALSE)</f>
        <v>0</v>
      </c>
    </row>
    <row r="401" spans="1:9" x14ac:dyDescent="0.2">
      <c r="A401">
        <v>0</v>
      </c>
      <c r="B401">
        <v>2016</v>
      </c>
      <c r="C401" t="s">
        <v>74</v>
      </c>
      <c r="D401" t="s">
        <v>232</v>
      </c>
      <c r="E401" t="s">
        <v>234</v>
      </c>
      <c r="F401" s="17">
        <v>5143258</v>
      </c>
      <c r="G401" s="17">
        <v>169650</v>
      </c>
      <c r="H401" s="17">
        <v>5312908</v>
      </c>
      <c r="I401">
        <f>VLOOKUP(C401,LEAIDs!$A$2:$B$305,2,FALSE)</f>
        <v>0</v>
      </c>
    </row>
    <row r="402" spans="1:9" x14ac:dyDescent="0.2">
      <c r="A402">
        <v>0</v>
      </c>
      <c r="B402">
        <v>2017</v>
      </c>
      <c r="C402" t="s">
        <v>74</v>
      </c>
      <c r="D402" t="s">
        <v>232</v>
      </c>
      <c r="E402" t="s">
        <v>234</v>
      </c>
      <c r="F402" s="17">
        <v>5083592</v>
      </c>
      <c r="G402" s="17">
        <v>175585</v>
      </c>
      <c r="H402" s="17">
        <v>5259177</v>
      </c>
      <c r="I402">
        <f>VLOOKUP(C402,LEAIDs!$A$2:$B$305,2,FALSE)</f>
        <v>0</v>
      </c>
    </row>
    <row r="403" spans="1:9" x14ac:dyDescent="0.2">
      <c r="A403">
        <v>0</v>
      </c>
      <c r="B403">
        <v>2018</v>
      </c>
      <c r="C403" t="s">
        <v>74</v>
      </c>
      <c r="D403" t="s">
        <v>232</v>
      </c>
      <c r="E403" t="s">
        <v>234</v>
      </c>
      <c r="F403" s="17">
        <v>5681095</v>
      </c>
      <c r="G403" s="17">
        <v>186956</v>
      </c>
      <c r="H403" s="17">
        <v>5868051</v>
      </c>
      <c r="I403">
        <f>VLOOKUP(C403,LEAIDs!$A$2:$B$305,2,FALSE)</f>
        <v>0</v>
      </c>
    </row>
    <row r="404" spans="1:9" x14ac:dyDescent="0.2">
      <c r="A404">
        <v>0</v>
      </c>
      <c r="B404">
        <v>2019</v>
      </c>
      <c r="C404" t="s">
        <v>74</v>
      </c>
      <c r="D404" t="s">
        <v>232</v>
      </c>
      <c r="E404" t="s">
        <v>234</v>
      </c>
      <c r="F404" s="17">
        <v>5977229</v>
      </c>
      <c r="G404" s="17">
        <v>200605</v>
      </c>
      <c r="H404" s="17">
        <v>6177834</v>
      </c>
      <c r="I404">
        <f>VLOOKUP(C404,LEAIDs!$A$2:$B$305,2,FALSE)</f>
        <v>0</v>
      </c>
    </row>
    <row r="405" spans="1:9" x14ac:dyDescent="0.2">
      <c r="A405">
        <v>0</v>
      </c>
      <c r="B405">
        <v>2020</v>
      </c>
      <c r="C405" t="s">
        <v>74</v>
      </c>
      <c r="D405" t="s">
        <v>232</v>
      </c>
      <c r="E405" t="s">
        <v>234</v>
      </c>
      <c r="F405" s="17">
        <v>5837301</v>
      </c>
      <c r="G405" s="17">
        <v>205989</v>
      </c>
      <c r="H405" s="17">
        <v>6043290</v>
      </c>
      <c r="I405">
        <f>VLOOKUP(C405,LEAIDs!$A$2:$B$305,2,FALSE)</f>
        <v>0</v>
      </c>
    </row>
    <row r="406" spans="1:9" x14ac:dyDescent="0.2">
      <c r="A406">
        <v>0</v>
      </c>
      <c r="B406" s="2">
        <v>2021</v>
      </c>
      <c r="C406" s="4" t="s">
        <v>74</v>
      </c>
      <c r="D406" s="2" t="s">
        <v>232</v>
      </c>
      <c r="E406" s="2" t="s">
        <v>234</v>
      </c>
      <c r="F406" s="16">
        <v>5746760</v>
      </c>
      <c r="G406" s="16">
        <v>200029</v>
      </c>
      <c r="H406" s="15">
        <v>5946789</v>
      </c>
      <c r="I406">
        <f>VLOOKUP(C406,LEAIDs!$A$2:$B$305,2,FALSE)</f>
        <v>0</v>
      </c>
    </row>
    <row r="407" spans="1:9" x14ac:dyDescent="0.2">
      <c r="A407">
        <v>0</v>
      </c>
      <c r="B407" s="2">
        <v>2022</v>
      </c>
      <c r="C407" s="4" t="s">
        <v>74</v>
      </c>
      <c r="D407" s="2" t="s">
        <v>232</v>
      </c>
      <c r="E407" s="2" t="s">
        <v>234</v>
      </c>
      <c r="F407" s="16">
        <v>5627800</v>
      </c>
      <c r="G407" s="16">
        <v>201068</v>
      </c>
      <c r="H407" s="15">
        <v>5828868</v>
      </c>
      <c r="I407">
        <f>VLOOKUP(C407,LEAIDs!$A$2:$B$305,2,FALSE)</f>
        <v>0</v>
      </c>
    </row>
    <row r="408" spans="1:9" x14ac:dyDescent="0.2">
      <c r="A408">
        <v>0</v>
      </c>
      <c r="B408" s="2">
        <v>2023</v>
      </c>
      <c r="C408" s="2" t="s">
        <v>74</v>
      </c>
      <c r="D408" s="2" t="s">
        <v>232</v>
      </c>
      <c r="E408" s="2" t="s">
        <v>234</v>
      </c>
      <c r="F408" s="15">
        <v>6092134</v>
      </c>
      <c r="G408" s="15">
        <v>217195</v>
      </c>
      <c r="H408" s="15">
        <v>6309329</v>
      </c>
      <c r="I408">
        <f>VLOOKUP(C408,LEAIDs!$A$2:$B$305,2,FALSE)</f>
        <v>0</v>
      </c>
    </row>
    <row r="409" spans="1:9" x14ac:dyDescent="0.2">
      <c r="A409">
        <v>0</v>
      </c>
      <c r="B409">
        <v>2015</v>
      </c>
      <c r="C409" t="s">
        <v>132</v>
      </c>
      <c r="D409" t="s">
        <v>232</v>
      </c>
      <c r="E409" t="s">
        <v>234</v>
      </c>
      <c r="F409" s="17">
        <v>14378</v>
      </c>
      <c r="G409" s="17">
        <v>442</v>
      </c>
      <c r="H409" s="17">
        <v>14820</v>
      </c>
      <c r="I409">
        <f>VLOOKUP(C409,LEAIDs!$A$2:$B$305,2,FALSE)</f>
        <v>0</v>
      </c>
    </row>
    <row r="410" spans="1:9" x14ac:dyDescent="0.2">
      <c r="A410">
        <v>0</v>
      </c>
      <c r="B410">
        <v>2016</v>
      </c>
      <c r="C410" t="s">
        <v>132</v>
      </c>
      <c r="D410" t="s">
        <v>232</v>
      </c>
      <c r="E410" t="s">
        <v>234</v>
      </c>
      <c r="F410" s="17">
        <v>14601</v>
      </c>
      <c r="G410" s="17">
        <v>482</v>
      </c>
      <c r="H410" s="17">
        <v>15083</v>
      </c>
      <c r="I410">
        <f>VLOOKUP(C410,LEAIDs!$A$2:$B$305,2,FALSE)</f>
        <v>0</v>
      </c>
    </row>
    <row r="411" spans="1:9" x14ac:dyDescent="0.2">
      <c r="A411">
        <v>0</v>
      </c>
      <c r="B411">
        <v>2017</v>
      </c>
      <c r="C411" t="s">
        <v>132</v>
      </c>
      <c r="D411" t="s">
        <v>232</v>
      </c>
      <c r="E411" t="s">
        <v>234</v>
      </c>
      <c r="F411" s="17">
        <v>13770</v>
      </c>
      <c r="G411" s="17">
        <v>476</v>
      </c>
      <c r="H411" s="17">
        <v>14246</v>
      </c>
      <c r="I411">
        <f>VLOOKUP(C411,LEAIDs!$A$2:$B$305,2,FALSE)</f>
        <v>0</v>
      </c>
    </row>
    <row r="412" spans="1:9" x14ac:dyDescent="0.2">
      <c r="A412">
        <v>0</v>
      </c>
      <c r="B412">
        <v>2018</v>
      </c>
      <c r="C412" t="s">
        <v>132</v>
      </c>
      <c r="D412" t="s">
        <v>232</v>
      </c>
      <c r="E412" t="s">
        <v>234</v>
      </c>
      <c r="F412" s="17">
        <v>15588</v>
      </c>
      <c r="G412" s="17">
        <v>513</v>
      </c>
      <c r="H412" s="17">
        <v>16101</v>
      </c>
      <c r="I412">
        <f>VLOOKUP(C412,LEAIDs!$A$2:$B$305,2,FALSE)</f>
        <v>0</v>
      </c>
    </row>
    <row r="413" spans="1:9" x14ac:dyDescent="0.2">
      <c r="A413">
        <v>0</v>
      </c>
      <c r="B413">
        <v>2019</v>
      </c>
      <c r="C413" t="s">
        <v>132</v>
      </c>
      <c r="D413" t="s">
        <v>232</v>
      </c>
      <c r="E413" t="s">
        <v>234</v>
      </c>
      <c r="F413" s="17">
        <v>16164</v>
      </c>
      <c r="G413" s="17">
        <v>542</v>
      </c>
      <c r="H413" s="17">
        <v>16706</v>
      </c>
      <c r="I413">
        <f>VLOOKUP(C413,LEAIDs!$A$2:$B$305,2,FALSE)</f>
        <v>0</v>
      </c>
    </row>
    <row r="414" spans="1:9" x14ac:dyDescent="0.2">
      <c r="A414">
        <v>0</v>
      </c>
      <c r="B414">
        <v>2020</v>
      </c>
      <c r="C414" t="s">
        <v>132</v>
      </c>
      <c r="D414" t="s">
        <v>232</v>
      </c>
      <c r="E414" t="s">
        <v>234</v>
      </c>
      <c r="F414" s="17">
        <v>15970</v>
      </c>
      <c r="G414" s="17">
        <v>564</v>
      </c>
      <c r="H414" s="17">
        <v>16534</v>
      </c>
      <c r="I414">
        <f>VLOOKUP(C414,LEAIDs!$A$2:$B$305,2,FALSE)</f>
        <v>0</v>
      </c>
    </row>
    <row r="415" spans="1:9" x14ac:dyDescent="0.2">
      <c r="A415">
        <v>0</v>
      </c>
      <c r="B415" s="2">
        <v>2021</v>
      </c>
      <c r="C415" s="4" t="s">
        <v>132</v>
      </c>
      <c r="D415" s="2" t="s">
        <v>232</v>
      </c>
      <c r="E415" s="2" t="s">
        <v>234</v>
      </c>
      <c r="F415" s="16">
        <v>16786</v>
      </c>
      <c r="G415" s="16">
        <v>584</v>
      </c>
      <c r="H415" s="15">
        <v>17370</v>
      </c>
      <c r="I415">
        <f>VLOOKUP(C415,LEAIDs!$A$2:$B$305,2,FALSE)</f>
        <v>0</v>
      </c>
    </row>
    <row r="416" spans="1:9" x14ac:dyDescent="0.2">
      <c r="A416">
        <v>0</v>
      </c>
      <c r="B416" s="2">
        <v>2022</v>
      </c>
      <c r="C416" s="4" t="s">
        <v>132</v>
      </c>
      <c r="D416" s="2" t="s">
        <v>232</v>
      </c>
      <c r="E416" s="2" t="s">
        <v>234</v>
      </c>
      <c r="F416" s="16">
        <v>17561</v>
      </c>
      <c r="G416" s="16">
        <v>627</v>
      </c>
      <c r="H416" s="15">
        <v>18188</v>
      </c>
      <c r="I416">
        <f>VLOOKUP(C416,LEAIDs!$A$2:$B$305,2,FALSE)</f>
        <v>0</v>
      </c>
    </row>
    <row r="417" spans="1:9" x14ac:dyDescent="0.2">
      <c r="A417">
        <v>0</v>
      </c>
      <c r="B417" s="2">
        <v>2023</v>
      </c>
      <c r="C417" s="2" t="s">
        <v>132</v>
      </c>
      <c r="D417" s="2" t="s">
        <v>232</v>
      </c>
      <c r="E417" s="2" t="s">
        <v>234</v>
      </c>
      <c r="F417" s="15">
        <v>16024</v>
      </c>
      <c r="G417" s="15">
        <v>571</v>
      </c>
      <c r="H417" s="15">
        <v>16595</v>
      </c>
      <c r="I417">
        <f>VLOOKUP(C417,LEAIDs!$A$2:$B$305,2,FALSE)</f>
        <v>0</v>
      </c>
    </row>
    <row r="418" spans="1:9" x14ac:dyDescent="0.2">
      <c r="A418">
        <v>0</v>
      </c>
      <c r="B418">
        <v>2015</v>
      </c>
      <c r="C418" t="s">
        <v>297</v>
      </c>
      <c r="D418" t="s">
        <v>232</v>
      </c>
      <c r="E418" t="s">
        <v>234</v>
      </c>
      <c r="F418" s="17">
        <v>44170</v>
      </c>
      <c r="G418" s="17">
        <v>1358</v>
      </c>
      <c r="H418" s="17">
        <v>45528</v>
      </c>
      <c r="I418">
        <f>VLOOKUP(C418,LEAIDs!$A$2:$B$305,2,FALSE)</f>
        <v>0</v>
      </c>
    </row>
    <row r="419" spans="1:9" x14ac:dyDescent="0.2">
      <c r="A419">
        <v>0</v>
      </c>
      <c r="B419">
        <v>2016</v>
      </c>
      <c r="C419" t="s">
        <v>297</v>
      </c>
      <c r="D419" t="s">
        <v>232</v>
      </c>
      <c r="E419" t="s">
        <v>234</v>
      </c>
      <c r="F419" s="17">
        <v>1077</v>
      </c>
      <c r="G419" s="17">
        <v>36</v>
      </c>
      <c r="H419" s="17">
        <v>1113</v>
      </c>
      <c r="I419">
        <f>VLOOKUP(C419,LEAIDs!$A$2:$B$305,2,FALSE)</f>
        <v>0</v>
      </c>
    </row>
    <row r="420" spans="1:9" x14ac:dyDescent="0.2">
      <c r="A420">
        <v>0</v>
      </c>
      <c r="B420">
        <v>2015</v>
      </c>
      <c r="C420" t="s">
        <v>310</v>
      </c>
      <c r="D420" t="s">
        <v>232</v>
      </c>
      <c r="E420" t="s">
        <v>234</v>
      </c>
      <c r="F420" s="17">
        <v>13343</v>
      </c>
      <c r="G420" s="17">
        <v>410</v>
      </c>
      <c r="H420" s="17">
        <v>13753</v>
      </c>
      <c r="I420">
        <f>VLOOKUP(C420,LEAIDs!$A$2:$B$305,2,FALSE)</f>
        <v>0</v>
      </c>
    </row>
    <row r="421" spans="1:9" x14ac:dyDescent="0.2">
      <c r="A421">
        <v>0</v>
      </c>
      <c r="B421">
        <v>2015</v>
      </c>
      <c r="C421" t="s">
        <v>146</v>
      </c>
      <c r="D421" t="s">
        <v>232</v>
      </c>
      <c r="E421" t="s">
        <v>234</v>
      </c>
      <c r="F421" s="17">
        <v>2914725</v>
      </c>
      <c r="G421" s="17">
        <v>89600</v>
      </c>
      <c r="H421" s="17">
        <v>3004325</v>
      </c>
      <c r="I421">
        <f>VLOOKUP(C421,LEAIDs!$A$2:$B$305,2,FALSE)</f>
        <v>0</v>
      </c>
    </row>
    <row r="422" spans="1:9" x14ac:dyDescent="0.2">
      <c r="A422">
        <v>0</v>
      </c>
      <c r="B422">
        <v>2016</v>
      </c>
      <c r="C422" t="s">
        <v>146</v>
      </c>
      <c r="D422" t="s">
        <v>232</v>
      </c>
      <c r="E422" t="s">
        <v>234</v>
      </c>
      <c r="F422" s="17">
        <v>3284444</v>
      </c>
      <c r="G422" s="17">
        <v>108337</v>
      </c>
      <c r="H422" s="17">
        <v>3392781</v>
      </c>
      <c r="I422">
        <f>VLOOKUP(C422,LEAIDs!$A$2:$B$305,2,FALSE)</f>
        <v>0</v>
      </c>
    </row>
    <row r="423" spans="1:9" x14ac:dyDescent="0.2">
      <c r="A423">
        <v>0</v>
      </c>
      <c r="B423">
        <v>2017</v>
      </c>
      <c r="C423" t="s">
        <v>146</v>
      </c>
      <c r="D423" t="s">
        <v>232</v>
      </c>
      <c r="E423" t="s">
        <v>234</v>
      </c>
      <c r="F423" s="17">
        <v>3587226</v>
      </c>
      <c r="G423" s="17">
        <v>123901</v>
      </c>
      <c r="H423" s="17">
        <v>3711127</v>
      </c>
      <c r="I423">
        <f>VLOOKUP(C423,LEAIDs!$A$2:$B$305,2,FALSE)</f>
        <v>0</v>
      </c>
    </row>
    <row r="424" spans="1:9" x14ac:dyDescent="0.2">
      <c r="A424">
        <v>0</v>
      </c>
      <c r="B424">
        <v>2018</v>
      </c>
      <c r="C424" t="s">
        <v>146</v>
      </c>
      <c r="D424" t="s">
        <v>232</v>
      </c>
      <c r="E424" t="s">
        <v>234</v>
      </c>
      <c r="F424" s="17">
        <v>5331171</v>
      </c>
      <c r="G424" s="17">
        <v>175440</v>
      </c>
      <c r="H424" s="17">
        <v>5506611</v>
      </c>
      <c r="I424">
        <f>VLOOKUP(C424,LEAIDs!$A$2:$B$305,2,FALSE)</f>
        <v>0</v>
      </c>
    </row>
    <row r="425" spans="1:9" x14ac:dyDescent="0.2">
      <c r="A425">
        <v>0</v>
      </c>
      <c r="B425">
        <v>2019</v>
      </c>
      <c r="C425" t="s">
        <v>146</v>
      </c>
      <c r="D425" t="s">
        <v>232</v>
      </c>
      <c r="E425" t="s">
        <v>234</v>
      </c>
      <c r="F425" s="17">
        <v>7480418</v>
      </c>
      <c r="G425" s="17">
        <v>251055</v>
      </c>
      <c r="H425" s="17">
        <v>7731473</v>
      </c>
      <c r="I425">
        <f>VLOOKUP(C425,LEAIDs!$A$2:$B$305,2,FALSE)</f>
        <v>0</v>
      </c>
    </row>
    <row r="426" spans="1:9" x14ac:dyDescent="0.2">
      <c r="A426">
        <v>0</v>
      </c>
      <c r="B426">
        <v>2020</v>
      </c>
      <c r="C426" t="s">
        <v>146</v>
      </c>
      <c r="D426" t="s">
        <v>232</v>
      </c>
      <c r="E426" t="s">
        <v>234</v>
      </c>
      <c r="F426" s="17">
        <v>7971996</v>
      </c>
      <c r="G426" s="17">
        <v>281320</v>
      </c>
      <c r="H426" s="17">
        <v>8253316</v>
      </c>
      <c r="I426">
        <f>VLOOKUP(C426,LEAIDs!$A$2:$B$305,2,FALSE)</f>
        <v>0</v>
      </c>
    </row>
    <row r="427" spans="1:9" x14ac:dyDescent="0.2">
      <c r="A427">
        <v>0</v>
      </c>
      <c r="B427" s="2">
        <v>2021</v>
      </c>
      <c r="C427" s="4" t="s">
        <v>146</v>
      </c>
      <c r="D427" s="2" t="s">
        <v>232</v>
      </c>
      <c r="E427" s="2" t="s">
        <v>234</v>
      </c>
      <c r="F427" s="16">
        <v>8568779</v>
      </c>
      <c r="G427" s="16">
        <v>298256</v>
      </c>
      <c r="H427" s="15">
        <v>8867035</v>
      </c>
      <c r="I427">
        <f>VLOOKUP(C427,LEAIDs!$A$2:$B$305,2,FALSE)</f>
        <v>0</v>
      </c>
    </row>
    <row r="428" spans="1:9" x14ac:dyDescent="0.2">
      <c r="A428">
        <v>0</v>
      </c>
      <c r="B428" s="2">
        <v>2022</v>
      </c>
      <c r="C428" s="4" t="s">
        <v>146</v>
      </c>
      <c r="D428" s="2" t="s">
        <v>232</v>
      </c>
      <c r="E428" s="2" t="s">
        <v>234</v>
      </c>
      <c r="F428" s="16">
        <v>8168041</v>
      </c>
      <c r="G428" s="16">
        <v>291825</v>
      </c>
      <c r="H428" s="15">
        <v>8459866</v>
      </c>
      <c r="I428">
        <f>VLOOKUP(C428,LEAIDs!$A$2:$B$305,2,FALSE)</f>
        <v>0</v>
      </c>
    </row>
    <row r="429" spans="1:9" x14ac:dyDescent="0.2">
      <c r="A429">
        <v>0</v>
      </c>
      <c r="B429" s="2">
        <v>2023</v>
      </c>
      <c r="C429" s="2" t="s">
        <v>146</v>
      </c>
      <c r="D429" s="2" t="s">
        <v>232</v>
      </c>
      <c r="E429" s="2" t="s">
        <v>234</v>
      </c>
      <c r="F429" s="15">
        <v>10559315</v>
      </c>
      <c r="G429" s="15">
        <v>376457</v>
      </c>
      <c r="H429" s="15">
        <v>10935772</v>
      </c>
      <c r="I429">
        <f>VLOOKUP(C429,LEAIDs!$A$2:$B$305,2,FALSE)</f>
        <v>0</v>
      </c>
    </row>
    <row r="430" spans="1:9" x14ac:dyDescent="0.2">
      <c r="A430">
        <v>0</v>
      </c>
      <c r="B430">
        <v>2015</v>
      </c>
      <c r="C430" t="s">
        <v>83</v>
      </c>
      <c r="D430" t="s">
        <v>232</v>
      </c>
      <c r="E430" t="s">
        <v>234</v>
      </c>
      <c r="F430" s="17">
        <v>1135251</v>
      </c>
      <c r="G430" s="17">
        <v>34898</v>
      </c>
      <c r="H430" s="17">
        <v>1170149</v>
      </c>
      <c r="I430">
        <f>VLOOKUP(C430,LEAIDs!$A$2:$B$305,2,FALSE)</f>
        <v>0</v>
      </c>
    </row>
    <row r="431" spans="1:9" x14ac:dyDescent="0.2">
      <c r="A431">
        <v>0</v>
      </c>
      <c r="B431">
        <v>2016</v>
      </c>
      <c r="C431" t="s">
        <v>83</v>
      </c>
      <c r="D431" t="s">
        <v>232</v>
      </c>
      <c r="E431" t="s">
        <v>234</v>
      </c>
      <c r="F431" s="17">
        <v>1057036</v>
      </c>
      <c r="G431" s="17">
        <v>34866</v>
      </c>
      <c r="H431" s="17">
        <v>1091902</v>
      </c>
      <c r="I431">
        <f>VLOOKUP(C431,LEAIDs!$A$2:$B$305,2,FALSE)</f>
        <v>0</v>
      </c>
    </row>
    <row r="432" spans="1:9" x14ac:dyDescent="0.2">
      <c r="A432">
        <v>0</v>
      </c>
      <c r="B432">
        <v>2017</v>
      </c>
      <c r="C432" t="s">
        <v>83</v>
      </c>
      <c r="D432" t="s">
        <v>232</v>
      </c>
      <c r="E432" t="s">
        <v>234</v>
      </c>
      <c r="F432" s="17">
        <v>1052550</v>
      </c>
      <c r="G432" s="17">
        <v>36355</v>
      </c>
      <c r="H432" s="17">
        <v>1088905</v>
      </c>
      <c r="I432">
        <f>VLOOKUP(C432,LEAIDs!$A$2:$B$305,2,FALSE)</f>
        <v>0</v>
      </c>
    </row>
    <row r="433" spans="1:9" x14ac:dyDescent="0.2">
      <c r="A433">
        <v>0</v>
      </c>
      <c r="B433">
        <v>2018</v>
      </c>
      <c r="C433" t="s">
        <v>83</v>
      </c>
      <c r="D433" t="s">
        <v>232</v>
      </c>
      <c r="E433" t="s">
        <v>234</v>
      </c>
      <c r="F433" s="17">
        <v>1020125</v>
      </c>
      <c r="G433" s="17">
        <v>33571</v>
      </c>
      <c r="H433" s="17">
        <v>1053696</v>
      </c>
      <c r="I433">
        <f>VLOOKUP(C433,LEAIDs!$A$2:$B$305,2,FALSE)</f>
        <v>0</v>
      </c>
    </row>
    <row r="434" spans="1:9" x14ac:dyDescent="0.2">
      <c r="A434">
        <v>0</v>
      </c>
      <c r="B434">
        <v>2019</v>
      </c>
      <c r="C434" t="s">
        <v>83</v>
      </c>
      <c r="D434" t="s">
        <v>232</v>
      </c>
      <c r="E434" t="s">
        <v>234</v>
      </c>
      <c r="F434" s="17">
        <v>1238882</v>
      </c>
      <c r="G434" s="17">
        <v>41579</v>
      </c>
      <c r="H434" s="17">
        <v>1280461</v>
      </c>
      <c r="I434">
        <f>VLOOKUP(C434,LEAIDs!$A$2:$B$305,2,FALSE)</f>
        <v>0</v>
      </c>
    </row>
    <row r="435" spans="1:9" x14ac:dyDescent="0.2">
      <c r="A435">
        <v>0</v>
      </c>
      <c r="B435">
        <v>2020</v>
      </c>
      <c r="C435" t="s">
        <v>83</v>
      </c>
      <c r="D435" t="s">
        <v>232</v>
      </c>
      <c r="E435" t="s">
        <v>234</v>
      </c>
      <c r="F435" s="17">
        <v>1569513</v>
      </c>
      <c r="G435" s="17">
        <v>55386</v>
      </c>
      <c r="H435" s="17">
        <v>1624899</v>
      </c>
      <c r="I435">
        <f>VLOOKUP(C435,LEAIDs!$A$2:$B$305,2,FALSE)</f>
        <v>0</v>
      </c>
    </row>
    <row r="436" spans="1:9" x14ac:dyDescent="0.2">
      <c r="A436">
        <v>0</v>
      </c>
      <c r="B436" s="2">
        <v>2021</v>
      </c>
      <c r="C436" s="4" t="s">
        <v>83</v>
      </c>
      <c r="D436" s="2" t="s">
        <v>232</v>
      </c>
      <c r="E436" s="2" t="s">
        <v>234</v>
      </c>
      <c r="F436" s="16">
        <v>1565570</v>
      </c>
      <c r="G436" s="16">
        <v>54493</v>
      </c>
      <c r="H436" s="15">
        <v>1620063</v>
      </c>
      <c r="I436">
        <f>VLOOKUP(C436,LEAIDs!$A$2:$B$305,2,FALSE)</f>
        <v>0</v>
      </c>
    </row>
    <row r="437" spans="1:9" x14ac:dyDescent="0.2">
      <c r="A437">
        <v>0</v>
      </c>
      <c r="B437" s="2">
        <v>2022</v>
      </c>
      <c r="C437" s="4" t="s">
        <v>83</v>
      </c>
      <c r="D437" s="2" t="s">
        <v>232</v>
      </c>
      <c r="E437" s="2" t="s">
        <v>234</v>
      </c>
      <c r="F437" s="16">
        <v>1574039</v>
      </c>
      <c r="G437" s="16">
        <v>56237</v>
      </c>
      <c r="H437" s="15">
        <v>1630276</v>
      </c>
      <c r="I437">
        <f>VLOOKUP(C437,LEAIDs!$A$2:$B$305,2,FALSE)</f>
        <v>0</v>
      </c>
    </row>
    <row r="438" spans="1:9" x14ac:dyDescent="0.2">
      <c r="A438">
        <v>0</v>
      </c>
      <c r="B438" s="2">
        <v>2023</v>
      </c>
      <c r="C438" s="2" t="s">
        <v>83</v>
      </c>
      <c r="D438" s="2" t="s">
        <v>232</v>
      </c>
      <c r="E438" s="2" t="s">
        <v>234</v>
      </c>
      <c r="F438" s="15">
        <v>1753973</v>
      </c>
      <c r="G438" s="15">
        <v>62532</v>
      </c>
      <c r="H438" s="15">
        <v>1816505</v>
      </c>
      <c r="I438">
        <f>VLOOKUP(C438,LEAIDs!$A$2:$B$305,2,FALSE)</f>
        <v>0</v>
      </c>
    </row>
    <row r="439" spans="1:9" x14ac:dyDescent="0.2">
      <c r="A439">
        <v>0</v>
      </c>
      <c r="B439">
        <v>2015</v>
      </c>
      <c r="C439" t="s">
        <v>110</v>
      </c>
      <c r="D439" t="s">
        <v>232</v>
      </c>
      <c r="E439" t="s">
        <v>234</v>
      </c>
      <c r="F439" s="17">
        <v>2445051</v>
      </c>
      <c r="G439" s="17">
        <v>75162</v>
      </c>
      <c r="H439" s="17">
        <v>2520213</v>
      </c>
      <c r="I439">
        <f>VLOOKUP(C439,LEAIDs!$A$2:$B$305,2,FALSE)</f>
        <v>0</v>
      </c>
    </row>
    <row r="440" spans="1:9" x14ac:dyDescent="0.2">
      <c r="A440">
        <v>0</v>
      </c>
      <c r="B440">
        <v>2016</v>
      </c>
      <c r="C440" t="s">
        <v>110</v>
      </c>
      <c r="D440" t="s">
        <v>232</v>
      </c>
      <c r="E440" t="s">
        <v>234</v>
      </c>
      <c r="F440" s="17">
        <v>2271015</v>
      </c>
      <c r="G440" s="17">
        <v>74909</v>
      </c>
      <c r="H440" s="17">
        <v>2345924</v>
      </c>
      <c r="I440">
        <f>VLOOKUP(C440,LEAIDs!$A$2:$B$305,2,FALSE)</f>
        <v>0</v>
      </c>
    </row>
    <row r="441" spans="1:9" x14ac:dyDescent="0.2">
      <c r="A441">
        <v>0</v>
      </c>
      <c r="B441">
        <v>2017</v>
      </c>
      <c r="C441" t="s">
        <v>110</v>
      </c>
      <c r="D441" t="s">
        <v>232</v>
      </c>
      <c r="E441" t="s">
        <v>234</v>
      </c>
      <c r="F441" s="17">
        <v>2092632</v>
      </c>
      <c r="G441" s="17">
        <v>72279</v>
      </c>
      <c r="H441" s="17">
        <v>2164911</v>
      </c>
      <c r="I441">
        <f>VLOOKUP(C441,LEAIDs!$A$2:$B$305,2,FALSE)</f>
        <v>0</v>
      </c>
    </row>
    <row r="442" spans="1:9" x14ac:dyDescent="0.2">
      <c r="A442">
        <v>0</v>
      </c>
      <c r="B442">
        <v>2018</v>
      </c>
      <c r="C442" t="s">
        <v>110</v>
      </c>
      <c r="D442" t="s">
        <v>232</v>
      </c>
      <c r="E442" t="s">
        <v>234</v>
      </c>
      <c r="F442" s="17">
        <v>2526870</v>
      </c>
      <c r="G442" s="17">
        <v>83155</v>
      </c>
      <c r="H442" s="17">
        <v>2610025</v>
      </c>
      <c r="I442">
        <f>VLOOKUP(C442,LEAIDs!$A$2:$B$305,2,FALSE)</f>
        <v>0</v>
      </c>
    </row>
    <row r="443" spans="1:9" x14ac:dyDescent="0.2">
      <c r="A443">
        <v>0</v>
      </c>
      <c r="B443">
        <v>2019</v>
      </c>
      <c r="C443" t="s">
        <v>110</v>
      </c>
      <c r="D443" t="s">
        <v>232</v>
      </c>
      <c r="E443" t="s">
        <v>234</v>
      </c>
      <c r="F443" s="17">
        <v>2935467</v>
      </c>
      <c r="G443" s="17">
        <v>98519</v>
      </c>
      <c r="H443" s="17">
        <v>3033986</v>
      </c>
      <c r="I443">
        <f>VLOOKUP(C443,LEAIDs!$A$2:$B$305,2,FALSE)</f>
        <v>0</v>
      </c>
    </row>
    <row r="444" spans="1:9" x14ac:dyDescent="0.2">
      <c r="A444">
        <v>0</v>
      </c>
      <c r="B444">
        <v>2020</v>
      </c>
      <c r="C444" t="s">
        <v>110</v>
      </c>
      <c r="D444" t="s">
        <v>232</v>
      </c>
      <c r="E444" t="s">
        <v>234</v>
      </c>
      <c r="F444" s="17">
        <v>3033937</v>
      </c>
      <c r="G444" s="17">
        <v>107063</v>
      </c>
      <c r="H444" s="17">
        <v>3141000</v>
      </c>
      <c r="I444">
        <f>VLOOKUP(C444,LEAIDs!$A$2:$B$305,2,FALSE)</f>
        <v>0</v>
      </c>
    </row>
    <row r="445" spans="1:9" x14ac:dyDescent="0.2">
      <c r="A445">
        <v>0</v>
      </c>
      <c r="B445" s="2">
        <v>2021</v>
      </c>
      <c r="C445" s="4" t="s">
        <v>110</v>
      </c>
      <c r="D445" s="2" t="s">
        <v>232</v>
      </c>
      <c r="E445" s="2" t="s">
        <v>234</v>
      </c>
      <c r="F445" s="16">
        <v>3013331</v>
      </c>
      <c r="G445" s="16">
        <v>104886</v>
      </c>
      <c r="H445" s="15">
        <v>3118217</v>
      </c>
      <c r="I445">
        <f>VLOOKUP(C445,LEAIDs!$A$2:$B$305,2,FALSE)</f>
        <v>0</v>
      </c>
    </row>
    <row r="446" spans="1:9" x14ac:dyDescent="0.2">
      <c r="A446">
        <v>0</v>
      </c>
      <c r="B446" s="2">
        <v>2022</v>
      </c>
      <c r="C446" s="4" t="s">
        <v>110</v>
      </c>
      <c r="D446" s="2" t="s">
        <v>232</v>
      </c>
      <c r="E446" s="2" t="s">
        <v>234</v>
      </c>
      <c r="F446" s="16">
        <v>3059464</v>
      </c>
      <c r="G446" s="16">
        <v>109307</v>
      </c>
      <c r="H446" s="15">
        <v>3168771</v>
      </c>
      <c r="I446">
        <f>VLOOKUP(C446,LEAIDs!$A$2:$B$305,2,FALSE)</f>
        <v>0</v>
      </c>
    </row>
    <row r="447" spans="1:9" x14ac:dyDescent="0.2">
      <c r="A447">
        <v>0</v>
      </c>
      <c r="B447" s="2">
        <v>2023</v>
      </c>
      <c r="C447" s="2" t="s">
        <v>110</v>
      </c>
      <c r="D447" s="2" t="s">
        <v>232</v>
      </c>
      <c r="E447" s="2" t="s">
        <v>234</v>
      </c>
      <c r="F447" s="15">
        <v>3216607</v>
      </c>
      <c r="G447" s="15">
        <v>114677</v>
      </c>
      <c r="H447" s="15">
        <v>3331284</v>
      </c>
      <c r="I447">
        <f>VLOOKUP(C447,LEAIDs!$A$2:$B$305,2,FALSE)</f>
        <v>0</v>
      </c>
    </row>
    <row r="448" spans="1:9" x14ac:dyDescent="0.2">
      <c r="A448">
        <v>0</v>
      </c>
      <c r="B448">
        <v>2015</v>
      </c>
      <c r="C448" t="s">
        <v>194</v>
      </c>
      <c r="D448" t="s">
        <v>232</v>
      </c>
      <c r="E448" t="s">
        <v>234</v>
      </c>
      <c r="F448" s="17">
        <v>43829</v>
      </c>
      <c r="G448" s="17">
        <v>1347</v>
      </c>
      <c r="H448" s="17">
        <v>45176</v>
      </c>
      <c r="I448">
        <f>VLOOKUP(C448,LEAIDs!$A$2:$B$305,2,FALSE)</f>
        <v>0</v>
      </c>
    </row>
    <row r="449" spans="1:9" x14ac:dyDescent="0.2">
      <c r="A449">
        <v>0</v>
      </c>
      <c r="B449">
        <v>2016</v>
      </c>
      <c r="C449" t="s">
        <v>194</v>
      </c>
      <c r="D449" t="s">
        <v>232</v>
      </c>
      <c r="E449" t="s">
        <v>234</v>
      </c>
      <c r="F449" s="17">
        <v>56807</v>
      </c>
      <c r="G449" s="17">
        <v>1874</v>
      </c>
      <c r="H449" s="17">
        <v>58681</v>
      </c>
      <c r="I449">
        <f>VLOOKUP(C449,LEAIDs!$A$2:$B$305,2,FALSE)</f>
        <v>0</v>
      </c>
    </row>
    <row r="450" spans="1:9" x14ac:dyDescent="0.2">
      <c r="A450">
        <v>0</v>
      </c>
      <c r="B450">
        <v>2017</v>
      </c>
      <c r="C450" t="s">
        <v>194</v>
      </c>
      <c r="D450" t="s">
        <v>232</v>
      </c>
      <c r="E450" t="s">
        <v>234</v>
      </c>
      <c r="F450" s="17">
        <v>80927</v>
      </c>
      <c r="G450" s="17">
        <v>2795</v>
      </c>
      <c r="H450" s="17">
        <v>83722</v>
      </c>
      <c r="I450">
        <f>VLOOKUP(C450,LEAIDs!$A$2:$B$305,2,FALSE)</f>
        <v>0</v>
      </c>
    </row>
    <row r="451" spans="1:9" x14ac:dyDescent="0.2">
      <c r="A451">
        <v>0</v>
      </c>
      <c r="B451">
        <v>2018</v>
      </c>
      <c r="C451" t="s">
        <v>194</v>
      </c>
      <c r="D451" t="s">
        <v>232</v>
      </c>
      <c r="E451" t="s">
        <v>234</v>
      </c>
      <c r="F451" s="17">
        <v>82037</v>
      </c>
      <c r="G451" s="17">
        <v>2700</v>
      </c>
      <c r="H451" s="17">
        <v>84737</v>
      </c>
      <c r="I451">
        <f>VLOOKUP(C451,LEAIDs!$A$2:$B$305,2,FALSE)</f>
        <v>0</v>
      </c>
    </row>
    <row r="452" spans="1:9" x14ac:dyDescent="0.2">
      <c r="A452">
        <v>0</v>
      </c>
      <c r="B452">
        <v>2019</v>
      </c>
      <c r="C452" t="s">
        <v>194</v>
      </c>
      <c r="D452" t="s">
        <v>232</v>
      </c>
      <c r="E452" t="s">
        <v>234</v>
      </c>
      <c r="F452" s="17">
        <v>84301</v>
      </c>
      <c r="G452" s="17">
        <v>2829</v>
      </c>
      <c r="H452" s="17">
        <v>87130</v>
      </c>
      <c r="I452">
        <f>VLOOKUP(C452,LEAIDs!$A$2:$B$305,2,FALSE)</f>
        <v>0</v>
      </c>
    </row>
    <row r="453" spans="1:9" x14ac:dyDescent="0.2">
      <c r="A453">
        <v>0</v>
      </c>
      <c r="B453">
        <v>2020</v>
      </c>
      <c r="C453" t="s">
        <v>194</v>
      </c>
      <c r="D453" t="s">
        <v>232</v>
      </c>
      <c r="E453" t="s">
        <v>234</v>
      </c>
      <c r="F453" s="17">
        <v>83090</v>
      </c>
      <c r="G453" s="17">
        <v>2932</v>
      </c>
      <c r="H453" s="17">
        <v>86022</v>
      </c>
      <c r="I453">
        <f>VLOOKUP(C453,LEAIDs!$A$2:$B$305,2,FALSE)</f>
        <v>0</v>
      </c>
    </row>
    <row r="454" spans="1:9" x14ac:dyDescent="0.2">
      <c r="A454">
        <v>0</v>
      </c>
      <c r="B454" s="2">
        <v>2021</v>
      </c>
      <c r="C454" s="4" t="s">
        <v>194</v>
      </c>
      <c r="D454" s="2" t="s">
        <v>232</v>
      </c>
      <c r="E454" s="2" t="s">
        <v>234</v>
      </c>
      <c r="F454" s="16">
        <v>84486</v>
      </c>
      <c r="G454" s="16">
        <v>2941</v>
      </c>
      <c r="H454" s="15">
        <v>87427</v>
      </c>
      <c r="I454">
        <f>VLOOKUP(C454,LEAIDs!$A$2:$B$305,2,FALSE)</f>
        <v>0</v>
      </c>
    </row>
    <row r="455" spans="1:9" x14ac:dyDescent="0.2">
      <c r="A455">
        <v>0</v>
      </c>
      <c r="B455" s="2">
        <v>2022</v>
      </c>
      <c r="C455" s="4" t="s">
        <v>194</v>
      </c>
      <c r="D455" s="2" t="s">
        <v>232</v>
      </c>
      <c r="E455" s="2" t="s">
        <v>234</v>
      </c>
      <c r="F455" s="16">
        <v>90943</v>
      </c>
      <c r="G455" s="16">
        <v>3249</v>
      </c>
      <c r="H455" s="15">
        <v>94192</v>
      </c>
      <c r="I455">
        <f>VLOOKUP(C455,LEAIDs!$A$2:$B$305,2,FALSE)</f>
        <v>0</v>
      </c>
    </row>
    <row r="456" spans="1:9" x14ac:dyDescent="0.2">
      <c r="A456">
        <v>0</v>
      </c>
      <c r="B456" s="2">
        <v>2023</v>
      </c>
      <c r="C456" s="2" t="s">
        <v>194</v>
      </c>
      <c r="D456" s="2" t="s">
        <v>232</v>
      </c>
      <c r="E456" s="2" t="s">
        <v>234</v>
      </c>
      <c r="F456" s="15">
        <v>112702</v>
      </c>
      <c r="G456" s="15">
        <v>4018</v>
      </c>
      <c r="H456" s="15">
        <v>116720</v>
      </c>
      <c r="I456">
        <f>VLOOKUP(C456,LEAIDs!$A$2:$B$305,2,FALSE)</f>
        <v>0</v>
      </c>
    </row>
    <row r="457" spans="1:9" x14ac:dyDescent="0.2">
      <c r="A457">
        <v>0</v>
      </c>
      <c r="B457">
        <v>2015</v>
      </c>
      <c r="C457" t="s">
        <v>169</v>
      </c>
      <c r="D457" t="s">
        <v>232</v>
      </c>
      <c r="E457" t="s">
        <v>234</v>
      </c>
      <c r="F457" s="17">
        <v>117023</v>
      </c>
      <c r="G457" s="17">
        <v>3597</v>
      </c>
      <c r="H457" s="17">
        <v>120620</v>
      </c>
      <c r="I457">
        <f>VLOOKUP(C457,LEAIDs!$A$2:$B$305,2,FALSE)</f>
        <v>0</v>
      </c>
    </row>
    <row r="458" spans="1:9" x14ac:dyDescent="0.2">
      <c r="A458">
        <v>0</v>
      </c>
      <c r="B458">
        <v>2016</v>
      </c>
      <c r="C458" t="s">
        <v>169</v>
      </c>
      <c r="D458" t="s">
        <v>232</v>
      </c>
      <c r="E458" t="s">
        <v>234</v>
      </c>
      <c r="F458" s="17">
        <v>116566</v>
      </c>
      <c r="G458" s="17">
        <v>3845</v>
      </c>
      <c r="H458" s="17">
        <v>120411</v>
      </c>
      <c r="I458">
        <f>VLOOKUP(C458,LEAIDs!$A$2:$B$305,2,FALSE)</f>
        <v>0</v>
      </c>
    </row>
    <row r="459" spans="1:9" x14ac:dyDescent="0.2">
      <c r="A459">
        <v>0</v>
      </c>
      <c r="B459">
        <v>2017</v>
      </c>
      <c r="C459" t="s">
        <v>169</v>
      </c>
      <c r="D459" t="s">
        <v>232</v>
      </c>
      <c r="E459" t="s">
        <v>234</v>
      </c>
      <c r="F459" s="17">
        <v>100904</v>
      </c>
      <c r="G459" s="17">
        <v>3485</v>
      </c>
      <c r="H459" s="17">
        <v>104389</v>
      </c>
      <c r="I459">
        <f>VLOOKUP(C459,LEAIDs!$A$2:$B$305,2,FALSE)</f>
        <v>0</v>
      </c>
    </row>
    <row r="460" spans="1:9" x14ac:dyDescent="0.2">
      <c r="A460">
        <v>0</v>
      </c>
      <c r="B460">
        <v>2018</v>
      </c>
      <c r="C460" t="s">
        <v>169</v>
      </c>
      <c r="D460" t="s">
        <v>232</v>
      </c>
      <c r="E460" t="s">
        <v>234</v>
      </c>
      <c r="F460" s="17">
        <v>103706</v>
      </c>
      <c r="G460" s="17">
        <v>3413</v>
      </c>
      <c r="H460" s="17">
        <v>107119</v>
      </c>
      <c r="I460">
        <f>VLOOKUP(C460,LEAIDs!$A$2:$B$305,2,FALSE)</f>
        <v>0</v>
      </c>
    </row>
    <row r="461" spans="1:9" x14ac:dyDescent="0.2">
      <c r="A461">
        <v>0</v>
      </c>
      <c r="B461">
        <v>2019</v>
      </c>
      <c r="C461" t="s">
        <v>169</v>
      </c>
      <c r="D461" t="s">
        <v>232</v>
      </c>
      <c r="E461" t="s">
        <v>234</v>
      </c>
      <c r="F461" s="17">
        <v>59787</v>
      </c>
      <c r="G461" s="17">
        <v>2007</v>
      </c>
      <c r="H461" s="17">
        <v>61794</v>
      </c>
      <c r="I461">
        <f>VLOOKUP(C461,LEAIDs!$A$2:$B$305,2,FALSE)</f>
        <v>0</v>
      </c>
    </row>
    <row r="462" spans="1:9" x14ac:dyDescent="0.2">
      <c r="A462">
        <v>0</v>
      </c>
      <c r="B462">
        <v>2020</v>
      </c>
      <c r="C462" t="s">
        <v>169</v>
      </c>
      <c r="D462" t="s">
        <v>232</v>
      </c>
      <c r="E462" t="s">
        <v>234</v>
      </c>
      <c r="F462" s="17">
        <v>62217</v>
      </c>
      <c r="G462" s="17">
        <v>2196</v>
      </c>
      <c r="H462" s="17">
        <v>64413</v>
      </c>
      <c r="I462">
        <f>VLOOKUP(C462,LEAIDs!$A$2:$B$305,2,FALSE)</f>
        <v>0</v>
      </c>
    </row>
    <row r="463" spans="1:9" x14ac:dyDescent="0.2">
      <c r="A463">
        <v>0</v>
      </c>
      <c r="B463" s="2">
        <v>2021</v>
      </c>
      <c r="C463" s="4" t="s">
        <v>169</v>
      </c>
      <c r="D463" s="2" t="s">
        <v>232</v>
      </c>
      <c r="E463" s="2" t="s">
        <v>234</v>
      </c>
      <c r="F463" s="16">
        <v>79193</v>
      </c>
      <c r="G463" s="16">
        <v>2756</v>
      </c>
      <c r="H463" s="15">
        <v>81949</v>
      </c>
      <c r="I463">
        <f>VLOOKUP(C463,LEAIDs!$A$2:$B$305,2,FALSE)</f>
        <v>0</v>
      </c>
    </row>
    <row r="464" spans="1:9" x14ac:dyDescent="0.2">
      <c r="A464">
        <v>0</v>
      </c>
      <c r="B464" s="2">
        <v>2022</v>
      </c>
      <c r="C464" s="4" t="s">
        <v>169</v>
      </c>
      <c r="D464" s="2" t="s">
        <v>232</v>
      </c>
      <c r="E464" s="2" t="s">
        <v>234</v>
      </c>
      <c r="F464" s="16">
        <v>89234</v>
      </c>
      <c r="G464" s="16">
        <v>3188</v>
      </c>
      <c r="H464" s="15">
        <v>92422</v>
      </c>
      <c r="I464">
        <f>VLOOKUP(C464,LEAIDs!$A$2:$B$305,2,FALSE)</f>
        <v>0</v>
      </c>
    </row>
    <row r="465" spans="1:9" x14ac:dyDescent="0.2">
      <c r="A465">
        <v>0</v>
      </c>
      <c r="B465" s="2">
        <v>2023</v>
      </c>
      <c r="C465" s="2" t="s">
        <v>169</v>
      </c>
      <c r="D465" s="2" t="s">
        <v>232</v>
      </c>
      <c r="E465" s="2" t="s">
        <v>234</v>
      </c>
      <c r="F465" s="15">
        <v>81454</v>
      </c>
      <c r="G465" s="15">
        <v>2904</v>
      </c>
      <c r="H465" s="15">
        <v>84358</v>
      </c>
      <c r="I465">
        <f>VLOOKUP(C465,LEAIDs!$A$2:$B$305,2,FALSE)</f>
        <v>0</v>
      </c>
    </row>
    <row r="466" spans="1:9" x14ac:dyDescent="0.2">
      <c r="A466">
        <v>0</v>
      </c>
      <c r="B466">
        <v>2019</v>
      </c>
      <c r="C466" t="s">
        <v>217</v>
      </c>
      <c r="D466" t="s">
        <v>232</v>
      </c>
      <c r="E466" t="s">
        <v>234</v>
      </c>
      <c r="F466" s="17">
        <v>13072</v>
      </c>
      <c r="G466" s="17">
        <v>439</v>
      </c>
      <c r="H466" s="17">
        <v>13511</v>
      </c>
      <c r="I466">
        <f>VLOOKUP(C466,LEAIDs!$A$2:$B$305,2,FALSE)</f>
        <v>0</v>
      </c>
    </row>
    <row r="467" spans="1:9" x14ac:dyDescent="0.2">
      <c r="A467">
        <v>0</v>
      </c>
      <c r="B467">
        <v>2020</v>
      </c>
      <c r="C467" t="s">
        <v>217</v>
      </c>
      <c r="D467" t="s">
        <v>232</v>
      </c>
      <c r="E467" t="s">
        <v>234</v>
      </c>
      <c r="F467" s="17">
        <v>14258</v>
      </c>
      <c r="G467" s="17">
        <v>503</v>
      </c>
      <c r="H467" s="17">
        <v>14761</v>
      </c>
      <c r="I467">
        <f>VLOOKUP(C467,LEAIDs!$A$2:$B$305,2,FALSE)</f>
        <v>0</v>
      </c>
    </row>
    <row r="468" spans="1:9" x14ac:dyDescent="0.2">
      <c r="A468">
        <v>0</v>
      </c>
      <c r="B468" s="2">
        <v>2021</v>
      </c>
      <c r="C468" s="4" t="s">
        <v>217</v>
      </c>
      <c r="D468" s="2" t="s">
        <v>232</v>
      </c>
      <c r="E468" s="2" t="s">
        <v>234</v>
      </c>
      <c r="F468" s="16">
        <v>13538</v>
      </c>
      <c r="G468" s="16">
        <v>471</v>
      </c>
      <c r="H468" s="15">
        <v>14009</v>
      </c>
      <c r="I468">
        <f>VLOOKUP(C468,LEAIDs!$A$2:$B$305,2,FALSE)</f>
        <v>0</v>
      </c>
    </row>
    <row r="469" spans="1:9" x14ac:dyDescent="0.2">
      <c r="A469">
        <v>0</v>
      </c>
      <c r="B469" s="2">
        <v>2022</v>
      </c>
      <c r="C469" s="4" t="s">
        <v>217</v>
      </c>
      <c r="D469" s="2" t="s">
        <v>232</v>
      </c>
      <c r="E469" s="2" t="s">
        <v>234</v>
      </c>
      <c r="F469" s="16">
        <v>21359</v>
      </c>
      <c r="G469" s="16">
        <v>763</v>
      </c>
      <c r="H469" s="15">
        <v>22122</v>
      </c>
      <c r="I469">
        <f>VLOOKUP(C469,LEAIDs!$A$2:$B$305,2,FALSE)</f>
        <v>0</v>
      </c>
    </row>
    <row r="470" spans="1:9" x14ac:dyDescent="0.2">
      <c r="A470">
        <v>0</v>
      </c>
      <c r="B470" s="2">
        <v>2023</v>
      </c>
      <c r="C470" s="2" t="s">
        <v>217</v>
      </c>
      <c r="D470" s="2" t="s">
        <v>232</v>
      </c>
      <c r="E470" s="2" t="s">
        <v>234</v>
      </c>
      <c r="F470" s="15">
        <v>24756</v>
      </c>
      <c r="G470" s="15">
        <v>883</v>
      </c>
      <c r="H470" s="15">
        <v>25639</v>
      </c>
      <c r="I470">
        <f>VLOOKUP(C470,LEAIDs!$A$2:$B$305,2,FALSE)</f>
        <v>0</v>
      </c>
    </row>
    <row r="471" spans="1:9" x14ac:dyDescent="0.2">
      <c r="A471">
        <v>0</v>
      </c>
      <c r="B471">
        <v>2015</v>
      </c>
      <c r="C471" t="s">
        <v>97</v>
      </c>
      <c r="D471" t="s">
        <v>232</v>
      </c>
      <c r="E471" t="s">
        <v>234</v>
      </c>
      <c r="F471" s="17">
        <v>48200</v>
      </c>
      <c r="G471" s="17">
        <v>1482</v>
      </c>
      <c r="H471" s="17">
        <v>49682</v>
      </c>
      <c r="I471">
        <f>VLOOKUP(C471,LEAIDs!$A$2:$B$305,2,FALSE)</f>
        <v>0</v>
      </c>
    </row>
    <row r="472" spans="1:9" x14ac:dyDescent="0.2">
      <c r="A472">
        <v>0</v>
      </c>
      <c r="B472">
        <v>2016</v>
      </c>
      <c r="C472" t="s">
        <v>97</v>
      </c>
      <c r="D472" t="s">
        <v>232</v>
      </c>
      <c r="E472" t="s">
        <v>234</v>
      </c>
      <c r="F472" s="17">
        <v>29480</v>
      </c>
      <c r="G472" s="17">
        <v>972</v>
      </c>
      <c r="H472" s="17">
        <v>30452</v>
      </c>
      <c r="I472">
        <f>VLOOKUP(C472,LEAIDs!$A$2:$B$305,2,FALSE)</f>
        <v>0</v>
      </c>
    </row>
    <row r="473" spans="1:9" x14ac:dyDescent="0.2">
      <c r="A473">
        <v>0</v>
      </c>
      <c r="B473">
        <v>2017</v>
      </c>
      <c r="C473" t="s">
        <v>97</v>
      </c>
      <c r="D473" t="s">
        <v>232</v>
      </c>
      <c r="E473" t="s">
        <v>234</v>
      </c>
      <c r="F473" s="17">
        <v>29449</v>
      </c>
      <c r="G473" s="17">
        <v>1017</v>
      </c>
      <c r="H473" s="17">
        <v>30466</v>
      </c>
      <c r="I473">
        <f>VLOOKUP(C473,LEAIDs!$A$2:$B$305,2,FALSE)</f>
        <v>0</v>
      </c>
    </row>
    <row r="474" spans="1:9" x14ac:dyDescent="0.2">
      <c r="A474">
        <v>0</v>
      </c>
      <c r="B474">
        <v>2018</v>
      </c>
      <c r="C474" t="s">
        <v>97</v>
      </c>
      <c r="D474" t="s">
        <v>232</v>
      </c>
      <c r="E474" t="s">
        <v>234</v>
      </c>
      <c r="F474" s="17">
        <v>37569</v>
      </c>
      <c r="G474" s="17">
        <v>1236</v>
      </c>
      <c r="H474" s="17">
        <v>38805</v>
      </c>
      <c r="I474">
        <f>VLOOKUP(C474,LEAIDs!$A$2:$B$305,2,FALSE)</f>
        <v>0</v>
      </c>
    </row>
    <row r="475" spans="1:9" x14ac:dyDescent="0.2">
      <c r="A475">
        <v>0</v>
      </c>
      <c r="B475">
        <v>2019</v>
      </c>
      <c r="C475" t="s">
        <v>97</v>
      </c>
      <c r="D475" t="s">
        <v>232</v>
      </c>
      <c r="E475" t="s">
        <v>234</v>
      </c>
      <c r="F475" s="17">
        <v>39521</v>
      </c>
      <c r="G475" s="17">
        <v>1326</v>
      </c>
      <c r="H475" s="17">
        <v>40847</v>
      </c>
      <c r="I475">
        <f>VLOOKUP(C475,LEAIDs!$A$2:$B$305,2,FALSE)</f>
        <v>0</v>
      </c>
    </row>
    <row r="476" spans="1:9" x14ac:dyDescent="0.2">
      <c r="A476">
        <v>0</v>
      </c>
      <c r="B476">
        <v>2020</v>
      </c>
      <c r="C476" t="s">
        <v>97</v>
      </c>
      <c r="D476" t="s">
        <v>232</v>
      </c>
      <c r="E476" t="s">
        <v>234</v>
      </c>
      <c r="F476" s="17">
        <v>40499</v>
      </c>
      <c r="G476" s="17">
        <v>1429</v>
      </c>
      <c r="H476" s="17">
        <v>41928</v>
      </c>
      <c r="I476">
        <f>VLOOKUP(C476,LEAIDs!$A$2:$B$305,2,FALSE)</f>
        <v>0</v>
      </c>
    </row>
    <row r="477" spans="1:9" x14ac:dyDescent="0.2">
      <c r="A477">
        <v>0</v>
      </c>
      <c r="B477" s="2">
        <v>2021</v>
      </c>
      <c r="C477" s="4" t="s">
        <v>97</v>
      </c>
      <c r="D477" s="2" t="s">
        <v>232</v>
      </c>
      <c r="E477" s="2" t="s">
        <v>234</v>
      </c>
      <c r="F477" s="16">
        <v>57250</v>
      </c>
      <c r="G477" s="16">
        <v>1993</v>
      </c>
      <c r="H477" s="15">
        <v>59243</v>
      </c>
      <c r="I477">
        <f>VLOOKUP(C477,LEAIDs!$A$2:$B$305,2,FALSE)</f>
        <v>0</v>
      </c>
    </row>
    <row r="478" spans="1:9" x14ac:dyDescent="0.2">
      <c r="A478">
        <v>0</v>
      </c>
      <c r="B478" s="2">
        <v>2022</v>
      </c>
      <c r="C478" s="4" t="s">
        <v>97</v>
      </c>
      <c r="D478" s="2" t="s">
        <v>232</v>
      </c>
      <c r="E478" s="2" t="s">
        <v>234</v>
      </c>
      <c r="F478" s="16">
        <v>48453</v>
      </c>
      <c r="G478" s="16">
        <v>1731</v>
      </c>
      <c r="H478" s="15">
        <v>50184</v>
      </c>
      <c r="I478">
        <f>VLOOKUP(C478,LEAIDs!$A$2:$B$305,2,FALSE)</f>
        <v>0</v>
      </c>
    </row>
    <row r="479" spans="1:9" x14ac:dyDescent="0.2">
      <c r="A479">
        <v>0</v>
      </c>
      <c r="B479" s="2">
        <v>2023</v>
      </c>
      <c r="C479" s="2" t="s">
        <v>97</v>
      </c>
      <c r="D479" s="2" t="s">
        <v>232</v>
      </c>
      <c r="E479" s="2" t="s">
        <v>234</v>
      </c>
      <c r="F479" s="15">
        <v>35928</v>
      </c>
      <c r="G479" s="15">
        <v>1281</v>
      </c>
      <c r="H479" s="15">
        <v>37209</v>
      </c>
      <c r="I479">
        <f>VLOOKUP(C479,LEAIDs!$A$2:$B$305,2,FALSE)</f>
        <v>0</v>
      </c>
    </row>
    <row r="480" spans="1:9" x14ac:dyDescent="0.2">
      <c r="A480">
        <v>0</v>
      </c>
      <c r="B480" s="2">
        <v>2023</v>
      </c>
      <c r="C480" s="2" t="s">
        <v>118</v>
      </c>
      <c r="D480" s="2" t="s">
        <v>232</v>
      </c>
      <c r="E480" s="2" t="s">
        <v>234</v>
      </c>
      <c r="F480" s="15">
        <v>20930</v>
      </c>
      <c r="G480" s="15">
        <v>746</v>
      </c>
      <c r="H480" s="15">
        <v>21676</v>
      </c>
      <c r="I480">
        <f>VLOOKUP(C480,LEAIDs!$A$2:$B$305,2,FALSE)</f>
        <v>0</v>
      </c>
    </row>
    <row r="481" spans="1:9" x14ac:dyDescent="0.2">
      <c r="A481">
        <v>0</v>
      </c>
      <c r="B481">
        <v>2019</v>
      </c>
      <c r="C481" t="s">
        <v>84</v>
      </c>
      <c r="D481" t="s">
        <v>232</v>
      </c>
      <c r="E481" t="s">
        <v>234</v>
      </c>
      <c r="F481" s="17">
        <v>16882</v>
      </c>
      <c r="G481" s="17">
        <v>567</v>
      </c>
      <c r="H481" s="17">
        <v>17449</v>
      </c>
      <c r="I481">
        <f>VLOOKUP(C481,LEAIDs!$A$2:$B$305,2,FALSE)</f>
        <v>0</v>
      </c>
    </row>
    <row r="482" spans="1:9" x14ac:dyDescent="0.2">
      <c r="A482">
        <v>0</v>
      </c>
      <c r="B482">
        <v>2020</v>
      </c>
      <c r="C482" t="s">
        <v>84</v>
      </c>
      <c r="D482" t="s">
        <v>232</v>
      </c>
      <c r="E482" t="s">
        <v>234</v>
      </c>
      <c r="F482" s="17">
        <v>17083</v>
      </c>
      <c r="G482" s="17">
        <v>603</v>
      </c>
      <c r="H482" s="17">
        <v>17686</v>
      </c>
      <c r="I482">
        <f>VLOOKUP(C482,LEAIDs!$A$2:$B$305,2,FALSE)</f>
        <v>0</v>
      </c>
    </row>
    <row r="483" spans="1:9" x14ac:dyDescent="0.2">
      <c r="A483">
        <v>0</v>
      </c>
      <c r="B483" s="2">
        <v>2021</v>
      </c>
      <c r="C483" s="4" t="s">
        <v>84</v>
      </c>
      <c r="D483" s="2" t="s">
        <v>232</v>
      </c>
      <c r="E483" s="2" t="s">
        <v>234</v>
      </c>
      <c r="F483" s="16">
        <v>18199</v>
      </c>
      <c r="G483" s="16">
        <v>633</v>
      </c>
      <c r="H483" s="15">
        <v>18832</v>
      </c>
      <c r="I483">
        <f>VLOOKUP(C483,LEAIDs!$A$2:$B$305,2,FALSE)</f>
        <v>0</v>
      </c>
    </row>
    <row r="484" spans="1:9" x14ac:dyDescent="0.2">
      <c r="A484">
        <v>0</v>
      </c>
      <c r="B484" s="2">
        <v>2022</v>
      </c>
      <c r="C484" s="4" t="s">
        <v>84</v>
      </c>
      <c r="D484" s="2" t="s">
        <v>232</v>
      </c>
      <c r="E484" s="2" t="s">
        <v>234</v>
      </c>
      <c r="F484" s="16">
        <v>19232</v>
      </c>
      <c r="G484" s="16">
        <v>687</v>
      </c>
      <c r="H484" s="15">
        <v>19919</v>
      </c>
      <c r="I484">
        <f>VLOOKUP(C484,LEAIDs!$A$2:$B$305,2,FALSE)</f>
        <v>0</v>
      </c>
    </row>
    <row r="485" spans="1:9" x14ac:dyDescent="0.2">
      <c r="A485">
        <v>0</v>
      </c>
      <c r="B485" s="2">
        <v>2023</v>
      </c>
      <c r="C485" s="2" t="s">
        <v>84</v>
      </c>
      <c r="D485" s="2" t="s">
        <v>232</v>
      </c>
      <c r="E485" s="2" t="s">
        <v>234</v>
      </c>
      <c r="F485" s="15">
        <v>21170</v>
      </c>
      <c r="G485" s="15">
        <v>755</v>
      </c>
      <c r="H485" s="15">
        <v>21925</v>
      </c>
      <c r="I485">
        <f>VLOOKUP(C485,LEAIDs!$A$2:$B$305,2,FALSE)</f>
        <v>0</v>
      </c>
    </row>
    <row r="486" spans="1:9" x14ac:dyDescent="0.2">
      <c r="A486">
        <v>0</v>
      </c>
      <c r="B486">
        <v>2015</v>
      </c>
      <c r="C486" t="s">
        <v>215</v>
      </c>
      <c r="D486" t="s">
        <v>232</v>
      </c>
      <c r="E486" t="s">
        <v>234</v>
      </c>
      <c r="F486" s="17">
        <v>1084897</v>
      </c>
      <c r="G486" s="17">
        <v>33350</v>
      </c>
      <c r="H486" s="17">
        <v>1118247</v>
      </c>
      <c r="I486">
        <f>VLOOKUP(C486,LEAIDs!$A$2:$B$305,2,FALSE)</f>
        <v>0</v>
      </c>
    </row>
    <row r="487" spans="1:9" x14ac:dyDescent="0.2">
      <c r="A487">
        <v>0</v>
      </c>
      <c r="B487">
        <v>2016</v>
      </c>
      <c r="C487" t="s">
        <v>215</v>
      </c>
      <c r="D487" t="s">
        <v>232</v>
      </c>
      <c r="E487" t="s">
        <v>234</v>
      </c>
      <c r="F487" s="17">
        <v>972151</v>
      </c>
      <c r="G487" s="17">
        <v>32066</v>
      </c>
      <c r="H487" s="17">
        <v>1004217</v>
      </c>
      <c r="I487">
        <f>VLOOKUP(C487,LEAIDs!$A$2:$B$305,2,FALSE)</f>
        <v>0</v>
      </c>
    </row>
    <row r="488" spans="1:9" x14ac:dyDescent="0.2">
      <c r="A488">
        <v>0</v>
      </c>
      <c r="B488">
        <v>2017</v>
      </c>
      <c r="C488" t="s">
        <v>215</v>
      </c>
      <c r="D488" t="s">
        <v>232</v>
      </c>
      <c r="E488" t="s">
        <v>234</v>
      </c>
      <c r="F488" s="17">
        <v>981230</v>
      </c>
      <c r="G488" s="17">
        <v>33891</v>
      </c>
      <c r="H488" s="17">
        <v>1015121</v>
      </c>
      <c r="I488">
        <f>VLOOKUP(C488,LEAIDs!$A$2:$B$305,2,FALSE)</f>
        <v>0</v>
      </c>
    </row>
    <row r="489" spans="1:9" x14ac:dyDescent="0.2">
      <c r="A489">
        <v>0</v>
      </c>
      <c r="B489">
        <v>2018</v>
      </c>
      <c r="C489" t="s">
        <v>215</v>
      </c>
      <c r="D489" t="s">
        <v>232</v>
      </c>
      <c r="E489" t="s">
        <v>234</v>
      </c>
      <c r="F489" s="17">
        <v>1000234</v>
      </c>
      <c r="G489" s="17">
        <v>32916</v>
      </c>
      <c r="H489" s="17">
        <v>1033150</v>
      </c>
      <c r="I489">
        <f>VLOOKUP(C489,LEAIDs!$A$2:$B$305,2,FALSE)</f>
        <v>0</v>
      </c>
    </row>
    <row r="490" spans="1:9" x14ac:dyDescent="0.2">
      <c r="A490">
        <v>0</v>
      </c>
      <c r="B490">
        <v>2019</v>
      </c>
      <c r="C490" t="s">
        <v>215</v>
      </c>
      <c r="D490" t="s">
        <v>232</v>
      </c>
      <c r="E490" t="s">
        <v>234</v>
      </c>
      <c r="F490" s="17">
        <v>1147156</v>
      </c>
      <c r="G490" s="17">
        <v>38500</v>
      </c>
      <c r="H490" s="17">
        <v>1185656</v>
      </c>
      <c r="I490">
        <f>VLOOKUP(C490,LEAIDs!$A$2:$B$305,2,FALSE)</f>
        <v>0</v>
      </c>
    </row>
    <row r="491" spans="1:9" x14ac:dyDescent="0.2">
      <c r="A491">
        <v>0</v>
      </c>
      <c r="B491">
        <v>2020</v>
      </c>
      <c r="C491" t="s">
        <v>215</v>
      </c>
      <c r="D491" t="s">
        <v>232</v>
      </c>
      <c r="E491" t="s">
        <v>234</v>
      </c>
      <c r="F491" s="17">
        <v>1085953</v>
      </c>
      <c r="G491" s="17">
        <v>38322</v>
      </c>
      <c r="H491" s="17">
        <v>1124275</v>
      </c>
      <c r="I491">
        <f>VLOOKUP(C491,LEAIDs!$A$2:$B$305,2,FALSE)</f>
        <v>0</v>
      </c>
    </row>
    <row r="492" spans="1:9" x14ac:dyDescent="0.2">
      <c r="A492">
        <v>0</v>
      </c>
      <c r="B492" s="2">
        <v>2021</v>
      </c>
      <c r="C492" s="4" t="s">
        <v>215</v>
      </c>
      <c r="D492" s="2" t="s">
        <v>232</v>
      </c>
      <c r="E492" s="2" t="s">
        <v>234</v>
      </c>
      <c r="F492" s="16">
        <v>1073603</v>
      </c>
      <c r="G492" s="16">
        <v>37369</v>
      </c>
      <c r="H492" s="15">
        <v>1110972</v>
      </c>
      <c r="I492">
        <f>VLOOKUP(C492,LEAIDs!$A$2:$B$305,2,FALSE)</f>
        <v>0</v>
      </c>
    </row>
    <row r="493" spans="1:9" x14ac:dyDescent="0.2">
      <c r="A493">
        <v>0</v>
      </c>
      <c r="B493" s="2">
        <v>2022</v>
      </c>
      <c r="C493" s="4" t="s">
        <v>215</v>
      </c>
      <c r="D493" s="2" t="s">
        <v>232</v>
      </c>
      <c r="E493" s="2" t="s">
        <v>234</v>
      </c>
      <c r="F493" s="16">
        <v>1095825</v>
      </c>
      <c r="G493" s="16">
        <v>39151</v>
      </c>
      <c r="H493" s="15">
        <v>1134976</v>
      </c>
      <c r="I493">
        <f>VLOOKUP(C493,LEAIDs!$A$2:$B$305,2,FALSE)</f>
        <v>0</v>
      </c>
    </row>
    <row r="494" spans="1:9" x14ac:dyDescent="0.2">
      <c r="A494">
        <v>0</v>
      </c>
      <c r="B494" s="2">
        <v>2023</v>
      </c>
      <c r="C494" s="2" t="s">
        <v>215</v>
      </c>
      <c r="D494" s="2" t="s">
        <v>232</v>
      </c>
      <c r="E494" s="2" t="s">
        <v>234</v>
      </c>
      <c r="F494" s="15">
        <v>1137472</v>
      </c>
      <c r="G494" s="15">
        <v>40553</v>
      </c>
      <c r="H494" s="15">
        <v>1178025</v>
      </c>
      <c r="I494">
        <f>VLOOKUP(C494,LEAIDs!$A$2:$B$305,2,FALSE)</f>
        <v>0</v>
      </c>
    </row>
    <row r="495" spans="1:9" x14ac:dyDescent="0.2">
      <c r="A495">
        <v>0</v>
      </c>
      <c r="B495">
        <v>2015</v>
      </c>
      <c r="C495" t="s">
        <v>279</v>
      </c>
      <c r="D495" t="s">
        <v>232</v>
      </c>
      <c r="E495" t="s">
        <v>234</v>
      </c>
      <c r="F495" s="17">
        <v>507684</v>
      </c>
      <c r="G495" s="17">
        <v>15606</v>
      </c>
      <c r="H495" s="17">
        <v>523290</v>
      </c>
      <c r="I495">
        <f>VLOOKUP(C495,LEAIDs!$A$2:$B$305,2,FALSE)</f>
        <v>0</v>
      </c>
    </row>
    <row r="496" spans="1:9" x14ac:dyDescent="0.2">
      <c r="A496">
        <v>0</v>
      </c>
      <c r="B496">
        <v>2016</v>
      </c>
      <c r="C496" t="s">
        <v>279</v>
      </c>
      <c r="D496" t="s">
        <v>232</v>
      </c>
      <c r="E496" t="s">
        <v>234</v>
      </c>
      <c r="F496" s="17">
        <v>522734</v>
      </c>
      <c r="G496" s="17">
        <v>17242</v>
      </c>
      <c r="H496" s="17">
        <v>539976</v>
      </c>
      <c r="I496">
        <f>VLOOKUP(C496,LEAIDs!$A$2:$B$305,2,FALSE)</f>
        <v>0</v>
      </c>
    </row>
    <row r="497" spans="1:9" x14ac:dyDescent="0.2">
      <c r="A497">
        <v>0</v>
      </c>
      <c r="B497">
        <v>2017</v>
      </c>
      <c r="C497" t="s">
        <v>279</v>
      </c>
      <c r="D497" t="s">
        <v>232</v>
      </c>
      <c r="E497" t="s">
        <v>234</v>
      </c>
      <c r="F497" s="17">
        <v>529838</v>
      </c>
      <c r="G497" s="17">
        <v>18300</v>
      </c>
      <c r="H497" s="17">
        <v>548138</v>
      </c>
      <c r="I497">
        <f>VLOOKUP(C497,LEAIDs!$A$2:$B$305,2,FALSE)</f>
        <v>0</v>
      </c>
    </row>
    <row r="498" spans="1:9" x14ac:dyDescent="0.2">
      <c r="A498">
        <v>0</v>
      </c>
      <c r="B498">
        <v>2018</v>
      </c>
      <c r="C498" t="s">
        <v>279</v>
      </c>
      <c r="D498" t="s">
        <v>232</v>
      </c>
      <c r="E498" t="s">
        <v>234</v>
      </c>
      <c r="F498" s="17">
        <v>616887</v>
      </c>
      <c r="G498" s="17">
        <v>20301</v>
      </c>
      <c r="H498" s="17">
        <v>637188</v>
      </c>
      <c r="I498">
        <f>VLOOKUP(C498,LEAIDs!$A$2:$B$305,2,FALSE)</f>
        <v>0</v>
      </c>
    </row>
    <row r="499" spans="1:9" x14ac:dyDescent="0.2">
      <c r="A499">
        <v>0</v>
      </c>
      <c r="B499">
        <v>2019</v>
      </c>
      <c r="C499" t="s">
        <v>279</v>
      </c>
      <c r="D499" t="s">
        <v>232</v>
      </c>
      <c r="E499" t="s">
        <v>234</v>
      </c>
      <c r="F499" s="17">
        <v>611456</v>
      </c>
      <c r="G499" s="17">
        <v>20521</v>
      </c>
      <c r="H499" s="17">
        <v>631977</v>
      </c>
      <c r="I499">
        <f>VLOOKUP(C499,LEAIDs!$A$2:$B$305,2,FALSE)</f>
        <v>0</v>
      </c>
    </row>
    <row r="500" spans="1:9" x14ac:dyDescent="0.2">
      <c r="A500">
        <v>0</v>
      </c>
      <c r="B500">
        <v>2017</v>
      </c>
      <c r="C500" t="s">
        <v>119</v>
      </c>
      <c r="D500" t="s">
        <v>232</v>
      </c>
      <c r="E500" t="s">
        <v>234</v>
      </c>
      <c r="F500" s="17">
        <v>12614</v>
      </c>
      <c r="G500" s="17">
        <v>436</v>
      </c>
      <c r="H500" s="17">
        <v>13050</v>
      </c>
      <c r="I500">
        <f>VLOOKUP(C500,LEAIDs!$A$2:$B$305,2,FALSE)</f>
        <v>0</v>
      </c>
    </row>
    <row r="501" spans="1:9" x14ac:dyDescent="0.2">
      <c r="A501">
        <v>0</v>
      </c>
      <c r="B501">
        <v>2018</v>
      </c>
      <c r="C501" t="s">
        <v>119</v>
      </c>
      <c r="D501" t="s">
        <v>232</v>
      </c>
      <c r="E501" t="s">
        <v>234</v>
      </c>
      <c r="F501" s="17">
        <v>13473</v>
      </c>
      <c r="G501" s="17">
        <v>443</v>
      </c>
      <c r="H501" s="17">
        <v>13916</v>
      </c>
      <c r="I501">
        <f>VLOOKUP(C501,LEAIDs!$A$2:$B$305,2,FALSE)</f>
        <v>0</v>
      </c>
    </row>
    <row r="502" spans="1:9" x14ac:dyDescent="0.2">
      <c r="A502">
        <v>0</v>
      </c>
      <c r="B502">
        <v>2019</v>
      </c>
      <c r="C502" t="s">
        <v>119</v>
      </c>
      <c r="D502" t="s">
        <v>232</v>
      </c>
      <c r="E502" t="s">
        <v>234</v>
      </c>
      <c r="F502" s="17">
        <v>14789</v>
      </c>
      <c r="G502" s="17">
        <v>496</v>
      </c>
      <c r="H502" s="17">
        <v>15285</v>
      </c>
      <c r="I502">
        <f>VLOOKUP(C502,LEAIDs!$A$2:$B$305,2,FALSE)</f>
        <v>0</v>
      </c>
    </row>
    <row r="503" spans="1:9" x14ac:dyDescent="0.2">
      <c r="A503">
        <v>0</v>
      </c>
      <c r="B503">
        <v>2020</v>
      </c>
      <c r="C503" t="s">
        <v>119</v>
      </c>
      <c r="D503" t="s">
        <v>232</v>
      </c>
      <c r="E503" t="s">
        <v>234</v>
      </c>
      <c r="F503" s="17">
        <v>35877</v>
      </c>
      <c r="G503" s="17">
        <v>1266</v>
      </c>
      <c r="H503" s="17">
        <v>37143</v>
      </c>
      <c r="I503">
        <f>VLOOKUP(C503,LEAIDs!$A$2:$B$305,2,FALSE)</f>
        <v>0</v>
      </c>
    </row>
    <row r="504" spans="1:9" x14ac:dyDescent="0.2">
      <c r="A504">
        <v>0</v>
      </c>
      <c r="B504" s="2">
        <v>2021</v>
      </c>
      <c r="C504" s="4" t="s">
        <v>119</v>
      </c>
      <c r="D504" s="2" t="s">
        <v>232</v>
      </c>
      <c r="E504" s="2" t="s">
        <v>234</v>
      </c>
      <c r="F504" s="16">
        <v>35753</v>
      </c>
      <c r="G504" s="16">
        <v>1244</v>
      </c>
      <c r="H504" s="15">
        <v>36997</v>
      </c>
      <c r="I504">
        <f>VLOOKUP(C504,LEAIDs!$A$2:$B$305,2,FALSE)</f>
        <v>0</v>
      </c>
    </row>
    <row r="505" spans="1:9" x14ac:dyDescent="0.2">
      <c r="A505">
        <v>0</v>
      </c>
      <c r="B505" s="2">
        <v>2022</v>
      </c>
      <c r="C505" s="4" t="s">
        <v>119</v>
      </c>
      <c r="D505" s="2" t="s">
        <v>232</v>
      </c>
      <c r="E505" s="2" t="s">
        <v>234</v>
      </c>
      <c r="F505" s="16">
        <v>36134</v>
      </c>
      <c r="G505" s="16">
        <v>1291</v>
      </c>
      <c r="H505" s="15">
        <v>37425</v>
      </c>
      <c r="I505">
        <f>VLOOKUP(C505,LEAIDs!$A$2:$B$305,2,FALSE)</f>
        <v>0</v>
      </c>
    </row>
    <row r="506" spans="1:9" x14ac:dyDescent="0.2">
      <c r="A506">
        <v>0</v>
      </c>
      <c r="B506" s="2">
        <v>2023</v>
      </c>
      <c r="C506" s="2" t="s">
        <v>119</v>
      </c>
      <c r="D506" s="2" t="s">
        <v>232</v>
      </c>
      <c r="E506" s="2" t="s">
        <v>234</v>
      </c>
      <c r="F506" s="15">
        <v>38647</v>
      </c>
      <c r="G506" s="15">
        <v>1378</v>
      </c>
      <c r="H506" s="15">
        <v>40025</v>
      </c>
      <c r="I506">
        <f>VLOOKUP(C506,LEAIDs!$A$2:$B$305,2,FALSE)</f>
        <v>0</v>
      </c>
    </row>
    <row r="507" spans="1:9" x14ac:dyDescent="0.2">
      <c r="A507">
        <v>0</v>
      </c>
      <c r="B507">
        <v>2015</v>
      </c>
      <c r="C507" t="s">
        <v>101</v>
      </c>
      <c r="D507" t="s">
        <v>232</v>
      </c>
      <c r="E507" t="s">
        <v>234</v>
      </c>
      <c r="F507" s="17">
        <v>113943</v>
      </c>
      <c r="G507" s="17">
        <v>3503</v>
      </c>
      <c r="H507" s="17">
        <v>117446</v>
      </c>
      <c r="I507">
        <f>VLOOKUP(C507,LEAIDs!$A$2:$B$305,2,FALSE)</f>
        <v>0</v>
      </c>
    </row>
    <row r="508" spans="1:9" x14ac:dyDescent="0.2">
      <c r="A508">
        <v>0</v>
      </c>
      <c r="B508">
        <v>2016</v>
      </c>
      <c r="C508" t="s">
        <v>101</v>
      </c>
      <c r="D508" t="s">
        <v>232</v>
      </c>
      <c r="E508" t="s">
        <v>234</v>
      </c>
      <c r="F508" s="17">
        <v>84735</v>
      </c>
      <c r="G508" s="17">
        <v>2795</v>
      </c>
      <c r="H508" s="17">
        <v>87530</v>
      </c>
      <c r="I508">
        <f>VLOOKUP(C508,LEAIDs!$A$2:$B$305,2,FALSE)</f>
        <v>0</v>
      </c>
    </row>
    <row r="509" spans="1:9" x14ac:dyDescent="0.2">
      <c r="A509">
        <v>0</v>
      </c>
      <c r="B509">
        <v>2017</v>
      </c>
      <c r="C509" t="s">
        <v>101</v>
      </c>
      <c r="D509" t="s">
        <v>232</v>
      </c>
      <c r="E509" t="s">
        <v>234</v>
      </c>
      <c r="F509" s="17">
        <v>83453</v>
      </c>
      <c r="G509" s="17">
        <v>2882</v>
      </c>
      <c r="H509" s="17">
        <v>86335</v>
      </c>
      <c r="I509">
        <f>VLOOKUP(C509,LEAIDs!$A$2:$B$305,2,FALSE)</f>
        <v>0</v>
      </c>
    </row>
    <row r="510" spans="1:9" x14ac:dyDescent="0.2">
      <c r="A510">
        <v>0</v>
      </c>
      <c r="B510">
        <v>2018</v>
      </c>
      <c r="C510" t="s">
        <v>101</v>
      </c>
      <c r="D510" t="s">
        <v>232</v>
      </c>
      <c r="E510" t="s">
        <v>234</v>
      </c>
      <c r="F510" s="17">
        <v>89536</v>
      </c>
      <c r="G510" s="17">
        <v>2946</v>
      </c>
      <c r="H510" s="17">
        <v>92482</v>
      </c>
      <c r="I510">
        <f>VLOOKUP(C510,LEAIDs!$A$2:$B$305,2,FALSE)</f>
        <v>0</v>
      </c>
    </row>
    <row r="511" spans="1:9" x14ac:dyDescent="0.2">
      <c r="A511">
        <v>0</v>
      </c>
      <c r="B511">
        <v>2019</v>
      </c>
      <c r="C511" t="s">
        <v>101</v>
      </c>
      <c r="D511" t="s">
        <v>232</v>
      </c>
      <c r="E511" t="s">
        <v>234</v>
      </c>
      <c r="F511" s="17">
        <v>89450</v>
      </c>
      <c r="G511" s="17">
        <v>3002</v>
      </c>
      <c r="H511" s="17">
        <v>92452</v>
      </c>
      <c r="I511">
        <f>VLOOKUP(C511,LEAIDs!$A$2:$B$305,2,FALSE)</f>
        <v>0</v>
      </c>
    </row>
    <row r="512" spans="1:9" x14ac:dyDescent="0.2">
      <c r="A512">
        <v>0</v>
      </c>
      <c r="B512">
        <v>2020</v>
      </c>
      <c r="C512" t="s">
        <v>101</v>
      </c>
      <c r="D512" t="s">
        <v>232</v>
      </c>
      <c r="E512" t="s">
        <v>234</v>
      </c>
      <c r="F512" s="17">
        <v>120483</v>
      </c>
      <c r="G512" s="17">
        <v>4252</v>
      </c>
      <c r="H512" s="17">
        <v>124735</v>
      </c>
      <c r="I512">
        <f>VLOOKUP(C512,LEAIDs!$A$2:$B$305,2,FALSE)</f>
        <v>0</v>
      </c>
    </row>
    <row r="513" spans="1:9" x14ac:dyDescent="0.2">
      <c r="A513">
        <v>0</v>
      </c>
      <c r="B513" s="2">
        <v>2021</v>
      </c>
      <c r="C513" s="4" t="s">
        <v>101</v>
      </c>
      <c r="D513" s="2" t="s">
        <v>232</v>
      </c>
      <c r="E513" s="2" t="s">
        <v>234</v>
      </c>
      <c r="F513" s="16">
        <v>94888</v>
      </c>
      <c r="G513" s="16">
        <v>3303</v>
      </c>
      <c r="H513" s="15">
        <v>98191</v>
      </c>
      <c r="I513">
        <f>VLOOKUP(C513,LEAIDs!$A$2:$B$305,2,FALSE)</f>
        <v>0</v>
      </c>
    </row>
    <row r="514" spans="1:9" x14ac:dyDescent="0.2">
      <c r="A514">
        <v>0</v>
      </c>
      <c r="B514" s="2">
        <v>2022</v>
      </c>
      <c r="C514" s="4" t="s">
        <v>101</v>
      </c>
      <c r="D514" s="2" t="s">
        <v>232</v>
      </c>
      <c r="E514" s="2" t="s">
        <v>234</v>
      </c>
      <c r="F514" s="16">
        <v>75218</v>
      </c>
      <c r="G514" s="16">
        <v>2687</v>
      </c>
      <c r="H514" s="15">
        <v>77905</v>
      </c>
      <c r="I514">
        <f>VLOOKUP(C514,LEAIDs!$A$2:$B$305,2,FALSE)</f>
        <v>0</v>
      </c>
    </row>
    <row r="515" spans="1:9" x14ac:dyDescent="0.2">
      <c r="A515">
        <v>0</v>
      </c>
      <c r="B515" s="2">
        <v>2023</v>
      </c>
      <c r="C515" s="2" t="s">
        <v>101</v>
      </c>
      <c r="D515" s="2" t="s">
        <v>232</v>
      </c>
      <c r="E515" s="2" t="s">
        <v>234</v>
      </c>
      <c r="F515" s="15">
        <v>62550</v>
      </c>
      <c r="G515" s="15">
        <v>2230</v>
      </c>
      <c r="H515" s="15">
        <v>64780</v>
      </c>
      <c r="I515">
        <f>VLOOKUP(C515,LEAIDs!$A$2:$B$305,2,FALSE)</f>
        <v>0</v>
      </c>
    </row>
    <row r="516" spans="1:9" x14ac:dyDescent="0.2">
      <c r="A516">
        <v>0</v>
      </c>
      <c r="B516">
        <v>2015</v>
      </c>
      <c r="C516" t="s">
        <v>191</v>
      </c>
      <c r="D516" t="s">
        <v>232</v>
      </c>
      <c r="E516" t="s">
        <v>234</v>
      </c>
      <c r="F516" s="17">
        <v>43013</v>
      </c>
      <c r="G516" s="17">
        <v>1322</v>
      </c>
      <c r="H516" s="17">
        <v>44335</v>
      </c>
      <c r="I516">
        <f>VLOOKUP(C516,LEAIDs!$A$2:$B$305,2,FALSE)</f>
        <v>0</v>
      </c>
    </row>
    <row r="517" spans="1:9" x14ac:dyDescent="0.2">
      <c r="A517">
        <v>0</v>
      </c>
      <c r="B517">
        <v>2016</v>
      </c>
      <c r="C517" t="s">
        <v>191</v>
      </c>
      <c r="D517" t="s">
        <v>232</v>
      </c>
      <c r="E517" t="s">
        <v>234</v>
      </c>
      <c r="F517" s="17">
        <v>125030</v>
      </c>
      <c r="G517" s="17">
        <v>4124</v>
      </c>
      <c r="H517" s="17">
        <v>129154</v>
      </c>
      <c r="I517">
        <f>VLOOKUP(C517,LEAIDs!$A$2:$B$305,2,FALSE)</f>
        <v>0</v>
      </c>
    </row>
    <row r="518" spans="1:9" x14ac:dyDescent="0.2">
      <c r="A518">
        <v>0</v>
      </c>
      <c r="B518">
        <v>2017</v>
      </c>
      <c r="C518" t="s">
        <v>191</v>
      </c>
      <c r="D518" t="s">
        <v>232</v>
      </c>
      <c r="E518" t="s">
        <v>234</v>
      </c>
      <c r="F518" s="17">
        <v>147636</v>
      </c>
      <c r="G518" s="17">
        <v>5099</v>
      </c>
      <c r="H518" s="17">
        <v>152735</v>
      </c>
      <c r="I518">
        <f>VLOOKUP(C518,LEAIDs!$A$2:$B$305,2,FALSE)</f>
        <v>0</v>
      </c>
    </row>
    <row r="519" spans="1:9" x14ac:dyDescent="0.2">
      <c r="A519">
        <v>0</v>
      </c>
      <c r="B519">
        <v>2018</v>
      </c>
      <c r="C519" t="s">
        <v>191</v>
      </c>
      <c r="D519" t="s">
        <v>232</v>
      </c>
      <c r="E519" t="s">
        <v>234</v>
      </c>
      <c r="F519" s="17">
        <v>161778</v>
      </c>
      <c r="G519" s="17">
        <v>5324</v>
      </c>
      <c r="H519" s="17">
        <v>167102</v>
      </c>
      <c r="I519">
        <f>VLOOKUP(C519,LEAIDs!$A$2:$B$305,2,FALSE)</f>
        <v>0</v>
      </c>
    </row>
    <row r="520" spans="1:9" x14ac:dyDescent="0.2">
      <c r="A520">
        <v>0</v>
      </c>
      <c r="B520">
        <v>2019</v>
      </c>
      <c r="C520" t="s">
        <v>191</v>
      </c>
      <c r="D520" t="s">
        <v>232</v>
      </c>
      <c r="E520" t="s">
        <v>234</v>
      </c>
      <c r="F520" s="17">
        <v>151817</v>
      </c>
      <c r="G520" s="17">
        <v>5095</v>
      </c>
      <c r="H520" s="17">
        <v>156912</v>
      </c>
      <c r="I520">
        <f>VLOOKUP(C520,LEAIDs!$A$2:$B$305,2,FALSE)</f>
        <v>0</v>
      </c>
    </row>
    <row r="521" spans="1:9" x14ac:dyDescent="0.2">
      <c r="A521">
        <v>0</v>
      </c>
      <c r="B521">
        <v>2020</v>
      </c>
      <c r="C521" t="s">
        <v>191</v>
      </c>
      <c r="D521" t="s">
        <v>232</v>
      </c>
      <c r="E521" t="s">
        <v>234</v>
      </c>
      <c r="F521" s="17">
        <v>130462</v>
      </c>
      <c r="G521" s="17">
        <v>4604</v>
      </c>
      <c r="H521" s="17">
        <v>135066</v>
      </c>
      <c r="I521">
        <f>VLOOKUP(C521,LEAIDs!$A$2:$B$305,2,FALSE)</f>
        <v>0</v>
      </c>
    </row>
    <row r="522" spans="1:9" x14ac:dyDescent="0.2">
      <c r="A522">
        <v>0</v>
      </c>
      <c r="B522" s="2">
        <v>2021</v>
      </c>
      <c r="C522" s="4" t="s">
        <v>191</v>
      </c>
      <c r="D522" s="2" t="s">
        <v>232</v>
      </c>
      <c r="E522" s="2" t="s">
        <v>234</v>
      </c>
      <c r="F522" s="16">
        <v>132835</v>
      </c>
      <c r="G522" s="16">
        <v>4624</v>
      </c>
      <c r="H522" s="15">
        <v>137459</v>
      </c>
      <c r="I522">
        <f>VLOOKUP(C522,LEAIDs!$A$2:$B$305,2,FALSE)</f>
        <v>0</v>
      </c>
    </row>
    <row r="523" spans="1:9" x14ac:dyDescent="0.2">
      <c r="A523">
        <v>0</v>
      </c>
      <c r="B523" s="2">
        <v>2022</v>
      </c>
      <c r="C523" s="4" t="s">
        <v>191</v>
      </c>
      <c r="D523" s="2" t="s">
        <v>232</v>
      </c>
      <c r="E523" s="2" t="s">
        <v>234</v>
      </c>
      <c r="F523" s="16">
        <v>136434</v>
      </c>
      <c r="G523" s="16">
        <v>4874</v>
      </c>
      <c r="H523" s="15">
        <v>141308</v>
      </c>
      <c r="I523">
        <f>VLOOKUP(C523,LEAIDs!$A$2:$B$305,2,FALSE)</f>
        <v>0</v>
      </c>
    </row>
    <row r="524" spans="1:9" x14ac:dyDescent="0.2">
      <c r="A524">
        <v>0</v>
      </c>
      <c r="B524" s="2">
        <v>2023</v>
      </c>
      <c r="C524" s="2" t="s">
        <v>191</v>
      </c>
      <c r="D524" s="2" t="s">
        <v>232</v>
      </c>
      <c r="E524" s="2" t="s">
        <v>234</v>
      </c>
      <c r="F524" s="15">
        <v>186077</v>
      </c>
      <c r="G524" s="15">
        <v>6634</v>
      </c>
      <c r="H524" s="15">
        <v>192711</v>
      </c>
      <c r="I524">
        <f>VLOOKUP(C524,LEAIDs!$A$2:$B$305,2,FALSE)</f>
        <v>0</v>
      </c>
    </row>
    <row r="525" spans="1:9" x14ac:dyDescent="0.2">
      <c r="A525">
        <v>0</v>
      </c>
      <c r="B525">
        <v>2015</v>
      </c>
      <c r="C525" t="s">
        <v>301</v>
      </c>
      <c r="D525" t="s">
        <v>232</v>
      </c>
      <c r="E525" t="s">
        <v>234</v>
      </c>
      <c r="F525" s="17">
        <v>595000</v>
      </c>
      <c r="G525" s="17">
        <v>18291</v>
      </c>
      <c r="H525" s="17">
        <v>613291</v>
      </c>
      <c r="I525">
        <f>VLOOKUP(C525,LEAIDs!$A$2:$B$305,2,FALSE)</f>
        <v>0</v>
      </c>
    </row>
    <row r="526" spans="1:9" x14ac:dyDescent="0.2">
      <c r="A526">
        <v>0</v>
      </c>
      <c r="B526">
        <v>2016</v>
      </c>
      <c r="C526" t="s">
        <v>301</v>
      </c>
      <c r="D526" t="s">
        <v>232</v>
      </c>
      <c r="E526" t="s">
        <v>234</v>
      </c>
      <c r="F526" s="17">
        <v>324409</v>
      </c>
      <c r="G526" s="17">
        <v>10701</v>
      </c>
      <c r="H526" s="17">
        <v>335110</v>
      </c>
      <c r="I526">
        <f>VLOOKUP(C526,LEAIDs!$A$2:$B$305,2,FALSE)</f>
        <v>0</v>
      </c>
    </row>
    <row r="527" spans="1:9" x14ac:dyDescent="0.2">
      <c r="A527">
        <v>0</v>
      </c>
      <c r="B527">
        <v>2017</v>
      </c>
      <c r="C527" t="s">
        <v>286</v>
      </c>
      <c r="D527" t="s">
        <v>232</v>
      </c>
      <c r="E527" t="s">
        <v>234</v>
      </c>
      <c r="F527" s="17">
        <v>13883</v>
      </c>
      <c r="G527" s="17">
        <v>479</v>
      </c>
      <c r="H527" s="17">
        <v>14362</v>
      </c>
      <c r="I527">
        <f>VLOOKUP(C527,LEAIDs!$A$2:$B$305,2,FALSE)</f>
        <v>0</v>
      </c>
    </row>
    <row r="528" spans="1:9" x14ac:dyDescent="0.2">
      <c r="A528">
        <v>0</v>
      </c>
      <c r="B528">
        <v>2018</v>
      </c>
      <c r="C528" t="s">
        <v>286</v>
      </c>
      <c r="D528" t="s">
        <v>232</v>
      </c>
      <c r="E528" t="s">
        <v>234</v>
      </c>
      <c r="F528" s="17">
        <v>20179</v>
      </c>
      <c r="G528" s="17">
        <v>664</v>
      </c>
      <c r="H528" s="17">
        <v>20843</v>
      </c>
      <c r="I528">
        <f>VLOOKUP(C528,LEAIDs!$A$2:$B$305,2,FALSE)</f>
        <v>0</v>
      </c>
    </row>
    <row r="529" spans="1:9" x14ac:dyDescent="0.2">
      <c r="A529">
        <v>0</v>
      </c>
      <c r="B529">
        <v>2015</v>
      </c>
      <c r="C529" t="s">
        <v>291</v>
      </c>
      <c r="D529" t="s">
        <v>232</v>
      </c>
      <c r="E529" t="s">
        <v>234</v>
      </c>
      <c r="F529" s="17">
        <v>98603</v>
      </c>
      <c r="G529" s="17">
        <v>3031</v>
      </c>
      <c r="H529" s="17">
        <v>101634</v>
      </c>
      <c r="I529">
        <f>VLOOKUP(C529,LEAIDs!$A$2:$B$305,2,FALSE)</f>
        <v>0</v>
      </c>
    </row>
    <row r="530" spans="1:9" x14ac:dyDescent="0.2">
      <c r="A530">
        <v>0</v>
      </c>
      <c r="B530">
        <v>2016</v>
      </c>
      <c r="C530" t="s">
        <v>291</v>
      </c>
      <c r="D530" t="s">
        <v>232</v>
      </c>
      <c r="E530" t="s">
        <v>234</v>
      </c>
      <c r="F530" s="17">
        <v>87317</v>
      </c>
      <c r="G530" s="17">
        <v>2880</v>
      </c>
      <c r="H530" s="17">
        <v>90197</v>
      </c>
      <c r="I530">
        <f>VLOOKUP(C530,LEAIDs!$A$2:$B$305,2,FALSE)</f>
        <v>0</v>
      </c>
    </row>
    <row r="531" spans="1:9" x14ac:dyDescent="0.2">
      <c r="A531">
        <v>0</v>
      </c>
      <c r="B531">
        <v>2017</v>
      </c>
      <c r="C531" t="s">
        <v>291</v>
      </c>
      <c r="D531" t="s">
        <v>232</v>
      </c>
      <c r="E531" t="s">
        <v>234</v>
      </c>
      <c r="F531" s="17">
        <v>2637</v>
      </c>
      <c r="G531" s="17">
        <v>91</v>
      </c>
      <c r="H531" s="17">
        <v>2728</v>
      </c>
      <c r="I531">
        <f>VLOOKUP(C531,LEAIDs!$A$2:$B$305,2,FALSE)</f>
        <v>0</v>
      </c>
    </row>
    <row r="532" spans="1:9" x14ac:dyDescent="0.2">
      <c r="A532">
        <v>0</v>
      </c>
      <c r="B532" s="2">
        <v>2023</v>
      </c>
      <c r="C532" s="2" t="s">
        <v>180</v>
      </c>
      <c r="D532" s="2" t="s">
        <v>232</v>
      </c>
      <c r="E532" s="2" t="s">
        <v>234</v>
      </c>
      <c r="F532" s="15">
        <v>16851</v>
      </c>
      <c r="G532" s="15">
        <v>601</v>
      </c>
      <c r="H532" s="15">
        <v>17452</v>
      </c>
      <c r="I532">
        <f>VLOOKUP(C532,LEAIDs!$A$2:$B$305,2,FALSE)</f>
        <v>0</v>
      </c>
    </row>
    <row r="533" spans="1:9" x14ac:dyDescent="0.2">
      <c r="A533">
        <v>0</v>
      </c>
      <c r="B533">
        <v>2019</v>
      </c>
      <c r="C533" t="s">
        <v>185</v>
      </c>
      <c r="D533" t="s">
        <v>232</v>
      </c>
      <c r="E533" t="s">
        <v>234</v>
      </c>
      <c r="F533" s="17">
        <v>14655</v>
      </c>
      <c r="G533" s="17">
        <v>492</v>
      </c>
      <c r="H533" s="17">
        <v>15147</v>
      </c>
      <c r="I533">
        <f>VLOOKUP(C533,LEAIDs!$A$2:$B$305,2,FALSE)</f>
        <v>0</v>
      </c>
    </row>
    <row r="534" spans="1:9" x14ac:dyDescent="0.2">
      <c r="A534">
        <v>0</v>
      </c>
      <c r="B534">
        <v>2020</v>
      </c>
      <c r="C534" t="s">
        <v>185</v>
      </c>
      <c r="D534" t="s">
        <v>232</v>
      </c>
      <c r="E534" t="s">
        <v>234</v>
      </c>
      <c r="F534" s="17">
        <v>27110</v>
      </c>
      <c r="G534" s="17">
        <v>957</v>
      </c>
      <c r="H534" s="17">
        <v>28067</v>
      </c>
      <c r="I534">
        <f>VLOOKUP(C534,LEAIDs!$A$2:$B$305,2,FALSE)</f>
        <v>0</v>
      </c>
    </row>
    <row r="535" spans="1:9" x14ac:dyDescent="0.2">
      <c r="A535">
        <v>0</v>
      </c>
      <c r="B535" s="2">
        <v>2021</v>
      </c>
      <c r="C535" s="4" t="s">
        <v>185</v>
      </c>
      <c r="D535" s="2" t="s">
        <v>232</v>
      </c>
      <c r="E535" s="2" t="s">
        <v>234</v>
      </c>
      <c r="F535" s="16">
        <v>17195</v>
      </c>
      <c r="G535" s="16">
        <v>599</v>
      </c>
      <c r="H535" s="15">
        <v>17794</v>
      </c>
      <c r="I535">
        <f>VLOOKUP(C535,LEAIDs!$A$2:$B$305,2,FALSE)</f>
        <v>0</v>
      </c>
    </row>
    <row r="536" spans="1:9" x14ac:dyDescent="0.2">
      <c r="A536">
        <v>0</v>
      </c>
      <c r="B536" s="2">
        <v>2023</v>
      </c>
      <c r="C536" s="2" t="s">
        <v>185</v>
      </c>
      <c r="D536" s="2" t="s">
        <v>232</v>
      </c>
      <c r="E536" s="2" t="s">
        <v>234</v>
      </c>
      <c r="F536" s="15">
        <v>18544</v>
      </c>
      <c r="G536" s="15">
        <v>661</v>
      </c>
      <c r="H536" s="15">
        <v>19205</v>
      </c>
      <c r="I536">
        <f>VLOOKUP(C536,LEAIDs!$A$2:$B$305,2,FALSE)</f>
        <v>0</v>
      </c>
    </row>
    <row r="537" spans="1:9" x14ac:dyDescent="0.2">
      <c r="A537">
        <v>0</v>
      </c>
      <c r="B537">
        <v>2017</v>
      </c>
      <c r="C537" t="s">
        <v>293</v>
      </c>
      <c r="D537" t="s">
        <v>232</v>
      </c>
      <c r="E537" t="s">
        <v>234</v>
      </c>
      <c r="F537" s="17">
        <v>10347</v>
      </c>
      <c r="G537" s="17">
        <v>357</v>
      </c>
      <c r="H537" s="17">
        <v>10704</v>
      </c>
      <c r="I537">
        <f>VLOOKUP(C537,LEAIDs!$A$2:$B$305,2,FALSE)</f>
        <v>0</v>
      </c>
    </row>
    <row r="538" spans="1:9" x14ac:dyDescent="0.2">
      <c r="A538">
        <v>0</v>
      </c>
      <c r="B538">
        <v>2019</v>
      </c>
      <c r="C538" t="s">
        <v>153</v>
      </c>
      <c r="D538" t="s">
        <v>232</v>
      </c>
      <c r="E538" t="s">
        <v>234</v>
      </c>
      <c r="F538" s="17">
        <v>1031854</v>
      </c>
      <c r="G538" s="17">
        <v>34631</v>
      </c>
      <c r="H538" s="17">
        <v>1066485</v>
      </c>
      <c r="I538">
        <f>VLOOKUP(C538,LEAIDs!$A$2:$B$305,2,FALSE)</f>
        <v>0</v>
      </c>
    </row>
    <row r="539" spans="1:9" x14ac:dyDescent="0.2">
      <c r="A539">
        <v>0</v>
      </c>
      <c r="B539">
        <v>2020</v>
      </c>
      <c r="C539" t="s">
        <v>153</v>
      </c>
      <c r="D539" t="s">
        <v>232</v>
      </c>
      <c r="E539" t="s">
        <v>234</v>
      </c>
      <c r="F539" s="17">
        <v>1112231</v>
      </c>
      <c r="G539" s="17">
        <v>39249</v>
      </c>
      <c r="H539" s="17">
        <v>1151480</v>
      </c>
      <c r="I539">
        <f>VLOOKUP(C539,LEAIDs!$A$2:$B$305,2,FALSE)</f>
        <v>0</v>
      </c>
    </row>
    <row r="540" spans="1:9" x14ac:dyDescent="0.2">
      <c r="A540">
        <v>0</v>
      </c>
      <c r="B540" s="2">
        <v>2021</v>
      </c>
      <c r="C540" s="4" t="s">
        <v>153</v>
      </c>
      <c r="D540" s="2" t="s">
        <v>232</v>
      </c>
      <c r="E540" s="2" t="s">
        <v>234</v>
      </c>
      <c r="F540" s="16">
        <v>1317926</v>
      </c>
      <c r="G540" s="16">
        <v>45873</v>
      </c>
      <c r="H540" s="15">
        <v>1363799</v>
      </c>
      <c r="I540">
        <f>VLOOKUP(C540,LEAIDs!$A$2:$B$305,2,FALSE)</f>
        <v>0</v>
      </c>
    </row>
    <row r="541" spans="1:9" x14ac:dyDescent="0.2">
      <c r="A541">
        <v>0</v>
      </c>
      <c r="B541" s="2">
        <v>2022</v>
      </c>
      <c r="C541" s="4" t="s">
        <v>153</v>
      </c>
      <c r="D541" s="2" t="s">
        <v>232</v>
      </c>
      <c r="E541" s="2" t="s">
        <v>234</v>
      </c>
      <c r="F541" s="16">
        <v>1081341</v>
      </c>
      <c r="G541" s="16">
        <v>38634</v>
      </c>
      <c r="H541" s="15">
        <v>1119975</v>
      </c>
      <c r="I541">
        <f>VLOOKUP(C541,LEAIDs!$A$2:$B$305,2,FALSE)</f>
        <v>0</v>
      </c>
    </row>
    <row r="542" spans="1:9" x14ac:dyDescent="0.2">
      <c r="A542">
        <v>0</v>
      </c>
      <c r="B542" s="2">
        <v>2023</v>
      </c>
      <c r="C542" s="2" t="s">
        <v>153</v>
      </c>
      <c r="D542" s="2" t="s">
        <v>232</v>
      </c>
      <c r="E542" s="2" t="s">
        <v>234</v>
      </c>
      <c r="F542" s="15">
        <v>1201542</v>
      </c>
      <c r="G542" s="15">
        <v>42837</v>
      </c>
      <c r="H542" s="15">
        <v>1244379</v>
      </c>
      <c r="I542">
        <f>VLOOKUP(C542,LEAIDs!$A$2:$B$305,2,FALSE)</f>
        <v>0</v>
      </c>
    </row>
    <row r="543" spans="1:9" x14ac:dyDescent="0.2">
      <c r="A543">
        <v>0</v>
      </c>
      <c r="B543" s="2">
        <v>2023</v>
      </c>
      <c r="C543" s="2" t="s">
        <v>155</v>
      </c>
      <c r="D543" s="2" t="s">
        <v>232</v>
      </c>
      <c r="E543" s="2" t="s">
        <v>234</v>
      </c>
      <c r="F543" s="15">
        <v>43526</v>
      </c>
      <c r="G543" s="15">
        <v>1552</v>
      </c>
      <c r="H543" s="15">
        <v>45078</v>
      </c>
      <c r="I543">
        <f>VLOOKUP(C543,LEAIDs!$A$2:$B$305,2,FALSE)</f>
        <v>0</v>
      </c>
    </row>
    <row r="544" spans="1:9" x14ac:dyDescent="0.2">
      <c r="A544">
        <v>0</v>
      </c>
      <c r="B544">
        <v>2016</v>
      </c>
      <c r="C544" t="s">
        <v>285</v>
      </c>
      <c r="D544" t="s">
        <v>232</v>
      </c>
      <c r="E544" t="s">
        <v>234</v>
      </c>
      <c r="F544" s="17">
        <v>29746</v>
      </c>
      <c r="G544" s="17">
        <v>981</v>
      </c>
      <c r="H544" s="17">
        <v>30727</v>
      </c>
      <c r="I544">
        <f>VLOOKUP(C544,LEAIDs!$A$2:$B$305,2,FALSE)</f>
        <v>0</v>
      </c>
    </row>
    <row r="545" spans="1:9" x14ac:dyDescent="0.2">
      <c r="A545">
        <v>0</v>
      </c>
      <c r="B545">
        <v>2017</v>
      </c>
      <c r="C545" t="s">
        <v>285</v>
      </c>
      <c r="D545" t="s">
        <v>232</v>
      </c>
      <c r="E545" t="s">
        <v>234</v>
      </c>
      <c r="F545" s="17">
        <v>27933</v>
      </c>
      <c r="G545" s="17">
        <v>965</v>
      </c>
      <c r="H545" s="17">
        <v>28898</v>
      </c>
      <c r="I545">
        <f>VLOOKUP(C545,LEAIDs!$A$2:$B$305,2,FALSE)</f>
        <v>0</v>
      </c>
    </row>
    <row r="546" spans="1:9" x14ac:dyDescent="0.2">
      <c r="A546">
        <v>0</v>
      </c>
      <c r="B546">
        <v>2018</v>
      </c>
      <c r="C546" t="s">
        <v>285</v>
      </c>
      <c r="D546" t="s">
        <v>232</v>
      </c>
      <c r="E546" t="s">
        <v>234</v>
      </c>
      <c r="F546" s="17">
        <v>29745</v>
      </c>
      <c r="G546" s="17">
        <v>979</v>
      </c>
      <c r="H546" s="17">
        <v>30724</v>
      </c>
      <c r="I546">
        <f>VLOOKUP(C546,LEAIDs!$A$2:$B$305,2,FALSE)</f>
        <v>0</v>
      </c>
    </row>
    <row r="547" spans="1:9" x14ac:dyDescent="0.2">
      <c r="A547">
        <v>0</v>
      </c>
      <c r="B547">
        <v>2015</v>
      </c>
      <c r="C547" t="s">
        <v>80</v>
      </c>
      <c r="D547" t="s">
        <v>232</v>
      </c>
      <c r="E547" t="s">
        <v>234</v>
      </c>
      <c r="F547" s="17">
        <v>267295</v>
      </c>
      <c r="G547" s="17">
        <v>8217</v>
      </c>
      <c r="H547" s="17">
        <v>275512</v>
      </c>
      <c r="I547">
        <f>VLOOKUP(C547,LEAIDs!$A$2:$B$305,2,FALSE)</f>
        <v>0</v>
      </c>
    </row>
    <row r="548" spans="1:9" x14ac:dyDescent="0.2">
      <c r="A548">
        <v>0</v>
      </c>
      <c r="B548">
        <v>2016</v>
      </c>
      <c r="C548" t="s">
        <v>80</v>
      </c>
      <c r="D548" t="s">
        <v>232</v>
      </c>
      <c r="E548" t="s">
        <v>234</v>
      </c>
      <c r="F548" s="17">
        <v>239373</v>
      </c>
      <c r="G548" s="17">
        <v>7896</v>
      </c>
      <c r="H548" s="17">
        <v>247269</v>
      </c>
      <c r="I548">
        <f>VLOOKUP(C548,LEAIDs!$A$2:$B$305,2,FALSE)</f>
        <v>0</v>
      </c>
    </row>
    <row r="549" spans="1:9" x14ac:dyDescent="0.2">
      <c r="A549">
        <v>0</v>
      </c>
      <c r="B549">
        <v>2017</v>
      </c>
      <c r="C549" t="s">
        <v>80</v>
      </c>
      <c r="D549" t="s">
        <v>232</v>
      </c>
      <c r="E549" t="s">
        <v>234</v>
      </c>
      <c r="F549" s="17">
        <v>251357</v>
      </c>
      <c r="G549" s="17">
        <v>8682</v>
      </c>
      <c r="H549" s="17">
        <v>260039</v>
      </c>
      <c r="I549">
        <f>VLOOKUP(C549,LEAIDs!$A$2:$B$305,2,FALSE)</f>
        <v>0</v>
      </c>
    </row>
    <row r="550" spans="1:9" x14ac:dyDescent="0.2">
      <c r="A550">
        <v>0</v>
      </c>
      <c r="B550">
        <v>2018</v>
      </c>
      <c r="C550" t="s">
        <v>80</v>
      </c>
      <c r="D550" t="s">
        <v>232</v>
      </c>
      <c r="E550" t="s">
        <v>234</v>
      </c>
      <c r="F550" s="17">
        <v>319458</v>
      </c>
      <c r="G550" s="17">
        <v>10513</v>
      </c>
      <c r="H550" s="17">
        <v>329971</v>
      </c>
      <c r="I550">
        <f>VLOOKUP(C550,LEAIDs!$A$2:$B$305,2,FALSE)</f>
        <v>0</v>
      </c>
    </row>
    <row r="551" spans="1:9" x14ac:dyDescent="0.2">
      <c r="A551">
        <v>0</v>
      </c>
      <c r="B551">
        <v>2019</v>
      </c>
      <c r="C551" t="s">
        <v>80</v>
      </c>
      <c r="D551" t="s">
        <v>232</v>
      </c>
      <c r="E551" t="s">
        <v>234</v>
      </c>
      <c r="F551" s="17">
        <v>333638</v>
      </c>
      <c r="G551" s="17">
        <v>11197</v>
      </c>
      <c r="H551" s="17">
        <v>344835</v>
      </c>
      <c r="I551">
        <f>VLOOKUP(C551,LEAIDs!$A$2:$B$305,2,FALSE)</f>
        <v>0</v>
      </c>
    </row>
    <row r="552" spans="1:9" x14ac:dyDescent="0.2">
      <c r="A552">
        <v>0</v>
      </c>
      <c r="B552">
        <v>2020</v>
      </c>
      <c r="C552" t="s">
        <v>80</v>
      </c>
      <c r="D552" t="s">
        <v>232</v>
      </c>
      <c r="E552" t="s">
        <v>234</v>
      </c>
      <c r="F552" s="17">
        <v>239891</v>
      </c>
      <c r="G552" s="17">
        <v>8465</v>
      </c>
      <c r="H552" s="17">
        <v>248356</v>
      </c>
      <c r="I552">
        <f>VLOOKUP(C552,LEAIDs!$A$2:$B$305,2,FALSE)</f>
        <v>0</v>
      </c>
    </row>
    <row r="553" spans="1:9" x14ac:dyDescent="0.2">
      <c r="A553">
        <v>0</v>
      </c>
      <c r="B553" s="2">
        <v>2021</v>
      </c>
      <c r="C553" s="4" t="s">
        <v>80</v>
      </c>
      <c r="D553" s="2" t="s">
        <v>232</v>
      </c>
      <c r="E553" s="2" t="s">
        <v>234</v>
      </c>
      <c r="F553" s="16">
        <v>256038</v>
      </c>
      <c r="G553" s="16">
        <v>8912</v>
      </c>
      <c r="H553" s="15">
        <v>264950</v>
      </c>
      <c r="I553">
        <f>VLOOKUP(C553,LEAIDs!$A$2:$B$305,2,FALSE)</f>
        <v>0</v>
      </c>
    </row>
    <row r="554" spans="1:9" x14ac:dyDescent="0.2">
      <c r="A554">
        <v>0</v>
      </c>
      <c r="B554" s="2">
        <v>2022</v>
      </c>
      <c r="C554" s="4" t="s">
        <v>80</v>
      </c>
      <c r="D554" s="2" t="s">
        <v>232</v>
      </c>
      <c r="E554" s="2" t="s">
        <v>234</v>
      </c>
      <c r="F554" s="16">
        <v>267892</v>
      </c>
      <c r="G554" s="16">
        <v>9571</v>
      </c>
      <c r="H554" s="15">
        <v>277463</v>
      </c>
      <c r="I554">
        <f>VLOOKUP(C554,LEAIDs!$A$2:$B$305,2,FALSE)</f>
        <v>0</v>
      </c>
    </row>
    <row r="555" spans="1:9" x14ac:dyDescent="0.2">
      <c r="A555">
        <v>0</v>
      </c>
      <c r="B555" s="2">
        <v>2023</v>
      </c>
      <c r="C555" s="2" t="s">
        <v>80</v>
      </c>
      <c r="D555" s="2" t="s">
        <v>232</v>
      </c>
      <c r="E555" s="2" t="s">
        <v>234</v>
      </c>
      <c r="F555" s="15">
        <v>258785</v>
      </c>
      <c r="G555" s="15">
        <v>9226</v>
      </c>
      <c r="H555" s="15">
        <v>268011</v>
      </c>
      <c r="I555">
        <f>VLOOKUP(C555,LEAIDs!$A$2:$B$305,2,FALSE)</f>
        <v>0</v>
      </c>
    </row>
    <row r="556" spans="1:9" x14ac:dyDescent="0.2">
      <c r="A556">
        <v>0</v>
      </c>
      <c r="B556">
        <v>2015</v>
      </c>
      <c r="C556" t="s">
        <v>115</v>
      </c>
      <c r="D556" t="s">
        <v>232</v>
      </c>
      <c r="E556" t="s">
        <v>234</v>
      </c>
      <c r="F556" s="17">
        <v>2451710</v>
      </c>
      <c r="G556" s="17">
        <v>75367</v>
      </c>
      <c r="H556" s="17">
        <v>2527077</v>
      </c>
      <c r="I556">
        <f>VLOOKUP(C556,LEAIDs!$A$2:$B$305,2,FALSE)</f>
        <v>0</v>
      </c>
    </row>
    <row r="557" spans="1:9" x14ac:dyDescent="0.2">
      <c r="A557">
        <v>0</v>
      </c>
      <c r="B557">
        <v>2016</v>
      </c>
      <c r="C557" t="s">
        <v>115</v>
      </c>
      <c r="D557" t="s">
        <v>232</v>
      </c>
      <c r="E557" t="s">
        <v>234</v>
      </c>
      <c r="F557" s="17">
        <v>2636332</v>
      </c>
      <c r="G557" s="17">
        <v>86959</v>
      </c>
      <c r="H557" s="17">
        <v>2723291</v>
      </c>
      <c r="I557">
        <f>VLOOKUP(C557,LEAIDs!$A$2:$B$305,2,FALSE)</f>
        <v>0</v>
      </c>
    </row>
    <row r="558" spans="1:9" x14ac:dyDescent="0.2">
      <c r="A558">
        <v>0</v>
      </c>
      <c r="B558">
        <v>2017</v>
      </c>
      <c r="C558" t="s">
        <v>115</v>
      </c>
      <c r="D558" t="s">
        <v>232</v>
      </c>
      <c r="E558" t="s">
        <v>234</v>
      </c>
      <c r="F558" s="17">
        <v>2095012</v>
      </c>
      <c r="G558" s="17">
        <v>72361</v>
      </c>
      <c r="H558" s="17">
        <v>2167373</v>
      </c>
      <c r="I558">
        <f>VLOOKUP(C558,LEAIDs!$A$2:$B$305,2,FALSE)</f>
        <v>0</v>
      </c>
    </row>
    <row r="559" spans="1:9" x14ac:dyDescent="0.2">
      <c r="A559">
        <v>0</v>
      </c>
      <c r="B559">
        <v>2018</v>
      </c>
      <c r="C559" t="s">
        <v>115</v>
      </c>
      <c r="D559" t="s">
        <v>232</v>
      </c>
      <c r="E559" t="s">
        <v>234</v>
      </c>
      <c r="F559" s="17">
        <v>2276613</v>
      </c>
      <c r="G559" s="17">
        <v>74920</v>
      </c>
      <c r="H559" s="17">
        <v>2351533</v>
      </c>
      <c r="I559">
        <f>VLOOKUP(C559,LEAIDs!$A$2:$B$305,2,FALSE)</f>
        <v>0</v>
      </c>
    </row>
    <row r="560" spans="1:9" x14ac:dyDescent="0.2">
      <c r="A560">
        <v>0</v>
      </c>
      <c r="B560">
        <v>2019</v>
      </c>
      <c r="C560" t="s">
        <v>115</v>
      </c>
      <c r="D560" t="s">
        <v>232</v>
      </c>
      <c r="E560" t="s">
        <v>234</v>
      </c>
      <c r="F560" s="17">
        <v>2575916</v>
      </c>
      <c r="G560" s="17">
        <v>86452</v>
      </c>
      <c r="H560" s="17">
        <v>2662368</v>
      </c>
      <c r="I560">
        <f>VLOOKUP(C560,LEAIDs!$A$2:$B$305,2,FALSE)</f>
        <v>0</v>
      </c>
    </row>
    <row r="561" spans="1:9" x14ac:dyDescent="0.2">
      <c r="A561">
        <v>0</v>
      </c>
      <c r="B561">
        <v>2020</v>
      </c>
      <c r="C561" t="s">
        <v>115</v>
      </c>
      <c r="D561" t="s">
        <v>232</v>
      </c>
      <c r="E561" t="s">
        <v>234</v>
      </c>
      <c r="F561" s="17">
        <v>2633773</v>
      </c>
      <c r="G561" s="17">
        <v>92942</v>
      </c>
      <c r="H561" s="17">
        <v>2726715</v>
      </c>
      <c r="I561">
        <f>VLOOKUP(C561,LEAIDs!$A$2:$B$305,2,FALSE)</f>
        <v>0</v>
      </c>
    </row>
    <row r="562" spans="1:9" x14ac:dyDescent="0.2">
      <c r="A562">
        <v>0</v>
      </c>
      <c r="B562" s="2">
        <v>2021</v>
      </c>
      <c r="C562" s="4" t="s">
        <v>115</v>
      </c>
      <c r="D562" s="2" t="s">
        <v>232</v>
      </c>
      <c r="E562" s="2" t="s">
        <v>234</v>
      </c>
      <c r="F562" s="16">
        <v>2379702</v>
      </c>
      <c r="G562" s="16">
        <v>82831</v>
      </c>
      <c r="H562" s="15">
        <v>2462533</v>
      </c>
      <c r="I562">
        <f>VLOOKUP(C562,LEAIDs!$A$2:$B$305,2,FALSE)</f>
        <v>0</v>
      </c>
    </row>
    <row r="563" spans="1:9" x14ac:dyDescent="0.2">
      <c r="A563">
        <v>0</v>
      </c>
      <c r="B563" s="2">
        <v>2022</v>
      </c>
      <c r="C563" s="4" t="s">
        <v>115</v>
      </c>
      <c r="D563" s="2" t="s">
        <v>232</v>
      </c>
      <c r="E563" s="2" t="s">
        <v>234</v>
      </c>
      <c r="F563" s="16">
        <v>2461275</v>
      </c>
      <c r="G563" s="16">
        <v>87936</v>
      </c>
      <c r="H563" s="15">
        <v>2549211</v>
      </c>
      <c r="I563">
        <f>VLOOKUP(C563,LEAIDs!$A$2:$B$305,2,FALSE)</f>
        <v>0</v>
      </c>
    </row>
    <row r="564" spans="1:9" x14ac:dyDescent="0.2">
      <c r="A564">
        <v>0</v>
      </c>
      <c r="B564" s="2">
        <v>2023</v>
      </c>
      <c r="C564" s="2" t="s">
        <v>115</v>
      </c>
      <c r="D564" s="2" t="s">
        <v>232</v>
      </c>
      <c r="E564" s="2" t="s">
        <v>234</v>
      </c>
      <c r="F564" s="15">
        <v>2826189</v>
      </c>
      <c r="G564" s="15">
        <v>100758</v>
      </c>
      <c r="H564" s="15">
        <v>2926947</v>
      </c>
      <c r="I564">
        <f>VLOOKUP(C564,LEAIDs!$A$2:$B$305,2,FALSE)</f>
        <v>0</v>
      </c>
    </row>
    <row r="565" spans="1:9" x14ac:dyDescent="0.2">
      <c r="A565">
        <v>0</v>
      </c>
      <c r="B565">
        <v>2015</v>
      </c>
      <c r="C565" t="s">
        <v>221</v>
      </c>
      <c r="D565" t="s">
        <v>232</v>
      </c>
      <c r="E565" t="s">
        <v>234</v>
      </c>
      <c r="F565" s="17">
        <v>2077850</v>
      </c>
      <c r="G565" s="17">
        <v>63874</v>
      </c>
      <c r="H565" s="17">
        <v>2141724</v>
      </c>
      <c r="I565">
        <f>VLOOKUP(C565,LEAIDs!$A$2:$B$305,2,FALSE)</f>
        <v>0</v>
      </c>
    </row>
    <row r="566" spans="1:9" x14ac:dyDescent="0.2">
      <c r="A566">
        <v>0</v>
      </c>
      <c r="B566">
        <v>2016</v>
      </c>
      <c r="C566" t="s">
        <v>221</v>
      </c>
      <c r="D566" t="s">
        <v>232</v>
      </c>
      <c r="E566" t="s">
        <v>234</v>
      </c>
      <c r="F566" s="17">
        <v>1916095</v>
      </c>
      <c r="G566" s="17">
        <v>63202</v>
      </c>
      <c r="H566" s="17">
        <v>1979297</v>
      </c>
      <c r="I566">
        <f>VLOOKUP(C566,LEAIDs!$A$2:$B$305,2,FALSE)</f>
        <v>0</v>
      </c>
    </row>
    <row r="567" spans="1:9" x14ac:dyDescent="0.2">
      <c r="A567">
        <v>0</v>
      </c>
      <c r="B567">
        <v>2017</v>
      </c>
      <c r="C567" t="s">
        <v>221</v>
      </c>
      <c r="D567" t="s">
        <v>232</v>
      </c>
      <c r="E567" t="s">
        <v>234</v>
      </c>
      <c r="F567" s="17">
        <v>1889747</v>
      </c>
      <c r="G567" s="17">
        <v>65271</v>
      </c>
      <c r="H567" s="17">
        <v>1955018</v>
      </c>
      <c r="I567">
        <f>VLOOKUP(C567,LEAIDs!$A$2:$B$305,2,FALSE)</f>
        <v>0</v>
      </c>
    </row>
    <row r="568" spans="1:9" x14ac:dyDescent="0.2">
      <c r="A568">
        <v>0</v>
      </c>
      <c r="B568">
        <v>2018</v>
      </c>
      <c r="C568" t="s">
        <v>221</v>
      </c>
      <c r="D568" t="s">
        <v>232</v>
      </c>
      <c r="E568" t="s">
        <v>234</v>
      </c>
      <c r="F568" s="17">
        <v>2038687</v>
      </c>
      <c r="G568" s="17">
        <v>67090</v>
      </c>
      <c r="H568" s="17">
        <v>2105777</v>
      </c>
      <c r="I568">
        <f>VLOOKUP(C568,LEAIDs!$A$2:$B$305,2,FALSE)</f>
        <v>0</v>
      </c>
    </row>
    <row r="569" spans="1:9" x14ac:dyDescent="0.2">
      <c r="A569">
        <v>0</v>
      </c>
      <c r="B569">
        <v>2019</v>
      </c>
      <c r="C569" t="s">
        <v>221</v>
      </c>
      <c r="D569" t="s">
        <v>232</v>
      </c>
      <c r="E569" t="s">
        <v>234</v>
      </c>
      <c r="F569" s="17">
        <v>2235839</v>
      </c>
      <c r="G569" s="17">
        <v>75038</v>
      </c>
      <c r="H569" s="17">
        <v>2310877</v>
      </c>
      <c r="I569">
        <f>VLOOKUP(C569,LEAIDs!$A$2:$B$305,2,FALSE)</f>
        <v>0</v>
      </c>
    </row>
    <row r="570" spans="1:9" x14ac:dyDescent="0.2">
      <c r="A570">
        <v>0</v>
      </c>
      <c r="B570">
        <v>2020</v>
      </c>
      <c r="C570" t="s">
        <v>221</v>
      </c>
      <c r="D570" t="s">
        <v>232</v>
      </c>
      <c r="E570" t="s">
        <v>234</v>
      </c>
      <c r="F570" s="17">
        <v>2218824</v>
      </c>
      <c r="G570" s="17">
        <v>78299</v>
      </c>
      <c r="H570" s="17">
        <v>2297123</v>
      </c>
      <c r="I570">
        <f>VLOOKUP(C570,LEAIDs!$A$2:$B$305,2,FALSE)</f>
        <v>0</v>
      </c>
    </row>
    <row r="571" spans="1:9" x14ac:dyDescent="0.2">
      <c r="A571">
        <v>0</v>
      </c>
      <c r="B571" s="2">
        <v>2021</v>
      </c>
      <c r="C571" s="4" t="s">
        <v>221</v>
      </c>
      <c r="D571" s="2" t="s">
        <v>232</v>
      </c>
      <c r="E571" s="2" t="s">
        <v>234</v>
      </c>
      <c r="F571" s="16">
        <v>2777637</v>
      </c>
      <c r="G571" s="16">
        <v>96682</v>
      </c>
      <c r="H571" s="15">
        <v>2874319</v>
      </c>
      <c r="I571">
        <f>VLOOKUP(C571,LEAIDs!$A$2:$B$305,2,FALSE)</f>
        <v>0</v>
      </c>
    </row>
    <row r="572" spans="1:9" x14ac:dyDescent="0.2">
      <c r="A572">
        <v>0</v>
      </c>
      <c r="B572" s="2">
        <v>2022</v>
      </c>
      <c r="C572" s="4" t="s">
        <v>221</v>
      </c>
      <c r="D572" s="2" t="s">
        <v>232</v>
      </c>
      <c r="E572" s="2" t="s">
        <v>234</v>
      </c>
      <c r="F572" s="16">
        <v>2995122</v>
      </c>
      <c r="G572" s="16">
        <v>107009</v>
      </c>
      <c r="H572" s="15">
        <v>3102131</v>
      </c>
      <c r="I572">
        <f>VLOOKUP(C572,LEAIDs!$A$2:$B$305,2,FALSE)</f>
        <v>0</v>
      </c>
    </row>
    <row r="573" spans="1:9" x14ac:dyDescent="0.2">
      <c r="A573">
        <v>0</v>
      </c>
      <c r="B573" s="2">
        <v>2023</v>
      </c>
      <c r="C573" s="2" t="s">
        <v>221</v>
      </c>
      <c r="D573" s="2" t="s">
        <v>232</v>
      </c>
      <c r="E573" s="2" t="s">
        <v>234</v>
      </c>
      <c r="F573" s="15">
        <v>3600265</v>
      </c>
      <c r="G573" s="15">
        <v>128355</v>
      </c>
      <c r="H573" s="15">
        <v>3728620</v>
      </c>
      <c r="I573">
        <f>VLOOKUP(C573,LEAIDs!$A$2:$B$305,2,FALSE)</f>
        <v>0</v>
      </c>
    </row>
    <row r="574" spans="1:9" x14ac:dyDescent="0.2">
      <c r="A574">
        <v>0</v>
      </c>
      <c r="B574">
        <v>2019</v>
      </c>
      <c r="C574" t="s">
        <v>166</v>
      </c>
      <c r="D574" t="s">
        <v>232</v>
      </c>
      <c r="E574" t="s">
        <v>234</v>
      </c>
      <c r="F574" s="17">
        <v>39278</v>
      </c>
      <c r="G574" s="17">
        <v>1318</v>
      </c>
      <c r="H574" s="17">
        <v>40596</v>
      </c>
      <c r="I574">
        <f>VLOOKUP(C574,LEAIDs!$A$2:$B$305,2,FALSE)</f>
        <v>0</v>
      </c>
    </row>
    <row r="575" spans="1:9" x14ac:dyDescent="0.2">
      <c r="A575">
        <v>0</v>
      </c>
      <c r="B575">
        <v>2020</v>
      </c>
      <c r="C575" t="s">
        <v>166</v>
      </c>
      <c r="D575" t="s">
        <v>232</v>
      </c>
      <c r="E575" t="s">
        <v>234</v>
      </c>
      <c r="F575" s="17">
        <v>20311</v>
      </c>
      <c r="G575" s="17">
        <v>717</v>
      </c>
      <c r="H575" s="17">
        <v>21028</v>
      </c>
      <c r="I575">
        <f>VLOOKUP(C575,LEAIDs!$A$2:$B$305,2,FALSE)</f>
        <v>0</v>
      </c>
    </row>
    <row r="576" spans="1:9" x14ac:dyDescent="0.2">
      <c r="A576">
        <v>0</v>
      </c>
      <c r="B576" s="2">
        <v>2021</v>
      </c>
      <c r="C576" s="4" t="s">
        <v>166</v>
      </c>
      <c r="D576" s="2" t="s">
        <v>232</v>
      </c>
      <c r="E576" s="2" t="s">
        <v>234</v>
      </c>
      <c r="F576" s="16">
        <v>20740</v>
      </c>
      <c r="G576" s="16">
        <v>722</v>
      </c>
      <c r="H576" s="15">
        <v>21462</v>
      </c>
      <c r="I576">
        <f>VLOOKUP(C576,LEAIDs!$A$2:$B$305,2,FALSE)</f>
        <v>0</v>
      </c>
    </row>
    <row r="577" spans="1:9" x14ac:dyDescent="0.2">
      <c r="A577">
        <v>0</v>
      </c>
      <c r="B577" s="2">
        <v>2022</v>
      </c>
      <c r="C577" s="4" t="s">
        <v>166</v>
      </c>
      <c r="D577" s="2" t="s">
        <v>232</v>
      </c>
      <c r="E577" s="2" t="s">
        <v>234</v>
      </c>
      <c r="F577" s="16">
        <v>21220</v>
      </c>
      <c r="G577" s="16">
        <v>758</v>
      </c>
      <c r="H577" s="15">
        <v>21978</v>
      </c>
      <c r="I577">
        <f>VLOOKUP(C577,LEAIDs!$A$2:$B$305,2,FALSE)</f>
        <v>0</v>
      </c>
    </row>
    <row r="578" spans="1:9" x14ac:dyDescent="0.2">
      <c r="A578">
        <v>0</v>
      </c>
      <c r="B578" s="2">
        <v>2023</v>
      </c>
      <c r="C578" s="2" t="s">
        <v>166</v>
      </c>
      <c r="D578" s="2" t="s">
        <v>232</v>
      </c>
      <c r="E578" s="2" t="s">
        <v>234</v>
      </c>
      <c r="F578" s="15">
        <v>22210</v>
      </c>
      <c r="G578" s="15">
        <v>792</v>
      </c>
      <c r="H578" s="15">
        <v>23002</v>
      </c>
      <c r="I578">
        <f>VLOOKUP(C578,LEAIDs!$A$2:$B$305,2,FALSE)</f>
        <v>0</v>
      </c>
    </row>
    <row r="579" spans="1:9" x14ac:dyDescent="0.2">
      <c r="A579">
        <v>0</v>
      </c>
      <c r="B579">
        <v>2015</v>
      </c>
      <c r="C579" t="s">
        <v>208</v>
      </c>
      <c r="D579" t="s">
        <v>232</v>
      </c>
      <c r="E579" t="s">
        <v>234</v>
      </c>
      <c r="F579" s="17">
        <v>36719</v>
      </c>
      <c r="G579" s="17">
        <v>1129</v>
      </c>
      <c r="H579" s="17">
        <v>37848</v>
      </c>
      <c r="I579">
        <f>VLOOKUP(C579,LEAIDs!$A$2:$B$305,2,FALSE)</f>
        <v>0</v>
      </c>
    </row>
    <row r="580" spans="1:9" x14ac:dyDescent="0.2">
      <c r="A580">
        <v>0</v>
      </c>
      <c r="B580">
        <v>2016</v>
      </c>
      <c r="C580" t="s">
        <v>208</v>
      </c>
      <c r="D580" t="s">
        <v>232</v>
      </c>
      <c r="E580" t="s">
        <v>234</v>
      </c>
      <c r="F580" s="17">
        <v>36138</v>
      </c>
      <c r="G580" s="17">
        <v>1192</v>
      </c>
      <c r="H580" s="17">
        <v>37330</v>
      </c>
      <c r="I580">
        <f>VLOOKUP(C580,LEAIDs!$A$2:$B$305,2,FALSE)</f>
        <v>0</v>
      </c>
    </row>
    <row r="581" spans="1:9" x14ac:dyDescent="0.2">
      <c r="A581">
        <v>0</v>
      </c>
      <c r="B581">
        <v>2017</v>
      </c>
      <c r="C581" t="s">
        <v>208</v>
      </c>
      <c r="D581" t="s">
        <v>232</v>
      </c>
      <c r="E581" t="s">
        <v>234</v>
      </c>
      <c r="F581" s="17">
        <v>9775</v>
      </c>
      <c r="G581" s="17">
        <v>338</v>
      </c>
      <c r="H581" s="17">
        <v>10113</v>
      </c>
      <c r="I581">
        <f>VLOOKUP(C581,LEAIDs!$A$2:$B$305,2,FALSE)</f>
        <v>0</v>
      </c>
    </row>
    <row r="582" spans="1:9" x14ac:dyDescent="0.2">
      <c r="A582">
        <v>0</v>
      </c>
      <c r="B582">
        <v>2018</v>
      </c>
      <c r="C582" t="s">
        <v>208</v>
      </c>
      <c r="D582" t="s">
        <v>232</v>
      </c>
      <c r="E582" t="s">
        <v>234</v>
      </c>
      <c r="F582" s="17">
        <v>16561</v>
      </c>
      <c r="G582" s="17">
        <v>545</v>
      </c>
      <c r="H582" s="17">
        <v>17106</v>
      </c>
      <c r="I582">
        <f>VLOOKUP(C582,LEAIDs!$A$2:$B$305,2,FALSE)</f>
        <v>0</v>
      </c>
    </row>
    <row r="583" spans="1:9" x14ac:dyDescent="0.2">
      <c r="A583">
        <v>0</v>
      </c>
      <c r="B583">
        <v>2019</v>
      </c>
      <c r="C583" t="s">
        <v>208</v>
      </c>
      <c r="D583" t="s">
        <v>232</v>
      </c>
      <c r="E583" t="s">
        <v>234</v>
      </c>
      <c r="F583" s="17">
        <v>11161</v>
      </c>
      <c r="G583" s="17">
        <v>375</v>
      </c>
      <c r="H583" s="17">
        <v>11536</v>
      </c>
      <c r="I583">
        <f>VLOOKUP(C583,LEAIDs!$A$2:$B$305,2,FALSE)</f>
        <v>0</v>
      </c>
    </row>
    <row r="584" spans="1:9" x14ac:dyDescent="0.2">
      <c r="A584">
        <v>0</v>
      </c>
      <c r="B584">
        <v>2020</v>
      </c>
      <c r="C584" t="s">
        <v>208</v>
      </c>
      <c r="D584" t="s">
        <v>232</v>
      </c>
      <c r="E584" t="s">
        <v>234</v>
      </c>
      <c r="F584" s="17">
        <v>11678</v>
      </c>
      <c r="G584" s="17">
        <v>412</v>
      </c>
      <c r="H584" s="17">
        <v>12090</v>
      </c>
      <c r="I584">
        <f>VLOOKUP(C584,LEAIDs!$A$2:$B$305,2,FALSE)</f>
        <v>0</v>
      </c>
    </row>
    <row r="585" spans="1:9" x14ac:dyDescent="0.2">
      <c r="A585">
        <v>0</v>
      </c>
      <c r="B585" s="2">
        <v>2021</v>
      </c>
      <c r="C585" s="4" t="s">
        <v>208</v>
      </c>
      <c r="D585" s="2" t="s">
        <v>232</v>
      </c>
      <c r="E585" s="2" t="s">
        <v>234</v>
      </c>
      <c r="F585" s="16">
        <v>26170</v>
      </c>
      <c r="G585" s="16">
        <v>911</v>
      </c>
      <c r="H585" s="15">
        <v>27081</v>
      </c>
      <c r="I585">
        <f>VLOOKUP(C585,LEAIDs!$A$2:$B$305,2,FALSE)</f>
        <v>0</v>
      </c>
    </row>
    <row r="586" spans="1:9" x14ac:dyDescent="0.2">
      <c r="A586">
        <v>0</v>
      </c>
      <c r="B586" s="2">
        <v>2022</v>
      </c>
      <c r="C586" s="4" t="s">
        <v>208</v>
      </c>
      <c r="D586" s="2" t="s">
        <v>232</v>
      </c>
      <c r="E586" s="2" t="s">
        <v>234</v>
      </c>
      <c r="F586" s="16">
        <v>83461</v>
      </c>
      <c r="G586" s="16">
        <v>2982</v>
      </c>
      <c r="H586" s="15">
        <v>86443</v>
      </c>
      <c r="I586">
        <f>VLOOKUP(C586,LEAIDs!$A$2:$B$305,2,FALSE)</f>
        <v>0</v>
      </c>
    </row>
    <row r="587" spans="1:9" x14ac:dyDescent="0.2">
      <c r="A587">
        <v>0</v>
      </c>
      <c r="B587" s="2">
        <v>2023</v>
      </c>
      <c r="C587" s="2" t="s">
        <v>208</v>
      </c>
      <c r="D587" s="2" t="s">
        <v>232</v>
      </c>
      <c r="E587" s="2" t="s">
        <v>234</v>
      </c>
      <c r="F587" s="15">
        <v>97731</v>
      </c>
      <c r="G587" s="15">
        <v>3484</v>
      </c>
      <c r="H587" s="15">
        <v>101215</v>
      </c>
      <c r="I587">
        <f>VLOOKUP(C587,LEAIDs!$A$2:$B$305,2,FALSE)</f>
        <v>0</v>
      </c>
    </row>
    <row r="588" spans="1:9" x14ac:dyDescent="0.2">
      <c r="A588">
        <v>0</v>
      </c>
      <c r="B588">
        <v>2015</v>
      </c>
      <c r="C588" t="s">
        <v>94</v>
      </c>
      <c r="D588" t="s">
        <v>232</v>
      </c>
      <c r="E588" t="s">
        <v>234</v>
      </c>
      <c r="F588" s="17">
        <v>35562</v>
      </c>
      <c r="G588" s="17">
        <v>1093</v>
      </c>
      <c r="H588" s="17">
        <v>36655</v>
      </c>
      <c r="I588">
        <f>VLOOKUP(C588,LEAIDs!$A$2:$B$305,2,FALSE)</f>
        <v>0</v>
      </c>
    </row>
    <row r="589" spans="1:9" x14ac:dyDescent="0.2">
      <c r="A589">
        <v>0</v>
      </c>
      <c r="B589">
        <v>2016</v>
      </c>
      <c r="C589" t="s">
        <v>94</v>
      </c>
      <c r="D589" t="s">
        <v>232</v>
      </c>
      <c r="E589" t="s">
        <v>234</v>
      </c>
      <c r="F589" s="17">
        <v>30846</v>
      </c>
      <c r="G589" s="17">
        <v>1017</v>
      </c>
      <c r="H589" s="17">
        <v>31863</v>
      </c>
      <c r="I589">
        <f>VLOOKUP(C589,LEAIDs!$A$2:$B$305,2,FALSE)</f>
        <v>0</v>
      </c>
    </row>
    <row r="590" spans="1:9" x14ac:dyDescent="0.2">
      <c r="A590">
        <v>0</v>
      </c>
      <c r="B590">
        <v>2017</v>
      </c>
      <c r="C590" t="s">
        <v>94</v>
      </c>
      <c r="D590" t="s">
        <v>232</v>
      </c>
      <c r="E590" t="s">
        <v>234</v>
      </c>
      <c r="F590" s="17">
        <v>82768</v>
      </c>
      <c r="G590" s="17">
        <v>2859</v>
      </c>
      <c r="H590" s="17">
        <v>85627</v>
      </c>
      <c r="I590">
        <f>VLOOKUP(C590,LEAIDs!$A$2:$B$305,2,FALSE)</f>
        <v>0</v>
      </c>
    </row>
    <row r="591" spans="1:9" x14ac:dyDescent="0.2">
      <c r="A591">
        <v>0</v>
      </c>
      <c r="B591">
        <v>2018</v>
      </c>
      <c r="C591" t="s">
        <v>94</v>
      </c>
      <c r="D591" t="s">
        <v>232</v>
      </c>
      <c r="E591" t="s">
        <v>234</v>
      </c>
      <c r="F591" s="17">
        <v>87421</v>
      </c>
      <c r="G591" s="17">
        <v>2877</v>
      </c>
      <c r="H591" s="17">
        <v>90298</v>
      </c>
      <c r="I591">
        <f>VLOOKUP(C591,LEAIDs!$A$2:$B$305,2,FALSE)</f>
        <v>0</v>
      </c>
    </row>
    <row r="592" spans="1:9" x14ac:dyDescent="0.2">
      <c r="A592">
        <v>0</v>
      </c>
      <c r="B592">
        <v>2019</v>
      </c>
      <c r="C592" t="s">
        <v>94</v>
      </c>
      <c r="D592" t="s">
        <v>232</v>
      </c>
      <c r="E592" t="s">
        <v>234</v>
      </c>
      <c r="F592" s="17">
        <v>73505</v>
      </c>
      <c r="G592" s="17">
        <v>2467</v>
      </c>
      <c r="H592" s="17">
        <v>75972</v>
      </c>
      <c r="I592">
        <f>VLOOKUP(C592,LEAIDs!$A$2:$B$305,2,FALSE)</f>
        <v>0</v>
      </c>
    </row>
    <row r="593" spans="1:9" x14ac:dyDescent="0.2">
      <c r="A593">
        <v>0</v>
      </c>
      <c r="B593">
        <v>2020</v>
      </c>
      <c r="C593" t="s">
        <v>94</v>
      </c>
      <c r="D593" t="s">
        <v>232</v>
      </c>
      <c r="E593" t="s">
        <v>234</v>
      </c>
      <c r="F593" s="17">
        <v>75093</v>
      </c>
      <c r="G593" s="17">
        <v>2650</v>
      </c>
      <c r="H593" s="17">
        <v>77743</v>
      </c>
      <c r="I593">
        <f>VLOOKUP(C593,LEAIDs!$A$2:$B$305,2,FALSE)</f>
        <v>0</v>
      </c>
    </row>
    <row r="594" spans="1:9" x14ac:dyDescent="0.2">
      <c r="A594">
        <v>0</v>
      </c>
      <c r="B594" s="2">
        <v>2021</v>
      </c>
      <c r="C594" s="4" t="s">
        <v>94</v>
      </c>
      <c r="D594" s="2" t="s">
        <v>232</v>
      </c>
      <c r="E594" s="2" t="s">
        <v>234</v>
      </c>
      <c r="F594" s="16">
        <v>48237</v>
      </c>
      <c r="G594" s="16">
        <v>1679</v>
      </c>
      <c r="H594" s="15">
        <v>49916</v>
      </c>
      <c r="I594">
        <f>VLOOKUP(C594,LEAIDs!$A$2:$B$305,2,FALSE)</f>
        <v>0</v>
      </c>
    </row>
    <row r="595" spans="1:9" x14ac:dyDescent="0.2">
      <c r="A595">
        <v>0</v>
      </c>
      <c r="B595" s="2">
        <v>2022</v>
      </c>
      <c r="C595" s="4" t="s">
        <v>94</v>
      </c>
      <c r="D595" s="2" t="s">
        <v>232</v>
      </c>
      <c r="E595" s="2" t="s">
        <v>234</v>
      </c>
      <c r="F595" s="16">
        <v>47301</v>
      </c>
      <c r="G595" s="16">
        <v>1690</v>
      </c>
      <c r="H595" s="15">
        <v>48991</v>
      </c>
      <c r="I595">
        <f>VLOOKUP(C595,LEAIDs!$A$2:$B$305,2,FALSE)</f>
        <v>0</v>
      </c>
    </row>
    <row r="596" spans="1:9" x14ac:dyDescent="0.2">
      <c r="A596">
        <v>0</v>
      </c>
      <c r="B596" s="2">
        <v>2023</v>
      </c>
      <c r="C596" s="2" t="s">
        <v>94</v>
      </c>
      <c r="D596" s="2" t="s">
        <v>232</v>
      </c>
      <c r="E596" s="2" t="s">
        <v>234</v>
      </c>
      <c r="F596" s="15">
        <v>64230</v>
      </c>
      <c r="G596" s="15">
        <v>2290</v>
      </c>
      <c r="H596" s="15">
        <v>66520</v>
      </c>
      <c r="I596">
        <f>VLOOKUP(C596,LEAIDs!$A$2:$B$305,2,FALSE)</f>
        <v>0</v>
      </c>
    </row>
    <row r="597" spans="1:9" x14ac:dyDescent="0.2">
      <c r="A597">
        <v>0</v>
      </c>
      <c r="B597">
        <v>2015</v>
      </c>
      <c r="C597" t="s">
        <v>85</v>
      </c>
      <c r="D597" t="s">
        <v>232</v>
      </c>
      <c r="E597" t="s">
        <v>234</v>
      </c>
      <c r="F597" s="17">
        <v>110692</v>
      </c>
      <c r="G597" s="17">
        <v>3403</v>
      </c>
      <c r="H597" s="17">
        <v>114095</v>
      </c>
      <c r="I597">
        <f>VLOOKUP(C597,LEAIDs!$A$2:$B$305,2,FALSE)</f>
        <v>0</v>
      </c>
    </row>
    <row r="598" spans="1:9" x14ac:dyDescent="0.2">
      <c r="A598">
        <v>0</v>
      </c>
      <c r="B598">
        <v>2016</v>
      </c>
      <c r="C598" t="s">
        <v>85</v>
      </c>
      <c r="D598" t="s">
        <v>232</v>
      </c>
      <c r="E598" t="s">
        <v>234</v>
      </c>
      <c r="F598" s="17">
        <v>83022</v>
      </c>
      <c r="G598" s="17">
        <v>2738</v>
      </c>
      <c r="H598" s="17">
        <v>85760</v>
      </c>
      <c r="I598">
        <f>VLOOKUP(C598,LEAIDs!$A$2:$B$305,2,FALSE)</f>
        <v>0</v>
      </c>
    </row>
    <row r="599" spans="1:9" x14ac:dyDescent="0.2">
      <c r="A599">
        <v>0</v>
      </c>
      <c r="B599">
        <v>2017</v>
      </c>
      <c r="C599" t="s">
        <v>85</v>
      </c>
      <c r="D599" t="s">
        <v>232</v>
      </c>
      <c r="E599" t="s">
        <v>234</v>
      </c>
      <c r="F599" s="17">
        <v>46754</v>
      </c>
      <c r="G599" s="17">
        <v>1615</v>
      </c>
      <c r="H599" s="17">
        <v>48369</v>
      </c>
      <c r="I599">
        <f>VLOOKUP(C599,LEAIDs!$A$2:$B$305,2,FALSE)</f>
        <v>0</v>
      </c>
    </row>
    <row r="600" spans="1:9" x14ac:dyDescent="0.2">
      <c r="A600">
        <v>0</v>
      </c>
      <c r="B600">
        <v>2018</v>
      </c>
      <c r="C600" t="s">
        <v>85</v>
      </c>
      <c r="D600" t="s">
        <v>232</v>
      </c>
      <c r="E600" t="s">
        <v>234</v>
      </c>
      <c r="F600" s="17">
        <v>33976</v>
      </c>
      <c r="G600" s="17">
        <v>1118</v>
      </c>
      <c r="H600" s="17">
        <v>35094</v>
      </c>
      <c r="I600">
        <f>VLOOKUP(C600,LEAIDs!$A$2:$B$305,2,FALSE)</f>
        <v>0</v>
      </c>
    </row>
    <row r="601" spans="1:9" x14ac:dyDescent="0.2">
      <c r="A601">
        <v>0</v>
      </c>
      <c r="B601">
        <v>2019</v>
      </c>
      <c r="C601" t="s">
        <v>85</v>
      </c>
      <c r="D601" t="s">
        <v>232</v>
      </c>
      <c r="E601" t="s">
        <v>234</v>
      </c>
      <c r="F601" s="17">
        <v>66214</v>
      </c>
      <c r="G601" s="17">
        <v>2222</v>
      </c>
      <c r="H601" s="17">
        <v>68436</v>
      </c>
      <c r="I601">
        <f>VLOOKUP(C601,LEAIDs!$A$2:$B$305,2,FALSE)</f>
        <v>0</v>
      </c>
    </row>
    <row r="602" spans="1:9" x14ac:dyDescent="0.2">
      <c r="A602">
        <v>0</v>
      </c>
      <c r="B602">
        <v>2020</v>
      </c>
      <c r="C602" t="s">
        <v>85</v>
      </c>
      <c r="D602" t="s">
        <v>232</v>
      </c>
      <c r="E602" t="s">
        <v>234</v>
      </c>
      <c r="F602" s="17">
        <v>14661</v>
      </c>
      <c r="G602" s="17">
        <v>517</v>
      </c>
      <c r="H602" s="17">
        <v>15178</v>
      </c>
      <c r="I602">
        <f>VLOOKUP(C602,LEAIDs!$A$2:$B$305,2,FALSE)</f>
        <v>0</v>
      </c>
    </row>
    <row r="603" spans="1:9" x14ac:dyDescent="0.2">
      <c r="A603">
        <v>0</v>
      </c>
      <c r="B603" s="2">
        <v>2021</v>
      </c>
      <c r="C603" s="4" t="s">
        <v>85</v>
      </c>
      <c r="D603" s="2" t="s">
        <v>232</v>
      </c>
      <c r="E603" s="2" t="s">
        <v>234</v>
      </c>
      <c r="F603" s="16">
        <v>15038</v>
      </c>
      <c r="G603" s="16">
        <v>523</v>
      </c>
      <c r="H603" s="15">
        <v>15561</v>
      </c>
      <c r="I603">
        <f>VLOOKUP(C603,LEAIDs!$A$2:$B$305,2,FALSE)</f>
        <v>0</v>
      </c>
    </row>
    <row r="604" spans="1:9" x14ac:dyDescent="0.2">
      <c r="A604">
        <v>0</v>
      </c>
      <c r="B604" s="2">
        <v>2022</v>
      </c>
      <c r="C604" s="4" t="s">
        <v>85</v>
      </c>
      <c r="D604" s="2" t="s">
        <v>232</v>
      </c>
      <c r="E604" s="2" t="s">
        <v>234</v>
      </c>
      <c r="F604" s="16">
        <v>15535</v>
      </c>
      <c r="G604" s="16">
        <v>555</v>
      </c>
      <c r="H604" s="15">
        <v>16090</v>
      </c>
      <c r="I604">
        <f>VLOOKUP(C604,LEAIDs!$A$2:$B$305,2,FALSE)</f>
        <v>0</v>
      </c>
    </row>
    <row r="605" spans="1:9" x14ac:dyDescent="0.2">
      <c r="A605">
        <v>0</v>
      </c>
      <c r="B605" s="2">
        <v>2023</v>
      </c>
      <c r="C605" s="2" t="s">
        <v>85</v>
      </c>
      <c r="D605" s="2" t="s">
        <v>232</v>
      </c>
      <c r="E605" s="2" t="s">
        <v>234</v>
      </c>
      <c r="F605" s="15">
        <v>17331</v>
      </c>
      <c r="G605" s="15">
        <v>618</v>
      </c>
      <c r="H605" s="15">
        <v>17949</v>
      </c>
      <c r="I605">
        <f>VLOOKUP(C605,LEAIDs!$A$2:$B$305,2,FALSE)</f>
        <v>0</v>
      </c>
    </row>
    <row r="606" spans="1:9" x14ac:dyDescent="0.2">
      <c r="A606">
        <v>0</v>
      </c>
      <c r="B606">
        <v>2015</v>
      </c>
      <c r="C606" t="s">
        <v>102</v>
      </c>
      <c r="D606" t="s">
        <v>232</v>
      </c>
      <c r="E606" t="s">
        <v>234</v>
      </c>
      <c r="F606" s="17">
        <v>110461</v>
      </c>
      <c r="G606" s="17">
        <v>3396</v>
      </c>
      <c r="H606" s="17">
        <v>113857</v>
      </c>
      <c r="I606">
        <f>VLOOKUP(C606,LEAIDs!$A$2:$B$305,2,FALSE)</f>
        <v>0</v>
      </c>
    </row>
    <row r="607" spans="1:9" x14ac:dyDescent="0.2">
      <c r="A607">
        <v>0</v>
      </c>
      <c r="B607">
        <v>2016</v>
      </c>
      <c r="C607" t="s">
        <v>102</v>
      </c>
      <c r="D607" t="s">
        <v>232</v>
      </c>
      <c r="E607" t="s">
        <v>234</v>
      </c>
      <c r="F607" s="17">
        <v>81771</v>
      </c>
      <c r="G607" s="17">
        <v>2697</v>
      </c>
      <c r="H607" s="17">
        <v>84468</v>
      </c>
      <c r="I607">
        <f>VLOOKUP(C607,LEAIDs!$A$2:$B$305,2,FALSE)</f>
        <v>0</v>
      </c>
    </row>
    <row r="608" spans="1:9" x14ac:dyDescent="0.2">
      <c r="A608">
        <v>0</v>
      </c>
      <c r="B608">
        <v>2017</v>
      </c>
      <c r="C608" t="s">
        <v>102</v>
      </c>
      <c r="D608" t="s">
        <v>232</v>
      </c>
      <c r="E608" t="s">
        <v>234</v>
      </c>
      <c r="F608" s="17">
        <v>70692</v>
      </c>
      <c r="G608" s="17">
        <v>2442</v>
      </c>
      <c r="H608" s="17">
        <v>73134</v>
      </c>
      <c r="I608">
        <f>VLOOKUP(C608,LEAIDs!$A$2:$B$305,2,FALSE)</f>
        <v>0</v>
      </c>
    </row>
    <row r="609" spans="1:9" x14ac:dyDescent="0.2">
      <c r="A609">
        <v>0</v>
      </c>
      <c r="B609" s="2">
        <v>2021</v>
      </c>
      <c r="C609" s="4" t="s">
        <v>102</v>
      </c>
      <c r="D609" s="2" t="s">
        <v>232</v>
      </c>
      <c r="E609" s="2" t="s">
        <v>234</v>
      </c>
      <c r="F609" s="16">
        <v>47047</v>
      </c>
      <c r="G609" s="16">
        <v>1638</v>
      </c>
      <c r="H609" s="15">
        <v>48685</v>
      </c>
      <c r="I609">
        <f>VLOOKUP(C609,LEAIDs!$A$2:$B$305,2,FALSE)</f>
        <v>0</v>
      </c>
    </row>
    <row r="610" spans="1:9" x14ac:dyDescent="0.2">
      <c r="A610">
        <v>0</v>
      </c>
      <c r="B610" s="2">
        <v>2022</v>
      </c>
      <c r="C610" s="4" t="s">
        <v>102</v>
      </c>
      <c r="D610" s="2" t="s">
        <v>232</v>
      </c>
      <c r="E610" s="2" t="s">
        <v>234</v>
      </c>
      <c r="F610" s="16">
        <v>78257</v>
      </c>
      <c r="G610" s="16">
        <v>2796</v>
      </c>
      <c r="H610" s="15">
        <v>81053</v>
      </c>
      <c r="I610">
        <f>VLOOKUP(C610,LEAIDs!$A$2:$B$305,2,FALSE)</f>
        <v>0</v>
      </c>
    </row>
    <row r="611" spans="1:9" x14ac:dyDescent="0.2">
      <c r="A611">
        <v>0</v>
      </c>
      <c r="B611" s="2">
        <v>2023</v>
      </c>
      <c r="C611" s="2" t="s">
        <v>102</v>
      </c>
      <c r="D611" s="2" t="s">
        <v>232</v>
      </c>
      <c r="E611" s="2" t="s">
        <v>234</v>
      </c>
      <c r="F611" s="15">
        <v>69389</v>
      </c>
      <c r="G611" s="15">
        <v>2474</v>
      </c>
      <c r="H611" s="15">
        <v>71863</v>
      </c>
      <c r="I611">
        <f>VLOOKUP(C611,LEAIDs!$A$2:$B$305,2,FALSE)</f>
        <v>0</v>
      </c>
    </row>
    <row r="612" spans="1:9" x14ac:dyDescent="0.2">
      <c r="A612">
        <v>0</v>
      </c>
      <c r="B612">
        <v>2015</v>
      </c>
      <c r="C612" t="s">
        <v>147</v>
      </c>
      <c r="D612" t="s">
        <v>232</v>
      </c>
      <c r="E612" t="s">
        <v>234</v>
      </c>
      <c r="F612" s="17">
        <v>9764</v>
      </c>
      <c r="G612" s="17">
        <v>300</v>
      </c>
      <c r="H612" s="17">
        <v>10064</v>
      </c>
      <c r="I612">
        <f>VLOOKUP(C612,LEAIDs!$A$2:$B$305,2,FALSE)</f>
        <v>0</v>
      </c>
    </row>
    <row r="613" spans="1:9" x14ac:dyDescent="0.2">
      <c r="A613">
        <v>0</v>
      </c>
      <c r="B613">
        <v>2016</v>
      </c>
      <c r="C613" t="s">
        <v>147</v>
      </c>
      <c r="D613" t="s">
        <v>232</v>
      </c>
      <c r="E613" t="s">
        <v>234</v>
      </c>
      <c r="F613" s="17">
        <v>10618</v>
      </c>
      <c r="G613" s="17">
        <v>350</v>
      </c>
      <c r="H613" s="17">
        <v>10968</v>
      </c>
      <c r="I613">
        <f>VLOOKUP(C613,LEAIDs!$A$2:$B$305,2,FALSE)</f>
        <v>0</v>
      </c>
    </row>
    <row r="614" spans="1:9" x14ac:dyDescent="0.2">
      <c r="A614">
        <v>0</v>
      </c>
      <c r="B614">
        <v>2017</v>
      </c>
      <c r="C614" t="s">
        <v>147</v>
      </c>
      <c r="D614" t="s">
        <v>232</v>
      </c>
      <c r="E614" t="s">
        <v>234</v>
      </c>
      <c r="F614" s="17">
        <v>9932</v>
      </c>
      <c r="G614" s="17">
        <v>343</v>
      </c>
      <c r="H614" s="17">
        <v>10275</v>
      </c>
      <c r="I614">
        <f>VLOOKUP(C614,LEAIDs!$A$2:$B$305,2,FALSE)</f>
        <v>0</v>
      </c>
    </row>
    <row r="615" spans="1:9" x14ac:dyDescent="0.2">
      <c r="A615">
        <v>0</v>
      </c>
      <c r="B615">
        <v>2018</v>
      </c>
      <c r="C615" t="s">
        <v>147</v>
      </c>
      <c r="D615" t="s">
        <v>232</v>
      </c>
      <c r="E615" t="s">
        <v>234</v>
      </c>
      <c r="F615" s="17">
        <v>10384</v>
      </c>
      <c r="G615" s="17">
        <v>342</v>
      </c>
      <c r="H615" s="17">
        <v>10726</v>
      </c>
      <c r="I615">
        <f>VLOOKUP(C615,LEAIDs!$A$2:$B$305,2,FALSE)</f>
        <v>0</v>
      </c>
    </row>
    <row r="616" spans="1:9" x14ac:dyDescent="0.2">
      <c r="A616">
        <v>0</v>
      </c>
      <c r="B616">
        <v>2019</v>
      </c>
      <c r="C616" t="s">
        <v>147</v>
      </c>
      <c r="D616" t="s">
        <v>232</v>
      </c>
      <c r="E616" t="s">
        <v>234</v>
      </c>
      <c r="F616" s="17">
        <v>10711</v>
      </c>
      <c r="G616" s="17">
        <v>359</v>
      </c>
      <c r="H616" s="17">
        <v>11070</v>
      </c>
      <c r="I616">
        <f>VLOOKUP(C616,LEAIDs!$A$2:$B$305,2,FALSE)</f>
        <v>0</v>
      </c>
    </row>
    <row r="617" spans="1:9" x14ac:dyDescent="0.2">
      <c r="A617">
        <v>0</v>
      </c>
      <c r="B617">
        <v>2020</v>
      </c>
      <c r="C617" t="s">
        <v>147</v>
      </c>
      <c r="D617" t="s">
        <v>232</v>
      </c>
      <c r="E617" t="s">
        <v>234</v>
      </c>
      <c r="F617" s="17">
        <v>11580</v>
      </c>
      <c r="G617" s="17">
        <v>409</v>
      </c>
      <c r="H617" s="17">
        <v>11989</v>
      </c>
      <c r="I617">
        <f>VLOOKUP(C617,LEAIDs!$A$2:$B$305,2,FALSE)</f>
        <v>0</v>
      </c>
    </row>
    <row r="618" spans="1:9" x14ac:dyDescent="0.2">
      <c r="A618">
        <v>0</v>
      </c>
      <c r="B618" s="2">
        <v>2021</v>
      </c>
      <c r="C618" s="4" t="s">
        <v>147</v>
      </c>
      <c r="D618" s="2" t="s">
        <v>232</v>
      </c>
      <c r="E618" s="2" t="s">
        <v>234</v>
      </c>
      <c r="F618" s="16">
        <v>11021</v>
      </c>
      <c r="G618" s="16">
        <v>384</v>
      </c>
      <c r="H618" s="15">
        <v>11405</v>
      </c>
      <c r="I618">
        <f>VLOOKUP(C618,LEAIDs!$A$2:$B$305,2,FALSE)</f>
        <v>0</v>
      </c>
    </row>
    <row r="619" spans="1:9" x14ac:dyDescent="0.2">
      <c r="A619">
        <v>0</v>
      </c>
      <c r="B619" s="2">
        <v>2022</v>
      </c>
      <c r="C619" s="4" t="s">
        <v>147</v>
      </c>
      <c r="D619" s="2" t="s">
        <v>232</v>
      </c>
      <c r="E619" s="2" t="s">
        <v>234</v>
      </c>
      <c r="F619" s="16">
        <v>11129</v>
      </c>
      <c r="G619" s="16">
        <v>398</v>
      </c>
      <c r="H619" s="15">
        <v>11527</v>
      </c>
      <c r="I619">
        <f>VLOOKUP(C619,LEAIDs!$A$2:$B$305,2,FALSE)</f>
        <v>0</v>
      </c>
    </row>
    <row r="620" spans="1:9" x14ac:dyDescent="0.2">
      <c r="A620">
        <v>0</v>
      </c>
      <c r="B620" s="2">
        <v>2023</v>
      </c>
      <c r="C620" s="2" t="s">
        <v>147</v>
      </c>
      <c r="D620" s="2" t="s">
        <v>232</v>
      </c>
      <c r="E620" s="2" t="s">
        <v>234</v>
      </c>
      <c r="F620" s="15">
        <v>11158</v>
      </c>
      <c r="G620" s="15">
        <v>398</v>
      </c>
      <c r="H620" s="15">
        <v>11556</v>
      </c>
      <c r="I620">
        <f>VLOOKUP(C620,LEAIDs!$A$2:$B$305,2,FALSE)</f>
        <v>0</v>
      </c>
    </row>
    <row r="621" spans="1:9" x14ac:dyDescent="0.2">
      <c r="A621">
        <v>0</v>
      </c>
      <c r="B621">
        <v>2015</v>
      </c>
      <c r="C621" t="s">
        <v>162</v>
      </c>
      <c r="D621" t="s">
        <v>232</v>
      </c>
      <c r="E621" t="s">
        <v>234</v>
      </c>
      <c r="F621" s="17">
        <v>25567</v>
      </c>
      <c r="G621" s="17">
        <v>786</v>
      </c>
      <c r="H621" s="17">
        <v>26353</v>
      </c>
      <c r="I621">
        <f>VLOOKUP(C621,LEAIDs!$A$2:$B$305,2,FALSE)</f>
        <v>0</v>
      </c>
    </row>
    <row r="622" spans="1:9" x14ac:dyDescent="0.2">
      <c r="A622">
        <v>0</v>
      </c>
      <c r="B622">
        <v>2016</v>
      </c>
      <c r="C622" t="s">
        <v>162</v>
      </c>
      <c r="D622" t="s">
        <v>232</v>
      </c>
      <c r="E622" t="s">
        <v>234</v>
      </c>
      <c r="F622" s="17">
        <v>24212</v>
      </c>
      <c r="G622" s="17">
        <v>799</v>
      </c>
      <c r="H622" s="17">
        <v>25011</v>
      </c>
      <c r="I622">
        <f>VLOOKUP(C622,LEAIDs!$A$2:$B$305,2,FALSE)</f>
        <v>0</v>
      </c>
    </row>
    <row r="623" spans="1:9" x14ac:dyDescent="0.2">
      <c r="A623">
        <v>0</v>
      </c>
      <c r="B623">
        <v>2017</v>
      </c>
      <c r="C623" t="s">
        <v>162</v>
      </c>
      <c r="D623" t="s">
        <v>232</v>
      </c>
      <c r="E623" t="s">
        <v>234</v>
      </c>
      <c r="F623" s="17">
        <v>23355</v>
      </c>
      <c r="G623" s="17">
        <v>807</v>
      </c>
      <c r="H623" s="17">
        <v>24162</v>
      </c>
      <c r="I623">
        <f>VLOOKUP(C623,LEAIDs!$A$2:$B$305,2,FALSE)</f>
        <v>0</v>
      </c>
    </row>
    <row r="624" spans="1:9" x14ac:dyDescent="0.2">
      <c r="A624">
        <v>0</v>
      </c>
      <c r="B624">
        <v>2018</v>
      </c>
      <c r="C624" t="s">
        <v>162</v>
      </c>
      <c r="D624" t="s">
        <v>232</v>
      </c>
      <c r="E624" t="s">
        <v>234</v>
      </c>
      <c r="F624" s="17">
        <v>23856</v>
      </c>
      <c r="G624" s="17">
        <v>785</v>
      </c>
      <c r="H624" s="17">
        <v>24641</v>
      </c>
      <c r="I624">
        <f>VLOOKUP(C624,LEAIDs!$A$2:$B$305,2,FALSE)</f>
        <v>0</v>
      </c>
    </row>
    <row r="625" spans="1:9" x14ac:dyDescent="0.2">
      <c r="A625">
        <v>0</v>
      </c>
      <c r="B625">
        <v>2019</v>
      </c>
      <c r="C625" t="s">
        <v>162</v>
      </c>
      <c r="D625" t="s">
        <v>232</v>
      </c>
      <c r="E625" t="s">
        <v>234</v>
      </c>
      <c r="F625" s="17">
        <v>24818</v>
      </c>
      <c r="G625" s="17">
        <v>833</v>
      </c>
      <c r="H625" s="17">
        <v>25651</v>
      </c>
      <c r="I625">
        <f>VLOOKUP(C625,LEAIDs!$A$2:$B$305,2,FALSE)</f>
        <v>0</v>
      </c>
    </row>
    <row r="626" spans="1:9" x14ac:dyDescent="0.2">
      <c r="A626">
        <v>0</v>
      </c>
      <c r="B626">
        <v>2020</v>
      </c>
      <c r="C626" t="s">
        <v>162</v>
      </c>
      <c r="D626" t="s">
        <v>232</v>
      </c>
      <c r="E626" t="s">
        <v>234</v>
      </c>
      <c r="F626" s="17">
        <v>23906</v>
      </c>
      <c r="G626" s="17">
        <v>844</v>
      </c>
      <c r="H626" s="17">
        <v>24750</v>
      </c>
      <c r="I626">
        <f>VLOOKUP(C626,LEAIDs!$A$2:$B$305,2,FALSE)</f>
        <v>0</v>
      </c>
    </row>
    <row r="627" spans="1:9" x14ac:dyDescent="0.2">
      <c r="A627">
        <v>0</v>
      </c>
      <c r="B627" s="2">
        <v>2021</v>
      </c>
      <c r="C627" s="4" t="s">
        <v>162</v>
      </c>
      <c r="D627" s="2" t="s">
        <v>232</v>
      </c>
      <c r="E627" s="2" t="s">
        <v>234</v>
      </c>
      <c r="F627" s="16">
        <v>24001</v>
      </c>
      <c r="G627" s="16">
        <v>835</v>
      </c>
      <c r="H627" s="15">
        <v>24836</v>
      </c>
      <c r="I627">
        <f>VLOOKUP(C627,LEAIDs!$A$2:$B$305,2,FALSE)</f>
        <v>0</v>
      </c>
    </row>
    <row r="628" spans="1:9" x14ac:dyDescent="0.2">
      <c r="A628">
        <v>0</v>
      </c>
      <c r="B628" s="2">
        <v>2022</v>
      </c>
      <c r="C628" s="4" t="s">
        <v>162</v>
      </c>
      <c r="D628" s="2" t="s">
        <v>232</v>
      </c>
      <c r="E628" s="2" t="s">
        <v>234</v>
      </c>
      <c r="F628" s="16">
        <v>23169</v>
      </c>
      <c r="G628" s="16">
        <v>828</v>
      </c>
      <c r="H628" s="15">
        <v>23997</v>
      </c>
      <c r="I628">
        <f>VLOOKUP(C628,LEAIDs!$A$2:$B$305,2,FALSE)</f>
        <v>0</v>
      </c>
    </row>
    <row r="629" spans="1:9" x14ac:dyDescent="0.2">
      <c r="A629">
        <v>0</v>
      </c>
      <c r="B629" s="2">
        <v>2023</v>
      </c>
      <c r="C629" s="2" t="s">
        <v>162</v>
      </c>
      <c r="D629" s="2" t="s">
        <v>232</v>
      </c>
      <c r="E629" s="2" t="s">
        <v>234</v>
      </c>
      <c r="F629" s="15">
        <v>23383</v>
      </c>
      <c r="G629" s="15">
        <v>834</v>
      </c>
      <c r="H629" s="15">
        <v>24217</v>
      </c>
      <c r="I629">
        <f>VLOOKUP(C629,LEAIDs!$A$2:$B$305,2,FALSE)</f>
        <v>0</v>
      </c>
    </row>
    <row r="630" spans="1:9" x14ac:dyDescent="0.2">
      <c r="A630">
        <v>0</v>
      </c>
      <c r="B630">
        <v>2015</v>
      </c>
      <c r="C630" t="s">
        <v>244</v>
      </c>
      <c r="D630" t="s">
        <v>232</v>
      </c>
      <c r="E630" t="s">
        <v>234</v>
      </c>
      <c r="F630" s="17">
        <v>31934</v>
      </c>
      <c r="G630" s="17">
        <v>982</v>
      </c>
      <c r="H630" s="17">
        <v>32916</v>
      </c>
      <c r="I630">
        <f>VLOOKUP(C630,LEAIDs!$A$2:$B$305,2,FALSE)</f>
        <v>0</v>
      </c>
    </row>
    <row r="631" spans="1:9" x14ac:dyDescent="0.2">
      <c r="A631">
        <v>0</v>
      </c>
      <c r="B631">
        <v>2016</v>
      </c>
      <c r="C631" t="s">
        <v>244</v>
      </c>
      <c r="D631" t="s">
        <v>232</v>
      </c>
      <c r="E631" t="s">
        <v>234</v>
      </c>
      <c r="F631" s="17">
        <v>30430</v>
      </c>
      <c r="G631" s="17">
        <v>1004</v>
      </c>
      <c r="H631" s="17">
        <v>31434</v>
      </c>
      <c r="I631">
        <f>VLOOKUP(C631,LEAIDs!$A$2:$B$305,2,FALSE)</f>
        <v>0</v>
      </c>
    </row>
    <row r="632" spans="1:9" x14ac:dyDescent="0.2">
      <c r="A632">
        <v>0</v>
      </c>
      <c r="B632">
        <v>2017</v>
      </c>
      <c r="C632" t="s">
        <v>244</v>
      </c>
      <c r="D632" t="s">
        <v>232</v>
      </c>
      <c r="E632" t="s">
        <v>234</v>
      </c>
      <c r="F632" s="17">
        <v>14062</v>
      </c>
      <c r="G632" s="17">
        <v>486</v>
      </c>
      <c r="H632" s="17">
        <v>14548</v>
      </c>
      <c r="I632">
        <f>VLOOKUP(C632,LEAIDs!$A$2:$B$305,2,FALSE)</f>
        <v>0</v>
      </c>
    </row>
    <row r="633" spans="1:9" x14ac:dyDescent="0.2">
      <c r="A633">
        <v>0</v>
      </c>
      <c r="B633">
        <v>2018</v>
      </c>
      <c r="C633" t="s">
        <v>244</v>
      </c>
      <c r="D633" t="s">
        <v>232</v>
      </c>
      <c r="E633" t="s">
        <v>234</v>
      </c>
      <c r="F633" s="17">
        <v>14686</v>
      </c>
      <c r="G633" s="17">
        <v>483</v>
      </c>
      <c r="H633" s="17">
        <v>15169</v>
      </c>
      <c r="I633">
        <f>VLOOKUP(C633,LEAIDs!$A$2:$B$305,2,FALSE)</f>
        <v>0</v>
      </c>
    </row>
    <row r="634" spans="1:9" x14ac:dyDescent="0.2">
      <c r="A634">
        <v>0</v>
      </c>
      <c r="B634">
        <v>2019</v>
      </c>
      <c r="C634" t="s">
        <v>244</v>
      </c>
      <c r="D634" t="s">
        <v>232</v>
      </c>
      <c r="E634" t="s">
        <v>234</v>
      </c>
      <c r="F634" s="17">
        <v>15154</v>
      </c>
      <c r="G634" s="17">
        <v>509</v>
      </c>
      <c r="H634" s="17">
        <v>15663</v>
      </c>
      <c r="I634">
        <f>VLOOKUP(C634,LEAIDs!$A$2:$B$305,2,FALSE)</f>
        <v>0</v>
      </c>
    </row>
    <row r="635" spans="1:9" x14ac:dyDescent="0.2">
      <c r="A635">
        <v>0</v>
      </c>
      <c r="B635">
        <v>2020</v>
      </c>
      <c r="C635" t="s">
        <v>244</v>
      </c>
      <c r="D635" t="s">
        <v>232</v>
      </c>
      <c r="E635" t="s">
        <v>234</v>
      </c>
      <c r="F635" s="17">
        <v>15200</v>
      </c>
      <c r="G635" s="17">
        <v>536</v>
      </c>
      <c r="H635" s="17">
        <v>15736</v>
      </c>
      <c r="I635">
        <f>VLOOKUP(C635,LEAIDs!$A$2:$B$305,2,FALSE)</f>
        <v>0</v>
      </c>
    </row>
    <row r="636" spans="1:9" x14ac:dyDescent="0.2">
      <c r="A636">
        <v>0</v>
      </c>
      <c r="B636" s="2">
        <v>2021</v>
      </c>
      <c r="C636" s="4" t="s">
        <v>244</v>
      </c>
      <c r="D636" s="2" t="s">
        <v>232</v>
      </c>
      <c r="E636" s="2" t="s">
        <v>234</v>
      </c>
      <c r="F636" s="16">
        <v>15583</v>
      </c>
      <c r="G636" s="16">
        <v>542</v>
      </c>
      <c r="H636" s="15">
        <v>16125</v>
      </c>
      <c r="I636">
        <f>VLOOKUP(C636,LEAIDs!$A$2:$B$305,2,FALSE)</f>
        <v>0</v>
      </c>
    </row>
    <row r="637" spans="1:9" x14ac:dyDescent="0.2">
      <c r="A637">
        <v>0</v>
      </c>
      <c r="B637" s="2">
        <v>2022</v>
      </c>
      <c r="C637" s="4" t="s">
        <v>244</v>
      </c>
      <c r="D637" s="2" t="s">
        <v>232</v>
      </c>
      <c r="E637" s="2" t="s">
        <v>234</v>
      </c>
      <c r="F637" s="16">
        <v>16206</v>
      </c>
      <c r="G637" s="16">
        <v>579</v>
      </c>
      <c r="H637" s="15">
        <v>16785</v>
      </c>
      <c r="I637">
        <f>VLOOKUP(C637,LEAIDs!$A$2:$B$305,2,FALSE)</f>
        <v>0</v>
      </c>
    </row>
    <row r="638" spans="1:9" x14ac:dyDescent="0.2">
      <c r="A638">
        <v>0</v>
      </c>
      <c r="B638" s="2">
        <v>2022</v>
      </c>
      <c r="C638" s="4" t="s">
        <v>87</v>
      </c>
      <c r="D638" s="2" t="s">
        <v>232</v>
      </c>
      <c r="E638" s="2" t="s">
        <v>234</v>
      </c>
      <c r="F638" s="16">
        <v>65799</v>
      </c>
      <c r="G638" s="16">
        <v>2351</v>
      </c>
      <c r="H638" s="15">
        <v>68150</v>
      </c>
      <c r="I638">
        <f>VLOOKUP(C638,LEAIDs!$A$2:$B$305,2,FALSE)</f>
        <v>0</v>
      </c>
    </row>
    <row r="639" spans="1:9" x14ac:dyDescent="0.2">
      <c r="A639">
        <v>0</v>
      </c>
      <c r="B639" s="2">
        <v>2023</v>
      </c>
      <c r="C639" s="2" t="s">
        <v>87</v>
      </c>
      <c r="D639" s="2" t="s">
        <v>232</v>
      </c>
      <c r="E639" s="2" t="s">
        <v>234</v>
      </c>
      <c r="F639" s="15">
        <v>70642</v>
      </c>
      <c r="G639" s="15">
        <v>2519</v>
      </c>
      <c r="H639" s="15">
        <v>73161</v>
      </c>
      <c r="I639">
        <f>VLOOKUP(C639,LEAIDs!$A$2:$B$305,2,FALSE)</f>
        <v>0</v>
      </c>
    </row>
    <row r="640" spans="1:9" x14ac:dyDescent="0.2">
      <c r="A640">
        <v>0</v>
      </c>
      <c r="B640">
        <v>2015</v>
      </c>
      <c r="C640" t="s">
        <v>131</v>
      </c>
      <c r="D640" t="s">
        <v>232</v>
      </c>
      <c r="E640" t="s">
        <v>234</v>
      </c>
      <c r="F640" s="17">
        <v>40420</v>
      </c>
      <c r="G640" s="17">
        <v>1243</v>
      </c>
      <c r="H640" s="17">
        <v>41663</v>
      </c>
      <c r="I640">
        <f>VLOOKUP(C640,LEAIDs!$A$2:$B$305,2,FALSE)</f>
        <v>0</v>
      </c>
    </row>
    <row r="641" spans="1:9" x14ac:dyDescent="0.2">
      <c r="A641">
        <v>0</v>
      </c>
      <c r="B641">
        <v>2016</v>
      </c>
      <c r="C641" t="s">
        <v>131</v>
      </c>
      <c r="D641" t="s">
        <v>232</v>
      </c>
      <c r="E641" t="s">
        <v>234</v>
      </c>
      <c r="F641" s="17">
        <v>39600</v>
      </c>
      <c r="G641" s="17">
        <v>1306</v>
      </c>
      <c r="H641" s="17">
        <v>40906</v>
      </c>
      <c r="I641">
        <f>VLOOKUP(C641,LEAIDs!$A$2:$B$305,2,FALSE)</f>
        <v>0</v>
      </c>
    </row>
    <row r="642" spans="1:9" x14ac:dyDescent="0.2">
      <c r="A642">
        <v>0</v>
      </c>
      <c r="B642">
        <v>2017</v>
      </c>
      <c r="C642" t="s">
        <v>131</v>
      </c>
      <c r="D642" t="s">
        <v>232</v>
      </c>
      <c r="E642" t="s">
        <v>234</v>
      </c>
      <c r="F642" s="17">
        <v>38393</v>
      </c>
      <c r="G642" s="17">
        <v>1326</v>
      </c>
      <c r="H642" s="17">
        <v>39719</v>
      </c>
      <c r="I642">
        <f>VLOOKUP(C642,LEAIDs!$A$2:$B$305,2,FALSE)</f>
        <v>0</v>
      </c>
    </row>
    <row r="643" spans="1:9" x14ac:dyDescent="0.2">
      <c r="A643">
        <v>0</v>
      </c>
      <c r="B643">
        <v>2018</v>
      </c>
      <c r="C643" t="s">
        <v>131</v>
      </c>
      <c r="D643" t="s">
        <v>232</v>
      </c>
      <c r="E643" t="s">
        <v>234</v>
      </c>
      <c r="F643" s="17">
        <v>15071</v>
      </c>
      <c r="G643" s="17">
        <v>496</v>
      </c>
      <c r="H643" s="17">
        <v>15567</v>
      </c>
      <c r="I643">
        <f>VLOOKUP(C643,LEAIDs!$A$2:$B$305,2,FALSE)</f>
        <v>0</v>
      </c>
    </row>
    <row r="644" spans="1:9" x14ac:dyDescent="0.2">
      <c r="A644">
        <v>0</v>
      </c>
      <c r="B644">
        <v>2019</v>
      </c>
      <c r="C644" t="s">
        <v>131</v>
      </c>
      <c r="D644" t="s">
        <v>232</v>
      </c>
      <c r="E644" t="s">
        <v>234</v>
      </c>
      <c r="F644" s="17">
        <v>15714</v>
      </c>
      <c r="G644" s="17">
        <v>527</v>
      </c>
      <c r="H644" s="17">
        <v>16241</v>
      </c>
      <c r="I644">
        <f>VLOOKUP(C644,LEAIDs!$A$2:$B$305,2,FALSE)</f>
        <v>0</v>
      </c>
    </row>
    <row r="645" spans="1:9" x14ac:dyDescent="0.2">
      <c r="A645">
        <v>0</v>
      </c>
      <c r="B645">
        <v>2020</v>
      </c>
      <c r="C645" t="s">
        <v>131</v>
      </c>
      <c r="D645" t="s">
        <v>232</v>
      </c>
      <c r="E645" t="s">
        <v>234</v>
      </c>
      <c r="F645" s="17">
        <v>14894</v>
      </c>
      <c r="G645" s="17">
        <v>526</v>
      </c>
      <c r="H645" s="17">
        <v>15420</v>
      </c>
      <c r="I645">
        <f>VLOOKUP(C645,LEAIDs!$A$2:$B$305,2,FALSE)</f>
        <v>0</v>
      </c>
    </row>
    <row r="646" spans="1:9" x14ac:dyDescent="0.2">
      <c r="A646">
        <v>0</v>
      </c>
      <c r="B646" s="2">
        <v>2021</v>
      </c>
      <c r="C646" s="4" t="s">
        <v>131</v>
      </c>
      <c r="D646" s="2" t="s">
        <v>232</v>
      </c>
      <c r="E646" s="2" t="s">
        <v>234</v>
      </c>
      <c r="F646" s="16">
        <v>62283</v>
      </c>
      <c r="G646" s="16">
        <v>2168</v>
      </c>
      <c r="H646" s="15">
        <v>64451</v>
      </c>
      <c r="I646">
        <f>VLOOKUP(C646,LEAIDs!$A$2:$B$305,2,FALSE)</f>
        <v>0</v>
      </c>
    </row>
    <row r="647" spans="1:9" x14ac:dyDescent="0.2">
      <c r="A647">
        <v>0</v>
      </c>
      <c r="B647" s="2">
        <v>2022</v>
      </c>
      <c r="C647" s="4" t="s">
        <v>131</v>
      </c>
      <c r="D647" s="2" t="s">
        <v>232</v>
      </c>
      <c r="E647" s="2" t="s">
        <v>234</v>
      </c>
      <c r="F647" s="16">
        <v>65558</v>
      </c>
      <c r="G647" s="16">
        <v>2342</v>
      </c>
      <c r="H647" s="15">
        <v>67900</v>
      </c>
      <c r="I647">
        <f>VLOOKUP(C647,LEAIDs!$A$2:$B$305,2,FALSE)</f>
        <v>0</v>
      </c>
    </row>
    <row r="648" spans="1:9" x14ac:dyDescent="0.2">
      <c r="A648">
        <v>0</v>
      </c>
      <c r="B648" s="2">
        <v>2023</v>
      </c>
      <c r="C648" s="2" t="s">
        <v>131</v>
      </c>
      <c r="D648" s="2" t="s">
        <v>232</v>
      </c>
      <c r="E648" s="2" t="s">
        <v>234</v>
      </c>
      <c r="F648" s="15">
        <v>52005</v>
      </c>
      <c r="G648" s="15">
        <v>1854</v>
      </c>
      <c r="H648" s="15">
        <v>53859</v>
      </c>
      <c r="I648">
        <f>VLOOKUP(C648,LEAIDs!$A$2:$B$305,2,FALSE)</f>
        <v>0</v>
      </c>
    </row>
    <row r="649" spans="1:9" x14ac:dyDescent="0.2">
      <c r="A649">
        <v>0</v>
      </c>
      <c r="B649">
        <v>2015</v>
      </c>
      <c r="C649" t="s">
        <v>306</v>
      </c>
      <c r="D649" t="s">
        <v>232</v>
      </c>
      <c r="E649" t="s">
        <v>234</v>
      </c>
      <c r="F649" s="17">
        <v>22901</v>
      </c>
      <c r="G649" s="17">
        <v>704</v>
      </c>
      <c r="H649" s="17">
        <v>23605</v>
      </c>
      <c r="I649">
        <f>VLOOKUP(C649,LEAIDs!$A$2:$B$305,2,FALSE)</f>
        <v>0</v>
      </c>
    </row>
    <row r="650" spans="1:9" x14ac:dyDescent="0.2">
      <c r="A650">
        <v>0</v>
      </c>
      <c r="B650">
        <v>2015</v>
      </c>
      <c r="C650" t="s">
        <v>96</v>
      </c>
      <c r="D650" t="s">
        <v>232</v>
      </c>
      <c r="E650" t="s">
        <v>234</v>
      </c>
      <c r="F650" s="17">
        <v>50221</v>
      </c>
      <c r="G650" s="17">
        <v>1544</v>
      </c>
      <c r="H650" s="17">
        <v>51765</v>
      </c>
      <c r="I650">
        <f>VLOOKUP(C650,LEAIDs!$A$2:$B$305,2,FALSE)</f>
        <v>0</v>
      </c>
    </row>
    <row r="651" spans="1:9" x14ac:dyDescent="0.2">
      <c r="A651">
        <v>0</v>
      </c>
      <c r="B651">
        <v>2016</v>
      </c>
      <c r="C651" t="s">
        <v>96</v>
      </c>
      <c r="D651" t="s">
        <v>232</v>
      </c>
      <c r="E651" t="s">
        <v>234</v>
      </c>
      <c r="F651" s="17">
        <v>49303</v>
      </c>
      <c r="G651" s="17">
        <v>1626</v>
      </c>
      <c r="H651" s="17">
        <v>50929</v>
      </c>
      <c r="I651">
        <f>VLOOKUP(C651,LEAIDs!$A$2:$B$305,2,FALSE)</f>
        <v>0</v>
      </c>
    </row>
    <row r="652" spans="1:9" x14ac:dyDescent="0.2">
      <c r="A652">
        <v>0</v>
      </c>
      <c r="B652">
        <v>2017</v>
      </c>
      <c r="C652" t="s">
        <v>96</v>
      </c>
      <c r="D652" t="s">
        <v>232</v>
      </c>
      <c r="E652" t="s">
        <v>234</v>
      </c>
      <c r="F652" s="17">
        <v>37641</v>
      </c>
      <c r="G652" s="17">
        <v>1300</v>
      </c>
      <c r="H652" s="17">
        <v>38941</v>
      </c>
      <c r="I652">
        <f>VLOOKUP(C652,LEAIDs!$A$2:$B$305,2,FALSE)</f>
        <v>0</v>
      </c>
    </row>
    <row r="653" spans="1:9" x14ac:dyDescent="0.2">
      <c r="A653">
        <v>0</v>
      </c>
      <c r="B653">
        <v>2018</v>
      </c>
      <c r="C653" t="s">
        <v>96</v>
      </c>
      <c r="D653" t="s">
        <v>232</v>
      </c>
      <c r="E653" t="s">
        <v>234</v>
      </c>
      <c r="F653" s="17">
        <v>40009</v>
      </c>
      <c r="G653" s="17">
        <v>1317</v>
      </c>
      <c r="H653" s="17">
        <v>41326</v>
      </c>
      <c r="I653">
        <f>VLOOKUP(C653,LEAIDs!$A$2:$B$305,2,FALSE)</f>
        <v>0</v>
      </c>
    </row>
    <row r="654" spans="1:9" x14ac:dyDescent="0.2">
      <c r="A654">
        <v>0</v>
      </c>
      <c r="B654">
        <v>2019</v>
      </c>
      <c r="C654" t="s">
        <v>96</v>
      </c>
      <c r="D654" t="s">
        <v>232</v>
      </c>
      <c r="E654" t="s">
        <v>234</v>
      </c>
      <c r="F654" s="17">
        <v>7279</v>
      </c>
      <c r="G654" s="17">
        <v>244</v>
      </c>
      <c r="H654" s="17">
        <v>7523</v>
      </c>
      <c r="I654">
        <f>VLOOKUP(C654,LEAIDs!$A$2:$B$305,2,FALSE)</f>
        <v>0</v>
      </c>
    </row>
    <row r="655" spans="1:9" x14ac:dyDescent="0.2">
      <c r="A655">
        <v>0</v>
      </c>
      <c r="B655">
        <v>2020</v>
      </c>
      <c r="C655" t="s">
        <v>96</v>
      </c>
      <c r="D655" t="s">
        <v>232</v>
      </c>
      <c r="E655" t="s">
        <v>234</v>
      </c>
      <c r="F655" s="17">
        <v>7300</v>
      </c>
      <c r="G655" s="17">
        <v>258</v>
      </c>
      <c r="H655" s="17">
        <v>7558</v>
      </c>
      <c r="I655">
        <f>VLOOKUP(C655,LEAIDs!$A$2:$B$305,2,FALSE)</f>
        <v>0</v>
      </c>
    </row>
    <row r="656" spans="1:9" x14ac:dyDescent="0.2">
      <c r="A656">
        <v>0</v>
      </c>
      <c r="B656" s="2">
        <v>2021</v>
      </c>
      <c r="C656" s="4" t="s">
        <v>96</v>
      </c>
      <c r="D656" s="2" t="s">
        <v>232</v>
      </c>
      <c r="E656" s="2" t="s">
        <v>234</v>
      </c>
      <c r="F656" s="16">
        <v>7413</v>
      </c>
      <c r="G656" s="16">
        <v>258</v>
      </c>
      <c r="H656" s="15">
        <v>7671</v>
      </c>
      <c r="I656">
        <f>VLOOKUP(C656,LEAIDs!$A$2:$B$305,2,FALSE)</f>
        <v>0</v>
      </c>
    </row>
    <row r="657" spans="1:9" x14ac:dyDescent="0.2">
      <c r="A657">
        <v>0</v>
      </c>
      <c r="B657" s="2">
        <v>2022</v>
      </c>
      <c r="C657" s="4" t="s">
        <v>96</v>
      </c>
      <c r="D657" s="2" t="s">
        <v>232</v>
      </c>
      <c r="E657" s="2" t="s">
        <v>234</v>
      </c>
      <c r="F657" s="16">
        <v>7521</v>
      </c>
      <c r="G657" s="16">
        <v>269</v>
      </c>
      <c r="H657" s="15">
        <v>7790</v>
      </c>
      <c r="I657">
        <f>VLOOKUP(C657,LEAIDs!$A$2:$B$305,2,FALSE)</f>
        <v>0</v>
      </c>
    </row>
    <row r="658" spans="1:9" x14ac:dyDescent="0.2">
      <c r="A658">
        <v>0</v>
      </c>
      <c r="B658" s="2">
        <v>2023</v>
      </c>
      <c r="C658" s="2" t="s">
        <v>96</v>
      </c>
      <c r="D658" s="2" t="s">
        <v>232</v>
      </c>
      <c r="E658" s="2" t="s">
        <v>234</v>
      </c>
      <c r="F658" s="15">
        <v>12318</v>
      </c>
      <c r="G658" s="15">
        <v>439</v>
      </c>
      <c r="H658" s="15">
        <v>12757</v>
      </c>
      <c r="I658">
        <f>VLOOKUP(C658,LEAIDs!$A$2:$B$305,2,FALSE)</f>
        <v>0</v>
      </c>
    </row>
    <row r="659" spans="1:9" x14ac:dyDescent="0.2">
      <c r="A659">
        <v>0</v>
      </c>
      <c r="B659">
        <v>2015</v>
      </c>
      <c r="C659" t="s">
        <v>68</v>
      </c>
      <c r="D659" t="s">
        <v>232</v>
      </c>
      <c r="E659" t="s">
        <v>234</v>
      </c>
      <c r="F659" s="17">
        <v>86077244</v>
      </c>
      <c r="G659" s="17">
        <v>2646064</v>
      </c>
      <c r="H659" s="17">
        <v>88723308</v>
      </c>
      <c r="I659">
        <f>VLOOKUP(C659,LEAIDs!$A$2:$B$305,2,FALSE)</f>
        <v>0</v>
      </c>
    </row>
    <row r="660" spans="1:9" x14ac:dyDescent="0.2">
      <c r="A660">
        <v>0</v>
      </c>
      <c r="B660">
        <v>2016</v>
      </c>
      <c r="C660" t="s">
        <v>68</v>
      </c>
      <c r="D660" t="s">
        <v>232</v>
      </c>
      <c r="E660" t="s">
        <v>234</v>
      </c>
      <c r="F660" s="17">
        <v>81132546</v>
      </c>
      <c r="G660" s="17">
        <v>2676154</v>
      </c>
      <c r="H660" s="17">
        <v>83808700</v>
      </c>
      <c r="I660">
        <f>VLOOKUP(C660,LEAIDs!$A$2:$B$305,2,FALSE)</f>
        <v>0</v>
      </c>
    </row>
    <row r="661" spans="1:9" x14ac:dyDescent="0.2">
      <c r="A661">
        <v>0</v>
      </c>
      <c r="B661">
        <v>2017</v>
      </c>
      <c r="C661" t="s">
        <v>68</v>
      </c>
      <c r="D661" t="s">
        <v>232</v>
      </c>
      <c r="E661" t="s">
        <v>234</v>
      </c>
      <c r="F661" s="17">
        <v>83339579</v>
      </c>
      <c r="G661" s="17">
        <v>2878512</v>
      </c>
      <c r="H661" s="17">
        <v>86218091</v>
      </c>
      <c r="I661">
        <f>VLOOKUP(C661,LEAIDs!$A$2:$B$305,2,FALSE)</f>
        <v>0</v>
      </c>
    </row>
    <row r="662" spans="1:9" x14ac:dyDescent="0.2">
      <c r="A662">
        <v>0</v>
      </c>
      <c r="B662">
        <v>2018</v>
      </c>
      <c r="C662" t="s">
        <v>68</v>
      </c>
      <c r="D662" t="s">
        <v>232</v>
      </c>
      <c r="E662" t="s">
        <v>234</v>
      </c>
      <c r="F662" s="17">
        <v>71285114</v>
      </c>
      <c r="G662" s="17">
        <v>2345881</v>
      </c>
      <c r="H662" s="17">
        <v>73630995</v>
      </c>
      <c r="I662">
        <f>VLOOKUP(C662,LEAIDs!$A$2:$B$305,2,FALSE)</f>
        <v>0</v>
      </c>
    </row>
    <row r="663" spans="1:9" x14ac:dyDescent="0.2">
      <c r="A663">
        <v>0</v>
      </c>
      <c r="B663">
        <v>2018</v>
      </c>
      <c r="C663" t="s">
        <v>68</v>
      </c>
      <c r="D663" t="s">
        <v>232</v>
      </c>
      <c r="E663" t="s">
        <v>234</v>
      </c>
      <c r="F663" s="17">
        <v>18819097</v>
      </c>
      <c r="G663" s="17">
        <v>619307</v>
      </c>
      <c r="H663" s="17">
        <v>19438404</v>
      </c>
      <c r="I663">
        <f>VLOOKUP(C663,LEAIDs!$A$2:$B$305,2,FALSE)</f>
        <v>0</v>
      </c>
    </row>
    <row r="664" spans="1:9" x14ac:dyDescent="0.2">
      <c r="A664">
        <v>0</v>
      </c>
      <c r="B664">
        <v>2019</v>
      </c>
      <c r="C664" t="s">
        <v>68</v>
      </c>
      <c r="D664" t="s">
        <v>232</v>
      </c>
      <c r="E664" t="s">
        <v>234</v>
      </c>
      <c r="F664" s="17">
        <v>77635739</v>
      </c>
      <c r="G664" s="17">
        <v>2605579</v>
      </c>
      <c r="H664" s="17">
        <v>80241318</v>
      </c>
      <c r="I664">
        <f>VLOOKUP(C664,LEAIDs!$A$2:$B$305,2,FALSE)</f>
        <v>0</v>
      </c>
    </row>
    <row r="665" spans="1:9" x14ac:dyDescent="0.2">
      <c r="A665">
        <v>0</v>
      </c>
      <c r="B665">
        <v>2019</v>
      </c>
      <c r="C665" t="s">
        <v>68</v>
      </c>
      <c r="D665" t="s">
        <v>232</v>
      </c>
      <c r="E665" t="s">
        <v>234</v>
      </c>
      <c r="F665" s="17">
        <v>19974373</v>
      </c>
      <c r="G665" s="17">
        <v>670372</v>
      </c>
      <c r="H665" s="17">
        <v>20644745</v>
      </c>
      <c r="I665">
        <f>VLOOKUP(C665,LEAIDs!$A$2:$B$305,2,FALSE)</f>
        <v>0</v>
      </c>
    </row>
    <row r="666" spans="1:9" x14ac:dyDescent="0.2">
      <c r="A666">
        <v>0</v>
      </c>
      <c r="B666">
        <v>2020</v>
      </c>
      <c r="C666" t="s">
        <v>68</v>
      </c>
      <c r="D666" t="s">
        <v>232</v>
      </c>
      <c r="E666" t="s">
        <v>234</v>
      </c>
      <c r="F666" s="17">
        <v>76453826</v>
      </c>
      <c r="G666" s="17">
        <v>2697939</v>
      </c>
      <c r="H666" s="17">
        <v>79151765</v>
      </c>
      <c r="I666">
        <f>VLOOKUP(C666,LEAIDs!$A$2:$B$305,2,FALSE)</f>
        <v>0</v>
      </c>
    </row>
    <row r="667" spans="1:9" x14ac:dyDescent="0.2">
      <c r="A667">
        <v>0</v>
      </c>
      <c r="B667">
        <v>2020</v>
      </c>
      <c r="C667" t="s">
        <v>68</v>
      </c>
      <c r="D667" t="s">
        <v>232</v>
      </c>
      <c r="E667" t="s">
        <v>234</v>
      </c>
      <c r="F667" s="17">
        <v>19370635</v>
      </c>
      <c r="G667" s="17">
        <v>683560</v>
      </c>
      <c r="H667" s="17">
        <v>20054195</v>
      </c>
      <c r="I667">
        <f>VLOOKUP(C667,LEAIDs!$A$2:$B$305,2,FALSE)</f>
        <v>0</v>
      </c>
    </row>
    <row r="668" spans="1:9" x14ac:dyDescent="0.2">
      <c r="A668">
        <v>0</v>
      </c>
      <c r="B668" s="2">
        <v>2021</v>
      </c>
      <c r="C668" s="4" t="s">
        <v>68</v>
      </c>
      <c r="D668" s="2" t="s">
        <v>232</v>
      </c>
      <c r="E668" s="2" t="s">
        <v>234</v>
      </c>
      <c r="F668" s="16">
        <v>77570005</v>
      </c>
      <c r="G668" s="16">
        <v>2700005</v>
      </c>
      <c r="H668" s="15">
        <v>80270010</v>
      </c>
      <c r="I668">
        <f>VLOOKUP(C668,LEAIDs!$A$2:$B$305,2,FALSE)</f>
        <v>0</v>
      </c>
    </row>
    <row r="669" spans="1:9" x14ac:dyDescent="0.2">
      <c r="A669">
        <v>0</v>
      </c>
      <c r="B669" s="2">
        <v>2021</v>
      </c>
      <c r="C669" s="4" t="s">
        <v>68</v>
      </c>
      <c r="D669" s="2" t="s">
        <v>232</v>
      </c>
      <c r="E669" s="2" t="s">
        <v>234</v>
      </c>
      <c r="F669" s="16">
        <v>19469642</v>
      </c>
      <c r="G669" s="16">
        <v>677686</v>
      </c>
      <c r="H669" s="15">
        <v>20147328</v>
      </c>
      <c r="I669">
        <f>VLOOKUP(C669,LEAIDs!$A$2:$B$305,2,FALSE)</f>
        <v>0</v>
      </c>
    </row>
    <row r="670" spans="1:9" x14ac:dyDescent="0.2">
      <c r="A670">
        <v>0</v>
      </c>
      <c r="B670" s="2">
        <v>2022</v>
      </c>
      <c r="C670" s="4" t="s">
        <v>68</v>
      </c>
      <c r="D670" s="2" t="s">
        <v>232</v>
      </c>
      <c r="E670" s="2" t="s">
        <v>234</v>
      </c>
      <c r="F670" s="16">
        <v>100821742</v>
      </c>
      <c r="G670" s="16">
        <v>3602120</v>
      </c>
      <c r="H670" s="15">
        <v>104423862</v>
      </c>
      <c r="I670">
        <f>VLOOKUP(C670,LEAIDs!$A$2:$B$305,2,FALSE)</f>
        <v>0</v>
      </c>
    </row>
    <row r="671" spans="1:9" x14ac:dyDescent="0.2">
      <c r="A671">
        <v>0</v>
      </c>
      <c r="B671" s="2">
        <v>2023</v>
      </c>
      <c r="C671" s="2" t="s">
        <v>68</v>
      </c>
      <c r="D671" s="2" t="s">
        <v>232</v>
      </c>
      <c r="E671" s="2" t="s">
        <v>234</v>
      </c>
      <c r="F671" s="15">
        <v>106296808</v>
      </c>
      <c r="G671" s="15">
        <v>3789655</v>
      </c>
      <c r="H671" s="15">
        <v>110086463</v>
      </c>
      <c r="I671">
        <f>VLOOKUP(C671,LEAIDs!$A$2:$B$305,2,FALSE)</f>
        <v>0</v>
      </c>
    </row>
    <row r="672" spans="1:9" x14ac:dyDescent="0.2">
      <c r="A672">
        <v>0</v>
      </c>
      <c r="B672">
        <v>2018</v>
      </c>
      <c r="C672" t="s">
        <v>267</v>
      </c>
      <c r="D672" t="s">
        <v>232</v>
      </c>
      <c r="E672" t="s">
        <v>234</v>
      </c>
      <c r="F672" s="17">
        <v>264174</v>
      </c>
      <c r="G672" s="17">
        <v>8694</v>
      </c>
      <c r="H672" s="17">
        <v>272868</v>
      </c>
      <c r="I672">
        <f>VLOOKUP(C672,LEAIDs!$A$2:$B$305,2,FALSE)</f>
        <v>0</v>
      </c>
    </row>
    <row r="673" spans="1:9" x14ac:dyDescent="0.2">
      <c r="A673">
        <v>0</v>
      </c>
      <c r="B673">
        <v>2019</v>
      </c>
      <c r="C673" t="s">
        <v>267</v>
      </c>
      <c r="D673" t="s">
        <v>232</v>
      </c>
      <c r="E673" t="s">
        <v>234</v>
      </c>
      <c r="F673" s="17">
        <v>233209</v>
      </c>
      <c r="G673" s="17">
        <v>7827</v>
      </c>
      <c r="H673" s="17">
        <v>241036</v>
      </c>
      <c r="I673">
        <f>VLOOKUP(C673,LEAIDs!$A$2:$B$305,2,FALSE)</f>
        <v>0</v>
      </c>
    </row>
    <row r="674" spans="1:9" x14ac:dyDescent="0.2">
      <c r="A674">
        <v>0</v>
      </c>
      <c r="B674">
        <v>2020</v>
      </c>
      <c r="C674" t="s">
        <v>267</v>
      </c>
      <c r="D674" t="s">
        <v>232</v>
      </c>
      <c r="E674" t="s">
        <v>234</v>
      </c>
      <c r="F674" s="17">
        <v>194891</v>
      </c>
      <c r="G674" s="17">
        <v>6877</v>
      </c>
      <c r="H674" s="17">
        <v>201768</v>
      </c>
      <c r="I674">
        <f>VLOOKUP(C674,LEAIDs!$A$2:$B$305,2,FALSE)</f>
        <v>0</v>
      </c>
    </row>
    <row r="675" spans="1:9" x14ac:dyDescent="0.2">
      <c r="A675">
        <v>0</v>
      </c>
      <c r="B675" s="2">
        <v>2021</v>
      </c>
      <c r="C675" s="4" t="s">
        <v>267</v>
      </c>
      <c r="D675" s="2" t="s">
        <v>232</v>
      </c>
      <c r="E675" s="2" t="s">
        <v>234</v>
      </c>
      <c r="F675" s="16">
        <v>181072</v>
      </c>
      <c r="G675" s="16">
        <v>6303</v>
      </c>
      <c r="H675" s="15">
        <v>187375</v>
      </c>
      <c r="I675">
        <f>VLOOKUP(C675,LEAIDs!$A$2:$B$305,2,FALSE)</f>
        <v>0</v>
      </c>
    </row>
    <row r="676" spans="1:9" x14ac:dyDescent="0.2">
      <c r="A676">
        <v>0</v>
      </c>
      <c r="B676">
        <v>2015</v>
      </c>
      <c r="C676" t="s">
        <v>289</v>
      </c>
      <c r="D676" t="s">
        <v>232</v>
      </c>
      <c r="E676" t="s">
        <v>234</v>
      </c>
      <c r="F676" s="17">
        <v>3327142</v>
      </c>
      <c r="G676" s="17">
        <v>102278</v>
      </c>
      <c r="H676" s="17">
        <v>3429420</v>
      </c>
      <c r="I676">
        <f>VLOOKUP(C676,LEAIDs!$A$2:$B$305,2,FALSE)</f>
        <v>0</v>
      </c>
    </row>
    <row r="677" spans="1:9" x14ac:dyDescent="0.2">
      <c r="A677">
        <v>0</v>
      </c>
      <c r="B677">
        <v>2016</v>
      </c>
      <c r="C677" t="s">
        <v>289</v>
      </c>
      <c r="D677" t="s">
        <v>232</v>
      </c>
      <c r="E677" t="s">
        <v>234</v>
      </c>
      <c r="F677" s="17">
        <v>1710417</v>
      </c>
      <c r="G677" s="17">
        <v>56418</v>
      </c>
      <c r="H677" s="17">
        <v>1766835</v>
      </c>
      <c r="I677">
        <f>VLOOKUP(C677,LEAIDs!$A$2:$B$305,2,FALSE)</f>
        <v>0</v>
      </c>
    </row>
    <row r="678" spans="1:9" x14ac:dyDescent="0.2">
      <c r="A678">
        <v>0</v>
      </c>
      <c r="B678">
        <v>2017</v>
      </c>
      <c r="C678" t="s">
        <v>289</v>
      </c>
      <c r="D678" t="s">
        <v>232</v>
      </c>
      <c r="E678" t="s">
        <v>234</v>
      </c>
      <c r="F678" s="17">
        <v>41300</v>
      </c>
      <c r="G678" s="17">
        <v>1426</v>
      </c>
      <c r="H678" s="17">
        <v>42726</v>
      </c>
      <c r="I678">
        <f>VLOOKUP(C678,LEAIDs!$A$2:$B$305,2,FALSE)</f>
        <v>0</v>
      </c>
    </row>
    <row r="679" spans="1:9" x14ac:dyDescent="0.2">
      <c r="A679">
        <v>0</v>
      </c>
      <c r="B679">
        <v>2015</v>
      </c>
      <c r="C679" t="s">
        <v>66</v>
      </c>
      <c r="D679" t="s">
        <v>232</v>
      </c>
      <c r="E679" t="s">
        <v>234</v>
      </c>
      <c r="F679" s="17">
        <v>10703760</v>
      </c>
      <c r="G679" s="17">
        <v>329040</v>
      </c>
      <c r="H679" s="17">
        <v>11032800</v>
      </c>
      <c r="I679">
        <f>VLOOKUP(C679,LEAIDs!$A$2:$B$305,2,FALSE)</f>
        <v>0</v>
      </c>
    </row>
    <row r="680" spans="1:9" x14ac:dyDescent="0.2">
      <c r="A680">
        <v>0</v>
      </c>
      <c r="B680">
        <v>2016</v>
      </c>
      <c r="C680" t="s">
        <v>66</v>
      </c>
      <c r="D680" t="s">
        <v>232</v>
      </c>
      <c r="E680" t="s">
        <v>234</v>
      </c>
      <c r="F680" s="17">
        <v>10303386</v>
      </c>
      <c r="G680" s="17">
        <v>339857</v>
      </c>
      <c r="H680" s="17">
        <v>10643243</v>
      </c>
      <c r="I680">
        <f>VLOOKUP(C680,LEAIDs!$A$2:$B$305,2,FALSE)</f>
        <v>0</v>
      </c>
    </row>
    <row r="681" spans="1:9" x14ac:dyDescent="0.2">
      <c r="A681">
        <v>0</v>
      </c>
      <c r="B681">
        <v>2017</v>
      </c>
      <c r="C681" t="s">
        <v>66</v>
      </c>
      <c r="D681" t="s">
        <v>232</v>
      </c>
      <c r="E681" t="s">
        <v>234</v>
      </c>
      <c r="F681" s="17">
        <v>10376724</v>
      </c>
      <c r="G681" s="17">
        <v>358407</v>
      </c>
      <c r="H681" s="17">
        <v>10735131</v>
      </c>
      <c r="I681">
        <f>VLOOKUP(C681,LEAIDs!$A$2:$B$305,2,FALSE)</f>
        <v>0</v>
      </c>
    </row>
    <row r="682" spans="1:9" x14ac:dyDescent="0.2">
      <c r="A682">
        <v>0</v>
      </c>
      <c r="B682">
        <v>2018</v>
      </c>
      <c r="C682" t="s">
        <v>66</v>
      </c>
      <c r="D682" t="s">
        <v>232</v>
      </c>
      <c r="E682" t="s">
        <v>234</v>
      </c>
      <c r="F682" s="17">
        <v>11573569</v>
      </c>
      <c r="G682" s="17">
        <v>380868</v>
      </c>
      <c r="H682" s="17">
        <v>11954437</v>
      </c>
      <c r="I682">
        <f>VLOOKUP(C682,LEAIDs!$A$2:$B$305,2,FALSE)</f>
        <v>0</v>
      </c>
    </row>
    <row r="683" spans="1:9" x14ac:dyDescent="0.2">
      <c r="A683">
        <v>0</v>
      </c>
      <c r="B683">
        <v>2019</v>
      </c>
      <c r="C683" t="s">
        <v>66</v>
      </c>
      <c r="D683" t="s">
        <v>232</v>
      </c>
      <c r="E683" t="s">
        <v>234</v>
      </c>
      <c r="F683" s="17">
        <v>12584123</v>
      </c>
      <c r="G683" s="17">
        <v>422343</v>
      </c>
      <c r="H683" s="17">
        <v>13006466</v>
      </c>
      <c r="I683">
        <f>VLOOKUP(C683,LEAIDs!$A$2:$B$305,2,FALSE)</f>
        <v>0</v>
      </c>
    </row>
    <row r="684" spans="1:9" x14ac:dyDescent="0.2">
      <c r="A684">
        <v>0</v>
      </c>
      <c r="B684">
        <v>2020</v>
      </c>
      <c r="C684" t="s">
        <v>66</v>
      </c>
      <c r="D684" t="s">
        <v>232</v>
      </c>
      <c r="E684" t="s">
        <v>234</v>
      </c>
      <c r="F684" s="17">
        <v>12290910</v>
      </c>
      <c r="G684" s="17">
        <v>433727</v>
      </c>
      <c r="H684" s="17">
        <v>12724637</v>
      </c>
      <c r="I684">
        <f>VLOOKUP(C684,LEAIDs!$A$2:$B$305,2,FALSE)</f>
        <v>0</v>
      </c>
    </row>
    <row r="685" spans="1:9" x14ac:dyDescent="0.2">
      <c r="A685">
        <v>0</v>
      </c>
      <c r="B685" s="2">
        <v>2021</v>
      </c>
      <c r="C685" s="4" t="s">
        <v>66</v>
      </c>
      <c r="D685" s="2" t="s">
        <v>232</v>
      </c>
      <c r="E685" s="2" t="s">
        <v>234</v>
      </c>
      <c r="F685" s="16">
        <v>12378786</v>
      </c>
      <c r="G685" s="16">
        <v>430873</v>
      </c>
      <c r="H685" s="15">
        <v>12809659</v>
      </c>
      <c r="I685">
        <f>VLOOKUP(C685,LEAIDs!$A$2:$B$305,2,FALSE)</f>
        <v>0</v>
      </c>
    </row>
    <row r="686" spans="1:9" x14ac:dyDescent="0.2">
      <c r="A686">
        <v>0</v>
      </c>
      <c r="B686" s="2">
        <v>2022</v>
      </c>
      <c r="C686" s="4" t="s">
        <v>66</v>
      </c>
      <c r="D686" s="2" t="s">
        <v>232</v>
      </c>
      <c r="E686" s="2" t="s">
        <v>234</v>
      </c>
      <c r="F686" s="16">
        <v>11893025</v>
      </c>
      <c r="G686" s="16">
        <v>424909</v>
      </c>
      <c r="H686" s="15">
        <v>12317934</v>
      </c>
      <c r="I686">
        <f>VLOOKUP(C686,LEAIDs!$A$2:$B$305,2,FALSE)</f>
        <v>0</v>
      </c>
    </row>
    <row r="687" spans="1:9" x14ac:dyDescent="0.2">
      <c r="A687">
        <v>0</v>
      </c>
      <c r="B687" s="2">
        <v>2023</v>
      </c>
      <c r="C687" s="2" t="s">
        <v>66</v>
      </c>
      <c r="D687" s="2" t="s">
        <v>232</v>
      </c>
      <c r="E687" s="2" t="s">
        <v>234</v>
      </c>
      <c r="F687" s="15">
        <v>13022655</v>
      </c>
      <c r="G687" s="15">
        <v>464279</v>
      </c>
      <c r="H687" s="15">
        <v>13486934</v>
      </c>
      <c r="I687">
        <f>VLOOKUP(C687,LEAIDs!$A$2:$B$305,2,FALSE)</f>
        <v>0</v>
      </c>
    </row>
    <row r="688" spans="1:9" x14ac:dyDescent="0.2">
      <c r="A688">
        <v>0</v>
      </c>
      <c r="B688">
        <v>2015</v>
      </c>
      <c r="C688" t="s">
        <v>209</v>
      </c>
      <c r="D688" t="s">
        <v>232</v>
      </c>
      <c r="E688" t="s">
        <v>234</v>
      </c>
      <c r="F688" s="17">
        <v>42684</v>
      </c>
      <c r="G688" s="17">
        <v>1312</v>
      </c>
      <c r="H688" s="17">
        <v>43996</v>
      </c>
      <c r="I688">
        <f>VLOOKUP(C688,LEAIDs!$A$2:$B$305,2,FALSE)</f>
        <v>0</v>
      </c>
    </row>
    <row r="689" spans="1:9" x14ac:dyDescent="0.2">
      <c r="A689">
        <v>0</v>
      </c>
      <c r="B689">
        <v>2016</v>
      </c>
      <c r="C689" t="s">
        <v>209</v>
      </c>
      <c r="D689" t="s">
        <v>232</v>
      </c>
      <c r="E689" t="s">
        <v>234</v>
      </c>
      <c r="F689" s="17">
        <v>40527</v>
      </c>
      <c r="G689" s="17">
        <v>1337</v>
      </c>
      <c r="H689" s="17">
        <v>41864</v>
      </c>
      <c r="I689">
        <f>VLOOKUP(C689,LEAIDs!$A$2:$B$305,2,FALSE)</f>
        <v>0</v>
      </c>
    </row>
    <row r="690" spans="1:9" x14ac:dyDescent="0.2">
      <c r="A690">
        <v>0</v>
      </c>
      <c r="B690">
        <v>2017</v>
      </c>
      <c r="C690" t="s">
        <v>209</v>
      </c>
      <c r="D690" t="s">
        <v>232</v>
      </c>
      <c r="E690" t="s">
        <v>234</v>
      </c>
      <c r="F690" s="17">
        <v>38270</v>
      </c>
      <c r="G690" s="17">
        <v>1322</v>
      </c>
      <c r="H690" s="17">
        <v>39592</v>
      </c>
      <c r="I690">
        <f>VLOOKUP(C690,LEAIDs!$A$2:$B$305,2,FALSE)</f>
        <v>0</v>
      </c>
    </row>
    <row r="691" spans="1:9" x14ac:dyDescent="0.2">
      <c r="A691">
        <v>0</v>
      </c>
      <c r="B691">
        <v>2018</v>
      </c>
      <c r="C691" t="s">
        <v>209</v>
      </c>
      <c r="D691" t="s">
        <v>232</v>
      </c>
      <c r="E691" t="s">
        <v>234</v>
      </c>
      <c r="F691" s="17">
        <v>34264</v>
      </c>
      <c r="G691" s="17">
        <v>1128</v>
      </c>
      <c r="H691" s="17">
        <v>35392</v>
      </c>
      <c r="I691">
        <f>VLOOKUP(C691,LEAIDs!$A$2:$B$305,2,FALSE)</f>
        <v>0</v>
      </c>
    </row>
    <row r="692" spans="1:9" x14ac:dyDescent="0.2">
      <c r="A692">
        <v>0</v>
      </c>
      <c r="B692">
        <v>2019</v>
      </c>
      <c r="C692" t="s">
        <v>209</v>
      </c>
      <c r="D692" t="s">
        <v>232</v>
      </c>
      <c r="E692" t="s">
        <v>234</v>
      </c>
      <c r="F692" s="17">
        <v>79895</v>
      </c>
      <c r="G692" s="17">
        <v>2681</v>
      </c>
      <c r="H692" s="17">
        <v>82576</v>
      </c>
      <c r="I692">
        <f>VLOOKUP(C692,LEAIDs!$A$2:$B$305,2,FALSE)</f>
        <v>0</v>
      </c>
    </row>
    <row r="693" spans="1:9" x14ac:dyDescent="0.2">
      <c r="A693">
        <v>0</v>
      </c>
      <c r="B693">
        <v>2020</v>
      </c>
      <c r="C693" t="s">
        <v>209</v>
      </c>
      <c r="D693" t="s">
        <v>232</v>
      </c>
      <c r="E693" t="s">
        <v>234</v>
      </c>
      <c r="F693" s="17">
        <v>113562</v>
      </c>
      <c r="G693" s="17">
        <v>4007</v>
      </c>
      <c r="H693" s="17">
        <v>117569</v>
      </c>
      <c r="I693">
        <f>VLOOKUP(C693,LEAIDs!$A$2:$B$305,2,FALSE)</f>
        <v>0</v>
      </c>
    </row>
    <row r="694" spans="1:9" x14ac:dyDescent="0.2">
      <c r="A694">
        <v>0</v>
      </c>
      <c r="B694" s="2">
        <v>2021</v>
      </c>
      <c r="C694" s="4" t="s">
        <v>209</v>
      </c>
      <c r="D694" s="2" t="s">
        <v>232</v>
      </c>
      <c r="E694" s="2" t="s">
        <v>234</v>
      </c>
      <c r="F694" s="16">
        <v>142616</v>
      </c>
      <c r="G694" s="16">
        <v>4964</v>
      </c>
      <c r="H694" s="15">
        <v>147580</v>
      </c>
      <c r="I694">
        <f>VLOOKUP(C694,LEAIDs!$A$2:$B$305,2,FALSE)</f>
        <v>0</v>
      </c>
    </row>
    <row r="695" spans="1:9" x14ac:dyDescent="0.2">
      <c r="A695">
        <v>0</v>
      </c>
      <c r="B695" s="2">
        <v>2022</v>
      </c>
      <c r="C695" s="4" t="s">
        <v>209</v>
      </c>
      <c r="D695" s="2" t="s">
        <v>232</v>
      </c>
      <c r="E695" s="2" t="s">
        <v>234</v>
      </c>
      <c r="F695" s="16">
        <v>140840</v>
      </c>
      <c r="G695" s="16">
        <v>5032</v>
      </c>
      <c r="H695" s="15">
        <v>145872</v>
      </c>
      <c r="I695">
        <f>VLOOKUP(C695,LEAIDs!$A$2:$B$305,2,FALSE)</f>
        <v>0</v>
      </c>
    </row>
    <row r="696" spans="1:9" x14ac:dyDescent="0.2">
      <c r="A696">
        <v>0</v>
      </c>
      <c r="B696" s="2">
        <v>2023</v>
      </c>
      <c r="C696" s="2" t="s">
        <v>209</v>
      </c>
      <c r="D696" s="2" t="s">
        <v>232</v>
      </c>
      <c r="E696" s="2" t="s">
        <v>234</v>
      </c>
      <c r="F696" s="15">
        <v>189823</v>
      </c>
      <c r="G696" s="15">
        <v>6768</v>
      </c>
      <c r="H696" s="15">
        <v>196591</v>
      </c>
      <c r="I696">
        <f>VLOOKUP(C696,LEAIDs!$A$2:$B$305,2,FALSE)</f>
        <v>0</v>
      </c>
    </row>
    <row r="697" spans="1:9" x14ac:dyDescent="0.2">
      <c r="A697">
        <v>0</v>
      </c>
      <c r="B697">
        <v>2015</v>
      </c>
      <c r="C697" t="s">
        <v>113</v>
      </c>
      <c r="D697" t="s">
        <v>232</v>
      </c>
      <c r="E697" t="s">
        <v>234</v>
      </c>
      <c r="F697" s="17">
        <v>2330438</v>
      </c>
      <c r="G697" s="17">
        <v>71639</v>
      </c>
      <c r="H697" s="17">
        <v>2402077</v>
      </c>
      <c r="I697">
        <f>VLOOKUP(C697,LEAIDs!$A$2:$B$305,2,FALSE)</f>
        <v>0</v>
      </c>
    </row>
    <row r="698" spans="1:9" x14ac:dyDescent="0.2">
      <c r="A698">
        <v>0</v>
      </c>
      <c r="B698">
        <v>2016</v>
      </c>
      <c r="C698" t="s">
        <v>113</v>
      </c>
      <c r="D698" t="s">
        <v>232</v>
      </c>
      <c r="E698" t="s">
        <v>234</v>
      </c>
      <c r="F698" s="17">
        <v>1709653</v>
      </c>
      <c r="G698" s="17">
        <v>56393</v>
      </c>
      <c r="H698" s="17">
        <v>1766046</v>
      </c>
      <c r="I698">
        <f>VLOOKUP(C698,LEAIDs!$A$2:$B$305,2,FALSE)</f>
        <v>0</v>
      </c>
    </row>
    <row r="699" spans="1:9" x14ac:dyDescent="0.2">
      <c r="A699">
        <v>0</v>
      </c>
      <c r="B699">
        <v>2017</v>
      </c>
      <c r="C699" t="s">
        <v>113</v>
      </c>
      <c r="D699" t="s">
        <v>232</v>
      </c>
      <c r="E699" t="s">
        <v>234</v>
      </c>
      <c r="F699" s="17">
        <v>1040542</v>
      </c>
      <c r="G699" s="17">
        <v>35940</v>
      </c>
      <c r="H699" s="17">
        <v>1076482</v>
      </c>
      <c r="I699">
        <f>VLOOKUP(C699,LEAIDs!$A$2:$B$305,2,FALSE)</f>
        <v>0</v>
      </c>
    </row>
    <row r="700" spans="1:9" x14ac:dyDescent="0.2">
      <c r="A700">
        <v>0</v>
      </c>
      <c r="B700">
        <v>2018</v>
      </c>
      <c r="C700" t="s">
        <v>113</v>
      </c>
      <c r="D700" t="s">
        <v>232</v>
      </c>
      <c r="E700" t="s">
        <v>234</v>
      </c>
      <c r="F700" s="17">
        <v>781381</v>
      </c>
      <c r="G700" s="17">
        <v>25714</v>
      </c>
      <c r="H700" s="17">
        <v>807095</v>
      </c>
      <c r="I700">
        <f>VLOOKUP(C700,LEAIDs!$A$2:$B$305,2,FALSE)</f>
        <v>0</v>
      </c>
    </row>
    <row r="701" spans="1:9" x14ac:dyDescent="0.2">
      <c r="A701">
        <v>0</v>
      </c>
      <c r="B701">
        <v>2019</v>
      </c>
      <c r="C701" t="s">
        <v>113</v>
      </c>
      <c r="D701" t="s">
        <v>232</v>
      </c>
      <c r="E701" t="s">
        <v>234</v>
      </c>
      <c r="F701" s="17">
        <v>885562</v>
      </c>
      <c r="G701" s="17">
        <v>29721</v>
      </c>
      <c r="H701" s="17">
        <v>915283</v>
      </c>
      <c r="I701">
        <f>VLOOKUP(C701,LEAIDs!$A$2:$B$305,2,FALSE)</f>
        <v>0</v>
      </c>
    </row>
    <row r="702" spans="1:9" x14ac:dyDescent="0.2">
      <c r="A702">
        <v>0</v>
      </c>
      <c r="B702">
        <v>2020</v>
      </c>
      <c r="C702" t="s">
        <v>113</v>
      </c>
      <c r="D702" t="s">
        <v>232</v>
      </c>
      <c r="E702" t="s">
        <v>234</v>
      </c>
      <c r="F702" s="17">
        <v>833553</v>
      </c>
      <c r="G702" s="17">
        <v>29415</v>
      </c>
      <c r="H702" s="17">
        <v>862968</v>
      </c>
      <c r="I702">
        <f>VLOOKUP(C702,LEAIDs!$A$2:$B$305,2,FALSE)</f>
        <v>0</v>
      </c>
    </row>
    <row r="703" spans="1:9" x14ac:dyDescent="0.2">
      <c r="A703">
        <v>0</v>
      </c>
      <c r="B703" s="2">
        <v>2021</v>
      </c>
      <c r="C703" s="4" t="s">
        <v>113</v>
      </c>
      <c r="D703" s="2" t="s">
        <v>232</v>
      </c>
      <c r="E703" s="2" t="s">
        <v>234</v>
      </c>
      <c r="F703" s="16">
        <v>805677</v>
      </c>
      <c r="G703" s="16">
        <v>28043</v>
      </c>
      <c r="H703" s="15">
        <v>833720</v>
      </c>
      <c r="I703">
        <f>VLOOKUP(C703,LEAIDs!$A$2:$B$305,2,FALSE)</f>
        <v>0</v>
      </c>
    </row>
    <row r="704" spans="1:9" x14ac:dyDescent="0.2">
      <c r="A704">
        <v>0</v>
      </c>
      <c r="B704" s="2">
        <v>2022</v>
      </c>
      <c r="C704" s="4" t="s">
        <v>113</v>
      </c>
      <c r="D704" s="2" t="s">
        <v>232</v>
      </c>
      <c r="E704" s="2" t="s">
        <v>234</v>
      </c>
      <c r="F704" s="16">
        <v>765401</v>
      </c>
      <c r="G704" s="16">
        <v>27346</v>
      </c>
      <c r="H704" s="15">
        <v>792747</v>
      </c>
      <c r="I704">
        <f>VLOOKUP(C704,LEAIDs!$A$2:$B$305,2,FALSE)</f>
        <v>0</v>
      </c>
    </row>
    <row r="705" spans="1:9" x14ac:dyDescent="0.2">
      <c r="A705">
        <v>0</v>
      </c>
      <c r="B705" s="2">
        <v>2023</v>
      </c>
      <c r="C705" s="2" t="s">
        <v>113</v>
      </c>
      <c r="D705" s="2" t="s">
        <v>232</v>
      </c>
      <c r="E705" s="2" t="s">
        <v>234</v>
      </c>
      <c r="F705" s="15">
        <v>748334</v>
      </c>
      <c r="G705" s="15">
        <v>26679</v>
      </c>
      <c r="H705" s="15">
        <v>775013</v>
      </c>
      <c r="I705">
        <f>VLOOKUP(C705,LEAIDs!$A$2:$B$305,2,FALSE)</f>
        <v>0</v>
      </c>
    </row>
    <row r="706" spans="1:9" x14ac:dyDescent="0.2">
      <c r="A706">
        <v>0</v>
      </c>
      <c r="B706" s="2">
        <v>2023</v>
      </c>
      <c r="C706" s="2" t="s">
        <v>90</v>
      </c>
      <c r="D706" s="2" t="s">
        <v>232</v>
      </c>
      <c r="E706" s="2" t="s">
        <v>234</v>
      </c>
      <c r="F706" s="15">
        <v>21610738</v>
      </c>
      <c r="G706" s="15">
        <v>770458</v>
      </c>
      <c r="H706" s="15">
        <v>22381196</v>
      </c>
      <c r="I706">
        <f>VLOOKUP(C706,LEAIDs!$A$2:$B$305,2,FALSE)</f>
        <v>0</v>
      </c>
    </row>
    <row r="707" spans="1:9" x14ac:dyDescent="0.2">
      <c r="A707">
        <v>0</v>
      </c>
      <c r="B707">
        <v>2015</v>
      </c>
      <c r="C707" t="s">
        <v>237</v>
      </c>
      <c r="D707" t="s">
        <v>232</v>
      </c>
      <c r="E707" t="s">
        <v>234</v>
      </c>
      <c r="F707" s="17">
        <v>18372777</v>
      </c>
      <c r="G707" s="17">
        <v>564790</v>
      </c>
      <c r="H707" s="17">
        <v>18937567</v>
      </c>
      <c r="I707">
        <f>VLOOKUP(C707,LEAIDs!$A$2:$B$305,2,FALSE)</f>
        <v>0</v>
      </c>
    </row>
    <row r="708" spans="1:9" x14ac:dyDescent="0.2">
      <c r="A708">
        <v>0</v>
      </c>
      <c r="B708">
        <v>2016</v>
      </c>
      <c r="C708" t="s">
        <v>237</v>
      </c>
      <c r="D708" t="s">
        <v>232</v>
      </c>
      <c r="E708" t="s">
        <v>234</v>
      </c>
      <c r="F708" s="17">
        <v>16156507</v>
      </c>
      <c r="G708" s="17">
        <v>532922</v>
      </c>
      <c r="H708" s="17">
        <v>16689429</v>
      </c>
      <c r="I708">
        <f>VLOOKUP(C708,LEAIDs!$A$2:$B$305,2,FALSE)</f>
        <v>0</v>
      </c>
    </row>
    <row r="709" spans="1:9" x14ac:dyDescent="0.2">
      <c r="A709">
        <v>0</v>
      </c>
      <c r="B709">
        <v>2017</v>
      </c>
      <c r="C709" t="s">
        <v>237</v>
      </c>
      <c r="D709" t="s">
        <v>232</v>
      </c>
      <c r="E709" t="s">
        <v>234</v>
      </c>
      <c r="F709" s="17">
        <v>15354463</v>
      </c>
      <c r="G709" s="17">
        <v>530336</v>
      </c>
      <c r="H709" s="17">
        <v>15884799</v>
      </c>
      <c r="I709">
        <f>VLOOKUP(C709,LEAIDs!$A$2:$B$305,2,FALSE)</f>
        <v>0</v>
      </c>
    </row>
    <row r="710" spans="1:9" x14ac:dyDescent="0.2">
      <c r="A710">
        <v>0</v>
      </c>
      <c r="B710">
        <v>2018</v>
      </c>
      <c r="C710" t="s">
        <v>237</v>
      </c>
      <c r="D710" t="s">
        <v>232</v>
      </c>
      <c r="E710" t="s">
        <v>234</v>
      </c>
      <c r="F710" s="17">
        <v>16206693</v>
      </c>
      <c r="G710" s="17">
        <v>533337</v>
      </c>
      <c r="H710" s="17">
        <v>16740030</v>
      </c>
      <c r="I710">
        <f>VLOOKUP(C710,LEAIDs!$A$2:$B$305,2,FALSE)</f>
        <v>0</v>
      </c>
    </row>
    <row r="711" spans="1:9" x14ac:dyDescent="0.2">
      <c r="A711">
        <v>0</v>
      </c>
      <c r="B711">
        <v>2019</v>
      </c>
      <c r="C711" t="s">
        <v>237</v>
      </c>
      <c r="D711" t="s">
        <v>232</v>
      </c>
      <c r="E711" t="s">
        <v>234</v>
      </c>
      <c r="F711" s="17">
        <v>17108747</v>
      </c>
      <c r="G711" s="17">
        <v>574197</v>
      </c>
      <c r="H711" s="17">
        <v>17682944</v>
      </c>
      <c r="I711">
        <f>VLOOKUP(C711,LEAIDs!$A$2:$B$305,2,FALSE)</f>
        <v>0</v>
      </c>
    </row>
    <row r="712" spans="1:9" x14ac:dyDescent="0.2">
      <c r="A712">
        <v>0</v>
      </c>
      <c r="B712">
        <v>2020</v>
      </c>
      <c r="C712" t="s">
        <v>237</v>
      </c>
      <c r="D712" t="s">
        <v>232</v>
      </c>
      <c r="E712" t="s">
        <v>234</v>
      </c>
      <c r="F712" s="17">
        <v>17324630</v>
      </c>
      <c r="G712" s="17">
        <v>611360</v>
      </c>
      <c r="H712" s="17">
        <v>17935990</v>
      </c>
      <c r="I712">
        <f>VLOOKUP(C712,LEAIDs!$A$2:$B$305,2,FALSE)</f>
        <v>0</v>
      </c>
    </row>
    <row r="713" spans="1:9" x14ac:dyDescent="0.2">
      <c r="A713">
        <v>0</v>
      </c>
      <c r="B713" s="2">
        <v>2021</v>
      </c>
      <c r="C713" s="4" t="s">
        <v>237</v>
      </c>
      <c r="D713" s="2" t="s">
        <v>232</v>
      </c>
      <c r="E713" s="2" t="s">
        <v>234</v>
      </c>
      <c r="F713" s="16">
        <v>19301736</v>
      </c>
      <c r="G713" s="16">
        <v>671842</v>
      </c>
      <c r="H713" s="15">
        <v>19973578</v>
      </c>
      <c r="I713">
        <f>VLOOKUP(C713,LEAIDs!$A$2:$B$305,2,FALSE)</f>
        <v>0</v>
      </c>
    </row>
    <row r="714" spans="1:9" x14ac:dyDescent="0.2">
      <c r="A714">
        <v>0</v>
      </c>
      <c r="B714" s="2">
        <v>2022</v>
      </c>
      <c r="C714" s="4" t="s">
        <v>237</v>
      </c>
      <c r="D714" s="2" t="s">
        <v>232</v>
      </c>
      <c r="E714" s="2" t="s">
        <v>234</v>
      </c>
      <c r="F714" s="16">
        <v>21356464</v>
      </c>
      <c r="G714" s="16">
        <v>763016</v>
      </c>
      <c r="H714" s="15">
        <v>22119480</v>
      </c>
      <c r="I714">
        <f>VLOOKUP(C714,LEAIDs!$A$2:$B$305,2,FALSE)</f>
        <v>0</v>
      </c>
    </row>
    <row r="715" spans="1:9" x14ac:dyDescent="0.2">
      <c r="A715">
        <v>0</v>
      </c>
      <c r="B715">
        <v>2015</v>
      </c>
      <c r="C715" t="s">
        <v>70</v>
      </c>
      <c r="D715" t="s">
        <v>232</v>
      </c>
      <c r="E715" t="s">
        <v>234</v>
      </c>
      <c r="F715" s="17">
        <v>32169439</v>
      </c>
      <c r="G715" s="17">
        <v>988907</v>
      </c>
      <c r="H715" s="17">
        <v>33158346</v>
      </c>
      <c r="I715">
        <f>VLOOKUP(C715,LEAIDs!$A$2:$B$305,2,FALSE)</f>
        <v>0</v>
      </c>
    </row>
    <row r="716" spans="1:9" x14ac:dyDescent="0.2">
      <c r="A716">
        <v>0</v>
      </c>
      <c r="B716">
        <v>2016</v>
      </c>
      <c r="C716" t="s">
        <v>70</v>
      </c>
      <c r="D716" t="s">
        <v>232</v>
      </c>
      <c r="E716" t="s">
        <v>234</v>
      </c>
      <c r="F716" s="17">
        <v>31304227</v>
      </c>
      <c r="G716" s="17">
        <v>1032569</v>
      </c>
      <c r="H716" s="17">
        <v>32336796</v>
      </c>
      <c r="I716">
        <f>VLOOKUP(C716,LEAIDs!$A$2:$B$305,2,FALSE)</f>
        <v>0</v>
      </c>
    </row>
    <row r="717" spans="1:9" x14ac:dyDescent="0.2">
      <c r="A717">
        <v>0</v>
      </c>
      <c r="B717">
        <v>2017</v>
      </c>
      <c r="C717" t="s">
        <v>70</v>
      </c>
      <c r="D717" t="s">
        <v>232</v>
      </c>
      <c r="E717" t="s">
        <v>234</v>
      </c>
      <c r="F717" s="17">
        <v>30152186</v>
      </c>
      <c r="G717" s="17">
        <v>1041443</v>
      </c>
      <c r="H717" s="17">
        <v>31193629</v>
      </c>
      <c r="I717">
        <f>VLOOKUP(C717,LEAIDs!$A$2:$B$305,2,FALSE)</f>
        <v>0</v>
      </c>
    </row>
    <row r="718" spans="1:9" x14ac:dyDescent="0.2">
      <c r="A718">
        <v>0</v>
      </c>
      <c r="B718">
        <v>2018</v>
      </c>
      <c r="C718" t="s">
        <v>70</v>
      </c>
      <c r="D718" t="s">
        <v>232</v>
      </c>
      <c r="E718" t="s">
        <v>234</v>
      </c>
      <c r="F718" s="17">
        <v>31767547</v>
      </c>
      <c r="G718" s="17">
        <v>1045420</v>
      </c>
      <c r="H718" s="17">
        <v>32812967</v>
      </c>
      <c r="I718">
        <f>VLOOKUP(C718,LEAIDs!$A$2:$B$305,2,FALSE)</f>
        <v>0</v>
      </c>
    </row>
    <row r="719" spans="1:9" x14ac:dyDescent="0.2">
      <c r="A719">
        <v>0</v>
      </c>
      <c r="B719">
        <v>2019</v>
      </c>
      <c r="C719" t="s">
        <v>70</v>
      </c>
      <c r="D719" t="s">
        <v>232</v>
      </c>
      <c r="E719" t="s">
        <v>234</v>
      </c>
      <c r="F719" s="17">
        <v>33191824</v>
      </c>
      <c r="G719" s="17">
        <v>1113971</v>
      </c>
      <c r="H719" s="17">
        <v>34305795</v>
      </c>
      <c r="I719">
        <f>VLOOKUP(C719,LEAIDs!$A$2:$B$305,2,FALSE)</f>
        <v>0</v>
      </c>
    </row>
    <row r="720" spans="1:9" x14ac:dyDescent="0.2">
      <c r="A720">
        <v>0</v>
      </c>
      <c r="B720">
        <v>2020</v>
      </c>
      <c r="C720" t="s">
        <v>70</v>
      </c>
      <c r="D720" t="s">
        <v>232</v>
      </c>
      <c r="E720" t="s">
        <v>234</v>
      </c>
      <c r="F720" s="17">
        <v>33846009</v>
      </c>
      <c r="G720" s="17">
        <v>1194374</v>
      </c>
      <c r="H720" s="17">
        <v>35040383</v>
      </c>
      <c r="I720">
        <f>VLOOKUP(C720,LEAIDs!$A$2:$B$305,2,FALSE)</f>
        <v>0</v>
      </c>
    </row>
    <row r="721" spans="1:9" x14ac:dyDescent="0.2">
      <c r="A721">
        <v>0</v>
      </c>
      <c r="B721" s="2">
        <v>2021</v>
      </c>
      <c r="C721" s="4" t="s">
        <v>70</v>
      </c>
      <c r="D721" s="2" t="s">
        <v>232</v>
      </c>
      <c r="E721" s="2" t="s">
        <v>234</v>
      </c>
      <c r="F721" s="16">
        <v>33134940</v>
      </c>
      <c r="G721" s="16">
        <v>1153339</v>
      </c>
      <c r="H721" s="15">
        <v>34288279</v>
      </c>
      <c r="I721">
        <f>VLOOKUP(C721,LEAIDs!$A$2:$B$305,2,FALSE)</f>
        <v>0</v>
      </c>
    </row>
    <row r="722" spans="1:9" x14ac:dyDescent="0.2">
      <c r="A722">
        <v>0</v>
      </c>
      <c r="B722" s="2">
        <v>2022</v>
      </c>
      <c r="C722" s="4" t="s">
        <v>70</v>
      </c>
      <c r="D722" s="2" t="s">
        <v>232</v>
      </c>
      <c r="E722" s="2" t="s">
        <v>234</v>
      </c>
      <c r="F722" s="16">
        <v>32751498</v>
      </c>
      <c r="G722" s="16">
        <v>1170133</v>
      </c>
      <c r="H722" s="15">
        <v>33921631</v>
      </c>
      <c r="I722">
        <f>VLOOKUP(C722,LEAIDs!$A$2:$B$305,2,FALSE)</f>
        <v>0</v>
      </c>
    </row>
    <row r="723" spans="1:9" x14ac:dyDescent="0.2">
      <c r="A723">
        <v>0</v>
      </c>
      <c r="B723" s="2">
        <v>2023</v>
      </c>
      <c r="C723" s="2" t="s">
        <v>70</v>
      </c>
      <c r="D723" s="2" t="s">
        <v>232</v>
      </c>
      <c r="E723" s="2" t="s">
        <v>234</v>
      </c>
      <c r="F723" s="15">
        <v>34183184</v>
      </c>
      <c r="G723" s="15">
        <v>1218687</v>
      </c>
      <c r="H723" s="15">
        <v>35401871</v>
      </c>
      <c r="I723">
        <f>VLOOKUP(C723,LEAIDs!$A$2:$B$305,2,FALSE)</f>
        <v>0</v>
      </c>
    </row>
    <row r="724" spans="1:9" x14ac:dyDescent="0.2">
      <c r="A724">
        <v>0</v>
      </c>
      <c r="B724" s="2">
        <v>2023</v>
      </c>
      <c r="C724" s="2" t="s">
        <v>104</v>
      </c>
      <c r="D724" s="2" t="s">
        <v>232</v>
      </c>
      <c r="E724" s="2" t="s">
        <v>234</v>
      </c>
      <c r="F724" s="15">
        <v>857956</v>
      </c>
      <c r="G724" s="15">
        <v>30588</v>
      </c>
      <c r="H724" s="15">
        <v>888544</v>
      </c>
      <c r="I724">
        <f>VLOOKUP(C724,LEAIDs!$A$2:$B$305,2,FALSE)</f>
        <v>0</v>
      </c>
    </row>
    <row r="725" spans="1:9" x14ac:dyDescent="0.2">
      <c r="A725">
        <v>0</v>
      </c>
      <c r="B725">
        <v>2015</v>
      </c>
      <c r="C725" t="s">
        <v>238</v>
      </c>
      <c r="D725" t="s">
        <v>232</v>
      </c>
      <c r="E725" t="s">
        <v>234</v>
      </c>
      <c r="F725" s="17">
        <v>738260</v>
      </c>
      <c r="G725" s="17">
        <v>22695</v>
      </c>
      <c r="H725" s="17">
        <v>760955</v>
      </c>
      <c r="I725">
        <f>VLOOKUP(C725,LEAIDs!$A$2:$B$305,2,FALSE)</f>
        <v>0</v>
      </c>
    </row>
    <row r="726" spans="1:9" x14ac:dyDescent="0.2">
      <c r="A726">
        <v>0</v>
      </c>
      <c r="B726">
        <v>2016</v>
      </c>
      <c r="C726" t="s">
        <v>238</v>
      </c>
      <c r="D726" t="s">
        <v>232</v>
      </c>
      <c r="E726" t="s">
        <v>234</v>
      </c>
      <c r="F726" s="17">
        <v>687168</v>
      </c>
      <c r="G726" s="17">
        <v>22666</v>
      </c>
      <c r="H726" s="17">
        <v>709834</v>
      </c>
      <c r="I726">
        <f>VLOOKUP(C726,LEAIDs!$A$2:$B$305,2,FALSE)</f>
        <v>0</v>
      </c>
    </row>
    <row r="727" spans="1:9" x14ac:dyDescent="0.2">
      <c r="A727">
        <v>0</v>
      </c>
      <c r="B727">
        <v>2017</v>
      </c>
      <c r="C727" t="s">
        <v>238</v>
      </c>
      <c r="D727" t="s">
        <v>232</v>
      </c>
      <c r="E727" t="s">
        <v>234</v>
      </c>
      <c r="F727" s="17">
        <v>747942</v>
      </c>
      <c r="G727" s="17">
        <v>25834</v>
      </c>
      <c r="H727" s="17">
        <v>773776</v>
      </c>
      <c r="I727">
        <f>VLOOKUP(C727,LEAIDs!$A$2:$B$305,2,FALSE)</f>
        <v>0</v>
      </c>
    </row>
    <row r="728" spans="1:9" x14ac:dyDescent="0.2">
      <c r="A728">
        <v>0</v>
      </c>
      <c r="B728">
        <v>2018</v>
      </c>
      <c r="C728" t="s">
        <v>238</v>
      </c>
      <c r="D728" t="s">
        <v>232</v>
      </c>
      <c r="E728" t="s">
        <v>234</v>
      </c>
      <c r="F728" s="17">
        <v>800238</v>
      </c>
      <c r="G728" s="17">
        <v>26335</v>
      </c>
      <c r="H728" s="17">
        <v>826573</v>
      </c>
      <c r="I728">
        <f>VLOOKUP(C728,LEAIDs!$A$2:$B$305,2,FALSE)</f>
        <v>0</v>
      </c>
    </row>
    <row r="729" spans="1:9" x14ac:dyDescent="0.2">
      <c r="A729">
        <v>0</v>
      </c>
      <c r="B729">
        <v>2019</v>
      </c>
      <c r="C729" t="s">
        <v>238</v>
      </c>
      <c r="D729" t="s">
        <v>232</v>
      </c>
      <c r="E729" t="s">
        <v>234</v>
      </c>
      <c r="F729" s="17">
        <v>770029</v>
      </c>
      <c r="G729" s="17">
        <v>25843</v>
      </c>
      <c r="H729" s="17">
        <v>795872</v>
      </c>
      <c r="I729">
        <f>VLOOKUP(C729,LEAIDs!$A$2:$B$305,2,FALSE)</f>
        <v>0</v>
      </c>
    </row>
    <row r="730" spans="1:9" x14ac:dyDescent="0.2">
      <c r="A730">
        <v>0</v>
      </c>
      <c r="B730">
        <v>2020</v>
      </c>
      <c r="C730" t="s">
        <v>238</v>
      </c>
      <c r="D730" t="s">
        <v>232</v>
      </c>
      <c r="E730" t="s">
        <v>234</v>
      </c>
      <c r="F730" s="17">
        <v>777731</v>
      </c>
      <c r="G730" s="17">
        <v>27445</v>
      </c>
      <c r="H730" s="17">
        <v>805176</v>
      </c>
      <c r="I730">
        <f>VLOOKUP(C730,LEAIDs!$A$2:$B$305,2,FALSE)</f>
        <v>0</v>
      </c>
    </row>
    <row r="731" spans="1:9" x14ac:dyDescent="0.2">
      <c r="A731">
        <v>0</v>
      </c>
      <c r="B731" s="2">
        <v>2021</v>
      </c>
      <c r="C731" s="4" t="s">
        <v>238</v>
      </c>
      <c r="D731" s="2" t="s">
        <v>232</v>
      </c>
      <c r="E731" s="2" t="s">
        <v>234</v>
      </c>
      <c r="F731" s="16">
        <v>829231</v>
      </c>
      <c r="G731" s="16">
        <v>28863</v>
      </c>
      <c r="H731" s="15">
        <v>858094</v>
      </c>
      <c r="I731">
        <f>VLOOKUP(C731,LEAIDs!$A$2:$B$305,2,FALSE)</f>
        <v>0</v>
      </c>
    </row>
    <row r="732" spans="1:9" x14ac:dyDescent="0.2">
      <c r="A732">
        <v>0</v>
      </c>
      <c r="B732" s="2">
        <v>2022</v>
      </c>
      <c r="C732" s="4" t="s">
        <v>238</v>
      </c>
      <c r="D732" s="2" t="s">
        <v>232</v>
      </c>
      <c r="E732" s="2" t="s">
        <v>234</v>
      </c>
      <c r="F732" s="16">
        <v>831921</v>
      </c>
      <c r="G732" s="16">
        <v>29723</v>
      </c>
      <c r="H732" s="15">
        <v>861644</v>
      </c>
      <c r="I732">
        <f>VLOOKUP(C732,LEAIDs!$A$2:$B$305,2,FALSE)</f>
        <v>0</v>
      </c>
    </row>
    <row r="733" spans="1:9" x14ac:dyDescent="0.2">
      <c r="A733">
        <v>0</v>
      </c>
      <c r="B733">
        <v>2015</v>
      </c>
      <c r="C733" t="s">
        <v>139</v>
      </c>
      <c r="D733" t="s">
        <v>232</v>
      </c>
      <c r="E733" t="s">
        <v>234</v>
      </c>
      <c r="F733" s="17">
        <v>1731579</v>
      </c>
      <c r="G733" s="17">
        <v>53230</v>
      </c>
      <c r="H733" s="17">
        <v>1784809</v>
      </c>
      <c r="I733">
        <f>VLOOKUP(C733,LEAIDs!$A$2:$B$305,2,FALSE)</f>
        <v>0</v>
      </c>
    </row>
    <row r="734" spans="1:9" x14ac:dyDescent="0.2">
      <c r="A734">
        <v>0</v>
      </c>
      <c r="B734">
        <v>2016</v>
      </c>
      <c r="C734" t="s">
        <v>139</v>
      </c>
      <c r="D734" t="s">
        <v>232</v>
      </c>
      <c r="E734" t="s">
        <v>234</v>
      </c>
      <c r="F734" s="17">
        <v>1755228</v>
      </c>
      <c r="G734" s="17">
        <v>57896</v>
      </c>
      <c r="H734" s="17">
        <v>1813124</v>
      </c>
      <c r="I734">
        <f>VLOOKUP(C734,LEAIDs!$A$2:$B$305,2,FALSE)</f>
        <v>0</v>
      </c>
    </row>
    <row r="735" spans="1:9" x14ac:dyDescent="0.2">
      <c r="A735">
        <v>0</v>
      </c>
      <c r="B735">
        <v>2017</v>
      </c>
      <c r="C735" t="s">
        <v>139</v>
      </c>
      <c r="D735" t="s">
        <v>232</v>
      </c>
      <c r="E735" t="s">
        <v>234</v>
      </c>
      <c r="F735" s="17">
        <v>1803186</v>
      </c>
      <c r="G735" s="17">
        <v>62281</v>
      </c>
      <c r="H735" s="17">
        <v>1865467</v>
      </c>
      <c r="I735">
        <f>VLOOKUP(C735,LEAIDs!$A$2:$B$305,2,FALSE)</f>
        <v>0</v>
      </c>
    </row>
    <row r="736" spans="1:9" x14ac:dyDescent="0.2">
      <c r="A736">
        <v>0</v>
      </c>
      <c r="B736">
        <v>2018</v>
      </c>
      <c r="C736" t="s">
        <v>139</v>
      </c>
      <c r="D736" t="s">
        <v>232</v>
      </c>
      <c r="E736" t="s">
        <v>234</v>
      </c>
      <c r="F736" s="17">
        <v>1704735</v>
      </c>
      <c r="G736" s="17">
        <v>56100</v>
      </c>
      <c r="H736" s="17">
        <v>1760835</v>
      </c>
      <c r="I736">
        <f>VLOOKUP(C736,LEAIDs!$A$2:$B$305,2,FALSE)</f>
        <v>0</v>
      </c>
    </row>
    <row r="737" spans="1:9" x14ac:dyDescent="0.2">
      <c r="A737">
        <v>0</v>
      </c>
      <c r="B737">
        <v>2019</v>
      </c>
      <c r="C737" t="s">
        <v>139</v>
      </c>
      <c r="D737" t="s">
        <v>232</v>
      </c>
      <c r="E737" t="s">
        <v>234</v>
      </c>
      <c r="F737" s="17">
        <v>1736411</v>
      </c>
      <c r="G737" s="17">
        <v>58277</v>
      </c>
      <c r="H737" s="17">
        <v>1794688</v>
      </c>
      <c r="I737">
        <f>VLOOKUP(C737,LEAIDs!$A$2:$B$305,2,FALSE)</f>
        <v>0</v>
      </c>
    </row>
    <row r="738" spans="1:9" x14ac:dyDescent="0.2">
      <c r="A738">
        <v>0</v>
      </c>
      <c r="B738">
        <v>2020</v>
      </c>
      <c r="C738" t="s">
        <v>139</v>
      </c>
      <c r="D738" t="s">
        <v>232</v>
      </c>
      <c r="E738" t="s">
        <v>234</v>
      </c>
      <c r="F738" s="17">
        <v>1784972</v>
      </c>
      <c r="G738" s="17">
        <v>62989</v>
      </c>
      <c r="H738" s="17">
        <v>1847961</v>
      </c>
      <c r="I738">
        <f>VLOOKUP(C738,LEAIDs!$A$2:$B$305,2,FALSE)</f>
        <v>0</v>
      </c>
    </row>
    <row r="739" spans="1:9" x14ac:dyDescent="0.2">
      <c r="A739">
        <v>0</v>
      </c>
      <c r="B739" s="2">
        <v>2021</v>
      </c>
      <c r="C739" s="4" t="s">
        <v>139</v>
      </c>
      <c r="D739" s="2" t="s">
        <v>232</v>
      </c>
      <c r="E739" s="2" t="s">
        <v>234</v>
      </c>
      <c r="F739" s="16">
        <v>1810736</v>
      </c>
      <c r="G739" s="16">
        <v>63027</v>
      </c>
      <c r="H739" s="15">
        <v>1873763</v>
      </c>
      <c r="I739">
        <f>VLOOKUP(C739,LEAIDs!$A$2:$B$305,2,FALSE)</f>
        <v>0</v>
      </c>
    </row>
    <row r="740" spans="1:9" x14ac:dyDescent="0.2">
      <c r="A740">
        <v>0</v>
      </c>
      <c r="B740" s="2">
        <v>2022</v>
      </c>
      <c r="C740" s="4" t="s">
        <v>139</v>
      </c>
      <c r="D740" s="2" t="s">
        <v>232</v>
      </c>
      <c r="E740" s="2" t="s">
        <v>234</v>
      </c>
      <c r="F740" s="16">
        <v>2020917</v>
      </c>
      <c r="G740" s="16">
        <v>72203</v>
      </c>
      <c r="H740" s="15">
        <v>2093120</v>
      </c>
      <c r="I740">
        <f>VLOOKUP(C740,LEAIDs!$A$2:$B$305,2,FALSE)</f>
        <v>0</v>
      </c>
    </row>
    <row r="741" spans="1:9" x14ac:dyDescent="0.2">
      <c r="A741">
        <v>0</v>
      </c>
      <c r="B741" s="2">
        <v>2023</v>
      </c>
      <c r="C741" s="2" t="s">
        <v>139</v>
      </c>
      <c r="D741" s="2" t="s">
        <v>232</v>
      </c>
      <c r="E741" s="2" t="s">
        <v>234</v>
      </c>
      <c r="F741" s="15">
        <v>2133619</v>
      </c>
      <c r="G741" s="15">
        <v>76067</v>
      </c>
      <c r="H741" s="15">
        <v>2209686</v>
      </c>
      <c r="I741">
        <f>VLOOKUP(C741,LEAIDs!$A$2:$B$305,2,FALSE)</f>
        <v>0</v>
      </c>
    </row>
    <row r="742" spans="1:9" x14ac:dyDescent="0.2">
      <c r="A742">
        <v>0</v>
      </c>
      <c r="B742">
        <v>2015</v>
      </c>
      <c r="C742" t="s">
        <v>133</v>
      </c>
      <c r="D742" t="s">
        <v>232</v>
      </c>
      <c r="E742" t="s">
        <v>234</v>
      </c>
      <c r="F742" s="17">
        <v>459606</v>
      </c>
      <c r="G742" s="17">
        <v>14129</v>
      </c>
      <c r="H742" s="17">
        <v>473735</v>
      </c>
      <c r="I742">
        <f>VLOOKUP(C742,LEAIDs!$A$2:$B$305,2,FALSE)</f>
        <v>0</v>
      </c>
    </row>
    <row r="743" spans="1:9" x14ac:dyDescent="0.2">
      <c r="A743">
        <v>0</v>
      </c>
      <c r="B743">
        <v>2016</v>
      </c>
      <c r="C743" t="s">
        <v>133</v>
      </c>
      <c r="D743" t="s">
        <v>232</v>
      </c>
      <c r="E743" t="s">
        <v>234</v>
      </c>
      <c r="F743" s="17">
        <v>525537</v>
      </c>
      <c r="G743" s="17">
        <v>17335</v>
      </c>
      <c r="H743" s="17">
        <v>542872</v>
      </c>
      <c r="I743">
        <f>VLOOKUP(C743,LEAIDs!$A$2:$B$305,2,FALSE)</f>
        <v>0</v>
      </c>
    </row>
    <row r="744" spans="1:9" x14ac:dyDescent="0.2">
      <c r="A744">
        <v>0</v>
      </c>
      <c r="B744">
        <v>2017</v>
      </c>
      <c r="C744" t="s">
        <v>133</v>
      </c>
      <c r="D744" t="s">
        <v>232</v>
      </c>
      <c r="E744" t="s">
        <v>234</v>
      </c>
      <c r="F744" s="17">
        <v>610575</v>
      </c>
      <c r="G744" s="17">
        <v>21089</v>
      </c>
      <c r="H744" s="17">
        <v>631664</v>
      </c>
      <c r="I744">
        <f>VLOOKUP(C744,LEAIDs!$A$2:$B$305,2,FALSE)</f>
        <v>0</v>
      </c>
    </row>
    <row r="745" spans="1:9" x14ac:dyDescent="0.2">
      <c r="A745">
        <v>0</v>
      </c>
      <c r="B745">
        <v>2018</v>
      </c>
      <c r="C745" t="s">
        <v>133</v>
      </c>
      <c r="D745" t="s">
        <v>232</v>
      </c>
      <c r="E745" t="s">
        <v>234</v>
      </c>
      <c r="F745" s="17">
        <v>774014</v>
      </c>
      <c r="G745" s="17">
        <v>25472</v>
      </c>
      <c r="H745" s="17">
        <v>799486</v>
      </c>
      <c r="I745">
        <f>VLOOKUP(C745,LEAIDs!$A$2:$B$305,2,FALSE)</f>
        <v>0</v>
      </c>
    </row>
    <row r="746" spans="1:9" x14ac:dyDescent="0.2">
      <c r="A746">
        <v>0</v>
      </c>
      <c r="B746">
        <v>2019</v>
      </c>
      <c r="C746" t="s">
        <v>133</v>
      </c>
      <c r="D746" t="s">
        <v>232</v>
      </c>
      <c r="E746" t="s">
        <v>234</v>
      </c>
      <c r="F746" s="17">
        <v>756798</v>
      </c>
      <c r="G746" s="17">
        <v>25399</v>
      </c>
      <c r="H746" s="17">
        <v>782197</v>
      </c>
      <c r="I746">
        <f>VLOOKUP(C746,LEAIDs!$A$2:$B$305,2,FALSE)</f>
        <v>0</v>
      </c>
    </row>
    <row r="747" spans="1:9" x14ac:dyDescent="0.2">
      <c r="A747">
        <v>0</v>
      </c>
      <c r="B747">
        <v>2020</v>
      </c>
      <c r="C747" t="s">
        <v>133</v>
      </c>
      <c r="D747" t="s">
        <v>232</v>
      </c>
      <c r="E747" t="s">
        <v>234</v>
      </c>
      <c r="F747" s="17">
        <v>919687</v>
      </c>
      <c r="G747" s="17">
        <v>32454</v>
      </c>
      <c r="H747" s="17">
        <v>952141</v>
      </c>
      <c r="I747">
        <f>VLOOKUP(C747,LEAIDs!$A$2:$B$305,2,FALSE)</f>
        <v>0</v>
      </c>
    </row>
    <row r="748" spans="1:9" x14ac:dyDescent="0.2">
      <c r="A748">
        <v>0</v>
      </c>
      <c r="B748" s="2">
        <v>2021</v>
      </c>
      <c r="C748" s="4" t="s">
        <v>133</v>
      </c>
      <c r="D748" s="2" t="s">
        <v>232</v>
      </c>
      <c r="E748" s="2" t="s">
        <v>234</v>
      </c>
      <c r="F748" s="16">
        <v>932239</v>
      </c>
      <c r="G748" s="16">
        <v>32449</v>
      </c>
      <c r="H748" s="15">
        <v>964688</v>
      </c>
      <c r="I748">
        <f>VLOOKUP(C748,LEAIDs!$A$2:$B$305,2,FALSE)</f>
        <v>0</v>
      </c>
    </row>
    <row r="749" spans="1:9" x14ac:dyDescent="0.2">
      <c r="A749">
        <v>0</v>
      </c>
      <c r="B749" s="2">
        <v>2022</v>
      </c>
      <c r="C749" s="4" t="s">
        <v>133</v>
      </c>
      <c r="D749" s="2" t="s">
        <v>232</v>
      </c>
      <c r="E749" s="2" t="s">
        <v>234</v>
      </c>
      <c r="F749" s="16">
        <v>897973</v>
      </c>
      <c r="G749" s="16">
        <v>32082</v>
      </c>
      <c r="H749" s="15">
        <v>930055</v>
      </c>
      <c r="I749">
        <f>VLOOKUP(C749,LEAIDs!$A$2:$B$305,2,FALSE)</f>
        <v>0</v>
      </c>
    </row>
    <row r="750" spans="1:9" x14ac:dyDescent="0.2">
      <c r="A750">
        <v>0</v>
      </c>
      <c r="B750" s="2">
        <v>2023</v>
      </c>
      <c r="C750" s="2" t="s">
        <v>133</v>
      </c>
      <c r="D750" s="2" t="s">
        <v>232</v>
      </c>
      <c r="E750" s="2" t="s">
        <v>234</v>
      </c>
      <c r="F750" s="15">
        <v>934491</v>
      </c>
      <c r="G750" s="15">
        <v>33316</v>
      </c>
      <c r="H750" s="15">
        <v>967807</v>
      </c>
      <c r="I750">
        <f>VLOOKUP(C750,LEAIDs!$A$2:$B$305,2,FALSE)</f>
        <v>0</v>
      </c>
    </row>
    <row r="751" spans="1:9" x14ac:dyDescent="0.2">
      <c r="A751">
        <v>0</v>
      </c>
      <c r="B751">
        <v>2015</v>
      </c>
      <c r="C751" t="s">
        <v>81</v>
      </c>
      <c r="D751" t="s">
        <v>232</v>
      </c>
      <c r="E751" t="s">
        <v>234</v>
      </c>
      <c r="F751" s="17">
        <v>6502563</v>
      </c>
      <c r="G751" s="17">
        <v>199893</v>
      </c>
      <c r="H751" s="17">
        <v>6702456</v>
      </c>
      <c r="I751">
        <f>VLOOKUP(C751,LEAIDs!$A$2:$B$305,2,FALSE)</f>
        <v>0</v>
      </c>
    </row>
    <row r="752" spans="1:9" x14ac:dyDescent="0.2">
      <c r="A752">
        <v>0</v>
      </c>
      <c r="B752">
        <v>2016</v>
      </c>
      <c r="C752" t="s">
        <v>81</v>
      </c>
      <c r="D752" t="s">
        <v>232</v>
      </c>
      <c r="E752" t="s">
        <v>234</v>
      </c>
      <c r="F752" s="17">
        <v>6251566</v>
      </c>
      <c r="G752" s="17">
        <v>206208</v>
      </c>
      <c r="H752" s="17">
        <v>6457774</v>
      </c>
      <c r="I752">
        <f>VLOOKUP(C752,LEAIDs!$A$2:$B$305,2,FALSE)</f>
        <v>0</v>
      </c>
    </row>
    <row r="753" spans="1:9" x14ac:dyDescent="0.2">
      <c r="A753">
        <v>0</v>
      </c>
      <c r="B753">
        <v>2017</v>
      </c>
      <c r="C753" t="s">
        <v>81</v>
      </c>
      <c r="D753" t="s">
        <v>232</v>
      </c>
      <c r="E753" t="s">
        <v>234</v>
      </c>
      <c r="F753" s="17">
        <v>6226822</v>
      </c>
      <c r="G753" s="17">
        <v>215072</v>
      </c>
      <c r="H753" s="17">
        <v>6441894</v>
      </c>
      <c r="I753">
        <f>VLOOKUP(C753,LEAIDs!$A$2:$B$305,2,FALSE)</f>
        <v>0</v>
      </c>
    </row>
    <row r="754" spans="1:9" x14ac:dyDescent="0.2">
      <c r="A754">
        <v>0</v>
      </c>
      <c r="B754">
        <v>2018</v>
      </c>
      <c r="C754" t="s">
        <v>81</v>
      </c>
      <c r="D754" t="s">
        <v>232</v>
      </c>
      <c r="E754" t="s">
        <v>234</v>
      </c>
      <c r="F754" s="17">
        <v>6771876</v>
      </c>
      <c r="G754" s="17">
        <v>222852</v>
      </c>
      <c r="H754" s="17">
        <v>6994728</v>
      </c>
      <c r="I754">
        <f>VLOOKUP(C754,LEAIDs!$A$2:$B$305,2,FALSE)</f>
        <v>0</v>
      </c>
    </row>
    <row r="755" spans="1:9" x14ac:dyDescent="0.2">
      <c r="A755">
        <v>0</v>
      </c>
      <c r="B755">
        <v>2019</v>
      </c>
      <c r="C755" t="s">
        <v>81</v>
      </c>
      <c r="D755" t="s">
        <v>232</v>
      </c>
      <c r="E755" t="s">
        <v>234</v>
      </c>
      <c r="F755" s="17">
        <v>7008182</v>
      </c>
      <c r="G755" s="17">
        <v>235206</v>
      </c>
      <c r="H755" s="17">
        <v>7243388</v>
      </c>
      <c r="I755">
        <f>VLOOKUP(C755,LEAIDs!$A$2:$B$305,2,FALSE)</f>
        <v>0</v>
      </c>
    </row>
    <row r="756" spans="1:9" x14ac:dyDescent="0.2">
      <c r="A756">
        <v>0</v>
      </c>
      <c r="B756">
        <v>2020</v>
      </c>
      <c r="C756" t="s">
        <v>81</v>
      </c>
      <c r="D756" t="s">
        <v>232</v>
      </c>
      <c r="E756" t="s">
        <v>234</v>
      </c>
      <c r="F756" s="17">
        <v>7063620</v>
      </c>
      <c r="G756" s="17">
        <v>249264</v>
      </c>
      <c r="H756" s="17">
        <v>7312884</v>
      </c>
      <c r="I756">
        <f>VLOOKUP(C756,LEAIDs!$A$2:$B$305,2,FALSE)</f>
        <v>0</v>
      </c>
    </row>
    <row r="757" spans="1:9" x14ac:dyDescent="0.2">
      <c r="A757">
        <v>0</v>
      </c>
      <c r="B757" s="2">
        <v>2021</v>
      </c>
      <c r="C757" s="4" t="s">
        <v>81</v>
      </c>
      <c r="D757" s="2" t="s">
        <v>232</v>
      </c>
      <c r="E757" s="2" t="s">
        <v>234</v>
      </c>
      <c r="F757" s="16">
        <v>6887047</v>
      </c>
      <c r="G757" s="16">
        <v>239720</v>
      </c>
      <c r="H757" s="15">
        <v>7126767</v>
      </c>
      <c r="I757">
        <f>VLOOKUP(C757,LEAIDs!$A$2:$B$305,2,FALSE)</f>
        <v>0</v>
      </c>
    </row>
    <row r="758" spans="1:9" x14ac:dyDescent="0.2">
      <c r="A758">
        <v>0</v>
      </c>
      <c r="B758" s="2">
        <v>2022</v>
      </c>
      <c r="C758" s="4" t="s">
        <v>81</v>
      </c>
      <c r="D758" s="2" t="s">
        <v>232</v>
      </c>
      <c r="E758" s="2" t="s">
        <v>234</v>
      </c>
      <c r="F758" s="16">
        <v>6333315</v>
      </c>
      <c r="G758" s="16">
        <v>226274</v>
      </c>
      <c r="H758" s="15">
        <v>6559589</v>
      </c>
      <c r="I758">
        <f>VLOOKUP(C758,LEAIDs!$A$2:$B$305,2,FALSE)</f>
        <v>0</v>
      </c>
    </row>
    <row r="759" spans="1:9" x14ac:dyDescent="0.2">
      <c r="A759">
        <v>0</v>
      </c>
      <c r="B759" s="2">
        <v>2023</v>
      </c>
      <c r="C759" s="2" t="s">
        <v>81</v>
      </c>
      <c r="D759" s="2" t="s">
        <v>232</v>
      </c>
      <c r="E759" s="2" t="s">
        <v>234</v>
      </c>
      <c r="F759" s="15">
        <v>6481272</v>
      </c>
      <c r="G759" s="15">
        <v>231068</v>
      </c>
      <c r="H759" s="15">
        <v>6712340</v>
      </c>
      <c r="I759">
        <f>VLOOKUP(C759,LEAIDs!$A$2:$B$305,2,FALSE)</f>
        <v>0</v>
      </c>
    </row>
    <row r="760" spans="1:9" x14ac:dyDescent="0.2">
      <c r="A760">
        <v>0</v>
      </c>
      <c r="B760">
        <v>2015</v>
      </c>
      <c r="C760" t="s">
        <v>181</v>
      </c>
      <c r="D760" t="s">
        <v>232</v>
      </c>
      <c r="E760" t="s">
        <v>234</v>
      </c>
      <c r="F760" s="17">
        <v>66571</v>
      </c>
      <c r="G760" s="17">
        <v>2046</v>
      </c>
      <c r="H760" s="17">
        <v>68617</v>
      </c>
      <c r="I760">
        <f>VLOOKUP(C760,LEAIDs!$A$2:$B$305,2,FALSE)</f>
        <v>0</v>
      </c>
    </row>
    <row r="761" spans="1:9" x14ac:dyDescent="0.2">
      <c r="A761">
        <v>0</v>
      </c>
      <c r="B761">
        <v>2016</v>
      </c>
      <c r="C761" t="s">
        <v>181</v>
      </c>
      <c r="D761" t="s">
        <v>232</v>
      </c>
      <c r="E761" t="s">
        <v>234</v>
      </c>
      <c r="F761" s="17">
        <v>79212</v>
      </c>
      <c r="G761" s="17">
        <v>2613</v>
      </c>
      <c r="H761" s="17">
        <v>81825</v>
      </c>
      <c r="I761">
        <f>VLOOKUP(C761,LEAIDs!$A$2:$B$305,2,FALSE)</f>
        <v>0</v>
      </c>
    </row>
    <row r="762" spans="1:9" x14ac:dyDescent="0.2">
      <c r="A762">
        <v>0</v>
      </c>
      <c r="B762">
        <v>2017</v>
      </c>
      <c r="C762" t="s">
        <v>181</v>
      </c>
      <c r="D762" t="s">
        <v>232</v>
      </c>
      <c r="E762" t="s">
        <v>234</v>
      </c>
      <c r="F762" s="17">
        <v>63094</v>
      </c>
      <c r="G762" s="17">
        <v>2179</v>
      </c>
      <c r="H762" s="17">
        <v>65273</v>
      </c>
      <c r="I762">
        <f>VLOOKUP(C762,LEAIDs!$A$2:$B$305,2,FALSE)</f>
        <v>0</v>
      </c>
    </row>
    <row r="763" spans="1:9" x14ac:dyDescent="0.2">
      <c r="A763">
        <v>0</v>
      </c>
      <c r="B763">
        <v>2018</v>
      </c>
      <c r="C763" t="s">
        <v>181</v>
      </c>
      <c r="D763" t="s">
        <v>232</v>
      </c>
      <c r="E763" t="s">
        <v>234</v>
      </c>
      <c r="F763" s="17">
        <v>68288</v>
      </c>
      <c r="G763" s="17">
        <v>2247</v>
      </c>
      <c r="H763" s="17">
        <v>70535</v>
      </c>
      <c r="I763">
        <f>VLOOKUP(C763,LEAIDs!$A$2:$B$305,2,FALSE)</f>
        <v>0</v>
      </c>
    </row>
    <row r="764" spans="1:9" x14ac:dyDescent="0.2">
      <c r="A764">
        <v>0</v>
      </c>
      <c r="B764">
        <v>2019</v>
      </c>
      <c r="C764" t="s">
        <v>181</v>
      </c>
      <c r="D764" t="s">
        <v>232</v>
      </c>
      <c r="E764" t="s">
        <v>234</v>
      </c>
      <c r="F764" s="17">
        <v>78276</v>
      </c>
      <c r="G764" s="17">
        <v>2627</v>
      </c>
      <c r="H764" s="17">
        <v>80903</v>
      </c>
      <c r="I764">
        <f>VLOOKUP(C764,LEAIDs!$A$2:$B$305,2,FALSE)</f>
        <v>0</v>
      </c>
    </row>
    <row r="765" spans="1:9" x14ac:dyDescent="0.2">
      <c r="A765">
        <v>0</v>
      </c>
      <c r="B765">
        <v>2020</v>
      </c>
      <c r="C765" t="s">
        <v>181</v>
      </c>
      <c r="D765" t="s">
        <v>232</v>
      </c>
      <c r="E765" t="s">
        <v>234</v>
      </c>
      <c r="F765" s="17">
        <v>106372</v>
      </c>
      <c r="G765" s="17">
        <v>3754</v>
      </c>
      <c r="H765" s="17">
        <v>110126</v>
      </c>
      <c r="I765">
        <f>VLOOKUP(C765,LEAIDs!$A$2:$B$305,2,FALSE)</f>
        <v>0</v>
      </c>
    </row>
    <row r="766" spans="1:9" x14ac:dyDescent="0.2">
      <c r="A766">
        <v>0</v>
      </c>
      <c r="B766" s="2">
        <v>2021</v>
      </c>
      <c r="C766" s="4" t="s">
        <v>181</v>
      </c>
      <c r="D766" s="2" t="s">
        <v>232</v>
      </c>
      <c r="E766" s="2" t="s">
        <v>234</v>
      </c>
      <c r="F766" s="16">
        <v>101694</v>
      </c>
      <c r="G766" s="16">
        <v>3540</v>
      </c>
      <c r="H766" s="15">
        <v>105234</v>
      </c>
      <c r="I766">
        <f>VLOOKUP(C766,LEAIDs!$A$2:$B$305,2,FALSE)</f>
        <v>0</v>
      </c>
    </row>
    <row r="767" spans="1:9" x14ac:dyDescent="0.2">
      <c r="A767">
        <v>0</v>
      </c>
      <c r="B767" s="2">
        <v>2022</v>
      </c>
      <c r="C767" s="4" t="s">
        <v>181</v>
      </c>
      <c r="D767" s="2" t="s">
        <v>232</v>
      </c>
      <c r="E767" s="2" t="s">
        <v>234</v>
      </c>
      <c r="F767" s="16">
        <v>111998</v>
      </c>
      <c r="G767" s="16">
        <v>4001</v>
      </c>
      <c r="H767" s="15">
        <v>115999</v>
      </c>
      <c r="I767">
        <f>VLOOKUP(C767,LEAIDs!$A$2:$B$305,2,FALSE)</f>
        <v>0</v>
      </c>
    </row>
    <row r="768" spans="1:9" x14ac:dyDescent="0.2">
      <c r="A768">
        <v>0</v>
      </c>
      <c r="B768" s="2">
        <v>2023</v>
      </c>
      <c r="C768" s="2" t="s">
        <v>181</v>
      </c>
      <c r="D768" s="2" t="s">
        <v>232</v>
      </c>
      <c r="E768" s="2" t="s">
        <v>234</v>
      </c>
      <c r="F768" s="15">
        <v>147336</v>
      </c>
      <c r="G768" s="15">
        <v>5253</v>
      </c>
      <c r="H768" s="15">
        <v>152589</v>
      </c>
      <c r="I768">
        <f>VLOOKUP(C768,LEAIDs!$A$2:$B$305,2,FALSE)</f>
        <v>0</v>
      </c>
    </row>
    <row r="769" spans="1:9" x14ac:dyDescent="0.2">
      <c r="A769">
        <v>0</v>
      </c>
      <c r="B769">
        <v>2019</v>
      </c>
      <c r="C769" t="s">
        <v>184</v>
      </c>
      <c r="D769" t="s">
        <v>232</v>
      </c>
      <c r="E769" t="s">
        <v>234</v>
      </c>
      <c r="F769" s="17">
        <v>38158</v>
      </c>
      <c r="G769" s="17">
        <v>1281</v>
      </c>
      <c r="H769" s="17">
        <v>39439</v>
      </c>
      <c r="I769">
        <f>VLOOKUP(C769,LEAIDs!$A$2:$B$305,2,FALSE)</f>
        <v>0</v>
      </c>
    </row>
    <row r="770" spans="1:9" x14ac:dyDescent="0.2">
      <c r="A770">
        <v>0</v>
      </c>
      <c r="B770">
        <v>2020</v>
      </c>
      <c r="C770" t="s">
        <v>184</v>
      </c>
      <c r="D770" t="s">
        <v>232</v>
      </c>
      <c r="E770" t="s">
        <v>234</v>
      </c>
      <c r="F770" s="17">
        <v>45953</v>
      </c>
      <c r="G770" s="17">
        <v>1622</v>
      </c>
      <c r="H770" s="17">
        <v>47575</v>
      </c>
      <c r="I770">
        <f>VLOOKUP(C770,LEAIDs!$A$2:$B$305,2,FALSE)</f>
        <v>0</v>
      </c>
    </row>
    <row r="771" spans="1:9" x14ac:dyDescent="0.2">
      <c r="A771">
        <v>0</v>
      </c>
      <c r="B771" s="2">
        <v>2021</v>
      </c>
      <c r="C771" s="4" t="s">
        <v>184</v>
      </c>
      <c r="D771" s="2" t="s">
        <v>232</v>
      </c>
      <c r="E771" s="2" t="s">
        <v>234</v>
      </c>
      <c r="F771" s="16">
        <v>39733</v>
      </c>
      <c r="G771" s="16">
        <v>1383</v>
      </c>
      <c r="H771" s="15">
        <v>41116</v>
      </c>
      <c r="I771">
        <f>VLOOKUP(C771,LEAIDs!$A$2:$B$305,2,FALSE)</f>
        <v>0</v>
      </c>
    </row>
    <row r="772" spans="1:9" x14ac:dyDescent="0.2">
      <c r="A772">
        <v>0</v>
      </c>
      <c r="B772" s="2">
        <v>2022</v>
      </c>
      <c r="C772" s="4" t="s">
        <v>184</v>
      </c>
      <c r="D772" s="2" t="s">
        <v>232</v>
      </c>
      <c r="E772" s="2" t="s">
        <v>234</v>
      </c>
      <c r="F772" s="16">
        <v>47618</v>
      </c>
      <c r="G772" s="16">
        <v>1701</v>
      </c>
      <c r="H772" s="15">
        <v>49319</v>
      </c>
      <c r="I772">
        <f>VLOOKUP(C772,LEAIDs!$A$2:$B$305,2,FALSE)</f>
        <v>0</v>
      </c>
    </row>
    <row r="773" spans="1:9" x14ac:dyDescent="0.2">
      <c r="A773">
        <v>0</v>
      </c>
      <c r="B773" s="2">
        <v>2023</v>
      </c>
      <c r="C773" s="2" t="s">
        <v>184</v>
      </c>
      <c r="D773" s="2" t="s">
        <v>232</v>
      </c>
      <c r="E773" s="2" t="s">
        <v>234</v>
      </c>
      <c r="F773" s="15">
        <v>65003</v>
      </c>
      <c r="G773" s="15">
        <v>2317</v>
      </c>
      <c r="H773" s="15">
        <v>67320</v>
      </c>
      <c r="I773">
        <f>VLOOKUP(C773,LEAIDs!$A$2:$B$305,2,FALSE)</f>
        <v>0</v>
      </c>
    </row>
    <row r="774" spans="1:9" x14ac:dyDescent="0.2">
      <c r="A774">
        <v>0</v>
      </c>
      <c r="B774">
        <v>2015</v>
      </c>
      <c r="C774" t="s">
        <v>265</v>
      </c>
      <c r="D774" t="s">
        <v>232</v>
      </c>
      <c r="E774" t="s">
        <v>234</v>
      </c>
      <c r="F774" s="17">
        <v>2393357</v>
      </c>
      <c r="G774" s="17">
        <v>73573</v>
      </c>
      <c r="H774" s="17">
        <v>2466930</v>
      </c>
      <c r="I774">
        <f>VLOOKUP(C774,LEAIDs!$A$2:$B$305,2,FALSE)</f>
        <v>0</v>
      </c>
    </row>
    <row r="775" spans="1:9" x14ac:dyDescent="0.2">
      <c r="A775">
        <v>0</v>
      </c>
      <c r="B775">
        <v>2016</v>
      </c>
      <c r="C775" t="s">
        <v>265</v>
      </c>
      <c r="D775" t="s">
        <v>232</v>
      </c>
      <c r="E775" t="s">
        <v>234</v>
      </c>
      <c r="F775" s="17">
        <v>2477549</v>
      </c>
      <c r="G775" s="17">
        <v>81722</v>
      </c>
      <c r="H775" s="17">
        <v>2559271</v>
      </c>
      <c r="I775">
        <f>VLOOKUP(C775,LEAIDs!$A$2:$B$305,2,FALSE)</f>
        <v>0</v>
      </c>
    </row>
    <row r="776" spans="1:9" x14ac:dyDescent="0.2">
      <c r="A776">
        <v>0</v>
      </c>
      <c r="B776">
        <v>2017</v>
      </c>
      <c r="C776" t="s">
        <v>265</v>
      </c>
      <c r="D776" t="s">
        <v>232</v>
      </c>
      <c r="E776" t="s">
        <v>234</v>
      </c>
      <c r="F776" s="17">
        <v>2782811</v>
      </c>
      <c r="G776" s="17">
        <v>96117</v>
      </c>
      <c r="H776" s="17">
        <v>2878928</v>
      </c>
      <c r="I776">
        <f>VLOOKUP(C776,LEAIDs!$A$2:$B$305,2,FALSE)</f>
        <v>0</v>
      </c>
    </row>
    <row r="777" spans="1:9" x14ac:dyDescent="0.2">
      <c r="A777">
        <v>0</v>
      </c>
      <c r="B777">
        <v>2018</v>
      </c>
      <c r="C777" t="s">
        <v>265</v>
      </c>
      <c r="D777" t="s">
        <v>232</v>
      </c>
      <c r="E777" t="s">
        <v>234</v>
      </c>
      <c r="F777" s="17">
        <v>2936321</v>
      </c>
      <c r="G777" s="17">
        <v>96630</v>
      </c>
      <c r="H777" s="17">
        <v>3032951</v>
      </c>
      <c r="I777">
        <f>VLOOKUP(C777,LEAIDs!$A$2:$B$305,2,FALSE)</f>
        <v>0</v>
      </c>
    </row>
    <row r="778" spans="1:9" x14ac:dyDescent="0.2">
      <c r="A778">
        <v>0</v>
      </c>
      <c r="B778">
        <v>2019</v>
      </c>
      <c r="C778" t="s">
        <v>265</v>
      </c>
      <c r="D778" t="s">
        <v>232</v>
      </c>
      <c r="E778" t="s">
        <v>234</v>
      </c>
      <c r="F778" s="17">
        <v>2605359</v>
      </c>
      <c r="G778" s="17">
        <v>87440</v>
      </c>
      <c r="H778" s="17">
        <v>2692799</v>
      </c>
      <c r="I778">
        <f>VLOOKUP(C778,LEAIDs!$A$2:$B$305,2,FALSE)</f>
        <v>0</v>
      </c>
    </row>
    <row r="779" spans="1:9" x14ac:dyDescent="0.2">
      <c r="A779">
        <v>0</v>
      </c>
      <c r="B779">
        <v>2020</v>
      </c>
      <c r="C779" t="s">
        <v>265</v>
      </c>
      <c r="D779" t="s">
        <v>232</v>
      </c>
      <c r="E779" t="s">
        <v>234</v>
      </c>
      <c r="F779" s="17">
        <v>78578</v>
      </c>
      <c r="G779" s="17">
        <v>2773</v>
      </c>
      <c r="H779" s="17">
        <v>81351</v>
      </c>
      <c r="I779">
        <f>VLOOKUP(C779,LEAIDs!$A$2:$B$305,2,FALSE)</f>
        <v>0</v>
      </c>
    </row>
    <row r="780" spans="1:9" x14ac:dyDescent="0.2">
      <c r="A780">
        <v>0</v>
      </c>
      <c r="B780">
        <v>2015</v>
      </c>
      <c r="C780" t="s">
        <v>220</v>
      </c>
      <c r="D780" t="s">
        <v>232</v>
      </c>
      <c r="E780" t="s">
        <v>234</v>
      </c>
      <c r="F780" s="17">
        <v>868845</v>
      </c>
      <c r="G780" s="17">
        <v>26709</v>
      </c>
      <c r="H780" s="17">
        <v>895554</v>
      </c>
      <c r="I780">
        <f>VLOOKUP(C780,LEAIDs!$A$2:$B$305,2,FALSE)</f>
        <v>0</v>
      </c>
    </row>
    <row r="781" spans="1:9" x14ac:dyDescent="0.2">
      <c r="A781">
        <v>0</v>
      </c>
      <c r="B781">
        <v>2016</v>
      </c>
      <c r="C781" t="s">
        <v>220</v>
      </c>
      <c r="D781" t="s">
        <v>232</v>
      </c>
      <c r="E781" t="s">
        <v>234</v>
      </c>
      <c r="F781" s="17">
        <v>894247</v>
      </c>
      <c r="G781" s="17">
        <v>29497</v>
      </c>
      <c r="H781" s="17">
        <v>923744</v>
      </c>
      <c r="I781">
        <f>VLOOKUP(C781,LEAIDs!$A$2:$B$305,2,FALSE)</f>
        <v>0</v>
      </c>
    </row>
    <row r="782" spans="1:9" x14ac:dyDescent="0.2">
      <c r="A782">
        <v>0</v>
      </c>
      <c r="B782">
        <v>2017</v>
      </c>
      <c r="C782" t="s">
        <v>220</v>
      </c>
      <c r="D782" t="s">
        <v>232</v>
      </c>
      <c r="E782" t="s">
        <v>234</v>
      </c>
      <c r="F782" s="17">
        <v>910560</v>
      </c>
      <c r="G782" s="17">
        <v>31450</v>
      </c>
      <c r="H782" s="17">
        <v>942010</v>
      </c>
      <c r="I782">
        <f>VLOOKUP(C782,LEAIDs!$A$2:$B$305,2,FALSE)</f>
        <v>0</v>
      </c>
    </row>
    <row r="783" spans="1:9" x14ac:dyDescent="0.2">
      <c r="A783">
        <v>0</v>
      </c>
      <c r="B783">
        <v>2018</v>
      </c>
      <c r="C783" t="s">
        <v>220</v>
      </c>
      <c r="D783" t="s">
        <v>232</v>
      </c>
      <c r="E783" t="s">
        <v>234</v>
      </c>
      <c r="F783" s="17">
        <v>972016</v>
      </c>
      <c r="G783" s="17">
        <v>31988</v>
      </c>
      <c r="H783" s="17">
        <v>1004004</v>
      </c>
      <c r="I783">
        <f>VLOOKUP(C783,LEAIDs!$A$2:$B$305,2,FALSE)</f>
        <v>0</v>
      </c>
    </row>
    <row r="784" spans="1:9" x14ac:dyDescent="0.2">
      <c r="A784">
        <v>0</v>
      </c>
      <c r="B784">
        <v>2019</v>
      </c>
      <c r="C784" t="s">
        <v>220</v>
      </c>
      <c r="D784" t="s">
        <v>232</v>
      </c>
      <c r="E784" t="s">
        <v>234</v>
      </c>
      <c r="F784" s="17">
        <v>981645</v>
      </c>
      <c r="G784" s="17">
        <v>32946</v>
      </c>
      <c r="H784" s="17">
        <v>1014591</v>
      </c>
      <c r="I784">
        <f>VLOOKUP(C784,LEAIDs!$A$2:$B$305,2,FALSE)</f>
        <v>0</v>
      </c>
    </row>
    <row r="785" spans="1:9" x14ac:dyDescent="0.2">
      <c r="A785">
        <v>0</v>
      </c>
      <c r="B785">
        <v>2020</v>
      </c>
      <c r="C785" t="s">
        <v>220</v>
      </c>
      <c r="D785" t="s">
        <v>232</v>
      </c>
      <c r="E785" t="s">
        <v>234</v>
      </c>
      <c r="F785" s="17">
        <v>975411</v>
      </c>
      <c r="G785" s="17">
        <v>34421</v>
      </c>
      <c r="H785" s="17">
        <v>1009832</v>
      </c>
      <c r="I785">
        <f>VLOOKUP(C785,LEAIDs!$A$2:$B$305,2,FALSE)</f>
        <v>0</v>
      </c>
    </row>
    <row r="786" spans="1:9" x14ac:dyDescent="0.2">
      <c r="A786">
        <v>0</v>
      </c>
      <c r="B786" s="2">
        <v>2021</v>
      </c>
      <c r="C786" s="4" t="s">
        <v>220</v>
      </c>
      <c r="D786" s="2" t="s">
        <v>232</v>
      </c>
      <c r="E786" s="2" t="s">
        <v>234</v>
      </c>
      <c r="F786" s="16">
        <v>1013985</v>
      </c>
      <c r="G786" s="16">
        <v>35294</v>
      </c>
      <c r="H786" s="15">
        <v>1049279</v>
      </c>
      <c r="I786">
        <f>VLOOKUP(C786,LEAIDs!$A$2:$B$305,2,FALSE)</f>
        <v>0</v>
      </c>
    </row>
    <row r="787" spans="1:9" x14ac:dyDescent="0.2">
      <c r="A787">
        <v>0</v>
      </c>
      <c r="B787" s="2">
        <v>2022</v>
      </c>
      <c r="C787" s="4" t="s">
        <v>220</v>
      </c>
      <c r="D787" s="2" t="s">
        <v>232</v>
      </c>
      <c r="E787" s="2" t="s">
        <v>234</v>
      </c>
      <c r="F787" s="16">
        <v>931119</v>
      </c>
      <c r="G787" s="16">
        <v>33267</v>
      </c>
      <c r="H787" s="15">
        <v>964386</v>
      </c>
      <c r="I787">
        <f>VLOOKUP(C787,LEAIDs!$A$2:$B$305,2,FALSE)</f>
        <v>0</v>
      </c>
    </row>
    <row r="788" spans="1:9" x14ac:dyDescent="0.2">
      <c r="A788">
        <v>0</v>
      </c>
      <c r="B788" s="2">
        <v>2023</v>
      </c>
      <c r="C788" s="2" t="s">
        <v>220</v>
      </c>
      <c r="D788" s="2" t="s">
        <v>232</v>
      </c>
      <c r="E788" s="2" t="s">
        <v>234</v>
      </c>
      <c r="F788" s="15">
        <v>1117942</v>
      </c>
      <c r="G788" s="15">
        <v>39856</v>
      </c>
      <c r="H788" s="15">
        <v>1157798</v>
      </c>
      <c r="I788">
        <f>VLOOKUP(C788,LEAIDs!$A$2:$B$305,2,FALSE)</f>
        <v>0</v>
      </c>
    </row>
    <row r="789" spans="1:9" x14ac:dyDescent="0.2">
      <c r="A789">
        <v>0</v>
      </c>
      <c r="B789">
        <v>2015</v>
      </c>
      <c r="C789" t="s">
        <v>299</v>
      </c>
      <c r="D789" t="s">
        <v>232</v>
      </c>
      <c r="E789" t="s">
        <v>234</v>
      </c>
      <c r="F789" s="17">
        <v>20380</v>
      </c>
      <c r="G789" s="17">
        <v>627</v>
      </c>
      <c r="H789" s="17">
        <v>21007</v>
      </c>
      <c r="I789">
        <f>VLOOKUP(C789,LEAIDs!$A$2:$B$305,2,FALSE)</f>
        <v>0</v>
      </c>
    </row>
    <row r="790" spans="1:9" x14ac:dyDescent="0.2">
      <c r="A790">
        <v>0</v>
      </c>
      <c r="B790">
        <v>2016</v>
      </c>
      <c r="C790" t="s">
        <v>299</v>
      </c>
      <c r="D790" t="s">
        <v>232</v>
      </c>
      <c r="E790" t="s">
        <v>234</v>
      </c>
      <c r="F790" s="17">
        <v>544</v>
      </c>
      <c r="G790" s="17">
        <v>18</v>
      </c>
      <c r="H790" s="17">
        <v>562</v>
      </c>
      <c r="I790">
        <f>VLOOKUP(C790,LEAIDs!$A$2:$B$305,2,FALSE)</f>
        <v>0</v>
      </c>
    </row>
    <row r="791" spans="1:9" x14ac:dyDescent="0.2">
      <c r="A791">
        <v>2200025</v>
      </c>
      <c r="B791">
        <v>2015</v>
      </c>
      <c r="C791" t="s">
        <v>107</v>
      </c>
      <c r="D791" t="s">
        <v>232</v>
      </c>
      <c r="E791" t="s">
        <v>234</v>
      </c>
      <c r="F791" s="17">
        <v>438349</v>
      </c>
      <c r="G791" s="17">
        <v>13475</v>
      </c>
      <c r="H791" s="17">
        <v>451824</v>
      </c>
      <c r="I791">
        <f>VLOOKUP(C791,LEAIDs!$A$2:$B$305,2,FALSE)</f>
        <v>2200025</v>
      </c>
    </row>
    <row r="792" spans="1:9" x14ac:dyDescent="0.2">
      <c r="A792">
        <v>2200025</v>
      </c>
      <c r="B792">
        <v>2016</v>
      </c>
      <c r="C792" t="s">
        <v>107</v>
      </c>
      <c r="D792" t="s">
        <v>232</v>
      </c>
      <c r="E792" t="s">
        <v>234</v>
      </c>
      <c r="F792" s="17">
        <v>420573</v>
      </c>
      <c r="G792" s="17">
        <v>13873</v>
      </c>
      <c r="H792" s="17">
        <v>434446</v>
      </c>
      <c r="I792">
        <f>VLOOKUP(C792,LEAIDs!$A$2:$B$305,2,FALSE)</f>
        <v>2200025</v>
      </c>
    </row>
    <row r="793" spans="1:9" x14ac:dyDescent="0.2">
      <c r="A793">
        <v>2200025</v>
      </c>
      <c r="B793">
        <v>2017</v>
      </c>
      <c r="C793" t="s">
        <v>107</v>
      </c>
      <c r="D793" t="s">
        <v>232</v>
      </c>
      <c r="E793" t="s">
        <v>234</v>
      </c>
      <c r="F793" s="17">
        <v>330197</v>
      </c>
      <c r="G793" s="17">
        <v>11405</v>
      </c>
      <c r="H793" s="17">
        <v>341602</v>
      </c>
      <c r="I793">
        <f>VLOOKUP(C793,LEAIDs!$A$2:$B$305,2,FALSE)</f>
        <v>2200025</v>
      </c>
    </row>
    <row r="794" spans="1:9" x14ac:dyDescent="0.2">
      <c r="A794">
        <v>2200025</v>
      </c>
      <c r="B794">
        <v>2018</v>
      </c>
      <c r="C794" t="s">
        <v>107</v>
      </c>
      <c r="D794" t="s">
        <v>232</v>
      </c>
      <c r="E794" t="s">
        <v>234</v>
      </c>
      <c r="F794" s="17">
        <v>332534</v>
      </c>
      <c r="G794" s="17">
        <v>10943</v>
      </c>
      <c r="H794" s="17">
        <v>343477</v>
      </c>
      <c r="I794">
        <f>VLOOKUP(C794,LEAIDs!$A$2:$B$305,2,FALSE)</f>
        <v>2200025</v>
      </c>
    </row>
    <row r="795" spans="1:9" x14ac:dyDescent="0.2">
      <c r="A795">
        <v>2200025</v>
      </c>
      <c r="B795">
        <v>2019</v>
      </c>
      <c r="C795" t="s">
        <v>107</v>
      </c>
      <c r="D795" t="s">
        <v>232</v>
      </c>
      <c r="E795" t="s">
        <v>234</v>
      </c>
      <c r="F795" s="17">
        <v>284525</v>
      </c>
      <c r="G795" s="17">
        <v>9549</v>
      </c>
      <c r="H795" s="17">
        <v>294074</v>
      </c>
      <c r="I795">
        <f>VLOOKUP(C795,LEAIDs!$A$2:$B$305,2,FALSE)</f>
        <v>2200025</v>
      </c>
    </row>
    <row r="796" spans="1:9" x14ac:dyDescent="0.2">
      <c r="A796">
        <v>2200025</v>
      </c>
      <c r="B796">
        <v>2020</v>
      </c>
      <c r="C796" t="s">
        <v>107</v>
      </c>
      <c r="D796" t="s">
        <v>232</v>
      </c>
      <c r="E796" t="s">
        <v>234</v>
      </c>
      <c r="F796" s="17">
        <v>305751</v>
      </c>
      <c r="G796" s="17">
        <v>10789</v>
      </c>
      <c r="H796" s="17">
        <v>316540</v>
      </c>
      <c r="I796">
        <f>VLOOKUP(C796,LEAIDs!$A$2:$B$305,2,FALSE)</f>
        <v>2200025</v>
      </c>
    </row>
    <row r="797" spans="1:9" x14ac:dyDescent="0.2">
      <c r="A797">
        <v>2200025</v>
      </c>
      <c r="B797" s="2">
        <v>2021</v>
      </c>
      <c r="C797" s="4" t="s">
        <v>107</v>
      </c>
      <c r="D797" s="2" t="s">
        <v>232</v>
      </c>
      <c r="E797" s="2" t="s">
        <v>234</v>
      </c>
      <c r="F797" s="16">
        <v>306308</v>
      </c>
      <c r="G797" s="16">
        <v>10662</v>
      </c>
      <c r="H797" s="15">
        <v>316970</v>
      </c>
      <c r="I797">
        <f>VLOOKUP(C797,LEAIDs!$A$2:$B$305,2,FALSE)</f>
        <v>2200025</v>
      </c>
    </row>
    <row r="798" spans="1:9" x14ac:dyDescent="0.2">
      <c r="A798">
        <v>2200025</v>
      </c>
      <c r="B798" s="2">
        <v>2022</v>
      </c>
      <c r="C798" s="4" t="s">
        <v>107</v>
      </c>
      <c r="D798" s="2" t="s">
        <v>232</v>
      </c>
      <c r="E798" s="2" t="s">
        <v>234</v>
      </c>
      <c r="F798" s="16">
        <v>271019</v>
      </c>
      <c r="G798" s="16">
        <v>9683</v>
      </c>
      <c r="H798" s="15">
        <v>280702</v>
      </c>
      <c r="I798">
        <f>VLOOKUP(C798,LEAIDs!$A$2:$B$305,2,FALSE)</f>
        <v>2200025</v>
      </c>
    </row>
    <row r="799" spans="1:9" x14ac:dyDescent="0.2">
      <c r="A799">
        <v>2200025</v>
      </c>
      <c r="B799" s="2">
        <v>2023</v>
      </c>
      <c r="C799" s="2" t="s">
        <v>107</v>
      </c>
      <c r="D799" s="2" t="s">
        <v>232</v>
      </c>
      <c r="E799" s="2" t="s">
        <v>234</v>
      </c>
      <c r="F799" s="15">
        <v>253080</v>
      </c>
      <c r="G799" s="15">
        <v>9023</v>
      </c>
      <c r="H799" s="15">
        <v>262103</v>
      </c>
      <c r="I799">
        <f>VLOOKUP(C799,LEAIDs!$A$2:$B$305,2,FALSE)</f>
        <v>2200025</v>
      </c>
    </row>
    <row r="800" spans="1:9" x14ac:dyDescent="0.2">
      <c r="A800">
        <v>0</v>
      </c>
      <c r="B800">
        <v>2015</v>
      </c>
      <c r="C800" t="s">
        <v>71</v>
      </c>
      <c r="D800" t="s">
        <v>232</v>
      </c>
      <c r="E800" t="s">
        <v>234</v>
      </c>
      <c r="F800" s="17">
        <v>6229314</v>
      </c>
      <c r="G800" s="17">
        <v>191493</v>
      </c>
      <c r="H800" s="17">
        <v>6420807</v>
      </c>
      <c r="I800">
        <f>VLOOKUP(C800,LEAIDs!$A$2:$B$305,2,FALSE)</f>
        <v>0</v>
      </c>
    </row>
    <row r="801" spans="1:9" x14ac:dyDescent="0.2">
      <c r="A801">
        <v>0</v>
      </c>
      <c r="B801">
        <v>2016</v>
      </c>
      <c r="C801" t="s">
        <v>71</v>
      </c>
      <c r="D801" t="s">
        <v>232</v>
      </c>
      <c r="E801" t="s">
        <v>234</v>
      </c>
      <c r="F801" s="17">
        <v>5729237</v>
      </c>
      <c r="G801" s="17">
        <v>188979</v>
      </c>
      <c r="H801" s="17">
        <v>5918216</v>
      </c>
      <c r="I801">
        <f>VLOOKUP(C801,LEAIDs!$A$2:$B$305,2,FALSE)</f>
        <v>0</v>
      </c>
    </row>
    <row r="802" spans="1:9" x14ac:dyDescent="0.2">
      <c r="A802">
        <v>0</v>
      </c>
      <c r="B802">
        <v>2017</v>
      </c>
      <c r="C802" t="s">
        <v>71</v>
      </c>
      <c r="D802" t="s">
        <v>232</v>
      </c>
      <c r="E802" t="s">
        <v>234</v>
      </c>
      <c r="F802" s="17">
        <v>5756319</v>
      </c>
      <c r="G802" s="17">
        <v>198821</v>
      </c>
      <c r="H802" s="17">
        <v>5955140</v>
      </c>
      <c r="I802">
        <f>VLOOKUP(C802,LEAIDs!$A$2:$B$305,2,FALSE)</f>
        <v>0</v>
      </c>
    </row>
    <row r="803" spans="1:9" x14ac:dyDescent="0.2">
      <c r="A803">
        <v>0</v>
      </c>
      <c r="B803">
        <v>2018</v>
      </c>
      <c r="C803" t="s">
        <v>71</v>
      </c>
      <c r="D803" t="s">
        <v>232</v>
      </c>
      <c r="E803" t="s">
        <v>234</v>
      </c>
      <c r="F803" s="17">
        <v>6287070</v>
      </c>
      <c r="G803" s="17">
        <v>206898</v>
      </c>
      <c r="H803" s="17">
        <v>6493968</v>
      </c>
      <c r="I803">
        <f>VLOOKUP(C803,LEAIDs!$A$2:$B$305,2,FALSE)</f>
        <v>0</v>
      </c>
    </row>
    <row r="804" spans="1:9" x14ac:dyDescent="0.2">
      <c r="A804">
        <v>0</v>
      </c>
      <c r="B804">
        <v>2019</v>
      </c>
      <c r="C804" t="s">
        <v>71</v>
      </c>
      <c r="D804" t="s">
        <v>232</v>
      </c>
      <c r="E804" t="s">
        <v>234</v>
      </c>
      <c r="F804" s="17">
        <v>6893488</v>
      </c>
      <c r="G804" s="17">
        <v>231356</v>
      </c>
      <c r="H804" s="17">
        <v>7124844</v>
      </c>
      <c r="I804">
        <f>VLOOKUP(C804,LEAIDs!$A$2:$B$305,2,FALSE)</f>
        <v>0</v>
      </c>
    </row>
    <row r="805" spans="1:9" x14ac:dyDescent="0.2">
      <c r="A805">
        <v>0</v>
      </c>
      <c r="B805">
        <v>2020</v>
      </c>
      <c r="C805" t="s">
        <v>71</v>
      </c>
      <c r="D805" t="s">
        <v>232</v>
      </c>
      <c r="E805" t="s">
        <v>234</v>
      </c>
      <c r="F805" s="17">
        <v>7197762</v>
      </c>
      <c r="G805" s="17">
        <v>253998</v>
      </c>
      <c r="H805" s="17">
        <v>7451760</v>
      </c>
      <c r="I805">
        <f>VLOOKUP(C805,LEAIDs!$A$2:$B$305,2,FALSE)</f>
        <v>0</v>
      </c>
    </row>
    <row r="806" spans="1:9" x14ac:dyDescent="0.2">
      <c r="A806">
        <v>0</v>
      </c>
      <c r="B806" s="2">
        <v>2021</v>
      </c>
      <c r="C806" s="4" t="s">
        <v>71</v>
      </c>
      <c r="D806" s="2" t="s">
        <v>232</v>
      </c>
      <c r="E806" s="2" t="s">
        <v>234</v>
      </c>
      <c r="F806" s="16">
        <v>7411334</v>
      </c>
      <c r="G806" s="16">
        <v>257969</v>
      </c>
      <c r="H806" s="15">
        <v>7669303</v>
      </c>
      <c r="I806">
        <f>VLOOKUP(C806,LEAIDs!$A$2:$B$305,2,FALSE)</f>
        <v>0</v>
      </c>
    </row>
    <row r="807" spans="1:9" x14ac:dyDescent="0.2">
      <c r="A807">
        <v>0</v>
      </c>
      <c r="B807" s="2">
        <v>2022</v>
      </c>
      <c r="C807" s="4" t="s">
        <v>71</v>
      </c>
      <c r="D807" s="2" t="s">
        <v>232</v>
      </c>
      <c r="E807" s="2" t="s">
        <v>234</v>
      </c>
      <c r="F807" s="16">
        <v>7265915</v>
      </c>
      <c r="G807" s="16">
        <v>259594</v>
      </c>
      <c r="H807" s="15">
        <v>7525509</v>
      </c>
      <c r="I807">
        <f>VLOOKUP(C807,LEAIDs!$A$2:$B$305,2,FALSE)</f>
        <v>0</v>
      </c>
    </row>
    <row r="808" spans="1:9" x14ac:dyDescent="0.2">
      <c r="A808">
        <v>0</v>
      </c>
      <c r="B808" s="2">
        <v>2023</v>
      </c>
      <c r="C808" s="2" t="s">
        <v>71</v>
      </c>
      <c r="D808" s="2" t="s">
        <v>232</v>
      </c>
      <c r="E808" s="2" t="s">
        <v>234</v>
      </c>
      <c r="F808" s="15">
        <v>7219234</v>
      </c>
      <c r="G808" s="15">
        <v>257378</v>
      </c>
      <c r="H808" s="15">
        <v>7476612</v>
      </c>
      <c r="I808">
        <f>VLOOKUP(C808,LEAIDs!$A$2:$B$305,2,FALSE)</f>
        <v>0</v>
      </c>
    </row>
    <row r="809" spans="1:9" x14ac:dyDescent="0.2">
      <c r="A809">
        <v>0</v>
      </c>
      <c r="B809">
        <v>2018</v>
      </c>
      <c r="C809" t="s">
        <v>151</v>
      </c>
      <c r="D809" t="s">
        <v>232</v>
      </c>
      <c r="E809" t="s">
        <v>234</v>
      </c>
      <c r="F809" s="17">
        <v>17354</v>
      </c>
      <c r="G809" s="17">
        <v>571</v>
      </c>
      <c r="H809" s="17">
        <v>17925</v>
      </c>
      <c r="I809">
        <f>VLOOKUP(C809,LEAIDs!$A$2:$B$305,2,FALSE)</f>
        <v>0</v>
      </c>
    </row>
    <row r="810" spans="1:9" x14ac:dyDescent="0.2">
      <c r="A810">
        <v>0</v>
      </c>
      <c r="B810">
        <v>2019</v>
      </c>
      <c r="C810" t="s">
        <v>151</v>
      </c>
      <c r="D810" t="s">
        <v>232</v>
      </c>
      <c r="E810" t="s">
        <v>234</v>
      </c>
      <c r="F810" s="17">
        <v>28348</v>
      </c>
      <c r="G810" s="17">
        <v>951</v>
      </c>
      <c r="H810" s="17">
        <v>29299</v>
      </c>
      <c r="I810">
        <f>VLOOKUP(C810,LEAIDs!$A$2:$B$305,2,FALSE)</f>
        <v>0</v>
      </c>
    </row>
    <row r="811" spans="1:9" x14ac:dyDescent="0.2">
      <c r="A811">
        <v>0</v>
      </c>
      <c r="B811">
        <v>2020</v>
      </c>
      <c r="C811" t="s">
        <v>151</v>
      </c>
      <c r="D811" t="s">
        <v>232</v>
      </c>
      <c r="E811" t="s">
        <v>234</v>
      </c>
      <c r="F811" s="17">
        <v>20176</v>
      </c>
      <c r="G811" s="17">
        <v>712</v>
      </c>
      <c r="H811" s="17">
        <v>20888</v>
      </c>
      <c r="I811">
        <f>VLOOKUP(C811,LEAIDs!$A$2:$B$305,2,FALSE)</f>
        <v>0</v>
      </c>
    </row>
    <row r="812" spans="1:9" x14ac:dyDescent="0.2">
      <c r="A812">
        <v>0</v>
      </c>
      <c r="B812" s="2">
        <v>2021</v>
      </c>
      <c r="C812" s="4" t="s">
        <v>151</v>
      </c>
      <c r="D812" s="2" t="s">
        <v>232</v>
      </c>
      <c r="E812" s="2" t="s">
        <v>234</v>
      </c>
      <c r="F812" s="16">
        <v>20468</v>
      </c>
      <c r="G812" s="16">
        <v>712</v>
      </c>
      <c r="H812" s="15">
        <v>21180</v>
      </c>
      <c r="I812">
        <f>VLOOKUP(C812,LEAIDs!$A$2:$B$305,2,FALSE)</f>
        <v>0</v>
      </c>
    </row>
    <row r="813" spans="1:9" x14ac:dyDescent="0.2">
      <c r="A813">
        <v>0</v>
      </c>
      <c r="B813" s="2">
        <v>2022</v>
      </c>
      <c r="C813" s="4" t="s">
        <v>151</v>
      </c>
      <c r="D813" s="2" t="s">
        <v>232</v>
      </c>
      <c r="E813" s="2" t="s">
        <v>234</v>
      </c>
      <c r="F813" s="16">
        <v>20485</v>
      </c>
      <c r="G813" s="16">
        <v>732</v>
      </c>
      <c r="H813" s="15">
        <v>21217</v>
      </c>
      <c r="I813">
        <f>VLOOKUP(C813,LEAIDs!$A$2:$B$305,2,FALSE)</f>
        <v>0</v>
      </c>
    </row>
    <row r="814" spans="1:9" x14ac:dyDescent="0.2">
      <c r="A814">
        <v>0</v>
      </c>
      <c r="B814" s="2">
        <v>2023</v>
      </c>
      <c r="C814" s="2" t="s">
        <v>151</v>
      </c>
      <c r="D814" s="2" t="s">
        <v>232</v>
      </c>
      <c r="E814" s="2" t="s">
        <v>234</v>
      </c>
      <c r="F814" s="15">
        <v>20743</v>
      </c>
      <c r="G814" s="15">
        <v>740</v>
      </c>
      <c r="H814" s="15">
        <v>21483</v>
      </c>
      <c r="I814">
        <f>VLOOKUP(C814,LEAIDs!$A$2:$B$305,2,FALSE)</f>
        <v>0</v>
      </c>
    </row>
    <row r="815" spans="1:9" x14ac:dyDescent="0.2">
      <c r="A815">
        <v>0</v>
      </c>
      <c r="B815">
        <v>2015</v>
      </c>
      <c r="C815" t="s">
        <v>92</v>
      </c>
      <c r="D815" t="s">
        <v>232</v>
      </c>
      <c r="E815" t="s">
        <v>234</v>
      </c>
      <c r="F815" s="17">
        <v>1516513</v>
      </c>
      <c r="G815" s="17">
        <v>46618</v>
      </c>
      <c r="H815" s="17">
        <v>1563131</v>
      </c>
      <c r="I815">
        <f>VLOOKUP(C815,LEAIDs!$A$2:$B$305,2,FALSE)</f>
        <v>0</v>
      </c>
    </row>
    <row r="816" spans="1:9" x14ac:dyDescent="0.2">
      <c r="A816">
        <v>0</v>
      </c>
      <c r="B816">
        <v>2016</v>
      </c>
      <c r="C816" t="s">
        <v>92</v>
      </c>
      <c r="D816" t="s">
        <v>232</v>
      </c>
      <c r="E816" t="s">
        <v>234</v>
      </c>
      <c r="F816" s="17">
        <v>1541016</v>
      </c>
      <c r="G816" s="17">
        <v>50830</v>
      </c>
      <c r="H816" s="17">
        <v>1591846</v>
      </c>
      <c r="I816">
        <f>VLOOKUP(C816,LEAIDs!$A$2:$B$305,2,FALSE)</f>
        <v>0</v>
      </c>
    </row>
    <row r="817" spans="1:9" x14ac:dyDescent="0.2">
      <c r="A817">
        <v>0</v>
      </c>
      <c r="B817">
        <v>2017</v>
      </c>
      <c r="C817" t="s">
        <v>92</v>
      </c>
      <c r="D817" t="s">
        <v>232</v>
      </c>
      <c r="E817" t="s">
        <v>234</v>
      </c>
      <c r="F817" s="17">
        <v>1832354</v>
      </c>
      <c r="G817" s="17">
        <v>63289</v>
      </c>
      <c r="H817" s="17">
        <v>1895643</v>
      </c>
      <c r="I817">
        <f>VLOOKUP(C817,LEAIDs!$A$2:$B$305,2,FALSE)</f>
        <v>0</v>
      </c>
    </row>
    <row r="818" spans="1:9" x14ac:dyDescent="0.2">
      <c r="A818">
        <v>0</v>
      </c>
      <c r="B818">
        <v>2018</v>
      </c>
      <c r="C818" t="s">
        <v>92</v>
      </c>
      <c r="D818" t="s">
        <v>232</v>
      </c>
      <c r="E818" t="s">
        <v>234</v>
      </c>
      <c r="F818" s="17">
        <v>1995722</v>
      </c>
      <c r="G818" s="17">
        <v>65676</v>
      </c>
      <c r="H818" s="17">
        <v>2061398</v>
      </c>
      <c r="I818">
        <f>VLOOKUP(C818,LEAIDs!$A$2:$B$305,2,FALSE)</f>
        <v>0</v>
      </c>
    </row>
    <row r="819" spans="1:9" x14ac:dyDescent="0.2">
      <c r="A819">
        <v>0</v>
      </c>
      <c r="B819">
        <v>2019</v>
      </c>
      <c r="C819" t="s">
        <v>92</v>
      </c>
      <c r="D819" t="s">
        <v>232</v>
      </c>
      <c r="E819" t="s">
        <v>234</v>
      </c>
      <c r="F819" s="17">
        <v>2235437</v>
      </c>
      <c r="G819" s="17">
        <v>75025</v>
      </c>
      <c r="H819" s="17">
        <v>2310462</v>
      </c>
      <c r="I819">
        <f>VLOOKUP(C819,LEAIDs!$A$2:$B$305,2,FALSE)</f>
        <v>0</v>
      </c>
    </row>
    <row r="820" spans="1:9" x14ac:dyDescent="0.2">
      <c r="A820">
        <v>0</v>
      </c>
      <c r="B820">
        <v>2020</v>
      </c>
      <c r="C820" t="s">
        <v>92</v>
      </c>
      <c r="D820" t="s">
        <v>232</v>
      </c>
      <c r="E820" t="s">
        <v>234</v>
      </c>
      <c r="F820" s="17">
        <v>2682526</v>
      </c>
      <c r="G820" s="17">
        <v>94662</v>
      </c>
      <c r="H820" s="17">
        <v>2777188</v>
      </c>
      <c r="I820">
        <f>VLOOKUP(C820,LEAIDs!$A$2:$B$305,2,FALSE)</f>
        <v>0</v>
      </c>
    </row>
    <row r="821" spans="1:9" x14ac:dyDescent="0.2">
      <c r="A821">
        <v>0</v>
      </c>
      <c r="B821" s="2">
        <v>2021</v>
      </c>
      <c r="C821" s="4" t="s">
        <v>92</v>
      </c>
      <c r="D821" s="2" t="s">
        <v>232</v>
      </c>
      <c r="E821" s="2" t="s">
        <v>234</v>
      </c>
      <c r="F821" s="16">
        <v>2455138</v>
      </c>
      <c r="G821" s="16">
        <v>85457</v>
      </c>
      <c r="H821" s="15">
        <v>2540595</v>
      </c>
      <c r="I821">
        <f>VLOOKUP(C821,LEAIDs!$A$2:$B$305,2,FALSE)</f>
        <v>0</v>
      </c>
    </row>
    <row r="822" spans="1:9" x14ac:dyDescent="0.2">
      <c r="A822">
        <v>0</v>
      </c>
      <c r="B822" s="2">
        <v>2022</v>
      </c>
      <c r="C822" s="4" t="s">
        <v>92</v>
      </c>
      <c r="D822" s="2" t="s">
        <v>232</v>
      </c>
      <c r="E822" s="2" t="s">
        <v>234</v>
      </c>
      <c r="F822" s="16">
        <v>2468657</v>
      </c>
      <c r="G822" s="16">
        <v>88199</v>
      </c>
      <c r="H822" s="15">
        <v>2556856</v>
      </c>
      <c r="I822">
        <f>VLOOKUP(C822,LEAIDs!$A$2:$B$305,2,FALSE)</f>
        <v>0</v>
      </c>
    </row>
    <row r="823" spans="1:9" x14ac:dyDescent="0.2">
      <c r="A823">
        <v>0</v>
      </c>
      <c r="B823" s="2">
        <v>2023</v>
      </c>
      <c r="C823" s="2" t="s">
        <v>92</v>
      </c>
      <c r="D823" s="2" t="s">
        <v>232</v>
      </c>
      <c r="E823" s="2" t="s">
        <v>234</v>
      </c>
      <c r="F823" s="15">
        <v>2877527</v>
      </c>
      <c r="G823" s="15">
        <v>102589</v>
      </c>
      <c r="H823" s="15">
        <v>2980116</v>
      </c>
      <c r="I823">
        <f>VLOOKUP(C823,LEAIDs!$A$2:$B$305,2,FALSE)</f>
        <v>0</v>
      </c>
    </row>
    <row r="824" spans="1:9" x14ac:dyDescent="0.2">
      <c r="A824">
        <v>0</v>
      </c>
      <c r="B824">
        <v>2015</v>
      </c>
      <c r="C824" t="s">
        <v>93</v>
      </c>
      <c r="D824" t="s">
        <v>232</v>
      </c>
      <c r="E824" t="s">
        <v>234</v>
      </c>
      <c r="F824" s="17">
        <v>1304455</v>
      </c>
      <c r="G824" s="17">
        <v>40100</v>
      </c>
      <c r="H824" s="17">
        <v>1344555</v>
      </c>
      <c r="I824">
        <f>VLOOKUP(C824,LEAIDs!$A$2:$B$305,2,FALSE)</f>
        <v>0</v>
      </c>
    </row>
    <row r="825" spans="1:9" x14ac:dyDescent="0.2">
      <c r="A825">
        <v>0</v>
      </c>
      <c r="B825">
        <v>2016</v>
      </c>
      <c r="C825" t="s">
        <v>93</v>
      </c>
      <c r="D825" t="s">
        <v>232</v>
      </c>
      <c r="E825" t="s">
        <v>234</v>
      </c>
      <c r="F825" s="17">
        <v>1135855</v>
      </c>
      <c r="G825" s="17">
        <v>37466</v>
      </c>
      <c r="H825" s="17">
        <v>1173321</v>
      </c>
      <c r="I825">
        <f>VLOOKUP(C825,LEAIDs!$A$2:$B$305,2,FALSE)</f>
        <v>0</v>
      </c>
    </row>
    <row r="826" spans="1:9" x14ac:dyDescent="0.2">
      <c r="A826">
        <v>0</v>
      </c>
      <c r="B826">
        <v>2017</v>
      </c>
      <c r="C826" t="s">
        <v>93</v>
      </c>
      <c r="D826" t="s">
        <v>232</v>
      </c>
      <c r="E826" t="s">
        <v>234</v>
      </c>
      <c r="F826" s="17">
        <v>686901</v>
      </c>
      <c r="G826" s="17">
        <v>23725</v>
      </c>
      <c r="H826" s="17">
        <v>710626</v>
      </c>
      <c r="I826">
        <f>VLOOKUP(C826,LEAIDs!$A$2:$B$305,2,FALSE)</f>
        <v>0</v>
      </c>
    </row>
    <row r="827" spans="1:9" x14ac:dyDescent="0.2">
      <c r="A827">
        <v>0</v>
      </c>
      <c r="B827">
        <v>2018</v>
      </c>
      <c r="C827" t="s">
        <v>93</v>
      </c>
      <c r="D827" t="s">
        <v>232</v>
      </c>
      <c r="E827" t="s">
        <v>234</v>
      </c>
      <c r="F827" s="17">
        <v>804937</v>
      </c>
      <c r="G827" s="17">
        <v>26489</v>
      </c>
      <c r="H827" s="17">
        <v>831426</v>
      </c>
      <c r="I827">
        <f>VLOOKUP(C827,LEAIDs!$A$2:$B$305,2,FALSE)</f>
        <v>0</v>
      </c>
    </row>
    <row r="828" spans="1:9" x14ac:dyDescent="0.2">
      <c r="A828">
        <v>0</v>
      </c>
      <c r="B828">
        <v>2019</v>
      </c>
      <c r="C828" t="s">
        <v>93</v>
      </c>
      <c r="D828" t="s">
        <v>232</v>
      </c>
      <c r="E828" t="s">
        <v>234</v>
      </c>
      <c r="F828" s="17">
        <v>771976</v>
      </c>
      <c r="G828" s="17">
        <v>25909</v>
      </c>
      <c r="H828" s="17">
        <v>797885</v>
      </c>
      <c r="I828">
        <f>VLOOKUP(C828,LEAIDs!$A$2:$B$305,2,FALSE)</f>
        <v>0</v>
      </c>
    </row>
    <row r="829" spans="1:9" x14ac:dyDescent="0.2">
      <c r="A829">
        <v>0</v>
      </c>
      <c r="B829">
        <v>2020</v>
      </c>
      <c r="C829" t="s">
        <v>93</v>
      </c>
      <c r="D829" t="s">
        <v>232</v>
      </c>
      <c r="E829" t="s">
        <v>234</v>
      </c>
      <c r="F829" s="17">
        <v>876767</v>
      </c>
      <c r="G829" s="17">
        <v>30940</v>
      </c>
      <c r="H829" s="17">
        <v>907707</v>
      </c>
      <c r="I829">
        <f>VLOOKUP(C829,LEAIDs!$A$2:$B$305,2,FALSE)</f>
        <v>0</v>
      </c>
    </row>
    <row r="830" spans="1:9" x14ac:dyDescent="0.2">
      <c r="A830">
        <v>0</v>
      </c>
      <c r="B830" s="2">
        <v>2021</v>
      </c>
      <c r="C830" s="4" t="s">
        <v>93</v>
      </c>
      <c r="D830" s="2" t="s">
        <v>232</v>
      </c>
      <c r="E830" s="2" t="s">
        <v>234</v>
      </c>
      <c r="F830" s="16">
        <v>789399</v>
      </c>
      <c r="G830" s="16">
        <v>27477</v>
      </c>
      <c r="H830" s="15">
        <v>816876</v>
      </c>
      <c r="I830">
        <f>VLOOKUP(C830,LEAIDs!$A$2:$B$305,2,FALSE)</f>
        <v>0</v>
      </c>
    </row>
    <row r="831" spans="1:9" x14ac:dyDescent="0.2">
      <c r="A831">
        <v>0</v>
      </c>
      <c r="B831" s="2">
        <v>2022</v>
      </c>
      <c r="C831" s="4" t="s">
        <v>93</v>
      </c>
      <c r="D831" s="2" t="s">
        <v>232</v>
      </c>
      <c r="E831" s="2" t="s">
        <v>234</v>
      </c>
      <c r="F831" s="16">
        <v>885667</v>
      </c>
      <c r="G831" s="16">
        <v>31643</v>
      </c>
      <c r="H831" s="15">
        <v>917310</v>
      </c>
      <c r="I831">
        <f>VLOOKUP(C831,LEAIDs!$A$2:$B$305,2,FALSE)</f>
        <v>0</v>
      </c>
    </row>
    <row r="832" spans="1:9" x14ac:dyDescent="0.2">
      <c r="A832">
        <v>0</v>
      </c>
      <c r="B832" s="2">
        <v>2023</v>
      </c>
      <c r="C832" s="2" t="s">
        <v>93</v>
      </c>
      <c r="D832" s="2" t="s">
        <v>232</v>
      </c>
      <c r="E832" s="2" t="s">
        <v>234</v>
      </c>
      <c r="F832" s="15">
        <v>988469</v>
      </c>
      <c r="G832" s="15">
        <v>35241</v>
      </c>
      <c r="H832" s="15">
        <v>1023710</v>
      </c>
      <c r="I832">
        <f>VLOOKUP(C832,LEAIDs!$A$2:$B$305,2,FALSE)</f>
        <v>0</v>
      </c>
    </row>
    <row r="833" spans="1:9" x14ac:dyDescent="0.2">
      <c r="A833">
        <v>0</v>
      </c>
      <c r="B833">
        <v>2015</v>
      </c>
      <c r="C833" t="s">
        <v>67</v>
      </c>
      <c r="D833" t="s">
        <v>232</v>
      </c>
      <c r="E833" t="s">
        <v>234</v>
      </c>
      <c r="F833" s="17">
        <v>7542194</v>
      </c>
      <c r="G833" s="17">
        <v>231851</v>
      </c>
      <c r="H833" s="17">
        <v>7774045</v>
      </c>
      <c r="I833">
        <f>VLOOKUP(C833,LEAIDs!$A$2:$B$305,2,FALSE)</f>
        <v>0</v>
      </c>
    </row>
    <row r="834" spans="1:9" x14ac:dyDescent="0.2">
      <c r="A834">
        <v>0</v>
      </c>
      <c r="B834">
        <v>2016</v>
      </c>
      <c r="C834" t="s">
        <v>67</v>
      </c>
      <c r="D834" t="s">
        <v>232</v>
      </c>
      <c r="E834" t="s">
        <v>234</v>
      </c>
      <c r="F834" s="17">
        <v>7629445</v>
      </c>
      <c r="G834" s="17">
        <v>251657</v>
      </c>
      <c r="H834" s="17">
        <v>7881102</v>
      </c>
      <c r="I834">
        <f>VLOOKUP(C834,LEAIDs!$A$2:$B$305,2,FALSE)</f>
        <v>0</v>
      </c>
    </row>
    <row r="835" spans="1:9" x14ac:dyDescent="0.2">
      <c r="A835">
        <v>0</v>
      </c>
      <c r="B835">
        <v>2017</v>
      </c>
      <c r="C835" t="s">
        <v>67</v>
      </c>
      <c r="D835" t="s">
        <v>232</v>
      </c>
      <c r="E835" t="s">
        <v>234</v>
      </c>
      <c r="F835" s="17">
        <v>7529158</v>
      </c>
      <c r="G835" s="17">
        <v>260054</v>
      </c>
      <c r="H835" s="17">
        <v>7789212</v>
      </c>
      <c r="I835">
        <f>VLOOKUP(C835,LEAIDs!$A$2:$B$305,2,FALSE)</f>
        <v>0</v>
      </c>
    </row>
    <row r="836" spans="1:9" x14ac:dyDescent="0.2">
      <c r="A836">
        <v>0</v>
      </c>
      <c r="B836">
        <v>2018</v>
      </c>
      <c r="C836" t="s">
        <v>67</v>
      </c>
      <c r="D836" t="s">
        <v>232</v>
      </c>
      <c r="E836" t="s">
        <v>234</v>
      </c>
      <c r="F836" s="17">
        <v>8554910</v>
      </c>
      <c r="G836" s="17">
        <v>281529</v>
      </c>
      <c r="H836" s="17">
        <v>8836439</v>
      </c>
      <c r="I836">
        <f>VLOOKUP(C836,LEAIDs!$A$2:$B$305,2,FALSE)</f>
        <v>0</v>
      </c>
    </row>
    <row r="837" spans="1:9" x14ac:dyDescent="0.2">
      <c r="A837">
        <v>0</v>
      </c>
      <c r="B837">
        <v>2019</v>
      </c>
      <c r="C837" t="s">
        <v>67</v>
      </c>
      <c r="D837" t="s">
        <v>232</v>
      </c>
      <c r="E837" t="s">
        <v>234</v>
      </c>
      <c r="F837" s="17">
        <v>9157687</v>
      </c>
      <c r="G837" s="17">
        <v>307347</v>
      </c>
      <c r="H837" s="17">
        <v>9465034</v>
      </c>
      <c r="I837">
        <f>VLOOKUP(C837,LEAIDs!$A$2:$B$305,2,FALSE)</f>
        <v>0</v>
      </c>
    </row>
    <row r="838" spans="1:9" x14ac:dyDescent="0.2">
      <c r="A838">
        <v>0</v>
      </c>
      <c r="B838">
        <v>2020</v>
      </c>
      <c r="C838" t="s">
        <v>67</v>
      </c>
      <c r="D838" t="s">
        <v>232</v>
      </c>
      <c r="E838" t="s">
        <v>234</v>
      </c>
      <c r="F838" s="17">
        <v>9114002</v>
      </c>
      <c r="G838" s="17">
        <v>321619</v>
      </c>
      <c r="H838" s="17">
        <v>9435621</v>
      </c>
      <c r="I838">
        <f>VLOOKUP(C838,LEAIDs!$A$2:$B$305,2,FALSE)</f>
        <v>0</v>
      </c>
    </row>
    <row r="839" spans="1:9" x14ac:dyDescent="0.2">
      <c r="A839">
        <v>0</v>
      </c>
      <c r="B839" s="2">
        <v>2021</v>
      </c>
      <c r="C839" s="4" t="s">
        <v>67</v>
      </c>
      <c r="D839" s="2" t="s">
        <v>232</v>
      </c>
      <c r="E839" s="2" t="s">
        <v>234</v>
      </c>
      <c r="F839" s="16">
        <v>8924762</v>
      </c>
      <c r="G839" s="16">
        <v>310647</v>
      </c>
      <c r="H839" s="15">
        <v>9235409</v>
      </c>
      <c r="I839">
        <f>VLOOKUP(C839,LEAIDs!$A$2:$B$305,2,FALSE)</f>
        <v>0</v>
      </c>
    </row>
    <row r="840" spans="1:9" x14ac:dyDescent="0.2">
      <c r="A840">
        <v>0</v>
      </c>
      <c r="B840" s="2">
        <v>2022</v>
      </c>
      <c r="C840" s="4" t="s">
        <v>67</v>
      </c>
      <c r="D840" s="2" t="s">
        <v>232</v>
      </c>
      <c r="E840" s="2" t="s">
        <v>234</v>
      </c>
      <c r="F840" s="16">
        <v>8844310</v>
      </c>
      <c r="G840" s="16">
        <v>315986</v>
      </c>
      <c r="H840" s="15">
        <v>9160296</v>
      </c>
      <c r="I840">
        <f>VLOOKUP(C840,LEAIDs!$A$2:$B$305,2,FALSE)</f>
        <v>0</v>
      </c>
    </row>
    <row r="841" spans="1:9" x14ac:dyDescent="0.2">
      <c r="A841">
        <v>0</v>
      </c>
      <c r="B841" s="2">
        <v>2023</v>
      </c>
      <c r="C841" s="2" t="s">
        <v>67</v>
      </c>
      <c r="D841" s="2" t="s">
        <v>232</v>
      </c>
      <c r="E841" s="2" t="s">
        <v>234</v>
      </c>
      <c r="F841" s="15">
        <v>9460863</v>
      </c>
      <c r="G841" s="15">
        <v>337295</v>
      </c>
      <c r="H841" s="15">
        <v>9798158</v>
      </c>
      <c r="I841">
        <f>VLOOKUP(C841,LEAIDs!$A$2:$B$305,2,FALSE)</f>
        <v>0</v>
      </c>
    </row>
    <row r="842" spans="1:9" x14ac:dyDescent="0.2">
      <c r="A842">
        <v>0</v>
      </c>
      <c r="B842">
        <v>2015</v>
      </c>
      <c r="C842" t="s">
        <v>140</v>
      </c>
      <c r="D842" t="s">
        <v>232</v>
      </c>
      <c r="E842" t="s">
        <v>234</v>
      </c>
      <c r="F842" s="17">
        <v>19711</v>
      </c>
      <c r="G842" s="17">
        <v>606</v>
      </c>
      <c r="H842" s="17">
        <v>20317</v>
      </c>
      <c r="I842">
        <f>VLOOKUP(C842,LEAIDs!$A$2:$B$305,2,FALSE)</f>
        <v>0</v>
      </c>
    </row>
    <row r="843" spans="1:9" x14ac:dyDescent="0.2">
      <c r="A843">
        <v>0</v>
      </c>
      <c r="B843">
        <v>2016</v>
      </c>
      <c r="C843" t="s">
        <v>140</v>
      </c>
      <c r="D843" t="s">
        <v>232</v>
      </c>
      <c r="E843" t="s">
        <v>234</v>
      </c>
      <c r="F843" s="17">
        <v>21375</v>
      </c>
      <c r="G843" s="17">
        <v>705</v>
      </c>
      <c r="H843" s="17">
        <v>22080</v>
      </c>
      <c r="I843">
        <f>VLOOKUP(C843,LEAIDs!$A$2:$B$305,2,FALSE)</f>
        <v>0</v>
      </c>
    </row>
    <row r="844" spans="1:9" x14ac:dyDescent="0.2">
      <c r="A844">
        <v>0</v>
      </c>
      <c r="B844">
        <v>2017</v>
      </c>
      <c r="C844" t="s">
        <v>140</v>
      </c>
      <c r="D844" t="s">
        <v>232</v>
      </c>
      <c r="E844" t="s">
        <v>234</v>
      </c>
      <c r="F844" s="17">
        <v>19067</v>
      </c>
      <c r="G844" s="17">
        <v>659</v>
      </c>
      <c r="H844" s="17">
        <v>19726</v>
      </c>
      <c r="I844">
        <f>VLOOKUP(C844,LEAIDs!$A$2:$B$305,2,FALSE)</f>
        <v>0</v>
      </c>
    </row>
    <row r="845" spans="1:9" x14ac:dyDescent="0.2">
      <c r="A845">
        <v>0</v>
      </c>
      <c r="B845">
        <v>2018</v>
      </c>
      <c r="C845" t="s">
        <v>140</v>
      </c>
      <c r="D845" t="s">
        <v>232</v>
      </c>
      <c r="E845" t="s">
        <v>234</v>
      </c>
      <c r="F845" s="17">
        <v>21681</v>
      </c>
      <c r="G845" s="17">
        <v>713</v>
      </c>
      <c r="H845" s="17">
        <v>22394</v>
      </c>
      <c r="I845">
        <f>VLOOKUP(C845,LEAIDs!$A$2:$B$305,2,FALSE)</f>
        <v>0</v>
      </c>
    </row>
    <row r="846" spans="1:9" x14ac:dyDescent="0.2">
      <c r="A846">
        <v>0</v>
      </c>
      <c r="B846">
        <v>2019</v>
      </c>
      <c r="C846" t="s">
        <v>140</v>
      </c>
      <c r="D846" t="s">
        <v>232</v>
      </c>
      <c r="E846" t="s">
        <v>234</v>
      </c>
      <c r="F846" s="17">
        <v>22919</v>
      </c>
      <c r="G846" s="17">
        <v>769</v>
      </c>
      <c r="H846" s="17">
        <v>23688</v>
      </c>
      <c r="I846">
        <f>VLOOKUP(C846,LEAIDs!$A$2:$B$305,2,FALSE)</f>
        <v>0</v>
      </c>
    </row>
    <row r="847" spans="1:9" x14ac:dyDescent="0.2">
      <c r="A847">
        <v>0</v>
      </c>
      <c r="B847">
        <v>2020</v>
      </c>
      <c r="C847" t="s">
        <v>140</v>
      </c>
      <c r="D847" t="s">
        <v>232</v>
      </c>
      <c r="E847" t="s">
        <v>234</v>
      </c>
      <c r="F847" s="17">
        <v>28125</v>
      </c>
      <c r="G847" s="17">
        <v>992</v>
      </c>
      <c r="H847" s="17">
        <v>29117</v>
      </c>
      <c r="I847">
        <f>VLOOKUP(C847,LEAIDs!$A$2:$B$305,2,FALSE)</f>
        <v>0</v>
      </c>
    </row>
    <row r="848" spans="1:9" x14ac:dyDescent="0.2">
      <c r="A848">
        <v>0</v>
      </c>
      <c r="B848" s="2">
        <v>2021</v>
      </c>
      <c r="C848" s="4" t="s">
        <v>140</v>
      </c>
      <c r="D848" s="2" t="s">
        <v>232</v>
      </c>
      <c r="E848" s="2" t="s">
        <v>234</v>
      </c>
      <c r="F848" s="16">
        <v>39014</v>
      </c>
      <c r="G848" s="16">
        <v>1358</v>
      </c>
      <c r="H848" s="15">
        <v>40372</v>
      </c>
      <c r="I848">
        <f>VLOOKUP(C848,LEAIDs!$A$2:$B$305,2,FALSE)</f>
        <v>0</v>
      </c>
    </row>
    <row r="849" spans="1:9" x14ac:dyDescent="0.2">
      <c r="A849">
        <v>0</v>
      </c>
      <c r="B849" s="2">
        <v>2022</v>
      </c>
      <c r="C849" s="4" t="s">
        <v>140</v>
      </c>
      <c r="D849" s="2" t="s">
        <v>232</v>
      </c>
      <c r="E849" s="2" t="s">
        <v>234</v>
      </c>
      <c r="F849" s="16">
        <v>28158</v>
      </c>
      <c r="G849" s="16">
        <v>1006</v>
      </c>
      <c r="H849" s="15">
        <v>29164</v>
      </c>
      <c r="I849">
        <f>VLOOKUP(C849,LEAIDs!$A$2:$B$305,2,FALSE)</f>
        <v>0</v>
      </c>
    </row>
    <row r="850" spans="1:9" x14ac:dyDescent="0.2">
      <c r="A850">
        <v>0</v>
      </c>
      <c r="B850" s="2">
        <v>2023</v>
      </c>
      <c r="C850" s="2" t="s">
        <v>140</v>
      </c>
      <c r="D850" s="2" t="s">
        <v>232</v>
      </c>
      <c r="E850" s="2" t="s">
        <v>234</v>
      </c>
      <c r="F850" s="15">
        <v>13771</v>
      </c>
      <c r="G850" s="15">
        <v>491</v>
      </c>
      <c r="H850" s="15">
        <v>14262</v>
      </c>
      <c r="I850">
        <f>VLOOKUP(C850,LEAIDs!$A$2:$B$305,2,FALSE)</f>
        <v>0</v>
      </c>
    </row>
    <row r="851" spans="1:9" x14ac:dyDescent="0.2">
      <c r="A851">
        <v>0</v>
      </c>
      <c r="B851">
        <v>2015</v>
      </c>
      <c r="C851" t="s">
        <v>91</v>
      </c>
      <c r="D851" t="s">
        <v>232</v>
      </c>
      <c r="E851" t="s">
        <v>234</v>
      </c>
      <c r="F851" s="17">
        <v>1207520</v>
      </c>
      <c r="G851" s="17">
        <v>37120</v>
      </c>
      <c r="H851" s="17">
        <v>1244640</v>
      </c>
      <c r="I851">
        <f>VLOOKUP(C851,LEAIDs!$A$2:$B$305,2,FALSE)</f>
        <v>0</v>
      </c>
    </row>
    <row r="852" spans="1:9" x14ac:dyDescent="0.2">
      <c r="A852">
        <v>0</v>
      </c>
      <c r="B852">
        <v>2016</v>
      </c>
      <c r="C852" t="s">
        <v>91</v>
      </c>
      <c r="D852" t="s">
        <v>232</v>
      </c>
      <c r="E852" t="s">
        <v>234</v>
      </c>
      <c r="F852" s="17">
        <v>1213434</v>
      </c>
      <c r="G852" s="17">
        <v>40025</v>
      </c>
      <c r="H852" s="17">
        <v>1253459</v>
      </c>
      <c r="I852">
        <f>VLOOKUP(C852,LEAIDs!$A$2:$B$305,2,FALSE)</f>
        <v>0</v>
      </c>
    </row>
    <row r="853" spans="1:9" x14ac:dyDescent="0.2">
      <c r="A853">
        <v>0</v>
      </c>
      <c r="B853">
        <v>2017</v>
      </c>
      <c r="C853" t="s">
        <v>91</v>
      </c>
      <c r="D853" t="s">
        <v>232</v>
      </c>
      <c r="E853" t="s">
        <v>234</v>
      </c>
      <c r="F853" s="17">
        <v>1225572</v>
      </c>
      <c r="G853" s="17">
        <v>42331</v>
      </c>
      <c r="H853" s="17">
        <v>1267903</v>
      </c>
      <c r="I853">
        <f>VLOOKUP(C853,LEAIDs!$A$2:$B$305,2,FALSE)</f>
        <v>0</v>
      </c>
    </row>
    <row r="854" spans="1:9" x14ac:dyDescent="0.2">
      <c r="A854">
        <v>0</v>
      </c>
      <c r="B854">
        <v>2018</v>
      </c>
      <c r="C854" t="s">
        <v>91</v>
      </c>
      <c r="D854" t="s">
        <v>232</v>
      </c>
      <c r="E854" t="s">
        <v>234</v>
      </c>
      <c r="F854" s="17">
        <v>1228426</v>
      </c>
      <c r="G854" s="17">
        <v>40426</v>
      </c>
      <c r="H854" s="17">
        <v>1268852</v>
      </c>
      <c r="I854">
        <f>VLOOKUP(C854,LEAIDs!$A$2:$B$305,2,FALSE)</f>
        <v>0</v>
      </c>
    </row>
    <row r="855" spans="1:9" x14ac:dyDescent="0.2">
      <c r="A855">
        <v>0</v>
      </c>
      <c r="B855">
        <v>2019</v>
      </c>
      <c r="C855" t="s">
        <v>91</v>
      </c>
      <c r="D855" t="s">
        <v>232</v>
      </c>
      <c r="E855" t="s">
        <v>234</v>
      </c>
      <c r="F855" s="17">
        <v>1399645</v>
      </c>
      <c r="G855" s="17">
        <v>46974</v>
      </c>
      <c r="H855" s="17">
        <v>1446619</v>
      </c>
      <c r="I855">
        <f>VLOOKUP(C855,LEAIDs!$A$2:$B$305,2,FALSE)</f>
        <v>0</v>
      </c>
    </row>
    <row r="856" spans="1:9" x14ac:dyDescent="0.2">
      <c r="A856">
        <v>0</v>
      </c>
      <c r="B856">
        <v>2020</v>
      </c>
      <c r="C856" t="s">
        <v>91</v>
      </c>
      <c r="D856" t="s">
        <v>232</v>
      </c>
      <c r="E856" t="s">
        <v>234</v>
      </c>
      <c r="F856" s="17">
        <v>1404458</v>
      </c>
      <c r="G856" s="17">
        <v>49561</v>
      </c>
      <c r="H856" s="17">
        <v>1454019</v>
      </c>
      <c r="I856">
        <f>VLOOKUP(C856,LEAIDs!$A$2:$B$305,2,FALSE)</f>
        <v>0</v>
      </c>
    </row>
    <row r="857" spans="1:9" x14ac:dyDescent="0.2">
      <c r="A857">
        <v>0</v>
      </c>
      <c r="B857" s="2">
        <v>2021</v>
      </c>
      <c r="C857" s="4" t="s">
        <v>91</v>
      </c>
      <c r="D857" s="2" t="s">
        <v>232</v>
      </c>
      <c r="E857" s="2" t="s">
        <v>234</v>
      </c>
      <c r="F857" s="16">
        <v>1380060</v>
      </c>
      <c r="G857" s="16">
        <v>48036</v>
      </c>
      <c r="H857" s="15">
        <v>1428096</v>
      </c>
      <c r="I857">
        <f>VLOOKUP(C857,LEAIDs!$A$2:$B$305,2,FALSE)</f>
        <v>0</v>
      </c>
    </row>
    <row r="858" spans="1:9" x14ac:dyDescent="0.2">
      <c r="A858">
        <v>0</v>
      </c>
      <c r="B858" s="2">
        <v>2022</v>
      </c>
      <c r="C858" s="4" t="s">
        <v>91</v>
      </c>
      <c r="D858" s="2" t="s">
        <v>232</v>
      </c>
      <c r="E858" s="2" t="s">
        <v>234</v>
      </c>
      <c r="F858" s="16">
        <v>1448861</v>
      </c>
      <c r="G858" s="16">
        <v>51764</v>
      </c>
      <c r="H858" s="15">
        <v>1500625</v>
      </c>
      <c r="I858">
        <f>VLOOKUP(C858,LEAIDs!$A$2:$B$305,2,FALSE)</f>
        <v>0</v>
      </c>
    </row>
    <row r="859" spans="1:9" x14ac:dyDescent="0.2">
      <c r="A859">
        <v>0</v>
      </c>
      <c r="B859" s="2">
        <v>2023</v>
      </c>
      <c r="C859" s="2" t="s">
        <v>91</v>
      </c>
      <c r="D859" s="2" t="s">
        <v>232</v>
      </c>
      <c r="E859" s="2" t="s">
        <v>234</v>
      </c>
      <c r="F859" s="15">
        <v>1558885</v>
      </c>
      <c r="G859" s="15">
        <v>55577</v>
      </c>
      <c r="H859" s="15">
        <v>1614462</v>
      </c>
      <c r="I859">
        <f>VLOOKUP(C859,LEAIDs!$A$2:$B$305,2,FALSE)</f>
        <v>0</v>
      </c>
    </row>
    <row r="860" spans="1:9" x14ac:dyDescent="0.2">
      <c r="A860">
        <v>0</v>
      </c>
      <c r="B860">
        <v>2015</v>
      </c>
      <c r="C860" t="s">
        <v>159</v>
      </c>
      <c r="D860" t="s">
        <v>232</v>
      </c>
      <c r="E860" t="s">
        <v>234</v>
      </c>
      <c r="F860" s="17">
        <v>55663</v>
      </c>
      <c r="G860" s="17">
        <v>1711</v>
      </c>
      <c r="H860" s="17">
        <v>57374</v>
      </c>
      <c r="I860">
        <f>VLOOKUP(C860,LEAIDs!$A$2:$B$305,2,FALSE)</f>
        <v>0</v>
      </c>
    </row>
    <row r="861" spans="1:9" x14ac:dyDescent="0.2">
      <c r="A861">
        <v>0</v>
      </c>
      <c r="B861">
        <v>2016</v>
      </c>
      <c r="C861" t="s">
        <v>159</v>
      </c>
      <c r="D861" t="s">
        <v>232</v>
      </c>
      <c r="E861" t="s">
        <v>234</v>
      </c>
      <c r="F861" s="17">
        <v>54410</v>
      </c>
      <c r="G861" s="17">
        <v>1795</v>
      </c>
      <c r="H861" s="17">
        <v>56205</v>
      </c>
      <c r="I861">
        <f>VLOOKUP(C861,LEAIDs!$A$2:$B$305,2,FALSE)</f>
        <v>0</v>
      </c>
    </row>
    <row r="862" spans="1:9" x14ac:dyDescent="0.2">
      <c r="A862">
        <v>0</v>
      </c>
      <c r="B862">
        <v>2017</v>
      </c>
      <c r="C862" t="s">
        <v>159</v>
      </c>
      <c r="D862" t="s">
        <v>232</v>
      </c>
      <c r="E862" t="s">
        <v>234</v>
      </c>
      <c r="F862" s="17">
        <v>70591</v>
      </c>
      <c r="G862" s="17">
        <v>2438</v>
      </c>
      <c r="H862" s="17">
        <v>73029</v>
      </c>
      <c r="I862">
        <f>VLOOKUP(C862,LEAIDs!$A$2:$B$305,2,FALSE)</f>
        <v>0</v>
      </c>
    </row>
    <row r="863" spans="1:9" x14ac:dyDescent="0.2">
      <c r="A863">
        <v>0</v>
      </c>
      <c r="B863">
        <v>2018</v>
      </c>
      <c r="C863" t="s">
        <v>159</v>
      </c>
      <c r="D863" t="s">
        <v>232</v>
      </c>
      <c r="E863" t="s">
        <v>234</v>
      </c>
      <c r="F863" s="17">
        <v>45417</v>
      </c>
      <c r="G863" s="17">
        <v>1495</v>
      </c>
      <c r="H863" s="17">
        <v>46912</v>
      </c>
      <c r="I863">
        <f>VLOOKUP(C863,LEAIDs!$A$2:$B$305,2,FALSE)</f>
        <v>0</v>
      </c>
    </row>
    <row r="864" spans="1:9" x14ac:dyDescent="0.2">
      <c r="A864">
        <v>0</v>
      </c>
      <c r="B864">
        <v>2019</v>
      </c>
      <c r="C864" t="s">
        <v>159</v>
      </c>
      <c r="D864" t="s">
        <v>232</v>
      </c>
      <c r="E864" t="s">
        <v>234</v>
      </c>
      <c r="F864" s="17">
        <v>26778</v>
      </c>
      <c r="G864" s="17">
        <v>899</v>
      </c>
      <c r="H864" s="17">
        <v>27677</v>
      </c>
      <c r="I864">
        <f>VLOOKUP(C864,LEAIDs!$A$2:$B$305,2,FALSE)</f>
        <v>0</v>
      </c>
    </row>
    <row r="865" spans="1:9" x14ac:dyDescent="0.2">
      <c r="A865">
        <v>0</v>
      </c>
      <c r="B865">
        <v>2020</v>
      </c>
      <c r="C865" t="s">
        <v>159</v>
      </c>
      <c r="D865" t="s">
        <v>232</v>
      </c>
      <c r="E865" t="s">
        <v>234</v>
      </c>
      <c r="F865" s="17">
        <v>26572</v>
      </c>
      <c r="G865" s="17">
        <v>938</v>
      </c>
      <c r="H865" s="17">
        <v>27510</v>
      </c>
      <c r="I865">
        <f>VLOOKUP(C865,LEAIDs!$A$2:$B$305,2,FALSE)</f>
        <v>0</v>
      </c>
    </row>
    <row r="866" spans="1:9" x14ac:dyDescent="0.2">
      <c r="A866">
        <v>0</v>
      </c>
      <c r="B866" s="2">
        <v>2021</v>
      </c>
      <c r="C866" s="4" t="s">
        <v>159</v>
      </c>
      <c r="D866" s="2" t="s">
        <v>232</v>
      </c>
      <c r="E866" s="2" t="s">
        <v>234</v>
      </c>
      <c r="F866" s="16">
        <v>27869</v>
      </c>
      <c r="G866" s="16">
        <v>970</v>
      </c>
      <c r="H866" s="15">
        <v>28839</v>
      </c>
      <c r="I866">
        <f>VLOOKUP(C866,LEAIDs!$A$2:$B$305,2,FALSE)</f>
        <v>0</v>
      </c>
    </row>
    <row r="867" spans="1:9" x14ac:dyDescent="0.2">
      <c r="A867">
        <v>0</v>
      </c>
      <c r="B867" s="2">
        <v>2022</v>
      </c>
      <c r="C867" s="4" t="s">
        <v>159</v>
      </c>
      <c r="D867" s="2" t="s">
        <v>232</v>
      </c>
      <c r="E867" s="2" t="s">
        <v>234</v>
      </c>
      <c r="F867" s="16">
        <v>27069</v>
      </c>
      <c r="G867" s="16">
        <v>967</v>
      </c>
      <c r="H867" s="15">
        <v>28036</v>
      </c>
      <c r="I867">
        <f>VLOOKUP(C867,LEAIDs!$A$2:$B$305,2,FALSE)</f>
        <v>0</v>
      </c>
    </row>
    <row r="868" spans="1:9" x14ac:dyDescent="0.2">
      <c r="A868">
        <v>0</v>
      </c>
      <c r="B868" s="2">
        <v>2023</v>
      </c>
      <c r="C868" s="2" t="s">
        <v>159</v>
      </c>
      <c r="D868" s="2" t="s">
        <v>232</v>
      </c>
      <c r="E868" s="2" t="s">
        <v>234</v>
      </c>
      <c r="F868" s="15">
        <v>27862</v>
      </c>
      <c r="G868" s="15">
        <v>993</v>
      </c>
      <c r="H868" s="15">
        <v>28855</v>
      </c>
      <c r="I868">
        <f>VLOOKUP(C868,LEAIDs!$A$2:$B$305,2,FALSE)</f>
        <v>0</v>
      </c>
    </row>
    <row r="869" spans="1:9" x14ac:dyDescent="0.2">
      <c r="A869">
        <v>0</v>
      </c>
      <c r="B869">
        <v>2015</v>
      </c>
      <c r="C869" t="s">
        <v>172</v>
      </c>
      <c r="D869" t="s">
        <v>232</v>
      </c>
      <c r="E869" t="s">
        <v>234</v>
      </c>
      <c r="F869" s="17">
        <v>14330</v>
      </c>
      <c r="G869" s="17">
        <v>440</v>
      </c>
      <c r="H869" s="17">
        <v>14770</v>
      </c>
      <c r="I869">
        <f>VLOOKUP(C869,LEAIDs!$A$2:$B$305,2,FALSE)</f>
        <v>0</v>
      </c>
    </row>
    <row r="870" spans="1:9" x14ac:dyDescent="0.2">
      <c r="A870">
        <v>0</v>
      </c>
      <c r="B870">
        <v>2016</v>
      </c>
      <c r="C870" t="s">
        <v>172</v>
      </c>
      <c r="D870" t="s">
        <v>232</v>
      </c>
      <c r="E870" t="s">
        <v>234</v>
      </c>
      <c r="F870" s="17">
        <v>21190</v>
      </c>
      <c r="G870" s="17">
        <v>699</v>
      </c>
      <c r="H870" s="17">
        <v>21889</v>
      </c>
      <c r="I870">
        <f>VLOOKUP(C870,LEAIDs!$A$2:$B$305,2,FALSE)</f>
        <v>0</v>
      </c>
    </row>
    <row r="871" spans="1:9" x14ac:dyDescent="0.2">
      <c r="A871">
        <v>0</v>
      </c>
      <c r="B871">
        <v>2017</v>
      </c>
      <c r="C871" t="s">
        <v>172</v>
      </c>
      <c r="D871" t="s">
        <v>232</v>
      </c>
      <c r="E871" t="s">
        <v>234</v>
      </c>
      <c r="F871" s="17">
        <v>20852</v>
      </c>
      <c r="G871" s="17">
        <v>720</v>
      </c>
      <c r="H871" s="17">
        <v>21572</v>
      </c>
      <c r="I871">
        <f>VLOOKUP(C871,LEAIDs!$A$2:$B$305,2,FALSE)</f>
        <v>0</v>
      </c>
    </row>
    <row r="872" spans="1:9" x14ac:dyDescent="0.2">
      <c r="A872">
        <v>0</v>
      </c>
      <c r="B872">
        <v>2018</v>
      </c>
      <c r="C872" t="s">
        <v>172</v>
      </c>
      <c r="D872" t="s">
        <v>232</v>
      </c>
      <c r="E872" t="s">
        <v>234</v>
      </c>
      <c r="F872" s="17">
        <v>13376</v>
      </c>
      <c r="G872" s="17">
        <v>440</v>
      </c>
      <c r="H872" s="17">
        <v>13816</v>
      </c>
      <c r="I872">
        <f>VLOOKUP(C872,LEAIDs!$A$2:$B$305,2,FALSE)</f>
        <v>0</v>
      </c>
    </row>
    <row r="873" spans="1:9" x14ac:dyDescent="0.2">
      <c r="A873">
        <v>0</v>
      </c>
      <c r="B873">
        <v>2019</v>
      </c>
      <c r="C873" t="s">
        <v>172</v>
      </c>
      <c r="D873" t="s">
        <v>232</v>
      </c>
      <c r="E873" t="s">
        <v>234</v>
      </c>
      <c r="F873" s="17">
        <v>14423</v>
      </c>
      <c r="G873" s="17">
        <v>484</v>
      </c>
      <c r="H873" s="17">
        <v>14907</v>
      </c>
      <c r="I873">
        <f>VLOOKUP(C873,LEAIDs!$A$2:$B$305,2,FALSE)</f>
        <v>0</v>
      </c>
    </row>
    <row r="874" spans="1:9" x14ac:dyDescent="0.2">
      <c r="A874">
        <v>0</v>
      </c>
      <c r="B874">
        <v>2020</v>
      </c>
      <c r="C874" t="s">
        <v>172</v>
      </c>
      <c r="D874" t="s">
        <v>232</v>
      </c>
      <c r="E874" t="s">
        <v>234</v>
      </c>
      <c r="F874" s="17">
        <v>14454</v>
      </c>
      <c r="G874" s="17">
        <v>510</v>
      </c>
      <c r="H874" s="17">
        <v>14964</v>
      </c>
      <c r="I874">
        <f>VLOOKUP(C874,LEAIDs!$A$2:$B$305,2,FALSE)</f>
        <v>0</v>
      </c>
    </row>
    <row r="875" spans="1:9" x14ac:dyDescent="0.2">
      <c r="A875">
        <v>0</v>
      </c>
      <c r="B875" s="2">
        <v>2021</v>
      </c>
      <c r="C875" s="4" t="s">
        <v>172</v>
      </c>
      <c r="D875" s="2" t="s">
        <v>232</v>
      </c>
      <c r="E875" s="2" t="s">
        <v>234</v>
      </c>
      <c r="F875" s="16">
        <v>14951</v>
      </c>
      <c r="G875" s="16">
        <v>520</v>
      </c>
      <c r="H875" s="15">
        <v>15471</v>
      </c>
      <c r="I875">
        <f>VLOOKUP(C875,LEAIDs!$A$2:$B$305,2,FALSE)</f>
        <v>0</v>
      </c>
    </row>
    <row r="876" spans="1:9" x14ac:dyDescent="0.2">
      <c r="A876">
        <v>0</v>
      </c>
      <c r="B876" s="2">
        <v>2022</v>
      </c>
      <c r="C876" s="4" t="s">
        <v>172</v>
      </c>
      <c r="D876" s="2" t="s">
        <v>232</v>
      </c>
      <c r="E876" s="2" t="s">
        <v>234</v>
      </c>
      <c r="F876" s="16">
        <v>23309</v>
      </c>
      <c r="G876" s="16">
        <v>833</v>
      </c>
      <c r="H876" s="15">
        <v>24142</v>
      </c>
      <c r="I876">
        <f>VLOOKUP(C876,LEAIDs!$A$2:$B$305,2,FALSE)</f>
        <v>0</v>
      </c>
    </row>
    <row r="877" spans="1:9" x14ac:dyDescent="0.2">
      <c r="A877">
        <v>0</v>
      </c>
      <c r="B877" s="2">
        <v>2023</v>
      </c>
      <c r="C877" s="2" t="s">
        <v>172</v>
      </c>
      <c r="D877" s="2" t="s">
        <v>232</v>
      </c>
      <c r="E877" s="2" t="s">
        <v>234</v>
      </c>
      <c r="F877" s="15">
        <v>59457</v>
      </c>
      <c r="G877" s="15">
        <v>2120</v>
      </c>
      <c r="H877" s="15">
        <v>61577</v>
      </c>
      <c r="I877">
        <f>VLOOKUP(C877,LEAIDs!$A$2:$B$305,2,FALSE)</f>
        <v>0</v>
      </c>
    </row>
    <row r="878" spans="1:9" x14ac:dyDescent="0.2">
      <c r="A878">
        <v>0</v>
      </c>
      <c r="B878">
        <v>2015</v>
      </c>
      <c r="C878" t="s">
        <v>187</v>
      </c>
      <c r="D878" t="s">
        <v>232</v>
      </c>
      <c r="E878" t="s">
        <v>234</v>
      </c>
      <c r="F878" s="17">
        <v>260806</v>
      </c>
      <c r="G878" s="17">
        <v>8017</v>
      </c>
      <c r="H878" s="17">
        <v>268823</v>
      </c>
      <c r="I878">
        <f>VLOOKUP(C878,LEAIDs!$A$2:$B$305,2,FALSE)</f>
        <v>0</v>
      </c>
    </row>
    <row r="879" spans="1:9" x14ac:dyDescent="0.2">
      <c r="A879">
        <v>0</v>
      </c>
      <c r="B879">
        <v>2016</v>
      </c>
      <c r="C879" t="s">
        <v>187</v>
      </c>
      <c r="D879" t="s">
        <v>232</v>
      </c>
      <c r="E879" t="s">
        <v>234</v>
      </c>
      <c r="F879" s="17">
        <v>222780</v>
      </c>
      <c r="G879" s="17">
        <v>7348</v>
      </c>
      <c r="H879" s="17">
        <v>230128</v>
      </c>
      <c r="I879">
        <f>VLOOKUP(C879,LEAIDs!$A$2:$B$305,2,FALSE)</f>
        <v>0</v>
      </c>
    </row>
    <row r="880" spans="1:9" x14ac:dyDescent="0.2">
      <c r="A880">
        <v>0</v>
      </c>
      <c r="B880">
        <v>2017</v>
      </c>
      <c r="C880" t="s">
        <v>187</v>
      </c>
      <c r="D880" t="s">
        <v>232</v>
      </c>
      <c r="E880" t="s">
        <v>234</v>
      </c>
      <c r="F880" s="17">
        <v>205040</v>
      </c>
      <c r="G880" s="17">
        <v>7082</v>
      </c>
      <c r="H880" s="17">
        <v>212122</v>
      </c>
      <c r="I880">
        <f>VLOOKUP(C880,LEAIDs!$A$2:$B$305,2,FALSE)</f>
        <v>0</v>
      </c>
    </row>
    <row r="881" spans="1:9" x14ac:dyDescent="0.2">
      <c r="A881">
        <v>0</v>
      </c>
      <c r="B881">
        <v>2018</v>
      </c>
      <c r="C881" t="s">
        <v>187</v>
      </c>
      <c r="D881" t="s">
        <v>232</v>
      </c>
      <c r="E881" t="s">
        <v>234</v>
      </c>
      <c r="F881" s="17">
        <v>217856</v>
      </c>
      <c r="G881" s="17">
        <v>7169</v>
      </c>
      <c r="H881" s="17">
        <v>225025</v>
      </c>
      <c r="I881">
        <f>VLOOKUP(C881,LEAIDs!$A$2:$B$305,2,FALSE)</f>
        <v>0</v>
      </c>
    </row>
    <row r="882" spans="1:9" x14ac:dyDescent="0.2">
      <c r="A882">
        <v>0</v>
      </c>
      <c r="B882">
        <v>2019</v>
      </c>
      <c r="C882" t="s">
        <v>187</v>
      </c>
      <c r="D882" t="s">
        <v>232</v>
      </c>
      <c r="E882" t="s">
        <v>234</v>
      </c>
      <c r="F882" s="17">
        <v>273059</v>
      </c>
      <c r="G882" s="17">
        <v>9164</v>
      </c>
      <c r="H882" s="17">
        <v>282223</v>
      </c>
      <c r="I882">
        <f>VLOOKUP(C882,LEAIDs!$A$2:$B$305,2,FALSE)</f>
        <v>0</v>
      </c>
    </row>
    <row r="883" spans="1:9" x14ac:dyDescent="0.2">
      <c r="A883">
        <v>0</v>
      </c>
      <c r="B883">
        <v>2020</v>
      </c>
      <c r="C883" t="s">
        <v>187</v>
      </c>
      <c r="D883" t="s">
        <v>232</v>
      </c>
      <c r="E883" t="s">
        <v>234</v>
      </c>
      <c r="F883" s="17">
        <v>362159</v>
      </c>
      <c r="G883" s="17">
        <v>12780</v>
      </c>
      <c r="H883" s="17">
        <v>374939</v>
      </c>
      <c r="I883">
        <f>VLOOKUP(C883,LEAIDs!$A$2:$B$305,2,FALSE)</f>
        <v>0</v>
      </c>
    </row>
    <row r="884" spans="1:9" x14ac:dyDescent="0.2">
      <c r="A884">
        <v>0</v>
      </c>
      <c r="B884" s="2">
        <v>2021</v>
      </c>
      <c r="C884" s="4" t="s">
        <v>187</v>
      </c>
      <c r="D884" s="2" t="s">
        <v>232</v>
      </c>
      <c r="E884" s="2" t="s">
        <v>234</v>
      </c>
      <c r="F884" s="16">
        <v>241533</v>
      </c>
      <c r="G884" s="16">
        <v>8407</v>
      </c>
      <c r="H884" s="15">
        <v>249940</v>
      </c>
      <c r="I884">
        <f>VLOOKUP(C884,LEAIDs!$A$2:$B$305,2,FALSE)</f>
        <v>0</v>
      </c>
    </row>
    <row r="885" spans="1:9" x14ac:dyDescent="0.2">
      <c r="A885">
        <v>0</v>
      </c>
      <c r="B885" s="2">
        <v>2022</v>
      </c>
      <c r="C885" s="4" t="s">
        <v>187</v>
      </c>
      <c r="D885" s="2" t="s">
        <v>232</v>
      </c>
      <c r="E885" s="2" t="s">
        <v>234</v>
      </c>
      <c r="F885" s="16">
        <v>269335</v>
      </c>
      <c r="G885" s="16">
        <v>9623</v>
      </c>
      <c r="H885" s="15">
        <v>278958</v>
      </c>
      <c r="I885">
        <f>VLOOKUP(C885,LEAIDs!$A$2:$B$305,2,FALSE)</f>
        <v>0</v>
      </c>
    </row>
    <row r="886" spans="1:9" x14ac:dyDescent="0.2">
      <c r="A886">
        <v>0</v>
      </c>
      <c r="B886" s="2">
        <v>2023</v>
      </c>
      <c r="C886" s="2" t="s">
        <v>187</v>
      </c>
      <c r="D886" s="2" t="s">
        <v>232</v>
      </c>
      <c r="E886" s="2" t="s">
        <v>234</v>
      </c>
      <c r="F886" s="15">
        <v>307111</v>
      </c>
      <c r="G886" s="15">
        <v>10949</v>
      </c>
      <c r="H886" s="15">
        <v>318060</v>
      </c>
      <c r="I886">
        <f>VLOOKUP(C886,LEAIDs!$A$2:$B$305,2,FALSE)</f>
        <v>0</v>
      </c>
    </row>
    <row r="887" spans="1:9" x14ac:dyDescent="0.2">
      <c r="A887">
        <v>0</v>
      </c>
      <c r="B887">
        <v>2015</v>
      </c>
      <c r="C887" t="s">
        <v>207</v>
      </c>
      <c r="D887" t="s">
        <v>232</v>
      </c>
      <c r="E887" t="s">
        <v>234</v>
      </c>
      <c r="F887" s="17">
        <v>20356</v>
      </c>
      <c r="G887" s="17">
        <v>626</v>
      </c>
      <c r="H887" s="17">
        <v>20982</v>
      </c>
      <c r="I887">
        <f>VLOOKUP(C887,LEAIDs!$A$2:$B$305,2,FALSE)</f>
        <v>0</v>
      </c>
    </row>
    <row r="888" spans="1:9" x14ac:dyDescent="0.2">
      <c r="A888">
        <v>0</v>
      </c>
      <c r="B888">
        <v>2016</v>
      </c>
      <c r="C888" t="s">
        <v>207</v>
      </c>
      <c r="D888" t="s">
        <v>232</v>
      </c>
      <c r="E888" t="s">
        <v>234</v>
      </c>
      <c r="F888" s="17">
        <v>19013</v>
      </c>
      <c r="G888" s="17">
        <v>627</v>
      </c>
      <c r="H888" s="17">
        <v>19640</v>
      </c>
      <c r="I888">
        <f>VLOOKUP(C888,LEAIDs!$A$2:$B$305,2,FALSE)</f>
        <v>0</v>
      </c>
    </row>
    <row r="889" spans="1:9" x14ac:dyDescent="0.2">
      <c r="A889">
        <v>0</v>
      </c>
      <c r="B889">
        <v>2017</v>
      </c>
      <c r="C889" t="s">
        <v>207</v>
      </c>
      <c r="D889" t="s">
        <v>232</v>
      </c>
      <c r="E889" t="s">
        <v>234</v>
      </c>
      <c r="F889" s="17">
        <v>18203</v>
      </c>
      <c r="G889" s="17">
        <v>629</v>
      </c>
      <c r="H889" s="17">
        <v>18832</v>
      </c>
      <c r="I889">
        <f>VLOOKUP(C889,LEAIDs!$A$2:$B$305,2,FALSE)</f>
        <v>0</v>
      </c>
    </row>
    <row r="890" spans="1:9" x14ac:dyDescent="0.2">
      <c r="A890">
        <v>0</v>
      </c>
      <c r="B890">
        <v>2018</v>
      </c>
      <c r="C890" t="s">
        <v>207</v>
      </c>
      <c r="D890" t="s">
        <v>232</v>
      </c>
      <c r="E890" t="s">
        <v>234</v>
      </c>
      <c r="F890" s="17">
        <v>18965</v>
      </c>
      <c r="G890" s="17">
        <v>624</v>
      </c>
      <c r="H890" s="17">
        <v>19589</v>
      </c>
      <c r="I890">
        <f>VLOOKUP(C890,LEAIDs!$A$2:$B$305,2,FALSE)</f>
        <v>0</v>
      </c>
    </row>
    <row r="891" spans="1:9" x14ac:dyDescent="0.2">
      <c r="A891">
        <v>0</v>
      </c>
      <c r="B891">
        <v>2019</v>
      </c>
      <c r="C891" t="s">
        <v>207</v>
      </c>
      <c r="D891" t="s">
        <v>232</v>
      </c>
      <c r="E891" t="s">
        <v>234</v>
      </c>
      <c r="F891" s="17">
        <v>19901</v>
      </c>
      <c r="G891" s="17">
        <v>668</v>
      </c>
      <c r="H891" s="17">
        <v>20569</v>
      </c>
      <c r="I891">
        <f>VLOOKUP(C891,LEAIDs!$A$2:$B$305,2,FALSE)</f>
        <v>0</v>
      </c>
    </row>
    <row r="892" spans="1:9" x14ac:dyDescent="0.2">
      <c r="A892">
        <v>0</v>
      </c>
      <c r="B892">
        <v>2020</v>
      </c>
      <c r="C892" t="s">
        <v>207</v>
      </c>
      <c r="D892" t="s">
        <v>232</v>
      </c>
      <c r="E892" t="s">
        <v>234</v>
      </c>
      <c r="F892" s="17">
        <v>20592</v>
      </c>
      <c r="G892" s="17">
        <v>727</v>
      </c>
      <c r="H892" s="17">
        <v>21319</v>
      </c>
      <c r="I892">
        <f>VLOOKUP(C892,LEAIDs!$A$2:$B$305,2,FALSE)</f>
        <v>0</v>
      </c>
    </row>
    <row r="893" spans="1:9" x14ac:dyDescent="0.2">
      <c r="A893">
        <v>0</v>
      </c>
      <c r="B893" s="2">
        <v>2021</v>
      </c>
      <c r="C893" s="4" t="s">
        <v>207</v>
      </c>
      <c r="D893" s="2" t="s">
        <v>232</v>
      </c>
      <c r="E893" s="2" t="s">
        <v>234</v>
      </c>
      <c r="F893" s="16">
        <v>20678</v>
      </c>
      <c r="G893" s="16">
        <v>720</v>
      </c>
      <c r="H893" s="15">
        <v>21398</v>
      </c>
      <c r="I893">
        <f>VLOOKUP(C893,LEAIDs!$A$2:$B$305,2,FALSE)</f>
        <v>0</v>
      </c>
    </row>
    <row r="894" spans="1:9" x14ac:dyDescent="0.2">
      <c r="A894">
        <v>0</v>
      </c>
      <c r="B894" s="2">
        <v>2022</v>
      </c>
      <c r="C894" s="4" t="s">
        <v>207</v>
      </c>
      <c r="D894" s="2" t="s">
        <v>232</v>
      </c>
      <c r="E894" s="2" t="s">
        <v>234</v>
      </c>
      <c r="F894" s="16">
        <v>20574</v>
      </c>
      <c r="G894" s="16">
        <v>735</v>
      </c>
      <c r="H894" s="15">
        <v>21309</v>
      </c>
      <c r="I894">
        <f>VLOOKUP(C894,LEAIDs!$A$2:$B$305,2,FALSE)</f>
        <v>0</v>
      </c>
    </row>
    <row r="895" spans="1:9" x14ac:dyDescent="0.2">
      <c r="A895">
        <v>0</v>
      </c>
      <c r="B895" s="2">
        <v>2023</v>
      </c>
      <c r="C895" s="2" t="s">
        <v>207</v>
      </c>
      <c r="D895" s="2" t="s">
        <v>232</v>
      </c>
      <c r="E895" s="2" t="s">
        <v>234</v>
      </c>
      <c r="F895" s="15">
        <v>21517</v>
      </c>
      <c r="G895" s="15">
        <v>767</v>
      </c>
      <c r="H895" s="15">
        <v>22284</v>
      </c>
      <c r="I895">
        <f>VLOOKUP(C895,LEAIDs!$A$2:$B$305,2,FALSE)</f>
        <v>0</v>
      </c>
    </row>
    <row r="896" spans="1:9" x14ac:dyDescent="0.2">
      <c r="A896">
        <v>0</v>
      </c>
      <c r="B896">
        <v>2015</v>
      </c>
      <c r="C896" t="s">
        <v>206</v>
      </c>
      <c r="D896" t="s">
        <v>232</v>
      </c>
      <c r="E896" t="s">
        <v>234</v>
      </c>
      <c r="F896" s="17">
        <v>24848</v>
      </c>
      <c r="G896" s="17">
        <v>764</v>
      </c>
      <c r="H896" s="17">
        <v>25612</v>
      </c>
      <c r="I896">
        <f>VLOOKUP(C896,LEAIDs!$A$2:$B$305,2,FALSE)</f>
        <v>0</v>
      </c>
    </row>
    <row r="897" spans="1:9" x14ac:dyDescent="0.2">
      <c r="A897">
        <v>0</v>
      </c>
      <c r="B897">
        <v>2016</v>
      </c>
      <c r="C897" t="s">
        <v>206</v>
      </c>
      <c r="D897" t="s">
        <v>232</v>
      </c>
      <c r="E897" t="s">
        <v>234</v>
      </c>
      <c r="F897" s="17">
        <v>25138</v>
      </c>
      <c r="G897" s="17">
        <v>829</v>
      </c>
      <c r="H897" s="17">
        <v>25967</v>
      </c>
      <c r="I897">
        <f>VLOOKUP(C897,LEAIDs!$A$2:$B$305,2,FALSE)</f>
        <v>0</v>
      </c>
    </row>
    <row r="898" spans="1:9" x14ac:dyDescent="0.2">
      <c r="A898">
        <v>0</v>
      </c>
      <c r="B898">
        <v>2017</v>
      </c>
      <c r="C898" t="s">
        <v>206</v>
      </c>
      <c r="D898" t="s">
        <v>232</v>
      </c>
      <c r="E898" t="s">
        <v>234</v>
      </c>
      <c r="F898" s="17">
        <v>25767</v>
      </c>
      <c r="G898" s="17">
        <v>890</v>
      </c>
      <c r="H898" s="17">
        <v>26657</v>
      </c>
      <c r="I898">
        <f>VLOOKUP(C898,LEAIDs!$A$2:$B$305,2,FALSE)</f>
        <v>0</v>
      </c>
    </row>
    <row r="899" spans="1:9" x14ac:dyDescent="0.2">
      <c r="A899">
        <v>0</v>
      </c>
      <c r="B899">
        <v>2018</v>
      </c>
      <c r="C899" t="s">
        <v>206</v>
      </c>
      <c r="D899" t="s">
        <v>232</v>
      </c>
      <c r="E899" t="s">
        <v>234</v>
      </c>
      <c r="F899" s="17">
        <v>27882</v>
      </c>
      <c r="G899" s="17">
        <v>918</v>
      </c>
      <c r="H899" s="17">
        <v>28800</v>
      </c>
      <c r="I899">
        <f>VLOOKUP(C899,LEAIDs!$A$2:$B$305,2,FALSE)</f>
        <v>0</v>
      </c>
    </row>
    <row r="900" spans="1:9" x14ac:dyDescent="0.2">
      <c r="A900">
        <v>0</v>
      </c>
      <c r="B900">
        <v>2019</v>
      </c>
      <c r="C900" t="s">
        <v>206</v>
      </c>
      <c r="D900" t="s">
        <v>232</v>
      </c>
      <c r="E900" t="s">
        <v>234</v>
      </c>
      <c r="F900" s="17">
        <v>29711</v>
      </c>
      <c r="G900" s="17">
        <v>997</v>
      </c>
      <c r="H900" s="17">
        <v>30708</v>
      </c>
      <c r="I900">
        <f>VLOOKUP(C900,LEAIDs!$A$2:$B$305,2,FALSE)</f>
        <v>0</v>
      </c>
    </row>
    <row r="901" spans="1:9" x14ac:dyDescent="0.2">
      <c r="A901">
        <v>0</v>
      </c>
      <c r="B901">
        <v>2020</v>
      </c>
      <c r="C901" t="s">
        <v>206</v>
      </c>
      <c r="D901" t="s">
        <v>232</v>
      </c>
      <c r="E901" t="s">
        <v>234</v>
      </c>
      <c r="F901" s="17">
        <v>32038</v>
      </c>
      <c r="G901" s="17">
        <v>1131</v>
      </c>
      <c r="H901" s="17">
        <v>33169</v>
      </c>
      <c r="I901">
        <f>VLOOKUP(C901,LEAIDs!$A$2:$B$305,2,FALSE)</f>
        <v>0</v>
      </c>
    </row>
    <row r="902" spans="1:9" x14ac:dyDescent="0.2">
      <c r="A902">
        <v>0</v>
      </c>
      <c r="B902" s="2">
        <v>2021</v>
      </c>
      <c r="C902" s="4" t="s">
        <v>206</v>
      </c>
      <c r="D902" s="2" t="s">
        <v>232</v>
      </c>
      <c r="E902" s="2" t="s">
        <v>234</v>
      </c>
      <c r="F902" s="16">
        <v>34427</v>
      </c>
      <c r="G902" s="16">
        <v>1198</v>
      </c>
      <c r="H902" s="15">
        <v>35625</v>
      </c>
      <c r="I902">
        <f>VLOOKUP(C902,LEAIDs!$A$2:$B$305,2,FALSE)</f>
        <v>0</v>
      </c>
    </row>
    <row r="903" spans="1:9" x14ac:dyDescent="0.2">
      <c r="A903">
        <v>0</v>
      </c>
      <c r="B903" s="2">
        <v>2022</v>
      </c>
      <c r="C903" s="4" t="s">
        <v>206</v>
      </c>
      <c r="D903" s="2" t="s">
        <v>232</v>
      </c>
      <c r="E903" s="2" t="s">
        <v>234</v>
      </c>
      <c r="F903" s="16">
        <v>36400</v>
      </c>
      <c r="G903" s="16">
        <v>1300</v>
      </c>
      <c r="H903" s="15">
        <v>37700</v>
      </c>
      <c r="I903">
        <f>VLOOKUP(C903,LEAIDs!$A$2:$B$305,2,FALSE)</f>
        <v>0</v>
      </c>
    </row>
    <row r="904" spans="1:9" x14ac:dyDescent="0.2">
      <c r="A904">
        <v>0</v>
      </c>
      <c r="B904" s="2">
        <v>2023</v>
      </c>
      <c r="C904" s="2" t="s">
        <v>206</v>
      </c>
      <c r="D904" s="2" t="s">
        <v>232</v>
      </c>
      <c r="E904" s="2" t="s">
        <v>234</v>
      </c>
      <c r="F904" s="15">
        <v>38167</v>
      </c>
      <c r="G904" s="15">
        <v>1361</v>
      </c>
      <c r="H904" s="15">
        <v>39528</v>
      </c>
      <c r="I904">
        <f>VLOOKUP(C904,LEAIDs!$A$2:$B$305,2,FALSE)</f>
        <v>0</v>
      </c>
    </row>
    <row r="905" spans="1:9" x14ac:dyDescent="0.2">
      <c r="A905">
        <v>0</v>
      </c>
      <c r="B905">
        <v>2015</v>
      </c>
      <c r="C905" t="s">
        <v>174</v>
      </c>
      <c r="D905" t="s">
        <v>232</v>
      </c>
      <c r="E905" t="s">
        <v>234</v>
      </c>
      <c r="F905" s="17">
        <v>34491</v>
      </c>
      <c r="G905" s="17">
        <v>1060</v>
      </c>
      <c r="H905" s="17">
        <v>35551</v>
      </c>
      <c r="I905">
        <f>VLOOKUP(C905,LEAIDs!$A$2:$B$305,2,FALSE)</f>
        <v>0</v>
      </c>
    </row>
    <row r="906" spans="1:9" x14ac:dyDescent="0.2">
      <c r="A906">
        <v>0</v>
      </c>
      <c r="B906">
        <v>2016</v>
      </c>
      <c r="C906" t="s">
        <v>174</v>
      </c>
      <c r="D906" t="s">
        <v>232</v>
      </c>
      <c r="E906" t="s">
        <v>234</v>
      </c>
      <c r="F906" s="17">
        <v>36624</v>
      </c>
      <c r="G906" s="17">
        <v>1208</v>
      </c>
      <c r="H906" s="17">
        <v>37832</v>
      </c>
      <c r="I906">
        <f>VLOOKUP(C906,LEAIDs!$A$2:$B$305,2,FALSE)</f>
        <v>0</v>
      </c>
    </row>
    <row r="907" spans="1:9" x14ac:dyDescent="0.2">
      <c r="A907">
        <v>0</v>
      </c>
      <c r="B907">
        <v>2017</v>
      </c>
      <c r="C907" t="s">
        <v>174</v>
      </c>
      <c r="D907" t="s">
        <v>232</v>
      </c>
      <c r="E907" t="s">
        <v>234</v>
      </c>
      <c r="F907" s="17">
        <v>31502</v>
      </c>
      <c r="G907" s="17">
        <v>1088</v>
      </c>
      <c r="H907" s="17">
        <v>32590</v>
      </c>
      <c r="I907">
        <f>VLOOKUP(C907,LEAIDs!$A$2:$B$305,2,FALSE)</f>
        <v>0</v>
      </c>
    </row>
    <row r="908" spans="1:9" x14ac:dyDescent="0.2">
      <c r="A908">
        <v>0</v>
      </c>
      <c r="B908">
        <v>2018</v>
      </c>
      <c r="C908" t="s">
        <v>174</v>
      </c>
      <c r="D908" t="s">
        <v>232</v>
      </c>
      <c r="E908" t="s">
        <v>234</v>
      </c>
      <c r="F908" s="17">
        <v>32185</v>
      </c>
      <c r="G908" s="17">
        <v>1059</v>
      </c>
      <c r="H908" s="17">
        <v>33244</v>
      </c>
      <c r="I908">
        <f>VLOOKUP(C908,LEAIDs!$A$2:$B$305,2,FALSE)</f>
        <v>0</v>
      </c>
    </row>
    <row r="909" spans="1:9" x14ac:dyDescent="0.2">
      <c r="A909">
        <v>0</v>
      </c>
      <c r="B909">
        <v>2019</v>
      </c>
      <c r="C909" t="s">
        <v>174</v>
      </c>
      <c r="D909" t="s">
        <v>232</v>
      </c>
      <c r="E909" t="s">
        <v>234</v>
      </c>
      <c r="F909" s="17">
        <v>34275</v>
      </c>
      <c r="G909" s="17">
        <v>1150</v>
      </c>
      <c r="H909" s="17">
        <v>35425</v>
      </c>
      <c r="I909">
        <f>VLOOKUP(C909,LEAIDs!$A$2:$B$305,2,FALSE)</f>
        <v>0</v>
      </c>
    </row>
    <row r="910" spans="1:9" x14ac:dyDescent="0.2">
      <c r="A910">
        <v>0</v>
      </c>
      <c r="B910">
        <v>2020</v>
      </c>
      <c r="C910" t="s">
        <v>174</v>
      </c>
      <c r="D910" t="s">
        <v>232</v>
      </c>
      <c r="E910" t="s">
        <v>234</v>
      </c>
      <c r="F910" s="17">
        <v>33676</v>
      </c>
      <c r="G910" s="17">
        <v>1188</v>
      </c>
      <c r="H910" s="17">
        <v>34864</v>
      </c>
      <c r="I910">
        <f>VLOOKUP(C910,LEAIDs!$A$2:$B$305,2,FALSE)</f>
        <v>0</v>
      </c>
    </row>
    <row r="911" spans="1:9" x14ac:dyDescent="0.2">
      <c r="A911">
        <v>0</v>
      </c>
      <c r="B911" s="2">
        <v>2021</v>
      </c>
      <c r="C911" s="4" t="s">
        <v>174</v>
      </c>
      <c r="D911" s="2" t="s">
        <v>232</v>
      </c>
      <c r="E911" s="2" t="s">
        <v>234</v>
      </c>
      <c r="F911" s="16">
        <v>34476</v>
      </c>
      <c r="G911" s="16">
        <v>1200</v>
      </c>
      <c r="H911" s="15">
        <v>35676</v>
      </c>
      <c r="I911">
        <f>VLOOKUP(C911,LEAIDs!$A$2:$B$305,2,FALSE)</f>
        <v>0</v>
      </c>
    </row>
    <row r="912" spans="1:9" x14ac:dyDescent="0.2">
      <c r="A912">
        <v>0</v>
      </c>
      <c r="B912" s="2">
        <v>2022</v>
      </c>
      <c r="C912" s="4" t="s">
        <v>174</v>
      </c>
      <c r="D912" s="2" t="s">
        <v>232</v>
      </c>
      <c r="E912" s="2" t="s">
        <v>234</v>
      </c>
      <c r="F912" s="16">
        <v>31931</v>
      </c>
      <c r="G912" s="16">
        <v>1141</v>
      </c>
      <c r="H912" s="15">
        <v>33072</v>
      </c>
      <c r="I912">
        <f>VLOOKUP(C912,LEAIDs!$A$2:$B$305,2,FALSE)</f>
        <v>0</v>
      </c>
    </row>
    <row r="913" spans="1:9" x14ac:dyDescent="0.2">
      <c r="A913">
        <v>0</v>
      </c>
      <c r="B913" s="2">
        <v>2023</v>
      </c>
      <c r="C913" s="2" t="s">
        <v>174</v>
      </c>
      <c r="D913" s="2" t="s">
        <v>232</v>
      </c>
      <c r="E913" s="2" t="s">
        <v>234</v>
      </c>
      <c r="F913" s="15">
        <v>32222</v>
      </c>
      <c r="G913" s="15">
        <v>1149</v>
      </c>
      <c r="H913" s="15">
        <v>33371</v>
      </c>
      <c r="I913">
        <f>VLOOKUP(C913,LEAIDs!$A$2:$B$305,2,FALSE)</f>
        <v>0</v>
      </c>
    </row>
    <row r="914" spans="1:9" x14ac:dyDescent="0.2">
      <c r="A914">
        <v>0</v>
      </c>
      <c r="B914">
        <v>2015</v>
      </c>
      <c r="C914" t="s">
        <v>302</v>
      </c>
      <c r="D914" t="s">
        <v>232</v>
      </c>
      <c r="E914" t="s">
        <v>234</v>
      </c>
      <c r="F914" s="17">
        <v>23327</v>
      </c>
      <c r="G914" s="17">
        <v>717</v>
      </c>
      <c r="H914" s="17">
        <v>24044</v>
      </c>
      <c r="I914">
        <f>VLOOKUP(C914,LEAIDs!$A$2:$B$305,2,FALSE)</f>
        <v>0</v>
      </c>
    </row>
    <row r="915" spans="1:9" x14ac:dyDescent="0.2">
      <c r="A915">
        <v>0</v>
      </c>
      <c r="B915">
        <v>2016</v>
      </c>
      <c r="C915" t="s">
        <v>302</v>
      </c>
      <c r="D915" t="s">
        <v>232</v>
      </c>
      <c r="E915" t="s">
        <v>234</v>
      </c>
      <c r="F915" s="17">
        <v>22672</v>
      </c>
      <c r="G915" s="17">
        <v>748</v>
      </c>
      <c r="H915" s="17">
        <v>23420</v>
      </c>
      <c r="I915">
        <f>VLOOKUP(C915,LEAIDs!$A$2:$B$305,2,FALSE)</f>
        <v>0</v>
      </c>
    </row>
    <row r="916" spans="1:9" x14ac:dyDescent="0.2">
      <c r="A916">
        <v>0</v>
      </c>
      <c r="B916">
        <v>2015</v>
      </c>
      <c r="C916" t="s">
        <v>303</v>
      </c>
      <c r="D916" t="s">
        <v>232</v>
      </c>
      <c r="E916" t="s">
        <v>234</v>
      </c>
      <c r="F916" s="17">
        <v>14476</v>
      </c>
      <c r="G916" s="17">
        <v>445</v>
      </c>
      <c r="H916" s="17">
        <v>14921</v>
      </c>
      <c r="I916">
        <f>VLOOKUP(C916,LEAIDs!$A$2:$B$305,2,FALSE)</f>
        <v>0</v>
      </c>
    </row>
    <row r="917" spans="1:9" x14ac:dyDescent="0.2">
      <c r="A917">
        <v>0</v>
      </c>
      <c r="B917">
        <v>2016</v>
      </c>
      <c r="C917" t="s">
        <v>303</v>
      </c>
      <c r="D917" t="s">
        <v>232</v>
      </c>
      <c r="E917" t="s">
        <v>234</v>
      </c>
      <c r="F917" s="17">
        <v>14080</v>
      </c>
      <c r="G917" s="17">
        <v>464</v>
      </c>
      <c r="H917" s="17">
        <v>14544</v>
      </c>
      <c r="I917">
        <f>VLOOKUP(C917,LEAIDs!$A$2:$B$305,2,FALSE)</f>
        <v>0</v>
      </c>
    </row>
    <row r="918" spans="1:9" x14ac:dyDescent="0.2">
      <c r="A918">
        <v>0</v>
      </c>
      <c r="B918">
        <v>2015</v>
      </c>
      <c r="C918" t="s">
        <v>167</v>
      </c>
      <c r="D918" t="s">
        <v>232</v>
      </c>
      <c r="E918" t="s">
        <v>234</v>
      </c>
      <c r="F918" s="17">
        <v>19394</v>
      </c>
      <c r="G918" s="17">
        <v>596</v>
      </c>
      <c r="H918" s="17">
        <v>19990</v>
      </c>
      <c r="I918">
        <f>VLOOKUP(C918,LEAIDs!$A$2:$B$305,2,FALSE)</f>
        <v>0</v>
      </c>
    </row>
    <row r="919" spans="1:9" x14ac:dyDescent="0.2">
      <c r="A919">
        <v>0</v>
      </c>
      <c r="B919">
        <v>2016</v>
      </c>
      <c r="C919" t="s">
        <v>167</v>
      </c>
      <c r="D919" t="s">
        <v>232</v>
      </c>
      <c r="E919" t="s">
        <v>234</v>
      </c>
      <c r="F919" s="17">
        <v>18376</v>
      </c>
      <c r="G919" s="17">
        <v>606</v>
      </c>
      <c r="H919" s="17">
        <v>18982</v>
      </c>
      <c r="I919">
        <f>VLOOKUP(C919,LEAIDs!$A$2:$B$305,2,FALSE)</f>
        <v>0</v>
      </c>
    </row>
    <row r="920" spans="1:9" x14ac:dyDescent="0.2">
      <c r="A920">
        <v>0</v>
      </c>
      <c r="B920">
        <v>2017</v>
      </c>
      <c r="C920" t="s">
        <v>167</v>
      </c>
      <c r="D920" t="s">
        <v>232</v>
      </c>
      <c r="E920" t="s">
        <v>234</v>
      </c>
      <c r="F920" s="17">
        <v>17721</v>
      </c>
      <c r="G920" s="17">
        <v>612</v>
      </c>
      <c r="H920" s="17">
        <v>18333</v>
      </c>
      <c r="I920">
        <f>VLOOKUP(C920,LEAIDs!$A$2:$B$305,2,FALSE)</f>
        <v>0</v>
      </c>
    </row>
    <row r="921" spans="1:9" x14ac:dyDescent="0.2">
      <c r="A921">
        <v>0</v>
      </c>
      <c r="B921">
        <v>2018</v>
      </c>
      <c r="C921" t="s">
        <v>167</v>
      </c>
      <c r="D921" t="s">
        <v>232</v>
      </c>
      <c r="E921" t="s">
        <v>234</v>
      </c>
      <c r="F921" s="17">
        <v>18112</v>
      </c>
      <c r="G921" s="17">
        <v>596</v>
      </c>
      <c r="H921" s="17">
        <v>18708</v>
      </c>
      <c r="I921">
        <f>VLOOKUP(C921,LEAIDs!$A$2:$B$305,2,FALSE)</f>
        <v>0</v>
      </c>
    </row>
    <row r="922" spans="1:9" x14ac:dyDescent="0.2">
      <c r="A922">
        <v>0</v>
      </c>
      <c r="B922">
        <v>2019</v>
      </c>
      <c r="C922" t="s">
        <v>167</v>
      </c>
      <c r="D922" t="s">
        <v>232</v>
      </c>
      <c r="E922" t="s">
        <v>234</v>
      </c>
      <c r="F922" s="17">
        <v>19183</v>
      </c>
      <c r="G922" s="17">
        <v>644</v>
      </c>
      <c r="H922" s="17">
        <v>19827</v>
      </c>
      <c r="I922">
        <f>VLOOKUP(C922,LEAIDs!$A$2:$B$305,2,FALSE)</f>
        <v>0</v>
      </c>
    </row>
    <row r="923" spans="1:9" x14ac:dyDescent="0.2">
      <c r="A923">
        <v>0</v>
      </c>
      <c r="B923">
        <v>2020</v>
      </c>
      <c r="C923" t="s">
        <v>167</v>
      </c>
      <c r="D923" t="s">
        <v>232</v>
      </c>
      <c r="E923" t="s">
        <v>234</v>
      </c>
      <c r="F923" s="17">
        <v>19186</v>
      </c>
      <c r="G923" s="17">
        <v>677</v>
      </c>
      <c r="H923" s="17">
        <v>19863</v>
      </c>
      <c r="I923">
        <f>VLOOKUP(C923,LEAIDs!$A$2:$B$305,2,FALSE)</f>
        <v>0</v>
      </c>
    </row>
    <row r="924" spans="1:9" x14ac:dyDescent="0.2">
      <c r="A924">
        <v>0</v>
      </c>
      <c r="B924" s="2">
        <v>2021</v>
      </c>
      <c r="C924" s="4" t="s">
        <v>167</v>
      </c>
      <c r="D924" s="2" t="s">
        <v>232</v>
      </c>
      <c r="E924" s="2" t="s">
        <v>234</v>
      </c>
      <c r="F924" s="16">
        <v>19848</v>
      </c>
      <c r="G924" s="16">
        <v>691</v>
      </c>
      <c r="H924" s="15">
        <v>20539</v>
      </c>
      <c r="I924">
        <f>VLOOKUP(C924,LEAIDs!$A$2:$B$305,2,FALSE)</f>
        <v>0</v>
      </c>
    </row>
    <row r="925" spans="1:9" x14ac:dyDescent="0.2">
      <c r="A925">
        <v>0</v>
      </c>
      <c r="B925" s="2">
        <v>2022</v>
      </c>
      <c r="C925" s="4" t="s">
        <v>167</v>
      </c>
      <c r="D925" s="2" t="s">
        <v>232</v>
      </c>
      <c r="E925" s="2" t="s">
        <v>234</v>
      </c>
      <c r="F925" s="16">
        <v>19903</v>
      </c>
      <c r="G925" s="16">
        <v>711</v>
      </c>
      <c r="H925" s="15">
        <v>20614</v>
      </c>
      <c r="I925">
        <f>VLOOKUP(C925,LEAIDs!$A$2:$B$305,2,FALSE)</f>
        <v>0</v>
      </c>
    </row>
    <row r="926" spans="1:9" x14ac:dyDescent="0.2">
      <c r="A926">
        <v>0</v>
      </c>
      <c r="B926" s="2">
        <v>2023</v>
      </c>
      <c r="C926" s="2" t="s">
        <v>167</v>
      </c>
      <c r="D926" s="2" t="s">
        <v>232</v>
      </c>
      <c r="E926" s="2" t="s">
        <v>234</v>
      </c>
      <c r="F926" s="15">
        <v>24583</v>
      </c>
      <c r="G926" s="15">
        <v>876</v>
      </c>
      <c r="H926" s="15">
        <v>25459</v>
      </c>
      <c r="I926">
        <f>VLOOKUP(C926,LEAIDs!$A$2:$B$305,2,FALSE)</f>
        <v>0</v>
      </c>
    </row>
    <row r="927" spans="1:9" x14ac:dyDescent="0.2">
      <c r="A927">
        <v>0</v>
      </c>
      <c r="B927">
        <v>2015</v>
      </c>
      <c r="C927" t="s">
        <v>186</v>
      </c>
      <c r="D927" t="s">
        <v>232</v>
      </c>
      <c r="E927" t="s">
        <v>234</v>
      </c>
      <c r="F927" s="17">
        <v>133081</v>
      </c>
      <c r="G927" s="17">
        <v>4091</v>
      </c>
      <c r="H927" s="17">
        <v>137172</v>
      </c>
      <c r="I927">
        <f>VLOOKUP(C927,LEAIDs!$A$2:$B$305,2,FALSE)</f>
        <v>0</v>
      </c>
    </row>
    <row r="928" spans="1:9" x14ac:dyDescent="0.2">
      <c r="A928">
        <v>0</v>
      </c>
      <c r="B928">
        <v>2016</v>
      </c>
      <c r="C928" t="s">
        <v>186</v>
      </c>
      <c r="D928" t="s">
        <v>232</v>
      </c>
      <c r="E928" t="s">
        <v>234</v>
      </c>
      <c r="F928" s="17">
        <v>192073</v>
      </c>
      <c r="G928" s="17">
        <v>6336</v>
      </c>
      <c r="H928" s="17">
        <v>198409</v>
      </c>
      <c r="I928">
        <f>VLOOKUP(C928,LEAIDs!$A$2:$B$305,2,FALSE)</f>
        <v>0</v>
      </c>
    </row>
    <row r="929" spans="1:9" x14ac:dyDescent="0.2">
      <c r="A929">
        <v>0</v>
      </c>
      <c r="B929">
        <v>2017</v>
      </c>
      <c r="C929" t="s">
        <v>186</v>
      </c>
      <c r="D929" t="s">
        <v>232</v>
      </c>
      <c r="E929" t="s">
        <v>234</v>
      </c>
      <c r="F929" s="17">
        <v>224276</v>
      </c>
      <c r="G929" s="17">
        <v>7746</v>
      </c>
      <c r="H929" s="17">
        <v>232022</v>
      </c>
      <c r="I929">
        <f>VLOOKUP(C929,LEAIDs!$A$2:$B$305,2,FALSE)</f>
        <v>0</v>
      </c>
    </row>
    <row r="930" spans="1:9" x14ac:dyDescent="0.2">
      <c r="A930">
        <v>0</v>
      </c>
      <c r="B930">
        <v>2018</v>
      </c>
      <c r="C930" t="s">
        <v>186</v>
      </c>
      <c r="D930" t="s">
        <v>232</v>
      </c>
      <c r="E930" t="s">
        <v>234</v>
      </c>
      <c r="F930" s="17">
        <v>236688</v>
      </c>
      <c r="G930" s="17">
        <v>7789</v>
      </c>
      <c r="H930" s="17">
        <v>244477</v>
      </c>
      <c r="I930">
        <f>VLOOKUP(C930,LEAIDs!$A$2:$B$305,2,FALSE)</f>
        <v>0</v>
      </c>
    </row>
    <row r="931" spans="1:9" x14ac:dyDescent="0.2">
      <c r="A931">
        <v>0</v>
      </c>
      <c r="B931">
        <v>2019</v>
      </c>
      <c r="C931" t="s">
        <v>186</v>
      </c>
      <c r="D931" t="s">
        <v>232</v>
      </c>
      <c r="E931" t="s">
        <v>234</v>
      </c>
      <c r="F931" s="17">
        <v>292254</v>
      </c>
      <c r="G931" s="17">
        <v>9809</v>
      </c>
      <c r="H931" s="17">
        <v>302063</v>
      </c>
      <c r="I931">
        <f>VLOOKUP(C931,LEAIDs!$A$2:$B$305,2,FALSE)</f>
        <v>0</v>
      </c>
    </row>
    <row r="932" spans="1:9" x14ac:dyDescent="0.2">
      <c r="A932">
        <v>0</v>
      </c>
      <c r="B932">
        <v>2020</v>
      </c>
      <c r="C932" t="s">
        <v>186</v>
      </c>
      <c r="D932" t="s">
        <v>232</v>
      </c>
      <c r="E932" t="s">
        <v>234</v>
      </c>
      <c r="F932" s="17">
        <v>352291</v>
      </c>
      <c r="G932" s="17">
        <v>12432</v>
      </c>
      <c r="H932" s="17">
        <v>364723</v>
      </c>
      <c r="I932">
        <f>VLOOKUP(C932,LEAIDs!$A$2:$B$305,2,FALSE)</f>
        <v>0</v>
      </c>
    </row>
    <row r="933" spans="1:9" x14ac:dyDescent="0.2">
      <c r="A933">
        <v>0</v>
      </c>
      <c r="B933" s="2">
        <v>2021</v>
      </c>
      <c r="C933" s="4" t="s">
        <v>186</v>
      </c>
      <c r="D933" s="2" t="s">
        <v>232</v>
      </c>
      <c r="E933" s="2" t="s">
        <v>234</v>
      </c>
      <c r="F933" s="16">
        <v>324643</v>
      </c>
      <c r="G933" s="16">
        <v>11300</v>
      </c>
      <c r="H933" s="15">
        <v>335943</v>
      </c>
      <c r="I933">
        <f>VLOOKUP(C933,LEAIDs!$A$2:$B$305,2,FALSE)</f>
        <v>0</v>
      </c>
    </row>
    <row r="934" spans="1:9" x14ac:dyDescent="0.2">
      <c r="A934">
        <v>0</v>
      </c>
      <c r="B934" s="2">
        <v>2022</v>
      </c>
      <c r="C934" s="4" t="s">
        <v>186</v>
      </c>
      <c r="D934" s="2" t="s">
        <v>232</v>
      </c>
      <c r="E934" s="2" t="s">
        <v>234</v>
      </c>
      <c r="F934" s="16">
        <v>301291</v>
      </c>
      <c r="G934" s="16">
        <v>10764</v>
      </c>
      <c r="H934" s="15">
        <v>312055</v>
      </c>
      <c r="I934">
        <f>VLOOKUP(C934,LEAIDs!$A$2:$B$305,2,FALSE)</f>
        <v>0</v>
      </c>
    </row>
    <row r="935" spans="1:9" x14ac:dyDescent="0.2">
      <c r="A935">
        <v>0</v>
      </c>
      <c r="B935" s="2">
        <v>2023</v>
      </c>
      <c r="C935" s="2" t="s">
        <v>186</v>
      </c>
      <c r="D935" s="2" t="s">
        <v>232</v>
      </c>
      <c r="E935" s="2" t="s">
        <v>234</v>
      </c>
      <c r="F935" s="15">
        <v>413574</v>
      </c>
      <c r="G935" s="15">
        <v>14745</v>
      </c>
      <c r="H935" s="15">
        <v>428319</v>
      </c>
      <c r="I935">
        <f>VLOOKUP(C935,LEAIDs!$A$2:$B$305,2,FALSE)</f>
        <v>0</v>
      </c>
    </row>
    <row r="936" spans="1:9" x14ac:dyDescent="0.2">
      <c r="A936">
        <v>0</v>
      </c>
      <c r="B936">
        <v>2016</v>
      </c>
      <c r="C936" t="s">
        <v>295</v>
      </c>
      <c r="D936" t="s">
        <v>232</v>
      </c>
      <c r="E936" t="s">
        <v>234</v>
      </c>
      <c r="F936" s="17">
        <v>37516</v>
      </c>
      <c r="G936" s="17">
        <v>1237</v>
      </c>
      <c r="H936" s="17">
        <v>38753</v>
      </c>
      <c r="I936">
        <f>VLOOKUP(C936,LEAIDs!$A$2:$B$305,2,FALSE)</f>
        <v>0</v>
      </c>
    </row>
    <row r="937" spans="1:9" x14ac:dyDescent="0.2">
      <c r="A937">
        <v>0</v>
      </c>
      <c r="B937">
        <v>2017</v>
      </c>
      <c r="C937" t="s">
        <v>295</v>
      </c>
      <c r="D937" t="s">
        <v>232</v>
      </c>
      <c r="E937" t="s">
        <v>234</v>
      </c>
      <c r="F937" s="17">
        <v>1089</v>
      </c>
      <c r="G937" s="17">
        <v>38</v>
      </c>
      <c r="H937" s="17">
        <v>1127</v>
      </c>
      <c r="I937">
        <f>VLOOKUP(C937,LEAIDs!$A$2:$B$305,2,FALSE)</f>
        <v>0</v>
      </c>
    </row>
    <row r="938" spans="1:9" x14ac:dyDescent="0.2">
      <c r="A938">
        <v>0</v>
      </c>
      <c r="B938">
        <v>2015</v>
      </c>
      <c r="C938" t="s">
        <v>278</v>
      </c>
      <c r="D938" t="s">
        <v>232</v>
      </c>
      <c r="E938" t="s">
        <v>234</v>
      </c>
      <c r="F938" s="17">
        <v>49368</v>
      </c>
      <c r="G938" s="17">
        <v>1518</v>
      </c>
      <c r="H938" s="17">
        <v>50886</v>
      </c>
      <c r="I938">
        <f>VLOOKUP(C938,LEAIDs!$A$2:$B$305,2,FALSE)</f>
        <v>0</v>
      </c>
    </row>
    <row r="939" spans="1:9" x14ac:dyDescent="0.2">
      <c r="A939">
        <v>0</v>
      </c>
      <c r="B939">
        <v>2016</v>
      </c>
      <c r="C939" t="s">
        <v>278</v>
      </c>
      <c r="D939" t="s">
        <v>232</v>
      </c>
      <c r="E939" t="s">
        <v>234</v>
      </c>
      <c r="F939" s="17">
        <v>43572</v>
      </c>
      <c r="G939" s="17">
        <v>1437</v>
      </c>
      <c r="H939" s="17">
        <v>45009</v>
      </c>
      <c r="I939">
        <f>VLOOKUP(C939,LEAIDs!$A$2:$B$305,2,FALSE)</f>
        <v>0</v>
      </c>
    </row>
    <row r="940" spans="1:9" x14ac:dyDescent="0.2">
      <c r="A940">
        <v>0</v>
      </c>
      <c r="B940">
        <v>2017</v>
      </c>
      <c r="C940" t="s">
        <v>278</v>
      </c>
      <c r="D940" t="s">
        <v>232</v>
      </c>
      <c r="E940" t="s">
        <v>234</v>
      </c>
      <c r="F940" s="17">
        <v>19180</v>
      </c>
      <c r="G940" s="17">
        <v>662</v>
      </c>
      <c r="H940" s="17">
        <v>19842</v>
      </c>
      <c r="I940">
        <f>VLOOKUP(C940,LEAIDs!$A$2:$B$305,2,FALSE)</f>
        <v>0</v>
      </c>
    </row>
    <row r="941" spans="1:9" x14ac:dyDescent="0.2">
      <c r="A941">
        <v>0</v>
      </c>
      <c r="B941">
        <v>2018</v>
      </c>
      <c r="C941" t="s">
        <v>278</v>
      </c>
      <c r="D941" t="s">
        <v>232</v>
      </c>
      <c r="E941" t="s">
        <v>234</v>
      </c>
      <c r="F941" s="17">
        <v>10756</v>
      </c>
      <c r="G941" s="17">
        <v>354</v>
      </c>
      <c r="H941" s="17">
        <v>11110</v>
      </c>
      <c r="I941">
        <f>VLOOKUP(C941,LEAIDs!$A$2:$B$305,2,FALSE)</f>
        <v>0</v>
      </c>
    </row>
    <row r="942" spans="1:9" x14ac:dyDescent="0.2">
      <c r="A942">
        <v>0</v>
      </c>
      <c r="B942">
        <v>2019</v>
      </c>
      <c r="C942" t="s">
        <v>278</v>
      </c>
      <c r="D942" t="s">
        <v>232</v>
      </c>
      <c r="E942" t="s">
        <v>234</v>
      </c>
      <c r="F942" s="17">
        <v>17016</v>
      </c>
      <c r="G942" s="17">
        <v>571</v>
      </c>
      <c r="H942" s="17">
        <v>17587</v>
      </c>
      <c r="I942">
        <f>VLOOKUP(C942,LEAIDs!$A$2:$B$305,2,FALSE)</f>
        <v>0</v>
      </c>
    </row>
    <row r="943" spans="1:9" x14ac:dyDescent="0.2">
      <c r="A943">
        <v>0</v>
      </c>
      <c r="B943">
        <v>2015</v>
      </c>
      <c r="C943" t="s">
        <v>309</v>
      </c>
      <c r="D943" t="s">
        <v>232</v>
      </c>
      <c r="E943" t="s">
        <v>234</v>
      </c>
      <c r="F943" s="17">
        <v>15937</v>
      </c>
      <c r="G943" s="17">
        <v>490</v>
      </c>
      <c r="H943" s="17">
        <v>16427</v>
      </c>
      <c r="I943">
        <f>VLOOKUP(C943,LEAIDs!$A$2:$B$305,2,FALSE)</f>
        <v>0</v>
      </c>
    </row>
    <row r="944" spans="1:9" x14ac:dyDescent="0.2">
      <c r="A944">
        <v>0</v>
      </c>
      <c r="B944">
        <v>2015</v>
      </c>
      <c r="C944" t="s">
        <v>202</v>
      </c>
      <c r="D944" t="s">
        <v>232</v>
      </c>
      <c r="E944" t="s">
        <v>234</v>
      </c>
      <c r="F944" s="17">
        <v>62931</v>
      </c>
      <c r="G944" s="17">
        <v>1935</v>
      </c>
      <c r="H944" s="17">
        <v>64866</v>
      </c>
      <c r="I944">
        <f>VLOOKUP(C944,LEAIDs!$A$2:$B$305,2,FALSE)</f>
        <v>0</v>
      </c>
    </row>
    <row r="945" spans="1:9" x14ac:dyDescent="0.2">
      <c r="A945">
        <v>0</v>
      </c>
      <c r="B945">
        <v>2016</v>
      </c>
      <c r="C945" t="s">
        <v>202</v>
      </c>
      <c r="D945" t="s">
        <v>232</v>
      </c>
      <c r="E945" t="s">
        <v>234</v>
      </c>
      <c r="F945" s="17">
        <v>60732</v>
      </c>
      <c r="G945" s="17">
        <v>2003</v>
      </c>
      <c r="H945" s="17">
        <v>62735</v>
      </c>
      <c r="I945">
        <f>VLOOKUP(C945,LEAIDs!$A$2:$B$305,2,FALSE)</f>
        <v>0</v>
      </c>
    </row>
    <row r="946" spans="1:9" x14ac:dyDescent="0.2">
      <c r="A946">
        <v>0</v>
      </c>
      <c r="B946">
        <v>2017</v>
      </c>
      <c r="C946" t="s">
        <v>202</v>
      </c>
      <c r="D946" t="s">
        <v>232</v>
      </c>
      <c r="E946" t="s">
        <v>234</v>
      </c>
      <c r="F946" s="17">
        <v>57135</v>
      </c>
      <c r="G946" s="17">
        <v>1973</v>
      </c>
      <c r="H946" s="17">
        <v>59108</v>
      </c>
      <c r="I946">
        <f>VLOOKUP(C946,LEAIDs!$A$2:$B$305,2,FALSE)</f>
        <v>0</v>
      </c>
    </row>
    <row r="947" spans="1:9" x14ac:dyDescent="0.2">
      <c r="A947">
        <v>0</v>
      </c>
      <c r="B947">
        <v>2018</v>
      </c>
      <c r="C947" t="s">
        <v>202</v>
      </c>
      <c r="D947" t="s">
        <v>232</v>
      </c>
      <c r="E947" t="s">
        <v>234</v>
      </c>
      <c r="F947" s="17">
        <v>58902</v>
      </c>
      <c r="G947" s="17">
        <v>1938</v>
      </c>
      <c r="H947" s="17">
        <v>60840</v>
      </c>
      <c r="I947">
        <f>VLOOKUP(C947,LEAIDs!$A$2:$B$305,2,FALSE)</f>
        <v>0</v>
      </c>
    </row>
    <row r="948" spans="1:9" x14ac:dyDescent="0.2">
      <c r="A948">
        <v>0</v>
      </c>
      <c r="B948">
        <v>2019</v>
      </c>
      <c r="C948" t="s">
        <v>202</v>
      </c>
      <c r="D948" t="s">
        <v>232</v>
      </c>
      <c r="E948" t="s">
        <v>234</v>
      </c>
      <c r="F948" s="17">
        <v>59653</v>
      </c>
      <c r="G948" s="17">
        <v>2002</v>
      </c>
      <c r="H948" s="17">
        <v>61655</v>
      </c>
      <c r="I948">
        <f>VLOOKUP(C948,LEAIDs!$A$2:$B$305,2,FALSE)</f>
        <v>0</v>
      </c>
    </row>
    <row r="949" spans="1:9" x14ac:dyDescent="0.2">
      <c r="A949">
        <v>0</v>
      </c>
      <c r="B949">
        <v>2020</v>
      </c>
      <c r="C949" t="s">
        <v>202</v>
      </c>
      <c r="D949" t="s">
        <v>232</v>
      </c>
      <c r="E949" t="s">
        <v>234</v>
      </c>
      <c r="F949" s="17">
        <v>18709</v>
      </c>
      <c r="G949" s="17">
        <v>660</v>
      </c>
      <c r="H949" s="17">
        <v>19369</v>
      </c>
      <c r="I949">
        <f>VLOOKUP(C949,LEAIDs!$A$2:$B$305,2,FALSE)</f>
        <v>0</v>
      </c>
    </row>
    <row r="950" spans="1:9" x14ac:dyDescent="0.2">
      <c r="A950">
        <v>0</v>
      </c>
      <c r="B950" s="2">
        <v>2021</v>
      </c>
      <c r="C950" s="4" t="s">
        <v>202</v>
      </c>
      <c r="D950" s="2" t="s">
        <v>232</v>
      </c>
      <c r="E950" s="2" t="s">
        <v>234</v>
      </c>
      <c r="F950" s="16">
        <v>6323</v>
      </c>
      <c r="G950" s="16">
        <v>220</v>
      </c>
      <c r="H950" s="15">
        <v>6543</v>
      </c>
      <c r="I950">
        <f>VLOOKUP(C950,LEAIDs!$A$2:$B$305,2,FALSE)</f>
        <v>0</v>
      </c>
    </row>
    <row r="951" spans="1:9" x14ac:dyDescent="0.2">
      <c r="A951">
        <v>0</v>
      </c>
      <c r="B951" s="2">
        <v>2023</v>
      </c>
      <c r="C951" s="2" t="s">
        <v>202</v>
      </c>
      <c r="D951" s="2" t="s">
        <v>232</v>
      </c>
      <c r="E951" s="2" t="s">
        <v>234</v>
      </c>
      <c r="F951" s="15">
        <v>16451</v>
      </c>
      <c r="G951" s="15">
        <v>586</v>
      </c>
      <c r="H951" s="15">
        <v>17037</v>
      </c>
      <c r="I951">
        <f>VLOOKUP(C951,LEAIDs!$A$2:$B$305,2,FALSE)</f>
        <v>0</v>
      </c>
    </row>
    <row r="952" spans="1:9" x14ac:dyDescent="0.2">
      <c r="A952">
        <v>0</v>
      </c>
      <c r="B952">
        <v>2016</v>
      </c>
      <c r="C952" t="s">
        <v>228</v>
      </c>
      <c r="D952" t="s">
        <v>232</v>
      </c>
      <c r="E952" t="s">
        <v>234</v>
      </c>
      <c r="F952" s="17">
        <v>9321</v>
      </c>
      <c r="G952" s="17">
        <v>307</v>
      </c>
      <c r="H952" s="17">
        <v>9628</v>
      </c>
      <c r="I952">
        <f>VLOOKUP(C952,LEAIDs!$A$2:$B$305,2,FALSE)</f>
        <v>0</v>
      </c>
    </row>
    <row r="953" spans="1:9" x14ac:dyDescent="0.2">
      <c r="A953">
        <v>0</v>
      </c>
      <c r="B953">
        <v>2017</v>
      </c>
      <c r="C953" t="s">
        <v>228</v>
      </c>
      <c r="D953" t="s">
        <v>232</v>
      </c>
      <c r="E953" t="s">
        <v>234</v>
      </c>
      <c r="F953" s="17">
        <v>16251</v>
      </c>
      <c r="G953" s="17">
        <v>561</v>
      </c>
      <c r="H953" s="17">
        <v>16812</v>
      </c>
      <c r="I953">
        <f>VLOOKUP(C953,LEAIDs!$A$2:$B$305,2,FALSE)</f>
        <v>0</v>
      </c>
    </row>
    <row r="954" spans="1:9" x14ac:dyDescent="0.2">
      <c r="A954">
        <v>0</v>
      </c>
      <c r="B954">
        <v>2018</v>
      </c>
      <c r="C954" t="s">
        <v>228</v>
      </c>
      <c r="D954" t="s">
        <v>232</v>
      </c>
      <c r="E954" t="s">
        <v>234</v>
      </c>
      <c r="F954" s="17">
        <v>17595</v>
      </c>
      <c r="G954" s="17">
        <v>579</v>
      </c>
      <c r="H954" s="17">
        <v>18174</v>
      </c>
      <c r="I954">
        <f>VLOOKUP(C954,LEAIDs!$A$2:$B$305,2,FALSE)</f>
        <v>0</v>
      </c>
    </row>
    <row r="955" spans="1:9" x14ac:dyDescent="0.2">
      <c r="A955">
        <v>0</v>
      </c>
      <c r="B955">
        <v>2019</v>
      </c>
      <c r="C955" t="s">
        <v>228</v>
      </c>
      <c r="D955" t="s">
        <v>232</v>
      </c>
      <c r="E955" t="s">
        <v>234</v>
      </c>
      <c r="F955" s="17">
        <v>18051</v>
      </c>
      <c r="G955" s="17">
        <v>606</v>
      </c>
      <c r="H955" s="17">
        <v>18657</v>
      </c>
      <c r="I955">
        <f>VLOOKUP(C955,LEAIDs!$A$2:$B$305,2,FALSE)</f>
        <v>0</v>
      </c>
    </row>
    <row r="956" spans="1:9" x14ac:dyDescent="0.2">
      <c r="A956">
        <v>0</v>
      </c>
      <c r="B956">
        <v>2020</v>
      </c>
      <c r="C956" t="s">
        <v>228</v>
      </c>
      <c r="D956" t="s">
        <v>232</v>
      </c>
      <c r="E956" t="s">
        <v>234</v>
      </c>
      <c r="F956" s="17">
        <v>20250</v>
      </c>
      <c r="G956" s="17">
        <v>715</v>
      </c>
      <c r="H956" s="17">
        <v>20965</v>
      </c>
      <c r="I956">
        <f>VLOOKUP(C956,LEAIDs!$A$2:$B$305,2,FALSE)</f>
        <v>0</v>
      </c>
    </row>
    <row r="957" spans="1:9" x14ac:dyDescent="0.2">
      <c r="A957">
        <v>0</v>
      </c>
      <c r="B957" s="2">
        <v>2021</v>
      </c>
      <c r="C957" s="4" t="s">
        <v>228</v>
      </c>
      <c r="D957" s="2" t="s">
        <v>232</v>
      </c>
      <c r="E957" s="2" t="s">
        <v>234</v>
      </c>
      <c r="F957" s="16">
        <v>20517</v>
      </c>
      <c r="G957" s="16">
        <v>714</v>
      </c>
      <c r="H957" s="15">
        <v>21231</v>
      </c>
      <c r="I957">
        <f>VLOOKUP(C957,LEAIDs!$A$2:$B$305,2,FALSE)</f>
        <v>0</v>
      </c>
    </row>
    <row r="958" spans="1:9" x14ac:dyDescent="0.2">
      <c r="A958">
        <v>0</v>
      </c>
      <c r="B958" s="2">
        <v>2022</v>
      </c>
      <c r="C958" s="4" t="s">
        <v>228</v>
      </c>
      <c r="D958" s="2" t="s">
        <v>232</v>
      </c>
      <c r="E958" s="2" t="s">
        <v>234</v>
      </c>
      <c r="F958" s="16">
        <v>41262</v>
      </c>
      <c r="G958" s="16">
        <v>1474</v>
      </c>
      <c r="H958" s="15">
        <v>42736</v>
      </c>
      <c r="I958">
        <f>VLOOKUP(C958,LEAIDs!$A$2:$B$305,2,FALSE)</f>
        <v>0</v>
      </c>
    </row>
    <row r="959" spans="1:9" x14ac:dyDescent="0.2">
      <c r="A959">
        <v>0</v>
      </c>
      <c r="B959" s="2">
        <v>2023</v>
      </c>
      <c r="C959" s="2" t="s">
        <v>228</v>
      </c>
      <c r="D959" s="2" t="s">
        <v>232</v>
      </c>
      <c r="E959" s="2" t="s">
        <v>234</v>
      </c>
      <c r="F959" s="15">
        <v>23823</v>
      </c>
      <c r="G959" s="15">
        <v>849</v>
      </c>
      <c r="H959" s="15">
        <v>24672</v>
      </c>
      <c r="I959">
        <f>VLOOKUP(C959,LEAIDs!$A$2:$B$305,2,FALSE)</f>
        <v>0</v>
      </c>
    </row>
    <row r="960" spans="1:9" x14ac:dyDescent="0.2">
      <c r="A960">
        <v>0</v>
      </c>
      <c r="B960">
        <v>2015</v>
      </c>
      <c r="C960" t="s">
        <v>312</v>
      </c>
      <c r="D960" t="s">
        <v>232</v>
      </c>
      <c r="E960" t="s">
        <v>234</v>
      </c>
      <c r="F960" s="17">
        <v>67764</v>
      </c>
      <c r="G960" s="17">
        <v>2083</v>
      </c>
      <c r="H960" s="17">
        <v>69847</v>
      </c>
      <c r="I960">
        <f>VLOOKUP(C960,LEAIDs!$A$2:$B$305,2,FALSE)</f>
        <v>0</v>
      </c>
    </row>
    <row r="961" spans="1:9" x14ac:dyDescent="0.2">
      <c r="A961">
        <v>0</v>
      </c>
      <c r="B961">
        <v>2015</v>
      </c>
      <c r="C961" t="s">
        <v>175</v>
      </c>
      <c r="D961" t="s">
        <v>232</v>
      </c>
      <c r="E961" t="s">
        <v>234</v>
      </c>
      <c r="F961" s="17">
        <v>34844</v>
      </c>
      <c r="G961" s="17">
        <v>1071</v>
      </c>
      <c r="H961" s="17">
        <v>35915</v>
      </c>
      <c r="I961">
        <f>VLOOKUP(C961,LEAIDs!$A$2:$B$305,2,FALSE)</f>
        <v>0</v>
      </c>
    </row>
    <row r="962" spans="1:9" x14ac:dyDescent="0.2">
      <c r="A962">
        <v>0</v>
      </c>
      <c r="B962">
        <v>2016</v>
      </c>
      <c r="C962" t="s">
        <v>175</v>
      </c>
      <c r="D962" t="s">
        <v>232</v>
      </c>
      <c r="E962" t="s">
        <v>234</v>
      </c>
      <c r="F962" s="17">
        <v>33058</v>
      </c>
      <c r="G962" s="17">
        <v>1090</v>
      </c>
      <c r="H962" s="17">
        <v>34148</v>
      </c>
      <c r="I962">
        <f>VLOOKUP(C962,LEAIDs!$A$2:$B$305,2,FALSE)</f>
        <v>0</v>
      </c>
    </row>
    <row r="963" spans="1:9" x14ac:dyDescent="0.2">
      <c r="A963">
        <v>0</v>
      </c>
      <c r="B963">
        <v>2017</v>
      </c>
      <c r="C963" t="s">
        <v>175</v>
      </c>
      <c r="D963" t="s">
        <v>232</v>
      </c>
      <c r="E963" t="s">
        <v>234</v>
      </c>
      <c r="F963" s="17">
        <v>31850</v>
      </c>
      <c r="G963" s="17">
        <v>1100</v>
      </c>
      <c r="H963" s="17">
        <v>32950</v>
      </c>
      <c r="I963">
        <f>VLOOKUP(C963,LEAIDs!$A$2:$B$305,2,FALSE)</f>
        <v>0</v>
      </c>
    </row>
    <row r="964" spans="1:9" x14ac:dyDescent="0.2">
      <c r="A964">
        <v>0</v>
      </c>
      <c r="B964">
        <v>2018</v>
      </c>
      <c r="C964" t="s">
        <v>175</v>
      </c>
      <c r="D964" t="s">
        <v>232</v>
      </c>
      <c r="E964" t="s">
        <v>234</v>
      </c>
      <c r="F964" s="17">
        <v>27077</v>
      </c>
      <c r="G964" s="17">
        <v>891</v>
      </c>
      <c r="H964" s="17">
        <v>27968</v>
      </c>
      <c r="I964">
        <f>VLOOKUP(C964,LEAIDs!$A$2:$B$305,2,FALSE)</f>
        <v>0</v>
      </c>
    </row>
    <row r="965" spans="1:9" x14ac:dyDescent="0.2">
      <c r="A965">
        <v>0</v>
      </c>
      <c r="B965">
        <v>2019</v>
      </c>
      <c r="C965" t="s">
        <v>175</v>
      </c>
      <c r="D965" t="s">
        <v>232</v>
      </c>
      <c r="E965" t="s">
        <v>234</v>
      </c>
      <c r="F965" s="17">
        <v>8228</v>
      </c>
      <c r="G965" s="17">
        <v>276</v>
      </c>
      <c r="H965" s="17">
        <v>8504</v>
      </c>
      <c r="I965">
        <f>VLOOKUP(C965,LEAIDs!$A$2:$B$305,2,FALSE)</f>
        <v>0</v>
      </c>
    </row>
    <row r="966" spans="1:9" x14ac:dyDescent="0.2">
      <c r="A966">
        <v>0</v>
      </c>
      <c r="B966">
        <v>2020</v>
      </c>
      <c r="C966" t="s">
        <v>175</v>
      </c>
      <c r="D966" t="s">
        <v>232</v>
      </c>
      <c r="E966" t="s">
        <v>234</v>
      </c>
      <c r="F966" s="17">
        <v>8242</v>
      </c>
      <c r="G966" s="17">
        <v>291</v>
      </c>
      <c r="H966" s="17">
        <v>8533</v>
      </c>
      <c r="I966">
        <f>VLOOKUP(C966,LEAIDs!$A$2:$B$305,2,FALSE)</f>
        <v>0</v>
      </c>
    </row>
    <row r="967" spans="1:9" x14ac:dyDescent="0.2">
      <c r="A967">
        <v>0</v>
      </c>
      <c r="B967" s="2">
        <v>2021</v>
      </c>
      <c r="C967" s="4" t="s">
        <v>175</v>
      </c>
      <c r="D967" s="2" t="s">
        <v>232</v>
      </c>
      <c r="E967" s="2" t="s">
        <v>234</v>
      </c>
      <c r="F967" s="16">
        <v>19674</v>
      </c>
      <c r="G967" s="16">
        <v>685</v>
      </c>
      <c r="H967" s="15">
        <v>20359</v>
      </c>
      <c r="I967">
        <f>VLOOKUP(C967,LEAIDs!$A$2:$B$305,2,FALSE)</f>
        <v>0</v>
      </c>
    </row>
    <row r="968" spans="1:9" x14ac:dyDescent="0.2">
      <c r="A968">
        <v>0</v>
      </c>
      <c r="B968" s="2">
        <v>2022</v>
      </c>
      <c r="C968" s="4" t="s">
        <v>175</v>
      </c>
      <c r="D968" s="2" t="s">
        <v>232</v>
      </c>
      <c r="E968" s="2" t="s">
        <v>234</v>
      </c>
      <c r="F968" s="16">
        <v>22802</v>
      </c>
      <c r="G968" s="16">
        <v>815</v>
      </c>
      <c r="H968" s="15">
        <v>23617</v>
      </c>
      <c r="I968">
        <f>VLOOKUP(C968,LEAIDs!$A$2:$B$305,2,FALSE)</f>
        <v>0</v>
      </c>
    </row>
    <row r="969" spans="1:9" x14ac:dyDescent="0.2">
      <c r="A969">
        <v>0</v>
      </c>
      <c r="B969" s="2">
        <v>2023</v>
      </c>
      <c r="C969" s="2" t="s">
        <v>175</v>
      </c>
      <c r="D969" s="2" t="s">
        <v>232</v>
      </c>
      <c r="E969" s="2" t="s">
        <v>234</v>
      </c>
      <c r="F969" s="15">
        <v>16064</v>
      </c>
      <c r="G969" s="15">
        <v>573</v>
      </c>
      <c r="H969" s="15">
        <v>16637</v>
      </c>
      <c r="I969">
        <f>VLOOKUP(C969,LEAIDs!$A$2:$B$305,2,FALSE)</f>
        <v>0</v>
      </c>
    </row>
    <row r="970" spans="1:9" x14ac:dyDescent="0.2">
      <c r="A970">
        <v>0</v>
      </c>
      <c r="B970">
        <v>2015</v>
      </c>
      <c r="C970" t="s">
        <v>254</v>
      </c>
      <c r="D970" t="s">
        <v>232</v>
      </c>
      <c r="E970" t="s">
        <v>234</v>
      </c>
      <c r="F970" s="17">
        <v>30546</v>
      </c>
      <c r="G970" s="17">
        <v>939</v>
      </c>
      <c r="H970" s="17">
        <v>31485</v>
      </c>
      <c r="I970">
        <f>VLOOKUP(C970,LEAIDs!$A$2:$B$305,2,FALSE)</f>
        <v>0</v>
      </c>
    </row>
    <row r="971" spans="1:9" x14ac:dyDescent="0.2">
      <c r="A971">
        <v>0</v>
      </c>
      <c r="B971">
        <v>2016</v>
      </c>
      <c r="C971" t="s">
        <v>254</v>
      </c>
      <c r="D971" t="s">
        <v>232</v>
      </c>
      <c r="E971" t="s">
        <v>234</v>
      </c>
      <c r="F971" s="17">
        <v>30082</v>
      </c>
      <c r="G971" s="17">
        <v>992</v>
      </c>
      <c r="H971" s="17">
        <v>31074</v>
      </c>
      <c r="I971">
        <f>VLOOKUP(C971,LEAIDs!$A$2:$B$305,2,FALSE)</f>
        <v>0</v>
      </c>
    </row>
    <row r="972" spans="1:9" x14ac:dyDescent="0.2">
      <c r="A972">
        <v>0</v>
      </c>
      <c r="B972">
        <v>2017</v>
      </c>
      <c r="C972" t="s">
        <v>254</v>
      </c>
      <c r="D972" t="s">
        <v>232</v>
      </c>
      <c r="E972" t="s">
        <v>234</v>
      </c>
      <c r="F972" s="17">
        <v>28820</v>
      </c>
      <c r="G972" s="17">
        <v>995</v>
      </c>
      <c r="H972" s="17">
        <v>29815</v>
      </c>
      <c r="I972">
        <f>VLOOKUP(C972,LEAIDs!$A$2:$B$305,2,FALSE)</f>
        <v>0</v>
      </c>
    </row>
    <row r="973" spans="1:9" x14ac:dyDescent="0.2">
      <c r="A973">
        <v>0</v>
      </c>
      <c r="B973">
        <v>2018</v>
      </c>
      <c r="C973" t="s">
        <v>254</v>
      </c>
      <c r="D973" t="s">
        <v>232</v>
      </c>
      <c r="E973" t="s">
        <v>234</v>
      </c>
      <c r="F973" s="17">
        <v>30851</v>
      </c>
      <c r="G973" s="17">
        <v>1015</v>
      </c>
      <c r="H973" s="17">
        <v>31866</v>
      </c>
      <c r="I973">
        <f>VLOOKUP(C973,LEAIDs!$A$2:$B$305,2,FALSE)</f>
        <v>0</v>
      </c>
    </row>
    <row r="974" spans="1:9" x14ac:dyDescent="0.2">
      <c r="A974">
        <v>0</v>
      </c>
      <c r="B974">
        <v>2019</v>
      </c>
      <c r="C974" t="s">
        <v>254</v>
      </c>
      <c r="D974" t="s">
        <v>232</v>
      </c>
      <c r="E974" t="s">
        <v>234</v>
      </c>
      <c r="F974" s="17">
        <v>32498</v>
      </c>
      <c r="G974" s="17">
        <v>1091</v>
      </c>
      <c r="H974" s="17">
        <v>33589</v>
      </c>
      <c r="I974">
        <f>VLOOKUP(C974,LEAIDs!$A$2:$B$305,2,FALSE)</f>
        <v>0</v>
      </c>
    </row>
    <row r="975" spans="1:9" x14ac:dyDescent="0.2">
      <c r="A975">
        <v>0</v>
      </c>
      <c r="B975">
        <v>2020</v>
      </c>
      <c r="C975" t="s">
        <v>254</v>
      </c>
      <c r="D975" t="s">
        <v>232</v>
      </c>
      <c r="E975" t="s">
        <v>234</v>
      </c>
      <c r="F975" s="17">
        <v>32441</v>
      </c>
      <c r="G975" s="17">
        <v>1145</v>
      </c>
      <c r="H975" s="17">
        <v>33586</v>
      </c>
      <c r="I975">
        <f>VLOOKUP(C975,LEAIDs!$A$2:$B$305,2,FALSE)</f>
        <v>0</v>
      </c>
    </row>
    <row r="976" spans="1:9" x14ac:dyDescent="0.2">
      <c r="A976">
        <v>0</v>
      </c>
      <c r="B976" s="2">
        <v>2021</v>
      </c>
      <c r="C976" s="4" t="s">
        <v>254</v>
      </c>
      <c r="D976" s="2" t="s">
        <v>232</v>
      </c>
      <c r="E976" s="2" t="s">
        <v>234</v>
      </c>
      <c r="F976" s="16">
        <v>18682</v>
      </c>
      <c r="G976" s="16">
        <v>650</v>
      </c>
      <c r="H976" s="15">
        <v>19332</v>
      </c>
      <c r="I976">
        <f>VLOOKUP(C976,LEAIDs!$A$2:$B$305,2,FALSE)</f>
        <v>0</v>
      </c>
    </row>
    <row r="977" spans="1:9" x14ac:dyDescent="0.2">
      <c r="A977">
        <v>0</v>
      </c>
      <c r="B977" s="2">
        <v>2022</v>
      </c>
      <c r="C977" s="4" t="s">
        <v>254</v>
      </c>
      <c r="D977" s="2" t="s">
        <v>232</v>
      </c>
      <c r="E977" s="2" t="s">
        <v>234</v>
      </c>
      <c r="F977" s="16">
        <v>18687</v>
      </c>
      <c r="G977" s="16">
        <v>668</v>
      </c>
      <c r="H977" s="15">
        <v>19355</v>
      </c>
      <c r="I977">
        <f>VLOOKUP(C977,LEAIDs!$A$2:$B$305,2,FALSE)</f>
        <v>0</v>
      </c>
    </row>
    <row r="978" spans="1:9" x14ac:dyDescent="0.2">
      <c r="A978">
        <v>0</v>
      </c>
      <c r="B978">
        <v>2016</v>
      </c>
      <c r="C978" t="s">
        <v>292</v>
      </c>
      <c r="D978" t="s">
        <v>232</v>
      </c>
      <c r="E978" t="s">
        <v>234</v>
      </c>
      <c r="F978" s="17">
        <v>19059</v>
      </c>
      <c r="G978" s="17">
        <v>629</v>
      </c>
      <c r="H978" s="17">
        <v>19688</v>
      </c>
      <c r="I978">
        <f>VLOOKUP(C978,LEAIDs!$A$2:$B$305,2,FALSE)</f>
        <v>0</v>
      </c>
    </row>
    <row r="979" spans="1:9" x14ac:dyDescent="0.2">
      <c r="A979">
        <v>0</v>
      </c>
      <c r="B979">
        <v>2017</v>
      </c>
      <c r="C979" t="s">
        <v>292</v>
      </c>
      <c r="D979" t="s">
        <v>232</v>
      </c>
      <c r="E979" t="s">
        <v>234</v>
      </c>
      <c r="F979" s="17">
        <v>16554</v>
      </c>
      <c r="G979" s="17">
        <v>572</v>
      </c>
      <c r="H979" s="17">
        <v>17126</v>
      </c>
      <c r="I979">
        <f>VLOOKUP(C979,LEAIDs!$A$2:$B$305,2,FALSE)</f>
        <v>0</v>
      </c>
    </row>
    <row r="980" spans="1:9" x14ac:dyDescent="0.2">
      <c r="A980">
        <v>0</v>
      </c>
      <c r="B980">
        <v>2015</v>
      </c>
      <c r="C980" t="s">
        <v>226</v>
      </c>
      <c r="D980" t="s">
        <v>232</v>
      </c>
      <c r="E980" t="s">
        <v>234</v>
      </c>
      <c r="F980" s="17">
        <v>60325</v>
      </c>
      <c r="G980" s="17">
        <v>1854</v>
      </c>
      <c r="H980" s="17">
        <v>62179</v>
      </c>
      <c r="I980">
        <f>VLOOKUP(C980,LEAIDs!$A$2:$B$305,2,FALSE)</f>
        <v>0</v>
      </c>
    </row>
    <row r="981" spans="1:9" x14ac:dyDescent="0.2">
      <c r="A981">
        <v>0</v>
      </c>
      <c r="B981">
        <v>2016</v>
      </c>
      <c r="C981" t="s">
        <v>226</v>
      </c>
      <c r="D981" t="s">
        <v>232</v>
      </c>
      <c r="E981" t="s">
        <v>234</v>
      </c>
      <c r="F981" s="17">
        <v>38662</v>
      </c>
      <c r="G981" s="17">
        <v>1275</v>
      </c>
      <c r="H981" s="17">
        <v>39937</v>
      </c>
      <c r="I981">
        <f>VLOOKUP(C981,LEAIDs!$A$2:$B$305,2,FALSE)</f>
        <v>0</v>
      </c>
    </row>
    <row r="982" spans="1:9" x14ac:dyDescent="0.2">
      <c r="A982">
        <v>0</v>
      </c>
      <c r="B982">
        <v>2017</v>
      </c>
      <c r="C982" t="s">
        <v>226</v>
      </c>
      <c r="D982" t="s">
        <v>232</v>
      </c>
      <c r="E982" t="s">
        <v>234</v>
      </c>
      <c r="F982" s="17">
        <v>35576</v>
      </c>
      <c r="G982" s="17">
        <v>1229</v>
      </c>
      <c r="H982" s="17">
        <v>36805</v>
      </c>
      <c r="I982">
        <f>VLOOKUP(C982,LEAIDs!$A$2:$B$305,2,FALSE)</f>
        <v>0</v>
      </c>
    </row>
    <row r="983" spans="1:9" x14ac:dyDescent="0.2">
      <c r="A983">
        <v>0</v>
      </c>
      <c r="B983">
        <v>2018</v>
      </c>
      <c r="C983" t="s">
        <v>226</v>
      </c>
      <c r="D983" t="s">
        <v>232</v>
      </c>
      <c r="E983" t="s">
        <v>234</v>
      </c>
      <c r="F983" s="17">
        <v>48470</v>
      </c>
      <c r="G983" s="17">
        <v>1595</v>
      </c>
      <c r="H983" s="17">
        <v>50065</v>
      </c>
      <c r="I983">
        <f>VLOOKUP(C983,LEAIDs!$A$2:$B$305,2,FALSE)</f>
        <v>0</v>
      </c>
    </row>
    <row r="984" spans="1:9" x14ac:dyDescent="0.2">
      <c r="A984">
        <v>0</v>
      </c>
      <c r="B984">
        <v>2019</v>
      </c>
      <c r="C984" t="s">
        <v>226</v>
      </c>
      <c r="D984" t="s">
        <v>232</v>
      </c>
      <c r="E984" t="s">
        <v>234</v>
      </c>
      <c r="F984" s="17">
        <v>35675</v>
      </c>
      <c r="G984" s="17">
        <v>1197</v>
      </c>
      <c r="H984" s="17">
        <v>36872</v>
      </c>
      <c r="I984">
        <f>VLOOKUP(C984,LEAIDs!$A$2:$B$305,2,FALSE)</f>
        <v>0</v>
      </c>
    </row>
    <row r="985" spans="1:9" x14ac:dyDescent="0.2">
      <c r="A985">
        <v>0</v>
      </c>
      <c r="B985">
        <v>2020</v>
      </c>
      <c r="C985" t="s">
        <v>226</v>
      </c>
      <c r="D985" t="s">
        <v>232</v>
      </c>
      <c r="E985" t="s">
        <v>234</v>
      </c>
      <c r="F985" s="17">
        <v>35547</v>
      </c>
      <c r="G985" s="17">
        <v>1254</v>
      </c>
      <c r="H985" s="17">
        <v>36801</v>
      </c>
      <c r="I985">
        <f>VLOOKUP(C985,LEAIDs!$A$2:$B$305,2,FALSE)</f>
        <v>0</v>
      </c>
    </row>
    <row r="986" spans="1:9" x14ac:dyDescent="0.2">
      <c r="A986">
        <v>0</v>
      </c>
      <c r="B986" s="2">
        <v>2021</v>
      </c>
      <c r="C986" s="4" t="s">
        <v>226</v>
      </c>
      <c r="D986" s="2" t="s">
        <v>232</v>
      </c>
      <c r="E986" s="2" t="s">
        <v>234</v>
      </c>
      <c r="F986" s="16">
        <v>37600</v>
      </c>
      <c r="G986" s="16">
        <v>1309</v>
      </c>
      <c r="H986" s="15">
        <v>38909</v>
      </c>
      <c r="I986">
        <f>VLOOKUP(C986,LEAIDs!$A$2:$B$305,2,FALSE)</f>
        <v>0</v>
      </c>
    </row>
    <row r="987" spans="1:9" x14ac:dyDescent="0.2">
      <c r="A987">
        <v>0</v>
      </c>
      <c r="B987" s="2">
        <v>2022</v>
      </c>
      <c r="C987" s="4" t="s">
        <v>226</v>
      </c>
      <c r="D987" s="2" t="s">
        <v>232</v>
      </c>
      <c r="E987" s="2" t="s">
        <v>234</v>
      </c>
      <c r="F987" s="16">
        <v>38628</v>
      </c>
      <c r="G987" s="16">
        <v>1380</v>
      </c>
      <c r="H987" s="15">
        <v>40008</v>
      </c>
      <c r="I987">
        <f>VLOOKUP(C987,LEAIDs!$A$2:$B$305,2,FALSE)</f>
        <v>0</v>
      </c>
    </row>
    <row r="988" spans="1:9" x14ac:dyDescent="0.2">
      <c r="A988">
        <v>0</v>
      </c>
      <c r="B988" s="2">
        <v>2023</v>
      </c>
      <c r="C988" s="2" t="s">
        <v>226</v>
      </c>
      <c r="D988" s="2" t="s">
        <v>232</v>
      </c>
      <c r="E988" s="2" t="s">
        <v>234</v>
      </c>
      <c r="F988" s="15">
        <v>15904</v>
      </c>
      <c r="G988" s="15">
        <v>567</v>
      </c>
      <c r="H988" s="15">
        <v>16471</v>
      </c>
      <c r="I988">
        <f>VLOOKUP(C988,LEAIDs!$A$2:$B$305,2,FALSE)</f>
        <v>0</v>
      </c>
    </row>
    <row r="989" spans="1:9" x14ac:dyDescent="0.2">
      <c r="A989">
        <v>0</v>
      </c>
      <c r="B989">
        <v>2015</v>
      </c>
      <c r="C989" t="s">
        <v>201</v>
      </c>
      <c r="D989" t="s">
        <v>232</v>
      </c>
      <c r="E989" t="s">
        <v>234</v>
      </c>
      <c r="F989" s="17">
        <v>16631</v>
      </c>
      <c r="G989" s="17">
        <v>511</v>
      </c>
      <c r="H989" s="17">
        <v>17142</v>
      </c>
      <c r="I989">
        <f>VLOOKUP(C989,LEAIDs!$A$2:$B$305,2,FALSE)</f>
        <v>0</v>
      </c>
    </row>
    <row r="990" spans="1:9" x14ac:dyDescent="0.2">
      <c r="A990">
        <v>0</v>
      </c>
      <c r="B990">
        <v>2016</v>
      </c>
      <c r="C990" t="s">
        <v>201</v>
      </c>
      <c r="D990" t="s">
        <v>232</v>
      </c>
      <c r="E990" t="s">
        <v>234</v>
      </c>
      <c r="F990" s="17">
        <v>15852</v>
      </c>
      <c r="G990" s="17">
        <v>523</v>
      </c>
      <c r="H990" s="17">
        <v>16375</v>
      </c>
      <c r="I990">
        <f>VLOOKUP(C990,LEAIDs!$A$2:$B$305,2,FALSE)</f>
        <v>0</v>
      </c>
    </row>
    <row r="991" spans="1:9" x14ac:dyDescent="0.2">
      <c r="A991">
        <v>0</v>
      </c>
      <c r="B991">
        <v>2017</v>
      </c>
      <c r="C991" t="s">
        <v>201</v>
      </c>
      <c r="D991" t="s">
        <v>232</v>
      </c>
      <c r="E991" t="s">
        <v>234</v>
      </c>
      <c r="F991" s="17">
        <v>15285</v>
      </c>
      <c r="G991" s="17">
        <v>528</v>
      </c>
      <c r="H991" s="17">
        <v>15813</v>
      </c>
      <c r="I991">
        <f>VLOOKUP(C991,LEAIDs!$A$2:$B$305,2,FALSE)</f>
        <v>0</v>
      </c>
    </row>
    <row r="992" spans="1:9" x14ac:dyDescent="0.2">
      <c r="A992">
        <v>0</v>
      </c>
      <c r="B992">
        <v>2018</v>
      </c>
      <c r="C992" t="s">
        <v>201</v>
      </c>
      <c r="D992" t="s">
        <v>232</v>
      </c>
      <c r="E992" t="s">
        <v>234</v>
      </c>
      <c r="F992" s="17">
        <v>15900</v>
      </c>
      <c r="G992" s="17">
        <v>523</v>
      </c>
      <c r="H992" s="17">
        <v>16423</v>
      </c>
      <c r="I992">
        <f>VLOOKUP(C992,LEAIDs!$A$2:$B$305,2,FALSE)</f>
        <v>0</v>
      </c>
    </row>
    <row r="993" spans="1:9" x14ac:dyDescent="0.2">
      <c r="A993">
        <v>0</v>
      </c>
      <c r="B993">
        <v>2019</v>
      </c>
      <c r="C993" t="s">
        <v>201</v>
      </c>
      <c r="D993" t="s">
        <v>232</v>
      </c>
      <c r="E993" t="s">
        <v>234</v>
      </c>
      <c r="F993" s="17">
        <v>16249</v>
      </c>
      <c r="G993" s="17">
        <v>545</v>
      </c>
      <c r="H993" s="17">
        <v>16794</v>
      </c>
      <c r="I993">
        <f>VLOOKUP(C993,LEAIDs!$A$2:$B$305,2,FALSE)</f>
        <v>0</v>
      </c>
    </row>
    <row r="994" spans="1:9" x14ac:dyDescent="0.2">
      <c r="A994">
        <v>0</v>
      </c>
      <c r="B994">
        <v>2020</v>
      </c>
      <c r="C994" t="s">
        <v>201</v>
      </c>
      <c r="D994" t="s">
        <v>232</v>
      </c>
      <c r="E994" t="s">
        <v>234</v>
      </c>
      <c r="F994" s="17">
        <v>16288</v>
      </c>
      <c r="G994" s="17">
        <v>575</v>
      </c>
      <c r="H994" s="17">
        <v>16863</v>
      </c>
      <c r="I994">
        <f>VLOOKUP(C994,LEAIDs!$A$2:$B$305,2,FALSE)</f>
        <v>0</v>
      </c>
    </row>
    <row r="995" spans="1:9" x14ac:dyDescent="0.2">
      <c r="A995">
        <v>0</v>
      </c>
      <c r="B995" s="2">
        <v>2021</v>
      </c>
      <c r="C995" s="4" t="s">
        <v>201</v>
      </c>
      <c r="D995" s="2" t="s">
        <v>232</v>
      </c>
      <c r="E995" s="2" t="s">
        <v>234</v>
      </c>
      <c r="F995" s="16">
        <v>42411</v>
      </c>
      <c r="G995" s="16">
        <v>1476</v>
      </c>
      <c r="H995" s="15">
        <v>43887</v>
      </c>
      <c r="I995">
        <f>VLOOKUP(C995,LEAIDs!$A$2:$B$305,2,FALSE)</f>
        <v>0</v>
      </c>
    </row>
    <row r="996" spans="1:9" x14ac:dyDescent="0.2">
      <c r="A996">
        <v>0</v>
      </c>
      <c r="B996" s="2">
        <v>2022</v>
      </c>
      <c r="C996" s="4" t="s">
        <v>201</v>
      </c>
      <c r="D996" s="2" t="s">
        <v>232</v>
      </c>
      <c r="E996" s="2" t="s">
        <v>234</v>
      </c>
      <c r="F996" s="16">
        <v>48643</v>
      </c>
      <c r="G996" s="16">
        <v>1738</v>
      </c>
      <c r="H996" s="15">
        <v>50381</v>
      </c>
      <c r="I996">
        <f>VLOOKUP(C996,LEAIDs!$A$2:$B$305,2,FALSE)</f>
        <v>0</v>
      </c>
    </row>
    <row r="997" spans="1:9" x14ac:dyDescent="0.2">
      <c r="A997">
        <v>0</v>
      </c>
      <c r="B997" s="2">
        <v>2023</v>
      </c>
      <c r="C997" s="2" t="s">
        <v>201</v>
      </c>
      <c r="D997" s="2" t="s">
        <v>232</v>
      </c>
      <c r="E997" s="2" t="s">
        <v>234</v>
      </c>
      <c r="F997" s="15">
        <v>60444</v>
      </c>
      <c r="G997" s="15">
        <v>2155</v>
      </c>
      <c r="H997" s="15">
        <v>62599</v>
      </c>
      <c r="I997">
        <f>VLOOKUP(C997,LEAIDs!$A$2:$B$305,2,FALSE)</f>
        <v>0</v>
      </c>
    </row>
    <row r="998" spans="1:9" x14ac:dyDescent="0.2">
      <c r="A998">
        <v>0</v>
      </c>
      <c r="B998">
        <v>2016</v>
      </c>
      <c r="C998" t="s">
        <v>203</v>
      </c>
      <c r="D998" t="s">
        <v>232</v>
      </c>
      <c r="E998" t="s">
        <v>234</v>
      </c>
      <c r="F998" s="17">
        <v>4562</v>
      </c>
      <c r="G998" s="17">
        <v>150</v>
      </c>
      <c r="H998" s="17">
        <v>4712</v>
      </c>
      <c r="I998">
        <f>VLOOKUP(C998,LEAIDs!$A$2:$B$305,2,FALSE)</f>
        <v>0</v>
      </c>
    </row>
    <row r="999" spans="1:9" x14ac:dyDescent="0.2">
      <c r="A999">
        <v>0</v>
      </c>
      <c r="B999">
        <v>2019</v>
      </c>
      <c r="C999" t="s">
        <v>203</v>
      </c>
      <c r="D999" t="s">
        <v>232</v>
      </c>
      <c r="E999" t="s">
        <v>234</v>
      </c>
      <c r="F999" s="17">
        <v>35553</v>
      </c>
      <c r="G999" s="17">
        <v>1193</v>
      </c>
      <c r="H999" s="17">
        <v>36746</v>
      </c>
      <c r="I999">
        <f>VLOOKUP(C999,LEAIDs!$A$2:$B$305,2,FALSE)</f>
        <v>0</v>
      </c>
    </row>
    <row r="1000" spans="1:9" x14ac:dyDescent="0.2">
      <c r="A1000">
        <v>0</v>
      </c>
      <c r="B1000">
        <v>2020</v>
      </c>
      <c r="C1000" t="s">
        <v>203</v>
      </c>
      <c r="D1000" t="s">
        <v>232</v>
      </c>
      <c r="E1000" t="s">
        <v>234</v>
      </c>
      <c r="F1000" s="17">
        <v>38812</v>
      </c>
      <c r="G1000" s="17">
        <v>1370</v>
      </c>
      <c r="H1000" s="17">
        <v>40182</v>
      </c>
      <c r="I1000">
        <f>VLOOKUP(C1000,LEAIDs!$A$2:$B$305,2,FALSE)</f>
        <v>0</v>
      </c>
    </row>
    <row r="1001" spans="1:9" x14ac:dyDescent="0.2">
      <c r="A1001">
        <v>0</v>
      </c>
      <c r="B1001" s="2">
        <v>2021</v>
      </c>
      <c r="C1001" s="4" t="s">
        <v>203</v>
      </c>
      <c r="D1001" s="2" t="s">
        <v>232</v>
      </c>
      <c r="E1001" s="2" t="s">
        <v>234</v>
      </c>
      <c r="F1001" s="16">
        <v>46378</v>
      </c>
      <c r="G1001" s="16">
        <v>1614</v>
      </c>
      <c r="H1001" s="15">
        <v>47992</v>
      </c>
      <c r="I1001">
        <f>VLOOKUP(C1001,LEAIDs!$A$2:$B$305,2,FALSE)</f>
        <v>0</v>
      </c>
    </row>
    <row r="1002" spans="1:9" x14ac:dyDescent="0.2">
      <c r="A1002">
        <v>0</v>
      </c>
      <c r="B1002" s="2">
        <v>2022</v>
      </c>
      <c r="C1002" s="4" t="s">
        <v>203</v>
      </c>
      <c r="D1002" s="2" t="s">
        <v>232</v>
      </c>
      <c r="E1002" s="2" t="s">
        <v>234</v>
      </c>
      <c r="F1002" s="16">
        <v>47162</v>
      </c>
      <c r="G1002" s="16">
        <v>1685</v>
      </c>
      <c r="H1002" s="15">
        <v>48847</v>
      </c>
      <c r="I1002">
        <f>VLOOKUP(C1002,LEAIDs!$A$2:$B$305,2,FALSE)</f>
        <v>0</v>
      </c>
    </row>
    <row r="1003" spans="1:9" x14ac:dyDescent="0.2">
      <c r="A1003">
        <v>0</v>
      </c>
      <c r="B1003" s="2">
        <v>2023</v>
      </c>
      <c r="C1003" s="2" t="s">
        <v>203</v>
      </c>
      <c r="D1003" s="2" t="s">
        <v>232</v>
      </c>
      <c r="E1003" s="2" t="s">
        <v>234</v>
      </c>
      <c r="F1003" s="15">
        <v>50192</v>
      </c>
      <c r="G1003" s="15">
        <v>1789</v>
      </c>
      <c r="H1003" s="15">
        <v>51981</v>
      </c>
      <c r="I1003">
        <f>VLOOKUP(C1003,LEAIDs!$A$2:$B$305,2,FALSE)</f>
        <v>0</v>
      </c>
    </row>
    <row r="1004" spans="1:9" x14ac:dyDescent="0.2">
      <c r="A1004">
        <v>0</v>
      </c>
      <c r="B1004">
        <v>2015</v>
      </c>
      <c r="C1004" t="s">
        <v>296</v>
      </c>
      <c r="D1004" t="s">
        <v>232</v>
      </c>
      <c r="E1004" t="s">
        <v>234</v>
      </c>
      <c r="F1004" s="17">
        <v>18944</v>
      </c>
      <c r="G1004" s="17">
        <v>582</v>
      </c>
      <c r="H1004" s="17">
        <v>19526</v>
      </c>
      <c r="I1004">
        <f>VLOOKUP(C1004,LEAIDs!$A$2:$B$305,2,FALSE)</f>
        <v>0</v>
      </c>
    </row>
    <row r="1005" spans="1:9" x14ac:dyDescent="0.2">
      <c r="A1005">
        <v>0</v>
      </c>
      <c r="B1005">
        <v>2016</v>
      </c>
      <c r="C1005" t="s">
        <v>296</v>
      </c>
      <c r="D1005" t="s">
        <v>232</v>
      </c>
      <c r="E1005" t="s">
        <v>234</v>
      </c>
      <c r="F1005" s="17">
        <v>17866</v>
      </c>
      <c r="G1005" s="17">
        <v>589</v>
      </c>
      <c r="H1005" s="17">
        <v>18455</v>
      </c>
      <c r="I1005">
        <f>VLOOKUP(C1005,LEAIDs!$A$2:$B$305,2,FALSE)</f>
        <v>0</v>
      </c>
    </row>
    <row r="1006" spans="1:9" x14ac:dyDescent="0.2">
      <c r="A1006">
        <v>0</v>
      </c>
      <c r="B1006">
        <v>2015</v>
      </c>
      <c r="C1006" t="s">
        <v>200</v>
      </c>
      <c r="D1006" t="s">
        <v>232</v>
      </c>
      <c r="E1006" t="s">
        <v>234</v>
      </c>
      <c r="F1006" s="17">
        <v>80548</v>
      </c>
      <c r="G1006" s="17">
        <v>2476</v>
      </c>
      <c r="H1006" s="17">
        <v>83024</v>
      </c>
      <c r="I1006">
        <f>VLOOKUP(C1006,LEAIDs!$A$2:$B$305,2,FALSE)</f>
        <v>0</v>
      </c>
    </row>
    <row r="1007" spans="1:9" x14ac:dyDescent="0.2">
      <c r="A1007">
        <v>0</v>
      </c>
      <c r="B1007">
        <v>2016</v>
      </c>
      <c r="C1007" t="s">
        <v>200</v>
      </c>
      <c r="D1007" t="s">
        <v>232</v>
      </c>
      <c r="E1007" t="s">
        <v>234</v>
      </c>
      <c r="F1007" s="17">
        <v>83739</v>
      </c>
      <c r="G1007" s="17">
        <v>2762</v>
      </c>
      <c r="H1007" s="17">
        <v>86501</v>
      </c>
      <c r="I1007">
        <f>VLOOKUP(C1007,LEAIDs!$A$2:$B$305,2,FALSE)</f>
        <v>0</v>
      </c>
    </row>
    <row r="1008" spans="1:9" x14ac:dyDescent="0.2">
      <c r="A1008">
        <v>0</v>
      </c>
      <c r="B1008">
        <v>2017</v>
      </c>
      <c r="C1008" t="s">
        <v>200</v>
      </c>
      <c r="D1008" t="s">
        <v>232</v>
      </c>
      <c r="E1008" t="s">
        <v>234</v>
      </c>
      <c r="F1008" s="17">
        <v>81006</v>
      </c>
      <c r="G1008" s="17">
        <v>2798</v>
      </c>
      <c r="H1008" s="17">
        <v>83804</v>
      </c>
      <c r="I1008">
        <f>VLOOKUP(C1008,LEAIDs!$A$2:$B$305,2,FALSE)</f>
        <v>0</v>
      </c>
    </row>
    <row r="1009" spans="1:9" x14ac:dyDescent="0.2">
      <c r="A1009">
        <v>0</v>
      </c>
      <c r="B1009">
        <v>2018</v>
      </c>
      <c r="C1009" t="s">
        <v>200</v>
      </c>
      <c r="D1009" t="s">
        <v>232</v>
      </c>
      <c r="E1009" t="s">
        <v>234</v>
      </c>
      <c r="F1009" s="17">
        <v>83900</v>
      </c>
      <c r="G1009" s="17">
        <v>2761</v>
      </c>
      <c r="H1009" s="17">
        <v>86661</v>
      </c>
      <c r="I1009">
        <f>VLOOKUP(C1009,LEAIDs!$A$2:$B$305,2,FALSE)</f>
        <v>0</v>
      </c>
    </row>
    <row r="1010" spans="1:9" x14ac:dyDescent="0.2">
      <c r="A1010">
        <v>0</v>
      </c>
      <c r="B1010">
        <v>2019</v>
      </c>
      <c r="C1010" t="s">
        <v>200</v>
      </c>
      <c r="D1010" t="s">
        <v>232</v>
      </c>
      <c r="E1010" t="s">
        <v>234</v>
      </c>
      <c r="F1010" s="17">
        <v>80516</v>
      </c>
      <c r="G1010" s="17">
        <v>2702</v>
      </c>
      <c r="H1010" s="17">
        <v>83218</v>
      </c>
      <c r="I1010">
        <f>VLOOKUP(C1010,LEAIDs!$A$2:$B$305,2,FALSE)</f>
        <v>0</v>
      </c>
    </row>
    <row r="1011" spans="1:9" x14ac:dyDescent="0.2">
      <c r="A1011">
        <v>0</v>
      </c>
      <c r="B1011">
        <v>2020</v>
      </c>
      <c r="C1011" t="s">
        <v>200</v>
      </c>
      <c r="D1011" t="s">
        <v>232</v>
      </c>
      <c r="E1011" t="s">
        <v>234</v>
      </c>
      <c r="F1011" s="17">
        <v>62926</v>
      </c>
      <c r="G1011" s="17">
        <v>2221</v>
      </c>
      <c r="H1011" s="17">
        <v>65147</v>
      </c>
      <c r="I1011">
        <f>VLOOKUP(C1011,LEAIDs!$A$2:$B$305,2,FALSE)</f>
        <v>0</v>
      </c>
    </row>
    <row r="1012" spans="1:9" x14ac:dyDescent="0.2">
      <c r="A1012">
        <v>0</v>
      </c>
      <c r="B1012" s="2">
        <v>2021</v>
      </c>
      <c r="C1012" s="4" t="s">
        <v>200</v>
      </c>
      <c r="D1012" s="2" t="s">
        <v>232</v>
      </c>
      <c r="E1012" s="2" t="s">
        <v>234</v>
      </c>
      <c r="F1012" s="16">
        <v>79590</v>
      </c>
      <c r="G1012" s="16">
        <v>2770</v>
      </c>
      <c r="H1012" s="15">
        <v>82360</v>
      </c>
      <c r="I1012">
        <f>VLOOKUP(C1012,LEAIDs!$A$2:$B$305,2,FALSE)</f>
        <v>0</v>
      </c>
    </row>
    <row r="1013" spans="1:9" x14ac:dyDescent="0.2">
      <c r="A1013">
        <v>0</v>
      </c>
      <c r="B1013" s="2">
        <v>2022</v>
      </c>
      <c r="C1013" s="4" t="s">
        <v>200</v>
      </c>
      <c r="D1013" s="2" t="s">
        <v>232</v>
      </c>
      <c r="E1013" s="2" t="s">
        <v>234</v>
      </c>
      <c r="F1013" s="16">
        <v>64798</v>
      </c>
      <c r="G1013" s="16">
        <v>2315</v>
      </c>
      <c r="H1013" s="15">
        <v>67113</v>
      </c>
      <c r="I1013">
        <f>VLOOKUP(C1013,LEAIDs!$A$2:$B$305,2,FALSE)</f>
        <v>0</v>
      </c>
    </row>
    <row r="1014" spans="1:9" x14ac:dyDescent="0.2">
      <c r="A1014">
        <v>0</v>
      </c>
      <c r="B1014" s="2">
        <v>2023</v>
      </c>
      <c r="C1014" s="2" t="s">
        <v>200</v>
      </c>
      <c r="D1014" s="2" t="s">
        <v>232</v>
      </c>
      <c r="E1014" s="2" t="s">
        <v>234</v>
      </c>
      <c r="F1014" s="15">
        <v>78814</v>
      </c>
      <c r="G1014" s="15">
        <v>2810</v>
      </c>
      <c r="H1014" s="15">
        <v>81624</v>
      </c>
      <c r="I1014">
        <f>VLOOKUP(C1014,LEAIDs!$A$2:$B$305,2,FALSE)</f>
        <v>0</v>
      </c>
    </row>
    <row r="1015" spans="1:9" x14ac:dyDescent="0.2">
      <c r="A1015">
        <v>0</v>
      </c>
      <c r="B1015">
        <v>2015</v>
      </c>
      <c r="C1015" t="s">
        <v>283</v>
      </c>
      <c r="D1015" t="s">
        <v>232</v>
      </c>
      <c r="E1015" t="s">
        <v>234</v>
      </c>
      <c r="F1015" s="17">
        <v>1080027</v>
      </c>
      <c r="G1015" s="17">
        <v>33201</v>
      </c>
      <c r="H1015" s="17">
        <v>1113228</v>
      </c>
      <c r="I1015">
        <f>VLOOKUP(C1015,LEAIDs!$A$2:$B$305,2,FALSE)</f>
        <v>0</v>
      </c>
    </row>
    <row r="1016" spans="1:9" x14ac:dyDescent="0.2">
      <c r="A1016">
        <v>0</v>
      </c>
      <c r="B1016">
        <v>2016</v>
      </c>
      <c r="C1016" t="s">
        <v>283</v>
      </c>
      <c r="D1016" t="s">
        <v>232</v>
      </c>
      <c r="E1016" t="s">
        <v>234</v>
      </c>
      <c r="F1016" s="17">
        <v>1113264</v>
      </c>
      <c r="G1016" s="17">
        <v>36721</v>
      </c>
      <c r="H1016" s="17">
        <v>1149985</v>
      </c>
      <c r="I1016">
        <f>VLOOKUP(C1016,LEAIDs!$A$2:$B$305,2,FALSE)</f>
        <v>0</v>
      </c>
    </row>
    <row r="1017" spans="1:9" x14ac:dyDescent="0.2">
      <c r="A1017">
        <v>0</v>
      </c>
      <c r="B1017">
        <v>2017</v>
      </c>
      <c r="C1017" t="s">
        <v>283</v>
      </c>
      <c r="D1017" t="s">
        <v>232</v>
      </c>
      <c r="E1017" t="s">
        <v>234</v>
      </c>
      <c r="F1017" s="17">
        <v>740995</v>
      </c>
      <c r="G1017" s="17">
        <v>25594</v>
      </c>
      <c r="H1017" s="17">
        <v>766589</v>
      </c>
      <c r="I1017">
        <f>VLOOKUP(C1017,LEAIDs!$A$2:$B$305,2,FALSE)</f>
        <v>0</v>
      </c>
    </row>
    <row r="1018" spans="1:9" x14ac:dyDescent="0.2">
      <c r="A1018">
        <v>0</v>
      </c>
      <c r="B1018">
        <v>2018</v>
      </c>
      <c r="C1018" t="s">
        <v>283</v>
      </c>
      <c r="D1018" t="s">
        <v>232</v>
      </c>
      <c r="E1018" t="s">
        <v>234</v>
      </c>
      <c r="F1018" s="17">
        <v>1038753</v>
      </c>
      <c r="G1018" s="17">
        <v>34184</v>
      </c>
      <c r="H1018" s="17">
        <v>1072937</v>
      </c>
      <c r="I1018">
        <f>VLOOKUP(C1018,LEAIDs!$A$2:$B$305,2,FALSE)</f>
        <v>0</v>
      </c>
    </row>
    <row r="1019" spans="1:9" x14ac:dyDescent="0.2">
      <c r="A1019">
        <v>0</v>
      </c>
      <c r="B1019">
        <v>2015</v>
      </c>
      <c r="C1019" t="s">
        <v>109</v>
      </c>
      <c r="D1019" t="s">
        <v>232</v>
      </c>
      <c r="E1019" t="s">
        <v>234</v>
      </c>
      <c r="F1019" s="17">
        <v>902338</v>
      </c>
      <c r="G1019" s="17">
        <v>27738</v>
      </c>
      <c r="H1019" s="17">
        <v>930076</v>
      </c>
      <c r="I1019">
        <f>VLOOKUP(C1019,LEAIDs!$A$2:$B$305,2,FALSE)</f>
        <v>0</v>
      </c>
    </row>
    <row r="1020" spans="1:9" x14ac:dyDescent="0.2">
      <c r="A1020">
        <v>0</v>
      </c>
      <c r="B1020">
        <v>2016</v>
      </c>
      <c r="C1020" t="s">
        <v>109</v>
      </c>
      <c r="D1020" t="s">
        <v>232</v>
      </c>
      <c r="E1020" t="s">
        <v>234</v>
      </c>
      <c r="F1020" s="17">
        <v>842466</v>
      </c>
      <c r="G1020" s="17">
        <v>27789</v>
      </c>
      <c r="H1020" s="17">
        <v>870255</v>
      </c>
      <c r="I1020">
        <f>VLOOKUP(C1020,LEAIDs!$A$2:$B$305,2,FALSE)</f>
        <v>0</v>
      </c>
    </row>
    <row r="1021" spans="1:9" x14ac:dyDescent="0.2">
      <c r="A1021">
        <v>0</v>
      </c>
      <c r="B1021">
        <v>2017</v>
      </c>
      <c r="C1021" t="s">
        <v>109</v>
      </c>
      <c r="D1021" t="s">
        <v>232</v>
      </c>
      <c r="E1021" t="s">
        <v>234</v>
      </c>
      <c r="F1021" s="17">
        <v>798153</v>
      </c>
      <c r="G1021" s="17">
        <v>27568</v>
      </c>
      <c r="H1021" s="17">
        <v>825721</v>
      </c>
      <c r="I1021">
        <f>VLOOKUP(C1021,LEAIDs!$A$2:$B$305,2,FALSE)</f>
        <v>0</v>
      </c>
    </row>
    <row r="1022" spans="1:9" x14ac:dyDescent="0.2">
      <c r="A1022">
        <v>0</v>
      </c>
      <c r="B1022">
        <v>2018</v>
      </c>
      <c r="C1022" t="s">
        <v>109</v>
      </c>
      <c r="D1022" t="s">
        <v>232</v>
      </c>
      <c r="E1022" t="s">
        <v>234</v>
      </c>
      <c r="F1022" s="17">
        <v>978493</v>
      </c>
      <c r="G1022" s="17">
        <v>32201</v>
      </c>
      <c r="H1022" s="17">
        <v>1010694</v>
      </c>
      <c r="I1022">
        <f>VLOOKUP(C1022,LEAIDs!$A$2:$B$305,2,FALSE)</f>
        <v>0</v>
      </c>
    </row>
    <row r="1023" spans="1:9" x14ac:dyDescent="0.2">
      <c r="A1023">
        <v>0</v>
      </c>
      <c r="B1023">
        <v>2019</v>
      </c>
      <c r="C1023" t="s">
        <v>109</v>
      </c>
      <c r="D1023" t="s">
        <v>232</v>
      </c>
      <c r="E1023" t="s">
        <v>234</v>
      </c>
      <c r="F1023" s="17">
        <v>1526997</v>
      </c>
      <c r="G1023" s="17">
        <v>51248</v>
      </c>
      <c r="H1023" s="17">
        <v>1578245</v>
      </c>
      <c r="I1023">
        <f>VLOOKUP(C1023,LEAIDs!$A$2:$B$305,2,FALSE)</f>
        <v>0</v>
      </c>
    </row>
    <row r="1024" spans="1:9" x14ac:dyDescent="0.2">
      <c r="A1024">
        <v>0</v>
      </c>
      <c r="B1024">
        <v>2020</v>
      </c>
      <c r="C1024" t="s">
        <v>109</v>
      </c>
      <c r="D1024" t="s">
        <v>232</v>
      </c>
      <c r="E1024" t="s">
        <v>234</v>
      </c>
      <c r="F1024" s="17">
        <v>1680862</v>
      </c>
      <c r="G1024" s="17">
        <v>59315</v>
      </c>
      <c r="H1024" s="17">
        <v>1740177</v>
      </c>
      <c r="I1024">
        <f>VLOOKUP(C1024,LEAIDs!$A$2:$B$305,2,FALSE)</f>
        <v>0</v>
      </c>
    </row>
    <row r="1025" spans="1:9" x14ac:dyDescent="0.2">
      <c r="A1025">
        <v>0</v>
      </c>
      <c r="B1025" s="2">
        <v>2021</v>
      </c>
      <c r="C1025" s="4" t="s">
        <v>109</v>
      </c>
      <c r="D1025" s="2" t="s">
        <v>232</v>
      </c>
      <c r="E1025" s="2" t="s">
        <v>234</v>
      </c>
      <c r="F1025" s="16">
        <v>1611167</v>
      </c>
      <c r="G1025" s="16">
        <v>56080</v>
      </c>
      <c r="H1025" s="15">
        <v>1667247</v>
      </c>
      <c r="I1025">
        <f>VLOOKUP(C1025,LEAIDs!$A$2:$B$305,2,FALSE)</f>
        <v>0</v>
      </c>
    </row>
    <row r="1026" spans="1:9" x14ac:dyDescent="0.2">
      <c r="A1026">
        <v>0</v>
      </c>
      <c r="B1026" s="2">
        <v>2022</v>
      </c>
      <c r="C1026" s="4" t="s">
        <v>109</v>
      </c>
      <c r="D1026" s="2" t="s">
        <v>232</v>
      </c>
      <c r="E1026" s="2" t="s">
        <v>234</v>
      </c>
      <c r="F1026" s="16">
        <v>1607628</v>
      </c>
      <c r="G1026" s="16">
        <v>57437</v>
      </c>
      <c r="H1026" s="15">
        <v>1665065</v>
      </c>
      <c r="I1026">
        <f>VLOOKUP(C1026,LEAIDs!$A$2:$B$305,2,FALSE)</f>
        <v>0</v>
      </c>
    </row>
    <row r="1027" spans="1:9" x14ac:dyDescent="0.2">
      <c r="A1027">
        <v>0</v>
      </c>
      <c r="B1027" s="2">
        <v>2023</v>
      </c>
      <c r="C1027" s="2" t="s">
        <v>109</v>
      </c>
      <c r="D1027" s="2" t="s">
        <v>232</v>
      </c>
      <c r="E1027" s="2" t="s">
        <v>234</v>
      </c>
      <c r="F1027" s="15">
        <v>1814924</v>
      </c>
      <c r="G1027" s="15">
        <v>64705</v>
      </c>
      <c r="H1027" s="15">
        <v>1879629</v>
      </c>
      <c r="I1027">
        <f>VLOOKUP(C1027,LEAIDs!$A$2:$B$305,2,FALSE)</f>
        <v>0</v>
      </c>
    </row>
    <row r="1028" spans="1:9" x14ac:dyDescent="0.2">
      <c r="A1028">
        <v>0</v>
      </c>
      <c r="B1028">
        <v>2015</v>
      </c>
      <c r="C1028" t="s">
        <v>165</v>
      </c>
      <c r="D1028" t="s">
        <v>232</v>
      </c>
      <c r="E1028" t="s">
        <v>234</v>
      </c>
      <c r="F1028" s="17">
        <v>32372</v>
      </c>
      <c r="G1028" s="17">
        <v>995</v>
      </c>
      <c r="H1028" s="17">
        <v>33367</v>
      </c>
      <c r="I1028">
        <f>VLOOKUP(C1028,LEAIDs!$A$2:$B$305,2,FALSE)</f>
        <v>0</v>
      </c>
    </row>
    <row r="1029" spans="1:9" x14ac:dyDescent="0.2">
      <c r="A1029">
        <v>0</v>
      </c>
      <c r="B1029">
        <v>2016</v>
      </c>
      <c r="C1029" t="s">
        <v>165</v>
      </c>
      <c r="D1029" t="s">
        <v>232</v>
      </c>
      <c r="E1029" t="s">
        <v>234</v>
      </c>
      <c r="F1029" s="17">
        <v>31993</v>
      </c>
      <c r="G1029" s="17">
        <v>1055</v>
      </c>
      <c r="H1029" s="17">
        <v>33048</v>
      </c>
      <c r="I1029">
        <f>VLOOKUP(C1029,LEAIDs!$A$2:$B$305,2,FALSE)</f>
        <v>0</v>
      </c>
    </row>
    <row r="1030" spans="1:9" x14ac:dyDescent="0.2">
      <c r="A1030">
        <v>0</v>
      </c>
      <c r="B1030">
        <v>2017</v>
      </c>
      <c r="C1030" t="s">
        <v>165</v>
      </c>
      <c r="D1030" t="s">
        <v>232</v>
      </c>
      <c r="E1030" t="s">
        <v>234</v>
      </c>
      <c r="F1030" s="17">
        <v>31704</v>
      </c>
      <c r="G1030" s="17">
        <v>1095</v>
      </c>
      <c r="H1030" s="17">
        <v>32799</v>
      </c>
      <c r="I1030">
        <f>VLOOKUP(C1030,LEAIDs!$A$2:$B$305,2,FALSE)</f>
        <v>0</v>
      </c>
    </row>
    <row r="1031" spans="1:9" x14ac:dyDescent="0.2">
      <c r="A1031">
        <v>0</v>
      </c>
      <c r="B1031">
        <v>2018</v>
      </c>
      <c r="C1031" t="s">
        <v>165</v>
      </c>
      <c r="D1031" t="s">
        <v>232</v>
      </c>
      <c r="E1031" t="s">
        <v>234</v>
      </c>
      <c r="F1031" s="17">
        <v>33098</v>
      </c>
      <c r="G1031" s="17">
        <v>1089</v>
      </c>
      <c r="H1031" s="17">
        <v>34187</v>
      </c>
      <c r="I1031">
        <f>VLOOKUP(C1031,LEAIDs!$A$2:$B$305,2,FALSE)</f>
        <v>0</v>
      </c>
    </row>
    <row r="1032" spans="1:9" x14ac:dyDescent="0.2">
      <c r="A1032">
        <v>0</v>
      </c>
      <c r="B1032">
        <v>2019</v>
      </c>
      <c r="C1032" t="s">
        <v>165</v>
      </c>
      <c r="D1032" t="s">
        <v>232</v>
      </c>
      <c r="E1032" t="s">
        <v>234</v>
      </c>
      <c r="F1032" s="17">
        <v>4455</v>
      </c>
      <c r="G1032" s="17">
        <v>150</v>
      </c>
      <c r="H1032" s="17">
        <v>4605</v>
      </c>
      <c r="I1032">
        <f>VLOOKUP(C1032,LEAIDs!$A$2:$B$305,2,FALSE)</f>
        <v>0</v>
      </c>
    </row>
    <row r="1033" spans="1:9" x14ac:dyDescent="0.2">
      <c r="A1033">
        <v>0</v>
      </c>
      <c r="B1033">
        <v>2020</v>
      </c>
      <c r="C1033" t="s">
        <v>165</v>
      </c>
      <c r="D1033" t="s">
        <v>232</v>
      </c>
      <c r="E1033" t="s">
        <v>234</v>
      </c>
      <c r="F1033" s="17">
        <v>8083</v>
      </c>
      <c r="G1033" s="17">
        <v>285</v>
      </c>
      <c r="H1033" s="17">
        <v>8368</v>
      </c>
      <c r="I1033">
        <f>VLOOKUP(C1033,LEAIDs!$A$2:$B$305,2,FALSE)</f>
        <v>0</v>
      </c>
    </row>
    <row r="1034" spans="1:9" x14ac:dyDescent="0.2">
      <c r="A1034">
        <v>0</v>
      </c>
      <c r="B1034" s="2">
        <v>2021</v>
      </c>
      <c r="C1034" s="4" t="s">
        <v>165</v>
      </c>
      <c r="D1034" s="2" t="s">
        <v>232</v>
      </c>
      <c r="E1034" s="2" t="s">
        <v>234</v>
      </c>
      <c r="F1034" s="16">
        <v>9744</v>
      </c>
      <c r="G1034" s="16">
        <v>339</v>
      </c>
      <c r="H1034" s="15">
        <v>10083</v>
      </c>
      <c r="I1034">
        <f>VLOOKUP(C1034,LEAIDs!$A$2:$B$305,2,FALSE)</f>
        <v>0</v>
      </c>
    </row>
    <row r="1035" spans="1:9" x14ac:dyDescent="0.2">
      <c r="A1035">
        <v>0</v>
      </c>
      <c r="B1035" s="2">
        <v>2022</v>
      </c>
      <c r="C1035" s="4" t="s">
        <v>165</v>
      </c>
      <c r="D1035" s="2" t="s">
        <v>232</v>
      </c>
      <c r="E1035" s="2" t="s">
        <v>234</v>
      </c>
      <c r="F1035" s="16">
        <v>35324</v>
      </c>
      <c r="G1035" s="16">
        <v>1262</v>
      </c>
      <c r="H1035" s="15">
        <v>36586</v>
      </c>
      <c r="I1035">
        <f>VLOOKUP(C1035,LEAIDs!$A$2:$B$305,2,FALSE)</f>
        <v>0</v>
      </c>
    </row>
    <row r="1036" spans="1:9" x14ac:dyDescent="0.2">
      <c r="A1036">
        <v>0</v>
      </c>
      <c r="B1036" s="2">
        <v>2023</v>
      </c>
      <c r="C1036" s="2" t="s">
        <v>165</v>
      </c>
      <c r="D1036" s="2" t="s">
        <v>232</v>
      </c>
      <c r="E1036" s="2" t="s">
        <v>234</v>
      </c>
      <c r="F1036" s="15">
        <v>40194</v>
      </c>
      <c r="G1036" s="15">
        <v>1433</v>
      </c>
      <c r="H1036" s="15">
        <v>41627</v>
      </c>
      <c r="I1036">
        <f>VLOOKUP(C1036,LEAIDs!$A$2:$B$305,2,FALSE)</f>
        <v>0</v>
      </c>
    </row>
    <row r="1037" spans="1:9" x14ac:dyDescent="0.2">
      <c r="A1037">
        <v>0</v>
      </c>
      <c r="B1037">
        <v>2019</v>
      </c>
      <c r="C1037" t="s">
        <v>152</v>
      </c>
      <c r="D1037" t="s">
        <v>232</v>
      </c>
      <c r="E1037" t="s">
        <v>234</v>
      </c>
      <c r="F1037" s="17">
        <v>817523</v>
      </c>
      <c r="G1037" s="17">
        <v>27437</v>
      </c>
      <c r="H1037" s="17">
        <v>844960</v>
      </c>
      <c r="I1037">
        <f>VLOOKUP(C1037,LEAIDs!$A$2:$B$305,2,FALSE)</f>
        <v>0</v>
      </c>
    </row>
    <row r="1038" spans="1:9" x14ac:dyDescent="0.2">
      <c r="A1038">
        <v>0</v>
      </c>
      <c r="B1038">
        <v>2020</v>
      </c>
      <c r="C1038" t="s">
        <v>152</v>
      </c>
      <c r="D1038" t="s">
        <v>232</v>
      </c>
      <c r="E1038" t="s">
        <v>234</v>
      </c>
      <c r="F1038" s="17">
        <v>783185</v>
      </c>
      <c r="G1038" s="17">
        <v>27637</v>
      </c>
      <c r="H1038" s="17">
        <v>810822</v>
      </c>
      <c r="I1038">
        <f>VLOOKUP(C1038,LEAIDs!$A$2:$B$305,2,FALSE)</f>
        <v>0</v>
      </c>
    </row>
    <row r="1039" spans="1:9" x14ac:dyDescent="0.2">
      <c r="A1039">
        <v>0</v>
      </c>
      <c r="B1039" s="2">
        <v>2021</v>
      </c>
      <c r="C1039" s="4" t="s">
        <v>152</v>
      </c>
      <c r="D1039" s="2" t="s">
        <v>232</v>
      </c>
      <c r="E1039" s="2" t="s">
        <v>234</v>
      </c>
      <c r="F1039" s="16">
        <v>831673</v>
      </c>
      <c r="G1039" s="16">
        <v>28948</v>
      </c>
      <c r="H1039" s="15">
        <v>860621</v>
      </c>
      <c r="I1039">
        <f>VLOOKUP(C1039,LEAIDs!$A$2:$B$305,2,FALSE)</f>
        <v>0</v>
      </c>
    </row>
    <row r="1040" spans="1:9" x14ac:dyDescent="0.2">
      <c r="A1040">
        <v>0</v>
      </c>
      <c r="B1040" s="2">
        <v>2022</v>
      </c>
      <c r="C1040" s="4" t="s">
        <v>152</v>
      </c>
      <c r="D1040" s="2" t="s">
        <v>232</v>
      </c>
      <c r="E1040" s="2" t="s">
        <v>234</v>
      </c>
      <c r="F1040" s="16">
        <v>980611</v>
      </c>
      <c r="G1040" s="16">
        <v>35035</v>
      </c>
      <c r="H1040" s="15">
        <v>1015646</v>
      </c>
      <c r="I1040">
        <f>VLOOKUP(C1040,LEAIDs!$A$2:$B$305,2,FALSE)</f>
        <v>0</v>
      </c>
    </row>
    <row r="1041" spans="1:9" x14ac:dyDescent="0.2">
      <c r="A1041">
        <v>0</v>
      </c>
      <c r="B1041" s="2">
        <v>2023</v>
      </c>
      <c r="C1041" s="2" t="s">
        <v>152</v>
      </c>
      <c r="D1041" s="2" t="s">
        <v>232</v>
      </c>
      <c r="E1041" s="2" t="s">
        <v>234</v>
      </c>
      <c r="F1041" s="15">
        <v>1084107</v>
      </c>
      <c r="G1041" s="15">
        <v>38650</v>
      </c>
      <c r="H1041" s="15">
        <v>1122757</v>
      </c>
      <c r="I1041">
        <f>VLOOKUP(C1041,LEAIDs!$A$2:$B$305,2,FALSE)</f>
        <v>0</v>
      </c>
    </row>
    <row r="1042" spans="1:9" x14ac:dyDescent="0.2">
      <c r="A1042">
        <v>0</v>
      </c>
      <c r="B1042">
        <v>2015</v>
      </c>
      <c r="C1042" t="s">
        <v>137</v>
      </c>
      <c r="D1042" t="s">
        <v>232</v>
      </c>
      <c r="E1042" t="s">
        <v>234</v>
      </c>
      <c r="F1042" s="17">
        <v>254974</v>
      </c>
      <c r="G1042" s="17">
        <v>7838</v>
      </c>
      <c r="H1042" s="17">
        <v>262812</v>
      </c>
      <c r="I1042">
        <f>VLOOKUP(C1042,LEAIDs!$A$2:$B$305,2,FALSE)</f>
        <v>0</v>
      </c>
    </row>
    <row r="1043" spans="1:9" x14ac:dyDescent="0.2">
      <c r="A1043">
        <v>0</v>
      </c>
      <c r="B1043">
        <v>2016</v>
      </c>
      <c r="C1043" t="s">
        <v>137</v>
      </c>
      <c r="D1043" t="s">
        <v>232</v>
      </c>
      <c r="E1043" t="s">
        <v>234</v>
      </c>
      <c r="F1043" s="17">
        <v>305408</v>
      </c>
      <c r="G1043" s="17">
        <v>10074</v>
      </c>
      <c r="H1043" s="17">
        <v>315482</v>
      </c>
      <c r="I1043">
        <f>VLOOKUP(C1043,LEAIDs!$A$2:$B$305,2,FALSE)</f>
        <v>0</v>
      </c>
    </row>
    <row r="1044" spans="1:9" x14ac:dyDescent="0.2">
      <c r="A1044">
        <v>0</v>
      </c>
      <c r="B1044">
        <v>2017</v>
      </c>
      <c r="C1044" t="s">
        <v>137</v>
      </c>
      <c r="D1044" t="s">
        <v>232</v>
      </c>
      <c r="E1044" t="s">
        <v>234</v>
      </c>
      <c r="F1044" s="17">
        <v>294003</v>
      </c>
      <c r="G1044" s="17">
        <v>10155</v>
      </c>
      <c r="H1044" s="17">
        <v>304158</v>
      </c>
      <c r="I1044">
        <f>VLOOKUP(C1044,LEAIDs!$A$2:$B$305,2,FALSE)</f>
        <v>0</v>
      </c>
    </row>
    <row r="1045" spans="1:9" x14ac:dyDescent="0.2">
      <c r="A1045">
        <v>0</v>
      </c>
      <c r="B1045">
        <v>2018</v>
      </c>
      <c r="C1045" t="s">
        <v>137</v>
      </c>
      <c r="D1045" t="s">
        <v>232</v>
      </c>
      <c r="E1045" t="s">
        <v>234</v>
      </c>
      <c r="F1045" s="17">
        <v>334914</v>
      </c>
      <c r="G1045" s="17">
        <v>11021</v>
      </c>
      <c r="H1045" s="17">
        <v>345935</v>
      </c>
      <c r="I1045">
        <f>VLOOKUP(C1045,LEAIDs!$A$2:$B$305,2,FALSE)</f>
        <v>0</v>
      </c>
    </row>
    <row r="1046" spans="1:9" x14ac:dyDescent="0.2">
      <c r="A1046">
        <v>0</v>
      </c>
      <c r="B1046">
        <v>2019</v>
      </c>
      <c r="C1046" t="s">
        <v>137</v>
      </c>
      <c r="D1046" t="s">
        <v>232</v>
      </c>
      <c r="E1046" t="s">
        <v>234</v>
      </c>
      <c r="F1046" s="17">
        <v>353465</v>
      </c>
      <c r="G1046" s="17">
        <v>11863</v>
      </c>
      <c r="H1046" s="17">
        <v>365328</v>
      </c>
      <c r="I1046">
        <f>VLOOKUP(C1046,LEAIDs!$A$2:$B$305,2,FALSE)</f>
        <v>0</v>
      </c>
    </row>
    <row r="1047" spans="1:9" x14ac:dyDescent="0.2">
      <c r="A1047">
        <v>0</v>
      </c>
      <c r="B1047">
        <v>2020</v>
      </c>
      <c r="C1047" t="s">
        <v>137</v>
      </c>
      <c r="D1047" t="s">
        <v>232</v>
      </c>
      <c r="E1047" t="s">
        <v>234</v>
      </c>
      <c r="F1047" s="17">
        <v>343927</v>
      </c>
      <c r="G1047" s="17">
        <v>12137</v>
      </c>
      <c r="H1047" s="17">
        <v>356064</v>
      </c>
      <c r="I1047">
        <f>VLOOKUP(C1047,LEAIDs!$A$2:$B$305,2,FALSE)</f>
        <v>0</v>
      </c>
    </row>
    <row r="1048" spans="1:9" x14ac:dyDescent="0.2">
      <c r="A1048">
        <v>0</v>
      </c>
      <c r="B1048" s="2">
        <v>2021</v>
      </c>
      <c r="C1048" s="4" t="s">
        <v>137</v>
      </c>
      <c r="D1048" s="2" t="s">
        <v>232</v>
      </c>
      <c r="E1048" s="2" t="s">
        <v>234</v>
      </c>
      <c r="F1048" s="16">
        <v>345210</v>
      </c>
      <c r="G1048" s="16">
        <v>12016</v>
      </c>
      <c r="H1048" s="15">
        <v>357226</v>
      </c>
      <c r="I1048">
        <f>VLOOKUP(C1048,LEAIDs!$A$2:$B$305,2,FALSE)</f>
        <v>0</v>
      </c>
    </row>
    <row r="1049" spans="1:9" x14ac:dyDescent="0.2">
      <c r="A1049">
        <v>0</v>
      </c>
      <c r="B1049" s="2">
        <v>2022</v>
      </c>
      <c r="C1049" s="4" t="s">
        <v>137</v>
      </c>
      <c r="D1049" s="2" t="s">
        <v>232</v>
      </c>
      <c r="E1049" s="2" t="s">
        <v>234</v>
      </c>
      <c r="F1049" s="16">
        <v>328157</v>
      </c>
      <c r="G1049" s="16">
        <v>11724</v>
      </c>
      <c r="H1049" s="15">
        <v>339881</v>
      </c>
      <c r="I1049">
        <f>VLOOKUP(C1049,LEAIDs!$A$2:$B$305,2,FALSE)</f>
        <v>0</v>
      </c>
    </row>
    <row r="1050" spans="1:9" x14ac:dyDescent="0.2">
      <c r="A1050">
        <v>0</v>
      </c>
      <c r="B1050" s="2">
        <v>2023</v>
      </c>
      <c r="C1050" s="2" t="s">
        <v>137</v>
      </c>
      <c r="D1050" s="2" t="s">
        <v>232</v>
      </c>
      <c r="E1050" s="2" t="s">
        <v>234</v>
      </c>
      <c r="F1050" s="15">
        <v>345318</v>
      </c>
      <c r="G1050" s="15">
        <v>12311</v>
      </c>
      <c r="H1050" s="15">
        <v>357629</v>
      </c>
      <c r="I1050">
        <f>VLOOKUP(C1050,LEAIDs!$A$2:$B$305,2,FALSE)</f>
        <v>0</v>
      </c>
    </row>
    <row r="1051" spans="1:9" x14ac:dyDescent="0.2">
      <c r="A1051">
        <v>0</v>
      </c>
      <c r="B1051">
        <v>2015</v>
      </c>
      <c r="C1051" t="s">
        <v>183</v>
      </c>
      <c r="D1051" t="s">
        <v>232</v>
      </c>
      <c r="E1051" t="s">
        <v>234</v>
      </c>
      <c r="F1051" s="17">
        <v>65134</v>
      </c>
      <c r="G1051" s="17">
        <v>2002</v>
      </c>
      <c r="H1051" s="17">
        <v>67136</v>
      </c>
      <c r="I1051">
        <f>VLOOKUP(C1051,LEAIDs!$A$2:$B$305,2,FALSE)</f>
        <v>0</v>
      </c>
    </row>
    <row r="1052" spans="1:9" x14ac:dyDescent="0.2">
      <c r="A1052">
        <v>0</v>
      </c>
      <c r="B1052">
        <v>2016</v>
      </c>
      <c r="C1052" t="s">
        <v>183</v>
      </c>
      <c r="D1052" t="s">
        <v>232</v>
      </c>
      <c r="E1052" t="s">
        <v>234</v>
      </c>
      <c r="F1052" s="17">
        <v>45262</v>
      </c>
      <c r="G1052" s="17">
        <v>1493</v>
      </c>
      <c r="H1052" s="17">
        <v>46755</v>
      </c>
      <c r="I1052">
        <f>VLOOKUP(C1052,LEAIDs!$A$2:$B$305,2,FALSE)</f>
        <v>0</v>
      </c>
    </row>
    <row r="1053" spans="1:9" x14ac:dyDescent="0.2">
      <c r="A1053">
        <v>0</v>
      </c>
      <c r="B1053">
        <v>2017</v>
      </c>
      <c r="C1053" t="s">
        <v>183</v>
      </c>
      <c r="D1053" t="s">
        <v>232</v>
      </c>
      <c r="E1053" t="s">
        <v>234</v>
      </c>
      <c r="F1053" s="17">
        <v>27339</v>
      </c>
      <c r="G1053" s="17">
        <v>944</v>
      </c>
      <c r="H1053" s="17">
        <v>28283</v>
      </c>
      <c r="I1053">
        <f>VLOOKUP(C1053,LEAIDs!$A$2:$B$305,2,FALSE)</f>
        <v>0</v>
      </c>
    </row>
    <row r="1054" spans="1:9" x14ac:dyDescent="0.2">
      <c r="A1054">
        <v>0</v>
      </c>
      <c r="B1054">
        <v>2018</v>
      </c>
      <c r="C1054" t="s">
        <v>183</v>
      </c>
      <c r="D1054" t="s">
        <v>232</v>
      </c>
      <c r="E1054" t="s">
        <v>234</v>
      </c>
      <c r="F1054" s="17">
        <v>70619</v>
      </c>
      <c r="G1054" s="17">
        <v>2324</v>
      </c>
      <c r="H1054" s="17">
        <v>72943</v>
      </c>
      <c r="I1054">
        <f>VLOOKUP(C1054,LEAIDs!$A$2:$B$305,2,FALSE)</f>
        <v>0</v>
      </c>
    </row>
    <row r="1055" spans="1:9" x14ac:dyDescent="0.2">
      <c r="A1055">
        <v>0</v>
      </c>
      <c r="B1055">
        <v>2019</v>
      </c>
      <c r="C1055" t="s">
        <v>183</v>
      </c>
      <c r="D1055" t="s">
        <v>232</v>
      </c>
      <c r="E1055" t="s">
        <v>234</v>
      </c>
      <c r="F1055" s="17">
        <v>50585</v>
      </c>
      <c r="G1055" s="17">
        <v>1698</v>
      </c>
      <c r="H1055" s="17">
        <v>52283</v>
      </c>
      <c r="I1055">
        <f>VLOOKUP(C1055,LEAIDs!$A$2:$B$305,2,FALSE)</f>
        <v>0</v>
      </c>
    </row>
    <row r="1056" spans="1:9" x14ac:dyDescent="0.2">
      <c r="A1056">
        <v>0</v>
      </c>
      <c r="B1056">
        <v>2020</v>
      </c>
      <c r="C1056" t="s">
        <v>183</v>
      </c>
      <c r="D1056" t="s">
        <v>232</v>
      </c>
      <c r="E1056" t="s">
        <v>234</v>
      </c>
      <c r="F1056" s="17">
        <v>78896</v>
      </c>
      <c r="G1056" s="17">
        <v>2784</v>
      </c>
      <c r="H1056" s="17">
        <v>81680</v>
      </c>
      <c r="I1056">
        <f>VLOOKUP(C1056,LEAIDs!$A$2:$B$305,2,FALSE)</f>
        <v>0</v>
      </c>
    </row>
    <row r="1057" spans="1:9" x14ac:dyDescent="0.2">
      <c r="A1057">
        <v>0</v>
      </c>
      <c r="B1057" s="2">
        <v>2021</v>
      </c>
      <c r="C1057" s="4" t="s">
        <v>183</v>
      </c>
      <c r="D1057" s="2" t="s">
        <v>232</v>
      </c>
      <c r="E1057" s="2" t="s">
        <v>234</v>
      </c>
      <c r="F1057" s="16">
        <v>35952</v>
      </c>
      <c r="G1057" s="16">
        <v>1251</v>
      </c>
      <c r="H1057" s="15">
        <v>37203</v>
      </c>
      <c r="I1057">
        <f>VLOOKUP(C1057,LEAIDs!$A$2:$B$305,2,FALSE)</f>
        <v>0</v>
      </c>
    </row>
    <row r="1058" spans="1:9" x14ac:dyDescent="0.2">
      <c r="A1058">
        <v>0</v>
      </c>
      <c r="B1058" s="2">
        <v>2022</v>
      </c>
      <c r="C1058" s="4" t="s">
        <v>183</v>
      </c>
      <c r="D1058" s="2" t="s">
        <v>232</v>
      </c>
      <c r="E1058" s="2" t="s">
        <v>234</v>
      </c>
      <c r="F1058" s="16">
        <v>36628</v>
      </c>
      <c r="G1058" s="16">
        <v>1309</v>
      </c>
      <c r="H1058" s="15">
        <v>37937</v>
      </c>
      <c r="I1058">
        <f>VLOOKUP(C1058,LEAIDs!$A$2:$B$305,2,FALSE)</f>
        <v>0</v>
      </c>
    </row>
    <row r="1059" spans="1:9" x14ac:dyDescent="0.2">
      <c r="A1059">
        <v>0</v>
      </c>
      <c r="B1059" s="2">
        <v>2023</v>
      </c>
      <c r="C1059" s="2" t="s">
        <v>183</v>
      </c>
      <c r="D1059" s="2" t="s">
        <v>232</v>
      </c>
      <c r="E1059" s="2" t="s">
        <v>234</v>
      </c>
      <c r="F1059" s="15">
        <v>54658</v>
      </c>
      <c r="G1059" s="15">
        <v>1949</v>
      </c>
      <c r="H1059" s="15">
        <v>56607</v>
      </c>
      <c r="I1059">
        <f>VLOOKUP(C1059,LEAIDs!$A$2:$B$305,2,FALSE)</f>
        <v>0</v>
      </c>
    </row>
    <row r="1060" spans="1:9" x14ac:dyDescent="0.2">
      <c r="A1060">
        <v>0</v>
      </c>
      <c r="B1060">
        <v>2015</v>
      </c>
      <c r="C1060" t="s">
        <v>282</v>
      </c>
      <c r="D1060" t="s">
        <v>232</v>
      </c>
      <c r="E1060" t="s">
        <v>234</v>
      </c>
      <c r="F1060" s="17">
        <v>1264485</v>
      </c>
      <c r="G1060" s="17">
        <v>38871</v>
      </c>
      <c r="H1060" s="17">
        <v>1303356</v>
      </c>
      <c r="I1060">
        <f>VLOOKUP(C1060,LEAIDs!$A$2:$B$305,2,FALSE)</f>
        <v>0</v>
      </c>
    </row>
    <row r="1061" spans="1:9" x14ac:dyDescent="0.2">
      <c r="A1061">
        <v>0</v>
      </c>
      <c r="B1061">
        <v>2016</v>
      </c>
      <c r="C1061" t="s">
        <v>282</v>
      </c>
      <c r="D1061" t="s">
        <v>232</v>
      </c>
      <c r="E1061" t="s">
        <v>234</v>
      </c>
      <c r="F1061" s="17">
        <v>1214418</v>
      </c>
      <c r="G1061" s="17">
        <v>40058</v>
      </c>
      <c r="H1061" s="17">
        <v>1254476</v>
      </c>
      <c r="I1061">
        <f>VLOOKUP(C1061,LEAIDs!$A$2:$B$305,2,FALSE)</f>
        <v>0</v>
      </c>
    </row>
    <row r="1062" spans="1:9" x14ac:dyDescent="0.2">
      <c r="A1062">
        <v>0</v>
      </c>
      <c r="B1062">
        <v>2017</v>
      </c>
      <c r="C1062" t="s">
        <v>282</v>
      </c>
      <c r="D1062" t="s">
        <v>232</v>
      </c>
      <c r="E1062" t="s">
        <v>234</v>
      </c>
      <c r="F1062" s="17">
        <v>1049767</v>
      </c>
      <c r="G1062" s="17">
        <v>36258</v>
      </c>
      <c r="H1062" s="17">
        <v>1086025</v>
      </c>
      <c r="I1062">
        <f>VLOOKUP(C1062,LEAIDs!$A$2:$B$305,2,FALSE)</f>
        <v>0</v>
      </c>
    </row>
    <row r="1063" spans="1:9" x14ac:dyDescent="0.2">
      <c r="A1063">
        <v>0</v>
      </c>
      <c r="B1063">
        <v>2018</v>
      </c>
      <c r="C1063" t="s">
        <v>282</v>
      </c>
      <c r="D1063" t="s">
        <v>232</v>
      </c>
      <c r="E1063" t="s">
        <v>234</v>
      </c>
      <c r="F1063" s="17">
        <v>655838</v>
      </c>
      <c r="G1063" s="17">
        <v>21583</v>
      </c>
      <c r="H1063" s="17">
        <v>677421</v>
      </c>
      <c r="I1063">
        <f>VLOOKUP(C1063,LEAIDs!$A$2:$B$305,2,FALSE)</f>
        <v>0</v>
      </c>
    </row>
    <row r="1064" spans="1:9" x14ac:dyDescent="0.2">
      <c r="A1064">
        <v>0</v>
      </c>
      <c r="B1064">
        <v>2015</v>
      </c>
      <c r="C1064" t="s">
        <v>105</v>
      </c>
      <c r="D1064" t="s">
        <v>232</v>
      </c>
      <c r="E1064" t="s">
        <v>234</v>
      </c>
      <c r="F1064" s="17">
        <v>3151230</v>
      </c>
      <c r="G1064" s="17">
        <v>96871</v>
      </c>
      <c r="H1064" s="17">
        <v>3248101</v>
      </c>
      <c r="I1064">
        <f>VLOOKUP(C1064,LEAIDs!$A$2:$B$305,2,FALSE)</f>
        <v>0</v>
      </c>
    </row>
    <row r="1065" spans="1:9" x14ac:dyDescent="0.2">
      <c r="A1065">
        <v>0</v>
      </c>
      <c r="B1065">
        <v>2016</v>
      </c>
      <c r="C1065" t="s">
        <v>105</v>
      </c>
      <c r="D1065" t="s">
        <v>232</v>
      </c>
      <c r="E1065" t="s">
        <v>234</v>
      </c>
      <c r="F1065" s="17">
        <v>3066863</v>
      </c>
      <c r="G1065" s="17">
        <v>101160</v>
      </c>
      <c r="H1065" s="17">
        <v>3168023</v>
      </c>
      <c r="I1065">
        <f>VLOOKUP(C1065,LEAIDs!$A$2:$B$305,2,FALSE)</f>
        <v>0</v>
      </c>
    </row>
    <row r="1066" spans="1:9" x14ac:dyDescent="0.2">
      <c r="A1066">
        <v>0</v>
      </c>
      <c r="B1066">
        <v>2017</v>
      </c>
      <c r="C1066" t="s">
        <v>105</v>
      </c>
      <c r="D1066" t="s">
        <v>232</v>
      </c>
      <c r="E1066" t="s">
        <v>234</v>
      </c>
      <c r="F1066" s="17">
        <v>3332816</v>
      </c>
      <c r="G1066" s="17">
        <v>115114</v>
      </c>
      <c r="H1066" s="17">
        <v>3447930</v>
      </c>
      <c r="I1066">
        <f>VLOOKUP(C1066,LEAIDs!$A$2:$B$305,2,FALSE)</f>
        <v>0</v>
      </c>
    </row>
    <row r="1067" spans="1:9" x14ac:dyDescent="0.2">
      <c r="A1067">
        <v>0</v>
      </c>
      <c r="B1067">
        <v>2018</v>
      </c>
      <c r="C1067" t="s">
        <v>105</v>
      </c>
      <c r="D1067" t="s">
        <v>232</v>
      </c>
      <c r="E1067" t="s">
        <v>234</v>
      </c>
      <c r="F1067" s="17">
        <v>3405936</v>
      </c>
      <c r="G1067" s="17">
        <v>112084</v>
      </c>
      <c r="H1067" s="17">
        <v>3518020</v>
      </c>
      <c r="I1067">
        <f>VLOOKUP(C1067,LEAIDs!$A$2:$B$305,2,FALSE)</f>
        <v>0</v>
      </c>
    </row>
    <row r="1068" spans="1:9" x14ac:dyDescent="0.2">
      <c r="A1068">
        <v>0</v>
      </c>
      <c r="B1068">
        <v>2019</v>
      </c>
      <c r="C1068" t="s">
        <v>105</v>
      </c>
      <c r="D1068" t="s">
        <v>232</v>
      </c>
      <c r="E1068" t="s">
        <v>234</v>
      </c>
      <c r="F1068" s="17">
        <v>4390310</v>
      </c>
      <c r="G1068" s="17">
        <v>147346</v>
      </c>
      <c r="H1068" s="17">
        <v>4537656</v>
      </c>
      <c r="I1068">
        <f>VLOOKUP(C1068,LEAIDs!$A$2:$B$305,2,FALSE)</f>
        <v>0</v>
      </c>
    </row>
    <row r="1069" spans="1:9" x14ac:dyDescent="0.2">
      <c r="A1069">
        <v>0</v>
      </c>
      <c r="B1069">
        <v>2020</v>
      </c>
      <c r="C1069" t="s">
        <v>105</v>
      </c>
      <c r="D1069" t="s">
        <v>232</v>
      </c>
      <c r="E1069" t="s">
        <v>234</v>
      </c>
      <c r="F1069" s="17">
        <v>4854969</v>
      </c>
      <c r="G1069" s="17">
        <v>171324</v>
      </c>
      <c r="H1069" s="17">
        <v>5026293</v>
      </c>
      <c r="I1069">
        <f>VLOOKUP(C1069,LEAIDs!$A$2:$B$305,2,FALSE)</f>
        <v>0</v>
      </c>
    </row>
    <row r="1070" spans="1:9" x14ac:dyDescent="0.2">
      <c r="A1070">
        <v>0</v>
      </c>
      <c r="B1070" s="2">
        <v>2021</v>
      </c>
      <c r="C1070" s="4" t="s">
        <v>105</v>
      </c>
      <c r="D1070" s="2" t="s">
        <v>232</v>
      </c>
      <c r="E1070" s="2" t="s">
        <v>234</v>
      </c>
      <c r="F1070" s="16">
        <v>4030627</v>
      </c>
      <c r="G1070" s="16">
        <v>140295</v>
      </c>
      <c r="H1070" s="15">
        <v>4170922</v>
      </c>
      <c r="I1070">
        <f>VLOOKUP(C1070,LEAIDs!$A$2:$B$305,2,FALSE)</f>
        <v>0</v>
      </c>
    </row>
    <row r="1071" spans="1:9" x14ac:dyDescent="0.2">
      <c r="A1071">
        <v>0</v>
      </c>
      <c r="B1071" s="2">
        <v>2022</v>
      </c>
      <c r="C1071" s="4" t="s">
        <v>105</v>
      </c>
      <c r="D1071" s="2" t="s">
        <v>232</v>
      </c>
      <c r="E1071" s="2" t="s">
        <v>234</v>
      </c>
      <c r="F1071" s="16">
        <v>3916251</v>
      </c>
      <c r="G1071" s="16">
        <v>139918</v>
      </c>
      <c r="H1071" s="15">
        <v>4056169</v>
      </c>
      <c r="I1071">
        <f>VLOOKUP(C1071,LEAIDs!$A$2:$B$305,2,FALSE)</f>
        <v>0</v>
      </c>
    </row>
    <row r="1072" spans="1:9" x14ac:dyDescent="0.2">
      <c r="A1072">
        <v>0</v>
      </c>
      <c r="B1072" s="2">
        <v>2023</v>
      </c>
      <c r="C1072" s="2" t="s">
        <v>105</v>
      </c>
      <c r="D1072" s="2" t="s">
        <v>232</v>
      </c>
      <c r="E1072" s="2" t="s">
        <v>234</v>
      </c>
      <c r="F1072" s="15">
        <v>4241590</v>
      </c>
      <c r="G1072" s="15">
        <v>151220</v>
      </c>
      <c r="H1072" s="15">
        <v>4392810</v>
      </c>
      <c r="I1072">
        <f>VLOOKUP(C1072,LEAIDs!$A$2:$B$305,2,FALSE)</f>
        <v>0</v>
      </c>
    </row>
    <row r="1073" spans="1:9" x14ac:dyDescent="0.2">
      <c r="A1073">
        <v>0</v>
      </c>
      <c r="B1073">
        <v>2015</v>
      </c>
      <c r="C1073" t="s">
        <v>141</v>
      </c>
      <c r="D1073" t="s">
        <v>232</v>
      </c>
      <c r="E1073" t="s">
        <v>234</v>
      </c>
      <c r="F1073" s="17">
        <v>23814</v>
      </c>
      <c r="G1073" s="17">
        <v>732</v>
      </c>
      <c r="H1073" s="17">
        <v>24546</v>
      </c>
      <c r="I1073">
        <f>VLOOKUP(C1073,LEAIDs!$A$2:$B$305,2,FALSE)</f>
        <v>0</v>
      </c>
    </row>
    <row r="1074" spans="1:9" x14ac:dyDescent="0.2">
      <c r="A1074">
        <v>0</v>
      </c>
      <c r="B1074">
        <v>2016</v>
      </c>
      <c r="C1074" t="s">
        <v>141</v>
      </c>
      <c r="D1074" t="s">
        <v>232</v>
      </c>
      <c r="E1074" t="s">
        <v>234</v>
      </c>
      <c r="F1074" s="17">
        <v>22266</v>
      </c>
      <c r="G1074" s="17">
        <v>734</v>
      </c>
      <c r="H1074" s="17">
        <v>23000</v>
      </c>
      <c r="I1074">
        <f>VLOOKUP(C1074,LEAIDs!$A$2:$B$305,2,FALSE)</f>
        <v>0</v>
      </c>
    </row>
    <row r="1075" spans="1:9" x14ac:dyDescent="0.2">
      <c r="A1075">
        <v>0</v>
      </c>
      <c r="B1075">
        <v>2017</v>
      </c>
      <c r="C1075" t="s">
        <v>141</v>
      </c>
      <c r="D1075" t="s">
        <v>232</v>
      </c>
      <c r="E1075" t="s">
        <v>234</v>
      </c>
      <c r="F1075" s="17">
        <v>11627</v>
      </c>
      <c r="G1075" s="17">
        <v>402</v>
      </c>
      <c r="H1075" s="17">
        <v>12029</v>
      </c>
      <c r="I1075">
        <f>VLOOKUP(C1075,LEAIDs!$A$2:$B$305,2,FALSE)</f>
        <v>0</v>
      </c>
    </row>
    <row r="1076" spans="1:9" x14ac:dyDescent="0.2">
      <c r="A1076">
        <v>0</v>
      </c>
      <c r="B1076">
        <v>2018</v>
      </c>
      <c r="C1076" t="s">
        <v>141</v>
      </c>
      <c r="D1076" t="s">
        <v>232</v>
      </c>
      <c r="E1076" t="s">
        <v>234</v>
      </c>
      <c r="F1076" s="17">
        <v>19337</v>
      </c>
      <c r="G1076" s="17">
        <v>636</v>
      </c>
      <c r="H1076" s="17">
        <v>19973</v>
      </c>
      <c r="I1076">
        <f>VLOOKUP(C1076,LEAIDs!$A$2:$B$305,2,FALSE)</f>
        <v>0</v>
      </c>
    </row>
    <row r="1077" spans="1:9" x14ac:dyDescent="0.2">
      <c r="A1077">
        <v>0</v>
      </c>
      <c r="B1077">
        <v>2019</v>
      </c>
      <c r="C1077" t="s">
        <v>141</v>
      </c>
      <c r="D1077" t="s">
        <v>232</v>
      </c>
      <c r="E1077" t="s">
        <v>234</v>
      </c>
      <c r="F1077" s="17">
        <v>42966</v>
      </c>
      <c r="G1077" s="17">
        <v>1442</v>
      </c>
      <c r="H1077" s="17">
        <v>44408</v>
      </c>
      <c r="I1077">
        <f>VLOOKUP(C1077,LEAIDs!$A$2:$B$305,2,FALSE)</f>
        <v>0</v>
      </c>
    </row>
    <row r="1078" spans="1:9" x14ac:dyDescent="0.2">
      <c r="A1078">
        <v>0</v>
      </c>
      <c r="B1078">
        <v>2020</v>
      </c>
      <c r="C1078" t="s">
        <v>141</v>
      </c>
      <c r="D1078" t="s">
        <v>232</v>
      </c>
      <c r="E1078" t="s">
        <v>234</v>
      </c>
      <c r="F1078" s="17">
        <v>62412</v>
      </c>
      <c r="G1078" s="17">
        <v>2202</v>
      </c>
      <c r="H1078" s="17">
        <v>64614</v>
      </c>
      <c r="I1078">
        <f>VLOOKUP(C1078,LEAIDs!$A$2:$B$305,2,FALSE)</f>
        <v>0</v>
      </c>
    </row>
    <row r="1079" spans="1:9" x14ac:dyDescent="0.2">
      <c r="A1079">
        <v>0</v>
      </c>
      <c r="B1079" s="2">
        <v>2021</v>
      </c>
      <c r="C1079" s="4" t="s">
        <v>141</v>
      </c>
      <c r="D1079" s="2" t="s">
        <v>232</v>
      </c>
      <c r="E1079" s="2" t="s">
        <v>234</v>
      </c>
      <c r="F1079" s="16">
        <v>71147</v>
      </c>
      <c r="G1079" s="16">
        <v>2476</v>
      </c>
      <c r="H1079" s="15">
        <v>73623</v>
      </c>
      <c r="I1079">
        <f>VLOOKUP(C1079,LEAIDs!$A$2:$B$305,2,FALSE)</f>
        <v>0</v>
      </c>
    </row>
    <row r="1080" spans="1:9" x14ac:dyDescent="0.2">
      <c r="A1080">
        <v>0</v>
      </c>
      <c r="B1080" s="2">
        <v>2022</v>
      </c>
      <c r="C1080" s="4" t="s">
        <v>141</v>
      </c>
      <c r="D1080" s="2" t="s">
        <v>232</v>
      </c>
      <c r="E1080" s="2" t="s">
        <v>234</v>
      </c>
      <c r="F1080" s="16">
        <v>75547</v>
      </c>
      <c r="G1080" s="16">
        <v>2699</v>
      </c>
      <c r="H1080" s="15">
        <v>78246</v>
      </c>
      <c r="I1080">
        <f>VLOOKUP(C1080,LEAIDs!$A$2:$B$305,2,FALSE)</f>
        <v>0</v>
      </c>
    </row>
    <row r="1081" spans="1:9" x14ac:dyDescent="0.2">
      <c r="A1081">
        <v>0</v>
      </c>
      <c r="B1081" s="2">
        <v>2023</v>
      </c>
      <c r="C1081" s="2" t="s">
        <v>141</v>
      </c>
      <c r="D1081" s="2" t="s">
        <v>232</v>
      </c>
      <c r="E1081" s="2" t="s">
        <v>234</v>
      </c>
      <c r="F1081" s="15">
        <v>87493</v>
      </c>
      <c r="G1081" s="15">
        <v>3119</v>
      </c>
      <c r="H1081" s="15">
        <v>90612</v>
      </c>
      <c r="I1081">
        <f>VLOOKUP(C1081,LEAIDs!$A$2:$B$305,2,FALSE)</f>
        <v>0</v>
      </c>
    </row>
    <row r="1082" spans="1:9" x14ac:dyDescent="0.2">
      <c r="A1082">
        <v>0</v>
      </c>
      <c r="B1082">
        <v>2015</v>
      </c>
      <c r="C1082" t="s">
        <v>72</v>
      </c>
      <c r="D1082" t="s">
        <v>232</v>
      </c>
      <c r="E1082" t="s">
        <v>234</v>
      </c>
      <c r="F1082" s="17">
        <v>12259695</v>
      </c>
      <c r="G1082" s="17">
        <v>376870</v>
      </c>
      <c r="H1082" s="17">
        <v>12636565</v>
      </c>
      <c r="I1082">
        <f>VLOOKUP(C1082,LEAIDs!$A$2:$B$305,2,FALSE)</f>
        <v>0</v>
      </c>
    </row>
    <row r="1083" spans="1:9" x14ac:dyDescent="0.2">
      <c r="A1083">
        <v>0</v>
      </c>
      <c r="B1083">
        <v>2016</v>
      </c>
      <c r="C1083" t="s">
        <v>72</v>
      </c>
      <c r="D1083" t="s">
        <v>232</v>
      </c>
      <c r="E1083" t="s">
        <v>234</v>
      </c>
      <c r="F1083" s="17">
        <v>11368968</v>
      </c>
      <c r="G1083" s="17">
        <v>375005</v>
      </c>
      <c r="H1083" s="17">
        <v>11743973</v>
      </c>
      <c r="I1083">
        <f>VLOOKUP(C1083,LEAIDs!$A$2:$B$305,2,FALSE)</f>
        <v>0</v>
      </c>
    </row>
    <row r="1084" spans="1:9" x14ac:dyDescent="0.2">
      <c r="A1084">
        <v>0</v>
      </c>
      <c r="B1084">
        <v>2017</v>
      </c>
      <c r="C1084" t="s">
        <v>72</v>
      </c>
      <c r="D1084" t="s">
        <v>232</v>
      </c>
      <c r="E1084" t="s">
        <v>234</v>
      </c>
      <c r="F1084" s="17">
        <v>11057273</v>
      </c>
      <c r="G1084" s="17">
        <v>381913</v>
      </c>
      <c r="H1084" s="17">
        <v>11439186</v>
      </c>
      <c r="I1084">
        <f>VLOOKUP(C1084,LEAIDs!$A$2:$B$305,2,FALSE)</f>
        <v>0</v>
      </c>
    </row>
    <row r="1085" spans="1:9" x14ac:dyDescent="0.2">
      <c r="A1085">
        <v>0</v>
      </c>
      <c r="B1085">
        <v>2018</v>
      </c>
      <c r="C1085" t="s">
        <v>72</v>
      </c>
      <c r="D1085" t="s">
        <v>232</v>
      </c>
      <c r="E1085" t="s">
        <v>234</v>
      </c>
      <c r="F1085" s="17">
        <v>12382929</v>
      </c>
      <c r="G1085" s="17">
        <v>407503</v>
      </c>
      <c r="H1085" s="17">
        <v>12790432</v>
      </c>
      <c r="I1085">
        <f>VLOOKUP(C1085,LEAIDs!$A$2:$B$305,2,FALSE)</f>
        <v>0</v>
      </c>
    </row>
    <row r="1086" spans="1:9" x14ac:dyDescent="0.2">
      <c r="A1086">
        <v>0</v>
      </c>
      <c r="B1086">
        <v>2019</v>
      </c>
      <c r="C1086" t="s">
        <v>72</v>
      </c>
      <c r="D1086" t="s">
        <v>232</v>
      </c>
      <c r="E1086" t="s">
        <v>234</v>
      </c>
      <c r="F1086" s="17">
        <v>13625397</v>
      </c>
      <c r="G1086" s="17">
        <v>457290</v>
      </c>
      <c r="H1086" s="17">
        <v>14082687</v>
      </c>
      <c r="I1086">
        <f>VLOOKUP(C1086,LEAIDs!$A$2:$B$305,2,FALSE)</f>
        <v>0</v>
      </c>
    </row>
    <row r="1087" spans="1:9" x14ac:dyDescent="0.2">
      <c r="A1087">
        <v>0</v>
      </c>
      <c r="B1087">
        <v>2020</v>
      </c>
      <c r="C1087" t="s">
        <v>72</v>
      </c>
      <c r="D1087" t="s">
        <v>232</v>
      </c>
      <c r="E1087" t="s">
        <v>234</v>
      </c>
      <c r="F1087" s="17">
        <v>13491526</v>
      </c>
      <c r="G1087" s="17">
        <v>476095</v>
      </c>
      <c r="H1087" s="17">
        <v>13967621</v>
      </c>
      <c r="I1087">
        <f>VLOOKUP(C1087,LEAIDs!$A$2:$B$305,2,FALSE)</f>
        <v>0</v>
      </c>
    </row>
    <row r="1088" spans="1:9" x14ac:dyDescent="0.2">
      <c r="A1088">
        <v>0</v>
      </c>
      <c r="B1088" s="2">
        <v>2021</v>
      </c>
      <c r="C1088" s="4" t="s">
        <v>72</v>
      </c>
      <c r="D1088" s="2" t="s">
        <v>232</v>
      </c>
      <c r="E1088" s="2" t="s">
        <v>234</v>
      </c>
      <c r="F1088" s="16">
        <v>13581952</v>
      </c>
      <c r="G1088" s="16">
        <v>472752</v>
      </c>
      <c r="H1088" s="15">
        <v>14054704</v>
      </c>
      <c r="I1088">
        <f>VLOOKUP(C1088,LEAIDs!$A$2:$B$305,2,FALSE)</f>
        <v>0</v>
      </c>
    </row>
    <row r="1089" spans="1:9" x14ac:dyDescent="0.2">
      <c r="A1089">
        <v>0</v>
      </c>
      <c r="B1089" s="2">
        <v>2022</v>
      </c>
      <c r="C1089" s="4" t="s">
        <v>72</v>
      </c>
      <c r="D1089" s="2" t="s">
        <v>232</v>
      </c>
      <c r="E1089" s="2" t="s">
        <v>234</v>
      </c>
      <c r="F1089" s="16">
        <v>13279505</v>
      </c>
      <c r="G1089" s="16">
        <v>474445</v>
      </c>
      <c r="H1089" s="15">
        <v>13753950</v>
      </c>
      <c r="I1089">
        <f>VLOOKUP(C1089,LEAIDs!$A$2:$B$305,2,FALSE)</f>
        <v>0</v>
      </c>
    </row>
    <row r="1090" spans="1:9" x14ac:dyDescent="0.2">
      <c r="A1090">
        <v>0</v>
      </c>
      <c r="B1090" s="2">
        <v>2023</v>
      </c>
      <c r="C1090" s="2" t="s">
        <v>72</v>
      </c>
      <c r="D1090" s="2" t="s">
        <v>232</v>
      </c>
      <c r="E1090" s="2" t="s">
        <v>234</v>
      </c>
      <c r="F1090" s="15">
        <v>13966131</v>
      </c>
      <c r="G1090" s="15">
        <v>497915</v>
      </c>
      <c r="H1090" s="15">
        <v>14464046</v>
      </c>
      <c r="I1090">
        <f>VLOOKUP(C1090,LEAIDs!$A$2:$B$305,2,FALSE)</f>
        <v>0</v>
      </c>
    </row>
    <row r="1091" spans="1:9" x14ac:dyDescent="0.2">
      <c r="A1091">
        <v>0</v>
      </c>
      <c r="B1091">
        <v>2015</v>
      </c>
      <c r="C1091" t="s">
        <v>75</v>
      </c>
      <c r="D1091" t="s">
        <v>232</v>
      </c>
      <c r="E1091" t="s">
        <v>234</v>
      </c>
      <c r="F1091" s="17">
        <v>11545480</v>
      </c>
      <c r="G1091" s="17">
        <v>354915</v>
      </c>
      <c r="H1091" s="17">
        <v>11900395</v>
      </c>
      <c r="I1091">
        <f>VLOOKUP(C1091,LEAIDs!$A$2:$B$305,2,FALSE)</f>
        <v>0</v>
      </c>
    </row>
    <row r="1092" spans="1:9" x14ac:dyDescent="0.2">
      <c r="A1092">
        <v>0</v>
      </c>
      <c r="B1092">
        <v>2016</v>
      </c>
      <c r="C1092" t="s">
        <v>75</v>
      </c>
      <c r="D1092" t="s">
        <v>232</v>
      </c>
      <c r="E1092" t="s">
        <v>234</v>
      </c>
      <c r="F1092" s="17">
        <v>10883611</v>
      </c>
      <c r="G1092" s="17">
        <v>358996</v>
      </c>
      <c r="H1092" s="17">
        <v>11242607</v>
      </c>
      <c r="I1092">
        <f>VLOOKUP(C1092,LEAIDs!$A$2:$B$305,2,FALSE)</f>
        <v>0</v>
      </c>
    </row>
    <row r="1093" spans="1:9" x14ac:dyDescent="0.2">
      <c r="A1093">
        <v>0</v>
      </c>
      <c r="B1093">
        <v>2017</v>
      </c>
      <c r="C1093" t="s">
        <v>75</v>
      </c>
      <c r="D1093" t="s">
        <v>232</v>
      </c>
      <c r="E1093" t="s">
        <v>234</v>
      </c>
      <c r="F1093" s="17">
        <v>10773348</v>
      </c>
      <c r="G1093" s="17">
        <v>372107</v>
      </c>
      <c r="H1093" s="17">
        <v>11145455</v>
      </c>
      <c r="I1093">
        <f>VLOOKUP(C1093,LEAIDs!$A$2:$B$305,2,FALSE)</f>
        <v>0</v>
      </c>
    </row>
    <row r="1094" spans="1:9" x14ac:dyDescent="0.2">
      <c r="A1094">
        <v>0</v>
      </c>
      <c r="B1094">
        <v>2018</v>
      </c>
      <c r="C1094" t="s">
        <v>75</v>
      </c>
      <c r="D1094" t="s">
        <v>232</v>
      </c>
      <c r="E1094" t="s">
        <v>234</v>
      </c>
      <c r="F1094" s="17">
        <v>12250811</v>
      </c>
      <c r="G1094" s="17">
        <v>403155</v>
      </c>
      <c r="H1094" s="17">
        <v>12653966</v>
      </c>
      <c r="I1094">
        <f>VLOOKUP(C1094,LEAIDs!$A$2:$B$305,2,FALSE)</f>
        <v>0</v>
      </c>
    </row>
    <row r="1095" spans="1:9" x14ac:dyDescent="0.2">
      <c r="A1095">
        <v>0</v>
      </c>
      <c r="B1095">
        <v>2019</v>
      </c>
      <c r="C1095" t="s">
        <v>75</v>
      </c>
      <c r="D1095" t="s">
        <v>232</v>
      </c>
      <c r="E1095" t="s">
        <v>234</v>
      </c>
      <c r="F1095" s="17">
        <v>12584780</v>
      </c>
      <c r="G1095" s="17">
        <v>422365</v>
      </c>
      <c r="H1095" s="17">
        <v>13007145</v>
      </c>
      <c r="I1095">
        <f>VLOOKUP(C1095,LEAIDs!$A$2:$B$305,2,FALSE)</f>
        <v>0</v>
      </c>
    </row>
    <row r="1096" spans="1:9" x14ac:dyDescent="0.2">
      <c r="A1096">
        <v>0</v>
      </c>
      <c r="B1096">
        <v>2020</v>
      </c>
      <c r="C1096" t="s">
        <v>75</v>
      </c>
      <c r="D1096" t="s">
        <v>232</v>
      </c>
      <c r="E1096" t="s">
        <v>234</v>
      </c>
      <c r="F1096" s="17">
        <v>12703988</v>
      </c>
      <c r="G1096" s="17">
        <v>448304</v>
      </c>
      <c r="H1096" s="17">
        <v>13152292</v>
      </c>
      <c r="I1096">
        <f>VLOOKUP(C1096,LEAIDs!$A$2:$B$305,2,FALSE)</f>
        <v>0</v>
      </c>
    </row>
    <row r="1097" spans="1:9" x14ac:dyDescent="0.2">
      <c r="A1097">
        <v>0</v>
      </c>
      <c r="B1097" s="2">
        <v>2021</v>
      </c>
      <c r="C1097" s="4" t="s">
        <v>75</v>
      </c>
      <c r="D1097" s="2" t="s">
        <v>232</v>
      </c>
      <c r="E1097" s="2" t="s">
        <v>234</v>
      </c>
      <c r="F1097" s="16">
        <v>13840085</v>
      </c>
      <c r="G1097" s="16">
        <v>481736</v>
      </c>
      <c r="H1097" s="15">
        <v>14321821</v>
      </c>
      <c r="I1097">
        <f>VLOOKUP(C1097,LEAIDs!$A$2:$B$305,2,FALSE)</f>
        <v>0</v>
      </c>
    </row>
    <row r="1098" spans="1:9" x14ac:dyDescent="0.2">
      <c r="A1098">
        <v>0</v>
      </c>
      <c r="B1098" s="2">
        <v>2022</v>
      </c>
      <c r="C1098" s="4" t="s">
        <v>75</v>
      </c>
      <c r="D1098" s="2" t="s">
        <v>232</v>
      </c>
      <c r="E1098" s="2" t="s">
        <v>234</v>
      </c>
      <c r="F1098" s="16">
        <v>15240093</v>
      </c>
      <c r="G1098" s="16">
        <v>544492</v>
      </c>
      <c r="H1098" s="15">
        <v>15784585</v>
      </c>
      <c r="I1098">
        <f>VLOOKUP(C1098,LEAIDs!$A$2:$B$305,2,FALSE)</f>
        <v>0</v>
      </c>
    </row>
    <row r="1099" spans="1:9" x14ac:dyDescent="0.2">
      <c r="A1099">
        <v>0</v>
      </c>
      <c r="B1099" s="2">
        <v>2023</v>
      </c>
      <c r="C1099" s="2" t="s">
        <v>75</v>
      </c>
      <c r="D1099" s="2" t="s">
        <v>232</v>
      </c>
      <c r="E1099" s="2" t="s">
        <v>234</v>
      </c>
      <c r="F1099" s="15">
        <v>16602124</v>
      </c>
      <c r="G1099" s="15">
        <v>591893</v>
      </c>
      <c r="H1099" s="15">
        <v>17194017</v>
      </c>
      <c r="I1099">
        <f>VLOOKUP(C1099,LEAIDs!$A$2:$B$305,2,FALSE)</f>
        <v>0</v>
      </c>
    </row>
    <row r="1100" spans="1:9" x14ac:dyDescent="0.2">
      <c r="A1100">
        <v>0</v>
      </c>
      <c r="B1100">
        <v>2015</v>
      </c>
      <c r="C1100" t="s">
        <v>76</v>
      </c>
      <c r="D1100" t="s">
        <v>232</v>
      </c>
      <c r="E1100" t="s">
        <v>234</v>
      </c>
      <c r="F1100" s="17">
        <v>2783202</v>
      </c>
      <c r="G1100" s="17">
        <v>85557</v>
      </c>
      <c r="H1100" s="17">
        <v>2868759</v>
      </c>
      <c r="I1100">
        <f>VLOOKUP(C1100,LEAIDs!$A$2:$B$305,2,FALSE)</f>
        <v>0</v>
      </c>
    </row>
    <row r="1101" spans="1:9" x14ac:dyDescent="0.2">
      <c r="A1101">
        <v>0</v>
      </c>
      <c r="B1101">
        <v>2016</v>
      </c>
      <c r="C1101" t="s">
        <v>76</v>
      </c>
      <c r="D1101" t="s">
        <v>232</v>
      </c>
      <c r="E1101" t="s">
        <v>234</v>
      </c>
      <c r="F1101" s="17">
        <v>2484184</v>
      </c>
      <c r="G1101" s="17">
        <v>81941</v>
      </c>
      <c r="H1101" s="17">
        <v>2566125</v>
      </c>
      <c r="I1101">
        <f>VLOOKUP(C1101,LEAIDs!$A$2:$B$305,2,FALSE)</f>
        <v>0</v>
      </c>
    </row>
    <row r="1102" spans="1:9" x14ac:dyDescent="0.2">
      <c r="A1102">
        <v>0</v>
      </c>
      <c r="B1102">
        <v>2017</v>
      </c>
      <c r="C1102" t="s">
        <v>76</v>
      </c>
      <c r="D1102" t="s">
        <v>232</v>
      </c>
      <c r="E1102" t="s">
        <v>234</v>
      </c>
      <c r="F1102" s="17">
        <v>2428766</v>
      </c>
      <c r="G1102" s="17">
        <v>83888</v>
      </c>
      <c r="H1102" s="17">
        <v>2512654</v>
      </c>
      <c r="I1102">
        <f>VLOOKUP(C1102,LEAIDs!$A$2:$B$305,2,FALSE)</f>
        <v>0</v>
      </c>
    </row>
    <row r="1103" spans="1:9" x14ac:dyDescent="0.2">
      <c r="A1103">
        <v>0</v>
      </c>
      <c r="B1103">
        <v>2018</v>
      </c>
      <c r="C1103" t="s">
        <v>76</v>
      </c>
      <c r="D1103" t="s">
        <v>232</v>
      </c>
      <c r="E1103" t="s">
        <v>234</v>
      </c>
      <c r="F1103" s="17">
        <v>2659432</v>
      </c>
      <c r="G1103" s="17">
        <v>87518</v>
      </c>
      <c r="H1103" s="17">
        <v>2746950</v>
      </c>
      <c r="I1103">
        <f>VLOOKUP(C1103,LEAIDs!$A$2:$B$305,2,FALSE)</f>
        <v>0</v>
      </c>
    </row>
    <row r="1104" spans="1:9" x14ac:dyDescent="0.2">
      <c r="A1104">
        <v>0</v>
      </c>
      <c r="B1104">
        <v>2019</v>
      </c>
      <c r="C1104" t="s">
        <v>76</v>
      </c>
      <c r="D1104" t="s">
        <v>232</v>
      </c>
      <c r="E1104" t="s">
        <v>234</v>
      </c>
      <c r="F1104" s="17">
        <v>2718227</v>
      </c>
      <c r="G1104" s="17">
        <v>91228</v>
      </c>
      <c r="H1104" s="17">
        <v>2809455</v>
      </c>
      <c r="I1104">
        <f>VLOOKUP(C1104,LEAIDs!$A$2:$B$305,2,FALSE)</f>
        <v>0</v>
      </c>
    </row>
    <row r="1105" spans="1:9" x14ac:dyDescent="0.2">
      <c r="A1105">
        <v>0</v>
      </c>
      <c r="B1105">
        <v>2020</v>
      </c>
      <c r="C1105" t="s">
        <v>76</v>
      </c>
      <c r="D1105" t="s">
        <v>232</v>
      </c>
      <c r="E1105" t="s">
        <v>234</v>
      </c>
      <c r="F1105" s="17">
        <v>2273778</v>
      </c>
      <c r="G1105" s="17">
        <v>80238</v>
      </c>
      <c r="H1105" s="17">
        <v>2354016</v>
      </c>
      <c r="I1105">
        <f>VLOOKUP(C1105,LEAIDs!$A$2:$B$305,2,FALSE)</f>
        <v>0</v>
      </c>
    </row>
    <row r="1106" spans="1:9" x14ac:dyDescent="0.2">
      <c r="A1106">
        <v>0</v>
      </c>
      <c r="B1106" s="2">
        <v>2021</v>
      </c>
      <c r="C1106" s="4" t="s">
        <v>76</v>
      </c>
      <c r="D1106" s="2" t="s">
        <v>232</v>
      </c>
      <c r="E1106" s="2" t="s">
        <v>234</v>
      </c>
      <c r="F1106" s="16">
        <v>2554675</v>
      </c>
      <c r="G1106" s="16">
        <v>88921</v>
      </c>
      <c r="H1106" s="15">
        <v>2643596</v>
      </c>
      <c r="I1106">
        <f>VLOOKUP(C1106,LEAIDs!$A$2:$B$305,2,FALSE)</f>
        <v>0</v>
      </c>
    </row>
    <row r="1107" spans="1:9" x14ac:dyDescent="0.2">
      <c r="A1107">
        <v>0</v>
      </c>
      <c r="B1107" s="2">
        <v>2022</v>
      </c>
      <c r="C1107" s="4" t="s">
        <v>76</v>
      </c>
      <c r="D1107" s="2" t="s">
        <v>232</v>
      </c>
      <c r="E1107" s="2" t="s">
        <v>234</v>
      </c>
      <c r="F1107" s="16">
        <v>2757591</v>
      </c>
      <c r="G1107" s="16">
        <v>98522</v>
      </c>
      <c r="H1107" s="15">
        <v>2856113</v>
      </c>
      <c r="I1107">
        <f>VLOOKUP(C1107,LEAIDs!$A$2:$B$305,2,FALSE)</f>
        <v>0</v>
      </c>
    </row>
    <row r="1108" spans="1:9" x14ac:dyDescent="0.2">
      <c r="A1108">
        <v>0</v>
      </c>
      <c r="B1108" s="2">
        <v>2023</v>
      </c>
      <c r="C1108" s="2" t="s">
        <v>76</v>
      </c>
      <c r="D1108" s="2" t="s">
        <v>232</v>
      </c>
      <c r="E1108" s="2" t="s">
        <v>234</v>
      </c>
      <c r="F1108" s="15">
        <v>3119515</v>
      </c>
      <c r="G1108" s="15">
        <v>111216</v>
      </c>
      <c r="H1108" s="15">
        <v>3230731</v>
      </c>
      <c r="I1108">
        <f>VLOOKUP(C1108,LEAIDs!$A$2:$B$305,2,FALSE)</f>
        <v>0</v>
      </c>
    </row>
    <row r="1109" spans="1:9" x14ac:dyDescent="0.2">
      <c r="A1109">
        <v>0</v>
      </c>
      <c r="B1109">
        <v>2015</v>
      </c>
      <c r="C1109" t="s">
        <v>88</v>
      </c>
      <c r="D1109" t="s">
        <v>232</v>
      </c>
      <c r="E1109" t="s">
        <v>234</v>
      </c>
      <c r="F1109" s="17">
        <v>2232310</v>
      </c>
      <c r="G1109" s="17">
        <v>68623</v>
      </c>
      <c r="H1109" s="17">
        <v>2300933</v>
      </c>
      <c r="I1109">
        <f>VLOOKUP(C1109,LEAIDs!$A$2:$B$305,2,FALSE)</f>
        <v>0</v>
      </c>
    </row>
    <row r="1110" spans="1:9" x14ac:dyDescent="0.2">
      <c r="A1110">
        <v>0</v>
      </c>
      <c r="B1110">
        <v>2016</v>
      </c>
      <c r="C1110" t="s">
        <v>88</v>
      </c>
      <c r="D1110" t="s">
        <v>232</v>
      </c>
      <c r="E1110" t="s">
        <v>234</v>
      </c>
      <c r="F1110" s="17">
        <v>2080366</v>
      </c>
      <c r="G1110" s="17">
        <v>68621</v>
      </c>
      <c r="H1110" s="17">
        <v>2148987</v>
      </c>
      <c r="I1110">
        <f>VLOOKUP(C1110,LEAIDs!$A$2:$B$305,2,FALSE)</f>
        <v>0</v>
      </c>
    </row>
    <row r="1111" spans="1:9" x14ac:dyDescent="0.2">
      <c r="A1111">
        <v>0</v>
      </c>
      <c r="B1111">
        <v>2017</v>
      </c>
      <c r="C1111" t="s">
        <v>88</v>
      </c>
      <c r="D1111" t="s">
        <v>232</v>
      </c>
      <c r="E1111" t="s">
        <v>234</v>
      </c>
      <c r="F1111" s="17">
        <v>1958262</v>
      </c>
      <c r="G1111" s="17">
        <v>67638</v>
      </c>
      <c r="H1111" s="17">
        <v>2025900</v>
      </c>
      <c r="I1111">
        <f>VLOOKUP(C1111,LEAIDs!$A$2:$B$305,2,FALSE)</f>
        <v>0</v>
      </c>
    </row>
    <row r="1112" spans="1:9" x14ac:dyDescent="0.2">
      <c r="A1112">
        <v>0</v>
      </c>
      <c r="B1112">
        <v>2018</v>
      </c>
      <c r="C1112" t="s">
        <v>88</v>
      </c>
      <c r="D1112" t="s">
        <v>232</v>
      </c>
      <c r="E1112" t="s">
        <v>234</v>
      </c>
      <c r="F1112" s="17">
        <v>2150385</v>
      </c>
      <c r="G1112" s="17">
        <v>70766</v>
      </c>
      <c r="H1112" s="17">
        <v>2221151</v>
      </c>
      <c r="I1112">
        <f>VLOOKUP(C1112,LEAIDs!$A$2:$B$305,2,FALSE)</f>
        <v>0</v>
      </c>
    </row>
    <row r="1113" spans="1:9" x14ac:dyDescent="0.2">
      <c r="A1113">
        <v>0</v>
      </c>
      <c r="B1113">
        <v>2019</v>
      </c>
      <c r="C1113" t="s">
        <v>88</v>
      </c>
      <c r="D1113" t="s">
        <v>232</v>
      </c>
      <c r="E1113" t="s">
        <v>234</v>
      </c>
      <c r="F1113" s="17">
        <v>2299765</v>
      </c>
      <c r="G1113" s="17">
        <v>77184</v>
      </c>
      <c r="H1113" s="17">
        <v>2376949</v>
      </c>
      <c r="I1113">
        <f>VLOOKUP(C1113,LEAIDs!$A$2:$B$305,2,FALSE)</f>
        <v>0</v>
      </c>
    </row>
    <row r="1114" spans="1:9" x14ac:dyDescent="0.2">
      <c r="A1114">
        <v>0</v>
      </c>
      <c r="B1114">
        <v>2020</v>
      </c>
      <c r="C1114" t="s">
        <v>88</v>
      </c>
      <c r="D1114" t="s">
        <v>232</v>
      </c>
      <c r="E1114" t="s">
        <v>234</v>
      </c>
      <c r="F1114" s="17">
        <v>2391448</v>
      </c>
      <c r="G1114" s="17">
        <v>84391</v>
      </c>
      <c r="H1114" s="17">
        <v>2475839</v>
      </c>
      <c r="I1114">
        <f>VLOOKUP(C1114,LEAIDs!$A$2:$B$305,2,FALSE)</f>
        <v>0</v>
      </c>
    </row>
    <row r="1115" spans="1:9" x14ac:dyDescent="0.2">
      <c r="A1115">
        <v>0</v>
      </c>
      <c r="B1115" s="2">
        <v>2021</v>
      </c>
      <c r="C1115" s="4" t="s">
        <v>88</v>
      </c>
      <c r="D1115" s="2" t="s">
        <v>232</v>
      </c>
      <c r="E1115" s="2" t="s">
        <v>234</v>
      </c>
      <c r="F1115" s="16">
        <v>2377929</v>
      </c>
      <c r="G1115" s="16">
        <v>82769</v>
      </c>
      <c r="H1115" s="15">
        <v>2460698</v>
      </c>
      <c r="I1115">
        <f>VLOOKUP(C1115,LEAIDs!$A$2:$B$305,2,FALSE)</f>
        <v>0</v>
      </c>
    </row>
    <row r="1116" spans="1:9" x14ac:dyDescent="0.2">
      <c r="A1116">
        <v>0</v>
      </c>
      <c r="B1116" s="2">
        <v>2022</v>
      </c>
      <c r="C1116" s="4" t="s">
        <v>88</v>
      </c>
      <c r="D1116" s="2" t="s">
        <v>232</v>
      </c>
      <c r="E1116" s="2" t="s">
        <v>234</v>
      </c>
      <c r="F1116" s="16">
        <v>2357368</v>
      </c>
      <c r="G1116" s="16">
        <v>84223</v>
      </c>
      <c r="H1116" s="15">
        <v>2441591</v>
      </c>
      <c r="I1116">
        <f>VLOOKUP(C1116,LEAIDs!$A$2:$B$305,2,FALSE)</f>
        <v>0</v>
      </c>
    </row>
    <row r="1117" spans="1:9" x14ac:dyDescent="0.2">
      <c r="A1117">
        <v>0</v>
      </c>
      <c r="B1117" s="2">
        <v>2023</v>
      </c>
      <c r="C1117" s="2" t="s">
        <v>88</v>
      </c>
      <c r="D1117" s="2" t="s">
        <v>232</v>
      </c>
      <c r="E1117" s="2" t="s">
        <v>234</v>
      </c>
      <c r="F1117" s="15">
        <v>2172560</v>
      </c>
      <c r="G1117" s="15">
        <v>77455</v>
      </c>
      <c r="H1117" s="15">
        <v>2250015</v>
      </c>
      <c r="I1117">
        <f>VLOOKUP(C1117,LEAIDs!$A$2:$B$305,2,FALSE)</f>
        <v>0</v>
      </c>
    </row>
    <row r="1118" spans="1:9" x14ac:dyDescent="0.2">
      <c r="A1118">
        <v>0</v>
      </c>
      <c r="B1118">
        <v>2015</v>
      </c>
      <c r="C1118" t="s">
        <v>142</v>
      </c>
      <c r="D1118" t="s">
        <v>232</v>
      </c>
      <c r="E1118" t="s">
        <v>234</v>
      </c>
      <c r="F1118" s="17">
        <v>625607</v>
      </c>
      <c r="G1118" s="17">
        <v>19232</v>
      </c>
      <c r="H1118" s="17">
        <v>644839</v>
      </c>
      <c r="I1118">
        <f>VLOOKUP(C1118,LEAIDs!$A$2:$B$305,2,FALSE)</f>
        <v>0</v>
      </c>
    </row>
    <row r="1119" spans="1:9" x14ac:dyDescent="0.2">
      <c r="A1119">
        <v>0</v>
      </c>
      <c r="B1119">
        <v>2016</v>
      </c>
      <c r="C1119" t="s">
        <v>142</v>
      </c>
      <c r="D1119" t="s">
        <v>232</v>
      </c>
      <c r="E1119" t="s">
        <v>234</v>
      </c>
      <c r="F1119" s="17">
        <v>624317</v>
      </c>
      <c r="G1119" s="17">
        <v>20593</v>
      </c>
      <c r="H1119" s="17">
        <v>644910</v>
      </c>
      <c r="I1119">
        <f>VLOOKUP(C1119,LEAIDs!$A$2:$B$305,2,FALSE)</f>
        <v>0</v>
      </c>
    </row>
    <row r="1120" spans="1:9" x14ac:dyDescent="0.2">
      <c r="A1120">
        <v>0</v>
      </c>
      <c r="B1120">
        <v>2017</v>
      </c>
      <c r="C1120" t="s">
        <v>142</v>
      </c>
      <c r="D1120" t="s">
        <v>232</v>
      </c>
      <c r="E1120" t="s">
        <v>234</v>
      </c>
      <c r="F1120" s="17">
        <v>544091</v>
      </c>
      <c r="G1120" s="17">
        <v>18793</v>
      </c>
      <c r="H1120" s="17">
        <v>562884</v>
      </c>
      <c r="I1120">
        <f>VLOOKUP(C1120,LEAIDs!$A$2:$B$305,2,FALSE)</f>
        <v>0</v>
      </c>
    </row>
    <row r="1121" spans="1:9" x14ac:dyDescent="0.2">
      <c r="A1121">
        <v>0</v>
      </c>
      <c r="B1121">
        <v>2018</v>
      </c>
      <c r="C1121" t="s">
        <v>142</v>
      </c>
      <c r="D1121" t="s">
        <v>232</v>
      </c>
      <c r="E1121" t="s">
        <v>234</v>
      </c>
      <c r="F1121" s="17">
        <v>530307</v>
      </c>
      <c r="G1121" s="17">
        <v>17452</v>
      </c>
      <c r="H1121" s="17">
        <v>547759</v>
      </c>
      <c r="I1121">
        <f>VLOOKUP(C1121,LEAIDs!$A$2:$B$305,2,FALSE)</f>
        <v>0</v>
      </c>
    </row>
    <row r="1122" spans="1:9" x14ac:dyDescent="0.2">
      <c r="A1122">
        <v>0</v>
      </c>
      <c r="B1122">
        <v>2019</v>
      </c>
      <c r="C1122" t="s">
        <v>142</v>
      </c>
      <c r="D1122" t="s">
        <v>232</v>
      </c>
      <c r="E1122" t="s">
        <v>234</v>
      </c>
      <c r="F1122" s="17">
        <v>484603</v>
      </c>
      <c r="G1122" s="17">
        <v>16264</v>
      </c>
      <c r="H1122" s="17">
        <v>500867</v>
      </c>
      <c r="I1122">
        <f>VLOOKUP(C1122,LEAIDs!$A$2:$B$305,2,FALSE)</f>
        <v>0</v>
      </c>
    </row>
    <row r="1123" spans="1:9" x14ac:dyDescent="0.2">
      <c r="A1123">
        <v>0</v>
      </c>
      <c r="B1123">
        <v>2020</v>
      </c>
      <c r="C1123" t="s">
        <v>142</v>
      </c>
      <c r="D1123" t="s">
        <v>232</v>
      </c>
      <c r="E1123" t="s">
        <v>234</v>
      </c>
      <c r="F1123" s="17">
        <v>565207</v>
      </c>
      <c r="G1123" s="17">
        <v>19945</v>
      </c>
      <c r="H1123" s="17">
        <v>585152</v>
      </c>
      <c r="I1123">
        <f>VLOOKUP(C1123,LEAIDs!$A$2:$B$305,2,FALSE)</f>
        <v>0</v>
      </c>
    </row>
    <row r="1124" spans="1:9" x14ac:dyDescent="0.2">
      <c r="A1124">
        <v>0</v>
      </c>
      <c r="B1124" s="2">
        <v>2021</v>
      </c>
      <c r="C1124" s="4" t="s">
        <v>142</v>
      </c>
      <c r="D1124" s="2" t="s">
        <v>232</v>
      </c>
      <c r="E1124" s="2" t="s">
        <v>234</v>
      </c>
      <c r="F1124" s="16">
        <v>548858</v>
      </c>
      <c r="G1124" s="16">
        <v>19104</v>
      </c>
      <c r="H1124" s="15">
        <v>567962</v>
      </c>
      <c r="I1124">
        <f>VLOOKUP(C1124,LEAIDs!$A$2:$B$305,2,FALSE)</f>
        <v>0</v>
      </c>
    </row>
    <row r="1125" spans="1:9" x14ac:dyDescent="0.2">
      <c r="A1125">
        <v>0</v>
      </c>
      <c r="B1125" s="2">
        <v>2022</v>
      </c>
      <c r="C1125" s="4" t="s">
        <v>142</v>
      </c>
      <c r="D1125" s="2" t="s">
        <v>232</v>
      </c>
      <c r="E1125" s="2" t="s">
        <v>234</v>
      </c>
      <c r="F1125" s="16">
        <v>591656</v>
      </c>
      <c r="G1125" s="16">
        <v>21138</v>
      </c>
      <c r="H1125" s="15">
        <v>612794</v>
      </c>
      <c r="I1125">
        <f>VLOOKUP(C1125,LEAIDs!$A$2:$B$305,2,FALSE)</f>
        <v>0</v>
      </c>
    </row>
    <row r="1126" spans="1:9" x14ac:dyDescent="0.2">
      <c r="A1126">
        <v>0</v>
      </c>
      <c r="B1126" s="2">
        <v>2023</v>
      </c>
      <c r="C1126" s="2" t="s">
        <v>142</v>
      </c>
      <c r="D1126" s="2" t="s">
        <v>232</v>
      </c>
      <c r="E1126" s="2" t="s">
        <v>234</v>
      </c>
      <c r="F1126" s="15">
        <v>608703</v>
      </c>
      <c r="G1126" s="15">
        <v>21701</v>
      </c>
      <c r="H1126" s="15">
        <v>630404</v>
      </c>
      <c r="I1126">
        <f>VLOOKUP(C1126,LEAIDs!$A$2:$B$305,2,FALSE)</f>
        <v>0</v>
      </c>
    </row>
    <row r="1127" spans="1:9" x14ac:dyDescent="0.2">
      <c r="A1127">
        <v>0</v>
      </c>
      <c r="B1127">
        <v>2015</v>
      </c>
      <c r="C1127" t="s">
        <v>79</v>
      </c>
      <c r="D1127" t="s">
        <v>232</v>
      </c>
      <c r="E1127" t="s">
        <v>234</v>
      </c>
      <c r="F1127" s="17">
        <v>1873413</v>
      </c>
      <c r="G1127" s="17">
        <v>57590</v>
      </c>
      <c r="H1127" s="17">
        <v>1931003</v>
      </c>
      <c r="I1127">
        <f>VLOOKUP(C1127,LEAIDs!$A$2:$B$305,2,FALSE)</f>
        <v>0</v>
      </c>
    </row>
    <row r="1128" spans="1:9" x14ac:dyDescent="0.2">
      <c r="A1128">
        <v>0</v>
      </c>
      <c r="B1128">
        <v>2016</v>
      </c>
      <c r="C1128" t="s">
        <v>79</v>
      </c>
      <c r="D1128" t="s">
        <v>232</v>
      </c>
      <c r="E1128" t="s">
        <v>234</v>
      </c>
      <c r="F1128" s="17">
        <v>1858640</v>
      </c>
      <c r="G1128" s="17">
        <v>61307</v>
      </c>
      <c r="H1128" s="17">
        <v>1919947</v>
      </c>
      <c r="I1128">
        <f>VLOOKUP(C1128,LEAIDs!$A$2:$B$305,2,FALSE)</f>
        <v>0</v>
      </c>
    </row>
    <row r="1129" spans="1:9" x14ac:dyDescent="0.2">
      <c r="A1129">
        <v>0</v>
      </c>
      <c r="B1129">
        <v>2017</v>
      </c>
      <c r="C1129" t="s">
        <v>79</v>
      </c>
      <c r="D1129" t="s">
        <v>232</v>
      </c>
      <c r="E1129" t="s">
        <v>234</v>
      </c>
      <c r="F1129" s="17">
        <v>2247091</v>
      </c>
      <c r="G1129" s="17">
        <v>77614</v>
      </c>
      <c r="H1129" s="17">
        <v>2324705</v>
      </c>
      <c r="I1129">
        <f>VLOOKUP(C1129,LEAIDs!$A$2:$B$305,2,FALSE)</f>
        <v>0</v>
      </c>
    </row>
    <row r="1130" spans="1:9" x14ac:dyDescent="0.2">
      <c r="A1130">
        <v>0</v>
      </c>
      <c r="B1130">
        <v>2018</v>
      </c>
      <c r="C1130" t="s">
        <v>79</v>
      </c>
      <c r="D1130" t="s">
        <v>232</v>
      </c>
      <c r="E1130" t="s">
        <v>234</v>
      </c>
      <c r="F1130" s="17">
        <v>2108393</v>
      </c>
      <c r="G1130" s="17">
        <v>69384</v>
      </c>
      <c r="H1130" s="17">
        <v>2177777</v>
      </c>
      <c r="I1130">
        <f>VLOOKUP(C1130,LEAIDs!$A$2:$B$305,2,FALSE)</f>
        <v>0</v>
      </c>
    </row>
    <row r="1131" spans="1:9" x14ac:dyDescent="0.2">
      <c r="A1131">
        <v>0</v>
      </c>
      <c r="B1131">
        <v>2019</v>
      </c>
      <c r="C1131" t="s">
        <v>79</v>
      </c>
      <c r="D1131" t="s">
        <v>232</v>
      </c>
      <c r="E1131" t="s">
        <v>234</v>
      </c>
      <c r="F1131" s="17">
        <v>2434420</v>
      </c>
      <c r="G1131" s="17">
        <v>81703</v>
      </c>
      <c r="H1131" s="17">
        <v>2516123</v>
      </c>
      <c r="I1131">
        <f>VLOOKUP(C1131,LEAIDs!$A$2:$B$305,2,FALSE)</f>
        <v>0</v>
      </c>
    </row>
    <row r="1132" spans="1:9" x14ac:dyDescent="0.2">
      <c r="A1132">
        <v>0</v>
      </c>
      <c r="B1132">
        <v>2020</v>
      </c>
      <c r="C1132" t="s">
        <v>79</v>
      </c>
      <c r="D1132" t="s">
        <v>232</v>
      </c>
      <c r="E1132" t="s">
        <v>234</v>
      </c>
      <c r="F1132" s="17">
        <v>2591842</v>
      </c>
      <c r="G1132" s="17">
        <v>91462</v>
      </c>
      <c r="H1132" s="17">
        <v>2683304</v>
      </c>
      <c r="I1132">
        <f>VLOOKUP(C1132,LEAIDs!$A$2:$B$305,2,FALSE)</f>
        <v>0</v>
      </c>
    </row>
    <row r="1133" spans="1:9" x14ac:dyDescent="0.2">
      <c r="A1133">
        <v>0</v>
      </c>
      <c r="B1133" s="2">
        <v>2021</v>
      </c>
      <c r="C1133" s="4" t="s">
        <v>79</v>
      </c>
      <c r="D1133" s="2" t="s">
        <v>232</v>
      </c>
      <c r="E1133" s="2" t="s">
        <v>234</v>
      </c>
      <c r="F1133" s="16">
        <v>2436617</v>
      </c>
      <c r="G1133" s="16">
        <v>84812</v>
      </c>
      <c r="H1133" s="15">
        <v>2521429</v>
      </c>
      <c r="I1133">
        <f>VLOOKUP(C1133,LEAIDs!$A$2:$B$305,2,FALSE)</f>
        <v>0</v>
      </c>
    </row>
    <row r="1134" spans="1:9" x14ac:dyDescent="0.2">
      <c r="A1134">
        <v>0</v>
      </c>
      <c r="B1134" s="2">
        <v>2022</v>
      </c>
      <c r="C1134" s="4" t="s">
        <v>79</v>
      </c>
      <c r="D1134" s="2" t="s">
        <v>232</v>
      </c>
      <c r="E1134" s="2" t="s">
        <v>234</v>
      </c>
      <c r="F1134" s="16">
        <v>2430383</v>
      </c>
      <c r="G1134" s="16">
        <v>86832</v>
      </c>
      <c r="H1134" s="15">
        <v>2517215</v>
      </c>
      <c r="I1134">
        <f>VLOOKUP(C1134,LEAIDs!$A$2:$B$305,2,FALSE)</f>
        <v>0</v>
      </c>
    </row>
    <row r="1135" spans="1:9" x14ac:dyDescent="0.2">
      <c r="A1135">
        <v>0</v>
      </c>
      <c r="B1135" s="2">
        <v>2023</v>
      </c>
      <c r="C1135" s="2" t="s">
        <v>79</v>
      </c>
      <c r="D1135" s="2" t="s">
        <v>232</v>
      </c>
      <c r="E1135" s="2" t="s">
        <v>234</v>
      </c>
      <c r="F1135" s="15">
        <v>2740589</v>
      </c>
      <c r="G1135" s="15">
        <v>97706</v>
      </c>
      <c r="H1135" s="15">
        <v>2838295</v>
      </c>
      <c r="I1135">
        <f>VLOOKUP(C1135,LEAIDs!$A$2:$B$305,2,FALSE)</f>
        <v>0</v>
      </c>
    </row>
    <row r="1136" spans="1:9" x14ac:dyDescent="0.2">
      <c r="A1136">
        <v>0</v>
      </c>
      <c r="B1136">
        <v>2016</v>
      </c>
      <c r="C1136" t="s">
        <v>95</v>
      </c>
      <c r="D1136" t="s">
        <v>232</v>
      </c>
      <c r="E1136" t="s">
        <v>234</v>
      </c>
      <c r="F1136" s="17">
        <v>230295</v>
      </c>
      <c r="G1136" s="17">
        <v>7596</v>
      </c>
      <c r="H1136" s="17">
        <v>237891</v>
      </c>
      <c r="I1136">
        <f>VLOOKUP(C1136,LEAIDs!$A$2:$B$305,2,FALSE)</f>
        <v>0</v>
      </c>
    </row>
    <row r="1137" spans="1:9" x14ac:dyDescent="0.2">
      <c r="A1137">
        <v>0</v>
      </c>
      <c r="B1137">
        <v>2017</v>
      </c>
      <c r="C1137" t="s">
        <v>95</v>
      </c>
      <c r="D1137" t="s">
        <v>232</v>
      </c>
      <c r="E1137" t="s">
        <v>234</v>
      </c>
      <c r="F1137" s="17">
        <v>218384</v>
      </c>
      <c r="G1137" s="17">
        <v>7543</v>
      </c>
      <c r="H1137" s="17">
        <v>225927</v>
      </c>
      <c r="I1137">
        <f>VLOOKUP(C1137,LEAIDs!$A$2:$B$305,2,FALSE)</f>
        <v>0</v>
      </c>
    </row>
    <row r="1138" spans="1:9" x14ac:dyDescent="0.2">
      <c r="A1138">
        <v>0</v>
      </c>
      <c r="B1138">
        <v>2018</v>
      </c>
      <c r="C1138" t="s">
        <v>95</v>
      </c>
      <c r="D1138" t="s">
        <v>232</v>
      </c>
      <c r="E1138" t="s">
        <v>234</v>
      </c>
      <c r="F1138" s="17">
        <v>237385</v>
      </c>
      <c r="G1138" s="17">
        <v>7812</v>
      </c>
      <c r="H1138" s="17">
        <v>245197</v>
      </c>
      <c r="I1138">
        <f>VLOOKUP(C1138,LEAIDs!$A$2:$B$305,2,FALSE)</f>
        <v>0</v>
      </c>
    </row>
    <row r="1139" spans="1:9" x14ac:dyDescent="0.2">
      <c r="A1139">
        <v>0</v>
      </c>
      <c r="B1139">
        <v>2019</v>
      </c>
      <c r="C1139" t="s">
        <v>95</v>
      </c>
      <c r="D1139" t="s">
        <v>232</v>
      </c>
      <c r="E1139" t="s">
        <v>234</v>
      </c>
      <c r="F1139" s="17">
        <v>215560</v>
      </c>
      <c r="G1139" s="17">
        <v>7235</v>
      </c>
      <c r="H1139" s="17">
        <v>222795</v>
      </c>
      <c r="I1139">
        <f>VLOOKUP(C1139,LEAIDs!$A$2:$B$305,2,FALSE)</f>
        <v>0</v>
      </c>
    </row>
    <row r="1140" spans="1:9" x14ac:dyDescent="0.2">
      <c r="A1140">
        <v>0</v>
      </c>
      <c r="B1140">
        <v>2020</v>
      </c>
      <c r="C1140" t="s">
        <v>95</v>
      </c>
      <c r="D1140" t="s">
        <v>232</v>
      </c>
      <c r="E1140" t="s">
        <v>234</v>
      </c>
      <c r="F1140" s="17">
        <v>209076</v>
      </c>
      <c r="G1140" s="17">
        <v>7378</v>
      </c>
      <c r="H1140" s="17">
        <v>216454</v>
      </c>
      <c r="I1140">
        <f>VLOOKUP(C1140,LEAIDs!$A$2:$B$305,2,FALSE)</f>
        <v>0</v>
      </c>
    </row>
    <row r="1141" spans="1:9" x14ac:dyDescent="0.2">
      <c r="A1141">
        <v>0</v>
      </c>
      <c r="B1141" s="2">
        <v>2021</v>
      </c>
      <c r="C1141" s="4" t="s">
        <v>95</v>
      </c>
      <c r="D1141" s="2" t="s">
        <v>232</v>
      </c>
      <c r="E1141" s="2" t="s">
        <v>234</v>
      </c>
      <c r="F1141" s="16">
        <v>187457</v>
      </c>
      <c r="G1141" s="16">
        <v>6525</v>
      </c>
      <c r="H1141" s="15">
        <v>193982</v>
      </c>
      <c r="I1141">
        <f>VLOOKUP(C1141,LEAIDs!$A$2:$B$305,2,FALSE)</f>
        <v>0</v>
      </c>
    </row>
    <row r="1142" spans="1:9" x14ac:dyDescent="0.2">
      <c r="A1142">
        <v>0</v>
      </c>
      <c r="B1142" s="2">
        <v>2022</v>
      </c>
      <c r="C1142" s="4" t="s">
        <v>95</v>
      </c>
      <c r="D1142" s="2" t="s">
        <v>232</v>
      </c>
      <c r="E1142" s="2" t="s">
        <v>234</v>
      </c>
      <c r="F1142" s="16">
        <v>210500</v>
      </c>
      <c r="G1142" s="16">
        <v>7521</v>
      </c>
      <c r="H1142" s="15">
        <v>218021</v>
      </c>
      <c r="I1142">
        <f>VLOOKUP(C1142,LEAIDs!$A$2:$B$305,2,FALSE)</f>
        <v>0</v>
      </c>
    </row>
    <row r="1143" spans="1:9" x14ac:dyDescent="0.2">
      <c r="A1143">
        <v>0</v>
      </c>
      <c r="B1143" s="2">
        <v>2023</v>
      </c>
      <c r="C1143" s="2" t="s">
        <v>95</v>
      </c>
      <c r="D1143" s="2" t="s">
        <v>232</v>
      </c>
      <c r="E1143" s="2" t="s">
        <v>234</v>
      </c>
      <c r="F1143" s="15">
        <v>209847</v>
      </c>
      <c r="G1143" s="15">
        <v>7481</v>
      </c>
      <c r="H1143" s="15">
        <v>217328</v>
      </c>
      <c r="I1143">
        <f>VLOOKUP(C1143,LEAIDs!$A$2:$B$305,2,FALSE)</f>
        <v>0</v>
      </c>
    </row>
    <row r="1144" spans="1:9" x14ac:dyDescent="0.2">
      <c r="A1144">
        <v>0</v>
      </c>
      <c r="B1144">
        <v>2015</v>
      </c>
      <c r="C1144" t="s">
        <v>305</v>
      </c>
      <c r="D1144" t="s">
        <v>232</v>
      </c>
      <c r="E1144" t="s">
        <v>234</v>
      </c>
      <c r="F1144" s="17">
        <v>251894</v>
      </c>
      <c r="G1144" s="17">
        <v>7743</v>
      </c>
      <c r="H1144" s="17">
        <v>259637</v>
      </c>
      <c r="I1144">
        <f>VLOOKUP(C1144,LEAIDs!$A$2:$B$305,2,FALSE)</f>
        <v>0</v>
      </c>
    </row>
    <row r="1145" spans="1:9" x14ac:dyDescent="0.2">
      <c r="A1145">
        <v>0</v>
      </c>
      <c r="B1145">
        <v>2016</v>
      </c>
      <c r="C1145" t="s">
        <v>298</v>
      </c>
      <c r="D1145" t="s">
        <v>232</v>
      </c>
      <c r="E1145" t="s">
        <v>234</v>
      </c>
      <c r="F1145" s="17">
        <v>70655</v>
      </c>
      <c r="G1145" s="17">
        <v>2331</v>
      </c>
      <c r="H1145" s="17">
        <v>72986</v>
      </c>
      <c r="I1145">
        <f>VLOOKUP(C1145,LEAIDs!$A$2:$B$305,2,FALSE)</f>
        <v>0</v>
      </c>
    </row>
    <row r="1146" spans="1:9" x14ac:dyDescent="0.2">
      <c r="A1146">
        <v>0</v>
      </c>
      <c r="B1146">
        <v>2015</v>
      </c>
      <c r="C1146" t="s">
        <v>266</v>
      </c>
      <c r="D1146" t="s">
        <v>232</v>
      </c>
      <c r="E1146" t="s">
        <v>234</v>
      </c>
      <c r="F1146" s="17">
        <v>10762</v>
      </c>
      <c r="G1146" s="17">
        <v>331</v>
      </c>
      <c r="H1146" s="17">
        <v>11093</v>
      </c>
      <c r="I1146">
        <f>VLOOKUP(C1146,LEAIDs!$A$2:$B$305,2,FALSE)</f>
        <v>0</v>
      </c>
    </row>
    <row r="1147" spans="1:9" x14ac:dyDescent="0.2">
      <c r="A1147">
        <v>0</v>
      </c>
      <c r="B1147">
        <v>2016</v>
      </c>
      <c r="C1147" t="s">
        <v>266</v>
      </c>
      <c r="D1147" t="s">
        <v>232</v>
      </c>
      <c r="E1147" t="s">
        <v>234</v>
      </c>
      <c r="F1147" s="17">
        <v>10560</v>
      </c>
      <c r="G1147" s="17">
        <v>348</v>
      </c>
      <c r="H1147" s="17">
        <v>10908</v>
      </c>
      <c r="I1147">
        <f>VLOOKUP(C1147,LEAIDs!$A$2:$B$305,2,FALSE)</f>
        <v>0</v>
      </c>
    </row>
    <row r="1148" spans="1:9" x14ac:dyDescent="0.2">
      <c r="A1148">
        <v>0</v>
      </c>
      <c r="B1148">
        <v>2017</v>
      </c>
      <c r="C1148" t="s">
        <v>266</v>
      </c>
      <c r="D1148" t="s">
        <v>232</v>
      </c>
      <c r="E1148" t="s">
        <v>234</v>
      </c>
      <c r="F1148" s="17">
        <v>10235</v>
      </c>
      <c r="G1148" s="17">
        <v>354</v>
      </c>
      <c r="H1148" s="17">
        <v>10589</v>
      </c>
      <c r="I1148">
        <f>VLOOKUP(C1148,LEAIDs!$A$2:$B$305,2,FALSE)</f>
        <v>0</v>
      </c>
    </row>
    <row r="1149" spans="1:9" x14ac:dyDescent="0.2">
      <c r="A1149">
        <v>0</v>
      </c>
      <c r="B1149">
        <v>2018</v>
      </c>
      <c r="C1149" t="s">
        <v>266</v>
      </c>
      <c r="D1149" t="s">
        <v>232</v>
      </c>
      <c r="E1149" t="s">
        <v>234</v>
      </c>
      <c r="F1149" s="17">
        <v>10456</v>
      </c>
      <c r="G1149" s="17">
        <v>344</v>
      </c>
      <c r="H1149" s="17">
        <v>10800</v>
      </c>
      <c r="I1149">
        <f>VLOOKUP(C1149,LEAIDs!$A$2:$B$305,2,FALSE)</f>
        <v>0</v>
      </c>
    </row>
    <row r="1150" spans="1:9" x14ac:dyDescent="0.2">
      <c r="A1150">
        <v>0</v>
      </c>
      <c r="B1150">
        <v>2019</v>
      </c>
      <c r="C1150" t="s">
        <v>266</v>
      </c>
      <c r="D1150" t="s">
        <v>232</v>
      </c>
      <c r="E1150" t="s">
        <v>234</v>
      </c>
      <c r="F1150" s="17">
        <v>11040</v>
      </c>
      <c r="G1150" s="17">
        <v>371</v>
      </c>
      <c r="H1150" s="17">
        <v>11411</v>
      </c>
      <c r="I1150">
        <f>VLOOKUP(C1150,LEAIDs!$A$2:$B$305,2,FALSE)</f>
        <v>0</v>
      </c>
    </row>
    <row r="1151" spans="1:9" x14ac:dyDescent="0.2">
      <c r="A1151">
        <v>0</v>
      </c>
      <c r="B1151">
        <v>2020</v>
      </c>
      <c r="C1151" t="s">
        <v>266</v>
      </c>
      <c r="D1151" t="s">
        <v>232</v>
      </c>
      <c r="E1151" t="s">
        <v>234</v>
      </c>
      <c r="F1151" s="17">
        <v>11066</v>
      </c>
      <c r="G1151" s="17">
        <v>391</v>
      </c>
      <c r="H1151" s="17">
        <v>11457</v>
      </c>
      <c r="I1151">
        <f>VLOOKUP(C1151,LEAIDs!$A$2:$B$305,2,FALSE)</f>
        <v>0</v>
      </c>
    </row>
    <row r="1152" spans="1:9" x14ac:dyDescent="0.2">
      <c r="A1152">
        <v>0</v>
      </c>
      <c r="B1152">
        <v>2015</v>
      </c>
      <c r="C1152" t="s">
        <v>307</v>
      </c>
      <c r="D1152" t="s">
        <v>232</v>
      </c>
      <c r="E1152" t="s">
        <v>234</v>
      </c>
      <c r="F1152" s="17">
        <v>72756</v>
      </c>
      <c r="G1152" s="17">
        <v>2237</v>
      </c>
      <c r="H1152" s="17">
        <v>74993</v>
      </c>
      <c r="I1152">
        <f>VLOOKUP(C1152,LEAIDs!$A$2:$B$305,2,FALSE)</f>
        <v>0</v>
      </c>
    </row>
    <row r="1153" spans="1:9" x14ac:dyDescent="0.2">
      <c r="A1153">
        <v>0</v>
      </c>
      <c r="B1153">
        <v>2015</v>
      </c>
      <c r="C1153" t="s">
        <v>86</v>
      </c>
      <c r="D1153" t="s">
        <v>232</v>
      </c>
      <c r="E1153" t="s">
        <v>234</v>
      </c>
      <c r="F1153" s="17">
        <v>15827</v>
      </c>
      <c r="G1153" s="17">
        <v>487</v>
      </c>
      <c r="H1153" s="17">
        <v>16314</v>
      </c>
      <c r="I1153">
        <f>VLOOKUP(C1153,LEAIDs!$A$2:$B$305,2,FALSE)</f>
        <v>0</v>
      </c>
    </row>
    <row r="1154" spans="1:9" x14ac:dyDescent="0.2">
      <c r="A1154">
        <v>0</v>
      </c>
      <c r="B1154">
        <v>2016</v>
      </c>
      <c r="C1154" t="s">
        <v>86</v>
      </c>
      <c r="D1154" t="s">
        <v>232</v>
      </c>
      <c r="E1154" t="s">
        <v>234</v>
      </c>
      <c r="F1154" s="17">
        <v>35941</v>
      </c>
      <c r="G1154" s="17">
        <v>1186</v>
      </c>
      <c r="H1154" s="17">
        <v>37127</v>
      </c>
      <c r="I1154">
        <f>VLOOKUP(C1154,LEAIDs!$A$2:$B$305,2,FALSE)</f>
        <v>0</v>
      </c>
    </row>
    <row r="1155" spans="1:9" x14ac:dyDescent="0.2">
      <c r="A1155">
        <v>0</v>
      </c>
      <c r="B1155">
        <v>2017</v>
      </c>
      <c r="C1155" t="s">
        <v>86</v>
      </c>
      <c r="D1155" t="s">
        <v>232</v>
      </c>
      <c r="E1155" t="s">
        <v>234</v>
      </c>
      <c r="F1155" s="17">
        <v>34589</v>
      </c>
      <c r="G1155" s="17">
        <v>1195</v>
      </c>
      <c r="H1155" s="17">
        <v>35784</v>
      </c>
      <c r="I1155">
        <f>VLOOKUP(C1155,LEAIDs!$A$2:$B$305,2,FALSE)</f>
        <v>0</v>
      </c>
    </row>
    <row r="1156" spans="1:9" x14ac:dyDescent="0.2">
      <c r="A1156">
        <v>0</v>
      </c>
      <c r="B1156">
        <v>2018</v>
      </c>
      <c r="C1156" t="s">
        <v>86</v>
      </c>
      <c r="D1156" t="s">
        <v>232</v>
      </c>
      <c r="E1156" t="s">
        <v>234</v>
      </c>
      <c r="F1156" s="17">
        <v>18833</v>
      </c>
      <c r="G1156" s="17">
        <v>620</v>
      </c>
      <c r="H1156" s="17">
        <v>19453</v>
      </c>
      <c r="I1156">
        <f>VLOOKUP(C1156,LEAIDs!$A$2:$B$305,2,FALSE)</f>
        <v>0</v>
      </c>
    </row>
    <row r="1157" spans="1:9" x14ac:dyDescent="0.2">
      <c r="A1157">
        <v>0</v>
      </c>
      <c r="B1157">
        <v>2019</v>
      </c>
      <c r="C1157" t="s">
        <v>86</v>
      </c>
      <c r="D1157" t="s">
        <v>232</v>
      </c>
      <c r="E1157" t="s">
        <v>234</v>
      </c>
      <c r="F1157" s="17">
        <v>19730</v>
      </c>
      <c r="G1157" s="17">
        <v>662</v>
      </c>
      <c r="H1157" s="17">
        <v>20392</v>
      </c>
      <c r="I1157">
        <f>VLOOKUP(C1157,LEAIDs!$A$2:$B$305,2,FALSE)</f>
        <v>0</v>
      </c>
    </row>
    <row r="1158" spans="1:9" x14ac:dyDescent="0.2">
      <c r="A1158">
        <v>0</v>
      </c>
      <c r="B1158">
        <v>2020</v>
      </c>
      <c r="C1158" t="s">
        <v>86</v>
      </c>
      <c r="D1158" t="s">
        <v>232</v>
      </c>
      <c r="E1158" t="s">
        <v>234</v>
      </c>
      <c r="F1158" s="17">
        <v>19589</v>
      </c>
      <c r="G1158" s="17">
        <v>691</v>
      </c>
      <c r="H1158" s="17">
        <v>20280</v>
      </c>
      <c r="I1158">
        <f>VLOOKUP(C1158,LEAIDs!$A$2:$B$305,2,FALSE)</f>
        <v>0</v>
      </c>
    </row>
    <row r="1159" spans="1:9" x14ac:dyDescent="0.2">
      <c r="A1159">
        <v>0</v>
      </c>
      <c r="B1159" s="2">
        <v>2022</v>
      </c>
      <c r="C1159" s="4" t="s">
        <v>86</v>
      </c>
      <c r="D1159" s="2" t="s">
        <v>232</v>
      </c>
      <c r="E1159" s="2" t="s">
        <v>234</v>
      </c>
      <c r="F1159" s="16">
        <v>33349</v>
      </c>
      <c r="G1159" s="16">
        <v>1191</v>
      </c>
      <c r="H1159" s="15">
        <v>34540</v>
      </c>
      <c r="I1159">
        <f>VLOOKUP(C1159,LEAIDs!$A$2:$B$305,2,FALSE)</f>
        <v>0</v>
      </c>
    </row>
    <row r="1160" spans="1:9" x14ac:dyDescent="0.2">
      <c r="A1160">
        <v>0</v>
      </c>
      <c r="B1160" s="2">
        <v>2023</v>
      </c>
      <c r="C1160" s="2" t="s">
        <v>86</v>
      </c>
      <c r="D1160" s="2" t="s">
        <v>232</v>
      </c>
      <c r="E1160" s="2" t="s">
        <v>234</v>
      </c>
      <c r="F1160" s="15">
        <v>48259</v>
      </c>
      <c r="G1160" s="15">
        <v>1721</v>
      </c>
      <c r="H1160" s="15">
        <v>49980</v>
      </c>
      <c r="I1160">
        <f>VLOOKUP(C1160,LEAIDs!$A$2:$B$305,2,FALSE)</f>
        <v>0</v>
      </c>
    </row>
    <row r="1161" spans="1:9" x14ac:dyDescent="0.2">
      <c r="A1161">
        <v>0</v>
      </c>
      <c r="B1161">
        <v>2016</v>
      </c>
      <c r="C1161" t="s">
        <v>223</v>
      </c>
      <c r="D1161" t="s">
        <v>232</v>
      </c>
      <c r="E1161" t="s">
        <v>234</v>
      </c>
      <c r="F1161" s="17">
        <v>16431</v>
      </c>
      <c r="G1161" s="17">
        <v>542</v>
      </c>
      <c r="H1161" s="17">
        <v>16973</v>
      </c>
      <c r="I1161">
        <f>VLOOKUP(C1161,LEAIDs!$A$2:$B$305,2,FALSE)</f>
        <v>0</v>
      </c>
    </row>
    <row r="1162" spans="1:9" x14ac:dyDescent="0.2">
      <c r="A1162">
        <v>0</v>
      </c>
      <c r="B1162">
        <v>2017</v>
      </c>
      <c r="C1162" t="s">
        <v>223</v>
      </c>
      <c r="D1162" t="s">
        <v>232</v>
      </c>
      <c r="E1162" t="s">
        <v>234</v>
      </c>
      <c r="F1162" s="17">
        <v>15600</v>
      </c>
      <c r="G1162" s="17">
        <v>539</v>
      </c>
      <c r="H1162" s="17">
        <v>16139</v>
      </c>
      <c r="I1162">
        <f>VLOOKUP(C1162,LEAIDs!$A$2:$B$305,2,FALSE)</f>
        <v>0</v>
      </c>
    </row>
    <row r="1163" spans="1:9" x14ac:dyDescent="0.2">
      <c r="A1163">
        <v>0</v>
      </c>
      <c r="B1163">
        <v>2018</v>
      </c>
      <c r="C1163" t="s">
        <v>223</v>
      </c>
      <c r="D1163" t="s">
        <v>232</v>
      </c>
      <c r="E1163" t="s">
        <v>234</v>
      </c>
      <c r="F1163" s="17">
        <v>16297</v>
      </c>
      <c r="G1163" s="17">
        <v>536</v>
      </c>
      <c r="H1163" s="17">
        <v>16833</v>
      </c>
      <c r="I1163">
        <f>VLOOKUP(C1163,LEAIDs!$A$2:$B$305,2,FALSE)</f>
        <v>0</v>
      </c>
    </row>
    <row r="1164" spans="1:9" x14ac:dyDescent="0.2">
      <c r="A1164">
        <v>0</v>
      </c>
      <c r="B1164" s="2">
        <v>2023</v>
      </c>
      <c r="C1164" s="2" t="s">
        <v>223</v>
      </c>
      <c r="D1164" s="2" t="s">
        <v>232</v>
      </c>
      <c r="E1164" s="2" t="s">
        <v>234</v>
      </c>
      <c r="F1164" s="15">
        <v>21637</v>
      </c>
      <c r="G1164" s="15">
        <v>771</v>
      </c>
      <c r="H1164" s="15">
        <v>22408</v>
      </c>
      <c r="I1164">
        <f>VLOOKUP(C1164,LEAIDs!$A$2:$B$305,2,FALSE)</f>
        <v>0</v>
      </c>
    </row>
    <row r="1165" spans="1:9" x14ac:dyDescent="0.2">
      <c r="A1165">
        <v>0</v>
      </c>
      <c r="B1165">
        <v>2015</v>
      </c>
      <c r="C1165" t="s">
        <v>161</v>
      </c>
      <c r="D1165" t="s">
        <v>232</v>
      </c>
      <c r="E1165" t="s">
        <v>234</v>
      </c>
      <c r="F1165" s="17">
        <v>156225</v>
      </c>
      <c r="G1165" s="17">
        <v>4802</v>
      </c>
      <c r="H1165" s="17">
        <v>161027</v>
      </c>
      <c r="I1165">
        <f>VLOOKUP(C1165,LEAIDs!$A$2:$B$305,2,FALSE)</f>
        <v>0</v>
      </c>
    </row>
    <row r="1166" spans="1:9" x14ac:dyDescent="0.2">
      <c r="A1166">
        <v>0</v>
      </c>
      <c r="B1166">
        <v>2016</v>
      </c>
      <c r="C1166" t="s">
        <v>161</v>
      </c>
      <c r="D1166" t="s">
        <v>232</v>
      </c>
      <c r="E1166" t="s">
        <v>234</v>
      </c>
      <c r="F1166" s="17">
        <v>137397</v>
      </c>
      <c r="G1166" s="17">
        <v>4532</v>
      </c>
      <c r="H1166" s="17">
        <v>141929</v>
      </c>
      <c r="I1166">
        <f>VLOOKUP(C1166,LEAIDs!$A$2:$B$305,2,FALSE)</f>
        <v>0</v>
      </c>
    </row>
    <row r="1167" spans="1:9" x14ac:dyDescent="0.2">
      <c r="A1167">
        <v>0</v>
      </c>
      <c r="B1167">
        <v>2017</v>
      </c>
      <c r="C1167" t="s">
        <v>161</v>
      </c>
      <c r="D1167" t="s">
        <v>232</v>
      </c>
      <c r="E1167" t="s">
        <v>234</v>
      </c>
      <c r="F1167" s="17">
        <v>145851</v>
      </c>
      <c r="G1167" s="17">
        <v>5038</v>
      </c>
      <c r="H1167" s="17">
        <v>150889</v>
      </c>
      <c r="I1167">
        <f>VLOOKUP(C1167,LEAIDs!$A$2:$B$305,2,FALSE)</f>
        <v>0</v>
      </c>
    </row>
    <row r="1168" spans="1:9" x14ac:dyDescent="0.2">
      <c r="A1168">
        <v>0</v>
      </c>
      <c r="B1168">
        <v>2018</v>
      </c>
      <c r="C1168" t="s">
        <v>161</v>
      </c>
      <c r="D1168" t="s">
        <v>232</v>
      </c>
      <c r="E1168" t="s">
        <v>234</v>
      </c>
      <c r="F1168" s="17">
        <v>203301</v>
      </c>
      <c r="G1168" s="17">
        <v>6690</v>
      </c>
      <c r="H1168" s="17">
        <v>209991</v>
      </c>
      <c r="I1168">
        <f>VLOOKUP(C1168,LEAIDs!$A$2:$B$305,2,FALSE)</f>
        <v>0</v>
      </c>
    </row>
    <row r="1169" spans="1:9" x14ac:dyDescent="0.2">
      <c r="A1169">
        <v>0</v>
      </c>
      <c r="B1169">
        <v>2019</v>
      </c>
      <c r="C1169" t="s">
        <v>161</v>
      </c>
      <c r="D1169" t="s">
        <v>232</v>
      </c>
      <c r="E1169" t="s">
        <v>234</v>
      </c>
      <c r="F1169" s="17">
        <v>219613</v>
      </c>
      <c r="G1169" s="17">
        <v>7371</v>
      </c>
      <c r="H1169" s="17">
        <v>226984</v>
      </c>
      <c r="I1169">
        <f>VLOOKUP(C1169,LEAIDs!$A$2:$B$305,2,FALSE)</f>
        <v>0</v>
      </c>
    </row>
    <row r="1170" spans="1:9" x14ac:dyDescent="0.2">
      <c r="A1170">
        <v>0</v>
      </c>
      <c r="B1170">
        <v>2020</v>
      </c>
      <c r="C1170" t="s">
        <v>161</v>
      </c>
      <c r="D1170" t="s">
        <v>232</v>
      </c>
      <c r="E1170" t="s">
        <v>234</v>
      </c>
      <c r="F1170" s="17">
        <v>294795</v>
      </c>
      <c r="G1170" s="17">
        <v>10403</v>
      </c>
      <c r="H1170" s="17">
        <v>305198</v>
      </c>
      <c r="I1170">
        <f>VLOOKUP(C1170,LEAIDs!$A$2:$B$305,2,FALSE)</f>
        <v>0</v>
      </c>
    </row>
    <row r="1171" spans="1:9" x14ac:dyDescent="0.2">
      <c r="A1171">
        <v>0</v>
      </c>
      <c r="B1171" s="2">
        <v>2021</v>
      </c>
      <c r="C1171" s="4" t="s">
        <v>161</v>
      </c>
      <c r="D1171" s="2" t="s">
        <v>232</v>
      </c>
      <c r="E1171" s="2" t="s">
        <v>234</v>
      </c>
      <c r="F1171" s="16">
        <v>313337</v>
      </c>
      <c r="G1171" s="16">
        <v>10906</v>
      </c>
      <c r="H1171" s="15">
        <v>324243</v>
      </c>
      <c r="I1171">
        <f>VLOOKUP(C1171,LEAIDs!$A$2:$B$305,2,FALSE)</f>
        <v>0</v>
      </c>
    </row>
    <row r="1172" spans="1:9" x14ac:dyDescent="0.2">
      <c r="A1172">
        <v>0</v>
      </c>
      <c r="B1172" s="2">
        <v>2022</v>
      </c>
      <c r="C1172" s="4" t="s">
        <v>161</v>
      </c>
      <c r="D1172" s="2" t="s">
        <v>232</v>
      </c>
      <c r="E1172" s="2" t="s">
        <v>234</v>
      </c>
      <c r="F1172" s="16">
        <v>320130</v>
      </c>
      <c r="G1172" s="16">
        <v>11437</v>
      </c>
      <c r="H1172" s="15">
        <v>331567</v>
      </c>
      <c r="I1172">
        <f>VLOOKUP(C1172,LEAIDs!$A$2:$B$305,2,FALSE)</f>
        <v>0</v>
      </c>
    </row>
    <row r="1173" spans="1:9" x14ac:dyDescent="0.2">
      <c r="A1173">
        <v>0</v>
      </c>
      <c r="B1173" s="2">
        <v>2023</v>
      </c>
      <c r="C1173" s="2" t="s">
        <v>161</v>
      </c>
      <c r="D1173" s="2" t="s">
        <v>232</v>
      </c>
      <c r="E1173" s="2" t="s">
        <v>234</v>
      </c>
      <c r="F1173" s="15">
        <v>353810</v>
      </c>
      <c r="G1173" s="15">
        <v>12614</v>
      </c>
      <c r="H1173" s="15">
        <v>366424</v>
      </c>
      <c r="I1173">
        <f>VLOOKUP(C1173,LEAIDs!$A$2:$B$305,2,FALSE)</f>
        <v>0</v>
      </c>
    </row>
    <row r="1174" spans="1:9" x14ac:dyDescent="0.2">
      <c r="A1174">
        <v>0</v>
      </c>
      <c r="B1174" s="2">
        <v>2023</v>
      </c>
      <c r="C1174" s="2" t="s">
        <v>77</v>
      </c>
      <c r="D1174" s="2" t="s">
        <v>232</v>
      </c>
      <c r="E1174" s="2" t="s">
        <v>234</v>
      </c>
      <c r="F1174" s="15">
        <v>17051</v>
      </c>
      <c r="G1174" s="15">
        <v>608</v>
      </c>
      <c r="H1174" s="15">
        <v>17659</v>
      </c>
      <c r="I1174">
        <f>VLOOKUP(C1174,LEAIDs!$A$2:$B$305,2,FALSE)</f>
        <v>0</v>
      </c>
    </row>
    <row r="1175" spans="1:9" x14ac:dyDescent="0.2">
      <c r="A1175">
        <v>0</v>
      </c>
      <c r="B1175">
        <v>2016</v>
      </c>
      <c r="C1175" t="s">
        <v>277</v>
      </c>
      <c r="D1175" t="s">
        <v>232</v>
      </c>
      <c r="E1175" t="s">
        <v>234</v>
      </c>
      <c r="F1175" s="17">
        <v>16234</v>
      </c>
      <c r="G1175" s="17">
        <v>535</v>
      </c>
      <c r="H1175" s="17">
        <v>16769</v>
      </c>
      <c r="I1175">
        <f>VLOOKUP(C1175,LEAIDs!$A$2:$B$305,2,FALSE)</f>
        <v>0</v>
      </c>
    </row>
    <row r="1176" spans="1:9" x14ac:dyDescent="0.2">
      <c r="A1176">
        <v>0</v>
      </c>
      <c r="B1176">
        <v>2017</v>
      </c>
      <c r="C1176" t="s">
        <v>277</v>
      </c>
      <c r="D1176" t="s">
        <v>232</v>
      </c>
      <c r="E1176" t="s">
        <v>234</v>
      </c>
      <c r="F1176" s="17">
        <v>16228</v>
      </c>
      <c r="G1176" s="17">
        <v>561</v>
      </c>
      <c r="H1176" s="17">
        <v>16789</v>
      </c>
      <c r="I1176">
        <f>VLOOKUP(C1176,LEAIDs!$A$2:$B$305,2,FALSE)</f>
        <v>0</v>
      </c>
    </row>
    <row r="1177" spans="1:9" x14ac:dyDescent="0.2">
      <c r="A1177">
        <v>0</v>
      </c>
      <c r="B1177">
        <v>2018</v>
      </c>
      <c r="C1177" t="s">
        <v>277</v>
      </c>
      <c r="D1177" t="s">
        <v>232</v>
      </c>
      <c r="E1177" t="s">
        <v>234</v>
      </c>
      <c r="F1177" s="17">
        <v>17270</v>
      </c>
      <c r="G1177" s="17">
        <v>568</v>
      </c>
      <c r="H1177" s="17">
        <v>17838</v>
      </c>
      <c r="I1177">
        <f>VLOOKUP(C1177,LEAIDs!$A$2:$B$305,2,FALSE)</f>
        <v>0</v>
      </c>
    </row>
    <row r="1178" spans="1:9" x14ac:dyDescent="0.2">
      <c r="A1178">
        <v>0</v>
      </c>
      <c r="B1178">
        <v>2019</v>
      </c>
      <c r="C1178" t="s">
        <v>277</v>
      </c>
      <c r="D1178" t="s">
        <v>232</v>
      </c>
      <c r="E1178" t="s">
        <v>234</v>
      </c>
      <c r="F1178" s="17">
        <v>17004</v>
      </c>
      <c r="G1178" s="17">
        <v>571</v>
      </c>
      <c r="H1178" s="17">
        <v>17575</v>
      </c>
      <c r="I1178">
        <f>VLOOKUP(C1178,LEAIDs!$A$2:$B$305,2,FALSE)</f>
        <v>0</v>
      </c>
    </row>
    <row r="1179" spans="1:9" x14ac:dyDescent="0.2">
      <c r="A1179">
        <v>0</v>
      </c>
      <c r="B1179">
        <v>2015</v>
      </c>
      <c r="C1179" t="s">
        <v>130</v>
      </c>
      <c r="D1179" t="s">
        <v>232</v>
      </c>
      <c r="E1179" t="s">
        <v>234</v>
      </c>
      <c r="F1179" s="17">
        <v>160036</v>
      </c>
      <c r="G1179" s="17">
        <v>4920</v>
      </c>
      <c r="H1179" s="17">
        <v>164956</v>
      </c>
      <c r="I1179">
        <f>VLOOKUP(C1179,LEAIDs!$A$2:$B$305,2,FALSE)</f>
        <v>0</v>
      </c>
    </row>
    <row r="1180" spans="1:9" x14ac:dyDescent="0.2">
      <c r="A1180">
        <v>0</v>
      </c>
      <c r="B1180">
        <v>2016</v>
      </c>
      <c r="C1180" t="s">
        <v>130</v>
      </c>
      <c r="D1180" t="s">
        <v>232</v>
      </c>
      <c r="E1180" t="s">
        <v>234</v>
      </c>
      <c r="F1180" s="17">
        <v>182613</v>
      </c>
      <c r="G1180" s="17">
        <v>6023</v>
      </c>
      <c r="H1180" s="17">
        <v>188636</v>
      </c>
      <c r="I1180">
        <f>VLOOKUP(C1180,LEAIDs!$A$2:$B$305,2,FALSE)</f>
        <v>0</v>
      </c>
    </row>
    <row r="1181" spans="1:9" x14ac:dyDescent="0.2">
      <c r="A1181">
        <v>0</v>
      </c>
      <c r="B1181">
        <v>2017</v>
      </c>
      <c r="C1181" t="s">
        <v>130</v>
      </c>
      <c r="D1181" t="s">
        <v>232</v>
      </c>
      <c r="E1181" t="s">
        <v>234</v>
      </c>
      <c r="F1181" s="17">
        <v>166871</v>
      </c>
      <c r="G1181" s="17">
        <v>5764</v>
      </c>
      <c r="H1181" s="17">
        <v>172635</v>
      </c>
      <c r="I1181">
        <f>VLOOKUP(C1181,LEAIDs!$A$2:$B$305,2,FALSE)</f>
        <v>0</v>
      </c>
    </row>
    <row r="1182" spans="1:9" x14ac:dyDescent="0.2">
      <c r="A1182">
        <v>0</v>
      </c>
      <c r="B1182">
        <v>2018</v>
      </c>
      <c r="C1182" t="s">
        <v>130</v>
      </c>
      <c r="D1182" t="s">
        <v>232</v>
      </c>
      <c r="E1182" t="s">
        <v>234</v>
      </c>
      <c r="F1182" s="17">
        <v>190778</v>
      </c>
      <c r="G1182" s="17">
        <v>6278</v>
      </c>
      <c r="H1182" s="17">
        <v>197056</v>
      </c>
      <c r="I1182">
        <f>VLOOKUP(C1182,LEAIDs!$A$2:$B$305,2,FALSE)</f>
        <v>0</v>
      </c>
    </row>
    <row r="1183" spans="1:9" x14ac:dyDescent="0.2">
      <c r="A1183">
        <v>0</v>
      </c>
      <c r="B1183">
        <v>2019</v>
      </c>
      <c r="C1183" t="s">
        <v>130</v>
      </c>
      <c r="D1183" t="s">
        <v>232</v>
      </c>
      <c r="E1183" t="s">
        <v>234</v>
      </c>
      <c r="F1183" s="17">
        <v>159851</v>
      </c>
      <c r="G1183" s="17">
        <v>5365</v>
      </c>
      <c r="H1183" s="17">
        <v>165216</v>
      </c>
      <c r="I1183">
        <f>VLOOKUP(C1183,LEAIDs!$A$2:$B$305,2,FALSE)</f>
        <v>0</v>
      </c>
    </row>
    <row r="1184" spans="1:9" x14ac:dyDescent="0.2">
      <c r="A1184">
        <v>0</v>
      </c>
      <c r="B1184">
        <v>2020</v>
      </c>
      <c r="C1184" t="s">
        <v>130</v>
      </c>
      <c r="D1184" t="s">
        <v>232</v>
      </c>
      <c r="E1184" t="s">
        <v>234</v>
      </c>
      <c r="F1184" s="17">
        <v>188044</v>
      </c>
      <c r="G1184" s="17">
        <v>6636</v>
      </c>
      <c r="H1184" s="17">
        <v>194680</v>
      </c>
      <c r="I1184">
        <f>VLOOKUP(C1184,LEAIDs!$A$2:$B$305,2,FALSE)</f>
        <v>0</v>
      </c>
    </row>
    <row r="1185" spans="1:9" x14ac:dyDescent="0.2">
      <c r="A1185">
        <v>0</v>
      </c>
      <c r="B1185" s="2">
        <v>2021</v>
      </c>
      <c r="C1185" s="4" t="s">
        <v>130</v>
      </c>
      <c r="D1185" s="2" t="s">
        <v>232</v>
      </c>
      <c r="E1185" s="2" t="s">
        <v>234</v>
      </c>
      <c r="F1185" s="16">
        <v>167907</v>
      </c>
      <c r="G1185" s="16">
        <v>5844</v>
      </c>
      <c r="H1185" s="15">
        <v>173751</v>
      </c>
      <c r="I1185">
        <f>VLOOKUP(C1185,LEAIDs!$A$2:$B$305,2,FALSE)</f>
        <v>0</v>
      </c>
    </row>
    <row r="1186" spans="1:9" x14ac:dyDescent="0.2">
      <c r="A1186">
        <v>0</v>
      </c>
      <c r="B1186" s="2">
        <v>2022</v>
      </c>
      <c r="C1186" s="4" t="s">
        <v>130</v>
      </c>
      <c r="D1186" s="2" t="s">
        <v>232</v>
      </c>
      <c r="E1186" s="2" t="s">
        <v>234</v>
      </c>
      <c r="F1186" s="16">
        <v>205347</v>
      </c>
      <c r="G1186" s="16">
        <v>7337</v>
      </c>
      <c r="H1186" s="15">
        <v>212684</v>
      </c>
      <c r="I1186">
        <f>VLOOKUP(C1186,LEAIDs!$A$2:$B$305,2,FALSE)</f>
        <v>0</v>
      </c>
    </row>
    <row r="1187" spans="1:9" x14ac:dyDescent="0.2">
      <c r="A1187">
        <v>0</v>
      </c>
      <c r="B1187" s="2">
        <v>2023</v>
      </c>
      <c r="C1187" s="2" t="s">
        <v>130</v>
      </c>
      <c r="D1187" s="2" t="s">
        <v>232</v>
      </c>
      <c r="E1187" s="2" t="s">
        <v>234</v>
      </c>
      <c r="F1187" s="15">
        <v>212979</v>
      </c>
      <c r="G1187" s="15">
        <v>7593</v>
      </c>
      <c r="H1187" s="15">
        <v>220572</v>
      </c>
      <c r="I1187">
        <f>VLOOKUP(C1187,LEAIDs!$A$2:$B$305,2,FALSE)</f>
        <v>0</v>
      </c>
    </row>
    <row r="1188" spans="1:9" x14ac:dyDescent="0.2">
      <c r="A1188">
        <v>0</v>
      </c>
      <c r="B1188">
        <v>2019</v>
      </c>
      <c r="C1188" t="s">
        <v>168</v>
      </c>
      <c r="D1188" t="s">
        <v>232</v>
      </c>
      <c r="E1188" t="s">
        <v>234</v>
      </c>
      <c r="F1188" s="17">
        <v>26230</v>
      </c>
      <c r="G1188" s="17">
        <v>880</v>
      </c>
      <c r="H1188" s="17">
        <v>27110</v>
      </c>
      <c r="I1188">
        <f>VLOOKUP(C1188,LEAIDs!$A$2:$B$305,2,FALSE)</f>
        <v>0</v>
      </c>
    </row>
    <row r="1189" spans="1:9" x14ac:dyDescent="0.2">
      <c r="A1189">
        <v>0</v>
      </c>
      <c r="B1189">
        <v>2020</v>
      </c>
      <c r="C1189" t="s">
        <v>168</v>
      </c>
      <c r="D1189" t="s">
        <v>232</v>
      </c>
      <c r="E1189" t="s">
        <v>234</v>
      </c>
      <c r="F1189" s="17">
        <v>26547</v>
      </c>
      <c r="G1189" s="17">
        <v>937</v>
      </c>
      <c r="H1189" s="17">
        <v>27484</v>
      </c>
      <c r="I1189">
        <f>VLOOKUP(C1189,LEAIDs!$A$2:$B$305,2,FALSE)</f>
        <v>0</v>
      </c>
    </row>
    <row r="1190" spans="1:9" x14ac:dyDescent="0.2">
      <c r="A1190">
        <v>0</v>
      </c>
      <c r="B1190" s="2">
        <v>2021</v>
      </c>
      <c r="C1190" s="4" t="s">
        <v>168</v>
      </c>
      <c r="D1190" s="2" t="s">
        <v>232</v>
      </c>
      <c r="E1190" s="2" t="s">
        <v>234</v>
      </c>
      <c r="F1190" s="16">
        <v>30026</v>
      </c>
      <c r="G1190" s="16">
        <v>1045</v>
      </c>
      <c r="H1190" s="15">
        <v>31071</v>
      </c>
      <c r="I1190">
        <f>VLOOKUP(C1190,LEAIDs!$A$2:$B$305,2,FALSE)</f>
        <v>0</v>
      </c>
    </row>
    <row r="1191" spans="1:9" x14ac:dyDescent="0.2">
      <c r="A1191">
        <v>0</v>
      </c>
      <c r="B1191" s="2">
        <v>2022</v>
      </c>
      <c r="C1191" s="4" t="s">
        <v>168</v>
      </c>
      <c r="D1191" s="2" t="s">
        <v>232</v>
      </c>
      <c r="E1191" s="2" t="s">
        <v>234</v>
      </c>
      <c r="F1191" s="16">
        <v>45592</v>
      </c>
      <c r="G1191" s="16">
        <v>1629</v>
      </c>
      <c r="H1191" s="15">
        <v>47221</v>
      </c>
      <c r="I1191">
        <f>VLOOKUP(C1191,LEAIDs!$A$2:$B$305,2,FALSE)</f>
        <v>0</v>
      </c>
    </row>
    <row r="1192" spans="1:9" x14ac:dyDescent="0.2">
      <c r="A1192">
        <v>0</v>
      </c>
      <c r="B1192" s="2">
        <v>2023</v>
      </c>
      <c r="C1192" s="2" t="s">
        <v>168</v>
      </c>
      <c r="D1192" s="2" t="s">
        <v>232</v>
      </c>
      <c r="E1192" s="2" t="s">
        <v>234</v>
      </c>
      <c r="F1192" s="15">
        <v>27542</v>
      </c>
      <c r="G1192" s="15">
        <v>982</v>
      </c>
      <c r="H1192" s="15">
        <v>28524</v>
      </c>
      <c r="I1192">
        <f>VLOOKUP(C1192,LEAIDs!$A$2:$B$305,2,FALSE)</f>
        <v>0</v>
      </c>
    </row>
    <row r="1193" spans="1:9" x14ac:dyDescent="0.2">
      <c r="A1193">
        <v>0</v>
      </c>
      <c r="B1193">
        <v>2015</v>
      </c>
      <c r="C1193" t="s">
        <v>89</v>
      </c>
      <c r="D1193" t="s">
        <v>232</v>
      </c>
      <c r="E1193" t="s">
        <v>234</v>
      </c>
      <c r="F1193" s="17">
        <v>41370</v>
      </c>
      <c r="G1193" s="17">
        <v>1272</v>
      </c>
      <c r="H1193" s="17">
        <v>42642</v>
      </c>
      <c r="I1193">
        <f>VLOOKUP(C1193,LEAIDs!$A$2:$B$305,2,FALSE)</f>
        <v>0</v>
      </c>
    </row>
    <row r="1194" spans="1:9" x14ac:dyDescent="0.2">
      <c r="A1194">
        <v>0</v>
      </c>
      <c r="B1194">
        <v>2016</v>
      </c>
      <c r="C1194" t="s">
        <v>89</v>
      </c>
      <c r="D1194" t="s">
        <v>232</v>
      </c>
      <c r="E1194" t="s">
        <v>234</v>
      </c>
      <c r="F1194" s="17">
        <v>38998</v>
      </c>
      <c r="G1194" s="17">
        <v>1286</v>
      </c>
      <c r="H1194" s="17">
        <v>40284</v>
      </c>
      <c r="I1194">
        <f>VLOOKUP(C1194,LEAIDs!$A$2:$B$305,2,FALSE)</f>
        <v>0</v>
      </c>
    </row>
    <row r="1195" spans="1:9" x14ac:dyDescent="0.2">
      <c r="A1195">
        <v>0</v>
      </c>
      <c r="B1195">
        <v>2017</v>
      </c>
      <c r="C1195" t="s">
        <v>89</v>
      </c>
      <c r="D1195" t="s">
        <v>232</v>
      </c>
      <c r="E1195" t="s">
        <v>234</v>
      </c>
      <c r="F1195" s="17">
        <v>15689</v>
      </c>
      <c r="G1195" s="17">
        <v>542</v>
      </c>
      <c r="H1195" s="17">
        <v>16231</v>
      </c>
      <c r="I1195">
        <f>VLOOKUP(C1195,LEAIDs!$A$2:$B$305,2,FALSE)</f>
        <v>0</v>
      </c>
    </row>
    <row r="1196" spans="1:9" x14ac:dyDescent="0.2">
      <c r="A1196">
        <v>0</v>
      </c>
      <c r="B1196" s="2">
        <v>2021</v>
      </c>
      <c r="C1196" s="4" t="s">
        <v>89</v>
      </c>
      <c r="D1196" s="2" t="s">
        <v>232</v>
      </c>
      <c r="E1196" s="2" t="s">
        <v>234</v>
      </c>
      <c r="F1196" s="16">
        <v>694</v>
      </c>
      <c r="G1196" s="16">
        <v>24</v>
      </c>
      <c r="H1196" s="15">
        <v>718</v>
      </c>
      <c r="I1196">
        <f>VLOOKUP(C1196,LEAIDs!$A$2:$B$305,2,FALSE)</f>
        <v>0</v>
      </c>
    </row>
    <row r="1197" spans="1:9" x14ac:dyDescent="0.2">
      <c r="A1197">
        <v>0</v>
      </c>
      <c r="B1197" s="2">
        <v>2022</v>
      </c>
      <c r="C1197" s="4" t="s">
        <v>89</v>
      </c>
      <c r="D1197" s="2" t="s">
        <v>232</v>
      </c>
      <c r="E1197" s="2" t="s">
        <v>234</v>
      </c>
      <c r="F1197" s="16">
        <v>1013</v>
      </c>
      <c r="G1197" s="16">
        <v>36</v>
      </c>
      <c r="H1197" s="15">
        <v>1049</v>
      </c>
      <c r="I1197">
        <f>VLOOKUP(C1197,LEAIDs!$A$2:$B$305,2,FALSE)</f>
        <v>0</v>
      </c>
    </row>
    <row r="1198" spans="1:9" x14ac:dyDescent="0.2">
      <c r="A1198">
        <v>0</v>
      </c>
      <c r="B1198" s="2">
        <v>2023</v>
      </c>
      <c r="C1198" s="2" t="s">
        <v>89</v>
      </c>
      <c r="D1198" s="2" t="s">
        <v>232</v>
      </c>
      <c r="E1198" s="2" t="s">
        <v>234</v>
      </c>
      <c r="F1198" s="15">
        <v>14971</v>
      </c>
      <c r="G1198" s="15">
        <v>534</v>
      </c>
      <c r="H1198" s="15">
        <v>15505</v>
      </c>
      <c r="I1198">
        <f>VLOOKUP(C1198,LEAIDs!$A$2:$B$305,2,FALSE)</f>
        <v>0</v>
      </c>
    </row>
    <row r="1199" spans="1:9" x14ac:dyDescent="0.2">
      <c r="A1199">
        <v>0</v>
      </c>
      <c r="B1199">
        <v>2015</v>
      </c>
      <c r="C1199" t="s">
        <v>73</v>
      </c>
      <c r="D1199" t="s">
        <v>232</v>
      </c>
      <c r="E1199" t="s">
        <v>234</v>
      </c>
      <c r="F1199" s="17">
        <v>19964603</v>
      </c>
      <c r="G1199" s="17">
        <v>613723</v>
      </c>
      <c r="H1199" s="17">
        <v>20578326</v>
      </c>
      <c r="I1199">
        <f>VLOOKUP(C1199,LEAIDs!$A$2:$B$305,2,FALSE)</f>
        <v>0</v>
      </c>
    </row>
    <row r="1200" spans="1:9" x14ac:dyDescent="0.2">
      <c r="A1200">
        <v>0</v>
      </c>
      <c r="B1200">
        <v>2016</v>
      </c>
      <c r="C1200" t="s">
        <v>73</v>
      </c>
      <c r="D1200" t="s">
        <v>232</v>
      </c>
      <c r="E1200" t="s">
        <v>234</v>
      </c>
      <c r="F1200" s="17">
        <v>20616858</v>
      </c>
      <c r="G1200" s="17">
        <v>680046</v>
      </c>
      <c r="H1200" s="17">
        <v>21296904</v>
      </c>
      <c r="I1200">
        <f>VLOOKUP(C1200,LEAIDs!$A$2:$B$305,2,FALSE)</f>
        <v>0</v>
      </c>
    </row>
    <row r="1201" spans="1:9" x14ac:dyDescent="0.2">
      <c r="A1201">
        <v>0</v>
      </c>
      <c r="B1201">
        <v>2017</v>
      </c>
      <c r="C1201" t="s">
        <v>73</v>
      </c>
      <c r="D1201" t="s">
        <v>232</v>
      </c>
      <c r="E1201" t="s">
        <v>234</v>
      </c>
      <c r="F1201" s="17">
        <v>20442836</v>
      </c>
      <c r="G1201" s="17">
        <v>706086</v>
      </c>
      <c r="H1201" s="17">
        <v>21148922</v>
      </c>
      <c r="I1201">
        <f>VLOOKUP(C1201,LEAIDs!$A$2:$B$305,2,FALSE)</f>
        <v>0</v>
      </c>
    </row>
    <row r="1202" spans="1:9" x14ac:dyDescent="0.2">
      <c r="A1202">
        <v>0</v>
      </c>
      <c r="B1202">
        <v>2018</v>
      </c>
      <c r="C1202" t="s">
        <v>73</v>
      </c>
      <c r="D1202" t="s">
        <v>232</v>
      </c>
      <c r="E1202" t="s">
        <v>234</v>
      </c>
      <c r="F1202" s="17">
        <v>23864870</v>
      </c>
      <c r="G1202" s="17">
        <v>785355</v>
      </c>
      <c r="H1202" s="17">
        <v>24650225</v>
      </c>
      <c r="I1202">
        <f>VLOOKUP(C1202,LEAIDs!$A$2:$B$305,2,FALSE)</f>
        <v>0</v>
      </c>
    </row>
    <row r="1203" spans="1:9" x14ac:dyDescent="0.2">
      <c r="A1203">
        <v>0</v>
      </c>
      <c r="B1203">
        <v>2019</v>
      </c>
      <c r="C1203" t="s">
        <v>73</v>
      </c>
      <c r="D1203" t="s">
        <v>232</v>
      </c>
      <c r="E1203" t="s">
        <v>234</v>
      </c>
      <c r="F1203" s="17">
        <v>25260166</v>
      </c>
      <c r="G1203" s="17">
        <v>847771</v>
      </c>
      <c r="H1203" s="17">
        <v>26107937</v>
      </c>
      <c r="I1203">
        <f>VLOOKUP(C1203,LEAIDs!$A$2:$B$305,2,FALSE)</f>
        <v>0</v>
      </c>
    </row>
    <row r="1204" spans="1:9" x14ac:dyDescent="0.2">
      <c r="A1204">
        <v>0</v>
      </c>
      <c r="B1204">
        <v>2020</v>
      </c>
      <c r="C1204" t="s">
        <v>73</v>
      </c>
      <c r="D1204" t="s">
        <v>232</v>
      </c>
      <c r="E1204" t="s">
        <v>234</v>
      </c>
      <c r="F1204" s="17">
        <v>25360127</v>
      </c>
      <c r="G1204" s="17">
        <v>894920</v>
      </c>
      <c r="H1204" s="17">
        <v>26255047</v>
      </c>
      <c r="I1204">
        <f>VLOOKUP(C1204,LEAIDs!$A$2:$B$305,2,FALSE)</f>
        <v>0</v>
      </c>
    </row>
    <row r="1205" spans="1:9" x14ac:dyDescent="0.2">
      <c r="A1205">
        <v>0</v>
      </c>
      <c r="B1205" s="2">
        <v>2021</v>
      </c>
      <c r="C1205" s="4" t="s">
        <v>73</v>
      </c>
      <c r="D1205" s="2" t="s">
        <v>232</v>
      </c>
      <c r="E1205" s="2" t="s">
        <v>234</v>
      </c>
      <c r="F1205" s="16">
        <v>25030904</v>
      </c>
      <c r="G1205" s="16">
        <v>871259</v>
      </c>
      <c r="H1205" s="15">
        <v>25902163</v>
      </c>
      <c r="I1205">
        <f>VLOOKUP(C1205,LEAIDs!$A$2:$B$305,2,FALSE)</f>
        <v>0</v>
      </c>
    </row>
    <row r="1206" spans="1:9" x14ac:dyDescent="0.2">
      <c r="A1206">
        <v>0</v>
      </c>
      <c r="B1206" s="2">
        <v>2022</v>
      </c>
      <c r="C1206" s="4" t="s">
        <v>73</v>
      </c>
      <c r="D1206" s="2" t="s">
        <v>232</v>
      </c>
      <c r="E1206" s="2" t="s">
        <v>234</v>
      </c>
      <c r="F1206" s="16">
        <v>25716023</v>
      </c>
      <c r="G1206" s="16">
        <v>918772</v>
      </c>
      <c r="H1206" s="15">
        <v>26634795</v>
      </c>
      <c r="I1206">
        <f>VLOOKUP(C1206,LEAIDs!$A$2:$B$305,2,FALSE)</f>
        <v>0</v>
      </c>
    </row>
    <row r="1207" spans="1:9" x14ac:dyDescent="0.2">
      <c r="A1207">
        <v>0</v>
      </c>
      <c r="B1207" s="2">
        <v>2023</v>
      </c>
      <c r="C1207" s="2" t="s">
        <v>73</v>
      </c>
      <c r="D1207" s="2" t="s">
        <v>232</v>
      </c>
      <c r="E1207" s="2" t="s">
        <v>234</v>
      </c>
      <c r="F1207" s="15">
        <v>26893015</v>
      </c>
      <c r="G1207" s="15">
        <v>958780</v>
      </c>
      <c r="H1207" s="15">
        <v>27851795</v>
      </c>
      <c r="I1207">
        <f>VLOOKUP(C1207,LEAIDs!$A$2:$B$305,2,FALSE)</f>
        <v>0</v>
      </c>
    </row>
    <row r="1208" spans="1:9" x14ac:dyDescent="0.2">
      <c r="A1208">
        <v>0</v>
      </c>
      <c r="B1208">
        <v>2015</v>
      </c>
      <c r="C1208" t="s">
        <v>82</v>
      </c>
      <c r="D1208" t="s">
        <v>232</v>
      </c>
      <c r="E1208" t="s">
        <v>234</v>
      </c>
      <c r="F1208" s="17">
        <v>9362197</v>
      </c>
      <c r="G1208" s="17">
        <v>287799</v>
      </c>
      <c r="H1208" s="17">
        <v>9649996</v>
      </c>
      <c r="I1208">
        <f>VLOOKUP(C1208,LEAIDs!$A$2:$B$305,2,FALSE)</f>
        <v>0</v>
      </c>
    </row>
    <row r="1209" spans="1:9" x14ac:dyDescent="0.2">
      <c r="A1209">
        <v>0</v>
      </c>
      <c r="B1209">
        <v>2016</v>
      </c>
      <c r="C1209" t="s">
        <v>82</v>
      </c>
      <c r="D1209" t="s">
        <v>232</v>
      </c>
      <c r="E1209" t="s">
        <v>234</v>
      </c>
      <c r="F1209" s="17">
        <v>9129089</v>
      </c>
      <c r="G1209" s="17">
        <v>301123</v>
      </c>
      <c r="H1209" s="17">
        <v>9430212</v>
      </c>
      <c r="I1209">
        <f>VLOOKUP(C1209,LEAIDs!$A$2:$B$305,2,FALSE)</f>
        <v>0</v>
      </c>
    </row>
    <row r="1210" spans="1:9" x14ac:dyDescent="0.2">
      <c r="A1210">
        <v>0</v>
      </c>
      <c r="B1210">
        <v>2017</v>
      </c>
      <c r="C1210" t="s">
        <v>82</v>
      </c>
      <c r="D1210" t="s">
        <v>232</v>
      </c>
      <c r="E1210" t="s">
        <v>234</v>
      </c>
      <c r="F1210" s="17">
        <v>9203753</v>
      </c>
      <c r="G1210" s="17">
        <v>317894</v>
      </c>
      <c r="H1210" s="17">
        <v>9521647</v>
      </c>
      <c r="I1210">
        <f>VLOOKUP(C1210,LEAIDs!$A$2:$B$305,2,FALSE)</f>
        <v>0</v>
      </c>
    </row>
    <row r="1211" spans="1:9" x14ac:dyDescent="0.2">
      <c r="A1211">
        <v>0</v>
      </c>
      <c r="B1211">
        <v>2018</v>
      </c>
      <c r="C1211" t="s">
        <v>82</v>
      </c>
      <c r="D1211" t="s">
        <v>232</v>
      </c>
      <c r="E1211" t="s">
        <v>234</v>
      </c>
      <c r="F1211" s="17">
        <v>9963826</v>
      </c>
      <c r="G1211" s="17">
        <v>327894</v>
      </c>
      <c r="H1211" s="17">
        <v>10291720</v>
      </c>
      <c r="I1211">
        <f>VLOOKUP(C1211,LEAIDs!$A$2:$B$305,2,FALSE)</f>
        <v>0</v>
      </c>
    </row>
    <row r="1212" spans="1:9" x14ac:dyDescent="0.2">
      <c r="A1212">
        <v>0</v>
      </c>
      <c r="B1212">
        <v>2019</v>
      </c>
      <c r="C1212" t="s">
        <v>82</v>
      </c>
      <c r="D1212" t="s">
        <v>232</v>
      </c>
      <c r="E1212" t="s">
        <v>234</v>
      </c>
      <c r="F1212" s="17">
        <v>10802141</v>
      </c>
      <c r="G1212" s="17">
        <v>362537</v>
      </c>
      <c r="H1212" s="17">
        <v>11164678</v>
      </c>
      <c r="I1212">
        <f>VLOOKUP(C1212,LEAIDs!$A$2:$B$305,2,FALSE)</f>
        <v>0</v>
      </c>
    </row>
    <row r="1213" spans="1:9" x14ac:dyDescent="0.2">
      <c r="A1213">
        <v>0</v>
      </c>
      <c r="B1213">
        <v>2020</v>
      </c>
      <c r="C1213" t="s">
        <v>82</v>
      </c>
      <c r="D1213" t="s">
        <v>232</v>
      </c>
      <c r="E1213" t="s">
        <v>234</v>
      </c>
      <c r="F1213" s="17">
        <v>10436324</v>
      </c>
      <c r="G1213" s="17">
        <v>368282</v>
      </c>
      <c r="H1213" s="17">
        <v>10804606</v>
      </c>
      <c r="I1213">
        <f>VLOOKUP(C1213,LEAIDs!$A$2:$B$305,2,FALSE)</f>
        <v>0</v>
      </c>
    </row>
    <row r="1214" spans="1:9" x14ac:dyDescent="0.2">
      <c r="A1214">
        <v>0</v>
      </c>
      <c r="B1214" s="2">
        <v>2021</v>
      </c>
      <c r="C1214" s="4" t="s">
        <v>82</v>
      </c>
      <c r="D1214" s="2" t="s">
        <v>232</v>
      </c>
      <c r="E1214" s="2" t="s">
        <v>234</v>
      </c>
      <c r="F1214" s="16">
        <v>10439505</v>
      </c>
      <c r="G1214" s="16">
        <v>363371</v>
      </c>
      <c r="H1214" s="15">
        <v>10802876</v>
      </c>
      <c r="I1214">
        <f>VLOOKUP(C1214,LEAIDs!$A$2:$B$305,2,FALSE)</f>
        <v>0</v>
      </c>
    </row>
    <row r="1215" spans="1:9" x14ac:dyDescent="0.2">
      <c r="A1215">
        <v>0</v>
      </c>
      <c r="B1215" s="2">
        <v>2022</v>
      </c>
      <c r="C1215" s="4" t="s">
        <v>82</v>
      </c>
      <c r="D1215" s="2" t="s">
        <v>232</v>
      </c>
      <c r="E1215" s="2" t="s">
        <v>234</v>
      </c>
      <c r="F1215" s="16">
        <v>10983568</v>
      </c>
      <c r="G1215" s="16">
        <v>392417</v>
      </c>
      <c r="H1215" s="15">
        <v>11375985</v>
      </c>
      <c r="I1215">
        <f>VLOOKUP(C1215,LEAIDs!$A$2:$B$305,2,FALSE)</f>
        <v>0</v>
      </c>
    </row>
    <row r="1216" spans="1:9" x14ac:dyDescent="0.2">
      <c r="A1216">
        <v>0</v>
      </c>
      <c r="B1216" s="2">
        <v>2023</v>
      </c>
      <c r="C1216" s="2" t="s">
        <v>82</v>
      </c>
      <c r="D1216" s="2" t="s">
        <v>232</v>
      </c>
      <c r="E1216" s="2" t="s">
        <v>234</v>
      </c>
      <c r="F1216" s="15">
        <v>11113813</v>
      </c>
      <c r="G1216" s="15">
        <v>396226</v>
      </c>
      <c r="H1216" s="15">
        <v>11510039</v>
      </c>
      <c r="I1216">
        <f>VLOOKUP(C1216,LEAIDs!$A$2:$B$305,2,FALSE)</f>
        <v>0</v>
      </c>
    </row>
    <row r="1217" spans="1:9" x14ac:dyDescent="0.2">
      <c r="A1217">
        <v>0</v>
      </c>
      <c r="B1217">
        <v>2015</v>
      </c>
      <c r="C1217" t="s">
        <v>69</v>
      </c>
      <c r="D1217" t="s">
        <v>232</v>
      </c>
      <c r="E1217" t="s">
        <v>234</v>
      </c>
      <c r="F1217" s="17">
        <v>12026075</v>
      </c>
      <c r="G1217" s="17">
        <v>369688</v>
      </c>
      <c r="H1217" s="17">
        <v>12395763</v>
      </c>
      <c r="I1217">
        <f>VLOOKUP(C1217,LEAIDs!$A$2:$B$305,2,FALSE)</f>
        <v>0</v>
      </c>
    </row>
    <row r="1218" spans="1:9" x14ac:dyDescent="0.2">
      <c r="A1218">
        <v>0</v>
      </c>
      <c r="B1218">
        <v>2016</v>
      </c>
      <c r="C1218" t="s">
        <v>69</v>
      </c>
      <c r="D1218" t="s">
        <v>232</v>
      </c>
      <c r="E1218" t="s">
        <v>234</v>
      </c>
      <c r="F1218" s="17">
        <v>10892827</v>
      </c>
      <c r="G1218" s="17">
        <v>359300</v>
      </c>
      <c r="H1218" s="17">
        <v>11252127</v>
      </c>
      <c r="I1218">
        <f>VLOOKUP(C1218,LEAIDs!$A$2:$B$305,2,FALSE)</f>
        <v>0</v>
      </c>
    </row>
    <row r="1219" spans="1:9" x14ac:dyDescent="0.2">
      <c r="A1219">
        <v>0</v>
      </c>
      <c r="B1219">
        <v>2017</v>
      </c>
      <c r="C1219" t="s">
        <v>69</v>
      </c>
      <c r="D1219" t="s">
        <v>232</v>
      </c>
      <c r="E1219" t="s">
        <v>234</v>
      </c>
      <c r="F1219" s="17">
        <v>11741290</v>
      </c>
      <c r="G1219" s="17">
        <v>405539</v>
      </c>
      <c r="H1219" s="17">
        <v>12146829</v>
      </c>
      <c r="I1219">
        <f>VLOOKUP(C1219,LEAIDs!$A$2:$B$305,2,FALSE)</f>
        <v>0</v>
      </c>
    </row>
    <row r="1220" spans="1:9" x14ac:dyDescent="0.2">
      <c r="A1220">
        <v>0</v>
      </c>
      <c r="B1220">
        <v>2018</v>
      </c>
      <c r="C1220" t="s">
        <v>69</v>
      </c>
      <c r="D1220" t="s">
        <v>232</v>
      </c>
      <c r="E1220" t="s">
        <v>234</v>
      </c>
      <c r="F1220" s="17">
        <v>12965383</v>
      </c>
      <c r="G1220" s="17">
        <v>426670</v>
      </c>
      <c r="H1220" s="17">
        <v>13392053</v>
      </c>
      <c r="I1220">
        <f>VLOOKUP(C1220,LEAIDs!$A$2:$B$305,2,FALSE)</f>
        <v>0</v>
      </c>
    </row>
    <row r="1221" spans="1:9" x14ac:dyDescent="0.2">
      <c r="A1221">
        <v>0</v>
      </c>
      <c r="B1221">
        <v>2019</v>
      </c>
      <c r="C1221" t="s">
        <v>69</v>
      </c>
      <c r="D1221" t="s">
        <v>232</v>
      </c>
      <c r="E1221" t="s">
        <v>234</v>
      </c>
      <c r="F1221" s="17">
        <v>14499859</v>
      </c>
      <c r="G1221" s="17">
        <v>486638</v>
      </c>
      <c r="H1221" s="17">
        <v>14986497</v>
      </c>
      <c r="I1221">
        <f>VLOOKUP(C1221,LEAIDs!$A$2:$B$305,2,FALSE)</f>
        <v>0</v>
      </c>
    </row>
    <row r="1222" spans="1:9" x14ac:dyDescent="0.2">
      <c r="A1222">
        <v>0</v>
      </c>
      <c r="B1222">
        <v>2020</v>
      </c>
      <c r="C1222" t="s">
        <v>69</v>
      </c>
      <c r="D1222" t="s">
        <v>232</v>
      </c>
      <c r="E1222" t="s">
        <v>234</v>
      </c>
      <c r="F1222" s="17">
        <v>14345255</v>
      </c>
      <c r="G1222" s="17">
        <v>506222</v>
      </c>
      <c r="H1222" s="17">
        <v>14851477</v>
      </c>
      <c r="I1222">
        <f>VLOOKUP(C1222,LEAIDs!$A$2:$B$305,2,FALSE)</f>
        <v>0</v>
      </c>
    </row>
    <row r="1223" spans="1:9" x14ac:dyDescent="0.2">
      <c r="A1223">
        <v>0</v>
      </c>
      <c r="B1223" s="2">
        <v>2021</v>
      </c>
      <c r="C1223" s="4" t="s">
        <v>69</v>
      </c>
      <c r="D1223" s="2" t="s">
        <v>232</v>
      </c>
      <c r="E1223" s="2" t="s">
        <v>234</v>
      </c>
      <c r="F1223" s="16">
        <v>13350460</v>
      </c>
      <c r="G1223" s="16">
        <v>464694</v>
      </c>
      <c r="H1223" s="15">
        <v>13815154</v>
      </c>
      <c r="I1223">
        <f>VLOOKUP(C1223,LEAIDs!$A$2:$B$305,2,FALSE)</f>
        <v>0</v>
      </c>
    </row>
    <row r="1224" spans="1:9" x14ac:dyDescent="0.2">
      <c r="A1224">
        <v>0</v>
      </c>
      <c r="B1224" s="2">
        <v>2022</v>
      </c>
      <c r="C1224" s="4" t="s">
        <v>69</v>
      </c>
      <c r="D1224" s="2" t="s">
        <v>232</v>
      </c>
      <c r="E1224" s="2" t="s">
        <v>234</v>
      </c>
      <c r="F1224" s="16">
        <v>13751933</v>
      </c>
      <c r="G1224" s="16">
        <v>491324</v>
      </c>
      <c r="H1224" s="15">
        <v>14243257</v>
      </c>
      <c r="I1224">
        <f>VLOOKUP(C1224,LEAIDs!$A$2:$B$305,2,FALSE)</f>
        <v>0</v>
      </c>
    </row>
    <row r="1225" spans="1:9" x14ac:dyDescent="0.2">
      <c r="A1225">
        <v>0</v>
      </c>
      <c r="B1225" s="2">
        <v>2023</v>
      </c>
      <c r="C1225" s="2" t="s">
        <v>69</v>
      </c>
      <c r="D1225" s="2" t="s">
        <v>232</v>
      </c>
      <c r="E1225" s="2" t="s">
        <v>234</v>
      </c>
      <c r="F1225" s="15">
        <v>14372559</v>
      </c>
      <c r="G1225" s="15">
        <v>512405</v>
      </c>
      <c r="H1225" s="15">
        <v>14884964</v>
      </c>
      <c r="I1225">
        <f>VLOOKUP(C1225,LEAIDs!$A$2:$B$305,2,FALSE)</f>
        <v>0</v>
      </c>
    </row>
    <row r="1226" spans="1:9" x14ac:dyDescent="0.2">
      <c r="A1226">
        <v>2200032</v>
      </c>
      <c r="B1226">
        <v>2015</v>
      </c>
      <c r="C1226" t="s">
        <v>111</v>
      </c>
      <c r="D1226" t="s">
        <v>232</v>
      </c>
      <c r="E1226" t="s">
        <v>234</v>
      </c>
      <c r="F1226" s="17">
        <v>428207</v>
      </c>
      <c r="G1226" s="17">
        <v>13163</v>
      </c>
      <c r="H1226" s="17">
        <v>441370</v>
      </c>
      <c r="I1226">
        <f>VLOOKUP(C1226,LEAIDs!$A$2:$B$305,2,FALSE)</f>
        <v>2200032</v>
      </c>
    </row>
    <row r="1227" spans="1:9" x14ac:dyDescent="0.2">
      <c r="A1227">
        <v>2200032</v>
      </c>
      <c r="B1227">
        <v>2016</v>
      </c>
      <c r="C1227" t="s">
        <v>111</v>
      </c>
      <c r="D1227" t="s">
        <v>232</v>
      </c>
      <c r="E1227" t="s">
        <v>234</v>
      </c>
      <c r="F1227" s="17">
        <v>418767</v>
      </c>
      <c r="G1227" s="17">
        <v>13813</v>
      </c>
      <c r="H1227" s="17">
        <v>432580</v>
      </c>
      <c r="I1227">
        <f>VLOOKUP(C1227,LEAIDs!$A$2:$B$305,2,FALSE)</f>
        <v>2200032</v>
      </c>
    </row>
    <row r="1228" spans="1:9" x14ac:dyDescent="0.2">
      <c r="A1228">
        <v>2200032</v>
      </c>
      <c r="B1228">
        <v>2017</v>
      </c>
      <c r="C1228" t="s">
        <v>111</v>
      </c>
      <c r="D1228" t="s">
        <v>232</v>
      </c>
      <c r="E1228" t="s">
        <v>234</v>
      </c>
      <c r="F1228" s="17">
        <v>448473</v>
      </c>
      <c r="G1228" s="17">
        <v>15490</v>
      </c>
      <c r="H1228" s="17">
        <v>463963</v>
      </c>
      <c r="I1228">
        <f>VLOOKUP(C1228,LEAIDs!$A$2:$B$305,2,FALSE)</f>
        <v>2200032</v>
      </c>
    </row>
    <row r="1229" spans="1:9" x14ac:dyDescent="0.2">
      <c r="A1229">
        <v>2200032</v>
      </c>
      <c r="B1229">
        <v>2018</v>
      </c>
      <c r="C1229" t="s">
        <v>111</v>
      </c>
      <c r="D1229" t="s">
        <v>232</v>
      </c>
      <c r="E1229" t="s">
        <v>234</v>
      </c>
      <c r="F1229" s="17">
        <v>508578</v>
      </c>
      <c r="G1229" s="17">
        <v>16737</v>
      </c>
      <c r="H1229" s="17">
        <v>525315</v>
      </c>
      <c r="I1229">
        <f>VLOOKUP(C1229,LEAIDs!$A$2:$B$305,2,FALSE)</f>
        <v>2200032</v>
      </c>
    </row>
    <row r="1230" spans="1:9" x14ac:dyDescent="0.2">
      <c r="A1230">
        <v>2200032</v>
      </c>
      <c r="B1230">
        <v>2019</v>
      </c>
      <c r="C1230" t="s">
        <v>111</v>
      </c>
      <c r="D1230" t="s">
        <v>232</v>
      </c>
      <c r="E1230" t="s">
        <v>234</v>
      </c>
      <c r="F1230" s="17">
        <v>446177</v>
      </c>
      <c r="G1230" s="17">
        <v>14974</v>
      </c>
      <c r="H1230" s="17">
        <v>461151</v>
      </c>
      <c r="I1230">
        <f>VLOOKUP(C1230,LEAIDs!$A$2:$B$305,2,FALSE)</f>
        <v>2200032</v>
      </c>
    </row>
    <row r="1231" spans="1:9" x14ac:dyDescent="0.2">
      <c r="A1231">
        <v>2200032</v>
      </c>
      <c r="B1231">
        <v>2020</v>
      </c>
      <c r="C1231" t="s">
        <v>111</v>
      </c>
      <c r="D1231" t="s">
        <v>232</v>
      </c>
      <c r="E1231" t="s">
        <v>234</v>
      </c>
      <c r="F1231" s="17">
        <v>473619</v>
      </c>
      <c r="G1231" s="17">
        <v>16713</v>
      </c>
      <c r="H1231" s="17">
        <v>490332</v>
      </c>
      <c r="I1231">
        <f>VLOOKUP(C1231,LEAIDs!$A$2:$B$305,2,FALSE)</f>
        <v>2200032</v>
      </c>
    </row>
    <row r="1232" spans="1:9" x14ac:dyDescent="0.2">
      <c r="A1232">
        <v>2200032</v>
      </c>
      <c r="B1232" s="2">
        <v>2021</v>
      </c>
      <c r="C1232" s="4" t="s">
        <v>111</v>
      </c>
      <c r="D1232" s="2" t="s">
        <v>232</v>
      </c>
      <c r="E1232" s="2" t="s">
        <v>234</v>
      </c>
      <c r="F1232" s="16">
        <v>530039</v>
      </c>
      <c r="G1232" s="16">
        <v>18449</v>
      </c>
      <c r="H1232" s="15">
        <v>548488</v>
      </c>
      <c r="I1232">
        <f>VLOOKUP(C1232,LEAIDs!$A$2:$B$305,2,FALSE)</f>
        <v>2200032</v>
      </c>
    </row>
    <row r="1233" spans="1:9" x14ac:dyDescent="0.2">
      <c r="A1233">
        <v>2200032</v>
      </c>
      <c r="B1233" s="2">
        <v>2022</v>
      </c>
      <c r="C1233" s="4" t="s">
        <v>111</v>
      </c>
      <c r="D1233" s="2" t="s">
        <v>232</v>
      </c>
      <c r="E1233" s="2" t="s">
        <v>234</v>
      </c>
      <c r="F1233" s="16">
        <v>578969</v>
      </c>
      <c r="G1233" s="16">
        <v>20685</v>
      </c>
      <c r="H1233" s="15">
        <v>599654</v>
      </c>
      <c r="I1233">
        <f>VLOOKUP(C1233,LEAIDs!$A$2:$B$305,2,FALSE)</f>
        <v>2200032</v>
      </c>
    </row>
    <row r="1234" spans="1:9" x14ac:dyDescent="0.2">
      <c r="A1234">
        <v>2200032</v>
      </c>
      <c r="B1234" s="2">
        <v>2023</v>
      </c>
      <c r="C1234" s="2" t="s">
        <v>111</v>
      </c>
      <c r="D1234" s="2" t="s">
        <v>232</v>
      </c>
      <c r="E1234" s="2" t="s">
        <v>234</v>
      </c>
      <c r="F1234" s="15">
        <v>555045</v>
      </c>
      <c r="G1234" s="15">
        <v>19788</v>
      </c>
      <c r="H1234" s="15">
        <v>574833</v>
      </c>
      <c r="I1234">
        <f>VLOOKUP(C1234,LEAIDs!$A$2:$B$305,2,FALSE)</f>
        <v>2200032</v>
      </c>
    </row>
    <row r="1235" spans="1:9" x14ac:dyDescent="0.2">
      <c r="A1235">
        <v>0</v>
      </c>
      <c r="B1235">
        <v>2015</v>
      </c>
      <c r="C1235" t="s">
        <v>100</v>
      </c>
      <c r="D1235" t="s">
        <v>232</v>
      </c>
      <c r="E1235" t="s">
        <v>234</v>
      </c>
      <c r="F1235" s="17">
        <v>45253</v>
      </c>
      <c r="G1235" s="17">
        <v>1391</v>
      </c>
      <c r="H1235" s="17">
        <v>46644</v>
      </c>
      <c r="I1235">
        <f>VLOOKUP(C1235,LEAIDs!$A$2:$B$305,2,FALSE)</f>
        <v>0</v>
      </c>
    </row>
    <row r="1236" spans="1:9" x14ac:dyDescent="0.2">
      <c r="A1236">
        <v>0</v>
      </c>
      <c r="B1236">
        <v>2016</v>
      </c>
      <c r="C1236" t="s">
        <v>100</v>
      </c>
      <c r="D1236" t="s">
        <v>232</v>
      </c>
      <c r="E1236" t="s">
        <v>234</v>
      </c>
      <c r="F1236" s="17">
        <v>13536</v>
      </c>
      <c r="G1236" s="17">
        <v>446</v>
      </c>
      <c r="H1236" s="17">
        <v>13982</v>
      </c>
      <c r="I1236">
        <f>VLOOKUP(C1236,LEAIDs!$A$2:$B$305,2,FALSE)</f>
        <v>0</v>
      </c>
    </row>
    <row r="1237" spans="1:9" x14ac:dyDescent="0.2">
      <c r="A1237">
        <v>0</v>
      </c>
      <c r="B1237">
        <v>2017</v>
      </c>
      <c r="C1237" t="s">
        <v>100</v>
      </c>
      <c r="D1237" t="s">
        <v>232</v>
      </c>
      <c r="E1237" t="s">
        <v>234</v>
      </c>
      <c r="F1237" s="17">
        <v>13501</v>
      </c>
      <c r="G1237" s="17">
        <v>466</v>
      </c>
      <c r="H1237" s="17">
        <v>13967</v>
      </c>
      <c r="I1237">
        <f>VLOOKUP(C1237,LEAIDs!$A$2:$B$305,2,FALSE)</f>
        <v>0</v>
      </c>
    </row>
    <row r="1238" spans="1:9" x14ac:dyDescent="0.2">
      <c r="A1238">
        <v>0</v>
      </c>
      <c r="B1238">
        <v>2018</v>
      </c>
      <c r="C1238" t="s">
        <v>100</v>
      </c>
      <c r="D1238" t="s">
        <v>232</v>
      </c>
      <c r="E1238" t="s">
        <v>234</v>
      </c>
      <c r="F1238" s="17">
        <v>15768</v>
      </c>
      <c r="G1238" s="17">
        <v>519</v>
      </c>
      <c r="H1238" s="17">
        <v>16287</v>
      </c>
      <c r="I1238">
        <f>VLOOKUP(C1238,LEAIDs!$A$2:$B$305,2,FALSE)</f>
        <v>0</v>
      </c>
    </row>
    <row r="1239" spans="1:9" x14ac:dyDescent="0.2">
      <c r="A1239">
        <v>0</v>
      </c>
      <c r="B1239">
        <v>2019</v>
      </c>
      <c r="C1239" t="s">
        <v>100</v>
      </c>
      <c r="D1239" t="s">
        <v>232</v>
      </c>
      <c r="E1239" t="s">
        <v>234</v>
      </c>
      <c r="F1239" s="17">
        <v>16322</v>
      </c>
      <c r="G1239" s="17">
        <v>548</v>
      </c>
      <c r="H1239" s="17">
        <v>16870</v>
      </c>
      <c r="I1239">
        <f>VLOOKUP(C1239,LEAIDs!$A$2:$B$305,2,FALSE)</f>
        <v>0</v>
      </c>
    </row>
    <row r="1240" spans="1:9" x14ac:dyDescent="0.2">
      <c r="A1240">
        <v>0</v>
      </c>
      <c r="B1240">
        <v>2020</v>
      </c>
      <c r="C1240" t="s">
        <v>100</v>
      </c>
      <c r="D1240" t="s">
        <v>232</v>
      </c>
      <c r="E1240" t="s">
        <v>234</v>
      </c>
      <c r="F1240" s="17">
        <v>16043</v>
      </c>
      <c r="G1240" s="17">
        <v>566</v>
      </c>
      <c r="H1240" s="17">
        <v>16609</v>
      </c>
      <c r="I1240">
        <f>VLOOKUP(C1240,LEAIDs!$A$2:$B$305,2,FALSE)</f>
        <v>0</v>
      </c>
    </row>
    <row r="1241" spans="1:9" x14ac:dyDescent="0.2">
      <c r="A1241">
        <v>0</v>
      </c>
      <c r="B1241" s="2">
        <v>2021</v>
      </c>
      <c r="C1241" s="4" t="s">
        <v>100</v>
      </c>
      <c r="D1241" s="2" t="s">
        <v>232</v>
      </c>
      <c r="E1241" s="2" t="s">
        <v>234</v>
      </c>
      <c r="F1241" s="16">
        <v>15992</v>
      </c>
      <c r="G1241" s="16">
        <v>557</v>
      </c>
      <c r="H1241" s="15">
        <v>16549</v>
      </c>
      <c r="I1241">
        <f>VLOOKUP(C1241,LEAIDs!$A$2:$B$305,2,FALSE)</f>
        <v>0</v>
      </c>
    </row>
    <row r="1242" spans="1:9" x14ac:dyDescent="0.2">
      <c r="A1242">
        <v>0</v>
      </c>
      <c r="B1242" s="2">
        <v>2022</v>
      </c>
      <c r="C1242" s="4" t="s">
        <v>100</v>
      </c>
      <c r="D1242" s="2" t="s">
        <v>232</v>
      </c>
      <c r="E1242" s="2" t="s">
        <v>234</v>
      </c>
      <c r="F1242" s="16">
        <v>16257</v>
      </c>
      <c r="G1242" s="16">
        <v>581</v>
      </c>
      <c r="H1242" s="15">
        <v>16838</v>
      </c>
      <c r="I1242">
        <f>VLOOKUP(C1242,LEAIDs!$A$2:$B$305,2,FALSE)</f>
        <v>0</v>
      </c>
    </row>
    <row r="1243" spans="1:9" x14ac:dyDescent="0.2">
      <c r="A1243">
        <v>0</v>
      </c>
      <c r="B1243" s="2">
        <v>2023</v>
      </c>
      <c r="C1243" s="2" t="s">
        <v>100</v>
      </c>
      <c r="D1243" s="2" t="s">
        <v>232</v>
      </c>
      <c r="E1243" s="2" t="s">
        <v>234</v>
      </c>
      <c r="F1243" s="15">
        <v>15877</v>
      </c>
      <c r="G1243" s="15">
        <v>566</v>
      </c>
      <c r="H1243" s="15">
        <v>16443</v>
      </c>
      <c r="I1243">
        <f>VLOOKUP(C1243,LEAIDs!$A$2:$B$305,2,FALSE)</f>
        <v>0</v>
      </c>
    </row>
    <row r="1244" spans="1:9" x14ac:dyDescent="0.2">
      <c r="A1244">
        <v>0</v>
      </c>
      <c r="B1244">
        <v>2015</v>
      </c>
      <c r="C1244" t="s">
        <v>106</v>
      </c>
      <c r="D1244" t="s">
        <v>232</v>
      </c>
      <c r="E1244" t="s">
        <v>234</v>
      </c>
      <c r="F1244" s="17">
        <v>57915</v>
      </c>
      <c r="G1244" s="17">
        <v>1780</v>
      </c>
      <c r="H1244" s="17">
        <v>59695</v>
      </c>
      <c r="I1244">
        <f>VLOOKUP(C1244,LEAIDs!$A$2:$B$305,2,FALSE)</f>
        <v>0</v>
      </c>
    </row>
    <row r="1245" spans="1:9" x14ac:dyDescent="0.2">
      <c r="A1245">
        <v>0</v>
      </c>
      <c r="B1245">
        <v>2016</v>
      </c>
      <c r="C1245" t="s">
        <v>106</v>
      </c>
      <c r="D1245" t="s">
        <v>232</v>
      </c>
      <c r="E1245" t="s">
        <v>234</v>
      </c>
      <c r="F1245" s="17">
        <v>55707</v>
      </c>
      <c r="G1245" s="17">
        <v>1837</v>
      </c>
      <c r="H1245" s="17">
        <v>57544</v>
      </c>
      <c r="I1245">
        <f>VLOOKUP(C1245,LEAIDs!$A$2:$B$305,2,FALSE)</f>
        <v>0</v>
      </c>
    </row>
    <row r="1246" spans="1:9" x14ac:dyDescent="0.2">
      <c r="A1246">
        <v>0</v>
      </c>
      <c r="B1246">
        <v>2017</v>
      </c>
      <c r="C1246" t="s">
        <v>106</v>
      </c>
      <c r="D1246" t="s">
        <v>232</v>
      </c>
      <c r="E1246" t="s">
        <v>234</v>
      </c>
      <c r="F1246" s="17">
        <v>54711</v>
      </c>
      <c r="G1246" s="17">
        <v>1890</v>
      </c>
      <c r="H1246" s="17">
        <v>56601</v>
      </c>
      <c r="I1246">
        <f>VLOOKUP(C1246,LEAIDs!$A$2:$B$305,2,FALSE)</f>
        <v>0</v>
      </c>
    </row>
    <row r="1247" spans="1:9" x14ac:dyDescent="0.2">
      <c r="A1247">
        <v>0</v>
      </c>
      <c r="B1247">
        <v>2018</v>
      </c>
      <c r="C1247" t="s">
        <v>106</v>
      </c>
      <c r="D1247" t="s">
        <v>232</v>
      </c>
      <c r="E1247" t="s">
        <v>234</v>
      </c>
      <c r="F1247" s="17">
        <v>57892</v>
      </c>
      <c r="G1247" s="17">
        <v>1905</v>
      </c>
      <c r="H1247" s="17">
        <v>59797</v>
      </c>
      <c r="I1247">
        <f>VLOOKUP(C1247,LEAIDs!$A$2:$B$305,2,FALSE)</f>
        <v>0</v>
      </c>
    </row>
    <row r="1248" spans="1:9" x14ac:dyDescent="0.2">
      <c r="A1248">
        <v>0</v>
      </c>
      <c r="B1248">
        <v>2019</v>
      </c>
      <c r="C1248" t="s">
        <v>106</v>
      </c>
      <c r="D1248" t="s">
        <v>232</v>
      </c>
      <c r="E1248" t="s">
        <v>234</v>
      </c>
      <c r="F1248" s="17">
        <v>58132</v>
      </c>
      <c r="G1248" s="17">
        <v>1951</v>
      </c>
      <c r="H1248" s="17">
        <v>60083</v>
      </c>
      <c r="I1248">
        <f>VLOOKUP(C1248,LEAIDs!$A$2:$B$305,2,FALSE)</f>
        <v>0</v>
      </c>
    </row>
    <row r="1249" spans="1:9" x14ac:dyDescent="0.2">
      <c r="A1249">
        <v>0</v>
      </c>
      <c r="B1249">
        <v>2020</v>
      </c>
      <c r="C1249" t="s">
        <v>106</v>
      </c>
      <c r="D1249" t="s">
        <v>232</v>
      </c>
      <c r="E1249" t="s">
        <v>234</v>
      </c>
      <c r="F1249" s="17">
        <v>24089</v>
      </c>
      <c r="G1249" s="17">
        <v>850</v>
      </c>
      <c r="H1249" s="17">
        <v>24939</v>
      </c>
      <c r="I1249">
        <f>VLOOKUP(C1249,LEAIDs!$A$2:$B$305,2,FALSE)</f>
        <v>0</v>
      </c>
    </row>
    <row r="1250" spans="1:9" x14ac:dyDescent="0.2">
      <c r="A1250">
        <v>0</v>
      </c>
      <c r="B1250" s="2">
        <v>2021</v>
      </c>
      <c r="C1250" s="4" t="s">
        <v>106</v>
      </c>
      <c r="D1250" s="2" t="s">
        <v>232</v>
      </c>
      <c r="E1250" s="2" t="s">
        <v>234</v>
      </c>
      <c r="F1250" s="16">
        <v>24608</v>
      </c>
      <c r="G1250" s="16">
        <v>857</v>
      </c>
      <c r="H1250" s="15">
        <v>25465</v>
      </c>
      <c r="I1250">
        <f>VLOOKUP(C1250,LEAIDs!$A$2:$B$305,2,FALSE)</f>
        <v>0</v>
      </c>
    </row>
    <row r="1251" spans="1:9" x14ac:dyDescent="0.2">
      <c r="A1251">
        <v>0</v>
      </c>
      <c r="B1251" s="2">
        <v>2022</v>
      </c>
      <c r="C1251" s="4" t="s">
        <v>106</v>
      </c>
      <c r="D1251" s="2" t="s">
        <v>232</v>
      </c>
      <c r="E1251" s="2" t="s">
        <v>234</v>
      </c>
      <c r="F1251" s="16">
        <v>24765</v>
      </c>
      <c r="G1251" s="16">
        <v>885</v>
      </c>
      <c r="H1251" s="15">
        <v>25650</v>
      </c>
      <c r="I1251">
        <f>VLOOKUP(C1251,LEAIDs!$A$2:$B$305,2,FALSE)</f>
        <v>0</v>
      </c>
    </row>
    <row r="1252" spans="1:9" x14ac:dyDescent="0.2">
      <c r="A1252">
        <v>0</v>
      </c>
      <c r="B1252" s="2">
        <v>2023</v>
      </c>
      <c r="C1252" s="2" t="s">
        <v>106</v>
      </c>
      <c r="D1252" s="2" t="s">
        <v>232</v>
      </c>
      <c r="E1252" s="2" t="s">
        <v>234</v>
      </c>
      <c r="F1252" s="15">
        <v>41780</v>
      </c>
      <c r="G1252" s="15">
        <v>1490</v>
      </c>
      <c r="H1252" s="15">
        <v>43270</v>
      </c>
      <c r="I1252">
        <f>VLOOKUP(C1252,LEAIDs!$A$2:$B$305,2,FALSE)</f>
        <v>0</v>
      </c>
    </row>
    <row r="1253" spans="1:9" x14ac:dyDescent="0.2">
      <c r="A1253">
        <v>0</v>
      </c>
      <c r="B1253">
        <v>2015</v>
      </c>
      <c r="C1253" t="s">
        <v>270</v>
      </c>
      <c r="D1253" t="s">
        <v>232</v>
      </c>
      <c r="E1253" t="s">
        <v>234</v>
      </c>
      <c r="F1253" s="17">
        <v>26833</v>
      </c>
      <c r="G1253" s="17">
        <v>825</v>
      </c>
      <c r="H1253" s="17">
        <v>27658</v>
      </c>
      <c r="I1253">
        <f>VLOOKUP(C1253,LEAIDs!$A$2:$B$305,2,FALSE)</f>
        <v>0</v>
      </c>
    </row>
    <row r="1254" spans="1:9" x14ac:dyDescent="0.2">
      <c r="A1254">
        <v>0</v>
      </c>
      <c r="B1254">
        <v>2016</v>
      </c>
      <c r="C1254" t="s">
        <v>270</v>
      </c>
      <c r="D1254" t="s">
        <v>232</v>
      </c>
      <c r="E1254" t="s">
        <v>234</v>
      </c>
      <c r="F1254" s="17">
        <v>26088</v>
      </c>
      <c r="G1254" s="17">
        <v>860</v>
      </c>
      <c r="H1254" s="17">
        <v>26948</v>
      </c>
      <c r="I1254">
        <f>VLOOKUP(C1254,LEAIDs!$A$2:$B$305,2,FALSE)</f>
        <v>0</v>
      </c>
    </row>
    <row r="1255" spans="1:9" x14ac:dyDescent="0.2">
      <c r="A1255">
        <v>0</v>
      </c>
      <c r="B1255">
        <v>2017</v>
      </c>
      <c r="C1255" t="s">
        <v>270</v>
      </c>
      <c r="D1255" t="s">
        <v>232</v>
      </c>
      <c r="E1255" t="s">
        <v>234</v>
      </c>
      <c r="F1255" s="17">
        <v>45553</v>
      </c>
      <c r="G1255" s="17">
        <v>1573</v>
      </c>
      <c r="H1255" s="17">
        <v>47126</v>
      </c>
      <c r="I1255">
        <f>VLOOKUP(C1255,LEAIDs!$A$2:$B$305,2,FALSE)</f>
        <v>0</v>
      </c>
    </row>
    <row r="1256" spans="1:9" x14ac:dyDescent="0.2">
      <c r="A1256">
        <v>0</v>
      </c>
      <c r="B1256">
        <v>2018</v>
      </c>
      <c r="C1256" t="s">
        <v>270</v>
      </c>
      <c r="D1256" t="s">
        <v>232</v>
      </c>
      <c r="E1256" t="s">
        <v>234</v>
      </c>
      <c r="F1256" s="17">
        <v>28531</v>
      </c>
      <c r="G1256" s="17">
        <v>939</v>
      </c>
      <c r="H1256" s="17">
        <v>29470</v>
      </c>
      <c r="I1256">
        <f>VLOOKUP(C1256,LEAIDs!$A$2:$B$305,2,FALSE)</f>
        <v>0</v>
      </c>
    </row>
    <row r="1257" spans="1:9" x14ac:dyDescent="0.2">
      <c r="A1257">
        <v>0</v>
      </c>
      <c r="B1257">
        <v>2019</v>
      </c>
      <c r="C1257" t="s">
        <v>270</v>
      </c>
      <c r="D1257" t="s">
        <v>232</v>
      </c>
      <c r="E1257" t="s">
        <v>234</v>
      </c>
      <c r="F1257" s="17">
        <v>28883</v>
      </c>
      <c r="G1257" s="17">
        <v>969</v>
      </c>
      <c r="H1257" s="17">
        <v>29852</v>
      </c>
      <c r="I1257">
        <f>VLOOKUP(C1257,LEAIDs!$A$2:$B$305,2,FALSE)</f>
        <v>0</v>
      </c>
    </row>
    <row r="1258" spans="1:9" x14ac:dyDescent="0.2">
      <c r="A1258">
        <v>0</v>
      </c>
      <c r="B1258">
        <v>2020</v>
      </c>
      <c r="C1258" t="s">
        <v>270</v>
      </c>
      <c r="D1258" t="s">
        <v>232</v>
      </c>
      <c r="E1258" t="s">
        <v>234</v>
      </c>
      <c r="F1258" s="17">
        <v>28675</v>
      </c>
      <c r="G1258" s="17">
        <v>1012</v>
      </c>
      <c r="H1258" s="17">
        <v>29687</v>
      </c>
      <c r="I1258">
        <f>VLOOKUP(C1258,LEAIDs!$A$2:$B$305,2,FALSE)</f>
        <v>0</v>
      </c>
    </row>
    <row r="1259" spans="1:9" x14ac:dyDescent="0.2">
      <c r="A1259">
        <v>2200018</v>
      </c>
      <c r="B1259">
        <v>2015</v>
      </c>
      <c r="C1259" t="s">
        <v>271</v>
      </c>
      <c r="D1259" t="s">
        <v>232</v>
      </c>
      <c r="E1259" t="s">
        <v>234</v>
      </c>
      <c r="F1259" s="17">
        <v>1773398</v>
      </c>
      <c r="G1259" s="17">
        <v>54515</v>
      </c>
      <c r="H1259" s="17">
        <v>1827913</v>
      </c>
      <c r="I1259">
        <f>VLOOKUP(C1259,LEAIDs!$A$2:$B$305,2,FALSE)</f>
        <v>2200018</v>
      </c>
    </row>
    <row r="1260" spans="1:9" x14ac:dyDescent="0.2">
      <c r="A1260">
        <v>2200018</v>
      </c>
      <c r="B1260">
        <v>2016</v>
      </c>
      <c r="C1260" t="s">
        <v>271</v>
      </c>
      <c r="D1260" t="s">
        <v>232</v>
      </c>
      <c r="E1260" t="s">
        <v>234</v>
      </c>
      <c r="F1260" s="17">
        <v>1743683</v>
      </c>
      <c r="G1260" s="17">
        <v>57515</v>
      </c>
      <c r="H1260" s="17">
        <v>1801198</v>
      </c>
      <c r="I1260">
        <f>VLOOKUP(C1260,LEAIDs!$A$2:$B$305,2,FALSE)</f>
        <v>2200018</v>
      </c>
    </row>
    <row r="1261" spans="1:9" x14ac:dyDescent="0.2">
      <c r="A1261">
        <v>2200018</v>
      </c>
      <c r="B1261">
        <v>2017</v>
      </c>
      <c r="C1261" t="s">
        <v>271</v>
      </c>
      <c r="D1261" t="s">
        <v>232</v>
      </c>
      <c r="E1261" t="s">
        <v>234</v>
      </c>
      <c r="F1261" s="17">
        <v>1721765</v>
      </c>
      <c r="G1261" s="17">
        <v>59469</v>
      </c>
      <c r="H1261" s="17">
        <v>1781234</v>
      </c>
      <c r="I1261">
        <f>VLOOKUP(C1261,LEAIDs!$A$2:$B$305,2,FALSE)</f>
        <v>2200018</v>
      </c>
    </row>
    <row r="1262" spans="1:9" x14ac:dyDescent="0.2">
      <c r="A1262">
        <v>2200018</v>
      </c>
      <c r="B1262">
        <v>2018</v>
      </c>
      <c r="C1262" t="s">
        <v>271</v>
      </c>
      <c r="D1262" t="s">
        <v>232</v>
      </c>
      <c r="E1262" t="s">
        <v>234</v>
      </c>
      <c r="F1262" s="17">
        <v>1806133</v>
      </c>
      <c r="G1262" s="17">
        <v>59437</v>
      </c>
      <c r="H1262" s="17">
        <v>1865570</v>
      </c>
      <c r="I1262">
        <f>VLOOKUP(C1262,LEAIDs!$A$2:$B$305,2,FALSE)</f>
        <v>2200018</v>
      </c>
    </row>
    <row r="1263" spans="1:9" x14ac:dyDescent="0.2">
      <c r="A1263">
        <v>2200018</v>
      </c>
      <c r="B1263">
        <v>2019</v>
      </c>
      <c r="C1263" t="s">
        <v>271</v>
      </c>
      <c r="D1263" t="s">
        <v>232</v>
      </c>
      <c r="E1263" t="s">
        <v>234</v>
      </c>
      <c r="F1263" s="17">
        <v>1655554</v>
      </c>
      <c r="G1263" s="17">
        <v>55563</v>
      </c>
      <c r="H1263" s="17">
        <v>1711117</v>
      </c>
      <c r="I1263">
        <f>VLOOKUP(C1263,LEAIDs!$A$2:$B$305,2,FALSE)</f>
        <v>2200018</v>
      </c>
    </row>
    <row r="1264" spans="1:9" x14ac:dyDescent="0.2">
      <c r="A1264">
        <v>2200018</v>
      </c>
      <c r="B1264">
        <v>2020</v>
      </c>
      <c r="C1264" t="s">
        <v>271</v>
      </c>
      <c r="D1264" t="s">
        <v>232</v>
      </c>
      <c r="E1264" t="s">
        <v>234</v>
      </c>
      <c r="F1264" s="17">
        <v>1774040</v>
      </c>
      <c r="G1264" s="17">
        <v>62603</v>
      </c>
      <c r="H1264" s="17">
        <v>1836643</v>
      </c>
      <c r="I1264">
        <f>VLOOKUP(C1264,LEAIDs!$A$2:$B$305,2,FALSE)</f>
        <v>2200018</v>
      </c>
    </row>
    <row r="1265" spans="1:9" x14ac:dyDescent="0.2">
      <c r="A1265">
        <v>2200018</v>
      </c>
      <c r="B1265" s="2">
        <v>2021</v>
      </c>
      <c r="C1265" s="4" t="s">
        <v>271</v>
      </c>
      <c r="D1265" s="2" t="s">
        <v>232</v>
      </c>
      <c r="E1265" s="2" t="s">
        <v>234</v>
      </c>
      <c r="F1265" s="16">
        <v>1631722</v>
      </c>
      <c r="G1265" s="16">
        <v>56796</v>
      </c>
      <c r="H1265" s="15">
        <v>1688518</v>
      </c>
      <c r="I1265">
        <f>VLOOKUP(C1265,LEAIDs!$A$2:$B$305,2,FALSE)</f>
        <v>2200018</v>
      </c>
    </row>
    <row r="1266" spans="1:9" x14ac:dyDescent="0.2">
      <c r="A1266">
        <v>2200030</v>
      </c>
      <c r="B1266">
        <v>2015</v>
      </c>
      <c r="C1266" t="s">
        <v>0</v>
      </c>
      <c r="D1266" t="s">
        <v>232</v>
      </c>
      <c r="E1266" t="s">
        <v>234</v>
      </c>
      <c r="F1266" s="17">
        <v>11893931</v>
      </c>
      <c r="G1266" s="17">
        <v>365626</v>
      </c>
      <c r="H1266" s="17">
        <v>12259557</v>
      </c>
      <c r="I1266">
        <f>VLOOKUP(C1266,LEAIDs!$A$2:$B$305,2,FALSE)</f>
        <v>2200030</v>
      </c>
    </row>
    <row r="1267" spans="1:9" x14ac:dyDescent="0.2">
      <c r="A1267">
        <v>2200030</v>
      </c>
      <c r="B1267">
        <v>2016</v>
      </c>
      <c r="C1267" t="s">
        <v>0</v>
      </c>
      <c r="D1267" t="s">
        <v>232</v>
      </c>
      <c r="E1267" t="s">
        <v>234</v>
      </c>
      <c r="F1267" s="17">
        <v>11118421</v>
      </c>
      <c r="G1267" s="17">
        <v>366741</v>
      </c>
      <c r="H1267" s="17">
        <v>11485162</v>
      </c>
      <c r="I1267">
        <f>VLOOKUP(C1267,LEAIDs!$A$2:$B$305,2,FALSE)</f>
        <v>2200030</v>
      </c>
    </row>
    <row r="1268" spans="1:9" x14ac:dyDescent="0.2">
      <c r="A1268">
        <v>2200030</v>
      </c>
      <c r="B1268">
        <v>2017</v>
      </c>
      <c r="C1268" t="s">
        <v>0</v>
      </c>
      <c r="D1268" t="s">
        <v>232</v>
      </c>
      <c r="E1268" t="s">
        <v>234</v>
      </c>
      <c r="F1268" s="17">
        <v>10430504</v>
      </c>
      <c r="G1268" s="17">
        <v>360265</v>
      </c>
      <c r="H1268" s="17">
        <v>10790769</v>
      </c>
      <c r="I1268">
        <f>VLOOKUP(C1268,LEAIDs!$A$2:$B$305,2,FALSE)</f>
        <v>2200030</v>
      </c>
    </row>
    <row r="1269" spans="1:9" x14ac:dyDescent="0.2">
      <c r="A1269">
        <v>2200030</v>
      </c>
      <c r="B1269">
        <v>2018</v>
      </c>
      <c r="C1269" t="s">
        <v>0</v>
      </c>
      <c r="D1269" t="s">
        <v>232</v>
      </c>
      <c r="E1269" t="s">
        <v>234</v>
      </c>
      <c r="F1269" s="17">
        <v>10948978</v>
      </c>
      <c r="G1269" s="17">
        <v>360314</v>
      </c>
      <c r="H1269" s="17">
        <v>11309292</v>
      </c>
      <c r="I1269">
        <f>VLOOKUP(C1269,LEAIDs!$A$2:$B$305,2,FALSE)</f>
        <v>2200030</v>
      </c>
    </row>
    <row r="1270" spans="1:9" x14ac:dyDescent="0.2">
      <c r="A1270">
        <v>2200030</v>
      </c>
      <c r="B1270">
        <v>2019</v>
      </c>
      <c r="C1270" t="s">
        <v>0</v>
      </c>
      <c r="D1270" t="s">
        <v>232</v>
      </c>
      <c r="E1270" t="s">
        <v>234</v>
      </c>
      <c r="F1270" s="17">
        <v>10518018</v>
      </c>
      <c r="G1270" s="17">
        <v>353001</v>
      </c>
      <c r="H1270" s="17">
        <v>10871019</v>
      </c>
      <c r="I1270">
        <f>VLOOKUP(C1270,LEAIDs!$A$2:$B$305,2,FALSE)</f>
        <v>2200030</v>
      </c>
    </row>
    <row r="1271" spans="1:9" x14ac:dyDescent="0.2">
      <c r="A1271">
        <v>2200030</v>
      </c>
      <c r="B1271">
        <v>2020</v>
      </c>
      <c r="C1271" t="s">
        <v>0</v>
      </c>
      <c r="D1271" t="s">
        <v>232</v>
      </c>
      <c r="E1271" t="s">
        <v>234</v>
      </c>
      <c r="F1271" s="17">
        <v>10930804</v>
      </c>
      <c r="G1271" s="17">
        <v>385731</v>
      </c>
      <c r="H1271" s="17">
        <v>11316535</v>
      </c>
      <c r="I1271">
        <f>VLOOKUP(C1271,LEAIDs!$A$2:$B$305,2,FALSE)</f>
        <v>2200030</v>
      </c>
    </row>
    <row r="1272" spans="1:9" x14ac:dyDescent="0.2">
      <c r="A1272">
        <v>2200030</v>
      </c>
      <c r="B1272" s="2">
        <v>2021</v>
      </c>
      <c r="C1272" s="4" t="s">
        <v>0</v>
      </c>
      <c r="D1272" s="2" t="s">
        <v>232</v>
      </c>
      <c r="E1272" s="2" t="s">
        <v>234</v>
      </c>
      <c r="F1272" s="16">
        <v>11159926</v>
      </c>
      <c r="G1272" s="16">
        <v>388447</v>
      </c>
      <c r="H1272" s="15">
        <v>11548373</v>
      </c>
      <c r="I1272">
        <f>VLOOKUP(C1272,LEAIDs!$A$2:$B$305,2,FALSE)</f>
        <v>2200030</v>
      </c>
    </row>
    <row r="1273" spans="1:9" x14ac:dyDescent="0.2">
      <c r="A1273">
        <v>2200030</v>
      </c>
      <c r="B1273" s="2">
        <v>2022</v>
      </c>
      <c r="C1273" s="4" t="s">
        <v>0</v>
      </c>
      <c r="D1273" s="2" t="s">
        <v>232</v>
      </c>
      <c r="E1273" s="2" t="s">
        <v>234</v>
      </c>
      <c r="F1273" s="16">
        <v>11977068</v>
      </c>
      <c r="G1273" s="16">
        <v>427912</v>
      </c>
      <c r="H1273" s="15">
        <v>12404980</v>
      </c>
      <c r="I1273">
        <f>VLOOKUP(C1273,LEAIDs!$A$2:$B$305,2,FALSE)</f>
        <v>2200030</v>
      </c>
    </row>
    <row r="1274" spans="1:9" x14ac:dyDescent="0.2">
      <c r="A1274">
        <v>2200030</v>
      </c>
      <c r="B1274" s="2">
        <v>2023</v>
      </c>
      <c r="C1274" s="2" t="s">
        <v>0</v>
      </c>
      <c r="D1274" s="2" t="s">
        <v>232</v>
      </c>
      <c r="E1274" s="2" t="s">
        <v>234</v>
      </c>
      <c r="F1274" s="15">
        <v>12222129</v>
      </c>
      <c r="G1274" s="15">
        <v>435739</v>
      </c>
      <c r="H1274" s="15">
        <v>12657868</v>
      </c>
      <c r="I1274">
        <f>VLOOKUP(C1274,LEAIDs!$A$2:$B$305,2,FALSE)</f>
        <v>2200030</v>
      </c>
    </row>
    <row r="1275" spans="1:9" x14ac:dyDescent="0.2">
      <c r="A1275">
        <v>2200035</v>
      </c>
      <c r="B1275">
        <v>2015</v>
      </c>
      <c r="C1275" t="s">
        <v>112</v>
      </c>
      <c r="D1275" t="s">
        <v>232</v>
      </c>
      <c r="E1275" t="s">
        <v>234</v>
      </c>
      <c r="F1275" s="17">
        <v>633058</v>
      </c>
      <c r="G1275" s="17">
        <v>19461</v>
      </c>
      <c r="H1275" s="17">
        <v>652519</v>
      </c>
      <c r="I1275">
        <f>VLOOKUP(C1275,LEAIDs!$A$2:$B$305,2,FALSE)</f>
        <v>2200035</v>
      </c>
    </row>
    <row r="1276" spans="1:9" x14ac:dyDescent="0.2">
      <c r="A1276">
        <v>2200035</v>
      </c>
      <c r="B1276">
        <v>2016</v>
      </c>
      <c r="C1276" t="s">
        <v>112</v>
      </c>
      <c r="D1276" t="s">
        <v>232</v>
      </c>
      <c r="E1276" t="s">
        <v>234</v>
      </c>
      <c r="F1276" s="17">
        <v>609125</v>
      </c>
      <c r="G1276" s="17">
        <v>20092</v>
      </c>
      <c r="H1276" s="17">
        <v>629217</v>
      </c>
      <c r="I1276">
        <f>VLOOKUP(C1276,LEAIDs!$A$2:$B$305,2,FALSE)</f>
        <v>2200035</v>
      </c>
    </row>
    <row r="1277" spans="1:9" x14ac:dyDescent="0.2">
      <c r="A1277">
        <v>2200035</v>
      </c>
      <c r="B1277">
        <v>2017</v>
      </c>
      <c r="C1277" t="s">
        <v>112</v>
      </c>
      <c r="D1277" t="s">
        <v>232</v>
      </c>
      <c r="E1277" t="s">
        <v>234</v>
      </c>
      <c r="F1277" s="17">
        <v>585111</v>
      </c>
      <c r="G1277" s="17">
        <v>20209</v>
      </c>
      <c r="H1277" s="17">
        <v>605320</v>
      </c>
      <c r="I1277">
        <f>VLOOKUP(C1277,LEAIDs!$A$2:$B$305,2,FALSE)</f>
        <v>2200035</v>
      </c>
    </row>
    <row r="1278" spans="1:9" x14ac:dyDescent="0.2">
      <c r="A1278">
        <v>2200035</v>
      </c>
      <c r="B1278">
        <v>2018</v>
      </c>
      <c r="C1278" t="s">
        <v>112</v>
      </c>
      <c r="D1278" t="s">
        <v>232</v>
      </c>
      <c r="E1278" t="s">
        <v>234</v>
      </c>
      <c r="F1278" s="17">
        <v>663590</v>
      </c>
      <c r="G1278" s="17">
        <v>21838</v>
      </c>
      <c r="H1278" s="17">
        <v>685428</v>
      </c>
      <c r="I1278">
        <f>VLOOKUP(C1278,LEAIDs!$A$2:$B$305,2,FALSE)</f>
        <v>2200035</v>
      </c>
    </row>
    <row r="1279" spans="1:9" x14ac:dyDescent="0.2">
      <c r="A1279">
        <v>2200035</v>
      </c>
      <c r="B1279">
        <v>2019</v>
      </c>
      <c r="C1279" t="s">
        <v>112</v>
      </c>
      <c r="D1279" t="s">
        <v>232</v>
      </c>
      <c r="E1279" t="s">
        <v>234</v>
      </c>
      <c r="F1279" s="17">
        <v>693785</v>
      </c>
      <c r="G1279" s="17">
        <v>23285</v>
      </c>
      <c r="H1279" s="17">
        <v>717070</v>
      </c>
      <c r="I1279">
        <f>VLOOKUP(C1279,LEAIDs!$A$2:$B$305,2,FALSE)</f>
        <v>2200035</v>
      </c>
    </row>
    <row r="1280" spans="1:9" x14ac:dyDescent="0.2">
      <c r="A1280">
        <v>2200035</v>
      </c>
      <c r="B1280">
        <v>2020</v>
      </c>
      <c r="C1280" t="s">
        <v>112</v>
      </c>
      <c r="D1280" t="s">
        <v>232</v>
      </c>
      <c r="E1280" t="s">
        <v>234</v>
      </c>
      <c r="F1280" s="17">
        <v>662054</v>
      </c>
      <c r="G1280" s="17">
        <v>23363</v>
      </c>
      <c r="H1280" s="17">
        <v>685417</v>
      </c>
      <c r="I1280">
        <f>VLOOKUP(C1280,LEAIDs!$A$2:$B$305,2,FALSE)</f>
        <v>2200035</v>
      </c>
    </row>
    <row r="1281" spans="1:9" x14ac:dyDescent="0.2">
      <c r="A1281">
        <v>2200035</v>
      </c>
      <c r="B1281" s="2">
        <v>2021</v>
      </c>
      <c r="C1281" s="4" t="s">
        <v>112</v>
      </c>
      <c r="D1281" s="2" t="s">
        <v>232</v>
      </c>
      <c r="E1281" s="2" t="s">
        <v>234</v>
      </c>
      <c r="F1281" s="16">
        <v>675482</v>
      </c>
      <c r="G1281" s="16">
        <v>23512</v>
      </c>
      <c r="H1281" s="15">
        <v>698994</v>
      </c>
      <c r="I1281">
        <f>VLOOKUP(C1281,LEAIDs!$A$2:$B$305,2,FALSE)</f>
        <v>2200035</v>
      </c>
    </row>
    <row r="1282" spans="1:9" x14ac:dyDescent="0.2">
      <c r="A1282">
        <v>2200035</v>
      </c>
      <c r="B1282" s="2">
        <v>2022</v>
      </c>
      <c r="C1282" s="4" t="s">
        <v>112</v>
      </c>
      <c r="D1282" s="2" t="s">
        <v>232</v>
      </c>
      <c r="E1282" s="2" t="s">
        <v>234</v>
      </c>
      <c r="F1282" s="16">
        <v>727051</v>
      </c>
      <c r="G1282" s="16">
        <v>25976</v>
      </c>
      <c r="H1282" s="15">
        <v>753027</v>
      </c>
      <c r="I1282">
        <f>VLOOKUP(C1282,LEAIDs!$A$2:$B$305,2,FALSE)</f>
        <v>2200035</v>
      </c>
    </row>
    <row r="1283" spans="1:9" x14ac:dyDescent="0.2">
      <c r="A1283">
        <v>2200035</v>
      </c>
      <c r="B1283" s="2">
        <v>2023</v>
      </c>
      <c r="C1283" s="2" t="s">
        <v>112</v>
      </c>
      <c r="D1283" s="2" t="s">
        <v>232</v>
      </c>
      <c r="E1283" s="2" t="s">
        <v>234</v>
      </c>
      <c r="F1283" s="15">
        <v>807898</v>
      </c>
      <c r="G1283" s="15">
        <v>28803</v>
      </c>
      <c r="H1283" s="15">
        <v>836701</v>
      </c>
      <c r="I1283">
        <f>VLOOKUP(C1283,LEAIDs!$A$2:$B$305,2,FALSE)</f>
        <v>2200035</v>
      </c>
    </row>
    <row r="1284" spans="1:9" x14ac:dyDescent="0.2">
      <c r="A1284">
        <v>2200038</v>
      </c>
      <c r="B1284">
        <v>2015</v>
      </c>
      <c r="C1284" t="s">
        <v>114</v>
      </c>
      <c r="D1284" t="s">
        <v>232</v>
      </c>
      <c r="E1284" t="s">
        <v>234</v>
      </c>
      <c r="F1284" s="17">
        <v>963260</v>
      </c>
      <c r="G1284" s="17">
        <v>29611</v>
      </c>
      <c r="H1284" s="17">
        <v>992871</v>
      </c>
      <c r="I1284">
        <f>VLOOKUP(C1284,LEAIDs!$A$2:$B$305,2,FALSE)</f>
        <v>2200038</v>
      </c>
    </row>
    <row r="1285" spans="1:9" x14ac:dyDescent="0.2">
      <c r="A1285">
        <v>2200038</v>
      </c>
      <c r="B1285">
        <v>2016</v>
      </c>
      <c r="C1285" t="s">
        <v>114</v>
      </c>
      <c r="D1285" t="s">
        <v>232</v>
      </c>
      <c r="E1285" t="s">
        <v>234</v>
      </c>
      <c r="F1285" s="17">
        <v>1028413</v>
      </c>
      <c r="G1285" s="17">
        <v>33922</v>
      </c>
      <c r="H1285" s="17">
        <v>1062335</v>
      </c>
      <c r="I1285">
        <f>VLOOKUP(C1285,LEAIDs!$A$2:$B$305,2,FALSE)</f>
        <v>2200038</v>
      </c>
    </row>
    <row r="1286" spans="1:9" x14ac:dyDescent="0.2">
      <c r="A1286">
        <v>2200038</v>
      </c>
      <c r="B1286">
        <v>2017</v>
      </c>
      <c r="C1286" t="s">
        <v>114</v>
      </c>
      <c r="D1286" t="s">
        <v>232</v>
      </c>
      <c r="E1286" t="s">
        <v>234</v>
      </c>
      <c r="F1286" s="17">
        <v>843167</v>
      </c>
      <c r="G1286" s="17">
        <v>29123</v>
      </c>
      <c r="H1286" s="17">
        <v>872290</v>
      </c>
      <c r="I1286">
        <f>VLOOKUP(C1286,LEAIDs!$A$2:$B$305,2,FALSE)</f>
        <v>2200038</v>
      </c>
    </row>
    <row r="1287" spans="1:9" x14ac:dyDescent="0.2">
      <c r="A1287">
        <v>2200038</v>
      </c>
      <c r="B1287">
        <v>2018</v>
      </c>
      <c r="C1287" t="s">
        <v>114</v>
      </c>
      <c r="D1287" t="s">
        <v>232</v>
      </c>
      <c r="E1287" t="s">
        <v>234</v>
      </c>
      <c r="F1287" s="17">
        <v>1068763</v>
      </c>
      <c r="G1287" s="17">
        <v>35171</v>
      </c>
      <c r="H1287" s="17">
        <v>1103934</v>
      </c>
      <c r="I1287">
        <f>VLOOKUP(C1287,LEAIDs!$A$2:$B$305,2,FALSE)</f>
        <v>2200038</v>
      </c>
    </row>
    <row r="1288" spans="1:9" x14ac:dyDescent="0.2">
      <c r="A1288">
        <v>2200038</v>
      </c>
      <c r="B1288">
        <v>2019</v>
      </c>
      <c r="C1288" t="s">
        <v>114</v>
      </c>
      <c r="D1288" t="s">
        <v>232</v>
      </c>
      <c r="E1288" t="s">
        <v>234</v>
      </c>
      <c r="F1288" s="17">
        <v>1067663</v>
      </c>
      <c r="G1288" s="17">
        <v>35832</v>
      </c>
      <c r="H1288" s="17">
        <v>1103495</v>
      </c>
      <c r="I1288">
        <f>VLOOKUP(C1288,LEAIDs!$A$2:$B$305,2,FALSE)</f>
        <v>2200038</v>
      </c>
    </row>
    <row r="1289" spans="1:9" x14ac:dyDescent="0.2">
      <c r="A1289">
        <v>2200038</v>
      </c>
      <c r="B1289">
        <v>2020</v>
      </c>
      <c r="C1289" t="s">
        <v>114</v>
      </c>
      <c r="D1289" t="s">
        <v>232</v>
      </c>
      <c r="E1289" t="s">
        <v>234</v>
      </c>
      <c r="F1289" s="17">
        <v>1071157</v>
      </c>
      <c r="G1289" s="17">
        <v>37799</v>
      </c>
      <c r="H1289" s="17">
        <v>1108956</v>
      </c>
      <c r="I1289">
        <f>VLOOKUP(C1289,LEAIDs!$A$2:$B$305,2,FALSE)</f>
        <v>2200038</v>
      </c>
    </row>
    <row r="1290" spans="1:9" x14ac:dyDescent="0.2">
      <c r="A1290">
        <v>2200038</v>
      </c>
      <c r="B1290" s="2">
        <v>2021</v>
      </c>
      <c r="C1290" s="4" t="s">
        <v>114</v>
      </c>
      <c r="D1290" s="2" t="s">
        <v>232</v>
      </c>
      <c r="E1290" s="2" t="s">
        <v>234</v>
      </c>
      <c r="F1290" s="16">
        <v>1114811</v>
      </c>
      <c r="G1290" s="16">
        <v>38804</v>
      </c>
      <c r="H1290" s="15">
        <v>1153615</v>
      </c>
      <c r="I1290">
        <f>VLOOKUP(C1290,LEAIDs!$A$2:$B$305,2,FALSE)</f>
        <v>2200038</v>
      </c>
    </row>
    <row r="1291" spans="1:9" x14ac:dyDescent="0.2">
      <c r="A1291">
        <v>2200038</v>
      </c>
      <c r="B1291" s="2">
        <v>2022</v>
      </c>
      <c r="C1291" s="4" t="s">
        <v>114</v>
      </c>
      <c r="D1291" s="2" t="s">
        <v>232</v>
      </c>
      <c r="E1291" s="2" t="s">
        <v>234</v>
      </c>
      <c r="F1291" s="16">
        <v>1019214</v>
      </c>
      <c r="G1291" s="16">
        <v>36414</v>
      </c>
      <c r="H1291" s="15">
        <v>1055628</v>
      </c>
      <c r="I1291">
        <f>VLOOKUP(C1291,LEAIDs!$A$2:$B$305,2,FALSE)</f>
        <v>2200038</v>
      </c>
    </row>
    <row r="1292" spans="1:9" x14ac:dyDescent="0.2">
      <c r="A1292">
        <v>2200038</v>
      </c>
      <c r="B1292" s="2">
        <v>2023</v>
      </c>
      <c r="C1292" s="2" t="s">
        <v>114</v>
      </c>
      <c r="D1292" s="2" t="s">
        <v>232</v>
      </c>
      <c r="E1292" s="2" t="s">
        <v>234</v>
      </c>
      <c r="F1292" s="15">
        <v>976071</v>
      </c>
      <c r="G1292" s="15">
        <v>34799</v>
      </c>
      <c r="H1292" s="15">
        <v>1010870</v>
      </c>
      <c r="I1292">
        <f>VLOOKUP(C1292,LEAIDs!$A$2:$B$305,2,FALSE)</f>
        <v>2200038</v>
      </c>
    </row>
    <row r="1293" spans="1:9" x14ac:dyDescent="0.2">
      <c r="A1293">
        <v>2200039</v>
      </c>
      <c r="B1293">
        <v>2015</v>
      </c>
      <c r="C1293" t="s">
        <v>117</v>
      </c>
      <c r="D1293" t="s">
        <v>232</v>
      </c>
      <c r="E1293" t="s">
        <v>234</v>
      </c>
      <c r="F1293" s="17">
        <v>7213161</v>
      </c>
      <c r="G1293" s="17">
        <v>221737</v>
      </c>
      <c r="H1293" s="17">
        <v>7434898</v>
      </c>
      <c r="I1293">
        <f>VLOOKUP(C1293,LEAIDs!$A$2:$B$305,2,FALSE)</f>
        <v>2200039</v>
      </c>
    </row>
    <row r="1294" spans="1:9" x14ac:dyDescent="0.2">
      <c r="A1294">
        <v>2200039</v>
      </c>
      <c r="B1294">
        <v>2016</v>
      </c>
      <c r="C1294" t="s">
        <v>117</v>
      </c>
      <c r="D1294" t="s">
        <v>232</v>
      </c>
      <c r="E1294" t="s">
        <v>234</v>
      </c>
      <c r="F1294" s="17">
        <v>6655268</v>
      </c>
      <c r="G1294" s="17">
        <v>219524</v>
      </c>
      <c r="H1294" s="17">
        <v>6874792</v>
      </c>
      <c r="I1294">
        <f>VLOOKUP(C1294,LEAIDs!$A$2:$B$305,2,FALSE)</f>
        <v>2200039</v>
      </c>
    </row>
    <row r="1295" spans="1:9" x14ac:dyDescent="0.2">
      <c r="A1295">
        <v>2200039</v>
      </c>
      <c r="B1295">
        <v>2017</v>
      </c>
      <c r="C1295" t="s">
        <v>117</v>
      </c>
      <c r="D1295" t="s">
        <v>232</v>
      </c>
      <c r="E1295" t="s">
        <v>234</v>
      </c>
      <c r="F1295" s="17">
        <v>6764853</v>
      </c>
      <c r="G1295" s="17">
        <v>233655</v>
      </c>
      <c r="H1295" s="17">
        <v>6998508</v>
      </c>
      <c r="I1295">
        <f>VLOOKUP(C1295,LEAIDs!$A$2:$B$305,2,FALSE)</f>
        <v>2200039</v>
      </c>
    </row>
    <row r="1296" spans="1:9" x14ac:dyDescent="0.2">
      <c r="A1296">
        <v>2200039</v>
      </c>
      <c r="B1296">
        <v>2018</v>
      </c>
      <c r="C1296" t="s">
        <v>117</v>
      </c>
      <c r="D1296" t="s">
        <v>232</v>
      </c>
      <c r="E1296" t="s">
        <v>234</v>
      </c>
      <c r="F1296" s="17">
        <v>7011124</v>
      </c>
      <c r="G1296" s="17">
        <v>230725</v>
      </c>
      <c r="H1296" s="17">
        <v>7241849</v>
      </c>
      <c r="I1296">
        <f>VLOOKUP(C1296,LEAIDs!$A$2:$B$305,2,FALSE)</f>
        <v>2200039</v>
      </c>
    </row>
    <row r="1297" spans="1:9" x14ac:dyDescent="0.2">
      <c r="A1297">
        <v>2200039</v>
      </c>
      <c r="B1297">
        <v>2019</v>
      </c>
      <c r="C1297" t="s">
        <v>117</v>
      </c>
      <c r="D1297" t="s">
        <v>232</v>
      </c>
      <c r="E1297" t="s">
        <v>234</v>
      </c>
      <c r="F1297" s="17">
        <v>7000197</v>
      </c>
      <c r="G1297" s="17">
        <v>234938</v>
      </c>
      <c r="H1297" s="17">
        <v>7235135</v>
      </c>
      <c r="I1297">
        <f>VLOOKUP(C1297,LEAIDs!$A$2:$B$305,2,FALSE)</f>
        <v>2200039</v>
      </c>
    </row>
    <row r="1298" spans="1:9" x14ac:dyDescent="0.2">
      <c r="A1298">
        <v>2200039</v>
      </c>
      <c r="B1298">
        <v>2020</v>
      </c>
      <c r="C1298" t="s">
        <v>117</v>
      </c>
      <c r="D1298" t="s">
        <v>232</v>
      </c>
      <c r="E1298" t="s">
        <v>234</v>
      </c>
      <c r="F1298" s="17">
        <v>7267450</v>
      </c>
      <c r="G1298" s="17">
        <v>256457</v>
      </c>
      <c r="H1298" s="17">
        <v>7523907</v>
      </c>
      <c r="I1298">
        <f>VLOOKUP(C1298,LEAIDs!$A$2:$B$305,2,FALSE)</f>
        <v>2200039</v>
      </c>
    </row>
    <row r="1299" spans="1:9" x14ac:dyDescent="0.2">
      <c r="A1299">
        <v>2200039</v>
      </c>
      <c r="B1299" s="2">
        <v>2021</v>
      </c>
      <c r="C1299" s="4" t="s">
        <v>117</v>
      </c>
      <c r="D1299" s="2" t="s">
        <v>232</v>
      </c>
      <c r="E1299" s="2" t="s">
        <v>234</v>
      </c>
      <c r="F1299" s="16">
        <v>7442290</v>
      </c>
      <c r="G1299" s="16">
        <v>259046</v>
      </c>
      <c r="H1299" s="15">
        <v>7701336</v>
      </c>
      <c r="I1299">
        <f>VLOOKUP(C1299,LEAIDs!$A$2:$B$305,2,FALSE)</f>
        <v>2200039</v>
      </c>
    </row>
    <row r="1300" spans="1:9" x14ac:dyDescent="0.2">
      <c r="A1300">
        <v>2200039</v>
      </c>
      <c r="B1300" s="2">
        <v>2022</v>
      </c>
      <c r="C1300" s="4" t="s">
        <v>117</v>
      </c>
      <c r="D1300" s="2" t="s">
        <v>232</v>
      </c>
      <c r="E1300" s="2" t="s">
        <v>234</v>
      </c>
      <c r="F1300" s="16">
        <v>7425341</v>
      </c>
      <c r="G1300" s="16">
        <v>265290</v>
      </c>
      <c r="H1300" s="15">
        <v>7690631</v>
      </c>
      <c r="I1300">
        <f>VLOOKUP(C1300,LEAIDs!$A$2:$B$305,2,FALSE)</f>
        <v>2200039</v>
      </c>
    </row>
    <row r="1301" spans="1:9" x14ac:dyDescent="0.2">
      <c r="A1301">
        <v>2200039</v>
      </c>
      <c r="B1301" s="2">
        <v>2023</v>
      </c>
      <c r="C1301" s="2" t="s">
        <v>117</v>
      </c>
      <c r="D1301" s="2" t="s">
        <v>232</v>
      </c>
      <c r="E1301" s="2" t="s">
        <v>234</v>
      </c>
      <c r="F1301" s="15">
        <v>8120784</v>
      </c>
      <c r="G1301" s="15">
        <v>289519</v>
      </c>
      <c r="H1301" s="15">
        <v>8410303</v>
      </c>
      <c r="I1301">
        <f>VLOOKUP(C1301,LEAIDs!$A$2:$B$305,2,FALSE)</f>
        <v>2200039</v>
      </c>
    </row>
    <row r="1302" spans="1:9" x14ac:dyDescent="0.2">
      <c r="A1302">
        <v>2200040</v>
      </c>
      <c r="B1302">
        <v>2015</v>
      </c>
      <c r="C1302" t="s">
        <v>116</v>
      </c>
      <c r="D1302" t="s">
        <v>232</v>
      </c>
      <c r="E1302" t="s">
        <v>234</v>
      </c>
      <c r="F1302" s="17">
        <v>2137640</v>
      </c>
      <c r="G1302" s="17">
        <v>65712</v>
      </c>
      <c r="H1302" s="17">
        <v>2203352</v>
      </c>
      <c r="I1302">
        <f>VLOOKUP(C1302,LEAIDs!$A$2:$B$305,2,FALSE)</f>
        <v>2200040</v>
      </c>
    </row>
    <row r="1303" spans="1:9" x14ac:dyDescent="0.2">
      <c r="A1303">
        <v>2200040</v>
      </c>
      <c r="B1303">
        <v>2016</v>
      </c>
      <c r="C1303" t="s">
        <v>116</v>
      </c>
      <c r="D1303" t="s">
        <v>232</v>
      </c>
      <c r="E1303" t="s">
        <v>234</v>
      </c>
      <c r="F1303" s="17">
        <v>1515438</v>
      </c>
      <c r="G1303" s="17">
        <v>49987</v>
      </c>
      <c r="H1303" s="17">
        <v>1565425</v>
      </c>
      <c r="I1303">
        <f>VLOOKUP(C1303,LEAIDs!$A$2:$B$305,2,FALSE)</f>
        <v>2200040</v>
      </c>
    </row>
    <row r="1304" spans="1:9" x14ac:dyDescent="0.2">
      <c r="A1304">
        <v>2200040</v>
      </c>
      <c r="B1304">
        <v>2017</v>
      </c>
      <c r="C1304" t="s">
        <v>116</v>
      </c>
      <c r="D1304" t="s">
        <v>232</v>
      </c>
      <c r="E1304" t="s">
        <v>234</v>
      </c>
      <c r="F1304" s="17">
        <v>1619581</v>
      </c>
      <c r="G1304" s="17">
        <v>55940</v>
      </c>
      <c r="H1304" s="17">
        <v>1675521</v>
      </c>
      <c r="I1304">
        <f>VLOOKUP(C1304,LEAIDs!$A$2:$B$305,2,FALSE)</f>
        <v>2200040</v>
      </c>
    </row>
    <row r="1305" spans="1:9" x14ac:dyDescent="0.2">
      <c r="A1305">
        <v>2200040</v>
      </c>
      <c r="B1305">
        <v>2018</v>
      </c>
      <c r="C1305" t="s">
        <v>116</v>
      </c>
      <c r="D1305" t="s">
        <v>232</v>
      </c>
      <c r="E1305" t="s">
        <v>234</v>
      </c>
      <c r="F1305" s="17">
        <v>1838282</v>
      </c>
      <c r="G1305" s="17">
        <v>60495</v>
      </c>
      <c r="H1305" s="17">
        <v>1898777</v>
      </c>
      <c r="I1305">
        <f>VLOOKUP(C1305,LEAIDs!$A$2:$B$305,2,FALSE)</f>
        <v>2200040</v>
      </c>
    </row>
    <row r="1306" spans="1:9" x14ac:dyDescent="0.2">
      <c r="A1306">
        <v>2200040</v>
      </c>
      <c r="B1306">
        <v>2019</v>
      </c>
      <c r="C1306" t="s">
        <v>116</v>
      </c>
      <c r="D1306" t="s">
        <v>232</v>
      </c>
      <c r="E1306" t="s">
        <v>234</v>
      </c>
      <c r="F1306" s="17">
        <v>1858298</v>
      </c>
      <c r="G1306" s="17">
        <v>62367</v>
      </c>
      <c r="H1306" s="17">
        <v>1920665</v>
      </c>
      <c r="I1306">
        <f>VLOOKUP(C1306,LEAIDs!$A$2:$B$305,2,FALSE)</f>
        <v>2200040</v>
      </c>
    </row>
    <row r="1307" spans="1:9" x14ac:dyDescent="0.2">
      <c r="A1307">
        <v>2200040</v>
      </c>
      <c r="B1307">
        <v>2020</v>
      </c>
      <c r="C1307" t="s">
        <v>116</v>
      </c>
      <c r="D1307" t="s">
        <v>232</v>
      </c>
      <c r="E1307" t="s">
        <v>234</v>
      </c>
      <c r="F1307" s="17">
        <v>1675970</v>
      </c>
      <c r="G1307" s="17">
        <v>59142</v>
      </c>
      <c r="H1307" s="17">
        <v>1735112</v>
      </c>
      <c r="I1307">
        <f>VLOOKUP(C1307,LEAIDs!$A$2:$B$305,2,FALSE)</f>
        <v>2200040</v>
      </c>
    </row>
    <row r="1308" spans="1:9" x14ac:dyDescent="0.2">
      <c r="A1308">
        <v>2200040</v>
      </c>
      <c r="B1308" s="2">
        <v>2021</v>
      </c>
      <c r="C1308" s="4" t="s">
        <v>116</v>
      </c>
      <c r="D1308" s="2" t="s">
        <v>232</v>
      </c>
      <c r="E1308" s="2" t="s">
        <v>234</v>
      </c>
      <c r="F1308" s="16">
        <v>1474476</v>
      </c>
      <c r="G1308" s="16">
        <v>51323</v>
      </c>
      <c r="H1308" s="15">
        <v>1525799</v>
      </c>
      <c r="I1308">
        <f>VLOOKUP(C1308,LEAIDs!$A$2:$B$305,2,FALSE)</f>
        <v>2200040</v>
      </c>
    </row>
    <row r="1309" spans="1:9" x14ac:dyDescent="0.2">
      <c r="A1309">
        <v>2200040</v>
      </c>
      <c r="B1309" s="2">
        <v>2022</v>
      </c>
      <c r="C1309" s="4" t="s">
        <v>116</v>
      </c>
      <c r="D1309" s="2" t="s">
        <v>232</v>
      </c>
      <c r="E1309" s="2" t="s">
        <v>234</v>
      </c>
      <c r="F1309" s="16">
        <v>1738238</v>
      </c>
      <c r="G1309" s="16">
        <v>62103</v>
      </c>
      <c r="H1309" s="15">
        <v>1800341</v>
      </c>
      <c r="I1309">
        <f>VLOOKUP(C1309,LEAIDs!$A$2:$B$305,2,FALSE)</f>
        <v>2200040</v>
      </c>
    </row>
    <row r="1310" spans="1:9" x14ac:dyDescent="0.2">
      <c r="A1310">
        <v>2200040</v>
      </c>
      <c r="B1310" s="2">
        <v>2023</v>
      </c>
      <c r="C1310" s="2" t="s">
        <v>116</v>
      </c>
      <c r="D1310" s="2" t="s">
        <v>232</v>
      </c>
      <c r="E1310" s="2" t="s">
        <v>234</v>
      </c>
      <c r="F1310" s="15">
        <v>1597652</v>
      </c>
      <c r="G1310" s="15">
        <v>56959</v>
      </c>
      <c r="H1310" s="15">
        <v>1654611</v>
      </c>
      <c r="I1310">
        <f>VLOOKUP(C1310,LEAIDs!$A$2:$B$305,2,FALSE)</f>
        <v>2200040</v>
      </c>
    </row>
    <row r="1311" spans="1:9" x14ac:dyDescent="0.2">
      <c r="A1311">
        <v>2200047</v>
      </c>
      <c r="B1311">
        <v>2015</v>
      </c>
      <c r="C1311" t="s">
        <v>192</v>
      </c>
      <c r="D1311" t="s">
        <v>232</v>
      </c>
      <c r="E1311" t="s">
        <v>234</v>
      </c>
      <c r="F1311" s="17">
        <v>693798</v>
      </c>
      <c r="G1311" s="17">
        <v>21328</v>
      </c>
      <c r="H1311" s="17">
        <v>715126</v>
      </c>
      <c r="I1311">
        <f>VLOOKUP(C1311,LEAIDs!$A$2:$B$305,2,FALSE)</f>
        <v>2200047</v>
      </c>
    </row>
    <row r="1312" spans="1:9" x14ac:dyDescent="0.2">
      <c r="A1312">
        <v>2200047</v>
      </c>
      <c r="B1312">
        <v>2016</v>
      </c>
      <c r="C1312" t="s">
        <v>192</v>
      </c>
      <c r="D1312" t="s">
        <v>232</v>
      </c>
      <c r="E1312" t="s">
        <v>234</v>
      </c>
      <c r="F1312" s="17">
        <v>742134</v>
      </c>
      <c r="G1312" s="17">
        <v>24479</v>
      </c>
      <c r="H1312" s="17">
        <v>766613</v>
      </c>
      <c r="I1312">
        <f>VLOOKUP(C1312,LEAIDs!$A$2:$B$305,2,FALSE)</f>
        <v>2200047</v>
      </c>
    </row>
    <row r="1313" spans="1:9" x14ac:dyDescent="0.2">
      <c r="A1313">
        <v>2200047</v>
      </c>
      <c r="B1313">
        <v>2017</v>
      </c>
      <c r="C1313" t="s">
        <v>192</v>
      </c>
      <c r="D1313" t="s">
        <v>232</v>
      </c>
      <c r="E1313" t="s">
        <v>234</v>
      </c>
      <c r="F1313" s="17">
        <v>824100</v>
      </c>
      <c r="G1313" s="17">
        <v>28464</v>
      </c>
      <c r="H1313" s="17">
        <v>852564</v>
      </c>
      <c r="I1313">
        <f>VLOOKUP(C1313,LEAIDs!$A$2:$B$305,2,FALSE)</f>
        <v>2200047</v>
      </c>
    </row>
    <row r="1314" spans="1:9" x14ac:dyDescent="0.2">
      <c r="A1314">
        <v>2200047</v>
      </c>
      <c r="B1314">
        <v>2018</v>
      </c>
      <c r="C1314" t="s">
        <v>192</v>
      </c>
      <c r="D1314" t="s">
        <v>232</v>
      </c>
      <c r="E1314" t="s">
        <v>234</v>
      </c>
      <c r="F1314" s="17">
        <v>844501</v>
      </c>
      <c r="G1314" s="17">
        <v>27791</v>
      </c>
      <c r="H1314" s="17">
        <v>872292</v>
      </c>
      <c r="I1314">
        <f>VLOOKUP(C1314,LEAIDs!$A$2:$B$305,2,FALSE)</f>
        <v>2200047</v>
      </c>
    </row>
    <row r="1315" spans="1:9" x14ac:dyDescent="0.2">
      <c r="A1315">
        <v>2200047</v>
      </c>
      <c r="B1315">
        <v>2019</v>
      </c>
      <c r="C1315" t="s">
        <v>192</v>
      </c>
      <c r="D1315" t="s">
        <v>232</v>
      </c>
      <c r="E1315" t="s">
        <v>234</v>
      </c>
      <c r="F1315" s="17">
        <v>1013414</v>
      </c>
      <c r="G1315" s="17">
        <v>34012</v>
      </c>
      <c r="H1315" s="17">
        <v>1047426</v>
      </c>
      <c r="I1315">
        <f>VLOOKUP(C1315,LEAIDs!$A$2:$B$305,2,FALSE)</f>
        <v>2200047</v>
      </c>
    </row>
    <row r="1316" spans="1:9" x14ac:dyDescent="0.2">
      <c r="A1316">
        <v>2200047</v>
      </c>
      <c r="B1316">
        <v>2020</v>
      </c>
      <c r="C1316" t="s">
        <v>192</v>
      </c>
      <c r="D1316" t="s">
        <v>232</v>
      </c>
      <c r="E1316" t="s">
        <v>234</v>
      </c>
      <c r="F1316" s="17">
        <v>971791</v>
      </c>
      <c r="G1316" s="17">
        <v>34293</v>
      </c>
      <c r="H1316" s="17">
        <v>1006084</v>
      </c>
      <c r="I1316">
        <f>VLOOKUP(C1316,LEAIDs!$A$2:$B$305,2,FALSE)</f>
        <v>2200047</v>
      </c>
    </row>
    <row r="1317" spans="1:9" x14ac:dyDescent="0.2">
      <c r="A1317">
        <v>2200047</v>
      </c>
      <c r="B1317" s="2">
        <v>2021</v>
      </c>
      <c r="C1317" s="4" t="s">
        <v>192</v>
      </c>
      <c r="D1317" s="2" t="s">
        <v>232</v>
      </c>
      <c r="E1317" s="2" t="s">
        <v>234</v>
      </c>
      <c r="F1317" s="16">
        <v>914660</v>
      </c>
      <c r="G1317" s="16">
        <v>31837</v>
      </c>
      <c r="H1317" s="15">
        <v>946497</v>
      </c>
      <c r="I1317">
        <f>VLOOKUP(C1317,LEAIDs!$A$2:$B$305,2,FALSE)</f>
        <v>2200047</v>
      </c>
    </row>
    <row r="1318" spans="1:9" x14ac:dyDescent="0.2">
      <c r="A1318">
        <v>2200047</v>
      </c>
      <c r="B1318" s="2">
        <v>2022</v>
      </c>
      <c r="C1318" s="4" t="s">
        <v>192</v>
      </c>
      <c r="D1318" s="2" t="s">
        <v>232</v>
      </c>
      <c r="E1318" s="2" t="s">
        <v>234</v>
      </c>
      <c r="F1318" s="16">
        <v>774783</v>
      </c>
      <c r="G1318" s="16">
        <v>27681</v>
      </c>
      <c r="H1318" s="15">
        <v>802464</v>
      </c>
      <c r="I1318">
        <f>VLOOKUP(C1318,LEAIDs!$A$2:$B$305,2,FALSE)</f>
        <v>2200047</v>
      </c>
    </row>
    <row r="1319" spans="1:9" x14ac:dyDescent="0.2">
      <c r="A1319">
        <v>2200047</v>
      </c>
      <c r="B1319" s="2">
        <v>2023</v>
      </c>
      <c r="C1319" s="2" t="s">
        <v>192</v>
      </c>
      <c r="D1319" s="2" t="s">
        <v>232</v>
      </c>
      <c r="E1319" s="2" t="s">
        <v>234</v>
      </c>
      <c r="F1319" s="15">
        <v>913934</v>
      </c>
      <c r="G1319" s="15">
        <v>32583</v>
      </c>
      <c r="H1319" s="15">
        <v>946517</v>
      </c>
      <c r="I1319">
        <f>VLOOKUP(C1319,LEAIDs!$A$2:$B$305,2,FALSE)</f>
        <v>2200047</v>
      </c>
    </row>
    <row r="1320" spans="1:9" x14ac:dyDescent="0.2">
      <c r="A1320">
        <v>2200054</v>
      </c>
      <c r="B1320">
        <v>2015</v>
      </c>
      <c r="C1320" t="s">
        <v>222</v>
      </c>
      <c r="D1320" t="s">
        <v>232</v>
      </c>
      <c r="E1320" t="s">
        <v>234</v>
      </c>
      <c r="F1320" s="17">
        <v>309650</v>
      </c>
      <c r="G1320" s="17">
        <v>9519</v>
      </c>
      <c r="H1320" s="17">
        <v>319169</v>
      </c>
      <c r="I1320">
        <f>VLOOKUP(C1320,LEAIDs!$A$2:$B$305,2,FALSE)</f>
        <v>2200054</v>
      </c>
    </row>
    <row r="1321" spans="1:9" x14ac:dyDescent="0.2">
      <c r="A1321">
        <v>2200054</v>
      </c>
      <c r="B1321">
        <v>2016</v>
      </c>
      <c r="C1321" t="s">
        <v>222</v>
      </c>
      <c r="D1321" t="s">
        <v>232</v>
      </c>
      <c r="E1321" t="s">
        <v>234</v>
      </c>
      <c r="F1321" s="17">
        <v>302432</v>
      </c>
      <c r="G1321" s="17">
        <v>9976</v>
      </c>
      <c r="H1321" s="17">
        <v>312408</v>
      </c>
      <c r="I1321">
        <f>VLOOKUP(C1321,LEAIDs!$A$2:$B$305,2,FALSE)</f>
        <v>2200054</v>
      </c>
    </row>
    <row r="1322" spans="1:9" x14ac:dyDescent="0.2">
      <c r="A1322">
        <v>2200054</v>
      </c>
      <c r="B1322">
        <v>2017</v>
      </c>
      <c r="C1322" t="s">
        <v>222</v>
      </c>
      <c r="D1322" t="s">
        <v>232</v>
      </c>
      <c r="E1322" t="s">
        <v>234</v>
      </c>
      <c r="F1322" s="17">
        <v>392427</v>
      </c>
      <c r="G1322" s="17">
        <v>13554</v>
      </c>
      <c r="H1322" s="17">
        <v>405981</v>
      </c>
      <c r="I1322">
        <f>VLOOKUP(C1322,LEAIDs!$A$2:$B$305,2,FALSE)</f>
        <v>2200054</v>
      </c>
    </row>
    <row r="1323" spans="1:9" x14ac:dyDescent="0.2">
      <c r="A1323">
        <v>2200054</v>
      </c>
      <c r="B1323">
        <v>2018</v>
      </c>
      <c r="C1323" t="s">
        <v>222</v>
      </c>
      <c r="D1323" t="s">
        <v>232</v>
      </c>
      <c r="E1323" t="s">
        <v>234</v>
      </c>
      <c r="F1323" s="17">
        <v>429762</v>
      </c>
      <c r="G1323" s="17">
        <v>14143</v>
      </c>
      <c r="H1323" s="17">
        <v>443905</v>
      </c>
      <c r="I1323">
        <f>VLOOKUP(C1323,LEAIDs!$A$2:$B$305,2,FALSE)</f>
        <v>2200054</v>
      </c>
    </row>
    <row r="1324" spans="1:9" x14ac:dyDescent="0.2">
      <c r="A1324">
        <v>2200054</v>
      </c>
      <c r="B1324">
        <v>2019</v>
      </c>
      <c r="C1324" t="s">
        <v>222</v>
      </c>
      <c r="D1324" t="s">
        <v>232</v>
      </c>
      <c r="E1324" t="s">
        <v>234</v>
      </c>
      <c r="F1324" s="17">
        <v>46459</v>
      </c>
      <c r="G1324" s="17">
        <v>1559</v>
      </c>
      <c r="H1324" s="17">
        <v>48018</v>
      </c>
      <c r="I1324">
        <f>VLOOKUP(C1324,LEAIDs!$A$2:$B$305,2,FALSE)</f>
        <v>2200054</v>
      </c>
    </row>
    <row r="1325" spans="1:9" x14ac:dyDescent="0.2">
      <c r="A1325">
        <v>2200054</v>
      </c>
      <c r="B1325">
        <v>2020</v>
      </c>
      <c r="C1325" t="s">
        <v>222</v>
      </c>
      <c r="D1325" t="s">
        <v>232</v>
      </c>
      <c r="E1325" t="s">
        <v>234</v>
      </c>
      <c r="F1325" s="17">
        <v>35877</v>
      </c>
      <c r="G1325" s="17">
        <v>1266</v>
      </c>
      <c r="H1325" s="17">
        <v>37143</v>
      </c>
      <c r="I1325">
        <f>VLOOKUP(C1325,LEAIDs!$A$2:$B$305,2,FALSE)</f>
        <v>2200054</v>
      </c>
    </row>
    <row r="1326" spans="1:9" x14ac:dyDescent="0.2">
      <c r="A1326">
        <v>2200054</v>
      </c>
      <c r="B1326" s="2">
        <v>2021</v>
      </c>
      <c r="C1326" s="4" t="s">
        <v>222</v>
      </c>
      <c r="D1326" s="2" t="s">
        <v>232</v>
      </c>
      <c r="E1326" s="2" t="s">
        <v>234</v>
      </c>
      <c r="F1326" s="16">
        <v>60932</v>
      </c>
      <c r="G1326" s="16">
        <v>2121</v>
      </c>
      <c r="H1326" s="15">
        <v>63053</v>
      </c>
      <c r="I1326">
        <f>VLOOKUP(C1326,LEAIDs!$A$2:$B$305,2,FALSE)</f>
        <v>2200054</v>
      </c>
    </row>
    <row r="1327" spans="1:9" x14ac:dyDescent="0.2">
      <c r="A1327">
        <v>2200054</v>
      </c>
      <c r="B1327" s="2">
        <v>2022</v>
      </c>
      <c r="C1327" s="4" t="s">
        <v>222</v>
      </c>
      <c r="D1327" s="2" t="s">
        <v>232</v>
      </c>
      <c r="E1327" s="2" t="s">
        <v>234</v>
      </c>
      <c r="F1327" s="16">
        <v>64760</v>
      </c>
      <c r="G1327" s="16">
        <v>2314</v>
      </c>
      <c r="H1327" s="15">
        <v>67074</v>
      </c>
      <c r="I1327">
        <f>VLOOKUP(C1327,LEAIDs!$A$2:$B$305,2,FALSE)</f>
        <v>2200054</v>
      </c>
    </row>
    <row r="1328" spans="1:9" x14ac:dyDescent="0.2">
      <c r="A1328">
        <v>2200054</v>
      </c>
      <c r="B1328" s="2">
        <v>2023</v>
      </c>
      <c r="C1328" s="2" t="s">
        <v>222</v>
      </c>
      <c r="D1328" s="2" t="s">
        <v>232</v>
      </c>
      <c r="E1328" s="2" t="s">
        <v>234</v>
      </c>
      <c r="F1328" s="15">
        <v>28449</v>
      </c>
      <c r="G1328" s="15">
        <v>1014</v>
      </c>
      <c r="H1328" s="15">
        <v>29463</v>
      </c>
      <c r="I1328">
        <f>VLOOKUP(C1328,LEAIDs!$A$2:$B$305,2,FALSE)</f>
        <v>2200054</v>
      </c>
    </row>
    <row r="1329" spans="1:9" x14ac:dyDescent="0.2">
      <c r="A1329">
        <v>2200056</v>
      </c>
      <c r="B1329">
        <v>2015</v>
      </c>
      <c r="C1329" t="s">
        <v>138</v>
      </c>
      <c r="D1329" t="s">
        <v>232</v>
      </c>
      <c r="E1329" t="s">
        <v>234</v>
      </c>
      <c r="F1329" s="17">
        <v>101038</v>
      </c>
      <c r="G1329" s="17">
        <v>3106</v>
      </c>
      <c r="H1329" s="17">
        <v>104144</v>
      </c>
      <c r="I1329">
        <f>VLOOKUP(C1329,LEAIDs!$A$2:$B$305,2,FALSE)</f>
        <v>2200056</v>
      </c>
    </row>
    <row r="1330" spans="1:9" x14ac:dyDescent="0.2">
      <c r="A1330">
        <v>2200056</v>
      </c>
      <c r="B1330">
        <v>2016</v>
      </c>
      <c r="C1330" t="s">
        <v>138</v>
      </c>
      <c r="D1330" t="s">
        <v>232</v>
      </c>
      <c r="E1330" t="s">
        <v>234</v>
      </c>
      <c r="F1330" s="17">
        <v>98827</v>
      </c>
      <c r="G1330" s="17">
        <v>3260</v>
      </c>
      <c r="H1330" s="17">
        <v>102087</v>
      </c>
      <c r="I1330">
        <f>VLOOKUP(C1330,LEAIDs!$A$2:$B$305,2,FALSE)</f>
        <v>2200056</v>
      </c>
    </row>
    <row r="1331" spans="1:9" x14ac:dyDescent="0.2">
      <c r="A1331">
        <v>2200056</v>
      </c>
      <c r="B1331">
        <v>2017</v>
      </c>
      <c r="C1331" t="s">
        <v>138</v>
      </c>
      <c r="D1331" t="s">
        <v>232</v>
      </c>
      <c r="E1331" t="s">
        <v>234</v>
      </c>
      <c r="F1331" s="17">
        <v>81107</v>
      </c>
      <c r="G1331" s="17">
        <v>2801</v>
      </c>
      <c r="H1331" s="17">
        <v>83908</v>
      </c>
      <c r="I1331">
        <f>VLOOKUP(C1331,LEAIDs!$A$2:$B$305,2,FALSE)</f>
        <v>2200056</v>
      </c>
    </row>
    <row r="1332" spans="1:9" x14ac:dyDescent="0.2">
      <c r="A1332">
        <v>2200056</v>
      </c>
      <c r="B1332">
        <v>2018</v>
      </c>
      <c r="C1332" t="s">
        <v>138</v>
      </c>
      <c r="D1332" t="s">
        <v>232</v>
      </c>
      <c r="E1332" t="s">
        <v>234</v>
      </c>
      <c r="F1332" s="17">
        <v>86952</v>
      </c>
      <c r="G1332" s="17">
        <v>2861</v>
      </c>
      <c r="H1332" s="17">
        <v>89813</v>
      </c>
      <c r="I1332">
        <f>VLOOKUP(C1332,LEAIDs!$A$2:$B$305,2,FALSE)</f>
        <v>2200056</v>
      </c>
    </row>
    <row r="1333" spans="1:9" x14ac:dyDescent="0.2">
      <c r="A1333">
        <v>2200056</v>
      </c>
      <c r="B1333">
        <v>2019</v>
      </c>
      <c r="C1333" t="s">
        <v>138</v>
      </c>
      <c r="D1333" t="s">
        <v>232</v>
      </c>
      <c r="E1333" t="s">
        <v>234</v>
      </c>
      <c r="F1333" s="17">
        <v>80163</v>
      </c>
      <c r="G1333" s="17">
        <v>2690</v>
      </c>
      <c r="H1333" s="17">
        <v>82853</v>
      </c>
      <c r="I1333">
        <f>VLOOKUP(C1333,LEAIDs!$A$2:$B$305,2,FALSE)</f>
        <v>2200056</v>
      </c>
    </row>
    <row r="1334" spans="1:9" x14ac:dyDescent="0.2">
      <c r="A1334">
        <v>2200056</v>
      </c>
      <c r="B1334">
        <v>2020</v>
      </c>
      <c r="C1334" t="s">
        <v>138</v>
      </c>
      <c r="D1334" t="s">
        <v>232</v>
      </c>
      <c r="E1334" t="s">
        <v>234</v>
      </c>
      <c r="F1334" s="17">
        <v>86599</v>
      </c>
      <c r="G1334" s="17">
        <v>3056</v>
      </c>
      <c r="H1334" s="17">
        <v>89655</v>
      </c>
      <c r="I1334">
        <f>VLOOKUP(C1334,LEAIDs!$A$2:$B$305,2,FALSE)</f>
        <v>2200056</v>
      </c>
    </row>
    <row r="1335" spans="1:9" x14ac:dyDescent="0.2">
      <c r="A1335">
        <v>2200056</v>
      </c>
      <c r="B1335" s="2">
        <v>2021</v>
      </c>
      <c r="C1335" s="4" t="s">
        <v>138</v>
      </c>
      <c r="D1335" s="2" t="s">
        <v>232</v>
      </c>
      <c r="E1335" s="2" t="s">
        <v>234</v>
      </c>
      <c r="F1335" s="16">
        <v>103082</v>
      </c>
      <c r="G1335" s="16">
        <v>3588</v>
      </c>
      <c r="H1335" s="15">
        <v>106670</v>
      </c>
      <c r="I1335">
        <f>VLOOKUP(C1335,LEAIDs!$A$2:$B$305,2,FALSE)</f>
        <v>2200056</v>
      </c>
    </row>
    <row r="1336" spans="1:9" x14ac:dyDescent="0.2">
      <c r="A1336">
        <v>2200056</v>
      </c>
      <c r="B1336" s="2">
        <v>2022</v>
      </c>
      <c r="C1336" s="4" t="s">
        <v>138</v>
      </c>
      <c r="D1336" s="2" t="s">
        <v>232</v>
      </c>
      <c r="E1336" s="2" t="s">
        <v>234</v>
      </c>
      <c r="F1336" s="16">
        <v>131661</v>
      </c>
      <c r="G1336" s="16">
        <v>4704</v>
      </c>
      <c r="H1336" s="15">
        <v>136365</v>
      </c>
      <c r="I1336">
        <f>VLOOKUP(C1336,LEAIDs!$A$2:$B$305,2,FALSE)</f>
        <v>2200056</v>
      </c>
    </row>
    <row r="1337" spans="1:9" x14ac:dyDescent="0.2">
      <c r="A1337">
        <v>2200056</v>
      </c>
      <c r="B1337" s="2">
        <v>2023</v>
      </c>
      <c r="C1337" s="2" t="s">
        <v>138</v>
      </c>
      <c r="D1337" s="2" t="s">
        <v>232</v>
      </c>
      <c r="E1337" s="2" t="s">
        <v>234</v>
      </c>
      <c r="F1337" s="15">
        <v>134179</v>
      </c>
      <c r="G1337" s="15">
        <v>4784</v>
      </c>
      <c r="H1337" s="15">
        <v>138963</v>
      </c>
      <c r="I1337">
        <f>VLOOKUP(C1337,LEAIDs!$A$2:$B$305,2,FALSE)</f>
        <v>2200056</v>
      </c>
    </row>
    <row r="1338" spans="1:9" x14ac:dyDescent="0.2">
      <c r="A1338">
        <v>2200060</v>
      </c>
      <c r="B1338">
        <v>2015</v>
      </c>
      <c r="C1338" t="s">
        <v>1</v>
      </c>
      <c r="D1338" t="s">
        <v>232</v>
      </c>
      <c r="E1338" t="s">
        <v>234</v>
      </c>
      <c r="F1338" s="17">
        <v>6527825</v>
      </c>
      <c r="G1338" s="17">
        <v>200669</v>
      </c>
      <c r="H1338" s="17">
        <v>6728494</v>
      </c>
      <c r="I1338">
        <f>VLOOKUP(C1338,LEAIDs!$A$2:$B$305,2,FALSE)</f>
        <v>2200060</v>
      </c>
    </row>
    <row r="1339" spans="1:9" x14ac:dyDescent="0.2">
      <c r="A1339">
        <v>2200060</v>
      </c>
      <c r="B1339">
        <v>2016</v>
      </c>
      <c r="C1339" t="s">
        <v>1</v>
      </c>
      <c r="D1339" t="s">
        <v>232</v>
      </c>
      <c r="E1339" t="s">
        <v>234</v>
      </c>
      <c r="F1339" s="17">
        <v>6162176</v>
      </c>
      <c r="G1339" s="17">
        <v>203259</v>
      </c>
      <c r="H1339" s="17">
        <v>6365435</v>
      </c>
      <c r="I1339">
        <f>VLOOKUP(C1339,LEAIDs!$A$2:$B$305,2,FALSE)</f>
        <v>2200060</v>
      </c>
    </row>
    <row r="1340" spans="1:9" x14ac:dyDescent="0.2">
      <c r="A1340">
        <v>2200060</v>
      </c>
      <c r="B1340">
        <v>2017</v>
      </c>
      <c r="C1340" t="s">
        <v>1</v>
      </c>
      <c r="D1340" t="s">
        <v>232</v>
      </c>
      <c r="E1340" t="s">
        <v>234</v>
      </c>
      <c r="F1340" s="17">
        <v>5774017</v>
      </c>
      <c r="G1340" s="17">
        <v>199432</v>
      </c>
      <c r="H1340" s="17">
        <v>5973449</v>
      </c>
      <c r="I1340">
        <f>VLOOKUP(C1340,LEAIDs!$A$2:$B$305,2,FALSE)</f>
        <v>2200060</v>
      </c>
    </row>
    <row r="1341" spans="1:9" x14ac:dyDescent="0.2">
      <c r="A1341">
        <v>2200060</v>
      </c>
      <c r="B1341">
        <v>2018</v>
      </c>
      <c r="C1341" t="s">
        <v>1</v>
      </c>
      <c r="D1341" t="s">
        <v>232</v>
      </c>
      <c r="E1341" t="s">
        <v>234</v>
      </c>
      <c r="F1341" s="17">
        <v>5839160</v>
      </c>
      <c r="G1341" s="17">
        <v>192158</v>
      </c>
      <c r="H1341" s="17">
        <v>6031318</v>
      </c>
      <c r="I1341">
        <f>VLOOKUP(C1341,LEAIDs!$A$2:$B$305,2,FALSE)</f>
        <v>2200060</v>
      </c>
    </row>
    <row r="1342" spans="1:9" x14ac:dyDescent="0.2">
      <c r="A1342">
        <v>2200060</v>
      </c>
      <c r="B1342">
        <v>2019</v>
      </c>
      <c r="C1342" t="s">
        <v>1</v>
      </c>
      <c r="D1342" t="s">
        <v>232</v>
      </c>
      <c r="E1342" t="s">
        <v>234</v>
      </c>
      <c r="F1342" s="17">
        <v>5789396</v>
      </c>
      <c r="G1342" s="17">
        <v>194301</v>
      </c>
      <c r="H1342" s="17">
        <v>5983697</v>
      </c>
      <c r="I1342">
        <f>VLOOKUP(C1342,LEAIDs!$A$2:$B$305,2,FALSE)</f>
        <v>2200060</v>
      </c>
    </row>
    <row r="1343" spans="1:9" x14ac:dyDescent="0.2">
      <c r="A1343">
        <v>2200060</v>
      </c>
      <c r="B1343">
        <v>2020</v>
      </c>
      <c r="C1343" t="s">
        <v>1</v>
      </c>
      <c r="D1343" t="s">
        <v>232</v>
      </c>
      <c r="E1343" t="s">
        <v>234</v>
      </c>
      <c r="F1343" s="17">
        <v>5530364</v>
      </c>
      <c r="G1343" s="17">
        <v>195158</v>
      </c>
      <c r="H1343" s="17">
        <v>5725522</v>
      </c>
      <c r="I1343">
        <f>VLOOKUP(C1343,LEAIDs!$A$2:$B$305,2,FALSE)</f>
        <v>2200060</v>
      </c>
    </row>
    <row r="1344" spans="1:9" x14ac:dyDescent="0.2">
      <c r="A1344">
        <v>2200060</v>
      </c>
      <c r="B1344" s="2">
        <v>2021</v>
      </c>
      <c r="C1344" s="4" t="s">
        <v>1</v>
      </c>
      <c r="D1344" s="2" t="s">
        <v>232</v>
      </c>
      <c r="E1344" s="2" t="s">
        <v>234</v>
      </c>
      <c r="F1344" s="16">
        <v>5537199</v>
      </c>
      <c r="G1344" s="16">
        <v>192735</v>
      </c>
      <c r="H1344" s="15">
        <v>5729934</v>
      </c>
      <c r="I1344">
        <f>VLOOKUP(C1344,LEAIDs!$A$2:$B$305,2,FALSE)</f>
        <v>2200060</v>
      </c>
    </row>
    <row r="1345" spans="1:9" x14ac:dyDescent="0.2">
      <c r="A1345">
        <v>2200060</v>
      </c>
      <c r="B1345" s="2">
        <v>2022</v>
      </c>
      <c r="C1345" s="4" t="s">
        <v>1</v>
      </c>
      <c r="D1345" s="2" t="s">
        <v>232</v>
      </c>
      <c r="E1345" s="2" t="s">
        <v>234</v>
      </c>
      <c r="F1345" s="16">
        <v>5800925</v>
      </c>
      <c r="G1345" s="16">
        <v>207253</v>
      </c>
      <c r="H1345" s="15">
        <v>6008178</v>
      </c>
      <c r="I1345">
        <f>VLOOKUP(C1345,LEAIDs!$A$2:$B$305,2,FALSE)</f>
        <v>2200060</v>
      </c>
    </row>
    <row r="1346" spans="1:9" x14ac:dyDescent="0.2">
      <c r="A1346">
        <v>2200060</v>
      </c>
      <c r="B1346" s="2">
        <v>2023</v>
      </c>
      <c r="C1346" s="2" t="s">
        <v>1</v>
      </c>
      <c r="D1346" s="2" t="s">
        <v>232</v>
      </c>
      <c r="E1346" s="2" t="s">
        <v>234</v>
      </c>
      <c r="F1346" s="15">
        <v>6264813</v>
      </c>
      <c r="G1346" s="15">
        <v>223351</v>
      </c>
      <c r="H1346" s="15">
        <v>6488164</v>
      </c>
      <c r="I1346">
        <f>VLOOKUP(C1346,LEAIDs!$A$2:$B$305,2,FALSE)</f>
        <v>2200060</v>
      </c>
    </row>
    <row r="1347" spans="1:9" x14ac:dyDescent="0.2">
      <c r="A1347">
        <v>2200090</v>
      </c>
      <c r="B1347">
        <v>2015</v>
      </c>
      <c r="C1347" t="s">
        <v>2</v>
      </c>
      <c r="D1347" t="s">
        <v>232</v>
      </c>
      <c r="E1347" t="s">
        <v>234</v>
      </c>
      <c r="F1347" s="17">
        <v>29287391</v>
      </c>
      <c r="G1347" s="17">
        <v>900311</v>
      </c>
      <c r="H1347" s="17">
        <v>30187702</v>
      </c>
      <c r="I1347">
        <f>VLOOKUP(C1347,LEAIDs!$A$2:$B$305,2,FALSE)</f>
        <v>2200090</v>
      </c>
    </row>
    <row r="1348" spans="1:9" x14ac:dyDescent="0.2">
      <c r="A1348">
        <v>2200090</v>
      </c>
      <c r="B1348">
        <v>2016</v>
      </c>
      <c r="C1348" t="s">
        <v>2</v>
      </c>
      <c r="D1348" t="s">
        <v>232</v>
      </c>
      <c r="E1348" t="s">
        <v>234</v>
      </c>
      <c r="F1348" s="17">
        <v>28606364</v>
      </c>
      <c r="G1348" s="17">
        <v>943580</v>
      </c>
      <c r="H1348" s="17">
        <v>29549944</v>
      </c>
      <c r="I1348">
        <f>VLOOKUP(C1348,LEAIDs!$A$2:$B$305,2,FALSE)</f>
        <v>2200090</v>
      </c>
    </row>
    <row r="1349" spans="1:9" x14ac:dyDescent="0.2">
      <c r="A1349">
        <v>2200090</v>
      </c>
      <c r="B1349">
        <v>2017</v>
      </c>
      <c r="C1349" t="s">
        <v>2</v>
      </c>
      <c r="D1349" t="s">
        <v>232</v>
      </c>
      <c r="E1349" t="s">
        <v>234</v>
      </c>
      <c r="F1349" s="17">
        <v>28079867</v>
      </c>
      <c r="G1349" s="17">
        <v>969866</v>
      </c>
      <c r="H1349" s="17">
        <v>29049733</v>
      </c>
      <c r="I1349">
        <f>VLOOKUP(C1349,LEAIDs!$A$2:$B$305,2,FALSE)</f>
        <v>2200090</v>
      </c>
    </row>
    <row r="1350" spans="1:9" x14ac:dyDescent="0.2">
      <c r="A1350">
        <v>2200090</v>
      </c>
      <c r="B1350">
        <v>2018</v>
      </c>
      <c r="C1350" t="s">
        <v>2</v>
      </c>
      <c r="D1350" t="s">
        <v>232</v>
      </c>
      <c r="E1350" t="s">
        <v>234</v>
      </c>
      <c r="F1350" s="17">
        <v>29264545</v>
      </c>
      <c r="G1350" s="17">
        <v>963050</v>
      </c>
      <c r="H1350" s="17">
        <v>30227595</v>
      </c>
      <c r="I1350">
        <f>VLOOKUP(C1350,LEAIDs!$A$2:$B$305,2,FALSE)</f>
        <v>2200090</v>
      </c>
    </row>
    <row r="1351" spans="1:9" x14ac:dyDescent="0.2">
      <c r="A1351">
        <v>2200090</v>
      </c>
      <c r="B1351">
        <v>2019</v>
      </c>
      <c r="C1351" t="s">
        <v>2</v>
      </c>
      <c r="D1351" t="s">
        <v>232</v>
      </c>
      <c r="E1351" t="s">
        <v>234</v>
      </c>
      <c r="F1351" s="17">
        <v>28236274</v>
      </c>
      <c r="G1351" s="17">
        <v>947654</v>
      </c>
      <c r="H1351" s="17">
        <v>29183928</v>
      </c>
      <c r="I1351">
        <f>VLOOKUP(C1351,LEAIDs!$A$2:$B$305,2,FALSE)</f>
        <v>2200090</v>
      </c>
    </row>
    <row r="1352" spans="1:9" x14ac:dyDescent="0.2">
      <c r="A1352">
        <v>2200090</v>
      </c>
      <c r="B1352">
        <v>2020</v>
      </c>
      <c r="C1352" t="s">
        <v>2</v>
      </c>
      <c r="D1352" t="s">
        <v>232</v>
      </c>
      <c r="E1352" t="s">
        <v>234</v>
      </c>
      <c r="F1352" s="17">
        <v>29706615</v>
      </c>
      <c r="G1352" s="17">
        <v>1048301</v>
      </c>
      <c r="H1352" s="17">
        <v>30754916</v>
      </c>
      <c r="I1352">
        <f>VLOOKUP(C1352,LEAIDs!$A$2:$B$305,2,FALSE)</f>
        <v>2200090</v>
      </c>
    </row>
    <row r="1353" spans="1:9" x14ac:dyDescent="0.2">
      <c r="A1353">
        <v>2200090</v>
      </c>
      <c r="B1353" s="2">
        <v>2021</v>
      </c>
      <c r="C1353" s="4" t="s">
        <v>2</v>
      </c>
      <c r="D1353" s="2" t="s">
        <v>232</v>
      </c>
      <c r="E1353" s="2" t="s">
        <v>234</v>
      </c>
      <c r="F1353" s="16">
        <v>30482997</v>
      </c>
      <c r="G1353" s="16">
        <v>1061032</v>
      </c>
      <c r="H1353" s="15">
        <v>31544029</v>
      </c>
      <c r="I1353">
        <f>VLOOKUP(C1353,LEAIDs!$A$2:$B$305,2,FALSE)</f>
        <v>2200090</v>
      </c>
    </row>
    <row r="1354" spans="1:9" x14ac:dyDescent="0.2">
      <c r="A1354">
        <v>2200090</v>
      </c>
      <c r="B1354" s="2">
        <v>2022</v>
      </c>
      <c r="C1354" s="4" t="s">
        <v>2</v>
      </c>
      <c r="D1354" s="2" t="s">
        <v>232</v>
      </c>
      <c r="E1354" s="2" t="s">
        <v>234</v>
      </c>
      <c r="F1354" s="16">
        <v>31953546</v>
      </c>
      <c r="G1354" s="16">
        <v>1141624</v>
      </c>
      <c r="H1354" s="15">
        <v>33095170</v>
      </c>
      <c r="I1354">
        <f>VLOOKUP(C1354,LEAIDs!$A$2:$B$305,2,FALSE)</f>
        <v>2200090</v>
      </c>
    </row>
    <row r="1355" spans="1:9" x14ac:dyDescent="0.2">
      <c r="A1355">
        <v>2200090</v>
      </c>
      <c r="B1355" s="2">
        <v>2023</v>
      </c>
      <c r="C1355" s="2" t="s">
        <v>2</v>
      </c>
      <c r="D1355" s="2" t="s">
        <v>232</v>
      </c>
      <c r="E1355" s="2" t="s">
        <v>234</v>
      </c>
      <c r="F1355" s="15">
        <v>33950435</v>
      </c>
      <c r="G1355" s="15">
        <v>1210389</v>
      </c>
      <c r="H1355" s="15">
        <v>35160824</v>
      </c>
      <c r="I1355">
        <f>VLOOKUP(C1355,LEAIDs!$A$2:$B$305,2,FALSE)</f>
        <v>2200090</v>
      </c>
    </row>
    <row r="1356" spans="1:9" x14ac:dyDescent="0.2">
      <c r="A1356">
        <v>2200120</v>
      </c>
      <c r="B1356">
        <v>2015</v>
      </c>
      <c r="C1356" t="s">
        <v>3</v>
      </c>
      <c r="D1356" t="s">
        <v>232</v>
      </c>
      <c r="E1356" t="s">
        <v>234</v>
      </c>
      <c r="F1356" s="17">
        <v>5521991</v>
      </c>
      <c r="G1356" s="17">
        <v>169749</v>
      </c>
      <c r="H1356" s="17">
        <v>5691740</v>
      </c>
      <c r="I1356">
        <f>VLOOKUP(C1356,LEAIDs!$A$2:$B$305,2,FALSE)</f>
        <v>2200120</v>
      </c>
    </row>
    <row r="1357" spans="1:9" x14ac:dyDescent="0.2">
      <c r="A1357">
        <v>2200120</v>
      </c>
      <c r="B1357">
        <v>2016</v>
      </c>
      <c r="C1357" t="s">
        <v>3</v>
      </c>
      <c r="D1357" t="s">
        <v>232</v>
      </c>
      <c r="E1357" t="s">
        <v>234</v>
      </c>
      <c r="F1357" s="17">
        <v>5216692</v>
      </c>
      <c r="G1357" s="17">
        <v>172072</v>
      </c>
      <c r="H1357" s="17">
        <v>5388764</v>
      </c>
      <c r="I1357">
        <f>VLOOKUP(C1357,LEAIDs!$A$2:$B$305,2,FALSE)</f>
        <v>2200120</v>
      </c>
    </row>
    <row r="1358" spans="1:9" x14ac:dyDescent="0.2">
      <c r="A1358">
        <v>2200120</v>
      </c>
      <c r="B1358">
        <v>2017</v>
      </c>
      <c r="C1358" t="s">
        <v>3</v>
      </c>
      <c r="D1358" t="s">
        <v>232</v>
      </c>
      <c r="E1358" t="s">
        <v>234</v>
      </c>
      <c r="F1358" s="17">
        <v>4761352</v>
      </c>
      <c r="G1358" s="17">
        <v>164455</v>
      </c>
      <c r="H1358" s="17">
        <v>4925807</v>
      </c>
      <c r="I1358">
        <f>VLOOKUP(C1358,LEAIDs!$A$2:$B$305,2,FALSE)</f>
        <v>2200120</v>
      </c>
    </row>
    <row r="1359" spans="1:9" x14ac:dyDescent="0.2">
      <c r="A1359">
        <v>2200120</v>
      </c>
      <c r="B1359">
        <v>2018</v>
      </c>
      <c r="C1359" t="s">
        <v>3</v>
      </c>
      <c r="D1359" t="s">
        <v>232</v>
      </c>
      <c r="E1359" t="s">
        <v>234</v>
      </c>
      <c r="F1359" s="17">
        <v>4711664</v>
      </c>
      <c r="G1359" s="17">
        <v>155053</v>
      </c>
      <c r="H1359" s="17">
        <v>4866717</v>
      </c>
      <c r="I1359">
        <f>VLOOKUP(C1359,LEAIDs!$A$2:$B$305,2,FALSE)</f>
        <v>2200120</v>
      </c>
    </row>
    <row r="1360" spans="1:9" x14ac:dyDescent="0.2">
      <c r="A1360">
        <v>2200120</v>
      </c>
      <c r="B1360">
        <v>2019</v>
      </c>
      <c r="C1360" t="s">
        <v>3</v>
      </c>
      <c r="D1360" t="s">
        <v>232</v>
      </c>
      <c r="E1360" t="s">
        <v>234</v>
      </c>
      <c r="F1360" s="17">
        <v>4115279</v>
      </c>
      <c r="G1360" s="17">
        <v>138115</v>
      </c>
      <c r="H1360" s="17">
        <v>4253394</v>
      </c>
      <c r="I1360">
        <f>VLOOKUP(C1360,LEAIDs!$A$2:$B$305,2,FALSE)</f>
        <v>2200120</v>
      </c>
    </row>
    <row r="1361" spans="1:9" x14ac:dyDescent="0.2">
      <c r="A1361">
        <v>2200120</v>
      </c>
      <c r="B1361">
        <v>2020</v>
      </c>
      <c r="C1361" t="s">
        <v>3</v>
      </c>
      <c r="D1361" t="s">
        <v>232</v>
      </c>
      <c r="E1361" t="s">
        <v>234</v>
      </c>
      <c r="F1361" s="17">
        <v>4218656</v>
      </c>
      <c r="G1361" s="17">
        <v>148870</v>
      </c>
      <c r="H1361" s="17">
        <v>4367526</v>
      </c>
      <c r="I1361">
        <f>VLOOKUP(C1361,LEAIDs!$A$2:$B$305,2,FALSE)</f>
        <v>2200120</v>
      </c>
    </row>
    <row r="1362" spans="1:9" x14ac:dyDescent="0.2">
      <c r="A1362">
        <v>2200120</v>
      </c>
      <c r="B1362" s="2">
        <v>2021</v>
      </c>
      <c r="C1362" s="4" t="s">
        <v>3</v>
      </c>
      <c r="D1362" s="2" t="s">
        <v>232</v>
      </c>
      <c r="E1362" s="2" t="s">
        <v>234</v>
      </c>
      <c r="F1362" s="16">
        <v>4259775</v>
      </c>
      <c r="G1362" s="16">
        <v>148271</v>
      </c>
      <c r="H1362" s="15">
        <v>4408046</v>
      </c>
      <c r="I1362">
        <f>VLOOKUP(C1362,LEAIDs!$A$2:$B$305,2,FALSE)</f>
        <v>2200120</v>
      </c>
    </row>
    <row r="1363" spans="1:9" x14ac:dyDescent="0.2">
      <c r="A1363">
        <v>2200120</v>
      </c>
      <c r="B1363" s="2">
        <v>2022</v>
      </c>
      <c r="C1363" s="4" t="s">
        <v>3</v>
      </c>
      <c r="D1363" s="2" t="s">
        <v>232</v>
      </c>
      <c r="E1363" s="2" t="s">
        <v>234</v>
      </c>
      <c r="F1363" s="16">
        <v>4268274</v>
      </c>
      <c r="G1363" s="16">
        <v>152495</v>
      </c>
      <c r="H1363" s="15">
        <v>4420769</v>
      </c>
      <c r="I1363">
        <f>VLOOKUP(C1363,LEAIDs!$A$2:$B$305,2,FALSE)</f>
        <v>2200120</v>
      </c>
    </row>
    <row r="1364" spans="1:9" x14ac:dyDescent="0.2">
      <c r="A1364">
        <v>2200120</v>
      </c>
      <c r="B1364" s="2">
        <v>2023</v>
      </c>
      <c r="C1364" s="2" t="s">
        <v>3</v>
      </c>
      <c r="D1364" s="2" t="s">
        <v>232</v>
      </c>
      <c r="E1364" s="2" t="s">
        <v>234</v>
      </c>
      <c r="F1364" s="15">
        <v>4248229</v>
      </c>
      <c r="G1364" s="15">
        <v>151456</v>
      </c>
      <c r="H1364" s="15">
        <v>4399685</v>
      </c>
      <c r="I1364">
        <f>VLOOKUP(C1364,LEAIDs!$A$2:$B$305,2,FALSE)</f>
        <v>2200120</v>
      </c>
    </row>
    <row r="1365" spans="1:9" x14ac:dyDescent="0.2">
      <c r="A1365">
        <v>2200146</v>
      </c>
      <c r="B1365">
        <v>2015</v>
      </c>
      <c r="C1365" t="s">
        <v>134</v>
      </c>
      <c r="D1365" t="s">
        <v>232</v>
      </c>
      <c r="E1365" t="s">
        <v>234</v>
      </c>
      <c r="F1365" s="17">
        <v>875359</v>
      </c>
      <c r="G1365" s="17">
        <v>26909</v>
      </c>
      <c r="H1365" s="17">
        <v>902268</v>
      </c>
      <c r="I1365">
        <f>VLOOKUP(C1365,LEAIDs!$A$2:$B$305,2,FALSE)</f>
        <v>2200146</v>
      </c>
    </row>
    <row r="1366" spans="1:9" x14ac:dyDescent="0.2">
      <c r="A1366">
        <v>2200146</v>
      </c>
      <c r="B1366">
        <v>2016</v>
      </c>
      <c r="C1366" t="s">
        <v>134</v>
      </c>
      <c r="D1366" t="s">
        <v>232</v>
      </c>
      <c r="E1366" t="s">
        <v>234</v>
      </c>
      <c r="F1366" s="17">
        <v>904691</v>
      </c>
      <c r="G1366" s="17">
        <v>29841</v>
      </c>
      <c r="H1366" s="17">
        <v>934532</v>
      </c>
      <c r="I1366">
        <f>VLOOKUP(C1366,LEAIDs!$A$2:$B$305,2,FALSE)</f>
        <v>2200146</v>
      </c>
    </row>
    <row r="1367" spans="1:9" x14ac:dyDescent="0.2">
      <c r="A1367">
        <v>2200146</v>
      </c>
      <c r="B1367">
        <v>2017</v>
      </c>
      <c r="C1367" t="s">
        <v>134</v>
      </c>
      <c r="D1367" t="s">
        <v>232</v>
      </c>
      <c r="E1367" t="s">
        <v>234</v>
      </c>
      <c r="F1367" s="17">
        <v>800992</v>
      </c>
      <c r="G1367" s="17">
        <v>27666</v>
      </c>
      <c r="H1367" s="17">
        <v>828658</v>
      </c>
      <c r="I1367">
        <f>VLOOKUP(C1367,LEAIDs!$A$2:$B$305,2,FALSE)</f>
        <v>2200146</v>
      </c>
    </row>
    <row r="1368" spans="1:9" x14ac:dyDescent="0.2">
      <c r="A1368">
        <v>2200146</v>
      </c>
      <c r="B1368">
        <v>2018</v>
      </c>
      <c r="C1368" t="s">
        <v>134</v>
      </c>
      <c r="D1368" t="s">
        <v>232</v>
      </c>
      <c r="E1368" t="s">
        <v>234</v>
      </c>
      <c r="F1368" s="17">
        <v>982832</v>
      </c>
      <c r="G1368" s="17">
        <v>32343</v>
      </c>
      <c r="H1368" s="17">
        <v>1015175</v>
      </c>
      <c r="I1368">
        <f>VLOOKUP(C1368,LEAIDs!$A$2:$B$305,2,FALSE)</f>
        <v>2200146</v>
      </c>
    </row>
    <row r="1369" spans="1:9" x14ac:dyDescent="0.2">
      <c r="A1369">
        <v>2200146</v>
      </c>
      <c r="B1369">
        <v>2019</v>
      </c>
      <c r="C1369" t="s">
        <v>134</v>
      </c>
      <c r="D1369" t="s">
        <v>232</v>
      </c>
      <c r="E1369" t="s">
        <v>234</v>
      </c>
      <c r="F1369" s="17">
        <v>1053823</v>
      </c>
      <c r="G1369" s="17">
        <v>35368</v>
      </c>
      <c r="H1369" s="17">
        <v>1089191</v>
      </c>
      <c r="I1369">
        <f>VLOOKUP(C1369,LEAIDs!$A$2:$B$305,2,FALSE)</f>
        <v>2200146</v>
      </c>
    </row>
    <row r="1370" spans="1:9" x14ac:dyDescent="0.2">
      <c r="A1370">
        <v>2200146</v>
      </c>
      <c r="B1370">
        <v>2020</v>
      </c>
      <c r="C1370" t="s">
        <v>134</v>
      </c>
      <c r="D1370" t="s">
        <v>232</v>
      </c>
      <c r="E1370" t="s">
        <v>234</v>
      </c>
      <c r="F1370" s="17">
        <v>1124557</v>
      </c>
      <c r="G1370" s="17">
        <v>39684</v>
      </c>
      <c r="H1370" s="17">
        <v>1164241</v>
      </c>
      <c r="I1370">
        <f>VLOOKUP(C1370,LEAIDs!$A$2:$B$305,2,FALSE)</f>
        <v>2200146</v>
      </c>
    </row>
    <row r="1371" spans="1:9" x14ac:dyDescent="0.2">
      <c r="A1371">
        <v>2200146</v>
      </c>
      <c r="B1371" s="2">
        <v>2021</v>
      </c>
      <c r="C1371" s="4" t="s">
        <v>134</v>
      </c>
      <c r="D1371" s="2" t="s">
        <v>232</v>
      </c>
      <c r="E1371" s="2" t="s">
        <v>234</v>
      </c>
      <c r="F1371" s="16">
        <v>1212761</v>
      </c>
      <c r="G1371" s="16">
        <v>42213</v>
      </c>
      <c r="H1371" s="15">
        <v>1254974</v>
      </c>
      <c r="I1371">
        <f>VLOOKUP(C1371,LEAIDs!$A$2:$B$305,2,FALSE)</f>
        <v>2200146</v>
      </c>
    </row>
    <row r="1372" spans="1:9" x14ac:dyDescent="0.2">
      <c r="A1372">
        <v>2200146</v>
      </c>
      <c r="B1372" s="2">
        <v>2022</v>
      </c>
      <c r="C1372" s="4" t="s">
        <v>134</v>
      </c>
      <c r="D1372" s="2" t="s">
        <v>232</v>
      </c>
      <c r="E1372" s="2" t="s">
        <v>234</v>
      </c>
      <c r="F1372" s="16">
        <v>1263518</v>
      </c>
      <c r="G1372" s="16">
        <v>45142</v>
      </c>
      <c r="H1372" s="15">
        <v>1308660</v>
      </c>
      <c r="I1372">
        <f>VLOOKUP(C1372,LEAIDs!$A$2:$B$305,2,FALSE)</f>
        <v>2200146</v>
      </c>
    </row>
    <row r="1373" spans="1:9" x14ac:dyDescent="0.2">
      <c r="A1373">
        <v>2200146</v>
      </c>
      <c r="B1373" s="2">
        <v>2023</v>
      </c>
      <c r="C1373" s="2" t="s">
        <v>134</v>
      </c>
      <c r="D1373" s="2" t="s">
        <v>232</v>
      </c>
      <c r="E1373" s="2" t="s">
        <v>234</v>
      </c>
      <c r="F1373" s="15">
        <v>1160948</v>
      </c>
      <c r="G1373" s="15">
        <v>41390</v>
      </c>
      <c r="H1373" s="15">
        <v>1202338</v>
      </c>
      <c r="I1373">
        <f>VLOOKUP(C1373,LEAIDs!$A$2:$B$305,2,FALSE)</f>
        <v>2200146</v>
      </c>
    </row>
    <row r="1374" spans="1:9" x14ac:dyDescent="0.2">
      <c r="A1374">
        <v>2200150</v>
      </c>
      <c r="B1374">
        <v>2015</v>
      </c>
      <c r="C1374" t="s">
        <v>4</v>
      </c>
      <c r="D1374" t="s">
        <v>232</v>
      </c>
      <c r="E1374" t="s">
        <v>234</v>
      </c>
      <c r="F1374" s="17">
        <v>5695760</v>
      </c>
      <c r="G1374" s="17">
        <v>175091</v>
      </c>
      <c r="H1374" s="17">
        <v>5870851</v>
      </c>
      <c r="I1374">
        <f>VLOOKUP(C1374,LEAIDs!$A$2:$B$305,2,FALSE)</f>
        <v>2200150</v>
      </c>
    </row>
    <row r="1375" spans="1:9" x14ac:dyDescent="0.2">
      <c r="A1375">
        <v>2200150</v>
      </c>
      <c r="B1375">
        <v>2016</v>
      </c>
      <c r="C1375" t="s">
        <v>4</v>
      </c>
      <c r="D1375" t="s">
        <v>232</v>
      </c>
      <c r="E1375" t="s">
        <v>234</v>
      </c>
      <c r="F1375" s="17">
        <v>5282333</v>
      </c>
      <c r="G1375" s="17">
        <v>174238</v>
      </c>
      <c r="H1375" s="17">
        <v>5456571</v>
      </c>
      <c r="I1375">
        <f>VLOOKUP(C1375,LEAIDs!$A$2:$B$305,2,FALSE)</f>
        <v>2200150</v>
      </c>
    </row>
    <row r="1376" spans="1:9" x14ac:dyDescent="0.2">
      <c r="A1376">
        <v>2200150</v>
      </c>
      <c r="B1376">
        <v>2017</v>
      </c>
      <c r="C1376" t="s">
        <v>4</v>
      </c>
      <c r="D1376" t="s">
        <v>232</v>
      </c>
      <c r="E1376" t="s">
        <v>234</v>
      </c>
      <c r="F1376" s="17">
        <v>5042382</v>
      </c>
      <c r="G1376" s="17">
        <v>174162</v>
      </c>
      <c r="H1376" s="17">
        <v>5216544</v>
      </c>
      <c r="I1376">
        <f>VLOOKUP(C1376,LEAIDs!$A$2:$B$305,2,FALSE)</f>
        <v>2200150</v>
      </c>
    </row>
    <row r="1377" spans="1:9" x14ac:dyDescent="0.2">
      <c r="A1377">
        <v>2200150</v>
      </c>
      <c r="B1377">
        <v>2018</v>
      </c>
      <c r="C1377" t="s">
        <v>4</v>
      </c>
      <c r="D1377" t="s">
        <v>232</v>
      </c>
      <c r="E1377" t="s">
        <v>234</v>
      </c>
      <c r="F1377" s="17">
        <v>4885677</v>
      </c>
      <c r="G1377" s="17">
        <v>160780</v>
      </c>
      <c r="H1377" s="17">
        <v>5046457</v>
      </c>
      <c r="I1377">
        <f>VLOOKUP(C1377,LEAIDs!$A$2:$B$305,2,FALSE)</f>
        <v>2200150</v>
      </c>
    </row>
    <row r="1378" spans="1:9" x14ac:dyDescent="0.2">
      <c r="A1378">
        <v>2200150</v>
      </c>
      <c r="B1378">
        <v>2019</v>
      </c>
      <c r="C1378" t="s">
        <v>4</v>
      </c>
      <c r="D1378" t="s">
        <v>232</v>
      </c>
      <c r="E1378" t="s">
        <v>234</v>
      </c>
      <c r="F1378" s="17">
        <v>4727405</v>
      </c>
      <c r="G1378" s="17">
        <v>158659</v>
      </c>
      <c r="H1378" s="17">
        <v>4886064</v>
      </c>
      <c r="I1378">
        <f>VLOOKUP(C1378,LEAIDs!$A$2:$B$305,2,FALSE)</f>
        <v>2200150</v>
      </c>
    </row>
    <row r="1379" spans="1:9" x14ac:dyDescent="0.2">
      <c r="A1379">
        <v>2200150</v>
      </c>
      <c r="B1379">
        <v>2020</v>
      </c>
      <c r="C1379" t="s">
        <v>4</v>
      </c>
      <c r="D1379" t="s">
        <v>232</v>
      </c>
      <c r="E1379" t="s">
        <v>234</v>
      </c>
      <c r="F1379" s="17">
        <v>4888083</v>
      </c>
      <c r="G1379" s="17">
        <v>172493</v>
      </c>
      <c r="H1379" s="17">
        <v>5060576</v>
      </c>
      <c r="I1379">
        <f>VLOOKUP(C1379,LEAIDs!$A$2:$B$305,2,FALSE)</f>
        <v>2200150</v>
      </c>
    </row>
    <row r="1380" spans="1:9" x14ac:dyDescent="0.2">
      <c r="A1380">
        <v>2200150</v>
      </c>
      <c r="B1380" s="2">
        <v>2021</v>
      </c>
      <c r="C1380" s="4" t="s">
        <v>4</v>
      </c>
      <c r="D1380" s="2" t="s">
        <v>232</v>
      </c>
      <c r="E1380" s="2" t="s">
        <v>234</v>
      </c>
      <c r="F1380" s="16">
        <v>5004371</v>
      </c>
      <c r="G1380" s="16">
        <v>174189</v>
      </c>
      <c r="H1380" s="15">
        <v>5178560</v>
      </c>
      <c r="I1380">
        <f>VLOOKUP(C1380,LEAIDs!$A$2:$B$305,2,FALSE)</f>
        <v>2200150</v>
      </c>
    </row>
    <row r="1381" spans="1:9" x14ac:dyDescent="0.2">
      <c r="A1381">
        <v>2200150</v>
      </c>
      <c r="B1381" s="2">
        <v>2022</v>
      </c>
      <c r="C1381" s="4" t="s">
        <v>4</v>
      </c>
      <c r="D1381" s="2" t="s">
        <v>232</v>
      </c>
      <c r="E1381" s="2" t="s">
        <v>234</v>
      </c>
      <c r="F1381" s="16">
        <v>5284462</v>
      </c>
      <c r="G1381" s="16">
        <v>188801</v>
      </c>
      <c r="H1381" s="15">
        <v>5473263</v>
      </c>
      <c r="I1381">
        <f>VLOOKUP(C1381,LEAIDs!$A$2:$B$305,2,FALSE)</f>
        <v>2200150</v>
      </c>
    </row>
    <row r="1382" spans="1:9" x14ac:dyDescent="0.2">
      <c r="A1382">
        <v>2200150</v>
      </c>
      <c r="B1382" s="2">
        <v>2023</v>
      </c>
      <c r="C1382" s="2" t="s">
        <v>4</v>
      </c>
      <c r="D1382" s="2" t="s">
        <v>232</v>
      </c>
      <c r="E1382" s="2" t="s">
        <v>234</v>
      </c>
      <c r="F1382" s="15">
        <v>5827323</v>
      </c>
      <c r="G1382" s="15">
        <v>207754</v>
      </c>
      <c r="H1382" s="15">
        <v>6035077</v>
      </c>
      <c r="I1382">
        <f>VLOOKUP(C1382,LEAIDs!$A$2:$B$305,2,FALSE)</f>
        <v>2200150</v>
      </c>
    </row>
    <row r="1383" spans="1:9" x14ac:dyDescent="0.2">
      <c r="A1383">
        <v>2200170</v>
      </c>
      <c r="B1383">
        <v>2015</v>
      </c>
      <c r="C1383" t="s">
        <v>284</v>
      </c>
      <c r="D1383" t="s">
        <v>232</v>
      </c>
      <c r="E1383" t="s">
        <v>234</v>
      </c>
      <c r="F1383" s="17">
        <v>362635</v>
      </c>
      <c r="G1383" s="17">
        <v>11148</v>
      </c>
      <c r="H1383" s="17">
        <v>373783</v>
      </c>
      <c r="I1383">
        <f>VLOOKUP(C1383,LEAIDs!$A$2:$B$305,2,FALSE)</f>
        <v>2200170</v>
      </c>
    </row>
    <row r="1384" spans="1:9" x14ac:dyDescent="0.2">
      <c r="A1384">
        <v>2200170</v>
      </c>
      <c r="B1384">
        <v>2016</v>
      </c>
      <c r="C1384" t="s">
        <v>284</v>
      </c>
      <c r="D1384" t="s">
        <v>232</v>
      </c>
      <c r="E1384" t="s">
        <v>234</v>
      </c>
      <c r="F1384" s="17">
        <v>387480</v>
      </c>
      <c r="G1384" s="17">
        <v>12781</v>
      </c>
      <c r="H1384" s="17">
        <v>400261</v>
      </c>
      <c r="I1384">
        <f>VLOOKUP(C1384,LEAIDs!$A$2:$B$305,2,FALSE)</f>
        <v>2200170</v>
      </c>
    </row>
    <row r="1385" spans="1:9" x14ac:dyDescent="0.2">
      <c r="A1385">
        <v>2200170</v>
      </c>
      <c r="B1385">
        <v>2017</v>
      </c>
      <c r="C1385" t="s">
        <v>284</v>
      </c>
      <c r="D1385" t="s">
        <v>232</v>
      </c>
      <c r="E1385" t="s">
        <v>234</v>
      </c>
      <c r="F1385" s="17">
        <v>389498</v>
      </c>
      <c r="G1385" s="17">
        <v>13453</v>
      </c>
      <c r="H1385" s="17">
        <v>402951</v>
      </c>
      <c r="I1385">
        <f>VLOOKUP(C1385,LEAIDs!$A$2:$B$305,2,FALSE)</f>
        <v>2200170</v>
      </c>
    </row>
    <row r="1386" spans="1:9" x14ac:dyDescent="0.2">
      <c r="A1386">
        <v>2200170</v>
      </c>
      <c r="B1386">
        <v>2018</v>
      </c>
      <c r="C1386" t="s">
        <v>284</v>
      </c>
      <c r="D1386" t="s">
        <v>232</v>
      </c>
      <c r="E1386" t="s">
        <v>234</v>
      </c>
      <c r="F1386" s="17">
        <v>336224</v>
      </c>
      <c r="G1386" s="17">
        <v>11065</v>
      </c>
      <c r="H1386" s="17">
        <v>347289</v>
      </c>
      <c r="I1386">
        <f>VLOOKUP(C1386,LEAIDs!$A$2:$B$305,2,FALSE)</f>
        <v>2200170</v>
      </c>
    </row>
    <row r="1387" spans="1:9" x14ac:dyDescent="0.2">
      <c r="A1387">
        <v>2200180</v>
      </c>
      <c r="B1387">
        <v>2015</v>
      </c>
      <c r="C1387" t="s">
        <v>5</v>
      </c>
      <c r="D1387" t="s">
        <v>232</v>
      </c>
      <c r="E1387" t="s">
        <v>234</v>
      </c>
      <c r="F1387" s="17">
        <v>7847583</v>
      </c>
      <c r="G1387" s="17">
        <v>241239</v>
      </c>
      <c r="H1387" s="17">
        <v>8088822</v>
      </c>
      <c r="I1387">
        <f>VLOOKUP(C1387,LEAIDs!$A$2:$B$305,2,FALSE)</f>
        <v>2200180</v>
      </c>
    </row>
    <row r="1388" spans="1:9" x14ac:dyDescent="0.2">
      <c r="A1388">
        <v>2200180</v>
      </c>
      <c r="B1388">
        <v>2016</v>
      </c>
      <c r="C1388" t="s">
        <v>5</v>
      </c>
      <c r="D1388" t="s">
        <v>232</v>
      </c>
      <c r="E1388" t="s">
        <v>234</v>
      </c>
      <c r="F1388" s="17">
        <v>7753144</v>
      </c>
      <c r="G1388" s="17">
        <v>255737</v>
      </c>
      <c r="H1388" s="17">
        <v>8008881</v>
      </c>
      <c r="I1388">
        <f>VLOOKUP(C1388,LEAIDs!$A$2:$B$305,2,FALSE)</f>
        <v>2200180</v>
      </c>
    </row>
    <row r="1389" spans="1:9" x14ac:dyDescent="0.2">
      <c r="A1389">
        <v>2200180</v>
      </c>
      <c r="B1389">
        <v>2017</v>
      </c>
      <c r="C1389" t="s">
        <v>5</v>
      </c>
      <c r="D1389" t="s">
        <v>232</v>
      </c>
      <c r="E1389" t="s">
        <v>234</v>
      </c>
      <c r="F1389" s="17">
        <v>7043133</v>
      </c>
      <c r="G1389" s="17">
        <v>243267</v>
      </c>
      <c r="H1389" s="17">
        <v>7286400</v>
      </c>
      <c r="I1389">
        <f>VLOOKUP(C1389,LEAIDs!$A$2:$B$305,2,FALSE)</f>
        <v>2200180</v>
      </c>
    </row>
    <row r="1390" spans="1:9" x14ac:dyDescent="0.2">
      <c r="A1390">
        <v>2200180</v>
      </c>
      <c r="B1390">
        <v>2018</v>
      </c>
      <c r="C1390" t="s">
        <v>5</v>
      </c>
      <c r="D1390" t="s">
        <v>232</v>
      </c>
      <c r="E1390" t="s">
        <v>234</v>
      </c>
      <c r="F1390" s="17">
        <v>7077309</v>
      </c>
      <c r="G1390" s="17">
        <v>232903</v>
      </c>
      <c r="H1390" s="17">
        <v>7310212</v>
      </c>
      <c r="I1390">
        <f>VLOOKUP(C1390,LEAIDs!$A$2:$B$305,2,FALSE)</f>
        <v>2200180</v>
      </c>
    </row>
    <row r="1391" spans="1:9" x14ac:dyDescent="0.2">
      <c r="A1391">
        <v>2200180</v>
      </c>
      <c r="B1391">
        <v>2019</v>
      </c>
      <c r="C1391" t="s">
        <v>5</v>
      </c>
      <c r="D1391" t="s">
        <v>232</v>
      </c>
      <c r="E1391" t="s">
        <v>234</v>
      </c>
      <c r="F1391" s="17">
        <v>7191378</v>
      </c>
      <c r="G1391" s="17">
        <v>241354</v>
      </c>
      <c r="H1391" s="17">
        <v>7432732</v>
      </c>
      <c r="I1391">
        <f>VLOOKUP(C1391,LEAIDs!$A$2:$B$305,2,FALSE)</f>
        <v>2200180</v>
      </c>
    </row>
    <row r="1392" spans="1:9" x14ac:dyDescent="0.2">
      <c r="A1392">
        <v>2200180</v>
      </c>
      <c r="B1392">
        <v>2020</v>
      </c>
      <c r="C1392" t="s">
        <v>5</v>
      </c>
      <c r="D1392" t="s">
        <v>232</v>
      </c>
      <c r="E1392" t="s">
        <v>234</v>
      </c>
      <c r="F1392" s="17">
        <v>7408012</v>
      </c>
      <c r="G1392" s="17">
        <v>261417</v>
      </c>
      <c r="H1392" s="17">
        <v>7669429</v>
      </c>
      <c r="I1392">
        <f>VLOOKUP(C1392,LEAIDs!$A$2:$B$305,2,FALSE)</f>
        <v>2200180</v>
      </c>
    </row>
    <row r="1393" spans="1:9" x14ac:dyDescent="0.2">
      <c r="A1393">
        <v>2200180</v>
      </c>
      <c r="B1393" s="2">
        <v>2021</v>
      </c>
      <c r="C1393" s="4" t="s">
        <v>5</v>
      </c>
      <c r="D1393" s="2" t="s">
        <v>232</v>
      </c>
      <c r="E1393" s="2" t="s">
        <v>234</v>
      </c>
      <c r="F1393" s="16">
        <v>7601593</v>
      </c>
      <c r="G1393" s="16">
        <v>264591</v>
      </c>
      <c r="H1393" s="15">
        <v>7866184</v>
      </c>
      <c r="I1393">
        <f>VLOOKUP(C1393,LEAIDs!$A$2:$B$305,2,FALSE)</f>
        <v>2200180</v>
      </c>
    </row>
    <row r="1394" spans="1:9" x14ac:dyDescent="0.2">
      <c r="A1394">
        <v>2200180</v>
      </c>
      <c r="B1394" s="2">
        <v>2022</v>
      </c>
      <c r="C1394" s="4" t="s">
        <v>5</v>
      </c>
      <c r="D1394" s="2" t="s">
        <v>232</v>
      </c>
      <c r="E1394" s="2" t="s">
        <v>234</v>
      </c>
      <c r="F1394" s="16">
        <v>7921952</v>
      </c>
      <c r="G1394" s="16">
        <v>283032</v>
      </c>
      <c r="H1394" s="15">
        <v>8204984</v>
      </c>
      <c r="I1394">
        <f>VLOOKUP(C1394,LEAIDs!$A$2:$B$305,2,FALSE)</f>
        <v>2200180</v>
      </c>
    </row>
    <row r="1395" spans="1:9" x14ac:dyDescent="0.2">
      <c r="A1395">
        <v>2200180</v>
      </c>
      <c r="B1395" s="2">
        <v>2023</v>
      </c>
      <c r="C1395" s="2" t="s">
        <v>5</v>
      </c>
      <c r="D1395" s="2" t="s">
        <v>232</v>
      </c>
      <c r="E1395" s="2" t="s">
        <v>234</v>
      </c>
      <c r="F1395" s="15">
        <v>8926695</v>
      </c>
      <c r="G1395" s="15">
        <v>318251</v>
      </c>
      <c r="H1395" s="15">
        <v>9244946</v>
      </c>
      <c r="I1395">
        <f>VLOOKUP(C1395,LEAIDs!$A$2:$B$305,2,FALSE)</f>
        <v>2200180</v>
      </c>
    </row>
    <row r="1396" spans="1:9" x14ac:dyDescent="0.2">
      <c r="A1396">
        <v>2200194</v>
      </c>
      <c r="B1396">
        <v>2015</v>
      </c>
      <c r="C1396" t="s">
        <v>52</v>
      </c>
      <c r="D1396" t="s">
        <v>232</v>
      </c>
      <c r="E1396" t="s">
        <v>234</v>
      </c>
      <c r="F1396" s="17">
        <v>24692635</v>
      </c>
      <c r="G1396" s="17">
        <v>759066</v>
      </c>
      <c r="H1396" s="17">
        <v>25451701</v>
      </c>
      <c r="I1396">
        <f>VLOOKUP(C1396,LEAIDs!$A$2:$B$305,2,FALSE)</f>
        <v>2200194</v>
      </c>
    </row>
    <row r="1397" spans="1:9" x14ac:dyDescent="0.2">
      <c r="A1397">
        <v>2200194</v>
      </c>
      <c r="B1397">
        <v>2016</v>
      </c>
      <c r="C1397" t="s">
        <v>52</v>
      </c>
      <c r="D1397" t="s">
        <v>232</v>
      </c>
      <c r="E1397" t="s">
        <v>234</v>
      </c>
      <c r="F1397" s="17">
        <v>22564610</v>
      </c>
      <c r="G1397" s="17">
        <v>744293</v>
      </c>
      <c r="H1397" s="17">
        <v>23308903</v>
      </c>
      <c r="I1397">
        <f>VLOOKUP(C1397,LEAIDs!$A$2:$B$305,2,FALSE)</f>
        <v>2200194</v>
      </c>
    </row>
    <row r="1398" spans="1:9" x14ac:dyDescent="0.2">
      <c r="A1398">
        <v>2200194</v>
      </c>
      <c r="B1398">
        <v>2017</v>
      </c>
      <c r="C1398" t="s">
        <v>52</v>
      </c>
      <c r="D1398" t="s">
        <v>232</v>
      </c>
      <c r="E1398" t="s">
        <v>234</v>
      </c>
      <c r="F1398" s="17">
        <v>22550002</v>
      </c>
      <c r="G1398" s="17">
        <v>778867</v>
      </c>
      <c r="H1398" s="17">
        <v>23328869</v>
      </c>
      <c r="I1398">
        <f>VLOOKUP(C1398,LEAIDs!$A$2:$B$305,2,FALSE)</f>
        <v>2200194</v>
      </c>
    </row>
    <row r="1399" spans="1:9" x14ac:dyDescent="0.2">
      <c r="A1399">
        <v>2200194</v>
      </c>
      <c r="B1399">
        <v>2018</v>
      </c>
      <c r="C1399" t="s">
        <v>52</v>
      </c>
      <c r="D1399" t="s">
        <v>232</v>
      </c>
      <c r="E1399" t="s">
        <v>234</v>
      </c>
      <c r="F1399" s="17">
        <v>24049663</v>
      </c>
      <c r="G1399" s="17">
        <v>791437</v>
      </c>
      <c r="H1399" s="17">
        <v>24841100</v>
      </c>
      <c r="I1399">
        <f>VLOOKUP(C1399,LEAIDs!$A$2:$B$305,2,FALSE)</f>
        <v>2200194</v>
      </c>
    </row>
    <row r="1400" spans="1:9" x14ac:dyDescent="0.2">
      <c r="A1400">
        <v>2200194</v>
      </c>
      <c r="B1400">
        <v>2019</v>
      </c>
      <c r="C1400" t="s">
        <v>52</v>
      </c>
      <c r="D1400" t="s">
        <v>232</v>
      </c>
      <c r="E1400" t="s">
        <v>234</v>
      </c>
      <c r="F1400" s="17">
        <v>23675535</v>
      </c>
      <c r="G1400" s="17">
        <v>794589</v>
      </c>
      <c r="H1400" s="17">
        <v>24470124</v>
      </c>
      <c r="I1400">
        <f>VLOOKUP(C1400,LEAIDs!$A$2:$B$305,2,FALSE)</f>
        <v>2200194</v>
      </c>
    </row>
    <row r="1401" spans="1:9" x14ac:dyDescent="0.2">
      <c r="A1401">
        <v>2200194</v>
      </c>
      <c r="B1401">
        <v>2020</v>
      </c>
      <c r="C1401" t="s">
        <v>52</v>
      </c>
      <c r="D1401" t="s">
        <v>232</v>
      </c>
      <c r="E1401" t="s">
        <v>234</v>
      </c>
      <c r="F1401" s="17">
        <v>23855362</v>
      </c>
      <c r="G1401" s="17">
        <v>841819</v>
      </c>
      <c r="H1401" s="17">
        <v>24697181</v>
      </c>
      <c r="I1401">
        <f>VLOOKUP(C1401,LEAIDs!$A$2:$B$305,2,FALSE)</f>
        <v>2200194</v>
      </c>
    </row>
    <row r="1402" spans="1:9" x14ac:dyDescent="0.2">
      <c r="A1402">
        <v>2200194</v>
      </c>
      <c r="B1402" s="2">
        <v>2021</v>
      </c>
      <c r="C1402" s="4" t="s">
        <v>52</v>
      </c>
      <c r="D1402" s="2" t="s">
        <v>232</v>
      </c>
      <c r="E1402" s="2" t="s">
        <v>234</v>
      </c>
      <c r="F1402" s="16">
        <v>24108447</v>
      </c>
      <c r="G1402" s="16">
        <v>839151</v>
      </c>
      <c r="H1402" s="15">
        <v>24947598</v>
      </c>
      <c r="I1402">
        <f>VLOOKUP(C1402,LEAIDs!$A$2:$B$305,2,FALSE)</f>
        <v>2200194</v>
      </c>
    </row>
    <row r="1403" spans="1:9" x14ac:dyDescent="0.2">
      <c r="A1403">
        <v>2200194</v>
      </c>
      <c r="B1403" s="2">
        <v>2022</v>
      </c>
      <c r="C1403" s="4" t="s">
        <v>52</v>
      </c>
      <c r="D1403" s="2" t="s">
        <v>232</v>
      </c>
      <c r="E1403" s="2" t="s">
        <v>234</v>
      </c>
      <c r="F1403" s="16">
        <v>27048936</v>
      </c>
      <c r="G1403" s="16">
        <v>966394</v>
      </c>
      <c r="H1403" s="15">
        <v>28015330</v>
      </c>
      <c r="I1403">
        <f>VLOOKUP(C1403,LEAIDs!$A$2:$B$305,2,FALSE)</f>
        <v>2200194</v>
      </c>
    </row>
    <row r="1404" spans="1:9" x14ac:dyDescent="0.2">
      <c r="A1404">
        <v>2200194</v>
      </c>
      <c r="B1404" s="2">
        <v>2023</v>
      </c>
      <c r="C1404" s="2" t="s">
        <v>52</v>
      </c>
      <c r="D1404" s="2" t="s">
        <v>232</v>
      </c>
      <c r="E1404" s="2" t="s">
        <v>234</v>
      </c>
      <c r="F1404" s="15">
        <v>28697767</v>
      </c>
      <c r="G1404" s="15">
        <v>1023122</v>
      </c>
      <c r="H1404" s="15">
        <v>29720889</v>
      </c>
      <c r="I1404">
        <f>VLOOKUP(C1404,LEAIDs!$A$2:$B$305,2,FALSE)</f>
        <v>2200194</v>
      </c>
    </row>
    <row r="1405" spans="1:9" x14ac:dyDescent="0.2">
      <c r="A1405">
        <v>2200203</v>
      </c>
      <c r="B1405">
        <v>2015</v>
      </c>
      <c r="C1405" t="s">
        <v>135</v>
      </c>
      <c r="D1405" t="s">
        <v>232</v>
      </c>
      <c r="E1405" t="s">
        <v>234</v>
      </c>
      <c r="F1405" s="17">
        <v>638537</v>
      </c>
      <c r="G1405" s="17">
        <v>19629</v>
      </c>
      <c r="H1405" s="17">
        <v>658166</v>
      </c>
      <c r="I1405">
        <f>VLOOKUP(C1405,LEAIDs!$A$2:$B$305,2,FALSE)</f>
        <v>2200203</v>
      </c>
    </row>
    <row r="1406" spans="1:9" x14ac:dyDescent="0.2">
      <c r="A1406">
        <v>2200203</v>
      </c>
      <c r="B1406">
        <v>2016</v>
      </c>
      <c r="C1406" t="s">
        <v>135</v>
      </c>
      <c r="D1406" t="s">
        <v>232</v>
      </c>
      <c r="E1406" t="s">
        <v>234</v>
      </c>
      <c r="F1406" s="17">
        <v>938560</v>
      </c>
      <c r="G1406" s="17">
        <v>30958</v>
      </c>
      <c r="H1406" s="17">
        <v>969518</v>
      </c>
      <c r="I1406">
        <f>VLOOKUP(C1406,LEAIDs!$A$2:$B$305,2,FALSE)</f>
        <v>2200203</v>
      </c>
    </row>
    <row r="1407" spans="1:9" x14ac:dyDescent="0.2">
      <c r="A1407">
        <v>2200203</v>
      </c>
      <c r="B1407">
        <v>2017</v>
      </c>
      <c r="C1407" t="s">
        <v>135</v>
      </c>
      <c r="D1407" t="s">
        <v>232</v>
      </c>
      <c r="E1407" t="s">
        <v>234</v>
      </c>
      <c r="F1407" s="17">
        <v>1160065</v>
      </c>
      <c r="G1407" s="17">
        <v>40068</v>
      </c>
      <c r="H1407" s="17">
        <v>1200133</v>
      </c>
      <c r="I1407">
        <f>VLOOKUP(C1407,LEAIDs!$A$2:$B$305,2,FALSE)</f>
        <v>2200203</v>
      </c>
    </row>
    <row r="1408" spans="1:9" x14ac:dyDescent="0.2">
      <c r="A1408">
        <v>2200203</v>
      </c>
      <c r="B1408">
        <v>2018</v>
      </c>
      <c r="C1408" t="s">
        <v>135</v>
      </c>
      <c r="D1408" t="s">
        <v>232</v>
      </c>
      <c r="E1408" t="s">
        <v>234</v>
      </c>
      <c r="F1408" s="17">
        <v>1370758</v>
      </c>
      <c r="G1408" s="17">
        <v>45110</v>
      </c>
      <c r="H1408" s="17">
        <v>1415868</v>
      </c>
      <c r="I1408">
        <f>VLOOKUP(C1408,LEAIDs!$A$2:$B$305,2,FALSE)</f>
        <v>2200203</v>
      </c>
    </row>
    <row r="1409" spans="1:9" x14ac:dyDescent="0.2">
      <c r="A1409">
        <v>2200203</v>
      </c>
      <c r="B1409">
        <v>2019</v>
      </c>
      <c r="C1409" t="s">
        <v>135</v>
      </c>
      <c r="D1409" t="s">
        <v>232</v>
      </c>
      <c r="E1409" t="s">
        <v>234</v>
      </c>
      <c r="F1409" s="17">
        <v>1693847</v>
      </c>
      <c r="G1409" s="17">
        <v>56848</v>
      </c>
      <c r="H1409" s="17">
        <v>1750695</v>
      </c>
      <c r="I1409">
        <f>VLOOKUP(C1409,LEAIDs!$A$2:$B$305,2,FALSE)</f>
        <v>2200203</v>
      </c>
    </row>
    <row r="1410" spans="1:9" x14ac:dyDescent="0.2">
      <c r="A1410">
        <v>2200203</v>
      </c>
      <c r="B1410">
        <v>2020</v>
      </c>
      <c r="C1410" t="s">
        <v>135</v>
      </c>
      <c r="D1410" t="s">
        <v>232</v>
      </c>
      <c r="E1410" t="s">
        <v>234</v>
      </c>
      <c r="F1410" s="17">
        <v>2022857</v>
      </c>
      <c r="G1410" s="17">
        <v>71384</v>
      </c>
      <c r="H1410" s="17">
        <v>2094241</v>
      </c>
      <c r="I1410">
        <f>VLOOKUP(C1410,LEAIDs!$A$2:$B$305,2,FALSE)</f>
        <v>2200203</v>
      </c>
    </row>
    <row r="1411" spans="1:9" x14ac:dyDescent="0.2">
      <c r="A1411">
        <v>2200203</v>
      </c>
      <c r="B1411" s="2">
        <v>2021</v>
      </c>
      <c r="C1411" s="4" t="s">
        <v>135</v>
      </c>
      <c r="D1411" s="2" t="s">
        <v>232</v>
      </c>
      <c r="E1411" s="2" t="s">
        <v>234</v>
      </c>
      <c r="F1411" s="16">
        <v>2175682</v>
      </c>
      <c r="G1411" s="16">
        <v>75730</v>
      </c>
      <c r="H1411" s="15">
        <v>2251412</v>
      </c>
      <c r="I1411">
        <f>VLOOKUP(C1411,LEAIDs!$A$2:$B$305,2,FALSE)</f>
        <v>2200203</v>
      </c>
    </row>
    <row r="1412" spans="1:9" x14ac:dyDescent="0.2">
      <c r="A1412">
        <v>2200203</v>
      </c>
      <c r="B1412" s="2">
        <v>2022</v>
      </c>
      <c r="C1412" s="4" t="s">
        <v>135</v>
      </c>
      <c r="D1412" s="2" t="s">
        <v>232</v>
      </c>
      <c r="E1412" s="2" t="s">
        <v>234</v>
      </c>
      <c r="F1412" s="16">
        <v>2365154</v>
      </c>
      <c r="G1412" s="16">
        <v>84501</v>
      </c>
      <c r="H1412" s="15">
        <v>2449655</v>
      </c>
      <c r="I1412">
        <f>VLOOKUP(C1412,LEAIDs!$A$2:$B$305,2,FALSE)</f>
        <v>2200203</v>
      </c>
    </row>
    <row r="1413" spans="1:9" x14ac:dyDescent="0.2">
      <c r="A1413">
        <v>2200203</v>
      </c>
      <c r="B1413" s="2">
        <v>2023</v>
      </c>
      <c r="C1413" s="2" t="s">
        <v>135</v>
      </c>
      <c r="D1413" s="2" t="s">
        <v>232</v>
      </c>
      <c r="E1413" s="2" t="s">
        <v>234</v>
      </c>
      <c r="F1413" s="15">
        <v>2587814</v>
      </c>
      <c r="G1413" s="15">
        <v>92260</v>
      </c>
      <c r="H1413" s="15">
        <v>2680074</v>
      </c>
      <c r="I1413">
        <f>VLOOKUP(C1413,LEAIDs!$A$2:$B$305,2,FALSE)</f>
        <v>2200203</v>
      </c>
    </row>
    <row r="1414" spans="1:9" x14ac:dyDescent="0.2">
      <c r="A1414">
        <v>2200205</v>
      </c>
      <c r="B1414">
        <v>2015</v>
      </c>
      <c r="C1414" t="s">
        <v>145</v>
      </c>
      <c r="D1414" t="s">
        <v>232</v>
      </c>
      <c r="E1414" t="s">
        <v>234</v>
      </c>
      <c r="F1414" s="17">
        <v>582521</v>
      </c>
      <c r="G1414" s="17">
        <v>17907</v>
      </c>
      <c r="H1414" s="17">
        <v>600428</v>
      </c>
      <c r="I1414">
        <f>VLOOKUP(C1414,LEAIDs!$A$2:$B$305,2,FALSE)</f>
        <v>2200205</v>
      </c>
    </row>
    <row r="1415" spans="1:9" x14ac:dyDescent="0.2">
      <c r="A1415">
        <v>2200205</v>
      </c>
      <c r="B1415">
        <v>2016</v>
      </c>
      <c r="C1415" t="s">
        <v>145</v>
      </c>
      <c r="D1415" t="s">
        <v>232</v>
      </c>
      <c r="E1415" t="s">
        <v>234</v>
      </c>
      <c r="F1415" s="17">
        <v>780275</v>
      </c>
      <c r="G1415" s="17">
        <v>25737</v>
      </c>
      <c r="H1415" s="17">
        <v>806012</v>
      </c>
      <c r="I1415">
        <f>VLOOKUP(C1415,LEAIDs!$A$2:$B$305,2,FALSE)</f>
        <v>2200205</v>
      </c>
    </row>
    <row r="1416" spans="1:9" x14ac:dyDescent="0.2">
      <c r="A1416">
        <v>2200205</v>
      </c>
      <c r="B1416">
        <v>2017</v>
      </c>
      <c r="C1416" t="s">
        <v>145</v>
      </c>
      <c r="D1416" t="s">
        <v>232</v>
      </c>
      <c r="E1416" t="s">
        <v>234</v>
      </c>
      <c r="F1416" s="17">
        <v>865916</v>
      </c>
      <c r="G1416" s="17">
        <v>29908</v>
      </c>
      <c r="H1416" s="17">
        <v>895824</v>
      </c>
      <c r="I1416">
        <f>VLOOKUP(C1416,LEAIDs!$A$2:$B$305,2,FALSE)</f>
        <v>2200205</v>
      </c>
    </row>
    <row r="1417" spans="1:9" x14ac:dyDescent="0.2">
      <c r="A1417">
        <v>2200205</v>
      </c>
      <c r="B1417">
        <v>2018</v>
      </c>
      <c r="C1417" t="s">
        <v>145</v>
      </c>
      <c r="D1417" t="s">
        <v>232</v>
      </c>
      <c r="E1417" t="s">
        <v>234</v>
      </c>
      <c r="F1417" s="17">
        <v>871855</v>
      </c>
      <c r="G1417" s="17">
        <v>28691</v>
      </c>
      <c r="H1417" s="17">
        <v>900546</v>
      </c>
      <c r="I1417">
        <f>VLOOKUP(C1417,LEAIDs!$A$2:$B$305,2,FALSE)</f>
        <v>2200205</v>
      </c>
    </row>
    <row r="1418" spans="1:9" x14ac:dyDescent="0.2">
      <c r="A1418">
        <v>2200205</v>
      </c>
      <c r="B1418">
        <v>2019</v>
      </c>
      <c r="C1418" t="s">
        <v>145</v>
      </c>
      <c r="D1418" t="s">
        <v>232</v>
      </c>
      <c r="E1418" t="s">
        <v>234</v>
      </c>
      <c r="F1418" s="17">
        <v>693883</v>
      </c>
      <c r="G1418" s="17">
        <v>23288</v>
      </c>
      <c r="H1418" s="17">
        <v>717171</v>
      </c>
      <c r="I1418">
        <f>VLOOKUP(C1418,LEAIDs!$A$2:$B$305,2,FALSE)</f>
        <v>2200205</v>
      </c>
    </row>
    <row r="1419" spans="1:9" x14ac:dyDescent="0.2">
      <c r="A1419">
        <v>2200205</v>
      </c>
      <c r="B1419">
        <v>2020</v>
      </c>
      <c r="C1419" t="s">
        <v>145</v>
      </c>
      <c r="D1419" t="s">
        <v>232</v>
      </c>
      <c r="E1419" t="s">
        <v>234</v>
      </c>
      <c r="F1419" s="17">
        <v>737904</v>
      </c>
      <c r="G1419" s="17">
        <v>26040</v>
      </c>
      <c r="H1419" s="17">
        <v>763944</v>
      </c>
      <c r="I1419">
        <f>VLOOKUP(C1419,LEAIDs!$A$2:$B$305,2,FALSE)</f>
        <v>2200205</v>
      </c>
    </row>
    <row r="1420" spans="1:9" x14ac:dyDescent="0.2">
      <c r="A1420">
        <v>2200205</v>
      </c>
      <c r="B1420" s="2">
        <v>2021</v>
      </c>
      <c r="C1420" s="4" t="s">
        <v>145</v>
      </c>
      <c r="D1420" s="2" t="s">
        <v>232</v>
      </c>
      <c r="E1420" s="2" t="s">
        <v>234</v>
      </c>
      <c r="F1420" s="16">
        <v>700797</v>
      </c>
      <c r="G1420" s="16">
        <v>24393</v>
      </c>
      <c r="H1420" s="15">
        <v>725190</v>
      </c>
      <c r="I1420">
        <f>VLOOKUP(C1420,LEAIDs!$A$2:$B$305,2,FALSE)</f>
        <v>2200205</v>
      </c>
    </row>
    <row r="1421" spans="1:9" x14ac:dyDescent="0.2">
      <c r="A1421">
        <v>2200205</v>
      </c>
      <c r="B1421" s="2">
        <v>2023</v>
      </c>
      <c r="C1421" s="2" t="s">
        <v>145</v>
      </c>
      <c r="D1421" s="2" t="s">
        <v>232</v>
      </c>
      <c r="E1421" s="2" t="s">
        <v>234</v>
      </c>
      <c r="F1421" s="15">
        <v>790794</v>
      </c>
      <c r="G1421" s="15">
        <v>28193</v>
      </c>
      <c r="H1421" s="15">
        <v>818987</v>
      </c>
      <c r="I1421">
        <f>VLOOKUP(C1421,LEAIDs!$A$2:$B$305,2,FALSE)</f>
        <v>2200205</v>
      </c>
    </row>
    <row r="1422" spans="1:9" x14ac:dyDescent="0.2">
      <c r="A1422">
        <v>2200205</v>
      </c>
      <c r="B1422" s="2">
        <v>2022</v>
      </c>
      <c r="C1422" s="4" t="s">
        <v>241</v>
      </c>
      <c r="D1422" s="2" t="s">
        <v>232</v>
      </c>
      <c r="E1422" s="2" t="s">
        <v>234</v>
      </c>
      <c r="F1422" s="16">
        <v>729735</v>
      </c>
      <c r="G1422" s="16">
        <v>26072</v>
      </c>
      <c r="H1422" s="15">
        <v>755807</v>
      </c>
      <c r="I1422">
        <f>VLOOKUP(C1422,LEAIDs!$A$2:$B$305,2,FALSE)</f>
        <v>2200205</v>
      </c>
    </row>
    <row r="1423" spans="1:9" x14ac:dyDescent="0.2">
      <c r="A1423">
        <v>2200210</v>
      </c>
      <c r="B1423">
        <v>2015</v>
      </c>
      <c r="C1423" t="s">
        <v>6</v>
      </c>
      <c r="D1423" t="s">
        <v>232</v>
      </c>
      <c r="E1423" t="s">
        <v>234</v>
      </c>
      <c r="F1423" s="17">
        <v>4195293</v>
      </c>
      <c r="G1423" s="17">
        <v>128966</v>
      </c>
      <c r="H1423" s="17">
        <v>4324259</v>
      </c>
      <c r="I1423">
        <f>VLOOKUP(C1423,LEAIDs!$A$2:$B$305,2,FALSE)</f>
        <v>2200210</v>
      </c>
    </row>
    <row r="1424" spans="1:9" x14ac:dyDescent="0.2">
      <c r="A1424">
        <v>2200210</v>
      </c>
      <c r="B1424">
        <v>2016</v>
      </c>
      <c r="C1424" t="s">
        <v>6</v>
      </c>
      <c r="D1424" t="s">
        <v>232</v>
      </c>
      <c r="E1424" t="s">
        <v>234</v>
      </c>
      <c r="F1424" s="17">
        <v>3782215</v>
      </c>
      <c r="G1424" s="17">
        <v>124756</v>
      </c>
      <c r="H1424" s="17">
        <v>3906971</v>
      </c>
      <c r="I1424">
        <f>VLOOKUP(C1424,LEAIDs!$A$2:$B$305,2,FALSE)</f>
        <v>2200210</v>
      </c>
    </row>
    <row r="1425" spans="1:9" x14ac:dyDescent="0.2">
      <c r="A1425">
        <v>2200210</v>
      </c>
      <c r="B1425">
        <v>2017</v>
      </c>
      <c r="C1425" t="s">
        <v>6</v>
      </c>
      <c r="D1425" t="s">
        <v>232</v>
      </c>
      <c r="E1425" t="s">
        <v>234</v>
      </c>
      <c r="F1425" s="17">
        <v>3557003</v>
      </c>
      <c r="G1425" s="17">
        <v>122857</v>
      </c>
      <c r="H1425" s="17">
        <v>3679860</v>
      </c>
      <c r="I1425">
        <f>VLOOKUP(C1425,LEAIDs!$A$2:$B$305,2,FALSE)</f>
        <v>2200210</v>
      </c>
    </row>
    <row r="1426" spans="1:9" x14ac:dyDescent="0.2">
      <c r="A1426">
        <v>2200210</v>
      </c>
      <c r="B1426">
        <v>2018</v>
      </c>
      <c r="C1426" t="s">
        <v>6</v>
      </c>
      <c r="D1426" t="s">
        <v>232</v>
      </c>
      <c r="E1426" t="s">
        <v>234</v>
      </c>
      <c r="F1426" s="17">
        <v>4071149</v>
      </c>
      <c r="G1426" s="17">
        <v>133975</v>
      </c>
      <c r="H1426" s="17">
        <v>4205124</v>
      </c>
      <c r="I1426">
        <f>VLOOKUP(C1426,LEAIDs!$A$2:$B$305,2,FALSE)</f>
        <v>2200210</v>
      </c>
    </row>
    <row r="1427" spans="1:9" x14ac:dyDescent="0.2">
      <c r="A1427">
        <v>2200210</v>
      </c>
      <c r="B1427">
        <v>2019</v>
      </c>
      <c r="C1427" t="s">
        <v>6</v>
      </c>
      <c r="D1427" t="s">
        <v>232</v>
      </c>
      <c r="E1427" t="s">
        <v>234</v>
      </c>
      <c r="F1427" s="17">
        <v>3864701</v>
      </c>
      <c r="G1427" s="17">
        <v>129706</v>
      </c>
      <c r="H1427" s="17">
        <v>3994407</v>
      </c>
      <c r="I1427">
        <f>VLOOKUP(C1427,LEAIDs!$A$2:$B$305,2,FALSE)</f>
        <v>2200210</v>
      </c>
    </row>
    <row r="1428" spans="1:9" x14ac:dyDescent="0.2">
      <c r="A1428">
        <v>2200210</v>
      </c>
      <c r="B1428">
        <v>2020</v>
      </c>
      <c r="C1428" t="s">
        <v>6</v>
      </c>
      <c r="D1428" t="s">
        <v>232</v>
      </c>
      <c r="E1428" t="s">
        <v>234</v>
      </c>
      <c r="F1428" s="17">
        <v>3882738</v>
      </c>
      <c r="G1428" s="17">
        <v>137016</v>
      </c>
      <c r="H1428" s="17">
        <v>4019754</v>
      </c>
      <c r="I1428">
        <f>VLOOKUP(C1428,LEAIDs!$A$2:$B$305,2,FALSE)</f>
        <v>2200210</v>
      </c>
    </row>
    <row r="1429" spans="1:9" x14ac:dyDescent="0.2">
      <c r="A1429">
        <v>2200210</v>
      </c>
      <c r="B1429" s="2">
        <v>2021</v>
      </c>
      <c r="C1429" s="4" t="s">
        <v>6</v>
      </c>
      <c r="D1429" s="2" t="s">
        <v>232</v>
      </c>
      <c r="E1429" s="2" t="s">
        <v>234</v>
      </c>
      <c r="F1429" s="16">
        <v>4152118</v>
      </c>
      <c r="G1429" s="16">
        <v>144524</v>
      </c>
      <c r="H1429" s="15">
        <v>4296642</v>
      </c>
      <c r="I1429">
        <f>VLOOKUP(C1429,LEAIDs!$A$2:$B$305,2,FALSE)</f>
        <v>2200210</v>
      </c>
    </row>
    <row r="1430" spans="1:9" x14ac:dyDescent="0.2">
      <c r="A1430">
        <v>2200210</v>
      </c>
      <c r="B1430" s="2">
        <v>2022</v>
      </c>
      <c r="C1430" s="4" t="s">
        <v>6</v>
      </c>
      <c r="D1430" s="2" t="s">
        <v>232</v>
      </c>
      <c r="E1430" s="2" t="s">
        <v>234</v>
      </c>
      <c r="F1430" s="16">
        <v>4372208</v>
      </c>
      <c r="G1430" s="16">
        <v>156209</v>
      </c>
      <c r="H1430" s="15">
        <v>4528417</v>
      </c>
      <c r="I1430">
        <f>VLOOKUP(C1430,LEAIDs!$A$2:$B$305,2,FALSE)</f>
        <v>2200210</v>
      </c>
    </row>
    <row r="1431" spans="1:9" x14ac:dyDescent="0.2">
      <c r="A1431">
        <v>2200210</v>
      </c>
      <c r="B1431" s="2">
        <v>2023</v>
      </c>
      <c r="C1431" s="2" t="s">
        <v>6</v>
      </c>
      <c r="D1431" s="2" t="s">
        <v>232</v>
      </c>
      <c r="E1431" s="2" t="s">
        <v>234</v>
      </c>
      <c r="F1431" s="15">
        <v>4398378</v>
      </c>
      <c r="G1431" s="15">
        <v>156809</v>
      </c>
      <c r="H1431" s="15">
        <v>4555187</v>
      </c>
      <c r="I1431">
        <f>VLOOKUP(C1431,LEAIDs!$A$2:$B$305,2,FALSE)</f>
        <v>2200210</v>
      </c>
    </row>
    <row r="1432" spans="1:9" x14ac:dyDescent="0.2">
      <c r="A1432">
        <v>2200219</v>
      </c>
      <c r="B1432">
        <v>2015</v>
      </c>
      <c r="C1432" t="s">
        <v>23</v>
      </c>
      <c r="D1432" t="s">
        <v>232</v>
      </c>
      <c r="E1432" t="s">
        <v>234</v>
      </c>
      <c r="F1432" s="17">
        <v>8416712</v>
      </c>
      <c r="G1432" s="17">
        <v>258735</v>
      </c>
      <c r="H1432" s="17">
        <v>8675447</v>
      </c>
      <c r="I1432">
        <f>VLOOKUP(C1432,LEAIDs!$A$2:$B$305,2,FALSE)</f>
        <v>2200219</v>
      </c>
    </row>
    <row r="1433" spans="1:9" x14ac:dyDescent="0.2">
      <c r="A1433">
        <v>2200219</v>
      </c>
      <c r="B1433">
        <v>2016</v>
      </c>
      <c r="C1433" t="s">
        <v>23</v>
      </c>
      <c r="D1433" t="s">
        <v>232</v>
      </c>
      <c r="E1433" t="s">
        <v>234</v>
      </c>
      <c r="F1433" s="17">
        <v>8072354</v>
      </c>
      <c r="G1433" s="17">
        <v>266266</v>
      </c>
      <c r="H1433" s="17">
        <v>8338620</v>
      </c>
      <c r="I1433">
        <f>VLOOKUP(C1433,LEAIDs!$A$2:$B$305,2,FALSE)</f>
        <v>2200219</v>
      </c>
    </row>
    <row r="1434" spans="1:9" x14ac:dyDescent="0.2">
      <c r="A1434">
        <v>2200219</v>
      </c>
      <c r="B1434">
        <v>2017</v>
      </c>
      <c r="C1434" t="s">
        <v>23</v>
      </c>
      <c r="D1434" t="s">
        <v>232</v>
      </c>
      <c r="E1434" t="s">
        <v>234</v>
      </c>
      <c r="F1434" s="17">
        <v>7263683</v>
      </c>
      <c r="G1434" s="17">
        <v>250884</v>
      </c>
      <c r="H1434" s="17">
        <v>7514567</v>
      </c>
      <c r="I1434">
        <f>VLOOKUP(C1434,LEAIDs!$A$2:$B$305,2,FALSE)</f>
        <v>2200219</v>
      </c>
    </row>
    <row r="1435" spans="1:9" x14ac:dyDescent="0.2">
      <c r="A1435">
        <v>2200219</v>
      </c>
      <c r="B1435">
        <v>2018</v>
      </c>
      <c r="C1435" t="s">
        <v>23</v>
      </c>
      <c r="D1435" t="s">
        <v>232</v>
      </c>
      <c r="E1435" t="s">
        <v>234</v>
      </c>
      <c r="F1435" s="17">
        <v>8334170</v>
      </c>
      <c r="G1435" s="17">
        <v>274264</v>
      </c>
      <c r="H1435" s="17">
        <v>8608434</v>
      </c>
      <c r="I1435">
        <f>VLOOKUP(C1435,LEAIDs!$A$2:$B$305,2,FALSE)</f>
        <v>2200219</v>
      </c>
    </row>
    <row r="1436" spans="1:9" x14ac:dyDescent="0.2">
      <c r="A1436">
        <v>2200219</v>
      </c>
      <c r="B1436">
        <v>2019</v>
      </c>
      <c r="C1436" t="s">
        <v>23</v>
      </c>
      <c r="D1436" t="s">
        <v>232</v>
      </c>
      <c r="E1436" t="s">
        <v>234</v>
      </c>
      <c r="F1436" s="17">
        <v>8426535</v>
      </c>
      <c r="G1436" s="17">
        <v>282808</v>
      </c>
      <c r="H1436" s="17">
        <v>8709343</v>
      </c>
      <c r="I1436">
        <f>VLOOKUP(C1436,LEAIDs!$A$2:$B$305,2,FALSE)</f>
        <v>2200219</v>
      </c>
    </row>
    <row r="1437" spans="1:9" x14ac:dyDescent="0.2">
      <c r="A1437">
        <v>2200219</v>
      </c>
      <c r="B1437">
        <v>2020</v>
      </c>
      <c r="C1437" t="s">
        <v>23</v>
      </c>
      <c r="D1437" t="s">
        <v>232</v>
      </c>
      <c r="E1437" t="s">
        <v>234</v>
      </c>
      <c r="F1437" s="17">
        <v>8850206</v>
      </c>
      <c r="G1437" s="17">
        <v>312310</v>
      </c>
      <c r="H1437" s="17">
        <v>9162516</v>
      </c>
      <c r="I1437">
        <f>VLOOKUP(C1437,LEAIDs!$A$2:$B$305,2,FALSE)</f>
        <v>2200219</v>
      </c>
    </row>
    <row r="1438" spans="1:9" x14ac:dyDescent="0.2">
      <c r="A1438">
        <v>2200219</v>
      </c>
      <c r="B1438" s="2">
        <v>2021</v>
      </c>
      <c r="C1438" s="4" t="s">
        <v>23</v>
      </c>
      <c r="D1438" s="2" t="s">
        <v>232</v>
      </c>
      <c r="E1438" s="2" t="s">
        <v>234</v>
      </c>
      <c r="F1438" s="16">
        <v>9289535</v>
      </c>
      <c r="G1438" s="16">
        <v>323344</v>
      </c>
      <c r="H1438" s="15">
        <v>9612879</v>
      </c>
      <c r="I1438">
        <f>VLOOKUP(C1438,LEAIDs!$A$2:$B$305,2,FALSE)</f>
        <v>2200219</v>
      </c>
    </row>
    <row r="1439" spans="1:9" x14ac:dyDescent="0.2">
      <c r="A1439">
        <v>2200219</v>
      </c>
      <c r="B1439" s="2">
        <v>2022</v>
      </c>
      <c r="C1439" s="4" t="s">
        <v>23</v>
      </c>
      <c r="D1439" s="2" t="s">
        <v>232</v>
      </c>
      <c r="E1439" s="2" t="s">
        <v>234</v>
      </c>
      <c r="F1439" s="16">
        <v>9550686</v>
      </c>
      <c r="G1439" s="16">
        <v>341223</v>
      </c>
      <c r="H1439" s="15">
        <v>9891909</v>
      </c>
      <c r="I1439">
        <f>VLOOKUP(C1439,LEAIDs!$A$2:$B$305,2,FALSE)</f>
        <v>2200219</v>
      </c>
    </row>
    <row r="1440" spans="1:9" x14ac:dyDescent="0.2">
      <c r="A1440">
        <v>2200219</v>
      </c>
      <c r="B1440" s="2">
        <v>2023</v>
      </c>
      <c r="C1440" s="2" t="s">
        <v>23</v>
      </c>
      <c r="D1440" s="2" t="s">
        <v>232</v>
      </c>
      <c r="E1440" s="2" t="s">
        <v>234</v>
      </c>
      <c r="F1440" s="15">
        <v>10581471</v>
      </c>
      <c r="G1440" s="15">
        <v>377247</v>
      </c>
      <c r="H1440" s="15">
        <v>10958718</v>
      </c>
      <c r="I1440">
        <f>VLOOKUP(C1440,LEAIDs!$A$2:$B$305,2,FALSE)</f>
        <v>2200219</v>
      </c>
    </row>
    <row r="1441" spans="1:9" x14ac:dyDescent="0.2">
      <c r="A1441">
        <v>2200240</v>
      </c>
      <c r="B1441">
        <v>2015</v>
      </c>
      <c r="C1441" t="s">
        <v>64</v>
      </c>
      <c r="D1441" t="s">
        <v>232</v>
      </c>
      <c r="E1441" t="s">
        <v>234</v>
      </c>
      <c r="F1441" s="17">
        <v>2960404</v>
      </c>
      <c r="G1441" s="17">
        <v>91005</v>
      </c>
      <c r="H1441" s="17">
        <v>3051409</v>
      </c>
      <c r="I1441">
        <f>VLOOKUP(C1441,LEAIDs!$A$2:$B$305,2,FALSE)</f>
        <v>2200240</v>
      </c>
    </row>
    <row r="1442" spans="1:9" x14ac:dyDescent="0.2">
      <c r="A1442">
        <v>2200240</v>
      </c>
      <c r="B1442">
        <v>2016</v>
      </c>
      <c r="C1442" t="s">
        <v>64</v>
      </c>
      <c r="D1442" t="s">
        <v>232</v>
      </c>
      <c r="E1442" t="s">
        <v>234</v>
      </c>
      <c r="F1442" s="17">
        <v>2610905</v>
      </c>
      <c r="G1442" s="17">
        <v>86121</v>
      </c>
      <c r="H1442" s="17">
        <v>2697026</v>
      </c>
      <c r="I1442">
        <f>VLOOKUP(C1442,LEAIDs!$A$2:$B$305,2,FALSE)</f>
        <v>2200240</v>
      </c>
    </row>
    <row r="1443" spans="1:9" x14ac:dyDescent="0.2">
      <c r="A1443">
        <v>2200240</v>
      </c>
      <c r="B1443">
        <v>2017</v>
      </c>
      <c r="C1443" t="s">
        <v>64</v>
      </c>
      <c r="D1443" t="s">
        <v>232</v>
      </c>
      <c r="E1443" t="s">
        <v>234</v>
      </c>
      <c r="F1443" s="17">
        <v>2062802</v>
      </c>
      <c r="G1443" s="17">
        <v>71248</v>
      </c>
      <c r="H1443" s="17">
        <v>2134050</v>
      </c>
      <c r="I1443">
        <f>VLOOKUP(C1443,LEAIDs!$A$2:$B$305,2,FALSE)</f>
        <v>2200240</v>
      </c>
    </row>
    <row r="1444" spans="1:9" x14ac:dyDescent="0.2">
      <c r="A1444">
        <v>2200240</v>
      </c>
      <c r="B1444">
        <v>2018</v>
      </c>
      <c r="C1444" t="s">
        <v>64</v>
      </c>
      <c r="D1444" t="s">
        <v>232</v>
      </c>
      <c r="E1444" t="s">
        <v>234</v>
      </c>
      <c r="F1444" s="17">
        <v>2527303</v>
      </c>
      <c r="G1444" s="17">
        <v>83170</v>
      </c>
      <c r="H1444" s="17">
        <v>2610473</v>
      </c>
      <c r="I1444">
        <f>VLOOKUP(C1444,LEAIDs!$A$2:$B$305,2,FALSE)</f>
        <v>2200240</v>
      </c>
    </row>
    <row r="1445" spans="1:9" x14ac:dyDescent="0.2">
      <c r="A1445">
        <v>2200240</v>
      </c>
      <c r="B1445">
        <v>2019</v>
      </c>
      <c r="C1445" t="s">
        <v>64</v>
      </c>
      <c r="D1445" t="s">
        <v>232</v>
      </c>
      <c r="E1445" t="s">
        <v>234</v>
      </c>
      <c r="F1445" s="17">
        <v>2347575</v>
      </c>
      <c r="G1445" s="17">
        <v>78788</v>
      </c>
      <c r="H1445" s="17">
        <v>2426363</v>
      </c>
      <c r="I1445">
        <f>VLOOKUP(C1445,LEAIDs!$A$2:$B$305,2,FALSE)</f>
        <v>2200240</v>
      </c>
    </row>
    <row r="1446" spans="1:9" x14ac:dyDescent="0.2">
      <c r="A1446">
        <v>2200240</v>
      </c>
      <c r="B1446">
        <v>2020</v>
      </c>
      <c r="C1446" t="s">
        <v>64</v>
      </c>
      <c r="D1446" t="s">
        <v>232</v>
      </c>
      <c r="E1446" t="s">
        <v>234</v>
      </c>
      <c r="F1446" s="17">
        <v>2592809</v>
      </c>
      <c r="G1446" s="17">
        <v>91496</v>
      </c>
      <c r="H1446" s="17">
        <v>2684305</v>
      </c>
      <c r="I1446">
        <f>VLOOKUP(C1446,LEAIDs!$A$2:$B$305,2,FALSE)</f>
        <v>2200240</v>
      </c>
    </row>
    <row r="1447" spans="1:9" x14ac:dyDescent="0.2">
      <c r="A1447">
        <v>2200240</v>
      </c>
      <c r="B1447" s="2">
        <v>2021</v>
      </c>
      <c r="C1447" s="4" t="s">
        <v>64</v>
      </c>
      <c r="D1447" s="2" t="s">
        <v>232</v>
      </c>
      <c r="E1447" s="2" t="s">
        <v>234</v>
      </c>
      <c r="F1447" s="16">
        <v>2767943</v>
      </c>
      <c r="G1447" s="16">
        <v>96345</v>
      </c>
      <c r="H1447" s="15">
        <v>2864288</v>
      </c>
      <c r="I1447">
        <f>VLOOKUP(C1447,LEAIDs!$A$2:$B$305,2,FALSE)</f>
        <v>2200240</v>
      </c>
    </row>
    <row r="1448" spans="1:9" x14ac:dyDescent="0.2">
      <c r="A1448">
        <v>2200240</v>
      </c>
      <c r="B1448" s="2">
        <v>2022</v>
      </c>
      <c r="C1448" s="4" t="s">
        <v>64</v>
      </c>
      <c r="D1448" s="2" t="s">
        <v>232</v>
      </c>
      <c r="E1448" s="2" t="s">
        <v>234</v>
      </c>
      <c r="F1448" s="16">
        <v>3122452</v>
      </c>
      <c r="G1448" s="16">
        <v>111558</v>
      </c>
      <c r="H1448" s="15">
        <v>3234010</v>
      </c>
      <c r="I1448">
        <f>VLOOKUP(C1448,LEAIDs!$A$2:$B$305,2,FALSE)</f>
        <v>2200240</v>
      </c>
    </row>
    <row r="1449" spans="1:9" x14ac:dyDescent="0.2">
      <c r="A1449">
        <v>2200240</v>
      </c>
      <c r="B1449" s="2">
        <v>2023</v>
      </c>
      <c r="C1449" s="2" t="s">
        <v>64</v>
      </c>
      <c r="D1449" s="2" t="s">
        <v>232</v>
      </c>
      <c r="E1449" s="2" t="s">
        <v>234</v>
      </c>
      <c r="F1449" s="15">
        <v>3101305</v>
      </c>
      <c r="G1449" s="15">
        <v>110567</v>
      </c>
      <c r="H1449" s="15">
        <v>3211872</v>
      </c>
      <c r="I1449">
        <f>VLOOKUP(C1449,LEAIDs!$A$2:$B$305,2,FALSE)</f>
        <v>2200240</v>
      </c>
    </row>
    <row r="1450" spans="1:9" x14ac:dyDescent="0.2">
      <c r="A1450">
        <v>2200169</v>
      </c>
      <c r="B1450">
        <v>2015</v>
      </c>
      <c r="C1450" t="s">
        <v>144</v>
      </c>
      <c r="D1450" t="s">
        <v>232</v>
      </c>
      <c r="E1450" t="s">
        <v>234</v>
      </c>
      <c r="F1450" s="17">
        <v>478367</v>
      </c>
      <c r="G1450" s="17">
        <v>14705</v>
      </c>
      <c r="H1450" s="17">
        <v>493072</v>
      </c>
      <c r="I1450">
        <f>VLOOKUP(C1450,LEAIDs!$A$2:$B$305,2,FALSE)</f>
        <v>2200247</v>
      </c>
    </row>
    <row r="1451" spans="1:9" x14ac:dyDescent="0.2">
      <c r="A1451">
        <v>2200247</v>
      </c>
      <c r="B1451">
        <v>2016</v>
      </c>
      <c r="C1451" t="s">
        <v>144</v>
      </c>
      <c r="D1451" t="s">
        <v>232</v>
      </c>
      <c r="E1451" t="s">
        <v>234</v>
      </c>
      <c r="F1451" s="17">
        <v>505829</v>
      </c>
      <c r="G1451" s="17">
        <v>16685</v>
      </c>
      <c r="H1451" s="17">
        <v>522514</v>
      </c>
      <c r="I1451">
        <f>VLOOKUP(C1451,LEAIDs!$A$2:$B$305,2,FALSE)</f>
        <v>2200247</v>
      </c>
    </row>
    <row r="1452" spans="1:9" x14ac:dyDescent="0.2">
      <c r="A1452">
        <v>2200247</v>
      </c>
      <c r="B1452">
        <v>2017</v>
      </c>
      <c r="C1452" t="s">
        <v>144</v>
      </c>
      <c r="D1452" t="s">
        <v>232</v>
      </c>
      <c r="E1452" t="s">
        <v>234</v>
      </c>
      <c r="F1452" s="17">
        <v>585627</v>
      </c>
      <c r="G1452" s="17">
        <v>20227</v>
      </c>
      <c r="H1452" s="17">
        <v>605854</v>
      </c>
      <c r="I1452">
        <f>VLOOKUP(C1452,LEAIDs!$A$2:$B$305,2,FALSE)</f>
        <v>2200247</v>
      </c>
    </row>
    <row r="1453" spans="1:9" x14ac:dyDescent="0.2">
      <c r="A1453">
        <v>2200247</v>
      </c>
      <c r="B1453">
        <v>2018</v>
      </c>
      <c r="C1453" t="s">
        <v>144</v>
      </c>
      <c r="D1453" t="s">
        <v>232</v>
      </c>
      <c r="E1453" t="s">
        <v>234</v>
      </c>
      <c r="F1453" s="17">
        <v>600350</v>
      </c>
      <c r="G1453" s="17">
        <v>19757</v>
      </c>
      <c r="H1453" s="17">
        <v>620107</v>
      </c>
      <c r="I1453">
        <f>VLOOKUP(C1453,LEAIDs!$A$2:$B$305,2,FALSE)</f>
        <v>2200247</v>
      </c>
    </row>
    <row r="1454" spans="1:9" x14ac:dyDescent="0.2">
      <c r="A1454">
        <v>2200247</v>
      </c>
      <c r="B1454">
        <v>2019</v>
      </c>
      <c r="C1454" t="s">
        <v>144</v>
      </c>
      <c r="D1454" t="s">
        <v>232</v>
      </c>
      <c r="E1454" t="s">
        <v>234</v>
      </c>
      <c r="F1454" s="17">
        <v>601585</v>
      </c>
      <c r="G1454" s="17">
        <v>20190</v>
      </c>
      <c r="H1454" s="17">
        <v>621775</v>
      </c>
      <c r="I1454">
        <f>VLOOKUP(C1454,LEAIDs!$A$2:$B$305,2,FALSE)</f>
        <v>2200247</v>
      </c>
    </row>
    <row r="1455" spans="1:9" x14ac:dyDescent="0.2">
      <c r="A1455">
        <v>2200247</v>
      </c>
      <c r="B1455">
        <v>2020</v>
      </c>
      <c r="C1455" t="s">
        <v>144</v>
      </c>
      <c r="D1455" t="s">
        <v>232</v>
      </c>
      <c r="E1455" t="s">
        <v>234</v>
      </c>
      <c r="F1455" s="17">
        <v>560903</v>
      </c>
      <c r="G1455" s="17">
        <v>19793</v>
      </c>
      <c r="H1455" s="17">
        <v>580696</v>
      </c>
      <c r="I1455">
        <f>VLOOKUP(C1455,LEAIDs!$A$2:$B$305,2,FALSE)</f>
        <v>2200247</v>
      </c>
    </row>
    <row r="1456" spans="1:9" x14ac:dyDescent="0.2">
      <c r="A1456">
        <v>2200247</v>
      </c>
      <c r="B1456" s="2">
        <v>2021</v>
      </c>
      <c r="C1456" s="4" t="s">
        <v>144</v>
      </c>
      <c r="D1456" s="2" t="s">
        <v>232</v>
      </c>
      <c r="E1456" s="2" t="s">
        <v>234</v>
      </c>
      <c r="F1456" s="16">
        <v>598694</v>
      </c>
      <c r="G1456" s="16">
        <v>20839</v>
      </c>
      <c r="H1456" s="15">
        <v>619533</v>
      </c>
      <c r="I1456">
        <f>VLOOKUP(C1456,LEAIDs!$A$2:$B$305,2,FALSE)</f>
        <v>2200247</v>
      </c>
    </row>
    <row r="1457" spans="1:9" x14ac:dyDescent="0.2">
      <c r="A1457">
        <v>2200247</v>
      </c>
      <c r="B1457" s="2">
        <v>2022</v>
      </c>
      <c r="C1457" s="4" t="s">
        <v>144</v>
      </c>
      <c r="D1457" s="2" t="s">
        <v>232</v>
      </c>
      <c r="E1457" s="2" t="s">
        <v>234</v>
      </c>
      <c r="F1457" s="16">
        <v>661962</v>
      </c>
      <c r="G1457" s="16">
        <v>23650</v>
      </c>
      <c r="H1457" s="15">
        <v>685612</v>
      </c>
      <c r="I1457">
        <f>VLOOKUP(C1457,LEAIDs!$A$2:$B$305,2,FALSE)</f>
        <v>2200247</v>
      </c>
    </row>
    <row r="1458" spans="1:9" x14ac:dyDescent="0.2">
      <c r="A1458">
        <v>2200247</v>
      </c>
      <c r="B1458" s="2">
        <v>2023</v>
      </c>
      <c r="C1458" s="2" t="s">
        <v>144</v>
      </c>
      <c r="D1458" s="2" t="s">
        <v>232</v>
      </c>
      <c r="E1458" s="2" t="s">
        <v>234</v>
      </c>
      <c r="F1458" s="15">
        <v>752800</v>
      </c>
      <c r="G1458" s="15">
        <v>26839</v>
      </c>
      <c r="H1458" s="15">
        <v>779639</v>
      </c>
      <c r="I1458">
        <f>VLOOKUP(C1458,LEAIDs!$A$2:$B$305,2,FALSE)</f>
        <v>2200247</v>
      </c>
    </row>
    <row r="1459" spans="1:9" x14ac:dyDescent="0.2">
      <c r="A1459">
        <v>2200252</v>
      </c>
      <c r="B1459">
        <v>2015</v>
      </c>
      <c r="C1459" t="s">
        <v>148</v>
      </c>
      <c r="D1459" t="s">
        <v>232</v>
      </c>
      <c r="E1459" t="s">
        <v>234</v>
      </c>
      <c r="F1459" s="17">
        <v>95693</v>
      </c>
      <c r="G1459" s="17">
        <v>2942</v>
      </c>
      <c r="H1459" s="17">
        <v>98635</v>
      </c>
      <c r="I1459">
        <f>VLOOKUP(C1459,LEAIDs!$A$2:$B$305,2,FALSE)</f>
        <v>2200252</v>
      </c>
    </row>
    <row r="1460" spans="1:9" x14ac:dyDescent="0.2">
      <c r="A1460">
        <v>2200252</v>
      </c>
      <c r="B1460">
        <v>2016</v>
      </c>
      <c r="C1460" t="s">
        <v>148</v>
      </c>
      <c r="D1460" t="s">
        <v>232</v>
      </c>
      <c r="E1460" t="s">
        <v>234</v>
      </c>
      <c r="F1460" s="17">
        <v>87086</v>
      </c>
      <c r="G1460" s="17">
        <v>2873</v>
      </c>
      <c r="H1460" s="17">
        <v>89959</v>
      </c>
      <c r="I1460">
        <f>VLOOKUP(C1460,LEAIDs!$A$2:$B$305,2,FALSE)</f>
        <v>2200252</v>
      </c>
    </row>
    <row r="1461" spans="1:9" x14ac:dyDescent="0.2">
      <c r="A1461">
        <v>2200252</v>
      </c>
      <c r="B1461">
        <v>2017</v>
      </c>
      <c r="C1461" t="s">
        <v>148</v>
      </c>
      <c r="D1461" t="s">
        <v>232</v>
      </c>
      <c r="E1461" t="s">
        <v>234</v>
      </c>
      <c r="F1461" s="17">
        <v>108468</v>
      </c>
      <c r="G1461" s="17">
        <v>3746</v>
      </c>
      <c r="H1461" s="17">
        <v>112214</v>
      </c>
      <c r="I1461">
        <f>VLOOKUP(C1461,LEAIDs!$A$2:$B$305,2,FALSE)</f>
        <v>2200252</v>
      </c>
    </row>
    <row r="1462" spans="1:9" x14ac:dyDescent="0.2">
      <c r="A1462">
        <v>2200252</v>
      </c>
      <c r="B1462">
        <v>2018</v>
      </c>
      <c r="C1462" t="s">
        <v>148</v>
      </c>
      <c r="D1462" t="s">
        <v>232</v>
      </c>
      <c r="E1462" t="s">
        <v>234</v>
      </c>
      <c r="F1462" s="17">
        <v>141972</v>
      </c>
      <c r="G1462" s="17">
        <v>4672</v>
      </c>
      <c r="H1462" s="17">
        <v>146644</v>
      </c>
      <c r="I1462">
        <f>VLOOKUP(C1462,LEAIDs!$A$2:$B$305,2,FALSE)</f>
        <v>2200252</v>
      </c>
    </row>
    <row r="1463" spans="1:9" x14ac:dyDescent="0.2">
      <c r="A1463">
        <v>2200252</v>
      </c>
      <c r="B1463">
        <v>2019</v>
      </c>
      <c r="C1463" t="s">
        <v>148</v>
      </c>
      <c r="D1463" t="s">
        <v>232</v>
      </c>
      <c r="E1463" t="s">
        <v>234</v>
      </c>
      <c r="F1463" s="17">
        <v>141070</v>
      </c>
      <c r="G1463" s="17">
        <v>4735</v>
      </c>
      <c r="H1463" s="17">
        <v>145805</v>
      </c>
      <c r="I1463">
        <f>VLOOKUP(C1463,LEAIDs!$A$2:$B$305,2,FALSE)</f>
        <v>2200252</v>
      </c>
    </row>
    <row r="1464" spans="1:9" x14ac:dyDescent="0.2">
      <c r="A1464">
        <v>2200252</v>
      </c>
      <c r="B1464">
        <v>2020</v>
      </c>
      <c r="C1464" t="s">
        <v>148</v>
      </c>
      <c r="D1464" t="s">
        <v>232</v>
      </c>
      <c r="E1464" t="s">
        <v>234</v>
      </c>
      <c r="F1464" s="17">
        <v>138483</v>
      </c>
      <c r="G1464" s="17">
        <v>4887</v>
      </c>
      <c r="H1464" s="17">
        <v>143370</v>
      </c>
      <c r="I1464">
        <f>VLOOKUP(C1464,LEAIDs!$A$2:$B$305,2,FALSE)</f>
        <v>2200252</v>
      </c>
    </row>
    <row r="1465" spans="1:9" x14ac:dyDescent="0.2">
      <c r="A1465">
        <v>2200252</v>
      </c>
      <c r="B1465" s="2">
        <v>2021</v>
      </c>
      <c r="C1465" s="4" t="s">
        <v>148</v>
      </c>
      <c r="D1465" s="2" t="s">
        <v>232</v>
      </c>
      <c r="E1465" s="2" t="s">
        <v>234</v>
      </c>
      <c r="F1465" s="16">
        <v>115467</v>
      </c>
      <c r="G1465" s="16">
        <v>4019</v>
      </c>
      <c r="H1465" s="15">
        <v>119486</v>
      </c>
      <c r="I1465">
        <f>VLOOKUP(C1465,LEAIDs!$A$2:$B$305,2,FALSE)</f>
        <v>2200252</v>
      </c>
    </row>
    <row r="1466" spans="1:9" x14ac:dyDescent="0.2">
      <c r="A1466">
        <v>2200252</v>
      </c>
      <c r="B1466" s="2">
        <v>2022</v>
      </c>
      <c r="C1466" s="4" t="s">
        <v>148</v>
      </c>
      <c r="D1466" s="2" t="s">
        <v>232</v>
      </c>
      <c r="E1466" s="2" t="s">
        <v>234</v>
      </c>
      <c r="F1466" s="16">
        <v>161502</v>
      </c>
      <c r="G1466" s="16">
        <v>5770</v>
      </c>
      <c r="H1466" s="15">
        <v>167272</v>
      </c>
      <c r="I1466">
        <f>VLOOKUP(C1466,LEAIDs!$A$2:$B$305,2,FALSE)</f>
        <v>2200252</v>
      </c>
    </row>
    <row r="1467" spans="1:9" x14ac:dyDescent="0.2">
      <c r="A1467">
        <v>2200252</v>
      </c>
      <c r="B1467" s="2">
        <v>2023</v>
      </c>
      <c r="C1467" s="2" t="s">
        <v>148</v>
      </c>
      <c r="D1467" s="2" t="s">
        <v>232</v>
      </c>
      <c r="E1467" s="2" t="s">
        <v>234</v>
      </c>
      <c r="F1467" s="15">
        <v>168733</v>
      </c>
      <c r="G1467" s="15">
        <v>6016</v>
      </c>
      <c r="H1467" s="15">
        <v>174749</v>
      </c>
      <c r="I1467">
        <f>VLOOKUP(C1467,LEAIDs!$A$2:$B$305,2,FALSE)</f>
        <v>2200252</v>
      </c>
    </row>
    <row r="1468" spans="1:9" x14ac:dyDescent="0.2">
      <c r="A1468">
        <v>2200270</v>
      </c>
      <c r="B1468">
        <v>2015</v>
      </c>
      <c r="C1468" t="s">
        <v>7</v>
      </c>
      <c r="D1468" t="s">
        <v>232</v>
      </c>
      <c r="E1468" t="s">
        <v>234</v>
      </c>
      <c r="F1468" s="17">
        <v>27664812</v>
      </c>
      <c r="G1468" s="17">
        <v>850432</v>
      </c>
      <c r="H1468" s="17">
        <v>28515244</v>
      </c>
      <c r="I1468">
        <f>VLOOKUP(C1468,LEAIDs!$A$2:$B$305,2,FALSE)</f>
        <v>2200270</v>
      </c>
    </row>
    <row r="1469" spans="1:9" x14ac:dyDescent="0.2">
      <c r="A1469">
        <v>2200270</v>
      </c>
      <c r="B1469">
        <v>2016</v>
      </c>
      <c r="C1469" t="s">
        <v>7</v>
      </c>
      <c r="D1469" t="s">
        <v>232</v>
      </c>
      <c r="E1469" t="s">
        <v>234</v>
      </c>
      <c r="F1469" s="17">
        <v>27129102</v>
      </c>
      <c r="G1469" s="17">
        <v>894852</v>
      </c>
      <c r="H1469" s="17">
        <v>28023954</v>
      </c>
      <c r="I1469">
        <f>VLOOKUP(C1469,LEAIDs!$A$2:$B$305,2,FALSE)</f>
        <v>2200270</v>
      </c>
    </row>
    <row r="1470" spans="1:9" x14ac:dyDescent="0.2">
      <c r="A1470">
        <v>2200270</v>
      </c>
      <c r="B1470">
        <v>2017</v>
      </c>
      <c r="C1470" t="s">
        <v>7</v>
      </c>
      <c r="D1470" t="s">
        <v>232</v>
      </c>
      <c r="E1470" t="s">
        <v>234</v>
      </c>
      <c r="F1470" s="17">
        <v>27135830</v>
      </c>
      <c r="G1470" s="17">
        <v>937259</v>
      </c>
      <c r="H1470" s="17">
        <v>28073089</v>
      </c>
      <c r="I1470">
        <f>VLOOKUP(C1470,LEAIDs!$A$2:$B$305,2,FALSE)</f>
        <v>2200270</v>
      </c>
    </row>
    <row r="1471" spans="1:9" x14ac:dyDescent="0.2">
      <c r="A1471">
        <v>2200270</v>
      </c>
      <c r="B1471">
        <v>2018</v>
      </c>
      <c r="C1471" t="s">
        <v>7</v>
      </c>
      <c r="D1471" t="s">
        <v>232</v>
      </c>
      <c r="E1471" t="s">
        <v>234</v>
      </c>
      <c r="F1471" s="17">
        <v>29144194</v>
      </c>
      <c r="G1471" s="17">
        <v>959090</v>
      </c>
      <c r="H1471" s="17">
        <v>30103284</v>
      </c>
      <c r="I1471">
        <f>VLOOKUP(C1471,LEAIDs!$A$2:$B$305,2,FALSE)</f>
        <v>2200270</v>
      </c>
    </row>
    <row r="1472" spans="1:9" x14ac:dyDescent="0.2">
      <c r="A1472">
        <v>2200270</v>
      </c>
      <c r="B1472">
        <v>2019</v>
      </c>
      <c r="C1472" t="s">
        <v>7</v>
      </c>
      <c r="D1472" t="s">
        <v>232</v>
      </c>
      <c r="E1472" t="s">
        <v>234</v>
      </c>
      <c r="F1472" s="17">
        <v>30993559</v>
      </c>
      <c r="G1472" s="17">
        <v>1040193</v>
      </c>
      <c r="H1472" s="17">
        <v>32033752</v>
      </c>
      <c r="I1472">
        <f>VLOOKUP(C1472,LEAIDs!$A$2:$B$305,2,FALSE)</f>
        <v>2200270</v>
      </c>
    </row>
    <row r="1473" spans="1:9" x14ac:dyDescent="0.2">
      <c r="A1473">
        <v>2200270</v>
      </c>
      <c r="B1473">
        <v>2020</v>
      </c>
      <c r="C1473" t="s">
        <v>7</v>
      </c>
      <c r="D1473" t="s">
        <v>232</v>
      </c>
      <c r="E1473" t="s">
        <v>234</v>
      </c>
      <c r="F1473" s="17">
        <v>30382927</v>
      </c>
      <c r="G1473" s="17">
        <v>1072167</v>
      </c>
      <c r="H1473" s="17">
        <v>31455094</v>
      </c>
      <c r="I1473">
        <f>VLOOKUP(C1473,LEAIDs!$A$2:$B$305,2,FALSE)</f>
        <v>2200270</v>
      </c>
    </row>
    <row r="1474" spans="1:9" x14ac:dyDescent="0.2">
      <c r="A1474">
        <v>2200270</v>
      </c>
      <c r="B1474" s="2">
        <v>2021</v>
      </c>
      <c r="C1474" s="4" t="s">
        <v>7</v>
      </c>
      <c r="D1474" s="2" t="s">
        <v>232</v>
      </c>
      <c r="E1474" s="2" t="s">
        <v>234</v>
      </c>
      <c r="F1474" s="16">
        <v>30592389</v>
      </c>
      <c r="G1474" s="16">
        <v>1064839</v>
      </c>
      <c r="H1474" s="15">
        <v>31657228</v>
      </c>
      <c r="I1474">
        <f>VLOOKUP(C1474,LEAIDs!$A$2:$B$305,2,FALSE)</f>
        <v>2200270</v>
      </c>
    </row>
    <row r="1475" spans="1:9" x14ac:dyDescent="0.2">
      <c r="A1475">
        <v>2200270</v>
      </c>
      <c r="B1475" s="2">
        <v>2022</v>
      </c>
      <c r="C1475" s="4" t="s">
        <v>7</v>
      </c>
      <c r="D1475" s="2" t="s">
        <v>232</v>
      </c>
      <c r="E1475" s="2" t="s">
        <v>234</v>
      </c>
      <c r="F1475" s="16">
        <v>32496217</v>
      </c>
      <c r="G1475" s="16">
        <v>1161012</v>
      </c>
      <c r="H1475" s="15">
        <v>33657229</v>
      </c>
      <c r="I1475">
        <f>VLOOKUP(C1475,LEAIDs!$A$2:$B$305,2,FALSE)</f>
        <v>2200270</v>
      </c>
    </row>
    <row r="1476" spans="1:9" x14ac:dyDescent="0.2">
      <c r="A1476">
        <v>2200270</v>
      </c>
      <c r="B1476" s="2">
        <v>2023</v>
      </c>
      <c r="C1476" s="2" t="s">
        <v>7</v>
      </c>
      <c r="D1476" s="2" t="s">
        <v>232</v>
      </c>
      <c r="E1476" s="2" t="s">
        <v>234</v>
      </c>
      <c r="F1476" s="15">
        <v>34093852</v>
      </c>
      <c r="G1476" s="15">
        <v>1215502</v>
      </c>
      <c r="H1476" s="15">
        <v>35309354</v>
      </c>
      <c r="I1476">
        <f>VLOOKUP(C1476,LEAIDs!$A$2:$B$305,2,FALSE)</f>
        <v>2200270</v>
      </c>
    </row>
    <row r="1477" spans="1:9" x14ac:dyDescent="0.2">
      <c r="A1477">
        <v>2200275</v>
      </c>
      <c r="B1477">
        <v>2017</v>
      </c>
      <c r="C1477" t="s">
        <v>150</v>
      </c>
      <c r="D1477" t="s">
        <v>232</v>
      </c>
      <c r="E1477" t="s">
        <v>234</v>
      </c>
      <c r="F1477" s="17">
        <v>595323</v>
      </c>
      <c r="G1477" s="17">
        <v>20562</v>
      </c>
      <c r="H1477" s="17">
        <v>615885</v>
      </c>
      <c r="I1477">
        <f>VLOOKUP(C1477,LEAIDs!$A$2:$B$305,2,FALSE)</f>
        <v>2200275</v>
      </c>
    </row>
    <row r="1478" spans="1:9" x14ac:dyDescent="0.2">
      <c r="A1478">
        <v>2200275</v>
      </c>
      <c r="B1478">
        <v>2018</v>
      </c>
      <c r="C1478" t="s">
        <v>150</v>
      </c>
      <c r="D1478" t="s">
        <v>232</v>
      </c>
      <c r="E1478" t="s">
        <v>234</v>
      </c>
      <c r="F1478" s="17">
        <v>671017</v>
      </c>
      <c r="G1478" s="17">
        <v>22082</v>
      </c>
      <c r="H1478" s="17">
        <v>693099</v>
      </c>
      <c r="I1478">
        <f>VLOOKUP(C1478,LEAIDs!$A$2:$B$305,2,FALSE)</f>
        <v>2200275</v>
      </c>
    </row>
    <row r="1479" spans="1:9" x14ac:dyDescent="0.2">
      <c r="A1479">
        <v>2200275</v>
      </c>
      <c r="B1479">
        <v>2019</v>
      </c>
      <c r="C1479" t="s">
        <v>150</v>
      </c>
      <c r="D1479" t="s">
        <v>232</v>
      </c>
      <c r="E1479" t="s">
        <v>234</v>
      </c>
      <c r="F1479" s="17">
        <v>724324</v>
      </c>
      <c r="G1479" s="17">
        <v>24309</v>
      </c>
      <c r="H1479" s="17">
        <v>748633</v>
      </c>
      <c r="I1479">
        <f>VLOOKUP(C1479,LEAIDs!$A$2:$B$305,2,FALSE)</f>
        <v>2200275</v>
      </c>
    </row>
    <row r="1480" spans="1:9" x14ac:dyDescent="0.2">
      <c r="A1480">
        <v>2200275</v>
      </c>
      <c r="B1480">
        <v>2020</v>
      </c>
      <c r="C1480" t="s">
        <v>150</v>
      </c>
      <c r="D1480" t="s">
        <v>232</v>
      </c>
      <c r="E1480" t="s">
        <v>234</v>
      </c>
      <c r="F1480" s="17">
        <v>762948</v>
      </c>
      <c r="G1480" s="17">
        <v>26923</v>
      </c>
      <c r="H1480" s="17">
        <v>789871</v>
      </c>
      <c r="I1480">
        <f>VLOOKUP(C1480,LEAIDs!$A$2:$B$305,2,FALSE)</f>
        <v>2200275</v>
      </c>
    </row>
    <row r="1481" spans="1:9" x14ac:dyDescent="0.2">
      <c r="A1481">
        <v>2200275</v>
      </c>
      <c r="B1481" s="2">
        <v>2021</v>
      </c>
      <c r="C1481" s="4" t="s">
        <v>150</v>
      </c>
      <c r="D1481" s="2" t="s">
        <v>232</v>
      </c>
      <c r="E1481" s="2" t="s">
        <v>234</v>
      </c>
      <c r="F1481" s="16">
        <v>928532</v>
      </c>
      <c r="G1481" s="16">
        <v>32320</v>
      </c>
      <c r="H1481" s="15">
        <v>960852</v>
      </c>
      <c r="I1481">
        <f>VLOOKUP(C1481,LEAIDs!$A$2:$B$305,2,FALSE)</f>
        <v>2200275</v>
      </c>
    </row>
    <row r="1482" spans="1:9" x14ac:dyDescent="0.2">
      <c r="A1482">
        <v>2200275</v>
      </c>
      <c r="B1482" s="2">
        <v>2022</v>
      </c>
      <c r="C1482" s="4" t="s">
        <v>150</v>
      </c>
      <c r="D1482" s="2" t="s">
        <v>232</v>
      </c>
      <c r="E1482" s="2" t="s">
        <v>234</v>
      </c>
      <c r="F1482" s="16">
        <v>1077985</v>
      </c>
      <c r="G1482" s="16">
        <v>38514</v>
      </c>
      <c r="H1482" s="15">
        <v>1116499</v>
      </c>
      <c r="I1482">
        <f>VLOOKUP(C1482,LEAIDs!$A$2:$B$305,2,FALSE)</f>
        <v>2200275</v>
      </c>
    </row>
    <row r="1483" spans="1:9" x14ac:dyDescent="0.2">
      <c r="A1483">
        <v>2200275</v>
      </c>
      <c r="B1483" s="2">
        <v>2023</v>
      </c>
      <c r="C1483" s="2" t="s">
        <v>150</v>
      </c>
      <c r="D1483" s="2" t="s">
        <v>232</v>
      </c>
      <c r="E1483" s="2" t="s">
        <v>234</v>
      </c>
      <c r="F1483" s="15">
        <v>1262159</v>
      </c>
      <c r="G1483" s="15">
        <v>44998</v>
      </c>
      <c r="H1483" s="15">
        <v>1307157</v>
      </c>
      <c r="I1483">
        <f>VLOOKUP(C1483,LEAIDs!$A$2:$B$305,2,FALSE)</f>
        <v>2200275</v>
      </c>
    </row>
    <row r="1484" spans="1:9" x14ac:dyDescent="0.2">
      <c r="A1484">
        <v>2200282</v>
      </c>
      <c r="B1484">
        <v>2015</v>
      </c>
      <c r="C1484" t="s">
        <v>124</v>
      </c>
      <c r="D1484" t="s">
        <v>232</v>
      </c>
      <c r="E1484" t="s">
        <v>234</v>
      </c>
      <c r="F1484" s="17">
        <v>679139</v>
      </c>
      <c r="G1484" s="17">
        <v>20877</v>
      </c>
      <c r="H1484" s="17">
        <v>700016</v>
      </c>
      <c r="I1484">
        <f>VLOOKUP(C1484,LEAIDs!$A$2:$B$305,2,FALSE)</f>
        <v>2200282</v>
      </c>
    </row>
    <row r="1485" spans="1:9" x14ac:dyDescent="0.2">
      <c r="A1485">
        <v>2200282</v>
      </c>
      <c r="B1485">
        <v>2016</v>
      </c>
      <c r="C1485" t="s">
        <v>124</v>
      </c>
      <c r="D1485" t="s">
        <v>232</v>
      </c>
      <c r="E1485" t="s">
        <v>234</v>
      </c>
      <c r="F1485" s="17">
        <v>641686</v>
      </c>
      <c r="G1485" s="17">
        <v>21166</v>
      </c>
      <c r="H1485" s="17">
        <v>662852</v>
      </c>
      <c r="I1485">
        <f>VLOOKUP(C1485,LEAIDs!$A$2:$B$305,2,FALSE)</f>
        <v>2200282</v>
      </c>
    </row>
    <row r="1486" spans="1:9" x14ac:dyDescent="0.2">
      <c r="A1486">
        <v>2200282</v>
      </c>
      <c r="B1486">
        <v>2017</v>
      </c>
      <c r="C1486" t="s">
        <v>124</v>
      </c>
      <c r="D1486" t="s">
        <v>232</v>
      </c>
      <c r="E1486" t="s">
        <v>234</v>
      </c>
      <c r="F1486" s="17">
        <v>808747</v>
      </c>
      <c r="G1486" s="17">
        <v>27934</v>
      </c>
      <c r="H1486" s="17">
        <v>836681</v>
      </c>
      <c r="I1486">
        <f>VLOOKUP(C1486,LEAIDs!$A$2:$B$305,2,FALSE)</f>
        <v>2200282</v>
      </c>
    </row>
    <row r="1487" spans="1:9" x14ac:dyDescent="0.2">
      <c r="A1487">
        <v>2200282</v>
      </c>
      <c r="B1487">
        <v>2018</v>
      </c>
      <c r="C1487" t="s">
        <v>124</v>
      </c>
      <c r="D1487" t="s">
        <v>232</v>
      </c>
      <c r="E1487" t="s">
        <v>234</v>
      </c>
      <c r="F1487" s="17">
        <v>960718</v>
      </c>
      <c r="G1487" s="17">
        <v>31616</v>
      </c>
      <c r="H1487" s="17">
        <v>992334</v>
      </c>
      <c r="I1487">
        <f>VLOOKUP(C1487,LEAIDs!$A$2:$B$305,2,FALSE)</f>
        <v>2200282</v>
      </c>
    </row>
    <row r="1488" spans="1:9" x14ac:dyDescent="0.2">
      <c r="A1488">
        <v>2200282</v>
      </c>
      <c r="B1488">
        <v>2019</v>
      </c>
      <c r="C1488" t="s">
        <v>124</v>
      </c>
      <c r="D1488" t="s">
        <v>232</v>
      </c>
      <c r="E1488" t="s">
        <v>234</v>
      </c>
      <c r="F1488" s="17">
        <v>899085</v>
      </c>
      <c r="G1488" s="17">
        <v>30175</v>
      </c>
      <c r="H1488" s="17">
        <v>929260</v>
      </c>
      <c r="I1488">
        <f>VLOOKUP(C1488,LEAIDs!$A$2:$B$305,2,FALSE)</f>
        <v>2200282</v>
      </c>
    </row>
    <row r="1489" spans="1:9" x14ac:dyDescent="0.2">
      <c r="A1489">
        <v>2200282</v>
      </c>
      <c r="B1489">
        <v>2020</v>
      </c>
      <c r="C1489" t="s">
        <v>124</v>
      </c>
      <c r="D1489" t="s">
        <v>232</v>
      </c>
      <c r="E1489" t="s">
        <v>234</v>
      </c>
      <c r="F1489" s="17">
        <v>1052900</v>
      </c>
      <c r="G1489" s="17">
        <v>37155</v>
      </c>
      <c r="H1489" s="17">
        <v>1090055</v>
      </c>
      <c r="I1489">
        <f>VLOOKUP(C1489,LEAIDs!$A$2:$B$305,2,FALSE)</f>
        <v>2200282</v>
      </c>
    </row>
    <row r="1490" spans="1:9" x14ac:dyDescent="0.2">
      <c r="A1490">
        <v>2200282</v>
      </c>
      <c r="B1490" s="2">
        <v>2021</v>
      </c>
      <c r="C1490" s="4" t="s">
        <v>124</v>
      </c>
      <c r="D1490" s="2" t="s">
        <v>232</v>
      </c>
      <c r="E1490" s="2" t="s">
        <v>234</v>
      </c>
      <c r="F1490" s="16">
        <v>944698</v>
      </c>
      <c r="G1490" s="16">
        <v>32882</v>
      </c>
      <c r="H1490" s="15">
        <v>977580</v>
      </c>
      <c r="I1490">
        <f>VLOOKUP(C1490,LEAIDs!$A$2:$B$305,2,FALSE)</f>
        <v>2200282</v>
      </c>
    </row>
    <row r="1491" spans="1:9" x14ac:dyDescent="0.2">
      <c r="A1491">
        <v>2200282</v>
      </c>
      <c r="B1491" s="2">
        <v>2022</v>
      </c>
      <c r="C1491" s="4" t="s">
        <v>124</v>
      </c>
      <c r="D1491" s="2" t="s">
        <v>232</v>
      </c>
      <c r="E1491" s="2" t="s">
        <v>234</v>
      </c>
      <c r="F1491" s="16">
        <v>1009959</v>
      </c>
      <c r="G1491" s="16">
        <v>36083</v>
      </c>
      <c r="H1491" s="15">
        <v>1046042</v>
      </c>
      <c r="I1491">
        <f>VLOOKUP(C1491,LEAIDs!$A$2:$B$305,2,FALSE)</f>
        <v>2200282</v>
      </c>
    </row>
    <row r="1492" spans="1:9" x14ac:dyDescent="0.2">
      <c r="A1492">
        <v>2200282</v>
      </c>
      <c r="B1492" s="2">
        <v>2023</v>
      </c>
      <c r="C1492" s="2" t="s">
        <v>124</v>
      </c>
      <c r="D1492" s="2" t="s">
        <v>232</v>
      </c>
      <c r="E1492" s="2" t="s">
        <v>234</v>
      </c>
      <c r="F1492" s="15">
        <v>1024037</v>
      </c>
      <c r="G1492" s="15">
        <v>36509</v>
      </c>
      <c r="H1492" s="15">
        <v>1060546</v>
      </c>
      <c r="I1492">
        <f>VLOOKUP(C1492,LEAIDs!$A$2:$B$305,2,FALSE)</f>
        <v>2200282</v>
      </c>
    </row>
    <row r="1493" spans="1:9" x14ac:dyDescent="0.2">
      <c r="A1493">
        <v>2200283</v>
      </c>
      <c r="B1493">
        <v>2015</v>
      </c>
      <c r="C1493" t="s">
        <v>127</v>
      </c>
      <c r="D1493" t="s">
        <v>232</v>
      </c>
      <c r="E1493" t="s">
        <v>234</v>
      </c>
      <c r="F1493" s="17">
        <v>1419578</v>
      </c>
      <c r="G1493" s="17">
        <v>43639</v>
      </c>
      <c r="H1493" s="17">
        <v>1463217</v>
      </c>
      <c r="I1493">
        <f>VLOOKUP(C1493,LEAIDs!$A$2:$B$305,2,FALSE)</f>
        <v>2200283</v>
      </c>
    </row>
    <row r="1494" spans="1:9" x14ac:dyDescent="0.2">
      <c r="A1494">
        <v>2200283</v>
      </c>
      <c r="B1494">
        <v>2016</v>
      </c>
      <c r="C1494" t="s">
        <v>127</v>
      </c>
      <c r="D1494" t="s">
        <v>232</v>
      </c>
      <c r="E1494" t="s">
        <v>234</v>
      </c>
      <c r="F1494" s="17">
        <v>2075364</v>
      </c>
      <c r="G1494" s="17">
        <v>68456</v>
      </c>
      <c r="H1494" s="17">
        <v>2143820</v>
      </c>
      <c r="I1494">
        <f>VLOOKUP(C1494,LEAIDs!$A$2:$B$305,2,FALSE)</f>
        <v>2200283</v>
      </c>
    </row>
    <row r="1495" spans="1:9" x14ac:dyDescent="0.2">
      <c r="A1495">
        <v>2200283</v>
      </c>
      <c r="B1495">
        <v>2017</v>
      </c>
      <c r="C1495" t="s">
        <v>127</v>
      </c>
      <c r="D1495" t="s">
        <v>232</v>
      </c>
      <c r="E1495" t="s">
        <v>234</v>
      </c>
      <c r="F1495" s="17">
        <v>2464017</v>
      </c>
      <c r="G1495" s="17">
        <v>85106</v>
      </c>
      <c r="H1495" s="17">
        <v>2549123</v>
      </c>
      <c r="I1495">
        <f>VLOOKUP(C1495,LEAIDs!$A$2:$B$305,2,FALSE)</f>
        <v>2200283</v>
      </c>
    </row>
    <row r="1496" spans="1:9" x14ac:dyDescent="0.2">
      <c r="A1496">
        <v>2200283</v>
      </c>
      <c r="B1496">
        <v>2018</v>
      </c>
      <c r="C1496" t="s">
        <v>127</v>
      </c>
      <c r="D1496" t="s">
        <v>232</v>
      </c>
      <c r="E1496" t="s">
        <v>234</v>
      </c>
      <c r="F1496" s="17">
        <v>2618450</v>
      </c>
      <c r="G1496" s="17">
        <v>86169</v>
      </c>
      <c r="H1496" s="17">
        <v>2704619</v>
      </c>
      <c r="I1496">
        <f>VLOOKUP(C1496,LEAIDs!$A$2:$B$305,2,FALSE)</f>
        <v>2200283</v>
      </c>
    </row>
    <row r="1497" spans="1:9" x14ac:dyDescent="0.2">
      <c r="A1497">
        <v>2200283</v>
      </c>
      <c r="B1497">
        <v>2019</v>
      </c>
      <c r="C1497" t="s">
        <v>127</v>
      </c>
      <c r="D1497" t="s">
        <v>232</v>
      </c>
      <c r="E1497" t="s">
        <v>234</v>
      </c>
      <c r="F1497" s="17">
        <v>2445593</v>
      </c>
      <c r="G1497" s="17">
        <v>82078</v>
      </c>
      <c r="H1497" s="17">
        <v>2527671</v>
      </c>
      <c r="I1497">
        <f>VLOOKUP(C1497,LEAIDs!$A$2:$B$305,2,FALSE)</f>
        <v>2200283</v>
      </c>
    </row>
    <row r="1498" spans="1:9" x14ac:dyDescent="0.2">
      <c r="A1498">
        <v>2200283</v>
      </c>
      <c r="B1498">
        <v>2020</v>
      </c>
      <c r="C1498" t="s">
        <v>127</v>
      </c>
      <c r="D1498" t="s">
        <v>232</v>
      </c>
      <c r="E1498" t="s">
        <v>234</v>
      </c>
      <c r="F1498" s="17">
        <v>2271760</v>
      </c>
      <c r="G1498" s="17">
        <v>80167</v>
      </c>
      <c r="H1498" s="17">
        <v>2351927</v>
      </c>
      <c r="I1498">
        <f>VLOOKUP(C1498,LEAIDs!$A$2:$B$305,2,FALSE)</f>
        <v>2200283</v>
      </c>
    </row>
    <row r="1499" spans="1:9" x14ac:dyDescent="0.2">
      <c r="A1499">
        <v>2200283</v>
      </c>
      <c r="B1499" s="2">
        <v>2021</v>
      </c>
      <c r="C1499" s="4" t="s">
        <v>127</v>
      </c>
      <c r="D1499" s="2" t="s">
        <v>232</v>
      </c>
      <c r="E1499" s="2" t="s">
        <v>234</v>
      </c>
      <c r="F1499" s="16">
        <v>2081415</v>
      </c>
      <c r="G1499" s="16">
        <v>72448</v>
      </c>
      <c r="H1499" s="15">
        <v>2153863</v>
      </c>
      <c r="I1499">
        <f>VLOOKUP(C1499,LEAIDs!$A$2:$B$305,2,FALSE)</f>
        <v>2200283</v>
      </c>
    </row>
    <row r="1500" spans="1:9" x14ac:dyDescent="0.2">
      <c r="A1500">
        <v>2200283</v>
      </c>
      <c r="B1500" s="2">
        <v>2022</v>
      </c>
      <c r="C1500" s="4" t="s">
        <v>127</v>
      </c>
      <c r="D1500" s="2" t="s">
        <v>232</v>
      </c>
      <c r="E1500" s="2" t="s">
        <v>234</v>
      </c>
      <c r="F1500" s="16">
        <v>2700655</v>
      </c>
      <c r="G1500" s="16">
        <v>96488</v>
      </c>
      <c r="H1500" s="15">
        <v>2797143</v>
      </c>
      <c r="I1500">
        <f>VLOOKUP(C1500,LEAIDs!$A$2:$B$305,2,FALSE)</f>
        <v>2200283</v>
      </c>
    </row>
    <row r="1501" spans="1:9" x14ac:dyDescent="0.2">
      <c r="A1501">
        <v>2200283</v>
      </c>
      <c r="B1501" s="2">
        <v>2023</v>
      </c>
      <c r="C1501" s="2" t="s">
        <v>127</v>
      </c>
      <c r="D1501" s="2" t="s">
        <v>232</v>
      </c>
      <c r="E1501" s="2" t="s">
        <v>234</v>
      </c>
      <c r="F1501" s="15">
        <v>2754520</v>
      </c>
      <c r="G1501" s="15">
        <v>98203</v>
      </c>
      <c r="H1501" s="15">
        <v>2852723</v>
      </c>
      <c r="I1501">
        <f>VLOOKUP(C1501,LEAIDs!$A$2:$B$305,2,FALSE)</f>
        <v>2200283</v>
      </c>
    </row>
    <row r="1502" spans="1:9" x14ac:dyDescent="0.2">
      <c r="A1502">
        <v>2200290</v>
      </c>
      <c r="B1502">
        <v>2018</v>
      </c>
      <c r="C1502" t="s">
        <v>216</v>
      </c>
      <c r="D1502" t="s">
        <v>232</v>
      </c>
      <c r="E1502" t="s">
        <v>234</v>
      </c>
      <c r="F1502" s="17">
        <v>375548</v>
      </c>
      <c r="G1502" s="17">
        <v>12359</v>
      </c>
      <c r="H1502" s="17">
        <v>387907</v>
      </c>
      <c r="I1502">
        <f>VLOOKUP(C1502,LEAIDs!$A$2:$B$305,2,FALSE)</f>
        <v>2200290</v>
      </c>
    </row>
    <row r="1503" spans="1:9" x14ac:dyDescent="0.2">
      <c r="A1503">
        <v>2200290</v>
      </c>
      <c r="B1503">
        <v>2019</v>
      </c>
      <c r="C1503" t="s">
        <v>216</v>
      </c>
      <c r="D1503" t="s">
        <v>232</v>
      </c>
      <c r="E1503" t="s">
        <v>234</v>
      </c>
      <c r="F1503" s="17">
        <v>490202</v>
      </c>
      <c r="G1503" s="17">
        <v>16452</v>
      </c>
      <c r="H1503" s="17">
        <v>506654</v>
      </c>
      <c r="I1503">
        <f>VLOOKUP(C1503,LEAIDs!$A$2:$B$305,2,FALSE)</f>
        <v>2200290</v>
      </c>
    </row>
    <row r="1504" spans="1:9" x14ac:dyDescent="0.2">
      <c r="A1504">
        <v>2200290</v>
      </c>
      <c r="B1504">
        <v>2020</v>
      </c>
      <c r="C1504" t="s">
        <v>216</v>
      </c>
      <c r="D1504" t="s">
        <v>232</v>
      </c>
      <c r="E1504" t="s">
        <v>234</v>
      </c>
      <c r="F1504" s="17">
        <v>401228</v>
      </c>
      <c r="G1504" s="17">
        <v>14159</v>
      </c>
      <c r="H1504" s="17">
        <v>415387</v>
      </c>
      <c r="I1504">
        <f>VLOOKUP(C1504,LEAIDs!$A$2:$B$305,2,FALSE)</f>
        <v>2200290</v>
      </c>
    </row>
    <row r="1505" spans="1:9" x14ac:dyDescent="0.2">
      <c r="A1505">
        <v>2200290</v>
      </c>
      <c r="B1505" s="2">
        <v>2021</v>
      </c>
      <c r="C1505" s="4" t="s">
        <v>216</v>
      </c>
      <c r="D1505" s="2" t="s">
        <v>232</v>
      </c>
      <c r="E1505" s="2" t="s">
        <v>234</v>
      </c>
      <c r="F1505" s="16">
        <v>623848</v>
      </c>
      <c r="G1505" s="16">
        <v>21714</v>
      </c>
      <c r="H1505" s="15">
        <v>645562</v>
      </c>
      <c r="I1505">
        <f>VLOOKUP(C1505,LEAIDs!$A$2:$B$305,2,FALSE)</f>
        <v>2200290</v>
      </c>
    </row>
    <row r="1506" spans="1:9" x14ac:dyDescent="0.2">
      <c r="A1506">
        <v>2200290</v>
      </c>
      <c r="B1506" s="2">
        <v>2022</v>
      </c>
      <c r="C1506" s="4" t="s">
        <v>216</v>
      </c>
      <c r="D1506" s="2" t="s">
        <v>232</v>
      </c>
      <c r="E1506" s="2" t="s">
        <v>234</v>
      </c>
      <c r="F1506" s="16">
        <v>593365</v>
      </c>
      <c r="G1506" s="16">
        <v>21200</v>
      </c>
      <c r="H1506" s="15">
        <v>614565</v>
      </c>
      <c r="I1506">
        <f>VLOOKUP(C1506,LEAIDs!$A$2:$B$305,2,FALSE)</f>
        <v>2200290</v>
      </c>
    </row>
    <row r="1507" spans="1:9" x14ac:dyDescent="0.2">
      <c r="A1507">
        <v>2200290</v>
      </c>
      <c r="B1507" s="2">
        <v>2023</v>
      </c>
      <c r="C1507" s="2" t="s">
        <v>216</v>
      </c>
      <c r="D1507" s="2" t="s">
        <v>232</v>
      </c>
      <c r="E1507" s="2" t="s">
        <v>234</v>
      </c>
      <c r="F1507" s="15">
        <v>680211</v>
      </c>
      <c r="G1507" s="15">
        <v>24251</v>
      </c>
      <c r="H1507" s="15">
        <v>704462</v>
      </c>
      <c r="I1507">
        <f>VLOOKUP(C1507,LEAIDs!$A$2:$B$305,2,FALSE)</f>
        <v>2200290</v>
      </c>
    </row>
    <row r="1508" spans="1:9" x14ac:dyDescent="0.2">
      <c r="A1508">
        <v>2200300</v>
      </c>
      <c r="B1508">
        <v>2015</v>
      </c>
      <c r="C1508" t="s">
        <v>8</v>
      </c>
      <c r="D1508" t="s">
        <v>232</v>
      </c>
      <c r="E1508" t="s">
        <v>234</v>
      </c>
      <c r="F1508" s="17">
        <v>56216232</v>
      </c>
      <c r="G1508" s="17">
        <v>1728119</v>
      </c>
      <c r="H1508" s="17">
        <v>57944351</v>
      </c>
      <c r="I1508">
        <f>VLOOKUP(C1508,LEAIDs!$A$2:$B$305,2,FALSE)</f>
        <v>2200300</v>
      </c>
    </row>
    <row r="1509" spans="1:9" x14ac:dyDescent="0.2">
      <c r="A1509">
        <v>2200300</v>
      </c>
      <c r="B1509">
        <v>2016</v>
      </c>
      <c r="C1509" t="s">
        <v>8</v>
      </c>
      <c r="D1509" t="s">
        <v>232</v>
      </c>
      <c r="E1509" t="s">
        <v>234</v>
      </c>
      <c r="F1509" s="17">
        <v>51076709</v>
      </c>
      <c r="G1509" s="17">
        <v>1684763</v>
      </c>
      <c r="H1509" s="17">
        <v>52761472</v>
      </c>
      <c r="I1509">
        <f>VLOOKUP(C1509,LEAIDs!$A$2:$B$305,2,FALSE)</f>
        <v>2200300</v>
      </c>
    </row>
    <row r="1510" spans="1:9" x14ac:dyDescent="0.2">
      <c r="A1510">
        <v>2200300</v>
      </c>
      <c r="B1510">
        <v>2017</v>
      </c>
      <c r="C1510" t="s">
        <v>8</v>
      </c>
      <c r="D1510" t="s">
        <v>232</v>
      </c>
      <c r="E1510" t="s">
        <v>234</v>
      </c>
      <c r="F1510" s="17">
        <v>48001046</v>
      </c>
      <c r="G1510" s="17">
        <v>1657935</v>
      </c>
      <c r="H1510" s="17">
        <v>49658981</v>
      </c>
      <c r="I1510">
        <f>VLOOKUP(C1510,LEAIDs!$A$2:$B$305,2,FALSE)</f>
        <v>2200300</v>
      </c>
    </row>
    <row r="1511" spans="1:9" x14ac:dyDescent="0.2">
      <c r="A1511">
        <v>2200300</v>
      </c>
      <c r="B1511">
        <v>2018</v>
      </c>
      <c r="C1511" t="s">
        <v>8</v>
      </c>
      <c r="D1511" t="s">
        <v>232</v>
      </c>
      <c r="E1511" t="s">
        <v>234</v>
      </c>
      <c r="F1511" s="17">
        <v>52523572</v>
      </c>
      <c r="G1511" s="17">
        <v>1728468</v>
      </c>
      <c r="H1511" s="17">
        <v>54252040</v>
      </c>
      <c r="I1511">
        <f>VLOOKUP(C1511,LEAIDs!$A$2:$B$305,2,FALSE)</f>
        <v>2200300</v>
      </c>
    </row>
    <row r="1512" spans="1:9" x14ac:dyDescent="0.2">
      <c r="A1512">
        <v>2200300</v>
      </c>
      <c r="B1512">
        <v>2019</v>
      </c>
      <c r="C1512" t="s">
        <v>8</v>
      </c>
      <c r="D1512" t="s">
        <v>232</v>
      </c>
      <c r="E1512" t="s">
        <v>234</v>
      </c>
      <c r="F1512" s="17">
        <v>51518092</v>
      </c>
      <c r="G1512" s="17">
        <v>1729029</v>
      </c>
      <c r="H1512" s="17">
        <v>53247121</v>
      </c>
      <c r="I1512">
        <f>VLOOKUP(C1512,LEAIDs!$A$2:$B$305,2,FALSE)</f>
        <v>2200300</v>
      </c>
    </row>
    <row r="1513" spans="1:9" x14ac:dyDescent="0.2">
      <c r="A1513">
        <v>2200300</v>
      </c>
      <c r="B1513">
        <v>2020</v>
      </c>
      <c r="C1513" t="s">
        <v>8</v>
      </c>
      <c r="D1513" t="s">
        <v>232</v>
      </c>
      <c r="E1513" t="s">
        <v>234</v>
      </c>
      <c r="F1513" s="17">
        <v>50314611</v>
      </c>
      <c r="G1513" s="17">
        <v>1775526</v>
      </c>
      <c r="H1513" s="17">
        <v>52090137</v>
      </c>
      <c r="I1513">
        <f>VLOOKUP(C1513,LEAIDs!$A$2:$B$305,2,FALSE)</f>
        <v>2200300</v>
      </c>
    </row>
    <row r="1514" spans="1:9" x14ac:dyDescent="0.2">
      <c r="A1514">
        <v>2200300</v>
      </c>
      <c r="B1514" s="2">
        <v>2021</v>
      </c>
      <c r="C1514" s="4" t="s">
        <v>8</v>
      </c>
      <c r="D1514" s="2" t="s">
        <v>232</v>
      </c>
      <c r="E1514" s="2" t="s">
        <v>234</v>
      </c>
      <c r="F1514" s="16">
        <v>49479020</v>
      </c>
      <c r="G1514" s="16">
        <v>1722233</v>
      </c>
      <c r="H1514" s="15">
        <v>51201253</v>
      </c>
      <c r="I1514">
        <f>VLOOKUP(C1514,LEAIDs!$A$2:$B$305,2,FALSE)</f>
        <v>2200300</v>
      </c>
    </row>
    <row r="1515" spans="1:9" x14ac:dyDescent="0.2">
      <c r="A1515">
        <v>2200300</v>
      </c>
      <c r="B1515" s="2">
        <v>2022</v>
      </c>
      <c r="C1515" s="4" t="s">
        <v>8</v>
      </c>
      <c r="D1515" s="2" t="s">
        <v>232</v>
      </c>
      <c r="E1515" s="2" t="s">
        <v>234</v>
      </c>
      <c r="F1515" s="16">
        <v>52406125</v>
      </c>
      <c r="G1515" s="16">
        <v>1872346</v>
      </c>
      <c r="H1515" s="15">
        <v>54278471</v>
      </c>
      <c r="I1515">
        <f>VLOOKUP(C1515,LEAIDs!$A$2:$B$305,2,FALSE)</f>
        <v>2200300</v>
      </c>
    </row>
    <row r="1516" spans="1:9" x14ac:dyDescent="0.2">
      <c r="A1516">
        <v>2200300</v>
      </c>
      <c r="B1516" s="2">
        <v>2023</v>
      </c>
      <c r="C1516" s="2" t="s">
        <v>8</v>
      </c>
      <c r="D1516" s="2" t="s">
        <v>232</v>
      </c>
      <c r="E1516" s="2" t="s">
        <v>234</v>
      </c>
      <c r="F1516" s="15">
        <v>52168941</v>
      </c>
      <c r="G1516" s="15">
        <v>1859908</v>
      </c>
      <c r="H1516" s="15">
        <v>54028849</v>
      </c>
      <c r="I1516">
        <f>VLOOKUP(C1516,LEAIDs!$A$2:$B$305,2,FALSE)</f>
        <v>2200300</v>
      </c>
    </row>
    <row r="1517" spans="1:9" x14ac:dyDescent="0.2">
      <c r="A1517">
        <v>2200308</v>
      </c>
      <c r="B1517">
        <v>2015</v>
      </c>
      <c r="C1517" t="s">
        <v>40</v>
      </c>
      <c r="D1517" t="s">
        <v>232</v>
      </c>
      <c r="E1517" t="s">
        <v>234</v>
      </c>
      <c r="F1517" s="17">
        <v>2780243</v>
      </c>
      <c r="G1517" s="17">
        <v>85466</v>
      </c>
      <c r="H1517" s="17">
        <v>2865709</v>
      </c>
      <c r="I1517">
        <f>VLOOKUP(C1517,LEAIDs!$A$2:$B$305,2,FALSE)</f>
        <v>2200308</v>
      </c>
    </row>
    <row r="1518" spans="1:9" x14ac:dyDescent="0.2">
      <c r="A1518">
        <v>2200308</v>
      </c>
      <c r="B1518">
        <v>2016</v>
      </c>
      <c r="C1518" t="s">
        <v>40</v>
      </c>
      <c r="D1518" t="s">
        <v>232</v>
      </c>
      <c r="E1518" t="s">
        <v>234</v>
      </c>
      <c r="F1518" s="17">
        <v>2516559</v>
      </c>
      <c r="G1518" s="17">
        <v>83009</v>
      </c>
      <c r="H1518" s="17">
        <v>2599568</v>
      </c>
      <c r="I1518">
        <f>VLOOKUP(C1518,LEAIDs!$A$2:$B$305,2,FALSE)</f>
        <v>2200308</v>
      </c>
    </row>
    <row r="1519" spans="1:9" x14ac:dyDescent="0.2">
      <c r="A1519">
        <v>2200308</v>
      </c>
      <c r="B1519">
        <v>2017</v>
      </c>
      <c r="C1519" t="s">
        <v>40</v>
      </c>
      <c r="D1519" t="s">
        <v>232</v>
      </c>
      <c r="E1519" t="s">
        <v>234</v>
      </c>
      <c r="F1519" s="17">
        <v>2456385</v>
      </c>
      <c r="G1519" s="17">
        <v>84842</v>
      </c>
      <c r="H1519" s="17">
        <v>2541227</v>
      </c>
      <c r="I1519">
        <f>VLOOKUP(C1519,LEAIDs!$A$2:$B$305,2,FALSE)</f>
        <v>2200308</v>
      </c>
    </row>
    <row r="1520" spans="1:9" x14ac:dyDescent="0.2">
      <c r="A1520">
        <v>2200308</v>
      </c>
      <c r="B1520">
        <v>2018</v>
      </c>
      <c r="C1520" t="s">
        <v>40</v>
      </c>
      <c r="D1520" t="s">
        <v>232</v>
      </c>
      <c r="E1520" t="s">
        <v>234</v>
      </c>
      <c r="F1520" s="17">
        <v>2939230</v>
      </c>
      <c r="G1520" s="17">
        <v>96725</v>
      </c>
      <c r="H1520" s="17">
        <v>3035955</v>
      </c>
      <c r="I1520">
        <f>VLOOKUP(C1520,LEAIDs!$A$2:$B$305,2,FALSE)</f>
        <v>2200308</v>
      </c>
    </row>
    <row r="1521" spans="1:9" x14ac:dyDescent="0.2">
      <c r="A1521">
        <v>2200308</v>
      </c>
      <c r="B1521">
        <v>2019</v>
      </c>
      <c r="C1521" t="s">
        <v>40</v>
      </c>
      <c r="D1521" t="s">
        <v>232</v>
      </c>
      <c r="E1521" t="s">
        <v>234</v>
      </c>
      <c r="F1521" s="17">
        <v>2811608</v>
      </c>
      <c r="G1521" s="17">
        <v>94362</v>
      </c>
      <c r="H1521" s="17">
        <v>2905970</v>
      </c>
      <c r="I1521">
        <f>VLOOKUP(C1521,LEAIDs!$A$2:$B$305,2,FALSE)</f>
        <v>2200308</v>
      </c>
    </row>
    <row r="1522" spans="1:9" x14ac:dyDescent="0.2">
      <c r="A1522">
        <v>2200308</v>
      </c>
      <c r="B1522">
        <v>2020</v>
      </c>
      <c r="C1522" t="s">
        <v>40</v>
      </c>
      <c r="D1522" t="s">
        <v>232</v>
      </c>
      <c r="E1522" t="s">
        <v>234</v>
      </c>
      <c r="F1522" s="17">
        <v>2936993</v>
      </c>
      <c r="G1522" s="17">
        <v>103642</v>
      </c>
      <c r="H1522" s="17">
        <v>3040635</v>
      </c>
      <c r="I1522">
        <f>VLOOKUP(C1522,LEAIDs!$A$2:$B$305,2,FALSE)</f>
        <v>2200308</v>
      </c>
    </row>
    <row r="1523" spans="1:9" x14ac:dyDescent="0.2">
      <c r="A1523">
        <v>2200308</v>
      </c>
      <c r="B1523" s="2">
        <v>2021</v>
      </c>
      <c r="C1523" s="4" t="s">
        <v>40</v>
      </c>
      <c r="D1523" s="2" t="s">
        <v>232</v>
      </c>
      <c r="E1523" s="2" t="s">
        <v>234</v>
      </c>
      <c r="F1523" s="16">
        <v>2859979</v>
      </c>
      <c r="G1523" s="16">
        <v>99548</v>
      </c>
      <c r="H1523" s="15">
        <v>2959527</v>
      </c>
      <c r="I1523">
        <f>VLOOKUP(C1523,LEAIDs!$A$2:$B$305,2,FALSE)</f>
        <v>2200308</v>
      </c>
    </row>
    <row r="1524" spans="1:9" x14ac:dyDescent="0.2">
      <c r="A1524">
        <v>2200308</v>
      </c>
      <c r="B1524" s="2">
        <v>2022</v>
      </c>
      <c r="C1524" s="4" t="s">
        <v>40</v>
      </c>
      <c r="D1524" s="2" t="s">
        <v>232</v>
      </c>
      <c r="E1524" s="2" t="s">
        <v>234</v>
      </c>
      <c r="F1524" s="16">
        <v>3162245</v>
      </c>
      <c r="G1524" s="16">
        <v>112979</v>
      </c>
      <c r="H1524" s="15">
        <v>3275224</v>
      </c>
      <c r="I1524">
        <f>VLOOKUP(C1524,LEAIDs!$A$2:$B$305,2,FALSE)</f>
        <v>2200308</v>
      </c>
    </row>
    <row r="1525" spans="1:9" x14ac:dyDescent="0.2">
      <c r="A1525">
        <v>2200308</v>
      </c>
      <c r="B1525" s="2">
        <v>2023</v>
      </c>
      <c r="C1525" s="2" t="s">
        <v>40</v>
      </c>
      <c r="D1525" s="2" t="s">
        <v>232</v>
      </c>
      <c r="E1525" s="2" t="s">
        <v>234</v>
      </c>
      <c r="F1525" s="15">
        <v>3910856</v>
      </c>
      <c r="G1525" s="15">
        <v>139428</v>
      </c>
      <c r="H1525" s="15">
        <v>4050284</v>
      </c>
      <c r="I1525">
        <f>VLOOKUP(C1525,LEAIDs!$A$2:$B$305,2,FALSE)</f>
        <v>2200308</v>
      </c>
    </row>
    <row r="1526" spans="1:9" x14ac:dyDescent="0.2">
      <c r="A1526">
        <v>2200316</v>
      </c>
      <c r="B1526">
        <v>2015</v>
      </c>
      <c r="C1526" t="s">
        <v>126</v>
      </c>
      <c r="D1526" t="s">
        <v>232</v>
      </c>
      <c r="E1526" t="s">
        <v>234</v>
      </c>
      <c r="F1526" s="17">
        <v>1224674</v>
      </c>
      <c r="G1526" s="17">
        <v>37647</v>
      </c>
      <c r="H1526" s="17">
        <v>1262321</v>
      </c>
      <c r="I1526">
        <f>VLOOKUP(C1526,LEAIDs!$A$2:$B$305,2,FALSE)</f>
        <v>2200316</v>
      </c>
    </row>
    <row r="1527" spans="1:9" x14ac:dyDescent="0.2">
      <c r="A1527">
        <v>2200316</v>
      </c>
      <c r="B1527">
        <v>2016</v>
      </c>
      <c r="C1527" t="s">
        <v>126</v>
      </c>
      <c r="D1527" t="s">
        <v>232</v>
      </c>
      <c r="E1527" t="s">
        <v>234</v>
      </c>
      <c r="F1527" s="17">
        <v>1126939</v>
      </c>
      <c r="G1527" s="17">
        <v>37172</v>
      </c>
      <c r="H1527" s="17">
        <v>1164111</v>
      </c>
      <c r="I1527">
        <f>VLOOKUP(C1527,LEAIDs!$A$2:$B$305,2,FALSE)</f>
        <v>2200316</v>
      </c>
    </row>
    <row r="1528" spans="1:9" x14ac:dyDescent="0.2">
      <c r="A1528">
        <v>2200316</v>
      </c>
      <c r="B1528">
        <v>2017</v>
      </c>
      <c r="C1528" t="s">
        <v>126</v>
      </c>
      <c r="D1528" t="s">
        <v>232</v>
      </c>
      <c r="E1528" t="s">
        <v>234</v>
      </c>
      <c r="F1528" s="17">
        <v>1240498</v>
      </c>
      <c r="G1528" s="17">
        <v>42846</v>
      </c>
      <c r="H1528" s="17">
        <v>1283344</v>
      </c>
      <c r="I1528">
        <f>VLOOKUP(C1528,LEAIDs!$A$2:$B$305,2,FALSE)</f>
        <v>2200316</v>
      </c>
    </row>
    <row r="1529" spans="1:9" x14ac:dyDescent="0.2">
      <c r="A1529">
        <v>2200316</v>
      </c>
      <c r="B1529">
        <v>2018</v>
      </c>
      <c r="C1529" t="s">
        <v>126</v>
      </c>
      <c r="D1529" t="s">
        <v>232</v>
      </c>
      <c r="E1529" t="s">
        <v>234</v>
      </c>
      <c r="F1529" s="17">
        <v>1327601</v>
      </c>
      <c r="G1529" s="17">
        <v>43689</v>
      </c>
      <c r="H1529" s="17">
        <v>1371290</v>
      </c>
      <c r="I1529">
        <f>VLOOKUP(C1529,LEAIDs!$A$2:$B$305,2,FALSE)</f>
        <v>2200316</v>
      </c>
    </row>
    <row r="1530" spans="1:9" x14ac:dyDescent="0.2">
      <c r="A1530">
        <v>2200316</v>
      </c>
      <c r="B1530">
        <v>2019</v>
      </c>
      <c r="C1530" t="s">
        <v>126</v>
      </c>
      <c r="D1530" t="s">
        <v>232</v>
      </c>
      <c r="E1530" t="s">
        <v>234</v>
      </c>
      <c r="F1530" s="17">
        <v>1614268</v>
      </c>
      <c r="G1530" s="17">
        <v>54177</v>
      </c>
      <c r="H1530" s="17">
        <v>1668445</v>
      </c>
      <c r="I1530">
        <f>VLOOKUP(C1530,LEAIDs!$A$2:$B$305,2,FALSE)</f>
        <v>2200316</v>
      </c>
    </row>
    <row r="1531" spans="1:9" x14ac:dyDescent="0.2">
      <c r="A1531">
        <v>2200316</v>
      </c>
      <c r="B1531">
        <v>2020</v>
      </c>
      <c r="C1531" t="s">
        <v>126</v>
      </c>
      <c r="D1531" t="s">
        <v>232</v>
      </c>
      <c r="E1531" t="s">
        <v>234</v>
      </c>
      <c r="F1531" s="17">
        <v>1457210</v>
      </c>
      <c r="G1531" s="17">
        <v>51423</v>
      </c>
      <c r="H1531" s="17">
        <v>1508633</v>
      </c>
      <c r="I1531">
        <f>VLOOKUP(C1531,LEAIDs!$A$2:$B$305,2,FALSE)</f>
        <v>2200316</v>
      </c>
    </row>
    <row r="1532" spans="1:9" x14ac:dyDescent="0.2">
      <c r="A1532">
        <v>2200316</v>
      </c>
      <c r="B1532" s="2">
        <v>2021</v>
      </c>
      <c r="C1532" s="4" t="s">
        <v>126</v>
      </c>
      <c r="D1532" s="2" t="s">
        <v>232</v>
      </c>
      <c r="E1532" s="2" t="s">
        <v>234</v>
      </c>
      <c r="F1532" s="16">
        <v>1494956</v>
      </c>
      <c r="G1532" s="16">
        <v>52035</v>
      </c>
      <c r="H1532" s="15">
        <v>1546991</v>
      </c>
      <c r="I1532">
        <f>VLOOKUP(C1532,LEAIDs!$A$2:$B$305,2,FALSE)</f>
        <v>2200316</v>
      </c>
    </row>
    <row r="1533" spans="1:9" x14ac:dyDescent="0.2">
      <c r="A1533">
        <v>2200316</v>
      </c>
      <c r="B1533" s="2">
        <v>2022</v>
      </c>
      <c r="C1533" s="4" t="s">
        <v>126</v>
      </c>
      <c r="D1533" s="2" t="s">
        <v>232</v>
      </c>
      <c r="E1533" s="2" t="s">
        <v>234</v>
      </c>
      <c r="F1533" s="16">
        <v>1541716</v>
      </c>
      <c r="G1533" s="16">
        <v>55082</v>
      </c>
      <c r="H1533" s="15">
        <v>1596798</v>
      </c>
      <c r="I1533">
        <f>VLOOKUP(C1533,LEAIDs!$A$2:$B$305,2,FALSE)</f>
        <v>2200316</v>
      </c>
    </row>
    <row r="1534" spans="1:9" x14ac:dyDescent="0.2">
      <c r="A1534">
        <v>2200316</v>
      </c>
      <c r="B1534" s="2">
        <v>2023</v>
      </c>
      <c r="C1534" s="2" t="s">
        <v>126</v>
      </c>
      <c r="D1534" s="2" t="s">
        <v>232</v>
      </c>
      <c r="E1534" s="2" t="s">
        <v>234</v>
      </c>
      <c r="F1534" s="15">
        <v>1689264</v>
      </c>
      <c r="G1534" s="15">
        <v>60225</v>
      </c>
      <c r="H1534" s="15">
        <v>1749489</v>
      </c>
      <c r="I1534">
        <f>VLOOKUP(C1534,LEAIDs!$A$2:$B$305,2,FALSE)</f>
        <v>2200316</v>
      </c>
    </row>
    <row r="1535" spans="1:9" x14ac:dyDescent="0.2">
      <c r="A1535">
        <v>2200317</v>
      </c>
      <c r="B1535">
        <v>2015</v>
      </c>
      <c r="C1535" t="s">
        <v>125</v>
      </c>
      <c r="D1535" t="s">
        <v>232</v>
      </c>
      <c r="E1535" t="s">
        <v>234</v>
      </c>
      <c r="F1535" s="17">
        <v>1074512</v>
      </c>
      <c r="G1535" s="17">
        <v>33031</v>
      </c>
      <c r="H1535" s="17">
        <v>1107543</v>
      </c>
      <c r="I1535">
        <f>VLOOKUP(C1535,LEAIDs!$A$2:$B$305,2,FALSE)</f>
        <v>2200317</v>
      </c>
    </row>
    <row r="1536" spans="1:9" x14ac:dyDescent="0.2">
      <c r="A1536">
        <v>2200317</v>
      </c>
      <c r="B1536">
        <v>2016</v>
      </c>
      <c r="C1536" t="s">
        <v>125</v>
      </c>
      <c r="D1536" t="s">
        <v>232</v>
      </c>
      <c r="E1536" t="s">
        <v>234</v>
      </c>
      <c r="F1536" s="17">
        <v>955986</v>
      </c>
      <c r="G1536" s="17">
        <v>31533</v>
      </c>
      <c r="H1536" s="17">
        <v>987519</v>
      </c>
      <c r="I1536">
        <f>VLOOKUP(C1536,LEAIDs!$A$2:$B$305,2,FALSE)</f>
        <v>2200317</v>
      </c>
    </row>
    <row r="1537" spans="1:9" x14ac:dyDescent="0.2">
      <c r="A1537">
        <v>2200317</v>
      </c>
      <c r="B1537">
        <v>2017</v>
      </c>
      <c r="C1537" t="s">
        <v>125</v>
      </c>
      <c r="D1537" t="s">
        <v>232</v>
      </c>
      <c r="E1537" t="s">
        <v>234</v>
      </c>
      <c r="F1537" s="17">
        <v>1053336</v>
      </c>
      <c r="G1537" s="17">
        <v>36382</v>
      </c>
      <c r="H1537" s="17">
        <v>1089718</v>
      </c>
      <c r="I1537">
        <f>VLOOKUP(C1537,LEAIDs!$A$2:$B$305,2,FALSE)</f>
        <v>2200317</v>
      </c>
    </row>
    <row r="1538" spans="1:9" x14ac:dyDescent="0.2">
      <c r="A1538">
        <v>2200317</v>
      </c>
      <c r="B1538">
        <v>2018</v>
      </c>
      <c r="C1538" t="s">
        <v>125</v>
      </c>
      <c r="D1538" t="s">
        <v>232</v>
      </c>
      <c r="E1538" t="s">
        <v>234</v>
      </c>
      <c r="F1538" s="17">
        <v>1065205</v>
      </c>
      <c r="G1538" s="17">
        <v>35054</v>
      </c>
      <c r="H1538" s="17">
        <v>1100259</v>
      </c>
      <c r="I1538">
        <f>VLOOKUP(C1538,LEAIDs!$A$2:$B$305,2,FALSE)</f>
        <v>2200317</v>
      </c>
    </row>
    <row r="1539" spans="1:9" x14ac:dyDescent="0.2">
      <c r="A1539">
        <v>2200317</v>
      </c>
      <c r="B1539">
        <v>2019</v>
      </c>
      <c r="C1539" t="s">
        <v>125</v>
      </c>
      <c r="D1539" t="s">
        <v>232</v>
      </c>
      <c r="E1539" t="s">
        <v>234</v>
      </c>
      <c r="F1539" s="17">
        <v>1064315</v>
      </c>
      <c r="G1539" s="17">
        <v>35720</v>
      </c>
      <c r="H1539" s="17">
        <v>1100035</v>
      </c>
      <c r="I1539">
        <f>VLOOKUP(C1539,LEAIDs!$A$2:$B$305,2,FALSE)</f>
        <v>2200317</v>
      </c>
    </row>
    <row r="1540" spans="1:9" x14ac:dyDescent="0.2">
      <c r="A1540">
        <v>2200317</v>
      </c>
      <c r="B1540">
        <v>2020</v>
      </c>
      <c r="C1540" t="s">
        <v>125</v>
      </c>
      <c r="D1540" t="s">
        <v>232</v>
      </c>
      <c r="E1540" t="s">
        <v>234</v>
      </c>
      <c r="F1540" s="17">
        <v>1277921</v>
      </c>
      <c r="G1540" s="17">
        <v>45096</v>
      </c>
      <c r="H1540" s="17">
        <v>1323017</v>
      </c>
      <c r="I1540">
        <f>VLOOKUP(C1540,LEAIDs!$A$2:$B$305,2,FALSE)</f>
        <v>2200317</v>
      </c>
    </row>
    <row r="1541" spans="1:9" x14ac:dyDescent="0.2">
      <c r="A1541">
        <v>2200317</v>
      </c>
      <c r="B1541" s="2">
        <v>2021</v>
      </c>
      <c r="C1541" s="4" t="s">
        <v>125</v>
      </c>
      <c r="D1541" s="2" t="s">
        <v>232</v>
      </c>
      <c r="E1541" s="2" t="s">
        <v>234</v>
      </c>
      <c r="F1541" s="16">
        <v>1635986</v>
      </c>
      <c r="G1541" s="16">
        <v>56944</v>
      </c>
      <c r="H1541" s="15">
        <v>1692930</v>
      </c>
      <c r="I1541">
        <f>VLOOKUP(C1541,LEAIDs!$A$2:$B$305,2,FALSE)</f>
        <v>2200317</v>
      </c>
    </row>
    <row r="1542" spans="1:9" x14ac:dyDescent="0.2">
      <c r="A1542">
        <v>2200317</v>
      </c>
      <c r="B1542" s="2">
        <v>2022</v>
      </c>
      <c r="C1542" s="4" t="s">
        <v>125</v>
      </c>
      <c r="D1542" s="2" t="s">
        <v>232</v>
      </c>
      <c r="E1542" s="2" t="s">
        <v>234</v>
      </c>
      <c r="F1542" s="16">
        <v>2209678</v>
      </c>
      <c r="G1542" s="16">
        <v>78947</v>
      </c>
      <c r="H1542" s="15">
        <v>2288625</v>
      </c>
      <c r="I1542">
        <f>VLOOKUP(C1542,LEAIDs!$A$2:$B$305,2,FALSE)</f>
        <v>2200317</v>
      </c>
    </row>
    <row r="1543" spans="1:9" x14ac:dyDescent="0.2">
      <c r="A1543">
        <v>2200317</v>
      </c>
      <c r="B1543" s="2">
        <v>2023</v>
      </c>
      <c r="C1543" s="2" t="s">
        <v>125</v>
      </c>
      <c r="D1543" s="2" t="s">
        <v>232</v>
      </c>
      <c r="E1543" s="2" t="s">
        <v>234</v>
      </c>
      <c r="F1543" s="15">
        <v>2510466</v>
      </c>
      <c r="G1543" s="15">
        <v>89502</v>
      </c>
      <c r="H1543" s="15">
        <v>2599968</v>
      </c>
      <c r="I1543">
        <f>VLOOKUP(C1543,LEAIDs!$A$2:$B$305,2,FALSE)</f>
        <v>2200317</v>
      </c>
    </row>
    <row r="1544" spans="1:9" x14ac:dyDescent="0.2">
      <c r="A1544">
        <v>2200330</v>
      </c>
      <c r="B1544">
        <v>2015</v>
      </c>
      <c r="C1544" t="s">
        <v>9</v>
      </c>
      <c r="D1544" t="s">
        <v>232</v>
      </c>
      <c r="E1544" t="s">
        <v>234</v>
      </c>
      <c r="F1544" s="17">
        <v>45774896</v>
      </c>
      <c r="G1544" s="17">
        <v>1407147</v>
      </c>
      <c r="H1544" s="17">
        <v>47182043</v>
      </c>
      <c r="I1544">
        <f>VLOOKUP(C1544,LEAIDs!$A$2:$B$305,2,FALSE)</f>
        <v>2200330</v>
      </c>
    </row>
    <row r="1545" spans="1:9" x14ac:dyDescent="0.2">
      <c r="A1545">
        <v>2200330</v>
      </c>
      <c r="B1545">
        <v>2016</v>
      </c>
      <c r="C1545" t="s">
        <v>9</v>
      </c>
      <c r="D1545" t="s">
        <v>232</v>
      </c>
      <c r="E1545" t="s">
        <v>234</v>
      </c>
      <c r="F1545" s="17">
        <v>47228737</v>
      </c>
      <c r="G1545" s="17">
        <v>1557838</v>
      </c>
      <c r="H1545" s="17">
        <v>48786575</v>
      </c>
      <c r="I1545">
        <f>VLOOKUP(C1545,LEAIDs!$A$2:$B$305,2,FALSE)</f>
        <v>2200330</v>
      </c>
    </row>
    <row r="1546" spans="1:9" x14ac:dyDescent="0.2">
      <c r="A1546">
        <v>2200330</v>
      </c>
      <c r="B1546">
        <v>2017</v>
      </c>
      <c r="C1546" t="s">
        <v>9</v>
      </c>
      <c r="D1546" t="s">
        <v>232</v>
      </c>
      <c r="E1546" t="s">
        <v>234</v>
      </c>
      <c r="F1546" s="17">
        <v>46800725</v>
      </c>
      <c r="G1546" s="17">
        <v>1616476</v>
      </c>
      <c r="H1546" s="17">
        <v>48417201</v>
      </c>
      <c r="I1546">
        <f>VLOOKUP(C1546,LEAIDs!$A$2:$B$305,2,FALSE)</f>
        <v>2200330</v>
      </c>
    </row>
    <row r="1547" spans="1:9" x14ac:dyDescent="0.2">
      <c r="A1547">
        <v>2200330</v>
      </c>
      <c r="B1547">
        <v>2018</v>
      </c>
      <c r="C1547" t="s">
        <v>9</v>
      </c>
      <c r="D1547" t="s">
        <v>232</v>
      </c>
      <c r="E1547" t="s">
        <v>234</v>
      </c>
      <c r="F1547" s="17">
        <v>50343442</v>
      </c>
      <c r="G1547" s="17">
        <v>1656724</v>
      </c>
      <c r="H1547" s="17">
        <v>52000166</v>
      </c>
      <c r="I1547">
        <f>VLOOKUP(C1547,LEAIDs!$A$2:$B$305,2,FALSE)</f>
        <v>2200330</v>
      </c>
    </row>
    <row r="1548" spans="1:9" x14ac:dyDescent="0.2">
      <c r="A1548">
        <v>2200330</v>
      </c>
      <c r="B1548">
        <v>2019</v>
      </c>
      <c r="C1548" t="s">
        <v>9</v>
      </c>
      <c r="D1548" t="s">
        <v>232</v>
      </c>
      <c r="E1548" t="s">
        <v>234</v>
      </c>
      <c r="F1548" s="17">
        <v>49325426</v>
      </c>
      <c r="G1548" s="17">
        <v>1655440</v>
      </c>
      <c r="H1548" s="17">
        <v>50980866</v>
      </c>
      <c r="I1548">
        <f>VLOOKUP(C1548,LEAIDs!$A$2:$B$305,2,FALSE)</f>
        <v>2200330</v>
      </c>
    </row>
    <row r="1549" spans="1:9" x14ac:dyDescent="0.2">
      <c r="A1549">
        <v>2200330</v>
      </c>
      <c r="B1549">
        <v>2020</v>
      </c>
      <c r="C1549" t="s">
        <v>9</v>
      </c>
      <c r="D1549" t="s">
        <v>232</v>
      </c>
      <c r="E1549" t="s">
        <v>234</v>
      </c>
      <c r="F1549" s="17">
        <v>50233172</v>
      </c>
      <c r="G1549" s="17">
        <v>1772652</v>
      </c>
      <c r="H1549" s="17">
        <v>52005824</v>
      </c>
      <c r="I1549">
        <f>VLOOKUP(C1549,LEAIDs!$A$2:$B$305,2,FALSE)</f>
        <v>2200330</v>
      </c>
    </row>
    <row r="1550" spans="1:9" x14ac:dyDescent="0.2">
      <c r="A1550">
        <v>2200330</v>
      </c>
      <c r="B1550" s="2">
        <v>2021</v>
      </c>
      <c r="C1550" s="4" t="s">
        <v>9</v>
      </c>
      <c r="D1550" s="2" t="s">
        <v>232</v>
      </c>
      <c r="E1550" s="2" t="s">
        <v>234</v>
      </c>
      <c r="F1550" s="16">
        <v>47022481</v>
      </c>
      <c r="G1550" s="16">
        <v>1636727</v>
      </c>
      <c r="H1550" s="15">
        <v>48659208</v>
      </c>
      <c r="I1550">
        <f>VLOOKUP(C1550,LEAIDs!$A$2:$B$305,2,FALSE)</f>
        <v>2200330</v>
      </c>
    </row>
    <row r="1551" spans="1:9" x14ac:dyDescent="0.2">
      <c r="A1551">
        <v>2200330</v>
      </c>
      <c r="B1551" s="2">
        <v>2022</v>
      </c>
      <c r="C1551" s="4" t="s">
        <v>9</v>
      </c>
      <c r="D1551" s="2" t="s">
        <v>232</v>
      </c>
      <c r="E1551" s="2" t="s">
        <v>234</v>
      </c>
      <c r="F1551" s="16">
        <v>47477142</v>
      </c>
      <c r="G1551" s="16">
        <v>1696245</v>
      </c>
      <c r="H1551" s="15">
        <v>49173387</v>
      </c>
      <c r="I1551">
        <f>VLOOKUP(C1551,LEAIDs!$A$2:$B$305,2,FALSE)</f>
        <v>2200330</v>
      </c>
    </row>
    <row r="1552" spans="1:9" x14ac:dyDescent="0.2">
      <c r="A1552">
        <v>2200330</v>
      </c>
      <c r="B1552" s="2">
        <v>2023</v>
      </c>
      <c r="C1552" s="2" t="s">
        <v>9</v>
      </c>
      <c r="D1552" s="2" t="s">
        <v>232</v>
      </c>
      <c r="E1552" s="2" t="s">
        <v>234</v>
      </c>
      <c r="F1552" s="15">
        <v>50535708</v>
      </c>
      <c r="G1552" s="15">
        <v>1801681</v>
      </c>
      <c r="H1552" s="15">
        <v>52337389</v>
      </c>
      <c r="I1552">
        <f>VLOOKUP(C1552,LEAIDs!$A$2:$B$305,2,FALSE)</f>
        <v>2200330</v>
      </c>
    </row>
    <row r="1553" spans="1:9" x14ac:dyDescent="0.2">
      <c r="A1553">
        <v>2200360</v>
      </c>
      <c r="B1553">
        <v>2015</v>
      </c>
      <c r="C1553" t="s">
        <v>10</v>
      </c>
      <c r="D1553" t="s">
        <v>232</v>
      </c>
      <c r="E1553" t="s">
        <v>234</v>
      </c>
      <c r="F1553" s="17">
        <v>2609262</v>
      </c>
      <c r="G1553" s="17">
        <v>80210</v>
      </c>
      <c r="H1553" s="17">
        <v>2689472</v>
      </c>
      <c r="I1553">
        <f>VLOOKUP(C1553,LEAIDs!$A$2:$B$305,2,FALSE)</f>
        <v>2200360</v>
      </c>
    </row>
    <row r="1554" spans="1:9" x14ac:dyDescent="0.2">
      <c r="A1554">
        <v>2200360</v>
      </c>
      <c r="B1554">
        <v>2016</v>
      </c>
      <c r="C1554" t="s">
        <v>10</v>
      </c>
      <c r="D1554" t="s">
        <v>232</v>
      </c>
      <c r="E1554" t="s">
        <v>234</v>
      </c>
      <c r="F1554" s="17">
        <v>2504447</v>
      </c>
      <c r="G1554" s="17">
        <v>82609</v>
      </c>
      <c r="H1554" s="17">
        <v>2587056</v>
      </c>
      <c r="I1554">
        <f>VLOOKUP(C1554,LEAIDs!$A$2:$B$305,2,FALSE)</f>
        <v>2200360</v>
      </c>
    </row>
    <row r="1555" spans="1:9" x14ac:dyDescent="0.2">
      <c r="A1555">
        <v>2200360</v>
      </c>
      <c r="B1555">
        <v>2017</v>
      </c>
      <c r="C1555" t="s">
        <v>10</v>
      </c>
      <c r="D1555" t="s">
        <v>232</v>
      </c>
      <c r="E1555" t="s">
        <v>234</v>
      </c>
      <c r="F1555" s="17">
        <v>2334528</v>
      </c>
      <c r="G1555" s="17">
        <v>80634</v>
      </c>
      <c r="H1555" s="17">
        <v>2415162</v>
      </c>
      <c r="I1555">
        <f>VLOOKUP(C1555,LEAIDs!$A$2:$B$305,2,FALSE)</f>
        <v>2200360</v>
      </c>
    </row>
    <row r="1556" spans="1:9" x14ac:dyDescent="0.2">
      <c r="A1556">
        <v>2200360</v>
      </c>
      <c r="B1556">
        <v>2018</v>
      </c>
      <c r="C1556" t="s">
        <v>10</v>
      </c>
      <c r="D1556" t="s">
        <v>232</v>
      </c>
      <c r="E1556" t="s">
        <v>234</v>
      </c>
      <c r="F1556" s="17">
        <v>2406002</v>
      </c>
      <c r="G1556" s="17">
        <v>79178</v>
      </c>
      <c r="H1556" s="17">
        <v>2485180</v>
      </c>
      <c r="I1556">
        <f>VLOOKUP(C1556,LEAIDs!$A$2:$B$305,2,FALSE)</f>
        <v>2200360</v>
      </c>
    </row>
    <row r="1557" spans="1:9" x14ac:dyDescent="0.2">
      <c r="A1557">
        <v>2200360</v>
      </c>
      <c r="B1557">
        <v>2019</v>
      </c>
      <c r="C1557" t="s">
        <v>10</v>
      </c>
      <c r="D1557" t="s">
        <v>232</v>
      </c>
      <c r="E1557" t="s">
        <v>234</v>
      </c>
      <c r="F1557" s="17">
        <v>2443707</v>
      </c>
      <c r="G1557" s="17">
        <v>82015</v>
      </c>
      <c r="H1557" s="17">
        <v>2525722</v>
      </c>
      <c r="I1557">
        <f>VLOOKUP(C1557,LEAIDs!$A$2:$B$305,2,FALSE)</f>
        <v>2200360</v>
      </c>
    </row>
    <row r="1558" spans="1:9" x14ac:dyDescent="0.2">
      <c r="A1558">
        <v>2200360</v>
      </c>
      <c r="B1558">
        <v>2020</v>
      </c>
      <c r="C1558" t="s">
        <v>10</v>
      </c>
      <c r="D1558" t="s">
        <v>232</v>
      </c>
      <c r="E1558" t="s">
        <v>234</v>
      </c>
      <c r="F1558" s="17">
        <v>2452234</v>
      </c>
      <c r="G1558" s="17">
        <v>86536</v>
      </c>
      <c r="H1558" s="17">
        <v>2538770</v>
      </c>
      <c r="I1558">
        <f>VLOOKUP(C1558,LEAIDs!$A$2:$B$305,2,FALSE)</f>
        <v>2200360</v>
      </c>
    </row>
    <row r="1559" spans="1:9" x14ac:dyDescent="0.2">
      <c r="A1559">
        <v>2200360</v>
      </c>
      <c r="B1559" s="2">
        <v>2021</v>
      </c>
      <c r="C1559" s="4" t="s">
        <v>10</v>
      </c>
      <c r="D1559" s="2" t="s">
        <v>232</v>
      </c>
      <c r="E1559" s="2" t="s">
        <v>234</v>
      </c>
      <c r="F1559" s="16">
        <v>2631091</v>
      </c>
      <c r="G1559" s="16">
        <v>91581</v>
      </c>
      <c r="H1559" s="15">
        <v>2722672</v>
      </c>
      <c r="I1559">
        <f>VLOOKUP(C1559,LEAIDs!$A$2:$B$305,2,FALSE)</f>
        <v>2200360</v>
      </c>
    </row>
    <row r="1560" spans="1:9" x14ac:dyDescent="0.2">
      <c r="A1560">
        <v>2200360</v>
      </c>
      <c r="B1560" s="2">
        <v>2022</v>
      </c>
      <c r="C1560" s="4" t="s">
        <v>10</v>
      </c>
      <c r="D1560" s="2" t="s">
        <v>232</v>
      </c>
      <c r="E1560" s="2" t="s">
        <v>234</v>
      </c>
      <c r="F1560" s="16">
        <v>2656532</v>
      </c>
      <c r="G1560" s="16">
        <v>94912</v>
      </c>
      <c r="H1560" s="15">
        <v>2751444</v>
      </c>
      <c r="I1560">
        <f>VLOOKUP(C1560,LEAIDs!$A$2:$B$305,2,FALSE)</f>
        <v>2200360</v>
      </c>
    </row>
    <row r="1561" spans="1:9" x14ac:dyDescent="0.2">
      <c r="A1561">
        <v>2200360</v>
      </c>
      <c r="B1561" s="2">
        <v>2023</v>
      </c>
      <c r="C1561" s="2" t="s">
        <v>10</v>
      </c>
      <c r="D1561" s="2" t="s">
        <v>232</v>
      </c>
      <c r="E1561" s="2" t="s">
        <v>234</v>
      </c>
      <c r="F1561" s="15">
        <v>2678253</v>
      </c>
      <c r="G1561" s="15">
        <v>95484</v>
      </c>
      <c r="H1561" s="15">
        <v>2773737</v>
      </c>
      <c r="I1561">
        <f>VLOOKUP(C1561,LEAIDs!$A$2:$B$305,2,FALSE)</f>
        <v>2200360</v>
      </c>
    </row>
    <row r="1562" spans="1:9" x14ac:dyDescent="0.2">
      <c r="A1562">
        <v>2200390</v>
      </c>
      <c r="B1562">
        <v>2015</v>
      </c>
      <c r="C1562" t="s">
        <v>11</v>
      </c>
      <c r="D1562" t="s">
        <v>232</v>
      </c>
      <c r="E1562" t="s">
        <v>234</v>
      </c>
      <c r="F1562" s="17">
        <v>2751523</v>
      </c>
      <c r="G1562" s="17">
        <v>84583</v>
      </c>
      <c r="H1562" s="17">
        <v>2836106</v>
      </c>
      <c r="I1562">
        <f>VLOOKUP(C1562,LEAIDs!$A$2:$B$305,2,FALSE)</f>
        <v>2200390</v>
      </c>
    </row>
    <row r="1563" spans="1:9" x14ac:dyDescent="0.2">
      <c r="A1563">
        <v>2200390</v>
      </c>
      <c r="B1563">
        <v>2016</v>
      </c>
      <c r="C1563" t="s">
        <v>11</v>
      </c>
      <c r="D1563" t="s">
        <v>232</v>
      </c>
      <c r="E1563" t="s">
        <v>234</v>
      </c>
      <c r="F1563" s="17">
        <v>2494999</v>
      </c>
      <c r="G1563" s="17">
        <v>82297</v>
      </c>
      <c r="H1563" s="17">
        <v>2577296</v>
      </c>
      <c r="I1563">
        <f>VLOOKUP(C1563,LEAIDs!$A$2:$B$305,2,FALSE)</f>
        <v>2200390</v>
      </c>
    </row>
    <row r="1564" spans="1:9" x14ac:dyDescent="0.2">
      <c r="A1564">
        <v>2200390</v>
      </c>
      <c r="B1564">
        <v>2017</v>
      </c>
      <c r="C1564" t="s">
        <v>11</v>
      </c>
      <c r="D1564" t="s">
        <v>232</v>
      </c>
      <c r="E1564" t="s">
        <v>234</v>
      </c>
      <c r="F1564" s="17">
        <v>2337132</v>
      </c>
      <c r="G1564" s="17">
        <v>80723</v>
      </c>
      <c r="H1564" s="17">
        <v>2417855</v>
      </c>
      <c r="I1564">
        <f>VLOOKUP(C1564,LEAIDs!$A$2:$B$305,2,FALSE)</f>
        <v>2200390</v>
      </c>
    </row>
    <row r="1565" spans="1:9" x14ac:dyDescent="0.2">
      <c r="A1565">
        <v>2200390</v>
      </c>
      <c r="B1565">
        <v>2018</v>
      </c>
      <c r="C1565" t="s">
        <v>11</v>
      </c>
      <c r="D1565" t="s">
        <v>232</v>
      </c>
      <c r="E1565" t="s">
        <v>234</v>
      </c>
      <c r="F1565" s="17">
        <v>2515104</v>
      </c>
      <c r="G1565" s="17">
        <v>82768</v>
      </c>
      <c r="H1565" s="17">
        <v>2597872</v>
      </c>
      <c r="I1565">
        <f>VLOOKUP(C1565,LEAIDs!$A$2:$B$305,2,FALSE)</f>
        <v>2200390</v>
      </c>
    </row>
    <row r="1566" spans="1:9" x14ac:dyDescent="0.2">
      <c r="A1566">
        <v>2200390</v>
      </c>
      <c r="B1566">
        <v>2019</v>
      </c>
      <c r="C1566" t="s">
        <v>11</v>
      </c>
      <c r="D1566" t="s">
        <v>232</v>
      </c>
      <c r="E1566" t="s">
        <v>234</v>
      </c>
      <c r="F1566" s="17">
        <v>2533400</v>
      </c>
      <c r="G1566" s="17">
        <v>85025</v>
      </c>
      <c r="H1566" s="17">
        <v>2618425</v>
      </c>
      <c r="I1566">
        <f>VLOOKUP(C1566,LEAIDs!$A$2:$B$305,2,FALSE)</f>
        <v>2200390</v>
      </c>
    </row>
    <row r="1567" spans="1:9" x14ac:dyDescent="0.2">
      <c r="A1567">
        <v>2200390</v>
      </c>
      <c r="B1567">
        <v>2020</v>
      </c>
      <c r="C1567" t="s">
        <v>11</v>
      </c>
      <c r="D1567" t="s">
        <v>232</v>
      </c>
      <c r="E1567" t="s">
        <v>234</v>
      </c>
      <c r="F1567" s="17">
        <v>2535532</v>
      </c>
      <c r="G1567" s="17">
        <v>89475</v>
      </c>
      <c r="H1567" s="17">
        <v>2625007</v>
      </c>
      <c r="I1567">
        <f>VLOOKUP(C1567,LEAIDs!$A$2:$B$305,2,FALSE)</f>
        <v>2200390</v>
      </c>
    </row>
    <row r="1568" spans="1:9" x14ac:dyDescent="0.2">
      <c r="A1568">
        <v>2200390</v>
      </c>
      <c r="B1568" s="2">
        <v>2021</v>
      </c>
      <c r="C1568" s="4" t="s">
        <v>11</v>
      </c>
      <c r="D1568" s="2" t="s">
        <v>232</v>
      </c>
      <c r="E1568" s="2" t="s">
        <v>234</v>
      </c>
      <c r="F1568" s="16">
        <v>2646240</v>
      </c>
      <c r="G1568" s="16">
        <v>92109</v>
      </c>
      <c r="H1568" s="15">
        <v>2738349</v>
      </c>
      <c r="I1568">
        <f>VLOOKUP(C1568,LEAIDs!$A$2:$B$305,2,FALSE)</f>
        <v>2200390</v>
      </c>
    </row>
    <row r="1569" spans="1:9" x14ac:dyDescent="0.2">
      <c r="A1569">
        <v>2200390</v>
      </c>
      <c r="B1569" s="2">
        <v>2022</v>
      </c>
      <c r="C1569" s="4" t="s">
        <v>11</v>
      </c>
      <c r="D1569" s="2" t="s">
        <v>232</v>
      </c>
      <c r="E1569" s="2" t="s">
        <v>234</v>
      </c>
      <c r="F1569" s="16">
        <v>2751653</v>
      </c>
      <c r="G1569" s="16">
        <v>98310</v>
      </c>
      <c r="H1569" s="15">
        <v>2849963</v>
      </c>
      <c r="I1569">
        <f>VLOOKUP(C1569,LEAIDs!$A$2:$B$305,2,FALSE)</f>
        <v>2200390</v>
      </c>
    </row>
    <row r="1570" spans="1:9" x14ac:dyDescent="0.2">
      <c r="A1570">
        <v>2200390</v>
      </c>
      <c r="B1570" s="2">
        <v>2023</v>
      </c>
      <c r="C1570" s="2" t="s">
        <v>11</v>
      </c>
      <c r="D1570" s="2" t="s">
        <v>232</v>
      </c>
      <c r="E1570" s="2" t="s">
        <v>234</v>
      </c>
      <c r="F1570" s="15">
        <v>2711101</v>
      </c>
      <c r="G1570" s="15">
        <v>96655</v>
      </c>
      <c r="H1570" s="15">
        <v>2807756</v>
      </c>
      <c r="I1570">
        <f>VLOOKUP(C1570,LEAIDs!$A$2:$B$305,2,FALSE)</f>
        <v>2200390</v>
      </c>
    </row>
    <row r="1571" spans="1:9" x14ac:dyDescent="0.2">
      <c r="A1571">
        <v>2200420</v>
      </c>
      <c r="B1571">
        <v>2015</v>
      </c>
      <c r="C1571" t="s">
        <v>12</v>
      </c>
      <c r="D1571" t="s">
        <v>232</v>
      </c>
      <c r="E1571" t="s">
        <v>234</v>
      </c>
      <c r="F1571" s="17">
        <v>1779169</v>
      </c>
      <c r="G1571" s="17">
        <v>54693</v>
      </c>
      <c r="H1571" s="17">
        <v>1833862</v>
      </c>
      <c r="I1571">
        <f>VLOOKUP(C1571,LEAIDs!$A$2:$B$305,2,FALSE)</f>
        <v>2200420</v>
      </c>
    </row>
    <row r="1572" spans="1:9" x14ac:dyDescent="0.2">
      <c r="A1572">
        <v>2200420</v>
      </c>
      <c r="B1572">
        <v>2016</v>
      </c>
      <c r="C1572" t="s">
        <v>12</v>
      </c>
      <c r="D1572" t="s">
        <v>232</v>
      </c>
      <c r="E1572" t="s">
        <v>234</v>
      </c>
      <c r="F1572" s="17">
        <v>1736261</v>
      </c>
      <c r="G1572" s="17">
        <v>57271</v>
      </c>
      <c r="H1572" s="17">
        <v>1793532</v>
      </c>
      <c r="I1572">
        <f>VLOOKUP(C1572,LEAIDs!$A$2:$B$305,2,FALSE)</f>
        <v>2200420</v>
      </c>
    </row>
    <row r="1573" spans="1:9" x14ac:dyDescent="0.2">
      <c r="A1573">
        <v>2200420</v>
      </c>
      <c r="B1573">
        <v>2017</v>
      </c>
      <c r="C1573" t="s">
        <v>12</v>
      </c>
      <c r="D1573" t="s">
        <v>232</v>
      </c>
      <c r="E1573" t="s">
        <v>234</v>
      </c>
      <c r="F1573" s="17">
        <v>1554938</v>
      </c>
      <c r="G1573" s="17">
        <v>53707</v>
      </c>
      <c r="H1573" s="17">
        <v>1608645</v>
      </c>
      <c r="I1573">
        <f>VLOOKUP(C1573,LEAIDs!$A$2:$B$305,2,FALSE)</f>
        <v>2200420</v>
      </c>
    </row>
    <row r="1574" spans="1:9" x14ac:dyDescent="0.2">
      <c r="A1574">
        <v>2200420</v>
      </c>
      <c r="B1574">
        <v>2018</v>
      </c>
      <c r="C1574" t="s">
        <v>12</v>
      </c>
      <c r="D1574" t="s">
        <v>232</v>
      </c>
      <c r="E1574" t="s">
        <v>234</v>
      </c>
      <c r="F1574" s="17">
        <v>1473359</v>
      </c>
      <c r="G1574" s="17">
        <v>48486</v>
      </c>
      <c r="H1574" s="17">
        <v>1521845</v>
      </c>
      <c r="I1574">
        <f>VLOOKUP(C1574,LEAIDs!$A$2:$B$305,2,FALSE)</f>
        <v>2200420</v>
      </c>
    </row>
    <row r="1575" spans="1:9" x14ac:dyDescent="0.2">
      <c r="A1575">
        <v>2200420</v>
      </c>
      <c r="B1575">
        <v>2019</v>
      </c>
      <c r="C1575" t="s">
        <v>12</v>
      </c>
      <c r="D1575" t="s">
        <v>232</v>
      </c>
      <c r="E1575" t="s">
        <v>234</v>
      </c>
      <c r="F1575" s="17">
        <v>1283941</v>
      </c>
      <c r="G1575" s="17">
        <v>43091</v>
      </c>
      <c r="H1575" s="17">
        <v>1327032</v>
      </c>
      <c r="I1575">
        <f>VLOOKUP(C1575,LEAIDs!$A$2:$B$305,2,FALSE)</f>
        <v>2200420</v>
      </c>
    </row>
    <row r="1576" spans="1:9" x14ac:dyDescent="0.2">
      <c r="A1576">
        <v>2200420</v>
      </c>
      <c r="B1576">
        <v>2020</v>
      </c>
      <c r="C1576" t="s">
        <v>12</v>
      </c>
      <c r="D1576" t="s">
        <v>232</v>
      </c>
      <c r="E1576" t="s">
        <v>234</v>
      </c>
      <c r="F1576" s="17">
        <v>1123566</v>
      </c>
      <c r="G1576" s="17">
        <v>39649</v>
      </c>
      <c r="H1576" s="17">
        <v>1163215</v>
      </c>
      <c r="I1576">
        <f>VLOOKUP(C1576,LEAIDs!$A$2:$B$305,2,FALSE)</f>
        <v>2200420</v>
      </c>
    </row>
    <row r="1577" spans="1:9" x14ac:dyDescent="0.2">
      <c r="A1577">
        <v>2200420</v>
      </c>
      <c r="B1577" s="2">
        <v>2021</v>
      </c>
      <c r="C1577" s="4" t="s">
        <v>12</v>
      </c>
      <c r="D1577" s="2" t="s">
        <v>232</v>
      </c>
      <c r="E1577" s="2" t="s">
        <v>234</v>
      </c>
      <c r="F1577" s="16">
        <v>1232671</v>
      </c>
      <c r="G1577" s="16">
        <v>42906</v>
      </c>
      <c r="H1577" s="15">
        <v>1275577</v>
      </c>
      <c r="I1577">
        <f>VLOOKUP(C1577,LEAIDs!$A$2:$B$305,2,FALSE)</f>
        <v>2200420</v>
      </c>
    </row>
    <row r="1578" spans="1:9" x14ac:dyDescent="0.2">
      <c r="A1578">
        <v>2200420</v>
      </c>
      <c r="B1578" s="2">
        <v>2022</v>
      </c>
      <c r="C1578" s="4" t="s">
        <v>12</v>
      </c>
      <c r="D1578" s="2" t="s">
        <v>232</v>
      </c>
      <c r="E1578" s="2" t="s">
        <v>234</v>
      </c>
      <c r="F1578" s="16">
        <v>1344345</v>
      </c>
      <c r="G1578" s="16">
        <v>48030</v>
      </c>
      <c r="H1578" s="15">
        <v>1392375</v>
      </c>
      <c r="I1578">
        <f>VLOOKUP(C1578,LEAIDs!$A$2:$B$305,2,FALSE)</f>
        <v>2200420</v>
      </c>
    </row>
    <row r="1579" spans="1:9" x14ac:dyDescent="0.2">
      <c r="A1579">
        <v>2200420</v>
      </c>
      <c r="B1579" s="2">
        <v>2023</v>
      </c>
      <c r="C1579" s="2" t="s">
        <v>12</v>
      </c>
      <c r="D1579" s="2" t="s">
        <v>232</v>
      </c>
      <c r="E1579" s="2" t="s">
        <v>234</v>
      </c>
      <c r="F1579" s="15">
        <v>1402270</v>
      </c>
      <c r="G1579" s="15">
        <v>49993</v>
      </c>
      <c r="H1579" s="15">
        <v>1452263</v>
      </c>
      <c r="I1579">
        <f>VLOOKUP(C1579,LEAIDs!$A$2:$B$305,2,FALSE)</f>
        <v>2200420</v>
      </c>
    </row>
    <row r="1580" spans="1:9" x14ac:dyDescent="0.2">
      <c r="A1580">
        <v>2200450</v>
      </c>
      <c r="B1580">
        <v>2015</v>
      </c>
      <c r="C1580" t="s">
        <v>13</v>
      </c>
      <c r="D1580" t="s">
        <v>232</v>
      </c>
      <c r="E1580" t="s">
        <v>234</v>
      </c>
      <c r="F1580" s="17">
        <v>2179424</v>
      </c>
      <c r="G1580" s="17">
        <v>66997</v>
      </c>
      <c r="H1580" s="17">
        <v>2246421</v>
      </c>
      <c r="I1580">
        <f>VLOOKUP(C1580,LEAIDs!$A$2:$B$305,2,FALSE)</f>
        <v>2200450</v>
      </c>
    </row>
    <row r="1581" spans="1:9" x14ac:dyDescent="0.2">
      <c r="A1581">
        <v>2200450</v>
      </c>
      <c r="B1581">
        <v>2016</v>
      </c>
      <c r="C1581" t="s">
        <v>13</v>
      </c>
      <c r="D1581" t="s">
        <v>232</v>
      </c>
      <c r="E1581" t="s">
        <v>234</v>
      </c>
      <c r="F1581" s="17">
        <v>2183350</v>
      </c>
      <c r="G1581" s="17">
        <v>72018</v>
      </c>
      <c r="H1581" s="17">
        <v>2255368</v>
      </c>
      <c r="I1581">
        <f>VLOOKUP(C1581,LEAIDs!$A$2:$B$305,2,FALSE)</f>
        <v>2200450</v>
      </c>
    </row>
    <row r="1582" spans="1:9" x14ac:dyDescent="0.2">
      <c r="A1582">
        <v>2200450</v>
      </c>
      <c r="B1582">
        <v>2017</v>
      </c>
      <c r="C1582" t="s">
        <v>13</v>
      </c>
      <c r="D1582" t="s">
        <v>232</v>
      </c>
      <c r="E1582" t="s">
        <v>234</v>
      </c>
      <c r="F1582" s="17">
        <v>2006408</v>
      </c>
      <c r="G1582" s="17">
        <v>69300</v>
      </c>
      <c r="H1582" s="17">
        <v>2075708</v>
      </c>
      <c r="I1582">
        <f>VLOOKUP(C1582,LEAIDs!$A$2:$B$305,2,FALSE)</f>
        <v>2200450</v>
      </c>
    </row>
    <row r="1583" spans="1:9" x14ac:dyDescent="0.2">
      <c r="A1583">
        <v>2200450</v>
      </c>
      <c r="B1583">
        <v>2018</v>
      </c>
      <c r="C1583" t="s">
        <v>13</v>
      </c>
      <c r="D1583" t="s">
        <v>232</v>
      </c>
      <c r="E1583" t="s">
        <v>234</v>
      </c>
      <c r="F1583" s="17">
        <v>2077723</v>
      </c>
      <c r="G1583" s="17">
        <v>68375</v>
      </c>
      <c r="H1583" s="17">
        <v>2146098</v>
      </c>
      <c r="I1583">
        <f>VLOOKUP(C1583,LEAIDs!$A$2:$B$305,2,FALSE)</f>
        <v>2200450</v>
      </c>
    </row>
    <row r="1584" spans="1:9" x14ac:dyDescent="0.2">
      <c r="A1584">
        <v>2200450</v>
      </c>
      <c r="B1584">
        <v>2019</v>
      </c>
      <c r="C1584" t="s">
        <v>13</v>
      </c>
      <c r="D1584" t="s">
        <v>232</v>
      </c>
      <c r="E1584" t="s">
        <v>234</v>
      </c>
      <c r="F1584" s="17">
        <v>2356558</v>
      </c>
      <c r="G1584" s="17">
        <v>79090</v>
      </c>
      <c r="H1584" s="17">
        <v>2435648</v>
      </c>
      <c r="I1584">
        <f>VLOOKUP(C1584,LEAIDs!$A$2:$B$305,2,FALSE)</f>
        <v>2200450</v>
      </c>
    </row>
    <row r="1585" spans="1:9" x14ac:dyDescent="0.2">
      <c r="A1585">
        <v>2200450</v>
      </c>
      <c r="B1585">
        <v>2020</v>
      </c>
      <c r="C1585" t="s">
        <v>13</v>
      </c>
      <c r="D1585" t="s">
        <v>232</v>
      </c>
      <c r="E1585" t="s">
        <v>234</v>
      </c>
      <c r="F1585" s="17">
        <v>2411282</v>
      </c>
      <c r="G1585" s="17">
        <v>85090</v>
      </c>
      <c r="H1585" s="17">
        <v>2496372</v>
      </c>
      <c r="I1585">
        <f>VLOOKUP(C1585,LEAIDs!$A$2:$B$305,2,FALSE)</f>
        <v>2200450</v>
      </c>
    </row>
    <row r="1586" spans="1:9" x14ac:dyDescent="0.2">
      <c r="A1586">
        <v>2200450</v>
      </c>
      <c r="B1586" s="2">
        <v>2021</v>
      </c>
      <c r="C1586" s="4" t="s">
        <v>13</v>
      </c>
      <c r="D1586" s="2" t="s">
        <v>232</v>
      </c>
      <c r="E1586" s="2" t="s">
        <v>234</v>
      </c>
      <c r="F1586" s="16">
        <v>2602106</v>
      </c>
      <c r="G1586" s="16">
        <v>90572</v>
      </c>
      <c r="H1586" s="15">
        <v>2692678</v>
      </c>
      <c r="I1586">
        <f>VLOOKUP(C1586,LEAIDs!$A$2:$B$305,2,FALSE)</f>
        <v>2200450</v>
      </c>
    </row>
    <row r="1587" spans="1:9" x14ac:dyDescent="0.2">
      <c r="A1587">
        <v>2200450</v>
      </c>
      <c r="B1587" s="2">
        <v>2022</v>
      </c>
      <c r="C1587" s="4" t="s">
        <v>13</v>
      </c>
      <c r="D1587" s="2" t="s">
        <v>232</v>
      </c>
      <c r="E1587" s="2" t="s">
        <v>234</v>
      </c>
      <c r="F1587" s="16">
        <v>2667863</v>
      </c>
      <c r="G1587" s="16">
        <v>95316</v>
      </c>
      <c r="H1587" s="15">
        <v>2763179</v>
      </c>
      <c r="I1587">
        <f>VLOOKUP(C1587,LEAIDs!$A$2:$B$305,2,FALSE)</f>
        <v>2200450</v>
      </c>
    </row>
    <row r="1588" spans="1:9" x14ac:dyDescent="0.2">
      <c r="A1588">
        <v>2200450</v>
      </c>
      <c r="B1588" s="2">
        <v>2023</v>
      </c>
      <c r="C1588" s="2" t="s">
        <v>13</v>
      </c>
      <c r="D1588" s="2" t="s">
        <v>232</v>
      </c>
      <c r="E1588" s="2" t="s">
        <v>234</v>
      </c>
      <c r="F1588" s="15">
        <v>2865663</v>
      </c>
      <c r="G1588" s="15">
        <v>102166</v>
      </c>
      <c r="H1588" s="15">
        <v>2967829</v>
      </c>
      <c r="I1588">
        <f>VLOOKUP(C1588,LEAIDs!$A$2:$B$305,2,FALSE)</f>
        <v>2200450</v>
      </c>
    </row>
    <row r="1589" spans="1:9" x14ac:dyDescent="0.2">
      <c r="A1589">
        <v>2200480</v>
      </c>
      <c r="B1589">
        <v>2015</v>
      </c>
      <c r="C1589" t="s">
        <v>14</v>
      </c>
      <c r="D1589" t="s">
        <v>232</v>
      </c>
      <c r="E1589" t="s">
        <v>234</v>
      </c>
      <c r="F1589" s="17">
        <v>4833245</v>
      </c>
      <c r="G1589" s="17">
        <v>148577</v>
      </c>
      <c r="H1589" s="17">
        <v>4981822</v>
      </c>
      <c r="I1589">
        <f>VLOOKUP(C1589,LEAIDs!$A$2:$B$305,2,FALSE)</f>
        <v>2200480</v>
      </c>
    </row>
    <row r="1590" spans="1:9" x14ac:dyDescent="0.2">
      <c r="A1590">
        <v>2200480</v>
      </c>
      <c r="B1590">
        <v>2016</v>
      </c>
      <c r="C1590" t="s">
        <v>14</v>
      </c>
      <c r="D1590" t="s">
        <v>232</v>
      </c>
      <c r="E1590" t="s">
        <v>234</v>
      </c>
      <c r="F1590" s="17">
        <v>4220827</v>
      </c>
      <c r="G1590" s="17">
        <v>139224</v>
      </c>
      <c r="H1590" s="17">
        <v>4360051</v>
      </c>
      <c r="I1590">
        <f>VLOOKUP(C1590,LEAIDs!$A$2:$B$305,2,FALSE)</f>
        <v>2200480</v>
      </c>
    </row>
    <row r="1591" spans="1:9" x14ac:dyDescent="0.2">
      <c r="A1591">
        <v>2200480</v>
      </c>
      <c r="B1591">
        <v>2017</v>
      </c>
      <c r="C1591" t="s">
        <v>14</v>
      </c>
      <c r="D1591" t="s">
        <v>232</v>
      </c>
      <c r="E1591" t="s">
        <v>234</v>
      </c>
      <c r="F1591" s="17">
        <v>4127097</v>
      </c>
      <c r="G1591" s="17">
        <v>142548</v>
      </c>
      <c r="H1591" s="17">
        <v>4269645</v>
      </c>
      <c r="I1591">
        <f>VLOOKUP(C1591,LEAIDs!$A$2:$B$305,2,FALSE)</f>
        <v>2200480</v>
      </c>
    </row>
    <row r="1592" spans="1:9" x14ac:dyDescent="0.2">
      <c r="A1592">
        <v>2200480</v>
      </c>
      <c r="B1592">
        <v>2018</v>
      </c>
      <c r="C1592" t="s">
        <v>14</v>
      </c>
      <c r="D1592" t="s">
        <v>232</v>
      </c>
      <c r="E1592" t="s">
        <v>234</v>
      </c>
      <c r="F1592" s="17">
        <v>4453463</v>
      </c>
      <c r="G1592" s="17">
        <v>146556</v>
      </c>
      <c r="H1592" s="17">
        <v>4600019</v>
      </c>
      <c r="I1592">
        <f>VLOOKUP(C1592,LEAIDs!$A$2:$B$305,2,FALSE)</f>
        <v>2200480</v>
      </c>
    </row>
    <row r="1593" spans="1:9" x14ac:dyDescent="0.2">
      <c r="A1593">
        <v>2200480</v>
      </c>
      <c r="B1593">
        <v>2019</v>
      </c>
      <c r="C1593" t="s">
        <v>14</v>
      </c>
      <c r="D1593" t="s">
        <v>232</v>
      </c>
      <c r="E1593" t="s">
        <v>234</v>
      </c>
      <c r="F1593" s="17">
        <v>4667374</v>
      </c>
      <c r="G1593" s="17">
        <v>156645</v>
      </c>
      <c r="H1593" s="17">
        <v>4824019</v>
      </c>
      <c r="I1593">
        <f>VLOOKUP(C1593,LEAIDs!$A$2:$B$305,2,FALSE)</f>
        <v>2200480</v>
      </c>
    </row>
    <row r="1594" spans="1:9" x14ac:dyDescent="0.2">
      <c r="A1594">
        <v>2200480</v>
      </c>
      <c r="B1594">
        <v>2020</v>
      </c>
      <c r="C1594" t="s">
        <v>14</v>
      </c>
      <c r="D1594" t="s">
        <v>232</v>
      </c>
      <c r="E1594" t="s">
        <v>234</v>
      </c>
      <c r="F1594" s="17">
        <v>4969706</v>
      </c>
      <c r="G1594" s="17">
        <v>175373</v>
      </c>
      <c r="H1594" s="17">
        <v>5145079</v>
      </c>
      <c r="I1594">
        <f>VLOOKUP(C1594,LEAIDs!$A$2:$B$305,2,FALSE)</f>
        <v>2200480</v>
      </c>
    </row>
    <row r="1595" spans="1:9" x14ac:dyDescent="0.2">
      <c r="A1595">
        <v>2200480</v>
      </c>
      <c r="B1595" s="2">
        <v>2021</v>
      </c>
      <c r="C1595" s="4" t="s">
        <v>14</v>
      </c>
      <c r="D1595" s="2" t="s">
        <v>232</v>
      </c>
      <c r="E1595" s="2" t="s">
        <v>234</v>
      </c>
      <c r="F1595" s="16">
        <v>4953196</v>
      </c>
      <c r="G1595" s="16">
        <v>172408</v>
      </c>
      <c r="H1595" s="15">
        <v>5125604</v>
      </c>
      <c r="I1595">
        <f>VLOOKUP(C1595,LEAIDs!$A$2:$B$305,2,FALSE)</f>
        <v>2200480</v>
      </c>
    </row>
    <row r="1596" spans="1:9" x14ac:dyDescent="0.2">
      <c r="A1596">
        <v>2200480</v>
      </c>
      <c r="B1596" s="2">
        <v>2022</v>
      </c>
      <c r="C1596" s="4" t="s">
        <v>14</v>
      </c>
      <c r="D1596" s="2" t="s">
        <v>232</v>
      </c>
      <c r="E1596" s="2" t="s">
        <v>234</v>
      </c>
      <c r="F1596" s="16">
        <v>4979740</v>
      </c>
      <c r="G1596" s="16">
        <v>177914</v>
      </c>
      <c r="H1596" s="15">
        <v>5157654</v>
      </c>
      <c r="I1596">
        <f>VLOOKUP(C1596,LEAIDs!$A$2:$B$305,2,FALSE)</f>
        <v>2200480</v>
      </c>
    </row>
    <row r="1597" spans="1:9" x14ac:dyDescent="0.2">
      <c r="A1597">
        <v>2200480</v>
      </c>
      <c r="B1597" s="2">
        <v>2023</v>
      </c>
      <c r="C1597" s="2" t="s">
        <v>14</v>
      </c>
      <c r="D1597" s="2" t="s">
        <v>232</v>
      </c>
      <c r="E1597" s="2" t="s">
        <v>234</v>
      </c>
      <c r="F1597" s="15">
        <v>4985324</v>
      </c>
      <c r="G1597" s="15">
        <v>177735</v>
      </c>
      <c r="H1597" s="15">
        <v>5163059</v>
      </c>
      <c r="I1597">
        <f>VLOOKUP(C1597,LEAIDs!$A$2:$B$305,2,FALSE)</f>
        <v>2200480</v>
      </c>
    </row>
    <row r="1598" spans="1:9" x14ac:dyDescent="0.2">
      <c r="A1598">
        <v>2200510</v>
      </c>
      <c r="B1598">
        <v>2015</v>
      </c>
      <c r="C1598" t="s">
        <v>15</v>
      </c>
      <c r="D1598" t="s">
        <v>232</v>
      </c>
      <c r="E1598" t="s">
        <v>234</v>
      </c>
      <c r="F1598" s="17">
        <v>9099833</v>
      </c>
      <c r="G1598" s="17">
        <v>279734</v>
      </c>
      <c r="H1598" s="17">
        <v>9379567</v>
      </c>
      <c r="I1598">
        <f>VLOOKUP(C1598,LEAIDs!$A$2:$B$305,2,FALSE)</f>
        <v>2200510</v>
      </c>
    </row>
    <row r="1599" spans="1:9" x14ac:dyDescent="0.2">
      <c r="A1599">
        <v>2200510</v>
      </c>
      <c r="B1599">
        <v>2016</v>
      </c>
      <c r="C1599" t="s">
        <v>15</v>
      </c>
      <c r="D1599" t="s">
        <v>232</v>
      </c>
      <c r="E1599" t="s">
        <v>234</v>
      </c>
      <c r="F1599" s="17">
        <v>8523681</v>
      </c>
      <c r="G1599" s="17">
        <v>281153</v>
      </c>
      <c r="H1599" s="17">
        <v>8804834</v>
      </c>
      <c r="I1599">
        <f>VLOOKUP(C1599,LEAIDs!$A$2:$B$305,2,FALSE)</f>
        <v>2200510</v>
      </c>
    </row>
    <row r="1600" spans="1:9" x14ac:dyDescent="0.2">
      <c r="A1600">
        <v>2200510</v>
      </c>
      <c r="B1600">
        <v>2017</v>
      </c>
      <c r="C1600" t="s">
        <v>15</v>
      </c>
      <c r="D1600" t="s">
        <v>232</v>
      </c>
      <c r="E1600" t="s">
        <v>234</v>
      </c>
      <c r="F1600" s="17">
        <v>7650847</v>
      </c>
      <c r="G1600" s="17">
        <v>264257</v>
      </c>
      <c r="H1600" s="17">
        <v>7915104</v>
      </c>
      <c r="I1600">
        <f>VLOOKUP(C1600,LEAIDs!$A$2:$B$305,2,FALSE)</f>
        <v>2200510</v>
      </c>
    </row>
    <row r="1601" spans="1:9" x14ac:dyDescent="0.2">
      <c r="A1601">
        <v>2200510</v>
      </c>
      <c r="B1601">
        <v>2018</v>
      </c>
      <c r="C1601" t="s">
        <v>15</v>
      </c>
      <c r="D1601" t="s">
        <v>232</v>
      </c>
      <c r="E1601" t="s">
        <v>234</v>
      </c>
      <c r="F1601" s="17">
        <v>8321070</v>
      </c>
      <c r="G1601" s="17">
        <v>273833</v>
      </c>
      <c r="H1601" s="17">
        <v>8594903</v>
      </c>
      <c r="I1601">
        <f>VLOOKUP(C1601,LEAIDs!$A$2:$B$305,2,FALSE)</f>
        <v>2200510</v>
      </c>
    </row>
    <row r="1602" spans="1:9" x14ac:dyDescent="0.2">
      <c r="A1602">
        <v>2200510</v>
      </c>
      <c r="B1602">
        <v>2019</v>
      </c>
      <c r="C1602" t="s">
        <v>15</v>
      </c>
      <c r="D1602" t="s">
        <v>232</v>
      </c>
      <c r="E1602" t="s">
        <v>234</v>
      </c>
      <c r="F1602" s="17">
        <v>8380599</v>
      </c>
      <c r="G1602" s="17">
        <v>281266</v>
      </c>
      <c r="H1602" s="17">
        <v>8661865</v>
      </c>
      <c r="I1602">
        <f>VLOOKUP(C1602,LEAIDs!$A$2:$B$305,2,FALSE)</f>
        <v>2200510</v>
      </c>
    </row>
    <row r="1603" spans="1:9" x14ac:dyDescent="0.2">
      <c r="A1603">
        <v>2200510</v>
      </c>
      <c r="B1603">
        <v>2020</v>
      </c>
      <c r="C1603" t="s">
        <v>15</v>
      </c>
      <c r="D1603" t="s">
        <v>232</v>
      </c>
      <c r="E1603" t="s">
        <v>234</v>
      </c>
      <c r="F1603" s="17">
        <v>8290037</v>
      </c>
      <c r="G1603" s="17">
        <v>292543</v>
      </c>
      <c r="H1603" s="17">
        <v>8582580</v>
      </c>
      <c r="I1603">
        <f>VLOOKUP(C1603,LEAIDs!$A$2:$B$305,2,FALSE)</f>
        <v>2200510</v>
      </c>
    </row>
    <row r="1604" spans="1:9" x14ac:dyDescent="0.2">
      <c r="A1604">
        <v>2200510</v>
      </c>
      <c r="B1604" s="2">
        <v>2021</v>
      </c>
      <c r="C1604" s="4" t="s">
        <v>15</v>
      </c>
      <c r="D1604" s="2" t="s">
        <v>232</v>
      </c>
      <c r="E1604" s="2" t="s">
        <v>234</v>
      </c>
      <c r="F1604" s="16">
        <v>8469453</v>
      </c>
      <c r="G1604" s="16">
        <v>294799</v>
      </c>
      <c r="H1604" s="15">
        <v>8764252</v>
      </c>
      <c r="I1604">
        <f>VLOOKUP(C1604,LEAIDs!$A$2:$B$305,2,FALSE)</f>
        <v>2200510</v>
      </c>
    </row>
    <row r="1605" spans="1:9" x14ac:dyDescent="0.2">
      <c r="A1605">
        <v>2200510</v>
      </c>
      <c r="B1605" s="2">
        <v>2022</v>
      </c>
      <c r="C1605" s="4" t="s">
        <v>15</v>
      </c>
      <c r="D1605" s="2" t="s">
        <v>232</v>
      </c>
      <c r="E1605" s="2" t="s">
        <v>234</v>
      </c>
      <c r="F1605" s="16">
        <v>8799794</v>
      </c>
      <c r="G1605" s="16">
        <v>314396</v>
      </c>
      <c r="H1605" s="15">
        <v>9114190</v>
      </c>
      <c r="I1605">
        <f>VLOOKUP(C1605,LEAIDs!$A$2:$B$305,2,FALSE)</f>
        <v>2200510</v>
      </c>
    </row>
    <row r="1606" spans="1:9" x14ac:dyDescent="0.2">
      <c r="A1606">
        <v>2200510</v>
      </c>
      <c r="B1606" s="2">
        <v>2023</v>
      </c>
      <c r="C1606" s="2" t="s">
        <v>15</v>
      </c>
      <c r="D1606" s="2" t="s">
        <v>232</v>
      </c>
      <c r="E1606" s="2" t="s">
        <v>234</v>
      </c>
      <c r="F1606" s="15">
        <v>8881649</v>
      </c>
      <c r="G1606" s="15">
        <v>316645</v>
      </c>
      <c r="H1606" s="15">
        <v>9198294</v>
      </c>
      <c r="I1606">
        <f>VLOOKUP(C1606,LEAIDs!$A$2:$B$305,2,FALSE)</f>
        <v>2200510</v>
      </c>
    </row>
    <row r="1607" spans="1:9" x14ac:dyDescent="0.2">
      <c r="A1607">
        <v>2200540</v>
      </c>
      <c r="B1607">
        <v>2015</v>
      </c>
      <c r="C1607" t="s">
        <v>16</v>
      </c>
      <c r="D1607" t="s">
        <v>232</v>
      </c>
      <c r="E1607" t="s">
        <v>234</v>
      </c>
      <c r="F1607" s="17">
        <v>63210176</v>
      </c>
      <c r="G1607" s="17">
        <v>1943117</v>
      </c>
      <c r="H1607" s="17">
        <v>65153293</v>
      </c>
      <c r="I1607">
        <f>VLOOKUP(C1607,LEAIDs!$A$2:$B$305,2,FALSE)</f>
        <v>2200540</v>
      </c>
    </row>
    <row r="1608" spans="1:9" x14ac:dyDescent="0.2">
      <c r="A1608">
        <v>2200540</v>
      </c>
      <c r="B1608">
        <v>2016</v>
      </c>
      <c r="C1608" t="s">
        <v>16</v>
      </c>
      <c r="D1608" t="s">
        <v>232</v>
      </c>
      <c r="E1608" t="s">
        <v>234</v>
      </c>
      <c r="F1608" s="17">
        <v>59796260</v>
      </c>
      <c r="G1608" s="17">
        <v>1972378</v>
      </c>
      <c r="H1608" s="17">
        <v>61768638</v>
      </c>
      <c r="I1608">
        <f>VLOOKUP(C1608,LEAIDs!$A$2:$B$305,2,FALSE)</f>
        <v>2200540</v>
      </c>
    </row>
    <row r="1609" spans="1:9" x14ac:dyDescent="0.2">
      <c r="A1609">
        <v>2200540</v>
      </c>
      <c r="B1609">
        <v>2017</v>
      </c>
      <c r="C1609" t="s">
        <v>16</v>
      </c>
      <c r="D1609" t="s">
        <v>232</v>
      </c>
      <c r="E1609" t="s">
        <v>234</v>
      </c>
      <c r="F1609" s="17">
        <v>57652049</v>
      </c>
      <c r="G1609" s="17">
        <v>1991276</v>
      </c>
      <c r="H1609" s="17">
        <v>59643325</v>
      </c>
      <c r="I1609">
        <f>VLOOKUP(C1609,LEAIDs!$A$2:$B$305,2,FALSE)</f>
        <v>2200540</v>
      </c>
    </row>
    <row r="1610" spans="1:9" x14ac:dyDescent="0.2">
      <c r="A1610">
        <v>2200540</v>
      </c>
      <c r="B1610">
        <v>2018</v>
      </c>
      <c r="C1610" t="s">
        <v>16</v>
      </c>
      <c r="D1610" t="s">
        <v>232</v>
      </c>
      <c r="E1610" t="s">
        <v>234</v>
      </c>
      <c r="F1610" s="17">
        <v>60788024</v>
      </c>
      <c r="G1610" s="17">
        <v>2000439</v>
      </c>
      <c r="H1610" s="17">
        <v>62788463</v>
      </c>
      <c r="I1610">
        <f>VLOOKUP(C1610,LEAIDs!$A$2:$B$305,2,FALSE)</f>
        <v>2200540</v>
      </c>
    </row>
    <row r="1611" spans="1:9" x14ac:dyDescent="0.2">
      <c r="A1611">
        <v>2200540</v>
      </c>
      <c r="B1611">
        <v>2019</v>
      </c>
      <c r="C1611" t="s">
        <v>16</v>
      </c>
      <c r="D1611" t="s">
        <v>232</v>
      </c>
      <c r="E1611" t="s">
        <v>234</v>
      </c>
      <c r="F1611" s="17">
        <v>62394030</v>
      </c>
      <c r="G1611" s="17">
        <v>2094043</v>
      </c>
      <c r="H1611" s="17">
        <v>64488073</v>
      </c>
      <c r="I1611">
        <f>VLOOKUP(C1611,LEAIDs!$A$2:$B$305,2,FALSE)</f>
        <v>2200540</v>
      </c>
    </row>
    <row r="1612" spans="1:9" x14ac:dyDescent="0.2">
      <c r="A1612">
        <v>2200540</v>
      </c>
      <c r="B1612">
        <v>2020</v>
      </c>
      <c r="C1612" t="s">
        <v>16</v>
      </c>
      <c r="D1612" t="s">
        <v>232</v>
      </c>
      <c r="E1612" t="s">
        <v>234</v>
      </c>
      <c r="F1612" s="17">
        <v>59784830</v>
      </c>
      <c r="G1612" s="17">
        <v>2109715</v>
      </c>
      <c r="H1612" s="17">
        <v>61894545</v>
      </c>
      <c r="I1612">
        <f>VLOOKUP(C1612,LEAIDs!$A$2:$B$305,2,FALSE)</f>
        <v>2200540</v>
      </c>
    </row>
    <row r="1613" spans="1:9" x14ac:dyDescent="0.2">
      <c r="A1613">
        <v>2200540</v>
      </c>
      <c r="B1613" s="2">
        <v>2021</v>
      </c>
      <c r="C1613" s="4" t="s">
        <v>16</v>
      </c>
      <c r="D1613" s="2" t="s">
        <v>232</v>
      </c>
      <c r="E1613" s="2" t="s">
        <v>234</v>
      </c>
      <c r="F1613" s="16">
        <v>61429833</v>
      </c>
      <c r="G1613" s="16">
        <v>2138209</v>
      </c>
      <c r="H1613" s="15">
        <v>63568042</v>
      </c>
      <c r="I1613">
        <f>VLOOKUP(C1613,LEAIDs!$A$2:$B$305,2,FALSE)</f>
        <v>2200540</v>
      </c>
    </row>
    <row r="1614" spans="1:9" x14ac:dyDescent="0.2">
      <c r="A1614">
        <v>2200540</v>
      </c>
      <c r="B1614" s="2">
        <v>2022</v>
      </c>
      <c r="C1614" s="4" t="s">
        <v>16</v>
      </c>
      <c r="D1614" s="2" t="s">
        <v>232</v>
      </c>
      <c r="E1614" s="2" t="s">
        <v>234</v>
      </c>
      <c r="F1614" s="16">
        <v>62909757</v>
      </c>
      <c r="G1614" s="16">
        <v>2247616</v>
      </c>
      <c r="H1614" s="15">
        <v>65157373</v>
      </c>
      <c r="I1614">
        <f>VLOOKUP(C1614,LEAIDs!$A$2:$B$305,2,FALSE)</f>
        <v>2200540</v>
      </c>
    </row>
    <row r="1615" spans="1:9" x14ac:dyDescent="0.2">
      <c r="A1615">
        <v>2200540</v>
      </c>
      <c r="B1615" s="2">
        <v>2023</v>
      </c>
      <c r="C1615" s="2" t="s">
        <v>16</v>
      </c>
      <c r="D1615" s="2" t="s">
        <v>232</v>
      </c>
      <c r="E1615" s="2" t="s">
        <v>234</v>
      </c>
      <c r="F1615" s="15">
        <v>64466911</v>
      </c>
      <c r="G1615" s="15">
        <v>2298351</v>
      </c>
      <c r="H1615" s="15">
        <v>66765262</v>
      </c>
      <c r="I1615">
        <f>VLOOKUP(C1615,LEAIDs!$A$2:$B$305,2,FALSE)</f>
        <v>2200540</v>
      </c>
    </row>
    <row r="1616" spans="1:9" x14ac:dyDescent="0.2">
      <c r="A1616">
        <v>2200570</v>
      </c>
      <c r="B1616">
        <v>2015</v>
      </c>
      <c r="C1616" t="s">
        <v>17</v>
      </c>
      <c r="D1616" t="s">
        <v>232</v>
      </c>
      <c r="E1616" t="s">
        <v>234</v>
      </c>
      <c r="F1616" s="17">
        <v>1356854</v>
      </c>
      <c r="G1616" s="17">
        <v>41710</v>
      </c>
      <c r="H1616" s="17">
        <v>1398564</v>
      </c>
      <c r="I1616">
        <f>VLOOKUP(C1616,LEAIDs!$A$2:$B$305,2,FALSE)</f>
        <v>2200570</v>
      </c>
    </row>
    <row r="1617" spans="1:9" x14ac:dyDescent="0.2">
      <c r="A1617">
        <v>2200570</v>
      </c>
      <c r="B1617">
        <v>2016</v>
      </c>
      <c r="C1617" t="s">
        <v>17</v>
      </c>
      <c r="D1617" t="s">
        <v>232</v>
      </c>
      <c r="E1617" t="s">
        <v>234</v>
      </c>
      <c r="F1617" s="17">
        <v>1263096</v>
      </c>
      <c r="G1617" s="17">
        <v>41663</v>
      </c>
      <c r="H1617" s="17">
        <v>1304759</v>
      </c>
      <c r="I1617">
        <f>VLOOKUP(C1617,LEAIDs!$A$2:$B$305,2,FALSE)</f>
        <v>2200570</v>
      </c>
    </row>
    <row r="1618" spans="1:9" x14ac:dyDescent="0.2">
      <c r="A1618">
        <v>2200570</v>
      </c>
      <c r="B1618">
        <v>2017</v>
      </c>
      <c r="C1618" t="s">
        <v>17</v>
      </c>
      <c r="D1618" t="s">
        <v>232</v>
      </c>
      <c r="E1618" t="s">
        <v>234</v>
      </c>
      <c r="F1618" s="17">
        <v>1151894</v>
      </c>
      <c r="G1618" s="17">
        <v>39786</v>
      </c>
      <c r="H1618" s="17">
        <v>1191680</v>
      </c>
      <c r="I1618">
        <f>VLOOKUP(C1618,LEAIDs!$A$2:$B$305,2,FALSE)</f>
        <v>2200570</v>
      </c>
    </row>
    <row r="1619" spans="1:9" x14ac:dyDescent="0.2">
      <c r="A1619">
        <v>2200570</v>
      </c>
      <c r="B1619">
        <v>2018</v>
      </c>
      <c r="C1619" t="s">
        <v>17</v>
      </c>
      <c r="D1619" t="s">
        <v>232</v>
      </c>
      <c r="E1619" t="s">
        <v>234</v>
      </c>
      <c r="F1619" s="17">
        <v>1385204</v>
      </c>
      <c r="G1619" s="17">
        <v>45585</v>
      </c>
      <c r="H1619" s="17">
        <v>1430789</v>
      </c>
      <c r="I1619">
        <f>VLOOKUP(C1619,LEAIDs!$A$2:$B$305,2,FALSE)</f>
        <v>2200570</v>
      </c>
    </row>
    <row r="1620" spans="1:9" x14ac:dyDescent="0.2">
      <c r="A1620">
        <v>2200570</v>
      </c>
      <c r="B1620">
        <v>2019</v>
      </c>
      <c r="C1620" t="s">
        <v>17</v>
      </c>
      <c r="D1620" t="s">
        <v>232</v>
      </c>
      <c r="E1620" t="s">
        <v>234</v>
      </c>
      <c r="F1620" s="17">
        <v>1122070</v>
      </c>
      <c r="G1620" s="17">
        <v>37658</v>
      </c>
      <c r="H1620" s="17">
        <v>1159728</v>
      </c>
      <c r="I1620">
        <f>VLOOKUP(C1620,LEAIDs!$A$2:$B$305,2,FALSE)</f>
        <v>2200570</v>
      </c>
    </row>
    <row r="1621" spans="1:9" x14ac:dyDescent="0.2">
      <c r="A1621">
        <v>2200570</v>
      </c>
      <c r="B1621">
        <v>2020</v>
      </c>
      <c r="C1621" t="s">
        <v>17</v>
      </c>
      <c r="D1621" t="s">
        <v>232</v>
      </c>
      <c r="E1621" t="s">
        <v>234</v>
      </c>
      <c r="F1621" s="17">
        <v>1080120</v>
      </c>
      <c r="G1621" s="17">
        <v>38116</v>
      </c>
      <c r="H1621" s="17">
        <v>1118236</v>
      </c>
      <c r="I1621">
        <f>VLOOKUP(C1621,LEAIDs!$A$2:$B$305,2,FALSE)</f>
        <v>2200570</v>
      </c>
    </row>
    <row r="1622" spans="1:9" x14ac:dyDescent="0.2">
      <c r="A1622">
        <v>2200570</v>
      </c>
      <c r="B1622" s="2">
        <v>2021</v>
      </c>
      <c r="C1622" s="4" t="s">
        <v>17</v>
      </c>
      <c r="D1622" s="2" t="s">
        <v>232</v>
      </c>
      <c r="E1622" s="2" t="s">
        <v>234</v>
      </c>
      <c r="F1622" s="16">
        <v>1127283</v>
      </c>
      <c r="G1622" s="16">
        <v>39238</v>
      </c>
      <c r="H1622" s="15">
        <v>1166521</v>
      </c>
      <c r="I1622">
        <f>VLOOKUP(C1622,LEAIDs!$A$2:$B$305,2,FALSE)</f>
        <v>2200570</v>
      </c>
    </row>
    <row r="1623" spans="1:9" x14ac:dyDescent="0.2">
      <c r="A1623">
        <v>2200570</v>
      </c>
      <c r="B1623" s="2">
        <v>2022</v>
      </c>
      <c r="C1623" s="4" t="s">
        <v>17</v>
      </c>
      <c r="D1623" s="2" t="s">
        <v>232</v>
      </c>
      <c r="E1623" s="2" t="s">
        <v>234</v>
      </c>
      <c r="F1623" s="16">
        <v>1373782</v>
      </c>
      <c r="G1623" s="16">
        <v>49082</v>
      </c>
      <c r="H1623" s="15">
        <v>1422864</v>
      </c>
      <c r="I1623">
        <f>VLOOKUP(C1623,LEAIDs!$A$2:$B$305,2,FALSE)</f>
        <v>2200570</v>
      </c>
    </row>
    <row r="1624" spans="1:9" x14ac:dyDescent="0.2">
      <c r="A1624">
        <v>2200570</v>
      </c>
      <c r="B1624" s="2">
        <v>2023</v>
      </c>
      <c r="C1624" s="2" t="s">
        <v>17</v>
      </c>
      <c r="D1624" s="2" t="s">
        <v>232</v>
      </c>
      <c r="E1624" s="2" t="s">
        <v>234</v>
      </c>
      <c r="F1624" s="15">
        <v>1319829</v>
      </c>
      <c r="G1624" s="15">
        <v>47054</v>
      </c>
      <c r="H1624" s="15">
        <v>1366883</v>
      </c>
      <c r="I1624">
        <f>VLOOKUP(C1624,LEAIDs!$A$2:$B$305,2,FALSE)</f>
        <v>2200570</v>
      </c>
    </row>
    <row r="1625" spans="1:9" x14ac:dyDescent="0.2">
      <c r="A1625">
        <v>2200600</v>
      </c>
      <c r="B1625">
        <v>2015</v>
      </c>
      <c r="C1625" t="s">
        <v>18</v>
      </c>
      <c r="D1625" t="s">
        <v>232</v>
      </c>
      <c r="E1625" t="s">
        <v>234</v>
      </c>
      <c r="F1625" s="17">
        <v>2117187</v>
      </c>
      <c r="G1625" s="17">
        <v>65084</v>
      </c>
      <c r="H1625" s="17">
        <v>2182271</v>
      </c>
      <c r="I1625">
        <f>VLOOKUP(C1625,LEAIDs!$A$2:$B$305,2,FALSE)</f>
        <v>2200600</v>
      </c>
    </row>
    <row r="1626" spans="1:9" x14ac:dyDescent="0.2">
      <c r="A1626">
        <v>2200600</v>
      </c>
      <c r="B1626">
        <v>2016</v>
      </c>
      <c r="C1626" t="s">
        <v>18</v>
      </c>
      <c r="D1626" t="s">
        <v>232</v>
      </c>
      <c r="E1626" t="s">
        <v>234</v>
      </c>
      <c r="F1626" s="17">
        <v>2151357</v>
      </c>
      <c r="G1626" s="17">
        <v>70962</v>
      </c>
      <c r="H1626" s="17">
        <v>2222319</v>
      </c>
      <c r="I1626">
        <f>VLOOKUP(C1626,LEAIDs!$A$2:$B$305,2,FALSE)</f>
        <v>2200600</v>
      </c>
    </row>
    <row r="1627" spans="1:9" x14ac:dyDescent="0.2">
      <c r="A1627">
        <v>2200600</v>
      </c>
      <c r="B1627">
        <v>2017</v>
      </c>
      <c r="C1627" t="s">
        <v>18</v>
      </c>
      <c r="D1627" t="s">
        <v>232</v>
      </c>
      <c r="E1627" t="s">
        <v>234</v>
      </c>
      <c r="F1627" s="17">
        <v>2013321</v>
      </c>
      <c r="G1627" s="17">
        <v>69539</v>
      </c>
      <c r="H1627" s="17">
        <v>2082860</v>
      </c>
      <c r="I1627">
        <f>VLOOKUP(C1627,LEAIDs!$A$2:$B$305,2,FALSE)</f>
        <v>2200600</v>
      </c>
    </row>
    <row r="1628" spans="1:9" x14ac:dyDescent="0.2">
      <c r="A1628">
        <v>2200600</v>
      </c>
      <c r="B1628">
        <v>2018</v>
      </c>
      <c r="C1628" t="s">
        <v>18</v>
      </c>
      <c r="D1628" t="s">
        <v>232</v>
      </c>
      <c r="E1628" t="s">
        <v>234</v>
      </c>
      <c r="F1628" s="17">
        <v>2407853</v>
      </c>
      <c r="G1628" s="17">
        <v>79239</v>
      </c>
      <c r="H1628" s="17">
        <v>2487092</v>
      </c>
      <c r="I1628">
        <f>VLOOKUP(C1628,LEAIDs!$A$2:$B$305,2,FALSE)</f>
        <v>2200600</v>
      </c>
    </row>
    <row r="1629" spans="1:9" x14ac:dyDescent="0.2">
      <c r="A1629">
        <v>2200600</v>
      </c>
      <c r="B1629">
        <v>2019</v>
      </c>
      <c r="C1629" t="s">
        <v>18</v>
      </c>
      <c r="D1629" t="s">
        <v>232</v>
      </c>
      <c r="E1629" t="s">
        <v>234</v>
      </c>
      <c r="F1629" s="17">
        <v>2309831</v>
      </c>
      <c r="G1629" s="17">
        <v>77522</v>
      </c>
      <c r="H1629" s="17">
        <v>2387353</v>
      </c>
      <c r="I1629">
        <f>VLOOKUP(C1629,LEAIDs!$A$2:$B$305,2,FALSE)</f>
        <v>2200600</v>
      </c>
    </row>
    <row r="1630" spans="1:9" x14ac:dyDescent="0.2">
      <c r="A1630">
        <v>2200600</v>
      </c>
      <c r="B1630">
        <v>2020</v>
      </c>
      <c r="C1630" t="s">
        <v>18</v>
      </c>
      <c r="D1630" t="s">
        <v>232</v>
      </c>
      <c r="E1630" t="s">
        <v>234</v>
      </c>
      <c r="F1630" s="17">
        <v>2326261</v>
      </c>
      <c r="G1630" s="17">
        <v>82090</v>
      </c>
      <c r="H1630" s="17">
        <v>2408351</v>
      </c>
      <c r="I1630">
        <f>VLOOKUP(C1630,LEAIDs!$A$2:$B$305,2,FALSE)</f>
        <v>2200600</v>
      </c>
    </row>
    <row r="1631" spans="1:9" x14ac:dyDescent="0.2">
      <c r="A1631">
        <v>2200600</v>
      </c>
      <c r="B1631" s="2">
        <v>2021</v>
      </c>
      <c r="C1631" s="4" t="s">
        <v>18</v>
      </c>
      <c r="D1631" s="2" t="s">
        <v>232</v>
      </c>
      <c r="E1631" s="2" t="s">
        <v>234</v>
      </c>
      <c r="F1631" s="16">
        <v>2362011</v>
      </c>
      <c r="G1631" s="16">
        <v>82215</v>
      </c>
      <c r="H1631" s="15">
        <v>2444226</v>
      </c>
      <c r="I1631">
        <f>VLOOKUP(C1631,LEAIDs!$A$2:$B$305,2,FALSE)</f>
        <v>2200600</v>
      </c>
    </row>
    <row r="1632" spans="1:9" x14ac:dyDescent="0.2">
      <c r="A1632">
        <v>2200600</v>
      </c>
      <c r="B1632" s="2">
        <v>2022</v>
      </c>
      <c r="C1632" s="4" t="s">
        <v>18</v>
      </c>
      <c r="D1632" s="2" t="s">
        <v>232</v>
      </c>
      <c r="E1632" s="2" t="s">
        <v>234</v>
      </c>
      <c r="F1632" s="16">
        <v>2219832</v>
      </c>
      <c r="G1632" s="16">
        <v>79309</v>
      </c>
      <c r="H1632" s="15">
        <v>2299141</v>
      </c>
      <c r="I1632">
        <f>VLOOKUP(C1632,LEAIDs!$A$2:$B$305,2,FALSE)</f>
        <v>2200600</v>
      </c>
    </row>
    <row r="1633" spans="1:9" x14ac:dyDescent="0.2">
      <c r="A1633">
        <v>2200600</v>
      </c>
      <c r="B1633" s="2">
        <v>2023</v>
      </c>
      <c r="C1633" s="2" t="s">
        <v>18</v>
      </c>
      <c r="D1633" s="2" t="s">
        <v>232</v>
      </c>
      <c r="E1633" s="2" t="s">
        <v>234</v>
      </c>
      <c r="F1633" s="15">
        <v>2300313</v>
      </c>
      <c r="G1633" s="15">
        <v>82010</v>
      </c>
      <c r="H1633" s="15">
        <v>2382323</v>
      </c>
      <c r="I1633">
        <f>VLOOKUP(C1633,LEAIDs!$A$2:$B$305,2,FALSE)</f>
        <v>2200600</v>
      </c>
    </row>
    <row r="1634" spans="1:9" x14ac:dyDescent="0.2">
      <c r="A1634">
        <v>2200630</v>
      </c>
      <c r="B1634">
        <v>2015</v>
      </c>
      <c r="C1634" t="s">
        <v>19</v>
      </c>
      <c r="D1634" t="s">
        <v>232</v>
      </c>
      <c r="E1634" t="s">
        <v>234</v>
      </c>
      <c r="F1634" s="17">
        <v>6798163</v>
      </c>
      <c r="G1634" s="17">
        <v>208979</v>
      </c>
      <c r="H1634" s="17">
        <v>7007142</v>
      </c>
      <c r="I1634">
        <f>VLOOKUP(C1634,LEAIDs!$A$2:$B$305,2,FALSE)</f>
        <v>2200630</v>
      </c>
    </row>
    <row r="1635" spans="1:9" x14ac:dyDescent="0.2">
      <c r="A1635">
        <v>2200630</v>
      </c>
      <c r="B1635">
        <v>2016</v>
      </c>
      <c r="C1635" t="s">
        <v>19</v>
      </c>
      <c r="D1635" t="s">
        <v>232</v>
      </c>
      <c r="E1635" t="s">
        <v>234</v>
      </c>
      <c r="F1635" s="17">
        <v>6420156</v>
      </c>
      <c r="G1635" s="17">
        <v>211769</v>
      </c>
      <c r="H1635" s="17">
        <v>6631925</v>
      </c>
      <c r="I1635">
        <f>VLOOKUP(C1635,LEAIDs!$A$2:$B$305,2,FALSE)</f>
        <v>2200630</v>
      </c>
    </row>
    <row r="1636" spans="1:9" x14ac:dyDescent="0.2">
      <c r="A1636">
        <v>2200630</v>
      </c>
      <c r="B1636">
        <v>2017</v>
      </c>
      <c r="C1636" t="s">
        <v>19</v>
      </c>
      <c r="D1636" t="s">
        <v>232</v>
      </c>
      <c r="E1636" t="s">
        <v>234</v>
      </c>
      <c r="F1636" s="17">
        <v>6067549</v>
      </c>
      <c r="G1636" s="17">
        <v>209570</v>
      </c>
      <c r="H1636" s="17">
        <v>6277119</v>
      </c>
      <c r="I1636">
        <f>VLOOKUP(C1636,LEAIDs!$A$2:$B$305,2,FALSE)</f>
        <v>2200630</v>
      </c>
    </row>
    <row r="1637" spans="1:9" x14ac:dyDescent="0.2">
      <c r="A1637">
        <v>2200630</v>
      </c>
      <c r="B1637">
        <v>2018</v>
      </c>
      <c r="C1637" t="s">
        <v>19</v>
      </c>
      <c r="D1637" t="s">
        <v>232</v>
      </c>
      <c r="E1637" t="s">
        <v>234</v>
      </c>
      <c r="F1637" s="17">
        <v>6471743</v>
      </c>
      <c r="G1637" s="17">
        <v>212975</v>
      </c>
      <c r="H1637" s="17">
        <v>6684718</v>
      </c>
      <c r="I1637">
        <f>VLOOKUP(C1637,LEAIDs!$A$2:$B$305,2,FALSE)</f>
        <v>2200630</v>
      </c>
    </row>
    <row r="1638" spans="1:9" x14ac:dyDescent="0.2">
      <c r="A1638">
        <v>2200630</v>
      </c>
      <c r="B1638">
        <v>2019</v>
      </c>
      <c r="C1638" t="s">
        <v>19</v>
      </c>
      <c r="D1638" t="s">
        <v>232</v>
      </c>
      <c r="E1638" t="s">
        <v>234</v>
      </c>
      <c r="F1638" s="17">
        <v>6424173</v>
      </c>
      <c r="G1638" s="17">
        <v>215605</v>
      </c>
      <c r="H1638" s="17">
        <v>6639778</v>
      </c>
      <c r="I1638">
        <f>VLOOKUP(C1638,LEAIDs!$A$2:$B$305,2,FALSE)</f>
        <v>2200630</v>
      </c>
    </row>
    <row r="1639" spans="1:9" x14ac:dyDescent="0.2">
      <c r="A1639">
        <v>2200630</v>
      </c>
      <c r="B1639">
        <v>2020</v>
      </c>
      <c r="C1639" t="s">
        <v>19</v>
      </c>
      <c r="D1639" t="s">
        <v>232</v>
      </c>
      <c r="E1639" t="s">
        <v>234</v>
      </c>
      <c r="F1639" s="17">
        <v>6510421</v>
      </c>
      <c r="G1639" s="17">
        <v>229743</v>
      </c>
      <c r="H1639" s="17">
        <v>6740164</v>
      </c>
      <c r="I1639">
        <f>VLOOKUP(C1639,LEAIDs!$A$2:$B$305,2,FALSE)</f>
        <v>2200630</v>
      </c>
    </row>
    <row r="1640" spans="1:9" x14ac:dyDescent="0.2">
      <c r="A1640">
        <v>2200630</v>
      </c>
      <c r="B1640" s="2">
        <v>2021</v>
      </c>
      <c r="C1640" s="4" t="s">
        <v>19</v>
      </c>
      <c r="D1640" s="2" t="s">
        <v>232</v>
      </c>
      <c r="E1640" s="2" t="s">
        <v>234</v>
      </c>
      <c r="F1640" s="16">
        <v>6911110</v>
      </c>
      <c r="G1640" s="16">
        <v>240557</v>
      </c>
      <c r="H1640" s="15">
        <v>7151667</v>
      </c>
      <c r="I1640">
        <f>VLOOKUP(C1640,LEAIDs!$A$2:$B$305,2,FALSE)</f>
        <v>2200630</v>
      </c>
    </row>
    <row r="1641" spans="1:9" x14ac:dyDescent="0.2">
      <c r="A1641">
        <v>2200630</v>
      </c>
      <c r="B1641" s="2">
        <v>2022</v>
      </c>
      <c r="C1641" s="4" t="s">
        <v>19</v>
      </c>
      <c r="D1641" s="2" t="s">
        <v>232</v>
      </c>
      <c r="E1641" s="2" t="s">
        <v>234</v>
      </c>
      <c r="F1641" s="16">
        <v>8002716</v>
      </c>
      <c r="G1641" s="16">
        <v>285918</v>
      </c>
      <c r="H1641" s="15">
        <v>8288634</v>
      </c>
      <c r="I1641">
        <f>VLOOKUP(C1641,LEAIDs!$A$2:$B$305,2,FALSE)</f>
        <v>2200630</v>
      </c>
    </row>
    <row r="1642" spans="1:9" x14ac:dyDescent="0.2">
      <c r="A1642">
        <v>2200630</v>
      </c>
      <c r="B1642" s="2">
        <v>2023</v>
      </c>
      <c r="C1642" s="2" t="s">
        <v>19</v>
      </c>
      <c r="D1642" s="2" t="s">
        <v>232</v>
      </c>
      <c r="E1642" s="2" t="s">
        <v>234</v>
      </c>
      <c r="F1642" s="15">
        <v>9023427</v>
      </c>
      <c r="G1642" s="15">
        <v>321700</v>
      </c>
      <c r="H1642" s="15">
        <v>9345127</v>
      </c>
      <c r="I1642">
        <f>VLOOKUP(C1642,LEAIDs!$A$2:$B$305,2,FALSE)</f>
        <v>2200630</v>
      </c>
    </row>
    <row r="1643" spans="1:9" x14ac:dyDescent="0.2">
      <c r="A1643">
        <v>2200660</v>
      </c>
      <c r="B1643">
        <v>2015</v>
      </c>
      <c r="C1643" t="s">
        <v>20</v>
      </c>
      <c r="D1643" t="s">
        <v>232</v>
      </c>
      <c r="E1643" t="s">
        <v>234</v>
      </c>
      <c r="F1643" s="17">
        <v>3784142</v>
      </c>
      <c r="G1643" s="17">
        <v>116327</v>
      </c>
      <c r="H1643" s="17">
        <v>3900469</v>
      </c>
      <c r="I1643">
        <f>VLOOKUP(C1643,LEAIDs!$A$2:$B$305,2,FALSE)</f>
        <v>2200660</v>
      </c>
    </row>
    <row r="1644" spans="1:9" x14ac:dyDescent="0.2">
      <c r="A1644">
        <v>2200660</v>
      </c>
      <c r="B1644">
        <v>2016</v>
      </c>
      <c r="C1644" t="s">
        <v>20</v>
      </c>
      <c r="D1644" t="s">
        <v>232</v>
      </c>
      <c r="E1644" t="s">
        <v>234</v>
      </c>
      <c r="F1644" s="17">
        <v>3465146</v>
      </c>
      <c r="G1644" s="17">
        <v>114298</v>
      </c>
      <c r="H1644" s="17">
        <v>3579444</v>
      </c>
      <c r="I1644">
        <f>VLOOKUP(C1644,LEAIDs!$A$2:$B$305,2,FALSE)</f>
        <v>2200660</v>
      </c>
    </row>
    <row r="1645" spans="1:9" x14ac:dyDescent="0.2">
      <c r="A1645">
        <v>2200660</v>
      </c>
      <c r="B1645">
        <v>2017</v>
      </c>
      <c r="C1645" t="s">
        <v>20</v>
      </c>
      <c r="D1645" t="s">
        <v>232</v>
      </c>
      <c r="E1645" t="s">
        <v>234</v>
      </c>
      <c r="F1645" s="17">
        <v>3445156</v>
      </c>
      <c r="G1645" s="17">
        <v>118994</v>
      </c>
      <c r="H1645" s="17">
        <v>3564150</v>
      </c>
      <c r="I1645">
        <f>VLOOKUP(C1645,LEAIDs!$A$2:$B$305,2,FALSE)</f>
        <v>2200660</v>
      </c>
    </row>
    <row r="1646" spans="1:9" x14ac:dyDescent="0.2">
      <c r="A1646">
        <v>2200660</v>
      </c>
      <c r="B1646">
        <v>2018</v>
      </c>
      <c r="C1646" t="s">
        <v>20</v>
      </c>
      <c r="D1646" t="s">
        <v>232</v>
      </c>
      <c r="E1646" t="s">
        <v>234</v>
      </c>
      <c r="F1646" s="17">
        <v>3760188</v>
      </c>
      <c r="G1646" s="17">
        <v>123742</v>
      </c>
      <c r="H1646" s="17">
        <v>3883930</v>
      </c>
      <c r="I1646">
        <f>VLOOKUP(C1646,LEAIDs!$A$2:$B$305,2,FALSE)</f>
        <v>2200660</v>
      </c>
    </row>
    <row r="1647" spans="1:9" x14ac:dyDescent="0.2">
      <c r="A1647">
        <v>2200660</v>
      </c>
      <c r="B1647">
        <v>2019</v>
      </c>
      <c r="C1647" t="s">
        <v>20</v>
      </c>
      <c r="D1647" t="s">
        <v>232</v>
      </c>
      <c r="E1647" t="s">
        <v>234</v>
      </c>
      <c r="F1647" s="17">
        <v>3595853</v>
      </c>
      <c r="G1647" s="17">
        <v>120683</v>
      </c>
      <c r="H1647" s="17">
        <v>3716536</v>
      </c>
      <c r="I1647">
        <f>VLOOKUP(C1647,LEAIDs!$A$2:$B$305,2,FALSE)</f>
        <v>2200660</v>
      </c>
    </row>
    <row r="1648" spans="1:9" x14ac:dyDescent="0.2">
      <c r="A1648">
        <v>2200660</v>
      </c>
      <c r="B1648">
        <v>2020</v>
      </c>
      <c r="C1648" t="s">
        <v>20</v>
      </c>
      <c r="D1648" t="s">
        <v>232</v>
      </c>
      <c r="E1648" t="s">
        <v>234</v>
      </c>
      <c r="F1648" s="17">
        <v>3655124</v>
      </c>
      <c r="G1648" s="17">
        <v>128984</v>
      </c>
      <c r="H1648" s="17">
        <v>3784108</v>
      </c>
      <c r="I1648">
        <f>VLOOKUP(C1648,LEAIDs!$A$2:$B$305,2,FALSE)</f>
        <v>2200660</v>
      </c>
    </row>
    <row r="1649" spans="1:9" x14ac:dyDescent="0.2">
      <c r="A1649">
        <v>2200660</v>
      </c>
      <c r="B1649" s="2">
        <v>2021</v>
      </c>
      <c r="C1649" s="4" t="s">
        <v>20</v>
      </c>
      <c r="D1649" s="2" t="s">
        <v>232</v>
      </c>
      <c r="E1649" s="2" t="s">
        <v>234</v>
      </c>
      <c r="F1649" s="16">
        <v>3999683</v>
      </c>
      <c r="G1649" s="16">
        <v>139218</v>
      </c>
      <c r="H1649" s="15">
        <v>4138901</v>
      </c>
      <c r="I1649">
        <f>VLOOKUP(C1649,LEAIDs!$A$2:$B$305,2,FALSE)</f>
        <v>2200660</v>
      </c>
    </row>
    <row r="1650" spans="1:9" x14ac:dyDescent="0.2">
      <c r="A1650">
        <v>2200660</v>
      </c>
      <c r="B1650" s="2">
        <v>2022</v>
      </c>
      <c r="C1650" s="4" t="s">
        <v>20</v>
      </c>
      <c r="D1650" s="2" t="s">
        <v>232</v>
      </c>
      <c r="E1650" s="2" t="s">
        <v>234</v>
      </c>
      <c r="F1650" s="16">
        <v>4483902</v>
      </c>
      <c r="G1650" s="16">
        <v>160199</v>
      </c>
      <c r="H1650" s="15">
        <v>4644101</v>
      </c>
      <c r="I1650">
        <f>VLOOKUP(C1650,LEAIDs!$A$2:$B$305,2,FALSE)</f>
        <v>2200660</v>
      </c>
    </row>
    <row r="1651" spans="1:9" x14ac:dyDescent="0.2">
      <c r="A1651">
        <v>2200660</v>
      </c>
      <c r="B1651" s="2">
        <v>2023</v>
      </c>
      <c r="C1651" s="2" t="s">
        <v>20</v>
      </c>
      <c r="D1651" s="2" t="s">
        <v>232</v>
      </c>
      <c r="E1651" s="2" t="s">
        <v>234</v>
      </c>
      <c r="F1651" s="15">
        <v>4585921</v>
      </c>
      <c r="G1651" s="15">
        <v>163496</v>
      </c>
      <c r="H1651" s="15">
        <v>4749417</v>
      </c>
      <c r="I1651">
        <f>VLOOKUP(C1651,LEAIDs!$A$2:$B$305,2,FALSE)</f>
        <v>2200660</v>
      </c>
    </row>
    <row r="1652" spans="1:9" x14ac:dyDescent="0.2">
      <c r="A1652">
        <v>2200690</v>
      </c>
      <c r="B1652">
        <v>2015</v>
      </c>
      <c r="C1652" t="s">
        <v>21</v>
      </c>
      <c r="D1652" t="s">
        <v>232</v>
      </c>
      <c r="E1652" t="s">
        <v>234</v>
      </c>
      <c r="F1652" s="17">
        <v>3502092</v>
      </c>
      <c r="G1652" s="17">
        <v>107656</v>
      </c>
      <c r="H1652" s="17">
        <v>3609748</v>
      </c>
      <c r="I1652">
        <f>VLOOKUP(C1652,LEAIDs!$A$2:$B$305,2,FALSE)</f>
        <v>2200690</v>
      </c>
    </row>
    <row r="1653" spans="1:9" x14ac:dyDescent="0.2">
      <c r="A1653">
        <v>2200690</v>
      </c>
      <c r="B1653">
        <v>2016</v>
      </c>
      <c r="C1653" t="s">
        <v>21</v>
      </c>
      <c r="D1653" t="s">
        <v>232</v>
      </c>
      <c r="E1653" t="s">
        <v>234</v>
      </c>
      <c r="F1653" s="17">
        <v>3066307</v>
      </c>
      <c r="G1653" s="17">
        <v>101142</v>
      </c>
      <c r="H1653" s="17">
        <v>3167449</v>
      </c>
      <c r="I1653">
        <f>VLOOKUP(C1653,LEAIDs!$A$2:$B$305,2,FALSE)</f>
        <v>2200690</v>
      </c>
    </row>
    <row r="1654" spans="1:9" x14ac:dyDescent="0.2">
      <c r="A1654">
        <v>2200690</v>
      </c>
      <c r="B1654">
        <v>2017</v>
      </c>
      <c r="C1654" t="s">
        <v>21</v>
      </c>
      <c r="D1654" t="s">
        <v>232</v>
      </c>
      <c r="E1654" t="s">
        <v>234</v>
      </c>
      <c r="F1654" s="17">
        <v>2933746</v>
      </c>
      <c r="G1654" s="17">
        <v>101330</v>
      </c>
      <c r="H1654" s="17">
        <v>3035076</v>
      </c>
      <c r="I1654">
        <f>VLOOKUP(C1654,LEAIDs!$A$2:$B$305,2,FALSE)</f>
        <v>2200690</v>
      </c>
    </row>
    <row r="1655" spans="1:9" x14ac:dyDescent="0.2">
      <c r="A1655">
        <v>2200690</v>
      </c>
      <c r="B1655">
        <v>2018</v>
      </c>
      <c r="C1655" t="s">
        <v>21</v>
      </c>
      <c r="D1655" t="s">
        <v>232</v>
      </c>
      <c r="E1655" t="s">
        <v>234</v>
      </c>
      <c r="F1655" s="17">
        <v>3349306</v>
      </c>
      <c r="G1655" s="17">
        <v>110220</v>
      </c>
      <c r="H1655" s="17">
        <v>3459526</v>
      </c>
      <c r="I1655">
        <f>VLOOKUP(C1655,LEAIDs!$A$2:$B$305,2,FALSE)</f>
        <v>2200690</v>
      </c>
    </row>
    <row r="1656" spans="1:9" x14ac:dyDescent="0.2">
      <c r="A1656">
        <v>2200690</v>
      </c>
      <c r="B1656">
        <v>2019</v>
      </c>
      <c r="C1656" t="s">
        <v>21</v>
      </c>
      <c r="D1656" t="s">
        <v>232</v>
      </c>
      <c r="E1656" t="s">
        <v>234</v>
      </c>
      <c r="F1656" s="17">
        <v>3281447</v>
      </c>
      <c r="G1656" s="17">
        <v>110131</v>
      </c>
      <c r="H1656" s="17">
        <v>3391578</v>
      </c>
      <c r="I1656">
        <f>VLOOKUP(C1656,LEAIDs!$A$2:$B$305,2,FALSE)</f>
        <v>2200690</v>
      </c>
    </row>
    <row r="1657" spans="1:9" x14ac:dyDescent="0.2">
      <c r="A1657">
        <v>2200690</v>
      </c>
      <c r="B1657">
        <v>2020</v>
      </c>
      <c r="C1657" t="s">
        <v>21</v>
      </c>
      <c r="D1657" t="s">
        <v>232</v>
      </c>
      <c r="E1657" t="s">
        <v>234</v>
      </c>
      <c r="F1657" s="17">
        <v>3358911</v>
      </c>
      <c r="G1657" s="17">
        <v>118531</v>
      </c>
      <c r="H1657" s="17">
        <v>3477442</v>
      </c>
      <c r="I1657">
        <f>VLOOKUP(C1657,LEAIDs!$A$2:$B$305,2,FALSE)</f>
        <v>2200690</v>
      </c>
    </row>
    <row r="1658" spans="1:9" x14ac:dyDescent="0.2">
      <c r="A1658">
        <v>2200690</v>
      </c>
      <c r="B1658" s="2">
        <v>2021</v>
      </c>
      <c r="C1658" s="4" t="s">
        <v>21</v>
      </c>
      <c r="D1658" s="2" t="s">
        <v>232</v>
      </c>
      <c r="E1658" s="2" t="s">
        <v>234</v>
      </c>
      <c r="F1658" s="16">
        <v>3425015</v>
      </c>
      <c r="G1658" s="16">
        <v>119216</v>
      </c>
      <c r="H1658" s="15">
        <v>3544231</v>
      </c>
      <c r="I1658">
        <f>VLOOKUP(C1658,LEAIDs!$A$2:$B$305,2,FALSE)</f>
        <v>2200690</v>
      </c>
    </row>
    <row r="1659" spans="1:9" x14ac:dyDescent="0.2">
      <c r="A1659">
        <v>2200690</v>
      </c>
      <c r="B1659" s="2">
        <v>2022</v>
      </c>
      <c r="C1659" s="4" t="s">
        <v>21</v>
      </c>
      <c r="D1659" s="2" t="s">
        <v>232</v>
      </c>
      <c r="E1659" s="2" t="s">
        <v>234</v>
      </c>
      <c r="F1659" s="16">
        <v>3425895</v>
      </c>
      <c r="G1659" s="16">
        <v>122399</v>
      </c>
      <c r="H1659" s="15">
        <v>3548294</v>
      </c>
      <c r="I1659">
        <f>VLOOKUP(C1659,LEAIDs!$A$2:$B$305,2,FALSE)</f>
        <v>2200690</v>
      </c>
    </row>
    <row r="1660" spans="1:9" x14ac:dyDescent="0.2">
      <c r="A1660">
        <v>2200690</v>
      </c>
      <c r="B1660" s="2">
        <v>2023</v>
      </c>
      <c r="C1660" s="2" t="s">
        <v>21</v>
      </c>
      <c r="D1660" s="2" t="s">
        <v>232</v>
      </c>
      <c r="E1660" s="2" t="s">
        <v>234</v>
      </c>
      <c r="F1660" s="15">
        <v>3349425</v>
      </c>
      <c r="G1660" s="15">
        <v>119413</v>
      </c>
      <c r="H1660" s="15">
        <v>3468838</v>
      </c>
      <c r="I1660">
        <f>VLOOKUP(C1660,LEAIDs!$A$2:$B$305,2,FALSE)</f>
        <v>2200690</v>
      </c>
    </row>
    <row r="1661" spans="1:9" x14ac:dyDescent="0.2">
      <c r="A1661">
        <v>2200720</v>
      </c>
      <c r="B1661">
        <v>2015</v>
      </c>
      <c r="C1661" t="s">
        <v>22</v>
      </c>
      <c r="D1661" t="s">
        <v>232</v>
      </c>
      <c r="E1661" t="s">
        <v>234</v>
      </c>
      <c r="F1661" s="17">
        <v>17495471</v>
      </c>
      <c r="G1661" s="17">
        <v>537821</v>
      </c>
      <c r="H1661" s="17">
        <v>18033292</v>
      </c>
      <c r="I1661">
        <f>VLOOKUP(C1661,LEAIDs!$A$2:$B$305,2,FALSE)</f>
        <v>2200720</v>
      </c>
    </row>
    <row r="1662" spans="1:9" x14ac:dyDescent="0.2">
      <c r="A1662">
        <v>2200720</v>
      </c>
      <c r="B1662">
        <v>2016</v>
      </c>
      <c r="C1662" t="s">
        <v>22</v>
      </c>
      <c r="D1662" t="s">
        <v>232</v>
      </c>
      <c r="E1662" t="s">
        <v>234</v>
      </c>
      <c r="F1662" s="17">
        <v>16663112</v>
      </c>
      <c r="G1662" s="17">
        <v>549632</v>
      </c>
      <c r="H1662" s="17">
        <v>17212744</v>
      </c>
      <c r="I1662">
        <f>VLOOKUP(C1662,LEAIDs!$A$2:$B$305,2,FALSE)</f>
        <v>2200720</v>
      </c>
    </row>
    <row r="1663" spans="1:9" x14ac:dyDescent="0.2">
      <c r="A1663">
        <v>2200720</v>
      </c>
      <c r="B1663">
        <v>2017</v>
      </c>
      <c r="C1663" t="s">
        <v>22</v>
      </c>
      <c r="D1663" t="s">
        <v>232</v>
      </c>
      <c r="E1663" t="s">
        <v>234</v>
      </c>
      <c r="F1663" s="17">
        <v>15731346</v>
      </c>
      <c r="G1663" s="17">
        <v>543354</v>
      </c>
      <c r="H1663" s="17">
        <v>16274700</v>
      </c>
      <c r="I1663">
        <f>VLOOKUP(C1663,LEAIDs!$A$2:$B$305,2,FALSE)</f>
        <v>2200720</v>
      </c>
    </row>
    <row r="1664" spans="1:9" x14ac:dyDescent="0.2">
      <c r="A1664">
        <v>2200720</v>
      </c>
      <c r="B1664">
        <v>2018</v>
      </c>
      <c r="C1664" t="s">
        <v>22</v>
      </c>
      <c r="D1664" t="s">
        <v>232</v>
      </c>
      <c r="E1664" t="s">
        <v>234</v>
      </c>
      <c r="F1664" s="17">
        <v>16853818</v>
      </c>
      <c r="G1664" s="17">
        <v>554633</v>
      </c>
      <c r="H1664" s="17">
        <v>17408451</v>
      </c>
      <c r="I1664">
        <f>VLOOKUP(C1664,LEAIDs!$A$2:$B$305,2,FALSE)</f>
        <v>2200720</v>
      </c>
    </row>
    <row r="1665" spans="1:9" x14ac:dyDescent="0.2">
      <c r="A1665">
        <v>2200720</v>
      </c>
      <c r="B1665">
        <v>2019</v>
      </c>
      <c r="C1665" t="s">
        <v>22</v>
      </c>
      <c r="D1665" t="s">
        <v>232</v>
      </c>
      <c r="E1665" t="s">
        <v>234</v>
      </c>
      <c r="F1665" s="17">
        <v>16437224</v>
      </c>
      <c r="G1665" s="17">
        <v>551659</v>
      </c>
      <c r="H1665" s="17">
        <v>16988883</v>
      </c>
      <c r="I1665">
        <f>VLOOKUP(C1665,LEAIDs!$A$2:$B$305,2,FALSE)</f>
        <v>2200720</v>
      </c>
    </row>
    <row r="1666" spans="1:9" x14ac:dyDescent="0.2">
      <c r="A1666">
        <v>2200720</v>
      </c>
      <c r="B1666">
        <v>2020</v>
      </c>
      <c r="C1666" t="s">
        <v>22</v>
      </c>
      <c r="D1666" t="s">
        <v>232</v>
      </c>
      <c r="E1666" t="s">
        <v>234</v>
      </c>
      <c r="F1666" s="17">
        <v>15631663</v>
      </c>
      <c r="G1666" s="17">
        <v>551617</v>
      </c>
      <c r="H1666" s="17">
        <v>16183280</v>
      </c>
      <c r="I1666">
        <f>VLOOKUP(C1666,LEAIDs!$A$2:$B$305,2,FALSE)</f>
        <v>2200720</v>
      </c>
    </row>
    <row r="1667" spans="1:9" x14ac:dyDescent="0.2">
      <c r="A1667">
        <v>2200720</v>
      </c>
      <c r="B1667" s="2">
        <v>2021</v>
      </c>
      <c r="C1667" s="4" t="s">
        <v>22</v>
      </c>
      <c r="D1667" s="2" t="s">
        <v>232</v>
      </c>
      <c r="E1667" s="2" t="s">
        <v>234</v>
      </c>
      <c r="F1667" s="16">
        <v>15815516</v>
      </c>
      <c r="G1667" s="16">
        <v>550496</v>
      </c>
      <c r="H1667" s="15">
        <v>16366012</v>
      </c>
      <c r="I1667">
        <f>VLOOKUP(C1667,LEAIDs!$A$2:$B$305,2,FALSE)</f>
        <v>2200720</v>
      </c>
    </row>
    <row r="1668" spans="1:9" x14ac:dyDescent="0.2">
      <c r="A1668">
        <v>2200720</v>
      </c>
      <c r="B1668" s="2">
        <v>2022</v>
      </c>
      <c r="C1668" s="4" t="s">
        <v>22</v>
      </c>
      <c r="D1668" s="2" t="s">
        <v>232</v>
      </c>
      <c r="E1668" s="2" t="s">
        <v>234</v>
      </c>
      <c r="F1668" s="16">
        <v>15501313</v>
      </c>
      <c r="G1668" s="16">
        <v>553825</v>
      </c>
      <c r="H1668" s="15">
        <v>16055138</v>
      </c>
      <c r="I1668">
        <f>VLOOKUP(C1668,LEAIDs!$A$2:$B$305,2,FALSE)</f>
        <v>2200720</v>
      </c>
    </row>
    <row r="1669" spans="1:9" x14ac:dyDescent="0.2">
      <c r="A1669">
        <v>2200720</v>
      </c>
      <c r="B1669" s="2">
        <v>2023</v>
      </c>
      <c r="C1669" s="2" t="s">
        <v>22</v>
      </c>
      <c r="D1669" s="2" t="s">
        <v>232</v>
      </c>
      <c r="E1669" s="2" t="s">
        <v>234</v>
      </c>
      <c r="F1669" s="15">
        <v>15990341</v>
      </c>
      <c r="G1669" s="15">
        <v>570082</v>
      </c>
      <c r="H1669" s="15">
        <v>16560423</v>
      </c>
      <c r="I1669">
        <f>VLOOKUP(C1669,LEAIDs!$A$2:$B$305,2,FALSE)</f>
        <v>2200720</v>
      </c>
    </row>
    <row r="1670" spans="1:9" x14ac:dyDescent="0.2">
      <c r="A1670">
        <v>2200780</v>
      </c>
      <c r="B1670">
        <v>2015</v>
      </c>
      <c r="C1670" t="s">
        <v>24</v>
      </c>
      <c r="D1670" t="s">
        <v>232</v>
      </c>
      <c r="E1670" t="s">
        <v>234</v>
      </c>
      <c r="F1670" s="17">
        <v>3084184</v>
      </c>
      <c r="G1670" s="17">
        <v>94810</v>
      </c>
      <c r="H1670" s="17">
        <v>3178994</v>
      </c>
      <c r="I1670">
        <f>VLOOKUP(C1670,LEAIDs!$A$2:$B$305,2,FALSE)</f>
        <v>2200780</v>
      </c>
    </row>
    <row r="1671" spans="1:9" x14ac:dyDescent="0.2">
      <c r="A1671">
        <v>2200780</v>
      </c>
      <c r="B1671">
        <v>2016</v>
      </c>
      <c r="C1671" t="s">
        <v>24</v>
      </c>
      <c r="D1671" t="s">
        <v>232</v>
      </c>
      <c r="E1671" t="s">
        <v>234</v>
      </c>
      <c r="F1671" s="17">
        <v>2810828</v>
      </c>
      <c r="G1671" s="17">
        <v>92715</v>
      </c>
      <c r="H1671" s="17">
        <v>2903543</v>
      </c>
      <c r="I1671">
        <f>VLOOKUP(C1671,LEAIDs!$A$2:$B$305,2,FALSE)</f>
        <v>2200780</v>
      </c>
    </row>
    <row r="1672" spans="1:9" x14ac:dyDescent="0.2">
      <c r="A1672">
        <v>2200780</v>
      </c>
      <c r="B1672">
        <v>2017</v>
      </c>
      <c r="C1672" t="s">
        <v>24</v>
      </c>
      <c r="D1672" t="s">
        <v>232</v>
      </c>
      <c r="E1672" t="s">
        <v>234</v>
      </c>
      <c r="F1672" s="17">
        <v>2820160</v>
      </c>
      <c r="G1672" s="17">
        <v>97407</v>
      </c>
      <c r="H1672" s="17">
        <v>2917567</v>
      </c>
      <c r="I1672">
        <f>VLOOKUP(C1672,LEAIDs!$A$2:$B$305,2,FALSE)</f>
        <v>2200780</v>
      </c>
    </row>
    <row r="1673" spans="1:9" x14ac:dyDescent="0.2">
      <c r="A1673">
        <v>2200780</v>
      </c>
      <c r="B1673">
        <v>2018</v>
      </c>
      <c r="C1673" t="s">
        <v>24</v>
      </c>
      <c r="D1673" t="s">
        <v>232</v>
      </c>
      <c r="E1673" t="s">
        <v>234</v>
      </c>
      <c r="F1673" s="17">
        <v>2931178</v>
      </c>
      <c r="G1673" s="17">
        <v>96460</v>
      </c>
      <c r="H1673" s="17">
        <v>3027638</v>
      </c>
      <c r="I1673">
        <f>VLOOKUP(C1673,LEAIDs!$A$2:$B$305,2,FALSE)</f>
        <v>2200780</v>
      </c>
    </row>
    <row r="1674" spans="1:9" x14ac:dyDescent="0.2">
      <c r="A1674">
        <v>2200780</v>
      </c>
      <c r="B1674">
        <v>2019</v>
      </c>
      <c r="C1674" t="s">
        <v>24</v>
      </c>
      <c r="D1674" t="s">
        <v>232</v>
      </c>
      <c r="E1674" t="s">
        <v>234</v>
      </c>
      <c r="F1674" s="17">
        <v>2843084</v>
      </c>
      <c r="G1674" s="17">
        <v>95418</v>
      </c>
      <c r="H1674" s="17">
        <v>2938502</v>
      </c>
      <c r="I1674">
        <f>VLOOKUP(C1674,LEAIDs!$A$2:$B$305,2,FALSE)</f>
        <v>2200780</v>
      </c>
    </row>
    <row r="1675" spans="1:9" x14ac:dyDescent="0.2">
      <c r="A1675">
        <v>2200780</v>
      </c>
      <c r="B1675">
        <v>2020</v>
      </c>
      <c r="C1675" t="s">
        <v>24</v>
      </c>
      <c r="D1675" t="s">
        <v>232</v>
      </c>
      <c r="E1675" t="s">
        <v>234</v>
      </c>
      <c r="F1675" s="17">
        <v>2861276</v>
      </c>
      <c r="G1675" s="17">
        <v>100970</v>
      </c>
      <c r="H1675" s="17">
        <v>2962246</v>
      </c>
      <c r="I1675">
        <f>VLOOKUP(C1675,LEAIDs!$A$2:$B$305,2,FALSE)</f>
        <v>2200780</v>
      </c>
    </row>
    <row r="1676" spans="1:9" x14ac:dyDescent="0.2">
      <c r="A1676">
        <v>2200780</v>
      </c>
      <c r="B1676" s="2">
        <v>2021</v>
      </c>
      <c r="C1676" s="4" t="s">
        <v>24</v>
      </c>
      <c r="D1676" s="2" t="s">
        <v>232</v>
      </c>
      <c r="E1676" s="2" t="s">
        <v>234</v>
      </c>
      <c r="F1676" s="16">
        <v>3155910</v>
      </c>
      <c r="G1676" s="16">
        <v>109849</v>
      </c>
      <c r="H1676" s="15">
        <v>3265759</v>
      </c>
      <c r="I1676">
        <f>VLOOKUP(C1676,LEAIDs!$A$2:$B$305,2,FALSE)</f>
        <v>2200780</v>
      </c>
    </row>
    <row r="1677" spans="1:9" x14ac:dyDescent="0.2">
      <c r="A1677">
        <v>2200780</v>
      </c>
      <c r="B1677" s="2">
        <v>2022</v>
      </c>
      <c r="C1677" s="4" t="s">
        <v>24</v>
      </c>
      <c r="D1677" s="2" t="s">
        <v>232</v>
      </c>
      <c r="E1677" s="2" t="s">
        <v>234</v>
      </c>
      <c r="F1677" s="16">
        <v>3682835</v>
      </c>
      <c r="G1677" s="16">
        <v>131579</v>
      </c>
      <c r="H1677" s="15">
        <v>3814414</v>
      </c>
      <c r="I1677">
        <f>VLOOKUP(C1677,LEAIDs!$A$2:$B$305,2,FALSE)</f>
        <v>2200780</v>
      </c>
    </row>
    <row r="1678" spans="1:9" x14ac:dyDescent="0.2">
      <c r="A1678">
        <v>2200780</v>
      </c>
      <c r="B1678" s="2">
        <v>2023</v>
      </c>
      <c r="C1678" s="2" t="s">
        <v>24</v>
      </c>
      <c r="D1678" s="2" t="s">
        <v>232</v>
      </c>
      <c r="E1678" s="2" t="s">
        <v>234</v>
      </c>
      <c r="F1678" s="15">
        <v>3668375</v>
      </c>
      <c r="G1678" s="15">
        <v>130784</v>
      </c>
      <c r="H1678" s="15">
        <v>3799159</v>
      </c>
      <c r="I1678">
        <f>VLOOKUP(C1678,LEAIDs!$A$2:$B$305,2,FALSE)</f>
        <v>2200780</v>
      </c>
    </row>
    <row r="1679" spans="1:9" x14ac:dyDescent="0.2">
      <c r="A1679">
        <v>2200810</v>
      </c>
      <c r="B1679">
        <v>2015</v>
      </c>
      <c r="C1679" t="s">
        <v>26</v>
      </c>
      <c r="D1679" t="s">
        <v>232</v>
      </c>
      <c r="E1679" t="s">
        <v>234</v>
      </c>
      <c r="F1679" s="17">
        <v>8016628</v>
      </c>
      <c r="G1679" s="17">
        <v>246436</v>
      </c>
      <c r="H1679" s="17">
        <v>8263064</v>
      </c>
      <c r="I1679">
        <f>VLOOKUP(C1679,LEAIDs!$A$2:$B$305,2,FALSE)</f>
        <v>2200810</v>
      </c>
    </row>
    <row r="1680" spans="1:9" x14ac:dyDescent="0.2">
      <c r="A1680">
        <v>2200810</v>
      </c>
      <c r="B1680">
        <v>2016</v>
      </c>
      <c r="C1680" t="s">
        <v>26</v>
      </c>
      <c r="D1680" t="s">
        <v>232</v>
      </c>
      <c r="E1680" t="s">
        <v>234</v>
      </c>
      <c r="F1680" s="17">
        <v>7123987</v>
      </c>
      <c r="G1680" s="17">
        <v>234984</v>
      </c>
      <c r="H1680" s="17">
        <v>7358971</v>
      </c>
      <c r="I1680">
        <f>VLOOKUP(C1680,LEAIDs!$A$2:$B$305,2,FALSE)</f>
        <v>2200810</v>
      </c>
    </row>
    <row r="1681" spans="1:9" x14ac:dyDescent="0.2">
      <c r="A1681">
        <v>2200810</v>
      </c>
      <c r="B1681">
        <v>2017</v>
      </c>
      <c r="C1681" t="s">
        <v>26</v>
      </c>
      <c r="D1681" t="s">
        <v>232</v>
      </c>
      <c r="E1681" t="s">
        <v>234</v>
      </c>
      <c r="F1681" s="17">
        <v>6756515</v>
      </c>
      <c r="G1681" s="17">
        <v>233367</v>
      </c>
      <c r="H1681" s="17">
        <v>6989882</v>
      </c>
      <c r="I1681">
        <f>VLOOKUP(C1681,LEAIDs!$A$2:$B$305,2,FALSE)</f>
        <v>2200810</v>
      </c>
    </row>
    <row r="1682" spans="1:9" x14ac:dyDescent="0.2">
      <c r="A1682">
        <v>2200810</v>
      </c>
      <c r="B1682">
        <v>2018</v>
      </c>
      <c r="C1682" t="s">
        <v>26</v>
      </c>
      <c r="D1682" t="s">
        <v>232</v>
      </c>
      <c r="E1682" t="s">
        <v>234</v>
      </c>
      <c r="F1682" s="17">
        <v>6841654</v>
      </c>
      <c r="G1682" s="17">
        <v>225148</v>
      </c>
      <c r="H1682" s="17">
        <v>7066802</v>
      </c>
      <c r="I1682">
        <f>VLOOKUP(C1682,LEAIDs!$A$2:$B$305,2,FALSE)</f>
        <v>2200810</v>
      </c>
    </row>
    <row r="1683" spans="1:9" x14ac:dyDescent="0.2">
      <c r="A1683">
        <v>2200810</v>
      </c>
      <c r="B1683">
        <v>2019</v>
      </c>
      <c r="C1683" t="s">
        <v>26</v>
      </c>
      <c r="D1683" t="s">
        <v>232</v>
      </c>
      <c r="E1683" t="s">
        <v>234</v>
      </c>
      <c r="F1683" s="17">
        <v>7147961</v>
      </c>
      <c r="G1683" s="17">
        <v>239897</v>
      </c>
      <c r="H1683" s="17">
        <v>7387858</v>
      </c>
      <c r="I1683">
        <f>VLOOKUP(C1683,LEAIDs!$A$2:$B$305,2,FALSE)</f>
        <v>2200810</v>
      </c>
    </row>
    <row r="1684" spans="1:9" x14ac:dyDescent="0.2">
      <c r="A1684">
        <v>2200810</v>
      </c>
      <c r="B1684">
        <v>2020</v>
      </c>
      <c r="C1684" t="s">
        <v>26</v>
      </c>
      <c r="D1684" t="s">
        <v>232</v>
      </c>
      <c r="E1684" t="s">
        <v>234</v>
      </c>
      <c r="F1684" s="17">
        <v>7074955</v>
      </c>
      <c r="G1684" s="17">
        <v>249664</v>
      </c>
      <c r="H1684" s="17">
        <v>7324619</v>
      </c>
      <c r="I1684">
        <f>VLOOKUP(C1684,LEAIDs!$A$2:$B$305,2,FALSE)</f>
        <v>2200810</v>
      </c>
    </row>
    <row r="1685" spans="1:9" x14ac:dyDescent="0.2">
      <c r="A1685">
        <v>2200810</v>
      </c>
      <c r="B1685" s="2">
        <v>2021</v>
      </c>
      <c r="C1685" s="4" t="s">
        <v>26</v>
      </c>
      <c r="D1685" s="2" t="s">
        <v>232</v>
      </c>
      <c r="E1685" s="2" t="s">
        <v>234</v>
      </c>
      <c r="F1685" s="16">
        <v>7212819</v>
      </c>
      <c r="G1685" s="16">
        <v>251059</v>
      </c>
      <c r="H1685" s="15">
        <v>7463878</v>
      </c>
      <c r="I1685">
        <f>VLOOKUP(C1685,LEAIDs!$A$2:$B$305,2,FALSE)</f>
        <v>2200810</v>
      </c>
    </row>
    <row r="1686" spans="1:9" x14ac:dyDescent="0.2">
      <c r="A1686">
        <v>2200810</v>
      </c>
      <c r="B1686" s="2">
        <v>2022</v>
      </c>
      <c r="C1686" s="4" t="s">
        <v>26</v>
      </c>
      <c r="D1686" s="2" t="s">
        <v>232</v>
      </c>
      <c r="E1686" s="2" t="s">
        <v>234</v>
      </c>
      <c r="F1686" s="16">
        <v>7859787</v>
      </c>
      <c r="G1686" s="16">
        <v>280811</v>
      </c>
      <c r="H1686" s="15">
        <v>8140598</v>
      </c>
      <c r="I1686">
        <f>VLOOKUP(C1686,LEAIDs!$A$2:$B$305,2,FALSE)</f>
        <v>2200810</v>
      </c>
    </row>
    <row r="1687" spans="1:9" x14ac:dyDescent="0.2">
      <c r="A1687">
        <v>2200810</v>
      </c>
      <c r="B1687" s="2">
        <v>2023</v>
      </c>
      <c r="C1687" s="2" t="s">
        <v>26</v>
      </c>
      <c r="D1687" s="2" t="s">
        <v>232</v>
      </c>
      <c r="E1687" s="2" t="s">
        <v>234</v>
      </c>
      <c r="F1687" s="15">
        <v>7917910</v>
      </c>
      <c r="G1687" s="15">
        <v>282286</v>
      </c>
      <c r="H1687" s="15">
        <v>8200196</v>
      </c>
      <c r="I1687">
        <f>VLOOKUP(C1687,LEAIDs!$A$2:$B$305,2,FALSE)</f>
        <v>2200810</v>
      </c>
    </row>
    <row r="1688" spans="1:9" x14ac:dyDescent="0.2">
      <c r="A1688">
        <v>2200840</v>
      </c>
      <c r="B1688">
        <v>2015</v>
      </c>
      <c r="C1688" t="s">
        <v>25</v>
      </c>
      <c r="D1688" t="s">
        <v>232</v>
      </c>
      <c r="E1688" t="s">
        <v>234</v>
      </c>
      <c r="F1688" s="17">
        <v>56647337</v>
      </c>
      <c r="G1688" s="17">
        <v>1741372</v>
      </c>
      <c r="H1688" s="17">
        <v>58388709</v>
      </c>
      <c r="I1688">
        <f>VLOOKUP(C1688,LEAIDs!$A$2:$B$305,2,FALSE)</f>
        <v>2200840</v>
      </c>
    </row>
    <row r="1689" spans="1:9" x14ac:dyDescent="0.2">
      <c r="A1689">
        <v>2200840</v>
      </c>
      <c r="B1689">
        <v>2016</v>
      </c>
      <c r="C1689" t="s">
        <v>25</v>
      </c>
      <c r="D1689" t="s">
        <v>232</v>
      </c>
      <c r="E1689" t="s">
        <v>234</v>
      </c>
      <c r="F1689" s="17">
        <v>56429964</v>
      </c>
      <c r="G1689" s="17">
        <v>1861340</v>
      </c>
      <c r="H1689" s="17">
        <v>58291304</v>
      </c>
      <c r="I1689">
        <f>VLOOKUP(C1689,LEAIDs!$A$2:$B$305,2,FALSE)</f>
        <v>2200840</v>
      </c>
    </row>
    <row r="1690" spans="1:9" x14ac:dyDescent="0.2">
      <c r="A1690">
        <v>2200840</v>
      </c>
      <c r="B1690">
        <v>2017</v>
      </c>
      <c r="C1690" t="s">
        <v>25</v>
      </c>
      <c r="D1690" t="s">
        <v>232</v>
      </c>
      <c r="E1690" t="s">
        <v>234</v>
      </c>
      <c r="F1690" s="17">
        <v>53710016</v>
      </c>
      <c r="G1690" s="17">
        <v>1855120</v>
      </c>
      <c r="H1690" s="17">
        <v>55565136</v>
      </c>
      <c r="I1690">
        <f>VLOOKUP(C1690,LEAIDs!$A$2:$B$305,2,FALSE)</f>
        <v>2200840</v>
      </c>
    </row>
    <row r="1691" spans="1:9" x14ac:dyDescent="0.2">
      <c r="A1691">
        <v>2200840</v>
      </c>
      <c r="B1691">
        <v>2018</v>
      </c>
      <c r="C1691" t="s">
        <v>25</v>
      </c>
      <c r="D1691" t="s">
        <v>232</v>
      </c>
      <c r="E1691" t="s">
        <v>234</v>
      </c>
      <c r="F1691" s="17">
        <v>63306049</v>
      </c>
      <c r="G1691" s="17">
        <v>2083303</v>
      </c>
      <c r="H1691" s="17">
        <v>65389352</v>
      </c>
      <c r="I1691">
        <f>VLOOKUP(C1691,LEAIDs!$A$2:$B$305,2,FALSE)</f>
        <v>2200840</v>
      </c>
    </row>
    <row r="1692" spans="1:9" x14ac:dyDescent="0.2">
      <c r="A1692">
        <v>2200840</v>
      </c>
      <c r="B1692">
        <v>2019</v>
      </c>
      <c r="C1692" t="s">
        <v>25</v>
      </c>
      <c r="D1692" t="s">
        <v>232</v>
      </c>
      <c r="E1692" t="s">
        <v>234</v>
      </c>
      <c r="F1692" s="17">
        <v>61170350</v>
      </c>
      <c r="G1692" s="17">
        <v>2052974</v>
      </c>
      <c r="H1692" s="17">
        <v>63223324</v>
      </c>
      <c r="I1692">
        <f>VLOOKUP(C1692,LEAIDs!$A$2:$B$305,2,FALSE)</f>
        <v>2200840</v>
      </c>
    </row>
    <row r="1693" spans="1:9" x14ac:dyDescent="0.2">
      <c r="A1693">
        <v>2200840</v>
      </c>
      <c r="B1693">
        <v>2020</v>
      </c>
      <c r="C1693" t="s">
        <v>25</v>
      </c>
      <c r="D1693" t="s">
        <v>232</v>
      </c>
      <c r="E1693" t="s">
        <v>234</v>
      </c>
      <c r="F1693" s="17">
        <v>65168371</v>
      </c>
      <c r="G1693" s="17">
        <v>2299692</v>
      </c>
      <c r="H1693" s="17">
        <v>67468063</v>
      </c>
      <c r="I1693">
        <f>VLOOKUP(C1693,LEAIDs!$A$2:$B$305,2,FALSE)</f>
        <v>2200840</v>
      </c>
    </row>
    <row r="1694" spans="1:9" x14ac:dyDescent="0.2">
      <c r="A1694">
        <v>2200840</v>
      </c>
      <c r="B1694" s="2">
        <v>2021</v>
      </c>
      <c r="C1694" s="4" t="s">
        <v>25</v>
      </c>
      <c r="D1694" s="2" t="s">
        <v>232</v>
      </c>
      <c r="E1694" s="2" t="s">
        <v>234</v>
      </c>
      <c r="F1694" s="16">
        <v>61003595</v>
      </c>
      <c r="G1694" s="16">
        <v>2123372</v>
      </c>
      <c r="H1694" s="15">
        <v>63126967</v>
      </c>
      <c r="I1694">
        <f>VLOOKUP(C1694,LEAIDs!$A$2:$B$305,2,FALSE)</f>
        <v>2200840</v>
      </c>
    </row>
    <row r="1695" spans="1:9" x14ac:dyDescent="0.2">
      <c r="A1695">
        <v>2200840</v>
      </c>
      <c r="B1695" s="2">
        <v>2022</v>
      </c>
      <c r="C1695" s="4" t="s">
        <v>25</v>
      </c>
      <c r="D1695" s="2" t="s">
        <v>232</v>
      </c>
      <c r="E1695" s="2" t="s">
        <v>234</v>
      </c>
      <c r="F1695" s="16">
        <v>59577045</v>
      </c>
      <c r="G1695" s="16">
        <v>2128546</v>
      </c>
      <c r="H1695" s="15">
        <v>61705591</v>
      </c>
      <c r="I1695">
        <f>VLOOKUP(C1695,LEAIDs!$A$2:$B$305,2,FALSE)</f>
        <v>2200840</v>
      </c>
    </row>
    <row r="1696" spans="1:9" x14ac:dyDescent="0.2">
      <c r="A1696">
        <v>2200840</v>
      </c>
      <c r="B1696" s="2">
        <v>2023</v>
      </c>
      <c r="C1696" s="2" t="s">
        <v>25</v>
      </c>
      <c r="D1696" s="2" t="s">
        <v>232</v>
      </c>
      <c r="E1696" s="2" t="s">
        <v>234</v>
      </c>
      <c r="F1696" s="15">
        <v>62236654</v>
      </c>
      <c r="G1696" s="15">
        <v>2218839</v>
      </c>
      <c r="H1696" s="15">
        <v>64455493</v>
      </c>
      <c r="I1696">
        <f>VLOOKUP(C1696,LEAIDs!$A$2:$B$305,2,FALSE)</f>
        <v>2200840</v>
      </c>
    </row>
    <row r="1697" spans="1:9" x14ac:dyDescent="0.2">
      <c r="A1697">
        <v>2200870</v>
      </c>
      <c r="B1697">
        <v>2015</v>
      </c>
      <c r="C1697" t="s">
        <v>27</v>
      </c>
      <c r="D1697" t="s">
        <v>232</v>
      </c>
      <c r="E1697" t="s">
        <v>234</v>
      </c>
      <c r="F1697" s="17">
        <v>40536624</v>
      </c>
      <c r="G1697" s="17">
        <v>1246119</v>
      </c>
      <c r="H1697" s="17">
        <v>41782743</v>
      </c>
      <c r="I1697">
        <f>VLOOKUP(C1697,LEAIDs!$A$2:$B$305,2,FALSE)</f>
        <v>2200870</v>
      </c>
    </row>
    <row r="1698" spans="1:9" x14ac:dyDescent="0.2">
      <c r="A1698">
        <v>2200870</v>
      </c>
      <c r="B1698">
        <v>2016</v>
      </c>
      <c r="C1698" t="s">
        <v>27</v>
      </c>
      <c r="D1698" t="s">
        <v>232</v>
      </c>
      <c r="E1698" t="s">
        <v>234</v>
      </c>
      <c r="F1698" s="17">
        <v>37713893</v>
      </c>
      <c r="G1698" s="17">
        <v>1243991</v>
      </c>
      <c r="H1698" s="17">
        <v>38957884</v>
      </c>
      <c r="I1698">
        <f>VLOOKUP(C1698,LEAIDs!$A$2:$B$305,2,FALSE)</f>
        <v>2200870</v>
      </c>
    </row>
    <row r="1699" spans="1:9" x14ac:dyDescent="0.2">
      <c r="A1699">
        <v>2200870</v>
      </c>
      <c r="B1699">
        <v>2017</v>
      </c>
      <c r="C1699" t="s">
        <v>27</v>
      </c>
      <c r="D1699" t="s">
        <v>232</v>
      </c>
      <c r="E1699" t="s">
        <v>234</v>
      </c>
      <c r="F1699" s="17">
        <v>36070528</v>
      </c>
      <c r="G1699" s="17">
        <v>1245860</v>
      </c>
      <c r="H1699" s="17">
        <v>37316388</v>
      </c>
      <c r="I1699">
        <f>VLOOKUP(C1699,LEAIDs!$A$2:$B$305,2,FALSE)</f>
        <v>2200870</v>
      </c>
    </row>
    <row r="1700" spans="1:9" x14ac:dyDescent="0.2">
      <c r="A1700">
        <v>2200870</v>
      </c>
      <c r="B1700">
        <v>2018</v>
      </c>
      <c r="C1700" t="s">
        <v>27</v>
      </c>
      <c r="D1700" t="s">
        <v>232</v>
      </c>
      <c r="E1700" t="s">
        <v>234</v>
      </c>
      <c r="F1700" s="17">
        <v>38669172</v>
      </c>
      <c r="G1700" s="17">
        <v>1272542</v>
      </c>
      <c r="H1700" s="17">
        <v>39941714</v>
      </c>
      <c r="I1700">
        <f>VLOOKUP(C1700,LEAIDs!$A$2:$B$305,2,FALSE)</f>
        <v>2200870</v>
      </c>
    </row>
    <row r="1701" spans="1:9" x14ac:dyDescent="0.2">
      <c r="A1701">
        <v>2200870</v>
      </c>
      <c r="B1701">
        <v>2019</v>
      </c>
      <c r="C1701" t="s">
        <v>27</v>
      </c>
      <c r="D1701" t="s">
        <v>232</v>
      </c>
      <c r="E1701" t="s">
        <v>234</v>
      </c>
      <c r="F1701" s="17">
        <v>37967149</v>
      </c>
      <c r="G1701" s="17">
        <v>1274238</v>
      </c>
      <c r="H1701" s="17">
        <v>39241387</v>
      </c>
      <c r="I1701">
        <f>VLOOKUP(C1701,LEAIDs!$A$2:$B$305,2,FALSE)</f>
        <v>2200870</v>
      </c>
    </row>
    <row r="1702" spans="1:9" x14ac:dyDescent="0.2">
      <c r="A1702">
        <v>2200870</v>
      </c>
      <c r="B1702">
        <v>2020</v>
      </c>
      <c r="C1702" t="s">
        <v>27</v>
      </c>
      <c r="D1702" t="s">
        <v>232</v>
      </c>
      <c r="E1702" t="s">
        <v>234</v>
      </c>
      <c r="F1702" s="17">
        <v>40087179</v>
      </c>
      <c r="G1702" s="17">
        <v>1414615</v>
      </c>
      <c r="H1702" s="17">
        <v>41501794</v>
      </c>
      <c r="I1702">
        <f>VLOOKUP(C1702,LEAIDs!$A$2:$B$305,2,FALSE)</f>
        <v>2200870</v>
      </c>
    </row>
    <row r="1703" spans="1:9" x14ac:dyDescent="0.2">
      <c r="A1703">
        <v>2200870</v>
      </c>
      <c r="B1703" s="2">
        <v>2021</v>
      </c>
      <c r="C1703" s="4" t="s">
        <v>27</v>
      </c>
      <c r="D1703" s="2" t="s">
        <v>232</v>
      </c>
      <c r="E1703" s="2" t="s">
        <v>234</v>
      </c>
      <c r="F1703" s="16">
        <v>41589752</v>
      </c>
      <c r="G1703" s="16">
        <v>1447628</v>
      </c>
      <c r="H1703" s="15">
        <v>43037380</v>
      </c>
      <c r="I1703">
        <f>VLOOKUP(C1703,LEAIDs!$A$2:$B$305,2,FALSE)</f>
        <v>2200870</v>
      </c>
    </row>
    <row r="1704" spans="1:9" x14ac:dyDescent="0.2">
      <c r="A1704">
        <v>2200870</v>
      </c>
      <c r="B1704" s="2">
        <v>2022</v>
      </c>
      <c r="C1704" s="4" t="s">
        <v>27</v>
      </c>
      <c r="D1704" s="2" t="s">
        <v>232</v>
      </c>
      <c r="E1704" s="2" t="s">
        <v>234</v>
      </c>
      <c r="F1704" s="16">
        <v>40540587</v>
      </c>
      <c r="G1704" s="16">
        <v>1448419</v>
      </c>
      <c r="H1704" s="15">
        <v>41989006</v>
      </c>
      <c r="I1704">
        <f>VLOOKUP(C1704,LEAIDs!$A$2:$B$305,2,FALSE)</f>
        <v>2200870</v>
      </c>
    </row>
    <row r="1705" spans="1:9" x14ac:dyDescent="0.2">
      <c r="A1705">
        <v>2200870</v>
      </c>
      <c r="B1705" s="2">
        <v>2023</v>
      </c>
      <c r="C1705" s="2" t="s">
        <v>27</v>
      </c>
      <c r="D1705" s="2" t="s">
        <v>232</v>
      </c>
      <c r="E1705" s="2" t="s">
        <v>234</v>
      </c>
      <c r="F1705" s="15">
        <v>43970596</v>
      </c>
      <c r="G1705" s="15">
        <v>1567624</v>
      </c>
      <c r="H1705" s="15">
        <v>45538220</v>
      </c>
      <c r="I1705">
        <f>VLOOKUP(C1705,LEAIDs!$A$2:$B$305,2,FALSE)</f>
        <v>2200870</v>
      </c>
    </row>
    <row r="1706" spans="1:9" x14ac:dyDescent="0.2">
      <c r="A1706">
        <v>2200900</v>
      </c>
      <c r="B1706">
        <v>2015</v>
      </c>
      <c r="C1706" t="s">
        <v>28</v>
      </c>
      <c r="D1706" t="s">
        <v>232</v>
      </c>
      <c r="E1706" t="s">
        <v>234</v>
      </c>
      <c r="F1706" s="17">
        <v>20587191</v>
      </c>
      <c r="G1706" s="17">
        <v>632862</v>
      </c>
      <c r="H1706" s="17">
        <v>21220053</v>
      </c>
      <c r="I1706">
        <f>VLOOKUP(C1706,LEAIDs!$A$2:$B$305,2,FALSE)</f>
        <v>2200900</v>
      </c>
    </row>
    <row r="1707" spans="1:9" x14ac:dyDescent="0.2">
      <c r="A1707">
        <v>2200900</v>
      </c>
      <c r="B1707">
        <v>2016</v>
      </c>
      <c r="C1707" t="s">
        <v>28</v>
      </c>
      <c r="D1707" t="s">
        <v>232</v>
      </c>
      <c r="E1707" t="s">
        <v>234</v>
      </c>
      <c r="F1707" s="17">
        <v>19438647</v>
      </c>
      <c r="G1707" s="17">
        <v>641183</v>
      </c>
      <c r="H1707" s="17">
        <v>20079830</v>
      </c>
      <c r="I1707">
        <f>VLOOKUP(C1707,LEAIDs!$A$2:$B$305,2,FALSE)</f>
        <v>2200900</v>
      </c>
    </row>
    <row r="1708" spans="1:9" x14ac:dyDescent="0.2">
      <c r="A1708">
        <v>2200900</v>
      </c>
      <c r="B1708">
        <v>2017</v>
      </c>
      <c r="C1708" t="s">
        <v>28</v>
      </c>
      <c r="D1708" t="s">
        <v>232</v>
      </c>
      <c r="E1708" t="s">
        <v>234</v>
      </c>
      <c r="F1708" s="17">
        <v>17761367</v>
      </c>
      <c r="G1708" s="17">
        <v>613470</v>
      </c>
      <c r="H1708" s="17">
        <v>18374837</v>
      </c>
      <c r="I1708">
        <f>VLOOKUP(C1708,LEAIDs!$A$2:$B$305,2,FALSE)</f>
        <v>2200900</v>
      </c>
    </row>
    <row r="1709" spans="1:9" x14ac:dyDescent="0.2">
      <c r="A1709">
        <v>2200900</v>
      </c>
      <c r="B1709">
        <v>2018</v>
      </c>
      <c r="C1709" t="s">
        <v>28</v>
      </c>
      <c r="D1709" t="s">
        <v>232</v>
      </c>
      <c r="E1709" t="s">
        <v>234</v>
      </c>
      <c r="F1709" s="17">
        <v>17209583</v>
      </c>
      <c r="G1709" s="17">
        <v>566340</v>
      </c>
      <c r="H1709" s="17">
        <v>17775923</v>
      </c>
      <c r="I1709">
        <f>VLOOKUP(C1709,LEAIDs!$A$2:$B$305,2,FALSE)</f>
        <v>2200900</v>
      </c>
    </row>
    <row r="1710" spans="1:9" x14ac:dyDescent="0.2">
      <c r="A1710">
        <v>2200900</v>
      </c>
      <c r="B1710">
        <v>2019</v>
      </c>
      <c r="C1710" t="s">
        <v>28</v>
      </c>
      <c r="D1710" t="s">
        <v>232</v>
      </c>
      <c r="E1710" t="s">
        <v>234</v>
      </c>
      <c r="F1710" s="17">
        <v>16528889</v>
      </c>
      <c r="G1710" s="17">
        <v>554736</v>
      </c>
      <c r="H1710" s="17">
        <v>17083625</v>
      </c>
      <c r="I1710">
        <f>VLOOKUP(C1710,LEAIDs!$A$2:$B$305,2,FALSE)</f>
        <v>2200900</v>
      </c>
    </row>
    <row r="1711" spans="1:9" x14ac:dyDescent="0.2">
      <c r="A1711">
        <v>2200900</v>
      </c>
      <c r="B1711">
        <v>2020</v>
      </c>
      <c r="C1711" t="s">
        <v>28</v>
      </c>
      <c r="D1711" t="s">
        <v>232</v>
      </c>
      <c r="E1711" t="s">
        <v>234</v>
      </c>
      <c r="F1711" s="17">
        <v>16389010</v>
      </c>
      <c r="G1711" s="17">
        <v>578343</v>
      </c>
      <c r="H1711" s="17">
        <v>16967353</v>
      </c>
      <c r="I1711">
        <f>VLOOKUP(C1711,LEAIDs!$A$2:$B$305,2,FALSE)</f>
        <v>2200900</v>
      </c>
    </row>
    <row r="1712" spans="1:9" x14ac:dyDescent="0.2">
      <c r="A1712">
        <v>2200900</v>
      </c>
      <c r="B1712" s="2">
        <v>2021</v>
      </c>
      <c r="C1712" s="4" t="s">
        <v>28</v>
      </c>
      <c r="D1712" s="2" t="s">
        <v>232</v>
      </c>
      <c r="E1712" s="2" t="s">
        <v>234</v>
      </c>
      <c r="F1712" s="16">
        <v>16783050</v>
      </c>
      <c r="G1712" s="16">
        <v>584173</v>
      </c>
      <c r="H1712" s="15">
        <v>17367223</v>
      </c>
      <c r="I1712">
        <f>VLOOKUP(C1712,LEAIDs!$A$2:$B$305,2,FALSE)</f>
        <v>2200900</v>
      </c>
    </row>
    <row r="1713" spans="1:9" x14ac:dyDescent="0.2">
      <c r="A1713">
        <v>2200900</v>
      </c>
      <c r="B1713" s="2">
        <v>2022</v>
      </c>
      <c r="C1713" s="4" t="s">
        <v>28</v>
      </c>
      <c r="D1713" s="2" t="s">
        <v>232</v>
      </c>
      <c r="E1713" s="2" t="s">
        <v>234</v>
      </c>
      <c r="F1713" s="16">
        <v>16990055</v>
      </c>
      <c r="G1713" s="16">
        <v>607014</v>
      </c>
      <c r="H1713" s="15">
        <v>17597069</v>
      </c>
      <c r="I1713">
        <f>VLOOKUP(C1713,LEAIDs!$A$2:$B$305,2,FALSE)</f>
        <v>2200900</v>
      </c>
    </row>
    <row r="1714" spans="1:9" x14ac:dyDescent="0.2">
      <c r="A1714">
        <v>2200900</v>
      </c>
      <c r="B1714" s="2">
        <v>2023</v>
      </c>
      <c r="C1714" s="2" t="s">
        <v>28</v>
      </c>
      <c r="D1714" s="2" t="s">
        <v>232</v>
      </c>
      <c r="E1714" s="2" t="s">
        <v>234</v>
      </c>
      <c r="F1714" s="15">
        <v>17951228</v>
      </c>
      <c r="G1714" s="15">
        <v>639991</v>
      </c>
      <c r="H1714" s="15">
        <v>18591219</v>
      </c>
      <c r="I1714">
        <f>VLOOKUP(C1714,LEAIDs!$A$2:$B$305,2,FALSE)</f>
        <v>2200900</v>
      </c>
    </row>
    <row r="1715" spans="1:9" x14ac:dyDescent="0.2">
      <c r="A1715">
        <v>2200960</v>
      </c>
      <c r="B1715">
        <v>2015</v>
      </c>
      <c r="C1715" t="s">
        <v>29</v>
      </c>
      <c r="D1715" t="s">
        <v>232</v>
      </c>
      <c r="E1715" t="s">
        <v>234</v>
      </c>
      <c r="F1715" s="17">
        <v>3517042</v>
      </c>
      <c r="G1715" s="17">
        <v>108116</v>
      </c>
      <c r="H1715" s="17">
        <v>3625158</v>
      </c>
      <c r="I1715">
        <f>VLOOKUP(C1715,LEAIDs!$A$2:$B$305,2,FALSE)</f>
        <v>2200960</v>
      </c>
    </row>
    <row r="1716" spans="1:9" x14ac:dyDescent="0.2">
      <c r="A1716">
        <v>2200960</v>
      </c>
      <c r="B1716">
        <v>2016</v>
      </c>
      <c r="C1716" t="s">
        <v>29</v>
      </c>
      <c r="D1716" t="s">
        <v>232</v>
      </c>
      <c r="E1716" t="s">
        <v>234</v>
      </c>
      <c r="F1716" s="17">
        <v>3291809</v>
      </c>
      <c r="G1716" s="17">
        <v>108580</v>
      </c>
      <c r="H1716" s="17">
        <v>3400389</v>
      </c>
      <c r="I1716">
        <f>VLOOKUP(C1716,LEAIDs!$A$2:$B$305,2,FALSE)</f>
        <v>2200960</v>
      </c>
    </row>
    <row r="1717" spans="1:9" x14ac:dyDescent="0.2">
      <c r="A1717">
        <v>2200960</v>
      </c>
      <c r="B1717">
        <v>2017</v>
      </c>
      <c r="C1717" t="s">
        <v>29</v>
      </c>
      <c r="D1717" t="s">
        <v>232</v>
      </c>
      <c r="E1717" t="s">
        <v>234</v>
      </c>
      <c r="F1717" s="17">
        <v>3229702</v>
      </c>
      <c r="G1717" s="17">
        <v>111552</v>
      </c>
      <c r="H1717" s="17">
        <v>3341254</v>
      </c>
      <c r="I1717">
        <f>VLOOKUP(C1717,LEAIDs!$A$2:$B$305,2,FALSE)</f>
        <v>2200960</v>
      </c>
    </row>
    <row r="1718" spans="1:9" x14ac:dyDescent="0.2">
      <c r="A1718">
        <v>2200960</v>
      </c>
      <c r="B1718">
        <v>2018</v>
      </c>
      <c r="C1718" t="s">
        <v>29</v>
      </c>
      <c r="D1718" t="s">
        <v>232</v>
      </c>
      <c r="E1718" t="s">
        <v>234</v>
      </c>
      <c r="F1718" s="17">
        <v>3371480</v>
      </c>
      <c r="G1718" s="17">
        <v>110950</v>
      </c>
      <c r="H1718" s="17">
        <v>3482430</v>
      </c>
      <c r="I1718">
        <f>VLOOKUP(C1718,LEAIDs!$A$2:$B$305,2,FALSE)</f>
        <v>2200960</v>
      </c>
    </row>
    <row r="1719" spans="1:9" x14ac:dyDescent="0.2">
      <c r="A1719">
        <v>2200960</v>
      </c>
      <c r="B1719">
        <v>2019</v>
      </c>
      <c r="C1719" t="s">
        <v>29</v>
      </c>
      <c r="D1719" t="s">
        <v>232</v>
      </c>
      <c r="E1719" t="s">
        <v>234</v>
      </c>
      <c r="F1719" s="17">
        <v>3611603</v>
      </c>
      <c r="G1719" s="17">
        <v>121211</v>
      </c>
      <c r="H1719" s="17">
        <v>3732814</v>
      </c>
      <c r="I1719">
        <f>VLOOKUP(C1719,LEAIDs!$A$2:$B$305,2,FALSE)</f>
        <v>2200960</v>
      </c>
    </row>
    <row r="1720" spans="1:9" x14ac:dyDescent="0.2">
      <c r="A1720">
        <v>2200960</v>
      </c>
      <c r="B1720">
        <v>2020</v>
      </c>
      <c r="C1720" t="s">
        <v>29</v>
      </c>
      <c r="D1720" t="s">
        <v>232</v>
      </c>
      <c r="E1720" t="s">
        <v>234</v>
      </c>
      <c r="F1720" s="17">
        <v>3590291</v>
      </c>
      <c r="G1720" s="17">
        <v>126696</v>
      </c>
      <c r="H1720" s="17">
        <v>3716987</v>
      </c>
      <c r="I1720">
        <f>VLOOKUP(C1720,LEAIDs!$A$2:$B$305,2,FALSE)</f>
        <v>2200960</v>
      </c>
    </row>
    <row r="1721" spans="1:9" x14ac:dyDescent="0.2">
      <c r="A1721">
        <v>2200960</v>
      </c>
      <c r="B1721" s="2">
        <v>2021</v>
      </c>
      <c r="C1721" s="4" t="s">
        <v>29</v>
      </c>
      <c r="D1721" s="2" t="s">
        <v>232</v>
      </c>
      <c r="E1721" s="2" t="s">
        <v>234</v>
      </c>
      <c r="F1721" s="16">
        <v>3605430</v>
      </c>
      <c r="G1721" s="16">
        <v>125495</v>
      </c>
      <c r="H1721" s="15">
        <v>3730925</v>
      </c>
      <c r="I1721">
        <f>VLOOKUP(C1721,LEAIDs!$A$2:$B$305,2,FALSE)</f>
        <v>2200960</v>
      </c>
    </row>
    <row r="1722" spans="1:9" x14ac:dyDescent="0.2">
      <c r="A1722">
        <v>2200960</v>
      </c>
      <c r="B1722" s="2">
        <v>2022</v>
      </c>
      <c r="C1722" s="4" t="s">
        <v>29</v>
      </c>
      <c r="D1722" s="2" t="s">
        <v>232</v>
      </c>
      <c r="E1722" s="2" t="s">
        <v>234</v>
      </c>
      <c r="F1722" s="16">
        <v>3628761</v>
      </c>
      <c r="G1722" s="16">
        <v>129647</v>
      </c>
      <c r="H1722" s="15">
        <v>3758408</v>
      </c>
      <c r="I1722">
        <f>VLOOKUP(C1722,LEAIDs!$A$2:$B$305,2,FALSE)</f>
        <v>2200960</v>
      </c>
    </row>
    <row r="1723" spans="1:9" x14ac:dyDescent="0.2">
      <c r="A1723">
        <v>2200960</v>
      </c>
      <c r="B1723" s="2">
        <v>2023</v>
      </c>
      <c r="C1723" s="2" t="s">
        <v>29</v>
      </c>
      <c r="D1723" s="2" t="s">
        <v>232</v>
      </c>
      <c r="E1723" s="2" t="s">
        <v>234</v>
      </c>
      <c r="F1723" s="15">
        <v>3833268</v>
      </c>
      <c r="G1723" s="15">
        <v>136662</v>
      </c>
      <c r="H1723" s="15">
        <v>3969930</v>
      </c>
      <c r="I1723">
        <f>VLOOKUP(C1723,LEAIDs!$A$2:$B$305,2,FALSE)</f>
        <v>2200960</v>
      </c>
    </row>
    <row r="1724" spans="1:9" x14ac:dyDescent="0.2">
      <c r="A1724">
        <v>2200990</v>
      </c>
      <c r="B1724">
        <v>2015</v>
      </c>
      <c r="C1724" t="s">
        <v>30</v>
      </c>
      <c r="D1724" t="s">
        <v>232</v>
      </c>
      <c r="E1724" t="s">
        <v>234</v>
      </c>
      <c r="F1724" s="17">
        <v>9065452</v>
      </c>
      <c r="G1724" s="17">
        <v>278677</v>
      </c>
      <c r="H1724" s="17">
        <v>9344129</v>
      </c>
      <c r="I1724">
        <f>VLOOKUP(C1724,LEAIDs!$A$2:$B$305,2,FALSE)</f>
        <v>2200990</v>
      </c>
    </row>
    <row r="1725" spans="1:9" x14ac:dyDescent="0.2">
      <c r="A1725">
        <v>2200990</v>
      </c>
      <c r="B1725">
        <v>2016</v>
      </c>
      <c r="C1725" t="s">
        <v>30</v>
      </c>
      <c r="D1725" t="s">
        <v>232</v>
      </c>
      <c r="E1725" t="s">
        <v>234</v>
      </c>
      <c r="F1725" s="17">
        <v>8287550</v>
      </c>
      <c r="G1725" s="17">
        <v>273365</v>
      </c>
      <c r="H1725" s="17">
        <v>8560915</v>
      </c>
      <c r="I1725">
        <f>VLOOKUP(C1725,LEAIDs!$A$2:$B$305,2,FALSE)</f>
        <v>2200990</v>
      </c>
    </row>
    <row r="1726" spans="1:9" x14ac:dyDescent="0.2">
      <c r="A1726">
        <v>2200990</v>
      </c>
      <c r="B1726">
        <v>2017</v>
      </c>
      <c r="C1726" t="s">
        <v>30</v>
      </c>
      <c r="D1726" t="s">
        <v>232</v>
      </c>
      <c r="E1726" t="s">
        <v>234</v>
      </c>
      <c r="F1726" s="17">
        <v>7568763</v>
      </c>
      <c r="G1726" s="17">
        <v>261422</v>
      </c>
      <c r="H1726" s="17">
        <v>7830185</v>
      </c>
      <c r="I1726">
        <f>VLOOKUP(C1726,LEAIDs!$A$2:$B$305,2,FALSE)</f>
        <v>2200990</v>
      </c>
    </row>
    <row r="1727" spans="1:9" x14ac:dyDescent="0.2">
      <c r="A1727">
        <v>2200990</v>
      </c>
      <c r="B1727">
        <v>2018</v>
      </c>
      <c r="C1727" t="s">
        <v>30</v>
      </c>
      <c r="D1727" t="s">
        <v>232</v>
      </c>
      <c r="E1727" t="s">
        <v>234</v>
      </c>
      <c r="F1727" s="17">
        <v>8672857</v>
      </c>
      <c r="G1727" s="17">
        <v>285410</v>
      </c>
      <c r="H1727" s="17">
        <v>8958267</v>
      </c>
      <c r="I1727">
        <f>VLOOKUP(C1727,LEAIDs!$A$2:$B$305,2,FALSE)</f>
        <v>2200990</v>
      </c>
    </row>
    <row r="1728" spans="1:9" x14ac:dyDescent="0.2">
      <c r="A1728">
        <v>2200990</v>
      </c>
      <c r="B1728">
        <v>2019</v>
      </c>
      <c r="C1728" t="s">
        <v>30</v>
      </c>
      <c r="D1728" t="s">
        <v>232</v>
      </c>
      <c r="E1728" t="s">
        <v>234</v>
      </c>
      <c r="F1728" s="17">
        <v>9049140</v>
      </c>
      <c r="G1728" s="17">
        <v>303704</v>
      </c>
      <c r="H1728" s="17">
        <v>9352844</v>
      </c>
      <c r="I1728">
        <f>VLOOKUP(C1728,LEAIDs!$A$2:$B$305,2,FALSE)</f>
        <v>2200990</v>
      </c>
    </row>
    <row r="1729" spans="1:9" x14ac:dyDescent="0.2">
      <c r="A1729">
        <v>2200990</v>
      </c>
      <c r="B1729">
        <v>2020</v>
      </c>
      <c r="C1729" t="s">
        <v>30</v>
      </c>
      <c r="D1729" t="s">
        <v>232</v>
      </c>
      <c r="E1729" t="s">
        <v>234</v>
      </c>
      <c r="F1729" s="17">
        <v>8481810</v>
      </c>
      <c r="G1729" s="17">
        <v>299310</v>
      </c>
      <c r="H1729" s="17">
        <v>8781120</v>
      </c>
      <c r="I1729">
        <f>VLOOKUP(C1729,LEAIDs!$A$2:$B$305,2,FALSE)</f>
        <v>2200990</v>
      </c>
    </row>
    <row r="1730" spans="1:9" x14ac:dyDescent="0.2">
      <c r="A1730">
        <v>2200990</v>
      </c>
      <c r="B1730" s="2">
        <v>2021</v>
      </c>
      <c r="C1730" s="4" t="s">
        <v>30</v>
      </c>
      <c r="D1730" s="2" t="s">
        <v>232</v>
      </c>
      <c r="E1730" s="2" t="s">
        <v>234</v>
      </c>
      <c r="F1730" s="16">
        <v>8661794</v>
      </c>
      <c r="G1730" s="16">
        <v>301494</v>
      </c>
      <c r="H1730" s="15">
        <v>8963288</v>
      </c>
      <c r="I1730">
        <f>VLOOKUP(C1730,LEAIDs!$A$2:$B$305,2,FALSE)</f>
        <v>2200990</v>
      </c>
    </row>
    <row r="1731" spans="1:9" x14ac:dyDescent="0.2">
      <c r="A1731">
        <v>2200990</v>
      </c>
      <c r="B1731" s="2">
        <v>2022</v>
      </c>
      <c r="C1731" s="4" t="s">
        <v>30</v>
      </c>
      <c r="D1731" s="2" t="s">
        <v>232</v>
      </c>
      <c r="E1731" s="2" t="s">
        <v>234</v>
      </c>
      <c r="F1731" s="16">
        <v>9298633</v>
      </c>
      <c r="G1731" s="16">
        <v>332218</v>
      </c>
      <c r="H1731" s="15">
        <v>9630851</v>
      </c>
      <c r="I1731">
        <f>VLOOKUP(C1731,LEAIDs!$A$2:$B$305,2,FALSE)</f>
        <v>2200990</v>
      </c>
    </row>
    <row r="1732" spans="1:9" x14ac:dyDescent="0.2">
      <c r="A1732">
        <v>2200990</v>
      </c>
      <c r="B1732" s="2">
        <v>2023</v>
      </c>
      <c r="C1732" s="2" t="s">
        <v>30</v>
      </c>
      <c r="D1732" s="2" t="s">
        <v>232</v>
      </c>
      <c r="E1732" s="2" t="s">
        <v>234</v>
      </c>
      <c r="F1732" s="15">
        <v>10062727</v>
      </c>
      <c r="G1732" s="15">
        <v>358753</v>
      </c>
      <c r="H1732" s="15">
        <v>10421480</v>
      </c>
      <c r="I1732">
        <f>VLOOKUP(C1732,LEAIDs!$A$2:$B$305,2,FALSE)</f>
        <v>2200990</v>
      </c>
    </row>
    <row r="1733" spans="1:9" x14ac:dyDescent="0.2">
      <c r="A1733">
        <v>2201020</v>
      </c>
      <c r="B1733">
        <v>2015</v>
      </c>
      <c r="C1733" t="s">
        <v>31</v>
      </c>
      <c r="D1733" t="s">
        <v>232</v>
      </c>
      <c r="E1733" t="s">
        <v>234</v>
      </c>
      <c r="F1733" s="17">
        <v>30544802</v>
      </c>
      <c r="G1733" s="17">
        <v>938965</v>
      </c>
      <c r="H1733" s="17">
        <v>31483767</v>
      </c>
      <c r="I1733">
        <f>VLOOKUP(C1733,LEAIDs!$A$2:$B$305,2,FALSE)</f>
        <v>2201020</v>
      </c>
    </row>
    <row r="1734" spans="1:9" x14ac:dyDescent="0.2">
      <c r="A1734">
        <v>2201020</v>
      </c>
      <c r="B1734">
        <v>2016</v>
      </c>
      <c r="C1734" t="s">
        <v>31</v>
      </c>
      <c r="D1734" t="s">
        <v>232</v>
      </c>
      <c r="E1734" t="s">
        <v>234</v>
      </c>
      <c r="F1734" s="17">
        <v>29390298</v>
      </c>
      <c r="G1734" s="17">
        <v>969438</v>
      </c>
      <c r="H1734" s="17">
        <v>30359736</v>
      </c>
      <c r="I1734">
        <f>VLOOKUP(C1734,LEAIDs!$A$2:$B$305,2,FALSE)</f>
        <v>2201020</v>
      </c>
    </row>
    <row r="1735" spans="1:9" x14ac:dyDescent="0.2">
      <c r="A1735">
        <v>2201020</v>
      </c>
      <c r="B1735">
        <v>2017</v>
      </c>
      <c r="C1735" t="s">
        <v>31</v>
      </c>
      <c r="D1735" t="s">
        <v>232</v>
      </c>
      <c r="E1735" t="s">
        <v>234</v>
      </c>
      <c r="F1735" s="17">
        <v>28353389</v>
      </c>
      <c r="G1735" s="17">
        <v>979313</v>
      </c>
      <c r="H1735" s="17">
        <v>29332702</v>
      </c>
      <c r="I1735">
        <f>VLOOKUP(C1735,LEAIDs!$A$2:$B$305,2,FALSE)</f>
        <v>2201020</v>
      </c>
    </row>
    <row r="1736" spans="1:9" x14ac:dyDescent="0.2">
      <c r="A1736">
        <v>2201020</v>
      </c>
      <c r="B1736">
        <v>2018</v>
      </c>
      <c r="C1736" t="s">
        <v>31</v>
      </c>
      <c r="D1736" t="s">
        <v>232</v>
      </c>
      <c r="E1736" t="s">
        <v>234</v>
      </c>
      <c r="F1736" s="17">
        <v>28889021</v>
      </c>
      <c r="G1736" s="17">
        <v>950692</v>
      </c>
      <c r="H1736" s="17">
        <v>29839713</v>
      </c>
      <c r="I1736">
        <f>VLOOKUP(C1736,LEAIDs!$A$2:$B$305,2,FALSE)</f>
        <v>2201020</v>
      </c>
    </row>
    <row r="1737" spans="1:9" x14ac:dyDescent="0.2">
      <c r="A1737">
        <v>2201020</v>
      </c>
      <c r="B1737">
        <v>2019</v>
      </c>
      <c r="C1737" t="s">
        <v>31</v>
      </c>
      <c r="D1737" t="s">
        <v>232</v>
      </c>
      <c r="E1737" t="s">
        <v>234</v>
      </c>
      <c r="F1737" s="17">
        <v>29719368</v>
      </c>
      <c r="G1737" s="17">
        <v>997429</v>
      </c>
      <c r="H1737" s="17">
        <v>30716797</v>
      </c>
      <c r="I1737">
        <f>VLOOKUP(C1737,LEAIDs!$A$2:$B$305,2,FALSE)</f>
        <v>2201020</v>
      </c>
    </row>
    <row r="1738" spans="1:9" x14ac:dyDescent="0.2">
      <c r="A1738">
        <v>2201020</v>
      </c>
      <c r="B1738">
        <v>2020</v>
      </c>
      <c r="C1738" t="s">
        <v>31</v>
      </c>
      <c r="D1738" t="s">
        <v>232</v>
      </c>
      <c r="E1738" t="s">
        <v>234</v>
      </c>
      <c r="F1738" s="17">
        <v>30040491</v>
      </c>
      <c r="G1738" s="17">
        <v>1060083</v>
      </c>
      <c r="H1738" s="17">
        <v>31100574</v>
      </c>
      <c r="I1738">
        <f>VLOOKUP(C1738,LEAIDs!$A$2:$B$305,2,FALSE)</f>
        <v>2201020</v>
      </c>
    </row>
    <row r="1739" spans="1:9" x14ac:dyDescent="0.2">
      <c r="A1739">
        <v>2201020</v>
      </c>
      <c r="B1739" s="2">
        <v>2021</v>
      </c>
      <c r="C1739" s="4" t="s">
        <v>31</v>
      </c>
      <c r="D1739" s="2" t="s">
        <v>232</v>
      </c>
      <c r="E1739" s="2" t="s">
        <v>234</v>
      </c>
      <c r="F1739" s="16">
        <v>31380040</v>
      </c>
      <c r="G1739" s="16">
        <v>1092256</v>
      </c>
      <c r="H1739" s="15">
        <v>32472296</v>
      </c>
      <c r="I1739">
        <f>VLOOKUP(C1739,LEAIDs!$A$2:$B$305,2,FALSE)</f>
        <v>2201020</v>
      </c>
    </row>
    <row r="1740" spans="1:9" x14ac:dyDescent="0.2">
      <c r="A1740">
        <v>2201020</v>
      </c>
      <c r="B1740" s="2">
        <v>2022</v>
      </c>
      <c r="C1740" s="4" t="s">
        <v>31</v>
      </c>
      <c r="D1740" s="2" t="s">
        <v>232</v>
      </c>
      <c r="E1740" s="2" t="s">
        <v>234</v>
      </c>
      <c r="F1740" s="16">
        <v>32474541</v>
      </c>
      <c r="G1740" s="16">
        <v>1160238</v>
      </c>
      <c r="H1740" s="15">
        <v>33634779</v>
      </c>
      <c r="I1740">
        <f>VLOOKUP(C1740,LEAIDs!$A$2:$B$305,2,FALSE)</f>
        <v>2201020</v>
      </c>
    </row>
    <row r="1741" spans="1:9" x14ac:dyDescent="0.2">
      <c r="A1741">
        <v>2201020</v>
      </c>
      <c r="B1741" s="2">
        <v>2023</v>
      </c>
      <c r="C1741" s="2" t="s">
        <v>31</v>
      </c>
      <c r="D1741" s="2" t="s">
        <v>232</v>
      </c>
      <c r="E1741" s="2" t="s">
        <v>234</v>
      </c>
      <c r="F1741" s="15">
        <v>35786862</v>
      </c>
      <c r="G1741" s="15">
        <v>1275860</v>
      </c>
      <c r="H1741" s="15">
        <v>37062722</v>
      </c>
      <c r="I1741">
        <f>VLOOKUP(C1741,LEAIDs!$A$2:$B$305,2,FALSE)</f>
        <v>2201020</v>
      </c>
    </row>
    <row r="1742" spans="1:9" x14ac:dyDescent="0.2">
      <c r="A1742">
        <v>2201050</v>
      </c>
      <c r="B1742">
        <v>2015</v>
      </c>
      <c r="C1742" t="s">
        <v>32</v>
      </c>
      <c r="D1742" t="s">
        <v>232</v>
      </c>
      <c r="E1742" t="s">
        <v>234</v>
      </c>
      <c r="F1742" s="17">
        <v>2064397</v>
      </c>
      <c r="G1742" s="17">
        <v>63461</v>
      </c>
      <c r="H1742" s="17">
        <v>2127858</v>
      </c>
      <c r="I1742">
        <f>VLOOKUP(C1742,LEAIDs!$A$2:$B$305,2,FALSE)</f>
        <v>2201050</v>
      </c>
    </row>
    <row r="1743" spans="1:9" x14ac:dyDescent="0.2">
      <c r="A1743">
        <v>2201050</v>
      </c>
      <c r="B1743">
        <v>2016</v>
      </c>
      <c r="C1743" t="s">
        <v>32</v>
      </c>
      <c r="D1743" t="s">
        <v>232</v>
      </c>
      <c r="E1743" t="s">
        <v>234</v>
      </c>
      <c r="F1743" s="17">
        <v>1793832</v>
      </c>
      <c r="G1743" s="17">
        <v>59169</v>
      </c>
      <c r="H1743" s="17">
        <v>1853001</v>
      </c>
      <c r="I1743">
        <f>VLOOKUP(C1743,LEAIDs!$A$2:$B$305,2,FALSE)</f>
        <v>2201050</v>
      </c>
    </row>
    <row r="1744" spans="1:9" x14ac:dyDescent="0.2">
      <c r="A1744">
        <v>2201050</v>
      </c>
      <c r="B1744">
        <v>2017</v>
      </c>
      <c r="C1744" t="s">
        <v>32</v>
      </c>
      <c r="D1744" t="s">
        <v>232</v>
      </c>
      <c r="E1744" t="s">
        <v>234</v>
      </c>
      <c r="F1744" s="17">
        <v>1431566</v>
      </c>
      <c r="G1744" s="17">
        <v>49446</v>
      </c>
      <c r="H1744" s="17">
        <v>1481012</v>
      </c>
      <c r="I1744">
        <f>VLOOKUP(C1744,LEAIDs!$A$2:$B$305,2,FALSE)</f>
        <v>2201050</v>
      </c>
    </row>
    <row r="1745" spans="1:9" x14ac:dyDescent="0.2">
      <c r="A1745">
        <v>2201050</v>
      </c>
      <c r="B1745">
        <v>2018</v>
      </c>
      <c r="C1745" t="s">
        <v>32</v>
      </c>
      <c r="D1745" t="s">
        <v>232</v>
      </c>
      <c r="E1745" t="s">
        <v>234</v>
      </c>
      <c r="F1745" s="17">
        <v>1545492</v>
      </c>
      <c r="G1745" s="17">
        <v>50860</v>
      </c>
      <c r="H1745" s="17">
        <v>1596352</v>
      </c>
      <c r="I1745">
        <f>VLOOKUP(C1745,LEAIDs!$A$2:$B$305,2,FALSE)</f>
        <v>2201050</v>
      </c>
    </row>
    <row r="1746" spans="1:9" x14ac:dyDescent="0.2">
      <c r="A1746">
        <v>2201050</v>
      </c>
      <c r="B1746">
        <v>2019</v>
      </c>
      <c r="C1746" t="s">
        <v>32</v>
      </c>
      <c r="D1746" t="s">
        <v>232</v>
      </c>
      <c r="E1746" t="s">
        <v>234</v>
      </c>
      <c r="F1746" s="17">
        <v>1707114</v>
      </c>
      <c r="G1746" s="17">
        <v>57293</v>
      </c>
      <c r="H1746" s="17">
        <v>1764407</v>
      </c>
      <c r="I1746">
        <f>VLOOKUP(C1746,LEAIDs!$A$2:$B$305,2,FALSE)</f>
        <v>2201050</v>
      </c>
    </row>
    <row r="1747" spans="1:9" x14ac:dyDescent="0.2">
      <c r="A1747">
        <v>2201050</v>
      </c>
      <c r="B1747">
        <v>2020</v>
      </c>
      <c r="C1747" t="s">
        <v>32</v>
      </c>
      <c r="D1747" t="s">
        <v>232</v>
      </c>
      <c r="E1747" t="s">
        <v>234</v>
      </c>
      <c r="F1747" s="17">
        <v>1807581</v>
      </c>
      <c r="G1747" s="17">
        <v>63787</v>
      </c>
      <c r="H1747" s="17">
        <v>1871368</v>
      </c>
      <c r="I1747">
        <f>VLOOKUP(C1747,LEAIDs!$A$2:$B$305,2,FALSE)</f>
        <v>2201050</v>
      </c>
    </row>
    <row r="1748" spans="1:9" x14ac:dyDescent="0.2">
      <c r="A1748">
        <v>2201050</v>
      </c>
      <c r="B1748" s="2">
        <v>2021</v>
      </c>
      <c r="C1748" s="4" t="s">
        <v>32</v>
      </c>
      <c r="D1748" s="2" t="s">
        <v>232</v>
      </c>
      <c r="E1748" s="2" t="s">
        <v>234</v>
      </c>
      <c r="F1748" s="16">
        <v>1815447</v>
      </c>
      <c r="G1748" s="16">
        <v>63191</v>
      </c>
      <c r="H1748" s="15">
        <v>1878638</v>
      </c>
      <c r="I1748">
        <f>VLOOKUP(C1748,LEAIDs!$A$2:$B$305,2,FALSE)</f>
        <v>2201050</v>
      </c>
    </row>
    <row r="1749" spans="1:9" x14ac:dyDescent="0.2">
      <c r="A1749">
        <v>2201050</v>
      </c>
      <c r="B1749" s="2">
        <v>2022</v>
      </c>
      <c r="C1749" s="4" t="s">
        <v>32</v>
      </c>
      <c r="D1749" s="2" t="s">
        <v>232</v>
      </c>
      <c r="E1749" s="2" t="s">
        <v>234</v>
      </c>
      <c r="F1749" s="16">
        <v>1929227</v>
      </c>
      <c r="G1749" s="16">
        <v>68927</v>
      </c>
      <c r="H1749" s="15">
        <v>1998154</v>
      </c>
      <c r="I1749">
        <f>VLOOKUP(C1749,LEAIDs!$A$2:$B$305,2,FALSE)</f>
        <v>2201050</v>
      </c>
    </row>
    <row r="1750" spans="1:9" x14ac:dyDescent="0.2">
      <c r="A1750">
        <v>2201050</v>
      </c>
      <c r="B1750" s="2">
        <v>2023</v>
      </c>
      <c r="C1750" s="2" t="s">
        <v>32</v>
      </c>
      <c r="D1750" s="2" t="s">
        <v>232</v>
      </c>
      <c r="E1750" s="2" t="s">
        <v>234</v>
      </c>
      <c r="F1750" s="15">
        <v>2295487</v>
      </c>
      <c r="G1750" s="15">
        <v>81838</v>
      </c>
      <c r="H1750" s="15">
        <v>2377325</v>
      </c>
      <c r="I1750">
        <f>VLOOKUP(C1750,LEAIDs!$A$2:$B$305,2,FALSE)</f>
        <v>2201050</v>
      </c>
    </row>
    <row r="1751" spans="1:9" x14ac:dyDescent="0.2">
      <c r="A1751">
        <v>2201080</v>
      </c>
      <c r="B1751">
        <v>2015</v>
      </c>
      <c r="C1751" t="s">
        <v>65</v>
      </c>
      <c r="D1751" t="s">
        <v>232</v>
      </c>
      <c r="E1751" t="s">
        <v>234</v>
      </c>
      <c r="F1751" s="17">
        <v>13375174</v>
      </c>
      <c r="G1751" s="17">
        <v>411161</v>
      </c>
      <c r="H1751" s="17">
        <v>13786335</v>
      </c>
      <c r="I1751">
        <f>VLOOKUP(C1751,LEAIDs!$A$2:$B$305,2,FALSE)</f>
        <v>2201080</v>
      </c>
    </row>
    <row r="1752" spans="1:9" x14ac:dyDescent="0.2">
      <c r="A1752">
        <v>2201080</v>
      </c>
      <c r="B1752">
        <v>2016</v>
      </c>
      <c r="C1752" t="s">
        <v>65</v>
      </c>
      <c r="D1752" t="s">
        <v>232</v>
      </c>
      <c r="E1752" t="s">
        <v>234</v>
      </c>
      <c r="F1752" s="17">
        <v>12428274</v>
      </c>
      <c r="G1752" s="17">
        <v>409946</v>
      </c>
      <c r="H1752" s="17">
        <v>12838220</v>
      </c>
      <c r="I1752">
        <f>VLOOKUP(C1752,LEAIDs!$A$2:$B$305,2,FALSE)</f>
        <v>2201080</v>
      </c>
    </row>
    <row r="1753" spans="1:9" x14ac:dyDescent="0.2">
      <c r="A1753">
        <v>2201080</v>
      </c>
      <c r="B1753">
        <v>2017</v>
      </c>
      <c r="C1753" t="s">
        <v>65</v>
      </c>
      <c r="D1753" t="s">
        <v>232</v>
      </c>
      <c r="E1753" t="s">
        <v>234</v>
      </c>
      <c r="F1753" s="17">
        <v>11921932</v>
      </c>
      <c r="G1753" s="17">
        <v>411778</v>
      </c>
      <c r="H1753" s="17">
        <v>12333710</v>
      </c>
      <c r="I1753">
        <f>VLOOKUP(C1753,LEAIDs!$A$2:$B$305,2,FALSE)</f>
        <v>2201080</v>
      </c>
    </row>
    <row r="1754" spans="1:9" x14ac:dyDescent="0.2">
      <c r="A1754">
        <v>2201080</v>
      </c>
      <c r="B1754">
        <v>2018</v>
      </c>
      <c r="C1754" t="s">
        <v>65</v>
      </c>
      <c r="D1754" t="s">
        <v>232</v>
      </c>
      <c r="E1754" t="s">
        <v>234</v>
      </c>
      <c r="F1754" s="17">
        <v>12400319</v>
      </c>
      <c r="G1754" s="17">
        <v>408075</v>
      </c>
      <c r="H1754" s="17">
        <v>12808394</v>
      </c>
      <c r="I1754">
        <f>VLOOKUP(C1754,LEAIDs!$A$2:$B$305,2,FALSE)</f>
        <v>2201080</v>
      </c>
    </row>
    <row r="1755" spans="1:9" x14ac:dyDescent="0.2">
      <c r="A1755">
        <v>2201080</v>
      </c>
      <c r="B1755">
        <v>2019</v>
      </c>
      <c r="C1755" t="s">
        <v>65</v>
      </c>
      <c r="D1755" t="s">
        <v>232</v>
      </c>
      <c r="E1755" t="s">
        <v>234</v>
      </c>
      <c r="F1755" s="17">
        <v>12514939</v>
      </c>
      <c r="G1755" s="17">
        <v>420021</v>
      </c>
      <c r="H1755" s="17">
        <v>12934960</v>
      </c>
      <c r="I1755">
        <f>VLOOKUP(C1755,LEAIDs!$A$2:$B$305,2,FALSE)</f>
        <v>2201080</v>
      </c>
    </row>
    <row r="1756" spans="1:9" x14ac:dyDescent="0.2">
      <c r="A1756">
        <v>2201080</v>
      </c>
      <c r="B1756">
        <v>2020</v>
      </c>
      <c r="C1756" t="s">
        <v>65</v>
      </c>
      <c r="D1756" t="s">
        <v>232</v>
      </c>
      <c r="E1756" t="s">
        <v>234</v>
      </c>
      <c r="F1756" s="17">
        <v>12226297</v>
      </c>
      <c r="G1756" s="17">
        <v>431447</v>
      </c>
      <c r="H1756" s="17">
        <v>12657744</v>
      </c>
      <c r="I1756">
        <f>VLOOKUP(C1756,LEAIDs!$A$2:$B$305,2,FALSE)</f>
        <v>2201080</v>
      </c>
    </row>
    <row r="1757" spans="1:9" x14ac:dyDescent="0.2">
      <c r="A1757">
        <v>2201080</v>
      </c>
      <c r="B1757" s="2">
        <v>2021</v>
      </c>
      <c r="C1757" s="4" t="s">
        <v>65</v>
      </c>
      <c r="D1757" s="2" t="s">
        <v>232</v>
      </c>
      <c r="E1757" s="2" t="s">
        <v>234</v>
      </c>
      <c r="F1757" s="16">
        <v>13130399</v>
      </c>
      <c r="G1757" s="16">
        <v>457034</v>
      </c>
      <c r="H1757" s="15">
        <v>13587433</v>
      </c>
      <c r="I1757">
        <f>VLOOKUP(C1757,LEAIDs!$A$2:$B$305,2,FALSE)</f>
        <v>2201080</v>
      </c>
    </row>
    <row r="1758" spans="1:9" x14ac:dyDescent="0.2">
      <c r="A1758">
        <v>2201080</v>
      </c>
      <c r="B1758" s="2">
        <v>2022</v>
      </c>
      <c r="C1758" s="4" t="s">
        <v>65</v>
      </c>
      <c r="D1758" s="2" t="s">
        <v>232</v>
      </c>
      <c r="E1758" s="2" t="s">
        <v>234</v>
      </c>
      <c r="F1758" s="16">
        <v>13942720</v>
      </c>
      <c r="G1758" s="16">
        <v>498140</v>
      </c>
      <c r="H1758" s="15">
        <v>14440860</v>
      </c>
      <c r="I1758">
        <f>VLOOKUP(C1758,LEAIDs!$A$2:$B$305,2,FALSE)</f>
        <v>2201080</v>
      </c>
    </row>
    <row r="1759" spans="1:9" x14ac:dyDescent="0.2">
      <c r="A1759">
        <v>2201080</v>
      </c>
      <c r="B1759" s="2">
        <v>2023</v>
      </c>
      <c r="C1759" s="2" t="s">
        <v>65</v>
      </c>
      <c r="D1759" s="2" t="s">
        <v>232</v>
      </c>
      <c r="E1759" s="2" t="s">
        <v>234</v>
      </c>
      <c r="F1759" s="15">
        <v>14493287</v>
      </c>
      <c r="G1759" s="15">
        <v>516709</v>
      </c>
      <c r="H1759" s="15">
        <v>15009996</v>
      </c>
      <c r="I1759">
        <f>VLOOKUP(C1759,LEAIDs!$A$2:$B$305,2,FALSE)</f>
        <v>2201080</v>
      </c>
    </row>
    <row r="1760" spans="1:9" x14ac:dyDescent="0.2">
      <c r="A1760">
        <v>2201110</v>
      </c>
      <c r="B1760">
        <v>2015</v>
      </c>
      <c r="C1760" t="s">
        <v>33</v>
      </c>
      <c r="D1760" t="s">
        <v>232</v>
      </c>
      <c r="E1760" t="s">
        <v>234</v>
      </c>
      <c r="F1760" s="17">
        <v>4273515</v>
      </c>
      <c r="G1760" s="17">
        <v>131370</v>
      </c>
      <c r="H1760" s="17">
        <v>4404885</v>
      </c>
      <c r="I1760">
        <f>VLOOKUP(C1760,LEAIDs!$A$2:$B$305,2,FALSE)</f>
        <v>2201110</v>
      </c>
    </row>
    <row r="1761" spans="1:9" x14ac:dyDescent="0.2">
      <c r="A1761">
        <v>2201110</v>
      </c>
      <c r="B1761">
        <v>2016</v>
      </c>
      <c r="C1761" t="s">
        <v>33</v>
      </c>
      <c r="D1761" t="s">
        <v>232</v>
      </c>
      <c r="E1761" t="s">
        <v>234</v>
      </c>
      <c r="F1761" s="17">
        <v>4127362</v>
      </c>
      <c r="G1761" s="17">
        <v>136141</v>
      </c>
      <c r="H1761" s="17">
        <v>4263503</v>
      </c>
      <c r="I1761">
        <f>VLOOKUP(C1761,LEAIDs!$A$2:$B$305,2,FALSE)</f>
        <v>2201110</v>
      </c>
    </row>
    <row r="1762" spans="1:9" x14ac:dyDescent="0.2">
      <c r="A1762">
        <v>2201110</v>
      </c>
      <c r="B1762">
        <v>2017</v>
      </c>
      <c r="C1762" t="s">
        <v>33</v>
      </c>
      <c r="D1762" t="s">
        <v>232</v>
      </c>
      <c r="E1762" t="s">
        <v>234</v>
      </c>
      <c r="F1762" s="17">
        <v>3692192</v>
      </c>
      <c r="G1762" s="17">
        <v>127527</v>
      </c>
      <c r="H1762" s="17">
        <v>3819719</v>
      </c>
      <c r="I1762">
        <f>VLOOKUP(C1762,LEAIDs!$A$2:$B$305,2,FALSE)</f>
        <v>2201110</v>
      </c>
    </row>
    <row r="1763" spans="1:9" x14ac:dyDescent="0.2">
      <c r="A1763">
        <v>2201110</v>
      </c>
      <c r="B1763">
        <v>2018</v>
      </c>
      <c r="C1763" t="s">
        <v>33</v>
      </c>
      <c r="D1763" t="s">
        <v>232</v>
      </c>
      <c r="E1763" t="s">
        <v>234</v>
      </c>
      <c r="F1763" s="17">
        <v>4176501</v>
      </c>
      <c r="G1763" s="17">
        <v>137442</v>
      </c>
      <c r="H1763" s="17">
        <v>4313943</v>
      </c>
      <c r="I1763">
        <f>VLOOKUP(C1763,LEAIDs!$A$2:$B$305,2,FALSE)</f>
        <v>2201110</v>
      </c>
    </row>
    <row r="1764" spans="1:9" x14ac:dyDescent="0.2">
      <c r="A1764">
        <v>2201110</v>
      </c>
      <c r="B1764">
        <v>2019</v>
      </c>
      <c r="C1764" t="s">
        <v>33</v>
      </c>
      <c r="D1764" t="s">
        <v>232</v>
      </c>
      <c r="E1764" t="s">
        <v>234</v>
      </c>
      <c r="F1764" s="17">
        <v>3394010</v>
      </c>
      <c r="G1764" s="17">
        <v>113908</v>
      </c>
      <c r="H1764" s="17">
        <v>3507918</v>
      </c>
      <c r="I1764">
        <f>VLOOKUP(C1764,LEAIDs!$A$2:$B$305,2,FALSE)</f>
        <v>2201110</v>
      </c>
    </row>
    <row r="1765" spans="1:9" x14ac:dyDescent="0.2">
      <c r="A1765">
        <v>2201110</v>
      </c>
      <c r="B1765">
        <v>2020</v>
      </c>
      <c r="C1765" t="s">
        <v>33</v>
      </c>
      <c r="D1765" t="s">
        <v>232</v>
      </c>
      <c r="E1765" t="s">
        <v>234</v>
      </c>
      <c r="F1765" s="17">
        <v>3378011</v>
      </c>
      <c r="G1765" s="17">
        <v>119205</v>
      </c>
      <c r="H1765" s="17">
        <v>3497216</v>
      </c>
      <c r="I1765">
        <f>VLOOKUP(C1765,LEAIDs!$A$2:$B$305,2,FALSE)</f>
        <v>2201110</v>
      </c>
    </row>
    <row r="1766" spans="1:9" x14ac:dyDescent="0.2">
      <c r="A1766">
        <v>2201110</v>
      </c>
      <c r="B1766" s="2">
        <v>2021</v>
      </c>
      <c r="C1766" s="4" t="s">
        <v>33</v>
      </c>
      <c r="D1766" s="2" t="s">
        <v>232</v>
      </c>
      <c r="E1766" s="2" t="s">
        <v>234</v>
      </c>
      <c r="F1766" s="16">
        <v>3491240</v>
      </c>
      <c r="G1766" s="16">
        <v>121521</v>
      </c>
      <c r="H1766" s="15">
        <v>3612761</v>
      </c>
      <c r="I1766">
        <f>VLOOKUP(C1766,LEAIDs!$A$2:$B$305,2,FALSE)</f>
        <v>2201110</v>
      </c>
    </row>
    <row r="1767" spans="1:9" x14ac:dyDescent="0.2">
      <c r="A1767">
        <v>2201110</v>
      </c>
      <c r="B1767" s="2">
        <v>2022</v>
      </c>
      <c r="C1767" s="4" t="s">
        <v>33</v>
      </c>
      <c r="D1767" s="2" t="s">
        <v>232</v>
      </c>
      <c r="E1767" s="2" t="s">
        <v>234</v>
      </c>
      <c r="F1767" s="16">
        <v>3754205</v>
      </c>
      <c r="G1767" s="16">
        <v>134129</v>
      </c>
      <c r="H1767" s="15">
        <v>3888334</v>
      </c>
      <c r="I1767">
        <f>VLOOKUP(C1767,LEAIDs!$A$2:$B$305,2,FALSE)</f>
        <v>2201110</v>
      </c>
    </row>
    <row r="1768" spans="1:9" x14ac:dyDescent="0.2">
      <c r="A1768">
        <v>2201110</v>
      </c>
      <c r="B1768" s="2">
        <v>2023</v>
      </c>
      <c r="C1768" s="2" t="s">
        <v>33</v>
      </c>
      <c r="D1768" s="2" t="s">
        <v>232</v>
      </c>
      <c r="E1768" s="2" t="s">
        <v>234</v>
      </c>
      <c r="F1768" s="15">
        <v>3780663</v>
      </c>
      <c r="G1768" s="15">
        <v>134787</v>
      </c>
      <c r="H1768" s="15">
        <v>3915450</v>
      </c>
      <c r="I1768">
        <f>VLOOKUP(C1768,LEAIDs!$A$2:$B$305,2,FALSE)</f>
        <v>2201110</v>
      </c>
    </row>
    <row r="1769" spans="1:9" x14ac:dyDescent="0.2">
      <c r="A1769">
        <v>2201140</v>
      </c>
      <c r="B1769">
        <v>2015</v>
      </c>
      <c r="C1769" t="s">
        <v>34</v>
      </c>
      <c r="D1769" t="s">
        <v>232</v>
      </c>
      <c r="E1769" t="s">
        <v>234</v>
      </c>
      <c r="F1769" s="17">
        <v>8315431</v>
      </c>
      <c r="G1769" s="17">
        <v>255621</v>
      </c>
      <c r="H1769" s="17">
        <v>8571052</v>
      </c>
      <c r="I1769">
        <f>VLOOKUP(C1769,LEAIDs!$A$2:$B$305,2,FALSE)</f>
        <v>2201140</v>
      </c>
    </row>
    <row r="1770" spans="1:9" x14ac:dyDescent="0.2">
      <c r="A1770">
        <v>2201140</v>
      </c>
      <c r="B1770">
        <v>2016</v>
      </c>
      <c r="C1770" t="s">
        <v>34</v>
      </c>
      <c r="D1770" t="s">
        <v>232</v>
      </c>
      <c r="E1770" t="s">
        <v>234</v>
      </c>
      <c r="F1770" s="17">
        <v>8049335</v>
      </c>
      <c r="G1770" s="17">
        <v>265507</v>
      </c>
      <c r="H1770" s="17">
        <v>8314842</v>
      </c>
      <c r="I1770">
        <f>VLOOKUP(C1770,LEAIDs!$A$2:$B$305,2,FALSE)</f>
        <v>2201140</v>
      </c>
    </row>
    <row r="1771" spans="1:9" x14ac:dyDescent="0.2">
      <c r="A1771">
        <v>2201140</v>
      </c>
      <c r="B1771">
        <v>2017</v>
      </c>
      <c r="C1771" t="s">
        <v>34</v>
      </c>
      <c r="D1771" t="s">
        <v>232</v>
      </c>
      <c r="E1771" t="s">
        <v>234</v>
      </c>
      <c r="F1771" s="17">
        <v>7464066</v>
      </c>
      <c r="G1771" s="17">
        <v>257806</v>
      </c>
      <c r="H1771" s="17">
        <v>7721872</v>
      </c>
      <c r="I1771">
        <f>VLOOKUP(C1771,LEAIDs!$A$2:$B$305,2,FALSE)</f>
        <v>2201140</v>
      </c>
    </row>
    <row r="1772" spans="1:9" x14ac:dyDescent="0.2">
      <c r="A1772">
        <v>2201140</v>
      </c>
      <c r="B1772">
        <v>2018</v>
      </c>
      <c r="C1772" t="s">
        <v>34</v>
      </c>
      <c r="D1772" t="s">
        <v>232</v>
      </c>
      <c r="E1772" t="s">
        <v>234</v>
      </c>
      <c r="F1772" s="17">
        <v>7278327</v>
      </c>
      <c r="G1772" s="17">
        <v>239518</v>
      </c>
      <c r="H1772" s="17">
        <v>7517845</v>
      </c>
      <c r="I1772">
        <f>VLOOKUP(C1772,LEAIDs!$A$2:$B$305,2,FALSE)</f>
        <v>2201140</v>
      </c>
    </row>
    <row r="1773" spans="1:9" x14ac:dyDescent="0.2">
      <c r="A1773">
        <v>2201140</v>
      </c>
      <c r="B1773">
        <v>2019</v>
      </c>
      <c r="C1773" t="s">
        <v>34</v>
      </c>
      <c r="D1773" t="s">
        <v>232</v>
      </c>
      <c r="E1773" t="s">
        <v>234</v>
      </c>
      <c r="F1773" s="17">
        <v>7322795</v>
      </c>
      <c r="G1773" s="17">
        <v>245765</v>
      </c>
      <c r="H1773" s="17">
        <v>7568560</v>
      </c>
      <c r="I1773">
        <f>VLOOKUP(C1773,LEAIDs!$A$2:$B$305,2,FALSE)</f>
        <v>2201140</v>
      </c>
    </row>
    <row r="1774" spans="1:9" x14ac:dyDescent="0.2">
      <c r="A1774">
        <v>2201140</v>
      </c>
      <c r="B1774">
        <v>2020</v>
      </c>
      <c r="C1774" t="s">
        <v>34</v>
      </c>
      <c r="D1774" t="s">
        <v>232</v>
      </c>
      <c r="E1774" t="s">
        <v>234</v>
      </c>
      <c r="F1774" s="17">
        <v>7521220</v>
      </c>
      <c r="G1774" s="17">
        <v>265412</v>
      </c>
      <c r="H1774" s="17">
        <v>7786632</v>
      </c>
      <c r="I1774">
        <f>VLOOKUP(C1774,LEAIDs!$A$2:$B$305,2,FALSE)</f>
        <v>2201140</v>
      </c>
    </row>
    <row r="1775" spans="1:9" x14ac:dyDescent="0.2">
      <c r="A1775">
        <v>2201140</v>
      </c>
      <c r="B1775" s="2">
        <v>2021</v>
      </c>
      <c r="C1775" s="4" t="s">
        <v>34</v>
      </c>
      <c r="D1775" s="2" t="s">
        <v>232</v>
      </c>
      <c r="E1775" s="2" t="s">
        <v>234</v>
      </c>
      <c r="F1775" s="16">
        <v>7977436</v>
      </c>
      <c r="G1775" s="16">
        <v>277673</v>
      </c>
      <c r="H1775" s="15">
        <v>8255109</v>
      </c>
      <c r="I1775">
        <f>VLOOKUP(C1775,LEAIDs!$A$2:$B$305,2,FALSE)</f>
        <v>2201140</v>
      </c>
    </row>
    <row r="1776" spans="1:9" x14ac:dyDescent="0.2">
      <c r="A1776">
        <v>2201140</v>
      </c>
      <c r="B1776" s="2">
        <v>2022</v>
      </c>
      <c r="C1776" s="4" t="s">
        <v>34</v>
      </c>
      <c r="D1776" s="2" t="s">
        <v>232</v>
      </c>
      <c r="E1776" s="2" t="s">
        <v>234</v>
      </c>
      <c r="F1776" s="16">
        <v>8629809</v>
      </c>
      <c r="G1776" s="16">
        <v>308323</v>
      </c>
      <c r="H1776" s="15">
        <v>8938132</v>
      </c>
      <c r="I1776">
        <f>VLOOKUP(C1776,LEAIDs!$A$2:$B$305,2,FALSE)</f>
        <v>2201140</v>
      </c>
    </row>
    <row r="1777" spans="1:9" x14ac:dyDescent="0.2">
      <c r="A1777">
        <v>2201140</v>
      </c>
      <c r="B1777" s="2">
        <v>2023</v>
      </c>
      <c r="C1777" s="2" t="s">
        <v>34</v>
      </c>
      <c r="D1777" s="2" t="s">
        <v>232</v>
      </c>
      <c r="E1777" s="2" t="s">
        <v>234</v>
      </c>
      <c r="F1777" s="15">
        <v>9291784</v>
      </c>
      <c r="G1777" s="15">
        <v>331267</v>
      </c>
      <c r="H1777" s="15">
        <v>9623051</v>
      </c>
      <c r="I1777">
        <f>VLOOKUP(C1777,LEAIDs!$A$2:$B$305,2,FALSE)</f>
        <v>2201140</v>
      </c>
    </row>
    <row r="1778" spans="1:9" x14ac:dyDescent="0.2">
      <c r="A1778">
        <v>2201170</v>
      </c>
      <c r="B1778">
        <v>2015</v>
      </c>
      <c r="C1778" t="s">
        <v>35</v>
      </c>
      <c r="D1778" t="s">
        <v>232</v>
      </c>
      <c r="E1778" t="s">
        <v>234</v>
      </c>
      <c r="F1778" s="17">
        <v>7422030</v>
      </c>
      <c r="G1778" s="17">
        <v>228157</v>
      </c>
      <c r="H1778" s="17">
        <v>7650187</v>
      </c>
      <c r="I1778">
        <f>VLOOKUP(C1778,LEAIDs!$A$2:$B$305,2,FALSE)</f>
        <v>2201170</v>
      </c>
    </row>
    <row r="1779" spans="1:9" x14ac:dyDescent="0.2">
      <c r="A1779">
        <v>2201170</v>
      </c>
      <c r="B1779">
        <v>2016</v>
      </c>
      <c r="C1779" t="s">
        <v>35</v>
      </c>
      <c r="D1779" t="s">
        <v>232</v>
      </c>
      <c r="E1779" t="s">
        <v>234</v>
      </c>
      <c r="F1779" s="17">
        <v>6647800</v>
      </c>
      <c r="G1779" s="17">
        <v>219277</v>
      </c>
      <c r="H1779" s="17">
        <v>6867077</v>
      </c>
      <c r="I1779">
        <f>VLOOKUP(C1779,LEAIDs!$A$2:$B$305,2,FALSE)</f>
        <v>2201170</v>
      </c>
    </row>
    <row r="1780" spans="1:9" x14ac:dyDescent="0.2">
      <c r="A1780">
        <v>2201170</v>
      </c>
      <c r="B1780">
        <v>2017</v>
      </c>
      <c r="C1780" t="s">
        <v>35</v>
      </c>
      <c r="D1780" t="s">
        <v>232</v>
      </c>
      <c r="E1780" t="s">
        <v>234</v>
      </c>
      <c r="F1780" s="17">
        <v>5482764</v>
      </c>
      <c r="G1780" s="17">
        <v>189372</v>
      </c>
      <c r="H1780" s="17">
        <v>5672136</v>
      </c>
      <c r="I1780">
        <f>VLOOKUP(C1780,LEAIDs!$A$2:$B$305,2,FALSE)</f>
        <v>2201170</v>
      </c>
    </row>
    <row r="1781" spans="1:9" x14ac:dyDescent="0.2">
      <c r="A1781">
        <v>2201170</v>
      </c>
      <c r="B1781">
        <v>2018</v>
      </c>
      <c r="C1781" t="s">
        <v>35</v>
      </c>
      <c r="D1781" t="s">
        <v>232</v>
      </c>
      <c r="E1781" t="s">
        <v>234</v>
      </c>
      <c r="F1781" s="17">
        <v>6303956</v>
      </c>
      <c r="G1781" s="17">
        <v>207453</v>
      </c>
      <c r="H1781" s="17">
        <v>6511409</v>
      </c>
      <c r="I1781">
        <f>VLOOKUP(C1781,LEAIDs!$A$2:$B$305,2,FALSE)</f>
        <v>2201170</v>
      </c>
    </row>
    <row r="1782" spans="1:9" x14ac:dyDescent="0.2">
      <c r="A1782">
        <v>2201170</v>
      </c>
      <c r="B1782">
        <v>2019</v>
      </c>
      <c r="C1782" t="s">
        <v>35</v>
      </c>
      <c r="D1782" t="s">
        <v>232</v>
      </c>
      <c r="E1782" t="s">
        <v>234</v>
      </c>
      <c r="F1782" s="17">
        <v>4983241</v>
      </c>
      <c r="G1782" s="17">
        <v>167246</v>
      </c>
      <c r="H1782" s="17">
        <v>5150487</v>
      </c>
      <c r="I1782">
        <f>VLOOKUP(C1782,LEAIDs!$A$2:$B$305,2,FALSE)</f>
        <v>2201170</v>
      </c>
    </row>
    <row r="1783" spans="1:9" x14ac:dyDescent="0.2">
      <c r="A1783">
        <v>2201170</v>
      </c>
      <c r="B1783">
        <v>2020</v>
      </c>
      <c r="C1783" t="s">
        <v>35</v>
      </c>
      <c r="D1783" t="s">
        <v>232</v>
      </c>
      <c r="E1783" t="s">
        <v>234</v>
      </c>
      <c r="F1783" s="17">
        <v>3729826</v>
      </c>
      <c r="G1783" s="17">
        <v>131620</v>
      </c>
      <c r="H1783" s="17">
        <v>3861446</v>
      </c>
      <c r="I1783">
        <f>VLOOKUP(C1783,LEAIDs!$A$2:$B$305,2,FALSE)</f>
        <v>2201170</v>
      </c>
    </row>
    <row r="1784" spans="1:9" x14ac:dyDescent="0.2">
      <c r="A1784">
        <v>2201170</v>
      </c>
      <c r="B1784" s="2">
        <v>2021</v>
      </c>
      <c r="C1784" s="4" t="s">
        <v>35</v>
      </c>
      <c r="D1784" s="2" t="s">
        <v>232</v>
      </c>
      <c r="E1784" s="2" t="s">
        <v>234</v>
      </c>
      <c r="F1784" s="16">
        <v>4216236</v>
      </c>
      <c r="G1784" s="16">
        <v>146756</v>
      </c>
      <c r="H1784" s="15">
        <v>4362992</v>
      </c>
      <c r="I1784">
        <f>VLOOKUP(C1784,LEAIDs!$A$2:$B$305,2,FALSE)</f>
        <v>2201170</v>
      </c>
    </row>
    <row r="1785" spans="1:9" x14ac:dyDescent="0.2">
      <c r="A1785">
        <v>2201170</v>
      </c>
      <c r="B1785" s="2">
        <v>2022</v>
      </c>
      <c r="C1785" s="4" t="s">
        <v>35</v>
      </c>
      <c r="D1785" s="2" t="s">
        <v>232</v>
      </c>
      <c r="E1785" s="2" t="s">
        <v>234</v>
      </c>
      <c r="F1785" s="16">
        <v>3687786</v>
      </c>
      <c r="G1785" s="16">
        <v>131756</v>
      </c>
      <c r="H1785" s="15">
        <v>3819542</v>
      </c>
      <c r="I1785">
        <f>VLOOKUP(C1785,LEAIDs!$A$2:$B$305,2,FALSE)</f>
        <v>2201170</v>
      </c>
    </row>
    <row r="1786" spans="1:9" x14ac:dyDescent="0.2">
      <c r="A1786">
        <v>2201170</v>
      </c>
      <c r="B1786" s="2">
        <v>2023</v>
      </c>
      <c r="C1786" s="2" t="s">
        <v>35</v>
      </c>
      <c r="D1786" s="2" t="s">
        <v>232</v>
      </c>
      <c r="E1786" s="2" t="s">
        <v>234</v>
      </c>
      <c r="F1786" s="15">
        <v>4205302</v>
      </c>
      <c r="G1786" s="15">
        <v>149926</v>
      </c>
      <c r="H1786" s="15">
        <v>4355228</v>
      </c>
      <c r="I1786">
        <f>VLOOKUP(C1786,LEAIDs!$A$2:$B$305,2,FALSE)</f>
        <v>2201170</v>
      </c>
    </row>
    <row r="1787" spans="1:9" x14ac:dyDescent="0.2">
      <c r="A1787">
        <v>2201200</v>
      </c>
      <c r="B1787">
        <v>2015</v>
      </c>
      <c r="C1787" t="s">
        <v>36</v>
      </c>
      <c r="D1787" t="s">
        <v>232</v>
      </c>
      <c r="E1787" t="s">
        <v>234</v>
      </c>
      <c r="F1787" s="17">
        <v>27048494</v>
      </c>
      <c r="G1787" s="17">
        <v>831486</v>
      </c>
      <c r="H1787" s="17">
        <v>27879980</v>
      </c>
      <c r="I1787">
        <f>VLOOKUP(C1787,LEAIDs!$A$2:$B$305,2,FALSE)</f>
        <v>2201200</v>
      </c>
    </row>
    <row r="1788" spans="1:9" x14ac:dyDescent="0.2">
      <c r="A1788">
        <v>2201200</v>
      </c>
      <c r="B1788">
        <v>2016</v>
      </c>
      <c r="C1788" t="s">
        <v>36</v>
      </c>
      <c r="D1788" t="s">
        <v>232</v>
      </c>
      <c r="E1788" t="s">
        <v>234</v>
      </c>
      <c r="F1788" s="17">
        <v>25113208</v>
      </c>
      <c r="G1788" s="17">
        <v>828358</v>
      </c>
      <c r="H1788" s="17">
        <v>25941566</v>
      </c>
      <c r="I1788">
        <f>VLOOKUP(C1788,LEAIDs!$A$2:$B$305,2,FALSE)</f>
        <v>2201200</v>
      </c>
    </row>
    <row r="1789" spans="1:9" x14ac:dyDescent="0.2">
      <c r="A1789">
        <v>2201200</v>
      </c>
      <c r="B1789">
        <v>2017</v>
      </c>
      <c r="C1789" t="s">
        <v>36</v>
      </c>
      <c r="D1789" t="s">
        <v>232</v>
      </c>
      <c r="E1789" t="s">
        <v>234</v>
      </c>
      <c r="F1789" s="17">
        <v>23424065</v>
      </c>
      <c r="G1789" s="17">
        <v>809057</v>
      </c>
      <c r="H1789" s="17">
        <v>24233122</v>
      </c>
      <c r="I1789">
        <f>VLOOKUP(C1789,LEAIDs!$A$2:$B$305,2,FALSE)</f>
        <v>2201200</v>
      </c>
    </row>
    <row r="1790" spans="1:9" x14ac:dyDescent="0.2">
      <c r="A1790">
        <v>2201200</v>
      </c>
      <c r="B1790">
        <v>2018</v>
      </c>
      <c r="C1790" t="s">
        <v>36</v>
      </c>
      <c r="D1790" t="s">
        <v>232</v>
      </c>
      <c r="E1790" t="s">
        <v>234</v>
      </c>
      <c r="F1790" s="17">
        <v>24548759</v>
      </c>
      <c r="G1790" s="17">
        <v>807861</v>
      </c>
      <c r="H1790" s="17">
        <v>25356620</v>
      </c>
      <c r="I1790">
        <f>VLOOKUP(C1790,LEAIDs!$A$2:$B$305,2,FALSE)</f>
        <v>2201200</v>
      </c>
    </row>
    <row r="1791" spans="1:9" x14ac:dyDescent="0.2">
      <c r="A1791">
        <v>2201200</v>
      </c>
      <c r="B1791">
        <v>2019</v>
      </c>
      <c r="C1791" t="s">
        <v>36</v>
      </c>
      <c r="D1791" t="s">
        <v>232</v>
      </c>
      <c r="E1791" t="s">
        <v>234</v>
      </c>
      <c r="F1791" s="17">
        <v>23975153</v>
      </c>
      <c r="G1791" s="17">
        <v>804644</v>
      </c>
      <c r="H1791" s="17">
        <v>24779797</v>
      </c>
      <c r="I1791">
        <f>VLOOKUP(C1791,LEAIDs!$A$2:$B$305,2,FALSE)</f>
        <v>2201200</v>
      </c>
    </row>
    <row r="1792" spans="1:9" x14ac:dyDescent="0.2">
      <c r="A1792">
        <v>2201200</v>
      </c>
      <c r="B1792">
        <v>2020</v>
      </c>
      <c r="C1792" t="s">
        <v>36</v>
      </c>
      <c r="D1792" t="s">
        <v>232</v>
      </c>
      <c r="E1792" t="s">
        <v>234</v>
      </c>
      <c r="F1792" s="17">
        <v>24097185</v>
      </c>
      <c r="G1792" s="17">
        <v>850353</v>
      </c>
      <c r="H1792" s="17">
        <v>24947538</v>
      </c>
      <c r="I1792">
        <f>VLOOKUP(C1792,LEAIDs!$A$2:$B$305,2,FALSE)</f>
        <v>2201200</v>
      </c>
    </row>
    <row r="1793" spans="1:9" x14ac:dyDescent="0.2">
      <c r="A1793">
        <v>2201200</v>
      </c>
      <c r="B1793" s="2">
        <v>2021</v>
      </c>
      <c r="C1793" s="4" t="s">
        <v>36</v>
      </c>
      <c r="D1793" s="2" t="s">
        <v>232</v>
      </c>
      <c r="E1793" s="2" t="s">
        <v>234</v>
      </c>
      <c r="F1793" s="16">
        <v>23896010</v>
      </c>
      <c r="G1793" s="16">
        <v>831756</v>
      </c>
      <c r="H1793" s="15">
        <v>24727766</v>
      </c>
      <c r="I1793">
        <f>VLOOKUP(C1793,LEAIDs!$A$2:$B$305,2,FALSE)</f>
        <v>2201200</v>
      </c>
    </row>
    <row r="1794" spans="1:9" x14ac:dyDescent="0.2">
      <c r="A1794">
        <v>2201200</v>
      </c>
      <c r="B1794" s="2">
        <v>2022</v>
      </c>
      <c r="C1794" s="4" t="s">
        <v>36</v>
      </c>
      <c r="D1794" s="2" t="s">
        <v>232</v>
      </c>
      <c r="E1794" s="2" t="s">
        <v>234</v>
      </c>
      <c r="F1794" s="16">
        <v>24877620</v>
      </c>
      <c r="G1794" s="16">
        <v>888818</v>
      </c>
      <c r="H1794" s="15">
        <v>25766438</v>
      </c>
      <c r="I1794">
        <f>VLOOKUP(C1794,LEAIDs!$A$2:$B$305,2,FALSE)</f>
        <v>2201200</v>
      </c>
    </row>
    <row r="1795" spans="1:9" x14ac:dyDescent="0.2">
      <c r="A1795">
        <v>2201200</v>
      </c>
      <c r="B1795" s="2">
        <v>2023</v>
      </c>
      <c r="C1795" s="2" t="s">
        <v>36</v>
      </c>
      <c r="D1795" s="2" t="s">
        <v>232</v>
      </c>
      <c r="E1795" s="2" t="s">
        <v>234</v>
      </c>
      <c r="F1795" s="15">
        <v>26207137</v>
      </c>
      <c r="G1795" s="15">
        <v>934327</v>
      </c>
      <c r="H1795" s="15">
        <v>27141464</v>
      </c>
      <c r="I1795">
        <f>VLOOKUP(C1795,LEAIDs!$A$2:$B$305,2,FALSE)</f>
        <v>2201200</v>
      </c>
    </row>
    <row r="1796" spans="1:9" x14ac:dyDescent="0.2">
      <c r="A1796">
        <v>2201230</v>
      </c>
      <c r="B1796">
        <v>2015</v>
      </c>
      <c r="C1796" t="s">
        <v>37</v>
      </c>
      <c r="D1796" t="s">
        <v>232</v>
      </c>
      <c r="E1796" t="s">
        <v>234</v>
      </c>
      <c r="F1796" s="17">
        <v>7499363</v>
      </c>
      <c r="G1796" s="17">
        <v>230535</v>
      </c>
      <c r="H1796" s="17">
        <v>7729898</v>
      </c>
      <c r="I1796">
        <f>VLOOKUP(C1796,LEAIDs!$A$2:$B$305,2,FALSE)</f>
        <v>2201230</v>
      </c>
    </row>
    <row r="1797" spans="1:9" x14ac:dyDescent="0.2">
      <c r="A1797">
        <v>2201230</v>
      </c>
      <c r="B1797">
        <v>2016</v>
      </c>
      <c r="C1797" t="s">
        <v>37</v>
      </c>
      <c r="D1797" t="s">
        <v>232</v>
      </c>
      <c r="E1797" t="s">
        <v>234</v>
      </c>
      <c r="F1797" s="17">
        <v>8276550</v>
      </c>
      <c r="G1797" s="17">
        <v>273002</v>
      </c>
      <c r="H1797" s="17">
        <v>8549552</v>
      </c>
      <c r="I1797">
        <f>VLOOKUP(C1797,LEAIDs!$A$2:$B$305,2,FALSE)</f>
        <v>2201230</v>
      </c>
    </row>
    <row r="1798" spans="1:9" x14ac:dyDescent="0.2">
      <c r="A1798">
        <v>2201230</v>
      </c>
      <c r="B1798">
        <v>2017</v>
      </c>
      <c r="C1798" t="s">
        <v>37</v>
      </c>
      <c r="D1798" t="s">
        <v>232</v>
      </c>
      <c r="E1798" t="s">
        <v>234</v>
      </c>
      <c r="F1798" s="17">
        <v>7607044</v>
      </c>
      <c r="G1798" s="17">
        <v>262744</v>
      </c>
      <c r="H1798" s="17">
        <v>7869788</v>
      </c>
      <c r="I1798">
        <f>VLOOKUP(C1798,LEAIDs!$A$2:$B$305,2,FALSE)</f>
        <v>2201230</v>
      </c>
    </row>
    <row r="1799" spans="1:9" x14ac:dyDescent="0.2">
      <c r="A1799">
        <v>2201230</v>
      </c>
      <c r="B1799">
        <v>2018</v>
      </c>
      <c r="C1799" t="s">
        <v>37</v>
      </c>
      <c r="D1799" t="s">
        <v>232</v>
      </c>
      <c r="E1799" t="s">
        <v>234</v>
      </c>
      <c r="F1799" s="17">
        <v>7348874</v>
      </c>
      <c r="G1799" s="17">
        <v>241840</v>
      </c>
      <c r="H1799" s="17">
        <v>7590714</v>
      </c>
      <c r="I1799">
        <f>VLOOKUP(C1799,LEAIDs!$A$2:$B$305,2,FALSE)</f>
        <v>2201230</v>
      </c>
    </row>
    <row r="1800" spans="1:9" x14ac:dyDescent="0.2">
      <c r="A1800">
        <v>2201230</v>
      </c>
      <c r="B1800">
        <v>2019</v>
      </c>
      <c r="C1800" t="s">
        <v>37</v>
      </c>
      <c r="D1800" t="s">
        <v>232</v>
      </c>
      <c r="E1800" t="s">
        <v>234</v>
      </c>
      <c r="F1800" s="17">
        <v>7640086</v>
      </c>
      <c r="G1800" s="17">
        <v>256413</v>
      </c>
      <c r="H1800" s="17">
        <v>7896499</v>
      </c>
      <c r="I1800">
        <f>VLOOKUP(C1800,LEAIDs!$A$2:$B$305,2,FALSE)</f>
        <v>2201230</v>
      </c>
    </row>
    <row r="1801" spans="1:9" x14ac:dyDescent="0.2">
      <c r="A1801">
        <v>2201230</v>
      </c>
      <c r="B1801">
        <v>2020</v>
      </c>
      <c r="C1801" t="s">
        <v>37</v>
      </c>
      <c r="D1801" t="s">
        <v>232</v>
      </c>
      <c r="E1801" t="s">
        <v>234</v>
      </c>
      <c r="F1801" s="17">
        <v>7609800</v>
      </c>
      <c r="G1801" s="17">
        <v>268538</v>
      </c>
      <c r="H1801" s="17">
        <v>7878338</v>
      </c>
      <c r="I1801">
        <f>VLOOKUP(C1801,LEAIDs!$A$2:$B$305,2,FALSE)</f>
        <v>2201230</v>
      </c>
    </row>
    <row r="1802" spans="1:9" x14ac:dyDescent="0.2">
      <c r="A1802">
        <v>2201230</v>
      </c>
      <c r="B1802" s="2">
        <v>2021</v>
      </c>
      <c r="C1802" s="4" t="s">
        <v>37</v>
      </c>
      <c r="D1802" s="2" t="s">
        <v>232</v>
      </c>
      <c r="E1802" s="2" t="s">
        <v>234</v>
      </c>
      <c r="F1802" s="16">
        <v>7384965</v>
      </c>
      <c r="G1802" s="16">
        <v>257051</v>
      </c>
      <c r="H1802" s="15">
        <v>7642016</v>
      </c>
      <c r="I1802">
        <f>VLOOKUP(C1802,LEAIDs!$A$2:$B$305,2,FALSE)</f>
        <v>2201230</v>
      </c>
    </row>
    <row r="1803" spans="1:9" x14ac:dyDescent="0.2">
      <c r="A1803">
        <v>2201230</v>
      </c>
      <c r="B1803" s="2">
        <v>2022</v>
      </c>
      <c r="C1803" s="4" t="s">
        <v>37</v>
      </c>
      <c r="D1803" s="2" t="s">
        <v>232</v>
      </c>
      <c r="E1803" s="2" t="s">
        <v>234</v>
      </c>
      <c r="F1803" s="16">
        <v>7442573</v>
      </c>
      <c r="G1803" s="16">
        <v>265905</v>
      </c>
      <c r="H1803" s="15">
        <v>7708478</v>
      </c>
      <c r="I1803">
        <f>VLOOKUP(C1803,LEAIDs!$A$2:$B$305,2,FALSE)</f>
        <v>2201230</v>
      </c>
    </row>
    <row r="1804" spans="1:9" x14ac:dyDescent="0.2">
      <c r="A1804">
        <v>2201230</v>
      </c>
      <c r="B1804" s="2">
        <v>2023</v>
      </c>
      <c r="C1804" s="2" t="s">
        <v>37</v>
      </c>
      <c r="D1804" s="2" t="s">
        <v>232</v>
      </c>
      <c r="E1804" s="2" t="s">
        <v>234</v>
      </c>
      <c r="F1804" s="15">
        <v>8047356</v>
      </c>
      <c r="G1804" s="15">
        <v>286901</v>
      </c>
      <c r="H1804" s="15">
        <v>8334257</v>
      </c>
      <c r="I1804">
        <f>VLOOKUP(C1804,LEAIDs!$A$2:$B$305,2,FALSE)</f>
        <v>2201230</v>
      </c>
    </row>
    <row r="1805" spans="1:9" x14ac:dyDescent="0.2">
      <c r="A1805">
        <v>2201260</v>
      </c>
      <c r="B1805">
        <v>2015</v>
      </c>
      <c r="C1805" t="s">
        <v>38</v>
      </c>
      <c r="D1805" t="s">
        <v>232</v>
      </c>
      <c r="E1805" t="s">
        <v>234</v>
      </c>
      <c r="F1805" s="17">
        <v>3473006</v>
      </c>
      <c r="G1805" s="17">
        <v>106762</v>
      </c>
      <c r="H1805" s="17">
        <v>3579768</v>
      </c>
      <c r="I1805">
        <f>VLOOKUP(C1805,LEAIDs!$A$2:$B$305,2,FALSE)</f>
        <v>2201260</v>
      </c>
    </row>
    <row r="1806" spans="1:9" x14ac:dyDescent="0.2">
      <c r="A1806">
        <v>2201260</v>
      </c>
      <c r="B1806">
        <v>2016</v>
      </c>
      <c r="C1806" t="s">
        <v>38</v>
      </c>
      <c r="D1806" t="s">
        <v>232</v>
      </c>
      <c r="E1806" t="s">
        <v>234</v>
      </c>
      <c r="F1806" s="17">
        <v>3281527</v>
      </c>
      <c r="G1806" s="17">
        <v>108241</v>
      </c>
      <c r="H1806" s="17">
        <v>3389768</v>
      </c>
      <c r="I1806">
        <f>VLOOKUP(C1806,LEAIDs!$A$2:$B$305,2,FALSE)</f>
        <v>2201260</v>
      </c>
    </row>
    <row r="1807" spans="1:9" x14ac:dyDescent="0.2">
      <c r="A1807">
        <v>2201260</v>
      </c>
      <c r="B1807">
        <v>2017</v>
      </c>
      <c r="C1807" t="s">
        <v>38</v>
      </c>
      <c r="D1807" t="s">
        <v>232</v>
      </c>
      <c r="E1807" t="s">
        <v>234</v>
      </c>
      <c r="F1807" s="17">
        <v>3058756</v>
      </c>
      <c r="G1807" s="17">
        <v>105648</v>
      </c>
      <c r="H1807" s="17">
        <v>3164404</v>
      </c>
      <c r="I1807">
        <f>VLOOKUP(C1807,LEAIDs!$A$2:$B$305,2,FALSE)</f>
        <v>2201260</v>
      </c>
    </row>
    <row r="1808" spans="1:9" x14ac:dyDescent="0.2">
      <c r="A1808">
        <v>2201260</v>
      </c>
      <c r="B1808">
        <v>2018</v>
      </c>
      <c r="C1808" t="s">
        <v>38</v>
      </c>
      <c r="D1808" t="s">
        <v>232</v>
      </c>
      <c r="E1808" t="s">
        <v>234</v>
      </c>
      <c r="F1808" s="17">
        <v>3263700</v>
      </c>
      <c r="G1808" s="17">
        <v>107403</v>
      </c>
      <c r="H1808" s="17">
        <v>3371103</v>
      </c>
      <c r="I1808">
        <f>VLOOKUP(C1808,LEAIDs!$A$2:$B$305,2,FALSE)</f>
        <v>2201260</v>
      </c>
    </row>
    <row r="1809" spans="1:9" x14ac:dyDescent="0.2">
      <c r="A1809">
        <v>2201260</v>
      </c>
      <c r="B1809">
        <v>2019</v>
      </c>
      <c r="C1809" t="s">
        <v>38</v>
      </c>
      <c r="D1809" t="s">
        <v>232</v>
      </c>
      <c r="E1809" t="s">
        <v>234</v>
      </c>
      <c r="F1809" s="17">
        <v>3204303</v>
      </c>
      <c r="G1809" s="17">
        <v>107541</v>
      </c>
      <c r="H1809" s="17">
        <v>3311844</v>
      </c>
      <c r="I1809">
        <f>VLOOKUP(C1809,LEAIDs!$A$2:$B$305,2,FALSE)</f>
        <v>2201260</v>
      </c>
    </row>
    <row r="1810" spans="1:9" x14ac:dyDescent="0.2">
      <c r="A1810">
        <v>2201260</v>
      </c>
      <c r="B1810">
        <v>2020</v>
      </c>
      <c r="C1810" t="s">
        <v>38</v>
      </c>
      <c r="D1810" t="s">
        <v>232</v>
      </c>
      <c r="E1810" t="s">
        <v>234</v>
      </c>
      <c r="F1810" s="17">
        <v>3087618</v>
      </c>
      <c r="G1810" s="17">
        <v>108957</v>
      </c>
      <c r="H1810" s="17">
        <v>3196575</v>
      </c>
      <c r="I1810">
        <f>VLOOKUP(C1810,LEAIDs!$A$2:$B$305,2,FALSE)</f>
        <v>2201260</v>
      </c>
    </row>
    <row r="1811" spans="1:9" x14ac:dyDescent="0.2">
      <c r="A1811">
        <v>2201260</v>
      </c>
      <c r="B1811" s="2">
        <v>2021</v>
      </c>
      <c r="C1811" s="4" t="s">
        <v>38</v>
      </c>
      <c r="D1811" s="2" t="s">
        <v>232</v>
      </c>
      <c r="E1811" s="2" t="s">
        <v>234</v>
      </c>
      <c r="F1811" s="16">
        <v>3620418</v>
      </c>
      <c r="G1811" s="16">
        <v>126017</v>
      </c>
      <c r="H1811" s="15">
        <v>3746435</v>
      </c>
      <c r="I1811">
        <f>VLOOKUP(C1811,LEAIDs!$A$2:$B$305,2,FALSE)</f>
        <v>2201260</v>
      </c>
    </row>
    <row r="1812" spans="1:9" x14ac:dyDescent="0.2">
      <c r="A1812">
        <v>2201260</v>
      </c>
      <c r="B1812" s="2">
        <v>2022</v>
      </c>
      <c r="C1812" s="4" t="s">
        <v>38</v>
      </c>
      <c r="D1812" s="2" t="s">
        <v>232</v>
      </c>
      <c r="E1812" s="2" t="s">
        <v>234</v>
      </c>
      <c r="F1812" s="16">
        <v>3618113</v>
      </c>
      <c r="G1812" s="16">
        <v>129267</v>
      </c>
      <c r="H1812" s="15">
        <v>3747380</v>
      </c>
      <c r="I1812">
        <f>VLOOKUP(C1812,LEAIDs!$A$2:$B$305,2,FALSE)</f>
        <v>2201260</v>
      </c>
    </row>
    <row r="1813" spans="1:9" x14ac:dyDescent="0.2">
      <c r="A1813">
        <v>2201260</v>
      </c>
      <c r="B1813" s="2">
        <v>2023</v>
      </c>
      <c r="C1813" s="2" t="s">
        <v>38</v>
      </c>
      <c r="D1813" s="2" t="s">
        <v>232</v>
      </c>
      <c r="E1813" s="2" t="s">
        <v>234</v>
      </c>
      <c r="F1813" s="15">
        <v>3738550</v>
      </c>
      <c r="G1813" s="15">
        <v>133285</v>
      </c>
      <c r="H1813" s="15">
        <v>3871835</v>
      </c>
      <c r="I1813">
        <f>VLOOKUP(C1813,LEAIDs!$A$2:$B$305,2,FALSE)</f>
        <v>2201260</v>
      </c>
    </row>
    <row r="1814" spans="1:9" x14ac:dyDescent="0.2">
      <c r="A1814">
        <v>2201290</v>
      </c>
      <c r="B1814">
        <v>2015</v>
      </c>
      <c r="C1814" t="s">
        <v>39</v>
      </c>
      <c r="D1814" t="s">
        <v>232</v>
      </c>
      <c r="E1814" t="s">
        <v>234</v>
      </c>
      <c r="F1814" s="17">
        <v>30358238</v>
      </c>
      <c r="G1814" s="17">
        <v>933230</v>
      </c>
      <c r="H1814" s="17">
        <v>31291468</v>
      </c>
      <c r="I1814">
        <f>VLOOKUP(C1814,LEAIDs!$A$2:$B$305,2,FALSE)</f>
        <v>2201290</v>
      </c>
    </row>
    <row r="1815" spans="1:9" x14ac:dyDescent="0.2">
      <c r="A1815">
        <v>2201290</v>
      </c>
      <c r="B1815">
        <v>2016</v>
      </c>
      <c r="C1815" t="s">
        <v>39</v>
      </c>
      <c r="D1815" t="s">
        <v>232</v>
      </c>
      <c r="E1815" t="s">
        <v>234</v>
      </c>
      <c r="F1815" s="17">
        <v>28601906</v>
      </c>
      <c r="G1815" s="17">
        <v>943433</v>
      </c>
      <c r="H1815" s="17">
        <v>29545339</v>
      </c>
      <c r="I1815">
        <f>VLOOKUP(C1815,LEAIDs!$A$2:$B$305,2,FALSE)</f>
        <v>2201290</v>
      </c>
    </row>
    <row r="1816" spans="1:9" x14ac:dyDescent="0.2">
      <c r="A1816">
        <v>2201290</v>
      </c>
      <c r="B1816">
        <v>2017</v>
      </c>
      <c r="C1816" t="s">
        <v>39</v>
      </c>
      <c r="D1816" t="s">
        <v>232</v>
      </c>
      <c r="E1816" t="s">
        <v>234</v>
      </c>
      <c r="F1816" s="17">
        <v>28665763</v>
      </c>
      <c r="G1816" s="17">
        <v>990103</v>
      </c>
      <c r="H1816" s="17">
        <v>29655866</v>
      </c>
      <c r="I1816">
        <f>VLOOKUP(C1816,LEAIDs!$A$2:$B$305,2,FALSE)</f>
        <v>2201290</v>
      </c>
    </row>
    <row r="1817" spans="1:9" x14ac:dyDescent="0.2">
      <c r="A1817">
        <v>2201290</v>
      </c>
      <c r="B1817">
        <v>2018</v>
      </c>
      <c r="C1817" t="s">
        <v>39</v>
      </c>
      <c r="D1817" t="s">
        <v>232</v>
      </c>
      <c r="E1817" t="s">
        <v>234</v>
      </c>
      <c r="F1817" s="17">
        <v>30622624</v>
      </c>
      <c r="G1817" s="17">
        <v>1007743</v>
      </c>
      <c r="H1817" s="17">
        <v>31630367</v>
      </c>
      <c r="I1817">
        <f>VLOOKUP(C1817,LEAIDs!$A$2:$B$305,2,FALSE)</f>
        <v>2201290</v>
      </c>
    </row>
    <row r="1818" spans="1:9" x14ac:dyDescent="0.2">
      <c r="A1818">
        <v>2201290</v>
      </c>
      <c r="B1818">
        <v>2019</v>
      </c>
      <c r="C1818" t="s">
        <v>39</v>
      </c>
      <c r="D1818" t="s">
        <v>232</v>
      </c>
      <c r="E1818" t="s">
        <v>234</v>
      </c>
      <c r="F1818" s="17">
        <v>30227438</v>
      </c>
      <c r="G1818" s="17">
        <v>1014481</v>
      </c>
      <c r="H1818" s="17">
        <v>31241919</v>
      </c>
      <c r="I1818">
        <f>VLOOKUP(C1818,LEAIDs!$A$2:$B$305,2,FALSE)</f>
        <v>2201290</v>
      </c>
    </row>
    <row r="1819" spans="1:9" x14ac:dyDescent="0.2">
      <c r="A1819">
        <v>2201290</v>
      </c>
      <c r="B1819">
        <v>2020</v>
      </c>
      <c r="C1819" t="s">
        <v>39</v>
      </c>
      <c r="D1819" t="s">
        <v>232</v>
      </c>
      <c r="E1819" t="s">
        <v>234</v>
      </c>
      <c r="F1819" s="17">
        <v>30225111</v>
      </c>
      <c r="G1819" s="17">
        <v>1066598</v>
      </c>
      <c r="H1819" s="17">
        <v>31291709</v>
      </c>
      <c r="I1819">
        <f>VLOOKUP(C1819,LEAIDs!$A$2:$B$305,2,FALSE)</f>
        <v>2201290</v>
      </c>
    </row>
    <row r="1820" spans="1:9" x14ac:dyDescent="0.2">
      <c r="A1820">
        <v>2201290</v>
      </c>
      <c r="B1820" s="2">
        <v>2021</v>
      </c>
      <c r="C1820" s="4" t="s">
        <v>39</v>
      </c>
      <c r="D1820" s="2" t="s">
        <v>232</v>
      </c>
      <c r="E1820" s="2" t="s">
        <v>234</v>
      </c>
      <c r="F1820" s="16">
        <v>32567462</v>
      </c>
      <c r="G1820" s="16">
        <v>1133586</v>
      </c>
      <c r="H1820" s="15">
        <v>33701048</v>
      </c>
      <c r="I1820">
        <f>VLOOKUP(C1820,LEAIDs!$A$2:$B$305,2,FALSE)</f>
        <v>2201290</v>
      </c>
    </row>
    <row r="1821" spans="1:9" x14ac:dyDescent="0.2">
      <c r="A1821">
        <v>2201290</v>
      </c>
      <c r="B1821" s="2">
        <v>2022</v>
      </c>
      <c r="C1821" s="4" t="s">
        <v>39</v>
      </c>
      <c r="D1821" s="2" t="s">
        <v>232</v>
      </c>
      <c r="E1821" s="2" t="s">
        <v>234</v>
      </c>
      <c r="F1821" s="16">
        <v>33759165</v>
      </c>
      <c r="G1821" s="16">
        <v>1206135</v>
      </c>
      <c r="H1821" s="15">
        <v>34965300</v>
      </c>
      <c r="I1821">
        <f>VLOOKUP(C1821,LEAIDs!$A$2:$B$305,2,FALSE)</f>
        <v>2201290</v>
      </c>
    </row>
    <row r="1822" spans="1:9" x14ac:dyDescent="0.2">
      <c r="A1822">
        <v>2201290</v>
      </c>
      <c r="B1822" s="2">
        <v>2023</v>
      </c>
      <c r="C1822" s="2" t="s">
        <v>39</v>
      </c>
      <c r="D1822" s="2" t="s">
        <v>232</v>
      </c>
      <c r="E1822" s="2" t="s">
        <v>234</v>
      </c>
      <c r="F1822" s="15">
        <v>33772983</v>
      </c>
      <c r="G1822" s="15">
        <v>1204062</v>
      </c>
      <c r="H1822" s="15">
        <v>34977045</v>
      </c>
      <c r="I1822">
        <f>VLOOKUP(C1822,LEAIDs!$A$2:$B$305,2,FALSE)</f>
        <v>2201290</v>
      </c>
    </row>
    <row r="1823" spans="1:9" x14ac:dyDescent="0.2">
      <c r="A1823">
        <v>2201350</v>
      </c>
      <c r="B1823">
        <v>2015</v>
      </c>
      <c r="C1823" t="s">
        <v>41</v>
      </c>
      <c r="D1823" t="s">
        <v>232</v>
      </c>
      <c r="E1823" t="s">
        <v>234</v>
      </c>
      <c r="F1823" s="17">
        <v>4132776</v>
      </c>
      <c r="G1823" s="17">
        <v>127044</v>
      </c>
      <c r="H1823" s="17">
        <v>4259820</v>
      </c>
      <c r="I1823">
        <f>VLOOKUP(C1823,LEAIDs!$A$2:$B$305,2,FALSE)</f>
        <v>2201350</v>
      </c>
    </row>
    <row r="1824" spans="1:9" x14ac:dyDescent="0.2">
      <c r="A1824">
        <v>2201350</v>
      </c>
      <c r="B1824">
        <v>2016</v>
      </c>
      <c r="C1824" t="s">
        <v>41</v>
      </c>
      <c r="D1824" t="s">
        <v>232</v>
      </c>
      <c r="E1824" t="s">
        <v>234</v>
      </c>
      <c r="F1824" s="17">
        <v>3931005</v>
      </c>
      <c r="G1824" s="17">
        <v>129664</v>
      </c>
      <c r="H1824" s="17">
        <v>4060669</v>
      </c>
      <c r="I1824">
        <f>VLOOKUP(C1824,LEAIDs!$A$2:$B$305,2,FALSE)</f>
        <v>2201350</v>
      </c>
    </row>
    <row r="1825" spans="1:9" x14ac:dyDescent="0.2">
      <c r="A1825">
        <v>2201350</v>
      </c>
      <c r="B1825">
        <v>2017</v>
      </c>
      <c r="C1825" t="s">
        <v>41</v>
      </c>
      <c r="D1825" t="s">
        <v>232</v>
      </c>
      <c r="E1825" t="s">
        <v>234</v>
      </c>
      <c r="F1825" s="17">
        <v>3531134</v>
      </c>
      <c r="G1825" s="17">
        <v>121964</v>
      </c>
      <c r="H1825" s="17">
        <v>3653098</v>
      </c>
      <c r="I1825">
        <f>VLOOKUP(C1825,LEAIDs!$A$2:$B$305,2,FALSE)</f>
        <v>2201350</v>
      </c>
    </row>
    <row r="1826" spans="1:9" x14ac:dyDescent="0.2">
      <c r="A1826">
        <v>2201350</v>
      </c>
      <c r="B1826">
        <v>2018</v>
      </c>
      <c r="C1826" t="s">
        <v>41</v>
      </c>
      <c r="D1826" t="s">
        <v>232</v>
      </c>
      <c r="E1826" t="s">
        <v>234</v>
      </c>
      <c r="F1826" s="17">
        <v>3551718</v>
      </c>
      <c r="G1826" s="17">
        <v>116881</v>
      </c>
      <c r="H1826" s="17">
        <v>3668599</v>
      </c>
      <c r="I1826">
        <f>VLOOKUP(C1826,LEAIDs!$A$2:$B$305,2,FALSE)</f>
        <v>2201350</v>
      </c>
    </row>
    <row r="1827" spans="1:9" x14ac:dyDescent="0.2">
      <c r="A1827">
        <v>2201350</v>
      </c>
      <c r="B1827">
        <v>2019</v>
      </c>
      <c r="C1827" t="s">
        <v>41</v>
      </c>
      <c r="D1827" t="s">
        <v>232</v>
      </c>
      <c r="E1827" t="s">
        <v>234</v>
      </c>
      <c r="F1827" s="17">
        <v>3669674</v>
      </c>
      <c r="G1827" s="17">
        <v>123160</v>
      </c>
      <c r="H1827" s="17">
        <v>3792834</v>
      </c>
      <c r="I1827">
        <f>VLOOKUP(C1827,LEAIDs!$A$2:$B$305,2,FALSE)</f>
        <v>2201350</v>
      </c>
    </row>
    <row r="1828" spans="1:9" x14ac:dyDescent="0.2">
      <c r="A1828">
        <v>2201350</v>
      </c>
      <c r="B1828">
        <v>2020</v>
      </c>
      <c r="C1828" t="s">
        <v>41</v>
      </c>
      <c r="D1828" t="s">
        <v>232</v>
      </c>
      <c r="E1828" t="s">
        <v>234</v>
      </c>
      <c r="F1828" s="17">
        <v>3634716</v>
      </c>
      <c r="G1828" s="17">
        <v>128264</v>
      </c>
      <c r="H1828" s="17">
        <v>3762980</v>
      </c>
      <c r="I1828">
        <f>VLOOKUP(C1828,LEAIDs!$A$2:$B$305,2,FALSE)</f>
        <v>2201350</v>
      </c>
    </row>
    <row r="1829" spans="1:9" x14ac:dyDescent="0.2">
      <c r="A1829">
        <v>2201350</v>
      </c>
      <c r="B1829" s="2">
        <v>2021</v>
      </c>
      <c r="C1829" s="4" t="s">
        <v>41</v>
      </c>
      <c r="D1829" s="2" t="s">
        <v>232</v>
      </c>
      <c r="E1829" s="2" t="s">
        <v>234</v>
      </c>
      <c r="F1829" s="16">
        <v>3757084</v>
      </c>
      <c r="G1829" s="16">
        <v>130774</v>
      </c>
      <c r="H1829" s="15">
        <v>3887858</v>
      </c>
      <c r="I1829">
        <f>VLOOKUP(C1829,LEAIDs!$A$2:$B$305,2,FALSE)</f>
        <v>2201350</v>
      </c>
    </row>
    <row r="1830" spans="1:9" x14ac:dyDescent="0.2">
      <c r="A1830">
        <v>2201350</v>
      </c>
      <c r="B1830" s="2">
        <v>2022</v>
      </c>
      <c r="C1830" s="4" t="s">
        <v>41</v>
      </c>
      <c r="D1830" s="2" t="s">
        <v>232</v>
      </c>
      <c r="E1830" s="2" t="s">
        <v>234</v>
      </c>
      <c r="F1830" s="16">
        <v>3912934</v>
      </c>
      <c r="G1830" s="16">
        <v>139800</v>
      </c>
      <c r="H1830" s="15">
        <v>4052734</v>
      </c>
      <c r="I1830">
        <f>VLOOKUP(C1830,LEAIDs!$A$2:$B$305,2,FALSE)</f>
        <v>2201350</v>
      </c>
    </row>
    <row r="1831" spans="1:9" x14ac:dyDescent="0.2">
      <c r="A1831">
        <v>2201350</v>
      </c>
      <c r="B1831" s="2">
        <v>2023</v>
      </c>
      <c r="C1831" s="2" t="s">
        <v>41</v>
      </c>
      <c r="D1831" s="2" t="s">
        <v>232</v>
      </c>
      <c r="E1831" s="2" t="s">
        <v>234</v>
      </c>
      <c r="F1831" s="15">
        <v>4153750</v>
      </c>
      <c r="G1831" s="15">
        <v>148088</v>
      </c>
      <c r="H1831" s="15">
        <v>4301838</v>
      </c>
      <c r="I1831">
        <f>VLOOKUP(C1831,LEAIDs!$A$2:$B$305,2,FALSE)</f>
        <v>2201350</v>
      </c>
    </row>
    <row r="1832" spans="1:9" x14ac:dyDescent="0.2">
      <c r="A1832">
        <v>2201380</v>
      </c>
      <c r="B1832">
        <v>2015</v>
      </c>
      <c r="C1832" t="s">
        <v>42</v>
      </c>
      <c r="D1832" t="s">
        <v>232</v>
      </c>
      <c r="E1832" t="s">
        <v>234</v>
      </c>
      <c r="F1832" s="17">
        <v>5806452</v>
      </c>
      <c r="G1832" s="17">
        <v>178494</v>
      </c>
      <c r="H1832" s="17">
        <v>5984946</v>
      </c>
      <c r="I1832">
        <f>VLOOKUP(C1832,LEAIDs!$A$2:$B$305,2,FALSE)</f>
        <v>2201380</v>
      </c>
    </row>
    <row r="1833" spans="1:9" x14ac:dyDescent="0.2">
      <c r="A1833">
        <v>2201380</v>
      </c>
      <c r="B1833">
        <v>2016</v>
      </c>
      <c r="C1833" t="s">
        <v>42</v>
      </c>
      <c r="D1833" t="s">
        <v>232</v>
      </c>
      <c r="E1833" t="s">
        <v>234</v>
      </c>
      <c r="F1833" s="17">
        <v>5631510</v>
      </c>
      <c r="G1833" s="17">
        <v>185755</v>
      </c>
      <c r="H1833" s="17">
        <v>5817265</v>
      </c>
      <c r="I1833">
        <f>VLOOKUP(C1833,LEAIDs!$A$2:$B$305,2,FALSE)</f>
        <v>2201380</v>
      </c>
    </row>
    <row r="1834" spans="1:9" x14ac:dyDescent="0.2">
      <c r="A1834">
        <v>2201380</v>
      </c>
      <c r="B1834">
        <v>2017</v>
      </c>
      <c r="C1834" t="s">
        <v>42</v>
      </c>
      <c r="D1834" t="s">
        <v>232</v>
      </c>
      <c r="E1834" t="s">
        <v>234</v>
      </c>
      <c r="F1834" s="17">
        <v>5318922</v>
      </c>
      <c r="G1834" s="17">
        <v>183713</v>
      </c>
      <c r="H1834" s="17">
        <v>5502635</v>
      </c>
      <c r="I1834">
        <f>VLOOKUP(C1834,LEAIDs!$A$2:$B$305,2,FALSE)</f>
        <v>2201380</v>
      </c>
    </row>
    <row r="1835" spans="1:9" x14ac:dyDescent="0.2">
      <c r="A1835">
        <v>2201380</v>
      </c>
      <c r="B1835">
        <v>2018</v>
      </c>
      <c r="C1835" t="s">
        <v>42</v>
      </c>
      <c r="D1835" t="s">
        <v>232</v>
      </c>
      <c r="E1835" t="s">
        <v>234</v>
      </c>
      <c r="F1835" s="17">
        <v>5946303</v>
      </c>
      <c r="G1835" s="17">
        <v>195684</v>
      </c>
      <c r="H1835" s="17">
        <v>6141987</v>
      </c>
      <c r="I1835">
        <f>VLOOKUP(C1835,LEAIDs!$A$2:$B$305,2,FALSE)</f>
        <v>2201380</v>
      </c>
    </row>
    <row r="1836" spans="1:9" x14ac:dyDescent="0.2">
      <c r="A1836">
        <v>2201380</v>
      </c>
      <c r="B1836">
        <v>2019</v>
      </c>
      <c r="C1836" t="s">
        <v>42</v>
      </c>
      <c r="D1836" t="s">
        <v>232</v>
      </c>
      <c r="E1836" t="s">
        <v>234</v>
      </c>
      <c r="F1836" s="17">
        <v>5834589</v>
      </c>
      <c r="G1836" s="17">
        <v>195818</v>
      </c>
      <c r="H1836" s="17">
        <v>6030407</v>
      </c>
      <c r="I1836">
        <f>VLOOKUP(C1836,LEAIDs!$A$2:$B$305,2,FALSE)</f>
        <v>2201380</v>
      </c>
    </row>
    <row r="1837" spans="1:9" x14ac:dyDescent="0.2">
      <c r="A1837">
        <v>2201380</v>
      </c>
      <c r="B1837">
        <v>2020</v>
      </c>
      <c r="C1837" t="s">
        <v>42</v>
      </c>
      <c r="D1837" t="s">
        <v>232</v>
      </c>
      <c r="E1837" t="s">
        <v>234</v>
      </c>
      <c r="F1837" s="17">
        <v>6058654</v>
      </c>
      <c r="G1837" s="17">
        <v>213801</v>
      </c>
      <c r="H1837" s="17">
        <v>6272455</v>
      </c>
      <c r="I1837">
        <f>VLOOKUP(C1837,LEAIDs!$A$2:$B$305,2,FALSE)</f>
        <v>2201380</v>
      </c>
    </row>
    <row r="1838" spans="1:9" x14ac:dyDescent="0.2">
      <c r="A1838">
        <v>2201380</v>
      </c>
      <c r="B1838" s="2">
        <v>2021</v>
      </c>
      <c r="C1838" s="4" t="s">
        <v>42</v>
      </c>
      <c r="D1838" s="2" t="s">
        <v>232</v>
      </c>
      <c r="E1838" s="2" t="s">
        <v>234</v>
      </c>
      <c r="F1838" s="16">
        <v>5995942</v>
      </c>
      <c r="G1838" s="16">
        <v>208703</v>
      </c>
      <c r="H1838" s="15">
        <v>6204645</v>
      </c>
      <c r="I1838">
        <f>VLOOKUP(C1838,LEAIDs!$A$2:$B$305,2,FALSE)</f>
        <v>2201380</v>
      </c>
    </row>
    <row r="1839" spans="1:9" x14ac:dyDescent="0.2">
      <c r="A1839">
        <v>2201380</v>
      </c>
      <c r="B1839" s="2">
        <v>2022</v>
      </c>
      <c r="C1839" s="4" t="s">
        <v>42</v>
      </c>
      <c r="D1839" s="2" t="s">
        <v>232</v>
      </c>
      <c r="E1839" s="2" t="s">
        <v>234</v>
      </c>
      <c r="F1839" s="16">
        <v>6231711</v>
      </c>
      <c r="G1839" s="16">
        <v>222644</v>
      </c>
      <c r="H1839" s="15">
        <v>6454355</v>
      </c>
      <c r="I1839">
        <f>VLOOKUP(C1839,LEAIDs!$A$2:$B$305,2,FALSE)</f>
        <v>2201380</v>
      </c>
    </row>
    <row r="1840" spans="1:9" x14ac:dyDescent="0.2">
      <c r="A1840">
        <v>2201380</v>
      </c>
      <c r="B1840" s="2">
        <v>2023</v>
      </c>
      <c r="C1840" s="2" t="s">
        <v>42</v>
      </c>
      <c r="D1840" s="2" t="s">
        <v>232</v>
      </c>
      <c r="E1840" s="2" t="s">
        <v>234</v>
      </c>
      <c r="F1840" s="15">
        <v>7190039</v>
      </c>
      <c r="G1840" s="15">
        <v>256337</v>
      </c>
      <c r="H1840" s="15">
        <v>7446376</v>
      </c>
      <c r="I1840">
        <f>VLOOKUP(C1840,LEAIDs!$A$2:$B$305,2,FALSE)</f>
        <v>2201380</v>
      </c>
    </row>
    <row r="1841" spans="1:9" x14ac:dyDescent="0.2">
      <c r="A1841">
        <v>2201410</v>
      </c>
      <c r="B1841">
        <v>2016</v>
      </c>
      <c r="C1841" t="s">
        <v>261</v>
      </c>
      <c r="D1841" t="s">
        <v>232</v>
      </c>
      <c r="E1841" t="s">
        <v>234</v>
      </c>
      <c r="F1841" s="17">
        <v>8577789</v>
      </c>
      <c r="G1841" s="17">
        <v>282938</v>
      </c>
      <c r="H1841" s="17">
        <v>8860727</v>
      </c>
      <c r="I1841">
        <f>VLOOKUP(C1841,LEAIDs!$A$2:$B$305,2,FALSE)</f>
        <v>2201410</v>
      </c>
    </row>
    <row r="1842" spans="1:9" x14ac:dyDescent="0.2">
      <c r="A1842">
        <v>2201410</v>
      </c>
      <c r="B1842">
        <v>2018</v>
      </c>
      <c r="C1842" t="s">
        <v>261</v>
      </c>
      <c r="D1842" t="s">
        <v>232</v>
      </c>
      <c r="E1842" t="s">
        <v>234</v>
      </c>
      <c r="F1842" s="17">
        <v>8985020</v>
      </c>
      <c r="G1842" s="17">
        <v>295683</v>
      </c>
      <c r="H1842" s="17">
        <v>9280703</v>
      </c>
      <c r="I1842">
        <f>VLOOKUP(C1842,LEAIDs!$A$2:$B$305,2,FALSE)</f>
        <v>2201410</v>
      </c>
    </row>
    <row r="1843" spans="1:9" x14ac:dyDescent="0.2">
      <c r="A1843">
        <v>2201410</v>
      </c>
      <c r="B1843">
        <v>2019</v>
      </c>
      <c r="C1843" t="s">
        <v>261</v>
      </c>
      <c r="D1843" t="s">
        <v>232</v>
      </c>
      <c r="E1843" t="s">
        <v>234</v>
      </c>
      <c r="F1843" s="17">
        <v>8983875</v>
      </c>
      <c r="G1843" s="17">
        <v>301513</v>
      </c>
      <c r="H1843" s="17">
        <v>9285388</v>
      </c>
      <c r="I1843">
        <f>VLOOKUP(C1843,LEAIDs!$A$2:$B$305,2,FALSE)</f>
        <v>2201410</v>
      </c>
    </row>
    <row r="1844" spans="1:9" x14ac:dyDescent="0.2">
      <c r="A1844">
        <v>2201410</v>
      </c>
      <c r="B1844">
        <v>2020</v>
      </c>
      <c r="C1844" t="s">
        <v>261</v>
      </c>
      <c r="D1844" t="s">
        <v>232</v>
      </c>
      <c r="E1844" t="s">
        <v>234</v>
      </c>
      <c r="F1844" s="17">
        <v>9581434</v>
      </c>
      <c r="G1844" s="17">
        <v>338114</v>
      </c>
      <c r="H1844" s="17">
        <v>9919548</v>
      </c>
      <c r="I1844">
        <f>VLOOKUP(C1844,LEAIDs!$A$2:$B$305,2,FALSE)</f>
        <v>2201410</v>
      </c>
    </row>
    <row r="1845" spans="1:9" x14ac:dyDescent="0.2">
      <c r="A1845">
        <v>2201410</v>
      </c>
      <c r="B1845" s="2">
        <v>2021</v>
      </c>
      <c r="C1845" t="s">
        <v>261</v>
      </c>
      <c r="D1845" s="2" t="s">
        <v>232</v>
      </c>
      <c r="E1845" s="2" t="s">
        <v>234</v>
      </c>
      <c r="F1845" s="16">
        <v>9974426</v>
      </c>
      <c r="G1845" s="16">
        <v>347183</v>
      </c>
      <c r="H1845" s="15">
        <v>10321609</v>
      </c>
      <c r="I1845">
        <f>VLOOKUP(C1845,LEAIDs!$A$2:$B$305,2,FALSE)</f>
        <v>2201410</v>
      </c>
    </row>
    <row r="1846" spans="1:9" x14ac:dyDescent="0.2">
      <c r="A1846">
        <v>2201410</v>
      </c>
      <c r="B1846">
        <v>2015</v>
      </c>
      <c r="C1846" t="s">
        <v>261</v>
      </c>
      <c r="D1846" t="s">
        <v>232</v>
      </c>
      <c r="E1846" t="s">
        <v>234</v>
      </c>
      <c r="F1846" s="17">
        <v>8505965</v>
      </c>
      <c r="G1846" s="17">
        <v>261478</v>
      </c>
      <c r="H1846" s="17">
        <v>8767443</v>
      </c>
      <c r="I1846">
        <f>VLOOKUP(C1846,LEAIDs!$A$2:$B$305,2,FALSE)</f>
        <v>2201410</v>
      </c>
    </row>
    <row r="1847" spans="1:9" x14ac:dyDescent="0.2">
      <c r="A1847">
        <v>2201410</v>
      </c>
      <c r="B1847">
        <v>2017</v>
      </c>
      <c r="C1847" t="s">
        <v>261</v>
      </c>
      <c r="D1847" t="s">
        <v>232</v>
      </c>
      <c r="E1847" t="s">
        <v>234</v>
      </c>
      <c r="F1847" s="17">
        <v>8525393</v>
      </c>
      <c r="G1847" s="17">
        <v>294463</v>
      </c>
      <c r="H1847" s="17">
        <v>8819856</v>
      </c>
      <c r="I1847">
        <f>VLOOKUP(C1847,LEAIDs!$A$2:$B$305,2,FALSE)</f>
        <v>2201410</v>
      </c>
    </row>
    <row r="1848" spans="1:9" x14ac:dyDescent="0.2">
      <c r="A1848">
        <v>2201410</v>
      </c>
      <c r="B1848" s="2">
        <v>2022</v>
      </c>
      <c r="C1848" t="s">
        <v>261</v>
      </c>
      <c r="D1848" s="2" t="s">
        <v>232</v>
      </c>
      <c r="E1848" s="2" t="s">
        <v>234</v>
      </c>
      <c r="F1848" s="16">
        <v>10332001</v>
      </c>
      <c r="G1848" s="16">
        <v>369138</v>
      </c>
      <c r="H1848" s="15">
        <v>10701139</v>
      </c>
      <c r="I1848">
        <f>VLOOKUP(C1848,LEAIDs!$A$2:$B$305,2,FALSE)</f>
        <v>2201410</v>
      </c>
    </row>
    <row r="1849" spans="1:9" x14ac:dyDescent="0.2">
      <c r="A1849">
        <v>2201410</v>
      </c>
      <c r="B1849" s="2">
        <v>2023</v>
      </c>
      <c r="C1849" t="s">
        <v>261</v>
      </c>
      <c r="D1849" s="2" t="s">
        <v>232</v>
      </c>
      <c r="E1849" s="2" t="s">
        <v>234</v>
      </c>
      <c r="F1849" s="15">
        <v>10547943</v>
      </c>
      <c r="G1849" s="15">
        <v>376051</v>
      </c>
      <c r="H1849" s="15">
        <v>10923994</v>
      </c>
      <c r="I1849">
        <f>VLOOKUP(C1849,LEAIDs!$A$2:$B$305,2,FALSE)</f>
        <v>2201410</v>
      </c>
    </row>
    <row r="1850" spans="1:9" x14ac:dyDescent="0.2">
      <c r="A1850">
        <v>2201440</v>
      </c>
      <c r="B1850">
        <v>2016</v>
      </c>
      <c r="C1850" t="s">
        <v>262</v>
      </c>
      <c r="D1850" t="s">
        <v>232</v>
      </c>
      <c r="E1850" t="s">
        <v>234</v>
      </c>
      <c r="F1850" s="17">
        <v>18145607</v>
      </c>
      <c r="G1850" s="17">
        <v>598532</v>
      </c>
      <c r="H1850" s="17">
        <v>18744139</v>
      </c>
      <c r="I1850">
        <f>VLOOKUP(C1850,LEAIDs!$A$2:$B$305,2,FALSE)</f>
        <v>2201440</v>
      </c>
    </row>
    <row r="1851" spans="1:9" x14ac:dyDescent="0.2">
      <c r="A1851">
        <v>2201440</v>
      </c>
      <c r="B1851">
        <v>2018</v>
      </c>
      <c r="C1851" t="s">
        <v>262</v>
      </c>
      <c r="D1851" t="s">
        <v>232</v>
      </c>
      <c r="E1851" t="s">
        <v>234</v>
      </c>
      <c r="F1851" s="17">
        <v>18822991</v>
      </c>
      <c r="G1851" s="17">
        <v>619435</v>
      </c>
      <c r="H1851" s="17">
        <v>19442426</v>
      </c>
      <c r="I1851">
        <f>VLOOKUP(C1851,LEAIDs!$A$2:$B$305,2,FALSE)</f>
        <v>2201440</v>
      </c>
    </row>
    <row r="1852" spans="1:9" x14ac:dyDescent="0.2">
      <c r="A1852">
        <v>2201440</v>
      </c>
      <c r="B1852">
        <v>2019</v>
      </c>
      <c r="C1852" t="s">
        <v>262</v>
      </c>
      <c r="D1852" t="s">
        <v>232</v>
      </c>
      <c r="E1852" t="s">
        <v>234</v>
      </c>
      <c r="F1852" s="17">
        <v>18248904</v>
      </c>
      <c r="G1852" s="17">
        <v>612462</v>
      </c>
      <c r="H1852" s="17">
        <v>18861366</v>
      </c>
      <c r="I1852">
        <f>VLOOKUP(C1852,LEAIDs!$A$2:$B$305,2,FALSE)</f>
        <v>2201440</v>
      </c>
    </row>
    <row r="1853" spans="1:9" x14ac:dyDescent="0.2">
      <c r="A1853">
        <v>2201440</v>
      </c>
      <c r="B1853">
        <v>2020</v>
      </c>
      <c r="C1853" t="s">
        <v>262</v>
      </c>
      <c r="D1853" t="s">
        <v>232</v>
      </c>
      <c r="E1853" t="s">
        <v>234</v>
      </c>
      <c r="F1853" s="17">
        <v>18529745</v>
      </c>
      <c r="G1853" s="17">
        <v>653886</v>
      </c>
      <c r="H1853" s="17">
        <v>19183631</v>
      </c>
      <c r="I1853">
        <f>VLOOKUP(C1853,LEAIDs!$A$2:$B$305,2,FALSE)</f>
        <v>2201440</v>
      </c>
    </row>
    <row r="1854" spans="1:9" x14ac:dyDescent="0.2">
      <c r="A1854">
        <v>2201440</v>
      </c>
      <c r="B1854" s="2">
        <v>2021</v>
      </c>
      <c r="C1854" t="s">
        <v>262</v>
      </c>
      <c r="D1854" s="2" t="s">
        <v>232</v>
      </c>
      <c r="E1854" s="2" t="s">
        <v>234</v>
      </c>
      <c r="F1854" s="16">
        <v>19600432</v>
      </c>
      <c r="G1854" s="16">
        <v>682239</v>
      </c>
      <c r="H1854" s="15">
        <v>20282671</v>
      </c>
      <c r="I1854">
        <f>VLOOKUP(C1854,LEAIDs!$A$2:$B$305,2,FALSE)</f>
        <v>2201440</v>
      </c>
    </row>
    <row r="1855" spans="1:9" x14ac:dyDescent="0.2">
      <c r="A1855">
        <v>2201440</v>
      </c>
      <c r="B1855">
        <v>2015</v>
      </c>
      <c r="C1855" t="s">
        <v>262</v>
      </c>
      <c r="D1855" t="s">
        <v>232</v>
      </c>
      <c r="E1855" t="s">
        <v>234</v>
      </c>
      <c r="F1855" s="17">
        <v>18834648</v>
      </c>
      <c r="G1855" s="17">
        <v>578988</v>
      </c>
      <c r="H1855" s="17">
        <v>19413636</v>
      </c>
      <c r="I1855">
        <f>VLOOKUP(C1855,LEAIDs!$A$2:$B$305,2,FALSE)</f>
        <v>2201440</v>
      </c>
    </row>
    <row r="1856" spans="1:9" x14ac:dyDescent="0.2">
      <c r="A1856">
        <v>2201440</v>
      </c>
      <c r="B1856">
        <v>2017</v>
      </c>
      <c r="C1856" t="s">
        <v>262</v>
      </c>
      <c r="D1856" t="s">
        <v>232</v>
      </c>
      <c r="E1856" t="s">
        <v>234</v>
      </c>
      <c r="F1856" s="17">
        <v>17972680</v>
      </c>
      <c r="G1856" s="17">
        <v>620768</v>
      </c>
      <c r="H1856" s="17">
        <v>18593448</v>
      </c>
      <c r="I1856">
        <f>VLOOKUP(C1856,LEAIDs!$A$2:$B$305,2,FALSE)</f>
        <v>2201440</v>
      </c>
    </row>
    <row r="1857" spans="1:9" x14ac:dyDescent="0.2">
      <c r="A1857">
        <v>2201440</v>
      </c>
      <c r="B1857" s="2">
        <v>2022</v>
      </c>
      <c r="C1857" t="s">
        <v>262</v>
      </c>
      <c r="D1857" s="2" t="s">
        <v>232</v>
      </c>
      <c r="E1857" s="2" t="s">
        <v>234</v>
      </c>
      <c r="F1857" s="16">
        <v>19431314</v>
      </c>
      <c r="G1857" s="16">
        <v>694235</v>
      </c>
      <c r="H1857" s="15">
        <v>20125549</v>
      </c>
      <c r="I1857">
        <f>VLOOKUP(C1857,LEAIDs!$A$2:$B$305,2,FALSE)</f>
        <v>2201440</v>
      </c>
    </row>
    <row r="1858" spans="1:9" x14ac:dyDescent="0.2">
      <c r="A1858">
        <v>2201440</v>
      </c>
      <c r="B1858" s="2">
        <v>2023</v>
      </c>
      <c r="C1858" t="s">
        <v>262</v>
      </c>
      <c r="D1858" s="2" t="s">
        <v>232</v>
      </c>
      <c r="E1858" s="2" t="s">
        <v>234</v>
      </c>
      <c r="F1858" s="15">
        <v>21956762</v>
      </c>
      <c r="G1858" s="15">
        <v>782795</v>
      </c>
      <c r="H1858" s="15">
        <v>22739557</v>
      </c>
      <c r="I1858">
        <f>VLOOKUP(C1858,LEAIDs!$A$2:$B$305,2,FALSE)</f>
        <v>2201440</v>
      </c>
    </row>
    <row r="1859" spans="1:9" x14ac:dyDescent="0.2">
      <c r="A1859">
        <v>2201470</v>
      </c>
      <c r="B1859">
        <v>2015</v>
      </c>
      <c r="C1859" t="s">
        <v>45</v>
      </c>
      <c r="D1859" t="s">
        <v>232</v>
      </c>
      <c r="E1859" t="s">
        <v>234</v>
      </c>
      <c r="F1859" s="17">
        <v>1265678</v>
      </c>
      <c r="G1859" s="17">
        <v>38908</v>
      </c>
      <c r="H1859" s="17">
        <v>1304586</v>
      </c>
      <c r="I1859">
        <f>VLOOKUP(C1859,LEAIDs!$A$2:$B$305,2,FALSE)</f>
        <v>2201470</v>
      </c>
    </row>
    <row r="1860" spans="1:9" x14ac:dyDescent="0.2">
      <c r="A1860">
        <v>2201470</v>
      </c>
      <c r="B1860">
        <v>2016</v>
      </c>
      <c r="C1860" t="s">
        <v>45</v>
      </c>
      <c r="D1860" t="s">
        <v>232</v>
      </c>
      <c r="E1860" t="s">
        <v>234</v>
      </c>
      <c r="F1860" s="17">
        <v>1345759</v>
      </c>
      <c r="G1860" s="17">
        <v>44390</v>
      </c>
      <c r="H1860" s="17">
        <v>1390149</v>
      </c>
      <c r="I1860">
        <f>VLOOKUP(C1860,LEAIDs!$A$2:$B$305,2,FALSE)</f>
        <v>2201470</v>
      </c>
    </row>
    <row r="1861" spans="1:9" x14ac:dyDescent="0.2">
      <c r="A1861">
        <v>2201470</v>
      </c>
      <c r="B1861">
        <v>2017</v>
      </c>
      <c r="C1861" t="s">
        <v>45</v>
      </c>
      <c r="D1861" t="s">
        <v>232</v>
      </c>
      <c r="E1861" t="s">
        <v>234</v>
      </c>
      <c r="F1861" s="17">
        <v>1266917</v>
      </c>
      <c r="G1861" s="17">
        <v>43759</v>
      </c>
      <c r="H1861" s="17">
        <v>1310676</v>
      </c>
      <c r="I1861">
        <f>VLOOKUP(C1861,LEAIDs!$A$2:$B$305,2,FALSE)</f>
        <v>2201470</v>
      </c>
    </row>
    <row r="1862" spans="1:9" x14ac:dyDescent="0.2">
      <c r="A1862">
        <v>2201470</v>
      </c>
      <c r="B1862">
        <v>2018</v>
      </c>
      <c r="C1862" t="s">
        <v>45</v>
      </c>
      <c r="D1862" t="s">
        <v>232</v>
      </c>
      <c r="E1862" t="s">
        <v>234</v>
      </c>
      <c r="F1862" s="17">
        <v>1410827</v>
      </c>
      <c r="G1862" s="17">
        <v>46428</v>
      </c>
      <c r="H1862" s="17">
        <v>1457255</v>
      </c>
      <c r="I1862">
        <f>VLOOKUP(C1862,LEAIDs!$A$2:$B$305,2,FALSE)</f>
        <v>2201470</v>
      </c>
    </row>
    <row r="1863" spans="1:9" x14ac:dyDescent="0.2">
      <c r="A1863">
        <v>2201470</v>
      </c>
      <c r="B1863">
        <v>2019</v>
      </c>
      <c r="C1863" t="s">
        <v>45</v>
      </c>
      <c r="D1863" t="s">
        <v>232</v>
      </c>
      <c r="E1863" t="s">
        <v>234</v>
      </c>
      <c r="F1863" s="17">
        <v>1460443</v>
      </c>
      <c r="G1863" s="17">
        <v>49015</v>
      </c>
      <c r="H1863" s="17">
        <v>1509458</v>
      </c>
      <c r="I1863">
        <f>VLOOKUP(C1863,LEAIDs!$A$2:$B$305,2,FALSE)</f>
        <v>2201470</v>
      </c>
    </row>
    <row r="1864" spans="1:9" x14ac:dyDescent="0.2">
      <c r="A1864">
        <v>2201470</v>
      </c>
      <c r="B1864">
        <v>2020</v>
      </c>
      <c r="C1864" t="s">
        <v>45</v>
      </c>
      <c r="D1864" t="s">
        <v>232</v>
      </c>
      <c r="E1864" t="s">
        <v>234</v>
      </c>
      <c r="F1864" s="17">
        <v>1474036</v>
      </c>
      <c r="G1864" s="17">
        <v>52016</v>
      </c>
      <c r="H1864" s="17">
        <v>1526052</v>
      </c>
      <c r="I1864">
        <f>VLOOKUP(C1864,LEAIDs!$A$2:$B$305,2,FALSE)</f>
        <v>2201470</v>
      </c>
    </row>
    <row r="1865" spans="1:9" x14ac:dyDescent="0.2">
      <c r="A1865">
        <v>2201470</v>
      </c>
      <c r="B1865" s="2">
        <v>2021</v>
      </c>
      <c r="C1865" t="s">
        <v>45</v>
      </c>
      <c r="D1865" s="2" t="s">
        <v>232</v>
      </c>
      <c r="E1865" s="2" t="s">
        <v>234</v>
      </c>
      <c r="F1865" s="16">
        <v>1813550</v>
      </c>
      <c r="G1865" s="16">
        <v>63125</v>
      </c>
      <c r="H1865" s="15">
        <v>1876675</v>
      </c>
      <c r="I1865">
        <f>VLOOKUP(C1865,LEAIDs!$A$2:$B$305,2,FALSE)</f>
        <v>2201470</v>
      </c>
    </row>
    <row r="1866" spans="1:9" x14ac:dyDescent="0.2">
      <c r="A1866">
        <v>2201470</v>
      </c>
      <c r="B1866" s="2">
        <v>2022</v>
      </c>
      <c r="C1866" t="s">
        <v>45</v>
      </c>
      <c r="D1866" s="2" t="s">
        <v>232</v>
      </c>
      <c r="E1866" s="2" t="s">
        <v>234</v>
      </c>
      <c r="F1866" s="16">
        <v>1548363</v>
      </c>
      <c r="G1866" s="16">
        <v>55319</v>
      </c>
      <c r="H1866" s="15">
        <v>1603682</v>
      </c>
      <c r="I1866">
        <f>VLOOKUP(C1866,LEAIDs!$A$2:$B$305,2,FALSE)</f>
        <v>2201470</v>
      </c>
    </row>
    <row r="1867" spans="1:9" x14ac:dyDescent="0.2">
      <c r="A1867">
        <v>2201470</v>
      </c>
      <c r="B1867" s="2">
        <v>2023</v>
      </c>
      <c r="C1867" t="s">
        <v>45</v>
      </c>
      <c r="D1867" s="2" t="s">
        <v>232</v>
      </c>
      <c r="E1867" s="2" t="s">
        <v>234</v>
      </c>
      <c r="F1867" s="15">
        <v>1587200</v>
      </c>
      <c r="G1867" s="15">
        <v>56586</v>
      </c>
      <c r="H1867" s="15">
        <v>1643786</v>
      </c>
      <c r="I1867">
        <f>VLOOKUP(C1867,LEAIDs!$A$2:$B$305,2,FALSE)</f>
        <v>2201470</v>
      </c>
    </row>
    <row r="1868" spans="1:9" x14ac:dyDescent="0.2">
      <c r="A1868">
        <v>2201500</v>
      </c>
      <c r="B1868">
        <v>2016</v>
      </c>
      <c r="C1868" t="s">
        <v>263</v>
      </c>
      <c r="D1868" t="s">
        <v>232</v>
      </c>
      <c r="E1868" t="s">
        <v>234</v>
      </c>
      <c r="F1868" s="17">
        <v>7551391</v>
      </c>
      <c r="G1868" s="17">
        <v>249082</v>
      </c>
      <c r="H1868" s="17">
        <v>7800473</v>
      </c>
      <c r="I1868">
        <f>VLOOKUP(C1868,LEAIDs!$A$2:$B$305,2,FALSE)</f>
        <v>2201500</v>
      </c>
    </row>
    <row r="1869" spans="1:9" x14ac:dyDescent="0.2">
      <c r="A1869">
        <v>2201500</v>
      </c>
      <c r="B1869">
        <v>2018</v>
      </c>
      <c r="C1869" t="s">
        <v>263</v>
      </c>
      <c r="D1869" t="s">
        <v>232</v>
      </c>
      <c r="E1869" t="s">
        <v>234</v>
      </c>
      <c r="F1869" s="17">
        <v>7230145</v>
      </c>
      <c r="G1869" s="17">
        <v>237933</v>
      </c>
      <c r="H1869" s="17">
        <v>7468078</v>
      </c>
      <c r="I1869">
        <f>VLOOKUP(C1869,LEAIDs!$A$2:$B$305,2,FALSE)</f>
        <v>2201500</v>
      </c>
    </row>
    <row r="1870" spans="1:9" x14ac:dyDescent="0.2">
      <c r="A1870">
        <v>2201500</v>
      </c>
      <c r="B1870">
        <v>2019</v>
      </c>
      <c r="C1870" t="s">
        <v>263</v>
      </c>
      <c r="D1870" t="s">
        <v>232</v>
      </c>
      <c r="E1870" t="s">
        <v>234</v>
      </c>
      <c r="F1870" s="17">
        <v>7127561</v>
      </c>
      <c r="G1870" s="17">
        <v>239212</v>
      </c>
      <c r="H1870" s="17">
        <v>7366773</v>
      </c>
      <c r="I1870">
        <f>VLOOKUP(C1870,LEAIDs!$A$2:$B$305,2,FALSE)</f>
        <v>2201500</v>
      </c>
    </row>
    <row r="1871" spans="1:9" x14ac:dyDescent="0.2">
      <c r="A1871">
        <v>2201500</v>
      </c>
      <c r="B1871">
        <v>2020</v>
      </c>
      <c r="C1871" t="s">
        <v>263</v>
      </c>
      <c r="D1871" t="s">
        <v>232</v>
      </c>
      <c r="E1871" t="s">
        <v>234</v>
      </c>
      <c r="F1871" s="17">
        <v>7101454</v>
      </c>
      <c r="G1871" s="17">
        <v>250599</v>
      </c>
      <c r="H1871" s="17">
        <v>7352053</v>
      </c>
      <c r="I1871">
        <f>VLOOKUP(C1871,LEAIDs!$A$2:$B$305,2,FALSE)</f>
        <v>2201500</v>
      </c>
    </row>
    <row r="1872" spans="1:9" x14ac:dyDescent="0.2">
      <c r="A1872">
        <v>2201500</v>
      </c>
      <c r="B1872" s="2">
        <v>2021</v>
      </c>
      <c r="C1872" t="s">
        <v>263</v>
      </c>
      <c r="D1872" s="2" t="s">
        <v>232</v>
      </c>
      <c r="E1872" s="2" t="s">
        <v>234</v>
      </c>
      <c r="F1872" s="16">
        <v>6912449</v>
      </c>
      <c r="G1872" s="16">
        <v>240604</v>
      </c>
      <c r="H1872" s="15">
        <v>7153053</v>
      </c>
      <c r="I1872">
        <f>VLOOKUP(C1872,LEAIDs!$A$2:$B$305,2,FALSE)</f>
        <v>2201500</v>
      </c>
    </row>
    <row r="1873" spans="1:9" x14ac:dyDescent="0.2">
      <c r="A1873">
        <v>2201500</v>
      </c>
      <c r="B1873">
        <v>2015</v>
      </c>
      <c r="C1873" t="s">
        <v>263</v>
      </c>
      <c r="D1873" t="s">
        <v>232</v>
      </c>
      <c r="E1873" t="s">
        <v>234</v>
      </c>
      <c r="F1873" s="17">
        <v>7756553</v>
      </c>
      <c r="G1873" s="17">
        <v>238441</v>
      </c>
      <c r="H1873" s="17">
        <v>7994994</v>
      </c>
      <c r="I1873">
        <f>VLOOKUP(C1873,LEAIDs!$A$2:$B$305,2,FALSE)</f>
        <v>2201500</v>
      </c>
    </row>
    <row r="1874" spans="1:9" x14ac:dyDescent="0.2">
      <c r="A1874">
        <v>2201500</v>
      </c>
      <c r="B1874">
        <v>2017</v>
      </c>
      <c r="C1874" t="s">
        <v>263</v>
      </c>
      <c r="D1874" t="s">
        <v>232</v>
      </c>
      <c r="E1874" t="s">
        <v>234</v>
      </c>
      <c r="F1874" s="17">
        <v>6956729</v>
      </c>
      <c r="G1874" s="17">
        <v>240282</v>
      </c>
      <c r="H1874" s="17">
        <v>7197011</v>
      </c>
      <c r="I1874">
        <f>VLOOKUP(C1874,LEAIDs!$A$2:$B$305,2,FALSE)</f>
        <v>2201500</v>
      </c>
    </row>
    <row r="1875" spans="1:9" x14ac:dyDescent="0.2">
      <c r="A1875">
        <v>2201500</v>
      </c>
      <c r="B1875" s="2">
        <v>2022</v>
      </c>
      <c r="C1875" t="s">
        <v>263</v>
      </c>
      <c r="D1875" s="2" t="s">
        <v>232</v>
      </c>
      <c r="E1875" s="2" t="s">
        <v>234</v>
      </c>
      <c r="F1875" s="16">
        <v>6564237</v>
      </c>
      <c r="G1875" s="16">
        <v>234525</v>
      </c>
      <c r="H1875" s="15">
        <v>6798762</v>
      </c>
      <c r="I1875">
        <f>VLOOKUP(C1875,LEAIDs!$A$2:$B$305,2,FALSE)</f>
        <v>2201500</v>
      </c>
    </row>
    <row r="1876" spans="1:9" x14ac:dyDescent="0.2">
      <c r="A1876">
        <v>2201500</v>
      </c>
      <c r="B1876" s="2">
        <v>2023</v>
      </c>
      <c r="C1876" t="s">
        <v>263</v>
      </c>
      <c r="D1876" s="2" t="s">
        <v>232</v>
      </c>
      <c r="E1876" s="2" t="s">
        <v>234</v>
      </c>
      <c r="F1876" s="15">
        <v>6588282</v>
      </c>
      <c r="G1876" s="15">
        <v>234883</v>
      </c>
      <c r="H1876" s="15">
        <v>6823165</v>
      </c>
      <c r="I1876">
        <f>VLOOKUP(C1876,LEAIDs!$A$2:$B$305,2,FALSE)</f>
        <v>2201500</v>
      </c>
    </row>
    <row r="1877" spans="1:9" x14ac:dyDescent="0.2">
      <c r="A1877">
        <v>2201530</v>
      </c>
      <c r="B1877">
        <v>2016</v>
      </c>
      <c r="C1877" t="s">
        <v>264</v>
      </c>
      <c r="D1877" t="s">
        <v>232</v>
      </c>
      <c r="E1877" t="s">
        <v>234</v>
      </c>
      <c r="F1877" s="17">
        <v>8297172</v>
      </c>
      <c r="G1877" s="17">
        <v>273682</v>
      </c>
      <c r="H1877" s="17">
        <v>8570854</v>
      </c>
      <c r="I1877">
        <f>VLOOKUP(C1877,LEAIDs!$A$2:$B$305,2,FALSE)</f>
        <v>2201530</v>
      </c>
    </row>
    <row r="1878" spans="1:9" x14ac:dyDescent="0.2">
      <c r="A1878">
        <v>2201530</v>
      </c>
      <c r="B1878">
        <v>2018</v>
      </c>
      <c r="C1878" t="s">
        <v>264</v>
      </c>
      <c r="D1878" t="s">
        <v>232</v>
      </c>
      <c r="E1878" t="s">
        <v>234</v>
      </c>
      <c r="F1878" s="17">
        <v>9062526</v>
      </c>
      <c r="G1878" s="17">
        <v>298234</v>
      </c>
      <c r="H1878" s="17">
        <v>9360760</v>
      </c>
      <c r="I1878">
        <f>VLOOKUP(C1878,LEAIDs!$A$2:$B$305,2,FALSE)</f>
        <v>2201530</v>
      </c>
    </row>
    <row r="1879" spans="1:9" x14ac:dyDescent="0.2">
      <c r="A1879">
        <v>2201530</v>
      </c>
      <c r="B1879">
        <v>2019</v>
      </c>
      <c r="C1879" t="s">
        <v>264</v>
      </c>
      <c r="D1879" t="s">
        <v>232</v>
      </c>
      <c r="E1879" t="s">
        <v>234</v>
      </c>
      <c r="F1879" s="17">
        <v>9101819</v>
      </c>
      <c r="G1879" s="17">
        <v>305472</v>
      </c>
      <c r="H1879" s="17">
        <v>9407291</v>
      </c>
      <c r="I1879">
        <f>VLOOKUP(C1879,LEAIDs!$A$2:$B$305,2,FALSE)</f>
        <v>2201530</v>
      </c>
    </row>
    <row r="1880" spans="1:9" x14ac:dyDescent="0.2">
      <c r="A1880">
        <v>2201530</v>
      </c>
      <c r="B1880">
        <v>2020</v>
      </c>
      <c r="C1880" t="s">
        <v>264</v>
      </c>
      <c r="D1880" t="s">
        <v>232</v>
      </c>
      <c r="E1880" t="s">
        <v>234</v>
      </c>
      <c r="F1880" s="17">
        <v>9537596</v>
      </c>
      <c r="G1880" s="17">
        <v>336567</v>
      </c>
      <c r="H1880" s="17">
        <v>9874163</v>
      </c>
      <c r="I1880">
        <f>VLOOKUP(C1880,LEAIDs!$A$2:$B$305,2,FALSE)</f>
        <v>2201530</v>
      </c>
    </row>
    <row r="1881" spans="1:9" x14ac:dyDescent="0.2">
      <c r="A1881">
        <v>2201530</v>
      </c>
      <c r="B1881" s="2">
        <v>2021</v>
      </c>
      <c r="C1881" t="s">
        <v>264</v>
      </c>
      <c r="D1881" s="2" t="s">
        <v>232</v>
      </c>
      <c r="E1881" s="2" t="s">
        <v>234</v>
      </c>
      <c r="F1881" s="16">
        <v>9510315</v>
      </c>
      <c r="G1881" s="16">
        <v>331029</v>
      </c>
      <c r="H1881" s="15">
        <v>9841344</v>
      </c>
      <c r="I1881">
        <f>VLOOKUP(C1881,LEAIDs!$A$2:$B$305,2,FALSE)</f>
        <v>2201530</v>
      </c>
    </row>
    <row r="1882" spans="1:9" x14ac:dyDescent="0.2">
      <c r="A1882">
        <v>2201530</v>
      </c>
      <c r="B1882">
        <v>2015</v>
      </c>
      <c r="C1882" t="s">
        <v>264</v>
      </c>
      <c r="D1882" t="s">
        <v>232</v>
      </c>
      <c r="E1882" t="s">
        <v>234</v>
      </c>
      <c r="F1882" s="17">
        <v>8987923</v>
      </c>
      <c r="G1882" s="17">
        <v>276294</v>
      </c>
      <c r="H1882" s="17">
        <v>9264217</v>
      </c>
      <c r="I1882">
        <f>VLOOKUP(C1882,LEAIDs!$A$2:$B$305,2,FALSE)</f>
        <v>2201530</v>
      </c>
    </row>
    <row r="1883" spans="1:9" x14ac:dyDescent="0.2">
      <c r="A1883">
        <v>2201530</v>
      </c>
      <c r="B1883">
        <v>2017</v>
      </c>
      <c r="C1883" t="s">
        <v>264</v>
      </c>
      <c r="D1883" t="s">
        <v>232</v>
      </c>
      <c r="E1883" t="s">
        <v>234</v>
      </c>
      <c r="F1883" s="17">
        <v>8013713</v>
      </c>
      <c r="G1883" s="17">
        <v>276790</v>
      </c>
      <c r="H1883" s="17">
        <v>8290503</v>
      </c>
      <c r="I1883">
        <f>VLOOKUP(C1883,LEAIDs!$A$2:$B$305,2,FALSE)</f>
        <v>2201530</v>
      </c>
    </row>
    <row r="1884" spans="1:9" x14ac:dyDescent="0.2">
      <c r="A1884">
        <v>2201530</v>
      </c>
      <c r="B1884" s="2">
        <v>2022</v>
      </c>
      <c r="C1884" t="s">
        <v>264</v>
      </c>
      <c r="D1884" s="2" t="s">
        <v>232</v>
      </c>
      <c r="E1884" s="2" t="s">
        <v>234</v>
      </c>
      <c r="F1884" s="16">
        <v>8266075</v>
      </c>
      <c r="G1884" s="16">
        <v>295327</v>
      </c>
      <c r="H1884" s="15">
        <v>8561402</v>
      </c>
      <c r="I1884">
        <f>VLOOKUP(C1884,LEAIDs!$A$2:$B$305,2,FALSE)</f>
        <v>2201530</v>
      </c>
    </row>
    <row r="1885" spans="1:9" x14ac:dyDescent="0.2">
      <c r="A1885">
        <v>2201530</v>
      </c>
      <c r="B1885" s="2">
        <v>2023</v>
      </c>
      <c r="C1885" t="s">
        <v>264</v>
      </c>
      <c r="D1885" s="2" t="s">
        <v>232</v>
      </c>
      <c r="E1885" s="2" t="s">
        <v>234</v>
      </c>
      <c r="F1885" s="15">
        <v>8903619</v>
      </c>
      <c r="G1885" s="15">
        <v>317429</v>
      </c>
      <c r="H1885" s="15">
        <v>9221048</v>
      </c>
      <c r="I1885">
        <f>VLOOKUP(C1885,LEAIDs!$A$2:$B$305,2,FALSE)</f>
        <v>2201530</v>
      </c>
    </row>
    <row r="1886" spans="1:9" x14ac:dyDescent="0.2">
      <c r="A1886">
        <v>2201560</v>
      </c>
      <c r="B1886">
        <v>2015</v>
      </c>
      <c r="C1886" t="s">
        <v>48</v>
      </c>
      <c r="D1886" t="s">
        <v>232</v>
      </c>
      <c r="E1886" t="s">
        <v>234</v>
      </c>
      <c r="F1886" s="17">
        <v>17723868</v>
      </c>
      <c r="G1886" s="17">
        <v>544842</v>
      </c>
      <c r="H1886" s="17">
        <v>18268710</v>
      </c>
      <c r="I1886">
        <f>VLOOKUP(C1886,LEAIDs!$A$2:$B$305,2,FALSE)</f>
        <v>2201560</v>
      </c>
    </row>
    <row r="1887" spans="1:9" x14ac:dyDescent="0.2">
      <c r="A1887">
        <v>2201560</v>
      </c>
      <c r="B1887">
        <v>2016</v>
      </c>
      <c r="C1887" t="s">
        <v>48</v>
      </c>
      <c r="D1887" t="s">
        <v>232</v>
      </c>
      <c r="E1887" t="s">
        <v>234</v>
      </c>
      <c r="F1887" s="17">
        <v>16538082</v>
      </c>
      <c r="G1887" s="17">
        <v>545508</v>
      </c>
      <c r="H1887" s="17">
        <v>17083590</v>
      </c>
      <c r="I1887">
        <f>VLOOKUP(C1887,LEAIDs!$A$2:$B$305,2,FALSE)</f>
        <v>2201560</v>
      </c>
    </row>
    <row r="1888" spans="1:9" x14ac:dyDescent="0.2">
      <c r="A1888">
        <v>2201560</v>
      </c>
      <c r="B1888">
        <v>2017</v>
      </c>
      <c r="C1888" t="s">
        <v>48</v>
      </c>
      <c r="D1888" t="s">
        <v>232</v>
      </c>
      <c r="E1888" t="s">
        <v>234</v>
      </c>
      <c r="F1888" s="17">
        <v>15563521</v>
      </c>
      <c r="G1888" s="17">
        <v>537557</v>
      </c>
      <c r="H1888" s="17">
        <v>16101078</v>
      </c>
      <c r="I1888">
        <f>VLOOKUP(C1888,LEAIDs!$A$2:$B$305,2,FALSE)</f>
        <v>2201560</v>
      </c>
    </row>
    <row r="1889" spans="1:9" x14ac:dyDescent="0.2">
      <c r="A1889">
        <v>2201560</v>
      </c>
      <c r="B1889">
        <v>2018</v>
      </c>
      <c r="C1889" t="s">
        <v>48</v>
      </c>
      <c r="D1889" t="s">
        <v>232</v>
      </c>
      <c r="E1889" t="s">
        <v>234</v>
      </c>
      <c r="F1889" s="17">
        <v>16074059</v>
      </c>
      <c r="G1889" s="17">
        <v>528972</v>
      </c>
      <c r="H1889" s="17">
        <v>16603031</v>
      </c>
      <c r="I1889">
        <f>VLOOKUP(C1889,LEAIDs!$A$2:$B$305,2,FALSE)</f>
        <v>2201560</v>
      </c>
    </row>
    <row r="1890" spans="1:9" x14ac:dyDescent="0.2">
      <c r="A1890">
        <v>2201560</v>
      </c>
      <c r="B1890">
        <v>2019</v>
      </c>
      <c r="C1890" t="s">
        <v>48</v>
      </c>
      <c r="D1890" t="s">
        <v>232</v>
      </c>
      <c r="E1890" t="s">
        <v>234</v>
      </c>
      <c r="F1890" s="17">
        <v>16789095</v>
      </c>
      <c r="G1890" s="17">
        <v>563469</v>
      </c>
      <c r="H1890" s="17">
        <v>17352564</v>
      </c>
      <c r="I1890">
        <f>VLOOKUP(C1890,LEAIDs!$A$2:$B$305,2,FALSE)</f>
        <v>2201560</v>
      </c>
    </row>
    <row r="1891" spans="1:9" x14ac:dyDescent="0.2">
      <c r="A1891">
        <v>2201560</v>
      </c>
      <c r="B1891">
        <v>2020</v>
      </c>
      <c r="C1891" t="s">
        <v>48</v>
      </c>
      <c r="D1891" t="s">
        <v>232</v>
      </c>
      <c r="E1891" t="s">
        <v>234</v>
      </c>
      <c r="F1891" s="17">
        <v>16491567</v>
      </c>
      <c r="G1891" s="17">
        <v>581962</v>
      </c>
      <c r="H1891" s="17">
        <v>17073529</v>
      </c>
      <c r="I1891">
        <f>VLOOKUP(C1891,LEAIDs!$A$2:$B$305,2,FALSE)</f>
        <v>2201560</v>
      </c>
    </row>
    <row r="1892" spans="1:9" x14ac:dyDescent="0.2">
      <c r="A1892">
        <v>2201560</v>
      </c>
      <c r="B1892" s="2">
        <v>2021</v>
      </c>
      <c r="C1892" t="s">
        <v>48</v>
      </c>
      <c r="D1892" s="2" t="s">
        <v>232</v>
      </c>
      <c r="E1892" s="2" t="s">
        <v>234</v>
      </c>
      <c r="F1892" s="16">
        <v>16727387</v>
      </c>
      <c r="G1892" s="16">
        <v>582236</v>
      </c>
      <c r="H1892" s="15">
        <v>17309623</v>
      </c>
      <c r="I1892">
        <f>VLOOKUP(C1892,LEAIDs!$A$2:$B$305,2,FALSE)</f>
        <v>2201560</v>
      </c>
    </row>
    <row r="1893" spans="1:9" x14ac:dyDescent="0.2">
      <c r="A1893">
        <v>2201560</v>
      </c>
      <c r="B1893" s="2">
        <v>2022</v>
      </c>
      <c r="C1893" t="s">
        <v>48</v>
      </c>
      <c r="D1893" s="2" t="s">
        <v>232</v>
      </c>
      <c r="E1893" s="2" t="s">
        <v>234</v>
      </c>
      <c r="F1893" s="16">
        <v>16681788</v>
      </c>
      <c r="G1893" s="16">
        <v>596001</v>
      </c>
      <c r="H1893" s="15">
        <v>17277789</v>
      </c>
      <c r="I1893">
        <f>VLOOKUP(C1893,LEAIDs!$A$2:$B$305,2,FALSE)</f>
        <v>2201560</v>
      </c>
    </row>
    <row r="1894" spans="1:9" x14ac:dyDescent="0.2">
      <c r="A1894">
        <v>2201560</v>
      </c>
      <c r="B1894" s="2">
        <v>2023</v>
      </c>
      <c r="C1894" t="s">
        <v>48</v>
      </c>
      <c r="D1894" s="2" t="s">
        <v>232</v>
      </c>
      <c r="E1894" s="2" t="s">
        <v>234</v>
      </c>
      <c r="F1894" s="15">
        <v>17319249</v>
      </c>
      <c r="G1894" s="15">
        <v>617460</v>
      </c>
      <c r="H1894" s="15">
        <v>17936709</v>
      </c>
      <c r="I1894">
        <f>VLOOKUP(C1894,LEAIDs!$A$2:$B$305,2,FALSE)</f>
        <v>2201560</v>
      </c>
    </row>
    <row r="1895" spans="1:9" x14ac:dyDescent="0.2">
      <c r="A1895">
        <v>2201590</v>
      </c>
      <c r="B1895">
        <v>2015</v>
      </c>
      <c r="C1895" t="s">
        <v>49</v>
      </c>
      <c r="D1895" t="s">
        <v>232</v>
      </c>
      <c r="E1895" t="s">
        <v>234</v>
      </c>
      <c r="F1895" s="17">
        <v>10201275</v>
      </c>
      <c r="G1895" s="17">
        <v>313593</v>
      </c>
      <c r="H1895" s="17">
        <v>10514868</v>
      </c>
      <c r="I1895">
        <f>VLOOKUP(C1895,LEAIDs!$A$2:$B$305,2,FALSE)</f>
        <v>2201590</v>
      </c>
    </row>
    <row r="1896" spans="1:9" x14ac:dyDescent="0.2">
      <c r="A1896">
        <v>2201590</v>
      </c>
      <c r="B1896">
        <v>2016</v>
      </c>
      <c r="C1896" t="s">
        <v>49</v>
      </c>
      <c r="D1896" t="s">
        <v>232</v>
      </c>
      <c r="E1896" t="s">
        <v>234</v>
      </c>
      <c r="F1896" s="17">
        <v>9416619</v>
      </c>
      <c r="G1896" s="17">
        <v>310607</v>
      </c>
      <c r="H1896" s="17">
        <v>9727226</v>
      </c>
      <c r="I1896">
        <f>VLOOKUP(C1896,LEAIDs!$A$2:$B$305,2,FALSE)</f>
        <v>2201590</v>
      </c>
    </row>
    <row r="1897" spans="1:9" x14ac:dyDescent="0.2">
      <c r="A1897">
        <v>2201590</v>
      </c>
      <c r="B1897">
        <v>2017</v>
      </c>
      <c r="C1897" t="s">
        <v>49</v>
      </c>
      <c r="D1897" t="s">
        <v>232</v>
      </c>
      <c r="E1897" t="s">
        <v>234</v>
      </c>
      <c r="F1897" s="17">
        <v>8713273</v>
      </c>
      <c r="G1897" s="17">
        <v>300953</v>
      </c>
      <c r="H1897" s="17">
        <v>9014226</v>
      </c>
      <c r="I1897">
        <f>VLOOKUP(C1897,LEAIDs!$A$2:$B$305,2,FALSE)</f>
        <v>2201590</v>
      </c>
    </row>
    <row r="1898" spans="1:9" x14ac:dyDescent="0.2">
      <c r="A1898">
        <v>2201590</v>
      </c>
      <c r="B1898">
        <v>2018</v>
      </c>
      <c r="C1898" t="s">
        <v>49</v>
      </c>
      <c r="D1898" t="s">
        <v>232</v>
      </c>
      <c r="E1898" t="s">
        <v>234</v>
      </c>
      <c r="F1898" s="17">
        <v>9347985</v>
      </c>
      <c r="G1898" s="17">
        <v>307628</v>
      </c>
      <c r="H1898" s="17">
        <v>9655613</v>
      </c>
      <c r="I1898">
        <f>VLOOKUP(C1898,LEAIDs!$A$2:$B$305,2,FALSE)</f>
        <v>2201590</v>
      </c>
    </row>
    <row r="1899" spans="1:9" x14ac:dyDescent="0.2">
      <c r="A1899">
        <v>2201590</v>
      </c>
      <c r="B1899">
        <v>2019</v>
      </c>
      <c r="C1899" t="s">
        <v>49</v>
      </c>
      <c r="D1899" t="s">
        <v>232</v>
      </c>
      <c r="E1899" t="s">
        <v>234</v>
      </c>
      <c r="F1899" s="17">
        <v>9451682</v>
      </c>
      <c r="G1899" s="17">
        <v>317213</v>
      </c>
      <c r="H1899" s="17">
        <v>9768895</v>
      </c>
      <c r="I1899">
        <f>VLOOKUP(C1899,LEAIDs!$A$2:$B$305,2,FALSE)</f>
        <v>2201590</v>
      </c>
    </row>
    <row r="1900" spans="1:9" x14ac:dyDescent="0.2">
      <c r="A1900">
        <v>2201590</v>
      </c>
      <c r="B1900">
        <v>2020</v>
      </c>
      <c r="C1900" t="s">
        <v>49</v>
      </c>
      <c r="D1900" t="s">
        <v>232</v>
      </c>
      <c r="E1900" t="s">
        <v>234</v>
      </c>
      <c r="F1900" s="17">
        <v>9316634</v>
      </c>
      <c r="G1900" s="17">
        <v>328770</v>
      </c>
      <c r="H1900" s="17">
        <v>9645404</v>
      </c>
      <c r="I1900">
        <f>VLOOKUP(C1900,LEAIDs!$A$2:$B$305,2,FALSE)</f>
        <v>2201590</v>
      </c>
    </row>
    <row r="1901" spans="1:9" x14ac:dyDescent="0.2">
      <c r="A1901">
        <v>2201590</v>
      </c>
      <c r="B1901" s="2">
        <v>2021</v>
      </c>
      <c r="C1901" s="4" t="s">
        <v>49</v>
      </c>
      <c r="D1901" s="2" t="s">
        <v>232</v>
      </c>
      <c r="E1901" s="2" t="s">
        <v>234</v>
      </c>
      <c r="F1901" s="16">
        <v>10116609</v>
      </c>
      <c r="G1901" s="16">
        <v>352132</v>
      </c>
      <c r="H1901" s="15">
        <v>10468741</v>
      </c>
      <c r="I1901">
        <f>VLOOKUP(C1901,LEAIDs!$A$2:$B$305,2,FALSE)</f>
        <v>2201590</v>
      </c>
    </row>
    <row r="1902" spans="1:9" x14ac:dyDescent="0.2">
      <c r="A1902">
        <v>2201590</v>
      </c>
      <c r="B1902" s="2">
        <v>2022</v>
      </c>
      <c r="C1902" s="4" t="s">
        <v>49</v>
      </c>
      <c r="D1902" s="2" t="s">
        <v>232</v>
      </c>
      <c r="E1902" s="2" t="s">
        <v>234</v>
      </c>
      <c r="F1902" s="16">
        <v>9997615</v>
      </c>
      <c r="G1902" s="16">
        <v>357191</v>
      </c>
      <c r="H1902" s="15">
        <v>10354806</v>
      </c>
      <c r="I1902">
        <f>VLOOKUP(C1902,LEAIDs!$A$2:$B$305,2,FALSE)</f>
        <v>2201590</v>
      </c>
    </row>
    <row r="1903" spans="1:9" x14ac:dyDescent="0.2">
      <c r="A1903">
        <v>2201590</v>
      </c>
      <c r="B1903" s="2">
        <v>2023</v>
      </c>
      <c r="C1903" s="2" t="s">
        <v>49</v>
      </c>
      <c r="D1903" s="2" t="s">
        <v>232</v>
      </c>
      <c r="E1903" s="2" t="s">
        <v>234</v>
      </c>
      <c r="F1903" s="15">
        <v>11183468</v>
      </c>
      <c r="G1903" s="15">
        <v>398709</v>
      </c>
      <c r="H1903" s="15">
        <v>11582177</v>
      </c>
      <c r="I1903">
        <f>VLOOKUP(C1903,LEAIDs!$A$2:$B$305,2,FALSE)</f>
        <v>2201590</v>
      </c>
    </row>
    <row r="1904" spans="1:9" x14ac:dyDescent="0.2">
      <c r="A1904">
        <v>2201620</v>
      </c>
      <c r="B1904">
        <v>2015</v>
      </c>
      <c r="C1904" t="s">
        <v>50</v>
      </c>
      <c r="D1904" t="s">
        <v>232</v>
      </c>
      <c r="E1904" t="s">
        <v>234</v>
      </c>
      <c r="F1904" s="17">
        <v>12149429</v>
      </c>
      <c r="G1904" s="17">
        <v>373480</v>
      </c>
      <c r="H1904" s="17">
        <v>12522909</v>
      </c>
      <c r="I1904">
        <f>VLOOKUP(C1904,LEAIDs!$A$2:$B$305,2,FALSE)</f>
        <v>2201620</v>
      </c>
    </row>
    <row r="1905" spans="1:9" x14ac:dyDescent="0.2">
      <c r="A1905">
        <v>2201620</v>
      </c>
      <c r="B1905">
        <v>2016</v>
      </c>
      <c r="C1905" t="s">
        <v>50</v>
      </c>
      <c r="D1905" t="s">
        <v>232</v>
      </c>
      <c r="E1905" t="s">
        <v>234</v>
      </c>
      <c r="F1905" s="17">
        <v>11324470</v>
      </c>
      <c r="G1905" s="17">
        <v>373537</v>
      </c>
      <c r="H1905" s="17">
        <v>11698007</v>
      </c>
      <c r="I1905">
        <f>VLOOKUP(C1905,LEAIDs!$A$2:$B$305,2,FALSE)</f>
        <v>2201620</v>
      </c>
    </row>
    <row r="1906" spans="1:9" x14ac:dyDescent="0.2">
      <c r="A1906">
        <v>2201620</v>
      </c>
      <c r="B1906">
        <v>2017</v>
      </c>
      <c r="C1906" t="s">
        <v>50</v>
      </c>
      <c r="D1906" t="s">
        <v>232</v>
      </c>
      <c r="E1906" t="s">
        <v>234</v>
      </c>
      <c r="F1906" s="17">
        <v>10397329</v>
      </c>
      <c r="G1906" s="17">
        <v>359119</v>
      </c>
      <c r="H1906" s="17">
        <v>10756448</v>
      </c>
      <c r="I1906">
        <f>VLOOKUP(C1906,LEAIDs!$A$2:$B$305,2,FALSE)</f>
        <v>2201620</v>
      </c>
    </row>
    <row r="1907" spans="1:9" x14ac:dyDescent="0.2">
      <c r="A1907">
        <v>2201620</v>
      </c>
      <c r="B1907">
        <v>2018</v>
      </c>
      <c r="C1907" t="s">
        <v>50</v>
      </c>
      <c r="D1907" t="s">
        <v>232</v>
      </c>
      <c r="E1907" t="s">
        <v>234</v>
      </c>
      <c r="F1907" s="17">
        <v>11033935</v>
      </c>
      <c r="G1907" s="17">
        <v>363110</v>
      </c>
      <c r="H1907" s="17">
        <v>11397045</v>
      </c>
      <c r="I1907">
        <f>VLOOKUP(C1907,LEAIDs!$A$2:$B$305,2,FALSE)</f>
        <v>2201620</v>
      </c>
    </row>
    <row r="1908" spans="1:9" x14ac:dyDescent="0.2">
      <c r="A1908">
        <v>2201620</v>
      </c>
      <c r="B1908">
        <v>2019</v>
      </c>
      <c r="C1908" t="s">
        <v>50</v>
      </c>
      <c r="D1908" t="s">
        <v>232</v>
      </c>
      <c r="E1908" t="s">
        <v>234</v>
      </c>
      <c r="F1908" s="17">
        <v>10570246</v>
      </c>
      <c r="G1908" s="17">
        <v>354754</v>
      </c>
      <c r="H1908" s="17">
        <v>10925000</v>
      </c>
      <c r="I1908">
        <f>VLOOKUP(C1908,LEAIDs!$A$2:$B$305,2,FALSE)</f>
        <v>2201620</v>
      </c>
    </row>
    <row r="1909" spans="1:9" x14ac:dyDescent="0.2">
      <c r="A1909">
        <v>2201620</v>
      </c>
      <c r="B1909">
        <v>2020</v>
      </c>
      <c r="C1909" t="s">
        <v>50</v>
      </c>
      <c r="D1909" t="s">
        <v>232</v>
      </c>
      <c r="E1909" t="s">
        <v>234</v>
      </c>
      <c r="F1909" s="17">
        <v>10197399</v>
      </c>
      <c r="G1909" s="17">
        <v>359851</v>
      </c>
      <c r="H1909" s="17">
        <v>10557250</v>
      </c>
      <c r="I1909">
        <f>VLOOKUP(C1909,LEAIDs!$A$2:$B$305,2,FALSE)</f>
        <v>2201620</v>
      </c>
    </row>
    <row r="1910" spans="1:9" x14ac:dyDescent="0.2">
      <c r="A1910">
        <v>2201620</v>
      </c>
      <c r="B1910" s="2">
        <v>2021</v>
      </c>
      <c r="C1910" s="4" t="s">
        <v>50</v>
      </c>
      <c r="D1910" s="2" t="s">
        <v>232</v>
      </c>
      <c r="E1910" s="2" t="s">
        <v>234</v>
      </c>
      <c r="F1910" s="16">
        <v>10504379</v>
      </c>
      <c r="G1910" s="16">
        <v>365629</v>
      </c>
      <c r="H1910" s="15">
        <v>10870008</v>
      </c>
      <c r="I1910">
        <f>VLOOKUP(C1910,LEAIDs!$A$2:$B$305,2,FALSE)</f>
        <v>2201620</v>
      </c>
    </row>
    <row r="1911" spans="1:9" x14ac:dyDescent="0.2">
      <c r="A1911">
        <v>2201620</v>
      </c>
      <c r="B1911" s="2">
        <v>2022</v>
      </c>
      <c r="C1911" s="4" t="s">
        <v>50</v>
      </c>
      <c r="D1911" s="2" t="s">
        <v>232</v>
      </c>
      <c r="E1911" s="2" t="s">
        <v>234</v>
      </c>
      <c r="F1911" s="16">
        <v>10058552</v>
      </c>
      <c r="G1911" s="16">
        <v>359368</v>
      </c>
      <c r="H1911" s="15">
        <v>10417920</v>
      </c>
      <c r="I1911">
        <f>VLOOKUP(C1911,LEAIDs!$A$2:$B$305,2,FALSE)</f>
        <v>2201620</v>
      </c>
    </row>
    <row r="1912" spans="1:9" x14ac:dyDescent="0.2">
      <c r="A1912">
        <v>2201620</v>
      </c>
      <c r="B1912" s="2">
        <v>2023</v>
      </c>
      <c r="C1912" s="2" t="s">
        <v>50</v>
      </c>
      <c r="D1912" s="2" t="s">
        <v>232</v>
      </c>
      <c r="E1912" s="2" t="s">
        <v>234</v>
      </c>
      <c r="F1912" s="15">
        <v>10744045</v>
      </c>
      <c r="G1912" s="15">
        <v>383043</v>
      </c>
      <c r="H1912" s="15">
        <v>11127088</v>
      </c>
      <c r="I1912">
        <f>VLOOKUP(C1912,LEAIDs!$A$2:$B$305,2,FALSE)</f>
        <v>2201620</v>
      </c>
    </row>
    <row r="1913" spans="1:9" x14ac:dyDescent="0.2">
      <c r="A1913">
        <v>2201650</v>
      </c>
      <c r="B1913">
        <v>2015</v>
      </c>
      <c r="C1913" t="s">
        <v>51</v>
      </c>
      <c r="D1913" t="s">
        <v>232</v>
      </c>
      <c r="E1913" t="s">
        <v>234</v>
      </c>
      <c r="F1913" s="17">
        <v>55221306</v>
      </c>
      <c r="G1913" s="17">
        <v>1697535</v>
      </c>
      <c r="H1913" s="17">
        <v>56918841</v>
      </c>
      <c r="I1913">
        <f>VLOOKUP(C1913,LEAIDs!$A$2:$B$305,2,FALSE)</f>
        <v>2201650</v>
      </c>
    </row>
    <row r="1914" spans="1:9" x14ac:dyDescent="0.2">
      <c r="A1914">
        <v>2201650</v>
      </c>
      <c r="B1914">
        <v>2016</v>
      </c>
      <c r="C1914" t="s">
        <v>51</v>
      </c>
      <c r="D1914" t="s">
        <v>232</v>
      </c>
      <c r="E1914" t="s">
        <v>234</v>
      </c>
      <c r="F1914" s="17">
        <v>53257384</v>
      </c>
      <c r="G1914" s="17">
        <v>1756693</v>
      </c>
      <c r="H1914" s="17">
        <v>55014077</v>
      </c>
      <c r="I1914">
        <f>VLOOKUP(C1914,LEAIDs!$A$2:$B$305,2,FALSE)</f>
        <v>2201650</v>
      </c>
    </row>
    <row r="1915" spans="1:9" x14ac:dyDescent="0.2">
      <c r="A1915">
        <v>2201650</v>
      </c>
      <c r="B1915">
        <v>2017</v>
      </c>
      <c r="C1915" t="s">
        <v>51</v>
      </c>
      <c r="D1915" t="s">
        <v>232</v>
      </c>
      <c r="E1915" t="s">
        <v>234</v>
      </c>
      <c r="F1915" s="17">
        <v>52352969</v>
      </c>
      <c r="G1915" s="17">
        <v>1808248</v>
      </c>
      <c r="H1915" s="17">
        <v>54161217</v>
      </c>
      <c r="I1915">
        <f>VLOOKUP(C1915,LEAIDs!$A$2:$B$305,2,FALSE)</f>
        <v>2201650</v>
      </c>
    </row>
    <row r="1916" spans="1:9" x14ac:dyDescent="0.2">
      <c r="A1916">
        <v>2201650</v>
      </c>
      <c r="B1916">
        <v>2018</v>
      </c>
      <c r="C1916" t="s">
        <v>51</v>
      </c>
      <c r="D1916" t="s">
        <v>232</v>
      </c>
      <c r="E1916" t="s">
        <v>234</v>
      </c>
      <c r="F1916" s="17">
        <v>55926432</v>
      </c>
      <c r="G1916" s="17">
        <v>1840451</v>
      </c>
      <c r="H1916" s="17">
        <v>57766883</v>
      </c>
      <c r="I1916">
        <f>VLOOKUP(C1916,LEAIDs!$A$2:$B$305,2,FALSE)</f>
        <v>2201650</v>
      </c>
    </row>
    <row r="1917" spans="1:9" x14ac:dyDescent="0.2">
      <c r="A1917">
        <v>2201650</v>
      </c>
      <c r="B1917">
        <v>2019</v>
      </c>
      <c r="C1917" t="s">
        <v>51</v>
      </c>
      <c r="D1917" t="s">
        <v>232</v>
      </c>
      <c r="E1917" t="s">
        <v>234</v>
      </c>
      <c r="F1917" s="17">
        <v>55907051</v>
      </c>
      <c r="G1917" s="17">
        <v>1876330</v>
      </c>
      <c r="H1917" s="17">
        <v>57783381</v>
      </c>
      <c r="I1917">
        <f>VLOOKUP(C1917,LEAIDs!$A$2:$B$305,2,FALSE)</f>
        <v>2201650</v>
      </c>
    </row>
    <row r="1918" spans="1:9" x14ac:dyDescent="0.2">
      <c r="A1918">
        <v>2201650</v>
      </c>
      <c r="B1918">
        <v>2020</v>
      </c>
      <c r="C1918" t="s">
        <v>51</v>
      </c>
      <c r="D1918" t="s">
        <v>232</v>
      </c>
      <c r="E1918" t="s">
        <v>234</v>
      </c>
      <c r="F1918" s="17">
        <v>56860457</v>
      </c>
      <c r="G1918" s="17">
        <v>2006518</v>
      </c>
      <c r="H1918" s="17">
        <v>58866975</v>
      </c>
      <c r="I1918">
        <f>VLOOKUP(C1918,LEAIDs!$A$2:$B$305,2,FALSE)</f>
        <v>2201650</v>
      </c>
    </row>
    <row r="1919" spans="1:9" x14ac:dyDescent="0.2">
      <c r="A1919">
        <v>2201650</v>
      </c>
      <c r="B1919" s="2">
        <v>2021</v>
      </c>
      <c r="C1919" s="4" t="s">
        <v>51</v>
      </c>
      <c r="D1919" s="2" t="s">
        <v>232</v>
      </c>
      <c r="E1919" s="2" t="s">
        <v>234</v>
      </c>
      <c r="F1919" s="16">
        <v>60989040</v>
      </c>
      <c r="G1919" s="16">
        <v>2122866</v>
      </c>
      <c r="H1919" s="15">
        <v>63111906</v>
      </c>
      <c r="I1919">
        <f>VLOOKUP(C1919,LEAIDs!$A$2:$B$305,2,FALSE)</f>
        <v>2201650</v>
      </c>
    </row>
    <row r="1920" spans="1:9" x14ac:dyDescent="0.2">
      <c r="A1920">
        <v>2201650</v>
      </c>
      <c r="B1920" s="2">
        <v>2022</v>
      </c>
      <c r="C1920" s="4" t="s">
        <v>51</v>
      </c>
      <c r="D1920" s="2" t="s">
        <v>232</v>
      </c>
      <c r="E1920" s="2" t="s">
        <v>234</v>
      </c>
      <c r="F1920" s="16">
        <v>59353543</v>
      </c>
      <c r="G1920" s="16">
        <v>2120561</v>
      </c>
      <c r="H1920" s="15">
        <v>61474104</v>
      </c>
      <c r="I1920">
        <f>VLOOKUP(C1920,LEAIDs!$A$2:$B$305,2,FALSE)</f>
        <v>2201650</v>
      </c>
    </row>
    <row r="1921" spans="1:9" x14ac:dyDescent="0.2">
      <c r="A1921">
        <v>2201650</v>
      </c>
      <c r="B1921" s="2">
        <v>2023</v>
      </c>
      <c r="C1921" s="2" t="s">
        <v>51</v>
      </c>
      <c r="D1921" s="2" t="s">
        <v>232</v>
      </c>
      <c r="E1921" s="2" t="s">
        <v>234</v>
      </c>
      <c r="F1921" s="15">
        <v>63522235</v>
      </c>
      <c r="G1921" s="15">
        <v>2264672</v>
      </c>
      <c r="H1921" s="15">
        <v>65786907</v>
      </c>
      <c r="I1921">
        <f>VLOOKUP(C1921,LEAIDs!$A$2:$B$305,2,FALSE)</f>
        <v>2201650</v>
      </c>
    </row>
    <row r="1922" spans="1:9" x14ac:dyDescent="0.2">
      <c r="A1922">
        <v>2201710</v>
      </c>
      <c r="B1922">
        <v>2015</v>
      </c>
      <c r="C1922" t="s">
        <v>53</v>
      </c>
      <c r="D1922" t="s">
        <v>232</v>
      </c>
      <c r="E1922" t="s">
        <v>234</v>
      </c>
      <c r="F1922" s="17">
        <v>974886</v>
      </c>
      <c r="G1922" s="17">
        <v>29969</v>
      </c>
      <c r="H1922" s="17">
        <v>1004855</v>
      </c>
      <c r="I1922">
        <f>VLOOKUP(C1922,LEAIDs!$A$2:$B$305,2,FALSE)</f>
        <v>2201710</v>
      </c>
    </row>
    <row r="1923" spans="1:9" x14ac:dyDescent="0.2">
      <c r="A1923">
        <v>2201710</v>
      </c>
      <c r="B1923">
        <v>2016</v>
      </c>
      <c r="C1923" t="s">
        <v>53</v>
      </c>
      <c r="D1923" t="s">
        <v>232</v>
      </c>
      <c r="E1923" t="s">
        <v>234</v>
      </c>
      <c r="F1923" s="17">
        <v>837985</v>
      </c>
      <c r="G1923" s="17">
        <v>27641</v>
      </c>
      <c r="H1923" s="17">
        <v>865626</v>
      </c>
      <c r="I1923">
        <f>VLOOKUP(C1923,LEAIDs!$A$2:$B$305,2,FALSE)</f>
        <v>2201710</v>
      </c>
    </row>
    <row r="1924" spans="1:9" x14ac:dyDescent="0.2">
      <c r="A1924">
        <v>2201710</v>
      </c>
      <c r="B1924">
        <v>2017</v>
      </c>
      <c r="C1924" t="s">
        <v>53</v>
      </c>
      <c r="D1924" t="s">
        <v>232</v>
      </c>
      <c r="E1924" t="s">
        <v>234</v>
      </c>
      <c r="F1924" s="17">
        <v>783585</v>
      </c>
      <c r="G1924" s="17">
        <v>27065</v>
      </c>
      <c r="H1924" s="17">
        <v>810650</v>
      </c>
      <c r="I1924">
        <f>VLOOKUP(C1924,LEAIDs!$A$2:$B$305,2,FALSE)</f>
        <v>2201710</v>
      </c>
    </row>
    <row r="1925" spans="1:9" x14ac:dyDescent="0.2">
      <c r="A1925">
        <v>2201710</v>
      </c>
      <c r="B1925">
        <v>2018</v>
      </c>
      <c r="C1925" t="s">
        <v>53</v>
      </c>
      <c r="D1925" t="s">
        <v>232</v>
      </c>
      <c r="E1925" t="s">
        <v>234</v>
      </c>
      <c r="F1925" s="17">
        <v>780360</v>
      </c>
      <c r="G1925" s="17">
        <v>25680</v>
      </c>
      <c r="H1925" s="17">
        <v>806040</v>
      </c>
      <c r="I1925">
        <f>VLOOKUP(C1925,LEAIDs!$A$2:$B$305,2,FALSE)</f>
        <v>2201710</v>
      </c>
    </row>
    <row r="1926" spans="1:9" x14ac:dyDescent="0.2">
      <c r="A1926">
        <v>2201710</v>
      </c>
      <c r="B1926">
        <v>2019</v>
      </c>
      <c r="C1926" t="s">
        <v>53</v>
      </c>
      <c r="D1926" t="s">
        <v>232</v>
      </c>
      <c r="E1926" t="s">
        <v>234</v>
      </c>
      <c r="F1926" s="17">
        <v>707637</v>
      </c>
      <c r="G1926" s="17">
        <v>23749</v>
      </c>
      <c r="H1926" s="17">
        <v>731386</v>
      </c>
      <c r="I1926">
        <f>VLOOKUP(C1926,LEAIDs!$A$2:$B$305,2,FALSE)</f>
        <v>2201710</v>
      </c>
    </row>
    <row r="1927" spans="1:9" x14ac:dyDescent="0.2">
      <c r="A1927">
        <v>2201710</v>
      </c>
      <c r="B1927">
        <v>2020</v>
      </c>
      <c r="C1927" t="s">
        <v>53</v>
      </c>
      <c r="D1927" t="s">
        <v>232</v>
      </c>
      <c r="E1927" t="s">
        <v>234</v>
      </c>
      <c r="F1927" s="17">
        <v>641779</v>
      </c>
      <c r="G1927" s="17">
        <v>22647</v>
      </c>
      <c r="H1927" s="17">
        <v>664426</v>
      </c>
      <c r="I1927">
        <f>VLOOKUP(C1927,LEAIDs!$A$2:$B$305,2,FALSE)</f>
        <v>2201710</v>
      </c>
    </row>
    <row r="1928" spans="1:9" x14ac:dyDescent="0.2">
      <c r="A1928">
        <v>2201710</v>
      </c>
      <c r="B1928" s="2">
        <v>2021</v>
      </c>
      <c r="C1928" s="4" t="s">
        <v>53</v>
      </c>
      <c r="D1928" s="2" t="s">
        <v>232</v>
      </c>
      <c r="E1928" s="2" t="s">
        <v>234</v>
      </c>
      <c r="F1928" s="16">
        <v>634076</v>
      </c>
      <c r="G1928" s="16">
        <v>22070</v>
      </c>
      <c r="H1928" s="15">
        <v>656146</v>
      </c>
      <c r="I1928">
        <f>VLOOKUP(C1928,LEAIDs!$A$2:$B$305,2,FALSE)</f>
        <v>2201710</v>
      </c>
    </row>
    <row r="1929" spans="1:9" x14ac:dyDescent="0.2">
      <c r="A1929">
        <v>2201710</v>
      </c>
      <c r="B1929" s="2">
        <v>2022</v>
      </c>
      <c r="C1929" s="4" t="s">
        <v>53</v>
      </c>
      <c r="D1929" s="2" t="s">
        <v>232</v>
      </c>
      <c r="E1929" s="2" t="s">
        <v>234</v>
      </c>
      <c r="F1929" s="16">
        <v>715239</v>
      </c>
      <c r="G1929" s="16">
        <v>25554</v>
      </c>
      <c r="H1929" s="15">
        <v>740793</v>
      </c>
      <c r="I1929">
        <f>VLOOKUP(C1929,LEAIDs!$A$2:$B$305,2,FALSE)</f>
        <v>2201710</v>
      </c>
    </row>
    <row r="1930" spans="1:9" x14ac:dyDescent="0.2">
      <c r="A1930">
        <v>2201710</v>
      </c>
      <c r="B1930" s="2">
        <v>2023</v>
      </c>
      <c r="C1930" s="2" t="s">
        <v>53</v>
      </c>
      <c r="D1930" s="2" t="s">
        <v>232</v>
      </c>
      <c r="E1930" s="2" t="s">
        <v>234</v>
      </c>
      <c r="F1930" s="15">
        <v>735976</v>
      </c>
      <c r="G1930" s="15">
        <v>26239</v>
      </c>
      <c r="H1930" s="15">
        <v>762215</v>
      </c>
      <c r="I1930">
        <f>VLOOKUP(C1930,LEAIDs!$A$2:$B$305,2,FALSE)</f>
        <v>2201710</v>
      </c>
    </row>
    <row r="1931" spans="1:9" x14ac:dyDescent="0.2">
      <c r="A1931">
        <v>2201740</v>
      </c>
      <c r="B1931">
        <v>2015</v>
      </c>
      <c r="C1931" t="s">
        <v>54</v>
      </c>
      <c r="D1931" t="s">
        <v>232</v>
      </c>
      <c r="E1931" t="s">
        <v>234</v>
      </c>
      <c r="F1931" s="17">
        <v>20864493</v>
      </c>
      <c r="G1931" s="17">
        <v>641387</v>
      </c>
      <c r="H1931" s="17">
        <v>21505880</v>
      </c>
      <c r="I1931">
        <f>VLOOKUP(C1931,LEAIDs!$A$2:$B$305,2,FALSE)</f>
        <v>2201740</v>
      </c>
    </row>
    <row r="1932" spans="1:9" x14ac:dyDescent="0.2">
      <c r="A1932">
        <v>2201740</v>
      </c>
      <c r="B1932">
        <v>2016</v>
      </c>
      <c r="C1932" t="s">
        <v>54</v>
      </c>
      <c r="D1932" t="s">
        <v>232</v>
      </c>
      <c r="E1932" t="s">
        <v>234</v>
      </c>
      <c r="F1932" s="17">
        <v>20475779</v>
      </c>
      <c r="G1932" s="17">
        <v>675393</v>
      </c>
      <c r="H1932" s="17">
        <v>21151172</v>
      </c>
      <c r="I1932">
        <f>VLOOKUP(C1932,LEAIDs!$A$2:$B$305,2,FALSE)</f>
        <v>2201740</v>
      </c>
    </row>
    <row r="1933" spans="1:9" x14ac:dyDescent="0.2">
      <c r="A1933">
        <v>2201740</v>
      </c>
      <c r="B1933">
        <v>2017</v>
      </c>
      <c r="C1933" t="s">
        <v>54</v>
      </c>
      <c r="D1933" t="s">
        <v>232</v>
      </c>
      <c r="E1933" t="s">
        <v>234</v>
      </c>
      <c r="F1933" s="17">
        <v>19567661</v>
      </c>
      <c r="G1933" s="17">
        <v>675858</v>
      </c>
      <c r="H1933" s="17">
        <v>20243519</v>
      </c>
      <c r="I1933">
        <f>VLOOKUP(C1933,LEAIDs!$A$2:$B$305,2,FALSE)</f>
        <v>2201740</v>
      </c>
    </row>
    <row r="1934" spans="1:9" x14ac:dyDescent="0.2">
      <c r="A1934">
        <v>2201740</v>
      </c>
      <c r="B1934">
        <v>2018</v>
      </c>
      <c r="C1934" t="s">
        <v>54</v>
      </c>
      <c r="D1934" t="s">
        <v>232</v>
      </c>
      <c r="E1934" t="s">
        <v>234</v>
      </c>
      <c r="F1934" s="17">
        <v>20138297</v>
      </c>
      <c r="G1934" s="17">
        <v>662720</v>
      </c>
      <c r="H1934" s="17">
        <v>20801017</v>
      </c>
      <c r="I1934">
        <f>VLOOKUP(C1934,LEAIDs!$A$2:$B$305,2,FALSE)</f>
        <v>2201740</v>
      </c>
    </row>
    <row r="1935" spans="1:9" x14ac:dyDescent="0.2">
      <c r="A1935">
        <v>2201740</v>
      </c>
      <c r="B1935">
        <v>2019</v>
      </c>
      <c r="C1935" t="s">
        <v>54</v>
      </c>
      <c r="D1935" t="s">
        <v>232</v>
      </c>
      <c r="E1935" t="s">
        <v>234</v>
      </c>
      <c r="F1935" s="17">
        <v>20156948</v>
      </c>
      <c r="G1935" s="17">
        <v>676499</v>
      </c>
      <c r="H1935" s="17">
        <v>20833447</v>
      </c>
      <c r="I1935">
        <f>VLOOKUP(C1935,LEAIDs!$A$2:$B$305,2,FALSE)</f>
        <v>2201740</v>
      </c>
    </row>
    <row r="1936" spans="1:9" x14ac:dyDescent="0.2">
      <c r="A1936">
        <v>2201740</v>
      </c>
      <c r="B1936">
        <v>2020</v>
      </c>
      <c r="C1936" t="s">
        <v>54</v>
      </c>
      <c r="D1936" t="s">
        <v>232</v>
      </c>
      <c r="E1936" t="s">
        <v>234</v>
      </c>
      <c r="F1936" s="17">
        <v>20278913</v>
      </c>
      <c r="G1936" s="17">
        <v>715612</v>
      </c>
      <c r="H1936" s="17">
        <v>20994525</v>
      </c>
      <c r="I1936">
        <f>VLOOKUP(C1936,LEAIDs!$A$2:$B$305,2,FALSE)</f>
        <v>2201740</v>
      </c>
    </row>
    <row r="1937" spans="1:9" x14ac:dyDescent="0.2">
      <c r="A1937">
        <v>2201740</v>
      </c>
      <c r="B1937" s="2">
        <v>2021</v>
      </c>
      <c r="C1937" s="4" t="s">
        <v>54</v>
      </c>
      <c r="D1937" s="2" t="s">
        <v>232</v>
      </c>
      <c r="E1937" s="2" t="s">
        <v>234</v>
      </c>
      <c r="F1937" s="16">
        <v>20893600</v>
      </c>
      <c r="G1937" s="16">
        <v>727251</v>
      </c>
      <c r="H1937" s="15">
        <v>21620851</v>
      </c>
      <c r="I1937">
        <f>VLOOKUP(C1937,LEAIDs!$A$2:$B$305,2,FALSE)</f>
        <v>2201740</v>
      </c>
    </row>
    <row r="1938" spans="1:9" x14ac:dyDescent="0.2">
      <c r="A1938">
        <v>2201740</v>
      </c>
      <c r="B1938" s="2">
        <v>2022</v>
      </c>
      <c r="C1938" s="4" t="s">
        <v>54</v>
      </c>
      <c r="D1938" s="2" t="s">
        <v>232</v>
      </c>
      <c r="E1938" s="2" t="s">
        <v>234</v>
      </c>
      <c r="F1938" s="16">
        <v>20287063</v>
      </c>
      <c r="G1938" s="16">
        <v>724808</v>
      </c>
      <c r="H1938" s="15">
        <v>21011871</v>
      </c>
      <c r="I1938">
        <f>VLOOKUP(C1938,LEAIDs!$A$2:$B$305,2,FALSE)</f>
        <v>2201740</v>
      </c>
    </row>
    <row r="1939" spans="1:9" x14ac:dyDescent="0.2">
      <c r="A1939">
        <v>2201740</v>
      </c>
      <c r="B1939" s="2">
        <v>2023</v>
      </c>
      <c r="C1939" s="2" t="s">
        <v>54</v>
      </c>
      <c r="D1939" s="2" t="s">
        <v>232</v>
      </c>
      <c r="E1939" s="2" t="s">
        <v>234</v>
      </c>
      <c r="F1939" s="15">
        <v>20511833</v>
      </c>
      <c r="G1939" s="15">
        <v>731280</v>
      </c>
      <c r="H1939" s="15">
        <v>21243113</v>
      </c>
      <c r="I1939">
        <f>VLOOKUP(C1939,LEAIDs!$A$2:$B$305,2,FALSE)</f>
        <v>2201740</v>
      </c>
    </row>
    <row r="1940" spans="1:9" x14ac:dyDescent="0.2">
      <c r="A1940">
        <v>2201770</v>
      </c>
      <c r="B1940">
        <v>2015</v>
      </c>
      <c r="C1940" t="s">
        <v>55</v>
      </c>
      <c r="D1940" t="s">
        <v>232</v>
      </c>
      <c r="E1940" t="s">
        <v>234</v>
      </c>
      <c r="F1940" s="17">
        <v>2599121</v>
      </c>
      <c r="G1940" s="17">
        <v>79898</v>
      </c>
      <c r="H1940" s="17">
        <v>2679019</v>
      </c>
      <c r="I1940">
        <f>VLOOKUP(C1940,LEAIDs!$A$2:$B$305,2,FALSE)</f>
        <v>2201770</v>
      </c>
    </row>
    <row r="1941" spans="1:9" x14ac:dyDescent="0.2">
      <c r="A1941">
        <v>2201770</v>
      </c>
      <c r="B1941">
        <v>2016</v>
      </c>
      <c r="C1941" t="s">
        <v>55</v>
      </c>
      <c r="D1941" t="s">
        <v>232</v>
      </c>
      <c r="E1941" t="s">
        <v>234</v>
      </c>
      <c r="F1941" s="17">
        <v>2431291</v>
      </c>
      <c r="G1941" s="17">
        <v>80196</v>
      </c>
      <c r="H1941" s="17">
        <v>2511487</v>
      </c>
      <c r="I1941">
        <f>VLOOKUP(C1941,LEAIDs!$A$2:$B$305,2,FALSE)</f>
        <v>2201770</v>
      </c>
    </row>
    <row r="1942" spans="1:9" x14ac:dyDescent="0.2">
      <c r="A1942">
        <v>2201770</v>
      </c>
      <c r="B1942">
        <v>2017</v>
      </c>
      <c r="C1942" t="s">
        <v>55</v>
      </c>
      <c r="D1942" t="s">
        <v>232</v>
      </c>
      <c r="E1942" t="s">
        <v>234</v>
      </c>
      <c r="F1942" s="17">
        <v>2386579</v>
      </c>
      <c r="G1942" s="17">
        <v>82431</v>
      </c>
      <c r="H1942" s="17">
        <v>2469010</v>
      </c>
      <c r="I1942">
        <f>VLOOKUP(C1942,LEAIDs!$A$2:$B$305,2,FALSE)</f>
        <v>2201770</v>
      </c>
    </row>
    <row r="1943" spans="1:9" x14ac:dyDescent="0.2">
      <c r="A1943">
        <v>2201770</v>
      </c>
      <c r="B1943">
        <v>2018</v>
      </c>
      <c r="C1943" t="s">
        <v>55</v>
      </c>
      <c r="D1943" t="s">
        <v>232</v>
      </c>
      <c r="E1943" t="s">
        <v>234</v>
      </c>
      <c r="F1943" s="17">
        <v>2302056</v>
      </c>
      <c r="G1943" s="17">
        <v>75757</v>
      </c>
      <c r="H1943" s="17">
        <v>2377813</v>
      </c>
      <c r="I1943">
        <f>VLOOKUP(C1943,LEAIDs!$A$2:$B$305,2,FALSE)</f>
        <v>2201770</v>
      </c>
    </row>
    <row r="1944" spans="1:9" x14ac:dyDescent="0.2">
      <c r="A1944">
        <v>2201770</v>
      </c>
      <c r="B1944">
        <v>2019</v>
      </c>
      <c r="C1944" t="s">
        <v>55</v>
      </c>
      <c r="D1944" t="s">
        <v>232</v>
      </c>
      <c r="E1944" t="s">
        <v>234</v>
      </c>
      <c r="F1944" s="17">
        <v>2214186</v>
      </c>
      <c r="G1944" s="17">
        <v>74312</v>
      </c>
      <c r="H1944" s="17">
        <v>2288498</v>
      </c>
      <c r="I1944">
        <f>VLOOKUP(C1944,LEAIDs!$A$2:$B$305,2,FALSE)</f>
        <v>2201770</v>
      </c>
    </row>
    <row r="1945" spans="1:9" x14ac:dyDescent="0.2">
      <c r="A1945">
        <v>2201770</v>
      </c>
      <c r="B1945">
        <v>2020</v>
      </c>
      <c r="C1945" t="s">
        <v>55</v>
      </c>
      <c r="D1945" t="s">
        <v>232</v>
      </c>
      <c r="E1945" t="s">
        <v>234</v>
      </c>
      <c r="F1945" s="17">
        <v>1967684</v>
      </c>
      <c r="G1945" s="17">
        <v>69437</v>
      </c>
      <c r="H1945" s="17">
        <v>2037121</v>
      </c>
      <c r="I1945">
        <f>VLOOKUP(C1945,LEAIDs!$A$2:$B$305,2,FALSE)</f>
        <v>2201770</v>
      </c>
    </row>
    <row r="1946" spans="1:9" x14ac:dyDescent="0.2">
      <c r="A1946">
        <v>2201770</v>
      </c>
      <c r="B1946" s="2">
        <v>2021</v>
      </c>
      <c r="C1946" s="4" t="s">
        <v>55</v>
      </c>
      <c r="D1946" s="2" t="s">
        <v>232</v>
      </c>
      <c r="E1946" s="2" t="s">
        <v>234</v>
      </c>
      <c r="F1946" s="16">
        <v>2024090</v>
      </c>
      <c r="G1946" s="16">
        <v>70453</v>
      </c>
      <c r="H1946" s="15">
        <v>2094543</v>
      </c>
      <c r="I1946">
        <f>VLOOKUP(C1946,LEAIDs!$A$2:$B$305,2,FALSE)</f>
        <v>2201770</v>
      </c>
    </row>
    <row r="1947" spans="1:9" x14ac:dyDescent="0.2">
      <c r="A1947">
        <v>2201770</v>
      </c>
      <c r="B1947" s="2">
        <v>2022</v>
      </c>
      <c r="C1947" s="4" t="s">
        <v>55</v>
      </c>
      <c r="D1947" s="2" t="s">
        <v>232</v>
      </c>
      <c r="E1947" s="2" t="s">
        <v>234</v>
      </c>
      <c r="F1947" s="16">
        <v>2043985</v>
      </c>
      <c r="G1947" s="16">
        <v>73027</v>
      </c>
      <c r="H1947" s="15">
        <v>2117012</v>
      </c>
      <c r="I1947">
        <f>VLOOKUP(C1947,LEAIDs!$A$2:$B$305,2,FALSE)</f>
        <v>2201770</v>
      </c>
    </row>
    <row r="1948" spans="1:9" x14ac:dyDescent="0.2">
      <c r="A1948">
        <v>2201770</v>
      </c>
      <c r="B1948" s="2">
        <v>2023</v>
      </c>
      <c r="C1948" s="2" t="s">
        <v>55</v>
      </c>
      <c r="D1948" s="2" t="s">
        <v>232</v>
      </c>
      <c r="E1948" s="2" t="s">
        <v>234</v>
      </c>
      <c r="F1948" s="15">
        <v>2197916</v>
      </c>
      <c r="G1948" s="15">
        <v>78359</v>
      </c>
      <c r="H1948" s="15">
        <v>2276275</v>
      </c>
      <c r="I1948">
        <f>VLOOKUP(C1948,LEAIDs!$A$2:$B$305,2,FALSE)</f>
        <v>2201770</v>
      </c>
    </row>
    <row r="1949" spans="1:9" x14ac:dyDescent="0.2">
      <c r="A1949">
        <v>2201800</v>
      </c>
      <c r="B1949">
        <v>2015</v>
      </c>
      <c r="C1949" t="s">
        <v>56</v>
      </c>
      <c r="D1949" t="s">
        <v>232</v>
      </c>
      <c r="E1949" t="s">
        <v>234</v>
      </c>
      <c r="F1949" s="17">
        <v>12432636</v>
      </c>
      <c r="G1949" s="17">
        <v>382186</v>
      </c>
      <c r="H1949" s="17">
        <v>12814822</v>
      </c>
      <c r="I1949">
        <f>VLOOKUP(C1949,LEAIDs!$A$2:$B$305,2,FALSE)</f>
        <v>2201800</v>
      </c>
    </row>
    <row r="1950" spans="1:9" x14ac:dyDescent="0.2">
      <c r="A1950">
        <v>2201800</v>
      </c>
      <c r="B1950">
        <v>2016</v>
      </c>
      <c r="C1950" t="s">
        <v>56</v>
      </c>
      <c r="D1950" t="s">
        <v>232</v>
      </c>
      <c r="E1950" t="s">
        <v>234</v>
      </c>
      <c r="F1950" s="17">
        <v>11409460</v>
      </c>
      <c r="G1950" s="17">
        <v>376341</v>
      </c>
      <c r="H1950" s="17">
        <v>11785801</v>
      </c>
      <c r="I1950">
        <f>VLOOKUP(C1950,LEAIDs!$A$2:$B$305,2,FALSE)</f>
        <v>2201800</v>
      </c>
    </row>
    <row r="1951" spans="1:9" x14ac:dyDescent="0.2">
      <c r="A1951">
        <v>2201800</v>
      </c>
      <c r="B1951">
        <v>2017</v>
      </c>
      <c r="C1951" t="s">
        <v>56</v>
      </c>
      <c r="D1951" t="s">
        <v>232</v>
      </c>
      <c r="E1951" t="s">
        <v>234</v>
      </c>
      <c r="F1951" s="17">
        <v>10926517</v>
      </c>
      <c r="G1951" s="17">
        <v>377397</v>
      </c>
      <c r="H1951" s="17">
        <v>11303914</v>
      </c>
      <c r="I1951">
        <f>VLOOKUP(C1951,LEAIDs!$A$2:$B$305,2,FALSE)</f>
        <v>2201800</v>
      </c>
    </row>
    <row r="1952" spans="1:9" x14ac:dyDescent="0.2">
      <c r="A1952">
        <v>2201800</v>
      </c>
      <c r="B1952">
        <v>2018</v>
      </c>
      <c r="C1952" t="s">
        <v>56</v>
      </c>
      <c r="D1952" t="s">
        <v>232</v>
      </c>
      <c r="E1952" t="s">
        <v>234</v>
      </c>
      <c r="F1952" s="17">
        <v>11198562</v>
      </c>
      <c r="G1952" s="17">
        <v>368527</v>
      </c>
      <c r="H1952" s="17">
        <v>11567089</v>
      </c>
      <c r="I1952">
        <f>VLOOKUP(C1952,LEAIDs!$A$2:$B$305,2,FALSE)</f>
        <v>2201800</v>
      </c>
    </row>
    <row r="1953" spans="1:9" x14ac:dyDescent="0.2">
      <c r="A1953">
        <v>2201800</v>
      </c>
      <c r="B1953">
        <v>2019</v>
      </c>
      <c r="C1953" t="s">
        <v>56</v>
      </c>
      <c r="D1953" t="s">
        <v>232</v>
      </c>
      <c r="E1953" t="s">
        <v>234</v>
      </c>
      <c r="F1953" s="17">
        <v>11324707</v>
      </c>
      <c r="G1953" s="17">
        <v>380075</v>
      </c>
      <c r="H1953" s="17">
        <v>11704782</v>
      </c>
      <c r="I1953">
        <f>VLOOKUP(C1953,LEAIDs!$A$2:$B$305,2,FALSE)</f>
        <v>2201800</v>
      </c>
    </row>
    <row r="1954" spans="1:9" x14ac:dyDescent="0.2">
      <c r="A1954">
        <v>2201800</v>
      </c>
      <c r="B1954">
        <v>2020</v>
      </c>
      <c r="C1954" t="s">
        <v>56</v>
      </c>
      <c r="D1954" t="s">
        <v>232</v>
      </c>
      <c r="E1954" t="s">
        <v>234</v>
      </c>
      <c r="F1954" s="17">
        <v>11315280</v>
      </c>
      <c r="G1954" s="17">
        <v>399299</v>
      </c>
      <c r="H1954" s="17">
        <v>11714579</v>
      </c>
      <c r="I1954">
        <f>VLOOKUP(C1954,LEAIDs!$A$2:$B$305,2,FALSE)</f>
        <v>2201800</v>
      </c>
    </row>
    <row r="1955" spans="1:9" x14ac:dyDescent="0.2">
      <c r="A1955">
        <v>2201800</v>
      </c>
      <c r="B1955" s="2">
        <v>2021</v>
      </c>
      <c r="C1955" s="4" t="s">
        <v>56</v>
      </c>
      <c r="D1955" s="2" t="s">
        <v>232</v>
      </c>
      <c r="E1955" s="2" t="s">
        <v>234</v>
      </c>
      <c r="F1955" s="16">
        <v>11439357</v>
      </c>
      <c r="G1955" s="16">
        <v>398174</v>
      </c>
      <c r="H1955" s="15">
        <v>11837531</v>
      </c>
      <c r="I1955">
        <f>VLOOKUP(C1955,LEAIDs!$A$2:$B$305,2,FALSE)</f>
        <v>2201800</v>
      </c>
    </row>
    <row r="1956" spans="1:9" x14ac:dyDescent="0.2">
      <c r="A1956">
        <v>2201800</v>
      </c>
      <c r="B1956" s="2">
        <v>2022</v>
      </c>
      <c r="C1956" s="4" t="s">
        <v>56</v>
      </c>
      <c r="D1956" s="2" t="s">
        <v>232</v>
      </c>
      <c r="E1956" s="2" t="s">
        <v>234</v>
      </c>
      <c r="F1956" s="16">
        <v>11648518</v>
      </c>
      <c r="G1956" s="16">
        <v>416174</v>
      </c>
      <c r="H1956" s="15">
        <v>12064692</v>
      </c>
      <c r="I1956">
        <f>VLOOKUP(C1956,LEAIDs!$A$2:$B$305,2,FALSE)</f>
        <v>2201800</v>
      </c>
    </row>
    <row r="1957" spans="1:9" x14ac:dyDescent="0.2">
      <c r="A1957">
        <v>2201800</v>
      </c>
      <c r="B1957" s="2">
        <v>2023</v>
      </c>
      <c r="C1957" s="2" t="s">
        <v>56</v>
      </c>
      <c r="D1957" s="2" t="s">
        <v>232</v>
      </c>
      <c r="E1957" s="2" t="s">
        <v>234</v>
      </c>
      <c r="F1957" s="15">
        <v>11440454</v>
      </c>
      <c r="G1957" s="15">
        <v>407871</v>
      </c>
      <c r="H1957" s="15">
        <v>11848325</v>
      </c>
      <c r="I1957">
        <f>VLOOKUP(C1957,LEAIDs!$A$2:$B$305,2,FALSE)</f>
        <v>2201800</v>
      </c>
    </row>
    <row r="1958" spans="1:9" x14ac:dyDescent="0.2">
      <c r="A1958">
        <v>2201830</v>
      </c>
      <c r="B1958">
        <v>2015</v>
      </c>
      <c r="C1958" t="s">
        <v>57</v>
      </c>
      <c r="D1958" t="s">
        <v>232</v>
      </c>
      <c r="E1958" t="s">
        <v>234</v>
      </c>
      <c r="F1958" s="17">
        <v>11178669</v>
      </c>
      <c r="G1958" s="17">
        <v>343639</v>
      </c>
      <c r="H1958" s="17">
        <v>11522308</v>
      </c>
      <c r="I1958">
        <f>VLOOKUP(C1958,LEAIDs!$A$2:$B$305,2,FALSE)</f>
        <v>2201830</v>
      </c>
    </row>
    <row r="1959" spans="1:9" x14ac:dyDescent="0.2">
      <c r="A1959">
        <v>2201830</v>
      </c>
      <c r="B1959">
        <v>2016</v>
      </c>
      <c r="C1959" t="s">
        <v>57</v>
      </c>
      <c r="D1959" t="s">
        <v>232</v>
      </c>
      <c r="E1959" t="s">
        <v>234</v>
      </c>
      <c r="F1959" s="17">
        <v>10681429</v>
      </c>
      <c r="G1959" s="17">
        <v>352327</v>
      </c>
      <c r="H1959" s="17">
        <v>11033756</v>
      </c>
      <c r="I1959">
        <f>VLOOKUP(C1959,LEAIDs!$A$2:$B$305,2,FALSE)</f>
        <v>2201830</v>
      </c>
    </row>
    <row r="1960" spans="1:9" x14ac:dyDescent="0.2">
      <c r="A1960">
        <v>2201830</v>
      </c>
      <c r="B1960">
        <v>2017</v>
      </c>
      <c r="C1960" t="s">
        <v>57</v>
      </c>
      <c r="D1960" t="s">
        <v>232</v>
      </c>
      <c r="E1960" t="s">
        <v>234</v>
      </c>
      <c r="F1960" s="17">
        <v>10117994</v>
      </c>
      <c r="G1960" s="17">
        <v>349471</v>
      </c>
      <c r="H1960" s="17">
        <v>10467465</v>
      </c>
      <c r="I1960">
        <f>VLOOKUP(C1960,LEAIDs!$A$2:$B$305,2,FALSE)</f>
        <v>2201830</v>
      </c>
    </row>
    <row r="1961" spans="1:9" x14ac:dyDescent="0.2">
      <c r="A1961">
        <v>2201830</v>
      </c>
      <c r="B1961">
        <v>2018</v>
      </c>
      <c r="C1961" t="s">
        <v>57</v>
      </c>
      <c r="D1961" t="s">
        <v>232</v>
      </c>
      <c r="E1961" t="s">
        <v>234</v>
      </c>
      <c r="F1961" s="17">
        <v>10380032</v>
      </c>
      <c r="G1961" s="17">
        <v>341591</v>
      </c>
      <c r="H1961" s="17">
        <v>10721623</v>
      </c>
      <c r="I1961">
        <f>VLOOKUP(C1961,LEAIDs!$A$2:$B$305,2,FALSE)</f>
        <v>2201830</v>
      </c>
    </row>
    <row r="1962" spans="1:9" x14ac:dyDescent="0.2">
      <c r="A1962">
        <v>2201830</v>
      </c>
      <c r="B1962">
        <v>2019</v>
      </c>
      <c r="C1962" t="s">
        <v>57</v>
      </c>
      <c r="D1962" t="s">
        <v>232</v>
      </c>
      <c r="E1962" t="s">
        <v>234</v>
      </c>
      <c r="F1962" s="17">
        <v>10440131</v>
      </c>
      <c r="G1962" s="17">
        <v>350387</v>
      </c>
      <c r="H1962" s="17">
        <v>10790518</v>
      </c>
      <c r="I1962">
        <f>VLOOKUP(C1962,LEAIDs!$A$2:$B$305,2,FALSE)</f>
        <v>2201830</v>
      </c>
    </row>
    <row r="1963" spans="1:9" x14ac:dyDescent="0.2">
      <c r="A1963">
        <v>2201830</v>
      </c>
      <c r="B1963">
        <v>2020</v>
      </c>
      <c r="C1963" t="s">
        <v>57</v>
      </c>
      <c r="D1963" t="s">
        <v>232</v>
      </c>
      <c r="E1963" t="s">
        <v>234</v>
      </c>
      <c r="F1963" s="17">
        <v>10482534</v>
      </c>
      <c r="G1963" s="17">
        <v>369913</v>
      </c>
      <c r="H1963" s="17">
        <v>10852447</v>
      </c>
      <c r="I1963">
        <f>VLOOKUP(C1963,LEAIDs!$A$2:$B$305,2,FALSE)</f>
        <v>2201830</v>
      </c>
    </row>
    <row r="1964" spans="1:9" x14ac:dyDescent="0.2">
      <c r="A1964">
        <v>2201830</v>
      </c>
      <c r="B1964" s="2">
        <v>2021</v>
      </c>
      <c r="C1964" s="4" t="s">
        <v>57</v>
      </c>
      <c r="D1964" s="2" t="s">
        <v>232</v>
      </c>
      <c r="E1964" s="2" t="s">
        <v>234</v>
      </c>
      <c r="F1964" s="16">
        <v>10699522</v>
      </c>
      <c r="G1964" s="16">
        <v>372422</v>
      </c>
      <c r="H1964" s="15">
        <v>11071944</v>
      </c>
      <c r="I1964">
        <f>VLOOKUP(C1964,LEAIDs!$A$2:$B$305,2,FALSE)</f>
        <v>2201830</v>
      </c>
    </row>
    <row r="1965" spans="1:9" x14ac:dyDescent="0.2">
      <c r="A1965">
        <v>2201830</v>
      </c>
      <c r="B1965" s="2">
        <v>2022</v>
      </c>
      <c r="C1965" s="4" t="s">
        <v>57</v>
      </c>
      <c r="D1965" s="2" t="s">
        <v>232</v>
      </c>
      <c r="E1965" s="2" t="s">
        <v>234</v>
      </c>
      <c r="F1965" s="16">
        <v>11460225</v>
      </c>
      <c r="G1965" s="16">
        <v>409447</v>
      </c>
      <c r="H1965" s="15">
        <v>11869672</v>
      </c>
      <c r="I1965">
        <f>VLOOKUP(C1965,LEAIDs!$A$2:$B$305,2,FALSE)</f>
        <v>2201830</v>
      </c>
    </row>
    <row r="1966" spans="1:9" x14ac:dyDescent="0.2">
      <c r="A1966">
        <v>2201830</v>
      </c>
      <c r="B1966" s="2">
        <v>2023</v>
      </c>
      <c r="C1966" s="2" t="s">
        <v>57</v>
      </c>
      <c r="D1966" s="2" t="s">
        <v>232</v>
      </c>
      <c r="E1966" s="2" t="s">
        <v>234</v>
      </c>
      <c r="F1966" s="15">
        <v>11461984</v>
      </c>
      <c r="G1966" s="15">
        <v>408639</v>
      </c>
      <c r="H1966" s="15">
        <v>11870623</v>
      </c>
      <c r="I1966">
        <f>VLOOKUP(C1966,LEAIDs!$A$2:$B$305,2,FALSE)</f>
        <v>2201830</v>
      </c>
    </row>
    <row r="1967" spans="1:9" x14ac:dyDescent="0.2">
      <c r="A1967">
        <v>2201860</v>
      </c>
      <c r="B1967">
        <v>2015</v>
      </c>
      <c r="C1967" t="s">
        <v>58</v>
      </c>
      <c r="D1967" t="s">
        <v>232</v>
      </c>
      <c r="E1967" t="s">
        <v>234</v>
      </c>
      <c r="F1967" s="17">
        <v>6213171</v>
      </c>
      <c r="G1967" s="17">
        <v>190996</v>
      </c>
      <c r="H1967" s="17">
        <v>6404167</v>
      </c>
      <c r="I1967">
        <f>VLOOKUP(C1967,LEAIDs!$A$2:$B$305,2,FALSE)</f>
        <v>2201860</v>
      </c>
    </row>
    <row r="1968" spans="1:9" x14ac:dyDescent="0.2">
      <c r="A1968">
        <v>2201860</v>
      </c>
      <c r="B1968">
        <v>2016</v>
      </c>
      <c r="C1968" t="s">
        <v>58</v>
      </c>
      <c r="D1968" t="s">
        <v>232</v>
      </c>
      <c r="E1968" t="s">
        <v>234</v>
      </c>
      <c r="F1968" s="17">
        <v>5949782</v>
      </c>
      <c r="G1968" s="17">
        <v>196253</v>
      </c>
      <c r="H1968" s="17">
        <v>6146035</v>
      </c>
      <c r="I1968">
        <f>VLOOKUP(C1968,LEAIDs!$A$2:$B$305,2,FALSE)</f>
        <v>2201860</v>
      </c>
    </row>
    <row r="1969" spans="1:9" x14ac:dyDescent="0.2">
      <c r="A1969">
        <v>2201860</v>
      </c>
      <c r="B1969">
        <v>2017</v>
      </c>
      <c r="C1969" t="s">
        <v>58</v>
      </c>
      <c r="D1969" t="s">
        <v>232</v>
      </c>
      <c r="E1969" t="s">
        <v>234</v>
      </c>
      <c r="F1969" s="17">
        <v>5453248</v>
      </c>
      <c r="G1969" s="17">
        <v>188353</v>
      </c>
      <c r="H1969" s="17">
        <v>5641601</v>
      </c>
      <c r="I1969">
        <f>VLOOKUP(C1969,LEAIDs!$A$2:$B$305,2,FALSE)</f>
        <v>2201860</v>
      </c>
    </row>
    <row r="1970" spans="1:9" x14ac:dyDescent="0.2">
      <c r="A1970">
        <v>2201860</v>
      </c>
      <c r="B1970">
        <v>2018</v>
      </c>
      <c r="C1970" t="s">
        <v>58</v>
      </c>
      <c r="D1970" t="s">
        <v>232</v>
      </c>
      <c r="E1970" t="s">
        <v>234</v>
      </c>
      <c r="F1970" s="17">
        <v>6207713</v>
      </c>
      <c r="G1970" s="17">
        <v>204286</v>
      </c>
      <c r="H1970" s="17">
        <v>6411999</v>
      </c>
      <c r="I1970">
        <f>VLOOKUP(C1970,LEAIDs!$A$2:$B$305,2,FALSE)</f>
        <v>2201860</v>
      </c>
    </row>
    <row r="1971" spans="1:9" x14ac:dyDescent="0.2">
      <c r="A1971">
        <v>2201860</v>
      </c>
      <c r="B1971">
        <v>2019</v>
      </c>
      <c r="C1971" t="s">
        <v>58</v>
      </c>
      <c r="D1971" t="s">
        <v>232</v>
      </c>
      <c r="E1971" t="s">
        <v>234</v>
      </c>
      <c r="F1971" s="17">
        <v>6012527</v>
      </c>
      <c r="G1971" s="17">
        <v>201790</v>
      </c>
      <c r="H1971" s="17">
        <v>6214317</v>
      </c>
      <c r="I1971">
        <f>VLOOKUP(C1971,LEAIDs!$A$2:$B$305,2,FALSE)</f>
        <v>2201860</v>
      </c>
    </row>
    <row r="1972" spans="1:9" x14ac:dyDescent="0.2">
      <c r="A1972">
        <v>2201860</v>
      </c>
      <c r="B1972">
        <v>2020</v>
      </c>
      <c r="C1972" t="s">
        <v>58</v>
      </c>
      <c r="D1972" t="s">
        <v>232</v>
      </c>
      <c r="E1972" t="s">
        <v>234</v>
      </c>
      <c r="F1972" s="17">
        <v>6063533</v>
      </c>
      <c r="G1972" s="17">
        <v>213973</v>
      </c>
      <c r="H1972" s="17">
        <v>6277506</v>
      </c>
      <c r="I1972">
        <f>VLOOKUP(C1972,LEAIDs!$A$2:$B$305,2,FALSE)</f>
        <v>2201860</v>
      </c>
    </row>
    <row r="1973" spans="1:9" x14ac:dyDescent="0.2">
      <c r="A1973">
        <v>2201860</v>
      </c>
      <c r="B1973" s="2">
        <v>2021</v>
      </c>
      <c r="C1973" s="4" t="s">
        <v>58</v>
      </c>
      <c r="D1973" s="2" t="s">
        <v>232</v>
      </c>
      <c r="E1973" s="2" t="s">
        <v>234</v>
      </c>
      <c r="F1973" s="16">
        <v>6415622</v>
      </c>
      <c r="G1973" s="16">
        <v>223311</v>
      </c>
      <c r="H1973" s="15">
        <v>6638933</v>
      </c>
      <c r="I1973">
        <f>VLOOKUP(C1973,LEAIDs!$A$2:$B$305,2,FALSE)</f>
        <v>2201860</v>
      </c>
    </row>
    <row r="1974" spans="1:9" x14ac:dyDescent="0.2">
      <c r="A1974">
        <v>2201860</v>
      </c>
      <c r="B1974" s="2">
        <v>2022</v>
      </c>
      <c r="C1974" s="4" t="s">
        <v>58</v>
      </c>
      <c r="D1974" s="2" t="s">
        <v>232</v>
      </c>
      <c r="E1974" s="2" t="s">
        <v>234</v>
      </c>
      <c r="F1974" s="16">
        <v>7000126</v>
      </c>
      <c r="G1974" s="16">
        <v>250098</v>
      </c>
      <c r="H1974" s="15">
        <v>7250224</v>
      </c>
      <c r="I1974">
        <f>VLOOKUP(C1974,LEAIDs!$A$2:$B$305,2,FALSE)</f>
        <v>2201860</v>
      </c>
    </row>
    <row r="1975" spans="1:9" x14ac:dyDescent="0.2">
      <c r="A1975">
        <v>2201860</v>
      </c>
      <c r="B1975" s="2">
        <v>2023</v>
      </c>
      <c r="C1975" s="2" t="s">
        <v>58</v>
      </c>
      <c r="D1975" s="2" t="s">
        <v>232</v>
      </c>
      <c r="E1975" s="2" t="s">
        <v>234</v>
      </c>
      <c r="F1975" s="15">
        <v>6309580</v>
      </c>
      <c r="G1975" s="15">
        <v>224947</v>
      </c>
      <c r="H1975" s="15">
        <v>6534527</v>
      </c>
      <c r="I1975">
        <f>VLOOKUP(C1975,LEAIDs!$A$2:$B$305,2,FALSE)</f>
        <v>2201860</v>
      </c>
    </row>
    <row r="1976" spans="1:9" x14ac:dyDescent="0.2">
      <c r="A1976">
        <v>2201890</v>
      </c>
      <c r="B1976">
        <v>2015</v>
      </c>
      <c r="C1976" t="s">
        <v>59</v>
      </c>
      <c r="D1976" t="s">
        <v>232</v>
      </c>
      <c r="E1976" t="s">
        <v>234</v>
      </c>
      <c r="F1976" s="17">
        <v>7872955</v>
      </c>
      <c r="G1976" s="17">
        <v>242019</v>
      </c>
      <c r="H1976" s="17">
        <v>8114974</v>
      </c>
      <c r="I1976">
        <f>VLOOKUP(C1976,LEAIDs!$A$2:$B$305,2,FALSE)</f>
        <v>2201890</v>
      </c>
    </row>
    <row r="1977" spans="1:9" x14ac:dyDescent="0.2">
      <c r="A1977">
        <v>2201890</v>
      </c>
      <c r="B1977">
        <v>2016</v>
      </c>
      <c r="C1977" t="s">
        <v>59</v>
      </c>
      <c r="D1977" t="s">
        <v>232</v>
      </c>
      <c r="E1977" t="s">
        <v>234</v>
      </c>
      <c r="F1977" s="17">
        <v>7304052</v>
      </c>
      <c r="G1977" s="17">
        <v>240924</v>
      </c>
      <c r="H1977" s="17">
        <v>7544976</v>
      </c>
      <c r="I1977">
        <f>VLOOKUP(C1977,LEAIDs!$A$2:$B$305,2,FALSE)</f>
        <v>2201890</v>
      </c>
    </row>
    <row r="1978" spans="1:9" x14ac:dyDescent="0.2">
      <c r="A1978">
        <v>2201890</v>
      </c>
      <c r="B1978">
        <v>2017</v>
      </c>
      <c r="C1978" t="s">
        <v>59</v>
      </c>
      <c r="D1978" t="s">
        <v>232</v>
      </c>
      <c r="E1978" t="s">
        <v>234</v>
      </c>
      <c r="F1978" s="17">
        <v>6792967</v>
      </c>
      <c r="G1978" s="17">
        <v>234626</v>
      </c>
      <c r="H1978" s="17">
        <v>7027593</v>
      </c>
      <c r="I1978">
        <f>VLOOKUP(C1978,LEAIDs!$A$2:$B$305,2,FALSE)</f>
        <v>2201890</v>
      </c>
    </row>
    <row r="1979" spans="1:9" x14ac:dyDescent="0.2">
      <c r="A1979">
        <v>2201890</v>
      </c>
      <c r="B1979">
        <v>2018</v>
      </c>
      <c r="C1979" t="s">
        <v>59</v>
      </c>
      <c r="D1979" t="s">
        <v>232</v>
      </c>
      <c r="E1979" t="s">
        <v>234</v>
      </c>
      <c r="F1979" s="17">
        <v>7195148</v>
      </c>
      <c r="G1979" s="17">
        <v>236781</v>
      </c>
      <c r="H1979" s="17">
        <v>7431929</v>
      </c>
      <c r="I1979">
        <f>VLOOKUP(C1979,LEAIDs!$A$2:$B$305,2,FALSE)</f>
        <v>2201890</v>
      </c>
    </row>
    <row r="1980" spans="1:9" x14ac:dyDescent="0.2">
      <c r="A1980">
        <v>2201890</v>
      </c>
      <c r="B1980">
        <v>2019</v>
      </c>
      <c r="C1980" t="s">
        <v>59</v>
      </c>
      <c r="D1980" t="s">
        <v>232</v>
      </c>
      <c r="E1980" t="s">
        <v>234</v>
      </c>
      <c r="F1980" s="17">
        <v>7171233</v>
      </c>
      <c r="G1980" s="17">
        <v>240678</v>
      </c>
      <c r="H1980" s="17">
        <v>7411911</v>
      </c>
      <c r="I1980">
        <f>VLOOKUP(C1980,LEAIDs!$A$2:$B$305,2,FALSE)</f>
        <v>2201890</v>
      </c>
    </row>
    <row r="1981" spans="1:9" x14ac:dyDescent="0.2">
      <c r="A1981">
        <v>2201890</v>
      </c>
      <c r="B1981">
        <v>2020</v>
      </c>
      <c r="C1981" t="s">
        <v>59</v>
      </c>
      <c r="D1981" t="s">
        <v>232</v>
      </c>
      <c r="E1981" t="s">
        <v>234</v>
      </c>
      <c r="F1981" s="17">
        <v>7157348</v>
      </c>
      <c r="G1981" s="17">
        <v>252572</v>
      </c>
      <c r="H1981" s="17">
        <v>7409920</v>
      </c>
      <c r="I1981">
        <f>VLOOKUP(C1981,LEAIDs!$A$2:$B$305,2,FALSE)</f>
        <v>2201890</v>
      </c>
    </row>
    <row r="1982" spans="1:9" x14ac:dyDescent="0.2">
      <c r="A1982">
        <v>2201890</v>
      </c>
      <c r="B1982" s="2">
        <v>2021</v>
      </c>
      <c r="C1982" s="4" t="s">
        <v>59</v>
      </c>
      <c r="D1982" s="2" t="s">
        <v>232</v>
      </c>
      <c r="E1982" s="2" t="s">
        <v>234</v>
      </c>
      <c r="F1982" s="16">
        <v>7770764</v>
      </c>
      <c r="G1982" s="16">
        <v>270480</v>
      </c>
      <c r="H1982" s="15">
        <v>8041244</v>
      </c>
      <c r="I1982">
        <f>VLOOKUP(C1982,LEAIDs!$A$2:$B$305,2,FALSE)</f>
        <v>2201890</v>
      </c>
    </row>
    <row r="1983" spans="1:9" x14ac:dyDescent="0.2">
      <c r="A1983">
        <v>2201890</v>
      </c>
      <c r="B1983" s="2">
        <v>2022</v>
      </c>
      <c r="C1983" s="4" t="s">
        <v>59</v>
      </c>
      <c r="D1983" s="2" t="s">
        <v>232</v>
      </c>
      <c r="E1983" s="2" t="s">
        <v>234</v>
      </c>
      <c r="F1983" s="16">
        <v>7573689</v>
      </c>
      <c r="G1983" s="16">
        <v>270590</v>
      </c>
      <c r="H1983" s="15">
        <v>7844279</v>
      </c>
      <c r="I1983">
        <f>VLOOKUP(C1983,LEAIDs!$A$2:$B$305,2,FALSE)</f>
        <v>2201890</v>
      </c>
    </row>
    <row r="1984" spans="1:9" x14ac:dyDescent="0.2">
      <c r="A1984">
        <v>2201890</v>
      </c>
      <c r="B1984" s="2">
        <v>2023</v>
      </c>
      <c r="C1984" s="2" t="s">
        <v>59</v>
      </c>
      <c r="D1984" s="2" t="s">
        <v>232</v>
      </c>
      <c r="E1984" s="2" t="s">
        <v>234</v>
      </c>
      <c r="F1984" s="15">
        <v>7923842</v>
      </c>
      <c r="G1984" s="15">
        <v>282498</v>
      </c>
      <c r="H1984" s="15">
        <v>8206340</v>
      </c>
      <c r="I1984">
        <f>VLOOKUP(C1984,LEAIDs!$A$2:$B$305,2,FALSE)</f>
        <v>2201890</v>
      </c>
    </row>
    <row r="1985" spans="1:9" x14ac:dyDescent="0.2">
      <c r="A1985">
        <v>2201920</v>
      </c>
      <c r="B1985">
        <v>2015</v>
      </c>
      <c r="C1985" t="s">
        <v>60</v>
      </c>
      <c r="D1985" t="s">
        <v>232</v>
      </c>
      <c r="E1985" t="s">
        <v>234</v>
      </c>
      <c r="F1985" s="17">
        <v>7173301</v>
      </c>
      <c r="G1985" s="17">
        <v>220511</v>
      </c>
      <c r="H1985" s="17">
        <v>7393812</v>
      </c>
      <c r="I1985">
        <f>VLOOKUP(C1985,LEAIDs!$A$2:$B$305,2,FALSE)</f>
        <v>2201920</v>
      </c>
    </row>
    <row r="1986" spans="1:9" x14ac:dyDescent="0.2">
      <c r="A1986">
        <v>2201920</v>
      </c>
      <c r="B1986">
        <v>2016</v>
      </c>
      <c r="C1986" t="s">
        <v>60</v>
      </c>
      <c r="D1986" t="s">
        <v>232</v>
      </c>
      <c r="E1986" t="s">
        <v>234</v>
      </c>
      <c r="F1986" s="17">
        <v>6856581</v>
      </c>
      <c r="G1986" s="17">
        <v>226164</v>
      </c>
      <c r="H1986" s="17">
        <v>7082745</v>
      </c>
      <c r="I1986">
        <f>VLOOKUP(C1986,LEAIDs!$A$2:$B$305,2,FALSE)</f>
        <v>2201920</v>
      </c>
    </row>
    <row r="1987" spans="1:9" x14ac:dyDescent="0.2">
      <c r="A1987">
        <v>2201920</v>
      </c>
      <c r="B1987">
        <v>2017</v>
      </c>
      <c r="C1987" t="s">
        <v>60</v>
      </c>
      <c r="D1987" t="s">
        <v>232</v>
      </c>
      <c r="E1987" t="s">
        <v>234</v>
      </c>
      <c r="F1987" s="17">
        <v>6505125</v>
      </c>
      <c r="G1987" s="17">
        <v>224684</v>
      </c>
      <c r="H1987" s="17">
        <v>6729809</v>
      </c>
      <c r="I1987">
        <f>VLOOKUP(C1987,LEAIDs!$A$2:$B$305,2,FALSE)</f>
        <v>2201920</v>
      </c>
    </row>
    <row r="1988" spans="1:9" x14ac:dyDescent="0.2">
      <c r="A1988">
        <v>2201920</v>
      </c>
      <c r="B1988">
        <v>2018</v>
      </c>
      <c r="C1988" t="s">
        <v>60</v>
      </c>
      <c r="D1988" t="s">
        <v>232</v>
      </c>
      <c r="E1988" t="s">
        <v>234</v>
      </c>
      <c r="F1988" s="17">
        <v>7288278</v>
      </c>
      <c r="G1988" s="17">
        <v>239846</v>
      </c>
      <c r="H1988" s="17">
        <v>7528124</v>
      </c>
      <c r="I1988">
        <f>VLOOKUP(C1988,LEAIDs!$A$2:$B$305,2,FALSE)</f>
        <v>2201920</v>
      </c>
    </row>
    <row r="1989" spans="1:9" x14ac:dyDescent="0.2">
      <c r="A1989">
        <v>2201920</v>
      </c>
      <c r="B1989">
        <v>2019</v>
      </c>
      <c r="C1989" t="s">
        <v>60</v>
      </c>
      <c r="D1989" t="s">
        <v>232</v>
      </c>
      <c r="E1989" t="s">
        <v>234</v>
      </c>
      <c r="F1989" s="17">
        <v>7179839</v>
      </c>
      <c r="G1989" s="17">
        <v>240967</v>
      </c>
      <c r="H1989" s="17">
        <v>7420806</v>
      </c>
      <c r="I1989">
        <f>VLOOKUP(C1989,LEAIDs!$A$2:$B$305,2,FALSE)</f>
        <v>2201920</v>
      </c>
    </row>
    <row r="1990" spans="1:9" x14ac:dyDescent="0.2">
      <c r="A1990">
        <v>2201920</v>
      </c>
      <c r="B1990">
        <v>2020</v>
      </c>
      <c r="C1990" t="s">
        <v>60</v>
      </c>
      <c r="D1990" t="s">
        <v>232</v>
      </c>
      <c r="E1990" t="s">
        <v>234</v>
      </c>
      <c r="F1990" s="17">
        <v>7207948</v>
      </c>
      <c r="G1990" s="17">
        <v>254357</v>
      </c>
      <c r="H1990" s="17">
        <v>7462305</v>
      </c>
      <c r="I1990">
        <f>VLOOKUP(C1990,LEAIDs!$A$2:$B$305,2,FALSE)</f>
        <v>2201920</v>
      </c>
    </row>
    <row r="1991" spans="1:9" x14ac:dyDescent="0.2">
      <c r="A1991">
        <v>2201920</v>
      </c>
      <c r="B1991" s="2">
        <v>2021</v>
      </c>
      <c r="C1991" s="4" t="s">
        <v>60</v>
      </c>
      <c r="D1991" s="2" t="s">
        <v>232</v>
      </c>
      <c r="E1991" s="2" t="s">
        <v>234</v>
      </c>
      <c r="F1991" s="16">
        <v>7654900</v>
      </c>
      <c r="G1991" s="16">
        <v>266447</v>
      </c>
      <c r="H1991" s="15">
        <v>7921347</v>
      </c>
      <c r="I1991">
        <f>VLOOKUP(C1991,LEAIDs!$A$2:$B$305,2,FALSE)</f>
        <v>2201920</v>
      </c>
    </row>
    <row r="1992" spans="1:9" x14ac:dyDescent="0.2">
      <c r="A1992">
        <v>2201920</v>
      </c>
      <c r="B1992" s="2">
        <v>2022</v>
      </c>
      <c r="C1992" s="4" t="s">
        <v>60</v>
      </c>
      <c r="D1992" s="2" t="s">
        <v>232</v>
      </c>
      <c r="E1992" s="2" t="s">
        <v>234</v>
      </c>
      <c r="F1992" s="16">
        <v>7157690</v>
      </c>
      <c r="G1992" s="16">
        <v>255727</v>
      </c>
      <c r="H1992" s="15">
        <v>7413417</v>
      </c>
      <c r="I1992">
        <f>VLOOKUP(C1992,LEAIDs!$A$2:$B$305,2,FALSE)</f>
        <v>2201920</v>
      </c>
    </row>
    <row r="1993" spans="1:9" x14ac:dyDescent="0.2">
      <c r="A1993">
        <v>2201920</v>
      </c>
      <c r="B1993" s="2">
        <v>2023</v>
      </c>
      <c r="C1993" s="2" t="s">
        <v>60</v>
      </c>
      <c r="D1993" s="2" t="s">
        <v>232</v>
      </c>
      <c r="E1993" s="2" t="s">
        <v>234</v>
      </c>
      <c r="F1993" s="15">
        <v>7348774</v>
      </c>
      <c r="G1993" s="15">
        <v>261996</v>
      </c>
      <c r="H1993" s="15">
        <v>7610770</v>
      </c>
      <c r="I1993">
        <f>VLOOKUP(C1993,LEAIDs!$A$2:$B$305,2,FALSE)</f>
        <v>2201920</v>
      </c>
    </row>
    <row r="1994" spans="1:9" x14ac:dyDescent="0.2">
      <c r="A1994">
        <v>2201950</v>
      </c>
      <c r="B1994">
        <v>2015</v>
      </c>
      <c r="C1994" t="s">
        <v>61</v>
      </c>
      <c r="D1994" t="s">
        <v>232</v>
      </c>
      <c r="E1994" t="s">
        <v>234</v>
      </c>
      <c r="F1994" s="17">
        <v>2599316</v>
      </c>
      <c r="G1994" s="17">
        <v>79904</v>
      </c>
      <c r="H1994" s="17">
        <v>2679220</v>
      </c>
      <c r="I1994">
        <f>VLOOKUP(C1994,LEAIDs!$A$2:$B$305,2,FALSE)</f>
        <v>2201950</v>
      </c>
    </row>
    <row r="1995" spans="1:9" x14ac:dyDescent="0.2">
      <c r="A1995">
        <v>2201950</v>
      </c>
      <c r="B1995">
        <v>2016</v>
      </c>
      <c r="C1995" t="s">
        <v>61</v>
      </c>
      <c r="D1995" t="s">
        <v>232</v>
      </c>
      <c r="E1995" t="s">
        <v>234</v>
      </c>
      <c r="F1995" s="17">
        <v>2353990</v>
      </c>
      <c r="G1995" s="17">
        <v>77646</v>
      </c>
      <c r="H1995" s="17">
        <v>2431636</v>
      </c>
      <c r="I1995">
        <f>VLOOKUP(C1995,LEAIDs!$A$2:$B$305,2,FALSE)</f>
        <v>2201950</v>
      </c>
    </row>
    <row r="1996" spans="1:9" x14ac:dyDescent="0.2">
      <c r="A1996">
        <v>2201950</v>
      </c>
      <c r="B1996">
        <v>2017</v>
      </c>
      <c r="C1996" t="s">
        <v>61</v>
      </c>
      <c r="D1996" t="s">
        <v>232</v>
      </c>
      <c r="E1996" t="s">
        <v>234</v>
      </c>
      <c r="F1996" s="17">
        <v>2224736</v>
      </c>
      <c r="G1996" s="17">
        <v>76841</v>
      </c>
      <c r="H1996" s="17">
        <v>2301577</v>
      </c>
      <c r="I1996">
        <f>VLOOKUP(C1996,LEAIDs!$A$2:$B$305,2,FALSE)</f>
        <v>2201950</v>
      </c>
    </row>
    <row r="1997" spans="1:9" x14ac:dyDescent="0.2">
      <c r="A1997">
        <v>2201950</v>
      </c>
      <c r="B1997">
        <v>2018</v>
      </c>
      <c r="C1997" t="s">
        <v>61</v>
      </c>
      <c r="D1997" t="s">
        <v>232</v>
      </c>
      <c r="E1997" t="s">
        <v>234</v>
      </c>
      <c r="F1997" s="17">
        <v>2441312</v>
      </c>
      <c r="G1997" s="17">
        <v>80340</v>
      </c>
      <c r="H1997" s="17">
        <v>2521652</v>
      </c>
      <c r="I1997">
        <f>VLOOKUP(C1997,LEAIDs!$A$2:$B$305,2,FALSE)</f>
        <v>2201950</v>
      </c>
    </row>
    <row r="1998" spans="1:9" x14ac:dyDescent="0.2">
      <c r="A1998">
        <v>2201950</v>
      </c>
      <c r="B1998">
        <v>2019</v>
      </c>
      <c r="C1998" t="s">
        <v>61</v>
      </c>
      <c r="D1998" t="s">
        <v>232</v>
      </c>
      <c r="E1998" t="s">
        <v>234</v>
      </c>
      <c r="F1998" s="17">
        <v>2451825</v>
      </c>
      <c r="G1998" s="17">
        <v>82287</v>
      </c>
      <c r="H1998" s="17">
        <v>2534112</v>
      </c>
      <c r="I1998">
        <f>VLOOKUP(C1998,LEAIDs!$A$2:$B$305,2,FALSE)</f>
        <v>2201950</v>
      </c>
    </row>
    <row r="1999" spans="1:9" x14ac:dyDescent="0.2">
      <c r="A1999">
        <v>2201950</v>
      </c>
      <c r="B1999">
        <v>2020</v>
      </c>
      <c r="C1999" t="s">
        <v>61</v>
      </c>
      <c r="D1999" t="s">
        <v>232</v>
      </c>
      <c r="E1999" t="s">
        <v>234</v>
      </c>
      <c r="F1999" s="17">
        <v>2407724</v>
      </c>
      <c r="G1999" s="17">
        <v>84965</v>
      </c>
      <c r="H1999" s="17">
        <v>2492689</v>
      </c>
      <c r="I1999">
        <f>VLOOKUP(C1999,LEAIDs!$A$2:$B$305,2,FALSE)</f>
        <v>2201950</v>
      </c>
    </row>
    <row r="2000" spans="1:9" x14ac:dyDescent="0.2">
      <c r="A2000">
        <v>2201950</v>
      </c>
      <c r="B2000" s="2">
        <v>2021</v>
      </c>
      <c r="C2000" s="4" t="s">
        <v>61</v>
      </c>
      <c r="D2000" s="2" t="s">
        <v>232</v>
      </c>
      <c r="E2000" s="2" t="s">
        <v>234</v>
      </c>
      <c r="F2000" s="16">
        <v>2381053</v>
      </c>
      <c r="G2000" s="16">
        <v>82878</v>
      </c>
      <c r="H2000" s="15">
        <v>2463931</v>
      </c>
      <c r="I2000">
        <f>VLOOKUP(C2000,LEAIDs!$A$2:$B$305,2,FALSE)</f>
        <v>2201950</v>
      </c>
    </row>
    <row r="2001" spans="1:9" x14ac:dyDescent="0.2">
      <c r="A2001">
        <v>2201950</v>
      </c>
      <c r="B2001" s="2">
        <v>2022</v>
      </c>
      <c r="C2001" s="4" t="s">
        <v>61</v>
      </c>
      <c r="D2001" s="2" t="s">
        <v>232</v>
      </c>
      <c r="E2001" s="2" t="s">
        <v>234</v>
      </c>
      <c r="F2001" s="16">
        <v>2371434</v>
      </c>
      <c r="G2001" s="16">
        <v>84726</v>
      </c>
      <c r="H2001" s="15">
        <v>2456160</v>
      </c>
      <c r="I2001">
        <f>VLOOKUP(C2001,LEAIDs!$A$2:$B$305,2,FALSE)</f>
        <v>2201950</v>
      </c>
    </row>
    <row r="2002" spans="1:9" x14ac:dyDescent="0.2">
      <c r="A2002">
        <v>2201950</v>
      </c>
      <c r="B2002" s="2">
        <v>2023</v>
      </c>
      <c r="C2002" s="2" t="s">
        <v>61</v>
      </c>
      <c r="D2002" s="2" t="s">
        <v>232</v>
      </c>
      <c r="E2002" s="2" t="s">
        <v>234</v>
      </c>
      <c r="F2002" s="15">
        <v>2688038</v>
      </c>
      <c r="G2002" s="15">
        <v>95833</v>
      </c>
      <c r="H2002" s="15">
        <v>2783871</v>
      </c>
      <c r="I2002">
        <f>VLOOKUP(C2002,LEAIDs!$A$2:$B$305,2,FALSE)</f>
        <v>2201950</v>
      </c>
    </row>
    <row r="2003" spans="1:9" x14ac:dyDescent="0.2">
      <c r="A2003">
        <v>2201980</v>
      </c>
      <c r="B2003">
        <v>2015</v>
      </c>
      <c r="C2003" t="s">
        <v>62</v>
      </c>
      <c r="D2003" t="s">
        <v>232</v>
      </c>
      <c r="E2003" t="s">
        <v>234</v>
      </c>
      <c r="F2003" s="17">
        <v>3965082</v>
      </c>
      <c r="G2003" s="17">
        <v>121889</v>
      </c>
      <c r="H2003" s="17">
        <v>4086971</v>
      </c>
      <c r="I2003">
        <f>VLOOKUP(C2003,LEAIDs!$A$2:$B$305,2,FALSE)</f>
        <v>2201980</v>
      </c>
    </row>
    <row r="2004" spans="1:9" x14ac:dyDescent="0.2">
      <c r="A2004">
        <v>2201980</v>
      </c>
      <c r="B2004">
        <v>2016</v>
      </c>
      <c r="C2004" t="s">
        <v>62</v>
      </c>
      <c r="D2004" t="s">
        <v>232</v>
      </c>
      <c r="E2004" t="s">
        <v>234</v>
      </c>
      <c r="F2004" s="17">
        <v>3554073</v>
      </c>
      <c r="G2004" s="17">
        <v>117231</v>
      </c>
      <c r="H2004" s="17">
        <v>3671304</v>
      </c>
      <c r="I2004">
        <f>VLOOKUP(C2004,LEAIDs!$A$2:$B$305,2,FALSE)</f>
        <v>2201980</v>
      </c>
    </row>
    <row r="2005" spans="1:9" x14ac:dyDescent="0.2">
      <c r="A2005">
        <v>2201980</v>
      </c>
      <c r="B2005">
        <v>2017</v>
      </c>
      <c r="C2005" t="s">
        <v>62</v>
      </c>
      <c r="D2005" t="s">
        <v>232</v>
      </c>
      <c r="E2005" t="s">
        <v>234</v>
      </c>
      <c r="F2005" s="17">
        <v>3808471</v>
      </c>
      <c r="G2005" s="17">
        <v>131543</v>
      </c>
      <c r="H2005" s="17">
        <v>3940014</v>
      </c>
      <c r="I2005">
        <f>VLOOKUP(C2005,LEAIDs!$A$2:$B$305,2,FALSE)</f>
        <v>2201980</v>
      </c>
    </row>
    <row r="2006" spans="1:9" x14ac:dyDescent="0.2">
      <c r="A2006">
        <v>2201980</v>
      </c>
      <c r="B2006">
        <v>2018</v>
      </c>
      <c r="C2006" t="s">
        <v>62</v>
      </c>
      <c r="D2006" t="s">
        <v>232</v>
      </c>
      <c r="E2006" t="s">
        <v>234</v>
      </c>
      <c r="F2006" s="17">
        <v>4041512</v>
      </c>
      <c r="G2006" s="17">
        <v>133000</v>
      </c>
      <c r="H2006" s="17">
        <v>4174512</v>
      </c>
      <c r="I2006">
        <f>VLOOKUP(C2006,LEAIDs!$A$2:$B$305,2,FALSE)</f>
        <v>2201980</v>
      </c>
    </row>
    <row r="2007" spans="1:9" x14ac:dyDescent="0.2">
      <c r="A2007">
        <v>2201980</v>
      </c>
      <c r="B2007">
        <v>2019</v>
      </c>
      <c r="C2007" t="s">
        <v>62</v>
      </c>
      <c r="D2007" t="s">
        <v>232</v>
      </c>
      <c r="E2007" t="s">
        <v>234</v>
      </c>
      <c r="F2007" s="17">
        <v>4069453</v>
      </c>
      <c r="G2007" s="17">
        <v>136577</v>
      </c>
      <c r="H2007" s="17">
        <v>4206030</v>
      </c>
      <c r="I2007">
        <f>VLOOKUP(C2007,LEAIDs!$A$2:$B$305,2,FALSE)</f>
        <v>2201980</v>
      </c>
    </row>
    <row r="2008" spans="1:9" x14ac:dyDescent="0.2">
      <c r="A2008">
        <v>2201980</v>
      </c>
      <c r="B2008">
        <v>2020</v>
      </c>
      <c r="C2008" t="s">
        <v>62</v>
      </c>
      <c r="D2008" t="s">
        <v>232</v>
      </c>
      <c r="E2008" t="s">
        <v>234</v>
      </c>
      <c r="F2008" s="17">
        <v>4223694</v>
      </c>
      <c r="G2008" s="17">
        <v>149048</v>
      </c>
      <c r="H2008" s="17">
        <v>4372742</v>
      </c>
      <c r="I2008">
        <f>VLOOKUP(C2008,LEAIDs!$A$2:$B$305,2,FALSE)</f>
        <v>2201980</v>
      </c>
    </row>
    <row r="2009" spans="1:9" x14ac:dyDescent="0.2">
      <c r="A2009">
        <v>2201980</v>
      </c>
      <c r="B2009" s="2">
        <v>2021</v>
      </c>
      <c r="C2009" s="4" t="s">
        <v>62</v>
      </c>
      <c r="D2009" s="2" t="s">
        <v>232</v>
      </c>
      <c r="E2009" s="2" t="s">
        <v>234</v>
      </c>
      <c r="F2009" s="16">
        <v>4445038</v>
      </c>
      <c r="G2009" s="16">
        <v>154720</v>
      </c>
      <c r="H2009" s="15">
        <v>4599758</v>
      </c>
      <c r="I2009">
        <f>VLOOKUP(C2009,LEAIDs!$A$2:$B$305,2,FALSE)</f>
        <v>2201980</v>
      </c>
    </row>
    <row r="2010" spans="1:9" x14ac:dyDescent="0.2">
      <c r="A2010">
        <v>2201980</v>
      </c>
      <c r="B2010" s="2">
        <v>2022</v>
      </c>
      <c r="C2010" s="4" t="s">
        <v>62</v>
      </c>
      <c r="D2010" s="2" t="s">
        <v>232</v>
      </c>
      <c r="E2010" s="2" t="s">
        <v>234</v>
      </c>
      <c r="F2010" s="16">
        <v>4376639</v>
      </c>
      <c r="G2010" s="16">
        <v>156367</v>
      </c>
      <c r="H2010" s="15">
        <v>4533006</v>
      </c>
      <c r="I2010">
        <f>VLOOKUP(C2010,LEAIDs!$A$2:$B$305,2,FALSE)</f>
        <v>2201980</v>
      </c>
    </row>
    <row r="2011" spans="1:9" x14ac:dyDescent="0.2">
      <c r="A2011">
        <v>2201980</v>
      </c>
      <c r="B2011" s="2">
        <v>2023</v>
      </c>
      <c r="C2011" s="2" t="s">
        <v>62</v>
      </c>
      <c r="D2011" s="2" t="s">
        <v>232</v>
      </c>
      <c r="E2011" s="2" t="s">
        <v>234</v>
      </c>
      <c r="F2011" s="15">
        <v>4767919</v>
      </c>
      <c r="G2011" s="15">
        <v>169984</v>
      </c>
      <c r="H2011" s="15">
        <v>4937903</v>
      </c>
      <c r="I2011">
        <f>VLOOKUP(C2011,LEAIDs!$A$2:$B$305,2,FALSE)</f>
        <v>2201980</v>
      </c>
    </row>
    <row r="2012" spans="1:9" x14ac:dyDescent="0.2">
      <c r="A2012">
        <v>2202010</v>
      </c>
      <c r="B2012">
        <v>2015</v>
      </c>
      <c r="C2012" t="s">
        <v>63</v>
      </c>
      <c r="D2012" t="s">
        <v>232</v>
      </c>
      <c r="E2012" t="s">
        <v>234</v>
      </c>
      <c r="F2012" s="17">
        <v>2961110</v>
      </c>
      <c r="G2012" s="17">
        <v>91026</v>
      </c>
      <c r="H2012" s="17">
        <v>3052136</v>
      </c>
      <c r="I2012">
        <f>VLOOKUP(C2012,LEAIDs!$A$2:$B$305,2,FALSE)</f>
        <v>2202010</v>
      </c>
    </row>
    <row r="2013" spans="1:9" x14ac:dyDescent="0.2">
      <c r="A2013">
        <v>2202010</v>
      </c>
      <c r="B2013">
        <v>2016</v>
      </c>
      <c r="C2013" t="s">
        <v>63</v>
      </c>
      <c r="D2013" t="s">
        <v>232</v>
      </c>
      <c r="E2013" t="s">
        <v>234</v>
      </c>
      <c r="F2013" s="17">
        <v>2876064</v>
      </c>
      <c r="G2013" s="17">
        <v>94867</v>
      </c>
      <c r="H2013" s="17">
        <v>2970931</v>
      </c>
      <c r="I2013">
        <f>VLOOKUP(C2013,LEAIDs!$A$2:$B$305,2,FALSE)</f>
        <v>2202010</v>
      </c>
    </row>
    <row r="2014" spans="1:9" x14ac:dyDescent="0.2">
      <c r="A2014">
        <v>2202010</v>
      </c>
      <c r="B2014">
        <v>2017</v>
      </c>
      <c r="C2014" t="s">
        <v>63</v>
      </c>
      <c r="D2014" t="s">
        <v>232</v>
      </c>
      <c r="E2014" t="s">
        <v>234</v>
      </c>
      <c r="F2014" s="17">
        <v>2733621</v>
      </c>
      <c r="G2014" s="17">
        <v>94418</v>
      </c>
      <c r="H2014" s="17">
        <v>2828039</v>
      </c>
      <c r="I2014">
        <f>VLOOKUP(C2014,LEAIDs!$A$2:$B$305,2,FALSE)</f>
        <v>2202010</v>
      </c>
    </row>
    <row r="2015" spans="1:9" x14ac:dyDescent="0.2">
      <c r="A2015">
        <v>2202010</v>
      </c>
      <c r="B2015">
        <v>2018</v>
      </c>
      <c r="C2015" t="s">
        <v>63</v>
      </c>
      <c r="D2015" t="s">
        <v>232</v>
      </c>
      <c r="E2015" t="s">
        <v>234</v>
      </c>
      <c r="F2015" s="17">
        <v>2815454</v>
      </c>
      <c r="G2015" s="17">
        <v>92652</v>
      </c>
      <c r="H2015" s="17">
        <v>2908106</v>
      </c>
      <c r="I2015">
        <f>VLOOKUP(C2015,LEAIDs!$A$2:$B$305,2,FALSE)</f>
        <v>2202010</v>
      </c>
    </row>
    <row r="2016" spans="1:9" x14ac:dyDescent="0.2">
      <c r="A2016">
        <v>2202010</v>
      </c>
      <c r="B2016">
        <v>2019</v>
      </c>
      <c r="C2016" t="s">
        <v>63</v>
      </c>
      <c r="D2016" t="s">
        <v>232</v>
      </c>
      <c r="E2016" t="s">
        <v>234</v>
      </c>
      <c r="F2016" s="17">
        <v>2842901</v>
      </c>
      <c r="G2016" s="17">
        <v>95412</v>
      </c>
      <c r="H2016" s="17">
        <v>2938313</v>
      </c>
      <c r="I2016">
        <f>VLOOKUP(C2016,LEAIDs!$A$2:$B$305,2,FALSE)</f>
        <v>2202010</v>
      </c>
    </row>
    <row r="2017" spans="1:9" x14ac:dyDescent="0.2">
      <c r="A2017">
        <v>2202010</v>
      </c>
      <c r="B2017">
        <v>2020</v>
      </c>
      <c r="C2017" t="s">
        <v>63</v>
      </c>
      <c r="D2017" t="s">
        <v>232</v>
      </c>
      <c r="E2017" t="s">
        <v>234</v>
      </c>
      <c r="F2017" s="17">
        <v>2677317</v>
      </c>
      <c r="G2017" s="17">
        <v>94478</v>
      </c>
      <c r="H2017" s="17">
        <v>2771795</v>
      </c>
      <c r="I2017">
        <f>VLOOKUP(C2017,LEAIDs!$A$2:$B$305,2,FALSE)</f>
        <v>2202010</v>
      </c>
    </row>
    <row r="2018" spans="1:9" x14ac:dyDescent="0.2">
      <c r="A2018">
        <v>2202010</v>
      </c>
      <c r="B2018" s="2">
        <v>2021</v>
      </c>
      <c r="C2018" s="4" t="s">
        <v>63</v>
      </c>
      <c r="D2018" s="2" t="s">
        <v>232</v>
      </c>
      <c r="E2018" s="2" t="s">
        <v>234</v>
      </c>
      <c r="F2018" s="16">
        <v>2741909</v>
      </c>
      <c r="G2018" s="16">
        <v>95439</v>
      </c>
      <c r="H2018" s="15">
        <v>2837348</v>
      </c>
      <c r="I2018">
        <f>VLOOKUP(C2018,LEAIDs!$A$2:$B$305,2,FALSE)</f>
        <v>2202010</v>
      </c>
    </row>
    <row r="2019" spans="1:9" x14ac:dyDescent="0.2">
      <c r="A2019">
        <v>2202010</v>
      </c>
      <c r="B2019" s="2">
        <v>2022</v>
      </c>
      <c r="C2019" s="4" t="s">
        <v>63</v>
      </c>
      <c r="D2019" s="2" t="s">
        <v>232</v>
      </c>
      <c r="E2019" s="2" t="s">
        <v>234</v>
      </c>
      <c r="F2019" s="16">
        <v>2785989</v>
      </c>
      <c r="G2019" s="16">
        <v>99537</v>
      </c>
      <c r="H2019" s="15">
        <v>2885526</v>
      </c>
      <c r="I2019">
        <f>VLOOKUP(C2019,LEAIDs!$A$2:$B$305,2,FALSE)</f>
        <v>2202010</v>
      </c>
    </row>
    <row r="2020" spans="1:9" x14ac:dyDescent="0.2">
      <c r="A2020">
        <v>2202010</v>
      </c>
      <c r="B2020" s="2">
        <v>2023</v>
      </c>
      <c r="C2020" s="2" t="s">
        <v>63</v>
      </c>
      <c r="D2020" s="2" t="s">
        <v>232</v>
      </c>
      <c r="E2020" s="2" t="s">
        <v>234</v>
      </c>
      <c r="F2020" s="15">
        <v>2654163</v>
      </c>
      <c r="G2020" s="15">
        <v>94625</v>
      </c>
      <c r="H2020" s="15">
        <v>2748788</v>
      </c>
      <c r="I2020">
        <f>VLOOKUP(C2020,LEAIDs!$A$2:$B$305,2,FALSE)</f>
        <v>2202010</v>
      </c>
    </row>
    <row r="2021" spans="1:9" x14ac:dyDescent="0.2">
      <c r="A2021">
        <v>2280100</v>
      </c>
      <c r="B2021">
        <v>2015</v>
      </c>
      <c r="C2021" t="s">
        <v>272</v>
      </c>
      <c r="D2021" t="s">
        <v>232</v>
      </c>
      <c r="E2021" t="s">
        <v>234</v>
      </c>
      <c r="F2021" s="17">
        <v>1532011</v>
      </c>
      <c r="G2021" s="17">
        <v>47095</v>
      </c>
      <c r="H2021" s="17">
        <v>1579106</v>
      </c>
      <c r="I2021">
        <f>VLOOKUP(C2021,LEAIDs!$A$2:$B$305,2,FALSE)</f>
        <v>2280100</v>
      </c>
    </row>
    <row r="2022" spans="1:9" x14ac:dyDescent="0.2">
      <c r="A2022">
        <v>2280100</v>
      </c>
      <c r="B2022">
        <v>2016</v>
      </c>
      <c r="C2022" t="s">
        <v>272</v>
      </c>
      <c r="D2022" t="s">
        <v>232</v>
      </c>
      <c r="E2022" t="s">
        <v>234</v>
      </c>
      <c r="F2022" s="17">
        <v>1252814</v>
      </c>
      <c r="G2022" s="17">
        <v>41324</v>
      </c>
      <c r="H2022" s="17">
        <v>1294138</v>
      </c>
      <c r="I2022">
        <f>VLOOKUP(C2022,LEAIDs!$A$2:$B$305,2,FALSE)</f>
        <v>2280100</v>
      </c>
    </row>
    <row r="2023" spans="1:9" x14ac:dyDescent="0.2">
      <c r="A2023">
        <v>2280100</v>
      </c>
      <c r="B2023">
        <v>2017</v>
      </c>
      <c r="C2023" t="s">
        <v>272</v>
      </c>
      <c r="D2023" t="s">
        <v>232</v>
      </c>
      <c r="E2023" t="s">
        <v>234</v>
      </c>
      <c r="F2023" s="17">
        <v>1047208</v>
      </c>
      <c r="G2023" s="17">
        <v>36170</v>
      </c>
      <c r="H2023" s="17">
        <v>1083378</v>
      </c>
      <c r="I2023">
        <f>VLOOKUP(C2023,LEAIDs!$A$2:$B$305,2,FALSE)</f>
        <v>2280100</v>
      </c>
    </row>
    <row r="2024" spans="1:9" x14ac:dyDescent="0.2">
      <c r="A2024">
        <v>2280100</v>
      </c>
      <c r="B2024">
        <v>2018</v>
      </c>
      <c r="C2024" t="s">
        <v>272</v>
      </c>
      <c r="D2024" t="s">
        <v>232</v>
      </c>
      <c r="E2024" t="s">
        <v>234</v>
      </c>
      <c r="F2024" s="17">
        <v>858875</v>
      </c>
      <c r="G2024" s="17">
        <v>28264</v>
      </c>
      <c r="H2024" s="17">
        <v>887139</v>
      </c>
      <c r="I2024">
        <f>VLOOKUP(C2024,LEAIDs!$A$2:$B$305,2,FALSE)</f>
        <v>2280100</v>
      </c>
    </row>
    <row r="2025" spans="1:9" x14ac:dyDescent="0.2">
      <c r="A2025">
        <v>2280100</v>
      </c>
      <c r="B2025">
        <v>2019</v>
      </c>
      <c r="C2025" t="s">
        <v>272</v>
      </c>
      <c r="D2025" t="s">
        <v>232</v>
      </c>
      <c r="E2025" t="s">
        <v>234</v>
      </c>
      <c r="F2025" s="17">
        <v>870664</v>
      </c>
      <c r="G2025" s="17">
        <v>29221</v>
      </c>
      <c r="H2025" s="17">
        <v>899885</v>
      </c>
      <c r="I2025">
        <f>VLOOKUP(C2025,LEAIDs!$A$2:$B$305,2,FALSE)</f>
        <v>2280100</v>
      </c>
    </row>
    <row r="2026" spans="1:9" x14ac:dyDescent="0.2">
      <c r="A2026">
        <v>2280100</v>
      </c>
      <c r="B2026">
        <v>2020</v>
      </c>
      <c r="C2026" t="s">
        <v>272</v>
      </c>
      <c r="D2026" t="s">
        <v>232</v>
      </c>
      <c r="E2026" t="s">
        <v>234</v>
      </c>
      <c r="F2026" s="17">
        <v>1126254</v>
      </c>
      <c r="G2026" s="17">
        <v>39760</v>
      </c>
      <c r="H2026" s="17">
        <v>1166014</v>
      </c>
      <c r="I2026">
        <f>VLOOKUP(C2026,LEAIDs!$A$2:$B$305,2,FALSE)</f>
        <v>2280100</v>
      </c>
    </row>
    <row r="2027" spans="1:9" x14ac:dyDescent="0.2">
      <c r="A2027">
        <v>2280100</v>
      </c>
      <c r="B2027" s="2">
        <v>2023</v>
      </c>
      <c r="C2027" t="s">
        <v>272</v>
      </c>
      <c r="D2027" s="2" t="s">
        <v>232</v>
      </c>
      <c r="E2027" s="2" t="s">
        <v>234</v>
      </c>
      <c r="F2027" s="15">
        <v>2362250</v>
      </c>
      <c r="G2027" s="15">
        <v>84218</v>
      </c>
      <c r="H2027" s="15">
        <v>2446468</v>
      </c>
      <c r="I2027">
        <f>VLOOKUP(C2027,LEAIDs!$A$2:$B$305,2,FALSE)</f>
        <v>2280100</v>
      </c>
    </row>
    <row r="2028" spans="1:9" x14ac:dyDescent="0.2">
      <c r="A2028">
        <v>2280100</v>
      </c>
      <c r="B2028" s="2">
        <v>2022</v>
      </c>
      <c r="C2028" t="s">
        <v>272</v>
      </c>
      <c r="D2028" s="2" t="s">
        <v>232</v>
      </c>
      <c r="E2028" s="2" t="s">
        <v>234</v>
      </c>
      <c r="F2028" s="16">
        <v>2427522</v>
      </c>
      <c r="G2028" s="16">
        <v>86730</v>
      </c>
      <c r="H2028" s="15">
        <v>2514252</v>
      </c>
      <c r="I2028">
        <f>VLOOKUP(C2028,LEAIDs!$A$2:$B$305,2,FALSE)</f>
        <v>2280100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79C0-BEDB-B342-AC89-AD44C903D84F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3119-C3B1-5749-BE60-E7A19A29B0CE}">
  <sheetPr>
    <tabColor rgb="FFFFFF00"/>
  </sheetPr>
  <dimension ref="A1:H238"/>
  <sheetViews>
    <sheetView workbookViewId="0">
      <selection activeCell="B12" sqref="B12"/>
    </sheetView>
  </sheetViews>
  <sheetFormatPr baseColWidth="10" defaultRowHeight="16" x14ac:dyDescent="0.2"/>
  <cols>
    <col min="1" max="1" width="10.83203125" style="2"/>
    <col min="2" max="2" width="41.5" style="2" bestFit="1" customWidth="1"/>
    <col min="3" max="4" width="14.83203125" style="2" customWidth="1"/>
    <col min="5" max="5" width="18.83203125" style="2" bestFit="1" customWidth="1"/>
    <col min="6" max="6" width="17.1640625" style="2" bestFit="1" customWidth="1"/>
    <col min="7" max="7" width="16.83203125" style="2" bestFit="1" customWidth="1"/>
    <col min="8" max="8" width="10.83203125" style="2"/>
  </cols>
  <sheetData>
    <row r="1" spans="1:7" x14ac:dyDescent="0.2">
      <c r="A1" s="2" t="s">
        <v>235</v>
      </c>
      <c r="B1" s="2" t="s">
        <v>230</v>
      </c>
      <c r="C1" s="2" t="s">
        <v>231</v>
      </c>
      <c r="D1" s="2" t="s">
        <v>233</v>
      </c>
      <c r="E1" s="2" t="s">
        <v>280</v>
      </c>
      <c r="F1" s="2" t="s">
        <v>281</v>
      </c>
      <c r="G1" s="2" t="s">
        <v>304</v>
      </c>
    </row>
    <row r="2" spans="1:7" x14ac:dyDescent="0.2">
      <c r="A2" s="2">
        <v>2023</v>
      </c>
      <c r="B2" s="2" t="s">
        <v>138</v>
      </c>
      <c r="C2" s="2" t="s">
        <v>232</v>
      </c>
      <c r="D2" s="2" t="s">
        <v>234</v>
      </c>
      <c r="E2" s="3">
        <v>134179</v>
      </c>
      <c r="F2" s="3">
        <v>4784</v>
      </c>
      <c r="G2" s="3">
        <f t="shared" ref="G2:G65" si="0">SUM(E2:F2)</f>
        <v>138963</v>
      </c>
    </row>
    <row r="3" spans="1:7" x14ac:dyDescent="0.2">
      <c r="A3" s="2">
        <v>2023</v>
      </c>
      <c r="B3" s="2" t="s">
        <v>0</v>
      </c>
      <c r="C3" s="2" t="s">
        <v>232</v>
      </c>
      <c r="D3" s="2" t="s">
        <v>234</v>
      </c>
      <c r="E3" s="3">
        <v>12222129</v>
      </c>
      <c r="F3" s="3">
        <v>435739</v>
      </c>
      <c r="G3" s="3">
        <f t="shared" si="0"/>
        <v>12657868</v>
      </c>
    </row>
    <row r="4" spans="1:7" x14ac:dyDescent="0.2">
      <c r="A4" s="2">
        <v>2023</v>
      </c>
      <c r="B4" s="2" t="s">
        <v>121</v>
      </c>
      <c r="C4" s="2" t="s">
        <v>232</v>
      </c>
      <c r="D4" s="2" t="s">
        <v>234</v>
      </c>
      <c r="E4" s="3">
        <v>1425106</v>
      </c>
      <c r="F4" s="3">
        <v>50807</v>
      </c>
      <c r="G4" s="3">
        <f t="shared" si="0"/>
        <v>1475913</v>
      </c>
    </row>
    <row r="5" spans="1:7" x14ac:dyDescent="0.2">
      <c r="A5" s="2">
        <v>2023</v>
      </c>
      <c r="B5" s="2" t="s">
        <v>123</v>
      </c>
      <c r="C5" s="2" t="s">
        <v>232</v>
      </c>
      <c r="D5" s="2" t="s">
        <v>234</v>
      </c>
      <c r="E5" s="3">
        <v>2967206</v>
      </c>
      <c r="F5" s="3">
        <v>105786</v>
      </c>
      <c r="G5" s="3">
        <f t="shared" si="0"/>
        <v>3072992</v>
      </c>
    </row>
    <row r="6" spans="1:7" x14ac:dyDescent="0.2">
      <c r="A6" s="2">
        <v>2023</v>
      </c>
      <c r="B6" s="2" t="s">
        <v>128</v>
      </c>
      <c r="C6" s="2" t="s">
        <v>232</v>
      </c>
      <c r="D6" s="2" t="s">
        <v>234</v>
      </c>
      <c r="E6" s="3">
        <v>541354</v>
      </c>
      <c r="F6" s="3">
        <v>19300</v>
      </c>
      <c r="G6" s="3">
        <f t="shared" si="0"/>
        <v>560654</v>
      </c>
    </row>
    <row r="7" spans="1:7" x14ac:dyDescent="0.2">
      <c r="A7" s="2">
        <v>2023</v>
      </c>
      <c r="B7" s="2" t="s">
        <v>120</v>
      </c>
      <c r="C7" s="2" t="s">
        <v>232</v>
      </c>
      <c r="D7" s="2" t="s">
        <v>234</v>
      </c>
      <c r="E7" s="3">
        <v>2701342</v>
      </c>
      <c r="F7" s="3">
        <v>96307</v>
      </c>
      <c r="G7" s="3">
        <f t="shared" si="0"/>
        <v>2797649</v>
      </c>
    </row>
    <row r="8" spans="1:7" x14ac:dyDescent="0.2">
      <c r="A8" s="2">
        <v>2023</v>
      </c>
      <c r="B8" s="2" t="s">
        <v>1</v>
      </c>
      <c r="C8" s="2" t="s">
        <v>232</v>
      </c>
      <c r="D8" s="2" t="s">
        <v>234</v>
      </c>
      <c r="E8" s="3">
        <v>6264813</v>
      </c>
      <c r="F8" s="3">
        <v>223351</v>
      </c>
      <c r="G8" s="3">
        <f t="shared" si="0"/>
        <v>6488164</v>
      </c>
    </row>
    <row r="9" spans="1:7" x14ac:dyDescent="0.2">
      <c r="A9" s="2">
        <v>2023</v>
      </c>
      <c r="B9" s="2" t="s">
        <v>2</v>
      </c>
      <c r="C9" s="2" t="s">
        <v>232</v>
      </c>
      <c r="D9" s="2" t="s">
        <v>234</v>
      </c>
      <c r="E9" s="3">
        <v>33950435</v>
      </c>
      <c r="F9" s="3">
        <v>1210389</v>
      </c>
      <c r="G9" s="3">
        <f t="shared" si="0"/>
        <v>35160824</v>
      </c>
    </row>
    <row r="10" spans="1:7" x14ac:dyDescent="0.2">
      <c r="A10" s="2">
        <v>2023</v>
      </c>
      <c r="B10" s="2" t="s">
        <v>99</v>
      </c>
      <c r="C10" s="2" t="s">
        <v>232</v>
      </c>
      <c r="D10" s="2" t="s">
        <v>234</v>
      </c>
      <c r="E10" s="3">
        <v>30302</v>
      </c>
      <c r="F10" s="3">
        <v>1080</v>
      </c>
      <c r="G10" s="3">
        <f t="shared" si="0"/>
        <v>31382</v>
      </c>
    </row>
    <row r="11" spans="1:7" x14ac:dyDescent="0.2">
      <c r="A11" s="2">
        <v>2023</v>
      </c>
      <c r="B11" s="2" t="s">
        <v>3</v>
      </c>
      <c r="C11" s="2" t="s">
        <v>232</v>
      </c>
      <c r="D11" s="2" t="s">
        <v>234</v>
      </c>
      <c r="E11" s="3">
        <v>4248229</v>
      </c>
      <c r="F11" s="3">
        <v>151456</v>
      </c>
      <c r="G11" s="3">
        <f t="shared" si="0"/>
        <v>4399685</v>
      </c>
    </row>
    <row r="12" spans="1:7" x14ac:dyDescent="0.2">
      <c r="A12" s="2">
        <v>2023</v>
      </c>
      <c r="B12" s="2" t="s">
        <v>193</v>
      </c>
      <c r="C12" s="2" t="s">
        <v>232</v>
      </c>
      <c r="D12" s="2" t="s">
        <v>234</v>
      </c>
      <c r="E12" s="3">
        <v>53271</v>
      </c>
      <c r="F12" s="3">
        <v>1899</v>
      </c>
      <c r="G12" s="3">
        <f t="shared" si="0"/>
        <v>55170</v>
      </c>
    </row>
    <row r="13" spans="1:7" x14ac:dyDescent="0.2">
      <c r="A13" s="2">
        <v>2023</v>
      </c>
      <c r="B13" s="2" t="s">
        <v>4</v>
      </c>
      <c r="C13" s="2" t="s">
        <v>232</v>
      </c>
      <c r="D13" s="2" t="s">
        <v>234</v>
      </c>
      <c r="E13" s="3">
        <v>5827323</v>
      </c>
      <c r="F13" s="3">
        <v>207754</v>
      </c>
      <c r="G13" s="3">
        <f t="shared" si="0"/>
        <v>6035077</v>
      </c>
    </row>
    <row r="14" spans="1:7" x14ac:dyDescent="0.2">
      <c r="A14" s="2">
        <v>2023</v>
      </c>
      <c r="B14" s="2" t="s">
        <v>112</v>
      </c>
      <c r="C14" s="2" t="s">
        <v>232</v>
      </c>
      <c r="D14" s="2" t="s">
        <v>234</v>
      </c>
      <c r="E14" s="3">
        <v>807898</v>
      </c>
      <c r="F14" s="3">
        <v>28803</v>
      </c>
      <c r="G14" s="3">
        <f t="shared" si="0"/>
        <v>836701</v>
      </c>
    </row>
    <row r="15" spans="1:7" x14ac:dyDescent="0.2">
      <c r="A15" s="2">
        <v>2023</v>
      </c>
      <c r="B15" s="2" t="s">
        <v>108</v>
      </c>
      <c r="C15" s="2" t="s">
        <v>232</v>
      </c>
      <c r="D15" s="2" t="s">
        <v>234</v>
      </c>
      <c r="E15" s="3">
        <v>4319657</v>
      </c>
      <c r="F15" s="3">
        <v>154003</v>
      </c>
      <c r="G15" s="3">
        <f t="shared" si="0"/>
        <v>4473660</v>
      </c>
    </row>
    <row r="16" spans="1:7" x14ac:dyDescent="0.2">
      <c r="A16" s="2">
        <v>2023</v>
      </c>
      <c r="B16" s="2" t="s">
        <v>136</v>
      </c>
      <c r="C16" s="2" t="s">
        <v>232</v>
      </c>
      <c r="D16" s="2" t="s">
        <v>234</v>
      </c>
      <c r="E16" s="3">
        <v>580707</v>
      </c>
      <c r="F16" s="3">
        <v>20703</v>
      </c>
      <c r="G16" s="3">
        <f t="shared" si="0"/>
        <v>601410</v>
      </c>
    </row>
    <row r="17" spans="1:7" x14ac:dyDescent="0.2">
      <c r="A17" s="2">
        <v>2023</v>
      </c>
      <c r="B17" s="2" t="s">
        <v>5</v>
      </c>
      <c r="C17" s="2" t="s">
        <v>232</v>
      </c>
      <c r="D17" s="2" t="s">
        <v>234</v>
      </c>
      <c r="E17" s="3">
        <v>8926695</v>
      </c>
      <c r="F17" s="3">
        <v>318251</v>
      </c>
      <c r="G17" s="3">
        <f t="shared" si="0"/>
        <v>9244946</v>
      </c>
    </row>
    <row r="18" spans="1:7" x14ac:dyDescent="0.2">
      <c r="A18" s="2">
        <v>2023</v>
      </c>
      <c r="B18" s="2" t="s">
        <v>143</v>
      </c>
      <c r="C18" s="2" t="s">
        <v>232</v>
      </c>
      <c r="D18" s="2" t="s">
        <v>234</v>
      </c>
      <c r="E18" s="3">
        <v>1150110</v>
      </c>
      <c r="F18" s="3">
        <v>41003</v>
      </c>
      <c r="G18" s="3">
        <f t="shared" si="0"/>
        <v>1191113</v>
      </c>
    </row>
    <row r="19" spans="1:7" x14ac:dyDescent="0.2">
      <c r="A19" s="2">
        <v>2023</v>
      </c>
      <c r="B19" s="2" t="s">
        <v>6</v>
      </c>
      <c r="C19" s="2" t="s">
        <v>232</v>
      </c>
      <c r="D19" s="2" t="s">
        <v>234</v>
      </c>
      <c r="E19" s="3">
        <v>4398378</v>
      </c>
      <c r="F19" s="3">
        <v>156809</v>
      </c>
      <c r="G19" s="3">
        <f t="shared" si="0"/>
        <v>4555187</v>
      </c>
    </row>
    <row r="20" spans="1:7" x14ac:dyDescent="0.2">
      <c r="A20" s="2">
        <v>2023</v>
      </c>
      <c r="B20" s="2" t="s">
        <v>218</v>
      </c>
      <c r="C20" s="2" t="s">
        <v>232</v>
      </c>
      <c r="D20" s="2" t="s">
        <v>234</v>
      </c>
      <c r="E20" s="3">
        <v>149389</v>
      </c>
      <c r="F20" s="3">
        <v>5326</v>
      </c>
      <c r="G20" s="3">
        <f t="shared" si="0"/>
        <v>154715</v>
      </c>
    </row>
    <row r="21" spans="1:7" x14ac:dyDescent="0.2">
      <c r="A21" s="2">
        <v>2023</v>
      </c>
      <c r="B21" s="2" t="s">
        <v>219</v>
      </c>
      <c r="C21" s="2" t="s">
        <v>232</v>
      </c>
      <c r="D21" s="2" t="s">
        <v>234</v>
      </c>
      <c r="E21" s="3">
        <v>2738896</v>
      </c>
      <c r="F21" s="3">
        <v>97646</v>
      </c>
      <c r="G21" s="3">
        <f t="shared" si="0"/>
        <v>2836542</v>
      </c>
    </row>
    <row r="22" spans="1:7" x14ac:dyDescent="0.2">
      <c r="A22" s="2">
        <v>2023</v>
      </c>
      <c r="B22" s="2" t="s">
        <v>214</v>
      </c>
      <c r="C22" s="2" t="s">
        <v>232</v>
      </c>
      <c r="D22" s="2" t="s">
        <v>234</v>
      </c>
      <c r="E22" s="3">
        <v>380793</v>
      </c>
      <c r="F22" s="3">
        <v>13576</v>
      </c>
      <c r="G22" s="3">
        <f t="shared" si="0"/>
        <v>394369</v>
      </c>
    </row>
    <row r="23" spans="1:7" x14ac:dyDescent="0.2">
      <c r="A23" s="2">
        <v>2023</v>
      </c>
      <c r="B23" s="2" t="s">
        <v>64</v>
      </c>
      <c r="C23" s="2" t="s">
        <v>232</v>
      </c>
      <c r="D23" s="2" t="s">
        <v>234</v>
      </c>
      <c r="E23" s="3">
        <v>3101305</v>
      </c>
      <c r="F23" s="3">
        <v>110567</v>
      </c>
      <c r="G23" s="3">
        <f t="shared" si="0"/>
        <v>3211872</v>
      </c>
    </row>
    <row r="24" spans="1:7" x14ac:dyDescent="0.2">
      <c r="A24" s="2">
        <v>2023</v>
      </c>
      <c r="B24" s="2" t="s">
        <v>103</v>
      </c>
      <c r="C24" s="2" t="s">
        <v>232</v>
      </c>
      <c r="D24" s="2" t="s">
        <v>234</v>
      </c>
      <c r="E24" s="3">
        <v>3871422</v>
      </c>
      <c r="F24" s="3">
        <v>138023</v>
      </c>
      <c r="G24" s="3">
        <f t="shared" si="0"/>
        <v>4009445</v>
      </c>
    </row>
    <row r="25" spans="1:7" x14ac:dyDescent="0.2">
      <c r="A25" s="2">
        <v>2023</v>
      </c>
      <c r="B25" s="2" t="s">
        <v>7</v>
      </c>
      <c r="C25" s="2" t="s">
        <v>232</v>
      </c>
      <c r="D25" s="2" t="s">
        <v>234</v>
      </c>
      <c r="E25" s="3">
        <v>34093852</v>
      </c>
      <c r="F25" s="3">
        <v>1215502</v>
      </c>
      <c r="G25" s="3">
        <f t="shared" si="0"/>
        <v>35309354</v>
      </c>
    </row>
    <row r="26" spans="1:7" x14ac:dyDescent="0.2">
      <c r="A26" s="2">
        <v>2023</v>
      </c>
      <c r="B26" s="2" t="s">
        <v>8</v>
      </c>
      <c r="C26" s="2" t="s">
        <v>232</v>
      </c>
      <c r="D26" s="2" t="s">
        <v>234</v>
      </c>
      <c r="E26" s="3">
        <v>52168941</v>
      </c>
      <c r="F26" s="3">
        <v>1859908</v>
      </c>
      <c r="G26" s="3">
        <f t="shared" si="0"/>
        <v>54028849</v>
      </c>
    </row>
    <row r="27" spans="1:7" x14ac:dyDescent="0.2">
      <c r="A27" s="2">
        <v>2023</v>
      </c>
      <c r="B27" s="2" t="s">
        <v>9</v>
      </c>
      <c r="C27" s="2" t="s">
        <v>232</v>
      </c>
      <c r="D27" s="2" t="s">
        <v>234</v>
      </c>
      <c r="E27" s="3">
        <v>50535708</v>
      </c>
      <c r="F27" s="3">
        <v>1801681</v>
      </c>
      <c r="G27" s="3">
        <f t="shared" si="0"/>
        <v>52337389</v>
      </c>
    </row>
    <row r="28" spans="1:7" x14ac:dyDescent="0.2">
      <c r="A28" s="2">
        <v>2023</v>
      </c>
      <c r="B28" s="2" t="s">
        <v>10</v>
      </c>
      <c r="C28" s="2" t="s">
        <v>232</v>
      </c>
      <c r="D28" s="2" t="s">
        <v>234</v>
      </c>
      <c r="E28" s="3">
        <v>2678253</v>
      </c>
      <c r="F28" s="3">
        <v>95484</v>
      </c>
      <c r="G28" s="3">
        <f t="shared" si="0"/>
        <v>2773737</v>
      </c>
    </row>
    <row r="29" spans="1:7" x14ac:dyDescent="0.2">
      <c r="A29" s="2">
        <v>2023</v>
      </c>
      <c r="B29" s="2" t="s">
        <v>11</v>
      </c>
      <c r="C29" s="2" t="s">
        <v>232</v>
      </c>
      <c r="D29" s="2" t="s">
        <v>234</v>
      </c>
      <c r="E29" s="3">
        <v>2711101</v>
      </c>
      <c r="F29" s="3">
        <v>96655</v>
      </c>
      <c r="G29" s="3">
        <f t="shared" si="0"/>
        <v>2807756</v>
      </c>
    </row>
    <row r="30" spans="1:7" x14ac:dyDescent="0.2">
      <c r="A30" s="2">
        <v>2023</v>
      </c>
      <c r="B30" s="2" t="s">
        <v>179</v>
      </c>
      <c r="C30" s="2" t="s">
        <v>232</v>
      </c>
      <c r="D30" s="2" t="s">
        <v>234</v>
      </c>
      <c r="E30" s="3">
        <v>47392</v>
      </c>
      <c r="F30" s="3">
        <v>1690</v>
      </c>
      <c r="G30" s="3">
        <f t="shared" si="0"/>
        <v>49082</v>
      </c>
    </row>
    <row r="31" spans="1:7" x14ac:dyDescent="0.2">
      <c r="A31" s="2">
        <v>2023</v>
      </c>
      <c r="B31" s="2" t="s">
        <v>12</v>
      </c>
      <c r="C31" s="2" t="s">
        <v>232</v>
      </c>
      <c r="D31" s="2" t="s">
        <v>234</v>
      </c>
      <c r="E31" s="3">
        <v>1402270</v>
      </c>
      <c r="F31" s="3">
        <v>49993</v>
      </c>
      <c r="G31" s="3">
        <f t="shared" si="0"/>
        <v>1452263</v>
      </c>
    </row>
    <row r="32" spans="1:7" x14ac:dyDescent="0.2">
      <c r="A32" s="2">
        <v>2023</v>
      </c>
      <c r="B32" s="2" t="s">
        <v>129</v>
      </c>
      <c r="C32" s="2" t="s">
        <v>232</v>
      </c>
      <c r="D32" s="2" t="s">
        <v>234</v>
      </c>
      <c r="E32" s="3">
        <v>6446358</v>
      </c>
      <c r="F32" s="3">
        <v>229823</v>
      </c>
      <c r="G32" s="3">
        <f t="shared" si="0"/>
        <v>6676181</v>
      </c>
    </row>
    <row r="33" spans="1:7" x14ac:dyDescent="0.2">
      <c r="A33" s="2">
        <v>2023</v>
      </c>
      <c r="B33" s="2" t="s">
        <v>98</v>
      </c>
      <c r="C33" s="2" t="s">
        <v>232</v>
      </c>
      <c r="D33" s="2" t="s">
        <v>234</v>
      </c>
      <c r="E33" s="3">
        <v>1435318</v>
      </c>
      <c r="F33" s="3">
        <v>51171</v>
      </c>
      <c r="G33" s="3">
        <f t="shared" si="0"/>
        <v>1486489</v>
      </c>
    </row>
    <row r="34" spans="1:7" x14ac:dyDescent="0.2">
      <c r="A34" s="2">
        <v>2023</v>
      </c>
      <c r="B34" s="2" t="s">
        <v>116</v>
      </c>
      <c r="C34" s="2" t="s">
        <v>232</v>
      </c>
      <c r="D34" s="2" t="s">
        <v>234</v>
      </c>
      <c r="E34" s="3">
        <v>1597652</v>
      </c>
      <c r="F34" s="3">
        <v>56959</v>
      </c>
      <c r="G34" s="3">
        <f t="shared" si="0"/>
        <v>1654611</v>
      </c>
    </row>
    <row r="35" spans="1:7" x14ac:dyDescent="0.2">
      <c r="A35" s="2">
        <v>2023</v>
      </c>
      <c r="B35" s="2" t="s">
        <v>13</v>
      </c>
      <c r="C35" s="2" t="s">
        <v>232</v>
      </c>
      <c r="D35" s="2" t="s">
        <v>234</v>
      </c>
      <c r="E35" s="3">
        <v>2865663</v>
      </c>
      <c r="F35" s="3">
        <v>102166</v>
      </c>
      <c r="G35" s="3">
        <f t="shared" si="0"/>
        <v>2967829</v>
      </c>
    </row>
    <row r="36" spans="1:7" x14ac:dyDescent="0.2">
      <c r="A36" s="2">
        <v>2023</v>
      </c>
      <c r="B36" s="2" t="s">
        <v>14</v>
      </c>
      <c r="C36" s="2" t="s">
        <v>232</v>
      </c>
      <c r="D36" s="2" t="s">
        <v>234</v>
      </c>
      <c r="E36" s="3">
        <v>4985324</v>
      </c>
      <c r="F36" s="3">
        <v>177735</v>
      </c>
      <c r="G36" s="3">
        <f t="shared" si="0"/>
        <v>5163059</v>
      </c>
    </row>
    <row r="37" spans="1:7" x14ac:dyDescent="0.2">
      <c r="A37" s="2">
        <v>2023</v>
      </c>
      <c r="B37" s="2" t="s">
        <v>173</v>
      </c>
      <c r="C37" s="2" t="s">
        <v>232</v>
      </c>
      <c r="D37" s="2" t="s">
        <v>234</v>
      </c>
      <c r="E37" s="3">
        <v>22836</v>
      </c>
      <c r="F37" s="2">
        <v>814</v>
      </c>
      <c r="G37" s="3">
        <f t="shared" si="0"/>
        <v>23650</v>
      </c>
    </row>
    <row r="38" spans="1:7" x14ac:dyDescent="0.2">
      <c r="A38" s="2">
        <v>2023</v>
      </c>
      <c r="B38" s="2" t="s">
        <v>171</v>
      </c>
      <c r="C38" s="2" t="s">
        <v>232</v>
      </c>
      <c r="D38" s="2" t="s">
        <v>234</v>
      </c>
      <c r="E38" s="3">
        <v>34608</v>
      </c>
      <c r="F38" s="3">
        <v>1234</v>
      </c>
      <c r="G38" s="3">
        <f t="shared" si="0"/>
        <v>35842</v>
      </c>
    </row>
    <row r="39" spans="1:7" x14ac:dyDescent="0.2">
      <c r="A39" s="2">
        <v>2023</v>
      </c>
      <c r="B39" s="2" t="s">
        <v>134</v>
      </c>
      <c r="C39" s="2" t="s">
        <v>232</v>
      </c>
      <c r="D39" s="2" t="s">
        <v>234</v>
      </c>
      <c r="E39" s="3">
        <v>1160948</v>
      </c>
      <c r="F39" s="3">
        <v>41390</v>
      </c>
      <c r="G39" s="3">
        <f t="shared" si="0"/>
        <v>1202338</v>
      </c>
    </row>
    <row r="40" spans="1:7" x14ac:dyDescent="0.2">
      <c r="A40" s="2">
        <v>2023</v>
      </c>
      <c r="B40" s="2" t="s">
        <v>198</v>
      </c>
      <c r="C40" s="2" t="s">
        <v>232</v>
      </c>
      <c r="D40" s="2" t="s">
        <v>234</v>
      </c>
      <c r="E40" s="3">
        <v>17131</v>
      </c>
      <c r="F40" s="2">
        <v>611</v>
      </c>
      <c r="G40" s="3">
        <f t="shared" si="0"/>
        <v>17742</v>
      </c>
    </row>
    <row r="41" spans="1:7" x14ac:dyDescent="0.2">
      <c r="A41" s="2">
        <v>2023</v>
      </c>
      <c r="B41" s="2" t="s">
        <v>78</v>
      </c>
      <c r="C41" s="2" t="s">
        <v>232</v>
      </c>
      <c r="D41" s="2" t="s">
        <v>234</v>
      </c>
      <c r="E41" s="3">
        <v>8985046</v>
      </c>
      <c r="F41" s="3">
        <v>320332</v>
      </c>
      <c r="G41" s="3">
        <f t="shared" si="0"/>
        <v>9305378</v>
      </c>
    </row>
    <row r="42" spans="1:7" x14ac:dyDescent="0.2">
      <c r="A42" s="2">
        <v>2023</v>
      </c>
      <c r="B42" s="2" t="s">
        <v>114</v>
      </c>
      <c r="C42" s="2" t="s">
        <v>232</v>
      </c>
      <c r="D42" s="2" t="s">
        <v>234</v>
      </c>
      <c r="E42" s="3">
        <v>976071</v>
      </c>
      <c r="F42" s="3">
        <v>34799</v>
      </c>
      <c r="G42" s="3">
        <f t="shared" si="0"/>
        <v>1010870</v>
      </c>
    </row>
    <row r="43" spans="1:7" x14ac:dyDescent="0.2">
      <c r="A43" s="2">
        <v>2023</v>
      </c>
      <c r="B43" s="2" t="s">
        <v>144</v>
      </c>
      <c r="C43" s="2" t="s">
        <v>232</v>
      </c>
      <c r="D43" s="2" t="s">
        <v>234</v>
      </c>
      <c r="E43" s="3">
        <v>752800</v>
      </c>
      <c r="F43" s="3">
        <v>26839</v>
      </c>
      <c r="G43" s="3">
        <f t="shared" si="0"/>
        <v>779639</v>
      </c>
    </row>
    <row r="44" spans="1:7" x14ac:dyDescent="0.2">
      <c r="A44" s="2">
        <v>2023</v>
      </c>
      <c r="B44" s="2" t="s">
        <v>189</v>
      </c>
      <c r="C44" s="2" t="s">
        <v>232</v>
      </c>
      <c r="D44" s="2" t="s">
        <v>234</v>
      </c>
      <c r="E44" s="3">
        <v>210593</v>
      </c>
      <c r="F44" s="3">
        <v>7508</v>
      </c>
      <c r="G44" s="3">
        <f t="shared" si="0"/>
        <v>218101</v>
      </c>
    </row>
    <row r="45" spans="1:7" x14ac:dyDescent="0.2">
      <c r="A45" s="2">
        <v>2023</v>
      </c>
      <c r="B45" s="2" t="s">
        <v>229</v>
      </c>
      <c r="C45" s="2" t="s">
        <v>232</v>
      </c>
      <c r="D45" s="2" t="s">
        <v>234</v>
      </c>
      <c r="E45" s="3">
        <v>72948</v>
      </c>
      <c r="F45" s="3">
        <v>2601</v>
      </c>
      <c r="G45" s="3">
        <f t="shared" si="0"/>
        <v>75549</v>
      </c>
    </row>
    <row r="46" spans="1:7" x14ac:dyDescent="0.2">
      <c r="A46" s="2">
        <v>2023</v>
      </c>
      <c r="B46" s="2" t="s">
        <v>182</v>
      </c>
      <c r="C46" s="2" t="s">
        <v>232</v>
      </c>
      <c r="D46" s="2" t="s">
        <v>234</v>
      </c>
      <c r="E46" s="3">
        <v>319562</v>
      </c>
      <c r="F46" s="3">
        <v>11393</v>
      </c>
      <c r="G46" s="3">
        <f t="shared" si="0"/>
        <v>330955</v>
      </c>
    </row>
    <row r="47" spans="1:7" x14ac:dyDescent="0.2">
      <c r="A47" s="2">
        <v>2023</v>
      </c>
      <c r="B47" s="2" t="s">
        <v>212</v>
      </c>
      <c r="C47" s="2" t="s">
        <v>232</v>
      </c>
      <c r="D47" s="2" t="s">
        <v>234</v>
      </c>
      <c r="E47" s="3">
        <v>40127</v>
      </c>
      <c r="F47" s="3">
        <v>1431</v>
      </c>
      <c r="G47" s="3">
        <f t="shared" si="0"/>
        <v>41558</v>
      </c>
    </row>
    <row r="48" spans="1:7" x14ac:dyDescent="0.2">
      <c r="A48" s="2">
        <v>2023</v>
      </c>
      <c r="B48" s="2" t="s">
        <v>163</v>
      </c>
      <c r="C48" s="2" t="s">
        <v>232</v>
      </c>
      <c r="D48" s="2" t="s">
        <v>234</v>
      </c>
      <c r="E48" s="3">
        <v>19997</v>
      </c>
      <c r="F48" s="2">
        <v>713</v>
      </c>
      <c r="G48" s="3">
        <f t="shared" si="0"/>
        <v>20710</v>
      </c>
    </row>
    <row r="49" spans="1:7" x14ac:dyDescent="0.2">
      <c r="A49" s="2">
        <v>2023</v>
      </c>
      <c r="B49" s="2" t="s">
        <v>188</v>
      </c>
      <c r="C49" s="2" t="s">
        <v>232</v>
      </c>
      <c r="D49" s="2" t="s">
        <v>234</v>
      </c>
      <c r="E49" s="3">
        <v>279209</v>
      </c>
      <c r="F49" s="3">
        <v>9954</v>
      </c>
      <c r="G49" s="3">
        <f t="shared" si="0"/>
        <v>289163</v>
      </c>
    </row>
    <row r="50" spans="1:7" x14ac:dyDescent="0.2">
      <c r="A50" s="2">
        <v>2023</v>
      </c>
      <c r="B50" s="2" t="s">
        <v>176</v>
      </c>
      <c r="C50" s="2" t="s">
        <v>232</v>
      </c>
      <c r="D50" s="2" t="s">
        <v>234</v>
      </c>
      <c r="E50" s="3">
        <v>12038</v>
      </c>
      <c r="F50" s="2">
        <v>429</v>
      </c>
      <c r="G50" s="3">
        <f t="shared" si="0"/>
        <v>12467</v>
      </c>
    </row>
    <row r="51" spans="1:7" x14ac:dyDescent="0.2">
      <c r="A51" s="2">
        <v>2023</v>
      </c>
      <c r="B51" s="2" t="s">
        <v>210</v>
      </c>
      <c r="C51" s="2" t="s">
        <v>232</v>
      </c>
      <c r="D51" s="2" t="s">
        <v>234</v>
      </c>
      <c r="E51" s="3">
        <v>9678</v>
      </c>
      <c r="F51" s="2">
        <v>345</v>
      </c>
      <c r="G51" s="3">
        <f t="shared" si="0"/>
        <v>10023</v>
      </c>
    </row>
    <row r="52" spans="1:7" x14ac:dyDescent="0.2">
      <c r="A52" s="2">
        <v>2023</v>
      </c>
      <c r="B52" s="2" t="s">
        <v>211</v>
      </c>
      <c r="C52" s="2" t="s">
        <v>232</v>
      </c>
      <c r="D52" s="2" t="s">
        <v>234</v>
      </c>
      <c r="E52" s="3">
        <v>23156</v>
      </c>
      <c r="F52" s="2">
        <v>826</v>
      </c>
      <c r="G52" s="3">
        <f t="shared" si="0"/>
        <v>23982</v>
      </c>
    </row>
    <row r="53" spans="1:7" x14ac:dyDescent="0.2">
      <c r="A53" s="2">
        <v>2023</v>
      </c>
      <c r="B53" s="2" t="s">
        <v>170</v>
      </c>
      <c r="C53" s="2" t="s">
        <v>232</v>
      </c>
      <c r="D53" s="2" t="s">
        <v>234</v>
      </c>
      <c r="E53" s="3">
        <v>18210</v>
      </c>
      <c r="F53" s="2">
        <v>649</v>
      </c>
      <c r="G53" s="3">
        <f t="shared" si="0"/>
        <v>18859</v>
      </c>
    </row>
    <row r="54" spans="1:7" x14ac:dyDescent="0.2">
      <c r="A54" s="2">
        <v>2023</v>
      </c>
      <c r="B54" s="2" t="s">
        <v>190</v>
      </c>
      <c r="C54" s="2" t="s">
        <v>232</v>
      </c>
      <c r="D54" s="2" t="s">
        <v>234</v>
      </c>
      <c r="E54" s="3">
        <v>140084</v>
      </c>
      <c r="F54" s="3">
        <v>4994</v>
      </c>
      <c r="G54" s="3">
        <f t="shared" si="0"/>
        <v>145078</v>
      </c>
    </row>
    <row r="55" spans="1:7" x14ac:dyDescent="0.2">
      <c r="A55" s="2">
        <v>2023</v>
      </c>
      <c r="B55" s="2" t="s">
        <v>15</v>
      </c>
      <c r="C55" s="2" t="s">
        <v>232</v>
      </c>
      <c r="D55" s="2" t="s">
        <v>234</v>
      </c>
      <c r="E55" s="3">
        <v>8881649</v>
      </c>
      <c r="F55" s="3">
        <v>316645</v>
      </c>
      <c r="G55" s="3">
        <f t="shared" si="0"/>
        <v>9198294</v>
      </c>
    </row>
    <row r="56" spans="1:7" x14ac:dyDescent="0.2">
      <c r="A56" s="2">
        <v>2023</v>
      </c>
      <c r="B56" s="2" t="s">
        <v>158</v>
      </c>
      <c r="C56" s="2" t="s">
        <v>232</v>
      </c>
      <c r="D56" s="2" t="s">
        <v>234</v>
      </c>
      <c r="E56" s="3">
        <v>103304</v>
      </c>
      <c r="F56" s="3">
        <v>3683</v>
      </c>
      <c r="G56" s="3">
        <f t="shared" si="0"/>
        <v>106987</v>
      </c>
    </row>
    <row r="57" spans="1:7" x14ac:dyDescent="0.2">
      <c r="A57" s="2">
        <v>2023</v>
      </c>
      <c r="B57" s="2" t="s">
        <v>196</v>
      </c>
      <c r="C57" s="2" t="s">
        <v>232</v>
      </c>
      <c r="D57" s="2" t="s">
        <v>234</v>
      </c>
      <c r="E57" s="3">
        <v>81987</v>
      </c>
      <c r="F57" s="3">
        <v>2923</v>
      </c>
      <c r="G57" s="3">
        <f t="shared" si="0"/>
        <v>84910</v>
      </c>
    </row>
    <row r="58" spans="1:7" x14ac:dyDescent="0.2">
      <c r="A58" s="2">
        <v>2023</v>
      </c>
      <c r="B58" s="2" t="s">
        <v>205</v>
      </c>
      <c r="C58" s="2" t="s">
        <v>232</v>
      </c>
      <c r="D58" s="2" t="s">
        <v>234</v>
      </c>
      <c r="E58" s="3">
        <v>20343</v>
      </c>
      <c r="F58" s="2">
        <v>725</v>
      </c>
      <c r="G58" s="3">
        <f t="shared" si="0"/>
        <v>21068</v>
      </c>
    </row>
    <row r="59" spans="1:7" x14ac:dyDescent="0.2">
      <c r="A59" s="2">
        <v>2023</v>
      </c>
      <c r="B59" s="2" t="s">
        <v>156</v>
      </c>
      <c r="C59" s="2" t="s">
        <v>232</v>
      </c>
      <c r="D59" s="2" t="s">
        <v>234</v>
      </c>
      <c r="E59" s="3">
        <v>129899</v>
      </c>
      <c r="F59" s="3">
        <v>4631</v>
      </c>
      <c r="G59" s="3">
        <f t="shared" si="0"/>
        <v>134530</v>
      </c>
    </row>
    <row r="60" spans="1:7" x14ac:dyDescent="0.2">
      <c r="A60" s="2">
        <v>2023</v>
      </c>
      <c r="B60" s="2" t="s">
        <v>225</v>
      </c>
      <c r="C60" s="2" t="s">
        <v>232</v>
      </c>
      <c r="D60" s="2" t="s">
        <v>234</v>
      </c>
      <c r="E60" s="3">
        <v>8332</v>
      </c>
      <c r="F60" s="2">
        <v>297</v>
      </c>
      <c r="G60" s="3">
        <f t="shared" si="0"/>
        <v>8629</v>
      </c>
    </row>
    <row r="61" spans="1:7" x14ac:dyDescent="0.2">
      <c r="A61" s="2">
        <v>2023</v>
      </c>
      <c r="B61" s="2" t="s">
        <v>157</v>
      </c>
      <c r="C61" s="2" t="s">
        <v>232</v>
      </c>
      <c r="D61" s="2" t="s">
        <v>234</v>
      </c>
      <c r="E61" s="3">
        <v>31915</v>
      </c>
      <c r="F61" s="3">
        <v>1138</v>
      </c>
      <c r="G61" s="3">
        <f t="shared" si="0"/>
        <v>33053</v>
      </c>
    </row>
    <row r="62" spans="1:7" x14ac:dyDescent="0.2">
      <c r="A62" s="2">
        <v>2023</v>
      </c>
      <c r="B62" s="2" t="s">
        <v>224</v>
      </c>
      <c r="C62" s="2" t="s">
        <v>232</v>
      </c>
      <c r="D62" s="2" t="s">
        <v>234</v>
      </c>
      <c r="E62" s="3">
        <v>30835</v>
      </c>
      <c r="F62" s="3">
        <v>1099</v>
      </c>
      <c r="G62" s="3">
        <f t="shared" si="0"/>
        <v>31934</v>
      </c>
    </row>
    <row r="63" spans="1:7" x14ac:dyDescent="0.2">
      <c r="A63" s="2">
        <v>2023</v>
      </c>
      <c r="B63" s="2" t="s">
        <v>227</v>
      </c>
      <c r="C63" s="2" t="s">
        <v>232</v>
      </c>
      <c r="D63" s="2" t="s">
        <v>234</v>
      </c>
      <c r="E63" s="3">
        <v>351877</v>
      </c>
      <c r="F63" s="3">
        <v>12545</v>
      </c>
      <c r="G63" s="3">
        <f t="shared" si="0"/>
        <v>364422</v>
      </c>
    </row>
    <row r="64" spans="1:7" x14ac:dyDescent="0.2">
      <c r="A64" s="2">
        <v>2023</v>
      </c>
      <c r="B64" s="2" t="s">
        <v>199</v>
      </c>
      <c r="C64" s="2" t="s">
        <v>232</v>
      </c>
      <c r="D64" s="2" t="s">
        <v>234</v>
      </c>
      <c r="E64" s="3">
        <v>25049</v>
      </c>
      <c r="F64" s="2">
        <v>893</v>
      </c>
      <c r="G64" s="3">
        <f t="shared" si="0"/>
        <v>25942</v>
      </c>
    </row>
    <row r="65" spans="1:7" x14ac:dyDescent="0.2">
      <c r="A65" s="2">
        <v>2023</v>
      </c>
      <c r="B65" s="2" t="s">
        <v>149</v>
      </c>
      <c r="C65" s="2" t="s">
        <v>232</v>
      </c>
      <c r="D65" s="2" t="s">
        <v>234</v>
      </c>
      <c r="E65" s="3">
        <v>566123</v>
      </c>
      <c r="F65" s="3">
        <v>20183</v>
      </c>
      <c r="G65" s="3">
        <f t="shared" si="0"/>
        <v>586306</v>
      </c>
    </row>
    <row r="66" spans="1:7" x14ac:dyDescent="0.2">
      <c r="A66" s="2">
        <v>2023</v>
      </c>
      <c r="B66" s="2" t="s">
        <v>195</v>
      </c>
      <c r="C66" s="2" t="s">
        <v>232</v>
      </c>
      <c r="D66" s="2" t="s">
        <v>234</v>
      </c>
      <c r="E66" s="3">
        <v>21597</v>
      </c>
      <c r="F66" s="2">
        <v>770</v>
      </c>
      <c r="G66" s="3">
        <f t="shared" ref="G66:G129" si="1">SUM(E66:F66)</f>
        <v>22367</v>
      </c>
    </row>
    <row r="67" spans="1:7" x14ac:dyDescent="0.2">
      <c r="A67" s="2">
        <v>2023</v>
      </c>
      <c r="B67" s="2" t="s">
        <v>204</v>
      </c>
      <c r="C67" s="2" t="s">
        <v>232</v>
      </c>
      <c r="D67" s="2" t="s">
        <v>234</v>
      </c>
      <c r="E67" s="3">
        <v>164294</v>
      </c>
      <c r="F67" s="3">
        <v>5857</v>
      </c>
      <c r="G67" s="3">
        <f t="shared" si="1"/>
        <v>170151</v>
      </c>
    </row>
    <row r="68" spans="1:7" x14ac:dyDescent="0.2">
      <c r="A68" s="2">
        <v>2023</v>
      </c>
      <c r="B68" s="2" t="s">
        <v>213</v>
      </c>
      <c r="C68" s="2" t="s">
        <v>232</v>
      </c>
      <c r="D68" s="2" t="s">
        <v>234</v>
      </c>
      <c r="E68" s="3">
        <v>21623</v>
      </c>
      <c r="F68" s="2">
        <v>771</v>
      </c>
      <c r="G68" s="3">
        <f t="shared" si="1"/>
        <v>22394</v>
      </c>
    </row>
    <row r="69" spans="1:7" x14ac:dyDescent="0.2">
      <c r="A69" s="2">
        <v>2023</v>
      </c>
      <c r="B69" s="2" t="s">
        <v>164</v>
      </c>
      <c r="C69" s="2" t="s">
        <v>232</v>
      </c>
      <c r="D69" s="2" t="s">
        <v>234</v>
      </c>
      <c r="E69" s="3">
        <v>27196</v>
      </c>
      <c r="F69" s="2">
        <v>970</v>
      </c>
      <c r="G69" s="3">
        <f t="shared" si="1"/>
        <v>28166</v>
      </c>
    </row>
    <row r="70" spans="1:7" x14ac:dyDescent="0.2">
      <c r="A70" s="2">
        <v>2023</v>
      </c>
      <c r="B70" s="2" t="s">
        <v>16</v>
      </c>
      <c r="C70" s="2" t="s">
        <v>232</v>
      </c>
      <c r="D70" s="2" t="s">
        <v>234</v>
      </c>
      <c r="E70" s="3">
        <v>64466911</v>
      </c>
      <c r="F70" s="3">
        <v>2298351</v>
      </c>
      <c r="G70" s="3">
        <f t="shared" si="1"/>
        <v>66765262</v>
      </c>
    </row>
    <row r="71" spans="1:7" x14ac:dyDescent="0.2">
      <c r="A71" s="2">
        <v>2023</v>
      </c>
      <c r="B71" s="2" t="s">
        <v>17</v>
      </c>
      <c r="C71" s="2" t="s">
        <v>232</v>
      </c>
      <c r="D71" s="2" t="s">
        <v>234</v>
      </c>
      <c r="E71" s="3">
        <v>1319829</v>
      </c>
      <c r="F71" s="3">
        <v>47054</v>
      </c>
      <c r="G71" s="3">
        <f t="shared" si="1"/>
        <v>1366883</v>
      </c>
    </row>
    <row r="72" spans="1:7" x14ac:dyDescent="0.2">
      <c r="A72" s="2">
        <v>2023</v>
      </c>
      <c r="B72" s="2" t="s">
        <v>18</v>
      </c>
      <c r="C72" s="2" t="s">
        <v>232</v>
      </c>
      <c r="D72" s="2" t="s">
        <v>234</v>
      </c>
      <c r="E72" s="3">
        <v>2300313</v>
      </c>
      <c r="F72" s="3">
        <v>82010</v>
      </c>
      <c r="G72" s="3">
        <f t="shared" si="1"/>
        <v>2382323</v>
      </c>
    </row>
    <row r="73" spans="1:7" x14ac:dyDescent="0.2">
      <c r="A73" s="2">
        <v>2023</v>
      </c>
      <c r="B73" s="2" t="s">
        <v>127</v>
      </c>
      <c r="C73" s="2" t="s">
        <v>232</v>
      </c>
      <c r="D73" s="2" t="s">
        <v>234</v>
      </c>
      <c r="E73" s="3">
        <v>2754520</v>
      </c>
      <c r="F73" s="3">
        <v>98203</v>
      </c>
      <c r="G73" s="3">
        <f t="shared" si="1"/>
        <v>2852723</v>
      </c>
    </row>
    <row r="74" spans="1:7" x14ac:dyDescent="0.2">
      <c r="A74" s="2">
        <v>2023</v>
      </c>
      <c r="B74" s="2" t="s">
        <v>197</v>
      </c>
      <c r="C74" s="2" t="s">
        <v>232</v>
      </c>
      <c r="D74" s="2" t="s">
        <v>234</v>
      </c>
      <c r="E74" s="3">
        <v>88306</v>
      </c>
      <c r="F74" s="3">
        <v>3148</v>
      </c>
      <c r="G74" s="3">
        <f t="shared" si="1"/>
        <v>91454</v>
      </c>
    </row>
    <row r="75" spans="1:7" x14ac:dyDescent="0.2">
      <c r="A75" s="2">
        <v>2023</v>
      </c>
      <c r="B75" s="2" t="s">
        <v>177</v>
      </c>
      <c r="C75" s="2" t="s">
        <v>232</v>
      </c>
      <c r="D75" s="2" t="s">
        <v>234</v>
      </c>
      <c r="E75" s="3">
        <v>177905</v>
      </c>
      <c r="F75" s="3">
        <v>6343</v>
      </c>
      <c r="G75" s="3">
        <f t="shared" si="1"/>
        <v>184248</v>
      </c>
    </row>
    <row r="76" spans="1:7" x14ac:dyDescent="0.2">
      <c r="A76" s="2">
        <v>2023</v>
      </c>
      <c r="B76" s="2" t="s">
        <v>19</v>
      </c>
      <c r="C76" s="2" t="s">
        <v>232</v>
      </c>
      <c r="D76" s="2" t="s">
        <v>234</v>
      </c>
      <c r="E76" s="3">
        <v>9023427</v>
      </c>
      <c r="F76" s="3">
        <v>321700</v>
      </c>
      <c r="G76" s="3">
        <f t="shared" si="1"/>
        <v>9345127</v>
      </c>
    </row>
    <row r="77" spans="1:7" x14ac:dyDescent="0.2">
      <c r="A77" s="2">
        <v>2023</v>
      </c>
      <c r="B77" s="2" t="s">
        <v>178</v>
      </c>
      <c r="C77" s="2" t="s">
        <v>232</v>
      </c>
      <c r="D77" s="2" t="s">
        <v>234</v>
      </c>
      <c r="E77" s="3">
        <v>28009</v>
      </c>
      <c r="F77" s="2">
        <v>999</v>
      </c>
      <c r="G77" s="3">
        <f t="shared" si="1"/>
        <v>29008</v>
      </c>
    </row>
    <row r="78" spans="1:7" x14ac:dyDescent="0.2">
      <c r="A78" s="2">
        <v>2023</v>
      </c>
      <c r="B78" s="2" t="s">
        <v>20</v>
      </c>
      <c r="C78" s="2" t="s">
        <v>232</v>
      </c>
      <c r="D78" s="2" t="s">
        <v>234</v>
      </c>
      <c r="E78" s="3">
        <v>4585921</v>
      </c>
      <c r="F78" s="3">
        <v>163496</v>
      </c>
      <c r="G78" s="3">
        <f t="shared" si="1"/>
        <v>4749417</v>
      </c>
    </row>
    <row r="79" spans="1:7" x14ac:dyDescent="0.2">
      <c r="A79" s="2">
        <v>2023</v>
      </c>
      <c r="B79" s="2" t="s">
        <v>122</v>
      </c>
      <c r="C79" s="2" t="s">
        <v>232</v>
      </c>
      <c r="D79" s="2" t="s">
        <v>234</v>
      </c>
      <c r="E79" s="3">
        <v>1341626</v>
      </c>
      <c r="F79" s="3">
        <v>47831</v>
      </c>
      <c r="G79" s="3">
        <f t="shared" si="1"/>
        <v>1389457</v>
      </c>
    </row>
    <row r="80" spans="1:7" x14ac:dyDescent="0.2">
      <c r="A80" s="2">
        <v>2023</v>
      </c>
      <c r="B80" s="2" t="s">
        <v>160</v>
      </c>
      <c r="C80" s="2" t="s">
        <v>232</v>
      </c>
      <c r="D80" s="2" t="s">
        <v>234</v>
      </c>
      <c r="E80" s="3">
        <v>92172</v>
      </c>
      <c r="F80" s="3">
        <v>3286</v>
      </c>
      <c r="G80" s="3">
        <f t="shared" si="1"/>
        <v>95458</v>
      </c>
    </row>
    <row r="81" spans="1:7" x14ac:dyDescent="0.2">
      <c r="A81" s="2">
        <v>2023</v>
      </c>
      <c r="B81" s="2" t="s">
        <v>74</v>
      </c>
      <c r="C81" s="2" t="s">
        <v>232</v>
      </c>
      <c r="D81" s="2" t="s">
        <v>234</v>
      </c>
      <c r="E81" s="3">
        <v>6092134</v>
      </c>
      <c r="F81" s="3">
        <v>217195</v>
      </c>
      <c r="G81" s="3">
        <f t="shared" si="1"/>
        <v>6309329</v>
      </c>
    </row>
    <row r="82" spans="1:7" x14ac:dyDescent="0.2">
      <c r="A82" s="2">
        <v>2023</v>
      </c>
      <c r="B82" s="2" t="s">
        <v>21</v>
      </c>
      <c r="C82" s="2" t="s">
        <v>232</v>
      </c>
      <c r="D82" s="2" t="s">
        <v>234</v>
      </c>
      <c r="E82" s="3">
        <v>3349425</v>
      </c>
      <c r="F82" s="3">
        <v>119413</v>
      </c>
      <c r="G82" s="3">
        <f t="shared" si="1"/>
        <v>3468838</v>
      </c>
    </row>
    <row r="83" spans="1:7" x14ac:dyDescent="0.2">
      <c r="A83" s="2">
        <v>2023</v>
      </c>
      <c r="B83" s="2" t="s">
        <v>132</v>
      </c>
      <c r="C83" s="2" t="s">
        <v>232</v>
      </c>
      <c r="D83" s="2" t="s">
        <v>234</v>
      </c>
      <c r="E83" s="3">
        <v>16024</v>
      </c>
      <c r="F83" s="2">
        <v>571</v>
      </c>
      <c r="G83" s="3">
        <f t="shared" si="1"/>
        <v>16595</v>
      </c>
    </row>
    <row r="84" spans="1:7" x14ac:dyDescent="0.2">
      <c r="A84" s="2">
        <v>2023</v>
      </c>
      <c r="B84" s="2" t="s">
        <v>125</v>
      </c>
      <c r="C84" s="2" t="s">
        <v>232</v>
      </c>
      <c r="D84" s="2" t="s">
        <v>234</v>
      </c>
      <c r="E84" s="3">
        <v>2510466</v>
      </c>
      <c r="F84" s="3">
        <v>89502</v>
      </c>
      <c r="G84" s="3">
        <f t="shared" si="1"/>
        <v>2599968</v>
      </c>
    </row>
    <row r="85" spans="1:7" x14ac:dyDescent="0.2">
      <c r="A85" s="2">
        <v>2023</v>
      </c>
      <c r="B85" s="2" t="s">
        <v>22</v>
      </c>
      <c r="C85" s="2" t="s">
        <v>232</v>
      </c>
      <c r="D85" s="2" t="s">
        <v>234</v>
      </c>
      <c r="E85" s="3">
        <v>15990341</v>
      </c>
      <c r="F85" s="3">
        <v>570082</v>
      </c>
      <c r="G85" s="3">
        <f t="shared" si="1"/>
        <v>16560423</v>
      </c>
    </row>
    <row r="86" spans="1:7" x14ac:dyDescent="0.2">
      <c r="A86" s="2">
        <v>2023</v>
      </c>
      <c r="B86" s="2" t="s">
        <v>23</v>
      </c>
      <c r="C86" s="2" t="s">
        <v>232</v>
      </c>
      <c r="D86" s="2" t="s">
        <v>234</v>
      </c>
      <c r="E86" s="3">
        <v>10581471</v>
      </c>
      <c r="F86" s="3">
        <v>377247</v>
      </c>
      <c r="G86" s="3">
        <f t="shared" si="1"/>
        <v>10958718</v>
      </c>
    </row>
    <row r="87" spans="1:7" x14ac:dyDescent="0.2">
      <c r="A87" s="2">
        <v>2023</v>
      </c>
      <c r="B87" s="2" t="s">
        <v>146</v>
      </c>
      <c r="C87" s="2" t="s">
        <v>232</v>
      </c>
      <c r="D87" s="2" t="s">
        <v>234</v>
      </c>
      <c r="E87" s="3">
        <v>10559315</v>
      </c>
      <c r="F87" s="3">
        <v>376457</v>
      </c>
      <c r="G87" s="3">
        <f t="shared" si="1"/>
        <v>10935772</v>
      </c>
    </row>
    <row r="88" spans="1:7" x14ac:dyDescent="0.2">
      <c r="A88" s="2">
        <v>2023</v>
      </c>
      <c r="B88" s="2" t="s">
        <v>24</v>
      </c>
      <c r="C88" s="2" t="s">
        <v>232</v>
      </c>
      <c r="D88" s="2" t="s">
        <v>234</v>
      </c>
      <c r="E88" s="3">
        <v>3668375</v>
      </c>
      <c r="F88" s="3">
        <v>130784</v>
      </c>
      <c r="G88" s="3">
        <f t="shared" si="1"/>
        <v>3799159</v>
      </c>
    </row>
    <row r="89" spans="1:7" x14ac:dyDescent="0.2">
      <c r="A89" s="2">
        <v>2023</v>
      </c>
      <c r="B89" s="2" t="s">
        <v>26</v>
      </c>
      <c r="C89" s="2" t="s">
        <v>232</v>
      </c>
      <c r="D89" s="2" t="s">
        <v>234</v>
      </c>
      <c r="E89" s="3">
        <v>7917910</v>
      </c>
      <c r="F89" s="3">
        <v>282286</v>
      </c>
      <c r="G89" s="3">
        <f t="shared" si="1"/>
        <v>8200196</v>
      </c>
    </row>
    <row r="90" spans="1:7" x14ac:dyDescent="0.2">
      <c r="A90" s="2">
        <v>2023</v>
      </c>
      <c r="B90" s="2" t="s">
        <v>25</v>
      </c>
      <c r="C90" s="2" t="s">
        <v>232</v>
      </c>
      <c r="D90" s="2" t="s">
        <v>234</v>
      </c>
      <c r="E90" s="3">
        <v>62236654</v>
      </c>
      <c r="F90" s="3">
        <v>2218839</v>
      </c>
      <c r="G90" s="3">
        <f t="shared" si="1"/>
        <v>64455493</v>
      </c>
    </row>
    <row r="91" spans="1:7" x14ac:dyDescent="0.2">
      <c r="A91" s="2">
        <v>2023</v>
      </c>
      <c r="B91" s="2" t="s">
        <v>83</v>
      </c>
      <c r="C91" s="2" t="s">
        <v>232</v>
      </c>
      <c r="D91" s="2" t="s">
        <v>234</v>
      </c>
      <c r="E91" s="3">
        <v>1753973</v>
      </c>
      <c r="F91" s="3">
        <v>62532</v>
      </c>
      <c r="G91" s="3">
        <f t="shared" si="1"/>
        <v>1816505</v>
      </c>
    </row>
    <row r="92" spans="1:7" x14ac:dyDescent="0.2">
      <c r="A92" s="2">
        <v>2023</v>
      </c>
      <c r="B92" s="2" t="s">
        <v>110</v>
      </c>
      <c r="C92" s="2" t="s">
        <v>232</v>
      </c>
      <c r="D92" s="2" t="s">
        <v>234</v>
      </c>
      <c r="E92" s="3">
        <v>3216607</v>
      </c>
      <c r="F92" s="3">
        <v>114677</v>
      </c>
      <c r="G92" s="3">
        <f t="shared" si="1"/>
        <v>3331284</v>
      </c>
    </row>
    <row r="93" spans="1:7" x14ac:dyDescent="0.2">
      <c r="A93" s="2">
        <v>2023</v>
      </c>
      <c r="B93" s="2" t="s">
        <v>194</v>
      </c>
      <c r="C93" s="2" t="s">
        <v>232</v>
      </c>
      <c r="D93" s="2" t="s">
        <v>234</v>
      </c>
      <c r="E93" s="3">
        <v>112702</v>
      </c>
      <c r="F93" s="3">
        <v>4018</v>
      </c>
      <c r="G93" s="3">
        <f t="shared" si="1"/>
        <v>116720</v>
      </c>
    </row>
    <row r="94" spans="1:7" x14ac:dyDescent="0.2">
      <c r="A94" s="2">
        <v>2023</v>
      </c>
      <c r="B94" s="2" t="s">
        <v>169</v>
      </c>
      <c r="C94" s="2" t="s">
        <v>232</v>
      </c>
      <c r="D94" s="2" t="s">
        <v>234</v>
      </c>
      <c r="E94" s="3">
        <v>81454</v>
      </c>
      <c r="F94" s="3">
        <v>2904</v>
      </c>
      <c r="G94" s="3">
        <f t="shared" si="1"/>
        <v>84358</v>
      </c>
    </row>
    <row r="95" spans="1:7" x14ac:dyDescent="0.2">
      <c r="A95" s="2">
        <v>2023</v>
      </c>
      <c r="B95" s="2" t="s">
        <v>217</v>
      </c>
      <c r="C95" s="2" t="s">
        <v>232</v>
      </c>
      <c r="D95" s="2" t="s">
        <v>234</v>
      </c>
      <c r="E95" s="3">
        <v>24756</v>
      </c>
      <c r="F95" s="2">
        <v>883</v>
      </c>
      <c r="G95" s="3">
        <f t="shared" si="1"/>
        <v>25639</v>
      </c>
    </row>
    <row r="96" spans="1:7" x14ac:dyDescent="0.2">
      <c r="A96" s="2">
        <v>2023</v>
      </c>
      <c r="B96" s="2" t="s">
        <v>97</v>
      </c>
      <c r="C96" s="2" t="s">
        <v>232</v>
      </c>
      <c r="D96" s="2" t="s">
        <v>234</v>
      </c>
      <c r="E96" s="3">
        <v>35928</v>
      </c>
      <c r="F96" s="3">
        <v>1281</v>
      </c>
      <c r="G96" s="3">
        <f t="shared" si="1"/>
        <v>37209</v>
      </c>
    </row>
    <row r="97" spans="1:7" x14ac:dyDescent="0.2">
      <c r="A97" s="2">
        <v>2023</v>
      </c>
      <c r="B97" s="2" t="s">
        <v>118</v>
      </c>
      <c r="C97" s="2" t="s">
        <v>232</v>
      </c>
      <c r="D97" s="2" t="s">
        <v>234</v>
      </c>
      <c r="E97" s="3">
        <v>20930</v>
      </c>
      <c r="F97" s="2">
        <v>746</v>
      </c>
      <c r="G97" s="3">
        <f t="shared" si="1"/>
        <v>21676</v>
      </c>
    </row>
    <row r="98" spans="1:7" x14ac:dyDescent="0.2">
      <c r="A98" s="2">
        <v>2023</v>
      </c>
      <c r="B98" s="2" t="s">
        <v>84</v>
      </c>
      <c r="C98" s="2" t="s">
        <v>232</v>
      </c>
      <c r="D98" s="2" t="s">
        <v>234</v>
      </c>
      <c r="E98" s="3">
        <v>21170</v>
      </c>
      <c r="F98" s="2">
        <v>755</v>
      </c>
      <c r="G98" s="3">
        <f t="shared" si="1"/>
        <v>21925</v>
      </c>
    </row>
    <row r="99" spans="1:7" x14ac:dyDescent="0.2">
      <c r="A99" s="2">
        <v>2023</v>
      </c>
      <c r="B99" s="2" t="s">
        <v>215</v>
      </c>
      <c r="C99" s="2" t="s">
        <v>232</v>
      </c>
      <c r="D99" s="2" t="s">
        <v>234</v>
      </c>
      <c r="E99" s="3">
        <v>1137472</v>
      </c>
      <c r="F99" s="3">
        <v>40553</v>
      </c>
      <c r="G99" s="3">
        <f t="shared" si="1"/>
        <v>1178025</v>
      </c>
    </row>
    <row r="100" spans="1:7" x14ac:dyDescent="0.2">
      <c r="A100" s="2">
        <v>2023</v>
      </c>
      <c r="B100" s="2" t="s">
        <v>119</v>
      </c>
      <c r="C100" s="2" t="s">
        <v>232</v>
      </c>
      <c r="D100" s="2" t="s">
        <v>234</v>
      </c>
      <c r="E100" s="3">
        <v>38647</v>
      </c>
      <c r="F100" s="3">
        <v>1378</v>
      </c>
      <c r="G100" s="3">
        <f t="shared" si="1"/>
        <v>40025</v>
      </c>
    </row>
    <row r="101" spans="1:7" x14ac:dyDescent="0.2">
      <c r="A101" s="2">
        <v>2023</v>
      </c>
      <c r="B101" s="2" t="s">
        <v>101</v>
      </c>
      <c r="C101" s="2" t="s">
        <v>232</v>
      </c>
      <c r="D101" s="2" t="s">
        <v>234</v>
      </c>
      <c r="E101" s="3">
        <v>62550</v>
      </c>
      <c r="F101" s="3">
        <v>2230</v>
      </c>
      <c r="G101" s="3">
        <f t="shared" si="1"/>
        <v>64780</v>
      </c>
    </row>
    <row r="102" spans="1:7" x14ac:dyDescent="0.2">
      <c r="A102" s="2">
        <v>2023</v>
      </c>
      <c r="B102" s="2" t="s">
        <v>191</v>
      </c>
      <c r="C102" s="2" t="s">
        <v>232</v>
      </c>
      <c r="D102" s="2" t="s">
        <v>234</v>
      </c>
      <c r="E102" s="3">
        <v>186077</v>
      </c>
      <c r="F102" s="3">
        <v>6634</v>
      </c>
      <c r="G102" s="3">
        <f t="shared" si="1"/>
        <v>192711</v>
      </c>
    </row>
    <row r="103" spans="1:7" x14ac:dyDescent="0.2">
      <c r="A103" s="2">
        <v>2023</v>
      </c>
      <c r="B103" s="2" t="s">
        <v>27</v>
      </c>
      <c r="C103" s="2" t="s">
        <v>232</v>
      </c>
      <c r="D103" s="2" t="s">
        <v>234</v>
      </c>
      <c r="E103" s="3">
        <v>43970596</v>
      </c>
      <c r="F103" s="3">
        <v>1567624</v>
      </c>
      <c r="G103" s="3">
        <f t="shared" si="1"/>
        <v>45538220</v>
      </c>
    </row>
    <row r="104" spans="1:7" x14ac:dyDescent="0.2">
      <c r="A104" s="2">
        <v>2023</v>
      </c>
      <c r="B104" s="2" t="s">
        <v>28</v>
      </c>
      <c r="C104" s="2" t="s">
        <v>232</v>
      </c>
      <c r="D104" s="2" t="s">
        <v>234</v>
      </c>
      <c r="E104" s="3">
        <v>17951228</v>
      </c>
      <c r="F104" s="3">
        <v>639991</v>
      </c>
      <c r="G104" s="3">
        <f t="shared" si="1"/>
        <v>18591219</v>
      </c>
    </row>
    <row r="105" spans="1:7" x14ac:dyDescent="0.2">
      <c r="A105" s="2">
        <v>2023</v>
      </c>
      <c r="B105" s="2" t="s">
        <v>124</v>
      </c>
      <c r="C105" s="2" t="s">
        <v>232</v>
      </c>
      <c r="D105" s="2" t="s">
        <v>234</v>
      </c>
      <c r="E105" s="3">
        <v>1024037</v>
      </c>
      <c r="F105" s="3">
        <v>36509</v>
      </c>
      <c r="G105" s="3">
        <f t="shared" si="1"/>
        <v>1060546</v>
      </c>
    </row>
    <row r="106" spans="1:7" x14ac:dyDescent="0.2">
      <c r="A106" s="2">
        <v>2023</v>
      </c>
      <c r="B106" s="2" t="s">
        <v>29</v>
      </c>
      <c r="C106" s="2" t="s">
        <v>232</v>
      </c>
      <c r="D106" s="2" t="s">
        <v>234</v>
      </c>
      <c r="E106" s="3">
        <v>3833268</v>
      </c>
      <c r="F106" s="3">
        <v>136662</v>
      </c>
      <c r="G106" s="3">
        <f t="shared" si="1"/>
        <v>3969930</v>
      </c>
    </row>
    <row r="107" spans="1:7" x14ac:dyDescent="0.2">
      <c r="A107" s="2">
        <v>2023</v>
      </c>
      <c r="B107" s="2" t="s">
        <v>180</v>
      </c>
      <c r="C107" s="2" t="s">
        <v>232</v>
      </c>
      <c r="D107" s="2" t="s">
        <v>234</v>
      </c>
      <c r="E107" s="3">
        <v>16851</v>
      </c>
      <c r="F107" s="2">
        <v>601</v>
      </c>
      <c r="G107" s="3">
        <f t="shared" si="1"/>
        <v>17452</v>
      </c>
    </row>
    <row r="108" spans="1:7" x14ac:dyDescent="0.2">
      <c r="A108" s="2">
        <v>2023</v>
      </c>
      <c r="B108" s="2" t="s">
        <v>185</v>
      </c>
      <c r="C108" s="2" t="s">
        <v>232</v>
      </c>
      <c r="D108" s="2" t="s">
        <v>234</v>
      </c>
      <c r="E108" s="3">
        <v>18544</v>
      </c>
      <c r="F108" s="2">
        <v>661</v>
      </c>
      <c r="G108" s="3">
        <f t="shared" si="1"/>
        <v>19205</v>
      </c>
    </row>
    <row r="109" spans="1:7" x14ac:dyDescent="0.2">
      <c r="A109" s="2">
        <v>2023</v>
      </c>
      <c r="B109" s="2" t="s">
        <v>153</v>
      </c>
      <c r="C109" s="2" t="s">
        <v>232</v>
      </c>
      <c r="D109" s="2" t="s">
        <v>234</v>
      </c>
      <c r="E109" s="3">
        <v>1201542</v>
      </c>
      <c r="F109" s="3">
        <v>42837</v>
      </c>
      <c r="G109" s="3">
        <f t="shared" si="1"/>
        <v>1244379</v>
      </c>
    </row>
    <row r="110" spans="1:7" x14ac:dyDescent="0.2">
      <c r="A110" s="2">
        <v>2023</v>
      </c>
      <c r="B110" s="2" t="s">
        <v>155</v>
      </c>
      <c r="C110" s="2" t="s">
        <v>232</v>
      </c>
      <c r="D110" s="2" t="s">
        <v>234</v>
      </c>
      <c r="E110" s="3">
        <v>43526</v>
      </c>
      <c r="F110" s="3">
        <v>1552</v>
      </c>
      <c r="G110" s="3">
        <f t="shared" si="1"/>
        <v>45078</v>
      </c>
    </row>
    <row r="111" spans="1:7" x14ac:dyDescent="0.2">
      <c r="A111" s="2">
        <v>2023</v>
      </c>
      <c r="B111" s="2" t="s">
        <v>30</v>
      </c>
      <c r="C111" s="2" t="s">
        <v>232</v>
      </c>
      <c r="D111" s="2" t="s">
        <v>234</v>
      </c>
      <c r="E111" s="3">
        <v>10062727</v>
      </c>
      <c r="F111" s="3">
        <v>358753</v>
      </c>
      <c r="G111" s="3">
        <f t="shared" si="1"/>
        <v>10421480</v>
      </c>
    </row>
    <row r="112" spans="1:7" x14ac:dyDescent="0.2">
      <c r="A112" s="2">
        <v>2023</v>
      </c>
      <c r="B112" s="2" t="s">
        <v>150</v>
      </c>
      <c r="C112" s="2" t="s">
        <v>232</v>
      </c>
      <c r="D112" s="2" t="s">
        <v>234</v>
      </c>
      <c r="E112" s="3">
        <v>1262159</v>
      </c>
      <c r="F112" s="3">
        <v>44998</v>
      </c>
      <c r="G112" s="3">
        <f t="shared" si="1"/>
        <v>1307157</v>
      </c>
    </row>
    <row r="113" spans="1:7" x14ac:dyDescent="0.2">
      <c r="A113" s="2">
        <v>2023</v>
      </c>
      <c r="B113" s="2" t="s">
        <v>31</v>
      </c>
      <c r="C113" s="2" t="s">
        <v>232</v>
      </c>
      <c r="D113" s="2" t="s">
        <v>234</v>
      </c>
      <c r="E113" s="3">
        <v>35786862</v>
      </c>
      <c r="F113" s="3">
        <v>1275860</v>
      </c>
      <c r="G113" s="3">
        <f t="shared" si="1"/>
        <v>37062722</v>
      </c>
    </row>
    <row r="114" spans="1:7" x14ac:dyDescent="0.2">
      <c r="A114" s="2">
        <v>2023</v>
      </c>
      <c r="B114" s="2" t="s">
        <v>80</v>
      </c>
      <c r="C114" s="2" t="s">
        <v>232</v>
      </c>
      <c r="D114" s="2" t="s">
        <v>234</v>
      </c>
      <c r="E114" s="3">
        <v>258785</v>
      </c>
      <c r="F114" s="3">
        <v>9226</v>
      </c>
      <c r="G114" s="3">
        <f t="shared" si="1"/>
        <v>268011</v>
      </c>
    </row>
    <row r="115" spans="1:7" x14ac:dyDescent="0.2">
      <c r="A115" s="2">
        <v>2023</v>
      </c>
      <c r="B115" s="2" t="s">
        <v>115</v>
      </c>
      <c r="C115" s="2" t="s">
        <v>232</v>
      </c>
      <c r="D115" s="2" t="s">
        <v>234</v>
      </c>
      <c r="E115" s="3">
        <v>2826189</v>
      </c>
      <c r="F115" s="3">
        <v>100758</v>
      </c>
      <c r="G115" s="3">
        <f t="shared" si="1"/>
        <v>2926947</v>
      </c>
    </row>
    <row r="116" spans="1:7" x14ac:dyDescent="0.2">
      <c r="A116" s="2">
        <v>2023</v>
      </c>
      <c r="B116" s="2" t="s">
        <v>221</v>
      </c>
      <c r="C116" s="2" t="s">
        <v>232</v>
      </c>
      <c r="D116" s="2" t="s">
        <v>234</v>
      </c>
      <c r="E116" s="3">
        <v>3600265</v>
      </c>
      <c r="F116" s="3">
        <v>128355</v>
      </c>
      <c r="G116" s="3">
        <f t="shared" si="1"/>
        <v>3728620</v>
      </c>
    </row>
    <row r="117" spans="1:7" x14ac:dyDescent="0.2">
      <c r="A117" s="2">
        <v>2023</v>
      </c>
      <c r="B117" s="2" t="s">
        <v>166</v>
      </c>
      <c r="C117" s="2" t="s">
        <v>232</v>
      </c>
      <c r="D117" s="2" t="s">
        <v>234</v>
      </c>
      <c r="E117" s="3">
        <v>22210</v>
      </c>
      <c r="F117" s="2">
        <v>792</v>
      </c>
      <c r="G117" s="3">
        <f t="shared" si="1"/>
        <v>23002</v>
      </c>
    </row>
    <row r="118" spans="1:7" x14ac:dyDescent="0.2">
      <c r="A118" s="2">
        <v>2023</v>
      </c>
      <c r="B118" s="2" t="s">
        <v>208</v>
      </c>
      <c r="C118" s="2" t="s">
        <v>232</v>
      </c>
      <c r="D118" s="2" t="s">
        <v>234</v>
      </c>
      <c r="E118" s="3">
        <v>97731</v>
      </c>
      <c r="F118" s="3">
        <v>3484</v>
      </c>
      <c r="G118" s="3">
        <f t="shared" si="1"/>
        <v>101215</v>
      </c>
    </row>
    <row r="119" spans="1:7" x14ac:dyDescent="0.2">
      <c r="A119" s="2">
        <v>2023</v>
      </c>
      <c r="B119" s="2" t="s">
        <v>94</v>
      </c>
      <c r="C119" s="2" t="s">
        <v>232</v>
      </c>
      <c r="D119" s="2" t="s">
        <v>234</v>
      </c>
      <c r="E119" s="3">
        <v>64230</v>
      </c>
      <c r="F119" s="3">
        <v>2290</v>
      </c>
      <c r="G119" s="3">
        <f t="shared" si="1"/>
        <v>66520</v>
      </c>
    </row>
    <row r="120" spans="1:7" x14ac:dyDescent="0.2">
      <c r="A120" s="2">
        <v>2023</v>
      </c>
      <c r="B120" s="2" t="s">
        <v>85</v>
      </c>
      <c r="C120" s="2" t="s">
        <v>232</v>
      </c>
      <c r="D120" s="2" t="s">
        <v>234</v>
      </c>
      <c r="E120" s="3">
        <v>17331</v>
      </c>
      <c r="F120" s="2">
        <v>618</v>
      </c>
      <c r="G120" s="3">
        <f t="shared" si="1"/>
        <v>17949</v>
      </c>
    </row>
    <row r="121" spans="1:7" x14ac:dyDescent="0.2">
      <c r="A121" s="2">
        <v>2023</v>
      </c>
      <c r="B121" s="2" t="s">
        <v>102</v>
      </c>
      <c r="C121" s="2" t="s">
        <v>232</v>
      </c>
      <c r="D121" s="2" t="s">
        <v>234</v>
      </c>
      <c r="E121" s="3">
        <v>69389</v>
      </c>
      <c r="F121" s="3">
        <v>2474</v>
      </c>
      <c r="G121" s="3">
        <f t="shared" si="1"/>
        <v>71863</v>
      </c>
    </row>
    <row r="122" spans="1:7" x14ac:dyDescent="0.2">
      <c r="A122" s="2">
        <v>2023</v>
      </c>
      <c r="B122" s="2" t="s">
        <v>147</v>
      </c>
      <c r="C122" s="2" t="s">
        <v>232</v>
      </c>
      <c r="D122" s="2" t="s">
        <v>234</v>
      </c>
      <c r="E122" s="3">
        <v>11158</v>
      </c>
      <c r="F122" s="2">
        <v>398</v>
      </c>
      <c r="G122" s="3">
        <f t="shared" si="1"/>
        <v>11556</v>
      </c>
    </row>
    <row r="123" spans="1:7" x14ac:dyDescent="0.2">
      <c r="A123" s="2">
        <v>2023</v>
      </c>
      <c r="B123" s="2" t="s">
        <v>162</v>
      </c>
      <c r="C123" s="2" t="s">
        <v>232</v>
      </c>
      <c r="D123" s="2" t="s">
        <v>234</v>
      </c>
      <c r="E123" s="3">
        <v>23383</v>
      </c>
      <c r="F123" s="2">
        <v>834</v>
      </c>
      <c r="G123" s="3">
        <f t="shared" si="1"/>
        <v>24217</v>
      </c>
    </row>
    <row r="124" spans="1:7" x14ac:dyDescent="0.2">
      <c r="A124" s="2">
        <v>2023</v>
      </c>
      <c r="B124" s="2" t="s">
        <v>87</v>
      </c>
      <c r="C124" s="2" t="s">
        <v>232</v>
      </c>
      <c r="D124" s="2" t="s">
        <v>234</v>
      </c>
      <c r="E124" s="3">
        <v>70642</v>
      </c>
      <c r="F124" s="3">
        <v>2519</v>
      </c>
      <c r="G124" s="3">
        <f t="shared" si="1"/>
        <v>73161</v>
      </c>
    </row>
    <row r="125" spans="1:7" x14ac:dyDescent="0.2">
      <c r="A125" s="2">
        <v>2023</v>
      </c>
      <c r="B125" s="2" t="s">
        <v>131</v>
      </c>
      <c r="C125" s="2" t="s">
        <v>232</v>
      </c>
      <c r="D125" s="2" t="s">
        <v>234</v>
      </c>
      <c r="E125" s="3">
        <v>52005</v>
      </c>
      <c r="F125" s="3">
        <v>1854</v>
      </c>
      <c r="G125" s="3">
        <f t="shared" si="1"/>
        <v>53859</v>
      </c>
    </row>
    <row r="126" spans="1:7" x14ac:dyDescent="0.2">
      <c r="A126" s="2">
        <v>2023</v>
      </c>
      <c r="B126" s="2" t="s">
        <v>96</v>
      </c>
      <c r="C126" s="2" t="s">
        <v>232</v>
      </c>
      <c r="D126" s="2" t="s">
        <v>234</v>
      </c>
      <c r="E126" s="3">
        <v>12318</v>
      </c>
      <c r="F126" s="2">
        <v>439</v>
      </c>
      <c r="G126" s="3">
        <f t="shared" si="1"/>
        <v>12757</v>
      </c>
    </row>
    <row r="127" spans="1:7" x14ac:dyDescent="0.2">
      <c r="A127" s="2">
        <v>2023</v>
      </c>
      <c r="B127" s="2" t="s">
        <v>68</v>
      </c>
      <c r="C127" s="2" t="s">
        <v>232</v>
      </c>
      <c r="D127" s="2" t="s">
        <v>234</v>
      </c>
      <c r="E127" s="3">
        <v>106296808</v>
      </c>
      <c r="F127" s="3">
        <v>3789655</v>
      </c>
      <c r="G127" s="3">
        <f t="shared" si="1"/>
        <v>110086463</v>
      </c>
    </row>
    <row r="128" spans="1:7" x14ac:dyDescent="0.2">
      <c r="A128" s="2">
        <v>2023</v>
      </c>
      <c r="B128" s="2" t="s">
        <v>66</v>
      </c>
      <c r="C128" s="2" t="s">
        <v>232</v>
      </c>
      <c r="D128" s="2" t="s">
        <v>234</v>
      </c>
      <c r="E128" s="3">
        <v>13022655</v>
      </c>
      <c r="F128" s="3">
        <v>464279</v>
      </c>
      <c r="G128" s="3">
        <f t="shared" si="1"/>
        <v>13486934</v>
      </c>
    </row>
    <row r="129" spans="1:7" x14ac:dyDescent="0.2">
      <c r="A129" s="2">
        <v>2023</v>
      </c>
      <c r="B129" s="2" t="s">
        <v>209</v>
      </c>
      <c r="C129" s="2" t="s">
        <v>232</v>
      </c>
      <c r="D129" s="2" t="s">
        <v>234</v>
      </c>
      <c r="E129" s="3">
        <v>189823</v>
      </c>
      <c r="F129" s="3">
        <v>6768</v>
      </c>
      <c r="G129" s="3">
        <f t="shared" si="1"/>
        <v>196591</v>
      </c>
    </row>
    <row r="130" spans="1:7" x14ac:dyDescent="0.2">
      <c r="A130" s="2">
        <v>2023</v>
      </c>
      <c r="B130" s="2" t="s">
        <v>113</v>
      </c>
      <c r="C130" s="2" t="s">
        <v>232</v>
      </c>
      <c r="D130" s="2" t="s">
        <v>234</v>
      </c>
      <c r="E130" s="3">
        <v>748334</v>
      </c>
      <c r="F130" s="3">
        <v>26679</v>
      </c>
      <c r="G130" s="3">
        <f t="shared" ref="G130:G193" si="2">SUM(E130:F130)</f>
        <v>775013</v>
      </c>
    </row>
    <row r="131" spans="1:7" x14ac:dyDescent="0.2">
      <c r="A131" s="2">
        <v>2023</v>
      </c>
      <c r="B131" s="2" t="s">
        <v>90</v>
      </c>
      <c r="C131" s="2" t="s">
        <v>232</v>
      </c>
      <c r="D131" s="2" t="s">
        <v>234</v>
      </c>
      <c r="E131" s="3">
        <v>21610738</v>
      </c>
      <c r="F131" s="3">
        <v>770458</v>
      </c>
      <c r="G131" s="3">
        <f t="shared" si="2"/>
        <v>22381196</v>
      </c>
    </row>
    <row r="132" spans="1:7" x14ac:dyDescent="0.2">
      <c r="A132" s="2">
        <v>2023</v>
      </c>
      <c r="B132" s="2" t="s">
        <v>70</v>
      </c>
      <c r="C132" s="2" t="s">
        <v>232</v>
      </c>
      <c r="D132" s="2" t="s">
        <v>234</v>
      </c>
      <c r="E132" s="3">
        <v>34183184</v>
      </c>
      <c r="F132" s="3">
        <v>1218687</v>
      </c>
      <c r="G132" s="3">
        <f t="shared" si="2"/>
        <v>35401871</v>
      </c>
    </row>
    <row r="133" spans="1:7" x14ac:dyDescent="0.2">
      <c r="A133" s="2">
        <v>2023</v>
      </c>
      <c r="B133" s="2" t="s">
        <v>104</v>
      </c>
      <c r="C133" s="2" t="s">
        <v>232</v>
      </c>
      <c r="D133" s="2" t="s">
        <v>234</v>
      </c>
      <c r="E133" s="3">
        <v>857956</v>
      </c>
      <c r="F133" s="3">
        <v>30588</v>
      </c>
      <c r="G133" s="3">
        <f t="shared" si="2"/>
        <v>888544</v>
      </c>
    </row>
    <row r="134" spans="1:7" x14ac:dyDescent="0.2">
      <c r="A134" s="2">
        <v>2023</v>
      </c>
      <c r="B134" s="2" t="s">
        <v>139</v>
      </c>
      <c r="C134" s="2" t="s">
        <v>232</v>
      </c>
      <c r="D134" s="2" t="s">
        <v>234</v>
      </c>
      <c r="E134" s="3">
        <v>2133619</v>
      </c>
      <c r="F134" s="3">
        <v>76067</v>
      </c>
      <c r="G134" s="3">
        <f t="shared" si="2"/>
        <v>2209686</v>
      </c>
    </row>
    <row r="135" spans="1:7" x14ac:dyDescent="0.2">
      <c r="A135" s="2">
        <v>2023</v>
      </c>
      <c r="B135" s="2" t="s">
        <v>32</v>
      </c>
      <c r="C135" s="2" t="s">
        <v>232</v>
      </c>
      <c r="D135" s="2" t="s">
        <v>234</v>
      </c>
      <c r="E135" s="3">
        <v>2295487</v>
      </c>
      <c r="F135" s="3">
        <v>81838</v>
      </c>
      <c r="G135" s="3">
        <f t="shared" si="2"/>
        <v>2377325</v>
      </c>
    </row>
    <row r="136" spans="1:7" x14ac:dyDescent="0.2">
      <c r="A136" s="2">
        <v>2023</v>
      </c>
      <c r="B136" s="2" t="s">
        <v>133</v>
      </c>
      <c r="C136" s="2" t="s">
        <v>232</v>
      </c>
      <c r="D136" s="2" t="s">
        <v>234</v>
      </c>
      <c r="E136" s="3">
        <v>934491</v>
      </c>
      <c r="F136" s="3">
        <v>33316</v>
      </c>
      <c r="G136" s="3">
        <f t="shared" si="2"/>
        <v>967807</v>
      </c>
    </row>
    <row r="137" spans="1:7" x14ac:dyDescent="0.2">
      <c r="A137" s="2">
        <v>2023</v>
      </c>
      <c r="B137" s="2" t="s">
        <v>81</v>
      </c>
      <c r="C137" s="2" t="s">
        <v>232</v>
      </c>
      <c r="D137" s="2" t="s">
        <v>234</v>
      </c>
      <c r="E137" s="3">
        <v>6481272</v>
      </c>
      <c r="F137" s="3">
        <v>231068</v>
      </c>
      <c r="G137" s="3">
        <f t="shared" si="2"/>
        <v>6712340</v>
      </c>
    </row>
    <row r="138" spans="1:7" x14ac:dyDescent="0.2">
      <c r="A138" s="2">
        <v>2023</v>
      </c>
      <c r="B138" s="2" t="s">
        <v>181</v>
      </c>
      <c r="C138" s="2" t="s">
        <v>232</v>
      </c>
      <c r="D138" s="2" t="s">
        <v>234</v>
      </c>
      <c r="E138" s="3">
        <v>147336</v>
      </c>
      <c r="F138" s="3">
        <v>5253</v>
      </c>
      <c r="G138" s="3">
        <f t="shared" si="2"/>
        <v>152589</v>
      </c>
    </row>
    <row r="139" spans="1:7" x14ac:dyDescent="0.2">
      <c r="A139" s="2">
        <v>2023</v>
      </c>
      <c r="B139" s="2" t="s">
        <v>65</v>
      </c>
      <c r="C139" s="2" t="s">
        <v>232</v>
      </c>
      <c r="D139" s="2" t="s">
        <v>234</v>
      </c>
      <c r="E139" s="3">
        <v>14493287</v>
      </c>
      <c r="F139" s="3">
        <v>516709</v>
      </c>
      <c r="G139" s="3">
        <f t="shared" si="2"/>
        <v>15009996</v>
      </c>
    </row>
    <row r="140" spans="1:7" x14ac:dyDescent="0.2">
      <c r="A140" s="2">
        <v>2023</v>
      </c>
      <c r="B140" s="2" t="s">
        <v>33</v>
      </c>
      <c r="C140" s="2" t="s">
        <v>232</v>
      </c>
      <c r="D140" s="2" t="s">
        <v>234</v>
      </c>
      <c r="E140" s="3">
        <v>3780663</v>
      </c>
      <c r="F140" s="3">
        <v>134787</v>
      </c>
      <c r="G140" s="3">
        <f t="shared" si="2"/>
        <v>3915450</v>
      </c>
    </row>
    <row r="141" spans="1:7" x14ac:dyDescent="0.2">
      <c r="A141" s="2">
        <v>2023</v>
      </c>
      <c r="B141" s="2" t="s">
        <v>135</v>
      </c>
      <c r="C141" s="2" t="s">
        <v>232</v>
      </c>
      <c r="D141" s="2" t="s">
        <v>234</v>
      </c>
      <c r="E141" s="3">
        <v>2587814</v>
      </c>
      <c r="F141" s="3">
        <v>92260</v>
      </c>
      <c r="G141" s="3">
        <f t="shared" si="2"/>
        <v>2680074</v>
      </c>
    </row>
    <row r="142" spans="1:7" x14ac:dyDescent="0.2">
      <c r="A142" s="2">
        <v>2023</v>
      </c>
      <c r="B142" s="2" t="s">
        <v>34</v>
      </c>
      <c r="C142" s="2" t="s">
        <v>232</v>
      </c>
      <c r="D142" s="2" t="s">
        <v>234</v>
      </c>
      <c r="E142" s="3">
        <v>9291784</v>
      </c>
      <c r="F142" s="3">
        <v>331267</v>
      </c>
      <c r="G142" s="3">
        <f t="shared" si="2"/>
        <v>9623051</v>
      </c>
    </row>
    <row r="143" spans="1:7" x14ac:dyDescent="0.2">
      <c r="A143" s="2">
        <v>2023</v>
      </c>
      <c r="B143" s="2" t="s">
        <v>184</v>
      </c>
      <c r="C143" s="2" t="s">
        <v>232</v>
      </c>
      <c r="D143" s="2" t="s">
        <v>234</v>
      </c>
      <c r="E143" s="3">
        <v>65003</v>
      </c>
      <c r="F143" s="3">
        <v>2317</v>
      </c>
      <c r="G143" s="3">
        <f t="shared" si="2"/>
        <v>67320</v>
      </c>
    </row>
    <row r="144" spans="1:7" x14ac:dyDescent="0.2">
      <c r="A144" s="2">
        <v>2023</v>
      </c>
      <c r="B144" s="2" t="s">
        <v>220</v>
      </c>
      <c r="C144" s="2" t="s">
        <v>232</v>
      </c>
      <c r="D144" s="2" t="s">
        <v>234</v>
      </c>
      <c r="E144" s="3">
        <v>1117942</v>
      </c>
      <c r="F144" s="3">
        <v>39856</v>
      </c>
      <c r="G144" s="3">
        <f t="shared" si="2"/>
        <v>1157798</v>
      </c>
    </row>
    <row r="145" spans="1:7" x14ac:dyDescent="0.2">
      <c r="A145" s="2">
        <v>2023</v>
      </c>
      <c r="B145" s="2" t="s">
        <v>107</v>
      </c>
      <c r="C145" s="2" t="s">
        <v>232</v>
      </c>
      <c r="D145" s="2" t="s">
        <v>234</v>
      </c>
      <c r="E145" s="3">
        <v>253080</v>
      </c>
      <c r="F145" s="3">
        <v>9023</v>
      </c>
      <c r="G145" s="3">
        <f t="shared" si="2"/>
        <v>262103</v>
      </c>
    </row>
    <row r="146" spans="1:7" x14ac:dyDescent="0.2">
      <c r="A146" s="2">
        <v>2023</v>
      </c>
      <c r="B146" s="2" t="s">
        <v>71</v>
      </c>
      <c r="C146" s="2" t="s">
        <v>232</v>
      </c>
      <c r="D146" s="2" t="s">
        <v>234</v>
      </c>
      <c r="E146" s="3">
        <v>7219234</v>
      </c>
      <c r="F146" s="3">
        <v>257378</v>
      </c>
      <c r="G146" s="3">
        <f t="shared" si="2"/>
        <v>7476612</v>
      </c>
    </row>
    <row r="147" spans="1:7" x14ac:dyDescent="0.2">
      <c r="A147" s="2">
        <v>2023</v>
      </c>
      <c r="B147" s="2" t="s">
        <v>151</v>
      </c>
      <c r="C147" s="2" t="s">
        <v>232</v>
      </c>
      <c r="D147" s="2" t="s">
        <v>234</v>
      </c>
      <c r="E147" s="3">
        <v>20743</v>
      </c>
      <c r="F147" s="2">
        <v>740</v>
      </c>
      <c r="G147" s="3">
        <f t="shared" si="2"/>
        <v>21483</v>
      </c>
    </row>
    <row r="148" spans="1:7" x14ac:dyDescent="0.2">
      <c r="A148" s="2">
        <v>2023</v>
      </c>
      <c r="B148" s="2" t="s">
        <v>148</v>
      </c>
      <c r="C148" s="2" t="s">
        <v>232</v>
      </c>
      <c r="D148" s="2" t="s">
        <v>234</v>
      </c>
      <c r="E148" s="3">
        <v>168733</v>
      </c>
      <c r="F148" s="3">
        <v>6016</v>
      </c>
      <c r="G148" s="3">
        <f t="shared" si="2"/>
        <v>174749</v>
      </c>
    </row>
    <row r="149" spans="1:7" x14ac:dyDescent="0.2">
      <c r="A149" s="2">
        <v>2023</v>
      </c>
      <c r="B149" s="2" t="s">
        <v>145</v>
      </c>
      <c r="C149" s="2" t="s">
        <v>232</v>
      </c>
      <c r="D149" s="2" t="s">
        <v>234</v>
      </c>
      <c r="E149" s="3">
        <v>790794</v>
      </c>
      <c r="F149" s="3">
        <v>28193</v>
      </c>
      <c r="G149" s="3">
        <f t="shared" si="2"/>
        <v>818987</v>
      </c>
    </row>
    <row r="150" spans="1:7" x14ac:dyDescent="0.2">
      <c r="A150" s="2">
        <v>2023</v>
      </c>
      <c r="B150" s="2" t="s">
        <v>92</v>
      </c>
      <c r="C150" s="2" t="s">
        <v>232</v>
      </c>
      <c r="D150" s="2" t="s">
        <v>234</v>
      </c>
      <c r="E150" s="3">
        <v>2877527</v>
      </c>
      <c r="F150" s="3">
        <v>102589</v>
      </c>
      <c r="G150" s="3">
        <f t="shared" si="2"/>
        <v>2980116</v>
      </c>
    </row>
    <row r="151" spans="1:7" x14ac:dyDescent="0.2">
      <c r="A151" s="2">
        <v>2023</v>
      </c>
      <c r="B151" s="2" t="s">
        <v>93</v>
      </c>
      <c r="C151" s="2" t="s">
        <v>232</v>
      </c>
      <c r="D151" s="2" t="s">
        <v>234</v>
      </c>
      <c r="E151" s="3">
        <v>988469</v>
      </c>
      <c r="F151" s="3">
        <v>35241</v>
      </c>
      <c r="G151" s="3">
        <f t="shared" si="2"/>
        <v>1023710</v>
      </c>
    </row>
    <row r="152" spans="1:7" x14ac:dyDescent="0.2">
      <c r="A152" s="2">
        <v>2023</v>
      </c>
      <c r="B152" s="2" t="s">
        <v>67</v>
      </c>
      <c r="C152" s="2" t="s">
        <v>232</v>
      </c>
      <c r="D152" s="2" t="s">
        <v>234</v>
      </c>
      <c r="E152" s="3">
        <v>9460863</v>
      </c>
      <c r="F152" s="3">
        <v>337295</v>
      </c>
      <c r="G152" s="3">
        <f t="shared" si="2"/>
        <v>9798158</v>
      </c>
    </row>
    <row r="153" spans="1:7" x14ac:dyDescent="0.2">
      <c r="A153" s="2">
        <v>2023</v>
      </c>
      <c r="B153" s="2" t="s">
        <v>140</v>
      </c>
      <c r="C153" s="2" t="s">
        <v>232</v>
      </c>
      <c r="D153" s="2" t="s">
        <v>234</v>
      </c>
      <c r="E153" s="3">
        <v>13771</v>
      </c>
      <c r="F153" s="2">
        <v>491</v>
      </c>
      <c r="G153" s="3">
        <f t="shared" si="2"/>
        <v>14262</v>
      </c>
    </row>
    <row r="154" spans="1:7" x14ac:dyDescent="0.2">
      <c r="A154" s="2">
        <v>2023</v>
      </c>
      <c r="B154" s="2" t="s">
        <v>91</v>
      </c>
      <c r="C154" s="2" t="s">
        <v>232</v>
      </c>
      <c r="D154" s="2" t="s">
        <v>234</v>
      </c>
      <c r="E154" s="3">
        <v>1558885</v>
      </c>
      <c r="F154" s="3">
        <v>55577</v>
      </c>
      <c r="G154" s="3">
        <f t="shared" si="2"/>
        <v>1614462</v>
      </c>
    </row>
    <row r="155" spans="1:7" x14ac:dyDescent="0.2">
      <c r="A155" s="2">
        <v>2023</v>
      </c>
      <c r="B155" s="2" t="s">
        <v>159</v>
      </c>
      <c r="C155" s="2" t="s">
        <v>232</v>
      </c>
      <c r="D155" s="2" t="s">
        <v>234</v>
      </c>
      <c r="E155" s="3">
        <v>27862</v>
      </c>
      <c r="F155" s="2">
        <v>993</v>
      </c>
      <c r="G155" s="3">
        <f t="shared" si="2"/>
        <v>28855</v>
      </c>
    </row>
    <row r="156" spans="1:7" x14ac:dyDescent="0.2">
      <c r="A156" s="2">
        <v>2023</v>
      </c>
      <c r="B156" s="2" t="s">
        <v>172</v>
      </c>
      <c r="C156" s="2" t="s">
        <v>232</v>
      </c>
      <c r="D156" s="2" t="s">
        <v>234</v>
      </c>
      <c r="E156" s="3">
        <v>59457</v>
      </c>
      <c r="F156" s="3">
        <v>2120</v>
      </c>
      <c r="G156" s="3">
        <f t="shared" si="2"/>
        <v>61577</v>
      </c>
    </row>
    <row r="157" spans="1:7" x14ac:dyDescent="0.2">
      <c r="A157" s="2">
        <v>2023</v>
      </c>
      <c r="B157" s="2" t="s">
        <v>187</v>
      </c>
      <c r="C157" s="2" t="s">
        <v>232</v>
      </c>
      <c r="D157" s="2" t="s">
        <v>234</v>
      </c>
      <c r="E157" s="3">
        <v>307111</v>
      </c>
      <c r="F157" s="3">
        <v>10949</v>
      </c>
      <c r="G157" s="3">
        <f t="shared" si="2"/>
        <v>318060</v>
      </c>
    </row>
    <row r="158" spans="1:7" x14ac:dyDescent="0.2">
      <c r="A158" s="2">
        <v>2023</v>
      </c>
      <c r="B158" s="2" t="s">
        <v>207</v>
      </c>
      <c r="C158" s="2" t="s">
        <v>232</v>
      </c>
      <c r="D158" s="2" t="s">
        <v>234</v>
      </c>
      <c r="E158" s="3">
        <v>21517</v>
      </c>
      <c r="F158" s="2">
        <v>767</v>
      </c>
      <c r="G158" s="3">
        <f t="shared" si="2"/>
        <v>22284</v>
      </c>
    </row>
    <row r="159" spans="1:7" x14ac:dyDescent="0.2">
      <c r="A159" s="2">
        <v>2023</v>
      </c>
      <c r="B159" s="2" t="s">
        <v>206</v>
      </c>
      <c r="C159" s="2" t="s">
        <v>232</v>
      </c>
      <c r="D159" s="2" t="s">
        <v>234</v>
      </c>
      <c r="E159" s="3">
        <v>38167</v>
      </c>
      <c r="F159" s="3">
        <v>1361</v>
      </c>
      <c r="G159" s="3">
        <f t="shared" si="2"/>
        <v>39528</v>
      </c>
    </row>
    <row r="160" spans="1:7" x14ac:dyDescent="0.2">
      <c r="A160" s="2">
        <v>2023</v>
      </c>
      <c r="B160" s="2" t="s">
        <v>174</v>
      </c>
      <c r="C160" s="2" t="s">
        <v>232</v>
      </c>
      <c r="D160" s="2" t="s">
        <v>234</v>
      </c>
      <c r="E160" s="3">
        <v>32222</v>
      </c>
      <c r="F160" s="3">
        <v>1149</v>
      </c>
      <c r="G160" s="3">
        <f t="shared" si="2"/>
        <v>33371</v>
      </c>
    </row>
    <row r="161" spans="1:7" x14ac:dyDescent="0.2">
      <c r="A161" s="2">
        <v>2023</v>
      </c>
      <c r="B161" s="2" t="s">
        <v>192</v>
      </c>
      <c r="C161" s="2" t="s">
        <v>232</v>
      </c>
      <c r="D161" s="2" t="s">
        <v>234</v>
      </c>
      <c r="E161" s="3">
        <v>913934</v>
      </c>
      <c r="F161" s="3">
        <v>32583</v>
      </c>
      <c r="G161" s="3">
        <f t="shared" si="2"/>
        <v>946517</v>
      </c>
    </row>
    <row r="162" spans="1:7" x14ac:dyDescent="0.2">
      <c r="A162" s="2">
        <v>2023</v>
      </c>
      <c r="B162" s="2" t="s">
        <v>167</v>
      </c>
      <c r="C162" s="2" t="s">
        <v>232</v>
      </c>
      <c r="D162" s="2" t="s">
        <v>234</v>
      </c>
      <c r="E162" s="3">
        <v>24583</v>
      </c>
      <c r="F162" s="2">
        <v>876</v>
      </c>
      <c r="G162" s="3">
        <f t="shared" si="2"/>
        <v>25459</v>
      </c>
    </row>
    <row r="163" spans="1:7" x14ac:dyDescent="0.2">
      <c r="A163" s="2">
        <v>2023</v>
      </c>
      <c r="B163" s="2" t="s">
        <v>186</v>
      </c>
      <c r="C163" s="2" t="s">
        <v>232</v>
      </c>
      <c r="D163" s="2" t="s">
        <v>234</v>
      </c>
      <c r="E163" s="3">
        <v>413574</v>
      </c>
      <c r="F163" s="3">
        <v>14745</v>
      </c>
      <c r="G163" s="3">
        <f t="shared" si="2"/>
        <v>428319</v>
      </c>
    </row>
    <row r="164" spans="1:7" x14ac:dyDescent="0.2">
      <c r="A164" s="2">
        <v>2023</v>
      </c>
      <c r="B164" s="2" t="s">
        <v>202</v>
      </c>
      <c r="C164" s="2" t="s">
        <v>232</v>
      </c>
      <c r="D164" s="2" t="s">
        <v>234</v>
      </c>
      <c r="E164" s="3">
        <v>16451</v>
      </c>
      <c r="F164" s="2">
        <v>586</v>
      </c>
      <c r="G164" s="3">
        <f t="shared" si="2"/>
        <v>17037</v>
      </c>
    </row>
    <row r="165" spans="1:7" x14ac:dyDescent="0.2">
      <c r="A165" s="2">
        <v>2023</v>
      </c>
      <c r="B165" s="2" t="s">
        <v>228</v>
      </c>
      <c r="C165" s="2" t="s">
        <v>232</v>
      </c>
      <c r="D165" s="2" t="s">
        <v>234</v>
      </c>
      <c r="E165" s="3">
        <v>23823</v>
      </c>
      <c r="F165" s="2">
        <v>849</v>
      </c>
      <c r="G165" s="3">
        <f t="shared" si="2"/>
        <v>24672</v>
      </c>
    </row>
    <row r="166" spans="1:7" x14ac:dyDescent="0.2">
      <c r="A166" s="2">
        <v>2023</v>
      </c>
      <c r="B166" s="2" t="s">
        <v>175</v>
      </c>
      <c r="C166" s="2" t="s">
        <v>232</v>
      </c>
      <c r="D166" s="2" t="s">
        <v>234</v>
      </c>
      <c r="E166" s="3">
        <v>16064</v>
      </c>
      <c r="F166" s="2">
        <v>573</v>
      </c>
      <c r="G166" s="3">
        <f t="shared" si="2"/>
        <v>16637</v>
      </c>
    </row>
    <row r="167" spans="1:7" x14ac:dyDescent="0.2">
      <c r="A167" s="2">
        <v>2023</v>
      </c>
      <c r="B167" s="2" t="s">
        <v>35</v>
      </c>
      <c r="C167" s="2" t="s">
        <v>232</v>
      </c>
      <c r="D167" s="2" t="s">
        <v>234</v>
      </c>
      <c r="E167" s="3">
        <v>4205302</v>
      </c>
      <c r="F167" s="3">
        <v>149926</v>
      </c>
      <c r="G167" s="3">
        <f t="shared" si="2"/>
        <v>4355228</v>
      </c>
    </row>
    <row r="168" spans="1:7" x14ac:dyDescent="0.2">
      <c r="A168" s="2">
        <v>2023</v>
      </c>
      <c r="B168" s="2" t="s">
        <v>36</v>
      </c>
      <c r="C168" s="2" t="s">
        <v>232</v>
      </c>
      <c r="D168" s="2" t="s">
        <v>234</v>
      </c>
      <c r="E168" s="3">
        <v>26207137</v>
      </c>
      <c r="F168" s="3">
        <v>934327</v>
      </c>
      <c r="G168" s="3">
        <f t="shared" si="2"/>
        <v>27141464</v>
      </c>
    </row>
    <row r="169" spans="1:7" x14ac:dyDescent="0.2">
      <c r="A169" s="2">
        <v>2023</v>
      </c>
      <c r="B169" s="2" t="s">
        <v>37</v>
      </c>
      <c r="C169" s="2" t="s">
        <v>232</v>
      </c>
      <c r="D169" s="2" t="s">
        <v>234</v>
      </c>
      <c r="E169" s="3">
        <v>8047356</v>
      </c>
      <c r="F169" s="3">
        <v>286901</v>
      </c>
      <c r="G169" s="3">
        <f t="shared" si="2"/>
        <v>8334257</v>
      </c>
    </row>
    <row r="170" spans="1:7" x14ac:dyDescent="0.2">
      <c r="A170" s="2">
        <v>2023</v>
      </c>
      <c r="B170" s="2" t="s">
        <v>38</v>
      </c>
      <c r="C170" s="2" t="s">
        <v>232</v>
      </c>
      <c r="D170" s="2" t="s">
        <v>234</v>
      </c>
      <c r="E170" s="3">
        <v>3738550</v>
      </c>
      <c r="F170" s="3">
        <v>133285</v>
      </c>
      <c r="G170" s="3">
        <f t="shared" si="2"/>
        <v>3871835</v>
      </c>
    </row>
    <row r="171" spans="1:7" x14ac:dyDescent="0.2">
      <c r="A171" s="2">
        <v>2023</v>
      </c>
      <c r="B171" s="2" t="s">
        <v>226</v>
      </c>
      <c r="C171" s="2" t="s">
        <v>232</v>
      </c>
      <c r="D171" s="2" t="s">
        <v>234</v>
      </c>
      <c r="E171" s="3">
        <v>15904</v>
      </c>
      <c r="F171" s="2">
        <v>567</v>
      </c>
      <c r="G171" s="3">
        <f t="shared" si="2"/>
        <v>16471</v>
      </c>
    </row>
    <row r="172" spans="1:7" x14ac:dyDescent="0.2">
      <c r="A172" s="2">
        <v>2023</v>
      </c>
      <c r="B172" s="2" t="s">
        <v>201</v>
      </c>
      <c r="C172" s="2" t="s">
        <v>232</v>
      </c>
      <c r="D172" s="2" t="s">
        <v>234</v>
      </c>
      <c r="E172" s="3">
        <v>60444</v>
      </c>
      <c r="F172" s="3">
        <v>2155</v>
      </c>
      <c r="G172" s="3">
        <f t="shared" si="2"/>
        <v>62599</v>
      </c>
    </row>
    <row r="173" spans="1:7" x14ac:dyDescent="0.2">
      <c r="A173" s="2">
        <v>2023</v>
      </c>
      <c r="B173" s="2" t="s">
        <v>203</v>
      </c>
      <c r="C173" s="2" t="s">
        <v>232</v>
      </c>
      <c r="D173" s="2" t="s">
        <v>234</v>
      </c>
      <c r="E173" s="3">
        <v>50192</v>
      </c>
      <c r="F173" s="3">
        <v>1789</v>
      </c>
      <c r="G173" s="3">
        <f t="shared" si="2"/>
        <v>51981</v>
      </c>
    </row>
    <row r="174" spans="1:7" x14ac:dyDescent="0.2">
      <c r="A174" s="2">
        <v>2023</v>
      </c>
      <c r="B174" s="2" t="s">
        <v>39</v>
      </c>
      <c r="C174" s="2" t="s">
        <v>232</v>
      </c>
      <c r="D174" s="2" t="s">
        <v>234</v>
      </c>
      <c r="E174" s="3">
        <v>33772983</v>
      </c>
      <c r="F174" s="3">
        <v>1204062</v>
      </c>
      <c r="G174" s="3">
        <f t="shared" si="2"/>
        <v>34977045</v>
      </c>
    </row>
    <row r="175" spans="1:7" x14ac:dyDescent="0.2">
      <c r="A175" s="2">
        <v>2023</v>
      </c>
      <c r="B175" s="2" t="s">
        <v>200</v>
      </c>
      <c r="C175" s="2" t="s">
        <v>232</v>
      </c>
      <c r="D175" s="2" t="s">
        <v>234</v>
      </c>
      <c r="E175" s="3">
        <v>78814</v>
      </c>
      <c r="F175" s="3">
        <v>2810</v>
      </c>
      <c r="G175" s="3">
        <f t="shared" si="2"/>
        <v>81624</v>
      </c>
    </row>
    <row r="176" spans="1:7" x14ac:dyDescent="0.2">
      <c r="A176" s="2">
        <v>2023</v>
      </c>
      <c r="B176" s="2" t="s">
        <v>222</v>
      </c>
      <c r="C176" s="2" t="s">
        <v>232</v>
      </c>
      <c r="D176" s="2" t="s">
        <v>234</v>
      </c>
      <c r="E176" s="3">
        <v>28449</v>
      </c>
      <c r="F176" s="3">
        <v>1014</v>
      </c>
      <c r="G176" s="3">
        <f t="shared" si="2"/>
        <v>29463</v>
      </c>
    </row>
    <row r="177" spans="1:7" x14ac:dyDescent="0.2">
      <c r="A177" s="2">
        <v>2023</v>
      </c>
      <c r="B177" s="2" t="s">
        <v>40</v>
      </c>
      <c r="C177" s="2" t="s">
        <v>232</v>
      </c>
      <c r="D177" s="2" t="s">
        <v>234</v>
      </c>
      <c r="E177" s="3">
        <v>3910856</v>
      </c>
      <c r="F177" s="3">
        <v>139428</v>
      </c>
      <c r="G177" s="3">
        <f t="shared" si="2"/>
        <v>4050284</v>
      </c>
    </row>
    <row r="178" spans="1:7" x14ac:dyDescent="0.2">
      <c r="A178" s="2">
        <v>2023</v>
      </c>
      <c r="B178" s="2" t="s">
        <v>41</v>
      </c>
      <c r="C178" s="2" t="s">
        <v>232</v>
      </c>
      <c r="D178" s="2" t="s">
        <v>234</v>
      </c>
      <c r="E178" s="3">
        <v>4153750</v>
      </c>
      <c r="F178" s="3">
        <v>148088</v>
      </c>
      <c r="G178" s="3">
        <f t="shared" si="2"/>
        <v>4301838</v>
      </c>
    </row>
    <row r="179" spans="1:7" x14ac:dyDescent="0.2">
      <c r="A179" s="2">
        <v>2023</v>
      </c>
      <c r="B179" s="2" t="s">
        <v>109</v>
      </c>
      <c r="C179" s="2" t="s">
        <v>232</v>
      </c>
      <c r="D179" s="2" t="s">
        <v>234</v>
      </c>
      <c r="E179" s="3">
        <v>1814924</v>
      </c>
      <c r="F179" s="3">
        <v>64705</v>
      </c>
      <c r="G179" s="3">
        <f t="shared" si="2"/>
        <v>1879629</v>
      </c>
    </row>
    <row r="180" spans="1:7" x14ac:dyDescent="0.2">
      <c r="A180" s="2">
        <v>2023</v>
      </c>
      <c r="B180" s="2" t="s">
        <v>42</v>
      </c>
      <c r="C180" s="2" t="s">
        <v>232</v>
      </c>
      <c r="D180" s="2" t="s">
        <v>234</v>
      </c>
      <c r="E180" s="3">
        <v>7190039</v>
      </c>
      <c r="F180" s="3">
        <v>256337</v>
      </c>
      <c r="G180" s="3">
        <f t="shared" si="2"/>
        <v>7446376</v>
      </c>
    </row>
    <row r="181" spans="1:7" x14ac:dyDescent="0.2">
      <c r="A181" s="2">
        <v>2023</v>
      </c>
      <c r="B181" s="2" t="s">
        <v>165</v>
      </c>
      <c r="C181" s="2" t="s">
        <v>232</v>
      </c>
      <c r="D181" s="2" t="s">
        <v>234</v>
      </c>
      <c r="E181" s="3">
        <v>40194</v>
      </c>
      <c r="F181" s="3">
        <v>1433</v>
      </c>
      <c r="G181" s="3">
        <f t="shared" si="2"/>
        <v>41627</v>
      </c>
    </row>
    <row r="182" spans="1:7" x14ac:dyDescent="0.2">
      <c r="A182" s="2">
        <v>2023</v>
      </c>
      <c r="B182" s="2" t="s">
        <v>152</v>
      </c>
      <c r="C182" s="2" t="s">
        <v>232</v>
      </c>
      <c r="D182" s="2" t="s">
        <v>234</v>
      </c>
      <c r="E182" s="3">
        <v>1084107</v>
      </c>
      <c r="F182" s="3">
        <v>38650</v>
      </c>
      <c r="G182" s="3">
        <f t="shared" si="2"/>
        <v>1122757</v>
      </c>
    </row>
    <row r="183" spans="1:7" x14ac:dyDescent="0.2">
      <c r="A183" s="2">
        <v>2023</v>
      </c>
      <c r="B183" s="2" t="s">
        <v>137</v>
      </c>
      <c r="C183" s="2" t="s">
        <v>232</v>
      </c>
      <c r="D183" s="2" t="s">
        <v>234</v>
      </c>
      <c r="E183" s="3">
        <v>345318</v>
      </c>
      <c r="F183" s="3">
        <v>12311</v>
      </c>
      <c r="G183" s="3">
        <f t="shared" si="2"/>
        <v>357629</v>
      </c>
    </row>
    <row r="184" spans="1:7" x14ac:dyDescent="0.2">
      <c r="A184" s="2">
        <v>2023</v>
      </c>
      <c r="B184" s="2" t="s">
        <v>183</v>
      </c>
      <c r="C184" s="2" t="s">
        <v>232</v>
      </c>
      <c r="D184" s="2" t="s">
        <v>234</v>
      </c>
      <c r="E184" s="3">
        <v>54658</v>
      </c>
      <c r="F184" s="3">
        <v>1949</v>
      </c>
      <c r="G184" s="3">
        <f t="shared" si="2"/>
        <v>56607</v>
      </c>
    </row>
    <row r="185" spans="1:7" x14ac:dyDescent="0.2">
      <c r="A185" s="2">
        <v>2023</v>
      </c>
      <c r="B185" s="2" t="s">
        <v>105</v>
      </c>
      <c r="C185" s="2" t="s">
        <v>232</v>
      </c>
      <c r="D185" s="2" t="s">
        <v>234</v>
      </c>
      <c r="E185" s="3">
        <v>4241590</v>
      </c>
      <c r="F185" s="3">
        <v>151220</v>
      </c>
      <c r="G185" s="3">
        <f t="shared" si="2"/>
        <v>4392810</v>
      </c>
    </row>
    <row r="186" spans="1:7" x14ac:dyDescent="0.2">
      <c r="A186" s="2">
        <v>2023</v>
      </c>
      <c r="B186" s="2" t="s">
        <v>141</v>
      </c>
      <c r="C186" s="2" t="s">
        <v>232</v>
      </c>
      <c r="D186" s="2" t="s">
        <v>234</v>
      </c>
      <c r="E186" s="3">
        <v>87493</v>
      </c>
      <c r="F186" s="3">
        <v>3119</v>
      </c>
      <c r="G186" s="3">
        <f t="shared" si="2"/>
        <v>90612</v>
      </c>
    </row>
    <row r="187" spans="1:7" x14ac:dyDescent="0.2">
      <c r="A187" s="2">
        <v>2023</v>
      </c>
      <c r="B187" s="2" t="s">
        <v>72</v>
      </c>
      <c r="C187" s="2" t="s">
        <v>232</v>
      </c>
      <c r="D187" s="2" t="s">
        <v>234</v>
      </c>
      <c r="E187" s="3">
        <v>13966131</v>
      </c>
      <c r="F187" s="3">
        <v>497915</v>
      </c>
      <c r="G187" s="3">
        <f t="shared" si="2"/>
        <v>14464046</v>
      </c>
    </row>
    <row r="188" spans="1:7" x14ac:dyDescent="0.2">
      <c r="A188" s="2">
        <v>2023</v>
      </c>
      <c r="B188" s="2" t="s">
        <v>75</v>
      </c>
      <c r="C188" s="2" t="s">
        <v>232</v>
      </c>
      <c r="D188" s="2" t="s">
        <v>234</v>
      </c>
      <c r="E188" s="3">
        <v>16602124</v>
      </c>
      <c r="F188" s="3">
        <v>591893</v>
      </c>
      <c r="G188" s="3">
        <f t="shared" si="2"/>
        <v>17194017</v>
      </c>
    </row>
    <row r="189" spans="1:7" x14ac:dyDescent="0.2">
      <c r="A189" s="2">
        <v>2023</v>
      </c>
      <c r="B189" s="2" t="s">
        <v>76</v>
      </c>
      <c r="C189" s="2" t="s">
        <v>232</v>
      </c>
      <c r="D189" s="2" t="s">
        <v>234</v>
      </c>
      <c r="E189" s="3">
        <v>3119515</v>
      </c>
      <c r="F189" s="3">
        <v>111216</v>
      </c>
      <c r="G189" s="3">
        <f t="shared" si="2"/>
        <v>3230731</v>
      </c>
    </row>
    <row r="190" spans="1:7" x14ac:dyDescent="0.2">
      <c r="A190" s="2">
        <v>2023</v>
      </c>
      <c r="B190" s="2" t="s">
        <v>88</v>
      </c>
      <c r="C190" s="2" t="s">
        <v>232</v>
      </c>
      <c r="D190" s="2" t="s">
        <v>234</v>
      </c>
      <c r="E190" s="3">
        <v>2172560</v>
      </c>
      <c r="F190" s="3">
        <v>77455</v>
      </c>
      <c r="G190" s="3">
        <f t="shared" si="2"/>
        <v>2250015</v>
      </c>
    </row>
    <row r="191" spans="1:7" x14ac:dyDescent="0.2">
      <c r="A191" s="2">
        <v>2023</v>
      </c>
      <c r="B191" s="2" t="s">
        <v>142</v>
      </c>
      <c r="C191" s="2" t="s">
        <v>232</v>
      </c>
      <c r="D191" s="2" t="s">
        <v>234</v>
      </c>
      <c r="E191" s="3">
        <v>608703</v>
      </c>
      <c r="F191" s="3">
        <v>21701</v>
      </c>
      <c r="G191" s="3">
        <f t="shared" si="2"/>
        <v>630404</v>
      </c>
    </row>
    <row r="192" spans="1:7" x14ac:dyDescent="0.2">
      <c r="A192" s="2">
        <v>2023</v>
      </c>
      <c r="B192" s="2" t="s">
        <v>79</v>
      </c>
      <c r="C192" s="2" t="s">
        <v>232</v>
      </c>
      <c r="D192" s="2" t="s">
        <v>234</v>
      </c>
      <c r="E192" s="3">
        <v>2740589</v>
      </c>
      <c r="F192" s="3">
        <v>97706</v>
      </c>
      <c r="G192" s="3">
        <f t="shared" si="2"/>
        <v>2838295</v>
      </c>
    </row>
    <row r="193" spans="1:7" x14ac:dyDescent="0.2">
      <c r="A193" s="2">
        <v>2023</v>
      </c>
      <c r="B193" s="2" t="s">
        <v>95</v>
      </c>
      <c r="C193" s="2" t="s">
        <v>232</v>
      </c>
      <c r="D193" s="2" t="s">
        <v>234</v>
      </c>
      <c r="E193" s="3">
        <v>209847</v>
      </c>
      <c r="F193" s="3">
        <v>7481</v>
      </c>
      <c r="G193" s="3">
        <f t="shared" si="2"/>
        <v>217328</v>
      </c>
    </row>
    <row r="194" spans="1:7" x14ac:dyDescent="0.2">
      <c r="A194" s="2">
        <v>2023</v>
      </c>
      <c r="B194" s="2" t="s">
        <v>154</v>
      </c>
      <c r="C194" s="2" t="s">
        <v>232</v>
      </c>
      <c r="D194" s="2" t="s">
        <v>234</v>
      </c>
      <c r="E194" s="3">
        <v>45926</v>
      </c>
      <c r="F194" s="3">
        <v>1637</v>
      </c>
      <c r="G194" s="3">
        <f t="shared" ref="G194:G257" si="3">SUM(E194:F194)</f>
        <v>47563</v>
      </c>
    </row>
    <row r="195" spans="1:7" x14ac:dyDescent="0.2">
      <c r="A195" s="2">
        <v>2023</v>
      </c>
      <c r="B195" s="2" t="s">
        <v>154</v>
      </c>
      <c r="C195" s="2" t="s">
        <v>232</v>
      </c>
      <c r="D195" s="2" t="s">
        <v>234</v>
      </c>
      <c r="E195" s="3">
        <v>2362250</v>
      </c>
      <c r="F195" s="3">
        <v>84218</v>
      </c>
      <c r="G195" s="3">
        <f t="shared" si="3"/>
        <v>2446468</v>
      </c>
    </row>
    <row r="196" spans="1:7" x14ac:dyDescent="0.2">
      <c r="A196" s="2">
        <v>2023</v>
      </c>
      <c r="B196" s="2" t="s">
        <v>43</v>
      </c>
      <c r="C196" s="2" t="s">
        <v>232</v>
      </c>
      <c r="D196" s="2" t="s">
        <v>234</v>
      </c>
      <c r="E196" s="3">
        <v>10547943</v>
      </c>
      <c r="F196" s="3">
        <v>376051</v>
      </c>
      <c r="G196" s="3">
        <f t="shared" si="3"/>
        <v>10923994</v>
      </c>
    </row>
    <row r="197" spans="1:7" x14ac:dyDescent="0.2">
      <c r="A197" s="2">
        <v>2023</v>
      </c>
      <c r="B197" s="2" t="s">
        <v>44</v>
      </c>
      <c r="C197" s="2" t="s">
        <v>232</v>
      </c>
      <c r="D197" s="2" t="s">
        <v>234</v>
      </c>
      <c r="E197" s="3">
        <v>21956762</v>
      </c>
      <c r="F197" s="3">
        <v>782795</v>
      </c>
      <c r="G197" s="3">
        <f t="shared" si="3"/>
        <v>22739557</v>
      </c>
    </row>
    <row r="198" spans="1:7" x14ac:dyDescent="0.2">
      <c r="A198" s="2">
        <v>2023</v>
      </c>
      <c r="B198" s="2" t="s">
        <v>45</v>
      </c>
      <c r="C198" s="2" t="s">
        <v>232</v>
      </c>
      <c r="D198" s="2" t="s">
        <v>234</v>
      </c>
      <c r="E198" s="3">
        <v>1587200</v>
      </c>
      <c r="F198" s="3">
        <v>56586</v>
      </c>
      <c r="G198" s="3">
        <f t="shared" si="3"/>
        <v>1643786</v>
      </c>
    </row>
    <row r="199" spans="1:7" x14ac:dyDescent="0.2">
      <c r="A199" s="2">
        <v>2023</v>
      </c>
      <c r="B199" s="2" t="s">
        <v>46</v>
      </c>
      <c r="C199" s="2" t="s">
        <v>232</v>
      </c>
      <c r="D199" s="2" t="s">
        <v>234</v>
      </c>
      <c r="E199" s="3">
        <v>6588282</v>
      </c>
      <c r="F199" s="3">
        <v>234883</v>
      </c>
      <c r="G199" s="3">
        <f t="shared" si="3"/>
        <v>6823165</v>
      </c>
    </row>
    <row r="200" spans="1:7" x14ac:dyDescent="0.2">
      <c r="A200" s="2">
        <v>2023</v>
      </c>
      <c r="B200" s="2" t="s">
        <v>47</v>
      </c>
      <c r="C200" s="2" t="s">
        <v>232</v>
      </c>
      <c r="D200" s="2" t="s">
        <v>234</v>
      </c>
      <c r="E200" s="3">
        <v>8903619</v>
      </c>
      <c r="F200" s="3">
        <v>317429</v>
      </c>
      <c r="G200" s="3">
        <f t="shared" si="3"/>
        <v>9221048</v>
      </c>
    </row>
    <row r="201" spans="1:7" x14ac:dyDescent="0.2">
      <c r="A201" s="2">
        <v>2023</v>
      </c>
      <c r="B201" s="2" t="s">
        <v>48</v>
      </c>
      <c r="C201" s="2" t="s">
        <v>232</v>
      </c>
      <c r="D201" s="2" t="s">
        <v>234</v>
      </c>
      <c r="E201" s="3">
        <v>17319249</v>
      </c>
      <c r="F201" s="3">
        <v>617460</v>
      </c>
      <c r="G201" s="3">
        <f t="shared" si="3"/>
        <v>17936709</v>
      </c>
    </row>
    <row r="202" spans="1:7" x14ac:dyDescent="0.2">
      <c r="A202" s="2">
        <v>2023</v>
      </c>
      <c r="B202" s="2" t="s">
        <v>49</v>
      </c>
      <c r="C202" s="2" t="s">
        <v>232</v>
      </c>
      <c r="D202" s="2" t="s">
        <v>234</v>
      </c>
      <c r="E202" s="3">
        <v>11183468</v>
      </c>
      <c r="F202" s="3">
        <v>398709</v>
      </c>
      <c r="G202" s="3">
        <f t="shared" si="3"/>
        <v>11582177</v>
      </c>
    </row>
    <row r="203" spans="1:7" x14ac:dyDescent="0.2">
      <c r="A203" s="2">
        <v>2023</v>
      </c>
      <c r="B203" s="2" t="s">
        <v>50</v>
      </c>
      <c r="C203" s="2" t="s">
        <v>232</v>
      </c>
      <c r="D203" s="2" t="s">
        <v>234</v>
      </c>
      <c r="E203" s="3">
        <v>10744045</v>
      </c>
      <c r="F203" s="3">
        <v>383043</v>
      </c>
      <c r="G203" s="3">
        <f t="shared" si="3"/>
        <v>11127088</v>
      </c>
    </row>
    <row r="204" spans="1:7" x14ac:dyDescent="0.2">
      <c r="A204" s="2">
        <v>2023</v>
      </c>
      <c r="B204" s="2" t="s">
        <v>86</v>
      </c>
      <c r="C204" s="2" t="s">
        <v>232</v>
      </c>
      <c r="D204" s="2" t="s">
        <v>234</v>
      </c>
      <c r="E204" s="3">
        <v>48259</v>
      </c>
      <c r="F204" s="3">
        <v>1721</v>
      </c>
      <c r="G204" s="3">
        <f t="shared" si="3"/>
        <v>49980</v>
      </c>
    </row>
    <row r="205" spans="1:7" x14ac:dyDescent="0.2">
      <c r="A205" s="2">
        <v>2023</v>
      </c>
      <c r="B205" s="2" t="s">
        <v>51</v>
      </c>
      <c r="C205" s="2" t="s">
        <v>232</v>
      </c>
      <c r="D205" s="2" t="s">
        <v>234</v>
      </c>
      <c r="E205" s="3">
        <v>63522235</v>
      </c>
      <c r="F205" s="3">
        <v>2264672</v>
      </c>
      <c r="G205" s="3">
        <f t="shared" si="3"/>
        <v>65786907</v>
      </c>
    </row>
    <row r="206" spans="1:7" x14ac:dyDescent="0.2">
      <c r="A206" s="2">
        <v>2023</v>
      </c>
      <c r="B206" s="2" t="s">
        <v>223</v>
      </c>
      <c r="C206" s="2" t="s">
        <v>232</v>
      </c>
      <c r="D206" s="2" t="s">
        <v>234</v>
      </c>
      <c r="E206" s="3">
        <v>21637</v>
      </c>
      <c r="F206" s="2">
        <v>771</v>
      </c>
      <c r="G206" s="3">
        <f t="shared" si="3"/>
        <v>22408</v>
      </c>
    </row>
    <row r="207" spans="1:7" x14ac:dyDescent="0.2">
      <c r="A207" s="2">
        <v>2023</v>
      </c>
      <c r="B207" s="2" t="s">
        <v>161</v>
      </c>
      <c r="C207" s="2" t="s">
        <v>232</v>
      </c>
      <c r="D207" s="2" t="s">
        <v>234</v>
      </c>
      <c r="E207" s="3">
        <v>353810</v>
      </c>
      <c r="F207" s="3">
        <v>12614</v>
      </c>
      <c r="G207" s="3">
        <f t="shared" si="3"/>
        <v>366424</v>
      </c>
    </row>
    <row r="208" spans="1:7" x14ac:dyDescent="0.2">
      <c r="A208" s="2">
        <v>2023</v>
      </c>
      <c r="B208" s="2" t="s">
        <v>77</v>
      </c>
      <c r="C208" s="2" t="s">
        <v>232</v>
      </c>
      <c r="D208" s="2" t="s">
        <v>234</v>
      </c>
      <c r="E208" s="3">
        <v>17051</v>
      </c>
      <c r="F208" s="2">
        <v>608</v>
      </c>
      <c r="G208" s="3">
        <f t="shared" si="3"/>
        <v>17659</v>
      </c>
    </row>
    <row r="209" spans="1:7" x14ac:dyDescent="0.2">
      <c r="A209" s="2">
        <v>2023</v>
      </c>
      <c r="B209" s="2" t="s">
        <v>52</v>
      </c>
      <c r="C209" s="2" t="s">
        <v>232</v>
      </c>
      <c r="D209" s="2" t="s">
        <v>234</v>
      </c>
      <c r="E209" s="3">
        <v>28697767</v>
      </c>
      <c r="F209" s="3">
        <v>1023122</v>
      </c>
      <c r="G209" s="3">
        <f t="shared" si="3"/>
        <v>29720889</v>
      </c>
    </row>
    <row r="210" spans="1:7" x14ac:dyDescent="0.2">
      <c r="A210" s="2">
        <v>2023</v>
      </c>
      <c r="B210" s="2" t="s">
        <v>53</v>
      </c>
      <c r="C210" s="2" t="s">
        <v>232</v>
      </c>
      <c r="D210" s="2" t="s">
        <v>234</v>
      </c>
      <c r="E210" s="3">
        <v>735976</v>
      </c>
      <c r="F210" s="3">
        <v>26239</v>
      </c>
      <c r="G210" s="3">
        <f t="shared" si="3"/>
        <v>762215</v>
      </c>
    </row>
    <row r="211" spans="1:7" x14ac:dyDescent="0.2">
      <c r="A211" s="2">
        <v>2023</v>
      </c>
      <c r="B211" s="2" t="s">
        <v>54</v>
      </c>
      <c r="C211" s="2" t="s">
        <v>232</v>
      </c>
      <c r="D211" s="2" t="s">
        <v>234</v>
      </c>
      <c r="E211" s="3">
        <v>20511833</v>
      </c>
      <c r="F211" s="3">
        <v>731280</v>
      </c>
      <c r="G211" s="3">
        <f t="shared" si="3"/>
        <v>21243113</v>
      </c>
    </row>
    <row r="212" spans="1:7" x14ac:dyDescent="0.2">
      <c r="A212" s="2">
        <v>2023</v>
      </c>
      <c r="B212" s="2" t="s">
        <v>130</v>
      </c>
      <c r="C212" s="2" t="s">
        <v>232</v>
      </c>
      <c r="D212" s="2" t="s">
        <v>234</v>
      </c>
      <c r="E212" s="3">
        <v>212979</v>
      </c>
      <c r="F212" s="3">
        <v>7593</v>
      </c>
      <c r="G212" s="3">
        <f t="shared" si="3"/>
        <v>220572</v>
      </c>
    </row>
    <row r="213" spans="1:7" x14ac:dyDescent="0.2">
      <c r="A213" s="2">
        <v>2023</v>
      </c>
      <c r="B213" s="2" t="s">
        <v>216</v>
      </c>
      <c r="C213" s="2" t="s">
        <v>232</v>
      </c>
      <c r="D213" s="2" t="s">
        <v>234</v>
      </c>
      <c r="E213" s="3">
        <v>680211</v>
      </c>
      <c r="F213" s="3">
        <v>24251</v>
      </c>
      <c r="G213" s="3">
        <f t="shared" si="3"/>
        <v>704462</v>
      </c>
    </row>
    <row r="214" spans="1:7" x14ac:dyDescent="0.2">
      <c r="A214" s="2">
        <v>2023</v>
      </c>
      <c r="B214" s="2" t="s">
        <v>168</v>
      </c>
      <c r="C214" s="2" t="s">
        <v>232</v>
      </c>
      <c r="D214" s="2" t="s">
        <v>234</v>
      </c>
      <c r="E214" s="3">
        <v>27542</v>
      </c>
      <c r="F214" s="2">
        <v>982</v>
      </c>
      <c r="G214" s="3">
        <f t="shared" si="3"/>
        <v>28524</v>
      </c>
    </row>
    <row r="215" spans="1:7" x14ac:dyDescent="0.2">
      <c r="A215" s="2">
        <v>2023</v>
      </c>
      <c r="B215" s="2" t="s">
        <v>55</v>
      </c>
      <c r="C215" s="2" t="s">
        <v>232</v>
      </c>
      <c r="D215" s="2" t="s">
        <v>234</v>
      </c>
      <c r="E215" s="3">
        <v>2197916</v>
      </c>
      <c r="F215" s="3">
        <v>78359</v>
      </c>
      <c r="G215" s="3">
        <f t="shared" si="3"/>
        <v>2276275</v>
      </c>
    </row>
    <row r="216" spans="1:7" x14ac:dyDescent="0.2">
      <c r="A216" s="2">
        <v>2023</v>
      </c>
      <c r="B216" s="2" t="s">
        <v>89</v>
      </c>
      <c r="C216" s="2" t="s">
        <v>232</v>
      </c>
      <c r="D216" s="2" t="s">
        <v>234</v>
      </c>
      <c r="E216" s="3">
        <v>14971</v>
      </c>
      <c r="F216" s="2">
        <v>534</v>
      </c>
      <c r="G216" s="3">
        <f t="shared" si="3"/>
        <v>15505</v>
      </c>
    </row>
    <row r="217" spans="1:7" x14ac:dyDescent="0.2">
      <c r="A217" s="2">
        <v>2023</v>
      </c>
      <c r="B217" s="2" t="s">
        <v>73</v>
      </c>
      <c r="C217" s="2" t="s">
        <v>232</v>
      </c>
      <c r="D217" s="2" t="s">
        <v>234</v>
      </c>
      <c r="E217" s="3">
        <v>26893015</v>
      </c>
      <c r="F217" s="3">
        <v>958780</v>
      </c>
      <c r="G217" s="3">
        <f t="shared" si="3"/>
        <v>27851795</v>
      </c>
    </row>
    <row r="218" spans="1:7" x14ac:dyDescent="0.2">
      <c r="A218" s="2">
        <v>2023</v>
      </c>
      <c r="B218" s="2" t="s">
        <v>82</v>
      </c>
      <c r="C218" s="2" t="s">
        <v>232</v>
      </c>
      <c r="D218" s="2" t="s">
        <v>234</v>
      </c>
      <c r="E218" s="3">
        <v>11113813</v>
      </c>
      <c r="F218" s="3">
        <v>396226</v>
      </c>
      <c r="G218" s="3">
        <f t="shared" si="3"/>
        <v>11510039</v>
      </c>
    </row>
    <row r="219" spans="1:7" x14ac:dyDescent="0.2">
      <c r="A219" s="2">
        <v>2023</v>
      </c>
      <c r="B219" s="2" t="s">
        <v>69</v>
      </c>
      <c r="C219" s="2" t="s">
        <v>232</v>
      </c>
      <c r="D219" s="2" t="s">
        <v>234</v>
      </c>
      <c r="E219" s="3">
        <v>14372559</v>
      </c>
      <c r="F219" s="3">
        <v>512405</v>
      </c>
      <c r="G219" s="3">
        <f t="shared" si="3"/>
        <v>14884964</v>
      </c>
    </row>
    <row r="220" spans="1:7" x14ac:dyDescent="0.2">
      <c r="A220" s="2">
        <v>2023</v>
      </c>
      <c r="B220" s="2" t="s">
        <v>56</v>
      </c>
      <c r="C220" s="2" t="s">
        <v>232</v>
      </c>
      <c r="D220" s="2" t="s">
        <v>234</v>
      </c>
      <c r="E220" s="3">
        <v>11440454</v>
      </c>
      <c r="F220" s="3">
        <v>407871</v>
      </c>
      <c r="G220" s="3">
        <f t="shared" si="3"/>
        <v>11848325</v>
      </c>
    </row>
    <row r="221" spans="1:7" x14ac:dyDescent="0.2">
      <c r="A221" s="2">
        <v>2023</v>
      </c>
      <c r="B221" s="2" t="s">
        <v>57</v>
      </c>
      <c r="C221" s="2" t="s">
        <v>232</v>
      </c>
      <c r="D221" s="2" t="s">
        <v>234</v>
      </c>
      <c r="E221" s="3">
        <v>11461984</v>
      </c>
      <c r="F221" s="3">
        <v>408639</v>
      </c>
      <c r="G221" s="3">
        <f t="shared" si="3"/>
        <v>11870623</v>
      </c>
    </row>
    <row r="222" spans="1:7" x14ac:dyDescent="0.2">
      <c r="A222" s="2">
        <v>2023</v>
      </c>
      <c r="B222" s="2" t="s">
        <v>111</v>
      </c>
      <c r="C222" s="2" t="s">
        <v>232</v>
      </c>
      <c r="D222" s="2" t="s">
        <v>234</v>
      </c>
      <c r="E222" s="3">
        <v>555045</v>
      </c>
      <c r="F222" s="3">
        <v>19788</v>
      </c>
      <c r="G222" s="3">
        <f t="shared" si="3"/>
        <v>574833</v>
      </c>
    </row>
    <row r="223" spans="1:7" x14ac:dyDescent="0.2">
      <c r="A223" s="2">
        <v>2023</v>
      </c>
      <c r="B223" s="2" t="s">
        <v>100</v>
      </c>
      <c r="C223" s="2" t="s">
        <v>232</v>
      </c>
      <c r="D223" s="2" t="s">
        <v>234</v>
      </c>
      <c r="E223" s="3">
        <v>15877</v>
      </c>
      <c r="F223" s="2">
        <v>566</v>
      </c>
      <c r="G223" s="3">
        <f t="shared" si="3"/>
        <v>16443</v>
      </c>
    </row>
    <row r="224" spans="1:7" x14ac:dyDescent="0.2">
      <c r="A224" s="2">
        <v>2023</v>
      </c>
      <c r="B224" s="2" t="s">
        <v>126</v>
      </c>
      <c r="C224" s="2" t="s">
        <v>232</v>
      </c>
      <c r="D224" s="2" t="s">
        <v>234</v>
      </c>
      <c r="E224" s="3">
        <v>1689264</v>
      </c>
      <c r="F224" s="3">
        <v>60225</v>
      </c>
      <c r="G224" s="3">
        <f t="shared" si="3"/>
        <v>1749489</v>
      </c>
    </row>
    <row r="225" spans="1:7" x14ac:dyDescent="0.2">
      <c r="A225" s="2">
        <v>2023</v>
      </c>
      <c r="B225" s="2" t="s">
        <v>58</v>
      </c>
      <c r="C225" s="2" t="s">
        <v>232</v>
      </c>
      <c r="D225" s="2" t="s">
        <v>234</v>
      </c>
      <c r="E225" s="3">
        <v>6309580</v>
      </c>
      <c r="F225" s="3">
        <v>224947</v>
      </c>
      <c r="G225" s="3">
        <f t="shared" si="3"/>
        <v>6534527</v>
      </c>
    </row>
    <row r="226" spans="1:7" x14ac:dyDescent="0.2">
      <c r="A226" s="2">
        <v>2023</v>
      </c>
      <c r="B226" s="2" t="s">
        <v>106</v>
      </c>
      <c r="C226" s="2" t="s">
        <v>232</v>
      </c>
      <c r="D226" s="2" t="s">
        <v>234</v>
      </c>
      <c r="E226" s="3">
        <v>41780</v>
      </c>
      <c r="F226" s="3">
        <v>1490</v>
      </c>
      <c r="G226" s="3">
        <f t="shared" si="3"/>
        <v>43270</v>
      </c>
    </row>
    <row r="227" spans="1:7" x14ac:dyDescent="0.2">
      <c r="A227" s="2">
        <v>2023</v>
      </c>
      <c r="B227" s="2" t="s">
        <v>59</v>
      </c>
      <c r="C227" s="2" t="s">
        <v>232</v>
      </c>
      <c r="D227" s="2" t="s">
        <v>234</v>
      </c>
      <c r="E227" s="3">
        <v>7923842</v>
      </c>
      <c r="F227" s="3">
        <v>282498</v>
      </c>
      <c r="G227" s="3">
        <f t="shared" si="3"/>
        <v>8206340</v>
      </c>
    </row>
    <row r="228" spans="1:7" x14ac:dyDescent="0.2">
      <c r="A228" s="2">
        <v>2023</v>
      </c>
      <c r="B228" s="2" t="s">
        <v>60</v>
      </c>
      <c r="C228" s="2" t="s">
        <v>232</v>
      </c>
      <c r="D228" s="2" t="s">
        <v>234</v>
      </c>
      <c r="E228" s="3">
        <v>7348774</v>
      </c>
      <c r="F228" s="3">
        <v>261996</v>
      </c>
      <c r="G228" s="3">
        <f t="shared" si="3"/>
        <v>7610770</v>
      </c>
    </row>
    <row r="229" spans="1:7" x14ac:dyDescent="0.2">
      <c r="A229" s="2">
        <v>2023</v>
      </c>
      <c r="B229" s="2" t="s">
        <v>61</v>
      </c>
      <c r="C229" s="2" t="s">
        <v>232</v>
      </c>
      <c r="D229" s="2" t="s">
        <v>234</v>
      </c>
      <c r="E229" s="3">
        <v>2688038</v>
      </c>
      <c r="F229" s="3">
        <v>95833</v>
      </c>
      <c r="G229" s="3">
        <f t="shared" si="3"/>
        <v>2783871</v>
      </c>
    </row>
    <row r="230" spans="1:7" x14ac:dyDescent="0.2">
      <c r="A230" s="2">
        <v>2023</v>
      </c>
      <c r="B230" s="2" t="s">
        <v>62</v>
      </c>
      <c r="C230" s="2" t="s">
        <v>232</v>
      </c>
      <c r="D230" s="2" t="s">
        <v>234</v>
      </c>
      <c r="E230" s="3">
        <v>4767919</v>
      </c>
      <c r="F230" s="3">
        <v>169984</v>
      </c>
      <c r="G230" s="3">
        <f t="shared" si="3"/>
        <v>4937903</v>
      </c>
    </row>
    <row r="231" spans="1:7" x14ac:dyDescent="0.2">
      <c r="A231" s="2">
        <v>2023</v>
      </c>
      <c r="B231" s="2" t="s">
        <v>63</v>
      </c>
      <c r="C231" s="2" t="s">
        <v>232</v>
      </c>
      <c r="D231" s="2" t="s">
        <v>234</v>
      </c>
      <c r="E231" s="3">
        <v>2654163</v>
      </c>
      <c r="F231" s="3">
        <v>94625</v>
      </c>
      <c r="G231" s="3">
        <f t="shared" si="3"/>
        <v>2748788</v>
      </c>
    </row>
    <row r="232" spans="1:7" x14ac:dyDescent="0.2">
      <c r="A232" s="2">
        <v>2023</v>
      </c>
      <c r="B232" s="2" t="s">
        <v>117</v>
      </c>
      <c r="C232" s="2" t="s">
        <v>232</v>
      </c>
      <c r="D232" s="2" t="s">
        <v>234</v>
      </c>
      <c r="E232" s="3">
        <v>8120784</v>
      </c>
      <c r="F232" s="3">
        <v>289519</v>
      </c>
      <c r="G232" s="3">
        <f t="shared" si="3"/>
        <v>8410303</v>
      </c>
    </row>
    <row r="234" spans="1:7" x14ac:dyDescent="0.2">
      <c r="D234" s="2" t="s">
        <v>274</v>
      </c>
      <c r="E234" s="3">
        <f>SUM(E2:E232)</f>
        <v>1333120543</v>
      </c>
      <c r="F234" s="3">
        <f>SUM(F2:F232)</f>
        <v>47527936</v>
      </c>
    </row>
    <row r="236" spans="1:7" x14ac:dyDescent="0.2">
      <c r="D236" s="8" t="s">
        <v>275</v>
      </c>
      <c r="E236" s="6">
        <v>1333120541</v>
      </c>
      <c r="F236" s="6">
        <v>47527931</v>
      </c>
    </row>
    <row r="238" spans="1:7" x14ac:dyDescent="0.2">
      <c r="D238" s="8" t="s">
        <v>276</v>
      </c>
      <c r="E238" s="6">
        <f>E234-E236</f>
        <v>2</v>
      </c>
      <c r="F238" s="6">
        <f>F234-F236</f>
        <v>5</v>
      </c>
    </row>
  </sheetData>
  <autoFilter ref="A1:H1" xr:uid="{91793119-C3B1-5749-BE60-E7A19A29B0CE}">
    <sortState xmlns:xlrd2="http://schemas.microsoft.com/office/spreadsheetml/2017/richdata2" ref="A2:H232">
      <sortCondition ref="B1:B23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6AD2-B9B1-5748-B100-749ED7D207FF}">
  <sheetPr>
    <tabColor rgb="FFFFFF00"/>
  </sheetPr>
  <dimension ref="A1:H231"/>
  <sheetViews>
    <sheetView topLeftCell="A206" workbookViewId="0">
      <selection activeCell="A2" sqref="A2:G226"/>
    </sheetView>
  </sheetViews>
  <sheetFormatPr baseColWidth="10" defaultRowHeight="16" x14ac:dyDescent="0.2"/>
  <cols>
    <col min="1" max="1" width="10.83203125" style="2"/>
    <col min="2" max="2" width="58.1640625" style="2" bestFit="1" customWidth="1"/>
    <col min="3" max="4" width="16.83203125" style="2" customWidth="1"/>
    <col min="5" max="5" width="18.83203125" style="2" bestFit="1" customWidth="1"/>
    <col min="6" max="6" width="17.1640625" style="2" bestFit="1" customWidth="1"/>
    <col min="7" max="7" width="16.83203125" style="2" bestFit="1" customWidth="1"/>
    <col min="8" max="8" width="10.83203125" style="2"/>
  </cols>
  <sheetData>
    <row r="1" spans="1:7" x14ac:dyDescent="0.2">
      <c r="A1" s="2" t="s">
        <v>235</v>
      </c>
      <c r="B1" s="2" t="s">
        <v>230</v>
      </c>
      <c r="C1" s="2" t="s">
        <v>231</v>
      </c>
      <c r="D1" s="2" t="s">
        <v>233</v>
      </c>
      <c r="E1" s="2" t="s">
        <v>280</v>
      </c>
      <c r="F1" s="2" t="s">
        <v>281</v>
      </c>
      <c r="G1" s="2" t="s">
        <v>304</v>
      </c>
    </row>
    <row r="2" spans="1:7" x14ac:dyDescent="0.2">
      <c r="A2" s="2">
        <v>2022</v>
      </c>
      <c r="B2" s="4" t="s">
        <v>0</v>
      </c>
      <c r="C2" s="2" t="s">
        <v>232</v>
      </c>
      <c r="D2" s="2" t="s">
        <v>234</v>
      </c>
      <c r="E2" s="5">
        <v>11977068</v>
      </c>
      <c r="F2" s="5">
        <v>427912</v>
      </c>
      <c r="G2" s="3">
        <f>SUM(E2:F2)</f>
        <v>12404980</v>
      </c>
    </row>
    <row r="3" spans="1:7" x14ac:dyDescent="0.2">
      <c r="A3" s="2">
        <v>2022</v>
      </c>
      <c r="B3" s="4" t="s">
        <v>1</v>
      </c>
      <c r="C3" s="2" t="s">
        <v>232</v>
      </c>
      <c r="D3" s="2" t="s">
        <v>234</v>
      </c>
      <c r="E3" s="5">
        <v>5800925</v>
      </c>
      <c r="F3" s="5">
        <v>207253</v>
      </c>
      <c r="G3" s="3">
        <f t="shared" ref="G3:G66" si="0">SUM(E3:F3)</f>
        <v>6008178</v>
      </c>
    </row>
    <row r="4" spans="1:7" x14ac:dyDescent="0.2">
      <c r="A4" s="2">
        <v>2022</v>
      </c>
      <c r="B4" s="4" t="s">
        <v>2</v>
      </c>
      <c r="C4" s="2" t="s">
        <v>232</v>
      </c>
      <c r="D4" s="2" t="s">
        <v>234</v>
      </c>
      <c r="E4" s="5">
        <v>31953546</v>
      </c>
      <c r="F4" s="5">
        <v>1141624</v>
      </c>
      <c r="G4" s="3">
        <f t="shared" si="0"/>
        <v>33095170</v>
      </c>
    </row>
    <row r="5" spans="1:7" x14ac:dyDescent="0.2">
      <c r="A5" s="2">
        <v>2022</v>
      </c>
      <c r="B5" s="4" t="s">
        <v>3</v>
      </c>
      <c r="C5" s="2" t="s">
        <v>232</v>
      </c>
      <c r="D5" s="2" t="s">
        <v>234</v>
      </c>
      <c r="E5" s="5">
        <v>4268274</v>
      </c>
      <c r="F5" s="5">
        <v>152495</v>
      </c>
      <c r="G5" s="3">
        <f t="shared" si="0"/>
        <v>4420769</v>
      </c>
    </row>
    <row r="6" spans="1:7" x14ac:dyDescent="0.2">
      <c r="A6" s="2">
        <v>2022</v>
      </c>
      <c r="B6" s="4" t="s">
        <v>4</v>
      </c>
      <c r="C6" s="2" t="s">
        <v>232</v>
      </c>
      <c r="D6" s="2" t="s">
        <v>234</v>
      </c>
      <c r="E6" s="5">
        <v>5284462</v>
      </c>
      <c r="F6" s="5">
        <v>188801</v>
      </c>
      <c r="G6" s="3">
        <f t="shared" si="0"/>
        <v>5473263</v>
      </c>
    </row>
    <row r="7" spans="1:7" x14ac:dyDescent="0.2">
      <c r="A7" s="2">
        <v>2022</v>
      </c>
      <c r="B7" s="4" t="s">
        <v>5</v>
      </c>
      <c r="C7" s="2" t="s">
        <v>232</v>
      </c>
      <c r="D7" s="2" t="s">
        <v>234</v>
      </c>
      <c r="E7" s="5">
        <v>7921952</v>
      </c>
      <c r="F7" s="5">
        <v>283032</v>
      </c>
      <c r="G7" s="3">
        <f t="shared" si="0"/>
        <v>8204984</v>
      </c>
    </row>
    <row r="8" spans="1:7" x14ac:dyDescent="0.2">
      <c r="A8" s="2">
        <v>2022</v>
      </c>
      <c r="B8" s="4" t="s">
        <v>6</v>
      </c>
      <c r="C8" s="2" t="s">
        <v>232</v>
      </c>
      <c r="D8" s="2" t="s">
        <v>234</v>
      </c>
      <c r="E8" s="5">
        <v>4372208</v>
      </c>
      <c r="F8" s="5">
        <v>156209</v>
      </c>
      <c r="G8" s="3">
        <f t="shared" si="0"/>
        <v>4528417</v>
      </c>
    </row>
    <row r="9" spans="1:7" x14ac:dyDescent="0.2">
      <c r="A9" s="2">
        <v>2022</v>
      </c>
      <c r="B9" s="4" t="s">
        <v>7</v>
      </c>
      <c r="C9" s="2" t="s">
        <v>232</v>
      </c>
      <c r="D9" s="2" t="s">
        <v>234</v>
      </c>
      <c r="E9" s="5">
        <v>32496217</v>
      </c>
      <c r="F9" s="5">
        <v>1161012</v>
      </c>
      <c r="G9" s="3">
        <f t="shared" si="0"/>
        <v>33657229</v>
      </c>
    </row>
    <row r="10" spans="1:7" x14ac:dyDescent="0.2">
      <c r="A10" s="2">
        <v>2022</v>
      </c>
      <c r="B10" s="4" t="s">
        <v>8</v>
      </c>
      <c r="C10" s="2" t="s">
        <v>232</v>
      </c>
      <c r="D10" s="2" t="s">
        <v>234</v>
      </c>
      <c r="E10" s="5">
        <v>52406125</v>
      </c>
      <c r="F10" s="5">
        <v>1872346</v>
      </c>
      <c r="G10" s="3">
        <f t="shared" si="0"/>
        <v>54278471</v>
      </c>
    </row>
    <row r="11" spans="1:7" x14ac:dyDescent="0.2">
      <c r="A11" s="2">
        <v>2022</v>
      </c>
      <c r="B11" s="4" t="s">
        <v>9</v>
      </c>
      <c r="C11" s="2" t="s">
        <v>232</v>
      </c>
      <c r="D11" s="2" t="s">
        <v>234</v>
      </c>
      <c r="E11" s="5">
        <v>47477142</v>
      </c>
      <c r="F11" s="5">
        <v>1696245</v>
      </c>
      <c r="G11" s="3">
        <f t="shared" si="0"/>
        <v>49173387</v>
      </c>
    </row>
    <row r="12" spans="1:7" x14ac:dyDescent="0.2">
      <c r="A12" s="2">
        <v>2022</v>
      </c>
      <c r="B12" s="4" t="s">
        <v>10</v>
      </c>
      <c r="C12" s="2" t="s">
        <v>232</v>
      </c>
      <c r="D12" s="2" t="s">
        <v>234</v>
      </c>
      <c r="E12" s="5">
        <v>2656532</v>
      </c>
      <c r="F12" s="5">
        <v>94912</v>
      </c>
      <c r="G12" s="3">
        <f t="shared" si="0"/>
        <v>2751444</v>
      </c>
    </row>
    <row r="13" spans="1:7" x14ac:dyDescent="0.2">
      <c r="A13" s="2">
        <v>2022</v>
      </c>
      <c r="B13" s="4" t="s">
        <v>11</v>
      </c>
      <c r="C13" s="2" t="s">
        <v>232</v>
      </c>
      <c r="D13" s="2" t="s">
        <v>234</v>
      </c>
      <c r="E13" s="5">
        <v>2751653</v>
      </c>
      <c r="F13" s="5">
        <v>98310</v>
      </c>
      <c r="G13" s="3">
        <f t="shared" si="0"/>
        <v>2849963</v>
      </c>
    </row>
    <row r="14" spans="1:7" x14ac:dyDescent="0.2">
      <c r="A14" s="2">
        <v>2022</v>
      </c>
      <c r="B14" s="4" t="s">
        <v>12</v>
      </c>
      <c r="C14" s="2" t="s">
        <v>232</v>
      </c>
      <c r="D14" s="2" t="s">
        <v>234</v>
      </c>
      <c r="E14" s="5">
        <v>1344345</v>
      </c>
      <c r="F14" s="5">
        <v>48030</v>
      </c>
      <c r="G14" s="3">
        <f t="shared" si="0"/>
        <v>1392375</v>
      </c>
    </row>
    <row r="15" spans="1:7" x14ac:dyDescent="0.2">
      <c r="A15" s="2">
        <v>2022</v>
      </c>
      <c r="B15" s="4" t="s">
        <v>13</v>
      </c>
      <c r="C15" s="2" t="s">
        <v>232</v>
      </c>
      <c r="D15" s="2" t="s">
        <v>234</v>
      </c>
      <c r="E15" s="5">
        <v>2667863</v>
      </c>
      <c r="F15" s="5">
        <v>95316</v>
      </c>
      <c r="G15" s="3">
        <f t="shared" si="0"/>
        <v>2763179</v>
      </c>
    </row>
    <row r="16" spans="1:7" x14ac:dyDescent="0.2">
      <c r="A16" s="2">
        <v>2022</v>
      </c>
      <c r="B16" s="4" t="s">
        <v>14</v>
      </c>
      <c r="C16" s="2" t="s">
        <v>232</v>
      </c>
      <c r="D16" s="2" t="s">
        <v>234</v>
      </c>
      <c r="E16" s="5">
        <v>4979740</v>
      </c>
      <c r="F16" s="5">
        <v>177914</v>
      </c>
      <c r="G16" s="3">
        <f t="shared" si="0"/>
        <v>5157654</v>
      </c>
    </row>
    <row r="17" spans="1:7" x14ac:dyDescent="0.2">
      <c r="A17" s="2">
        <v>2022</v>
      </c>
      <c r="B17" s="4" t="s">
        <v>15</v>
      </c>
      <c r="C17" s="2" t="s">
        <v>232</v>
      </c>
      <c r="D17" s="2" t="s">
        <v>234</v>
      </c>
      <c r="E17" s="5">
        <v>8799794</v>
      </c>
      <c r="F17" s="5">
        <v>314396</v>
      </c>
      <c r="G17" s="3">
        <f t="shared" si="0"/>
        <v>9114190</v>
      </c>
    </row>
    <row r="18" spans="1:7" x14ac:dyDescent="0.2">
      <c r="A18" s="2">
        <v>2022</v>
      </c>
      <c r="B18" s="4" t="s">
        <v>16</v>
      </c>
      <c r="C18" s="2" t="s">
        <v>232</v>
      </c>
      <c r="D18" s="2" t="s">
        <v>234</v>
      </c>
      <c r="E18" s="5">
        <v>62909757</v>
      </c>
      <c r="F18" s="5">
        <v>2247616</v>
      </c>
      <c r="G18" s="3">
        <f t="shared" si="0"/>
        <v>65157373</v>
      </c>
    </row>
    <row r="19" spans="1:7" x14ac:dyDescent="0.2">
      <c r="A19" s="2">
        <v>2022</v>
      </c>
      <c r="B19" s="4" t="s">
        <v>17</v>
      </c>
      <c r="C19" s="2" t="s">
        <v>232</v>
      </c>
      <c r="D19" s="2" t="s">
        <v>234</v>
      </c>
      <c r="E19" s="5">
        <v>1373782</v>
      </c>
      <c r="F19" s="5">
        <v>49082</v>
      </c>
      <c r="G19" s="3">
        <f t="shared" si="0"/>
        <v>1422864</v>
      </c>
    </row>
    <row r="20" spans="1:7" x14ac:dyDescent="0.2">
      <c r="A20" s="2">
        <v>2022</v>
      </c>
      <c r="B20" s="4" t="s">
        <v>18</v>
      </c>
      <c r="C20" s="2" t="s">
        <v>232</v>
      </c>
      <c r="D20" s="2" t="s">
        <v>234</v>
      </c>
      <c r="E20" s="5">
        <v>2219832</v>
      </c>
      <c r="F20" s="5">
        <v>79309</v>
      </c>
      <c r="G20" s="3">
        <f t="shared" si="0"/>
        <v>2299141</v>
      </c>
    </row>
    <row r="21" spans="1:7" x14ac:dyDescent="0.2">
      <c r="A21" s="2">
        <v>2022</v>
      </c>
      <c r="B21" s="4" t="s">
        <v>19</v>
      </c>
      <c r="C21" s="2" t="s">
        <v>232</v>
      </c>
      <c r="D21" s="2" t="s">
        <v>234</v>
      </c>
      <c r="E21" s="5">
        <v>8002716</v>
      </c>
      <c r="F21" s="5">
        <v>285918</v>
      </c>
      <c r="G21" s="3">
        <f t="shared" si="0"/>
        <v>8288634</v>
      </c>
    </row>
    <row r="22" spans="1:7" x14ac:dyDescent="0.2">
      <c r="A22" s="2">
        <v>2022</v>
      </c>
      <c r="B22" s="4" t="s">
        <v>20</v>
      </c>
      <c r="C22" s="2" t="s">
        <v>232</v>
      </c>
      <c r="D22" s="2" t="s">
        <v>234</v>
      </c>
      <c r="E22" s="5">
        <v>4483902</v>
      </c>
      <c r="F22" s="5">
        <v>160199</v>
      </c>
      <c r="G22" s="3">
        <f t="shared" si="0"/>
        <v>4644101</v>
      </c>
    </row>
    <row r="23" spans="1:7" x14ac:dyDescent="0.2">
      <c r="A23" s="2">
        <v>2022</v>
      </c>
      <c r="B23" s="4" t="s">
        <v>21</v>
      </c>
      <c r="C23" s="2" t="s">
        <v>232</v>
      </c>
      <c r="D23" s="2" t="s">
        <v>234</v>
      </c>
      <c r="E23" s="5">
        <v>3425895</v>
      </c>
      <c r="F23" s="5">
        <v>122399</v>
      </c>
      <c r="G23" s="3">
        <f t="shared" si="0"/>
        <v>3548294</v>
      </c>
    </row>
    <row r="24" spans="1:7" x14ac:dyDescent="0.2">
      <c r="A24" s="2">
        <v>2022</v>
      </c>
      <c r="B24" s="4" t="s">
        <v>22</v>
      </c>
      <c r="C24" s="2" t="s">
        <v>232</v>
      </c>
      <c r="D24" s="2" t="s">
        <v>234</v>
      </c>
      <c r="E24" s="5">
        <v>15501313</v>
      </c>
      <c r="F24" s="5">
        <v>553825</v>
      </c>
      <c r="G24" s="3">
        <f t="shared" si="0"/>
        <v>16055138</v>
      </c>
    </row>
    <row r="25" spans="1:7" x14ac:dyDescent="0.2">
      <c r="A25" s="2">
        <v>2022</v>
      </c>
      <c r="B25" s="4" t="s">
        <v>23</v>
      </c>
      <c r="C25" s="2" t="s">
        <v>232</v>
      </c>
      <c r="D25" s="2" t="s">
        <v>234</v>
      </c>
      <c r="E25" s="5">
        <v>9550686</v>
      </c>
      <c r="F25" s="5">
        <v>341223</v>
      </c>
      <c r="G25" s="3">
        <f t="shared" si="0"/>
        <v>9891909</v>
      </c>
    </row>
    <row r="26" spans="1:7" x14ac:dyDescent="0.2">
      <c r="A26" s="2">
        <v>2022</v>
      </c>
      <c r="B26" s="4" t="s">
        <v>24</v>
      </c>
      <c r="C26" s="2" t="s">
        <v>232</v>
      </c>
      <c r="D26" s="2" t="s">
        <v>234</v>
      </c>
      <c r="E26" s="5">
        <v>3682835</v>
      </c>
      <c r="F26" s="5">
        <v>131579</v>
      </c>
      <c r="G26" s="3">
        <f t="shared" si="0"/>
        <v>3814414</v>
      </c>
    </row>
    <row r="27" spans="1:7" x14ac:dyDescent="0.2">
      <c r="A27" s="2">
        <v>2022</v>
      </c>
      <c r="B27" s="4" t="s">
        <v>25</v>
      </c>
      <c r="C27" s="2" t="s">
        <v>232</v>
      </c>
      <c r="D27" s="2" t="s">
        <v>234</v>
      </c>
      <c r="E27" s="5">
        <v>59577045</v>
      </c>
      <c r="F27" s="5">
        <v>2128546</v>
      </c>
      <c r="G27" s="3">
        <f t="shared" si="0"/>
        <v>61705591</v>
      </c>
    </row>
    <row r="28" spans="1:7" x14ac:dyDescent="0.2">
      <c r="A28" s="2">
        <v>2022</v>
      </c>
      <c r="B28" s="4" t="s">
        <v>26</v>
      </c>
      <c r="C28" s="2" t="s">
        <v>232</v>
      </c>
      <c r="D28" s="2" t="s">
        <v>234</v>
      </c>
      <c r="E28" s="5">
        <v>7859787</v>
      </c>
      <c r="F28" s="5">
        <v>280811</v>
      </c>
      <c r="G28" s="3">
        <f t="shared" si="0"/>
        <v>8140598</v>
      </c>
    </row>
    <row r="29" spans="1:7" x14ac:dyDescent="0.2">
      <c r="A29" s="2">
        <v>2022</v>
      </c>
      <c r="B29" s="4" t="s">
        <v>27</v>
      </c>
      <c r="C29" s="2" t="s">
        <v>232</v>
      </c>
      <c r="D29" s="2" t="s">
        <v>234</v>
      </c>
      <c r="E29" s="5">
        <v>40540587</v>
      </c>
      <c r="F29" s="5">
        <v>1448419</v>
      </c>
      <c r="G29" s="3">
        <f t="shared" si="0"/>
        <v>41989006</v>
      </c>
    </row>
    <row r="30" spans="1:7" x14ac:dyDescent="0.2">
      <c r="A30" s="2">
        <v>2022</v>
      </c>
      <c r="B30" s="4" t="s">
        <v>28</v>
      </c>
      <c r="C30" s="2" t="s">
        <v>232</v>
      </c>
      <c r="D30" s="2" t="s">
        <v>234</v>
      </c>
      <c r="E30" s="5">
        <v>16990055</v>
      </c>
      <c r="F30" s="5">
        <v>607014</v>
      </c>
      <c r="G30" s="3">
        <f t="shared" si="0"/>
        <v>17597069</v>
      </c>
    </row>
    <row r="31" spans="1:7" x14ac:dyDescent="0.2">
      <c r="A31" s="2">
        <v>2022</v>
      </c>
      <c r="B31" s="4" t="s">
        <v>29</v>
      </c>
      <c r="C31" s="2" t="s">
        <v>232</v>
      </c>
      <c r="D31" s="2" t="s">
        <v>234</v>
      </c>
      <c r="E31" s="5">
        <v>3628761</v>
      </c>
      <c r="F31" s="5">
        <v>129647</v>
      </c>
      <c r="G31" s="3">
        <f t="shared" si="0"/>
        <v>3758408</v>
      </c>
    </row>
    <row r="32" spans="1:7" x14ac:dyDescent="0.2">
      <c r="A32" s="2">
        <v>2022</v>
      </c>
      <c r="B32" s="4" t="s">
        <v>30</v>
      </c>
      <c r="C32" s="2" t="s">
        <v>232</v>
      </c>
      <c r="D32" s="2" t="s">
        <v>234</v>
      </c>
      <c r="E32" s="5">
        <v>9298633</v>
      </c>
      <c r="F32" s="5">
        <v>332218</v>
      </c>
      <c r="G32" s="3">
        <f t="shared" si="0"/>
        <v>9630851</v>
      </c>
    </row>
    <row r="33" spans="1:7" x14ac:dyDescent="0.2">
      <c r="A33" s="2">
        <v>2022</v>
      </c>
      <c r="B33" s="4" t="s">
        <v>31</v>
      </c>
      <c r="C33" s="2" t="s">
        <v>232</v>
      </c>
      <c r="D33" s="2" t="s">
        <v>234</v>
      </c>
      <c r="E33" s="5">
        <v>32474541</v>
      </c>
      <c r="F33" s="5">
        <v>1160238</v>
      </c>
      <c r="G33" s="3">
        <f t="shared" si="0"/>
        <v>33634779</v>
      </c>
    </row>
    <row r="34" spans="1:7" x14ac:dyDescent="0.2">
      <c r="A34" s="2">
        <v>2022</v>
      </c>
      <c r="B34" s="4" t="s">
        <v>32</v>
      </c>
      <c r="C34" s="2" t="s">
        <v>232</v>
      </c>
      <c r="D34" s="2" t="s">
        <v>234</v>
      </c>
      <c r="E34" s="5">
        <v>1929227</v>
      </c>
      <c r="F34" s="5">
        <v>68927</v>
      </c>
      <c r="G34" s="3">
        <f t="shared" si="0"/>
        <v>1998154</v>
      </c>
    </row>
    <row r="35" spans="1:7" x14ac:dyDescent="0.2">
      <c r="A35" s="2">
        <v>2022</v>
      </c>
      <c r="B35" s="4" t="s">
        <v>33</v>
      </c>
      <c r="C35" s="2" t="s">
        <v>232</v>
      </c>
      <c r="D35" s="2" t="s">
        <v>234</v>
      </c>
      <c r="E35" s="5">
        <v>3754205</v>
      </c>
      <c r="F35" s="5">
        <v>134129</v>
      </c>
      <c r="G35" s="3">
        <f t="shared" si="0"/>
        <v>3888334</v>
      </c>
    </row>
    <row r="36" spans="1:7" x14ac:dyDescent="0.2">
      <c r="A36" s="2">
        <v>2022</v>
      </c>
      <c r="B36" s="4" t="s">
        <v>34</v>
      </c>
      <c r="C36" s="2" t="s">
        <v>232</v>
      </c>
      <c r="D36" s="2" t="s">
        <v>234</v>
      </c>
      <c r="E36" s="5">
        <v>8629809</v>
      </c>
      <c r="F36" s="5">
        <v>308323</v>
      </c>
      <c r="G36" s="3">
        <f t="shared" si="0"/>
        <v>8938132</v>
      </c>
    </row>
    <row r="37" spans="1:7" x14ac:dyDescent="0.2">
      <c r="A37" s="2">
        <v>2022</v>
      </c>
      <c r="B37" s="4" t="s">
        <v>35</v>
      </c>
      <c r="C37" s="2" t="s">
        <v>232</v>
      </c>
      <c r="D37" s="2" t="s">
        <v>234</v>
      </c>
      <c r="E37" s="5">
        <v>3687786</v>
      </c>
      <c r="F37" s="5">
        <v>131756</v>
      </c>
      <c r="G37" s="3">
        <f t="shared" si="0"/>
        <v>3819542</v>
      </c>
    </row>
    <row r="38" spans="1:7" x14ac:dyDescent="0.2">
      <c r="A38" s="2">
        <v>2022</v>
      </c>
      <c r="B38" s="4" t="s">
        <v>36</v>
      </c>
      <c r="C38" s="2" t="s">
        <v>232</v>
      </c>
      <c r="D38" s="2" t="s">
        <v>234</v>
      </c>
      <c r="E38" s="5">
        <v>24877620</v>
      </c>
      <c r="F38" s="5">
        <v>888818</v>
      </c>
      <c r="G38" s="3">
        <f t="shared" si="0"/>
        <v>25766438</v>
      </c>
    </row>
    <row r="39" spans="1:7" x14ac:dyDescent="0.2">
      <c r="A39" s="2">
        <v>2022</v>
      </c>
      <c r="B39" s="4" t="s">
        <v>37</v>
      </c>
      <c r="C39" s="2" t="s">
        <v>232</v>
      </c>
      <c r="D39" s="2" t="s">
        <v>234</v>
      </c>
      <c r="E39" s="5">
        <v>7442573</v>
      </c>
      <c r="F39" s="5">
        <v>265905</v>
      </c>
      <c r="G39" s="3">
        <f t="shared" si="0"/>
        <v>7708478</v>
      </c>
    </row>
    <row r="40" spans="1:7" x14ac:dyDescent="0.2">
      <c r="A40" s="2">
        <v>2022</v>
      </c>
      <c r="B40" s="4" t="s">
        <v>38</v>
      </c>
      <c r="C40" s="2" t="s">
        <v>232</v>
      </c>
      <c r="D40" s="2" t="s">
        <v>234</v>
      </c>
      <c r="E40" s="5">
        <v>3618113</v>
      </c>
      <c r="F40" s="5">
        <v>129267</v>
      </c>
      <c r="G40" s="3">
        <f t="shared" si="0"/>
        <v>3747380</v>
      </c>
    </row>
    <row r="41" spans="1:7" x14ac:dyDescent="0.2">
      <c r="A41" s="2">
        <v>2022</v>
      </c>
      <c r="B41" s="4" t="s">
        <v>39</v>
      </c>
      <c r="C41" s="2" t="s">
        <v>232</v>
      </c>
      <c r="D41" s="2" t="s">
        <v>234</v>
      </c>
      <c r="E41" s="5">
        <v>33759165</v>
      </c>
      <c r="F41" s="5">
        <v>1206135</v>
      </c>
      <c r="G41" s="3">
        <f t="shared" si="0"/>
        <v>34965300</v>
      </c>
    </row>
    <row r="42" spans="1:7" x14ac:dyDescent="0.2">
      <c r="A42" s="2">
        <v>2022</v>
      </c>
      <c r="B42" s="4" t="s">
        <v>40</v>
      </c>
      <c r="C42" s="2" t="s">
        <v>232</v>
      </c>
      <c r="D42" s="2" t="s">
        <v>234</v>
      </c>
      <c r="E42" s="5">
        <v>3162245</v>
      </c>
      <c r="F42" s="5">
        <v>112979</v>
      </c>
      <c r="G42" s="3">
        <f t="shared" si="0"/>
        <v>3275224</v>
      </c>
    </row>
    <row r="43" spans="1:7" x14ac:dyDescent="0.2">
      <c r="A43" s="2">
        <v>2022</v>
      </c>
      <c r="B43" s="4" t="s">
        <v>41</v>
      </c>
      <c r="C43" s="2" t="s">
        <v>232</v>
      </c>
      <c r="D43" s="2" t="s">
        <v>234</v>
      </c>
      <c r="E43" s="5">
        <v>3912934</v>
      </c>
      <c r="F43" s="5">
        <v>139800</v>
      </c>
      <c r="G43" s="3">
        <f t="shared" si="0"/>
        <v>4052734</v>
      </c>
    </row>
    <row r="44" spans="1:7" x14ac:dyDescent="0.2">
      <c r="A44" s="2">
        <v>2022</v>
      </c>
      <c r="B44" s="4" t="s">
        <v>42</v>
      </c>
      <c r="C44" s="2" t="s">
        <v>232</v>
      </c>
      <c r="D44" s="2" t="s">
        <v>234</v>
      </c>
      <c r="E44" s="5">
        <v>6231711</v>
      </c>
      <c r="F44" s="5">
        <v>222644</v>
      </c>
      <c r="G44" s="3">
        <f t="shared" si="0"/>
        <v>6454355</v>
      </c>
    </row>
    <row r="45" spans="1:7" x14ac:dyDescent="0.2">
      <c r="A45" s="2">
        <v>2022</v>
      </c>
      <c r="B45" s="4" t="s">
        <v>43</v>
      </c>
      <c r="C45" s="2" t="s">
        <v>232</v>
      </c>
      <c r="D45" s="2" t="s">
        <v>234</v>
      </c>
      <c r="E45" s="5">
        <v>10332001</v>
      </c>
      <c r="F45" s="5">
        <v>369138</v>
      </c>
      <c r="G45" s="3">
        <f t="shared" si="0"/>
        <v>10701139</v>
      </c>
    </row>
    <row r="46" spans="1:7" x14ac:dyDescent="0.2">
      <c r="A46" s="2">
        <v>2022</v>
      </c>
      <c r="B46" s="4" t="s">
        <v>44</v>
      </c>
      <c r="C46" s="2" t="s">
        <v>232</v>
      </c>
      <c r="D46" s="2" t="s">
        <v>234</v>
      </c>
      <c r="E46" s="5">
        <v>19431314</v>
      </c>
      <c r="F46" s="5">
        <v>694235</v>
      </c>
      <c r="G46" s="3">
        <f t="shared" si="0"/>
        <v>20125549</v>
      </c>
    </row>
    <row r="47" spans="1:7" x14ac:dyDescent="0.2">
      <c r="A47" s="2">
        <v>2022</v>
      </c>
      <c r="B47" s="4" t="s">
        <v>45</v>
      </c>
      <c r="C47" s="2" t="s">
        <v>232</v>
      </c>
      <c r="D47" s="2" t="s">
        <v>234</v>
      </c>
      <c r="E47" s="5">
        <v>1548363</v>
      </c>
      <c r="F47" s="5">
        <v>55319</v>
      </c>
      <c r="G47" s="3">
        <f t="shared" si="0"/>
        <v>1603682</v>
      </c>
    </row>
    <row r="48" spans="1:7" x14ac:dyDescent="0.2">
      <c r="A48" s="2">
        <v>2022</v>
      </c>
      <c r="B48" s="4" t="s">
        <v>46</v>
      </c>
      <c r="C48" s="2" t="s">
        <v>232</v>
      </c>
      <c r="D48" s="2" t="s">
        <v>234</v>
      </c>
      <c r="E48" s="5">
        <v>6564237</v>
      </c>
      <c r="F48" s="5">
        <v>234525</v>
      </c>
      <c r="G48" s="3">
        <f t="shared" si="0"/>
        <v>6798762</v>
      </c>
    </row>
    <row r="49" spans="1:7" x14ac:dyDescent="0.2">
      <c r="A49" s="2">
        <v>2022</v>
      </c>
      <c r="B49" s="4" t="s">
        <v>47</v>
      </c>
      <c r="C49" s="2" t="s">
        <v>232</v>
      </c>
      <c r="D49" s="2" t="s">
        <v>234</v>
      </c>
      <c r="E49" s="5">
        <v>8266075</v>
      </c>
      <c r="F49" s="5">
        <v>295327</v>
      </c>
      <c r="G49" s="3">
        <f t="shared" si="0"/>
        <v>8561402</v>
      </c>
    </row>
    <row r="50" spans="1:7" x14ac:dyDescent="0.2">
      <c r="A50" s="2">
        <v>2022</v>
      </c>
      <c r="B50" s="4" t="s">
        <v>48</v>
      </c>
      <c r="C50" s="2" t="s">
        <v>232</v>
      </c>
      <c r="D50" s="2" t="s">
        <v>234</v>
      </c>
      <c r="E50" s="5">
        <v>16681788</v>
      </c>
      <c r="F50" s="5">
        <v>596001</v>
      </c>
      <c r="G50" s="3">
        <f t="shared" si="0"/>
        <v>17277789</v>
      </c>
    </row>
    <row r="51" spans="1:7" x14ac:dyDescent="0.2">
      <c r="A51" s="2">
        <v>2022</v>
      </c>
      <c r="B51" s="4" t="s">
        <v>49</v>
      </c>
      <c r="C51" s="2" t="s">
        <v>232</v>
      </c>
      <c r="D51" s="2" t="s">
        <v>234</v>
      </c>
      <c r="E51" s="5">
        <v>9997615</v>
      </c>
      <c r="F51" s="5">
        <v>357191</v>
      </c>
      <c r="G51" s="3">
        <f t="shared" si="0"/>
        <v>10354806</v>
      </c>
    </row>
    <row r="52" spans="1:7" x14ac:dyDescent="0.2">
      <c r="A52" s="2">
        <v>2022</v>
      </c>
      <c r="B52" s="4" t="s">
        <v>50</v>
      </c>
      <c r="C52" s="2" t="s">
        <v>232</v>
      </c>
      <c r="D52" s="2" t="s">
        <v>234</v>
      </c>
      <c r="E52" s="5">
        <v>10058552</v>
      </c>
      <c r="F52" s="5">
        <v>359368</v>
      </c>
      <c r="G52" s="3">
        <f t="shared" si="0"/>
        <v>10417920</v>
      </c>
    </row>
    <row r="53" spans="1:7" x14ac:dyDescent="0.2">
      <c r="A53" s="2">
        <v>2022</v>
      </c>
      <c r="B53" s="4" t="s">
        <v>51</v>
      </c>
      <c r="C53" s="2" t="s">
        <v>232</v>
      </c>
      <c r="D53" s="2" t="s">
        <v>234</v>
      </c>
      <c r="E53" s="5">
        <v>59353543</v>
      </c>
      <c r="F53" s="5">
        <v>2120561</v>
      </c>
      <c r="G53" s="3">
        <f t="shared" si="0"/>
        <v>61474104</v>
      </c>
    </row>
    <row r="54" spans="1:7" x14ac:dyDescent="0.2">
      <c r="A54" s="2">
        <v>2022</v>
      </c>
      <c r="B54" s="4" t="s">
        <v>52</v>
      </c>
      <c r="C54" s="2" t="s">
        <v>232</v>
      </c>
      <c r="D54" s="2" t="s">
        <v>234</v>
      </c>
      <c r="E54" s="5">
        <v>27048936</v>
      </c>
      <c r="F54" s="5">
        <v>966394</v>
      </c>
      <c r="G54" s="3">
        <f t="shared" si="0"/>
        <v>28015330</v>
      </c>
    </row>
    <row r="55" spans="1:7" x14ac:dyDescent="0.2">
      <c r="A55" s="2">
        <v>2022</v>
      </c>
      <c r="B55" s="4" t="s">
        <v>53</v>
      </c>
      <c r="C55" s="2" t="s">
        <v>232</v>
      </c>
      <c r="D55" s="2" t="s">
        <v>234</v>
      </c>
      <c r="E55" s="5">
        <v>715239</v>
      </c>
      <c r="F55" s="5">
        <v>25554</v>
      </c>
      <c r="G55" s="3">
        <f t="shared" si="0"/>
        <v>740793</v>
      </c>
    </row>
    <row r="56" spans="1:7" x14ac:dyDescent="0.2">
      <c r="A56" s="2">
        <v>2022</v>
      </c>
      <c r="B56" s="4" t="s">
        <v>54</v>
      </c>
      <c r="C56" s="2" t="s">
        <v>232</v>
      </c>
      <c r="D56" s="2" t="s">
        <v>234</v>
      </c>
      <c r="E56" s="5">
        <v>20287063</v>
      </c>
      <c r="F56" s="5">
        <v>724808</v>
      </c>
      <c r="G56" s="3">
        <f t="shared" si="0"/>
        <v>21011871</v>
      </c>
    </row>
    <row r="57" spans="1:7" x14ac:dyDescent="0.2">
      <c r="A57" s="2">
        <v>2022</v>
      </c>
      <c r="B57" s="4" t="s">
        <v>55</v>
      </c>
      <c r="C57" s="2" t="s">
        <v>232</v>
      </c>
      <c r="D57" s="2" t="s">
        <v>234</v>
      </c>
      <c r="E57" s="5">
        <v>2043985</v>
      </c>
      <c r="F57" s="5">
        <v>73027</v>
      </c>
      <c r="G57" s="3">
        <f t="shared" si="0"/>
        <v>2117012</v>
      </c>
    </row>
    <row r="58" spans="1:7" x14ac:dyDescent="0.2">
      <c r="A58" s="2">
        <v>2022</v>
      </c>
      <c r="B58" s="4" t="s">
        <v>56</v>
      </c>
      <c r="C58" s="2" t="s">
        <v>232</v>
      </c>
      <c r="D58" s="2" t="s">
        <v>234</v>
      </c>
      <c r="E58" s="5">
        <v>11648518</v>
      </c>
      <c r="F58" s="5">
        <v>416174</v>
      </c>
      <c r="G58" s="3">
        <f t="shared" si="0"/>
        <v>12064692</v>
      </c>
    </row>
    <row r="59" spans="1:7" x14ac:dyDescent="0.2">
      <c r="A59" s="2">
        <v>2022</v>
      </c>
      <c r="B59" s="4" t="s">
        <v>57</v>
      </c>
      <c r="C59" s="2" t="s">
        <v>232</v>
      </c>
      <c r="D59" s="2" t="s">
        <v>234</v>
      </c>
      <c r="E59" s="5">
        <v>11460225</v>
      </c>
      <c r="F59" s="5">
        <v>409447</v>
      </c>
      <c r="G59" s="3">
        <f t="shared" si="0"/>
        <v>11869672</v>
      </c>
    </row>
    <row r="60" spans="1:7" x14ac:dyDescent="0.2">
      <c r="A60" s="2">
        <v>2022</v>
      </c>
      <c r="B60" s="4" t="s">
        <v>58</v>
      </c>
      <c r="C60" s="2" t="s">
        <v>232</v>
      </c>
      <c r="D60" s="2" t="s">
        <v>234</v>
      </c>
      <c r="E60" s="5">
        <v>7000126</v>
      </c>
      <c r="F60" s="5">
        <v>250098</v>
      </c>
      <c r="G60" s="3">
        <f t="shared" si="0"/>
        <v>7250224</v>
      </c>
    </row>
    <row r="61" spans="1:7" x14ac:dyDescent="0.2">
      <c r="A61" s="2">
        <v>2022</v>
      </c>
      <c r="B61" s="4" t="s">
        <v>59</v>
      </c>
      <c r="C61" s="2" t="s">
        <v>232</v>
      </c>
      <c r="D61" s="2" t="s">
        <v>234</v>
      </c>
      <c r="E61" s="5">
        <v>7573689</v>
      </c>
      <c r="F61" s="5">
        <v>270590</v>
      </c>
      <c r="G61" s="3">
        <f t="shared" si="0"/>
        <v>7844279</v>
      </c>
    </row>
    <row r="62" spans="1:7" x14ac:dyDescent="0.2">
      <c r="A62" s="2">
        <v>2022</v>
      </c>
      <c r="B62" s="4" t="s">
        <v>60</v>
      </c>
      <c r="C62" s="2" t="s">
        <v>232</v>
      </c>
      <c r="D62" s="2" t="s">
        <v>234</v>
      </c>
      <c r="E62" s="5">
        <v>7157690</v>
      </c>
      <c r="F62" s="5">
        <v>255727</v>
      </c>
      <c r="G62" s="3">
        <f t="shared" si="0"/>
        <v>7413417</v>
      </c>
    </row>
    <row r="63" spans="1:7" x14ac:dyDescent="0.2">
      <c r="A63" s="2">
        <v>2022</v>
      </c>
      <c r="B63" s="4" t="s">
        <v>61</v>
      </c>
      <c r="C63" s="2" t="s">
        <v>232</v>
      </c>
      <c r="D63" s="2" t="s">
        <v>234</v>
      </c>
      <c r="E63" s="5">
        <v>2371434</v>
      </c>
      <c r="F63" s="5">
        <v>84726</v>
      </c>
      <c r="G63" s="3">
        <f t="shared" si="0"/>
        <v>2456160</v>
      </c>
    </row>
    <row r="64" spans="1:7" x14ac:dyDescent="0.2">
      <c r="A64" s="2">
        <v>2022</v>
      </c>
      <c r="B64" s="4" t="s">
        <v>62</v>
      </c>
      <c r="C64" s="2" t="s">
        <v>232</v>
      </c>
      <c r="D64" s="2" t="s">
        <v>234</v>
      </c>
      <c r="E64" s="5">
        <v>4376639</v>
      </c>
      <c r="F64" s="5">
        <v>156367</v>
      </c>
      <c r="G64" s="3">
        <f t="shared" si="0"/>
        <v>4533006</v>
      </c>
    </row>
    <row r="65" spans="1:7" x14ac:dyDescent="0.2">
      <c r="A65" s="2">
        <v>2022</v>
      </c>
      <c r="B65" s="4" t="s">
        <v>63</v>
      </c>
      <c r="C65" s="2" t="s">
        <v>232</v>
      </c>
      <c r="D65" s="2" t="s">
        <v>234</v>
      </c>
      <c r="E65" s="5">
        <v>2785989</v>
      </c>
      <c r="F65" s="5">
        <v>99537</v>
      </c>
      <c r="G65" s="3">
        <f t="shared" si="0"/>
        <v>2885526</v>
      </c>
    </row>
    <row r="66" spans="1:7" x14ac:dyDescent="0.2">
      <c r="A66" s="2">
        <v>2022</v>
      </c>
      <c r="B66" s="4" t="s">
        <v>64</v>
      </c>
      <c r="C66" s="2" t="s">
        <v>232</v>
      </c>
      <c r="D66" s="2" t="s">
        <v>234</v>
      </c>
      <c r="E66" s="5">
        <v>3122452</v>
      </c>
      <c r="F66" s="5">
        <v>111558</v>
      </c>
      <c r="G66" s="3">
        <f t="shared" si="0"/>
        <v>3234010</v>
      </c>
    </row>
    <row r="67" spans="1:7" x14ac:dyDescent="0.2">
      <c r="A67" s="2">
        <v>2022</v>
      </c>
      <c r="B67" s="4" t="s">
        <v>65</v>
      </c>
      <c r="C67" s="2" t="s">
        <v>232</v>
      </c>
      <c r="D67" s="2" t="s">
        <v>234</v>
      </c>
      <c r="E67" s="5">
        <v>13942720</v>
      </c>
      <c r="F67" s="5">
        <v>498140</v>
      </c>
      <c r="G67" s="3">
        <f t="shared" ref="G67:G130" si="1">SUM(E67:F67)</f>
        <v>14440860</v>
      </c>
    </row>
    <row r="68" spans="1:7" x14ac:dyDescent="0.2">
      <c r="A68" s="2">
        <v>2022</v>
      </c>
      <c r="B68" s="4" t="s">
        <v>66</v>
      </c>
      <c r="C68" s="2" t="s">
        <v>232</v>
      </c>
      <c r="D68" s="2" t="s">
        <v>234</v>
      </c>
      <c r="E68" s="5">
        <v>11893025</v>
      </c>
      <c r="F68" s="5">
        <v>424909</v>
      </c>
      <c r="G68" s="3">
        <f t="shared" si="1"/>
        <v>12317934</v>
      </c>
    </row>
    <row r="69" spans="1:7" x14ac:dyDescent="0.2">
      <c r="A69" s="2">
        <v>2022</v>
      </c>
      <c r="B69" s="4" t="s">
        <v>67</v>
      </c>
      <c r="C69" s="2" t="s">
        <v>232</v>
      </c>
      <c r="D69" s="2" t="s">
        <v>234</v>
      </c>
      <c r="E69" s="5">
        <v>8844310</v>
      </c>
      <c r="F69" s="5">
        <v>315986</v>
      </c>
      <c r="G69" s="3">
        <f t="shared" si="1"/>
        <v>9160296</v>
      </c>
    </row>
    <row r="70" spans="1:7" x14ac:dyDescent="0.2">
      <c r="A70" s="2">
        <v>2022</v>
      </c>
      <c r="B70" s="4" t="s">
        <v>68</v>
      </c>
      <c r="C70" s="2" t="s">
        <v>232</v>
      </c>
      <c r="D70" s="2" t="s">
        <v>234</v>
      </c>
      <c r="E70" s="5">
        <v>100821742</v>
      </c>
      <c r="F70" s="5">
        <v>3602120</v>
      </c>
      <c r="G70" s="3">
        <f t="shared" si="1"/>
        <v>104423862</v>
      </c>
    </row>
    <row r="71" spans="1:7" x14ac:dyDescent="0.2">
      <c r="A71" s="2">
        <v>2022</v>
      </c>
      <c r="B71" s="4" t="s">
        <v>69</v>
      </c>
      <c r="C71" s="2" t="s">
        <v>232</v>
      </c>
      <c r="D71" s="2" t="s">
        <v>234</v>
      </c>
      <c r="E71" s="5">
        <v>13751933</v>
      </c>
      <c r="F71" s="5">
        <v>491324</v>
      </c>
      <c r="G71" s="3">
        <f t="shared" si="1"/>
        <v>14243257</v>
      </c>
    </row>
    <row r="72" spans="1:7" x14ac:dyDescent="0.2">
      <c r="A72" s="2">
        <v>2022</v>
      </c>
      <c r="B72" s="4" t="s">
        <v>70</v>
      </c>
      <c r="C72" s="2" t="s">
        <v>232</v>
      </c>
      <c r="D72" s="2" t="s">
        <v>234</v>
      </c>
      <c r="E72" s="5">
        <v>32751498</v>
      </c>
      <c r="F72" s="5">
        <v>1170133</v>
      </c>
      <c r="G72" s="3">
        <f t="shared" si="1"/>
        <v>33921631</v>
      </c>
    </row>
    <row r="73" spans="1:7" x14ac:dyDescent="0.2">
      <c r="A73" s="2">
        <v>2022</v>
      </c>
      <c r="B73" s="4" t="s">
        <v>71</v>
      </c>
      <c r="C73" s="2" t="s">
        <v>232</v>
      </c>
      <c r="D73" s="2" t="s">
        <v>234</v>
      </c>
      <c r="E73" s="5">
        <v>7265915</v>
      </c>
      <c r="F73" s="5">
        <v>259594</v>
      </c>
      <c r="G73" s="3">
        <f t="shared" si="1"/>
        <v>7525509</v>
      </c>
    </row>
    <row r="74" spans="1:7" x14ac:dyDescent="0.2">
      <c r="A74" s="2">
        <v>2022</v>
      </c>
      <c r="B74" s="4" t="s">
        <v>72</v>
      </c>
      <c r="C74" s="2" t="s">
        <v>232</v>
      </c>
      <c r="D74" s="2" t="s">
        <v>234</v>
      </c>
      <c r="E74" s="5">
        <v>13279505</v>
      </c>
      <c r="F74" s="5">
        <v>474445</v>
      </c>
      <c r="G74" s="3">
        <f t="shared" si="1"/>
        <v>13753950</v>
      </c>
    </row>
    <row r="75" spans="1:7" x14ac:dyDescent="0.2">
      <c r="A75" s="2">
        <v>2022</v>
      </c>
      <c r="B75" s="4" t="s">
        <v>73</v>
      </c>
      <c r="C75" s="2" t="s">
        <v>232</v>
      </c>
      <c r="D75" s="2" t="s">
        <v>234</v>
      </c>
      <c r="E75" s="5">
        <v>25716023</v>
      </c>
      <c r="F75" s="5">
        <v>918772</v>
      </c>
      <c r="G75" s="3">
        <f t="shared" si="1"/>
        <v>26634795</v>
      </c>
    </row>
    <row r="76" spans="1:7" x14ac:dyDescent="0.2">
      <c r="A76" s="2">
        <v>2022</v>
      </c>
      <c r="B76" s="4" t="s">
        <v>74</v>
      </c>
      <c r="C76" s="2" t="s">
        <v>232</v>
      </c>
      <c r="D76" s="2" t="s">
        <v>234</v>
      </c>
      <c r="E76" s="5">
        <v>5627800</v>
      </c>
      <c r="F76" s="5">
        <v>201068</v>
      </c>
      <c r="G76" s="3">
        <f t="shared" si="1"/>
        <v>5828868</v>
      </c>
    </row>
    <row r="77" spans="1:7" x14ac:dyDescent="0.2">
      <c r="A77" s="2">
        <v>2022</v>
      </c>
      <c r="B77" s="4" t="s">
        <v>75</v>
      </c>
      <c r="C77" s="2" t="s">
        <v>232</v>
      </c>
      <c r="D77" s="2" t="s">
        <v>234</v>
      </c>
      <c r="E77" s="5">
        <v>15240093</v>
      </c>
      <c r="F77" s="5">
        <v>544492</v>
      </c>
      <c r="G77" s="3">
        <f t="shared" si="1"/>
        <v>15784585</v>
      </c>
    </row>
    <row r="78" spans="1:7" x14ac:dyDescent="0.2">
      <c r="A78" s="2">
        <v>2022</v>
      </c>
      <c r="B78" s="4" t="s">
        <v>76</v>
      </c>
      <c r="C78" s="2" t="s">
        <v>232</v>
      </c>
      <c r="D78" s="2" t="s">
        <v>234</v>
      </c>
      <c r="E78" s="5">
        <v>2757591</v>
      </c>
      <c r="F78" s="5">
        <v>98522</v>
      </c>
      <c r="G78" s="3">
        <f t="shared" si="1"/>
        <v>2856113</v>
      </c>
    </row>
    <row r="79" spans="1:7" x14ac:dyDescent="0.2">
      <c r="A79" s="2">
        <v>2022</v>
      </c>
      <c r="B79" s="4" t="s">
        <v>78</v>
      </c>
      <c r="C79" s="2" t="s">
        <v>232</v>
      </c>
      <c r="D79" s="2" t="s">
        <v>234</v>
      </c>
      <c r="E79" s="5">
        <v>8381580</v>
      </c>
      <c r="F79" s="5">
        <v>299454</v>
      </c>
      <c r="G79" s="3">
        <f t="shared" si="1"/>
        <v>8681034</v>
      </c>
    </row>
    <row r="80" spans="1:7" x14ac:dyDescent="0.2">
      <c r="A80" s="2">
        <v>2022</v>
      </c>
      <c r="B80" s="4" t="s">
        <v>79</v>
      </c>
      <c r="C80" s="2" t="s">
        <v>232</v>
      </c>
      <c r="D80" s="2" t="s">
        <v>234</v>
      </c>
      <c r="E80" s="5">
        <v>2430383</v>
      </c>
      <c r="F80" s="5">
        <v>86832</v>
      </c>
      <c r="G80" s="3">
        <f t="shared" si="1"/>
        <v>2517215</v>
      </c>
    </row>
    <row r="81" spans="1:7" x14ac:dyDescent="0.2">
      <c r="A81" s="2">
        <v>2022</v>
      </c>
      <c r="B81" s="4" t="s">
        <v>80</v>
      </c>
      <c r="C81" s="2" t="s">
        <v>232</v>
      </c>
      <c r="D81" s="2" t="s">
        <v>234</v>
      </c>
      <c r="E81" s="5">
        <v>267892</v>
      </c>
      <c r="F81" s="5">
        <v>9571</v>
      </c>
      <c r="G81" s="3">
        <f t="shared" si="1"/>
        <v>277463</v>
      </c>
    </row>
    <row r="82" spans="1:7" x14ac:dyDescent="0.2">
      <c r="A82" s="2">
        <v>2022</v>
      </c>
      <c r="B82" s="4" t="s">
        <v>81</v>
      </c>
      <c r="C82" s="2" t="s">
        <v>232</v>
      </c>
      <c r="D82" s="2" t="s">
        <v>234</v>
      </c>
      <c r="E82" s="5">
        <v>6333315</v>
      </c>
      <c r="F82" s="5">
        <v>226274</v>
      </c>
      <c r="G82" s="3">
        <f t="shared" si="1"/>
        <v>6559589</v>
      </c>
    </row>
    <row r="83" spans="1:7" x14ac:dyDescent="0.2">
      <c r="A83" s="2">
        <v>2022</v>
      </c>
      <c r="B83" s="4" t="s">
        <v>82</v>
      </c>
      <c r="C83" s="2" t="s">
        <v>232</v>
      </c>
      <c r="D83" s="2" t="s">
        <v>234</v>
      </c>
      <c r="E83" s="5">
        <v>10983568</v>
      </c>
      <c r="F83" s="5">
        <v>392417</v>
      </c>
      <c r="G83" s="3">
        <f t="shared" si="1"/>
        <v>11375985</v>
      </c>
    </row>
    <row r="84" spans="1:7" x14ac:dyDescent="0.2">
      <c r="A84" s="2">
        <v>2022</v>
      </c>
      <c r="B84" s="4" t="s">
        <v>83</v>
      </c>
      <c r="C84" s="2" t="s">
        <v>232</v>
      </c>
      <c r="D84" s="2" t="s">
        <v>234</v>
      </c>
      <c r="E84" s="5">
        <v>1574039</v>
      </c>
      <c r="F84" s="5">
        <v>56237</v>
      </c>
      <c r="G84" s="3">
        <f t="shared" si="1"/>
        <v>1630276</v>
      </c>
    </row>
    <row r="85" spans="1:7" x14ac:dyDescent="0.2">
      <c r="A85" s="2">
        <v>2022</v>
      </c>
      <c r="B85" s="4" t="s">
        <v>84</v>
      </c>
      <c r="C85" s="2" t="s">
        <v>232</v>
      </c>
      <c r="D85" s="2" t="s">
        <v>234</v>
      </c>
      <c r="E85" s="5">
        <v>19232</v>
      </c>
      <c r="F85" s="4">
        <v>687</v>
      </c>
      <c r="G85" s="3">
        <f t="shared" si="1"/>
        <v>19919</v>
      </c>
    </row>
    <row r="86" spans="1:7" x14ac:dyDescent="0.2">
      <c r="A86" s="2">
        <v>2022</v>
      </c>
      <c r="B86" s="4" t="s">
        <v>85</v>
      </c>
      <c r="C86" s="2" t="s">
        <v>232</v>
      </c>
      <c r="D86" s="2" t="s">
        <v>234</v>
      </c>
      <c r="E86" s="5">
        <v>15535</v>
      </c>
      <c r="F86" s="4">
        <v>555</v>
      </c>
      <c r="G86" s="3">
        <f t="shared" si="1"/>
        <v>16090</v>
      </c>
    </row>
    <row r="87" spans="1:7" x14ac:dyDescent="0.2">
      <c r="A87" s="2">
        <v>2022</v>
      </c>
      <c r="B87" s="4" t="s">
        <v>86</v>
      </c>
      <c r="C87" s="2" t="s">
        <v>232</v>
      </c>
      <c r="D87" s="2" t="s">
        <v>234</v>
      </c>
      <c r="E87" s="5">
        <v>33349</v>
      </c>
      <c r="F87" s="5">
        <v>1191</v>
      </c>
      <c r="G87" s="3">
        <f t="shared" si="1"/>
        <v>34540</v>
      </c>
    </row>
    <row r="88" spans="1:7" x14ac:dyDescent="0.2">
      <c r="A88" s="2">
        <v>2022</v>
      </c>
      <c r="B88" s="4" t="s">
        <v>87</v>
      </c>
      <c r="C88" s="2" t="s">
        <v>232</v>
      </c>
      <c r="D88" s="2" t="s">
        <v>234</v>
      </c>
      <c r="E88" s="5">
        <v>65799</v>
      </c>
      <c r="F88" s="5">
        <v>2351</v>
      </c>
      <c r="G88" s="3">
        <f t="shared" si="1"/>
        <v>68150</v>
      </c>
    </row>
    <row r="89" spans="1:7" x14ac:dyDescent="0.2">
      <c r="A89" s="2">
        <v>2022</v>
      </c>
      <c r="B89" s="4" t="s">
        <v>88</v>
      </c>
      <c r="C89" s="2" t="s">
        <v>232</v>
      </c>
      <c r="D89" s="2" t="s">
        <v>234</v>
      </c>
      <c r="E89" s="5">
        <v>2357368</v>
      </c>
      <c r="F89" s="5">
        <v>84223</v>
      </c>
      <c r="G89" s="3">
        <f t="shared" si="1"/>
        <v>2441591</v>
      </c>
    </row>
    <row r="90" spans="1:7" x14ac:dyDescent="0.2">
      <c r="A90" s="2">
        <v>2022</v>
      </c>
      <c r="B90" s="4" t="s">
        <v>236</v>
      </c>
      <c r="C90" s="2" t="s">
        <v>232</v>
      </c>
      <c r="D90" s="2" t="s">
        <v>234</v>
      </c>
      <c r="E90" s="5">
        <v>19358</v>
      </c>
      <c r="F90" s="4">
        <v>692</v>
      </c>
      <c r="G90" s="3">
        <f t="shared" si="1"/>
        <v>20050</v>
      </c>
    </row>
    <row r="91" spans="1:7" x14ac:dyDescent="0.2">
      <c r="A91" s="2">
        <v>2022</v>
      </c>
      <c r="B91" s="4" t="s">
        <v>89</v>
      </c>
      <c r="C91" s="2" t="s">
        <v>232</v>
      </c>
      <c r="D91" s="2" t="s">
        <v>234</v>
      </c>
      <c r="E91" s="5">
        <v>1013</v>
      </c>
      <c r="F91" s="4">
        <v>36</v>
      </c>
      <c r="G91" s="3">
        <f t="shared" si="1"/>
        <v>1049</v>
      </c>
    </row>
    <row r="92" spans="1:7" x14ac:dyDescent="0.2">
      <c r="A92" s="2">
        <v>2022</v>
      </c>
      <c r="B92" s="4" t="s">
        <v>237</v>
      </c>
      <c r="C92" s="2" t="s">
        <v>232</v>
      </c>
      <c r="D92" s="2" t="s">
        <v>234</v>
      </c>
      <c r="E92" s="5">
        <v>21356464</v>
      </c>
      <c r="F92" s="5">
        <v>763016</v>
      </c>
      <c r="G92" s="3">
        <f t="shared" si="1"/>
        <v>22119480</v>
      </c>
    </row>
    <row r="93" spans="1:7" x14ac:dyDescent="0.2">
      <c r="A93" s="2">
        <v>2022</v>
      </c>
      <c r="B93" s="4" t="s">
        <v>91</v>
      </c>
      <c r="C93" s="2" t="s">
        <v>232</v>
      </c>
      <c r="D93" s="2" t="s">
        <v>234</v>
      </c>
      <c r="E93" s="5">
        <v>1448861</v>
      </c>
      <c r="F93" s="5">
        <v>51764</v>
      </c>
      <c r="G93" s="3">
        <f t="shared" si="1"/>
        <v>1500625</v>
      </c>
    </row>
    <row r="94" spans="1:7" x14ac:dyDescent="0.2">
      <c r="A94" s="2">
        <v>2022</v>
      </c>
      <c r="B94" s="4" t="s">
        <v>92</v>
      </c>
      <c r="C94" s="2" t="s">
        <v>232</v>
      </c>
      <c r="D94" s="2" t="s">
        <v>234</v>
      </c>
      <c r="E94" s="5">
        <v>2468657</v>
      </c>
      <c r="F94" s="5">
        <v>88199</v>
      </c>
      <c r="G94" s="3">
        <f t="shared" si="1"/>
        <v>2556856</v>
      </c>
    </row>
    <row r="95" spans="1:7" x14ac:dyDescent="0.2">
      <c r="A95" s="2">
        <v>2022</v>
      </c>
      <c r="B95" s="4" t="s">
        <v>93</v>
      </c>
      <c r="C95" s="2" t="s">
        <v>232</v>
      </c>
      <c r="D95" s="2" t="s">
        <v>234</v>
      </c>
      <c r="E95" s="5">
        <v>885667</v>
      </c>
      <c r="F95" s="5">
        <v>31643</v>
      </c>
      <c r="G95" s="3">
        <f t="shared" si="1"/>
        <v>917310</v>
      </c>
    </row>
    <row r="96" spans="1:7" x14ac:dyDescent="0.2">
      <c r="A96" s="2">
        <v>2022</v>
      </c>
      <c r="B96" s="4" t="s">
        <v>94</v>
      </c>
      <c r="C96" s="2" t="s">
        <v>232</v>
      </c>
      <c r="D96" s="2" t="s">
        <v>234</v>
      </c>
      <c r="E96" s="5">
        <v>47301</v>
      </c>
      <c r="F96" s="5">
        <v>1690</v>
      </c>
      <c r="G96" s="3">
        <f t="shared" si="1"/>
        <v>48991</v>
      </c>
    </row>
    <row r="97" spans="1:7" x14ac:dyDescent="0.2">
      <c r="A97" s="2">
        <v>2022</v>
      </c>
      <c r="B97" s="4" t="s">
        <v>95</v>
      </c>
      <c r="C97" s="2" t="s">
        <v>232</v>
      </c>
      <c r="D97" s="2" t="s">
        <v>234</v>
      </c>
      <c r="E97" s="5">
        <v>210500</v>
      </c>
      <c r="F97" s="5">
        <v>7521</v>
      </c>
      <c r="G97" s="3">
        <f t="shared" si="1"/>
        <v>218021</v>
      </c>
    </row>
    <row r="98" spans="1:7" x14ac:dyDescent="0.2">
      <c r="A98" s="2">
        <v>2022</v>
      </c>
      <c r="B98" s="4" t="s">
        <v>96</v>
      </c>
      <c r="C98" s="2" t="s">
        <v>232</v>
      </c>
      <c r="D98" s="2" t="s">
        <v>234</v>
      </c>
      <c r="E98" s="5">
        <v>7521</v>
      </c>
      <c r="F98" s="4">
        <v>269</v>
      </c>
      <c r="G98" s="3">
        <f t="shared" si="1"/>
        <v>7790</v>
      </c>
    </row>
    <row r="99" spans="1:7" x14ac:dyDescent="0.2">
      <c r="A99" s="2">
        <v>2022</v>
      </c>
      <c r="B99" s="4" t="s">
        <v>97</v>
      </c>
      <c r="C99" s="2" t="s">
        <v>232</v>
      </c>
      <c r="D99" s="2" t="s">
        <v>234</v>
      </c>
      <c r="E99" s="5">
        <v>48453</v>
      </c>
      <c r="F99" s="5">
        <v>1731</v>
      </c>
      <c r="G99" s="3">
        <f t="shared" si="1"/>
        <v>50184</v>
      </c>
    </row>
    <row r="100" spans="1:7" x14ac:dyDescent="0.2">
      <c r="A100" s="2">
        <v>2022</v>
      </c>
      <c r="B100" s="4" t="s">
        <v>98</v>
      </c>
      <c r="C100" s="2" t="s">
        <v>232</v>
      </c>
      <c r="D100" s="2" t="s">
        <v>234</v>
      </c>
      <c r="E100" s="5">
        <v>1614617</v>
      </c>
      <c r="F100" s="5">
        <v>57686</v>
      </c>
      <c r="G100" s="3">
        <f t="shared" si="1"/>
        <v>1672303</v>
      </c>
    </row>
    <row r="101" spans="1:7" x14ac:dyDescent="0.2">
      <c r="A101" s="2">
        <v>2022</v>
      </c>
      <c r="B101" s="4" t="s">
        <v>99</v>
      </c>
      <c r="C101" s="2" t="s">
        <v>232</v>
      </c>
      <c r="D101" s="2" t="s">
        <v>234</v>
      </c>
      <c r="E101" s="5">
        <v>26347</v>
      </c>
      <c r="F101" s="4">
        <v>941</v>
      </c>
      <c r="G101" s="3">
        <f t="shared" si="1"/>
        <v>27288</v>
      </c>
    </row>
    <row r="102" spans="1:7" x14ac:dyDescent="0.2">
      <c r="A102" s="2">
        <v>2022</v>
      </c>
      <c r="B102" s="4" t="s">
        <v>100</v>
      </c>
      <c r="C102" s="2" t="s">
        <v>232</v>
      </c>
      <c r="D102" s="2" t="s">
        <v>234</v>
      </c>
      <c r="E102" s="5">
        <v>16257</v>
      </c>
      <c r="F102" s="4">
        <v>581</v>
      </c>
      <c r="G102" s="3">
        <f t="shared" si="1"/>
        <v>16838</v>
      </c>
    </row>
    <row r="103" spans="1:7" x14ac:dyDescent="0.2">
      <c r="A103" s="2">
        <v>2022</v>
      </c>
      <c r="B103" s="4" t="s">
        <v>101</v>
      </c>
      <c r="C103" s="2" t="s">
        <v>232</v>
      </c>
      <c r="D103" s="2" t="s">
        <v>234</v>
      </c>
      <c r="E103" s="5">
        <v>75218</v>
      </c>
      <c r="F103" s="5">
        <v>2687</v>
      </c>
      <c r="G103" s="3">
        <f t="shared" si="1"/>
        <v>77905</v>
      </c>
    </row>
    <row r="104" spans="1:7" x14ac:dyDescent="0.2">
      <c r="A104" s="2">
        <v>2022</v>
      </c>
      <c r="B104" s="4" t="s">
        <v>102</v>
      </c>
      <c r="C104" s="2" t="s">
        <v>232</v>
      </c>
      <c r="D104" s="2" t="s">
        <v>234</v>
      </c>
      <c r="E104" s="5">
        <v>78257</v>
      </c>
      <c r="F104" s="5">
        <v>2796</v>
      </c>
      <c r="G104" s="3">
        <f t="shared" si="1"/>
        <v>81053</v>
      </c>
    </row>
    <row r="105" spans="1:7" x14ac:dyDescent="0.2">
      <c r="A105" s="2">
        <v>2022</v>
      </c>
      <c r="B105" s="4" t="s">
        <v>103</v>
      </c>
      <c r="C105" s="2" t="s">
        <v>232</v>
      </c>
      <c r="D105" s="2" t="s">
        <v>234</v>
      </c>
      <c r="E105" s="5">
        <v>3455142</v>
      </c>
      <c r="F105" s="5">
        <v>123444</v>
      </c>
      <c r="G105" s="3">
        <f t="shared" si="1"/>
        <v>3578586</v>
      </c>
    </row>
    <row r="106" spans="1:7" x14ac:dyDescent="0.2">
      <c r="A106" s="2">
        <v>2022</v>
      </c>
      <c r="B106" s="4" t="s">
        <v>238</v>
      </c>
      <c r="C106" s="2" t="s">
        <v>232</v>
      </c>
      <c r="D106" s="2" t="s">
        <v>234</v>
      </c>
      <c r="E106" s="5">
        <v>831921</v>
      </c>
      <c r="F106" s="5">
        <v>29723</v>
      </c>
      <c r="G106" s="3">
        <f t="shared" si="1"/>
        <v>861644</v>
      </c>
    </row>
    <row r="107" spans="1:7" x14ac:dyDescent="0.2">
      <c r="A107" s="2">
        <v>2022</v>
      </c>
      <c r="B107" s="4" t="s">
        <v>105</v>
      </c>
      <c r="C107" s="2" t="s">
        <v>232</v>
      </c>
      <c r="D107" s="2" t="s">
        <v>234</v>
      </c>
      <c r="E107" s="5">
        <v>3916251</v>
      </c>
      <c r="F107" s="5">
        <v>139918</v>
      </c>
      <c r="G107" s="3">
        <f t="shared" si="1"/>
        <v>4056169</v>
      </c>
    </row>
    <row r="108" spans="1:7" x14ac:dyDescent="0.2">
      <c r="A108" s="2">
        <v>2022</v>
      </c>
      <c r="B108" s="4" t="s">
        <v>106</v>
      </c>
      <c r="C108" s="2" t="s">
        <v>232</v>
      </c>
      <c r="D108" s="2" t="s">
        <v>234</v>
      </c>
      <c r="E108" s="5">
        <v>24765</v>
      </c>
      <c r="F108" s="4">
        <v>885</v>
      </c>
      <c r="G108" s="3">
        <f t="shared" si="1"/>
        <v>25650</v>
      </c>
    </row>
    <row r="109" spans="1:7" x14ac:dyDescent="0.2">
      <c r="A109" s="2">
        <v>2022</v>
      </c>
      <c r="B109" s="4" t="s">
        <v>107</v>
      </c>
      <c r="C109" s="2" t="s">
        <v>232</v>
      </c>
      <c r="D109" s="2" t="s">
        <v>234</v>
      </c>
      <c r="E109" s="5">
        <v>271019</v>
      </c>
      <c r="F109" s="5">
        <v>9683</v>
      </c>
      <c r="G109" s="3">
        <f t="shared" si="1"/>
        <v>280702</v>
      </c>
    </row>
    <row r="110" spans="1:7" x14ac:dyDescent="0.2">
      <c r="A110" s="2">
        <v>2022</v>
      </c>
      <c r="B110" s="4" t="s">
        <v>108</v>
      </c>
      <c r="C110" s="2" t="s">
        <v>232</v>
      </c>
      <c r="D110" s="2" t="s">
        <v>234</v>
      </c>
      <c r="E110" s="5">
        <v>4283683</v>
      </c>
      <c r="F110" s="5">
        <v>153046</v>
      </c>
      <c r="G110" s="3">
        <f t="shared" si="1"/>
        <v>4436729</v>
      </c>
    </row>
    <row r="111" spans="1:7" x14ac:dyDescent="0.2">
      <c r="A111" s="2">
        <v>2022</v>
      </c>
      <c r="B111" s="4" t="s">
        <v>109</v>
      </c>
      <c r="C111" s="2" t="s">
        <v>232</v>
      </c>
      <c r="D111" s="2" t="s">
        <v>234</v>
      </c>
      <c r="E111" s="5">
        <v>1607628</v>
      </c>
      <c r="F111" s="5">
        <v>57437</v>
      </c>
      <c r="G111" s="3">
        <f t="shared" si="1"/>
        <v>1665065</v>
      </c>
    </row>
    <row r="112" spans="1:7" x14ac:dyDescent="0.2">
      <c r="A112" s="2">
        <v>2022</v>
      </c>
      <c r="B112" s="4" t="s">
        <v>110</v>
      </c>
      <c r="C112" s="2" t="s">
        <v>232</v>
      </c>
      <c r="D112" s="2" t="s">
        <v>234</v>
      </c>
      <c r="E112" s="5">
        <v>3059464</v>
      </c>
      <c r="F112" s="5">
        <v>109307</v>
      </c>
      <c r="G112" s="3">
        <f t="shared" si="1"/>
        <v>3168771</v>
      </c>
    </row>
    <row r="113" spans="1:7" x14ac:dyDescent="0.2">
      <c r="A113" s="2">
        <v>2022</v>
      </c>
      <c r="B113" s="4" t="s">
        <v>111</v>
      </c>
      <c r="C113" s="2" t="s">
        <v>232</v>
      </c>
      <c r="D113" s="2" t="s">
        <v>234</v>
      </c>
      <c r="E113" s="5">
        <v>578969</v>
      </c>
      <c r="F113" s="5">
        <v>20685</v>
      </c>
      <c r="G113" s="3">
        <f t="shared" si="1"/>
        <v>599654</v>
      </c>
    </row>
    <row r="114" spans="1:7" x14ac:dyDescent="0.2">
      <c r="A114" s="2">
        <v>2022</v>
      </c>
      <c r="B114" s="4" t="s">
        <v>112</v>
      </c>
      <c r="C114" s="2" t="s">
        <v>232</v>
      </c>
      <c r="D114" s="2" t="s">
        <v>234</v>
      </c>
      <c r="E114" s="5">
        <v>727051</v>
      </c>
      <c r="F114" s="5">
        <v>25976</v>
      </c>
      <c r="G114" s="3">
        <f t="shared" si="1"/>
        <v>753027</v>
      </c>
    </row>
    <row r="115" spans="1:7" x14ac:dyDescent="0.2">
      <c r="A115" s="2">
        <v>2022</v>
      </c>
      <c r="B115" s="4" t="s">
        <v>113</v>
      </c>
      <c r="C115" s="2" t="s">
        <v>232</v>
      </c>
      <c r="D115" s="2" t="s">
        <v>234</v>
      </c>
      <c r="E115" s="5">
        <v>765401</v>
      </c>
      <c r="F115" s="5">
        <v>27346</v>
      </c>
      <c r="G115" s="3">
        <f t="shared" si="1"/>
        <v>792747</v>
      </c>
    </row>
    <row r="116" spans="1:7" x14ac:dyDescent="0.2">
      <c r="A116" s="2">
        <v>2022</v>
      </c>
      <c r="B116" s="4" t="s">
        <v>114</v>
      </c>
      <c r="C116" s="2" t="s">
        <v>232</v>
      </c>
      <c r="D116" s="2" t="s">
        <v>234</v>
      </c>
      <c r="E116" s="5">
        <v>1019214</v>
      </c>
      <c r="F116" s="5">
        <v>36414</v>
      </c>
      <c r="G116" s="3">
        <f t="shared" si="1"/>
        <v>1055628</v>
      </c>
    </row>
    <row r="117" spans="1:7" x14ac:dyDescent="0.2">
      <c r="A117" s="2">
        <v>2022</v>
      </c>
      <c r="B117" s="4" t="s">
        <v>115</v>
      </c>
      <c r="C117" s="2" t="s">
        <v>232</v>
      </c>
      <c r="D117" s="2" t="s">
        <v>234</v>
      </c>
      <c r="E117" s="5">
        <v>2461275</v>
      </c>
      <c r="F117" s="5">
        <v>87936</v>
      </c>
      <c r="G117" s="3">
        <f t="shared" si="1"/>
        <v>2549211</v>
      </c>
    </row>
    <row r="118" spans="1:7" x14ac:dyDescent="0.2">
      <c r="A118" s="2">
        <v>2022</v>
      </c>
      <c r="B118" s="4" t="s">
        <v>116</v>
      </c>
      <c r="C118" s="2" t="s">
        <v>232</v>
      </c>
      <c r="D118" s="2" t="s">
        <v>234</v>
      </c>
      <c r="E118" s="5">
        <v>1738238</v>
      </c>
      <c r="F118" s="5">
        <v>62103</v>
      </c>
      <c r="G118" s="3">
        <f t="shared" si="1"/>
        <v>1800341</v>
      </c>
    </row>
    <row r="119" spans="1:7" x14ac:dyDescent="0.2">
      <c r="A119" s="2">
        <v>2022</v>
      </c>
      <c r="B119" s="4" t="s">
        <v>117</v>
      </c>
      <c r="C119" s="2" t="s">
        <v>232</v>
      </c>
      <c r="D119" s="2" t="s">
        <v>234</v>
      </c>
      <c r="E119" s="5">
        <v>7425341</v>
      </c>
      <c r="F119" s="5">
        <v>265290</v>
      </c>
      <c r="G119" s="3">
        <f t="shared" si="1"/>
        <v>7690631</v>
      </c>
    </row>
    <row r="120" spans="1:7" x14ac:dyDescent="0.2">
      <c r="A120" s="2">
        <v>2022</v>
      </c>
      <c r="B120" s="4" t="s">
        <v>119</v>
      </c>
      <c r="C120" s="2" t="s">
        <v>232</v>
      </c>
      <c r="D120" s="2" t="s">
        <v>234</v>
      </c>
      <c r="E120" s="5">
        <v>36134</v>
      </c>
      <c r="F120" s="5">
        <v>1291</v>
      </c>
      <c r="G120" s="3">
        <f t="shared" si="1"/>
        <v>37425</v>
      </c>
    </row>
    <row r="121" spans="1:7" x14ac:dyDescent="0.2">
      <c r="A121" s="2">
        <v>2022</v>
      </c>
      <c r="B121" s="4" t="s">
        <v>120</v>
      </c>
      <c r="C121" s="2" t="s">
        <v>232</v>
      </c>
      <c r="D121" s="2" t="s">
        <v>234</v>
      </c>
      <c r="E121" s="5">
        <v>2551041</v>
      </c>
      <c r="F121" s="5">
        <v>91143</v>
      </c>
      <c r="G121" s="3">
        <f t="shared" si="1"/>
        <v>2642184</v>
      </c>
    </row>
    <row r="122" spans="1:7" x14ac:dyDescent="0.2">
      <c r="A122" s="2">
        <v>2022</v>
      </c>
      <c r="B122" s="4" t="s">
        <v>121</v>
      </c>
      <c r="C122" s="2" t="s">
        <v>232</v>
      </c>
      <c r="D122" s="2" t="s">
        <v>234</v>
      </c>
      <c r="E122" s="5">
        <v>1316137</v>
      </c>
      <c r="F122" s="5">
        <v>47022</v>
      </c>
      <c r="G122" s="3">
        <f t="shared" si="1"/>
        <v>1363159</v>
      </c>
    </row>
    <row r="123" spans="1:7" x14ac:dyDescent="0.2">
      <c r="A123" s="2">
        <v>2022</v>
      </c>
      <c r="B123" s="4" t="s">
        <v>239</v>
      </c>
      <c r="C123" s="2" t="s">
        <v>232</v>
      </c>
      <c r="D123" s="2" t="s">
        <v>234</v>
      </c>
      <c r="E123" s="5">
        <v>1390089</v>
      </c>
      <c r="F123" s="5">
        <v>49665</v>
      </c>
      <c r="G123" s="3">
        <f t="shared" si="1"/>
        <v>1439754</v>
      </c>
    </row>
    <row r="124" spans="1:7" x14ac:dyDescent="0.2">
      <c r="A124" s="2">
        <v>2022</v>
      </c>
      <c r="B124" s="4" t="s">
        <v>240</v>
      </c>
      <c r="C124" s="2" t="s">
        <v>232</v>
      </c>
      <c r="D124" s="2" t="s">
        <v>234</v>
      </c>
      <c r="E124" s="5">
        <v>2638490</v>
      </c>
      <c r="F124" s="5">
        <v>94267</v>
      </c>
      <c r="G124" s="3">
        <f t="shared" si="1"/>
        <v>2732757</v>
      </c>
    </row>
    <row r="125" spans="1:7" x14ac:dyDescent="0.2">
      <c r="A125" s="2">
        <v>2022</v>
      </c>
      <c r="B125" s="4" t="s">
        <v>124</v>
      </c>
      <c r="C125" s="2" t="s">
        <v>232</v>
      </c>
      <c r="D125" s="2" t="s">
        <v>234</v>
      </c>
      <c r="E125" s="5">
        <v>1009959</v>
      </c>
      <c r="F125" s="5">
        <v>36083</v>
      </c>
      <c r="G125" s="3">
        <f t="shared" si="1"/>
        <v>1046042</v>
      </c>
    </row>
    <row r="126" spans="1:7" x14ac:dyDescent="0.2">
      <c r="A126" s="2">
        <v>2022</v>
      </c>
      <c r="B126" s="4" t="s">
        <v>125</v>
      </c>
      <c r="C126" s="2" t="s">
        <v>232</v>
      </c>
      <c r="D126" s="2" t="s">
        <v>234</v>
      </c>
      <c r="E126" s="5">
        <v>2209678</v>
      </c>
      <c r="F126" s="5">
        <v>78947</v>
      </c>
      <c r="G126" s="3">
        <f t="shared" si="1"/>
        <v>2288625</v>
      </c>
    </row>
    <row r="127" spans="1:7" x14ac:dyDescent="0.2">
      <c r="A127" s="2">
        <v>2022</v>
      </c>
      <c r="B127" s="4" t="s">
        <v>126</v>
      </c>
      <c r="C127" s="2" t="s">
        <v>232</v>
      </c>
      <c r="D127" s="2" t="s">
        <v>234</v>
      </c>
      <c r="E127" s="5">
        <v>1541716</v>
      </c>
      <c r="F127" s="5">
        <v>55082</v>
      </c>
      <c r="G127" s="3">
        <f t="shared" si="1"/>
        <v>1596798</v>
      </c>
    </row>
    <row r="128" spans="1:7" x14ac:dyDescent="0.2">
      <c r="A128" s="2">
        <v>2022</v>
      </c>
      <c r="B128" s="4" t="s">
        <v>127</v>
      </c>
      <c r="C128" s="2" t="s">
        <v>232</v>
      </c>
      <c r="D128" s="2" t="s">
        <v>234</v>
      </c>
      <c r="E128" s="5">
        <v>2700655</v>
      </c>
      <c r="F128" s="5">
        <v>96488</v>
      </c>
      <c r="G128" s="3">
        <f t="shared" si="1"/>
        <v>2797143</v>
      </c>
    </row>
    <row r="129" spans="1:7" x14ac:dyDescent="0.2">
      <c r="A129" s="2">
        <v>2022</v>
      </c>
      <c r="B129" s="4" t="s">
        <v>128</v>
      </c>
      <c r="C129" s="2" t="s">
        <v>232</v>
      </c>
      <c r="D129" s="2" t="s">
        <v>234</v>
      </c>
      <c r="E129" s="5">
        <v>623814</v>
      </c>
      <c r="F129" s="5">
        <v>22287</v>
      </c>
      <c r="G129" s="3">
        <f t="shared" si="1"/>
        <v>646101</v>
      </c>
    </row>
    <row r="130" spans="1:7" x14ac:dyDescent="0.2">
      <c r="A130" s="2">
        <v>2022</v>
      </c>
      <c r="B130" s="4" t="s">
        <v>129</v>
      </c>
      <c r="C130" s="2" t="s">
        <v>232</v>
      </c>
      <c r="D130" s="2" t="s">
        <v>234</v>
      </c>
      <c r="E130" s="5">
        <v>6281051</v>
      </c>
      <c r="F130" s="5">
        <v>224407</v>
      </c>
      <c r="G130" s="3">
        <f t="shared" si="1"/>
        <v>6505458</v>
      </c>
    </row>
    <row r="131" spans="1:7" x14ac:dyDescent="0.2">
      <c r="A131" s="2">
        <v>2022</v>
      </c>
      <c r="B131" s="4" t="s">
        <v>130</v>
      </c>
      <c r="C131" s="2" t="s">
        <v>232</v>
      </c>
      <c r="D131" s="2" t="s">
        <v>234</v>
      </c>
      <c r="E131" s="5">
        <v>205347</v>
      </c>
      <c r="F131" s="5">
        <v>7337</v>
      </c>
      <c r="G131" s="3">
        <f t="shared" ref="G131:G194" si="2">SUM(E131:F131)</f>
        <v>212684</v>
      </c>
    </row>
    <row r="132" spans="1:7" x14ac:dyDescent="0.2">
      <c r="A132" s="2">
        <v>2022</v>
      </c>
      <c r="B132" s="4" t="s">
        <v>131</v>
      </c>
      <c r="C132" s="2" t="s">
        <v>232</v>
      </c>
      <c r="D132" s="2" t="s">
        <v>234</v>
      </c>
      <c r="E132" s="5">
        <v>65558</v>
      </c>
      <c r="F132" s="5">
        <v>2342</v>
      </c>
      <c r="G132" s="3">
        <f t="shared" si="2"/>
        <v>67900</v>
      </c>
    </row>
    <row r="133" spans="1:7" x14ac:dyDescent="0.2">
      <c r="A133" s="2">
        <v>2022</v>
      </c>
      <c r="B133" s="4" t="s">
        <v>132</v>
      </c>
      <c r="C133" s="2" t="s">
        <v>232</v>
      </c>
      <c r="D133" s="2" t="s">
        <v>234</v>
      </c>
      <c r="E133" s="5">
        <v>17561</v>
      </c>
      <c r="F133" s="4">
        <v>627</v>
      </c>
      <c r="G133" s="3">
        <f t="shared" si="2"/>
        <v>18188</v>
      </c>
    </row>
    <row r="134" spans="1:7" x14ac:dyDescent="0.2">
      <c r="A134" s="2">
        <v>2022</v>
      </c>
      <c r="B134" s="4" t="s">
        <v>133</v>
      </c>
      <c r="C134" s="2" t="s">
        <v>232</v>
      </c>
      <c r="D134" s="2" t="s">
        <v>234</v>
      </c>
      <c r="E134" s="5">
        <v>897973</v>
      </c>
      <c r="F134" s="5">
        <v>32082</v>
      </c>
      <c r="G134" s="3">
        <f t="shared" si="2"/>
        <v>930055</v>
      </c>
    </row>
    <row r="135" spans="1:7" x14ac:dyDescent="0.2">
      <c r="A135" s="2">
        <v>2022</v>
      </c>
      <c r="B135" s="4" t="s">
        <v>134</v>
      </c>
      <c r="C135" s="2" t="s">
        <v>232</v>
      </c>
      <c r="D135" s="2" t="s">
        <v>234</v>
      </c>
      <c r="E135" s="5">
        <v>1263518</v>
      </c>
      <c r="F135" s="5">
        <v>45142</v>
      </c>
      <c r="G135" s="3">
        <f t="shared" si="2"/>
        <v>1308660</v>
      </c>
    </row>
    <row r="136" spans="1:7" x14ac:dyDescent="0.2">
      <c r="A136" s="2">
        <v>2022</v>
      </c>
      <c r="B136" s="4" t="s">
        <v>135</v>
      </c>
      <c r="C136" s="2" t="s">
        <v>232</v>
      </c>
      <c r="D136" s="2" t="s">
        <v>234</v>
      </c>
      <c r="E136" s="5">
        <v>2365154</v>
      </c>
      <c r="F136" s="5">
        <v>84501</v>
      </c>
      <c r="G136" s="3">
        <f t="shared" si="2"/>
        <v>2449655</v>
      </c>
    </row>
    <row r="137" spans="1:7" x14ac:dyDescent="0.2">
      <c r="A137" s="2">
        <v>2022</v>
      </c>
      <c r="B137" s="4" t="s">
        <v>136</v>
      </c>
      <c r="C137" s="2" t="s">
        <v>232</v>
      </c>
      <c r="D137" s="2" t="s">
        <v>234</v>
      </c>
      <c r="E137" s="5">
        <v>550698</v>
      </c>
      <c r="F137" s="5">
        <v>19675</v>
      </c>
      <c r="G137" s="3">
        <f t="shared" si="2"/>
        <v>570373</v>
      </c>
    </row>
    <row r="138" spans="1:7" x14ac:dyDescent="0.2">
      <c r="A138" s="2">
        <v>2022</v>
      </c>
      <c r="B138" s="4" t="s">
        <v>137</v>
      </c>
      <c r="C138" s="2" t="s">
        <v>232</v>
      </c>
      <c r="D138" s="2" t="s">
        <v>234</v>
      </c>
      <c r="E138" s="5">
        <v>328157</v>
      </c>
      <c r="F138" s="5">
        <v>11724</v>
      </c>
      <c r="G138" s="3">
        <f t="shared" si="2"/>
        <v>339881</v>
      </c>
    </row>
    <row r="139" spans="1:7" x14ac:dyDescent="0.2">
      <c r="A139" s="2">
        <v>2022</v>
      </c>
      <c r="B139" s="4" t="s">
        <v>138</v>
      </c>
      <c r="C139" s="2" t="s">
        <v>232</v>
      </c>
      <c r="D139" s="2" t="s">
        <v>234</v>
      </c>
      <c r="E139" s="5">
        <v>131661</v>
      </c>
      <c r="F139" s="5">
        <v>4704</v>
      </c>
      <c r="G139" s="3">
        <f t="shared" si="2"/>
        <v>136365</v>
      </c>
    </row>
    <row r="140" spans="1:7" x14ac:dyDescent="0.2">
      <c r="A140" s="2">
        <v>2022</v>
      </c>
      <c r="B140" s="4" t="s">
        <v>139</v>
      </c>
      <c r="C140" s="2" t="s">
        <v>232</v>
      </c>
      <c r="D140" s="2" t="s">
        <v>234</v>
      </c>
      <c r="E140" s="5">
        <v>2020917</v>
      </c>
      <c r="F140" s="5">
        <v>72203</v>
      </c>
      <c r="G140" s="3">
        <f t="shared" si="2"/>
        <v>2093120</v>
      </c>
    </row>
    <row r="141" spans="1:7" x14ac:dyDescent="0.2">
      <c r="A141" s="2">
        <v>2022</v>
      </c>
      <c r="B141" s="4" t="s">
        <v>140</v>
      </c>
      <c r="C141" s="2" t="s">
        <v>232</v>
      </c>
      <c r="D141" s="2" t="s">
        <v>234</v>
      </c>
      <c r="E141" s="5">
        <v>28158</v>
      </c>
      <c r="F141" s="5">
        <v>1006</v>
      </c>
      <c r="G141" s="3">
        <f t="shared" si="2"/>
        <v>29164</v>
      </c>
    </row>
    <row r="142" spans="1:7" x14ac:dyDescent="0.2">
      <c r="A142" s="2">
        <v>2022</v>
      </c>
      <c r="B142" s="4" t="s">
        <v>141</v>
      </c>
      <c r="C142" s="2" t="s">
        <v>232</v>
      </c>
      <c r="D142" s="2" t="s">
        <v>234</v>
      </c>
      <c r="E142" s="5">
        <v>75547</v>
      </c>
      <c r="F142" s="5">
        <v>2699</v>
      </c>
      <c r="G142" s="3">
        <f t="shared" si="2"/>
        <v>78246</v>
      </c>
    </row>
    <row r="143" spans="1:7" x14ac:dyDescent="0.2">
      <c r="A143" s="2">
        <v>2022</v>
      </c>
      <c r="B143" s="4" t="s">
        <v>142</v>
      </c>
      <c r="C143" s="2" t="s">
        <v>232</v>
      </c>
      <c r="D143" s="2" t="s">
        <v>234</v>
      </c>
      <c r="E143" s="5">
        <v>591656</v>
      </c>
      <c r="F143" s="5">
        <v>21138</v>
      </c>
      <c r="G143" s="3">
        <f t="shared" si="2"/>
        <v>612794</v>
      </c>
    </row>
    <row r="144" spans="1:7" x14ac:dyDescent="0.2">
      <c r="A144" s="2">
        <v>2022</v>
      </c>
      <c r="B144" s="4" t="s">
        <v>143</v>
      </c>
      <c r="C144" s="2" t="s">
        <v>232</v>
      </c>
      <c r="D144" s="2" t="s">
        <v>234</v>
      </c>
      <c r="E144" s="5">
        <v>1128920</v>
      </c>
      <c r="F144" s="5">
        <v>40334</v>
      </c>
      <c r="G144" s="3">
        <f t="shared" si="2"/>
        <v>1169254</v>
      </c>
    </row>
    <row r="145" spans="1:7" x14ac:dyDescent="0.2">
      <c r="A145" s="2">
        <v>2022</v>
      </c>
      <c r="B145" s="4" t="s">
        <v>144</v>
      </c>
      <c r="C145" s="2" t="s">
        <v>232</v>
      </c>
      <c r="D145" s="2" t="s">
        <v>234</v>
      </c>
      <c r="E145" s="5">
        <v>661962</v>
      </c>
      <c r="F145" s="5">
        <v>23650</v>
      </c>
      <c r="G145" s="3">
        <f t="shared" si="2"/>
        <v>685612</v>
      </c>
    </row>
    <row r="146" spans="1:7" x14ac:dyDescent="0.2">
      <c r="A146" s="2">
        <v>2022</v>
      </c>
      <c r="B146" s="4" t="s">
        <v>241</v>
      </c>
      <c r="C146" s="2" t="s">
        <v>232</v>
      </c>
      <c r="D146" s="2" t="s">
        <v>234</v>
      </c>
      <c r="E146" s="5">
        <v>729735</v>
      </c>
      <c r="F146" s="5">
        <v>26072</v>
      </c>
      <c r="G146" s="3">
        <f t="shared" si="2"/>
        <v>755807</v>
      </c>
    </row>
    <row r="147" spans="1:7" x14ac:dyDescent="0.2">
      <c r="A147" s="2">
        <v>2022</v>
      </c>
      <c r="B147" s="4" t="s">
        <v>146</v>
      </c>
      <c r="C147" s="2" t="s">
        <v>232</v>
      </c>
      <c r="D147" s="2" t="s">
        <v>234</v>
      </c>
      <c r="E147" s="5">
        <v>8168041</v>
      </c>
      <c r="F147" s="5">
        <v>291825</v>
      </c>
      <c r="G147" s="3">
        <f t="shared" si="2"/>
        <v>8459866</v>
      </c>
    </row>
    <row r="148" spans="1:7" x14ac:dyDescent="0.2">
      <c r="A148" s="2">
        <v>2022</v>
      </c>
      <c r="B148" s="4" t="s">
        <v>147</v>
      </c>
      <c r="C148" s="2" t="s">
        <v>232</v>
      </c>
      <c r="D148" s="2" t="s">
        <v>234</v>
      </c>
      <c r="E148" s="5">
        <v>11129</v>
      </c>
      <c r="F148" s="4">
        <v>398</v>
      </c>
      <c r="G148" s="3">
        <f t="shared" si="2"/>
        <v>11527</v>
      </c>
    </row>
    <row r="149" spans="1:7" x14ac:dyDescent="0.2">
      <c r="A149" s="2">
        <v>2022</v>
      </c>
      <c r="B149" s="4" t="s">
        <v>148</v>
      </c>
      <c r="C149" s="2" t="s">
        <v>232</v>
      </c>
      <c r="D149" s="2" t="s">
        <v>234</v>
      </c>
      <c r="E149" s="5">
        <v>161502</v>
      </c>
      <c r="F149" s="5">
        <v>5770</v>
      </c>
      <c r="G149" s="3">
        <f t="shared" si="2"/>
        <v>167272</v>
      </c>
    </row>
    <row r="150" spans="1:7" x14ac:dyDescent="0.2">
      <c r="A150" s="2">
        <v>2022</v>
      </c>
      <c r="B150" s="4" t="s">
        <v>149</v>
      </c>
      <c r="C150" s="2" t="s">
        <v>232</v>
      </c>
      <c r="D150" s="2" t="s">
        <v>234</v>
      </c>
      <c r="E150" s="5">
        <v>564220</v>
      </c>
      <c r="F150" s="5">
        <v>20158</v>
      </c>
      <c r="G150" s="3">
        <f t="shared" si="2"/>
        <v>584378</v>
      </c>
    </row>
    <row r="151" spans="1:7" x14ac:dyDescent="0.2">
      <c r="A151" s="2">
        <v>2022</v>
      </c>
      <c r="B151" s="4" t="s">
        <v>150</v>
      </c>
      <c r="C151" s="2" t="s">
        <v>232</v>
      </c>
      <c r="D151" s="2" t="s">
        <v>234</v>
      </c>
      <c r="E151" s="5">
        <v>1077985</v>
      </c>
      <c r="F151" s="5">
        <v>38514</v>
      </c>
      <c r="G151" s="3">
        <f t="shared" si="2"/>
        <v>1116499</v>
      </c>
    </row>
    <row r="152" spans="1:7" x14ac:dyDescent="0.2">
      <c r="A152" s="2">
        <v>2022</v>
      </c>
      <c r="B152" s="4" t="s">
        <v>151</v>
      </c>
      <c r="C152" s="2" t="s">
        <v>232</v>
      </c>
      <c r="D152" s="2" t="s">
        <v>234</v>
      </c>
      <c r="E152" s="5">
        <v>20485</v>
      </c>
      <c r="F152" s="4">
        <v>732</v>
      </c>
      <c r="G152" s="3">
        <f t="shared" si="2"/>
        <v>21217</v>
      </c>
    </row>
    <row r="153" spans="1:7" x14ac:dyDescent="0.2">
      <c r="A153" s="2">
        <v>2022</v>
      </c>
      <c r="B153" s="4" t="s">
        <v>152</v>
      </c>
      <c r="C153" s="2" t="s">
        <v>232</v>
      </c>
      <c r="D153" s="2" t="s">
        <v>234</v>
      </c>
      <c r="E153" s="5">
        <v>980611</v>
      </c>
      <c r="F153" s="5">
        <v>35035</v>
      </c>
      <c r="G153" s="3">
        <f t="shared" si="2"/>
        <v>1015646</v>
      </c>
    </row>
    <row r="154" spans="1:7" x14ac:dyDescent="0.2">
      <c r="A154" s="2">
        <v>2022</v>
      </c>
      <c r="B154" s="4" t="s">
        <v>153</v>
      </c>
      <c r="C154" s="2" t="s">
        <v>232</v>
      </c>
      <c r="D154" s="2" t="s">
        <v>234</v>
      </c>
      <c r="E154" s="5">
        <v>1081341</v>
      </c>
      <c r="F154" s="5">
        <v>38634</v>
      </c>
      <c r="G154" s="3">
        <f t="shared" si="2"/>
        <v>1119975</v>
      </c>
    </row>
    <row r="155" spans="1:7" x14ac:dyDescent="0.2">
      <c r="A155" s="2">
        <v>2022</v>
      </c>
      <c r="B155" s="4" t="s">
        <v>242</v>
      </c>
      <c r="C155" s="2" t="s">
        <v>232</v>
      </c>
      <c r="D155" s="2" t="s">
        <v>234</v>
      </c>
      <c r="E155" s="5">
        <v>108327</v>
      </c>
      <c r="F155" s="5">
        <v>3870</v>
      </c>
      <c r="G155" s="3">
        <f t="shared" si="2"/>
        <v>112197</v>
      </c>
    </row>
    <row r="156" spans="1:7" x14ac:dyDescent="0.2">
      <c r="A156" s="2">
        <v>2022</v>
      </c>
      <c r="B156" s="4" t="s">
        <v>243</v>
      </c>
      <c r="C156" s="2" t="s">
        <v>232</v>
      </c>
      <c r="D156" s="2" t="s">
        <v>234</v>
      </c>
      <c r="E156" s="5">
        <v>28335</v>
      </c>
      <c r="F156" s="5">
        <v>1012</v>
      </c>
      <c r="G156" s="3">
        <f t="shared" si="2"/>
        <v>29347</v>
      </c>
    </row>
    <row r="157" spans="1:7" x14ac:dyDescent="0.2">
      <c r="A157" s="2">
        <v>2022</v>
      </c>
      <c r="B157" s="4" t="s">
        <v>158</v>
      </c>
      <c r="C157" s="2" t="s">
        <v>232</v>
      </c>
      <c r="D157" s="2" t="s">
        <v>234</v>
      </c>
      <c r="E157" s="5">
        <v>106681</v>
      </c>
      <c r="F157" s="5">
        <v>3811</v>
      </c>
      <c r="G157" s="3">
        <f t="shared" si="2"/>
        <v>110492</v>
      </c>
    </row>
    <row r="158" spans="1:7" x14ac:dyDescent="0.2">
      <c r="A158" s="2">
        <v>2022</v>
      </c>
      <c r="B158" s="4" t="s">
        <v>159</v>
      </c>
      <c r="C158" s="2" t="s">
        <v>232</v>
      </c>
      <c r="D158" s="2" t="s">
        <v>234</v>
      </c>
      <c r="E158" s="5">
        <v>27069</v>
      </c>
      <c r="F158" s="4">
        <v>967</v>
      </c>
      <c r="G158" s="3">
        <f t="shared" si="2"/>
        <v>28036</v>
      </c>
    </row>
    <row r="159" spans="1:7" x14ac:dyDescent="0.2">
      <c r="A159" s="2">
        <v>2022</v>
      </c>
      <c r="B159" s="4" t="s">
        <v>160</v>
      </c>
      <c r="C159" s="2" t="s">
        <v>232</v>
      </c>
      <c r="D159" s="2" t="s">
        <v>234</v>
      </c>
      <c r="E159" s="5">
        <v>48858</v>
      </c>
      <c r="F159" s="5">
        <v>1746</v>
      </c>
      <c r="G159" s="3">
        <f t="shared" si="2"/>
        <v>50604</v>
      </c>
    </row>
    <row r="160" spans="1:7" x14ac:dyDescent="0.2">
      <c r="A160" s="2">
        <v>2022</v>
      </c>
      <c r="B160" s="4" t="s">
        <v>161</v>
      </c>
      <c r="C160" s="2" t="s">
        <v>232</v>
      </c>
      <c r="D160" s="2" t="s">
        <v>234</v>
      </c>
      <c r="E160" s="5">
        <v>320130</v>
      </c>
      <c r="F160" s="5">
        <v>11437</v>
      </c>
      <c r="G160" s="3">
        <f t="shared" si="2"/>
        <v>331567</v>
      </c>
    </row>
    <row r="161" spans="1:7" x14ac:dyDescent="0.2">
      <c r="A161" s="2">
        <v>2022</v>
      </c>
      <c r="B161" s="4" t="s">
        <v>162</v>
      </c>
      <c r="C161" s="2" t="s">
        <v>232</v>
      </c>
      <c r="D161" s="2" t="s">
        <v>234</v>
      </c>
      <c r="E161" s="5">
        <v>23169</v>
      </c>
      <c r="F161" s="4">
        <v>828</v>
      </c>
      <c r="G161" s="3">
        <f t="shared" si="2"/>
        <v>23997</v>
      </c>
    </row>
    <row r="162" spans="1:7" x14ac:dyDescent="0.2">
      <c r="A162" s="2">
        <v>2022</v>
      </c>
      <c r="B162" s="4" t="s">
        <v>163</v>
      </c>
      <c r="C162" s="2" t="s">
        <v>232</v>
      </c>
      <c r="D162" s="2" t="s">
        <v>234</v>
      </c>
      <c r="E162" s="5">
        <v>25537</v>
      </c>
      <c r="F162" s="4">
        <v>912</v>
      </c>
      <c r="G162" s="3">
        <f t="shared" si="2"/>
        <v>26449</v>
      </c>
    </row>
    <row r="163" spans="1:7" x14ac:dyDescent="0.2">
      <c r="A163" s="2">
        <v>2022</v>
      </c>
      <c r="B163" s="4" t="s">
        <v>165</v>
      </c>
      <c r="C163" s="2" t="s">
        <v>232</v>
      </c>
      <c r="D163" s="2" t="s">
        <v>234</v>
      </c>
      <c r="E163" s="5">
        <v>35324</v>
      </c>
      <c r="F163" s="5">
        <v>1262</v>
      </c>
      <c r="G163" s="3">
        <f t="shared" si="2"/>
        <v>36586</v>
      </c>
    </row>
    <row r="164" spans="1:7" x14ac:dyDescent="0.2">
      <c r="A164" s="2">
        <v>2022</v>
      </c>
      <c r="B164" s="4" t="s">
        <v>166</v>
      </c>
      <c r="C164" s="2" t="s">
        <v>232</v>
      </c>
      <c r="D164" s="2" t="s">
        <v>234</v>
      </c>
      <c r="E164" s="5">
        <v>21220</v>
      </c>
      <c r="F164" s="4">
        <v>758</v>
      </c>
      <c r="G164" s="3">
        <f t="shared" si="2"/>
        <v>21978</v>
      </c>
    </row>
    <row r="165" spans="1:7" x14ac:dyDescent="0.2">
      <c r="A165" s="2">
        <v>2022</v>
      </c>
      <c r="B165" s="4" t="s">
        <v>167</v>
      </c>
      <c r="C165" s="2" t="s">
        <v>232</v>
      </c>
      <c r="D165" s="2" t="s">
        <v>234</v>
      </c>
      <c r="E165" s="5">
        <v>19903</v>
      </c>
      <c r="F165" s="4">
        <v>711</v>
      </c>
      <c r="G165" s="3">
        <f t="shared" si="2"/>
        <v>20614</v>
      </c>
    </row>
    <row r="166" spans="1:7" x14ac:dyDescent="0.2">
      <c r="A166" s="2">
        <v>2022</v>
      </c>
      <c r="B166" s="4" t="s">
        <v>168</v>
      </c>
      <c r="C166" s="2" t="s">
        <v>232</v>
      </c>
      <c r="D166" s="2" t="s">
        <v>234</v>
      </c>
      <c r="E166" s="5">
        <v>45592</v>
      </c>
      <c r="F166" s="5">
        <v>1629</v>
      </c>
      <c r="G166" s="3">
        <f t="shared" si="2"/>
        <v>47221</v>
      </c>
    </row>
    <row r="167" spans="1:7" x14ac:dyDescent="0.2">
      <c r="A167" s="2">
        <v>2022</v>
      </c>
      <c r="B167" s="4" t="s">
        <v>244</v>
      </c>
      <c r="C167" s="2" t="s">
        <v>232</v>
      </c>
      <c r="D167" s="2" t="s">
        <v>234</v>
      </c>
      <c r="E167" s="5">
        <v>16206</v>
      </c>
      <c r="F167" s="4">
        <v>579</v>
      </c>
      <c r="G167" s="3">
        <f t="shared" si="2"/>
        <v>16785</v>
      </c>
    </row>
    <row r="168" spans="1:7" x14ac:dyDescent="0.2">
      <c r="A168" s="2">
        <v>2022</v>
      </c>
      <c r="B168" s="4" t="s">
        <v>169</v>
      </c>
      <c r="C168" s="2" t="s">
        <v>232</v>
      </c>
      <c r="D168" s="2" t="s">
        <v>234</v>
      </c>
      <c r="E168" s="5">
        <v>89234</v>
      </c>
      <c r="F168" s="5">
        <v>3188</v>
      </c>
      <c r="G168" s="3">
        <f t="shared" si="2"/>
        <v>92422</v>
      </c>
    </row>
    <row r="169" spans="1:7" x14ac:dyDescent="0.2">
      <c r="A169" s="2">
        <v>2022</v>
      </c>
      <c r="B169" s="4" t="s">
        <v>245</v>
      </c>
      <c r="C169" s="2" t="s">
        <v>232</v>
      </c>
      <c r="D169" s="2" t="s">
        <v>234</v>
      </c>
      <c r="E169" s="5">
        <v>9470</v>
      </c>
      <c r="F169" s="4">
        <v>338</v>
      </c>
      <c r="G169" s="3">
        <f t="shared" si="2"/>
        <v>9808</v>
      </c>
    </row>
    <row r="170" spans="1:7" x14ac:dyDescent="0.2">
      <c r="A170" s="2">
        <v>2022</v>
      </c>
      <c r="B170" s="4" t="s">
        <v>246</v>
      </c>
      <c r="C170" s="2" t="s">
        <v>232</v>
      </c>
      <c r="D170" s="2" t="s">
        <v>234</v>
      </c>
      <c r="E170" s="5">
        <v>17333</v>
      </c>
      <c r="F170" s="4">
        <v>619</v>
      </c>
      <c r="G170" s="3">
        <f t="shared" si="2"/>
        <v>17952</v>
      </c>
    </row>
    <row r="171" spans="1:7" x14ac:dyDescent="0.2">
      <c r="A171" s="2">
        <v>2022</v>
      </c>
      <c r="B171" s="4" t="s">
        <v>247</v>
      </c>
      <c r="C171" s="2" t="s">
        <v>232</v>
      </c>
      <c r="D171" s="2" t="s">
        <v>234</v>
      </c>
      <c r="E171" s="5">
        <v>31564</v>
      </c>
      <c r="F171" s="5">
        <v>1128</v>
      </c>
      <c r="G171" s="3">
        <f t="shared" si="2"/>
        <v>32692</v>
      </c>
    </row>
    <row r="172" spans="1:7" x14ac:dyDescent="0.2">
      <c r="A172" s="2">
        <v>2022</v>
      </c>
      <c r="B172" s="4" t="s">
        <v>172</v>
      </c>
      <c r="C172" s="2" t="s">
        <v>232</v>
      </c>
      <c r="D172" s="2" t="s">
        <v>234</v>
      </c>
      <c r="E172" s="5">
        <v>23309</v>
      </c>
      <c r="F172" s="4">
        <v>833</v>
      </c>
      <c r="G172" s="3">
        <f t="shared" si="2"/>
        <v>24142</v>
      </c>
    </row>
    <row r="173" spans="1:7" x14ac:dyDescent="0.2">
      <c r="A173" s="2">
        <v>2022</v>
      </c>
      <c r="B173" s="4" t="s">
        <v>248</v>
      </c>
      <c r="C173" s="2" t="s">
        <v>232</v>
      </c>
      <c r="D173" s="2" t="s">
        <v>234</v>
      </c>
      <c r="E173" s="5">
        <v>27196</v>
      </c>
      <c r="F173" s="4">
        <v>972</v>
      </c>
      <c r="G173" s="3">
        <f t="shared" si="2"/>
        <v>28168</v>
      </c>
    </row>
    <row r="174" spans="1:7" x14ac:dyDescent="0.2">
      <c r="A174" s="2">
        <v>2022</v>
      </c>
      <c r="B174" s="4" t="s">
        <v>174</v>
      </c>
      <c r="C174" s="2" t="s">
        <v>232</v>
      </c>
      <c r="D174" s="2" t="s">
        <v>234</v>
      </c>
      <c r="E174" s="5">
        <v>31931</v>
      </c>
      <c r="F174" s="5">
        <v>1141</v>
      </c>
      <c r="G174" s="3">
        <f t="shared" si="2"/>
        <v>33072</v>
      </c>
    </row>
    <row r="175" spans="1:7" x14ac:dyDescent="0.2">
      <c r="A175" s="2">
        <v>2022</v>
      </c>
      <c r="B175" s="4" t="s">
        <v>175</v>
      </c>
      <c r="C175" s="2" t="s">
        <v>232</v>
      </c>
      <c r="D175" s="2" t="s">
        <v>234</v>
      </c>
      <c r="E175" s="5">
        <v>22802</v>
      </c>
      <c r="F175" s="4">
        <v>815</v>
      </c>
      <c r="G175" s="3">
        <f t="shared" si="2"/>
        <v>23617</v>
      </c>
    </row>
    <row r="176" spans="1:7" x14ac:dyDescent="0.2">
      <c r="A176" s="2">
        <v>2022</v>
      </c>
      <c r="B176" s="4" t="s">
        <v>177</v>
      </c>
      <c r="C176" s="2" t="s">
        <v>232</v>
      </c>
      <c r="D176" s="2" t="s">
        <v>234</v>
      </c>
      <c r="E176" s="5">
        <v>221084</v>
      </c>
      <c r="F176" s="5">
        <v>7899</v>
      </c>
      <c r="G176" s="3">
        <f t="shared" si="2"/>
        <v>228983</v>
      </c>
    </row>
    <row r="177" spans="1:7" x14ac:dyDescent="0.2">
      <c r="A177" s="2">
        <v>2022</v>
      </c>
      <c r="B177" s="4" t="s">
        <v>179</v>
      </c>
      <c r="C177" s="2" t="s">
        <v>232</v>
      </c>
      <c r="D177" s="2" t="s">
        <v>234</v>
      </c>
      <c r="E177" s="5">
        <v>48782</v>
      </c>
      <c r="F177" s="5">
        <v>1743</v>
      </c>
      <c r="G177" s="3">
        <f t="shared" si="2"/>
        <v>50525</v>
      </c>
    </row>
    <row r="178" spans="1:7" x14ac:dyDescent="0.2">
      <c r="A178" s="2">
        <v>2022</v>
      </c>
      <c r="B178" s="4" t="s">
        <v>181</v>
      </c>
      <c r="C178" s="2" t="s">
        <v>232</v>
      </c>
      <c r="D178" s="2" t="s">
        <v>234</v>
      </c>
      <c r="E178" s="5">
        <v>111998</v>
      </c>
      <c r="F178" s="5">
        <v>4001</v>
      </c>
      <c r="G178" s="3">
        <f t="shared" si="2"/>
        <v>115999</v>
      </c>
    </row>
    <row r="179" spans="1:7" x14ac:dyDescent="0.2">
      <c r="A179" s="2">
        <v>2022</v>
      </c>
      <c r="B179" s="4" t="s">
        <v>182</v>
      </c>
      <c r="C179" s="2" t="s">
        <v>232</v>
      </c>
      <c r="D179" s="2" t="s">
        <v>234</v>
      </c>
      <c r="E179" s="5">
        <v>123925</v>
      </c>
      <c r="F179" s="5">
        <v>4428</v>
      </c>
      <c r="G179" s="3">
        <f t="shared" si="2"/>
        <v>128353</v>
      </c>
    </row>
    <row r="180" spans="1:7" x14ac:dyDescent="0.2">
      <c r="A180" s="2">
        <v>2022</v>
      </c>
      <c r="B180" s="4" t="s">
        <v>183</v>
      </c>
      <c r="C180" s="2" t="s">
        <v>232</v>
      </c>
      <c r="D180" s="2" t="s">
        <v>234</v>
      </c>
      <c r="E180" s="5">
        <v>36628</v>
      </c>
      <c r="F180" s="5">
        <v>1309</v>
      </c>
      <c r="G180" s="3">
        <f t="shared" si="2"/>
        <v>37937</v>
      </c>
    </row>
    <row r="181" spans="1:7" x14ac:dyDescent="0.2">
      <c r="A181" s="2">
        <v>2022</v>
      </c>
      <c r="B181" s="4" t="s">
        <v>184</v>
      </c>
      <c r="C181" s="2" t="s">
        <v>232</v>
      </c>
      <c r="D181" s="2" t="s">
        <v>234</v>
      </c>
      <c r="E181" s="5">
        <v>47618</v>
      </c>
      <c r="F181" s="5">
        <v>1701</v>
      </c>
      <c r="G181" s="3">
        <f t="shared" si="2"/>
        <v>49319</v>
      </c>
    </row>
    <row r="182" spans="1:7" x14ac:dyDescent="0.2">
      <c r="A182" s="2">
        <v>2022</v>
      </c>
      <c r="B182" s="4" t="s">
        <v>186</v>
      </c>
      <c r="C182" s="2" t="s">
        <v>232</v>
      </c>
      <c r="D182" s="2" t="s">
        <v>234</v>
      </c>
      <c r="E182" s="5">
        <v>301291</v>
      </c>
      <c r="F182" s="5">
        <v>10764</v>
      </c>
      <c r="G182" s="3">
        <f t="shared" si="2"/>
        <v>312055</v>
      </c>
    </row>
    <row r="183" spans="1:7" x14ac:dyDescent="0.2">
      <c r="A183" s="2">
        <v>2022</v>
      </c>
      <c r="B183" s="4" t="s">
        <v>187</v>
      </c>
      <c r="C183" s="2" t="s">
        <v>232</v>
      </c>
      <c r="D183" s="2" t="s">
        <v>234</v>
      </c>
      <c r="E183" s="5">
        <v>269335</v>
      </c>
      <c r="F183" s="5">
        <v>9623</v>
      </c>
      <c r="G183" s="3">
        <f t="shared" si="2"/>
        <v>278958</v>
      </c>
    </row>
    <row r="184" spans="1:7" x14ac:dyDescent="0.2">
      <c r="A184" s="2">
        <v>2022</v>
      </c>
      <c r="B184" s="4" t="s">
        <v>188</v>
      </c>
      <c r="C184" s="2" t="s">
        <v>232</v>
      </c>
      <c r="D184" s="2" t="s">
        <v>234</v>
      </c>
      <c r="E184" s="5">
        <v>284237</v>
      </c>
      <c r="F184" s="5">
        <v>10155</v>
      </c>
      <c r="G184" s="3">
        <f t="shared" si="2"/>
        <v>294392</v>
      </c>
    </row>
    <row r="185" spans="1:7" x14ac:dyDescent="0.2">
      <c r="A185" s="2">
        <v>2022</v>
      </c>
      <c r="B185" s="4" t="s">
        <v>189</v>
      </c>
      <c r="C185" s="2" t="s">
        <v>232</v>
      </c>
      <c r="D185" s="2" t="s">
        <v>234</v>
      </c>
      <c r="E185" s="5">
        <v>137345</v>
      </c>
      <c r="F185" s="5">
        <v>4907</v>
      </c>
      <c r="G185" s="3">
        <f t="shared" si="2"/>
        <v>142252</v>
      </c>
    </row>
    <row r="186" spans="1:7" x14ac:dyDescent="0.2">
      <c r="A186" s="2">
        <v>2022</v>
      </c>
      <c r="B186" s="4" t="s">
        <v>249</v>
      </c>
      <c r="C186" s="2" t="s">
        <v>232</v>
      </c>
      <c r="D186" s="2" t="s">
        <v>234</v>
      </c>
      <c r="E186" s="5">
        <v>21511</v>
      </c>
      <c r="F186" s="4">
        <v>769</v>
      </c>
      <c r="G186" s="3">
        <f t="shared" si="2"/>
        <v>22280</v>
      </c>
    </row>
    <row r="187" spans="1:7" x14ac:dyDescent="0.2">
      <c r="A187" s="2">
        <v>2022</v>
      </c>
      <c r="B187" s="4" t="s">
        <v>190</v>
      </c>
      <c r="C187" s="2" t="s">
        <v>232</v>
      </c>
      <c r="D187" s="2" t="s">
        <v>234</v>
      </c>
      <c r="E187" s="5">
        <v>115670</v>
      </c>
      <c r="F187" s="5">
        <v>4133</v>
      </c>
      <c r="G187" s="3">
        <f t="shared" si="2"/>
        <v>119803</v>
      </c>
    </row>
    <row r="188" spans="1:7" x14ac:dyDescent="0.2">
      <c r="A188" s="2">
        <v>2022</v>
      </c>
      <c r="B188" s="4" t="s">
        <v>191</v>
      </c>
      <c r="C188" s="2" t="s">
        <v>232</v>
      </c>
      <c r="D188" s="2" t="s">
        <v>234</v>
      </c>
      <c r="E188" s="5">
        <v>136434</v>
      </c>
      <c r="F188" s="5">
        <v>4874</v>
      </c>
      <c r="G188" s="3">
        <f t="shared" si="2"/>
        <v>141308</v>
      </c>
    </row>
    <row r="189" spans="1:7" x14ac:dyDescent="0.2">
      <c r="A189" s="2">
        <v>2022</v>
      </c>
      <c r="B189" s="4" t="s">
        <v>192</v>
      </c>
      <c r="C189" s="2" t="s">
        <v>232</v>
      </c>
      <c r="D189" s="2" t="s">
        <v>234</v>
      </c>
      <c r="E189" s="5">
        <v>774783</v>
      </c>
      <c r="F189" s="5">
        <v>27681</v>
      </c>
      <c r="G189" s="3">
        <f t="shared" si="2"/>
        <v>802464</v>
      </c>
    </row>
    <row r="190" spans="1:7" x14ac:dyDescent="0.2">
      <c r="A190" s="2">
        <v>2022</v>
      </c>
      <c r="B190" s="4" t="s">
        <v>193</v>
      </c>
      <c r="C190" s="2" t="s">
        <v>232</v>
      </c>
      <c r="D190" s="2" t="s">
        <v>234</v>
      </c>
      <c r="E190" s="5">
        <v>49061</v>
      </c>
      <c r="F190" s="5">
        <v>1753</v>
      </c>
      <c r="G190" s="3">
        <f t="shared" si="2"/>
        <v>50814</v>
      </c>
    </row>
    <row r="191" spans="1:7" x14ac:dyDescent="0.2">
      <c r="A191" s="2">
        <v>2022</v>
      </c>
      <c r="B191" s="4" t="s">
        <v>194</v>
      </c>
      <c r="C191" s="2" t="s">
        <v>232</v>
      </c>
      <c r="D191" s="2" t="s">
        <v>234</v>
      </c>
      <c r="E191" s="5">
        <v>90943</v>
      </c>
      <c r="F191" s="5">
        <v>3249</v>
      </c>
      <c r="G191" s="3">
        <f t="shared" si="2"/>
        <v>94192</v>
      </c>
    </row>
    <row r="192" spans="1:7" x14ac:dyDescent="0.2">
      <c r="A192" s="2">
        <v>2022</v>
      </c>
      <c r="B192" s="4" t="s">
        <v>250</v>
      </c>
      <c r="C192" s="2" t="s">
        <v>232</v>
      </c>
      <c r="D192" s="2" t="s">
        <v>234</v>
      </c>
      <c r="E192" s="5">
        <v>18574</v>
      </c>
      <c r="F192" s="4">
        <v>664</v>
      </c>
      <c r="G192" s="3">
        <f t="shared" si="2"/>
        <v>19238</v>
      </c>
    </row>
    <row r="193" spans="1:7" x14ac:dyDescent="0.2">
      <c r="A193" s="2">
        <v>2022</v>
      </c>
      <c r="B193" s="4" t="s">
        <v>196</v>
      </c>
      <c r="C193" s="2" t="s">
        <v>232</v>
      </c>
      <c r="D193" s="2" t="s">
        <v>234</v>
      </c>
      <c r="E193" s="5">
        <v>96666</v>
      </c>
      <c r="F193" s="5">
        <v>3454</v>
      </c>
      <c r="G193" s="3">
        <f t="shared" si="2"/>
        <v>100120</v>
      </c>
    </row>
    <row r="194" spans="1:7" x14ac:dyDescent="0.2">
      <c r="A194" s="2">
        <v>2022</v>
      </c>
      <c r="B194" s="4" t="s">
        <v>197</v>
      </c>
      <c r="C194" s="2" t="s">
        <v>232</v>
      </c>
      <c r="D194" s="2" t="s">
        <v>234</v>
      </c>
      <c r="E194" s="5">
        <v>82638</v>
      </c>
      <c r="F194" s="5">
        <v>2952</v>
      </c>
      <c r="G194" s="3">
        <f t="shared" si="2"/>
        <v>85590</v>
      </c>
    </row>
    <row r="195" spans="1:7" x14ac:dyDescent="0.2">
      <c r="A195" s="2">
        <v>2022</v>
      </c>
      <c r="B195" s="4" t="s">
        <v>198</v>
      </c>
      <c r="C195" s="2" t="s">
        <v>232</v>
      </c>
      <c r="D195" s="2" t="s">
        <v>234</v>
      </c>
      <c r="E195" s="5">
        <v>16371</v>
      </c>
      <c r="F195" s="4">
        <v>585</v>
      </c>
      <c r="G195" s="3">
        <f t="shared" ref="G195:G225" si="3">SUM(E195:F195)</f>
        <v>16956</v>
      </c>
    </row>
    <row r="196" spans="1:7" x14ac:dyDescent="0.2">
      <c r="A196" s="2">
        <v>2022</v>
      </c>
      <c r="B196" s="4" t="s">
        <v>251</v>
      </c>
      <c r="C196" s="2" t="s">
        <v>232</v>
      </c>
      <c r="D196" s="2" t="s">
        <v>234</v>
      </c>
      <c r="E196" s="5">
        <v>32387</v>
      </c>
      <c r="F196" s="5">
        <v>1157</v>
      </c>
      <c r="G196" s="3">
        <f t="shared" si="3"/>
        <v>33544</v>
      </c>
    </row>
    <row r="197" spans="1:7" x14ac:dyDescent="0.2">
      <c r="A197" s="2">
        <v>2022</v>
      </c>
      <c r="B197" s="4" t="s">
        <v>200</v>
      </c>
      <c r="C197" s="2" t="s">
        <v>232</v>
      </c>
      <c r="D197" s="2" t="s">
        <v>234</v>
      </c>
      <c r="E197" s="5">
        <v>64798</v>
      </c>
      <c r="F197" s="5">
        <v>2315</v>
      </c>
      <c r="G197" s="3">
        <f t="shared" si="3"/>
        <v>67113</v>
      </c>
    </row>
    <row r="198" spans="1:7" x14ac:dyDescent="0.2">
      <c r="A198" s="2">
        <v>2022</v>
      </c>
      <c r="B198" s="4" t="s">
        <v>201</v>
      </c>
      <c r="C198" s="2" t="s">
        <v>232</v>
      </c>
      <c r="D198" s="2" t="s">
        <v>234</v>
      </c>
      <c r="E198" s="5">
        <v>48643</v>
      </c>
      <c r="F198" s="5">
        <v>1738</v>
      </c>
      <c r="G198" s="3">
        <f t="shared" si="3"/>
        <v>50381</v>
      </c>
    </row>
    <row r="199" spans="1:7" x14ac:dyDescent="0.2">
      <c r="A199" s="2">
        <v>2022</v>
      </c>
      <c r="B199" s="4" t="s">
        <v>203</v>
      </c>
      <c r="C199" s="2" t="s">
        <v>232</v>
      </c>
      <c r="D199" s="2" t="s">
        <v>234</v>
      </c>
      <c r="E199" s="5">
        <v>47162</v>
      </c>
      <c r="F199" s="5">
        <v>1685</v>
      </c>
      <c r="G199" s="3">
        <f t="shared" si="3"/>
        <v>48847</v>
      </c>
    </row>
    <row r="200" spans="1:7" x14ac:dyDescent="0.2">
      <c r="A200" s="2">
        <v>2022</v>
      </c>
      <c r="B200" s="4" t="s">
        <v>252</v>
      </c>
      <c r="C200" s="2" t="s">
        <v>232</v>
      </c>
      <c r="D200" s="2" t="s">
        <v>234</v>
      </c>
      <c r="E200" s="5">
        <v>158286</v>
      </c>
      <c r="F200" s="5">
        <v>5655</v>
      </c>
      <c r="G200" s="3">
        <f t="shared" si="3"/>
        <v>163941</v>
      </c>
    </row>
    <row r="201" spans="1:7" x14ac:dyDescent="0.2">
      <c r="A201" s="2">
        <v>2022</v>
      </c>
      <c r="B201" s="4" t="s">
        <v>206</v>
      </c>
      <c r="C201" s="2" t="s">
        <v>232</v>
      </c>
      <c r="D201" s="2" t="s">
        <v>234</v>
      </c>
      <c r="E201" s="5">
        <v>36400</v>
      </c>
      <c r="F201" s="5">
        <v>1300</v>
      </c>
      <c r="G201" s="3">
        <f t="shared" si="3"/>
        <v>37700</v>
      </c>
    </row>
    <row r="202" spans="1:7" x14ac:dyDescent="0.2">
      <c r="A202" s="2">
        <v>2022</v>
      </c>
      <c r="B202" s="4" t="s">
        <v>207</v>
      </c>
      <c r="C202" s="2" t="s">
        <v>232</v>
      </c>
      <c r="D202" s="2" t="s">
        <v>234</v>
      </c>
      <c r="E202" s="5">
        <v>20574</v>
      </c>
      <c r="F202" s="4">
        <v>735</v>
      </c>
      <c r="G202" s="3">
        <f t="shared" si="3"/>
        <v>21309</v>
      </c>
    </row>
    <row r="203" spans="1:7" x14ac:dyDescent="0.2">
      <c r="A203" s="2">
        <v>2022</v>
      </c>
      <c r="B203" s="4" t="s">
        <v>208</v>
      </c>
      <c r="C203" s="2" t="s">
        <v>232</v>
      </c>
      <c r="D203" s="2" t="s">
        <v>234</v>
      </c>
      <c r="E203" s="5">
        <v>83461</v>
      </c>
      <c r="F203" s="5">
        <v>2982</v>
      </c>
      <c r="G203" s="3">
        <f t="shared" si="3"/>
        <v>86443</v>
      </c>
    </row>
    <row r="204" spans="1:7" x14ac:dyDescent="0.2">
      <c r="A204" s="2">
        <v>2022</v>
      </c>
      <c r="B204" s="4" t="s">
        <v>209</v>
      </c>
      <c r="C204" s="2" t="s">
        <v>232</v>
      </c>
      <c r="D204" s="2" t="s">
        <v>234</v>
      </c>
      <c r="E204" s="5">
        <v>140840</v>
      </c>
      <c r="F204" s="5">
        <v>5032</v>
      </c>
      <c r="G204" s="3">
        <f t="shared" si="3"/>
        <v>145872</v>
      </c>
    </row>
    <row r="205" spans="1:7" x14ac:dyDescent="0.2">
      <c r="A205" s="2">
        <v>2022</v>
      </c>
      <c r="B205" s="4" t="s">
        <v>253</v>
      </c>
      <c r="C205" s="2" t="s">
        <v>232</v>
      </c>
      <c r="D205" s="2" t="s">
        <v>234</v>
      </c>
      <c r="E205" s="5">
        <v>7305</v>
      </c>
      <c r="F205" s="4">
        <v>261</v>
      </c>
      <c r="G205" s="3">
        <f t="shared" si="3"/>
        <v>7566</v>
      </c>
    </row>
    <row r="206" spans="1:7" x14ac:dyDescent="0.2">
      <c r="A206" s="2">
        <v>2022</v>
      </c>
      <c r="B206" s="4" t="s">
        <v>254</v>
      </c>
      <c r="C206" s="2" t="s">
        <v>232</v>
      </c>
      <c r="D206" s="2" t="s">
        <v>234</v>
      </c>
      <c r="E206" s="5">
        <v>18687</v>
      </c>
      <c r="F206" s="4">
        <v>668</v>
      </c>
      <c r="G206" s="3">
        <f t="shared" si="3"/>
        <v>19355</v>
      </c>
    </row>
    <row r="207" spans="1:7" x14ac:dyDescent="0.2">
      <c r="A207" s="2">
        <v>2022</v>
      </c>
      <c r="B207" s="4" t="s">
        <v>212</v>
      </c>
      <c r="C207" s="2" t="s">
        <v>232</v>
      </c>
      <c r="D207" s="2" t="s">
        <v>234</v>
      </c>
      <c r="E207" s="5">
        <v>62899</v>
      </c>
      <c r="F207" s="5">
        <v>2247</v>
      </c>
      <c r="G207" s="3">
        <f t="shared" si="3"/>
        <v>65146</v>
      </c>
    </row>
    <row r="208" spans="1:7" x14ac:dyDescent="0.2">
      <c r="A208" s="2">
        <v>2022</v>
      </c>
      <c r="B208" s="4" t="s">
        <v>213</v>
      </c>
      <c r="C208" s="2" t="s">
        <v>232</v>
      </c>
      <c r="D208" s="2" t="s">
        <v>234</v>
      </c>
      <c r="E208" s="5">
        <v>20308</v>
      </c>
      <c r="F208" s="4">
        <v>726</v>
      </c>
      <c r="G208" s="3">
        <f t="shared" si="3"/>
        <v>21034</v>
      </c>
    </row>
    <row r="209" spans="1:7" x14ac:dyDescent="0.2">
      <c r="A209" s="2">
        <v>2022</v>
      </c>
      <c r="B209" s="4" t="s">
        <v>255</v>
      </c>
      <c r="C209" s="2" t="s">
        <v>232</v>
      </c>
      <c r="D209" s="2" t="s">
        <v>234</v>
      </c>
      <c r="E209" s="5">
        <v>351086</v>
      </c>
      <c r="F209" s="5">
        <v>12543</v>
      </c>
      <c r="G209" s="3">
        <f t="shared" si="3"/>
        <v>363629</v>
      </c>
    </row>
    <row r="210" spans="1:7" x14ac:dyDescent="0.2">
      <c r="A210" s="2">
        <v>2022</v>
      </c>
      <c r="B210" s="4" t="s">
        <v>256</v>
      </c>
      <c r="C210" s="2" t="s">
        <v>232</v>
      </c>
      <c r="D210" s="2" t="s">
        <v>234</v>
      </c>
      <c r="E210" s="5">
        <v>2427522</v>
      </c>
      <c r="F210" s="5">
        <v>86730</v>
      </c>
      <c r="G210" s="3">
        <f t="shared" si="3"/>
        <v>2514252</v>
      </c>
    </row>
    <row r="211" spans="1:7" x14ac:dyDescent="0.2">
      <c r="A211" s="2">
        <v>2022</v>
      </c>
      <c r="B211" s="4" t="s">
        <v>215</v>
      </c>
      <c r="C211" s="2" t="s">
        <v>232</v>
      </c>
      <c r="D211" s="2" t="s">
        <v>234</v>
      </c>
      <c r="E211" s="5">
        <v>1095825</v>
      </c>
      <c r="F211" s="5">
        <v>39151</v>
      </c>
      <c r="G211" s="3">
        <f t="shared" si="3"/>
        <v>1134976</v>
      </c>
    </row>
    <row r="212" spans="1:7" x14ac:dyDescent="0.2">
      <c r="A212" s="2">
        <v>2022</v>
      </c>
      <c r="B212" s="4" t="s">
        <v>216</v>
      </c>
      <c r="C212" s="2" t="s">
        <v>232</v>
      </c>
      <c r="D212" s="2" t="s">
        <v>234</v>
      </c>
      <c r="E212" s="5">
        <v>593365</v>
      </c>
      <c r="F212" s="5">
        <v>21200</v>
      </c>
      <c r="G212" s="3">
        <f t="shared" si="3"/>
        <v>614565</v>
      </c>
    </row>
    <row r="213" spans="1:7" x14ac:dyDescent="0.2">
      <c r="A213" s="2">
        <v>2022</v>
      </c>
      <c r="B213" s="4" t="s">
        <v>217</v>
      </c>
      <c r="C213" s="2" t="s">
        <v>232</v>
      </c>
      <c r="D213" s="2" t="s">
        <v>234</v>
      </c>
      <c r="E213" s="5">
        <v>21359</v>
      </c>
      <c r="F213" s="4">
        <v>763</v>
      </c>
      <c r="G213" s="3">
        <f t="shared" si="3"/>
        <v>22122</v>
      </c>
    </row>
    <row r="214" spans="1:7" x14ac:dyDescent="0.2">
      <c r="A214" s="2">
        <v>2022</v>
      </c>
      <c r="B214" s="4" t="s">
        <v>218</v>
      </c>
      <c r="C214" s="2" t="s">
        <v>232</v>
      </c>
      <c r="D214" s="2" t="s">
        <v>234</v>
      </c>
      <c r="E214" s="5">
        <v>83486</v>
      </c>
      <c r="F214" s="5">
        <v>2983</v>
      </c>
      <c r="G214" s="3">
        <f t="shared" si="3"/>
        <v>86469</v>
      </c>
    </row>
    <row r="215" spans="1:7" x14ac:dyDescent="0.2">
      <c r="A215" s="2">
        <v>2022</v>
      </c>
      <c r="B215" s="4" t="s">
        <v>219</v>
      </c>
      <c r="C215" s="2" t="s">
        <v>232</v>
      </c>
      <c r="D215" s="2" t="s">
        <v>234</v>
      </c>
      <c r="E215" s="5">
        <v>2443487</v>
      </c>
      <c r="F215" s="5">
        <v>87300</v>
      </c>
      <c r="G215" s="3">
        <f t="shared" si="3"/>
        <v>2530787</v>
      </c>
    </row>
    <row r="216" spans="1:7" x14ac:dyDescent="0.2">
      <c r="A216" s="2">
        <v>2022</v>
      </c>
      <c r="B216" s="4" t="s">
        <v>220</v>
      </c>
      <c r="C216" s="2" t="s">
        <v>232</v>
      </c>
      <c r="D216" s="2" t="s">
        <v>234</v>
      </c>
      <c r="E216" s="5">
        <v>931119</v>
      </c>
      <c r="F216" s="5">
        <v>33267</v>
      </c>
      <c r="G216" s="3">
        <f t="shared" si="3"/>
        <v>964386</v>
      </c>
    </row>
    <row r="217" spans="1:7" x14ac:dyDescent="0.2">
      <c r="A217" s="2">
        <v>2022</v>
      </c>
      <c r="B217" s="4" t="s">
        <v>221</v>
      </c>
      <c r="C217" s="2" t="s">
        <v>232</v>
      </c>
      <c r="D217" s="2" t="s">
        <v>234</v>
      </c>
      <c r="E217" s="5">
        <v>2995122</v>
      </c>
      <c r="F217" s="5">
        <v>107009</v>
      </c>
      <c r="G217" s="3">
        <f t="shared" si="3"/>
        <v>3102131</v>
      </c>
    </row>
    <row r="218" spans="1:7" x14ac:dyDescent="0.2">
      <c r="A218" s="2">
        <v>2022</v>
      </c>
      <c r="B218" s="4" t="s">
        <v>222</v>
      </c>
      <c r="C218" s="2" t="s">
        <v>232</v>
      </c>
      <c r="D218" s="2" t="s">
        <v>234</v>
      </c>
      <c r="E218" s="5">
        <v>64760</v>
      </c>
      <c r="F218" s="5">
        <v>2314</v>
      </c>
      <c r="G218" s="3">
        <f t="shared" si="3"/>
        <v>67074</v>
      </c>
    </row>
    <row r="219" spans="1:7" x14ac:dyDescent="0.2">
      <c r="A219" s="2">
        <v>2022</v>
      </c>
      <c r="B219" s="4" t="s">
        <v>257</v>
      </c>
      <c r="C219" s="2" t="s">
        <v>232</v>
      </c>
      <c r="D219" s="2" t="s">
        <v>234</v>
      </c>
      <c r="E219" s="5">
        <v>30260</v>
      </c>
      <c r="F219" s="5">
        <v>1081</v>
      </c>
      <c r="G219" s="3">
        <f t="shared" si="3"/>
        <v>31341</v>
      </c>
    </row>
    <row r="220" spans="1:7" x14ac:dyDescent="0.2">
      <c r="A220" s="2">
        <v>2022</v>
      </c>
      <c r="B220" s="4" t="s">
        <v>258</v>
      </c>
      <c r="C220" s="2" t="s">
        <v>232</v>
      </c>
      <c r="D220" s="2" t="s">
        <v>234</v>
      </c>
      <c r="E220" s="5">
        <v>7913</v>
      </c>
      <c r="F220" s="4">
        <v>283</v>
      </c>
      <c r="G220" s="3">
        <f t="shared" si="3"/>
        <v>8196</v>
      </c>
    </row>
    <row r="221" spans="1:7" x14ac:dyDescent="0.2">
      <c r="A221" s="2">
        <v>2022</v>
      </c>
      <c r="B221" s="4" t="s">
        <v>226</v>
      </c>
      <c r="C221" s="2" t="s">
        <v>232</v>
      </c>
      <c r="D221" s="2" t="s">
        <v>234</v>
      </c>
      <c r="E221" s="5">
        <v>38628</v>
      </c>
      <c r="F221" s="5">
        <v>1380</v>
      </c>
      <c r="G221" s="3">
        <f t="shared" si="3"/>
        <v>40008</v>
      </c>
    </row>
    <row r="222" spans="1:7" x14ac:dyDescent="0.2">
      <c r="A222" s="2">
        <v>2022</v>
      </c>
      <c r="B222" s="4" t="s">
        <v>259</v>
      </c>
      <c r="C222" s="2" t="s">
        <v>232</v>
      </c>
      <c r="D222" s="2" t="s">
        <v>234</v>
      </c>
      <c r="E222" s="5">
        <v>329765</v>
      </c>
      <c r="F222" s="5">
        <v>11782</v>
      </c>
      <c r="G222" s="3">
        <f t="shared" si="3"/>
        <v>341547</v>
      </c>
    </row>
    <row r="223" spans="1:7" x14ac:dyDescent="0.2">
      <c r="A223" s="2">
        <v>2022</v>
      </c>
      <c r="B223" s="4" t="s">
        <v>260</v>
      </c>
      <c r="C223" s="2" t="s">
        <v>232</v>
      </c>
      <c r="D223" s="2" t="s">
        <v>234</v>
      </c>
      <c r="E223" s="5">
        <v>22384</v>
      </c>
      <c r="F223" s="4">
        <v>800</v>
      </c>
      <c r="G223" s="3">
        <f t="shared" si="3"/>
        <v>23184</v>
      </c>
    </row>
    <row r="224" spans="1:7" x14ac:dyDescent="0.2">
      <c r="A224" s="2">
        <v>2022</v>
      </c>
      <c r="B224" s="4" t="s">
        <v>228</v>
      </c>
      <c r="C224" s="2" t="s">
        <v>232</v>
      </c>
      <c r="D224" s="2" t="s">
        <v>234</v>
      </c>
      <c r="E224" s="5">
        <v>41262</v>
      </c>
      <c r="F224" s="5">
        <v>1474</v>
      </c>
      <c r="G224" s="3">
        <f t="shared" si="3"/>
        <v>42736</v>
      </c>
    </row>
    <row r="225" spans="1:7" x14ac:dyDescent="0.2">
      <c r="A225" s="2">
        <v>2022</v>
      </c>
      <c r="B225" s="4" t="s">
        <v>229</v>
      </c>
      <c r="C225" s="2" t="s">
        <v>232</v>
      </c>
      <c r="D225" s="2" t="s">
        <v>234</v>
      </c>
      <c r="E225" s="5">
        <v>45516</v>
      </c>
      <c r="F225" s="5">
        <v>1626</v>
      </c>
      <c r="G225" s="3">
        <f t="shared" si="3"/>
        <v>47142</v>
      </c>
    </row>
    <row r="227" spans="1:7" x14ac:dyDescent="0.2">
      <c r="D227" s="2" t="s">
        <v>274</v>
      </c>
      <c r="E227" s="3">
        <f>SUM(E2:E225)</f>
        <v>1266088195</v>
      </c>
      <c r="F227" s="3">
        <f>SUM(F2:F225)</f>
        <v>45234318</v>
      </c>
    </row>
    <row r="229" spans="1:7" x14ac:dyDescent="0.2">
      <c r="D229" s="8" t="s">
        <v>275</v>
      </c>
      <c r="E229" s="6">
        <v>1266088182</v>
      </c>
      <c r="F229" s="6">
        <v>45234317</v>
      </c>
    </row>
    <row r="231" spans="1:7" x14ac:dyDescent="0.2">
      <c r="D231" s="8" t="s">
        <v>276</v>
      </c>
      <c r="E231" s="6">
        <f>E227-E229</f>
        <v>13</v>
      </c>
      <c r="F231" s="6">
        <f>F227-F229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3172-7CEE-5E43-AB1C-5E9F6EA6C589}">
  <sheetPr>
    <tabColor rgb="FFFFFF00"/>
  </sheetPr>
  <dimension ref="A1:H231"/>
  <sheetViews>
    <sheetView topLeftCell="A71" workbookViewId="0">
      <selection activeCell="C81" sqref="C81"/>
    </sheetView>
  </sheetViews>
  <sheetFormatPr baseColWidth="10" defaultRowHeight="16" x14ac:dyDescent="0.2"/>
  <cols>
    <col min="1" max="1" width="13.33203125" style="2" customWidth="1"/>
    <col min="2" max="2" width="58.1640625" style="2" bestFit="1" customWidth="1"/>
    <col min="3" max="4" width="12.33203125" style="2" customWidth="1"/>
    <col min="5" max="5" width="18.83203125" style="2" bestFit="1" customWidth="1"/>
    <col min="6" max="6" width="17.1640625" style="2" bestFit="1" customWidth="1"/>
    <col min="7" max="7" width="16.83203125" style="2" bestFit="1" customWidth="1"/>
    <col min="8" max="8" width="10.83203125" style="2"/>
  </cols>
  <sheetData>
    <row r="1" spans="1:7" x14ac:dyDescent="0.2">
      <c r="A1" s="2" t="s">
        <v>235</v>
      </c>
      <c r="B1" s="2" t="s">
        <v>230</v>
      </c>
      <c r="C1" s="2" t="s">
        <v>231</v>
      </c>
      <c r="D1" s="2" t="s">
        <v>233</v>
      </c>
      <c r="E1" s="2" t="s">
        <v>280</v>
      </c>
      <c r="F1" s="2" t="s">
        <v>281</v>
      </c>
      <c r="G1" s="2" t="s">
        <v>304</v>
      </c>
    </row>
    <row r="2" spans="1:7" x14ac:dyDescent="0.2">
      <c r="A2" s="2">
        <v>2021</v>
      </c>
      <c r="B2" s="4" t="s">
        <v>0</v>
      </c>
      <c r="C2" s="2" t="s">
        <v>232</v>
      </c>
      <c r="D2" s="2" t="s">
        <v>234</v>
      </c>
      <c r="E2" s="5">
        <v>11159926</v>
      </c>
      <c r="F2" s="5">
        <v>388447</v>
      </c>
      <c r="G2" s="3">
        <f>SUM(E2:F2)</f>
        <v>11548373</v>
      </c>
    </row>
    <row r="3" spans="1:7" x14ac:dyDescent="0.2">
      <c r="A3" s="2">
        <v>2021</v>
      </c>
      <c r="B3" s="4" t="s">
        <v>1</v>
      </c>
      <c r="C3" s="2" t="s">
        <v>232</v>
      </c>
      <c r="D3" s="2" t="s">
        <v>234</v>
      </c>
      <c r="E3" s="5">
        <v>5537199</v>
      </c>
      <c r="F3" s="5">
        <v>192735</v>
      </c>
      <c r="G3" s="3">
        <f t="shared" ref="G3:G66" si="0">SUM(E3:F3)</f>
        <v>5729934</v>
      </c>
    </row>
    <row r="4" spans="1:7" x14ac:dyDescent="0.2">
      <c r="A4" s="2">
        <v>2021</v>
      </c>
      <c r="B4" s="4" t="s">
        <v>2</v>
      </c>
      <c r="C4" s="2" t="s">
        <v>232</v>
      </c>
      <c r="D4" s="2" t="s">
        <v>234</v>
      </c>
      <c r="E4" s="5">
        <v>30482997</v>
      </c>
      <c r="F4" s="5">
        <v>1061032</v>
      </c>
      <c r="G4" s="3">
        <f t="shared" si="0"/>
        <v>31544029</v>
      </c>
    </row>
    <row r="5" spans="1:7" x14ac:dyDescent="0.2">
      <c r="A5" s="2">
        <v>2021</v>
      </c>
      <c r="B5" s="4" t="s">
        <v>3</v>
      </c>
      <c r="C5" s="2" t="s">
        <v>232</v>
      </c>
      <c r="D5" s="2" t="s">
        <v>234</v>
      </c>
      <c r="E5" s="5">
        <v>4259775</v>
      </c>
      <c r="F5" s="5">
        <v>148271</v>
      </c>
      <c r="G5" s="3">
        <f t="shared" si="0"/>
        <v>4408046</v>
      </c>
    </row>
    <row r="6" spans="1:7" x14ac:dyDescent="0.2">
      <c r="A6" s="2">
        <v>2021</v>
      </c>
      <c r="B6" s="4" t="s">
        <v>4</v>
      </c>
      <c r="C6" s="2" t="s">
        <v>232</v>
      </c>
      <c r="D6" s="2" t="s">
        <v>234</v>
      </c>
      <c r="E6" s="5">
        <v>5004371</v>
      </c>
      <c r="F6" s="5">
        <v>174189</v>
      </c>
      <c r="G6" s="3">
        <f t="shared" si="0"/>
        <v>5178560</v>
      </c>
    </row>
    <row r="7" spans="1:7" x14ac:dyDescent="0.2">
      <c r="A7" s="2">
        <v>2021</v>
      </c>
      <c r="B7" s="4" t="s">
        <v>5</v>
      </c>
      <c r="C7" s="2" t="s">
        <v>232</v>
      </c>
      <c r="D7" s="2" t="s">
        <v>234</v>
      </c>
      <c r="E7" s="5">
        <v>7601593</v>
      </c>
      <c r="F7" s="5">
        <v>264591</v>
      </c>
      <c r="G7" s="3">
        <f t="shared" si="0"/>
        <v>7866184</v>
      </c>
    </row>
    <row r="8" spans="1:7" x14ac:dyDescent="0.2">
      <c r="A8" s="2">
        <v>2021</v>
      </c>
      <c r="B8" s="4" t="s">
        <v>6</v>
      </c>
      <c r="C8" s="2" t="s">
        <v>232</v>
      </c>
      <c r="D8" s="2" t="s">
        <v>234</v>
      </c>
      <c r="E8" s="5">
        <v>4152118</v>
      </c>
      <c r="F8" s="5">
        <v>144524</v>
      </c>
      <c r="G8" s="3">
        <f t="shared" si="0"/>
        <v>4296642</v>
      </c>
    </row>
    <row r="9" spans="1:7" x14ac:dyDescent="0.2">
      <c r="A9" s="2">
        <v>2021</v>
      </c>
      <c r="B9" s="4" t="s">
        <v>7</v>
      </c>
      <c r="C9" s="2" t="s">
        <v>232</v>
      </c>
      <c r="D9" s="2" t="s">
        <v>234</v>
      </c>
      <c r="E9" s="5">
        <v>30592389</v>
      </c>
      <c r="F9" s="5">
        <v>1064839</v>
      </c>
      <c r="G9" s="3">
        <f t="shared" si="0"/>
        <v>31657228</v>
      </c>
    </row>
    <row r="10" spans="1:7" x14ac:dyDescent="0.2">
      <c r="A10" s="2">
        <v>2021</v>
      </c>
      <c r="B10" s="4" t="s">
        <v>8</v>
      </c>
      <c r="C10" s="2" t="s">
        <v>232</v>
      </c>
      <c r="D10" s="2" t="s">
        <v>234</v>
      </c>
      <c r="E10" s="5">
        <v>49479020</v>
      </c>
      <c r="F10" s="5">
        <v>1722233</v>
      </c>
      <c r="G10" s="3">
        <f t="shared" si="0"/>
        <v>51201253</v>
      </c>
    </row>
    <row r="11" spans="1:7" x14ac:dyDescent="0.2">
      <c r="A11" s="2">
        <v>2021</v>
      </c>
      <c r="B11" s="4" t="s">
        <v>9</v>
      </c>
      <c r="C11" s="2" t="s">
        <v>232</v>
      </c>
      <c r="D11" s="2" t="s">
        <v>234</v>
      </c>
      <c r="E11" s="5">
        <v>47022481</v>
      </c>
      <c r="F11" s="5">
        <v>1636727</v>
      </c>
      <c r="G11" s="3">
        <f t="shared" si="0"/>
        <v>48659208</v>
      </c>
    </row>
    <row r="12" spans="1:7" x14ac:dyDescent="0.2">
      <c r="A12" s="2">
        <v>2021</v>
      </c>
      <c r="B12" s="4" t="s">
        <v>10</v>
      </c>
      <c r="C12" s="2" t="s">
        <v>232</v>
      </c>
      <c r="D12" s="2" t="s">
        <v>234</v>
      </c>
      <c r="E12" s="5">
        <v>2631091</v>
      </c>
      <c r="F12" s="5">
        <v>91581</v>
      </c>
      <c r="G12" s="3">
        <f t="shared" si="0"/>
        <v>2722672</v>
      </c>
    </row>
    <row r="13" spans="1:7" x14ac:dyDescent="0.2">
      <c r="A13" s="2">
        <v>2021</v>
      </c>
      <c r="B13" s="4" t="s">
        <v>11</v>
      </c>
      <c r="C13" s="2" t="s">
        <v>232</v>
      </c>
      <c r="D13" s="2" t="s">
        <v>234</v>
      </c>
      <c r="E13" s="5">
        <v>2646240</v>
      </c>
      <c r="F13" s="5">
        <v>92109</v>
      </c>
      <c r="G13" s="3">
        <f t="shared" si="0"/>
        <v>2738349</v>
      </c>
    </row>
    <row r="14" spans="1:7" x14ac:dyDescent="0.2">
      <c r="A14" s="2">
        <v>2021</v>
      </c>
      <c r="B14" s="4" t="s">
        <v>12</v>
      </c>
      <c r="C14" s="2" t="s">
        <v>232</v>
      </c>
      <c r="D14" s="2" t="s">
        <v>234</v>
      </c>
      <c r="E14" s="5">
        <v>1232671</v>
      </c>
      <c r="F14" s="5">
        <v>42906</v>
      </c>
      <c r="G14" s="3">
        <f t="shared" si="0"/>
        <v>1275577</v>
      </c>
    </row>
    <row r="15" spans="1:7" x14ac:dyDescent="0.2">
      <c r="A15" s="2">
        <v>2021</v>
      </c>
      <c r="B15" s="4" t="s">
        <v>13</v>
      </c>
      <c r="C15" s="2" t="s">
        <v>232</v>
      </c>
      <c r="D15" s="2" t="s">
        <v>234</v>
      </c>
      <c r="E15" s="5">
        <v>2602106</v>
      </c>
      <c r="F15" s="5">
        <v>90572</v>
      </c>
      <c r="G15" s="3">
        <f t="shared" si="0"/>
        <v>2692678</v>
      </c>
    </row>
    <row r="16" spans="1:7" x14ac:dyDescent="0.2">
      <c r="A16" s="2">
        <v>2021</v>
      </c>
      <c r="B16" s="4" t="s">
        <v>14</v>
      </c>
      <c r="C16" s="2" t="s">
        <v>232</v>
      </c>
      <c r="D16" s="2" t="s">
        <v>234</v>
      </c>
      <c r="E16" s="5">
        <v>4953196</v>
      </c>
      <c r="F16" s="5">
        <v>172408</v>
      </c>
      <c r="G16" s="3">
        <f t="shared" si="0"/>
        <v>5125604</v>
      </c>
    </row>
    <row r="17" spans="1:7" x14ac:dyDescent="0.2">
      <c r="A17" s="2">
        <v>2021</v>
      </c>
      <c r="B17" s="4" t="s">
        <v>15</v>
      </c>
      <c r="C17" s="2" t="s">
        <v>232</v>
      </c>
      <c r="D17" s="2" t="s">
        <v>234</v>
      </c>
      <c r="E17" s="5">
        <v>8469453</v>
      </c>
      <c r="F17" s="5">
        <v>294799</v>
      </c>
      <c r="G17" s="3">
        <f t="shared" si="0"/>
        <v>8764252</v>
      </c>
    </row>
    <row r="18" spans="1:7" x14ac:dyDescent="0.2">
      <c r="A18" s="2">
        <v>2021</v>
      </c>
      <c r="B18" s="4" t="s">
        <v>16</v>
      </c>
      <c r="C18" s="2" t="s">
        <v>232</v>
      </c>
      <c r="D18" s="2" t="s">
        <v>234</v>
      </c>
      <c r="E18" s="5">
        <v>61429833</v>
      </c>
      <c r="F18" s="5">
        <v>2138209</v>
      </c>
      <c r="G18" s="3">
        <f t="shared" si="0"/>
        <v>63568042</v>
      </c>
    </row>
    <row r="19" spans="1:7" x14ac:dyDescent="0.2">
      <c r="A19" s="2">
        <v>2021</v>
      </c>
      <c r="B19" s="4" t="s">
        <v>17</v>
      </c>
      <c r="C19" s="2" t="s">
        <v>232</v>
      </c>
      <c r="D19" s="2" t="s">
        <v>234</v>
      </c>
      <c r="E19" s="5">
        <v>1127283</v>
      </c>
      <c r="F19" s="5">
        <v>39238</v>
      </c>
      <c r="G19" s="3">
        <f t="shared" si="0"/>
        <v>1166521</v>
      </c>
    </row>
    <row r="20" spans="1:7" x14ac:dyDescent="0.2">
      <c r="A20" s="2">
        <v>2021</v>
      </c>
      <c r="B20" s="4" t="s">
        <v>18</v>
      </c>
      <c r="C20" s="2" t="s">
        <v>232</v>
      </c>
      <c r="D20" s="2" t="s">
        <v>234</v>
      </c>
      <c r="E20" s="5">
        <v>2362011</v>
      </c>
      <c r="F20" s="5">
        <v>82215</v>
      </c>
      <c r="G20" s="3">
        <f t="shared" si="0"/>
        <v>2444226</v>
      </c>
    </row>
    <row r="21" spans="1:7" x14ac:dyDescent="0.2">
      <c r="A21" s="2">
        <v>2021</v>
      </c>
      <c r="B21" s="4" t="s">
        <v>19</v>
      </c>
      <c r="C21" s="2" t="s">
        <v>232</v>
      </c>
      <c r="D21" s="2" t="s">
        <v>234</v>
      </c>
      <c r="E21" s="5">
        <v>6911110</v>
      </c>
      <c r="F21" s="5">
        <v>240557</v>
      </c>
      <c r="G21" s="3">
        <f t="shared" si="0"/>
        <v>7151667</v>
      </c>
    </row>
    <row r="22" spans="1:7" x14ac:dyDescent="0.2">
      <c r="A22" s="2">
        <v>2021</v>
      </c>
      <c r="B22" s="4" t="s">
        <v>20</v>
      </c>
      <c r="C22" s="2" t="s">
        <v>232</v>
      </c>
      <c r="D22" s="2" t="s">
        <v>234</v>
      </c>
      <c r="E22" s="5">
        <v>3999683</v>
      </c>
      <c r="F22" s="5">
        <v>139218</v>
      </c>
      <c r="G22" s="3">
        <f t="shared" si="0"/>
        <v>4138901</v>
      </c>
    </row>
    <row r="23" spans="1:7" x14ac:dyDescent="0.2">
      <c r="A23" s="2">
        <v>2021</v>
      </c>
      <c r="B23" s="4" t="s">
        <v>21</v>
      </c>
      <c r="C23" s="2" t="s">
        <v>232</v>
      </c>
      <c r="D23" s="2" t="s">
        <v>234</v>
      </c>
      <c r="E23" s="5">
        <v>3425015</v>
      </c>
      <c r="F23" s="5">
        <v>119216</v>
      </c>
      <c r="G23" s="3">
        <f t="shared" si="0"/>
        <v>3544231</v>
      </c>
    </row>
    <row r="24" spans="1:7" x14ac:dyDescent="0.2">
      <c r="A24" s="2">
        <v>2021</v>
      </c>
      <c r="B24" s="4" t="s">
        <v>22</v>
      </c>
      <c r="C24" s="2" t="s">
        <v>232</v>
      </c>
      <c r="D24" s="2" t="s">
        <v>234</v>
      </c>
      <c r="E24" s="5">
        <v>15815516</v>
      </c>
      <c r="F24" s="5">
        <v>550496</v>
      </c>
      <c r="G24" s="3">
        <f t="shared" si="0"/>
        <v>16366012</v>
      </c>
    </row>
    <row r="25" spans="1:7" x14ac:dyDescent="0.2">
      <c r="A25" s="2">
        <v>2021</v>
      </c>
      <c r="B25" s="4" t="s">
        <v>23</v>
      </c>
      <c r="C25" s="2" t="s">
        <v>232</v>
      </c>
      <c r="D25" s="2" t="s">
        <v>234</v>
      </c>
      <c r="E25" s="5">
        <v>9289535</v>
      </c>
      <c r="F25" s="5">
        <v>323344</v>
      </c>
      <c r="G25" s="3">
        <f t="shared" si="0"/>
        <v>9612879</v>
      </c>
    </row>
    <row r="26" spans="1:7" x14ac:dyDescent="0.2">
      <c r="A26" s="2">
        <v>2021</v>
      </c>
      <c r="B26" s="4" t="s">
        <v>24</v>
      </c>
      <c r="C26" s="2" t="s">
        <v>232</v>
      </c>
      <c r="D26" s="2" t="s">
        <v>234</v>
      </c>
      <c r="E26" s="5">
        <v>3155910</v>
      </c>
      <c r="F26" s="5">
        <v>109849</v>
      </c>
      <c r="G26" s="3">
        <f t="shared" si="0"/>
        <v>3265759</v>
      </c>
    </row>
    <row r="27" spans="1:7" x14ac:dyDescent="0.2">
      <c r="A27" s="2">
        <v>2021</v>
      </c>
      <c r="B27" s="4" t="s">
        <v>25</v>
      </c>
      <c r="C27" s="2" t="s">
        <v>232</v>
      </c>
      <c r="D27" s="2" t="s">
        <v>234</v>
      </c>
      <c r="E27" s="5">
        <v>61003595</v>
      </c>
      <c r="F27" s="5">
        <v>2123372</v>
      </c>
      <c r="G27" s="3">
        <f t="shared" si="0"/>
        <v>63126967</v>
      </c>
    </row>
    <row r="28" spans="1:7" x14ac:dyDescent="0.2">
      <c r="A28" s="2">
        <v>2021</v>
      </c>
      <c r="B28" s="4" t="s">
        <v>26</v>
      </c>
      <c r="C28" s="2" t="s">
        <v>232</v>
      </c>
      <c r="D28" s="2" t="s">
        <v>234</v>
      </c>
      <c r="E28" s="5">
        <v>7212819</v>
      </c>
      <c r="F28" s="5">
        <v>251059</v>
      </c>
      <c r="G28" s="3">
        <f t="shared" si="0"/>
        <v>7463878</v>
      </c>
    </row>
    <row r="29" spans="1:7" x14ac:dyDescent="0.2">
      <c r="A29" s="2">
        <v>2021</v>
      </c>
      <c r="B29" s="4" t="s">
        <v>27</v>
      </c>
      <c r="C29" s="2" t="s">
        <v>232</v>
      </c>
      <c r="D29" s="2" t="s">
        <v>234</v>
      </c>
      <c r="E29" s="5">
        <v>41589752</v>
      </c>
      <c r="F29" s="5">
        <v>1447628</v>
      </c>
      <c r="G29" s="3">
        <f t="shared" si="0"/>
        <v>43037380</v>
      </c>
    </row>
    <row r="30" spans="1:7" x14ac:dyDescent="0.2">
      <c r="A30" s="2">
        <v>2021</v>
      </c>
      <c r="B30" s="4" t="s">
        <v>28</v>
      </c>
      <c r="C30" s="2" t="s">
        <v>232</v>
      </c>
      <c r="D30" s="2" t="s">
        <v>234</v>
      </c>
      <c r="E30" s="5">
        <v>16783050</v>
      </c>
      <c r="F30" s="5">
        <v>584173</v>
      </c>
      <c r="G30" s="3">
        <f t="shared" si="0"/>
        <v>17367223</v>
      </c>
    </row>
    <row r="31" spans="1:7" x14ac:dyDescent="0.2">
      <c r="A31" s="2">
        <v>2021</v>
      </c>
      <c r="B31" s="4" t="s">
        <v>29</v>
      </c>
      <c r="C31" s="2" t="s">
        <v>232</v>
      </c>
      <c r="D31" s="2" t="s">
        <v>234</v>
      </c>
      <c r="E31" s="5">
        <v>3605430</v>
      </c>
      <c r="F31" s="5">
        <v>125495</v>
      </c>
      <c r="G31" s="3">
        <f t="shared" si="0"/>
        <v>3730925</v>
      </c>
    </row>
    <row r="32" spans="1:7" x14ac:dyDescent="0.2">
      <c r="A32" s="2">
        <v>2021</v>
      </c>
      <c r="B32" s="4" t="s">
        <v>30</v>
      </c>
      <c r="C32" s="2" t="s">
        <v>232</v>
      </c>
      <c r="D32" s="2" t="s">
        <v>234</v>
      </c>
      <c r="E32" s="5">
        <v>8661794</v>
      </c>
      <c r="F32" s="5">
        <v>301494</v>
      </c>
      <c r="G32" s="3">
        <f t="shared" si="0"/>
        <v>8963288</v>
      </c>
    </row>
    <row r="33" spans="1:7" x14ac:dyDescent="0.2">
      <c r="A33" s="2">
        <v>2021</v>
      </c>
      <c r="B33" s="4" t="s">
        <v>31</v>
      </c>
      <c r="C33" s="2" t="s">
        <v>232</v>
      </c>
      <c r="D33" s="2" t="s">
        <v>234</v>
      </c>
      <c r="E33" s="5">
        <v>31380040</v>
      </c>
      <c r="F33" s="5">
        <v>1092256</v>
      </c>
      <c r="G33" s="3">
        <f t="shared" si="0"/>
        <v>32472296</v>
      </c>
    </row>
    <row r="34" spans="1:7" x14ac:dyDescent="0.2">
      <c r="A34" s="2">
        <v>2021</v>
      </c>
      <c r="B34" s="4" t="s">
        <v>32</v>
      </c>
      <c r="C34" s="2" t="s">
        <v>232</v>
      </c>
      <c r="D34" s="2" t="s">
        <v>234</v>
      </c>
      <c r="E34" s="5">
        <v>1815447</v>
      </c>
      <c r="F34" s="5">
        <v>63191</v>
      </c>
      <c r="G34" s="3">
        <f t="shared" si="0"/>
        <v>1878638</v>
      </c>
    </row>
    <row r="35" spans="1:7" x14ac:dyDescent="0.2">
      <c r="A35" s="2">
        <v>2021</v>
      </c>
      <c r="B35" s="4" t="s">
        <v>33</v>
      </c>
      <c r="C35" s="2" t="s">
        <v>232</v>
      </c>
      <c r="D35" s="2" t="s">
        <v>234</v>
      </c>
      <c r="E35" s="5">
        <v>3491240</v>
      </c>
      <c r="F35" s="5">
        <v>121521</v>
      </c>
      <c r="G35" s="3">
        <f t="shared" si="0"/>
        <v>3612761</v>
      </c>
    </row>
    <row r="36" spans="1:7" x14ac:dyDescent="0.2">
      <c r="A36" s="2">
        <v>2021</v>
      </c>
      <c r="B36" s="4" t="s">
        <v>34</v>
      </c>
      <c r="C36" s="2" t="s">
        <v>232</v>
      </c>
      <c r="D36" s="2" t="s">
        <v>234</v>
      </c>
      <c r="E36" s="5">
        <v>7977436</v>
      </c>
      <c r="F36" s="5">
        <v>277673</v>
      </c>
      <c r="G36" s="3">
        <f t="shared" si="0"/>
        <v>8255109</v>
      </c>
    </row>
    <row r="37" spans="1:7" x14ac:dyDescent="0.2">
      <c r="A37" s="2">
        <v>2021</v>
      </c>
      <c r="B37" s="4" t="s">
        <v>35</v>
      </c>
      <c r="C37" s="2" t="s">
        <v>232</v>
      </c>
      <c r="D37" s="2" t="s">
        <v>234</v>
      </c>
      <c r="E37" s="5">
        <v>4216236</v>
      </c>
      <c r="F37" s="5">
        <v>146756</v>
      </c>
      <c r="G37" s="3">
        <f t="shared" si="0"/>
        <v>4362992</v>
      </c>
    </row>
    <row r="38" spans="1:7" x14ac:dyDescent="0.2">
      <c r="A38" s="2">
        <v>2021</v>
      </c>
      <c r="B38" s="4" t="s">
        <v>36</v>
      </c>
      <c r="C38" s="2" t="s">
        <v>232</v>
      </c>
      <c r="D38" s="2" t="s">
        <v>234</v>
      </c>
      <c r="E38" s="5">
        <v>23896010</v>
      </c>
      <c r="F38" s="5">
        <v>831756</v>
      </c>
      <c r="G38" s="3">
        <f t="shared" si="0"/>
        <v>24727766</v>
      </c>
    </row>
    <row r="39" spans="1:7" x14ac:dyDescent="0.2">
      <c r="A39" s="2">
        <v>2021</v>
      </c>
      <c r="B39" s="4" t="s">
        <v>37</v>
      </c>
      <c r="C39" s="2" t="s">
        <v>232</v>
      </c>
      <c r="D39" s="2" t="s">
        <v>234</v>
      </c>
      <c r="E39" s="5">
        <v>7384965</v>
      </c>
      <c r="F39" s="5">
        <v>257051</v>
      </c>
      <c r="G39" s="3">
        <f t="shared" si="0"/>
        <v>7642016</v>
      </c>
    </row>
    <row r="40" spans="1:7" x14ac:dyDescent="0.2">
      <c r="A40" s="2">
        <v>2021</v>
      </c>
      <c r="B40" s="4" t="s">
        <v>38</v>
      </c>
      <c r="C40" s="2" t="s">
        <v>232</v>
      </c>
      <c r="D40" s="2" t="s">
        <v>234</v>
      </c>
      <c r="E40" s="5">
        <v>3620418</v>
      </c>
      <c r="F40" s="5">
        <v>126017</v>
      </c>
      <c r="G40" s="3">
        <f t="shared" si="0"/>
        <v>3746435</v>
      </c>
    </row>
    <row r="41" spans="1:7" x14ac:dyDescent="0.2">
      <c r="A41" s="2">
        <v>2021</v>
      </c>
      <c r="B41" s="4" t="s">
        <v>39</v>
      </c>
      <c r="C41" s="2" t="s">
        <v>232</v>
      </c>
      <c r="D41" s="2" t="s">
        <v>234</v>
      </c>
      <c r="E41" s="5">
        <v>32567462</v>
      </c>
      <c r="F41" s="5">
        <v>1133586</v>
      </c>
      <c r="G41" s="3">
        <f t="shared" si="0"/>
        <v>33701048</v>
      </c>
    </row>
    <row r="42" spans="1:7" x14ac:dyDescent="0.2">
      <c r="A42" s="2">
        <v>2021</v>
      </c>
      <c r="B42" s="4" t="s">
        <v>40</v>
      </c>
      <c r="C42" s="2" t="s">
        <v>232</v>
      </c>
      <c r="D42" s="2" t="s">
        <v>234</v>
      </c>
      <c r="E42" s="5">
        <v>2859979</v>
      </c>
      <c r="F42" s="5">
        <v>99548</v>
      </c>
      <c r="G42" s="3">
        <f t="shared" si="0"/>
        <v>2959527</v>
      </c>
    </row>
    <row r="43" spans="1:7" x14ac:dyDescent="0.2">
      <c r="A43" s="2">
        <v>2021</v>
      </c>
      <c r="B43" s="4" t="s">
        <v>41</v>
      </c>
      <c r="C43" s="2" t="s">
        <v>232</v>
      </c>
      <c r="D43" s="2" t="s">
        <v>234</v>
      </c>
      <c r="E43" s="5">
        <v>3757084</v>
      </c>
      <c r="F43" s="5">
        <v>130774</v>
      </c>
      <c r="G43" s="3">
        <f t="shared" si="0"/>
        <v>3887858</v>
      </c>
    </row>
    <row r="44" spans="1:7" x14ac:dyDescent="0.2">
      <c r="A44" s="2">
        <v>2021</v>
      </c>
      <c r="B44" s="4" t="s">
        <v>42</v>
      </c>
      <c r="C44" s="2" t="s">
        <v>232</v>
      </c>
      <c r="D44" s="2" t="s">
        <v>234</v>
      </c>
      <c r="E44" s="5">
        <v>5995942</v>
      </c>
      <c r="F44" s="5">
        <v>208703</v>
      </c>
      <c r="G44" s="3">
        <f t="shared" si="0"/>
        <v>6204645</v>
      </c>
    </row>
    <row r="45" spans="1:7" x14ac:dyDescent="0.2">
      <c r="A45" s="2">
        <v>2021</v>
      </c>
      <c r="B45" s="4" t="s">
        <v>261</v>
      </c>
      <c r="C45" s="2" t="s">
        <v>232</v>
      </c>
      <c r="D45" s="2" t="s">
        <v>234</v>
      </c>
      <c r="E45" s="5">
        <v>9974426</v>
      </c>
      <c r="F45" s="5">
        <v>347183</v>
      </c>
      <c r="G45" s="3">
        <f t="shared" si="0"/>
        <v>10321609</v>
      </c>
    </row>
    <row r="46" spans="1:7" x14ac:dyDescent="0.2">
      <c r="A46" s="2">
        <v>2021</v>
      </c>
      <c r="B46" s="4" t="s">
        <v>262</v>
      </c>
      <c r="C46" s="2" t="s">
        <v>232</v>
      </c>
      <c r="D46" s="2" t="s">
        <v>234</v>
      </c>
      <c r="E46" s="5">
        <v>19600432</v>
      </c>
      <c r="F46" s="5">
        <v>682239</v>
      </c>
      <c r="G46" s="3">
        <f t="shared" si="0"/>
        <v>20282671</v>
      </c>
    </row>
    <row r="47" spans="1:7" x14ac:dyDescent="0.2">
      <c r="A47" s="2">
        <v>2021</v>
      </c>
      <c r="B47" s="4" t="s">
        <v>45</v>
      </c>
      <c r="C47" s="2" t="s">
        <v>232</v>
      </c>
      <c r="D47" s="2" t="s">
        <v>234</v>
      </c>
      <c r="E47" s="5">
        <v>1813550</v>
      </c>
      <c r="F47" s="5">
        <v>63125</v>
      </c>
      <c r="G47" s="3">
        <f t="shared" si="0"/>
        <v>1876675</v>
      </c>
    </row>
    <row r="48" spans="1:7" x14ac:dyDescent="0.2">
      <c r="A48" s="2">
        <v>2021</v>
      </c>
      <c r="B48" s="4" t="s">
        <v>263</v>
      </c>
      <c r="C48" s="2" t="s">
        <v>232</v>
      </c>
      <c r="D48" s="2" t="s">
        <v>234</v>
      </c>
      <c r="E48" s="5">
        <v>6912449</v>
      </c>
      <c r="F48" s="5">
        <v>240604</v>
      </c>
      <c r="G48" s="3">
        <f t="shared" si="0"/>
        <v>7153053</v>
      </c>
    </row>
    <row r="49" spans="1:7" x14ac:dyDescent="0.2">
      <c r="A49" s="2">
        <v>2021</v>
      </c>
      <c r="B49" s="4" t="s">
        <v>264</v>
      </c>
      <c r="C49" s="2" t="s">
        <v>232</v>
      </c>
      <c r="D49" s="2" t="s">
        <v>234</v>
      </c>
      <c r="E49" s="5">
        <v>9510315</v>
      </c>
      <c r="F49" s="5">
        <v>331029</v>
      </c>
      <c r="G49" s="3">
        <f t="shared" si="0"/>
        <v>9841344</v>
      </c>
    </row>
    <row r="50" spans="1:7" x14ac:dyDescent="0.2">
      <c r="A50" s="2">
        <v>2021</v>
      </c>
      <c r="B50" s="4" t="s">
        <v>48</v>
      </c>
      <c r="C50" s="2" t="s">
        <v>232</v>
      </c>
      <c r="D50" s="2" t="s">
        <v>234</v>
      </c>
      <c r="E50" s="5">
        <v>16727387</v>
      </c>
      <c r="F50" s="5">
        <v>582236</v>
      </c>
      <c r="G50" s="3">
        <f t="shared" si="0"/>
        <v>17309623</v>
      </c>
    </row>
    <row r="51" spans="1:7" x14ac:dyDescent="0.2">
      <c r="A51" s="2">
        <v>2021</v>
      </c>
      <c r="B51" s="4" t="s">
        <v>49</v>
      </c>
      <c r="C51" s="2" t="s">
        <v>232</v>
      </c>
      <c r="D51" s="2" t="s">
        <v>234</v>
      </c>
      <c r="E51" s="5">
        <v>10116609</v>
      </c>
      <c r="F51" s="5">
        <v>352132</v>
      </c>
      <c r="G51" s="3">
        <f t="shared" si="0"/>
        <v>10468741</v>
      </c>
    </row>
    <row r="52" spans="1:7" x14ac:dyDescent="0.2">
      <c r="A52" s="2">
        <v>2021</v>
      </c>
      <c r="B52" s="4" t="s">
        <v>50</v>
      </c>
      <c r="C52" s="2" t="s">
        <v>232</v>
      </c>
      <c r="D52" s="2" t="s">
        <v>234</v>
      </c>
      <c r="E52" s="5">
        <v>10504379</v>
      </c>
      <c r="F52" s="5">
        <v>365629</v>
      </c>
      <c r="G52" s="3">
        <f t="shared" si="0"/>
        <v>10870008</v>
      </c>
    </row>
    <row r="53" spans="1:7" x14ac:dyDescent="0.2">
      <c r="A53" s="2">
        <v>2021</v>
      </c>
      <c r="B53" s="4" t="s">
        <v>51</v>
      </c>
      <c r="C53" s="2" t="s">
        <v>232</v>
      </c>
      <c r="D53" s="2" t="s">
        <v>234</v>
      </c>
      <c r="E53" s="5">
        <v>60989040</v>
      </c>
      <c r="F53" s="5">
        <v>2122866</v>
      </c>
      <c r="G53" s="3">
        <f t="shared" si="0"/>
        <v>63111906</v>
      </c>
    </row>
    <row r="54" spans="1:7" x14ac:dyDescent="0.2">
      <c r="A54" s="2">
        <v>2021</v>
      </c>
      <c r="B54" s="4" t="s">
        <v>52</v>
      </c>
      <c r="C54" s="2" t="s">
        <v>232</v>
      </c>
      <c r="D54" s="2" t="s">
        <v>234</v>
      </c>
      <c r="E54" s="5">
        <v>24108447</v>
      </c>
      <c r="F54" s="5">
        <v>839151</v>
      </c>
      <c r="G54" s="3">
        <f t="shared" si="0"/>
        <v>24947598</v>
      </c>
    </row>
    <row r="55" spans="1:7" x14ac:dyDescent="0.2">
      <c r="A55" s="2">
        <v>2021</v>
      </c>
      <c r="B55" s="4" t="s">
        <v>53</v>
      </c>
      <c r="C55" s="2" t="s">
        <v>232</v>
      </c>
      <c r="D55" s="2" t="s">
        <v>234</v>
      </c>
      <c r="E55" s="5">
        <v>634076</v>
      </c>
      <c r="F55" s="5">
        <v>22070</v>
      </c>
      <c r="G55" s="3">
        <f t="shared" si="0"/>
        <v>656146</v>
      </c>
    </row>
    <row r="56" spans="1:7" x14ac:dyDescent="0.2">
      <c r="A56" s="2">
        <v>2021</v>
      </c>
      <c r="B56" s="4" t="s">
        <v>54</v>
      </c>
      <c r="C56" s="2" t="s">
        <v>232</v>
      </c>
      <c r="D56" s="2" t="s">
        <v>234</v>
      </c>
      <c r="E56" s="5">
        <v>20893600</v>
      </c>
      <c r="F56" s="5">
        <v>727251</v>
      </c>
      <c r="G56" s="3">
        <f t="shared" si="0"/>
        <v>21620851</v>
      </c>
    </row>
    <row r="57" spans="1:7" x14ac:dyDescent="0.2">
      <c r="A57" s="2">
        <v>2021</v>
      </c>
      <c r="B57" s="4" t="s">
        <v>55</v>
      </c>
      <c r="C57" s="2" t="s">
        <v>232</v>
      </c>
      <c r="D57" s="2" t="s">
        <v>234</v>
      </c>
      <c r="E57" s="5">
        <v>2024090</v>
      </c>
      <c r="F57" s="5">
        <v>70453</v>
      </c>
      <c r="G57" s="3">
        <f t="shared" si="0"/>
        <v>2094543</v>
      </c>
    </row>
    <row r="58" spans="1:7" x14ac:dyDescent="0.2">
      <c r="A58" s="2">
        <v>2021</v>
      </c>
      <c r="B58" s="4" t="s">
        <v>56</v>
      </c>
      <c r="C58" s="2" t="s">
        <v>232</v>
      </c>
      <c r="D58" s="2" t="s">
        <v>234</v>
      </c>
      <c r="E58" s="5">
        <v>11439357</v>
      </c>
      <c r="F58" s="5">
        <v>398174</v>
      </c>
      <c r="G58" s="3">
        <f t="shared" si="0"/>
        <v>11837531</v>
      </c>
    </row>
    <row r="59" spans="1:7" x14ac:dyDescent="0.2">
      <c r="A59" s="2">
        <v>2021</v>
      </c>
      <c r="B59" s="4" t="s">
        <v>57</v>
      </c>
      <c r="C59" s="2" t="s">
        <v>232</v>
      </c>
      <c r="D59" s="2" t="s">
        <v>234</v>
      </c>
      <c r="E59" s="5">
        <v>10699522</v>
      </c>
      <c r="F59" s="5">
        <v>372422</v>
      </c>
      <c r="G59" s="3">
        <f t="shared" si="0"/>
        <v>11071944</v>
      </c>
    </row>
    <row r="60" spans="1:7" x14ac:dyDescent="0.2">
      <c r="A60" s="2">
        <v>2021</v>
      </c>
      <c r="B60" s="4" t="s">
        <v>58</v>
      </c>
      <c r="C60" s="2" t="s">
        <v>232</v>
      </c>
      <c r="D60" s="2" t="s">
        <v>234</v>
      </c>
      <c r="E60" s="5">
        <v>6415622</v>
      </c>
      <c r="F60" s="5">
        <v>223311</v>
      </c>
      <c r="G60" s="3">
        <f t="shared" si="0"/>
        <v>6638933</v>
      </c>
    </row>
    <row r="61" spans="1:7" x14ac:dyDescent="0.2">
      <c r="A61" s="2">
        <v>2021</v>
      </c>
      <c r="B61" s="4" t="s">
        <v>59</v>
      </c>
      <c r="C61" s="2" t="s">
        <v>232</v>
      </c>
      <c r="D61" s="2" t="s">
        <v>234</v>
      </c>
      <c r="E61" s="5">
        <v>7770764</v>
      </c>
      <c r="F61" s="5">
        <v>270480</v>
      </c>
      <c r="G61" s="3">
        <f t="shared" si="0"/>
        <v>8041244</v>
      </c>
    </row>
    <row r="62" spans="1:7" x14ac:dyDescent="0.2">
      <c r="A62" s="2">
        <v>2021</v>
      </c>
      <c r="B62" s="4" t="s">
        <v>60</v>
      </c>
      <c r="C62" s="2" t="s">
        <v>232</v>
      </c>
      <c r="D62" s="2" t="s">
        <v>234</v>
      </c>
      <c r="E62" s="5">
        <v>7654900</v>
      </c>
      <c r="F62" s="5">
        <v>266447</v>
      </c>
      <c r="G62" s="3">
        <f t="shared" si="0"/>
        <v>7921347</v>
      </c>
    </row>
    <row r="63" spans="1:7" x14ac:dyDescent="0.2">
      <c r="A63" s="2">
        <v>2021</v>
      </c>
      <c r="B63" s="4" t="s">
        <v>61</v>
      </c>
      <c r="C63" s="2" t="s">
        <v>232</v>
      </c>
      <c r="D63" s="2" t="s">
        <v>234</v>
      </c>
      <c r="E63" s="5">
        <v>2381053</v>
      </c>
      <c r="F63" s="5">
        <v>82878</v>
      </c>
      <c r="G63" s="3">
        <f t="shared" si="0"/>
        <v>2463931</v>
      </c>
    </row>
    <row r="64" spans="1:7" x14ac:dyDescent="0.2">
      <c r="A64" s="2">
        <v>2021</v>
      </c>
      <c r="B64" s="4" t="s">
        <v>62</v>
      </c>
      <c r="C64" s="2" t="s">
        <v>232</v>
      </c>
      <c r="D64" s="2" t="s">
        <v>234</v>
      </c>
      <c r="E64" s="5">
        <v>4445038</v>
      </c>
      <c r="F64" s="5">
        <v>154720</v>
      </c>
      <c r="G64" s="3">
        <f t="shared" si="0"/>
        <v>4599758</v>
      </c>
    </row>
    <row r="65" spans="1:7" x14ac:dyDescent="0.2">
      <c r="A65" s="2">
        <v>2021</v>
      </c>
      <c r="B65" s="4" t="s">
        <v>63</v>
      </c>
      <c r="C65" s="2" t="s">
        <v>232</v>
      </c>
      <c r="D65" s="2" t="s">
        <v>234</v>
      </c>
      <c r="E65" s="5">
        <v>2741909</v>
      </c>
      <c r="F65" s="5">
        <v>95439</v>
      </c>
      <c r="G65" s="3">
        <f t="shared" si="0"/>
        <v>2837348</v>
      </c>
    </row>
    <row r="66" spans="1:7" x14ac:dyDescent="0.2">
      <c r="A66" s="2">
        <v>2021</v>
      </c>
      <c r="B66" s="4" t="s">
        <v>64</v>
      </c>
      <c r="C66" s="2" t="s">
        <v>232</v>
      </c>
      <c r="D66" s="2" t="s">
        <v>234</v>
      </c>
      <c r="E66" s="5">
        <v>2767943</v>
      </c>
      <c r="F66" s="5">
        <v>96345</v>
      </c>
      <c r="G66" s="3">
        <f t="shared" si="0"/>
        <v>2864288</v>
      </c>
    </row>
    <row r="67" spans="1:7" x14ac:dyDescent="0.2">
      <c r="A67" s="2">
        <v>2021</v>
      </c>
      <c r="B67" s="4" t="s">
        <v>65</v>
      </c>
      <c r="C67" s="2" t="s">
        <v>232</v>
      </c>
      <c r="D67" s="2" t="s">
        <v>234</v>
      </c>
      <c r="E67" s="5">
        <v>13130399</v>
      </c>
      <c r="F67" s="5">
        <v>457034</v>
      </c>
      <c r="G67" s="3">
        <f t="shared" ref="G67:G130" si="1">SUM(E67:F67)</f>
        <v>13587433</v>
      </c>
    </row>
    <row r="68" spans="1:7" x14ac:dyDescent="0.2">
      <c r="A68" s="2">
        <v>2021</v>
      </c>
      <c r="B68" s="4" t="s">
        <v>66</v>
      </c>
      <c r="C68" s="2" t="s">
        <v>232</v>
      </c>
      <c r="D68" s="2" t="s">
        <v>234</v>
      </c>
      <c r="E68" s="5">
        <v>12378786</v>
      </c>
      <c r="F68" s="5">
        <v>430873</v>
      </c>
      <c r="G68" s="3">
        <f t="shared" si="1"/>
        <v>12809659</v>
      </c>
    </row>
    <row r="69" spans="1:7" x14ac:dyDescent="0.2">
      <c r="A69" s="2">
        <v>2021</v>
      </c>
      <c r="B69" s="4" t="s">
        <v>67</v>
      </c>
      <c r="C69" s="2" t="s">
        <v>232</v>
      </c>
      <c r="D69" s="2" t="s">
        <v>234</v>
      </c>
      <c r="E69" s="5">
        <v>8924762</v>
      </c>
      <c r="F69" s="5">
        <v>310647</v>
      </c>
      <c r="G69" s="3">
        <f t="shared" si="1"/>
        <v>9235409</v>
      </c>
    </row>
    <row r="70" spans="1:7" x14ac:dyDescent="0.2">
      <c r="A70" s="2">
        <v>2021</v>
      </c>
      <c r="B70" s="4" t="s">
        <v>68</v>
      </c>
      <c r="C70" s="2" t="s">
        <v>232</v>
      </c>
      <c r="D70" s="2" t="s">
        <v>234</v>
      </c>
      <c r="E70" s="5">
        <v>77570005</v>
      </c>
      <c r="F70" s="5">
        <v>2700005</v>
      </c>
      <c r="G70" s="3">
        <f t="shared" si="1"/>
        <v>80270010</v>
      </c>
    </row>
    <row r="71" spans="1:7" x14ac:dyDescent="0.2">
      <c r="A71" s="2">
        <v>2021</v>
      </c>
      <c r="B71" s="4" t="s">
        <v>69</v>
      </c>
      <c r="C71" s="2" t="s">
        <v>232</v>
      </c>
      <c r="D71" s="2" t="s">
        <v>234</v>
      </c>
      <c r="E71" s="5">
        <v>13350460</v>
      </c>
      <c r="F71" s="5">
        <v>464694</v>
      </c>
      <c r="G71" s="3">
        <f t="shared" si="1"/>
        <v>13815154</v>
      </c>
    </row>
    <row r="72" spans="1:7" x14ac:dyDescent="0.2">
      <c r="A72" s="2">
        <v>2021</v>
      </c>
      <c r="B72" s="4" t="s">
        <v>70</v>
      </c>
      <c r="C72" s="2" t="s">
        <v>232</v>
      </c>
      <c r="D72" s="2" t="s">
        <v>234</v>
      </c>
      <c r="E72" s="5">
        <v>33134940</v>
      </c>
      <c r="F72" s="5">
        <v>1153339</v>
      </c>
      <c r="G72" s="3">
        <f t="shared" si="1"/>
        <v>34288279</v>
      </c>
    </row>
    <row r="73" spans="1:7" x14ac:dyDescent="0.2">
      <c r="A73" s="2">
        <v>2021</v>
      </c>
      <c r="B73" s="4" t="s">
        <v>71</v>
      </c>
      <c r="C73" s="2" t="s">
        <v>232</v>
      </c>
      <c r="D73" s="2" t="s">
        <v>234</v>
      </c>
      <c r="E73" s="5">
        <v>7411334</v>
      </c>
      <c r="F73" s="5">
        <v>257969</v>
      </c>
      <c r="G73" s="3">
        <f t="shared" si="1"/>
        <v>7669303</v>
      </c>
    </row>
    <row r="74" spans="1:7" x14ac:dyDescent="0.2">
      <c r="A74" s="2">
        <v>2021</v>
      </c>
      <c r="B74" s="4" t="s">
        <v>72</v>
      </c>
      <c r="C74" s="2" t="s">
        <v>232</v>
      </c>
      <c r="D74" s="2" t="s">
        <v>234</v>
      </c>
      <c r="E74" s="5">
        <v>13581952</v>
      </c>
      <c r="F74" s="5">
        <v>472752</v>
      </c>
      <c r="G74" s="3">
        <f t="shared" si="1"/>
        <v>14054704</v>
      </c>
    </row>
    <row r="75" spans="1:7" x14ac:dyDescent="0.2">
      <c r="A75" s="2">
        <v>2021</v>
      </c>
      <c r="B75" s="4" t="s">
        <v>73</v>
      </c>
      <c r="C75" s="2" t="s">
        <v>232</v>
      </c>
      <c r="D75" s="2" t="s">
        <v>234</v>
      </c>
      <c r="E75" s="5">
        <v>25030904</v>
      </c>
      <c r="F75" s="5">
        <v>871259</v>
      </c>
      <c r="G75" s="3">
        <f t="shared" si="1"/>
        <v>25902163</v>
      </c>
    </row>
    <row r="76" spans="1:7" x14ac:dyDescent="0.2">
      <c r="A76" s="2">
        <v>2021</v>
      </c>
      <c r="B76" s="4" t="s">
        <v>74</v>
      </c>
      <c r="C76" s="2" t="s">
        <v>232</v>
      </c>
      <c r="D76" s="2" t="s">
        <v>234</v>
      </c>
      <c r="E76" s="5">
        <v>5746760</v>
      </c>
      <c r="F76" s="5">
        <v>200029</v>
      </c>
      <c r="G76" s="3">
        <f t="shared" si="1"/>
        <v>5946789</v>
      </c>
    </row>
    <row r="77" spans="1:7" x14ac:dyDescent="0.2">
      <c r="A77" s="2">
        <v>2021</v>
      </c>
      <c r="B77" s="4" t="s">
        <v>75</v>
      </c>
      <c r="C77" s="2" t="s">
        <v>232</v>
      </c>
      <c r="D77" s="2" t="s">
        <v>234</v>
      </c>
      <c r="E77" s="5">
        <v>13840085</v>
      </c>
      <c r="F77" s="5">
        <v>481736</v>
      </c>
      <c r="G77" s="3">
        <f t="shared" si="1"/>
        <v>14321821</v>
      </c>
    </row>
    <row r="78" spans="1:7" x14ac:dyDescent="0.2">
      <c r="A78" s="2">
        <v>2021</v>
      </c>
      <c r="B78" s="4" t="s">
        <v>76</v>
      </c>
      <c r="C78" s="2" t="s">
        <v>232</v>
      </c>
      <c r="D78" s="2" t="s">
        <v>234</v>
      </c>
      <c r="E78" s="5">
        <v>2554675</v>
      </c>
      <c r="F78" s="5">
        <v>88921</v>
      </c>
      <c r="G78" s="3">
        <f t="shared" si="1"/>
        <v>2643596</v>
      </c>
    </row>
    <row r="79" spans="1:7" x14ac:dyDescent="0.2">
      <c r="A79" s="2">
        <v>2021</v>
      </c>
      <c r="B79" s="4" t="s">
        <v>78</v>
      </c>
      <c r="C79" s="2" t="s">
        <v>232</v>
      </c>
      <c r="D79" s="2" t="s">
        <v>234</v>
      </c>
      <c r="E79" s="5">
        <v>8791394</v>
      </c>
      <c r="F79" s="5">
        <v>306005</v>
      </c>
      <c r="G79" s="3">
        <f t="shared" si="1"/>
        <v>9097399</v>
      </c>
    </row>
    <row r="80" spans="1:7" x14ac:dyDescent="0.2">
      <c r="A80" s="2">
        <v>2021</v>
      </c>
      <c r="B80" s="4" t="s">
        <v>79</v>
      </c>
      <c r="C80" s="2" t="s">
        <v>232</v>
      </c>
      <c r="D80" s="2" t="s">
        <v>234</v>
      </c>
      <c r="E80" s="5">
        <v>2436617</v>
      </c>
      <c r="F80" s="5">
        <v>84812</v>
      </c>
      <c r="G80" s="3">
        <f t="shared" si="1"/>
        <v>2521429</v>
      </c>
    </row>
    <row r="81" spans="1:7" x14ac:dyDescent="0.2">
      <c r="A81" s="2">
        <v>2021</v>
      </c>
      <c r="B81" s="4" t="s">
        <v>80</v>
      </c>
      <c r="C81" s="2" t="s">
        <v>232</v>
      </c>
      <c r="D81" s="2" t="s">
        <v>234</v>
      </c>
      <c r="E81" s="5">
        <v>256038</v>
      </c>
      <c r="F81" s="5">
        <v>8912</v>
      </c>
      <c r="G81" s="3">
        <f t="shared" si="1"/>
        <v>264950</v>
      </c>
    </row>
    <row r="82" spans="1:7" x14ac:dyDescent="0.2">
      <c r="A82" s="2">
        <v>2021</v>
      </c>
      <c r="B82" s="4" t="s">
        <v>81</v>
      </c>
      <c r="C82" s="2" t="s">
        <v>232</v>
      </c>
      <c r="D82" s="2" t="s">
        <v>234</v>
      </c>
      <c r="E82" s="5">
        <v>6887047</v>
      </c>
      <c r="F82" s="5">
        <v>239720</v>
      </c>
      <c r="G82" s="3">
        <f t="shared" si="1"/>
        <v>7126767</v>
      </c>
    </row>
    <row r="83" spans="1:7" x14ac:dyDescent="0.2">
      <c r="A83" s="2">
        <v>2021</v>
      </c>
      <c r="B83" s="4" t="s">
        <v>82</v>
      </c>
      <c r="C83" s="2" t="s">
        <v>232</v>
      </c>
      <c r="D83" s="2" t="s">
        <v>234</v>
      </c>
      <c r="E83" s="5">
        <v>10439505</v>
      </c>
      <c r="F83" s="5">
        <v>363371</v>
      </c>
      <c r="G83" s="3">
        <f t="shared" si="1"/>
        <v>10802876</v>
      </c>
    </row>
    <row r="84" spans="1:7" x14ac:dyDescent="0.2">
      <c r="A84" s="2">
        <v>2021</v>
      </c>
      <c r="B84" s="4" t="s">
        <v>83</v>
      </c>
      <c r="C84" s="2" t="s">
        <v>232</v>
      </c>
      <c r="D84" s="2" t="s">
        <v>234</v>
      </c>
      <c r="E84" s="5">
        <v>1565570</v>
      </c>
      <c r="F84" s="5">
        <v>54493</v>
      </c>
      <c r="G84" s="3">
        <f t="shared" si="1"/>
        <v>1620063</v>
      </c>
    </row>
    <row r="85" spans="1:7" x14ac:dyDescent="0.2">
      <c r="A85" s="2">
        <v>2021</v>
      </c>
      <c r="B85" s="4" t="s">
        <v>84</v>
      </c>
      <c r="C85" s="2" t="s">
        <v>232</v>
      </c>
      <c r="D85" s="2" t="s">
        <v>234</v>
      </c>
      <c r="E85" s="5">
        <v>18199</v>
      </c>
      <c r="F85" s="4">
        <v>633</v>
      </c>
      <c r="G85" s="3">
        <f t="shared" si="1"/>
        <v>18832</v>
      </c>
    </row>
    <row r="86" spans="1:7" x14ac:dyDescent="0.2">
      <c r="A86" s="2">
        <v>2021</v>
      </c>
      <c r="B86" s="4" t="s">
        <v>85</v>
      </c>
      <c r="C86" s="2" t="s">
        <v>232</v>
      </c>
      <c r="D86" s="2" t="s">
        <v>234</v>
      </c>
      <c r="E86" s="5">
        <v>15038</v>
      </c>
      <c r="F86" s="4">
        <v>523</v>
      </c>
      <c r="G86" s="3">
        <f t="shared" si="1"/>
        <v>15561</v>
      </c>
    </row>
    <row r="87" spans="1:7" x14ac:dyDescent="0.2">
      <c r="A87" s="2">
        <v>2021</v>
      </c>
      <c r="B87" s="4" t="s">
        <v>88</v>
      </c>
      <c r="C87" s="2" t="s">
        <v>232</v>
      </c>
      <c r="D87" s="2" t="s">
        <v>234</v>
      </c>
      <c r="E87" s="5">
        <v>2377929</v>
      </c>
      <c r="F87" s="5">
        <v>82769</v>
      </c>
      <c r="G87" s="3">
        <f t="shared" si="1"/>
        <v>2460698</v>
      </c>
    </row>
    <row r="88" spans="1:7" x14ac:dyDescent="0.2">
      <c r="A88" s="2">
        <v>2021</v>
      </c>
      <c r="B88" s="4" t="s">
        <v>273</v>
      </c>
      <c r="C88" s="2" t="s">
        <v>232</v>
      </c>
      <c r="D88" s="2" t="s">
        <v>234</v>
      </c>
      <c r="E88" s="5">
        <v>19017</v>
      </c>
      <c r="F88" s="4">
        <v>662</v>
      </c>
      <c r="G88" s="3">
        <f t="shared" si="1"/>
        <v>19679</v>
      </c>
    </row>
    <row r="89" spans="1:7" x14ac:dyDescent="0.2">
      <c r="A89" s="2">
        <v>2021</v>
      </c>
      <c r="B89" s="4" t="s">
        <v>89</v>
      </c>
      <c r="C89" s="2" t="s">
        <v>232</v>
      </c>
      <c r="D89" s="2" t="s">
        <v>234</v>
      </c>
      <c r="E89" s="4">
        <v>694</v>
      </c>
      <c r="F89" s="4">
        <v>24</v>
      </c>
      <c r="G89" s="3">
        <f t="shared" si="1"/>
        <v>718</v>
      </c>
    </row>
    <row r="90" spans="1:7" x14ac:dyDescent="0.2">
      <c r="A90" s="2">
        <v>2021</v>
      </c>
      <c r="B90" s="4" t="s">
        <v>237</v>
      </c>
      <c r="C90" s="2" t="s">
        <v>232</v>
      </c>
      <c r="D90" s="2" t="s">
        <v>234</v>
      </c>
      <c r="E90" s="5">
        <v>19301736</v>
      </c>
      <c r="F90" s="5">
        <v>671842</v>
      </c>
      <c r="G90" s="3">
        <f t="shared" si="1"/>
        <v>19973578</v>
      </c>
    </row>
    <row r="91" spans="1:7" x14ac:dyDescent="0.2">
      <c r="A91" s="2">
        <v>2021</v>
      </c>
      <c r="B91" s="4" t="s">
        <v>91</v>
      </c>
      <c r="C91" s="2" t="s">
        <v>232</v>
      </c>
      <c r="D91" s="2" t="s">
        <v>234</v>
      </c>
      <c r="E91" s="5">
        <v>1380060</v>
      </c>
      <c r="F91" s="5">
        <v>48036</v>
      </c>
      <c r="G91" s="3">
        <f t="shared" si="1"/>
        <v>1428096</v>
      </c>
    </row>
    <row r="92" spans="1:7" x14ac:dyDescent="0.2">
      <c r="A92" s="2">
        <v>2021</v>
      </c>
      <c r="B92" s="4" t="s">
        <v>92</v>
      </c>
      <c r="C92" s="2" t="s">
        <v>232</v>
      </c>
      <c r="D92" s="2" t="s">
        <v>234</v>
      </c>
      <c r="E92" s="5">
        <v>2455138</v>
      </c>
      <c r="F92" s="5">
        <v>85457</v>
      </c>
      <c r="G92" s="3">
        <f t="shared" si="1"/>
        <v>2540595</v>
      </c>
    </row>
    <row r="93" spans="1:7" x14ac:dyDescent="0.2">
      <c r="A93" s="2">
        <v>2021</v>
      </c>
      <c r="B93" s="4" t="s">
        <v>93</v>
      </c>
      <c r="C93" s="2" t="s">
        <v>232</v>
      </c>
      <c r="D93" s="2" t="s">
        <v>234</v>
      </c>
      <c r="E93" s="5">
        <v>789399</v>
      </c>
      <c r="F93" s="5">
        <v>27477</v>
      </c>
      <c r="G93" s="3">
        <f t="shared" si="1"/>
        <v>816876</v>
      </c>
    </row>
    <row r="94" spans="1:7" x14ac:dyDescent="0.2">
      <c r="A94" s="2">
        <v>2021</v>
      </c>
      <c r="B94" s="4" t="s">
        <v>94</v>
      </c>
      <c r="C94" s="2" t="s">
        <v>232</v>
      </c>
      <c r="D94" s="2" t="s">
        <v>234</v>
      </c>
      <c r="E94" s="5">
        <v>48237</v>
      </c>
      <c r="F94" s="5">
        <v>1679</v>
      </c>
      <c r="G94" s="3">
        <f t="shared" si="1"/>
        <v>49916</v>
      </c>
    </row>
    <row r="95" spans="1:7" x14ac:dyDescent="0.2">
      <c r="A95" s="2">
        <v>2021</v>
      </c>
      <c r="B95" s="4" t="s">
        <v>95</v>
      </c>
      <c r="C95" s="2" t="s">
        <v>232</v>
      </c>
      <c r="D95" s="2" t="s">
        <v>234</v>
      </c>
      <c r="E95" s="5">
        <v>187457</v>
      </c>
      <c r="F95" s="5">
        <v>6525</v>
      </c>
      <c r="G95" s="3">
        <f t="shared" si="1"/>
        <v>193982</v>
      </c>
    </row>
    <row r="96" spans="1:7" x14ac:dyDescent="0.2">
      <c r="A96" s="2">
        <v>2021</v>
      </c>
      <c r="B96" s="4" t="s">
        <v>96</v>
      </c>
      <c r="C96" s="2" t="s">
        <v>232</v>
      </c>
      <c r="D96" s="2" t="s">
        <v>234</v>
      </c>
      <c r="E96" s="5">
        <v>7413</v>
      </c>
      <c r="F96" s="4">
        <v>258</v>
      </c>
      <c r="G96" s="3">
        <f t="shared" si="1"/>
        <v>7671</v>
      </c>
    </row>
    <row r="97" spans="1:7" x14ac:dyDescent="0.2">
      <c r="A97" s="2">
        <v>2021</v>
      </c>
      <c r="B97" s="4" t="s">
        <v>97</v>
      </c>
      <c r="C97" s="2" t="s">
        <v>232</v>
      </c>
      <c r="D97" s="2" t="s">
        <v>234</v>
      </c>
      <c r="E97" s="5">
        <v>57250</v>
      </c>
      <c r="F97" s="5">
        <v>1993</v>
      </c>
      <c r="G97" s="3">
        <f t="shared" si="1"/>
        <v>59243</v>
      </c>
    </row>
    <row r="98" spans="1:7" x14ac:dyDescent="0.2">
      <c r="A98" s="2">
        <v>2021</v>
      </c>
      <c r="B98" s="4" t="s">
        <v>98</v>
      </c>
      <c r="C98" s="2" t="s">
        <v>232</v>
      </c>
      <c r="D98" s="2" t="s">
        <v>234</v>
      </c>
      <c r="E98" s="5">
        <v>1619052</v>
      </c>
      <c r="F98" s="5">
        <v>56355</v>
      </c>
      <c r="G98" s="3">
        <f t="shared" si="1"/>
        <v>1675407</v>
      </c>
    </row>
    <row r="99" spans="1:7" x14ac:dyDescent="0.2">
      <c r="A99" s="2">
        <v>2021</v>
      </c>
      <c r="B99" s="4" t="s">
        <v>99</v>
      </c>
      <c r="C99" s="2" t="s">
        <v>232</v>
      </c>
      <c r="D99" s="2" t="s">
        <v>234</v>
      </c>
      <c r="E99" s="5">
        <v>56667</v>
      </c>
      <c r="F99" s="5">
        <v>1972</v>
      </c>
      <c r="G99" s="3">
        <f t="shared" si="1"/>
        <v>58639</v>
      </c>
    </row>
    <row r="100" spans="1:7" x14ac:dyDescent="0.2">
      <c r="A100" s="2">
        <v>2021</v>
      </c>
      <c r="B100" s="4" t="s">
        <v>100</v>
      </c>
      <c r="C100" s="2" t="s">
        <v>232</v>
      </c>
      <c r="D100" s="2" t="s">
        <v>234</v>
      </c>
      <c r="E100" s="5">
        <v>15992</v>
      </c>
      <c r="F100" s="4">
        <v>557</v>
      </c>
      <c r="G100" s="3">
        <f t="shared" si="1"/>
        <v>16549</v>
      </c>
    </row>
    <row r="101" spans="1:7" x14ac:dyDescent="0.2">
      <c r="A101" s="2">
        <v>2021</v>
      </c>
      <c r="B101" s="4" t="s">
        <v>101</v>
      </c>
      <c r="C101" s="2" t="s">
        <v>232</v>
      </c>
      <c r="D101" s="2" t="s">
        <v>234</v>
      </c>
      <c r="E101" s="5">
        <v>94888</v>
      </c>
      <c r="F101" s="5">
        <v>3303</v>
      </c>
      <c r="G101" s="3">
        <f t="shared" si="1"/>
        <v>98191</v>
      </c>
    </row>
    <row r="102" spans="1:7" x14ac:dyDescent="0.2">
      <c r="A102" s="2">
        <v>2021</v>
      </c>
      <c r="B102" s="4" t="s">
        <v>102</v>
      </c>
      <c r="C102" s="2" t="s">
        <v>232</v>
      </c>
      <c r="D102" s="2" t="s">
        <v>234</v>
      </c>
      <c r="E102" s="5">
        <v>47047</v>
      </c>
      <c r="F102" s="5">
        <v>1638</v>
      </c>
      <c r="G102" s="3">
        <f t="shared" si="1"/>
        <v>48685</v>
      </c>
    </row>
    <row r="103" spans="1:7" x14ac:dyDescent="0.2">
      <c r="A103" s="2">
        <v>2021</v>
      </c>
      <c r="B103" s="4" t="s">
        <v>103</v>
      </c>
      <c r="C103" s="2" t="s">
        <v>232</v>
      </c>
      <c r="D103" s="2" t="s">
        <v>234</v>
      </c>
      <c r="E103" s="5">
        <v>3431746</v>
      </c>
      <c r="F103" s="5">
        <v>119450</v>
      </c>
      <c r="G103" s="3">
        <f t="shared" si="1"/>
        <v>3551196</v>
      </c>
    </row>
    <row r="104" spans="1:7" x14ac:dyDescent="0.2">
      <c r="A104" s="2">
        <v>2021</v>
      </c>
      <c r="B104" s="4" t="s">
        <v>238</v>
      </c>
      <c r="C104" s="2" t="s">
        <v>232</v>
      </c>
      <c r="D104" s="2" t="s">
        <v>234</v>
      </c>
      <c r="E104" s="5">
        <v>829231</v>
      </c>
      <c r="F104" s="5">
        <v>28863</v>
      </c>
      <c r="G104" s="3">
        <f t="shared" si="1"/>
        <v>858094</v>
      </c>
    </row>
    <row r="105" spans="1:7" x14ac:dyDescent="0.2">
      <c r="A105" s="2">
        <v>2021</v>
      </c>
      <c r="B105" s="4" t="s">
        <v>105</v>
      </c>
      <c r="C105" s="2" t="s">
        <v>232</v>
      </c>
      <c r="D105" s="2" t="s">
        <v>234</v>
      </c>
      <c r="E105" s="5">
        <v>4030627</v>
      </c>
      <c r="F105" s="5">
        <v>140295</v>
      </c>
      <c r="G105" s="3">
        <f t="shared" si="1"/>
        <v>4170922</v>
      </c>
    </row>
    <row r="106" spans="1:7" x14ac:dyDescent="0.2">
      <c r="A106" s="2">
        <v>2021</v>
      </c>
      <c r="B106" s="4" t="s">
        <v>106</v>
      </c>
      <c r="C106" s="2" t="s">
        <v>232</v>
      </c>
      <c r="D106" s="2" t="s">
        <v>234</v>
      </c>
      <c r="E106" s="5">
        <v>24608</v>
      </c>
      <c r="F106" s="4">
        <v>857</v>
      </c>
      <c r="G106" s="3">
        <f t="shared" si="1"/>
        <v>25465</v>
      </c>
    </row>
    <row r="107" spans="1:7" x14ac:dyDescent="0.2">
      <c r="A107" s="2">
        <v>2021</v>
      </c>
      <c r="B107" s="4" t="s">
        <v>107</v>
      </c>
      <c r="C107" s="2" t="s">
        <v>232</v>
      </c>
      <c r="D107" s="2" t="s">
        <v>234</v>
      </c>
      <c r="E107" s="5">
        <v>306308</v>
      </c>
      <c r="F107" s="5">
        <v>10662</v>
      </c>
      <c r="G107" s="3">
        <f t="shared" si="1"/>
        <v>316970</v>
      </c>
    </row>
    <row r="108" spans="1:7" x14ac:dyDescent="0.2">
      <c r="A108" s="2">
        <v>2021</v>
      </c>
      <c r="B108" s="4" t="s">
        <v>108</v>
      </c>
      <c r="C108" s="2" t="s">
        <v>232</v>
      </c>
      <c r="D108" s="2" t="s">
        <v>234</v>
      </c>
      <c r="E108" s="5">
        <v>4571005</v>
      </c>
      <c r="F108" s="5">
        <v>159104</v>
      </c>
      <c r="G108" s="3">
        <f t="shared" si="1"/>
        <v>4730109</v>
      </c>
    </row>
    <row r="109" spans="1:7" x14ac:dyDescent="0.2">
      <c r="A109" s="2">
        <v>2021</v>
      </c>
      <c r="B109" s="4" t="s">
        <v>109</v>
      </c>
      <c r="C109" s="2" t="s">
        <v>232</v>
      </c>
      <c r="D109" s="2" t="s">
        <v>234</v>
      </c>
      <c r="E109" s="5">
        <v>1611167</v>
      </c>
      <c r="F109" s="5">
        <v>56080</v>
      </c>
      <c r="G109" s="3">
        <f t="shared" si="1"/>
        <v>1667247</v>
      </c>
    </row>
    <row r="110" spans="1:7" x14ac:dyDescent="0.2">
      <c r="A110" s="2">
        <v>2021</v>
      </c>
      <c r="B110" s="4" t="s">
        <v>110</v>
      </c>
      <c r="C110" s="2" t="s">
        <v>232</v>
      </c>
      <c r="D110" s="2" t="s">
        <v>234</v>
      </c>
      <c r="E110" s="5">
        <v>3013331</v>
      </c>
      <c r="F110" s="5">
        <v>104886</v>
      </c>
      <c r="G110" s="3">
        <f t="shared" si="1"/>
        <v>3118217</v>
      </c>
    </row>
    <row r="111" spans="1:7" x14ac:dyDescent="0.2">
      <c r="A111" s="2">
        <v>2021</v>
      </c>
      <c r="B111" s="4" t="s">
        <v>111</v>
      </c>
      <c r="C111" s="2" t="s">
        <v>232</v>
      </c>
      <c r="D111" s="2" t="s">
        <v>234</v>
      </c>
      <c r="E111" s="5">
        <v>530039</v>
      </c>
      <c r="F111" s="5">
        <v>18449</v>
      </c>
      <c r="G111" s="3">
        <f t="shared" si="1"/>
        <v>548488</v>
      </c>
    </row>
    <row r="112" spans="1:7" x14ac:dyDescent="0.2">
      <c r="A112" s="2">
        <v>2021</v>
      </c>
      <c r="B112" s="4" t="s">
        <v>112</v>
      </c>
      <c r="C112" s="2" t="s">
        <v>232</v>
      </c>
      <c r="D112" s="2" t="s">
        <v>234</v>
      </c>
      <c r="E112" s="5">
        <v>675482</v>
      </c>
      <c r="F112" s="5">
        <v>23512</v>
      </c>
      <c r="G112" s="3">
        <f t="shared" si="1"/>
        <v>698994</v>
      </c>
    </row>
    <row r="113" spans="1:7" x14ac:dyDescent="0.2">
      <c r="A113" s="2">
        <v>2021</v>
      </c>
      <c r="B113" s="4" t="s">
        <v>113</v>
      </c>
      <c r="C113" s="2" t="s">
        <v>232</v>
      </c>
      <c r="D113" s="2" t="s">
        <v>234</v>
      </c>
      <c r="E113" s="5">
        <v>805677</v>
      </c>
      <c r="F113" s="5">
        <v>28043</v>
      </c>
      <c r="G113" s="3">
        <f t="shared" si="1"/>
        <v>833720</v>
      </c>
    </row>
    <row r="114" spans="1:7" x14ac:dyDescent="0.2">
      <c r="A114" s="2">
        <v>2021</v>
      </c>
      <c r="B114" s="4" t="s">
        <v>114</v>
      </c>
      <c r="C114" s="2" t="s">
        <v>232</v>
      </c>
      <c r="D114" s="2" t="s">
        <v>234</v>
      </c>
      <c r="E114" s="5">
        <v>1114811</v>
      </c>
      <c r="F114" s="5">
        <v>38804</v>
      </c>
      <c r="G114" s="3">
        <f t="shared" si="1"/>
        <v>1153615</v>
      </c>
    </row>
    <row r="115" spans="1:7" x14ac:dyDescent="0.2">
      <c r="A115" s="2">
        <v>2021</v>
      </c>
      <c r="B115" s="4" t="s">
        <v>115</v>
      </c>
      <c r="C115" s="2" t="s">
        <v>232</v>
      </c>
      <c r="D115" s="2" t="s">
        <v>234</v>
      </c>
      <c r="E115" s="5">
        <v>2379702</v>
      </c>
      <c r="F115" s="5">
        <v>82831</v>
      </c>
      <c r="G115" s="3">
        <f t="shared" si="1"/>
        <v>2462533</v>
      </c>
    </row>
    <row r="116" spans="1:7" x14ac:dyDescent="0.2">
      <c r="A116" s="2">
        <v>2021</v>
      </c>
      <c r="B116" s="4" t="s">
        <v>116</v>
      </c>
      <c r="C116" s="2" t="s">
        <v>232</v>
      </c>
      <c r="D116" s="2" t="s">
        <v>234</v>
      </c>
      <c r="E116" s="5">
        <v>1474476</v>
      </c>
      <c r="F116" s="5">
        <v>51323</v>
      </c>
      <c r="G116" s="3">
        <f t="shared" si="1"/>
        <v>1525799</v>
      </c>
    </row>
    <row r="117" spans="1:7" x14ac:dyDescent="0.2">
      <c r="A117" s="2">
        <v>2021</v>
      </c>
      <c r="B117" s="4" t="s">
        <v>117</v>
      </c>
      <c r="C117" s="2" t="s">
        <v>232</v>
      </c>
      <c r="D117" s="2" t="s">
        <v>234</v>
      </c>
      <c r="E117" s="5">
        <v>7442290</v>
      </c>
      <c r="F117" s="5">
        <v>259046</v>
      </c>
      <c r="G117" s="3">
        <f t="shared" si="1"/>
        <v>7701336</v>
      </c>
    </row>
    <row r="118" spans="1:7" x14ac:dyDescent="0.2">
      <c r="A118" s="2">
        <v>2021</v>
      </c>
      <c r="B118" s="4" t="s">
        <v>119</v>
      </c>
      <c r="C118" s="2" t="s">
        <v>232</v>
      </c>
      <c r="D118" s="2" t="s">
        <v>234</v>
      </c>
      <c r="E118" s="5">
        <v>35753</v>
      </c>
      <c r="F118" s="5">
        <v>1244</v>
      </c>
      <c r="G118" s="3">
        <f t="shared" si="1"/>
        <v>36997</v>
      </c>
    </row>
    <row r="119" spans="1:7" x14ac:dyDescent="0.2">
      <c r="A119" s="2">
        <v>2021</v>
      </c>
      <c r="B119" s="4" t="s">
        <v>120</v>
      </c>
      <c r="C119" s="2" t="s">
        <v>232</v>
      </c>
      <c r="D119" s="2" t="s">
        <v>234</v>
      </c>
      <c r="E119" s="5">
        <v>2711622</v>
      </c>
      <c r="F119" s="5">
        <v>94384</v>
      </c>
      <c r="G119" s="3">
        <f t="shared" si="1"/>
        <v>2806006</v>
      </c>
    </row>
    <row r="120" spans="1:7" x14ac:dyDescent="0.2">
      <c r="A120" s="2">
        <v>2021</v>
      </c>
      <c r="B120" s="4" t="s">
        <v>121</v>
      </c>
      <c r="C120" s="2" t="s">
        <v>232</v>
      </c>
      <c r="D120" s="2" t="s">
        <v>234</v>
      </c>
      <c r="E120" s="5">
        <v>1400081</v>
      </c>
      <c r="F120" s="5">
        <v>48733</v>
      </c>
      <c r="G120" s="3">
        <f t="shared" si="1"/>
        <v>1448814</v>
      </c>
    </row>
    <row r="121" spans="1:7" x14ac:dyDescent="0.2">
      <c r="A121" s="2">
        <v>2021</v>
      </c>
      <c r="B121" s="4" t="s">
        <v>122</v>
      </c>
      <c r="C121" s="2" t="s">
        <v>232</v>
      </c>
      <c r="D121" s="2" t="s">
        <v>234</v>
      </c>
      <c r="E121" s="5">
        <v>1308107</v>
      </c>
      <c r="F121" s="5">
        <v>45532</v>
      </c>
      <c r="G121" s="3">
        <f t="shared" si="1"/>
        <v>1353639</v>
      </c>
    </row>
    <row r="122" spans="1:7" x14ac:dyDescent="0.2">
      <c r="A122" s="2">
        <v>2021</v>
      </c>
      <c r="B122" s="4" t="s">
        <v>240</v>
      </c>
      <c r="C122" s="2" t="s">
        <v>232</v>
      </c>
      <c r="D122" s="2" t="s">
        <v>234</v>
      </c>
      <c r="E122" s="5">
        <v>2849863</v>
      </c>
      <c r="F122" s="5">
        <v>99196</v>
      </c>
      <c r="G122" s="3">
        <f t="shared" si="1"/>
        <v>2949059</v>
      </c>
    </row>
    <row r="123" spans="1:7" x14ac:dyDescent="0.2">
      <c r="A123" s="2">
        <v>2021</v>
      </c>
      <c r="B123" s="4" t="s">
        <v>124</v>
      </c>
      <c r="C123" s="2" t="s">
        <v>232</v>
      </c>
      <c r="D123" s="2" t="s">
        <v>234</v>
      </c>
      <c r="E123" s="5">
        <v>944698</v>
      </c>
      <c r="F123" s="5">
        <v>32882</v>
      </c>
      <c r="G123" s="3">
        <f t="shared" si="1"/>
        <v>977580</v>
      </c>
    </row>
    <row r="124" spans="1:7" x14ac:dyDescent="0.2">
      <c r="A124" s="2">
        <v>2021</v>
      </c>
      <c r="B124" s="4" t="s">
        <v>125</v>
      </c>
      <c r="C124" s="2" t="s">
        <v>232</v>
      </c>
      <c r="D124" s="2" t="s">
        <v>234</v>
      </c>
      <c r="E124" s="5">
        <v>1635986</v>
      </c>
      <c r="F124" s="5">
        <v>56944</v>
      </c>
      <c r="G124" s="3">
        <f t="shared" si="1"/>
        <v>1692930</v>
      </c>
    </row>
    <row r="125" spans="1:7" x14ac:dyDescent="0.2">
      <c r="A125" s="2">
        <v>2021</v>
      </c>
      <c r="B125" s="4" t="s">
        <v>126</v>
      </c>
      <c r="C125" s="2" t="s">
        <v>232</v>
      </c>
      <c r="D125" s="2" t="s">
        <v>234</v>
      </c>
      <c r="E125" s="5">
        <v>1494956</v>
      </c>
      <c r="F125" s="5">
        <v>52035</v>
      </c>
      <c r="G125" s="3">
        <f t="shared" si="1"/>
        <v>1546991</v>
      </c>
    </row>
    <row r="126" spans="1:7" x14ac:dyDescent="0.2">
      <c r="A126" s="2">
        <v>2021</v>
      </c>
      <c r="B126" s="4" t="s">
        <v>127</v>
      </c>
      <c r="C126" s="2" t="s">
        <v>232</v>
      </c>
      <c r="D126" s="2" t="s">
        <v>234</v>
      </c>
      <c r="E126" s="5">
        <v>2081415</v>
      </c>
      <c r="F126" s="5">
        <v>72448</v>
      </c>
      <c r="G126" s="3">
        <f t="shared" si="1"/>
        <v>2153863</v>
      </c>
    </row>
    <row r="127" spans="1:7" x14ac:dyDescent="0.2">
      <c r="A127" s="2">
        <v>2021</v>
      </c>
      <c r="B127" s="4" t="s">
        <v>128</v>
      </c>
      <c r="C127" s="2" t="s">
        <v>232</v>
      </c>
      <c r="D127" s="2" t="s">
        <v>234</v>
      </c>
      <c r="E127" s="5">
        <v>729434</v>
      </c>
      <c r="F127" s="5">
        <v>25390</v>
      </c>
      <c r="G127" s="3">
        <f t="shared" si="1"/>
        <v>754824</v>
      </c>
    </row>
    <row r="128" spans="1:7" x14ac:dyDescent="0.2">
      <c r="A128" s="2">
        <v>2021</v>
      </c>
      <c r="B128" s="4" t="s">
        <v>129</v>
      </c>
      <c r="C128" s="2" t="s">
        <v>232</v>
      </c>
      <c r="D128" s="2" t="s">
        <v>234</v>
      </c>
      <c r="E128" s="5">
        <v>6095243</v>
      </c>
      <c r="F128" s="5">
        <v>212159</v>
      </c>
      <c r="G128" s="3">
        <f t="shared" si="1"/>
        <v>6307402</v>
      </c>
    </row>
    <row r="129" spans="1:7" x14ac:dyDescent="0.2">
      <c r="A129" s="2">
        <v>2021</v>
      </c>
      <c r="B129" s="4" t="s">
        <v>130</v>
      </c>
      <c r="C129" s="2" t="s">
        <v>232</v>
      </c>
      <c r="D129" s="2" t="s">
        <v>234</v>
      </c>
      <c r="E129" s="5">
        <v>167907</v>
      </c>
      <c r="F129" s="5">
        <v>5844</v>
      </c>
      <c r="G129" s="3">
        <f t="shared" si="1"/>
        <v>173751</v>
      </c>
    </row>
    <row r="130" spans="1:7" x14ac:dyDescent="0.2">
      <c r="A130" s="2">
        <v>2021</v>
      </c>
      <c r="B130" s="4" t="s">
        <v>131</v>
      </c>
      <c r="C130" s="2" t="s">
        <v>232</v>
      </c>
      <c r="D130" s="2" t="s">
        <v>234</v>
      </c>
      <c r="E130" s="5">
        <v>62283</v>
      </c>
      <c r="F130" s="5">
        <v>2168</v>
      </c>
      <c r="G130" s="3">
        <f t="shared" si="1"/>
        <v>64451</v>
      </c>
    </row>
    <row r="131" spans="1:7" x14ac:dyDescent="0.2">
      <c r="A131" s="2">
        <v>2021</v>
      </c>
      <c r="B131" s="4" t="s">
        <v>132</v>
      </c>
      <c r="C131" s="2" t="s">
        <v>232</v>
      </c>
      <c r="D131" s="2" t="s">
        <v>234</v>
      </c>
      <c r="E131" s="5">
        <v>16786</v>
      </c>
      <c r="F131" s="4">
        <v>584</v>
      </c>
      <c r="G131" s="3">
        <f t="shared" ref="G131:G194" si="2">SUM(E131:F131)</f>
        <v>17370</v>
      </c>
    </row>
    <row r="132" spans="1:7" x14ac:dyDescent="0.2">
      <c r="A132" s="2">
        <v>2021</v>
      </c>
      <c r="B132" s="4" t="s">
        <v>133</v>
      </c>
      <c r="C132" s="2" t="s">
        <v>232</v>
      </c>
      <c r="D132" s="2" t="s">
        <v>234</v>
      </c>
      <c r="E132" s="5">
        <v>932239</v>
      </c>
      <c r="F132" s="5">
        <v>32449</v>
      </c>
      <c r="G132" s="3">
        <f t="shared" si="2"/>
        <v>964688</v>
      </c>
    </row>
    <row r="133" spans="1:7" x14ac:dyDescent="0.2">
      <c r="A133" s="2">
        <v>2021</v>
      </c>
      <c r="B133" s="4" t="s">
        <v>134</v>
      </c>
      <c r="C133" s="2" t="s">
        <v>232</v>
      </c>
      <c r="D133" s="2" t="s">
        <v>234</v>
      </c>
      <c r="E133" s="5">
        <v>1212761</v>
      </c>
      <c r="F133" s="5">
        <v>42213</v>
      </c>
      <c r="G133" s="3">
        <f t="shared" si="2"/>
        <v>1254974</v>
      </c>
    </row>
    <row r="134" spans="1:7" x14ac:dyDescent="0.2">
      <c r="A134" s="2">
        <v>2021</v>
      </c>
      <c r="B134" s="4" t="s">
        <v>135</v>
      </c>
      <c r="C134" s="2" t="s">
        <v>232</v>
      </c>
      <c r="D134" s="2" t="s">
        <v>234</v>
      </c>
      <c r="E134" s="5">
        <v>2175682</v>
      </c>
      <c r="F134" s="5">
        <v>75730</v>
      </c>
      <c r="G134" s="3">
        <f t="shared" si="2"/>
        <v>2251412</v>
      </c>
    </row>
    <row r="135" spans="1:7" x14ac:dyDescent="0.2">
      <c r="A135" s="2">
        <v>2021</v>
      </c>
      <c r="B135" s="4" t="s">
        <v>136</v>
      </c>
      <c r="C135" s="2" t="s">
        <v>232</v>
      </c>
      <c r="D135" s="2" t="s">
        <v>234</v>
      </c>
      <c r="E135" s="5">
        <v>520406</v>
      </c>
      <c r="F135" s="5">
        <v>18114</v>
      </c>
      <c r="G135" s="3">
        <f t="shared" si="2"/>
        <v>538520</v>
      </c>
    </row>
    <row r="136" spans="1:7" x14ac:dyDescent="0.2">
      <c r="A136" s="2">
        <v>2021</v>
      </c>
      <c r="B136" s="4" t="s">
        <v>137</v>
      </c>
      <c r="C136" s="2" t="s">
        <v>232</v>
      </c>
      <c r="D136" s="2" t="s">
        <v>234</v>
      </c>
      <c r="E136" s="5">
        <v>345210</v>
      </c>
      <c r="F136" s="5">
        <v>12016</v>
      </c>
      <c r="G136" s="3">
        <f t="shared" si="2"/>
        <v>357226</v>
      </c>
    </row>
    <row r="137" spans="1:7" x14ac:dyDescent="0.2">
      <c r="A137" s="2">
        <v>2021</v>
      </c>
      <c r="B137" s="4" t="s">
        <v>138</v>
      </c>
      <c r="C137" s="2" t="s">
        <v>232</v>
      </c>
      <c r="D137" s="2" t="s">
        <v>234</v>
      </c>
      <c r="E137" s="5">
        <v>103082</v>
      </c>
      <c r="F137" s="5">
        <v>3588</v>
      </c>
      <c r="G137" s="3">
        <f t="shared" si="2"/>
        <v>106670</v>
      </c>
    </row>
    <row r="138" spans="1:7" x14ac:dyDescent="0.2">
      <c r="A138" s="2">
        <v>2021</v>
      </c>
      <c r="B138" s="4" t="s">
        <v>139</v>
      </c>
      <c r="C138" s="2" t="s">
        <v>232</v>
      </c>
      <c r="D138" s="2" t="s">
        <v>234</v>
      </c>
      <c r="E138" s="5">
        <v>1810736</v>
      </c>
      <c r="F138" s="5">
        <v>63027</v>
      </c>
      <c r="G138" s="3">
        <f t="shared" si="2"/>
        <v>1873763</v>
      </c>
    </row>
    <row r="139" spans="1:7" x14ac:dyDescent="0.2">
      <c r="A139" s="2">
        <v>2021</v>
      </c>
      <c r="B139" s="4" t="s">
        <v>140</v>
      </c>
      <c r="C139" s="2" t="s">
        <v>232</v>
      </c>
      <c r="D139" s="2" t="s">
        <v>234</v>
      </c>
      <c r="E139" s="5">
        <v>39014</v>
      </c>
      <c r="F139" s="5">
        <v>1358</v>
      </c>
      <c r="G139" s="3">
        <f t="shared" si="2"/>
        <v>40372</v>
      </c>
    </row>
    <row r="140" spans="1:7" x14ac:dyDescent="0.2">
      <c r="A140" s="2">
        <v>2021</v>
      </c>
      <c r="B140" s="4" t="s">
        <v>141</v>
      </c>
      <c r="C140" s="2" t="s">
        <v>232</v>
      </c>
      <c r="D140" s="2" t="s">
        <v>234</v>
      </c>
      <c r="E140" s="5">
        <v>71147</v>
      </c>
      <c r="F140" s="5">
        <v>2476</v>
      </c>
      <c r="G140" s="3">
        <f t="shared" si="2"/>
        <v>73623</v>
      </c>
    </row>
    <row r="141" spans="1:7" x14ac:dyDescent="0.2">
      <c r="A141" s="2">
        <v>2021</v>
      </c>
      <c r="B141" s="4" t="s">
        <v>142</v>
      </c>
      <c r="C141" s="2" t="s">
        <v>232</v>
      </c>
      <c r="D141" s="2" t="s">
        <v>234</v>
      </c>
      <c r="E141" s="5">
        <v>548858</v>
      </c>
      <c r="F141" s="5">
        <v>19104</v>
      </c>
      <c r="G141" s="3">
        <f t="shared" si="2"/>
        <v>567962</v>
      </c>
    </row>
    <row r="142" spans="1:7" x14ac:dyDescent="0.2">
      <c r="A142" s="2">
        <v>2021</v>
      </c>
      <c r="B142" s="4" t="s">
        <v>143</v>
      </c>
      <c r="C142" s="2" t="s">
        <v>232</v>
      </c>
      <c r="D142" s="2" t="s">
        <v>234</v>
      </c>
      <c r="E142" s="5">
        <v>993803</v>
      </c>
      <c r="F142" s="5">
        <v>34592</v>
      </c>
      <c r="G142" s="3">
        <f t="shared" si="2"/>
        <v>1028395</v>
      </c>
    </row>
    <row r="143" spans="1:7" x14ac:dyDescent="0.2">
      <c r="A143" s="2">
        <v>2021</v>
      </c>
      <c r="B143" s="4" t="s">
        <v>144</v>
      </c>
      <c r="C143" s="2" t="s">
        <v>232</v>
      </c>
      <c r="D143" s="2" t="s">
        <v>234</v>
      </c>
      <c r="E143" s="5">
        <v>598694</v>
      </c>
      <c r="F143" s="5">
        <v>20839</v>
      </c>
      <c r="G143" s="3">
        <f t="shared" si="2"/>
        <v>619533</v>
      </c>
    </row>
    <row r="144" spans="1:7" x14ac:dyDescent="0.2">
      <c r="A144" s="2">
        <v>2021</v>
      </c>
      <c r="B144" s="4" t="s">
        <v>145</v>
      </c>
      <c r="C144" s="2" t="s">
        <v>232</v>
      </c>
      <c r="D144" s="2" t="s">
        <v>234</v>
      </c>
      <c r="E144" s="5">
        <v>700797</v>
      </c>
      <c r="F144" s="5">
        <v>24393</v>
      </c>
      <c r="G144" s="3">
        <f t="shared" si="2"/>
        <v>725190</v>
      </c>
    </row>
    <row r="145" spans="1:7" x14ac:dyDescent="0.2">
      <c r="A145" s="2">
        <v>2021</v>
      </c>
      <c r="B145" s="4" t="s">
        <v>146</v>
      </c>
      <c r="C145" s="2" t="s">
        <v>232</v>
      </c>
      <c r="D145" s="2" t="s">
        <v>234</v>
      </c>
      <c r="E145" s="5">
        <v>8568779</v>
      </c>
      <c r="F145" s="5">
        <v>298256</v>
      </c>
      <c r="G145" s="3">
        <f t="shared" si="2"/>
        <v>8867035</v>
      </c>
    </row>
    <row r="146" spans="1:7" x14ac:dyDescent="0.2">
      <c r="A146" s="2">
        <v>2021</v>
      </c>
      <c r="B146" s="4" t="s">
        <v>147</v>
      </c>
      <c r="C146" s="2" t="s">
        <v>232</v>
      </c>
      <c r="D146" s="2" t="s">
        <v>234</v>
      </c>
      <c r="E146" s="5">
        <v>11021</v>
      </c>
      <c r="F146" s="4">
        <v>384</v>
      </c>
      <c r="G146" s="3">
        <f t="shared" si="2"/>
        <v>11405</v>
      </c>
    </row>
    <row r="147" spans="1:7" x14ac:dyDescent="0.2">
      <c r="A147" s="2">
        <v>2021</v>
      </c>
      <c r="B147" s="4" t="s">
        <v>148</v>
      </c>
      <c r="C147" s="2" t="s">
        <v>232</v>
      </c>
      <c r="D147" s="2" t="s">
        <v>234</v>
      </c>
      <c r="E147" s="5">
        <v>115467</v>
      </c>
      <c r="F147" s="5">
        <v>4019</v>
      </c>
      <c r="G147" s="3">
        <f t="shared" si="2"/>
        <v>119486</v>
      </c>
    </row>
    <row r="148" spans="1:7" x14ac:dyDescent="0.2">
      <c r="A148" s="2">
        <v>2021</v>
      </c>
      <c r="B148" s="4" t="s">
        <v>149</v>
      </c>
      <c r="C148" s="2" t="s">
        <v>232</v>
      </c>
      <c r="D148" s="2" t="s">
        <v>234</v>
      </c>
      <c r="E148" s="5">
        <v>510712</v>
      </c>
      <c r="F148" s="5">
        <v>17777</v>
      </c>
      <c r="G148" s="3">
        <f t="shared" si="2"/>
        <v>528489</v>
      </c>
    </row>
    <row r="149" spans="1:7" x14ac:dyDescent="0.2">
      <c r="A149" s="2">
        <v>2021</v>
      </c>
      <c r="B149" s="4" t="s">
        <v>150</v>
      </c>
      <c r="C149" s="2" t="s">
        <v>232</v>
      </c>
      <c r="D149" s="2" t="s">
        <v>234</v>
      </c>
      <c r="E149" s="5">
        <v>928532</v>
      </c>
      <c r="F149" s="5">
        <v>32320</v>
      </c>
      <c r="G149" s="3">
        <f t="shared" si="2"/>
        <v>960852</v>
      </c>
    </row>
    <row r="150" spans="1:7" x14ac:dyDescent="0.2">
      <c r="A150" s="2">
        <v>2021</v>
      </c>
      <c r="B150" s="4" t="s">
        <v>151</v>
      </c>
      <c r="C150" s="2" t="s">
        <v>232</v>
      </c>
      <c r="D150" s="2" t="s">
        <v>234</v>
      </c>
      <c r="E150" s="5">
        <v>20468</v>
      </c>
      <c r="F150" s="4">
        <v>712</v>
      </c>
      <c r="G150" s="3">
        <f t="shared" si="2"/>
        <v>21180</v>
      </c>
    </row>
    <row r="151" spans="1:7" x14ac:dyDescent="0.2">
      <c r="A151" s="2">
        <v>2021</v>
      </c>
      <c r="B151" s="4" t="s">
        <v>152</v>
      </c>
      <c r="C151" s="2" t="s">
        <v>232</v>
      </c>
      <c r="D151" s="2" t="s">
        <v>234</v>
      </c>
      <c r="E151" s="5">
        <v>831673</v>
      </c>
      <c r="F151" s="5">
        <v>28948</v>
      </c>
      <c r="G151" s="3">
        <f t="shared" si="2"/>
        <v>860621</v>
      </c>
    </row>
    <row r="152" spans="1:7" x14ac:dyDescent="0.2">
      <c r="A152" s="2">
        <v>2021</v>
      </c>
      <c r="B152" s="4" t="s">
        <v>153</v>
      </c>
      <c r="C152" s="2" t="s">
        <v>232</v>
      </c>
      <c r="D152" s="2" t="s">
        <v>234</v>
      </c>
      <c r="E152" s="5">
        <v>1317926</v>
      </c>
      <c r="F152" s="5">
        <v>45873</v>
      </c>
      <c r="G152" s="3">
        <f t="shared" si="2"/>
        <v>1363799</v>
      </c>
    </row>
    <row r="153" spans="1:7" x14ac:dyDescent="0.2">
      <c r="A153" s="2">
        <v>2021</v>
      </c>
      <c r="B153" s="4" t="s">
        <v>68</v>
      </c>
      <c r="C153" s="2" t="s">
        <v>232</v>
      </c>
      <c r="D153" s="2" t="s">
        <v>234</v>
      </c>
      <c r="E153" s="5">
        <v>19469642</v>
      </c>
      <c r="F153" s="5">
        <v>677686</v>
      </c>
      <c r="G153" s="3">
        <f t="shared" si="2"/>
        <v>20147328</v>
      </c>
    </row>
    <row r="154" spans="1:7" x14ac:dyDescent="0.2">
      <c r="A154" s="2">
        <v>2021</v>
      </c>
      <c r="B154" s="4" t="s">
        <v>267</v>
      </c>
      <c r="C154" s="2" t="s">
        <v>232</v>
      </c>
      <c r="D154" s="2" t="s">
        <v>234</v>
      </c>
      <c r="E154" s="5">
        <v>181072</v>
      </c>
      <c r="F154" s="5">
        <v>6303</v>
      </c>
      <c r="G154" s="3">
        <f t="shared" si="2"/>
        <v>187375</v>
      </c>
    </row>
    <row r="155" spans="1:7" x14ac:dyDescent="0.2">
      <c r="A155" s="2">
        <v>2021</v>
      </c>
      <c r="B155" s="4" t="s">
        <v>242</v>
      </c>
      <c r="C155" s="2" t="s">
        <v>232</v>
      </c>
      <c r="D155" s="2" t="s">
        <v>234</v>
      </c>
      <c r="E155" s="5">
        <v>84486</v>
      </c>
      <c r="F155" s="5">
        <v>2941</v>
      </c>
      <c r="G155" s="3">
        <f t="shared" si="2"/>
        <v>87427</v>
      </c>
    </row>
    <row r="156" spans="1:7" x14ac:dyDescent="0.2">
      <c r="A156" s="2">
        <v>2021</v>
      </c>
      <c r="B156" s="4" t="s">
        <v>243</v>
      </c>
      <c r="C156" s="2" t="s">
        <v>232</v>
      </c>
      <c r="D156" s="2" t="s">
        <v>234</v>
      </c>
      <c r="E156" s="5">
        <v>26691</v>
      </c>
      <c r="F156" s="4">
        <v>929</v>
      </c>
      <c r="G156" s="3">
        <f t="shared" si="2"/>
        <v>27620</v>
      </c>
    </row>
    <row r="157" spans="1:7" x14ac:dyDescent="0.2">
      <c r="A157" s="2">
        <v>2021</v>
      </c>
      <c r="B157" s="4" t="s">
        <v>158</v>
      </c>
      <c r="C157" s="2" t="s">
        <v>232</v>
      </c>
      <c r="D157" s="2" t="s">
        <v>234</v>
      </c>
      <c r="E157" s="5">
        <v>105524</v>
      </c>
      <c r="F157" s="5">
        <v>3673</v>
      </c>
      <c r="G157" s="3">
        <f t="shared" si="2"/>
        <v>109197</v>
      </c>
    </row>
    <row r="158" spans="1:7" x14ac:dyDescent="0.2">
      <c r="A158" s="2">
        <v>2021</v>
      </c>
      <c r="B158" s="4" t="s">
        <v>159</v>
      </c>
      <c r="C158" s="2" t="s">
        <v>232</v>
      </c>
      <c r="D158" s="2" t="s">
        <v>234</v>
      </c>
      <c r="E158" s="5">
        <v>27869</v>
      </c>
      <c r="F158" s="4">
        <v>970</v>
      </c>
      <c r="G158" s="3">
        <f t="shared" si="2"/>
        <v>28839</v>
      </c>
    </row>
    <row r="159" spans="1:7" x14ac:dyDescent="0.2">
      <c r="A159" s="2">
        <v>2021</v>
      </c>
      <c r="B159" s="4" t="s">
        <v>160</v>
      </c>
      <c r="C159" s="2" t="s">
        <v>232</v>
      </c>
      <c r="D159" s="2" t="s">
        <v>234</v>
      </c>
      <c r="E159" s="5">
        <v>30311</v>
      </c>
      <c r="F159" s="5">
        <v>1055</v>
      </c>
      <c r="G159" s="3">
        <f t="shared" si="2"/>
        <v>31366</v>
      </c>
    </row>
    <row r="160" spans="1:7" x14ac:dyDescent="0.2">
      <c r="A160" s="2">
        <v>2021</v>
      </c>
      <c r="B160" s="4" t="s">
        <v>161</v>
      </c>
      <c r="C160" s="2" t="s">
        <v>232</v>
      </c>
      <c r="D160" s="2" t="s">
        <v>234</v>
      </c>
      <c r="E160" s="5">
        <v>313337</v>
      </c>
      <c r="F160" s="5">
        <v>10906</v>
      </c>
      <c r="G160" s="3">
        <f t="shared" si="2"/>
        <v>324243</v>
      </c>
    </row>
    <row r="161" spans="1:7" x14ac:dyDescent="0.2">
      <c r="A161" s="2">
        <v>2021</v>
      </c>
      <c r="B161" s="4" t="s">
        <v>162</v>
      </c>
      <c r="C161" s="2" t="s">
        <v>232</v>
      </c>
      <c r="D161" s="2" t="s">
        <v>234</v>
      </c>
      <c r="E161" s="5">
        <v>24001</v>
      </c>
      <c r="F161" s="4">
        <v>835</v>
      </c>
      <c r="G161" s="3">
        <f t="shared" si="2"/>
        <v>24836</v>
      </c>
    </row>
    <row r="162" spans="1:7" x14ac:dyDescent="0.2">
      <c r="A162" s="2">
        <v>2021</v>
      </c>
      <c r="B162" s="4" t="s">
        <v>163</v>
      </c>
      <c r="C162" s="2" t="s">
        <v>232</v>
      </c>
      <c r="D162" s="2" t="s">
        <v>234</v>
      </c>
      <c r="E162" s="5">
        <v>52812</v>
      </c>
      <c r="F162" s="5">
        <v>1838</v>
      </c>
      <c r="G162" s="3">
        <f t="shared" si="2"/>
        <v>54650</v>
      </c>
    </row>
    <row r="163" spans="1:7" x14ac:dyDescent="0.2">
      <c r="A163" s="2">
        <v>2021</v>
      </c>
      <c r="B163" s="4" t="s">
        <v>165</v>
      </c>
      <c r="C163" s="2" t="s">
        <v>232</v>
      </c>
      <c r="D163" s="2" t="s">
        <v>234</v>
      </c>
      <c r="E163" s="5">
        <v>9744</v>
      </c>
      <c r="F163" s="4">
        <v>339</v>
      </c>
      <c r="G163" s="3">
        <f t="shared" si="2"/>
        <v>10083</v>
      </c>
    </row>
    <row r="164" spans="1:7" x14ac:dyDescent="0.2">
      <c r="A164" s="2">
        <v>2021</v>
      </c>
      <c r="B164" s="4" t="s">
        <v>166</v>
      </c>
      <c r="C164" s="2" t="s">
        <v>232</v>
      </c>
      <c r="D164" s="2" t="s">
        <v>234</v>
      </c>
      <c r="E164" s="5">
        <v>20740</v>
      </c>
      <c r="F164" s="4">
        <v>722</v>
      </c>
      <c r="G164" s="3">
        <f t="shared" si="2"/>
        <v>21462</v>
      </c>
    </row>
    <row r="165" spans="1:7" x14ac:dyDescent="0.2">
      <c r="A165" s="2">
        <v>2021</v>
      </c>
      <c r="B165" s="4" t="s">
        <v>167</v>
      </c>
      <c r="C165" s="2" t="s">
        <v>232</v>
      </c>
      <c r="D165" s="2" t="s">
        <v>234</v>
      </c>
      <c r="E165" s="5">
        <v>19848</v>
      </c>
      <c r="F165" s="4">
        <v>691</v>
      </c>
      <c r="G165" s="3">
        <f t="shared" si="2"/>
        <v>20539</v>
      </c>
    </row>
    <row r="166" spans="1:7" x14ac:dyDescent="0.2">
      <c r="A166" s="2">
        <v>2021</v>
      </c>
      <c r="B166" s="4" t="s">
        <v>168</v>
      </c>
      <c r="C166" s="2" t="s">
        <v>232</v>
      </c>
      <c r="D166" s="2" t="s">
        <v>234</v>
      </c>
      <c r="E166" s="5">
        <v>30026</v>
      </c>
      <c r="F166" s="5">
        <v>1045</v>
      </c>
      <c r="G166" s="3">
        <f t="shared" si="2"/>
        <v>31071</v>
      </c>
    </row>
    <row r="167" spans="1:7" x14ac:dyDescent="0.2">
      <c r="A167" s="2">
        <v>2021</v>
      </c>
      <c r="B167" s="4" t="s">
        <v>244</v>
      </c>
      <c r="C167" s="2" t="s">
        <v>232</v>
      </c>
      <c r="D167" s="2" t="s">
        <v>234</v>
      </c>
      <c r="E167" s="5">
        <v>15583</v>
      </c>
      <c r="F167" s="4">
        <v>542</v>
      </c>
      <c r="G167" s="3">
        <f t="shared" si="2"/>
        <v>16125</v>
      </c>
    </row>
    <row r="168" spans="1:7" x14ac:dyDescent="0.2">
      <c r="A168" s="2">
        <v>2021</v>
      </c>
      <c r="B168" s="4" t="s">
        <v>169</v>
      </c>
      <c r="C168" s="2" t="s">
        <v>232</v>
      </c>
      <c r="D168" s="2" t="s">
        <v>234</v>
      </c>
      <c r="E168" s="5">
        <v>79193</v>
      </c>
      <c r="F168" s="5">
        <v>2756</v>
      </c>
      <c r="G168" s="3">
        <f t="shared" si="2"/>
        <v>81949</v>
      </c>
    </row>
    <row r="169" spans="1:7" x14ac:dyDescent="0.2">
      <c r="A169" s="2">
        <v>2021</v>
      </c>
      <c r="B169" s="4" t="s">
        <v>245</v>
      </c>
      <c r="C169" s="2" t="s">
        <v>232</v>
      </c>
      <c r="D169" s="2" t="s">
        <v>234</v>
      </c>
      <c r="E169" s="5">
        <v>8926</v>
      </c>
      <c r="F169" s="4">
        <v>311</v>
      </c>
      <c r="G169" s="3">
        <f t="shared" si="2"/>
        <v>9237</v>
      </c>
    </row>
    <row r="170" spans="1:7" x14ac:dyDescent="0.2">
      <c r="A170" s="2">
        <v>2021</v>
      </c>
      <c r="B170" s="4" t="s">
        <v>246</v>
      </c>
      <c r="C170" s="2" t="s">
        <v>232</v>
      </c>
      <c r="D170" s="2" t="s">
        <v>234</v>
      </c>
      <c r="E170" s="5">
        <v>17356</v>
      </c>
      <c r="F170" s="4">
        <v>604</v>
      </c>
      <c r="G170" s="3">
        <f t="shared" si="2"/>
        <v>17960</v>
      </c>
    </row>
    <row r="171" spans="1:7" x14ac:dyDescent="0.2">
      <c r="A171" s="2">
        <v>2021</v>
      </c>
      <c r="B171" s="4" t="s">
        <v>247</v>
      </c>
      <c r="C171" s="2" t="s">
        <v>232</v>
      </c>
      <c r="D171" s="2" t="s">
        <v>234</v>
      </c>
      <c r="E171" s="5">
        <v>30559</v>
      </c>
      <c r="F171" s="5">
        <v>1064</v>
      </c>
      <c r="G171" s="3">
        <f t="shared" si="2"/>
        <v>31623</v>
      </c>
    </row>
    <row r="172" spans="1:7" x14ac:dyDescent="0.2">
      <c r="A172" s="2">
        <v>2021</v>
      </c>
      <c r="B172" s="4" t="s">
        <v>172</v>
      </c>
      <c r="C172" s="2" t="s">
        <v>232</v>
      </c>
      <c r="D172" s="2" t="s">
        <v>234</v>
      </c>
      <c r="E172" s="5">
        <v>14951</v>
      </c>
      <c r="F172" s="4">
        <v>520</v>
      </c>
      <c r="G172" s="3">
        <f t="shared" si="2"/>
        <v>15471</v>
      </c>
    </row>
    <row r="173" spans="1:7" x14ac:dyDescent="0.2">
      <c r="A173" s="2">
        <v>2021</v>
      </c>
      <c r="B173" s="4" t="s">
        <v>268</v>
      </c>
      <c r="C173" s="2" t="s">
        <v>232</v>
      </c>
      <c r="D173" s="2" t="s">
        <v>234</v>
      </c>
      <c r="E173" s="5">
        <v>19141</v>
      </c>
      <c r="F173" s="4">
        <v>666</v>
      </c>
      <c r="G173" s="3">
        <f t="shared" si="2"/>
        <v>19807</v>
      </c>
    </row>
    <row r="174" spans="1:7" x14ac:dyDescent="0.2">
      <c r="A174" s="2">
        <v>2021</v>
      </c>
      <c r="B174" s="4" t="s">
        <v>174</v>
      </c>
      <c r="C174" s="2" t="s">
        <v>232</v>
      </c>
      <c r="D174" s="2" t="s">
        <v>234</v>
      </c>
      <c r="E174" s="5">
        <v>34476</v>
      </c>
      <c r="F174" s="5">
        <v>1200</v>
      </c>
      <c r="G174" s="3">
        <f t="shared" si="2"/>
        <v>35676</v>
      </c>
    </row>
    <row r="175" spans="1:7" x14ac:dyDescent="0.2">
      <c r="A175" s="2">
        <v>2021</v>
      </c>
      <c r="B175" s="4" t="s">
        <v>175</v>
      </c>
      <c r="C175" s="2" t="s">
        <v>232</v>
      </c>
      <c r="D175" s="2" t="s">
        <v>234</v>
      </c>
      <c r="E175" s="5">
        <v>19674</v>
      </c>
      <c r="F175" s="4">
        <v>685</v>
      </c>
      <c r="G175" s="3">
        <f t="shared" si="2"/>
        <v>20359</v>
      </c>
    </row>
    <row r="176" spans="1:7" x14ac:dyDescent="0.2">
      <c r="A176" s="2">
        <v>2021</v>
      </c>
      <c r="B176" s="4" t="s">
        <v>177</v>
      </c>
      <c r="C176" s="2" t="s">
        <v>232</v>
      </c>
      <c r="D176" s="2" t="s">
        <v>234</v>
      </c>
      <c r="E176" s="5">
        <v>219330</v>
      </c>
      <c r="F176" s="5">
        <v>7634</v>
      </c>
      <c r="G176" s="3">
        <f t="shared" si="2"/>
        <v>226964</v>
      </c>
    </row>
    <row r="177" spans="1:7" x14ac:dyDescent="0.2">
      <c r="A177" s="2">
        <v>2021</v>
      </c>
      <c r="B177" s="4" t="s">
        <v>179</v>
      </c>
      <c r="C177" s="2" t="s">
        <v>232</v>
      </c>
      <c r="D177" s="2" t="s">
        <v>234</v>
      </c>
      <c r="E177" s="5">
        <v>99512</v>
      </c>
      <c r="F177" s="5">
        <v>3464</v>
      </c>
      <c r="G177" s="3">
        <f t="shared" si="2"/>
        <v>102976</v>
      </c>
    </row>
    <row r="178" spans="1:7" x14ac:dyDescent="0.2">
      <c r="A178" s="2">
        <v>2021</v>
      </c>
      <c r="B178" s="4" t="s">
        <v>181</v>
      </c>
      <c r="C178" s="2" t="s">
        <v>232</v>
      </c>
      <c r="D178" s="2" t="s">
        <v>234</v>
      </c>
      <c r="E178" s="5">
        <v>101694</v>
      </c>
      <c r="F178" s="5">
        <v>3540</v>
      </c>
      <c r="G178" s="3">
        <f t="shared" si="2"/>
        <v>105234</v>
      </c>
    </row>
    <row r="179" spans="1:7" x14ac:dyDescent="0.2">
      <c r="A179" s="2">
        <v>2021</v>
      </c>
      <c r="B179" s="4" t="s">
        <v>182</v>
      </c>
      <c r="C179" s="2" t="s">
        <v>232</v>
      </c>
      <c r="D179" s="2" t="s">
        <v>234</v>
      </c>
      <c r="E179" s="5">
        <v>165873</v>
      </c>
      <c r="F179" s="5">
        <v>5774</v>
      </c>
      <c r="G179" s="3">
        <f t="shared" si="2"/>
        <v>171647</v>
      </c>
    </row>
    <row r="180" spans="1:7" x14ac:dyDescent="0.2">
      <c r="A180" s="2">
        <v>2021</v>
      </c>
      <c r="B180" s="4" t="s">
        <v>183</v>
      </c>
      <c r="C180" s="2" t="s">
        <v>232</v>
      </c>
      <c r="D180" s="2" t="s">
        <v>234</v>
      </c>
      <c r="E180" s="5">
        <v>35952</v>
      </c>
      <c r="F180" s="5">
        <v>1251</v>
      </c>
      <c r="G180" s="3">
        <f t="shared" si="2"/>
        <v>37203</v>
      </c>
    </row>
    <row r="181" spans="1:7" x14ac:dyDescent="0.2">
      <c r="A181" s="2">
        <v>2021</v>
      </c>
      <c r="B181" s="4" t="s">
        <v>184</v>
      </c>
      <c r="C181" s="2" t="s">
        <v>232</v>
      </c>
      <c r="D181" s="2" t="s">
        <v>234</v>
      </c>
      <c r="E181" s="5">
        <v>39733</v>
      </c>
      <c r="F181" s="5">
        <v>1383</v>
      </c>
      <c r="G181" s="3">
        <f t="shared" si="2"/>
        <v>41116</v>
      </c>
    </row>
    <row r="182" spans="1:7" x14ac:dyDescent="0.2">
      <c r="A182" s="2">
        <v>2021</v>
      </c>
      <c r="B182" s="4" t="s">
        <v>185</v>
      </c>
      <c r="C182" s="2" t="s">
        <v>232</v>
      </c>
      <c r="D182" s="2" t="s">
        <v>234</v>
      </c>
      <c r="E182" s="5">
        <v>17195</v>
      </c>
      <c r="F182" s="4">
        <v>599</v>
      </c>
      <c r="G182" s="3">
        <f t="shared" si="2"/>
        <v>17794</v>
      </c>
    </row>
    <row r="183" spans="1:7" x14ac:dyDescent="0.2">
      <c r="A183" s="2">
        <v>2021</v>
      </c>
      <c r="B183" s="4" t="s">
        <v>186</v>
      </c>
      <c r="C183" s="2" t="s">
        <v>232</v>
      </c>
      <c r="D183" s="2" t="s">
        <v>234</v>
      </c>
      <c r="E183" s="5">
        <v>324643</v>
      </c>
      <c r="F183" s="5">
        <v>11300</v>
      </c>
      <c r="G183" s="3">
        <f t="shared" si="2"/>
        <v>335943</v>
      </c>
    </row>
    <row r="184" spans="1:7" x14ac:dyDescent="0.2">
      <c r="A184" s="2">
        <v>2021</v>
      </c>
      <c r="B184" s="4" t="s">
        <v>187</v>
      </c>
      <c r="C184" s="2" t="s">
        <v>232</v>
      </c>
      <c r="D184" s="2" t="s">
        <v>234</v>
      </c>
      <c r="E184" s="5">
        <v>241533</v>
      </c>
      <c r="F184" s="5">
        <v>8407</v>
      </c>
      <c r="G184" s="3">
        <f t="shared" si="2"/>
        <v>249940</v>
      </c>
    </row>
    <row r="185" spans="1:7" x14ac:dyDescent="0.2">
      <c r="A185" s="2">
        <v>2021</v>
      </c>
      <c r="B185" s="4" t="s">
        <v>188</v>
      </c>
      <c r="C185" s="2" t="s">
        <v>232</v>
      </c>
      <c r="D185" s="2" t="s">
        <v>234</v>
      </c>
      <c r="E185" s="5">
        <v>271100</v>
      </c>
      <c r="F185" s="5">
        <v>9436</v>
      </c>
      <c r="G185" s="3">
        <f t="shared" si="2"/>
        <v>280536</v>
      </c>
    </row>
    <row r="186" spans="1:7" x14ac:dyDescent="0.2">
      <c r="A186" s="2">
        <v>2021</v>
      </c>
      <c r="B186" s="4" t="s">
        <v>189</v>
      </c>
      <c r="C186" s="2" t="s">
        <v>232</v>
      </c>
      <c r="D186" s="2" t="s">
        <v>234</v>
      </c>
      <c r="E186" s="5">
        <v>97850</v>
      </c>
      <c r="F186" s="5">
        <v>3406</v>
      </c>
      <c r="G186" s="3">
        <f t="shared" si="2"/>
        <v>101256</v>
      </c>
    </row>
    <row r="187" spans="1:7" x14ac:dyDescent="0.2">
      <c r="A187" s="2">
        <v>2021</v>
      </c>
      <c r="B187" s="4" t="s">
        <v>249</v>
      </c>
      <c r="C187" s="2" t="s">
        <v>232</v>
      </c>
      <c r="D187" s="2" t="s">
        <v>234</v>
      </c>
      <c r="E187" s="5">
        <v>21683</v>
      </c>
      <c r="F187" s="4">
        <v>755</v>
      </c>
      <c r="G187" s="3">
        <f t="shared" si="2"/>
        <v>22438</v>
      </c>
    </row>
    <row r="188" spans="1:7" x14ac:dyDescent="0.2">
      <c r="A188" s="2">
        <v>2021</v>
      </c>
      <c r="B188" s="4" t="s">
        <v>190</v>
      </c>
      <c r="C188" s="2" t="s">
        <v>232</v>
      </c>
      <c r="D188" s="2" t="s">
        <v>234</v>
      </c>
      <c r="E188" s="5">
        <v>62271</v>
      </c>
      <c r="F188" s="5">
        <v>2167</v>
      </c>
      <c r="G188" s="3">
        <f t="shared" si="2"/>
        <v>64438</v>
      </c>
    </row>
    <row r="189" spans="1:7" x14ac:dyDescent="0.2">
      <c r="A189" s="2">
        <v>2021</v>
      </c>
      <c r="B189" s="4" t="s">
        <v>191</v>
      </c>
      <c r="C189" s="2" t="s">
        <v>232</v>
      </c>
      <c r="D189" s="2" t="s">
        <v>234</v>
      </c>
      <c r="E189" s="5">
        <v>132835</v>
      </c>
      <c r="F189" s="5">
        <v>4624</v>
      </c>
      <c r="G189" s="3">
        <f t="shared" si="2"/>
        <v>137459</v>
      </c>
    </row>
    <row r="190" spans="1:7" x14ac:dyDescent="0.2">
      <c r="A190" s="2">
        <v>2021</v>
      </c>
      <c r="B190" s="4" t="s">
        <v>192</v>
      </c>
      <c r="C190" s="2" t="s">
        <v>232</v>
      </c>
      <c r="D190" s="2" t="s">
        <v>234</v>
      </c>
      <c r="E190" s="5">
        <v>914660</v>
      </c>
      <c r="F190" s="5">
        <v>31837</v>
      </c>
      <c r="G190" s="3">
        <f t="shared" si="2"/>
        <v>946497</v>
      </c>
    </row>
    <row r="191" spans="1:7" x14ac:dyDescent="0.2">
      <c r="A191" s="2">
        <v>2021</v>
      </c>
      <c r="B191" s="4" t="s">
        <v>193</v>
      </c>
      <c r="C191" s="2" t="s">
        <v>232</v>
      </c>
      <c r="D191" s="2" t="s">
        <v>234</v>
      </c>
      <c r="E191" s="5">
        <v>47704</v>
      </c>
      <c r="F191" s="5">
        <v>1660</v>
      </c>
      <c r="G191" s="3">
        <f t="shared" si="2"/>
        <v>49364</v>
      </c>
    </row>
    <row r="192" spans="1:7" x14ac:dyDescent="0.2">
      <c r="A192" s="2">
        <v>2021</v>
      </c>
      <c r="B192" s="4" t="s">
        <v>194</v>
      </c>
      <c r="C192" s="2" t="s">
        <v>232</v>
      </c>
      <c r="D192" s="2" t="s">
        <v>234</v>
      </c>
      <c r="E192" s="5">
        <v>84486</v>
      </c>
      <c r="F192" s="5">
        <v>2941</v>
      </c>
      <c r="G192" s="3">
        <f t="shared" si="2"/>
        <v>87427</v>
      </c>
    </row>
    <row r="193" spans="1:7" x14ac:dyDescent="0.2">
      <c r="A193" s="2">
        <v>2021</v>
      </c>
      <c r="B193" s="4" t="s">
        <v>250</v>
      </c>
      <c r="C193" s="2" t="s">
        <v>232</v>
      </c>
      <c r="D193" s="2" t="s">
        <v>234</v>
      </c>
      <c r="E193" s="5">
        <v>18596</v>
      </c>
      <c r="F193" s="4">
        <v>647</v>
      </c>
      <c r="G193" s="3">
        <f t="shared" si="2"/>
        <v>19243</v>
      </c>
    </row>
    <row r="194" spans="1:7" x14ac:dyDescent="0.2">
      <c r="A194" s="2">
        <v>2021</v>
      </c>
      <c r="B194" s="4" t="s">
        <v>196</v>
      </c>
      <c r="C194" s="2" t="s">
        <v>232</v>
      </c>
      <c r="D194" s="2" t="s">
        <v>234</v>
      </c>
      <c r="E194" s="5">
        <v>110855</v>
      </c>
      <c r="F194" s="5">
        <v>3859</v>
      </c>
      <c r="G194" s="3">
        <f t="shared" si="2"/>
        <v>114714</v>
      </c>
    </row>
    <row r="195" spans="1:7" x14ac:dyDescent="0.2">
      <c r="A195" s="2">
        <v>2021</v>
      </c>
      <c r="B195" s="4" t="s">
        <v>197</v>
      </c>
      <c r="C195" s="2" t="s">
        <v>232</v>
      </c>
      <c r="D195" s="2" t="s">
        <v>234</v>
      </c>
      <c r="E195" s="5">
        <v>73961</v>
      </c>
      <c r="F195" s="5">
        <v>2574</v>
      </c>
      <c r="G195" s="3">
        <f t="shared" ref="G195:G225" si="3">SUM(E195:F195)</f>
        <v>76535</v>
      </c>
    </row>
    <row r="196" spans="1:7" x14ac:dyDescent="0.2">
      <c r="A196" s="2">
        <v>2021</v>
      </c>
      <c r="B196" s="4" t="s">
        <v>198</v>
      </c>
      <c r="C196" s="2" t="s">
        <v>232</v>
      </c>
      <c r="D196" s="2" t="s">
        <v>234</v>
      </c>
      <c r="E196" s="5">
        <v>16240</v>
      </c>
      <c r="F196" s="4">
        <v>565</v>
      </c>
      <c r="G196" s="3">
        <f t="shared" si="3"/>
        <v>16805</v>
      </c>
    </row>
    <row r="197" spans="1:7" x14ac:dyDescent="0.2">
      <c r="A197" s="2">
        <v>2021</v>
      </c>
      <c r="B197" s="4" t="s">
        <v>251</v>
      </c>
      <c r="C197" s="2" t="s">
        <v>232</v>
      </c>
      <c r="D197" s="2" t="s">
        <v>234</v>
      </c>
      <c r="E197" s="5">
        <v>29666</v>
      </c>
      <c r="F197" s="5">
        <v>1033</v>
      </c>
      <c r="G197" s="3">
        <f t="shared" si="3"/>
        <v>30699</v>
      </c>
    </row>
    <row r="198" spans="1:7" x14ac:dyDescent="0.2">
      <c r="A198" s="2">
        <v>2021</v>
      </c>
      <c r="B198" s="4" t="s">
        <v>200</v>
      </c>
      <c r="C198" s="2" t="s">
        <v>232</v>
      </c>
      <c r="D198" s="2" t="s">
        <v>234</v>
      </c>
      <c r="E198" s="5">
        <v>79590</v>
      </c>
      <c r="F198" s="5">
        <v>2770</v>
      </c>
      <c r="G198" s="3">
        <f t="shared" si="3"/>
        <v>82360</v>
      </c>
    </row>
    <row r="199" spans="1:7" x14ac:dyDescent="0.2">
      <c r="A199" s="2">
        <v>2021</v>
      </c>
      <c r="B199" s="4" t="s">
        <v>201</v>
      </c>
      <c r="C199" s="2" t="s">
        <v>232</v>
      </c>
      <c r="D199" s="2" t="s">
        <v>234</v>
      </c>
      <c r="E199" s="5">
        <v>42411</v>
      </c>
      <c r="F199" s="5">
        <v>1476</v>
      </c>
      <c r="G199" s="3">
        <f t="shared" si="3"/>
        <v>43887</v>
      </c>
    </row>
    <row r="200" spans="1:7" x14ac:dyDescent="0.2">
      <c r="A200" s="2">
        <v>2021</v>
      </c>
      <c r="B200" s="4" t="s">
        <v>202</v>
      </c>
      <c r="C200" s="2" t="s">
        <v>232</v>
      </c>
      <c r="D200" s="2" t="s">
        <v>234</v>
      </c>
      <c r="E200" s="5">
        <v>6323</v>
      </c>
      <c r="F200" s="4">
        <v>220</v>
      </c>
      <c r="G200" s="3">
        <f t="shared" si="3"/>
        <v>6543</v>
      </c>
    </row>
    <row r="201" spans="1:7" x14ac:dyDescent="0.2">
      <c r="A201" s="2">
        <v>2021</v>
      </c>
      <c r="B201" s="4" t="s">
        <v>203</v>
      </c>
      <c r="C201" s="2" t="s">
        <v>232</v>
      </c>
      <c r="D201" s="2" t="s">
        <v>234</v>
      </c>
      <c r="E201" s="5">
        <v>46378</v>
      </c>
      <c r="F201" s="5">
        <v>1614</v>
      </c>
      <c r="G201" s="3">
        <f t="shared" si="3"/>
        <v>47992</v>
      </c>
    </row>
    <row r="202" spans="1:7" x14ac:dyDescent="0.2">
      <c r="A202" s="2">
        <v>2021</v>
      </c>
      <c r="B202" s="4" t="s">
        <v>206</v>
      </c>
      <c r="C202" s="2" t="s">
        <v>232</v>
      </c>
      <c r="D202" s="2" t="s">
        <v>234</v>
      </c>
      <c r="E202" s="5">
        <v>34427</v>
      </c>
      <c r="F202" s="5">
        <v>1198</v>
      </c>
      <c r="G202" s="3">
        <f t="shared" si="3"/>
        <v>35625</v>
      </c>
    </row>
    <row r="203" spans="1:7" x14ac:dyDescent="0.2">
      <c r="A203" s="2">
        <v>2021</v>
      </c>
      <c r="B203" s="4" t="s">
        <v>207</v>
      </c>
      <c r="C203" s="2" t="s">
        <v>232</v>
      </c>
      <c r="D203" s="2" t="s">
        <v>234</v>
      </c>
      <c r="E203" s="5">
        <v>20678</v>
      </c>
      <c r="F203" s="4">
        <v>720</v>
      </c>
      <c r="G203" s="3">
        <f t="shared" si="3"/>
        <v>21398</v>
      </c>
    </row>
    <row r="204" spans="1:7" x14ac:dyDescent="0.2">
      <c r="A204" s="2">
        <v>2021</v>
      </c>
      <c r="B204" s="4" t="s">
        <v>208</v>
      </c>
      <c r="C204" s="2" t="s">
        <v>232</v>
      </c>
      <c r="D204" s="2" t="s">
        <v>234</v>
      </c>
      <c r="E204" s="5">
        <v>26170</v>
      </c>
      <c r="F204" s="4">
        <v>911</v>
      </c>
      <c r="G204" s="3">
        <f t="shared" si="3"/>
        <v>27081</v>
      </c>
    </row>
    <row r="205" spans="1:7" x14ac:dyDescent="0.2">
      <c r="A205" s="2">
        <v>2021</v>
      </c>
      <c r="B205" s="4" t="s">
        <v>209</v>
      </c>
      <c r="C205" s="2" t="s">
        <v>232</v>
      </c>
      <c r="D205" s="2" t="s">
        <v>234</v>
      </c>
      <c r="E205" s="5">
        <v>142616</v>
      </c>
      <c r="F205" s="5">
        <v>4964</v>
      </c>
      <c r="G205" s="3">
        <f t="shared" si="3"/>
        <v>147580</v>
      </c>
    </row>
    <row r="206" spans="1:7" x14ac:dyDescent="0.2">
      <c r="A206" s="2">
        <v>2021</v>
      </c>
      <c r="B206" s="4" t="s">
        <v>254</v>
      </c>
      <c r="C206" s="2" t="s">
        <v>232</v>
      </c>
      <c r="D206" s="2" t="s">
        <v>234</v>
      </c>
      <c r="E206" s="5">
        <v>18682</v>
      </c>
      <c r="F206" s="4">
        <v>650</v>
      </c>
      <c r="G206" s="3">
        <f t="shared" si="3"/>
        <v>19332</v>
      </c>
    </row>
    <row r="207" spans="1:7" x14ac:dyDescent="0.2">
      <c r="A207" s="2">
        <v>2021</v>
      </c>
      <c r="B207" s="4" t="s">
        <v>212</v>
      </c>
      <c r="C207" s="2" t="s">
        <v>232</v>
      </c>
      <c r="D207" s="2" t="s">
        <v>234</v>
      </c>
      <c r="E207" s="5">
        <v>38208</v>
      </c>
      <c r="F207" s="5">
        <v>1330</v>
      </c>
      <c r="G207" s="3">
        <f t="shared" si="3"/>
        <v>39538</v>
      </c>
    </row>
    <row r="208" spans="1:7" x14ac:dyDescent="0.2">
      <c r="A208" s="2">
        <v>2021</v>
      </c>
      <c r="B208" s="4" t="s">
        <v>213</v>
      </c>
      <c r="C208" s="2" t="s">
        <v>232</v>
      </c>
      <c r="D208" s="2" t="s">
        <v>234</v>
      </c>
      <c r="E208" s="5">
        <v>18137</v>
      </c>
      <c r="F208" s="4">
        <v>631</v>
      </c>
      <c r="G208" s="3">
        <f t="shared" si="3"/>
        <v>18768</v>
      </c>
    </row>
    <row r="209" spans="1:7" x14ac:dyDescent="0.2">
      <c r="A209" s="2">
        <v>2021</v>
      </c>
      <c r="B209" s="4" t="s">
        <v>255</v>
      </c>
      <c r="C209" s="2" t="s">
        <v>232</v>
      </c>
      <c r="D209" s="2" t="s">
        <v>234</v>
      </c>
      <c r="E209" s="5">
        <v>355897</v>
      </c>
      <c r="F209" s="5">
        <v>12388</v>
      </c>
      <c r="G209" s="3">
        <f t="shared" si="3"/>
        <v>368285</v>
      </c>
    </row>
    <row r="210" spans="1:7" x14ac:dyDescent="0.2">
      <c r="A210" s="2">
        <v>2021</v>
      </c>
      <c r="B210" s="4" t="s">
        <v>271</v>
      </c>
      <c r="C210" s="2" t="s">
        <v>232</v>
      </c>
      <c r="D210" s="2" t="s">
        <v>234</v>
      </c>
      <c r="E210" s="5">
        <v>1631722</v>
      </c>
      <c r="F210" s="5">
        <v>56796</v>
      </c>
      <c r="G210" s="3">
        <f t="shared" si="3"/>
        <v>1688518</v>
      </c>
    </row>
    <row r="211" spans="1:7" x14ac:dyDescent="0.2">
      <c r="A211" s="2">
        <v>2021</v>
      </c>
      <c r="B211" s="4" t="s">
        <v>215</v>
      </c>
      <c r="C211" s="2" t="s">
        <v>232</v>
      </c>
      <c r="D211" s="2" t="s">
        <v>234</v>
      </c>
      <c r="E211" s="5">
        <v>1073603</v>
      </c>
      <c r="F211" s="5">
        <v>37369</v>
      </c>
      <c r="G211" s="3">
        <f t="shared" si="3"/>
        <v>1110972</v>
      </c>
    </row>
    <row r="212" spans="1:7" x14ac:dyDescent="0.2">
      <c r="A212" s="2">
        <v>2021</v>
      </c>
      <c r="B212" s="4" t="s">
        <v>216</v>
      </c>
      <c r="C212" s="2" t="s">
        <v>232</v>
      </c>
      <c r="D212" s="2" t="s">
        <v>234</v>
      </c>
      <c r="E212" s="5">
        <v>623848</v>
      </c>
      <c r="F212" s="5">
        <v>21714</v>
      </c>
      <c r="G212" s="3">
        <f t="shared" si="3"/>
        <v>645562</v>
      </c>
    </row>
    <row r="213" spans="1:7" x14ac:dyDescent="0.2">
      <c r="A213" s="2">
        <v>2021</v>
      </c>
      <c r="B213" s="4" t="s">
        <v>217</v>
      </c>
      <c r="C213" s="2" t="s">
        <v>232</v>
      </c>
      <c r="D213" s="2" t="s">
        <v>234</v>
      </c>
      <c r="E213" s="5">
        <v>13538</v>
      </c>
      <c r="F213" s="4">
        <v>471</v>
      </c>
      <c r="G213" s="3">
        <f t="shared" si="3"/>
        <v>14009</v>
      </c>
    </row>
    <row r="214" spans="1:7" x14ac:dyDescent="0.2">
      <c r="A214" s="2">
        <v>2021</v>
      </c>
      <c r="B214" s="4" t="s">
        <v>218</v>
      </c>
      <c r="C214" s="2" t="s">
        <v>232</v>
      </c>
      <c r="D214" s="2" t="s">
        <v>234</v>
      </c>
      <c r="E214" s="5">
        <v>114909</v>
      </c>
      <c r="F214" s="5">
        <v>4000</v>
      </c>
      <c r="G214" s="3">
        <f t="shared" si="3"/>
        <v>118909</v>
      </c>
    </row>
    <row r="215" spans="1:7" x14ac:dyDescent="0.2">
      <c r="A215" s="2">
        <v>2021</v>
      </c>
      <c r="B215" s="4" t="s">
        <v>219</v>
      </c>
      <c r="C215" s="2" t="s">
        <v>232</v>
      </c>
      <c r="D215" s="2" t="s">
        <v>234</v>
      </c>
      <c r="E215" s="5">
        <v>2382615</v>
      </c>
      <c r="F215" s="5">
        <v>82932</v>
      </c>
      <c r="G215" s="3">
        <f t="shared" si="3"/>
        <v>2465547</v>
      </c>
    </row>
    <row r="216" spans="1:7" x14ac:dyDescent="0.2">
      <c r="A216" s="2">
        <v>2021</v>
      </c>
      <c r="B216" s="4" t="s">
        <v>220</v>
      </c>
      <c r="C216" s="2" t="s">
        <v>232</v>
      </c>
      <c r="D216" s="2" t="s">
        <v>234</v>
      </c>
      <c r="E216" s="5">
        <v>1013985</v>
      </c>
      <c r="F216" s="5">
        <v>35294</v>
      </c>
      <c r="G216" s="3">
        <f t="shared" si="3"/>
        <v>1049279</v>
      </c>
    </row>
    <row r="217" spans="1:7" x14ac:dyDescent="0.2">
      <c r="A217" s="2">
        <v>2021</v>
      </c>
      <c r="B217" s="4" t="s">
        <v>221</v>
      </c>
      <c r="C217" s="2" t="s">
        <v>232</v>
      </c>
      <c r="D217" s="2" t="s">
        <v>234</v>
      </c>
      <c r="E217" s="5">
        <v>2777637</v>
      </c>
      <c r="F217" s="5">
        <v>96682</v>
      </c>
      <c r="G217" s="3">
        <f t="shared" si="3"/>
        <v>2874319</v>
      </c>
    </row>
    <row r="218" spans="1:7" x14ac:dyDescent="0.2">
      <c r="A218" s="2">
        <v>2021</v>
      </c>
      <c r="B218" s="4" t="s">
        <v>222</v>
      </c>
      <c r="C218" s="2" t="s">
        <v>232</v>
      </c>
      <c r="D218" s="2" t="s">
        <v>234</v>
      </c>
      <c r="E218" s="5">
        <v>60932</v>
      </c>
      <c r="F218" s="5">
        <v>2121</v>
      </c>
      <c r="G218" s="3">
        <f t="shared" si="3"/>
        <v>63053</v>
      </c>
    </row>
    <row r="219" spans="1:7" x14ac:dyDescent="0.2">
      <c r="A219" s="2">
        <v>2021</v>
      </c>
      <c r="B219" s="4" t="s">
        <v>257</v>
      </c>
      <c r="C219" s="2" t="s">
        <v>232</v>
      </c>
      <c r="D219" s="2" t="s">
        <v>234</v>
      </c>
      <c r="E219" s="5">
        <v>30075</v>
      </c>
      <c r="F219" s="5">
        <v>1047</v>
      </c>
      <c r="G219" s="3">
        <f t="shared" si="3"/>
        <v>31122</v>
      </c>
    </row>
    <row r="220" spans="1:7" x14ac:dyDescent="0.2">
      <c r="A220" s="2">
        <v>2021</v>
      </c>
      <c r="B220" s="4" t="s">
        <v>258</v>
      </c>
      <c r="C220" s="2" t="s">
        <v>232</v>
      </c>
      <c r="D220" s="2" t="s">
        <v>234</v>
      </c>
      <c r="E220" s="5">
        <v>7773</v>
      </c>
      <c r="F220" s="4">
        <v>271</v>
      </c>
      <c r="G220" s="3">
        <f t="shared" si="3"/>
        <v>8044</v>
      </c>
    </row>
    <row r="221" spans="1:7" x14ac:dyDescent="0.2">
      <c r="A221" s="2">
        <v>2021</v>
      </c>
      <c r="B221" s="4" t="s">
        <v>226</v>
      </c>
      <c r="C221" s="2" t="s">
        <v>232</v>
      </c>
      <c r="D221" s="2" t="s">
        <v>234</v>
      </c>
      <c r="E221" s="5">
        <v>37600</v>
      </c>
      <c r="F221" s="5">
        <v>1309</v>
      </c>
      <c r="G221" s="3">
        <f t="shared" si="3"/>
        <v>38909</v>
      </c>
    </row>
    <row r="222" spans="1:7" x14ac:dyDescent="0.2">
      <c r="A222" s="2">
        <v>2021</v>
      </c>
      <c r="B222" s="4" t="s">
        <v>259</v>
      </c>
      <c r="C222" s="2" t="s">
        <v>232</v>
      </c>
      <c r="D222" s="2" t="s">
        <v>234</v>
      </c>
      <c r="E222" s="5">
        <v>322449</v>
      </c>
      <c r="F222" s="5">
        <v>11224</v>
      </c>
      <c r="G222" s="3">
        <f t="shared" si="3"/>
        <v>333673</v>
      </c>
    </row>
    <row r="223" spans="1:7" x14ac:dyDescent="0.2">
      <c r="A223" s="2">
        <v>2021</v>
      </c>
      <c r="B223" s="4" t="s">
        <v>260</v>
      </c>
      <c r="C223" s="2" t="s">
        <v>232</v>
      </c>
      <c r="D223" s="2" t="s">
        <v>234</v>
      </c>
      <c r="E223" s="5">
        <v>22364</v>
      </c>
      <c r="F223" s="4">
        <v>778</v>
      </c>
      <c r="G223" s="3">
        <f t="shared" si="3"/>
        <v>23142</v>
      </c>
    </row>
    <row r="224" spans="1:7" x14ac:dyDescent="0.2">
      <c r="A224" s="2">
        <v>2021</v>
      </c>
      <c r="B224" s="4" t="s">
        <v>228</v>
      </c>
      <c r="C224" s="2" t="s">
        <v>232</v>
      </c>
      <c r="D224" s="2" t="s">
        <v>234</v>
      </c>
      <c r="E224" s="5">
        <v>20517</v>
      </c>
      <c r="F224" s="4">
        <v>714</v>
      </c>
      <c r="G224" s="3">
        <f t="shared" si="3"/>
        <v>21231</v>
      </c>
    </row>
    <row r="225" spans="1:7" x14ac:dyDescent="0.2">
      <c r="A225" s="2">
        <v>2021</v>
      </c>
      <c r="B225" s="4" t="s">
        <v>229</v>
      </c>
      <c r="C225" s="2" t="s">
        <v>232</v>
      </c>
      <c r="D225" s="2" t="s">
        <v>234</v>
      </c>
      <c r="E225" s="5">
        <v>45522</v>
      </c>
      <c r="F225" s="5">
        <v>1585</v>
      </c>
      <c r="G225" s="3">
        <f t="shared" si="3"/>
        <v>47107</v>
      </c>
    </row>
    <row r="227" spans="1:7" x14ac:dyDescent="0.2">
      <c r="D227" s="2" t="s">
        <v>274</v>
      </c>
      <c r="E227" s="7">
        <f>SUM(E2:E225)</f>
        <v>1239712156</v>
      </c>
      <c r="F227" s="7">
        <f>SUM(F2:F225)</f>
        <v>43151068</v>
      </c>
    </row>
    <row r="229" spans="1:7" x14ac:dyDescent="0.2">
      <c r="D229" s="8" t="s">
        <v>275</v>
      </c>
      <c r="E229" s="11">
        <v>1239712158</v>
      </c>
      <c r="F229" s="11">
        <v>43151074</v>
      </c>
    </row>
    <row r="231" spans="1:7" x14ac:dyDescent="0.2">
      <c r="D231" s="8" t="s">
        <v>276</v>
      </c>
      <c r="E231" s="6">
        <f>E227-E229</f>
        <v>-2</v>
      </c>
      <c r="F231" s="6">
        <f>F227-F229</f>
        <v>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1349-C033-E445-B726-B65D6B5C183C}">
  <sheetPr>
    <tabColor rgb="FFFFFF00"/>
  </sheetPr>
  <dimension ref="A1:H232"/>
  <sheetViews>
    <sheetView workbookViewId="0">
      <selection activeCell="A2" sqref="A2:G226"/>
    </sheetView>
  </sheetViews>
  <sheetFormatPr baseColWidth="10" defaultRowHeight="16" x14ac:dyDescent="0.2"/>
  <cols>
    <col min="1" max="1" width="13.33203125" style="2" customWidth="1"/>
    <col min="2" max="2" width="52.6640625" style="2" bestFit="1" customWidth="1"/>
    <col min="3" max="3" width="16.5" style="2" customWidth="1"/>
    <col min="4" max="4" width="18.33203125" style="2" customWidth="1"/>
    <col min="5" max="5" width="18.83203125" style="2" bestFit="1" customWidth="1"/>
    <col min="6" max="6" width="17.1640625" style="2" bestFit="1" customWidth="1"/>
    <col min="7" max="7" width="16.83203125" style="2" bestFit="1" customWidth="1"/>
    <col min="8" max="8" width="10.83203125" style="2"/>
  </cols>
  <sheetData>
    <row r="1" spans="1:7" x14ac:dyDescent="0.2">
      <c r="A1" s="2" t="s">
        <v>235</v>
      </c>
      <c r="B1" s="2" t="s">
        <v>230</v>
      </c>
      <c r="C1" s="2" t="s">
        <v>231</v>
      </c>
      <c r="D1" s="2" t="s">
        <v>233</v>
      </c>
      <c r="E1" s="2" t="s">
        <v>280</v>
      </c>
      <c r="F1" s="2" t="s">
        <v>281</v>
      </c>
      <c r="G1" s="2" t="s">
        <v>304</v>
      </c>
    </row>
    <row r="2" spans="1:7" x14ac:dyDescent="0.2">
      <c r="A2" s="2">
        <v>2020</v>
      </c>
      <c r="B2" s="2" t="s">
        <v>0</v>
      </c>
      <c r="C2" s="2" t="s">
        <v>232</v>
      </c>
      <c r="D2" s="2" t="s">
        <v>234</v>
      </c>
      <c r="E2" s="3">
        <v>10930804</v>
      </c>
      <c r="F2" s="3">
        <v>385731</v>
      </c>
      <c r="G2" s="3">
        <f>SUM(E2:F2)</f>
        <v>11316535</v>
      </c>
    </row>
    <row r="3" spans="1:7" x14ac:dyDescent="0.2">
      <c r="A3" s="2">
        <v>2020</v>
      </c>
      <c r="B3" s="2" t="s">
        <v>1</v>
      </c>
      <c r="C3" s="2" t="s">
        <v>232</v>
      </c>
      <c r="D3" s="2" t="s">
        <v>234</v>
      </c>
      <c r="E3" s="3">
        <v>5530364</v>
      </c>
      <c r="F3" s="3">
        <v>195158</v>
      </c>
      <c r="G3" s="3">
        <f t="shared" ref="G3:G66" si="0">SUM(E3:F3)</f>
        <v>5725522</v>
      </c>
    </row>
    <row r="4" spans="1:7" x14ac:dyDescent="0.2">
      <c r="A4" s="2">
        <v>2020</v>
      </c>
      <c r="B4" s="2" t="s">
        <v>2</v>
      </c>
      <c r="C4" s="2" t="s">
        <v>232</v>
      </c>
      <c r="D4" s="2" t="s">
        <v>234</v>
      </c>
      <c r="E4" s="3">
        <v>29706615</v>
      </c>
      <c r="F4" s="3">
        <v>1048301</v>
      </c>
      <c r="G4" s="3">
        <f t="shared" si="0"/>
        <v>30754916</v>
      </c>
    </row>
    <row r="5" spans="1:7" x14ac:dyDescent="0.2">
      <c r="A5" s="2">
        <v>2020</v>
      </c>
      <c r="B5" s="2" t="s">
        <v>3</v>
      </c>
      <c r="C5" s="2" t="s">
        <v>232</v>
      </c>
      <c r="D5" s="2" t="s">
        <v>234</v>
      </c>
      <c r="E5" s="3">
        <v>4218656</v>
      </c>
      <c r="F5" s="3">
        <v>148870</v>
      </c>
      <c r="G5" s="3">
        <f t="shared" si="0"/>
        <v>4367526</v>
      </c>
    </row>
    <row r="6" spans="1:7" x14ac:dyDescent="0.2">
      <c r="A6" s="2">
        <v>2020</v>
      </c>
      <c r="B6" s="2" t="s">
        <v>4</v>
      </c>
      <c r="C6" s="2" t="s">
        <v>232</v>
      </c>
      <c r="D6" s="2" t="s">
        <v>234</v>
      </c>
      <c r="E6" s="3">
        <v>4888083</v>
      </c>
      <c r="F6" s="3">
        <v>172493</v>
      </c>
      <c r="G6" s="3">
        <f t="shared" si="0"/>
        <v>5060576</v>
      </c>
    </row>
    <row r="7" spans="1:7" x14ac:dyDescent="0.2">
      <c r="A7" s="2">
        <v>2020</v>
      </c>
      <c r="B7" s="2" t="s">
        <v>5</v>
      </c>
      <c r="C7" s="2" t="s">
        <v>232</v>
      </c>
      <c r="D7" s="2" t="s">
        <v>234</v>
      </c>
      <c r="E7" s="3">
        <v>7408012</v>
      </c>
      <c r="F7" s="3">
        <v>261417</v>
      </c>
      <c r="G7" s="3">
        <f t="shared" si="0"/>
        <v>7669429</v>
      </c>
    </row>
    <row r="8" spans="1:7" x14ac:dyDescent="0.2">
      <c r="A8" s="2">
        <v>2020</v>
      </c>
      <c r="B8" s="2" t="s">
        <v>6</v>
      </c>
      <c r="C8" s="2" t="s">
        <v>232</v>
      </c>
      <c r="D8" s="2" t="s">
        <v>234</v>
      </c>
      <c r="E8" s="3">
        <v>3882738</v>
      </c>
      <c r="F8" s="3">
        <v>137016</v>
      </c>
      <c r="G8" s="3">
        <f t="shared" si="0"/>
        <v>4019754</v>
      </c>
    </row>
    <row r="9" spans="1:7" x14ac:dyDescent="0.2">
      <c r="A9" s="2">
        <v>2020</v>
      </c>
      <c r="B9" s="2" t="s">
        <v>7</v>
      </c>
      <c r="C9" s="2" t="s">
        <v>232</v>
      </c>
      <c r="D9" s="2" t="s">
        <v>234</v>
      </c>
      <c r="E9" s="3">
        <v>30382927</v>
      </c>
      <c r="F9" s="3">
        <v>1072167</v>
      </c>
      <c r="G9" s="3">
        <f t="shared" si="0"/>
        <v>31455094</v>
      </c>
    </row>
    <row r="10" spans="1:7" x14ac:dyDescent="0.2">
      <c r="A10" s="2">
        <v>2020</v>
      </c>
      <c r="B10" s="2" t="s">
        <v>8</v>
      </c>
      <c r="C10" s="2" t="s">
        <v>232</v>
      </c>
      <c r="D10" s="2" t="s">
        <v>234</v>
      </c>
      <c r="E10" s="3">
        <v>50314611</v>
      </c>
      <c r="F10" s="3">
        <v>1775526</v>
      </c>
      <c r="G10" s="3">
        <f t="shared" si="0"/>
        <v>52090137</v>
      </c>
    </row>
    <row r="11" spans="1:7" x14ac:dyDescent="0.2">
      <c r="A11" s="2">
        <v>2020</v>
      </c>
      <c r="B11" s="2" t="s">
        <v>9</v>
      </c>
      <c r="C11" s="2" t="s">
        <v>232</v>
      </c>
      <c r="D11" s="2" t="s">
        <v>234</v>
      </c>
      <c r="E11" s="3">
        <v>50233172</v>
      </c>
      <c r="F11" s="3">
        <v>1772652</v>
      </c>
      <c r="G11" s="3">
        <f t="shared" si="0"/>
        <v>52005824</v>
      </c>
    </row>
    <row r="12" spans="1:7" x14ac:dyDescent="0.2">
      <c r="A12" s="2">
        <v>2020</v>
      </c>
      <c r="B12" s="2" t="s">
        <v>10</v>
      </c>
      <c r="C12" s="2" t="s">
        <v>232</v>
      </c>
      <c r="D12" s="2" t="s">
        <v>234</v>
      </c>
      <c r="E12" s="3">
        <v>2452234</v>
      </c>
      <c r="F12" s="3">
        <v>86536</v>
      </c>
      <c r="G12" s="3">
        <f t="shared" si="0"/>
        <v>2538770</v>
      </c>
    </row>
    <row r="13" spans="1:7" x14ac:dyDescent="0.2">
      <c r="A13" s="2">
        <v>2020</v>
      </c>
      <c r="B13" s="2" t="s">
        <v>11</v>
      </c>
      <c r="C13" s="2" t="s">
        <v>232</v>
      </c>
      <c r="D13" s="2" t="s">
        <v>234</v>
      </c>
      <c r="E13" s="3">
        <v>2535532</v>
      </c>
      <c r="F13" s="3">
        <v>89475</v>
      </c>
      <c r="G13" s="3">
        <f t="shared" si="0"/>
        <v>2625007</v>
      </c>
    </row>
    <row r="14" spans="1:7" x14ac:dyDescent="0.2">
      <c r="A14" s="2">
        <v>2020</v>
      </c>
      <c r="B14" s="2" t="s">
        <v>12</v>
      </c>
      <c r="C14" s="2" t="s">
        <v>232</v>
      </c>
      <c r="D14" s="2" t="s">
        <v>234</v>
      </c>
      <c r="E14" s="3">
        <v>1123566</v>
      </c>
      <c r="F14" s="3">
        <v>39649</v>
      </c>
      <c r="G14" s="3">
        <f t="shared" si="0"/>
        <v>1163215</v>
      </c>
    </row>
    <row r="15" spans="1:7" x14ac:dyDescent="0.2">
      <c r="A15" s="2">
        <v>2020</v>
      </c>
      <c r="B15" s="2" t="s">
        <v>13</v>
      </c>
      <c r="C15" s="2" t="s">
        <v>232</v>
      </c>
      <c r="D15" s="2" t="s">
        <v>234</v>
      </c>
      <c r="E15" s="3">
        <v>2411282</v>
      </c>
      <c r="F15" s="3">
        <v>85090</v>
      </c>
      <c r="G15" s="3">
        <f t="shared" si="0"/>
        <v>2496372</v>
      </c>
    </row>
    <row r="16" spans="1:7" x14ac:dyDescent="0.2">
      <c r="A16" s="2">
        <v>2020</v>
      </c>
      <c r="B16" s="2" t="s">
        <v>14</v>
      </c>
      <c r="C16" s="2" t="s">
        <v>232</v>
      </c>
      <c r="D16" s="2" t="s">
        <v>234</v>
      </c>
      <c r="E16" s="3">
        <v>4969706</v>
      </c>
      <c r="F16" s="3">
        <v>175373</v>
      </c>
      <c r="G16" s="3">
        <f t="shared" si="0"/>
        <v>5145079</v>
      </c>
    </row>
    <row r="17" spans="1:7" x14ac:dyDescent="0.2">
      <c r="A17" s="2">
        <v>2020</v>
      </c>
      <c r="B17" s="2" t="s">
        <v>15</v>
      </c>
      <c r="C17" s="2" t="s">
        <v>232</v>
      </c>
      <c r="D17" s="2" t="s">
        <v>234</v>
      </c>
      <c r="E17" s="3">
        <v>8290037</v>
      </c>
      <c r="F17" s="3">
        <v>292543</v>
      </c>
      <c r="G17" s="3">
        <f t="shared" si="0"/>
        <v>8582580</v>
      </c>
    </row>
    <row r="18" spans="1:7" x14ac:dyDescent="0.2">
      <c r="A18" s="2">
        <v>2020</v>
      </c>
      <c r="B18" s="2" t="s">
        <v>16</v>
      </c>
      <c r="C18" s="2" t="s">
        <v>232</v>
      </c>
      <c r="D18" s="2" t="s">
        <v>234</v>
      </c>
      <c r="E18" s="3">
        <v>59784830</v>
      </c>
      <c r="F18" s="3">
        <v>2109715</v>
      </c>
      <c r="G18" s="3">
        <f t="shared" si="0"/>
        <v>61894545</v>
      </c>
    </row>
    <row r="19" spans="1:7" x14ac:dyDescent="0.2">
      <c r="A19" s="2">
        <v>2020</v>
      </c>
      <c r="B19" s="2" t="s">
        <v>17</v>
      </c>
      <c r="C19" s="2" t="s">
        <v>232</v>
      </c>
      <c r="D19" s="2" t="s">
        <v>234</v>
      </c>
      <c r="E19" s="3">
        <v>1080120</v>
      </c>
      <c r="F19" s="3">
        <v>38116</v>
      </c>
      <c r="G19" s="3">
        <f t="shared" si="0"/>
        <v>1118236</v>
      </c>
    </row>
    <row r="20" spans="1:7" x14ac:dyDescent="0.2">
      <c r="A20" s="2">
        <v>2020</v>
      </c>
      <c r="B20" s="2" t="s">
        <v>18</v>
      </c>
      <c r="C20" s="2" t="s">
        <v>232</v>
      </c>
      <c r="D20" s="2" t="s">
        <v>234</v>
      </c>
      <c r="E20" s="3">
        <v>2326261</v>
      </c>
      <c r="F20" s="3">
        <v>82090</v>
      </c>
      <c r="G20" s="3">
        <f t="shared" si="0"/>
        <v>2408351</v>
      </c>
    </row>
    <row r="21" spans="1:7" x14ac:dyDescent="0.2">
      <c r="A21" s="2">
        <v>2020</v>
      </c>
      <c r="B21" s="2" t="s">
        <v>19</v>
      </c>
      <c r="C21" s="2" t="s">
        <v>232</v>
      </c>
      <c r="D21" s="2" t="s">
        <v>234</v>
      </c>
      <c r="E21" s="3">
        <v>6510421</v>
      </c>
      <c r="F21" s="3">
        <v>229743</v>
      </c>
      <c r="G21" s="3">
        <f t="shared" si="0"/>
        <v>6740164</v>
      </c>
    </row>
    <row r="22" spans="1:7" x14ac:dyDescent="0.2">
      <c r="A22" s="2">
        <v>2020</v>
      </c>
      <c r="B22" s="2" t="s">
        <v>20</v>
      </c>
      <c r="C22" s="2" t="s">
        <v>232</v>
      </c>
      <c r="D22" s="2" t="s">
        <v>234</v>
      </c>
      <c r="E22" s="3">
        <v>3655124</v>
      </c>
      <c r="F22" s="3">
        <v>128984</v>
      </c>
      <c r="G22" s="3">
        <f t="shared" si="0"/>
        <v>3784108</v>
      </c>
    </row>
    <row r="23" spans="1:7" x14ac:dyDescent="0.2">
      <c r="A23" s="2">
        <v>2020</v>
      </c>
      <c r="B23" s="2" t="s">
        <v>21</v>
      </c>
      <c r="C23" s="2" t="s">
        <v>232</v>
      </c>
      <c r="D23" s="2" t="s">
        <v>234</v>
      </c>
      <c r="E23" s="3">
        <v>3358911</v>
      </c>
      <c r="F23" s="3">
        <v>118531</v>
      </c>
      <c r="G23" s="3">
        <f t="shared" si="0"/>
        <v>3477442</v>
      </c>
    </row>
    <row r="24" spans="1:7" x14ac:dyDescent="0.2">
      <c r="A24" s="2">
        <v>2020</v>
      </c>
      <c r="B24" s="2" t="s">
        <v>22</v>
      </c>
      <c r="C24" s="2" t="s">
        <v>232</v>
      </c>
      <c r="D24" s="2" t="s">
        <v>234</v>
      </c>
      <c r="E24" s="3">
        <v>15631663</v>
      </c>
      <c r="F24" s="3">
        <v>551617</v>
      </c>
      <c r="G24" s="3">
        <f t="shared" si="0"/>
        <v>16183280</v>
      </c>
    </row>
    <row r="25" spans="1:7" x14ac:dyDescent="0.2">
      <c r="A25" s="2">
        <v>2020</v>
      </c>
      <c r="B25" s="2" t="s">
        <v>23</v>
      </c>
      <c r="C25" s="2" t="s">
        <v>232</v>
      </c>
      <c r="D25" s="2" t="s">
        <v>234</v>
      </c>
      <c r="E25" s="3">
        <v>8850206</v>
      </c>
      <c r="F25" s="3">
        <v>312310</v>
      </c>
      <c r="G25" s="3">
        <f t="shared" si="0"/>
        <v>9162516</v>
      </c>
    </row>
    <row r="26" spans="1:7" x14ac:dyDescent="0.2">
      <c r="A26" s="2">
        <v>2020</v>
      </c>
      <c r="B26" s="2" t="s">
        <v>24</v>
      </c>
      <c r="C26" s="2" t="s">
        <v>232</v>
      </c>
      <c r="D26" s="2" t="s">
        <v>234</v>
      </c>
      <c r="E26" s="3">
        <v>2861276</v>
      </c>
      <c r="F26" s="3">
        <v>100970</v>
      </c>
      <c r="G26" s="3">
        <f t="shared" si="0"/>
        <v>2962246</v>
      </c>
    </row>
    <row r="27" spans="1:7" x14ac:dyDescent="0.2">
      <c r="A27" s="2">
        <v>2020</v>
      </c>
      <c r="B27" s="2" t="s">
        <v>25</v>
      </c>
      <c r="C27" s="2" t="s">
        <v>232</v>
      </c>
      <c r="D27" s="2" t="s">
        <v>234</v>
      </c>
      <c r="E27" s="3">
        <v>65168371</v>
      </c>
      <c r="F27" s="3">
        <v>2299692</v>
      </c>
      <c r="G27" s="3">
        <f t="shared" si="0"/>
        <v>67468063</v>
      </c>
    </row>
    <row r="28" spans="1:7" x14ac:dyDescent="0.2">
      <c r="A28" s="2">
        <v>2020</v>
      </c>
      <c r="B28" s="2" t="s">
        <v>26</v>
      </c>
      <c r="C28" s="2" t="s">
        <v>232</v>
      </c>
      <c r="D28" s="2" t="s">
        <v>234</v>
      </c>
      <c r="E28" s="3">
        <v>7074955</v>
      </c>
      <c r="F28" s="3">
        <v>249664</v>
      </c>
      <c r="G28" s="3">
        <f t="shared" si="0"/>
        <v>7324619</v>
      </c>
    </row>
    <row r="29" spans="1:7" x14ac:dyDescent="0.2">
      <c r="A29" s="2">
        <v>2020</v>
      </c>
      <c r="B29" s="2" t="s">
        <v>27</v>
      </c>
      <c r="C29" s="2" t="s">
        <v>232</v>
      </c>
      <c r="D29" s="2" t="s">
        <v>234</v>
      </c>
      <c r="E29" s="3">
        <v>40087179</v>
      </c>
      <c r="F29" s="3">
        <v>1414615</v>
      </c>
      <c r="G29" s="3">
        <f t="shared" si="0"/>
        <v>41501794</v>
      </c>
    </row>
    <row r="30" spans="1:7" x14ac:dyDescent="0.2">
      <c r="A30" s="2">
        <v>2020</v>
      </c>
      <c r="B30" s="2" t="s">
        <v>28</v>
      </c>
      <c r="C30" s="2" t="s">
        <v>232</v>
      </c>
      <c r="D30" s="2" t="s">
        <v>234</v>
      </c>
      <c r="E30" s="3">
        <v>16389010</v>
      </c>
      <c r="F30" s="3">
        <v>578343</v>
      </c>
      <c r="G30" s="3">
        <f t="shared" si="0"/>
        <v>16967353</v>
      </c>
    </row>
    <row r="31" spans="1:7" x14ac:dyDescent="0.2">
      <c r="A31" s="2">
        <v>2020</v>
      </c>
      <c r="B31" s="2" t="s">
        <v>29</v>
      </c>
      <c r="C31" s="2" t="s">
        <v>232</v>
      </c>
      <c r="D31" s="2" t="s">
        <v>234</v>
      </c>
      <c r="E31" s="3">
        <v>3590291</v>
      </c>
      <c r="F31" s="3">
        <v>126696</v>
      </c>
      <c r="G31" s="3">
        <f t="shared" si="0"/>
        <v>3716987</v>
      </c>
    </row>
    <row r="32" spans="1:7" x14ac:dyDescent="0.2">
      <c r="A32" s="2">
        <v>2020</v>
      </c>
      <c r="B32" s="2" t="s">
        <v>30</v>
      </c>
      <c r="C32" s="2" t="s">
        <v>232</v>
      </c>
      <c r="D32" s="2" t="s">
        <v>234</v>
      </c>
      <c r="E32" s="3">
        <v>8481810</v>
      </c>
      <c r="F32" s="3">
        <v>299310</v>
      </c>
      <c r="G32" s="3">
        <f t="shared" si="0"/>
        <v>8781120</v>
      </c>
    </row>
    <row r="33" spans="1:7" x14ac:dyDescent="0.2">
      <c r="A33" s="2">
        <v>2020</v>
      </c>
      <c r="B33" s="2" t="s">
        <v>31</v>
      </c>
      <c r="C33" s="2" t="s">
        <v>232</v>
      </c>
      <c r="D33" s="2" t="s">
        <v>234</v>
      </c>
      <c r="E33" s="3">
        <v>30040491</v>
      </c>
      <c r="F33" s="3">
        <v>1060083</v>
      </c>
      <c r="G33" s="3">
        <f t="shared" si="0"/>
        <v>31100574</v>
      </c>
    </row>
    <row r="34" spans="1:7" x14ac:dyDescent="0.2">
      <c r="A34" s="2">
        <v>2020</v>
      </c>
      <c r="B34" s="2" t="s">
        <v>32</v>
      </c>
      <c r="C34" s="2" t="s">
        <v>232</v>
      </c>
      <c r="D34" s="2" t="s">
        <v>234</v>
      </c>
      <c r="E34" s="3">
        <v>1807581</v>
      </c>
      <c r="F34" s="3">
        <v>63787</v>
      </c>
      <c r="G34" s="3">
        <f t="shared" si="0"/>
        <v>1871368</v>
      </c>
    </row>
    <row r="35" spans="1:7" x14ac:dyDescent="0.2">
      <c r="A35" s="2">
        <v>2020</v>
      </c>
      <c r="B35" s="2" t="s">
        <v>33</v>
      </c>
      <c r="C35" s="2" t="s">
        <v>232</v>
      </c>
      <c r="D35" s="2" t="s">
        <v>234</v>
      </c>
      <c r="E35" s="3">
        <v>3378011</v>
      </c>
      <c r="F35" s="3">
        <v>119205</v>
      </c>
      <c r="G35" s="3">
        <f t="shared" si="0"/>
        <v>3497216</v>
      </c>
    </row>
    <row r="36" spans="1:7" x14ac:dyDescent="0.2">
      <c r="A36" s="2">
        <v>2020</v>
      </c>
      <c r="B36" s="2" t="s">
        <v>34</v>
      </c>
      <c r="C36" s="2" t="s">
        <v>232</v>
      </c>
      <c r="D36" s="2" t="s">
        <v>234</v>
      </c>
      <c r="E36" s="3">
        <v>7521220</v>
      </c>
      <c r="F36" s="3">
        <v>265412</v>
      </c>
      <c r="G36" s="3">
        <f t="shared" si="0"/>
        <v>7786632</v>
      </c>
    </row>
    <row r="37" spans="1:7" x14ac:dyDescent="0.2">
      <c r="A37" s="2">
        <v>2020</v>
      </c>
      <c r="B37" s="2" t="s">
        <v>35</v>
      </c>
      <c r="C37" s="2" t="s">
        <v>232</v>
      </c>
      <c r="D37" s="2" t="s">
        <v>234</v>
      </c>
      <c r="E37" s="3">
        <v>3729826</v>
      </c>
      <c r="F37" s="3">
        <v>131620</v>
      </c>
      <c r="G37" s="3">
        <f t="shared" si="0"/>
        <v>3861446</v>
      </c>
    </row>
    <row r="38" spans="1:7" x14ac:dyDescent="0.2">
      <c r="A38" s="2">
        <v>2020</v>
      </c>
      <c r="B38" s="2" t="s">
        <v>36</v>
      </c>
      <c r="C38" s="2" t="s">
        <v>232</v>
      </c>
      <c r="D38" s="2" t="s">
        <v>234</v>
      </c>
      <c r="E38" s="3">
        <v>24097185</v>
      </c>
      <c r="F38" s="3">
        <v>850353</v>
      </c>
      <c r="G38" s="3">
        <f t="shared" si="0"/>
        <v>24947538</v>
      </c>
    </row>
    <row r="39" spans="1:7" x14ac:dyDescent="0.2">
      <c r="A39" s="2">
        <v>2020</v>
      </c>
      <c r="B39" s="2" t="s">
        <v>37</v>
      </c>
      <c r="C39" s="2" t="s">
        <v>232</v>
      </c>
      <c r="D39" s="2" t="s">
        <v>234</v>
      </c>
      <c r="E39" s="3">
        <v>7609800</v>
      </c>
      <c r="F39" s="3">
        <v>268538</v>
      </c>
      <c r="G39" s="3">
        <f t="shared" si="0"/>
        <v>7878338</v>
      </c>
    </row>
    <row r="40" spans="1:7" x14ac:dyDescent="0.2">
      <c r="A40" s="2">
        <v>2020</v>
      </c>
      <c r="B40" s="2" t="s">
        <v>38</v>
      </c>
      <c r="C40" s="2" t="s">
        <v>232</v>
      </c>
      <c r="D40" s="2" t="s">
        <v>234</v>
      </c>
      <c r="E40" s="3">
        <v>3087618</v>
      </c>
      <c r="F40" s="3">
        <v>108957</v>
      </c>
      <c r="G40" s="3">
        <f t="shared" si="0"/>
        <v>3196575</v>
      </c>
    </row>
    <row r="41" spans="1:7" x14ac:dyDescent="0.2">
      <c r="A41" s="2">
        <v>2020</v>
      </c>
      <c r="B41" s="2" t="s">
        <v>39</v>
      </c>
      <c r="C41" s="2" t="s">
        <v>232</v>
      </c>
      <c r="D41" s="2" t="s">
        <v>234</v>
      </c>
      <c r="E41" s="3">
        <v>30225111</v>
      </c>
      <c r="F41" s="3">
        <v>1066598</v>
      </c>
      <c r="G41" s="3">
        <f t="shared" si="0"/>
        <v>31291709</v>
      </c>
    </row>
    <row r="42" spans="1:7" x14ac:dyDescent="0.2">
      <c r="A42" s="2">
        <v>2020</v>
      </c>
      <c r="B42" s="2" t="s">
        <v>40</v>
      </c>
      <c r="C42" s="2" t="s">
        <v>232</v>
      </c>
      <c r="D42" s="2" t="s">
        <v>234</v>
      </c>
      <c r="E42" s="3">
        <v>2936993</v>
      </c>
      <c r="F42" s="3">
        <v>103642</v>
      </c>
      <c r="G42" s="3">
        <f t="shared" si="0"/>
        <v>3040635</v>
      </c>
    </row>
    <row r="43" spans="1:7" x14ac:dyDescent="0.2">
      <c r="A43" s="2">
        <v>2020</v>
      </c>
      <c r="B43" s="2" t="s">
        <v>41</v>
      </c>
      <c r="C43" s="2" t="s">
        <v>232</v>
      </c>
      <c r="D43" s="2" t="s">
        <v>234</v>
      </c>
      <c r="E43" s="3">
        <v>3634716</v>
      </c>
      <c r="F43" s="3">
        <v>128264</v>
      </c>
      <c r="G43" s="3">
        <f t="shared" si="0"/>
        <v>3762980</v>
      </c>
    </row>
    <row r="44" spans="1:7" x14ac:dyDescent="0.2">
      <c r="A44" s="2">
        <v>2020</v>
      </c>
      <c r="B44" s="2" t="s">
        <v>42</v>
      </c>
      <c r="C44" s="2" t="s">
        <v>232</v>
      </c>
      <c r="D44" s="2" t="s">
        <v>234</v>
      </c>
      <c r="E44" s="3">
        <v>6058654</v>
      </c>
      <c r="F44" s="3">
        <v>213801</v>
      </c>
      <c r="G44" s="3">
        <f t="shared" si="0"/>
        <v>6272455</v>
      </c>
    </row>
    <row r="45" spans="1:7" x14ac:dyDescent="0.2">
      <c r="A45" s="2">
        <v>2020</v>
      </c>
      <c r="B45" s="2" t="s">
        <v>261</v>
      </c>
      <c r="C45" s="2" t="s">
        <v>232</v>
      </c>
      <c r="D45" s="2" t="s">
        <v>234</v>
      </c>
      <c r="E45" s="3">
        <v>9581434</v>
      </c>
      <c r="F45" s="3">
        <v>338114</v>
      </c>
      <c r="G45" s="3">
        <f t="shared" si="0"/>
        <v>9919548</v>
      </c>
    </row>
    <row r="46" spans="1:7" x14ac:dyDescent="0.2">
      <c r="A46" s="2">
        <v>2020</v>
      </c>
      <c r="B46" s="2" t="s">
        <v>262</v>
      </c>
      <c r="C46" s="2" t="s">
        <v>232</v>
      </c>
      <c r="D46" s="2" t="s">
        <v>234</v>
      </c>
      <c r="E46" s="3">
        <v>18529745</v>
      </c>
      <c r="F46" s="3">
        <v>653886</v>
      </c>
      <c r="G46" s="3">
        <f t="shared" si="0"/>
        <v>19183631</v>
      </c>
    </row>
    <row r="47" spans="1:7" x14ac:dyDescent="0.2">
      <c r="A47" s="2">
        <v>2020</v>
      </c>
      <c r="B47" s="2" t="s">
        <v>45</v>
      </c>
      <c r="C47" s="2" t="s">
        <v>232</v>
      </c>
      <c r="D47" s="2" t="s">
        <v>234</v>
      </c>
      <c r="E47" s="3">
        <v>1474036</v>
      </c>
      <c r="F47" s="3">
        <v>52016</v>
      </c>
      <c r="G47" s="3">
        <f t="shared" si="0"/>
        <v>1526052</v>
      </c>
    </row>
    <row r="48" spans="1:7" x14ac:dyDescent="0.2">
      <c r="A48" s="2">
        <v>2020</v>
      </c>
      <c r="B48" s="2" t="s">
        <v>263</v>
      </c>
      <c r="C48" s="2" t="s">
        <v>232</v>
      </c>
      <c r="D48" s="2" t="s">
        <v>234</v>
      </c>
      <c r="E48" s="3">
        <v>7101454</v>
      </c>
      <c r="F48" s="3">
        <v>250599</v>
      </c>
      <c r="G48" s="3">
        <f t="shared" si="0"/>
        <v>7352053</v>
      </c>
    </row>
    <row r="49" spans="1:7" x14ac:dyDescent="0.2">
      <c r="A49" s="2">
        <v>2020</v>
      </c>
      <c r="B49" s="2" t="s">
        <v>264</v>
      </c>
      <c r="C49" s="2" t="s">
        <v>232</v>
      </c>
      <c r="D49" s="2" t="s">
        <v>234</v>
      </c>
      <c r="E49" s="3">
        <v>9537596</v>
      </c>
      <c r="F49" s="3">
        <v>336567</v>
      </c>
      <c r="G49" s="3">
        <f t="shared" si="0"/>
        <v>9874163</v>
      </c>
    </row>
    <row r="50" spans="1:7" x14ac:dyDescent="0.2">
      <c r="A50" s="2">
        <v>2020</v>
      </c>
      <c r="B50" s="2" t="s">
        <v>48</v>
      </c>
      <c r="C50" s="2" t="s">
        <v>232</v>
      </c>
      <c r="D50" s="2" t="s">
        <v>234</v>
      </c>
      <c r="E50" s="3">
        <v>16491567</v>
      </c>
      <c r="F50" s="3">
        <v>581962</v>
      </c>
      <c r="G50" s="3">
        <f t="shared" si="0"/>
        <v>17073529</v>
      </c>
    </row>
    <row r="51" spans="1:7" x14ac:dyDescent="0.2">
      <c r="A51" s="2">
        <v>2020</v>
      </c>
      <c r="B51" s="2" t="s">
        <v>49</v>
      </c>
      <c r="C51" s="2" t="s">
        <v>232</v>
      </c>
      <c r="D51" s="2" t="s">
        <v>234</v>
      </c>
      <c r="E51" s="3">
        <v>9316634</v>
      </c>
      <c r="F51" s="3">
        <v>328770</v>
      </c>
      <c r="G51" s="3">
        <f t="shared" si="0"/>
        <v>9645404</v>
      </c>
    </row>
    <row r="52" spans="1:7" x14ac:dyDescent="0.2">
      <c r="A52" s="2">
        <v>2020</v>
      </c>
      <c r="B52" s="2" t="s">
        <v>50</v>
      </c>
      <c r="C52" s="2" t="s">
        <v>232</v>
      </c>
      <c r="D52" s="2" t="s">
        <v>234</v>
      </c>
      <c r="E52" s="3">
        <v>10197399</v>
      </c>
      <c r="F52" s="3">
        <v>359851</v>
      </c>
      <c r="G52" s="3">
        <f t="shared" si="0"/>
        <v>10557250</v>
      </c>
    </row>
    <row r="53" spans="1:7" x14ac:dyDescent="0.2">
      <c r="A53" s="2">
        <v>2020</v>
      </c>
      <c r="B53" s="2" t="s">
        <v>51</v>
      </c>
      <c r="C53" s="2" t="s">
        <v>232</v>
      </c>
      <c r="D53" s="2" t="s">
        <v>234</v>
      </c>
      <c r="E53" s="3">
        <v>56860457</v>
      </c>
      <c r="F53" s="3">
        <v>2006518</v>
      </c>
      <c r="G53" s="3">
        <f t="shared" si="0"/>
        <v>58866975</v>
      </c>
    </row>
    <row r="54" spans="1:7" x14ac:dyDescent="0.2">
      <c r="A54" s="2">
        <v>2020</v>
      </c>
      <c r="B54" s="2" t="s">
        <v>52</v>
      </c>
      <c r="C54" s="2" t="s">
        <v>232</v>
      </c>
      <c r="D54" s="2" t="s">
        <v>234</v>
      </c>
      <c r="E54" s="3">
        <v>23855362</v>
      </c>
      <c r="F54" s="3">
        <v>841819</v>
      </c>
      <c r="G54" s="3">
        <f t="shared" si="0"/>
        <v>24697181</v>
      </c>
    </row>
    <row r="55" spans="1:7" x14ac:dyDescent="0.2">
      <c r="A55" s="2">
        <v>2020</v>
      </c>
      <c r="B55" s="2" t="s">
        <v>53</v>
      </c>
      <c r="C55" s="2" t="s">
        <v>232</v>
      </c>
      <c r="D55" s="2" t="s">
        <v>234</v>
      </c>
      <c r="E55" s="3">
        <v>641779</v>
      </c>
      <c r="F55" s="3">
        <v>22647</v>
      </c>
      <c r="G55" s="3">
        <f t="shared" si="0"/>
        <v>664426</v>
      </c>
    </row>
    <row r="56" spans="1:7" x14ac:dyDescent="0.2">
      <c r="A56" s="2">
        <v>2020</v>
      </c>
      <c r="B56" s="2" t="s">
        <v>54</v>
      </c>
      <c r="C56" s="2" t="s">
        <v>232</v>
      </c>
      <c r="D56" s="2" t="s">
        <v>234</v>
      </c>
      <c r="E56" s="3">
        <v>20278913</v>
      </c>
      <c r="F56" s="3">
        <v>715612</v>
      </c>
      <c r="G56" s="3">
        <f t="shared" si="0"/>
        <v>20994525</v>
      </c>
    </row>
    <row r="57" spans="1:7" x14ac:dyDescent="0.2">
      <c r="A57" s="2">
        <v>2020</v>
      </c>
      <c r="B57" s="2" t="s">
        <v>55</v>
      </c>
      <c r="C57" s="2" t="s">
        <v>232</v>
      </c>
      <c r="D57" s="2" t="s">
        <v>234</v>
      </c>
      <c r="E57" s="3">
        <v>1967684</v>
      </c>
      <c r="F57" s="3">
        <v>69437</v>
      </c>
      <c r="G57" s="3">
        <f t="shared" si="0"/>
        <v>2037121</v>
      </c>
    </row>
    <row r="58" spans="1:7" x14ac:dyDescent="0.2">
      <c r="A58" s="2">
        <v>2020</v>
      </c>
      <c r="B58" s="2" t="s">
        <v>56</v>
      </c>
      <c r="C58" s="2" t="s">
        <v>232</v>
      </c>
      <c r="D58" s="2" t="s">
        <v>234</v>
      </c>
      <c r="E58" s="3">
        <v>11315280</v>
      </c>
      <c r="F58" s="3">
        <v>399299</v>
      </c>
      <c r="G58" s="3">
        <f t="shared" si="0"/>
        <v>11714579</v>
      </c>
    </row>
    <row r="59" spans="1:7" x14ac:dyDescent="0.2">
      <c r="A59" s="2">
        <v>2020</v>
      </c>
      <c r="B59" s="2" t="s">
        <v>57</v>
      </c>
      <c r="C59" s="2" t="s">
        <v>232</v>
      </c>
      <c r="D59" s="2" t="s">
        <v>234</v>
      </c>
      <c r="E59" s="3">
        <v>10482534</v>
      </c>
      <c r="F59" s="3">
        <v>369913</v>
      </c>
      <c r="G59" s="3">
        <f t="shared" si="0"/>
        <v>10852447</v>
      </c>
    </row>
    <row r="60" spans="1:7" x14ac:dyDescent="0.2">
      <c r="A60" s="2">
        <v>2020</v>
      </c>
      <c r="B60" s="2" t="s">
        <v>58</v>
      </c>
      <c r="C60" s="2" t="s">
        <v>232</v>
      </c>
      <c r="D60" s="2" t="s">
        <v>234</v>
      </c>
      <c r="E60" s="3">
        <v>6063533</v>
      </c>
      <c r="F60" s="3">
        <v>213973</v>
      </c>
      <c r="G60" s="3">
        <f t="shared" si="0"/>
        <v>6277506</v>
      </c>
    </row>
    <row r="61" spans="1:7" x14ac:dyDescent="0.2">
      <c r="A61" s="2">
        <v>2020</v>
      </c>
      <c r="B61" s="2" t="s">
        <v>59</v>
      </c>
      <c r="C61" s="2" t="s">
        <v>232</v>
      </c>
      <c r="D61" s="2" t="s">
        <v>234</v>
      </c>
      <c r="E61" s="3">
        <v>7157348</v>
      </c>
      <c r="F61" s="3">
        <v>252572</v>
      </c>
      <c r="G61" s="3">
        <f t="shared" si="0"/>
        <v>7409920</v>
      </c>
    </row>
    <row r="62" spans="1:7" x14ac:dyDescent="0.2">
      <c r="A62" s="2">
        <v>2020</v>
      </c>
      <c r="B62" s="2" t="s">
        <v>60</v>
      </c>
      <c r="C62" s="2" t="s">
        <v>232</v>
      </c>
      <c r="D62" s="2" t="s">
        <v>234</v>
      </c>
      <c r="E62" s="3">
        <v>7207948</v>
      </c>
      <c r="F62" s="3">
        <v>254357</v>
      </c>
      <c r="G62" s="3">
        <f t="shared" si="0"/>
        <v>7462305</v>
      </c>
    </row>
    <row r="63" spans="1:7" x14ac:dyDescent="0.2">
      <c r="A63" s="2">
        <v>2020</v>
      </c>
      <c r="B63" s="2" t="s">
        <v>61</v>
      </c>
      <c r="C63" s="2" t="s">
        <v>232</v>
      </c>
      <c r="D63" s="2" t="s">
        <v>234</v>
      </c>
      <c r="E63" s="3">
        <v>2407724</v>
      </c>
      <c r="F63" s="3">
        <v>84965</v>
      </c>
      <c r="G63" s="3">
        <f t="shared" si="0"/>
        <v>2492689</v>
      </c>
    </row>
    <row r="64" spans="1:7" x14ac:dyDescent="0.2">
      <c r="A64" s="2">
        <v>2020</v>
      </c>
      <c r="B64" s="2" t="s">
        <v>62</v>
      </c>
      <c r="C64" s="2" t="s">
        <v>232</v>
      </c>
      <c r="D64" s="2" t="s">
        <v>234</v>
      </c>
      <c r="E64" s="3">
        <v>4223694</v>
      </c>
      <c r="F64" s="3">
        <v>149048</v>
      </c>
      <c r="G64" s="3">
        <f t="shared" si="0"/>
        <v>4372742</v>
      </c>
    </row>
    <row r="65" spans="1:7" x14ac:dyDescent="0.2">
      <c r="A65" s="2">
        <v>2020</v>
      </c>
      <c r="B65" s="2" t="s">
        <v>63</v>
      </c>
      <c r="C65" s="2" t="s">
        <v>232</v>
      </c>
      <c r="D65" s="2" t="s">
        <v>234</v>
      </c>
      <c r="E65" s="3">
        <v>2677317</v>
      </c>
      <c r="F65" s="3">
        <v>94478</v>
      </c>
      <c r="G65" s="3">
        <f t="shared" si="0"/>
        <v>2771795</v>
      </c>
    </row>
    <row r="66" spans="1:7" x14ac:dyDescent="0.2">
      <c r="A66" s="2">
        <v>2020</v>
      </c>
      <c r="B66" s="2" t="s">
        <v>64</v>
      </c>
      <c r="C66" s="2" t="s">
        <v>232</v>
      </c>
      <c r="D66" s="2" t="s">
        <v>234</v>
      </c>
      <c r="E66" s="3">
        <v>2592809</v>
      </c>
      <c r="F66" s="3">
        <v>91496</v>
      </c>
      <c r="G66" s="3">
        <f t="shared" si="0"/>
        <v>2684305</v>
      </c>
    </row>
    <row r="67" spans="1:7" x14ac:dyDescent="0.2">
      <c r="A67" s="2">
        <v>2020</v>
      </c>
      <c r="B67" s="2" t="s">
        <v>65</v>
      </c>
      <c r="C67" s="2" t="s">
        <v>232</v>
      </c>
      <c r="D67" s="2" t="s">
        <v>234</v>
      </c>
      <c r="E67" s="3">
        <v>12226297</v>
      </c>
      <c r="F67" s="3">
        <v>431447</v>
      </c>
      <c r="G67" s="3">
        <f t="shared" ref="G67:G130" si="1">SUM(E67:F67)</f>
        <v>12657744</v>
      </c>
    </row>
    <row r="68" spans="1:7" x14ac:dyDescent="0.2">
      <c r="A68" s="2">
        <v>2020</v>
      </c>
      <c r="B68" s="2" t="s">
        <v>66</v>
      </c>
      <c r="C68" s="2" t="s">
        <v>232</v>
      </c>
      <c r="D68" s="2" t="s">
        <v>234</v>
      </c>
      <c r="E68" s="3">
        <v>12290910</v>
      </c>
      <c r="F68" s="3">
        <v>433727</v>
      </c>
      <c r="G68" s="3">
        <f t="shared" si="1"/>
        <v>12724637</v>
      </c>
    </row>
    <row r="69" spans="1:7" x14ac:dyDescent="0.2">
      <c r="A69" s="2">
        <v>2020</v>
      </c>
      <c r="B69" s="2" t="s">
        <v>67</v>
      </c>
      <c r="C69" s="2" t="s">
        <v>232</v>
      </c>
      <c r="D69" s="2" t="s">
        <v>234</v>
      </c>
      <c r="E69" s="3">
        <v>9114002</v>
      </c>
      <c r="F69" s="3">
        <v>321619</v>
      </c>
      <c r="G69" s="3">
        <f t="shared" si="1"/>
        <v>9435621</v>
      </c>
    </row>
    <row r="70" spans="1:7" x14ac:dyDescent="0.2">
      <c r="A70" s="2">
        <v>2020</v>
      </c>
      <c r="B70" s="2" t="s">
        <v>68</v>
      </c>
      <c r="C70" s="2" t="s">
        <v>232</v>
      </c>
      <c r="D70" s="2" t="s">
        <v>234</v>
      </c>
      <c r="E70" s="3">
        <v>76453826</v>
      </c>
      <c r="F70" s="3">
        <v>2697939</v>
      </c>
      <c r="G70" s="3">
        <f t="shared" si="1"/>
        <v>79151765</v>
      </c>
    </row>
    <row r="71" spans="1:7" x14ac:dyDescent="0.2">
      <c r="A71" s="2">
        <v>2020</v>
      </c>
      <c r="B71" s="2" t="s">
        <v>69</v>
      </c>
      <c r="C71" s="2" t="s">
        <v>232</v>
      </c>
      <c r="D71" s="2" t="s">
        <v>234</v>
      </c>
      <c r="E71" s="3">
        <v>14345255</v>
      </c>
      <c r="F71" s="3">
        <v>506222</v>
      </c>
      <c r="G71" s="3">
        <f t="shared" si="1"/>
        <v>14851477</v>
      </c>
    </row>
    <row r="72" spans="1:7" x14ac:dyDescent="0.2">
      <c r="A72" s="2">
        <v>2020</v>
      </c>
      <c r="B72" s="2" t="s">
        <v>70</v>
      </c>
      <c r="C72" s="2" t="s">
        <v>232</v>
      </c>
      <c r="D72" s="2" t="s">
        <v>234</v>
      </c>
      <c r="E72" s="3">
        <v>33846009</v>
      </c>
      <c r="F72" s="3">
        <v>1194374</v>
      </c>
      <c r="G72" s="3">
        <f t="shared" si="1"/>
        <v>35040383</v>
      </c>
    </row>
    <row r="73" spans="1:7" x14ac:dyDescent="0.2">
      <c r="A73" s="2">
        <v>2020</v>
      </c>
      <c r="B73" s="2" t="s">
        <v>71</v>
      </c>
      <c r="C73" s="2" t="s">
        <v>232</v>
      </c>
      <c r="D73" s="2" t="s">
        <v>234</v>
      </c>
      <c r="E73" s="3">
        <v>7197762</v>
      </c>
      <c r="F73" s="3">
        <v>253998</v>
      </c>
      <c r="G73" s="3">
        <f t="shared" si="1"/>
        <v>7451760</v>
      </c>
    </row>
    <row r="74" spans="1:7" x14ac:dyDescent="0.2">
      <c r="A74" s="2">
        <v>2020</v>
      </c>
      <c r="B74" s="2" t="s">
        <v>72</v>
      </c>
      <c r="C74" s="2" t="s">
        <v>232</v>
      </c>
      <c r="D74" s="2" t="s">
        <v>234</v>
      </c>
      <c r="E74" s="3">
        <v>13491526</v>
      </c>
      <c r="F74" s="3">
        <v>476095</v>
      </c>
      <c r="G74" s="3">
        <f t="shared" si="1"/>
        <v>13967621</v>
      </c>
    </row>
    <row r="75" spans="1:7" x14ac:dyDescent="0.2">
      <c r="A75" s="2">
        <v>2020</v>
      </c>
      <c r="B75" s="2" t="s">
        <v>73</v>
      </c>
      <c r="C75" s="2" t="s">
        <v>232</v>
      </c>
      <c r="D75" s="2" t="s">
        <v>234</v>
      </c>
      <c r="E75" s="3">
        <v>25360127</v>
      </c>
      <c r="F75" s="3">
        <v>894920</v>
      </c>
      <c r="G75" s="3">
        <f t="shared" si="1"/>
        <v>26255047</v>
      </c>
    </row>
    <row r="76" spans="1:7" x14ac:dyDescent="0.2">
      <c r="A76" s="2">
        <v>2020</v>
      </c>
      <c r="B76" s="2" t="s">
        <v>74</v>
      </c>
      <c r="C76" s="2" t="s">
        <v>232</v>
      </c>
      <c r="D76" s="2" t="s">
        <v>234</v>
      </c>
      <c r="E76" s="3">
        <v>5837301</v>
      </c>
      <c r="F76" s="3">
        <v>205989</v>
      </c>
      <c r="G76" s="3">
        <f t="shared" si="1"/>
        <v>6043290</v>
      </c>
    </row>
    <row r="77" spans="1:7" x14ac:dyDescent="0.2">
      <c r="A77" s="2">
        <v>2020</v>
      </c>
      <c r="B77" s="2" t="s">
        <v>75</v>
      </c>
      <c r="C77" s="2" t="s">
        <v>232</v>
      </c>
      <c r="D77" s="2" t="s">
        <v>234</v>
      </c>
      <c r="E77" s="3">
        <v>12703988</v>
      </c>
      <c r="F77" s="3">
        <v>448304</v>
      </c>
      <c r="G77" s="3">
        <f t="shared" si="1"/>
        <v>13152292</v>
      </c>
    </row>
    <row r="78" spans="1:7" x14ac:dyDescent="0.2">
      <c r="A78" s="2">
        <v>2020</v>
      </c>
      <c r="B78" s="2" t="s">
        <v>76</v>
      </c>
      <c r="C78" s="2" t="s">
        <v>232</v>
      </c>
      <c r="D78" s="2" t="s">
        <v>234</v>
      </c>
      <c r="E78" s="3">
        <v>2273778</v>
      </c>
      <c r="F78" s="3">
        <v>80238</v>
      </c>
      <c r="G78" s="3">
        <f t="shared" si="1"/>
        <v>2354016</v>
      </c>
    </row>
    <row r="79" spans="1:7" x14ac:dyDescent="0.2">
      <c r="A79" s="2">
        <v>2020</v>
      </c>
      <c r="B79" s="2" t="s">
        <v>78</v>
      </c>
      <c r="C79" s="2" t="s">
        <v>232</v>
      </c>
      <c r="D79" s="2" t="s">
        <v>234</v>
      </c>
      <c r="E79" s="3">
        <v>8958596</v>
      </c>
      <c r="F79" s="3">
        <v>316135</v>
      </c>
      <c r="G79" s="3">
        <f t="shared" si="1"/>
        <v>9274731</v>
      </c>
    </row>
    <row r="80" spans="1:7" x14ac:dyDescent="0.2">
      <c r="A80" s="2">
        <v>2020</v>
      </c>
      <c r="B80" s="2" t="s">
        <v>79</v>
      </c>
      <c r="C80" s="2" t="s">
        <v>232</v>
      </c>
      <c r="D80" s="2" t="s">
        <v>234</v>
      </c>
      <c r="E80" s="3">
        <v>2591842</v>
      </c>
      <c r="F80" s="3">
        <v>91462</v>
      </c>
      <c r="G80" s="3">
        <f t="shared" si="1"/>
        <v>2683304</v>
      </c>
    </row>
    <row r="81" spans="1:7" x14ac:dyDescent="0.2">
      <c r="A81" s="2">
        <v>2020</v>
      </c>
      <c r="B81" s="2" t="s">
        <v>80</v>
      </c>
      <c r="C81" s="2" t="s">
        <v>232</v>
      </c>
      <c r="D81" s="2" t="s">
        <v>234</v>
      </c>
      <c r="E81" s="3">
        <v>239891</v>
      </c>
      <c r="F81" s="3">
        <v>8465</v>
      </c>
      <c r="G81" s="3">
        <f t="shared" si="1"/>
        <v>248356</v>
      </c>
    </row>
    <row r="82" spans="1:7" x14ac:dyDescent="0.2">
      <c r="A82" s="2">
        <v>2020</v>
      </c>
      <c r="B82" s="2" t="s">
        <v>81</v>
      </c>
      <c r="C82" s="2" t="s">
        <v>232</v>
      </c>
      <c r="D82" s="2" t="s">
        <v>234</v>
      </c>
      <c r="E82" s="3">
        <v>7063620</v>
      </c>
      <c r="F82" s="3">
        <v>249264</v>
      </c>
      <c r="G82" s="3">
        <f t="shared" si="1"/>
        <v>7312884</v>
      </c>
    </row>
    <row r="83" spans="1:7" x14ac:dyDescent="0.2">
      <c r="A83" s="2">
        <v>2020</v>
      </c>
      <c r="B83" s="2" t="s">
        <v>82</v>
      </c>
      <c r="C83" s="2" t="s">
        <v>232</v>
      </c>
      <c r="D83" s="2" t="s">
        <v>234</v>
      </c>
      <c r="E83" s="3">
        <v>10436324</v>
      </c>
      <c r="F83" s="3">
        <v>368282</v>
      </c>
      <c r="G83" s="3">
        <f t="shared" si="1"/>
        <v>10804606</v>
      </c>
    </row>
    <row r="84" spans="1:7" x14ac:dyDescent="0.2">
      <c r="A84" s="2">
        <v>2020</v>
      </c>
      <c r="B84" s="2" t="s">
        <v>83</v>
      </c>
      <c r="C84" s="2" t="s">
        <v>232</v>
      </c>
      <c r="D84" s="2" t="s">
        <v>234</v>
      </c>
      <c r="E84" s="3">
        <v>1569513</v>
      </c>
      <c r="F84" s="3">
        <v>55386</v>
      </c>
      <c r="G84" s="3">
        <f t="shared" si="1"/>
        <v>1624899</v>
      </c>
    </row>
    <row r="85" spans="1:7" x14ac:dyDescent="0.2">
      <c r="A85" s="2">
        <v>2020</v>
      </c>
      <c r="B85" s="2" t="s">
        <v>84</v>
      </c>
      <c r="C85" s="2" t="s">
        <v>232</v>
      </c>
      <c r="D85" s="2" t="s">
        <v>234</v>
      </c>
      <c r="E85" s="3">
        <v>17083</v>
      </c>
      <c r="F85" s="2">
        <v>603</v>
      </c>
      <c r="G85" s="3">
        <f t="shared" si="1"/>
        <v>17686</v>
      </c>
    </row>
    <row r="86" spans="1:7" x14ac:dyDescent="0.2">
      <c r="A86" s="2">
        <v>2020</v>
      </c>
      <c r="B86" s="2" t="s">
        <v>85</v>
      </c>
      <c r="C86" s="2" t="s">
        <v>232</v>
      </c>
      <c r="D86" s="2" t="s">
        <v>234</v>
      </c>
      <c r="E86" s="3">
        <v>14661</v>
      </c>
      <c r="F86" s="2">
        <v>517</v>
      </c>
      <c r="G86" s="3">
        <f t="shared" si="1"/>
        <v>15178</v>
      </c>
    </row>
    <row r="87" spans="1:7" x14ac:dyDescent="0.2">
      <c r="A87" s="2">
        <v>2020</v>
      </c>
      <c r="B87" s="2" t="s">
        <v>86</v>
      </c>
      <c r="C87" s="2" t="s">
        <v>232</v>
      </c>
      <c r="D87" s="2" t="s">
        <v>234</v>
      </c>
      <c r="E87" s="3">
        <v>19589</v>
      </c>
      <c r="F87" s="2">
        <v>691</v>
      </c>
      <c r="G87" s="3">
        <f t="shared" si="1"/>
        <v>20280</v>
      </c>
    </row>
    <row r="88" spans="1:7" x14ac:dyDescent="0.2">
      <c r="A88" s="2">
        <v>2020</v>
      </c>
      <c r="B88" s="2" t="s">
        <v>88</v>
      </c>
      <c r="C88" s="2" t="s">
        <v>232</v>
      </c>
      <c r="D88" s="2" t="s">
        <v>234</v>
      </c>
      <c r="E88" s="3">
        <v>2391448</v>
      </c>
      <c r="F88" s="3">
        <v>84391</v>
      </c>
      <c r="G88" s="3">
        <f t="shared" si="1"/>
        <v>2475839</v>
      </c>
    </row>
    <row r="89" spans="1:7" x14ac:dyDescent="0.2">
      <c r="A89" s="2">
        <v>2020</v>
      </c>
      <c r="B89" s="2" t="s">
        <v>237</v>
      </c>
      <c r="C89" s="2" t="s">
        <v>232</v>
      </c>
      <c r="D89" s="2" t="s">
        <v>234</v>
      </c>
      <c r="E89" s="3">
        <v>17324630</v>
      </c>
      <c r="F89" s="3">
        <v>611360</v>
      </c>
      <c r="G89" s="3">
        <f t="shared" si="1"/>
        <v>17935990</v>
      </c>
    </row>
    <row r="90" spans="1:7" x14ac:dyDescent="0.2">
      <c r="A90" s="2">
        <v>2020</v>
      </c>
      <c r="B90" s="2" t="s">
        <v>91</v>
      </c>
      <c r="C90" s="2" t="s">
        <v>232</v>
      </c>
      <c r="D90" s="2" t="s">
        <v>234</v>
      </c>
      <c r="E90" s="3">
        <v>1404458</v>
      </c>
      <c r="F90" s="3">
        <v>49561</v>
      </c>
      <c r="G90" s="3">
        <f t="shared" si="1"/>
        <v>1454019</v>
      </c>
    </row>
    <row r="91" spans="1:7" x14ac:dyDescent="0.2">
      <c r="A91" s="2">
        <v>2020</v>
      </c>
      <c r="B91" s="2" t="s">
        <v>92</v>
      </c>
      <c r="C91" s="2" t="s">
        <v>232</v>
      </c>
      <c r="D91" s="2" t="s">
        <v>234</v>
      </c>
      <c r="E91" s="3">
        <v>2682526</v>
      </c>
      <c r="F91" s="3">
        <v>94662</v>
      </c>
      <c r="G91" s="3">
        <f t="shared" si="1"/>
        <v>2777188</v>
      </c>
    </row>
    <row r="92" spans="1:7" x14ac:dyDescent="0.2">
      <c r="A92" s="2">
        <v>2020</v>
      </c>
      <c r="B92" s="2" t="s">
        <v>93</v>
      </c>
      <c r="C92" s="2" t="s">
        <v>232</v>
      </c>
      <c r="D92" s="2" t="s">
        <v>234</v>
      </c>
      <c r="E92" s="3">
        <v>876767</v>
      </c>
      <c r="F92" s="3">
        <v>30940</v>
      </c>
      <c r="G92" s="3">
        <f t="shared" si="1"/>
        <v>907707</v>
      </c>
    </row>
    <row r="93" spans="1:7" x14ac:dyDescent="0.2">
      <c r="A93" s="2">
        <v>2020</v>
      </c>
      <c r="B93" s="2" t="s">
        <v>94</v>
      </c>
      <c r="C93" s="2" t="s">
        <v>232</v>
      </c>
      <c r="D93" s="2" t="s">
        <v>234</v>
      </c>
      <c r="E93" s="3">
        <v>75093</v>
      </c>
      <c r="F93" s="3">
        <v>2650</v>
      </c>
      <c r="G93" s="3">
        <f t="shared" si="1"/>
        <v>77743</v>
      </c>
    </row>
    <row r="94" spans="1:7" x14ac:dyDescent="0.2">
      <c r="A94" s="2">
        <v>2020</v>
      </c>
      <c r="B94" s="2" t="s">
        <v>95</v>
      </c>
      <c r="C94" s="2" t="s">
        <v>232</v>
      </c>
      <c r="D94" s="2" t="s">
        <v>234</v>
      </c>
      <c r="E94" s="3">
        <v>209076</v>
      </c>
      <c r="F94" s="3">
        <v>7378</v>
      </c>
      <c r="G94" s="3">
        <f t="shared" si="1"/>
        <v>216454</v>
      </c>
    </row>
    <row r="95" spans="1:7" x14ac:dyDescent="0.2">
      <c r="A95" s="2">
        <v>2020</v>
      </c>
      <c r="B95" s="2" t="s">
        <v>96</v>
      </c>
      <c r="C95" s="2" t="s">
        <v>232</v>
      </c>
      <c r="D95" s="2" t="s">
        <v>234</v>
      </c>
      <c r="E95" s="3">
        <v>7300</v>
      </c>
      <c r="F95" s="2">
        <v>258</v>
      </c>
      <c r="G95" s="3">
        <f t="shared" si="1"/>
        <v>7558</v>
      </c>
    </row>
    <row r="96" spans="1:7" x14ac:dyDescent="0.2">
      <c r="A96" s="2">
        <v>2020</v>
      </c>
      <c r="B96" s="2" t="s">
        <v>97</v>
      </c>
      <c r="C96" s="2" t="s">
        <v>232</v>
      </c>
      <c r="D96" s="2" t="s">
        <v>234</v>
      </c>
      <c r="E96" s="3">
        <v>40499</v>
      </c>
      <c r="F96" s="3">
        <v>1429</v>
      </c>
      <c r="G96" s="3">
        <f t="shared" si="1"/>
        <v>41928</v>
      </c>
    </row>
    <row r="97" spans="1:7" x14ac:dyDescent="0.2">
      <c r="A97" s="2">
        <v>2020</v>
      </c>
      <c r="B97" s="2" t="s">
        <v>98</v>
      </c>
      <c r="C97" s="2" t="s">
        <v>232</v>
      </c>
      <c r="D97" s="2" t="s">
        <v>234</v>
      </c>
      <c r="E97" s="3">
        <v>1906788</v>
      </c>
      <c r="F97" s="3">
        <v>67288</v>
      </c>
      <c r="G97" s="3">
        <f t="shared" si="1"/>
        <v>1974076</v>
      </c>
    </row>
    <row r="98" spans="1:7" x14ac:dyDescent="0.2">
      <c r="A98" s="2">
        <v>2020</v>
      </c>
      <c r="B98" s="2" t="s">
        <v>99</v>
      </c>
      <c r="C98" s="2" t="s">
        <v>232</v>
      </c>
      <c r="D98" s="2" t="s">
        <v>234</v>
      </c>
      <c r="E98" s="3">
        <v>56005</v>
      </c>
      <c r="F98" s="3">
        <v>1976</v>
      </c>
      <c r="G98" s="3">
        <f t="shared" si="1"/>
        <v>57981</v>
      </c>
    </row>
    <row r="99" spans="1:7" x14ac:dyDescent="0.2">
      <c r="A99" s="2">
        <v>2020</v>
      </c>
      <c r="B99" s="2" t="s">
        <v>100</v>
      </c>
      <c r="C99" s="2" t="s">
        <v>232</v>
      </c>
      <c r="D99" s="2" t="s">
        <v>234</v>
      </c>
      <c r="E99" s="3">
        <v>16043</v>
      </c>
      <c r="F99" s="2">
        <v>566</v>
      </c>
      <c r="G99" s="3">
        <f t="shared" si="1"/>
        <v>16609</v>
      </c>
    </row>
    <row r="100" spans="1:7" x14ac:dyDescent="0.2">
      <c r="A100" s="2">
        <v>2020</v>
      </c>
      <c r="B100" s="2" t="s">
        <v>101</v>
      </c>
      <c r="C100" s="2" t="s">
        <v>232</v>
      </c>
      <c r="D100" s="2" t="s">
        <v>234</v>
      </c>
      <c r="E100" s="3">
        <v>120483</v>
      </c>
      <c r="F100" s="3">
        <v>4252</v>
      </c>
      <c r="G100" s="3">
        <f t="shared" si="1"/>
        <v>124735</v>
      </c>
    </row>
    <row r="101" spans="1:7" x14ac:dyDescent="0.2">
      <c r="A101" s="2">
        <v>2020</v>
      </c>
      <c r="B101" s="2" t="s">
        <v>103</v>
      </c>
      <c r="C101" s="2" t="s">
        <v>232</v>
      </c>
      <c r="D101" s="2" t="s">
        <v>234</v>
      </c>
      <c r="E101" s="3">
        <v>3825718</v>
      </c>
      <c r="F101" s="3">
        <v>135004</v>
      </c>
      <c r="G101" s="3">
        <f t="shared" si="1"/>
        <v>3960722</v>
      </c>
    </row>
    <row r="102" spans="1:7" x14ac:dyDescent="0.2">
      <c r="A102" s="2">
        <v>2020</v>
      </c>
      <c r="B102" s="2" t="s">
        <v>238</v>
      </c>
      <c r="C102" s="2" t="s">
        <v>232</v>
      </c>
      <c r="D102" s="2" t="s">
        <v>234</v>
      </c>
      <c r="E102" s="3">
        <v>777731</v>
      </c>
      <c r="F102" s="3">
        <v>27445</v>
      </c>
      <c r="G102" s="3">
        <f t="shared" si="1"/>
        <v>805176</v>
      </c>
    </row>
    <row r="103" spans="1:7" x14ac:dyDescent="0.2">
      <c r="A103" s="2">
        <v>2020</v>
      </c>
      <c r="B103" s="2" t="s">
        <v>105</v>
      </c>
      <c r="C103" s="2" t="s">
        <v>232</v>
      </c>
      <c r="D103" s="2" t="s">
        <v>234</v>
      </c>
      <c r="E103" s="3">
        <v>4854969</v>
      </c>
      <c r="F103" s="3">
        <v>171324</v>
      </c>
      <c r="G103" s="3">
        <f t="shared" si="1"/>
        <v>5026293</v>
      </c>
    </row>
    <row r="104" spans="1:7" x14ac:dyDescent="0.2">
      <c r="A104" s="2">
        <v>2020</v>
      </c>
      <c r="B104" s="2" t="s">
        <v>106</v>
      </c>
      <c r="C104" s="2" t="s">
        <v>232</v>
      </c>
      <c r="D104" s="2" t="s">
        <v>234</v>
      </c>
      <c r="E104" s="3">
        <v>24089</v>
      </c>
      <c r="F104" s="2">
        <v>850</v>
      </c>
      <c r="G104" s="3">
        <f t="shared" si="1"/>
        <v>24939</v>
      </c>
    </row>
    <row r="105" spans="1:7" x14ac:dyDescent="0.2">
      <c r="A105" s="2">
        <v>2020</v>
      </c>
      <c r="B105" s="2" t="s">
        <v>107</v>
      </c>
      <c r="C105" s="2" t="s">
        <v>232</v>
      </c>
      <c r="D105" s="2" t="s">
        <v>234</v>
      </c>
      <c r="E105" s="3">
        <v>305751</v>
      </c>
      <c r="F105" s="3">
        <v>10789</v>
      </c>
      <c r="G105" s="3">
        <f t="shared" si="1"/>
        <v>316540</v>
      </c>
    </row>
    <row r="106" spans="1:7" x14ac:dyDescent="0.2">
      <c r="A106" s="2">
        <v>2020</v>
      </c>
      <c r="B106" s="2" t="s">
        <v>108</v>
      </c>
      <c r="C106" s="2" t="s">
        <v>232</v>
      </c>
      <c r="D106" s="2" t="s">
        <v>234</v>
      </c>
      <c r="E106" s="3">
        <v>4998295</v>
      </c>
      <c r="F106" s="3">
        <v>176382</v>
      </c>
      <c r="G106" s="3">
        <f t="shared" si="1"/>
        <v>5174677</v>
      </c>
    </row>
    <row r="107" spans="1:7" x14ac:dyDescent="0.2">
      <c r="A107" s="2">
        <v>2020</v>
      </c>
      <c r="B107" s="2" t="s">
        <v>109</v>
      </c>
      <c r="C107" s="2" t="s">
        <v>232</v>
      </c>
      <c r="D107" s="2" t="s">
        <v>234</v>
      </c>
      <c r="E107" s="3">
        <v>1680862</v>
      </c>
      <c r="F107" s="3">
        <v>59315</v>
      </c>
      <c r="G107" s="3">
        <f t="shared" si="1"/>
        <v>1740177</v>
      </c>
    </row>
    <row r="108" spans="1:7" x14ac:dyDescent="0.2">
      <c r="A108" s="2">
        <v>2020</v>
      </c>
      <c r="B108" s="2" t="s">
        <v>110</v>
      </c>
      <c r="C108" s="2" t="s">
        <v>232</v>
      </c>
      <c r="D108" s="2" t="s">
        <v>234</v>
      </c>
      <c r="E108" s="3">
        <v>3033937</v>
      </c>
      <c r="F108" s="3">
        <v>107063</v>
      </c>
      <c r="G108" s="3">
        <f t="shared" si="1"/>
        <v>3141000</v>
      </c>
    </row>
    <row r="109" spans="1:7" x14ac:dyDescent="0.2">
      <c r="A109" s="2">
        <v>2020</v>
      </c>
      <c r="B109" s="2" t="s">
        <v>111</v>
      </c>
      <c r="C109" s="2" t="s">
        <v>232</v>
      </c>
      <c r="D109" s="2" t="s">
        <v>234</v>
      </c>
      <c r="E109" s="3">
        <v>473619</v>
      </c>
      <c r="F109" s="3">
        <v>16713</v>
      </c>
      <c r="G109" s="3">
        <f t="shared" si="1"/>
        <v>490332</v>
      </c>
    </row>
    <row r="110" spans="1:7" x14ac:dyDescent="0.2">
      <c r="A110" s="2">
        <v>2020</v>
      </c>
      <c r="B110" s="2" t="s">
        <v>112</v>
      </c>
      <c r="C110" s="2" t="s">
        <v>232</v>
      </c>
      <c r="D110" s="2" t="s">
        <v>234</v>
      </c>
      <c r="E110" s="3">
        <v>662054</v>
      </c>
      <c r="F110" s="3">
        <v>23363</v>
      </c>
      <c r="G110" s="3">
        <f t="shared" si="1"/>
        <v>685417</v>
      </c>
    </row>
    <row r="111" spans="1:7" x14ac:dyDescent="0.2">
      <c r="A111" s="2">
        <v>2020</v>
      </c>
      <c r="B111" s="2" t="s">
        <v>113</v>
      </c>
      <c r="C111" s="2" t="s">
        <v>232</v>
      </c>
      <c r="D111" s="2" t="s">
        <v>234</v>
      </c>
      <c r="E111" s="3">
        <v>833553</v>
      </c>
      <c r="F111" s="3">
        <v>29415</v>
      </c>
      <c r="G111" s="3">
        <f t="shared" si="1"/>
        <v>862968</v>
      </c>
    </row>
    <row r="112" spans="1:7" x14ac:dyDescent="0.2">
      <c r="A112" s="2">
        <v>2020</v>
      </c>
      <c r="B112" s="2" t="s">
        <v>114</v>
      </c>
      <c r="C112" s="2" t="s">
        <v>232</v>
      </c>
      <c r="D112" s="2" t="s">
        <v>234</v>
      </c>
      <c r="E112" s="3">
        <v>1071157</v>
      </c>
      <c r="F112" s="3">
        <v>37799</v>
      </c>
      <c r="G112" s="3">
        <f t="shared" si="1"/>
        <v>1108956</v>
      </c>
    </row>
    <row r="113" spans="1:7" x14ac:dyDescent="0.2">
      <c r="A113" s="2">
        <v>2020</v>
      </c>
      <c r="B113" s="2" t="s">
        <v>115</v>
      </c>
      <c r="C113" s="2" t="s">
        <v>232</v>
      </c>
      <c r="D113" s="2" t="s">
        <v>234</v>
      </c>
      <c r="E113" s="3">
        <v>2633773</v>
      </c>
      <c r="F113" s="3">
        <v>92942</v>
      </c>
      <c r="G113" s="3">
        <f t="shared" si="1"/>
        <v>2726715</v>
      </c>
    </row>
    <row r="114" spans="1:7" x14ac:dyDescent="0.2">
      <c r="A114" s="2">
        <v>2020</v>
      </c>
      <c r="B114" s="2" t="s">
        <v>116</v>
      </c>
      <c r="C114" s="2" t="s">
        <v>232</v>
      </c>
      <c r="D114" s="2" t="s">
        <v>234</v>
      </c>
      <c r="E114" s="3">
        <v>1675970</v>
      </c>
      <c r="F114" s="3">
        <v>59142</v>
      </c>
      <c r="G114" s="3">
        <f t="shared" si="1"/>
        <v>1735112</v>
      </c>
    </row>
    <row r="115" spans="1:7" x14ac:dyDescent="0.2">
      <c r="A115" s="2">
        <v>2020</v>
      </c>
      <c r="B115" s="2" t="s">
        <v>117</v>
      </c>
      <c r="C115" s="2" t="s">
        <v>232</v>
      </c>
      <c r="D115" s="2" t="s">
        <v>234</v>
      </c>
      <c r="E115" s="3">
        <v>7267450</v>
      </c>
      <c r="F115" s="3">
        <v>256457</v>
      </c>
      <c r="G115" s="3">
        <f t="shared" si="1"/>
        <v>7523907</v>
      </c>
    </row>
    <row r="116" spans="1:7" x14ac:dyDescent="0.2">
      <c r="A116" s="2">
        <v>2020</v>
      </c>
      <c r="B116" s="2" t="s">
        <v>119</v>
      </c>
      <c r="C116" s="2" t="s">
        <v>232</v>
      </c>
      <c r="D116" s="2" t="s">
        <v>234</v>
      </c>
      <c r="E116" s="3">
        <v>35877</v>
      </c>
      <c r="F116" s="3">
        <v>1266</v>
      </c>
      <c r="G116" s="3">
        <f t="shared" si="1"/>
        <v>37143</v>
      </c>
    </row>
    <row r="117" spans="1:7" x14ac:dyDescent="0.2">
      <c r="A117" s="2">
        <v>2020</v>
      </c>
      <c r="B117" s="2" t="s">
        <v>120</v>
      </c>
      <c r="C117" s="2" t="s">
        <v>232</v>
      </c>
      <c r="D117" s="2" t="s">
        <v>234</v>
      </c>
      <c r="E117" s="3">
        <v>2620627</v>
      </c>
      <c r="F117" s="3">
        <v>92478</v>
      </c>
      <c r="G117" s="3">
        <f t="shared" si="1"/>
        <v>2713105</v>
      </c>
    </row>
    <row r="118" spans="1:7" x14ac:dyDescent="0.2">
      <c r="A118" s="2">
        <v>2020</v>
      </c>
      <c r="B118" s="2" t="s">
        <v>121</v>
      </c>
      <c r="C118" s="2" t="s">
        <v>232</v>
      </c>
      <c r="D118" s="2" t="s">
        <v>234</v>
      </c>
      <c r="E118" s="3">
        <v>1291152</v>
      </c>
      <c r="F118" s="3">
        <v>45563</v>
      </c>
      <c r="G118" s="3">
        <f t="shared" si="1"/>
        <v>1336715</v>
      </c>
    </row>
    <row r="119" spans="1:7" x14ac:dyDescent="0.2">
      <c r="A119" s="2">
        <v>2020</v>
      </c>
      <c r="B119" s="2" t="s">
        <v>122</v>
      </c>
      <c r="C119" s="2" t="s">
        <v>232</v>
      </c>
      <c r="D119" s="2" t="s">
        <v>234</v>
      </c>
      <c r="E119" s="3">
        <v>1347744</v>
      </c>
      <c r="F119" s="3">
        <v>47560</v>
      </c>
      <c r="G119" s="3">
        <f t="shared" si="1"/>
        <v>1395304</v>
      </c>
    </row>
    <row r="120" spans="1:7" x14ac:dyDescent="0.2">
      <c r="A120" s="2">
        <v>2020</v>
      </c>
      <c r="B120" s="2" t="s">
        <v>240</v>
      </c>
      <c r="C120" s="2" t="s">
        <v>232</v>
      </c>
      <c r="D120" s="2" t="s">
        <v>234</v>
      </c>
      <c r="E120" s="3">
        <v>2663499</v>
      </c>
      <c r="F120" s="3">
        <v>93991</v>
      </c>
      <c r="G120" s="3">
        <f t="shared" si="1"/>
        <v>2757490</v>
      </c>
    </row>
    <row r="121" spans="1:7" x14ac:dyDescent="0.2">
      <c r="A121" s="2">
        <v>2020</v>
      </c>
      <c r="B121" s="2" t="s">
        <v>124</v>
      </c>
      <c r="C121" s="2" t="s">
        <v>232</v>
      </c>
      <c r="D121" s="2" t="s">
        <v>234</v>
      </c>
      <c r="E121" s="3">
        <v>1052900</v>
      </c>
      <c r="F121" s="3">
        <v>37155</v>
      </c>
      <c r="G121" s="3">
        <f t="shared" si="1"/>
        <v>1090055</v>
      </c>
    </row>
    <row r="122" spans="1:7" x14ac:dyDescent="0.2">
      <c r="A122" s="2">
        <v>2020</v>
      </c>
      <c r="B122" s="2" t="s">
        <v>125</v>
      </c>
      <c r="C122" s="2" t="s">
        <v>232</v>
      </c>
      <c r="D122" s="2" t="s">
        <v>234</v>
      </c>
      <c r="E122" s="3">
        <v>1277921</v>
      </c>
      <c r="F122" s="3">
        <v>45096</v>
      </c>
      <c r="G122" s="3">
        <f t="shared" si="1"/>
        <v>1323017</v>
      </c>
    </row>
    <row r="123" spans="1:7" x14ac:dyDescent="0.2">
      <c r="A123" s="2">
        <v>2020</v>
      </c>
      <c r="B123" s="2" t="s">
        <v>126</v>
      </c>
      <c r="C123" s="2" t="s">
        <v>232</v>
      </c>
      <c r="D123" s="2" t="s">
        <v>234</v>
      </c>
      <c r="E123" s="3">
        <v>1457210</v>
      </c>
      <c r="F123" s="3">
        <v>51423</v>
      </c>
      <c r="G123" s="3">
        <f t="shared" si="1"/>
        <v>1508633</v>
      </c>
    </row>
    <row r="124" spans="1:7" x14ac:dyDescent="0.2">
      <c r="A124" s="2">
        <v>2020</v>
      </c>
      <c r="B124" s="2" t="s">
        <v>127</v>
      </c>
      <c r="C124" s="2" t="s">
        <v>232</v>
      </c>
      <c r="D124" s="2" t="s">
        <v>234</v>
      </c>
      <c r="E124" s="3">
        <v>2271760</v>
      </c>
      <c r="F124" s="3">
        <v>80167</v>
      </c>
      <c r="G124" s="3">
        <f t="shared" si="1"/>
        <v>2351927</v>
      </c>
    </row>
    <row r="125" spans="1:7" x14ac:dyDescent="0.2">
      <c r="A125" s="2">
        <v>2020</v>
      </c>
      <c r="B125" s="2" t="s">
        <v>128</v>
      </c>
      <c r="C125" s="2" t="s">
        <v>232</v>
      </c>
      <c r="D125" s="2" t="s">
        <v>234</v>
      </c>
      <c r="E125" s="3">
        <v>935865</v>
      </c>
      <c r="F125" s="3">
        <v>33025</v>
      </c>
      <c r="G125" s="3">
        <f t="shared" si="1"/>
        <v>968890</v>
      </c>
    </row>
    <row r="126" spans="1:7" x14ac:dyDescent="0.2">
      <c r="A126" s="2">
        <v>2020</v>
      </c>
      <c r="B126" s="2" t="s">
        <v>129</v>
      </c>
      <c r="C126" s="2" t="s">
        <v>232</v>
      </c>
      <c r="D126" s="2" t="s">
        <v>234</v>
      </c>
      <c r="E126" s="3">
        <v>5796716</v>
      </c>
      <c r="F126" s="3">
        <v>204557</v>
      </c>
      <c r="G126" s="3">
        <f t="shared" si="1"/>
        <v>6001273</v>
      </c>
    </row>
    <row r="127" spans="1:7" x14ac:dyDescent="0.2">
      <c r="A127" s="2">
        <v>2020</v>
      </c>
      <c r="B127" s="2" t="s">
        <v>130</v>
      </c>
      <c r="C127" s="2" t="s">
        <v>232</v>
      </c>
      <c r="D127" s="2" t="s">
        <v>234</v>
      </c>
      <c r="E127" s="3">
        <v>188044</v>
      </c>
      <c r="F127" s="3">
        <v>6636</v>
      </c>
      <c r="G127" s="3">
        <f t="shared" si="1"/>
        <v>194680</v>
      </c>
    </row>
    <row r="128" spans="1:7" x14ac:dyDescent="0.2">
      <c r="A128" s="2">
        <v>2020</v>
      </c>
      <c r="B128" s="2" t="s">
        <v>131</v>
      </c>
      <c r="C128" s="2" t="s">
        <v>232</v>
      </c>
      <c r="D128" s="2" t="s">
        <v>234</v>
      </c>
      <c r="E128" s="3">
        <v>14894</v>
      </c>
      <c r="F128" s="2">
        <v>526</v>
      </c>
      <c r="G128" s="3">
        <f t="shared" si="1"/>
        <v>15420</v>
      </c>
    </row>
    <row r="129" spans="1:7" x14ac:dyDescent="0.2">
      <c r="A129" s="2">
        <v>2020</v>
      </c>
      <c r="B129" s="2" t="s">
        <v>132</v>
      </c>
      <c r="C129" s="2" t="s">
        <v>232</v>
      </c>
      <c r="D129" s="2" t="s">
        <v>234</v>
      </c>
      <c r="E129" s="3">
        <v>15970</v>
      </c>
      <c r="F129" s="2">
        <v>564</v>
      </c>
      <c r="G129" s="3">
        <f t="shared" si="1"/>
        <v>16534</v>
      </c>
    </row>
    <row r="130" spans="1:7" x14ac:dyDescent="0.2">
      <c r="A130" s="2">
        <v>2020</v>
      </c>
      <c r="B130" s="2" t="s">
        <v>133</v>
      </c>
      <c r="C130" s="2" t="s">
        <v>232</v>
      </c>
      <c r="D130" s="2" t="s">
        <v>234</v>
      </c>
      <c r="E130" s="3">
        <v>919687</v>
      </c>
      <c r="F130" s="3">
        <v>32454</v>
      </c>
      <c r="G130" s="3">
        <f t="shared" si="1"/>
        <v>952141</v>
      </c>
    </row>
    <row r="131" spans="1:7" x14ac:dyDescent="0.2">
      <c r="A131" s="2">
        <v>2020</v>
      </c>
      <c r="B131" s="2" t="s">
        <v>134</v>
      </c>
      <c r="C131" s="2" t="s">
        <v>232</v>
      </c>
      <c r="D131" s="2" t="s">
        <v>234</v>
      </c>
      <c r="E131" s="3">
        <v>1124557</v>
      </c>
      <c r="F131" s="3">
        <v>39684</v>
      </c>
      <c r="G131" s="3">
        <f t="shared" ref="G131:G194" si="2">SUM(E131:F131)</f>
        <v>1164241</v>
      </c>
    </row>
    <row r="132" spans="1:7" x14ac:dyDescent="0.2">
      <c r="A132" s="2">
        <v>2020</v>
      </c>
      <c r="B132" s="2" t="s">
        <v>135</v>
      </c>
      <c r="C132" s="2" t="s">
        <v>232</v>
      </c>
      <c r="D132" s="2" t="s">
        <v>234</v>
      </c>
      <c r="E132" s="3">
        <v>2022857</v>
      </c>
      <c r="F132" s="3">
        <v>71384</v>
      </c>
      <c r="G132" s="3">
        <f t="shared" si="2"/>
        <v>2094241</v>
      </c>
    </row>
    <row r="133" spans="1:7" x14ac:dyDescent="0.2">
      <c r="A133" s="2">
        <v>2020</v>
      </c>
      <c r="B133" s="2" t="s">
        <v>136</v>
      </c>
      <c r="C133" s="2" t="s">
        <v>232</v>
      </c>
      <c r="D133" s="2" t="s">
        <v>234</v>
      </c>
      <c r="E133" s="3">
        <v>503370</v>
      </c>
      <c r="F133" s="3">
        <v>17763</v>
      </c>
      <c r="G133" s="3">
        <f t="shared" si="2"/>
        <v>521133</v>
      </c>
    </row>
    <row r="134" spans="1:7" x14ac:dyDescent="0.2">
      <c r="A134" s="2">
        <v>2020</v>
      </c>
      <c r="B134" s="2" t="s">
        <v>137</v>
      </c>
      <c r="C134" s="2" t="s">
        <v>232</v>
      </c>
      <c r="D134" s="2" t="s">
        <v>234</v>
      </c>
      <c r="E134" s="3">
        <v>343927</v>
      </c>
      <c r="F134" s="3">
        <v>12137</v>
      </c>
      <c r="G134" s="3">
        <f t="shared" si="2"/>
        <v>356064</v>
      </c>
    </row>
    <row r="135" spans="1:7" x14ac:dyDescent="0.2">
      <c r="A135" s="2">
        <v>2020</v>
      </c>
      <c r="B135" s="2" t="s">
        <v>265</v>
      </c>
      <c r="C135" s="2" t="s">
        <v>232</v>
      </c>
      <c r="D135" s="2" t="s">
        <v>234</v>
      </c>
      <c r="E135" s="3">
        <v>78578</v>
      </c>
      <c r="F135" s="3">
        <v>2773</v>
      </c>
      <c r="G135" s="3">
        <f t="shared" si="2"/>
        <v>81351</v>
      </c>
    </row>
    <row r="136" spans="1:7" x14ac:dyDescent="0.2">
      <c r="A136" s="2">
        <v>2020</v>
      </c>
      <c r="B136" s="2" t="s">
        <v>266</v>
      </c>
      <c r="C136" s="2" t="s">
        <v>232</v>
      </c>
      <c r="D136" s="2" t="s">
        <v>234</v>
      </c>
      <c r="E136" s="3">
        <v>11066</v>
      </c>
      <c r="F136" s="2">
        <v>391</v>
      </c>
      <c r="G136" s="3">
        <f t="shared" si="2"/>
        <v>11457</v>
      </c>
    </row>
    <row r="137" spans="1:7" x14ac:dyDescent="0.2">
      <c r="A137" s="2">
        <v>2020</v>
      </c>
      <c r="B137" s="2" t="s">
        <v>138</v>
      </c>
      <c r="C137" s="2" t="s">
        <v>232</v>
      </c>
      <c r="D137" s="2" t="s">
        <v>234</v>
      </c>
      <c r="E137" s="3">
        <v>86599</v>
      </c>
      <c r="F137" s="3">
        <v>3056</v>
      </c>
      <c r="G137" s="3">
        <f t="shared" si="2"/>
        <v>89655</v>
      </c>
    </row>
    <row r="138" spans="1:7" x14ac:dyDescent="0.2">
      <c r="A138" s="2">
        <v>2020</v>
      </c>
      <c r="B138" s="2" t="s">
        <v>139</v>
      </c>
      <c r="C138" s="2" t="s">
        <v>232</v>
      </c>
      <c r="D138" s="2" t="s">
        <v>234</v>
      </c>
      <c r="E138" s="3">
        <v>1784972</v>
      </c>
      <c r="F138" s="3">
        <v>62989</v>
      </c>
      <c r="G138" s="3">
        <f t="shared" si="2"/>
        <v>1847961</v>
      </c>
    </row>
    <row r="139" spans="1:7" x14ac:dyDescent="0.2">
      <c r="A139" s="2">
        <v>2020</v>
      </c>
      <c r="B139" s="2" t="s">
        <v>140</v>
      </c>
      <c r="C139" s="2" t="s">
        <v>232</v>
      </c>
      <c r="D139" s="2" t="s">
        <v>234</v>
      </c>
      <c r="E139" s="3">
        <v>28125</v>
      </c>
      <c r="F139" s="2">
        <v>992</v>
      </c>
      <c r="G139" s="3">
        <f t="shared" si="2"/>
        <v>29117</v>
      </c>
    </row>
    <row r="140" spans="1:7" x14ac:dyDescent="0.2">
      <c r="A140" s="2">
        <v>2020</v>
      </c>
      <c r="B140" s="2" t="s">
        <v>141</v>
      </c>
      <c r="C140" s="2" t="s">
        <v>232</v>
      </c>
      <c r="D140" s="2" t="s">
        <v>234</v>
      </c>
      <c r="E140" s="3">
        <v>62412</v>
      </c>
      <c r="F140" s="3">
        <v>2202</v>
      </c>
      <c r="G140" s="3">
        <f t="shared" si="2"/>
        <v>64614</v>
      </c>
    </row>
    <row r="141" spans="1:7" x14ac:dyDescent="0.2">
      <c r="A141" s="2">
        <v>2020</v>
      </c>
      <c r="B141" s="2" t="s">
        <v>142</v>
      </c>
      <c r="C141" s="2" t="s">
        <v>232</v>
      </c>
      <c r="D141" s="2" t="s">
        <v>234</v>
      </c>
      <c r="E141" s="3">
        <v>565207</v>
      </c>
      <c r="F141" s="3">
        <v>19945</v>
      </c>
      <c r="G141" s="3">
        <f t="shared" si="2"/>
        <v>585152</v>
      </c>
    </row>
    <row r="142" spans="1:7" x14ac:dyDescent="0.2">
      <c r="A142" s="2">
        <v>2020</v>
      </c>
      <c r="B142" s="2" t="s">
        <v>143</v>
      </c>
      <c r="C142" s="2" t="s">
        <v>232</v>
      </c>
      <c r="D142" s="2" t="s">
        <v>234</v>
      </c>
      <c r="E142" s="3">
        <v>1023418</v>
      </c>
      <c r="F142" s="3">
        <v>36115</v>
      </c>
      <c r="G142" s="3">
        <f t="shared" si="2"/>
        <v>1059533</v>
      </c>
    </row>
    <row r="143" spans="1:7" x14ac:dyDescent="0.2">
      <c r="A143" s="2">
        <v>2020</v>
      </c>
      <c r="B143" s="2" t="s">
        <v>144</v>
      </c>
      <c r="C143" s="2" t="s">
        <v>232</v>
      </c>
      <c r="D143" s="2" t="s">
        <v>234</v>
      </c>
      <c r="E143" s="3">
        <v>560903</v>
      </c>
      <c r="F143" s="3">
        <v>19793</v>
      </c>
      <c r="G143" s="3">
        <f t="shared" si="2"/>
        <v>580696</v>
      </c>
    </row>
    <row r="144" spans="1:7" x14ac:dyDescent="0.2">
      <c r="A144" s="2">
        <v>2020</v>
      </c>
      <c r="B144" s="2" t="s">
        <v>145</v>
      </c>
      <c r="C144" s="2" t="s">
        <v>232</v>
      </c>
      <c r="D144" s="2" t="s">
        <v>234</v>
      </c>
      <c r="E144" s="3">
        <v>737904</v>
      </c>
      <c r="F144" s="3">
        <v>26040</v>
      </c>
      <c r="G144" s="3">
        <f t="shared" si="2"/>
        <v>763944</v>
      </c>
    </row>
    <row r="145" spans="1:7" x14ac:dyDescent="0.2">
      <c r="A145" s="2">
        <v>2020</v>
      </c>
      <c r="B145" s="2" t="s">
        <v>146</v>
      </c>
      <c r="C145" s="2" t="s">
        <v>232</v>
      </c>
      <c r="D145" s="2" t="s">
        <v>234</v>
      </c>
      <c r="E145" s="3">
        <v>7971996</v>
      </c>
      <c r="F145" s="3">
        <v>281320</v>
      </c>
      <c r="G145" s="3">
        <f t="shared" si="2"/>
        <v>8253316</v>
      </c>
    </row>
    <row r="146" spans="1:7" x14ac:dyDescent="0.2">
      <c r="A146" s="2">
        <v>2020</v>
      </c>
      <c r="B146" s="2" t="s">
        <v>147</v>
      </c>
      <c r="C146" s="2" t="s">
        <v>232</v>
      </c>
      <c r="D146" s="2" t="s">
        <v>234</v>
      </c>
      <c r="E146" s="3">
        <v>11580</v>
      </c>
      <c r="F146" s="2">
        <v>409</v>
      </c>
      <c r="G146" s="3">
        <f t="shared" si="2"/>
        <v>11989</v>
      </c>
    </row>
    <row r="147" spans="1:7" x14ac:dyDescent="0.2">
      <c r="A147" s="2">
        <v>2020</v>
      </c>
      <c r="B147" s="2" t="s">
        <v>148</v>
      </c>
      <c r="C147" s="2" t="s">
        <v>232</v>
      </c>
      <c r="D147" s="2" t="s">
        <v>234</v>
      </c>
      <c r="E147" s="3">
        <v>138483</v>
      </c>
      <c r="F147" s="3">
        <v>4887</v>
      </c>
      <c r="G147" s="3">
        <f t="shared" si="2"/>
        <v>143370</v>
      </c>
    </row>
    <row r="148" spans="1:7" x14ac:dyDescent="0.2">
      <c r="A148" s="2">
        <v>2020</v>
      </c>
      <c r="B148" s="2" t="s">
        <v>149</v>
      </c>
      <c r="C148" s="2" t="s">
        <v>232</v>
      </c>
      <c r="D148" s="2" t="s">
        <v>234</v>
      </c>
      <c r="E148" s="3">
        <v>468642</v>
      </c>
      <c r="F148" s="3">
        <v>16538</v>
      </c>
      <c r="G148" s="3">
        <f t="shared" si="2"/>
        <v>485180</v>
      </c>
    </row>
    <row r="149" spans="1:7" x14ac:dyDescent="0.2">
      <c r="A149" s="2">
        <v>2020</v>
      </c>
      <c r="B149" s="2" t="s">
        <v>150</v>
      </c>
      <c r="C149" s="2" t="s">
        <v>232</v>
      </c>
      <c r="D149" s="2" t="s">
        <v>234</v>
      </c>
      <c r="E149" s="3">
        <v>762948</v>
      </c>
      <c r="F149" s="3">
        <v>26923</v>
      </c>
      <c r="G149" s="3">
        <f t="shared" si="2"/>
        <v>789871</v>
      </c>
    </row>
    <row r="150" spans="1:7" x14ac:dyDescent="0.2">
      <c r="A150" s="2">
        <v>2020</v>
      </c>
      <c r="B150" s="2" t="s">
        <v>151</v>
      </c>
      <c r="C150" s="2" t="s">
        <v>232</v>
      </c>
      <c r="D150" s="2" t="s">
        <v>234</v>
      </c>
      <c r="E150" s="3">
        <v>20176</v>
      </c>
      <c r="F150" s="2">
        <v>712</v>
      </c>
      <c r="G150" s="3">
        <f t="shared" si="2"/>
        <v>20888</v>
      </c>
    </row>
    <row r="151" spans="1:7" x14ac:dyDescent="0.2">
      <c r="A151" s="2">
        <v>2020</v>
      </c>
      <c r="B151" s="2" t="s">
        <v>152</v>
      </c>
      <c r="C151" s="2" t="s">
        <v>232</v>
      </c>
      <c r="D151" s="2" t="s">
        <v>234</v>
      </c>
      <c r="E151" s="3">
        <v>783185</v>
      </c>
      <c r="F151" s="3">
        <v>27637</v>
      </c>
      <c r="G151" s="3">
        <f t="shared" si="2"/>
        <v>810822</v>
      </c>
    </row>
    <row r="152" spans="1:7" x14ac:dyDescent="0.2">
      <c r="A152" s="2">
        <v>2020</v>
      </c>
      <c r="B152" s="2" t="s">
        <v>153</v>
      </c>
      <c r="C152" s="2" t="s">
        <v>232</v>
      </c>
      <c r="D152" s="2" t="s">
        <v>234</v>
      </c>
      <c r="E152" s="3">
        <v>1112231</v>
      </c>
      <c r="F152" s="3">
        <v>39249</v>
      </c>
      <c r="G152" s="3">
        <f t="shared" si="2"/>
        <v>1151480</v>
      </c>
    </row>
    <row r="153" spans="1:7" x14ac:dyDescent="0.2">
      <c r="A153" s="2">
        <v>2020</v>
      </c>
      <c r="B153" s="2" t="s">
        <v>68</v>
      </c>
      <c r="C153" s="2" t="s">
        <v>232</v>
      </c>
      <c r="D153" s="2" t="s">
        <v>234</v>
      </c>
      <c r="E153" s="3">
        <v>19370635</v>
      </c>
      <c r="F153" s="3">
        <v>683560</v>
      </c>
      <c r="G153" s="3">
        <f t="shared" si="2"/>
        <v>20054195</v>
      </c>
    </row>
    <row r="154" spans="1:7" x14ac:dyDescent="0.2">
      <c r="A154" s="2">
        <v>2020</v>
      </c>
      <c r="B154" s="2" t="s">
        <v>267</v>
      </c>
      <c r="C154" s="2" t="s">
        <v>232</v>
      </c>
      <c r="D154" s="2" t="s">
        <v>234</v>
      </c>
      <c r="E154" s="3">
        <v>194891</v>
      </c>
      <c r="F154" s="3">
        <v>6877</v>
      </c>
      <c r="G154" s="3">
        <f t="shared" si="2"/>
        <v>201768</v>
      </c>
    </row>
    <row r="155" spans="1:7" x14ac:dyDescent="0.2">
      <c r="A155" s="2">
        <v>2020</v>
      </c>
      <c r="B155" s="2" t="s">
        <v>242</v>
      </c>
      <c r="C155" s="2" t="s">
        <v>232</v>
      </c>
      <c r="D155" s="2" t="s">
        <v>234</v>
      </c>
      <c r="E155" s="3">
        <v>82980</v>
      </c>
      <c r="F155" s="3">
        <v>2928</v>
      </c>
      <c r="G155" s="3">
        <f t="shared" si="2"/>
        <v>85908</v>
      </c>
    </row>
    <row r="156" spans="1:7" x14ac:dyDescent="0.2">
      <c r="A156" s="2">
        <v>2020</v>
      </c>
      <c r="B156" s="2" t="s">
        <v>243</v>
      </c>
      <c r="C156" s="2" t="s">
        <v>232</v>
      </c>
      <c r="D156" s="2" t="s">
        <v>234</v>
      </c>
      <c r="E156" s="3">
        <v>26205</v>
      </c>
      <c r="F156" s="2">
        <v>925</v>
      </c>
      <c r="G156" s="3">
        <f t="shared" si="2"/>
        <v>27130</v>
      </c>
    </row>
    <row r="157" spans="1:7" x14ac:dyDescent="0.2">
      <c r="A157" s="2">
        <v>2020</v>
      </c>
      <c r="B157" s="2" t="s">
        <v>158</v>
      </c>
      <c r="C157" s="2" t="s">
        <v>232</v>
      </c>
      <c r="D157" s="2" t="s">
        <v>234</v>
      </c>
      <c r="E157" s="3">
        <v>97433</v>
      </c>
      <c r="F157" s="3">
        <v>3438</v>
      </c>
      <c r="G157" s="3">
        <f t="shared" si="2"/>
        <v>100871</v>
      </c>
    </row>
    <row r="158" spans="1:7" x14ac:dyDescent="0.2">
      <c r="A158" s="2">
        <v>2020</v>
      </c>
      <c r="B158" s="2" t="s">
        <v>159</v>
      </c>
      <c r="C158" s="2" t="s">
        <v>232</v>
      </c>
      <c r="D158" s="2" t="s">
        <v>234</v>
      </c>
      <c r="E158" s="3">
        <v>26572</v>
      </c>
      <c r="F158" s="2">
        <v>938</v>
      </c>
      <c r="G158" s="3">
        <f t="shared" si="2"/>
        <v>27510</v>
      </c>
    </row>
    <row r="159" spans="1:7" x14ac:dyDescent="0.2">
      <c r="A159" s="2">
        <v>2020</v>
      </c>
      <c r="B159" s="2" t="s">
        <v>160</v>
      </c>
      <c r="C159" s="2" t="s">
        <v>232</v>
      </c>
      <c r="D159" s="2" t="s">
        <v>234</v>
      </c>
      <c r="E159" s="3">
        <v>27477</v>
      </c>
      <c r="F159" s="2">
        <v>970</v>
      </c>
      <c r="G159" s="3">
        <f t="shared" si="2"/>
        <v>28447</v>
      </c>
    </row>
    <row r="160" spans="1:7" x14ac:dyDescent="0.2">
      <c r="A160" s="2">
        <v>2020</v>
      </c>
      <c r="B160" s="2" t="s">
        <v>161</v>
      </c>
      <c r="C160" s="2" t="s">
        <v>232</v>
      </c>
      <c r="D160" s="2" t="s">
        <v>234</v>
      </c>
      <c r="E160" s="3">
        <v>294795</v>
      </c>
      <c r="F160" s="3">
        <v>10403</v>
      </c>
      <c r="G160" s="3">
        <f t="shared" si="2"/>
        <v>305198</v>
      </c>
    </row>
    <row r="161" spans="1:7" x14ac:dyDescent="0.2">
      <c r="A161" s="2">
        <v>2020</v>
      </c>
      <c r="B161" s="2" t="s">
        <v>162</v>
      </c>
      <c r="C161" s="2" t="s">
        <v>232</v>
      </c>
      <c r="D161" s="2" t="s">
        <v>234</v>
      </c>
      <c r="E161" s="3">
        <v>23906</v>
      </c>
      <c r="F161" s="2">
        <v>844</v>
      </c>
      <c r="G161" s="3">
        <f t="shared" si="2"/>
        <v>24750</v>
      </c>
    </row>
    <row r="162" spans="1:7" x14ac:dyDescent="0.2">
      <c r="A162" s="2">
        <v>2020</v>
      </c>
      <c r="B162" s="2" t="s">
        <v>163</v>
      </c>
      <c r="C162" s="2" t="s">
        <v>232</v>
      </c>
      <c r="D162" s="2" t="s">
        <v>234</v>
      </c>
      <c r="E162" s="3">
        <v>50490</v>
      </c>
      <c r="F162" s="3">
        <v>1782</v>
      </c>
      <c r="G162" s="3">
        <f t="shared" si="2"/>
        <v>52272</v>
      </c>
    </row>
    <row r="163" spans="1:7" x14ac:dyDescent="0.2">
      <c r="A163" s="2">
        <v>2020</v>
      </c>
      <c r="B163" s="2" t="s">
        <v>165</v>
      </c>
      <c r="C163" s="2" t="s">
        <v>232</v>
      </c>
      <c r="D163" s="2" t="s">
        <v>234</v>
      </c>
      <c r="E163" s="3">
        <v>8083</v>
      </c>
      <c r="F163" s="2">
        <v>285</v>
      </c>
      <c r="G163" s="3">
        <f t="shared" si="2"/>
        <v>8368</v>
      </c>
    </row>
    <row r="164" spans="1:7" x14ac:dyDescent="0.2">
      <c r="A164" s="2">
        <v>2020</v>
      </c>
      <c r="B164" s="2" t="s">
        <v>166</v>
      </c>
      <c r="C164" s="2" t="s">
        <v>232</v>
      </c>
      <c r="D164" s="2" t="s">
        <v>234</v>
      </c>
      <c r="E164" s="3">
        <v>20311</v>
      </c>
      <c r="F164" s="2">
        <v>717</v>
      </c>
      <c r="G164" s="3">
        <f t="shared" si="2"/>
        <v>21028</v>
      </c>
    </row>
    <row r="165" spans="1:7" x14ac:dyDescent="0.2">
      <c r="A165" s="2">
        <v>2020</v>
      </c>
      <c r="B165" s="2" t="s">
        <v>167</v>
      </c>
      <c r="C165" s="2" t="s">
        <v>232</v>
      </c>
      <c r="D165" s="2" t="s">
        <v>234</v>
      </c>
      <c r="E165" s="3">
        <v>19186</v>
      </c>
      <c r="F165" s="2">
        <v>677</v>
      </c>
      <c r="G165" s="3">
        <f t="shared" si="2"/>
        <v>19863</v>
      </c>
    </row>
    <row r="166" spans="1:7" x14ac:dyDescent="0.2">
      <c r="A166" s="2">
        <v>2020</v>
      </c>
      <c r="B166" s="2" t="s">
        <v>168</v>
      </c>
      <c r="C166" s="2" t="s">
        <v>232</v>
      </c>
      <c r="D166" s="2" t="s">
        <v>234</v>
      </c>
      <c r="E166" s="3">
        <v>26547</v>
      </c>
      <c r="F166" s="2">
        <v>937</v>
      </c>
      <c r="G166" s="3">
        <f t="shared" si="2"/>
        <v>27484</v>
      </c>
    </row>
    <row r="167" spans="1:7" x14ac:dyDescent="0.2">
      <c r="A167" s="2">
        <v>2020</v>
      </c>
      <c r="B167" s="2" t="s">
        <v>244</v>
      </c>
      <c r="C167" s="2" t="s">
        <v>232</v>
      </c>
      <c r="D167" s="2" t="s">
        <v>234</v>
      </c>
      <c r="E167" s="3">
        <v>15200</v>
      </c>
      <c r="F167" s="2">
        <v>536</v>
      </c>
      <c r="G167" s="3">
        <f t="shared" si="2"/>
        <v>15736</v>
      </c>
    </row>
    <row r="168" spans="1:7" x14ac:dyDescent="0.2">
      <c r="A168" s="2">
        <v>2020</v>
      </c>
      <c r="B168" s="2" t="s">
        <v>169</v>
      </c>
      <c r="C168" s="2" t="s">
        <v>232</v>
      </c>
      <c r="D168" s="2" t="s">
        <v>234</v>
      </c>
      <c r="E168" s="3">
        <v>62217</v>
      </c>
      <c r="F168" s="3">
        <v>2196</v>
      </c>
      <c r="G168" s="3">
        <f t="shared" si="2"/>
        <v>64413</v>
      </c>
    </row>
    <row r="169" spans="1:7" x14ac:dyDescent="0.2">
      <c r="A169" s="2">
        <v>2020</v>
      </c>
      <c r="B169" s="2" t="s">
        <v>245</v>
      </c>
      <c r="C169" s="2" t="s">
        <v>232</v>
      </c>
      <c r="D169" s="2" t="s">
        <v>234</v>
      </c>
      <c r="E169" s="3">
        <v>7606</v>
      </c>
      <c r="F169" s="2">
        <v>268</v>
      </c>
      <c r="G169" s="3">
        <f t="shared" si="2"/>
        <v>7874</v>
      </c>
    </row>
    <row r="170" spans="1:7" x14ac:dyDescent="0.2">
      <c r="A170" s="2">
        <v>2020</v>
      </c>
      <c r="B170" s="2" t="s">
        <v>246</v>
      </c>
      <c r="C170" s="2" t="s">
        <v>232</v>
      </c>
      <c r="D170" s="2" t="s">
        <v>234</v>
      </c>
      <c r="E170" s="3">
        <v>17401</v>
      </c>
      <c r="F170" s="2">
        <v>614</v>
      </c>
      <c r="G170" s="3">
        <f t="shared" si="2"/>
        <v>18015</v>
      </c>
    </row>
    <row r="171" spans="1:7" x14ac:dyDescent="0.2">
      <c r="A171" s="2">
        <v>2020</v>
      </c>
      <c r="B171" s="2" t="s">
        <v>247</v>
      </c>
      <c r="C171" s="2" t="s">
        <v>232</v>
      </c>
      <c r="D171" s="2" t="s">
        <v>234</v>
      </c>
      <c r="E171" s="3">
        <v>28369</v>
      </c>
      <c r="F171" s="3">
        <v>1001</v>
      </c>
      <c r="G171" s="3">
        <f t="shared" si="2"/>
        <v>29370</v>
      </c>
    </row>
    <row r="172" spans="1:7" x14ac:dyDescent="0.2">
      <c r="A172" s="2">
        <v>2020</v>
      </c>
      <c r="B172" s="2" t="s">
        <v>172</v>
      </c>
      <c r="C172" s="2" t="s">
        <v>232</v>
      </c>
      <c r="D172" s="2" t="s">
        <v>234</v>
      </c>
      <c r="E172" s="3">
        <v>14454</v>
      </c>
      <c r="F172" s="2">
        <v>510</v>
      </c>
      <c r="G172" s="3">
        <f t="shared" si="2"/>
        <v>14964</v>
      </c>
    </row>
    <row r="173" spans="1:7" x14ac:dyDescent="0.2">
      <c r="A173" s="2">
        <v>2020</v>
      </c>
      <c r="B173" s="2" t="s">
        <v>268</v>
      </c>
      <c r="C173" s="2" t="s">
        <v>232</v>
      </c>
      <c r="D173" s="2" t="s">
        <v>234</v>
      </c>
      <c r="E173" s="3">
        <v>1969</v>
      </c>
      <c r="F173" s="2">
        <v>69</v>
      </c>
      <c r="G173" s="3">
        <f t="shared" si="2"/>
        <v>2038</v>
      </c>
    </row>
    <row r="174" spans="1:7" x14ac:dyDescent="0.2">
      <c r="A174" s="2">
        <v>2020</v>
      </c>
      <c r="B174" s="2" t="s">
        <v>174</v>
      </c>
      <c r="C174" s="2" t="s">
        <v>232</v>
      </c>
      <c r="D174" s="2" t="s">
        <v>234</v>
      </c>
      <c r="E174" s="3">
        <v>33676</v>
      </c>
      <c r="F174" s="3">
        <v>1188</v>
      </c>
      <c r="G174" s="3">
        <f t="shared" si="2"/>
        <v>34864</v>
      </c>
    </row>
    <row r="175" spans="1:7" x14ac:dyDescent="0.2">
      <c r="A175" s="2">
        <v>2020</v>
      </c>
      <c r="B175" s="2" t="s">
        <v>175</v>
      </c>
      <c r="C175" s="2" t="s">
        <v>232</v>
      </c>
      <c r="D175" s="2" t="s">
        <v>234</v>
      </c>
      <c r="E175" s="3">
        <v>8242</v>
      </c>
      <c r="F175" s="2">
        <v>291</v>
      </c>
      <c r="G175" s="3">
        <f t="shared" si="2"/>
        <v>8533</v>
      </c>
    </row>
    <row r="176" spans="1:7" x14ac:dyDescent="0.2">
      <c r="A176" s="2">
        <v>2020</v>
      </c>
      <c r="B176" s="2" t="s">
        <v>177</v>
      </c>
      <c r="C176" s="2" t="s">
        <v>232</v>
      </c>
      <c r="D176" s="2" t="s">
        <v>234</v>
      </c>
      <c r="E176" s="3">
        <v>207658</v>
      </c>
      <c r="F176" s="3">
        <v>7328</v>
      </c>
      <c r="G176" s="3">
        <f t="shared" si="2"/>
        <v>214986</v>
      </c>
    </row>
    <row r="177" spans="1:7" x14ac:dyDescent="0.2">
      <c r="A177" s="2">
        <v>2020</v>
      </c>
      <c r="B177" s="2" t="s">
        <v>179</v>
      </c>
      <c r="C177" s="2" t="s">
        <v>232</v>
      </c>
      <c r="D177" s="2" t="s">
        <v>234</v>
      </c>
      <c r="E177" s="3">
        <v>54427</v>
      </c>
      <c r="F177" s="3">
        <v>1921</v>
      </c>
      <c r="G177" s="3">
        <f t="shared" si="2"/>
        <v>56348</v>
      </c>
    </row>
    <row r="178" spans="1:7" x14ac:dyDescent="0.2">
      <c r="A178" s="2">
        <v>2020</v>
      </c>
      <c r="B178" s="2" t="s">
        <v>181</v>
      </c>
      <c r="C178" s="2" t="s">
        <v>232</v>
      </c>
      <c r="D178" s="2" t="s">
        <v>234</v>
      </c>
      <c r="E178" s="3">
        <v>106372</v>
      </c>
      <c r="F178" s="3">
        <v>3754</v>
      </c>
      <c r="G178" s="3">
        <f t="shared" si="2"/>
        <v>110126</v>
      </c>
    </row>
    <row r="179" spans="1:7" x14ac:dyDescent="0.2">
      <c r="A179" s="2">
        <v>2020</v>
      </c>
      <c r="B179" s="2" t="s">
        <v>182</v>
      </c>
      <c r="C179" s="2" t="s">
        <v>232</v>
      </c>
      <c r="D179" s="2" t="s">
        <v>234</v>
      </c>
      <c r="E179" s="3">
        <v>214530</v>
      </c>
      <c r="F179" s="3">
        <v>7570</v>
      </c>
      <c r="G179" s="3">
        <f t="shared" si="2"/>
        <v>222100</v>
      </c>
    </row>
    <row r="180" spans="1:7" x14ac:dyDescent="0.2">
      <c r="A180" s="2">
        <v>2020</v>
      </c>
      <c r="B180" s="2" t="s">
        <v>183</v>
      </c>
      <c r="C180" s="2" t="s">
        <v>232</v>
      </c>
      <c r="D180" s="2" t="s">
        <v>234</v>
      </c>
      <c r="E180" s="3">
        <v>78896</v>
      </c>
      <c r="F180" s="3">
        <v>2784</v>
      </c>
      <c r="G180" s="3">
        <f t="shared" si="2"/>
        <v>81680</v>
      </c>
    </row>
    <row r="181" spans="1:7" x14ac:dyDescent="0.2">
      <c r="A181" s="2">
        <v>2020</v>
      </c>
      <c r="B181" s="2" t="s">
        <v>184</v>
      </c>
      <c r="C181" s="2" t="s">
        <v>232</v>
      </c>
      <c r="D181" s="2" t="s">
        <v>234</v>
      </c>
      <c r="E181" s="3">
        <v>45953</v>
      </c>
      <c r="F181" s="3">
        <v>1622</v>
      </c>
      <c r="G181" s="3">
        <f t="shared" si="2"/>
        <v>47575</v>
      </c>
    </row>
    <row r="182" spans="1:7" x14ac:dyDescent="0.2">
      <c r="A182" s="2">
        <v>2020</v>
      </c>
      <c r="B182" s="2" t="s">
        <v>185</v>
      </c>
      <c r="C182" s="2" t="s">
        <v>232</v>
      </c>
      <c r="D182" s="2" t="s">
        <v>234</v>
      </c>
      <c r="E182" s="3">
        <v>27110</v>
      </c>
      <c r="F182" s="2">
        <v>957</v>
      </c>
      <c r="G182" s="3">
        <f t="shared" si="2"/>
        <v>28067</v>
      </c>
    </row>
    <row r="183" spans="1:7" x14ac:dyDescent="0.2">
      <c r="A183" s="2">
        <v>2020</v>
      </c>
      <c r="B183" s="2" t="s">
        <v>269</v>
      </c>
      <c r="C183" s="2" t="s">
        <v>232</v>
      </c>
      <c r="D183" s="2" t="s">
        <v>234</v>
      </c>
      <c r="E183" s="3">
        <v>5613</v>
      </c>
      <c r="F183" s="2">
        <v>198</v>
      </c>
      <c r="G183" s="3">
        <f t="shared" si="2"/>
        <v>5811</v>
      </c>
    </row>
    <row r="184" spans="1:7" x14ac:dyDescent="0.2">
      <c r="A184" s="2">
        <v>2020</v>
      </c>
      <c r="B184" s="2" t="s">
        <v>186</v>
      </c>
      <c r="C184" s="2" t="s">
        <v>232</v>
      </c>
      <c r="D184" s="2" t="s">
        <v>234</v>
      </c>
      <c r="E184" s="3">
        <v>352291</v>
      </c>
      <c r="F184" s="3">
        <v>12432</v>
      </c>
      <c r="G184" s="3">
        <f t="shared" si="2"/>
        <v>364723</v>
      </c>
    </row>
    <row r="185" spans="1:7" x14ac:dyDescent="0.2">
      <c r="A185" s="2">
        <v>2020</v>
      </c>
      <c r="B185" s="2" t="s">
        <v>187</v>
      </c>
      <c r="C185" s="2" t="s">
        <v>232</v>
      </c>
      <c r="D185" s="2" t="s">
        <v>234</v>
      </c>
      <c r="E185" s="3">
        <v>362159</v>
      </c>
      <c r="F185" s="3">
        <v>12780</v>
      </c>
      <c r="G185" s="3">
        <f t="shared" si="2"/>
        <v>374939</v>
      </c>
    </row>
    <row r="186" spans="1:7" x14ac:dyDescent="0.2">
      <c r="A186" s="2">
        <v>2020</v>
      </c>
      <c r="B186" s="2" t="s">
        <v>188</v>
      </c>
      <c r="C186" s="2" t="s">
        <v>232</v>
      </c>
      <c r="D186" s="2" t="s">
        <v>234</v>
      </c>
      <c r="E186" s="3">
        <v>265374</v>
      </c>
      <c r="F186" s="3">
        <v>9365</v>
      </c>
      <c r="G186" s="3">
        <f t="shared" si="2"/>
        <v>274739</v>
      </c>
    </row>
    <row r="187" spans="1:7" x14ac:dyDescent="0.2">
      <c r="A187" s="2">
        <v>2020</v>
      </c>
      <c r="B187" s="2" t="s">
        <v>189</v>
      </c>
      <c r="C187" s="2" t="s">
        <v>232</v>
      </c>
      <c r="D187" s="2" t="s">
        <v>234</v>
      </c>
      <c r="E187" s="3">
        <v>95110</v>
      </c>
      <c r="F187" s="3">
        <v>3356</v>
      </c>
      <c r="G187" s="3">
        <f t="shared" si="2"/>
        <v>98466</v>
      </c>
    </row>
    <row r="188" spans="1:7" x14ac:dyDescent="0.2">
      <c r="A188" s="2">
        <v>2020</v>
      </c>
      <c r="B188" s="2" t="s">
        <v>249</v>
      </c>
      <c r="C188" s="2" t="s">
        <v>232</v>
      </c>
      <c r="D188" s="2" t="s">
        <v>234</v>
      </c>
      <c r="E188" s="3">
        <v>21460</v>
      </c>
      <c r="F188" s="2">
        <v>757</v>
      </c>
      <c r="G188" s="3">
        <f t="shared" si="2"/>
        <v>22217</v>
      </c>
    </row>
    <row r="189" spans="1:7" x14ac:dyDescent="0.2">
      <c r="A189" s="2">
        <v>2020</v>
      </c>
      <c r="B189" s="2" t="s">
        <v>190</v>
      </c>
      <c r="C189" s="2" t="s">
        <v>232</v>
      </c>
      <c r="D189" s="2" t="s">
        <v>234</v>
      </c>
      <c r="E189" s="3">
        <v>115225</v>
      </c>
      <c r="F189" s="3">
        <v>4066</v>
      </c>
      <c r="G189" s="3">
        <f t="shared" si="2"/>
        <v>119291</v>
      </c>
    </row>
    <row r="190" spans="1:7" x14ac:dyDescent="0.2">
      <c r="A190" s="2">
        <v>2020</v>
      </c>
      <c r="B190" s="2" t="s">
        <v>191</v>
      </c>
      <c r="C190" s="2" t="s">
        <v>232</v>
      </c>
      <c r="D190" s="2" t="s">
        <v>234</v>
      </c>
      <c r="E190" s="3">
        <v>130462</v>
      </c>
      <c r="F190" s="3">
        <v>4604</v>
      </c>
      <c r="G190" s="3">
        <f t="shared" si="2"/>
        <v>135066</v>
      </c>
    </row>
    <row r="191" spans="1:7" x14ac:dyDescent="0.2">
      <c r="A191" s="2">
        <v>2020</v>
      </c>
      <c r="B191" s="2" t="s">
        <v>192</v>
      </c>
      <c r="C191" s="2" t="s">
        <v>232</v>
      </c>
      <c r="D191" s="2" t="s">
        <v>234</v>
      </c>
      <c r="E191" s="3">
        <v>971791</v>
      </c>
      <c r="F191" s="3">
        <v>34293</v>
      </c>
      <c r="G191" s="3">
        <f t="shared" si="2"/>
        <v>1006084</v>
      </c>
    </row>
    <row r="192" spans="1:7" x14ac:dyDescent="0.2">
      <c r="A192" s="2">
        <v>2020</v>
      </c>
      <c r="B192" s="2" t="s">
        <v>193</v>
      </c>
      <c r="C192" s="2" t="s">
        <v>232</v>
      </c>
      <c r="D192" s="2" t="s">
        <v>234</v>
      </c>
      <c r="E192" s="3">
        <v>70385</v>
      </c>
      <c r="F192" s="3">
        <v>2484</v>
      </c>
      <c r="G192" s="3">
        <f t="shared" si="2"/>
        <v>72869</v>
      </c>
    </row>
    <row r="193" spans="1:7" x14ac:dyDescent="0.2">
      <c r="A193" s="2">
        <v>2020</v>
      </c>
      <c r="B193" s="2" t="s">
        <v>194</v>
      </c>
      <c r="C193" s="2" t="s">
        <v>232</v>
      </c>
      <c r="D193" s="2" t="s">
        <v>234</v>
      </c>
      <c r="E193" s="3">
        <v>83090</v>
      </c>
      <c r="F193" s="3">
        <v>2932</v>
      </c>
      <c r="G193" s="3">
        <f t="shared" si="2"/>
        <v>86022</v>
      </c>
    </row>
    <row r="194" spans="1:7" x14ac:dyDescent="0.2">
      <c r="A194" s="2">
        <v>2020</v>
      </c>
      <c r="B194" s="2" t="s">
        <v>196</v>
      </c>
      <c r="C194" s="2" t="s">
        <v>232</v>
      </c>
      <c r="D194" s="2" t="s">
        <v>234</v>
      </c>
      <c r="E194" s="3">
        <v>109833</v>
      </c>
      <c r="F194" s="3">
        <v>3876</v>
      </c>
      <c r="G194" s="3">
        <f t="shared" si="2"/>
        <v>113709</v>
      </c>
    </row>
    <row r="195" spans="1:7" x14ac:dyDescent="0.2">
      <c r="A195" s="2">
        <v>2020</v>
      </c>
      <c r="B195" s="2" t="s">
        <v>197</v>
      </c>
      <c r="C195" s="2" t="s">
        <v>232</v>
      </c>
      <c r="D195" s="2" t="s">
        <v>234</v>
      </c>
      <c r="E195" s="3">
        <v>71632</v>
      </c>
      <c r="F195" s="3">
        <v>2528</v>
      </c>
      <c r="G195" s="3">
        <f t="shared" ref="G195:G226" si="3">SUM(E195:F195)</f>
        <v>74160</v>
      </c>
    </row>
    <row r="196" spans="1:7" x14ac:dyDescent="0.2">
      <c r="A196" s="2">
        <v>2020</v>
      </c>
      <c r="B196" s="2" t="s">
        <v>198</v>
      </c>
      <c r="C196" s="2" t="s">
        <v>232</v>
      </c>
      <c r="D196" s="2" t="s">
        <v>234</v>
      </c>
      <c r="E196" s="3">
        <v>86318</v>
      </c>
      <c r="F196" s="3">
        <v>3046</v>
      </c>
      <c r="G196" s="3">
        <f t="shared" si="3"/>
        <v>89364</v>
      </c>
    </row>
    <row r="197" spans="1:7" x14ac:dyDescent="0.2">
      <c r="A197" s="2">
        <v>2020</v>
      </c>
      <c r="B197" s="2" t="s">
        <v>251</v>
      </c>
      <c r="C197" s="2" t="s">
        <v>232</v>
      </c>
      <c r="D197" s="2" t="s">
        <v>234</v>
      </c>
      <c r="E197" s="3">
        <v>19565</v>
      </c>
      <c r="F197" s="2">
        <v>690</v>
      </c>
      <c r="G197" s="3">
        <f t="shared" si="3"/>
        <v>20255</v>
      </c>
    </row>
    <row r="198" spans="1:7" x14ac:dyDescent="0.2">
      <c r="A198" s="2">
        <v>2020</v>
      </c>
      <c r="B198" s="2" t="s">
        <v>200</v>
      </c>
      <c r="C198" s="2" t="s">
        <v>232</v>
      </c>
      <c r="D198" s="2" t="s">
        <v>234</v>
      </c>
      <c r="E198" s="3">
        <v>62926</v>
      </c>
      <c r="F198" s="3">
        <v>2221</v>
      </c>
      <c r="G198" s="3">
        <f t="shared" si="3"/>
        <v>65147</v>
      </c>
    </row>
    <row r="199" spans="1:7" x14ac:dyDescent="0.2">
      <c r="A199" s="2">
        <v>2020</v>
      </c>
      <c r="B199" s="2" t="s">
        <v>201</v>
      </c>
      <c r="C199" s="2" t="s">
        <v>232</v>
      </c>
      <c r="D199" s="2" t="s">
        <v>234</v>
      </c>
      <c r="E199" s="3">
        <v>16288</v>
      </c>
      <c r="F199" s="2">
        <v>575</v>
      </c>
      <c r="G199" s="3">
        <f t="shared" si="3"/>
        <v>16863</v>
      </c>
    </row>
    <row r="200" spans="1:7" x14ac:dyDescent="0.2">
      <c r="A200" s="2">
        <v>2020</v>
      </c>
      <c r="B200" s="2" t="s">
        <v>202</v>
      </c>
      <c r="C200" s="2" t="s">
        <v>232</v>
      </c>
      <c r="D200" s="2" t="s">
        <v>234</v>
      </c>
      <c r="E200" s="3">
        <v>18709</v>
      </c>
      <c r="F200" s="2">
        <v>660</v>
      </c>
      <c r="G200" s="3">
        <f t="shared" si="3"/>
        <v>19369</v>
      </c>
    </row>
    <row r="201" spans="1:7" x14ac:dyDescent="0.2">
      <c r="A201" s="2">
        <v>2020</v>
      </c>
      <c r="B201" s="2" t="s">
        <v>203</v>
      </c>
      <c r="C201" s="2" t="s">
        <v>232</v>
      </c>
      <c r="D201" s="2" t="s">
        <v>234</v>
      </c>
      <c r="E201" s="3">
        <v>38812</v>
      </c>
      <c r="F201" s="3">
        <v>1370</v>
      </c>
      <c r="G201" s="3">
        <f t="shared" si="3"/>
        <v>40182</v>
      </c>
    </row>
    <row r="202" spans="1:7" x14ac:dyDescent="0.2">
      <c r="A202" s="2">
        <v>2020</v>
      </c>
      <c r="B202" s="2" t="s">
        <v>206</v>
      </c>
      <c r="C202" s="2" t="s">
        <v>232</v>
      </c>
      <c r="D202" s="2" t="s">
        <v>234</v>
      </c>
      <c r="E202" s="3">
        <v>32038</v>
      </c>
      <c r="F202" s="3">
        <v>1131</v>
      </c>
      <c r="G202" s="3">
        <f t="shared" si="3"/>
        <v>33169</v>
      </c>
    </row>
    <row r="203" spans="1:7" x14ac:dyDescent="0.2">
      <c r="A203" s="2">
        <v>2020</v>
      </c>
      <c r="B203" s="2" t="s">
        <v>207</v>
      </c>
      <c r="C203" s="2" t="s">
        <v>232</v>
      </c>
      <c r="D203" s="2" t="s">
        <v>234</v>
      </c>
      <c r="E203" s="3">
        <v>20592</v>
      </c>
      <c r="F203" s="2">
        <v>727</v>
      </c>
      <c r="G203" s="3">
        <f t="shared" si="3"/>
        <v>21319</v>
      </c>
    </row>
    <row r="204" spans="1:7" x14ac:dyDescent="0.2">
      <c r="A204" s="2">
        <v>2020</v>
      </c>
      <c r="B204" s="2" t="s">
        <v>208</v>
      </c>
      <c r="C204" s="2" t="s">
        <v>232</v>
      </c>
      <c r="D204" s="2" t="s">
        <v>234</v>
      </c>
      <c r="E204" s="3">
        <v>11678</v>
      </c>
      <c r="F204" s="2">
        <v>412</v>
      </c>
      <c r="G204" s="3">
        <f t="shared" si="3"/>
        <v>12090</v>
      </c>
    </row>
    <row r="205" spans="1:7" x14ac:dyDescent="0.2">
      <c r="A205" s="2">
        <v>2020</v>
      </c>
      <c r="B205" s="2" t="s">
        <v>209</v>
      </c>
      <c r="C205" s="2" t="s">
        <v>232</v>
      </c>
      <c r="D205" s="2" t="s">
        <v>234</v>
      </c>
      <c r="E205" s="3">
        <v>113562</v>
      </c>
      <c r="F205" s="3">
        <v>4007</v>
      </c>
      <c r="G205" s="3">
        <f t="shared" si="3"/>
        <v>117569</v>
      </c>
    </row>
    <row r="206" spans="1:7" x14ac:dyDescent="0.2">
      <c r="A206" s="2">
        <v>2020</v>
      </c>
      <c r="B206" s="2" t="s">
        <v>270</v>
      </c>
      <c r="C206" s="2" t="s">
        <v>232</v>
      </c>
      <c r="D206" s="2" t="s">
        <v>234</v>
      </c>
      <c r="E206" s="3">
        <v>28675</v>
      </c>
      <c r="F206" s="3">
        <v>1012</v>
      </c>
      <c r="G206" s="3">
        <f t="shared" si="3"/>
        <v>29687</v>
      </c>
    </row>
    <row r="207" spans="1:7" x14ac:dyDescent="0.2">
      <c r="A207" s="2">
        <v>2020</v>
      </c>
      <c r="B207" s="2" t="s">
        <v>254</v>
      </c>
      <c r="C207" s="2" t="s">
        <v>232</v>
      </c>
      <c r="D207" s="2" t="s">
        <v>234</v>
      </c>
      <c r="E207" s="3">
        <v>32441</v>
      </c>
      <c r="F207" s="3">
        <v>1145</v>
      </c>
      <c r="G207" s="3">
        <f t="shared" si="3"/>
        <v>33586</v>
      </c>
    </row>
    <row r="208" spans="1:7" x14ac:dyDescent="0.2">
      <c r="A208" s="2">
        <v>2020</v>
      </c>
      <c r="B208" s="2" t="s">
        <v>212</v>
      </c>
      <c r="C208" s="2" t="s">
        <v>232</v>
      </c>
      <c r="D208" s="2" t="s">
        <v>234</v>
      </c>
      <c r="E208" s="3">
        <v>36244</v>
      </c>
      <c r="F208" s="3">
        <v>1279</v>
      </c>
      <c r="G208" s="3">
        <f t="shared" si="3"/>
        <v>37523</v>
      </c>
    </row>
    <row r="209" spans="1:7" x14ac:dyDescent="0.2">
      <c r="A209" s="2">
        <v>2020</v>
      </c>
      <c r="B209" s="2" t="s">
        <v>255</v>
      </c>
      <c r="C209" s="2" t="s">
        <v>232</v>
      </c>
      <c r="D209" s="2" t="s">
        <v>234</v>
      </c>
      <c r="E209" s="3">
        <v>386004</v>
      </c>
      <c r="F209" s="3">
        <v>13621</v>
      </c>
      <c r="G209" s="3">
        <f t="shared" si="3"/>
        <v>399625</v>
      </c>
    </row>
    <row r="210" spans="1:7" x14ac:dyDescent="0.2">
      <c r="A210" s="2">
        <v>2020</v>
      </c>
      <c r="B210" s="2" t="s">
        <v>271</v>
      </c>
      <c r="C210" s="2" t="s">
        <v>232</v>
      </c>
      <c r="D210" s="2" t="s">
        <v>234</v>
      </c>
      <c r="E210" s="3">
        <v>1774040</v>
      </c>
      <c r="F210" s="3">
        <v>62603</v>
      </c>
      <c r="G210" s="3">
        <f t="shared" si="3"/>
        <v>1836643</v>
      </c>
    </row>
    <row r="211" spans="1:7" x14ac:dyDescent="0.2">
      <c r="A211" s="2">
        <v>2020</v>
      </c>
      <c r="B211" s="2" t="s">
        <v>215</v>
      </c>
      <c r="C211" s="2" t="s">
        <v>232</v>
      </c>
      <c r="D211" s="2" t="s">
        <v>234</v>
      </c>
      <c r="E211" s="3">
        <v>1085953</v>
      </c>
      <c r="F211" s="3">
        <v>38322</v>
      </c>
      <c r="G211" s="3">
        <f t="shared" si="3"/>
        <v>1124275</v>
      </c>
    </row>
    <row r="212" spans="1:7" x14ac:dyDescent="0.2">
      <c r="A212" s="2">
        <v>2020</v>
      </c>
      <c r="B212" s="2" t="s">
        <v>216</v>
      </c>
      <c r="C212" s="2" t="s">
        <v>232</v>
      </c>
      <c r="D212" s="2" t="s">
        <v>234</v>
      </c>
      <c r="E212" s="3">
        <v>401228</v>
      </c>
      <c r="F212" s="3">
        <v>14159</v>
      </c>
      <c r="G212" s="3">
        <f t="shared" si="3"/>
        <v>415387</v>
      </c>
    </row>
    <row r="213" spans="1:7" x14ac:dyDescent="0.2">
      <c r="A213" s="2">
        <v>2020</v>
      </c>
      <c r="B213" s="2" t="s">
        <v>217</v>
      </c>
      <c r="C213" s="2" t="s">
        <v>232</v>
      </c>
      <c r="D213" s="2" t="s">
        <v>234</v>
      </c>
      <c r="E213" s="3">
        <v>14258</v>
      </c>
      <c r="F213" s="2">
        <v>503</v>
      </c>
      <c r="G213" s="3">
        <f t="shared" si="3"/>
        <v>14761</v>
      </c>
    </row>
    <row r="214" spans="1:7" x14ac:dyDescent="0.2">
      <c r="A214" s="2">
        <v>2020</v>
      </c>
      <c r="B214" s="2" t="s">
        <v>218</v>
      </c>
      <c r="C214" s="2" t="s">
        <v>232</v>
      </c>
      <c r="D214" s="2" t="s">
        <v>234</v>
      </c>
      <c r="E214" s="3">
        <v>172355</v>
      </c>
      <c r="F214" s="3">
        <v>6082</v>
      </c>
      <c r="G214" s="3">
        <f t="shared" si="3"/>
        <v>178437</v>
      </c>
    </row>
    <row r="215" spans="1:7" x14ac:dyDescent="0.2">
      <c r="A215" s="2">
        <v>2020</v>
      </c>
      <c r="B215" s="2" t="s">
        <v>219</v>
      </c>
      <c r="C215" s="2" t="s">
        <v>232</v>
      </c>
      <c r="D215" s="2" t="s">
        <v>234</v>
      </c>
      <c r="E215" s="3">
        <v>2265352</v>
      </c>
      <c r="F215" s="3">
        <v>79941</v>
      </c>
      <c r="G215" s="3">
        <f t="shared" si="3"/>
        <v>2345293</v>
      </c>
    </row>
    <row r="216" spans="1:7" x14ac:dyDescent="0.2">
      <c r="A216" s="2">
        <v>2020</v>
      </c>
      <c r="B216" s="2" t="s">
        <v>220</v>
      </c>
      <c r="C216" s="2" t="s">
        <v>232</v>
      </c>
      <c r="D216" s="2" t="s">
        <v>234</v>
      </c>
      <c r="E216" s="3">
        <v>975411</v>
      </c>
      <c r="F216" s="3">
        <v>34421</v>
      </c>
      <c r="G216" s="3">
        <f t="shared" si="3"/>
        <v>1009832</v>
      </c>
    </row>
    <row r="217" spans="1:7" x14ac:dyDescent="0.2">
      <c r="A217" s="2">
        <v>2020</v>
      </c>
      <c r="B217" s="2" t="s">
        <v>221</v>
      </c>
      <c r="C217" s="2" t="s">
        <v>232</v>
      </c>
      <c r="D217" s="2" t="s">
        <v>234</v>
      </c>
      <c r="E217" s="3">
        <v>2218824</v>
      </c>
      <c r="F217" s="3">
        <v>78299</v>
      </c>
      <c r="G217" s="3">
        <f t="shared" si="3"/>
        <v>2297123</v>
      </c>
    </row>
    <row r="218" spans="1:7" x14ac:dyDescent="0.2">
      <c r="A218" s="2">
        <v>2020</v>
      </c>
      <c r="B218" s="2" t="s">
        <v>222</v>
      </c>
      <c r="C218" s="2" t="s">
        <v>232</v>
      </c>
      <c r="D218" s="2" t="s">
        <v>234</v>
      </c>
      <c r="E218" s="3">
        <v>35877</v>
      </c>
      <c r="F218" s="3">
        <v>1266</v>
      </c>
      <c r="G218" s="3">
        <f t="shared" si="3"/>
        <v>37143</v>
      </c>
    </row>
    <row r="219" spans="1:7" x14ac:dyDescent="0.2">
      <c r="A219" s="2">
        <v>2020</v>
      </c>
      <c r="B219" s="2" t="s">
        <v>272</v>
      </c>
      <c r="C219" s="2" t="s">
        <v>232</v>
      </c>
      <c r="D219" s="2" t="s">
        <v>234</v>
      </c>
      <c r="E219" s="3">
        <v>1080328</v>
      </c>
      <c r="F219" s="3">
        <v>38123</v>
      </c>
      <c r="G219" s="3">
        <f t="shared" si="3"/>
        <v>1118451</v>
      </c>
    </row>
    <row r="220" spans="1:7" x14ac:dyDescent="0.2">
      <c r="A220" s="2">
        <v>2020</v>
      </c>
      <c r="B220" s="2" t="s">
        <v>257</v>
      </c>
      <c r="C220" s="2" t="s">
        <v>232</v>
      </c>
      <c r="D220" s="2" t="s">
        <v>234</v>
      </c>
      <c r="E220" s="3">
        <v>29409</v>
      </c>
      <c r="F220" s="3">
        <v>1038</v>
      </c>
      <c r="G220" s="3">
        <f t="shared" si="3"/>
        <v>30447</v>
      </c>
    </row>
    <row r="221" spans="1:7" x14ac:dyDescent="0.2">
      <c r="A221" s="2">
        <v>2020</v>
      </c>
      <c r="B221" s="2" t="s">
        <v>258</v>
      </c>
      <c r="C221" s="2" t="s">
        <v>232</v>
      </c>
      <c r="D221" s="2" t="s">
        <v>234</v>
      </c>
      <c r="E221" s="3">
        <v>7508</v>
      </c>
      <c r="F221" s="2">
        <v>265</v>
      </c>
      <c r="G221" s="3">
        <f t="shared" si="3"/>
        <v>7773</v>
      </c>
    </row>
    <row r="222" spans="1:7" x14ac:dyDescent="0.2">
      <c r="A222" s="2">
        <v>2020</v>
      </c>
      <c r="B222" s="2" t="s">
        <v>226</v>
      </c>
      <c r="C222" s="2" t="s">
        <v>232</v>
      </c>
      <c r="D222" s="2" t="s">
        <v>234</v>
      </c>
      <c r="E222" s="3">
        <v>35547</v>
      </c>
      <c r="F222" s="3">
        <v>1254</v>
      </c>
      <c r="G222" s="3">
        <f t="shared" si="3"/>
        <v>36801</v>
      </c>
    </row>
    <row r="223" spans="1:7" x14ac:dyDescent="0.2">
      <c r="A223" s="2">
        <v>2020</v>
      </c>
      <c r="B223" s="2" t="s">
        <v>259</v>
      </c>
      <c r="C223" s="2" t="s">
        <v>232</v>
      </c>
      <c r="D223" s="2" t="s">
        <v>234</v>
      </c>
      <c r="E223" s="3">
        <v>283386</v>
      </c>
      <c r="F223" s="3">
        <v>10000</v>
      </c>
      <c r="G223" s="3">
        <f t="shared" si="3"/>
        <v>293386</v>
      </c>
    </row>
    <row r="224" spans="1:7" x14ac:dyDescent="0.2">
      <c r="A224" s="2">
        <v>2020</v>
      </c>
      <c r="B224" s="2" t="s">
        <v>260</v>
      </c>
      <c r="C224" s="2" t="s">
        <v>232</v>
      </c>
      <c r="D224" s="2" t="s">
        <v>234</v>
      </c>
      <c r="E224" s="3">
        <v>21191</v>
      </c>
      <c r="F224" s="2">
        <v>748</v>
      </c>
      <c r="G224" s="3">
        <f t="shared" si="3"/>
        <v>21939</v>
      </c>
    </row>
    <row r="225" spans="1:7" x14ac:dyDescent="0.2">
      <c r="A225" s="2">
        <v>2020</v>
      </c>
      <c r="B225" s="2" t="s">
        <v>228</v>
      </c>
      <c r="C225" s="2" t="s">
        <v>232</v>
      </c>
      <c r="D225" s="2" t="s">
        <v>234</v>
      </c>
      <c r="E225" s="3">
        <v>20250</v>
      </c>
      <c r="F225" s="2">
        <v>715</v>
      </c>
      <c r="G225" s="3">
        <f t="shared" si="3"/>
        <v>20965</v>
      </c>
    </row>
    <row r="226" spans="1:7" x14ac:dyDescent="0.2">
      <c r="A226" s="2">
        <v>2020</v>
      </c>
      <c r="B226" s="2" t="s">
        <v>229</v>
      </c>
      <c r="C226" s="2" t="s">
        <v>232</v>
      </c>
      <c r="D226" s="2" t="s">
        <v>234</v>
      </c>
      <c r="E226" s="3">
        <v>43520</v>
      </c>
      <c r="F226" s="3">
        <v>1536</v>
      </c>
      <c r="G226" s="3">
        <f t="shared" si="3"/>
        <v>45056</v>
      </c>
    </row>
    <row r="228" spans="1:7" x14ac:dyDescent="0.2">
      <c r="D228" s="2" t="s">
        <v>274</v>
      </c>
      <c r="E228" s="3">
        <f>SUM(E2:E226)</f>
        <v>1222809471</v>
      </c>
      <c r="F228" s="3">
        <f>SUM(F2:F226)</f>
        <v>43151075</v>
      </c>
    </row>
    <row r="230" spans="1:7" x14ac:dyDescent="0.2">
      <c r="D230" s="8" t="s">
        <v>275</v>
      </c>
      <c r="E230" s="6">
        <v>1222809468</v>
      </c>
      <c r="F230" s="6">
        <v>43151074</v>
      </c>
    </row>
    <row r="231" spans="1:7" x14ac:dyDescent="0.2">
      <c r="E231" s="8"/>
      <c r="F231" s="8"/>
    </row>
    <row r="232" spans="1:7" x14ac:dyDescent="0.2">
      <c r="D232" s="8" t="s">
        <v>276</v>
      </c>
      <c r="E232" s="6">
        <f>E228-E230</f>
        <v>3</v>
      </c>
      <c r="F232" s="6">
        <f>F228-F230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0057-E80F-9747-BAB5-FDA7D6E5D2FF}">
  <sheetPr>
    <tabColor rgb="FFFFFF00"/>
  </sheetPr>
  <dimension ref="A1:H233"/>
  <sheetViews>
    <sheetView workbookViewId="0">
      <selection activeCell="A2" sqref="A2:G226"/>
    </sheetView>
  </sheetViews>
  <sheetFormatPr baseColWidth="10" defaultRowHeight="16" x14ac:dyDescent="0.2"/>
  <cols>
    <col min="1" max="1" width="10.83203125" style="2"/>
    <col min="2" max="2" width="52.6640625" style="2" bestFit="1" customWidth="1"/>
    <col min="3" max="4" width="16.33203125" style="2" customWidth="1"/>
    <col min="5" max="5" width="18.83203125" style="2" bestFit="1" customWidth="1"/>
    <col min="6" max="6" width="17.1640625" style="2" bestFit="1" customWidth="1"/>
    <col min="7" max="7" width="16.83203125" style="2" bestFit="1" customWidth="1"/>
    <col min="8" max="8" width="10.83203125" style="2"/>
  </cols>
  <sheetData>
    <row r="1" spans="1:7" x14ac:dyDescent="0.2">
      <c r="A1" s="2" t="s">
        <v>235</v>
      </c>
      <c r="B1" s="2" t="s">
        <v>230</v>
      </c>
      <c r="C1" s="2" t="s">
        <v>231</v>
      </c>
      <c r="D1" s="2" t="s">
        <v>233</v>
      </c>
      <c r="E1" s="2" t="s">
        <v>280</v>
      </c>
      <c r="F1" s="2" t="s">
        <v>281</v>
      </c>
      <c r="G1" s="2" t="s">
        <v>304</v>
      </c>
    </row>
    <row r="2" spans="1:7" x14ac:dyDescent="0.2">
      <c r="A2" s="2">
        <v>2019</v>
      </c>
      <c r="B2" s="4" t="s">
        <v>0</v>
      </c>
      <c r="C2" s="4" t="s">
        <v>232</v>
      </c>
      <c r="D2" s="4" t="s">
        <v>234</v>
      </c>
      <c r="E2" s="5">
        <v>10518018</v>
      </c>
      <c r="F2" s="5">
        <v>353001</v>
      </c>
      <c r="G2" s="3">
        <f>SUM(E2:F2)</f>
        <v>10871019</v>
      </c>
    </row>
    <row r="3" spans="1:7" x14ac:dyDescent="0.2">
      <c r="A3" s="2">
        <v>2019</v>
      </c>
      <c r="B3" s="4" t="s">
        <v>1</v>
      </c>
      <c r="C3" s="4" t="s">
        <v>232</v>
      </c>
      <c r="D3" s="4" t="s">
        <v>234</v>
      </c>
      <c r="E3" s="5">
        <v>5789396</v>
      </c>
      <c r="F3" s="5">
        <v>194301</v>
      </c>
      <c r="G3" s="3">
        <f t="shared" ref="G3:G66" si="0">SUM(E3:F3)</f>
        <v>5983697</v>
      </c>
    </row>
    <row r="4" spans="1:7" x14ac:dyDescent="0.2">
      <c r="A4" s="2">
        <v>2019</v>
      </c>
      <c r="B4" s="4" t="s">
        <v>2</v>
      </c>
      <c r="C4" s="4" t="s">
        <v>232</v>
      </c>
      <c r="D4" s="4" t="s">
        <v>234</v>
      </c>
      <c r="E4" s="5">
        <v>28236274</v>
      </c>
      <c r="F4" s="5">
        <v>947654</v>
      </c>
      <c r="G4" s="3">
        <f t="shared" si="0"/>
        <v>29183928</v>
      </c>
    </row>
    <row r="5" spans="1:7" x14ac:dyDescent="0.2">
      <c r="A5" s="2">
        <v>2019</v>
      </c>
      <c r="B5" s="4" t="s">
        <v>3</v>
      </c>
      <c r="C5" s="4" t="s">
        <v>232</v>
      </c>
      <c r="D5" s="4" t="s">
        <v>234</v>
      </c>
      <c r="E5" s="5">
        <v>4115279</v>
      </c>
      <c r="F5" s="5">
        <v>138115</v>
      </c>
      <c r="G5" s="3">
        <f t="shared" si="0"/>
        <v>4253394</v>
      </c>
    </row>
    <row r="6" spans="1:7" x14ac:dyDescent="0.2">
      <c r="A6" s="2">
        <v>2019</v>
      </c>
      <c r="B6" s="4" t="s">
        <v>4</v>
      </c>
      <c r="C6" s="4" t="s">
        <v>232</v>
      </c>
      <c r="D6" s="4" t="s">
        <v>234</v>
      </c>
      <c r="E6" s="5">
        <v>4727405</v>
      </c>
      <c r="F6" s="5">
        <v>158659</v>
      </c>
      <c r="G6" s="3">
        <f t="shared" si="0"/>
        <v>4886064</v>
      </c>
    </row>
    <row r="7" spans="1:7" x14ac:dyDescent="0.2">
      <c r="A7" s="2">
        <v>2019</v>
      </c>
      <c r="B7" s="4" t="s">
        <v>5</v>
      </c>
      <c r="C7" s="4" t="s">
        <v>232</v>
      </c>
      <c r="D7" s="4" t="s">
        <v>234</v>
      </c>
      <c r="E7" s="5">
        <v>7191378</v>
      </c>
      <c r="F7" s="5">
        <v>241354</v>
      </c>
      <c r="G7" s="3">
        <f t="shared" si="0"/>
        <v>7432732</v>
      </c>
    </row>
    <row r="8" spans="1:7" x14ac:dyDescent="0.2">
      <c r="A8" s="2">
        <v>2019</v>
      </c>
      <c r="B8" s="4" t="s">
        <v>6</v>
      </c>
      <c r="C8" s="4" t="s">
        <v>232</v>
      </c>
      <c r="D8" s="4" t="s">
        <v>234</v>
      </c>
      <c r="E8" s="5">
        <v>3864701</v>
      </c>
      <c r="F8" s="5">
        <v>129706</v>
      </c>
      <c r="G8" s="3">
        <f t="shared" si="0"/>
        <v>3994407</v>
      </c>
    </row>
    <row r="9" spans="1:7" x14ac:dyDescent="0.2">
      <c r="A9" s="2">
        <v>2019</v>
      </c>
      <c r="B9" s="4" t="s">
        <v>7</v>
      </c>
      <c r="C9" s="4" t="s">
        <v>232</v>
      </c>
      <c r="D9" s="4" t="s">
        <v>234</v>
      </c>
      <c r="E9" s="5">
        <v>30993559</v>
      </c>
      <c r="F9" s="5">
        <v>1040193</v>
      </c>
      <c r="G9" s="3">
        <f t="shared" si="0"/>
        <v>32033752</v>
      </c>
    </row>
    <row r="10" spans="1:7" x14ac:dyDescent="0.2">
      <c r="A10" s="2">
        <v>2019</v>
      </c>
      <c r="B10" s="4" t="s">
        <v>8</v>
      </c>
      <c r="C10" s="4" t="s">
        <v>232</v>
      </c>
      <c r="D10" s="4" t="s">
        <v>234</v>
      </c>
      <c r="E10" s="5">
        <v>51518092</v>
      </c>
      <c r="F10" s="5">
        <v>1729029</v>
      </c>
      <c r="G10" s="3">
        <f t="shared" si="0"/>
        <v>53247121</v>
      </c>
    </row>
    <row r="11" spans="1:7" x14ac:dyDescent="0.2">
      <c r="A11" s="2">
        <v>2019</v>
      </c>
      <c r="B11" s="4" t="s">
        <v>9</v>
      </c>
      <c r="C11" s="4" t="s">
        <v>232</v>
      </c>
      <c r="D11" s="4" t="s">
        <v>234</v>
      </c>
      <c r="E11" s="5">
        <v>49325426</v>
      </c>
      <c r="F11" s="5">
        <v>1655440</v>
      </c>
      <c r="G11" s="3">
        <f t="shared" si="0"/>
        <v>50980866</v>
      </c>
    </row>
    <row r="12" spans="1:7" x14ac:dyDescent="0.2">
      <c r="A12" s="2">
        <v>2019</v>
      </c>
      <c r="B12" s="4" t="s">
        <v>10</v>
      </c>
      <c r="C12" s="4" t="s">
        <v>232</v>
      </c>
      <c r="D12" s="4" t="s">
        <v>234</v>
      </c>
      <c r="E12" s="5">
        <v>2443707</v>
      </c>
      <c r="F12" s="5">
        <v>82015</v>
      </c>
      <c r="G12" s="3">
        <f t="shared" si="0"/>
        <v>2525722</v>
      </c>
    </row>
    <row r="13" spans="1:7" x14ac:dyDescent="0.2">
      <c r="A13" s="2">
        <v>2019</v>
      </c>
      <c r="B13" s="4" t="s">
        <v>11</v>
      </c>
      <c r="C13" s="4" t="s">
        <v>232</v>
      </c>
      <c r="D13" s="4" t="s">
        <v>234</v>
      </c>
      <c r="E13" s="5">
        <v>2533400</v>
      </c>
      <c r="F13" s="5">
        <v>85025</v>
      </c>
      <c r="G13" s="3">
        <f t="shared" si="0"/>
        <v>2618425</v>
      </c>
    </row>
    <row r="14" spans="1:7" x14ac:dyDescent="0.2">
      <c r="A14" s="2">
        <v>2019</v>
      </c>
      <c r="B14" s="4" t="s">
        <v>12</v>
      </c>
      <c r="C14" s="4" t="s">
        <v>232</v>
      </c>
      <c r="D14" s="4" t="s">
        <v>234</v>
      </c>
      <c r="E14" s="5">
        <v>1283941</v>
      </c>
      <c r="F14" s="5">
        <v>43091</v>
      </c>
      <c r="G14" s="3">
        <f t="shared" si="0"/>
        <v>1327032</v>
      </c>
    </row>
    <row r="15" spans="1:7" x14ac:dyDescent="0.2">
      <c r="A15" s="2">
        <v>2019</v>
      </c>
      <c r="B15" s="4" t="s">
        <v>13</v>
      </c>
      <c r="C15" s="4" t="s">
        <v>232</v>
      </c>
      <c r="D15" s="4" t="s">
        <v>234</v>
      </c>
      <c r="E15" s="5">
        <v>2356558</v>
      </c>
      <c r="F15" s="5">
        <v>79090</v>
      </c>
      <c r="G15" s="3">
        <f t="shared" si="0"/>
        <v>2435648</v>
      </c>
    </row>
    <row r="16" spans="1:7" x14ac:dyDescent="0.2">
      <c r="A16" s="2">
        <v>2019</v>
      </c>
      <c r="B16" s="4" t="s">
        <v>14</v>
      </c>
      <c r="C16" s="4" t="s">
        <v>232</v>
      </c>
      <c r="D16" s="4" t="s">
        <v>234</v>
      </c>
      <c r="E16" s="5">
        <v>4667374</v>
      </c>
      <c r="F16" s="5">
        <v>156645</v>
      </c>
      <c r="G16" s="3">
        <f t="shared" si="0"/>
        <v>4824019</v>
      </c>
    </row>
    <row r="17" spans="1:7" x14ac:dyDescent="0.2">
      <c r="A17" s="2">
        <v>2019</v>
      </c>
      <c r="B17" s="4" t="s">
        <v>15</v>
      </c>
      <c r="C17" s="4" t="s">
        <v>232</v>
      </c>
      <c r="D17" s="4" t="s">
        <v>234</v>
      </c>
      <c r="E17" s="5">
        <v>8380599</v>
      </c>
      <c r="F17" s="5">
        <v>281266</v>
      </c>
      <c r="G17" s="3">
        <f t="shared" si="0"/>
        <v>8661865</v>
      </c>
    </row>
    <row r="18" spans="1:7" x14ac:dyDescent="0.2">
      <c r="A18" s="2">
        <v>2019</v>
      </c>
      <c r="B18" s="4" t="s">
        <v>16</v>
      </c>
      <c r="C18" s="4" t="s">
        <v>232</v>
      </c>
      <c r="D18" s="4" t="s">
        <v>234</v>
      </c>
      <c r="E18" s="5">
        <v>62394030</v>
      </c>
      <c r="F18" s="5">
        <v>2094043</v>
      </c>
      <c r="G18" s="3">
        <f t="shared" si="0"/>
        <v>64488073</v>
      </c>
    </row>
    <row r="19" spans="1:7" x14ac:dyDescent="0.2">
      <c r="A19" s="2">
        <v>2019</v>
      </c>
      <c r="B19" s="4" t="s">
        <v>17</v>
      </c>
      <c r="C19" s="4" t="s">
        <v>232</v>
      </c>
      <c r="D19" s="4" t="s">
        <v>234</v>
      </c>
      <c r="E19" s="5">
        <v>1122070</v>
      </c>
      <c r="F19" s="5">
        <v>37658</v>
      </c>
      <c r="G19" s="3">
        <f t="shared" si="0"/>
        <v>1159728</v>
      </c>
    </row>
    <row r="20" spans="1:7" x14ac:dyDescent="0.2">
      <c r="A20" s="2">
        <v>2019</v>
      </c>
      <c r="B20" s="4" t="s">
        <v>18</v>
      </c>
      <c r="C20" s="4" t="s">
        <v>232</v>
      </c>
      <c r="D20" s="4" t="s">
        <v>234</v>
      </c>
      <c r="E20" s="5">
        <v>2309831</v>
      </c>
      <c r="F20" s="5">
        <v>77522</v>
      </c>
      <c r="G20" s="3">
        <f t="shared" si="0"/>
        <v>2387353</v>
      </c>
    </row>
    <row r="21" spans="1:7" x14ac:dyDescent="0.2">
      <c r="A21" s="2">
        <v>2019</v>
      </c>
      <c r="B21" s="4" t="s">
        <v>19</v>
      </c>
      <c r="C21" s="4" t="s">
        <v>232</v>
      </c>
      <c r="D21" s="4" t="s">
        <v>234</v>
      </c>
      <c r="E21" s="5">
        <v>6424173</v>
      </c>
      <c r="F21" s="5">
        <v>215605</v>
      </c>
      <c r="G21" s="3">
        <f t="shared" si="0"/>
        <v>6639778</v>
      </c>
    </row>
    <row r="22" spans="1:7" x14ac:dyDescent="0.2">
      <c r="A22" s="2">
        <v>2019</v>
      </c>
      <c r="B22" s="4" t="s">
        <v>20</v>
      </c>
      <c r="C22" s="4" t="s">
        <v>232</v>
      </c>
      <c r="D22" s="4" t="s">
        <v>234</v>
      </c>
      <c r="E22" s="5">
        <v>3595853</v>
      </c>
      <c r="F22" s="5">
        <v>120683</v>
      </c>
      <c r="G22" s="3">
        <f t="shared" si="0"/>
        <v>3716536</v>
      </c>
    </row>
    <row r="23" spans="1:7" x14ac:dyDescent="0.2">
      <c r="A23" s="2">
        <v>2019</v>
      </c>
      <c r="B23" s="4" t="s">
        <v>21</v>
      </c>
      <c r="C23" s="4" t="s">
        <v>232</v>
      </c>
      <c r="D23" s="4" t="s">
        <v>234</v>
      </c>
      <c r="E23" s="5">
        <v>3281447</v>
      </c>
      <c r="F23" s="5">
        <v>110131</v>
      </c>
      <c r="G23" s="3">
        <f t="shared" si="0"/>
        <v>3391578</v>
      </c>
    </row>
    <row r="24" spans="1:7" x14ac:dyDescent="0.2">
      <c r="A24" s="2">
        <v>2019</v>
      </c>
      <c r="B24" s="4" t="s">
        <v>22</v>
      </c>
      <c r="C24" s="4" t="s">
        <v>232</v>
      </c>
      <c r="D24" s="4" t="s">
        <v>234</v>
      </c>
      <c r="E24" s="5">
        <v>16437224</v>
      </c>
      <c r="F24" s="5">
        <v>551659</v>
      </c>
      <c r="G24" s="3">
        <f t="shared" si="0"/>
        <v>16988883</v>
      </c>
    </row>
    <row r="25" spans="1:7" x14ac:dyDescent="0.2">
      <c r="A25" s="2">
        <v>2019</v>
      </c>
      <c r="B25" s="4" t="s">
        <v>23</v>
      </c>
      <c r="C25" s="4" t="s">
        <v>232</v>
      </c>
      <c r="D25" s="4" t="s">
        <v>234</v>
      </c>
      <c r="E25" s="5">
        <v>8426535</v>
      </c>
      <c r="F25" s="5">
        <v>282808</v>
      </c>
      <c r="G25" s="3">
        <f t="shared" si="0"/>
        <v>8709343</v>
      </c>
    </row>
    <row r="26" spans="1:7" x14ac:dyDescent="0.2">
      <c r="A26" s="2">
        <v>2019</v>
      </c>
      <c r="B26" s="4" t="s">
        <v>24</v>
      </c>
      <c r="C26" s="4" t="s">
        <v>232</v>
      </c>
      <c r="D26" s="4" t="s">
        <v>234</v>
      </c>
      <c r="E26" s="5">
        <v>2843084</v>
      </c>
      <c r="F26" s="5">
        <v>95418</v>
      </c>
      <c r="G26" s="3">
        <f t="shared" si="0"/>
        <v>2938502</v>
      </c>
    </row>
    <row r="27" spans="1:7" x14ac:dyDescent="0.2">
      <c r="A27" s="2">
        <v>2019</v>
      </c>
      <c r="B27" s="4" t="s">
        <v>25</v>
      </c>
      <c r="C27" s="4" t="s">
        <v>232</v>
      </c>
      <c r="D27" s="4" t="s">
        <v>234</v>
      </c>
      <c r="E27" s="5">
        <v>61170350</v>
      </c>
      <c r="F27" s="5">
        <v>2052974</v>
      </c>
      <c r="G27" s="3">
        <f t="shared" si="0"/>
        <v>63223324</v>
      </c>
    </row>
    <row r="28" spans="1:7" x14ac:dyDescent="0.2">
      <c r="A28" s="2">
        <v>2019</v>
      </c>
      <c r="B28" s="4" t="s">
        <v>26</v>
      </c>
      <c r="C28" s="4" t="s">
        <v>232</v>
      </c>
      <c r="D28" s="4" t="s">
        <v>234</v>
      </c>
      <c r="E28" s="5">
        <v>7147961</v>
      </c>
      <c r="F28" s="5">
        <v>239897</v>
      </c>
      <c r="G28" s="3">
        <f t="shared" si="0"/>
        <v>7387858</v>
      </c>
    </row>
    <row r="29" spans="1:7" x14ac:dyDescent="0.2">
      <c r="A29" s="2">
        <v>2019</v>
      </c>
      <c r="B29" s="4" t="s">
        <v>27</v>
      </c>
      <c r="C29" s="4" t="s">
        <v>232</v>
      </c>
      <c r="D29" s="4" t="s">
        <v>234</v>
      </c>
      <c r="E29" s="5">
        <v>37967149</v>
      </c>
      <c r="F29" s="5">
        <v>1274238</v>
      </c>
      <c r="G29" s="3">
        <f t="shared" si="0"/>
        <v>39241387</v>
      </c>
    </row>
    <row r="30" spans="1:7" x14ac:dyDescent="0.2">
      <c r="A30" s="2">
        <v>2019</v>
      </c>
      <c r="B30" s="4" t="s">
        <v>28</v>
      </c>
      <c r="C30" s="4" t="s">
        <v>232</v>
      </c>
      <c r="D30" s="4" t="s">
        <v>234</v>
      </c>
      <c r="E30" s="5">
        <v>16528889</v>
      </c>
      <c r="F30" s="5">
        <v>554736</v>
      </c>
      <c r="G30" s="3">
        <f t="shared" si="0"/>
        <v>17083625</v>
      </c>
    </row>
    <row r="31" spans="1:7" x14ac:dyDescent="0.2">
      <c r="A31" s="2">
        <v>2019</v>
      </c>
      <c r="B31" s="4" t="s">
        <v>29</v>
      </c>
      <c r="C31" s="4" t="s">
        <v>232</v>
      </c>
      <c r="D31" s="4" t="s">
        <v>234</v>
      </c>
      <c r="E31" s="5">
        <v>3611603</v>
      </c>
      <c r="F31" s="5">
        <v>121211</v>
      </c>
      <c r="G31" s="3">
        <f t="shared" si="0"/>
        <v>3732814</v>
      </c>
    </row>
    <row r="32" spans="1:7" x14ac:dyDescent="0.2">
      <c r="A32" s="2">
        <v>2019</v>
      </c>
      <c r="B32" s="4" t="s">
        <v>30</v>
      </c>
      <c r="C32" s="4" t="s">
        <v>232</v>
      </c>
      <c r="D32" s="4" t="s">
        <v>234</v>
      </c>
      <c r="E32" s="5">
        <v>9049140</v>
      </c>
      <c r="F32" s="5">
        <v>303704</v>
      </c>
      <c r="G32" s="3">
        <f t="shared" si="0"/>
        <v>9352844</v>
      </c>
    </row>
    <row r="33" spans="1:7" x14ac:dyDescent="0.2">
      <c r="A33" s="2">
        <v>2019</v>
      </c>
      <c r="B33" s="4" t="s">
        <v>31</v>
      </c>
      <c r="C33" s="4" t="s">
        <v>232</v>
      </c>
      <c r="D33" s="4" t="s">
        <v>234</v>
      </c>
      <c r="E33" s="5">
        <v>29719368</v>
      </c>
      <c r="F33" s="5">
        <v>997429</v>
      </c>
      <c r="G33" s="3">
        <f t="shared" si="0"/>
        <v>30716797</v>
      </c>
    </row>
    <row r="34" spans="1:7" x14ac:dyDescent="0.2">
      <c r="A34" s="2">
        <v>2019</v>
      </c>
      <c r="B34" s="4" t="s">
        <v>32</v>
      </c>
      <c r="C34" s="4" t="s">
        <v>232</v>
      </c>
      <c r="D34" s="4" t="s">
        <v>234</v>
      </c>
      <c r="E34" s="5">
        <v>1707114</v>
      </c>
      <c r="F34" s="5">
        <v>57293</v>
      </c>
      <c r="G34" s="3">
        <f t="shared" si="0"/>
        <v>1764407</v>
      </c>
    </row>
    <row r="35" spans="1:7" x14ac:dyDescent="0.2">
      <c r="A35" s="2">
        <v>2019</v>
      </c>
      <c r="B35" s="4" t="s">
        <v>33</v>
      </c>
      <c r="C35" s="4" t="s">
        <v>232</v>
      </c>
      <c r="D35" s="4" t="s">
        <v>234</v>
      </c>
      <c r="E35" s="5">
        <v>3394010</v>
      </c>
      <c r="F35" s="5">
        <v>113908</v>
      </c>
      <c r="G35" s="3">
        <f t="shared" si="0"/>
        <v>3507918</v>
      </c>
    </row>
    <row r="36" spans="1:7" x14ac:dyDescent="0.2">
      <c r="A36" s="2">
        <v>2019</v>
      </c>
      <c r="B36" s="4" t="s">
        <v>34</v>
      </c>
      <c r="C36" s="4" t="s">
        <v>232</v>
      </c>
      <c r="D36" s="4" t="s">
        <v>234</v>
      </c>
      <c r="E36" s="5">
        <v>7322795</v>
      </c>
      <c r="F36" s="5">
        <v>245765</v>
      </c>
      <c r="G36" s="3">
        <f t="shared" si="0"/>
        <v>7568560</v>
      </c>
    </row>
    <row r="37" spans="1:7" x14ac:dyDescent="0.2">
      <c r="A37" s="2">
        <v>2019</v>
      </c>
      <c r="B37" s="4" t="s">
        <v>35</v>
      </c>
      <c r="C37" s="4" t="s">
        <v>232</v>
      </c>
      <c r="D37" s="4" t="s">
        <v>234</v>
      </c>
      <c r="E37" s="5">
        <v>4983241</v>
      </c>
      <c r="F37" s="5">
        <v>167246</v>
      </c>
      <c r="G37" s="3">
        <f t="shared" si="0"/>
        <v>5150487</v>
      </c>
    </row>
    <row r="38" spans="1:7" x14ac:dyDescent="0.2">
      <c r="A38" s="2">
        <v>2019</v>
      </c>
      <c r="B38" s="4" t="s">
        <v>36</v>
      </c>
      <c r="C38" s="4" t="s">
        <v>232</v>
      </c>
      <c r="D38" s="4" t="s">
        <v>234</v>
      </c>
      <c r="E38" s="5">
        <v>23975153</v>
      </c>
      <c r="F38" s="5">
        <v>804644</v>
      </c>
      <c r="G38" s="3">
        <f t="shared" si="0"/>
        <v>24779797</v>
      </c>
    </row>
    <row r="39" spans="1:7" x14ac:dyDescent="0.2">
      <c r="A39" s="2">
        <v>2019</v>
      </c>
      <c r="B39" s="4" t="s">
        <v>37</v>
      </c>
      <c r="C39" s="4" t="s">
        <v>232</v>
      </c>
      <c r="D39" s="4" t="s">
        <v>234</v>
      </c>
      <c r="E39" s="5">
        <v>7640086</v>
      </c>
      <c r="F39" s="5">
        <v>256413</v>
      </c>
      <c r="G39" s="3">
        <f t="shared" si="0"/>
        <v>7896499</v>
      </c>
    </row>
    <row r="40" spans="1:7" x14ac:dyDescent="0.2">
      <c r="A40" s="2">
        <v>2019</v>
      </c>
      <c r="B40" s="4" t="s">
        <v>38</v>
      </c>
      <c r="C40" s="4" t="s">
        <v>232</v>
      </c>
      <c r="D40" s="4" t="s">
        <v>234</v>
      </c>
      <c r="E40" s="5">
        <v>3204303</v>
      </c>
      <c r="F40" s="5">
        <v>107541</v>
      </c>
      <c r="G40" s="3">
        <f t="shared" si="0"/>
        <v>3311844</v>
      </c>
    </row>
    <row r="41" spans="1:7" x14ac:dyDescent="0.2">
      <c r="A41" s="2">
        <v>2019</v>
      </c>
      <c r="B41" s="4" t="s">
        <v>39</v>
      </c>
      <c r="C41" s="4" t="s">
        <v>232</v>
      </c>
      <c r="D41" s="4" t="s">
        <v>234</v>
      </c>
      <c r="E41" s="5">
        <v>30227438</v>
      </c>
      <c r="F41" s="5">
        <v>1014481</v>
      </c>
      <c r="G41" s="3">
        <f t="shared" si="0"/>
        <v>31241919</v>
      </c>
    </row>
    <row r="42" spans="1:7" x14ac:dyDescent="0.2">
      <c r="A42" s="2">
        <v>2019</v>
      </c>
      <c r="B42" s="4" t="s">
        <v>40</v>
      </c>
      <c r="C42" s="4" t="s">
        <v>232</v>
      </c>
      <c r="D42" s="4" t="s">
        <v>234</v>
      </c>
      <c r="E42" s="5">
        <v>2811608</v>
      </c>
      <c r="F42" s="5">
        <v>94362</v>
      </c>
      <c r="G42" s="3">
        <f t="shared" si="0"/>
        <v>2905970</v>
      </c>
    </row>
    <row r="43" spans="1:7" x14ac:dyDescent="0.2">
      <c r="A43" s="2">
        <v>2019</v>
      </c>
      <c r="B43" s="4" t="s">
        <v>41</v>
      </c>
      <c r="C43" s="4" t="s">
        <v>232</v>
      </c>
      <c r="D43" s="4" t="s">
        <v>234</v>
      </c>
      <c r="E43" s="5">
        <v>3669674</v>
      </c>
      <c r="F43" s="5">
        <v>123160</v>
      </c>
      <c r="G43" s="3">
        <f t="shared" si="0"/>
        <v>3792834</v>
      </c>
    </row>
    <row r="44" spans="1:7" x14ac:dyDescent="0.2">
      <c r="A44" s="2">
        <v>2019</v>
      </c>
      <c r="B44" s="4" t="s">
        <v>42</v>
      </c>
      <c r="C44" s="4" t="s">
        <v>232</v>
      </c>
      <c r="D44" s="4" t="s">
        <v>234</v>
      </c>
      <c r="E44" s="5">
        <v>5834589</v>
      </c>
      <c r="F44" s="5">
        <v>195818</v>
      </c>
      <c r="G44" s="3">
        <f t="shared" si="0"/>
        <v>6030407</v>
      </c>
    </row>
    <row r="45" spans="1:7" x14ac:dyDescent="0.2">
      <c r="A45" s="2">
        <v>2019</v>
      </c>
      <c r="B45" s="4" t="s">
        <v>261</v>
      </c>
      <c r="C45" s="4" t="s">
        <v>232</v>
      </c>
      <c r="D45" s="4" t="s">
        <v>234</v>
      </c>
      <c r="E45" s="5">
        <v>8983875</v>
      </c>
      <c r="F45" s="5">
        <v>301513</v>
      </c>
      <c r="G45" s="3">
        <f t="shared" si="0"/>
        <v>9285388</v>
      </c>
    </row>
    <row r="46" spans="1:7" x14ac:dyDescent="0.2">
      <c r="A46" s="2">
        <v>2019</v>
      </c>
      <c r="B46" s="4" t="s">
        <v>262</v>
      </c>
      <c r="C46" s="4" t="s">
        <v>232</v>
      </c>
      <c r="D46" s="4" t="s">
        <v>234</v>
      </c>
      <c r="E46" s="5">
        <v>18248904</v>
      </c>
      <c r="F46" s="5">
        <v>612462</v>
      </c>
      <c r="G46" s="3">
        <f t="shared" si="0"/>
        <v>18861366</v>
      </c>
    </row>
    <row r="47" spans="1:7" x14ac:dyDescent="0.2">
      <c r="A47" s="2">
        <v>2019</v>
      </c>
      <c r="B47" s="4" t="s">
        <v>45</v>
      </c>
      <c r="C47" s="4" t="s">
        <v>232</v>
      </c>
      <c r="D47" s="4" t="s">
        <v>234</v>
      </c>
      <c r="E47" s="5">
        <v>1460443</v>
      </c>
      <c r="F47" s="5">
        <v>49015</v>
      </c>
      <c r="G47" s="3">
        <f t="shared" si="0"/>
        <v>1509458</v>
      </c>
    </row>
    <row r="48" spans="1:7" x14ac:dyDescent="0.2">
      <c r="A48" s="2">
        <v>2019</v>
      </c>
      <c r="B48" s="4" t="s">
        <v>263</v>
      </c>
      <c r="C48" s="4" t="s">
        <v>232</v>
      </c>
      <c r="D48" s="4" t="s">
        <v>234</v>
      </c>
      <c r="E48" s="5">
        <v>7127561</v>
      </c>
      <c r="F48" s="5">
        <v>239212</v>
      </c>
      <c r="G48" s="3">
        <f t="shared" si="0"/>
        <v>7366773</v>
      </c>
    </row>
    <row r="49" spans="1:7" x14ac:dyDescent="0.2">
      <c r="A49" s="2">
        <v>2019</v>
      </c>
      <c r="B49" s="4" t="s">
        <v>264</v>
      </c>
      <c r="C49" s="4" t="s">
        <v>232</v>
      </c>
      <c r="D49" s="4" t="s">
        <v>234</v>
      </c>
      <c r="E49" s="5">
        <v>9101819</v>
      </c>
      <c r="F49" s="5">
        <v>305472</v>
      </c>
      <c r="G49" s="3">
        <f t="shared" si="0"/>
        <v>9407291</v>
      </c>
    </row>
    <row r="50" spans="1:7" x14ac:dyDescent="0.2">
      <c r="A50" s="2">
        <v>2019</v>
      </c>
      <c r="B50" s="4" t="s">
        <v>48</v>
      </c>
      <c r="C50" s="4" t="s">
        <v>232</v>
      </c>
      <c r="D50" s="4" t="s">
        <v>234</v>
      </c>
      <c r="E50" s="5">
        <v>16789095</v>
      </c>
      <c r="F50" s="5">
        <v>563469</v>
      </c>
      <c r="G50" s="3">
        <f t="shared" si="0"/>
        <v>17352564</v>
      </c>
    </row>
    <row r="51" spans="1:7" x14ac:dyDescent="0.2">
      <c r="A51" s="2">
        <v>2019</v>
      </c>
      <c r="B51" s="4" t="s">
        <v>49</v>
      </c>
      <c r="C51" s="4" t="s">
        <v>232</v>
      </c>
      <c r="D51" s="4" t="s">
        <v>234</v>
      </c>
      <c r="E51" s="5">
        <v>9451682</v>
      </c>
      <c r="F51" s="5">
        <v>317213</v>
      </c>
      <c r="G51" s="3">
        <f t="shared" si="0"/>
        <v>9768895</v>
      </c>
    </row>
    <row r="52" spans="1:7" x14ac:dyDescent="0.2">
      <c r="A52" s="2">
        <v>2019</v>
      </c>
      <c r="B52" s="4" t="s">
        <v>50</v>
      </c>
      <c r="C52" s="4" t="s">
        <v>232</v>
      </c>
      <c r="D52" s="4" t="s">
        <v>234</v>
      </c>
      <c r="E52" s="5">
        <v>10570246</v>
      </c>
      <c r="F52" s="5">
        <v>354754</v>
      </c>
      <c r="G52" s="3">
        <f t="shared" si="0"/>
        <v>10925000</v>
      </c>
    </row>
    <row r="53" spans="1:7" x14ac:dyDescent="0.2">
      <c r="A53" s="2">
        <v>2019</v>
      </c>
      <c r="B53" s="4" t="s">
        <v>51</v>
      </c>
      <c r="C53" s="4" t="s">
        <v>232</v>
      </c>
      <c r="D53" s="4" t="s">
        <v>234</v>
      </c>
      <c r="E53" s="5">
        <v>55907051</v>
      </c>
      <c r="F53" s="5">
        <v>1876330</v>
      </c>
      <c r="G53" s="3">
        <f t="shared" si="0"/>
        <v>57783381</v>
      </c>
    </row>
    <row r="54" spans="1:7" x14ac:dyDescent="0.2">
      <c r="A54" s="2">
        <v>2019</v>
      </c>
      <c r="B54" s="4" t="s">
        <v>52</v>
      </c>
      <c r="C54" s="4" t="s">
        <v>232</v>
      </c>
      <c r="D54" s="4" t="s">
        <v>234</v>
      </c>
      <c r="E54" s="5">
        <v>23675535</v>
      </c>
      <c r="F54" s="5">
        <v>794589</v>
      </c>
      <c r="G54" s="3">
        <f t="shared" si="0"/>
        <v>24470124</v>
      </c>
    </row>
    <row r="55" spans="1:7" x14ac:dyDescent="0.2">
      <c r="A55" s="2">
        <v>2019</v>
      </c>
      <c r="B55" s="4" t="s">
        <v>53</v>
      </c>
      <c r="C55" s="4" t="s">
        <v>232</v>
      </c>
      <c r="D55" s="4" t="s">
        <v>234</v>
      </c>
      <c r="E55" s="5">
        <v>707637</v>
      </c>
      <c r="F55" s="5">
        <v>23749</v>
      </c>
      <c r="G55" s="3">
        <f t="shared" si="0"/>
        <v>731386</v>
      </c>
    </row>
    <row r="56" spans="1:7" x14ac:dyDescent="0.2">
      <c r="A56" s="2">
        <v>2019</v>
      </c>
      <c r="B56" s="4" t="s">
        <v>54</v>
      </c>
      <c r="C56" s="4" t="s">
        <v>232</v>
      </c>
      <c r="D56" s="4" t="s">
        <v>234</v>
      </c>
      <c r="E56" s="5">
        <v>20156948</v>
      </c>
      <c r="F56" s="5">
        <v>676499</v>
      </c>
      <c r="G56" s="3">
        <f t="shared" si="0"/>
        <v>20833447</v>
      </c>
    </row>
    <row r="57" spans="1:7" x14ac:dyDescent="0.2">
      <c r="A57" s="2">
        <v>2019</v>
      </c>
      <c r="B57" s="4" t="s">
        <v>55</v>
      </c>
      <c r="C57" s="4" t="s">
        <v>232</v>
      </c>
      <c r="D57" s="4" t="s">
        <v>234</v>
      </c>
      <c r="E57" s="5">
        <v>2214186</v>
      </c>
      <c r="F57" s="5">
        <v>74312</v>
      </c>
      <c r="G57" s="3">
        <f t="shared" si="0"/>
        <v>2288498</v>
      </c>
    </row>
    <row r="58" spans="1:7" x14ac:dyDescent="0.2">
      <c r="A58" s="2">
        <v>2019</v>
      </c>
      <c r="B58" s="4" t="s">
        <v>56</v>
      </c>
      <c r="C58" s="4" t="s">
        <v>232</v>
      </c>
      <c r="D58" s="4" t="s">
        <v>234</v>
      </c>
      <c r="E58" s="5">
        <v>11324707</v>
      </c>
      <c r="F58" s="5">
        <v>380075</v>
      </c>
      <c r="G58" s="3">
        <f t="shared" si="0"/>
        <v>11704782</v>
      </c>
    </row>
    <row r="59" spans="1:7" x14ac:dyDescent="0.2">
      <c r="A59" s="2">
        <v>2019</v>
      </c>
      <c r="B59" s="4" t="s">
        <v>57</v>
      </c>
      <c r="C59" s="4" t="s">
        <v>232</v>
      </c>
      <c r="D59" s="4" t="s">
        <v>234</v>
      </c>
      <c r="E59" s="5">
        <v>10440131</v>
      </c>
      <c r="F59" s="5">
        <v>350387</v>
      </c>
      <c r="G59" s="3">
        <f t="shared" si="0"/>
        <v>10790518</v>
      </c>
    </row>
    <row r="60" spans="1:7" x14ac:dyDescent="0.2">
      <c r="A60" s="2">
        <v>2019</v>
      </c>
      <c r="B60" s="4" t="s">
        <v>58</v>
      </c>
      <c r="C60" s="4" t="s">
        <v>232</v>
      </c>
      <c r="D60" s="4" t="s">
        <v>234</v>
      </c>
      <c r="E60" s="5">
        <v>6012527</v>
      </c>
      <c r="F60" s="5">
        <v>201790</v>
      </c>
      <c r="G60" s="3">
        <f t="shared" si="0"/>
        <v>6214317</v>
      </c>
    </row>
    <row r="61" spans="1:7" x14ac:dyDescent="0.2">
      <c r="A61" s="2">
        <v>2019</v>
      </c>
      <c r="B61" s="4" t="s">
        <v>59</v>
      </c>
      <c r="C61" s="4" t="s">
        <v>232</v>
      </c>
      <c r="D61" s="4" t="s">
        <v>234</v>
      </c>
      <c r="E61" s="5">
        <v>7171233</v>
      </c>
      <c r="F61" s="5">
        <v>240678</v>
      </c>
      <c r="G61" s="3">
        <f t="shared" si="0"/>
        <v>7411911</v>
      </c>
    </row>
    <row r="62" spans="1:7" x14ac:dyDescent="0.2">
      <c r="A62" s="2">
        <v>2019</v>
      </c>
      <c r="B62" s="4" t="s">
        <v>60</v>
      </c>
      <c r="C62" s="4" t="s">
        <v>232</v>
      </c>
      <c r="D62" s="4" t="s">
        <v>234</v>
      </c>
      <c r="E62" s="5">
        <v>7179839</v>
      </c>
      <c r="F62" s="5">
        <v>240967</v>
      </c>
      <c r="G62" s="3">
        <f t="shared" si="0"/>
        <v>7420806</v>
      </c>
    </row>
    <row r="63" spans="1:7" x14ac:dyDescent="0.2">
      <c r="A63" s="2">
        <v>2019</v>
      </c>
      <c r="B63" s="4" t="s">
        <v>61</v>
      </c>
      <c r="C63" s="4" t="s">
        <v>232</v>
      </c>
      <c r="D63" s="4" t="s">
        <v>234</v>
      </c>
      <c r="E63" s="5">
        <v>2451825</v>
      </c>
      <c r="F63" s="5">
        <v>82287</v>
      </c>
      <c r="G63" s="3">
        <f t="shared" si="0"/>
        <v>2534112</v>
      </c>
    </row>
    <row r="64" spans="1:7" x14ac:dyDescent="0.2">
      <c r="A64" s="2">
        <v>2019</v>
      </c>
      <c r="B64" s="4" t="s">
        <v>62</v>
      </c>
      <c r="C64" s="4" t="s">
        <v>232</v>
      </c>
      <c r="D64" s="4" t="s">
        <v>234</v>
      </c>
      <c r="E64" s="5">
        <v>4069453</v>
      </c>
      <c r="F64" s="5">
        <v>136577</v>
      </c>
      <c r="G64" s="3">
        <f t="shared" si="0"/>
        <v>4206030</v>
      </c>
    </row>
    <row r="65" spans="1:7" x14ac:dyDescent="0.2">
      <c r="A65" s="2">
        <v>2019</v>
      </c>
      <c r="B65" s="4" t="s">
        <v>63</v>
      </c>
      <c r="C65" s="4" t="s">
        <v>232</v>
      </c>
      <c r="D65" s="4" t="s">
        <v>234</v>
      </c>
      <c r="E65" s="5">
        <v>2842901</v>
      </c>
      <c r="F65" s="5">
        <v>95412</v>
      </c>
      <c r="G65" s="3">
        <f t="shared" si="0"/>
        <v>2938313</v>
      </c>
    </row>
    <row r="66" spans="1:7" x14ac:dyDescent="0.2">
      <c r="A66" s="2">
        <v>2019</v>
      </c>
      <c r="B66" s="4" t="s">
        <v>64</v>
      </c>
      <c r="C66" s="4" t="s">
        <v>232</v>
      </c>
      <c r="D66" s="4" t="s">
        <v>234</v>
      </c>
      <c r="E66" s="5">
        <v>2347575</v>
      </c>
      <c r="F66" s="5">
        <v>78788</v>
      </c>
      <c r="G66" s="3">
        <f t="shared" si="0"/>
        <v>2426363</v>
      </c>
    </row>
    <row r="67" spans="1:7" x14ac:dyDescent="0.2">
      <c r="A67" s="2">
        <v>2019</v>
      </c>
      <c r="B67" s="4" t="s">
        <v>65</v>
      </c>
      <c r="C67" s="4" t="s">
        <v>232</v>
      </c>
      <c r="D67" s="4" t="s">
        <v>234</v>
      </c>
      <c r="E67" s="5">
        <v>12514939</v>
      </c>
      <c r="F67" s="5">
        <v>420021</v>
      </c>
      <c r="G67" s="3">
        <f t="shared" ref="G67:G130" si="1">SUM(E67:F67)</f>
        <v>12934960</v>
      </c>
    </row>
    <row r="68" spans="1:7" x14ac:dyDescent="0.2">
      <c r="A68" s="2">
        <v>2019</v>
      </c>
      <c r="B68" s="4" t="s">
        <v>66</v>
      </c>
      <c r="C68" s="4" t="s">
        <v>232</v>
      </c>
      <c r="D68" s="4" t="s">
        <v>234</v>
      </c>
      <c r="E68" s="5">
        <v>12584123</v>
      </c>
      <c r="F68" s="5">
        <v>422343</v>
      </c>
      <c r="G68" s="3">
        <f t="shared" si="1"/>
        <v>13006466</v>
      </c>
    </row>
    <row r="69" spans="1:7" x14ac:dyDescent="0.2">
      <c r="A69" s="2">
        <v>2019</v>
      </c>
      <c r="B69" s="4" t="s">
        <v>67</v>
      </c>
      <c r="C69" s="4" t="s">
        <v>232</v>
      </c>
      <c r="D69" s="4" t="s">
        <v>234</v>
      </c>
      <c r="E69" s="5">
        <v>9157687</v>
      </c>
      <c r="F69" s="5">
        <v>307347</v>
      </c>
      <c r="G69" s="3">
        <f t="shared" si="1"/>
        <v>9465034</v>
      </c>
    </row>
    <row r="70" spans="1:7" x14ac:dyDescent="0.2">
      <c r="A70" s="2">
        <v>2019</v>
      </c>
      <c r="B70" s="4" t="s">
        <v>68</v>
      </c>
      <c r="C70" s="4" t="s">
        <v>232</v>
      </c>
      <c r="D70" s="4" t="s">
        <v>234</v>
      </c>
      <c r="E70" s="5">
        <v>77635739</v>
      </c>
      <c r="F70" s="5">
        <v>2605579</v>
      </c>
      <c r="G70" s="3">
        <f t="shared" si="1"/>
        <v>80241318</v>
      </c>
    </row>
    <row r="71" spans="1:7" x14ac:dyDescent="0.2">
      <c r="A71" s="2">
        <v>2019</v>
      </c>
      <c r="B71" s="4" t="s">
        <v>69</v>
      </c>
      <c r="C71" s="4" t="s">
        <v>232</v>
      </c>
      <c r="D71" s="4" t="s">
        <v>234</v>
      </c>
      <c r="E71" s="5">
        <v>14499859</v>
      </c>
      <c r="F71" s="5">
        <v>486638</v>
      </c>
      <c r="G71" s="3">
        <f t="shared" si="1"/>
        <v>14986497</v>
      </c>
    </row>
    <row r="72" spans="1:7" x14ac:dyDescent="0.2">
      <c r="A72" s="2">
        <v>2019</v>
      </c>
      <c r="B72" s="4" t="s">
        <v>70</v>
      </c>
      <c r="C72" s="4" t="s">
        <v>232</v>
      </c>
      <c r="D72" s="4" t="s">
        <v>234</v>
      </c>
      <c r="E72" s="5">
        <v>33191824</v>
      </c>
      <c r="F72" s="5">
        <v>1113971</v>
      </c>
      <c r="G72" s="3">
        <f t="shared" si="1"/>
        <v>34305795</v>
      </c>
    </row>
    <row r="73" spans="1:7" x14ac:dyDescent="0.2">
      <c r="A73" s="2">
        <v>2019</v>
      </c>
      <c r="B73" s="4" t="s">
        <v>71</v>
      </c>
      <c r="C73" s="4" t="s">
        <v>232</v>
      </c>
      <c r="D73" s="4" t="s">
        <v>234</v>
      </c>
      <c r="E73" s="5">
        <v>6893488</v>
      </c>
      <c r="F73" s="5">
        <v>231356</v>
      </c>
      <c r="G73" s="3">
        <f t="shared" si="1"/>
        <v>7124844</v>
      </c>
    </row>
    <row r="74" spans="1:7" x14ac:dyDescent="0.2">
      <c r="A74" s="2">
        <v>2019</v>
      </c>
      <c r="B74" s="4" t="s">
        <v>72</v>
      </c>
      <c r="C74" s="4" t="s">
        <v>232</v>
      </c>
      <c r="D74" s="4" t="s">
        <v>234</v>
      </c>
      <c r="E74" s="5">
        <v>13625397</v>
      </c>
      <c r="F74" s="5">
        <v>457290</v>
      </c>
      <c r="G74" s="3">
        <f t="shared" si="1"/>
        <v>14082687</v>
      </c>
    </row>
    <row r="75" spans="1:7" x14ac:dyDescent="0.2">
      <c r="A75" s="2">
        <v>2019</v>
      </c>
      <c r="B75" s="4" t="s">
        <v>73</v>
      </c>
      <c r="C75" s="4" t="s">
        <v>232</v>
      </c>
      <c r="D75" s="4" t="s">
        <v>234</v>
      </c>
      <c r="E75" s="5">
        <v>25260166</v>
      </c>
      <c r="F75" s="5">
        <v>847771</v>
      </c>
      <c r="G75" s="3">
        <f t="shared" si="1"/>
        <v>26107937</v>
      </c>
    </row>
    <row r="76" spans="1:7" x14ac:dyDescent="0.2">
      <c r="A76" s="2">
        <v>2019</v>
      </c>
      <c r="B76" s="4" t="s">
        <v>74</v>
      </c>
      <c r="C76" s="4" t="s">
        <v>232</v>
      </c>
      <c r="D76" s="4" t="s">
        <v>234</v>
      </c>
      <c r="E76" s="5">
        <v>5977229</v>
      </c>
      <c r="F76" s="5">
        <v>200605</v>
      </c>
      <c r="G76" s="3">
        <f t="shared" si="1"/>
        <v>6177834</v>
      </c>
    </row>
    <row r="77" spans="1:7" x14ac:dyDescent="0.2">
      <c r="A77" s="2">
        <v>2019</v>
      </c>
      <c r="B77" s="4" t="s">
        <v>75</v>
      </c>
      <c r="C77" s="4" t="s">
        <v>232</v>
      </c>
      <c r="D77" s="4" t="s">
        <v>234</v>
      </c>
      <c r="E77" s="5">
        <v>12584780</v>
      </c>
      <c r="F77" s="5">
        <v>422365</v>
      </c>
      <c r="G77" s="3">
        <f t="shared" si="1"/>
        <v>13007145</v>
      </c>
    </row>
    <row r="78" spans="1:7" x14ac:dyDescent="0.2">
      <c r="A78" s="2">
        <v>2019</v>
      </c>
      <c r="B78" s="4" t="s">
        <v>76</v>
      </c>
      <c r="C78" s="4" t="s">
        <v>232</v>
      </c>
      <c r="D78" s="4" t="s">
        <v>234</v>
      </c>
      <c r="E78" s="5">
        <v>2718227</v>
      </c>
      <c r="F78" s="5">
        <v>91228</v>
      </c>
      <c r="G78" s="3">
        <f t="shared" si="1"/>
        <v>2809455</v>
      </c>
    </row>
    <row r="79" spans="1:7" x14ac:dyDescent="0.2">
      <c r="A79" s="2">
        <v>2019</v>
      </c>
      <c r="B79" s="4" t="s">
        <v>277</v>
      </c>
      <c r="C79" s="4" t="s">
        <v>232</v>
      </c>
      <c r="D79" s="4" t="s">
        <v>234</v>
      </c>
      <c r="E79" s="5">
        <v>17004</v>
      </c>
      <c r="F79" s="4">
        <v>571</v>
      </c>
      <c r="G79" s="3">
        <f t="shared" si="1"/>
        <v>17575</v>
      </c>
    </row>
    <row r="80" spans="1:7" x14ac:dyDescent="0.2">
      <c r="A80" s="2">
        <v>2019</v>
      </c>
      <c r="B80" s="4" t="s">
        <v>78</v>
      </c>
      <c r="C80" s="4" t="s">
        <v>232</v>
      </c>
      <c r="D80" s="4" t="s">
        <v>234</v>
      </c>
      <c r="E80" s="5">
        <v>8219628</v>
      </c>
      <c r="F80" s="5">
        <v>275864</v>
      </c>
      <c r="G80" s="3">
        <f t="shared" si="1"/>
        <v>8495492</v>
      </c>
    </row>
    <row r="81" spans="1:7" x14ac:dyDescent="0.2">
      <c r="A81" s="2">
        <v>2019</v>
      </c>
      <c r="B81" s="4" t="s">
        <v>79</v>
      </c>
      <c r="C81" s="4" t="s">
        <v>232</v>
      </c>
      <c r="D81" s="4" t="s">
        <v>234</v>
      </c>
      <c r="E81" s="5">
        <v>2434420</v>
      </c>
      <c r="F81" s="5">
        <v>81703</v>
      </c>
      <c r="G81" s="3">
        <f t="shared" si="1"/>
        <v>2516123</v>
      </c>
    </row>
    <row r="82" spans="1:7" x14ac:dyDescent="0.2">
      <c r="A82" s="2">
        <v>2019</v>
      </c>
      <c r="B82" s="4" t="s">
        <v>80</v>
      </c>
      <c r="C82" s="4" t="s">
        <v>232</v>
      </c>
      <c r="D82" s="4" t="s">
        <v>234</v>
      </c>
      <c r="E82" s="5">
        <v>333638</v>
      </c>
      <c r="F82" s="5">
        <v>11197</v>
      </c>
      <c r="G82" s="3">
        <f t="shared" si="1"/>
        <v>344835</v>
      </c>
    </row>
    <row r="83" spans="1:7" x14ac:dyDescent="0.2">
      <c r="A83" s="2">
        <v>2019</v>
      </c>
      <c r="B83" s="4" t="s">
        <v>81</v>
      </c>
      <c r="C83" s="4" t="s">
        <v>232</v>
      </c>
      <c r="D83" s="4" t="s">
        <v>234</v>
      </c>
      <c r="E83" s="5">
        <v>7008182</v>
      </c>
      <c r="F83" s="5">
        <v>235206</v>
      </c>
      <c r="G83" s="3">
        <f t="shared" si="1"/>
        <v>7243388</v>
      </c>
    </row>
    <row r="84" spans="1:7" x14ac:dyDescent="0.2">
      <c r="A84" s="2">
        <v>2019</v>
      </c>
      <c r="B84" s="4" t="s">
        <v>82</v>
      </c>
      <c r="C84" s="4" t="s">
        <v>232</v>
      </c>
      <c r="D84" s="4" t="s">
        <v>234</v>
      </c>
      <c r="E84" s="5">
        <v>10802141</v>
      </c>
      <c r="F84" s="5">
        <v>362537</v>
      </c>
      <c r="G84" s="3">
        <f t="shared" si="1"/>
        <v>11164678</v>
      </c>
    </row>
    <row r="85" spans="1:7" x14ac:dyDescent="0.2">
      <c r="A85" s="2">
        <v>2019</v>
      </c>
      <c r="B85" s="4" t="s">
        <v>83</v>
      </c>
      <c r="C85" s="4" t="s">
        <v>232</v>
      </c>
      <c r="D85" s="4" t="s">
        <v>234</v>
      </c>
      <c r="E85" s="5">
        <v>1238882</v>
      </c>
      <c r="F85" s="5">
        <v>41579</v>
      </c>
      <c r="G85" s="3">
        <f t="shared" si="1"/>
        <v>1280461</v>
      </c>
    </row>
    <row r="86" spans="1:7" x14ac:dyDescent="0.2">
      <c r="A86" s="2">
        <v>2019</v>
      </c>
      <c r="B86" s="4" t="s">
        <v>84</v>
      </c>
      <c r="C86" s="4" t="s">
        <v>232</v>
      </c>
      <c r="D86" s="4" t="s">
        <v>234</v>
      </c>
      <c r="E86" s="5">
        <v>16882</v>
      </c>
      <c r="F86" s="4">
        <v>567</v>
      </c>
      <c r="G86" s="3">
        <f t="shared" si="1"/>
        <v>17449</v>
      </c>
    </row>
    <row r="87" spans="1:7" x14ac:dyDescent="0.2">
      <c r="A87" s="2">
        <v>2019</v>
      </c>
      <c r="B87" s="4" t="s">
        <v>85</v>
      </c>
      <c r="C87" s="4" t="s">
        <v>232</v>
      </c>
      <c r="D87" s="4" t="s">
        <v>234</v>
      </c>
      <c r="E87" s="5">
        <v>66214</v>
      </c>
      <c r="F87" s="5">
        <v>2222</v>
      </c>
      <c r="G87" s="3">
        <f t="shared" si="1"/>
        <v>68436</v>
      </c>
    </row>
    <row r="88" spans="1:7" x14ac:dyDescent="0.2">
      <c r="A88" s="2">
        <v>2019</v>
      </c>
      <c r="B88" s="4" t="s">
        <v>86</v>
      </c>
      <c r="C88" s="4" t="s">
        <v>232</v>
      </c>
      <c r="D88" s="4" t="s">
        <v>234</v>
      </c>
      <c r="E88" s="5">
        <v>19730</v>
      </c>
      <c r="F88" s="4">
        <v>662</v>
      </c>
      <c r="G88" s="3">
        <f t="shared" si="1"/>
        <v>20392</v>
      </c>
    </row>
    <row r="89" spans="1:7" x14ac:dyDescent="0.2">
      <c r="A89" s="2">
        <v>2019</v>
      </c>
      <c r="B89" s="4" t="s">
        <v>88</v>
      </c>
      <c r="C89" s="4" t="s">
        <v>232</v>
      </c>
      <c r="D89" s="4" t="s">
        <v>234</v>
      </c>
      <c r="E89" s="5">
        <v>2299765</v>
      </c>
      <c r="F89" s="5">
        <v>77184</v>
      </c>
      <c r="G89" s="3">
        <f t="shared" si="1"/>
        <v>2376949</v>
      </c>
    </row>
    <row r="90" spans="1:7" x14ac:dyDescent="0.2">
      <c r="A90" s="2">
        <v>2019</v>
      </c>
      <c r="B90" s="4" t="s">
        <v>237</v>
      </c>
      <c r="C90" s="4" t="s">
        <v>232</v>
      </c>
      <c r="D90" s="4" t="s">
        <v>234</v>
      </c>
      <c r="E90" s="5">
        <v>17108747</v>
      </c>
      <c r="F90" s="5">
        <v>574197</v>
      </c>
      <c r="G90" s="3">
        <f t="shared" si="1"/>
        <v>17682944</v>
      </c>
    </row>
    <row r="91" spans="1:7" x14ac:dyDescent="0.2">
      <c r="A91" s="2">
        <v>2019</v>
      </c>
      <c r="B91" s="4" t="s">
        <v>91</v>
      </c>
      <c r="C91" s="4" t="s">
        <v>232</v>
      </c>
      <c r="D91" s="4" t="s">
        <v>234</v>
      </c>
      <c r="E91" s="5">
        <v>1399645</v>
      </c>
      <c r="F91" s="5">
        <v>46974</v>
      </c>
      <c r="G91" s="3">
        <f t="shared" si="1"/>
        <v>1446619</v>
      </c>
    </row>
    <row r="92" spans="1:7" x14ac:dyDescent="0.2">
      <c r="A92" s="2">
        <v>2019</v>
      </c>
      <c r="B92" s="4" t="s">
        <v>92</v>
      </c>
      <c r="C92" s="4" t="s">
        <v>232</v>
      </c>
      <c r="D92" s="4" t="s">
        <v>234</v>
      </c>
      <c r="E92" s="5">
        <v>2235437</v>
      </c>
      <c r="F92" s="5">
        <v>75025</v>
      </c>
      <c r="G92" s="3">
        <f t="shared" si="1"/>
        <v>2310462</v>
      </c>
    </row>
    <row r="93" spans="1:7" x14ac:dyDescent="0.2">
      <c r="A93" s="2">
        <v>2019</v>
      </c>
      <c r="B93" s="4" t="s">
        <v>93</v>
      </c>
      <c r="C93" s="4" t="s">
        <v>232</v>
      </c>
      <c r="D93" s="4" t="s">
        <v>234</v>
      </c>
      <c r="E93" s="5">
        <v>771976</v>
      </c>
      <c r="F93" s="5">
        <v>25909</v>
      </c>
      <c r="G93" s="3">
        <f t="shared" si="1"/>
        <v>797885</v>
      </c>
    </row>
    <row r="94" spans="1:7" x14ac:dyDescent="0.2">
      <c r="A94" s="2">
        <v>2019</v>
      </c>
      <c r="B94" s="4" t="s">
        <v>94</v>
      </c>
      <c r="C94" s="4" t="s">
        <v>232</v>
      </c>
      <c r="D94" s="4" t="s">
        <v>234</v>
      </c>
      <c r="E94" s="5">
        <v>73505</v>
      </c>
      <c r="F94" s="5">
        <v>2467</v>
      </c>
      <c r="G94" s="3">
        <f t="shared" si="1"/>
        <v>75972</v>
      </c>
    </row>
    <row r="95" spans="1:7" x14ac:dyDescent="0.2">
      <c r="A95" s="2">
        <v>2019</v>
      </c>
      <c r="B95" s="4" t="s">
        <v>217</v>
      </c>
      <c r="C95" s="4" t="s">
        <v>232</v>
      </c>
      <c r="D95" s="4" t="s">
        <v>234</v>
      </c>
      <c r="E95" s="5">
        <v>13072</v>
      </c>
      <c r="F95" s="4">
        <v>439</v>
      </c>
      <c r="G95" s="3">
        <f t="shared" si="1"/>
        <v>13511</v>
      </c>
    </row>
    <row r="96" spans="1:7" x14ac:dyDescent="0.2">
      <c r="A96" s="2">
        <v>2019</v>
      </c>
      <c r="B96" s="4" t="s">
        <v>95</v>
      </c>
      <c r="C96" s="4" t="s">
        <v>232</v>
      </c>
      <c r="D96" s="4" t="s">
        <v>234</v>
      </c>
      <c r="E96" s="5">
        <v>215560</v>
      </c>
      <c r="F96" s="5">
        <v>7235</v>
      </c>
      <c r="G96" s="3">
        <f t="shared" si="1"/>
        <v>222795</v>
      </c>
    </row>
    <row r="97" spans="1:7" x14ac:dyDescent="0.2">
      <c r="A97" s="2">
        <v>2019</v>
      </c>
      <c r="B97" s="4" t="s">
        <v>96</v>
      </c>
      <c r="C97" s="4" t="s">
        <v>232</v>
      </c>
      <c r="D97" s="4" t="s">
        <v>234</v>
      </c>
      <c r="E97" s="5">
        <v>7279</v>
      </c>
      <c r="F97" s="4">
        <v>244</v>
      </c>
      <c r="G97" s="3">
        <f t="shared" si="1"/>
        <v>7523</v>
      </c>
    </row>
    <row r="98" spans="1:7" x14ac:dyDescent="0.2">
      <c r="A98" s="2">
        <v>2019</v>
      </c>
      <c r="B98" s="4" t="s">
        <v>97</v>
      </c>
      <c r="C98" s="4" t="s">
        <v>232</v>
      </c>
      <c r="D98" s="4" t="s">
        <v>234</v>
      </c>
      <c r="E98" s="5">
        <v>39521</v>
      </c>
      <c r="F98" s="5">
        <v>1326</v>
      </c>
      <c r="G98" s="3">
        <f t="shared" si="1"/>
        <v>40847</v>
      </c>
    </row>
    <row r="99" spans="1:7" x14ac:dyDescent="0.2">
      <c r="A99" s="2">
        <v>2019</v>
      </c>
      <c r="B99" s="4" t="s">
        <v>98</v>
      </c>
      <c r="C99" s="4" t="s">
        <v>232</v>
      </c>
      <c r="D99" s="4" t="s">
        <v>234</v>
      </c>
      <c r="E99" s="5">
        <v>1680360</v>
      </c>
      <c r="F99" s="5">
        <v>56396</v>
      </c>
      <c r="G99" s="3">
        <f t="shared" si="1"/>
        <v>1736756</v>
      </c>
    </row>
    <row r="100" spans="1:7" x14ac:dyDescent="0.2">
      <c r="A100" s="2">
        <v>2019</v>
      </c>
      <c r="B100" s="4" t="s">
        <v>99</v>
      </c>
      <c r="C100" s="4" t="s">
        <v>232</v>
      </c>
      <c r="D100" s="4" t="s">
        <v>234</v>
      </c>
      <c r="E100" s="5">
        <v>54566</v>
      </c>
      <c r="F100" s="5">
        <v>1831</v>
      </c>
      <c r="G100" s="3">
        <f t="shared" si="1"/>
        <v>56397</v>
      </c>
    </row>
    <row r="101" spans="1:7" x14ac:dyDescent="0.2">
      <c r="A101" s="2">
        <v>2019</v>
      </c>
      <c r="B101" s="4" t="s">
        <v>100</v>
      </c>
      <c r="C101" s="4" t="s">
        <v>232</v>
      </c>
      <c r="D101" s="4" t="s">
        <v>234</v>
      </c>
      <c r="E101" s="5">
        <v>16322</v>
      </c>
      <c r="F101" s="4">
        <v>548</v>
      </c>
      <c r="G101" s="3">
        <f t="shared" si="1"/>
        <v>16870</v>
      </c>
    </row>
    <row r="102" spans="1:7" x14ac:dyDescent="0.2">
      <c r="A102" s="2">
        <v>2019</v>
      </c>
      <c r="B102" s="4" t="s">
        <v>101</v>
      </c>
      <c r="C102" s="4" t="s">
        <v>232</v>
      </c>
      <c r="D102" s="4" t="s">
        <v>234</v>
      </c>
      <c r="E102" s="5">
        <v>89450</v>
      </c>
      <c r="F102" s="5">
        <v>3002</v>
      </c>
      <c r="G102" s="3">
        <f t="shared" si="1"/>
        <v>92452</v>
      </c>
    </row>
    <row r="103" spans="1:7" x14ac:dyDescent="0.2">
      <c r="A103" s="2">
        <v>2019</v>
      </c>
      <c r="B103" s="4" t="s">
        <v>103</v>
      </c>
      <c r="C103" s="4" t="s">
        <v>232</v>
      </c>
      <c r="D103" s="4" t="s">
        <v>234</v>
      </c>
      <c r="E103" s="5">
        <v>3742193</v>
      </c>
      <c r="F103" s="5">
        <v>125594</v>
      </c>
      <c r="G103" s="3">
        <f t="shared" si="1"/>
        <v>3867787</v>
      </c>
    </row>
    <row r="104" spans="1:7" x14ac:dyDescent="0.2">
      <c r="A104" s="2">
        <v>2019</v>
      </c>
      <c r="B104" s="4" t="s">
        <v>238</v>
      </c>
      <c r="C104" s="4" t="s">
        <v>232</v>
      </c>
      <c r="D104" s="4" t="s">
        <v>234</v>
      </c>
      <c r="E104" s="5">
        <v>770029</v>
      </c>
      <c r="F104" s="5">
        <v>25843</v>
      </c>
      <c r="G104" s="3">
        <f t="shared" si="1"/>
        <v>795872</v>
      </c>
    </row>
    <row r="105" spans="1:7" x14ac:dyDescent="0.2">
      <c r="A105" s="2">
        <v>2019</v>
      </c>
      <c r="B105" s="4" t="s">
        <v>105</v>
      </c>
      <c r="C105" s="4" t="s">
        <v>232</v>
      </c>
      <c r="D105" s="4" t="s">
        <v>234</v>
      </c>
      <c r="E105" s="5">
        <v>4390310</v>
      </c>
      <c r="F105" s="5">
        <v>147346</v>
      </c>
      <c r="G105" s="3">
        <f t="shared" si="1"/>
        <v>4537656</v>
      </c>
    </row>
    <row r="106" spans="1:7" x14ac:dyDescent="0.2">
      <c r="A106" s="2">
        <v>2019</v>
      </c>
      <c r="B106" s="4" t="s">
        <v>106</v>
      </c>
      <c r="C106" s="4" t="s">
        <v>232</v>
      </c>
      <c r="D106" s="4" t="s">
        <v>234</v>
      </c>
      <c r="E106" s="5">
        <v>58132</v>
      </c>
      <c r="F106" s="5">
        <v>1951</v>
      </c>
      <c r="G106" s="3">
        <f t="shared" si="1"/>
        <v>60083</v>
      </c>
    </row>
    <row r="107" spans="1:7" x14ac:dyDescent="0.2">
      <c r="A107" s="2">
        <v>2019</v>
      </c>
      <c r="B107" s="4" t="s">
        <v>107</v>
      </c>
      <c r="C107" s="4" t="s">
        <v>232</v>
      </c>
      <c r="D107" s="4" t="s">
        <v>234</v>
      </c>
      <c r="E107" s="5">
        <v>284525</v>
      </c>
      <c r="F107" s="5">
        <v>9549</v>
      </c>
      <c r="G107" s="3">
        <f t="shared" si="1"/>
        <v>294074</v>
      </c>
    </row>
    <row r="108" spans="1:7" x14ac:dyDescent="0.2">
      <c r="A108" s="2">
        <v>2019</v>
      </c>
      <c r="B108" s="4" t="s">
        <v>108</v>
      </c>
      <c r="C108" s="4" t="s">
        <v>232</v>
      </c>
      <c r="D108" s="4" t="s">
        <v>234</v>
      </c>
      <c r="E108" s="5">
        <v>4629776</v>
      </c>
      <c r="F108" s="5">
        <v>155383</v>
      </c>
      <c r="G108" s="3">
        <f t="shared" si="1"/>
        <v>4785159</v>
      </c>
    </row>
    <row r="109" spans="1:7" x14ac:dyDescent="0.2">
      <c r="A109" s="2">
        <v>2019</v>
      </c>
      <c r="B109" s="4" t="s">
        <v>109</v>
      </c>
      <c r="C109" s="4" t="s">
        <v>232</v>
      </c>
      <c r="D109" s="4" t="s">
        <v>234</v>
      </c>
      <c r="E109" s="5">
        <v>1526997</v>
      </c>
      <c r="F109" s="5">
        <v>51248</v>
      </c>
      <c r="G109" s="3">
        <f t="shared" si="1"/>
        <v>1578245</v>
      </c>
    </row>
    <row r="110" spans="1:7" x14ac:dyDescent="0.2">
      <c r="A110" s="2">
        <v>2019</v>
      </c>
      <c r="B110" s="4" t="s">
        <v>110</v>
      </c>
      <c r="C110" s="4" t="s">
        <v>232</v>
      </c>
      <c r="D110" s="4" t="s">
        <v>234</v>
      </c>
      <c r="E110" s="5">
        <v>2935467</v>
      </c>
      <c r="F110" s="5">
        <v>98519</v>
      </c>
      <c r="G110" s="3">
        <f t="shared" si="1"/>
        <v>3033986</v>
      </c>
    </row>
    <row r="111" spans="1:7" x14ac:dyDescent="0.2">
      <c r="A111" s="2">
        <v>2019</v>
      </c>
      <c r="B111" s="4" t="s">
        <v>111</v>
      </c>
      <c r="C111" s="4" t="s">
        <v>232</v>
      </c>
      <c r="D111" s="4" t="s">
        <v>234</v>
      </c>
      <c r="E111" s="5">
        <v>446177</v>
      </c>
      <c r="F111" s="5">
        <v>14974</v>
      </c>
      <c r="G111" s="3">
        <f t="shared" si="1"/>
        <v>461151</v>
      </c>
    </row>
    <row r="112" spans="1:7" x14ac:dyDescent="0.2">
      <c r="A112" s="2">
        <v>2019</v>
      </c>
      <c r="B112" s="4" t="s">
        <v>112</v>
      </c>
      <c r="C112" s="4" t="s">
        <v>232</v>
      </c>
      <c r="D112" s="4" t="s">
        <v>234</v>
      </c>
      <c r="E112" s="5">
        <v>693785</v>
      </c>
      <c r="F112" s="5">
        <v>23285</v>
      </c>
      <c r="G112" s="3">
        <f t="shared" si="1"/>
        <v>717070</v>
      </c>
    </row>
    <row r="113" spans="1:7" x14ac:dyDescent="0.2">
      <c r="A113" s="2">
        <v>2019</v>
      </c>
      <c r="B113" s="4" t="s">
        <v>113</v>
      </c>
      <c r="C113" s="4" t="s">
        <v>232</v>
      </c>
      <c r="D113" s="4" t="s">
        <v>234</v>
      </c>
      <c r="E113" s="5">
        <v>885562</v>
      </c>
      <c r="F113" s="5">
        <v>29721</v>
      </c>
      <c r="G113" s="3">
        <f t="shared" si="1"/>
        <v>915283</v>
      </c>
    </row>
    <row r="114" spans="1:7" x14ac:dyDescent="0.2">
      <c r="A114" s="2">
        <v>2019</v>
      </c>
      <c r="B114" s="4" t="s">
        <v>114</v>
      </c>
      <c r="C114" s="4" t="s">
        <v>232</v>
      </c>
      <c r="D114" s="4" t="s">
        <v>234</v>
      </c>
      <c r="E114" s="5">
        <v>1067663</v>
      </c>
      <c r="F114" s="5">
        <v>35832</v>
      </c>
      <c r="G114" s="3">
        <f t="shared" si="1"/>
        <v>1103495</v>
      </c>
    </row>
    <row r="115" spans="1:7" x14ac:dyDescent="0.2">
      <c r="A115" s="2">
        <v>2019</v>
      </c>
      <c r="B115" s="4" t="s">
        <v>115</v>
      </c>
      <c r="C115" s="4" t="s">
        <v>232</v>
      </c>
      <c r="D115" s="4" t="s">
        <v>234</v>
      </c>
      <c r="E115" s="5">
        <v>2575916</v>
      </c>
      <c r="F115" s="5">
        <v>86452</v>
      </c>
      <c r="G115" s="3">
        <f t="shared" si="1"/>
        <v>2662368</v>
      </c>
    </row>
    <row r="116" spans="1:7" x14ac:dyDescent="0.2">
      <c r="A116" s="2">
        <v>2019</v>
      </c>
      <c r="B116" s="4" t="s">
        <v>116</v>
      </c>
      <c r="C116" s="4" t="s">
        <v>232</v>
      </c>
      <c r="D116" s="4" t="s">
        <v>234</v>
      </c>
      <c r="E116" s="5">
        <v>1858298</v>
      </c>
      <c r="F116" s="5">
        <v>62367</v>
      </c>
      <c r="G116" s="3">
        <f t="shared" si="1"/>
        <v>1920665</v>
      </c>
    </row>
    <row r="117" spans="1:7" x14ac:dyDescent="0.2">
      <c r="A117" s="2">
        <v>2019</v>
      </c>
      <c r="B117" s="4" t="s">
        <v>117</v>
      </c>
      <c r="C117" s="4" t="s">
        <v>232</v>
      </c>
      <c r="D117" s="4" t="s">
        <v>234</v>
      </c>
      <c r="E117" s="5">
        <v>7000197</v>
      </c>
      <c r="F117" s="5">
        <v>234938</v>
      </c>
      <c r="G117" s="3">
        <f t="shared" si="1"/>
        <v>7235135</v>
      </c>
    </row>
    <row r="118" spans="1:7" x14ac:dyDescent="0.2">
      <c r="A118" s="2">
        <v>2019</v>
      </c>
      <c r="B118" s="4" t="s">
        <v>119</v>
      </c>
      <c r="C118" s="4" t="s">
        <v>232</v>
      </c>
      <c r="D118" s="4" t="s">
        <v>234</v>
      </c>
      <c r="E118" s="5">
        <v>14789</v>
      </c>
      <c r="F118" s="4">
        <v>496</v>
      </c>
      <c r="G118" s="3">
        <f t="shared" si="1"/>
        <v>15285</v>
      </c>
    </row>
    <row r="119" spans="1:7" x14ac:dyDescent="0.2">
      <c r="A119" s="2">
        <v>2019</v>
      </c>
      <c r="B119" s="4" t="s">
        <v>120</v>
      </c>
      <c r="C119" s="4" t="s">
        <v>232</v>
      </c>
      <c r="D119" s="4" t="s">
        <v>234</v>
      </c>
      <c r="E119" s="5">
        <v>2694066</v>
      </c>
      <c r="F119" s="5">
        <v>90417</v>
      </c>
      <c r="G119" s="3">
        <f t="shared" si="1"/>
        <v>2784483</v>
      </c>
    </row>
    <row r="120" spans="1:7" x14ac:dyDescent="0.2">
      <c r="A120" s="2">
        <v>2019</v>
      </c>
      <c r="B120" s="4" t="s">
        <v>121</v>
      </c>
      <c r="C120" s="4" t="s">
        <v>232</v>
      </c>
      <c r="D120" s="4" t="s">
        <v>234</v>
      </c>
      <c r="E120" s="5">
        <v>1405354</v>
      </c>
      <c r="F120" s="5">
        <v>47166</v>
      </c>
      <c r="G120" s="3">
        <f t="shared" si="1"/>
        <v>1452520</v>
      </c>
    </row>
    <row r="121" spans="1:7" x14ac:dyDescent="0.2">
      <c r="A121" s="2">
        <v>2019</v>
      </c>
      <c r="B121" s="4" t="s">
        <v>122</v>
      </c>
      <c r="C121" s="4" t="s">
        <v>232</v>
      </c>
      <c r="D121" s="4" t="s">
        <v>234</v>
      </c>
      <c r="E121" s="5">
        <v>1326177</v>
      </c>
      <c r="F121" s="5">
        <v>44509</v>
      </c>
      <c r="G121" s="3">
        <f t="shared" si="1"/>
        <v>1370686</v>
      </c>
    </row>
    <row r="122" spans="1:7" x14ac:dyDescent="0.2">
      <c r="A122" s="2">
        <v>2019</v>
      </c>
      <c r="B122" s="4" t="s">
        <v>240</v>
      </c>
      <c r="C122" s="4" t="s">
        <v>232</v>
      </c>
      <c r="D122" s="4" t="s">
        <v>234</v>
      </c>
      <c r="E122" s="5">
        <v>2502837</v>
      </c>
      <c r="F122" s="5">
        <v>83999</v>
      </c>
      <c r="G122" s="3">
        <f t="shared" si="1"/>
        <v>2586836</v>
      </c>
    </row>
    <row r="123" spans="1:7" x14ac:dyDescent="0.2">
      <c r="A123" s="2">
        <v>2019</v>
      </c>
      <c r="B123" s="4" t="s">
        <v>124</v>
      </c>
      <c r="C123" s="4" t="s">
        <v>232</v>
      </c>
      <c r="D123" s="4" t="s">
        <v>234</v>
      </c>
      <c r="E123" s="5">
        <v>899085</v>
      </c>
      <c r="F123" s="5">
        <v>30175</v>
      </c>
      <c r="G123" s="3">
        <f t="shared" si="1"/>
        <v>929260</v>
      </c>
    </row>
    <row r="124" spans="1:7" x14ac:dyDescent="0.2">
      <c r="A124" s="2">
        <v>2019</v>
      </c>
      <c r="B124" s="4" t="s">
        <v>125</v>
      </c>
      <c r="C124" s="4" t="s">
        <v>232</v>
      </c>
      <c r="D124" s="4" t="s">
        <v>234</v>
      </c>
      <c r="E124" s="5">
        <v>1064315</v>
      </c>
      <c r="F124" s="5">
        <v>35720</v>
      </c>
      <c r="G124" s="3">
        <f t="shared" si="1"/>
        <v>1100035</v>
      </c>
    </row>
    <row r="125" spans="1:7" x14ac:dyDescent="0.2">
      <c r="A125" s="2">
        <v>2019</v>
      </c>
      <c r="B125" s="4" t="s">
        <v>126</v>
      </c>
      <c r="C125" s="4" t="s">
        <v>232</v>
      </c>
      <c r="D125" s="4" t="s">
        <v>234</v>
      </c>
      <c r="E125" s="5">
        <v>1614268</v>
      </c>
      <c r="F125" s="5">
        <v>54177</v>
      </c>
      <c r="G125" s="3">
        <f t="shared" si="1"/>
        <v>1668445</v>
      </c>
    </row>
    <row r="126" spans="1:7" x14ac:dyDescent="0.2">
      <c r="A126" s="2">
        <v>2019</v>
      </c>
      <c r="B126" s="4" t="s">
        <v>127</v>
      </c>
      <c r="C126" s="4" t="s">
        <v>232</v>
      </c>
      <c r="D126" s="4" t="s">
        <v>234</v>
      </c>
      <c r="E126" s="5">
        <v>2445593</v>
      </c>
      <c r="F126" s="5">
        <v>82078</v>
      </c>
      <c r="G126" s="3">
        <f t="shared" si="1"/>
        <v>2527671</v>
      </c>
    </row>
    <row r="127" spans="1:7" x14ac:dyDescent="0.2">
      <c r="A127" s="2">
        <v>2019</v>
      </c>
      <c r="B127" s="4" t="s">
        <v>128</v>
      </c>
      <c r="C127" s="4" t="s">
        <v>232</v>
      </c>
      <c r="D127" s="4" t="s">
        <v>234</v>
      </c>
      <c r="E127" s="5">
        <v>723509</v>
      </c>
      <c r="F127" s="5">
        <v>24282</v>
      </c>
      <c r="G127" s="3">
        <f t="shared" si="1"/>
        <v>747791</v>
      </c>
    </row>
    <row r="128" spans="1:7" x14ac:dyDescent="0.2">
      <c r="A128" s="2">
        <v>2019</v>
      </c>
      <c r="B128" s="4" t="s">
        <v>129</v>
      </c>
      <c r="C128" s="4" t="s">
        <v>232</v>
      </c>
      <c r="D128" s="4" t="s">
        <v>234</v>
      </c>
      <c r="E128" s="5">
        <v>5651150</v>
      </c>
      <c r="F128" s="5">
        <v>189662</v>
      </c>
      <c r="G128" s="3">
        <f t="shared" si="1"/>
        <v>5840812</v>
      </c>
    </row>
    <row r="129" spans="1:7" x14ac:dyDescent="0.2">
      <c r="A129" s="2">
        <v>2019</v>
      </c>
      <c r="B129" s="4" t="s">
        <v>130</v>
      </c>
      <c r="C129" s="4" t="s">
        <v>232</v>
      </c>
      <c r="D129" s="4" t="s">
        <v>234</v>
      </c>
      <c r="E129" s="5">
        <v>159851</v>
      </c>
      <c r="F129" s="5">
        <v>5365</v>
      </c>
      <c r="G129" s="3">
        <f t="shared" si="1"/>
        <v>165216</v>
      </c>
    </row>
    <row r="130" spans="1:7" x14ac:dyDescent="0.2">
      <c r="A130" s="2">
        <v>2019</v>
      </c>
      <c r="B130" s="4" t="s">
        <v>131</v>
      </c>
      <c r="C130" s="4" t="s">
        <v>232</v>
      </c>
      <c r="D130" s="4" t="s">
        <v>234</v>
      </c>
      <c r="E130" s="5">
        <v>15714</v>
      </c>
      <c r="F130" s="4">
        <v>527</v>
      </c>
      <c r="G130" s="3">
        <f t="shared" si="1"/>
        <v>16241</v>
      </c>
    </row>
    <row r="131" spans="1:7" x14ac:dyDescent="0.2">
      <c r="A131" s="2">
        <v>2019</v>
      </c>
      <c r="B131" s="4" t="s">
        <v>132</v>
      </c>
      <c r="C131" s="4" t="s">
        <v>232</v>
      </c>
      <c r="D131" s="4" t="s">
        <v>234</v>
      </c>
      <c r="E131" s="5">
        <v>16164</v>
      </c>
      <c r="F131" s="4">
        <v>542</v>
      </c>
      <c r="G131" s="3">
        <f t="shared" ref="G131:G194" si="2">SUM(E131:F131)</f>
        <v>16706</v>
      </c>
    </row>
    <row r="132" spans="1:7" x14ac:dyDescent="0.2">
      <c r="A132" s="2">
        <v>2019</v>
      </c>
      <c r="B132" s="4" t="s">
        <v>133</v>
      </c>
      <c r="C132" s="4" t="s">
        <v>232</v>
      </c>
      <c r="D132" s="4" t="s">
        <v>234</v>
      </c>
      <c r="E132" s="5">
        <v>756798</v>
      </c>
      <c r="F132" s="5">
        <v>25399</v>
      </c>
      <c r="G132" s="3">
        <f t="shared" si="2"/>
        <v>782197</v>
      </c>
    </row>
    <row r="133" spans="1:7" x14ac:dyDescent="0.2">
      <c r="A133" s="2">
        <v>2019</v>
      </c>
      <c r="B133" s="4" t="s">
        <v>134</v>
      </c>
      <c r="C133" s="4" t="s">
        <v>232</v>
      </c>
      <c r="D133" s="4" t="s">
        <v>234</v>
      </c>
      <c r="E133" s="5">
        <v>1053823</v>
      </c>
      <c r="F133" s="5">
        <v>35368</v>
      </c>
      <c r="G133" s="3">
        <f t="shared" si="2"/>
        <v>1089191</v>
      </c>
    </row>
    <row r="134" spans="1:7" x14ac:dyDescent="0.2">
      <c r="A134" s="2">
        <v>2019</v>
      </c>
      <c r="B134" s="4" t="s">
        <v>135</v>
      </c>
      <c r="C134" s="4" t="s">
        <v>232</v>
      </c>
      <c r="D134" s="4" t="s">
        <v>234</v>
      </c>
      <c r="E134" s="5">
        <v>1693847</v>
      </c>
      <c r="F134" s="5">
        <v>56848</v>
      </c>
      <c r="G134" s="3">
        <f t="shared" si="2"/>
        <v>1750695</v>
      </c>
    </row>
    <row r="135" spans="1:7" x14ac:dyDescent="0.2">
      <c r="A135" s="2">
        <v>2019</v>
      </c>
      <c r="B135" s="4" t="s">
        <v>136</v>
      </c>
      <c r="C135" s="4" t="s">
        <v>232</v>
      </c>
      <c r="D135" s="4" t="s">
        <v>234</v>
      </c>
      <c r="E135" s="5">
        <v>470228</v>
      </c>
      <c r="F135" s="5">
        <v>15782</v>
      </c>
      <c r="G135" s="3">
        <f t="shared" si="2"/>
        <v>486010</v>
      </c>
    </row>
    <row r="136" spans="1:7" x14ac:dyDescent="0.2">
      <c r="A136" s="2">
        <v>2019</v>
      </c>
      <c r="B136" s="4" t="s">
        <v>137</v>
      </c>
      <c r="C136" s="4" t="s">
        <v>232</v>
      </c>
      <c r="D136" s="4" t="s">
        <v>234</v>
      </c>
      <c r="E136" s="5">
        <v>353465</v>
      </c>
      <c r="F136" s="5">
        <v>11863</v>
      </c>
      <c r="G136" s="3">
        <f t="shared" si="2"/>
        <v>365328</v>
      </c>
    </row>
    <row r="137" spans="1:7" x14ac:dyDescent="0.2">
      <c r="A137" s="2">
        <v>2019</v>
      </c>
      <c r="B137" s="4" t="s">
        <v>265</v>
      </c>
      <c r="C137" s="4" t="s">
        <v>232</v>
      </c>
      <c r="D137" s="4" t="s">
        <v>234</v>
      </c>
      <c r="E137" s="5">
        <v>2605359</v>
      </c>
      <c r="F137" s="5">
        <v>87440</v>
      </c>
      <c r="G137" s="3">
        <f t="shared" si="2"/>
        <v>2692799</v>
      </c>
    </row>
    <row r="138" spans="1:7" x14ac:dyDescent="0.2">
      <c r="A138" s="2">
        <v>2019</v>
      </c>
      <c r="B138" s="4" t="s">
        <v>266</v>
      </c>
      <c r="C138" s="4" t="s">
        <v>232</v>
      </c>
      <c r="D138" s="4" t="s">
        <v>234</v>
      </c>
      <c r="E138" s="5">
        <v>11040</v>
      </c>
      <c r="F138" s="4">
        <v>371</v>
      </c>
      <c r="G138" s="3">
        <f t="shared" si="2"/>
        <v>11411</v>
      </c>
    </row>
    <row r="139" spans="1:7" x14ac:dyDescent="0.2">
      <c r="A139" s="2">
        <v>2019</v>
      </c>
      <c r="B139" s="4" t="s">
        <v>138</v>
      </c>
      <c r="C139" s="4" t="s">
        <v>232</v>
      </c>
      <c r="D139" s="4" t="s">
        <v>234</v>
      </c>
      <c r="E139" s="5">
        <v>80163</v>
      </c>
      <c r="F139" s="5">
        <v>2690</v>
      </c>
      <c r="G139" s="3">
        <f t="shared" si="2"/>
        <v>82853</v>
      </c>
    </row>
    <row r="140" spans="1:7" x14ac:dyDescent="0.2">
      <c r="A140" s="2">
        <v>2019</v>
      </c>
      <c r="B140" s="4" t="s">
        <v>139</v>
      </c>
      <c r="C140" s="4" t="s">
        <v>232</v>
      </c>
      <c r="D140" s="4" t="s">
        <v>234</v>
      </c>
      <c r="E140" s="5">
        <v>1736411</v>
      </c>
      <c r="F140" s="5">
        <v>58277</v>
      </c>
      <c r="G140" s="3">
        <f t="shared" si="2"/>
        <v>1794688</v>
      </c>
    </row>
    <row r="141" spans="1:7" x14ac:dyDescent="0.2">
      <c r="A141" s="2">
        <v>2019</v>
      </c>
      <c r="B141" s="4" t="s">
        <v>140</v>
      </c>
      <c r="C141" s="4" t="s">
        <v>232</v>
      </c>
      <c r="D141" s="4" t="s">
        <v>234</v>
      </c>
      <c r="E141" s="5">
        <v>22919</v>
      </c>
      <c r="F141" s="4">
        <v>769</v>
      </c>
      <c r="G141" s="3">
        <f t="shared" si="2"/>
        <v>23688</v>
      </c>
    </row>
    <row r="142" spans="1:7" x14ac:dyDescent="0.2">
      <c r="A142" s="2">
        <v>2019</v>
      </c>
      <c r="B142" s="4" t="s">
        <v>141</v>
      </c>
      <c r="C142" s="4" t="s">
        <v>232</v>
      </c>
      <c r="D142" s="4" t="s">
        <v>234</v>
      </c>
      <c r="E142" s="5">
        <v>42966</v>
      </c>
      <c r="F142" s="5">
        <v>1442</v>
      </c>
      <c r="G142" s="3">
        <f t="shared" si="2"/>
        <v>44408</v>
      </c>
    </row>
    <row r="143" spans="1:7" x14ac:dyDescent="0.2">
      <c r="A143" s="2">
        <v>2019</v>
      </c>
      <c r="B143" s="4" t="s">
        <v>142</v>
      </c>
      <c r="C143" s="4" t="s">
        <v>232</v>
      </c>
      <c r="D143" s="4" t="s">
        <v>234</v>
      </c>
      <c r="E143" s="5">
        <v>484603</v>
      </c>
      <c r="F143" s="5">
        <v>16264</v>
      </c>
      <c r="G143" s="3">
        <f t="shared" si="2"/>
        <v>500867</v>
      </c>
    </row>
    <row r="144" spans="1:7" x14ac:dyDescent="0.2">
      <c r="A144" s="2">
        <v>2019</v>
      </c>
      <c r="B144" s="4" t="s">
        <v>143</v>
      </c>
      <c r="C144" s="4" t="s">
        <v>232</v>
      </c>
      <c r="D144" s="4" t="s">
        <v>234</v>
      </c>
      <c r="E144" s="5">
        <v>1036211</v>
      </c>
      <c r="F144" s="5">
        <v>34777</v>
      </c>
      <c r="G144" s="3">
        <f t="shared" si="2"/>
        <v>1070988</v>
      </c>
    </row>
    <row r="145" spans="1:7" x14ac:dyDescent="0.2">
      <c r="A145" s="2">
        <v>2019</v>
      </c>
      <c r="B145" s="4" t="s">
        <v>144</v>
      </c>
      <c r="C145" s="4" t="s">
        <v>232</v>
      </c>
      <c r="D145" s="4" t="s">
        <v>234</v>
      </c>
      <c r="E145" s="5">
        <v>601585</v>
      </c>
      <c r="F145" s="5">
        <v>20190</v>
      </c>
      <c r="G145" s="3">
        <f t="shared" si="2"/>
        <v>621775</v>
      </c>
    </row>
    <row r="146" spans="1:7" x14ac:dyDescent="0.2">
      <c r="A146" s="2">
        <v>2019</v>
      </c>
      <c r="B146" s="4" t="s">
        <v>145</v>
      </c>
      <c r="C146" s="4" t="s">
        <v>232</v>
      </c>
      <c r="D146" s="4" t="s">
        <v>234</v>
      </c>
      <c r="E146" s="5">
        <v>693883</v>
      </c>
      <c r="F146" s="5">
        <v>23288</v>
      </c>
      <c r="G146" s="3">
        <f t="shared" si="2"/>
        <v>717171</v>
      </c>
    </row>
    <row r="147" spans="1:7" x14ac:dyDescent="0.2">
      <c r="A147" s="2">
        <v>2019</v>
      </c>
      <c r="B147" s="4" t="s">
        <v>146</v>
      </c>
      <c r="C147" s="4" t="s">
        <v>232</v>
      </c>
      <c r="D147" s="4" t="s">
        <v>234</v>
      </c>
      <c r="E147" s="5">
        <v>7480418</v>
      </c>
      <c r="F147" s="5">
        <v>251055</v>
      </c>
      <c r="G147" s="3">
        <f t="shared" si="2"/>
        <v>7731473</v>
      </c>
    </row>
    <row r="148" spans="1:7" x14ac:dyDescent="0.2">
      <c r="A148" s="2">
        <v>2019</v>
      </c>
      <c r="B148" s="4" t="s">
        <v>147</v>
      </c>
      <c r="C148" s="4" t="s">
        <v>232</v>
      </c>
      <c r="D148" s="4" t="s">
        <v>234</v>
      </c>
      <c r="E148" s="5">
        <v>10711</v>
      </c>
      <c r="F148" s="4">
        <v>359</v>
      </c>
      <c r="G148" s="3">
        <f t="shared" si="2"/>
        <v>11070</v>
      </c>
    </row>
    <row r="149" spans="1:7" x14ac:dyDescent="0.2">
      <c r="A149" s="2">
        <v>2019</v>
      </c>
      <c r="B149" s="4" t="s">
        <v>148</v>
      </c>
      <c r="C149" s="4" t="s">
        <v>232</v>
      </c>
      <c r="D149" s="4" t="s">
        <v>234</v>
      </c>
      <c r="E149" s="5">
        <v>141070</v>
      </c>
      <c r="F149" s="5">
        <v>4735</v>
      </c>
      <c r="G149" s="3">
        <f t="shared" si="2"/>
        <v>145805</v>
      </c>
    </row>
    <row r="150" spans="1:7" x14ac:dyDescent="0.2">
      <c r="A150" s="2">
        <v>2019</v>
      </c>
      <c r="B150" s="4" t="s">
        <v>149</v>
      </c>
      <c r="C150" s="4" t="s">
        <v>232</v>
      </c>
      <c r="D150" s="4" t="s">
        <v>234</v>
      </c>
      <c r="E150" s="5">
        <v>435880</v>
      </c>
      <c r="F150" s="5">
        <v>14629</v>
      </c>
      <c r="G150" s="3">
        <f t="shared" si="2"/>
        <v>450509</v>
      </c>
    </row>
    <row r="151" spans="1:7" x14ac:dyDescent="0.2">
      <c r="A151" s="2">
        <v>2019</v>
      </c>
      <c r="B151" s="4" t="s">
        <v>150</v>
      </c>
      <c r="C151" s="4" t="s">
        <v>232</v>
      </c>
      <c r="D151" s="4" t="s">
        <v>234</v>
      </c>
      <c r="E151" s="5">
        <v>724324</v>
      </c>
      <c r="F151" s="5">
        <v>24309</v>
      </c>
      <c r="G151" s="3">
        <f t="shared" si="2"/>
        <v>748633</v>
      </c>
    </row>
    <row r="152" spans="1:7" x14ac:dyDescent="0.2">
      <c r="A152" s="2">
        <v>2019</v>
      </c>
      <c r="B152" s="4" t="s">
        <v>151</v>
      </c>
      <c r="C152" s="4" t="s">
        <v>232</v>
      </c>
      <c r="D152" s="4" t="s">
        <v>234</v>
      </c>
      <c r="E152" s="5">
        <v>28348</v>
      </c>
      <c r="F152" s="4">
        <v>951</v>
      </c>
      <c r="G152" s="3">
        <f t="shared" si="2"/>
        <v>29299</v>
      </c>
    </row>
    <row r="153" spans="1:7" x14ac:dyDescent="0.2">
      <c r="A153" s="2">
        <v>2019</v>
      </c>
      <c r="B153" s="4" t="s">
        <v>152</v>
      </c>
      <c r="C153" s="4" t="s">
        <v>232</v>
      </c>
      <c r="D153" s="4" t="s">
        <v>234</v>
      </c>
      <c r="E153" s="5">
        <v>817523</v>
      </c>
      <c r="F153" s="5">
        <v>27437</v>
      </c>
      <c r="G153" s="3">
        <f t="shared" si="2"/>
        <v>844960</v>
      </c>
    </row>
    <row r="154" spans="1:7" x14ac:dyDescent="0.2">
      <c r="A154" s="2">
        <v>2019</v>
      </c>
      <c r="B154" s="4" t="s">
        <v>153</v>
      </c>
      <c r="C154" s="4" t="s">
        <v>232</v>
      </c>
      <c r="D154" s="4" t="s">
        <v>234</v>
      </c>
      <c r="E154" s="5">
        <v>1031854</v>
      </c>
      <c r="F154" s="5">
        <v>34631</v>
      </c>
      <c r="G154" s="3">
        <f t="shared" si="2"/>
        <v>1066485</v>
      </c>
    </row>
    <row r="155" spans="1:7" x14ac:dyDescent="0.2">
      <c r="A155" s="2">
        <v>2019</v>
      </c>
      <c r="B155" s="4" t="s">
        <v>68</v>
      </c>
      <c r="C155" s="4" t="s">
        <v>232</v>
      </c>
      <c r="D155" s="4" t="s">
        <v>234</v>
      </c>
      <c r="E155" s="5">
        <v>19974373</v>
      </c>
      <c r="F155" s="5">
        <v>670372</v>
      </c>
      <c r="G155" s="3">
        <f t="shared" si="2"/>
        <v>20644745</v>
      </c>
    </row>
    <row r="156" spans="1:7" x14ac:dyDescent="0.2">
      <c r="A156" s="2">
        <v>2019</v>
      </c>
      <c r="B156" s="4" t="s">
        <v>267</v>
      </c>
      <c r="C156" s="4" t="s">
        <v>232</v>
      </c>
      <c r="D156" s="4" t="s">
        <v>234</v>
      </c>
      <c r="E156" s="5">
        <v>233209</v>
      </c>
      <c r="F156" s="5">
        <v>7827</v>
      </c>
      <c r="G156" s="3">
        <f t="shared" si="2"/>
        <v>241036</v>
      </c>
    </row>
    <row r="157" spans="1:7" x14ac:dyDescent="0.2">
      <c r="A157" s="2">
        <v>2019</v>
      </c>
      <c r="B157" s="4" t="s">
        <v>242</v>
      </c>
      <c r="C157" s="4" t="s">
        <v>232</v>
      </c>
      <c r="D157" s="4" t="s">
        <v>234</v>
      </c>
      <c r="E157" s="5">
        <v>80163</v>
      </c>
      <c r="F157" s="5">
        <v>2690</v>
      </c>
      <c r="G157" s="3">
        <f t="shared" si="2"/>
        <v>82853</v>
      </c>
    </row>
    <row r="158" spans="1:7" x14ac:dyDescent="0.2">
      <c r="A158" s="2">
        <v>2019</v>
      </c>
      <c r="B158" s="4" t="s">
        <v>243</v>
      </c>
      <c r="C158" s="4" t="s">
        <v>232</v>
      </c>
      <c r="D158" s="4" t="s">
        <v>234</v>
      </c>
      <c r="E158" s="5">
        <v>21824</v>
      </c>
      <c r="F158" s="4">
        <v>732</v>
      </c>
      <c r="G158" s="3">
        <f t="shared" si="2"/>
        <v>22556</v>
      </c>
    </row>
    <row r="159" spans="1:7" x14ac:dyDescent="0.2">
      <c r="A159" s="2">
        <v>2019</v>
      </c>
      <c r="B159" s="4" t="s">
        <v>158</v>
      </c>
      <c r="C159" s="4" t="s">
        <v>232</v>
      </c>
      <c r="D159" s="4" t="s">
        <v>234</v>
      </c>
      <c r="E159" s="5">
        <v>101329</v>
      </c>
      <c r="F159" s="5">
        <v>3401</v>
      </c>
      <c r="G159" s="3">
        <f t="shared" si="2"/>
        <v>104730</v>
      </c>
    </row>
    <row r="160" spans="1:7" x14ac:dyDescent="0.2">
      <c r="A160" s="2">
        <v>2019</v>
      </c>
      <c r="B160" s="4" t="s">
        <v>159</v>
      </c>
      <c r="C160" s="4" t="s">
        <v>232</v>
      </c>
      <c r="D160" s="4" t="s">
        <v>234</v>
      </c>
      <c r="E160" s="5">
        <v>26778</v>
      </c>
      <c r="F160" s="4">
        <v>899</v>
      </c>
      <c r="G160" s="3">
        <f t="shared" si="2"/>
        <v>27677</v>
      </c>
    </row>
    <row r="161" spans="1:7" x14ac:dyDescent="0.2">
      <c r="A161" s="2">
        <v>2019</v>
      </c>
      <c r="B161" s="4" t="s">
        <v>160</v>
      </c>
      <c r="C161" s="4" t="s">
        <v>232</v>
      </c>
      <c r="D161" s="4" t="s">
        <v>234</v>
      </c>
      <c r="E161" s="5">
        <v>21471</v>
      </c>
      <c r="F161" s="4">
        <v>721</v>
      </c>
      <c r="G161" s="3">
        <f t="shared" si="2"/>
        <v>22192</v>
      </c>
    </row>
    <row r="162" spans="1:7" x14ac:dyDescent="0.2">
      <c r="A162" s="2">
        <v>2019</v>
      </c>
      <c r="B162" s="4" t="s">
        <v>161</v>
      </c>
      <c r="C162" s="4" t="s">
        <v>232</v>
      </c>
      <c r="D162" s="4" t="s">
        <v>234</v>
      </c>
      <c r="E162" s="5">
        <v>219613</v>
      </c>
      <c r="F162" s="5">
        <v>7371</v>
      </c>
      <c r="G162" s="3">
        <f t="shared" si="2"/>
        <v>226984</v>
      </c>
    </row>
    <row r="163" spans="1:7" x14ac:dyDescent="0.2">
      <c r="A163" s="2">
        <v>2019</v>
      </c>
      <c r="B163" s="4" t="s">
        <v>162</v>
      </c>
      <c r="C163" s="4" t="s">
        <v>232</v>
      </c>
      <c r="D163" s="4" t="s">
        <v>234</v>
      </c>
      <c r="E163" s="5">
        <v>24818</v>
      </c>
      <c r="F163" s="4">
        <v>833</v>
      </c>
      <c r="G163" s="3">
        <f t="shared" si="2"/>
        <v>25651</v>
      </c>
    </row>
    <row r="164" spans="1:7" x14ac:dyDescent="0.2">
      <c r="A164" s="2">
        <v>2019</v>
      </c>
      <c r="B164" s="4" t="s">
        <v>163</v>
      </c>
      <c r="C164" s="4" t="s">
        <v>232</v>
      </c>
      <c r="D164" s="4" t="s">
        <v>234</v>
      </c>
      <c r="E164" s="5">
        <v>33825</v>
      </c>
      <c r="F164" s="5">
        <v>1135</v>
      </c>
      <c r="G164" s="3">
        <f t="shared" si="2"/>
        <v>34960</v>
      </c>
    </row>
    <row r="165" spans="1:7" x14ac:dyDescent="0.2">
      <c r="A165" s="2">
        <v>2019</v>
      </c>
      <c r="B165" s="4" t="s">
        <v>165</v>
      </c>
      <c r="C165" s="4" t="s">
        <v>232</v>
      </c>
      <c r="D165" s="4" t="s">
        <v>234</v>
      </c>
      <c r="E165" s="5">
        <v>4455</v>
      </c>
      <c r="F165" s="4">
        <v>150</v>
      </c>
      <c r="G165" s="3">
        <f t="shared" si="2"/>
        <v>4605</v>
      </c>
    </row>
    <row r="166" spans="1:7" x14ac:dyDescent="0.2">
      <c r="A166" s="2">
        <v>2019</v>
      </c>
      <c r="B166" s="4" t="s">
        <v>166</v>
      </c>
      <c r="C166" s="4" t="s">
        <v>232</v>
      </c>
      <c r="D166" s="4" t="s">
        <v>234</v>
      </c>
      <c r="E166" s="5">
        <v>39278</v>
      </c>
      <c r="F166" s="5">
        <v>1318</v>
      </c>
      <c r="G166" s="3">
        <f t="shared" si="2"/>
        <v>40596</v>
      </c>
    </row>
    <row r="167" spans="1:7" x14ac:dyDescent="0.2">
      <c r="A167" s="2">
        <v>2019</v>
      </c>
      <c r="B167" s="4" t="s">
        <v>167</v>
      </c>
      <c r="C167" s="4" t="s">
        <v>232</v>
      </c>
      <c r="D167" s="4" t="s">
        <v>234</v>
      </c>
      <c r="E167" s="5">
        <v>19183</v>
      </c>
      <c r="F167" s="4">
        <v>644</v>
      </c>
      <c r="G167" s="3">
        <f t="shared" si="2"/>
        <v>19827</v>
      </c>
    </row>
    <row r="168" spans="1:7" x14ac:dyDescent="0.2">
      <c r="A168" s="2">
        <v>2019</v>
      </c>
      <c r="B168" s="4" t="s">
        <v>168</v>
      </c>
      <c r="C168" s="4" t="s">
        <v>232</v>
      </c>
      <c r="D168" s="4" t="s">
        <v>234</v>
      </c>
      <c r="E168" s="5">
        <v>26230</v>
      </c>
      <c r="F168" s="4">
        <v>880</v>
      </c>
      <c r="G168" s="3">
        <f t="shared" si="2"/>
        <v>27110</v>
      </c>
    </row>
    <row r="169" spans="1:7" x14ac:dyDescent="0.2">
      <c r="A169" s="2">
        <v>2019</v>
      </c>
      <c r="B169" s="4" t="s">
        <v>244</v>
      </c>
      <c r="C169" s="4" t="s">
        <v>232</v>
      </c>
      <c r="D169" s="4" t="s">
        <v>234</v>
      </c>
      <c r="E169" s="5">
        <v>15154</v>
      </c>
      <c r="F169" s="4">
        <v>509</v>
      </c>
      <c r="G169" s="3">
        <f t="shared" si="2"/>
        <v>15663</v>
      </c>
    </row>
    <row r="170" spans="1:7" x14ac:dyDescent="0.2">
      <c r="A170" s="2">
        <v>2019</v>
      </c>
      <c r="B170" s="4" t="s">
        <v>169</v>
      </c>
      <c r="C170" s="4" t="s">
        <v>232</v>
      </c>
      <c r="D170" s="4" t="s">
        <v>234</v>
      </c>
      <c r="E170" s="5">
        <v>59787</v>
      </c>
      <c r="F170" s="5">
        <v>2007</v>
      </c>
      <c r="G170" s="3">
        <f t="shared" si="2"/>
        <v>61794</v>
      </c>
    </row>
    <row r="171" spans="1:7" x14ac:dyDescent="0.2">
      <c r="A171" s="2">
        <v>2019</v>
      </c>
      <c r="B171" s="4" t="s">
        <v>245</v>
      </c>
      <c r="C171" s="4" t="s">
        <v>232</v>
      </c>
      <c r="D171" s="4" t="s">
        <v>234</v>
      </c>
      <c r="E171" s="5">
        <v>5429</v>
      </c>
      <c r="F171" s="4">
        <v>182</v>
      </c>
      <c r="G171" s="3">
        <f t="shared" si="2"/>
        <v>5611</v>
      </c>
    </row>
    <row r="172" spans="1:7" x14ac:dyDescent="0.2">
      <c r="A172" s="2">
        <v>2019</v>
      </c>
      <c r="B172" s="4" t="s">
        <v>246</v>
      </c>
      <c r="C172" s="4" t="s">
        <v>232</v>
      </c>
      <c r="D172" s="4" t="s">
        <v>234</v>
      </c>
      <c r="E172" s="5">
        <v>17357</v>
      </c>
      <c r="F172" s="4">
        <v>583</v>
      </c>
      <c r="G172" s="3">
        <f t="shared" si="2"/>
        <v>17940</v>
      </c>
    </row>
    <row r="173" spans="1:7" x14ac:dyDescent="0.2">
      <c r="A173" s="2">
        <v>2019</v>
      </c>
      <c r="B173" s="4" t="s">
        <v>247</v>
      </c>
      <c r="C173" s="4" t="s">
        <v>232</v>
      </c>
      <c r="D173" s="4" t="s">
        <v>234</v>
      </c>
      <c r="E173" s="5">
        <v>12257</v>
      </c>
      <c r="F173" s="4">
        <v>411</v>
      </c>
      <c r="G173" s="3">
        <f t="shared" si="2"/>
        <v>12668</v>
      </c>
    </row>
    <row r="174" spans="1:7" x14ac:dyDescent="0.2">
      <c r="A174" s="2">
        <v>2019</v>
      </c>
      <c r="B174" s="4" t="s">
        <v>172</v>
      </c>
      <c r="C174" s="4" t="s">
        <v>232</v>
      </c>
      <c r="D174" s="4" t="s">
        <v>234</v>
      </c>
      <c r="E174" s="5">
        <v>14423</v>
      </c>
      <c r="F174" s="4">
        <v>484</v>
      </c>
      <c r="G174" s="3">
        <f t="shared" si="2"/>
        <v>14907</v>
      </c>
    </row>
    <row r="175" spans="1:7" x14ac:dyDescent="0.2">
      <c r="A175" s="2">
        <v>2019</v>
      </c>
      <c r="B175" s="4" t="s">
        <v>278</v>
      </c>
      <c r="C175" s="4" t="s">
        <v>232</v>
      </c>
      <c r="D175" s="4" t="s">
        <v>234</v>
      </c>
      <c r="E175" s="5">
        <v>17016</v>
      </c>
      <c r="F175" s="4">
        <v>571</v>
      </c>
      <c r="G175" s="3">
        <f t="shared" si="2"/>
        <v>17587</v>
      </c>
    </row>
    <row r="176" spans="1:7" x14ac:dyDescent="0.2">
      <c r="A176" s="2">
        <v>2019</v>
      </c>
      <c r="B176" s="4" t="s">
        <v>174</v>
      </c>
      <c r="C176" s="4" t="s">
        <v>232</v>
      </c>
      <c r="D176" s="4" t="s">
        <v>234</v>
      </c>
      <c r="E176" s="5">
        <v>34275</v>
      </c>
      <c r="F176" s="5">
        <v>1150</v>
      </c>
      <c r="G176" s="3">
        <f t="shared" si="2"/>
        <v>35425</v>
      </c>
    </row>
    <row r="177" spans="1:7" x14ac:dyDescent="0.2">
      <c r="A177" s="2">
        <v>2019</v>
      </c>
      <c r="B177" s="4" t="s">
        <v>175</v>
      </c>
      <c r="C177" s="4" t="s">
        <v>232</v>
      </c>
      <c r="D177" s="4" t="s">
        <v>234</v>
      </c>
      <c r="E177" s="5">
        <v>8228</v>
      </c>
      <c r="F177" s="4">
        <v>276</v>
      </c>
      <c r="G177" s="3">
        <f t="shared" si="2"/>
        <v>8504</v>
      </c>
    </row>
    <row r="178" spans="1:7" x14ac:dyDescent="0.2">
      <c r="A178" s="2">
        <v>2019</v>
      </c>
      <c r="B178" s="4" t="s">
        <v>177</v>
      </c>
      <c r="C178" s="4" t="s">
        <v>232</v>
      </c>
      <c r="D178" s="4" t="s">
        <v>234</v>
      </c>
      <c r="E178" s="5">
        <v>198630</v>
      </c>
      <c r="F178" s="5">
        <v>6666</v>
      </c>
      <c r="G178" s="3">
        <f t="shared" si="2"/>
        <v>205296</v>
      </c>
    </row>
    <row r="179" spans="1:7" x14ac:dyDescent="0.2">
      <c r="A179" s="2">
        <v>2019</v>
      </c>
      <c r="B179" s="4" t="s">
        <v>179</v>
      </c>
      <c r="C179" s="4" t="s">
        <v>232</v>
      </c>
      <c r="D179" s="4" t="s">
        <v>234</v>
      </c>
      <c r="E179" s="5">
        <v>50926</v>
      </c>
      <c r="F179" s="5">
        <v>1709</v>
      </c>
      <c r="G179" s="3">
        <f t="shared" si="2"/>
        <v>52635</v>
      </c>
    </row>
    <row r="180" spans="1:7" x14ac:dyDescent="0.2">
      <c r="A180" s="2">
        <v>2019</v>
      </c>
      <c r="B180" s="4" t="s">
        <v>181</v>
      </c>
      <c r="C180" s="4" t="s">
        <v>232</v>
      </c>
      <c r="D180" s="4" t="s">
        <v>234</v>
      </c>
      <c r="E180" s="5">
        <v>78276</v>
      </c>
      <c r="F180" s="5">
        <v>2627</v>
      </c>
      <c r="G180" s="3">
        <f t="shared" si="2"/>
        <v>80903</v>
      </c>
    </row>
    <row r="181" spans="1:7" x14ac:dyDescent="0.2">
      <c r="A181" s="2">
        <v>2019</v>
      </c>
      <c r="B181" s="4" t="s">
        <v>182</v>
      </c>
      <c r="C181" s="4" t="s">
        <v>232</v>
      </c>
      <c r="D181" s="4" t="s">
        <v>234</v>
      </c>
      <c r="E181" s="5">
        <v>228219</v>
      </c>
      <c r="F181" s="5">
        <v>7659</v>
      </c>
      <c r="G181" s="3">
        <f t="shared" si="2"/>
        <v>235878</v>
      </c>
    </row>
    <row r="182" spans="1:7" x14ac:dyDescent="0.2">
      <c r="A182" s="2">
        <v>2019</v>
      </c>
      <c r="B182" s="4" t="s">
        <v>183</v>
      </c>
      <c r="C182" s="4" t="s">
        <v>232</v>
      </c>
      <c r="D182" s="4" t="s">
        <v>234</v>
      </c>
      <c r="E182" s="5">
        <v>50585</v>
      </c>
      <c r="F182" s="5">
        <v>1698</v>
      </c>
      <c r="G182" s="3">
        <f t="shared" si="2"/>
        <v>52283</v>
      </c>
    </row>
    <row r="183" spans="1:7" x14ac:dyDescent="0.2">
      <c r="A183" s="2">
        <v>2019</v>
      </c>
      <c r="B183" s="4" t="s">
        <v>184</v>
      </c>
      <c r="C183" s="4" t="s">
        <v>232</v>
      </c>
      <c r="D183" s="4" t="s">
        <v>234</v>
      </c>
      <c r="E183" s="5">
        <v>38158</v>
      </c>
      <c r="F183" s="5">
        <v>1281</v>
      </c>
      <c r="G183" s="3">
        <f t="shared" si="2"/>
        <v>39439</v>
      </c>
    </row>
    <row r="184" spans="1:7" x14ac:dyDescent="0.2">
      <c r="A184" s="2">
        <v>2019</v>
      </c>
      <c r="B184" s="4" t="s">
        <v>185</v>
      </c>
      <c r="C184" s="4" t="s">
        <v>232</v>
      </c>
      <c r="D184" s="4" t="s">
        <v>234</v>
      </c>
      <c r="E184" s="5">
        <v>14655</v>
      </c>
      <c r="F184" s="4">
        <v>492</v>
      </c>
      <c r="G184" s="3">
        <f t="shared" si="2"/>
        <v>15147</v>
      </c>
    </row>
    <row r="185" spans="1:7" x14ac:dyDescent="0.2">
      <c r="A185" s="2">
        <v>2019</v>
      </c>
      <c r="B185" s="4" t="s">
        <v>186</v>
      </c>
      <c r="C185" s="4" t="s">
        <v>232</v>
      </c>
      <c r="D185" s="4" t="s">
        <v>234</v>
      </c>
      <c r="E185" s="5">
        <v>292254</v>
      </c>
      <c r="F185" s="5">
        <v>9809</v>
      </c>
      <c r="G185" s="3">
        <f t="shared" si="2"/>
        <v>302063</v>
      </c>
    </row>
    <row r="186" spans="1:7" x14ac:dyDescent="0.2">
      <c r="A186" s="2">
        <v>2019</v>
      </c>
      <c r="B186" s="4" t="s">
        <v>187</v>
      </c>
      <c r="C186" s="4" t="s">
        <v>232</v>
      </c>
      <c r="D186" s="4" t="s">
        <v>234</v>
      </c>
      <c r="E186" s="5">
        <v>273059</v>
      </c>
      <c r="F186" s="5">
        <v>9164</v>
      </c>
      <c r="G186" s="3">
        <f t="shared" si="2"/>
        <v>282223</v>
      </c>
    </row>
    <row r="187" spans="1:7" x14ac:dyDescent="0.2">
      <c r="A187" s="2">
        <v>2019</v>
      </c>
      <c r="B187" s="4" t="s">
        <v>188</v>
      </c>
      <c r="C187" s="4" t="s">
        <v>232</v>
      </c>
      <c r="D187" s="4" t="s">
        <v>234</v>
      </c>
      <c r="E187" s="5">
        <v>112576</v>
      </c>
      <c r="F187" s="5">
        <v>3778</v>
      </c>
      <c r="G187" s="3">
        <f t="shared" si="2"/>
        <v>116354</v>
      </c>
    </row>
    <row r="188" spans="1:7" x14ac:dyDescent="0.2">
      <c r="A188" s="2">
        <v>2019</v>
      </c>
      <c r="B188" s="4" t="s">
        <v>189</v>
      </c>
      <c r="C188" s="4" t="s">
        <v>232</v>
      </c>
      <c r="D188" s="4" t="s">
        <v>234</v>
      </c>
      <c r="E188" s="5">
        <v>74211</v>
      </c>
      <c r="F188" s="5">
        <v>2491</v>
      </c>
      <c r="G188" s="3">
        <f t="shared" si="2"/>
        <v>76702</v>
      </c>
    </row>
    <row r="189" spans="1:7" x14ac:dyDescent="0.2">
      <c r="A189" s="2">
        <v>2019</v>
      </c>
      <c r="B189" s="4" t="s">
        <v>249</v>
      </c>
      <c r="C189" s="4" t="s">
        <v>232</v>
      </c>
      <c r="D189" s="4" t="s">
        <v>234</v>
      </c>
      <c r="E189" s="5">
        <v>20911</v>
      </c>
      <c r="F189" s="4">
        <v>702</v>
      </c>
      <c r="G189" s="3">
        <f t="shared" si="2"/>
        <v>21613</v>
      </c>
    </row>
    <row r="190" spans="1:7" x14ac:dyDescent="0.2">
      <c r="A190" s="2">
        <v>2019</v>
      </c>
      <c r="B190" s="4" t="s">
        <v>190</v>
      </c>
      <c r="C190" s="4" t="s">
        <v>232</v>
      </c>
      <c r="D190" s="4" t="s">
        <v>234</v>
      </c>
      <c r="E190" s="5">
        <v>141045</v>
      </c>
      <c r="F190" s="5">
        <v>4734</v>
      </c>
      <c r="G190" s="3">
        <f t="shared" si="2"/>
        <v>145779</v>
      </c>
    </row>
    <row r="191" spans="1:7" x14ac:dyDescent="0.2">
      <c r="A191" s="2">
        <v>2019</v>
      </c>
      <c r="B191" s="4" t="s">
        <v>191</v>
      </c>
      <c r="C191" s="4" t="s">
        <v>232</v>
      </c>
      <c r="D191" s="4" t="s">
        <v>234</v>
      </c>
      <c r="E191" s="5">
        <v>151817</v>
      </c>
      <c r="F191" s="5">
        <v>5095</v>
      </c>
      <c r="G191" s="3">
        <f t="shared" si="2"/>
        <v>156912</v>
      </c>
    </row>
    <row r="192" spans="1:7" x14ac:dyDescent="0.2">
      <c r="A192" s="2">
        <v>2019</v>
      </c>
      <c r="B192" s="4" t="s">
        <v>192</v>
      </c>
      <c r="C192" s="4" t="s">
        <v>232</v>
      </c>
      <c r="D192" s="4" t="s">
        <v>234</v>
      </c>
      <c r="E192" s="5">
        <v>1013414</v>
      </c>
      <c r="F192" s="5">
        <v>34012</v>
      </c>
      <c r="G192" s="3">
        <f t="shared" si="2"/>
        <v>1047426</v>
      </c>
    </row>
    <row r="193" spans="1:7" x14ac:dyDescent="0.2">
      <c r="A193" s="2">
        <v>2019</v>
      </c>
      <c r="B193" s="4" t="s">
        <v>193</v>
      </c>
      <c r="C193" s="4" t="s">
        <v>232</v>
      </c>
      <c r="D193" s="4" t="s">
        <v>234</v>
      </c>
      <c r="E193" s="5">
        <v>71411</v>
      </c>
      <c r="F193" s="5">
        <v>2397</v>
      </c>
      <c r="G193" s="3">
        <f t="shared" si="2"/>
        <v>73808</v>
      </c>
    </row>
    <row r="194" spans="1:7" x14ac:dyDescent="0.2">
      <c r="A194" s="2">
        <v>2019</v>
      </c>
      <c r="B194" s="4" t="s">
        <v>194</v>
      </c>
      <c r="C194" s="4" t="s">
        <v>232</v>
      </c>
      <c r="D194" s="4" t="s">
        <v>234</v>
      </c>
      <c r="E194" s="5">
        <v>84301</v>
      </c>
      <c r="F194" s="5">
        <v>2829</v>
      </c>
      <c r="G194" s="3">
        <f t="shared" si="2"/>
        <v>87130</v>
      </c>
    </row>
    <row r="195" spans="1:7" x14ac:dyDescent="0.2">
      <c r="A195" s="2">
        <v>2019</v>
      </c>
      <c r="B195" s="4" t="s">
        <v>196</v>
      </c>
      <c r="C195" s="4" t="s">
        <v>232</v>
      </c>
      <c r="D195" s="4" t="s">
        <v>234</v>
      </c>
      <c r="E195" s="5">
        <v>105516</v>
      </c>
      <c r="F195" s="5">
        <v>3541</v>
      </c>
      <c r="G195" s="3">
        <f t="shared" ref="G195:G227" si="3">SUM(E195:F195)</f>
        <v>109057</v>
      </c>
    </row>
    <row r="196" spans="1:7" x14ac:dyDescent="0.2">
      <c r="A196" s="2">
        <v>2019</v>
      </c>
      <c r="B196" s="4" t="s">
        <v>197</v>
      </c>
      <c r="C196" s="4" t="s">
        <v>232</v>
      </c>
      <c r="D196" s="4" t="s">
        <v>234</v>
      </c>
      <c r="E196" s="5">
        <v>74089</v>
      </c>
      <c r="F196" s="5">
        <v>2487</v>
      </c>
      <c r="G196" s="3">
        <f t="shared" si="3"/>
        <v>76576</v>
      </c>
    </row>
    <row r="197" spans="1:7" x14ac:dyDescent="0.2">
      <c r="A197" s="2">
        <v>2019</v>
      </c>
      <c r="B197" s="4" t="s">
        <v>198</v>
      </c>
      <c r="C197" s="4" t="s">
        <v>232</v>
      </c>
      <c r="D197" s="4" t="s">
        <v>234</v>
      </c>
      <c r="E197" s="5">
        <v>69549</v>
      </c>
      <c r="F197" s="5">
        <v>2334</v>
      </c>
      <c r="G197" s="3">
        <f t="shared" si="3"/>
        <v>71883</v>
      </c>
    </row>
    <row r="198" spans="1:7" x14ac:dyDescent="0.2">
      <c r="A198" s="2">
        <v>2019</v>
      </c>
      <c r="B198" s="4" t="s">
        <v>251</v>
      </c>
      <c r="C198" s="4" t="s">
        <v>232</v>
      </c>
      <c r="D198" s="4" t="s">
        <v>234</v>
      </c>
      <c r="E198" s="5">
        <v>11222</v>
      </c>
      <c r="F198" s="4">
        <v>377</v>
      </c>
      <c r="G198" s="3">
        <f t="shared" si="3"/>
        <v>11599</v>
      </c>
    </row>
    <row r="199" spans="1:7" x14ac:dyDescent="0.2">
      <c r="A199" s="2">
        <v>2019</v>
      </c>
      <c r="B199" s="4" t="s">
        <v>200</v>
      </c>
      <c r="C199" s="4" t="s">
        <v>232</v>
      </c>
      <c r="D199" s="4" t="s">
        <v>234</v>
      </c>
      <c r="E199" s="5">
        <v>80516</v>
      </c>
      <c r="F199" s="5">
        <v>2702</v>
      </c>
      <c r="G199" s="3">
        <f t="shared" si="3"/>
        <v>83218</v>
      </c>
    </row>
    <row r="200" spans="1:7" x14ac:dyDescent="0.2">
      <c r="A200" s="2">
        <v>2019</v>
      </c>
      <c r="B200" s="4" t="s">
        <v>201</v>
      </c>
      <c r="C200" s="4" t="s">
        <v>232</v>
      </c>
      <c r="D200" s="4" t="s">
        <v>234</v>
      </c>
      <c r="E200" s="5">
        <v>16249</v>
      </c>
      <c r="F200" s="4">
        <v>545</v>
      </c>
      <c r="G200" s="3">
        <f t="shared" si="3"/>
        <v>16794</v>
      </c>
    </row>
    <row r="201" spans="1:7" x14ac:dyDescent="0.2">
      <c r="A201" s="2">
        <v>2019</v>
      </c>
      <c r="B201" s="4" t="s">
        <v>202</v>
      </c>
      <c r="C201" s="4" t="s">
        <v>232</v>
      </c>
      <c r="D201" s="4" t="s">
        <v>234</v>
      </c>
      <c r="E201" s="5">
        <v>59653</v>
      </c>
      <c r="F201" s="5">
        <v>2002</v>
      </c>
      <c r="G201" s="3">
        <f t="shared" si="3"/>
        <v>61655</v>
      </c>
    </row>
    <row r="202" spans="1:7" x14ac:dyDescent="0.2">
      <c r="A202" s="2">
        <v>2019</v>
      </c>
      <c r="B202" s="4" t="s">
        <v>203</v>
      </c>
      <c r="C202" s="4" t="s">
        <v>232</v>
      </c>
      <c r="D202" s="4" t="s">
        <v>234</v>
      </c>
      <c r="E202" s="5">
        <v>35553</v>
      </c>
      <c r="F202" s="5">
        <v>1193</v>
      </c>
      <c r="G202" s="3">
        <f t="shared" si="3"/>
        <v>36746</v>
      </c>
    </row>
    <row r="203" spans="1:7" x14ac:dyDescent="0.2">
      <c r="A203" s="2">
        <v>2019</v>
      </c>
      <c r="B203" s="4" t="s">
        <v>206</v>
      </c>
      <c r="C203" s="4" t="s">
        <v>232</v>
      </c>
      <c r="D203" s="4" t="s">
        <v>234</v>
      </c>
      <c r="E203" s="5">
        <v>29711</v>
      </c>
      <c r="F203" s="4">
        <v>997</v>
      </c>
      <c r="G203" s="3">
        <f t="shared" si="3"/>
        <v>30708</v>
      </c>
    </row>
    <row r="204" spans="1:7" x14ac:dyDescent="0.2">
      <c r="A204" s="2">
        <v>2019</v>
      </c>
      <c r="B204" s="4" t="s">
        <v>207</v>
      </c>
      <c r="C204" s="4" t="s">
        <v>232</v>
      </c>
      <c r="D204" s="4" t="s">
        <v>234</v>
      </c>
      <c r="E204" s="5">
        <v>19901</v>
      </c>
      <c r="F204" s="4">
        <v>668</v>
      </c>
      <c r="G204" s="3">
        <f t="shared" si="3"/>
        <v>20569</v>
      </c>
    </row>
    <row r="205" spans="1:7" x14ac:dyDescent="0.2">
      <c r="A205" s="2">
        <v>2019</v>
      </c>
      <c r="B205" s="4" t="s">
        <v>208</v>
      </c>
      <c r="C205" s="4" t="s">
        <v>232</v>
      </c>
      <c r="D205" s="4" t="s">
        <v>234</v>
      </c>
      <c r="E205" s="5">
        <v>11161</v>
      </c>
      <c r="F205" s="4">
        <v>375</v>
      </c>
      <c r="G205" s="3">
        <f t="shared" si="3"/>
        <v>11536</v>
      </c>
    </row>
    <row r="206" spans="1:7" x14ac:dyDescent="0.2">
      <c r="A206" s="2">
        <v>2019</v>
      </c>
      <c r="B206" s="4" t="s">
        <v>209</v>
      </c>
      <c r="C206" s="4" t="s">
        <v>232</v>
      </c>
      <c r="D206" s="4" t="s">
        <v>234</v>
      </c>
      <c r="E206" s="5">
        <v>79895</v>
      </c>
      <c r="F206" s="5">
        <v>2681</v>
      </c>
      <c r="G206" s="3">
        <f t="shared" si="3"/>
        <v>82576</v>
      </c>
    </row>
    <row r="207" spans="1:7" x14ac:dyDescent="0.2">
      <c r="A207" s="2">
        <v>2019</v>
      </c>
      <c r="B207" s="4" t="s">
        <v>270</v>
      </c>
      <c r="C207" s="4" t="s">
        <v>232</v>
      </c>
      <c r="D207" s="4" t="s">
        <v>234</v>
      </c>
      <c r="E207" s="5">
        <v>28883</v>
      </c>
      <c r="F207" s="4">
        <v>969</v>
      </c>
      <c r="G207" s="3">
        <f t="shared" si="3"/>
        <v>29852</v>
      </c>
    </row>
    <row r="208" spans="1:7" x14ac:dyDescent="0.2">
      <c r="A208" s="2">
        <v>2019</v>
      </c>
      <c r="B208" s="4" t="s">
        <v>254</v>
      </c>
      <c r="C208" s="4" t="s">
        <v>232</v>
      </c>
      <c r="D208" s="4" t="s">
        <v>234</v>
      </c>
      <c r="E208" s="5">
        <v>32498</v>
      </c>
      <c r="F208" s="5">
        <v>1091</v>
      </c>
      <c r="G208" s="3">
        <f t="shared" si="3"/>
        <v>33589</v>
      </c>
    </row>
    <row r="209" spans="1:7" x14ac:dyDescent="0.2">
      <c r="A209" s="2">
        <v>2019</v>
      </c>
      <c r="B209" s="4" t="s">
        <v>212</v>
      </c>
      <c r="C209" s="4" t="s">
        <v>232</v>
      </c>
      <c r="D209" s="4" t="s">
        <v>234</v>
      </c>
      <c r="E209" s="5">
        <v>35188</v>
      </c>
      <c r="F209" s="5">
        <v>1181</v>
      </c>
      <c r="G209" s="3">
        <f t="shared" si="3"/>
        <v>36369</v>
      </c>
    </row>
    <row r="210" spans="1:7" x14ac:dyDescent="0.2">
      <c r="A210" s="2">
        <v>2019</v>
      </c>
      <c r="B210" s="4" t="s">
        <v>255</v>
      </c>
      <c r="C210" s="4" t="s">
        <v>232</v>
      </c>
      <c r="D210" s="4" t="s">
        <v>234</v>
      </c>
      <c r="E210" s="5">
        <v>360038</v>
      </c>
      <c r="F210" s="5">
        <v>12083</v>
      </c>
      <c r="G210" s="3">
        <f t="shared" si="3"/>
        <v>372121</v>
      </c>
    </row>
    <row r="211" spans="1:7" x14ac:dyDescent="0.2">
      <c r="A211" s="2">
        <v>2019</v>
      </c>
      <c r="B211" s="4" t="s">
        <v>271</v>
      </c>
      <c r="C211" s="4" t="s">
        <v>232</v>
      </c>
      <c r="D211" s="4" t="s">
        <v>234</v>
      </c>
      <c r="E211" s="5">
        <v>1655554</v>
      </c>
      <c r="F211" s="5">
        <v>55563</v>
      </c>
      <c r="G211" s="3">
        <f t="shared" si="3"/>
        <v>1711117</v>
      </c>
    </row>
    <row r="212" spans="1:7" x14ac:dyDescent="0.2">
      <c r="A212" s="2">
        <v>2019</v>
      </c>
      <c r="B212" s="4" t="s">
        <v>279</v>
      </c>
      <c r="C212" s="4" t="s">
        <v>232</v>
      </c>
      <c r="D212" s="4" t="s">
        <v>234</v>
      </c>
      <c r="E212" s="5">
        <v>611456</v>
      </c>
      <c r="F212" s="5">
        <v>20521</v>
      </c>
      <c r="G212" s="3">
        <f t="shared" si="3"/>
        <v>631977</v>
      </c>
    </row>
    <row r="213" spans="1:7" x14ac:dyDescent="0.2">
      <c r="A213" s="2">
        <v>2019</v>
      </c>
      <c r="B213" s="4" t="s">
        <v>215</v>
      </c>
      <c r="C213" s="4" t="s">
        <v>232</v>
      </c>
      <c r="D213" s="4" t="s">
        <v>234</v>
      </c>
      <c r="E213" s="5">
        <v>1147156</v>
      </c>
      <c r="F213" s="5">
        <v>38500</v>
      </c>
      <c r="G213" s="3">
        <f t="shared" si="3"/>
        <v>1185656</v>
      </c>
    </row>
    <row r="214" spans="1:7" x14ac:dyDescent="0.2">
      <c r="A214" s="2">
        <v>2019</v>
      </c>
      <c r="B214" s="4" t="s">
        <v>216</v>
      </c>
      <c r="C214" s="4" t="s">
        <v>232</v>
      </c>
      <c r="D214" s="4" t="s">
        <v>234</v>
      </c>
      <c r="E214" s="5">
        <v>490202</v>
      </c>
      <c r="F214" s="5">
        <v>16452</v>
      </c>
      <c r="G214" s="3">
        <f t="shared" si="3"/>
        <v>506654</v>
      </c>
    </row>
    <row r="215" spans="1:7" x14ac:dyDescent="0.2">
      <c r="A215" s="2">
        <v>2019</v>
      </c>
      <c r="B215" s="4" t="s">
        <v>218</v>
      </c>
      <c r="C215" s="4" t="s">
        <v>232</v>
      </c>
      <c r="D215" s="4" t="s">
        <v>234</v>
      </c>
      <c r="E215" s="5">
        <v>170172</v>
      </c>
      <c r="F215" s="5">
        <v>5711</v>
      </c>
      <c r="G215" s="3">
        <f t="shared" si="3"/>
        <v>175883</v>
      </c>
    </row>
    <row r="216" spans="1:7" x14ac:dyDescent="0.2">
      <c r="A216" s="2">
        <v>2019</v>
      </c>
      <c r="B216" s="4" t="s">
        <v>219</v>
      </c>
      <c r="C216" s="4" t="s">
        <v>232</v>
      </c>
      <c r="D216" s="4" t="s">
        <v>234</v>
      </c>
      <c r="E216" s="5">
        <v>2156370</v>
      </c>
      <c r="F216" s="5">
        <v>72371</v>
      </c>
      <c r="G216" s="3">
        <f t="shared" si="3"/>
        <v>2228741</v>
      </c>
    </row>
    <row r="217" spans="1:7" x14ac:dyDescent="0.2">
      <c r="A217" s="2">
        <v>2019</v>
      </c>
      <c r="B217" s="4" t="s">
        <v>220</v>
      </c>
      <c r="C217" s="4" t="s">
        <v>232</v>
      </c>
      <c r="D217" s="4" t="s">
        <v>234</v>
      </c>
      <c r="E217" s="5">
        <v>981645</v>
      </c>
      <c r="F217" s="5">
        <v>32946</v>
      </c>
      <c r="G217" s="3">
        <f t="shared" si="3"/>
        <v>1014591</v>
      </c>
    </row>
    <row r="218" spans="1:7" x14ac:dyDescent="0.2">
      <c r="A218" s="2">
        <v>2019</v>
      </c>
      <c r="B218" s="4" t="s">
        <v>221</v>
      </c>
      <c r="C218" s="4" t="s">
        <v>232</v>
      </c>
      <c r="D218" s="4" t="s">
        <v>234</v>
      </c>
      <c r="E218" s="5">
        <v>2235839</v>
      </c>
      <c r="F218" s="5">
        <v>75038</v>
      </c>
      <c r="G218" s="3">
        <f t="shared" si="3"/>
        <v>2310877</v>
      </c>
    </row>
    <row r="219" spans="1:7" x14ac:dyDescent="0.2">
      <c r="A219" s="2">
        <v>2019</v>
      </c>
      <c r="B219" s="4" t="s">
        <v>222</v>
      </c>
      <c r="C219" s="4" t="s">
        <v>232</v>
      </c>
      <c r="D219" s="4" t="s">
        <v>234</v>
      </c>
      <c r="E219" s="5">
        <v>46459</v>
      </c>
      <c r="F219" s="5">
        <v>1559</v>
      </c>
      <c r="G219" s="3">
        <f t="shared" si="3"/>
        <v>48018</v>
      </c>
    </row>
    <row r="220" spans="1:7" x14ac:dyDescent="0.2">
      <c r="A220" s="2">
        <v>2019</v>
      </c>
      <c r="B220" s="4" t="s">
        <v>272</v>
      </c>
      <c r="C220" s="4" t="s">
        <v>232</v>
      </c>
      <c r="D220" s="4" t="s">
        <v>234</v>
      </c>
      <c r="E220" s="5">
        <v>870664</v>
      </c>
      <c r="F220" s="5">
        <v>29221</v>
      </c>
      <c r="G220" s="3">
        <f t="shared" si="3"/>
        <v>899885</v>
      </c>
    </row>
    <row r="221" spans="1:7" x14ac:dyDescent="0.2">
      <c r="A221" s="2">
        <v>2019</v>
      </c>
      <c r="B221" s="4" t="s">
        <v>257</v>
      </c>
      <c r="C221" s="4" t="s">
        <v>232</v>
      </c>
      <c r="D221" s="4" t="s">
        <v>234</v>
      </c>
      <c r="E221" s="5">
        <v>30210</v>
      </c>
      <c r="F221" s="5">
        <v>1014</v>
      </c>
      <c r="G221" s="3">
        <f t="shared" si="3"/>
        <v>31224</v>
      </c>
    </row>
    <row r="222" spans="1:7" x14ac:dyDescent="0.2">
      <c r="A222" s="2">
        <v>2019</v>
      </c>
      <c r="B222" s="4" t="s">
        <v>258</v>
      </c>
      <c r="C222" s="4" t="s">
        <v>232</v>
      </c>
      <c r="D222" s="4" t="s">
        <v>234</v>
      </c>
      <c r="E222" s="5">
        <v>7413</v>
      </c>
      <c r="F222" s="4">
        <v>249</v>
      </c>
      <c r="G222" s="3">
        <f t="shared" si="3"/>
        <v>7662</v>
      </c>
    </row>
    <row r="223" spans="1:7" x14ac:dyDescent="0.2">
      <c r="A223" s="2">
        <v>2019</v>
      </c>
      <c r="B223" s="4" t="s">
        <v>226</v>
      </c>
      <c r="C223" s="4" t="s">
        <v>232</v>
      </c>
      <c r="D223" s="4" t="s">
        <v>234</v>
      </c>
      <c r="E223" s="5">
        <v>35675</v>
      </c>
      <c r="F223" s="5">
        <v>1197</v>
      </c>
      <c r="G223" s="3">
        <f t="shared" si="3"/>
        <v>36872</v>
      </c>
    </row>
    <row r="224" spans="1:7" x14ac:dyDescent="0.2">
      <c r="A224" s="2">
        <v>2019</v>
      </c>
      <c r="B224" s="4" t="s">
        <v>259</v>
      </c>
      <c r="C224" s="4" t="s">
        <v>232</v>
      </c>
      <c r="D224" s="4" t="s">
        <v>234</v>
      </c>
      <c r="E224" s="5">
        <v>196962</v>
      </c>
      <c r="F224" s="5">
        <v>6610</v>
      </c>
      <c r="G224" s="3">
        <f t="shared" si="3"/>
        <v>203572</v>
      </c>
    </row>
    <row r="225" spans="1:7" x14ac:dyDescent="0.2">
      <c r="A225" s="2">
        <v>2019</v>
      </c>
      <c r="B225" s="4" t="s">
        <v>260</v>
      </c>
      <c r="C225" s="4" t="s">
        <v>232</v>
      </c>
      <c r="D225" s="4" t="s">
        <v>234</v>
      </c>
      <c r="E225" s="5">
        <v>20375</v>
      </c>
      <c r="F225" s="4">
        <v>684</v>
      </c>
      <c r="G225" s="3">
        <f t="shared" si="3"/>
        <v>21059</v>
      </c>
    </row>
    <row r="226" spans="1:7" x14ac:dyDescent="0.2">
      <c r="A226" s="2">
        <v>2019</v>
      </c>
      <c r="B226" s="4" t="s">
        <v>228</v>
      </c>
      <c r="C226" s="4" t="s">
        <v>232</v>
      </c>
      <c r="D226" s="4" t="s">
        <v>234</v>
      </c>
      <c r="E226" s="5">
        <v>18051</v>
      </c>
      <c r="F226" s="4">
        <v>606</v>
      </c>
      <c r="G226" s="3">
        <f t="shared" si="3"/>
        <v>18657</v>
      </c>
    </row>
    <row r="227" spans="1:7" x14ac:dyDescent="0.2">
      <c r="A227" s="2">
        <v>2019</v>
      </c>
      <c r="B227" s="4" t="s">
        <v>229</v>
      </c>
      <c r="C227" s="4" t="s">
        <v>232</v>
      </c>
      <c r="D227" s="4" t="s">
        <v>234</v>
      </c>
      <c r="E227" s="12">
        <v>42869</v>
      </c>
      <c r="F227" s="12">
        <v>1439</v>
      </c>
      <c r="G227" s="3">
        <f t="shared" si="3"/>
        <v>44308</v>
      </c>
    </row>
    <row r="229" spans="1:7" x14ac:dyDescent="0.2">
      <c r="D229" s="2" t="s">
        <v>274</v>
      </c>
      <c r="E229" s="3">
        <f>SUM(E2:E227)</f>
        <v>1217167327</v>
      </c>
      <c r="F229" s="3">
        <f>SUM(F2:F227)</f>
        <v>40850067</v>
      </c>
    </row>
    <row r="231" spans="1:7" x14ac:dyDescent="0.2">
      <c r="D231" s="8" t="s">
        <v>275</v>
      </c>
      <c r="E231" s="6">
        <v>1217167321</v>
      </c>
      <c r="F231" s="6">
        <v>40850075</v>
      </c>
    </row>
    <row r="232" spans="1:7" x14ac:dyDescent="0.2">
      <c r="D232" s="8"/>
      <c r="E232" s="8"/>
      <c r="F232" s="8"/>
    </row>
    <row r="233" spans="1:7" x14ac:dyDescent="0.2">
      <c r="D233" s="8" t="s">
        <v>276</v>
      </c>
      <c r="E233" s="6">
        <f>E229-E231</f>
        <v>6</v>
      </c>
      <c r="F233" s="6">
        <f>F229-F231</f>
        <v>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E1D2-B952-364C-A49B-FFAA95981A8C}">
  <sheetPr>
    <tabColor rgb="FFFFFF00"/>
  </sheetPr>
  <dimension ref="A1:H228"/>
  <sheetViews>
    <sheetView workbookViewId="0">
      <selection activeCell="A2" sqref="A2:G226"/>
    </sheetView>
  </sheetViews>
  <sheetFormatPr baseColWidth="10" defaultRowHeight="16" x14ac:dyDescent="0.2"/>
  <cols>
    <col min="1" max="1" width="10.83203125" style="2"/>
    <col min="2" max="2" width="44.33203125" style="2" bestFit="1" customWidth="1"/>
    <col min="3" max="3" width="10.83203125" style="2"/>
    <col min="4" max="4" width="15.1640625" style="2" bestFit="1" customWidth="1"/>
    <col min="5" max="5" width="18.83203125" style="2" bestFit="1" customWidth="1"/>
    <col min="6" max="6" width="17.1640625" style="2" bestFit="1" customWidth="1"/>
    <col min="7" max="7" width="16.83203125" style="2" bestFit="1" customWidth="1"/>
    <col min="8" max="8" width="10.83203125" style="2"/>
  </cols>
  <sheetData>
    <row r="1" spans="1:7" x14ac:dyDescent="0.2">
      <c r="A1" s="2" t="s">
        <v>235</v>
      </c>
      <c r="B1" s="2" t="s">
        <v>230</v>
      </c>
      <c r="C1" s="2" t="s">
        <v>231</v>
      </c>
      <c r="D1" s="2" t="s">
        <v>233</v>
      </c>
      <c r="E1" s="2" t="s">
        <v>280</v>
      </c>
      <c r="F1" s="2" t="s">
        <v>281</v>
      </c>
      <c r="G1" s="2" t="s">
        <v>304</v>
      </c>
    </row>
    <row r="2" spans="1:7" x14ac:dyDescent="0.2">
      <c r="A2" s="2">
        <v>2018</v>
      </c>
      <c r="B2" s="4" t="s">
        <v>0</v>
      </c>
      <c r="C2" s="2" t="s">
        <v>232</v>
      </c>
      <c r="D2" s="2" t="s">
        <v>234</v>
      </c>
      <c r="E2" s="5">
        <v>10948978</v>
      </c>
      <c r="F2" s="5">
        <v>360314</v>
      </c>
      <c r="G2" s="3">
        <f>SUM(E2:F2)</f>
        <v>11309292</v>
      </c>
    </row>
    <row r="3" spans="1:7" x14ac:dyDescent="0.2">
      <c r="A3" s="2">
        <v>2018</v>
      </c>
      <c r="B3" s="4" t="s">
        <v>1</v>
      </c>
      <c r="C3" s="2" t="s">
        <v>232</v>
      </c>
      <c r="D3" s="2" t="s">
        <v>234</v>
      </c>
      <c r="E3" s="5">
        <v>5839160</v>
      </c>
      <c r="F3" s="5">
        <v>192158</v>
      </c>
      <c r="G3" s="3">
        <f t="shared" ref="G3:G66" si="0">SUM(E3:F3)</f>
        <v>6031318</v>
      </c>
    </row>
    <row r="4" spans="1:7" x14ac:dyDescent="0.2">
      <c r="A4" s="2">
        <v>2018</v>
      </c>
      <c r="B4" s="4" t="s">
        <v>2</v>
      </c>
      <c r="C4" s="2" t="s">
        <v>232</v>
      </c>
      <c r="D4" s="2" t="s">
        <v>234</v>
      </c>
      <c r="E4" s="5">
        <v>29264545</v>
      </c>
      <c r="F4" s="5">
        <v>963050</v>
      </c>
      <c r="G4" s="3">
        <f t="shared" si="0"/>
        <v>30227595</v>
      </c>
    </row>
    <row r="5" spans="1:7" x14ac:dyDescent="0.2">
      <c r="A5" s="2">
        <v>2018</v>
      </c>
      <c r="B5" s="4" t="s">
        <v>3</v>
      </c>
      <c r="C5" s="2" t="s">
        <v>232</v>
      </c>
      <c r="D5" s="2" t="s">
        <v>234</v>
      </c>
      <c r="E5" s="5">
        <v>4711664</v>
      </c>
      <c r="F5" s="5">
        <v>155053</v>
      </c>
      <c r="G5" s="3">
        <f t="shared" si="0"/>
        <v>4866717</v>
      </c>
    </row>
    <row r="6" spans="1:7" x14ac:dyDescent="0.2">
      <c r="A6" s="2">
        <v>2018</v>
      </c>
      <c r="B6" s="4" t="s">
        <v>4</v>
      </c>
      <c r="C6" s="2" t="s">
        <v>232</v>
      </c>
      <c r="D6" s="2" t="s">
        <v>234</v>
      </c>
      <c r="E6" s="5">
        <v>4885677</v>
      </c>
      <c r="F6" s="5">
        <v>160780</v>
      </c>
      <c r="G6" s="3">
        <f t="shared" si="0"/>
        <v>5046457</v>
      </c>
    </row>
    <row r="7" spans="1:7" x14ac:dyDescent="0.2">
      <c r="A7" s="2">
        <v>2018</v>
      </c>
      <c r="B7" s="4" t="s">
        <v>5</v>
      </c>
      <c r="C7" s="2" t="s">
        <v>232</v>
      </c>
      <c r="D7" s="2" t="s">
        <v>234</v>
      </c>
      <c r="E7" s="5">
        <v>7077309</v>
      </c>
      <c r="F7" s="5">
        <v>232903</v>
      </c>
      <c r="G7" s="3">
        <f t="shared" si="0"/>
        <v>7310212</v>
      </c>
    </row>
    <row r="8" spans="1:7" x14ac:dyDescent="0.2">
      <c r="A8" s="2">
        <v>2018</v>
      </c>
      <c r="B8" s="4" t="s">
        <v>6</v>
      </c>
      <c r="C8" s="2" t="s">
        <v>232</v>
      </c>
      <c r="D8" s="2" t="s">
        <v>234</v>
      </c>
      <c r="E8" s="5">
        <v>4071149</v>
      </c>
      <c r="F8" s="5">
        <v>133975</v>
      </c>
      <c r="G8" s="3">
        <f t="shared" si="0"/>
        <v>4205124</v>
      </c>
    </row>
    <row r="9" spans="1:7" x14ac:dyDescent="0.2">
      <c r="A9" s="2">
        <v>2018</v>
      </c>
      <c r="B9" s="4" t="s">
        <v>7</v>
      </c>
      <c r="C9" s="2" t="s">
        <v>232</v>
      </c>
      <c r="D9" s="2" t="s">
        <v>234</v>
      </c>
      <c r="E9" s="5">
        <v>29144194</v>
      </c>
      <c r="F9" s="5">
        <v>959090</v>
      </c>
      <c r="G9" s="3">
        <f t="shared" si="0"/>
        <v>30103284</v>
      </c>
    </row>
    <row r="10" spans="1:7" x14ac:dyDescent="0.2">
      <c r="A10" s="2">
        <v>2018</v>
      </c>
      <c r="B10" s="4" t="s">
        <v>8</v>
      </c>
      <c r="C10" s="2" t="s">
        <v>232</v>
      </c>
      <c r="D10" s="2" t="s">
        <v>234</v>
      </c>
      <c r="E10" s="5">
        <v>52523572</v>
      </c>
      <c r="F10" s="5">
        <v>1728468</v>
      </c>
      <c r="G10" s="3">
        <f t="shared" si="0"/>
        <v>54252040</v>
      </c>
    </row>
    <row r="11" spans="1:7" x14ac:dyDescent="0.2">
      <c r="A11" s="2">
        <v>2018</v>
      </c>
      <c r="B11" s="4" t="s">
        <v>9</v>
      </c>
      <c r="C11" s="2" t="s">
        <v>232</v>
      </c>
      <c r="D11" s="2" t="s">
        <v>234</v>
      </c>
      <c r="E11" s="5">
        <v>50343442</v>
      </c>
      <c r="F11" s="5">
        <v>1656724</v>
      </c>
      <c r="G11" s="3">
        <f t="shared" si="0"/>
        <v>52000166</v>
      </c>
    </row>
    <row r="12" spans="1:7" x14ac:dyDescent="0.2">
      <c r="A12" s="2">
        <v>2018</v>
      </c>
      <c r="B12" s="4" t="s">
        <v>10</v>
      </c>
      <c r="C12" s="2" t="s">
        <v>232</v>
      </c>
      <c r="D12" s="2" t="s">
        <v>234</v>
      </c>
      <c r="E12" s="5">
        <v>2406002</v>
      </c>
      <c r="F12" s="5">
        <v>79178</v>
      </c>
      <c r="G12" s="3">
        <f t="shared" si="0"/>
        <v>2485180</v>
      </c>
    </row>
    <row r="13" spans="1:7" x14ac:dyDescent="0.2">
      <c r="A13" s="2">
        <v>2018</v>
      </c>
      <c r="B13" s="4" t="s">
        <v>11</v>
      </c>
      <c r="C13" s="2" t="s">
        <v>232</v>
      </c>
      <c r="D13" s="2" t="s">
        <v>234</v>
      </c>
      <c r="E13" s="5">
        <v>2515104</v>
      </c>
      <c r="F13" s="5">
        <v>82768</v>
      </c>
      <c r="G13" s="3">
        <f t="shared" si="0"/>
        <v>2597872</v>
      </c>
    </row>
    <row r="14" spans="1:7" x14ac:dyDescent="0.2">
      <c r="A14" s="2">
        <v>2018</v>
      </c>
      <c r="B14" s="4" t="s">
        <v>12</v>
      </c>
      <c r="C14" s="2" t="s">
        <v>232</v>
      </c>
      <c r="D14" s="2" t="s">
        <v>234</v>
      </c>
      <c r="E14" s="5">
        <v>1473359</v>
      </c>
      <c r="F14" s="5">
        <v>48486</v>
      </c>
      <c r="G14" s="3">
        <f t="shared" si="0"/>
        <v>1521845</v>
      </c>
    </row>
    <row r="15" spans="1:7" x14ac:dyDescent="0.2">
      <c r="A15" s="2">
        <v>2018</v>
      </c>
      <c r="B15" s="4" t="s">
        <v>13</v>
      </c>
      <c r="C15" s="2" t="s">
        <v>232</v>
      </c>
      <c r="D15" s="2" t="s">
        <v>234</v>
      </c>
      <c r="E15" s="5">
        <v>2077723</v>
      </c>
      <c r="F15" s="5">
        <v>68375</v>
      </c>
      <c r="G15" s="3">
        <f t="shared" si="0"/>
        <v>2146098</v>
      </c>
    </row>
    <row r="16" spans="1:7" x14ac:dyDescent="0.2">
      <c r="A16" s="2">
        <v>2018</v>
      </c>
      <c r="B16" s="4" t="s">
        <v>14</v>
      </c>
      <c r="C16" s="2" t="s">
        <v>232</v>
      </c>
      <c r="D16" s="2" t="s">
        <v>234</v>
      </c>
      <c r="E16" s="5">
        <v>4453463</v>
      </c>
      <c r="F16" s="5">
        <v>146556</v>
      </c>
      <c r="G16" s="3">
        <f t="shared" si="0"/>
        <v>4600019</v>
      </c>
    </row>
    <row r="17" spans="1:7" x14ac:dyDescent="0.2">
      <c r="A17" s="2">
        <v>2018</v>
      </c>
      <c r="B17" s="4" t="s">
        <v>15</v>
      </c>
      <c r="C17" s="2" t="s">
        <v>232</v>
      </c>
      <c r="D17" s="2" t="s">
        <v>234</v>
      </c>
      <c r="E17" s="5">
        <v>8321070</v>
      </c>
      <c r="F17" s="5">
        <v>273833</v>
      </c>
      <c r="G17" s="3">
        <f t="shared" si="0"/>
        <v>8594903</v>
      </c>
    </row>
    <row r="18" spans="1:7" x14ac:dyDescent="0.2">
      <c r="A18" s="2">
        <v>2018</v>
      </c>
      <c r="B18" s="4" t="s">
        <v>16</v>
      </c>
      <c r="C18" s="2" t="s">
        <v>232</v>
      </c>
      <c r="D18" s="2" t="s">
        <v>234</v>
      </c>
      <c r="E18" s="5">
        <v>60788024</v>
      </c>
      <c r="F18" s="5">
        <v>2000439</v>
      </c>
      <c r="G18" s="3">
        <f t="shared" si="0"/>
        <v>62788463</v>
      </c>
    </row>
    <row r="19" spans="1:7" x14ac:dyDescent="0.2">
      <c r="A19" s="2">
        <v>2018</v>
      </c>
      <c r="B19" s="4" t="s">
        <v>17</v>
      </c>
      <c r="C19" s="2" t="s">
        <v>232</v>
      </c>
      <c r="D19" s="2" t="s">
        <v>234</v>
      </c>
      <c r="E19" s="5">
        <v>1385204</v>
      </c>
      <c r="F19" s="5">
        <v>45585</v>
      </c>
      <c r="G19" s="3">
        <f t="shared" si="0"/>
        <v>1430789</v>
      </c>
    </row>
    <row r="20" spans="1:7" x14ac:dyDescent="0.2">
      <c r="A20" s="2">
        <v>2018</v>
      </c>
      <c r="B20" s="4" t="s">
        <v>18</v>
      </c>
      <c r="C20" s="2" t="s">
        <v>232</v>
      </c>
      <c r="D20" s="2" t="s">
        <v>234</v>
      </c>
      <c r="E20" s="5">
        <v>2407853</v>
      </c>
      <c r="F20" s="5">
        <v>79239</v>
      </c>
      <c r="G20" s="3">
        <f t="shared" si="0"/>
        <v>2487092</v>
      </c>
    </row>
    <row r="21" spans="1:7" x14ac:dyDescent="0.2">
      <c r="A21" s="2">
        <v>2018</v>
      </c>
      <c r="B21" s="4" t="s">
        <v>19</v>
      </c>
      <c r="C21" s="2" t="s">
        <v>232</v>
      </c>
      <c r="D21" s="2" t="s">
        <v>234</v>
      </c>
      <c r="E21" s="5">
        <v>6471743</v>
      </c>
      <c r="F21" s="5">
        <v>212975</v>
      </c>
      <c r="G21" s="3">
        <f t="shared" si="0"/>
        <v>6684718</v>
      </c>
    </row>
    <row r="22" spans="1:7" x14ac:dyDescent="0.2">
      <c r="A22" s="2">
        <v>2018</v>
      </c>
      <c r="B22" s="4" t="s">
        <v>20</v>
      </c>
      <c r="C22" s="2" t="s">
        <v>232</v>
      </c>
      <c r="D22" s="2" t="s">
        <v>234</v>
      </c>
      <c r="E22" s="5">
        <v>3760188</v>
      </c>
      <c r="F22" s="5">
        <v>123742</v>
      </c>
      <c r="G22" s="3">
        <f t="shared" si="0"/>
        <v>3883930</v>
      </c>
    </row>
    <row r="23" spans="1:7" x14ac:dyDescent="0.2">
      <c r="A23" s="2">
        <v>2018</v>
      </c>
      <c r="B23" s="4" t="s">
        <v>21</v>
      </c>
      <c r="C23" s="2" t="s">
        <v>232</v>
      </c>
      <c r="D23" s="2" t="s">
        <v>234</v>
      </c>
      <c r="E23" s="5">
        <v>3349306</v>
      </c>
      <c r="F23" s="5">
        <v>110220</v>
      </c>
      <c r="G23" s="3">
        <f t="shared" si="0"/>
        <v>3459526</v>
      </c>
    </row>
    <row r="24" spans="1:7" x14ac:dyDescent="0.2">
      <c r="A24" s="2">
        <v>2018</v>
      </c>
      <c r="B24" s="4" t="s">
        <v>22</v>
      </c>
      <c r="C24" s="2" t="s">
        <v>232</v>
      </c>
      <c r="D24" s="2" t="s">
        <v>234</v>
      </c>
      <c r="E24" s="5">
        <v>16853818</v>
      </c>
      <c r="F24" s="5">
        <v>554633</v>
      </c>
      <c r="G24" s="3">
        <f t="shared" si="0"/>
        <v>17408451</v>
      </c>
    </row>
    <row r="25" spans="1:7" x14ac:dyDescent="0.2">
      <c r="A25" s="2">
        <v>2018</v>
      </c>
      <c r="B25" s="4" t="s">
        <v>23</v>
      </c>
      <c r="C25" s="2" t="s">
        <v>232</v>
      </c>
      <c r="D25" s="2" t="s">
        <v>234</v>
      </c>
      <c r="E25" s="5">
        <v>8334170</v>
      </c>
      <c r="F25" s="5">
        <v>274264</v>
      </c>
      <c r="G25" s="3">
        <f t="shared" si="0"/>
        <v>8608434</v>
      </c>
    </row>
    <row r="26" spans="1:7" x14ac:dyDescent="0.2">
      <c r="A26" s="2">
        <v>2018</v>
      </c>
      <c r="B26" s="4" t="s">
        <v>24</v>
      </c>
      <c r="C26" s="2" t="s">
        <v>232</v>
      </c>
      <c r="D26" s="2" t="s">
        <v>234</v>
      </c>
      <c r="E26" s="5">
        <v>2931178</v>
      </c>
      <c r="F26" s="5">
        <v>96460</v>
      </c>
      <c r="G26" s="3">
        <f t="shared" si="0"/>
        <v>3027638</v>
      </c>
    </row>
    <row r="27" spans="1:7" x14ac:dyDescent="0.2">
      <c r="A27" s="2">
        <v>2018</v>
      </c>
      <c r="B27" s="4" t="s">
        <v>25</v>
      </c>
      <c r="C27" s="2" t="s">
        <v>232</v>
      </c>
      <c r="D27" s="2" t="s">
        <v>234</v>
      </c>
      <c r="E27" s="5">
        <v>63306049</v>
      </c>
      <c r="F27" s="5">
        <v>2083303</v>
      </c>
      <c r="G27" s="3">
        <f t="shared" si="0"/>
        <v>65389352</v>
      </c>
    </row>
    <row r="28" spans="1:7" x14ac:dyDescent="0.2">
      <c r="A28" s="2">
        <v>2018</v>
      </c>
      <c r="B28" s="4" t="s">
        <v>26</v>
      </c>
      <c r="C28" s="2" t="s">
        <v>232</v>
      </c>
      <c r="D28" s="2" t="s">
        <v>234</v>
      </c>
      <c r="E28" s="5">
        <v>6841654</v>
      </c>
      <c r="F28" s="5">
        <v>225148</v>
      </c>
      <c r="G28" s="3">
        <f t="shared" si="0"/>
        <v>7066802</v>
      </c>
    </row>
    <row r="29" spans="1:7" x14ac:dyDescent="0.2">
      <c r="A29" s="2">
        <v>2018</v>
      </c>
      <c r="B29" s="4" t="s">
        <v>27</v>
      </c>
      <c r="C29" s="2" t="s">
        <v>232</v>
      </c>
      <c r="D29" s="2" t="s">
        <v>234</v>
      </c>
      <c r="E29" s="5">
        <v>38669172</v>
      </c>
      <c r="F29" s="5">
        <v>1272542</v>
      </c>
      <c r="G29" s="3">
        <f t="shared" si="0"/>
        <v>39941714</v>
      </c>
    </row>
    <row r="30" spans="1:7" x14ac:dyDescent="0.2">
      <c r="A30" s="2">
        <v>2018</v>
      </c>
      <c r="B30" s="4" t="s">
        <v>28</v>
      </c>
      <c r="C30" s="2" t="s">
        <v>232</v>
      </c>
      <c r="D30" s="2" t="s">
        <v>234</v>
      </c>
      <c r="E30" s="5">
        <v>17209583</v>
      </c>
      <c r="F30" s="5">
        <v>566340</v>
      </c>
      <c r="G30" s="3">
        <f t="shared" si="0"/>
        <v>17775923</v>
      </c>
    </row>
    <row r="31" spans="1:7" x14ac:dyDescent="0.2">
      <c r="A31" s="2">
        <v>2018</v>
      </c>
      <c r="B31" s="4" t="s">
        <v>29</v>
      </c>
      <c r="C31" s="2" t="s">
        <v>232</v>
      </c>
      <c r="D31" s="2" t="s">
        <v>234</v>
      </c>
      <c r="E31" s="5">
        <v>3371480</v>
      </c>
      <c r="F31" s="5">
        <v>110950</v>
      </c>
      <c r="G31" s="3">
        <f t="shared" si="0"/>
        <v>3482430</v>
      </c>
    </row>
    <row r="32" spans="1:7" x14ac:dyDescent="0.2">
      <c r="A32" s="2">
        <v>2018</v>
      </c>
      <c r="B32" s="4" t="s">
        <v>30</v>
      </c>
      <c r="C32" s="2" t="s">
        <v>232</v>
      </c>
      <c r="D32" s="2" t="s">
        <v>234</v>
      </c>
      <c r="E32" s="5">
        <v>8672857</v>
      </c>
      <c r="F32" s="5">
        <v>285410</v>
      </c>
      <c r="G32" s="3">
        <f t="shared" si="0"/>
        <v>8958267</v>
      </c>
    </row>
    <row r="33" spans="1:7" x14ac:dyDescent="0.2">
      <c r="A33" s="2">
        <v>2018</v>
      </c>
      <c r="B33" s="4" t="s">
        <v>31</v>
      </c>
      <c r="C33" s="2" t="s">
        <v>232</v>
      </c>
      <c r="D33" s="2" t="s">
        <v>234</v>
      </c>
      <c r="E33" s="5">
        <v>28889021</v>
      </c>
      <c r="F33" s="5">
        <v>950692</v>
      </c>
      <c r="G33" s="3">
        <f t="shared" si="0"/>
        <v>29839713</v>
      </c>
    </row>
    <row r="34" spans="1:7" x14ac:dyDescent="0.2">
      <c r="A34" s="2">
        <v>2018</v>
      </c>
      <c r="B34" s="4" t="s">
        <v>32</v>
      </c>
      <c r="C34" s="2" t="s">
        <v>232</v>
      </c>
      <c r="D34" s="2" t="s">
        <v>234</v>
      </c>
      <c r="E34" s="5">
        <v>1545492</v>
      </c>
      <c r="F34" s="5">
        <v>50860</v>
      </c>
      <c r="G34" s="3">
        <f t="shared" si="0"/>
        <v>1596352</v>
      </c>
    </row>
    <row r="35" spans="1:7" x14ac:dyDescent="0.2">
      <c r="A35" s="2">
        <v>2018</v>
      </c>
      <c r="B35" s="4" t="s">
        <v>33</v>
      </c>
      <c r="C35" s="2" t="s">
        <v>232</v>
      </c>
      <c r="D35" s="2" t="s">
        <v>234</v>
      </c>
      <c r="E35" s="5">
        <v>4176501</v>
      </c>
      <c r="F35" s="5">
        <v>137442</v>
      </c>
      <c r="G35" s="3">
        <f t="shared" si="0"/>
        <v>4313943</v>
      </c>
    </row>
    <row r="36" spans="1:7" x14ac:dyDescent="0.2">
      <c r="A36" s="2">
        <v>2018</v>
      </c>
      <c r="B36" s="4" t="s">
        <v>34</v>
      </c>
      <c r="C36" s="2" t="s">
        <v>232</v>
      </c>
      <c r="D36" s="2" t="s">
        <v>234</v>
      </c>
      <c r="E36" s="5">
        <v>7278327</v>
      </c>
      <c r="F36" s="5">
        <v>239518</v>
      </c>
      <c r="G36" s="3">
        <f t="shared" si="0"/>
        <v>7517845</v>
      </c>
    </row>
    <row r="37" spans="1:7" x14ac:dyDescent="0.2">
      <c r="A37" s="2">
        <v>2018</v>
      </c>
      <c r="B37" s="4" t="s">
        <v>35</v>
      </c>
      <c r="C37" s="2" t="s">
        <v>232</v>
      </c>
      <c r="D37" s="2" t="s">
        <v>234</v>
      </c>
      <c r="E37" s="5">
        <v>6303956</v>
      </c>
      <c r="F37" s="5">
        <v>207453</v>
      </c>
      <c r="G37" s="3">
        <f t="shared" si="0"/>
        <v>6511409</v>
      </c>
    </row>
    <row r="38" spans="1:7" x14ac:dyDescent="0.2">
      <c r="A38" s="2">
        <v>2018</v>
      </c>
      <c r="B38" s="4" t="s">
        <v>36</v>
      </c>
      <c r="C38" s="2" t="s">
        <v>232</v>
      </c>
      <c r="D38" s="2" t="s">
        <v>234</v>
      </c>
      <c r="E38" s="5">
        <v>24548759</v>
      </c>
      <c r="F38" s="5">
        <v>807861</v>
      </c>
      <c r="G38" s="3">
        <f t="shared" si="0"/>
        <v>25356620</v>
      </c>
    </row>
    <row r="39" spans="1:7" x14ac:dyDescent="0.2">
      <c r="A39" s="2">
        <v>2018</v>
      </c>
      <c r="B39" s="4" t="s">
        <v>37</v>
      </c>
      <c r="C39" s="2" t="s">
        <v>232</v>
      </c>
      <c r="D39" s="2" t="s">
        <v>234</v>
      </c>
      <c r="E39" s="5">
        <v>7348874</v>
      </c>
      <c r="F39" s="5">
        <v>241840</v>
      </c>
      <c r="G39" s="3">
        <f t="shared" si="0"/>
        <v>7590714</v>
      </c>
    </row>
    <row r="40" spans="1:7" x14ac:dyDescent="0.2">
      <c r="A40" s="2">
        <v>2018</v>
      </c>
      <c r="B40" s="4" t="s">
        <v>38</v>
      </c>
      <c r="C40" s="2" t="s">
        <v>232</v>
      </c>
      <c r="D40" s="2" t="s">
        <v>234</v>
      </c>
      <c r="E40" s="5">
        <v>3263700</v>
      </c>
      <c r="F40" s="5">
        <v>107403</v>
      </c>
      <c r="G40" s="3">
        <f t="shared" si="0"/>
        <v>3371103</v>
      </c>
    </row>
    <row r="41" spans="1:7" x14ac:dyDescent="0.2">
      <c r="A41" s="2">
        <v>2018</v>
      </c>
      <c r="B41" s="4" t="s">
        <v>39</v>
      </c>
      <c r="C41" s="2" t="s">
        <v>232</v>
      </c>
      <c r="D41" s="2" t="s">
        <v>234</v>
      </c>
      <c r="E41" s="5">
        <v>30622624</v>
      </c>
      <c r="F41" s="5">
        <v>1007743</v>
      </c>
      <c r="G41" s="3">
        <f t="shared" si="0"/>
        <v>31630367</v>
      </c>
    </row>
    <row r="42" spans="1:7" x14ac:dyDescent="0.2">
      <c r="A42" s="2">
        <v>2018</v>
      </c>
      <c r="B42" s="4" t="s">
        <v>40</v>
      </c>
      <c r="C42" s="2" t="s">
        <v>232</v>
      </c>
      <c r="D42" s="2" t="s">
        <v>234</v>
      </c>
      <c r="E42" s="5">
        <v>2939230</v>
      </c>
      <c r="F42" s="5">
        <v>96725</v>
      </c>
      <c r="G42" s="3">
        <f t="shared" si="0"/>
        <v>3035955</v>
      </c>
    </row>
    <row r="43" spans="1:7" x14ac:dyDescent="0.2">
      <c r="A43" s="2">
        <v>2018</v>
      </c>
      <c r="B43" s="4" t="s">
        <v>41</v>
      </c>
      <c r="C43" s="2" t="s">
        <v>232</v>
      </c>
      <c r="D43" s="2" t="s">
        <v>234</v>
      </c>
      <c r="E43" s="5">
        <v>3551718</v>
      </c>
      <c r="F43" s="5">
        <v>116881</v>
      </c>
      <c r="G43" s="3">
        <f t="shared" si="0"/>
        <v>3668599</v>
      </c>
    </row>
    <row r="44" spans="1:7" x14ac:dyDescent="0.2">
      <c r="A44" s="2">
        <v>2018</v>
      </c>
      <c r="B44" s="4" t="s">
        <v>42</v>
      </c>
      <c r="C44" s="2" t="s">
        <v>232</v>
      </c>
      <c r="D44" s="2" t="s">
        <v>234</v>
      </c>
      <c r="E44" s="5">
        <v>5946303</v>
      </c>
      <c r="F44" s="5">
        <v>195684</v>
      </c>
      <c r="G44" s="3">
        <f t="shared" si="0"/>
        <v>6141987</v>
      </c>
    </row>
    <row r="45" spans="1:7" x14ac:dyDescent="0.2">
      <c r="A45" s="2">
        <v>2018</v>
      </c>
      <c r="B45" s="4" t="s">
        <v>261</v>
      </c>
      <c r="C45" s="2" t="s">
        <v>232</v>
      </c>
      <c r="D45" s="2" t="s">
        <v>234</v>
      </c>
      <c r="E45" s="5">
        <v>8985020</v>
      </c>
      <c r="F45" s="5">
        <v>295683</v>
      </c>
      <c r="G45" s="3">
        <f t="shared" si="0"/>
        <v>9280703</v>
      </c>
    </row>
    <row r="46" spans="1:7" x14ac:dyDescent="0.2">
      <c r="A46" s="2">
        <v>2018</v>
      </c>
      <c r="B46" s="4" t="s">
        <v>262</v>
      </c>
      <c r="C46" s="2" t="s">
        <v>232</v>
      </c>
      <c r="D46" s="2" t="s">
        <v>234</v>
      </c>
      <c r="E46" s="5">
        <v>18822991</v>
      </c>
      <c r="F46" s="5">
        <v>619435</v>
      </c>
      <c r="G46" s="3">
        <f t="shared" si="0"/>
        <v>19442426</v>
      </c>
    </row>
    <row r="47" spans="1:7" x14ac:dyDescent="0.2">
      <c r="A47" s="2">
        <v>2018</v>
      </c>
      <c r="B47" s="4" t="s">
        <v>45</v>
      </c>
      <c r="C47" s="2" t="s">
        <v>232</v>
      </c>
      <c r="D47" s="2" t="s">
        <v>234</v>
      </c>
      <c r="E47" s="5">
        <v>1410827</v>
      </c>
      <c r="F47" s="5">
        <v>46428</v>
      </c>
      <c r="G47" s="3">
        <f t="shared" si="0"/>
        <v>1457255</v>
      </c>
    </row>
    <row r="48" spans="1:7" x14ac:dyDescent="0.2">
      <c r="A48" s="2">
        <v>2018</v>
      </c>
      <c r="B48" s="4" t="s">
        <v>263</v>
      </c>
      <c r="C48" s="2" t="s">
        <v>232</v>
      </c>
      <c r="D48" s="2" t="s">
        <v>234</v>
      </c>
      <c r="E48" s="5">
        <v>7230145</v>
      </c>
      <c r="F48" s="5">
        <v>237933</v>
      </c>
      <c r="G48" s="3">
        <f t="shared" si="0"/>
        <v>7468078</v>
      </c>
    </row>
    <row r="49" spans="1:7" x14ac:dyDescent="0.2">
      <c r="A49" s="2">
        <v>2018</v>
      </c>
      <c r="B49" s="4" t="s">
        <v>264</v>
      </c>
      <c r="C49" s="2" t="s">
        <v>232</v>
      </c>
      <c r="D49" s="2" t="s">
        <v>234</v>
      </c>
      <c r="E49" s="5">
        <v>9062526</v>
      </c>
      <c r="F49" s="5">
        <v>298234</v>
      </c>
      <c r="G49" s="3">
        <f t="shared" si="0"/>
        <v>9360760</v>
      </c>
    </row>
    <row r="50" spans="1:7" x14ac:dyDescent="0.2">
      <c r="A50" s="2">
        <v>2018</v>
      </c>
      <c r="B50" s="4" t="s">
        <v>48</v>
      </c>
      <c r="C50" s="2" t="s">
        <v>232</v>
      </c>
      <c r="D50" s="2" t="s">
        <v>234</v>
      </c>
      <c r="E50" s="5">
        <v>16074059</v>
      </c>
      <c r="F50" s="5">
        <v>528972</v>
      </c>
      <c r="G50" s="3">
        <f t="shared" si="0"/>
        <v>16603031</v>
      </c>
    </row>
    <row r="51" spans="1:7" x14ac:dyDescent="0.2">
      <c r="A51" s="2">
        <v>2018</v>
      </c>
      <c r="B51" s="4" t="s">
        <v>49</v>
      </c>
      <c r="C51" s="2" t="s">
        <v>232</v>
      </c>
      <c r="D51" s="2" t="s">
        <v>234</v>
      </c>
      <c r="E51" s="5">
        <v>9347985</v>
      </c>
      <c r="F51" s="5">
        <v>307628</v>
      </c>
      <c r="G51" s="3">
        <f t="shared" si="0"/>
        <v>9655613</v>
      </c>
    </row>
    <row r="52" spans="1:7" x14ac:dyDescent="0.2">
      <c r="A52" s="2">
        <v>2018</v>
      </c>
      <c r="B52" s="4" t="s">
        <v>50</v>
      </c>
      <c r="C52" s="2" t="s">
        <v>232</v>
      </c>
      <c r="D52" s="2" t="s">
        <v>234</v>
      </c>
      <c r="E52" s="5">
        <v>11033935</v>
      </c>
      <c r="F52" s="5">
        <v>363110</v>
      </c>
      <c r="G52" s="3">
        <f t="shared" si="0"/>
        <v>11397045</v>
      </c>
    </row>
    <row r="53" spans="1:7" x14ac:dyDescent="0.2">
      <c r="A53" s="2">
        <v>2018</v>
      </c>
      <c r="B53" s="4" t="s">
        <v>51</v>
      </c>
      <c r="C53" s="2" t="s">
        <v>232</v>
      </c>
      <c r="D53" s="2" t="s">
        <v>234</v>
      </c>
      <c r="E53" s="5">
        <v>55926432</v>
      </c>
      <c r="F53" s="5">
        <v>1840451</v>
      </c>
      <c r="G53" s="3">
        <f t="shared" si="0"/>
        <v>57766883</v>
      </c>
    </row>
    <row r="54" spans="1:7" x14ac:dyDescent="0.2">
      <c r="A54" s="2">
        <v>2018</v>
      </c>
      <c r="B54" s="4" t="s">
        <v>52</v>
      </c>
      <c r="C54" s="2" t="s">
        <v>232</v>
      </c>
      <c r="D54" s="2" t="s">
        <v>234</v>
      </c>
      <c r="E54" s="5">
        <v>24049663</v>
      </c>
      <c r="F54" s="5">
        <v>791437</v>
      </c>
      <c r="G54" s="3">
        <f t="shared" si="0"/>
        <v>24841100</v>
      </c>
    </row>
    <row r="55" spans="1:7" x14ac:dyDescent="0.2">
      <c r="A55" s="2">
        <v>2018</v>
      </c>
      <c r="B55" s="4" t="s">
        <v>53</v>
      </c>
      <c r="C55" s="2" t="s">
        <v>232</v>
      </c>
      <c r="D55" s="2" t="s">
        <v>234</v>
      </c>
      <c r="E55" s="5">
        <v>780360</v>
      </c>
      <c r="F55" s="5">
        <v>25680</v>
      </c>
      <c r="G55" s="3">
        <f t="shared" si="0"/>
        <v>806040</v>
      </c>
    </row>
    <row r="56" spans="1:7" x14ac:dyDescent="0.2">
      <c r="A56" s="2">
        <v>2018</v>
      </c>
      <c r="B56" s="4" t="s">
        <v>54</v>
      </c>
      <c r="C56" s="2" t="s">
        <v>232</v>
      </c>
      <c r="D56" s="2" t="s">
        <v>234</v>
      </c>
      <c r="E56" s="5">
        <v>20138297</v>
      </c>
      <c r="F56" s="5">
        <v>662720</v>
      </c>
      <c r="G56" s="3">
        <f t="shared" si="0"/>
        <v>20801017</v>
      </c>
    </row>
    <row r="57" spans="1:7" x14ac:dyDescent="0.2">
      <c r="A57" s="2">
        <v>2018</v>
      </c>
      <c r="B57" s="4" t="s">
        <v>55</v>
      </c>
      <c r="C57" s="2" t="s">
        <v>232</v>
      </c>
      <c r="D57" s="2" t="s">
        <v>234</v>
      </c>
      <c r="E57" s="5">
        <v>2302056</v>
      </c>
      <c r="F57" s="5">
        <v>75757</v>
      </c>
      <c r="G57" s="3">
        <f t="shared" si="0"/>
        <v>2377813</v>
      </c>
    </row>
    <row r="58" spans="1:7" x14ac:dyDescent="0.2">
      <c r="A58" s="2">
        <v>2018</v>
      </c>
      <c r="B58" s="4" t="s">
        <v>56</v>
      </c>
      <c r="C58" s="2" t="s">
        <v>232</v>
      </c>
      <c r="D58" s="2" t="s">
        <v>234</v>
      </c>
      <c r="E58" s="5">
        <v>11198562</v>
      </c>
      <c r="F58" s="5">
        <v>368527</v>
      </c>
      <c r="G58" s="3">
        <f t="shared" si="0"/>
        <v>11567089</v>
      </c>
    </row>
    <row r="59" spans="1:7" x14ac:dyDescent="0.2">
      <c r="A59" s="2">
        <v>2018</v>
      </c>
      <c r="B59" s="4" t="s">
        <v>57</v>
      </c>
      <c r="C59" s="2" t="s">
        <v>232</v>
      </c>
      <c r="D59" s="2" t="s">
        <v>234</v>
      </c>
      <c r="E59" s="5">
        <v>10380032</v>
      </c>
      <c r="F59" s="5">
        <v>341591</v>
      </c>
      <c r="G59" s="3">
        <f t="shared" si="0"/>
        <v>10721623</v>
      </c>
    </row>
    <row r="60" spans="1:7" x14ac:dyDescent="0.2">
      <c r="A60" s="2">
        <v>2018</v>
      </c>
      <c r="B60" s="4" t="s">
        <v>58</v>
      </c>
      <c r="C60" s="2" t="s">
        <v>232</v>
      </c>
      <c r="D60" s="2" t="s">
        <v>234</v>
      </c>
      <c r="E60" s="5">
        <v>6207713</v>
      </c>
      <c r="F60" s="5">
        <v>204286</v>
      </c>
      <c r="G60" s="3">
        <f t="shared" si="0"/>
        <v>6411999</v>
      </c>
    </row>
    <row r="61" spans="1:7" x14ac:dyDescent="0.2">
      <c r="A61" s="2">
        <v>2018</v>
      </c>
      <c r="B61" s="4" t="s">
        <v>59</v>
      </c>
      <c r="C61" s="2" t="s">
        <v>232</v>
      </c>
      <c r="D61" s="2" t="s">
        <v>234</v>
      </c>
      <c r="E61" s="5">
        <v>7195148</v>
      </c>
      <c r="F61" s="5">
        <v>236781</v>
      </c>
      <c r="G61" s="3">
        <f t="shared" si="0"/>
        <v>7431929</v>
      </c>
    </row>
    <row r="62" spans="1:7" x14ac:dyDescent="0.2">
      <c r="A62" s="2">
        <v>2018</v>
      </c>
      <c r="B62" s="4" t="s">
        <v>60</v>
      </c>
      <c r="C62" s="2" t="s">
        <v>232</v>
      </c>
      <c r="D62" s="2" t="s">
        <v>234</v>
      </c>
      <c r="E62" s="5">
        <v>7288278</v>
      </c>
      <c r="F62" s="5">
        <v>239846</v>
      </c>
      <c r="G62" s="3">
        <f t="shared" si="0"/>
        <v>7528124</v>
      </c>
    </row>
    <row r="63" spans="1:7" x14ac:dyDescent="0.2">
      <c r="A63" s="2">
        <v>2018</v>
      </c>
      <c r="B63" s="4" t="s">
        <v>61</v>
      </c>
      <c r="C63" s="2" t="s">
        <v>232</v>
      </c>
      <c r="D63" s="2" t="s">
        <v>234</v>
      </c>
      <c r="E63" s="5">
        <v>2441312</v>
      </c>
      <c r="F63" s="5">
        <v>80340</v>
      </c>
      <c r="G63" s="3">
        <f t="shared" si="0"/>
        <v>2521652</v>
      </c>
    </row>
    <row r="64" spans="1:7" x14ac:dyDescent="0.2">
      <c r="A64" s="2">
        <v>2018</v>
      </c>
      <c r="B64" s="4" t="s">
        <v>62</v>
      </c>
      <c r="C64" s="2" t="s">
        <v>232</v>
      </c>
      <c r="D64" s="2" t="s">
        <v>234</v>
      </c>
      <c r="E64" s="5">
        <v>4041512</v>
      </c>
      <c r="F64" s="5">
        <v>133000</v>
      </c>
      <c r="G64" s="3">
        <f t="shared" si="0"/>
        <v>4174512</v>
      </c>
    </row>
    <row r="65" spans="1:7" x14ac:dyDescent="0.2">
      <c r="A65" s="2">
        <v>2018</v>
      </c>
      <c r="B65" s="4" t="s">
        <v>63</v>
      </c>
      <c r="C65" s="2" t="s">
        <v>232</v>
      </c>
      <c r="D65" s="2" t="s">
        <v>234</v>
      </c>
      <c r="E65" s="5">
        <v>2815454</v>
      </c>
      <c r="F65" s="5">
        <v>92652</v>
      </c>
      <c r="G65" s="3">
        <f t="shared" si="0"/>
        <v>2908106</v>
      </c>
    </row>
    <row r="66" spans="1:7" x14ac:dyDescent="0.2">
      <c r="A66" s="2">
        <v>2018</v>
      </c>
      <c r="B66" s="4" t="s">
        <v>64</v>
      </c>
      <c r="C66" s="2" t="s">
        <v>232</v>
      </c>
      <c r="D66" s="2" t="s">
        <v>234</v>
      </c>
      <c r="E66" s="5">
        <v>2527303</v>
      </c>
      <c r="F66" s="5">
        <v>83170</v>
      </c>
      <c r="G66" s="3">
        <f t="shared" si="0"/>
        <v>2610473</v>
      </c>
    </row>
    <row r="67" spans="1:7" x14ac:dyDescent="0.2">
      <c r="A67" s="2">
        <v>2018</v>
      </c>
      <c r="B67" s="4" t="s">
        <v>65</v>
      </c>
      <c r="C67" s="2" t="s">
        <v>232</v>
      </c>
      <c r="D67" s="2" t="s">
        <v>234</v>
      </c>
      <c r="E67" s="5">
        <v>12400319</v>
      </c>
      <c r="F67" s="5">
        <v>408075</v>
      </c>
      <c r="G67" s="3">
        <f t="shared" ref="G67:G130" si="1">SUM(E67:F67)</f>
        <v>12808394</v>
      </c>
    </row>
    <row r="68" spans="1:7" x14ac:dyDescent="0.2">
      <c r="A68" s="2">
        <v>2018</v>
      </c>
      <c r="B68" s="4" t="s">
        <v>66</v>
      </c>
      <c r="C68" s="2" t="s">
        <v>232</v>
      </c>
      <c r="D68" s="2" t="s">
        <v>234</v>
      </c>
      <c r="E68" s="5">
        <v>11573569</v>
      </c>
      <c r="F68" s="5">
        <v>380868</v>
      </c>
      <c r="G68" s="3">
        <f t="shared" si="1"/>
        <v>11954437</v>
      </c>
    </row>
    <row r="69" spans="1:7" x14ac:dyDescent="0.2">
      <c r="A69" s="2">
        <v>2018</v>
      </c>
      <c r="B69" s="4" t="s">
        <v>67</v>
      </c>
      <c r="C69" s="2" t="s">
        <v>232</v>
      </c>
      <c r="D69" s="2" t="s">
        <v>234</v>
      </c>
      <c r="E69" s="5">
        <v>8554910</v>
      </c>
      <c r="F69" s="5">
        <v>281529</v>
      </c>
      <c r="G69" s="3">
        <f t="shared" si="1"/>
        <v>8836439</v>
      </c>
    </row>
    <row r="70" spans="1:7" x14ac:dyDescent="0.2">
      <c r="A70" s="2">
        <v>2018</v>
      </c>
      <c r="B70" s="4" t="s">
        <v>68</v>
      </c>
      <c r="C70" s="2" t="s">
        <v>232</v>
      </c>
      <c r="D70" s="2" t="s">
        <v>234</v>
      </c>
      <c r="E70" s="5">
        <v>71285114</v>
      </c>
      <c r="F70" s="5">
        <v>2345881</v>
      </c>
      <c r="G70" s="3">
        <f t="shared" si="1"/>
        <v>73630995</v>
      </c>
    </row>
    <row r="71" spans="1:7" x14ac:dyDescent="0.2">
      <c r="A71" s="2">
        <v>2018</v>
      </c>
      <c r="B71" s="4" t="s">
        <v>69</v>
      </c>
      <c r="C71" s="2" t="s">
        <v>232</v>
      </c>
      <c r="D71" s="2" t="s">
        <v>234</v>
      </c>
      <c r="E71" s="5">
        <v>12965383</v>
      </c>
      <c r="F71" s="5">
        <v>426670</v>
      </c>
      <c r="G71" s="3">
        <f t="shared" si="1"/>
        <v>13392053</v>
      </c>
    </row>
    <row r="72" spans="1:7" x14ac:dyDescent="0.2">
      <c r="A72" s="2">
        <v>2018</v>
      </c>
      <c r="B72" s="4" t="s">
        <v>70</v>
      </c>
      <c r="C72" s="2" t="s">
        <v>232</v>
      </c>
      <c r="D72" s="2" t="s">
        <v>234</v>
      </c>
      <c r="E72" s="5">
        <v>31767547</v>
      </c>
      <c r="F72" s="5">
        <v>1045420</v>
      </c>
      <c r="G72" s="3">
        <f t="shared" si="1"/>
        <v>32812967</v>
      </c>
    </row>
    <row r="73" spans="1:7" x14ac:dyDescent="0.2">
      <c r="A73" s="2">
        <v>2018</v>
      </c>
      <c r="B73" s="4" t="s">
        <v>71</v>
      </c>
      <c r="C73" s="2" t="s">
        <v>232</v>
      </c>
      <c r="D73" s="2" t="s">
        <v>234</v>
      </c>
      <c r="E73" s="5">
        <v>6287070</v>
      </c>
      <c r="F73" s="5">
        <v>206898</v>
      </c>
      <c r="G73" s="3">
        <f t="shared" si="1"/>
        <v>6493968</v>
      </c>
    </row>
    <row r="74" spans="1:7" x14ac:dyDescent="0.2">
      <c r="A74" s="2">
        <v>2018</v>
      </c>
      <c r="B74" s="4" t="s">
        <v>72</v>
      </c>
      <c r="C74" s="2" t="s">
        <v>232</v>
      </c>
      <c r="D74" s="2" t="s">
        <v>234</v>
      </c>
      <c r="E74" s="5">
        <v>12382929</v>
      </c>
      <c r="F74" s="5">
        <v>407503</v>
      </c>
      <c r="G74" s="3">
        <f t="shared" si="1"/>
        <v>12790432</v>
      </c>
    </row>
    <row r="75" spans="1:7" x14ac:dyDescent="0.2">
      <c r="A75" s="2">
        <v>2018</v>
      </c>
      <c r="B75" s="4" t="s">
        <v>73</v>
      </c>
      <c r="C75" s="2" t="s">
        <v>232</v>
      </c>
      <c r="D75" s="2" t="s">
        <v>234</v>
      </c>
      <c r="E75" s="5">
        <v>23864870</v>
      </c>
      <c r="F75" s="5">
        <v>785355</v>
      </c>
      <c r="G75" s="3">
        <f t="shared" si="1"/>
        <v>24650225</v>
      </c>
    </row>
    <row r="76" spans="1:7" x14ac:dyDescent="0.2">
      <c r="A76" s="2">
        <v>2018</v>
      </c>
      <c r="B76" s="4" t="s">
        <v>74</v>
      </c>
      <c r="C76" s="2" t="s">
        <v>232</v>
      </c>
      <c r="D76" s="2" t="s">
        <v>234</v>
      </c>
      <c r="E76" s="5">
        <v>5681095</v>
      </c>
      <c r="F76" s="5">
        <v>186956</v>
      </c>
      <c r="G76" s="3">
        <f t="shared" si="1"/>
        <v>5868051</v>
      </c>
    </row>
    <row r="77" spans="1:7" x14ac:dyDescent="0.2">
      <c r="A77" s="2">
        <v>2018</v>
      </c>
      <c r="B77" s="4" t="s">
        <v>75</v>
      </c>
      <c r="C77" s="2" t="s">
        <v>232</v>
      </c>
      <c r="D77" s="2" t="s">
        <v>234</v>
      </c>
      <c r="E77" s="5">
        <v>12250811</v>
      </c>
      <c r="F77" s="5">
        <v>403155</v>
      </c>
      <c r="G77" s="3">
        <f t="shared" si="1"/>
        <v>12653966</v>
      </c>
    </row>
    <row r="78" spans="1:7" x14ac:dyDescent="0.2">
      <c r="A78" s="2">
        <v>2018</v>
      </c>
      <c r="B78" s="4" t="s">
        <v>76</v>
      </c>
      <c r="C78" s="2" t="s">
        <v>232</v>
      </c>
      <c r="D78" s="2" t="s">
        <v>234</v>
      </c>
      <c r="E78" s="5">
        <v>2659432</v>
      </c>
      <c r="F78" s="5">
        <v>87518</v>
      </c>
      <c r="G78" s="3">
        <f t="shared" si="1"/>
        <v>2746950</v>
      </c>
    </row>
    <row r="79" spans="1:7" x14ac:dyDescent="0.2">
      <c r="A79" s="2">
        <v>2018</v>
      </c>
      <c r="B79" s="4" t="s">
        <v>277</v>
      </c>
      <c r="C79" s="2" t="s">
        <v>232</v>
      </c>
      <c r="D79" s="2" t="s">
        <v>234</v>
      </c>
      <c r="E79" s="5">
        <v>17270</v>
      </c>
      <c r="F79" s="4">
        <v>568</v>
      </c>
      <c r="G79" s="3">
        <f t="shared" si="1"/>
        <v>17838</v>
      </c>
    </row>
    <row r="80" spans="1:7" x14ac:dyDescent="0.2">
      <c r="A80" s="2">
        <v>2018</v>
      </c>
      <c r="B80" s="4" t="s">
        <v>78</v>
      </c>
      <c r="C80" s="2" t="s">
        <v>232</v>
      </c>
      <c r="D80" s="2" t="s">
        <v>234</v>
      </c>
      <c r="E80" s="5">
        <v>8388673</v>
      </c>
      <c r="F80" s="5">
        <v>276058</v>
      </c>
      <c r="G80" s="3">
        <f t="shared" si="1"/>
        <v>8664731</v>
      </c>
    </row>
    <row r="81" spans="1:7" x14ac:dyDescent="0.2">
      <c r="A81" s="2">
        <v>2018</v>
      </c>
      <c r="B81" s="4" t="s">
        <v>79</v>
      </c>
      <c r="C81" s="2" t="s">
        <v>232</v>
      </c>
      <c r="D81" s="2" t="s">
        <v>234</v>
      </c>
      <c r="E81" s="5">
        <v>2108393</v>
      </c>
      <c r="F81" s="5">
        <v>69384</v>
      </c>
      <c r="G81" s="3">
        <f t="shared" si="1"/>
        <v>2177777</v>
      </c>
    </row>
    <row r="82" spans="1:7" x14ac:dyDescent="0.2">
      <c r="A82" s="2">
        <v>2018</v>
      </c>
      <c r="B82" s="4" t="s">
        <v>80</v>
      </c>
      <c r="C82" s="2" t="s">
        <v>232</v>
      </c>
      <c r="D82" s="2" t="s">
        <v>234</v>
      </c>
      <c r="E82" s="5">
        <v>319458</v>
      </c>
      <c r="F82" s="5">
        <v>10513</v>
      </c>
      <c r="G82" s="3">
        <f t="shared" si="1"/>
        <v>329971</v>
      </c>
    </row>
    <row r="83" spans="1:7" x14ac:dyDescent="0.2">
      <c r="A83" s="2">
        <v>2018</v>
      </c>
      <c r="B83" s="4" t="s">
        <v>81</v>
      </c>
      <c r="C83" s="2" t="s">
        <v>232</v>
      </c>
      <c r="D83" s="2" t="s">
        <v>234</v>
      </c>
      <c r="E83" s="5">
        <v>6771876</v>
      </c>
      <c r="F83" s="5">
        <v>222852</v>
      </c>
      <c r="G83" s="3">
        <f t="shared" si="1"/>
        <v>6994728</v>
      </c>
    </row>
    <row r="84" spans="1:7" x14ac:dyDescent="0.2">
      <c r="A84" s="2">
        <v>2018</v>
      </c>
      <c r="B84" s="4" t="s">
        <v>82</v>
      </c>
      <c r="C84" s="2" t="s">
        <v>232</v>
      </c>
      <c r="D84" s="2" t="s">
        <v>234</v>
      </c>
      <c r="E84" s="5">
        <v>9963826</v>
      </c>
      <c r="F84" s="5">
        <v>327894</v>
      </c>
      <c r="G84" s="3">
        <f t="shared" si="1"/>
        <v>10291720</v>
      </c>
    </row>
    <row r="85" spans="1:7" x14ac:dyDescent="0.2">
      <c r="A85" s="2">
        <v>2018</v>
      </c>
      <c r="B85" s="4" t="s">
        <v>83</v>
      </c>
      <c r="C85" s="2" t="s">
        <v>232</v>
      </c>
      <c r="D85" s="2" t="s">
        <v>234</v>
      </c>
      <c r="E85" s="5">
        <v>1020125</v>
      </c>
      <c r="F85" s="5">
        <v>33571</v>
      </c>
      <c r="G85" s="3">
        <f t="shared" si="1"/>
        <v>1053696</v>
      </c>
    </row>
    <row r="86" spans="1:7" x14ac:dyDescent="0.2">
      <c r="A86" s="2">
        <v>2018</v>
      </c>
      <c r="B86" s="4" t="s">
        <v>85</v>
      </c>
      <c r="C86" s="2" t="s">
        <v>232</v>
      </c>
      <c r="D86" s="2" t="s">
        <v>234</v>
      </c>
      <c r="E86" s="5">
        <v>33976</v>
      </c>
      <c r="F86" s="5">
        <v>1118</v>
      </c>
      <c r="G86" s="3">
        <f t="shared" si="1"/>
        <v>35094</v>
      </c>
    </row>
    <row r="87" spans="1:7" x14ac:dyDescent="0.2">
      <c r="A87" s="2">
        <v>2018</v>
      </c>
      <c r="B87" s="4" t="s">
        <v>86</v>
      </c>
      <c r="C87" s="2" t="s">
        <v>232</v>
      </c>
      <c r="D87" s="2" t="s">
        <v>234</v>
      </c>
      <c r="E87" s="5">
        <v>18833</v>
      </c>
      <c r="F87" s="4">
        <v>620</v>
      </c>
      <c r="G87" s="3">
        <f t="shared" si="1"/>
        <v>19453</v>
      </c>
    </row>
    <row r="88" spans="1:7" x14ac:dyDescent="0.2">
      <c r="A88" s="2">
        <v>2018</v>
      </c>
      <c r="B88" s="4" t="s">
        <v>282</v>
      </c>
      <c r="C88" s="2" t="s">
        <v>232</v>
      </c>
      <c r="D88" s="2" t="s">
        <v>234</v>
      </c>
      <c r="E88" s="5">
        <v>655838</v>
      </c>
      <c r="F88" s="5">
        <v>21583</v>
      </c>
      <c r="G88" s="3">
        <f t="shared" si="1"/>
        <v>677421</v>
      </c>
    </row>
    <row r="89" spans="1:7" x14ac:dyDescent="0.2">
      <c r="A89" s="2">
        <v>2018</v>
      </c>
      <c r="B89" s="4" t="s">
        <v>88</v>
      </c>
      <c r="C89" s="2" t="s">
        <v>232</v>
      </c>
      <c r="D89" s="2" t="s">
        <v>234</v>
      </c>
      <c r="E89" s="5">
        <v>2150385</v>
      </c>
      <c r="F89" s="5">
        <v>70766</v>
      </c>
      <c r="G89" s="3">
        <f t="shared" si="1"/>
        <v>2221151</v>
      </c>
    </row>
    <row r="90" spans="1:7" x14ac:dyDescent="0.2">
      <c r="A90" s="2">
        <v>2018</v>
      </c>
      <c r="B90" s="4" t="s">
        <v>237</v>
      </c>
      <c r="C90" s="2" t="s">
        <v>232</v>
      </c>
      <c r="D90" s="2" t="s">
        <v>234</v>
      </c>
      <c r="E90" s="5">
        <v>16206693</v>
      </c>
      <c r="F90" s="5">
        <v>533337</v>
      </c>
      <c r="G90" s="3">
        <f t="shared" si="1"/>
        <v>16740030</v>
      </c>
    </row>
    <row r="91" spans="1:7" x14ac:dyDescent="0.2">
      <c r="A91" s="2">
        <v>2018</v>
      </c>
      <c r="B91" s="4" t="s">
        <v>91</v>
      </c>
      <c r="C91" s="2" t="s">
        <v>232</v>
      </c>
      <c r="D91" s="2" t="s">
        <v>234</v>
      </c>
      <c r="E91" s="5">
        <v>1228426</v>
      </c>
      <c r="F91" s="5">
        <v>40426</v>
      </c>
      <c r="G91" s="3">
        <f t="shared" si="1"/>
        <v>1268852</v>
      </c>
    </row>
    <row r="92" spans="1:7" x14ac:dyDescent="0.2">
      <c r="A92" s="2">
        <v>2018</v>
      </c>
      <c r="B92" s="4" t="s">
        <v>92</v>
      </c>
      <c r="C92" s="2" t="s">
        <v>232</v>
      </c>
      <c r="D92" s="2" t="s">
        <v>234</v>
      </c>
      <c r="E92" s="5">
        <v>1995722</v>
      </c>
      <c r="F92" s="5">
        <v>65676</v>
      </c>
      <c r="G92" s="3">
        <f t="shared" si="1"/>
        <v>2061398</v>
      </c>
    </row>
    <row r="93" spans="1:7" x14ac:dyDescent="0.2">
      <c r="A93" s="2">
        <v>2018</v>
      </c>
      <c r="B93" s="4" t="s">
        <v>93</v>
      </c>
      <c r="C93" s="2" t="s">
        <v>232</v>
      </c>
      <c r="D93" s="2" t="s">
        <v>234</v>
      </c>
      <c r="E93" s="5">
        <v>804937</v>
      </c>
      <c r="F93" s="5">
        <v>26489</v>
      </c>
      <c r="G93" s="3">
        <f t="shared" si="1"/>
        <v>831426</v>
      </c>
    </row>
    <row r="94" spans="1:7" x14ac:dyDescent="0.2">
      <c r="A94" s="2">
        <v>2018</v>
      </c>
      <c r="B94" s="4" t="s">
        <v>94</v>
      </c>
      <c r="C94" s="2" t="s">
        <v>232</v>
      </c>
      <c r="D94" s="2" t="s">
        <v>234</v>
      </c>
      <c r="E94" s="5">
        <v>87421</v>
      </c>
      <c r="F94" s="5">
        <v>2877</v>
      </c>
      <c r="G94" s="3">
        <f t="shared" si="1"/>
        <v>90298</v>
      </c>
    </row>
    <row r="95" spans="1:7" x14ac:dyDescent="0.2">
      <c r="A95" s="2">
        <v>2018</v>
      </c>
      <c r="B95" s="4" t="s">
        <v>95</v>
      </c>
      <c r="C95" s="2" t="s">
        <v>232</v>
      </c>
      <c r="D95" s="2" t="s">
        <v>234</v>
      </c>
      <c r="E95" s="5">
        <v>237385</v>
      </c>
      <c r="F95" s="5">
        <v>7812</v>
      </c>
      <c r="G95" s="3">
        <f t="shared" si="1"/>
        <v>245197</v>
      </c>
    </row>
    <row r="96" spans="1:7" x14ac:dyDescent="0.2">
      <c r="A96" s="2">
        <v>2018</v>
      </c>
      <c r="B96" s="4" t="s">
        <v>96</v>
      </c>
      <c r="C96" s="2" t="s">
        <v>232</v>
      </c>
      <c r="D96" s="2" t="s">
        <v>234</v>
      </c>
      <c r="E96" s="5">
        <v>40009</v>
      </c>
      <c r="F96" s="5">
        <v>1317</v>
      </c>
      <c r="G96" s="3">
        <f t="shared" si="1"/>
        <v>41326</v>
      </c>
    </row>
    <row r="97" spans="1:7" x14ac:dyDescent="0.2">
      <c r="A97" s="2">
        <v>2018</v>
      </c>
      <c r="B97" s="4" t="s">
        <v>97</v>
      </c>
      <c r="C97" s="2" t="s">
        <v>232</v>
      </c>
      <c r="D97" s="2" t="s">
        <v>234</v>
      </c>
      <c r="E97" s="5">
        <v>37569</v>
      </c>
      <c r="F97" s="5">
        <v>1236</v>
      </c>
      <c r="G97" s="3">
        <f t="shared" si="1"/>
        <v>38805</v>
      </c>
    </row>
    <row r="98" spans="1:7" x14ac:dyDescent="0.2">
      <c r="A98" s="2">
        <v>2018</v>
      </c>
      <c r="B98" s="4" t="s">
        <v>98</v>
      </c>
      <c r="C98" s="2" t="s">
        <v>232</v>
      </c>
      <c r="D98" s="2" t="s">
        <v>234</v>
      </c>
      <c r="E98" s="5">
        <v>1624164</v>
      </c>
      <c r="F98" s="5">
        <v>53449</v>
      </c>
      <c r="G98" s="3">
        <f t="shared" si="1"/>
        <v>1677613</v>
      </c>
    </row>
    <row r="99" spans="1:7" x14ac:dyDescent="0.2">
      <c r="A99" s="2">
        <v>2018</v>
      </c>
      <c r="B99" s="4" t="s">
        <v>99</v>
      </c>
      <c r="C99" s="2" t="s">
        <v>232</v>
      </c>
      <c r="D99" s="2" t="s">
        <v>234</v>
      </c>
      <c r="E99" s="5">
        <v>49059</v>
      </c>
      <c r="F99" s="5">
        <v>1614</v>
      </c>
      <c r="G99" s="3">
        <f t="shared" si="1"/>
        <v>50673</v>
      </c>
    </row>
    <row r="100" spans="1:7" x14ac:dyDescent="0.2">
      <c r="A100" s="2">
        <v>2018</v>
      </c>
      <c r="B100" s="4" t="s">
        <v>100</v>
      </c>
      <c r="C100" s="2" t="s">
        <v>232</v>
      </c>
      <c r="D100" s="2" t="s">
        <v>234</v>
      </c>
      <c r="E100" s="5">
        <v>15768</v>
      </c>
      <c r="F100" s="4">
        <v>519</v>
      </c>
      <c r="G100" s="3">
        <f t="shared" si="1"/>
        <v>16287</v>
      </c>
    </row>
    <row r="101" spans="1:7" x14ac:dyDescent="0.2">
      <c r="A101" s="2">
        <v>2018</v>
      </c>
      <c r="B101" s="4" t="s">
        <v>101</v>
      </c>
      <c r="C101" s="2" t="s">
        <v>232</v>
      </c>
      <c r="D101" s="2" t="s">
        <v>234</v>
      </c>
      <c r="E101" s="5">
        <v>89536</v>
      </c>
      <c r="F101" s="5">
        <v>2946</v>
      </c>
      <c r="G101" s="3">
        <f t="shared" si="1"/>
        <v>92482</v>
      </c>
    </row>
    <row r="102" spans="1:7" x14ac:dyDescent="0.2">
      <c r="A102" s="2">
        <v>2018</v>
      </c>
      <c r="B102" s="4" t="s">
        <v>103</v>
      </c>
      <c r="C102" s="2" t="s">
        <v>232</v>
      </c>
      <c r="D102" s="2" t="s">
        <v>234</v>
      </c>
      <c r="E102" s="5">
        <v>3484235</v>
      </c>
      <c r="F102" s="5">
        <v>114661</v>
      </c>
      <c r="G102" s="3">
        <f t="shared" si="1"/>
        <v>3598896</v>
      </c>
    </row>
    <row r="103" spans="1:7" x14ac:dyDescent="0.2">
      <c r="A103" s="2">
        <v>2018</v>
      </c>
      <c r="B103" s="4" t="s">
        <v>238</v>
      </c>
      <c r="C103" s="2" t="s">
        <v>232</v>
      </c>
      <c r="D103" s="2" t="s">
        <v>234</v>
      </c>
      <c r="E103" s="5">
        <v>800238</v>
      </c>
      <c r="F103" s="5">
        <v>26335</v>
      </c>
      <c r="G103" s="3">
        <f t="shared" si="1"/>
        <v>826573</v>
      </c>
    </row>
    <row r="104" spans="1:7" x14ac:dyDescent="0.2">
      <c r="A104" s="2">
        <v>2018</v>
      </c>
      <c r="B104" s="4" t="s">
        <v>105</v>
      </c>
      <c r="C104" s="2" t="s">
        <v>232</v>
      </c>
      <c r="D104" s="2" t="s">
        <v>234</v>
      </c>
      <c r="E104" s="5">
        <v>3405936</v>
      </c>
      <c r="F104" s="5">
        <v>112084</v>
      </c>
      <c r="G104" s="3">
        <f t="shared" si="1"/>
        <v>3518020</v>
      </c>
    </row>
    <row r="105" spans="1:7" x14ac:dyDescent="0.2">
      <c r="A105" s="2">
        <v>2018</v>
      </c>
      <c r="B105" s="4" t="s">
        <v>106</v>
      </c>
      <c r="C105" s="2" t="s">
        <v>232</v>
      </c>
      <c r="D105" s="2" t="s">
        <v>234</v>
      </c>
      <c r="E105" s="5">
        <v>57892</v>
      </c>
      <c r="F105" s="5">
        <v>1905</v>
      </c>
      <c r="G105" s="3">
        <f t="shared" si="1"/>
        <v>59797</v>
      </c>
    </row>
    <row r="106" spans="1:7" x14ac:dyDescent="0.2">
      <c r="A106" s="2">
        <v>2018</v>
      </c>
      <c r="B106" s="4" t="s">
        <v>107</v>
      </c>
      <c r="C106" s="2" t="s">
        <v>232</v>
      </c>
      <c r="D106" s="2" t="s">
        <v>234</v>
      </c>
      <c r="E106" s="5">
        <v>332534</v>
      </c>
      <c r="F106" s="5">
        <v>10943</v>
      </c>
      <c r="G106" s="3">
        <f t="shared" si="1"/>
        <v>343477</v>
      </c>
    </row>
    <row r="107" spans="1:7" x14ac:dyDescent="0.2">
      <c r="A107" s="2">
        <v>2018</v>
      </c>
      <c r="B107" s="4" t="s">
        <v>108</v>
      </c>
      <c r="C107" s="2" t="s">
        <v>232</v>
      </c>
      <c r="D107" s="2" t="s">
        <v>234</v>
      </c>
      <c r="E107" s="5">
        <v>4687507</v>
      </c>
      <c r="F107" s="5">
        <v>154259</v>
      </c>
      <c r="G107" s="3">
        <f t="shared" si="1"/>
        <v>4841766</v>
      </c>
    </row>
    <row r="108" spans="1:7" x14ac:dyDescent="0.2">
      <c r="A108" s="2">
        <v>2018</v>
      </c>
      <c r="B108" s="4" t="s">
        <v>109</v>
      </c>
      <c r="C108" s="2" t="s">
        <v>232</v>
      </c>
      <c r="D108" s="2" t="s">
        <v>234</v>
      </c>
      <c r="E108" s="5">
        <v>978493</v>
      </c>
      <c r="F108" s="5">
        <v>32201</v>
      </c>
      <c r="G108" s="3">
        <f t="shared" si="1"/>
        <v>1010694</v>
      </c>
    </row>
    <row r="109" spans="1:7" x14ac:dyDescent="0.2">
      <c r="A109" s="2">
        <v>2018</v>
      </c>
      <c r="B109" s="4" t="s">
        <v>110</v>
      </c>
      <c r="C109" s="2" t="s">
        <v>232</v>
      </c>
      <c r="D109" s="2" t="s">
        <v>234</v>
      </c>
      <c r="E109" s="5">
        <v>2526870</v>
      </c>
      <c r="F109" s="5">
        <v>83155</v>
      </c>
      <c r="G109" s="3">
        <f t="shared" si="1"/>
        <v>2610025</v>
      </c>
    </row>
    <row r="110" spans="1:7" x14ac:dyDescent="0.2">
      <c r="A110" s="2">
        <v>2018</v>
      </c>
      <c r="B110" s="4" t="s">
        <v>111</v>
      </c>
      <c r="C110" s="2" t="s">
        <v>232</v>
      </c>
      <c r="D110" s="2" t="s">
        <v>234</v>
      </c>
      <c r="E110" s="5">
        <v>508578</v>
      </c>
      <c r="F110" s="5">
        <v>16737</v>
      </c>
      <c r="G110" s="3">
        <f t="shared" si="1"/>
        <v>525315</v>
      </c>
    </row>
    <row r="111" spans="1:7" x14ac:dyDescent="0.2">
      <c r="A111" s="2">
        <v>2018</v>
      </c>
      <c r="B111" s="4" t="s">
        <v>112</v>
      </c>
      <c r="C111" s="2" t="s">
        <v>232</v>
      </c>
      <c r="D111" s="2" t="s">
        <v>234</v>
      </c>
      <c r="E111" s="5">
        <v>663590</v>
      </c>
      <c r="F111" s="5">
        <v>21838</v>
      </c>
      <c r="G111" s="3">
        <f t="shared" si="1"/>
        <v>685428</v>
      </c>
    </row>
    <row r="112" spans="1:7" x14ac:dyDescent="0.2">
      <c r="A112" s="2">
        <v>2018</v>
      </c>
      <c r="B112" s="4" t="s">
        <v>113</v>
      </c>
      <c r="C112" s="2" t="s">
        <v>232</v>
      </c>
      <c r="D112" s="2" t="s">
        <v>234</v>
      </c>
      <c r="E112" s="5">
        <v>781381</v>
      </c>
      <c r="F112" s="5">
        <v>25714</v>
      </c>
      <c r="G112" s="3">
        <f t="shared" si="1"/>
        <v>807095</v>
      </c>
    </row>
    <row r="113" spans="1:7" x14ac:dyDescent="0.2">
      <c r="A113" s="2">
        <v>2018</v>
      </c>
      <c r="B113" s="4" t="s">
        <v>114</v>
      </c>
      <c r="C113" s="2" t="s">
        <v>232</v>
      </c>
      <c r="D113" s="2" t="s">
        <v>234</v>
      </c>
      <c r="E113" s="5">
        <v>1068763</v>
      </c>
      <c r="F113" s="5">
        <v>35171</v>
      </c>
      <c r="G113" s="3">
        <f t="shared" si="1"/>
        <v>1103934</v>
      </c>
    </row>
    <row r="114" spans="1:7" x14ac:dyDescent="0.2">
      <c r="A114" s="2">
        <v>2018</v>
      </c>
      <c r="B114" s="4" t="s">
        <v>115</v>
      </c>
      <c r="C114" s="2" t="s">
        <v>232</v>
      </c>
      <c r="D114" s="2" t="s">
        <v>234</v>
      </c>
      <c r="E114" s="5">
        <v>2276613</v>
      </c>
      <c r="F114" s="5">
        <v>74920</v>
      </c>
      <c r="G114" s="3">
        <f t="shared" si="1"/>
        <v>2351533</v>
      </c>
    </row>
    <row r="115" spans="1:7" x14ac:dyDescent="0.2">
      <c r="A115" s="2">
        <v>2018</v>
      </c>
      <c r="B115" s="4" t="s">
        <v>116</v>
      </c>
      <c r="C115" s="2" t="s">
        <v>232</v>
      </c>
      <c r="D115" s="2" t="s">
        <v>234</v>
      </c>
      <c r="E115" s="5">
        <v>1838282</v>
      </c>
      <c r="F115" s="5">
        <v>60495</v>
      </c>
      <c r="G115" s="3">
        <f t="shared" si="1"/>
        <v>1898777</v>
      </c>
    </row>
    <row r="116" spans="1:7" x14ac:dyDescent="0.2">
      <c r="A116" s="2">
        <v>2018</v>
      </c>
      <c r="B116" s="4" t="s">
        <v>117</v>
      </c>
      <c r="C116" s="2" t="s">
        <v>232</v>
      </c>
      <c r="D116" s="2" t="s">
        <v>234</v>
      </c>
      <c r="E116" s="5">
        <v>7011124</v>
      </c>
      <c r="F116" s="5">
        <v>230725</v>
      </c>
      <c r="G116" s="3">
        <f t="shared" si="1"/>
        <v>7241849</v>
      </c>
    </row>
    <row r="117" spans="1:7" x14ac:dyDescent="0.2">
      <c r="A117" s="2">
        <v>2018</v>
      </c>
      <c r="B117" s="4" t="s">
        <v>119</v>
      </c>
      <c r="C117" s="2" t="s">
        <v>232</v>
      </c>
      <c r="D117" s="2" t="s">
        <v>234</v>
      </c>
      <c r="E117" s="5">
        <v>13473</v>
      </c>
      <c r="F117" s="4">
        <v>443</v>
      </c>
      <c r="G117" s="3">
        <f t="shared" si="1"/>
        <v>13916</v>
      </c>
    </row>
    <row r="118" spans="1:7" x14ac:dyDescent="0.2">
      <c r="A118" s="2">
        <v>2018</v>
      </c>
      <c r="B118" s="4" t="s">
        <v>120</v>
      </c>
      <c r="C118" s="2" t="s">
        <v>232</v>
      </c>
      <c r="D118" s="2" t="s">
        <v>234</v>
      </c>
      <c r="E118" s="5">
        <v>4007812</v>
      </c>
      <c r="F118" s="5">
        <v>131891</v>
      </c>
      <c r="G118" s="3">
        <f t="shared" si="1"/>
        <v>4139703</v>
      </c>
    </row>
    <row r="119" spans="1:7" x14ac:dyDescent="0.2">
      <c r="A119" s="2">
        <v>2018</v>
      </c>
      <c r="B119" s="4" t="s">
        <v>121</v>
      </c>
      <c r="C119" s="2" t="s">
        <v>232</v>
      </c>
      <c r="D119" s="2" t="s">
        <v>234</v>
      </c>
      <c r="E119" s="5">
        <v>1382116</v>
      </c>
      <c r="F119" s="5">
        <v>45483</v>
      </c>
      <c r="G119" s="3">
        <f t="shared" si="1"/>
        <v>1427599</v>
      </c>
    </row>
    <row r="120" spans="1:7" x14ac:dyDescent="0.2">
      <c r="A120" s="2">
        <v>2018</v>
      </c>
      <c r="B120" s="4" t="s">
        <v>122</v>
      </c>
      <c r="C120" s="2" t="s">
        <v>232</v>
      </c>
      <c r="D120" s="2" t="s">
        <v>234</v>
      </c>
      <c r="E120" s="5">
        <v>1526648</v>
      </c>
      <c r="F120" s="5">
        <v>50240</v>
      </c>
      <c r="G120" s="3">
        <f t="shared" si="1"/>
        <v>1576888</v>
      </c>
    </row>
    <row r="121" spans="1:7" x14ac:dyDescent="0.2">
      <c r="A121" s="2">
        <v>2018</v>
      </c>
      <c r="B121" s="4" t="s">
        <v>240</v>
      </c>
      <c r="C121" s="2" t="s">
        <v>232</v>
      </c>
      <c r="D121" s="2" t="s">
        <v>234</v>
      </c>
      <c r="E121" s="5">
        <v>2676402</v>
      </c>
      <c r="F121" s="5">
        <v>88076</v>
      </c>
      <c r="G121" s="3">
        <f t="shared" si="1"/>
        <v>2764478</v>
      </c>
    </row>
    <row r="122" spans="1:7" x14ac:dyDescent="0.2">
      <c r="A122" s="2">
        <v>2018</v>
      </c>
      <c r="B122" s="4" t="s">
        <v>124</v>
      </c>
      <c r="C122" s="2" t="s">
        <v>232</v>
      </c>
      <c r="D122" s="2" t="s">
        <v>234</v>
      </c>
      <c r="E122" s="5">
        <v>960718</v>
      </c>
      <c r="F122" s="5">
        <v>31616</v>
      </c>
      <c r="G122" s="3">
        <f t="shared" si="1"/>
        <v>992334</v>
      </c>
    </row>
    <row r="123" spans="1:7" x14ac:dyDescent="0.2">
      <c r="A123" s="2">
        <v>2018</v>
      </c>
      <c r="B123" s="4" t="s">
        <v>125</v>
      </c>
      <c r="C123" s="2" t="s">
        <v>232</v>
      </c>
      <c r="D123" s="2" t="s">
        <v>234</v>
      </c>
      <c r="E123" s="5">
        <v>1065205</v>
      </c>
      <c r="F123" s="5">
        <v>35054</v>
      </c>
      <c r="G123" s="3">
        <f t="shared" si="1"/>
        <v>1100259</v>
      </c>
    </row>
    <row r="124" spans="1:7" x14ac:dyDescent="0.2">
      <c r="A124" s="2">
        <v>2018</v>
      </c>
      <c r="B124" s="4" t="s">
        <v>126</v>
      </c>
      <c r="C124" s="2" t="s">
        <v>232</v>
      </c>
      <c r="D124" s="2" t="s">
        <v>234</v>
      </c>
      <c r="E124" s="5">
        <v>1327601</v>
      </c>
      <c r="F124" s="5">
        <v>43689</v>
      </c>
      <c r="G124" s="3">
        <f t="shared" si="1"/>
        <v>1371290</v>
      </c>
    </row>
    <row r="125" spans="1:7" x14ac:dyDescent="0.2">
      <c r="A125" s="2">
        <v>2018</v>
      </c>
      <c r="B125" s="4" t="s">
        <v>127</v>
      </c>
      <c r="C125" s="2" t="s">
        <v>232</v>
      </c>
      <c r="D125" s="2" t="s">
        <v>234</v>
      </c>
      <c r="E125" s="5">
        <v>2618450</v>
      </c>
      <c r="F125" s="5">
        <v>86169</v>
      </c>
      <c r="G125" s="3">
        <f t="shared" si="1"/>
        <v>2704619</v>
      </c>
    </row>
    <row r="126" spans="1:7" x14ac:dyDescent="0.2">
      <c r="A126" s="2">
        <v>2018</v>
      </c>
      <c r="B126" s="4" t="s">
        <v>128</v>
      </c>
      <c r="C126" s="2" t="s">
        <v>232</v>
      </c>
      <c r="D126" s="2" t="s">
        <v>234</v>
      </c>
      <c r="E126" s="5">
        <v>356415</v>
      </c>
      <c r="F126" s="5">
        <v>11729</v>
      </c>
      <c r="G126" s="3">
        <f t="shared" si="1"/>
        <v>368144</v>
      </c>
    </row>
    <row r="127" spans="1:7" x14ac:dyDescent="0.2">
      <c r="A127" s="2">
        <v>2018</v>
      </c>
      <c r="B127" s="4" t="s">
        <v>129</v>
      </c>
      <c r="C127" s="2" t="s">
        <v>232</v>
      </c>
      <c r="D127" s="2" t="s">
        <v>234</v>
      </c>
      <c r="E127" s="5">
        <v>5973320</v>
      </c>
      <c r="F127" s="5">
        <v>196573</v>
      </c>
      <c r="G127" s="3">
        <f t="shared" si="1"/>
        <v>6169893</v>
      </c>
    </row>
    <row r="128" spans="1:7" x14ac:dyDescent="0.2">
      <c r="A128" s="2">
        <v>2018</v>
      </c>
      <c r="B128" s="4" t="s">
        <v>130</v>
      </c>
      <c r="C128" s="2" t="s">
        <v>232</v>
      </c>
      <c r="D128" s="2" t="s">
        <v>234</v>
      </c>
      <c r="E128" s="5">
        <v>190778</v>
      </c>
      <c r="F128" s="5">
        <v>6278</v>
      </c>
      <c r="G128" s="3">
        <f t="shared" si="1"/>
        <v>197056</v>
      </c>
    </row>
    <row r="129" spans="1:7" x14ac:dyDescent="0.2">
      <c r="A129" s="2">
        <v>2018</v>
      </c>
      <c r="B129" s="4" t="s">
        <v>131</v>
      </c>
      <c r="C129" s="2" t="s">
        <v>232</v>
      </c>
      <c r="D129" s="2" t="s">
        <v>234</v>
      </c>
      <c r="E129" s="5">
        <v>15071</v>
      </c>
      <c r="F129" s="4">
        <v>496</v>
      </c>
      <c r="G129" s="3">
        <f t="shared" si="1"/>
        <v>15567</v>
      </c>
    </row>
    <row r="130" spans="1:7" x14ac:dyDescent="0.2">
      <c r="A130" s="2">
        <v>2018</v>
      </c>
      <c r="B130" s="4" t="s">
        <v>132</v>
      </c>
      <c r="C130" s="2" t="s">
        <v>232</v>
      </c>
      <c r="D130" s="2" t="s">
        <v>234</v>
      </c>
      <c r="E130" s="5">
        <v>15588</v>
      </c>
      <c r="F130" s="4">
        <v>513</v>
      </c>
      <c r="G130" s="3">
        <f t="shared" si="1"/>
        <v>16101</v>
      </c>
    </row>
    <row r="131" spans="1:7" x14ac:dyDescent="0.2">
      <c r="A131" s="2">
        <v>2018</v>
      </c>
      <c r="B131" s="4" t="s">
        <v>133</v>
      </c>
      <c r="C131" s="2" t="s">
        <v>232</v>
      </c>
      <c r="D131" s="2" t="s">
        <v>234</v>
      </c>
      <c r="E131" s="5">
        <v>774014</v>
      </c>
      <c r="F131" s="5">
        <v>25472</v>
      </c>
      <c r="G131" s="3">
        <f t="shared" ref="G131:G194" si="2">SUM(E131:F131)</f>
        <v>799486</v>
      </c>
    </row>
    <row r="132" spans="1:7" x14ac:dyDescent="0.2">
      <c r="A132" s="2">
        <v>2018</v>
      </c>
      <c r="B132" s="4" t="s">
        <v>134</v>
      </c>
      <c r="C132" s="2" t="s">
        <v>232</v>
      </c>
      <c r="D132" s="2" t="s">
        <v>234</v>
      </c>
      <c r="E132" s="5">
        <v>982832</v>
      </c>
      <c r="F132" s="5">
        <v>32343</v>
      </c>
      <c r="G132" s="3">
        <f t="shared" si="2"/>
        <v>1015175</v>
      </c>
    </row>
    <row r="133" spans="1:7" x14ac:dyDescent="0.2">
      <c r="A133" s="2">
        <v>2018</v>
      </c>
      <c r="B133" s="4" t="s">
        <v>135</v>
      </c>
      <c r="C133" s="2" t="s">
        <v>232</v>
      </c>
      <c r="D133" s="2" t="s">
        <v>234</v>
      </c>
      <c r="E133" s="5">
        <v>1370758</v>
      </c>
      <c r="F133" s="5">
        <v>45110</v>
      </c>
      <c r="G133" s="3">
        <f t="shared" si="2"/>
        <v>1415868</v>
      </c>
    </row>
    <row r="134" spans="1:7" x14ac:dyDescent="0.2">
      <c r="A134" s="2">
        <v>2018</v>
      </c>
      <c r="B134" s="4" t="s">
        <v>136</v>
      </c>
      <c r="C134" s="2" t="s">
        <v>232</v>
      </c>
      <c r="D134" s="2" t="s">
        <v>234</v>
      </c>
      <c r="E134" s="5">
        <v>501571</v>
      </c>
      <c r="F134" s="5">
        <v>16506</v>
      </c>
      <c r="G134" s="3">
        <f t="shared" si="2"/>
        <v>518077</v>
      </c>
    </row>
    <row r="135" spans="1:7" x14ac:dyDescent="0.2">
      <c r="A135" s="2">
        <v>2018</v>
      </c>
      <c r="B135" s="4" t="s">
        <v>137</v>
      </c>
      <c r="C135" s="2" t="s">
        <v>232</v>
      </c>
      <c r="D135" s="2" t="s">
        <v>234</v>
      </c>
      <c r="E135" s="5">
        <v>334914</v>
      </c>
      <c r="F135" s="5">
        <v>11021</v>
      </c>
      <c r="G135" s="3">
        <f t="shared" si="2"/>
        <v>345935</v>
      </c>
    </row>
    <row r="136" spans="1:7" x14ac:dyDescent="0.2">
      <c r="A136" s="2">
        <v>2018</v>
      </c>
      <c r="B136" s="4" t="s">
        <v>265</v>
      </c>
      <c r="C136" s="2" t="s">
        <v>232</v>
      </c>
      <c r="D136" s="2" t="s">
        <v>234</v>
      </c>
      <c r="E136" s="5">
        <v>2936321</v>
      </c>
      <c r="F136" s="5">
        <v>96630</v>
      </c>
      <c r="G136" s="3">
        <f t="shared" si="2"/>
        <v>3032951</v>
      </c>
    </row>
    <row r="137" spans="1:7" x14ac:dyDescent="0.2">
      <c r="A137" s="2">
        <v>2018</v>
      </c>
      <c r="B137" s="4" t="s">
        <v>266</v>
      </c>
      <c r="C137" s="2" t="s">
        <v>232</v>
      </c>
      <c r="D137" s="2" t="s">
        <v>234</v>
      </c>
      <c r="E137" s="5">
        <v>10456</v>
      </c>
      <c r="F137" s="4">
        <v>344</v>
      </c>
      <c r="G137" s="3">
        <f t="shared" si="2"/>
        <v>10800</v>
      </c>
    </row>
    <row r="138" spans="1:7" x14ac:dyDescent="0.2">
      <c r="A138" s="2">
        <v>2018</v>
      </c>
      <c r="B138" s="4" t="s">
        <v>283</v>
      </c>
      <c r="C138" s="2" t="s">
        <v>232</v>
      </c>
      <c r="D138" s="2" t="s">
        <v>234</v>
      </c>
      <c r="E138" s="5">
        <v>1038753</v>
      </c>
      <c r="F138" s="5">
        <v>34184</v>
      </c>
      <c r="G138" s="3">
        <f t="shared" si="2"/>
        <v>1072937</v>
      </c>
    </row>
    <row r="139" spans="1:7" x14ac:dyDescent="0.2">
      <c r="A139" s="2">
        <v>2018</v>
      </c>
      <c r="B139" s="4" t="s">
        <v>138</v>
      </c>
      <c r="C139" s="2" t="s">
        <v>232</v>
      </c>
      <c r="D139" s="2" t="s">
        <v>234</v>
      </c>
      <c r="E139" s="5">
        <v>86952</v>
      </c>
      <c r="F139" s="5">
        <v>2861</v>
      </c>
      <c r="G139" s="3">
        <f t="shared" si="2"/>
        <v>89813</v>
      </c>
    </row>
    <row r="140" spans="1:7" x14ac:dyDescent="0.2">
      <c r="A140" s="2">
        <v>2018</v>
      </c>
      <c r="B140" s="4" t="s">
        <v>139</v>
      </c>
      <c r="C140" s="2" t="s">
        <v>232</v>
      </c>
      <c r="D140" s="2" t="s">
        <v>234</v>
      </c>
      <c r="E140" s="5">
        <v>1704735</v>
      </c>
      <c r="F140" s="5">
        <v>56100</v>
      </c>
      <c r="G140" s="3">
        <f t="shared" si="2"/>
        <v>1760835</v>
      </c>
    </row>
    <row r="141" spans="1:7" x14ac:dyDescent="0.2">
      <c r="A141" s="2">
        <v>2018</v>
      </c>
      <c r="B141" s="4" t="s">
        <v>140</v>
      </c>
      <c r="C141" s="2" t="s">
        <v>232</v>
      </c>
      <c r="D141" s="2" t="s">
        <v>234</v>
      </c>
      <c r="E141" s="5">
        <v>21681</v>
      </c>
      <c r="F141" s="4">
        <v>713</v>
      </c>
      <c r="G141" s="3">
        <f t="shared" si="2"/>
        <v>22394</v>
      </c>
    </row>
    <row r="142" spans="1:7" x14ac:dyDescent="0.2">
      <c r="A142" s="2">
        <v>2018</v>
      </c>
      <c r="B142" s="4" t="s">
        <v>141</v>
      </c>
      <c r="C142" s="2" t="s">
        <v>232</v>
      </c>
      <c r="D142" s="2" t="s">
        <v>234</v>
      </c>
      <c r="E142" s="5">
        <v>19337</v>
      </c>
      <c r="F142" s="4">
        <v>636</v>
      </c>
      <c r="G142" s="3">
        <f t="shared" si="2"/>
        <v>19973</v>
      </c>
    </row>
    <row r="143" spans="1:7" x14ac:dyDescent="0.2">
      <c r="A143" s="2">
        <v>2018</v>
      </c>
      <c r="B143" s="4" t="s">
        <v>142</v>
      </c>
      <c r="C143" s="2" t="s">
        <v>232</v>
      </c>
      <c r="D143" s="2" t="s">
        <v>234</v>
      </c>
      <c r="E143" s="5">
        <v>530307</v>
      </c>
      <c r="F143" s="5">
        <v>17452</v>
      </c>
      <c r="G143" s="3">
        <f t="shared" si="2"/>
        <v>547759</v>
      </c>
    </row>
    <row r="144" spans="1:7" x14ac:dyDescent="0.2">
      <c r="A144" s="2">
        <v>2018</v>
      </c>
      <c r="B144" s="4" t="s">
        <v>143</v>
      </c>
      <c r="C144" s="2" t="s">
        <v>232</v>
      </c>
      <c r="D144" s="2" t="s">
        <v>234</v>
      </c>
      <c r="E144" s="5">
        <v>985656</v>
      </c>
      <c r="F144" s="5">
        <v>32436</v>
      </c>
      <c r="G144" s="3">
        <f t="shared" si="2"/>
        <v>1018092</v>
      </c>
    </row>
    <row r="145" spans="1:7" x14ac:dyDescent="0.2">
      <c r="A145" s="2">
        <v>2018</v>
      </c>
      <c r="B145" s="4" t="s">
        <v>144</v>
      </c>
      <c r="C145" s="2" t="s">
        <v>232</v>
      </c>
      <c r="D145" s="2" t="s">
        <v>234</v>
      </c>
      <c r="E145" s="5">
        <v>600350</v>
      </c>
      <c r="F145" s="5">
        <v>19757</v>
      </c>
      <c r="G145" s="3">
        <f t="shared" si="2"/>
        <v>620107</v>
      </c>
    </row>
    <row r="146" spans="1:7" x14ac:dyDescent="0.2">
      <c r="A146" s="2">
        <v>2018</v>
      </c>
      <c r="B146" s="4" t="s">
        <v>284</v>
      </c>
      <c r="C146" s="2" t="s">
        <v>232</v>
      </c>
      <c r="D146" s="2" t="s">
        <v>234</v>
      </c>
      <c r="E146" s="5">
        <v>336224</v>
      </c>
      <c r="F146" s="5">
        <v>11065</v>
      </c>
      <c r="G146" s="3">
        <f t="shared" si="2"/>
        <v>347289</v>
      </c>
    </row>
    <row r="147" spans="1:7" x14ac:dyDescent="0.2">
      <c r="A147" s="2">
        <v>2018</v>
      </c>
      <c r="B147" s="4" t="s">
        <v>145</v>
      </c>
      <c r="C147" s="2" t="s">
        <v>232</v>
      </c>
      <c r="D147" s="2" t="s">
        <v>234</v>
      </c>
      <c r="E147" s="5">
        <v>871855</v>
      </c>
      <c r="F147" s="5">
        <v>28691</v>
      </c>
      <c r="G147" s="3">
        <f t="shared" si="2"/>
        <v>900546</v>
      </c>
    </row>
    <row r="148" spans="1:7" x14ac:dyDescent="0.2">
      <c r="A148" s="2">
        <v>2018</v>
      </c>
      <c r="B148" s="4" t="s">
        <v>146</v>
      </c>
      <c r="C148" s="2" t="s">
        <v>232</v>
      </c>
      <c r="D148" s="2" t="s">
        <v>234</v>
      </c>
      <c r="E148" s="5">
        <v>5331171</v>
      </c>
      <c r="F148" s="5">
        <v>175440</v>
      </c>
      <c r="G148" s="3">
        <f t="shared" si="2"/>
        <v>5506611</v>
      </c>
    </row>
    <row r="149" spans="1:7" x14ac:dyDescent="0.2">
      <c r="A149" s="2">
        <v>2018</v>
      </c>
      <c r="B149" s="4" t="s">
        <v>147</v>
      </c>
      <c r="C149" s="2" t="s">
        <v>232</v>
      </c>
      <c r="D149" s="2" t="s">
        <v>234</v>
      </c>
      <c r="E149" s="5">
        <v>10384</v>
      </c>
      <c r="F149" s="4">
        <v>342</v>
      </c>
      <c r="G149" s="3">
        <f t="shared" si="2"/>
        <v>10726</v>
      </c>
    </row>
    <row r="150" spans="1:7" x14ac:dyDescent="0.2">
      <c r="A150" s="2">
        <v>2018</v>
      </c>
      <c r="B150" s="4" t="s">
        <v>148</v>
      </c>
      <c r="C150" s="2" t="s">
        <v>232</v>
      </c>
      <c r="D150" s="2" t="s">
        <v>234</v>
      </c>
      <c r="E150" s="5">
        <v>141972</v>
      </c>
      <c r="F150" s="5">
        <v>4672</v>
      </c>
      <c r="G150" s="3">
        <f t="shared" si="2"/>
        <v>146644</v>
      </c>
    </row>
    <row r="151" spans="1:7" x14ac:dyDescent="0.2">
      <c r="A151" s="2">
        <v>2018</v>
      </c>
      <c r="B151" s="4" t="s">
        <v>285</v>
      </c>
      <c r="C151" s="2" t="s">
        <v>232</v>
      </c>
      <c r="D151" s="2" t="s">
        <v>234</v>
      </c>
      <c r="E151" s="5">
        <v>29745</v>
      </c>
      <c r="F151" s="4">
        <v>979</v>
      </c>
      <c r="G151" s="3">
        <f t="shared" si="2"/>
        <v>30724</v>
      </c>
    </row>
    <row r="152" spans="1:7" x14ac:dyDescent="0.2">
      <c r="A152" s="2">
        <v>2018</v>
      </c>
      <c r="B152" s="4" t="s">
        <v>149</v>
      </c>
      <c r="C152" s="2" t="s">
        <v>232</v>
      </c>
      <c r="D152" s="2" t="s">
        <v>234</v>
      </c>
      <c r="E152" s="5">
        <v>480768</v>
      </c>
      <c r="F152" s="5">
        <v>15821</v>
      </c>
      <c r="G152" s="3">
        <f t="shared" si="2"/>
        <v>496589</v>
      </c>
    </row>
    <row r="153" spans="1:7" x14ac:dyDescent="0.2">
      <c r="A153" s="2">
        <v>2018</v>
      </c>
      <c r="B153" s="4" t="s">
        <v>150</v>
      </c>
      <c r="C153" s="2" t="s">
        <v>232</v>
      </c>
      <c r="D153" s="2" t="s">
        <v>234</v>
      </c>
      <c r="E153" s="5">
        <v>671017</v>
      </c>
      <c r="F153" s="5">
        <v>22082</v>
      </c>
      <c r="G153" s="3">
        <f t="shared" si="2"/>
        <v>693099</v>
      </c>
    </row>
    <row r="154" spans="1:7" x14ac:dyDescent="0.2">
      <c r="A154" s="2">
        <v>2018</v>
      </c>
      <c r="B154" s="4" t="s">
        <v>286</v>
      </c>
      <c r="C154" s="2" t="s">
        <v>232</v>
      </c>
      <c r="D154" s="2" t="s">
        <v>234</v>
      </c>
      <c r="E154" s="5">
        <v>20179</v>
      </c>
      <c r="F154" s="4">
        <v>664</v>
      </c>
      <c r="G154" s="3">
        <f t="shared" si="2"/>
        <v>20843</v>
      </c>
    </row>
    <row r="155" spans="1:7" x14ac:dyDescent="0.2">
      <c r="A155" s="2">
        <v>2018</v>
      </c>
      <c r="B155" s="4" t="s">
        <v>151</v>
      </c>
      <c r="C155" s="2" t="s">
        <v>232</v>
      </c>
      <c r="D155" s="2" t="s">
        <v>234</v>
      </c>
      <c r="E155" s="5">
        <v>17354</v>
      </c>
      <c r="F155" s="4">
        <v>571</v>
      </c>
      <c r="G155" s="3">
        <f t="shared" si="2"/>
        <v>17925</v>
      </c>
    </row>
    <row r="156" spans="1:7" x14ac:dyDescent="0.2">
      <c r="A156" s="2">
        <v>2018</v>
      </c>
      <c r="B156" s="4" t="s">
        <v>68</v>
      </c>
      <c r="C156" s="2" t="s">
        <v>232</v>
      </c>
      <c r="D156" s="2" t="s">
        <v>234</v>
      </c>
      <c r="E156" s="5">
        <v>18819097</v>
      </c>
      <c r="F156" s="5">
        <v>619307</v>
      </c>
      <c r="G156" s="3">
        <f t="shared" si="2"/>
        <v>19438404</v>
      </c>
    </row>
    <row r="157" spans="1:7" x14ac:dyDescent="0.2">
      <c r="A157" s="2">
        <v>2018</v>
      </c>
      <c r="B157" s="4" t="s">
        <v>267</v>
      </c>
      <c r="C157" s="2" t="s">
        <v>232</v>
      </c>
      <c r="D157" s="2" t="s">
        <v>234</v>
      </c>
      <c r="E157" s="5">
        <v>264174</v>
      </c>
      <c r="F157" s="5">
        <v>8694</v>
      </c>
      <c r="G157" s="3">
        <f t="shared" si="2"/>
        <v>272868</v>
      </c>
    </row>
    <row r="158" spans="1:7" x14ac:dyDescent="0.2">
      <c r="A158" s="2">
        <v>2018</v>
      </c>
      <c r="B158" s="4" t="s">
        <v>242</v>
      </c>
      <c r="C158" s="2" t="s">
        <v>232</v>
      </c>
      <c r="D158" s="2" t="s">
        <v>234</v>
      </c>
      <c r="E158" s="5">
        <v>50200</v>
      </c>
      <c r="F158" s="5">
        <v>1652</v>
      </c>
      <c r="G158" s="3">
        <f t="shared" si="2"/>
        <v>51852</v>
      </c>
    </row>
    <row r="159" spans="1:7" x14ac:dyDescent="0.2">
      <c r="A159" s="2">
        <v>2018</v>
      </c>
      <c r="B159" s="4" t="s">
        <v>158</v>
      </c>
      <c r="C159" s="2" t="s">
        <v>232</v>
      </c>
      <c r="D159" s="2" t="s">
        <v>234</v>
      </c>
      <c r="E159" s="5">
        <v>104175</v>
      </c>
      <c r="F159" s="5">
        <v>3428</v>
      </c>
      <c r="G159" s="3">
        <f t="shared" si="2"/>
        <v>107603</v>
      </c>
    </row>
    <row r="160" spans="1:7" x14ac:dyDescent="0.2">
      <c r="A160" s="2">
        <v>2018</v>
      </c>
      <c r="B160" s="4" t="s">
        <v>159</v>
      </c>
      <c r="C160" s="2" t="s">
        <v>232</v>
      </c>
      <c r="D160" s="2" t="s">
        <v>234</v>
      </c>
      <c r="E160" s="5">
        <v>45417</v>
      </c>
      <c r="F160" s="5">
        <v>1495</v>
      </c>
      <c r="G160" s="3">
        <f t="shared" si="2"/>
        <v>46912</v>
      </c>
    </row>
    <row r="161" spans="1:7" x14ac:dyDescent="0.2">
      <c r="A161" s="2">
        <v>2018</v>
      </c>
      <c r="B161" s="4" t="s">
        <v>287</v>
      </c>
      <c r="C161" s="2" t="s">
        <v>232</v>
      </c>
      <c r="D161" s="2" t="s">
        <v>234</v>
      </c>
      <c r="E161" s="5">
        <v>21585</v>
      </c>
      <c r="F161" s="4">
        <v>710</v>
      </c>
      <c r="G161" s="3">
        <f t="shared" si="2"/>
        <v>22295</v>
      </c>
    </row>
    <row r="162" spans="1:7" x14ac:dyDescent="0.2">
      <c r="A162" s="2">
        <v>2018</v>
      </c>
      <c r="B162" s="4" t="s">
        <v>161</v>
      </c>
      <c r="C162" s="2" t="s">
        <v>232</v>
      </c>
      <c r="D162" s="2" t="s">
        <v>234</v>
      </c>
      <c r="E162" s="5">
        <v>203301</v>
      </c>
      <c r="F162" s="5">
        <v>6690</v>
      </c>
      <c r="G162" s="3">
        <f t="shared" si="2"/>
        <v>209991</v>
      </c>
    </row>
    <row r="163" spans="1:7" x14ac:dyDescent="0.2">
      <c r="A163" s="2">
        <v>2018</v>
      </c>
      <c r="B163" s="4" t="s">
        <v>162</v>
      </c>
      <c r="C163" s="2" t="s">
        <v>232</v>
      </c>
      <c r="D163" s="2" t="s">
        <v>234</v>
      </c>
      <c r="E163" s="5">
        <v>23856</v>
      </c>
      <c r="F163" s="4">
        <v>785</v>
      </c>
      <c r="G163" s="3">
        <f t="shared" si="2"/>
        <v>24641</v>
      </c>
    </row>
    <row r="164" spans="1:7" x14ac:dyDescent="0.2">
      <c r="A164" s="2">
        <v>2018</v>
      </c>
      <c r="B164" s="4" t="s">
        <v>163</v>
      </c>
      <c r="C164" s="2" t="s">
        <v>232</v>
      </c>
      <c r="D164" s="2" t="s">
        <v>234</v>
      </c>
      <c r="E164" s="5">
        <v>32882</v>
      </c>
      <c r="F164" s="5">
        <v>1082</v>
      </c>
      <c r="G164" s="3">
        <f t="shared" si="2"/>
        <v>33964</v>
      </c>
    </row>
    <row r="165" spans="1:7" x14ac:dyDescent="0.2">
      <c r="A165" s="2">
        <v>2018</v>
      </c>
      <c r="B165" s="4" t="s">
        <v>165</v>
      </c>
      <c r="C165" s="2" t="s">
        <v>232</v>
      </c>
      <c r="D165" s="2" t="s">
        <v>234</v>
      </c>
      <c r="E165" s="5">
        <v>33098</v>
      </c>
      <c r="F165" s="5">
        <v>1089</v>
      </c>
      <c r="G165" s="3">
        <f t="shared" si="2"/>
        <v>34187</v>
      </c>
    </row>
    <row r="166" spans="1:7" x14ac:dyDescent="0.2">
      <c r="A166" s="2">
        <v>2018</v>
      </c>
      <c r="B166" s="4" t="s">
        <v>167</v>
      </c>
      <c r="C166" s="2" t="s">
        <v>232</v>
      </c>
      <c r="D166" s="2" t="s">
        <v>234</v>
      </c>
      <c r="E166" s="5">
        <v>18112</v>
      </c>
      <c r="F166" s="4">
        <v>596</v>
      </c>
      <c r="G166" s="3">
        <f t="shared" si="2"/>
        <v>18708</v>
      </c>
    </row>
    <row r="167" spans="1:7" x14ac:dyDescent="0.2">
      <c r="A167" s="2">
        <v>2018</v>
      </c>
      <c r="B167" s="4" t="s">
        <v>244</v>
      </c>
      <c r="C167" s="2" t="s">
        <v>232</v>
      </c>
      <c r="D167" s="2" t="s">
        <v>234</v>
      </c>
      <c r="E167" s="5">
        <v>14686</v>
      </c>
      <c r="F167" s="4">
        <v>483</v>
      </c>
      <c r="G167" s="3">
        <f t="shared" si="2"/>
        <v>15169</v>
      </c>
    </row>
    <row r="168" spans="1:7" x14ac:dyDescent="0.2">
      <c r="A168" s="2">
        <v>2018</v>
      </c>
      <c r="B168" s="4" t="s">
        <v>169</v>
      </c>
      <c r="C168" s="2" t="s">
        <v>232</v>
      </c>
      <c r="D168" s="2" t="s">
        <v>234</v>
      </c>
      <c r="E168" s="5">
        <v>103706</v>
      </c>
      <c r="F168" s="5">
        <v>3413</v>
      </c>
      <c r="G168" s="3">
        <f t="shared" si="2"/>
        <v>107119</v>
      </c>
    </row>
    <row r="169" spans="1:7" x14ac:dyDescent="0.2">
      <c r="A169" s="2">
        <v>2018</v>
      </c>
      <c r="B169" s="4" t="s">
        <v>288</v>
      </c>
      <c r="C169" s="2" t="s">
        <v>232</v>
      </c>
      <c r="D169" s="2" t="s">
        <v>234</v>
      </c>
      <c r="E169" s="5">
        <v>35586</v>
      </c>
      <c r="F169" s="5">
        <v>1171</v>
      </c>
      <c r="G169" s="3">
        <f t="shared" si="2"/>
        <v>36757</v>
      </c>
    </row>
    <row r="170" spans="1:7" x14ac:dyDescent="0.2">
      <c r="A170" s="2">
        <v>2018</v>
      </c>
      <c r="B170" s="4" t="s">
        <v>247</v>
      </c>
      <c r="C170" s="2" t="s">
        <v>232</v>
      </c>
      <c r="D170" s="2" t="s">
        <v>234</v>
      </c>
      <c r="E170" s="5">
        <v>11393</v>
      </c>
      <c r="F170" s="4">
        <v>375</v>
      </c>
      <c r="G170" s="3">
        <f t="shared" si="2"/>
        <v>11768</v>
      </c>
    </row>
    <row r="171" spans="1:7" x14ac:dyDescent="0.2">
      <c r="A171" s="2">
        <v>2018</v>
      </c>
      <c r="B171" s="4" t="s">
        <v>172</v>
      </c>
      <c r="C171" s="2" t="s">
        <v>232</v>
      </c>
      <c r="D171" s="2" t="s">
        <v>234</v>
      </c>
      <c r="E171" s="5">
        <v>13376</v>
      </c>
      <c r="F171" s="4">
        <v>440</v>
      </c>
      <c r="G171" s="3">
        <f t="shared" si="2"/>
        <v>13816</v>
      </c>
    </row>
    <row r="172" spans="1:7" x14ac:dyDescent="0.2">
      <c r="A172" s="2">
        <v>2018</v>
      </c>
      <c r="B172" s="4" t="s">
        <v>278</v>
      </c>
      <c r="C172" s="2" t="s">
        <v>232</v>
      </c>
      <c r="D172" s="2" t="s">
        <v>234</v>
      </c>
      <c r="E172" s="5">
        <v>10756</v>
      </c>
      <c r="F172" s="4">
        <v>354</v>
      </c>
      <c r="G172" s="3">
        <f t="shared" si="2"/>
        <v>11110</v>
      </c>
    </row>
    <row r="173" spans="1:7" x14ac:dyDescent="0.2">
      <c r="A173" s="2">
        <v>2018</v>
      </c>
      <c r="B173" s="4" t="s">
        <v>174</v>
      </c>
      <c r="C173" s="2" t="s">
        <v>232</v>
      </c>
      <c r="D173" s="2" t="s">
        <v>234</v>
      </c>
      <c r="E173" s="5">
        <v>32185</v>
      </c>
      <c r="F173" s="5">
        <v>1059</v>
      </c>
      <c r="G173" s="3">
        <f t="shared" si="2"/>
        <v>33244</v>
      </c>
    </row>
    <row r="174" spans="1:7" x14ac:dyDescent="0.2">
      <c r="A174" s="2">
        <v>2018</v>
      </c>
      <c r="B174" s="4" t="s">
        <v>175</v>
      </c>
      <c r="C174" s="2" t="s">
        <v>232</v>
      </c>
      <c r="D174" s="2" t="s">
        <v>234</v>
      </c>
      <c r="E174" s="5">
        <v>27077</v>
      </c>
      <c r="F174" s="4">
        <v>891</v>
      </c>
      <c r="G174" s="3">
        <f t="shared" si="2"/>
        <v>27968</v>
      </c>
    </row>
    <row r="175" spans="1:7" x14ac:dyDescent="0.2">
      <c r="A175" s="2">
        <v>2018</v>
      </c>
      <c r="B175" s="4" t="s">
        <v>177</v>
      </c>
      <c r="C175" s="2" t="s">
        <v>232</v>
      </c>
      <c r="D175" s="2" t="s">
        <v>234</v>
      </c>
      <c r="E175" s="5">
        <v>178339</v>
      </c>
      <c r="F175" s="5">
        <v>5869</v>
      </c>
      <c r="G175" s="3">
        <f t="shared" si="2"/>
        <v>184208</v>
      </c>
    </row>
    <row r="176" spans="1:7" x14ac:dyDescent="0.2">
      <c r="A176" s="2">
        <v>2018</v>
      </c>
      <c r="B176" s="4" t="s">
        <v>179</v>
      </c>
      <c r="C176" s="2" t="s">
        <v>232</v>
      </c>
      <c r="D176" s="2" t="s">
        <v>234</v>
      </c>
      <c r="E176" s="5">
        <v>25779</v>
      </c>
      <c r="F176" s="4">
        <v>848</v>
      </c>
      <c r="G176" s="3">
        <f t="shared" si="2"/>
        <v>26627</v>
      </c>
    </row>
    <row r="177" spans="1:7" x14ac:dyDescent="0.2">
      <c r="A177" s="2">
        <v>2018</v>
      </c>
      <c r="B177" s="4" t="s">
        <v>181</v>
      </c>
      <c r="C177" s="2" t="s">
        <v>232</v>
      </c>
      <c r="D177" s="2" t="s">
        <v>234</v>
      </c>
      <c r="E177" s="5">
        <v>68288</v>
      </c>
      <c r="F177" s="5">
        <v>2247</v>
      </c>
      <c r="G177" s="3">
        <f t="shared" si="2"/>
        <v>70535</v>
      </c>
    </row>
    <row r="178" spans="1:7" x14ac:dyDescent="0.2">
      <c r="A178" s="2">
        <v>2018</v>
      </c>
      <c r="B178" s="4" t="s">
        <v>182</v>
      </c>
      <c r="C178" s="2" t="s">
        <v>232</v>
      </c>
      <c r="D178" s="2" t="s">
        <v>234</v>
      </c>
      <c r="E178" s="5">
        <v>255016</v>
      </c>
      <c r="F178" s="5">
        <v>8392</v>
      </c>
      <c r="G178" s="3">
        <f t="shared" si="2"/>
        <v>263408</v>
      </c>
    </row>
    <row r="179" spans="1:7" x14ac:dyDescent="0.2">
      <c r="A179" s="2">
        <v>2018</v>
      </c>
      <c r="B179" s="4" t="s">
        <v>183</v>
      </c>
      <c r="C179" s="2" t="s">
        <v>232</v>
      </c>
      <c r="D179" s="2" t="s">
        <v>234</v>
      </c>
      <c r="E179" s="5">
        <v>70619</v>
      </c>
      <c r="F179" s="5">
        <v>2324</v>
      </c>
      <c r="G179" s="3">
        <f t="shared" si="2"/>
        <v>72943</v>
      </c>
    </row>
    <row r="180" spans="1:7" x14ac:dyDescent="0.2">
      <c r="A180" s="2">
        <v>2018</v>
      </c>
      <c r="B180" s="4" t="s">
        <v>186</v>
      </c>
      <c r="C180" s="2" t="s">
        <v>232</v>
      </c>
      <c r="D180" s="2" t="s">
        <v>234</v>
      </c>
      <c r="E180" s="5">
        <v>236688</v>
      </c>
      <c r="F180" s="5">
        <v>7789</v>
      </c>
      <c r="G180" s="3">
        <f t="shared" si="2"/>
        <v>244477</v>
      </c>
    </row>
    <row r="181" spans="1:7" x14ac:dyDescent="0.2">
      <c r="A181" s="2">
        <v>2018</v>
      </c>
      <c r="B181" s="4" t="s">
        <v>187</v>
      </c>
      <c r="C181" s="2" t="s">
        <v>232</v>
      </c>
      <c r="D181" s="2" t="s">
        <v>234</v>
      </c>
      <c r="E181" s="5">
        <v>217856</v>
      </c>
      <c r="F181" s="5">
        <v>7169</v>
      </c>
      <c r="G181" s="3">
        <f t="shared" si="2"/>
        <v>225025</v>
      </c>
    </row>
    <row r="182" spans="1:7" x14ac:dyDescent="0.2">
      <c r="A182" s="2">
        <v>2018</v>
      </c>
      <c r="B182" s="4" t="s">
        <v>188</v>
      </c>
      <c r="C182" s="2" t="s">
        <v>232</v>
      </c>
      <c r="D182" s="2" t="s">
        <v>234</v>
      </c>
      <c r="E182" s="5">
        <v>129389</v>
      </c>
      <c r="F182" s="5">
        <v>4258</v>
      </c>
      <c r="G182" s="3">
        <f t="shared" si="2"/>
        <v>133647</v>
      </c>
    </row>
    <row r="183" spans="1:7" x14ac:dyDescent="0.2">
      <c r="A183" s="2">
        <v>2018</v>
      </c>
      <c r="B183" s="4" t="s">
        <v>189</v>
      </c>
      <c r="C183" s="2" t="s">
        <v>232</v>
      </c>
      <c r="D183" s="2" t="s">
        <v>234</v>
      </c>
      <c r="E183" s="5">
        <v>80703</v>
      </c>
      <c r="F183" s="5">
        <v>2656</v>
      </c>
      <c r="G183" s="3">
        <f t="shared" si="2"/>
        <v>83359</v>
      </c>
    </row>
    <row r="184" spans="1:7" x14ac:dyDescent="0.2">
      <c r="A184" s="2">
        <v>2018</v>
      </c>
      <c r="B184" s="4" t="s">
        <v>249</v>
      </c>
      <c r="C184" s="2" t="s">
        <v>232</v>
      </c>
      <c r="D184" s="2" t="s">
        <v>234</v>
      </c>
      <c r="E184" s="5">
        <v>19854</v>
      </c>
      <c r="F184" s="4">
        <v>653</v>
      </c>
      <c r="G184" s="3">
        <f t="shared" si="2"/>
        <v>20507</v>
      </c>
    </row>
    <row r="185" spans="1:7" x14ac:dyDescent="0.2">
      <c r="A185" s="2">
        <v>2018</v>
      </c>
      <c r="B185" s="4" t="s">
        <v>190</v>
      </c>
      <c r="C185" s="2" t="s">
        <v>232</v>
      </c>
      <c r="D185" s="2" t="s">
        <v>234</v>
      </c>
      <c r="E185" s="5">
        <v>77362</v>
      </c>
      <c r="F185" s="5">
        <v>2546</v>
      </c>
      <c r="G185" s="3">
        <f t="shared" si="2"/>
        <v>79908</v>
      </c>
    </row>
    <row r="186" spans="1:7" x14ac:dyDescent="0.2">
      <c r="A186" s="2">
        <v>2018</v>
      </c>
      <c r="B186" s="4" t="s">
        <v>191</v>
      </c>
      <c r="C186" s="2" t="s">
        <v>232</v>
      </c>
      <c r="D186" s="2" t="s">
        <v>234</v>
      </c>
      <c r="E186" s="5">
        <v>161778</v>
      </c>
      <c r="F186" s="5">
        <v>5324</v>
      </c>
      <c r="G186" s="3">
        <f t="shared" si="2"/>
        <v>167102</v>
      </c>
    </row>
    <row r="187" spans="1:7" x14ac:dyDescent="0.2">
      <c r="A187" s="2">
        <v>2018</v>
      </c>
      <c r="B187" s="4" t="s">
        <v>192</v>
      </c>
      <c r="C187" s="2" t="s">
        <v>232</v>
      </c>
      <c r="D187" s="2" t="s">
        <v>234</v>
      </c>
      <c r="E187" s="5">
        <v>844501</v>
      </c>
      <c r="F187" s="5">
        <v>27791</v>
      </c>
      <c r="G187" s="3">
        <f t="shared" si="2"/>
        <v>872292</v>
      </c>
    </row>
    <row r="188" spans="1:7" x14ac:dyDescent="0.2">
      <c r="A188" s="2">
        <v>2018</v>
      </c>
      <c r="B188" s="4" t="s">
        <v>193</v>
      </c>
      <c r="C188" s="2" t="s">
        <v>232</v>
      </c>
      <c r="D188" s="2" t="s">
        <v>234</v>
      </c>
      <c r="E188" s="5">
        <v>71737</v>
      </c>
      <c r="F188" s="5">
        <v>2361</v>
      </c>
      <c r="G188" s="3">
        <f t="shared" si="2"/>
        <v>74098</v>
      </c>
    </row>
    <row r="189" spans="1:7" x14ac:dyDescent="0.2">
      <c r="A189" s="2">
        <v>2018</v>
      </c>
      <c r="B189" s="4" t="s">
        <v>194</v>
      </c>
      <c r="C189" s="2" t="s">
        <v>232</v>
      </c>
      <c r="D189" s="2" t="s">
        <v>234</v>
      </c>
      <c r="E189" s="5">
        <v>82037</v>
      </c>
      <c r="F189" s="5">
        <v>2700</v>
      </c>
      <c r="G189" s="3">
        <f t="shared" si="2"/>
        <v>84737</v>
      </c>
    </row>
    <row r="190" spans="1:7" x14ac:dyDescent="0.2">
      <c r="A190" s="2">
        <v>2018</v>
      </c>
      <c r="B190" s="4" t="s">
        <v>250</v>
      </c>
      <c r="C190" s="2" t="s">
        <v>232</v>
      </c>
      <c r="D190" s="2" t="s">
        <v>234</v>
      </c>
      <c r="E190" s="5">
        <v>10480</v>
      </c>
      <c r="F190" s="4">
        <v>345</v>
      </c>
      <c r="G190" s="3">
        <f t="shared" si="2"/>
        <v>10825</v>
      </c>
    </row>
    <row r="191" spans="1:7" x14ac:dyDescent="0.2">
      <c r="A191" s="2">
        <v>2018</v>
      </c>
      <c r="B191" s="4" t="s">
        <v>196</v>
      </c>
      <c r="C191" s="2" t="s">
        <v>232</v>
      </c>
      <c r="D191" s="2" t="s">
        <v>234</v>
      </c>
      <c r="E191" s="5">
        <v>110604</v>
      </c>
      <c r="F191" s="5">
        <v>3640</v>
      </c>
      <c r="G191" s="3">
        <f t="shared" si="2"/>
        <v>114244</v>
      </c>
    </row>
    <row r="192" spans="1:7" x14ac:dyDescent="0.2">
      <c r="A192" s="2">
        <v>2018</v>
      </c>
      <c r="B192" s="4" t="s">
        <v>197</v>
      </c>
      <c r="C192" s="2" t="s">
        <v>232</v>
      </c>
      <c r="D192" s="2" t="s">
        <v>234</v>
      </c>
      <c r="E192" s="5">
        <v>94067</v>
      </c>
      <c r="F192" s="5">
        <v>3096</v>
      </c>
      <c r="G192" s="3">
        <f t="shared" si="2"/>
        <v>97163</v>
      </c>
    </row>
    <row r="193" spans="1:7" x14ac:dyDescent="0.2">
      <c r="A193" s="2">
        <v>2018</v>
      </c>
      <c r="B193" s="4" t="s">
        <v>198</v>
      </c>
      <c r="C193" s="2" t="s">
        <v>232</v>
      </c>
      <c r="D193" s="2" t="s">
        <v>234</v>
      </c>
      <c r="E193" s="5">
        <v>83888</v>
      </c>
      <c r="F193" s="5">
        <v>2761</v>
      </c>
      <c r="G193" s="3">
        <f t="shared" si="2"/>
        <v>86649</v>
      </c>
    </row>
    <row r="194" spans="1:7" x14ac:dyDescent="0.2">
      <c r="A194" s="2">
        <v>2018</v>
      </c>
      <c r="B194" s="4" t="s">
        <v>251</v>
      </c>
      <c r="C194" s="2" t="s">
        <v>232</v>
      </c>
      <c r="D194" s="2" t="s">
        <v>234</v>
      </c>
      <c r="E194" s="5">
        <v>9266</v>
      </c>
      <c r="F194" s="4">
        <v>305</v>
      </c>
      <c r="G194" s="3">
        <f t="shared" si="2"/>
        <v>9571</v>
      </c>
    </row>
    <row r="195" spans="1:7" x14ac:dyDescent="0.2">
      <c r="A195" s="2">
        <v>2018</v>
      </c>
      <c r="B195" s="4" t="s">
        <v>200</v>
      </c>
      <c r="C195" s="2" t="s">
        <v>232</v>
      </c>
      <c r="D195" s="2" t="s">
        <v>234</v>
      </c>
      <c r="E195" s="5">
        <v>83900</v>
      </c>
      <c r="F195" s="5">
        <v>2761</v>
      </c>
      <c r="G195" s="3">
        <f t="shared" ref="G195:G222" si="3">SUM(E195:F195)</f>
        <v>86661</v>
      </c>
    </row>
    <row r="196" spans="1:7" x14ac:dyDescent="0.2">
      <c r="A196" s="2">
        <v>2018</v>
      </c>
      <c r="B196" s="4" t="s">
        <v>201</v>
      </c>
      <c r="C196" s="2" t="s">
        <v>232</v>
      </c>
      <c r="D196" s="2" t="s">
        <v>234</v>
      </c>
      <c r="E196" s="5">
        <v>15900</v>
      </c>
      <c r="F196" s="4">
        <v>523</v>
      </c>
      <c r="G196" s="3">
        <f t="shared" si="3"/>
        <v>16423</v>
      </c>
    </row>
    <row r="197" spans="1:7" x14ac:dyDescent="0.2">
      <c r="A197" s="2">
        <v>2018</v>
      </c>
      <c r="B197" s="4" t="s">
        <v>202</v>
      </c>
      <c r="C197" s="2" t="s">
        <v>232</v>
      </c>
      <c r="D197" s="2" t="s">
        <v>234</v>
      </c>
      <c r="E197" s="5">
        <v>58902</v>
      </c>
      <c r="F197" s="5">
        <v>1938</v>
      </c>
      <c r="G197" s="3">
        <f t="shared" si="3"/>
        <v>60840</v>
      </c>
    </row>
    <row r="198" spans="1:7" x14ac:dyDescent="0.2">
      <c r="A198" s="2">
        <v>2018</v>
      </c>
      <c r="B198" s="4" t="s">
        <v>206</v>
      </c>
      <c r="C198" s="2" t="s">
        <v>232</v>
      </c>
      <c r="D198" s="2" t="s">
        <v>234</v>
      </c>
      <c r="E198" s="5">
        <v>27882</v>
      </c>
      <c r="F198" s="4">
        <v>918</v>
      </c>
      <c r="G198" s="3">
        <f t="shared" si="3"/>
        <v>28800</v>
      </c>
    </row>
    <row r="199" spans="1:7" x14ac:dyDescent="0.2">
      <c r="A199" s="2">
        <v>2018</v>
      </c>
      <c r="B199" s="4" t="s">
        <v>207</v>
      </c>
      <c r="C199" s="2" t="s">
        <v>232</v>
      </c>
      <c r="D199" s="2" t="s">
        <v>234</v>
      </c>
      <c r="E199" s="5">
        <v>18965</v>
      </c>
      <c r="F199" s="4">
        <v>624</v>
      </c>
      <c r="G199" s="3">
        <f t="shared" si="3"/>
        <v>19589</v>
      </c>
    </row>
    <row r="200" spans="1:7" x14ac:dyDescent="0.2">
      <c r="A200" s="2">
        <v>2018</v>
      </c>
      <c r="B200" s="4" t="s">
        <v>208</v>
      </c>
      <c r="C200" s="2" t="s">
        <v>232</v>
      </c>
      <c r="D200" s="2" t="s">
        <v>234</v>
      </c>
      <c r="E200" s="5">
        <v>16561</v>
      </c>
      <c r="F200" s="4">
        <v>545</v>
      </c>
      <c r="G200" s="3">
        <f t="shared" si="3"/>
        <v>17106</v>
      </c>
    </row>
    <row r="201" spans="1:7" x14ac:dyDescent="0.2">
      <c r="A201" s="2">
        <v>2018</v>
      </c>
      <c r="B201" s="4" t="s">
        <v>209</v>
      </c>
      <c r="C201" s="2" t="s">
        <v>232</v>
      </c>
      <c r="D201" s="2" t="s">
        <v>234</v>
      </c>
      <c r="E201" s="5">
        <v>34264</v>
      </c>
      <c r="F201" s="5">
        <v>1128</v>
      </c>
      <c r="G201" s="3">
        <f t="shared" si="3"/>
        <v>35392</v>
      </c>
    </row>
    <row r="202" spans="1:7" x14ac:dyDescent="0.2">
      <c r="A202" s="2">
        <v>2018</v>
      </c>
      <c r="B202" s="4" t="s">
        <v>270</v>
      </c>
      <c r="C202" s="2" t="s">
        <v>232</v>
      </c>
      <c r="D202" s="2" t="s">
        <v>234</v>
      </c>
      <c r="E202" s="5">
        <v>28531</v>
      </c>
      <c r="F202" s="4">
        <v>939</v>
      </c>
      <c r="G202" s="3">
        <f t="shared" si="3"/>
        <v>29470</v>
      </c>
    </row>
    <row r="203" spans="1:7" x14ac:dyDescent="0.2">
      <c r="A203" s="2">
        <v>2018</v>
      </c>
      <c r="B203" s="4" t="s">
        <v>254</v>
      </c>
      <c r="C203" s="2" t="s">
        <v>232</v>
      </c>
      <c r="D203" s="2" t="s">
        <v>234</v>
      </c>
      <c r="E203" s="5">
        <v>30851</v>
      </c>
      <c r="F203" s="5">
        <v>1015</v>
      </c>
      <c r="G203" s="3">
        <f t="shared" si="3"/>
        <v>31866</v>
      </c>
    </row>
    <row r="204" spans="1:7" x14ac:dyDescent="0.2">
      <c r="A204" s="2">
        <v>2018</v>
      </c>
      <c r="B204" s="4" t="s">
        <v>212</v>
      </c>
      <c r="C204" s="2" t="s">
        <v>232</v>
      </c>
      <c r="D204" s="2" t="s">
        <v>234</v>
      </c>
      <c r="E204" s="5">
        <v>33170</v>
      </c>
      <c r="F204" s="5">
        <v>1092</v>
      </c>
      <c r="G204" s="3">
        <f t="shared" si="3"/>
        <v>34262</v>
      </c>
    </row>
    <row r="205" spans="1:7" x14ac:dyDescent="0.2">
      <c r="A205" s="2">
        <v>2018</v>
      </c>
      <c r="B205" s="4" t="s">
        <v>255</v>
      </c>
      <c r="C205" s="2" t="s">
        <v>232</v>
      </c>
      <c r="D205" s="2" t="s">
        <v>234</v>
      </c>
      <c r="E205" s="5">
        <v>308377</v>
      </c>
      <c r="F205" s="5">
        <v>10148</v>
      </c>
      <c r="G205" s="3">
        <f t="shared" si="3"/>
        <v>318525</v>
      </c>
    </row>
    <row r="206" spans="1:7" x14ac:dyDescent="0.2">
      <c r="A206" s="2">
        <v>2018</v>
      </c>
      <c r="B206" s="4" t="s">
        <v>271</v>
      </c>
      <c r="C206" s="2" t="s">
        <v>232</v>
      </c>
      <c r="D206" s="2" t="s">
        <v>234</v>
      </c>
      <c r="E206" s="5">
        <v>1806133</v>
      </c>
      <c r="F206" s="5">
        <v>59437</v>
      </c>
      <c r="G206" s="3">
        <f t="shared" si="3"/>
        <v>1865570</v>
      </c>
    </row>
    <row r="207" spans="1:7" x14ac:dyDescent="0.2">
      <c r="A207" s="2">
        <v>2018</v>
      </c>
      <c r="B207" s="4" t="s">
        <v>279</v>
      </c>
      <c r="C207" s="2" t="s">
        <v>232</v>
      </c>
      <c r="D207" s="2" t="s">
        <v>234</v>
      </c>
      <c r="E207" s="5">
        <v>616887</v>
      </c>
      <c r="F207" s="5">
        <v>20301</v>
      </c>
      <c r="G207" s="3">
        <f t="shared" si="3"/>
        <v>637188</v>
      </c>
    </row>
    <row r="208" spans="1:7" x14ac:dyDescent="0.2">
      <c r="A208" s="2">
        <v>2018</v>
      </c>
      <c r="B208" s="4" t="s">
        <v>215</v>
      </c>
      <c r="C208" s="2" t="s">
        <v>232</v>
      </c>
      <c r="D208" s="2" t="s">
        <v>234</v>
      </c>
      <c r="E208" s="5">
        <v>1000234</v>
      </c>
      <c r="F208" s="5">
        <v>32916</v>
      </c>
      <c r="G208" s="3">
        <f t="shared" si="3"/>
        <v>1033150</v>
      </c>
    </row>
    <row r="209" spans="1:7" x14ac:dyDescent="0.2">
      <c r="A209" s="2">
        <v>2018</v>
      </c>
      <c r="B209" s="4" t="s">
        <v>216</v>
      </c>
      <c r="C209" s="2" t="s">
        <v>232</v>
      </c>
      <c r="D209" s="2" t="s">
        <v>234</v>
      </c>
      <c r="E209" s="5">
        <v>375548</v>
      </c>
      <c r="F209" s="5">
        <v>12359</v>
      </c>
      <c r="G209" s="3">
        <f t="shared" si="3"/>
        <v>387907</v>
      </c>
    </row>
    <row r="210" spans="1:7" x14ac:dyDescent="0.2">
      <c r="A210" s="2">
        <v>2018</v>
      </c>
      <c r="B210" s="4" t="s">
        <v>218</v>
      </c>
      <c r="C210" s="2" t="s">
        <v>232</v>
      </c>
      <c r="D210" s="2" t="s">
        <v>234</v>
      </c>
      <c r="E210" s="5">
        <v>166501</v>
      </c>
      <c r="F210" s="5">
        <v>5479</v>
      </c>
      <c r="G210" s="3">
        <f t="shared" si="3"/>
        <v>171980</v>
      </c>
    </row>
    <row r="211" spans="1:7" x14ac:dyDescent="0.2">
      <c r="A211" s="2">
        <v>2018</v>
      </c>
      <c r="B211" s="4" t="s">
        <v>219</v>
      </c>
      <c r="C211" s="2" t="s">
        <v>232</v>
      </c>
      <c r="D211" s="2" t="s">
        <v>234</v>
      </c>
      <c r="E211" s="5">
        <v>1884817</v>
      </c>
      <c r="F211" s="5">
        <v>62026</v>
      </c>
      <c r="G211" s="3">
        <f t="shared" si="3"/>
        <v>1946843</v>
      </c>
    </row>
    <row r="212" spans="1:7" x14ac:dyDescent="0.2">
      <c r="A212" s="2">
        <v>2018</v>
      </c>
      <c r="B212" s="4" t="s">
        <v>220</v>
      </c>
      <c r="C212" s="2" t="s">
        <v>232</v>
      </c>
      <c r="D212" s="2" t="s">
        <v>234</v>
      </c>
      <c r="E212" s="5">
        <v>972016</v>
      </c>
      <c r="F212" s="5">
        <v>31988</v>
      </c>
      <c r="G212" s="3">
        <f t="shared" si="3"/>
        <v>1004004</v>
      </c>
    </row>
    <row r="213" spans="1:7" x14ac:dyDescent="0.2">
      <c r="A213" s="2">
        <v>2018</v>
      </c>
      <c r="B213" s="4" t="s">
        <v>221</v>
      </c>
      <c r="C213" s="2" t="s">
        <v>232</v>
      </c>
      <c r="D213" s="2" t="s">
        <v>234</v>
      </c>
      <c r="E213" s="5">
        <v>2038687</v>
      </c>
      <c r="F213" s="5">
        <v>67090</v>
      </c>
      <c r="G213" s="3">
        <f t="shared" si="3"/>
        <v>2105777</v>
      </c>
    </row>
    <row r="214" spans="1:7" x14ac:dyDescent="0.2">
      <c r="A214" s="2">
        <v>2018</v>
      </c>
      <c r="B214" s="4" t="s">
        <v>222</v>
      </c>
      <c r="C214" s="2" t="s">
        <v>232</v>
      </c>
      <c r="D214" s="2" t="s">
        <v>234</v>
      </c>
      <c r="E214" s="5">
        <v>429762</v>
      </c>
      <c r="F214" s="5">
        <v>14143</v>
      </c>
      <c r="G214" s="3">
        <f t="shared" si="3"/>
        <v>443905</v>
      </c>
    </row>
    <row r="215" spans="1:7" x14ac:dyDescent="0.2">
      <c r="A215" s="2">
        <v>2018</v>
      </c>
      <c r="B215" s="4" t="s">
        <v>272</v>
      </c>
      <c r="C215" s="2" t="s">
        <v>232</v>
      </c>
      <c r="D215" s="2" t="s">
        <v>234</v>
      </c>
      <c r="E215" s="5">
        <v>858875</v>
      </c>
      <c r="F215" s="5">
        <v>28264</v>
      </c>
      <c r="G215" s="3">
        <f t="shared" si="3"/>
        <v>887139</v>
      </c>
    </row>
    <row r="216" spans="1:7" x14ac:dyDescent="0.2">
      <c r="A216" s="2">
        <v>2018</v>
      </c>
      <c r="B216" s="4" t="s">
        <v>223</v>
      </c>
      <c r="C216" s="2" t="s">
        <v>232</v>
      </c>
      <c r="D216" s="2" t="s">
        <v>234</v>
      </c>
      <c r="E216" s="5">
        <v>16297</v>
      </c>
      <c r="F216" s="4">
        <v>536</v>
      </c>
      <c r="G216" s="3">
        <f t="shared" si="3"/>
        <v>16833</v>
      </c>
    </row>
    <row r="217" spans="1:7" x14ac:dyDescent="0.2">
      <c r="A217" s="2">
        <v>2018</v>
      </c>
      <c r="B217" s="4" t="s">
        <v>257</v>
      </c>
      <c r="C217" s="2" t="s">
        <v>232</v>
      </c>
      <c r="D217" s="2" t="s">
        <v>234</v>
      </c>
      <c r="E217" s="5">
        <v>29433</v>
      </c>
      <c r="F217" s="4">
        <v>969</v>
      </c>
      <c r="G217" s="3">
        <f t="shared" si="3"/>
        <v>30402</v>
      </c>
    </row>
    <row r="218" spans="1:7" x14ac:dyDescent="0.2">
      <c r="A218" s="2">
        <v>2018</v>
      </c>
      <c r="B218" s="4" t="s">
        <v>258</v>
      </c>
      <c r="C218" s="2" t="s">
        <v>232</v>
      </c>
      <c r="D218" s="2" t="s">
        <v>234</v>
      </c>
      <c r="E218" s="5">
        <v>6959</v>
      </c>
      <c r="F218" s="4">
        <v>229</v>
      </c>
      <c r="G218" s="3">
        <f t="shared" si="3"/>
        <v>7188</v>
      </c>
    </row>
    <row r="219" spans="1:7" x14ac:dyDescent="0.2">
      <c r="A219" s="2">
        <v>2018</v>
      </c>
      <c r="B219" s="4" t="s">
        <v>226</v>
      </c>
      <c r="C219" s="2" t="s">
        <v>232</v>
      </c>
      <c r="D219" s="2" t="s">
        <v>234</v>
      </c>
      <c r="E219" s="5">
        <v>48470</v>
      </c>
      <c r="F219" s="5">
        <v>1595</v>
      </c>
      <c r="G219" s="3">
        <f t="shared" si="3"/>
        <v>50065</v>
      </c>
    </row>
    <row r="220" spans="1:7" x14ac:dyDescent="0.2">
      <c r="A220" s="2">
        <v>2018</v>
      </c>
      <c r="B220" s="4" t="s">
        <v>259</v>
      </c>
      <c r="C220" s="2" t="s">
        <v>232</v>
      </c>
      <c r="D220" s="2" t="s">
        <v>234</v>
      </c>
      <c r="E220" s="5">
        <v>190947</v>
      </c>
      <c r="F220" s="5">
        <v>6284</v>
      </c>
      <c r="G220" s="3">
        <f t="shared" si="3"/>
        <v>197231</v>
      </c>
    </row>
    <row r="221" spans="1:7" x14ac:dyDescent="0.2">
      <c r="A221" s="2">
        <v>2018</v>
      </c>
      <c r="B221" s="4" t="s">
        <v>228</v>
      </c>
      <c r="C221" s="2" t="s">
        <v>232</v>
      </c>
      <c r="D221" s="2" t="s">
        <v>234</v>
      </c>
      <c r="E221" s="5">
        <v>17595</v>
      </c>
      <c r="F221" s="4">
        <v>579</v>
      </c>
      <c r="G221" s="3">
        <f t="shared" si="3"/>
        <v>18174</v>
      </c>
    </row>
    <row r="222" spans="1:7" x14ac:dyDescent="0.2">
      <c r="A222" s="2">
        <v>2018</v>
      </c>
      <c r="B222" s="4" t="s">
        <v>229</v>
      </c>
      <c r="C222" s="2" t="s">
        <v>232</v>
      </c>
      <c r="D222" s="2" t="s">
        <v>234</v>
      </c>
      <c r="E222" s="12">
        <v>37834</v>
      </c>
      <c r="F222" s="12">
        <v>1245</v>
      </c>
      <c r="G222" s="3">
        <f t="shared" si="3"/>
        <v>39079</v>
      </c>
    </row>
    <row r="224" spans="1:7" x14ac:dyDescent="0.2">
      <c r="D224" s="2" t="s">
        <v>274</v>
      </c>
      <c r="E224" s="3">
        <f>SUM(E2:E222)</f>
        <v>1201829346</v>
      </c>
      <c r="F224" s="3">
        <f>SUM(F2:F222)</f>
        <v>39550321</v>
      </c>
    </row>
    <row r="226" spans="4:6" x14ac:dyDescent="0.2">
      <c r="D226" s="8" t="s">
        <v>275</v>
      </c>
      <c r="E226" s="6">
        <v>1201829353</v>
      </c>
      <c r="F226" s="6">
        <v>39550321</v>
      </c>
    </row>
    <row r="227" spans="4:6" x14ac:dyDescent="0.2">
      <c r="D227" s="8"/>
      <c r="E227" s="8"/>
      <c r="F227" s="8"/>
    </row>
    <row r="228" spans="4:6" x14ac:dyDescent="0.2">
      <c r="D228" s="8" t="s">
        <v>276</v>
      </c>
      <c r="E228" s="6">
        <f>E224-E226</f>
        <v>-7</v>
      </c>
      <c r="F228" s="6">
        <f>F224-F226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8D22-C82A-B140-AA53-6AA44CD4D133}">
  <sheetPr>
    <tabColor rgb="FFFFFF00"/>
  </sheetPr>
  <dimension ref="A1:H233"/>
  <sheetViews>
    <sheetView workbookViewId="0">
      <selection activeCell="A2" sqref="A2:G226"/>
    </sheetView>
  </sheetViews>
  <sheetFormatPr baseColWidth="10" defaultRowHeight="16" x14ac:dyDescent="0.2"/>
  <cols>
    <col min="2" max="2" width="48.6640625" bestFit="1" customWidth="1"/>
    <col min="4" max="4" width="15.1640625" bestFit="1" customWidth="1"/>
    <col min="5" max="5" width="18.83203125" bestFit="1" customWidth="1"/>
    <col min="6" max="6" width="17.1640625" bestFit="1" customWidth="1"/>
    <col min="7" max="7" width="15.83203125" bestFit="1" customWidth="1"/>
  </cols>
  <sheetData>
    <row r="1" spans="1:8" x14ac:dyDescent="0.2">
      <c r="A1" s="2" t="s">
        <v>235</v>
      </c>
      <c r="B1" s="2" t="s">
        <v>230</v>
      </c>
      <c r="C1" s="2" t="s">
        <v>231</v>
      </c>
      <c r="D1" s="2" t="s">
        <v>233</v>
      </c>
      <c r="E1" s="2" t="s">
        <v>280</v>
      </c>
      <c r="F1" s="2" t="s">
        <v>281</v>
      </c>
      <c r="G1" s="2" t="s">
        <v>304</v>
      </c>
      <c r="H1" s="2"/>
    </row>
    <row r="2" spans="1:8" x14ac:dyDescent="0.2">
      <c r="A2" s="2">
        <v>2017</v>
      </c>
      <c r="B2" s="4" t="s">
        <v>0</v>
      </c>
      <c r="C2" s="2" t="s">
        <v>232</v>
      </c>
      <c r="D2" s="2" t="s">
        <v>234</v>
      </c>
      <c r="E2" s="5">
        <v>10430504</v>
      </c>
      <c r="F2" s="5">
        <v>360265</v>
      </c>
      <c r="G2" s="3">
        <f>SUM(E2:F2)</f>
        <v>10790769</v>
      </c>
    </row>
    <row r="3" spans="1:8" x14ac:dyDescent="0.2">
      <c r="A3" s="2">
        <v>2017</v>
      </c>
      <c r="B3" s="4" t="s">
        <v>1</v>
      </c>
      <c r="C3" s="2" t="s">
        <v>232</v>
      </c>
      <c r="D3" s="2" t="s">
        <v>234</v>
      </c>
      <c r="E3" s="5">
        <v>5774017</v>
      </c>
      <c r="F3" s="5">
        <v>199432</v>
      </c>
      <c r="G3" s="3">
        <f t="shared" ref="G3:G66" si="0">SUM(E3:F3)</f>
        <v>5973449</v>
      </c>
    </row>
    <row r="4" spans="1:8" x14ac:dyDescent="0.2">
      <c r="A4" s="2">
        <v>2017</v>
      </c>
      <c r="B4" s="4" t="s">
        <v>2</v>
      </c>
      <c r="C4" s="2" t="s">
        <v>232</v>
      </c>
      <c r="D4" s="2" t="s">
        <v>234</v>
      </c>
      <c r="E4" s="5">
        <v>28079867</v>
      </c>
      <c r="F4" s="5">
        <v>969866</v>
      </c>
      <c r="G4" s="3">
        <f t="shared" si="0"/>
        <v>29049733</v>
      </c>
    </row>
    <row r="5" spans="1:8" x14ac:dyDescent="0.2">
      <c r="A5" s="2">
        <v>2017</v>
      </c>
      <c r="B5" s="4" t="s">
        <v>3</v>
      </c>
      <c r="C5" s="2" t="s">
        <v>232</v>
      </c>
      <c r="D5" s="2" t="s">
        <v>234</v>
      </c>
      <c r="E5" s="5">
        <v>4761352</v>
      </c>
      <c r="F5" s="5">
        <v>164455</v>
      </c>
      <c r="G5" s="3">
        <f t="shared" si="0"/>
        <v>4925807</v>
      </c>
    </row>
    <row r="6" spans="1:8" x14ac:dyDescent="0.2">
      <c r="A6" s="2">
        <v>2017</v>
      </c>
      <c r="B6" s="4" t="s">
        <v>4</v>
      </c>
      <c r="C6" s="2" t="s">
        <v>232</v>
      </c>
      <c r="D6" s="2" t="s">
        <v>234</v>
      </c>
      <c r="E6" s="5">
        <v>5042382</v>
      </c>
      <c r="F6" s="5">
        <v>174162</v>
      </c>
      <c r="G6" s="3">
        <f t="shared" si="0"/>
        <v>5216544</v>
      </c>
    </row>
    <row r="7" spans="1:8" x14ac:dyDescent="0.2">
      <c r="A7" s="2">
        <v>2017</v>
      </c>
      <c r="B7" s="4" t="s">
        <v>5</v>
      </c>
      <c r="C7" s="2" t="s">
        <v>232</v>
      </c>
      <c r="D7" s="2" t="s">
        <v>234</v>
      </c>
      <c r="E7" s="5">
        <v>7043133</v>
      </c>
      <c r="F7" s="5">
        <v>243267</v>
      </c>
      <c r="G7" s="3">
        <f t="shared" si="0"/>
        <v>7286400</v>
      </c>
    </row>
    <row r="8" spans="1:8" x14ac:dyDescent="0.2">
      <c r="A8" s="2">
        <v>2017</v>
      </c>
      <c r="B8" s="4" t="s">
        <v>6</v>
      </c>
      <c r="C8" s="2" t="s">
        <v>232</v>
      </c>
      <c r="D8" s="2" t="s">
        <v>234</v>
      </c>
      <c r="E8" s="5">
        <v>3557003</v>
      </c>
      <c r="F8" s="5">
        <v>122857</v>
      </c>
      <c r="G8" s="3">
        <f t="shared" si="0"/>
        <v>3679860</v>
      </c>
    </row>
    <row r="9" spans="1:8" x14ac:dyDescent="0.2">
      <c r="A9" s="2">
        <v>2017</v>
      </c>
      <c r="B9" s="4" t="s">
        <v>7</v>
      </c>
      <c r="C9" s="2" t="s">
        <v>232</v>
      </c>
      <c r="D9" s="2" t="s">
        <v>234</v>
      </c>
      <c r="E9" s="5">
        <v>27135830</v>
      </c>
      <c r="F9" s="5">
        <v>937259</v>
      </c>
      <c r="G9" s="3">
        <f t="shared" si="0"/>
        <v>28073089</v>
      </c>
    </row>
    <row r="10" spans="1:8" x14ac:dyDescent="0.2">
      <c r="A10" s="2">
        <v>2017</v>
      </c>
      <c r="B10" s="4" t="s">
        <v>8</v>
      </c>
      <c r="C10" s="2" t="s">
        <v>232</v>
      </c>
      <c r="D10" s="2" t="s">
        <v>234</v>
      </c>
      <c r="E10" s="5">
        <v>48001046</v>
      </c>
      <c r="F10" s="5">
        <v>1657935</v>
      </c>
      <c r="G10" s="3">
        <f t="shared" si="0"/>
        <v>49658981</v>
      </c>
    </row>
    <row r="11" spans="1:8" x14ac:dyDescent="0.2">
      <c r="A11" s="2">
        <v>2017</v>
      </c>
      <c r="B11" s="4" t="s">
        <v>9</v>
      </c>
      <c r="C11" s="2" t="s">
        <v>232</v>
      </c>
      <c r="D11" s="2" t="s">
        <v>234</v>
      </c>
      <c r="E11" s="5">
        <v>46800725</v>
      </c>
      <c r="F11" s="5">
        <v>1616476</v>
      </c>
      <c r="G11" s="3">
        <f t="shared" si="0"/>
        <v>48417201</v>
      </c>
    </row>
    <row r="12" spans="1:8" x14ac:dyDescent="0.2">
      <c r="A12" s="2">
        <v>2017</v>
      </c>
      <c r="B12" s="4" t="s">
        <v>10</v>
      </c>
      <c r="C12" s="2" t="s">
        <v>232</v>
      </c>
      <c r="D12" s="2" t="s">
        <v>234</v>
      </c>
      <c r="E12" s="5">
        <v>2334528</v>
      </c>
      <c r="F12" s="5">
        <v>80634</v>
      </c>
      <c r="G12" s="3">
        <f t="shared" si="0"/>
        <v>2415162</v>
      </c>
    </row>
    <row r="13" spans="1:8" x14ac:dyDescent="0.2">
      <c r="A13" s="2">
        <v>2017</v>
      </c>
      <c r="B13" s="4" t="s">
        <v>11</v>
      </c>
      <c r="C13" s="2" t="s">
        <v>232</v>
      </c>
      <c r="D13" s="2" t="s">
        <v>234</v>
      </c>
      <c r="E13" s="5">
        <v>2337132</v>
      </c>
      <c r="F13" s="5">
        <v>80723</v>
      </c>
      <c r="G13" s="3">
        <f t="shared" si="0"/>
        <v>2417855</v>
      </c>
    </row>
    <row r="14" spans="1:8" x14ac:dyDescent="0.2">
      <c r="A14" s="2">
        <v>2017</v>
      </c>
      <c r="B14" s="4" t="s">
        <v>12</v>
      </c>
      <c r="C14" s="2" t="s">
        <v>232</v>
      </c>
      <c r="D14" s="2" t="s">
        <v>234</v>
      </c>
      <c r="E14" s="5">
        <v>1554938</v>
      </c>
      <c r="F14" s="5">
        <v>53707</v>
      </c>
      <c r="G14" s="3">
        <f t="shared" si="0"/>
        <v>1608645</v>
      </c>
    </row>
    <row r="15" spans="1:8" x14ac:dyDescent="0.2">
      <c r="A15" s="2">
        <v>2017</v>
      </c>
      <c r="B15" s="4" t="s">
        <v>13</v>
      </c>
      <c r="C15" s="2" t="s">
        <v>232</v>
      </c>
      <c r="D15" s="2" t="s">
        <v>234</v>
      </c>
      <c r="E15" s="5">
        <v>2006408</v>
      </c>
      <c r="F15" s="5">
        <v>69300</v>
      </c>
      <c r="G15" s="3">
        <f t="shared" si="0"/>
        <v>2075708</v>
      </c>
    </row>
    <row r="16" spans="1:8" x14ac:dyDescent="0.2">
      <c r="A16" s="2">
        <v>2017</v>
      </c>
      <c r="B16" s="4" t="s">
        <v>14</v>
      </c>
      <c r="C16" s="2" t="s">
        <v>232</v>
      </c>
      <c r="D16" s="2" t="s">
        <v>234</v>
      </c>
      <c r="E16" s="5">
        <v>4127097</v>
      </c>
      <c r="F16" s="5">
        <v>142548</v>
      </c>
      <c r="G16" s="3">
        <f t="shared" si="0"/>
        <v>4269645</v>
      </c>
    </row>
    <row r="17" spans="1:7" x14ac:dyDescent="0.2">
      <c r="A17" s="2">
        <v>2017</v>
      </c>
      <c r="B17" s="4" t="s">
        <v>15</v>
      </c>
      <c r="C17" s="2" t="s">
        <v>232</v>
      </c>
      <c r="D17" s="2" t="s">
        <v>234</v>
      </c>
      <c r="E17" s="5">
        <v>7650847</v>
      </c>
      <c r="F17" s="5">
        <v>264257</v>
      </c>
      <c r="G17" s="3">
        <f t="shared" si="0"/>
        <v>7915104</v>
      </c>
    </row>
    <row r="18" spans="1:7" x14ac:dyDescent="0.2">
      <c r="A18" s="2">
        <v>2017</v>
      </c>
      <c r="B18" s="4" t="s">
        <v>16</v>
      </c>
      <c r="C18" s="2" t="s">
        <v>232</v>
      </c>
      <c r="D18" s="2" t="s">
        <v>234</v>
      </c>
      <c r="E18" s="5">
        <v>57652049</v>
      </c>
      <c r="F18" s="5">
        <v>1991276</v>
      </c>
      <c r="G18" s="3">
        <f t="shared" si="0"/>
        <v>59643325</v>
      </c>
    </row>
    <row r="19" spans="1:7" x14ac:dyDescent="0.2">
      <c r="A19" s="2">
        <v>2017</v>
      </c>
      <c r="B19" s="4" t="s">
        <v>17</v>
      </c>
      <c r="C19" s="2" t="s">
        <v>232</v>
      </c>
      <c r="D19" s="2" t="s">
        <v>234</v>
      </c>
      <c r="E19" s="5">
        <v>1151894</v>
      </c>
      <c r="F19" s="5">
        <v>39786</v>
      </c>
      <c r="G19" s="3">
        <f t="shared" si="0"/>
        <v>1191680</v>
      </c>
    </row>
    <row r="20" spans="1:7" x14ac:dyDescent="0.2">
      <c r="A20" s="2">
        <v>2017</v>
      </c>
      <c r="B20" s="4" t="s">
        <v>18</v>
      </c>
      <c r="C20" s="2" t="s">
        <v>232</v>
      </c>
      <c r="D20" s="2" t="s">
        <v>234</v>
      </c>
      <c r="E20" s="5">
        <v>2013321</v>
      </c>
      <c r="F20" s="5">
        <v>69539</v>
      </c>
      <c r="G20" s="3">
        <f t="shared" si="0"/>
        <v>2082860</v>
      </c>
    </row>
    <row r="21" spans="1:7" x14ac:dyDescent="0.2">
      <c r="A21" s="2">
        <v>2017</v>
      </c>
      <c r="B21" s="4" t="s">
        <v>19</v>
      </c>
      <c r="C21" s="2" t="s">
        <v>232</v>
      </c>
      <c r="D21" s="2" t="s">
        <v>234</v>
      </c>
      <c r="E21" s="5">
        <v>6067549</v>
      </c>
      <c r="F21" s="5">
        <v>209570</v>
      </c>
      <c r="G21" s="3">
        <f t="shared" si="0"/>
        <v>6277119</v>
      </c>
    </row>
    <row r="22" spans="1:7" x14ac:dyDescent="0.2">
      <c r="A22" s="2">
        <v>2017</v>
      </c>
      <c r="B22" s="4" t="s">
        <v>20</v>
      </c>
      <c r="C22" s="2" t="s">
        <v>232</v>
      </c>
      <c r="D22" s="2" t="s">
        <v>234</v>
      </c>
      <c r="E22" s="5">
        <v>3445156</v>
      </c>
      <c r="F22" s="5">
        <v>118994</v>
      </c>
      <c r="G22" s="3">
        <f t="shared" si="0"/>
        <v>3564150</v>
      </c>
    </row>
    <row r="23" spans="1:7" x14ac:dyDescent="0.2">
      <c r="A23" s="2">
        <v>2017</v>
      </c>
      <c r="B23" s="4" t="s">
        <v>21</v>
      </c>
      <c r="C23" s="2" t="s">
        <v>232</v>
      </c>
      <c r="D23" s="2" t="s">
        <v>234</v>
      </c>
      <c r="E23" s="5">
        <v>2933746</v>
      </c>
      <c r="F23" s="5">
        <v>101330</v>
      </c>
      <c r="G23" s="3">
        <f t="shared" si="0"/>
        <v>3035076</v>
      </c>
    </row>
    <row r="24" spans="1:7" x14ac:dyDescent="0.2">
      <c r="A24" s="2">
        <v>2017</v>
      </c>
      <c r="B24" s="4" t="s">
        <v>22</v>
      </c>
      <c r="C24" s="2" t="s">
        <v>232</v>
      </c>
      <c r="D24" s="2" t="s">
        <v>234</v>
      </c>
      <c r="E24" s="5">
        <v>15731346</v>
      </c>
      <c r="F24" s="5">
        <v>543354</v>
      </c>
      <c r="G24" s="3">
        <f t="shared" si="0"/>
        <v>16274700</v>
      </c>
    </row>
    <row r="25" spans="1:7" x14ac:dyDescent="0.2">
      <c r="A25" s="2">
        <v>2017</v>
      </c>
      <c r="B25" s="4" t="s">
        <v>23</v>
      </c>
      <c r="C25" s="2" t="s">
        <v>232</v>
      </c>
      <c r="D25" s="2" t="s">
        <v>234</v>
      </c>
      <c r="E25" s="5">
        <v>7263683</v>
      </c>
      <c r="F25" s="5">
        <v>250884</v>
      </c>
      <c r="G25" s="3">
        <f t="shared" si="0"/>
        <v>7514567</v>
      </c>
    </row>
    <row r="26" spans="1:7" x14ac:dyDescent="0.2">
      <c r="A26" s="2">
        <v>2017</v>
      </c>
      <c r="B26" s="4" t="s">
        <v>24</v>
      </c>
      <c r="C26" s="2" t="s">
        <v>232</v>
      </c>
      <c r="D26" s="2" t="s">
        <v>234</v>
      </c>
      <c r="E26" s="5">
        <v>2820160</v>
      </c>
      <c r="F26" s="5">
        <v>97407</v>
      </c>
      <c r="G26" s="3">
        <f t="shared" si="0"/>
        <v>2917567</v>
      </c>
    </row>
    <row r="27" spans="1:7" x14ac:dyDescent="0.2">
      <c r="A27" s="2">
        <v>2017</v>
      </c>
      <c r="B27" s="4" t="s">
        <v>25</v>
      </c>
      <c r="C27" s="2" t="s">
        <v>232</v>
      </c>
      <c r="D27" s="2" t="s">
        <v>234</v>
      </c>
      <c r="E27" s="5">
        <v>53710016</v>
      </c>
      <c r="F27" s="5">
        <v>1855120</v>
      </c>
      <c r="G27" s="3">
        <f t="shared" si="0"/>
        <v>55565136</v>
      </c>
    </row>
    <row r="28" spans="1:7" x14ac:dyDescent="0.2">
      <c r="A28" s="2">
        <v>2017</v>
      </c>
      <c r="B28" s="4" t="s">
        <v>26</v>
      </c>
      <c r="C28" s="2" t="s">
        <v>232</v>
      </c>
      <c r="D28" s="2" t="s">
        <v>234</v>
      </c>
      <c r="E28" s="5">
        <v>6756515</v>
      </c>
      <c r="F28" s="5">
        <v>233367</v>
      </c>
      <c r="G28" s="3">
        <f t="shared" si="0"/>
        <v>6989882</v>
      </c>
    </row>
    <row r="29" spans="1:7" x14ac:dyDescent="0.2">
      <c r="A29" s="2">
        <v>2017</v>
      </c>
      <c r="B29" s="4" t="s">
        <v>27</v>
      </c>
      <c r="C29" s="2" t="s">
        <v>232</v>
      </c>
      <c r="D29" s="2" t="s">
        <v>234</v>
      </c>
      <c r="E29" s="5">
        <v>36070528</v>
      </c>
      <c r="F29" s="5">
        <v>1245860</v>
      </c>
      <c r="G29" s="3">
        <f t="shared" si="0"/>
        <v>37316388</v>
      </c>
    </row>
    <row r="30" spans="1:7" x14ac:dyDescent="0.2">
      <c r="A30" s="2">
        <v>2017</v>
      </c>
      <c r="B30" s="4" t="s">
        <v>28</v>
      </c>
      <c r="C30" s="2" t="s">
        <v>232</v>
      </c>
      <c r="D30" s="2" t="s">
        <v>234</v>
      </c>
      <c r="E30" s="5">
        <v>17761367</v>
      </c>
      <c r="F30" s="5">
        <v>613470</v>
      </c>
      <c r="G30" s="3">
        <f t="shared" si="0"/>
        <v>18374837</v>
      </c>
    </row>
    <row r="31" spans="1:7" x14ac:dyDescent="0.2">
      <c r="A31" s="2">
        <v>2017</v>
      </c>
      <c r="B31" s="4" t="s">
        <v>29</v>
      </c>
      <c r="C31" s="2" t="s">
        <v>232</v>
      </c>
      <c r="D31" s="2" t="s">
        <v>234</v>
      </c>
      <c r="E31" s="5">
        <v>3229702</v>
      </c>
      <c r="F31" s="5">
        <v>111552</v>
      </c>
      <c r="G31" s="3">
        <f t="shared" si="0"/>
        <v>3341254</v>
      </c>
    </row>
    <row r="32" spans="1:7" x14ac:dyDescent="0.2">
      <c r="A32" s="2">
        <v>2017</v>
      </c>
      <c r="B32" s="4" t="s">
        <v>30</v>
      </c>
      <c r="C32" s="2" t="s">
        <v>232</v>
      </c>
      <c r="D32" s="2" t="s">
        <v>234</v>
      </c>
      <c r="E32" s="5">
        <v>7568763</v>
      </c>
      <c r="F32" s="5">
        <v>261422</v>
      </c>
      <c r="G32" s="3">
        <f t="shared" si="0"/>
        <v>7830185</v>
      </c>
    </row>
    <row r="33" spans="1:7" x14ac:dyDescent="0.2">
      <c r="A33" s="2">
        <v>2017</v>
      </c>
      <c r="B33" s="4" t="s">
        <v>31</v>
      </c>
      <c r="C33" s="2" t="s">
        <v>232</v>
      </c>
      <c r="D33" s="2" t="s">
        <v>234</v>
      </c>
      <c r="E33" s="5">
        <v>28353389</v>
      </c>
      <c r="F33" s="5">
        <v>979313</v>
      </c>
      <c r="G33" s="3">
        <f t="shared" si="0"/>
        <v>29332702</v>
      </c>
    </row>
    <row r="34" spans="1:7" x14ac:dyDescent="0.2">
      <c r="A34" s="2">
        <v>2017</v>
      </c>
      <c r="B34" s="4" t="s">
        <v>32</v>
      </c>
      <c r="C34" s="2" t="s">
        <v>232</v>
      </c>
      <c r="D34" s="2" t="s">
        <v>234</v>
      </c>
      <c r="E34" s="5">
        <v>1431566</v>
      </c>
      <c r="F34" s="5">
        <v>49446</v>
      </c>
      <c r="G34" s="3">
        <f t="shared" si="0"/>
        <v>1481012</v>
      </c>
    </row>
    <row r="35" spans="1:7" x14ac:dyDescent="0.2">
      <c r="A35" s="2">
        <v>2017</v>
      </c>
      <c r="B35" s="4" t="s">
        <v>33</v>
      </c>
      <c r="C35" s="2" t="s">
        <v>232</v>
      </c>
      <c r="D35" s="2" t="s">
        <v>234</v>
      </c>
      <c r="E35" s="5">
        <v>3692192</v>
      </c>
      <c r="F35" s="5">
        <v>127527</v>
      </c>
      <c r="G35" s="3">
        <f t="shared" si="0"/>
        <v>3819719</v>
      </c>
    </row>
    <row r="36" spans="1:7" x14ac:dyDescent="0.2">
      <c r="A36" s="2">
        <v>2017</v>
      </c>
      <c r="B36" s="4" t="s">
        <v>34</v>
      </c>
      <c r="C36" s="2" t="s">
        <v>232</v>
      </c>
      <c r="D36" s="2" t="s">
        <v>234</v>
      </c>
      <c r="E36" s="5">
        <v>7464066</v>
      </c>
      <c r="F36" s="5">
        <v>257806</v>
      </c>
      <c r="G36" s="3">
        <f t="shared" si="0"/>
        <v>7721872</v>
      </c>
    </row>
    <row r="37" spans="1:7" x14ac:dyDescent="0.2">
      <c r="A37" s="2">
        <v>2017</v>
      </c>
      <c r="B37" s="4" t="s">
        <v>35</v>
      </c>
      <c r="C37" s="2" t="s">
        <v>232</v>
      </c>
      <c r="D37" s="2" t="s">
        <v>234</v>
      </c>
      <c r="E37" s="5">
        <v>5482764</v>
      </c>
      <c r="F37" s="5">
        <v>189372</v>
      </c>
      <c r="G37" s="3">
        <f t="shared" si="0"/>
        <v>5672136</v>
      </c>
    </row>
    <row r="38" spans="1:7" x14ac:dyDescent="0.2">
      <c r="A38" s="2">
        <v>2017</v>
      </c>
      <c r="B38" s="4" t="s">
        <v>36</v>
      </c>
      <c r="C38" s="2" t="s">
        <v>232</v>
      </c>
      <c r="D38" s="2" t="s">
        <v>234</v>
      </c>
      <c r="E38" s="5">
        <v>23424065</v>
      </c>
      <c r="F38" s="5">
        <v>809057</v>
      </c>
      <c r="G38" s="3">
        <f t="shared" si="0"/>
        <v>24233122</v>
      </c>
    </row>
    <row r="39" spans="1:7" x14ac:dyDescent="0.2">
      <c r="A39" s="2">
        <v>2017</v>
      </c>
      <c r="B39" s="4" t="s">
        <v>37</v>
      </c>
      <c r="C39" s="2" t="s">
        <v>232</v>
      </c>
      <c r="D39" s="2" t="s">
        <v>234</v>
      </c>
      <c r="E39" s="5">
        <v>7607044</v>
      </c>
      <c r="F39" s="5">
        <v>262744</v>
      </c>
      <c r="G39" s="3">
        <f t="shared" si="0"/>
        <v>7869788</v>
      </c>
    </row>
    <row r="40" spans="1:7" x14ac:dyDescent="0.2">
      <c r="A40" s="2">
        <v>2017</v>
      </c>
      <c r="B40" s="4" t="s">
        <v>38</v>
      </c>
      <c r="C40" s="2" t="s">
        <v>232</v>
      </c>
      <c r="D40" s="2" t="s">
        <v>234</v>
      </c>
      <c r="E40" s="5">
        <v>3058756</v>
      </c>
      <c r="F40" s="5">
        <v>105648</v>
      </c>
      <c r="G40" s="3">
        <f t="shared" si="0"/>
        <v>3164404</v>
      </c>
    </row>
    <row r="41" spans="1:7" x14ac:dyDescent="0.2">
      <c r="A41" s="2">
        <v>2017</v>
      </c>
      <c r="B41" s="4" t="s">
        <v>39</v>
      </c>
      <c r="C41" s="2" t="s">
        <v>232</v>
      </c>
      <c r="D41" s="2" t="s">
        <v>234</v>
      </c>
      <c r="E41" s="5">
        <v>28665763</v>
      </c>
      <c r="F41" s="5">
        <v>990103</v>
      </c>
      <c r="G41" s="3">
        <f t="shared" si="0"/>
        <v>29655866</v>
      </c>
    </row>
    <row r="42" spans="1:7" x14ac:dyDescent="0.2">
      <c r="A42" s="2">
        <v>2017</v>
      </c>
      <c r="B42" s="4" t="s">
        <v>40</v>
      </c>
      <c r="C42" s="2" t="s">
        <v>232</v>
      </c>
      <c r="D42" s="2" t="s">
        <v>234</v>
      </c>
      <c r="E42" s="5">
        <v>2456385</v>
      </c>
      <c r="F42" s="5">
        <v>84842</v>
      </c>
      <c r="G42" s="3">
        <f t="shared" si="0"/>
        <v>2541227</v>
      </c>
    </row>
    <row r="43" spans="1:7" x14ac:dyDescent="0.2">
      <c r="A43" s="2">
        <v>2017</v>
      </c>
      <c r="B43" s="4" t="s">
        <v>41</v>
      </c>
      <c r="C43" s="2" t="s">
        <v>232</v>
      </c>
      <c r="D43" s="2" t="s">
        <v>234</v>
      </c>
      <c r="E43" s="5">
        <v>3531134</v>
      </c>
      <c r="F43" s="5">
        <v>121964</v>
      </c>
      <c r="G43" s="3">
        <f t="shared" si="0"/>
        <v>3653098</v>
      </c>
    </row>
    <row r="44" spans="1:7" x14ac:dyDescent="0.2">
      <c r="A44" s="2">
        <v>2017</v>
      </c>
      <c r="B44" s="4" t="s">
        <v>42</v>
      </c>
      <c r="C44" s="2" t="s">
        <v>232</v>
      </c>
      <c r="D44" s="2" t="s">
        <v>234</v>
      </c>
      <c r="E44" s="5">
        <v>5318922</v>
      </c>
      <c r="F44" s="5">
        <v>183713</v>
      </c>
      <c r="G44" s="3">
        <f t="shared" si="0"/>
        <v>5502635</v>
      </c>
    </row>
    <row r="45" spans="1:7" x14ac:dyDescent="0.2">
      <c r="A45" s="2">
        <v>2017</v>
      </c>
      <c r="B45" s="4" t="s">
        <v>43</v>
      </c>
      <c r="C45" s="2" t="s">
        <v>232</v>
      </c>
      <c r="D45" s="2" t="s">
        <v>234</v>
      </c>
      <c r="E45" s="5">
        <v>8525393</v>
      </c>
      <c r="F45" s="5">
        <v>294463</v>
      </c>
      <c r="G45" s="3">
        <f t="shared" si="0"/>
        <v>8819856</v>
      </c>
    </row>
    <row r="46" spans="1:7" x14ac:dyDescent="0.2">
      <c r="A46" s="2">
        <v>2017</v>
      </c>
      <c r="B46" s="4" t="s">
        <v>44</v>
      </c>
      <c r="C46" s="2" t="s">
        <v>232</v>
      </c>
      <c r="D46" s="2" t="s">
        <v>234</v>
      </c>
      <c r="E46" s="5">
        <v>17972680</v>
      </c>
      <c r="F46" s="5">
        <v>620768</v>
      </c>
      <c r="G46" s="3">
        <f t="shared" si="0"/>
        <v>18593448</v>
      </c>
    </row>
    <row r="47" spans="1:7" x14ac:dyDescent="0.2">
      <c r="A47" s="2">
        <v>2017</v>
      </c>
      <c r="B47" s="4" t="s">
        <v>45</v>
      </c>
      <c r="C47" s="2" t="s">
        <v>232</v>
      </c>
      <c r="D47" s="2" t="s">
        <v>234</v>
      </c>
      <c r="E47" s="5">
        <v>1266917</v>
      </c>
      <c r="F47" s="5">
        <v>43759</v>
      </c>
      <c r="G47" s="3">
        <f t="shared" si="0"/>
        <v>1310676</v>
      </c>
    </row>
    <row r="48" spans="1:7" x14ac:dyDescent="0.2">
      <c r="A48" s="2">
        <v>2017</v>
      </c>
      <c r="B48" s="4" t="s">
        <v>46</v>
      </c>
      <c r="C48" s="2" t="s">
        <v>232</v>
      </c>
      <c r="D48" s="2" t="s">
        <v>234</v>
      </c>
      <c r="E48" s="5">
        <v>6956729</v>
      </c>
      <c r="F48" s="5">
        <v>240282</v>
      </c>
      <c r="G48" s="3">
        <f t="shared" si="0"/>
        <v>7197011</v>
      </c>
    </row>
    <row r="49" spans="1:7" x14ac:dyDescent="0.2">
      <c r="A49" s="2">
        <v>2017</v>
      </c>
      <c r="B49" s="4" t="s">
        <v>47</v>
      </c>
      <c r="C49" s="2" t="s">
        <v>232</v>
      </c>
      <c r="D49" s="2" t="s">
        <v>234</v>
      </c>
      <c r="E49" s="5">
        <v>8013713</v>
      </c>
      <c r="F49" s="5">
        <v>276790</v>
      </c>
      <c r="G49" s="3">
        <f t="shared" si="0"/>
        <v>8290503</v>
      </c>
    </row>
    <row r="50" spans="1:7" x14ac:dyDescent="0.2">
      <c r="A50" s="2">
        <v>2017</v>
      </c>
      <c r="B50" s="4" t="s">
        <v>48</v>
      </c>
      <c r="C50" s="2" t="s">
        <v>232</v>
      </c>
      <c r="D50" s="2" t="s">
        <v>234</v>
      </c>
      <c r="E50" s="5">
        <v>15563521</v>
      </c>
      <c r="F50" s="5">
        <v>537557</v>
      </c>
      <c r="G50" s="3">
        <f t="shared" si="0"/>
        <v>16101078</v>
      </c>
    </row>
    <row r="51" spans="1:7" x14ac:dyDescent="0.2">
      <c r="A51" s="2">
        <v>2017</v>
      </c>
      <c r="B51" s="4" t="s">
        <v>49</v>
      </c>
      <c r="C51" s="2" t="s">
        <v>232</v>
      </c>
      <c r="D51" s="2" t="s">
        <v>234</v>
      </c>
      <c r="E51" s="5">
        <v>8713273</v>
      </c>
      <c r="F51" s="5">
        <v>300953</v>
      </c>
      <c r="G51" s="3">
        <f t="shared" si="0"/>
        <v>9014226</v>
      </c>
    </row>
    <row r="52" spans="1:7" x14ac:dyDescent="0.2">
      <c r="A52" s="2">
        <v>2017</v>
      </c>
      <c r="B52" s="4" t="s">
        <v>50</v>
      </c>
      <c r="C52" s="2" t="s">
        <v>232</v>
      </c>
      <c r="D52" s="2" t="s">
        <v>234</v>
      </c>
      <c r="E52" s="5">
        <v>10397329</v>
      </c>
      <c r="F52" s="5">
        <v>359119</v>
      </c>
      <c r="G52" s="3">
        <f t="shared" si="0"/>
        <v>10756448</v>
      </c>
    </row>
    <row r="53" spans="1:7" x14ac:dyDescent="0.2">
      <c r="A53" s="2">
        <v>2017</v>
      </c>
      <c r="B53" s="4" t="s">
        <v>51</v>
      </c>
      <c r="C53" s="2" t="s">
        <v>232</v>
      </c>
      <c r="D53" s="2" t="s">
        <v>234</v>
      </c>
      <c r="E53" s="5">
        <v>52352969</v>
      </c>
      <c r="F53" s="5">
        <v>1808248</v>
      </c>
      <c r="G53" s="3">
        <f t="shared" si="0"/>
        <v>54161217</v>
      </c>
    </row>
    <row r="54" spans="1:7" x14ac:dyDescent="0.2">
      <c r="A54" s="2">
        <v>2017</v>
      </c>
      <c r="B54" s="4" t="s">
        <v>52</v>
      </c>
      <c r="C54" s="2" t="s">
        <v>232</v>
      </c>
      <c r="D54" s="2" t="s">
        <v>234</v>
      </c>
      <c r="E54" s="5">
        <v>22550002</v>
      </c>
      <c r="F54" s="5">
        <v>778867</v>
      </c>
      <c r="G54" s="3">
        <f t="shared" si="0"/>
        <v>23328869</v>
      </c>
    </row>
    <row r="55" spans="1:7" x14ac:dyDescent="0.2">
      <c r="A55" s="2">
        <v>2017</v>
      </c>
      <c r="B55" s="4" t="s">
        <v>53</v>
      </c>
      <c r="C55" s="2" t="s">
        <v>232</v>
      </c>
      <c r="D55" s="2" t="s">
        <v>234</v>
      </c>
      <c r="E55" s="5">
        <v>783585</v>
      </c>
      <c r="F55" s="5">
        <v>27065</v>
      </c>
      <c r="G55" s="3">
        <f t="shared" si="0"/>
        <v>810650</v>
      </c>
    </row>
    <row r="56" spans="1:7" x14ac:dyDescent="0.2">
      <c r="A56" s="2">
        <v>2017</v>
      </c>
      <c r="B56" s="4" t="s">
        <v>54</v>
      </c>
      <c r="C56" s="2" t="s">
        <v>232</v>
      </c>
      <c r="D56" s="2" t="s">
        <v>234</v>
      </c>
      <c r="E56" s="5">
        <v>19567661</v>
      </c>
      <c r="F56" s="5">
        <v>675858</v>
      </c>
      <c r="G56" s="3">
        <f t="shared" si="0"/>
        <v>20243519</v>
      </c>
    </row>
    <row r="57" spans="1:7" x14ac:dyDescent="0.2">
      <c r="A57" s="2">
        <v>2017</v>
      </c>
      <c r="B57" s="4" t="s">
        <v>55</v>
      </c>
      <c r="C57" s="2" t="s">
        <v>232</v>
      </c>
      <c r="D57" s="2" t="s">
        <v>234</v>
      </c>
      <c r="E57" s="5">
        <v>2386579</v>
      </c>
      <c r="F57" s="5">
        <v>82431</v>
      </c>
      <c r="G57" s="3">
        <f t="shared" si="0"/>
        <v>2469010</v>
      </c>
    </row>
    <row r="58" spans="1:7" x14ac:dyDescent="0.2">
      <c r="A58" s="2">
        <v>2017</v>
      </c>
      <c r="B58" s="4" t="s">
        <v>56</v>
      </c>
      <c r="C58" s="2" t="s">
        <v>232</v>
      </c>
      <c r="D58" s="2" t="s">
        <v>234</v>
      </c>
      <c r="E58" s="5">
        <v>10926517</v>
      </c>
      <c r="F58" s="5">
        <v>377397</v>
      </c>
      <c r="G58" s="3">
        <f t="shared" si="0"/>
        <v>11303914</v>
      </c>
    </row>
    <row r="59" spans="1:7" x14ac:dyDescent="0.2">
      <c r="A59" s="2">
        <v>2017</v>
      </c>
      <c r="B59" s="4" t="s">
        <v>57</v>
      </c>
      <c r="C59" s="2" t="s">
        <v>232</v>
      </c>
      <c r="D59" s="2" t="s">
        <v>234</v>
      </c>
      <c r="E59" s="5">
        <v>10117994</v>
      </c>
      <c r="F59" s="5">
        <v>349471</v>
      </c>
      <c r="G59" s="3">
        <f t="shared" si="0"/>
        <v>10467465</v>
      </c>
    </row>
    <row r="60" spans="1:7" x14ac:dyDescent="0.2">
      <c r="A60" s="2">
        <v>2017</v>
      </c>
      <c r="B60" s="4" t="s">
        <v>58</v>
      </c>
      <c r="C60" s="2" t="s">
        <v>232</v>
      </c>
      <c r="D60" s="2" t="s">
        <v>234</v>
      </c>
      <c r="E60" s="5">
        <v>5453248</v>
      </c>
      <c r="F60" s="5">
        <v>188353</v>
      </c>
      <c r="G60" s="3">
        <f t="shared" si="0"/>
        <v>5641601</v>
      </c>
    </row>
    <row r="61" spans="1:7" x14ac:dyDescent="0.2">
      <c r="A61" s="2">
        <v>2017</v>
      </c>
      <c r="B61" s="4" t="s">
        <v>59</v>
      </c>
      <c r="C61" s="2" t="s">
        <v>232</v>
      </c>
      <c r="D61" s="2" t="s">
        <v>234</v>
      </c>
      <c r="E61" s="5">
        <v>6792967</v>
      </c>
      <c r="F61" s="5">
        <v>234626</v>
      </c>
      <c r="G61" s="3">
        <f t="shared" si="0"/>
        <v>7027593</v>
      </c>
    </row>
    <row r="62" spans="1:7" x14ac:dyDescent="0.2">
      <c r="A62" s="2">
        <v>2017</v>
      </c>
      <c r="B62" s="4" t="s">
        <v>60</v>
      </c>
      <c r="C62" s="2" t="s">
        <v>232</v>
      </c>
      <c r="D62" s="2" t="s">
        <v>234</v>
      </c>
      <c r="E62" s="5">
        <v>6505125</v>
      </c>
      <c r="F62" s="5">
        <v>224684</v>
      </c>
      <c r="G62" s="3">
        <f t="shared" si="0"/>
        <v>6729809</v>
      </c>
    </row>
    <row r="63" spans="1:7" x14ac:dyDescent="0.2">
      <c r="A63" s="2">
        <v>2017</v>
      </c>
      <c r="B63" s="4" t="s">
        <v>61</v>
      </c>
      <c r="C63" s="2" t="s">
        <v>232</v>
      </c>
      <c r="D63" s="2" t="s">
        <v>234</v>
      </c>
      <c r="E63" s="5">
        <v>2224736</v>
      </c>
      <c r="F63" s="5">
        <v>76841</v>
      </c>
      <c r="G63" s="3">
        <f t="shared" si="0"/>
        <v>2301577</v>
      </c>
    </row>
    <row r="64" spans="1:7" x14ac:dyDescent="0.2">
      <c r="A64" s="2">
        <v>2017</v>
      </c>
      <c r="B64" s="4" t="s">
        <v>62</v>
      </c>
      <c r="C64" s="2" t="s">
        <v>232</v>
      </c>
      <c r="D64" s="2" t="s">
        <v>234</v>
      </c>
      <c r="E64" s="5">
        <v>3808471</v>
      </c>
      <c r="F64" s="5">
        <v>131543</v>
      </c>
      <c r="G64" s="3">
        <f t="shared" si="0"/>
        <v>3940014</v>
      </c>
    </row>
    <row r="65" spans="1:7" x14ac:dyDescent="0.2">
      <c r="A65" s="2">
        <v>2017</v>
      </c>
      <c r="B65" s="4" t="s">
        <v>63</v>
      </c>
      <c r="C65" s="2" t="s">
        <v>232</v>
      </c>
      <c r="D65" s="2" t="s">
        <v>234</v>
      </c>
      <c r="E65" s="5">
        <v>2733621</v>
      </c>
      <c r="F65" s="5">
        <v>94418</v>
      </c>
      <c r="G65" s="3">
        <f t="shared" si="0"/>
        <v>2828039</v>
      </c>
    </row>
    <row r="66" spans="1:7" x14ac:dyDescent="0.2">
      <c r="A66" s="2">
        <v>2017</v>
      </c>
      <c r="B66" s="4" t="s">
        <v>64</v>
      </c>
      <c r="C66" s="2" t="s">
        <v>232</v>
      </c>
      <c r="D66" s="2" t="s">
        <v>234</v>
      </c>
      <c r="E66" s="5">
        <v>2062802</v>
      </c>
      <c r="F66" s="5">
        <v>71248</v>
      </c>
      <c r="G66" s="3">
        <f t="shared" si="0"/>
        <v>2134050</v>
      </c>
    </row>
    <row r="67" spans="1:7" x14ac:dyDescent="0.2">
      <c r="A67" s="2">
        <v>2017</v>
      </c>
      <c r="B67" s="4" t="s">
        <v>65</v>
      </c>
      <c r="C67" s="2" t="s">
        <v>232</v>
      </c>
      <c r="D67" s="2" t="s">
        <v>234</v>
      </c>
      <c r="E67" s="5">
        <v>11921932</v>
      </c>
      <c r="F67" s="5">
        <v>411778</v>
      </c>
      <c r="G67" s="3">
        <f t="shared" ref="G67:G130" si="1">SUM(E67:F67)</f>
        <v>12333710</v>
      </c>
    </row>
    <row r="68" spans="1:7" x14ac:dyDescent="0.2">
      <c r="A68" s="2">
        <v>2017</v>
      </c>
      <c r="B68" s="4" t="s">
        <v>66</v>
      </c>
      <c r="C68" s="2" t="s">
        <v>232</v>
      </c>
      <c r="D68" s="2" t="s">
        <v>234</v>
      </c>
      <c r="E68" s="5">
        <v>10376724</v>
      </c>
      <c r="F68" s="5">
        <v>358407</v>
      </c>
      <c r="G68" s="3">
        <f t="shared" si="1"/>
        <v>10735131</v>
      </c>
    </row>
    <row r="69" spans="1:7" x14ac:dyDescent="0.2">
      <c r="A69" s="2">
        <v>2017</v>
      </c>
      <c r="B69" s="4" t="s">
        <v>67</v>
      </c>
      <c r="C69" s="2" t="s">
        <v>232</v>
      </c>
      <c r="D69" s="2" t="s">
        <v>234</v>
      </c>
      <c r="E69" s="5">
        <v>7529158</v>
      </c>
      <c r="F69" s="5">
        <v>260054</v>
      </c>
      <c r="G69" s="3">
        <f t="shared" si="1"/>
        <v>7789212</v>
      </c>
    </row>
    <row r="70" spans="1:7" x14ac:dyDescent="0.2">
      <c r="A70" s="2">
        <v>2017</v>
      </c>
      <c r="B70" s="4" t="s">
        <v>68</v>
      </c>
      <c r="C70" s="2" t="s">
        <v>232</v>
      </c>
      <c r="D70" s="2" t="s">
        <v>234</v>
      </c>
      <c r="E70" s="5">
        <v>83339579</v>
      </c>
      <c r="F70" s="5">
        <v>2878512</v>
      </c>
      <c r="G70" s="3">
        <f t="shared" si="1"/>
        <v>86218091</v>
      </c>
    </row>
    <row r="71" spans="1:7" x14ac:dyDescent="0.2">
      <c r="A71" s="2">
        <v>2017</v>
      </c>
      <c r="B71" s="4" t="s">
        <v>69</v>
      </c>
      <c r="C71" s="2" t="s">
        <v>232</v>
      </c>
      <c r="D71" s="2" t="s">
        <v>234</v>
      </c>
      <c r="E71" s="5">
        <v>11741290</v>
      </c>
      <c r="F71" s="5">
        <v>405539</v>
      </c>
      <c r="G71" s="3">
        <f t="shared" si="1"/>
        <v>12146829</v>
      </c>
    </row>
    <row r="72" spans="1:7" x14ac:dyDescent="0.2">
      <c r="A72" s="2">
        <v>2017</v>
      </c>
      <c r="B72" s="4" t="s">
        <v>70</v>
      </c>
      <c r="C72" s="2" t="s">
        <v>232</v>
      </c>
      <c r="D72" s="2" t="s">
        <v>234</v>
      </c>
      <c r="E72" s="5">
        <v>30152186</v>
      </c>
      <c r="F72" s="5">
        <v>1041443</v>
      </c>
      <c r="G72" s="3">
        <f t="shared" si="1"/>
        <v>31193629</v>
      </c>
    </row>
    <row r="73" spans="1:7" x14ac:dyDescent="0.2">
      <c r="A73" s="2">
        <v>2017</v>
      </c>
      <c r="B73" s="4" t="s">
        <v>71</v>
      </c>
      <c r="C73" s="2" t="s">
        <v>232</v>
      </c>
      <c r="D73" s="2" t="s">
        <v>234</v>
      </c>
      <c r="E73" s="5">
        <v>5756319</v>
      </c>
      <c r="F73" s="5">
        <v>198821</v>
      </c>
      <c r="G73" s="3">
        <f t="shared" si="1"/>
        <v>5955140</v>
      </c>
    </row>
    <row r="74" spans="1:7" x14ac:dyDescent="0.2">
      <c r="A74" s="2">
        <v>2017</v>
      </c>
      <c r="B74" s="4" t="s">
        <v>72</v>
      </c>
      <c r="C74" s="2" t="s">
        <v>232</v>
      </c>
      <c r="D74" s="2" t="s">
        <v>234</v>
      </c>
      <c r="E74" s="5">
        <v>11057273</v>
      </c>
      <c r="F74" s="5">
        <v>381913</v>
      </c>
      <c r="G74" s="3">
        <f t="shared" si="1"/>
        <v>11439186</v>
      </c>
    </row>
    <row r="75" spans="1:7" x14ac:dyDescent="0.2">
      <c r="A75" s="2">
        <v>2017</v>
      </c>
      <c r="B75" s="4" t="s">
        <v>73</v>
      </c>
      <c r="C75" s="2" t="s">
        <v>232</v>
      </c>
      <c r="D75" s="2" t="s">
        <v>234</v>
      </c>
      <c r="E75" s="5">
        <v>20442836</v>
      </c>
      <c r="F75" s="5">
        <v>706086</v>
      </c>
      <c r="G75" s="3">
        <f t="shared" si="1"/>
        <v>21148922</v>
      </c>
    </row>
    <row r="76" spans="1:7" x14ac:dyDescent="0.2">
      <c r="A76" s="2">
        <v>2017</v>
      </c>
      <c r="B76" s="4" t="s">
        <v>74</v>
      </c>
      <c r="C76" s="2" t="s">
        <v>232</v>
      </c>
      <c r="D76" s="2" t="s">
        <v>234</v>
      </c>
      <c r="E76" s="5">
        <v>5083592</v>
      </c>
      <c r="F76" s="5">
        <v>175585</v>
      </c>
      <c r="G76" s="3">
        <f t="shared" si="1"/>
        <v>5259177</v>
      </c>
    </row>
    <row r="77" spans="1:7" x14ac:dyDescent="0.2">
      <c r="A77" s="2">
        <v>2017</v>
      </c>
      <c r="B77" s="4" t="s">
        <v>75</v>
      </c>
      <c r="C77" s="2" t="s">
        <v>232</v>
      </c>
      <c r="D77" s="2" t="s">
        <v>234</v>
      </c>
      <c r="E77" s="5">
        <v>10773348</v>
      </c>
      <c r="F77" s="5">
        <v>372107</v>
      </c>
      <c r="G77" s="3">
        <f t="shared" si="1"/>
        <v>11145455</v>
      </c>
    </row>
    <row r="78" spans="1:7" x14ac:dyDescent="0.2">
      <c r="A78" s="2">
        <v>2017</v>
      </c>
      <c r="B78" s="4" t="s">
        <v>76</v>
      </c>
      <c r="C78" s="2" t="s">
        <v>232</v>
      </c>
      <c r="D78" s="2" t="s">
        <v>234</v>
      </c>
      <c r="E78" s="5">
        <v>2428766</v>
      </c>
      <c r="F78" s="5">
        <v>83888</v>
      </c>
      <c r="G78" s="3">
        <f t="shared" si="1"/>
        <v>2512654</v>
      </c>
    </row>
    <row r="79" spans="1:7" x14ac:dyDescent="0.2">
      <c r="A79" s="2">
        <v>2017</v>
      </c>
      <c r="B79" s="4" t="s">
        <v>277</v>
      </c>
      <c r="C79" s="2" t="s">
        <v>232</v>
      </c>
      <c r="D79" s="2" t="s">
        <v>234</v>
      </c>
      <c r="E79" s="5">
        <v>16228</v>
      </c>
      <c r="F79" s="4">
        <v>561</v>
      </c>
      <c r="G79" s="3">
        <f t="shared" si="1"/>
        <v>16789</v>
      </c>
    </row>
    <row r="80" spans="1:7" x14ac:dyDescent="0.2">
      <c r="A80" s="2">
        <v>2017</v>
      </c>
      <c r="B80" s="4" t="s">
        <v>78</v>
      </c>
      <c r="C80" s="2" t="s">
        <v>232</v>
      </c>
      <c r="D80" s="2" t="s">
        <v>234</v>
      </c>
      <c r="E80" s="5">
        <v>11067913</v>
      </c>
      <c r="F80" s="5">
        <v>382281</v>
      </c>
      <c r="G80" s="3">
        <f t="shared" si="1"/>
        <v>11450194</v>
      </c>
    </row>
    <row r="81" spans="1:7" x14ac:dyDescent="0.2">
      <c r="A81" s="2">
        <v>2017</v>
      </c>
      <c r="B81" s="4" t="s">
        <v>79</v>
      </c>
      <c r="C81" s="2" t="s">
        <v>232</v>
      </c>
      <c r="D81" s="2" t="s">
        <v>234</v>
      </c>
      <c r="E81" s="5">
        <v>2247091</v>
      </c>
      <c r="F81" s="5">
        <v>77614</v>
      </c>
      <c r="G81" s="3">
        <f t="shared" si="1"/>
        <v>2324705</v>
      </c>
    </row>
    <row r="82" spans="1:7" x14ac:dyDescent="0.2">
      <c r="A82" s="2">
        <v>2017</v>
      </c>
      <c r="B82" s="4" t="s">
        <v>80</v>
      </c>
      <c r="C82" s="2" t="s">
        <v>232</v>
      </c>
      <c r="D82" s="2" t="s">
        <v>234</v>
      </c>
      <c r="E82" s="5">
        <v>251357</v>
      </c>
      <c r="F82" s="5">
        <v>8682</v>
      </c>
      <c r="G82" s="3">
        <f t="shared" si="1"/>
        <v>260039</v>
      </c>
    </row>
    <row r="83" spans="1:7" x14ac:dyDescent="0.2">
      <c r="A83" s="2">
        <v>2017</v>
      </c>
      <c r="B83" s="4" t="s">
        <v>81</v>
      </c>
      <c r="C83" s="2" t="s">
        <v>232</v>
      </c>
      <c r="D83" s="2" t="s">
        <v>234</v>
      </c>
      <c r="E83" s="5">
        <v>6226822</v>
      </c>
      <c r="F83" s="5">
        <v>215072</v>
      </c>
      <c r="G83" s="3">
        <f t="shared" si="1"/>
        <v>6441894</v>
      </c>
    </row>
    <row r="84" spans="1:7" x14ac:dyDescent="0.2">
      <c r="A84" s="2">
        <v>2017</v>
      </c>
      <c r="B84" s="4" t="s">
        <v>82</v>
      </c>
      <c r="C84" s="2" t="s">
        <v>232</v>
      </c>
      <c r="D84" s="2" t="s">
        <v>234</v>
      </c>
      <c r="E84" s="5">
        <v>9203753</v>
      </c>
      <c r="F84" s="5">
        <v>317894</v>
      </c>
      <c r="G84" s="3">
        <f t="shared" si="1"/>
        <v>9521647</v>
      </c>
    </row>
    <row r="85" spans="1:7" x14ac:dyDescent="0.2">
      <c r="A85" s="2">
        <v>2017</v>
      </c>
      <c r="B85" s="4" t="s">
        <v>83</v>
      </c>
      <c r="C85" s="2" t="s">
        <v>232</v>
      </c>
      <c r="D85" s="2" t="s">
        <v>234</v>
      </c>
      <c r="E85" s="5">
        <v>1052550</v>
      </c>
      <c r="F85" s="5">
        <v>36355</v>
      </c>
      <c r="G85" s="3">
        <f t="shared" si="1"/>
        <v>1088905</v>
      </c>
    </row>
    <row r="86" spans="1:7" x14ac:dyDescent="0.2">
      <c r="A86" s="2">
        <v>2017</v>
      </c>
      <c r="B86" s="4" t="s">
        <v>85</v>
      </c>
      <c r="C86" s="2" t="s">
        <v>232</v>
      </c>
      <c r="D86" s="2" t="s">
        <v>234</v>
      </c>
      <c r="E86" s="5">
        <v>46754</v>
      </c>
      <c r="F86" s="5">
        <v>1615</v>
      </c>
      <c r="G86" s="3">
        <f t="shared" si="1"/>
        <v>48369</v>
      </c>
    </row>
    <row r="87" spans="1:7" x14ac:dyDescent="0.2">
      <c r="A87" s="2">
        <v>2017</v>
      </c>
      <c r="B87" s="4" t="s">
        <v>86</v>
      </c>
      <c r="C87" s="2" t="s">
        <v>232</v>
      </c>
      <c r="D87" s="2" t="s">
        <v>234</v>
      </c>
      <c r="E87" s="5">
        <v>34589</v>
      </c>
      <c r="F87" s="5">
        <v>1195</v>
      </c>
      <c r="G87" s="3">
        <f t="shared" si="1"/>
        <v>35784</v>
      </c>
    </row>
    <row r="88" spans="1:7" x14ac:dyDescent="0.2">
      <c r="A88" s="2">
        <v>2017</v>
      </c>
      <c r="B88" s="4" t="s">
        <v>289</v>
      </c>
      <c r="C88" s="2" t="s">
        <v>232</v>
      </c>
      <c r="D88" s="2" t="s">
        <v>234</v>
      </c>
      <c r="E88" s="5">
        <v>41300</v>
      </c>
      <c r="F88" s="5">
        <v>1426</v>
      </c>
      <c r="G88" s="3">
        <f t="shared" si="1"/>
        <v>42726</v>
      </c>
    </row>
    <row r="89" spans="1:7" x14ac:dyDescent="0.2">
      <c r="A89" s="2">
        <v>2017</v>
      </c>
      <c r="B89" s="4" t="s">
        <v>282</v>
      </c>
      <c r="C89" s="2" t="s">
        <v>232</v>
      </c>
      <c r="D89" s="2" t="s">
        <v>234</v>
      </c>
      <c r="E89" s="5">
        <v>1049767</v>
      </c>
      <c r="F89" s="5">
        <v>36258</v>
      </c>
      <c r="G89" s="3">
        <f t="shared" si="1"/>
        <v>1086025</v>
      </c>
    </row>
    <row r="90" spans="1:7" x14ac:dyDescent="0.2">
      <c r="A90" s="2">
        <v>2017</v>
      </c>
      <c r="B90" s="4" t="s">
        <v>88</v>
      </c>
      <c r="C90" s="2" t="s">
        <v>232</v>
      </c>
      <c r="D90" s="2" t="s">
        <v>234</v>
      </c>
      <c r="E90" s="5">
        <v>1958262</v>
      </c>
      <c r="F90" s="5">
        <v>67638</v>
      </c>
      <c r="G90" s="3">
        <f t="shared" si="1"/>
        <v>2025900</v>
      </c>
    </row>
    <row r="91" spans="1:7" x14ac:dyDescent="0.2">
      <c r="A91" s="2">
        <v>2017</v>
      </c>
      <c r="B91" s="4" t="s">
        <v>89</v>
      </c>
      <c r="C91" s="2" t="s">
        <v>232</v>
      </c>
      <c r="D91" s="2" t="s">
        <v>234</v>
      </c>
      <c r="E91" s="5">
        <v>15689</v>
      </c>
      <c r="F91" s="4">
        <v>542</v>
      </c>
      <c r="G91" s="3">
        <f t="shared" si="1"/>
        <v>16231</v>
      </c>
    </row>
    <row r="92" spans="1:7" x14ac:dyDescent="0.2">
      <c r="A92" s="2">
        <v>2017</v>
      </c>
      <c r="B92" s="4" t="s">
        <v>237</v>
      </c>
      <c r="C92" s="2" t="s">
        <v>232</v>
      </c>
      <c r="D92" s="2" t="s">
        <v>234</v>
      </c>
      <c r="E92" s="5">
        <v>15354463</v>
      </c>
      <c r="F92" s="5">
        <v>530336</v>
      </c>
      <c r="G92" s="3">
        <f t="shared" si="1"/>
        <v>15884799</v>
      </c>
    </row>
    <row r="93" spans="1:7" x14ac:dyDescent="0.2">
      <c r="A93" s="2">
        <v>2017</v>
      </c>
      <c r="B93" s="4" t="s">
        <v>91</v>
      </c>
      <c r="C93" s="2" t="s">
        <v>232</v>
      </c>
      <c r="D93" s="2" t="s">
        <v>234</v>
      </c>
      <c r="E93" s="5">
        <v>1225572</v>
      </c>
      <c r="F93" s="5">
        <v>42331</v>
      </c>
      <c r="G93" s="3">
        <f t="shared" si="1"/>
        <v>1267903</v>
      </c>
    </row>
    <row r="94" spans="1:7" x14ac:dyDescent="0.2">
      <c r="A94" s="2">
        <v>2017</v>
      </c>
      <c r="B94" s="4" t="s">
        <v>92</v>
      </c>
      <c r="C94" s="2" t="s">
        <v>232</v>
      </c>
      <c r="D94" s="2" t="s">
        <v>234</v>
      </c>
      <c r="E94" s="5">
        <v>1832354</v>
      </c>
      <c r="F94" s="5">
        <v>63289</v>
      </c>
      <c r="G94" s="3">
        <f t="shared" si="1"/>
        <v>1895643</v>
      </c>
    </row>
    <row r="95" spans="1:7" x14ac:dyDescent="0.2">
      <c r="A95" s="2">
        <v>2017</v>
      </c>
      <c r="B95" s="4" t="s">
        <v>93</v>
      </c>
      <c r="C95" s="2" t="s">
        <v>232</v>
      </c>
      <c r="D95" s="2" t="s">
        <v>234</v>
      </c>
      <c r="E95" s="5">
        <v>686901</v>
      </c>
      <c r="F95" s="5">
        <v>23725</v>
      </c>
      <c r="G95" s="3">
        <f t="shared" si="1"/>
        <v>710626</v>
      </c>
    </row>
    <row r="96" spans="1:7" x14ac:dyDescent="0.2">
      <c r="A96" s="2">
        <v>2017</v>
      </c>
      <c r="B96" s="4" t="s">
        <v>94</v>
      </c>
      <c r="C96" s="2" t="s">
        <v>232</v>
      </c>
      <c r="D96" s="2" t="s">
        <v>234</v>
      </c>
      <c r="E96" s="5">
        <v>82768</v>
      </c>
      <c r="F96" s="5">
        <v>2859</v>
      </c>
      <c r="G96" s="3">
        <f t="shared" si="1"/>
        <v>85627</v>
      </c>
    </row>
    <row r="97" spans="1:7" x14ac:dyDescent="0.2">
      <c r="A97" s="2">
        <v>2017</v>
      </c>
      <c r="B97" s="4" t="s">
        <v>95</v>
      </c>
      <c r="C97" s="2" t="s">
        <v>232</v>
      </c>
      <c r="D97" s="2" t="s">
        <v>234</v>
      </c>
      <c r="E97" s="5">
        <v>218384</v>
      </c>
      <c r="F97" s="5">
        <v>7543</v>
      </c>
      <c r="G97" s="3">
        <f t="shared" si="1"/>
        <v>225927</v>
      </c>
    </row>
    <row r="98" spans="1:7" x14ac:dyDescent="0.2">
      <c r="A98" s="2">
        <v>2017</v>
      </c>
      <c r="B98" s="4" t="s">
        <v>96</v>
      </c>
      <c r="C98" s="2" t="s">
        <v>232</v>
      </c>
      <c r="D98" s="2" t="s">
        <v>234</v>
      </c>
      <c r="E98" s="5">
        <v>37641</v>
      </c>
      <c r="F98" s="5">
        <v>1300</v>
      </c>
      <c r="G98" s="3">
        <f t="shared" si="1"/>
        <v>38941</v>
      </c>
    </row>
    <row r="99" spans="1:7" x14ac:dyDescent="0.2">
      <c r="A99" s="2">
        <v>2017</v>
      </c>
      <c r="B99" s="4" t="s">
        <v>97</v>
      </c>
      <c r="C99" s="2" t="s">
        <v>232</v>
      </c>
      <c r="D99" s="2" t="s">
        <v>234</v>
      </c>
      <c r="E99" s="5">
        <v>29449</v>
      </c>
      <c r="F99" s="5">
        <v>1017</v>
      </c>
      <c r="G99" s="3">
        <f t="shared" si="1"/>
        <v>30466</v>
      </c>
    </row>
    <row r="100" spans="1:7" x14ac:dyDescent="0.2">
      <c r="A100" s="2">
        <v>2017</v>
      </c>
      <c r="B100" s="4" t="s">
        <v>98</v>
      </c>
      <c r="C100" s="2" t="s">
        <v>232</v>
      </c>
      <c r="D100" s="2" t="s">
        <v>234</v>
      </c>
      <c r="E100" s="5">
        <v>1344691</v>
      </c>
      <c r="F100" s="5">
        <v>46445</v>
      </c>
      <c r="G100" s="3">
        <f t="shared" si="1"/>
        <v>1391136</v>
      </c>
    </row>
    <row r="101" spans="1:7" x14ac:dyDescent="0.2">
      <c r="A101" s="2">
        <v>2017</v>
      </c>
      <c r="B101" s="4" t="s">
        <v>99</v>
      </c>
      <c r="C101" s="2" t="s">
        <v>232</v>
      </c>
      <c r="D101" s="2" t="s">
        <v>234</v>
      </c>
      <c r="E101" s="5">
        <v>43219</v>
      </c>
      <c r="F101" s="5">
        <v>1493</v>
      </c>
      <c r="G101" s="3">
        <f t="shared" si="1"/>
        <v>44712</v>
      </c>
    </row>
    <row r="102" spans="1:7" x14ac:dyDescent="0.2">
      <c r="A102" s="2">
        <v>2017</v>
      </c>
      <c r="B102" s="4" t="s">
        <v>100</v>
      </c>
      <c r="C102" s="2" t="s">
        <v>232</v>
      </c>
      <c r="D102" s="2" t="s">
        <v>234</v>
      </c>
      <c r="E102" s="5">
        <v>13501</v>
      </c>
      <c r="F102" s="4">
        <v>466</v>
      </c>
      <c r="G102" s="3">
        <f t="shared" si="1"/>
        <v>13967</v>
      </c>
    </row>
    <row r="103" spans="1:7" x14ac:dyDescent="0.2">
      <c r="A103" s="2">
        <v>2017</v>
      </c>
      <c r="B103" s="4" t="s">
        <v>101</v>
      </c>
      <c r="C103" s="2" t="s">
        <v>232</v>
      </c>
      <c r="D103" s="2" t="s">
        <v>234</v>
      </c>
      <c r="E103" s="5">
        <v>83453</v>
      </c>
      <c r="F103" s="5">
        <v>2882</v>
      </c>
      <c r="G103" s="3">
        <f t="shared" si="1"/>
        <v>86335</v>
      </c>
    </row>
    <row r="104" spans="1:7" x14ac:dyDescent="0.2">
      <c r="A104" s="2">
        <v>2017</v>
      </c>
      <c r="B104" s="4" t="s">
        <v>102</v>
      </c>
      <c r="C104" s="2" t="s">
        <v>232</v>
      </c>
      <c r="D104" s="2" t="s">
        <v>234</v>
      </c>
      <c r="E104" s="5">
        <v>70692</v>
      </c>
      <c r="F104" s="5">
        <v>2442</v>
      </c>
      <c r="G104" s="3">
        <f t="shared" si="1"/>
        <v>73134</v>
      </c>
    </row>
    <row r="105" spans="1:7" x14ac:dyDescent="0.2">
      <c r="A105" s="2">
        <v>2017</v>
      </c>
      <c r="B105" s="4" t="s">
        <v>103</v>
      </c>
      <c r="C105" s="2" t="s">
        <v>232</v>
      </c>
      <c r="D105" s="2" t="s">
        <v>234</v>
      </c>
      <c r="E105" s="5">
        <v>3320875</v>
      </c>
      <c r="F105" s="5">
        <v>114702</v>
      </c>
      <c r="G105" s="3">
        <f t="shared" si="1"/>
        <v>3435577</v>
      </c>
    </row>
    <row r="106" spans="1:7" x14ac:dyDescent="0.2">
      <c r="A106" s="2">
        <v>2017</v>
      </c>
      <c r="B106" s="4" t="s">
        <v>238</v>
      </c>
      <c r="C106" s="2" t="s">
        <v>232</v>
      </c>
      <c r="D106" s="2" t="s">
        <v>234</v>
      </c>
      <c r="E106" s="5">
        <v>747942</v>
      </c>
      <c r="F106" s="5">
        <v>25834</v>
      </c>
      <c r="G106" s="3">
        <f t="shared" si="1"/>
        <v>773776</v>
      </c>
    </row>
    <row r="107" spans="1:7" x14ac:dyDescent="0.2">
      <c r="A107" s="2">
        <v>2017</v>
      </c>
      <c r="B107" s="4" t="s">
        <v>105</v>
      </c>
      <c r="C107" s="2" t="s">
        <v>232</v>
      </c>
      <c r="D107" s="2" t="s">
        <v>234</v>
      </c>
      <c r="E107" s="5">
        <v>3332816</v>
      </c>
      <c r="F107" s="5">
        <v>115114</v>
      </c>
      <c r="G107" s="3">
        <f t="shared" si="1"/>
        <v>3447930</v>
      </c>
    </row>
    <row r="108" spans="1:7" x14ac:dyDescent="0.2">
      <c r="A108" s="2">
        <v>2017</v>
      </c>
      <c r="B108" s="4" t="s">
        <v>106</v>
      </c>
      <c r="C108" s="2" t="s">
        <v>232</v>
      </c>
      <c r="D108" s="2" t="s">
        <v>234</v>
      </c>
      <c r="E108" s="5">
        <v>54711</v>
      </c>
      <c r="F108" s="5">
        <v>1890</v>
      </c>
      <c r="G108" s="3">
        <f t="shared" si="1"/>
        <v>56601</v>
      </c>
    </row>
    <row r="109" spans="1:7" x14ac:dyDescent="0.2">
      <c r="A109" s="2">
        <v>2017</v>
      </c>
      <c r="B109" s="4" t="s">
        <v>107</v>
      </c>
      <c r="C109" s="2" t="s">
        <v>232</v>
      </c>
      <c r="D109" s="2" t="s">
        <v>234</v>
      </c>
      <c r="E109" s="5">
        <v>330197</v>
      </c>
      <c r="F109" s="5">
        <v>11405</v>
      </c>
      <c r="G109" s="3">
        <f t="shared" si="1"/>
        <v>341602</v>
      </c>
    </row>
    <row r="110" spans="1:7" x14ac:dyDescent="0.2">
      <c r="A110" s="2">
        <v>2017</v>
      </c>
      <c r="B110" s="4" t="s">
        <v>108</v>
      </c>
      <c r="C110" s="2" t="s">
        <v>232</v>
      </c>
      <c r="D110" s="2" t="s">
        <v>234</v>
      </c>
      <c r="E110" s="5">
        <v>4790644</v>
      </c>
      <c r="F110" s="5">
        <v>165467</v>
      </c>
      <c r="G110" s="3">
        <f t="shared" si="1"/>
        <v>4956111</v>
      </c>
    </row>
    <row r="111" spans="1:7" x14ac:dyDescent="0.2">
      <c r="A111" s="2">
        <v>2017</v>
      </c>
      <c r="B111" s="4" t="s">
        <v>109</v>
      </c>
      <c r="C111" s="2" t="s">
        <v>232</v>
      </c>
      <c r="D111" s="2" t="s">
        <v>234</v>
      </c>
      <c r="E111" s="5">
        <v>798153</v>
      </c>
      <c r="F111" s="5">
        <v>27568</v>
      </c>
      <c r="G111" s="3">
        <f t="shared" si="1"/>
        <v>825721</v>
      </c>
    </row>
    <row r="112" spans="1:7" x14ac:dyDescent="0.2">
      <c r="A112" s="2">
        <v>2017</v>
      </c>
      <c r="B112" s="4" t="s">
        <v>110</v>
      </c>
      <c r="C112" s="2" t="s">
        <v>232</v>
      </c>
      <c r="D112" s="2" t="s">
        <v>234</v>
      </c>
      <c r="E112" s="5">
        <v>2092632</v>
      </c>
      <c r="F112" s="5">
        <v>72279</v>
      </c>
      <c r="G112" s="3">
        <f t="shared" si="1"/>
        <v>2164911</v>
      </c>
    </row>
    <row r="113" spans="1:7" x14ac:dyDescent="0.2">
      <c r="A113" s="2">
        <v>2017</v>
      </c>
      <c r="B113" s="4" t="s">
        <v>111</v>
      </c>
      <c r="C113" s="2" t="s">
        <v>232</v>
      </c>
      <c r="D113" s="2" t="s">
        <v>234</v>
      </c>
      <c r="E113" s="5">
        <v>448473</v>
      </c>
      <c r="F113" s="5">
        <v>15490</v>
      </c>
      <c r="G113" s="3">
        <f t="shared" si="1"/>
        <v>463963</v>
      </c>
    </row>
    <row r="114" spans="1:7" x14ac:dyDescent="0.2">
      <c r="A114" s="2">
        <v>2017</v>
      </c>
      <c r="B114" s="4" t="s">
        <v>112</v>
      </c>
      <c r="C114" s="2" t="s">
        <v>232</v>
      </c>
      <c r="D114" s="2" t="s">
        <v>234</v>
      </c>
      <c r="E114" s="5">
        <v>585111</v>
      </c>
      <c r="F114" s="5">
        <v>20209</v>
      </c>
      <c r="G114" s="3">
        <f t="shared" si="1"/>
        <v>605320</v>
      </c>
    </row>
    <row r="115" spans="1:7" x14ac:dyDescent="0.2">
      <c r="A115" s="2">
        <v>2017</v>
      </c>
      <c r="B115" s="4" t="s">
        <v>113</v>
      </c>
      <c r="C115" s="2" t="s">
        <v>232</v>
      </c>
      <c r="D115" s="2" t="s">
        <v>234</v>
      </c>
      <c r="E115" s="5">
        <v>1040542</v>
      </c>
      <c r="F115" s="5">
        <v>35940</v>
      </c>
      <c r="G115" s="3">
        <f t="shared" si="1"/>
        <v>1076482</v>
      </c>
    </row>
    <row r="116" spans="1:7" x14ac:dyDescent="0.2">
      <c r="A116" s="2">
        <v>2017</v>
      </c>
      <c r="B116" s="4" t="s">
        <v>114</v>
      </c>
      <c r="C116" s="2" t="s">
        <v>232</v>
      </c>
      <c r="D116" s="2" t="s">
        <v>234</v>
      </c>
      <c r="E116" s="5">
        <v>843167</v>
      </c>
      <c r="F116" s="5">
        <v>29123</v>
      </c>
      <c r="G116" s="3">
        <f t="shared" si="1"/>
        <v>872290</v>
      </c>
    </row>
    <row r="117" spans="1:7" x14ac:dyDescent="0.2">
      <c r="A117" s="2">
        <v>2017</v>
      </c>
      <c r="B117" s="4" t="s">
        <v>115</v>
      </c>
      <c r="C117" s="2" t="s">
        <v>232</v>
      </c>
      <c r="D117" s="2" t="s">
        <v>234</v>
      </c>
      <c r="E117" s="5">
        <v>2095012</v>
      </c>
      <c r="F117" s="5">
        <v>72361</v>
      </c>
      <c r="G117" s="3">
        <f t="shared" si="1"/>
        <v>2167373</v>
      </c>
    </row>
    <row r="118" spans="1:7" x14ac:dyDescent="0.2">
      <c r="A118" s="2">
        <v>2017</v>
      </c>
      <c r="B118" s="4" t="s">
        <v>116</v>
      </c>
      <c r="C118" s="2" t="s">
        <v>232</v>
      </c>
      <c r="D118" s="2" t="s">
        <v>234</v>
      </c>
      <c r="E118" s="5">
        <v>1619581</v>
      </c>
      <c r="F118" s="5">
        <v>55940</v>
      </c>
      <c r="G118" s="3">
        <f t="shared" si="1"/>
        <v>1675521</v>
      </c>
    </row>
    <row r="119" spans="1:7" x14ac:dyDescent="0.2">
      <c r="A119" s="2">
        <v>2017</v>
      </c>
      <c r="B119" s="4" t="s">
        <v>117</v>
      </c>
      <c r="C119" s="2" t="s">
        <v>232</v>
      </c>
      <c r="D119" s="2" t="s">
        <v>234</v>
      </c>
      <c r="E119" s="5">
        <v>6764853</v>
      </c>
      <c r="F119" s="5">
        <v>233655</v>
      </c>
      <c r="G119" s="3">
        <f t="shared" si="1"/>
        <v>6998508</v>
      </c>
    </row>
    <row r="120" spans="1:7" x14ac:dyDescent="0.2">
      <c r="A120" s="2">
        <v>2017</v>
      </c>
      <c r="B120" s="4" t="s">
        <v>119</v>
      </c>
      <c r="C120" s="2" t="s">
        <v>232</v>
      </c>
      <c r="D120" s="2" t="s">
        <v>234</v>
      </c>
      <c r="E120" s="5">
        <v>12614</v>
      </c>
      <c r="F120" s="4">
        <v>436</v>
      </c>
      <c r="G120" s="3">
        <f t="shared" si="1"/>
        <v>13050</v>
      </c>
    </row>
    <row r="121" spans="1:7" x14ac:dyDescent="0.2">
      <c r="A121" s="2">
        <v>2017</v>
      </c>
      <c r="B121" s="4" t="s">
        <v>120</v>
      </c>
      <c r="C121" s="2" t="s">
        <v>232</v>
      </c>
      <c r="D121" s="2" t="s">
        <v>234</v>
      </c>
      <c r="E121" s="5">
        <v>4531914</v>
      </c>
      <c r="F121" s="5">
        <v>156530</v>
      </c>
      <c r="G121" s="3">
        <f t="shared" si="1"/>
        <v>4688444</v>
      </c>
    </row>
    <row r="122" spans="1:7" x14ac:dyDescent="0.2">
      <c r="A122" s="2">
        <v>2017</v>
      </c>
      <c r="B122" s="4" t="s">
        <v>121</v>
      </c>
      <c r="C122" s="2" t="s">
        <v>232</v>
      </c>
      <c r="D122" s="2" t="s">
        <v>234</v>
      </c>
      <c r="E122" s="5">
        <v>1182106</v>
      </c>
      <c r="F122" s="5">
        <v>40829</v>
      </c>
      <c r="G122" s="3">
        <f t="shared" si="1"/>
        <v>1222935</v>
      </c>
    </row>
    <row r="123" spans="1:7" x14ac:dyDescent="0.2">
      <c r="A123" s="2">
        <v>2017</v>
      </c>
      <c r="B123" s="4" t="s">
        <v>122</v>
      </c>
      <c r="C123" s="2" t="s">
        <v>232</v>
      </c>
      <c r="D123" s="2" t="s">
        <v>234</v>
      </c>
      <c r="E123" s="5">
        <v>1200725</v>
      </c>
      <c r="F123" s="5">
        <v>41472</v>
      </c>
      <c r="G123" s="3">
        <f t="shared" si="1"/>
        <v>1242197</v>
      </c>
    </row>
    <row r="124" spans="1:7" x14ac:dyDescent="0.2">
      <c r="A124" s="2">
        <v>2017</v>
      </c>
      <c r="B124" s="4" t="s">
        <v>290</v>
      </c>
      <c r="C124" s="2" t="s">
        <v>232</v>
      </c>
      <c r="D124" s="2" t="s">
        <v>234</v>
      </c>
      <c r="E124" s="5">
        <v>675813</v>
      </c>
      <c r="F124" s="5">
        <v>23342</v>
      </c>
      <c r="G124" s="3">
        <f t="shared" si="1"/>
        <v>699155</v>
      </c>
    </row>
    <row r="125" spans="1:7" x14ac:dyDescent="0.2">
      <c r="A125" s="2">
        <v>2017</v>
      </c>
      <c r="B125" s="4" t="s">
        <v>240</v>
      </c>
      <c r="C125" s="2" t="s">
        <v>232</v>
      </c>
      <c r="D125" s="2" t="s">
        <v>234</v>
      </c>
      <c r="E125" s="5">
        <v>2394963</v>
      </c>
      <c r="F125" s="5">
        <v>82721</v>
      </c>
      <c r="G125" s="3">
        <f t="shared" si="1"/>
        <v>2477684</v>
      </c>
    </row>
    <row r="126" spans="1:7" x14ac:dyDescent="0.2">
      <c r="A126" s="2">
        <v>2017</v>
      </c>
      <c r="B126" s="4" t="s">
        <v>124</v>
      </c>
      <c r="C126" s="2" t="s">
        <v>232</v>
      </c>
      <c r="D126" s="2" t="s">
        <v>234</v>
      </c>
      <c r="E126" s="5">
        <v>808747</v>
      </c>
      <c r="F126" s="5">
        <v>27934</v>
      </c>
      <c r="G126" s="3">
        <f t="shared" si="1"/>
        <v>836681</v>
      </c>
    </row>
    <row r="127" spans="1:7" x14ac:dyDescent="0.2">
      <c r="A127" s="2">
        <v>2017</v>
      </c>
      <c r="B127" s="4" t="s">
        <v>125</v>
      </c>
      <c r="C127" s="2" t="s">
        <v>232</v>
      </c>
      <c r="D127" s="2" t="s">
        <v>234</v>
      </c>
      <c r="E127" s="5">
        <v>1053336</v>
      </c>
      <c r="F127" s="5">
        <v>36382</v>
      </c>
      <c r="G127" s="3">
        <f t="shared" si="1"/>
        <v>1089718</v>
      </c>
    </row>
    <row r="128" spans="1:7" x14ac:dyDescent="0.2">
      <c r="A128" s="2">
        <v>2017</v>
      </c>
      <c r="B128" s="4" t="s">
        <v>126</v>
      </c>
      <c r="C128" s="2" t="s">
        <v>232</v>
      </c>
      <c r="D128" s="2" t="s">
        <v>234</v>
      </c>
      <c r="E128" s="5">
        <v>1240498</v>
      </c>
      <c r="F128" s="5">
        <v>42846</v>
      </c>
      <c r="G128" s="3">
        <f t="shared" si="1"/>
        <v>1283344</v>
      </c>
    </row>
    <row r="129" spans="1:7" x14ac:dyDescent="0.2">
      <c r="A129" s="2">
        <v>2017</v>
      </c>
      <c r="B129" s="4" t="s">
        <v>127</v>
      </c>
      <c r="C129" s="2" t="s">
        <v>232</v>
      </c>
      <c r="D129" s="2" t="s">
        <v>234</v>
      </c>
      <c r="E129" s="5">
        <v>2464017</v>
      </c>
      <c r="F129" s="5">
        <v>85106</v>
      </c>
      <c r="G129" s="3">
        <f t="shared" si="1"/>
        <v>2549123</v>
      </c>
    </row>
    <row r="130" spans="1:7" x14ac:dyDescent="0.2">
      <c r="A130" s="2">
        <v>2017</v>
      </c>
      <c r="B130" s="4" t="s">
        <v>128</v>
      </c>
      <c r="C130" s="2" t="s">
        <v>232</v>
      </c>
      <c r="D130" s="2" t="s">
        <v>234</v>
      </c>
      <c r="E130" s="5">
        <v>293554</v>
      </c>
      <c r="F130" s="5">
        <v>10139</v>
      </c>
      <c r="G130" s="3">
        <f t="shared" si="1"/>
        <v>303693</v>
      </c>
    </row>
    <row r="131" spans="1:7" x14ac:dyDescent="0.2">
      <c r="A131" s="2">
        <v>2017</v>
      </c>
      <c r="B131" s="4" t="s">
        <v>129</v>
      </c>
      <c r="C131" s="2" t="s">
        <v>232</v>
      </c>
      <c r="D131" s="2" t="s">
        <v>234</v>
      </c>
      <c r="E131" s="5">
        <v>5245896</v>
      </c>
      <c r="F131" s="5">
        <v>181191</v>
      </c>
      <c r="G131" s="3">
        <f t="shared" ref="G131:G194" si="2">SUM(E131:F131)</f>
        <v>5427087</v>
      </c>
    </row>
    <row r="132" spans="1:7" x14ac:dyDescent="0.2">
      <c r="A132" s="2">
        <v>2017</v>
      </c>
      <c r="B132" s="4" t="s">
        <v>130</v>
      </c>
      <c r="C132" s="2" t="s">
        <v>232</v>
      </c>
      <c r="D132" s="2" t="s">
        <v>234</v>
      </c>
      <c r="E132" s="5">
        <v>166871</v>
      </c>
      <c r="F132" s="5">
        <v>5764</v>
      </c>
      <c r="G132" s="3">
        <f t="shared" si="2"/>
        <v>172635</v>
      </c>
    </row>
    <row r="133" spans="1:7" x14ac:dyDescent="0.2">
      <c r="A133" s="2">
        <v>2017</v>
      </c>
      <c r="B133" s="4" t="s">
        <v>131</v>
      </c>
      <c r="C133" s="2" t="s">
        <v>232</v>
      </c>
      <c r="D133" s="2" t="s">
        <v>234</v>
      </c>
      <c r="E133" s="5">
        <v>38393</v>
      </c>
      <c r="F133" s="5">
        <v>1326</v>
      </c>
      <c r="G133" s="3">
        <f t="shared" si="2"/>
        <v>39719</v>
      </c>
    </row>
    <row r="134" spans="1:7" x14ac:dyDescent="0.2">
      <c r="A134" s="2">
        <v>2017</v>
      </c>
      <c r="B134" s="4" t="s">
        <v>132</v>
      </c>
      <c r="C134" s="2" t="s">
        <v>232</v>
      </c>
      <c r="D134" s="2" t="s">
        <v>234</v>
      </c>
      <c r="E134" s="5">
        <v>13770</v>
      </c>
      <c r="F134" s="4">
        <v>476</v>
      </c>
      <c r="G134" s="3">
        <f t="shared" si="2"/>
        <v>14246</v>
      </c>
    </row>
    <row r="135" spans="1:7" x14ac:dyDescent="0.2">
      <c r="A135" s="2">
        <v>2017</v>
      </c>
      <c r="B135" s="4" t="s">
        <v>133</v>
      </c>
      <c r="C135" s="2" t="s">
        <v>232</v>
      </c>
      <c r="D135" s="2" t="s">
        <v>234</v>
      </c>
      <c r="E135" s="5">
        <v>610575</v>
      </c>
      <c r="F135" s="5">
        <v>21089</v>
      </c>
      <c r="G135" s="3">
        <f t="shared" si="2"/>
        <v>631664</v>
      </c>
    </row>
    <row r="136" spans="1:7" x14ac:dyDescent="0.2">
      <c r="A136" s="2">
        <v>2017</v>
      </c>
      <c r="B136" s="4" t="s">
        <v>134</v>
      </c>
      <c r="C136" s="2" t="s">
        <v>232</v>
      </c>
      <c r="D136" s="2" t="s">
        <v>234</v>
      </c>
      <c r="E136" s="5">
        <v>800992</v>
      </c>
      <c r="F136" s="5">
        <v>27666</v>
      </c>
      <c r="G136" s="3">
        <f t="shared" si="2"/>
        <v>828658</v>
      </c>
    </row>
    <row r="137" spans="1:7" x14ac:dyDescent="0.2">
      <c r="A137" s="2">
        <v>2017</v>
      </c>
      <c r="B137" s="4" t="s">
        <v>135</v>
      </c>
      <c r="C137" s="2" t="s">
        <v>232</v>
      </c>
      <c r="D137" s="2" t="s">
        <v>234</v>
      </c>
      <c r="E137" s="5">
        <v>1160065</v>
      </c>
      <c r="F137" s="5">
        <v>40068</v>
      </c>
      <c r="G137" s="3">
        <f t="shared" si="2"/>
        <v>1200133</v>
      </c>
    </row>
    <row r="138" spans="1:7" x14ac:dyDescent="0.2">
      <c r="A138" s="2">
        <v>2017</v>
      </c>
      <c r="B138" s="4" t="s">
        <v>136</v>
      </c>
      <c r="C138" s="2" t="s">
        <v>232</v>
      </c>
      <c r="D138" s="2" t="s">
        <v>234</v>
      </c>
      <c r="E138" s="5">
        <v>483848</v>
      </c>
      <c r="F138" s="5">
        <v>16712</v>
      </c>
      <c r="G138" s="3">
        <f t="shared" si="2"/>
        <v>500560</v>
      </c>
    </row>
    <row r="139" spans="1:7" x14ac:dyDescent="0.2">
      <c r="A139" s="2">
        <v>2017</v>
      </c>
      <c r="B139" s="4" t="s">
        <v>137</v>
      </c>
      <c r="C139" s="2" t="s">
        <v>232</v>
      </c>
      <c r="D139" s="2" t="s">
        <v>234</v>
      </c>
      <c r="E139" s="5">
        <v>294003</v>
      </c>
      <c r="F139" s="5">
        <v>10155</v>
      </c>
      <c r="G139" s="3">
        <f t="shared" si="2"/>
        <v>304158</v>
      </c>
    </row>
    <row r="140" spans="1:7" x14ac:dyDescent="0.2">
      <c r="A140" s="2">
        <v>2017</v>
      </c>
      <c r="B140" s="4" t="s">
        <v>265</v>
      </c>
      <c r="C140" s="2" t="s">
        <v>232</v>
      </c>
      <c r="D140" s="2" t="s">
        <v>234</v>
      </c>
      <c r="E140" s="5">
        <v>2782811</v>
      </c>
      <c r="F140" s="5">
        <v>96117</v>
      </c>
      <c r="G140" s="3">
        <f t="shared" si="2"/>
        <v>2878928</v>
      </c>
    </row>
    <row r="141" spans="1:7" x14ac:dyDescent="0.2">
      <c r="A141" s="2">
        <v>2017</v>
      </c>
      <c r="B141" s="4" t="s">
        <v>266</v>
      </c>
      <c r="C141" s="2" t="s">
        <v>232</v>
      </c>
      <c r="D141" s="2" t="s">
        <v>234</v>
      </c>
      <c r="E141" s="5">
        <v>10235</v>
      </c>
      <c r="F141" s="4">
        <v>354</v>
      </c>
      <c r="G141" s="3">
        <f t="shared" si="2"/>
        <v>10589</v>
      </c>
    </row>
    <row r="142" spans="1:7" x14ac:dyDescent="0.2">
      <c r="A142" s="2">
        <v>2017</v>
      </c>
      <c r="B142" s="4" t="s">
        <v>283</v>
      </c>
      <c r="C142" s="2" t="s">
        <v>232</v>
      </c>
      <c r="D142" s="2" t="s">
        <v>234</v>
      </c>
      <c r="E142" s="5">
        <v>740995</v>
      </c>
      <c r="F142" s="5">
        <v>25594</v>
      </c>
      <c r="G142" s="3">
        <f t="shared" si="2"/>
        <v>766589</v>
      </c>
    </row>
    <row r="143" spans="1:7" x14ac:dyDescent="0.2">
      <c r="A143" s="2">
        <v>2017</v>
      </c>
      <c r="B143" s="4" t="s">
        <v>138</v>
      </c>
      <c r="C143" s="2" t="s">
        <v>232</v>
      </c>
      <c r="D143" s="2" t="s">
        <v>234</v>
      </c>
      <c r="E143" s="5">
        <v>81107</v>
      </c>
      <c r="F143" s="5">
        <v>2801</v>
      </c>
      <c r="G143" s="3">
        <f t="shared" si="2"/>
        <v>83908</v>
      </c>
    </row>
    <row r="144" spans="1:7" x14ac:dyDescent="0.2">
      <c r="A144" s="2">
        <v>2017</v>
      </c>
      <c r="B144" s="4" t="s">
        <v>139</v>
      </c>
      <c r="C144" s="2" t="s">
        <v>232</v>
      </c>
      <c r="D144" s="2" t="s">
        <v>234</v>
      </c>
      <c r="E144" s="5">
        <v>1803186</v>
      </c>
      <c r="F144" s="5">
        <v>62281</v>
      </c>
      <c r="G144" s="3">
        <f t="shared" si="2"/>
        <v>1865467</v>
      </c>
    </row>
    <row r="145" spans="1:7" x14ac:dyDescent="0.2">
      <c r="A145" s="2">
        <v>2017</v>
      </c>
      <c r="B145" s="4" t="s">
        <v>140</v>
      </c>
      <c r="C145" s="2" t="s">
        <v>232</v>
      </c>
      <c r="D145" s="2" t="s">
        <v>234</v>
      </c>
      <c r="E145" s="5">
        <v>19067</v>
      </c>
      <c r="F145" s="4">
        <v>659</v>
      </c>
      <c r="G145" s="3">
        <f t="shared" si="2"/>
        <v>19726</v>
      </c>
    </row>
    <row r="146" spans="1:7" x14ac:dyDescent="0.2">
      <c r="A146" s="2">
        <v>2017</v>
      </c>
      <c r="B146" s="4" t="s">
        <v>141</v>
      </c>
      <c r="C146" s="2" t="s">
        <v>232</v>
      </c>
      <c r="D146" s="2" t="s">
        <v>234</v>
      </c>
      <c r="E146" s="5">
        <v>11627</v>
      </c>
      <c r="F146" s="4">
        <v>402</v>
      </c>
      <c r="G146" s="3">
        <f t="shared" si="2"/>
        <v>12029</v>
      </c>
    </row>
    <row r="147" spans="1:7" x14ac:dyDescent="0.2">
      <c r="A147" s="2">
        <v>2017</v>
      </c>
      <c r="B147" s="4" t="s">
        <v>142</v>
      </c>
      <c r="C147" s="2" t="s">
        <v>232</v>
      </c>
      <c r="D147" s="2" t="s">
        <v>234</v>
      </c>
      <c r="E147" s="5">
        <v>544091</v>
      </c>
      <c r="F147" s="5">
        <v>18793</v>
      </c>
      <c r="G147" s="3">
        <f t="shared" si="2"/>
        <v>562884</v>
      </c>
    </row>
    <row r="148" spans="1:7" x14ac:dyDescent="0.2">
      <c r="A148" s="2">
        <v>2017</v>
      </c>
      <c r="B148" s="4" t="s">
        <v>291</v>
      </c>
      <c r="C148" s="2" t="s">
        <v>232</v>
      </c>
      <c r="D148" s="2" t="s">
        <v>234</v>
      </c>
      <c r="E148" s="5">
        <v>2637</v>
      </c>
      <c r="F148" s="4">
        <v>91</v>
      </c>
      <c r="G148" s="3">
        <f t="shared" si="2"/>
        <v>2728</v>
      </c>
    </row>
    <row r="149" spans="1:7" x14ac:dyDescent="0.2">
      <c r="A149" s="2">
        <v>2017</v>
      </c>
      <c r="B149" s="4" t="s">
        <v>143</v>
      </c>
      <c r="C149" s="2" t="s">
        <v>232</v>
      </c>
      <c r="D149" s="2" t="s">
        <v>234</v>
      </c>
      <c r="E149" s="5">
        <v>879922</v>
      </c>
      <c r="F149" s="5">
        <v>30392</v>
      </c>
      <c r="G149" s="3">
        <f t="shared" si="2"/>
        <v>910314</v>
      </c>
    </row>
    <row r="150" spans="1:7" x14ac:dyDescent="0.2">
      <c r="A150" s="2">
        <v>2017</v>
      </c>
      <c r="B150" s="4" t="s">
        <v>144</v>
      </c>
      <c r="C150" s="2" t="s">
        <v>232</v>
      </c>
      <c r="D150" s="2" t="s">
        <v>234</v>
      </c>
      <c r="E150" s="5">
        <v>585627</v>
      </c>
      <c r="F150" s="5">
        <v>20227</v>
      </c>
      <c r="G150" s="3">
        <f t="shared" si="2"/>
        <v>605854</v>
      </c>
    </row>
    <row r="151" spans="1:7" x14ac:dyDescent="0.2">
      <c r="A151" s="2">
        <v>2017</v>
      </c>
      <c r="B151" s="4" t="s">
        <v>284</v>
      </c>
      <c r="C151" s="2" t="s">
        <v>232</v>
      </c>
      <c r="D151" s="2" t="s">
        <v>234</v>
      </c>
      <c r="E151" s="5">
        <v>389498</v>
      </c>
      <c r="F151" s="5">
        <v>13453</v>
      </c>
      <c r="G151" s="3">
        <f t="shared" si="2"/>
        <v>402951</v>
      </c>
    </row>
    <row r="152" spans="1:7" x14ac:dyDescent="0.2">
      <c r="A152" s="2">
        <v>2017</v>
      </c>
      <c r="B152" s="4" t="s">
        <v>145</v>
      </c>
      <c r="C152" s="2" t="s">
        <v>232</v>
      </c>
      <c r="D152" s="2" t="s">
        <v>234</v>
      </c>
      <c r="E152" s="5">
        <v>865916</v>
      </c>
      <c r="F152" s="5">
        <v>29908</v>
      </c>
      <c r="G152" s="3">
        <f t="shared" si="2"/>
        <v>895824</v>
      </c>
    </row>
    <row r="153" spans="1:7" x14ac:dyDescent="0.2">
      <c r="A153" s="2">
        <v>2017</v>
      </c>
      <c r="B153" s="4" t="s">
        <v>146</v>
      </c>
      <c r="C153" s="2" t="s">
        <v>232</v>
      </c>
      <c r="D153" s="2" t="s">
        <v>234</v>
      </c>
      <c r="E153" s="5">
        <v>3587226</v>
      </c>
      <c r="F153" s="5">
        <v>123901</v>
      </c>
      <c r="G153" s="3">
        <f t="shared" si="2"/>
        <v>3711127</v>
      </c>
    </row>
    <row r="154" spans="1:7" x14ac:dyDescent="0.2">
      <c r="A154" s="2">
        <v>2017</v>
      </c>
      <c r="B154" s="4" t="s">
        <v>147</v>
      </c>
      <c r="C154" s="2" t="s">
        <v>232</v>
      </c>
      <c r="D154" s="2" t="s">
        <v>234</v>
      </c>
      <c r="E154" s="5">
        <v>9932</v>
      </c>
      <c r="F154" s="4">
        <v>343</v>
      </c>
      <c r="G154" s="3">
        <f t="shared" si="2"/>
        <v>10275</v>
      </c>
    </row>
    <row r="155" spans="1:7" x14ac:dyDescent="0.2">
      <c r="A155" s="2">
        <v>2017</v>
      </c>
      <c r="B155" s="4" t="s">
        <v>148</v>
      </c>
      <c r="C155" s="2" t="s">
        <v>232</v>
      </c>
      <c r="D155" s="2" t="s">
        <v>234</v>
      </c>
      <c r="E155" s="5">
        <v>108468</v>
      </c>
      <c r="F155" s="5">
        <v>3746</v>
      </c>
      <c r="G155" s="3">
        <f t="shared" si="2"/>
        <v>112214</v>
      </c>
    </row>
    <row r="156" spans="1:7" x14ac:dyDescent="0.2">
      <c r="A156" s="2">
        <v>2017</v>
      </c>
      <c r="B156" s="4" t="s">
        <v>292</v>
      </c>
      <c r="C156" s="2" t="s">
        <v>232</v>
      </c>
      <c r="D156" s="2" t="s">
        <v>234</v>
      </c>
      <c r="E156" s="5">
        <v>16554</v>
      </c>
      <c r="F156" s="4">
        <v>572</v>
      </c>
      <c r="G156" s="3">
        <f t="shared" si="2"/>
        <v>17126</v>
      </c>
    </row>
    <row r="157" spans="1:7" x14ac:dyDescent="0.2">
      <c r="A157" s="2">
        <v>2017</v>
      </c>
      <c r="B157" s="4" t="s">
        <v>285</v>
      </c>
      <c r="C157" s="2" t="s">
        <v>232</v>
      </c>
      <c r="D157" s="2" t="s">
        <v>234</v>
      </c>
      <c r="E157" s="5">
        <v>27933</v>
      </c>
      <c r="F157" s="4">
        <v>965</v>
      </c>
      <c r="G157" s="3">
        <f t="shared" si="2"/>
        <v>28898</v>
      </c>
    </row>
    <row r="158" spans="1:7" x14ac:dyDescent="0.2">
      <c r="A158" s="2">
        <v>2017</v>
      </c>
      <c r="B158" s="4" t="s">
        <v>149</v>
      </c>
      <c r="C158" s="2" t="s">
        <v>232</v>
      </c>
      <c r="D158" s="2" t="s">
        <v>234</v>
      </c>
      <c r="E158" s="5">
        <v>369701</v>
      </c>
      <c r="F158" s="5">
        <v>12769</v>
      </c>
      <c r="G158" s="3">
        <f t="shared" si="2"/>
        <v>382470</v>
      </c>
    </row>
    <row r="159" spans="1:7" x14ac:dyDescent="0.2">
      <c r="A159" s="2">
        <v>2017</v>
      </c>
      <c r="B159" s="4" t="s">
        <v>150</v>
      </c>
      <c r="C159" s="2" t="s">
        <v>232</v>
      </c>
      <c r="D159" s="2" t="s">
        <v>234</v>
      </c>
      <c r="E159" s="5">
        <v>595323</v>
      </c>
      <c r="F159" s="5">
        <v>20562</v>
      </c>
      <c r="G159" s="3">
        <f t="shared" si="2"/>
        <v>615885</v>
      </c>
    </row>
    <row r="160" spans="1:7" x14ac:dyDescent="0.2">
      <c r="A160" s="2">
        <v>2017</v>
      </c>
      <c r="B160" s="4" t="s">
        <v>286</v>
      </c>
      <c r="C160" s="2" t="s">
        <v>232</v>
      </c>
      <c r="D160" s="2" t="s">
        <v>234</v>
      </c>
      <c r="E160" s="5">
        <v>13883</v>
      </c>
      <c r="F160" s="4">
        <v>479</v>
      </c>
      <c r="G160" s="3">
        <f t="shared" si="2"/>
        <v>14362</v>
      </c>
    </row>
    <row r="161" spans="1:7" x14ac:dyDescent="0.2">
      <c r="A161" s="2">
        <v>2017</v>
      </c>
      <c r="B161" s="4" t="s">
        <v>242</v>
      </c>
      <c r="C161" s="2" t="s">
        <v>232</v>
      </c>
      <c r="D161" s="2" t="s">
        <v>234</v>
      </c>
      <c r="E161" s="5">
        <v>32872</v>
      </c>
      <c r="F161" s="5">
        <v>1135</v>
      </c>
      <c r="G161" s="3">
        <f t="shared" si="2"/>
        <v>34007</v>
      </c>
    </row>
    <row r="162" spans="1:7" x14ac:dyDescent="0.2">
      <c r="A162" s="2">
        <v>2017</v>
      </c>
      <c r="B162" s="4" t="s">
        <v>158</v>
      </c>
      <c r="C162" s="2" t="s">
        <v>232</v>
      </c>
      <c r="D162" s="2" t="s">
        <v>234</v>
      </c>
      <c r="E162" s="5">
        <v>135549</v>
      </c>
      <c r="F162" s="5">
        <v>4682</v>
      </c>
      <c r="G162" s="3">
        <f t="shared" si="2"/>
        <v>140231</v>
      </c>
    </row>
    <row r="163" spans="1:7" x14ac:dyDescent="0.2">
      <c r="A163" s="2">
        <v>2017</v>
      </c>
      <c r="B163" s="4" t="s">
        <v>159</v>
      </c>
      <c r="C163" s="2" t="s">
        <v>232</v>
      </c>
      <c r="D163" s="2" t="s">
        <v>234</v>
      </c>
      <c r="E163" s="5">
        <v>70591</v>
      </c>
      <c r="F163" s="5">
        <v>2438</v>
      </c>
      <c r="G163" s="3">
        <f t="shared" si="2"/>
        <v>73029</v>
      </c>
    </row>
    <row r="164" spans="1:7" x14ac:dyDescent="0.2">
      <c r="A164" s="2">
        <v>2017</v>
      </c>
      <c r="B164" s="4" t="s">
        <v>160</v>
      </c>
      <c r="C164" s="2" t="s">
        <v>232</v>
      </c>
      <c r="D164" s="2" t="s">
        <v>234</v>
      </c>
      <c r="E164" s="5">
        <v>21368</v>
      </c>
      <c r="F164" s="4">
        <v>738</v>
      </c>
      <c r="G164" s="3">
        <f t="shared" si="2"/>
        <v>22106</v>
      </c>
    </row>
    <row r="165" spans="1:7" x14ac:dyDescent="0.2">
      <c r="A165" s="2">
        <v>2017</v>
      </c>
      <c r="B165" s="4" t="s">
        <v>161</v>
      </c>
      <c r="C165" s="2" t="s">
        <v>232</v>
      </c>
      <c r="D165" s="2" t="s">
        <v>234</v>
      </c>
      <c r="E165" s="5">
        <v>145851</v>
      </c>
      <c r="F165" s="5">
        <v>5038</v>
      </c>
      <c r="G165" s="3">
        <f t="shared" si="2"/>
        <v>150889</v>
      </c>
    </row>
    <row r="166" spans="1:7" x14ac:dyDescent="0.2">
      <c r="A166" s="2">
        <v>2017</v>
      </c>
      <c r="B166" s="4" t="s">
        <v>162</v>
      </c>
      <c r="C166" s="2" t="s">
        <v>232</v>
      </c>
      <c r="D166" s="2" t="s">
        <v>234</v>
      </c>
      <c r="E166" s="5">
        <v>23355</v>
      </c>
      <c r="F166" s="4">
        <v>807</v>
      </c>
      <c r="G166" s="3">
        <f t="shared" si="2"/>
        <v>24162</v>
      </c>
    </row>
    <row r="167" spans="1:7" x14ac:dyDescent="0.2">
      <c r="A167" s="2">
        <v>2017</v>
      </c>
      <c r="B167" s="4" t="s">
        <v>163</v>
      </c>
      <c r="C167" s="2" t="s">
        <v>232</v>
      </c>
      <c r="D167" s="2" t="s">
        <v>234</v>
      </c>
      <c r="E167" s="5">
        <v>33152</v>
      </c>
      <c r="F167" s="5">
        <v>1145</v>
      </c>
      <c r="G167" s="3">
        <f t="shared" si="2"/>
        <v>34297</v>
      </c>
    </row>
    <row r="168" spans="1:7" x14ac:dyDescent="0.2">
      <c r="A168" s="2">
        <v>2017</v>
      </c>
      <c r="B168" s="4" t="s">
        <v>165</v>
      </c>
      <c r="C168" s="2" t="s">
        <v>232</v>
      </c>
      <c r="D168" s="2" t="s">
        <v>234</v>
      </c>
      <c r="E168" s="5">
        <v>31704</v>
      </c>
      <c r="F168" s="5">
        <v>1095</v>
      </c>
      <c r="G168" s="3">
        <f t="shared" si="2"/>
        <v>32799</v>
      </c>
    </row>
    <row r="169" spans="1:7" x14ac:dyDescent="0.2">
      <c r="A169" s="2">
        <v>2017</v>
      </c>
      <c r="B169" s="4" t="s">
        <v>167</v>
      </c>
      <c r="C169" s="2" t="s">
        <v>232</v>
      </c>
      <c r="D169" s="2" t="s">
        <v>234</v>
      </c>
      <c r="E169" s="5">
        <v>17721</v>
      </c>
      <c r="F169" s="4">
        <v>612</v>
      </c>
      <c r="G169" s="3">
        <f t="shared" si="2"/>
        <v>18333</v>
      </c>
    </row>
    <row r="170" spans="1:7" x14ac:dyDescent="0.2">
      <c r="A170" s="2">
        <v>2017</v>
      </c>
      <c r="B170" s="4" t="s">
        <v>244</v>
      </c>
      <c r="C170" s="2" t="s">
        <v>232</v>
      </c>
      <c r="D170" s="2" t="s">
        <v>234</v>
      </c>
      <c r="E170" s="5">
        <v>14062</v>
      </c>
      <c r="F170" s="4">
        <v>486</v>
      </c>
      <c r="G170" s="3">
        <f t="shared" si="2"/>
        <v>14548</v>
      </c>
    </row>
    <row r="171" spans="1:7" x14ac:dyDescent="0.2">
      <c r="A171" s="2">
        <v>2017</v>
      </c>
      <c r="B171" s="4" t="s">
        <v>169</v>
      </c>
      <c r="C171" s="2" t="s">
        <v>232</v>
      </c>
      <c r="D171" s="2" t="s">
        <v>234</v>
      </c>
      <c r="E171" s="5">
        <v>100904</v>
      </c>
      <c r="F171" s="5">
        <v>3485</v>
      </c>
      <c r="G171" s="3">
        <f t="shared" si="2"/>
        <v>104389</v>
      </c>
    </row>
    <row r="172" spans="1:7" x14ac:dyDescent="0.2">
      <c r="A172" s="2">
        <v>2017</v>
      </c>
      <c r="B172" s="4" t="s">
        <v>247</v>
      </c>
      <c r="C172" s="2" t="s">
        <v>232</v>
      </c>
      <c r="D172" s="2" t="s">
        <v>234</v>
      </c>
      <c r="E172" s="5">
        <v>32086</v>
      </c>
      <c r="F172" s="5">
        <v>1108</v>
      </c>
      <c r="G172" s="3">
        <f t="shared" si="2"/>
        <v>33194</v>
      </c>
    </row>
    <row r="173" spans="1:7" x14ac:dyDescent="0.2">
      <c r="A173" s="2">
        <v>2017</v>
      </c>
      <c r="B173" s="4" t="s">
        <v>172</v>
      </c>
      <c r="C173" s="2" t="s">
        <v>232</v>
      </c>
      <c r="D173" s="2" t="s">
        <v>234</v>
      </c>
      <c r="E173" s="5">
        <v>20852</v>
      </c>
      <c r="F173" s="4">
        <v>720</v>
      </c>
      <c r="G173" s="3">
        <f t="shared" si="2"/>
        <v>21572</v>
      </c>
    </row>
    <row r="174" spans="1:7" x14ac:dyDescent="0.2">
      <c r="A174" s="2">
        <v>2017</v>
      </c>
      <c r="B174" s="4" t="s">
        <v>278</v>
      </c>
      <c r="C174" s="2" t="s">
        <v>232</v>
      </c>
      <c r="D174" s="2" t="s">
        <v>234</v>
      </c>
      <c r="E174" s="5">
        <v>19180</v>
      </c>
      <c r="F174" s="4">
        <v>662</v>
      </c>
      <c r="G174" s="3">
        <f t="shared" si="2"/>
        <v>19842</v>
      </c>
    </row>
    <row r="175" spans="1:7" x14ac:dyDescent="0.2">
      <c r="A175" s="2">
        <v>2017</v>
      </c>
      <c r="B175" s="4" t="s">
        <v>174</v>
      </c>
      <c r="C175" s="2" t="s">
        <v>232</v>
      </c>
      <c r="D175" s="2" t="s">
        <v>234</v>
      </c>
      <c r="E175" s="5">
        <v>31502</v>
      </c>
      <c r="F175" s="5">
        <v>1088</v>
      </c>
      <c r="G175" s="3">
        <f t="shared" si="2"/>
        <v>32590</v>
      </c>
    </row>
    <row r="176" spans="1:7" x14ac:dyDescent="0.2">
      <c r="A176" s="2">
        <v>2017</v>
      </c>
      <c r="B176" s="4" t="s">
        <v>175</v>
      </c>
      <c r="C176" s="2" t="s">
        <v>232</v>
      </c>
      <c r="D176" s="2" t="s">
        <v>234</v>
      </c>
      <c r="E176" s="5">
        <v>31850</v>
      </c>
      <c r="F176" s="5">
        <v>1100</v>
      </c>
      <c r="G176" s="3">
        <f t="shared" si="2"/>
        <v>32950</v>
      </c>
    </row>
    <row r="177" spans="1:7" x14ac:dyDescent="0.2">
      <c r="A177" s="2">
        <v>2017</v>
      </c>
      <c r="B177" s="4" t="s">
        <v>177</v>
      </c>
      <c r="C177" s="2" t="s">
        <v>232</v>
      </c>
      <c r="D177" s="2" t="s">
        <v>234</v>
      </c>
      <c r="E177" s="5">
        <v>150924</v>
      </c>
      <c r="F177" s="5">
        <v>5213</v>
      </c>
      <c r="G177" s="3">
        <f t="shared" si="2"/>
        <v>156137</v>
      </c>
    </row>
    <row r="178" spans="1:7" x14ac:dyDescent="0.2">
      <c r="A178" s="2">
        <v>2017</v>
      </c>
      <c r="B178" s="4" t="s">
        <v>178</v>
      </c>
      <c r="C178" s="2" t="s">
        <v>232</v>
      </c>
      <c r="D178" s="2" t="s">
        <v>234</v>
      </c>
      <c r="E178" s="5">
        <v>18686</v>
      </c>
      <c r="F178" s="4">
        <v>645</v>
      </c>
      <c r="G178" s="3">
        <f t="shared" si="2"/>
        <v>19331</v>
      </c>
    </row>
    <row r="179" spans="1:7" x14ac:dyDescent="0.2">
      <c r="A179" s="2">
        <v>2017</v>
      </c>
      <c r="B179" s="4" t="s">
        <v>179</v>
      </c>
      <c r="C179" s="2" t="s">
        <v>232</v>
      </c>
      <c r="D179" s="2" t="s">
        <v>234</v>
      </c>
      <c r="E179" s="5">
        <v>24701</v>
      </c>
      <c r="F179" s="4">
        <v>853</v>
      </c>
      <c r="G179" s="3">
        <f t="shared" si="2"/>
        <v>25554</v>
      </c>
    </row>
    <row r="180" spans="1:7" x14ac:dyDescent="0.2">
      <c r="A180" s="2">
        <v>2017</v>
      </c>
      <c r="B180" s="4" t="s">
        <v>293</v>
      </c>
      <c r="C180" s="2" t="s">
        <v>232</v>
      </c>
      <c r="D180" s="2" t="s">
        <v>234</v>
      </c>
      <c r="E180" s="5">
        <v>10347</v>
      </c>
      <c r="F180" s="4">
        <v>357</v>
      </c>
      <c r="G180" s="3">
        <f t="shared" si="2"/>
        <v>10704</v>
      </c>
    </row>
    <row r="181" spans="1:7" x14ac:dyDescent="0.2">
      <c r="A181" s="2">
        <v>2017</v>
      </c>
      <c r="B181" s="4" t="s">
        <v>181</v>
      </c>
      <c r="C181" s="2" t="s">
        <v>232</v>
      </c>
      <c r="D181" s="2" t="s">
        <v>234</v>
      </c>
      <c r="E181" s="5">
        <v>63094</v>
      </c>
      <c r="F181" s="5">
        <v>2179</v>
      </c>
      <c r="G181" s="3">
        <f t="shared" si="2"/>
        <v>65273</v>
      </c>
    </row>
    <row r="182" spans="1:7" x14ac:dyDescent="0.2">
      <c r="A182" s="2">
        <v>2017</v>
      </c>
      <c r="B182" s="4" t="s">
        <v>182</v>
      </c>
      <c r="C182" s="2" t="s">
        <v>232</v>
      </c>
      <c r="D182" s="2" t="s">
        <v>234</v>
      </c>
      <c r="E182" s="5">
        <v>204311</v>
      </c>
      <c r="F182" s="5">
        <v>7057</v>
      </c>
      <c r="G182" s="3">
        <f t="shared" si="2"/>
        <v>211368</v>
      </c>
    </row>
    <row r="183" spans="1:7" x14ac:dyDescent="0.2">
      <c r="A183" s="2">
        <v>2017</v>
      </c>
      <c r="B183" s="4" t="s">
        <v>183</v>
      </c>
      <c r="C183" s="2" t="s">
        <v>232</v>
      </c>
      <c r="D183" s="2" t="s">
        <v>234</v>
      </c>
      <c r="E183" s="5">
        <v>27339</v>
      </c>
      <c r="F183" s="4">
        <v>944</v>
      </c>
      <c r="G183" s="3">
        <f t="shared" si="2"/>
        <v>28283</v>
      </c>
    </row>
    <row r="184" spans="1:7" x14ac:dyDescent="0.2">
      <c r="A184" s="2">
        <v>2017</v>
      </c>
      <c r="B184" s="4" t="s">
        <v>186</v>
      </c>
      <c r="C184" s="2" t="s">
        <v>232</v>
      </c>
      <c r="D184" s="2" t="s">
        <v>234</v>
      </c>
      <c r="E184" s="5">
        <v>224276</v>
      </c>
      <c r="F184" s="5">
        <v>7746</v>
      </c>
      <c r="G184" s="3">
        <f t="shared" si="2"/>
        <v>232022</v>
      </c>
    </row>
    <row r="185" spans="1:7" x14ac:dyDescent="0.2">
      <c r="A185" s="2">
        <v>2017</v>
      </c>
      <c r="B185" s="4" t="s">
        <v>187</v>
      </c>
      <c r="C185" s="2" t="s">
        <v>232</v>
      </c>
      <c r="D185" s="2" t="s">
        <v>234</v>
      </c>
      <c r="E185" s="5">
        <v>205040</v>
      </c>
      <c r="F185" s="5">
        <v>7082</v>
      </c>
      <c r="G185" s="3">
        <f t="shared" si="2"/>
        <v>212122</v>
      </c>
    </row>
    <row r="186" spans="1:7" x14ac:dyDescent="0.2">
      <c r="A186" s="2">
        <v>2017</v>
      </c>
      <c r="B186" s="4" t="s">
        <v>188</v>
      </c>
      <c r="C186" s="2" t="s">
        <v>232</v>
      </c>
      <c r="D186" s="2" t="s">
        <v>234</v>
      </c>
      <c r="E186" s="5">
        <v>110062</v>
      </c>
      <c r="F186" s="5">
        <v>3801</v>
      </c>
      <c r="G186" s="3">
        <f t="shared" si="2"/>
        <v>113863</v>
      </c>
    </row>
    <row r="187" spans="1:7" x14ac:dyDescent="0.2">
      <c r="A187" s="2">
        <v>2017</v>
      </c>
      <c r="B187" s="4" t="s">
        <v>189</v>
      </c>
      <c r="C187" s="2" t="s">
        <v>232</v>
      </c>
      <c r="D187" s="2" t="s">
        <v>234</v>
      </c>
      <c r="E187" s="5">
        <v>74486</v>
      </c>
      <c r="F187" s="5">
        <v>2573</v>
      </c>
      <c r="G187" s="3">
        <f t="shared" si="2"/>
        <v>77059</v>
      </c>
    </row>
    <row r="188" spans="1:7" x14ac:dyDescent="0.2">
      <c r="A188" s="2">
        <v>2017</v>
      </c>
      <c r="B188" s="4" t="s">
        <v>249</v>
      </c>
      <c r="C188" s="2" t="s">
        <v>232</v>
      </c>
      <c r="D188" s="2" t="s">
        <v>234</v>
      </c>
      <c r="E188" s="5">
        <v>19011</v>
      </c>
      <c r="F188" s="4">
        <v>657</v>
      </c>
      <c r="G188" s="3">
        <f t="shared" si="2"/>
        <v>19668</v>
      </c>
    </row>
    <row r="189" spans="1:7" x14ac:dyDescent="0.2">
      <c r="A189" s="2">
        <v>2017</v>
      </c>
      <c r="B189" s="4" t="s">
        <v>190</v>
      </c>
      <c r="C189" s="2" t="s">
        <v>232</v>
      </c>
      <c r="D189" s="2" t="s">
        <v>234</v>
      </c>
      <c r="E189" s="5">
        <v>68829</v>
      </c>
      <c r="F189" s="5">
        <v>2377</v>
      </c>
      <c r="G189" s="3">
        <f t="shared" si="2"/>
        <v>71206</v>
      </c>
    </row>
    <row r="190" spans="1:7" x14ac:dyDescent="0.2">
      <c r="A190" s="2">
        <v>2017</v>
      </c>
      <c r="B190" s="4" t="s">
        <v>191</v>
      </c>
      <c r="C190" s="2" t="s">
        <v>232</v>
      </c>
      <c r="D190" s="2" t="s">
        <v>234</v>
      </c>
      <c r="E190" s="5">
        <v>147636</v>
      </c>
      <c r="F190" s="5">
        <v>5099</v>
      </c>
      <c r="G190" s="3">
        <f t="shared" si="2"/>
        <v>152735</v>
      </c>
    </row>
    <row r="191" spans="1:7" x14ac:dyDescent="0.2">
      <c r="A191" s="2">
        <v>2017</v>
      </c>
      <c r="B191" s="4" t="s">
        <v>192</v>
      </c>
      <c r="C191" s="2" t="s">
        <v>232</v>
      </c>
      <c r="D191" s="2" t="s">
        <v>234</v>
      </c>
      <c r="E191" s="5">
        <v>824100</v>
      </c>
      <c r="F191" s="5">
        <v>28464</v>
      </c>
      <c r="G191" s="3">
        <f t="shared" si="2"/>
        <v>852564</v>
      </c>
    </row>
    <row r="192" spans="1:7" x14ac:dyDescent="0.2">
      <c r="A192" s="2">
        <v>2017</v>
      </c>
      <c r="B192" s="4" t="s">
        <v>193</v>
      </c>
      <c r="C192" s="2" t="s">
        <v>232</v>
      </c>
      <c r="D192" s="2" t="s">
        <v>234</v>
      </c>
      <c r="E192" s="5">
        <v>64935</v>
      </c>
      <c r="F192" s="5">
        <v>2243</v>
      </c>
      <c r="G192" s="3">
        <f t="shared" si="2"/>
        <v>67178</v>
      </c>
    </row>
    <row r="193" spans="1:7" x14ac:dyDescent="0.2">
      <c r="A193" s="2">
        <v>2017</v>
      </c>
      <c r="B193" s="4" t="s">
        <v>194</v>
      </c>
      <c r="C193" s="2" t="s">
        <v>232</v>
      </c>
      <c r="D193" s="2" t="s">
        <v>234</v>
      </c>
      <c r="E193" s="5">
        <v>80927</v>
      </c>
      <c r="F193" s="5">
        <v>2795</v>
      </c>
      <c r="G193" s="3">
        <f t="shared" si="2"/>
        <v>83722</v>
      </c>
    </row>
    <row r="194" spans="1:7" x14ac:dyDescent="0.2">
      <c r="A194" s="2">
        <v>2017</v>
      </c>
      <c r="B194" s="4" t="s">
        <v>196</v>
      </c>
      <c r="C194" s="2" t="s">
        <v>232</v>
      </c>
      <c r="D194" s="2" t="s">
        <v>234</v>
      </c>
      <c r="E194" s="5">
        <v>128950</v>
      </c>
      <c r="F194" s="5">
        <v>4454</v>
      </c>
      <c r="G194" s="3">
        <f t="shared" si="2"/>
        <v>133404</v>
      </c>
    </row>
    <row r="195" spans="1:7" x14ac:dyDescent="0.2">
      <c r="A195" s="2">
        <v>2017</v>
      </c>
      <c r="B195" s="4" t="s">
        <v>197</v>
      </c>
      <c r="C195" s="2" t="s">
        <v>232</v>
      </c>
      <c r="D195" s="2" t="s">
        <v>234</v>
      </c>
      <c r="E195" s="5">
        <v>61950</v>
      </c>
      <c r="F195" s="5">
        <v>2140</v>
      </c>
      <c r="G195" s="3">
        <f t="shared" ref="G195:G227" si="3">SUM(E195:F195)</f>
        <v>64090</v>
      </c>
    </row>
    <row r="196" spans="1:7" x14ac:dyDescent="0.2">
      <c r="A196" s="2">
        <v>2017</v>
      </c>
      <c r="B196" s="4" t="s">
        <v>198</v>
      </c>
      <c r="C196" s="2" t="s">
        <v>232</v>
      </c>
      <c r="D196" s="2" t="s">
        <v>234</v>
      </c>
      <c r="E196" s="5">
        <v>77931</v>
      </c>
      <c r="F196" s="5">
        <v>2692</v>
      </c>
      <c r="G196" s="3">
        <f t="shared" si="3"/>
        <v>80623</v>
      </c>
    </row>
    <row r="197" spans="1:7" x14ac:dyDescent="0.2">
      <c r="A197" s="2">
        <v>2017</v>
      </c>
      <c r="B197" s="4" t="s">
        <v>251</v>
      </c>
      <c r="C197" s="2" t="s">
        <v>232</v>
      </c>
      <c r="D197" s="2" t="s">
        <v>234</v>
      </c>
      <c r="E197" s="5">
        <v>5005</v>
      </c>
      <c r="F197" s="4">
        <v>173</v>
      </c>
      <c r="G197" s="3">
        <f t="shared" si="3"/>
        <v>5178</v>
      </c>
    </row>
    <row r="198" spans="1:7" x14ac:dyDescent="0.2">
      <c r="A198" s="2">
        <v>2017</v>
      </c>
      <c r="B198" s="4" t="s">
        <v>200</v>
      </c>
      <c r="C198" s="2" t="s">
        <v>232</v>
      </c>
      <c r="D198" s="2" t="s">
        <v>234</v>
      </c>
      <c r="E198" s="5">
        <v>81006</v>
      </c>
      <c r="F198" s="5">
        <v>2798</v>
      </c>
      <c r="G198" s="3">
        <f t="shared" si="3"/>
        <v>83804</v>
      </c>
    </row>
    <row r="199" spans="1:7" x14ac:dyDescent="0.2">
      <c r="A199" s="2">
        <v>2017</v>
      </c>
      <c r="B199" s="4" t="s">
        <v>201</v>
      </c>
      <c r="C199" s="2" t="s">
        <v>232</v>
      </c>
      <c r="D199" s="2" t="s">
        <v>234</v>
      </c>
      <c r="E199" s="5">
        <v>15285</v>
      </c>
      <c r="F199" s="4">
        <v>528</v>
      </c>
      <c r="G199" s="3">
        <f t="shared" si="3"/>
        <v>15813</v>
      </c>
    </row>
    <row r="200" spans="1:7" x14ac:dyDescent="0.2">
      <c r="A200" s="2">
        <v>2017</v>
      </c>
      <c r="B200" s="4" t="s">
        <v>202</v>
      </c>
      <c r="C200" s="2" t="s">
        <v>232</v>
      </c>
      <c r="D200" s="2" t="s">
        <v>234</v>
      </c>
      <c r="E200" s="5">
        <v>57135</v>
      </c>
      <c r="F200" s="5">
        <v>1973</v>
      </c>
      <c r="G200" s="3">
        <f t="shared" si="3"/>
        <v>59108</v>
      </c>
    </row>
    <row r="201" spans="1:7" x14ac:dyDescent="0.2">
      <c r="A201" s="2">
        <v>2017</v>
      </c>
      <c r="B201" s="4" t="s">
        <v>294</v>
      </c>
      <c r="C201" s="2" t="s">
        <v>232</v>
      </c>
      <c r="D201" s="2" t="s">
        <v>234</v>
      </c>
      <c r="E201" s="5">
        <v>24466</v>
      </c>
      <c r="F201" s="4">
        <v>845</v>
      </c>
      <c r="G201" s="3">
        <f t="shared" si="3"/>
        <v>25311</v>
      </c>
    </row>
    <row r="202" spans="1:7" x14ac:dyDescent="0.2">
      <c r="A202" s="2">
        <v>2017</v>
      </c>
      <c r="B202" s="4" t="s">
        <v>206</v>
      </c>
      <c r="C202" s="2" t="s">
        <v>232</v>
      </c>
      <c r="D202" s="2" t="s">
        <v>234</v>
      </c>
      <c r="E202" s="5">
        <v>25767</v>
      </c>
      <c r="F202" s="4">
        <v>890</v>
      </c>
      <c r="G202" s="3">
        <f t="shared" si="3"/>
        <v>26657</v>
      </c>
    </row>
    <row r="203" spans="1:7" x14ac:dyDescent="0.2">
      <c r="A203" s="2">
        <v>2017</v>
      </c>
      <c r="B203" s="4" t="s">
        <v>207</v>
      </c>
      <c r="C203" s="2" t="s">
        <v>232</v>
      </c>
      <c r="D203" s="2" t="s">
        <v>234</v>
      </c>
      <c r="E203" s="5">
        <v>18203</v>
      </c>
      <c r="F203" s="4">
        <v>629</v>
      </c>
      <c r="G203" s="3">
        <f t="shared" si="3"/>
        <v>18832</v>
      </c>
    </row>
    <row r="204" spans="1:7" x14ac:dyDescent="0.2">
      <c r="A204" s="2">
        <v>2017</v>
      </c>
      <c r="B204" s="4" t="s">
        <v>208</v>
      </c>
      <c r="C204" s="2" t="s">
        <v>232</v>
      </c>
      <c r="D204" s="2" t="s">
        <v>234</v>
      </c>
      <c r="E204" s="5">
        <v>9775</v>
      </c>
      <c r="F204" s="4">
        <v>338</v>
      </c>
      <c r="G204" s="3">
        <f t="shared" si="3"/>
        <v>10113</v>
      </c>
    </row>
    <row r="205" spans="1:7" x14ac:dyDescent="0.2">
      <c r="A205" s="2">
        <v>2017</v>
      </c>
      <c r="B205" s="4" t="s">
        <v>209</v>
      </c>
      <c r="C205" s="2" t="s">
        <v>232</v>
      </c>
      <c r="D205" s="2" t="s">
        <v>234</v>
      </c>
      <c r="E205" s="5">
        <v>38270</v>
      </c>
      <c r="F205" s="5">
        <v>1322</v>
      </c>
      <c r="G205" s="3">
        <f t="shared" si="3"/>
        <v>39592</v>
      </c>
    </row>
    <row r="206" spans="1:7" x14ac:dyDescent="0.2">
      <c r="A206" s="2">
        <v>2017</v>
      </c>
      <c r="B206" s="4" t="s">
        <v>253</v>
      </c>
      <c r="C206" s="2" t="s">
        <v>232</v>
      </c>
      <c r="D206" s="2" t="s">
        <v>234</v>
      </c>
      <c r="E206" s="5">
        <v>6094</v>
      </c>
      <c r="F206" s="4">
        <v>210</v>
      </c>
      <c r="G206" s="3">
        <f t="shared" si="3"/>
        <v>6304</v>
      </c>
    </row>
    <row r="207" spans="1:7" x14ac:dyDescent="0.2">
      <c r="A207" s="2">
        <v>2017</v>
      </c>
      <c r="B207" s="4" t="s">
        <v>270</v>
      </c>
      <c r="C207" s="2" t="s">
        <v>232</v>
      </c>
      <c r="D207" s="2" t="s">
        <v>234</v>
      </c>
      <c r="E207" s="5">
        <v>45553</v>
      </c>
      <c r="F207" s="5">
        <v>1573</v>
      </c>
      <c r="G207" s="3">
        <f t="shared" si="3"/>
        <v>47126</v>
      </c>
    </row>
    <row r="208" spans="1:7" x14ac:dyDescent="0.2">
      <c r="A208" s="2">
        <v>2017</v>
      </c>
      <c r="B208" s="4" t="s">
        <v>254</v>
      </c>
      <c r="C208" s="2" t="s">
        <v>232</v>
      </c>
      <c r="D208" s="2" t="s">
        <v>234</v>
      </c>
      <c r="E208" s="5">
        <v>28820</v>
      </c>
      <c r="F208" s="4">
        <v>995</v>
      </c>
      <c r="G208" s="3">
        <f t="shared" si="3"/>
        <v>29815</v>
      </c>
    </row>
    <row r="209" spans="1:7" x14ac:dyDescent="0.2">
      <c r="A209" s="2">
        <v>2017</v>
      </c>
      <c r="B209" s="4" t="s">
        <v>212</v>
      </c>
      <c r="C209" s="2" t="s">
        <v>232</v>
      </c>
      <c r="D209" s="2" t="s">
        <v>234</v>
      </c>
      <c r="E209" s="5">
        <v>22468</v>
      </c>
      <c r="F209" s="4">
        <v>776</v>
      </c>
      <c r="G209" s="3">
        <f t="shared" si="3"/>
        <v>23244</v>
      </c>
    </row>
    <row r="210" spans="1:7" x14ac:dyDescent="0.2">
      <c r="A210" s="2">
        <v>2017</v>
      </c>
      <c r="B210" s="4" t="s">
        <v>213</v>
      </c>
      <c r="C210" s="2" t="s">
        <v>232</v>
      </c>
      <c r="D210" s="2" t="s">
        <v>234</v>
      </c>
      <c r="E210" s="5">
        <v>21537</v>
      </c>
      <c r="F210" s="4">
        <v>744</v>
      </c>
      <c r="G210" s="3">
        <f t="shared" si="3"/>
        <v>22281</v>
      </c>
    </row>
    <row r="211" spans="1:7" x14ac:dyDescent="0.2">
      <c r="A211" s="2">
        <v>2017</v>
      </c>
      <c r="B211" s="4" t="s">
        <v>255</v>
      </c>
      <c r="C211" s="2" t="s">
        <v>232</v>
      </c>
      <c r="D211" s="2" t="s">
        <v>234</v>
      </c>
      <c r="E211" s="5">
        <v>288650</v>
      </c>
      <c r="F211" s="5">
        <v>9970</v>
      </c>
      <c r="G211" s="3">
        <f t="shared" si="3"/>
        <v>298620</v>
      </c>
    </row>
    <row r="212" spans="1:7" x14ac:dyDescent="0.2">
      <c r="A212" s="2">
        <v>2017</v>
      </c>
      <c r="B212" s="4" t="s">
        <v>271</v>
      </c>
      <c r="C212" s="2" t="s">
        <v>232</v>
      </c>
      <c r="D212" s="2" t="s">
        <v>234</v>
      </c>
      <c r="E212" s="5">
        <v>1721765</v>
      </c>
      <c r="F212" s="5">
        <v>59469</v>
      </c>
      <c r="G212" s="3">
        <f t="shared" si="3"/>
        <v>1781234</v>
      </c>
    </row>
    <row r="213" spans="1:7" x14ac:dyDescent="0.2">
      <c r="A213" s="2">
        <v>2017</v>
      </c>
      <c r="B213" s="4" t="s">
        <v>279</v>
      </c>
      <c r="C213" s="2" t="s">
        <v>232</v>
      </c>
      <c r="D213" s="2" t="s">
        <v>234</v>
      </c>
      <c r="E213" s="5">
        <v>529838</v>
      </c>
      <c r="F213" s="5">
        <v>18300</v>
      </c>
      <c r="G213" s="3">
        <f t="shared" si="3"/>
        <v>548138</v>
      </c>
    </row>
    <row r="214" spans="1:7" x14ac:dyDescent="0.2">
      <c r="A214" s="2">
        <v>2017</v>
      </c>
      <c r="B214" s="4" t="s">
        <v>215</v>
      </c>
      <c r="C214" s="2" t="s">
        <v>232</v>
      </c>
      <c r="D214" s="2" t="s">
        <v>234</v>
      </c>
      <c r="E214" s="5">
        <v>981230</v>
      </c>
      <c r="F214" s="5">
        <v>33891</v>
      </c>
      <c r="G214" s="3">
        <f t="shared" si="3"/>
        <v>1015121</v>
      </c>
    </row>
    <row r="215" spans="1:7" x14ac:dyDescent="0.2">
      <c r="A215" s="2">
        <v>2017</v>
      </c>
      <c r="B215" s="4" t="s">
        <v>218</v>
      </c>
      <c r="C215" s="2" t="s">
        <v>232</v>
      </c>
      <c r="D215" s="2" t="s">
        <v>234</v>
      </c>
      <c r="E215" s="5">
        <v>163550</v>
      </c>
      <c r="F215" s="5">
        <v>5649</v>
      </c>
      <c r="G215" s="3">
        <f t="shared" si="3"/>
        <v>169199</v>
      </c>
    </row>
    <row r="216" spans="1:7" x14ac:dyDescent="0.2">
      <c r="A216" s="2">
        <v>2017</v>
      </c>
      <c r="B216" s="4" t="s">
        <v>219</v>
      </c>
      <c r="C216" s="2" t="s">
        <v>232</v>
      </c>
      <c r="D216" s="2" t="s">
        <v>234</v>
      </c>
      <c r="E216" s="5">
        <v>1528452</v>
      </c>
      <c r="F216" s="5">
        <v>52792</v>
      </c>
      <c r="G216" s="3">
        <f t="shared" si="3"/>
        <v>1581244</v>
      </c>
    </row>
    <row r="217" spans="1:7" x14ac:dyDescent="0.2">
      <c r="A217" s="2">
        <v>2017</v>
      </c>
      <c r="B217" s="4" t="s">
        <v>220</v>
      </c>
      <c r="C217" s="2" t="s">
        <v>232</v>
      </c>
      <c r="D217" s="2" t="s">
        <v>234</v>
      </c>
      <c r="E217" s="5">
        <v>910560</v>
      </c>
      <c r="F217" s="5">
        <v>31450</v>
      </c>
      <c r="G217" s="3">
        <f t="shared" si="3"/>
        <v>942010</v>
      </c>
    </row>
    <row r="218" spans="1:7" x14ac:dyDescent="0.2">
      <c r="A218" s="2">
        <v>2017</v>
      </c>
      <c r="B218" s="4" t="s">
        <v>221</v>
      </c>
      <c r="C218" s="2" t="s">
        <v>232</v>
      </c>
      <c r="D218" s="2" t="s">
        <v>234</v>
      </c>
      <c r="E218" s="5">
        <v>1889747</v>
      </c>
      <c r="F218" s="5">
        <v>65271</v>
      </c>
      <c r="G218" s="3">
        <f t="shared" si="3"/>
        <v>1955018</v>
      </c>
    </row>
    <row r="219" spans="1:7" x14ac:dyDescent="0.2">
      <c r="A219" s="2">
        <v>2017</v>
      </c>
      <c r="B219" s="4" t="s">
        <v>222</v>
      </c>
      <c r="C219" s="2" t="s">
        <v>232</v>
      </c>
      <c r="D219" s="2" t="s">
        <v>234</v>
      </c>
      <c r="E219" s="5">
        <v>392427</v>
      </c>
      <c r="F219" s="5">
        <v>13554</v>
      </c>
      <c r="G219" s="3">
        <f t="shared" si="3"/>
        <v>405981</v>
      </c>
    </row>
    <row r="220" spans="1:7" x14ac:dyDescent="0.2">
      <c r="A220" s="2">
        <v>2017</v>
      </c>
      <c r="B220" s="4" t="s">
        <v>272</v>
      </c>
      <c r="C220" s="2" t="s">
        <v>232</v>
      </c>
      <c r="D220" s="2" t="s">
        <v>234</v>
      </c>
      <c r="E220" s="5">
        <v>1047208</v>
      </c>
      <c r="F220" s="5">
        <v>36170</v>
      </c>
      <c r="G220" s="3">
        <f t="shared" si="3"/>
        <v>1083378</v>
      </c>
    </row>
    <row r="221" spans="1:7" x14ac:dyDescent="0.2">
      <c r="A221" s="2">
        <v>2017</v>
      </c>
      <c r="B221" s="4" t="s">
        <v>223</v>
      </c>
      <c r="C221" s="2" t="s">
        <v>232</v>
      </c>
      <c r="D221" s="2" t="s">
        <v>234</v>
      </c>
      <c r="E221" s="5">
        <v>15600</v>
      </c>
      <c r="F221" s="4">
        <v>539</v>
      </c>
      <c r="G221" s="3">
        <f t="shared" si="3"/>
        <v>16139</v>
      </c>
    </row>
    <row r="222" spans="1:7" x14ac:dyDescent="0.2">
      <c r="A222" s="2">
        <v>2017</v>
      </c>
      <c r="B222" s="4" t="s">
        <v>257</v>
      </c>
      <c r="C222" s="2" t="s">
        <v>232</v>
      </c>
      <c r="D222" s="2" t="s">
        <v>234</v>
      </c>
      <c r="E222" s="5">
        <v>28180</v>
      </c>
      <c r="F222" s="4">
        <v>973</v>
      </c>
      <c r="G222" s="3">
        <f t="shared" si="3"/>
        <v>29153</v>
      </c>
    </row>
    <row r="223" spans="1:7" x14ac:dyDescent="0.2">
      <c r="A223" s="2">
        <v>2017</v>
      </c>
      <c r="B223" s="4" t="s">
        <v>226</v>
      </c>
      <c r="C223" s="2" t="s">
        <v>232</v>
      </c>
      <c r="D223" s="2" t="s">
        <v>234</v>
      </c>
      <c r="E223" s="5">
        <v>35576</v>
      </c>
      <c r="F223" s="5">
        <v>1229</v>
      </c>
      <c r="G223" s="3">
        <f t="shared" si="3"/>
        <v>36805</v>
      </c>
    </row>
    <row r="224" spans="1:7" x14ac:dyDescent="0.2">
      <c r="A224" s="2">
        <v>2017</v>
      </c>
      <c r="B224" s="4" t="s">
        <v>259</v>
      </c>
      <c r="C224" s="2" t="s">
        <v>232</v>
      </c>
      <c r="D224" s="2" t="s">
        <v>234</v>
      </c>
      <c r="E224" s="5">
        <v>146064</v>
      </c>
      <c r="F224" s="5">
        <v>5045</v>
      </c>
      <c r="G224" s="3">
        <f t="shared" si="3"/>
        <v>151109</v>
      </c>
    </row>
    <row r="225" spans="1:7" x14ac:dyDescent="0.2">
      <c r="A225" s="2">
        <v>2017</v>
      </c>
      <c r="B225" s="4" t="s">
        <v>228</v>
      </c>
      <c r="C225" s="2" t="s">
        <v>232</v>
      </c>
      <c r="D225" s="2" t="s">
        <v>234</v>
      </c>
      <c r="E225" s="5">
        <v>16251</v>
      </c>
      <c r="F225" s="4">
        <v>561</v>
      </c>
      <c r="G225" s="3">
        <f t="shared" si="3"/>
        <v>16812</v>
      </c>
    </row>
    <row r="226" spans="1:7" x14ac:dyDescent="0.2">
      <c r="A226" s="2">
        <v>2017</v>
      </c>
      <c r="B226" s="4" t="s">
        <v>295</v>
      </c>
      <c r="C226" s="2" t="s">
        <v>232</v>
      </c>
      <c r="D226" s="2" t="s">
        <v>234</v>
      </c>
      <c r="E226" s="5">
        <v>1089</v>
      </c>
      <c r="F226" s="4">
        <v>38</v>
      </c>
      <c r="G226" s="3">
        <f t="shared" si="3"/>
        <v>1127</v>
      </c>
    </row>
    <row r="227" spans="1:7" x14ac:dyDescent="0.2">
      <c r="A227" s="2">
        <v>2017</v>
      </c>
      <c r="B227" s="4" t="s">
        <v>229</v>
      </c>
      <c r="C227" s="2" t="s">
        <v>232</v>
      </c>
      <c r="D227" s="2" t="s">
        <v>234</v>
      </c>
      <c r="E227" s="5">
        <v>36059</v>
      </c>
      <c r="F227" s="5">
        <v>1245</v>
      </c>
      <c r="G227" s="3">
        <f t="shared" si="3"/>
        <v>37304</v>
      </c>
    </row>
    <row r="229" spans="1:7" x14ac:dyDescent="0.2">
      <c r="D229" s="2" t="s">
        <v>274</v>
      </c>
      <c r="E229" s="1">
        <f>SUM(E2:E227)</f>
        <v>1122277560</v>
      </c>
      <c r="F229" s="1">
        <f>SUM(F2:F227)</f>
        <v>38762964</v>
      </c>
    </row>
    <row r="230" spans="1:7" x14ac:dyDescent="0.2">
      <c r="D230" s="2"/>
    </row>
    <row r="231" spans="1:7" x14ac:dyDescent="0.2">
      <c r="D231" s="8" t="s">
        <v>275</v>
      </c>
      <c r="E231" s="6">
        <v>1122277562</v>
      </c>
      <c r="F231" s="6">
        <v>38762968</v>
      </c>
    </row>
    <row r="232" spans="1:7" x14ac:dyDescent="0.2">
      <c r="D232" s="8"/>
      <c r="E232" s="8"/>
      <c r="F232" s="8"/>
    </row>
    <row r="233" spans="1:7" x14ac:dyDescent="0.2">
      <c r="D233" s="8" t="s">
        <v>276</v>
      </c>
      <c r="E233" s="6">
        <f>E229-E231</f>
        <v>-2</v>
      </c>
      <c r="F233" s="6">
        <f>F229-F231</f>
        <v>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7399-A920-8F42-B7D2-CD91AAD44391}">
  <sheetPr>
    <tabColor rgb="FFFFFF00"/>
  </sheetPr>
  <dimension ref="A1:G233"/>
  <sheetViews>
    <sheetView topLeftCell="A208" workbookViewId="0">
      <selection activeCell="A2" sqref="A2:G226"/>
    </sheetView>
  </sheetViews>
  <sheetFormatPr baseColWidth="10" defaultRowHeight="16" x14ac:dyDescent="0.2"/>
  <cols>
    <col min="2" max="2" width="48.6640625" bestFit="1" customWidth="1"/>
    <col min="4" max="4" width="15.1640625" bestFit="1" customWidth="1"/>
    <col min="5" max="5" width="18" bestFit="1" customWidth="1"/>
    <col min="6" max="6" width="16.33203125" bestFit="1" customWidth="1"/>
    <col min="7" max="7" width="15.83203125" bestFit="1" customWidth="1"/>
  </cols>
  <sheetData>
    <row r="1" spans="1:7" x14ac:dyDescent="0.2">
      <c r="A1" t="s">
        <v>235</v>
      </c>
      <c r="B1" t="s">
        <v>230</v>
      </c>
      <c r="C1" s="2" t="s">
        <v>231</v>
      </c>
      <c r="D1" s="2" t="s">
        <v>233</v>
      </c>
      <c r="E1" s="2" t="s">
        <v>280</v>
      </c>
      <c r="F1" s="2" t="s">
        <v>281</v>
      </c>
      <c r="G1" s="2" t="s">
        <v>304</v>
      </c>
    </row>
    <row r="2" spans="1:7" x14ac:dyDescent="0.2">
      <c r="A2">
        <v>2016</v>
      </c>
      <c r="B2" s="13" t="s">
        <v>0</v>
      </c>
      <c r="C2" t="s">
        <v>232</v>
      </c>
      <c r="D2" t="s">
        <v>234</v>
      </c>
      <c r="E2" s="14">
        <v>11118421</v>
      </c>
      <c r="F2" s="14">
        <v>366741</v>
      </c>
      <c r="G2" s="1">
        <f>SUM(E2:F2)</f>
        <v>11485162</v>
      </c>
    </row>
    <row r="3" spans="1:7" x14ac:dyDescent="0.2">
      <c r="A3">
        <v>2016</v>
      </c>
      <c r="B3" s="13" t="s">
        <v>1</v>
      </c>
      <c r="C3" t="s">
        <v>232</v>
      </c>
      <c r="D3" t="s">
        <v>234</v>
      </c>
      <c r="E3" s="14">
        <v>6162176</v>
      </c>
      <c r="F3" s="14">
        <v>203259</v>
      </c>
      <c r="G3" s="1">
        <f t="shared" ref="G3:G66" si="0">SUM(E3:F3)</f>
        <v>6365435</v>
      </c>
    </row>
    <row r="4" spans="1:7" x14ac:dyDescent="0.2">
      <c r="A4">
        <v>2016</v>
      </c>
      <c r="B4" s="13" t="s">
        <v>2</v>
      </c>
      <c r="C4" t="s">
        <v>232</v>
      </c>
      <c r="D4" t="s">
        <v>234</v>
      </c>
      <c r="E4" s="14">
        <v>28606364</v>
      </c>
      <c r="F4" s="14">
        <v>943580</v>
      </c>
      <c r="G4" s="1">
        <f t="shared" si="0"/>
        <v>29549944</v>
      </c>
    </row>
    <row r="5" spans="1:7" x14ac:dyDescent="0.2">
      <c r="A5">
        <v>2016</v>
      </c>
      <c r="B5" s="13" t="s">
        <v>3</v>
      </c>
      <c r="C5" t="s">
        <v>232</v>
      </c>
      <c r="D5" t="s">
        <v>234</v>
      </c>
      <c r="E5" s="14">
        <v>5216692</v>
      </c>
      <c r="F5" s="14">
        <v>172072</v>
      </c>
      <c r="G5" s="1">
        <f t="shared" si="0"/>
        <v>5388764</v>
      </c>
    </row>
    <row r="6" spans="1:7" x14ac:dyDescent="0.2">
      <c r="A6">
        <v>2016</v>
      </c>
      <c r="B6" s="13" t="s">
        <v>4</v>
      </c>
      <c r="C6" t="s">
        <v>232</v>
      </c>
      <c r="D6" t="s">
        <v>234</v>
      </c>
      <c r="E6" s="14">
        <v>5282333</v>
      </c>
      <c r="F6" s="14">
        <v>174238</v>
      </c>
      <c r="G6" s="1">
        <f t="shared" si="0"/>
        <v>5456571</v>
      </c>
    </row>
    <row r="7" spans="1:7" x14ac:dyDescent="0.2">
      <c r="A7">
        <v>2016</v>
      </c>
      <c r="B7" s="13" t="s">
        <v>5</v>
      </c>
      <c r="C7" t="s">
        <v>232</v>
      </c>
      <c r="D7" t="s">
        <v>234</v>
      </c>
      <c r="E7" s="14">
        <v>7753144</v>
      </c>
      <c r="F7" s="14">
        <v>255737</v>
      </c>
      <c r="G7" s="1">
        <f t="shared" si="0"/>
        <v>8008881</v>
      </c>
    </row>
    <row r="8" spans="1:7" x14ac:dyDescent="0.2">
      <c r="A8">
        <v>2016</v>
      </c>
      <c r="B8" s="13" t="s">
        <v>6</v>
      </c>
      <c r="C8" t="s">
        <v>232</v>
      </c>
      <c r="D8" t="s">
        <v>234</v>
      </c>
      <c r="E8" s="14">
        <v>3782215</v>
      </c>
      <c r="F8" s="14">
        <v>124756</v>
      </c>
      <c r="G8" s="1">
        <f t="shared" si="0"/>
        <v>3906971</v>
      </c>
    </row>
    <row r="9" spans="1:7" x14ac:dyDescent="0.2">
      <c r="A9">
        <v>2016</v>
      </c>
      <c r="B9" s="13" t="s">
        <v>7</v>
      </c>
      <c r="C9" t="s">
        <v>232</v>
      </c>
      <c r="D9" t="s">
        <v>234</v>
      </c>
      <c r="E9" s="14">
        <v>27129102</v>
      </c>
      <c r="F9" s="14">
        <v>894852</v>
      </c>
      <c r="G9" s="1">
        <f t="shared" si="0"/>
        <v>28023954</v>
      </c>
    </row>
    <row r="10" spans="1:7" x14ac:dyDescent="0.2">
      <c r="A10">
        <v>2016</v>
      </c>
      <c r="B10" s="13" t="s">
        <v>8</v>
      </c>
      <c r="C10" t="s">
        <v>232</v>
      </c>
      <c r="D10" t="s">
        <v>234</v>
      </c>
      <c r="E10" s="14">
        <v>51076709</v>
      </c>
      <c r="F10" s="14">
        <v>1684763</v>
      </c>
      <c r="G10" s="1">
        <f t="shared" si="0"/>
        <v>52761472</v>
      </c>
    </row>
    <row r="11" spans="1:7" x14ac:dyDescent="0.2">
      <c r="A11">
        <v>2016</v>
      </c>
      <c r="B11" s="13" t="s">
        <v>9</v>
      </c>
      <c r="C11" t="s">
        <v>232</v>
      </c>
      <c r="D11" t="s">
        <v>234</v>
      </c>
      <c r="E11" s="14">
        <v>47228737</v>
      </c>
      <c r="F11" s="14">
        <v>1557838</v>
      </c>
      <c r="G11" s="1">
        <f t="shared" si="0"/>
        <v>48786575</v>
      </c>
    </row>
    <row r="12" spans="1:7" x14ac:dyDescent="0.2">
      <c r="A12">
        <v>2016</v>
      </c>
      <c r="B12" s="13" t="s">
        <v>10</v>
      </c>
      <c r="C12" t="s">
        <v>232</v>
      </c>
      <c r="D12" t="s">
        <v>234</v>
      </c>
      <c r="E12" s="14">
        <v>2504447</v>
      </c>
      <c r="F12" s="14">
        <v>82609</v>
      </c>
      <c r="G12" s="1">
        <f t="shared" si="0"/>
        <v>2587056</v>
      </c>
    </row>
    <row r="13" spans="1:7" x14ac:dyDescent="0.2">
      <c r="A13">
        <v>2016</v>
      </c>
      <c r="B13" s="13" t="s">
        <v>11</v>
      </c>
      <c r="C13" t="s">
        <v>232</v>
      </c>
      <c r="D13" t="s">
        <v>234</v>
      </c>
      <c r="E13" s="14">
        <v>2494999</v>
      </c>
      <c r="F13" s="14">
        <v>82297</v>
      </c>
      <c r="G13" s="1">
        <f t="shared" si="0"/>
        <v>2577296</v>
      </c>
    </row>
    <row r="14" spans="1:7" x14ac:dyDescent="0.2">
      <c r="A14">
        <v>2016</v>
      </c>
      <c r="B14" s="13" t="s">
        <v>12</v>
      </c>
      <c r="C14" t="s">
        <v>232</v>
      </c>
      <c r="D14" t="s">
        <v>234</v>
      </c>
      <c r="E14" s="14">
        <v>1736261</v>
      </c>
      <c r="F14" s="14">
        <v>57271</v>
      </c>
      <c r="G14" s="1">
        <f t="shared" si="0"/>
        <v>1793532</v>
      </c>
    </row>
    <row r="15" spans="1:7" x14ac:dyDescent="0.2">
      <c r="A15">
        <v>2016</v>
      </c>
      <c r="B15" s="13" t="s">
        <v>13</v>
      </c>
      <c r="C15" t="s">
        <v>232</v>
      </c>
      <c r="D15" t="s">
        <v>234</v>
      </c>
      <c r="E15" s="14">
        <v>2183350</v>
      </c>
      <c r="F15" s="14">
        <v>72018</v>
      </c>
      <c r="G15" s="1">
        <f t="shared" si="0"/>
        <v>2255368</v>
      </c>
    </row>
    <row r="16" spans="1:7" x14ac:dyDescent="0.2">
      <c r="A16">
        <v>2016</v>
      </c>
      <c r="B16" s="13" t="s">
        <v>14</v>
      </c>
      <c r="C16" t="s">
        <v>232</v>
      </c>
      <c r="D16" t="s">
        <v>234</v>
      </c>
      <c r="E16" s="14">
        <v>4220827</v>
      </c>
      <c r="F16" s="14">
        <v>139224</v>
      </c>
      <c r="G16" s="1">
        <f t="shared" si="0"/>
        <v>4360051</v>
      </c>
    </row>
    <row r="17" spans="1:7" x14ac:dyDescent="0.2">
      <c r="A17">
        <v>2016</v>
      </c>
      <c r="B17" s="13" t="s">
        <v>15</v>
      </c>
      <c r="C17" t="s">
        <v>232</v>
      </c>
      <c r="D17" t="s">
        <v>234</v>
      </c>
      <c r="E17" s="14">
        <v>8523681</v>
      </c>
      <c r="F17" s="14">
        <v>281153</v>
      </c>
      <c r="G17" s="1">
        <f t="shared" si="0"/>
        <v>8804834</v>
      </c>
    </row>
    <row r="18" spans="1:7" x14ac:dyDescent="0.2">
      <c r="A18">
        <v>2016</v>
      </c>
      <c r="B18" s="13" t="s">
        <v>16</v>
      </c>
      <c r="C18" t="s">
        <v>232</v>
      </c>
      <c r="D18" t="s">
        <v>234</v>
      </c>
      <c r="E18" s="14">
        <v>59796260</v>
      </c>
      <c r="F18" s="14">
        <v>1972378</v>
      </c>
      <c r="G18" s="1">
        <f t="shared" si="0"/>
        <v>61768638</v>
      </c>
    </row>
    <row r="19" spans="1:7" x14ac:dyDescent="0.2">
      <c r="A19">
        <v>2016</v>
      </c>
      <c r="B19" s="13" t="s">
        <v>17</v>
      </c>
      <c r="C19" t="s">
        <v>232</v>
      </c>
      <c r="D19" t="s">
        <v>234</v>
      </c>
      <c r="E19" s="14">
        <v>1263096</v>
      </c>
      <c r="F19" s="14">
        <v>41663</v>
      </c>
      <c r="G19" s="1">
        <f t="shared" si="0"/>
        <v>1304759</v>
      </c>
    </row>
    <row r="20" spans="1:7" x14ac:dyDescent="0.2">
      <c r="A20">
        <v>2016</v>
      </c>
      <c r="B20" s="13" t="s">
        <v>18</v>
      </c>
      <c r="C20" t="s">
        <v>232</v>
      </c>
      <c r="D20" t="s">
        <v>234</v>
      </c>
      <c r="E20" s="14">
        <v>2151357</v>
      </c>
      <c r="F20" s="14">
        <v>70962</v>
      </c>
      <c r="G20" s="1">
        <f t="shared" si="0"/>
        <v>2222319</v>
      </c>
    </row>
    <row r="21" spans="1:7" x14ac:dyDescent="0.2">
      <c r="A21">
        <v>2016</v>
      </c>
      <c r="B21" s="13" t="s">
        <v>19</v>
      </c>
      <c r="C21" t="s">
        <v>232</v>
      </c>
      <c r="D21" t="s">
        <v>234</v>
      </c>
      <c r="E21" s="14">
        <v>6420156</v>
      </c>
      <c r="F21" s="14">
        <v>211769</v>
      </c>
      <c r="G21" s="1">
        <f t="shared" si="0"/>
        <v>6631925</v>
      </c>
    </row>
    <row r="22" spans="1:7" x14ac:dyDescent="0.2">
      <c r="A22">
        <v>2016</v>
      </c>
      <c r="B22" s="13" t="s">
        <v>20</v>
      </c>
      <c r="C22" t="s">
        <v>232</v>
      </c>
      <c r="D22" t="s">
        <v>234</v>
      </c>
      <c r="E22" s="14">
        <v>3465146</v>
      </c>
      <c r="F22" s="14">
        <v>114298</v>
      </c>
      <c r="G22" s="1">
        <f t="shared" si="0"/>
        <v>3579444</v>
      </c>
    </row>
    <row r="23" spans="1:7" x14ac:dyDescent="0.2">
      <c r="A23">
        <v>2016</v>
      </c>
      <c r="B23" s="13" t="s">
        <v>21</v>
      </c>
      <c r="C23" t="s">
        <v>232</v>
      </c>
      <c r="D23" t="s">
        <v>234</v>
      </c>
      <c r="E23" s="14">
        <v>3066307</v>
      </c>
      <c r="F23" s="14">
        <v>101142</v>
      </c>
      <c r="G23" s="1">
        <f t="shared" si="0"/>
        <v>3167449</v>
      </c>
    </row>
    <row r="24" spans="1:7" x14ac:dyDescent="0.2">
      <c r="A24">
        <v>2016</v>
      </c>
      <c r="B24" s="13" t="s">
        <v>22</v>
      </c>
      <c r="C24" t="s">
        <v>232</v>
      </c>
      <c r="D24" t="s">
        <v>234</v>
      </c>
      <c r="E24" s="14">
        <v>16663112</v>
      </c>
      <c r="F24" s="14">
        <v>549632</v>
      </c>
      <c r="G24" s="1">
        <f t="shared" si="0"/>
        <v>17212744</v>
      </c>
    </row>
    <row r="25" spans="1:7" x14ac:dyDescent="0.2">
      <c r="A25">
        <v>2016</v>
      </c>
      <c r="B25" s="13" t="s">
        <v>23</v>
      </c>
      <c r="C25" t="s">
        <v>232</v>
      </c>
      <c r="D25" t="s">
        <v>234</v>
      </c>
      <c r="E25" s="14">
        <v>8072354</v>
      </c>
      <c r="F25" s="14">
        <v>266266</v>
      </c>
      <c r="G25" s="1">
        <f t="shared" si="0"/>
        <v>8338620</v>
      </c>
    </row>
    <row r="26" spans="1:7" x14ac:dyDescent="0.2">
      <c r="A26">
        <v>2016</v>
      </c>
      <c r="B26" s="13" t="s">
        <v>24</v>
      </c>
      <c r="C26" t="s">
        <v>232</v>
      </c>
      <c r="D26" t="s">
        <v>234</v>
      </c>
      <c r="E26" s="14">
        <v>2810828</v>
      </c>
      <c r="F26" s="14">
        <v>92715</v>
      </c>
      <c r="G26" s="1">
        <f t="shared" si="0"/>
        <v>2903543</v>
      </c>
    </row>
    <row r="27" spans="1:7" x14ac:dyDescent="0.2">
      <c r="A27">
        <v>2016</v>
      </c>
      <c r="B27" s="13" t="s">
        <v>25</v>
      </c>
      <c r="C27" t="s">
        <v>232</v>
      </c>
      <c r="D27" t="s">
        <v>234</v>
      </c>
      <c r="E27" s="14">
        <v>56429964</v>
      </c>
      <c r="F27" s="14">
        <v>1861340</v>
      </c>
      <c r="G27" s="1">
        <f t="shared" si="0"/>
        <v>58291304</v>
      </c>
    </row>
    <row r="28" spans="1:7" x14ac:dyDescent="0.2">
      <c r="A28">
        <v>2016</v>
      </c>
      <c r="B28" s="13" t="s">
        <v>26</v>
      </c>
      <c r="C28" t="s">
        <v>232</v>
      </c>
      <c r="D28" t="s">
        <v>234</v>
      </c>
      <c r="E28" s="14">
        <v>7123987</v>
      </c>
      <c r="F28" s="14">
        <v>234984</v>
      </c>
      <c r="G28" s="1">
        <f t="shared" si="0"/>
        <v>7358971</v>
      </c>
    </row>
    <row r="29" spans="1:7" x14ac:dyDescent="0.2">
      <c r="A29">
        <v>2016</v>
      </c>
      <c r="B29" s="13" t="s">
        <v>27</v>
      </c>
      <c r="C29" t="s">
        <v>232</v>
      </c>
      <c r="D29" t="s">
        <v>234</v>
      </c>
      <c r="E29" s="14">
        <v>37713893</v>
      </c>
      <c r="F29" s="14">
        <v>1243991</v>
      </c>
      <c r="G29" s="1">
        <f t="shared" si="0"/>
        <v>38957884</v>
      </c>
    </row>
    <row r="30" spans="1:7" x14ac:dyDescent="0.2">
      <c r="A30">
        <v>2016</v>
      </c>
      <c r="B30" s="13" t="s">
        <v>28</v>
      </c>
      <c r="C30" t="s">
        <v>232</v>
      </c>
      <c r="D30" t="s">
        <v>234</v>
      </c>
      <c r="E30" s="14">
        <v>19438647</v>
      </c>
      <c r="F30" s="14">
        <v>641183</v>
      </c>
      <c r="G30" s="1">
        <f t="shared" si="0"/>
        <v>20079830</v>
      </c>
    </row>
    <row r="31" spans="1:7" x14ac:dyDescent="0.2">
      <c r="A31">
        <v>2016</v>
      </c>
      <c r="B31" s="13" t="s">
        <v>29</v>
      </c>
      <c r="C31" t="s">
        <v>232</v>
      </c>
      <c r="D31" t="s">
        <v>234</v>
      </c>
      <c r="E31" s="14">
        <v>3291809</v>
      </c>
      <c r="F31" s="14">
        <v>108580</v>
      </c>
      <c r="G31" s="1">
        <f t="shared" si="0"/>
        <v>3400389</v>
      </c>
    </row>
    <row r="32" spans="1:7" x14ac:dyDescent="0.2">
      <c r="A32">
        <v>2016</v>
      </c>
      <c r="B32" s="13" t="s">
        <v>30</v>
      </c>
      <c r="C32" t="s">
        <v>232</v>
      </c>
      <c r="D32" t="s">
        <v>234</v>
      </c>
      <c r="E32" s="14">
        <v>8287550</v>
      </c>
      <c r="F32" s="14">
        <v>273365</v>
      </c>
      <c r="G32" s="1">
        <f t="shared" si="0"/>
        <v>8560915</v>
      </c>
    </row>
    <row r="33" spans="1:7" x14ac:dyDescent="0.2">
      <c r="A33">
        <v>2016</v>
      </c>
      <c r="B33" s="13" t="s">
        <v>31</v>
      </c>
      <c r="C33" t="s">
        <v>232</v>
      </c>
      <c r="D33" t="s">
        <v>234</v>
      </c>
      <c r="E33" s="14">
        <v>29390298</v>
      </c>
      <c r="F33" s="14">
        <v>969438</v>
      </c>
      <c r="G33" s="1">
        <f t="shared" si="0"/>
        <v>30359736</v>
      </c>
    </row>
    <row r="34" spans="1:7" x14ac:dyDescent="0.2">
      <c r="A34">
        <v>2016</v>
      </c>
      <c r="B34" s="13" t="s">
        <v>32</v>
      </c>
      <c r="C34" t="s">
        <v>232</v>
      </c>
      <c r="D34" t="s">
        <v>234</v>
      </c>
      <c r="E34" s="14">
        <v>1793832</v>
      </c>
      <c r="F34" s="14">
        <v>59169</v>
      </c>
      <c r="G34" s="1">
        <f t="shared" si="0"/>
        <v>1853001</v>
      </c>
    </row>
    <row r="35" spans="1:7" x14ac:dyDescent="0.2">
      <c r="A35">
        <v>2016</v>
      </c>
      <c r="B35" s="13" t="s">
        <v>33</v>
      </c>
      <c r="C35" t="s">
        <v>232</v>
      </c>
      <c r="D35" t="s">
        <v>234</v>
      </c>
      <c r="E35" s="14">
        <v>4127362</v>
      </c>
      <c r="F35" s="14">
        <v>136141</v>
      </c>
      <c r="G35" s="1">
        <f t="shared" si="0"/>
        <v>4263503</v>
      </c>
    </row>
    <row r="36" spans="1:7" x14ac:dyDescent="0.2">
      <c r="A36">
        <v>2016</v>
      </c>
      <c r="B36" s="13" t="s">
        <v>34</v>
      </c>
      <c r="C36" t="s">
        <v>232</v>
      </c>
      <c r="D36" t="s">
        <v>234</v>
      </c>
      <c r="E36" s="14">
        <v>8049335</v>
      </c>
      <c r="F36" s="14">
        <v>265507</v>
      </c>
      <c r="G36" s="1">
        <f t="shared" si="0"/>
        <v>8314842</v>
      </c>
    </row>
    <row r="37" spans="1:7" x14ac:dyDescent="0.2">
      <c r="A37">
        <v>2016</v>
      </c>
      <c r="B37" s="13" t="s">
        <v>35</v>
      </c>
      <c r="C37" t="s">
        <v>232</v>
      </c>
      <c r="D37" t="s">
        <v>234</v>
      </c>
      <c r="E37" s="14">
        <v>6647800</v>
      </c>
      <c r="F37" s="14">
        <v>219277</v>
      </c>
      <c r="G37" s="1">
        <f t="shared" si="0"/>
        <v>6867077</v>
      </c>
    </row>
    <row r="38" spans="1:7" x14ac:dyDescent="0.2">
      <c r="A38">
        <v>2016</v>
      </c>
      <c r="B38" s="13" t="s">
        <v>36</v>
      </c>
      <c r="C38" t="s">
        <v>232</v>
      </c>
      <c r="D38" t="s">
        <v>234</v>
      </c>
      <c r="E38" s="14">
        <v>25113208</v>
      </c>
      <c r="F38" s="14">
        <v>828358</v>
      </c>
      <c r="G38" s="1">
        <f t="shared" si="0"/>
        <v>25941566</v>
      </c>
    </row>
    <row r="39" spans="1:7" x14ac:dyDescent="0.2">
      <c r="A39">
        <v>2016</v>
      </c>
      <c r="B39" s="13" t="s">
        <v>37</v>
      </c>
      <c r="C39" t="s">
        <v>232</v>
      </c>
      <c r="D39" t="s">
        <v>234</v>
      </c>
      <c r="E39" s="14">
        <v>8276550</v>
      </c>
      <c r="F39" s="14">
        <v>273002</v>
      </c>
      <c r="G39" s="1">
        <f t="shared" si="0"/>
        <v>8549552</v>
      </c>
    </row>
    <row r="40" spans="1:7" x14ac:dyDescent="0.2">
      <c r="A40">
        <v>2016</v>
      </c>
      <c r="B40" s="13" t="s">
        <v>38</v>
      </c>
      <c r="C40" t="s">
        <v>232</v>
      </c>
      <c r="D40" t="s">
        <v>234</v>
      </c>
      <c r="E40" s="14">
        <v>3281527</v>
      </c>
      <c r="F40" s="14">
        <v>108241</v>
      </c>
      <c r="G40" s="1">
        <f t="shared" si="0"/>
        <v>3389768</v>
      </c>
    </row>
    <row r="41" spans="1:7" x14ac:dyDescent="0.2">
      <c r="A41">
        <v>2016</v>
      </c>
      <c r="B41" s="13" t="s">
        <v>39</v>
      </c>
      <c r="C41" t="s">
        <v>232</v>
      </c>
      <c r="D41" t="s">
        <v>234</v>
      </c>
      <c r="E41" s="14">
        <v>28601906</v>
      </c>
      <c r="F41" s="14">
        <v>943433</v>
      </c>
      <c r="G41" s="1">
        <f t="shared" si="0"/>
        <v>29545339</v>
      </c>
    </row>
    <row r="42" spans="1:7" x14ac:dyDescent="0.2">
      <c r="A42">
        <v>2016</v>
      </c>
      <c r="B42" s="13" t="s">
        <v>40</v>
      </c>
      <c r="C42" t="s">
        <v>232</v>
      </c>
      <c r="D42" t="s">
        <v>234</v>
      </c>
      <c r="E42" s="14">
        <v>2516559</v>
      </c>
      <c r="F42" s="14">
        <v>83009</v>
      </c>
      <c r="G42" s="1">
        <f t="shared" si="0"/>
        <v>2599568</v>
      </c>
    </row>
    <row r="43" spans="1:7" x14ac:dyDescent="0.2">
      <c r="A43">
        <v>2016</v>
      </c>
      <c r="B43" s="13" t="s">
        <v>41</v>
      </c>
      <c r="C43" t="s">
        <v>232</v>
      </c>
      <c r="D43" t="s">
        <v>234</v>
      </c>
      <c r="E43" s="14">
        <v>3931005</v>
      </c>
      <c r="F43" s="14">
        <v>129664</v>
      </c>
      <c r="G43" s="1">
        <f t="shared" si="0"/>
        <v>4060669</v>
      </c>
    </row>
    <row r="44" spans="1:7" x14ac:dyDescent="0.2">
      <c r="A44">
        <v>2016</v>
      </c>
      <c r="B44" s="13" t="s">
        <v>42</v>
      </c>
      <c r="C44" t="s">
        <v>232</v>
      </c>
      <c r="D44" t="s">
        <v>234</v>
      </c>
      <c r="E44" s="14">
        <v>5631510</v>
      </c>
      <c r="F44" s="14">
        <v>185755</v>
      </c>
      <c r="G44" s="1">
        <f t="shared" si="0"/>
        <v>5817265</v>
      </c>
    </row>
    <row r="45" spans="1:7" x14ac:dyDescent="0.2">
      <c r="A45">
        <v>2016</v>
      </c>
      <c r="B45" s="13" t="s">
        <v>261</v>
      </c>
      <c r="C45" t="s">
        <v>232</v>
      </c>
      <c r="D45" t="s">
        <v>234</v>
      </c>
      <c r="E45" s="14">
        <v>8577789</v>
      </c>
      <c r="F45" s="14">
        <v>282938</v>
      </c>
      <c r="G45" s="1">
        <f t="shared" si="0"/>
        <v>8860727</v>
      </c>
    </row>
    <row r="46" spans="1:7" x14ac:dyDescent="0.2">
      <c r="A46">
        <v>2016</v>
      </c>
      <c r="B46" s="13" t="s">
        <v>262</v>
      </c>
      <c r="C46" t="s">
        <v>232</v>
      </c>
      <c r="D46" t="s">
        <v>234</v>
      </c>
      <c r="E46" s="14">
        <v>18145607</v>
      </c>
      <c r="F46" s="14">
        <v>598532</v>
      </c>
      <c r="G46" s="1">
        <f t="shared" si="0"/>
        <v>18744139</v>
      </c>
    </row>
    <row r="47" spans="1:7" x14ac:dyDescent="0.2">
      <c r="A47">
        <v>2016</v>
      </c>
      <c r="B47" s="13" t="s">
        <v>45</v>
      </c>
      <c r="C47" t="s">
        <v>232</v>
      </c>
      <c r="D47" t="s">
        <v>234</v>
      </c>
      <c r="E47" s="14">
        <v>1345759</v>
      </c>
      <c r="F47" s="14">
        <v>44390</v>
      </c>
      <c r="G47" s="1">
        <f t="shared" si="0"/>
        <v>1390149</v>
      </c>
    </row>
    <row r="48" spans="1:7" x14ac:dyDescent="0.2">
      <c r="A48">
        <v>2016</v>
      </c>
      <c r="B48" s="13" t="s">
        <v>263</v>
      </c>
      <c r="C48" t="s">
        <v>232</v>
      </c>
      <c r="D48" t="s">
        <v>234</v>
      </c>
      <c r="E48" s="14">
        <v>7551391</v>
      </c>
      <c r="F48" s="14">
        <v>249082</v>
      </c>
      <c r="G48" s="1">
        <f t="shared" si="0"/>
        <v>7800473</v>
      </c>
    </row>
    <row r="49" spans="1:7" x14ac:dyDescent="0.2">
      <c r="A49">
        <v>2016</v>
      </c>
      <c r="B49" s="13" t="s">
        <v>264</v>
      </c>
      <c r="C49" t="s">
        <v>232</v>
      </c>
      <c r="D49" t="s">
        <v>234</v>
      </c>
      <c r="E49" s="14">
        <v>8297172</v>
      </c>
      <c r="F49" s="14">
        <v>273682</v>
      </c>
      <c r="G49" s="1">
        <f t="shared" si="0"/>
        <v>8570854</v>
      </c>
    </row>
    <row r="50" spans="1:7" x14ac:dyDescent="0.2">
      <c r="A50">
        <v>2016</v>
      </c>
      <c r="B50" s="13" t="s">
        <v>48</v>
      </c>
      <c r="C50" t="s">
        <v>232</v>
      </c>
      <c r="D50" t="s">
        <v>234</v>
      </c>
      <c r="E50" s="14">
        <v>16538082</v>
      </c>
      <c r="F50" s="14">
        <v>545508</v>
      </c>
      <c r="G50" s="1">
        <f t="shared" si="0"/>
        <v>17083590</v>
      </c>
    </row>
    <row r="51" spans="1:7" x14ac:dyDescent="0.2">
      <c r="A51">
        <v>2016</v>
      </c>
      <c r="B51" s="13" t="s">
        <v>49</v>
      </c>
      <c r="C51" t="s">
        <v>232</v>
      </c>
      <c r="D51" t="s">
        <v>234</v>
      </c>
      <c r="E51" s="14">
        <v>9416619</v>
      </c>
      <c r="F51" s="14">
        <v>310607</v>
      </c>
      <c r="G51" s="1">
        <f t="shared" si="0"/>
        <v>9727226</v>
      </c>
    </row>
    <row r="52" spans="1:7" x14ac:dyDescent="0.2">
      <c r="A52">
        <v>2016</v>
      </c>
      <c r="B52" s="13" t="s">
        <v>50</v>
      </c>
      <c r="C52" t="s">
        <v>232</v>
      </c>
      <c r="D52" t="s">
        <v>234</v>
      </c>
      <c r="E52" s="14">
        <v>11324470</v>
      </c>
      <c r="F52" s="14">
        <v>373537</v>
      </c>
      <c r="G52" s="1">
        <f t="shared" si="0"/>
        <v>11698007</v>
      </c>
    </row>
    <row r="53" spans="1:7" x14ac:dyDescent="0.2">
      <c r="A53">
        <v>2016</v>
      </c>
      <c r="B53" s="13" t="s">
        <v>51</v>
      </c>
      <c r="C53" t="s">
        <v>232</v>
      </c>
      <c r="D53" t="s">
        <v>234</v>
      </c>
      <c r="E53" s="14">
        <v>53257384</v>
      </c>
      <c r="F53" s="14">
        <v>1756693</v>
      </c>
      <c r="G53" s="1">
        <f t="shared" si="0"/>
        <v>55014077</v>
      </c>
    </row>
    <row r="54" spans="1:7" x14ac:dyDescent="0.2">
      <c r="A54">
        <v>2016</v>
      </c>
      <c r="B54" s="13" t="s">
        <v>52</v>
      </c>
      <c r="C54" t="s">
        <v>232</v>
      </c>
      <c r="D54" t="s">
        <v>234</v>
      </c>
      <c r="E54" s="14">
        <v>22564610</v>
      </c>
      <c r="F54" s="14">
        <v>744293</v>
      </c>
      <c r="G54" s="1">
        <f t="shared" si="0"/>
        <v>23308903</v>
      </c>
    </row>
    <row r="55" spans="1:7" x14ac:dyDescent="0.2">
      <c r="A55">
        <v>2016</v>
      </c>
      <c r="B55" s="13" t="s">
        <v>53</v>
      </c>
      <c r="C55" t="s">
        <v>232</v>
      </c>
      <c r="D55" t="s">
        <v>234</v>
      </c>
      <c r="E55" s="14">
        <v>837985</v>
      </c>
      <c r="F55" s="14">
        <v>27641</v>
      </c>
      <c r="G55" s="1">
        <f t="shared" si="0"/>
        <v>865626</v>
      </c>
    </row>
    <row r="56" spans="1:7" x14ac:dyDescent="0.2">
      <c r="A56">
        <v>2016</v>
      </c>
      <c r="B56" s="13" t="s">
        <v>54</v>
      </c>
      <c r="C56" t="s">
        <v>232</v>
      </c>
      <c r="D56" t="s">
        <v>234</v>
      </c>
      <c r="E56" s="14">
        <v>20475779</v>
      </c>
      <c r="F56" s="14">
        <v>675393</v>
      </c>
      <c r="G56" s="1">
        <f t="shared" si="0"/>
        <v>21151172</v>
      </c>
    </row>
    <row r="57" spans="1:7" x14ac:dyDescent="0.2">
      <c r="A57">
        <v>2016</v>
      </c>
      <c r="B57" s="13" t="s">
        <v>55</v>
      </c>
      <c r="C57" t="s">
        <v>232</v>
      </c>
      <c r="D57" t="s">
        <v>234</v>
      </c>
      <c r="E57" s="14">
        <v>2431291</v>
      </c>
      <c r="F57" s="14">
        <v>80196</v>
      </c>
      <c r="G57" s="1">
        <f t="shared" si="0"/>
        <v>2511487</v>
      </c>
    </row>
    <row r="58" spans="1:7" x14ac:dyDescent="0.2">
      <c r="A58">
        <v>2016</v>
      </c>
      <c r="B58" s="13" t="s">
        <v>56</v>
      </c>
      <c r="C58" t="s">
        <v>232</v>
      </c>
      <c r="D58" t="s">
        <v>234</v>
      </c>
      <c r="E58" s="14">
        <v>11409460</v>
      </c>
      <c r="F58" s="14">
        <v>376341</v>
      </c>
      <c r="G58" s="1">
        <f t="shared" si="0"/>
        <v>11785801</v>
      </c>
    </row>
    <row r="59" spans="1:7" x14ac:dyDescent="0.2">
      <c r="A59">
        <v>2016</v>
      </c>
      <c r="B59" s="13" t="s">
        <v>57</v>
      </c>
      <c r="C59" t="s">
        <v>232</v>
      </c>
      <c r="D59" t="s">
        <v>234</v>
      </c>
      <c r="E59" s="14">
        <v>10681429</v>
      </c>
      <c r="F59" s="14">
        <v>352327</v>
      </c>
      <c r="G59" s="1">
        <f t="shared" si="0"/>
        <v>11033756</v>
      </c>
    </row>
    <row r="60" spans="1:7" x14ac:dyDescent="0.2">
      <c r="A60">
        <v>2016</v>
      </c>
      <c r="B60" s="13" t="s">
        <v>58</v>
      </c>
      <c r="C60" t="s">
        <v>232</v>
      </c>
      <c r="D60" t="s">
        <v>234</v>
      </c>
      <c r="E60" s="14">
        <v>5949782</v>
      </c>
      <c r="F60" s="14">
        <v>196253</v>
      </c>
      <c r="G60" s="1">
        <f t="shared" si="0"/>
        <v>6146035</v>
      </c>
    </row>
    <row r="61" spans="1:7" x14ac:dyDescent="0.2">
      <c r="A61">
        <v>2016</v>
      </c>
      <c r="B61" s="13" t="s">
        <v>59</v>
      </c>
      <c r="C61" t="s">
        <v>232</v>
      </c>
      <c r="D61" t="s">
        <v>234</v>
      </c>
      <c r="E61" s="14">
        <v>7304052</v>
      </c>
      <c r="F61" s="14">
        <v>240924</v>
      </c>
      <c r="G61" s="1">
        <f t="shared" si="0"/>
        <v>7544976</v>
      </c>
    </row>
    <row r="62" spans="1:7" x14ac:dyDescent="0.2">
      <c r="A62">
        <v>2016</v>
      </c>
      <c r="B62" s="13" t="s">
        <v>60</v>
      </c>
      <c r="C62" t="s">
        <v>232</v>
      </c>
      <c r="D62" t="s">
        <v>234</v>
      </c>
      <c r="E62" s="14">
        <v>6856581</v>
      </c>
      <c r="F62" s="14">
        <v>226164</v>
      </c>
      <c r="G62" s="1">
        <f t="shared" si="0"/>
        <v>7082745</v>
      </c>
    </row>
    <row r="63" spans="1:7" x14ac:dyDescent="0.2">
      <c r="A63">
        <v>2016</v>
      </c>
      <c r="B63" s="13" t="s">
        <v>61</v>
      </c>
      <c r="C63" t="s">
        <v>232</v>
      </c>
      <c r="D63" t="s">
        <v>234</v>
      </c>
      <c r="E63" s="14">
        <v>2353990</v>
      </c>
      <c r="F63" s="14">
        <v>77646</v>
      </c>
      <c r="G63" s="1">
        <f t="shared" si="0"/>
        <v>2431636</v>
      </c>
    </row>
    <row r="64" spans="1:7" x14ac:dyDescent="0.2">
      <c r="A64">
        <v>2016</v>
      </c>
      <c r="B64" s="13" t="s">
        <v>62</v>
      </c>
      <c r="C64" t="s">
        <v>232</v>
      </c>
      <c r="D64" t="s">
        <v>234</v>
      </c>
      <c r="E64" s="14">
        <v>3554073</v>
      </c>
      <c r="F64" s="14">
        <v>117231</v>
      </c>
      <c r="G64" s="1">
        <f t="shared" si="0"/>
        <v>3671304</v>
      </c>
    </row>
    <row r="65" spans="1:7" x14ac:dyDescent="0.2">
      <c r="A65">
        <v>2016</v>
      </c>
      <c r="B65" s="13" t="s">
        <v>63</v>
      </c>
      <c r="C65" t="s">
        <v>232</v>
      </c>
      <c r="D65" t="s">
        <v>234</v>
      </c>
      <c r="E65" s="14">
        <v>2876064</v>
      </c>
      <c r="F65" s="14">
        <v>94867</v>
      </c>
      <c r="G65" s="1">
        <f t="shared" si="0"/>
        <v>2970931</v>
      </c>
    </row>
    <row r="66" spans="1:7" x14ac:dyDescent="0.2">
      <c r="A66">
        <v>2016</v>
      </c>
      <c r="B66" s="13" t="s">
        <v>64</v>
      </c>
      <c r="C66" t="s">
        <v>232</v>
      </c>
      <c r="D66" t="s">
        <v>234</v>
      </c>
      <c r="E66" s="14">
        <v>2610905</v>
      </c>
      <c r="F66" s="14">
        <v>86121</v>
      </c>
      <c r="G66" s="1">
        <f t="shared" si="0"/>
        <v>2697026</v>
      </c>
    </row>
    <row r="67" spans="1:7" x14ac:dyDescent="0.2">
      <c r="A67">
        <v>2016</v>
      </c>
      <c r="B67" s="13" t="s">
        <v>65</v>
      </c>
      <c r="C67" t="s">
        <v>232</v>
      </c>
      <c r="D67" t="s">
        <v>234</v>
      </c>
      <c r="E67" s="14">
        <v>12428274</v>
      </c>
      <c r="F67" s="14">
        <v>409946</v>
      </c>
      <c r="G67" s="1">
        <f t="shared" ref="G67:G130" si="1">SUM(E67:F67)</f>
        <v>12838220</v>
      </c>
    </row>
    <row r="68" spans="1:7" x14ac:dyDescent="0.2">
      <c r="A68">
        <v>2016</v>
      </c>
      <c r="B68" s="13" t="s">
        <v>66</v>
      </c>
      <c r="C68" t="s">
        <v>232</v>
      </c>
      <c r="D68" t="s">
        <v>234</v>
      </c>
      <c r="E68" s="14">
        <v>10303386</v>
      </c>
      <c r="F68" s="14">
        <v>339857</v>
      </c>
      <c r="G68" s="1">
        <f t="shared" si="1"/>
        <v>10643243</v>
      </c>
    </row>
    <row r="69" spans="1:7" x14ac:dyDescent="0.2">
      <c r="A69">
        <v>2016</v>
      </c>
      <c r="B69" s="13" t="s">
        <v>67</v>
      </c>
      <c r="C69" t="s">
        <v>232</v>
      </c>
      <c r="D69" t="s">
        <v>234</v>
      </c>
      <c r="E69" s="14">
        <v>7629445</v>
      </c>
      <c r="F69" s="14">
        <v>251657</v>
      </c>
      <c r="G69" s="1">
        <f t="shared" si="1"/>
        <v>7881102</v>
      </c>
    </row>
    <row r="70" spans="1:7" x14ac:dyDescent="0.2">
      <c r="A70">
        <v>2016</v>
      </c>
      <c r="B70" s="13" t="s">
        <v>68</v>
      </c>
      <c r="C70" t="s">
        <v>232</v>
      </c>
      <c r="D70" t="s">
        <v>234</v>
      </c>
      <c r="E70" s="14">
        <v>81132546</v>
      </c>
      <c r="F70" s="14">
        <v>2676154</v>
      </c>
      <c r="G70" s="1">
        <f t="shared" si="1"/>
        <v>83808700</v>
      </c>
    </row>
    <row r="71" spans="1:7" x14ac:dyDescent="0.2">
      <c r="A71">
        <v>2016</v>
      </c>
      <c r="B71" s="13" t="s">
        <v>69</v>
      </c>
      <c r="C71" t="s">
        <v>232</v>
      </c>
      <c r="D71" t="s">
        <v>234</v>
      </c>
      <c r="E71" s="14">
        <v>10892827</v>
      </c>
      <c r="F71" s="14">
        <v>359300</v>
      </c>
      <c r="G71" s="1">
        <f t="shared" si="1"/>
        <v>11252127</v>
      </c>
    </row>
    <row r="72" spans="1:7" x14ac:dyDescent="0.2">
      <c r="A72">
        <v>2016</v>
      </c>
      <c r="B72" s="13" t="s">
        <v>70</v>
      </c>
      <c r="C72" t="s">
        <v>232</v>
      </c>
      <c r="D72" t="s">
        <v>234</v>
      </c>
      <c r="E72" s="14">
        <v>31304227</v>
      </c>
      <c r="F72" s="14">
        <v>1032569</v>
      </c>
      <c r="G72" s="1">
        <f t="shared" si="1"/>
        <v>32336796</v>
      </c>
    </row>
    <row r="73" spans="1:7" x14ac:dyDescent="0.2">
      <c r="A73">
        <v>2016</v>
      </c>
      <c r="B73" s="13" t="s">
        <v>71</v>
      </c>
      <c r="C73" t="s">
        <v>232</v>
      </c>
      <c r="D73" t="s">
        <v>234</v>
      </c>
      <c r="E73" s="14">
        <v>5729237</v>
      </c>
      <c r="F73" s="14">
        <v>188979</v>
      </c>
      <c r="G73" s="1">
        <f t="shared" si="1"/>
        <v>5918216</v>
      </c>
    </row>
    <row r="74" spans="1:7" x14ac:dyDescent="0.2">
      <c r="A74">
        <v>2016</v>
      </c>
      <c r="B74" s="13" t="s">
        <v>72</v>
      </c>
      <c r="C74" t="s">
        <v>232</v>
      </c>
      <c r="D74" t="s">
        <v>234</v>
      </c>
      <c r="E74" s="14">
        <v>11368968</v>
      </c>
      <c r="F74" s="14">
        <v>375005</v>
      </c>
      <c r="G74" s="1">
        <f t="shared" si="1"/>
        <v>11743973</v>
      </c>
    </row>
    <row r="75" spans="1:7" x14ac:dyDescent="0.2">
      <c r="A75">
        <v>2016</v>
      </c>
      <c r="B75" s="13" t="s">
        <v>73</v>
      </c>
      <c r="C75" t="s">
        <v>232</v>
      </c>
      <c r="D75" t="s">
        <v>234</v>
      </c>
      <c r="E75" s="14">
        <v>20616858</v>
      </c>
      <c r="F75" s="14">
        <v>680046</v>
      </c>
      <c r="G75" s="1">
        <f t="shared" si="1"/>
        <v>21296904</v>
      </c>
    </row>
    <row r="76" spans="1:7" x14ac:dyDescent="0.2">
      <c r="A76">
        <v>2016</v>
      </c>
      <c r="B76" s="13" t="s">
        <v>74</v>
      </c>
      <c r="C76" t="s">
        <v>232</v>
      </c>
      <c r="D76" t="s">
        <v>234</v>
      </c>
      <c r="E76" s="14">
        <v>5143258</v>
      </c>
      <c r="F76" s="14">
        <v>169650</v>
      </c>
      <c r="G76" s="1">
        <f t="shared" si="1"/>
        <v>5312908</v>
      </c>
    </row>
    <row r="77" spans="1:7" x14ac:dyDescent="0.2">
      <c r="A77">
        <v>2016</v>
      </c>
      <c r="B77" s="13" t="s">
        <v>75</v>
      </c>
      <c r="C77" t="s">
        <v>232</v>
      </c>
      <c r="D77" t="s">
        <v>234</v>
      </c>
      <c r="E77" s="14">
        <v>10883611</v>
      </c>
      <c r="F77" s="14">
        <v>358996</v>
      </c>
      <c r="G77" s="1">
        <f t="shared" si="1"/>
        <v>11242607</v>
      </c>
    </row>
    <row r="78" spans="1:7" x14ac:dyDescent="0.2">
      <c r="A78">
        <v>2016</v>
      </c>
      <c r="B78" s="13" t="s">
        <v>76</v>
      </c>
      <c r="C78" t="s">
        <v>232</v>
      </c>
      <c r="D78" t="s">
        <v>234</v>
      </c>
      <c r="E78" s="14">
        <v>2484184</v>
      </c>
      <c r="F78" s="14">
        <v>81941</v>
      </c>
      <c r="G78" s="1">
        <f t="shared" si="1"/>
        <v>2566125</v>
      </c>
    </row>
    <row r="79" spans="1:7" x14ac:dyDescent="0.2">
      <c r="A79">
        <v>2016</v>
      </c>
      <c r="B79" s="13" t="s">
        <v>277</v>
      </c>
      <c r="C79" t="s">
        <v>232</v>
      </c>
      <c r="D79" t="s">
        <v>234</v>
      </c>
      <c r="E79" s="14">
        <v>16234</v>
      </c>
      <c r="F79" s="13">
        <v>535</v>
      </c>
      <c r="G79" s="1">
        <f t="shared" si="1"/>
        <v>16769</v>
      </c>
    </row>
    <row r="80" spans="1:7" x14ac:dyDescent="0.2">
      <c r="A80">
        <v>2016</v>
      </c>
      <c r="B80" s="13" t="s">
        <v>78</v>
      </c>
      <c r="C80" t="s">
        <v>232</v>
      </c>
      <c r="D80" t="s">
        <v>234</v>
      </c>
      <c r="E80" s="14">
        <v>9435644</v>
      </c>
      <c r="F80" s="14">
        <v>311234</v>
      </c>
      <c r="G80" s="1">
        <f t="shared" si="1"/>
        <v>9746878</v>
      </c>
    </row>
    <row r="81" spans="1:7" x14ac:dyDescent="0.2">
      <c r="A81">
        <v>2016</v>
      </c>
      <c r="B81" s="13" t="s">
        <v>79</v>
      </c>
      <c r="C81" t="s">
        <v>232</v>
      </c>
      <c r="D81" t="s">
        <v>234</v>
      </c>
      <c r="E81" s="14">
        <v>1858640</v>
      </c>
      <c r="F81" s="14">
        <v>61307</v>
      </c>
      <c r="G81" s="1">
        <f t="shared" si="1"/>
        <v>1919947</v>
      </c>
    </row>
    <row r="82" spans="1:7" x14ac:dyDescent="0.2">
      <c r="A82">
        <v>2016</v>
      </c>
      <c r="B82" s="13" t="s">
        <v>80</v>
      </c>
      <c r="C82" t="s">
        <v>232</v>
      </c>
      <c r="D82" t="s">
        <v>234</v>
      </c>
      <c r="E82" s="14">
        <v>239373</v>
      </c>
      <c r="F82" s="14">
        <v>7896</v>
      </c>
      <c r="G82" s="1">
        <f t="shared" si="1"/>
        <v>247269</v>
      </c>
    </row>
    <row r="83" spans="1:7" x14ac:dyDescent="0.2">
      <c r="A83">
        <v>2016</v>
      </c>
      <c r="B83" s="13" t="s">
        <v>81</v>
      </c>
      <c r="C83" t="s">
        <v>232</v>
      </c>
      <c r="D83" t="s">
        <v>234</v>
      </c>
      <c r="E83" s="14">
        <v>6251566</v>
      </c>
      <c r="F83" s="14">
        <v>206208</v>
      </c>
      <c r="G83" s="1">
        <f t="shared" si="1"/>
        <v>6457774</v>
      </c>
    </row>
    <row r="84" spans="1:7" x14ac:dyDescent="0.2">
      <c r="A84">
        <v>2016</v>
      </c>
      <c r="B84" s="13" t="s">
        <v>82</v>
      </c>
      <c r="C84" t="s">
        <v>232</v>
      </c>
      <c r="D84" t="s">
        <v>234</v>
      </c>
      <c r="E84" s="14">
        <v>9129089</v>
      </c>
      <c r="F84" s="14">
        <v>301123</v>
      </c>
      <c r="G84" s="1">
        <f t="shared" si="1"/>
        <v>9430212</v>
      </c>
    </row>
    <row r="85" spans="1:7" x14ac:dyDescent="0.2">
      <c r="A85">
        <v>2016</v>
      </c>
      <c r="B85" s="13" t="s">
        <v>83</v>
      </c>
      <c r="C85" t="s">
        <v>232</v>
      </c>
      <c r="D85" t="s">
        <v>234</v>
      </c>
      <c r="E85" s="14">
        <v>1057036</v>
      </c>
      <c r="F85" s="14">
        <v>34866</v>
      </c>
      <c r="G85" s="1">
        <f t="shared" si="1"/>
        <v>1091902</v>
      </c>
    </row>
    <row r="86" spans="1:7" x14ac:dyDescent="0.2">
      <c r="A86">
        <v>2016</v>
      </c>
      <c r="B86" s="13" t="s">
        <v>85</v>
      </c>
      <c r="C86" t="s">
        <v>232</v>
      </c>
      <c r="D86" t="s">
        <v>234</v>
      </c>
      <c r="E86" s="14">
        <v>83022</v>
      </c>
      <c r="F86" s="14">
        <v>2738</v>
      </c>
      <c r="G86" s="1">
        <f t="shared" si="1"/>
        <v>85760</v>
      </c>
    </row>
    <row r="87" spans="1:7" x14ac:dyDescent="0.2">
      <c r="A87">
        <v>2016</v>
      </c>
      <c r="B87" s="13" t="s">
        <v>86</v>
      </c>
      <c r="C87" t="s">
        <v>232</v>
      </c>
      <c r="D87" t="s">
        <v>234</v>
      </c>
      <c r="E87" s="14">
        <v>35941</v>
      </c>
      <c r="F87" s="14">
        <v>1186</v>
      </c>
      <c r="G87" s="1">
        <f t="shared" si="1"/>
        <v>37127</v>
      </c>
    </row>
    <row r="88" spans="1:7" x14ac:dyDescent="0.2">
      <c r="A88">
        <v>2016</v>
      </c>
      <c r="B88" s="13" t="s">
        <v>289</v>
      </c>
      <c r="C88" t="s">
        <v>232</v>
      </c>
      <c r="D88" t="s">
        <v>234</v>
      </c>
      <c r="E88" s="14">
        <v>1710417</v>
      </c>
      <c r="F88" s="14">
        <v>56418</v>
      </c>
      <c r="G88" s="1">
        <f t="shared" si="1"/>
        <v>1766835</v>
      </c>
    </row>
    <row r="89" spans="1:7" x14ac:dyDescent="0.2">
      <c r="A89">
        <v>2016</v>
      </c>
      <c r="B89" s="13" t="s">
        <v>282</v>
      </c>
      <c r="C89" t="s">
        <v>232</v>
      </c>
      <c r="D89" t="s">
        <v>234</v>
      </c>
      <c r="E89" s="14">
        <v>1214418</v>
      </c>
      <c r="F89" s="14">
        <v>40058</v>
      </c>
      <c r="G89" s="1">
        <f t="shared" si="1"/>
        <v>1254476</v>
      </c>
    </row>
    <row r="90" spans="1:7" x14ac:dyDescent="0.2">
      <c r="A90">
        <v>2016</v>
      </c>
      <c r="B90" s="13" t="s">
        <v>88</v>
      </c>
      <c r="C90" t="s">
        <v>232</v>
      </c>
      <c r="D90" t="s">
        <v>234</v>
      </c>
      <c r="E90" s="14">
        <v>2080366</v>
      </c>
      <c r="F90" s="14">
        <v>68621</v>
      </c>
      <c r="G90" s="1">
        <f t="shared" si="1"/>
        <v>2148987</v>
      </c>
    </row>
    <row r="91" spans="1:7" x14ac:dyDescent="0.2">
      <c r="A91">
        <v>2016</v>
      </c>
      <c r="B91" s="13" t="s">
        <v>89</v>
      </c>
      <c r="C91" t="s">
        <v>232</v>
      </c>
      <c r="D91" t="s">
        <v>234</v>
      </c>
      <c r="E91" s="14">
        <v>38998</v>
      </c>
      <c r="F91" s="14">
        <v>1286</v>
      </c>
      <c r="G91" s="1">
        <f t="shared" si="1"/>
        <v>40284</v>
      </c>
    </row>
    <row r="92" spans="1:7" x14ac:dyDescent="0.2">
      <c r="A92">
        <v>2016</v>
      </c>
      <c r="B92" s="13" t="s">
        <v>237</v>
      </c>
      <c r="C92" t="s">
        <v>232</v>
      </c>
      <c r="D92" t="s">
        <v>234</v>
      </c>
      <c r="E92" s="14">
        <v>16156507</v>
      </c>
      <c r="F92" s="14">
        <v>532922</v>
      </c>
      <c r="G92" s="1">
        <f t="shared" si="1"/>
        <v>16689429</v>
      </c>
    </row>
    <row r="93" spans="1:7" x14ac:dyDescent="0.2">
      <c r="A93">
        <v>2016</v>
      </c>
      <c r="B93" s="13" t="s">
        <v>91</v>
      </c>
      <c r="C93" t="s">
        <v>232</v>
      </c>
      <c r="D93" t="s">
        <v>234</v>
      </c>
      <c r="E93" s="14">
        <v>1213434</v>
      </c>
      <c r="F93" s="14">
        <v>40025</v>
      </c>
      <c r="G93" s="1">
        <f t="shared" si="1"/>
        <v>1253459</v>
      </c>
    </row>
    <row r="94" spans="1:7" x14ac:dyDescent="0.2">
      <c r="A94">
        <v>2016</v>
      </c>
      <c r="B94" s="13" t="s">
        <v>92</v>
      </c>
      <c r="C94" t="s">
        <v>232</v>
      </c>
      <c r="D94" t="s">
        <v>234</v>
      </c>
      <c r="E94" s="14">
        <v>1541016</v>
      </c>
      <c r="F94" s="14">
        <v>50830</v>
      </c>
      <c r="G94" s="1">
        <f t="shared" si="1"/>
        <v>1591846</v>
      </c>
    </row>
    <row r="95" spans="1:7" x14ac:dyDescent="0.2">
      <c r="A95">
        <v>2016</v>
      </c>
      <c r="B95" s="13" t="s">
        <v>93</v>
      </c>
      <c r="C95" t="s">
        <v>232</v>
      </c>
      <c r="D95" t="s">
        <v>234</v>
      </c>
      <c r="E95" s="14">
        <v>1135855</v>
      </c>
      <c r="F95" s="14">
        <v>37466</v>
      </c>
      <c r="G95" s="1">
        <f t="shared" si="1"/>
        <v>1173321</v>
      </c>
    </row>
    <row r="96" spans="1:7" x14ac:dyDescent="0.2">
      <c r="A96">
        <v>2016</v>
      </c>
      <c r="B96" s="13" t="s">
        <v>94</v>
      </c>
      <c r="C96" t="s">
        <v>232</v>
      </c>
      <c r="D96" t="s">
        <v>234</v>
      </c>
      <c r="E96" s="14">
        <v>30846</v>
      </c>
      <c r="F96" s="14">
        <v>1017</v>
      </c>
      <c r="G96" s="1">
        <f t="shared" si="1"/>
        <v>31863</v>
      </c>
    </row>
    <row r="97" spans="1:7" x14ac:dyDescent="0.2">
      <c r="A97">
        <v>2016</v>
      </c>
      <c r="B97" s="13" t="s">
        <v>95</v>
      </c>
      <c r="C97" t="s">
        <v>232</v>
      </c>
      <c r="D97" t="s">
        <v>234</v>
      </c>
      <c r="E97" s="14">
        <v>230295</v>
      </c>
      <c r="F97" s="14">
        <v>7596</v>
      </c>
      <c r="G97" s="1">
        <f t="shared" si="1"/>
        <v>237891</v>
      </c>
    </row>
    <row r="98" spans="1:7" x14ac:dyDescent="0.2">
      <c r="A98">
        <v>2016</v>
      </c>
      <c r="B98" s="13" t="s">
        <v>296</v>
      </c>
      <c r="C98" t="s">
        <v>232</v>
      </c>
      <c r="D98" t="s">
        <v>234</v>
      </c>
      <c r="E98" s="14">
        <v>17866</v>
      </c>
      <c r="F98" s="13">
        <v>589</v>
      </c>
      <c r="G98" s="1">
        <f t="shared" si="1"/>
        <v>18455</v>
      </c>
    </row>
    <row r="99" spans="1:7" x14ac:dyDescent="0.2">
      <c r="A99">
        <v>2016</v>
      </c>
      <c r="B99" s="13" t="s">
        <v>96</v>
      </c>
      <c r="C99" t="s">
        <v>232</v>
      </c>
      <c r="D99" t="s">
        <v>234</v>
      </c>
      <c r="E99" s="14">
        <v>49303</v>
      </c>
      <c r="F99" s="14">
        <v>1626</v>
      </c>
      <c r="G99" s="1">
        <f t="shared" si="1"/>
        <v>50929</v>
      </c>
    </row>
    <row r="100" spans="1:7" x14ac:dyDescent="0.2">
      <c r="A100">
        <v>2016</v>
      </c>
      <c r="B100" s="13" t="s">
        <v>97</v>
      </c>
      <c r="C100" t="s">
        <v>232</v>
      </c>
      <c r="D100" t="s">
        <v>234</v>
      </c>
      <c r="E100" s="14">
        <v>29480</v>
      </c>
      <c r="F100" s="13">
        <v>972</v>
      </c>
      <c r="G100" s="1">
        <f t="shared" si="1"/>
        <v>30452</v>
      </c>
    </row>
    <row r="101" spans="1:7" x14ac:dyDescent="0.2">
      <c r="A101">
        <v>2016</v>
      </c>
      <c r="B101" s="13" t="s">
        <v>98</v>
      </c>
      <c r="C101" t="s">
        <v>232</v>
      </c>
      <c r="D101" t="s">
        <v>234</v>
      </c>
      <c r="E101" s="14">
        <v>1099057</v>
      </c>
      <c r="F101" s="14">
        <v>36252</v>
      </c>
      <c r="G101" s="1">
        <f t="shared" si="1"/>
        <v>1135309</v>
      </c>
    </row>
    <row r="102" spans="1:7" x14ac:dyDescent="0.2">
      <c r="A102">
        <v>2016</v>
      </c>
      <c r="B102" s="13" t="s">
        <v>99</v>
      </c>
      <c r="C102" t="s">
        <v>232</v>
      </c>
      <c r="D102" t="s">
        <v>234</v>
      </c>
      <c r="E102" s="14">
        <v>35374</v>
      </c>
      <c r="F102" s="14">
        <v>1167</v>
      </c>
      <c r="G102" s="1">
        <f t="shared" si="1"/>
        <v>36541</v>
      </c>
    </row>
    <row r="103" spans="1:7" x14ac:dyDescent="0.2">
      <c r="A103">
        <v>2016</v>
      </c>
      <c r="B103" s="13" t="s">
        <v>100</v>
      </c>
      <c r="C103" t="s">
        <v>232</v>
      </c>
      <c r="D103" t="s">
        <v>234</v>
      </c>
      <c r="E103" s="14">
        <v>13536</v>
      </c>
      <c r="F103" s="13">
        <v>446</v>
      </c>
      <c r="G103" s="1">
        <f t="shared" si="1"/>
        <v>13982</v>
      </c>
    </row>
    <row r="104" spans="1:7" x14ac:dyDescent="0.2">
      <c r="A104">
        <v>2016</v>
      </c>
      <c r="B104" s="13" t="s">
        <v>297</v>
      </c>
      <c r="C104" t="s">
        <v>232</v>
      </c>
      <c r="D104" t="s">
        <v>234</v>
      </c>
      <c r="E104" s="14">
        <v>1077</v>
      </c>
      <c r="F104" s="13">
        <v>36</v>
      </c>
      <c r="G104" s="1">
        <f t="shared" si="1"/>
        <v>1113</v>
      </c>
    </row>
    <row r="105" spans="1:7" x14ac:dyDescent="0.2">
      <c r="A105">
        <v>2016</v>
      </c>
      <c r="B105" s="13" t="s">
        <v>101</v>
      </c>
      <c r="C105" t="s">
        <v>232</v>
      </c>
      <c r="D105" t="s">
        <v>234</v>
      </c>
      <c r="E105" s="14">
        <v>84735</v>
      </c>
      <c r="F105" s="14">
        <v>2795</v>
      </c>
      <c r="G105" s="1">
        <f t="shared" si="1"/>
        <v>87530</v>
      </c>
    </row>
    <row r="106" spans="1:7" x14ac:dyDescent="0.2">
      <c r="A106">
        <v>2016</v>
      </c>
      <c r="B106" s="13" t="s">
        <v>102</v>
      </c>
      <c r="C106" t="s">
        <v>232</v>
      </c>
      <c r="D106" t="s">
        <v>234</v>
      </c>
      <c r="E106" s="14">
        <v>81771</v>
      </c>
      <c r="F106" s="14">
        <v>2697</v>
      </c>
      <c r="G106" s="1">
        <f t="shared" si="1"/>
        <v>84468</v>
      </c>
    </row>
    <row r="107" spans="1:7" x14ac:dyDescent="0.2">
      <c r="A107">
        <v>2016</v>
      </c>
      <c r="B107" s="13" t="s">
        <v>103</v>
      </c>
      <c r="C107" t="s">
        <v>232</v>
      </c>
      <c r="D107" t="s">
        <v>234</v>
      </c>
      <c r="E107" s="14">
        <v>3713563</v>
      </c>
      <c r="F107" s="14">
        <v>122492</v>
      </c>
      <c r="G107" s="1">
        <f t="shared" si="1"/>
        <v>3836055</v>
      </c>
    </row>
    <row r="108" spans="1:7" x14ac:dyDescent="0.2">
      <c r="A108">
        <v>2016</v>
      </c>
      <c r="B108" s="13" t="s">
        <v>238</v>
      </c>
      <c r="C108" t="s">
        <v>232</v>
      </c>
      <c r="D108" t="s">
        <v>234</v>
      </c>
      <c r="E108" s="14">
        <v>687168</v>
      </c>
      <c r="F108" s="14">
        <v>22666</v>
      </c>
      <c r="G108" s="1">
        <f t="shared" si="1"/>
        <v>709834</v>
      </c>
    </row>
    <row r="109" spans="1:7" x14ac:dyDescent="0.2">
      <c r="A109">
        <v>2016</v>
      </c>
      <c r="B109" s="13" t="s">
        <v>105</v>
      </c>
      <c r="C109" t="s">
        <v>232</v>
      </c>
      <c r="D109" t="s">
        <v>234</v>
      </c>
      <c r="E109" s="14">
        <v>3066863</v>
      </c>
      <c r="F109" s="14">
        <v>101160</v>
      </c>
      <c r="G109" s="1">
        <f t="shared" si="1"/>
        <v>3168023</v>
      </c>
    </row>
    <row r="110" spans="1:7" x14ac:dyDescent="0.2">
      <c r="A110">
        <v>2016</v>
      </c>
      <c r="B110" s="13" t="s">
        <v>298</v>
      </c>
      <c r="C110" t="s">
        <v>232</v>
      </c>
      <c r="D110" t="s">
        <v>234</v>
      </c>
      <c r="E110" s="14">
        <v>70655</v>
      </c>
      <c r="F110" s="14">
        <v>2331</v>
      </c>
      <c r="G110" s="1">
        <f t="shared" si="1"/>
        <v>72986</v>
      </c>
    </row>
    <row r="111" spans="1:7" x14ac:dyDescent="0.2">
      <c r="A111">
        <v>2016</v>
      </c>
      <c r="B111" s="13" t="s">
        <v>106</v>
      </c>
      <c r="C111" t="s">
        <v>232</v>
      </c>
      <c r="D111" t="s">
        <v>234</v>
      </c>
      <c r="E111" s="14">
        <v>55707</v>
      </c>
      <c r="F111" s="14">
        <v>1837</v>
      </c>
      <c r="G111" s="1">
        <f t="shared" si="1"/>
        <v>57544</v>
      </c>
    </row>
    <row r="112" spans="1:7" x14ac:dyDescent="0.2">
      <c r="A112">
        <v>2016</v>
      </c>
      <c r="B112" s="13" t="s">
        <v>107</v>
      </c>
      <c r="C112" t="s">
        <v>232</v>
      </c>
      <c r="D112" t="s">
        <v>234</v>
      </c>
      <c r="E112" s="14">
        <v>420573</v>
      </c>
      <c r="F112" s="14">
        <v>13873</v>
      </c>
      <c r="G112" s="1">
        <f t="shared" si="1"/>
        <v>434446</v>
      </c>
    </row>
    <row r="113" spans="1:7" x14ac:dyDescent="0.2">
      <c r="A113">
        <v>2016</v>
      </c>
      <c r="B113" s="13" t="s">
        <v>108</v>
      </c>
      <c r="C113" t="s">
        <v>232</v>
      </c>
      <c r="D113" t="s">
        <v>234</v>
      </c>
      <c r="E113" s="14">
        <v>5267547</v>
      </c>
      <c r="F113" s="14">
        <v>173750</v>
      </c>
      <c r="G113" s="1">
        <f t="shared" si="1"/>
        <v>5441297</v>
      </c>
    </row>
    <row r="114" spans="1:7" x14ac:dyDescent="0.2">
      <c r="A114">
        <v>2016</v>
      </c>
      <c r="B114" s="13" t="s">
        <v>109</v>
      </c>
      <c r="C114" t="s">
        <v>232</v>
      </c>
      <c r="D114" t="s">
        <v>234</v>
      </c>
      <c r="E114" s="14">
        <v>842466</v>
      </c>
      <c r="F114" s="14">
        <v>27789</v>
      </c>
      <c r="G114" s="1">
        <f t="shared" si="1"/>
        <v>870255</v>
      </c>
    </row>
    <row r="115" spans="1:7" x14ac:dyDescent="0.2">
      <c r="A115">
        <v>2016</v>
      </c>
      <c r="B115" s="13" t="s">
        <v>110</v>
      </c>
      <c r="C115" t="s">
        <v>232</v>
      </c>
      <c r="D115" t="s">
        <v>234</v>
      </c>
      <c r="E115" s="14">
        <v>2271015</v>
      </c>
      <c r="F115" s="14">
        <v>74909</v>
      </c>
      <c r="G115" s="1">
        <f t="shared" si="1"/>
        <v>2345924</v>
      </c>
    </row>
    <row r="116" spans="1:7" x14ac:dyDescent="0.2">
      <c r="A116">
        <v>2016</v>
      </c>
      <c r="B116" s="13" t="s">
        <v>111</v>
      </c>
      <c r="C116" t="s">
        <v>232</v>
      </c>
      <c r="D116" t="s">
        <v>234</v>
      </c>
      <c r="E116" s="14">
        <v>418767</v>
      </c>
      <c r="F116" s="14">
        <v>13813</v>
      </c>
      <c r="G116" s="1">
        <f t="shared" si="1"/>
        <v>432580</v>
      </c>
    </row>
    <row r="117" spans="1:7" x14ac:dyDescent="0.2">
      <c r="A117">
        <v>2016</v>
      </c>
      <c r="B117" s="13" t="s">
        <v>112</v>
      </c>
      <c r="C117" t="s">
        <v>232</v>
      </c>
      <c r="D117" t="s">
        <v>234</v>
      </c>
      <c r="E117" s="14">
        <v>609125</v>
      </c>
      <c r="F117" s="14">
        <v>20092</v>
      </c>
      <c r="G117" s="1">
        <f t="shared" si="1"/>
        <v>629217</v>
      </c>
    </row>
    <row r="118" spans="1:7" x14ac:dyDescent="0.2">
      <c r="A118">
        <v>2016</v>
      </c>
      <c r="B118" s="13" t="s">
        <v>113</v>
      </c>
      <c r="C118" t="s">
        <v>232</v>
      </c>
      <c r="D118" t="s">
        <v>234</v>
      </c>
      <c r="E118" s="14">
        <v>1709653</v>
      </c>
      <c r="F118" s="14">
        <v>56393</v>
      </c>
      <c r="G118" s="1">
        <f t="shared" si="1"/>
        <v>1766046</v>
      </c>
    </row>
    <row r="119" spans="1:7" x14ac:dyDescent="0.2">
      <c r="A119">
        <v>2016</v>
      </c>
      <c r="B119" s="13" t="s">
        <v>114</v>
      </c>
      <c r="C119" t="s">
        <v>232</v>
      </c>
      <c r="D119" t="s">
        <v>234</v>
      </c>
      <c r="E119" s="14">
        <v>1028413</v>
      </c>
      <c r="F119" s="14">
        <v>33922</v>
      </c>
      <c r="G119" s="1">
        <f t="shared" si="1"/>
        <v>1062335</v>
      </c>
    </row>
    <row r="120" spans="1:7" x14ac:dyDescent="0.2">
      <c r="A120">
        <v>2016</v>
      </c>
      <c r="B120" s="13" t="s">
        <v>115</v>
      </c>
      <c r="C120" t="s">
        <v>232</v>
      </c>
      <c r="D120" t="s">
        <v>234</v>
      </c>
      <c r="E120" s="14">
        <v>2636332</v>
      </c>
      <c r="F120" s="14">
        <v>86959</v>
      </c>
      <c r="G120" s="1">
        <f t="shared" si="1"/>
        <v>2723291</v>
      </c>
    </row>
    <row r="121" spans="1:7" x14ac:dyDescent="0.2">
      <c r="A121">
        <v>2016</v>
      </c>
      <c r="B121" s="13" t="s">
        <v>116</v>
      </c>
      <c r="C121" t="s">
        <v>232</v>
      </c>
      <c r="D121" t="s">
        <v>234</v>
      </c>
      <c r="E121" s="14">
        <v>1515438</v>
      </c>
      <c r="F121" s="14">
        <v>49987</v>
      </c>
      <c r="G121" s="1">
        <f t="shared" si="1"/>
        <v>1565425</v>
      </c>
    </row>
    <row r="122" spans="1:7" x14ac:dyDescent="0.2">
      <c r="A122">
        <v>2016</v>
      </c>
      <c r="B122" s="13" t="s">
        <v>117</v>
      </c>
      <c r="C122" t="s">
        <v>232</v>
      </c>
      <c r="D122" t="s">
        <v>234</v>
      </c>
      <c r="E122" s="14">
        <v>6655268</v>
      </c>
      <c r="F122" s="14">
        <v>219524</v>
      </c>
      <c r="G122" s="1">
        <f t="shared" si="1"/>
        <v>6874792</v>
      </c>
    </row>
    <row r="123" spans="1:7" x14ac:dyDescent="0.2">
      <c r="A123">
        <v>2016</v>
      </c>
      <c r="B123" s="13" t="s">
        <v>120</v>
      </c>
      <c r="C123" t="s">
        <v>232</v>
      </c>
      <c r="D123" t="s">
        <v>234</v>
      </c>
      <c r="E123" s="14">
        <v>4841787</v>
      </c>
      <c r="F123" s="14">
        <v>159706</v>
      </c>
      <c r="G123" s="1">
        <f t="shared" si="1"/>
        <v>5001493</v>
      </c>
    </row>
    <row r="124" spans="1:7" x14ac:dyDescent="0.2">
      <c r="A124">
        <v>2016</v>
      </c>
      <c r="B124" s="13" t="s">
        <v>121</v>
      </c>
      <c r="C124" t="s">
        <v>232</v>
      </c>
      <c r="D124" t="s">
        <v>234</v>
      </c>
      <c r="E124" s="14">
        <v>1136214</v>
      </c>
      <c r="F124" s="14">
        <v>37478</v>
      </c>
      <c r="G124" s="1">
        <f t="shared" si="1"/>
        <v>1173692</v>
      </c>
    </row>
    <row r="125" spans="1:7" x14ac:dyDescent="0.2">
      <c r="A125">
        <v>2016</v>
      </c>
      <c r="B125" s="13" t="s">
        <v>122</v>
      </c>
      <c r="C125" t="s">
        <v>232</v>
      </c>
      <c r="D125" t="s">
        <v>234</v>
      </c>
      <c r="E125" s="14">
        <v>1056110</v>
      </c>
      <c r="F125" s="14">
        <v>34836</v>
      </c>
      <c r="G125" s="1">
        <f t="shared" si="1"/>
        <v>1090946</v>
      </c>
    </row>
    <row r="126" spans="1:7" x14ac:dyDescent="0.2">
      <c r="A126">
        <v>2016</v>
      </c>
      <c r="B126" s="13" t="s">
        <v>290</v>
      </c>
      <c r="C126" t="s">
        <v>232</v>
      </c>
      <c r="D126" t="s">
        <v>234</v>
      </c>
      <c r="E126" s="14">
        <v>661497</v>
      </c>
      <c r="F126" s="14">
        <v>21819</v>
      </c>
      <c r="G126" s="1">
        <f t="shared" si="1"/>
        <v>683316</v>
      </c>
    </row>
    <row r="127" spans="1:7" x14ac:dyDescent="0.2">
      <c r="A127">
        <v>2016</v>
      </c>
      <c r="B127" s="13" t="s">
        <v>240</v>
      </c>
      <c r="C127" t="s">
        <v>232</v>
      </c>
      <c r="D127" t="s">
        <v>234</v>
      </c>
      <c r="E127" s="14">
        <v>2311796</v>
      </c>
      <c r="F127" s="14">
        <v>76255</v>
      </c>
      <c r="G127" s="1">
        <f t="shared" si="1"/>
        <v>2388051</v>
      </c>
    </row>
    <row r="128" spans="1:7" x14ac:dyDescent="0.2">
      <c r="A128">
        <v>2016</v>
      </c>
      <c r="B128" s="13" t="s">
        <v>124</v>
      </c>
      <c r="C128" t="s">
        <v>232</v>
      </c>
      <c r="D128" t="s">
        <v>234</v>
      </c>
      <c r="E128" s="14">
        <v>641686</v>
      </c>
      <c r="F128" s="14">
        <v>21166</v>
      </c>
      <c r="G128" s="1">
        <f t="shared" si="1"/>
        <v>662852</v>
      </c>
    </row>
    <row r="129" spans="1:7" x14ac:dyDescent="0.2">
      <c r="A129">
        <v>2016</v>
      </c>
      <c r="B129" s="13" t="s">
        <v>125</v>
      </c>
      <c r="C129" t="s">
        <v>232</v>
      </c>
      <c r="D129" t="s">
        <v>234</v>
      </c>
      <c r="E129" s="14">
        <v>955986</v>
      </c>
      <c r="F129" s="14">
        <v>31533</v>
      </c>
      <c r="G129" s="1">
        <f t="shared" si="1"/>
        <v>987519</v>
      </c>
    </row>
    <row r="130" spans="1:7" x14ac:dyDescent="0.2">
      <c r="A130">
        <v>2016</v>
      </c>
      <c r="B130" s="13" t="s">
        <v>126</v>
      </c>
      <c r="C130" t="s">
        <v>232</v>
      </c>
      <c r="D130" t="s">
        <v>234</v>
      </c>
      <c r="E130" s="14">
        <v>1126939</v>
      </c>
      <c r="F130" s="14">
        <v>37172</v>
      </c>
      <c r="G130" s="1">
        <f t="shared" si="1"/>
        <v>1164111</v>
      </c>
    </row>
    <row r="131" spans="1:7" x14ac:dyDescent="0.2">
      <c r="A131">
        <v>2016</v>
      </c>
      <c r="B131" s="13" t="s">
        <v>127</v>
      </c>
      <c r="C131" t="s">
        <v>232</v>
      </c>
      <c r="D131" t="s">
        <v>234</v>
      </c>
      <c r="E131" s="14">
        <v>2075364</v>
      </c>
      <c r="F131" s="14">
        <v>68456</v>
      </c>
      <c r="G131" s="1">
        <f t="shared" ref="G131:G194" si="2">SUM(E131:F131)</f>
        <v>2143820</v>
      </c>
    </row>
    <row r="132" spans="1:7" x14ac:dyDescent="0.2">
      <c r="A132">
        <v>2016</v>
      </c>
      <c r="B132" s="13" t="s">
        <v>128</v>
      </c>
      <c r="C132" t="s">
        <v>232</v>
      </c>
      <c r="D132" t="s">
        <v>234</v>
      </c>
      <c r="E132" s="14">
        <v>311776</v>
      </c>
      <c r="F132" s="14">
        <v>10284</v>
      </c>
      <c r="G132" s="1">
        <f t="shared" si="2"/>
        <v>322060</v>
      </c>
    </row>
    <row r="133" spans="1:7" x14ac:dyDescent="0.2">
      <c r="A133">
        <v>2016</v>
      </c>
      <c r="B133" s="13" t="s">
        <v>129</v>
      </c>
      <c r="C133" t="s">
        <v>232</v>
      </c>
      <c r="D133" t="s">
        <v>234</v>
      </c>
      <c r="E133" s="14">
        <v>5645185</v>
      </c>
      <c r="F133" s="14">
        <v>186206</v>
      </c>
      <c r="G133" s="1">
        <f t="shared" si="2"/>
        <v>5831391</v>
      </c>
    </row>
    <row r="134" spans="1:7" x14ac:dyDescent="0.2">
      <c r="A134">
        <v>2016</v>
      </c>
      <c r="B134" s="13" t="s">
        <v>130</v>
      </c>
      <c r="C134" t="s">
        <v>232</v>
      </c>
      <c r="D134" t="s">
        <v>234</v>
      </c>
      <c r="E134" s="14">
        <v>182613</v>
      </c>
      <c r="F134" s="14">
        <v>6023</v>
      </c>
      <c r="G134" s="1">
        <f t="shared" si="2"/>
        <v>188636</v>
      </c>
    </row>
    <row r="135" spans="1:7" x14ac:dyDescent="0.2">
      <c r="A135">
        <v>2016</v>
      </c>
      <c r="B135" s="13" t="s">
        <v>131</v>
      </c>
      <c r="C135" t="s">
        <v>232</v>
      </c>
      <c r="D135" t="s">
        <v>234</v>
      </c>
      <c r="E135" s="14">
        <v>39600</v>
      </c>
      <c r="F135" s="14">
        <v>1306</v>
      </c>
      <c r="G135" s="1">
        <f t="shared" si="2"/>
        <v>40906</v>
      </c>
    </row>
    <row r="136" spans="1:7" x14ac:dyDescent="0.2">
      <c r="A136">
        <v>2016</v>
      </c>
      <c r="B136" s="13" t="s">
        <v>132</v>
      </c>
      <c r="C136" t="s">
        <v>232</v>
      </c>
      <c r="D136" t="s">
        <v>234</v>
      </c>
      <c r="E136" s="14">
        <v>14601</v>
      </c>
      <c r="F136" s="13">
        <v>482</v>
      </c>
      <c r="G136" s="1">
        <f t="shared" si="2"/>
        <v>15083</v>
      </c>
    </row>
    <row r="137" spans="1:7" x14ac:dyDescent="0.2">
      <c r="A137">
        <v>2016</v>
      </c>
      <c r="B137" s="13" t="s">
        <v>299</v>
      </c>
      <c r="C137" t="s">
        <v>232</v>
      </c>
      <c r="D137" t="s">
        <v>234</v>
      </c>
      <c r="E137" s="13">
        <v>544</v>
      </c>
      <c r="F137" s="13">
        <v>18</v>
      </c>
      <c r="G137" s="1">
        <f t="shared" si="2"/>
        <v>562</v>
      </c>
    </row>
    <row r="138" spans="1:7" x14ac:dyDescent="0.2">
      <c r="A138">
        <v>2016</v>
      </c>
      <c r="B138" s="13" t="s">
        <v>133</v>
      </c>
      <c r="C138" t="s">
        <v>232</v>
      </c>
      <c r="D138" t="s">
        <v>234</v>
      </c>
      <c r="E138" s="14">
        <v>525537</v>
      </c>
      <c r="F138" s="14">
        <v>17335</v>
      </c>
      <c r="G138" s="1">
        <f t="shared" si="2"/>
        <v>542872</v>
      </c>
    </row>
    <row r="139" spans="1:7" x14ac:dyDescent="0.2">
      <c r="A139">
        <v>2016</v>
      </c>
      <c r="B139" s="13" t="s">
        <v>134</v>
      </c>
      <c r="C139" t="s">
        <v>232</v>
      </c>
      <c r="D139" t="s">
        <v>234</v>
      </c>
      <c r="E139" s="14">
        <v>904691</v>
      </c>
      <c r="F139" s="14">
        <v>29841</v>
      </c>
      <c r="G139" s="1">
        <f t="shared" si="2"/>
        <v>934532</v>
      </c>
    </row>
    <row r="140" spans="1:7" x14ac:dyDescent="0.2">
      <c r="A140">
        <v>2016</v>
      </c>
      <c r="B140" s="13" t="s">
        <v>135</v>
      </c>
      <c r="C140" t="s">
        <v>232</v>
      </c>
      <c r="D140" t="s">
        <v>234</v>
      </c>
      <c r="E140" s="14">
        <v>938560</v>
      </c>
      <c r="F140" s="14">
        <v>30958</v>
      </c>
      <c r="G140" s="1">
        <f t="shared" si="2"/>
        <v>969518</v>
      </c>
    </row>
    <row r="141" spans="1:7" x14ac:dyDescent="0.2">
      <c r="A141">
        <v>2016</v>
      </c>
      <c r="B141" s="13" t="s">
        <v>136</v>
      </c>
      <c r="C141" t="s">
        <v>232</v>
      </c>
      <c r="D141" t="s">
        <v>234</v>
      </c>
      <c r="E141" s="14">
        <v>405520</v>
      </c>
      <c r="F141" s="14">
        <v>13376</v>
      </c>
      <c r="G141" s="1">
        <f t="shared" si="2"/>
        <v>418896</v>
      </c>
    </row>
    <row r="142" spans="1:7" x14ac:dyDescent="0.2">
      <c r="A142">
        <v>2016</v>
      </c>
      <c r="B142" s="13" t="s">
        <v>137</v>
      </c>
      <c r="C142" t="s">
        <v>232</v>
      </c>
      <c r="D142" t="s">
        <v>234</v>
      </c>
      <c r="E142" s="14">
        <v>305408</v>
      </c>
      <c r="F142" s="14">
        <v>10074</v>
      </c>
      <c r="G142" s="1">
        <f t="shared" si="2"/>
        <v>315482</v>
      </c>
    </row>
    <row r="143" spans="1:7" x14ac:dyDescent="0.2">
      <c r="A143">
        <v>2016</v>
      </c>
      <c r="B143" s="13" t="s">
        <v>265</v>
      </c>
      <c r="C143" t="s">
        <v>232</v>
      </c>
      <c r="D143" t="s">
        <v>234</v>
      </c>
      <c r="E143" s="14">
        <v>2477549</v>
      </c>
      <c r="F143" s="14">
        <v>81722</v>
      </c>
      <c r="G143" s="1">
        <f t="shared" si="2"/>
        <v>2559271</v>
      </c>
    </row>
    <row r="144" spans="1:7" x14ac:dyDescent="0.2">
      <c r="A144">
        <v>2016</v>
      </c>
      <c r="B144" s="13" t="s">
        <v>266</v>
      </c>
      <c r="C144" t="s">
        <v>232</v>
      </c>
      <c r="D144" t="s">
        <v>234</v>
      </c>
      <c r="E144" s="14">
        <v>10560</v>
      </c>
      <c r="F144" s="13">
        <v>348</v>
      </c>
      <c r="G144" s="1">
        <f t="shared" si="2"/>
        <v>10908</v>
      </c>
    </row>
    <row r="145" spans="1:7" x14ac:dyDescent="0.2">
      <c r="A145">
        <v>2016</v>
      </c>
      <c r="B145" s="13" t="s">
        <v>283</v>
      </c>
      <c r="C145" t="s">
        <v>232</v>
      </c>
      <c r="D145" t="s">
        <v>234</v>
      </c>
      <c r="E145" s="14">
        <v>1113264</v>
      </c>
      <c r="F145" s="14">
        <v>36721</v>
      </c>
      <c r="G145" s="1">
        <f t="shared" si="2"/>
        <v>1149985</v>
      </c>
    </row>
    <row r="146" spans="1:7" x14ac:dyDescent="0.2">
      <c r="A146">
        <v>2016</v>
      </c>
      <c r="B146" s="13" t="s">
        <v>300</v>
      </c>
      <c r="C146" t="s">
        <v>232</v>
      </c>
      <c r="D146" t="s">
        <v>234</v>
      </c>
      <c r="E146" s="14">
        <v>38315</v>
      </c>
      <c r="F146" s="14">
        <v>1264</v>
      </c>
      <c r="G146" s="1">
        <f t="shared" si="2"/>
        <v>39579</v>
      </c>
    </row>
    <row r="147" spans="1:7" x14ac:dyDescent="0.2">
      <c r="A147">
        <v>2016</v>
      </c>
      <c r="B147" s="13" t="s">
        <v>138</v>
      </c>
      <c r="C147" t="s">
        <v>232</v>
      </c>
      <c r="D147" t="s">
        <v>234</v>
      </c>
      <c r="E147" s="14">
        <v>98827</v>
      </c>
      <c r="F147" s="14">
        <v>3260</v>
      </c>
      <c r="G147" s="1">
        <f t="shared" si="2"/>
        <v>102087</v>
      </c>
    </row>
    <row r="148" spans="1:7" x14ac:dyDescent="0.2">
      <c r="A148">
        <v>2016</v>
      </c>
      <c r="B148" s="13" t="s">
        <v>139</v>
      </c>
      <c r="C148" t="s">
        <v>232</v>
      </c>
      <c r="D148" t="s">
        <v>234</v>
      </c>
      <c r="E148" s="14">
        <v>1755228</v>
      </c>
      <c r="F148" s="14">
        <v>57896</v>
      </c>
      <c r="G148" s="1">
        <f t="shared" si="2"/>
        <v>1813124</v>
      </c>
    </row>
    <row r="149" spans="1:7" x14ac:dyDescent="0.2">
      <c r="A149">
        <v>2016</v>
      </c>
      <c r="B149" s="13" t="s">
        <v>140</v>
      </c>
      <c r="C149" t="s">
        <v>232</v>
      </c>
      <c r="D149" t="s">
        <v>234</v>
      </c>
      <c r="E149" s="14">
        <v>21375</v>
      </c>
      <c r="F149" s="13">
        <v>705</v>
      </c>
      <c r="G149" s="1">
        <f t="shared" si="2"/>
        <v>22080</v>
      </c>
    </row>
    <row r="150" spans="1:7" x14ac:dyDescent="0.2">
      <c r="A150">
        <v>2016</v>
      </c>
      <c r="B150" s="13" t="s">
        <v>141</v>
      </c>
      <c r="C150" t="s">
        <v>232</v>
      </c>
      <c r="D150" t="s">
        <v>234</v>
      </c>
      <c r="E150" s="14">
        <v>22266</v>
      </c>
      <c r="F150" s="13">
        <v>734</v>
      </c>
      <c r="G150" s="1">
        <f t="shared" si="2"/>
        <v>23000</v>
      </c>
    </row>
    <row r="151" spans="1:7" x14ac:dyDescent="0.2">
      <c r="A151">
        <v>2016</v>
      </c>
      <c r="B151" s="13" t="s">
        <v>142</v>
      </c>
      <c r="C151" t="s">
        <v>232</v>
      </c>
      <c r="D151" t="s">
        <v>234</v>
      </c>
      <c r="E151" s="14">
        <v>624317</v>
      </c>
      <c r="F151" s="14">
        <v>20593</v>
      </c>
      <c r="G151" s="1">
        <f t="shared" si="2"/>
        <v>644910</v>
      </c>
    </row>
    <row r="152" spans="1:7" x14ac:dyDescent="0.2">
      <c r="A152">
        <v>2016</v>
      </c>
      <c r="B152" s="13" t="s">
        <v>291</v>
      </c>
      <c r="C152" t="s">
        <v>232</v>
      </c>
      <c r="D152" t="s">
        <v>234</v>
      </c>
      <c r="E152" s="14">
        <v>87317</v>
      </c>
      <c r="F152" s="14">
        <v>2880</v>
      </c>
      <c r="G152" s="1">
        <f t="shared" si="2"/>
        <v>90197</v>
      </c>
    </row>
    <row r="153" spans="1:7" x14ac:dyDescent="0.2">
      <c r="A153">
        <v>2016</v>
      </c>
      <c r="B153" s="13" t="s">
        <v>143</v>
      </c>
      <c r="C153" t="s">
        <v>232</v>
      </c>
      <c r="D153" t="s">
        <v>234</v>
      </c>
      <c r="E153" s="14">
        <v>864929</v>
      </c>
      <c r="F153" s="14">
        <v>28530</v>
      </c>
      <c r="G153" s="1">
        <f t="shared" si="2"/>
        <v>893459</v>
      </c>
    </row>
    <row r="154" spans="1:7" x14ac:dyDescent="0.2">
      <c r="A154">
        <v>2016</v>
      </c>
      <c r="B154" s="13" t="s">
        <v>144</v>
      </c>
      <c r="C154" t="s">
        <v>232</v>
      </c>
      <c r="D154" t="s">
        <v>234</v>
      </c>
      <c r="E154" s="14">
        <v>505829</v>
      </c>
      <c r="F154" s="14">
        <v>16685</v>
      </c>
      <c r="G154" s="1">
        <f t="shared" si="2"/>
        <v>522514</v>
      </c>
    </row>
    <row r="155" spans="1:7" x14ac:dyDescent="0.2">
      <c r="A155">
        <v>2016</v>
      </c>
      <c r="B155" s="13" t="s">
        <v>284</v>
      </c>
      <c r="C155" t="s">
        <v>232</v>
      </c>
      <c r="D155" t="s">
        <v>234</v>
      </c>
      <c r="E155" s="14">
        <v>387480</v>
      </c>
      <c r="F155" s="14">
        <v>12781</v>
      </c>
      <c r="G155" s="1">
        <f t="shared" si="2"/>
        <v>400261</v>
      </c>
    </row>
    <row r="156" spans="1:7" x14ac:dyDescent="0.2">
      <c r="A156">
        <v>2016</v>
      </c>
      <c r="B156" s="13" t="s">
        <v>145</v>
      </c>
      <c r="C156" t="s">
        <v>232</v>
      </c>
      <c r="D156" t="s">
        <v>234</v>
      </c>
      <c r="E156" s="14">
        <v>780275</v>
      </c>
      <c r="F156" s="14">
        <v>25737</v>
      </c>
      <c r="G156" s="1">
        <f t="shared" si="2"/>
        <v>806012</v>
      </c>
    </row>
    <row r="157" spans="1:7" x14ac:dyDescent="0.2">
      <c r="A157">
        <v>2016</v>
      </c>
      <c r="B157" s="13" t="s">
        <v>146</v>
      </c>
      <c r="C157" t="s">
        <v>232</v>
      </c>
      <c r="D157" t="s">
        <v>234</v>
      </c>
      <c r="E157" s="14">
        <v>3284444</v>
      </c>
      <c r="F157" s="14">
        <v>108337</v>
      </c>
      <c r="G157" s="1">
        <f t="shared" si="2"/>
        <v>3392781</v>
      </c>
    </row>
    <row r="158" spans="1:7" x14ac:dyDescent="0.2">
      <c r="A158">
        <v>2016</v>
      </c>
      <c r="B158" s="13" t="s">
        <v>147</v>
      </c>
      <c r="C158" t="s">
        <v>232</v>
      </c>
      <c r="D158" t="s">
        <v>234</v>
      </c>
      <c r="E158" s="14">
        <v>10618</v>
      </c>
      <c r="F158" s="13">
        <v>350</v>
      </c>
      <c r="G158" s="1">
        <f t="shared" si="2"/>
        <v>10968</v>
      </c>
    </row>
    <row r="159" spans="1:7" x14ac:dyDescent="0.2">
      <c r="A159">
        <v>2016</v>
      </c>
      <c r="B159" s="13" t="s">
        <v>148</v>
      </c>
      <c r="C159" t="s">
        <v>232</v>
      </c>
      <c r="D159" t="s">
        <v>234</v>
      </c>
      <c r="E159" s="14">
        <v>87086</v>
      </c>
      <c r="F159" s="14">
        <v>2873</v>
      </c>
      <c r="G159" s="1">
        <f t="shared" si="2"/>
        <v>89959</v>
      </c>
    </row>
    <row r="160" spans="1:7" x14ac:dyDescent="0.2">
      <c r="A160">
        <v>2016</v>
      </c>
      <c r="B160" s="13" t="s">
        <v>292</v>
      </c>
      <c r="C160" t="s">
        <v>232</v>
      </c>
      <c r="D160" t="s">
        <v>234</v>
      </c>
      <c r="E160" s="14">
        <v>19059</v>
      </c>
      <c r="F160" s="13">
        <v>629</v>
      </c>
      <c r="G160" s="1">
        <f t="shared" si="2"/>
        <v>19688</v>
      </c>
    </row>
    <row r="161" spans="1:7" x14ac:dyDescent="0.2">
      <c r="A161">
        <v>2016</v>
      </c>
      <c r="B161" s="13" t="s">
        <v>285</v>
      </c>
      <c r="C161" t="s">
        <v>232</v>
      </c>
      <c r="D161" t="s">
        <v>234</v>
      </c>
      <c r="E161" s="14">
        <v>29746</v>
      </c>
      <c r="F161" s="13">
        <v>981</v>
      </c>
      <c r="G161" s="1">
        <f t="shared" si="2"/>
        <v>30727</v>
      </c>
    </row>
    <row r="162" spans="1:7" x14ac:dyDescent="0.2">
      <c r="A162">
        <v>2016</v>
      </c>
      <c r="B162" s="13" t="s">
        <v>149</v>
      </c>
      <c r="C162" t="s">
        <v>232</v>
      </c>
      <c r="D162" t="s">
        <v>234</v>
      </c>
      <c r="E162" s="14">
        <v>459224</v>
      </c>
      <c r="F162" s="14">
        <v>15147</v>
      </c>
      <c r="G162" s="1">
        <f t="shared" si="2"/>
        <v>474371</v>
      </c>
    </row>
    <row r="163" spans="1:7" x14ac:dyDescent="0.2">
      <c r="A163">
        <v>2016</v>
      </c>
      <c r="B163" s="13" t="s">
        <v>242</v>
      </c>
      <c r="C163" t="s">
        <v>232</v>
      </c>
      <c r="D163" t="s">
        <v>234</v>
      </c>
      <c r="E163" s="14">
        <v>22243</v>
      </c>
      <c r="F163" s="13">
        <v>734</v>
      </c>
      <c r="G163" s="1">
        <f t="shared" si="2"/>
        <v>22977</v>
      </c>
    </row>
    <row r="164" spans="1:7" x14ac:dyDescent="0.2">
      <c r="A164">
        <v>2016</v>
      </c>
      <c r="B164" s="13" t="s">
        <v>158</v>
      </c>
      <c r="C164" t="s">
        <v>232</v>
      </c>
      <c r="D164" t="s">
        <v>234</v>
      </c>
      <c r="E164" s="14">
        <v>202783</v>
      </c>
      <c r="F164" s="14">
        <v>6689</v>
      </c>
      <c r="G164" s="1">
        <f t="shared" si="2"/>
        <v>209472</v>
      </c>
    </row>
    <row r="165" spans="1:7" x14ac:dyDescent="0.2">
      <c r="A165">
        <v>2016</v>
      </c>
      <c r="B165" s="13" t="s">
        <v>159</v>
      </c>
      <c r="C165" t="s">
        <v>232</v>
      </c>
      <c r="D165" t="s">
        <v>234</v>
      </c>
      <c r="E165" s="14">
        <v>54410</v>
      </c>
      <c r="F165" s="14">
        <v>1795</v>
      </c>
      <c r="G165" s="1">
        <f t="shared" si="2"/>
        <v>56205</v>
      </c>
    </row>
    <row r="166" spans="1:7" x14ac:dyDescent="0.2">
      <c r="A166">
        <v>2016</v>
      </c>
      <c r="B166" s="13" t="s">
        <v>160</v>
      </c>
      <c r="C166" t="s">
        <v>232</v>
      </c>
      <c r="D166" t="s">
        <v>234</v>
      </c>
      <c r="E166" s="14">
        <v>21699</v>
      </c>
      <c r="F166" s="13">
        <v>716</v>
      </c>
      <c r="G166" s="1">
        <f t="shared" si="2"/>
        <v>22415</v>
      </c>
    </row>
    <row r="167" spans="1:7" x14ac:dyDescent="0.2">
      <c r="A167">
        <v>2016</v>
      </c>
      <c r="B167" s="13" t="s">
        <v>161</v>
      </c>
      <c r="C167" t="s">
        <v>232</v>
      </c>
      <c r="D167" t="s">
        <v>234</v>
      </c>
      <c r="E167" s="14">
        <v>137397</v>
      </c>
      <c r="F167" s="14">
        <v>4532</v>
      </c>
      <c r="G167" s="1">
        <f t="shared" si="2"/>
        <v>141929</v>
      </c>
    </row>
    <row r="168" spans="1:7" x14ac:dyDescent="0.2">
      <c r="A168">
        <v>2016</v>
      </c>
      <c r="B168" s="13" t="s">
        <v>162</v>
      </c>
      <c r="C168" t="s">
        <v>232</v>
      </c>
      <c r="D168" t="s">
        <v>234</v>
      </c>
      <c r="E168" s="14">
        <v>24212</v>
      </c>
      <c r="F168" s="13">
        <v>799</v>
      </c>
      <c r="G168" s="1">
        <f t="shared" si="2"/>
        <v>25011</v>
      </c>
    </row>
    <row r="169" spans="1:7" x14ac:dyDescent="0.2">
      <c r="A169">
        <v>2016</v>
      </c>
      <c r="B169" s="13" t="s">
        <v>163</v>
      </c>
      <c r="C169" t="s">
        <v>232</v>
      </c>
      <c r="D169" t="s">
        <v>234</v>
      </c>
      <c r="E169" s="14">
        <v>28994</v>
      </c>
      <c r="F169" s="13">
        <v>956</v>
      </c>
      <c r="G169" s="1">
        <f t="shared" si="2"/>
        <v>29950</v>
      </c>
    </row>
    <row r="170" spans="1:7" x14ac:dyDescent="0.2">
      <c r="A170">
        <v>2016</v>
      </c>
      <c r="B170" s="13" t="s">
        <v>165</v>
      </c>
      <c r="C170" t="s">
        <v>232</v>
      </c>
      <c r="D170" t="s">
        <v>234</v>
      </c>
      <c r="E170" s="14">
        <v>31993</v>
      </c>
      <c r="F170" s="14">
        <v>1055</v>
      </c>
      <c r="G170" s="1">
        <f t="shared" si="2"/>
        <v>33048</v>
      </c>
    </row>
    <row r="171" spans="1:7" x14ac:dyDescent="0.2">
      <c r="A171">
        <v>2016</v>
      </c>
      <c r="B171" s="13" t="s">
        <v>167</v>
      </c>
      <c r="C171" t="s">
        <v>232</v>
      </c>
      <c r="D171" t="s">
        <v>234</v>
      </c>
      <c r="E171" s="14">
        <v>18376</v>
      </c>
      <c r="F171" s="13">
        <v>606</v>
      </c>
      <c r="G171" s="1">
        <f t="shared" si="2"/>
        <v>18982</v>
      </c>
    </row>
    <row r="172" spans="1:7" x14ac:dyDescent="0.2">
      <c r="A172">
        <v>2016</v>
      </c>
      <c r="B172" s="13" t="s">
        <v>244</v>
      </c>
      <c r="C172" t="s">
        <v>232</v>
      </c>
      <c r="D172" t="s">
        <v>234</v>
      </c>
      <c r="E172" s="14">
        <v>30430</v>
      </c>
      <c r="F172" s="14">
        <v>1004</v>
      </c>
      <c r="G172" s="1">
        <f t="shared" si="2"/>
        <v>31434</v>
      </c>
    </row>
    <row r="173" spans="1:7" x14ac:dyDescent="0.2">
      <c r="A173">
        <v>2016</v>
      </c>
      <c r="B173" s="13" t="s">
        <v>169</v>
      </c>
      <c r="C173" t="s">
        <v>232</v>
      </c>
      <c r="D173" t="s">
        <v>234</v>
      </c>
      <c r="E173" s="14">
        <v>116566</v>
      </c>
      <c r="F173" s="14">
        <v>3845</v>
      </c>
      <c r="G173" s="1">
        <f t="shared" si="2"/>
        <v>120411</v>
      </c>
    </row>
    <row r="174" spans="1:7" x14ac:dyDescent="0.2">
      <c r="A174">
        <v>2016</v>
      </c>
      <c r="B174" s="13" t="s">
        <v>172</v>
      </c>
      <c r="C174" t="s">
        <v>232</v>
      </c>
      <c r="D174" t="s">
        <v>234</v>
      </c>
      <c r="E174" s="14">
        <v>21190</v>
      </c>
      <c r="F174" s="13">
        <v>699</v>
      </c>
      <c r="G174" s="1">
        <f t="shared" si="2"/>
        <v>21889</v>
      </c>
    </row>
    <row r="175" spans="1:7" x14ac:dyDescent="0.2">
      <c r="A175">
        <v>2016</v>
      </c>
      <c r="B175" s="13" t="s">
        <v>278</v>
      </c>
      <c r="C175" t="s">
        <v>232</v>
      </c>
      <c r="D175" t="s">
        <v>234</v>
      </c>
      <c r="E175" s="14">
        <v>43572</v>
      </c>
      <c r="F175" s="14">
        <v>1437</v>
      </c>
      <c r="G175" s="1">
        <f t="shared" si="2"/>
        <v>45009</v>
      </c>
    </row>
    <row r="176" spans="1:7" x14ac:dyDescent="0.2">
      <c r="A176">
        <v>2016</v>
      </c>
      <c r="B176" s="13" t="s">
        <v>174</v>
      </c>
      <c r="C176" t="s">
        <v>232</v>
      </c>
      <c r="D176" t="s">
        <v>234</v>
      </c>
      <c r="E176" s="14">
        <v>36624</v>
      </c>
      <c r="F176" s="14">
        <v>1208</v>
      </c>
      <c r="G176" s="1">
        <f t="shared" si="2"/>
        <v>37832</v>
      </c>
    </row>
    <row r="177" spans="1:7" x14ac:dyDescent="0.2">
      <c r="A177">
        <v>2016</v>
      </c>
      <c r="B177" s="13" t="s">
        <v>175</v>
      </c>
      <c r="C177" t="s">
        <v>232</v>
      </c>
      <c r="D177" t="s">
        <v>234</v>
      </c>
      <c r="E177" s="14">
        <v>33058</v>
      </c>
      <c r="F177" s="14">
        <v>1090</v>
      </c>
      <c r="G177" s="1">
        <f t="shared" si="2"/>
        <v>34148</v>
      </c>
    </row>
    <row r="178" spans="1:7" x14ac:dyDescent="0.2">
      <c r="A178">
        <v>2016</v>
      </c>
      <c r="B178" s="13" t="s">
        <v>177</v>
      </c>
      <c r="C178" t="s">
        <v>232</v>
      </c>
      <c r="D178" t="s">
        <v>234</v>
      </c>
      <c r="E178" s="14">
        <v>135718</v>
      </c>
      <c r="F178" s="14">
        <v>4477</v>
      </c>
      <c r="G178" s="1">
        <f t="shared" si="2"/>
        <v>140195</v>
      </c>
    </row>
    <row r="179" spans="1:7" x14ac:dyDescent="0.2">
      <c r="A179">
        <v>2016</v>
      </c>
      <c r="B179" s="13" t="s">
        <v>178</v>
      </c>
      <c r="C179" t="s">
        <v>232</v>
      </c>
      <c r="D179" t="s">
        <v>234</v>
      </c>
      <c r="E179" s="14">
        <v>18990</v>
      </c>
      <c r="F179" s="13">
        <v>626</v>
      </c>
      <c r="G179" s="1">
        <f t="shared" si="2"/>
        <v>19616</v>
      </c>
    </row>
    <row r="180" spans="1:7" x14ac:dyDescent="0.2">
      <c r="A180">
        <v>2016</v>
      </c>
      <c r="B180" s="13" t="s">
        <v>179</v>
      </c>
      <c r="C180" t="s">
        <v>232</v>
      </c>
      <c r="D180" t="s">
        <v>234</v>
      </c>
      <c r="E180" s="14">
        <v>23077</v>
      </c>
      <c r="F180" s="13">
        <v>761</v>
      </c>
      <c r="G180" s="1">
        <f t="shared" si="2"/>
        <v>23838</v>
      </c>
    </row>
    <row r="181" spans="1:7" x14ac:dyDescent="0.2">
      <c r="A181">
        <v>2016</v>
      </c>
      <c r="B181" s="13" t="s">
        <v>181</v>
      </c>
      <c r="C181" t="s">
        <v>232</v>
      </c>
      <c r="D181" t="s">
        <v>234</v>
      </c>
      <c r="E181" s="14">
        <v>79212</v>
      </c>
      <c r="F181" s="14">
        <v>2613</v>
      </c>
      <c r="G181" s="1">
        <f t="shared" si="2"/>
        <v>81825</v>
      </c>
    </row>
    <row r="182" spans="1:7" x14ac:dyDescent="0.2">
      <c r="A182">
        <v>2016</v>
      </c>
      <c r="B182" s="13" t="s">
        <v>182</v>
      </c>
      <c r="C182" t="s">
        <v>232</v>
      </c>
      <c r="D182" t="s">
        <v>234</v>
      </c>
      <c r="E182" s="14">
        <v>191366</v>
      </c>
      <c r="F182" s="14">
        <v>6312</v>
      </c>
      <c r="G182" s="1">
        <f t="shared" si="2"/>
        <v>197678</v>
      </c>
    </row>
    <row r="183" spans="1:7" x14ac:dyDescent="0.2">
      <c r="A183">
        <v>2016</v>
      </c>
      <c r="B183" s="13" t="s">
        <v>183</v>
      </c>
      <c r="C183" t="s">
        <v>232</v>
      </c>
      <c r="D183" t="s">
        <v>234</v>
      </c>
      <c r="E183" s="14">
        <v>45262</v>
      </c>
      <c r="F183" s="14">
        <v>1493</v>
      </c>
      <c r="G183" s="1">
        <f t="shared" si="2"/>
        <v>46755</v>
      </c>
    </row>
    <row r="184" spans="1:7" x14ac:dyDescent="0.2">
      <c r="A184">
        <v>2016</v>
      </c>
      <c r="B184" s="13" t="s">
        <v>186</v>
      </c>
      <c r="C184" t="s">
        <v>232</v>
      </c>
      <c r="D184" t="s">
        <v>234</v>
      </c>
      <c r="E184" s="14">
        <v>192073</v>
      </c>
      <c r="F184" s="14">
        <v>6336</v>
      </c>
      <c r="G184" s="1">
        <f t="shared" si="2"/>
        <v>198409</v>
      </c>
    </row>
    <row r="185" spans="1:7" x14ac:dyDescent="0.2">
      <c r="A185">
        <v>2016</v>
      </c>
      <c r="B185" s="13" t="s">
        <v>187</v>
      </c>
      <c r="C185" t="s">
        <v>232</v>
      </c>
      <c r="D185" t="s">
        <v>234</v>
      </c>
      <c r="E185" s="14">
        <v>222780</v>
      </c>
      <c r="F185" s="14">
        <v>7348</v>
      </c>
      <c r="G185" s="1">
        <f t="shared" si="2"/>
        <v>230128</v>
      </c>
    </row>
    <row r="186" spans="1:7" x14ac:dyDescent="0.2">
      <c r="A186">
        <v>2016</v>
      </c>
      <c r="B186" s="13" t="s">
        <v>188</v>
      </c>
      <c r="C186" t="s">
        <v>232</v>
      </c>
      <c r="D186" t="s">
        <v>234</v>
      </c>
      <c r="E186" s="14">
        <v>113590</v>
      </c>
      <c r="F186" s="14">
        <v>3747</v>
      </c>
      <c r="G186" s="1">
        <f t="shared" si="2"/>
        <v>117337</v>
      </c>
    </row>
    <row r="187" spans="1:7" x14ac:dyDescent="0.2">
      <c r="A187">
        <v>2016</v>
      </c>
      <c r="B187" s="13" t="s">
        <v>189</v>
      </c>
      <c r="C187" t="s">
        <v>232</v>
      </c>
      <c r="D187" t="s">
        <v>234</v>
      </c>
      <c r="E187" s="14">
        <v>60952</v>
      </c>
      <c r="F187" s="14">
        <v>2010</v>
      </c>
      <c r="G187" s="1">
        <f t="shared" si="2"/>
        <v>62962</v>
      </c>
    </row>
    <row r="188" spans="1:7" x14ac:dyDescent="0.2">
      <c r="A188">
        <v>2016</v>
      </c>
      <c r="B188" s="13" t="s">
        <v>249</v>
      </c>
      <c r="C188" t="s">
        <v>232</v>
      </c>
      <c r="D188" t="s">
        <v>234</v>
      </c>
      <c r="E188" s="14">
        <v>19580</v>
      </c>
      <c r="F188" s="13">
        <v>646</v>
      </c>
      <c r="G188" s="1">
        <f t="shared" si="2"/>
        <v>20226</v>
      </c>
    </row>
    <row r="189" spans="1:7" x14ac:dyDescent="0.2">
      <c r="A189">
        <v>2016</v>
      </c>
      <c r="B189" s="13" t="s">
        <v>190</v>
      </c>
      <c r="C189" t="s">
        <v>232</v>
      </c>
      <c r="D189" t="s">
        <v>234</v>
      </c>
      <c r="E189" s="14">
        <v>19800</v>
      </c>
      <c r="F189" s="13">
        <v>653</v>
      </c>
      <c r="G189" s="1">
        <f t="shared" si="2"/>
        <v>20453</v>
      </c>
    </row>
    <row r="190" spans="1:7" x14ac:dyDescent="0.2">
      <c r="A190">
        <v>2016</v>
      </c>
      <c r="B190" s="13" t="s">
        <v>191</v>
      </c>
      <c r="C190" t="s">
        <v>232</v>
      </c>
      <c r="D190" t="s">
        <v>234</v>
      </c>
      <c r="E190" s="14">
        <v>125030</v>
      </c>
      <c r="F190" s="14">
        <v>4124</v>
      </c>
      <c r="G190" s="1">
        <f t="shared" si="2"/>
        <v>129154</v>
      </c>
    </row>
    <row r="191" spans="1:7" x14ac:dyDescent="0.2">
      <c r="A191">
        <v>2016</v>
      </c>
      <c r="B191" s="13" t="s">
        <v>192</v>
      </c>
      <c r="C191" t="s">
        <v>232</v>
      </c>
      <c r="D191" t="s">
        <v>234</v>
      </c>
      <c r="E191" s="14">
        <v>742134</v>
      </c>
      <c r="F191" s="14">
        <v>24479</v>
      </c>
      <c r="G191" s="1">
        <f t="shared" si="2"/>
        <v>766613</v>
      </c>
    </row>
    <row r="192" spans="1:7" x14ac:dyDescent="0.2">
      <c r="A192">
        <v>2016</v>
      </c>
      <c r="B192" s="13" t="s">
        <v>193</v>
      </c>
      <c r="C192" t="s">
        <v>232</v>
      </c>
      <c r="D192" t="s">
        <v>234</v>
      </c>
      <c r="E192" s="14">
        <v>54271</v>
      </c>
      <c r="F192" s="14">
        <v>1790</v>
      </c>
      <c r="G192" s="1">
        <f t="shared" si="2"/>
        <v>56061</v>
      </c>
    </row>
    <row r="193" spans="1:7" x14ac:dyDescent="0.2">
      <c r="A193">
        <v>2016</v>
      </c>
      <c r="B193" s="13" t="s">
        <v>194</v>
      </c>
      <c r="C193" t="s">
        <v>232</v>
      </c>
      <c r="D193" t="s">
        <v>234</v>
      </c>
      <c r="E193" s="14">
        <v>56807</v>
      </c>
      <c r="F193" s="14">
        <v>1874</v>
      </c>
      <c r="G193" s="1">
        <f t="shared" si="2"/>
        <v>58681</v>
      </c>
    </row>
    <row r="194" spans="1:7" x14ac:dyDescent="0.2">
      <c r="A194">
        <v>2016</v>
      </c>
      <c r="B194" s="13" t="s">
        <v>196</v>
      </c>
      <c r="C194" t="s">
        <v>232</v>
      </c>
      <c r="D194" t="s">
        <v>234</v>
      </c>
      <c r="E194" s="14">
        <v>144390</v>
      </c>
      <c r="F194" s="14">
        <v>4763</v>
      </c>
      <c r="G194" s="1">
        <f t="shared" si="2"/>
        <v>149153</v>
      </c>
    </row>
    <row r="195" spans="1:7" x14ac:dyDescent="0.2">
      <c r="A195">
        <v>2016</v>
      </c>
      <c r="B195" s="13" t="s">
        <v>197</v>
      </c>
      <c r="C195" t="s">
        <v>232</v>
      </c>
      <c r="D195" t="s">
        <v>234</v>
      </c>
      <c r="E195" s="14">
        <v>68027</v>
      </c>
      <c r="F195" s="14">
        <v>2244</v>
      </c>
      <c r="G195" s="1">
        <f t="shared" ref="G195:G227" si="3">SUM(E195:F195)</f>
        <v>70271</v>
      </c>
    </row>
    <row r="196" spans="1:7" x14ac:dyDescent="0.2">
      <c r="A196">
        <v>2016</v>
      </c>
      <c r="B196" s="13" t="s">
        <v>198</v>
      </c>
      <c r="C196" t="s">
        <v>232</v>
      </c>
      <c r="D196" t="s">
        <v>234</v>
      </c>
      <c r="E196" s="14">
        <v>69729</v>
      </c>
      <c r="F196" s="14">
        <v>2300</v>
      </c>
      <c r="G196" s="1">
        <f t="shared" si="3"/>
        <v>72029</v>
      </c>
    </row>
    <row r="197" spans="1:7" x14ac:dyDescent="0.2">
      <c r="A197">
        <v>2016</v>
      </c>
      <c r="B197" s="13" t="s">
        <v>200</v>
      </c>
      <c r="C197" t="s">
        <v>232</v>
      </c>
      <c r="D197" t="s">
        <v>234</v>
      </c>
      <c r="E197" s="14">
        <v>83739</v>
      </c>
      <c r="F197" s="14">
        <v>2762</v>
      </c>
      <c r="G197" s="1">
        <f t="shared" si="3"/>
        <v>86501</v>
      </c>
    </row>
    <row r="198" spans="1:7" x14ac:dyDescent="0.2">
      <c r="A198">
        <v>2016</v>
      </c>
      <c r="B198" s="13" t="s">
        <v>201</v>
      </c>
      <c r="C198" t="s">
        <v>232</v>
      </c>
      <c r="D198" t="s">
        <v>234</v>
      </c>
      <c r="E198" s="14">
        <v>15852</v>
      </c>
      <c r="F198" s="13">
        <v>523</v>
      </c>
      <c r="G198" s="1">
        <f t="shared" si="3"/>
        <v>16375</v>
      </c>
    </row>
    <row r="199" spans="1:7" x14ac:dyDescent="0.2">
      <c r="A199">
        <v>2016</v>
      </c>
      <c r="B199" s="13" t="s">
        <v>202</v>
      </c>
      <c r="C199" t="s">
        <v>232</v>
      </c>
      <c r="D199" t="s">
        <v>234</v>
      </c>
      <c r="E199" s="14">
        <v>60732</v>
      </c>
      <c r="F199" s="14">
        <v>2003</v>
      </c>
      <c r="G199" s="1">
        <f t="shared" si="3"/>
        <v>62735</v>
      </c>
    </row>
    <row r="200" spans="1:7" x14ac:dyDescent="0.2">
      <c r="A200">
        <v>2016</v>
      </c>
      <c r="B200" s="13" t="s">
        <v>203</v>
      </c>
      <c r="C200" t="s">
        <v>232</v>
      </c>
      <c r="D200" t="s">
        <v>234</v>
      </c>
      <c r="E200" s="14">
        <v>4562</v>
      </c>
      <c r="F200" s="13">
        <v>150</v>
      </c>
      <c r="G200" s="1">
        <f t="shared" si="3"/>
        <v>4712</v>
      </c>
    </row>
    <row r="201" spans="1:7" x14ac:dyDescent="0.2">
      <c r="A201">
        <v>2016</v>
      </c>
      <c r="B201" s="13" t="s">
        <v>206</v>
      </c>
      <c r="C201" t="s">
        <v>232</v>
      </c>
      <c r="D201" t="s">
        <v>234</v>
      </c>
      <c r="E201" s="14">
        <v>25138</v>
      </c>
      <c r="F201" s="13">
        <v>829</v>
      </c>
      <c r="G201" s="1">
        <f t="shared" si="3"/>
        <v>25967</v>
      </c>
    </row>
    <row r="202" spans="1:7" x14ac:dyDescent="0.2">
      <c r="A202">
        <v>2016</v>
      </c>
      <c r="B202" s="13" t="s">
        <v>207</v>
      </c>
      <c r="C202" t="s">
        <v>232</v>
      </c>
      <c r="D202" t="s">
        <v>234</v>
      </c>
      <c r="E202" s="14">
        <v>19013</v>
      </c>
      <c r="F202" s="13">
        <v>627</v>
      </c>
      <c r="G202" s="1">
        <f t="shared" si="3"/>
        <v>19640</v>
      </c>
    </row>
    <row r="203" spans="1:7" x14ac:dyDescent="0.2">
      <c r="A203">
        <v>2016</v>
      </c>
      <c r="B203" s="13" t="s">
        <v>208</v>
      </c>
      <c r="C203" t="s">
        <v>232</v>
      </c>
      <c r="D203" t="s">
        <v>234</v>
      </c>
      <c r="E203" s="14">
        <v>36138</v>
      </c>
      <c r="F203" s="14">
        <v>1192</v>
      </c>
      <c r="G203" s="1">
        <f t="shared" si="3"/>
        <v>37330</v>
      </c>
    </row>
    <row r="204" spans="1:7" x14ac:dyDescent="0.2">
      <c r="A204">
        <v>2016</v>
      </c>
      <c r="B204" s="13" t="s">
        <v>209</v>
      </c>
      <c r="C204" t="s">
        <v>232</v>
      </c>
      <c r="D204" t="s">
        <v>234</v>
      </c>
      <c r="E204" s="14">
        <v>40527</v>
      </c>
      <c r="F204" s="14">
        <v>1337</v>
      </c>
      <c r="G204" s="1">
        <f t="shared" si="3"/>
        <v>41864</v>
      </c>
    </row>
    <row r="205" spans="1:7" x14ac:dyDescent="0.2">
      <c r="A205">
        <v>2016</v>
      </c>
      <c r="B205" s="13" t="s">
        <v>253</v>
      </c>
      <c r="C205" t="s">
        <v>232</v>
      </c>
      <c r="D205" t="s">
        <v>234</v>
      </c>
      <c r="E205" s="14">
        <v>5627</v>
      </c>
      <c r="F205" s="13">
        <v>186</v>
      </c>
      <c r="G205" s="1">
        <f t="shared" si="3"/>
        <v>5813</v>
      </c>
    </row>
    <row r="206" spans="1:7" x14ac:dyDescent="0.2">
      <c r="A206">
        <v>2016</v>
      </c>
      <c r="B206" s="13" t="s">
        <v>270</v>
      </c>
      <c r="C206" t="s">
        <v>232</v>
      </c>
      <c r="D206" t="s">
        <v>234</v>
      </c>
      <c r="E206" s="14">
        <v>26088</v>
      </c>
      <c r="F206" s="13">
        <v>860</v>
      </c>
      <c r="G206" s="1">
        <f t="shared" si="3"/>
        <v>26948</v>
      </c>
    </row>
    <row r="207" spans="1:7" x14ac:dyDescent="0.2">
      <c r="A207">
        <v>2016</v>
      </c>
      <c r="B207" s="13" t="s">
        <v>254</v>
      </c>
      <c r="C207" t="s">
        <v>232</v>
      </c>
      <c r="D207" t="s">
        <v>234</v>
      </c>
      <c r="E207" s="14">
        <v>30082</v>
      </c>
      <c r="F207" s="13">
        <v>992</v>
      </c>
      <c r="G207" s="1">
        <f t="shared" si="3"/>
        <v>31074</v>
      </c>
    </row>
    <row r="208" spans="1:7" x14ac:dyDescent="0.2">
      <c r="A208">
        <v>2016</v>
      </c>
      <c r="B208" s="13" t="s">
        <v>212</v>
      </c>
      <c r="C208" t="s">
        <v>232</v>
      </c>
      <c r="D208" t="s">
        <v>234</v>
      </c>
      <c r="E208" s="14">
        <v>15192</v>
      </c>
      <c r="F208" s="13">
        <v>501</v>
      </c>
      <c r="G208" s="1">
        <f t="shared" si="3"/>
        <v>15693</v>
      </c>
    </row>
    <row r="209" spans="1:7" x14ac:dyDescent="0.2">
      <c r="A209">
        <v>2016</v>
      </c>
      <c r="B209" s="13" t="s">
        <v>213</v>
      </c>
      <c r="C209" t="s">
        <v>232</v>
      </c>
      <c r="D209" t="s">
        <v>234</v>
      </c>
      <c r="E209" s="14">
        <v>21977</v>
      </c>
      <c r="F209" s="13">
        <v>725</v>
      </c>
      <c r="G209" s="1">
        <f t="shared" si="3"/>
        <v>22702</v>
      </c>
    </row>
    <row r="210" spans="1:7" x14ac:dyDescent="0.2">
      <c r="A210">
        <v>2016</v>
      </c>
      <c r="B210" s="13" t="s">
        <v>255</v>
      </c>
      <c r="C210" t="s">
        <v>232</v>
      </c>
      <c r="D210" t="s">
        <v>234</v>
      </c>
      <c r="E210" s="14">
        <v>169957</v>
      </c>
      <c r="F210" s="14">
        <v>5606</v>
      </c>
      <c r="G210" s="1">
        <f t="shared" si="3"/>
        <v>175563</v>
      </c>
    </row>
    <row r="211" spans="1:7" x14ac:dyDescent="0.2">
      <c r="A211">
        <v>2016</v>
      </c>
      <c r="B211" s="13" t="s">
        <v>271</v>
      </c>
      <c r="C211" t="s">
        <v>232</v>
      </c>
      <c r="D211" t="s">
        <v>234</v>
      </c>
      <c r="E211" s="14">
        <v>1743683</v>
      </c>
      <c r="F211" s="14">
        <v>57515</v>
      </c>
      <c r="G211" s="1">
        <f t="shared" si="3"/>
        <v>1801198</v>
      </c>
    </row>
    <row r="212" spans="1:7" x14ac:dyDescent="0.2">
      <c r="A212">
        <v>2016</v>
      </c>
      <c r="B212" s="13" t="s">
        <v>279</v>
      </c>
      <c r="C212" t="s">
        <v>232</v>
      </c>
      <c r="D212" t="s">
        <v>234</v>
      </c>
      <c r="E212" s="14">
        <v>522734</v>
      </c>
      <c r="F212" s="14">
        <v>17242</v>
      </c>
      <c r="G212" s="1">
        <f t="shared" si="3"/>
        <v>539976</v>
      </c>
    </row>
    <row r="213" spans="1:7" x14ac:dyDescent="0.2">
      <c r="A213">
        <v>2016</v>
      </c>
      <c r="B213" s="13" t="s">
        <v>215</v>
      </c>
      <c r="C213" t="s">
        <v>232</v>
      </c>
      <c r="D213" t="s">
        <v>234</v>
      </c>
      <c r="E213" s="14">
        <v>972151</v>
      </c>
      <c r="F213" s="14">
        <v>32066</v>
      </c>
      <c r="G213" s="1">
        <f t="shared" si="3"/>
        <v>1004217</v>
      </c>
    </row>
    <row r="214" spans="1:7" x14ac:dyDescent="0.2">
      <c r="A214">
        <v>2016</v>
      </c>
      <c r="B214" s="13" t="s">
        <v>218</v>
      </c>
      <c r="C214" t="s">
        <v>232</v>
      </c>
      <c r="D214" t="s">
        <v>234</v>
      </c>
      <c r="E214" s="14">
        <v>165151</v>
      </c>
      <c r="F214" s="14">
        <v>5448</v>
      </c>
      <c r="G214" s="1">
        <f t="shared" si="3"/>
        <v>170599</v>
      </c>
    </row>
    <row r="215" spans="1:7" x14ac:dyDescent="0.2">
      <c r="A215">
        <v>2016</v>
      </c>
      <c r="B215" s="13" t="s">
        <v>219</v>
      </c>
      <c r="C215" t="s">
        <v>232</v>
      </c>
      <c r="D215" t="s">
        <v>234</v>
      </c>
      <c r="E215" s="14">
        <v>538910</v>
      </c>
      <c r="F215" s="14">
        <v>17776</v>
      </c>
      <c r="G215" s="1">
        <f t="shared" si="3"/>
        <v>556686</v>
      </c>
    </row>
    <row r="216" spans="1:7" x14ac:dyDescent="0.2">
      <c r="A216">
        <v>2016</v>
      </c>
      <c r="B216" s="13" t="s">
        <v>220</v>
      </c>
      <c r="C216" t="s">
        <v>232</v>
      </c>
      <c r="D216" t="s">
        <v>234</v>
      </c>
      <c r="E216" s="14">
        <v>894247</v>
      </c>
      <c r="F216" s="14">
        <v>29497</v>
      </c>
      <c r="G216" s="1">
        <f t="shared" si="3"/>
        <v>923744</v>
      </c>
    </row>
    <row r="217" spans="1:7" x14ac:dyDescent="0.2">
      <c r="A217">
        <v>2016</v>
      </c>
      <c r="B217" s="13" t="s">
        <v>301</v>
      </c>
      <c r="C217" t="s">
        <v>232</v>
      </c>
      <c r="D217" t="s">
        <v>234</v>
      </c>
      <c r="E217" s="14">
        <v>324409</v>
      </c>
      <c r="F217" s="14">
        <v>10701</v>
      </c>
      <c r="G217" s="1">
        <f t="shared" si="3"/>
        <v>335110</v>
      </c>
    </row>
    <row r="218" spans="1:7" x14ac:dyDescent="0.2">
      <c r="A218">
        <v>2016</v>
      </c>
      <c r="B218" s="13" t="s">
        <v>221</v>
      </c>
      <c r="C218" t="s">
        <v>232</v>
      </c>
      <c r="D218" t="s">
        <v>234</v>
      </c>
      <c r="E218" s="14">
        <v>1916095</v>
      </c>
      <c r="F218" s="14">
        <v>63202</v>
      </c>
      <c r="G218" s="1">
        <f t="shared" si="3"/>
        <v>1979297</v>
      </c>
    </row>
    <row r="219" spans="1:7" x14ac:dyDescent="0.2">
      <c r="A219">
        <v>2016</v>
      </c>
      <c r="B219" s="13" t="s">
        <v>222</v>
      </c>
      <c r="C219" t="s">
        <v>232</v>
      </c>
      <c r="D219" t="s">
        <v>234</v>
      </c>
      <c r="E219" s="14">
        <v>302432</v>
      </c>
      <c r="F219" s="14">
        <v>9976</v>
      </c>
      <c r="G219" s="1">
        <f t="shared" si="3"/>
        <v>312408</v>
      </c>
    </row>
    <row r="220" spans="1:7" x14ac:dyDescent="0.2">
      <c r="A220">
        <v>2016</v>
      </c>
      <c r="B220" s="13" t="s">
        <v>272</v>
      </c>
      <c r="C220" t="s">
        <v>232</v>
      </c>
      <c r="D220" t="s">
        <v>234</v>
      </c>
      <c r="E220" s="14">
        <v>1252814</v>
      </c>
      <c r="F220" s="14">
        <v>41324</v>
      </c>
      <c r="G220" s="1">
        <f t="shared" si="3"/>
        <v>1294138</v>
      </c>
    </row>
    <row r="221" spans="1:7" x14ac:dyDescent="0.2">
      <c r="A221">
        <v>2016</v>
      </c>
      <c r="B221" s="13" t="s">
        <v>223</v>
      </c>
      <c r="C221" t="s">
        <v>232</v>
      </c>
      <c r="D221" t="s">
        <v>234</v>
      </c>
      <c r="E221" s="14">
        <v>16431</v>
      </c>
      <c r="F221" s="13">
        <v>542</v>
      </c>
      <c r="G221" s="1">
        <f t="shared" si="3"/>
        <v>16973</v>
      </c>
    </row>
    <row r="222" spans="1:7" x14ac:dyDescent="0.2">
      <c r="A222">
        <v>2016</v>
      </c>
      <c r="B222" s="13" t="s">
        <v>226</v>
      </c>
      <c r="C222" t="s">
        <v>232</v>
      </c>
      <c r="D222" t="s">
        <v>234</v>
      </c>
      <c r="E222" s="14">
        <v>38662</v>
      </c>
      <c r="F222" s="14">
        <v>1275</v>
      </c>
      <c r="G222" s="1">
        <f t="shared" si="3"/>
        <v>39937</v>
      </c>
    </row>
    <row r="223" spans="1:7" x14ac:dyDescent="0.2">
      <c r="A223">
        <v>2016</v>
      </c>
      <c r="B223" s="13" t="s">
        <v>259</v>
      </c>
      <c r="C223" t="s">
        <v>232</v>
      </c>
      <c r="D223" t="s">
        <v>234</v>
      </c>
      <c r="E223" s="14">
        <v>118372</v>
      </c>
      <c r="F223" s="14">
        <v>3905</v>
      </c>
      <c r="G223" s="1">
        <f t="shared" si="3"/>
        <v>122277</v>
      </c>
    </row>
    <row r="224" spans="1:7" x14ac:dyDescent="0.2">
      <c r="A224">
        <v>2016</v>
      </c>
      <c r="B224" s="13" t="s">
        <v>228</v>
      </c>
      <c r="C224" t="s">
        <v>232</v>
      </c>
      <c r="D224" t="s">
        <v>234</v>
      </c>
      <c r="E224" s="14">
        <v>9321</v>
      </c>
      <c r="F224" s="13">
        <v>307</v>
      </c>
      <c r="G224" s="1">
        <f t="shared" si="3"/>
        <v>9628</v>
      </c>
    </row>
    <row r="225" spans="1:7" x14ac:dyDescent="0.2">
      <c r="A225">
        <v>2016</v>
      </c>
      <c r="B225" s="13" t="s">
        <v>295</v>
      </c>
      <c r="C225" t="s">
        <v>232</v>
      </c>
      <c r="D225" t="s">
        <v>234</v>
      </c>
      <c r="E225" s="14">
        <v>37516</v>
      </c>
      <c r="F225" s="14">
        <v>1237</v>
      </c>
      <c r="G225" s="1">
        <f t="shared" si="3"/>
        <v>38753</v>
      </c>
    </row>
    <row r="226" spans="1:7" x14ac:dyDescent="0.2">
      <c r="A226">
        <v>2016</v>
      </c>
      <c r="B226" s="13" t="s">
        <v>302</v>
      </c>
      <c r="C226" t="s">
        <v>232</v>
      </c>
      <c r="D226" t="s">
        <v>234</v>
      </c>
      <c r="E226" s="14">
        <v>22672</v>
      </c>
      <c r="F226" s="13">
        <v>748</v>
      </c>
      <c r="G226" s="1">
        <f t="shared" si="3"/>
        <v>23420</v>
      </c>
    </row>
    <row r="227" spans="1:7" x14ac:dyDescent="0.2">
      <c r="A227">
        <v>2016</v>
      </c>
      <c r="B227" s="13" t="s">
        <v>303</v>
      </c>
      <c r="C227" t="s">
        <v>232</v>
      </c>
      <c r="D227" t="s">
        <v>234</v>
      </c>
      <c r="E227" s="14">
        <v>14080</v>
      </c>
      <c r="F227" s="13">
        <v>464</v>
      </c>
      <c r="G227" s="1">
        <f t="shared" si="3"/>
        <v>14544</v>
      </c>
    </row>
    <row r="229" spans="1:7" x14ac:dyDescent="0.2">
      <c r="D229" s="2" t="s">
        <v>274</v>
      </c>
      <c r="E229" s="1">
        <f>SUM(E2:E227)</f>
        <v>1157901121</v>
      </c>
      <c r="F229" s="1">
        <f>SUM(F2:F227)</f>
        <v>38193321</v>
      </c>
    </row>
    <row r="230" spans="1:7" x14ac:dyDescent="0.2">
      <c r="D230" s="2"/>
    </row>
    <row r="231" spans="1:7" x14ac:dyDescent="0.2">
      <c r="D231" s="8" t="s">
        <v>275</v>
      </c>
      <c r="E231" s="6">
        <v>1157901123</v>
      </c>
      <c r="F231" s="6">
        <v>38193328</v>
      </c>
    </row>
    <row r="232" spans="1:7" x14ac:dyDescent="0.2">
      <c r="D232" s="8"/>
      <c r="E232" s="8"/>
      <c r="F232" s="8"/>
    </row>
    <row r="233" spans="1:7" x14ac:dyDescent="0.2">
      <c r="D233" s="8" t="s">
        <v>276</v>
      </c>
      <c r="E233" s="6">
        <f>E229-E231</f>
        <v>-2</v>
      </c>
      <c r="F233" s="6">
        <f>F229-F231</f>
        <v>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1057-D570-1448-990A-EFA253DDD89F}">
  <sheetPr>
    <tabColor rgb="FFFFFF00"/>
  </sheetPr>
  <dimension ref="A1:G232"/>
  <sheetViews>
    <sheetView workbookViewId="0">
      <selection activeCell="A2" sqref="A2:G226"/>
    </sheetView>
  </sheetViews>
  <sheetFormatPr baseColWidth="10" defaultRowHeight="16" x14ac:dyDescent="0.2"/>
  <cols>
    <col min="2" max="2" width="12.33203125" bestFit="1" customWidth="1"/>
    <col min="3" max="3" width="14.83203125" customWidth="1"/>
    <col min="4" max="4" width="15.5" customWidth="1"/>
    <col min="5" max="5" width="18.83203125" bestFit="1" customWidth="1"/>
    <col min="6" max="6" width="17.1640625" bestFit="1" customWidth="1"/>
    <col min="7" max="7" width="16.83203125" bestFit="1" customWidth="1"/>
  </cols>
  <sheetData>
    <row r="1" spans="1:7" x14ac:dyDescent="0.2">
      <c r="A1" t="s">
        <v>235</v>
      </c>
      <c r="B1" t="s">
        <v>230</v>
      </c>
      <c r="C1" s="2" t="s">
        <v>231</v>
      </c>
      <c r="D1" s="2" t="s">
        <v>233</v>
      </c>
      <c r="E1" s="2" t="s">
        <v>280</v>
      </c>
      <c r="F1" s="2" t="s">
        <v>281</v>
      </c>
      <c r="G1" s="2" t="s">
        <v>304</v>
      </c>
    </row>
    <row r="2" spans="1:7" x14ac:dyDescent="0.2">
      <c r="A2">
        <v>2015</v>
      </c>
      <c r="B2" s="13" t="s">
        <v>0</v>
      </c>
      <c r="C2" t="s">
        <v>232</v>
      </c>
      <c r="D2" t="s">
        <v>234</v>
      </c>
      <c r="E2" s="14">
        <v>11893931</v>
      </c>
      <c r="F2" s="14">
        <v>365626</v>
      </c>
      <c r="G2" s="1">
        <f>SUM(E2:F2)</f>
        <v>12259557</v>
      </c>
    </row>
    <row r="3" spans="1:7" x14ac:dyDescent="0.2">
      <c r="A3">
        <v>2015</v>
      </c>
      <c r="B3" s="13" t="s">
        <v>1</v>
      </c>
      <c r="C3" t="s">
        <v>232</v>
      </c>
      <c r="D3" t="s">
        <v>234</v>
      </c>
      <c r="E3" s="14">
        <v>6527825</v>
      </c>
      <c r="F3" s="14">
        <v>200669</v>
      </c>
      <c r="G3" s="1">
        <f t="shared" ref="G3:G66" si="0">SUM(E3:F3)</f>
        <v>6728494</v>
      </c>
    </row>
    <row r="4" spans="1:7" x14ac:dyDescent="0.2">
      <c r="A4">
        <v>2015</v>
      </c>
      <c r="B4" s="13" t="s">
        <v>2</v>
      </c>
      <c r="C4" t="s">
        <v>232</v>
      </c>
      <c r="D4" t="s">
        <v>234</v>
      </c>
      <c r="E4" s="14">
        <v>29287391</v>
      </c>
      <c r="F4" s="14">
        <v>900311</v>
      </c>
      <c r="G4" s="1">
        <f t="shared" si="0"/>
        <v>30187702</v>
      </c>
    </row>
    <row r="5" spans="1:7" x14ac:dyDescent="0.2">
      <c r="A5">
        <v>2015</v>
      </c>
      <c r="B5" s="13" t="s">
        <v>3</v>
      </c>
      <c r="C5" t="s">
        <v>232</v>
      </c>
      <c r="D5" t="s">
        <v>234</v>
      </c>
      <c r="E5" s="14">
        <v>5521991</v>
      </c>
      <c r="F5" s="14">
        <v>169749</v>
      </c>
      <c r="G5" s="1">
        <f t="shared" si="0"/>
        <v>5691740</v>
      </c>
    </row>
    <row r="6" spans="1:7" x14ac:dyDescent="0.2">
      <c r="A6">
        <v>2015</v>
      </c>
      <c r="B6" s="13" t="s">
        <v>4</v>
      </c>
      <c r="C6" t="s">
        <v>232</v>
      </c>
      <c r="D6" t="s">
        <v>234</v>
      </c>
      <c r="E6" s="14">
        <v>5695760</v>
      </c>
      <c r="F6" s="14">
        <v>175091</v>
      </c>
      <c r="G6" s="1">
        <f t="shared" si="0"/>
        <v>5870851</v>
      </c>
    </row>
    <row r="7" spans="1:7" x14ac:dyDescent="0.2">
      <c r="A7">
        <v>2015</v>
      </c>
      <c r="B7" s="13" t="s">
        <v>5</v>
      </c>
      <c r="C7" t="s">
        <v>232</v>
      </c>
      <c r="D7" t="s">
        <v>234</v>
      </c>
      <c r="E7" s="14">
        <v>7847583</v>
      </c>
      <c r="F7" s="14">
        <v>241239</v>
      </c>
      <c r="G7" s="1">
        <f t="shared" si="0"/>
        <v>8088822</v>
      </c>
    </row>
    <row r="8" spans="1:7" x14ac:dyDescent="0.2">
      <c r="A8">
        <v>2015</v>
      </c>
      <c r="B8" s="13" t="s">
        <v>6</v>
      </c>
      <c r="C8" t="s">
        <v>232</v>
      </c>
      <c r="D8" t="s">
        <v>234</v>
      </c>
      <c r="E8" s="14">
        <v>4195293</v>
      </c>
      <c r="F8" s="14">
        <v>128966</v>
      </c>
      <c r="G8" s="1">
        <f t="shared" si="0"/>
        <v>4324259</v>
      </c>
    </row>
    <row r="9" spans="1:7" x14ac:dyDescent="0.2">
      <c r="A9">
        <v>2015</v>
      </c>
      <c r="B9" s="13" t="s">
        <v>7</v>
      </c>
      <c r="C9" t="s">
        <v>232</v>
      </c>
      <c r="D9" t="s">
        <v>234</v>
      </c>
      <c r="E9" s="14">
        <v>27664812</v>
      </c>
      <c r="F9" s="14">
        <v>850432</v>
      </c>
      <c r="G9" s="1">
        <f t="shared" si="0"/>
        <v>28515244</v>
      </c>
    </row>
    <row r="10" spans="1:7" x14ac:dyDescent="0.2">
      <c r="A10">
        <v>2015</v>
      </c>
      <c r="B10" s="13" t="s">
        <v>8</v>
      </c>
      <c r="C10" t="s">
        <v>232</v>
      </c>
      <c r="D10" t="s">
        <v>234</v>
      </c>
      <c r="E10" s="14">
        <v>56216232</v>
      </c>
      <c r="F10" s="14">
        <v>1728119</v>
      </c>
      <c r="G10" s="1">
        <f t="shared" si="0"/>
        <v>57944351</v>
      </c>
    </row>
    <row r="11" spans="1:7" x14ac:dyDescent="0.2">
      <c r="A11">
        <v>2015</v>
      </c>
      <c r="B11" s="13" t="s">
        <v>9</v>
      </c>
      <c r="C11" t="s">
        <v>232</v>
      </c>
      <c r="D11" t="s">
        <v>234</v>
      </c>
      <c r="E11" s="14">
        <v>45774896</v>
      </c>
      <c r="F11" s="14">
        <v>1407147</v>
      </c>
      <c r="G11" s="1">
        <f t="shared" si="0"/>
        <v>47182043</v>
      </c>
    </row>
    <row r="12" spans="1:7" x14ac:dyDescent="0.2">
      <c r="A12">
        <v>2015</v>
      </c>
      <c r="B12" s="13" t="s">
        <v>10</v>
      </c>
      <c r="C12" t="s">
        <v>232</v>
      </c>
      <c r="D12" t="s">
        <v>234</v>
      </c>
      <c r="E12" s="14">
        <v>2609262</v>
      </c>
      <c r="F12" s="14">
        <v>80210</v>
      </c>
      <c r="G12" s="1">
        <f t="shared" si="0"/>
        <v>2689472</v>
      </c>
    </row>
    <row r="13" spans="1:7" x14ac:dyDescent="0.2">
      <c r="A13">
        <v>2015</v>
      </c>
      <c r="B13" s="13" t="s">
        <v>11</v>
      </c>
      <c r="C13" t="s">
        <v>232</v>
      </c>
      <c r="D13" t="s">
        <v>234</v>
      </c>
      <c r="E13" s="14">
        <v>2751523</v>
      </c>
      <c r="F13" s="14">
        <v>84583</v>
      </c>
      <c r="G13" s="1">
        <f t="shared" si="0"/>
        <v>2836106</v>
      </c>
    </row>
    <row r="14" spans="1:7" x14ac:dyDescent="0.2">
      <c r="A14">
        <v>2015</v>
      </c>
      <c r="B14" s="13" t="s">
        <v>12</v>
      </c>
      <c r="C14" t="s">
        <v>232</v>
      </c>
      <c r="D14" t="s">
        <v>234</v>
      </c>
      <c r="E14" s="14">
        <v>1779169</v>
      </c>
      <c r="F14" s="14">
        <v>54693</v>
      </c>
      <c r="G14" s="1">
        <f t="shared" si="0"/>
        <v>1833862</v>
      </c>
    </row>
    <row r="15" spans="1:7" x14ac:dyDescent="0.2">
      <c r="A15">
        <v>2015</v>
      </c>
      <c r="B15" s="13" t="s">
        <v>13</v>
      </c>
      <c r="C15" t="s">
        <v>232</v>
      </c>
      <c r="D15" t="s">
        <v>234</v>
      </c>
      <c r="E15" s="14">
        <v>2179424</v>
      </c>
      <c r="F15" s="14">
        <v>66997</v>
      </c>
      <c r="G15" s="1">
        <f t="shared" si="0"/>
        <v>2246421</v>
      </c>
    </row>
    <row r="16" spans="1:7" x14ac:dyDescent="0.2">
      <c r="A16">
        <v>2015</v>
      </c>
      <c r="B16" s="13" t="s">
        <v>14</v>
      </c>
      <c r="C16" t="s">
        <v>232</v>
      </c>
      <c r="D16" t="s">
        <v>234</v>
      </c>
      <c r="E16" s="14">
        <v>4833245</v>
      </c>
      <c r="F16" s="14">
        <v>148577</v>
      </c>
      <c r="G16" s="1">
        <f t="shared" si="0"/>
        <v>4981822</v>
      </c>
    </row>
    <row r="17" spans="1:7" x14ac:dyDescent="0.2">
      <c r="A17">
        <v>2015</v>
      </c>
      <c r="B17" s="13" t="s">
        <v>15</v>
      </c>
      <c r="C17" t="s">
        <v>232</v>
      </c>
      <c r="D17" t="s">
        <v>234</v>
      </c>
      <c r="E17" s="14">
        <v>9099833</v>
      </c>
      <c r="F17" s="14">
        <v>279734</v>
      </c>
      <c r="G17" s="1">
        <f t="shared" si="0"/>
        <v>9379567</v>
      </c>
    </row>
    <row r="18" spans="1:7" x14ac:dyDescent="0.2">
      <c r="A18">
        <v>2015</v>
      </c>
      <c r="B18" s="13" t="s">
        <v>16</v>
      </c>
      <c r="C18" t="s">
        <v>232</v>
      </c>
      <c r="D18" t="s">
        <v>234</v>
      </c>
      <c r="E18" s="14">
        <v>63210176</v>
      </c>
      <c r="F18" s="14">
        <v>1943117</v>
      </c>
      <c r="G18" s="1">
        <f t="shared" si="0"/>
        <v>65153293</v>
      </c>
    </row>
    <row r="19" spans="1:7" x14ac:dyDescent="0.2">
      <c r="A19">
        <v>2015</v>
      </c>
      <c r="B19" s="13" t="s">
        <v>17</v>
      </c>
      <c r="C19" t="s">
        <v>232</v>
      </c>
      <c r="D19" t="s">
        <v>234</v>
      </c>
      <c r="E19" s="14">
        <v>1356854</v>
      </c>
      <c r="F19" s="14">
        <v>41710</v>
      </c>
      <c r="G19" s="1">
        <f t="shared" si="0"/>
        <v>1398564</v>
      </c>
    </row>
    <row r="20" spans="1:7" x14ac:dyDescent="0.2">
      <c r="A20">
        <v>2015</v>
      </c>
      <c r="B20" s="13" t="s">
        <v>18</v>
      </c>
      <c r="C20" t="s">
        <v>232</v>
      </c>
      <c r="D20" t="s">
        <v>234</v>
      </c>
      <c r="E20" s="14">
        <v>2117187</v>
      </c>
      <c r="F20" s="14">
        <v>65084</v>
      </c>
      <c r="G20" s="1">
        <f t="shared" si="0"/>
        <v>2182271</v>
      </c>
    </row>
    <row r="21" spans="1:7" x14ac:dyDescent="0.2">
      <c r="A21">
        <v>2015</v>
      </c>
      <c r="B21" s="13" t="s">
        <v>19</v>
      </c>
      <c r="C21" t="s">
        <v>232</v>
      </c>
      <c r="D21" t="s">
        <v>234</v>
      </c>
      <c r="E21" s="14">
        <v>6798163</v>
      </c>
      <c r="F21" s="14">
        <v>208979</v>
      </c>
      <c r="G21" s="1">
        <f t="shared" si="0"/>
        <v>7007142</v>
      </c>
    </row>
    <row r="22" spans="1:7" x14ac:dyDescent="0.2">
      <c r="A22">
        <v>2015</v>
      </c>
      <c r="B22" s="13" t="s">
        <v>20</v>
      </c>
      <c r="C22" t="s">
        <v>232</v>
      </c>
      <c r="D22" t="s">
        <v>234</v>
      </c>
      <c r="E22" s="14">
        <v>3784142</v>
      </c>
      <c r="F22" s="14">
        <v>116327</v>
      </c>
      <c r="G22" s="1">
        <f t="shared" si="0"/>
        <v>3900469</v>
      </c>
    </row>
    <row r="23" spans="1:7" x14ac:dyDescent="0.2">
      <c r="A23">
        <v>2015</v>
      </c>
      <c r="B23" s="13" t="s">
        <v>21</v>
      </c>
      <c r="C23" t="s">
        <v>232</v>
      </c>
      <c r="D23" t="s">
        <v>234</v>
      </c>
      <c r="E23" s="14">
        <v>3502092</v>
      </c>
      <c r="F23" s="14">
        <v>107656</v>
      </c>
      <c r="G23" s="1">
        <f t="shared" si="0"/>
        <v>3609748</v>
      </c>
    </row>
    <row r="24" spans="1:7" x14ac:dyDescent="0.2">
      <c r="A24">
        <v>2015</v>
      </c>
      <c r="B24" s="13" t="s">
        <v>22</v>
      </c>
      <c r="C24" t="s">
        <v>232</v>
      </c>
      <c r="D24" t="s">
        <v>234</v>
      </c>
      <c r="E24" s="14">
        <v>17495471</v>
      </c>
      <c r="F24" s="14">
        <v>537821</v>
      </c>
      <c r="G24" s="1">
        <f t="shared" si="0"/>
        <v>18033292</v>
      </c>
    </row>
    <row r="25" spans="1:7" x14ac:dyDescent="0.2">
      <c r="A25">
        <v>2015</v>
      </c>
      <c r="B25" s="13" t="s">
        <v>23</v>
      </c>
      <c r="C25" t="s">
        <v>232</v>
      </c>
      <c r="D25" t="s">
        <v>234</v>
      </c>
      <c r="E25" s="14">
        <v>8416712</v>
      </c>
      <c r="F25" s="14">
        <v>258735</v>
      </c>
      <c r="G25" s="1">
        <f t="shared" si="0"/>
        <v>8675447</v>
      </c>
    </row>
    <row r="26" spans="1:7" x14ac:dyDescent="0.2">
      <c r="A26">
        <v>2015</v>
      </c>
      <c r="B26" s="13" t="s">
        <v>24</v>
      </c>
      <c r="C26" t="s">
        <v>232</v>
      </c>
      <c r="D26" t="s">
        <v>234</v>
      </c>
      <c r="E26" s="14">
        <v>3084184</v>
      </c>
      <c r="F26" s="14">
        <v>94810</v>
      </c>
      <c r="G26" s="1">
        <f t="shared" si="0"/>
        <v>3178994</v>
      </c>
    </row>
    <row r="27" spans="1:7" x14ac:dyDescent="0.2">
      <c r="A27">
        <v>2015</v>
      </c>
      <c r="B27" s="13" t="s">
        <v>25</v>
      </c>
      <c r="C27" t="s">
        <v>232</v>
      </c>
      <c r="D27" t="s">
        <v>234</v>
      </c>
      <c r="E27" s="14">
        <v>56647337</v>
      </c>
      <c r="F27" s="14">
        <v>1741372</v>
      </c>
      <c r="G27" s="1">
        <f t="shared" si="0"/>
        <v>58388709</v>
      </c>
    </row>
    <row r="28" spans="1:7" x14ac:dyDescent="0.2">
      <c r="A28">
        <v>2015</v>
      </c>
      <c r="B28" s="13" t="s">
        <v>26</v>
      </c>
      <c r="C28" t="s">
        <v>232</v>
      </c>
      <c r="D28" t="s">
        <v>234</v>
      </c>
      <c r="E28" s="14">
        <v>8016628</v>
      </c>
      <c r="F28" s="14">
        <v>246436</v>
      </c>
      <c r="G28" s="1">
        <f t="shared" si="0"/>
        <v>8263064</v>
      </c>
    </row>
    <row r="29" spans="1:7" x14ac:dyDescent="0.2">
      <c r="A29">
        <v>2015</v>
      </c>
      <c r="B29" s="13" t="s">
        <v>27</v>
      </c>
      <c r="C29" t="s">
        <v>232</v>
      </c>
      <c r="D29" t="s">
        <v>234</v>
      </c>
      <c r="E29" s="14">
        <v>40536624</v>
      </c>
      <c r="F29" s="14">
        <v>1246119</v>
      </c>
      <c r="G29" s="1">
        <f t="shared" si="0"/>
        <v>41782743</v>
      </c>
    </row>
    <row r="30" spans="1:7" x14ac:dyDescent="0.2">
      <c r="A30">
        <v>2015</v>
      </c>
      <c r="B30" s="13" t="s">
        <v>28</v>
      </c>
      <c r="C30" t="s">
        <v>232</v>
      </c>
      <c r="D30" t="s">
        <v>234</v>
      </c>
      <c r="E30" s="14">
        <v>20587191</v>
      </c>
      <c r="F30" s="14">
        <v>632862</v>
      </c>
      <c r="G30" s="1">
        <f t="shared" si="0"/>
        <v>21220053</v>
      </c>
    </row>
    <row r="31" spans="1:7" x14ac:dyDescent="0.2">
      <c r="A31">
        <v>2015</v>
      </c>
      <c r="B31" s="13" t="s">
        <v>29</v>
      </c>
      <c r="C31" t="s">
        <v>232</v>
      </c>
      <c r="D31" t="s">
        <v>234</v>
      </c>
      <c r="E31" s="14">
        <v>3517042</v>
      </c>
      <c r="F31" s="14">
        <v>108116</v>
      </c>
      <c r="G31" s="1">
        <f t="shared" si="0"/>
        <v>3625158</v>
      </c>
    </row>
    <row r="32" spans="1:7" x14ac:dyDescent="0.2">
      <c r="A32">
        <v>2015</v>
      </c>
      <c r="B32" s="13" t="s">
        <v>30</v>
      </c>
      <c r="C32" t="s">
        <v>232</v>
      </c>
      <c r="D32" t="s">
        <v>234</v>
      </c>
      <c r="E32" s="14">
        <v>9065452</v>
      </c>
      <c r="F32" s="14">
        <v>278677</v>
      </c>
      <c r="G32" s="1">
        <f t="shared" si="0"/>
        <v>9344129</v>
      </c>
    </row>
    <row r="33" spans="1:7" x14ac:dyDescent="0.2">
      <c r="A33">
        <v>2015</v>
      </c>
      <c r="B33" s="13" t="s">
        <v>31</v>
      </c>
      <c r="C33" t="s">
        <v>232</v>
      </c>
      <c r="D33" t="s">
        <v>234</v>
      </c>
      <c r="E33" s="14">
        <v>30544802</v>
      </c>
      <c r="F33" s="14">
        <v>938965</v>
      </c>
      <c r="G33" s="1">
        <f t="shared" si="0"/>
        <v>31483767</v>
      </c>
    </row>
    <row r="34" spans="1:7" x14ac:dyDescent="0.2">
      <c r="A34">
        <v>2015</v>
      </c>
      <c r="B34" s="13" t="s">
        <v>32</v>
      </c>
      <c r="C34" t="s">
        <v>232</v>
      </c>
      <c r="D34" t="s">
        <v>234</v>
      </c>
      <c r="E34" s="14">
        <v>2064397</v>
      </c>
      <c r="F34" s="14">
        <v>63461</v>
      </c>
      <c r="G34" s="1">
        <f t="shared" si="0"/>
        <v>2127858</v>
      </c>
    </row>
    <row r="35" spans="1:7" x14ac:dyDescent="0.2">
      <c r="A35">
        <v>2015</v>
      </c>
      <c r="B35" s="13" t="s">
        <v>33</v>
      </c>
      <c r="C35" t="s">
        <v>232</v>
      </c>
      <c r="D35" t="s">
        <v>234</v>
      </c>
      <c r="E35" s="14">
        <v>4273515</v>
      </c>
      <c r="F35" s="14">
        <v>131370</v>
      </c>
      <c r="G35" s="1">
        <f t="shared" si="0"/>
        <v>4404885</v>
      </c>
    </row>
    <row r="36" spans="1:7" x14ac:dyDescent="0.2">
      <c r="A36">
        <v>2015</v>
      </c>
      <c r="B36" s="13" t="s">
        <v>34</v>
      </c>
      <c r="C36" t="s">
        <v>232</v>
      </c>
      <c r="D36" t="s">
        <v>234</v>
      </c>
      <c r="E36" s="14">
        <v>8315431</v>
      </c>
      <c r="F36" s="14">
        <v>255621</v>
      </c>
      <c r="G36" s="1">
        <f t="shared" si="0"/>
        <v>8571052</v>
      </c>
    </row>
    <row r="37" spans="1:7" x14ac:dyDescent="0.2">
      <c r="A37">
        <v>2015</v>
      </c>
      <c r="B37" s="13" t="s">
        <v>35</v>
      </c>
      <c r="C37" t="s">
        <v>232</v>
      </c>
      <c r="D37" t="s">
        <v>234</v>
      </c>
      <c r="E37" s="14">
        <v>7422030</v>
      </c>
      <c r="F37" s="14">
        <v>228157</v>
      </c>
      <c r="G37" s="1">
        <f t="shared" si="0"/>
        <v>7650187</v>
      </c>
    </row>
    <row r="38" spans="1:7" x14ac:dyDescent="0.2">
      <c r="A38">
        <v>2015</v>
      </c>
      <c r="B38" s="13" t="s">
        <v>36</v>
      </c>
      <c r="C38" t="s">
        <v>232</v>
      </c>
      <c r="D38" t="s">
        <v>234</v>
      </c>
      <c r="E38" s="14">
        <v>27048494</v>
      </c>
      <c r="F38" s="14">
        <v>831486</v>
      </c>
      <c r="G38" s="1">
        <f t="shared" si="0"/>
        <v>27879980</v>
      </c>
    </row>
    <row r="39" spans="1:7" x14ac:dyDescent="0.2">
      <c r="A39">
        <v>2015</v>
      </c>
      <c r="B39" s="13" t="s">
        <v>37</v>
      </c>
      <c r="C39" t="s">
        <v>232</v>
      </c>
      <c r="D39" t="s">
        <v>234</v>
      </c>
      <c r="E39" s="14">
        <v>7499363</v>
      </c>
      <c r="F39" s="14">
        <v>230535</v>
      </c>
      <c r="G39" s="1">
        <f t="shared" si="0"/>
        <v>7729898</v>
      </c>
    </row>
    <row r="40" spans="1:7" x14ac:dyDescent="0.2">
      <c r="A40">
        <v>2015</v>
      </c>
      <c r="B40" s="13" t="s">
        <v>38</v>
      </c>
      <c r="C40" t="s">
        <v>232</v>
      </c>
      <c r="D40" t="s">
        <v>234</v>
      </c>
      <c r="E40" s="14">
        <v>3473006</v>
      </c>
      <c r="F40" s="14">
        <v>106762</v>
      </c>
      <c r="G40" s="1">
        <f t="shared" si="0"/>
        <v>3579768</v>
      </c>
    </row>
    <row r="41" spans="1:7" x14ac:dyDescent="0.2">
      <c r="A41">
        <v>2015</v>
      </c>
      <c r="B41" s="13" t="s">
        <v>39</v>
      </c>
      <c r="C41" t="s">
        <v>232</v>
      </c>
      <c r="D41" t="s">
        <v>234</v>
      </c>
      <c r="E41" s="14">
        <v>30358238</v>
      </c>
      <c r="F41" s="14">
        <v>933230</v>
      </c>
      <c r="G41" s="1">
        <f t="shared" si="0"/>
        <v>31291468</v>
      </c>
    </row>
    <row r="42" spans="1:7" x14ac:dyDescent="0.2">
      <c r="A42">
        <v>2015</v>
      </c>
      <c r="B42" s="13" t="s">
        <v>40</v>
      </c>
      <c r="C42" t="s">
        <v>232</v>
      </c>
      <c r="D42" t="s">
        <v>234</v>
      </c>
      <c r="E42" s="14">
        <v>2780243</v>
      </c>
      <c r="F42" s="14">
        <v>85466</v>
      </c>
      <c r="G42" s="1">
        <f t="shared" si="0"/>
        <v>2865709</v>
      </c>
    </row>
    <row r="43" spans="1:7" x14ac:dyDescent="0.2">
      <c r="A43">
        <v>2015</v>
      </c>
      <c r="B43" s="13" t="s">
        <v>41</v>
      </c>
      <c r="C43" t="s">
        <v>232</v>
      </c>
      <c r="D43" t="s">
        <v>234</v>
      </c>
      <c r="E43" s="14">
        <v>4132776</v>
      </c>
      <c r="F43" s="14">
        <v>127044</v>
      </c>
      <c r="G43" s="1">
        <f t="shared" si="0"/>
        <v>4259820</v>
      </c>
    </row>
    <row r="44" spans="1:7" x14ac:dyDescent="0.2">
      <c r="A44">
        <v>2015</v>
      </c>
      <c r="B44" s="13" t="s">
        <v>42</v>
      </c>
      <c r="C44" t="s">
        <v>232</v>
      </c>
      <c r="D44" t="s">
        <v>234</v>
      </c>
      <c r="E44" s="14">
        <v>5806452</v>
      </c>
      <c r="F44" s="14">
        <v>178494</v>
      </c>
      <c r="G44" s="1">
        <f t="shared" si="0"/>
        <v>5984946</v>
      </c>
    </row>
    <row r="45" spans="1:7" x14ac:dyDescent="0.2">
      <c r="A45">
        <v>2015</v>
      </c>
      <c r="B45" s="13" t="s">
        <v>43</v>
      </c>
      <c r="C45" t="s">
        <v>232</v>
      </c>
      <c r="D45" t="s">
        <v>234</v>
      </c>
      <c r="E45" s="14">
        <v>8505965</v>
      </c>
      <c r="F45" s="14">
        <v>261478</v>
      </c>
      <c r="G45" s="1">
        <f t="shared" si="0"/>
        <v>8767443</v>
      </c>
    </row>
    <row r="46" spans="1:7" x14ac:dyDescent="0.2">
      <c r="A46">
        <v>2015</v>
      </c>
      <c r="B46" s="13" t="s">
        <v>44</v>
      </c>
      <c r="C46" t="s">
        <v>232</v>
      </c>
      <c r="D46" t="s">
        <v>234</v>
      </c>
      <c r="E46" s="14">
        <v>18834648</v>
      </c>
      <c r="F46" s="14">
        <v>578988</v>
      </c>
      <c r="G46" s="1">
        <f t="shared" si="0"/>
        <v>19413636</v>
      </c>
    </row>
    <row r="47" spans="1:7" x14ac:dyDescent="0.2">
      <c r="A47">
        <v>2015</v>
      </c>
      <c r="B47" s="13" t="s">
        <v>45</v>
      </c>
      <c r="C47" t="s">
        <v>232</v>
      </c>
      <c r="D47" t="s">
        <v>234</v>
      </c>
      <c r="E47" s="14">
        <v>1265678</v>
      </c>
      <c r="F47" s="14">
        <v>38908</v>
      </c>
      <c r="G47" s="1">
        <f t="shared" si="0"/>
        <v>1304586</v>
      </c>
    </row>
    <row r="48" spans="1:7" x14ac:dyDescent="0.2">
      <c r="A48">
        <v>2015</v>
      </c>
      <c r="B48" s="13" t="s">
        <v>46</v>
      </c>
      <c r="C48" t="s">
        <v>232</v>
      </c>
      <c r="D48" t="s">
        <v>234</v>
      </c>
      <c r="E48" s="14">
        <v>7756553</v>
      </c>
      <c r="F48" s="14">
        <v>238441</v>
      </c>
      <c r="G48" s="1">
        <f t="shared" si="0"/>
        <v>7994994</v>
      </c>
    </row>
    <row r="49" spans="1:7" x14ac:dyDescent="0.2">
      <c r="A49">
        <v>2015</v>
      </c>
      <c r="B49" s="13" t="s">
        <v>47</v>
      </c>
      <c r="C49" t="s">
        <v>232</v>
      </c>
      <c r="D49" t="s">
        <v>234</v>
      </c>
      <c r="E49" s="14">
        <v>8987923</v>
      </c>
      <c r="F49" s="14">
        <v>276294</v>
      </c>
      <c r="G49" s="1">
        <f t="shared" si="0"/>
        <v>9264217</v>
      </c>
    </row>
    <row r="50" spans="1:7" x14ac:dyDescent="0.2">
      <c r="A50">
        <v>2015</v>
      </c>
      <c r="B50" s="13" t="s">
        <v>48</v>
      </c>
      <c r="C50" t="s">
        <v>232</v>
      </c>
      <c r="D50" t="s">
        <v>234</v>
      </c>
      <c r="E50" s="14">
        <v>17723868</v>
      </c>
      <c r="F50" s="14">
        <v>544842</v>
      </c>
      <c r="G50" s="1">
        <f t="shared" si="0"/>
        <v>18268710</v>
      </c>
    </row>
    <row r="51" spans="1:7" x14ac:dyDescent="0.2">
      <c r="A51">
        <v>2015</v>
      </c>
      <c r="B51" s="13" t="s">
        <v>49</v>
      </c>
      <c r="C51" t="s">
        <v>232</v>
      </c>
      <c r="D51" t="s">
        <v>234</v>
      </c>
      <c r="E51" s="14">
        <v>10201275</v>
      </c>
      <c r="F51" s="14">
        <v>313593</v>
      </c>
      <c r="G51" s="1">
        <f t="shared" si="0"/>
        <v>10514868</v>
      </c>
    </row>
    <row r="52" spans="1:7" x14ac:dyDescent="0.2">
      <c r="A52">
        <v>2015</v>
      </c>
      <c r="B52" s="13" t="s">
        <v>50</v>
      </c>
      <c r="C52" t="s">
        <v>232</v>
      </c>
      <c r="D52" t="s">
        <v>234</v>
      </c>
      <c r="E52" s="14">
        <v>12149429</v>
      </c>
      <c r="F52" s="14">
        <v>373480</v>
      </c>
      <c r="G52" s="1">
        <f t="shared" si="0"/>
        <v>12522909</v>
      </c>
    </row>
    <row r="53" spans="1:7" x14ac:dyDescent="0.2">
      <c r="A53">
        <v>2015</v>
      </c>
      <c r="B53" s="13" t="s">
        <v>51</v>
      </c>
      <c r="C53" t="s">
        <v>232</v>
      </c>
      <c r="D53" t="s">
        <v>234</v>
      </c>
      <c r="E53" s="14">
        <v>55221306</v>
      </c>
      <c r="F53" s="14">
        <v>1697535</v>
      </c>
      <c r="G53" s="1">
        <f t="shared" si="0"/>
        <v>56918841</v>
      </c>
    </row>
    <row r="54" spans="1:7" x14ac:dyDescent="0.2">
      <c r="A54">
        <v>2015</v>
      </c>
      <c r="B54" s="13" t="s">
        <v>52</v>
      </c>
      <c r="C54" t="s">
        <v>232</v>
      </c>
      <c r="D54" t="s">
        <v>234</v>
      </c>
      <c r="E54" s="14">
        <v>24692635</v>
      </c>
      <c r="F54" s="14">
        <v>759066</v>
      </c>
      <c r="G54" s="1">
        <f t="shared" si="0"/>
        <v>25451701</v>
      </c>
    </row>
    <row r="55" spans="1:7" x14ac:dyDescent="0.2">
      <c r="A55">
        <v>2015</v>
      </c>
      <c r="B55" s="13" t="s">
        <v>53</v>
      </c>
      <c r="C55" t="s">
        <v>232</v>
      </c>
      <c r="D55" t="s">
        <v>234</v>
      </c>
      <c r="E55" s="14">
        <v>974886</v>
      </c>
      <c r="F55" s="14">
        <v>29969</v>
      </c>
      <c r="G55" s="1">
        <f t="shared" si="0"/>
        <v>1004855</v>
      </c>
    </row>
    <row r="56" spans="1:7" x14ac:dyDescent="0.2">
      <c r="A56">
        <v>2015</v>
      </c>
      <c r="B56" s="13" t="s">
        <v>54</v>
      </c>
      <c r="C56" t="s">
        <v>232</v>
      </c>
      <c r="D56" t="s">
        <v>234</v>
      </c>
      <c r="E56" s="14">
        <v>20864493</v>
      </c>
      <c r="F56" s="14">
        <v>641387</v>
      </c>
      <c r="G56" s="1">
        <f t="shared" si="0"/>
        <v>21505880</v>
      </c>
    </row>
    <row r="57" spans="1:7" x14ac:dyDescent="0.2">
      <c r="A57">
        <v>2015</v>
      </c>
      <c r="B57" s="13" t="s">
        <v>55</v>
      </c>
      <c r="C57" t="s">
        <v>232</v>
      </c>
      <c r="D57" t="s">
        <v>234</v>
      </c>
      <c r="E57" s="14">
        <v>2599121</v>
      </c>
      <c r="F57" s="14">
        <v>79898</v>
      </c>
      <c r="G57" s="1">
        <f t="shared" si="0"/>
        <v>2679019</v>
      </c>
    </row>
    <row r="58" spans="1:7" x14ac:dyDescent="0.2">
      <c r="A58">
        <v>2015</v>
      </c>
      <c r="B58" s="13" t="s">
        <v>56</v>
      </c>
      <c r="C58" t="s">
        <v>232</v>
      </c>
      <c r="D58" t="s">
        <v>234</v>
      </c>
      <c r="E58" s="14">
        <v>12432636</v>
      </c>
      <c r="F58" s="14">
        <v>382186</v>
      </c>
      <c r="G58" s="1">
        <f t="shared" si="0"/>
        <v>12814822</v>
      </c>
    </row>
    <row r="59" spans="1:7" x14ac:dyDescent="0.2">
      <c r="A59">
        <v>2015</v>
      </c>
      <c r="B59" s="13" t="s">
        <v>57</v>
      </c>
      <c r="C59" t="s">
        <v>232</v>
      </c>
      <c r="D59" t="s">
        <v>234</v>
      </c>
      <c r="E59" s="14">
        <v>11178669</v>
      </c>
      <c r="F59" s="14">
        <v>343639</v>
      </c>
      <c r="G59" s="1">
        <f t="shared" si="0"/>
        <v>11522308</v>
      </c>
    </row>
    <row r="60" spans="1:7" x14ac:dyDescent="0.2">
      <c r="A60">
        <v>2015</v>
      </c>
      <c r="B60" s="13" t="s">
        <v>58</v>
      </c>
      <c r="C60" t="s">
        <v>232</v>
      </c>
      <c r="D60" t="s">
        <v>234</v>
      </c>
      <c r="E60" s="14">
        <v>6213171</v>
      </c>
      <c r="F60" s="14">
        <v>190996</v>
      </c>
      <c r="G60" s="1">
        <f t="shared" si="0"/>
        <v>6404167</v>
      </c>
    </row>
    <row r="61" spans="1:7" x14ac:dyDescent="0.2">
      <c r="A61">
        <v>2015</v>
      </c>
      <c r="B61" s="13" t="s">
        <v>59</v>
      </c>
      <c r="C61" t="s">
        <v>232</v>
      </c>
      <c r="D61" t="s">
        <v>234</v>
      </c>
      <c r="E61" s="14">
        <v>7872955</v>
      </c>
      <c r="F61" s="14">
        <v>242019</v>
      </c>
      <c r="G61" s="1">
        <f t="shared" si="0"/>
        <v>8114974</v>
      </c>
    </row>
    <row r="62" spans="1:7" x14ac:dyDescent="0.2">
      <c r="A62">
        <v>2015</v>
      </c>
      <c r="B62" s="13" t="s">
        <v>60</v>
      </c>
      <c r="C62" t="s">
        <v>232</v>
      </c>
      <c r="D62" t="s">
        <v>234</v>
      </c>
      <c r="E62" s="14">
        <v>7173301</v>
      </c>
      <c r="F62" s="14">
        <v>220511</v>
      </c>
      <c r="G62" s="1">
        <f t="shared" si="0"/>
        <v>7393812</v>
      </c>
    </row>
    <row r="63" spans="1:7" x14ac:dyDescent="0.2">
      <c r="A63">
        <v>2015</v>
      </c>
      <c r="B63" s="13" t="s">
        <v>61</v>
      </c>
      <c r="C63" t="s">
        <v>232</v>
      </c>
      <c r="D63" t="s">
        <v>234</v>
      </c>
      <c r="E63" s="14">
        <v>2599316</v>
      </c>
      <c r="F63" s="14">
        <v>79904</v>
      </c>
      <c r="G63" s="1">
        <f t="shared" si="0"/>
        <v>2679220</v>
      </c>
    </row>
    <row r="64" spans="1:7" x14ac:dyDescent="0.2">
      <c r="A64">
        <v>2015</v>
      </c>
      <c r="B64" s="13" t="s">
        <v>62</v>
      </c>
      <c r="C64" t="s">
        <v>232</v>
      </c>
      <c r="D64" t="s">
        <v>234</v>
      </c>
      <c r="E64" s="14">
        <v>3965082</v>
      </c>
      <c r="F64" s="14">
        <v>121889</v>
      </c>
      <c r="G64" s="1">
        <f t="shared" si="0"/>
        <v>4086971</v>
      </c>
    </row>
    <row r="65" spans="1:7" x14ac:dyDescent="0.2">
      <c r="A65">
        <v>2015</v>
      </c>
      <c r="B65" s="13" t="s">
        <v>63</v>
      </c>
      <c r="C65" t="s">
        <v>232</v>
      </c>
      <c r="D65" t="s">
        <v>234</v>
      </c>
      <c r="E65" s="14">
        <v>2961110</v>
      </c>
      <c r="F65" s="14">
        <v>91026</v>
      </c>
      <c r="G65" s="1">
        <f t="shared" si="0"/>
        <v>3052136</v>
      </c>
    </row>
    <row r="66" spans="1:7" x14ac:dyDescent="0.2">
      <c r="A66">
        <v>2015</v>
      </c>
      <c r="B66" s="13" t="s">
        <v>64</v>
      </c>
      <c r="C66" t="s">
        <v>232</v>
      </c>
      <c r="D66" t="s">
        <v>234</v>
      </c>
      <c r="E66" s="14">
        <v>2960404</v>
      </c>
      <c r="F66" s="14">
        <v>91005</v>
      </c>
      <c r="G66" s="1">
        <f t="shared" si="0"/>
        <v>3051409</v>
      </c>
    </row>
    <row r="67" spans="1:7" x14ac:dyDescent="0.2">
      <c r="A67">
        <v>2015</v>
      </c>
      <c r="B67" s="13" t="s">
        <v>65</v>
      </c>
      <c r="C67" t="s">
        <v>232</v>
      </c>
      <c r="D67" t="s">
        <v>234</v>
      </c>
      <c r="E67" s="14">
        <v>13375174</v>
      </c>
      <c r="F67" s="14">
        <v>411161</v>
      </c>
      <c r="G67" s="1">
        <f t="shared" ref="G67:G130" si="1">SUM(E67:F67)</f>
        <v>13786335</v>
      </c>
    </row>
    <row r="68" spans="1:7" x14ac:dyDescent="0.2">
      <c r="A68">
        <v>2015</v>
      </c>
      <c r="B68" s="13" t="s">
        <v>66</v>
      </c>
      <c r="C68" t="s">
        <v>232</v>
      </c>
      <c r="D68" t="s">
        <v>234</v>
      </c>
      <c r="E68" s="14">
        <v>10703760</v>
      </c>
      <c r="F68" s="14">
        <v>329040</v>
      </c>
      <c r="G68" s="1">
        <f t="shared" si="1"/>
        <v>11032800</v>
      </c>
    </row>
    <row r="69" spans="1:7" x14ac:dyDescent="0.2">
      <c r="A69">
        <v>2015</v>
      </c>
      <c r="B69" s="13" t="s">
        <v>67</v>
      </c>
      <c r="C69" t="s">
        <v>232</v>
      </c>
      <c r="D69" t="s">
        <v>234</v>
      </c>
      <c r="E69" s="14">
        <v>7542194</v>
      </c>
      <c r="F69" s="14">
        <v>231851</v>
      </c>
      <c r="G69" s="1">
        <f t="shared" si="1"/>
        <v>7774045</v>
      </c>
    </row>
    <row r="70" spans="1:7" x14ac:dyDescent="0.2">
      <c r="A70">
        <v>2015</v>
      </c>
      <c r="B70" s="13" t="s">
        <v>68</v>
      </c>
      <c r="C70" t="s">
        <v>232</v>
      </c>
      <c r="D70" t="s">
        <v>234</v>
      </c>
      <c r="E70" s="14">
        <v>86077244</v>
      </c>
      <c r="F70" s="14">
        <v>2646064</v>
      </c>
      <c r="G70" s="1">
        <f t="shared" si="1"/>
        <v>88723308</v>
      </c>
    </row>
    <row r="71" spans="1:7" x14ac:dyDescent="0.2">
      <c r="A71">
        <v>2015</v>
      </c>
      <c r="B71" s="13" t="s">
        <v>69</v>
      </c>
      <c r="C71" t="s">
        <v>232</v>
      </c>
      <c r="D71" t="s">
        <v>234</v>
      </c>
      <c r="E71" s="14">
        <v>12026075</v>
      </c>
      <c r="F71" s="14">
        <v>369688</v>
      </c>
      <c r="G71" s="1">
        <f t="shared" si="1"/>
        <v>12395763</v>
      </c>
    </row>
    <row r="72" spans="1:7" x14ac:dyDescent="0.2">
      <c r="A72">
        <v>2015</v>
      </c>
      <c r="B72" s="13" t="s">
        <v>70</v>
      </c>
      <c r="C72" t="s">
        <v>232</v>
      </c>
      <c r="D72" t="s">
        <v>234</v>
      </c>
      <c r="E72" s="14">
        <v>32169439</v>
      </c>
      <c r="F72" s="14">
        <v>988907</v>
      </c>
      <c r="G72" s="1">
        <f t="shared" si="1"/>
        <v>33158346</v>
      </c>
    </row>
    <row r="73" spans="1:7" x14ac:dyDescent="0.2">
      <c r="A73">
        <v>2015</v>
      </c>
      <c r="B73" s="13" t="s">
        <v>71</v>
      </c>
      <c r="C73" t="s">
        <v>232</v>
      </c>
      <c r="D73" t="s">
        <v>234</v>
      </c>
      <c r="E73" s="14">
        <v>6229314</v>
      </c>
      <c r="F73" s="14">
        <v>191493</v>
      </c>
      <c r="G73" s="1">
        <f t="shared" si="1"/>
        <v>6420807</v>
      </c>
    </row>
    <row r="74" spans="1:7" x14ac:dyDescent="0.2">
      <c r="A74">
        <v>2015</v>
      </c>
      <c r="B74" s="13" t="s">
        <v>72</v>
      </c>
      <c r="C74" t="s">
        <v>232</v>
      </c>
      <c r="D74" t="s">
        <v>234</v>
      </c>
      <c r="E74" s="14">
        <v>12259695</v>
      </c>
      <c r="F74" s="14">
        <v>376870</v>
      </c>
      <c r="G74" s="1">
        <f t="shared" si="1"/>
        <v>12636565</v>
      </c>
    </row>
    <row r="75" spans="1:7" x14ac:dyDescent="0.2">
      <c r="A75">
        <v>2015</v>
      </c>
      <c r="B75" s="13" t="s">
        <v>73</v>
      </c>
      <c r="C75" t="s">
        <v>232</v>
      </c>
      <c r="D75" t="s">
        <v>234</v>
      </c>
      <c r="E75" s="14">
        <v>19964603</v>
      </c>
      <c r="F75" s="14">
        <v>613723</v>
      </c>
      <c r="G75" s="1">
        <f t="shared" si="1"/>
        <v>20578326</v>
      </c>
    </row>
    <row r="76" spans="1:7" x14ac:dyDescent="0.2">
      <c r="A76">
        <v>2015</v>
      </c>
      <c r="B76" s="13" t="s">
        <v>74</v>
      </c>
      <c r="C76" t="s">
        <v>232</v>
      </c>
      <c r="D76" t="s">
        <v>234</v>
      </c>
      <c r="E76" s="14">
        <v>5597851</v>
      </c>
      <c r="F76" s="14">
        <v>172081</v>
      </c>
      <c r="G76" s="1">
        <f t="shared" si="1"/>
        <v>5769932</v>
      </c>
    </row>
    <row r="77" spans="1:7" x14ac:dyDescent="0.2">
      <c r="A77">
        <v>2015</v>
      </c>
      <c r="B77" s="13" t="s">
        <v>75</v>
      </c>
      <c r="C77" t="s">
        <v>232</v>
      </c>
      <c r="D77" t="s">
        <v>234</v>
      </c>
      <c r="E77" s="14">
        <v>11545480</v>
      </c>
      <c r="F77" s="14">
        <v>354915</v>
      </c>
      <c r="G77" s="1">
        <f t="shared" si="1"/>
        <v>11900395</v>
      </c>
    </row>
    <row r="78" spans="1:7" x14ac:dyDescent="0.2">
      <c r="A78">
        <v>2015</v>
      </c>
      <c r="B78" s="13" t="s">
        <v>76</v>
      </c>
      <c r="C78" t="s">
        <v>232</v>
      </c>
      <c r="D78" t="s">
        <v>234</v>
      </c>
      <c r="E78" s="14">
        <v>2783202</v>
      </c>
      <c r="F78" s="14">
        <v>85557</v>
      </c>
      <c r="G78" s="1">
        <f t="shared" si="1"/>
        <v>2868759</v>
      </c>
    </row>
    <row r="79" spans="1:7" x14ac:dyDescent="0.2">
      <c r="A79">
        <v>2015</v>
      </c>
      <c r="B79" s="13" t="s">
        <v>78</v>
      </c>
      <c r="C79" t="s">
        <v>232</v>
      </c>
      <c r="D79" t="s">
        <v>234</v>
      </c>
      <c r="E79" s="14">
        <v>10415574</v>
      </c>
      <c r="F79" s="14">
        <v>320181</v>
      </c>
      <c r="G79" s="1">
        <f t="shared" si="1"/>
        <v>10735755</v>
      </c>
    </row>
    <row r="80" spans="1:7" x14ac:dyDescent="0.2">
      <c r="A80">
        <v>2015</v>
      </c>
      <c r="B80" s="13" t="s">
        <v>79</v>
      </c>
      <c r="C80" t="s">
        <v>232</v>
      </c>
      <c r="D80" t="s">
        <v>234</v>
      </c>
      <c r="E80" s="14">
        <v>1873413</v>
      </c>
      <c r="F80" s="14">
        <v>57590</v>
      </c>
      <c r="G80" s="1">
        <f t="shared" si="1"/>
        <v>1931003</v>
      </c>
    </row>
    <row r="81" spans="1:7" x14ac:dyDescent="0.2">
      <c r="A81">
        <v>2015</v>
      </c>
      <c r="B81" s="13" t="s">
        <v>80</v>
      </c>
      <c r="C81" t="s">
        <v>232</v>
      </c>
      <c r="D81" t="s">
        <v>234</v>
      </c>
      <c r="E81" s="14">
        <v>267295</v>
      </c>
      <c r="F81" s="14">
        <v>8217</v>
      </c>
      <c r="G81" s="1">
        <f t="shared" si="1"/>
        <v>275512</v>
      </c>
    </row>
    <row r="82" spans="1:7" x14ac:dyDescent="0.2">
      <c r="A82">
        <v>2015</v>
      </c>
      <c r="B82" s="13" t="s">
        <v>81</v>
      </c>
      <c r="C82" t="s">
        <v>232</v>
      </c>
      <c r="D82" t="s">
        <v>234</v>
      </c>
      <c r="E82" s="14">
        <v>6502563</v>
      </c>
      <c r="F82" s="14">
        <v>199893</v>
      </c>
      <c r="G82" s="1">
        <f t="shared" si="1"/>
        <v>6702456</v>
      </c>
    </row>
    <row r="83" spans="1:7" x14ac:dyDescent="0.2">
      <c r="A83">
        <v>2015</v>
      </c>
      <c r="B83" s="13" t="s">
        <v>82</v>
      </c>
      <c r="C83" t="s">
        <v>232</v>
      </c>
      <c r="D83" t="s">
        <v>234</v>
      </c>
      <c r="E83" s="14">
        <v>9362197</v>
      </c>
      <c r="F83" s="14">
        <v>287799</v>
      </c>
      <c r="G83" s="1">
        <f t="shared" si="1"/>
        <v>9649996</v>
      </c>
    </row>
    <row r="84" spans="1:7" x14ac:dyDescent="0.2">
      <c r="A84">
        <v>2015</v>
      </c>
      <c r="B84" s="13" t="s">
        <v>83</v>
      </c>
      <c r="C84" t="s">
        <v>232</v>
      </c>
      <c r="D84" t="s">
        <v>234</v>
      </c>
      <c r="E84" s="14">
        <v>1135251</v>
      </c>
      <c r="F84" s="14">
        <v>34898</v>
      </c>
      <c r="G84" s="1">
        <f t="shared" si="1"/>
        <v>1170149</v>
      </c>
    </row>
    <row r="85" spans="1:7" x14ac:dyDescent="0.2">
      <c r="A85">
        <v>2015</v>
      </c>
      <c r="B85" s="13" t="s">
        <v>85</v>
      </c>
      <c r="C85" t="s">
        <v>232</v>
      </c>
      <c r="D85" t="s">
        <v>234</v>
      </c>
      <c r="E85" s="14">
        <v>110692</v>
      </c>
      <c r="F85" s="14">
        <v>3403</v>
      </c>
      <c r="G85" s="1">
        <f t="shared" si="1"/>
        <v>114095</v>
      </c>
    </row>
    <row r="86" spans="1:7" x14ac:dyDescent="0.2">
      <c r="A86">
        <v>2015</v>
      </c>
      <c r="B86" s="13" t="s">
        <v>86</v>
      </c>
      <c r="C86" t="s">
        <v>232</v>
      </c>
      <c r="D86" t="s">
        <v>234</v>
      </c>
      <c r="E86" s="14">
        <v>15827</v>
      </c>
      <c r="F86" s="13">
        <v>487</v>
      </c>
      <c r="G86" s="1">
        <f t="shared" si="1"/>
        <v>16314</v>
      </c>
    </row>
    <row r="87" spans="1:7" x14ac:dyDescent="0.2">
      <c r="A87">
        <v>2015</v>
      </c>
      <c r="B87" s="13" t="s">
        <v>289</v>
      </c>
      <c r="C87" t="s">
        <v>232</v>
      </c>
      <c r="D87" t="s">
        <v>234</v>
      </c>
      <c r="E87" s="14">
        <v>3327142</v>
      </c>
      <c r="F87" s="14">
        <v>102278</v>
      </c>
      <c r="G87" s="1">
        <f t="shared" si="1"/>
        <v>3429420</v>
      </c>
    </row>
    <row r="88" spans="1:7" x14ac:dyDescent="0.2">
      <c r="A88">
        <v>2015</v>
      </c>
      <c r="B88" s="13" t="s">
        <v>282</v>
      </c>
      <c r="C88" t="s">
        <v>232</v>
      </c>
      <c r="D88" t="s">
        <v>234</v>
      </c>
      <c r="E88" s="14">
        <v>1264485</v>
      </c>
      <c r="F88" s="14">
        <v>38871</v>
      </c>
      <c r="G88" s="1">
        <f t="shared" si="1"/>
        <v>1303356</v>
      </c>
    </row>
    <row r="89" spans="1:7" x14ac:dyDescent="0.2">
      <c r="A89">
        <v>2015</v>
      </c>
      <c r="B89" s="13" t="s">
        <v>88</v>
      </c>
      <c r="C89" t="s">
        <v>232</v>
      </c>
      <c r="D89" t="s">
        <v>234</v>
      </c>
      <c r="E89" s="14">
        <v>2232310</v>
      </c>
      <c r="F89" s="14">
        <v>68623</v>
      </c>
      <c r="G89" s="1">
        <f t="shared" si="1"/>
        <v>2300933</v>
      </c>
    </row>
    <row r="90" spans="1:7" x14ac:dyDescent="0.2">
      <c r="A90">
        <v>2015</v>
      </c>
      <c r="B90" s="13" t="s">
        <v>89</v>
      </c>
      <c r="C90" t="s">
        <v>232</v>
      </c>
      <c r="D90" t="s">
        <v>234</v>
      </c>
      <c r="E90" s="14">
        <v>41370</v>
      </c>
      <c r="F90" s="14">
        <v>1272</v>
      </c>
      <c r="G90" s="1">
        <f t="shared" si="1"/>
        <v>42642</v>
      </c>
    </row>
    <row r="91" spans="1:7" x14ac:dyDescent="0.2">
      <c r="A91">
        <v>2015</v>
      </c>
      <c r="B91" s="13" t="s">
        <v>237</v>
      </c>
      <c r="C91" t="s">
        <v>232</v>
      </c>
      <c r="D91" t="s">
        <v>234</v>
      </c>
      <c r="E91" s="14">
        <v>18372777</v>
      </c>
      <c r="F91" s="14">
        <v>564790</v>
      </c>
      <c r="G91" s="1">
        <f t="shared" si="1"/>
        <v>18937567</v>
      </c>
    </row>
    <row r="92" spans="1:7" x14ac:dyDescent="0.2">
      <c r="A92">
        <v>2015</v>
      </c>
      <c r="B92" s="13" t="s">
        <v>91</v>
      </c>
      <c r="C92" t="s">
        <v>232</v>
      </c>
      <c r="D92" t="s">
        <v>234</v>
      </c>
      <c r="E92" s="14">
        <v>1207520</v>
      </c>
      <c r="F92" s="14">
        <v>37120</v>
      </c>
      <c r="G92" s="1">
        <f t="shared" si="1"/>
        <v>1244640</v>
      </c>
    </row>
    <row r="93" spans="1:7" x14ac:dyDescent="0.2">
      <c r="A93">
        <v>2015</v>
      </c>
      <c r="B93" s="13" t="s">
        <v>92</v>
      </c>
      <c r="C93" t="s">
        <v>232</v>
      </c>
      <c r="D93" t="s">
        <v>234</v>
      </c>
      <c r="E93" s="14">
        <v>1516513</v>
      </c>
      <c r="F93" s="14">
        <v>46618</v>
      </c>
      <c r="G93" s="1">
        <f t="shared" si="1"/>
        <v>1563131</v>
      </c>
    </row>
    <row r="94" spans="1:7" x14ac:dyDescent="0.2">
      <c r="A94">
        <v>2015</v>
      </c>
      <c r="B94" s="13" t="s">
        <v>93</v>
      </c>
      <c r="C94" t="s">
        <v>232</v>
      </c>
      <c r="D94" t="s">
        <v>234</v>
      </c>
      <c r="E94" s="14">
        <v>1304455</v>
      </c>
      <c r="F94" s="14">
        <v>40100</v>
      </c>
      <c r="G94" s="1">
        <f t="shared" si="1"/>
        <v>1344555</v>
      </c>
    </row>
    <row r="95" spans="1:7" x14ac:dyDescent="0.2">
      <c r="A95">
        <v>2015</v>
      </c>
      <c r="B95" s="13" t="s">
        <v>94</v>
      </c>
      <c r="C95" t="s">
        <v>232</v>
      </c>
      <c r="D95" t="s">
        <v>234</v>
      </c>
      <c r="E95" s="14">
        <v>35562</v>
      </c>
      <c r="F95" s="14">
        <v>1093</v>
      </c>
      <c r="G95" s="1">
        <f t="shared" si="1"/>
        <v>36655</v>
      </c>
    </row>
    <row r="96" spans="1:7" x14ac:dyDescent="0.2">
      <c r="A96">
        <v>2015</v>
      </c>
      <c r="B96" s="13" t="s">
        <v>305</v>
      </c>
      <c r="C96" t="s">
        <v>232</v>
      </c>
      <c r="D96" t="s">
        <v>234</v>
      </c>
      <c r="E96" s="14">
        <v>251894</v>
      </c>
      <c r="F96" s="14">
        <v>7743</v>
      </c>
      <c r="G96" s="1">
        <f t="shared" si="1"/>
        <v>259637</v>
      </c>
    </row>
    <row r="97" spans="1:7" x14ac:dyDescent="0.2">
      <c r="A97">
        <v>2015</v>
      </c>
      <c r="B97" s="13" t="s">
        <v>296</v>
      </c>
      <c r="C97" t="s">
        <v>232</v>
      </c>
      <c r="D97" t="s">
        <v>234</v>
      </c>
      <c r="E97" s="14">
        <v>18944</v>
      </c>
      <c r="F97" s="13">
        <v>582</v>
      </c>
      <c r="G97" s="1">
        <f t="shared" si="1"/>
        <v>19526</v>
      </c>
    </row>
    <row r="98" spans="1:7" x14ac:dyDescent="0.2">
      <c r="A98">
        <v>2015</v>
      </c>
      <c r="B98" s="13" t="s">
        <v>96</v>
      </c>
      <c r="C98" t="s">
        <v>232</v>
      </c>
      <c r="D98" t="s">
        <v>234</v>
      </c>
      <c r="E98" s="14">
        <v>50221</v>
      </c>
      <c r="F98" s="14">
        <v>1544</v>
      </c>
      <c r="G98" s="1">
        <f t="shared" si="1"/>
        <v>51765</v>
      </c>
    </row>
    <row r="99" spans="1:7" x14ac:dyDescent="0.2">
      <c r="A99">
        <v>2015</v>
      </c>
      <c r="B99" s="13" t="s">
        <v>97</v>
      </c>
      <c r="C99" t="s">
        <v>232</v>
      </c>
      <c r="D99" t="s">
        <v>234</v>
      </c>
      <c r="E99" s="14">
        <v>48200</v>
      </c>
      <c r="F99" s="14">
        <v>1482</v>
      </c>
      <c r="G99" s="1">
        <f t="shared" si="1"/>
        <v>49682</v>
      </c>
    </row>
    <row r="100" spans="1:7" x14ac:dyDescent="0.2">
      <c r="A100">
        <v>2015</v>
      </c>
      <c r="B100" s="13" t="s">
        <v>98</v>
      </c>
      <c r="C100" t="s">
        <v>232</v>
      </c>
      <c r="D100" t="s">
        <v>234</v>
      </c>
      <c r="E100" s="14">
        <v>1351510</v>
      </c>
      <c r="F100" s="14">
        <v>41546</v>
      </c>
      <c r="G100" s="1">
        <f t="shared" si="1"/>
        <v>1393056</v>
      </c>
    </row>
    <row r="101" spans="1:7" x14ac:dyDescent="0.2">
      <c r="A101">
        <v>2015</v>
      </c>
      <c r="B101" s="13" t="s">
        <v>99</v>
      </c>
      <c r="C101" t="s">
        <v>232</v>
      </c>
      <c r="D101" t="s">
        <v>234</v>
      </c>
      <c r="E101" s="14">
        <v>52802</v>
      </c>
      <c r="F101" s="14">
        <v>1623</v>
      </c>
      <c r="G101" s="1">
        <f t="shared" si="1"/>
        <v>54425</v>
      </c>
    </row>
    <row r="102" spans="1:7" x14ac:dyDescent="0.2">
      <c r="A102">
        <v>2015</v>
      </c>
      <c r="B102" s="13" t="s">
        <v>100</v>
      </c>
      <c r="C102" t="s">
        <v>232</v>
      </c>
      <c r="D102" t="s">
        <v>234</v>
      </c>
      <c r="E102" s="14">
        <v>45253</v>
      </c>
      <c r="F102" s="14">
        <v>1391</v>
      </c>
      <c r="G102" s="1">
        <f t="shared" si="1"/>
        <v>46644</v>
      </c>
    </row>
    <row r="103" spans="1:7" x14ac:dyDescent="0.2">
      <c r="A103">
        <v>2015</v>
      </c>
      <c r="B103" s="13" t="s">
        <v>306</v>
      </c>
      <c r="C103" t="s">
        <v>232</v>
      </c>
      <c r="D103" t="s">
        <v>234</v>
      </c>
      <c r="E103" s="14">
        <v>22901</v>
      </c>
      <c r="F103" s="13">
        <v>704</v>
      </c>
      <c r="G103" s="1">
        <f t="shared" si="1"/>
        <v>23605</v>
      </c>
    </row>
    <row r="104" spans="1:7" x14ac:dyDescent="0.2">
      <c r="A104">
        <v>2015</v>
      </c>
      <c r="B104" s="13" t="s">
        <v>297</v>
      </c>
      <c r="C104" t="s">
        <v>232</v>
      </c>
      <c r="D104" t="s">
        <v>234</v>
      </c>
      <c r="E104" s="14">
        <v>44170</v>
      </c>
      <c r="F104" s="14">
        <v>1358</v>
      </c>
      <c r="G104" s="1">
        <f t="shared" si="1"/>
        <v>45528</v>
      </c>
    </row>
    <row r="105" spans="1:7" x14ac:dyDescent="0.2">
      <c r="A105">
        <v>2015</v>
      </c>
      <c r="B105" s="13" t="s">
        <v>101</v>
      </c>
      <c r="C105" t="s">
        <v>232</v>
      </c>
      <c r="D105" t="s">
        <v>234</v>
      </c>
      <c r="E105" s="14">
        <v>113943</v>
      </c>
      <c r="F105" s="14">
        <v>3503</v>
      </c>
      <c r="G105" s="1">
        <f t="shared" si="1"/>
        <v>117446</v>
      </c>
    </row>
    <row r="106" spans="1:7" x14ac:dyDescent="0.2">
      <c r="A106">
        <v>2015</v>
      </c>
      <c r="B106" s="13" t="s">
        <v>102</v>
      </c>
      <c r="C106" t="s">
        <v>232</v>
      </c>
      <c r="D106" t="s">
        <v>234</v>
      </c>
      <c r="E106" s="14">
        <v>110461</v>
      </c>
      <c r="F106" s="14">
        <v>3396</v>
      </c>
      <c r="G106" s="1">
        <f t="shared" si="1"/>
        <v>113857</v>
      </c>
    </row>
    <row r="107" spans="1:7" x14ac:dyDescent="0.2">
      <c r="A107">
        <v>2015</v>
      </c>
      <c r="B107" s="13" t="s">
        <v>103</v>
      </c>
      <c r="C107" t="s">
        <v>232</v>
      </c>
      <c r="D107" t="s">
        <v>234</v>
      </c>
      <c r="E107" s="14">
        <v>3949827</v>
      </c>
      <c r="F107" s="14">
        <v>121420</v>
      </c>
      <c r="G107" s="1">
        <f t="shared" si="1"/>
        <v>4071247</v>
      </c>
    </row>
    <row r="108" spans="1:7" x14ac:dyDescent="0.2">
      <c r="A108">
        <v>2015</v>
      </c>
      <c r="B108" s="13" t="s">
        <v>238</v>
      </c>
      <c r="C108" t="s">
        <v>232</v>
      </c>
      <c r="D108" t="s">
        <v>234</v>
      </c>
      <c r="E108" s="14">
        <v>738260</v>
      </c>
      <c r="F108" s="14">
        <v>22695</v>
      </c>
      <c r="G108" s="1">
        <f t="shared" si="1"/>
        <v>760955</v>
      </c>
    </row>
    <row r="109" spans="1:7" x14ac:dyDescent="0.2">
      <c r="A109">
        <v>2015</v>
      </c>
      <c r="B109" s="13" t="s">
        <v>105</v>
      </c>
      <c r="C109" t="s">
        <v>232</v>
      </c>
      <c r="D109" t="s">
        <v>234</v>
      </c>
      <c r="E109" s="14">
        <v>3151230</v>
      </c>
      <c r="F109" s="14">
        <v>96871</v>
      </c>
      <c r="G109" s="1">
        <f t="shared" si="1"/>
        <v>3248101</v>
      </c>
    </row>
    <row r="110" spans="1:7" x14ac:dyDescent="0.2">
      <c r="A110">
        <v>2015</v>
      </c>
      <c r="B110" s="13" t="s">
        <v>307</v>
      </c>
      <c r="C110" t="s">
        <v>232</v>
      </c>
      <c r="D110" t="s">
        <v>234</v>
      </c>
      <c r="E110" s="14">
        <v>72756</v>
      </c>
      <c r="F110" s="14">
        <v>2237</v>
      </c>
      <c r="G110" s="1">
        <f t="shared" si="1"/>
        <v>74993</v>
      </c>
    </row>
    <row r="111" spans="1:7" x14ac:dyDescent="0.2">
      <c r="A111">
        <v>2015</v>
      </c>
      <c r="B111" s="13" t="s">
        <v>106</v>
      </c>
      <c r="C111" t="s">
        <v>232</v>
      </c>
      <c r="D111" t="s">
        <v>234</v>
      </c>
      <c r="E111" s="14">
        <v>57915</v>
      </c>
      <c r="F111" s="14">
        <v>1780</v>
      </c>
      <c r="G111" s="1">
        <f t="shared" si="1"/>
        <v>59695</v>
      </c>
    </row>
    <row r="112" spans="1:7" x14ac:dyDescent="0.2">
      <c r="A112">
        <v>2015</v>
      </c>
      <c r="B112" s="13" t="s">
        <v>107</v>
      </c>
      <c r="C112" t="s">
        <v>232</v>
      </c>
      <c r="D112" t="s">
        <v>234</v>
      </c>
      <c r="E112" s="14">
        <v>438349</v>
      </c>
      <c r="F112" s="14">
        <v>13475</v>
      </c>
      <c r="G112" s="1">
        <f t="shared" si="1"/>
        <v>451824</v>
      </c>
    </row>
    <row r="113" spans="1:7" x14ac:dyDescent="0.2">
      <c r="A113">
        <v>2015</v>
      </c>
      <c r="B113" s="13" t="s">
        <v>108</v>
      </c>
      <c r="C113" t="s">
        <v>232</v>
      </c>
      <c r="D113" t="s">
        <v>234</v>
      </c>
      <c r="E113" s="14">
        <v>5177155</v>
      </c>
      <c r="F113" s="14">
        <v>159149</v>
      </c>
      <c r="G113" s="1">
        <f t="shared" si="1"/>
        <v>5336304</v>
      </c>
    </row>
    <row r="114" spans="1:7" x14ac:dyDescent="0.2">
      <c r="A114">
        <v>2015</v>
      </c>
      <c r="B114" s="13" t="s">
        <v>109</v>
      </c>
      <c r="C114" t="s">
        <v>232</v>
      </c>
      <c r="D114" t="s">
        <v>234</v>
      </c>
      <c r="E114" s="14">
        <v>902338</v>
      </c>
      <c r="F114" s="14">
        <v>27738</v>
      </c>
      <c r="G114" s="1">
        <f t="shared" si="1"/>
        <v>930076</v>
      </c>
    </row>
    <row r="115" spans="1:7" x14ac:dyDescent="0.2">
      <c r="A115">
        <v>2015</v>
      </c>
      <c r="B115" s="13" t="s">
        <v>110</v>
      </c>
      <c r="C115" t="s">
        <v>232</v>
      </c>
      <c r="D115" t="s">
        <v>234</v>
      </c>
      <c r="E115" s="14">
        <v>2445051</v>
      </c>
      <c r="F115" s="14">
        <v>75162</v>
      </c>
      <c r="G115" s="1">
        <f t="shared" si="1"/>
        <v>2520213</v>
      </c>
    </row>
    <row r="116" spans="1:7" x14ac:dyDescent="0.2">
      <c r="A116">
        <v>2015</v>
      </c>
      <c r="B116" s="13" t="s">
        <v>111</v>
      </c>
      <c r="C116" t="s">
        <v>232</v>
      </c>
      <c r="D116" t="s">
        <v>234</v>
      </c>
      <c r="E116" s="14">
        <v>428207</v>
      </c>
      <c r="F116" s="14">
        <v>13163</v>
      </c>
      <c r="G116" s="1">
        <f t="shared" si="1"/>
        <v>441370</v>
      </c>
    </row>
    <row r="117" spans="1:7" x14ac:dyDescent="0.2">
      <c r="A117">
        <v>2015</v>
      </c>
      <c r="B117" s="13" t="s">
        <v>112</v>
      </c>
      <c r="C117" t="s">
        <v>232</v>
      </c>
      <c r="D117" t="s">
        <v>234</v>
      </c>
      <c r="E117" s="14">
        <v>633058</v>
      </c>
      <c r="F117" s="14">
        <v>19461</v>
      </c>
      <c r="G117" s="1">
        <f t="shared" si="1"/>
        <v>652519</v>
      </c>
    </row>
    <row r="118" spans="1:7" x14ac:dyDescent="0.2">
      <c r="A118">
        <v>2015</v>
      </c>
      <c r="B118" s="13" t="s">
        <v>113</v>
      </c>
      <c r="C118" t="s">
        <v>232</v>
      </c>
      <c r="D118" t="s">
        <v>234</v>
      </c>
      <c r="E118" s="14">
        <v>2330438</v>
      </c>
      <c r="F118" s="14">
        <v>71639</v>
      </c>
      <c r="G118" s="1">
        <f t="shared" si="1"/>
        <v>2402077</v>
      </c>
    </row>
    <row r="119" spans="1:7" x14ac:dyDescent="0.2">
      <c r="A119">
        <v>2015</v>
      </c>
      <c r="B119" s="13" t="s">
        <v>114</v>
      </c>
      <c r="C119" t="s">
        <v>232</v>
      </c>
      <c r="D119" t="s">
        <v>234</v>
      </c>
      <c r="E119" s="14">
        <v>963260</v>
      </c>
      <c r="F119" s="14">
        <v>29611</v>
      </c>
      <c r="G119" s="1">
        <f t="shared" si="1"/>
        <v>992871</v>
      </c>
    </row>
    <row r="120" spans="1:7" x14ac:dyDescent="0.2">
      <c r="A120">
        <v>2015</v>
      </c>
      <c r="B120" s="13" t="s">
        <v>115</v>
      </c>
      <c r="C120" t="s">
        <v>232</v>
      </c>
      <c r="D120" t="s">
        <v>234</v>
      </c>
      <c r="E120" s="14">
        <v>2451710</v>
      </c>
      <c r="F120" s="14">
        <v>75367</v>
      </c>
      <c r="G120" s="1">
        <f t="shared" si="1"/>
        <v>2527077</v>
      </c>
    </row>
    <row r="121" spans="1:7" x14ac:dyDescent="0.2">
      <c r="A121">
        <v>2015</v>
      </c>
      <c r="B121" s="13" t="s">
        <v>116</v>
      </c>
      <c r="C121" t="s">
        <v>232</v>
      </c>
      <c r="D121" t="s">
        <v>234</v>
      </c>
      <c r="E121" s="14">
        <v>2137640</v>
      </c>
      <c r="F121" s="14">
        <v>65712</v>
      </c>
      <c r="G121" s="1">
        <f t="shared" si="1"/>
        <v>2203352</v>
      </c>
    </row>
    <row r="122" spans="1:7" x14ac:dyDescent="0.2">
      <c r="A122">
        <v>2015</v>
      </c>
      <c r="B122" s="13" t="s">
        <v>117</v>
      </c>
      <c r="C122" t="s">
        <v>232</v>
      </c>
      <c r="D122" t="s">
        <v>234</v>
      </c>
      <c r="E122" s="14">
        <v>7213161</v>
      </c>
      <c r="F122" s="14">
        <v>221737</v>
      </c>
      <c r="G122" s="1">
        <f t="shared" si="1"/>
        <v>7434898</v>
      </c>
    </row>
    <row r="123" spans="1:7" x14ac:dyDescent="0.2">
      <c r="A123">
        <v>2015</v>
      </c>
      <c r="B123" s="13" t="s">
        <v>120</v>
      </c>
      <c r="C123" t="s">
        <v>232</v>
      </c>
      <c r="D123" t="s">
        <v>234</v>
      </c>
      <c r="E123" s="14">
        <v>5843183</v>
      </c>
      <c r="F123" s="14">
        <v>179623</v>
      </c>
      <c r="G123" s="1">
        <f t="shared" si="1"/>
        <v>6022806</v>
      </c>
    </row>
    <row r="124" spans="1:7" x14ac:dyDescent="0.2">
      <c r="A124">
        <v>2015</v>
      </c>
      <c r="B124" s="13" t="s">
        <v>121</v>
      </c>
      <c r="C124" t="s">
        <v>232</v>
      </c>
      <c r="D124" t="s">
        <v>234</v>
      </c>
      <c r="E124" s="14">
        <v>1131891</v>
      </c>
      <c r="F124" s="14">
        <v>34795</v>
      </c>
      <c r="G124" s="1">
        <f t="shared" si="1"/>
        <v>1166686</v>
      </c>
    </row>
    <row r="125" spans="1:7" x14ac:dyDescent="0.2">
      <c r="A125">
        <v>2015</v>
      </c>
      <c r="B125" s="13" t="s">
        <v>122</v>
      </c>
      <c r="C125" t="s">
        <v>232</v>
      </c>
      <c r="D125" t="s">
        <v>234</v>
      </c>
      <c r="E125" s="14">
        <v>1092335</v>
      </c>
      <c r="F125" s="14">
        <v>33579</v>
      </c>
      <c r="G125" s="1">
        <f t="shared" si="1"/>
        <v>1125914</v>
      </c>
    </row>
    <row r="126" spans="1:7" x14ac:dyDescent="0.2">
      <c r="A126">
        <v>2015</v>
      </c>
      <c r="B126" s="13" t="s">
        <v>290</v>
      </c>
      <c r="C126" t="s">
        <v>232</v>
      </c>
      <c r="D126" t="s">
        <v>234</v>
      </c>
      <c r="E126" s="14">
        <v>546898</v>
      </c>
      <c r="F126" s="14">
        <v>16812</v>
      </c>
      <c r="G126" s="1">
        <f t="shared" si="1"/>
        <v>563710</v>
      </c>
    </row>
    <row r="127" spans="1:7" x14ac:dyDescent="0.2">
      <c r="A127">
        <v>2015</v>
      </c>
      <c r="B127" s="13" t="s">
        <v>240</v>
      </c>
      <c r="C127" t="s">
        <v>232</v>
      </c>
      <c r="D127" t="s">
        <v>234</v>
      </c>
      <c r="E127" s="14">
        <v>2419812</v>
      </c>
      <c r="F127" s="14">
        <v>74386</v>
      </c>
      <c r="G127" s="1">
        <f t="shared" si="1"/>
        <v>2494198</v>
      </c>
    </row>
    <row r="128" spans="1:7" x14ac:dyDescent="0.2">
      <c r="A128">
        <v>2015</v>
      </c>
      <c r="B128" s="13" t="s">
        <v>124</v>
      </c>
      <c r="C128" t="s">
        <v>232</v>
      </c>
      <c r="D128" t="s">
        <v>234</v>
      </c>
      <c r="E128" s="14">
        <v>679139</v>
      </c>
      <c r="F128" s="14">
        <v>20877</v>
      </c>
      <c r="G128" s="1">
        <f t="shared" si="1"/>
        <v>700016</v>
      </c>
    </row>
    <row r="129" spans="1:7" x14ac:dyDescent="0.2">
      <c r="A129">
        <v>2015</v>
      </c>
      <c r="B129" s="13" t="s">
        <v>125</v>
      </c>
      <c r="C129" t="s">
        <v>232</v>
      </c>
      <c r="D129" t="s">
        <v>234</v>
      </c>
      <c r="E129" s="14">
        <v>1074512</v>
      </c>
      <c r="F129" s="14">
        <v>33031</v>
      </c>
      <c r="G129" s="1">
        <f t="shared" si="1"/>
        <v>1107543</v>
      </c>
    </row>
    <row r="130" spans="1:7" x14ac:dyDescent="0.2">
      <c r="A130">
        <v>2015</v>
      </c>
      <c r="B130" s="13" t="s">
        <v>126</v>
      </c>
      <c r="C130" t="s">
        <v>232</v>
      </c>
      <c r="D130" t="s">
        <v>234</v>
      </c>
      <c r="E130" s="14">
        <v>1224674</v>
      </c>
      <c r="F130" s="14">
        <v>37647</v>
      </c>
      <c r="G130" s="1">
        <f t="shared" si="1"/>
        <v>1262321</v>
      </c>
    </row>
    <row r="131" spans="1:7" x14ac:dyDescent="0.2">
      <c r="A131">
        <v>2015</v>
      </c>
      <c r="B131" s="13" t="s">
        <v>127</v>
      </c>
      <c r="C131" t="s">
        <v>232</v>
      </c>
      <c r="D131" t="s">
        <v>234</v>
      </c>
      <c r="E131" s="14">
        <v>1419578</v>
      </c>
      <c r="F131" s="14">
        <v>43639</v>
      </c>
      <c r="G131" s="1">
        <f t="shared" ref="G131:G194" si="2">SUM(E131:F131)</f>
        <v>1463217</v>
      </c>
    </row>
    <row r="132" spans="1:7" x14ac:dyDescent="0.2">
      <c r="A132">
        <v>2015</v>
      </c>
      <c r="B132" s="13" t="s">
        <v>128</v>
      </c>
      <c r="C132" t="s">
        <v>232</v>
      </c>
      <c r="D132" t="s">
        <v>234</v>
      </c>
      <c r="E132" s="14">
        <v>421353</v>
      </c>
      <c r="F132" s="14">
        <v>12953</v>
      </c>
      <c r="G132" s="1">
        <f t="shared" si="2"/>
        <v>434306</v>
      </c>
    </row>
    <row r="133" spans="1:7" x14ac:dyDescent="0.2">
      <c r="A133">
        <v>2015</v>
      </c>
      <c r="B133" s="13" t="s">
        <v>129</v>
      </c>
      <c r="C133" t="s">
        <v>232</v>
      </c>
      <c r="D133" t="s">
        <v>234</v>
      </c>
      <c r="E133" s="14">
        <v>5691584</v>
      </c>
      <c r="F133" s="14">
        <v>174963</v>
      </c>
      <c r="G133" s="1">
        <f t="shared" si="2"/>
        <v>5866547</v>
      </c>
    </row>
    <row r="134" spans="1:7" x14ac:dyDescent="0.2">
      <c r="A134">
        <v>2015</v>
      </c>
      <c r="B134" s="13" t="s">
        <v>130</v>
      </c>
      <c r="C134" t="s">
        <v>232</v>
      </c>
      <c r="D134" t="s">
        <v>234</v>
      </c>
      <c r="E134" s="14">
        <v>160036</v>
      </c>
      <c r="F134" s="14">
        <v>4920</v>
      </c>
      <c r="G134" s="1">
        <f t="shared" si="2"/>
        <v>164956</v>
      </c>
    </row>
    <row r="135" spans="1:7" x14ac:dyDescent="0.2">
      <c r="A135">
        <v>2015</v>
      </c>
      <c r="B135" s="13" t="s">
        <v>131</v>
      </c>
      <c r="C135" t="s">
        <v>232</v>
      </c>
      <c r="D135" t="s">
        <v>234</v>
      </c>
      <c r="E135" s="14">
        <v>40420</v>
      </c>
      <c r="F135" s="14">
        <v>1243</v>
      </c>
      <c r="G135" s="1">
        <f t="shared" si="2"/>
        <v>41663</v>
      </c>
    </row>
    <row r="136" spans="1:7" x14ac:dyDescent="0.2">
      <c r="A136">
        <v>2015</v>
      </c>
      <c r="B136" s="13" t="s">
        <v>132</v>
      </c>
      <c r="C136" t="s">
        <v>232</v>
      </c>
      <c r="D136" t="s">
        <v>234</v>
      </c>
      <c r="E136" s="14">
        <v>14378</v>
      </c>
      <c r="F136" s="13">
        <v>442</v>
      </c>
      <c r="G136" s="1">
        <f t="shared" si="2"/>
        <v>14820</v>
      </c>
    </row>
    <row r="137" spans="1:7" x14ac:dyDescent="0.2">
      <c r="A137">
        <v>2015</v>
      </c>
      <c r="B137" s="13" t="s">
        <v>299</v>
      </c>
      <c r="C137" t="s">
        <v>232</v>
      </c>
      <c r="D137" t="s">
        <v>234</v>
      </c>
      <c r="E137" s="14">
        <v>20380</v>
      </c>
      <c r="F137" s="13">
        <v>627</v>
      </c>
      <c r="G137" s="1">
        <f t="shared" si="2"/>
        <v>21007</v>
      </c>
    </row>
    <row r="138" spans="1:7" x14ac:dyDescent="0.2">
      <c r="A138">
        <v>2015</v>
      </c>
      <c r="B138" s="13" t="s">
        <v>133</v>
      </c>
      <c r="C138" t="s">
        <v>232</v>
      </c>
      <c r="D138" t="s">
        <v>234</v>
      </c>
      <c r="E138" s="14">
        <v>459606</v>
      </c>
      <c r="F138" s="14">
        <v>14129</v>
      </c>
      <c r="G138" s="1">
        <f t="shared" si="2"/>
        <v>473735</v>
      </c>
    </row>
    <row r="139" spans="1:7" x14ac:dyDescent="0.2">
      <c r="A139">
        <v>2015</v>
      </c>
      <c r="B139" s="13" t="s">
        <v>134</v>
      </c>
      <c r="C139" t="s">
        <v>232</v>
      </c>
      <c r="D139" t="s">
        <v>234</v>
      </c>
      <c r="E139" s="14">
        <v>875359</v>
      </c>
      <c r="F139" s="14">
        <v>26909</v>
      </c>
      <c r="G139" s="1">
        <f t="shared" si="2"/>
        <v>902268</v>
      </c>
    </row>
    <row r="140" spans="1:7" x14ac:dyDescent="0.2">
      <c r="A140">
        <v>2015</v>
      </c>
      <c r="B140" s="13" t="s">
        <v>135</v>
      </c>
      <c r="C140" t="s">
        <v>232</v>
      </c>
      <c r="D140" t="s">
        <v>234</v>
      </c>
      <c r="E140" s="14">
        <v>638537</v>
      </c>
      <c r="F140" s="14">
        <v>19629</v>
      </c>
      <c r="G140" s="1">
        <f t="shared" si="2"/>
        <v>658166</v>
      </c>
    </row>
    <row r="141" spans="1:7" x14ac:dyDescent="0.2">
      <c r="A141">
        <v>2015</v>
      </c>
      <c r="B141" s="13" t="s">
        <v>136</v>
      </c>
      <c r="C141" t="s">
        <v>232</v>
      </c>
      <c r="D141" t="s">
        <v>234</v>
      </c>
      <c r="E141" s="14">
        <v>440175</v>
      </c>
      <c r="F141" s="14">
        <v>13531</v>
      </c>
      <c r="G141" s="1">
        <f t="shared" si="2"/>
        <v>453706</v>
      </c>
    </row>
    <row r="142" spans="1:7" x14ac:dyDescent="0.2">
      <c r="A142">
        <v>2015</v>
      </c>
      <c r="B142" s="13" t="s">
        <v>137</v>
      </c>
      <c r="C142" t="s">
        <v>232</v>
      </c>
      <c r="D142" t="s">
        <v>234</v>
      </c>
      <c r="E142" s="14">
        <v>254974</v>
      </c>
      <c r="F142" s="14">
        <v>7838</v>
      </c>
      <c r="G142" s="1">
        <f t="shared" si="2"/>
        <v>262812</v>
      </c>
    </row>
    <row r="143" spans="1:7" x14ac:dyDescent="0.2">
      <c r="A143">
        <v>2015</v>
      </c>
      <c r="B143" s="13" t="s">
        <v>265</v>
      </c>
      <c r="C143" t="s">
        <v>232</v>
      </c>
      <c r="D143" t="s">
        <v>234</v>
      </c>
      <c r="E143" s="14">
        <v>2393357</v>
      </c>
      <c r="F143" s="14">
        <v>73573</v>
      </c>
      <c r="G143" s="1">
        <f t="shared" si="2"/>
        <v>2466930</v>
      </c>
    </row>
    <row r="144" spans="1:7" x14ac:dyDescent="0.2">
      <c r="A144">
        <v>2015</v>
      </c>
      <c r="B144" s="13" t="s">
        <v>266</v>
      </c>
      <c r="C144" t="s">
        <v>232</v>
      </c>
      <c r="D144" t="s">
        <v>234</v>
      </c>
      <c r="E144" s="14">
        <v>10762</v>
      </c>
      <c r="F144" s="13">
        <v>331</v>
      </c>
      <c r="G144" s="1">
        <f t="shared" si="2"/>
        <v>11093</v>
      </c>
    </row>
    <row r="145" spans="1:7" x14ac:dyDescent="0.2">
      <c r="A145">
        <v>2015</v>
      </c>
      <c r="B145" s="13" t="s">
        <v>283</v>
      </c>
      <c r="C145" t="s">
        <v>232</v>
      </c>
      <c r="D145" t="s">
        <v>234</v>
      </c>
      <c r="E145" s="14">
        <v>1080027</v>
      </c>
      <c r="F145" s="14">
        <v>33201</v>
      </c>
      <c r="G145" s="1">
        <f t="shared" si="2"/>
        <v>1113228</v>
      </c>
    </row>
    <row r="146" spans="1:7" x14ac:dyDescent="0.2">
      <c r="A146">
        <v>2015</v>
      </c>
      <c r="B146" s="13" t="s">
        <v>300</v>
      </c>
      <c r="C146" t="s">
        <v>232</v>
      </c>
      <c r="D146" t="s">
        <v>234</v>
      </c>
      <c r="E146" s="14">
        <v>185505</v>
      </c>
      <c r="F146" s="14">
        <v>5703</v>
      </c>
      <c r="G146" s="1">
        <f t="shared" si="2"/>
        <v>191208</v>
      </c>
    </row>
    <row r="147" spans="1:7" x14ac:dyDescent="0.2">
      <c r="A147">
        <v>2015</v>
      </c>
      <c r="B147" s="13" t="s">
        <v>138</v>
      </c>
      <c r="C147" t="s">
        <v>232</v>
      </c>
      <c r="D147" t="s">
        <v>234</v>
      </c>
      <c r="E147" s="14">
        <v>101038</v>
      </c>
      <c r="F147" s="14">
        <v>3106</v>
      </c>
      <c r="G147" s="1">
        <f t="shared" si="2"/>
        <v>104144</v>
      </c>
    </row>
    <row r="148" spans="1:7" x14ac:dyDescent="0.2">
      <c r="A148">
        <v>2015</v>
      </c>
      <c r="B148" s="13" t="s">
        <v>139</v>
      </c>
      <c r="C148" t="s">
        <v>232</v>
      </c>
      <c r="D148" t="s">
        <v>234</v>
      </c>
      <c r="E148" s="14">
        <v>1731579</v>
      </c>
      <c r="F148" s="14">
        <v>53230</v>
      </c>
      <c r="G148" s="1">
        <f t="shared" si="2"/>
        <v>1784809</v>
      </c>
    </row>
    <row r="149" spans="1:7" x14ac:dyDescent="0.2">
      <c r="A149">
        <v>2015</v>
      </c>
      <c r="B149" s="13" t="s">
        <v>140</v>
      </c>
      <c r="C149" t="s">
        <v>232</v>
      </c>
      <c r="D149" t="s">
        <v>234</v>
      </c>
      <c r="E149" s="14">
        <v>19711</v>
      </c>
      <c r="F149" s="13">
        <v>606</v>
      </c>
      <c r="G149" s="1">
        <f t="shared" si="2"/>
        <v>20317</v>
      </c>
    </row>
    <row r="150" spans="1:7" x14ac:dyDescent="0.2">
      <c r="A150">
        <v>2015</v>
      </c>
      <c r="B150" s="13" t="s">
        <v>141</v>
      </c>
      <c r="C150" t="s">
        <v>232</v>
      </c>
      <c r="D150" t="s">
        <v>234</v>
      </c>
      <c r="E150" s="14">
        <v>23814</v>
      </c>
      <c r="F150" s="13">
        <v>732</v>
      </c>
      <c r="G150" s="1">
        <f t="shared" si="2"/>
        <v>24546</v>
      </c>
    </row>
    <row r="151" spans="1:7" x14ac:dyDescent="0.2">
      <c r="A151">
        <v>2015</v>
      </c>
      <c r="B151" s="13" t="s">
        <v>142</v>
      </c>
      <c r="C151" t="s">
        <v>232</v>
      </c>
      <c r="D151" t="s">
        <v>234</v>
      </c>
      <c r="E151" s="14">
        <v>625607</v>
      </c>
      <c r="F151" s="14">
        <v>19232</v>
      </c>
      <c r="G151" s="1">
        <f t="shared" si="2"/>
        <v>644839</v>
      </c>
    </row>
    <row r="152" spans="1:7" x14ac:dyDescent="0.2">
      <c r="A152">
        <v>2015</v>
      </c>
      <c r="B152" s="13" t="s">
        <v>291</v>
      </c>
      <c r="C152" t="s">
        <v>232</v>
      </c>
      <c r="D152" t="s">
        <v>234</v>
      </c>
      <c r="E152" s="14">
        <v>98603</v>
      </c>
      <c r="F152" s="14">
        <v>3031</v>
      </c>
      <c r="G152" s="1">
        <f t="shared" si="2"/>
        <v>101634</v>
      </c>
    </row>
    <row r="153" spans="1:7" x14ac:dyDescent="0.2">
      <c r="A153">
        <v>2015</v>
      </c>
      <c r="B153" s="13" t="s">
        <v>308</v>
      </c>
      <c r="C153" t="s">
        <v>232</v>
      </c>
      <c r="D153" t="s">
        <v>234</v>
      </c>
      <c r="E153" s="14">
        <v>378510</v>
      </c>
      <c r="F153" s="14">
        <v>11636</v>
      </c>
      <c r="G153" s="1">
        <f t="shared" si="2"/>
        <v>390146</v>
      </c>
    </row>
    <row r="154" spans="1:7" x14ac:dyDescent="0.2">
      <c r="A154">
        <v>2015</v>
      </c>
      <c r="B154" s="13" t="s">
        <v>143</v>
      </c>
      <c r="C154" t="s">
        <v>232</v>
      </c>
      <c r="D154" t="s">
        <v>234</v>
      </c>
      <c r="E154" s="14">
        <v>868492</v>
      </c>
      <c r="F154" s="14">
        <v>26698</v>
      </c>
      <c r="G154" s="1">
        <f t="shared" si="2"/>
        <v>895190</v>
      </c>
    </row>
    <row r="155" spans="1:7" x14ac:dyDescent="0.2">
      <c r="A155">
        <v>2015</v>
      </c>
      <c r="B155" s="13" t="s">
        <v>144</v>
      </c>
      <c r="C155" t="s">
        <v>232</v>
      </c>
      <c r="D155" t="s">
        <v>234</v>
      </c>
      <c r="E155" s="14">
        <v>478367</v>
      </c>
      <c r="F155" s="14">
        <v>14705</v>
      </c>
      <c r="G155" s="1">
        <f t="shared" si="2"/>
        <v>493072</v>
      </c>
    </row>
    <row r="156" spans="1:7" x14ac:dyDescent="0.2">
      <c r="A156">
        <v>2015</v>
      </c>
      <c r="B156" s="13" t="s">
        <v>284</v>
      </c>
      <c r="C156" t="s">
        <v>232</v>
      </c>
      <c r="D156" t="s">
        <v>234</v>
      </c>
      <c r="E156" s="14">
        <v>362635</v>
      </c>
      <c r="F156" s="14">
        <v>11148</v>
      </c>
      <c r="G156" s="1">
        <f t="shared" si="2"/>
        <v>373783</v>
      </c>
    </row>
    <row r="157" spans="1:7" x14ac:dyDescent="0.2">
      <c r="A157">
        <v>2015</v>
      </c>
      <c r="B157" s="13" t="s">
        <v>145</v>
      </c>
      <c r="C157" t="s">
        <v>232</v>
      </c>
      <c r="D157" t="s">
        <v>234</v>
      </c>
      <c r="E157" s="14">
        <v>582521</v>
      </c>
      <c r="F157" s="14">
        <v>17907</v>
      </c>
      <c r="G157" s="1">
        <f t="shared" si="2"/>
        <v>600428</v>
      </c>
    </row>
    <row r="158" spans="1:7" x14ac:dyDescent="0.2">
      <c r="A158">
        <v>2015</v>
      </c>
      <c r="B158" s="13" t="s">
        <v>146</v>
      </c>
      <c r="C158" t="s">
        <v>232</v>
      </c>
      <c r="D158" t="s">
        <v>234</v>
      </c>
      <c r="E158" s="14">
        <v>2914725</v>
      </c>
      <c r="F158" s="14">
        <v>89600</v>
      </c>
      <c r="G158" s="1">
        <f t="shared" si="2"/>
        <v>3004325</v>
      </c>
    </row>
    <row r="159" spans="1:7" x14ac:dyDescent="0.2">
      <c r="A159">
        <v>2015</v>
      </c>
      <c r="B159" s="13" t="s">
        <v>147</v>
      </c>
      <c r="C159" t="s">
        <v>232</v>
      </c>
      <c r="D159" t="s">
        <v>234</v>
      </c>
      <c r="E159" s="14">
        <v>9764</v>
      </c>
      <c r="F159" s="13">
        <v>300</v>
      </c>
      <c r="G159" s="1">
        <f t="shared" si="2"/>
        <v>10064</v>
      </c>
    </row>
    <row r="160" spans="1:7" x14ac:dyDescent="0.2">
      <c r="A160">
        <v>2015</v>
      </c>
      <c r="B160" s="13" t="s">
        <v>148</v>
      </c>
      <c r="C160" t="s">
        <v>232</v>
      </c>
      <c r="D160" t="s">
        <v>234</v>
      </c>
      <c r="E160" s="14">
        <v>95693</v>
      </c>
      <c r="F160" s="14">
        <v>2942</v>
      </c>
      <c r="G160" s="1">
        <f t="shared" si="2"/>
        <v>98635</v>
      </c>
    </row>
    <row r="161" spans="1:7" x14ac:dyDescent="0.2">
      <c r="A161">
        <v>2015</v>
      </c>
      <c r="B161" s="13" t="s">
        <v>158</v>
      </c>
      <c r="C161" t="s">
        <v>232</v>
      </c>
      <c r="D161" t="s">
        <v>234</v>
      </c>
      <c r="E161" s="14">
        <v>199531</v>
      </c>
      <c r="F161" s="14">
        <v>6134</v>
      </c>
      <c r="G161" s="1">
        <f t="shared" si="2"/>
        <v>205665</v>
      </c>
    </row>
    <row r="162" spans="1:7" x14ac:dyDescent="0.2">
      <c r="A162">
        <v>2015</v>
      </c>
      <c r="B162" s="13" t="s">
        <v>159</v>
      </c>
      <c r="C162" t="s">
        <v>232</v>
      </c>
      <c r="D162" t="s">
        <v>234</v>
      </c>
      <c r="E162" s="14">
        <v>55663</v>
      </c>
      <c r="F162" s="14">
        <v>1711</v>
      </c>
      <c r="G162" s="1">
        <f t="shared" si="2"/>
        <v>57374</v>
      </c>
    </row>
    <row r="163" spans="1:7" x14ac:dyDescent="0.2">
      <c r="A163">
        <v>2015</v>
      </c>
      <c r="B163" s="13" t="s">
        <v>160</v>
      </c>
      <c r="C163" t="s">
        <v>232</v>
      </c>
      <c r="D163" t="s">
        <v>234</v>
      </c>
      <c r="E163" s="14">
        <v>42843</v>
      </c>
      <c r="F163" s="14">
        <v>1317</v>
      </c>
      <c r="G163" s="1">
        <f t="shared" si="2"/>
        <v>44160</v>
      </c>
    </row>
    <row r="164" spans="1:7" x14ac:dyDescent="0.2">
      <c r="A164">
        <v>2015</v>
      </c>
      <c r="B164" s="13" t="s">
        <v>161</v>
      </c>
      <c r="C164" t="s">
        <v>232</v>
      </c>
      <c r="D164" t="s">
        <v>234</v>
      </c>
      <c r="E164" s="14">
        <v>156225</v>
      </c>
      <c r="F164" s="14">
        <v>4802</v>
      </c>
      <c r="G164" s="1">
        <f t="shared" si="2"/>
        <v>161027</v>
      </c>
    </row>
    <row r="165" spans="1:7" x14ac:dyDescent="0.2">
      <c r="A165">
        <v>2015</v>
      </c>
      <c r="B165" s="13" t="s">
        <v>162</v>
      </c>
      <c r="C165" t="s">
        <v>232</v>
      </c>
      <c r="D165" t="s">
        <v>234</v>
      </c>
      <c r="E165" s="14">
        <v>25567</v>
      </c>
      <c r="F165" s="13">
        <v>786</v>
      </c>
      <c r="G165" s="1">
        <f t="shared" si="2"/>
        <v>26353</v>
      </c>
    </row>
    <row r="166" spans="1:7" x14ac:dyDescent="0.2">
      <c r="A166">
        <v>2015</v>
      </c>
      <c r="B166" s="13" t="s">
        <v>163</v>
      </c>
      <c r="C166" t="s">
        <v>232</v>
      </c>
      <c r="D166" t="s">
        <v>234</v>
      </c>
      <c r="E166" s="14">
        <v>30424</v>
      </c>
      <c r="F166" s="13">
        <v>935</v>
      </c>
      <c r="G166" s="1">
        <f t="shared" si="2"/>
        <v>31359</v>
      </c>
    </row>
    <row r="167" spans="1:7" x14ac:dyDescent="0.2">
      <c r="A167">
        <v>2015</v>
      </c>
      <c r="B167" s="13" t="s">
        <v>165</v>
      </c>
      <c r="C167" t="s">
        <v>232</v>
      </c>
      <c r="D167" t="s">
        <v>234</v>
      </c>
      <c r="E167" s="14">
        <v>32372</v>
      </c>
      <c r="F167" s="13">
        <v>995</v>
      </c>
      <c r="G167" s="1">
        <f t="shared" si="2"/>
        <v>33367</v>
      </c>
    </row>
    <row r="168" spans="1:7" x14ac:dyDescent="0.2">
      <c r="A168">
        <v>2015</v>
      </c>
      <c r="B168" s="13" t="s">
        <v>167</v>
      </c>
      <c r="C168" t="s">
        <v>232</v>
      </c>
      <c r="D168" t="s">
        <v>234</v>
      </c>
      <c r="E168" s="14">
        <v>19394</v>
      </c>
      <c r="F168" s="13">
        <v>596</v>
      </c>
      <c r="G168" s="1">
        <f t="shared" si="2"/>
        <v>19990</v>
      </c>
    </row>
    <row r="169" spans="1:7" x14ac:dyDescent="0.2">
      <c r="A169">
        <v>2015</v>
      </c>
      <c r="B169" s="13" t="s">
        <v>244</v>
      </c>
      <c r="C169" t="s">
        <v>232</v>
      </c>
      <c r="D169" t="s">
        <v>234</v>
      </c>
      <c r="E169" s="14">
        <v>31934</v>
      </c>
      <c r="F169" s="13">
        <v>982</v>
      </c>
      <c r="G169" s="1">
        <f t="shared" si="2"/>
        <v>32916</v>
      </c>
    </row>
    <row r="170" spans="1:7" x14ac:dyDescent="0.2">
      <c r="A170">
        <v>2015</v>
      </c>
      <c r="B170" s="13" t="s">
        <v>169</v>
      </c>
      <c r="C170" t="s">
        <v>232</v>
      </c>
      <c r="D170" t="s">
        <v>234</v>
      </c>
      <c r="E170" s="14">
        <v>117023</v>
      </c>
      <c r="F170" s="14">
        <v>3597</v>
      </c>
      <c r="G170" s="1">
        <f t="shared" si="2"/>
        <v>120620</v>
      </c>
    </row>
    <row r="171" spans="1:7" x14ac:dyDescent="0.2">
      <c r="A171">
        <v>2015</v>
      </c>
      <c r="B171" s="13" t="s">
        <v>172</v>
      </c>
      <c r="C171" t="s">
        <v>232</v>
      </c>
      <c r="D171" t="s">
        <v>234</v>
      </c>
      <c r="E171" s="14">
        <v>14330</v>
      </c>
      <c r="F171" s="13">
        <v>440</v>
      </c>
      <c r="G171" s="1">
        <f t="shared" si="2"/>
        <v>14770</v>
      </c>
    </row>
    <row r="172" spans="1:7" x14ac:dyDescent="0.2">
      <c r="A172">
        <v>2015</v>
      </c>
      <c r="B172" s="13" t="s">
        <v>278</v>
      </c>
      <c r="C172" t="s">
        <v>232</v>
      </c>
      <c r="D172" t="s">
        <v>234</v>
      </c>
      <c r="E172" s="14">
        <v>49368</v>
      </c>
      <c r="F172" s="14">
        <v>1518</v>
      </c>
      <c r="G172" s="1">
        <f t="shared" si="2"/>
        <v>50886</v>
      </c>
    </row>
    <row r="173" spans="1:7" x14ac:dyDescent="0.2">
      <c r="A173">
        <v>2015</v>
      </c>
      <c r="B173" s="13" t="s">
        <v>309</v>
      </c>
      <c r="C173" t="s">
        <v>232</v>
      </c>
      <c r="D173" t="s">
        <v>234</v>
      </c>
      <c r="E173" s="14">
        <v>15937</v>
      </c>
      <c r="F173" s="13">
        <v>490</v>
      </c>
      <c r="G173" s="1">
        <f t="shared" si="2"/>
        <v>16427</v>
      </c>
    </row>
    <row r="174" spans="1:7" x14ac:dyDescent="0.2">
      <c r="A174">
        <v>2015</v>
      </c>
      <c r="B174" s="13" t="s">
        <v>174</v>
      </c>
      <c r="C174" t="s">
        <v>232</v>
      </c>
      <c r="D174" t="s">
        <v>234</v>
      </c>
      <c r="E174" s="14">
        <v>34491</v>
      </c>
      <c r="F174" s="14">
        <v>1060</v>
      </c>
      <c r="G174" s="1">
        <f t="shared" si="2"/>
        <v>35551</v>
      </c>
    </row>
    <row r="175" spans="1:7" x14ac:dyDescent="0.2">
      <c r="A175">
        <v>2015</v>
      </c>
      <c r="B175" s="13" t="s">
        <v>175</v>
      </c>
      <c r="C175" t="s">
        <v>232</v>
      </c>
      <c r="D175" t="s">
        <v>234</v>
      </c>
      <c r="E175" s="14">
        <v>34844</v>
      </c>
      <c r="F175" s="14">
        <v>1071</v>
      </c>
      <c r="G175" s="1">
        <f t="shared" si="2"/>
        <v>35915</v>
      </c>
    </row>
    <row r="176" spans="1:7" x14ac:dyDescent="0.2">
      <c r="A176">
        <v>2015</v>
      </c>
      <c r="B176" s="13" t="s">
        <v>176</v>
      </c>
      <c r="C176" t="s">
        <v>232</v>
      </c>
      <c r="D176" t="s">
        <v>234</v>
      </c>
      <c r="E176" s="14">
        <v>42429</v>
      </c>
      <c r="F176" s="14">
        <v>1304</v>
      </c>
      <c r="G176" s="1">
        <f t="shared" si="2"/>
        <v>43733</v>
      </c>
    </row>
    <row r="177" spans="1:7" x14ac:dyDescent="0.2">
      <c r="A177">
        <v>2015</v>
      </c>
      <c r="B177" s="13" t="s">
        <v>177</v>
      </c>
      <c r="C177" t="s">
        <v>232</v>
      </c>
      <c r="D177" t="s">
        <v>234</v>
      </c>
      <c r="E177" s="14">
        <v>113906</v>
      </c>
      <c r="F177" s="14">
        <v>3502</v>
      </c>
      <c r="G177" s="1">
        <f t="shared" si="2"/>
        <v>117408</v>
      </c>
    </row>
    <row r="178" spans="1:7" x14ac:dyDescent="0.2">
      <c r="A178">
        <v>2015</v>
      </c>
      <c r="B178" s="13" t="s">
        <v>178</v>
      </c>
      <c r="C178" t="s">
        <v>232</v>
      </c>
      <c r="D178" t="s">
        <v>234</v>
      </c>
      <c r="E178" s="14">
        <v>37656</v>
      </c>
      <c r="F178" s="14">
        <v>1158</v>
      </c>
      <c r="G178" s="1">
        <f t="shared" si="2"/>
        <v>38814</v>
      </c>
    </row>
    <row r="179" spans="1:7" x14ac:dyDescent="0.2">
      <c r="A179">
        <v>2015</v>
      </c>
      <c r="B179" s="13" t="s">
        <v>181</v>
      </c>
      <c r="C179" t="s">
        <v>232</v>
      </c>
      <c r="D179" t="s">
        <v>234</v>
      </c>
      <c r="E179" s="14">
        <v>66571</v>
      </c>
      <c r="F179" s="14">
        <v>2046</v>
      </c>
      <c r="G179" s="1">
        <f t="shared" si="2"/>
        <v>68617</v>
      </c>
    </row>
    <row r="180" spans="1:7" x14ac:dyDescent="0.2">
      <c r="A180">
        <v>2015</v>
      </c>
      <c r="B180" s="13" t="s">
        <v>182</v>
      </c>
      <c r="C180" t="s">
        <v>232</v>
      </c>
      <c r="D180" t="s">
        <v>234</v>
      </c>
      <c r="E180" s="14">
        <v>162739</v>
      </c>
      <c r="F180" s="14">
        <v>5003</v>
      </c>
      <c r="G180" s="1">
        <f t="shared" si="2"/>
        <v>167742</v>
      </c>
    </row>
    <row r="181" spans="1:7" x14ac:dyDescent="0.2">
      <c r="A181">
        <v>2015</v>
      </c>
      <c r="B181" s="13" t="s">
        <v>183</v>
      </c>
      <c r="C181" t="s">
        <v>232</v>
      </c>
      <c r="D181" t="s">
        <v>234</v>
      </c>
      <c r="E181" s="14">
        <v>65134</v>
      </c>
      <c r="F181" s="14">
        <v>2002</v>
      </c>
      <c r="G181" s="1">
        <f t="shared" si="2"/>
        <v>67136</v>
      </c>
    </row>
    <row r="182" spans="1:7" x14ac:dyDescent="0.2">
      <c r="A182">
        <v>2015</v>
      </c>
      <c r="B182" s="13" t="s">
        <v>186</v>
      </c>
      <c r="C182" t="s">
        <v>232</v>
      </c>
      <c r="D182" t="s">
        <v>234</v>
      </c>
      <c r="E182" s="14">
        <v>133081</v>
      </c>
      <c r="F182" s="14">
        <v>4091</v>
      </c>
      <c r="G182" s="1">
        <f t="shared" si="2"/>
        <v>137172</v>
      </c>
    </row>
    <row r="183" spans="1:7" x14ac:dyDescent="0.2">
      <c r="A183">
        <v>2015</v>
      </c>
      <c r="B183" s="13" t="s">
        <v>187</v>
      </c>
      <c r="C183" t="s">
        <v>232</v>
      </c>
      <c r="D183" t="s">
        <v>234</v>
      </c>
      <c r="E183" s="14">
        <v>260806</v>
      </c>
      <c r="F183" s="14">
        <v>8017</v>
      </c>
      <c r="G183" s="1">
        <f t="shared" si="2"/>
        <v>268823</v>
      </c>
    </row>
    <row r="184" spans="1:7" x14ac:dyDescent="0.2">
      <c r="A184">
        <v>2015</v>
      </c>
      <c r="B184" s="13" t="s">
        <v>188</v>
      </c>
      <c r="C184" t="s">
        <v>232</v>
      </c>
      <c r="D184" t="s">
        <v>234</v>
      </c>
      <c r="E184" s="14">
        <v>137562</v>
      </c>
      <c r="F184" s="14">
        <v>4229</v>
      </c>
      <c r="G184" s="1">
        <f t="shared" si="2"/>
        <v>141791</v>
      </c>
    </row>
    <row r="185" spans="1:7" x14ac:dyDescent="0.2">
      <c r="A185">
        <v>2015</v>
      </c>
      <c r="B185" s="13" t="s">
        <v>189</v>
      </c>
      <c r="C185" t="s">
        <v>232</v>
      </c>
      <c r="D185" t="s">
        <v>234</v>
      </c>
      <c r="E185" s="14">
        <v>80462</v>
      </c>
      <c r="F185" s="14">
        <v>2473</v>
      </c>
      <c r="G185" s="1">
        <f t="shared" si="2"/>
        <v>82935</v>
      </c>
    </row>
    <row r="186" spans="1:7" x14ac:dyDescent="0.2">
      <c r="A186">
        <v>2015</v>
      </c>
      <c r="B186" s="13" t="s">
        <v>310</v>
      </c>
      <c r="C186" t="s">
        <v>232</v>
      </c>
      <c r="D186" t="s">
        <v>234</v>
      </c>
      <c r="E186" s="14">
        <v>13343</v>
      </c>
      <c r="F186" s="13">
        <v>410</v>
      </c>
      <c r="G186" s="1">
        <f t="shared" si="2"/>
        <v>13753</v>
      </c>
    </row>
    <row r="187" spans="1:7" x14ac:dyDescent="0.2">
      <c r="A187">
        <v>2015</v>
      </c>
      <c r="B187" s="13" t="s">
        <v>249</v>
      </c>
      <c r="C187" t="s">
        <v>232</v>
      </c>
      <c r="D187" t="s">
        <v>234</v>
      </c>
      <c r="E187" s="14">
        <v>19966</v>
      </c>
      <c r="F187" s="13">
        <v>614</v>
      </c>
      <c r="G187" s="1">
        <f t="shared" si="2"/>
        <v>20580</v>
      </c>
    </row>
    <row r="188" spans="1:7" x14ac:dyDescent="0.2">
      <c r="A188">
        <v>2015</v>
      </c>
      <c r="B188" s="13" t="s">
        <v>190</v>
      </c>
      <c r="C188" t="s">
        <v>232</v>
      </c>
      <c r="D188" t="s">
        <v>234</v>
      </c>
      <c r="E188" s="14">
        <v>24167</v>
      </c>
      <c r="F188" s="13">
        <v>743</v>
      </c>
      <c r="G188" s="1">
        <f t="shared" si="2"/>
        <v>24910</v>
      </c>
    </row>
    <row r="189" spans="1:7" x14ac:dyDescent="0.2">
      <c r="A189">
        <v>2015</v>
      </c>
      <c r="B189" s="13" t="s">
        <v>191</v>
      </c>
      <c r="C189" t="s">
        <v>232</v>
      </c>
      <c r="D189" t="s">
        <v>234</v>
      </c>
      <c r="E189" s="14">
        <v>43013</v>
      </c>
      <c r="F189" s="14">
        <v>1322</v>
      </c>
      <c r="G189" s="1">
        <f t="shared" si="2"/>
        <v>44335</v>
      </c>
    </row>
    <row r="190" spans="1:7" x14ac:dyDescent="0.2">
      <c r="A190">
        <v>2015</v>
      </c>
      <c r="B190" s="13" t="s">
        <v>192</v>
      </c>
      <c r="C190" t="s">
        <v>232</v>
      </c>
      <c r="D190" t="s">
        <v>234</v>
      </c>
      <c r="E190" s="14">
        <v>693798</v>
      </c>
      <c r="F190" s="14">
        <v>21328</v>
      </c>
      <c r="G190" s="1">
        <f t="shared" si="2"/>
        <v>715126</v>
      </c>
    </row>
    <row r="191" spans="1:7" x14ac:dyDescent="0.2">
      <c r="A191">
        <v>2015</v>
      </c>
      <c r="B191" s="13" t="s">
        <v>193</v>
      </c>
      <c r="C191" t="s">
        <v>232</v>
      </c>
      <c r="D191" t="s">
        <v>234</v>
      </c>
      <c r="E191" s="14">
        <v>57318</v>
      </c>
      <c r="F191" s="14">
        <v>1762</v>
      </c>
      <c r="G191" s="1">
        <f t="shared" si="2"/>
        <v>59080</v>
      </c>
    </row>
    <row r="192" spans="1:7" x14ac:dyDescent="0.2">
      <c r="A192">
        <v>2015</v>
      </c>
      <c r="B192" s="13" t="s">
        <v>194</v>
      </c>
      <c r="C192" t="s">
        <v>232</v>
      </c>
      <c r="D192" t="s">
        <v>234</v>
      </c>
      <c r="E192" s="14">
        <v>43829</v>
      </c>
      <c r="F192" s="14">
        <v>1347</v>
      </c>
      <c r="G192" s="1">
        <f t="shared" si="2"/>
        <v>45176</v>
      </c>
    </row>
    <row r="193" spans="1:7" x14ac:dyDescent="0.2">
      <c r="A193">
        <v>2015</v>
      </c>
      <c r="B193" s="13" t="s">
        <v>196</v>
      </c>
      <c r="C193" t="s">
        <v>232</v>
      </c>
      <c r="D193" t="s">
        <v>234</v>
      </c>
      <c r="E193" s="14">
        <v>136953</v>
      </c>
      <c r="F193" s="14">
        <v>4210</v>
      </c>
      <c r="G193" s="1">
        <f t="shared" si="2"/>
        <v>141163</v>
      </c>
    </row>
    <row r="194" spans="1:7" x14ac:dyDescent="0.2">
      <c r="A194">
        <v>2015</v>
      </c>
      <c r="B194" s="13" t="s">
        <v>197</v>
      </c>
      <c r="C194" t="s">
        <v>232</v>
      </c>
      <c r="D194" t="s">
        <v>234</v>
      </c>
      <c r="E194" s="14">
        <v>70114</v>
      </c>
      <c r="F194" s="14">
        <v>2155</v>
      </c>
      <c r="G194" s="1">
        <f t="shared" si="2"/>
        <v>72269</v>
      </c>
    </row>
    <row r="195" spans="1:7" x14ac:dyDescent="0.2">
      <c r="A195">
        <v>2015</v>
      </c>
      <c r="B195" s="13" t="s">
        <v>198</v>
      </c>
      <c r="C195" t="s">
        <v>232</v>
      </c>
      <c r="D195" t="s">
        <v>234</v>
      </c>
      <c r="E195" s="14">
        <v>85892</v>
      </c>
      <c r="F195" s="14">
        <v>2640</v>
      </c>
      <c r="G195" s="1">
        <f t="shared" ref="G195:G226" si="3">SUM(E195:F195)</f>
        <v>88532</v>
      </c>
    </row>
    <row r="196" spans="1:7" x14ac:dyDescent="0.2">
      <c r="A196">
        <v>2015</v>
      </c>
      <c r="B196" s="13" t="s">
        <v>200</v>
      </c>
      <c r="C196" t="s">
        <v>232</v>
      </c>
      <c r="D196" t="s">
        <v>234</v>
      </c>
      <c r="E196" s="14">
        <v>80548</v>
      </c>
      <c r="F196" s="14">
        <v>2476</v>
      </c>
      <c r="G196" s="1">
        <f t="shared" si="3"/>
        <v>83024</v>
      </c>
    </row>
    <row r="197" spans="1:7" x14ac:dyDescent="0.2">
      <c r="A197">
        <v>2015</v>
      </c>
      <c r="B197" s="13" t="s">
        <v>201</v>
      </c>
      <c r="C197" t="s">
        <v>232</v>
      </c>
      <c r="D197" t="s">
        <v>234</v>
      </c>
      <c r="E197" s="14">
        <v>16631</v>
      </c>
      <c r="F197" s="13">
        <v>511</v>
      </c>
      <c r="G197" s="1">
        <f t="shared" si="3"/>
        <v>17142</v>
      </c>
    </row>
    <row r="198" spans="1:7" x14ac:dyDescent="0.2">
      <c r="A198">
        <v>2015</v>
      </c>
      <c r="B198" s="13" t="s">
        <v>202</v>
      </c>
      <c r="C198" t="s">
        <v>232</v>
      </c>
      <c r="D198" t="s">
        <v>234</v>
      </c>
      <c r="E198" s="14">
        <v>62931</v>
      </c>
      <c r="F198" s="14">
        <v>1935</v>
      </c>
      <c r="G198" s="1">
        <f t="shared" si="3"/>
        <v>64866</v>
      </c>
    </row>
    <row r="199" spans="1:7" x14ac:dyDescent="0.2">
      <c r="A199">
        <v>2015</v>
      </c>
      <c r="B199" s="13" t="s">
        <v>206</v>
      </c>
      <c r="C199" t="s">
        <v>232</v>
      </c>
      <c r="D199" t="s">
        <v>234</v>
      </c>
      <c r="E199" s="14">
        <v>24848</v>
      </c>
      <c r="F199" s="13">
        <v>764</v>
      </c>
      <c r="G199" s="1">
        <f t="shared" si="3"/>
        <v>25612</v>
      </c>
    </row>
    <row r="200" spans="1:7" x14ac:dyDescent="0.2">
      <c r="A200">
        <v>2015</v>
      </c>
      <c r="B200" s="13" t="s">
        <v>207</v>
      </c>
      <c r="C200" t="s">
        <v>232</v>
      </c>
      <c r="D200" t="s">
        <v>234</v>
      </c>
      <c r="E200" s="14">
        <v>20356</v>
      </c>
      <c r="F200" s="13">
        <v>626</v>
      </c>
      <c r="G200" s="1">
        <f t="shared" si="3"/>
        <v>20982</v>
      </c>
    </row>
    <row r="201" spans="1:7" x14ac:dyDescent="0.2">
      <c r="A201">
        <v>2015</v>
      </c>
      <c r="B201" s="13" t="s">
        <v>208</v>
      </c>
      <c r="C201" t="s">
        <v>232</v>
      </c>
      <c r="D201" t="s">
        <v>234</v>
      </c>
      <c r="E201" s="14">
        <v>36719</v>
      </c>
      <c r="F201" s="14">
        <v>1129</v>
      </c>
      <c r="G201" s="1">
        <f t="shared" si="3"/>
        <v>37848</v>
      </c>
    </row>
    <row r="202" spans="1:7" x14ac:dyDescent="0.2">
      <c r="A202">
        <v>2015</v>
      </c>
      <c r="B202" s="13" t="s">
        <v>209</v>
      </c>
      <c r="C202" t="s">
        <v>232</v>
      </c>
      <c r="D202" t="s">
        <v>234</v>
      </c>
      <c r="E202" s="14">
        <v>42684</v>
      </c>
      <c r="F202" s="14">
        <v>1312</v>
      </c>
      <c r="G202" s="1">
        <f t="shared" si="3"/>
        <v>43996</v>
      </c>
    </row>
    <row r="203" spans="1:7" x14ac:dyDescent="0.2">
      <c r="A203">
        <v>2015</v>
      </c>
      <c r="B203" s="13" t="s">
        <v>270</v>
      </c>
      <c r="C203" t="s">
        <v>232</v>
      </c>
      <c r="D203" t="s">
        <v>234</v>
      </c>
      <c r="E203" s="14">
        <v>26833</v>
      </c>
      <c r="F203" s="13">
        <v>825</v>
      </c>
      <c r="G203" s="1">
        <f t="shared" si="3"/>
        <v>27658</v>
      </c>
    </row>
    <row r="204" spans="1:7" x14ac:dyDescent="0.2">
      <c r="A204">
        <v>2015</v>
      </c>
      <c r="B204" s="13" t="s">
        <v>254</v>
      </c>
      <c r="C204" t="s">
        <v>232</v>
      </c>
      <c r="D204" t="s">
        <v>234</v>
      </c>
      <c r="E204" s="14">
        <v>30546</v>
      </c>
      <c r="F204" s="13">
        <v>939</v>
      </c>
      <c r="G204" s="1">
        <f t="shared" si="3"/>
        <v>31485</v>
      </c>
    </row>
    <row r="205" spans="1:7" x14ac:dyDescent="0.2">
      <c r="A205">
        <v>2015</v>
      </c>
      <c r="B205" s="13" t="s">
        <v>212</v>
      </c>
      <c r="C205" t="s">
        <v>232</v>
      </c>
      <c r="D205" t="s">
        <v>234</v>
      </c>
      <c r="E205" s="14">
        <v>25871</v>
      </c>
      <c r="F205" s="13">
        <v>795</v>
      </c>
      <c r="G205" s="1">
        <f t="shared" si="3"/>
        <v>26666</v>
      </c>
    </row>
    <row r="206" spans="1:7" x14ac:dyDescent="0.2">
      <c r="A206">
        <v>2015</v>
      </c>
      <c r="B206" s="13" t="s">
        <v>311</v>
      </c>
      <c r="C206" t="s">
        <v>232</v>
      </c>
      <c r="D206" t="s">
        <v>234</v>
      </c>
      <c r="E206" s="14">
        <v>14585</v>
      </c>
      <c r="F206" s="13">
        <v>448</v>
      </c>
      <c r="G206" s="1">
        <f t="shared" si="3"/>
        <v>15033</v>
      </c>
    </row>
    <row r="207" spans="1:7" x14ac:dyDescent="0.2">
      <c r="A207">
        <v>2015</v>
      </c>
      <c r="B207" s="13" t="s">
        <v>213</v>
      </c>
      <c r="C207" t="s">
        <v>232</v>
      </c>
      <c r="D207" t="s">
        <v>234</v>
      </c>
      <c r="E207" s="14">
        <v>24288</v>
      </c>
      <c r="F207" s="13">
        <v>747</v>
      </c>
      <c r="G207" s="1">
        <f t="shared" si="3"/>
        <v>25035</v>
      </c>
    </row>
    <row r="208" spans="1:7" x14ac:dyDescent="0.2">
      <c r="A208">
        <v>2015</v>
      </c>
      <c r="B208" s="13" t="s">
        <v>255</v>
      </c>
      <c r="C208" t="s">
        <v>232</v>
      </c>
      <c r="D208" t="s">
        <v>234</v>
      </c>
      <c r="E208" s="14">
        <v>319488</v>
      </c>
      <c r="F208" s="14">
        <v>9821</v>
      </c>
      <c r="G208" s="1">
        <f t="shared" si="3"/>
        <v>329309</v>
      </c>
    </row>
    <row r="209" spans="1:7" x14ac:dyDescent="0.2">
      <c r="A209">
        <v>2015</v>
      </c>
      <c r="B209" s="13" t="s">
        <v>271</v>
      </c>
      <c r="C209" t="s">
        <v>232</v>
      </c>
      <c r="D209" t="s">
        <v>234</v>
      </c>
      <c r="E209" s="14">
        <v>1773398</v>
      </c>
      <c r="F209" s="14">
        <v>54515</v>
      </c>
      <c r="G209" s="1">
        <f t="shared" si="3"/>
        <v>1827913</v>
      </c>
    </row>
    <row r="210" spans="1:7" x14ac:dyDescent="0.2">
      <c r="A210">
        <v>2015</v>
      </c>
      <c r="B210" s="13" t="s">
        <v>279</v>
      </c>
      <c r="C210" t="s">
        <v>232</v>
      </c>
      <c r="D210" t="s">
        <v>234</v>
      </c>
      <c r="E210" s="14">
        <v>507684</v>
      </c>
      <c r="F210" s="14">
        <v>15606</v>
      </c>
      <c r="G210" s="1">
        <f t="shared" si="3"/>
        <v>523290</v>
      </c>
    </row>
    <row r="211" spans="1:7" x14ac:dyDescent="0.2">
      <c r="A211">
        <v>2015</v>
      </c>
      <c r="B211" s="13" t="s">
        <v>215</v>
      </c>
      <c r="C211" t="s">
        <v>232</v>
      </c>
      <c r="D211" t="s">
        <v>234</v>
      </c>
      <c r="E211" s="14">
        <v>1084897</v>
      </c>
      <c r="F211" s="14">
        <v>33350</v>
      </c>
      <c r="G211" s="1">
        <f t="shared" si="3"/>
        <v>1118247</v>
      </c>
    </row>
    <row r="212" spans="1:7" x14ac:dyDescent="0.2">
      <c r="A212">
        <v>2015</v>
      </c>
      <c r="B212" s="13" t="s">
        <v>312</v>
      </c>
      <c r="C212" t="s">
        <v>232</v>
      </c>
      <c r="D212" t="s">
        <v>234</v>
      </c>
      <c r="E212" s="14">
        <v>67764</v>
      </c>
      <c r="F212" s="14">
        <v>2083</v>
      </c>
      <c r="G212" s="1">
        <f t="shared" si="3"/>
        <v>69847</v>
      </c>
    </row>
    <row r="213" spans="1:7" x14ac:dyDescent="0.2">
      <c r="A213">
        <v>2015</v>
      </c>
      <c r="B213" s="13" t="s">
        <v>218</v>
      </c>
      <c r="C213" t="s">
        <v>232</v>
      </c>
      <c r="D213" t="s">
        <v>234</v>
      </c>
      <c r="E213" s="14">
        <v>185469</v>
      </c>
      <c r="F213" s="14">
        <v>5701</v>
      </c>
      <c r="G213" s="1">
        <f t="shared" si="3"/>
        <v>191170</v>
      </c>
    </row>
    <row r="214" spans="1:7" x14ac:dyDescent="0.2">
      <c r="A214">
        <v>2015</v>
      </c>
      <c r="B214" s="13" t="s">
        <v>219</v>
      </c>
      <c r="C214" t="s">
        <v>232</v>
      </c>
      <c r="D214" t="s">
        <v>234</v>
      </c>
      <c r="E214" s="14">
        <v>602926</v>
      </c>
      <c r="F214" s="14">
        <v>18534</v>
      </c>
      <c r="G214" s="1">
        <f t="shared" si="3"/>
        <v>621460</v>
      </c>
    </row>
    <row r="215" spans="1:7" x14ac:dyDescent="0.2">
      <c r="A215">
        <v>2015</v>
      </c>
      <c r="B215" s="13" t="s">
        <v>220</v>
      </c>
      <c r="C215" t="s">
        <v>232</v>
      </c>
      <c r="D215" t="s">
        <v>234</v>
      </c>
      <c r="E215" s="14">
        <v>868845</v>
      </c>
      <c r="F215" s="14">
        <v>26709</v>
      </c>
      <c r="G215" s="1">
        <f t="shared" si="3"/>
        <v>895554</v>
      </c>
    </row>
    <row r="216" spans="1:7" x14ac:dyDescent="0.2">
      <c r="A216">
        <v>2015</v>
      </c>
      <c r="B216" s="13" t="s">
        <v>301</v>
      </c>
      <c r="C216" t="s">
        <v>232</v>
      </c>
      <c r="D216" t="s">
        <v>234</v>
      </c>
      <c r="E216" s="14">
        <v>595000</v>
      </c>
      <c r="F216" s="14">
        <v>18291</v>
      </c>
      <c r="G216" s="1">
        <f t="shared" si="3"/>
        <v>613291</v>
      </c>
    </row>
    <row r="217" spans="1:7" x14ac:dyDescent="0.2">
      <c r="A217">
        <v>2015</v>
      </c>
      <c r="B217" s="13" t="s">
        <v>221</v>
      </c>
      <c r="C217" t="s">
        <v>232</v>
      </c>
      <c r="D217" t="s">
        <v>234</v>
      </c>
      <c r="E217" s="14">
        <v>2077850</v>
      </c>
      <c r="F217" s="14">
        <v>63874</v>
      </c>
      <c r="G217" s="1">
        <f t="shared" si="3"/>
        <v>2141724</v>
      </c>
    </row>
    <row r="218" spans="1:7" x14ac:dyDescent="0.2">
      <c r="A218">
        <v>2015</v>
      </c>
      <c r="B218" s="13" t="s">
        <v>222</v>
      </c>
      <c r="C218" t="s">
        <v>232</v>
      </c>
      <c r="D218" t="s">
        <v>234</v>
      </c>
      <c r="E218" s="14">
        <v>309650</v>
      </c>
      <c r="F218" s="14">
        <v>9519</v>
      </c>
      <c r="G218" s="1">
        <f t="shared" si="3"/>
        <v>319169</v>
      </c>
    </row>
    <row r="219" spans="1:7" x14ac:dyDescent="0.2">
      <c r="A219">
        <v>2015</v>
      </c>
      <c r="B219" s="13" t="s">
        <v>272</v>
      </c>
      <c r="C219" t="s">
        <v>232</v>
      </c>
      <c r="D219" t="s">
        <v>234</v>
      </c>
      <c r="E219" s="14">
        <v>1532011</v>
      </c>
      <c r="F219" s="14">
        <v>47095</v>
      </c>
      <c r="G219" s="1">
        <f t="shared" si="3"/>
        <v>1579106</v>
      </c>
    </row>
    <row r="220" spans="1:7" x14ac:dyDescent="0.2">
      <c r="A220">
        <v>2015</v>
      </c>
      <c r="B220" s="13" t="s">
        <v>313</v>
      </c>
      <c r="C220" t="s">
        <v>232</v>
      </c>
      <c r="D220" t="s">
        <v>234</v>
      </c>
      <c r="E220" s="14">
        <v>11602</v>
      </c>
      <c r="F220" s="13">
        <v>357</v>
      </c>
      <c r="G220" s="1">
        <f t="shared" si="3"/>
        <v>11959</v>
      </c>
    </row>
    <row r="221" spans="1:7" x14ac:dyDescent="0.2">
      <c r="A221">
        <v>2015</v>
      </c>
      <c r="B221" s="13" t="s">
        <v>314</v>
      </c>
      <c r="C221" t="s">
        <v>232</v>
      </c>
      <c r="D221" t="s">
        <v>234</v>
      </c>
      <c r="E221" s="14">
        <v>18725</v>
      </c>
      <c r="F221" s="13">
        <v>576</v>
      </c>
      <c r="G221" s="1">
        <f t="shared" si="3"/>
        <v>19301</v>
      </c>
    </row>
    <row r="222" spans="1:7" x14ac:dyDescent="0.2">
      <c r="A222">
        <v>2015</v>
      </c>
      <c r="B222" s="13" t="s">
        <v>226</v>
      </c>
      <c r="C222" t="s">
        <v>232</v>
      </c>
      <c r="D222" t="s">
        <v>234</v>
      </c>
      <c r="E222" s="14">
        <v>60325</v>
      </c>
      <c r="F222" s="14">
        <v>1854</v>
      </c>
      <c r="G222" s="1">
        <f t="shared" si="3"/>
        <v>62179</v>
      </c>
    </row>
    <row r="223" spans="1:7" x14ac:dyDescent="0.2">
      <c r="A223">
        <v>2015</v>
      </c>
      <c r="B223" s="13" t="s">
        <v>259</v>
      </c>
      <c r="C223" t="s">
        <v>232</v>
      </c>
      <c r="D223" t="s">
        <v>234</v>
      </c>
      <c r="E223" s="14">
        <v>93538</v>
      </c>
      <c r="F223" s="14">
        <v>2875</v>
      </c>
      <c r="G223" s="1">
        <f t="shared" si="3"/>
        <v>96413</v>
      </c>
    </row>
    <row r="224" spans="1:7" x14ac:dyDescent="0.2">
      <c r="A224">
        <v>2015</v>
      </c>
      <c r="B224" s="13" t="s">
        <v>315</v>
      </c>
      <c r="C224" t="s">
        <v>232</v>
      </c>
      <c r="D224" t="s">
        <v>234</v>
      </c>
      <c r="E224" s="14">
        <v>28416</v>
      </c>
      <c r="F224" s="13">
        <v>874</v>
      </c>
      <c r="G224" s="1">
        <f t="shared" si="3"/>
        <v>29290</v>
      </c>
    </row>
    <row r="225" spans="1:7" x14ac:dyDescent="0.2">
      <c r="A225">
        <v>2015</v>
      </c>
      <c r="B225" s="13" t="s">
        <v>302</v>
      </c>
      <c r="C225" t="s">
        <v>232</v>
      </c>
      <c r="D225" t="s">
        <v>234</v>
      </c>
      <c r="E225" s="14">
        <v>23327</v>
      </c>
      <c r="F225" s="13">
        <v>717</v>
      </c>
      <c r="G225" s="1">
        <f t="shared" si="3"/>
        <v>24044</v>
      </c>
    </row>
    <row r="226" spans="1:7" x14ac:dyDescent="0.2">
      <c r="A226">
        <v>2015</v>
      </c>
      <c r="B226" s="13" t="s">
        <v>303</v>
      </c>
      <c r="C226" t="s">
        <v>232</v>
      </c>
      <c r="D226" t="s">
        <v>234</v>
      </c>
      <c r="E226" s="14">
        <v>14476</v>
      </c>
      <c r="F226" s="13">
        <v>445</v>
      </c>
      <c r="G226" s="1">
        <f t="shared" si="3"/>
        <v>14921</v>
      </c>
    </row>
    <row r="228" spans="1:7" x14ac:dyDescent="0.2">
      <c r="D228" s="2" t="s">
        <v>274</v>
      </c>
      <c r="E228" s="1">
        <f>SUM(E2:E226)</f>
        <v>1217466677</v>
      </c>
      <c r="F228" s="1">
        <f>SUM(F2:F226)</f>
        <v>37425628</v>
      </c>
    </row>
    <row r="229" spans="1:7" x14ac:dyDescent="0.2">
      <c r="D229" s="2"/>
    </row>
    <row r="230" spans="1:7" x14ac:dyDescent="0.2">
      <c r="D230" s="8" t="s">
        <v>275</v>
      </c>
      <c r="E230" s="10">
        <v>1217466676</v>
      </c>
      <c r="F230" s="10">
        <v>37425629</v>
      </c>
    </row>
    <row r="231" spans="1:7" x14ac:dyDescent="0.2">
      <c r="D231" s="8"/>
      <c r="E231" s="9"/>
      <c r="F231" s="9"/>
    </row>
    <row r="232" spans="1:7" x14ac:dyDescent="0.2">
      <c r="D232" s="8" t="s">
        <v>276</v>
      </c>
      <c r="E232" s="10">
        <f>E228-E230</f>
        <v>1</v>
      </c>
      <c r="F232" s="10">
        <f>F228-F230</f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FC75-E89A-FF4E-A05F-15D3B06B2E37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948A-8451-C947-8ACE-AC2B60741CFF}">
  <sheetPr>
    <tabColor rgb="FFFFFF00"/>
  </sheetPr>
  <dimension ref="A1:B305"/>
  <sheetViews>
    <sheetView topLeftCell="A87" workbookViewId="0">
      <selection activeCell="A98" sqref="A98:A99"/>
    </sheetView>
  </sheetViews>
  <sheetFormatPr baseColWidth="10" defaultRowHeight="16" x14ac:dyDescent="0.2"/>
  <cols>
    <col min="1" max="1" width="55.83203125" bestFit="1" customWidth="1"/>
  </cols>
  <sheetData>
    <row r="1" spans="1:2" x14ac:dyDescent="0.2">
      <c r="A1" s="2" t="s">
        <v>230</v>
      </c>
    </row>
    <row r="2" spans="1:2" x14ac:dyDescent="0.2">
      <c r="A2" s="4" t="s">
        <v>271</v>
      </c>
      <c r="B2">
        <v>2200018</v>
      </c>
    </row>
    <row r="3" spans="1:2" x14ac:dyDescent="0.2">
      <c r="A3" s="2" t="s">
        <v>0</v>
      </c>
      <c r="B3">
        <v>2200030</v>
      </c>
    </row>
    <row r="4" spans="1:2" x14ac:dyDescent="0.2">
      <c r="A4" s="2" t="s">
        <v>112</v>
      </c>
      <c r="B4">
        <v>2200035</v>
      </c>
    </row>
    <row r="5" spans="1:2" x14ac:dyDescent="0.2">
      <c r="A5" s="2" t="s">
        <v>114</v>
      </c>
      <c r="B5">
        <v>2200038</v>
      </c>
    </row>
    <row r="6" spans="1:2" x14ac:dyDescent="0.2">
      <c r="A6" s="2" t="s">
        <v>117</v>
      </c>
      <c r="B6">
        <v>2200039</v>
      </c>
    </row>
    <row r="7" spans="1:2" x14ac:dyDescent="0.2">
      <c r="A7" s="2" t="s">
        <v>116</v>
      </c>
      <c r="B7">
        <v>2200040</v>
      </c>
    </row>
    <row r="8" spans="1:2" x14ac:dyDescent="0.2">
      <c r="A8" s="2" t="s">
        <v>192</v>
      </c>
      <c r="B8">
        <v>2200047</v>
      </c>
    </row>
    <row r="9" spans="1:2" x14ac:dyDescent="0.2">
      <c r="A9" s="2" t="s">
        <v>222</v>
      </c>
      <c r="B9">
        <v>2200054</v>
      </c>
    </row>
    <row r="10" spans="1:2" x14ac:dyDescent="0.2">
      <c r="A10" s="2" t="s">
        <v>138</v>
      </c>
      <c r="B10">
        <v>2200056</v>
      </c>
    </row>
    <row r="11" spans="1:2" x14ac:dyDescent="0.2">
      <c r="A11" s="2" t="s">
        <v>1</v>
      </c>
      <c r="B11">
        <v>2200060</v>
      </c>
    </row>
    <row r="12" spans="1:2" x14ac:dyDescent="0.2">
      <c r="A12" s="2" t="s">
        <v>2</v>
      </c>
      <c r="B12">
        <v>2200090</v>
      </c>
    </row>
    <row r="13" spans="1:2" x14ac:dyDescent="0.2">
      <c r="A13" s="2" t="s">
        <v>3</v>
      </c>
      <c r="B13">
        <v>2200120</v>
      </c>
    </row>
    <row r="14" spans="1:2" x14ac:dyDescent="0.2">
      <c r="A14" s="2" t="s">
        <v>134</v>
      </c>
      <c r="B14">
        <v>2200146</v>
      </c>
    </row>
    <row r="15" spans="1:2" x14ac:dyDescent="0.2">
      <c r="A15" s="2" t="s">
        <v>4</v>
      </c>
      <c r="B15">
        <v>2200150</v>
      </c>
    </row>
    <row r="16" spans="1:2" x14ac:dyDescent="0.2">
      <c r="A16" t="s">
        <v>284</v>
      </c>
      <c r="B16">
        <v>2200170</v>
      </c>
    </row>
    <row r="17" spans="1:2" x14ac:dyDescent="0.2">
      <c r="A17" s="2" t="s">
        <v>5</v>
      </c>
      <c r="B17">
        <v>2200180</v>
      </c>
    </row>
    <row r="18" spans="1:2" x14ac:dyDescent="0.2">
      <c r="A18" s="2" t="s">
        <v>52</v>
      </c>
      <c r="B18">
        <v>2200194</v>
      </c>
    </row>
    <row r="19" spans="1:2" x14ac:dyDescent="0.2">
      <c r="A19" s="2" t="s">
        <v>135</v>
      </c>
      <c r="B19">
        <v>2200203</v>
      </c>
    </row>
    <row r="20" spans="1:2" x14ac:dyDescent="0.2">
      <c r="A20" s="2" t="s">
        <v>145</v>
      </c>
      <c r="B20">
        <v>2200205</v>
      </c>
    </row>
    <row r="21" spans="1:2" x14ac:dyDescent="0.2">
      <c r="A21" s="4" t="s">
        <v>241</v>
      </c>
      <c r="B21">
        <v>2200205</v>
      </c>
    </row>
    <row r="22" spans="1:2" x14ac:dyDescent="0.2">
      <c r="A22" s="2" t="s">
        <v>6</v>
      </c>
      <c r="B22">
        <v>2200210</v>
      </c>
    </row>
    <row r="23" spans="1:2" x14ac:dyDescent="0.2">
      <c r="A23" s="2" t="s">
        <v>23</v>
      </c>
      <c r="B23">
        <v>2200219</v>
      </c>
    </row>
    <row r="24" spans="1:2" x14ac:dyDescent="0.2">
      <c r="A24" s="2" t="s">
        <v>144</v>
      </c>
      <c r="B24">
        <v>2200247</v>
      </c>
    </row>
    <row r="25" spans="1:2" x14ac:dyDescent="0.2">
      <c r="A25" s="2" t="s">
        <v>148</v>
      </c>
      <c r="B25" s="2">
        <v>2200252</v>
      </c>
    </row>
    <row r="26" spans="1:2" x14ac:dyDescent="0.2">
      <c r="A26" s="2" t="s">
        <v>7</v>
      </c>
      <c r="B26">
        <v>2200270</v>
      </c>
    </row>
    <row r="27" spans="1:2" x14ac:dyDescent="0.2">
      <c r="A27" s="2" t="s">
        <v>150</v>
      </c>
      <c r="B27">
        <v>2200275</v>
      </c>
    </row>
    <row r="28" spans="1:2" x14ac:dyDescent="0.2">
      <c r="A28" s="2" t="s">
        <v>124</v>
      </c>
      <c r="B28">
        <v>2200282</v>
      </c>
    </row>
    <row r="29" spans="1:2" x14ac:dyDescent="0.2">
      <c r="A29" s="2" t="s">
        <v>216</v>
      </c>
      <c r="B29">
        <v>2200290</v>
      </c>
    </row>
    <row r="30" spans="1:2" x14ac:dyDescent="0.2">
      <c r="A30" s="2" t="s">
        <v>8</v>
      </c>
      <c r="B30">
        <v>2200300</v>
      </c>
    </row>
    <row r="31" spans="1:2" x14ac:dyDescent="0.2">
      <c r="A31" s="2" t="s">
        <v>40</v>
      </c>
      <c r="B31">
        <v>2200308</v>
      </c>
    </row>
    <row r="32" spans="1:2" x14ac:dyDescent="0.2">
      <c r="A32" s="2" t="s">
        <v>126</v>
      </c>
      <c r="B32">
        <v>2200316</v>
      </c>
    </row>
    <row r="33" spans="1:2" x14ac:dyDescent="0.2">
      <c r="A33" s="2" t="s">
        <v>9</v>
      </c>
      <c r="B33">
        <v>2200330</v>
      </c>
    </row>
    <row r="34" spans="1:2" x14ac:dyDescent="0.2">
      <c r="A34" s="2" t="s">
        <v>10</v>
      </c>
      <c r="B34">
        <v>2200360</v>
      </c>
    </row>
    <row r="35" spans="1:2" x14ac:dyDescent="0.2">
      <c r="A35" s="2" t="s">
        <v>11</v>
      </c>
      <c r="B35">
        <v>2200390</v>
      </c>
    </row>
    <row r="36" spans="1:2" x14ac:dyDescent="0.2">
      <c r="A36" s="2" t="s">
        <v>12</v>
      </c>
      <c r="B36">
        <v>2200420</v>
      </c>
    </row>
    <row r="37" spans="1:2" x14ac:dyDescent="0.2">
      <c r="A37" s="2" t="s">
        <v>13</v>
      </c>
      <c r="B37">
        <v>2200450</v>
      </c>
    </row>
    <row r="38" spans="1:2" x14ac:dyDescent="0.2">
      <c r="A38" s="2" t="s">
        <v>14</v>
      </c>
      <c r="B38">
        <v>2200480</v>
      </c>
    </row>
    <row r="39" spans="1:2" x14ac:dyDescent="0.2">
      <c r="A39" s="2" t="s">
        <v>15</v>
      </c>
      <c r="B39">
        <v>2200510</v>
      </c>
    </row>
    <row r="40" spans="1:2" x14ac:dyDescent="0.2">
      <c r="A40" s="2" t="s">
        <v>16</v>
      </c>
      <c r="B40">
        <v>2200540</v>
      </c>
    </row>
    <row r="41" spans="1:2" x14ac:dyDescent="0.2">
      <c r="A41" s="2" t="s">
        <v>17</v>
      </c>
      <c r="B41">
        <v>2200570</v>
      </c>
    </row>
    <row r="42" spans="1:2" x14ac:dyDescent="0.2">
      <c r="A42" s="2" t="s">
        <v>18</v>
      </c>
      <c r="B42">
        <v>2200600</v>
      </c>
    </row>
    <row r="43" spans="1:2" x14ac:dyDescent="0.2">
      <c r="A43" s="2" t="s">
        <v>19</v>
      </c>
      <c r="B43">
        <v>2200630</v>
      </c>
    </row>
    <row r="44" spans="1:2" x14ac:dyDescent="0.2">
      <c r="A44" s="2" t="s">
        <v>20</v>
      </c>
      <c r="B44">
        <v>2200660</v>
      </c>
    </row>
    <row r="45" spans="1:2" x14ac:dyDescent="0.2">
      <c r="A45" s="2" t="s">
        <v>21</v>
      </c>
      <c r="B45">
        <v>2200690</v>
      </c>
    </row>
    <row r="46" spans="1:2" x14ac:dyDescent="0.2">
      <c r="A46" s="2" t="s">
        <v>22</v>
      </c>
      <c r="B46">
        <v>2200720</v>
      </c>
    </row>
    <row r="47" spans="1:2" x14ac:dyDescent="0.2">
      <c r="A47" s="2" t="s">
        <v>24</v>
      </c>
      <c r="B47">
        <v>2200780</v>
      </c>
    </row>
    <row r="48" spans="1:2" x14ac:dyDescent="0.2">
      <c r="A48" s="2" t="s">
        <v>26</v>
      </c>
      <c r="B48">
        <v>2200810</v>
      </c>
    </row>
    <row r="49" spans="1:2" x14ac:dyDescent="0.2">
      <c r="A49" s="2" t="s">
        <v>25</v>
      </c>
      <c r="B49">
        <v>2200840</v>
      </c>
    </row>
    <row r="50" spans="1:2" x14ac:dyDescent="0.2">
      <c r="A50" s="2" t="s">
        <v>27</v>
      </c>
      <c r="B50">
        <v>2200870</v>
      </c>
    </row>
    <row r="51" spans="1:2" x14ac:dyDescent="0.2">
      <c r="A51" s="2" t="s">
        <v>28</v>
      </c>
      <c r="B51">
        <v>2200900</v>
      </c>
    </row>
    <row r="52" spans="1:2" x14ac:dyDescent="0.2">
      <c r="A52" s="2" t="s">
        <v>29</v>
      </c>
      <c r="B52">
        <v>2200960</v>
      </c>
    </row>
    <row r="53" spans="1:2" x14ac:dyDescent="0.2">
      <c r="A53" s="2" t="s">
        <v>30</v>
      </c>
      <c r="B53">
        <v>2200990</v>
      </c>
    </row>
    <row r="54" spans="1:2" x14ac:dyDescent="0.2">
      <c r="A54" s="2" t="s">
        <v>31</v>
      </c>
      <c r="B54">
        <v>2201020</v>
      </c>
    </row>
    <row r="55" spans="1:2" x14ac:dyDescent="0.2">
      <c r="A55" s="2" t="s">
        <v>32</v>
      </c>
      <c r="B55">
        <v>2201050</v>
      </c>
    </row>
    <row r="56" spans="1:2" x14ac:dyDescent="0.2">
      <c r="A56" s="2" t="s">
        <v>65</v>
      </c>
      <c r="B56">
        <v>2201080</v>
      </c>
    </row>
    <row r="57" spans="1:2" x14ac:dyDescent="0.2">
      <c r="A57" s="2" t="s">
        <v>33</v>
      </c>
      <c r="B57">
        <v>2201110</v>
      </c>
    </row>
    <row r="58" spans="1:2" x14ac:dyDescent="0.2">
      <c r="A58" s="2" t="s">
        <v>34</v>
      </c>
      <c r="B58">
        <v>2201140</v>
      </c>
    </row>
    <row r="59" spans="1:2" x14ac:dyDescent="0.2">
      <c r="A59" s="2" t="s">
        <v>35</v>
      </c>
      <c r="B59">
        <v>2201170</v>
      </c>
    </row>
    <row r="60" spans="1:2" x14ac:dyDescent="0.2">
      <c r="A60" s="2" t="s">
        <v>36</v>
      </c>
      <c r="B60">
        <v>2201200</v>
      </c>
    </row>
    <row r="61" spans="1:2" x14ac:dyDescent="0.2">
      <c r="A61" s="2" t="s">
        <v>37</v>
      </c>
      <c r="B61">
        <v>2201230</v>
      </c>
    </row>
    <row r="62" spans="1:2" x14ac:dyDescent="0.2">
      <c r="A62" s="2" t="s">
        <v>38</v>
      </c>
      <c r="B62">
        <v>2201260</v>
      </c>
    </row>
    <row r="63" spans="1:2" x14ac:dyDescent="0.2">
      <c r="A63" s="2" t="s">
        <v>39</v>
      </c>
      <c r="B63">
        <v>2201290</v>
      </c>
    </row>
    <row r="64" spans="1:2" x14ac:dyDescent="0.2">
      <c r="A64" s="2" t="s">
        <v>41</v>
      </c>
      <c r="B64">
        <v>2201350</v>
      </c>
    </row>
    <row r="65" spans="1:2" x14ac:dyDescent="0.2">
      <c r="A65" s="2" t="s">
        <v>42</v>
      </c>
      <c r="B65">
        <v>2201380</v>
      </c>
    </row>
    <row r="66" spans="1:2" x14ac:dyDescent="0.2">
      <c r="A66" s="4" t="s">
        <v>261</v>
      </c>
      <c r="B66">
        <v>2201410</v>
      </c>
    </row>
    <row r="67" spans="1:2" x14ac:dyDescent="0.2">
      <c r="A67" s="2" t="s">
        <v>43</v>
      </c>
      <c r="B67">
        <v>2201410</v>
      </c>
    </row>
    <row r="68" spans="1:2" x14ac:dyDescent="0.2">
      <c r="A68" s="4" t="s">
        <v>262</v>
      </c>
      <c r="B68">
        <v>2201440</v>
      </c>
    </row>
    <row r="69" spans="1:2" x14ac:dyDescent="0.2">
      <c r="A69" s="2" t="s">
        <v>44</v>
      </c>
      <c r="B69">
        <v>2201440</v>
      </c>
    </row>
    <row r="70" spans="1:2" x14ac:dyDescent="0.2">
      <c r="A70" s="2" t="s">
        <v>45</v>
      </c>
      <c r="B70">
        <v>2201470</v>
      </c>
    </row>
    <row r="71" spans="1:2" x14ac:dyDescent="0.2">
      <c r="A71" s="4" t="s">
        <v>263</v>
      </c>
      <c r="B71">
        <v>2201500</v>
      </c>
    </row>
    <row r="72" spans="1:2" x14ac:dyDescent="0.2">
      <c r="A72" s="2" t="s">
        <v>46</v>
      </c>
      <c r="B72">
        <v>2201500</v>
      </c>
    </row>
    <row r="73" spans="1:2" x14ac:dyDescent="0.2">
      <c r="A73" s="4" t="s">
        <v>264</v>
      </c>
      <c r="B73">
        <v>2201530</v>
      </c>
    </row>
    <row r="74" spans="1:2" x14ac:dyDescent="0.2">
      <c r="A74" s="2" t="s">
        <v>47</v>
      </c>
      <c r="B74">
        <v>2201530</v>
      </c>
    </row>
    <row r="75" spans="1:2" x14ac:dyDescent="0.2">
      <c r="A75" s="2" t="s">
        <v>48</v>
      </c>
      <c r="B75">
        <v>2201560</v>
      </c>
    </row>
    <row r="76" spans="1:2" x14ac:dyDescent="0.2">
      <c r="A76" s="2" t="s">
        <v>49</v>
      </c>
      <c r="B76">
        <v>2201590</v>
      </c>
    </row>
    <row r="77" spans="1:2" x14ac:dyDescent="0.2">
      <c r="A77" s="2" t="s">
        <v>50</v>
      </c>
      <c r="B77">
        <v>2201620</v>
      </c>
    </row>
    <row r="78" spans="1:2" x14ac:dyDescent="0.2">
      <c r="A78" s="2" t="s">
        <v>51</v>
      </c>
      <c r="B78">
        <v>2201650</v>
      </c>
    </row>
    <row r="79" spans="1:2" x14ac:dyDescent="0.2">
      <c r="A79" s="2" t="s">
        <v>53</v>
      </c>
      <c r="B79">
        <v>2201710</v>
      </c>
    </row>
    <row r="80" spans="1:2" x14ac:dyDescent="0.2">
      <c r="A80" s="2" t="s">
        <v>54</v>
      </c>
      <c r="B80">
        <v>2201740</v>
      </c>
    </row>
    <row r="81" spans="1:2" x14ac:dyDescent="0.2">
      <c r="A81" s="2" t="s">
        <v>55</v>
      </c>
      <c r="B81">
        <v>2201770</v>
      </c>
    </row>
    <row r="82" spans="1:2" x14ac:dyDescent="0.2">
      <c r="A82" s="2" t="s">
        <v>56</v>
      </c>
      <c r="B82">
        <v>2201800</v>
      </c>
    </row>
    <row r="83" spans="1:2" x14ac:dyDescent="0.2">
      <c r="A83" s="2" t="s">
        <v>57</v>
      </c>
      <c r="B83">
        <v>2201830</v>
      </c>
    </row>
    <row r="84" spans="1:2" x14ac:dyDescent="0.2">
      <c r="A84" s="2" t="s">
        <v>58</v>
      </c>
      <c r="B84">
        <v>2201860</v>
      </c>
    </row>
    <row r="85" spans="1:2" x14ac:dyDescent="0.2">
      <c r="A85" s="2" t="s">
        <v>59</v>
      </c>
      <c r="B85">
        <v>2201890</v>
      </c>
    </row>
    <row r="86" spans="1:2" x14ac:dyDescent="0.2">
      <c r="A86" s="2" t="s">
        <v>60</v>
      </c>
      <c r="B86">
        <v>2201920</v>
      </c>
    </row>
    <row r="87" spans="1:2" x14ac:dyDescent="0.2">
      <c r="A87" s="2" t="s">
        <v>61</v>
      </c>
      <c r="B87">
        <v>2201950</v>
      </c>
    </row>
    <row r="88" spans="1:2" x14ac:dyDescent="0.2">
      <c r="A88" s="2" t="s">
        <v>62</v>
      </c>
      <c r="B88">
        <v>2201980</v>
      </c>
    </row>
    <row r="89" spans="1:2" x14ac:dyDescent="0.2">
      <c r="A89" s="2" t="s">
        <v>63</v>
      </c>
      <c r="B89">
        <v>2202010</v>
      </c>
    </row>
    <row r="90" spans="1:2" x14ac:dyDescent="0.2">
      <c r="A90" t="s">
        <v>272</v>
      </c>
      <c r="B90">
        <v>2280100</v>
      </c>
    </row>
    <row r="91" spans="1:2" x14ac:dyDescent="0.2">
      <c r="A91" t="s">
        <v>269</v>
      </c>
    </row>
    <row r="92" spans="1:2" x14ac:dyDescent="0.2">
      <c r="A92" s="2" t="s">
        <v>121</v>
      </c>
    </row>
    <row r="93" spans="1:2" x14ac:dyDescent="0.2">
      <c r="A93" s="2" t="s">
        <v>123</v>
      </c>
    </row>
    <row r="94" spans="1:2" x14ac:dyDescent="0.2">
      <c r="A94" s="4" t="s">
        <v>240</v>
      </c>
    </row>
    <row r="95" spans="1:2" x14ac:dyDescent="0.2">
      <c r="A95" s="2" t="s">
        <v>128</v>
      </c>
    </row>
    <row r="96" spans="1:2" x14ac:dyDescent="0.2">
      <c r="A96" t="s">
        <v>290</v>
      </c>
    </row>
    <row r="97" spans="1:2" x14ac:dyDescent="0.2">
      <c r="A97" s="2" t="s">
        <v>120</v>
      </c>
      <c r="B97">
        <v>2200053</v>
      </c>
    </row>
    <row r="98" spans="1:2" x14ac:dyDescent="0.2">
      <c r="A98" t="s">
        <v>300</v>
      </c>
    </row>
    <row r="99" spans="1:2" x14ac:dyDescent="0.2">
      <c r="A99" s="2" t="s">
        <v>99</v>
      </c>
    </row>
    <row r="100" spans="1:2" x14ac:dyDescent="0.2">
      <c r="A100" s="2" t="s">
        <v>193</v>
      </c>
    </row>
    <row r="101" spans="1:2" x14ac:dyDescent="0.2">
      <c r="A101" s="2" t="s">
        <v>108</v>
      </c>
    </row>
    <row r="102" spans="1:2" x14ac:dyDescent="0.2">
      <c r="A102" s="2" t="s">
        <v>136</v>
      </c>
    </row>
    <row r="103" spans="1:2" x14ac:dyDescent="0.2">
      <c r="A103" s="2" t="s">
        <v>143</v>
      </c>
    </row>
    <row r="104" spans="1:2" x14ac:dyDescent="0.2">
      <c r="A104" s="2" t="s">
        <v>218</v>
      </c>
    </row>
    <row r="105" spans="1:2" x14ac:dyDescent="0.2">
      <c r="A105" s="2" t="s">
        <v>219</v>
      </c>
    </row>
    <row r="106" spans="1:2" x14ac:dyDescent="0.2">
      <c r="A106" s="2" t="s">
        <v>214</v>
      </c>
    </row>
    <row r="107" spans="1:2" x14ac:dyDescent="0.2">
      <c r="A107" s="4" t="s">
        <v>255</v>
      </c>
    </row>
    <row r="108" spans="1:2" x14ac:dyDescent="0.2">
      <c r="A108" s="2" t="s">
        <v>64</v>
      </c>
      <c r="B108">
        <v>2200240</v>
      </c>
    </row>
    <row r="109" spans="1:2" x14ac:dyDescent="0.2">
      <c r="A109" s="2" t="s">
        <v>103</v>
      </c>
    </row>
    <row r="110" spans="1:2" x14ac:dyDescent="0.2">
      <c r="A110" s="2" t="s">
        <v>179</v>
      </c>
    </row>
    <row r="111" spans="1:2" x14ac:dyDescent="0.2">
      <c r="A111" s="2" t="s">
        <v>129</v>
      </c>
      <c r="B111">
        <v>2200125</v>
      </c>
    </row>
    <row r="112" spans="1:2" x14ac:dyDescent="0.2">
      <c r="A112" s="2" t="s">
        <v>98</v>
      </c>
    </row>
    <row r="113" spans="1:1" x14ac:dyDescent="0.2">
      <c r="A113" s="4" t="s">
        <v>249</v>
      </c>
    </row>
    <row r="114" spans="1:1" x14ac:dyDescent="0.2">
      <c r="A114" s="2" t="s">
        <v>173</v>
      </c>
    </row>
    <row r="115" spans="1:1" x14ac:dyDescent="0.2">
      <c r="A115" s="2" t="s">
        <v>171</v>
      </c>
    </row>
    <row r="116" spans="1:1" x14ac:dyDescent="0.2">
      <c r="A116" s="4" t="s">
        <v>268</v>
      </c>
    </row>
    <row r="117" spans="1:1" x14ac:dyDescent="0.2">
      <c r="A117" s="4" t="s">
        <v>248</v>
      </c>
    </row>
    <row r="118" spans="1:1" x14ac:dyDescent="0.2">
      <c r="A118" s="4" t="s">
        <v>247</v>
      </c>
    </row>
    <row r="119" spans="1:1" x14ac:dyDescent="0.2">
      <c r="A119" s="2" t="s">
        <v>198</v>
      </c>
    </row>
    <row r="120" spans="1:1" x14ac:dyDescent="0.2">
      <c r="A120" s="2" t="s">
        <v>78</v>
      </c>
    </row>
    <row r="121" spans="1:1" x14ac:dyDescent="0.2">
      <c r="A121" s="2" t="s">
        <v>189</v>
      </c>
    </row>
    <row r="122" spans="1:1" x14ac:dyDescent="0.2">
      <c r="A122" s="2" t="s">
        <v>229</v>
      </c>
    </row>
    <row r="123" spans="1:1" x14ac:dyDescent="0.2">
      <c r="A123" s="2" t="s">
        <v>182</v>
      </c>
    </row>
    <row r="124" spans="1:1" x14ac:dyDescent="0.2">
      <c r="A124" s="4" t="s">
        <v>245</v>
      </c>
    </row>
    <row r="125" spans="1:1" x14ac:dyDescent="0.2">
      <c r="A125" s="2" t="s">
        <v>212</v>
      </c>
    </row>
    <row r="126" spans="1:1" x14ac:dyDescent="0.2">
      <c r="A126" s="2" t="s">
        <v>163</v>
      </c>
    </row>
    <row r="127" spans="1:1" x14ac:dyDescent="0.2">
      <c r="A127" s="2" t="s">
        <v>188</v>
      </c>
    </row>
    <row r="128" spans="1:1" x14ac:dyDescent="0.2">
      <c r="A128" s="2" t="s">
        <v>176</v>
      </c>
    </row>
    <row r="129" spans="1:1" x14ac:dyDescent="0.2">
      <c r="A129" s="2" t="s">
        <v>210</v>
      </c>
    </row>
    <row r="130" spans="1:1" x14ac:dyDescent="0.2">
      <c r="A130" s="2" t="s">
        <v>211</v>
      </c>
    </row>
    <row r="131" spans="1:1" x14ac:dyDescent="0.2">
      <c r="A131" s="4" t="s">
        <v>253</v>
      </c>
    </row>
    <row r="132" spans="1:1" x14ac:dyDescent="0.2">
      <c r="A132" t="s">
        <v>288</v>
      </c>
    </row>
    <row r="133" spans="1:1" x14ac:dyDescent="0.2">
      <c r="A133" s="2" t="s">
        <v>170</v>
      </c>
    </row>
    <row r="134" spans="1:1" x14ac:dyDescent="0.2">
      <c r="A134" s="4" t="s">
        <v>246</v>
      </c>
    </row>
    <row r="135" spans="1:1" x14ac:dyDescent="0.2">
      <c r="A135" s="2" t="s">
        <v>190</v>
      </c>
    </row>
    <row r="136" spans="1:1" x14ac:dyDescent="0.2">
      <c r="A136" t="s">
        <v>313</v>
      </c>
    </row>
    <row r="137" spans="1:1" x14ac:dyDescent="0.2">
      <c r="A137" s="4" t="s">
        <v>242</v>
      </c>
    </row>
    <row r="138" spans="1:1" x14ac:dyDescent="0.2">
      <c r="A138" t="s">
        <v>314</v>
      </c>
    </row>
    <row r="139" spans="1:1" x14ac:dyDescent="0.2">
      <c r="A139" s="4" t="s">
        <v>259</v>
      </c>
    </row>
    <row r="140" spans="1:1" x14ac:dyDescent="0.2">
      <c r="A140" s="2" t="s">
        <v>158</v>
      </c>
    </row>
    <row r="141" spans="1:1" x14ac:dyDescent="0.2">
      <c r="A141" s="4" t="s">
        <v>260</v>
      </c>
    </row>
    <row r="142" spans="1:1" x14ac:dyDescent="0.2">
      <c r="A142" s="2" t="s">
        <v>196</v>
      </c>
    </row>
    <row r="143" spans="1:1" x14ac:dyDescent="0.2">
      <c r="A143" s="2" t="s">
        <v>205</v>
      </c>
    </row>
    <row r="144" spans="1:1" x14ac:dyDescent="0.2">
      <c r="A144" s="2" t="s">
        <v>156</v>
      </c>
    </row>
    <row r="145" spans="1:1" x14ac:dyDescent="0.2">
      <c r="A145" s="2" t="s">
        <v>225</v>
      </c>
    </row>
    <row r="146" spans="1:1" x14ac:dyDescent="0.2">
      <c r="A146" s="2" t="s">
        <v>157</v>
      </c>
    </row>
    <row r="147" spans="1:1" x14ac:dyDescent="0.2">
      <c r="A147" s="2" t="s">
        <v>224</v>
      </c>
    </row>
    <row r="148" spans="1:1" x14ac:dyDescent="0.2">
      <c r="A148" s="2" t="s">
        <v>227</v>
      </c>
    </row>
    <row r="149" spans="1:1" x14ac:dyDescent="0.2">
      <c r="A149" s="4" t="s">
        <v>243</v>
      </c>
    </row>
    <row r="150" spans="1:1" x14ac:dyDescent="0.2">
      <c r="A150" s="4" t="s">
        <v>258</v>
      </c>
    </row>
    <row r="151" spans="1:1" x14ac:dyDescent="0.2">
      <c r="A151" s="4" t="s">
        <v>257</v>
      </c>
    </row>
    <row r="152" spans="1:1" x14ac:dyDescent="0.2">
      <c r="A152" s="2" t="s">
        <v>199</v>
      </c>
    </row>
    <row r="153" spans="1:1" x14ac:dyDescent="0.2">
      <c r="A153" s="4" t="s">
        <v>251</v>
      </c>
    </row>
    <row r="154" spans="1:1" x14ac:dyDescent="0.2">
      <c r="A154" s="4" t="s">
        <v>236</v>
      </c>
    </row>
    <row r="155" spans="1:1" x14ac:dyDescent="0.2">
      <c r="A155" s="4" t="s">
        <v>273</v>
      </c>
    </row>
    <row r="156" spans="1:1" x14ac:dyDescent="0.2">
      <c r="A156" t="s">
        <v>308</v>
      </c>
    </row>
    <row r="157" spans="1:1" x14ac:dyDescent="0.2">
      <c r="A157" s="2" t="s">
        <v>149</v>
      </c>
    </row>
    <row r="158" spans="1:1" x14ac:dyDescent="0.2">
      <c r="A158" s="2" t="s">
        <v>195</v>
      </c>
    </row>
    <row r="159" spans="1:1" x14ac:dyDescent="0.2">
      <c r="A159" s="2" t="s">
        <v>204</v>
      </c>
    </row>
    <row r="160" spans="1:1" x14ac:dyDescent="0.2">
      <c r="A160" s="4" t="s">
        <v>250</v>
      </c>
    </row>
    <row r="161" spans="1:2" x14ac:dyDescent="0.2">
      <c r="A161" t="s">
        <v>294</v>
      </c>
    </row>
    <row r="162" spans="1:2" x14ac:dyDescent="0.2">
      <c r="A162" s="4" t="s">
        <v>252</v>
      </c>
    </row>
    <row r="163" spans="1:2" x14ac:dyDescent="0.2">
      <c r="A163" s="2" t="s">
        <v>213</v>
      </c>
    </row>
    <row r="164" spans="1:2" x14ac:dyDescent="0.2">
      <c r="A164" s="2" t="s">
        <v>164</v>
      </c>
    </row>
    <row r="165" spans="1:2" x14ac:dyDescent="0.2">
      <c r="A165" s="2" t="s">
        <v>127</v>
      </c>
      <c r="B165">
        <v>2200283</v>
      </c>
    </row>
    <row r="166" spans="1:2" x14ac:dyDescent="0.2">
      <c r="A166" s="2" t="s">
        <v>197</v>
      </c>
    </row>
    <row r="167" spans="1:2" x14ac:dyDescent="0.2">
      <c r="A167" s="2" t="s">
        <v>177</v>
      </c>
    </row>
    <row r="168" spans="1:2" x14ac:dyDescent="0.2">
      <c r="A168" t="s">
        <v>315</v>
      </c>
    </row>
    <row r="169" spans="1:2" x14ac:dyDescent="0.2">
      <c r="A169" t="s">
        <v>311</v>
      </c>
    </row>
    <row r="170" spans="1:2" x14ac:dyDescent="0.2">
      <c r="A170" s="2" t="s">
        <v>178</v>
      </c>
    </row>
    <row r="171" spans="1:2" x14ac:dyDescent="0.2">
      <c r="A171" s="2" t="s">
        <v>122</v>
      </c>
    </row>
    <row r="172" spans="1:2" x14ac:dyDescent="0.2">
      <c r="A172" s="4" t="s">
        <v>239</v>
      </c>
    </row>
    <row r="173" spans="1:2" x14ac:dyDescent="0.2">
      <c r="A173" s="2" t="s">
        <v>160</v>
      </c>
    </row>
    <row r="174" spans="1:2" x14ac:dyDescent="0.2">
      <c r="A174" t="s">
        <v>287</v>
      </c>
    </row>
    <row r="175" spans="1:2" x14ac:dyDescent="0.2">
      <c r="A175" s="2" t="s">
        <v>74</v>
      </c>
    </row>
    <row r="176" spans="1:2" x14ac:dyDescent="0.2">
      <c r="A176" s="2" t="s">
        <v>132</v>
      </c>
    </row>
    <row r="177" spans="1:2" x14ac:dyDescent="0.2">
      <c r="A177" t="s">
        <v>297</v>
      </c>
    </row>
    <row r="178" spans="1:2" x14ac:dyDescent="0.2">
      <c r="A178" s="2" t="s">
        <v>125</v>
      </c>
      <c r="B178">
        <v>2200317</v>
      </c>
    </row>
    <row r="179" spans="1:2" x14ac:dyDescent="0.2">
      <c r="A179" t="s">
        <v>310</v>
      </c>
    </row>
    <row r="180" spans="1:2" x14ac:dyDescent="0.2">
      <c r="A180" s="2" t="s">
        <v>146</v>
      </c>
    </row>
    <row r="181" spans="1:2" x14ac:dyDescent="0.2">
      <c r="A181" s="2" t="s">
        <v>83</v>
      </c>
    </row>
    <row r="182" spans="1:2" x14ac:dyDescent="0.2">
      <c r="A182" s="2" t="s">
        <v>110</v>
      </c>
    </row>
    <row r="183" spans="1:2" x14ac:dyDescent="0.2">
      <c r="A183" s="2" t="s">
        <v>194</v>
      </c>
    </row>
    <row r="184" spans="1:2" x14ac:dyDescent="0.2">
      <c r="A184" s="2" t="s">
        <v>169</v>
      </c>
    </row>
    <row r="185" spans="1:2" x14ac:dyDescent="0.2">
      <c r="A185" s="2" t="s">
        <v>217</v>
      </c>
    </row>
    <row r="186" spans="1:2" x14ac:dyDescent="0.2">
      <c r="A186" s="2" t="s">
        <v>97</v>
      </c>
    </row>
    <row r="187" spans="1:2" x14ac:dyDescent="0.2">
      <c r="A187" s="2" t="s">
        <v>118</v>
      </c>
    </row>
    <row r="188" spans="1:2" x14ac:dyDescent="0.2">
      <c r="A188" s="2" t="s">
        <v>84</v>
      </c>
    </row>
    <row r="189" spans="1:2" x14ac:dyDescent="0.2">
      <c r="A189" s="2" t="s">
        <v>215</v>
      </c>
    </row>
    <row r="190" spans="1:2" x14ac:dyDescent="0.2">
      <c r="A190" t="s">
        <v>279</v>
      </c>
    </row>
    <row r="191" spans="1:2" x14ac:dyDescent="0.2">
      <c r="A191" s="2" t="s">
        <v>119</v>
      </c>
    </row>
    <row r="192" spans="1:2" x14ac:dyDescent="0.2">
      <c r="A192" s="2" t="s">
        <v>101</v>
      </c>
    </row>
    <row r="193" spans="1:1" x14ac:dyDescent="0.2">
      <c r="A193" s="2" t="s">
        <v>191</v>
      </c>
    </row>
    <row r="194" spans="1:1" x14ac:dyDescent="0.2">
      <c r="A194" t="s">
        <v>301</v>
      </c>
    </row>
    <row r="195" spans="1:1" x14ac:dyDescent="0.2">
      <c r="A195" t="s">
        <v>286</v>
      </c>
    </row>
    <row r="196" spans="1:1" x14ac:dyDescent="0.2">
      <c r="A196" t="s">
        <v>291</v>
      </c>
    </row>
    <row r="197" spans="1:1" x14ac:dyDescent="0.2">
      <c r="A197" s="2" t="s">
        <v>180</v>
      </c>
    </row>
    <row r="198" spans="1:1" x14ac:dyDescent="0.2">
      <c r="A198" s="2" t="s">
        <v>185</v>
      </c>
    </row>
    <row r="199" spans="1:1" x14ac:dyDescent="0.2">
      <c r="A199" t="s">
        <v>293</v>
      </c>
    </row>
    <row r="200" spans="1:1" x14ac:dyDescent="0.2">
      <c r="A200" s="2" t="s">
        <v>153</v>
      </c>
    </row>
    <row r="201" spans="1:1" x14ac:dyDescent="0.2">
      <c r="A201" s="2" t="s">
        <v>155</v>
      </c>
    </row>
    <row r="202" spans="1:1" x14ac:dyDescent="0.2">
      <c r="A202" t="s">
        <v>285</v>
      </c>
    </row>
    <row r="203" spans="1:1" x14ac:dyDescent="0.2">
      <c r="A203" s="2" t="s">
        <v>80</v>
      </c>
    </row>
    <row r="204" spans="1:1" x14ac:dyDescent="0.2">
      <c r="A204" s="2" t="s">
        <v>115</v>
      </c>
    </row>
    <row r="205" spans="1:1" x14ac:dyDescent="0.2">
      <c r="A205" s="2" t="s">
        <v>221</v>
      </c>
    </row>
    <row r="206" spans="1:1" x14ac:dyDescent="0.2">
      <c r="A206" s="2" t="s">
        <v>166</v>
      </c>
    </row>
    <row r="207" spans="1:1" x14ac:dyDescent="0.2">
      <c r="A207" s="2" t="s">
        <v>208</v>
      </c>
    </row>
    <row r="208" spans="1:1" x14ac:dyDescent="0.2">
      <c r="A208" s="2" t="s">
        <v>94</v>
      </c>
    </row>
    <row r="209" spans="1:1" x14ac:dyDescent="0.2">
      <c r="A209" s="2" t="s">
        <v>85</v>
      </c>
    </row>
    <row r="210" spans="1:1" x14ac:dyDescent="0.2">
      <c r="A210" s="2" t="s">
        <v>102</v>
      </c>
    </row>
    <row r="211" spans="1:1" x14ac:dyDescent="0.2">
      <c r="A211" s="2" t="s">
        <v>147</v>
      </c>
    </row>
    <row r="212" spans="1:1" x14ac:dyDescent="0.2">
      <c r="A212" s="2" t="s">
        <v>162</v>
      </c>
    </row>
    <row r="213" spans="1:1" x14ac:dyDescent="0.2">
      <c r="A213" s="4" t="s">
        <v>244</v>
      </c>
    </row>
    <row r="214" spans="1:1" x14ac:dyDescent="0.2">
      <c r="A214" s="2" t="s">
        <v>87</v>
      </c>
    </row>
    <row r="215" spans="1:1" x14ac:dyDescent="0.2">
      <c r="A215" s="2" t="s">
        <v>131</v>
      </c>
    </row>
    <row r="216" spans="1:1" x14ac:dyDescent="0.2">
      <c r="A216" t="s">
        <v>306</v>
      </c>
    </row>
    <row r="217" spans="1:1" x14ac:dyDescent="0.2">
      <c r="A217" s="2" t="s">
        <v>96</v>
      </c>
    </row>
    <row r="218" spans="1:1" x14ac:dyDescent="0.2">
      <c r="A218" s="2" t="s">
        <v>68</v>
      </c>
    </row>
    <row r="219" spans="1:1" x14ac:dyDescent="0.2">
      <c r="A219" s="4" t="s">
        <v>267</v>
      </c>
    </row>
    <row r="220" spans="1:1" x14ac:dyDescent="0.2">
      <c r="A220" t="s">
        <v>289</v>
      </c>
    </row>
    <row r="221" spans="1:1" x14ac:dyDescent="0.2">
      <c r="A221" s="2" t="s">
        <v>66</v>
      </c>
    </row>
    <row r="222" spans="1:1" x14ac:dyDescent="0.2">
      <c r="A222" s="2" t="s">
        <v>209</v>
      </c>
    </row>
    <row r="223" spans="1:1" x14ac:dyDescent="0.2">
      <c r="A223" s="2" t="s">
        <v>113</v>
      </c>
    </row>
    <row r="224" spans="1:1" x14ac:dyDescent="0.2">
      <c r="A224" s="2" t="s">
        <v>90</v>
      </c>
    </row>
    <row r="225" spans="1:2" x14ac:dyDescent="0.2">
      <c r="A225" s="4" t="s">
        <v>237</v>
      </c>
    </row>
    <row r="226" spans="1:2" x14ac:dyDescent="0.2">
      <c r="A226" s="2" t="s">
        <v>70</v>
      </c>
    </row>
    <row r="227" spans="1:2" x14ac:dyDescent="0.2">
      <c r="A227" s="2" t="s">
        <v>104</v>
      </c>
    </row>
    <row r="228" spans="1:2" x14ac:dyDescent="0.2">
      <c r="A228" s="4" t="s">
        <v>238</v>
      </c>
    </row>
    <row r="229" spans="1:2" x14ac:dyDescent="0.2">
      <c r="A229" s="2" t="s">
        <v>139</v>
      </c>
    </row>
    <row r="230" spans="1:2" x14ac:dyDescent="0.2">
      <c r="A230" s="2" t="s">
        <v>133</v>
      </c>
    </row>
    <row r="231" spans="1:2" x14ac:dyDescent="0.2">
      <c r="A231" s="2" t="s">
        <v>81</v>
      </c>
    </row>
    <row r="232" spans="1:2" x14ac:dyDescent="0.2">
      <c r="A232" s="2" t="s">
        <v>181</v>
      </c>
    </row>
    <row r="233" spans="1:2" x14ac:dyDescent="0.2">
      <c r="A233" s="2" t="s">
        <v>184</v>
      </c>
    </row>
    <row r="234" spans="1:2" x14ac:dyDescent="0.2">
      <c r="A234" t="s">
        <v>265</v>
      </c>
    </row>
    <row r="235" spans="1:2" x14ac:dyDescent="0.2">
      <c r="A235" s="2" t="s">
        <v>220</v>
      </c>
    </row>
    <row r="236" spans="1:2" x14ac:dyDescent="0.2">
      <c r="A236" t="s">
        <v>299</v>
      </c>
    </row>
    <row r="237" spans="1:2" x14ac:dyDescent="0.2">
      <c r="A237" s="2" t="s">
        <v>107</v>
      </c>
      <c r="B237">
        <v>2200025</v>
      </c>
    </row>
    <row r="238" spans="1:2" x14ac:dyDescent="0.2">
      <c r="A238" s="2" t="s">
        <v>71</v>
      </c>
    </row>
    <row r="239" spans="1:2" x14ac:dyDescent="0.2">
      <c r="A239" s="2" t="s">
        <v>151</v>
      </c>
    </row>
    <row r="240" spans="1:2" x14ac:dyDescent="0.2">
      <c r="A240" s="2" t="s">
        <v>92</v>
      </c>
    </row>
    <row r="241" spans="1:1" x14ac:dyDescent="0.2">
      <c r="A241" s="2" t="s">
        <v>93</v>
      </c>
    </row>
    <row r="242" spans="1:1" x14ac:dyDescent="0.2">
      <c r="A242" s="2" t="s">
        <v>67</v>
      </c>
    </row>
    <row r="243" spans="1:1" x14ac:dyDescent="0.2">
      <c r="A243" s="2" t="s">
        <v>140</v>
      </c>
    </row>
    <row r="244" spans="1:1" x14ac:dyDescent="0.2">
      <c r="A244" s="2" t="s">
        <v>91</v>
      </c>
    </row>
    <row r="245" spans="1:1" x14ac:dyDescent="0.2">
      <c r="A245" s="2" t="s">
        <v>159</v>
      </c>
    </row>
    <row r="246" spans="1:1" x14ac:dyDescent="0.2">
      <c r="A246" s="2" t="s">
        <v>172</v>
      </c>
    </row>
    <row r="247" spans="1:1" x14ac:dyDescent="0.2">
      <c r="A247" s="2" t="s">
        <v>187</v>
      </c>
    </row>
    <row r="248" spans="1:1" x14ac:dyDescent="0.2">
      <c r="A248" s="2" t="s">
        <v>207</v>
      </c>
    </row>
    <row r="249" spans="1:1" x14ac:dyDescent="0.2">
      <c r="A249" s="2" t="s">
        <v>206</v>
      </c>
    </row>
    <row r="250" spans="1:1" x14ac:dyDescent="0.2">
      <c r="A250" s="2" t="s">
        <v>174</v>
      </c>
    </row>
    <row r="251" spans="1:1" x14ac:dyDescent="0.2">
      <c r="A251" t="s">
        <v>302</v>
      </c>
    </row>
    <row r="252" spans="1:1" x14ac:dyDescent="0.2">
      <c r="A252" t="s">
        <v>303</v>
      </c>
    </row>
    <row r="253" spans="1:1" x14ac:dyDescent="0.2">
      <c r="A253" s="2" t="s">
        <v>167</v>
      </c>
    </row>
    <row r="254" spans="1:1" x14ac:dyDescent="0.2">
      <c r="A254" s="2" t="s">
        <v>186</v>
      </c>
    </row>
    <row r="255" spans="1:1" x14ac:dyDescent="0.2">
      <c r="A255" t="s">
        <v>295</v>
      </c>
    </row>
    <row r="256" spans="1:1" x14ac:dyDescent="0.2">
      <c r="A256" t="s">
        <v>278</v>
      </c>
    </row>
    <row r="257" spans="1:1" x14ac:dyDescent="0.2">
      <c r="A257" t="s">
        <v>309</v>
      </c>
    </row>
    <row r="258" spans="1:1" x14ac:dyDescent="0.2">
      <c r="A258" s="2" t="s">
        <v>202</v>
      </c>
    </row>
    <row r="259" spans="1:1" x14ac:dyDescent="0.2">
      <c r="A259" s="2" t="s">
        <v>228</v>
      </c>
    </row>
    <row r="260" spans="1:1" x14ac:dyDescent="0.2">
      <c r="A260" t="s">
        <v>312</v>
      </c>
    </row>
    <row r="261" spans="1:1" x14ac:dyDescent="0.2">
      <c r="A261" s="2" t="s">
        <v>175</v>
      </c>
    </row>
    <row r="262" spans="1:1" x14ac:dyDescent="0.2">
      <c r="A262" s="4" t="s">
        <v>254</v>
      </c>
    </row>
    <row r="263" spans="1:1" x14ac:dyDescent="0.2">
      <c r="A263" t="s">
        <v>292</v>
      </c>
    </row>
    <row r="264" spans="1:1" x14ac:dyDescent="0.2">
      <c r="A264" s="2" t="s">
        <v>226</v>
      </c>
    </row>
    <row r="265" spans="1:1" x14ac:dyDescent="0.2">
      <c r="A265" s="2" t="s">
        <v>201</v>
      </c>
    </row>
    <row r="266" spans="1:1" x14ac:dyDescent="0.2">
      <c r="A266" s="2" t="s">
        <v>203</v>
      </c>
    </row>
    <row r="267" spans="1:1" x14ac:dyDescent="0.2">
      <c r="A267" t="s">
        <v>296</v>
      </c>
    </row>
    <row r="268" spans="1:1" x14ac:dyDescent="0.2">
      <c r="A268" s="2" t="s">
        <v>200</v>
      </c>
    </row>
    <row r="269" spans="1:1" x14ac:dyDescent="0.2">
      <c r="A269" t="s">
        <v>283</v>
      </c>
    </row>
    <row r="270" spans="1:1" x14ac:dyDescent="0.2">
      <c r="A270" s="2" t="s">
        <v>109</v>
      </c>
    </row>
    <row r="271" spans="1:1" x14ac:dyDescent="0.2">
      <c r="A271" s="2" t="s">
        <v>165</v>
      </c>
    </row>
    <row r="272" spans="1:1" x14ac:dyDescent="0.2">
      <c r="A272" s="2" t="s">
        <v>152</v>
      </c>
    </row>
    <row r="273" spans="1:2" x14ac:dyDescent="0.2">
      <c r="A273" s="2" t="s">
        <v>137</v>
      </c>
    </row>
    <row r="274" spans="1:2" x14ac:dyDescent="0.2">
      <c r="A274" s="2" t="s">
        <v>183</v>
      </c>
    </row>
    <row r="275" spans="1:2" x14ac:dyDescent="0.2">
      <c r="A275" t="s">
        <v>282</v>
      </c>
    </row>
    <row r="276" spans="1:2" x14ac:dyDescent="0.2">
      <c r="A276" s="2" t="s">
        <v>105</v>
      </c>
    </row>
    <row r="277" spans="1:2" x14ac:dyDescent="0.2">
      <c r="A277" s="2" t="s">
        <v>141</v>
      </c>
    </row>
    <row r="278" spans="1:2" x14ac:dyDescent="0.2">
      <c r="A278" s="2" t="s">
        <v>72</v>
      </c>
    </row>
    <row r="279" spans="1:2" x14ac:dyDescent="0.2">
      <c r="A279" s="2" t="s">
        <v>75</v>
      </c>
    </row>
    <row r="280" spans="1:2" x14ac:dyDescent="0.2">
      <c r="A280" s="2" t="s">
        <v>76</v>
      </c>
    </row>
    <row r="281" spans="1:2" x14ac:dyDescent="0.2">
      <c r="A281" s="2" t="s">
        <v>88</v>
      </c>
    </row>
    <row r="282" spans="1:2" x14ac:dyDescent="0.2">
      <c r="A282" s="2" t="s">
        <v>142</v>
      </c>
    </row>
    <row r="283" spans="1:2" x14ac:dyDescent="0.2">
      <c r="A283" s="2" t="s">
        <v>79</v>
      </c>
    </row>
    <row r="284" spans="1:2" x14ac:dyDescent="0.2">
      <c r="A284" s="2" t="s">
        <v>95</v>
      </c>
    </row>
    <row r="285" spans="1:2" x14ac:dyDescent="0.2">
      <c r="A285" t="s">
        <v>305</v>
      </c>
    </row>
    <row r="286" spans="1:2" x14ac:dyDescent="0.2">
      <c r="A286" s="2" t="s">
        <v>154</v>
      </c>
      <c r="B286">
        <v>2280100</v>
      </c>
    </row>
    <row r="287" spans="1:2" x14ac:dyDescent="0.2">
      <c r="A287" s="4" t="s">
        <v>256</v>
      </c>
      <c r="B287">
        <v>2280100</v>
      </c>
    </row>
    <row r="288" spans="1:2" x14ac:dyDescent="0.2">
      <c r="A288" t="s">
        <v>298</v>
      </c>
    </row>
    <row r="289" spans="1:2" x14ac:dyDescent="0.2">
      <c r="A289" t="s">
        <v>266</v>
      </c>
    </row>
    <row r="290" spans="1:2" x14ac:dyDescent="0.2">
      <c r="A290" t="s">
        <v>307</v>
      </c>
    </row>
    <row r="291" spans="1:2" x14ac:dyDescent="0.2">
      <c r="A291" s="2" t="s">
        <v>86</v>
      </c>
    </row>
    <row r="292" spans="1:2" x14ac:dyDescent="0.2">
      <c r="A292" s="2" t="s">
        <v>223</v>
      </c>
    </row>
    <row r="293" spans="1:2" x14ac:dyDescent="0.2">
      <c r="A293" s="2" t="s">
        <v>161</v>
      </c>
    </row>
    <row r="294" spans="1:2" x14ac:dyDescent="0.2">
      <c r="A294" s="2" t="s">
        <v>77</v>
      </c>
    </row>
    <row r="295" spans="1:2" x14ac:dyDescent="0.2">
      <c r="A295" t="s">
        <v>277</v>
      </c>
    </row>
    <row r="296" spans="1:2" x14ac:dyDescent="0.2">
      <c r="A296" s="2" t="s">
        <v>130</v>
      </c>
    </row>
    <row r="297" spans="1:2" x14ac:dyDescent="0.2">
      <c r="A297" s="2" t="s">
        <v>168</v>
      </c>
    </row>
    <row r="298" spans="1:2" x14ac:dyDescent="0.2">
      <c r="A298" s="2" t="s">
        <v>89</v>
      </c>
    </row>
    <row r="299" spans="1:2" x14ac:dyDescent="0.2">
      <c r="A299" s="2" t="s">
        <v>73</v>
      </c>
    </row>
    <row r="300" spans="1:2" x14ac:dyDescent="0.2">
      <c r="A300" s="2" t="s">
        <v>82</v>
      </c>
    </row>
    <row r="301" spans="1:2" x14ac:dyDescent="0.2">
      <c r="A301" s="2" t="s">
        <v>69</v>
      </c>
    </row>
    <row r="302" spans="1:2" x14ac:dyDescent="0.2">
      <c r="A302" s="2" t="s">
        <v>111</v>
      </c>
      <c r="B302">
        <v>2200032</v>
      </c>
    </row>
    <row r="303" spans="1:2" x14ac:dyDescent="0.2">
      <c r="A303" s="2" t="s">
        <v>100</v>
      </c>
    </row>
    <row r="304" spans="1:2" x14ac:dyDescent="0.2">
      <c r="A304" s="2" t="s">
        <v>106</v>
      </c>
    </row>
    <row r="305" spans="1:1" x14ac:dyDescent="0.2">
      <c r="A305" t="s">
        <v>270</v>
      </c>
    </row>
  </sheetData>
  <autoFilter ref="A1:B305" xr:uid="{ED7B948A-8451-C947-8ACE-AC2B60741CFF}">
    <sortState xmlns:xlrd2="http://schemas.microsoft.com/office/spreadsheetml/2017/richdata2" ref="A2:B305">
      <sortCondition ref="B1:B3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Yearly Data &amp; Checks --&gt;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NCES Match --&gt;</vt:lpstr>
      <vt:lpstr>LEAIDs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2025-02-11T19:09:59Z</dcterms:created>
  <dcterms:modified xsi:type="dcterms:W3CDTF">2025-02-12T01:30:14Z</dcterms:modified>
</cp:coreProperties>
</file>