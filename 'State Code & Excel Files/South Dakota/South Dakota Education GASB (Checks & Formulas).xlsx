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South Dakota/"/>
    </mc:Choice>
  </mc:AlternateContent>
  <xr:revisionPtr revIDLastSave="0" documentId="13_ncr:1_{8E1902B6-08D4-E748-90A1-FD0292657435}" xr6:coauthVersionLast="47" xr6:coauthVersionMax="47" xr10:uidLastSave="{00000000-0000-0000-0000-000000000000}"/>
  <bookViews>
    <workbookView xWindow="3280" yWindow="980" windowWidth="27640" windowHeight="16940" xr2:uid="{56DE5752-E8C6-FA46-898C-5879DD8FF4C2}"/>
  </bookViews>
  <sheets>
    <sheet name="Summary" sheetId="12" r:id="rId1"/>
    <sheet name="GASB 68 Data --&gt;" sheetId="9" r:id="rId2"/>
    <sheet name="2022" sheetId="1" r:id="rId3"/>
    <sheet name="2021" sheetId="2" r:id="rId4"/>
    <sheet name="2020" sheetId="3" r:id="rId5"/>
    <sheet name="2019" sheetId="4" r:id="rId6"/>
    <sheet name="2018" sheetId="5" r:id="rId7"/>
    <sheet name="2017" sheetId="6" r:id="rId8"/>
    <sheet name="2016" sheetId="7" r:id="rId9"/>
    <sheet name="2015" sheetId="8" r:id="rId10"/>
    <sheet name="NCES Data --&gt;" sheetId="10" r:id="rId11"/>
    <sheet name="LEAID Match" sheetId="11" r:id="rId12"/>
  </sheets>
  <definedNames>
    <definedName name="_xlnm._FilterDatabase" localSheetId="11" hidden="1">'LEAID Match'!$A$1:$B$1</definedName>
    <definedName name="_xlnm._FilterDatabase" localSheetId="0" hidden="1">Summary!$B$1:$H$1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2" l="1"/>
  <c r="L4" i="12"/>
  <c r="L5" i="12"/>
  <c r="L6" i="12"/>
  <c r="L7" i="12"/>
  <c r="A7" i="12" s="1"/>
  <c r="L8" i="12"/>
  <c r="L9" i="12"/>
  <c r="L10" i="12"/>
  <c r="L11" i="12"/>
  <c r="L12" i="12"/>
  <c r="L13" i="12"/>
  <c r="L14" i="12"/>
  <c r="L15" i="12"/>
  <c r="A15" i="12" s="1"/>
  <c r="L16" i="12"/>
  <c r="L17" i="12"/>
  <c r="L18" i="12"/>
  <c r="L19" i="12"/>
  <c r="L20" i="12"/>
  <c r="L21" i="12"/>
  <c r="L22" i="12"/>
  <c r="L23" i="12"/>
  <c r="A23" i="12" s="1"/>
  <c r="L24" i="12"/>
  <c r="L25" i="12"/>
  <c r="L26" i="12"/>
  <c r="L27" i="12"/>
  <c r="L28" i="12"/>
  <c r="L29" i="12"/>
  <c r="L30" i="12"/>
  <c r="L31" i="12"/>
  <c r="A31" i="12" s="1"/>
  <c r="L32" i="12"/>
  <c r="L33" i="12"/>
  <c r="L34" i="12"/>
  <c r="L35" i="12"/>
  <c r="L36" i="12"/>
  <c r="L37" i="12"/>
  <c r="L38" i="12"/>
  <c r="L39" i="12"/>
  <c r="A39" i="12" s="1"/>
  <c r="L40" i="12"/>
  <c r="L41" i="12"/>
  <c r="L42" i="12"/>
  <c r="L43" i="12"/>
  <c r="L44" i="12"/>
  <c r="L45" i="12"/>
  <c r="L46" i="12"/>
  <c r="L47" i="12"/>
  <c r="A47" i="12" s="1"/>
  <c r="L48" i="12"/>
  <c r="L49" i="12"/>
  <c r="L50" i="12"/>
  <c r="L51" i="12"/>
  <c r="L52" i="12"/>
  <c r="L53" i="12"/>
  <c r="L54" i="12"/>
  <c r="L55" i="12"/>
  <c r="A55" i="12" s="1"/>
  <c r="L56" i="12"/>
  <c r="L57" i="12"/>
  <c r="L58" i="12"/>
  <c r="L59" i="12"/>
  <c r="L60" i="12"/>
  <c r="L61" i="12"/>
  <c r="L62" i="12"/>
  <c r="L63" i="12"/>
  <c r="A63" i="12" s="1"/>
  <c r="L64" i="12"/>
  <c r="L65" i="12"/>
  <c r="L66" i="12"/>
  <c r="L67" i="12"/>
  <c r="L68" i="12"/>
  <c r="L69" i="12"/>
  <c r="L70" i="12"/>
  <c r="L71" i="12"/>
  <c r="A71" i="12" s="1"/>
  <c r="L72" i="12"/>
  <c r="L73" i="12"/>
  <c r="L74" i="12"/>
  <c r="L75" i="12"/>
  <c r="L76" i="12"/>
  <c r="L77" i="12"/>
  <c r="L78" i="12"/>
  <c r="L79" i="12"/>
  <c r="A79" i="12" s="1"/>
  <c r="L80" i="12"/>
  <c r="L81" i="12"/>
  <c r="L82" i="12"/>
  <c r="L83" i="12"/>
  <c r="L84" i="12"/>
  <c r="L85" i="12"/>
  <c r="L86" i="12"/>
  <c r="L87" i="12"/>
  <c r="A87" i="12" s="1"/>
  <c r="L88" i="12"/>
  <c r="L89" i="12"/>
  <c r="L90" i="12"/>
  <c r="L91" i="12"/>
  <c r="L92" i="12"/>
  <c r="L93" i="12"/>
  <c r="L94" i="12"/>
  <c r="L95" i="12"/>
  <c r="A95" i="12" s="1"/>
  <c r="L96" i="12"/>
  <c r="L97" i="12"/>
  <c r="L98" i="12"/>
  <c r="L99" i="12"/>
  <c r="L100" i="12"/>
  <c r="L101" i="12"/>
  <c r="L102" i="12"/>
  <c r="L103" i="12"/>
  <c r="A103" i="12" s="1"/>
  <c r="L104" i="12"/>
  <c r="L105" i="12"/>
  <c r="L106" i="12"/>
  <c r="L107" i="12"/>
  <c r="L108" i="12"/>
  <c r="L109" i="12"/>
  <c r="L110" i="12"/>
  <c r="L111" i="12"/>
  <c r="A111" i="12" s="1"/>
  <c r="L112" i="12"/>
  <c r="L113" i="12"/>
  <c r="L114" i="12"/>
  <c r="L115" i="12"/>
  <c r="L116" i="12"/>
  <c r="L117" i="12"/>
  <c r="L118" i="12"/>
  <c r="L119" i="12"/>
  <c r="A119" i="12" s="1"/>
  <c r="L120" i="12"/>
  <c r="L121" i="12"/>
  <c r="L122" i="12"/>
  <c r="L123" i="12"/>
  <c r="L124" i="12"/>
  <c r="L125" i="12"/>
  <c r="L126" i="12"/>
  <c r="L127" i="12"/>
  <c r="A127" i="12" s="1"/>
  <c r="L128" i="12"/>
  <c r="L129" i="12"/>
  <c r="L130" i="12"/>
  <c r="L131" i="12"/>
  <c r="L132" i="12"/>
  <c r="L133" i="12"/>
  <c r="L134" i="12"/>
  <c r="L135" i="12"/>
  <c r="A135" i="12" s="1"/>
  <c r="L136" i="12"/>
  <c r="L137" i="12"/>
  <c r="L138" i="12"/>
  <c r="L139" i="12"/>
  <c r="L140" i="12"/>
  <c r="L141" i="12"/>
  <c r="L142" i="12"/>
  <c r="L143" i="12"/>
  <c r="A143" i="12" s="1"/>
  <c r="L144" i="12"/>
  <c r="L145" i="12"/>
  <c r="L146" i="12"/>
  <c r="L147" i="12"/>
  <c r="L148" i="12"/>
  <c r="L149" i="12"/>
  <c r="L150" i="12"/>
  <c r="L151" i="12"/>
  <c r="A151" i="12" s="1"/>
  <c r="L152" i="12"/>
  <c r="L153" i="12"/>
  <c r="L154" i="12"/>
  <c r="L155" i="12"/>
  <c r="L156" i="12"/>
  <c r="L157" i="12"/>
  <c r="L158" i="12"/>
  <c r="L159" i="12"/>
  <c r="A159" i="12" s="1"/>
  <c r="L160" i="12"/>
  <c r="L161" i="12"/>
  <c r="L162" i="12"/>
  <c r="L163" i="12"/>
  <c r="L164" i="12"/>
  <c r="L165" i="12"/>
  <c r="L166" i="12"/>
  <c r="L167" i="12"/>
  <c r="A167" i="12" s="1"/>
  <c r="L168" i="12"/>
  <c r="L169" i="12"/>
  <c r="L170" i="12"/>
  <c r="L171" i="12"/>
  <c r="L172" i="12"/>
  <c r="L173" i="12"/>
  <c r="L174" i="12"/>
  <c r="L175" i="12"/>
  <c r="A175" i="12" s="1"/>
  <c r="L176" i="12"/>
  <c r="L177" i="12"/>
  <c r="L178" i="12"/>
  <c r="L179" i="12"/>
  <c r="L180" i="12"/>
  <c r="L181" i="12"/>
  <c r="L182" i="12"/>
  <c r="L183" i="12"/>
  <c r="A183" i="12" s="1"/>
  <c r="L184" i="12"/>
  <c r="L185" i="12"/>
  <c r="L186" i="12"/>
  <c r="L187" i="12"/>
  <c r="L188" i="12"/>
  <c r="L189" i="12"/>
  <c r="L190" i="12"/>
  <c r="L191" i="12"/>
  <c r="A191" i="12" s="1"/>
  <c r="L192" i="12"/>
  <c r="L193" i="12"/>
  <c r="L194" i="12"/>
  <c r="L195" i="12"/>
  <c r="L196" i="12"/>
  <c r="L197" i="12"/>
  <c r="L198" i="12"/>
  <c r="L199" i="12"/>
  <c r="A199" i="12" s="1"/>
  <c r="L200" i="12"/>
  <c r="L201" i="12"/>
  <c r="L202" i="12"/>
  <c r="L203" i="12"/>
  <c r="L204" i="12"/>
  <c r="L205" i="12"/>
  <c r="L206" i="12"/>
  <c r="L207" i="12"/>
  <c r="A207" i="12" s="1"/>
  <c r="L208" i="12"/>
  <c r="L209" i="12"/>
  <c r="L210" i="12"/>
  <c r="L211" i="12"/>
  <c r="L212" i="12"/>
  <c r="L213" i="12"/>
  <c r="L214" i="12"/>
  <c r="L215" i="12"/>
  <c r="A215" i="12" s="1"/>
  <c r="L216" i="12"/>
  <c r="L217" i="12"/>
  <c r="L218" i="12"/>
  <c r="L219" i="12"/>
  <c r="L220" i="12"/>
  <c r="L221" i="12"/>
  <c r="L222" i="12"/>
  <c r="L223" i="12"/>
  <c r="A223" i="12" s="1"/>
  <c r="L224" i="12"/>
  <c r="L225" i="12"/>
  <c r="L226" i="12"/>
  <c r="L227" i="12"/>
  <c r="L228" i="12"/>
  <c r="L229" i="12"/>
  <c r="L230" i="12"/>
  <c r="L231" i="12"/>
  <c r="A231" i="12" s="1"/>
  <c r="L232" i="12"/>
  <c r="L233" i="12"/>
  <c r="L234" i="12"/>
  <c r="L235" i="12"/>
  <c r="L236" i="12"/>
  <c r="L237" i="12"/>
  <c r="L238" i="12"/>
  <c r="L239" i="12"/>
  <c r="A239" i="12" s="1"/>
  <c r="L240" i="12"/>
  <c r="L241" i="12"/>
  <c r="L242" i="12"/>
  <c r="L243" i="12"/>
  <c r="L244" i="12"/>
  <c r="L245" i="12"/>
  <c r="L246" i="12"/>
  <c r="L247" i="12"/>
  <c r="A247" i="12" s="1"/>
  <c r="L248" i="12"/>
  <c r="L249" i="12"/>
  <c r="L250" i="12"/>
  <c r="L251" i="12"/>
  <c r="L252" i="12"/>
  <c r="L253" i="12"/>
  <c r="L254" i="12"/>
  <c r="L255" i="12"/>
  <c r="A255" i="12" s="1"/>
  <c r="L256" i="12"/>
  <c r="L257" i="12"/>
  <c r="L258" i="12"/>
  <c r="L259" i="12"/>
  <c r="L260" i="12"/>
  <c r="L261" i="12"/>
  <c r="L262" i="12"/>
  <c r="L263" i="12"/>
  <c r="A263" i="12" s="1"/>
  <c r="L264" i="12"/>
  <c r="L265" i="12"/>
  <c r="L266" i="12"/>
  <c r="L267" i="12"/>
  <c r="L268" i="12"/>
  <c r="L269" i="12"/>
  <c r="L270" i="12"/>
  <c r="L271" i="12"/>
  <c r="A271" i="12" s="1"/>
  <c r="L272" i="12"/>
  <c r="L273" i="12"/>
  <c r="L274" i="12"/>
  <c r="L275" i="12"/>
  <c r="L276" i="12"/>
  <c r="L277" i="12"/>
  <c r="L278" i="12"/>
  <c r="L279" i="12"/>
  <c r="A279" i="12" s="1"/>
  <c r="L280" i="12"/>
  <c r="L281" i="12"/>
  <c r="L282" i="12"/>
  <c r="L283" i="12"/>
  <c r="L284" i="12"/>
  <c r="L285" i="12"/>
  <c r="L286" i="12"/>
  <c r="L287" i="12"/>
  <c r="A287" i="12" s="1"/>
  <c r="L288" i="12"/>
  <c r="L289" i="12"/>
  <c r="L290" i="12"/>
  <c r="L291" i="12"/>
  <c r="L292" i="12"/>
  <c r="L293" i="12"/>
  <c r="L294" i="12"/>
  <c r="L295" i="12"/>
  <c r="A295" i="12" s="1"/>
  <c r="L296" i="12"/>
  <c r="L297" i="12"/>
  <c r="L298" i="12"/>
  <c r="L299" i="12"/>
  <c r="L300" i="12"/>
  <c r="L301" i="12"/>
  <c r="L302" i="12"/>
  <c r="L303" i="12"/>
  <c r="A303" i="12" s="1"/>
  <c r="L304" i="12"/>
  <c r="L305" i="12"/>
  <c r="L306" i="12"/>
  <c r="L307" i="12"/>
  <c r="L308" i="12"/>
  <c r="L309" i="12"/>
  <c r="L310" i="12"/>
  <c r="L311" i="12"/>
  <c r="A311" i="12" s="1"/>
  <c r="L312" i="12"/>
  <c r="L313" i="12"/>
  <c r="L314" i="12"/>
  <c r="L315" i="12"/>
  <c r="L316" i="12"/>
  <c r="L317" i="12"/>
  <c r="L318" i="12"/>
  <c r="L319" i="12"/>
  <c r="A319" i="12" s="1"/>
  <c r="L320" i="12"/>
  <c r="L321" i="12"/>
  <c r="L322" i="12"/>
  <c r="L323" i="12"/>
  <c r="L324" i="12"/>
  <c r="L325" i="12"/>
  <c r="L326" i="12"/>
  <c r="L327" i="12"/>
  <c r="A327" i="12" s="1"/>
  <c r="L328" i="12"/>
  <c r="L329" i="12"/>
  <c r="L330" i="12"/>
  <c r="L331" i="12"/>
  <c r="L332" i="12"/>
  <c r="L333" i="12"/>
  <c r="L334" i="12"/>
  <c r="L335" i="12"/>
  <c r="A335" i="12" s="1"/>
  <c r="L336" i="12"/>
  <c r="L337" i="12"/>
  <c r="L338" i="12"/>
  <c r="L339" i="12"/>
  <c r="L340" i="12"/>
  <c r="L341" i="12"/>
  <c r="L342" i="12"/>
  <c r="L343" i="12"/>
  <c r="A343" i="12" s="1"/>
  <c r="L344" i="12"/>
  <c r="L345" i="12"/>
  <c r="L346" i="12"/>
  <c r="L347" i="12"/>
  <c r="L348" i="12"/>
  <c r="L349" i="12"/>
  <c r="L350" i="12"/>
  <c r="L351" i="12"/>
  <c r="A351" i="12" s="1"/>
  <c r="L352" i="12"/>
  <c r="L353" i="12"/>
  <c r="L354" i="12"/>
  <c r="L355" i="12"/>
  <c r="L356" i="12"/>
  <c r="L357" i="12"/>
  <c r="L358" i="12"/>
  <c r="L359" i="12"/>
  <c r="A359" i="12" s="1"/>
  <c r="L360" i="12"/>
  <c r="L361" i="12"/>
  <c r="L362" i="12"/>
  <c r="L363" i="12"/>
  <c r="L364" i="12"/>
  <c r="L365" i="12"/>
  <c r="L366" i="12"/>
  <c r="L367" i="12"/>
  <c r="A367" i="12" s="1"/>
  <c r="L368" i="12"/>
  <c r="L369" i="12"/>
  <c r="L370" i="12"/>
  <c r="L371" i="12"/>
  <c r="L372" i="12"/>
  <c r="L373" i="12"/>
  <c r="L374" i="12"/>
  <c r="L375" i="12"/>
  <c r="A375" i="12" s="1"/>
  <c r="L376" i="12"/>
  <c r="L377" i="12"/>
  <c r="L378" i="12"/>
  <c r="L379" i="12"/>
  <c r="L380" i="12"/>
  <c r="L381" i="12"/>
  <c r="L382" i="12"/>
  <c r="L383" i="12"/>
  <c r="A383" i="12" s="1"/>
  <c r="L384" i="12"/>
  <c r="L385" i="12"/>
  <c r="L386" i="12"/>
  <c r="L387" i="12"/>
  <c r="L388" i="12"/>
  <c r="L389" i="12"/>
  <c r="L390" i="12"/>
  <c r="L391" i="12"/>
  <c r="A391" i="12" s="1"/>
  <c r="L392" i="12"/>
  <c r="L393" i="12"/>
  <c r="L394" i="12"/>
  <c r="L395" i="12"/>
  <c r="L396" i="12"/>
  <c r="L397" i="12"/>
  <c r="L398" i="12"/>
  <c r="L399" i="12"/>
  <c r="A399" i="12" s="1"/>
  <c r="L400" i="12"/>
  <c r="L401" i="12"/>
  <c r="L402" i="12"/>
  <c r="L403" i="12"/>
  <c r="L404" i="12"/>
  <c r="L405" i="12"/>
  <c r="L406" i="12"/>
  <c r="L407" i="12"/>
  <c r="A407" i="12" s="1"/>
  <c r="L408" i="12"/>
  <c r="L409" i="12"/>
  <c r="L410" i="12"/>
  <c r="L411" i="12"/>
  <c r="L412" i="12"/>
  <c r="L413" i="12"/>
  <c r="L414" i="12"/>
  <c r="L415" i="12"/>
  <c r="A415" i="12" s="1"/>
  <c r="L416" i="12"/>
  <c r="L417" i="12"/>
  <c r="L418" i="12"/>
  <c r="L419" i="12"/>
  <c r="L420" i="12"/>
  <c r="L421" i="12"/>
  <c r="L422" i="12"/>
  <c r="L423" i="12"/>
  <c r="A423" i="12" s="1"/>
  <c r="L424" i="12"/>
  <c r="L425" i="12"/>
  <c r="L426" i="12"/>
  <c r="L427" i="12"/>
  <c r="L428" i="12"/>
  <c r="L429" i="12"/>
  <c r="L430" i="12"/>
  <c r="L431" i="12"/>
  <c r="A431" i="12" s="1"/>
  <c r="L432" i="12"/>
  <c r="L433" i="12"/>
  <c r="L434" i="12"/>
  <c r="L435" i="12"/>
  <c r="L436" i="12"/>
  <c r="L437" i="12"/>
  <c r="L438" i="12"/>
  <c r="L439" i="12"/>
  <c r="A439" i="12" s="1"/>
  <c r="L440" i="12"/>
  <c r="L441" i="12"/>
  <c r="L442" i="12"/>
  <c r="L443" i="12"/>
  <c r="L444" i="12"/>
  <c r="L445" i="12"/>
  <c r="L446" i="12"/>
  <c r="L447" i="12"/>
  <c r="A447" i="12" s="1"/>
  <c r="L448" i="12"/>
  <c r="L449" i="12"/>
  <c r="L450" i="12"/>
  <c r="L451" i="12"/>
  <c r="L452" i="12"/>
  <c r="L453" i="12"/>
  <c r="L454" i="12"/>
  <c r="L455" i="12"/>
  <c r="A455" i="12" s="1"/>
  <c r="L456" i="12"/>
  <c r="L457" i="12"/>
  <c r="L458" i="12"/>
  <c r="L459" i="12"/>
  <c r="L460" i="12"/>
  <c r="L461" i="12"/>
  <c r="L462" i="12"/>
  <c r="L463" i="12"/>
  <c r="A463" i="12" s="1"/>
  <c r="L464" i="12"/>
  <c r="L465" i="12"/>
  <c r="L466" i="12"/>
  <c r="L467" i="12"/>
  <c r="L468" i="12"/>
  <c r="L469" i="12"/>
  <c r="L470" i="12"/>
  <c r="L471" i="12"/>
  <c r="A471" i="12" s="1"/>
  <c r="L472" i="12"/>
  <c r="A472" i="12" s="1"/>
  <c r="L473" i="12"/>
  <c r="A473" i="12" s="1"/>
  <c r="L474" i="12"/>
  <c r="L475" i="12"/>
  <c r="L476" i="12"/>
  <c r="L477" i="12"/>
  <c r="L478" i="12"/>
  <c r="L479" i="12"/>
  <c r="L480" i="12"/>
  <c r="L481" i="12"/>
  <c r="A481" i="12" s="1"/>
  <c r="L482" i="12"/>
  <c r="L483" i="12"/>
  <c r="L484" i="12"/>
  <c r="L485" i="12"/>
  <c r="L486" i="12"/>
  <c r="L487" i="12"/>
  <c r="A487" i="12" s="1"/>
  <c r="L488" i="12"/>
  <c r="A488" i="12" s="1"/>
  <c r="L489" i="12"/>
  <c r="A489" i="12" s="1"/>
  <c r="L490" i="12"/>
  <c r="L491" i="12"/>
  <c r="L492" i="12"/>
  <c r="L493" i="12"/>
  <c r="L494" i="12"/>
  <c r="A494" i="12" s="1"/>
  <c r="L495" i="12"/>
  <c r="A495" i="12" s="1"/>
  <c r="L496" i="12"/>
  <c r="A496" i="12" s="1"/>
  <c r="L497" i="12"/>
  <c r="A497" i="12" s="1"/>
  <c r="L498" i="12"/>
  <c r="L499" i="12"/>
  <c r="L500" i="12"/>
  <c r="L501" i="12"/>
  <c r="L502" i="12"/>
  <c r="A502" i="12" s="1"/>
  <c r="L503" i="12"/>
  <c r="A503" i="12" s="1"/>
  <c r="L504" i="12"/>
  <c r="A504" i="12" s="1"/>
  <c r="L505" i="12"/>
  <c r="A505" i="12" s="1"/>
  <c r="L506" i="12"/>
  <c r="L507" i="12"/>
  <c r="L508" i="12"/>
  <c r="L509" i="12"/>
  <c r="L510" i="12"/>
  <c r="A510" i="12" s="1"/>
  <c r="L511" i="12"/>
  <c r="A511" i="12" s="1"/>
  <c r="L512" i="12"/>
  <c r="A512" i="12" s="1"/>
  <c r="L513" i="12"/>
  <c r="A513" i="12" s="1"/>
  <c r="L514" i="12"/>
  <c r="L515" i="12"/>
  <c r="L516" i="12"/>
  <c r="L517" i="12"/>
  <c r="L518" i="12"/>
  <c r="A518" i="12" s="1"/>
  <c r="L519" i="12"/>
  <c r="A519" i="12" s="1"/>
  <c r="L520" i="12"/>
  <c r="A520" i="12" s="1"/>
  <c r="L521" i="12"/>
  <c r="A521" i="12" s="1"/>
  <c r="L522" i="12"/>
  <c r="L523" i="12"/>
  <c r="L524" i="12"/>
  <c r="L525" i="12"/>
  <c r="L526" i="12"/>
  <c r="A526" i="12" s="1"/>
  <c r="L527" i="12"/>
  <c r="A527" i="12" s="1"/>
  <c r="L528" i="12"/>
  <c r="A528" i="12" s="1"/>
  <c r="L529" i="12"/>
  <c r="A529" i="12" s="1"/>
  <c r="L530" i="12"/>
  <c r="L531" i="12"/>
  <c r="L532" i="12"/>
  <c r="L533" i="12"/>
  <c r="L534" i="12"/>
  <c r="A534" i="12" s="1"/>
  <c r="L535" i="12"/>
  <c r="A535" i="12" s="1"/>
  <c r="L536" i="12"/>
  <c r="A536" i="12" s="1"/>
  <c r="L537" i="12"/>
  <c r="A537" i="12" s="1"/>
  <c r="L538" i="12"/>
  <c r="L539" i="12"/>
  <c r="L540" i="12"/>
  <c r="L541" i="12"/>
  <c r="L542" i="12"/>
  <c r="A542" i="12" s="1"/>
  <c r="L543" i="12"/>
  <c r="A543" i="12" s="1"/>
  <c r="L544" i="12"/>
  <c r="A544" i="12" s="1"/>
  <c r="L545" i="12"/>
  <c r="A545" i="12" s="1"/>
  <c r="L546" i="12"/>
  <c r="L547" i="12"/>
  <c r="L548" i="12"/>
  <c r="L549" i="12"/>
  <c r="L550" i="12"/>
  <c r="A550" i="12" s="1"/>
  <c r="L551" i="12"/>
  <c r="A551" i="12" s="1"/>
  <c r="L552" i="12"/>
  <c r="A552" i="12" s="1"/>
  <c r="L553" i="12"/>
  <c r="A553" i="12" s="1"/>
  <c r="L554" i="12"/>
  <c r="L555" i="12"/>
  <c r="L556" i="12"/>
  <c r="L557" i="12"/>
  <c r="L558" i="12"/>
  <c r="A558" i="12" s="1"/>
  <c r="L559" i="12"/>
  <c r="A559" i="12" s="1"/>
  <c r="L560" i="12"/>
  <c r="A560" i="12" s="1"/>
  <c r="L561" i="12"/>
  <c r="A561" i="12" s="1"/>
  <c r="L562" i="12"/>
  <c r="L563" i="12"/>
  <c r="L564" i="12"/>
  <c r="L565" i="12"/>
  <c r="L566" i="12"/>
  <c r="A566" i="12" s="1"/>
  <c r="L567" i="12"/>
  <c r="A567" i="12" s="1"/>
  <c r="L568" i="12"/>
  <c r="A568" i="12" s="1"/>
  <c r="L569" i="12"/>
  <c r="A569" i="12" s="1"/>
  <c r="L570" i="12"/>
  <c r="L571" i="12"/>
  <c r="L572" i="12"/>
  <c r="L573" i="12"/>
  <c r="L574" i="12"/>
  <c r="A574" i="12" s="1"/>
  <c r="L575" i="12"/>
  <c r="A575" i="12" s="1"/>
  <c r="L576" i="12"/>
  <c r="A576" i="12" s="1"/>
  <c r="L577" i="12"/>
  <c r="A577" i="12" s="1"/>
  <c r="L578" i="12"/>
  <c r="L579" i="12"/>
  <c r="L580" i="12"/>
  <c r="L581" i="12"/>
  <c r="L582" i="12"/>
  <c r="A582" i="12" s="1"/>
  <c r="L583" i="12"/>
  <c r="A583" i="12" s="1"/>
  <c r="L584" i="12"/>
  <c r="A584" i="12" s="1"/>
  <c r="L585" i="12"/>
  <c r="A585" i="12" s="1"/>
  <c r="L586" i="12"/>
  <c r="L587" i="12"/>
  <c r="L588" i="12"/>
  <c r="L589" i="12"/>
  <c r="L590" i="12"/>
  <c r="A590" i="12" s="1"/>
  <c r="L591" i="12"/>
  <c r="A591" i="12" s="1"/>
  <c r="L592" i="12"/>
  <c r="A592" i="12" s="1"/>
  <c r="L593" i="12"/>
  <c r="A593" i="12" s="1"/>
  <c r="L594" i="12"/>
  <c r="L595" i="12"/>
  <c r="L596" i="12"/>
  <c r="L597" i="12"/>
  <c r="L598" i="12"/>
  <c r="A598" i="12" s="1"/>
  <c r="L599" i="12"/>
  <c r="A599" i="12" s="1"/>
  <c r="L600" i="12"/>
  <c r="A600" i="12" s="1"/>
  <c r="L601" i="12"/>
  <c r="A601" i="12" s="1"/>
  <c r="L602" i="12"/>
  <c r="L603" i="12"/>
  <c r="L604" i="12"/>
  <c r="L605" i="12"/>
  <c r="L606" i="12"/>
  <c r="A606" i="12" s="1"/>
  <c r="L607" i="12"/>
  <c r="A607" i="12" s="1"/>
  <c r="L608" i="12"/>
  <c r="A608" i="12" s="1"/>
  <c r="L609" i="12"/>
  <c r="A609" i="12" s="1"/>
  <c r="L610" i="12"/>
  <c r="L611" i="12"/>
  <c r="L612" i="12"/>
  <c r="L613" i="12"/>
  <c r="L614" i="12"/>
  <c r="A614" i="12" s="1"/>
  <c r="L615" i="12"/>
  <c r="A615" i="12" s="1"/>
  <c r="L616" i="12"/>
  <c r="A616" i="12" s="1"/>
  <c r="L617" i="12"/>
  <c r="A617" i="12" s="1"/>
  <c r="L618" i="12"/>
  <c r="L619" i="12"/>
  <c r="L620" i="12"/>
  <c r="L621" i="12"/>
  <c r="L622" i="12"/>
  <c r="A622" i="12" s="1"/>
  <c r="L623" i="12"/>
  <c r="A623" i="12" s="1"/>
  <c r="L624" i="12"/>
  <c r="A624" i="12" s="1"/>
  <c r="L625" i="12"/>
  <c r="A625" i="12" s="1"/>
  <c r="L626" i="12"/>
  <c r="L627" i="12"/>
  <c r="L628" i="12"/>
  <c r="L629" i="12"/>
  <c r="L630" i="12"/>
  <c r="A630" i="12" s="1"/>
  <c r="L631" i="12"/>
  <c r="A631" i="12" s="1"/>
  <c r="L632" i="12"/>
  <c r="A632" i="12" s="1"/>
  <c r="L633" i="12"/>
  <c r="A633" i="12" s="1"/>
  <c r="L634" i="12"/>
  <c r="L635" i="12"/>
  <c r="L636" i="12"/>
  <c r="L637" i="12"/>
  <c r="A637" i="12" s="1"/>
  <c r="L638" i="12"/>
  <c r="A638" i="12" s="1"/>
  <c r="L639" i="12"/>
  <c r="A639" i="12" s="1"/>
  <c r="L640" i="12"/>
  <c r="A640" i="12" s="1"/>
  <c r="L641" i="12"/>
  <c r="A641" i="12" s="1"/>
  <c r="L642" i="12"/>
  <c r="L643" i="12"/>
  <c r="L644" i="12"/>
  <c r="L645" i="12"/>
  <c r="L646" i="12"/>
  <c r="A646" i="12" s="1"/>
  <c r="L647" i="12"/>
  <c r="A647" i="12" s="1"/>
  <c r="L648" i="12"/>
  <c r="A648" i="12" s="1"/>
  <c r="L649" i="12"/>
  <c r="A649" i="12" s="1"/>
  <c r="L650" i="12"/>
  <c r="L651" i="12"/>
  <c r="L652" i="12"/>
  <c r="L653" i="12"/>
  <c r="A653" i="12" s="1"/>
  <c r="L654" i="12"/>
  <c r="A654" i="12" s="1"/>
  <c r="L655" i="12"/>
  <c r="A655" i="12" s="1"/>
  <c r="L656" i="12"/>
  <c r="A656" i="12" s="1"/>
  <c r="L657" i="12"/>
  <c r="A657" i="12" s="1"/>
  <c r="L658" i="12"/>
  <c r="L659" i="12"/>
  <c r="L660" i="12"/>
  <c r="L661" i="12"/>
  <c r="L662" i="12"/>
  <c r="A662" i="12" s="1"/>
  <c r="L663" i="12"/>
  <c r="A663" i="12" s="1"/>
  <c r="L664" i="12"/>
  <c r="A664" i="12" s="1"/>
  <c r="L665" i="12"/>
  <c r="A665" i="12" s="1"/>
  <c r="L666" i="12"/>
  <c r="L667" i="12"/>
  <c r="L668" i="12"/>
  <c r="L669" i="12"/>
  <c r="A669" i="12" s="1"/>
  <c r="L670" i="12"/>
  <c r="A670" i="12" s="1"/>
  <c r="L671" i="12"/>
  <c r="A671" i="12" s="1"/>
  <c r="L672" i="12"/>
  <c r="A672" i="12" s="1"/>
  <c r="L673" i="12"/>
  <c r="A673" i="12" s="1"/>
  <c r="L674" i="12"/>
  <c r="L675" i="12"/>
  <c r="L676" i="12"/>
  <c r="L677" i="12"/>
  <c r="L678" i="12"/>
  <c r="A678" i="12" s="1"/>
  <c r="L679" i="12"/>
  <c r="A679" i="12" s="1"/>
  <c r="L680" i="12"/>
  <c r="A680" i="12" s="1"/>
  <c r="L681" i="12"/>
  <c r="A681" i="12" s="1"/>
  <c r="L682" i="12"/>
  <c r="L683" i="12"/>
  <c r="L684" i="12"/>
  <c r="L685" i="12"/>
  <c r="A685" i="12" s="1"/>
  <c r="L686" i="12"/>
  <c r="A686" i="12" s="1"/>
  <c r="L687" i="12"/>
  <c r="A687" i="12" s="1"/>
  <c r="L688" i="12"/>
  <c r="A688" i="12" s="1"/>
  <c r="L689" i="12"/>
  <c r="A689" i="12" s="1"/>
  <c r="L690" i="12"/>
  <c r="L691" i="12"/>
  <c r="L692" i="12"/>
  <c r="L693" i="12"/>
  <c r="L694" i="12"/>
  <c r="A694" i="12" s="1"/>
  <c r="L695" i="12"/>
  <c r="A695" i="12" s="1"/>
  <c r="L696" i="12"/>
  <c r="A696" i="12" s="1"/>
  <c r="L697" i="12"/>
  <c r="A697" i="12" s="1"/>
  <c r="L698" i="12"/>
  <c r="L699" i="12"/>
  <c r="L700" i="12"/>
  <c r="L701" i="12"/>
  <c r="A701" i="12" s="1"/>
  <c r="L702" i="12"/>
  <c r="A702" i="12" s="1"/>
  <c r="L703" i="12"/>
  <c r="A703" i="12" s="1"/>
  <c r="L704" i="12"/>
  <c r="A704" i="12" s="1"/>
  <c r="L705" i="12"/>
  <c r="A705" i="12" s="1"/>
  <c r="L706" i="12"/>
  <c r="L707" i="12"/>
  <c r="L708" i="12"/>
  <c r="L709" i="12"/>
  <c r="L710" i="12"/>
  <c r="A710" i="12" s="1"/>
  <c r="L711" i="12"/>
  <c r="A711" i="12" s="1"/>
  <c r="L712" i="12"/>
  <c r="A712" i="12" s="1"/>
  <c r="L713" i="12"/>
  <c r="A713" i="12" s="1"/>
  <c r="L714" i="12"/>
  <c r="L715" i="12"/>
  <c r="L716" i="12"/>
  <c r="L717" i="12"/>
  <c r="A717" i="12" s="1"/>
  <c r="L718" i="12"/>
  <c r="A718" i="12" s="1"/>
  <c r="L719" i="12"/>
  <c r="A719" i="12" s="1"/>
  <c r="L720" i="12"/>
  <c r="A720" i="12" s="1"/>
  <c r="L721" i="12"/>
  <c r="A721" i="12" s="1"/>
  <c r="L722" i="12"/>
  <c r="L723" i="12"/>
  <c r="L724" i="12"/>
  <c r="L725" i="12"/>
  <c r="L726" i="12"/>
  <c r="A726" i="12" s="1"/>
  <c r="L727" i="12"/>
  <c r="A727" i="12" s="1"/>
  <c r="L728" i="12"/>
  <c r="A728" i="12" s="1"/>
  <c r="L729" i="12"/>
  <c r="A729" i="12" s="1"/>
  <c r="L730" i="12"/>
  <c r="L731" i="12"/>
  <c r="L732" i="12"/>
  <c r="L733" i="12"/>
  <c r="A733" i="12" s="1"/>
  <c r="L734" i="12"/>
  <c r="A734" i="12" s="1"/>
  <c r="L735" i="12"/>
  <c r="A735" i="12" s="1"/>
  <c r="L736" i="12"/>
  <c r="A736" i="12" s="1"/>
  <c r="L737" i="12"/>
  <c r="A737" i="12" s="1"/>
  <c r="L738" i="12"/>
  <c r="L739" i="12"/>
  <c r="L740" i="12"/>
  <c r="L741" i="12"/>
  <c r="L742" i="12"/>
  <c r="A742" i="12" s="1"/>
  <c r="L743" i="12"/>
  <c r="A743" i="12" s="1"/>
  <c r="L744" i="12"/>
  <c r="A744" i="12" s="1"/>
  <c r="L745" i="12"/>
  <c r="A745" i="12" s="1"/>
  <c r="L746" i="12"/>
  <c r="L747" i="12"/>
  <c r="L748" i="12"/>
  <c r="L749" i="12"/>
  <c r="A749" i="12" s="1"/>
  <c r="L750" i="12"/>
  <c r="A750" i="12" s="1"/>
  <c r="L751" i="12"/>
  <c r="A751" i="12" s="1"/>
  <c r="L752" i="12"/>
  <c r="A752" i="12" s="1"/>
  <c r="L753" i="12"/>
  <c r="A753" i="12" s="1"/>
  <c r="L754" i="12"/>
  <c r="L755" i="12"/>
  <c r="L756" i="12"/>
  <c r="L757" i="12"/>
  <c r="L758" i="12"/>
  <c r="A758" i="12" s="1"/>
  <c r="L759" i="12"/>
  <c r="A759" i="12" s="1"/>
  <c r="L760" i="12"/>
  <c r="A760" i="12" s="1"/>
  <c r="L761" i="12"/>
  <c r="A761" i="12" s="1"/>
  <c r="L762" i="12"/>
  <c r="L763" i="12"/>
  <c r="L764" i="12"/>
  <c r="L765" i="12"/>
  <c r="A765" i="12" s="1"/>
  <c r="L766" i="12"/>
  <c r="A766" i="12" s="1"/>
  <c r="L767" i="12"/>
  <c r="A767" i="12" s="1"/>
  <c r="L768" i="12"/>
  <c r="A768" i="12" s="1"/>
  <c r="L769" i="12"/>
  <c r="A769" i="12" s="1"/>
  <c r="L770" i="12"/>
  <c r="L771" i="12"/>
  <c r="L772" i="12"/>
  <c r="L773" i="12"/>
  <c r="L774" i="12"/>
  <c r="A774" i="12" s="1"/>
  <c r="L775" i="12"/>
  <c r="A775" i="12" s="1"/>
  <c r="L776" i="12"/>
  <c r="A776" i="12" s="1"/>
  <c r="L777" i="12"/>
  <c r="A777" i="12" s="1"/>
  <c r="L778" i="12"/>
  <c r="L779" i="12"/>
  <c r="L780" i="12"/>
  <c r="L781" i="12"/>
  <c r="A781" i="12" s="1"/>
  <c r="L782" i="12"/>
  <c r="A782" i="12" s="1"/>
  <c r="L783" i="12"/>
  <c r="A783" i="12" s="1"/>
  <c r="L784" i="12"/>
  <c r="A784" i="12" s="1"/>
  <c r="L785" i="12"/>
  <c r="A785" i="12" s="1"/>
  <c r="L786" i="12"/>
  <c r="L787" i="12"/>
  <c r="L788" i="12"/>
  <c r="L789" i="12"/>
  <c r="L790" i="12"/>
  <c r="A790" i="12" s="1"/>
  <c r="L791" i="12"/>
  <c r="A791" i="12" s="1"/>
  <c r="L792" i="12"/>
  <c r="A792" i="12" s="1"/>
  <c r="L793" i="12"/>
  <c r="A793" i="12" s="1"/>
  <c r="L794" i="12"/>
  <c r="L795" i="12"/>
  <c r="L796" i="12"/>
  <c r="L797" i="12"/>
  <c r="A797" i="12" s="1"/>
  <c r="L798" i="12"/>
  <c r="A798" i="12" s="1"/>
  <c r="L799" i="12"/>
  <c r="A799" i="12" s="1"/>
  <c r="L800" i="12"/>
  <c r="A800" i="12" s="1"/>
  <c r="L801" i="12"/>
  <c r="A801" i="12" s="1"/>
  <c r="L802" i="12"/>
  <c r="L803" i="12"/>
  <c r="L804" i="12"/>
  <c r="L805" i="12"/>
  <c r="L806" i="12"/>
  <c r="A806" i="12" s="1"/>
  <c r="L807" i="12"/>
  <c r="A807" i="12" s="1"/>
  <c r="L808" i="12"/>
  <c r="A808" i="12" s="1"/>
  <c r="L809" i="12"/>
  <c r="A809" i="12" s="1"/>
  <c r="L810" i="12"/>
  <c r="L811" i="12"/>
  <c r="L812" i="12"/>
  <c r="L813" i="12"/>
  <c r="A813" i="12" s="1"/>
  <c r="L814" i="12"/>
  <c r="A814" i="12" s="1"/>
  <c r="L815" i="12"/>
  <c r="A815" i="12" s="1"/>
  <c r="L816" i="12"/>
  <c r="A816" i="12" s="1"/>
  <c r="L817" i="12"/>
  <c r="A817" i="12" s="1"/>
  <c r="L818" i="12"/>
  <c r="L819" i="12"/>
  <c r="L820" i="12"/>
  <c r="L821" i="12"/>
  <c r="L822" i="12"/>
  <c r="A822" i="12" s="1"/>
  <c r="L823" i="12"/>
  <c r="A823" i="12" s="1"/>
  <c r="L824" i="12"/>
  <c r="A824" i="12" s="1"/>
  <c r="L825" i="12"/>
  <c r="A825" i="12" s="1"/>
  <c r="L826" i="12"/>
  <c r="L827" i="12"/>
  <c r="L828" i="12"/>
  <c r="L829" i="12"/>
  <c r="A829" i="12" s="1"/>
  <c r="L830" i="12"/>
  <c r="A830" i="12" s="1"/>
  <c r="L831" i="12"/>
  <c r="A831" i="12" s="1"/>
  <c r="L832" i="12"/>
  <c r="A832" i="12" s="1"/>
  <c r="L833" i="12"/>
  <c r="A833" i="12" s="1"/>
  <c r="L834" i="12"/>
  <c r="L835" i="12"/>
  <c r="L836" i="12"/>
  <c r="L837" i="12"/>
  <c r="L838" i="12"/>
  <c r="A838" i="12" s="1"/>
  <c r="L839" i="12"/>
  <c r="A839" i="12" s="1"/>
  <c r="L840" i="12"/>
  <c r="A840" i="12" s="1"/>
  <c r="L841" i="12"/>
  <c r="A841" i="12" s="1"/>
  <c r="L842" i="12"/>
  <c r="L843" i="12"/>
  <c r="L844" i="12"/>
  <c r="L845" i="12"/>
  <c r="A845" i="12" s="1"/>
  <c r="L846" i="12"/>
  <c r="A846" i="12" s="1"/>
  <c r="L847" i="12"/>
  <c r="A847" i="12" s="1"/>
  <c r="L848" i="12"/>
  <c r="A848" i="12" s="1"/>
  <c r="L849" i="12"/>
  <c r="A849" i="12" s="1"/>
  <c r="L850" i="12"/>
  <c r="L851" i="12"/>
  <c r="L852" i="12"/>
  <c r="L853" i="12"/>
  <c r="A853" i="12" s="1"/>
  <c r="L854" i="12"/>
  <c r="A854" i="12" s="1"/>
  <c r="L855" i="12"/>
  <c r="A855" i="12" s="1"/>
  <c r="L856" i="12"/>
  <c r="A856" i="12" s="1"/>
  <c r="L857" i="12"/>
  <c r="A857" i="12" s="1"/>
  <c r="L858" i="12"/>
  <c r="L859" i="12"/>
  <c r="L860" i="12"/>
  <c r="L861" i="12"/>
  <c r="A861" i="12" s="1"/>
  <c r="L862" i="12"/>
  <c r="A862" i="12" s="1"/>
  <c r="L863" i="12"/>
  <c r="A863" i="12" s="1"/>
  <c r="L864" i="12"/>
  <c r="A864" i="12" s="1"/>
  <c r="L865" i="12"/>
  <c r="A865" i="12" s="1"/>
  <c r="L866" i="12"/>
  <c r="L867" i="12"/>
  <c r="L868" i="12"/>
  <c r="L869" i="12"/>
  <c r="A869" i="12" s="1"/>
  <c r="L870" i="12"/>
  <c r="A870" i="12" s="1"/>
  <c r="L871" i="12"/>
  <c r="A871" i="12" s="1"/>
  <c r="L872" i="12"/>
  <c r="A872" i="12" s="1"/>
  <c r="L873" i="12"/>
  <c r="A873" i="12" s="1"/>
  <c r="L874" i="12"/>
  <c r="L875" i="12"/>
  <c r="L876" i="12"/>
  <c r="L877" i="12"/>
  <c r="A877" i="12" s="1"/>
  <c r="L878" i="12"/>
  <c r="A878" i="12" s="1"/>
  <c r="L879" i="12"/>
  <c r="A879" i="12" s="1"/>
  <c r="L880" i="12"/>
  <c r="A880" i="12" s="1"/>
  <c r="L881" i="12"/>
  <c r="A881" i="12" s="1"/>
  <c r="L882" i="12"/>
  <c r="L883" i="12"/>
  <c r="L884" i="12"/>
  <c r="L885" i="12"/>
  <c r="A885" i="12" s="1"/>
  <c r="L886" i="12"/>
  <c r="A886" i="12" s="1"/>
  <c r="L887" i="12"/>
  <c r="A887" i="12" s="1"/>
  <c r="L888" i="12"/>
  <c r="A888" i="12" s="1"/>
  <c r="L889" i="12"/>
  <c r="A889" i="12" s="1"/>
  <c r="L890" i="12"/>
  <c r="L891" i="12"/>
  <c r="L892" i="12"/>
  <c r="L893" i="12"/>
  <c r="A893" i="12" s="1"/>
  <c r="L894" i="12"/>
  <c r="A894" i="12" s="1"/>
  <c r="L895" i="12"/>
  <c r="A895" i="12" s="1"/>
  <c r="L896" i="12"/>
  <c r="A896" i="12" s="1"/>
  <c r="L897" i="12"/>
  <c r="A897" i="12" s="1"/>
  <c r="L898" i="12"/>
  <c r="L899" i="12"/>
  <c r="L900" i="12"/>
  <c r="L901" i="12"/>
  <c r="A901" i="12" s="1"/>
  <c r="L902" i="12"/>
  <c r="A902" i="12" s="1"/>
  <c r="L903" i="12"/>
  <c r="A903" i="12" s="1"/>
  <c r="L904" i="12"/>
  <c r="A904" i="12" s="1"/>
  <c r="L905" i="12"/>
  <c r="A905" i="12" s="1"/>
  <c r="L906" i="12"/>
  <c r="L907" i="12"/>
  <c r="L908" i="12"/>
  <c r="L909" i="12"/>
  <c r="A909" i="12" s="1"/>
  <c r="L910" i="12"/>
  <c r="A910" i="12" s="1"/>
  <c r="L911" i="12"/>
  <c r="A911" i="12" s="1"/>
  <c r="L912" i="12"/>
  <c r="A912" i="12" s="1"/>
  <c r="L913" i="12"/>
  <c r="A913" i="12" s="1"/>
  <c r="L914" i="12"/>
  <c r="L915" i="12"/>
  <c r="L916" i="12"/>
  <c r="L917" i="12"/>
  <c r="A917" i="12" s="1"/>
  <c r="L918" i="12"/>
  <c r="A918" i="12" s="1"/>
  <c r="L919" i="12"/>
  <c r="A919" i="12" s="1"/>
  <c r="L920" i="12"/>
  <c r="A920" i="12" s="1"/>
  <c r="L921" i="12"/>
  <c r="A921" i="12" s="1"/>
  <c r="L922" i="12"/>
  <c r="L923" i="12"/>
  <c r="L924" i="12"/>
  <c r="L925" i="12"/>
  <c r="A925" i="12" s="1"/>
  <c r="L926" i="12"/>
  <c r="A926" i="12" s="1"/>
  <c r="L927" i="12"/>
  <c r="A927" i="12" s="1"/>
  <c r="L928" i="12"/>
  <c r="A928" i="12" s="1"/>
  <c r="L929" i="12"/>
  <c r="A929" i="12" s="1"/>
  <c r="L930" i="12"/>
  <c r="L931" i="12"/>
  <c r="L932" i="12"/>
  <c r="L933" i="12"/>
  <c r="A933" i="12" s="1"/>
  <c r="L934" i="12"/>
  <c r="A934" i="12" s="1"/>
  <c r="L935" i="12"/>
  <c r="A935" i="12" s="1"/>
  <c r="L936" i="12"/>
  <c r="A936" i="12" s="1"/>
  <c r="L937" i="12"/>
  <c r="A937" i="12" s="1"/>
  <c r="L938" i="12"/>
  <c r="L939" i="12"/>
  <c r="L940" i="12"/>
  <c r="L941" i="12"/>
  <c r="A941" i="12" s="1"/>
  <c r="L942" i="12"/>
  <c r="A942" i="12" s="1"/>
  <c r="L943" i="12"/>
  <c r="A943" i="12" s="1"/>
  <c r="L944" i="12"/>
  <c r="A944" i="12" s="1"/>
  <c r="L945" i="12"/>
  <c r="A945" i="12" s="1"/>
  <c r="L946" i="12"/>
  <c r="L947" i="12"/>
  <c r="L948" i="12"/>
  <c r="L949" i="12"/>
  <c r="A949" i="12" s="1"/>
  <c r="L950" i="12"/>
  <c r="A950" i="12" s="1"/>
  <c r="L951" i="12"/>
  <c r="A951" i="12" s="1"/>
  <c r="L952" i="12"/>
  <c r="A952" i="12" s="1"/>
  <c r="L953" i="12"/>
  <c r="A953" i="12" s="1"/>
  <c r="L954" i="12"/>
  <c r="L955" i="12"/>
  <c r="L956" i="12"/>
  <c r="L957" i="12"/>
  <c r="A957" i="12" s="1"/>
  <c r="L958" i="12"/>
  <c r="A958" i="12" s="1"/>
  <c r="L959" i="12"/>
  <c r="A959" i="12" s="1"/>
  <c r="L960" i="12"/>
  <c r="A960" i="12" s="1"/>
  <c r="L961" i="12"/>
  <c r="A961" i="12" s="1"/>
  <c r="L962" i="12"/>
  <c r="L963" i="12"/>
  <c r="L964" i="12"/>
  <c r="L965" i="12"/>
  <c r="A965" i="12" s="1"/>
  <c r="L966" i="12"/>
  <c r="A966" i="12" s="1"/>
  <c r="L967" i="12"/>
  <c r="A967" i="12" s="1"/>
  <c r="L968" i="12"/>
  <c r="A968" i="12" s="1"/>
  <c r="L969" i="12"/>
  <c r="A969" i="12" s="1"/>
  <c r="L970" i="12"/>
  <c r="L971" i="12"/>
  <c r="L972" i="12"/>
  <c r="L973" i="12"/>
  <c r="A973" i="12" s="1"/>
  <c r="L974" i="12"/>
  <c r="A974" i="12" s="1"/>
  <c r="L975" i="12"/>
  <c r="A975" i="12" s="1"/>
  <c r="L976" i="12"/>
  <c r="A976" i="12" s="1"/>
  <c r="L977" i="12"/>
  <c r="A977" i="12" s="1"/>
  <c r="L978" i="12"/>
  <c r="L979" i="12"/>
  <c r="L980" i="12"/>
  <c r="L981" i="12"/>
  <c r="A981" i="12" s="1"/>
  <c r="L982" i="12"/>
  <c r="A982" i="12" s="1"/>
  <c r="L983" i="12"/>
  <c r="A983" i="12" s="1"/>
  <c r="L984" i="12"/>
  <c r="A984" i="12" s="1"/>
  <c r="L985" i="12"/>
  <c r="A985" i="12" s="1"/>
  <c r="L986" i="12"/>
  <c r="L987" i="12"/>
  <c r="L988" i="12"/>
  <c r="L989" i="12"/>
  <c r="A989" i="12" s="1"/>
  <c r="L990" i="12"/>
  <c r="A990" i="12" s="1"/>
  <c r="L991" i="12"/>
  <c r="A991" i="12" s="1"/>
  <c r="L992" i="12"/>
  <c r="A992" i="12" s="1"/>
  <c r="L993" i="12"/>
  <c r="A993" i="12" s="1"/>
  <c r="L994" i="12"/>
  <c r="L995" i="12"/>
  <c r="L996" i="12"/>
  <c r="L997" i="12"/>
  <c r="A997" i="12" s="1"/>
  <c r="L998" i="12"/>
  <c r="A998" i="12" s="1"/>
  <c r="L999" i="12"/>
  <c r="A999" i="12" s="1"/>
  <c r="L1000" i="12"/>
  <c r="A1000" i="12" s="1"/>
  <c r="L1001" i="12"/>
  <c r="A1001" i="12" s="1"/>
  <c r="L1002" i="12"/>
  <c r="L1003" i="12"/>
  <c r="L1004" i="12"/>
  <c r="L1005" i="12"/>
  <c r="A1005" i="12" s="1"/>
  <c r="L1006" i="12"/>
  <c r="A1006" i="12" s="1"/>
  <c r="L1007" i="12"/>
  <c r="A1007" i="12" s="1"/>
  <c r="L1008" i="12"/>
  <c r="A1008" i="12" s="1"/>
  <c r="L1009" i="12"/>
  <c r="A1009" i="12" s="1"/>
  <c r="L1010" i="12"/>
  <c r="L1011" i="12"/>
  <c r="L1012" i="12"/>
  <c r="L1013" i="12"/>
  <c r="A1013" i="12" s="1"/>
  <c r="L1014" i="12"/>
  <c r="A1014" i="12" s="1"/>
  <c r="L1015" i="12"/>
  <c r="A1015" i="12" s="1"/>
  <c r="L1016" i="12"/>
  <c r="A1016" i="12" s="1"/>
  <c r="L1017" i="12"/>
  <c r="A1017" i="12" s="1"/>
  <c r="L1018" i="12"/>
  <c r="L1019" i="12"/>
  <c r="L1020" i="12"/>
  <c r="L1021" i="12"/>
  <c r="A1021" i="12" s="1"/>
  <c r="L1022" i="12"/>
  <c r="A1022" i="12" s="1"/>
  <c r="L1023" i="12"/>
  <c r="A1023" i="12" s="1"/>
  <c r="L1024" i="12"/>
  <c r="A1024" i="12" s="1"/>
  <c r="L1025" i="12"/>
  <c r="A1025" i="12" s="1"/>
  <c r="L1026" i="12"/>
  <c r="L1027" i="12"/>
  <c r="L1028" i="12"/>
  <c r="L1029" i="12"/>
  <c r="A1029" i="12" s="1"/>
  <c r="L1030" i="12"/>
  <c r="A1030" i="12" s="1"/>
  <c r="L1031" i="12"/>
  <c r="A1031" i="12" s="1"/>
  <c r="L1032" i="12"/>
  <c r="A1032" i="12" s="1"/>
  <c r="L1033" i="12"/>
  <c r="A1033" i="12" s="1"/>
  <c r="L1034" i="12"/>
  <c r="L1035" i="12"/>
  <c r="L1036" i="12"/>
  <c r="L1037" i="12"/>
  <c r="A1037" i="12" s="1"/>
  <c r="L1038" i="12"/>
  <c r="A1038" i="12" s="1"/>
  <c r="L1039" i="12"/>
  <c r="A1039" i="12" s="1"/>
  <c r="L1040" i="12"/>
  <c r="A1040" i="12" s="1"/>
  <c r="L1041" i="12"/>
  <c r="A1041" i="12" s="1"/>
  <c r="L1042" i="12"/>
  <c r="L1043" i="12"/>
  <c r="L1044" i="12"/>
  <c r="L1045" i="12"/>
  <c r="A1045" i="12" s="1"/>
  <c r="L1046" i="12"/>
  <c r="A1046" i="12" s="1"/>
  <c r="L1047" i="12"/>
  <c r="A1047" i="12" s="1"/>
  <c r="L1048" i="12"/>
  <c r="A1048" i="12" s="1"/>
  <c r="L1049" i="12"/>
  <c r="A1049" i="12" s="1"/>
  <c r="L1050" i="12"/>
  <c r="L1051" i="12"/>
  <c r="L1052" i="12"/>
  <c r="L1053" i="12"/>
  <c r="A1053" i="12" s="1"/>
  <c r="L1054" i="12"/>
  <c r="A1054" i="12" s="1"/>
  <c r="L1055" i="12"/>
  <c r="A1055" i="12" s="1"/>
  <c r="L1056" i="12"/>
  <c r="A1056" i="12" s="1"/>
  <c r="L1057" i="12"/>
  <c r="A1057" i="12" s="1"/>
  <c r="L1058" i="12"/>
  <c r="L1059" i="12"/>
  <c r="L1060" i="12"/>
  <c r="L1061" i="12"/>
  <c r="A1061" i="12" s="1"/>
  <c r="L1062" i="12"/>
  <c r="A1062" i="12" s="1"/>
  <c r="L1063" i="12"/>
  <c r="A1063" i="12" s="1"/>
  <c r="L1064" i="12"/>
  <c r="A1064" i="12" s="1"/>
  <c r="L1065" i="12"/>
  <c r="A1065" i="12" s="1"/>
  <c r="L1066" i="12"/>
  <c r="L1067" i="12"/>
  <c r="L1068" i="12"/>
  <c r="L1069" i="12"/>
  <c r="A1069" i="12" s="1"/>
  <c r="L1070" i="12"/>
  <c r="A1070" i="12" s="1"/>
  <c r="L1071" i="12"/>
  <c r="A1071" i="12" s="1"/>
  <c r="L1072" i="12"/>
  <c r="A1072" i="12" s="1"/>
  <c r="L1073" i="12"/>
  <c r="A1073" i="12" s="1"/>
  <c r="L1074" i="12"/>
  <c r="L1075" i="12"/>
  <c r="L1076" i="12"/>
  <c r="L1077" i="12"/>
  <c r="A1077" i="12" s="1"/>
  <c r="L1078" i="12"/>
  <c r="A1078" i="12" s="1"/>
  <c r="L1079" i="12"/>
  <c r="A1079" i="12" s="1"/>
  <c r="L1080" i="12"/>
  <c r="A1080" i="12" s="1"/>
  <c r="L1081" i="12"/>
  <c r="A1081" i="12" s="1"/>
  <c r="L1082" i="12"/>
  <c r="L1083" i="12"/>
  <c r="L1084" i="12"/>
  <c r="L1085" i="12"/>
  <c r="A1085" i="12" s="1"/>
  <c r="L1086" i="12"/>
  <c r="A1086" i="12" s="1"/>
  <c r="L1087" i="12"/>
  <c r="A1087" i="12" s="1"/>
  <c r="L1088" i="12"/>
  <c r="A1088" i="12" s="1"/>
  <c r="L1089" i="12"/>
  <c r="A1089" i="12" s="1"/>
  <c r="L1090" i="12"/>
  <c r="L1091" i="12"/>
  <c r="L1092" i="12"/>
  <c r="L1093" i="12"/>
  <c r="A1093" i="12" s="1"/>
  <c r="L1094" i="12"/>
  <c r="A1094" i="12" s="1"/>
  <c r="L1095" i="12"/>
  <c r="A1095" i="12" s="1"/>
  <c r="L1096" i="12"/>
  <c r="A1096" i="12" s="1"/>
  <c r="L1097" i="12"/>
  <c r="A1097" i="12" s="1"/>
  <c r="L1098" i="12"/>
  <c r="L1099" i="12"/>
  <c r="L1100" i="12"/>
  <c r="L1101" i="12"/>
  <c r="A1101" i="12" s="1"/>
  <c r="L1102" i="12"/>
  <c r="A1102" i="12" s="1"/>
  <c r="L1103" i="12"/>
  <c r="A1103" i="12" s="1"/>
  <c r="L1104" i="12"/>
  <c r="A1104" i="12" s="1"/>
  <c r="L1105" i="12"/>
  <c r="A1105" i="12" s="1"/>
  <c r="L1106" i="12"/>
  <c r="L1107" i="12"/>
  <c r="L1108" i="12"/>
  <c r="L1109" i="12"/>
  <c r="A1109" i="12" s="1"/>
  <c r="L1110" i="12"/>
  <c r="A1110" i="12" s="1"/>
  <c r="L1111" i="12"/>
  <c r="A1111" i="12" s="1"/>
  <c r="L1112" i="12"/>
  <c r="A1112" i="12" s="1"/>
  <c r="L1113" i="12"/>
  <c r="A1113" i="12" s="1"/>
  <c r="L1114" i="12"/>
  <c r="L1115" i="12"/>
  <c r="L1116" i="12"/>
  <c r="L1117" i="12"/>
  <c r="A1117" i="12" s="1"/>
  <c r="L1118" i="12"/>
  <c r="A1118" i="12" s="1"/>
  <c r="L1119" i="12"/>
  <c r="A1119" i="12" s="1"/>
  <c r="L1120" i="12"/>
  <c r="A1120" i="12" s="1"/>
  <c r="L1121" i="12"/>
  <c r="A1121" i="12" s="1"/>
  <c r="L1122" i="12"/>
  <c r="L1123" i="12"/>
  <c r="L1124" i="12"/>
  <c r="L1125" i="12"/>
  <c r="A1125" i="12" s="1"/>
  <c r="L1126" i="12"/>
  <c r="A1126" i="12" s="1"/>
  <c r="L1127" i="12"/>
  <c r="A1127" i="12" s="1"/>
  <c r="L1128" i="12"/>
  <c r="A1128" i="12" s="1"/>
  <c r="L1129" i="12"/>
  <c r="A1129" i="12" s="1"/>
  <c r="L1130" i="12"/>
  <c r="L1131" i="12"/>
  <c r="L1132" i="12"/>
  <c r="L1133" i="12"/>
  <c r="A1133" i="12" s="1"/>
  <c r="L1134" i="12"/>
  <c r="A1134" i="12" s="1"/>
  <c r="L1135" i="12"/>
  <c r="A1135" i="12" s="1"/>
  <c r="L1136" i="12"/>
  <c r="A1136" i="12" s="1"/>
  <c r="L1137" i="12"/>
  <c r="A1137" i="12" s="1"/>
  <c r="L1138" i="12"/>
  <c r="L1139" i="12"/>
  <c r="L1140" i="12"/>
  <c r="L1141" i="12"/>
  <c r="A1141" i="12" s="1"/>
  <c r="L1142" i="12"/>
  <c r="A1142" i="12" s="1"/>
  <c r="L1143" i="12"/>
  <c r="A1143" i="12" s="1"/>
  <c r="L1144" i="12"/>
  <c r="A1144" i="12" s="1"/>
  <c r="L1145" i="12"/>
  <c r="A1145" i="12" s="1"/>
  <c r="L1146" i="12"/>
  <c r="L1147" i="12"/>
  <c r="L1148" i="12"/>
  <c r="L1149" i="12"/>
  <c r="A1149" i="12" s="1"/>
  <c r="L1150" i="12"/>
  <c r="A1150" i="12" s="1"/>
  <c r="L1151" i="12"/>
  <c r="A1151" i="12" s="1"/>
  <c r="L1152" i="12"/>
  <c r="A1152" i="12" s="1"/>
  <c r="L1153" i="12"/>
  <c r="A1153" i="12" s="1"/>
  <c r="L1154" i="12"/>
  <c r="L1155" i="12"/>
  <c r="L1156" i="12"/>
  <c r="L1157" i="12"/>
  <c r="A1157" i="12" s="1"/>
  <c r="L1158" i="12"/>
  <c r="A1158" i="12" s="1"/>
  <c r="L1159" i="12"/>
  <c r="A1159" i="12" s="1"/>
  <c r="L1160" i="12"/>
  <c r="A1160" i="12" s="1"/>
  <c r="L1161" i="12"/>
  <c r="A1161" i="12" s="1"/>
  <c r="L1162" i="12"/>
  <c r="L1163" i="12"/>
  <c r="L1164" i="12"/>
  <c r="L1165" i="12"/>
  <c r="A1165" i="12" s="1"/>
  <c r="L1166" i="12"/>
  <c r="L1167" i="12"/>
  <c r="A1167" i="12" s="1"/>
  <c r="L1168" i="12"/>
  <c r="A1168" i="12" s="1"/>
  <c r="L1169" i="12"/>
  <c r="A1169" i="12" s="1"/>
  <c r="L1170" i="12"/>
  <c r="L1171" i="12"/>
  <c r="L1172" i="12"/>
  <c r="L1173" i="12"/>
  <c r="A1173" i="12" s="1"/>
  <c r="L1174" i="12"/>
  <c r="L1175" i="12"/>
  <c r="A1175" i="12" s="1"/>
  <c r="L1176" i="12"/>
  <c r="A1176" i="12" s="1"/>
  <c r="L1177" i="12"/>
  <c r="A1177" i="12" s="1"/>
  <c r="L1178" i="12"/>
  <c r="L1179" i="12"/>
  <c r="L1180" i="12"/>
  <c r="L1181" i="12"/>
  <c r="A1181" i="12" s="1"/>
  <c r="L1182" i="12"/>
  <c r="L1183" i="12"/>
  <c r="A1183" i="12" s="1"/>
  <c r="L1184" i="12"/>
  <c r="A1184" i="12" s="1"/>
  <c r="L1185" i="12"/>
  <c r="A1185" i="12" s="1"/>
  <c r="L1186" i="12"/>
  <c r="A1186" i="12" s="1"/>
  <c r="L1187" i="12"/>
  <c r="L1188" i="12"/>
  <c r="L1189" i="12"/>
  <c r="A1189" i="12" s="1"/>
  <c r="L1190" i="12"/>
  <c r="L1191" i="12"/>
  <c r="A1191" i="12" s="1"/>
  <c r="L1192" i="12"/>
  <c r="A1192" i="12" s="1"/>
  <c r="L1193" i="12"/>
  <c r="A1193" i="12" s="1"/>
  <c r="L1194" i="12"/>
  <c r="L1195" i="12"/>
  <c r="L1196" i="12"/>
  <c r="L1197" i="12"/>
  <c r="A1197" i="12" s="1"/>
  <c r="L1198" i="12"/>
  <c r="L1199" i="12"/>
  <c r="A1199" i="12" s="1"/>
  <c r="L1200" i="12"/>
  <c r="A1200" i="12" s="1"/>
  <c r="L1201" i="12"/>
  <c r="A1201" i="12" s="1"/>
  <c r="L1202" i="12"/>
  <c r="L1203" i="12"/>
  <c r="L1204" i="12"/>
  <c r="L1205" i="12"/>
  <c r="A1205" i="12" s="1"/>
  <c r="L1206" i="12"/>
  <c r="L1207" i="12"/>
  <c r="A1207" i="12" s="1"/>
  <c r="L1208" i="12"/>
  <c r="A1208" i="12" s="1"/>
  <c r="L1209" i="12"/>
  <c r="A1209" i="12" s="1"/>
  <c r="L1210" i="12"/>
  <c r="L1211" i="12"/>
  <c r="L1212" i="12"/>
  <c r="L1213" i="12"/>
  <c r="A1213" i="12" s="1"/>
  <c r="L1214" i="12"/>
  <c r="L1215" i="12"/>
  <c r="A1215" i="12" s="1"/>
  <c r="L1216" i="12"/>
  <c r="A1216" i="12" s="1"/>
  <c r="L1217" i="12"/>
  <c r="A1217" i="12" s="1"/>
  <c r="L1218" i="12"/>
  <c r="A1218" i="12" s="1"/>
  <c r="L1219" i="12"/>
  <c r="L1220" i="12"/>
  <c r="L1221" i="12"/>
  <c r="L1222" i="12"/>
  <c r="L1223" i="12"/>
  <c r="A1223" i="12" s="1"/>
  <c r="L1224" i="12"/>
  <c r="L1225" i="12"/>
  <c r="A1225" i="12" s="1"/>
  <c r="L1226" i="12"/>
  <c r="A1226" i="12" s="1"/>
  <c r="L1227" i="12"/>
  <c r="L1228" i="12"/>
  <c r="L1229" i="12"/>
  <c r="A1229" i="12" s="1"/>
  <c r="L1230" i="12"/>
  <c r="L1231" i="12"/>
  <c r="A1231" i="12" s="1"/>
  <c r="L1232" i="12"/>
  <c r="L1233" i="12"/>
  <c r="A1233" i="12" s="1"/>
  <c r="L1234" i="12"/>
  <c r="L1235" i="12"/>
  <c r="L1236" i="12"/>
  <c r="L1237" i="12"/>
  <c r="L1238" i="12"/>
  <c r="L1239" i="12"/>
  <c r="L1240" i="12"/>
  <c r="L1241" i="12"/>
  <c r="A1241" i="12" s="1"/>
  <c r="L1242" i="12"/>
  <c r="L1243" i="12"/>
  <c r="L1244" i="12"/>
  <c r="L1245" i="12"/>
  <c r="A1245" i="12" s="1"/>
  <c r="L1246" i="12"/>
  <c r="L1247" i="12"/>
  <c r="A1247" i="12" s="1"/>
  <c r="L1248" i="12"/>
  <c r="L1249" i="12"/>
  <c r="A1249" i="12" s="1"/>
  <c r="L1250" i="12"/>
  <c r="L1251" i="12"/>
  <c r="L1252" i="12"/>
  <c r="L1253" i="12"/>
  <c r="A1253" i="12" s="1"/>
  <c r="L1254" i="12"/>
  <c r="L1255" i="12"/>
  <c r="A1255" i="12" s="1"/>
  <c r="L1256" i="12"/>
  <c r="A1256" i="12" s="1"/>
  <c r="L1257" i="12"/>
  <c r="A1257" i="12" s="1"/>
  <c r="L1258" i="12"/>
  <c r="L1259" i="12"/>
  <c r="L1260" i="12"/>
  <c r="L1261" i="12"/>
  <c r="A1261" i="12" s="1"/>
  <c r="L1262" i="12"/>
  <c r="L1263" i="12"/>
  <c r="A1263" i="12" s="1"/>
  <c r="L1264" i="12"/>
  <c r="L1265" i="12"/>
  <c r="A1265" i="12" s="1"/>
  <c r="L1266" i="12"/>
  <c r="A1266" i="12" s="1"/>
  <c r="L1267" i="12"/>
  <c r="L1268" i="12"/>
  <c r="L1269" i="12"/>
  <c r="A1269" i="12" s="1"/>
  <c r="L1270" i="12"/>
  <c r="L1271" i="12"/>
  <c r="A1271" i="12" s="1"/>
  <c r="L1272" i="12"/>
  <c r="A1272" i="12" s="1"/>
  <c r="L1273" i="12"/>
  <c r="A1273" i="12" s="1"/>
  <c r="L1274" i="12"/>
  <c r="L1275" i="12"/>
  <c r="L1276" i="12"/>
  <c r="L1277" i="12"/>
  <c r="A1277" i="12" s="1"/>
  <c r="L1278" i="12"/>
  <c r="L1279" i="12"/>
  <c r="A1279" i="12" s="1"/>
  <c r="L1280" i="12"/>
  <c r="A1280" i="12" s="1"/>
  <c r="L1281" i="12"/>
  <c r="A1281" i="12" s="1"/>
  <c r="L1282" i="12"/>
  <c r="A1282" i="12" s="1"/>
  <c r="L1283" i="12"/>
  <c r="L1284" i="12"/>
  <c r="L1285" i="12"/>
  <c r="L1286" i="12"/>
  <c r="L1287" i="12"/>
  <c r="A1287" i="12" s="1"/>
  <c r="L1288" i="12"/>
  <c r="L1289" i="12"/>
  <c r="A1289" i="12" s="1"/>
  <c r="L1290" i="12"/>
  <c r="A1290" i="12" s="1"/>
  <c r="L1291" i="12"/>
  <c r="L1292" i="12"/>
  <c r="L1293" i="12"/>
  <c r="A1293" i="12" s="1"/>
  <c r="L1294" i="12"/>
  <c r="L1295" i="12"/>
  <c r="A1295" i="12" s="1"/>
  <c r="L1296" i="12"/>
  <c r="L1297" i="12"/>
  <c r="A1297" i="12" s="1"/>
  <c r="L1298" i="12"/>
  <c r="L1299" i="12"/>
  <c r="L1300" i="12"/>
  <c r="L1301" i="12"/>
  <c r="L1302" i="12"/>
  <c r="L1303" i="12"/>
  <c r="L1304" i="12"/>
  <c r="L1305" i="12"/>
  <c r="A1305" i="12" s="1"/>
  <c r="L1306" i="12"/>
  <c r="L1307" i="12"/>
  <c r="L1308" i="12"/>
  <c r="L1309" i="12"/>
  <c r="A1309" i="12" s="1"/>
  <c r="L1310" i="12"/>
  <c r="L1311" i="12"/>
  <c r="A1311" i="12" s="1"/>
  <c r="L1312" i="12"/>
  <c r="L1313" i="12"/>
  <c r="A1313" i="12" s="1"/>
  <c r="L1314" i="12"/>
  <c r="L1315" i="12"/>
  <c r="L1316" i="12"/>
  <c r="L1317" i="12"/>
  <c r="A1317" i="12" s="1"/>
  <c r="L1318" i="12"/>
  <c r="L1319" i="12"/>
  <c r="A1319" i="12" s="1"/>
  <c r="L1320" i="12"/>
  <c r="A1320" i="12" s="1"/>
  <c r="L1321" i="12"/>
  <c r="A1321" i="12" s="1"/>
  <c r="L1322" i="12"/>
  <c r="L1323" i="12"/>
  <c r="L1324" i="12"/>
  <c r="L1325" i="12"/>
  <c r="A1325" i="12" s="1"/>
  <c r="L1326" i="12"/>
  <c r="A3" i="12"/>
  <c r="A4" i="12"/>
  <c r="A5" i="12"/>
  <c r="A6" i="12"/>
  <c r="A8" i="12"/>
  <c r="A9" i="12"/>
  <c r="A10" i="12"/>
  <c r="A11" i="12"/>
  <c r="A12" i="12"/>
  <c r="A13" i="12"/>
  <c r="A14" i="12"/>
  <c r="A16" i="12"/>
  <c r="A17" i="12"/>
  <c r="A18" i="12"/>
  <c r="A19" i="12"/>
  <c r="A20" i="12"/>
  <c r="A21" i="12"/>
  <c r="A22" i="12"/>
  <c r="A24" i="12"/>
  <c r="A25" i="12"/>
  <c r="A26" i="12"/>
  <c r="A27" i="12"/>
  <c r="A28" i="12"/>
  <c r="A29" i="12"/>
  <c r="A30" i="12"/>
  <c r="A32" i="12"/>
  <c r="A33" i="12"/>
  <c r="A34" i="12"/>
  <c r="A35" i="12"/>
  <c r="A36" i="12"/>
  <c r="A37" i="12"/>
  <c r="A38" i="12"/>
  <c r="A40" i="12"/>
  <c r="A41" i="12"/>
  <c r="A42" i="12"/>
  <c r="A43" i="12"/>
  <c r="A44" i="12"/>
  <c r="A45" i="12"/>
  <c r="A46" i="12"/>
  <c r="A48" i="12"/>
  <c r="A49" i="12"/>
  <c r="A50" i="12"/>
  <c r="A51" i="12"/>
  <c r="A52" i="12"/>
  <c r="A53" i="12"/>
  <c r="A54" i="12"/>
  <c r="A56" i="12"/>
  <c r="A57" i="12"/>
  <c r="A58" i="12"/>
  <c r="A59" i="12"/>
  <c r="A60" i="12"/>
  <c r="A61" i="12"/>
  <c r="A62" i="12"/>
  <c r="A64" i="12"/>
  <c r="A65" i="12"/>
  <c r="A66" i="12"/>
  <c r="A67" i="12"/>
  <c r="A68" i="12"/>
  <c r="A69" i="12"/>
  <c r="A70" i="12"/>
  <c r="A72" i="12"/>
  <c r="A73" i="12"/>
  <c r="A74" i="12"/>
  <c r="A75" i="12"/>
  <c r="A76" i="12"/>
  <c r="A77" i="12"/>
  <c r="A78" i="12"/>
  <c r="A80" i="12"/>
  <c r="A81" i="12"/>
  <c r="A82" i="12"/>
  <c r="A83" i="12"/>
  <c r="A84" i="12"/>
  <c r="A85" i="12"/>
  <c r="A86" i="12"/>
  <c r="A88" i="12"/>
  <c r="A89" i="12"/>
  <c r="A90" i="12"/>
  <c r="A91" i="12"/>
  <c r="A92" i="12"/>
  <c r="A93" i="12"/>
  <c r="A94" i="12"/>
  <c r="A96" i="12"/>
  <c r="A97" i="12"/>
  <c r="A98" i="12"/>
  <c r="A99" i="12"/>
  <c r="A100" i="12"/>
  <c r="A101" i="12"/>
  <c r="A102" i="12"/>
  <c r="A104" i="12"/>
  <c r="A105" i="12"/>
  <c r="A106" i="12"/>
  <c r="A107" i="12"/>
  <c r="A108" i="12"/>
  <c r="A109" i="12"/>
  <c r="A110" i="12"/>
  <c r="A112" i="12"/>
  <c r="A113" i="12"/>
  <c r="A114" i="12"/>
  <c r="A115" i="12"/>
  <c r="A116" i="12"/>
  <c r="A117" i="12"/>
  <c r="A118" i="12"/>
  <c r="A120" i="12"/>
  <c r="A121" i="12"/>
  <c r="A122" i="12"/>
  <c r="A123" i="12"/>
  <c r="A124" i="12"/>
  <c r="A125" i="12"/>
  <c r="A126" i="12"/>
  <c r="A128" i="12"/>
  <c r="A129" i="12"/>
  <c r="A130" i="12"/>
  <c r="A131" i="12"/>
  <c r="A132" i="12"/>
  <c r="A133" i="12"/>
  <c r="A134" i="12"/>
  <c r="A136" i="12"/>
  <c r="A137" i="12"/>
  <c r="A138" i="12"/>
  <c r="A139" i="12"/>
  <c r="A140" i="12"/>
  <c r="A141" i="12"/>
  <c r="A142" i="12"/>
  <c r="A144" i="12"/>
  <c r="A145" i="12"/>
  <c r="A146" i="12"/>
  <c r="A147" i="12"/>
  <c r="A148" i="12"/>
  <c r="A149" i="12"/>
  <c r="A150" i="12"/>
  <c r="A152" i="12"/>
  <c r="A153" i="12"/>
  <c r="A154" i="12"/>
  <c r="A155" i="12"/>
  <c r="A156" i="12"/>
  <c r="A157" i="12"/>
  <c r="A158" i="12"/>
  <c r="A160" i="12"/>
  <c r="A161" i="12"/>
  <c r="A162" i="12"/>
  <c r="A163" i="12"/>
  <c r="A164" i="12"/>
  <c r="A165" i="12"/>
  <c r="A166" i="12"/>
  <c r="A168" i="12"/>
  <c r="A169" i="12"/>
  <c r="A170" i="12"/>
  <c r="A171" i="12"/>
  <c r="A172" i="12"/>
  <c r="A173" i="12"/>
  <c r="A174" i="12"/>
  <c r="A176" i="12"/>
  <c r="A177" i="12"/>
  <c r="A178" i="12"/>
  <c r="A179" i="12"/>
  <c r="A180" i="12"/>
  <c r="A181" i="12"/>
  <c r="A182" i="12"/>
  <c r="A184" i="12"/>
  <c r="A185" i="12"/>
  <c r="A186" i="12"/>
  <c r="A187" i="12"/>
  <c r="A188" i="12"/>
  <c r="A189" i="12"/>
  <c r="A190" i="12"/>
  <c r="A192" i="12"/>
  <c r="A193" i="12"/>
  <c r="A194" i="12"/>
  <c r="A195" i="12"/>
  <c r="A196" i="12"/>
  <c r="A197" i="12"/>
  <c r="A198" i="12"/>
  <c r="A200" i="12"/>
  <c r="A201" i="12"/>
  <c r="A202" i="12"/>
  <c r="A203" i="12"/>
  <c r="A204" i="12"/>
  <c r="A205" i="12"/>
  <c r="A206" i="12"/>
  <c r="A208" i="12"/>
  <c r="A209" i="12"/>
  <c r="A210" i="12"/>
  <c r="A211" i="12"/>
  <c r="A212" i="12"/>
  <c r="A213" i="12"/>
  <c r="A214" i="12"/>
  <c r="A216" i="12"/>
  <c r="A217" i="12"/>
  <c r="A218" i="12"/>
  <c r="A219" i="12"/>
  <c r="A220" i="12"/>
  <c r="A221" i="12"/>
  <c r="A222" i="12"/>
  <c r="A224" i="12"/>
  <c r="A225" i="12"/>
  <c r="A226" i="12"/>
  <c r="A227" i="12"/>
  <c r="A228" i="12"/>
  <c r="A229" i="12"/>
  <c r="A230" i="12"/>
  <c r="A232" i="12"/>
  <c r="A233" i="12"/>
  <c r="A234" i="12"/>
  <c r="A235" i="12"/>
  <c r="A236" i="12"/>
  <c r="A237" i="12"/>
  <c r="A238" i="12"/>
  <c r="A240" i="12"/>
  <c r="A241" i="12"/>
  <c r="A242" i="12"/>
  <c r="A243" i="12"/>
  <c r="A244" i="12"/>
  <c r="A245" i="12"/>
  <c r="A246" i="12"/>
  <c r="A248" i="12"/>
  <c r="A249" i="12"/>
  <c r="A250" i="12"/>
  <c r="A251" i="12"/>
  <c r="A252" i="12"/>
  <c r="A253" i="12"/>
  <c r="A254" i="12"/>
  <c r="A256" i="12"/>
  <c r="A257" i="12"/>
  <c r="A258" i="12"/>
  <c r="A259" i="12"/>
  <c r="A260" i="12"/>
  <c r="A261" i="12"/>
  <c r="A262" i="12"/>
  <c r="A264" i="12"/>
  <c r="A265" i="12"/>
  <c r="A266" i="12"/>
  <c r="A267" i="12"/>
  <c r="A268" i="12"/>
  <c r="A269" i="12"/>
  <c r="A270" i="12"/>
  <c r="A272" i="12"/>
  <c r="A273" i="12"/>
  <c r="A274" i="12"/>
  <c r="A275" i="12"/>
  <c r="A276" i="12"/>
  <c r="A277" i="12"/>
  <c r="A278" i="12"/>
  <c r="A280" i="12"/>
  <c r="A281" i="12"/>
  <c r="A282" i="12"/>
  <c r="A283" i="12"/>
  <c r="A284" i="12"/>
  <c r="A285" i="12"/>
  <c r="A286" i="12"/>
  <c r="A288" i="12"/>
  <c r="A289" i="12"/>
  <c r="A290" i="12"/>
  <c r="A291" i="12"/>
  <c r="A292" i="12"/>
  <c r="A293" i="12"/>
  <c r="A294" i="12"/>
  <c r="A296" i="12"/>
  <c r="A297" i="12"/>
  <c r="A298" i="12"/>
  <c r="A299" i="12"/>
  <c r="A300" i="12"/>
  <c r="A301" i="12"/>
  <c r="A302" i="12"/>
  <c r="A304" i="12"/>
  <c r="A305" i="12"/>
  <c r="A306" i="12"/>
  <c r="A307" i="12"/>
  <c r="A308" i="12"/>
  <c r="A309" i="12"/>
  <c r="A310" i="12"/>
  <c r="A312" i="12"/>
  <c r="A313" i="12"/>
  <c r="A314" i="12"/>
  <c r="A315" i="12"/>
  <c r="A316" i="12"/>
  <c r="A317" i="12"/>
  <c r="A318" i="12"/>
  <c r="A320" i="12"/>
  <c r="A321" i="12"/>
  <c r="A322" i="12"/>
  <c r="A323" i="12"/>
  <c r="A324" i="12"/>
  <c r="A325" i="12"/>
  <c r="A326" i="12"/>
  <c r="A328" i="12"/>
  <c r="A329" i="12"/>
  <c r="A330" i="12"/>
  <c r="A331" i="12"/>
  <c r="A332" i="12"/>
  <c r="A333" i="12"/>
  <c r="A334" i="12"/>
  <c r="A336" i="12"/>
  <c r="A337" i="12"/>
  <c r="A338" i="12"/>
  <c r="A339" i="12"/>
  <c r="A340" i="12"/>
  <c r="A341" i="12"/>
  <c r="A342" i="12"/>
  <c r="A344" i="12"/>
  <c r="A345" i="12"/>
  <c r="A346" i="12"/>
  <c r="A347" i="12"/>
  <c r="A348" i="12"/>
  <c r="A349" i="12"/>
  <c r="A350" i="12"/>
  <c r="A352" i="12"/>
  <c r="A353" i="12"/>
  <c r="A354" i="12"/>
  <c r="A355" i="12"/>
  <c r="A356" i="12"/>
  <c r="A357" i="12"/>
  <c r="A358" i="12"/>
  <c r="A360" i="12"/>
  <c r="A361" i="12"/>
  <c r="A362" i="12"/>
  <c r="A363" i="12"/>
  <c r="A364" i="12"/>
  <c r="A365" i="12"/>
  <c r="A366" i="12"/>
  <c r="A368" i="12"/>
  <c r="A369" i="12"/>
  <c r="A370" i="12"/>
  <c r="A371" i="12"/>
  <c r="A372" i="12"/>
  <c r="A373" i="12"/>
  <c r="A374" i="12"/>
  <c r="A376" i="12"/>
  <c r="A377" i="12"/>
  <c r="A378" i="12"/>
  <c r="A379" i="12"/>
  <c r="A380" i="12"/>
  <c r="A381" i="12"/>
  <c r="A382" i="12"/>
  <c r="A384" i="12"/>
  <c r="A385" i="12"/>
  <c r="A386" i="12"/>
  <c r="A387" i="12"/>
  <c r="A388" i="12"/>
  <c r="A389" i="12"/>
  <c r="A390" i="12"/>
  <c r="A392" i="12"/>
  <c r="A393" i="12"/>
  <c r="A394" i="12"/>
  <c r="A395" i="12"/>
  <c r="A396" i="12"/>
  <c r="A397" i="12"/>
  <c r="A398" i="12"/>
  <c r="A400" i="12"/>
  <c r="A401" i="12"/>
  <c r="A402" i="12"/>
  <c r="A403" i="12"/>
  <c r="A404" i="12"/>
  <c r="A405" i="12"/>
  <c r="A406" i="12"/>
  <c r="A408" i="12"/>
  <c r="A409" i="12"/>
  <c r="A410" i="12"/>
  <c r="A411" i="12"/>
  <c r="A412" i="12"/>
  <c r="A413" i="12"/>
  <c r="A414" i="12"/>
  <c r="A416" i="12"/>
  <c r="A417" i="12"/>
  <c r="A418" i="12"/>
  <c r="A419" i="12"/>
  <c r="A420" i="12"/>
  <c r="A421" i="12"/>
  <c r="A422" i="12"/>
  <c r="A424" i="12"/>
  <c r="A425" i="12"/>
  <c r="A426" i="12"/>
  <c r="A427" i="12"/>
  <c r="A428" i="12"/>
  <c r="A429" i="12"/>
  <c r="A430" i="12"/>
  <c r="A432" i="12"/>
  <c r="A433" i="12"/>
  <c r="A434" i="12"/>
  <c r="A435" i="12"/>
  <c r="A436" i="12"/>
  <c r="A437" i="12"/>
  <c r="A438" i="12"/>
  <c r="A440" i="12"/>
  <c r="A441" i="12"/>
  <c r="A442" i="12"/>
  <c r="A443" i="12"/>
  <c r="A444" i="12"/>
  <c r="A445" i="12"/>
  <c r="A446" i="12"/>
  <c r="A448" i="12"/>
  <c r="A449" i="12"/>
  <c r="A450" i="12"/>
  <c r="A451" i="12"/>
  <c r="A452" i="12"/>
  <c r="A453" i="12"/>
  <c r="A454" i="12"/>
  <c r="A456" i="12"/>
  <c r="A457" i="12"/>
  <c r="A458" i="12"/>
  <c r="A459" i="12"/>
  <c r="A460" i="12"/>
  <c r="A461" i="12"/>
  <c r="A462" i="12"/>
  <c r="A464" i="12"/>
  <c r="A465" i="12"/>
  <c r="A466" i="12"/>
  <c r="A467" i="12"/>
  <c r="A468" i="12"/>
  <c r="A469" i="12"/>
  <c r="A470" i="12"/>
  <c r="A474" i="12"/>
  <c r="A475" i="12"/>
  <c r="A476" i="12"/>
  <c r="A477" i="12"/>
  <c r="A478" i="12"/>
  <c r="A479" i="12"/>
  <c r="A480" i="12"/>
  <c r="A482" i="12"/>
  <c r="A483" i="12"/>
  <c r="A484" i="12"/>
  <c r="A485" i="12"/>
  <c r="A486" i="12"/>
  <c r="A490" i="12"/>
  <c r="A491" i="12"/>
  <c r="A492" i="12"/>
  <c r="A493" i="12"/>
  <c r="A498" i="12"/>
  <c r="A499" i="12"/>
  <c r="A500" i="12"/>
  <c r="A501" i="12"/>
  <c r="A506" i="12"/>
  <c r="A507" i="12"/>
  <c r="A508" i="12"/>
  <c r="A509" i="12"/>
  <c r="A514" i="12"/>
  <c r="A515" i="12"/>
  <c r="A516" i="12"/>
  <c r="A517" i="12"/>
  <c r="A522" i="12"/>
  <c r="A523" i="12"/>
  <c r="A524" i="12"/>
  <c r="A525" i="12"/>
  <c r="A530" i="12"/>
  <c r="A531" i="12"/>
  <c r="A532" i="12"/>
  <c r="A533" i="12"/>
  <c r="A538" i="12"/>
  <c r="A539" i="12"/>
  <c r="A540" i="12"/>
  <c r="A541" i="12"/>
  <c r="A546" i="12"/>
  <c r="A547" i="12"/>
  <c r="A548" i="12"/>
  <c r="A549" i="12"/>
  <c r="A554" i="12"/>
  <c r="A555" i="12"/>
  <c r="A556" i="12"/>
  <c r="A557" i="12"/>
  <c r="A562" i="12"/>
  <c r="A563" i="12"/>
  <c r="A564" i="12"/>
  <c r="A565" i="12"/>
  <c r="A570" i="12"/>
  <c r="A571" i="12"/>
  <c r="A572" i="12"/>
  <c r="A573" i="12"/>
  <c r="A578" i="12"/>
  <c r="A579" i="12"/>
  <c r="A580" i="12"/>
  <c r="A581" i="12"/>
  <c r="A586" i="12"/>
  <c r="A587" i="12"/>
  <c r="A588" i="12"/>
  <c r="A589" i="12"/>
  <c r="A594" i="12"/>
  <c r="A595" i="12"/>
  <c r="A596" i="12"/>
  <c r="A597" i="12"/>
  <c r="A602" i="12"/>
  <c r="A603" i="12"/>
  <c r="A604" i="12"/>
  <c r="A605" i="12"/>
  <c r="A610" i="12"/>
  <c r="A611" i="12"/>
  <c r="A612" i="12"/>
  <c r="A613" i="12"/>
  <c r="A618" i="12"/>
  <c r="A619" i="12"/>
  <c r="A620" i="12"/>
  <c r="A621" i="12"/>
  <c r="A626" i="12"/>
  <c r="A627" i="12"/>
  <c r="A628" i="12"/>
  <c r="A629" i="12"/>
  <c r="A634" i="12"/>
  <c r="A635" i="12"/>
  <c r="A636" i="12"/>
  <c r="A642" i="12"/>
  <c r="A643" i="12"/>
  <c r="A644" i="12"/>
  <c r="A645" i="12"/>
  <c r="A650" i="12"/>
  <c r="A651" i="12"/>
  <c r="A652" i="12"/>
  <c r="A658" i="12"/>
  <c r="A659" i="12"/>
  <c r="A660" i="12"/>
  <c r="A661" i="12"/>
  <c r="A666" i="12"/>
  <c r="A667" i="12"/>
  <c r="A668" i="12"/>
  <c r="A674" i="12"/>
  <c r="A675" i="12"/>
  <c r="A676" i="12"/>
  <c r="A677" i="12"/>
  <c r="A682" i="12"/>
  <c r="A683" i="12"/>
  <c r="A684" i="12"/>
  <c r="A690" i="12"/>
  <c r="A691" i="12"/>
  <c r="A692" i="12"/>
  <c r="A693" i="12"/>
  <c r="A698" i="12"/>
  <c r="A699" i="12"/>
  <c r="A700" i="12"/>
  <c r="A706" i="12"/>
  <c r="A707" i="12"/>
  <c r="A708" i="12"/>
  <c r="A709" i="12"/>
  <c r="A714" i="12"/>
  <c r="A715" i="12"/>
  <c r="A716" i="12"/>
  <c r="A722" i="12"/>
  <c r="A723" i="12"/>
  <c r="A724" i="12"/>
  <c r="A725" i="12"/>
  <c r="A730" i="12"/>
  <c r="A731" i="12"/>
  <c r="A732" i="12"/>
  <c r="A738" i="12"/>
  <c r="A739" i="12"/>
  <c r="A740" i="12"/>
  <c r="A741" i="12"/>
  <c r="A746" i="12"/>
  <c r="A747" i="12"/>
  <c r="A748" i="12"/>
  <c r="A754" i="12"/>
  <c r="A755" i="12"/>
  <c r="A756" i="12"/>
  <c r="A757" i="12"/>
  <c r="A762" i="12"/>
  <c r="A763" i="12"/>
  <c r="A764" i="12"/>
  <c r="A770" i="12"/>
  <c r="A771" i="12"/>
  <c r="A772" i="12"/>
  <c r="A773" i="12"/>
  <c r="A778" i="12"/>
  <c r="A779" i="12"/>
  <c r="A780" i="12"/>
  <c r="A786" i="12"/>
  <c r="A787" i="12"/>
  <c r="A788" i="12"/>
  <c r="A789" i="12"/>
  <c r="A794" i="12"/>
  <c r="A795" i="12"/>
  <c r="A796" i="12"/>
  <c r="A802" i="12"/>
  <c r="A803" i="12"/>
  <c r="A804" i="12"/>
  <c r="A805" i="12"/>
  <c r="A810" i="12"/>
  <c r="A811" i="12"/>
  <c r="A812" i="12"/>
  <c r="A818" i="12"/>
  <c r="A819" i="12"/>
  <c r="A820" i="12"/>
  <c r="A821" i="12"/>
  <c r="A826" i="12"/>
  <c r="A827" i="12"/>
  <c r="A828" i="12"/>
  <c r="A834" i="12"/>
  <c r="A835" i="12"/>
  <c r="A836" i="12"/>
  <c r="A837" i="12"/>
  <c r="A842" i="12"/>
  <c r="A843" i="12"/>
  <c r="A844" i="12"/>
  <c r="A850" i="12"/>
  <c r="A851" i="12"/>
  <c r="A852" i="12"/>
  <c r="A858" i="12"/>
  <c r="A859" i="12"/>
  <c r="A860" i="12"/>
  <c r="A866" i="12"/>
  <c r="A867" i="12"/>
  <c r="A868" i="12"/>
  <c r="A874" i="12"/>
  <c r="A875" i="12"/>
  <c r="A876" i="12"/>
  <c r="A882" i="12"/>
  <c r="A883" i="12"/>
  <c r="A884" i="12"/>
  <c r="A890" i="12"/>
  <c r="A891" i="12"/>
  <c r="A892" i="12"/>
  <c r="A898" i="12"/>
  <c r="A899" i="12"/>
  <c r="A900" i="12"/>
  <c r="A906" i="12"/>
  <c r="A907" i="12"/>
  <c r="A908" i="12"/>
  <c r="A914" i="12"/>
  <c r="A915" i="12"/>
  <c r="A916" i="12"/>
  <c r="A922" i="12"/>
  <c r="A923" i="12"/>
  <c r="A924" i="12"/>
  <c r="A930" i="12"/>
  <c r="A931" i="12"/>
  <c r="A932" i="12"/>
  <c r="A938" i="12"/>
  <c r="A939" i="12"/>
  <c r="A940" i="12"/>
  <c r="A946" i="12"/>
  <c r="A947" i="12"/>
  <c r="A948" i="12"/>
  <c r="A954" i="12"/>
  <c r="A955" i="12"/>
  <c r="A956" i="12"/>
  <c r="A962" i="12"/>
  <c r="A963" i="12"/>
  <c r="A964" i="12"/>
  <c r="A970" i="12"/>
  <c r="A971" i="12"/>
  <c r="A972" i="12"/>
  <c r="A978" i="12"/>
  <c r="A979" i="12"/>
  <c r="A980" i="12"/>
  <c r="A986" i="12"/>
  <c r="A987" i="12"/>
  <c r="A988" i="12"/>
  <c r="A994" i="12"/>
  <c r="A995" i="12"/>
  <c r="A996" i="12"/>
  <c r="A1002" i="12"/>
  <c r="A1003" i="12"/>
  <c r="A1004" i="12"/>
  <c r="A1010" i="12"/>
  <c r="A1011" i="12"/>
  <c r="A1012" i="12"/>
  <c r="A1018" i="12"/>
  <c r="A1019" i="12"/>
  <c r="A1020" i="12"/>
  <c r="A1026" i="12"/>
  <c r="A1027" i="12"/>
  <c r="A1028" i="12"/>
  <c r="A1034" i="12"/>
  <c r="A1035" i="12"/>
  <c r="A1036" i="12"/>
  <c r="A1042" i="12"/>
  <c r="A1043" i="12"/>
  <c r="A1044" i="12"/>
  <c r="A1050" i="12"/>
  <c r="A1051" i="12"/>
  <c r="A1052" i="12"/>
  <c r="A1058" i="12"/>
  <c r="A1059" i="12"/>
  <c r="A1060" i="12"/>
  <c r="A1066" i="12"/>
  <c r="A1067" i="12"/>
  <c r="A1068" i="12"/>
  <c r="A1074" i="12"/>
  <c r="A1075" i="12"/>
  <c r="A1076" i="12"/>
  <c r="A1082" i="12"/>
  <c r="A1083" i="12"/>
  <c r="A1084" i="12"/>
  <c r="A1090" i="12"/>
  <c r="A1091" i="12"/>
  <c r="A1092" i="12"/>
  <c r="A1098" i="12"/>
  <c r="A1099" i="12"/>
  <c r="A1100" i="12"/>
  <c r="A1106" i="12"/>
  <c r="A1107" i="12"/>
  <c r="A1108" i="12"/>
  <c r="A1114" i="12"/>
  <c r="A1115" i="12"/>
  <c r="A1116" i="12"/>
  <c r="A1122" i="12"/>
  <c r="A1123" i="12"/>
  <c r="A1124" i="12"/>
  <c r="A1130" i="12"/>
  <c r="A1131" i="12"/>
  <c r="A1132" i="12"/>
  <c r="A1138" i="12"/>
  <c r="A1139" i="12"/>
  <c r="A1140" i="12"/>
  <c r="A1146" i="12"/>
  <c r="A1147" i="12"/>
  <c r="A1148" i="12"/>
  <c r="A1154" i="12"/>
  <c r="A1155" i="12"/>
  <c r="A1156" i="12"/>
  <c r="A1162" i="12"/>
  <c r="A1163" i="12"/>
  <c r="A1164" i="12"/>
  <c r="A1166" i="12"/>
  <c r="A1170" i="12"/>
  <c r="A1171" i="12"/>
  <c r="A1172" i="12"/>
  <c r="A1174" i="12"/>
  <c r="A1178" i="12"/>
  <c r="A1179" i="12"/>
  <c r="A1180" i="12"/>
  <c r="A1182" i="12"/>
  <c r="A1187" i="12"/>
  <c r="A1188" i="12"/>
  <c r="A1190" i="12"/>
  <c r="A1194" i="12"/>
  <c r="A1195" i="12"/>
  <c r="A1196" i="12"/>
  <c r="A1198" i="12"/>
  <c r="A1202" i="12"/>
  <c r="A1203" i="12"/>
  <c r="A1204" i="12"/>
  <c r="A1206" i="12"/>
  <c r="A1210" i="12"/>
  <c r="A1211" i="12"/>
  <c r="A1212" i="12"/>
  <c r="A1214" i="12"/>
  <c r="A1219" i="12"/>
  <c r="A1220" i="12"/>
  <c r="A1221" i="12"/>
  <c r="A1222" i="12"/>
  <c r="A1224" i="12"/>
  <c r="A1227" i="12"/>
  <c r="A1228" i="12"/>
  <c r="A1230" i="12"/>
  <c r="A1232" i="12"/>
  <c r="A1234" i="12"/>
  <c r="A1235" i="12"/>
  <c r="A1236" i="12"/>
  <c r="A1237" i="12"/>
  <c r="A1238" i="12"/>
  <c r="A1239" i="12"/>
  <c r="A1240" i="12"/>
  <c r="A1242" i="12"/>
  <c r="A1243" i="12"/>
  <c r="A1244" i="12"/>
  <c r="A1246" i="12"/>
  <c r="A1248" i="12"/>
  <c r="A1250" i="12"/>
  <c r="A1251" i="12"/>
  <c r="A1252" i="12"/>
  <c r="A1254" i="12"/>
  <c r="A1258" i="12"/>
  <c r="A1259" i="12"/>
  <c r="A1260" i="12"/>
  <c r="A1262" i="12"/>
  <c r="A1264" i="12"/>
  <c r="A1267" i="12"/>
  <c r="A1268" i="12"/>
  <c r="A1270" i="12"/>
  <c r="A1274" i="12"/>
  <c r="A1275" i="12"/>
  <c r="A1276" i="12"/>
  <c r="A1278" i="12"/>
  <c r="A1283" i="12"/>
  <c r="A1284" i="12"/>
  <c r="A1285" i="12"/>
  <c r="A1286" i="12"/>
  <c r="A1288" i="12"/>
  <c r="A1291" i="12"/>
  <c r="A1292" i="12"/>
  <c r="A1294" i="12"/>
  <c r="A1296" i="12"/>
  <c r="A1298" i="12"/>
  <c r="A1299" i="12"/>
  <c r="A1300" i="12"/>
  <c r="A1301" i="12"/>
  <c r="A1302" i="12"/>
  <c r="A1303" i="12"/>
  <c r="A1304" i="12"/>
  <c r="A1306" i="12"/>
  <c r="A1307" i="12"/>
  <c r="A1308" i="12"/>
  <c r="A1310" i="12"/>
  <c r="A1312" i="12"/>
  <c r="A1314" i="12"/>
  <c r="A1315" i="12"/>
  <c r="A1316" i="12"/>
  <c r="A1318" i="12"/>
  <c r="A1322" i="12"/>
  <c r="A1323" i="12"/>
  <c r="A1324" i="12"/>
  <c r="A1326" i="12"/>
  <c r="L2" i="12"/>
  <c r="A2" i="12" s="1"/>
  <c r="O11" i="12"/>
  <c r="O12" i="12"/>
  <c r="O13" i="12"/>
  <c r="O14" i="12"/>
  <c r="O15" i="12"/>
  <c r="O16" i="12"/>
  <c r="O17" i="12"/>
  <c r="O10" i="12"/>
  <c r="I1022" i="12" l="1" a="1"/>
  <c r="I1022" i="12" s="1"/>
  <c r="J1022" i="12" s="1" a="1"/>
  <c r="J1022" i="12" s="1"/>
  <c r="K1022" i="12" s="1"/>
  <c r="I1307" i="12" a="1"/>
  <c r="I1307" i="12" s="1"/>
  <c r="J1307" i="12" s="1" a="1"/>
  <c r="J1307" i="12" s="1"/>
  <c r="K1307" i="12" s="1"/>
  <c r="I1249" i="12" a="1"/>
  <c r="I1249" i="12" s="1"/>
  <c r="J1249" i="12" s="1" a="1"/>
  <c r="J1249" i="12" s="1"/>
  <c r="K1249" i="12" s="1"/>
  <c r="I1207" i="12" a="1"/>
  <c r="I1207" i="12" s="1"/>
  <c r="J1207" i="12" s="1" a="1"/>
  <c r="J1207" i="12" s="1"/>
  <c r="K1207" i="12" s="1"/>
  <c r="I1174" i="12" a="1"/>
  <c r="I1174" i="12" s="1"/>
  <c r="J1174" i="12" s="1" a="1"/>
  <c r="J1174" i="12" s="1"/>
  <c r="K1174" i="12" s="1"/>
  <c r="I1323" i="12" a="1"/>
  <c r="I1323" i="12" s="1"/>
  <c r="J1323" i="12" s="1" a="1"/>
  <c r="J1323" i="12" s="1"/>
  <c r="K1323" i="12" s="1"/>
  <c r="I1275" i="12" a="1"/>
  <c r="I1275" i="12" s="1"/>
  <c r="J1275" i="12" s="1" a="1"/>
  <c r="J1275" i="12" s="1"/>
  <c r="K1275" i="12" s="1"/>
  <c r="I1162" i="12" a="1"/>
  <c r="I1162" i="12" s="1"/>
  <c r="J1162" i="12" s="1" a="1"/>
  <c r="J1162" i="12" s="1"/>
  <c r="K1162" i="12" s="1"/>
  <c r="I1259" i="12" a="1"/>
  <c r="I1259" i="12" s="1"/>
  <c r="J1259" i="12" s="1" a="1"/>
  <c r="J1259" i="12" s="1"/>
  <c r="K1259" i="12" s="1"/>
  <c r="I1201" i="12" a="1"/>
  <c r="I1201" i="12" s="1"/>
  <c r="J1201" i="12" s="1" a="1"/>
  <c r="J1201" i="12" s="1"/>
  <c r="K1201" i="12" s="1"/>
  <c r="I1270" i="12" a="1"/>
  <c r="I1270" i="12" s="1"/>
  <c r="J1270" i="12" s="1" a="1"/>
  <c r="J1270" i="12" s="1"/>
  <c r="K1270" i="12" s="1"/>
  <c r="I1255" i="12" a="1"/>
  <c r="I1255" i="12" s="1"/>
  <c r="J1255" i="12" s="1" a="1"/>
  <c r="J1255" i="12" s="1"/>
  <c r="K1255" i="12" s="1"/>
  <c r="I1239" i="12" a="1"/>
  <c r="I1239" i="12" s="1"/>
  <c r="J1239" i="12" s="1" a="1"/>
  <c r="J1239" i="12" s="1"/>
  <c r="K1239" i="12" s="1"/>
  <c r="I1150" i="12" a="1"/>
  <c r="I1150" i="12" s="1"/>
  <c r="J1150" i="12" s="1" a="1"/>
  <c r="J1150" i="12" s="1"/>
  <c r="K1150" i="12" s="1"/>
  <c r="I1039" i="12" a="1"/>
  <c r="I1039" i="12" s="1"/>
  <c r="J1039" i="12" s="1" a="1"/>
  <c r="J1039" i="12" s="1"/>
  <c r="K1039" i="12" s="1"/>
  <c r="I970" i="12" a="1"/>
  <c r="I970" i="12" s="1"/>
  <c r="J970" i="12" s="1" a="1"/>
  <c r="J970" i="12" s="1"/>
  <c r="K970" i="12" s="1"/>
  <c r="I1318" i="12" a="1"/>
  <c r="I1318" i="12" s="1"/>
  <c r="J1318" i="12" s="1" a="1"/>
  <c r="J1318" i="12" s="1"/>
  <c r="K1318" i="12" s="1"/>
  <c r="I1276" i="12" a="1"/>
  <c r="I1276" i="12" s="1"/>
  <c r="J1276" i="12" s="1" a="1"/>
  <c r="J1276" i="12" s="1"/>
  <c r="K1276" i="12" s="1"/>
  <c r="I1228" i="12" a="1"/>
  <c r="I1228" i="12" s="1"/>
  <c r="J1228" i="12" s="1" a="1"/>
  <c r="J1228" i="12" s="1"/>
  <c r="K1228" i="12" s="1"/>
  <c r="I1120" i="12" a="1"/>
  <c r="I1120" i="12" s="1"/>
  <c r="J1120" i="12" s="1" a="1"/>
  <c r="J1120" i="12" s="1"/>
  <c r="K1120" i="12" s="1"/>
  <c r="I1287" i="12" a="1"/>
  <c r="I1287" i="12" s="1"/>
  <c r="J1287" i="12" s="1" a="1"/>
  <c r="J1287" i="12" s="1"/>
  <c r="K1287" i="12" s="1"/>
  <c r="I1223" i="12" a="1"/>
  <c r="I1223" i="12" s="1"/>
  <c r="J1223" i="12" s="1" a="1"/>
  <c r="J1223" i="12" s="1"/>
  <c r="K1223" i="12" s="1"/>
  <c r="I987" i="12" a="1"/>
  <c r="I987" i="12" s="1"/>
  <c r="J987" i="12" s="1" a="1"/>
  <c r="J987" i="12" s="1"/>
  <c r="K987" i="12" s="1"/>
  <c r="I1286" i="12" a="1"/>
  <c r="I1286" i="12" s="1"/>
  <c r="J1286" i="12" s="1" a="1"/>
  <c r="J1286" i="12" s="1"/>
  <c r="K1286" i="12" s="1"/>
  <c r="I1244" i="12" a="1"/>
  <c r="I1244" i="12" s="1"/>
  <c r="J1244" i="12" s="1" a="1"/>
  <c r="J1244" i="12" s="1"/>
  <c r="K1244" i="12" s="1"/>
  <c r="I1108" i="12" a="1"/>
  <c r="I1108" i="12" s="1"/>
  <c r="J1108" i="12" s="1" a="1"/>
  <c r="J1108" i="12" s="1"/>
  <c r="K1108" i="12" s="1"/>
  <c r="I65" i="12" a="1"/>
  <c r="I65" i="12" s="1"/>
  <c r="J65" i="12" s="1" a="1"/>
  <c r="J65" i="12" s="1"/>
  <c r="K65" i="12" s="1"/>
  <c r="I1254" i="12" a="1"/>
  <c r="I1254" i="12" s="1"/>
  <c r="J1254" i="12" s="1" a="1"/>
  <c r="J1254" i="12" s="1"/>
  <c r="K1254" i="12" s="1"/>
  <c r="I1238" i="12" a="1"/>
  <c r="I1238" i="12" s="1"/>
  <c r="J1238" i="12" s="1" a="1"/>
  <c r="J1238" i="12" s="1"/>
  <c r="K1238" i="12" s="1"/>
  <c r="I1217" i="12" a="1"/>
  <c r="I1217" i="12" s="1"/>
  <c r="J1217" i="12" s="1" a="1"/>
  <c r="J1217" i="12" s="1"/>
  <c r="K1217" i="12" s="1"/>
  <c r="I1191" i="12" a="1"/>
  <c r="I1191" i="12" s="1"/>
  <c r="J1191" i="12" s="1" a="1"/>
  <c r="J1191" i="12" s="1"/>
  <c r="K1191" i="12" s="1"/>
  <c r="I1096" i="12" a="1"/>
  <c r="I1096" i="12" s="1"/>
  <c r="J1096" i="12" s="1" a="1"/>
  <c r="J1096" i="12" s="1"/>
  <c r="K1096" i="12" s="1"/>
  <c r="I1308" i="12" a="1"/>
  <c r="I1308" i="12" s="1"/>
  <c r="J1308" i="12" s="1" a="1"/>
  <c r="J1308" i="12" s="1"/>
  <c r="K1308" i="12" s="1"/>
  <c r="I1265" i="12" a="1"/>
  <c r="I1265" i="12" s="1"/>
  <c r="J1265" i="12" s="1" a="1"/>
  <c r="J1265" i="12" s="1"/>
  <c r="K1265" i="12" s="1"/>
  <c r="I1233" i="12" a="1"/>
  <c r="I1233" i="12" s="1"/>
  <c r="J1233" i="12" s="1" a="1"/>
  <c r="J1233" i="12" s="1"/>
  <c r="K1233" i="12" s="1"/>
  <c r="I1212" i="12" a="1"/>
  <c r="I1212" i="12" s="1"/>
  <c r="J1212" i="12" s="1" a="1"/>
  <c r="J1212" i="12" s="1"/>
  <c r="K1212" i="12" s="1"/>
  <c r="I1132" i="12" a="1"/>
  <c r="I1132" i="12" s="1"/>
  <c r="J1132" i="12" s="1" a="1"/>
  <c r="J1132" i="12" s="1"/>
  <c r="K1132" i="12" s="1"/>
  <c r="I1013" i="12" a="1"/>
  <c r="I1013" i="12" s="1"/>
  <c r="J1013" i="12" s="1" a="1"/>
  <c r="J1013" i="12" s="1"/>
  <c r="K1013" i="12" s="1"/>
  <c r="I1319" i="12" a="1"/>
  <c r="I1319" i="12" s="1"/>
  <c r="J1319" i="12" s="1" a="1"/>
  <c r="J1319" i="12" s="1"/>
  <c r="K1319" i="12" s="1"/>
  <c r="I1292" i="12" a="1"/>
  <c r="I1292" i="12" s="1"/>
  <c r="J1292" i="12" s="1" a="1"/>
  <c r="J1292" i="12" s="1"/>
  <c r="K1292" i="12" s="1"/>
  <c r="I1303" i="12" a="1"/>
  <c r="I1303" i="12" s="1"/>
  <c r="J1303" i="12" s="1" a="1"/>
  <c r="J1303" i="12" s="1"/>
  <c r="K1303" i="12" s="1"/>
  <c r="I1291" i="12" a="1"/>
  <c r="I1291" i="12" s="1"/>
  <c r="J1291" i="12" s="1" a="1"/>
  <c r="J1291" i="12" s="1"/>
  <c r="K1291" i="12" s="1"/>
  <c r="I1206" i="12" a="1"/>
  <c r="I1206" i="12" s="1"/>
  <c r="J1206" i="12" s="1" a="1"/>
  <c r="J1206" i="12" s="1"/>
  <c r="K1206" i="12" s="1"/>
  <c r="I1065" i="12" a="1"/>
  <c r="I1065" i="12" s="1"/>
  <c r="J1065" i="12" s="1" a="1"/>
  <c r="J1065" i="12" s="1"/>
  <c r="K1065" i="12" s="1"/>
  <c r="I1302" i="12" a="1"/>
  <c r="I1302" i="12" s="1"/>
  <c r="J1302" i="12" s="1" a="1"/>
  <c r="J1302" i="12" s="1"/>
  <c r="K1302" i="12" s="1"/>
  <c r="I1260" i="12" a="1"/>
  <c r="I1260" i="12" s="1"/>
  <c r="J1260" i="12" s="1" a="1"/>
  <c r="J1260" i="12" s="1"/>
  <c r="K1260" i="12" s="1"/>
  <c r="I1056" i="12" a="1"/>
  <c r="I1056" i="12" s="1"/>
  <c r="J1056" i="12" s="1" a="1"/>
  <c r="J1056" i="12" s="1"/>
  <c r="K1056" i="12" s="1"/>
  <c r="I1271" i="12" a="1"/>
  <c r="I1271" i="12" s="1"/>
  <c r="J1271" i="12" s="1" a="1"/>
  <c r="J1271" i="12" s="1"/>
  <c r="K1271" i="12" s="1"/>
  <c r="I1222" i="12" a="1"/>
  <c r="I1222" i="12" s="1"/>
  <c r="J1222" i="12" s="1" a="1"/>
  <c r="J1222" i="12" s="1"/>
  <c r="K1222" i="12" s="1"/>
  <c r="I980" i="12" a="1"/>
  <c r="I980" i="12" s="1"/>
  <c r="J980" i="12" s="1" a="1"/>
  <c r="J980" i="12" s="1"/>
  <c r="K980" i="12" s="1"/>
  <c r="I1313" i="12" a="1"/>
  <c r="I1313" i="12" s="1"/>
  <c r="J1313" i="12" s="1" a="1"/>
  <c r="J1313" i="12" s="1"/>
  <c r="K1313" i="12" s="1"/>
  <c r="I1297" i="12" a="1"/>
  <c r="I1297" i="12" s="1"/>
  <c r="J1297" i="12" s="1" a="1"/>
  <c r="J1297" i="12" s="1"/>
  <c r="K1297" i="12" s="1"/>
  <c r="I1324" i="12" a="1"/>
  <c r="I1324" i="12" s="1"/>
  <c r="J1324" i="12" s="1" a="1"/>
  <c r="J1324" i="12" s="1"/>
  <c r="K1324" i="12" s="1"/>
  <c r="I1281" i="12" a="1"/>
  <c r="I1281" i="12" s="1"/>
  <c r="J1281" i="12" s="1" a="1"/>
  <c r="J1281" i="12" s="1"/>
  <c r="K1281" i="12" s="1"/>
  <c r="I1138" i="12" a="1"/>
  <c r="I1138" i="12" s="1"/>
  <c r="J1138" i="12" s="1" a="1"/>
  <c r="J1138" i="12" s="1"/>
  <c r="K1138" i="12" s="1"/>
  <c r="I1089" i="12" a="1"/>
  <c r="I1089" i="12" s="1"/>
  <c r="J1089" i="12" s="1" a="1"/>
  <c r="J1089" i="12" s="1"/>
  <c r="K1089" i="12" s="1"/>
  <c r="I1315" i="12" a="1"/>
  <c r="I1315" i="12" s="1"/>
  <c r="J1315" i="12" s="1" a="1"/>
  <c r="J1315" i="12" s="1"/>
  <c r="K1315" i="12" s="1"/>
  <c r="I1299" i="12" a="1"/>
  <c r="I1299" i="12" s="1"/>
  <c r="J1299" i="12" s="1" a="1"/>
  <c r="J1299" i="12" s="1"/>
  <c r="K1299" i="12" s="1"/>
  <c r="I1283" i="12" a="1"/>
  <c r="I1283" i="12" s="1"/>
  <c r="J1283" i="12" s="1" a="1"/>
  <c r="J1283" i="12" s="1"/>
  <c r="K1283" i="12" s="1"/>
  <c r="I1267" i="12" a="1"/>
  <c r="I1267" i="12" s="1"/>
  <c r="J1267" i="12" s="1" a="1"/>
  <c r="J1267" i="12" s="1"/>
  <c r="K1267" i="12" s="1"/>
  <c r="I1251" i="12" a="1"/>
  <c r="I1251" i="12" s="1"/>
  <c r="J1251" i="12" s="1" a="1"/>
  <c r="J1251" i="12" s="1"/>
  <c r="K1251" i="12" s="1"/>
  <c r="I1235" i="12" a="1"/>
  <c r="I1235" i="12" s="1"/>
  <c r="J1235" i="12" s="1" a="1"/>
  <c r="J1235" i="12" s="1"/>
  <c r="K1235" i="12" s="1"/>
  <c r="I1219" i="12" a="1"/>
  <c r="I1219" i="12" s="1"/>
  <c r="J1219" i="12" s="1" a="1"/>
  <c r="J1219" i="12" s="1"/>
  <c r="K1219" i="12" s="1"/>
  <c r="I1203" i="12" a="1"/>
  <c r="I1203" i="12" s="1"/>
  <c r="J1203" i="12" s="1" a="1"/>
  <c r="J1203" i="12" s="1"/>
  <c r="K1203" i="12" s="1"/>
  <c r="I1187" i="12" a="1"/>
  <c r="I1187" i="12" s="1"/>
  <c r="J1187" i="12" s="1" a="1"/>
  <c r="J1187" i="12" s="1"/>
  <c r="K1187" i="12" s="1"/>
  <c r="I1170" i="12" a="1"/>
  <c r="I1170" i="12" s="1"/>
  <c r="J1170" i="12" s="1" a="1"/>
  <c r="J1170" i="12" s="1"/>
  <c r="K1170" i="12" s="1"/>
  <c r="I1164" i="12" a="1"/>
  <c r="I1164" i="12" s="1"/>
  <c r="J1164" i="12" s="1" a="1"/>
  <c r="J1164" i="12" s="1"/>
  <c r="K1164" i="12" s="1"/>
  <c r="I1152" i="12" a="1"/>
  <c r="I1152" i="12" s="1"/>
  <c r="J1152" i="12" s="1" a="1"/>
  <c r="J1152" i="12" s="1"/>
  <c r="K1152" i="12" s="1"/>
  <c r="I1140" i="12" a="1"/>
  <c r="I1140" i="12" s="1"/>
  <c r="J1140" i="12" s="1" a="1"/>
  <c r="J1140" i="12" s="1"/>
  <c r="K1140" i="12" s="1"/>
  <c r="I1128" i="12" a="1"/>
  <c r="I1128" i="12" s="1"/>
  <c r="J1128" i="12" s="1" a="1"/>
  <c r="J1128" i="12" s="1"/>
  <c r="K1128" i="12" s="1"/>
  <c r="I1121" i="12" a="1"/>
  <c r="I1121" i="12" s="1"/>
  <c r="J1121" i="12" s="1" a="1"/>
  <c r="J1121" i="12" s="1"/>
  <c r="K1121" i="12" s="1"/>
  <c r="I1115" i="12" a="1"/>
  <c r="I1115" i="12" s="1"/>
  <c r="J1115" i="12" s="1" a="1"/>
  <c r="J1115" i="12" s="1"/>
  <c r="K1115" i="12" s="1"/>
  <c r="I1109" i="12" a="1"/>
  <c r="I1109" i="12" s="1"/>
  <c r="J1109" i="12" s="1" a="1"/>
  <c r="J1109" i="12" s="1"/>
  <c r="K1109" i="12" s="1"/>
  <c r="I1103" i="12" a="1"/>
  <c r="I1103" i="12" s="1"/>
  <c r="J1103" i="12" s="1" a="1"/>
  <c r="J1103" i="12" s="1"/>
  <c r="K1103" i="12" s="1"/>
  <c r="I1097" i="12" a="1"/>
  <c r="I1097" i="12" s="1"/>
  <c r="J1097" i="12" s="1" a="1"/>
  <c r="J1097" i="12" s="1"/>
  <c r="K1097" i="12" s="1"/>
  <c r="I1091" i="12" a="1"/>
  <c r="I1091" i="12" s="1"/>
  <c r="J1091" i="12" s="1" a="1"/>
  <c r="J1091" i="12" s="1"/>
  <c r="K1091" i="12" s="1"/>
  <c r="I1083" i="12" a="1"/>
  <c r="I1083" i="12" s="1"/>
  <c r="J1083" i="12" s="1" a="1"/>
  <c r="J1083" i="12" s="1"/>
  <c r="K1083" i="12" s="1"/>
  <c r="I1076" i="12" a="1"/>
  <c r="I1076" i="12" s="1"/>
  <c r="J1076" i="12" s="1" a="1"/>
  <c r="J1076" i="12" s="1"/>
  <c r="K1076" i="12" s="1"/>
  <c r="I1066" i="12" a="1"/>
  <c r="I1066" i="12" s="1"/>
  <c r="J1066" i="12" s="1" a="1"/>
  <c r="J1066" i="12" s="1"/>
  <c r="K1066" i="12" s="1"/>
  <c r="I1059" i="12" a="1"/>
  <c r="I1059" i="12" s="1"/>
  <c r="J1059" i="12" s="1" a="1"/>
  <c r="J1059" i="12" s="1"/>
  <c r="K1059" i="12" s="1"/>
  <c r="I1033" i="12" a="1"/>
  <c r="I1033" i="12" s="1"/>
  <c r="J1033" i="12" s="1" a="1"/>
  <c r="J1033" i="12" s="1"/>
  <c r="K1033" i="12" s="1"/>
  <c r="I1024" i="12" a="1"/>
  <c r="I1024" i="12" s="1"/>
  <c r="J1024" i="12" s="1" a="1"/>
  <c r="J1024" i="12" s="1"/>
  <c r="K1024" i="12" s="1"/>
  <c r="I1007" i="12" a="1"/>
  <c r="I1007" i="12" s="1"/>
  <c r="J1007" i="12" s="1" a="1"/>
  <c r="J1007" i="12" s="1"/>
  <c r="K1007" i="12" s="1"/>
  <c r="I990" i="12" a="1"/>
  <c r="I990" i="12" s="1"/>
  <c r="J990" i="12" s="1" a="1"/>
  <c r="J990" i="12" s="1"/>
  <c r="K990" i="12" s="1"/>
  <c r="I981" i="12" a="1"/>
  <c r="I981" i="12" s="1"/>
  <c r="J981" i="12" s="1" a="1"/>
  <c r="J981" i="12" s="1"/>
  <c r="K981" i="12" s="1"/>
  <c r="I950" i="12" a="1"/>
  <c r="I950" i="12" s="1"/>
  <c r="J950" i="12" s="1" a="1"/>
  <c r="J950" i="12" s="1"/>
  <c r="K950" i="12" s="1"/>
  <c r="I941" i="12" a="1"/>
  <c r="I941" i="12" s="1"/>
  <c r="J941" i="12" s="1" a="1"/>
  <c r="J941" i="12" s="1"/>
  <c r="K941" i="12" s="1"/>
  <c r="I912" i="12" a="1"/>
  <c r="I912" i="12" s="1"/>
  <c r="J912" i="12" s="1" a="1"/>
  <c r="J912" i="12" s="1"/>
  <c r="K912" i="12" s="1"/>
  <c r="I903" i="12" a="1"/>
  <c r="I903" i="12" s="1"/>
  <c r="J903" i="12" s="1" a="1"/>
  <c r="J903" i="12" s="1"/>
  <c r="K903" i="12" s="1"/>
  <c r="I894" i="12" a="1"/>
  <c r="I894" i="12" s="1"/>
  <c r="J894" i="12" s="1" a="1"/>
  <c r="J894" i="12" s="1"/>
  <c r="K894" i="12" s="1"/>
  <c r="I885" i="12" a="1"/>
  <c r="I885" i="12" s="1"/>
  <c r="J885" i="12" s="1" a="1"/>
  <c r="J885" i="12" s="1"/>
  <c r="K885" i="12" s="1"/>
  <c r="I852" i="12" a="1"/>
  <c r="I852" i="12" s="1"/>
  <c r="J852" i="12" s="1" a="1"/>
  <c r="J852" i="12" s="1"/>
  <c r="K852" i="12" s="1"/>
  <c r="I828" i="12" a="1"/>
  <c r="I828" i="12" s="1"/>
  <c r="J828" i="12" s="1" a="1"/>
  <c r="J828" i="12" s="1"/>
  <c r="K828" i="12" s="1"/>
  <c r="I803" i="12" a="1"/>
  <c r="I803" i="12" s="1"/>
  <c r="J803" i="12" s="1" a="1"/>
  <c r="J803" i="12" s="1"/>
  <c r="K803" i="12" s="1"/>
  <c r="I775" i="12" a="1"/>
  <c r="I775" i="12" s="1"/>
  <c r="J775" i="12" s="1" a="1"/>
  <c r="J775" i="12" s="1"/>
  <c r="K775" i="12" s="1"/>
  <c r="I718" i="12" a="1"/>
  <c r="I718" i="12" s="1"/>
  <c r="J718" i="12" s="1" a="1"/>
  <c r="J718" i="12" s="1"/>
  <c r="K718" i="12" s="1"/>
  <c r="I689" i="12" a="1"/>
  <c r="I689" i="12" s="1"/>
  <c r="J689" i="12" s="1" a="1"/>
  <c r="J689" i="12" s="1"/>
  <c r="K689" i="12" s="1"/>
  <c r="I662" i="12" a="1"/>
  <c r="I662" i="12" s="1"/>
  <c r="J662" i="12" s="1" a="1"/>
  <c r="J662" i="12" s="1"/>
  <c r="K662" i="12" s="1"/>
  <c r="I634" i="12" a="1"/>
  <c r="I634" i="12" s="1"/>
  <c r="J634" i="12" s="1" a="1"/>
  <c r="J634" i="12" s="1"/>
  <c r="K634" i="12" s="1"/>
  <c r="I607" i="12" a="1"/>
  <c r="I607" i="12" s="1"/>
  <c r="J607" i="12" s="1" a="1"/>
  <c r="J607" i="12" s="1"/>
  <c r="K607" i="12" s="1"/>
  <c r="I579" i="12" a="1"/>
  <c r="I579" i="12" s="1"/>
  <c r="J579" i="12" s="1" a="1"/>
  <c r="J579" i="12" s="1"/>
  <c r="K579" i="12" s="1"/>
  <c r="I551" i="12" a="1"/>
  <c r="I551" i="12" s="1"/>
  <c r="J551" i="12" s="1" a="1"/>
  <c r="J551" i="12" s="1"/>
  <c r="K551" i="12" s="1"/>
  <c r="I519" i="12" a="1"/>
  <c r="I519" i="12" s="1"/>
  <c r="J519" i="12" s="1" a="1"/>
  <c r="J519" i="12" s="1"/>
  <c r="K519" i="12" s="1"/>
  <c r="I489" i="12" a="1"/>
  <c r="I489" i="12" s="1"/>
  <c r="J489" i="12" s="1" a="1"/>
  <c r="J489" i="12" s="1"/>
  <c r="K489" i="12" s="1"/>
  <c r="I457" i="12" a="1"/>
  <c r="I457" i="12" s="1"/>
  <c r="J457" i="12" s="1" a="1"/>
  <c r="J457" i="12" s="1"/>
  <c r="K457" i="12" s="1"/>
  <c r="I427" i="12" a="1"/>
  <c r="I427" i="12" s="1"/>
  <c r="J427" i="12" s="1" a="1"/>
  <c r="J427" i="12" s="1"/>
  <c r="K427" i="12" s="1"/>
  <c r="I395" i="12" a="1"/>
  <c r="I395" i="12" s="1"/>
  <c r="J395" i="12" s="1" a="1"/>
  <c r="J395" i="12" s="1"/>
  <c r="K395" i="12" s="1"/>
  <c r="I364" i="12" a="1"/>
  <c r="I364" i="12" s="1"/>
  <c r="J364" i="12" s="1" a="1"/>
  <c r="J364" i="12" s="1"/>
  <c r="K364" i="12" s="1"/>
  <c r="I336" i="12" a="1"/>
  <c r="I336" i="12" s="1"/>
  <c r="J336" i="12" s="1" a="1"/>
  <c r="J336" i="12" s="1"/>
  <c r="K336" i="12" s="1"/>
  <c r="I310" i="12" a="1"/>
  <c r="I310" i="12" s="1"/>
  <c r="J310" i="12" s="1" a="1"/>
  <c r="J310" i="12" s="1"/>
  <c r="K310" i="12" s="1"/>
  <c r="I285" i="12" a="1"/>
  <c r="I285" i="12" s="1"/>
  <c r="J285" i="12" s="1" a="1"/>
  <c r="J285" i="12" s="1"/>
  <c r="K285" i="12" s="1"/>
  <c r="I261" i="12" a="1"/>
  <c r="I261" i="12" s="1"/>
  <c r="J261" i="12" s="1" a="1"/>
  <c r="J261" i="12" s="1"/>
  <c r="K261" i="12" s="1"/>
  <c r="I234" i="12" a="1"/>
  <c r="I234" i="12" s="1"/>
  <c r="J234" i="12" s="1" a="1"/>
  <c r="J234" i="12" s="1"/>
  <c r="K234" i="12" s="1"/>
  <c r="I206" i="12" a="1"/>
  <c r="I206" i="12" s="1"/>
  <c r="J206" i="12" s="1" a="1"/>
  <c r="J206" i="12" s="1"/>
  <c r="K206" i="12" s="1"/>
  <c r="I157" i="12" a="1"/>
  <c r="I157" i="12" s="1"/>
  <c r="J157" i="12" s="1" a="1"/>
  <c r="J157" i="12" s="1"/>
  <c r="K157" i="12" s="1"/>
  <c r="I109" i="12" a="1"/>
  <c r="I109" i="12" s="1"/>
  <c r="J109" i="12" s="1" a="1"/>
  <c r="J109" i="12" s="1"/>
  <c r="K109" i="12" s="1"/>
  <c r="I59" i="12" a="1"/>
  <c r="I59" i="12" s="1"/>
  <c r="J59" i="12" s="1" a="1"/>
  <c r="J59" i="12" s="1"/>
  <c r="K59" i="12" s="1"/>
  <c r="I12" i="12" a="1"/>
  <c r="I12" i="12" s="1"/>
  <c r="J12" i="12" s="1" a="1"/>
  <c r="J12" i="12" s="1"/>
  <c r="K12" i="12" s="1"/>
  <c r="I1325" i="12" a="1"/>
  <c r="I1325" i="12" s="1"/>
  <c r="J1325" i="12" s="1" a="1"/>
  <c r="J1325" i="12" s="1"/>
  <c r="K1325" i="12" s="1"/>
  <c r="I1320" i="12" a="1"/>
  <c r="I1320" i="12" s="1"/>
  <c r="J1320" i="12" s="1" a="1"/>
  <c r="J1320" i="12" s="1"/>
  <c r="K1320" i="12" s="1"/>
  <c r="I1314" i="12" a="1"/>
  <c r="I1314" i="12" s="1"/>
  <c r="J1314" i="12" s="1" a="1"/>
  <c r="J1314" i="12" s="1"/>
  <c r="K1314" i="12" s="1"/>
  <c r="I1309" i="12" a="1"/>
  <c r="I1309" i="12" s="1"/>
  <c r="J1309" i="12" s="1" a="1"/>
  <c r="J1309" i="12" s="1"/>
  <c r="K1309" i="12" s="1"/>
  <c r="I1304" i="12" a="1"/>
  <c r="I1304" i="12" s="1"/>
  <c r="J1304" i="12" s="1" a="1"/>
  <c r="J1304" i="12" s="1"/>
  <c r="K1304" i="12" s="1"/>
  <c r="I1298" i="12" a="1"/>
  <c r="I1298" i="12" s="1"/>
  <c r="J1298" i="12" s="1" a="1"/>
  <c r="J1298" i="12" s="1"/>
  <c r="K1298" i="12" s="1"/>
  <c r="I1293" i="12" a="1"/>
  <c r="I1293" i="12" s="1"/>
  <c r="J1293" i="12" s="1" a="1"/>
  <c r="J1293" i="12" s="1"/>
  <c r="K1293" i="12" s="1"/>
  <c r="I1288" i="12" a="1"/>
  <c r="I1288" i="12" s="1"/>
  <c r="J1288" i="12" s="1" a="1"/>
  <c r="J1288" i="12" s="1"/>
  <c r="K1288" i="12" s="1"/>
  <c r="I1282" i="12" a="1"/>
  <c r="I1282" i="12" s="1"/>
  <c r="J1282" i="12" s="1" a="1"/>
  <c r="J1282" i="12" s="1"/>
  <c r="K1282" i="12" s="1"/>
  <c r="I1277" i="12" a="1"/>
  <c r="I1277" i="12" s="1"/>
  <c r="J1277" i="12" s="1" a="1"/>
  <c r="J1277" i="12" s="1"/>
  <c r="K1277" i="12" s="1"/>
  <c r="I1272" i="12" a="1"/>
  <c r="I1272" i="12" s="1"/>
  <c r="J1272" i="12" s="1" a="1"/>
  <c r="J1272" i="12" s="1"/>
  <c r="K1272" i="12" s="1"/>
  <c r="I1266" i="12" a="1"/>
  <c r="I1266" i="12" s="1"/>
  <c r="J1266" i="12" s="1" a="1"/>
  <c r="J1266" i="12" s="1"/>
  <c r="K1266" i="12" s="1"/>
  <c r="I1261" i="12" a="1"/>
  <c r="I1261" i="12" s="1"/>
  <c r="J1261" i="12" s="1" a="1"/>
  <c r="J1261" i="12" s="1"/>
  <c r="K1261" i="12" s="1"/>
  <c r="I1256" i="12" a="1"/>
  <c r="I1256" i="12" s="1"/>
  <c r="J1256" i="12" s="1" a="1"/>
  <c r="J1256" i="12" s="1"/>
  <c r="K1256" i="12" s="1"/>
  <c r="I1250" i="12" a="1"/>
  <c r="I1250" i="12" s="1"/>
  <c r="J1250" i="12" s="1" a="1"/>
  <c r="J1250" i="12" s="1"/>
  <c r="K1250" i="12" s="1"/>
  <c r="I1245" i="12" a="1"/>
  <c r="I1245" i="12" s="1"/>
  <c r="J1245" i="12" s="1" a="1"/>
  <c r="J1245" i="12" s="1"/>
  <c r="K1245" i="12" s="1"/>
  <c r="I1240" i="12" a="1"/>
  <c r="I1240" i="12" s="1"/>
  <c r="J1240" i="12" s="1" a="1"/>
  <c r="J1240" i="12" s="1"/>
  <c r="K1240" i="12" s="1"/>
  <c r="I1234" i="12" a="1"/>
  <c r="I1234" i="12" s="1"/>
  <c r="J1234" i="12" s="1" a="1"/>
  <c r="J1234" i="12" s="1"/>
  <c r="K1234" i="12" s="1"/>
  <c r="I1229" i="12" a="1"/>
  <c r="I1229" i="12" s="1"/>
  <c r="J1229" i="12" s="1" a="1"/>
  <c r="J1229" i="12" s="1"/>
  <c r="K1229" i="12" s="1"/>
  <c r="I1224" i="12" a="1"/>
  <c r="I1224" i="12" s="1"/>
  <c r="J1224" i="12" s="1" a="1"/>
  <c r="J1224" i="12" s="1"/>
  <c r="K1224" i="12" s="1"/>
  <c r="I1218" i="12" a="1"/>
  <c r="I1218" i="12" s="1"/>
  <c r="J1218" i="12" s="1" a="1"/>
  <c r="J1218" i="12" s="1"/>
  <c r="K1218" i="12" s="1"/>
  <c r="I1213" i="12" a="1"/>
  <c r="I1213" i="12" s="1"/>
  <c r="J1213" i="12" s="1" a="1"/>
  <c r="J1213" i="12" s="1"/>
  <c r="K1213" i="12" s="1"/>
  <c r="I1208" i="12" a="1"/>
  <c r="I1208" i="12" s="1"/>
  <c r="J1208" i="12" s="1" a="1"/>
  <c r="J1208" i="12" s="1"/>
  <c r="K1208" i="12" s="1"/>
  <c r="I1202" i="12" a="1"/>
  <c r="I1202" i="12" s="1"/>
  <c r="J1202" i="12" s="1" a="1"/>
  <c r="J1202" i="12" s="1"/>
  <c r="K1202" i="12" s="1"/>
  <c r="I1197" i="12" a="1"/>
  <c r="I1197" i="12" s="1"/>
  <c r="J1197" i="12" s="1" a="1"/>
  <c r="J1197" i="12" s="1"/>
  <c r="K1197" i="12" s="1"/>
  <c r="I1192" i="12" a="1"/>
  <c r="I1192" i="12" s="1"/>
  <c r="J1192" i="12" s="1" a="1"/>
  <c r="J1192" i="12" s="1"/>
  <c r="K1192" i="12" s="1"/>
  <c r="I1186" i="12" a="1"/>
  <c r="I1186" i="12" s="1"/>
  <c r="J1186" i="12" s="1" a="1"/>
  <c r="J1186" i="12" s="1"/>
  <c r="K1186" i="12" s="1"/>
  <c r="I1181" i="12" a="1"/>
  <c r="I1181" i="12" s="1"/>
  <c r="J1181" i="12" s="1" a="1"/>
  <c r="J1181" i="12" s="1"/>
  <c r="K1181" i="12" s="1"/>
  <c r="I1176" i="12" a="1"/>
  <c r="I1176" i="12" s="1"/>
  <c r="J1176" i="12" s="1" a="1"/>
  <c r="J1176" i="12" s="1"/>
  <c r="K1176" i="12" s="1"/>
  <c r="I1169" i="12" a="1"/>
  <c r="I1169" i="12" s="1"/>
  <c r="J1169" i="12" s="1" a="1"/>
  <c r="J1169" i="12" s="1"/>
  <c r="K1169" i="12" s="1"/>
  <c r="I1163" i="12" a="1"/>
  <c r="I1163" i="12" s="1"/>
  <c r="J1163" i="12" s="1" a="1"/>
  <c r="J1163" i="12" s="1"/>
  <c r="K1163" i="12" s="1"/>
  <c r="I1157" i="12" a="1"/>
  <c r="I1157" i="12" s="1"/>
  <c r="J1157" i="12" s="1" a="1"/>
  <c r="J1157" i="12" s="1"/>
  <c r="K1157" i="12" s="1"/>
  <c r="I1151" i="12" a="1"/>
  <c r="I1151" i="12" s="1"/>
  <c r="J1151" i="12" s="1" a="1"/>
  <c r="J1151" i="12" s="1"/>
  <c r="K1151" i="12" s="1"/>
  <c r="I1145" i="12" a="1"/>
  <c r="I1145" i="12" s="1"/>
  <c r="J1145" i="12" s="1" a="1"/>
  <c r="J1145" i="12" s="1"/>
  <c r="K1145" i="12" s="1"/>
  <c r="I1139" i="12" a="1"/>
  <c r="I1139" i="12" s="1"/>
  <c r="J1139" i="12" s="1" a="1"/>
  <c r="J1139" i="12" s="1"/>
  <c r="K1139" i="12" s="1"/>
  <c r="I1133" i="12" a="1"/>
  <c r="I1133" i="12" s="1"/>
  <c r="J1133" i="12" s="1" a="1"/>
  <c r="J1133" i="12" s="1"/>
  <c r="K1133" i="12" s="1"/>
  <c r="I1126" i="12" a="1"/>
  <c r="I1126" i="12" s="1"/>
  <c r="J1126" i="12" s="1" a="1"/>
  <c r="J1126" i="12" s="1"/>
  <c r="K1126" i="12" s="1"/>
  <c r="I1114" i="12" a="1"/>
  <c r="I1114" i="12" s="1"/>
  <c r="J1114" i="12" s="1" a="1"/>
  <c r="J1114" i="12" s="1"/>
  <c r="K1114" i="12" s="1"/>
  <c r="I1102" i="12" a="1"/>
  <c r="I1102" i="12" s="1"/>
  <c r="J1102" i="12" s="1" a="1"/>
  <c r="J1102" i="12" s="1"/>
  <c r="K1102" i="12" s="1"/>
  <c r="I1090" i="12" a="1"/>
  <c r="I1090" i="12" s="1"/>
  <c r="J1090" i="12" s="1" a="1"/>
  <c r="J1090" i="12" s="1"/>
  <c r="K1090" i="12" s="1"/>
  <c r="I1082" i="12" a="1"/>
  <c r="I1082" i="12" s="1"/>
  <c r="J1082" i="12" s="1" a="1"/>
  <c r="J1082" i="12" s="1"/>
  <c r="K1082" i="12" s="1"/>
  <c r="I1075" i="12" a="1"/>
  <c r="I1075" i="12" s="1"/>
  <c r="J1075" i="12" s="1" a="1"/>
  <c r="J1075" i="12" s="1"/>
  <c r="K1075" i="12" s="1"/>
  <c r="I1049" i="12" a="1"/>
  <c r="I1049" i="12" s="1"/>
  <c r="J1049" i="12" s="1" a="1"/>
  <c r="J1049" i="12" s="1"/>
  <c r="K1049" i="12" s="1"/>
  <c r="I1040" i="12" a="1"/>
  <c r="I1040" i="12" s="1"/>
  <c r="J1040" i="12" s="1" a="1"/>
  <c r="J1040" i="12" s="1"/>
  <c r="K1040" i="12" s="1"/>
  <c r="I1023" i="12" a="1"/>
  <c r="I1023" i="12" s="1"/>
  <c r="J1023" i="12" s="1" a="1"/>
  <c r="J1023" i="12" s="1"/>
  <c r="K1023" i="12" s="1"/>
  <c r="I1006" i="12" a="1"/>
  <c r="I1006" i="12" s="1"/>
  <c r="J1006" i="12" s="1" a="1"/>
  <c r="J1006" i="12" s="1"/>
  <c r="K1006" i="12" s="1"/>
  <c r="I997" i="12" a="1"/>
  <c r="I997" i="12" s="1"/>
  <c r="J997" i="12" s="1" a="1"/>
  <c r="J997" i="12" s="1"/>
  <c r="K997" i="12" s="1"/>
  <c r="I971" i="12" a="1"/>
  <c r="I971" i="12" s="1"/>
  <c r="J971" i="12" s="1" a="1"/>
  <c r="J971" i="12" s="1"/>
  <c r="K971" i="12" s="1"/>
  <c r="I964" i="12" a="1"/>
  <c r="I964" i="12" s="1"/>
  <c r="J964" i="12" s="1" a="1"/>
  <c r="J964" i="12" s="1"/>
  <c r="K964" i="12" s="1"/>
  <c r="I956" i="12" a="1"/>
  <c r="I956" i="12" s="1"/>
  <c r="J956" i="12" s="1" a="1"/>
  <c r="J956" i="12" s="1"/>
  <c r="K956" i="12" s="1"/>
  <c r="I949" i="12" a="1"/>
  <c r="I949" i="12" s="1"/>
  <c r="J949" i="12" s="1" a="1"/>
  <c r="J949" i="12" s="1"/>
  <c r="K949" i="12" s="1"/>
  <c r="I940" i="12" a="1"/>
  <c r="I940" i="12" s="1"/>
  <c r="J940" i="12" s="1" a="1"/>
  <c r="J940" i="12" s="1"/>
  <c r="K940" i="12" s="1"/>
  <c r="I932" i="12" a="1"/>
  <c r="I932" i="12" s="1"/>
  <c r="J932" i="12" s="1" a="1"/>
  <c r="J932" i="12" s="1"/>
  <c r="K932" i="12" s="1"/>
  <c r="I926" i="12" a="1"/>
  <c r="I926" i="12" s="1"/>
  <c r="J926" i="12" s="1" a="1"/>
  <c r="J926" i="12" s="1"/>
  <c r="K926" i="12" s="1"/>
  <c r="I918" i="12" a="1"/>
  <c r="I918" i="12" s="1"/>
  <c r="J918" i="12" s="1" a="1"/>
  <c r="J918" i="12" s="1"/>
  <c r="K918" i="12" s="1"/>
  <c r="I884" i="12" a="1"/>
  <c r="I884" i="12" s="1"/>
  <c r="J884" i="12" s="1" a="1"/>
  <c r="J884" i="12" s="1"/>
  <c r="K884" i="12" s="1"/>
  <c r="I875" i="12" a="1"/>
  <c r="I875" i="12" s="1"/>
  <c r="J875" i="12" s="1" a="1"/>
  <c r="J875" i="12" s="1"/>
  <c r="K875" i="12" s="1"/>
  <c r="I866" i="12" a="1"/>
  <c r="I866" i="12" s="1"/>
  <c r="J866" i="12" s="1" a="1"/>
  <c r="J866" i="12" s="1"/>
  <c r="K866" i="12" s="1"/>
  <c r="I849" i="12" a="1"/>
  <c r="I849" i="12" s="1"/>
  <c r="J849" i="12" s="1" a="1"/>
  <c r="J849" i="12" s="1"/>
  <c r="K849" i="12" s="1"/>
  <c r="I827" i="12" a="1"/>
  <c r="I827" i="12" s="1"/>
  <c r="J827" i="12" s="1" a="1"/>
  <c r="J827" i="12" s="1"/>
  <c r="K827" i="12" s="1"/>
  <c r="I799" i="12" a="1"/>
  <c r="I799" i="12" s="1"/>
  <c r="J799" i="12" s="1" a="1"/>
  <c r="J799" i="12" s="1"/>
  <c r="K799" i="12" s="1"/>
  <c r="I770" i="12" a="1"/>
  <c r="I770" i="12" s="1"/>
  <c r="J770" i="12" s="1" a="1"/>
  <c r="J770" i="12" s="1"/>
  <c r="K770" i="12" s="1"/>
  <c r="I742" i="12" a="1"/>
  <c r="I742" i="12" s="1"/>
  <c r="J742" i="12" s="1" a="1"/>
  <c r="J742" i="12" s="1"/>
  <c r="K742" i="12" s="1"/>
  <c r="I714" i="12" a="1"/>
  <c r="I714" i="12" s="1"/>
  <c r="J714" i="12" s="1" a="1"/>
  <c r="J714" i="12" s="1"/>
  <c r="K714" i="12" s="1"/>
  <c r="I685" i="12" a="1"/>
  <c r="I685" i="12" s="1"/>
  <c r="J685" i="12" s="1" a="1"/>
  <c r="J685" i="12" s="1"/>
  <c r="K685" i="12" s="1"/>
  <c r="I657" i="12" a="1"/>
  <c r="I657" i="12" s="1"/>
  <c r="J657" i="12" s="1" a="1"/>
  <c r="J657" i="12" s="1"/>
  <c r="K657" i="12" s="1"/>
  <c r="I630" i="12" a="1"/>
  <c r="I630" i="12" s="1"/>
  <c r="J630" i="12" s="1" a="1"/>
  <c r="J630" i="12" s="1"/>
  <c r="K630" i="12" s="1"/>
  <c r="I602" i="12" a="1"/>
  <c r="I602" i="12" s="1"/>
  <c r="J602" i="12" s="1" a="1"/>
  <c r="J602" i="12" s="1"/>
  <c r="K602" i="12" s="1"/>
  <c r="I575" i="12" a="1"/>
  <c r="I575" i="12" s="1"/>
  <c r="J575" i="12" s="1" a="1"/>
  <c r="J575" i="12" s="1"/>
  <c r="K575" i="12" s="1"/>
  <c r="I546" i="12" a="1"/>
  <c r="I546" i="12" s="1"/>
  <c r="J546" i="12" s="1" a="1"/>
  <c r="J546" i="12" s="1"/>
  <c r="K546" i="12" s="1"/>
  <c r="I514" i="12" a="1"/>
  <c r="I514" i="12" s="1"/>
  <c r="J514" i="12" s="1" a="1"/>
  <c r="J514" i="12" s="1"/>
  <c r="K514" i="12" s="1"/>
  <c r="I484" i="12" a="1"/>
  <c r="I484" i="12" s="1"/>
  <c r="J484" i="12" s="1" a="1"/>
  <c r="J484" i="12" s="1"/>
  <c r="K484" i="12" s="1"/>
  <c r="I452" i="12" a="1"/>
  <c r="I452" i="12" s="1"/>
  <c r="J452" i="12" s="1" a="1"/>
  <c r="J452" i="12" s="1"/>
  <c r="K452" i="12" s="1"/>
  <c r="I422" i="12" a="1"/>
  <c r="I422" i="12" s="1"/>
  <c r="J422" i="12" s="1" a="1"/>
  <c r="J422" i="12" s="1"/>
  <c r="K422" i="12" s="1"/>
  <c r="I390" i="12" a="1"/>
  <c r="I390" i="12" s="1"/>
  <c r="J390" i="12" s="1" a="1"/>
  <c r="J390" i="12" s="1"/>
  <c r="K390" i="12" s="1"/>
  <c r="I360" i="12" a="1"/>
  <c r="I360" i="12" s="1"/>
  <c r="J360" i="12" s="1" a="1"/>
  <c r="J360" i="12" s="1"/>
  <c r="K360" i="12" s="1"/>
  <c r="I331" i="12" a="1"/>
  <c r="I331" i="12" s="1"/>
  <c r="J331" i="12" s="1" a="1"/>
  <c r="J331" i="12" s="1"/>
  <c r="K331" i="12" s="1"/>
  <c r="I306" i="12" a="1"/>
  <c r="I306" i="12" s="1"/>
  <c r="J306" i="12" s="1" a="1"/>
  <c r="J306" i="12" s="1"/>
  <c r="K306" i="12" s="1"/>
  <c r="I281" i="12" a="1"/>
  <c r="I281" i="12" s="1"/>
  <c r="J281" i="12" s="1" a="1"/>
  <c r="J281" i="12" s="1"/>
  <c r="K281" i="12" s="1"/>
  <c r="I231" i="12" a="1"/>
  <c r="I231" i="12" s="1"/>
  <c r="J231" i="12" s="1" a="1"/>
  <c r="J231" i="12" s="1"/>
  <c r="K231" i="12" s="1"/>
  <c r="I151" i="12" a="1"/>
  <c r="I151" i="12" s="1"/>
  <c r="J151" i="12" s="1" a="1"/>
  <c r="J151" i="12" s="1"/>
  <c r="K151" i="12" s="1"/>
  <c r="I103" i="12" a="1"/>
  <c r="I103" i="12" s="1"/>
  <c r="J103" i="12" s="1" a="1"/>
  <c r="J103" i="12" s="1"/>
  <c r="K103" i="12" s="1"/>
  <c r="I53" i="12" a="1"/>
  <c r="I53" i="12" s="1"/>
  <c r="J53" i="12" s="1" a="1"/>
  <c r="J53" i="12" s="1"/>
  <c r="K53" i="12" s="1"/>
  <c r="I5" i="12" a="1"/>
  <c r="I5" i="12" s="1"/>
  <c r="J5" i="12" s="1" a="1"/>
  <c r="J5" i="12" s="1"/>
  <c r="K5" i="12" s="1"/>
  <c r="I947" i="12" a="1"/>
  <c r="I947" i="12" s="1"/>
  <c r="J947" i="12" s="1" a="1"/>
  <c r="J947" i="12" s="1"/>
  <c r="K947" i="12" s="1"/>
  <c r="I900" i="12" a="1"/>
  <c r="I900" i="12" s="1"/>
  <c r="J900" i="12" s="1" a="1"/>
  <c r="J900" i="12" s="1"/>
  <c r="K900" i="12" s="1"/>
  <c r="I891" i="12" a="1"/>
  <c r="I891" i="12" s="1"/>
  <c r="J891" i="12" s="1" a="1"/>
  <c r="J891" i="12" s="1"/>
  <c r="K891" i="12" s="1"/>
  <c r="I882" i="12" a="1"/>
  <c r="I882" i="12" s="1"/>
  <c r="J882" i="12" s="1" a="1"/>
  <c r="J882" i="12" s="1"/>
  <c r="K882" i="12" s="1"/>
  <c r="I873" i="12" a="1"/>
  <c r="I873" i="12" s="1"/>
  <c r="J873" i="12" s="1" a="1"/>
  <c r="J873" i="12" s="1"/>
  <c r="K873" i="12" s="1"/>
  <c r="I863" i="12" a="1"/>
  <c r="I863" i="12" s="1"/>
  <c r="J863" i="12" s="1" a="1"/>
  <c r="J863" i="12" s="1"/>
  <c r="K863" i="12" s="1"/>
  <c r="I846" i="12" a="1"/>
  <c r="I846" i="12" s="1"/>
  <c r="J846" i="12" s="1" a="1"/>
  <c r="J846" i="12" s="1"/>
  <c r="K846" i="12" s="1"/>
  <c r="I820" i="12" a="1"/>
  <c r="I820" i="12" s="1"/>
  <c r="J820" i="12" s="1" a="1"/>
  <c r="J820" i="12" s="1"/>
  <c r="K820" i="12" s="1"/>
  <c r="I792" i="12" a="1"/>
  <c r="I792" i="12" s="1"/>
  <c r="J792" i="12" s="1" a="1"/>
  <c r="J792" i="12" s="1"/>
  <c r="K792" i="12" s="1"/>
  <c r="I763" i="12" a="1"/>
  <c r="I763" i="12" s="1"/>
  <c r="J763" i="12" s="1" a="1"/>
  <c r="J763" i="12" s="1"/>
  <c r="K763" i="12" s="1"/>
  <c r="I735" i="12" a="1"/>
  <c r="I735" i="12" s="1"/>
  <c r="J735" i="12" s="1" a="1"/>
  <c r="J735" i="12" s="1"/>
  <c r="K735" i="12" s="1"/>
  <c r="I706" i="12" a="1"/>
  <c r="I706" i="12" s="1"/>
  <c r="J706" i="12" s="1" a="1"/>
  <c r="J706" i="12" s="1"/>
  <c r="K706" i="12" s="1"/>
  <c r="I679" i="12" a="1"/>
  <c r="I679" i="12" s="1"/>
  <c r="J679" i="12" s="1" a="1"/>
  <c r="J679" i="12" s="1"/>
  <c r="K679" i="12" s="1"/>
  <c r="I651" i="12" a="1"/>
  <c r="I651" i="12" s="1"/>
  <c r="J651" i="12" s="1" a="1"/>
  <c r="J651" i="12" s="1"/>
  <c r="K651" i="12" s="1"/>
  <c r="I623" i="12" a="1"/>
  <c r="I623" i="12" s="1"/>
  <c r="J623" i="12" s="1" a="1"/>
  <c r="J623" i="12" s="1"/>
  <c r="K623" i="12" s="1"/>
  <c r="I595" i="12" a="1"/>
  <c r="I595" i="12" s="1"/>
  <c r="J595" i="12" s="1" a="1"/>
  <c r="J595" i="12" s="1"/>
  <c r="K595" i="12" s="1"/>
  <c r="I538" i="12" a="1"/>
  <c r="I538" i="12" s="1"/>
  <c r="J538" i="12" s="1" a="1"/>
  <c r="J538" i="12" s="1"/>
  <c r="K538" i="12" s="1"/>
  <c r="I507" i="12" a="1"/>
  <c r="I507" i="12" s="1"/>
  <c r="J507" i="12" s="1" a="1"/>
  <c r="J507" i="12" s="1"/>
  <c r="K507" i="12" s="1"/>
  <c r="I476" i="12" a="1"/>
  <c r="I476" i="12" s="1"/>
  <c r="J476" i="12" s="1" a="1"/>
  <c r="J476" i="12" s="1"/>
  <c r="K476" i="12" s="1"/>
  <c r="I445" i="12" a="1"/>
  <c r="I445" i="12" s="1"/>
  <c r="J445" i="12" s="1" a="1"/>
  <c r="J445" i="12" s="1"/>
  <c r="K445" i="12" s="1"/>
  <c r="I414" i="12" a="1"/>
  <c r="I414" i="12" s="1"/>
  <c r="J414" i="12" s="1" a="1"/>
  <c r="J414" i="12" s="1"/>
  <c r="K414" i="12" s="1"/>
  <c r="I383" i="12" a="1"/>
  <c r="I383" i="12" s="1"/>
  <c r="J383" i="12" s="1" a="1"/>
  <c r="J383" i="12" s="1"/>
  <c r="K383" i="12" s="1"/>
  <c r="I352" i="12" a="1"/>
  <c r="I352" i="12" s="1"/>
  <c r="J352" i="12" s="1" a="1"/>
  <c r="J352" i="12" s="1"/>
  <c r="K352" i="12" s="1"/>
  <c r="I326" i="12" a="1"/>
  <c r="I326" i="12" s="1"/>
  <c r="J326" i="12" s="1" a="1"/>
  <c r="J326" i="12" s="1"/>
  <c r="K326" i="12" s="1"/>
  <c r="I300" i="12" a="1"/>
  <c r="I300" i="12" s="1"/>
  <c r="J300" i="12" s="1" a="1"/>
  <c r="J300" i="12" s="1"/>
  <c r="K300" i="12" s="1"/>
  <c r="I250" i="12" a="1"/>
  <c r="I250" i="12" s="1"/>
  <c r="J250" i="12" s="1" a="1"/>
  <c r="J250" i="12" s="1"/>
  <c r="K250" i="12" s="1"/>
  <c r="I223" i="12" a="1"/>
  <c r="I223" i="12" s="1"/>
  <c r="J223" i="12" s="1" a="1"/>
  <c r="J223" i="12" s="1"/>
  <c r="K223" i="12" s="1"/>
  <c r="I1196" i="12" a="1"/>
  <c r="I1196" i="12" s="1"/>
  <c r="J1196" i="12" s="1" a="1"/>
  <c r="J1196" i="12" s="1"/>
  <c r="K1196" i="12" s="1"/>
  <c r="I1190" i="12" a="1"/>
  <c r="I1190" i="12" s="1"/>
  <c r="J1190" i="12" s="1" a="1"/>
  <c r="J1190" i="12" s="1"/>
  <c r="K1190" i="12" s="1"/>
  <c r="I1185" i="12" a="1"/>
  <c r="I1185" i="12" s="1"/>
  <c r="J1185" i="12" s="1" a="1"/>
  <c r="J1185" i="12" s="1"/>
  <c r="K1185" i="12" s="1"/>
  <c r="I1180" i="12" a="1"/>
  <c r="I1180" i="12" s="1"/>
  <c r="J1180" i="12" s="1" a="1"/>
  <c r="J1180" i="12" s="1"/>
  <c r="K1180" i="12" s="1"/>
  <c r="I1168" i="12" a="1"/>
  <c r="I1168" i="12" s="1"/>
  <c r="J1168" i="12" s="1" a="1"/>
  <c r="J1168" i="12" s="1"/>
  <c r="K1168" i="12" s="1"/>
  <c r="I1156" i="12" a="1"/>
  <c r="I1156" i="12" s="1"/>
  <c r="J1156" i="12" s="1" a="1"/>
  <c r="J1156" i="12" s="1"/>
  <c r="K1156" i="12" s="1"/>
  <c r="I1144" i="12" a="1"/>
  <c r="I1144" i="12" s="1"/>
  <c r="J1144" i="12" s="1" a="1"/>
  <c r="J1144" i="12" s="1"/>
  <c r="K1144" i="12" s="1"/>
  <c r="I1137" i="12" a="1"/>
  <c r="I1137" i="12" s="1"/>
  <c r="J1137" i="12" s="1" a="1"/>
  <c r="J1137" i="12" s="1"/>
  <c r="K1137" i="12" s="1"/>
  <c r="I1131" i="12" a="1"/>
  <c r="I1131" i="12" s="1"/>
  <c r="J1131" i="12" s="1" a="1"/>
  <c r="J1131" i="12" s="1"/>
  <c r="K1131" i="12" s="1"/>
  <c r="I1125" i="12" a="1"/>
  <c r="I1125" i="12" s="1"/>
  <c r="J1125" i="12" s="1" a="1"/>
  <c r="J1125" i="12" s="1"/>
  <c r="K1125" i="12" s="1"/>
  <c r="I1119" i="12" a="1"/>
  <c r="I1119" i="12" s="1"/>
  <c r="J1119" i="12" s="1" a="1"/>
  <c r="J1119" i="12" s="1"/>
  <c r="K1119" i="12" s="1"/>
  <c r="I1113" i="12" a="1"/>
  <c r="I1113" i="12" s="1"/>
  <c r="J1113" i="12" s="1" a="1"/>
  <c r="J1113" i="12" s="1"/>
  <c r="K1113" i="12" s="1"/>
  <c r="I1107" i="12" a="1"/>
  <c r="I1107" i="12" s="1"/>
  <c r="J1107" i="12" s="1" a="1"/>
  <c r="J1107" i="12" s="1"/>
  <c r="K1107" i="12" s="1"/>
  <c r="I1101" i="12" a="1"/>
  <c r="I1101" i="12" s="1"/>
  <c r="J1101" i="12" s="1" a="1"/>
  <c r="J1101" i="12" s="1"/>
  <c r="K1101" i="12" s="1"/>
  <c r="I1094" i="12" a="1"/>
  <c r="I1094" i="12" s="1"/>
  <c r="J1094" i="12" s="1" a="1"/>
  <c r="J1094" i="12" s="1"/>
  <c r="K1094" i="12" s="1"/>
  <c r="I1081" i="12" a="1"/>
  <c r="I1081" i="12" s="1"/>
  <c r="J1081" i="12" s="1" a="1"/>
  <c r="J1081" i="12" s="1"/>
  <c r="K1081" i="12" s="1"/>
  <c r="I1072" i="12" a="1"/>
  <c r="I1072" i="12" s="1"/>
  <c r="J1072" i="12" s="1" a="1"/>
  <c r="J1072" i="12" s="1"/>
  <c r="K1072" i="12" s="1"/>
  <c r="I1055" i="12" a="1"/>
  <c r="I1055" i="12" s="1"/>
  <c r="J1055" i="12" s="1" a="1"/>
  <c r="J1055" i="12" s="1"/>
  <c r="K1055" i="12" s="1"/>
  <c r="I1038" i="12" a="1"/>
  <c r="I1038" i="12" s="1"/>
  <c r="J1038" i="12" s="1" a="1"/>
  <c r="J1038" i="12" s="1"/>
  <c r="K1038" i="12" s="1"/>
  <c r="I1029" i="12" a="1"/>
  <c r="I1029" i="12" s="1"/>
  <c r="J1029" i="12" s="1" a="1"/>
  <c r="J1029" i="12" s="1"/>
  <c r="K1029" i="12" s="1"/>
  <c r="I1003" i="12" a="1"/>
  <c r="I1003" i="12" s="1"/>
  <c r="J1003" i="12" s="1" a="1"/>
  <c r="J1003" i="12" s="1"/>
  <c r="K1003" i="12" s="1"/>
  <c r="I996" i="12" a="1"/>
  <c r="I996" i="12" s="1"/>
  <c r="J996" i="12" s="1" a="1"/>
  <c r="J996" i="12" s="1"/>
  <c r="K996" i="12" s="1"/>
  <c r="I986" i="12" a="1"/>
  <c r="I986" i="12" s="1"/>
  <c r="J986" i="12" s="1" a="1"/>
  <c r="J986" i="12" s="1"/>
  <c r="K986" i="12" s="1"/>
  <c r="I979" i="12" a="1"/>
  <c r="I979" i="12" s="1"/>
  <c r="J979" i="12" s="1" a="1"/>
  <c r="J979" i="12" s="1"/>
  <c r="K979" i="12" s="1"/>
  <c r="I961" i="12" a="1"/>
  <c r="I961" i="12" s="1"/>
  <c r="J961" i="12" s="1" a="1"/>
  <c r="J961" i="12" s="1"/>
  <c r="K961" i="12" s="1"/>
  <c r="I955" i="12" a="1"/>
  <c r="I955" i="12" s="1"/>
  <c r="J955" i="12" s="1" a="1"/>
  <c r="J955" i="12" s="1"/>
  <c r="K955" i="12" s="1"/>
  <c r="I946" i="12" a="1"/>
  <c r="I946" i="12" s="1"/>
  <c r="J946" i="12" s="1" a="1"/>
  <c r="J946" i="12" s="1"/>
  <c r="K946" i="12" s="1"/>
  <c r="I939" i="12" a="1"/>
  <c r="I939" i="12" s="1"/>
  <c r="J939" i="12" s="1" a="1"/>
  <c r="J939" i="12" s="1"/>
  <c r="K939" i="12" s="1"/>
  <c r="I931" i="12" a="1"/>
  <c r="I931" i="12" s="1"/>
  <c r="J931" i="12" s="1" a="1"/>
  <c r="J931" i="12" s="1"/>
  <c r="K931" i="12" s="1"/>
  <c r="I923" i="12" a="1"/>
  <c r="I923" i="12" s="1"/>
  <c r="J923" i="12" s="1" a="1"/>
  <c r="J923" i="12" s="1"/>
  <c r="K923" i="12" s="1"/>
  <c r="I917" i="12" a="1"/>
  <c r="I917" i="12" s="1"/>
  <c r="J917" i="12" s="1" a="1"/>
  <c r="J917" i="12" s="1"/>
  <c r="K917" i="12" s="1"/>
  <c r="I908" i="12" a="1"/>
  <c r="I908" i="12" s="1"/>
  <c r="J908" i="12" s="1" a="1"/>
  <c r="J908" i="12" s="1"/>
  <c r="K908" i="12" s="1"/>
  <c r="I899" i="12" a="1"/>
  <c r="I899" i="12" s="1"/>
  <c r="J899" i="12" s="1" a="1"/>
  <c r="J899" i="12" s="1"/>
  <c r="K899" i="12" s="1"/>
  <c r="I890" i="12" a="1"/>
  <c r="I890" i="12" s="1"/>
  <c r="J890" i="12" s="1" a="1"/>
  <c r="J890" i="12" s="1"/>
  <c r="K890" i="12" s="1"/>
  <c r="I881" i="12" a="1"/>
  <c r="I881" i="12" s="1"/>
  <c r="J881" i="12" s="1" a="1"/>
  <c r="J881" i="12" s="1"/>
  <c r="K881" i="12" s="1"/>
  <c r="I861" i="12" a="1"/>
  <c r="I861" i="12" s="1"/>
  <c r="J861" i="12" s="1" a="1"/>
  <c r="J861" i="12" s="1"/>
  <c r="K861" i="12" s="1"/>
  <c r="I842" i="12" a="1"/>
  <c r="I842" i="12" s="1"/>
  <c r="J842" i="12" s="1" a="1"/>
  <c r="J842" i="12" s="1"/>
  <c r="K842" i="12" s="1"/>
  <c r="I818" i="12" a="1"/>
  <c r="I818" i="12" s="1"/>
  <c r="J818" i="12" s="1" a="1"/>
  <c r="J818" i="12" s="1"/>
  <c r="K818" i="12" s="1"/>
  <c r="I790" i="12" a="1"/>
  <c r="I790" i="12" s="1"/>
  <c r="J790" i="12" s="1" a="1"/>
  <c r="J790" i="12" s="1"/>
  <c r="K790" i="12" s="1"/>
  <c r="I762" i="12" a="1"/>
  <c r="I762" i="12" s="1"/>
  <c r="J762" i="12" s="1" a="1"/>
  <c r="J762" i="12" s="1"/>
  <c r="K762" i="12" s="1"/>
  <c r="I733" i="12" a="1"/>
  <c r="I733" i="12" s="1"/>
  <c r="J733" i="12" s="1" a="1"/>
  <c r="J733" i="12" s="1"/>
  <c r="K733" i="12" s="1"/>
  <c r="I704" i="12" a="1"/>
  <c r="I704" i="12" s="1"/>
  <c r="J704" i="12" s="1" a="1"/>
  <c r="J704" i="12" s="1"/>
  <c r="K704" i="12" s="1"/>
  <c r="I677" i="12" a="1"/>
  <c r="I677" i="12" s="1"/>
  <c r="J677" i="12" s="1" a="1"/>
  <c r="J677" i="12" s="1"/>
  <c r="K677" i="12" s="1"/>
  <c r="I649" i="12" a="1"/>
  <c r="I649" i="12" s="1"/>
  <c r="J649" i="12" s="1" a="1"/>
  <c r="J649" i="12" s="1"/>
  <c r="K649" i="12" s="1"/>
  <c r="I621" i="12" a="1"/>
  <c r="I621" i="12" s="1"/>
  <c r="J621" i="12" s="1" a="1"/>
  <c r="J621" i="12" s="1"/>
  <c r="K621" i="12" s="1"/>
  <c r="I593" i="12" a="1"/>
  <c r="I593" i="12" s="1"/>
  <c r="J593" i="12" s="1" a="1"/>
  <c r="J593" i="12" s="1"/>
  <c r="K593" i="12" s="1"/>
  <c r="I566" i="12" a="1"/>
  <c r="I566" i="12" s="1"/>
  <c r="J566" i="12" s="1" a="1"/>
  <c r="J566" i="12" s="1"/>
  <c r="K566" i="12" s="1"/>
  <c r="I536" i="12" a="1"/>
  <c r="I536" i="12" s="1"/>
  <c r="J536" i="12" s="1" a="1"/>
  <c r="J536" i="12" s="1"/>
  <c r="K536" i="12" s="1"/>
  <c r="I505" i="12" a="1"/>
  <c r="I505" i="12" s="1"/>
  <c r="J505" i="12" s="1" a="1"/>
  <c r="J505" i="12" s="1"/>
  <c r="K505" i="12" s="1"/>
  <c r="I474" i="12" a="1"/>
  <c r="I474" i="12" s="1"/>
  <c r="J474" i="12" s="1" a="1"/>
  <c r="J474" i="12" s="1"/>
  <c r="K474" i="12" s="1"/>
  <c r="I443" i="12" a="1"/>
  <c r="I443" i="12" s="1"/>
  <c r="J443" i="12" s="1" a="1"/>
  <c r="J443" i="12" s="1"/>
  <c r="K443" i="12" s="1"/>
  <c r="I412" i="12" a="1"/>
  <c r="I412" i="12" s="1"/>
  <c r="J412" i="12" s="1" a="1"/>
  <c r="J412" i="12" s="1"/>
  <c r="K412" i="12" s="1"/>
  <c r="I381" i="12" a="1"/>
  <c r="I381" i="12" s="1"/>
  <c r="J381" i="12" s="1" a="1"/>
  <c r="J381" i="12" s="1"/>
  <c r="K381" i="12" s="1"/>
  <c r="I350" i="12" a="1"/>
  <c r="I350" i="12" s="1"/>
  <c r="J350" i="12" s="1" a="1"/>
  <c r="J350" i="12" s="1"/>
  <c r="K350" i="12" s="1"/>
  <c r="I324" i="12" a="1"/>
  <c r="I324" i="12" s="1"/>
  <c r="J324" i="12" s="1" a="1"/>
  <c r="J324" i="12" s="1"/>
  <c r="K324" i="12" s="1"/>
  <c r="I249" i="12" a="1"/>
  <c r="I249" i="12" s="1"/>
  <c r="J249" i="12" s="1" a="1"/>
  <c r="J249" i="12" s="1"/>
  <c r="K249" i="12" s="1"/>
  <c r="I220" i="12" a="1"/>
  <c r="I220" i="12" s="1"/>
  <c r="J220" i="12" s="1" a="1"/>
  <c r="J220" i="12" s="1"/>
  <c r="K220" i="12" s="1"/>
  <c r="I182" i="12" a="1"/>
  <c r="I182" i="12" s="1"/>
  <c r="J182" i="12" s="1" a="1"/>
  <c r="J182" i="12" s="1"/>
  <c r="K182" i="12" s="1"/>
  <c r="I135" i="12" a="1"/>
  <c r="I135" i="12" s="1"/>
  <c r="J135" i="12" s="1" a="1"/>
  <c r="J135" i="12" s="1"/>
  <c r="K135" i="12" s="1"/>
  <c r="I85" i="12" a="1"/>
  <c r="I85" i="12" s="1"/>
  <c r="J85" i="12" s="1" a="1"/>
  <c r="J85" i="12" s="1"/>
  <c r="K85" i="12" s="1"/>
  <c r="I37" i="12" a="1"/>
  <c r="I37" i="12" s="1"/>
  <c r="J37" i="12" s="1" a="1"/>
  <c r="J37" i="12" s="1"/>
  <c r="K37" i="12" s="1"/>
  <c r="I1243" i="12" a="1"/>
  <c r="I1243" i="12" s="1"/>
  <c r="J1243" i="12" s="1" a="1"/>
  <c r="J1243" i="12" s="1"/>
  <c r="K1243" i="12" s="1"/>
  <c r="I1227" i="12" a="1"/>
  <c r="I1227" i="12" s="1"/>
  <c r="J1227" i="12" s="1" a="1"/>
  <c r="J1227" i="12" s="1"/>
  <c r="K1227" i="12" s="1"/>
  <c r="I1211" i="12" a="1"/>
  <c r="I1211" i="12" s="1"/>
  <c r="J1211" i="12" s="1" a="1"/>
  <c r="J1211" i="12" s="1"/>
  <c r="K1211" i="12" s="1"/>
  <c r="I1195" i="12" a="1"/>
  <c r="I1195" i="12" s="1"/>
  <c r="J1195" i="12" s="1" a="1"/>
  <c r="J1195" i="12" s="1"/>
  <c r="K1195" i="12" s="1"/>
  <c r="I1179" i="12" a="1"/>
  <c r="I1179" i="12" s="1"/>
  <c r="J1179" i="12" s="1" a="1"/>
  <c r="J1179" i="12" s="1"/>
  <c r="K1179" i="12" s="1"/>
  <c r="I1173" i="12" a="1"/>
  <c r="I1173" i="12" s="1"/>
  <c r="J1173" i="12" s="1" a="1"/>
  <c r="J1173" i="12" s="1"/>
  <c r="K1173" i="12" s="1"/>
  <c r="I1167" i="12" a="1"/>
  <c r="I1167" i="12" s="1"/>
  <c r="J1167" i="12" s="1" a="1"/>
  <c r="J1167" i="12" s="1"/>
  <c r="K1167" i="12" s="1"/>
  <c r="I1161" i="12" a="1"/>
  <c r="I1161" i="12" s="1"/>
  <c r="J1161" i="12" s="1" a="1"/>
  <c r="J1161" i="12" s="1"/>
  <c r="K1161" i="12" s="1"/>
  <c r="I1155" i="12" a="1"/>
  <c r="I1155" i="12" s="1"/>
  <c r="J1155" i="12" s="1" a="1"/>
  <c r="J1155" i="12" s="1"/>
  <c r="K1155" i="12" s="1"/>
  <c r="I1149" i="12" a="1"/>
  <c r="I1149" i="12" s="1"/>
  <c r="J1149" i="12" s="1" a="1"/>
  <c r="J1149" i="12" s="1"/>
  <c r="K1149" i="12" s="1"/>
  <c r="I1142" i="12" a="1"/>
  <c r="I1142" i="12" s="1"/>
  <c r="J1142" i="12" s="1" a="1"/>
  <c r="J1142" i="12" s="1"/>
  <c r="K1142" i="12" s="1"/>
  <c r="I1130" i="12" a="1"/>
  <c r="I1130" i="12" s="1"/>
  <c r="J1130" i="12" s="1" a="1"/>
  <c r="J1130" i="12" s="1"/>
  <c r="K1130" i="12" s="1"/>
  <c r="I1118" i="12" a="1"/>
  <c r="I1118" i="12" s="1"/>
  <c r="J1118" i="12" s="1" a="1"/>
  <c r="J1118" i="12" s="1"/>
  <c r="K1118" i="12" s="1"/>
  <c r="I1106" i="12" a="1"/>
  <c r="I1106" i="12" s="1"/>
  <c r="J1106" i="12" s="1" a="1"/>
  <c r="J1106" i="12" s="1"/>
  <c r="K1106" i="12" s="1"/>
  <c r="I1100" i="12" a="1"/>
  <c r="I1100" i="12" s="1"/>
  <c r="J1100" i="12" s="1" a="1"/>
  <c r="J1100" i="12" s="1"/>
  <c r="K1100" i="12" s="1"/>
  <c r="I1088" i="12" a="1"/>
  <c r="I1088" i="12" s="1"/>
  <c r="J1088" i="12" s="1" a="1"/>
  <c r="J1088" i="12" s="1"/>
  <c r="K1088" i="12" s="1"/>
  <c r="I1071" i="12" a="1"/>
  <c r="I1071" i="12" s="1"/>
  <c r="J1071" i="12" s="1" a="1"/>
  <c r="J1071" i="12" s="1"/>
  <c r="K1071" i="12" s="1"/>
  <c r="I1054" i="12" a="1"/>
  <c r="I1054" i="12" s="1"/>
  <c r="J1054" i="12" s="1" a="1"/>
  <c r="J1054" i="12" s="1"/>
  <c r="K1054" i="12" s="1"/>
  <c r="I1045" i="12" a="1"/>
  <c r="I1045" i="12" s="1"/>
  <c r="J1045" i="12" s="1" a="1"/>
  <c r="J1045" i="12" s="1"/>
  <c r="K1045" i="12" s="1"/>
  <c r="I1019" i="12" a="1"/>
  <c r="I1019" i="12" s="1"/>
  <c r="J1019" i="12" s="1" a="1"/>
  <c r="J1019" i="12" s="1"/>
  <c r="K1019" i="12" s="1"/>
  <c r="I1012" i="12" a="1"/>
  <c r="I1012" i="12" s="1"/>
  <c r="J1012" i="12" s="1" a="1"/>
  <c r="J1012" i="12" s="1"/>
  <c r="K1012" i="12" s="1"/>
  <c r="I1002" i="12" a="1"/>
  <c r="I1002" i="12" s="1"/>
  <c r="J1002" i="12" s="1" a="1"/>
  <c r="J1002" i="12" s="1"/>
  <c r="K1002" i="12" s="1"/>
  <c r="I995" i="12" a="1"/>
  <c r="I995" i="12" s="1"/>
  <c r="J995" i="12" s="1" a="1"/>
  <c r="J995" i="12" s="1"/>
  <c r="K995" i="12" s="1"/>
  <c r="I969" i="12" a="1"/>
  <c r="I969" i="12" s="1"/>
  <c r="J969" i="12" s="1" a="1"/>
  <c r="J969" i="12" s="1"/>
  <c r="K969" i="12" s="1"/>
  <c r="I954" i="12" a="1"/>
  <c r="I954" i="12" s="1"/>
  <c r="J954" i="12" s="1" a="1"/>
  <c r="J954" i="12" s="1"/>
  <c r="K954" i="12" s="1"/>
  <c r="I937" i="12" a="1"/>
  <c r="I937" i="12" s="1"/>
  <c r="J937" i="12" s="1" a="1"/>
  <c r="J937" i="12" s="1"/>
  <c r="K937" i="12" s="1"/>
  <c r="I916" i="12" a="1"/>
  <c r="I916" i="12" s="1"/>
  <c r="J916" i="12" s="1" a="1"/>
  <c r="J916" i="12" s="1"/>
  <c r="K916" i="12" s="1"/>
  <c r="I880" i="12" a="1"/>
  <c r="I880" i="12" s="1"/>
  <c r="J880" i="12" s="1" a="1"/>
  <c r="J880" i="12" s="1"/>
  <c r="K880" i="12" s="1"/>
  <c r="I871" i="12" a="1"/>
  <c r="I871" i="12" s="1"/>
  <c r="J871" i="12" s="1" a="1"/>
  <c r="J871" i="12" s="1"/>
  <c r="K871" i="12" s="1"/>
  <c r="I860" i="12" a="1"/>
  <c r="I860" i="12" s="1"/>
  <c r="J860" i="12" s="1" a="1"/>
  <c r="J860" i="12" s="1"/>
  <c r="K860" i="12" s="1"/>
  <c r="I841" i="12" a="1"/>
  <c r="I841" i="12" s="1"/>
  <c r="J841" i="12" s="1" a="1"/>
  <c r="J841" i="12" s="1"/>
  <c r="K841" i="12" s="1"/>
  <c r="I817" i="12" a="1"/>
  <c r="I817" i="12" s="1"/>
  <c r="J817" i="12" s="1" a="1"/>
  <c r="J817" i="12" s="1"/>
  <c r="K817" i="12" s="1"/>
  <c r="I789" i="12" a="1"/>
  <c r="I789" i="12" s="1"/>
  <c r="J789" i="12" s="1" a="1"/>
  <c r="J789" i="12" s="1"/>
  <c r="K789" i="12" s="1"/>
  <c r="I761" i="12" a="1"/>
  <c r="I761" i="12" s="1"/>
  <c r="J761" i="12" s="1" a="1"/>
  <c r="J761" i="12" s="1"/>
  <c r="K761" i="12" s="1"/>
  <c r="I732" i="12" a="1"/>
  <c r="I732" i="12" s="1"/>
  <c r="J732" i="12" s="1" a="1"/>
  <c r="J732" i="12" s="1"/>
  <c r="K732" i="12" s="1"/>
  <c r="I676" i="12" a="1"/>
  <c r="I676" i="12" s="1"/>
  <c r="J676" i="12" s="1" a="1"/>
  <c r="J676" i="12" s="1"/>
  <c r="K676" i="12" s="1"/>
  <c r="I648" i="12" a="1"/>
  <c r="I648" i="12" s="1"/>
  <c r="J648" i="12" s="1" a="1"/>
  <c r="J648" i="12" s="1"/>
  <c r="K648" i="12" s="1"/>
  <c r="I620" i="12" a="1"/>
  <c r="I620" i="12" s="1"/>
  <c r="J620" i="12" s="1" a="1"/>
  <c r="J620" i="12" s="1"/>
  <c r="K620" i="12" s="1"/>
  <c r="I592" i="12" a="1"/>
  <c r="I592" i="12" s="1"/>
  <c r="J592" i="12" s="1" a="1"/>
  <c r="J592" i="12" s="1"/>
  <c r="K592" i="12" s="1"/>
  <c r="I565" i="12" a="1"/>
  <c r="I565" i="12" s="1"/>
  <c r="J565" i="12" s="1" a="1"/>
  <c r="J565" i="12" s="1"/>
  <c r="K565" i="12" s="1"/>
  <c r="I535" i="12" a="1"/>
  <c r="I535" i="12" s="1"/>
  <c r="J535" i="12" s="1" a="1"/>
  <c r="J535" i="12" s="1"/>
  <c r="K535" i="12" s="1"/>
  <c r="I504" i="12" a="1"/>
  <c r="I504" i="12" s="1"/>
  <c r="J504" i="12" s="1" a="1"/>
  <c r="J504" i="12" s="1"/>
  <c r="K504" i="12" s="1"/>
  <c r="I473" i="12" a="1"/>
  <c r="I473" i="12" s="1"/>
  <c r="J473" i="12" s="1" a="1"/>
  <c r="J473" i="12" s="1"/>
  <c r="K473" i="12" s="1"/>
  <c r="I442" i="12" a="1"/>
  <c r="I442" i="12" s="1"/>
  <c r="J442" i="12" s="1" a="1"/>
  <c r="J442" i="12" s="1"/>
  <c r="K442" i="12" s="1"/>
  <c r="I411" i="12" a="1"/>
  <c r="I411" i="12" s="1"/>
  <c r="J411" i="12" s="1" a="1"/>
  <c r="J411" i="12" s="1"/>
  <c r="K411" i="12" s="1"/>
  <c r="I380" i="12" a="1"/>
  <c r="I380" i="12" s="1"/>
  <c r="J380" i="12" s="1" a="1"/>
  <c r="J380" i="12" s="1"/>
  <c r="K380" i="12" s="1"/>
  <c r="I349" i="12" a="1"/>
  <c r="I349" i="12" s="1"/>
  <c r="J349" i="12" s="1" a="1"/>
  <c r="J349" i="12" s="1"/>
  <c r="K349" i="12" s="1"/>
  <c r="I323" i="12" a="1"/>
  <c r="I323" i="12" s="1"/>
  <c r="J323" i="12" s="1" a="1"/>
  <c r="J323" i="12" s="1"/>
  <c r="K323" i="12" s="1"/>
  <c r="I298" i="12" a="1"/>
  <c r="I298" i="12" s="1"/>
  <c r="J298" i="12" s="1" a="1"/>
  <c r="J298" i="12" s="1"/>
  <c r="K298" i="12" s="1"/>
  <c r="I273" i="12" a="1"/>
  <c r="I273" i="12" s="1"/>
  <c r="J273" i="12" s="1" a="1"/>
  <c r="J273" i="12" s="1"/>
  <c r="K273" i="12" s="1"/>
  <c r="I219" i="12" a="1"/>
  <c r="I219" i="12" s="1"/>
  <c r="J219" i="12" s="1" a="1"/>
  <c r="J219" i="12" s="1"/>
  <c r="K219" i="12" s="1"/>
  <c r="I181" i="12" a="1"/>
  <c r="I181" i="12" s="1"/>
  <c r="J181" i="12" s="1" a="1"/>
  <c r="J181" i="12" s="1"/>
  <c r="K181" i="12" s="1"/>
  <c r="I134" i="12" a="1"/>
  <c r="I134" i="12" s="1"/>
  <c r="J134" i="12" s="1" a="1"/>
  <c r="J134" i="12" s="1"/>
  <c r="K134" i="12" s="1"/>
  <c r="I84" i="12" a="1"/>
  <c r="I84" i="12" s="1"/>
  <c r="J84" i="12" s="1" a="1"/>
  <c r="J84" i="12" s="1"/>
  <c r="K84" i="12" s="1"/>
  <c r="I36" i="12" a="1"/>
  <c r="I36" i="12" s="1"/>
  <c r="J36" i="12" s="1" a="1"/>
  <c r="J36" i="12" s="1"/>
  <c r="K36" i="12" s="1"/>
  <c r="I1322" i="12" a="1"/>
  <c r="I1322" i="12" s="1"/>
  <c r="J1322" i="12" s="1" a="1"/>
  <c r="J1322" i="12" s="1"/>
  <c r="K1322" i="12" s="1"/>
  <c r="I1317" i="12" a="1"/>
  <c r="I1317" i="12" s="1"/>
  <c r="J1317" i="12" s="1" a="1"/>
  <c r="J1317" i="12" s="1"/>
  <c r="K1317" i="12" s="1"/>
  <c r="I1312" i="12" a="1"/>
  <c r="I1312" i="12" s="1"/>
  <c r="J1312" i="12" s="1" a="1"/>
  <c r="J1312" i="12" s="1"/>
  <c r="K1312" i="12" s="1"/>
  <c r="I1306" i="12" a="1"/>
  <c r="I1306" i="12" s="1"/>
  <c r="J1306" i="12" s="1" a="1"/>
  <c r="J1306" i="12" s="1"/>
  <c r="K1306" i="12" s="1"/>
  <c r="I1301" i="12" a="1"/>
  <c r="I1301" i="12" s="1"/>
  <c r="J1301" i="12" s="1" a="1"/>
  <c r="J1301" i="12" s="1"/>
  <c r="K1301" i="12" s="1"/>
  <c r="I1296" i="12" a="1"/>
  <c r="I1296" i="12" s="1"/>
  <c r="J1296" i="12" s="1" a="1"/>
  <c r="J1296" i="12" s="1"/>
  <c r="K1296" i="12" s="1"/>
  <c r="I1290" i="12" a="1"/>
  <c r="I1290" i="12" s="1"/>
  <c r="J1290" i="12" s="1" a="1"/>
  <c r="J1290" i="12" s="1"/>
  <c r="K1290" i="12" s="1"/>
  <c r="I1285" i="12" a="1"/>
  <c r="I1285" i="12" s="1"/>
  <c r="J1285" i="12" s="1" a="1"/>
  <c r="J1285" i="12" s="1"/>
  <c r="K1285" i="12" s="1"/>
  <c r="I1280" i="12" a="1"/>
  <c r="I1280" i="12" s="1"/>
  <c r="J1280" i="12" s="1" a="1"/>
  <c r="J1280" i="12" s="1"/>
  <c r="K1280" i="12" s="1"/>
  <c r="I1274" i="12" a="1"/>
  <c r="I1274" i="12" s="1"/>
  <c r="J1274" i="12" s="1" a="1"/>
  <c r="J1274" i="12" s="1"/>
  <c r="K1274" i="12" s="1"/>
  <c r="I1269" i="12" a="1"/>
  <c r="I1269" i="12" s="1"/>
  <c r="J1269" i="12" s="1" a="1"/>
  <c r="J1269" i="12" s="1"/>
  <c r="K1269" i="12" s="1"/>
  <c r="I1264" i="12" a="1"/>
  <c r="I1264" i="12" s="1"/>
  <c r="J1264" i="12" s="1" a="1"/>
  <c r="J1264" i="12" s="1"/>
  <c r="K1264" i="12" s="1"/>
  <c r="I1258" i="12" a="1"/>
  <c r="I1258" i="12" s="1"/>
  <c r="J1258" i="12" s="1" a="1"/>
  <c r="J1258" i="12" s="1"/>
  <c r="K1258" i="12" s="1"/>
  <c r="I1253" i="12" a="1"/>
  <c r="I1253" i="12" s="1"/>
  <c r="J1253" i="12" s="1" a="1"/>
  <c r="J1253" i="12" s="1"/>
  <c r="K1253" i="12" s="1"/>
  <c r="I1248" i="12" a="1"/>
  <c r="I1248" i="12" s="1"/>
  <c r="J1248" i="12" s="1" a="1"/>
  <c r="J1248" i="12" s="1"/>
  <c r="K1248" i="12" s="1"/>
  <c r="I1242" i="12" a="1"/>
  <c r="I1242" i="12" s="1"/>
  <c r="J1242" i="12" s="1" a="1"/>
  <c r="J1242" i="12" s="1"/>
  <c r="K1242" i="12" s="1"/>
  <c r="I1237" i="12" a="1"/>
  <c r="I1237" i="12" s="1"/>
  <c r="J1237" i="12" s="1" a="1"/>
  <c r="J1237" i="12" s="1"/>
  <c r="K1237" i="12" s="1"/>
  <c r="I1232" i="12" a="1"/>
  <c r="I1232" i="12" s="1"/>
  <c r="J1232" i="12" s="1" a="1"/>
  <c r="J1232" i="12" s="1"/>
  <c r="K1232" i="12" s="1"/>
  <c r="I1226" i="12" a="1"/>
  <c r="I1226" i="12" s="1"/>
  <c r="J1226" i="12" s="1" a="1"/>
  <c r="J1226" i="12" s="1"/>
  <c r="K1226" i="12" s="1"/>
  <c r="I1221" i="12" a="1"/>
  <c r="I1221" i="12" s="1"/>
  <c r="J1221" i="12" s="1" a="1"/>
  <c r="J1221" i="12" s="1"/>
  <c r="K1221" i="12" s="1"/>
  <c r="I1216" i="12" a="1"/>
  <c r="I1216" i="12" s="1"/>
  <c r="J1216" i="12" s="1" a="1"/>
  <c r="J1216" i="12" s="1"/>
  <c r="K1216" i="12" s="1"/>
  <c r="I1210" i="12" a="1"/>
  <c r="I1210" i="12" s="1"/>
  <c r="J1210" i="12" s="1" a="1"/>
  <c r="J1210" i="12" s="1"/>
  <c r="K1210" i="12" s="1"/>
  <c r="I1205" i="12" a="1"/>
  <c r="I1205" i="12" s="1"/>
  <c r="J1205" i="12" s="1" a="1"/>
  <c r="J1205" i="12" s="1"/>
  <c r="K1205" i="12" s="1"/>
  <c r="I1200" i="12" a="1"/>
  <c r="I1200" i="12" s="1"/>
  <c r="J1200" i="12" s="1" a="1"/>
  <c r="J1200" i="12" s="1"/>
  <c r="K1200" i="12" s="1"/>
  <c r="I1194" i="12" a="1"/>
  <c r="I1194" i="12" s="1"/>
  <c r="J1194" i="12" s="1" a="1"/>
  <c r="J1194" i="12" s="1"/>
  <c r="K1194" i="12" s="1"/>
  <c r="I1189" i="12" a="1"/>
  <c r="I1189" i="12" s="1"/>
  <c r="J1189" i="12" s="1" a="1"/>
  <c r="J1189" i="12" s="1"/>
  <c r="K1189" i="12" s="1"/>
  <c r="I1184" i="12" a="1"/>
  <c r="I1184" i="12" s="1"/>
  <c r="J1184" i="12" s="1" a="1"/>
  <c r="J1184" i="12" s="1"/>
  <c r="K1184" i="12" s="1"/>
  <c r="I1178" i="12" a="1"/>
  <c r="I1178" i="12" s="1"/>
  <c r="J1178" i="12" s="1" a="1"/>
  <c r="J1178" i="12" s="1"/>
  <c r="K1178" i="12" s="1"/>
  <c r="I1166" i="12" a="1"/>
  <c r="I1166" i="12" s="1"/>
  <c r="J1166" i="12" s="1" a="1"/>
  <c r="J1166" i="12" s="1"/>
  <c r="K1166" i="12" s="1"/>
  <c r="I1154" i="12" a="1"/>
  <c r="I1154" i="12" s="1"/>
  <c r="J1154" i="12" s="1" a="1"/>
  <c r="J1154" i="12" s="1"/>
  <c r="K1154" i="12" s="1"/>
  <c r="I1148" i="12" a="1"/>
  <c r="I1148" i="12" s="1"/>
  <c r="J1148" i="12" s="1" a="1"/>
  <c r="J1148" i="12" s="1"/>
  <c r="K1148" i="12" s="1"/>
  <c r="I1136" i="12" a="1"/>
  <c r="I1136" i="12" s="1"/>
  <c r="J1136" i="12" s="1" a="1"/>
  <c r="J1136" i="12" s="1"/>
  <c r="K1136" i="12" s="1"/>
  <c r="I1124" i="12" a="1"/>
  <c r="I1124" i="12" s="1"/>
  <c r="J1124" i="12" s="1" a="1"/>
  <c r="J1124" i="12" s="1"/>
  <c r="K1124" i="12" s="1"/>
  <c r="I1112" i="12" a="1"/>
  <c r="I1112" i="12" s="1"/>
  <c r="J1112" i="12" s="1" a="1"/>
  <c r="J1112" i="12" s="1"/>
  <c r="K1112" i="12" s="1"/>
  <c r="I1105" i="12" a="1"/>
  <c r="I1105" i="12" s="1"/>
  <c r="J1105" i="12" s="1" a="1"/>
  <c r="J1105" i="12" s="1"/>
  <c r="K1105" i="12" s="1"/>
  <c r="I1099" i="12" a="1"/>
  <c r="I1099" i="12" s="1"/>
  <c r="J1099" i="12" s="1" a="1"/>
  <c r="J1099" i="12" s="1"/>
  <c r="K1099" i="12" s="1"/>
  <c r="I1093" i="12" a="1"/>
  <c r="I1093" i="12" s="1"/>
  <c r="J1093" i="12" s="1" a="1"/>
  <c r="J1093" i="12" s="1"/>
  <c r="K1093" i="12" s="1"/>
  <c r="I1087" i="12" a="1"/>
  <c r="I1087" i="12" s="1"/>
  <c r="J1087" i="12" s="1" a="1"/>
  <c r="J1087" i="12" s="1"/>
  <c r="K1087" i="12" s="1"/>
  <c r="I1070" i="12" a="1"/>
  <c r="I1070" i="12" s="1"/>
  <c r="J1070" i="12" s="1" a="1"/>
  <c r="J1070" i="12" s="1"/>
  <c r="K1070" i="12" s="1"/>
  <c r="I1061" i="12" a="1"/>
  <c r="I1061" i="12" s="1"/>
  <c r="J1061" i="12" s="1" a="1"/>
  <c r="J1061" i="12" s="1"/>
  <c r="K1061" i="12" s="1"/>
  <c r="I1035" i="12" a="1"/>
  <c r="I1035" i="12" s="1"/>
  <c r="J1035" i="12" s="1" a="1"/>
  <c r="J1035" i="12" s="1"/>
  <c r="K1035" i="12" s="1"/>
  <c r="I1028" i="12" a="1"/>
  <c r="I1028" i="12" s="1"/>
  <c r="J1028" i="12" s="1" a="1"/>
  <c r="J1028" i="12" s="1"/>
  <c r="K1028" i="12" s="1"/>
  <c r="I1018" i="12" a="1"/>
  <c r="I1018" i="12" s="1"/>
  <c r="J1018" i="12" s="1" a="1"/>
  <c r="J1018" i="12" s="1"/>
  <c r="K1018" i="12" s="1"/>
  <c r="I1011" i="12" a="1"/>
  <c r="I1011" i="12" s="1"/>
  <c r="J1011" i="12" s="1" a="1"/>
  <c r="J1011" i="12" s="1"/>
  <c r="K1011" i="12" s="1"/>
  <c r="I985" i="12" a="1"/>
  <c r="I985" i="12" s="1"/>
  <c r="J985" i="12" s="1" a="1"/>
  <c r="J985" i="12" s="1"/>
  <c r="K985" i="12" s="1"/>
  <c r="I976" i="12" a="1"/>
  <c r="I976" i="12" s="1"/>
  <c r="J976" i="12" s="1" a="1"/>
  <c r="J976" i="12" s="1"/>
  <c r="K976" i="12" s="1"/>
  <c r="I960" i="12" a="1"/>
  <c r="I960" i="12" s="1"/>
  <c r="J960" i="12" s="1" a="1"/>
  <c r="J960" i="12" s="1"/>
  <c r="K960" i="12" s="1"/>
  <c r="I952" i="12" a="1"/>
  <c r="I952" i="12" s="1"/>
  <c r="J952" i="12" s="1" a="1"/>
  <c r="J952" i="12" s="1"/>
  <c r="K952" i="12" s="1"/>
  <c r="I936" i="12" a="1"/>
  <c r="I936" i="12" s="1"/>
  <c r="J936" i="12" s="1" a="1"/>
  <c r="J936" i="12" s="1"/>
  <c r="K936" i="12" s="1"/>
  <c r="I930" i="12" a="1"/>
  <c r="I930" i="12" s="1"/>
  <c r="J930" i="12" s="1" a="1"/>
  <c r="J930" i="12" s="1"/>
  <c r="K930" i="12" s="1"/>
  <c r="I922" i="12" a="1"/>
  <c r="I922" i="12" s="1"/>
  <c r="J922" i="12" s="1" a="1"/>
  <c r="J922" i="12" s="1"/>
  <c r="K922" i="12" s="1"/>
  <c r="I914" i="12" a="1"/>
  <c r="I914" i="12" s="1"/>
  <c r="J914" i="12" s="1" a="1"/>
  <c r="J914" i="12" s="1"/>
  <c r="K914" i="12" s="1"/>
  <c r="I907" i="12" a="1"/>
  <c r="I907" i="12" s="1"/>
  <c r="J907" i="12" s="1" a="1"/>
  <c r="J907" i="12" s="1"/>
  <c r="K907" i="12" s="1"/>
  <c r="I898" i="12" a="1"/>
  <c r="I898" i="12" s="1"/>
  <c r="J898" i="12" s="1" a="1"/>
  <c r="J898" i="12" s="1"/>
  <c r="K898" i="12" s="1"/>
  <c r="I889" i="12" a="1"/>
  <c r="I889" i="12" s="1"/>
  <c r="J889" i="12" s="1" a="1"/>
  <c r="J889" i="12" s="1"/>
  <c r="K889" i="12" s="1"/>
  <c r="I859" i="12" a="1"/>
  <c r="I859" i="12" s="1"/>
  <c r="J859" i="12" s="1" a="1"/>
  <c r="J859" i="12" s="1"/>
  <c r="K859" i="12" s="1"/>
  <c r="I840" i="12" a="1"/>
  <c r="I840" i="12" s="1"/>
  <c r="J840" i="12" s="1" a="1"/>
  <c r="J840" i="12" s="1"/>
  <c r="K840" i="12" s="1"/>
  <c r="I813" i="12" a="1"/>
  <c r="I813" i="12" s="1"/>
  <c r="J813" i="12" s="1" a="1"/>
  <c r="J813" i="12" s="1"/>
  <c r="K813" i="12" s="1"/>
  <c r="I784" i="12" a="1"/>
  <c r="I784" i="12" s="1"/>
  <c r="J784" i="12" s="1" a="1"/>
  <c r="J784" i="12" s="1"/>
  <c r="K784" i="12" s="1"/>
  <c r="I756" i="12" a="1"/>
  <c r="I756" i="12" s="1"/>
  <c r="J756" i="12" s="1" a="1"/>
  <c r="J756" i="12" s="1"/>
  <c r="K756" i="12" s="1"/>
  <c r="I728" i="12" a="1"/>
  <c r="I728" i="12" s="1"/>
  <c r="J728" i="12" s="1" a="1"/>
  <c r="J728" i="12" s="1"/>
  <c r="K728" i="12" s="1"/>
  <c r="I699" i="12" a="1"/>
  <c r="I699" i="12" s="1"/>
  <c r="J699" i="12" s="1" a="1"/>
  <c r="J699" i="12" s="1"/>
  <c r="K699" i="12" s="1"/>
  <c r="I644" i="12" a="1"/>
  <c r="I644" i="12" s="1"/>
  <c r="J644" i="12" s="1" a="1"/>
  <c r="J644" i="12" s="1"/>
  <c r="K644" i="12" s="1"/>
  <c r="I616" i="12" a="1"/>
  <c r="I616" i="12" s="1"/>
  <c r="J616" i="12" s="1" a="1"/>
  <c r="J616" i="12" s="1"/>
  <c r="K616" i="12" s="1"/>
  <c r="I588" i="12" a="1"/>
  <c r="I588" i="12" s="1"/>
  <c r="J588" i="12" s="1" a="1"/>
  <c r="J588" i="12" s="1"/>
  <c r="K588" i="12" s="1"/>
  <c r="I560" i="12" a="1"/>
  <c r="I560" i="12" s="1"/>
  <c r="J560" i="12" s="1" a="1"/>
  <c r="J560" i="12" s="1"/>
  <c r="K560" i="12" s="1"/>
  <c r="I530" i="12" a="1"/>
  <c r="I530" i="12" s="1"/>
  <c r="J530" i="12" s="1" a="1"/>
  <c r="J530" i="12" s="1"/>
  <c r="K530" i="12" s="1"/>
  <c r="I499" i="12" a="1"/>
  <c r="I499" i="12" s="1"/>
  <c r="J499" i="12" s="1" a="1"/>
  <c r="J499" i="12" s="1"/>
  <c r="K499" i="12" s="1"/>
  <c r="I468" i="12" a="1"/>
  <c r="I468" i="12" s="1"/>
  <c r="J468" i="12" s="1" a="1"/>
  <c r="J468" i="12" s="1"/>
  <c r="K468" i="12" s="1"/>
  <c r="I437" i="12" a="1"/>
  <c r="I437" i="12" s="1"/>
  <c r="J437" i="12" s="1" a="1"/>
  <c r="J437" i="12" s="1"/>
  <c r="K437" i="12" s="1"/>
  <c r="I406" i="12" a="1"/>
  <c r="I406" i="12" s="1"/>
  <c r="J406" i="12" s="1" a="1"/>
  <c r="J406" i="12" s="1"/>
  <c r="K406" i="12" s="1"/>
  <c r="I375" i="12" a="1"/>
  <c r="I375" i="12" s="1"/>
  <c r="J375" i="12" s="1" a="1"/>
  <c r="J375" i="12" s="1"/>
  <c r="K375" i="12" s="1"/>
  <c r="I344" i="12" a="1"/>
  <c r="I344" i="12" s="1"/>
  <c r="J344" i="12" s="1" a="1"/>
  <c r="J344" i="12" s="1"/>
  <c r="K344" i="12" s="1"/>
  <c r="I319" i="12" a="1"/>
  <c r="I319" i="12" s="1"/>
  <c r="J319" i="12" s="1" a="1"/>
  <c r="J319" i="12" s="1"/>
  <c r="K319" i="12" s="1"/>
  <c r="I295" i="12" a="1"/>
  <c r="I295" i="12" s="1"/>
  <c r="J295" i="12" s="1" a="1"/>
  <c r="J295" i="12" s="1"/>
  <c r="K295" i="12" s="1"/>
  <c r="I269" i="12" a="1"/>
  <c r="I269" i="12" s="1"/>
  <c r="J269" i="12" s="1" a="1"/>
  <c r="J269" i="12" s="1"/>
  <c r="K269" i="12" s="1"/>
  <c r="I244" i="12" a="1"/>
  <c r="I244" i="12" s="1"/>
  <c r="J244" i="12" s="1" a="1"/>
  <c r="J244" i="12" s="1"/>
  <c r="K244" i="12" s="1"/>
  <c r="I216" i="12" a="1"/>
  <c r="I216" i="12" s="1"/>
  <c r="J216" i="12" s="1" a="1"/>
  <c r="J216" i="12" s="1"/>
  <c r="K216" i="12" s="1"/>
  <c r="I175" i="12" a="1"/>
  <c r="I175" i="12" s="1"/>
  <c r="J175" i="12" s="1" a="1"/>
  <c r="J175" i="12" s="1"/>
  <c r="K175" i="12" s="1"/>
  <c r="I126" i="12" a="1"/>
  <c r="I126" i="12" s="1"/>
  <c r="J126" i="12" s="1" a="1"/>
  <c r="J126" i="12" s="1"/>
  <c r="K126" i="12" s="1"/>
  <c r="I78" i="12" a="1"/>
  <c r="I78" i="12" s="1"/>
  <c r="J78" i="12" s="1" a="1"/>
  <c r="J78" i="12" s="1"/>
  <c r="K78" i="12" s="1"/>
  <c r="I29" i="12" a="1"/>
  <c r="I29" i="12" s="1"/>
  <c r="J29" i="12" s="1" a="1"/>
  <c r="J29" i="12" s="1"/>
  <c r="K29" i="12" s="1"/>
  <c r="I1311" i="12" a="1"/>
  <c r="I1311" i="12" s="1"/>
  <c r="J1311" i="12" s="1" a="1"/>
  <c r="J1311" i="12" s="1"/>
  <c r="K1311" i="12" s="1"/>
  <c r="I1295" i="12" a="1"/>
  <c r="I1295" i="12" s="1"/>
  <c r="J1295" i="12" s="1" a="1"/>
  <c r="J1295" i="12" s="1"/>
  <c r="K1295" i="12" s="1"/>
  <c r="I1279" i="12" a="1"/>
  <c r="I1279" i="12" s="1"/>
  <c r="J1279" i="12" s="1" a="1"/>
  <c r="J1279" i="12" s="1"/>
  <c r="K1279" i="12" s="1"/>
  <c r="I1263" i="12" a="1"/>
  <c r="I1263" i="12" s="1"/>
  <c r="J1263" i="12" s="1" a="1"/>
  <c r="J1263" i="12" s="1"/>
  <c r="K1263" i="12" s="1"/>
  <c r="I1247" i="12" a="1"/>
  <c r="I1247" i="12" s="1"/>
  <c r="J1247" i="12" s="1" a="1"/>
  <c r="J1247" i="12" s="1"/>
  <c r="K1247" i="12" s="1"/>
  <c r="I1231" i="12" a="1"/>
  <c r="I1231" i="12" s="1"/>
  <c r="J1231" i="12" s="1" a="1"/>
  <c r="J1231" i="12" s="1"/>
  <c r="K1231" i="12" s="1"/>
  <c r="I1215" i="12" a="1"/>
  <c r="I1215" i="12" s="1"/>
  <c r="J1215" i="12" s="1" a="1"/>
  <c r="J1215" i="12" s="1"/>
  <c r="K1215" i="12" s="1"/>
  <c r="I1199" i="12" a="1"/>
  <c r="I1199" i="12" s="1"/>
  <c r="J1199" i="12" s="1" a="1"/>
  <c r="J1199" i="12" s="1"/>
  <c r="K1199" i="12" s="1"/>
  <c r="I1183" i="12" a="1"/>
  <c r="I1183" i="12" s="1"/>
  <c r="J1183" i="12" s="1" a="1"/>
  <c r="J1183" i="12" s="1"/>
  <c r="K1183" i="12" s="1"/>
  <c r="I1172" i="12" a="1"/>
  <c r="I1172" i="12" s="1"/>
  <c r="J1172" i="12" s="1" a="1"/>
  <c r="J1172" i="12" s="1"/>
  <c r="K1172" i="12" s="1"/>
  <c r="I1160" i="12" a="1"/>
  <c r="I1160" i="12" s="1"/>
  <c r="J1160" i="12" s="1" a="1"/>
  <c r="J1160" i="12" s="1"/>
  <c r="K1160" i="12" s="1"/>
  <c r="I1153" i="12" a="1"/>
  <c r="I1153" i="12" s="1"/>
  <c r="J1153" i="12" s="1" a="1"/>
  <c r="J1153" i="12" s="1"/>
  <c r="K1153" i="12" s="1"/>
  <c r="I1147" i="12" a="1"/>
  <c r="I1147" i="12" s="1"/>
  <c r="J1147" i="12" s="1" a="1"/>
  <c r="J1147" i="12" s="1"/>
  <c r="K1147" i="12" s="1"/>
  <c r="I1141" i="12" a="1"/>
  <c r="I1141" i="12" s="1"/>
  <c r="J1141" i="12" s="1" a="1"/>
  <c r="J1141" i="12" s="1"/>
  <c r="K1141" i="12" s="1"/>
  <c r="I1135" i="12" a="1"/>
  <c r="I1135" i="12" s="1"/>
  <c r="J1135" i="12" s="1" a="1"/>
  <c r="J1135" i="12" s="1"/>
  <c r="K1135" i="12" s="1"/>
  <c r="I1129" i="12" a="1"/>
  <c r="I1129" i="12" s="1"/>
  <c r="J1129" i="12" s="1" a="1"/>
  <c r="J1129" i="12" s="1"/>
  <c r="K1129" i="12" s="1"/>
  <c r="I1123" i="12" a="1"/>
  <c r="I1123" i="12" s="1"/>
  <c r="J1123" i="12" s="1" a="1"/>
  <c r="J1123" i="12" s="1"/>
  <c r="K1123" i="12" s="1"/>
  <c r="I1117" i="12" a="1"/>
  <c r="I1117" i="12" s="1"/>
  <c r="J1117" i="12" s="1" a="1"/>
  <c r="J1117" i="12" s="1"/>
  <c r="K1117" i="12" s="1"/>
  <c r="I1110" i="12" a="1"/>
  <c r="I1110" i="12" s="1"/>
  <c r="J1110" i="12" s="1" a="1"/>
  <c r="J1110" i="12" s="1"/>
  <c r="K1110" i="12" s="1"/>
  <c r="I1098" i="12" a="1"/>
  <c r="I1098" i="12" s="1"/>
  <c r="J1098" i="12" s="1" a="1"/>
  <c r="J1098" i="12" s="1"/>
  <c r="K1098" i="12" s="1"/>
  <c r="I1086" i="12" a="1"/>
  <c r="I1086" i="12" s="1"/>
  <c r="J1086" i="12" s="1" a="1"/>
  <c r="J1086" i="12" s="1"/>
  <c r="K1086" i="12" s="1"/>
  <c r="I1077" i="12" a="1"/>
  <c r="I1077" i="12" s="1"/>
  <c r="J1077" i="12" s="1" a="1"/>
  <c r="J1077" i="12" s="1"/>
  <c r="K1077" i="12" s="1"/>
  <c r="I1051" i="12" a="1"/>
  <c r="I1051" i="12" s="1"/>
  <c r="J1051" i="12" s="1" a="1"/>
  <c r="J1051" i="12" s="1"/>
  <c r="K1051" i="12" s="1"/>
  <c r="I1044" i="12" a="1"/>
  <c r="I1044" i="12" s="1"/>
  <c r="J1044" i="12" s="1" a="1"/>
  <c r="J1044" i="12" s="1"/>
  <c r="K1044" i="12" s="1"/>
  <c r="I1034" i="12" a="1"/>
  <c r="I1034" i="12" s="1"/>
  <c r="J1034" i="12" s="1" a="1"/>
  <c r="J1034" i="12" s="1"/>
  <c r="K1034" i="12" s="1"/>
  <c r="I1027" i="12" a="1"/>
  <c r="I1027" i="12" s="1"/>
  <c r="J1027" i="12" s="1" a="1"/>
  <c r="J1027" i="12" s="1"/>
  <c r="K1027" i="12" s="1"/>
  <c r="I1001" i="12" a="1"/>
  <c r="I1001" i="12" s="1"/>
  <c r="J1001" i="12" s="1" a="1"/>
  <c r="J1001" i="12" s="1"/>
  <c r="K1001" i="12" s="1"/>
  <c r="I992" i="12" a="1"/>
  <c r="I992" i="12" s="1"/>
  <c r="J992" i="12" s="1" a="1"/>
  <c r="J992" i="12" s="1"/>
  <c r="K992" i="12" s="1"/>
  <c r="I975" i="12" a="1"/>
  <c r="I975" i="12" s="1"/>
  <c r="J975" i="12" s="1" a="1"/>
  <c r="J975" i="12" s="1"/>
  <c r="K975" i="12" s="1"/>
  <c r="I944" i="12" a="1"/>
  <c r="I944" i="12" s="1"/>
  <c r="J944" i="12" s="1" a="1"/>
  <c r="J944" i="12" s="1"/>
  <c r="K944" i="12" s="1"/>
  <c r="I905" i="12" a="1"/>
  <c r="I905" i="12" s="1"/>
  <c r="J905" i="12" s="1" a="1"/>
  <c r="J905" i="12" s="1"/>
  <c r="K905" i="12" s="1"/>
  <c r="I868" i="12" a="1"/>
  <c r="I868" i="12" s="1"/>
  <c r="J868" i="12" s="1" a="1"/>
  <c r="J868" i="12" s="1"/>
  <c r="K868" i="12" s="1"/>
  <c r="I855" i="12" a="1"/>
  <c r="I855" i="12" s="1"/>
  <c r="J855" i="12" s="1" a="1"/>
  <c r="J855" i="12" s="1"/>
  <c r="K855" i="12" s="1"/>
  <c r="I833" i="12" a="1"/>
  <c r="I833" i="12" s="1"/>
  <c r="J833" i="12" s="1" a="1"/>
  <c r="J833" i="12" s="1"/>
  <c r="K833" i="12" s="1"/>
  <c r="I806" i="12" a="1"/>
  <c r="I806" i="12" s="1"/>
  <c r="J806" i="12" s="1" a="1"/>
  <c r="J806" i="12" s="1"/>
  <c r="K806" i="12" s="1"/>
  <c r="I778" i="12" a="1"/>
  <c r="I778" i="12" s="1"/>
  <c r="J778" i="12" s="1" a="1"/>
  <c r="J778" i="12" s="1"/>
  <c r="K778" i="12" s="1"/>
  <c r="I749" i="12" a="1"/>
  <c r="I749" i="12" s="1"/>
  <c r="J749" i="12" s="1" a="1"/>
  <c r="J749" i="12" s="1"/>
  <c r="K749" i="12" s="1"/>
  <c r="I720" i="12" a="1"/>
  <c r="I720" i="12" s="1"/>
  <c r="J720" i="12" s="1" a="1"/>
  <c r="J720" i="12" s="1"/>
  <c r="K720" i="12" s="1"/>
  <c r="I692" i="12" a="1"/>
  <c r="I692" i="12" s="1"/>
  <c r="J692" i="12" s="1" a="1"/>
  <c r="J692" i="12" s="1"/>
  <c r="K692" i="12" s="1"/>
  <c r="I664" i="12" a="1"/>
  <c r="I664" i="12" s="1"/>
  <c r="J664" i="12" s="1" a="1"/>
  <c r="J664" i="12" s="1"/>
  <c r="K664" i="12" s="1"/>
  <c r="I637" i="12" a="1"/>
  <c r="I637" i="12" s="1"/>
  <c r="J637" i="12" s="1" a="1"/>
  <c r="J637" i="12" s="1"/>
  <c r="K637" i="12" s="1"/>
  <c r="I609" i="12" a="1"/>
  <c r="I609" i="12" s="1"/>
  <c r="J609" i="12" s="1" a="1"/>
  <c r="J609" i="12" s="1"/>
  <c r="K609" i="12" s="1"/>
  <c r="I582" i="12" a="1"/>
  <c r="I582" i="12" s="1"/>
  <c r="J582" i="12" s="1" a="1"/>
  <c r="J582" i="12" s="1"/>
  <c r="K582" i="12" s="1"/>
  <c r="I554" i="12" a="1"/>
  <c r="I554" i="12" s="1"/>
  <c r="J554" i="12" s="1" a="1"/>
  <c r="J554" i="12" s="1"/>
  <c r="K554" i="12" s="1"/>
  <c r="I522" i="12" a="1"/>
  <c r="I522" i="12" s="1"/>
  <c r="J522" i="12" s="1" a="1"/>
  <c r="J522" i="12" s="1"/>
  <c r="K522" i="12" s="1"/>
  <c r="I460" i="12" a="1"/>
  <c r="I460" i="12" s="1"/>
  <c r="J460" i="12" s="1" a="1"/>
  <c r="J460" i="12" s="1"/>
  <c r="K460" i="12" s="1"/>
  <c r="I429" i="12" a="1"/>
  <c r="I429" i="12" s="1"/>
  <c r="J429" i="12" s="1" a="1"/>
  <c r="J429" i="12" s="1"/>
  <c r="K429" i="12" s="1"/>
  <c r="I398" i="12" a="1"/>
  <c r="I398" i="12" s="1"/>
  <c r="J398" i="12" s="1" a="1"/>
  <c r="J398" i="12" s="1"/>
  <c r="K398" i="12" s="1"/>
  <c r="I367" i="12" a="1"/>
  <c r="I367" i="12" s="1"/>
  <c r="J367" i="12" s="1" a="1"/>
  <c r="J367" i="12" s="1"/>
  <c r="K367" i="12" s="1"/>
  <c r="I313" i="12" a="1"/>
  <c r="I313" i="12" s="1"/>
  <c r="J313" i="12" s="1" a="1"/>
  <c r="J313" i="12" s="1"/>
  <c r="K313" i="12" s="1"/>
  <c r="I288" i="12" a="1"/>
  <c r="I288" i="12" s="1"/>
  <c r="J288" i="12" s="1" a="1"/>
  <c r="J288" i="12" s="1"/>
  <c r="K288" i="12" s="1"/>
  <c r="I264" i="12" a="1"/>
  <c r="I264" i="12" s="1"/>
  <c r="J264" i="12" s="1" a="1"/>
  <c r="J264" i="12" s="1"/>
  <c r="K264" i="12" s="1"/>
  <c r="I238" i="12" a="1"/>
  <c r="I238" i="12" s="1"/>
  <c r="J238" i="12" s="1" a="1"/>
  <c r="J238" i="12" s="1"/>
  <c r="K238" i="12" s="1"/>
  <c r="I162" i="12" a="1"/>
  <c r="I162" i="12" s="1"/>
  <c r="J162" i="12" s="1" a="1"/>
  <c r="J162" i="12" s="1"/>
  <c r="K162" i="12" s="1"/>
  <c r="I114" i="12" a="1"/>
  <c r="I114" i="12" s="1"/>
  <c r="J114" i="12" s="1" a="1"/>
  <c r="J114" i="12" s="1"/>
  <c r="K114" i="12" s="1"/>
  <c r="I3" i="12" a="1"/>
  <c r="I3" i="12" s="1"/>
  <c r="J3" i="12" s="1" a="1"/>
  <c r="J3" i="12" s="1"/>
  <c r="K3" i="12" s="1"/>
  <c r="I9" i="12" a="1"/>
  <c r="I9" i="12" s="1"/>
  <c r="J9" i="12" s="1" a="1"/>
  <c r="J9" i="12" s="1"/>
  <c r="K9" i="12" s="1"/>
  <c r="I16" i="12" a="1"/>
  <c r="I16" i="12" s="1"/>
  <c r="J16" i="12" s="1" a="1"/>
  <c r="J16" i="12" s="1"/>
  <c r="K16" i="12" s="1"/>
  <c r="I21" i="12" a="1"/>
  <c r="I21" i="12" s="1"/>
  <c r="J21" i="12" s="1" a="1"/>
  <c r="J21" i="12" s="1"/>
  <c r="K21" i="12" s="1"/>
  <c r="I40" i="12" a="1"/>
  <c r="I40" i="12" s="1"/>
  <c r="J40" i="12" s="1" a="1"/>
  <c r="J40" i="12" s="1"/>
  <c r="K40" i="12" s="1"/>
  <c r="I45" i="12" a="1"/>
  <c r="I45" i="12" s="1"/>
  <c r="J45" i="12" s="1" a="1"/>
  <c r="J45" i="12" s="1"/>
  <c r="K45" i="12" s="1"/>
  <c r="I57" i="12" a="1"/>
  <c r="I57" i="12" s="1"/>
  <c r="J57" i="12" s="1" a="1"/>
  <c r="J57" i="12" s="1"/>
  <c r="K57" i="12" s="1"/>
  <c r="I63" i="12" a="1"/>
  <c r="I63" i="12" s="1"/>
  <c r="J63" i="12" s="1" a="1"/>
  <c r="J63" i="12" s="1"/>
  <c r="K63" i="12" s="1"/>
  <c r="I70" i="12" a="1"/>
  <c r="I70" i="12" s="1"/>
  <c r="J70" i="12" s="1" a="1"/>
  <c r="J70" i="12" s="1"/>
  <c r="K70" i="12" s="1"/>
  <c r="I75" i="12" a="1"/>
  <c r="I75" i="12" s="1"/>
  <c r="J75" i="12" s="1" a="1"/>
  <c r="J75" i="12" s="1"/>
  <c r="K75" i="12" s="1"/>
  <c r="I88" i="12" a="1"/>
  <c r="I88" i="12" s="1"/>
  <c r="J88" i="12" s="1" a="1"/>
  <c r="J88" i="12" s="1"/>
  <c r="K88" i="12" s="1"/>
  <c r="I93" i="12" a="1"/>
  <c r="I93" i="12" s="1"/>
  <c r="J93" i="12" s="1" a="1"/>
  <c r="J93" i="12" s="1"/>
  <c r="K93" i="12" s="1"/>
  <c r="I100" i="12" a="1"/>
  <c r="I100" i="12" s="1"/>
  <c r="J100" i="12" s="1" a="1"/>
  <c r="J100" i="12" s="1"/>
  <c r="K100" i="12" s="1"/>
  <c r="I106" i="12" a="1"/>
  <c r="I106" i="12" s="1"/>
  <c r="J106" i="12" s="1" a="1"/>
  <c r="J106" i="12" s="1"/>
  <c r="K106" i="12" s="1"/>
  <c r="I118" i="12" a="1"/>
  <c r="I118" i="12" s="1"/>
  <c r="J118" i="12" s="1" a="1"/>
  <c r="J118" i="12" s="1"/>
  <c r="K118" i="12" s="1"/>
  <c r="I123" i="12" a="1"/>
  <c r="I123" i="12" s="1"/>
  <c r="J123" i="12" s="1" a="1"/>
  <c r="J123" i="12" s="1"/>
  <c r="K123" i="12" s="1"/>
  <c r="I130" i="12" a="1"/>
  <c r="I130" i="12" s="1"/>
  <c r="J130" i="12" s="1" a="1"/>
  <c r="J130" i="12" s="1"/>
  <c r="K130" i="12" s="1"/>
  <c r="I137" i="12" a="1"/>
  <c r="I137" i="12" s="1"/>
  <c r="J137" i="12" s="1" a="1"/>
  <c r="J137" i="12" s="1"/>
  <c r="K137" i="12" s="1"/>
  <c r="I143" i="12" a="1"/>
  <c r="I143" i="12" s="1"/>
  <c r="J143" i="12" s="1" a="1"/>
  <c r="J143" i="12" s="1"/>
  <c r="K143" i="12" s="1"/>
  <c r="I148" i="12" a="1"/>
  <c r="I148" i="12" s="1"/>
  <c r="J148" i="12" s="1" a="1"/>
  <c r="J148" i="12" s="1"/>
  <c r="K148" i="12" s="1"/>
  <c r="I154" i="12" a="1"/>
  <c r="I154" i="12" s="1"/>
  <c r="J154" i="12" s="1" a="1"/>
  <c r="J154" i="12" s="1"/>
  <c r="K154" i="12" s="1"/>
  <c r="I160" i="12" a="1"/>
  <c r="I160" i="12" s="1"/>
  <c r="J160" i="12" s="1" a="1"/>
  <c r="J160" i="12" s="1"/>
  <c r="K160" i="12" s="1"/>
  <c r="I167" i="12" a="1"/>
  <c r="I167" i="12" s="1"/>
  <c r="J167" i="12" s="1" a="1"/>
  <c r="J167" i="12" s="1"/>
  <c r="K167" i="12" s="1"/>
  <c r="I172" i="12" a="1"/>
  <c r="I172" i="12" s="1"/>
  <c r="J172" i="12" s="1" a="1"/>
  <c r="J172" i="12" s="1"/>
  <c r="K172" i="12" s="1"/>
  <c r="I178" i="12" a="1"/>
  <c r="I178" i="12" s="1"/>
  <c r="J178" i="12" s="1" a="1"/>
  <c r="J178" i="12" s="1"/>
  <c r="K178" i="12" s="1"/>
  <c r="I185" i="12" a="1"/>
  <c r="I185" i="12" s="1"/>
  <c r="J185" i="12" s="1" a="1"/>
  <c r="J185" i="12" s="1"/>
  <c r="K185" i="12" s="1"/>
  <c r="I191" i="12" a="1"/>
  <c r="I191" i="12" s="1"/>
  <c r="J191" i="12" s="1" a="1"/>
  <c r="J191" i="12" s="1"/>
  <c r="K191" i="12" s="1"/>
  <c r="I198" i="12" a="1"/>
  <c r="I198" i="12" s="1"/>
  <c r="J198" i="12" s="1" a="1"/>
  <c r="J198" i="12" s="1"/>
  <c r="K198" i="12" s="1"/>
  <c r="I203" i="12" a="1"/>
  <c r="I203" i="12" s="1"/>
  <c r="J203" i="12" s="1" a="1"/>
  <c r="J203" i="12" s="1"/>
  <c r="K203" i="12" s="1"/>
  <c r="I4" i="12" a="1"/>
  <c r="I4" i="12" s="1"/>
  <c r="J4" i="12" s="1" a="1"/>
  <c r="J4" i="12" s="1"/>
  <c r="K4" i="12" s="1"/>
  <c r="I22" i="12" a="1"/>
  <c r="I22" i="12" s="1"/>
  <c r="J22" i="12" s="1" a="1"/>
  <c r="J22" i="12" s="1"/>
  <c r="K22" i="12" s="1"/>
  <c r="I27" i="12" a="1"/>
  <c r="I27" i="12" s="1"/>
  <c r="J27" i="12" s="1" a="1"/>
  <c r="J27" i="12" s="1"/>
  <c r="K27" i="12" s="1"/>
  <c r="I33" i="12" a="1"/>
  <c r="I33" i="12" s="1"/>
  <c r="J33" i="12" s="1" a="1"/>
  <c r="J33" i="12" s="1"/>
  <c r="K33" i="12" s="1"/>
  <c r="I46" i="12" a="1"/>
  <c r="I46" i="12" s="1"/>
  <c r="J46" i="12" s="1" a="1"/>
  <c r="J46" i="12" s="1"/>
  <c r="K46" i="12" s="1"/>
  <c r="I51" i="12" a="1"/>
  <c r="I51" i="12" s="1"/>
  <c r="J51" i="12" s="1" a="1"/>
  <c r="J51" i="12" s="1"/>
  <c r="K51" i="12" s="1"/>
  <c r="I64" i="12" a="1"/>
  <c r="I64" i="12" s="1"/>
  <c r="J64" i="12" s="1" a="1"/>
  <c r="J64" i="12" s="1"/>
  <c r="K64" i="12" s="1"/>
  <c r="I71" i="12" a="1"/>
  <c r="I71" i="12" s="1"/>
  <c r="J71" i="12" s="1" a="1"/>
  <c r="J71" i="12" s="1"/>
  <c r="K71" i="12" s="1"/>
  <c r="I76" i="12" a="1"/>
  <c r="I76" i="12" s="1"/>
  <c r="J76" i="12" s="1" a="1"/>
  <c r="J76" i="12" s="1"/>
  <c r="K76" i="12" s="1"/>
  <c r="I82" i="12" a="1"/>
  <c r="I82" i="12" s="1"/>
  <c r="J82" i="12" s="1" a="1"/>
  <c r="J82" i="12" s="1"/>
  <c r="K82" i="12" s="1"/>
  <c r="I94" i="12" a="1"/>
  <c r="I94" i="12" s="1"/>
  <c r="J94" i="12" s="1" a="1"/>
  <c r="J94" i="12" s="1"/>
  <c r="K94" i="12" s="1"/>
  <c r="I101" i="12" a="1"/>
  <c r="I101" i="12" s="1"/>
  <c r="J101" i="12" s="1" a="1"/>
  <c r="J101" i="12" s="1"/>
  <c r="K101" i="12" s="1"/>
  <c r="I113" i="12" a="1"/>
  <c r="I113" i="12" s="1"/>
  <c r="J113" i="12" s="1" a="1"/>
  <c r="J113" i="12" s="1"/>
  <c r="K113" i="12" s="1"/>
  <c r="I119" i="12" a="1"/>
  <c r="I119" i="12" s="1"/>
  <c r="J119" i="12" s="1" a="1"/>
  <c r="J119" i="12" s="1"/>
  <c r="K119" i="12" s="1"/>
  <c r="I124" i="12" a="1"/>
  <c r="I124" i="12" s="1"/>
  <c r="J124" i="12" s="1" a="1"/>
  <c r="J124" i="12" s="1"/>
  <c r="K124" i="12" s="1"/>
  <c r="I131" i="12" a="1"/>
  <c r="I131" i="12" s="1"/>
  <c r="J131" i="12" s="1" a="1"/>
  <c r="J131" i="12" s="1"/>
  <c r="K131" i="12" s="1"/>
  <c r="I144" i="12" a="1"/>
  <c r="I144" i="12" s="1"/>
  <c r="J144" i="12" s="1" a="1"/>
  <c r="J144" i="12" s="1"/>
  <c r="K144" i="12" s="1"/>
  <c r="I149" i="12" a="1"/>
  <c r="I149" i="12" s="1"/>
  <c r="J149" i="12" s="1" a="1"/>
  <c r="J149" i="12" s="1"/>
  <c r="K149" i="12" s="1"/>
  <c r="I168" i="12" a="1"/>
  <c r="I168" i="12" s="1"/>
  <c r="J168" i="12" s="1" a="1"/>
  <c r="J168" i="12" s="1"/>
  <c r="K168" i="12" s="1"/>
  <c r="I173" i="12" a="1"/>
  <c r="I173" i="12" s="1"/>
  <c r="J173" i="12" s="1" a="1"/>
  <c r="J173" i="12" s="1"/>
  <c r="K173" i="12" s="1"/>
  <c r="I192" i="12" a="1"/>
  <c r="I192" i="12" s="1"/>
  <c r="J192" i="12" s="1" a="1"/>
  <c r="J192" i="12" s="1"/>
  <c r="K192" i="12" s="1"/>
  <c r="I199" i="12" a="1"/>
  <c r="I199" i="12" s="1"/>
  <c r="J199" i="12" s="1" a="1"/>
  <c r="J199" i="12" s="1"/>
  <c r="K199" i="12" s="1"/>
  <c r="I204" i="12" a="1"/>
  <c r="I204" i="12" s="1"/>
  <c r="J204" i="12" s="1" a="1"/>
  <c r="J204" i="12" s="1"/>
  <c r="K204" i="12" s="1"/>
  <c r="I210" i="12" a="1"/>
  <c r="I210" i="12" s="1"/>
  <c r="J210" i="12" s="1" a="1"/>
  <c r="J210" i="12" s="1"/>
  <c r="K210" i="12" s="1"/>
  <c r="I222" i="12" a="1"/>
  <c r="I222" i="12" s="1"/>
  <c r="J222" i="12" s="1" a="1"/>
  <c r="J222" i="12" s="1"/>
  <c r="K222" i="12" s="1"/>
  <c r="I229" i="12" a="1"/>
  <c r="I229" i="12" s="1"/>
  <c r="J229" i="12" s="1" a="1"/>
  <c r="J229" i="12" s="1"/>
  <c r="K229" i="12" s="1"/>
  <c r="I235" i="12" a="1"/>
  <c r="I235" i="12" s="1"/>
  <c r="J235" i="12" s="1" a="1"/>
  <c r="J235" i="12" s="1"/>
  <c r="K235" i="12" s="1"/>
  <c r="I10" i="12" a="1"/>
  <c r="I10" i="12" s="1"/>
  <c r="J10" i="12" s="1" a="1"/>
  <c r="J10" i="12" s="1"/>
  <c r="K10" i="12" s="1"/>
  <c r="I17" i="12" a="1"/>
  <c r="I17" i="12" s="1"/>
  <c r="J17" i="12" s="1" a="1"/>
  <c r="J17" i="12" s="1"/>
  <c r="K17" i="12" s="1"/>
  <c r="I23" i="12" a="1"/>
  <c r="I23" i="12" s="1"/>
  <c r="J23" i="12" s="1" a="1"/>
  <c r="J23" i="12" s="1"/>
  <c r="K23" i="12" s="1"/>
  <c r="I28" i="12" a="1"/>
  <c r="I28" i="12" s="1"/>
  <c r="J28" i="12" s="1" a="1"/>
  <c r="J28" i="12" s="1"/>
  <c r="K28" i="12" s="1"/>
  <c r="I34" i="12" a="1"/>
  <c r="I34" i="12" s="1"/>
  <c r="J34" i="12" s="1" a="1"/>
  <c r="J34" i="12" s="1"/>
  <c r="K34" i="12" s="1"/>
  <c r="I41" i="12" a="1"/>
  <c r="I41" i="12" s="1"/>
  <c r="J41" i="12" s="1" a="1"/>
  <c r="J41" i="12" s="1"/>
  <c r="K41" i="12" s="1"/>
  <c r="I47" i="12" a="1"/>
  <c r="I47" i="12" s="1"/>
  <c r="J47" i="12" s="1" a="1"/>
  <c r="J47" i="12" s="1"/>
  <c r="K47" i="12" s="1"/>
  <c r="I52" i="12" a="1"/>
  <c r="I52" i="12" s="1"/>
  <c r="J52" i="12" s="1" a="1"/>
  <c r="J52" i="12" s="1"/>
  <c r="K52" i="12" s="1"/>
  <c r="I58" i="12" a="1"/>
  <c r="I58" i="12" s="1"/>
  <c r="J58" i="12" s="1" a="1"/>
  <c r="J58" i="12" s="1"/>
  <c r="K58" i="12" s="1"/>
  <c r="I72" i="12" a="1"/>
  <c r="I72" i="12" s="1"/>
  <c r="J72" i="12" s="1" a="1"/>
  <c r="J72" i="12" s="1"/>
  <c r="K72" i="12" s="1"/>
  <c r="I77" i="12" a="1"/>
  <c r="I77" i="12" s="1"/>
  <c r="J77" i="12" s="1" a="1"/>
  <c r="J77" i="12" s="1"/>
  <c r="K77" i="12" s="1"/>
  <c r="I89" i="12" a="1"/>
  <c r="I89" i="12" s="1"/>
  <c r="J89" i="12" s="1" a="1"/>
  <c r="J89" i="12" s="1"/>
  <c r="K89" i="12" s="1"/>
  <c r="I95" i="12" a="1"/>
  <c r="I95" i="12" s="1"/>
  <c r="J95" i="12" s="1" a="1"/>
  <c r="J95" i="12" s="1"/>
  <c r="K95" i="12" s="1"/>
  <c r="I102" i="12" a="1"/>
  <c r="I102" i="12" s="1"/>
  <c r="J102" i="12" s="1" a="1"/>
  <c r="J102" i="12" s="1"/>
  <c r="K102" i="12" s="1"/>
  <c r="I107" i="12" a="1"/>
  <c r="I107" i="12" s="1"/>
  <c r="J107" i="12" s="1" a="1"/>
  <c r="J107" i="12" s="1"/>
  <c r="K107" i="12" s="1"/>
  <c r="I120" i="12" a="1"/>
  <c r="I120" i="12" s="1"/>
  <c r="J120" i="12" s="1" a="1"/>
  <c r="J120" i="12" s="1"/>
  <c r="K120" i="12" s="1"/>
  <c r="I125" i="12" a="1"/>
  <c r="I125" i="12" s="1"/>
  <c r="J125" i="12" s="1" a="1"/>
  <c r="J125" i="12" s="1"/>
  <c r="K125" i="12" s="1"/>
  <c r="I132" i="12" a="1"/>
  <c r="I132" i="12" s="1"/>
  <c r="J132" i="12" s="1" a="1"/>
  <c r="J132" i="12" s="1"/>
  <c r="K132" i="12" s="1"/>
  <c r="I138" i="12" a="1"/>
  <c r="I138" i="12" s="1"/>
  <c r="J138" i="12" s="1" a="1"/>
  <c r="J138" i="12" s="1"/>
  <c r="K138" i="12" s="1"/>
  <c r="I150" i="12" a="1"/>
  <c r="I150" i="12" s="1"/>
  <c r="J150" i="12" s="1" a="1"/>
  <c r="J150" i="12" s="1"/>
  <c r="K150" i="12" s="1"/>
  <c r="I155" i="12" a="1"/>
  <c r="I155" i="12" s="1"/>
  <c r="J155" i="12" s="1" a="1"/>
  <c r="J155" i="12" s="1"/>
  <c r="K155" i="12" s="1"/>
  <c r="I161" i="12" a="1"/>
  <c r="I161" i="12" s="1"/>
  <c r="J161" i="12" s="1" a="1"/>
  <c r="J161" i="12" s="1"/>
  <c r="K161" i="12" s="1"/>
  <c r="I174" i="12" a="1"/>
  <c r="I174" i="12" s="1"/>
  <c r="J174" i="12" s="1" a="1"/>
  <c r="J174" i="12" s="1"/>
  <c r="K174" i="12" s="1"/>
  <c r="I179" i="12" a="1"/>
  <c r="I179" i="12" s="1"/>
  <c r="J179" i="12" s="1" a="1"/>
  <c r="J179" i="12" s="1"/>
  <c r="K179" i="12" s="1"/>
  <c r="I186" i="12" a="1"/>
  <c r="I186" i="12" s="1"/>
  <c r="J186" i="12" s="1" a="1"/>
  <c r="J186" i="12" s="1"/>
  <c r="K186" i="12" s="1"/>
  <c r="I200" i="12" a="1"/>
  <c r="I200" i="12" s="1"/>
  <c r="J200" i="12" s="1" a="1"/>
  <c r="J200" i="12" s="1"/>
  <c r="K200" i="12" s="1"/>
  <c r="I205" i="12" a="1"/>
  <c r="I205" i="12" s="1"/>
  <c r="J205" i="12" s="1" a="1"/>
  <c r="J205" i="12" s="1"/>
  <c r="K205" i="12" s="1"/>
  <c r="I2" i="12" a="1"/>
  <c r="I2" i="12" s="1"/>
  <c r="J2" i="12" s="1" a="1"/>
  <c r="J2" i="12" s="1"/>
  <c r="K2" i="12" s="1"/>
  <c r="I8" i="12" a="1"/>
  <c r="I8" i="12" s="1"/>
  <c r="J8" i="12" s="1" a="1"/>
  <c r="J8" i="12" s="1"/>
  <c r="K8" i="12" s="1"/>
  <c r="I15" i="12" a="1"/>
  <c r="I15" i="12" s="1"/>
  <c r="J15" i="12" s="1" a="1"/>
  <c r="J15" i="12" s="1"/>
  <c r="K15" i="12" s="1"/>
  <c r="I20" i="12" a="1"/>
  <c r="I20" i="12" s="1"/>
  <c r="J20" i="12" s="1" a="1"/>
  <c r="J20" i="12" s="1"/>
  <c r="K20" i="12" s="1"/>
  <c r="I26" i="12" a="1"/>
  <c r="I26" i="12" s="1"/>
  <c r="J26" i="12" s="1" a="1"/>
  <c r="J26" i="12" s="1"/>
  <c r="K26" i="12" s="1"/>
  <c r="I32" i="12" a="1"/>
  <c r="I32" i="12" s="1"/>
  <c r="J32" i="12" s="1" a="1"/>
  <c r="J32" i="12" s="1"/>
  <c r="K32" i="12" s="1"/>
  <c r="I39" i="12" a="1"/>
  <c r="I39" i="12" s="1"/>
  <c r="J39" i="12" s="1" a="1"/>
  <c r="J39" i="12" s="1"/>
  <c r="K39" i="12" s="1"/>
  <c r="I44" i="12" a="1"/>
  <c r="I44" i="12" s="1"/>
  <c r="J44" i="12" s="1" a="1"/>
  <c r="J44" i="12" s="1"/>
  <c r="K44" i="12" s="1"/>
  <c r="I50" i="12" a="1"/>
  <c r="I50" i="12" s="1"/>
  <c r="J50" i="12" s="1" a="1"/>
  <c r="J50" i="12" s="1"/>
  <c r="K50" i="12" s="1"/>
  <c r="I62" i="12" a="1"/>
  <c r="I62" i="12" s="1"/>
  <c r="J62" i="12" s="1" a="1"/>
  <c r="J62" i="12" s="1"/>
  <c r="K62" i="12" s="1"/>
  <c r="I69" i="12" a="1"/>
  <c r="I69" i="12" s="1"/>
  <c r="J69" i="12" s="1" a="1"/>
  <c r="J69" i="12" s="1"/>
  <c r="K69" i="12" s="1"/>
  <c r="I81" i="12" a="1"/>
  <c r="I81" i="12" s="1"/>
  <c r="J81" i="12" s="1" a="1"/>
  <c r="J81" i="12" s="1"/>
  <c r="K81" i="12" s="1"/>
  <c r="I87" i="12" a="1"/>
  <c r="I87" i="12" s="1"/>
  <c r="J87" i="12" s="1" a="1"/>
  <c r="J87" i="12" s="1"/>
  <c r="K87" i="12" s="1"/>
  <c r="I92" i="12" a="1"/>
  <c r="I92" i="12" s="1"/>
  <c r="J92" i="12" s="1" a="1"/>
  <c r="J92" i="12" s="1"/>
  <c r="K92" i="12" s="1"/>
  <c r="I99" i="12" a="1"/>
  <c r="I99" i="12" s="1"/>
  <c r="J99" i="12" s="1" a="1"/>
  <c r="J99" i="12" s="1"/>
  <c r="K99" i="12" s="1"/>
  <c r="I112" i="12" a="1"/>
  <c r="I112" i="12" s="1"/>
  <c r="J112" i="12" s="1" a="1"/>
  <c r="J112" i="12" s="1"/>
  <c r="K112" i="12" s="1"/>
  <c r="I117" i="12" a="1"/>
  <c r="I117" i="12" s="1"/>
  <c r="J117" i="12" s="1" a="1"/>
  <c r="J117" i="12" s="1"/>
  <c r="K117" i="12" s="1"/>
  <c r="I129" i="12" a="1"/>
  <c r="I129" i="12" s="1"/>
  <c r="J129" i="12" s="1" a="1"/>
  <c r="J129" i="12" s="1"/>
  <c r="K129" i="12" s="1"/>
  <c r="I142" i="12" a="1"/>
  <c r="I142" i="12" s="1"/>
  <c r="J142" i="12" s="1" a="1"/>
  <c r="J142" i="12" s="1"/>
  <c r="K142" i="12" s="1"/>
  <c r="I147" i="12" a="1"/>
  <c r="I147" i="12" s="1"/>
  <c r="J147" i="12" s="1" a="1"/>
  <c r="J147" i="12" s="1"/>
  <c r="K147" i="12" s="1"/>
  <c r="I159" i="12" a="1"/>
  <c r="I159" i="12" s="1"/>
  <c r="J159" i="12" s="1" a="1"/>
  <c r="J159" i="12" s="1"/>
  <c r="K159" i="12" s="1"/>
  <c r="I166" i="12" a="1"/>
  <c r="I166" i="12" s="1"/>
  <c r="J166" i="12" s="1" a="1"/>
  <c r="J166" i="12" s="1"/>
  <c r="K166" i="12" s="1"/>
  <c r="I171" i="12" a="1"/>
  <c r="I171" i="12" s="1"/>
  <c r="J171" i="12" s="1" a="1"/>
  <c r="J171" i="12" s="1"/>
  <c r="K171" i="12" s="1"/>
  <c r="I184" i="12" a="1"/>
  <c r="I184" i="12" s="1"/>
  <c r="J184" i="12" s="1" a="1"/>
  <c r="J184" i="12" s="1"/>
  <c r="K184" i="12" s="1"/>
  <c r="I190" i="12" a="1"/>
  <c r="I190" i="12" s="1"/>
  <c r="J190" i="12" s="1" a="1"/>
  <c r="J190" i="12" s="1"/>
  <c r="K190" i="12" s="1"/>
  <c r="I197" i="12" a="1"/>
  <c r="I197" i="12" s="1"/>
  <c r="J197" i="12" s="1" a="1"/>
  <c r="J197" i="12" s="1"/>
  <c r="K197" i="12" s="1"/>
  <c r="I30" i="12" a="1"/>
  <c r="I30" i="12" s="1"/>
  <c r="J30" i="12" s="1" a="1"/>
  <c r="J30" i="12" s="1"/>
  <c r="K30" i="12" s="1"/>
  <c r="I55" i="12" a="1"/>
  <c r="I55" i="12" s="1"/>
  <c r="J55" i="12" s="1" a="1"/>
  <c r="J55" i="12" s="1"/>
  <c r="K55" i="12" s="1"/>
  <c r="I67" i="12" a="1"/>
  <c r="I67" i="12" s="1"/>
  <c r="J67" i="12" s="1" a="1"/>
  <c r="J67" i="12" s="1"/>
  <c r="K67" i="12" s="1"/>
  <c r="I80" i="12" a="1"/>
  <c r="I80" i="12" s="1"/>
  <c r="J80" i="12" s="1" a="1"/>
  <c r="J80" i="12" s="1"/>
  <c r="K80" i="12" s="1"/>
  <c r="I115" i="12" a="1"/>
  <c r="I115" i="12" s="1"/>
  <c r="J115" i="12" s="1" a="1"/>
  <c r="J115" i="12" s="1"/>
  <c r="K115" i="12" s="1"/>
  <c r="I128" i="12" a="1"/>
  <c r="I128" i="12" s="1"/>
  <c r="J128" i="12" s="1" a="1"/>
  <c r="J128" i="12" s="1"/>
  <c r="K128" i="12" s="1"/>
  <c r="I140" i="12" a="1"/>
  <c r="I140" i="12" s="1"/>
  <c r="J140" i="12" s="1" a="1"/>
  <c r="J140" i="12" s="1"/>
  <c r="K140" i="12" s="1"/>
  <c r="I164" i="12" a="1"/>
  <c r="I164" i="12" s="1"/>
  <c r="J164" i="12" s="1" a="1"/>
  <c r="J164" i="12" s="1"/>
  <c r="K164" i="12" s="1"/>
  <c r="I188" i="12" a="1"/>
  <c r="I188" i="12" s="1"/>
  <c r="J188" i="12" s="1" a="1"/>
  <c r="J188" i="12" s="1"/>
  <c r="K188" i="12" s="1"/>
  <c r="I240" i="12" a="1"/>
  <c r="I240" i="12" s="1"/>
  <c r="J240" i="12" s="1" a="1"/>
  <c r="J240" i="12" s="1"/>
  <c r="K240" i="12" s="1"/>
  <c r="I246" i="12" a="1"/>
  <c r="I246" i="12" s="1"/>
  <c r="J246" i="12" s="1" a="1"/>
  <c r="J246" i="12" s="1"/>
  <c r="K246" i="12" s="1"/>
  <c r="I251" i="12" a="1"/>
  <c r="I251" i="12" s="1"/>
  <c r="J251" i="12" s="1" a="1"/>
  <c r="J251" i="12" s="1"/>
  <c r="K251" i="12" s="1"/>
  <c r="I258" i="12" a="1"/>
  <c r="I258" i="12" s="1"/>
  <c r="J258" i="12" s="1" a="1"/>
  <c r="J258" i="12" s="1"/>
  <c r="K258" i="12" s="1"/>
  <c r="I265" i="12" a="1"/>
  <c r="I265" i="12" s="1"/>
  <c r="J265" i="12" s="1" a="1"/>
  <c r="J265" i="12" s="1"/>
  <c r="K265" i="12" s="1"/>
  <c r="I271" i="12" a="1"/>
  <c r="I271" i="12" s="1"/>
  <c r="J271" i="12" s="1" a="1"/>
  <c r="J271" i="12" s="1"/>
  <c r="K271" i="12" s="1"/>
  <c r="I276" i="12" a="1"/>
  <c r="I276" i="12" s="1"/>
  <c r="J276" i="12" s="1" a="1"/>
  <c r="J276" i="12" s="1"/>
  <c r="K276" i="12" s="1"/>
  <c r="I289" i="12" a="1"/>
  <c r="I289" i="12" s="1"/>
  <c r="J289" i="12" s="1" a="1"/>
  <c r="J289" i="12" s="1"/>
  <c r="K289" i="12" s="1"/>
  <c r="I302" i="12" a="1"/>
  <c r="I302" i="12" s="1"/>
  <c r="J302" i="12" s="1" a="1"/>
  <c r="J302" i="12" s="1"/>
  <c r="K302" i="12" s="1"/>
  <c r="I307" i="12" a="1"/>
  <c r="I307" i="12" s="1"/>
  <c r="J307" i="12" s="1" a="1"/>
  <c r="J307" i="12" s="1"/>
  <c r="K307" i="12" s="1"/>
  <c r="I314" i="12" a="1"/>
  <c r="I314" i="12" s="1"/>
  <c r="J314" i="12" s="1" a="1"/>
  <c r="J314" i="12" s="1"/>
  <c r="K314" i="12" s="1"/>
  <c r="I328" i="12" a="1"/>
  <c r="I328" i="12" s="1"/>
  <c r="J328" i="12" s="1" a="1"/>
  <c r="J328" i="12" s="1"/>
  <c r="K328" i="12" s="1"/>
  <c r="I333" i="12" a="1"/>
  <c r="I333" i="12" s="1"/>
  <c r="J333" i="12" s="1" a="1"/>
  <c r="J333" i="12" s="1"/>
  <c r="K333" i="12" s="1"/>
  <c r="I346" i="12" a="1"/>
  <c r="I346" i="12" s="1"/>
  <c r="J346" i="12" s="1" a="1"/>
  <c r="J346" i="12" s="1"/>
  <c r="K346" i="12" s="1"/>
  <c r="I354" i="12" a="1"/>
  <c r="I354" i="12" s="1"/>
  <c r="J354" i="12" s="1" a="1"/>
  <c r="J354" i="12" s="1"/>
  <c r="K354" i="12" s="1"/>
  <c r="I362" i="12" a="1"/>
  <c r="I362" i="12" s="1"/>
  <c r="J362" i="12" s="1" a="1"/>
  <c r="J362" i="12" s="1"/>
  <c r="K362" i="12" s="1"/>
  <c r="I369" i="12" a="1"/>
  <c r="I369" i="12" s="1"/>
  <c r="J369" i="12" s="1" a="1"/>
  <c r="J369" i="12" s="1"/>
  <c r="K369" i="12" s="1"/>
  <c r="I377" i="12" a="1"/>
  <c r="I377" i="12" s="1"/>
  <c r="J377" i="12" s="1" a="1"/>
  <c r="J377" i="12" s="1"/>
  <c r="K377" i="12" s="1"/>
  <c r="I392" i="12" a="1"/>
  <c r="I392" i="12" s="1"/>
  <c r="J392" i="12" s="1" a="1"/>
  <c r="J392" i="12" s="1"/>
  <c r="K392" i="12" s="1"/>
  <c r="I400" i="12" a="1"/>
  <c r="I400" i="12" s="1"/>
  <c r="J400" i="12" s="1" a="1"/>
  <c r="J400" i="12" s="1"/>
  <c r="K400" i="12" s="1"/>
  <c r="I408" i="12" a="1"/>
  <c r="I408" i="12" s="1"/>
  <c r="J408" i="12" s="1" a="1"/>
  <c r="J408" i="12" s="1"/>
  <c r="K408" i="12" s="1"/>
  <c r="I416" i="12" a="1"/>
  <c r="I416" i="12" s="1"/>
  <c r="J416" i="12" s="1" a="1"/>
  <c r="J416" i="12" s="1"/>
  <c r="K416" i="12" s="1"/>
  <c r="I424" i="12" a="1"/>
  <c r="I424" i="12" s="1"/>
  <c r="J424" i="12" s="1" a="1"/>
  <c r="J424" i="12" s="1"/>
  <c r="K424" i="12" s="1"/>
  <c r="I431" i="12" a="1"/>
  <c r="I431" i="12" s="1"/>
  <c r="J431" i="12" s="1" a="1"/>
  <c r="J431" i="12" s="1"/>
  <c r="K431" i="12" s="1"/>
  <c r="I439" i="12" a="1"/>
  <c r="I439" i="12" s="1"/>
  <c r="J439" i="12" s="1" a="1"/>
  <c r="J439" i="12" s="1"/>
  <c r="K439" i="12" s="1"/>
  <c r="I447" i="12" a="1"/>
  <c r="I447" i="12" s="1"/>
  <c r="J447" i="12" s="1" a="1"/>
  <c r="J447" i="12" s="1"/>
  <c r="K447" i="12" s="1"/>
  <c r="I454" i="12" a="1"/>
  <c r="I454" i="12" s="1"/>
  <c r="J454" i="12" s="1" a="1"/>
  <c r="J454" i="12" s="1"/>
  <c r="K454" i="12" s="1"/>
  <c r="I462" i="12" a="1"/>
  <c r="I462" i="12" s="1"/>
  <c r="J462" i="12" s="1" a="1"/>
  <c r="J462" i="12" s="1"/>
  <c r="K462" i="12" s="1"/>
  <c r="I470" i="12" a="1"/>
  <c r="I470" i="12" s="1"/>
  <c r="J470" i="12" s="1" a="1"/>
  <c r="J470" i="12" s="1"/>
  <c r="K470" i="12" s="1"/>
  <c r="I478" i="12" a="1"/>
  <c r="I478" i="12" s="1"/>
  <c r="J478" i="12" s="1" a="1"/>
  <c r="J478" i="12" s="1"/>
  <c r="K478" i="12" s="1"/>
  <c r="I486" i="12" a="1"/>
  <c r="I486" i="12" s="1"/>
  <c r="J486" i="12" s="1" a="1"/>
  <c r="J486" i="12" s="1"/>
  <c r="K486" i="12" s="1"/>
  <c r="I493" i="12" a="1"/>
  <c r="I493" i="12" s="1"/>
  <c r="J493" i="12" s="1" a="1"/>
  <c r="J493" i="12" s="1"/>
  <c r="K493" i="12" s="1"/>
  <c r="I501" i="12" a="1"/>
  <c r="I501" i="12" s="1"/>
  <c r="J501" i="12" s="1" a="1"/>
  <c r="J501" i="12" s="1"/>
  <c r="K501" i="12" s="1"/>
  <c r="I509" i="12" a="1"/>
  <c r="I509" i="12" s="1"/>
  <c r="J509" i="12" s="1" a="1"/>
  <c r="J509" i="12" s="1"/>
  <c r="K509" i="12" s="1"/>
  <c r="I516" i="12" a="1"/>
  <c r="I516" i="12" s="1"/>
  <c r="J516" i="12" s="1" a="1"/>
  <c r="J516" i="12" s="1"/>
  <c r="K516" i="12" s="1"/>
  <c r="I524" i="12" a="1"/>
  <c r="I524" i="12" s="1"/>
  <c r="J524" i="12" s="1" a="1"/>
  <c r="J524" i="12" s="1"/>
  <c r="K524" i="12" s="1"/>
  <c r="I532" i="12" a="1"/>
  <c r="I532" i="12" s="1"/>
  <c r="J532" i="12" s="1" a="1"/>
  <c r="J532" i="12" s="1"/>
  <c r="K532" i="12" s="1"/>
  <c r="I540" i="12" a="1"/>
  <c r="I540" i="12" s="1"/>
  <c r="J540" i="12" s="1" a="1"/>
  <c r="J540" i="12" s="1"/>
  <c r="K540" i="12" s="1"/>
  <c r="I548" i="12" a="1"/>
  <c r="I548" i="12" s="1"/>
  <c r="J548" i="12" s="1" a="1"/>
  <c r="J548" i="12" s="1"/>
  <c r="K548" i="12" s="1"/>
  <c r="I562" i="12" a="1"/>
  <c r="I562" i="12" s="1"/>
  <c r="J562" i="12" s="1" a="1"/>
  <c r="J562" i="12" s="1"/>
  <c r="K562" i="12" s="1"/>
  <c r="I569" i="12" a="1"/>
  <c r="I569" i="12" s="1"/>
  <c r="J569" i="12" s="1" a="1"/>
  <c r="J569" i="12" s="1"/>
  <c r="K569" i="12" s="1"/>
  <c r="I576" i="12" a="1"/>
  <c r="I576" i="12" s="1"/>
  <c r="J576" i="12" s="1" a="1"/>
  <c r="J576" i="12" s="1"/>
  <c r="K576" i="12" s="1"/>
  <c r="I590" i="12" a="1"/>
  <c r="I590" i="12" s="1"/>
  <c r="J590" i="12" s="1" a="1"/>
  <c r="J590" i="12" s="1"/>
  <c r="K590" i="12" s="1"/>
  <c r="I597" i="12" a="1"/>
  <c r="I597" i="12" s="1"/>
  <c r="J597" i="12" s="1" a="1"/>
  <c r="J597" i="12" s="1"/>
  <c r="K597" i="12" s="1"/>
  <c r="I604" i="12" a="1"/>
  <c r="I604" i="12" s="1"/>
  <c r="J604" i="12" s="1" a="1"/>
  <c r="J604" i="12" s="1"/>
  <c r="K604" i="12" s="1"/>
  <c r="I611" i="12" a="1"/>
  <c r="I611" i="12" s="1"/>
  <c r="J611" i="12" s="1" a="1"/>
  <c r="J611" i="12" s="1"/>
  <c r="K611" i="12" s="1"/>
  <c r="I618" i="12" a="1"/>
  <c r="I618" i="12" s="1"/>
  <c r="J618" i="12" s="1" a="1"/>
  <c r="J618" i="12" s="1"/>
  <c r="K618" i="12" s="1"/>
  <c r="I624" i="12" a="1"/>
  <c r="I624" i="12" s="1"/>
  <c r="J624" i="12" s="1" a="1"/>
  <c r="J624" i="12" s="1"/>
  <c r="K624" i="12" s="1"/>
  <c r="I639" i="12" a="1"/>
  <c r="I639" i="12" s="1"/>
  <c r="J639" i="12" s="1" a="1"/>
  <c r="J639" i="12" s="1"/>
  <c r="K639" i="12" s="1"/>
  <c r="I646" i="12" a="1"/>
  <c r="I646" i="12" s="1"/>
  <c r="J646" i="12" s="1" a="1"/>
  <c r="J646" i="12" s="1"/>
  <c r="K646" i="12" s="1"/>
  <c r="I652" i="12" a="1"/>
  <c r="I652" i="12" s="1"/>
  <c r="J652" i="12" s="1" a="1"/>
  <c r="J652" i="12" s="1"/>
  <c r="K652" i="12" s="1"/>
  <c r="I659" i="12" a="1"/>
  <c r="I659" i="12" s="1"/>
  <c r="J659" i="12" s="1" a="1"/>
  <c r="J659" i="12" s="1"/>
  <c r="K659" i="12" s="1"/>
  <c r="I666" i="12" a="1"/>
  <c r="I666" i="12" s="1"/>
  <c r="J666" i="12" s="1" a="1"/>
  <c r="J666" i="12" s="1"/>
  <c r="K666" i="12" s="1"/>
  <c r="I673" i="12" a="1"/>
  <c r="I673" i="12" s="1"/>
  <c r="J673" i="12" s="1" a="1"/>
  <c r="J673" i="12" s="1"/>
  <c r="K673" i="12" s="1"/>
  <c r="I680" i="12" a="1"/>
  <c r="I680" i="12" s="1"/>
  <c r="J680" i="12" s="1" a="1"/>
  <c r="J680" i="12" s="1"/>
  <c r="K680" i="12" s="1"/>
  <c r="I687" i="12" a="1"/>
  <c r="I687" i="12" s="1"/>
  <c r="J687" i="12" s="1" a="1"/>
  <c r="J687" i="12" s="1"/>
  <c r="K687" i="12" s="1"/>
  <c r="I694" i="12" a="1"/>
  <c r="I694" i="12" s="1"/>
  <c r="J694" i="12" s="1" a="1"/>
  <c r="J694" i="12" s="1"/>
  <c r="K694" i="12" s="1"/>
  <c r="I701" i="12" a="1"/>
  <c r="I701" i="12" s="1"/>
  <c r="J701" i="12" s="1" a="1"/>
  <c r="J701" i="12" s="1"/>
  <c r="K701" i="12" s="1"/>
  <c r="I708" i="12" a="1"/>
  <c r="I708" i="12" s="1"/>
  <c r="J708" i="12" s="1" a="1"/>
  <c r="J708" i="12" s="1"/>
  <c r="K708" i="12" s="1"/>
  <c r="I715" i="12" a="1"/>
  <c r="I715" i="12" s="1"/>
  <c r="J715" i="12" s="1" a="1"/>
  <c r="J715" i="12" s="1"/>
  <c r="K715" i="12" s="1"/>
  <c r="I722" i="12" a="1"/>
  <c r="I722" i="12" s="1"/>
  <c r="J722" i="12" s="1" a="1"/>
  <c r="J722" i="12" s="1"/>
  <c r="K722" i="12" s="1"/>
  <c r="I730" i="12" a="1"/>
  <c r="I730" i="12" s="1"/>
  <c r="J730" i="12" s="1" a="1"/>
  <c r="J730" i="12" s="1"/>
  <c r="K730" i="12" s="1"/>
  <c r="I736" i="12" a="1"/>
  <c r="I736" i="12" s="1"/>
  <c r="J736" i="12" s="1" a="1"/>
  <c r="J736" i="12" s="1"/>
  <c r="K736" i="12" s="1"/>
  <c r="I744" i="12" a="1"/>
  <c r="I744" i="12" s="1"/>
  <c r="J744" i="12" s="1" a="1"/>
  <c r="J744" i="12" s="1"/>
  <c r="K744" i="12" s="1"/>
  <c r="I751" i="12" a="1"/>
  <c r="I751" i="12" s="1"/>
  <c r="J751" i="12" s="1" a="1"/>
  <c r="J751" i="12" s="1"/>
  <c r="K751" i="12" s="1"/>
  <c r="I758" i="12" a="1"/>
  <c r="I758" i="12" s="1"/>
  <c r="J758" i="12" s="1" a="1"/>
  <c r="J758" i="12" s="1"/>
  <c r="K758" i="12" s="1"/>
  <c r="I765" i="12" a="1"/>
  <c r="I765" i="12" s="1"/>
  <c r="J765" i="12" s="1" a="1"/>
  <c r="J765" i="12" s="1"/>
  <c r="K765" i="12" s="1"/>
  <c r="I772" i="12" a="1"/>
  <c r="I772" i="12" s="1"/>
  <c r="J772" i="12" s="1" a="1"/>
  <c r="J772" i="12" s="1"/>
  <c r="K772" i="12" s="1"/>
  <c r="I779" i="12" a="1"/>
  <c r="I779" i="12" s="1"/>
  <c r="J779" i="12" s="1" a="1"/>
  <c r="J779" i="12" s="1"/>
  <c r="K779" i="12" s="1"/>
  <c r="I786" i="12" a="1"/>
  <c r="I786" i="12" s="1"/>
  <c r="J786" i="12" s="1" a="1"/>
  <c r="J786" i="12" s="1"/>
  <c r="K786" i="12" s="1"/>
  <c r="I794" i="12" a="1"/>
  <c r="I794" i="12" s="1"/>
  <c r="J794" i="12" s="1" a="1"/>
  <c r="J794" i="12" s="1"/>
  <c r="K794" i="12" s="1"/>
  <c r="I800" i="12" a="1"/>
  <c r="I800" i="12" s="1"/>
  <c r="J800" i="12" s="1" a="1"/>
  <c r="J800" i="12" s="1"/>
  <c r="K800" i="12" s="1"/>
  <c r="I808" i="12" a="1"/>
  <c r="I808" i="12" s="1"/>
  <c r="J808" i="12" s="1" a="1"/>
  <c r="J808" i="12" s="1"/>
  <c r="K808" i="12" s="1"/>
  <c r="I815" i="12" a="1"/>
  <c r="I815" i="12" s="1"/>
  <c r="J815" i="12" s="1" a="1"/>
  <c r="J815" i="12" s="1"/>
  <c r="K815" i="12" s="1"/>
  <c r="I822" i="12" a="1"/>
  <c r="I822" i="12" s="1"/>
  <c r="J822" i="12" s="1" a="1"/>
  <c r="J822" i="12" s="1"/>
  <c r="K822" i="12" s="1"/>
  <c r="I829" i="12" a="1"/>
  <c r="I829" i="12" s="1"/>
  <c r="J829" i="12" s="1" a="1"/>
  <c r="J829" i="12" s="1"/>
  <c r="K829" i="12" s="1"/>
  <c r="I836" i="12" a="1"/>
  <c r="I836" i="12" s="1"/>
  <c r="J836" i="12" s="1" a="1"/>
  <c r="J836" i="12" s="1"/>
  <c r="K836" i="12" s="1"/>
  <c r="I843" i="12" a="1"/>
  <c r="I843" i="12" s="1"/>
  <c r="J843" i="12" s="1" a="1"/>
  <c r="J843" i="12" s="1"/>
  <c r="K843" i="12" s="1"/>
  <c r="I850" i="12" a="1"/>
  <c r="I850" i="12" s="1"/>
  <c r="J850" i="12" s="1" a="1"/>
  <c r="J850" i="12" s="1"/>
  <c r="K850" i="12" s="1"/>
  <c r="I858" i="12" a="1"/>
  <c r="I858" i="12" s="1"/>
  <c r="J858" i="12" s="1" a="1"/>
  <c r="J858" i="12" s="1"/>
  <c r="K858" i="12" s="1"/>
  <c r="I864" i="12" a="1"/>
  <c r="I864" i="12" s="1"/>
  <c r="J864" i="12" s="1" a="1"/>
  <c r="J864" i="12" s="1"/>
  <c r="K864" i="12" s="1"/>
  <c r="I945" i="12" a="1"/>
  <c r="I945" i="12" s="1"/>
  <c r="J945" i="12" s="1" a="1"/>
  <c r="J945" i="12" s="1"/>
  <c r="K945" i="12" s="1"/>
  <c r="I7" i="12" a="1"/>
  <c r="I7" i="12" s="1"/>
  <c r="J7" i="12" s="1" a="1"/>
  <c r="J7" i="12" s="1"/>
  <c r="K7" i="12" s="1"/>
  <c r="I19" i="12" a="1"/>
  <c r="I19" i="12" s="1"/>
  <c r="J19" i="12" s="1" a="1"/>
  <c r="J19" i="12" s="1"/>
  <c r="K19" i="12" s="1"/>
  <c r="I31" i="12" a="1"/>
  <c r="I31" i="12" s="1"/>
  <c r="J31" i="12" s="1" a="1"/>
  <c r="J31" i="12" s="1"/>
  <c r="K31" i="12" s="1"/>
  <c r="I43" i="12" a="1"/>
  <c r="I43" i="12" s="1"/>
  <c r="J43" i="12" s="1" a="1"/>
  <c r="J43" i="12" s="1"/>
  <c r="K43" i="12" s="1"/>
  <c r="I56" i="12" a="1"/>
  <c r="I56" i="12" s="1"/>
  <c r="J56" i="12" s="1" a="1"/>
  <c r="J56" i="12" s="1"/>
  <c r="K56" i="12" s="1"/>
  <c r="I68" i="12" a="1"/>
  <c r="I68" i="12" s="1"/>
  <c r="J68" i="12" s="1" a="1"/>
  <c r="J68" i="12" s="1"/>
  <c r="K68" i="12" s="1"/>
  <c r="I91" i="12" a="1"/>
  <c r="I91" i="12" s="1"/>
  <c r="J91" i="12" s="1" a="1"/>
  <c r="J91" i="12" s="1"/>
  <c r="K91" i="12" s="1"/>
  <c r="I105" i="12" a="1"/>
  <c r="I105" i="12" s="1"/>
  <c r="J105" i="12" s="1" a="1"/>
  <c r="J105" i="12" s="1"/>
  <c r="K105" i="12" s="1"/>
  <c r="I116" i="12" a="1"/>
  <c r="I116" i="12" s="1"/>
  <c r="J116" i="12" s="1" a="1"/>
  <c r="J116" i="12" s="1"/>
  <c r="K116" i="12" s="1"/>
  <c r="I141" i="12" a="1"/>
  <c r="I141" i="12" s="1"/>
  <c r="J141" i="12" s="1" a="1"/>
  <c r="J141" i="12" s="1"/>
  <c r="K141" i="12" s="1"/>
  <c r="I153" i="12" a="1"/>
  <c r="I153" i="12" s="1"/>
  <c r="J153" i="12" s="1" a="1"/>
  <c r="J153" i="12" s="1"/>
  <c r="K153" i="12" s="1"/>
  <c r="I165" i="12" a="1"/>
  <c r="I165" i="12" s="1"/>
  <c r="J165" i="12" s="1" a="1"/>
  <c r="J165" i="12" s="1"/>
  <c r="K165" i="12" s="1"/>
  <c r="I177" i="12" a="1"/>
  <c r="I177" i="12" s="1"/>
  <c r="J177" i="12" s="1" a="1"/>
  <c r="J177" i="12" s="1"/>
  <c r="K177" i="12" s="1"/>
  <c r="I189" i="12" a="1"/>
  <c r="I189" i="12" s="1"/>
  <c r="J189" i="12" s="1" a="1"/>
  <c r="J189" i="12" s="1"/>
  <c r="K189" i="12" s="1"/>
  <c r="I202" i="12" a="1"/>
  <c r="I202" i="12" s="1"/>
  <c r="J202" i="12" s="1" a="1"/>
  <c r="J202" i="12" s="1"/>
  <c r="K202" i="12" s="1"/>
  <c r="I211" i="12" a="1"/>
  <c r="I211" i="12" s="1"/>
  <c r="J211" i="12" s="1" a="1"/>
  <c r="J211" i="12" s="1"/>
  <c r="K211" i="12" s="1"/>
  <c r="I218" i="12" a="1"/>
  <c r="I218" i="12" s="1"/>
  <c r="J218" i="12" s="1" a="1"/>
  <c r="J218" i="12" s="1"/>
  <c r="K218" i="12" s="1"/>
  <c r="I225" i="12" a="1"/>
  <c r="I225" i="12" s="1"/>
  <c r="J225" i="12" s="1" a="1"/>
  <c r="J225" i="12" s="1"/>
  <c r="K225" i="12" s="1"/>
  <c r="I233" i="12" a="1"/>
  <c r="I233" i="12" s="1"/>
  <c r="J233" i="12" s="1" a="1"/>
  <c r="J233" i="12" s="1"/>
  <c r="K233" i="12" s="1"/>
  <c r="I247" i="12" a="1"/>
  <c r="I247" i="12" s="1"/>
  <c r="J247" i="12" s="1" a="1"/>
  <c r="J247" i="12" s="1"/>
  <c r="K247" i="12" s="1"/>
  <c r="I252" i="12" a="1"/>
  <c r="I252" i="12" s="1"/>
  <c r="J252" i="12" s="1" a="1"/>
  <c r="J252" i="12" s="1"/>
  <c r="K252" i="12" s="1"/>
  <c r="I259" i="12" a="1"/>
  <c r="I259" i="12" s="1"/>
  <c r="J259" i="12" s="1" a="1"/>
  <c r="J259" i="12" s="1"/>
  <c r="K259" i="12" s="1"/>
  <c r="I272" i="12" a="1"/>
  <c r="I272" i="12" s="1"/>
  <c r="J272" i="12" s="1" a="1"/>
  <c r="J272" i="12" s="1"/>
  <c r="K272" i="12" s="1"/>
  <c r="I277" i="12" a="1"/>
  <c r="I277" i="12" s="1"/>
  <c r="J277" i="12" s="1" a="1"/>
  <c r="J277" i="12" s="1"/>
  <c r="K277" i="12" s="1"/>
  <c r="I283" i="12" a="1"/>
  <c r="I283" i="12" s="1"/>
  <c r="J283" i="12" s="1" a="1"/>
  <c r="J283" i="12" s="1"/>
  <c r="K283" i="12" s="1"/>
  <c r="I290" i="12" a="1"/>
  <c r="I290" i="12" s="1"/>
  <c r="J290" i="12" s="1" a="1"/>
  <c r="J290" i="12" s="1"/>
  <c r="K290" i="12" s="1"/>
  <c r="I297" i="12" a="1"/>
  <c r="I297" i="12" s="1"/>
  <c r="J297" i="12" s="1" a="1"/>
  <c r="J297" i="12" s="1"/>
  <c r="K297" i="12" s="1"/>
  <c r="I303" i="12" a="1"/>
  <c r="I303" i="12" s="1"/>
  <c r="J303" i="12" s="1" a="1"/>
  <c r="J303" i="12" s="1"/>
  <c r="K303" i="12" s="1"/>
  <c r="I308" i="12" a="1"/>
  <c r="I308" i="12" s="1"/>
  <c r="J308" i="12" s="1" a="1"/>
  <c r="J308" i="12" s="1"/>
  <c r="K308" i="12" s="1"/>
  <c r="I321" i="12" a="1"/>
  <c r="I321" i="12" s="1"/>
  <c r="J321" i="12" s="1" a="1"/>
  <c r="J321" i="12" s="1"/>
  <c r="K321" i="12" s="1"/>
  <c r="I334" i="12" a="1"/>
  <c r="I334" i="12" s="1"/>
  <c r="J334" i="12" s="1" a="1"/>
  <c r="J334" i="12" s="1"/>
  <c r="K334" i="12" s="1"/>
  <c r="I339" i="12" a="1"/>
  <c r="I339" i="12" s="1"/>
  <c r="J339" i="12" s="1" a="1"/>
  <c r="J339" i="12" s="1"/>
  <c r="K339" i="12" s="1"/>
  <c r="I347" i="12" a="1"/>
  <c r="I347" i="12" s="1"/>
  <c r="J347" i="12" s="1" a="1"/>
  <c r="J347" i="12" s="1"/>
  <c r="K347" i="12" s="1"/>
  <c r="I355" i="12" a="1"/>
  <c r="I355" i="12" s="1"/>
  <c r="J355" i="12" s="1" a="1"/>
  <c r="J355" i="12" s="1"/>
  <c r="K355" i="12" s="1"/>
  <c r="I363" i="12" a="1"/>
  <c r="I363" i="12" s="1"/>
  <c r="J363" i="12" s="1" a="1"/>
  <c r="J363" i="12" s="1"/>
  <c r="K363" i="12" s="1"/>
  <c r="I370" i="12" a="1"/>
  <c r="I370" i="12" s="1"/>
  <c r="J370" i="12" s="1" a="1"/>
  <c r="J370" i="12" s="1"/>
  <c r="K370" i="12" s="1"/>
  <c r="I378" i="12" a="1"/>
  <c r="I378" i="12" s="1"/>
  <c r="J378" i="12" s="1" a="1"/>
  <c r="J378" i="12" s="1"/>
  <c r="K378" i="12" s="1"/>
  <c r="I385" i="12" a="1"/>
  <c r="I385" i="12" s="1"/>
  <c r="J385" i="12" s="1" a="1"/>
  <c r="J385" i="12" s="1"/>
  <c r="K385" i="12" s="1"/>
  <c r="I393" i="12" a="1"/>
  <c r="I393" i="12" s="1"/>
  <c r="J393" i="12" s="1" a="1"/>
  <c r="J393" i="12" s="1"/>
  <c r="K393" i="12" s="1"/>
  <c r="I401" i="12" a="1"/>
  <c r="I401" i="12" s="1"/>
  <c r="J401" i="12" s="1" a="1"/>
  <c r="J401" i="12" s="1"/>
  <c r="K401" i="12" s="1"/>
  <c r="I409" i="12" a="1"/>
  <c r="I409" i="12" s="1"/>
  <c r="J409" i="12" s="1" a="1"/>
  <c r="J409" i="12" s="1"/>
  <c r="K409" i="12" s="1"/>
  <c r="I417" i="12" a="1"/>
  <c r="I417" i="12" s="1"/>
  <c r="J417" i="12" s="1" a="1"/>
  <c r="J417" i="12" s="1"/>
  <c r="K417" i="12" s="1"/>
  <c r="I425" i="12" a="1"/>
  <c r="I425" i="12" s="1"/>
  <c r="J425" i="12" s="1" a="1"/>
  <c r="J425" i="12" s="1"/>
  <c r="K425" i="12" s="1"/>
  <c r="I432" i="12" a="1"/>
  <c r="I432" i="12" s="1"/>
  <c r="J432" i="12" s="1" a="1"/>
  <c r="J432" i="12" s="1"/>
  <c r="K432" i="12" s="1"/>
  <c r="I440" i="12" a="1"/>
  <c r="I440" i="12" s="1"/>
  <c r="J440" i="12" s="1" a="1"/>
  <c r="J440" i="12" s="1"/>
  <c r="K440" i="12" s="1"/>
  <c r="I448" i="12" a="1"/>
  <c r="I448" i="12" s="1"/>
  <c r="J448" i="12" s="1" a="1"/>
  <c r="J448" i="12" s="1"/>
  <c r="K448" i="12" s="1"/>
  <c r="I455" i="12" a="1"/>
  <c r="I455" i="12" s="1"/>
  <c r="J455" i="12" s="1" a="1"/>
  <c r="J455" i="12" s="1"/>
  <c r="K455" i="12" s="1"/>
  <c r="I463" i="12" a="1"/>
  <c r="I463" i="12" s="1"/>
  <c r="J463" i="12" s="1" a="1"/>
  <c r="J463" i="12" s="1"/>
  <c r="K463" i="12" s="1"/>
  <c r="I471" i="12" a="1"/>
  <c r="I471" i="12" s="1"/>
  <c r="J471" i="12" s="1" a="1"/>
  <c r="J471" i="12" s="1"/>
  <c r="K471" i="12" s="1"/>
  <c r="I479" i="12" a="1"/>
  <c r="I479" i="12" s="1"/>
  <c r="J479" i="12" s="1" a="1"/>
  <c r="J479" i="12" s="1"/>
  <c r="K479" i="12" s="1"/>
  <c r="I487" i="12" a="1"/>
  <c r="I487" i="12" s="1"/>
  <c r="J487" i="12" s="1" a="1"/>
  <c r="J487" i="12" s="1"/>
  <c r="K487" i="12" s="1"/>
  <c r="I494" i="12" a="1"/>
  <c r="I494" i="12" s="1"/>
  <c r="J494" i="12" s="1" a="1"/>
  <c r="J494" i="12" s="1"/>
  <c r="K494" i="12" s="1"/>
  <c r="I502" i="12" a="1"/>
  <c r="I502" i="12" s="1"/>
  <c r="J502" i="12" s="1" a="1"/>
  <c r="J502" i="12" s="1"/>
  <c r="K502" i="12" s="1"/>
  <c r="I510" i="12" a="1"/>
  <c r="I510" i="12" s="1"/>
  <c r="J510" i="12" s="1" a="1"/>
  <c r="J510" i="12" s="1"/>
  <c r="K510" i="12" s="1"/>
  <c r="I517" i="12" a="1"/>
  <c r="I517" i="12" s="1"/>
  <c r="J517" i="12" s="1" a="1"/>
  <c r="J517" i="12" s="1"/>
  <c r="K517" i="12" s="1"/>
  <c r="I525" i="12" a="1"/>
  <c r="I525" i="12" s="1"/>
  <c r="J525" i="12" s="1" a="1"/>
  <c r="J525" i="12" s="1"/>
  <c r="K525" i="12" s="1"/>
  <c r="I533" i="12" a="1"/>
  <c r="I533" i="12" s="1"/>
  <c r="J533" i="12" s="1" a="1"/>
  <c r="J533" i="12" s="1"/>
  <c r="K533" i="12" s="1"/>
  <c r="I541" i="12" a="1"/>
  <c r="I541" i="12" s="1"/>
  <c r="J541" i="12" s="1" a="1"/>
  <c r="J541" i="12" s="1"/>
  <c r="K541" i="12" s="1"/>
  <c r="I549" i="12" a="1"/>
  <c r="I549" i="12" s="1"/>
  <c r="J549" i="12" s="1" a="1"/>
  <c r="J549" i="12" s="1"/>
  <c r="K549" i="12" s="1"/>
  <c r="I556" i="12" a="1"/>
  <c r="I556" i="12" s="1"/>
  <c r="J556" i="12" s="1" a="1"/>
  <c r="J556" i="12" s="1"/>
  <c r="K556" i="12" s="1"/>
  <c r="I563" i="12" a="1"/>
  <c r="I563" i="12" s="1"/>
  <c r="J563" i="12" s="1" a="1"/>
  <c r="J563" i="12" s="1"/>
  <c r="K563" i="12" s="1"/>
  <c r="I570" i="12" a="1"/>
  <c r="I570" i="12" s="1"/>
  <c r="J570" i="12" s="1" a="1"/>
  <c r="J570" i="12" s="1"/>
  <c r="K570" i="12" s="1"/>
  <c r="I577" i="12" a="1"/>
  <c r="I577" i="12" s="1"/>
  <c r="J577" i="12" s="1" a="1"/>
  <c r="J577" i="12" s="1"/>
  <c r="K577" i="12" s="1"/>
  <c r="I584" i="12" a="1"/>
  <c r="I584" i="12" s="1"/>
  <c r="J584" i="12" s="1" a="1"/>
  <c r="J584" i="12" s="1"/>
  <c r="K584" i="12" s="1"/>
  <c r="I591" i="12" a="1"/>
  <c r="I591" i="12" s="1"/>
  <c r="J591" i="12" s="1" a="1"/>
  <c r="J591" i="12" s="1"/>
  <c r="K591" i="12" s="1"/>
  <c r="I598" i="12" a="1"/>
  <c r="I598" i="12" s="1"/>
  <c r="J598" i="12" s="1" a="1"/>
  <c r="J598" i="12" s="1"/>
  <c r="K598" i="12" s="1"/>
  <c r="I605" i="12" a="1"/>
  <c r="I605" i="12" s="1"/>
  <c r="J605" i="12" s="1" a="1"/>
  <c r="J605" i="12" s="1"/>
  <c r="K605" i="12" s="1"/>
  <c r="I612" i="12" a="1"/>
  <c r="I612" i="12" s="1"/>
  <c r="J612" i="12" s="1" a="1"/>
  <c r="J612" i="12" s="1"/>
  <c r="K612" i="12" s="1"/>
  <c r="I619" i="12" a="1"/>
  <c r="I619" i="12" s="1"/>
  <c r="J619" i="12" s="1" a="1"/>
  <c r="J619" i="12" s="1"/>
  <c r="K619" i="12" s="1"/>
  <c r="I625" i="12" a="1"/>
  <c r="I625" i="12" s="1"/>
  <c r="J625" i="12" s="1" a="1"/>
  <c r="J625" i="12" s="1"/>
  <c r="K625" i="12" s="1"/>
  <c r="I632" i="12" a="1"/>
  <c r="I632" i="12" s="1"/>
  <c r="J632" i="12" s="1" a="1"/>
  <c r="J632" i="12" s="1"/>
  <c r="K632" i="12" s="1"/>
  <c r="I647" i="12" a="1"/>
  <c r="I647" i="12" s="1"/>
  <c r="J647" i="12" s="1" a="1"/>
  <c r="J647" i="12" s="1"/>
  <c r="K647" i="12" s="1"/>
  <c r="I653" i="12" a="1"/>
  <c r="I653" i="12" s="1"/>
  <c r="J653" i="12" s="1" a="1"/>
  <c r="J653" i="12" s="1"/>
  <c r="K653" i="12" s="1"/>
  <c r="I660" i="12" a="1"/>
  <c r="I660" i="12" s="1"/>
  <c r="J660" i="12" s="1" a="1"/>
  <c r="J660" i="12" s="1"/>
  <c r="K660" i="12" s="1"/>
  <c r="I667" i="12" a="1"/>
  <c r="I667" i="12" s="1"/>
  <c r="J667" i="12" s="1" a="1"/>
  <c r="J667" i="12" s="1"/>
  <c r="K667" i="12" s="1"/>
  <c r="I674" i="12" a="1"/>
  <c r="I674" i="12" s="1"/>
  <c r="J674" i="12" s="1" a="1"/>
  <c r="J674" i="12" s="1"/>
  <c r="K674" i="12" s="1"/>
  <c r="I681" i="12" a="1"/>
  <c r="I681" i="12" s="1"/>
  <c r="J681" i="12" s="1" a="1"/>
  <c r="J681" i="12" s="1"/>
  <c r="K681" i="12" s="1"/>
  <c r="I695" i="12" a="1"/>
  <c r="I695" i="12" s="1"/>
  <c r="J695" i="12" s="1" a="1"/>
  <c r="J695" i="12" s="1"/>
  <c r="K695" i="12" s="1"/>
  <c r="I702" i="12" a="1"/>
  <c r="I702" i="12" s="1"/>
  <c r="J702" i="12" s="1" a="1"/>
  <c r="J702" i="12" s="1"/>
  <c r="K702" i="12" s="1"/>
  <c r="I709" i="12" a="1"/>
  <c r="I709" i="12" s="1"/>
  <c r="J709" i="12" s="1" a="1"/>
  <c r="J709" i="12" s="1"/>
  <c r="K709" i="12" s="1"/>
  <c r="I716" i="12" a="1"/>
  <c r="I716" i="12" s="1"/>
  <c r="J716" i="12" s="1" a="1"/>
  <c r="J716" i="12" s="1"/>
  <c r="K716" i="12" s="1"/>
  <c r="I723" i="12" a="1"/>
  <c r="I723" i="12" s="1"/>
  <c r="J723" i="12" s="1" a="1"/>
  <c r="J723" i="12" s="1"/>
  <c r="K723" i="12" s="1"/>
  <c r="I737" i="12" a="1"/>
  <c r="I737" i="12" s="1"/>
  <c r="J737" i="12" s="1" a="1"/>
  <c r="J737" i="12" s="1"/>
  <c r="K737" i="12" s="1"/>
  <c r="I745" i="12" a="1"/>
  <c r="I745" i="12" s="1"/>
  <c r="J745" i="12" s="1" a="1"/>
  <c r="J745" i="12" s="1"/>
  <c r="K745" i="12" s="1"/>
  <c r="I759" i="12" a="1"/>
  <c r="I759" i="12" s="1"/>
  <c r="J759" i="12" s="1" a="1"/>
  <c r="J759" i="12" s="1"/>
  <c r="K759" i="12" s="1"/>
  <c r="I766" i="12" a="1"/>
  <c r="I766" i="12" s="1"/>
  <c r="J766" i="12" s="1" a="1"/>
  <c r="J766" i="12" s="1"/>
  <c r="K766" i="12" s="1"/>
  <c r="I773" i="12" a="1"/>
  <c r="I773" i="12" s="1"/>
  <c r="J773" i="12" s="1" a="1"/>
  <c r="J773" i="12" s="1"/>
  <c r="K773" i="12" s="1"/>
  <c r="I780" i="12" a="1"/>
  <c r="I780" i="12" s="1"/>
  <c r="J780" i="12" s="1" a="1"/>
  <c r="J780" i="12" s="1"/>
  <c r="K780" i="12" s="1"/>
  <c r="I787" i="12" a="1"/>
  <c r="I787" i="12" s="1"/>
  <c r="J787" i="12" s="1" a="1"/>
  <c r="J787" i="12" s="1"/>
  <c r="K787" i="12" s="1"/>
  <c r="I801" i="12" a="1"/>
  <c r="I801" i="12" s="1"/>
  <c r="J801" i="12" s="1" a="1"/>
  <c r="J801" i="12" s="1"/>
  <c r="K801" i="12" s="1"/>
  <c r="I809" i="12" a="1"/>
  <c r="I809" i="12" s="1"/>
  <c r="J809" i="12" s="1" a="1"/>
  <c r="J809" i="12" s="1"/>
  <c r="K809" i="12" s="1"/>
  <c r="I823" i="12" a="1"/>
  <c r="I823" i="12" s="1"/>
  <c r="J823" i="12" s="1" a="1"/>
  <c r="J823" i="12" s="1"/>
  <c r="K823" i="12" s="1"/>
  <c r="I830" i="12" a="1"/>
  <c r="I830" i="12" s="1"/>
  <c r="J830" i="12" s="1" a="1"/>
  <c r="J830" i="12" s="1"/>
  <c r="K830" i="12" s="1"/>
  <c r="I837" i="12" a="1"/>
  <c r="I837" i="12" s="1"/>
  <c r="J837" i="12" s="1" a="1"/>
  <c r="J837" i="12" s="1"/>
  <c r="K837" i="12" s="1"/>
  <c r="I844" i="12" a="1"/>
  <c r="I844" i="12" s="1"/>
  <c r="J844" i="12" s="1" a="1"/>
  <c r="J844" i="12" s="1"/>
  <c r="K844" i="12" s="1"/>
  <c r="I851" i="12" a="1"/>
  <c r="I851" i="12" s="1"/>
  <c r="J851" i="12" s="1" a="1"/>
  <c r="J851" i="12" s="1"/>
  <c r="K851" i="12" s="1"/>
  <c r="I11" i="12" a="1"/>
  <c r="I11" i="12" s="1"/>
  <c r="J11" i="12" s="1" a="1"/>
  <c r="J11" i="12" s="1"/>
  <c r="K11" i="12" s="1"/>
  <c r="I24" i="12" a="1"/>
  <c r="I24" i="12" s="1"/>
  <c r="J24" i="12" s="1" a="1"/>
  <c r="J24" i="12" s="1"/>
  <c r="K24" i="12" s="1"/>
  <c r="I35" i="12" a="1"/>
  <c r="I35" i="12" s="1"/>
  <c r="J35" i="12" s="1" a="1"/>
  <c r="J35" i="12" s="1"/>
  <c r="K35" i="12" s="1"/>
  <c r="I48" i="12" a="1"/>
  <c r="I48" i="12" s="1"/>
  <c r="J48" i="12" s="1" a="1"/>
  <c r="J48" i="12" s="1"/>
  <c r="K48" i="12" s="1"/>
  <c r="I83" i="12" a="1"/>
  <c r="I83" i="12" s="1"/>
  <c r="J83" i="12" s="1" a="1"/>
  <c r="J83" i="12" s="1"/>
  <c r="K83" i="12" s="1"/>
  <c r="I96" i="12" a="1"/>
  <c r="I96" i="12" s="1"/>
  <c r="J96" i="12" s="1" a="1"/>
  <c r="J96" i="12" s="1"/>
  <c r="K96" i="12" s="1"/>
  <c r="I108" i="12" a="1"/>
  <c r="I108" i="12" s="1"/>
  <c r="J108" i="12" s="1" a="1"/>
  <c r="J108" i="12" s="1"/>
  <c r="K108" i="12" s="1"/>
  <c r="I133" i="12" a="1"/>
  <c r="I133" i="12" s="1"/>
  <c r="J133" i="12" s="1" a="1"/>
  <c r="J133" i="12" s="1"/>
  <c r="K133" i="12" s="1"/>
  <c r="I145" i="12" a="1"/>
  <c r="I145" i="12" s="1"/>
  <c r="J145" i="12" s="1" a="1"/>
  <c r="J145" i="12" s="1"/>
  <c r="K145" i="12" s="1"/>
  <c r="I156" i="12" a="1"/>
  <c r="I156" i="12" s="1"/>
  <c r="J156" i="12" s="1" a="1"/>
  <c r="J156" i="12" s="1"/>
  <c r="K156" i="12" s="1"/>
  <c r="I169" i="12" a="1"/>
  <c r="I169" i="12" s="1"/>
  <c r="J169" i="12" s="1" a="1"/>
  <c r="J169" i="12" s="1"/>
  <c r="K169" i="12" s="1"/>
  <c r="I180" i="12" a="1"/>
  <c r="I180" i="12" s="1"/>
  <c r="J180" i="12" s="1" a="1"/>
  <c r="J180" i="12" s="1"/>
  <c r="K180" i="12" s="1"/>
  <c r="I193" i="12" a="1"/>
  <c r="I193" i="12" s="1"/>
  <c r="J193" i="12" s="1" a="1"/>
  <c r="J193" i="12" s="1"/>
  <c r="K193" i="12" s="1"/>
  <c r="I212" i="12" a="1"/>
  <c r="I212" i="12" s="1"/>
  <c r="J212" i="12" s="1" a="1"/>
  <c r="J212" i="12" s="1"/>
  <c r="K212" i="12" s="1"/>
  <c r="I226" i="12" a="1"/>
  <c r="I226" i="12" s="1"/>
  <c r="J226" i="12" s="1" a="1"/>
  <c r="J226" i="12" s="1"/>
  <c r="K226" i="12" s="1"/>
  <c r="I241" i="12" a="1"/>
  <c r="I241" i="12" s="1"/>
  <c r="J241" i="12" s="1" a="1"/>
  <c r="J241" i="12" s="1"/>
  <c r="K241" i="12" s="1"/>
  <c r="I248" i="12" a="1"/>
  <c r="I248" i="12" s="1"/>
  <c r="J248" i="12" s="1" a="1"/>
  <c r="J248" i="12" s="1"/>
  <c r="K248" i="12" s="1"/>
  <c r="I253" i="12" a="1"/>
  <c r="I253" i="12" s="1"/>
  <c r="J253" i="12" s="1" a="1"/>
  <c r="J253" i="12" s="1"/>
  <c r="K253" i="12" s="1"/>
  <c r="I260" i="12" a="1"/>
  <c r="I260" i="12" s="1"/>
  <c r="J260" i="12" s="1" a="1"/>
  <c r="J260" i="12" s="1"/>
  <c r="K260" i="12" s="1"/>
  <c r="I266" i="12" a="1"/>
  <c r="I266" i="12" s="1"/>
  <c r="J266" i="12" s="1" a="1"/>
  <c r="J266" i="12" s="1"/>
  <c r="K266" i="12" s="1"/>
  <c r="I278" i="12" a="1"/>
  <c r="I278" i="12" s="1"/>
  <c r="J278" i="12" s="1" a="1"/>
  <c r="J278" i="12" s="1"/>
  <c r="K278" i="12" s="1"/>
  <c r="I284" i="12" a="1"/>
  <c r="I284" i="12" s="1"/>
  <c r="J284" i="12" s="1" a="1"/>
  <c r="J284" i="12" s="1"/>
  <c r="K284" i="12" s="1"/>
  <c r="I291" i="12" a="1"/>
  <c r="I291" i="12" s="1"/>
  <c r="J291" i="12" s="1" a="1"/>
  <c r="J291" i="12" s="1"/>
  <c r="K291" i="12" s="1"/>
  <c r="I304" i="12" a="1"/>
  <c r="I304" i="12" s="1"/>
  <c r="J304" i="12" s="1" a="1"/>
  <c r="J304" i="12" s="1"/>
  <c r="K304" i="12" s="1"/>
  <c r="I309" i="12" a="1"/>
  <c r="I309" i="12" s="1"/>
  <c r="J309" i="12" s="1" a="1"/>
  <c r="J309" i="12" s="1"/>
  <c r="K309" i="12" s="1"/>
  <c r="I315" i="12" a="1"/>
  <c r="I315" i="12" s="1"/>
  <c r="J315" i="12" s="1" a="1"/>
  <c r="J315" i="12" s="1"/>
  <c r="K315" i="12" s="1"/>
  <c r="I322" i="12" a="1"/>
  <c r="I322" i="12" s="1"/>
  <c r="J322" i="12" s="1" a="1"/>
  <c r="J322" i="12" s="1"/>
  <c r="K322" i="12" s="1"/>
  <c r="I329" i="12" a="1"/>
  <c r="I329" i="12" s="1"/>
  <c r="J329" i="12" s="1" a="1"/>
  <c r="J329" i="12" s="1"/>
  <c r="K329" i="12" s="1"/>
  <c r="I335" i="12" a="1"/>
  <c r="I335" i="12" s="1"/>
  <c r="J335" i="12" s="1" a="1"/>
  <c r="J335" i="12" s="1"/>
  <c r="K335" i="12" s="1"/>
  <c r="I340" i="12" a="1"/>
  <c r="I340" i="12" s="1"/>
  <c r="J340" i="12" s="1" a="1"/>
  <c r="J340" i="12" s="1"/>
  <c r="K340" i="12" s="1"/>
  <c r="I348" i="12" a="1"/>
  <c r="I348" i="12" s="1"/>
  <c r="J348" i="12" s="1" a="1"/>
  <c r="J348" i="12" s="1"/>
  <c r="K348" i="12" s="1"/>
  <c r="I356" i="12" a="1"/>
  <c r="I356" i="12" s="1"/>
  <c r="J356" i="12" s="1" a="1"/>
  <c r="J356" i="12" s="1"/>
  <c r="K356" i="12" s="1"/>
  <c r="I371" i="12" a="1"/>
  <c r="I371" i="12" s="1"/>
  <c r="J371" i="12" s="1" a="1"/>
  <c r="J371" i="12" s="1"/>
  <c r="K371" i="12" s="1"/>
  <c r="I379" i="12" a="1"/>
  <c r="I379" i="12" s="1"/>
  <c r="J379" i="12" s="1" a="1"/>
  <c r="J379" i="12" s="1"/>
  <c r="K379" i="12" s="1"/>
  <c r="I386" i="12" a="1"/>
  <c r="I386" i="12" s="1"/>
  <c r="J386" i="12" s="1" a="1"/>
  <c r="J386" i="12" s="1"/>
  <c r="K386" i="12" s="1"/>
  <c r="I394" i="12" a="1"/>
  <c r="I394" i="12" s="1"/>
  <c r="J394" i="12" s="1" a="1"/>
  <c r="J394" i="12" s="1"/>
  <c r="K394" i="12" s="1"/>
  <c r="I402" i="12" a="1"/>
  <c r="I402" i="12" s="1"/>
  <c r="J402" i="12" s="1" a="1"/>
  <c r="J402" i="12" s="1"/>
  <c r="K402" i="12" s="1"/>
  <c r="I410" i="12" a="1"/>
  <c r="I410" i="12" s="1"/>
  <c r="J410" i="12" s="1" a="1"/>
  <c r="J410" i="12" s="1"/>
  <c r="K410" i="12" s="1"/>
  <c r="I418" i="12" a="1"/>
  <c r="I418" i="12" s="1"/>
  <c r="J418" i="12" s="1" a="1"/>
  <c r="J418" i="12" s="1"/>
  <c r="K418" i="12" s="1"/>
  <c r="I426" i="12" a="1"/>
  <c r="I426" i="12" s="1"/>
  <c r="J426" i="12" s="1" a="1"/>
  <c r="J426" i="12" s="1"/>
  <c r="K426" i="12" s="1"/>
  <c r="I433" i="12" a="1"/>
  <c r="I433" i="12" s="1"/>
  <c r="J433" i="12" s="1" a="1"/>
  <c r="J433" i="12" s="1"/>
  <c r="K433" i="12" s="1"/>
  <c r="I441" i="12" a="1"/>
  <c r="I441" i="12" s="1"/>
  <c r="J441" i="12" s="1" a="1"/>
  <c r="J441" i="12" s="1"/>
  <c r="K441" i="12" s="1"/>
  <c r="I456" i="12" a="1"/>
  <c r="I456" i="12" s="1"/>
  <c r="J456" i="12" s="1" a="1"/>
  <c r="J456" i="12" s="1"/>
  <c r="K456" i="12" s="1"/>
  <c r="I464" i="12" a="1"/>
  <c r="I464" i="12" s="1"/>
  <c r="J464" i="12" s="1" a="1"/>
  <c r="J464" i="12" s="1"/>
  <c r="K464" i="12" s="1"/>
  <c r="I472" i="12" a="1"/>
  <c r="I472" i="12" s="1"/>
  <c r="J472" i="12" s="1" a="1"/>
  <c r="J472" i="12" s="1"/>
  <c r="K472" i="12" s="1"/>
  <c r="I480" i="12" a="1"/>
  <c r="I480" i="12" s="1"/>
  <c r="J480" i="12" s="1" a="1"/>
  <c r="J480" i="12" s="1"/>
  <c r="K480" i="12" s="1"/>
  <c r="I488" i="12" a="1"/>
  <c r="I488" i="12" s="1"/>
  <c r="J488" i="12" s="1" a="1"/>
  <c r="J488" i="12" s="1"/>
  <c r="K488" i="12" s="1"/>
  <c r="I495" i="12" a="1"/>
  <c r="I495" i="12" s="1"/>
  <c r="J495" i="12" s="1" a="1"/>
  <c r="J495" i="12" s="1"/>
  <c r="K495" i="12" s="1"/>
  <c r="I503" i="12" a="1"/>
  <c r="I503" i="12" s="1"/>
  <c r="J503" i="12" s="1" a="1"/>
  <c r="J503" i="12" s="1"/>
  <c r="K503" i="12" s="1"/>
  <c r="I511" i="12" a="1"/>
  <c r="I511" i="12" s="1"/>
  <c r="J511" i="12" s="1" a="1"/>
  <c r="J511" i="12" s="1"/>
  <c r="K511" i="12" s="1"/>
  <c r="I518" i="12" a="1"/>
  <c r="I518" i="12" s="1"/>
  <c r="J518" i="12" s="1" a="1"/>
  <c r="J518" i="12" s="1"/>
  <c r="K518" i="12" s="1"/>
  <c r="I526" i="12" a="1"/>
  <c r="I526" i="12" s="1"/>
  <c r="J526" i="12" s="1" a="1"/>
  <c r="J526" i="12" s="1"/>
  <c r="K526" i="12" s="1"/>
  <c r="I534" i="12" a="1"/>
  <c r="I534" i="12" s="1"/>
  <c r="J534" i="12" s="1" a="1"/>
  <c r="J534" i="12" s="1"/>
  <c r="K534" i="12" s="1"/>
  <c r="I542" i="12" a="1"/>
  <c r="I542" i="12" s="1"/>
  <c r="J542" i="12" s="1" a="1"/>
  <c r="J542" i="12" s="1"/>
  <c r="K542" i="12" s="1"/>
  <c r="I550" i="12" a="1"/>
  <c r="I550" i="12" s="1"/>
  <c r="J550" i="12" s="1" a="1"/>
  <c r="J550" i="12" s="1"/>
  <c r="K550" i="12" s="1"/>
  <c r="I557" i="12" a="1"/>
  <c r="I557" i="12" s="1"/>
  <c r="J557" i="12" s="1" a="1"/>
  <c r="J557" i="12" s="1"/>
  <c r="K557" i="12" s="1"/>
  <c r="I564" i="12" a="1"/>
  <c r="I564" i="12" s="1"/>
  <c r="J564" i="12" s="1" a="1"/>
  <c r="J564" i="12" s="1"/>
  <c r="K564" i="12" s="1"/>
  <c r="I571" i="12" a="1"/>
  <c r="I571" i="12" s="1"/>
  <c r="J571" i="12" s="1" a="1"/>
  <c r="J571" i="12" s="1"/>
  <c r="K571" i="12" s="1"/>
  <c r="I578" i="12" a="1"/>
  <c r="I578" i="12" s="1"/>
  <c r="J578" i="12" s="1" a="1"/>
  <c r="J578" i="12" s="1"/>
  <c r="K578" i="12" s="1"/>
  <c r="I585" i="12" a="1"/>
  <c r="I585" i="12" s="1"/>
  <c r="J585" i="12" s="1" a="1"/>
  <c r="J585" i="12" s="1"/>
  <c r="K585" i="12" s="1"/>
  <c r="I599" i="12" a="1"/>
  <c r="I599" i="12" s="1"/>
  <c r="J599" i="12" s="1" a="1"/>
  <c r="J599" i="12" s="1"/>
  <c r="K599" i="12" s="1"/>
  <c r="I606" i="12" a="1"/>
  <c r="I606" i="12" s="1"/>
  <c r="J606" i="12" s="1" a="1"/>
  <c r="J606" i="12" s="1"/>
  <c r="K606" i="12" s="1"/>
  <c r="I613" i="12" a="1"/>
  <c r="I613" i="12" s="1"/>
  <c r="J613" i="12" s="1" a="1"/>
  <c r="J613" i="12" s="1"/>
  <c r="K613" i="12" s="1"/>
  <c r="I626" i="12" a="1"/>
  <c r="I626" i="12" s="1"/>
  <c r="J626" i="12" s="1" a="1"/>
  <c r="J626" i="12" s="1"/>
  <c r="K626" i="12" s="1"/>
  <c r="I633" i="12" a="1"/>
  <c r="I633" i="12" s="1"/>
  <c r="J633" i="12" s="1" a="1"/>
  <c r="J633" i="12" s="1"/>
  <c r="K633" i="12" s="1"/>
  <c r="I640" i="12" a="1"/>
  <c r="I640" i="12" s="1"/>
  <c r="J640" i="12" s="1" a="1"/>
  <c r="J640" i="12" s="1"/>
  <c r="K640" i="12" s="1"/>
  <c r="I654" i="12" a="1"/>
  <c r="I654" i="12" s="1"/>
  <c r="J654" i="12" s="1" a="1"/>
  <c r="J654" i="12" s="1"/>
  <c r="K654" i="12" s="1"/>
  <c r="I661" i="12" a="1"/>
  <c r="I661" i="12" s="1"/>
  <c r="J661" i="12" s="1" a="1"/>
  <c r="J661" i="12" s="1"/>
  <c r="K661" i="12" s="1"/>
  <c r="I668" i="12" a="1"/>
  <c r="I668" i="12" s="1"/>
  <c r="J668" i="12" s="1" a="1"/>
  <c r="J668" i="12" s="1"/>
  <c r="K668" i="12" s="1"/>
  <c r="I675" i="12" a="1"/>
  <c r="I675" i="12" s="1"/>
  <c r="J675" i="12" s="1" a="1"/>
  <c r="J675" i="12" s="1"/>
  <c r="K675" i="12" s="1"/>
  <c r="I682" i="12" a="1"/>
  <c r="I682" i="12" s="1"/>
  <c r="J682" i="12" s="1" a="1"/>
  <c r="J682" i="12" s="1"/>
  <c r="K682" i="12" s="1"/>
  <c r="I688" i="12" a="1"/>
  <c r="I688" i="12" s="1"/>
  <c r="J688" i="12" s="1" a="1"/>
  <c r="J688" i="12" s="1"/>
  <c r="K688" i="12" s="1"/>
  <c r="I703" i="12" a="1"/>
  <c r="I703" i="12" s="1"/>
  <c r="J703" i="12" s="1" a="1"/>
  <c r="J703" i="12" s="1"/>
  <c r="K703" i="12" s="1"/>
  <c r="I710" i="12" a="1"/>
  <c r="I710" i="12" s="1"/>
  <c r="J710" i="12" s="1" a="1"/>
  <c r="J710" i="12" s="1"/>
  <c r="K710" i="12" s="1"/>
  <c r="I717" i="12" a="1"/>
  <c r="I717" i="12" s="1"/>
  <c r="J717" i="12" s="1" a="1"/>
  <c r="J717" i="12" s="1"/>
  <c r="K717" i="12" s="1"/>
  <c r="I724" i="12" a="1"/>
  <c r="I724" i="12" s="1"/>
  <c r="J724" i="12" s="1" a="1"/>
  <c r="J724" i="12" s="1"/>
  <c r="K724" i="12" s="1"/>
  <c r="I731" i="12" a="1"/>
  <c r="I731" i="12" s="1"/>
  <c r="J731" i="12" s="1" a="1"/>
  <c r="J731" i="12" s="1"/>
  <c r="K731" i="12" s="1"/>
  <c r="I738" i="12" a="1"/>
  <c r="I738" i="12" s="1"/>
  <c r="J738" i="12" s="1" a="1"/>
  <c r="J738" i="12" s="1"/>
  <c r="K738" i="12" s="1"/>
  <c r="I746" i="12" a="1"/>
  <c r="I746" i="12" s="1"/>
  <c r="J746" i="12" s="1" a="1"/>
  <c r="J746" i="12" s="1"/>
  <c r="K746" i="12" s="1"/>
  <c r="I752" i="12" a="1"/>
  <c r="I752" i="12" s="1"/>
  <c r="J752" i="12" s="1" a="1"/>
  <c r="J752" i="12" s="1"/>
  <c r="K752" i="12" s="1"/>
  <c r="I760" i="12" a="1"/>
  <c r="I760" i="12" s="1"/>
  <c r="J760" i="12" s="1" a="1"/>
  <c r="J760" i="12" s="1"/>
  <c r="K760" i="12" s="1"/>
  <c r="I767" i="12" a="1"/>
  <c r="I767" i="12" s="1"/>
  <c r="J767" i="12" s="1" a="1"/>
  <c r="J767" i="12" s="1"/>
  <c r="K767" i="12" s="1"/>
  <c r="I774" i="12" a="1"/>
  <c r="I774" i="12" s="1"/>
  <c r="J774" i="12" s="1" a="1"/>
  <c r="J774" i="12" s="1"/>
  <c r="K774" i="12" s="1"/>
  <c r="I781" i="12" a="1"/>
  <c r="I781" i="12" s="1"/>
  <c r="J781" i="12" s="1" a="1"/>
  <c r="J781" i="12" s="1"/>
  <c r="K781" i="12" s="1"/>
  <c r="I788" i="12" a="1"/>
  <c r="I788" i="12" s="1"/>
  <c r="J788" i="12" s="1" a="1"/>
  <c r="J788" i="12" s="1"/>
  <c r="K788" i="12" s="1"/>
  <c r="I795" i="12" a="1"/>
  <c r="I795" i="12" s="1"/>
  <c r="J795" i="12" s="1" a="1"/>
  <c r="J795" i="12" s="1"/>
  <c r="K795" i="12" s="1"/>
  <c r="I802" i="12" a="1"/>
  <c r="I802" i="12" s="1"/>
  <c r="J802" i="12" s="1" a="1"/>
  <c r="J802" i="12" s="1"/>
  <c r="K802" i="12" s="1"/>
  <c r="I810" i="12" a="1"/>
  <c r="I810" i="12" s="1"/>
  <c r="J810" i="12" s="1" a="1"/>
  <c r="J810" i="12" s="1"/>
  <c r="K810" i="12" s="1"/>
  <c r="I816" i="12" a="1"/>
  <c r="I816" i="12" s="1"/>
  <c r="J816" i="12" s="1" a="1"/>
  <c r="J816" i="12" s="1"/>
  <c r="K816" i="12" s="1"/>
  <c r="I824" i="12" a="1"/>
  <c r="I824" i="12" s="1"/>
  <c r="J824" i="12" s="1" a="1"/>
  <c r="J824" i="12" s="1"/>
  <c r="K824" i="12" s="1"/>
  <c r="I831" i="12" a="1"/>
  <c r="I831" i="12" s="1"/>
  <c r="J831" i="12" s="1" a="1"/>
  <c r="J831" i="12" s="1"/>
  <c r="K831" i="12" s="1"/>
  <c r="I838" i="12" a="1"/>
  <c r="I838" i="12" s="1"/>
  <c r="J838" i="12" s="1" a="1"/>
  <c r="J838" i="12" s="1"/>
  <c r="K838" i="12" s="1"/>
  <c r="I845" i="12" a="1"/>
  <c r="I845" i="12" s="1"/>
  <c r="J845" i="12" s="1" a="1"/>
  <c r="J845" i="12" s="1"/>
  <c r="K845" i="12" s="1"/>
  <c r="I6" i="12" a="1"/>
  <c r="I6" i="12" s="1"/>
  <c r="J6" i="12" s="1" a="1"/>
  <c r="J6" i="12" s="1"/>
  <c r="K6" i="12" s="1"/>
  <c r="I18" i="12" a="1"/>
  <c r="I18" i="12" s="1"/>
  <c r="J18" i="12" s="1" a="1"/>
  <c r="J18" i="12" s="1"/>
  <c r="K18" i="12" s="1"/>
  <c r="I42" i="12" a="1"/>
  <c r="I42" i="12" s="1"/>
  <c r="J42" i="12" s="1" a="1"/>
  <c r="J42" i="12" s="1"/>
  <c r="K42" i="12" s="1"/>
  <c r="I54" i="12" a="1"/>
  <c r="I54" i="12" s="1"/>
  <c r="J54" i="12" s="1" a="1"/>
  <c r="J54" i="12" s="1"/>
  <c r="K54" i="12" s="1"/>
  <c r="I66" i="12" a="1"/>
  <c r="I66" i="12" s="1"/>
  <c r="J66" i="12" s="1" a="1"/>
  <c r="J66" i="12" s="1"/>
  <c r="K66" i="12" s="1"/>
  <c r="I79" i="12" a="1"/>
  <c r="I79" i="12" s="1"/>
  <c r="J79" i="12" s="1" a="1"/>
  <c r="J79" i="12" s="1"/>
  <c r="K79" i="12" s="1"/>
  <c r="I90" i="12" a="1"/>
  <c r="I90" i="12" s="1"/>
  <c r="J90" i="12" s="1" a="1"/>
  <c r="J90" i="12" s="1"/>
  <c r="K90" i="12" s="1"/>
  <c r="I104" i="12" a="1"/>
  <c r="I104" i="12" s="1"/>
  <c r="J104" i="12" s="1" a="1"/>
  <c r="J104" i="12" s="1"/>
  <c r="K104" i="12" s="1"/>
  <c r="I127" i="12" a="1"/>
  <c r="I127" i="12" s="1"/>
  <c r="J127" i="12" s="1" a="1"/>
  <c r="J127" i="12" s="1"/>
  <c r="K127" i="12" s="1"/>
  <c r="I139" i="12" a="1"/>
  <c r="I139" i="12" s="1"/>
  <c r="J139" i="12" s="1" a="1"/>
  <c r="J139" i="12" s="1"/>
  <c r="K139" i="12" s="1"/>
  <c r="I152" i="12" a="1"/>
  <c r="I152" i="12" s="1"/>
  <c r="J152" i="12" s="1" a="1"/>
  <c r="J152" i="12" s="1"/>
  <c r="K152" i="12" s="1"/>
  <c r="I163" i="12" a="1"/>
  <c r="I163" i="12" s="1"/>
  <c r="J163" i="12" s="1" a="1"/>
  <c r="J163" i="12" s="1"/>
  <c r="K163" i="12" s="1"/>
  <c r="I176" i="12" a="1"/>
  <c r="I176" i="12" s="1"/>
  <c r="J176" i="12" s="1" a="1"/>
  <c r="J176" i="12" s="1"/>
  <c r="K176" i="12" s="1"/>
  <c r="I187" i="12" a="1"/>
  <c r="I187" i="12" s="1"/>
  <c r="J187" i="12" s="1" a="1"/>
  <c r="J187" i="12" s="1"/>
  <c r="K187" i="12" s="1"/>
  <c r="I201" i="12" a="1"/>
  <c r="I201" i="12" s="1"/>
  <c r="J201" i="12" s="1" a="1"/>
  <c r="J201" i="12" s="1"/>
  <c r="K201" i="12" s="1"/>
  <c r="I209" i="12" a="1"/>
  <c r="I209" i="12" s="1"/>
  <c r="J209" i="12" s="1" a="1"/>
  <c r="J209" i="12" s="1"/>
  <c r="K209" i="12" s="1"/>
  <c r="I217" i="12" a="1"/>
  <c r="I217" i="12" s="1"/>
  <c r="J217" i="12" s="1" a="1"/>
  <c r="J217" i="12" s="1"/>
  <c r="K217" i="12" s="1"/>
  <c r="I224" i="12" a="1"/>
  <c r="I224" i="12" s="1"/>
  <c r="J224" i="12" s="1" a="1"/>
  <c r="J224" i="12" s="1"/>
  <c r="K224" i="12" s="1"/>
  <c r="I232" i="12" a="1"/>
  <c r="I232" i="12" s="1"/>
  <c r="J232" i="12" s="1" a="1"/>
  <c r="J232" i="12" s="1"/>
  <c r="K232" i="12" s="1"/>
  <c r="I239" i="12" a="1"/>
  <c r="I239" i="12" s="1"/>
  <c r="J239" i="12" s="1" a="1"/>
  <c r="J239" i="12" s="1"/>
  <c r="K239" i="12" s="1"/>
  <c r="I245" i="12" a="1"/>
  <c r="I245" i="12" s="1"/>
  <c r="J245" i="12" s="1" a="1"/>
  <c r="J245" i="12" s="1"/>
  <c r="K245" i="12" s="1"/>
  <c r="I257" i="12" a="1"/>
  <c r="I257" i="12" s="1"/>
  <c r="J257" i="12" s="1" a="1"/>
  <c r="J257" i="12" s="1"/>
  <c r="K257" i="12" s="1"/>
  <c r="I270" i="12" a="1"/>
  <c r="I270" i="12" s="1"/>
  <c r="J270" i="12" s="1" a="1"/>
  <c r="J270" i="12" s="1"/>
  <c r="K270" i="12" s="1"/>
  <c r="I275" i="12" a="1"/>
  <c r="I275" i="12" s="1"/>
  <c r="J275" i="12" s="1" a="1"/>
  <c r="J275" i="12" s="1"/>
  <c r="K275" i="12" s="1"/>
  <c r="I282" i="12" a="1"/>
  <c r="I282" i="12" s="1"/>
  <c r="J282" i="12" s="1" a="1"/>
  <c r="J282" i="12" s="1"/>
  <c r="K282" i="12" s="1"/>
  <c r="I296" i="12" a="1"/>
  <c r="I296" i="12" s="1"/>
  <c r="J296" i="12" s="1" a="1"/>
  <c r="J296" i="12" s="1"/>
  <c r="K296" i="12" s="1"/>
  <c r="I301" i="12" a="1"/>
  <c r="I301" i="12" s="1"/>
  <c r="J301" i="12" s="1" a="1"/>
  <c r="J301" i="12" s="1"/>
  <c r="K301" i="12" s="1"/>
  <c r="I320" i="12" a="1"/>
  <c r="I320" i="12" s="1"/>
  <c r="J320" i="12" s="1" a="1"/>
  <c r="J320" i="12" s="1"/>
  <c r="K320" i="12" s="1"/>
  <c r="I327" i="12" a="1"/>
  <c r="I327" i="12" s="1"/>
  <c r="J327" i="12" s="1" a="1"/>
  <c r="J327" i="12" s="1"/>
  <c r="K327" i="12" s="1"/>
  <c r="I332" i="12" a="1"/>
  <c r="I332" i="12" s="1"/>
  <c r="J332" i="12" s="1" a="1"/>
  <c r="J332" i="12" s="1"/>
  <c r="K332" i="12" s="1"/>
  <c r="I338" i="12" a="1"/>
  <c r="I338" i="12" s="1"/>
  <c r="J338" i="12" s="1" a="1"/>
  <c r="J338" i="12" s="1"/>
  <c r="K338" i="12" s="1"/>
  <c r="I345" i="12" a="1"/>
  <c r="I345" i="12" s="1"/>
  <c r="J345" i="12" s="1" a="1"/>
  <c r="J345" i="12" s="1"/>
  <c r="K345" i="12" s="1"/>
  <c r="I353" i="12" a="1"/>
  <c r="I353" i="12" s="1"/>
  <c r="J353" i="12" s="1" a="1"/>
  <c r="J353" i="12" s="1"/>
  <c r="K353" i="12" s="1"/>
  <c r="I361" i="12" a="1"/>
  <c r="I361" i="12" s="1"/>
  <c r="J361" i="12" s="1" a="1"/>
  <c r="J361" i="12" s="1"/>
  <c r="K361" i="12" s="1"/>
  <c r="I368" i="12" a="1"/>
  <c r="I368" i="12" s="1"/>
  <c r="J368" i="12" s="1" a="1"/>
  <c r="J368" i="12" s="1"/>
  <c r="K368" i="12" s="1"/>
  <c r="I376" i="12" a="1"/>
  <c r="I376" i="12" s="1"/>
  <c r="J376" i="12" s="1" a="1"/>
  <c r="J376" i="12" s="1"/>
  <c r="K376" i="12" s="1"/>
  <c r="I384" i="12" a="1"/>
  <c r="I384" i="12" s="1"/>
  <c r="J384" i="12" s="1" a="1"/>
  <c r="J384" i="12" s="1"/>
  <c r="K384" i="12" s="1"/>
  <c r="I391" i="12" a="1"/>
  <c r="I391" i="12" s="1"/>
  <c r="J391" i="12" s="1" a="1"/>
  <c r="J391" i="12" s="1"/>
  <c r="K391" i="12" s="1"/>
  <c r="I399" i="12" a="1"/>
  <c r="I399" i="12" s="1"/>
  <c r="J399" i="12" s="1" a="1"/>
  <c r="J399" i="12" s="1"/>
  <c r="K399" i="12" s="1"/>
  <c r="I407" i="12" a="1"/>
  <c r="I407" i="12" s="1"/>
  <c r="J407" i="12" s="1" a="1"/>
  <c r="J407" i="12" s="1"/>
  <c r="K407" i="12" s="1"/>
  <c r="I415" i="12" a="1"/>
  <c r="I415" i="12" s="1"/>
  <c r="J415" i="12" s="1" a="1"/>
  <c r="J415" i="12" s="1"/>
  <c r="K415" i="12" s="1"/>
  <c r="I423" i="12" a="1"/>
  <c r="I423" i="12" s="1"/>
  <c r="J423" i="12" s="1" a="1"/>
  <c r="J423" i="12" s="1"/>
  <c r="K423" i="12" s="1"/>
  <c r="I430" i="12" a="1"/>
  <c r="I430" i="12" s="1"/>
  <c r="J430" i="12" s="1" a="1"/>
  <c r="J430" i="12" s="1"/>
  <c r="K430" i="12" s="1"/>
  <c r="I438" i="12" a="1"/>
  <c r="I438" i="12" s="1"/>
  <c r="J438" i="12" s="1" a="1"/>
  <c r="J438" i="12" s="1"/>
  <c r="K438" i="12" s="1"/>
  <c r="I446" i="12" a="1"/>
  <c r="I446" i="12" s="1"/>
  <c r="J446" i="12" s="1" a="1"/>
  <c r="J446" i="12" s="1"/>
  <c r="K446" i="12" s="1"/>
  <c r="I453" i="12" a="1"/>
  <c r="I453" i="12" s="1"/>
  <c r="J453" i="12" s="1" a="1"/>
  <c r="J453" i="12" s="1"/>
  <c r="K453" i="12" s="1"/>
  <c r="I461" i="12" a="1"/>
  <c r="I461" i="12" s="1"/>
  <c r="J461" i="12" s="1" a="1"/>
  <c r="J461" i="12" s="1"/>
  <c r="K461" i="12" s="1"/>
  <c r="I469" i="12" a="1"/>
  <c r="I469" i="12" s="1"/>
  <c r="J469" i="12" s="1" a="1"/>
  <c r="J469" i="12" s="1"/>
  <c r="K469" i="12" s="1"/>
  <c r="I477" i="12" a="1"/>
  <c r="I477" i="12" s="1"/>
  <c r="J477" i="12" s="1" a="1"/>
  <c r="J477" i="12" s="1"/>
  <c r="K477" i="12" s="1"/>
  <c r="I485" i="12" a="1"/>
  <c r="I485" i="12" s="1"/>
  <c r="J485" i="12" s="1" a="1"/>
  <c r="J485" i="12" s="1"/>
  <c r="K485" i="12" s="1"/>
  <c r="I492" i="12" a="1"/>
  <c r="I492" i="12" s="1"/>
  <c r="J492" i="12" s="1" a="1"/>
  <c r="J492" i="12" s="1"/>
  <c r="K492" i="12" s="1"/>
  <c r="I500" i="12" a="1"/>
  <c r="I500" i="12" s="1"/>
  <c r="J500" i="12" s="1" a="1"/>
  <c r="J500" i="12" s="1"/>
  <c r="K500" i="12" s="1"/>
  <c r="I508" i="12" a="1"/>
  <c r="I508" i="12" s="1"/>
  <c r="J508" i="12" s="1" a="1"/>
  <c r="J508" i="12" s="1"/>
  <c r="K508" i="12" s="1"/>
  <c r="I515" i="12" a="1"/>
  <c r="I515" i="12" s="1"/>
  <c r="J515" i="12" s="1" a="1"/>
  <c r="J515" i="12" s="1"/>
  <c r="K515" i="12" s="1"/>
  <c r="I523" i="12" a="1"/>
  <c r="I523" i="12" s="1"/>
  <c r="J523" i="12" s="1" a="1"/>
  <c r="J523" i="12" s="1"/>
  <c r="K523" i="12" s="1"/>
  <c r="I531" i="12" a="1"/>
  <c r="I531" i="12" s="1"/>
  <c r="J531" i="12" s="1" a="1"/>
  <c r="J531" i="12" s="1"/>
  <c r="K531" i="12" s="1"/>
  <c r="I539" i="12" a="1"/>
  <c r="I539" i="12" s="1"/>
  <c r="J539" i="12" s="1" a="1"/>
  <c r="J539" i="12" s="1"/>
  <c r="K539" i="12" s="1"/>
  <c r="I547" i="12" a="1"/>
  <c r="I547" i="12" s="1"/>
  <c r="J547" i="12" s="1" a="1"/>
  <c r="J547" i="12" s="1"/>
  <c r="K547" i="12" s="1"/>
  <c r="I555" i="12" a="1"/>
  <c r="I555" i="12" s="1"/>
  <c r="J555" i="12" s="1" a="1"/>
  <c r="J555" i="12" s="1"/>
  <c r="K555" i="12" s="1"/>
  <c r="I561" i="12" a="1"/>
  <c r="I561" i="12" s="1"/>
  <c r="J561" i="12" s="1" a="1"/>
  <c r="J561" i="12" s="1"/>
  <c r="K561" i="12" s="1"/>
  <c r="I568" i="12" a="1"/>
  <c r="I568" i="12" s="1"/>
  <c r="J568" i="12" s="1" a="1"/>
  <c r="J568" i="12" s="1"/>
  <c r="K568" i="12" s="1"/>
  <c r="I583" i="12" a="1"/>
  <c r="I583" i="12" s="1"/>
  <c r="J583" i="12" s="1" a="1"/>
  <c r="J583" i="12" s="1"/>
  <c r="K583" i="12" s="1"/>
  <c r="I589" i="12" a="1"/>
  <c r="I589" i="12" s="1"/>
  <c r="J589" i="12" s="1" a="1"/>
  <c r="J589" i="12" s="1"/>
  <c r="K589" i="12" s="1"/>
  <c r="I596" i="12" a="1"/>
  <c r="I596" i="12" s="1"/>
  <c r="J596" i="12" s="1" a="1"/>
  <c r="J596" i="12" s="1"/>
  <c r="K596" i="12" s="1"/>
  <c r="I603" i="12" a="1"/>
  <c r="I603" i="12" s="1"/>
  <c r="J603" i="12" s="1" a="1"/>
  <c r="J603" i="12" s="1"/>
  <c r="K603" i="12" s="1"/>
  <c r="I610" i="12" a="1"/>
  <c r="I610" i="12" s="1"/>
  <c r="J610" i="12" s="1" a="1"/>
  <c r="J610" i="12" s="1"/>
  <c r="K610" i="12" s="1"/>
  <c r="I617" i="12" a="1"/>
  <c r="I617" i="12" s="1"/>
  <c r="J617" i="12" s="1" a="1"/>
  <c r="J617" i="12" s="1"/>
  <c r="K617" i="12" s="1"/>
  <c r="I631" i="12" a="1"/>
  <c r="I631" i="12" s="1"/>
  <c r="J631" i="12" s="1" a="1"/>
  <c r="J631" i="12" s="1"/>
  <c r="K631" i="12" s="1"/>
  <c r="I638" i="12" a="1"/>
  <c r="I638" i="12" s="1"/>
  <c r="J638" i="12" s="1" a="1"/>
  <c r="J638" i="12" s="1"/>
  <c r="K638" i="12" s="1"/>
  <c r="I645" i="12" a="1"/>
  <c r="I645" i="12" s="1"/>
  <c r="J645" i="12" s="1" a="1"/>
  <c r="J645" i="12" s="1"/>
  <c r="K645" i="12" s="1"/>
  <c r="I658" i="12" a="1"/>
  <c r="I658" i="12" s="1"/>
  <c r="J658" i="12" s="1" a="1"/>
  <c r="J658" i="12" s="1"/>
  <c r="K658" i="12" s="1"/>
  <c r="I665" i="12" a="1"/>
  <c r="I665" i="12" s="1"/>
  <c r="J665" i="12" s="1" a="1"/>
  <c r="J665" i="12" s="1"/>
  <c r="K665" i="12" s="1"/>
  <c r="I672" i="12" a="1"/>
  <c r="I672" i="12" s="1"/>
  <c r="J672" i="12" s="1" a="1"/>
  <c r="J672" i="12" s="1"/>
  <c r="K672" i="12" s="1"/>
  <c r="I686" i="12" a="1"/>
  <c r="I686" i="12" s="1"/>
  <c r="J686" i="12" s="1" a="1"/>
  <c r="J686" i="12" s="1"/>
  <c r="K686" i="12" s="1"/>
  <c r="I693" i="12" a="1"/>
  <c r="I693" i="12" s="1"/>
  <c r="J693" i="12" s="1" a="1"/>
  <c r="J693" i="12" s="1"/>
  <c r="K693" i="12" s="1"/>
  <c r="I700" i="12" a="1"/>
  <c r="I700" i="12" s="1"/>
  <c r="J700" i="12" s="1" a="1"/>
  <c r="J700" i="12" s="1"/>
  <c r="K700" i="12" s="1"/>
  <c r="I707" i="12" a="1"/>
  <c r="I707" i="12" s="1"/>
  <c r="J707" i="12" s="1" a="1"/>
  <c r="J707" i="12" s="1"/>
  <c r="K707" i="12" s="1"/>
  <c r="I721" i="12" a="1"/>
  <c r="I721" i="12" s="1"/>
  <c r="J721" i="12" s="1" a="1"/>
  <c r="J721" i="12" s="1"/>
  <c r="K721" i="12" s="1"/>
  <c r="I729" i="12" a="1"/>
  <c r="I729" i="12" s="1"/>
  <c r="J729" i="12" s="1" a="1"/>
  <c r="J729" i="12" s="1"/>
  <c r="K729" i="12" s="1"/>
  <c r="I743" i="12" a="1"/>
  <c r="I743" i="12" s="1"/>
  <c r="J743" i="12" s="1" a="1"/>
  <c r="J743" i="12" s="1"/>
  <c r="K743" i="12" s="1"/>
  <c r="I750" i="12" a="1"/>
  <c r="I750" i="12" s="1"/>
  <c r="J750" i="12" s="1" a="1"/>
  <c r="J750" i="12" s="1"/>
  <c r="K750" i="12" s="1"/>
  <c r="I757" i="12" a="1"/>
  <c r="I757" i="12" s="1"/>
  <c r="J757" i="12" s="1" a="1"/>
  <c r="J757" i="12" s="1"/>
  <c r="K757" i="12" s="1"/>
  <c r="I764" i="12" a="1"/>
  <c r="I764" i="12" s="1"/>
  <c r="J764" i="12" s="1" a="1"/>
  <c r="J764" i="12" s="1"/>
  <c r="K764" i="12" s="1"/>
  <c r="I771" i="12" a="1"/>
  <c r="I771" i="12" s="1"/>
  <c r="J771" i="12" s="1" a="1"/>
  <c r="J771" i="12" s="1"/>
  <c r="K771" i="12" s="1"/>
  <c r="I785" i="12" a="1"/>
  <c r="I785" i="12" s="1"/>
  <c r="J785" i="12" s="1" a="1"/>
  <c r="J785" i="12" s="1"/>
  <c r="K785" i="12" s="1"/>
  <c r="I793" i="12" a="1"/>
  <c r="I793" i="12" s="1"/>
  <c r="J793" i="12" s="1" a="1"/>
  <c r="J793" i="12" s="1"/>
  <c r="K793" i="12" s="1"/>
  <c r="I807" i="12" a="1"/>
  <c r="I807" i="12" s="1"/>
  <c r="J807" i="12" s="1" a="1"/>
  <c r="J807" i="12" s="1"/>
  <c r="K807" i="12" s="1"/>
  <c r="I814" i="12" a="1"/>
  <c r="I814" i="12" s="1"/>
  <c r="J814" i="12" s="1" a="1"/>
  <c r="J814" i="12" s="1"/>
  <c r="K814" i="12" s="1"/>
  <c r="I821" i="12" a="1"/>
  <c r="I821" i="12" s="1"/>
  <c r="J821" i="12" s="1" a="1"/>
  <c r="J821" i="12" s="1"/>
  <c r="K821" i="12" s="1"/>
  <c r="I73" i="12" a="1"/>
  <c r="I73" i="12" s="1"/>
  <c r="J73" i="12" s="1" a="1"/>
  <c r="J73" i="12" s="1"/>
  <c r="K73" i="12" s="1"/>
  <c r="I121" i="12" a="1"/>
  <c r="I121" i="12" s="1"/>
  <c r="J121" i="12" s="1" a="1"/>
  <c r="J121" i="12" s="1"/>
  <c r="K121" i="12" s="1"/>
  <c r="I194" i="12" a="1"/>
  <c r="I194" i="12" s="1"/>
  <c r="J194" i="12" s="1" a="1"/>
  <c r="J194" i="12" s="1"/>
  <c r="K194" i="12" s="1"/>
  <c r="I213" i="12" a="1"/>
  <c r="I213" i="12" s="1"/>
  <c r="J213" i="12" s="1" a="1"/>
  <c r="J213" i="12" s="1"/>
  <c r="K213" i="12" s="1"/>
  <c r="I227" i="12" a="1"/>
  <c r="I227" i="12" s="1"/>
  <c r="J227" i="12" s="1" a="1"/>
  <c r="J227" i="12" s="1"/>
  <c r="K227" i="12" s="1"/>
  <c r="I242" i="12" a="1"/>
  <c r="I242" i="12" s="1"/>
  <c r="J242" i="12" s="1" a="1"/>
  <c r="J242" i="12" s="1"/>
  <c r="K242" i="12" s="1"/>
  <c r="I254" i="12" a="1"/>
  <c r="I254" i="12" s="1"/>
  <c r="J254" i="12" s="1" a="1"/>
  <c r="J254" i="12" s="1"/>
  <c r="K254" i="12" s="1"/>
  <c r="I279" i="12" a="1"/>
  <c r="I279" i="12" s="1"/>
  <c r="J279" i="12" s="1" a="1"/>
  <c r="J279" i="12" s="1"/>
  <c r="K279" i="12" s="1"/>
  <c r="I292" i="12" a="1"/>
  <c r="I292" i="12" s="1"/>
  <c r="J292" i="12" s="1" a="1"/>
  <c r="J292" i="12" s="1"/>
  <c r="K292" i="12" s="1"/>
  <c r="I316" i="12" a="1"/>
  <c r="I316" i="12" s="1"/>
  <c r="J316" i="12" s="1" a="1"/>
  <c r="J316" i="12" s="1"/>
  <c r="K316" i="12" s="1"/>
  <c r="I341" i="12" a="1"/>
  <c r="I341" i="12" s="1"/>
  <c r="J341" i="12" s="1" a="1"/>
  <c r="J341" i="12" s="1"/>
  <c r="K341" i="12" s="1"/>
  <c r="I357" i="12" a="1"/>
  <c r="I357" i="12" s="1"/>
  <c r="J357" i="12" s="1" a="1"/>
  <c r="J357" i="12" s="1"/>
  <c r="K357" i="12" s="1"/>
  <c r="I372" i="12" a="1"/>
  <c r="I372" i="12" s="1"/>
  <c r="J372" i="12" s="1" a="1"/>
  <c r="J372" i="12" s="1"/>
  <c r="K372" i="12" s="1"/>
  <c r="I387" i="12" a="1"/>
  <c r="I387" i="12" s="1"/>
  <c r="J387" i="12" s="1" a="1"/>
  <c r="J387" i="12" s="1"/>
  <c r="K387" i="12" s="1"/>
  <c r="I403" i="12" a="1"/>
  <c r="I403" i="12" s="1"/>
  <c r="J403" i="12" s="1" a="1"/>
  <c r="J403" i="12" s="1"/>
  <c r="K403" i="12" s="1"/>
  <c r="I419" i="12" a="1"/>
  <c r="I419" i="12" s="1"/>
  <c r="J419" i="12" s="1" a="1"/>
  <c r="J419" i="12" s="1"/>
  <c r="K419" i="12" s="1"/>
  <c r="I434" i="12" a="1"/>
  <c r="I434" i="12" s="1"/>
  <c r="J434" i="12" s="1" a="1"/>
  <c r="J434" i="12" s="1"/>
  <c r="K434" i="12" s="1"/>
  <c r="I449" i="12" a="1"/>
  <c r="I449" i="12" s="1"/>
  <c r="J449" i="12" s="1" a="1"/>
  <c r="J449" i="12" s="1"/>
  <c r="K449" i="12" s="1"/>
  <c r="I465" i="12" a="1"/>
  <c r="I465" i="12" s="1"/>
  <c r="J465" i="12" s="1" a="1"/>
  <c r="J465" i="12" s="1"/>
  <c r="K465" i="12" s="1"/>
  <c r="I481" i="12" a="1"/>
  <c r="I481" i="12" s="1"/>
  <c r="J481" i="12" s="1" a="1"/>
  <c r="J481" i="12" s="1"/>
  <c r="K481" i="12" s="1"/>
  <c r="I496" i="12" a="1"/>
  <c r="I496" i="12" s="1"/>
  <c r="J496" i="12" s="1" a="1"/>
  <c r="J496" i="12" s="1"/>
  <c r="K496" i="12" s="1"/>
  <c r="I512" i="12" a="1"/>
  <c r="I512" i="12" s="1"/>
  <c r="J512" i="12" s="1" a="1"/>
  <c r="J512" i="12" s="1"/>
  <c r="K512" i="12" s="1"/>
  <c r="I527" i="12" a="1"/>
  <c r="I527" i="12" s="1"/>
  <c r="J527" i="12" s="1" a="1"/>
  <c r="J527" i="12" s="1"/>
  <c r="K527" i="12" s="1"/>
  <c r="I543" i="12" a="1"/>
  <c r="I543" i="12" s="1"/>
  <c r="J543" i="12" s="1" a="1"/>
  <c r="J543" i="12" s="1"/>
  <c r="K543" i="12" s="1"/>
  <c r="I558" i="12" a="1"/>
  <c r="I558" i="12" s="1"/>
  <c r="J558" i="12" s="1" a="1"/>
  <c r="J558" i="12" s="1"/>
  <c r="K558" i="12" s="1"/>
  <c r="I572" i="12" a="1"/>
  <c r="I572" i="12" s="1"/>
  <c r="J572" i="12" s="1" a="1"/>
  <c r="J572" i="12" s="1"/>
  <c r="K572" i="12" s="1"/>
  <c r="I586" i="12" a="1"/>
  <c r="I586" i="12" s="1"/>
  <c r="J586" i="12" s="1" a="1"/>
  <c r="J586" i="12" s="1"/>
  <c r="K586" i="12" s="1"/>
  <c r="I614" i="12" a="1"/>
  <c r="I614" i="12" s="1"/>
  <c r="J614" i="12" s="1" a="1"/>
  <c r="J614" i="12" s="1"/>
  <c r="K614" i="12" s="1"/>
  <c r="I627" i="12" a="1"/>
  <c r="I627" i="12" s="1"/>
  <c r="J627" i="12" s="1" a="1"/>
  <c r="J627" i="12" s="1"/>
  <c r="K627" i="12" s="1"/>
  <c r="I641" i="12" a="1"/>
  <c r="I641" i="12" s="1"/>
  <c r="J641" i="12" s="1" a="1"/>
  <c r="J641" i="12" s="1"/>
  <c r="K641" i="12" s="1"/>
  <c r="I655" i="12" a="1"/>
  <c r="I655" i="12" s="1"/>
  <c r="J655" i="12" s="1" a="1"/>
  <c r="J655" i="12" s="1"/>
  <c r="K655" i="12" s="1"/>
  <c r="I669" i="12" a="1"/>
  <c r="I669" i="12" s="1"/>
  <c r="J669" i="12" s="1" a="1"/>
  <c r="J669" i="12" s="1"/>
  <c r="K669" i="12" s="1"/>
  <c r="I683" i="12" a="1"/>
  <c r="I683" i="12" s="1"/>
  <c r="J683" i="12" s="1" a="1"/>
  <c r="J683" i="12" s="1"/>
  <c r="K683" i="12" s="1"/>
  <c r="I696" i="12" a="1"/>
  <c r="I696" i="12" s="1"/>
  <c r="J696" i="12" s="1" a="1"/>
  <c r="J696" i="12" s="1"/>
  <c r="K696" i="12" s="1"/>
  <c r="I711" i="12" a="1"/>
  <c r="I711" i="12" s="1"/>
  <c r="J711" i="12" s="1" a="1"/>
  <c r="J711" i="12" s="1"/>
  <c r="K711" i="12" s="1"/>
  <c r="I725" i="12" a="1"/>
  <c r="I725" i="12" s="1"/>
  <c r="J725" i="12" s="1" a="1"/>
  <c r="J725" i="12" s="1"/>
  <c r="K725" i="12" s="1"/>
  <c r="I739" i="12" a="1"/>
  <c r="I739" i="12" s="1"/>
  <c r="J739" i="12" s="1" a="1"/>
  <c r="J739" i="12" s="1"/>
  <c r="K739" i="12" s="1"/>
  <c r="I753" i="12" a="1"/>
  <c r="I753" i="12" s="1"/>
  <c r="J753" i="12" s="1" a="1"/>
  <c r="J753" i="12" s="1"/>
  <c r="K753" i="12" s="1"/>
  <c r="I782" i="12" a="1"/>
  <c r="I782" i="12" s="1"/>
  <c r="J782" i="12" s="1" a="1"/>
  <c r="J782" i="12" s="1"/>
  <c r="K782" i="12" s="1"/>
  <c r="I796" i="12" a="1"/>
  <c r="I796" i="12" s="1"/>
  <c r="J796" i="12" s="1" a="1"/>
  <c r="J796" i="12" s="1"/>
  <c r="K796" i="12" s="1"/>
  <c r="I825" i="12" a="1"/>
  <c r="I825" i="12" s="1"/>
  <c r="J825" i="12" s="1" a="1"/>
  <c r="J825" i="12" s="1"/>
  <c r="K825" i="12" s="1"/>
  <c r="I834" i="12" a="1"/>
  <c r="I834" i="12" s="1"/>
  <c r="J834" i="12" s="1" a="1"/>
  <c r="J834" i="12" s="1"/>
  <c r="K834" i="12" s="1"/>
  <c r="I847" i="12" a="1"/>
  <c r="I847" i="12" s="1"/>
  <c r="J847" i="12" s="1" a="1"/>
  <c r="J847" i="12" s="1"/>
  <c r="K847" i="12" s="1"/>
  <c r="I856" i="12" a="1"/>
  <c r="I856" i="12" s="1"/>
  <c r="J856" i="12" s="1" a="1"/>
  <c r="J856" i="12" s="1"/>
  <c r="K856" i="12" s="1"/>
  <c r="I869" i="12" a="1"/>
  <c r="I869" i="12" s="1"/>
  <c r="J869" i="12" s="1" a="1"/>
  <c r="J869" i="12" s="1"/>
  <c r="K869" i="12" s="1"/>
  <c r="I878" i="12" a="1"/>
  <c r="I878" i="12" s="1"/>
  <c r="J878" i="12" s="1" a="1"/>
  <c r="J878" i="12" s="1"/>
  <c r="K878" i="12" s="1"/>
  <c r="I887" i="12" a="1"/>
  <c r="I887" i="12" s="1"/>
  <c r="J887" i="12" s="1" a="1"/>
  <c r="J887" i="12" s="1"/>
  <c r="K887" i="12" s="1"/>
  <c r="I896" i="12" a="1"/>
  <c r="I896" i="12" s="1"/>
  <c r="J896" i="12" s="1" a="1"/>
  <c r="J896" i="12" s="1"/>
  <c r="K896" i="12" s="1"/>
  <c r="I901" i="12" a="1"/>
  <c r="I901" i="12" s="1"/>
  <c r="J901" i="12" s="1" a="1"/>
  <c r="J901" i="12" s="1"/>
  <c r="K901" i="12" s="1"/>
  <c r="I910" i="12" a="1"/>
  <c r="I910" i="12" s="1"/>
  <c r="J910" i="12" s="1" a="1"/>
  <c r="J910" i="12" s="1"/>
  <c r="K910" i="12" s="1"/>
  <c r="I919" i="12" a="1"/>
  <c r="I919" i="12" s="1"/>
  <c r="J919" i="12" s="1" a="1"/>
  <c r="J919" i="12" s="1"/>
  <c r="K919" i="12" s="1"/>
  <c r="I928" i="12" a="1"/>
  <c r="I928" i="12" s="1"/>
  <c r="J928" i="12" s="1" a="1"/>
  <c r="J928" i="12" s="1"/>
  <c r="K928" i="12" s="1"/>
  <c r="I933" i="12" a="1"/>
  <c r="I933" i="12" s="1"/>
  <c r="J933" i="12" s="1" a="1"/>
  <c r="J933" i="12" s="1"/>
  <c r="K933" i="12" s="1"/>
  <c r="I942" i="12" a="1"/>
  <c r="I942" i="12" s="1"/>
  <c r="J942" i="12" s="1" a="1"/>
  <c r="J942" i="12" s="1"/>
  <c r="K942" i="12" s="1"/>
  <c r="I957" i="12" a="1"/>
  <c r="I957" i="12" s="1"/>
  <c r="J957" i="12" s="1" a="1"/>
  <c r="J957" i="12" s="1"/>
  <c r="K957" i="12" s="1"/>
  <c r="I966" i="12" a="1"/>
  <c r="I966" i="12" s="1"/>
  <c r="J966" i="12" s="1" a="1"/>
  <c r="J966" i="12" s="1"/>
  <c r="K966" i="12" s="1"/>
  <c r="I972" i="12" a="1"/>
  <c r="I972" i="12" s="1"/>
  <c r="J972" i="12" s="1" a="1"/>
  <c r="J972" i="12" s="1"/>
  <c r="K972" i="12" s="1"/>
  <c r="I977" i="12" a="1"/>
  <c r="I977" i="12" s="1"/>
  <c r="J977" i="12" s="1" a="1"/>
  <c r="J977" i="12" s="1"/>
  <c r="K977" i="12" s="1"/>
  <c r="I982" i="12" a="1"/>
  <c r="I982" i="12" s="1"/>
  <c r="J982" i="12" s="1" a="1"/>
  <c r="J982" i="12" s="1"/>
  <c r="K982" i="12" s="1"/>
  <c r="I988" i="12" a="1"/>
  <c r="I988" i="12" s="1"/>
  <c r="J988" i="12" s="1" a="1"/>
  <c r="J988" i="12" s="1"/>
  <c r="K988" i="12" s="1"/>
  <c r="I993" i="12" a="1"/>
  <c r="I993" i="12" s="1"/>
  <c r="J993" i="12" s="1" a="1"/>
  <c r="J993" i="12" s="1"/>
  <c r="K993" i="12" s="1"/>
  <c r="I998" i="12" a="1"/>
  <c r="I998" i="12" s="1"/>
  <c r="J998" i="12" s="1" a="1"/>
  <c r="J998" i="12" s="1"/>
  <c r="K998" i="12" s="1"/>
  <c r="I1004" i="12" a="1"/>
  <c r="I1004" i="12" s="1"/>
  <c r="J1004" i="12" s="1" a="1"/>
  <c r="J1004" i="12" s="1"/>
  <c r="K1004" i="12" s="1"/>
  <c r="I1009" i="12" a="1"/>
  <c r="I1009" i="12" s="1"/>
  <c r="J1009" i="12" s="1" a="1"/>
  <c r="J1009" i="12" s="1"/>
  <c r="K1009" i="12" s="1"/>
  <c r="I1014" i="12" a="1"/>
  <c r="I1014" i="12" s="1"/>
  <c r="J1014" i="12" s="1" a="1"/>
  <c r="J1014" i="12" s="1"/>
  <c r="K1014" i="12" s="1"/>
  <c r="I1020" i="12" a="1"/>
  <c r="I1020" i="12" s="1"/>
  <c r="J1020" i="12" s="1" a="1"/>
  <c r="J1020" i="12" s="1"/>
  <c r="K1020" i="12" s="1"/>
  <c r="I1025" i="12" a="1"/>
  <c r="I1025" i="12" s="1"/>
  <c r="J1025" i="12" s="1" a="1"/>
  <c r="J1025" i="12" s="1"/>
  <c r="K1025" i="12" s="1"/>
  <c r="I1030" i="12" a="1"/>
  <c r="I1030" i="12" s="1"/>
  <c r="J1030" i="12" s="1" a="1"/>
  <c r="J1030" i="12" s="1"/>
  <c r="K1030" i="12" s="1"/>
  <c r="I1036" i="12" a="1"/>
  <c r="I1036" i="12" s="1"/>
  <c r="J1036" i="12" s="1" a="1"/>
  <c r="J1036" i="12" s="1"/>
  <c r="K1036" i="12" s="1"/>
  <c r="I1041" i="12" a="1"/>
  <c r="I1041" i="12" s="1"/>
  <c r="J1041" i="12" s="1" a="1"/>
  <c r="J1041" i="12" s="1"/>
  <c r="K1041" i="12" s="1"/>
  <c r="I1046" i="12" a="1"/>
  <c r="I1046" i="12" s="1"/>
  <c r="J1046" i="12" s="1" a="1"/>
  <c r="J1046" i="12" s="1"/>
  <c r="K1046" i="12" s="1"/>
  <c r="I1052" i="12" a="1"/>
  <c r="I1052" i="12" s="1"/>
  <c r="J1052" i="12" s="1" a="1"/>
  <c r="J1052" i="12" s="1"/>
  <c r="K1052" i="12" s="1"/>
  <c r="I1057" i="12" a="1"/>
  <c r="I1057" i="12" s="1"/>
  <c r="J1057" i="12" s="1" a="1"/>
  <c r="J1057" i="12" s="1"/>
  <c r="K1057" i="12" s="1"/>
  <c r="I1062" i="12" a="1"/>
  <c r="I1062" i="12" s="1"/>
  <c r="J1062" i="12" s="1" a="1"/>
  <c r="J1062" i="12" s="1"/>
  <c r="K1062" i="12" s="1"/>
  <c r="I1068" i="12" a="1"/>
  <c r="I1068" i="12" s="1"/>
  <c r="J1068" i="12" s="1" a="1"/>
  <c r="J1068" i="12" s="1"/>
  <c r="K1068" i="12" s="1"/>
  <c r="I1073" i="12" a="1"/>
  <c r="I1073" i="12" s="1"/>
  <c r="J1073" i="12" s="1" a="1"/>
  <c r="J1073" i="12" s="1"/>
  <c r="K1073" i="12" s="1"/>
  <c r="I1078" i="12" a="1"/>
  <c r="I1078" i="12" s="1"/>
  <c r="J1078" i="12" s="1" a="1"/>
  <c r="J1078" i="12" s="1"/>
  <c r="K1078" i="12" s="1"/>
  <c r="I1084" i="12" a="1"/>
  <c r="I1084" i="12" s="1"/>
  <c r="J1084" i="12" s="1" a="1"/>
  <c r="J1084" i="12" s="1"/>
  <c r="K1084" i="12" s="1"/>
  <c r="I25" i="12" a="1"/>
  <c r="I25" i="12" s="1"/>
  <c r="J25" i="12" s="1" a="1"/>
  <c r="J25" i="12" s="1"/>
  <c r="K25" i="12" s="1"/>
  <c r="I49" i="12" a="1"/>
  <c r="I49" i="12" s="1"/>
  <c r="J49" i="12" s="1" a="1"/>
  <c r="J49" i="12" s="1"/>
  <c r="K49" i="12" s="1"/>
  <c r="I97" i="12" a="1"/>
  <c r="I97" i="12" s="1"/>
  <c r="J97" i="12" s="1" a="1"/>
  <c r="J97" i="12" s="1"/>
  <c r="K97" i="12" s="1"/>
  <c r="I146" i="12" a="1"/>
  <c r="I146" i="12" s="1"/>
  <c r="J146" i="12" s="1" a="1"/>
  <c r="J146" i="12" s="1"/>
  <c r="K146" i="12" s="1"/>
  <c r="I170" i="12" a="1"/>
  <c r="I170" i="12" s="1"/>
  <c r="J170" i="12" s="1" a="1"/>
  <c r="J170" i="12" s="1"/>
  <c r="K170" i="12" s="1"/>
  <c r="I195" i="12" a="1"/>
  <c r="I195" i="12" s="1"/>
  <c r="J195" i="12" s="1" a="1"/>
  <c r="J195" i="12" s="1"/>
  <c r="K195" i="12" s="1"/>
  <c r="I214" i="12" a="1"/>
  <c r="I214" i="12" s="1"/>
  <c r="J214" i="12" s="1" a="1"/>
  <c r="J214" i="12" s="1"/>
  <c r="K214" i="12" s="1"/>
  <c r="I228" i="12" a="1"/>
  <c r="I228" i="12" s="1"/>
  <c r="J228" i="12" s="1" a="1"/>
  <c r="J228" i="12" s="1"/>
  <c r="K228" i="12" s="1"/>
  <c r="I255" i="12" a="1"/>
  <c r="I255" i="12" s="1"/>
  <c r="J255" i="12" s="1" a="1"/>
  <c r="J255" i="12" s="1"/>
  <c r="K255" i="12" s="1"/>
  <c r="I267" i="12" a="1"/>
  <c r="I267" i="12" s="1"/>
  <c r="J267" i="12" s="1" a="1"/>
  <c r="J267" i="12" s="1"/>
  <c r="K267" i="12" s="1"/>
  <c r="I280" i="12" a="1"/>
  <c r="I280" i="12" s="1"/>
  <c r="J280" i="12" s="1" a="1"/>
  <c r="J280" i="12" s="1"/>
  <c r="K280" i="12" s="1"/>
  <c r="I293" i="12" a="1"/>
  <c r="I293" i="12" s="1"/>
  <c r="J293" i="12" s="1" a="1"/>
  <c r="J293" i="12" s="1"/>
  <c r="K293" i="12" s="1"/>
  <c r="I305" i="12" a="1"/>
  <c r="I305" i="12" s="1"/>
  <c r="J305" i="12" s="1" a="1"/>
  <c r="J305" i="12" s="1"/>
  <c r="K305" i="12" s="1"/>
  <c r="I317" i="12" a="1"/>
  <c r="I317" i="12" s="1"/>
  <c r="J317" i="12" s="1" a="1"/>
  <c r="J317" i="12" s="1"/>
  <c r="K317" i="12" s="1"/>
  <c r="I330" i="12" a="1"/>
  <c r="I330" i="12" s="1"/>
  <c r="J330" i="12" s="1" a="1"/>
  <c r="J330" i="12" s="1"/>
  <c r="K330" i="12" s="1"/>
  <c r="I342" i="12" a="1"/>
  <c r="I342" i="12" s="1"/>
  <c r="J342" i="12" s="1" a="1"/>
  <c r="J342" i="12" s="1"/>
  <c r="K342" i="12" s="1"/>
  <c r="I358" i="12" a="1"/>
  <c r="I358" i="12" s="1"/>
  <c r="J358" i="12" s="1" a="1"/>
  <c r="J358" i="12" s="1"/>
  <c r="K358" i="12" s="1"/>
  <c r="I373" i="12" a="1"/>
  <c r="I373" i="12" s="1"/>
  <c r="J373" i="12" s="1" a="1"/>
  <c r="J373" i="12" s="1"/>
  <c r="K373" i="12" s="1"/>
  <c r="I388" i="12" a="1"/>
  <c r="I388" i="12" s="1"/>
  <c r="J388" i="12" s="1" a="1"/>
  <c r="J388" i="12" s="1"/>
  <c r="K388" i="12" s="1"/>
  <c r="I404" i="12" a="1"/>
  <c r="I404" i="12" s="1"/>
  <c r="J404" i="12" s="1" a="1"/>
  <c r="J404" i="12" s="1"/>
  <c r="K404" i="12" s="1"/>
  <c r="I420" i="12" a="1"/>
  <c r="I420" i="12" s="1"/>
  <c r="J420" i="12" s="1" a="1"/>
  <c r="J420" i="12" s="1"/>
  <c r="K420" i="12" s="1"/>
  <c r="I435" i="12" a="1"/>
  <c r="I435" i="12" s="1"/>
  <c r="J435" i="12" s="1" a="1"/>
  <c r="J435" i="12" s="1"/>
  <c r="K435" i="12" s="1"/>
  <c r="I450" i="12" a="1"/>
  <c r="I450" i="12" s="1"/>
  <c r="J450" i="12" s="1" a="1"/>
  <c r="J450" i="12" s="1"/>
  <c r="K450" i="12" s="1"/>
  <c r="I466" i="12" a="1"/>
  <c r="I466" i="12" s="1"/>
  <c r="J466" i="12" s="1" a="1"/>
  <c r="J466" i="12" s="1"/>
  <c r="K466" i="12" s="1"/>
  <c r="I482" i="12" a="1"/>
  <c r="I482" i="12" s="1"/>
  <c r="J482" i="12" s="1" a="1"/>
  <c r="J482" i="12" s="1"/>
  <c r="K482" i="12" s="1"/>
  <c r="I497" i="12" a="1"/>
  <c r="I497" i="12" s="1"/>
  <c r="J497" i="12" s="1" a="1"/>
  <c r="J497" i="12" s="1"/>
  <c r="K497" i="12" s="1"/>
  <c r="I528" i="12" a="1"/>
  <c r="I528" i="12" s="1"/>
  <c r="J528" i="12" s="1" a="1"/>
  <c r="J528" i="12" s="1"/>
  <c r="K528" i="12" s="1"/>
  <c r="I544" i="12" a="1"/>
  <c r="I544" i="12" s="1"/>
  <c r="J544" i="12" s="1" a="1"/>
  <c r="J544" i="12" s="1"/>
  <c r="K544" i="12" s="1"/>
  <c r="I559" i="12" a="1"/>
  <c r="I559" i="12" s="1"/>
  <c r="J559" i="12" s="1" a="1"/>
  <c r="J559" i="12" s="1"/>
  <c r="K559" i="12" s="1"/>
  <c r="I573" i="12" a="1"/>
  <c r="I573" i="12" s="1"/>
  <c r="J573" i="12" s="1" a="1"/>
  <c r="J573" i="12" s="1"/>
  <c r="K573" i="12" s="1"/>
  <c r="I587" i="12" a="1"/>
  <c r="I587" i="12" s="1"/>
  <c r="J587" i="12" s="1" a="1"/>
  <c r="J587" i="12" s="1"/>
  <c r="K587" i="12" s="1"/>
  <c r="I600" i="12" a="1"/>
  <c r="I600" i="12" s="1"/>
  <c r="J600" i="12" s="1" a="1"/>
  <c r="J600" i="12" s="1"/>
  <c r="K600" i="12" s="1"/>
  <c r="I615" i="12" a="1"/>
  <c r="I615" i="12" s="1"/>
  <c r="J615" i="12" s="1" a="1"/>
  <c r="J615" i="12" s="1"/>
  <c r="K615" i="12" s="1"/>
  <c r="I628" i="12" a="1"/>
  <c r="I628" i="12" s="1"/>
  <c r="J628" i="12" s="1" a="1"/>
  <c r="J628" i="12" s="1"/>
  <c r="K628" i="12" s="1"/>
  <c r="I642" i="12" a="1"/>
  <c r="I642" i="12" s="1"/>
  <c r="J642" i="12" s="1" a="1"/>
  <c r="J642" i="12" s="1"/>
  <c r="K642" i="12" s="1"/>
  <c r="I670" i="12" a="1"/>
  <c r="I670" i="12" s="1"/>
  <c r="J670" i="12" s="1" a="1"/>
  <c r="J670" i="12" s="1"/>
  <c r="K670" i="12" s="1"/>
  <c r="I697" i="12" a="1"/>
  <c r="I697" i="12" s="1"/>
  <c r="J697" i="12" s="1" a="1"/>
  <c r="J697" i="12" s="1"/>
  <c r="K697" i="12" s="1"/>
  <c r="I712" i="12" a="1"/>
  <c r="I712" i="12" s="1"/>
  <c r="J712" i="12" s="1" a="1"/>
  <c r="J712" i="12" s="1"/>
  <c r="K712" i="12" s="1"/>
  <c r="I726" i="12" a="1"/>
  <c r="I726" i="12" s="1"/>
  <c r="J726" i="12" s="1" a="1"/>
  <c r="J726" i="12" s="1"/>
  <c r="K726" i="12" s="1"/>
  <c r="I740" i="12" a="1"/>
  <c r="I740" i="12" s="1"/>
  <c r="J740" i="12" s="1" a="1"/>
  <c r="J740" i="12" s="1"/>
  <c r="K740" i="12" s="1"/>
  <c r="I754" i="12" a="1"/>
  <c r="I754" i="12" s="1"/>
  <c r="J754" i="12" s="1" a="1"/>
  <c r="J754" i="12" s="1"/>
  <c r="K754" i="12" s="1"/>
  <c r="I768" i="12" a="1"/>
  <c r="I768" i="12" s="1"/>
  <c r="J768" i="12" s="1" a="1"/>
  <c r="J768" i="12" s="1"/>
  <c r="K768" i="12" s="1"/>
  <c r="I783" i="12" a="1"/>
  <c r="I783" i="12" s="1"/>
  <c r="J783" i="12" s="1" a="1"/>
  <c r="J783" i="12" s="1"/>
  <c r="K783" i="12" s="1"/>
  <c r="I797" i="12" a="1"/>
  <c r="I797" i="12" s="1"/>
  <c r="J797" i="12" s="1" a="1"/>
  <c r="J797" i="12" s="1"/>
  <c r="K797" i="12" s="1"/>
  <c r="I811" i="12" a="1"/>
  <c r="I811" i="12" s="1"/>
  <c r="J811" i="12" s="1" a="1"/>
  <c r="J811" i="12" s="1"/>
  <c r="K811" i="12" s="1"/>
  <c r="I826" i="12" a="1"/>
  <c r="I826" i="12" s="1"/>
  <c r="J826" i="12" s="1" a="1"/>
  <c r="J826" i="12" s="1"/>
  <c r="K826" i="12" s="1"/>
  <c r="I835" i="12" a="1"/>
  <c r="I835" i="12" s="1"/>
  <c r="J835" i="12" s="1" a="1"/>
  <c r="J835" i="12" s="1"/>
  <c r="K835" i="12" s="1"/>
  <c r="I857" i="12" a="1"/>
  <c r="I857" i="12" s="1"/>
  <c r="J857" i="12" s="1" a="1"/>
  <c r="J857" i="12" s="1"/>
  <c r="K857" i="12" s="1"/>
  <c r="I865" i="12" a="1"/>
  <c r="I865" i="12" s="1"/>
  <c r="J865" i="12" s="1" a="1"/>
  <c r="J865" i="12" s="1"/>
  <c r="K865" i="12" s="1"/>
  <c r="I874" i="12" a="1"/>
  <c r="I874" i="12" s="1"/>
  <c r="J874" i="12" s="1" a="1"/>
  <c r="J874" i="12" s="1"/>
  <c r="K874" i="12" s="1"/>
  <c r="I883" i="12" a="1"/>
  <c r="I883" i="12" s="1"/>
  <c r="J883" i="12" s="1" a="1"/>
  <c r="J883" i="12" s="1"/>
  <c r="K883" i="12" s="1"/>
  <c r="I892" i="12" a="1"/>
  <c r="I892" i="12" s="1"/>
  <c r="J892" i="12" s="1" a="1"/>
  <c r="J892" i="12" s="1"/>
  <c r="K892" i="12" s="1"/>
  <c r="I897" i="12" a="1"/>
  <c r="I897" i="12" s="1"/>
  <c r="J897" i="12" s="1" a="1"/>
  <c r="J897" i="12" s="1"/>
  <c r="K897" i="12" s="1"/>
  <c r="I906" i="12" a="1"/>
  <c r="I906" i="12" s="1"/>
  <c r="J906" i="12" s="1" a="1"/>
  <c r="J906" i="12" s="1"/>
  <c r="K906" i="12" s="1"/>
  <c r="I915" i="12" a="1"/>
  <c r="I915" i="12" s="1"/>
  <c r="J915" i="12" s="1" a="1"/>
  <c r="J915" i="12" s="1"/>
  <c r="K915" i="12" s="1"/>
  <c r="I924" i="12" a="1"/>
  <c r="I924" i="12" s="1"/>
  <c r="J924" i="12" s="1" a="1"/>
  <c r="J924" i="12" s="1"/>
  <c r="K924" i="12" s="1"/>
  <c r="I929" i="12" a="1"/>
  <c r="I929" i="12" s="1"/>
  <c r="J929" i="12" s="1" a="1"/>
  <c r="J929" i="12" s="1"/>
  <c r="K929" i="12" s="1"/>
  <c r="I938" i="12" a="1"/>
  <c r="I938" i="12" s="1"/>
  <c r="J938" i="12" s="1" a="1"/>
  <c r="J938" i="12" s="1"/>
  <c r="K938" i="12" s="1"/>
  <c r="I943" i="12" a="1"/>
  <c r="I943" i="12" s="1"/>
  <c r="J943" i="12" s="1" a="1"/>
  <c r="J943" i="12" s="1"/>
  <c r="K943" i="12" s="1"/>
  <c r="I948" i="12" a="1"/>
  <c r="I948" i="12" s="1"/>
  <c r="J948" i="12" s="1" a="1"/>
  <c r="J948" i="12" s="1"/>
  <c r="K948" i="12" s="1"/>
  <c r="I953" i="12" a="1"/>
  <c r="I953" i="12" s="1"/>
  <c r="J953" i="12" s="1" a="1"/>
  <c r="J953" i="12" s="1"/>
  <c r="K953" i="12" s="1"/>
  <c r="I962" i="12" a="1"/>
  <c r="I962" i="12" s="1"/>
  <c r="J962" i="12" s="1" a="1"/>
  <c r="J962" i="12" s="1"/>
  <c r="K962" i="12" s="1"/>
  <c r="I967" i="12" a="1"/>
  <c r="I967" i="12" s="1"/>
  <c r="J967" i="12" s="1" a="1"/>
  <c r="J967" i="12" s="1"/>
  <c r="K967" i="12" s="1"/>
  <c r="I983" i="12" a="1"/>
  <c r="I983" i="12" s="1"/>
  <c r="J983" i="12" s="1" a="1"/>
  <c r="J983" i="12" s="1"/>
  <c r="K983" i="12" s="1"/>
  <c r="I999" i="12" a="1"/>
  <c r="I999" i="12" s="1"/>
  <c r="J999" i="12" s="1" a="1"/>
  <c r="J999" i="12" s="1"/>
  <c r="K999" i="12" s="1"/>
  <c r="I1015" i="12" a="1"/>
  <c r="I1015" i="12" s="1"/>
  <c r="J1015" i="12" s="1" a="1"/>
  <c r="J1015" i="12" s="1"/>
  <c r="K1015" i="12" s="1"/>
  <c r="I1031" i="12" a="1"/>
  <c r="I1031" i="12" s="1"/>
  <c r="J1031" i="12" s="1" a="1"/>
  <c r="J1031" i="12" s="1"/>
  <c r="K1031" i="12" s="1"/>
  <c r="I1047" i="12" a="1"/>
  <c r="I1047" i="12" s="1"/>
  <c r="J1047" i="12" s="1" a="1"/>
  <c r="J1047" i="12" s="1"/>
  <c r="K1047" i="12" s="1"/>
  <c r="I1063" i="12" a="1"/>
  <c r="I1063" i="12" s="1"/>
  <c r="J1063" i="12" s="1" a="1"/>
  <c r="J1063" i="12" s="1"/>
  <c r="K1063" i="12" s="1"/>
  <c r="I1079" i="12" a="1"/>
  <c r="I1079" i="12" s="1"/>
  <c r="J1079" i="12" s="1" a="1"/>
  <c r="J1079" i="12" s="1"/>
  <c r="K1079" i="12" s="1"/>
  <c r="I1095" i="12" a="1"/>
  <c r="I1095" i="12" s="1"/>
  <c r="J1095" i="12" s="1" a="1"/>
  <c r="J1095" i="12" s="1"/>
  <c r="K1095" i="12" s="1"/>
  <c r="I1111" i="12" a="1"/>
  <c r="I1111" i="12" s="1"/>
  <c r="J1111" i="12" s="1" a="1"/>
  <c r="J1111" i="12" s="1"/>
  <c r="K1111" i="12" s="1"/>
  <c r="I1127" i="12" a="1"/>
  <c r="I1127" i="12" s="1"/>
  <c r="J1127" i="12" s="1" a="1"/>
  <c r="J1127" i="12" s="1"/>
  <c r="K1127" i="12" s="1"/>
  <c r="I1143" i="12" a="1"/>
  <c r="I1143" i="12" s="1"/>
  <c r="J1143" i="12" s="1" a="1"/>
  <c r="J1143" i="12" s="1"/>
  <c r="K1143" i="12" s="1"/>
  <c r="I1159" i="12" a="1"/>
  <c r="I1159" i="12" s="1"/>
  <c r="J1159" i="12" s="1" a="1"/>
  <c r="J1159" i="12" s="1"/>
  <c r="K1159" i="12" s="1"/>
  <c r="I1175" i="12" a="1"/>
  <c r="I1175" i="12" s="1"/>
  <c r="J1175" i="12" s="1" a="1"/>
  <c r="J1175" i="12" s="1"/>
  <c r="K1175" i="12" s="1"/>
  <c r="I74" i="12" a="1"/>
  <c r="I74" i="12" s="1"/>
  <c r="J74" i="12" s="1" a="1"/>
  <c r="J74" i="12" s="1"/>
  <c r="K74" i="12" s="1"/>
  <c r="I98" i="12" a="1"/>
  <c r="I98" i="12" s="1"/>
  <c r="J98" i="12" s="1" a="1"/>
  <c r="J98" i="12" s="1"/>
  <c r="K98" i="12" s="1"/>
  <c r="I122" i="12" a="1"/>
  <c r="I122" i="12" s="1"/>
  <c r="J122" i="12" s="1" a="1"/>
  <c r="J122" i="12" s="1"/>
  <c r="K122" i="12" s="1"/>
  <c r="I196" i="12" a="1"/>
  <c r="I196" i="12" s="1"/>
  <c r="J196" i="12" s="1" a="1"/>
  <c r="J196" i="12" s="1"/>
  <c r="K196" i="12" s="1"/>
  <c r="I215" i="12" a="1"/>
  <c r="I215" i="12" s="1"/>
  <c r="J215" i="12" s="1" a="1"/>
  <c r="J215" i="12" s="1"/>
  <c r="K215" i="12" s="1"/>
  <c r="I230" i="12" a="1"/>
  <c r="I230" i="12" s="1"/>
  <c r="J230" i="12" s="1" a="1"/>
  <c r="J230" i="12" s="1"/>
  <c r="K230" i="12" s="1"/>
  <c r="I243" i="12" a="1"/>
  <c r="I243" i="12" s="1"/>
  <c r="J243" i="12" s="1" a="1"/>
  <c r="J243" i="12" s="1"/>
  <c r="K243" i="12" s="1"/>
  <c r="I256" i="12" a="1"/>
  <c r="I256" i="12" s="1"/>
  <c r="J256" i="12" s="1" a="1"/>
  <c r="J256" i="12" s="1"/>
  <c r="K256" i="12" s="1"/>
  <c r="I268" i="12" a="1"/>
  <c r="I268" i="12" s="1"/>
  <c r="J268" i="12" s="1" a="1"/>
  <c r="J268" i="12" s="1"/>
  <c r="K268" i="12" s="1"/>
  <c r="I294" i="12" a="1"/>
  <c r="I294" i="12" s="1"/>
  <c r="J294" i="12" s="1" a="1"/>
  <c r="J294" i="12" s="1"/>
  <c r="K294" i="12" s="1"/>
  <c r="I318" i="12" a="1"/>
  <c r="I318" i="12" s="1"/>
  <c r="J318" i="12" s="1" a="1"/>
  <c r="J318" i="12" s="1"/>
  <c r="K318" i="12" s="1"/>
  <c r="I343" i="12" a="1"/>
  <c r="I343" i="12" s="1"/>
  <c r="J343" i="12" s="1" a="1"/>
  <c r="J343" i="12" s="1"/>
  <c r="K343" i="12" s="1"/>
  <c r="I359" i="12" a="1"/>
  <c r="I359" i="12" s="1"/>
  <c r="J359" i="12" s="1" a="1"/>
  <c r="J359" i="12" s="1"/>
  <c r="K359" i="12" s="1"/>
  <c r="I374" i="12" a="1"/>
  <c r="I374" i="12" s="1"/>
  <c r="J374" i="12" s="1" a="1"/>
  <c r="J374" i="12" s="1"/>
  <c r="K374" i="12" s="1"/>
  <c r="I389" i="12" a="1"/>
  <c r="I389" i="12" s="1"/>
  <c r="J389" i="12" s="1" a="1"/>
  <c r="J389" i="12" s="1"/>
  <c r="K389" i="12" s="1"/>
  <c r="I405" i="12" a="1"/>
  <c r="I405" i="12" s="1"/>
  <c r="J405" i="12" s="1" a="1"/>
  <c r="J405" i="12" s="1"/>
  <c r="K405" i="12" s="1"/>
  <c r="I421" i="12" a="1"/>
  <c r="I421" i="12" s="1"/>
  <c r="J421" i="12" s="1" a="1"/>
  <c r="J421" i="12" s="1"/>
  <c r="K421" i="12" s="1"/>
  <c r="I436" i="12" a="1"/>
  <c r="I436" i="12" s="1"/>
  <c r="J436" i="12" s="1" a="1"/>
  <c r="J436" i="12" s="1"/>
  <c r="K436" i="12" s="1"/>
  <c r="I451" i="12" a="1"/>
  <c r="I451" i="12" s="1"/>
  <c r="J451" i="12" s="1" a="1"/>
  <c r="J451" i="12" s="1"/>
  <c r="K451" i="12" s="1"/>
  <c r="I467" i="12" a="1"/>
  <c r="I467" i="12" s="1"/>
  <c r="J467" i="12" s="1" a="1"/>
  <c r="J467" i="12" s="1"/>
  <c r="K467" i="12" s="1"/>
  <c r="I483" i="12" a="1"/>
  <c r="I483" i="12" s="1"/>
  <c r="J483" i="12" s="1" a="1"/>
  <c r="J483" i="12" s="1"/>
  <c r="K483" i="12" s="1"/>
  <c r="I498" i="12" a="1"/>
  <c r="I498" i="12" s="1"/>
  <c r="J498" i="12" s="1" a="1"/>
  <c r="J498" i="12" s="1"/>
  <c r="K498" i="12" s="1"/>
  <c r="I513" i="12" a="1"/>
  <c r="I513" i="12" s="1"/>
  <c r="J513" i="12" s="1" a="1"/>
  <c r="J513" i="12" s="1"/>
  <c r="K513" i="12" s="1"/>
  <c r="I529" i="12" a="1"/>
  <c r="I529" i="12" s="1"/>
  <c r="J529" i="12" s="1" a="1"/>
  <c r="J529" i="12" s="1"/>
  <c r="K529" i="12" s="1"/>
  <c r="I545" i="12" a="1"/>
  <c r="I545" i="12" s="1"/>
  <c r="J545" i="12" s="1" a="1"/>
  <c r="J545" i="12" s="1"/>
  <c r="K545" i="12" s="1"/>
  <c r="I574" i="12" a="1"/>
  <c r="I574" i="12" s="1"/>
  <c r="J574" i="12" s="1" a="1"/>
  <c r="J574" i="12" s="1"/>
  <c r="K574" i="12" s="1"/>
  <c r="I601" i="12" a="1"/>
  <c r="I601" i="12" s="1"/>
  <c r="J601" i="12" s="1" a="1"/>
  <c r="J601" i="12" s="1"/>
  <c r="K601" i="12" s="1"/>
  <c r="I629" i="12" a="1"/>
  <c r="I629" i="12" s="1"/>
  <c r="J629" i="12" s="1" a="1"/>
  <c r="J629" i="12" s="1"/>
  <c r="K629" i="12" s="1"/>
  <c r="I643" i="12" a="1"/>
  <c r="I643" i="12" s="1"/>
  <c r="J643" i="12" s="1" a="1"/>
  <c r="J643" i="12" s="1"/>
  <c r="K643" i="12" s="1"/>
  <c r="I656" i="12" a="1"/>
  <c r="I656" i="12" s="1"/>
  <c r="J656" i="12" s="1" a="1"/>
  <c r="J656" i="12" s="1"/>
  <c r="K656" i="12" s="1"/>
  <c r="I671" i="12" a="1"/>
  <c r="I671" i="12" s="1"/>
  <c r="J671" i="12" s="1" a="1"/>
  <c r="J671" i="12" s="1"/>
  <c r="K671" i="12" s="1"/>
  <c r="I684" i="12" a="1"/>
  <c r="I684" i="12" s="1"/>
  <c r="J684" i="12" s="1" a="1"/>
  <c r="J684" i="12" s="1"/>
  <c r="K684" i="12" s="1"/>
  <c r="I698" i="12" a="1"/>
  <c r="I698" i="12" s="1"/>
  <c r="J698" i="12" s="1" a="1"/>
  <c r="J698" i="12" s="1"/>
  <c r="K698" i="12" s="1"/>
  <c r="I713" i="12" a="1"/>
  <c r="I713" i="12" s="1"/>
  <c r="J713" i="12" s="1" a="1"/>
  <c r="J713" i="12" s="1"/>
  <c r="K713" i="12" s="1"/>
  <c r="I727" i="12" a="1"/>
  <c r="I727" i="12" s="1"/>
  <c r="J727" i="12" s="1" a="1"/>
  <c r="J727" i="12" s="1"/>
  <c r="K727" i="12" s="1"/>
  <c r="I741" i="12" a="1"/>
  <c r="I741" i="12" s="1"/>
  <c r="J741" i="12" s="1" a="1"/>
  <c r="J741" i="12" s="1"/>
  <c r="K741" i="12" s="1"/>
  <c r="I755" i="12" a="1"/>
  <c r="I755" i="12" s="1"/>
  <c r="J755" i="12" s="1" a="1"/>
  <c r="J755" i="12" s="1"/>
  <c r="K755" i="12" s="1"/>
  <c r="I769" i="12" a="1"/>
  <c r="I769" i="12" s="1"/>
  <c r="J769" i="12" s="1" a="1"/>
  <c r="J769" i="12" s="1"/>
  <c r="K769" i="12" s="1"/>
  <c r="I798" i="12" a="1"/>
  <c r="I798" i="12" s="1"/>
  <c r="J798" i="12" s="1" a="1"/>
  <c r="J798" i="12" s="1"/>
  <c r="K798" i="12" s="1"/>
  <c r="I812" i="12" a="1"/>
  <c r="I812" i="12" s="1"/>
  <c r="J812" i="12" s="1" a="1"/>
  <c r="J812" i="12" s="1"/>
  <c r="K812" i="12" s="1"/>
  <c r="I839" i="12" a="1"/>
  <c r="I839" i="12" s="1"/>
  <c r="J839" i="12" s="1" a="1"/>
  <c r="J839" i="12" s="1"/>
  <c r="K839" i="12" s="1"/>
  <c r="I848" i="12" a="1"/>
  <c r="I848" i="12" s="1"/>
  <c r="J848" i="12" s="1" a="1"/>
  <c r="J848" i="12" s="1"/>
  <c r="K848" i="12" s="1"/>
  <c r="I870" i="12" a="1"/>
  <c r="I870" i="12" s="1"/>
  <c r="J870" i="12" s="1" a="1"/>
  <c r="J870" i="12" s="1"/>
  <c r="K870" i="12" s="1"/>
  <c r="I879" i="12" a="1"/>
  <c r="I879" i="12" s="1"/>
  <c r="J879" i="12" s="1" a="1"/>
  <c r="J879" i="12" s="1"/>
  <c r="K879" i="12" s="1"/>
  <c r="I888" i="12" a="1"/>
  <c r="I888" i="12" s="1"/>
  <c r="J888" i="12" s="1" a="1"/>
  <c r="J888" i="12" s="1"/>
  <c r="K888" i="12" s="1"/>
  <c r="I893" i="12" a="1"/>
  <c r="I893" i="12" s="1"/>
  <c r="J893" i="12" s="1" a="1"/>
  <c r="J893" i="12" s="1"/>
  <c r="K893" i="12" s="1"/>
  <c r="I902" i="12" a="1"/>
  <c r="I902" i="12" s="1"/>
  <c r="J902" i="12" s="1" a="1"/>
  <c r="J902" i="12" s="1"/>
  <c r="K902" i="12" s="1"/>
  <c r="I911" i="12" a="1"/>
  <c r="I911" i="12" s="1"/>
  <c r="J911" i="12" s="1" a="1"/>
  <c r="J911" i="12" s="1"/>
  <c r="K911" i="12" s="1"/>
  <c r="I920" i="12" a="1"/>
  <c r="I920" i="12" s="1"/>
  <c r="J920" i="12" s="1" a="1"/>
  <c r="J920" i="12" s="1"/>
  <c r="K920" i="12" s="1"/>
  <c r="I925" i="12" a="1"/>
  <c r="I925" i="12" s="1"/>
  <c r="J925" i="12" s="1" a="1"/>
  <c r="J925" i="12" s="1"/>
  <c r="K925" i="12" s="1"/>
  <c r="I934" i="12" a="1"/>
  <c r="I934" i="12" s="1"/>
  <c r="J934" i="12" s="1" a="1"/>
  <c r="J934" i="12" s="1"/>
  <c r="K934" i="12" s="1"/>
  <c r="I958" i="12" a="1"/>
  <c r="I958" i="12" s="1"/>
  <c r="J958" i="12" s="1" a="1"/>
  <c r="J958" i="12" s="1"/>
  <c r="K958" i="12" s="1"/>
  <c r="I963" i="12" a="1"/>
  <c r="I963" i="12" s="1"/>
  <c r="J963" i="12" s="1" a="1"/>
  <c r="J963" i="12" s="1"/>
  <c r="K963" i="12" s="1"/>
  <c r="I968" i="12" a="1"/>
  <c r="I968" i="12" s="1"/>
  <c r="J968" i="12" s="1" a="1"/>
  <c r="J968" i="12" s="1"/>
  <c r="K968" i="12" s="1"/>
  <c r="I973" i="12" a="1"/>
  <c r="I973" i="12" s="1"/>
  <c r="J973" i="12" s="1" a="1"/>
  <c r="J973" i="12" s="1"/>
  <c r="K973" i="12" s="1"/>
  <c r="I978" i="12" a="1"/>
  <c r="I978" i="12" s="1"/>
  <c r="J978" i="12" s="1" a="1"/>
  <c r="J978" i="12" s="1"/>
  <c r="K978" i="12" s="1"/>
  <c r="I984" i="12" a="1"/>
  <c r="I984" i="12" s="1"/>
  <c r="J984" i="12" s="1" a="1"/>
  <c r="J984" i="12" s="1"/>
  <c r="K984" i="12" s="1"/>
  <c r="I989" i="12" a="1"/>
  <c r="I989" i="12" s="1"/>
  <c r="J989" i="12" s="1" a="1"/>
  <c r="J989" i="12" s="1"/>
  <c r="K989" i="12" s="1"/>
  <c r="I994" i="12" a="1"/>
  <c r="I994" i="12" s="1"/>
  <c r="J994" i="12" s="1" a="1"/>
  <c r="J994" i="12" s="1"/>
  <c r="K994" i="12" s="1"/>
  <c r="I1000" i="12" a="1"/>
  <c r="I1000" i="12" s="1"/>
  <c r="J1000" i="12" s="1" a="1"/>
  <c r="J1000" i="12" s="1"/>
  <c r="K1000" i="12" s="1"/>
  <c r="I1005" i="12" a="1"/>
  <c r="I1005" i="12" s="1"/>
  <c r="J1005" i="12" s="1" a="1"/>
  <c r="J1005" i="12" s="1"/>
  <c r="K1005" i="12" s="1"/>
  <c r="I1010" i="12" a="1"/>
  <c r="I1010" i="12" s="1"/>
  <c r="J1010" i="12" s="1" a="1"/>
  <c r="J1010" i="12" s="1"/>
  <c r="K1010" i="12" s="1"/>
  <c r="I1016" i="12" a="1"/>
  <c r="I1016" i="12" s="1"/>
  <c r="J1016" i="12" s="1" a="1"/>
  <c r="J1016" i="12" s="1"/>
  <c r="K1016" i="12" s="1"/>
  <c r="I1021" i="12" a="1"/>
  <c r="I1021" i="12" s="1"/>
  <c r="J1021" i="12" s="1" a="1"/>
  <c r="J1021" i="12" s="1"/>
  <c r="K1021" i="12" s="1"/>
  <c r="I1026" i="12" a="1"/>
  <c r="I1026" i="12" s="1"/>
  <c r="J1026" i="12" s="1" a="1"/>
  <c r="J1026" i="12" s="1"/>
  <c r="K1026" i="12" s="1"/>
  <c r="I1032" i="12" a="1"/>
  <c r="I1032" i="12" s="1"/>
  <c r="J1032" i="12" s="1" a="1"/>
  <c r="J1032" i="12" s="1"/>
  <c r="K1032" i="12" s="1"/>
  <c r="I1037" i="12" a="1"/>
  <c r="I1037" i="12" s="1"/>
  <c r="J1037" i="12" s="1" a="1"/>
  <c r="J1037" i="12" s="1"/>
  <c r="K1037" i="12" s="1"/>
  <c r="I1042" i="12" a="1"/>
  <c r="I1042" i="12" s="1"/>
  <c r="J1042" i="12" s="1" a="1"/>
  <c r="J1042" i="12" s="1"/>
  <c r="K1042" i="12" s="1"/>
  <c r="I1048" i="12" a="1"/>
  <c r="I1048" i="12" s="1"/>
  <c r="J1048" i="12" s="1" a="1"/>
  <c r="J1048" i="12" s="1"/>
  <c r="K1048" i="12" s="1"/>
  <c r="I1053" i="12" a="1"/>
  <c r="I1053" i="12" s="1"/>
  <c r="J1053" i="12" s="1" a="1"/>
  <c r="J1053" i="12" s="1"/>
  <c r="K1053" i="12" s="1"/>
  <c r="I1058" i="12" a="1"/>
  <c r="I1058" i="12" s="1"/>
  <c r="J1058" i="12" s="1" a="1"/>
  <c r="J1058" i="12" s="1"/>
  <c r="K1058" i="12" s="1"/>
  <c r="I1064" i="12" a="1"/>
  <c r="I1064" i="12" s="1"/>
  <c r="J1064" i="12" s="1" a="1"/>
  <c r="J1064" i="12" s="1"/>
  <c r="K1064" i="12" s="1"/>
  <c r="I1069" i="12" a="1"/>
  <c r="I1069" i="12" s="1"/>
  <c r="J1069" i="12" s="1" a="1"/>
  <c r="J1069" i="12" s="1"/>
  <c r="K1069" i="12" s="1"/>
  <c r="I1074" i="12" a="1"/>
  <c r="I1074" i="12" s="1"/>
  <c r="J1074" i="12" s="1" a="1"/>
  <c r="J1074" i="12" s="1"/>
  <c r="K1074" i="12" s="1"/>
  <c r="I1080" i="12" a="1"/>
  <c r="I1080" i="12" s="1"/>
  <c r="J1080" i="12" s="1" a="1"/>
  <c r="J1080" i="12" s="1"/>
  <c r="K1080" i="12" s="1"/>
  <c r="I1085" i="12" a="1"/>
  <c r="I1085" i="12" s="1"/>
  <c r="J1085" i="12" s="1" a="1"/>
  <c r="J1085" i="12" s="1"/>
  <c r="K1085" i="12" s="1"/>
  <c r="I14" i="12" a="1"/>
  <c r="I14" i="12" s="1"/>
  <c r="J14" i="12" s="1" a="1"/>
  <c r="J14" i="12" s="1"/>
  <c r="K14" i="12" s="1"/>
  <c r="I38" i="12" a="1"/>
  <c r="I38" i="12" s="1"/>
  <c r="J38" i="12" s="1" a="1"/>
  <c r="J38" i="12" s="1"/>
  <c r="K38" i="12" s="1"/>
  <c r="I61" i="12" a="1"/>
  <c r="I61" i="12" s="1"/>
  <c r="J61" i="12" s="1" a="1"/>
  <c r="J61" i="12" s="1"/>
  <c r="K61" i="12" s="1"/>
  <c r="I86" i="12" a="1"/>
  <c r="I86" i="12" s="1"/>
  <c r="J86" i="12" s="1" a="1"/>
  <c r="J86" i="12" s="1"/>
  <c r="K86" i="12" s="1"/>
  <c r="I111" i="12" a="1"/>
  <c r="I111" i="12" s="1"/>
  <c r="J111" i="12" s="1" a="1"/>
  <c r="J111" i="12" s="1"/>
  <c r="K111" i="12" s="1"/>
  <c r="I136" i="12" a="1"/>
  <c r="I136" i="12" s="1"/>
  <c r="J136" i="12" s="1" a="1"/>
  <c r="J136" i="12" s="1"/>
  <c r="K136" i="12" s="1"/>
  <c r="I158" i="12" a="1"/>
  <c r="I158" i="12" s="1"/>
  <c r="J158" i="12" s="1" a="1"/>
  <c r="J158" i="12" s="1"/>
  <c r="K158" i="12" s="1"/>
  <c r="I183" i="12" a="1"/>
  <c r="I183" i="12" s="1"/>
  <c r="J183" i="12" s="1" a="1"/>
  <c r="J183" i="12" s="1"/>
  <c r="K183" i="12" s="1"/>
  <c r="I208" i="12" a="1"/>
  <c r="I208" i="12" s="1"/>
  <c r="J208" i="12" s="1" a="1"/>
  <c r="J208" i="12" s="1"/>
  <c r="K208" i="12" s="1"/>
  <c r="I221" i="12" a="1"/>
  <c r="I221" i="12" s="1"/>
  <c r="J221" i="12" s="1" a="1"/>
  <c r="J221" i="12" s="1"/>
  <c r="K221" i="12" s="1"/>
  <c r="I237" i="12" a="1"/>
  <c r="I237" i="12" s="1"/>
  <c r="J237" i="12" s="1" a="1"/>
  <c r="J237" i="12" s="1"/>
  <c r="K237" i="12" s="1"/>
  <c r="I263" i="12" a="1"/>
  <c r="I263" i="12" s="1"/>
  <c r="J263" i="12" s="1" a="1"/>
  <c r="J263" i="12" s="1"/>
  <c r="K263" i="12" s="1"/>
  <c r="I274" i="12" a="1"/>
  <c r="I274" i="12" s="1"/>
  <c r="J274" i="12" s="1" a="1"/>
  <c r="J274" i="12" s="1"/>
  <c r="K274" i="12" s="1"/>
  <c r="I287" i="12" a="1"/>
  <c r="I287" i="12" s="1"/>
  <c r="J287" i="12" s="1" a="1"/>
  <c r="J287" i="12" s="1"/>
  <c r="K287" i="12" s="1"/>
  <c r="I299" i="12" a="1"/>
  <c r="I299" i="12" s="1"/>
  <c r="J299" i="12" s="1" a="1"/>
  <c r="J299" i="12" s="1"/>
  <c r="K299" i="12" s="1"/>
  <c r="I312" i="12" a="1"/>
  <c r="I312" i="12" s="1"/>
  <c r="J312" i="12" s="1" a="1"/>
  <c r="J312" i="12" s="1"/>
  <c r="K312" i="12" s="1"/>
  <c r="I325" i="12" a="1"/>
  <c r="I325" i="12" s="1"/>
  <c r="J325" i="12" s="1" a="1"/>
  <c r="J325" i="12" s="1"/>
  <c r="K325" i="12" s="1"/>
  <c r="I337" i="12" a="1"/>
  <c r="I337" i="12" s="1"/>
  <c r="J337" i="12" s="1" a="1"/>
  <c r="J337" i="12" s="1"/>
  <c r="K337" i="12" s="1"/>
  <c r="I351" i="12" a="1"/>
  <c r="I351" i="12" s="1"/>
  <c r="J351" i="12" s="1" a="1"/>
  <c r="J351" i="12" s="1"/>
  <c r="K351" i="12" s="1"/>
  <c r="I366" i="12" a="1"/>
  <c r="I366" i="12" s="1"/>
  <c r="J366" i="12" s="1" a="1"/>
  <c r="J366" i="12" s="1"/>
  <c r="K366" i="12" s="1"/>
  <c r="I382" i="12" a="1"/>
  <c r="I382" i="12" s="1"/>
  <c r="J382" i="12" s="1" a="1"/>
  <c r="J382" i="12" s="1"/>
  <c r="K382" i="12" s="1"/>
  <c r="I397" i="12" a="1"/>
  <c r="I397" i="12" s="1"/>
  <c r="J397" i="12" s="1" a="1"/>
  <c r="J397" i="12" s="1"/>
  <c r="K397" i="12" s="1"/>
  <c r="I413" i="12" a="1"/>
  <c r="I413" i="12" s="1"/>
  <c r="J413" i="12" s="1" a="1"/>
  <c r="J413" i="12" s="1"/>
  <c r="K413" i="12" s="1"/>
  <c r="I428" i="12" a="1"/>
  <c r="I428" i="12" s="1"/>
  <c r="J428" i="12" s="1" a="1"/>
  <c r="J428" i="12" s="1"/>
  <c r="K428" i="12" s="1"/>
  <c r="I444" i="12" a="1"/>
  <c r="I444" i="12" s="1"/>
  <c r="J444" i="12" s="1" a="1"/>
  <c r="J444" i="12" s="1"/>
  <c r="K444" i="12" s="1"/>
  <c r="I459" i="12" a="1"/>
  <c r="I459" i="12" s="1"/>
  <c r="J459" i="12" s="1" a="1"/>
  <c r="J459" i="12" s="1"/>
  <c r="K459" i="12" s="1"/>
  <c r="I475" i="12" a="1"/>
  <c r="I475" i="12" s="1"/>
  <c r="J475" i="12" s="1" a="1"/>
  <c r="J475" i="12" s="1"/>
  <c r="K475" i="12" s="1"/>
  <c r="I491" i="12" a="1"/>
  <c r="I491" i="12" s="1"/>
  <c r="J491" i="12" s="1" a="1"/>
  <c r="J491" i="12" s="1"/>
  <c r="K491" i="12" s="1"/>
  <c r="I506" i="12" a="1"/>
  <c r="I506" i="12" s="1"/>
  <c r="J506" i="12" s="1" a="1"/>
  <c r="J506" i="12" s="1"/>
  <c r="K506" i="12" s="1"/>
  <c r="I521" i="12" a="1"/>
  <c r="I521" i="12" s="1"/>
  <c r="J521" i="12" s="1" a="1"/>
  <c r="J521" i="12" s="1"/>
  <c r="K521" i="12" s="1"/>
  <c r="I537" i="12" a="1"/>
  <c r="I537" i="12" s="1"/>
  <c r="J537" i="12" s="1" a="1"/>
  <c r="J537" i="12" s="1"/>
  <c r="K537" i="12" s="1"/>
  <c r="I553" i="12" a="1"/>
  <c r="I553" i="12" s="1"/>
  <c r="J553" i="12" s="1" a="1"/>
  <c r="J553" i="12" s="1"/>
  <c r="K553" i="12" s="1"/>
  <c r="I567" i="12" a="1"/>
  <c r="I567" i="12" s="1"/>
  <c r="J567" i="12" s="1" a="1"/>
  <c r="J567" i="12" s="1"/>
  <c r="K567" i="12" s="1"/>
  <c r="I581" i="12" a="1"/>
  <c r="I581" i="12" s="1"/>
  <c r="J581" i="12" s="1" a="1"/>
  <c r="J581" i="12" s="1"/>
  <c r="K581" i="12" s="1"/>
  <c r="I594" i="12" a="1"/>
  <c r="I594" i="12" s="1"/>
  <c r="J594" i="12" s="1" a="1"/>
  <c r="J594" i="12" s="1"/>
  <c r="K594" i="12" s="1"/>
  <c r="I608" i="12" a="1"/>
  <c r="I608" i="12" s="1"/>
  <c r="J608" i="12" s="1" a="1"/>
  <c r="J608" i="12" s="1"/>
  <c r="K608" i="12" s="1"/>
  <c r="I622" i="12" a="1"/>
  <c r="I622" i="12" s="1"/>
  <c r="J622" i="12" s="1" a="1"/>
  <c r="J622" i="12" s="1"/>
  <c r="K622" i="12" s="1"/>
  <c r="I636" i="12" a="1"/>
  <c r="I636" i="12" s="1"/>
  <c r="J636" i="12" s="1" a="1"/>
  <c r="J636" i="12" s="1"/>
  <c r="K636" i="12" s="1"/>
  <c r="I650" i="12" a="1"/>
  <c r="I650" i="12" s="1"/>
  <c r="J650" i="12" s="1" a="1"/>
  <c r="J650" i="12" s="1"/>
  <c r="K650" i="12" s="1"/>
  <c r="I678" i="12" a="1"/>
  <c r="I678" i="12" s="1"/>
  <c r="J678" i="12" s="1" a="1"/>
  <c r="J678" i="12" s="1"/>
  <c r="K678" i="12" s="1"/>
  <c r="I691" i="12" a="1"/>
  <c r="I691" i="12" s="1"/>
  <c r="J691" i="12" s="1" a="1"/>
  <c r="J691" i="12" s="1"/>
  <c r="K691" i="12" s="1"/>
  <c r="I705" i="12" a="1"/>
  <c r="I705" i="12" s="1"/>
  <c r="J705" i="12" s="1" a="1"/>
  <c r="J705" i="12" s="1"/>
  <c r="K705" i="12" s="1"/>
  <c r="I734" i="12" a="1"/>
  <c r="I734" i="12" s="1"/>
  <c r="J734" i="12" s="1" a="1"/>
  <c r="J734" i="12" s="1"/>
  <c r="K734" i="12" s="1"/>
  <c r="I748" i="12" a="1"/>
  <c r="I748" i="12" s="1"/>
  <c r="J748" i="12" s="1" a="1"/>
  <c r="J748" i="12" s="1"/>
  <c r="K748" i="12" s="1"/>
  <c r="I777" i="12" a="1"/>
  <c r="I777" i="12" s="1"/>
  <c r="J777" i="12" s="1" a="1"/>
  <c r="J777" i="12" s="1"/>
  <c r="K777" i="12" s="1"/>
  <c r="I791" i="12" a="1"/>
  <c r="I791" i="12" s="1"/>
  <c r="J791" i="12" s="1" a="1"/>
  <c r="J791" i="12" s="1"/>
  <c r="K791" i="12" s="1"/>
  <c r="I805" i="12" a="1"/>
  <c r="I805" i="12" s="1"/>
  <c r="J805" i="12" s="1" a="1"/>
  <c r="J805" i="12" s="1"/>
  <c r="K805" i="12" s="1"/>
  <c r="I819" i="12" a="1"/>
  <c r="I819" i="12" s="1"/>
  <c r="J819" i="12" s="1" a="1"/>
  <c r="J819" i="12" s="1"/>
  <c r="K819" i="12" s="1"/>
  <c r="I832" i="12" a="1"/>
  <c r="I832" i="12" s="1"/>
  <c r="J832" i="12" s="1" a="1"/>
  <c r="J832" i="12" s="1"/>
  <c r="K832" i="12" s="1"/>
  <c r="I854" i="12" a="1"/>
  <c r="I854" i="12" s="1"/>
  <c r="J854" i="12" s="1" a="1"/>
  <c r="J854" i="12" s="1"/>
  <c r="K854" i="12" s="1"/>
  <c r="I862" i="12" a="1"/>
  <c r="I862" i="12" s="1"/>
  <c r="J862" i="12" s="1" a="1"/>
  <c r="J862" i="12" s="1"/>
  <c r="K862" i="12" s="1"/>
  <c r="I872" i="12" a="1"/>
  <c r="I872" i="12" s="1"/>
  <c r="J872" i="12" s="1" a="1"/>
  <c r="J872" i="12" s="1"/>
  <c r="K872" i="12" s="1"/>
  <c r="I877" i="12" a="1"/>
  <c r="I877" i="12" s="1"/>
  <c r="J877" i="12" s="1" a="1"/>
  <c r="J877" i="12" s="1"/>
  <c r="K877" i="12" s="1"/>
  <c r="I886" i="12" a="1"/>
  <c r="I886" i="12" s="1"/>
  <c r="J886" i="12" s="1" a="1"/>
  <c r="J886" i="12" s="1"/>
  <c r="K886" i="12" s="1"/>
  <c r="I895" i="12" a="1"/>
  <c r="I895" i="12" s="1"/>
  <c r="J895" i="12" s="1" a="1"/>
  <c r="J895" i="12" s="1"/>
  <c r="K895" i="12" s="1"/>
  <c r="I904" i="12" a="1"/>
  <c r="I904" i="12" s="1"/>
  <c r="J904" i="12" s="1" a="1"/>
  <c r="J904" i="12" s="1"/>
  <c r="K904" i="12" s="1"/>
  <c r="I909" i="12" a="1"/>
  <c r="I909" i="12" s="1"/>
  <c r="J909" i="12" s="1" a="1"/>
  <c r="J909" i="12" s="1"/>
  <c r="K909" i="12" s="1"/>
  <c r="I1326" i="12" a="1"/>
  <c r="I1326" i="12" s="1"/>
  <c r="J1326" i="12" s="1" a="1"/>
  <c r="J1326" i="12" s="1"/>
  <c r="K1326" i="12" s="1"/>
  <c r="I1321" i="12" a="1"/>
  <c r="I1321" i="12" s="1"/>
  <c r="J1321" i="12" s="1" a="1"/>
  <c r="J1321" i="12" s="1"/>
  <c r="K1321" i="12" s="1"/>
  <c r="I1316" i="12" a="1"/>
  <c r="I1316" i="12" s="1"/>
  <c r="J1316" i="12" s="1" a="1"/>
  <c r="J1316" i="12" s="1"/>
  <c r="K1316" i="12" s="1"/>
  <c r="I1310" i="12" a="1"/>
  <c r="I1310" i="12" s="1"/>
  <c r="J1310" i="12" s="1" a="1"/>
  <c r="J1310" i="12" s="1"/>
  <c r="K1310" i="12" s="1"/>
  <c r="I1305" i="12" a="1"/>
  <c r="I1305" i="12" s="1"/>
  <c r="J1305" i="12" s="1" a="1"/>
  <c r="J1305" i="12" s="1"/>
  <c r="K1305" i="12" s="1"/>
  <c r="I1300" i="12" a="1"/>
  <c r="I1300" i="12" s="1"/>
  <c r="J1300" i="12" s="1" a="1"/>
  <c r="J1300" i="12" s="1"/>
  <c r="K1300" i="12" s="1"/>
  <c r="I1294" i="12" a="1"/>
  <c r="I1294" i="12" s="1"/>
  <c r="J1294" i="12" s="1" a="1"/>
  <c r="J1294" i="12" s="1"/>
  <c r="K1294" i="12" s="1"/>
  <c r="I1289" i="12" a="1"/>
  <c r="I1289" i="12" s="1"/>
  <c r="J1289" i="12" s="1" a="1"/>
  <c r="J1289" i="12" s="1"/>
  <c r="K1289" i="12" s="1"/>
  <c r="I1284" i="12" a="1"/>
  <c r="I1284" i="12" s="1"/>
  <c r="J1284" i="12" s="1" a="1"/>
  <c r="J1284" i="12" s="1"/>
  <c r="K1284" i="12" s="1"/>
  <c r="I1278" i="12" a="1"/>
  <c r="I1278" i="12" s="1"/>
  <c r="J1278" i="12" s="1" a="1"/>
  <c r="J1278" i="12" s="1"/>
  <c r="K1278" i="12" s="1"/>
  <c r="I1273" i="12" a="1"/>
  <c r="I1273" i="12" s="1"/>
  <c r="J1273" i="12" s="1" a="1"/>
  <c r="J1273" i="12" s="1"/>
  <c r="K1273" i="12" s="1"/>
  <c r="I1268" i="12" a="1"/>
  <c r="I1268" i="12" s="1"/>
  <c r="J1268" i="12" s="1" a="1"/>
  <c r="J1268" i="12" s="1"/>
  <c r="K1268" i="12" s="1"/>
  <c r="I1262" i="12" a="1"/>
  <c r="I1262" i="12" s="1"/>
  <c r="J1262" i="12" s="1" a="1"/>
  <c r="J1262" i="12" s="1"/>
  <c r="K1262" i="12" s="1"/>
  <c r="I1257" i="12" a="1"/>
  <c r="I1257" i="12" s="1"/>
  <c r="J1257" i="12" s="1" a="1"/>
  <c r="J1257" i="12" s="1"/>
  <c r="K1257" i="12" s="1"/>
  <c r="I1252" i="12" a="1"/>
  <c r="I1252" i="12" s="1"/>
  <c r="J1252" i="12" s="1" a="1"/>
  <c r="J1252" i="12" s="1"/>
  <c r="K1252" i="12" s="1"/>
  <c r="I1246" i="12" a="1"/>
  <c r="I1246" i="12" s="1"/>
  <c r="J1246" i="12" s="1" a="1"/>
  <c r="J1246" i="12" s="1"/>
  <c r="K1246" i="12" s="1"/>
  <c r="I1241" i="12" a="1"/>
  <c r="I1241" i="12" s="1"/>
  <c r="J1241" i="12" s="1" a="1"/>
  <c r="J1241" i="12" s="1"/>
  <c r="K1241" i="12" s="1"/>
  <c r="I1236" i="12" a="1"/>
  <c r="I1236" i="12" s="1"/>
  <c r="J1236" i="12" s="1" a="1"/>
  <c r="J1236" i="12" s="1"/>
  <c r="K1236" i="12" s="1"/>
  <c r="I1230" i="12" a="1"/>
  <c r="I1230" i="12" s="1"/>
  <c r="J1230" i="12" s="1" a="1"/>
  <c r="J1230" i="12" s="1"/>
  <c r="K1230" i="12" s="1"/>
  <c r="I1225" i="12" a="1"/>
  <c r="I1225" i="12" s="1"/>
  <c r="J1225" i="12" s="1" a="1"/>
  <c r="J1225" i="12" s="1"/>
  <c r="K1225" i="12" s="1"/>
  <c r="I1220" i="12" a="1"/>
  <c r="I1220" i="12" s="1"/>
  <c r="J1220" i="12" s="1" a="1"/>
  <c r="J1220" i="12" s="1"/>
  <c r="K1220" i="12" s="1"/>
  <c r="I1214" i="12" a="1"/>
  <c r="I1214" i="12" s="1"/>
  <c r="J1214" i="12" s="1" a="1"/>
  <c r="J1214" i="12" s="1"/>
  <c r="K1214" i="12" s="1"/>
  <c r="I1209" i="12" a="1"/>
  <c r="I1209" i="12" s="1"/>
  <c r="J1209" i="12" s="1" a="1"/>
  <c r="J1209" i="12" s="1"/>
  <c r="K1209" i="12" s="1"/>
  <c r="I1204" i="12" a="1"/>
  <c r="I1204" i="12" s="1"/>
  <c r="J1204" i="12" s="1" a="1"/>
  <c r="J1204" i="12" s="1"/>
  <c r="K1204" i="12" s="1"/>
  <c r="I1198" i="12" a="1"/>
  <c r="I1198" i="12" s="1"/>
  <c r="J1198" i="12" s="1" a="1"/>
  <c r="J1198" i="12" s="1"/>
  <c r="K1198" i="12" s="1"/>
  <c r="I1193" i="12" a="1"/>
  <c r="I1193" i="12" s="1"/>
  <c r="J1193" i="12" s="1" a="1"/>
  <c r="J1193" i="12" s="1"/>
  <c r="K1193" i="12" s="1"/>
  <c r="I1188" i="12" a="1"/>
  <c r="I1188" i="12" s="1"/>
  <c r="J1188" i="12" s="1" a="1"/>
  <c r="J1188" i="12" s="1"/>
  <c r="K1188" i="12" s="1"/>
  <c r="I1182" i="12" a="1"/>
  <c r="I1182" i="12" s="1"/>
  <c r="J1182" i="12" s="1" a="1"/>
  <c r="J1182" i="12" s="1"/>
  <c r="K1182" i="12" s="1"/>
  <c r="I1177" i="12" a="1"/>
  <c r="I1177" i="12" s="1"/>
  <c r="J1177" i="12" s="1" a="1"/>
  <c r="J1177" i="12" s="1"/>
  <c r="K1177" i="12" s="1"/>
  <c r="I1171" i="12" a="1"/>
  <c r="I1171" i="12" s="1"/>
  <c r="J1171" i="12" s="1" a="1"/>
  <c r="J1171" i="12" s="1"/>
  <c r="K1171" i="12" s="1"/>
  <c r="I1165" i="12" a="1"/>
  <c r="I1165" i="12" s="1"/>
  <c r="J1165" i="12" s="1" a="1"/>
  <c r="J1165" i="12" s="1"/>
  <c r="K1165" i="12" s="1"/>
  <c r="I1158" i="12" a="1"/>
  <c r="I1158" i="12" s="1"/>
  <c r="J1158" i="12" s="1" a="1"/>
  <c r="J1158" i="12" s="1"/>
  <c r="K1158" i="12" s="1"/>
  <c r="I1146" i="12" a="1"/>
  <c r="I1146" i="12" s="1"/>
  <c r="J1146" i="12" s="1" a="1"/>
  <c r="J1146" i="12" s="1"/>
  <c r="K1146" i="12" s="1"/>
  <c r="I1134" i="12" a="1"/>
  <c r="I1134" i="12" s="1"/>
  <c r="J1134" i="12" s="1" a="1"/>
  <c r="J1134" i="12" s="1"/>
  <c r="K1134" i="12" s="1"/>
  <c r="I1122" i="12" a="1"/>
  <c r="I1122" i="12" s="1"/>
  <c r="J1122" i="12" s="1" a="1"/>
  <c r="J1122" i="12" s="1"/>
  <c r="K1122" i="12" s="1"/>
  <c r="I1116" i="12" a="1"/>
  <c r="I1116" i="12" s="1"/>
  <c r="J1116" i="12" s="1" a="1"/>
  <c r="J1116" i="12" s="1"/>
  <c r="K1116" i="12" s="1"/>
  <c r="I1104" i="12" a="1"/>
  <c r="I1104" i="12" s="1"/>
  <c r="J1104" i="12" s="1" a="1"/>
  <c r="J1104" i="12" s="1"/>
  <c r="K1104" i="12" s="1"/>
  <c r="I1092" i="12" a="1"/>
  <c r="I1092" i="12" s="1"/>
  <c r="J1092" i="12" s="1" a="1"/>
  <c r="J1092" i="12" s="1"/>
  <c r="K1092" i="12" s="1"/>
  <c r="I1067" i="12" a="1"/>
  <c r="I1067" i="12" s="1"/>
  <c r="J1067" i="12" s="1" a="1"/>
  <c r="J1067" i="12" s="1"/>
  <c r="K1067" i="12" s="1"/>
  <c r="I1060" i="12" a="1"/>
  <c r="I1060" i="12" s="1"/>
  <c r="J1060" i="12" s="1" a="1"/>
  <c r="J1060" i="12" s="1"/>
  <c r="K1060" i="12" s="1"/>
  <c r="I1050" i="12" a="1"/>
  <c r="I1050" i="12" s="1"/>
  <c r="J1050" i="12" s="1" a="1"/>
  <c r="J1050" i="12" s="1"/>
  <c r="K1050" i="12" s="1"/>
  <c r="I1043" i="12" a="1"/>
  <c r="I1043" i="12" s="1"/>
  <c r="J1043" i="12" s="1" a="1"/>
  <c r="J1043" i="12" s="1"/>
  <c r="K1043" i="12" s="1"/>
  <c r="I1017" i="12" a="1"/>
  <c r="I1017" i="12" s="1"/>
  <c r="J1017" i="12" s="1" a="1"/>
  <c r="J1017" i="12" s="1"/>
  <c r="K1017" i="12" s="1"/>
  <c r="I1008" i="12" a="1"/>
  <c r="I1008" i="12" s="1"/>
  <c r="J1008" i="12" s="1" a="1"/>
  <c r="J1008" i="12" s="1"/>
  <c r="K1008" i="12" s="1"/>
  <c r="I991" i="12" a="1"/>
  <c r="I991" i="12" s="1"/>
  <c r="J991" i="12" s="1" a="1"/>
  <c r="J991" i="12" s="1"/>
  <c r="K991" i="12" s="1"/>
  <c r="I974" i="12" a="1"/>
  <c r="I974" i="12" s="1"/>
  <c r="J974" i="12" s="1" a="1"/>
  <c r="J974" i="12" s="1"/>
  <c r="K974" i="12" s="1"/>
  <c r="I965" i="12" a="1"/>
  <c r="I965" i="12" s="1"/>
  <c r="J965" i="12" s="1" a="1"/>
  <c r="J965" i="12" s="1"/>
  <c r="K965" i="12" s="1"/>
  <c r="I959" i="12" a="1"/>
  <c r="I959" i="12" s="1"/>
  <c r="J959" i="12" s="1" a="1"/>
  <c r="J959" i="12" s="1"/>
  <c r="K959" i="12" s="1"/>
  <c r="I951" i="12" a="1"/>
  <c r="I951" i="12" s="1"/>
  <c r="J951" i="12" s="1" a="1"/>
  <c r="J951" i="12" s="1"/>
  <c r="K951" i="12" s="1"/>
  <c r="I935" i="12" a="1"/>
  <c r="I935" i="12" s="1"/>
  <c r="J935" i="12" s="1" a="1"/>
  <c r="J935" i="12" s="1"/>
  <c r="K935" i="12" s="1"/>
  <c r="I927" i="12" a="1"/>
  <c r="I927" i="12" s="1"/>
  <c r="J927" i="12" s="1" a="1"/>
  <c r="J927" i="12" s="1"/>
  <c r="K927" i="12" s="1"/>
  <c r="I921" i="12" a="1"/>
  <c r="I921" i="12" s="1"/>
  <c r="J921" i="12" s="1" a="1"/>
  <c r="J921" i="12" s="1"/>
  <c r="K921" i="12" s="1"/>
  <c r="I913" i="12" a="1"/>
  <c r="I913" i="12" s="1"/>
  <c r="J913" i="12" s="1" a="1"/>
  <c r="J913" i="12" s="1"/>
  <c r="K913" i="12" s="1"/>
  <c r="I876" i="12" a="1"/>
  <c r="I876" i="12" s="1"/>
  <c r="J876" i="12" s="1" a="1"/>
  <c r="J876" i="12" s="1"/>
  <c r="K876" i="12" s="1"/>
  <c r="I867" i="12" a="1"/>
  <c r="I867" i="12" s="1"/>
  <c r="J867" i="12" s="1" a="1"/>
  <c r="J867" i="12" s="1"/>
  <c r="K867" i="12" s="1"/>
  <c r="I853" i="12" a="1"/>
  <c r="I853" i="12" s="1"/>
  <c r="J853" i="12" s="1" a="1"/>
  <c r="J853" i="12" s="1"/>
  <c r="K853" i="12" s="1"/>
  <c r="I804" i="12" a="1"/>
  <c r="I804" i="12" s="1"/>
  <c r="J804" i="12" s="1" a="1"/>
  <c r="J804" i="12" s="1"/>
  <c r="K804" i="12" s="1"/>
  <c r="I776" i="12" a="1"/>
  <c r="I776" i="12" s="1"/>
  <c r="J776" i="12" s="1" a="1"/>
  <c r="J776" i="12" s="1"/>
  <c r="K776" i="12" s="1"/>
  <c r="I747" i="12" a="1"/>
  <c r="I747" i="12" s="1"/>
  <c r="J747" i="12" s="1" a="1"/>
  <c r="J747" i="12" s="1"/>
  <c r="K747" i="12" s="1"/>
  <c r="I719" i="12" a="1"/>
  <c r="I719" i="12" s="1"/>
  <c r="J719" i="12" s="1" a="1"/>
  <c r="J719" i="12" s="1"/>
  <c r="K719" i="12" s="1"/>
  <c r="I690" i="12" a="1"/>
  <c r="I690" i="12" s="1"/>
  <c r="J690" i="12" s="1" a="1"/>
  <c r="J690" i="12" s="1"/>
  <c r="K690" i="12" s="1"/>
  <c r="I663" i="12" a="1"/>
  <c r="I663" i="12" s="1"/>
  <c r="J663" i="12" s="1" a="1"/>
  <c r="J663" i="12" s="1"/>
  <c r="K663" i="12" s="1"/>
  <c r="I635" i="12" a="1"/>
  <c r="I635" i="12" s="1"/>
  <c r="J635" i="12" s="1" a="1"/>
  <c r="J635" i="12" s="1"/>
  <c r="K635" i="12" s="1"/>
  <c r="I580" i="12" a="1"/>
  <c r="I580" i="12" s="1"/>
  <c r="J580" i="12" s="1" a="1"/>
  <c r="J580" i="12" s="1"/>
  <c r="K580" i="12" s="1"/>
  <c r="I552" i="12" a="1"/>
  <c r="I552" i="12" s="1"/>
  <c r="J552" i="12" s="1" a="1"/>
  <c r="J552" i="12" s="1"/>
  <c r="K552" i="12" s="1"/>
  <c r="I520" i="12" a="1"/>
  <c r="I520" i="12" s="1"/>
  <c r="J520" i="12" s="1" a="1"/>
  <c r="J520" i="12" s="1"/>
  <c r="K520" i="12" s="1"/>
  <c r="I490" i="12" a="1"/>
  <c r="I490" i="12" s="1"/>
  <c r="J490" i="12" s="1" a="1"/>
  <c r="J490" i="12" s="1"/>
  <c r="K490" i="12" s="1"/>
  <c r="I458" i="12" a="1"/>
  <c r="I458" i="12" s="1"/>
  <c r="J458" i="12" s="1" a="1"/>
  <c r="J458" i="12" s="1"/>
  <c r="K458" i="12" s="1"/>
  <c r="I396" i="12" a="1"/>
  <c r="I396" i="12" s="1"/>
  <c r="J396" i="12" s="1" a="1"/>
  <c r="J396" i="12" s="1"/>
  <c r="K396" i="12" s="1"/>
  <c r="I365" i="12" a="1"/>
  <c r="I365" i="12" s="1"/>
  <c r="J365" i="12" s="1" a="1"/>
  <c r="J365" i="12" s="1"/>
  <c r="K365" i="12" s="1"/>
  <c r="I311" i="12" a="1"/>
  <c r="I311" i="12" s="1"/>
  <c r="J311" i="12" s="1" a="1"/>
  <c r="J311" i="12" s="1"/>
  <c r="K311" i="12" s="1"/>
  <c r="I286" i="12" a="1"/>
  <c r="I286" i="12" s="1"/>
  <c r="J286" i="12" s="1" a="1"/>
  <c r="J286" i="12" s="1"/>
  <c r="K286" i="12" s="1"/>
  <c r="I262" i="12" a="1"/>
  <c r="I262" i="12" s="1"/>
  <c r="J262" i="12" s="1" a="1"/>
  <c r="J262" i="12" s="1"/>
  <c r="K262" i="12" s="1"/>
  <c r="I236" i="12" a="1"/>
  <c r="I236" i="12" s="1"/>
  <c r="J236" i="12" s="1" a="1"/>
  <c r="J236" i="12" s="1"/>
  <c r="K236" i="12" s="1"/>
  <c r="I207" i="12" a="1"/>
  <c r="I207" i="12" s="1"/>
  <c r="J207" i="12" s="1" a="1"/>
  <c r="J207" i="12" s="1"/>
  <c r="K207" i="12" s="1"/>
  <c r="I110" i="12" a="1"/>
  <c r="I110" i="12" s="1"/>
  <c r="J110" i="12" s="1" a="1"/>
  <c r="J110" i="12" s="1"/>
  <c r="K110" i="12" s="1"/>
  <c r="I60" i="12" a="1"/>
  <c r="I60" i="12" s="1"/>
  <c r="J60" i="12" s="1" a="1"/>
  <c r="J60" i="12" s="1"/>
  <c r="K60" i="12" s="1"/>
  <c r="I13" i="12" a="1"/>
  <c r="I13" i="12" s="1"/>
  <c r="J13" i="12" s="1" a="1"/>
  <c r="J13" i="12" s="1"/>
  <c r="K13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<sst xmlns="http://schemas.openxmlformats.org/spreadsheetml/2006/main" count="6871" uniqueCount="213">
  <si>
    <t>ABERDEEN SCHOOL DISTRICT</t>
  </si>
  <si>
    <t>AGAR‐BLUNT‐ONIDA SCHOOLS</t>
  </si>
  <si>
    <t>ALCESTER‐HUDSON SCHOOLS</t>
  </si>
  <si>
    <t>ANDES CENTRAL SCHOOLS</t>
  </si>
  <si>
    <t>ARLINGTON SCHOOLS</t>
  </si>
  <si>
    <t>ARMOUR SCHOOLS</t>
  </si>
  <si>
    <t>AVON SCHOOL</t>
  </si>
  <si>
    <t>BALTIC SCHOOLS</t>
  </si>
  <si>
    <t>BELLE FOURCHE SCHOOLS</t>
  </si>
  <si>
    <t>BENNETT COUNTY SCHOOL</t>
  </si>
  <si>
    <t>BERESFORD SCHOOLS</t>
  </si>
  <si>
    <t>BIG STONE CITY SCHOOLS</t>
  </si>
  <si>
    <t>BISON SCHOOLS</t>
  </si>
  <si>
    <t>BON HOMME SCHOOLS</t>
  </si>
  <si>
    <t>BOWDLE SCHOOLS</t>
  </si>
  <si>
    <t>BRANDON VALLEY SCHOOLS</t>
  </si>
  <si>
    <t>BRIDGEWATER‐EMERY SCHOOLS</t>
  </si>
  <si>
    <t>BRITTON‐HECLA PUBLIC SCHOOLS</t>
  </si>
  <si>
    <t>BROOKINGS SCHOOLS</t>
  </si>
  <si>
    <t>BURKE SCHOOL</t>
  </si>
  <si>
    <t>CANISTOTA SCHOOLS</t>
  </si>
  <si>
    <t>CANTON SCHOOLS</t>
  </si>
  <si>
    <t>CASTLEWOOD SCHOOLS</t>
  </si>
  <si>
    <t>CENTERVILLE SCHOOLS</t>
  </si>
  <si>
    <t>CHAMBERLAIN SCHOOLS</t>
  </si>
  <si>
    <t>CHESTER AREA SCHOOLS</t>
  </si>
  <si>
    <t>CHILDREN'S CARE HOSP LIFESCAPE</t>
  </si>
  <si>
    <t>CLARK SCHOOLS</t>
  </si>
  <si>
    <t>COLMAN‐EGAN SCHOOLS</t>
  </si>
  <si>
    <t>COLOME SCHOOLS</t>
  </si>
  <si>
    <t>CORNBELT SPECIAL COOP</t>
  </si>
  <si>
    <t>CORSICA‐STICKNEY SCHOOLS</t>
  </si>
  <si>
    <t>CUSTER SCHOOLS</t>
  </si>
  <si>
    <t>DAKOTA VALLEY SCHOOLS</t>
  </si>
  <si>
    <t>DELL RAPIDS SCHOOLS</t>
  </si>
  <si>
    <t>DESMET SCHOOLS</t>
  </si>
  <si>
    <t>DEUBROOK AREA SCHOOLS</t>
  </si>
  <si>
    <t>DEUEL SCHOOLS</t>
  </si>
  <si>
    <t>DOLAND SCHOOLS</t>
  </si>
  <si>
    <t>DOUGLAS SCHOOLS</t>
  </si>
  <si>
    <t>DUPREE SCHOOLS</t>
  </si>
  <si>
    <t>EAGLE BUTTE SCHOOLS</t>
  </si>
  <si>
    <t>EAST DAKOTA ED COOP</t>
  </si>
  <si>
    <t>EDGEMONT SCHOOLS</t>
  </si>
  <si>
    <t>EDMUNDS CENTRAL SCHOOL</t>
  </si>
  <si>
    <t>ELK MOUNTAIN SCHOOL</t>
  </si>
  <si>
    <t>ELK POINT JEFFERSON SCHOOL</t>
  </si>
  <si>
    <t>ELKTON SCHOOLS</t>
  </si>
  <si>
    <t>ESTELLINE SCHOOLS</t>
  </si>
  <si>
    <t>ETHAN SCHOOLS</t>
  </si>
  <si>
    <t>EUREKA SCHOOLS</t>
  </si>
  <si>
    <t>FAITH SCHOOLS</t>
  </si>
  <si>
    <t>FAULKTON SCHOOLS</t>
  </si>
  <si>
    <t>FLANDREAU SCHOOLS</t>
  </si>
  <si>
    <t>FLORENCE SCHOOLS</t>
  </si>
  <si>
    <t>FREDERICK AREA SCHOOL DISTRICT</t>
  </si>
  <si>
    <t>FREEMAN SCHOOLS</t>
  </si>
  <si>
    <t>GARRETSON SCHOOLS</t>
  </si>
  <si>
    <t>GAYVILLE‐VOLIN SCHOOLS</t>
  </si>
  <si>
    <t>GETTYSBURG SCHOOLS</t>
  </si>
  <si>
    <t>GREGORY SCHOOLS</t>
  </si>
  <si>
    <t>GROTON AREA SCHOOL DIST</t>
  </si>
  <si>
    <t>HAAKON COUNTY SCHOOLS</t>
  </si>
  <si>
    <t>HAMLIN SCHOOL</t>
  </si>
  <si>
    <t>HANSON SCHOOLS</t>
  </si>
  <si>
    <t>HARDING COUNTY SCHOOLS</t>
  </si>
  <si>
    <t>HARRISBURG SCHOOLS</t>
  </si>
  <si>
    <t>HENRY SCHOOLS</t>
  </si>
  <si>
    <t>HERREID SCHOOLS</t>
  </si>
  <si>
    <t>HIGHMORE‐HARROLD SCHOOLS</t>
  </si>
  <si>
    <t>HILL CITY SCHOOLS</t>
  </si>
  <si>
    <t>HITCHCOCK‐TULARE SCHOOLS</t>
  </si>
  <si>
    <t>HOT SPRINGS SCHOOLS</t>
  </si>
  <si>
    <t>HOVEN SCHOOLS</t>
  </si>
  <si>
    <t>HOWARD SCHOOLS</t>
  </si>
  <si>
    <t>HURON SCHOOLS</t>
  </si>
  <si>
    <t>IPSWICH SCHOOLS</t>
  </si>
  <si>
    <t>IRENE‐WAKONDA SCHOOLS (NEW)</t>
  </si>
  <si>
    <t>IROQUOIS SCHOOLS</t>
  </si>
  <si>
    <t>JAMES VALLEY EDUCATION COOPERATIVE</t>
  </si>
  <si>
    <t>JONES COUNTY SCHOOLS</t>
  </si>
  <si>
    <t>KADOKA AREA SCHOOL DISTRICT</t>
  </si>
  <si>
    <t>KIMBALL SCHOOLS</t>
  </si>
  <si>
    <t>LAKE PRESTON SCHOOLS</t>
  </si>
  <si>
    <t>LANGFORD AREA SCHOOL DISTRICT</t>
  </si>
  <si>
    <t>LEAD‐DEADWOOD SCHOOLS</t>
  </si>
  <si>
    <t>LEMMON SCHOOLS</t>
  </si>
  <si>
    <t>LENNOX SCHOOLS</t>
  </si>
  <si>
    <t>LEOLA SCHOOLS</t>
  </si>
  <si>
    <t>LYMAN IND SCHOOLS</t>
  </si>
  <si>
    <t>MADISON CENTRAL SCHOOL DISTRICT</t>
  </si>
  <si>
    <t>MARION SCHOOLS</t>
  </si>
  <si>
    <t>MCCOOK CENTRAL SCHOOLS</t>
  </si>
  <si>
    <t>MCINTOSH SCHOOLS</t>
  </si>
  <si>
    <t>MCLAUGHLIN SCHOOLS</t>
  </si>
  <si>
    <t>MEADE COUNTY SCHOOLS</t>
  </si>
  <si>
    <t>MENNO SCHOOLS</t>
  </si>
  <si>
    <t>CORE EDUCATION COOPERATIVE</t>
  </si>
  <si>
    <t>MILBANK SCHOOLS</t>
  </si>
  <si>
    <t>MILLER SCHOOLS</t>
  </si>
  <si>
    <t>MITCHELL SCHOOLS</t>
  </si>
  <si>
    <t>MOBRIDGE‐POLLOCK SCHOOLS</t>
  </si>
  <si>
    <t>MONTROSE SCHOOLS</t>
  </si>
  <si>
    <t>MT VERNON SCHOOLS</t>
  </si>
  <si>
    <t>NEW UNDERWOOD SCHOOLS</t>
  </si>
  <si>
    <t>NEWELL SCHOOLS</t>
  </si>
  <si>
    <t>NORTH CENTRAL SPECIAL ED. CO‐OP</t>
  </si>
  <si>
    <t>NORTHEAST SERVICE COOP</t>
  </si>
  <si>
    <t>NORTHEAST TECHNICAL HIGH SCHOOL</t>
  </si>
  <si>
    <t>NORTHWEST AREA SCHOOLS</t>
  </si>
  <si>
    <t>NORTHWESTERN AREA SCHOOLS</t>
  </si>
  <si>
    <t>OAHE SPECIAL ED COOP</t>
  </si>
  <si>
    <t>OELRICHS SCHOOLS</t>
  </si>
  <si>
    <t>OLDHAM‐RAMONA SCHOOL</t>
  </si>
  <si>
    <t>PARKER SCHOOLS</t>
  </si>
  <si>
    <t>PARKSTON SCHOOLS</t>
  </si>
  <si>
    <t>PIERRE SCHOOLS</t>
  </si>
  <si>
    <t>PLANKINTON SCHOOLS</t>
  </si>
  <si>
    <t>PLATTE‐GEDDES SCHOOL DISTRICT (NEW)</t>
  </si>
  <si>
    <t>PRAIRIE LAKES EDUCATIONAL COOP</t>
  </si>
  <si>
    <t>RAPID CITY SCHOOLS</t>
  </si>
  <si>
    <t>REDFIELD SCHOOLS</t>
  </si>
  <si>
    <t>ROSHOLT SCHOOLS</t>
  </si>
  <si>
    <t>RUTLAND SCHOOLS</t>
  </si>
  <si>
    <t>SANBORN CENTRAL SCHOOLS</t>
  </si>
  <si>
    <t>SCOTLAND SCHOOLS</t>
  </si>
  <si>
    <t>SELBY AREA SCHOOLS</t>
  </si>
  <si>
    <t>OGLALA LAKOTA COUNTY SCHOOLS</t>
  </si>
  <si>
    <t>SIOUX FALLS SCHOOLS</t>
  </si>
  <si>
    <t>SIOUX VALLEY SCHOOLS</t>
  </si>
  <si>
    <t>SISSETON SCHOOLS</t>
  </si>
  <si>
    <t>SMEE SCHOOLS</t>
  </si>
  <si>
    <t>SOUTH CENTRAL COOP</t>
  </si>
  <si>
    <t>SOUTH CENTRAL SCHOOL DISTRICT</t>
  </si>
  <si>
    <t>SOUTH EAST AREA COOP</t>
  </si>
  <si>
    <t>SPEARFISH SCHOOLS</t>
  </si>
  <si>
    <t>STANLEY COUNTY SCHOOLS</t>
  </si>
  <si>
    <t>SUMMIT SCHOOLS</t>
  </si>
  <si>
    <t>TEA AREA SCHOOL DISTRICT</t>
  </si>
  <si>
    <t>THREE RIVERS COOP</t>
  </si>
  <si>
    <t>TIMBER LAKE SCHOOLS</t>
  </si>
  <si>
    <t>TODD COUNTY SCHOOLS</t>
  </si>
  <si>
    <t>TRI VALLEY SCHOOL</t>
  </si>
  <si>
    <t>TRIPP DELMONT SCHOOLS</t>
  </si>
  <si>
    <t>VERMILLION SCHOOLS</t>
  </si>
  <si>
    <t>VIBORG‐HURLEY SCHOOLS</t>
  </si>
  <si>
    <t>WAGNER SCHOOLS</t>
  </si>
  <si>
    <t>WALL SCHOOLS</t>
  </si>
  <si>
    <t>WARNER SCHOOLS</t>
  </si>
  <si>
    <t>WATERTOWN SCHOOLS</t>
  </si>
  <si>
    <t>WAUBAY SCHOOLS</t>
  </si>
  <si>
    <t>WAVERLY SCHOOLS</t>
  </si>
  <si>
    <t>WEBSTER AREA SCHOOLS</t>
  </si>
  <si>
    <t>WESSINGTON SPRINGS SCHOOLS</t>
  </si>
  <si>
    <t>WEST CENTRAL SCHOOLS</t>
  </si>
  <si>
    <t>WESTERN DAKOTA TECHNICAL COLLEGE</t>
  </si>
  <si>
    <t>WHITE LAKE SCHOOLS</t>
  </si>
  <si>
    <t>WHITE RIVER SCHOOLS</t>
  </si>
  <si>
    <t>WILLOW LAKE SCHOOLS</t>
  </si>
  <si>
    <t>WILMOT SCHOOLS</t>
  </si>
  <si>
    <t>WINNER SCHOOLS</t>
  </si>
  <si>
    <t>WOLSEY‐WESSINGTON SCHOOLS</t>
  </si>
  <si>
    <t>WOONSOCKET SCHOOLS</t>
  </si>
  <si>
    <t>YANKTON SCHOOLS</t>
  </si>
  <si>
    <t>STATE OF SOUTH DAKOTA</t>
  </si>
  <si>
    <t>101‐11136</t>
  </si>
  <si>
    <t>employer_number</t>
  </si>
  <si>
    <t>employer_name</t>
  </si>
  <si>
    <t>employer_contributions</t>
  </si>
  <si>
    <t>BLACK HILLS SPEC SERV COOP</t>
  </si>
  <si>
    <t>SCHOOL FOR VIS. IMPAIR.</t>
  </si>
  <si>
    <t>IRENE‐WAKONDA SCHOOLS</t>
  </si>
  <si>
    <t>PLATTE‐GEDDES SCHOOL DISTRICT</t>
  </si>
  <si>
    <t>AGAR-BLUNT-ONIDA SCHOOLS</t>
  </si>
  <si>
    <t>ALCESTER-HUDSON SCHOOLS</t>
  </si>
  <si>
    <t>BRIDGEWATER-EMERY SCHOOLS</t>
  </si>
  <si>
    <t>BRITTON-HECLA PUBLIC SCHOOLS</t>
  </si>
  <si>
    <t>COLMAN-EGAN SCHOOLS</t>
  </si>
  <si>
    <t>CORSICA-STICKNEY SCHOOLS</t>
  </si>
  <si>
    <t>GAYVILLE-VOLIN SCHOOLS</t>
  </si>
  <si>
    <t>HIGHMORE-HARROLD SCHOOLS</t>
  </si>
  <si>
    <t>HITCHCOCK-TULARE SCHOOLS</t>
  </si>
  <si>
    <t>IRENE-WAKONDA SCHOOLS (NEW)</t>
  </si>
  <si>
    <t>LEAD-DEADWOOD SCHOOLS</t>
  </si>
  <si>
    <t>MOBRIDGE-POLLOCK SCHOOLS</t>
  </si>
  <si>
    <t>NORTH CENTRAL SPECIAL ED. CO-OP</t>
  </si>
  <si>
    <t>OLDHAM-RAMONA SCHOOL</t>
  </si>
  <si>
    <t>PLATTE-GEDDES SCHOOL DISTRICT (NEW)</t>
  </si>
  <si>
    <t>VIBORG-HURLEY SCHOOLS</t>
  </si>
  <si>
    <t>WOLSEY-WESSINGTON SCHOOLS</t>
  </si>
  <si>
    <t>GRANT-DEUEL SCHOOLS</t>
  </si>
  <si>
    <t>MID-CENTRAL COOPERATIVE</t>
  </si>
  <si>
    <t>SHANNON COUNTY SCHOOLS</t>
  </si>
  <si>
    <t>IRENE-WAKONDA SCHOOLS</t>
  </si>
  <si>
    <t>PLATTE-GEDDES SCHOOL DISTRICT</t>
  </si>
  <si>
    <t>STICKNEY SCHOOLS</t>
  </si>
  <si>
    <t>CORSICA SCHOOLS</t>
  </si>
  <si>
    <t>JAMES VALLEY EDUCATION COOPERATIV</t>
  </si>
  <si>
    <t>Year</t>
  </si>
  <si>
    <t>district_contributions</t>
  </si>
  <si>
    <t>dist_prop</t>
  </si>
  <si>
    <t>state_contributions</t>
  </si>
  <si>
    <t>total_contributions</t>
  </si>
  <si>
    <t>district_name</t>
  </si>
  <si>
    <t>LEAID</t>
  </si>
  <si>
    <t>LEAID_match</t>
  </si>
  <si>
    <t>LEIAD</t>
  </si>
  <si>
    <t>State</t>
  </si>
  <si>
    <t>South Dakota</t>
  </si>
  <si>
    <t>state_abv</t>
  </si>
  <si>
    <t>plan</t>
  </si>
  <si>
    <t>South Dakota Retirement System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</si>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</sst>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3" fontId="4" fillId="0" borderId="0" xfId="0" applyNumberFormat="1" applyFont="1"/>
    <xf numFmtId="169" fontId="0" fillId="0" borderId="0" xfId="1" applyNumberFormat="1" applyFon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950E-C927-6048-B181-022A552F45EC}">
  <sheetPr>
    <tabColor rgb="FF002060"/>
  </sheetPr>
  <dimension ref="A1:Q1326"/>
  <sheetViews>
    <sheetView tabSelected="1" workbookViewId="0">
      <selection activeCell="D2" sqref="D2:D1326"/>
    </sheetView>
  </sheetViews>
  <sheetFormatPr baseColWidth="10" defaultRowHeight="16" x14ac:dyDescent="0.2"/>
  <cols>
    <col min="3" max="4" width="16.33203125" customWidth="1"/>
    <col min="5" max="5" width="39.1640625" bestFit="1" customWidth="1"/>
    <col min="6" max="6" width="15.6640625" style="3" bestFit="1" customWidth="1"/>
    <col min="7" max="7" width="40.5" style="3" bestFit="1" customWidth="1"/>
    <col min="8" max="8" width="20.5" style="3" bestFit="1" customWidth="1"/>
    <col min="10" max="10" width="17.1640625" bestFit="1" customWidth="1"/>
    <col min="11" max="11" width="16.83203125" bestFit="1" customWidth="1"/>
    <col min="12" max="12" width="11.83203125" bestFit="1" customWidth="1"/>
    <col min="13" max="13" width="3.5" customWidth="1"/>
    <col min="15" max="15" width="14" bestFit="1" customWidth="1"/>
    <col min="16" max="16" width="21.6640625" bestFit="1" customWidth="1"/>
  </cols>
  <sheetData>
    <row r="1" spans="1:17" x14ac:dyDescent="0.2">
      <c r="A1" t="s">
        <v>206</v>
      </c>
      <c r="B1" t="s">
        <v>198</v>
      </c>
      <c r="C1" t="s">
        <v>207</v>
      </c>
      <c r="D1" t="s">
        <v>209</v>
      </c>
      <c r="E1" t="s">
        <v>210</v>
      </c>
      <c r="F1" s="3" t="s">
        <v>166</v>
      </c>
      <c r="G1" s="3" t="s">
        <v>167</v>
      </c>
      <c r="H1" s="3" t="s">
        <v>199</v>
      </c>
      <c r="I1" s="3" t="s">
        <v>200</v>
      </c>
      <c r="J1" s="3" t="s">
        <v>201</v>
      </c>
      <c r="K1" s="3" t="s">
        <v>202</v>
      </c>
      <c r="L1" s="3" t="s">
        <v>205</v>
      </c>
      <c r="N1">
        <v>2015</v>
      </c>
      <c r="O1" s="3" t="s">
        <v>165</v>
      </c>
      <c r="P1" s="3" t="s">
        <v>164</v>
      </c>
      <c r="Q1" s="4">
        <v>24592155</v>
      </c>
    </row>
    <row r="2" spans="1:17" x14ac:dyDescent="0.2">
      <c r="A2">
        <f>L2</f>
        <v>4600027</v>
      </c>
      <c r="B2">
        <v>2015</v>
      </c>
      <c r="C2" t="s">
        <v>208</v>
      </c>
      <c r="D2" t="s">
        <v>212</v>
      </c>
      <c r="E2" t="s">
        <v>211</v>
      </c>
      <c r="F2" s="3">
        <v>901100</v>
      </c>
      <c r="G2" s="3" t="s">
        <v>42</v>
      </c>
      <c r="H2" s="4">
        <v>108197</v>
      </c>
      <c r="I2" cm="1">
        <f t="array" ref="I2">_xlfn.IFS(B2=2015,H2/$O$10,B2=2016,H2/$O$11,B2=2017,H2/$O$12,B2=2018,H2/$O$13,B2=2019,H2/$O$14,B2=2020,H2/$O$15,B2=2021,H2/$O$16,B2=2022,H2/$O$17)</f>
        <v>2.5307595808337783E-3</v>
      </c>
      <c r="J2" s="6" cm="1">
        <f t="array" ref="J2">_xlfn.IFS(B2=2015,I2*$Q$1,B2=2016,I2*$Q$2,B2=2017,I2*$Q$3,B2=2018,I2*$Q$4,B2=2019,I2*$Q$5,B2=2020,I2*$Q$6,B2=2021,I2*$Q$7,B2=2022,I2*$Q$8)</f>
        <v>62236.831879599304</v>
      </c>
      <c r="K2" s="7">
        <f>SUM(J2,H2)</f>
        <v>170433.83187959931</v>
      </c>
      <c r="L2">
        <f>IFERROR(VLOOKUP(G2,'LEAID Match'!$A$2:$B$168,2,FALSE),"")</f>
        <v>4600027</v>
      </c>
      <c r="N2">
        <v>2016</v>
      </c>
      <c r="O2" s="3" t="s">
        <v>165</v>
      </c>
      <c r="P2" s="3" t="s">
        <v>164</v>
      </c>
      <c r="Q2" s="4">
        <v>25405805</v>
      </c>
    </row>
    <row r="3" spans="1:17" x14ac:dyDescent="0.2">
      <c r="A3">
        <f t="shared" ref="A3:A66" si="0">L3</f>
        <v>4600027</v>
      </c>
      <c r="B3">
        <v>2016</v>
      </c>
      <c r="C3" t="s">
        <v>208</v>
      </c>
      <c r="D3" t="s">
        <v>212</v>
      </c>
      <c r="E3" t="s">
        <v>211</v>
      </c>
      <c r="F3" s="3">
        <v>901100</v>
      </c>
      <c r="G3" s="3" t="s">
        <v>42</v>
      </c>
      <c r="H3" s="4">
        <v>109201</v>
      </c>
      <c r="I3" cm="1">
        <f t="array" ref="I3">_xlfn.IFS(B3=2015,H3/$O$10,B3=2016,H3/$O$11,B3=2017,H3/$O$12,B3=2018,H3/$O$13,B3=2019,H3/$O$14,B3=2020,H3/$O$15,B3=2021,H3/$O$16,B3=2022,H3/$O$17)</f>
        <v>2.4769037081880311E-3</v>
      </c>
      <c r="J3" s="6" cm="1">
        <f t="array" ref="J3">_xlfn.IFS(B3=2015,I3*$Q$1,B3=2016,I3*$Q$2,B3=2017,I3*$Q$3,B3=2018,I3*$Q$4,B3=2019,I3*$Q$5,B3=2020,I3*$Q$6,B3=2021,I3*$Q$7,B3=2022,I3*$Q$8)</f>
        <v>62927.732614002023</v>
      </c>
      <c r="K3" s="7">
        <f t="shared" ref="K3:K66" si="1">SUM(J3,H3)</f>
        <v>172128.73261400202</v>
      </c>
      <c r="L3">
        <f>IFERROR(VLOOKUP(G3,'LEAID Match'!$A$2:$B$168,2,FALSE),"")</f>
        <v>4600027</v>
      </c>
      <c r="N3">
        <v>2017</v>
      </c>
      <c r="O3" s="3" t="s">
        <v>165</v>
      </c>
      <c r="P3" s="3" t="s">
        <v>164</v>
      </c>
      <c r="Q3" s="4">
        <v>26305534</v>
      </c>
    </row>
    <row r="4" spans="1:17" x14ac:dyDescent="0.2">
      <c r="A4">
        <f t="shared" si="0"/>
        <v>4600027</v>
      </c>
      <c r="B4">
        <v>2017</v>
      </c>
      <c r="C4" t="s">
        <v>208</v>
      </c>
      <c r="D4" t="s">
        <v>212</v>
      </c>
      <c r="E4" t="s">
        <v>211</v>
      </c>
      <c r="F4" s="3">
        <v>901100</v>
      </c>
      <c r="G4" s="3" t="s">
        <v>42</v>
      </c>
      <c r="H4" s="4">
        <v>126079</v>
      </c>
      <c r="I4" cm="1">
        <f t="array" ref="I4">_xlfn.IFS(B4=2015,H4/$O$10,B4=2016,H4/$O$11,B4=2017,H4/$O$12,B4=2018,H4/$O$13,B4=2019,H4/$O$14,B4=2020,H4/$O$15,B4=2021,H4/$O$16,B4=2022,H4/$O$17)</f>
        <v>2.6031266921335192E-3</v>
      </c>
      <c r="J4" s="6" cm="1">
        <f t="array" ref="J4">_xlfn.IFS(B4=2015,I4*$Q$1,B4=2016,I4*$Q$2,B4=2017,I4*$Q$3,B4=2018,I4*$Q$4,B4=2019,I4*$Q$5,B4=2020,I4*$Q$6,B4=2021,I4*$Q$7,B4=2022,I4*$Q$8)</f>
        <v>68476.637706225825</v>
      </c>
      <c r="K4" s="7">
        <f t="shared" si="1"/>
        <v>194555.63770622583</v>
      </c>
      <c r="L4">
        <f>IFERROR(VLOOKUP(G4,'LEAID Match'!$A$2:$B$168,2,FALSE),"")</f>
        <v>4600027</v>
      </c>
      <c r="N4">
        <v>2018</v>
      </c>
      <c r="O4" s="3" t="s">
        <v>165</v>
      </c>
      <c r="P4" s="3" t="s">
        <v>164</v>
      </c>
      <c r="Q4" s="4">
        <v>26255809</v>
      </c>
    </row>
    <row r="5" spans="1:17" x14ac:dyDescent="0.2">
      <c r="A5">
        <f t="shared" si="0"/>
        <v>4600027</v>
      </c>
      <c r="B5">
        <v>2018</v>
      </c>
      <c r="C5" t="s">
        <v>208</v>
      </c>
      <c r="D5" t="s">
        <v>212</v>
      </c>
      <c r="E5" t="s">
        <v>211</v>
      </c>
      <c r="F5" s="3">
        <v>901100</v>
      </c>
      <c r="G5" s="3" t="s">
        <v>42</v>
      </c>
      <c r="H5" s="4">
        <v>116011</v>
      </c>
      <c r="I5" cm="1">
        <f t="array" ref="I5">_xlfn.IFS(B5=2015,H5/$O$10,B5=2016,H5/$O$11,B5=2017,H5/$O$12,B5=2018,H5/$O$13,B5=2019,H5/$O$14,B5=2020,H5/$O$15,B5=2021,H5/$O$16,B5=2022,H5/$O$17)</f>
        <v>2.3135614775252234E-3</v>
      </c>
      <c r="J5" s="6" cm="1">
        <f t="array" ref="J5">_xlfn.IFS(B5=2015,I5*$Q$1,B5=2016,I5*$Q$2,B5=2017,I5*$Q$3,B5=2018,I5*$Q$4,B5=2019,I5*$Q$5,B5=2020,I5*$Q$6,B5=2021,I5*$Q$7,B5=2022,I5*$Q$8)</f>
        <v>60744.428263660055</v>
      </c>
      <c r="K5" s="7">
        <f t="shared" si="1"/>
        <v>176755.42826366005</v>
      </c>
      <c r="L5">
        <f>IFERROR(VLOOKUP(G5,'LEAID Match'!$A$2:$B$168,2,FALSE),"")</f>
        <v>4600027</v>
      </c>
      <c r="N5">
        <v>2019</v>
      </c>
      <c r="O5" s="3" t="s">
        <v>165</v>
      </c>
      <c r="P5" s="3" t="s">
        <v>164</v>
      </c>
      <c r="Q5" s="4">
        <v>26447455</v>
      </c>
    </row>
    <row r="6" spans="1:17" x14ac:dyDescent="0.2">
      <c r="A6">
        <f t="shared" si="0"/>
        <v>4600027</v>
      </c>
      <c r="B6">
        <v>2019</v>
      </c>
      <c r="C6" t="s">
        <v>208</v>
      </c>
      <c r="D6" t="s">
        <v>212</v>
      </c>
      <c r="E6" t="s">
        <v>211</v>
      </c>
      <c r="F6" s="3">
        <v>901100</v>
      </c>
      <c r="G6" s="3" t="s">
        <v>42</v>
      </c>
      <c r="H6" s="4">
        <v>118943</v>
      </c>
      <c r="I6" cm="1">
        <f t="array" ref="I6">_xlfn.IFS(B6=2015,H6/$O$10,B6=2016,H6/$O$11,B6=2017,H6/$O$12,B6=2018,H6/$O$13,B6=2019,H6/$O$14,B6=2020,H6/$O$15,B6=2021,H6/$O$16,B6=2022,H6/$O$17)</f>
        <v>2.329442964017046E-3</v>
      </c>
      <c r="J6" s="6" cm="1">
        <f t="array" ref="J6">_xlfn.IFS(B6=2015,I6*$Q$1,B6=2016,I6*$Q$2,B6=2017,I6*$Q$3,B6=2018,I6*$Q$4,B6=2019,I6*$Q$5,B6=2020,I6*$Q$6,B6=2021,I6*$Q$7,B6=2022,I6*$Q$8)</f>
        <v>61607.837965907442</v>
      </c>
      <c r="K6" s="7">
        <f t="shared" si="1"/>
        <v>180550.83796590744</v>
      </c>
      <c r="L6">
        <f>IFERROR(VLOOKUP(G6,'LEAID Match'!$A$2:$B$168,2,FALSE),"")</f>
        <v>4600027</v>
      </c>
      <c r="N6">
        <v>2020</v>
      </c>
      <c r="O6" s="3" t="s">
        <v>165</v>
      </c>
      <c r="P6" s="3" t="s">
        <v>164</v>
      </c>
      <c r="Q6" s="2">
        <v>27190231</v>
      </c>
    </row>
    <row r="7" spans="1:17" x14ac:dyDescent="0.2">
      <c r="A7">
        <f t="shared" si="0"/>
        <v>4600027</v>
      </c>
      <c r="B7">
        <v>2020</v>
      </c>
      <c r="C7" t="s">
        <v>208</v>
      </c>
      <c r="D7" t="s">
        <v>212</v>
      </c>
      <c r="E7" t="s">
        <v>211</v>
      </c>
      <c r="F7" s="1">
        <v>901100</v>
      </c>
      <c r="G7" s="3" t="s">
        <v>42</v>
      </c>
      <c r="H7" s="2">
        <v>136493</v>
      </c>
      <c r="I7" cm="1">
        <f t="array" ref="I7">_xlfn.IFS(B7=2015,H7/$O$10,B7=2016,H7/$O$11,B7=2017,H7/$O$12,B7=2018,H7/$O$13,B7=2019,H7/$O$14,B7=2020,H7/$O$15,B7=2021,H7/$O$16,B7=2022,H7/$O$17)</f>
        <v>2.585147379139772E-3</v>
      </c>
      <c r="J7" s="6" cm="1">
        <f t="array" ref="J7">_xlfn.IFS(B7=2015,I7*$Q$1,B7=2016,I7*$Q$2,B7=2017,I7*$Q$3,B7=2018,I7*$Q$4,B7=2019,I7*$Q$5,B7=2020,I7*$Q$6,B7=2021,I7*$Q$7,B7=2022,I7*$Q$8)</f>
        <v>70290.754407854984</v>
      </c>
      <c r="K7" s="7">
        <f t="shared" si="1"/>
        <v>206783.75440785498</v>
      </c>
      <c r="L7">
        <f>IFERROR(VLOOKUP(G7,'LEAID Match'!$A$2:$B$168,2,FALSE),"")</f>
        <v>4600027</v>
      </c>
      <c r="N7">
        <v>2021</v>
      </c>
      <c r="O7" s="3" t="s">
        <v>165</v>
      </c>
      <c r="P7" s="3" t="s">
        <v>164</v>
      </c>
      <c r="Q7" s="4">
        <v>27838333</v>
      </c>
    </row>
    <row r="8" spans="1:17" x14ac:dyDescent="0.2">
      <c r="A8">
        <f t="shared" si="0"/>
        <v>4600027</v>
      </c>
      <c r="B8">
        <v>2021</v>
      </c>
      <c r="C8" t="s">
        <v>208</v>
      </c>
      <c r="D8" t="s">
        <v>212</v>
      </c>
      <c r="E8" t="s">
        <v>211</v>
      </c>
      <c r="F8" s="3">
        <v>901100</v>
      </c>
      <c r="G8" s="3" t="s">
        <v>42</v>
      </c>
      <c r="H8" s="4">
        <v>185456</v>
      </c>
      <c r="I8" cm="1">
        <f t="array" ref="I8">_xlfn.IFS(B8=2015,H8/$O$10,B8=2016,H8/$O$11,B8=2017,H8/$O$12,B8=2018,H8/$O$13,B8=2019,H8/$O$14,B8=2020,H8/$O$15,B8=2021,H8/$O$16,B8=2022,H8/$O$17)</f>
        <v>3.3496261923660325E-3</v>
      </c>
      <c r="J8" s="6" cm="1">
        <f t="array" ref="J8">_xlfn.IFS(B8=2015,I8*$Q$1,B8=2016,I8*$Q$2,B8=2017,I8*$Q$3,B8=2018,I8*$Q$4,B8=2019,I8*$Q$5,B8=2020,I8*$Q$6,B8=2021,I8*$Q$7,B8=2022,I8*$Q$8)</f>
        <v>93248.009368607673</v>
      </c>
      <c r="K8" s="7">
        <f t="shared" si="1"/>
        <v>278704.00936860766</v>
      </c>
      <c r="L8">
        <f>IFERROR(VLOOKUP(G8,'LEAID Match'!$A$2:$B$168,2,FALSE),"")</f>
        <v>4600027</v>
      </c>
      <c r="N8">
        <v>2022</v>
      </c>
      <c r="O8" s="3" t="s">
        <v>165</v>
      </c>
      <c r="P8" s="3" t="s">
        <v>164</v>
      </c>
      <c r="Q8" s="4">
        <v>29457946</v>
      </c>
    </row>
    <row r="9" spans="1:17" x14ac:dyDescent="0.2">
      <c r="A9">
        <f t="shared" si="0"/>
        <v>4600027</v>
      </c>
      <c r="B9">
        <v>2022</v>
      </c>
      <c r="C9" t="s">
        <v>208</v>
      </c>
      <c r="D9" t="s">
        <v>212</v>
      </c>
      <c r="E9" t="s">
        <v>211</v>
      </c>
      <c r="F9" s="3">
        <v>901100</v>
      </c>
      <c r="G9" s="3" t="s">
        <v>42</v>
      </c>
      <c r="H9" s="4">
        <v>227241</v>
      </c>
      <c r="I9" cm="1">
        <f t="array" ref="I9">_xlfn.IFS(B9=2015,H9/$O$10,B9=2016,H9/$O$11,B9=2017,H9/$O$12,B9=2018,H9/$O$13,B9=2019,H9/$O$14,B9=2020,H9/$O$15,B9=2021,H9/$O$16,B9=2022,H9/$O$17)</f>
        <v>3.9354918844432167E-3</v>
      </c>
      <c r="J9" s="6" cm="1">
        <f t="array" ref="J9">_xlfn.IFS(B9=2015,I9*$Q$1,B9=2016,I9*$Q$2,B9=2017,I9*$Q$3,B9=2018,I9*$Q$4,B9=2019,I9*$Q$5,B9=2020,I9*$Q$6,B9=2021,I9*$Q$7,B9=2022,I9*$Q$8)</f>
        <v>115931.50741536652</v>
      </c>
      <c r="K9" s="7">
        <f t="shared" si="1"/>
        <v>343172.50741536653</v>
      </c>
      <c r="L9">
        <f>IFERROR(VLOOKUP(G9,'LEAID Match'!$A$2:$B$168,2,FALSE),"")</f>
        <v>4600027</v>
      </c>
    </row>
    <row r="10" spans="1:17" x14ac:dyDescent="0.2">
      <c r="A10">
        <f t="shared" si="0"/>
        <v>4644940</v>
      </c>
      <c r="B10">
        <v>2015</v>
      </c>
      <c r="C10" t="s">
        <v>208</v>
      </c>
      <c r="D10" t="s">
        <v>212</v>
      </c>
      <c r="E10" t="s">
        <v>211</v>
      </c>
      <c r="F10" s="3">
        <v>901105</v>
      </c>
      <c r="G10" s="3" t="s">
        <v>142</v>
      </c>
      <c r="H10" s="4">
        <v>214465</v>
      </c>
      <c r="I10" cm="1">
        <f t="array" ref="I10">_xlfn.IFS(B10=2015,H10/$O$10,B10=2016,H10/$O$11,B10=2017,H10/$O$12,B10=2018,H10/$O$13,B10=2019,H10/$O$14,B10=2020,H10/$O$15,B10=2021,H10/$O$16,B10=2022,H10/$O$17)</f>
        <v>5.0163992855949448E-3</v>
      </c>
      <c r="J10" s="6" cm="1">
        <f t="array" ref="J10">_xlfn.IFS(B10=2015,I10*$Q$1,B10=2016,I10*$Q$2,B10=2017,I10*$Q$3,B10=2018,I10*$Q$4,B10=2019,I10*$Q$5,B10=2020,I10*$Q$6,B10=2021,I10*$Q$7,B10=2022,I10*$Q$8)</f>
        <v>123364.06877324014</v>
      </c>
      <c r="K10" s="7">
        <f t="shared" si="1"/>
        <v>337829.06877324014</v>
      </c>
      <c r="L10">
        <f>IFERROR(VLOOKUP(G10,'LEAID Match'!$A$2:$B$168,2,FALSE),"")</f>
        <v>4644940</v>
      </c>
      <c r="N10">
        <v>2015</v>
      </c>
      <c r="O10" s="6">
        <f>SUMIF($B$2:$B$1326,N10,$H$2:$H$1326)</f>
        <v>42752777</v>
      </c>
    </row>
    <row r="11" spans="1:17" x14ac:dyDescent="0.2">
      <c r="A11">
        <f t="shared" si="0"/>
        <v>4644940</v>
      </c>
      <c r="B11">
        <v>2016</v>
      </c>
      <c r="C11" t="s">
        <v>208</v>
      </c>
      <c r="D11" t="s">
        <v>212</v>
      </c>
      <c r="E11" t="s">
        <v>211</v>
      </c>
      <c r="F11" s="3">
        <v>901105</v>
      </c>
      <c r="G11" s="3" t="s">
        <v>142</v>
      </c>
      <c r="H11" s="4">
        <v>236136</v>
      </c>
      <c r="I11" cm="1">
        <f t="array" ref="I11">_xlfn.IFS(B11=2015,H11/$O$10,B11=2016,H11/$O$11,B11=2017,H11/$O$12,B11=2018,H11/$O$13,B11=2019,H11/$O$14,B11=2020,H11/$O$15,B11=2021,H11/$O$16,B11=2022,H11/$O$17)</f>
        <v>5.3560510804542896E-3</v>
      </c>
      <c r="J11" s="6" cm="1">
        <f t="array" ref="J11">_xlfn.IFS(B11=2015,I11*$Q$1,B11=2016,I11*$Q$2,B11=2017,I11*$Q$3,B11=2018,I11*$Q$4,B11=2019,I11*$Q$5,B11=2020,I11*$Q$6,B11=2021,I11*$Q$7,B11=2022,I11*$Q$8)</f>
        <v>136074.78932006098</v>
      </c>
      <c r="K11" s="7">
        <f t="shared" si="1"/>
        <v>372210.78932006098</v>
      </c>
      <c r="L11">
        <f>IFERROR(VLOOKUP(G11,'LEAID Match'!$A$2:$B$168,2,FALSE),"")</f>
        <v>4644940</v>
      </c>
      <c r="N11">
        <v>2016</v>
      </c>
      <c r="O11" s="6">
        <f t="shared" ref="O11:O17" si="2">SUMIF($B$2:$B$1326,N11,$H$2:$H$1326)</f>
        <v>44087705</v>
      </c>
    </row>
    <row r="12" spans="1:17" x14ac:dyDescent="0.2">
      <c r="A12">
        <f t="shared" si="0"/>
        <v>4644940</v>
      </c>
      <c r="B12">
        <v>2017</v>
      </c>
      <c r="C12" t="s">
        <v>208</v>
      </c>
      <c r="D12" t="s">
        <v>212</v>
      </c>
      <c r="E12" t="s">
        <v>211</v>
      </c>
      <c r="F12" s="3">
        <v>901105</v>
      </c>
      <c r="G12" s="3" t="s">
        <v>142</v>
      </c>
      <c r="H12" s="4">
        <v>270010</v>
      </c>
      <c r="I12" cm="1">
        <f t="array" ref="I12">_xlfn.IFS(B12=2015,H12/$O$10,B12=2016,H12/$O$11,B12=2017,H12/$O$12,B12=2018,H12/$O$13,B12=2019,H12/$O$14,B12=2020,H12/$O$15,B12=2021,H12/$O$16,B12=2022,H12/$O$17)</f>
        <v>5.5748398872371412E-3</v>
      </c>
      <c r="J12" s="6" cm="1">
        <f t="array" ref="J12">_xlfn.IFS(B12=2015,I12*$Q$1,B12=2016,I12*$Q$2,B12=2017,I12*$Q$3,B12=2018,I12*$Q$4,B12=2019,I12*$Q$5,B12=2020,I12*$Q$6,B12=2021,I12*$Q$7,B12=2022,I12*$Q$8)</f>
        <v>146649.1401982728</v>
      </c>
      <c r="K12" s="7">
        <f t="shared" si="1"/>
        <v>416659.14019827277</v>
      </c>
      <c r="L12">
        <f>IFERROR(VLOOKUP(G12,'LEAID Match'!$A$2:$B$168,2,FALSE),"")</f>
        <v>4644940</v>
      </c>
      <c r="N12">
        <v>2017</v>
      </c>
      <c r="O12" s="6">
        <f t="shared" si="2"/>
        <v>48433678</v>
      </c>
    </row>
    <row r="13" spans="1:17" x14ac:dyDescent="0.2">
      <c r="A13">
        <f t="shared" si="0"/>
        <v>4644940</v>
      </c>
      <c r="B13">
        <v>2018</v>
      </c>
      <c r="C13" t="s">
        <v>208</v>
      </c>
      <c r="D13" t="s">
        <v>212</v>
      </c>
      <c r="E13" t="s">
        <v>211</v>
      </c>
      <c r="F13" s="3">
        <v>901105</v>
      </c>
      <c r="G13" s="3" t="s">
        <v>142</v>
      </c>
      <c r="H13" s="4">
        <v>283114</v>
      </c>
      <c r="I13" cm="1">
        <f t="array" ref="I13">_xlfn.IFS(B13=2015,H13/$O$10,B13=2016,H13/$O$11,B13=2017,H13/$O$12,B13=2018,H13/$O$13,B13=2019,H13/$O$14,B13=2020,H13/$O$15,B13=2021,H13/$O$16,B13=2022,H13/$O$17)</f>
        <v>5.6460304983844299E-3</v>
      </c>
      <c r="J13" s="6" cm="1">
        <f t="array" ref="J13">_xlfn.IFS(B13=2015,I13*$Q$1,B13=2016,I13*$Q$2,B13=2017,I13*$Q$3,B13=2018,I13*$Q$4,B13=2019,I13*$Q$5,B13=2020,I13*$Q$6,B13=2021,I13*$Q$7,B13=2022,I13*$Q$8)</f>
        <v>148241.09837375639</v>
      </c>
      <c r="K13" s="7">
        <f t="shared" si="1"/>
        <v>431355.09837375639</v>
      </c>
      <c r="L13">
        <f>IFERROR(VLOOKUP(G13,'LEAID Match'!$A$2:$B$168,2,FALSE),"")</f>
        <v>4644940</v>
      </c>
      <c r="N13">
        <v>2018</v>
      </c>
      <c r="O13" s="6">
        <f t="shared" si="2"/>
        <v>50143902</v>
      </c>
    </row>
    <row r="14" spans="1:17" x14ac:dyDescent="0.2">
      <c r="A14">
        <f t="shared" si="0"/>
        <v>4644940</v>
      </c>
      <c r="B14">
        <v>2019</v>
      </c>
      <c r="C14" t="s">
        <v>208</v>
      </c>
      <c r="D14" t="s">
        <v>212</v>
      </c>
      <c r="E14" t="s">
        <v>211</v>
      </c>
      <c r="F14" s="3">
        <v>901105</v>
      </c>
      <c r="G14" s="3" t="s">
        <v>142</v>
      </c>
      <c r="H14" s="4">
        <v>283907</v>
      </c>
      <c r="I14" cm="1">
        <f t="array" ref="I14">_xlfn.IFS(B14=2015,H14/$O$10,B14=2016,H14/$O$11,B14=2017,H14/$O$12,B14=2018,H14/$O$13,B14=2019,H14/$O$14,B14=2020,H14/$O$15,B14=2021,H14/$O$16,B14=2022,H14/$O$17)</f>
        <v>5.560185665278221E-3</v>
      </c>
      <c r="J14" s="6" cm="1">
        <f t="array" ref="J14">_xlfn.IFS(B14=2015,I14*$Q$1,B14=2016,I14*$Q$2,B14=2017,I14*$Q$3,B14=2018,I14*$Q$4,B14=2019,I14*$Q$5,B14=2020,I14*$Q$6,B14=2021,I14*$Q$7,B14=2022,I14*$Q$8)</f>
        <v>147052.7601740908</v>
      </c>
      <c r="K14" s="7">
        <f t="shared" si="1"/>
        <v>430959.7601740908</v>
      </c>
      <c r="L14">
        <f>IFERROR(VLOOKUP(G14,'LEAID Match'!$A$2:$B$168,2,FALSE),"")</f>
        <v>4644940</v>
      </c>
      <c r="N14">
        <v>2019</v>
      </c>
      <c r="O14" s="6">
        <f t="shared" si="2"/>
        <v>51060705</v>
      </c>
    </row>
    <row r="15" spans="1:17" x14ac:dyDescent="0.2">
      <c r="A15">
        <f t="shared" si="0"/>
        <v>4644940</v>
      </c>
      <c r="B15">
        <v>2020</v>
      </c>
      <c r="C15" t="s">
        <v>208</v>
      </c>
      <c r="D15" t="s">
        <v>212</v>
      </c>
      <c r="E15" t="s">
        <v>211</v>
      </c>
      <c r="F15" s="1">
        <v>901105</v>
      </c>
      <c r="G15" s="3" t="s">
        <v>142</v>
      </c>
      <c r="H15" s="2">
        <v>294755</v>
      </c>
      <c r="I15" cm="1">
        <f t="array" ref="I15">_xlfn.IFS(B15=2015,H15/$O$10,B15=2016,H15/$O$11,B15=2017,H15/$O$12,B15=2018,H15/$O$13,B15=2019,H15/$O$14,B15=2020,H15/$O$15,B15=2021,H15/$O$16,B15=2022,H15/$O$17)</f>
        <v>5.582594827121856E-3</v>
      </c>
      <c r="J15" s="6" cm="1">
        <f t="array" ref="J15">_xlfn.IFS(B15=2015,I15*$Q$1,B15=2016,I15*$Q$2,B15=2017,I15*$Q$3,B15=2018,I15*$Q$4,B15=2019,I15*$Q$5,B15=2020,I15*$Q$6,B15=2021,I15*$Q$7,B15=2022,I15*$Q$8)</f>
        <v>151792.04292884833</v>
      </c>
      <c r="K15" s="7">
        <f t="shared" si="1"/>
        <v>446547.0429288483</v>
      </c>
      <c r="L15">
        <f>IFERROR(VLOOKUP(G15,'LEAID Match'!$A$2:$B$168,2,FALSE),"")</f>
        <v>4644940</v>
      </c>
      <c r="N15">
        <v>2020</v>
      </c>
      <c r="O15" s="6">
        <f t="shared" si="2"/>
        <v>52798924</v>
      </c>
    </row>
    <row r="16" spans="1:17" x14ac:dyDescent="0.2">
      <c r="A16">
        <f t="shared" si="0"/>
        <v>4644940</v>
      </c>
      <c r="B16">
        <v>2021</v>
      </c>
      <c r="C16" t="s">
        <v>208</v>
      </c>
      <c r="D16" t="s">
        <v>212</v>
      </c>
      <c r="E16" t="s">
        <v>211</v>
      </c>
      <c r="F16" s="3">
        <v>901105</v>
      </c>
      <c r="G16" s="3" t="s">
        <v>142</v>
      </c>
      <c r="H16" s="4">
        <v>317601</v>
      </c>
      <c r="I16" cm="1">
        <f t="array" ref="I16">_xlfn.IFS(B16=2015,H16/$O$10,B16=2016,H16/$O$11,B16=2017,H16/$O$12,B16=2018,H16/$O$13,B16=2019,H16/$O$14,B16=2020,H16/$O$15,B16=2021,H16/$O$16,B16=2022,H16/$O$17)</f>
        <v>5.7363721223451618E-3</v>
      </c>
      <c r="J16" s="6" cm="1">
        <f t="array" ref="J16">_xlfn.IFS(B16=2015,I16*$Q$1,B16=2016,I16*$Q$2,B16=2017,I16*$Q$3,B16=2018,I16*$Q$4,B16=2019,I16*$Q$5,B16=2020,I16*$Q$6,B16=2021,I16*$Q$7,B16=2022,I16*$Q$8)</f>
        <v>159691.03735376135</v>
      </c>
      <c r="K16" s="7">
        <f t="shared" si="1"/>
        <v>477292.03735376138</v>
      </c>
      <c r="L16">
        <f>IFERROR(VLOOKUP(G16,'LEAID Match'!$A$2:$B$168,2,FALSE),"")</f>
        <v>4644940</v>
      </c>
      <c r="N16">
        <v>2021</v>
      </c>
      <c r="O16" s="6">
        <f t="shared" si="2"/>
        <v>55366178</v>
      </c>
    </row>
    <row r="17" spans="1:15" x14ac:dyDescent="0.2">
      <c r="A17">
        <f t="shared" si="0"/>
        <v>4644940</v>
      </c>
      <c r="B17">
        <v>2022</v>
      </c>
      <c r="C17" t="s">
        <v>208</v>
      </c>
      <c r="D17" t="s">
        <v>212</v>
      </c>
      <c r="E17" t="s">
        <v>211</v>
      </c>
      <c r="F17" s="3">
        <v>901105</v>
      </c>
      <c r="G17" s="3" t="s">
        <v>142</v>
      </c>
      <c r="H17" s="4">
        <v>348750</v>
      </c>
      <c r="I17" cm="1">
        <f t="array" ref="I17">_xlfn.IFS(B17=2015,H17/$O$10,B17=2016,H17/$O$11,B17=2017,H17/$O$12,B17=2018,H17/$O$13,B17=2019,H17/$O$14,B17=2020,H17/$O$15,B17=2021,H17/$O$16,B17=2022,H17/$O$17)</f>
        <v>6.0398554605004019E-3</v>
      </c>
      <c r="J17" s="6" cm="1">
        <f t="array" ref="J17">_xlfn.IFS(B17=2015,I17*$Q$1,B17=2016,I17*$Q$2,B17=2017,I17*$Q$3,B17=2018,I17*$Q$4,B17=2019,I17*$Q$5,B17=2020,I17*$Q$6,B17=2021,I17*$Q$7,B17=2022,I17*$Q$8)</f>
        <v>177921.73600322596</v>
      </c>
      <c r="K17" s="7">
        <f t="shared" si="1"/>
        <v>526671.7360032259</v>
      </c>
      <c r="L17">
        <f>IFERROR(VLOOKUP(G17,'LEAID Match'!$A$2:$B$168,2,FALSE),"")</f>
        <v>4644940</v>
      </c>
      <c r="N17">
        <v>2022</v>
      </c>
      <c r="O17" s="6">
        <f t="shared" si="2"/>
        <v>57741448</v>
      </c>
    </row>
    <row r="18" spans="1:15" x14ac:dyDescent="0.2">
      <c r="A18">
        <f t="shared" si="0"/>
        <v>4604680</v>
      </c>
      <c r="B18">
        <v>2015</v>
      </c>
      <c r="C18" t="s">
        <v>208</v>
      </c>
      <c r="D18" t="s">
        <v>212</v>
      </c>
      <c r="E18" t="s">
        <v>211</v>
      </c>
      <c r="F18" s="3">
        <v>901106</v>
      </c>
      <c r="G18" s="3" t="s">
        <v>7</v>
      </c>
      <c r="H18" s="4">
        <v>128184</v>
      </c>
      <c r="I18" cm="1">
        <f t="array" ref="I18">_xlfn.IFS(B18=2015,H18/$O$10,B18=2016,H18/$O$11,B18=2017,H18/$O$12,B18=2018,H18/$O$13,B18=2019,H18/$O$14,B18=2020,H18/$O$15,B18=2021,H18/$O$16,B18=2022,H18/$O$17)</f>
        <v>2.9982613760972765E-3</v>
      </c>
      <c r="J18" s="6" cm="1">
        <f t="array" ref="J18">_xlfn.IFS(B18=2015,I18*$Q$1,B18=2016,I18*$Q$2,B18=2017,I18*$Q$3,B18=2018,I18*$Q$4,B18=2019,I18*$Q$5,B18=2020,I18*$Q$6,B18=2021,I18*$Q$7,B18=2022,I18*$Q$8)</f>
        <v>73733.708491497513</v>
      </c>
      <c r="K18" s="7">
        <f t="shared" si="1"/>
        <v>201917.7084914975</v>
      </c>
      <c r="L18">
        <f>IFERROR(VLOOKUP(G18,'LEAID Match'!$A$2:$B$168,2,FALSE),"")</f>
        <v>4604680</v>
      </c>
      <c r="O18" s="6"/>
    </row>
    <row r="19" spans="1:15" x14ac:dyDescent="0.2">
      <c r="A19">
        <f t="shared" si="0"/>
        <v>4604680</v>
      </c>
      <c r="B19">
        <v>2016</v>
      </c>
      <c r="C19" t="s">
        <v>208</v>
      </c>
      <c r="D19" t="s">
        <v>212</v>
      </c>
      <c r="E19" t="s">
        <v>211</v>
      </c>
      <c r="F19" s="3">
        <v>901106</v>
      </c>
      <c r="G19" s="3" t="s">
        <v>7</v>
      </c>
      <c r="H19" s="4">
        <v>136261</v>
      </c>
      <c r="I19" cm="1">
        <f t="array" ref="I19">_xlfn.IFS(B19=2015,H19/$O$10,B19=2016,H19/$O$11,B19=2017,H19/$O$12,B19=2018,H19/$O$13,B19=2019,H19/$O$14,B19=2020,H19/$O$15,B19=2021,H19/$O$16,B19=2022,H19/$O$17)</f>
        <v>3.0906802701569521E-3</v>
      </c>
      <c r="J19" s="6" cm="1">
        <f t="array" ref="J19">_xlfn.IFS(B19=2015,I19*$Q$1,B19=2016,I19*$Q$2,B19=2017,I19*$Q$3,B19=2018,I19*$Q$4,B19=2019,I19*$Q$5,B19=2020,I19*$Q$6,B19=2021,I19*$Q$7,B19=2022,I19*$Q$8)</f>
        <v>78521.22026095484</v>
      </c>
      <c r="K19" s="7">
        <f t="shared" si="1"/>
        <v>214782.22026095484</v>
      </c>
      <c r="L19">
        <f>IFERROR(VLOOKUP(G19,'LEAID Match'!$A$2:$B$168,2,FALSE),"")</f>
        <v>4604680</v>
      </c>
    </row>
    <row r="20" spans="1:15" x14ac:dyDescent="0.2">
      <c r="A20">
        <f t="shared" si="0"/>
        <v>4604680</v>
      </c>
      <c r="B20">
        <v>2017</v>
      </c>
      <c r="C20" t="s">
        <v>208</v>
      </c>
      <c r="D20" t="s">
        <v>212</v>
      </c>
      <c r="E20" t="s">
        <v>211</v>
      </c>
      <c r="F20" s="3">
        <v>901106</v>
      </c>
      <c r="G20" s="3" t="s">
        <v>7</v>
      </c>
      <c r="H20" s="4">
        <v>160822</v>
      </c>
      <c r="I20" cm="1">
        <f t="array" ref="I20">_xlfn.IFS(B20=2015,H20/$O$10,B20=2016,H20/$O$11,B20=2017,H20/$O$12,B20=2018,H20/$O$13,B20=2019,H20/$O$14,B20=2020,H20/$O$15,B20=2021,H20/$O$16,B20=2022,H20/$O$17)</f>
        <v>3.3204581324589887E-3</v>
      </c>
      <c r="J20" s="6" cm="1">
        <f t="array" ref="J20">_xlfn.IFS(B20=2015,I20*$Q$1,B20=2016,I20*$Q$2,B20=2017,I20*$Q$3,B20=2018,I20*$Q$4,B20=2019,I20*$Q$5,B20=2020,I20*$Q$6,B20=2021,I20*$Q$7,B20=2022,I20*$Q$8)</f>
        <v>87346.424298976432</v>
      </c>
      <c r="K20" s="7">
        <f t="shared" si="1"/>
        <v>248168.42429897643</v>
      </c>
      <c r="L20">
        <f>IFERROR(VLOOKUP(G20,'LEAID Match'!$A$2:$B$168,2,FALSE),"")</f>
        <v>4604680</v>
      </c>
    </row>
    <row r="21" spans="1:15" x14ac:dyDescent="0.2">
      <c r="A21">
        <f t="shared" si="0"/>
        <v>4604680</v>
      </c>
      <c r="B21">
        <v>2018</v>
      </c>
      <c r="C21" t="s">
        <v>208</v>
      </c>
      <c r="D21" t="s">
        <v>212</v>
      </c>
      <c r="E21" t="s">
        <v>211</v>
      </c>
      <c r="F21" s="3">
        <v>901106</v>
      </c>
      <c r="G21" s="3" t="s">
        <v>7</v>
      </c>
      <c r="H21" s="4">
        <v>162051</v>
      </c>
      <c r="I21" cm="1">
        <f t="array" ref="I21">_xlfn.IFS(B21=2015,H21/$O$10,B21=2016,H21/$O$11,B21=2017,H21/$O$12,B21=2018,H21/$O$13,B21=2019,H21/$O$14,B21=2020,H21/$O$15,B21=2021,H21/$O$16,B21=2022,H21/$O$17)</f>
        <v>3.2317189834967369E-3</v>
      </c>
      <c r="J21" s="6" cm="1">
        <f t="array" ref="J21">_xlfn.IFS(B21=2015,I21*$Q$1,B21=2016,I21*$Q$2,B21=2017,I21*$Q$3,B21=2018,I21*$Q$4,B21=2019,I21*$Q$5,B21=2020,I21*$Q$6,B21=2021,I21*$Q$7,B21=2022,I21*$Q$8)</f>
        <v>84851.39637236447</v>
      </c>
      <c r="K21" s="7">
        <f t="shared" si="1"/>
        <v>246902.39637236448</v>
      </c>
      <c r="L21">
        <f>IFERROR(VLOOKUP(G21,'LEAID Match'!$A$2:$B$168,2,FALSE),"")</f>
        <v>4604680</v>
      </c>
    </row>
    <row r="22" spans="1:15" x14ac:dyDescent="0.2">
      <c r="A22">
        <f t="shared" si="0"/>
        <v>4604680</v>
      </c>
      <c r="B22">
        <v>2019</v>
      </c>
      <c r="C22" t="s">
        <v>208</v>
      </c>
      <c r="D22" t="s">
        <v>212</v>
      </c>
      <c r="E22" t="s">
        <v>211</v>
      </c>
      <c r="F22" s="3">
        <v>901106</v>
      </c>
      <c r="G22" s="3" t="s">
        <v>7</v>
      </c>
      <c r="H22" s="4">
        <v>159948</v>
      </c>
      <c r="I22" cm="1">
        <f t="array" ref="I22">_xlfn.IFS(B22=2015,H22/$O$10,B22=2016,H22/$O$11,B22=2017,H22/$O$12,B22=2018,H22/$O$13,B22=2019,H22/$O$14,B22=2020,H22/$O$15,B22=2021,H22/$O$16,B22=2022,H22/$O$17)</f>
        <v>3.1325066898312509E-3</v>
      </c>
      <c r="J22" s="6" cm="1">
        <f t="array" ref="J22">_xlfn.IFS(B22=2015,I22*$Q$1,B22=2016,I22*$Q$2,B22=2017,I22*$Q$3,B22=2018,I22*$Q$4,B22=2019,I22*$Q$5,B22=2020,I22*$Q$6,B22=2021,I22*$Q$7,B22=2022,I22*$Q$8)</f>
        <v>82846.829716510969</v>
      </c>
      <c r="K22" s="7">
        <f t="shared" si="1"/>
        <v>242794.82971651095</v>
      </c>
      <c r="L22">
        <f>IFERROR(VLOOKUP(G22,'LEAID Match'!$A$2:$B$168,2,FALSE),"")</f>
        <v>4604680</v>
      </c>
    </row>
    <row r="23" spans="1:15" x14ac:dyDescent="0.2">
      <c r="A23">
        <f t="shared" si="0"/>
        <v>4604680</v>
      </c>
      <c r="B23">
        <v>2020</v>
      </c>
      <c r="C23" t="s">
        <v>208</v>
      </c>
      <c r="D23" t="s">
        <v>212</v>
      </c>
      <c r="E23" t="s">
        <v>211</v>
      </c>
      <c r="F23" s="1">
        <v>901106</v>
      </c>
      <c r="G23" s="3" t="s">
        <v>7</v>
      </c>
      <c r="H23" s="2">
        <v>168387</v>
      </c>
      <c r="I23" cm="1">
        <f t="array" ref="I23">_xlfn.IFS(B23=2015,H23/$O$10,B23=2016,H23/$O$11,B23=2017,H23/$O$12,B23=2018,H23/$O$13,B23=2019,H23/$O$14,B23=2020,H23/$O$15,B23=2021,H23/$O$16,B23=2022,H23/$O$17)</f>
        <v>3.1892127195622395E-3</v>
      </c>
      <c r="J23" s="6" cm="1">
        <f t="array" ref="J23">_xlfn.IFS(B23=2015,I23*$Q$1,B23=2016,I23*$Q$2,B23=2017,I23*$Q$3,B23=2018,I23*$Q$4,B23=2019,I23*$Q$5,B23=2020,I23*$Q$6,B23=2021,I23*$Q$7,B23=2022,I23*$Q$8)</f>
        <v>86715.430553035505</v>
      </c>
      <c r="K23" s="7">
        <f t="shared" si="1"/>
        <v>255102.43055303552</v>
      </c>
      <c r="L23">
        <f>IFERROR(VLOOKUP(G23,'LEAID Match'!$A$2:$B$168,2,FALSE),"")</f>
        <v>4604680</v>
      </c>
    </row>
    <row r="24" spans="1:15" x14ac:dyDescent="0.2">
      <c r="A24">
        <f t="shared" si="0"/>
        <v>4604680</v>
      </c>
      <c r="B24">
        <v>2021</v>
      </c>
      <c r="C24" t="s">
        <v>208</v>
      </c>
      <c r="D24" t="s">
        <v>212</v>
      </c>
      <c r="E24" t="s">
        <v>211</v>
      </c>
      <c r="F24" s="3">
        <v>901106</v>
      </c>
      <c r="G24" s="3" t="s">
        <v>7</v>
      </c>
      <c r="H24" s="4">
        <v>174119</v>
      </c>
      <c r="I24" cm="1">
        <f t="array" ref="I24">_xlfn.IFS(B24=2015,H24/$O$10,B24=2016,H24/$O$11,B24=2017,H24/$O$12,B24=2018,H24/$O$13,B24=2019,H24/$O$14,B24=2020,H24/$O$15,B24=2021,H24/$O$16,B24=2022,H24/$O$17)</f>
        <v>3.1448621936663208E-3</v>
      </c>
      <c r="J24" s="6" cm="1">
        <f t="array" ref="J24">_xlfn.IFS(B24=2015,I24*$Q$1,B24=2016,I24*$Q$2,B24=2017,I24*$Q$3,B24=2018,I24*$Q$4,B24=2019,I24*$Q$5,B24=2020,I24*$Q$6,B24=2021,I24*$Q$7,B24=2022,I24*$Q$8)</f>
        <v>87547.720986393528</v>
      </c>
      <c r="K24" s="7">
        <f t="shared" si="1"/>
        <v>261666.72098639351</v>
      </c>
      <c r="L24">
        <f>IFERROR(VLOOKUP(G24,'LEAID Match'!$A$2:$B$168,2,FALSE),"")</f>
        <v>4604680</v>
      </c>
    </row>
    <row r="25" spans="1:15" x14ac:dyDescent="0.2">
      <c r="A25">
        <f t="shared" si="0"/>
        <v>4604680</v>
      </c>
      <c r="B25">
        <v>2022</v>
      </c>
      <c r="C25" t="s">
        <v>208</v>
      </c>
      <c r="D25" t="s">
        <v>212</v>
      </c>
      <c r="E25" t="s">
        <v>211</v>
      </c>
      <c r="F25" s="3">
        <v>901106</v>
      </c>
      <c r="G25" s="3" t="s">
        <v>7</v>
      </c>
      <c r="H25" s="4">
        <v>184773</v>
      </c>
      <c r="I25" cm="1">
        <f t="array" ref="I25">_xlfn.IFS(B25=2015,H25/$O$10,B25=2016,H25/$O$11,B25=2017,H25/$O$12,B25=2018,H25/$O$13,B25=2019,H25/$O$14,B25=2020,H25/$O$15,B25=2021,H25/$O$16,B25=2022,H25/$O$17)</f>
        <v>3.2000063455284323E-3</v>
      </c>
      <c r="J25" s="6" cm="1">
        <f t="array" ref="J25">_xlfn.IFS(B25=2015,I25*$Q$1,B25=2016,I25*$Q$2,B25=2017,I25*$Q$3,B25=2018,I25*$Q$4,B25=2019,I25*$Q$5,B25=2020,I25*$Q$6,B25=2021,I25*$Q$7,B25=2022,I25*$Q$8)</f>
        <v>94265.614126233893</v>
      </c>
      <c r="K25" s="7">
        <f t="shared" si="1"/>
        <v>279038.61412623391</v>
      </c>
      <c r="L25">
        <f>IFERROR(VLOOKUP(G25,'LEAID Match'!$A$2:$B$168,2,FALSE),"")</f>
        <v>4604680</v>
      </c>
    </row>
    <row r="26" spans="1:15" x14ac:dyDescent="0.2">
      <c r="A26">
        <f t="shared" si="0"/>
        <v>4618120</v>
      </c>
      <c r="B26">
        <v>2015</v>
      </c>
      <c r="C26" t="s">
        <v>208</v>
      </c>
      <c r="D26" t="s">
        <v>212</v>
      </c>
      <c r="E26" t="s">
        <v>211</v>
      </c>
      <c r="F26" s="3">
        <v>901110</v>
      </c>
      <c r="G26" s="3" t="s">
        <v>34</v>
      </c>
      <c r="H26" s="4">
        <v>241497</v>
      </c>
      <c r="I26" cm="1">
        <f t="array" ref="I26">_xlfn.IFS(B26=2015,H26/$O$10,B26=2016,H26/$O$11,B26=2017,H26/$O$12,B26=2018,H26/$O$13,B26=2019,H26/$O$14,B26=2020,H26/$O$15,B26=2021,H26/$O$16,B26=2022,H26/$O$17)</f>
        <v>5.6486856982413099E-3</v>
      </c>
      <c r="J26" s="6" cm="1">
        <f t="array" ref="J26">_xlfn.IFS(B26=2015,I26*$Q$1,B26=2016,I26*$Q$2,B26=2017,I26*$Q$3,B26=2018,I26*$Q$4,B26=2019,I26*$Q$5,B26=2020,I26*$Q$6,B26=2021,I26*$Q$7,B26=2022,I26*$Q$8)</f>
        <v>138913.35423743352</v>
      </c>
      <c r="K26" s="7">
        <f t="shared" si="1"/>
        <v>380410.35423743352</v>
      </c>
      <c r="L26">
        <f>IFERROR(VLOOKUP(G26,'LEAID Match'!$A$2:$B$168,2,FALSE),"")</f>
        <v>4618120</v>
      </c>
    </row>
    <row r="27" spans="1:15" x14ac:dyDescent="0.2">
      <c r="A27">
        <f t="shared" si="0"/>
        <v>4618120</v>
      </c>
      <c r="B27">
        <v>2016</v>
      </c>
      <c r="C27" t="s">
        <v>208</v>
      </c>
      <c r="D27" t="s">
        <v>212</v>
      </c>
      <c r="E27" t="s">
        <v>211</v>
      </c>
      <c r="F27" s="3">
        <v>901110</v>
      </c>
      <c r="G27" s="3" t="s">
        <v>34</v>
      </c>
      <c r="H27" s="4">
        <v>247987</v>
      </c>
      <c r="I27" cm="1">
        <f t="array" ref="I27">_xlfn.IFS(B27=2015,H27/$O$10,B27=2016,H27/$O$11,B27=2017,H27/$O$12,B27=2018,H27/$O$13,B27=2019,H27/$O$14,B27=2020,H27/$O$15,B27=2021,H27/$O$16,B27=2022,H27/$O$17)</f>
        <v>5.6248561815590084E-3</v>
      </c>
      <c r="J27" s="6" cm="1">
        <f t="array" ref="J27">_xlfn.IFS(B27=2015,I27*$Q$1,B27=2016,I27*$Q$2,B27=2017,I27*$Q$3,B27=2018,I27*$Q$4,B27=2019,I27*$Q$5,B27=2020,I27*$Q$6,B27=2021,I27*$Q$7,B27=2022,I27*$Q$8)</f>
        <v>142903.99930173275</v>
      </c>
      <c r="K27" s="7">
        <f t="shared" si="1"/>
        <v>390890.99930173275</v>
      </c>
      <c r="L27">
        <f>IFERROR(VLOOKUP(G27,'LEAID Match'!$A$2:$B$168,2,FALSE),"")</f>
        <v>4618120</v>
      </c>
    </row>
    <row r="28" spans="1:15" x14ac:dyDescent="0.2">
      <c r="A28">
        <f t="shared" si="0"/>
        <v>4618120</v>
      </c>
      <c r="B28">
        <v>2017</v>
      </c>
      <c r="C28" t="s">
        <v>208</v>
      </c>
      <c r="D28" t="s">
        <v>212</v>
      </c>
      <c r="E28" t="s">
        <v>211</v>
      </c>
      <c r="F28" s="3">
        <v>901110</v>
      </c>
      <c r="G28" s="3" t="s">
        <v>34</v>
      </c>
      <c r="H28" s="4">
        <v>275727</v>
      </c>
      <c r="I28" cm="1">
        <f t="array" ref="I28">_xlfn.IFS(B28=2015,H28/$O$10,B28=2016,H28/$O$11,B28=2017,H28/$O$12,B28=2018,H28/$O$13,B28=2019,H28/$O$14,B28=2020,H28/$O$15,B28=2021,H28/$O$16,B28=2022,H28/$O$17)</f>
        <v>5.6928775881939005E-3</v>
      </c>
      <c r="J28" s="6" cm="1">
        <f t="array" ref="J28">_xlfn.IFS(B28=2015,I28*$Q$1,B28=2016,I28*$Q$2,B28=2017,I28*$Q$3,B28=2018,I28*$Q$4,B28=2019,I28*$Q$5,B28=2020,I28*$Q$6,B28=2021,I28*$Q$7,B28=2022,I28*$Q$8)</f>
        <v>149754.18495407264</v>
      </c>
      <c r="K28" s="7">
        <f t="shared" si="1"/>
        <v>425481.18495407264</v>
      </c>
      <c r="L28">
        <f>IFERROR(VLOOKUP(G28,'LEAID Match'!$A$2:$B$168,2,FALSE),"")</f>
        <v>4618120</v>
      </c>
    </row>
    <row r="29" spans="1:15" x14ac:dyDescent="0.2">
      <c r="A29">
        <f t="shared" si="0"/>
        <v>4618120</v>
      </c>
      <c r="B29">
        <v>2018</v>
      </c>
      <c r="C29" t="s">
        <v>208</v>
      </c>
      <c r="D29" t="s">
        <v>212</v>
      </c>
      <c r="E29" t="s">
        <v>211</v>
      </c>
      <c r="F29" s="3">
        <v>901110</v>
      </c>
      <c r="G29" s="3" t="s">
        <v>34</v>
      </c>
      <c r="H29" s="4">
        <v>284455</v>
      </c>
      <c r="I29" cm="1">
        <f t="array" ref="I29">_xlfn.IFS(B29=2015,H29/$O$10,B29=2016,H29/$O$11,B29=2017,H29/$O$12,B29=2018,H29/$O$13,B29=2019,H29/$O$14,B29=2020,H29/$O$15,B29=2021,H29/$O$16,B29=2022,H29/$O$17)</f>
        <v>5.6727735308672233E-3</v>
      </c>
      <c r="J29" s="6" cm="1">
        <f t="array" ref="J29">_xlfn.IFS(B29=2015,I29*$Q$1,B29=2016,I29*$Q$2,B29=2017,I29*$Q$3,B29=2018,I29*$Q$4,B29=2019,I29*$Q$5,B29=2020,I29*$Q$6,B29=2021,I29*$Q$7,B29=2022,I29*$Q$8)</f>
        <v>148943.25832670543</v>
      </c>
      <c r="K29" s="7">
        <f t="shared" si="1"/>
        <v>433398.25832670543</v>
      </c>
      <c r="L29">
        <f>IFERROR(VLOOKUP(G29,'LEAID Match'!$A$2:$B$168,2,FALSE),"")</f>
        <v>4618120</v>
      </c>
    </row>
    <row r="30" spans="1:15" x14ac:dyDescent="0.2">
      <c r="A30">
        <f t="shared" si="0"/>
        <v>4618120</v>
      </c>
      <c r="B30">
        <v>2019</v>
      </c>
      <c r="C30" t="s">
        <v>208</v>
      </c>
      <c r="D30" t="s">
        <v>212</v>
      </c>
      <c r="E30" t="s">
        <v>211</v>
      </c>
      <c r="F30" s="3">
        <v>901110</v>
      </c>
      <c r="G30" s="3" t="s">
        <v>34</v>
      </c>
      <c r="H30" s="4">
        <v>300294</v>
      </c>
      <c r="I30" cm="1">
        <f t="array" ref="I30">_xlfn.IFS(B30=2015,H30/$O$10,B30=2016,H30/$O$11,B30=2017,H30/$O$12,B30=2018,H30/$O$13,B30=2019,H30/$O$14,B30=2020,H30/$O$15,B30=2021,H30/$O$16,B30=2022,H30/$O$17)</f>
        <v>5.8811173876271395E-3</v>
      </c>
      <c r="J30" s="6" cm="1">
        <f t="array" ref="J30">_xlfn.IFS(B30=2015,I30*$Q$1,B30=2016,I30*$Q$2,B30=2017,I30*$Q$3,B30=2018,I30*$Q$4,B30=2019,I30*$Q$5,B30=2020,I30*$Q$6,B30=2021,I30*$Q$7,B30=2022,I30*$Q$8)</f>
        <v>155540.58745898632</v>
      </c>
      <c r="K30" s="7">
        <f t="shared" si="1"/>
        <v>455834.58745898632</v>
      </c>
      <c r="L30">
        <f>IFERROR(VLOOKUP(G30,'LEAID Match'!$A$2:$B$168,2,FALSE),"")</f>
        <v>4618120</v>
      </c>
    </row>
    <row r="31" spans="1:15" x14ac:dyDescent="0.2">
      <c r="A31">
        <f t="shared" si="0"/>
        <v>4618120</v>
      </c>
      <c r="B31">
        <v>2020</v>
      </c>
      <c r="C31" t="s">
        <v>208</v>
      </c>
      <c r="D31" t="s">
        <v>212</v>
      </c>
      <c r="E31" t="s">
        <v>211</v>
      </c>
      <c r="F31" s="1">
        <v>901110</v>
      </c>
      <c r="G31" s="3" t="s">
        <v>34</v>
      </c>
      <c r="H31" s="2">
        <v>300047</v>
      </c>
      <c r="I31" cm="1">
        <f t="array" ref="I31">_xlfn.IFS(B31=2015,H31/$O$10,B31=2016,H31/$O$11,B31=2017,H31/$O$12,B31=2018,H31/$O$13,B31=2019,H31/$O$14,B31=2020,H31/$O$15,B31=2021,H31/$O$16,B31=2022,H31/$O$17)</f>
        <v>5.6828241424010835E-3</v>
      </c>
      <c r="J31" s="6" cm="1">
        <f t="array" ref="J31">_xlfn.IFS(B31=2015,I31*$Q$1,B31=2016,I31*$Q$2,B31=2017,I31*$Q$3,B31=2018,I31*$Q$4,B31=2019,I31*$Q$5,B31=2020,I31*$Q$6,B31=2021,I31*$Q$7,B31=2022,I31*$Q$8)</f>
        <v>154517.30116426235</v>
      </c>
      <c r="K31" s="7">
        <f t="shared" si="1"/>
        <v>454564.30116426235</v>
      </c>
      <c r="L31">
        <f>IFERROR(VLOOKUP(G31,'LEAID Match'!$A$2:$B$168,2,FALSE),"")</f>
        <v>4618120</v>
      </c>
    </row>
    <row r="32" spans="1:15" x14ac:dyDescent="0.2">
      <c r="A32">
        <f t="shared" si="0"/>
        <v>4618120</v>
      </c>
      <c r="B32">
        <v>2021</v>
      </c>
      <c r="C32" t="s">
        <v>208</v>
      </c>
      <c r="D32" t="s">
        <v>212</v>
      </c>
      <c r="E32" t="s">
        <v>211</v>
      </c>
      <c r="F32" s="3">
        <v>901110</v>
      </c>
      <c r="G32" s="3" t="s">
        <v>34</v>
      </c>
      <c r="H32" s="4">
        <v>314665</v>
      </c>
      <c r="I32" cm="1">
        <f t="array" ref="I32">_xlfn.IFS(B32=2015,H32/$O$10,B32=2016,H32/$O$11,B32=2017,H32/$O$12,B32=2018,H32/$O$13,B32=2019,H32/$O$14,B32=2020,H32/$O$15,B32=2021,H32/$O$16,B32=2022,H32/$O$17)</f>
        <v>5.6833433581057373E-3</v>
      </c>
      <c r="J32" s="6" cm="1">
        <f t="array" ref="J32">_xlfn.IFS(B32=2015,I32*$Q$1,B32=2016,I32*$Q$2,B32=2017,I32*$Q$3,B32=2018,I32*$Q$4,B32=2019,I32*$Q$5,B32=2020,I32*$Q$6,B32=2021,I32*$Q$7,B32=2022,I32*$Q$8)</f>
        <v>158214.80495628578</v>
      </c>
      <c r="K32" s="7">
        <f t="shared" si="1"/>
        <v>472879.80495628575</v>
      </c>
      <c r="L32">
        <f>IFERROR(VLOOKUP(G32,'LEAID Match'!$A$2:$B$168,2,FALSE),"")</f>
        <v>4618120</v>
      </c>
    </row>
    <row r="33" spans="1:12" x14ac:dyDescent="0.2">
      <c r="A33">
        <f t="shared" si="0"/>
        <v>4618120</v>
      </c>
      <c r="B33">
        <v>2022</v>
      </c>
      <c r="C33" t="s">
        <v>208</v>
      </c>
      <c r="D33" t="s">
        <v>212</v>
      </c>
      <c r="E33" t="s">
        <v>211</v>
      </c>
      <c r="F33" s="3">
        <v>901110</v>
      </c>
      <c r="G33" s="3" t="s">
        <v>34</v>
      </c>
      <c r="H33" s="4">
        <v>338447</v>
      </c>
      <c r="I33" cm="1">
        <f t="array" ref="I33">_xlfn.IFS(B33=2015,H33/$O$10,B33=2016,H33/$O$11,B33=2017,H33/$O$12,B33=2018,H33/$O$13,B33=2019,H33/$O$14,B33=2020,H33/$O$15,B33=2021,H33/$O$16,B33=2022,H33/$O$17)</f>
        <v>5.8614221105089013E-3</v>
      </c>
      <c r="J33" s="6" cm="1">
        <f t="array" ref="J33">_xlfn.IFS(B33=2015,I33*$Q$1,B33=2016,I33*$Q$2,B33=2017,I33*$Q$3,B33=2018,I33*$Q$4,B33=2019,I33*$Q$5,B33=2020,I33*$Q$6,B33=2021,I33*$Q$7,B33=2022,I33*$Q$8)</f>
        <v>172665.45601457724</v>
      </c>
      <c r="K33" s="7">
        <f t="shared" si="1"/>
        <v>511112.45601457724</v>
      </c>
      <c r="L33">
        <f>IFERROR(VLOOKUP(G33,'LEAID Match'!$A$2:$B$168,2,FALSE),"")</f>
        <v>4618120</v>
      </c>
    </row>
    <row r="34" spans="1:12" x14ac:dyDescent="0.2">
      <c r="A34">
        <f t="shared" si="0"/>
        <v>4666270</v>
      </c>
      <c r="B34">
        <v>2015</v>
      </c>
      <c r="C34" t="s">
        <v>208</v>
      </c>
      <c r="D34" t="s">
        <v>212</v>
      </c>
      <c r="E34" t="s">
        <v>211</v>
      </c>
      <c r="F34" s="3">
        <v>901111</v>
      </c>
      <c r="G34" s="3" t="s">
        <v>128</v>
      </c>
      <c r="H34" s="4">
        <v>7772300</v>
      </c>
      <c r="I34" cm="1">
        <f t="array" ref="I34">_xlfn.IFS(B34=2015,H34/$O$10,B34=2016,H34/$O$11,B34=2017,H34/$O$12,B34=2018,H34/$O$13,B34=2019,H34/$O$14,B34=2020,H34/$O$15,B34=2021,H34/$O$16,B34=2022,H34/$O$17)</f>
        <v>0.18179637781190214</v>
      </c>
      <c r="J34" s="6" cm="1">
        <f t="array" ref="J34">_xlfn.IFS(B34=2015,I34*$Q$1,B34=2016,I34*$Q$2,B34=2017,I34*$Q$3,B34=2018,I34*$Q$4,B34=2019,I34*$Q$5,B34=2020,I34*$Q$6,B34=2021,I34*$Q$7,B34=2022,I34*$Q$8)</f>
        <v>4470764.7015888579</v>
      </c>
      <c r="K34" s="7">
        <f t="shared" si="1"/>
        <v>12243064.701588858</v>
      </c>
      <c r="L34">
        <f>IFERROR(VLOOKUP(G34,'LEAID Match'!$A$2:$B$168,2,FALSE),"")</f>
        <v>4666270</v>
      </c>
    </row>
    <row r="35" spans="1:12" x14ac:dyDescent="0.2">
      <c r="A35">
        <f t="shared" si="0"/>
        <v>4666270</v>
      </c>
      <c r="B35">
        <v>2016</v>
      </c>
      <c r="C35" t="s">
        <v>208</v>
      </c>
      <c r="D35" t="s">
        <v>212</v>
      </c>
      <c r="E35" t="s">
        <v>211</v>
      </c>
      <c r="F35" s="3">
        <v>901111</v>
      </c>
      <c r="G35" s="3" t="s">
        <v>128</v>
      </c>
      <c r="H35" s="4">
        <v>7971079</v>
      </c>
      <c r="I35" cm="1">
        <f t="array" ref="I35">_xlfn.IFS(B35=2015,H35/$O$10,B35=2016,H35/$O$11,B35=2017,H35/$O$12,B35=2018,H35/$O$13,B35=2019,H35/$O$14,B35=2020,H35/$O$15,B35=2021,H35/$O$16,B35=2022,H35/$O$17)</f>
        <v>0.18080049755368305</v>
      </c>
      <c r="J35" s="6" cm="1">
        <f t="array" ref="J35">_xlfn.IFS(B35=2015,I35*$Q$1,B35=2016,I35*$Q$2,B35=2017,I35*$Q$3,B35=2018,I35*$Q$4,B35=2019,I35*$Q$5,B35=2020,I35*$Q$6,B35=2021,I35*$Q$7,B35=2022,I35*$Q$8)</f>
        <v>4593382.1847518487</v>
      </c>
      <c r="K35" s="7">
        <f t="shared" si="1"/>
        <v>12564461.18475185</v>
      </c>
      <c r="L35">
        <f>IFERROR(VLOOKUP(G35,'LEAID Match'!$A$2:$B$168,2,FALSE),"")</f>
        <v>4666270</v>
      </c>
    </row>
    <row r="36" spans="1:12" x14ac:dyDescent="0.2">
      <c r="A36">
        <f t="shared" si="0"/>
        <v>4666270</v>
      </c>
      <c r="B36">
        <v>2017</v>
      </c>
      <c r="C36" t="s">
        <v>208</v>
      </c>
      <c r="D36" t="s">
        <v>212</v>
      </c>
      <c r="E36" t="s">
        <v>211</v>
      </c>
      <c r="F36" s="3">
        <v>901111</v>
      </c>
      <c r="G36" s="3" t="s">
        <v>128</v>
      </c>
      <c r="H36" s="4">
        <v>8686574</v>
      </c>
      <c r="I36" cm="1">
        <f t="array" ref="I36">_xlfn.IFS(B36=2015,H36/$O$10,B36=2016,H36/$O$11,B36=2017,H36/$O$12,B36=2018,H36/$O$13,B36=2019,H36/$O$14,B36=2020,H36/$O$15,B36=2021,H36/$O$16,B36=2022,H36/$O$17)</f>
        <v>0.17934987303669153</v>
      </c>
      <c r="J36" s="6" cm="1">
        <f t="array" ref="J36">_xlfn.IFS(B36=2015,I36*$Q$1,B36=2016,I36*$Q$2,B36=2017,I36*$Q$3,B36=2018,I36*$Q$4,B36=2019,I36*$Q$5,B36=2020,I36*$Q$6,B36=2021,I36*$Q$7,B36=2022,I36*$Q$8)</f>
        <v>4717894.1830623727</v>
      </c>
      <c r="K36" s="7">
        <f t="shared" si="1"/>
        <v>13404468.183062373</v>
      </c>
      <c r="L36">
        <f>IFERROR(VLOOKUP(G36,'LEAID Match'!$A$2:$B$168,2,FALSE),"")</f>
        <v>4666270</v>
      </c>
    </row>
    <row r="37" spans="1:12" x14ac:dyDescent="0.2">
      <c r="A37">
        <f t="shared" si="0"/>
        <v>4666270</v>
      </c>
      <c r="B37">
        <v>2018</v>
      </c>
      <c r="C37" t="s">
        <v>208</v>
      </c>
      <c r="D37" t="s">
        <v>212</v>
      </c>
      <c r="E37" t="s">
        <v>211</v>
      </c>
      <c r="F37" s="3">
        <v>901111</v>
      </c>
      <c r="G37" s="3" t="s">
        <v>128</v>
      </c>
      <c r="H37" s="4">
        <v>9011756</v>
      </c>
      <c r="I37" cm="1">
        <f t="array" ref="I37">_xlfn.IFS(B37=2015,H37/$O$10,B37=2016,H37/$O$11,B37=2017,H37/$O$12,B37=2018,H37/$O$13,B37=2019,H37/$O$14,B37=2020,H37/$O$15,B37=2021,H37/$O$16,B37=2022,H37/$O$17)</f>
        <v>0.17971788473900574</v>
      </c>
      <c r="J37" s="6" cm="1">
        <f t="array" ref="J37">_xlfn.IFS(B37=2015,I37*$Q$1,B37=2016,I37*$Q$2,B37=2017,I37*$Q$3,B37=2018,I37*$Q$4,B37=2019,I37*$Q$5,B37=2020,I37*$Q$6,B37=2021,I37*$Q$7,B37=2022,I37*$Q$8)</f>
        <v>4718638.4555913499</v>
      </c>
      <c r="K37" s="7">
        <f t="shared" si="1"/>
        <v>13730394.455591351</v>
      </c>
      <c r="L37">
        <f>IFERROR(VLOOKUP(G37,'LEAID Match'!$A$2:$B$168,2,FALSE),"")</f>
        <v>4666270</v>
      </c>
    </row>
    <row r="38" spans="1:12" x14ac:dyDescent="0.2">
      <c r="A38">
        <f t="shared" si="0"/>
        <v>4666270</v>
      </c>
      <c r="B38">
        <v>2019</v>
      </c>
      <c r="C38" t="s">
        <v>208</v>
      </c>
      <c r="D38" t="s">
        <v>212</v>
      </c>
      <c r="E38" t="s">
        <v>211</v>
      </c>
      <c r="F38" s="3">
        <v>901111</v>
      </c>
      <c r="G38" s="3" t="s">
        <v>128</v>
      </c>
      <c r="H38" s="4">
        <v>9195686</v>
      </c>
      <c r="I38" cm="1">
        <f t="array" ref="I38">_xlfn.IFS(B38=2015,H38/$O$10,B38=2016,H38/$O$11,B38=2017,H38/$O$12,B38=2018,H38/$O$13,B38=2019,H38/$O$14,B38=2020,H38/$O$15,B38=2021,H38/$O$16,B38=2022,H38/$O$17)</f>
        <v>0.18009320474521454</v>
      </c>
      <c r="J38" s="6" cm="1">
        <f t="array" ref="J38">_xlfn.IFS(B38=2015,I38*$Q$1,B38=2016,I38*$Q$2,B38=2017,I38*$Q$3,B38=2018,I38*$Q$4,B38=2019,I38*$Q$5,B38=2020,I38*$Q$6,B38=2021,I38*$Q$7,B38=2022,I38*$Q$8)</f>
        <v>4763006.9283048483</v>
      </c>
      <c r="K38" s="7">
        <f t="shared" si="1"/>
        <v>13958692.928304847</v>
      </c>
      <c r="L38">
        <f>IFERROR(VLOOKUP(G38,'LEAID Match'!$A$2:$B$168,2,FALSE),"")</f>
        <v>4666270</v>
      </c>
    </row>
    <row r="39" spans="1:12" x14ac:dyDescent="0.2">
      <c r="A39">
        <f t="shared" si="0"/>
        <v>4666270</v>
      </c>
      <c r="B39">
        <v>2020</v>
      </c>
      <c r="C39" t="s">
        <v>208</v>
      </c>
      <c r="D39" t="s">
        <v>212</v>
      </c>
      <c r="E39" t="s">
        <v>211</v>
      </c>
      <c r="F39" s="1">
        <v>901111</v>
      </c>
      <c r="G39" s="3" t="s">
        <v>128</v>
      </c>
      <c r="H39" s="2">
        <v>9341158</v>
      </c>
      <c r="I39" cm="1">
        <f t="array" ref="I39">_xlfn.IFS(B39=2015,H39/$O$10,B39=2016,H39/$O$11,B39=2017,H39/$O$12,B39=2018,H39/$O$13,B39=2019,H39/$O$14,B39=2020,H39/$O$15,B39=2021,H39/$O$16,B39=2022,H39/$O$17)</f>
        <v>0.17691947661660681</v>
      </c>
      <c r="J39" s="6" cm="1">
        <f t="array" ref="J39">_xlfn.IFS(B39=2015,I39*$Q$1,B39=2016,I39*$Q$2,B39=2017,I39*$Q$3,B39=2018,I39*$Q$4,B39=2019,I39*$Q$5,B39=2020,I39*$Q$6,B39=2021,I39*$Q$7,B39=2022,I39*$Q$8)</f>
        <v>4810481.4376046378</v>
      </c>
      <c r="K39" s="7">
        <f t="shared" si="1"/>
        <v>14151639.437604638</v>
      </c>
      <c r="L39">
        <f>IFERROR(VLOOKUP(G39,'LEAID Match'!$A$2:$B$168,2,FALSE),"")</f>
        <v>4666270</v>
      </c>
    </row>
    <row r="40" spans="1:12" x14ac:dyDescent="0.2">
      <c r="A40">
        <f t="shared" si="0"/>
        <v>4666270</v>
      </c>
      <c r="B40">
        <v>2021</v>
      </c>
      <c r="C40" t="s">
        <v>208</v>
      </c>
      <c r="D40" t="s">
        <v>212</v>
      </c>
      <c r="E40" t="s">
        <v>211</v>
      </c>
      <c r="F40" s="3">
        <v>901111</v>
      </c>
      <c r="G40" s="3" t="s">
        <v>128</v>
      </c>
      <c r="H40" s="4">
        <v>9599442</v>
      </c>
      <c r="I40" cm="1">
        <f t="array" ref="I40">_xlfn.IFS(B40=2015,H40/$O$10,B40=2016,H40/$O$11,B40=2017,H40/$O$12,B40=2018,H40/$O$13,B40=2019,H40/$O$14,B40=2020,H40/$O$15,B40=2021,H40/$O$16,B40=2022,H40/$O$17)</f>
        <v>0.17338097637875599</v>
      </c>
      <c r="J40" s="6" cm="1">
        <f t="array" ref="J40">_xlfn.IFS(B40=2015,I40*$Q$1,B40=2016,I40*$Q$2,B40=2017,I40*$Q$3,B40=2018,I40*$Q$4,B40=2019,I40*$Q$5,B40=2020,I40*$Q$6,B40=2021,I40*$Q$7,B40=2022,I40*$Q$8)</f>
        <v>4826637.3562969435</v>
      </c>
      <c r="K40" s="7">
        <f t="shared" si="1"/>
        <v>14426079.356296944</v>
      </c>
      <c r="L40">
        <f>IFERROR(VLOOKUP(G40,'LEAID Match'!$A$2:$B$168,2,FALSE),"")</f>
        <v>4666270</v>
      </c>
    </row>
    <row r="41" spans="1:12" x14ac:dyDescent="0.2">
      <c r="A41">
        <f t="shared" si="0"/>
        <v>4666270</v>
      </c>
      <c r="B41">
        <v>2022</v>
      </c>
      <c r="C41" t="s">
        <v>208</v>
      </c>
      <c r="D41" t="s">
        <v>212</v>
      </c>
      <c r="E41" t="s">
        <v>211</v>
      </c>
      <c r="F41" s="3">
        <v>901111</v>
      </c>
      <c r="G41" s="3" t="s">
        <v>128</v>
      </c>
      <c r="H41" s="4">
        <v>10377538</v>
      </c>
      <c r="I41" cm="1">
        <f t="array" ref="I41">_xlfn.IFS(B41=2015,H41/$O$10,B41=2016,H41/$O$11,B41=2017,H41/$O$12,B41=2018,H41/$O$13,B41=2019,H41/$O$14,B41=2020,H41/$O$15,B41=2021,H41/$O$16,B41=2022,H41/$O$17)</f>
        <v>0.17972424245405139</v>
      </c>
      <c r="J41" s="6" cm="1">
        <f t="array" ref="J41">_xlfn.IFS(B41=2015,I41*$Q$1,B41=2016,I41*$Q$2,B41=2017,I41*$Q$3,B41=2018,I41*$Q$4,B41=2019,I41*$Q$5,B41=2020,I41*$Q$6,B41=2021,I41*$Q$7,B41=2022,I41*$Q$8)</f>
        <v>5294307.0291023534</v>
      </c>
      <c r="K41" s="7">
        <f t="shared" si="1"/>
        <v>15671845.029102353</v>
      </c>
      <c r="L41">
        <f>IFERROR(VLOOKUP(G41,'LEAID Match'!$A$2:$B$168,2,FALSE),"")</f>
        <v>4666270</v>
      </c>
    </row>
    <row r="42" spans="1:12" x14ac:dyDescent="0.2">
      <c r="A42">
        <f t="shared" si="0"/>
        <v>4607950</v>
      </c>
      <c r="B42">
        <v>2015</v>
      </c>
      <c r="C42" t="s">
        <v>208</v>
      </c>
      <c r="D42" t="s">
        <v>212</v>
      </c>
      <c r="E42" t="s">
        <v>211</v>
      </c>
      <c r="F42" s="3">
        <v>901154</v>
      </c>
      <c r="G42" s="3" t="s">
        <v>15</v>
      </c>
      <c r="H42" s="4">
        <v>955572</v>
      </c>
      <c r="I42" cm="1">
        <f t="array" ref="I42">_xlfn.IFS(B42=2015,H42/$O$10,B42=2016,H42/$O$11,B42=2017,H42/$O$12,B42=2018,H42/$O$13,B42=2019,H42/$O$14,B42=2020,H42/$O$15,B42=2021,H42/$O$16,B42=2022,H42/$O$17)</f>
        <v>2.2351109496349209E-2</v>
      </c>
      <c r="J42" s="6" cm="1">
        <f t="array" ref="J42">_xlfn.IFS(B42=2015,I42*$Q$1,B42=2016,I42*$Q$2,B42=2017,I42*$Q$3,B42=2018,I42*$Q$4,B42=2019,I42*$Q$5,B42=2020,I42*$Q$6,B42=2021,I42*$Q$7,B42=2022,I42*$Q$8)</f>
        <v>549661.94915619167</v>
      </c>
      <c r="K42" s="7">
        <f t="shared" si="1"/>
        <v>1505233.9491561917</v>
      </c>
      <c r="L42">
        <f>IFERROR(VLOOKUP(G42,'LEAID Match'!$A$2:$B$168,2,FALSE),"")</f>
        <v>4607950</v>
      </c>
    </row>
    <row r="43" spans="1:12" x14ac:dyDescent="0.2">
      <c r="A43">
        <f t="shared" si="0"/>
        <v>4607950</v>
      </c>
      <c r="B43">
        <v>2016</v>
      </c>
      <c r="C43" t="s">
        <v>208</v>
      </c>
      <c r="D43" t="s">
        <v>212</v>
      </c>
      <c r="E43" t="s">
        <v>211</v>
      </c>
      <c r="F43" s="3">
        <v>901154</v>
      </c>
      <c r="G43" s="3" t="s">
        <v>15</v>
      </c>
      <c r="H43" s="4">
        <v>994453</v>
      </c>
      <c r="I43" cm="1">
        <f t="array" ref="I43">_xlfn.IFS(B43=2015,H43/$O$10,B43=2016,H43/$O$11,B43=2017,H43/$O$12,B43=2018,H43/$O$13,B43=2019,H43/$O$14,B43=2020,H43/$O$15,B43=2021,H43/$O$16,B43=2022,H43/$O$17)</f>
        <v>2.2556243288236483E-2</v>
      </c>
      <c r="J43" s="6" cm="1">
        <f t="array" ref="J43">_xlfn.IFS(B43=2015,I43*$Q$1,B43=2016,I43*$Q$2,B43=2017,I43*$Q$3,B43=2018,I43*$Q$4,B43=2019,I43*$Q$5,B43=2020,I43*$Q$6,B43=2021,I43*$Q$7,B43=2022,I43*$Q$8)</f>
        <v>573059.51851349487</v>
      </c>
      <c r="K43" s="7">
        <f t="shared" si="1"/>
        <v>1567512.5185134949</v>
      </c>
      <c r="L43">
        <f>IFERROR(VLOOKUP(G43,'LEAID Match'!$A$2:$B$168,2,FALSE),"")</f>
        <v>4607950</v>
      </c>
    </row>
    <row r="44" spans="1:12" x14ac:dyDescent="0.2">
      <c r="A44">
        <f t="shared" si="0"/>
        <v>4607950</v>
      </c>
      <c r="B44">
        <v>2017</v>
      </c>
      <c r="C44" t="s">
        <v>208</v>
      </c>
      <c r="D44" t="s">
        <v>212</v>
      </c>
      <c r="E44" t="s">
        <v>211</v>
      </c>
      <c r="F44" s="3">
        <v>901154</v>
      </c>
      <c r="G44" s="3" t="s">
        <v>15</v>
      </c>
      <c r="H44" s="4">
        <v>1110842</v>
      </c>
      <c r="I44" cm="1">
        <f t="array" ref="I44">_xlfn.IFS(B44=2015,H44/$O$10,B44=2016,H44/$O$11,B44=2017,H44/$O$12,B44=2018,H44/$O$13,B44=2019,H44/$O$14,B44=2020,H44/$O$15,B44=2021,H44/$O$16,B44=2022,H44/$O$17)</f>
        <v>2.2935321988142219E-2</v>
      </c>
      <c r="J44" s="6" cm="1">
        <f t="array" ref="J44">_xlfn.IFS(B44=2015,I44*$Q$1,B44=2016,I44*$Q$2,B44=2017,I44*$Q$3,B44=2018,I44*$Q$4,B44=2019,I44*$Q$5,B44=2020,I44*$Q$6,B44=2021,I44*$Q$7,B44=2022,I44*$Q$8)</f>
        <v>603325.89236002276</v>
      </c>
      <c r="K44" s="7">
        <f t="shared" si="1"/>
        <v>1714167.8923600228</v>
      </c>
      <c r="L44">
        <f>IFERROR(VLOOKUP(G44,'LEAID Match'!$A$2:$B$168,2,FALSE),"")</f>
        <v>4607950</v>
      </c>
    </row>
    <row r="45" spans="1:12" x14ac:dyDescent="0.2">
      <c r="A45">
        <f t="shared" si="0"/>
        <v>4607950</v>
      </c>
      <c r="B45">
        <v>2018</v>
      </c>
      <c r="C45" t="s">
        <v>208</v>
      </c>
      <c r="D45" t="s">
        <v>212</v>
      </c>
      <c r="E45" t="s">
        <v>211</v>
      </c>
      <c r="F45" s="3">
        <v>901154</v>
      </c>
      <c r="G45" s="3" t="s">
        <v>15</v>
      </c>
      <c r="H45" s="4">
        <v>1154095</v>
      </c>
      <c r="I45" cm="1">
        <f t="array" ref="I45">_xlfn.IFS(B45=2015,H45/$O$10,B45=2016,H45/$O$11,B45=2017,H45/$O$12,B45=2018,H45/$O$13,B45=2019,H45/$O$14,B45=2020,H45/$O$15,B45=2021,H45/$O$16,B45=2022,H45/$O$17)</f>
        <v>2.3015660009865206E-2</v>
      </c>
      <c r="J45" s="6" cm="1">
        <f t="array" ref="J45">_xlfn.IFS(B45=2015,I45*$Q$1,B45=2016,I45*$Q$2,B45=2017,I45*$Q$3,B45=2018,I45*$Q$4,B45=2019,I45*$Q$5,B45=2020,I45*$Q$6,B45=2021,I45*$Q$7,B45=2022,I45*$Q$8)</f>
        <v>604294.77322795894</v>
      </c>
      <c r="K45" s="7">
        <f t="shared" si="1"/>
        <v>1758389.7732279589</v>
      </c>
      <c r="L45">
        <f>IFERROR(VLOOKUP(G45,'LEAID Match'!$A$2:$B$168,2,FALSE),"")</f>
        <v>4607950</v>
      </c>
    </row>
    <row r="46" spans="1:12" x14ac:dyDescent="0.2">
      <c r="A46">
        <f t="shared" si="0"/>
        <v>4607950</v>
      </c>
      <c r="B46">
        <v>2019</v>
      </c>
      <c r="C46" t="s">
        <v>208</v>
      </c>
      <c r="D46" t="s">
        <v>212</v>
      </c>
      <c r="E46" t="s">
        <v>211</v>
      </c>
      <c r="F46" s="3">
        <v>901154</v>
      </c>
      <c r="G46" s="3" t="s">
        <v>15</v>
      </c>
      <c r="H46" s="4">
        <v>1210676</v>
      </c>
      <c r="I46" cm="1">
        <f t="array" ref="I46">_xlfn.IFS(B46=2015,H46/$O$10,B46=2016,H46/$O$11,B46=2017,H46/$O$12,B46=2018,H46/$O$13,B46=2019,H46/$O$14,B46=2020,H46/$O$15,B46=2021,H46/$O$16,B46=2022,H46/$O$17)</f>
        <v>2.3710522602459171E-2</v>
      </c>
      <c r="J46" s="6" cm="1">
        <f t="array" ref="J46">_xlfn.IFS(B46=2015,I46*$Q$1,B46=2016,I46*$Q$2,B46=2017,I46*$Q$3,B46=2018,I46*$Q$4,B46=2019,I46*$Q$5,B46=2020,I46*$Q$6,B46=2021,I46*$Q$7,B46=2022,I46*$Q$8)</f>
        <v>627082.97955502186</v>
      </c>
      <c r="K46" s="7">
        <f t="shared" si="1"/>
        <v>1837758.979555022</v>
      </c>
      <c r="L46">
        <f>IFERROR(VLOOKUP(G46,'LEAID Match'!$A$2:$B$168,2,FALSE),"")</f>
        <v>4607950</v>
      </c>
    </row>
    <row r="47" spans="1:12" x14ac:dyDescent="0.2">
      <c r="A47">
        <f t="shared" si="0"/>
        <v>4607950</v>
      </c>
      <c r="B47">
        <v>2020</v>
      </c>
      <c r="C47" t="s">
        <v>208</v>
      </c>
      <c r="D47" t="s">
        <v>212</v>
      </c>
      <c r="E47" t="s">
        <v>211</v>
      </c>
      <c r="F47" s="1">
        <v>901154</v>
      </c>
      <c r="G47" s="3" t="s">
        <v>15</v>
      </c>
      <c r="H47" s="2">
        <v>1294210</v>
      </c>
      <c r="I47" cm="1">
        <f t="array" ref="I47">_xlfn.IFS(B47=2015,H47/$O$10,B47=2016,H47/$O$11,B47=2017,H47/$O$12,B47=2018,H47/$O$13,B47=2019,H47/$O$14,B47=2020,H47/$O$15,B47=2021,H47/$O$16,B47=2022,H47/$O$17)</f>
        <v>2.4512052556222547E-2</v>
      </c>
      <c r="J47" s="6" cm="1">
        <f t="array" ref="J47">_xlfn.IFS(B47=2015,I47*$Q$1,B47=2016,I47*$Q$2,B47=2017,I47*$Q$3,B47=2018,I47*$Q$4,B47=2019,I47*$Q$5,B47=2020,I47*$Q$6,B47=2021,I47*$Q$7,B47=2022,I47*$Q$8)</f>
        <v>666488.37128783157</v>
      </c>
      <c r="K47" s="7">
        <f t="shared" si="1"/>
        <v>1960698.3712878316</v>
      </c>
      <c r="L47">
        <f>IFERROR(VLOOKUP(G47,'LEAID Match'!$A$2:$B$168,2,FALSE),"")</f>
        <v>4607950</v>
      </c>
    </row>
    <row r="48" spans="1:12" x14ac:dyDescent="0.2">
      <c r="A48">
        <f t="shared" si="0"/>
        <v>4607950</v>
      </c>
      <c r="B48">
        <v>2021</v>
      </c>
      <c r="C48" t="s">
        <v>208</v>
      </c>
      <c r="D48" t="s">
        <v>212</v>
      </c>
      <c r="E48" t="s">
        <v>211</v>
      </c>
      <c r="F48" s="3">
        <v>901154</v>
      </c>
      <c r="G48" s="3" t="s">
        <v>15</v>
      </c>
      <c r="H48" s="4">
        <v>1389907</v>
      </c>
      <c r="I48" cm="1">
        <f t="array" ref="I48">_xlfn.IFS(B48=2015,H48/$O$10,B48=2016,H48/$O$11,B48=2017,H48/$O$12,B48=2018,H48/$O$13,B48=2019,H48/$O$14,B48=2020,H48/$O$15,B48=2021,H48/$O$16,B48=2022,H48/$O$17)</f>
        <v>2.5103900074157186E-2</v>
      </c>
      <c r="J48" s="6" cm="1">
        <f t="array" ref="J48">_xlfn.IFS(B48=2015,I48*$Q$1,B48=2016,I48*$Q$2,B48=2017,I48*$Q$3,B48=2018,I48*$Q$4,B48=2019,I48*$Q$5,B48=2020,I48*$Q$6,B48=2021,I48*$Q$7,B48=2022,I48*$Q$8)</f>
        <v>698850.72986311244</v>
      </c>
      <c r="K48" s="7">
        <f t="shared" si="1"/>
        <v>2088757.7298631123</v>
      </c>
      <c r="L48">
        <f>IFERROR(VLOOKUP(G48,'LEAID Match'!$A$2:$B$168,2,FALSE),"")</f>
        <v>4607950</v>
      </c>
    </row>
    <row r="49" spans="1:12" x14ac:dyDescent="0.2">
      <c r="A49">
        <f t="shared" si="0"/>
        <v>4607950</v>
      </c>
      <c r="B49">
        <v>2022</v>
      </c>
      <c r="C49" t="s">
        <v>208</v>
      </c>
      <c r="D49" t="s">
        <v>212</v>
      </c>
      <c r="E49" t="s">
        <v>211</v>
      </c>
      <c r="F49" s="3">
        <v>901154</v>
      </c>
      <c r="G49" s="3" t="s">
        <v>15</v>
      </c>
      <c r="H49" s="4">
        <v>1524086</v>
      </c>
      <c r="I49" cm="1">
        <f t="array" ref="I49">_xlfn.IFS(B49=2015,H49/$O$10,B49=2016,H49/$O$11,B49=2017,H49/$O$12,B49=2018,H49/$O$13,B49=2019,H49/$O$14,B49=2020,H49/$O$15,B49=2021,H49/$O$16,B49=2022,H49/$O$17)</f>
        <v>2.6395008313612085E-2</v>
      </c>
      <c r="J49" s="6" cm="1">
        <f t="array" ref="J49">_xlfn.IFS(B49=2015,I49*$Q$1,B49=2016,I49*$Q$2,B49=2017,I49*$Q$3,B49=2018,I49*$Q$4,B49=2019,I49*$Q$5,B49=2020,I49*$Q$6,B49=2021,I49*$Q$7,B49=2022,I49*$Q$8)</f>
        <v>777542.72957193584</v>
      </c>
      <c r="K49" s="7">
        <f t="shared" si="1"/>
        <v>2301628.7295719357</v>
      </c>
      <c r="L49">
        <f>IFERROR(VLOOKUP(G49,'LEAID Match'!$A$2:$B$168,2,FALSE),"")</f>
        <v>4607950</v>
      </c>
    </row>
    <row r="50" spans="1:12" x14ac:dyDescent="0.2">
      <c r="A50">
        <f t="shared" si="0"/>
        <v>4626370</v>
      </c>
      <c r="B50">
        <v>2015</v>
      </c>
      <c r="C50" t="s">
        <v>208</v>
      </c>
      <c r="D50" t="s">
        <v>212</v>
      </c>
      <c r="E50" t="s">
        <v>211</v>
      </c>
      <c r="F50" s="3">
        <v>901155</v>
      </c>
      <c r="G50" s="3" t="s">
        <v>57</v>
      </c>
      <c r="H50" s="4">
        <v>142977</v>
      </c>
      <c r="I50" cm="1">
        <f t="array" ref="I50">_xlfn.IFS(B50=2015,H50/$O$10,B50=2016,H50/$O$11,B50=2017,H50/$O$12,B50=2018,H50/$O$13,B50=2019,H50/$O$14,B50=2020,H50/$O$15,B50=2021,H50/$O$16,B50=2022,H50/$O$17)</f>
        <v>3.3442739871611146E-3</v>
      </c>
      <c r="J50" s="6" cm="1">
        <f t="array" ref="J50">_xlfn.IFS(B50=2015,I50*$Q$1,B50=2016,I50*$Q$2,B50=2017,I50*$Q$3,B50=2018,I50*$Q$4,B50=2019,I50*$Q$5,B50=2020,I50*$Q$6,B50=2021,I50*$Q$7,B50=2022,I50*$Q$8)</f>
        <v>82242.904254734138</v>
      </c>
      <c r="K50" s="7">
        <f t="shared" si="1"/>
        <v>225219.90425473414</v>
      </c>
      <c r="L50">
        <f>IFERROR(VLOOKUP(G50,'LEAID Match'!$A$2:$B$168,2,FALSE),"")</f>
        <v>4626370</v>
      </c>
    </row>
    <row r="51" spans="1:12" x14ac:dyDescent="0.2">
      <c r="A51">
        <f t="shared" si="0"/>
        <v>4626370</v>
      </c>
      <c r="B51">
        <v>2016</v>
      </c>
      <c r="C51" t="s">
        <v>208</v>
      </c>
      <c r="D51" t="s">
        <v>212</v>
      </c>
      <c r="E51" t="s">
        <v>211</v>
      </c>
      <c r="F51" s="3">
        <v>901155</v>
      </c>
      <c r="G51" s="3" t="s">
        <v>57</v>
      </c>
      <c r="H51" s="4">
        <v>138472</v>
      </c>
      <c r="I51" cm="1">
        <f t="array" ref="I51">_xlfn.IFS(B51=2015,H51/$O$10,B51=2016,H51/$O$11,B51=2017,H51/$O$12,B51=2018,H51/$O$13,B51=2019,H51/$O$14,B51=2020,H51/$O$15,B51=2021,H51/$O$16,B51=2022,H51/$O$17)</f>
        <v>3.1408303063178273E-3</v>
      </c>
      <c r="J51" s="6" cm="1">
        <f t="array" ref="J51">_xlfn.IFS(B51=2015,I51*$Q$1,B51=2016,I51*$Q$2,B51=2017,I51*$Q$3,B51=2018,I51*$Q$4,B51=2019,I51*$Q$5,B51=2020,I51*$Q$6,B51=2021,I51*$Q$7,B51=2022,I51*$Q$8)</f>
        <v>79795.322300400992</v>
      </c>
      <c r="K51" s="7">
        <f t="shared" si="1"/>
        <v>218267.32230040099</v>
      </c>
      <c r="L51">
        <f>IFERROR(VLOOKUP(G51,'LEAID Match'!$A$2:$B$168,2,FALSE),"")</f>
        <v>4626370</v>
      </c>
    </row>
    <row r="52" spans="1:12" x14ac:dyDescent="0.2">
      <c r="A52">
        <f t="shared" si="0"/>
        <v>4626370</v>
      </c>
      <c r="B52">
        <v>2017</v>
      </c>
      <c r="C52" t="s">
        <v>208</v>
      </c>
      <c r="D52" t="s">
        <v>212</v>
      </c>
      <c r="E52" t="s">
        <v>211</v>
      </c>
      <c r="F52" s="3">
        <v>901155</v>
      </c>
      <c r="G52" s="3" t="s">
        <v>57</v>
      </c>
      <c r="H52" s="4">
        <v>136020</v>
      </c>
      <c r="I52" cm="1">
        <f t="array" ref="I52">_xlfn.IFS(B52=2015,H52/$O$10,B52=2016,H52/$O$11,B52=2017,H52/$O$12,B52=2018,H52/$O$13,B52=2019,H52/$O$14,B52=2020,H52/$O$15,B52=2021,H52/$O$16,B52=2022,H52/$O$17)</f>
        <v>2.808376435917173E-3</v>
      </c>
      <c r="J52" s="6" cm="1">
        <f t="array" ref="J52">_xlfn.IFS(B52=2015,I52*$Q$1,B52=2016,I52*$Q$2,B52=2017,I52*$Q$3,B52=2018,I52*$Q$4,B52=2019,I52*$Q$5,B52=2020,I52*$Q$6,B52=2021,I52*$Q$7,B52=2022,I52*$Q$8)</f>
        <v>73875.841819818015</v>
      </c>
      <c r="K52" s="7">
        <f t="shared" si="1"/>
        <v>209895.84181981802</v>
      </c>
      <c r="L52">
        <f>IFERROR(VLOOKUP(G52,'LEAID Match'!$A$2:$B$168,2,FALSE),"")</f>
        <v>4626370</v>
      </c>
    </row>
    <row r="53" spans="1:12" x14ac:dyDescent="0.2">
      <c r="A53">
        <f t="shared" si="0"/>
        <v>4626370</v>
      </c>
      <c r="B53">
        <v>2018</v>
      </c>
      <c r="C53" t="s">
        <v>208</v>
      </c>
      <c r="D53" t="s">
        <v>212</v>
      </c>
      <c r="E53" t="s">
        <v>211</v>
      </c>
      <c r="F53" s="3">
        <v>901155</v>
      </c>
      <c r="G53" s="3" t="s">
        <v>57</v>
      </c>
      <c r="H53" s="4">
        <v>146047</v>
      </c>
      <c r="I53" cm="1">
        <f t="array" ref="I53">_xlfn.IFS(B53=2015,H53/$O$10,B53=2016,H53/$O$11,B53=2017,H53/$O$12,B53=2018,H53/$O$13,B53=2019,H53/$O$14,B53=2020,H53/$O$15,B53=2021,H53/$O$16,B53=2022,H53/$O$17)</f>
        <v>2.9125575428892631E-3</v>
      </c>
      <c r="J53" s="6" cm="1">
        <f t="array" ref="J53">_xlfn.IFS(B53=2015,I53*$Q$1,B53=2016,I53*$Q$2,B53=2017,I53*$Q$3,B53=2018,I53*$Q$4,B53=2019,I53*$Q$5,B53=2020,I53*$Q$6,B53=2021,I53*$Q$7,B53=2022,I53*$Q$8)</f>
        <v>76471.554547609805</v>
      </c>
      <c r="K53" s="7">
        <f t="shared" si="1"/>
        <v>222518.55454760982</v>
      </c>
      <c r="L53">
        <f>IFERROR(VLOOKUP(G53,'LEAID Match'!$A$2:$B$168,2,FALSE),"")</f>
        <v>4626370</v>
      </c>
    </row>
    <row r="54" spans="1:12" x14ac:dyDescent="0.2">
      <c r="A54">
        <f t="shared" si="0"/>
        <v>4626370</v>
      </c>
      <c r="B54">
        <v>2019</v>
      </c>
      <c r="C54" t="s">
        <v>208</v>
      </c>
      <c r="D54" t="s">
        <v>212</v>
      </c>
      <c r="E54" t="s">
        <v>211</v>
      </c>
      <c r="F54" s="3">
        <v>901155</v>
      </c>
      <c r="G54" s="3" t="s">
        <v>57</v>
      </c>
      <c r="H54" s="4">
        <v>149556</v>
      </c>
      <c r="I54" cm="1">
        <f t="array" ref="I54">_xlfn.IFS(B54=2015,H54/$O$10,B54=2016,H54/$O$11,B54=2017,H54/$O$12,B54=2018,H54/$O$13,B54=2019,H54/$O$14,B54=2020,H54/$O$15,B54=2021,H54/$O$16,B54=2022,H54/$O$17)</f>
        <v>2.9289842355290628E-3</v>
      </c>
      <c r="J54" s="6" cm="1">
        <f t="array" ref="J54">_xlfn.IFS(B54=2015,I54*$Q$1,B54=2016,I54*$Q$2,B54=2017,I54*$Q$3,B54=2018,I54*$Q$4,B54=2019,I54*$Q$5,B54=2020,I54*$Q$6,B54=2021,I54*$Q$7,B54=2022,I54*$Q$8)</f>
        <v>77464.178764864293</v>
      </c>
      <c r="K54" s="7">
        <f t="shared" si="1"/>
        <v>227020.17876486428</v>
      </c>
      <c r="L54">
        <f>IFERROR(VLOOKUP(G54,'LEAID Match'!$A$2:$B$168,2,FALSE),"")</f>
        <v>4626370</v>
      </c>
    </row>
    <row r="55" spans="1:12" x14ac:dyDescent="0.2">
      <c r="A55">
        <f t="shared" si="0"/>
        <v>4626370</v>
      </c>
      <c r="B55">
        <v>2020</v>
      </c>
      <c r="C55" t="s">
        <v>208</v>
      </c>
      <c r="D55" t="s">
        <v>212</v>
      </c>
      <c r="E55" t="s">
        <v>211</v>
      </c>
      <c r="F55" s="1">
        <v>901155</v>
      </c>
      <c r="G55" s="3" t="s">
        <v>57</v>
      </c>
      <c r="H55" s="2">
        <v>156759</v>
      </c>
      <c r="I55" cm="1">
        <f t="array" ref="I55">_xlfn.IFS(B55=2015,H55/$O$10,B55=2016,H55/$O$11,B55=2017,H55/$O$12,B55=2018,H55/$O$13,B55=2019,H55/$O$14,B55=2020,H55/$O$15,B55=2021,H55/$O$16,B55=2022,H55/$O$17)</f>
        <v>2.9689809587786298E-3</v>
      </c>
      <c r="J55" s="6" cm="1">
        <f t="array" ref="J55">_xlfn.IFS(B55=2015,I55*$Q$1,B55=2016,I55*$Q$2,B55=2017,I55*$Q$3,B55=2018,I55*$Q$4,B55=2019,I55*$Q$5,B55=2020,I55*$Q$6,B55=2021,I55*$Q$7,B55=2022,I55*$Q$8)</f>
        <v>80727.278103792429</v>
      </c>
      <c r="K55" s="7">
        <f t="shared" si="1"/>
        <v>237486.27810379243</v>
      </c>
      <c r="L55">
        <f>IFERROR(VLOOKUP(G55,'LEAID Match'!$A$2:$B$168,2,FALSE),"")</f>
        <v>4626370</v>
      </c>
    </row>
    <row r="56" spans="1:12" x14ac:dyDescent="0.2">
      <c r="A56">
        <f t="shared" si="0"/>
        <v>4626370</v>
      </c>
      <c r="B56">
        <v>2021</v>
      </c>
      <c r="C56" t="s">
        <v>208</v>
      </c>
      <c r="D56" t="s">
        <v>212</v>
      </c>
      <c r="E56" t="s">
        <v>211</v>
      </c>
      <c r="F56" s="3">
        <v>901155</v>
      </c>
      <c r="G56" s="3" t="s">
        <v>57</v>
      </c>
      <c r="H56" s="4">
        <v>161693</v>
      </c>
      <c r="I56" cm="1">
        <f t="array" ref="I56">_xlfn.IFS(B56=2015,H56/$O$10,B56=2016,H56/$O$11,B56=2017,H56/$O$12,B56=2018,H56/$O$13,B56=2019,H56/$O$14,B56=2020,H56/$O$15,B56=2021,H56/$O$16,B56=2022,H56/$O$17)</f>
        <v>2.9204291471952425E-3</v>
      </c>
      <c r="J56" s="6" cm="1">
        <f t="array" ref="J56">_xlfn.IFS(B56=2015,I56*$Q$1,B56=2016,I56*$Q$2,B56=2017,I56*$Q$3,B56=2018,I56*$Q$4,B56=2019,I56*$Q$5,B56=2020,I56*$Q$6,B56=2021,I56*$Q$7,B56=2022,I56*$Q$8)</f>
        <v>81299.879102527178</v>
      </c>
      <c r="K56" s="7">
        <f t="shared" si="1"/>
        <v>242992.87910252716</v>
      </c>
      <c r="L56">
        <f>IFERROR(VLOOKUP(G56,'LEAID Match'!$A$2:$B$168,2,FALSE),"")</f>
        <v>4626370</v>
      </c>
    </row>
    <row r="57" spans="1:12" x14ac:dyDescent="0.2">
      <c r="A57">
        <f t="shared" si="0"/>
        <v>4626370</v>
      </c>
      <c r="B57">
        <v>2022</v>
      </c>
      <c r="C57" t="s">
        <v>208</v>
      </c>
      <c r="D57" t="s">
        <v>212</v>
      </c>
      <c r="E57" t="s">
        <v>211</v>
      </c>
      <c r="F57" s="3">
        <v>901155</v>
      </c>
      <c r="G57" s="3" t="s">
        <v>57</v>
      </c>
      <c r="H57" s="4">
        <v>173648</v>
      </c>
      <c r="I57" cm="1">
        <f t="array" ref="I57">_xlfn.IFS(B57=2015,H57/$O$10,B57=2016,H57/$O$11,B57=2017,H57/$O$12,B57=2018,H57/$O$13,B57=2019,H57/$O$14,B57=2020,H57/$O$15,B57=2021,H57/$O$16,B57=2022,H57/$O$17)</f>
        <v>3.0073371211612153E-3</v>
      </c>
      <c r="J57" s="6" cm="1">
        <f t="array" ref="J57">_xlfn.IFS(B57=2015,I57*$Q$1,B57=2016,I57*$Q$2,B57=2017,I57*$Q$3,B57=2018,I57*$Q$4,B57=2019,I57*$Q$5,B57=2020,I57*$Q$6,B57=2021,I57*$Q$7,B57=2022,I57*$Q$8)</f>
        <v>88589.974518962539</v>
      </c>
      <c r="K57" s="7">
        <f t="shared" si="1"/>
        <v>262237.97451896255</v>
      </c>
      <c r="L57">
        <f>IFERROR(VLOOKUP(G57,'LEAID Match'!$A$2:$B$168,2,FALSE),"")</f>
        <v>4626370</v>
      </c>
    </row>
    <row r="58" spans="1:12" x14ac:dyDescent="0.2">
      <c r="A58">
        <f t="shared" si="0"/>
        <v>4631710</v>
      </c>
      <c r="B58">
        <v>2015</v>
      </c>
      <c r="C58" t="s">
        <v>208</v>
      </c>
      <c r="D58" t="s">
        <v>212</v>
      </c>
      <c r="E58" t="s">
        <v>211</v>
      </c>
      <c r="F58" s="3">
        <v>901157</v>
      </c>
      <c r="G58" s="3" t="s">
        <v>154</v>
      </c>
      <c r="H58" s="4">
        <v>366123</v>
      </c>
      <c r="I58" cm="1">
        <f t="array" ref="I58">_xlfn.IFS(B58=2015,H58/$O$10,B58=2016,H58/$O$11,B58=2017,H58/$O$12,B58=2018,H58/$O$13,B58=2019,H58/$O$14,B58=2020,H58/$O$15,B58=2021,H58/$O$16,B58=2022,H58/$O$17)</f>
        <v>8.5637244102295396E-3</v>
      </c>
      <c r="J58" s="6" cm="1">
        <f t="array" ref="J58">_xlfn.IFS(B58=2015,I58*$Q$1,B58=2016,I58*$Q$2,B58=2017,I58*$Q$3,B58=2018,I58*$Q$4,B58=2019,I58*$Q$5,B58=2020,I58*$Q$6,B58=2021,I58*$Q$7,B58=2022,I58*$Q$8)</f>
        <v>210600.43807364843</v>
      </c>
      <c r="K58" s="7">
        <f t="shared" si="1"/>
        <v>576723.43807364837</v>
      </c>
      <c r="L58">
        <f>IFERROR(VLOOKUP(G58,'LEAID Match'!$A$2:$B$168,2,FALSE),"")</f>
        <v>4631710</v>
      </c>
    </row>
    <row r="59" spans="1:12" x14ac:dyDescent="0.2">
      <c r="A59">
        <f t="shared" si="0"/>
        <v>4631710</v>
      </c>
      <c r="B59">
        <v>2016</v>
      </c>
      <c r="C59" t="s">
        <v>208</v>
      </c>
      <c r="D59" t="s">
        <v>212</v>
      </c>
      <c r="E59" t="s">
        <v>211</v>
      </c>
      <c r="F59" s="3">
        <v>901157</v>
      </c>
      <c r="G59" s="3" t="s">
        <v>154</v>
      </c>
      <c r="H59" s="4">
        <v>384381</v>
      </c>
      <c r="I59" cm="1">
        <f t="array" ref="I59">_xlfn.IFS(B59=2015,H59/$O$10,B59=2016,H59/$O$11,B59=2017,H59/$O$12,B59=2018,H59/$O$13,B59=2019,H59/$O$14,B59=2020,H59/$O$15,B59=2021,H59/$O$16,B59=2022,H59/$O$17)</f>
        <v>8.7185531657862428E-3</v>
      </c>
      <c r="J59" s="6" cm="1">
        <f t="array" ref="J59">_xlfn.IFS(B59=2015,I59*$Q$1,B59=2016,I59*$Q$2,B59=2017,I59*$Q$3,B59=2018,I59*$Q$4,B59=2019,I59*$Q$5,B59=2020,I59*$Q$6,B59=2021,I59*$Q$7,B59=2022,I59*$Q$8)</f>
        <v>221501.86161209794</v>
      </c>
      <c r="K59" s="7">
        <f t="shared" si="1"/>
        <v>605882.86161209794</v>
      </c>
      <c r="L59">
        <f>IFERROR(VLOOKUP(G59,'LEAID Match'!$A$2:$B$168,2,FALSE),"")</f>
        <v>4631710</v>
      </c>
    </row>
    <row r="60" spans="1:12" x14ac:dyDescent="0.2">
      <c r="A60">
        <f t="shared" si="0"/>
        <v>4631710</v>
      </c>
      <c r="B60">
        <v>2017</v>
      </c>
      <c r="C60" t="s">
        <v>208</v>
      </c>
      <c r="D60" t="s">
        <v>212</v>
      </c>
      <c r="E60" t="s">
        <v>211</v>
      </c>
      <c r="F60" s="3">
        <v>901157</v>
      </c>
      <c r="G60" s="3" t="s">
        <v>154</v>
      </c>
      <c r="H60" s="4">
        <v>416743</v>
      </c>
      <c r="I60" cm="1">
        <f t="array" ref="I60">_xlfn.IFS(B60=2015,H60/$O$10,B60=2016,H60/$O$11,B60=2017,H60/$O$12,B60=2018,H60/$O$13,B60=2019,H60/$O$14,B60=2020,H60/$O$15,B60=2021,H60/$O$16,B60=2022,H60/$O$17)</f>
        <v>8.6044053891591709E-3</v>
      </c>
      <c r="J60" s="6" cm="1">
        <f t="array" ref="J60">_xlfn.IFS(B60=2015,I60*$Q$1,B60=2016,I60*$Q$2,B60=2017,I60*$Q$3,B60=2018,I60*$Q$4,B60=2019,I60*$Q$5,B60=2020,I60*$Q$6,B60=2021,I60*$Q$7,B60=2022,I60*$Q$8)</f>
        <v>226343.4785143098</v>
      </c>
      <c r="K60" s="7">
        <f t="shared" si="1"/>
        <v>643086.47851430974</v>
      </c>
      <c r="L60">
        <f>IFERROR(VLOOKUP(G60,'LEAID Match'!$A$2:$B$168,2,FALSE),"")</f>
        <v>4631710</v>
      </c>
    </row>
    <row r="61" spans="1:12" x14ac:dyDescent="0.2">
      <c r="A61">
        <f t="shared" si="0"/>
        <v>4631710</v>
      </c>
      <c r="B61">
        <v>2018</v>
      </c>
      <c r="C61" t="s">
        <v>208</v>
      </c>
      <c r="D61" t="s">
        <v>212</v>
      </c>
      <c r="E61" t="s">
        <v>211</v>
      </c>
      <c r="F61" s="3">
        <v>901157</v>
      </c>
      <c r="G61" s="3" t="s">
        <v>154</v>
      </c>
      <c r="H61" s="4">
        <v>445181</v>
      </c>
      <c r="I61" cm="1">
        <f t="array" ref="I61">_xlfn.IFS(B61=2015,H61/$O$10,B61=2016,H61/$O$11,B61=2017,H61/$O$12,B61=2018,H61/$O$13,B61=2019,H61/$O$14,B61=2020,H61/$O$15,B61=2021,H61/$O$16,B61=2022,H61/$O$17)</f>
        <v>8.878068563551356E-3</v>
      </c>
      <c r="J61" s="6" cm="1">
        <f t="array" ref="J61">_xlfn.IFS(B61=2015,I61*$Q$1,B61=2016,I61*$Q$2,B61=2017,I61*$Q$3,B61=2018,I61*$Q$4,B61=2019,I61*$Q$5,B61=2020,I61*$Q$6,B61=2021,I61*$Q$7,B61=2022,I61*$Q$8)</f>
        <v>233100.87249350877</v>
      </c>
      <c r="K61" s="7">
        <f t="shared" si="1"/>
        <v>678281.87249350874</v>
      </c>
      <c r="L61">
        <f>IFERROR(VLOOKUP(G61,'LEAID Match'!$A$2:$B$168,2,FALSE),"")</f>
        <v>4631710</v>
      </c>
    </row>
    <row r="62" spans="1:12" x14ac:dyDescent="0.2">
      <c r="A62">
        <f t="shared" si="0"/>
        <v>4631710</v>
      </c>
      <c r="B62">
        <v>2019</v>
      </c>
      <c r="C62" t="s">
        <v>208</v>
      </c>
      <c r="D62" t="s">
        <v>212</v>
      </c>
      <c r="E62" t="s">
        <v>211</v>
      </c>
      <c r="F62" s="3">
        <v>901157</v>
      </c>
      <c r="G62" s="3" t="s">
        <v>154</v>
      </c>
      <c r="H62" s="4">
        <v>448379</v>
      </c>
      <c r="I62" cm="1">
        <f t="array" ref="I62">_xlfn.IFS(B62=2015,H62/$O$10,B62=2016,H62/$O$11,B62=2017,H62/$O$12,B62=2018,H62/$O$13,B62=2019,H62/$O$14,B62=2020,H62/$O$15,B62=2021,H62/$O$16,B62=2022,H62/$O$17)</f>
        <v>8.781292776901534E-3</v>
      </c>
      <c r="J62" s="6" cm="1">
        <f t="array" ref="J62">_xlfn.IFS(B62=2015,I62*$Q$1,B62=2016,I62*$Q$2,B62=2017,I62*$Q$3,B62=2018,I62*$Q$4,B62=2019,I62*$Q$5,B62=2020,I62*$Q$6,B62=2021,I62*$Q$7,B62=2022,I62*$Q$8)</f>
        <v>232242.84555892835</v>
      </c>
      <c r="K62" s="7">
        <f t="shared" si="1"/>
        <v>680621.84555892833</v>
      </c>
      <c r="L62">
        <f>IFERROR(VLOOKUP(G62,'LEAID Match'!$A$2:$B$168,2,FALSE),"")</f>
        <v>4631710</v>
      </c>
    </row>
    <row r="63" spans="1:12" x14ac:dyDescent="0.2">
      <c r="A63">
        <f t="shared" si="0"/>
        <v>4631710</v>
      </c>
      <c r="B63">
        <v>2020</v>
      </c>
      <c r="C63" t="s">
        <v>208</v>
      </c>
      <c r="D63" t="s">
        <v>212</v>
      </c>
      <c r="E63" t="s">
        <v>211</v>
      </c>
      <c r="F63" s="1">
        <v>901157</v>
      </c>
      <c r="G63" s="3" t="s">
        <v>154</v>
      </c>
      <c r="H63" s="2">
        <v>459060</v>
      </c>
      <c r="I63" cm="1">
        <f t="array" ref="I63">_xlfn.IFS(B63=2015,H63/$O$10,B63=2016,H63/$O$11,B63=2017,H63/$O$12,B63=2018,H63/$O$13,B63=2019,H63/$O$14,B63=2020,H63/$O$15,B63=2021,H63/$O$16,B63=2022,H63/$O$17)</f>
        <v>8.6944953650949404E-3</v>
      </c>
      <c r="J63" s="6" cm="1">
        <f t="array" ref="J63">_xlfn.IFS(B63=2015,I63*$Q$1,B63=2016,I63*$Q$2,B63=2017,I63*$Q$3,B63=2018,I63*$Q$4,B63=2019,I63*$Q$5,B63=2020,I63*$Q$6,B63=2021,I63*$Q$7,B63=2022,I63*$Q$8)</f>
        <v>236405.33740536077</v>
      </c>
      <c r="K63" s="7">
        <f t="shared" si="1"/>
        <v>695465.33740536077</v>
      </c>
      <c r="L63">
        <f>IFERROR(VLOOKUP(G63,'LEAID Match'!$A$2:$B$168,2,FALSE),"")</f>
        <v>4631710</v>
      </c>
    </row>
    <row r="64" spans="1:12" x14ac:dyDescent="0.2">
      <c r="A64">
        <f t="shared" si="0"/>
        <v>4631710</v>
      </c>
      <c r="B64">
        <v>2021</v>
      </c>
      <c r="C64" t="s">
        <v>208</v>
      </c>
      <c r="D64" t="s">
        <v>212</v>
      </c>
      <c r="E64" t="s">
        <v>211</v>
      </c>
      <c r="F64" s="3">
        <v>901157</v>
      </c>
      <c r="G64" s="3" t="s">
        <v>154</v>
      </c>
      <c r="H64" s="4">
        <v>478139</v>
      </c>
      <c r="I64" cm="1">
        <f t="array" ref="I64">_xlfn.IFS(B64=2015,H64/$O$10,B64=2016,H64/$O$11,B64=2017,H64/$O$12,B64=2018,H64/$O$13,B64=2019,H64/$O$14,B64=2020,H64/$O$15,B64=2021,H64/$O$16,B64=2022,H64/$O$17)</f>
        <v>8.6359401582677426E-3</v>
      </c>
      <c r="J64" s="6" cm="1">
        <f t="array" ref="J64">_xlfn.IFS(B64=2015,I64*$Q$1,B64=2016,I64*$Q$2,B64=2017,I64*$Q$3,B64=2018,I64*$Q$4,B64=2019,I64*$Q$5,B64=2020,I64*$Q$6,B64=2021,I64*$Q$7,B64=2022,I64*$Q$8)</f>
        <v>240410.17789393011</v>
      </c>
      <c r="K64" s="7">
        <f t="shared" si="1"/>
        <v>718549.17789393011</v>
      </c>
      <c r="L64">
        <f>IFERROR(VLOOKUP(G64,'LEAID Match'!$A$2:$B$168,2,FALSE),"")</f>
        <v>4631710</v>
      </c>
    </row>
    <row r="65" spans="1:12" x14ac:dyDescent="0.2">
      <c r="A65">
        <f t="shared" si="0"/>
        <v>4631710</v>
      </c>
      <c r="B65">
        <v>2022</v>
      </c>
      <c r="C65" t="s">
        <v>208</v>
      </c>
      <c r="D65" t="s">
        <v>212</v>
      </c>
      <c r="E65" t="s">
        <v>211</v>
      </c>
      <c r="F65" s="3">
        <v>901157</v>
      </c>
      <c r="G65" s="3" t="s">
        <v>154</v>
      </c>
      <c r="H65" s="4">
        <v>468062</v>
      </c>
      <c r="I65" cm="1">
        <f t="array" ref="I65">_xlfn.IFS(B65=2015,H65/$O$10,B65=2016,H65/$O$11,B65=2017,H65/$O$12,B65=2018,H65/$O$13,B65=2019,H65/$O$14,B65=2020,H65/$O$15,B65=2021,H65/$O$16,B65=2022,H65/$O$17)</f>
        <v>8.1061701119791805E-3</v>
      </c>
      <c r="J65" s="6" cm="1">
        <f t="array" ref="J65">_xlfn.IFS(B65=2015,I65*$Q$1,B65=2016,I65*$Q$2,B65=2017,I65*$Q$3,B65=2018,I65*$Q$4,B65=2019,I65*$Q$5,B65=2020,I65*$Q$6,B65=2021,I65*$Q$7,B65=2022,I65*$Q$8)</f>
        <v>238791.12142549665</v>
      </c>
      <c r="K65" s="7">
        <f t="shared" si="1"/>
        <v>706853.12142549665</v>
      </c>
      <c r="L65">
        <f>IFERROR(VLOOKUP(G65,'LEAID Match'!$A$2:$B$168,2,FALSE),"")</f>
        <v>4631710</v>
      </c>
    </row>
    <row r="66" spans="1:12" x14ac:dyDescent="0.2">
      <c r="A66" t="str">
        <f t="shared" si="0"/>
        <v/>
      </c>
      <c r="B66">
        <v>2015</v>
      </c>
      <c r="C66" t="s">
        <v>208</v>
      </c>
      <c r="D66" t="s">
        <v>212</v>
      </c>
      <c r="E66" t="s">
        <v>211</v>
      </c>
      <c r="F66" s="3">
        <v>901162</v>
      </c>
      <c r="G66" s="3" t="s">
        <v>26</v>
      </c>
      <c r="H66" s="4">
        <v>54044</v>
      </c>
      <c r="I66" cm="1">
        <f t="array" ref="I66">_xlfn.IFS(B66=2015,H66/$O$10,B66=2016,H66/$O$11,B66=2017,H66/$O$12,B66=2018,H66/$O$13,B66=2019,H66/$O$14,B66=2020,H66/$O$15,B66=2021,H66/$O$16,B66=2022,H66/$O$17)</f>
        <v>1.2641050194236506E-3</v>
      </c>
      <c r="J66" s="6" cm="1">
        <f t="array" ref="J66">_xlfn.IFS(B66=2015,I66*$Q$1,B66=2016,I66*$Q$2,B66=2017,I66*$Q$3,B66=2018,I66*$Q$4,B66=2019,I66*$Q$5,B66=2020,I66*$Q$6,B66=2021,I66*$Q$7,B66=2022,I66*$Q$8)</f>
        <v>31087.066573944427</v>
      </c>
      <c r="K66" s="7">
        <f t="shared" si="1"/>
        <v>85131.066573944423</v>
      </c>
      <c r="L66" t="str">
        <f>IFERROR(VLOOKUP(G66,'LEAID Match'!$A$2:$B$168,2,FALSE),"")</f>
        <v/>
      </c>
    </row>
    <row r="67" spans="1:12" x14ac:dyDescent="0.2">
      <c r="A67" t="str">
        <f t="shared" ref="A67:A130" si="3">L67</f>
        <v/>
      </c>
      <c r="B67">
        <v>2016</v>
      </c>
      <c r="C67" t="s">
        <v>208</v>
      </c>
      <c r="D67" t="s">
        <v>212</v>
      </c>
      <c r="E67" t="s">
        <v>211</v>
      </c>
      <c r="F67" s="3">
        <v>901162</v>
      </c>
      <c r="G67" s="3" t="s">
        <v>26</v>
      </c>
      <c r="H67" s="4">
        <v>58870</v>
      </c>
      <c r="I67" cm="1">
        <f t="array" ref="I67">_xlfn.IFS(B67=2015,H67/$O$10,B67=2016,H67/$O$11,B67=2017,H67/$O$12,B67=2018,H67/$O$13,B67=2019,H67/$O$14,B67=2020,H67/$O$15,B67=2021,H67/$O$16,B67=2022,H67/$O$17)</f>
        <v>1.3352929121622458E-3</v>
      </c>
      <c r="J67" s="6" cm="1">
        <f t="array" ref="J67">_xlfn.IFS(B67=2015,I67*$Q$1,B67=2016,I67*$Q$2,B67=2017,I67*$Q$3,B67=2018,I67*$Q$4,B67=2019,I67*$Q$5,B67=2020,I67*$Q$6,B67=2021,I67*$Q$7,B67=2022,I67*$Q$8)</f>
        <v>33924.191344276143</v>
      </c>
      <c r="K67" s="7">
        <f t="shared" ref="K67:K130" si="4">SUM(J67,H67)</f>
        <v>92794.191344276143</v>
      </c>
      <c r="L67" t="str">
        <f>IFERROR(VLOOKUP(G67,'LEAID Match'!$A$2:$B$168,2,FALSE),"")</f>
        <v/>
      </c>
    </row>
    <row r="68" spans="1:12" x14ac:dyDescent="0.2">
      <c r="A68" t="str">
        <f t="shared" si="3"/>
        <v/>
      </c>
      <c r="B68">
        <v>2017</v>
      </c>
      <c r="C68" t="s">
        <v>208</v>
      </c>
      <c r="D68" t="s">
        <v>212</v>
      </c>
      <c r="E68" t="s">
        <v>211</v>
      </c>
      <c r="F68" s="3">
        <v>901162</v>
      </c>
      <c r="G68" s="3" t="s">
        <v>26</v>
      </c>
      <c r="H68" s="4">
        <v>69921</v>
      </c>
      <c r="I68" cm="1">
        <f t="array" ref="I68">_xlfn.IFS(B68=2015,H68/$O$10,B68=2016,H68/$O$11,B68=2017,H68/$O$12,B68=2018,H68/$O$13,B68=2019,H68/$O$14,B68=2020,H68/$O$15,B68=2021,H68/$O$16,B68=2022,H68/$O$17)</f>
        <v>1.443644234493197E-3</v>
      </c>
      <c r="J68" s="6" cm="1">
        <f t="array" ref="J68">_xlfn.IFS(B68=2015,I68*$Q$1,B68=2016,I68*$Q$2,B68=2017,I68*$Q$3,B68=2018,I68*$Q$4,B68=2019,I68*$Q$5,B68=2020,I68*$Q$6,B68=2021,I68*$Q$7,B68=2022,I68*$Q$8)</f>
        <v>37975.832494364768</v>
      </c>
      <c r="K68" s="7">
        <f t="shared" si="4"/>
        <v>107896.83249436476</v>
      </c>
      <c r="L68" t="str">
        <f>IFERROR(VLOOKUP(G68,'LEAID Match'!$A$2:$B$168,2,FALSE),"")</f>
        <v/>
      </c>
    </row>
    <row r="69" spans="1:12" x14ac:dyDescent="0.2">
      <c r="A69" t="str">
        <f t="shared" si="3"/>
        <v/>
      </c>
      <c r="B69">
        <v>2018</v>
      </c>
      <c r="C69" t="s">
        <v>208</v>
      </c>
      <c r="D69" t="s">
        <v>212</v>
      </c>
      <c r="E69" t="s">
        <v>211</v>
      </c>
      <c r="F69" s="3">
        <v>901162</v>
      </c>
      <c r="G69" s="3" t="s">
        <v>26</v>
      </c>
      <c r="H69" s="4">
        <v>66853</v>
      </c>
      <c r="I69" cm="1">
        <f t="array" ref="I69">_xlfn.IFS(B69=2015,H69/$O$10,B69=2016,H69/$O$11,B69=2017,H69/$O$12,B69=2018,H69/$O$13,B69=2019,H69/$O$14,B69=2020,H69/$O$15,B69=2021,H69/$O$16,B69=2022,H69/$O$17)</f>
        <v>1.3332229310754477E-3</v>
      </c>
      <c r="J69" s="6" cm="1">
        <f t="array" ref="J69">_xlfn.IFS(B69=2015,I69*$Q$1,B69=2016,I69*$Q$2,B69=2017,I69*$Q$3,B69=2018,I69*$Q$4,B69=2019,I69*$Q$5,B69=2020,I69*$Q$6,B69=2021,I69*$Q$7,B69=2022,I69*$Q$8)</f>
        <v>35004.846632737121</v>
      </c>
      <c r="K69" s="7">
        <f t="shared" si="4"/>
        <v>101857.84663273711</v>
      </c>
      <c r="L69" t="str">
        <f>IFERROR(VLOOKUP(G69,'LEAID Match'!$A$2:$B$168,2,FALSE),"")</f>
        <v/>
      </c>
    </row>
    <row r="70" spans="1:12" x14ac:dyDescent="0.2">
      <c r="A70" t="str">
        <f t="shared" si="3"/>
        <v/>
      </c>
      <c r="B70">
        <v>2019</v>
      </c>
      <c r="C70" t="s">
        <v>208</v>
      </c>
      <c r="D70" t="s">
        <v>212</v>
      </c>
      <c r="E70" t="s">
        <v>211</v>
      </c>
      <c r="F70" s="3">
        <v>901162</v>
      </c>
      <c r="G70" s="3" t="s">
        <v>26</v>
      </c>
      <c r="H70" s="4">
        <v>83966</v>
      </c>
      <c r="I70" cm="1">
        <f t="array" ref="I70">_xlfn.IFS(B70=2015,H70/$O$10,B70=2016,H70/$O$11,B70=2017,H70/$O$12,B70=2018,H70/$O$13,B70=2019,H70/$O$14,B70=2020,H70/$O$15,B70=2021,H70/$O$16,B70=2022,H70/$O$17)</f>
        <v>1.644434795798452E-3</v>
      </c>
      <c r="J70" s="6" cm="1">
        <f t="array" ref="J70">_xlfn.IFS(B70=2015,I70*$Q$1,B70=2016,I70*$Q$2,B70=2017,I70*$Q$3,B70=2018,I70*$Q$4,B70=2019,I70*$Q$5,B70=2020,I70*$Q$6,B70=2021,I70*$Q$7,B70=2022,I70*$Q$8)</f>
        <v>43491.115262313753</v>
      </c>
      <c r="K70" s="7">
        <f t="shared" si="4"/>
        <v>127457.11526231375</v>
      </c>
      <c r="L70" t="str">
        <f>IFERROR(VLOOKUP(G70,'LEAID Match'!$A$2:$B$168,2,FALSE),"")</f>
        <v/>
      </c>
    </row>
    <row r="71" spans="1:12" x14ac:dyDescent="0.2">
      <c r="A71" t="str">
        <f t="shared" si="3"/>
        <v/>
      </c>
      <c r="B71">
        <v>2020</v>
      </c>
      <c r="C71" t="s">
        <v>208</v>
      </c>
      <c r="D71" t="s">
        <v>212</v>
      </c>
      <c r="E71" t="s">
        <v>211</v>
      </c>
      <c r="F71" s="1">
        <v>901162</v>
      </c>
      <c r="G71" s="3" t="s">
        <v>26</v>
      </c>
      <c r="H71" s="2">
        <v>96331</v>
      </c>
      <c r="I71" cm="1">
        <f t="array" ref="I71">_xlfn.IFS(B71=2015,H71/$O$10,B71=2016,H71/$O$11,B71=2017,H71/$O$12,B71=2018,H71/$O$13,B71=2019,H71/$O$14,B71=2020,H71/$O$15,B71=2021,H71/$O$16,B71=2022,H71/$O$17)</f>
        <v>1.8244879384284422E-3</v>
      </c>
      <c r="J71" s="6" cm="1">
        <f t="array" ref="J71">_xlfn.IFS(B71=2015,I71*$Q$1,B71=2016,I71*$Q$2,B71=2017,I71*$Q$3,B71=2018,I71*$Q$4,B71=2019,I71*$Q$5,B71=2020,I71*$Q$6,B71=2021,I71*$Q$7,B71=2022,I71*$Q$8)</f>
        <v>49608.248502583119</v>
      </c>
      <c r="K71" s="7">
        <f t="shared" si="4"/>
        <v>145939.24850258313</v>
      </c>
      <c r="L71" t="str">
        <f>IFERROR(VLOOKUP(G71,'LEAID Match'!$A$2:$B$168,2,FALSE),"")</f>
        <v/>
      </c>
    </row>
    <row r="72" spans="1:12" x14ac:dyDescent="0.2">
      <c r="A72" t="str">
        <f t="shared" si="3"/>
        <v/>
      </c>
      <c r="B72">
        <v>2021</v>
      </c>
      <c r="C72" t="s">
        <v>208</v>
      </c>
      <c r="D72" t="s">
        <v>212</v>
      </c>
      <c r="E72" t="s">
        <v>211</v>
      </c>
      <c r="F72" s="3">
        <v>901162</v>
      </c>
      <c r="G72" s="3" t="s">
        <v>26</v>
      </c>
      <c r="H72" s="4">
        <v>94927</v>
      </c>
      <c r="I72" cm="1">
        <f t="array" ref="I72">_xlfn.IFS(B72=2015,H72/$O$10,B72=2016,H72/$O$11,B72=2017,H72/$O$12,B72=2018,H72/$O$13,B72=2019,H72/$O$14,B72=2020,H72/$O$15,B72=2021,H72/$O$16,B72=2022,H72/$O$17)</f>
        <v>1.7145304846579801E-3</v>
      </c>
      <c r="J72" s="6" cm="1">
        <f t="array" ref="J72">_xlfn.IFS(B72=2015,I72*$Q$1,B72=2016,I72*$Q$2,B72=2017,I72*$Q$3,B72=2018,I72*$Q$4,B72=2019,I72*$Q$5,B72=2020,I72*$Q$6,B72=2021,I72*$Q$7,B72=2022,I72*$Q$8)</f>
        <v>47729.670570560244</v>
      </c>
      <c r="K72" s="7">
        <f t="shared" si="4"/>
        <v>142656.67057056024</v>
      </c>
      <c r="L72" t="str">
        <f>IFERROR(VLOOKUP(G72,'LEAID Match'!$A$2:$B$168,2,FALSE),"")</f>
        <v/>
      </c>
    </row>
    <row r="73" spans="1:12" x14ac:dyDescent="0.2">
      <c r="A73" t="str">
        <f t="shared" si="3"/>
        <v/>
      </c>
      <c r="B73">
        <v>2022</v>
      </c>
      <c r="C73" t="s">
        <v>208</v>
      </c>
      <c r="D73" t="s">
        <v>212</v>
      </c>
      <c r="E73" t="s">
        <v>211</v>
      </c>
      <c r="F73" s="3">
        <v>901162</v>
      </c>
      <c r="G73" s="3" t="s">
        <v>26</v>
      </c>
      <c r="H73" s="4">
        <v>86970</v>
      </c>
      <c r="I73" cm="1">
        <f t="array" ref="I73">_xlfn.IFS(B73=2015,H73/$O$10,B73=2016,H73/$O$11,B73=2017,H73/$O$12,B73=2018,H73/$O$13,B73=2019,H73/$O$14,B73=2020,H73/$O$15,B73=2021,H73/$O$16,B73=2022,H73/$O$17)</f>
        <v>1.506197073547584E-3</v>
      </c>
      <c r="J73" s="6" cm="1">
        <f t="array" ref="J73">_xlfn.IFS(B73=2015,I73*$Q$1,B73=2016,I73*$Q$2,B73=2017,I73*$Q$3,B73=2018,I73*$Q$4,B73=2019,I73*$Q$5,B73=2020,I73*$Q$6,B73=2021,I73*$Q$7,B73=2022,I73*$Q$8)</f>
        <v>44369.472057922758</v>
      </c>
      <c r="K73" s="7">
        <f t="shared" si="4"/>
        <v>131339.47205792274</v>
      </c>
      <c r="L73" t="str">
        <f>IFERROR(VLOOKUP(G73,'LEAID Match'!$A$2:$B$168,2,FALSE),"")</f>
        <v/>
      </c>
    </row>
    <row r="74" spans="1:12" x14ac:dyDescent="0.2">
      <c r="A74">
        <f t="shared" si="3"/>
        <v>4659820</v>
      </c>
      <c r="B74">
        <v>2015</v>
      </c>
      <c r="C74" t="s">
        <v>208</v>
      </c>
      <c r="D74" t="s">
        <v>212</v>
      </c>
      <c r="E74" t="s">
        <v>211</v>
      </c>
      <c r="F74" s="3">
        <v>902101</v>
      </c>
      <c r="G74" s="3" t="s">
        <v>120</v>
      </c>
      <c r="H74" s="4">
        <v>4239803</v>
      </c>
      <c r="I74" cm="1">
        <f t="array" ref="I74">_xlfn.IFS(B74=2015,H74/$O$10,B74=2016,H74/$O$11,B74=2017,H74/$O$12,B74=2018,H74/$O$13,B74=2019,H74/$O$14,B74=2020,H74/$O$15,B74=2021,H74/$O$16,B74=2022,H74/$O$17)</f>
        <v>9.9170236356810229E-2</v>
      </c>
      <c r="J74" s="6" cm="1">
        <f t="array" ref="J74">_xlfn.IFS(B74=2015,I74*$Q$1,B74=2016,I74*$Q$2,B74=2017,I74*$Q$3,B74=2018,I74*$Q$4,B74=2019,I74*$Q$5,B74=2020,I74*$Q$6,B74=2021,I74*$Q$7,B74=2022,I74*$Q$8)</f>
        <v>2438809.8238733127</v>
      </c>
      <c r="K74" s="7">
        <f t="shared" si="4"/>
        <v>6678612.8238733131</v>
      </c>
      <c r="L74">
        <f>IFERROR(VLOOKUP(G74,'LEAID Match'!$A$2:$B$168,2,FALSE),"")</f>
        <v>4659820</v>
      </c>
    </row>
    <row r="75" spans="1:12" x14ac:dyDescent="0.2">
      <c r="A75">
        <f t="shared" si="3"/>
        <v>4659820</v>
      </c>
      <c r="B75">
        <v>2016</v>
      </c>
      <c r="C75" t="s">
        <v>208</v>
      </c>
      <c r="D75" t="s">
        <v>212</v>
      </c>
      <c r="E75" t="s">
        <v>211</v>
      </c>
      <c r="F75" s="3">
        <v>902101</v>
      </c>
      <c r="G75" s="3" t="s">
        <v>120</v>
      </c>
      <c r="H75" s="4">
        <v>4221922</v>
      </c>
      <c r="I75" cm="1">
        <f t="array" ref="I75">_xlfn.IFS(B75=2015,H75/$O$10,B75=2016,H75/$O$11,B75=2017,H75/$O$12,B75=2018,H75/$O$13,B75=2019,H75/$O$14,B75=2020,H75/$O$15,B75=2021,H75/$O$16,B75=2022,H75/$O$17)</f>
        <v>9.5761890985253145E-2</v>
      </c>
      <c r="J75" s="6" cm="1">
        <f t="array" ref="J75">_xlfn.IFS(B75=2015,I75*$Q$1,B75=2016,I75*$Q$2,B75=2017,I75*$Q$3,B75=2018,I75*$Q$4,B75=2019,I75*$Q$5,B75=2020,I75*$Q$6,B75=2021,I75*$Q$7,B75=2022,I75*$Q$8)</f>
        <v>2432907.9288025992</v>
      </c>
      <c r="K75" s="7">
        <f t="shared" si="4"/>
        <v>6654829.9288025992</v>
      </c>
      <c r="L75">
        <f>IFERROR(VLOOKUP(G75,'LEAID Match'!$A$2:$B$168,2,FALSE),"")</f>
        <v>4659820</v>
      </c>
    </row>
    <row r="76" spans="1:12" x14ac:dyDescent="0.2">
      <c r="A76">
        <f t="shared" si="3"/>
        <v>4659820</v>
      </c>
      <c r="B76">
        <v>2017</v>
      </c>
      <c r="C76" t="s">
        <v>208</v>
      </c>
      <c r="D76" t="s">
        <v>212</v>
      </c>
      <c r="E76" t="s">
        <v>211</v>
      </c>
      <c r="F76" s="3">
        <v>902101</v>
      </c>
      <c r="G76" s="3" t="s">
        <v>120</v>
      </c>
      <c r="H76" s="4">
        <v>4706881</v>
      </c>
      <c r="I76" cm="1">
        <f t="array" ref="I76">_xlfn.IFS(B76=2015,H76/$O$10,B76=2016,H76/$O$11,B76=2017,H76/$O$12,B76=2018,H76/$O$13,B76=2019,H76/$O$14,B76=2020,H76/$O$15,B76=2021,H76/$O$16,B76=2022,H76/$O$17)</f>
        <v>9.7181985642304514E-2</v>
      </c>
      <c r="J76" s="6" cm="1">
        <f t="array" ref="J76">_xlfn.IFS(B76=2015,I76*$Q$1,B76=2016,I76*$Q$2,B76=2017,I76*$Q$3,B76=2018,I76*$Q$4,B76=2019,I76*$Q$5,B76=2020,I76*$Q$6,B76=2021,I76*$Q$7,B76=2022,I76*$Q$8)</f>
        <v>2556424.0275011533</v>
      </c>
      <c r="K76" s="7">
        <f t="shared" si="4"/>
        <v>7263305.0275011528</v>
      </c>
      <c r="L76">
        <f>IFERROR(VLOOKUP(G76,'LEAID Match'!$A$2:$B$168,2,FALSE),"")</f>
        <v>4659820</v>
      </c>
    </row>
    <row r="77" spans="1:12" x14ac:dyDescent="0.2">
      <c r="A77">
        <f t="shared" si="3"/>
        <v>4659820</v>
      </c>
      <c r="B77">
        <v>2018</v>
      </c>
      <c r="C77" t="s">
        <v>208</v>
      </c>
      <c r="D77" t="s">
        <v>212</v>
      </c>
      <c r="E77" t="s">
        <v>211</v>
      </c>
      <c r="F77" s="3">
        <v>902101</v>
      </c>
      <c r="G77" s="3" t="s">
        <v>120</v>
      </c>
      <c r="H77" s="4">
        <v>4991968</v>
      </c>
      <c r="I77" cm="1">
        <f t="array" ref="I77">_xlfn.IFS(B77=2015,H77/$O$10,B77=2016,H77/$O$11,B77=2017,H77/$O$12,B77=2018,H77/$O$13,B77=2019,H77/$O$14,B77=2020,H77/$O$15,B77=2021,H77/$O$16,B77=2022,H77/$O$17)</f>
        <v>9.9552842935916708E-2</v>
      </c>
      <c r="J77" s="6" cm="1">
        <f t="array" ref="J77">_xlfn.IFS(B77=2015,I77*$Q$1,B77=2016,I77*$Q$2,B77=2017,I77*$Q$3,B77=2018,I77*$Q$4,B77=2019,I77*$Q$5,B77=2020,I77*$Q$6,B77=2021,I77*$Q$7,B77=2022,I77*$Q$8)</f>
        <v>2613840.4295324283</v>
      </c>
      <c r="K77" s="7">
        <f t="shared" si="4"/>
        <v>7605808.4295324283</v>
      </c>
      <c r="L77">
        <f>IFERROR(VLOOKUP(G77,'LEAID Match'!$A$2:$B$168,2,FALSE),"")</f>
        <v>4659820</v>
      </c>
    </row>
    <row r="78" spans="1:12" x14ac:dyDescent="0.2">
      <c r="A78">
        <f t="shared" si="3"/>
        <v>4659820</v>
      </c>
      <c r="B78">
        <v>2019</v>
      </c>
      <c r="C78" t="s">
        <v>208</v>
      </c>
      <c r="D78" t="s">
        <v>212</v>
      </c>
      <c r="E78" t="s">
        <v>211</v>
      </c>
      <c r="F78" s="3">
        <v>902101</v>
      </c>
      <c r="G78" s="3" t="s">
        <v>120</v>
      </c>
      <c r="H78" s="4">
        <v>5072558</v>
      </c>
      <c r="I78" cm="1">
        <f t="array" ref="I78">_xlfn.IFS(B78=2015,H78/$O$10,B78=2016,H78/$O$11,B78=2017,H78/$O$12,B78=2018,H78/$O$13,B78=2019,H78/$O$14,B78=2020,H78/$O$15,B78=2021,H78/$O$16,B78=2022,H78/$O$17)</f>
        <v>9.9343673378579481E-2</v>
      </c>
      <c r="J78" s="6" cm="1">
        <f t="array" ref="J78">_xlfn.IFS(B78=2015,I78*$Q$1,B78=2016,I78*$Q$2,B78=2017,I78*$Q$3,B78=2018,I78*$Q$4,B78=2019,I78*$Q$5,B78=2020,I78*$Q$6,B78=2021,I78*$Q$7,B78=2022,I78*$Q$8)</f>
        <v>2627387.3312146789</v>
      </c>
      <c r="K78" s="7">
        <f t="shared" si="4"/>
        <v>7699945.3312146794</v>
      </c>
      <c r="L78">
        <f>IFERROR(VLOOKUP(G78,'LEAID Match'!$A$2:$B$168,2,FALSE),"")</f>
        <v>4659820</v>
      </c>
    </row>
    <row r="79" spans="1:12" x14ac:dyDescent="0.2">
      <c r="A79">
        <f t="shared" si="3"/>
        <v>4659820</v>
      </c>
      <c r="B79">
        <v>2020</v>
      </c>
      <c r="C79" t="s">
        <v>208</v>
      </c>
      <c r="D79" t="s">
        <v>212</v>
      </c>
      <c r="E79" t="s">
        <v>211</v>
      </c>
      <c r="F79" s="1">
        <v>902101</v>
      </c>
      <c r="G79" s="3" t="s">
        <v>120</v>
      </c>
      <c r="H79" s="2">
        <v>5139589</v>
      </c>
      <c r="I79" cm="1">
        <f t="array" ref="I79">_xlfn.IFS(B79=2015,H79/$O$10,B79=2016,H79/$O$11,B79=2017,H79/$O$12,B79=2018,H79/$O$13,B79=2019,H79/$O$14,B79=2020,H79/$O$15,B79=2021,H79/$O$16,B79=2022,H79/$O$17)</f>
        <v>9.7342684483494396E-2</v>
      </c>
      <c r="J79" s="6" cm="1">
        <f t="array" ref="J79">_xlfn.IFS(B79=2015,I79*$Q$1,B79=2016,I79*$Q$2,B79=2017,I79*$Q$3,B79=2018,I79*$Q$4,B79=2019,I79*$Q$5,B79=2020,I79*$Q$6,B79=2021,I79*$Q$7,B79=2022,I79*$Q$8)</f>
        <v>2646770.0772663285</v>
      </c>
      <c r="K79" s="7">
        <f t="shared" si="4"/>
        <v>7786359.077266328</v>
      </c>
      <c r="L79">
        <f>IFERROR(VLOOKUP(G79,'LEAID Match'!$A$2:$B$168,2,FALSE),"")</f>
        <v>4659820</v>
      </c>
    </row>
    <row r="80" spans="1:12" x14ac:dyDescent="0.2">
      <c r="A80">
        <f t="shared" si="3"/>
        <v>4659820</v>
      </c>
      <c r="B80">
        <v>2021</v>
      </c>
      <c r="C80" t="s">
        <v>208</v>
      </c>
      <c r="D80" t="s">
        <v>212</v>
      </c>
      <c r="E80" t="s">
        <v>211</v>
      </c>
      <c r="F80" s="3">
        <v>902101</v>
      </c>
      <c r="G80" s="3" t="s">
        <v>120</v>
      </c>
      <c r="H80" s="4">
        <v>5263768</v>
      </c>
      <c r="I80" cm="1">
        <f t="array" ref="I80">_xlfn.IFS(B80=2015,H80/$O$10,B80=2016,H80/$O$11,B80=2017,H80/$O$12,B80=2018,H80/$O$13,B80=2019,H80/$O$14,B80=2020,H80/$O$15,B80=2021,H80/$O$16,B80=2022,H80/$O$17)</f>
        <v>9.5071904728551065E-2</v>
      </c>
      <c r="J80" s="6" cm="1">
        <f t="array" ref="J80">_xlfn.IFS(B80=2015,I80*$Q$1,B80=2016,I80*$Q$2,B80=2017,I80*$Q$3,B80=2018,I80*$Q$4,B80=2019,I80*$Q$5,B80=2020,I80*$Q$6,B80=2021,I80*$Q$7,B80=2022,I80*$Q$8)</f>
        <v>2646643.3427776792</v>
      </c>
      <c r="K80" s="7">
        <f t="shared" si="4"/>
        <v>7910411.3427776787</v>
      </c>
      <c r="L80">
        <f>IFERROR(VLOOKUP(G80,'LEAID Match'!$A$2:$B$168,2,FALSE),"")</f>
        <v>4659820</v>
      </c>
    </row>
    <row r="81" spans="1:12" x14ac:dyDescent="0.2">
      <c r="A81">
        <f t="shared" si="3"/>
        <v>4659820</v>
      </c>
      <c r="B81">
        <v>2022</v>
      </c>
      <c r="C81" t="s">
        <v>208</v>
      </c>
      <c r="D81" t="s">
        <v>212</v>
      </c>
      <c r="E81" t="s">
        <v>211</v>
      </c>
      <c r="F81" s="3">
        <v>902101</v>
      </c>
      <c r="G81" s="3" t="s">
        <v>120</v>
      </c>
      <c r="H81" s="4">
        <v>4888521</v>
      </c>
      <c r="I81" cm="1">
        <f t="array" ref="I81">_xlfn.IFS(B81=2015,H81/$O$10,B81=2016,H81/$O$11,B81=2017,H81/$O$12,B81=2018,H81/$O$13,B81=2019,H81/$O$14,B81=2020,H81/$O$15,B81=2021,H81/$O$16,B81=2022,H81/$O$17)</f>
        <v>8.4662251629020455E-2</v>
      </c>
      <c r="J81" s="6" cm="1">
        <f t="array" ref="J81">_xlfn.IFS(B81=2015,I81*$Q$1,B81=2016,I81*$Q$2,B81=2017,I81*$Q$3,B81=2018,I81*$Q$4,B81=2019,I81*$Q$5,B81=2020,I81*$Q$6,B81=2021,I81*$Q$7,B81=2022,I81*$Q$8)</f>
        <v>2493976.0367260966</v>
      </c>
      <c r="K81" s="7">
        <f t="shared" si="4"/>
        <v>7382497.0367260966</v>
      </c>
      <c r="L81">
        <f>IFERROR(VLOOKUP(G81,'LEAID Match'!$A$2:$B$168,2,FALSE),"")</f>
        <v>4659820</v>
      </c>
    </row>
    <row r="82" spans="1:12" x14ac:dyDescent="0.2">
      <c r="A82">
        <f t="shared" si="3"/>
        <v>4650670</v>
      </c>
      <c r="B82">
        <v>2015</v>
      </c>
      <c r="C82" t="s">
        <v>208</v>
      </c>
      <c r="D82" t="s">
        <v>212</v>
      </c>
      <c r="E82" t="s">
        <v>211</v>
      </c>
      <c r="F82" s="3">
        <v>902104</v>
      </c>
      <c r="G82" s="3" t="s">
        <v>104</v>
      </c>
      <c r="H82" s="4">
        <v>86495</v>
      </c>
      <c r="I82" cm="1">
        <f t="array" ref="I82">_xlfn.IFS(B82=2015,H82/$O$10,B82=2016,H82/$O$11,B82=2017,H82/$O$12,B82=2018,H82/$O$13,B82=2019,H82/$O$14,B82=2020,H82/$O$15,B82=2021,H82/$O$16,B82=2022,H82/$O$17)</f>
        <v>2.0231434322968071E-3</v>
      </c>
      <c r="J82" s="6" cm="1">
        <f t="array" ref="J82">_xlfn.IFS(B82=2015,I82*$Q$1,B82=2016,I82*$Q$2,B82=2017,I82*$Q$3,B82=2018,I82*$Q$4,B82=2019,I82*$Q$5,B82=2020,I82*$Q$6,B82=2021,I82*$Q$7,B82=2022,I82*$Q$8)</f>
        <v>49753.456874275085</v>
      </c>
      <c r="K82" s="7">
        <f t="shared" si="4"/>
        <v>136248.45687427509</v>
      </c>
      <c r="L82">
        <f>IFERROR(VLOOKUP(G82,'LEAID Match'!$A$2:$B$168,2,FALSE),"")</f>
        <v>4650670</v>
      </c>
    </row>
    <row r="83" spans="1:12" x14ac:dyDescent="0.2">
      <c r="A83">
        <f t="shared" si="3"/>
        <v>4650670</v>
      </c>
      <c r="B83">
        <v>2016</v>
      </c>
      <c r="C83" t="s">
        <v>208</v>
      </c>
      <c r="D83" t="s">
        <v>212</v>
      </c>
      <c r="E83" t="s">
        <v>211</v>
      </c>
      <c r="F83" s="3">
        <v>902104</v>
      </c>
      <c r="G83" s="3" t="s">
        <v>104</v>
      </c>
      <c r="H83" s="4">
        <v>91942</v>
      </c>
      <c r="I83" cm="1">
        <f t="array" ref="I83">_xlfn.IFS(B83=2015,H83/$O$10,B83=2016,H83/$O$11,B83=2017,H83/$O$12,B83=2018,H83/$O$13,B83=2019,H83/$O$14,B83=2020,H83/$O$15,B83=2021,H83/$O$16,B83=2022,H83/$O$17)</f>
        <v>2.0854340229322439E-3</v>
      </c>
      <c r="J83" s="6" cm="1">
        <f t="array" ref="J83">_xlfn.IFS(B83=2015,I83*$Q$1,B83=2016,I83*$Q$2,B83=2017,I83*$Q$3,B83=2018,I83*$Q$4,B83=2019,I83*$Q$5,B83=2020,I83*$Q$6,B83=2021,I83*$Q$7,B83=2022,I83*$Q$8)</f>
        <v>52982.13012698212</v>
      </c>
      <c r="K83" s="7">
        <f t="shared" si="4"/>
        <v>144924.13012698211</v>
      </c>
      <c r="L83">
        <f>IFERROR(VLOOKUP(G83,'LEAID Match'!$A$2:$B$168,2,FALSE),"")</f>
        <v>4650670</v>
      </c>
    </row>
    <row r="84" spans="1:12" x14ac:dyDescent="0.2">
      <c r="A84">
        <f t="shared" si="3"/>
        <v>4650670</v>
      </c>
      <c r="B84">
        <v>2017</v>
      </c>
      <c r="C84" t="s">
        <v>208</v>
      </c>
      <c r="D84" t="s">
        <v>212</v>
      </c>
      <c r="E84" t="s">
        <v>211</v>
      </c>
      <c r="F84" s="3">
        <v>902104</v>
      </c>
      <c r="G84" s="3" t="s">
        <v>104</v>
      </c>
      <c r="H84" s="4">
        <v>91357</v>
      </c>
      <c r="I84" cm="1">
        <f t="array" ref="I84">_xlfn.IFS(B84=2015,H84/$O$10,B84=2016,H84/$O$11,B84=2017,H84/$O$12,B84=2018,H84/$O$13,B84=2019,H84/$O$14,B84=2020,H84/$O$15,B84=2021,H84/$O$16,B84=2022,H84/$O$17)</f>
        <v>1.8862288344073312E-3</v>
      </c>
      <c r="J84" s="6" cm="1">
        <f t="array" ref="J84">_xlfn.IFS(B84=2015,I84*$Q$1,B84=2016,I84*$Q$2,B84=2017,I84*$Q$3,B84=2018,I84*$Q$4,B84=2019,I84*$Q$5,B84=2020,I84*$Q$6,B84=2021,I84*$Q$7,B84=2022,I84*$Q$8)</f>
        <v>49618.256735282419</v>
      </c>
      <c r="K84" s="7">
        <f t="shared" si="4"/>
        <v>140975.25673528243</v>
      </c>
      <c r="L84">
        <f>IFERROR(VLOOKUP(G84,'LEAID Match'!$A$2:$B$168,2,FALSE),"")</f>
        <v>4650670</v>
      </c>
    </row>
    <row r="85" spans="1:12" x14ac:dyDescent="0.2">
      <c r="A85">
        <f t="shared" si="3"/>
        <v>4650670</v>
      </c>
      <c r="B85">
        <v>2018</v>
      </c>
      <c r="C85" t="s">
        <v>208</v>
      </c>
      <c r="D85" t="s">
        <v>212</v>
      </c>
      <c r="E85" t="s">
        <v>211</v>
      </c>
      <c r="F85" s="3">
        <v>902104</v>
      </c>
      <c r="G85" s="3" t="s">
        <v>104</v>
      </c>
      <c r="H85" s="4">
        <v>77399</v>
      </c>
      <c r="I85" cm="1">
        <f t="array" ref="I85">_xlfn.IFS(B85=2015,H85/$O$10,B85=2016,H85/$O$11,B85=2017,H85/$O$12,B85=2018,H85/$O$13,B85=2019,H85/$O$14,B85=2020,H85/$O$15,B85=2021,H85/$O$16,B85=2022,H85/$O$17)</f>
        <v>1.543537636939383E-3</v>
      </c>
      <c r="J85" s="6" cm="1">
        <f t="array" ref="J85">_xlfn.IFS(B85=2015,I85*$Q$1,B85=2016,I85*$Q$2,B85=2017,I85*$Q$3,B85=2018,I85*$Q$4,B85=2019,I85*$Q$5,B85=2020,I85*$Q$6,B85=2021,I85*$Q$7,B85=2022,I85*$Q$8)</f>
        <v>40526.829379791787</v>
      </c>
      <c r="K85" s="7">
        <f t="shared" si="4"/>
        <v>117925.82937979179</v>
      </c>
      <c r="L85">
        <f>IFERROR(VLOOKUP(G85,'LEAID Match'!$A$2:$B$168,2,FALSE),"")</f>
        <v>4650670</v>
      </c>
    </row>
    <row r="86" spans="1:12" x14ac:dyDescent="0.2">
      <c r="A86">
        <f t="shared" si="3"/>
        <v>4650670</v>
      </c>
      <c r="B86">
        <v>2019</v>
      </c>
      <c r="C86" t="s">
        <v>208</v>
      </c>
      <c r="D86" t="s">
        <v>212</v>
      </c>
      <c r="E86" t="s">
        <v>211</v>
      </c>
      <c r="F86" s="3">
        <v>902104</v>
      </c>
      <c r="G86" s="3" t="s">
        <v>104</v>
      </c>
      <c r="H86" s="4">
        <v>69708</v>
      </c>
      <c r="I86" cm="1">
        <f t="array" ref="I86">_xlfn.IFS(B86=2015,H86/$O$10,B86=2016,H86/$O$11,B86=2017,H86/$O$12,B86=2018,H86/$O$13,B86=2019,H86/$O$14,B86=2020,H86/$O$15,B86=2021,H86/$O$16,B86=2022,H86/$O$17)</f>
        <v>1.3651985416182561E-3</v>
      </c>
      <c r="J86" s="6" cm="1">
        <f t="array" ref="J86">_xlfn.IFS(B86=2015,I86*$Q$1,B86=2016,I86*$Q$2,B86=2017,I86*$Q$3,B86=2018,I86*$Q$4,B86=2019,I86*$Q$5,B86=2020,I86*$Q$6,B86=2021,I86*$Q$7,B86=2022,I86*$Q$8)</f>
        <v>36106.026995514454</v>
      </c>
      <c r="K86" s="7">
        <f t="shared" si="4"/>
        <v>105814.02699551446</v>
      </c>
      <c r="L86">
        <f>IFERROR(VLOOKUP(G86,'LEAID Match'!$A$2:$B$168,2,FALSE),"")</f>
        <v>4650670</v>
      </c>
    </row>
    <row r="87" spans="1:12" x14ac:dyDescent="0.2">
      <c r="A87">
        <f t="shared" si="3"/>
        <v>4650670</v>
      </c>
      <c r="B87">
        <v>2020</v>
      </c>
      <c r="C87" t="s">
        <v>208</v>
      </c>
      <c r="D87" t="s">
        <v>212</v>
      </c>
      <c r="E87" t="s">
        <v>211</v>
      </c>
      <c r="F87" s="1">
        <v>902104</v>
      </c>
      <c r="G87" s="3" t="s">
        <v>104</v>
      </c>
      <c r="H87" s="2">
        <v>74299</v>
      </c>
      <c r="I87" cm="1">
        <f t="array" ref="I87">_xlfn.IFS(B87=2015,H87/$O$10,B87=2016,H87/$O$11,B87=2017,H87/$O$12,B87=2018,H87/$O$13,B87=2019,H87/$O$14,B87=2020,H87/$O$15,B87=2021,H87/$O$16,B87=2022,H87/$O$17)</f>
        <v>1.4072067074700234E-3</v>
      </c>
      <c r="J87" s="6" cm="1">
        <f t="array" ref="J87">_xlfn.IFS(B87=2015,I87*$Q$1,B87=2016,I87*$Q$2,B87=2017,I87*$Q$3,B87=2018,I87*$Q$4,B87=2019,I87*$Q$5,B87=2020,I87*$Q$6,B87=2021,I87*$Q$7,B87=2022,I87*$Q$8)</f>
        <v>38262.275440859361</v>
      </c>
      <c r="K87" s="7">
        <f t="shared" si="4"/>
        <v>112561.27544085936</v>
      </c>
      <c r="L87">
        <f>IFERROR(VLOOKUP(G87,'LEAID Match'!$A$2:$B$168,2,FALSE),"")</f>
        <v>4650670</v>
      </c>
    </row>
    <row r="88" spans="1:12" x14ac:dyDescent="0.2">
      <c r="A88">
        <f t="shared" si="3"/>
        <v>4650670</v>
      </c>
      <c r="B88">
        <v>2021</v>
      </c>
      <c r="C88" t="s">
        <v>208</v>
      </c>
      <c r="D88" t="s">
        <v>212</v>
      </c>
      <c r="E88" t="s">
        <v>211</v>
      </c>
      <c r="F88" s="3">
        <v>902104</v>
      </c>
      <c r="G88" s="3" t="s">
        <v>104</v>
      </c>
      <c r="H88" s="4">
        <v>80631</v>
      </c>
      <c r="I88" cm="1">
        <f t="array" ref="I88">_xlfn.IFS(B88=2015,H88/$O$10,B88=2016,H88/$O$11,B88=2017,H88/$O$12,B88=2018,H88/$O$13,B88=2019,H88/$O$14,B88=2020,H88/$O$15,B88=2021,H88/$O$16,B88=2022,H88/$O$17)</f>
        <v>1.4563223056502112E-3</v>
      </c>
      <c r="J88" s="6" cm="1">
        <f t="array" ref="J88">_xlfn.IFS(B88=2015,I88*$Q$1,B88=2016,I88*$Q$2,B88=2017,I88*$Q$3,B88=2018,I88*$Q$4,B88=2019,I88*$Q$5,B88=2020,I88*$Q$6,B88=2021,I88*$Q$7,B88=2022,I88*$Q$8)</f>
        <v>40541.585300018363</v>
      </c>
      <c r="K88" s="7">
        <f t="shared" si="4"/>
        <v>121172.58530001837</v>
      </c>
      <c r="L88">
        <f>IFERROR(VLOOKUP(G88,'LEAID Match'!$A$2:$B$168,2,FALSE),"")</f>
        <v>4650670</v>
      </c>
    </row>
    <row r="89" spans="1:12" x14ac:dyDescent="0.2">
      <c r="A89">
        <f t="shared" si="3"/>
        <v>4650670</v>
      </c>
      <c r="B89">
        <v>2022</v>
      </c>
      <c r="C89" t="s">
        <v>208</v>
      </c>
      <c r="D89" t="s">
        <v>212</v>
      </c>
      <c r="E89" t="s">
        <v>211</v>
      </c>
      <c r="F89" s="3">
        <v>902104</v>
      </c>
      <c r="G89" s="3" t="s">
        <v>104</v>
      </c>
      <c r="H89" s="4">
        <v>81517</v>
      </c>
      <c r="I89" cm="1">
        <f t="array" ref="I89">_xlfn.IFS(B89=2015,H89/$O$10,B89=2016,H89/$O$11,B89=2017,H89/$O$12,B89=2018,H89/$O$13,B89=2019,H89/$O$14,B89=2020,H89/$O$15,B89=2021,H89/$O$16,B89=2022,H89/$O$17)</f>
        <v>1.411758846089208E-3</v>
      </c>
      <c r="J89" s="6" cm="1">
        <f t="array" ref="J89">_xlfn.IFS(B89=2015,I89*$Q$1,B89=2016,I89*$Q$2,B89=2017,I89*$Q$3,B89=2018,I89*$Q$4,B89=2019,I89*$Q$5,B89=2020,I89*$Q$6,B89=2021,I89*$Q$7,B89=2022,I89*$Q$8)</f>
        <v>41587.515853118202</v>
      </c>
      <c r="K89" s="7">
        <f t="shared" si="4"/>
        <v>123104.51585311821</v>
      </c>
      <c r="L89">
        <f>IFERROR(VLOOKUP(G89,'LEAID Match'!$A$2:$B$168,2,FALSE),"")</f>
        <v>4650670</v>
      </c>
    </row>
    <row r="90" spans="1:12" x14ac:dyDescent="0.2">
      <c r="A90">
        <f t="shared" si="3"/>
        <v>4633360</v>
      </c>
      <c r="B90">
        <v>2015</v>
      </c>
      <c r="C90" t="s">
        <v>208</v>
      </c>
      <c r="D90" t="s">
        <v>212</v>
      </c>
      <c r="E90" t="s">
        <v>211</v>
      </c>
      <c r="F90" s="3">
        <v>902106</v>
      </c>
      <c r="G90" s="3" t="s">
        <v>70</v>
      </c>
      <c r="H90" s="4">
        <v>182699</v>
      </c>
      <c r="I90" cm="1">
        <f t="array" ref="I90">_xlfn.IFS(B90=2015,H90/$O$10,B90=2016,H90/$O$11,B90=2017,H90/$O$12,B90=2018,H90/$O$13,B90=2019,H90/$O$14,B90=2020,H90/$O$15,B90=2021,H90/$O$16,B90=2022,H90/$O$17)</f>
        <v>4.2733832237377232E-3</v>
      </c>
      <c r="J90" s="6" cm="1">
        <f t="array" ref="J90">_xlfn.IFS(B90=2015,I90*$Q$1,B90=2016,I90*$Q$2,B90=2017,I90*$Q$3,B90=2018,I90*$Q$4,B90=2019,I90*$Q$5,B90=2020,I90*$Q$6,B90=2021,I90*$Q$7,B90=2022,I90*$Q$8)</f>
        <v>105091.70261255777</v>
      </c>
      <c r="K90" s="7">
        <f t="shared" si="4"/>
        <v>287790.7026125578</v>
      </c>
      <c r="L90">
        <f>IFERROR(VLOOKUP(G90,'LEAID Match'!$A$2:$B$168,2,FALSE),"")</f>
        <v>4633360</v>
      </c>
    </row>
    <row r="91" spans="1:12" x14ac:dyDescent="0.2">
      <c r="A91">
        <f t="shared" si="3"/>
        <v>4633360</v>
      </c>
      <c r="B91">
        <v>2016</v>
      </c>
      <c r="C91" t="s">
        <v>208</v>
      </c>
      <c r="D91" t="s">
        <v>212</v>
      </c>
      <c r="E91" t="s">
        <v>211</v>
      </c>
      <c r="F91" s="3">
        <v>902106</v>
      </c>
      <c r="G91" s="3" t="s">
        <v>70</v>
      </c>
      <c r="H91" s="4">
        <v>187348</v>
      </c>
      <c r="I91" cm="1">
        <f t="array" ref="I91">_xlfn.IFS(B91=2015,H91/$O$10,B91=2016,H91/$O$11,B91=2017,H91/$O$12,B91=2018,H91/$O$13,B91=2019,H91/$O$14,B91=2020,H91/$O$15,B91=2021,H91/$O$16,B91=2022,H91/$O$17)</f>
        <v>4.2494387040559268E-3</v>
      </c>
      <c r="J91" s="6" cm="1">
        <f t="array" ref="J91">_xlfn.IFS(B91=2015,I91*$Q$1,B91=2016,I91*$Q$2,B91=2017,I91*$Q$3,B91=2018,I91*$Q$4,B91=2019,I91*$Q$5,B91=2020,I91*$Q$6,B91=2021,I91*$Q$7,B91=2022,I91*$Q$8)</f>
        <v>107960.41107469758</v>
      </c>
      <c r="K91" s="7">
        <f t="shared" si="4"/>
        <v>295308.41107469756</v>
      </c>
      <c r="L91">
        <f>IFERROR(VLOOKUP(G91,'LEAID Match'!$A$2:$B$168,2,FALSE),"")</f>
        <v>4633360</v>
      </c>
    </row>
    <row r="92" spans="1:12" x14ac:dyDescent="0.2">
      <c r="A92">
        <f t="shared" si="3"/>
        <v>4633360</v>
      </c>
      <c r="B92">
        <v>2017</v>
      </c>
      <c r="C92" t="s">
        <v>208</v>
      </c>
      <c r="D92" t="s">
        <v>212</v>
      </c>
      <c r="E92" t="s">
        <v>211</v>
      </c>
      <c r="F92" s="3">
        <v>902106</v>
      </c>
      <c r="G92" s="3" t="s">
        <v>70</v>
      </c>
      <c r="H92" s="4">
        <v>197288</v>
      </c>
      <c r="I92" cm="1">
        <f t="array" ref="I92">_xlfn.IFS(B92=2015,H92/$O$10,B92=2016,H92/$O$11,B92=2017,H92/$O$12,B92=2018,H92/$O$13,B92=2019,H92/$O$14,B92=2020,H92/$O$15,B92=2021,H92/$O$16,B92=2022,H92/$O$17)</f>
        <v>4.0733639927159771E-3</v>
      </c>
      <c r="J92" s="6" cm="1">
        <f t="array" ref="J92">_xlfn.IFS(B92=2015,I92*$Q$1,B92=2016,I92*$Q$2,B92=2017,I92*$Q$3,B92=2018,I92*$Q$4,B92=2019,I92*$Q$5,B92=2020,I92*$Q$6,B92=2021,I92*$Q$7,B92=2022,I92*$Q$8)</f>
        <v>107152.01500476588</v>
      </c>
      <c r="K92" s="7">
        <f t="shared" si="4"/>
        <v>304440.01500476588</v>
      </c>
      <c r="L92">
        <f>IFERROR(VLOOKUP(G92,'LEAID Match'!$A$2:$B$168,2,FALSE),"")</f>
        <v>4633360</v>
      </c>
    </row>
    <row r="93" spans="1:12" x14ac:dyDescent="0.2">
      <c r="A93">
        <f t="shared" si="3"/>
        <v>4633360</v>
      </c>
      <c r="B93">
        <v>2018</v>
      </c>
      <c r="C93" t="s">
        <v>208</v>
      </c>
      <c r="D93" t="s">
        <v>212</v>
      </c>
      <c r="E93" t="s">
        <v>211</v>
      </c>
      <c r="F93" s="3">
        <v>902106</v>
      </c>
      <c r="G93" s="3" t="s">
        <v>70</v>
      </c>
      <c r="H93" s="4">
        <v>194982</v>
      </c>
      <c r="I93" cm="1">
        <f t="array" ref="I93">_xlfn.IFS(B93=2015,H93/$O$10,B93=2016,H93/$O$11,B93=2017,H93/$O$12,B93=2018,H93/$O$13,B93=2019,H93/$O$14,B93=2020,H93/$O$15,B93=2021,H93/$O$16,B93=2022,H93/$O$17)</f>
        <v>3.8884488885607667E-3</v>
      </c>
      <c r="J93" s="6" cm="1">
        <f t="array" ref="J93">_xlfn.IFS(B93=2015,I93*$Q$1,B93=2016,I93*$Q$2,B93=2017,I93*$Q$3,B93=2018,I93*$Q$4,B93=2019,I93*$Q$5,B93=2020,I93*$Q$6,B93=2021,I93*$Q$7,B93=2022,I93*$Q$8)</f>
        <v>102094.37132431378</v>
      </c>
      <c r="K93" s="7">
        <f t="shared" si="4"/>
        <v>297076.3713243138</v>
      </c>
      <c r="L93">
        <f>IFERROR(VLOOKUP(G93,'LEAID Match'!$A$2:$B$168,2,FALSE),"")</f>
        <v>4633360</v>
      </c>
    </row>
    <row r="94" spans="1:12" x14ac:dyDescent="0.2">
      <c r="A94">
        <f t="shared" si="3"/>
        <v>4633360</v>
      </c>
      <c r="B94">
        <v>2019</v>
      </c>
      <c r="C94" t="s">
        <v>208</v>
      </c>
      <c r="D94" t="s">
        <v>212</v>
      </c>
      <c r="E94" t="s">
        <v>211</v>
      </c>
      <c r="F94" s="3">
        <v>902106</v>
      </c>
      <c r="G94" s="3" t="s">
        <v>70</v>
      </c>
      <c r="H94" s="4">
        <v>176996</v>
      </c>
      <c r="I94" cm="1">
        <f t="array" ref="I94">_xlfn.IFS(B94=2015,H94/$O$10,B94=2016,H94/$O$11,B94=2017,H94/$O$12,B94=2018,H94/$O$13,B94=2019,H94/$O$14,B94=2020,H94/$O$15,B94=2021,H94/$O$16,B94=2022,H94/$O$17)</f>
        <v>3.4663837876895746E-3</v>
      </c>
      <c r="J94" s="6" cm="1">
        <f t="array" ref="J94">_xlfn.IFS(B94=2015,I94*$Q$1,B94=2016,I94*$Q$2,B94=2017,I94*$Q$3,B94=2018,I94*$Q$4,B94=2019,I94*$Q$5,B94=2020,I94*$Q$6,B94=2021,I94*$Q$7,B94=2022,I94*$Q$8)</f>
        <v>91677.029237649578</v>
      </c>
      <c r="K94" s="7">
        <f t="shared" si="4"/>
        <v>268673.02923764958</v>
      </c>
      <c r="L94">
        <f>IFERROR(VLOOKUP(G94,'LEAID Match'!$A$2:$B$168,2,FALSE),"")</f>
        <v>4633360</v>
      </c>
    </row>
    <row r="95" spans="1:12" x14ac:dyDescent="0.2">
      <c r="A95">
        <f t="shared" si="3"/>
        <v>4633360</v>
      </c>
      <c r="B95">
        <v>2020</v>
      </c>
      <c r="C95" t="s">
        <v>208</v>
      </c>
      <c r="D95" t="s">
        <v>212</v>
      </c>
      <c r="E95" t="s">
        <v>211</v>
      </c>
      <c r="F95" s="1">
        <v>902106</v>
      </c>
      <c r="G95" s="3" t="s">
        <v>70</v>
      </c>
      <c r="H95" s="2">
        <v>174668</v>
      </c>
      <c r="I95" cm="1">
        <f t="array" ref="I95">_xlfn.IFS(B95=2015,H95/$O$10,B95=2016,H95/$O$11,B95=2017,H95/$O$12,B95=2018,H95/$O$13,B95=2019,H95/$O$14,B95=2020,H95/$O$15,B95=2021,H95/$O$16,B95=2022,H95/$O$17)</f>
        <v>3.3081734771716179E-3</v>
      </c>
      <c r="J95" s="6" cm="1">
        <f t="array" ref="J95">_xlfn.IFS(B95=2015,I95*$Q$1,B95=2016,I95*$Q$2,B95=2017,I95*$Q$3,B95=2018,I95*$Q$4,B95=2019,I95*$Q$5,B95=2020,I95*$Q$6,B95=2021,I95*$Q$7,B95=2022,I95*$Q$8)</f>
        <v>89950.001032369517</v>
      </c>
      <c r="K95" s="7">
        <f t="shared" si="4"/>
        <v>264618.0010323695</v>
      </c>
      <c r="L95">
        <f>IFERROR(VLOOKUP(G95,'LEAID Match'!$A$2:$B$168,2,FALSE),"")</f>
        <v>4633360</v>
      </c>
    </row>
    <row r="96" spans="1:12" x14ac:dyDescent="0.2">
      <c r="A96">
        <f t="shared" si="3"/>
        <v>4633360</v>
      </c>
      <c r="B96">
        <v>2021</v>
      </c>
      <c r="C96" t="s">
        <v>208</v>
      </c>
      <c r="D96" t="s">
        <v>212</v>
      </c>
      <c r="E96" t="s">
        <v>211</v>
      </c>
      <c r="F96" s="3">
        <v>902106</v>
      </c>
      <c r="G96" s="3" t="s">
        <v>70</v>
      </c>
      <c r="H96" s="4">
        <v>175770</v>
      </c>
      <c r="I96" cm="1">
        <f t="array" ref="I96">_xlfn.IFS(B96=2015,H96/$O$10,B96=2016,H96/$O$11,B96=2017,H96/$O$12,B96=2018,H96/$O$13,B96=2019,H96/$O$14,B96=2020,H96/$O$15,B96=2021,H96/$O$16,B96=2022,H96/$O$17)</f>
        <v>3.1746818427668966E-3</v>
      </c>
      <c r="J96" s="6" cm="1">
        <f t="array" ref="J96">_xlfn.IFS(B96=2015,I96*$Q$1,B96=2016,I96*$Q$2,B96=2017,I96*$Q$3,B96=2018,I96*$Q$4,B96=2019,I96*$Q$5,B96=2020,I96*$Q$6,B96=2021,I96*$Q$7,B96=2022,I96*$Q$8)</f>
        <v>88377.850307998509</v>
      </c>
      <c r="K96" s="7">
        <f t="shared" si="4"/>
        <v>264147.85030799848</v>
      </c>
      <c r="L96">
        <f>IFERROR(VLOOKUP(G96,'LEAID Match'!$A$2:$B$168,2,FALSE),"")</f>
        <v>4633360</v>
      </c>
    </row>
    <row r="97" spans="1:12" x14ac:dyDescent="0.2">
      <c r="A97">
        <f t="shared" si="3"/>
        <v>4633360</v>
      </c>
      <c r="B97">
        <v>2022</v>
      </c>
      <c r="C97" t="s">
        <v>208</v>
      </c>
      <c r="D97" t="s">
        <v>212</v>
      </c>
      <c r="E97" t="s">
        <v>211</v>
      </c>
      <c r="F97" s="3">
        <v>902106</v>
      </c>
      <c r="G97" s="3" t="s">
        <v>70</v>
      </c>
      <c r="H97" s="4">
        <v>178937</v>
      </c>
      <c r="I97" cm="1">
        <f t="array" ref="I97">_xlfn.IFS(B97=2015,H97/$O$10,B97=2016,H97/$O$11,B97=2017,H97/$O$12,B97=2018,H97/$O$13,B97=2019,H97/$O$14,B97=2020,H97/$O$15,B97=2021,H97/$O$16,B97=2022,H97/$O$17)</f>
        <v>3.0989351011772343E-3</v>
      </c>
      <c r="J97" s="6" cm="1">
        <f t="array" ref="J97">_xlfn.IFS(B97=2015,I97*$Q$1,B97=2016,I97*$Q$2,B97=2017,I97*$Q$3,B97=2018,I97*$Q$4,B97=2019,I97*$Q$5,B97=2020,I97*$Q$6,B97=2021,I97*$Q$7,B97=2022,I97*$Q$8)</f>
        <v>91288.262867983503</v>
      </c>
      <c r="K97" s="7">
        <f t="shared" si="4"/>
        <v>270225.26286798349</v>
      </c>
      <c r="L97">
        <f>IFERROR(VLOOKUP(G97,'LEAID Match'!$A$2:$B$168,2,FALSE),"")</f>
        <v>4633360</v>
      </c>
    </row>
    <row r="98" spans="1:12" x14ac:dyDescent="0.2">
      <c r="A98">
        <f t="shared" si="3"/>
        <v>4675660</v>
      </c>
      <c r="B98">
        <v>2015</v>
      </c>
      <c r="C98" t="s">
        <v>208</v>
      </c>
      <c r="D98" t="s">
        <v>212</v>
      </c>
      <c r="E98" t="s">
        <v>211</v>
      </c>
      <c r="F98" s="3">
        <v>902107</v>
      </c>
      <c r="G98" s="3" t="s">
        <v>147</v>
      </c>
      <c r="H98" s="4">
        <v>88842</v>
      </c>
      <c r="I98" cm="1">
        <f t="array" ref="I98">_xlfn.IFS(B98=2015,H98/$O$10,B98=2016,H98/$O$11,B98=2017,H98/$O$12,B98=2018,H98/$O$13,B98=2019,H98/$O$14,B98=2020,H98/$O$15,B98=2021,H98/$O$16,B98=2022,H98/$O$17)</f>
        <v>2.0780404510331576E-3</v>
      </c>
      <c r="J98" s="6" cm="1">
        <f t="array" ref="J98">_xlfn.IFS(B98=2015,I98*$Q$1,B98=2016,I98*$Q$2,B98=2017,I98*$Q$3,B98=2018,I98*$Q$4,B98=2019,I98*$Q$5,B98=2020,I98*$Q$6,B98=2021,I98*$Q$7,B98=2022,I98*$Q$8)</f>
        <v>51103.492868077323</v>
      </c>
      <c r="K98" s="7">
        <f t="shared" si="4"/>
        <v>139945.49286807733</v>
      </c>
      <c r="L98">
        <f>IFERROR(VLOOKUP(G98,'LEAID Match'!$A$2:$B$168,2,FALSE),"")</f>
        <v>4675660</v>
      </c>
    </row>
    <row r="99" spans="1:12" x14ac:dyDescent="0.2">
      <c r="A99">
        <f t="shared" si="3"/>
        <v>4675660</v>
      </c>
      <c r="B99">
        <v>2016</v>
      </c>
      <c r="C99" t="s">
        <v>208</v>
      </c>
      <c r="D99" t="s">
        <v>212</v>
      </c>
      <c r="E99" t="s">
        <v>211</v>
      </c>
      <c r="F99" s="3">
        <v>902107</v>
      </c>
      <c r="G99" s="3" t="s">
        <v>147</v>
      </c>
      <c r="H99" s="4">
        <v>91856</v>
      </c>
      <c r="I99" cm="1">
        <f t="array" ref="I99">_xlfn.IFS(B99=2015,H99/$O$10,B99=2016,H99/$O$11,B99=2017,H99/$O$12,B99=2018,H99/$O$13,B99=2019,H99/$O$14,B99=2020,H99/$O$15,B99=2021,H99/$O$16,B99=2022,H99/$O$17)</f>
        <v>2.0834833657138651E-3</v>
      </c>
      <c r="J99" s="6" cm="1">
        <f t="array" ref="J99">_xlfn.IFS(B99=2015,I99*$Q$1,B99=2016,I99*$Q$2,B99=2017,I99*$Q$3,B99=2018,I99*$Q$4,B99=2019,I99*$Q$5,B99=2020,I99*$Q$6,B99=2021,I99*$Q$7,B99=2022,I99*$Q$8)</f>
        <v>52932.572110070141</v>
      </c>
      <c r="K99" s="7">
        <f t="shared" si="4"/>
        <v>144788.57211007015</v>
      </c>
      <c r="L99">
        <f>IFERROR(VLOOKUP(G99,'LEAID Match'!$A$2:$B$168,2,FALSE),"")</f>
        <v>4675660</v>
      </c>
    </row>
    <row r="100" spans="1:12" x14ac:dyDescent="0.2">
      <c r="A100">
        <f t="shared" si="3"/>
        <v>4675660</v>
      </c>
      <c r="B100">
        <v>2017</v>
      </c>
      <c r="C100" t="s">
        <v>208</v>
      </c>
      <c r="D100" t="s">
        <v>212</v>
      </c>
      <c r="E100" t="s">
        <v>211</v>
      </c>
      <c r="F100" s="3">
        <v>902107</v>
      </c>
      <c r="G100" s="3" t="s">
        <v>147</v>
      </c>
      <c r="H100" s="4">
        <v>102177</v>
      </c>
      <c r="I100" cm="1">
        <f t="array" ref="I100">_xlfn.IFS(B100=2015,H100/$O$10,B100=2016,H100/$O$11,B100=2017,H100/$O$12,B100=2018,H100/$O$13,B100=2019,H100/$O$14,B100=2020,H100/$O$15,B100=2021,H100/$O$16,B100=2022,H100/$O$17)</f>
        <v>2.1096271069894795E-3</v>
      </c>
      <c r="J100" s="6" cm="1">
        <f t="array" ref="J100">_xlfn.IFS(B100=2015,I100*$Q$1,B100=2016,I100*$Q$2,B100=2017,I100*$Q$3,B100=2018,I100*$Q$4,B100=2019,I100*$Q$5,B100=2020,I100*$Q$6,B100=2021,I100*$Q$7,B100=2022,I100*$Q$8)</f>
        <v>55494.867590233393</v>
      </c>
      <c r="K100" s="7">
        <f t="shared" si="4"/>
        <v>157671.86759023339</v>
      </c>
      <c r="L100">
        <f>IFERROR(VLOOKUP(G100,'LEAID Match'!$A$2:$B$168,2,FALSE),"")</f>
        <v>4675660</v>
      </c>
    </row>
    <row r="101" spans="1:12" x14ac:dyDescent="0.2">
      <c r="A101">
        <f t="shared" si="3"/>
        <v>4675660</v>
      </c>
      <c r="B101">
        <v>2018</v>
      </c>
      <c r="C101" t="s">
        <v>208</v>
      </c>
      <c r="D101" t="s">
        <v>212</v>
      </c>
      <c r="E101" t="s">
        <v>211</v>
      </c>
      <c r="F101" s="3">
        <v>902107</v>
      </c>
      <c r="G101" s="3" t="s">
        <v>147</v>
      </c>
      <c r="H101" s="4">
        <v>106201</v>
      </c>
      <c r="I101" cm="1">
        <f t="array" ref="I101">_xlfn.IFS(B101=2015,H101/$O$10,B101=2016,H101/$O$11,B101=2017,H101/$O$12,B101=2018,H101/$O$13,B101=2019,H101/$O$14,B101=2020,H101/$O$15,B101=2021,H101/$O$16,B101=2022,H101/$O$17)</f>
        <v>2.1179245284900245E-3</v>
      </c>
      <c r="J101" s="6" cm="1">
        <f t="array" ref="J101">_xlfn.IFS(B101=2015,I101*$Q$1,B101=2016,I101*$Q$2,B101=2017,I101*$Q$3,B101=2018,I101*$Q$4,B101=2019,I101*$Q$5,B101=2020,I101*$Q$6,B101=2021,I101*$Q$7,B101=2022,I101*$Q$8)</f>
        <v>55607.821896449139</v>
      </c>
      <c r="K101" s="7">
        <f t="shared" si="4"/>
        <v>161808.82189644914</v>
      </c>
      <c r="L101">
        <f>IFERROR(VLOOKUP(G101,'LEAID Match'!$A$2:$B$168,2,FALSE),"")</f>
        <v>4675660</v>
      </c>
    </row>
    <row r="102" spans="1:12" x14ac:dyDescent="0.2">
      <c r="A102">
        <f t="shared" si="3"/>
        <v>4675660</v>
      </c>
      <c r="B102">
        <v>2019</v>
      </c>
      <c r="C102" t="s">
        <v>208</v>
      </c>
      <c r="D102" t="s">
        <v>212</v>
      </c>
      <c r="E102" t="s">
        <v>211</v>
      </c>
      <c r="F102" s="3">
        <v>902107</v>
      </c>
      <c r="G102" s="3" t="s">
        <v>147</v>
      </c>
      <c r="H102" s="4">
        <v>104965</v>
      </c>
      <c r="I102" cm="1">
        <f t="array" ref="I102">_xlfn.IFS(B102=2015,H102/$O$10,B102=2016,H102/$O$11,B102=2017,H102/$O$12,B102=2018,H102/$O$13,B102=2019,H102/$O$14,B102=2020,H102/$O$15,B102=2021,H102/$O$16,B102=2022,H102/$O$17)</f>
        <v>2.0556903787364469E-3</v>
      </c>
      <c r="J102" s="6" cm="1">
        <f t="array" ref="J102">_xlfn.IFS(B102=2015,I102*$Q$1,B102=2016,I102*$Q$2,B102=2017,I102*$Q$3,B102=2018,I102*$Q$4,B102=2019,I102*$Q$5,B102=2020,I102*$Q$6,B102=2021,I102*$Q$7,B102=2022,I102*$Q$8)</f>
        <v>54367.77878556514</v>
      </c>
      <c r="K102" s="7">
        <f t="shared" si="4"/>
        <v>159332.77878556514</v>
      </c>
      <c r="L102">
        <f>IFERROR(VLOOKUP(G102,'LEAID Match'!$A$2:$B$168,2,FALSE),"")</f>
        <v>4675660</v>
      </c>
    </row>
    <row r="103" spans="1:12" x14ac:dyDescent="0.2">
      <c r="A103">
        <f t="shared" si="3"/>
        <v>4675660</v>
      </c>
      <c r="B103">
        <v>2020</v>
      </c>
      <c r="C103" t="s">
        <v>208</v>
      </c>
      <c r="D103" t="s">
        <v>212</v>
      </c>
      <c r="E103" t="s">
        <v>211</v>
      </c>
      <c r="F103" s="1">
        <v>902107</v>
      </c>
      <c r="G103" s="3" t="s">
        <v>147</v>
      </c>
      <c r="H103" s="2">
        <v>107675</v>
      </c>
      <c r="I103" cm="1">
        <f t="array" ref="I103">_xlfn.IFS(B103=2015,H103/$O$10,B103=2016,H103/$O$11,B103=2017,H103/$O$12,B103=2018,H103/$O$13,B103=2019,H103/$O$14,B103=2020,H103/$O$15,B103=2021,H103/$O$16,B103=2022,H103/$O$17)</f>
        <v>2.0393408017178533E-3</v>
      </c>
      <c r="J103" s="6" cm="1">
        <f t="array" ref="J103">_xlfn.IFS(B103=2015,I103*$Q$1,B103=2016,I103*$Q$2,B103=2017,I103*$Q$3,B103=2018,I103*$Q$4,B103=2019,I103*$Q$5,B103=2020,I103*$Q$6,B103=2021,I103*$Q$7,B103=2022,I103*$Q$8)</f>
        <v>55450.147486433627</v>
      </c>
      <c r="K103" s="7">
        <f t="shared" si="4"/>
        <v>163125.14748643362</v>
      </c>
      <c r="L103">
        <f>IFERROR(VLOOKUP(G103,'LEAID Match'!$A$2:$B$168,2,FALSE),"")</f>
        <v>4675660</v>
      </c>
    </row>
    <row r="104" spans="1:12" x14ac:dyDescent="0.2">
      <c r="A104">
        <f t="shared" si="3"/>
        <v>4675660</v>
      </c>
      <c r="B104">
        <v>2021</v>
      </c>
      <c r="C104" t="s">
        <v>208</v>
      </c>
      <c r="D104" t="s">
        <v>212</v>
      </c>
      <c r="E104" t="s">
        <v>211</v>
      </c>
      <c r="F104" s="3">
        <v>902107</v>
      </c>
      <c r="G104" s="3" t="s">
        <v>147</v>
      </c>
      <c r="H104" s="4">
        <v>110113</v>
      </c>
      <c r="I104" cm="1">
        <f t="array" ref="I104">_xlfn.IFS(B104=2015,H104/$O$10,B104=2016,H104/$O$11,B104=2017,H104/$O$12,B104=2018,H104/$O$13,B104=2019,H104/$O$14,B104=2020,H104/$O$15,B104=2021,H104/$O$16,B104=2022,H104/$O$17)</f>
        <v>1.9888134593650298E-3</v>
      </c>
      <c r="J104" s="6" cm="1">
        <f t="array" ref="J104">_xlfn.IFS(B104=2015,I104*$Q$1,B104=2016,I104*$Q$2,B104=2017,I104*$Q$3,B104=2018,I104*$Q$4,B104=2019,I104*$Q$5,B104=2020,I104*$Q$6,B104=2021,I104*$Q$7,B104=2022,I104*$Q$8)</f>
        <v>55365.251356685665</v>
      </c>
      <c r="K104" s="7">
        <f t="shared" si="4"/>
        <v>165478.25135668565</v>
      </c>
      <c r="L104">
        <f>IFERROR(VLOOKUP(G104,'LEAID Match'!$A$2:$B$168,2,FALSE),"")</f>
        <v>4675660</v>
      </c>
    </row>
    <row r="105" spans="1:12" x14ac:dyDescent="0.2">
      <c r="A105">
        <f t="shared" si="3"/>
        <v>4675660</v>
      </c>
      <c r="B105">
        <v>2022</v>
      </c>
      <c r="C105" t="s">
        <v>208</v>
      </c>
      <c r="D105" t="s">
        <v>212</v>
      </c>
      <c r="E105" t="s">
        <v>211</v>
      </c>
      <c r="F105" s="3">
        <v>902107</v>
      </c>
      <c r="G105" s="3" t="s">
        <v>147</v>
      </c>
      <c r="H105" s="4">
        <v>119638</v>
      </c>
      <c r="I105" cm="1">
        <f t="array" ref="I105">_xlfn.IFS(B105=2015,H105/$O$10,B105=2016,H105/$O$11,B105=2017,H105/$O$12,B105=2018,H105/$O$13,B105=2019,H105/$O$14,B105=2020,H105/$O$15,B105=2021,H105/$O$16,B105=2022,H105/$O$17)</f>
        <v>2.0719605091995613E-3</v>
      </c>
      <c r="J105" s="6" cm="1">
        <f t="array" ref="J105">_xlfn.IFS(B105=2015,I105*$Q$1,B105=2016,I105*$Q$2,B105=2017,I105*$Q$3,B105=2018,I105*$Q$4,B105=2019,I105*$Q$5,B105=2020,I105*$Q$6,B105=2021,I105*$Q$7,B105=2022,I105*$Q$8)</f>
        <v>61035.700794133183</v>
      </c>
      <c r="K105" s="7">
        <f t="shared" si="4"/>
        <v>180673.70079413318</v>
      </c>
      <c r="L105">
        <f>IFERROR(VLOOKUP(G105,'LEAID Match'!$A$2:$B$168,2,FALSE),"")</f>
        <v>4675660</v>
      </c>
    </row>
    <row r="106" spans="1:12" x14ac:dyDescent="0.2">
      <c r="A106">
        <f t="shared" si="3"/>
        <v>4619410</v>
      </c>
      <c r="B106">
        <v>2015</v>
      </c>
      <c r="C106" t="s">
        <v>208</v>
      </c>
      <c r="D106" t="s">
        <v>212</v>
      </c>
      <c r="E106" t="s">
        <v>211</v>
      </c>
      <c r="F106" s="3">
        <v>902108</v>
      </c>
      <c r="G106" s="3" t="s">
        <v>39</v>
      </c>
      <c r="H106" s="4">
        <v>937042</v>
      </c>
      <c r="I106" cm="1">
        <f t="array" ref="I106">_xlfn.IFS(B106=2015,H106/$O$10,B106=2016,H106/$O$11,B106=2017,H106/$O$12,B106=2018,H106/$O$13,B106=2019,H106/$O$14,B106=2020,H106/$O$15,B106=2021,H106/$O$16,B106=2022,H106/$O$17)</f>
        <v>2.1917687358648071E-2</v>
      </c>
      <c r="J106" s="6" cm="1">
        <f t="array" ref="J106">_xlfn.IFS(B106=2015,I106*$Q$1,B106=2016,I106*$Q$2,B106=2017,I106*$Q$3,B106=2018,I106*$Q$4,B106=2019,I106*$Q$5,B106=2020,I106*$Q$6,B106=2021,I106*$Q$7,B106=2022,I106*$Q$8)</f>
        <v>539003.16476541397</v>
      </c>
      <c r="K106" s="7">
        <f t="shared" si="4"/>
        <v>1476045.1647654139</v>
      </c>
      <c r="L106">
        <f>IFERROR(VLOOKUP(G106,'LEAID Match'!$A$2:$B$168,2,FALSE),"")</f>
        <v>4619410</v>
      </c>
    </row>
    <row r="107" spans="1:12" x14ac:dyDescent="0.2">
      <c r="A107">
        <f t="shared" si="3"/>
        <v>4619410</v>
      </c>
      <c r="B107">
        <v>2016</v>
      </c>
      <c r="C107" t="s">
        <v>208</v>
      </c>
      <c r="D107" t="s">
        <v>212</v>
      </c>
      <c r="E107" t="s">
        <v>211</v>
      </c>
      <c r="F107" s="3">
        <v>902108</v>
      </c>
      <c r="G107" s="3" t="s">
        <v>39</v>
      </c>
      <c r="H107" s="4">
        <v>953934</v>
      </c>
      <c r="I107" cm="1">
        <f t="array" ref="I107">_xlfn.IFS(B107=2015,H107/$O$10,B107=2016,H107/$O$11,B107=2017,H107/$O$12,B107=2018,H107/$O$13,B107=2019,H107/$O$14,B107=2020,H107/$O$15,B107=2021,H107/$O$16,B107=2022,H107/$O$17)</f>
        <v>2.1637188871591297E-2</v>
      </c>
      <c r="J107" s="6" cm="1">
        <f t="array" ref="J107">_xlfn.IFS(B107=2015,I107*$Q$1,B107=2016,I107*$Q$2,B107=2017,I107*$Q$3,B107=2018,I107*$Q$4,B107=2019,I107*$Q$5,B107=2020,I107*$Q$6,B107=2021,I107*$Q$7,B107=2022,I107*$Q$8)</f>
        <v>549710.20121981855</v>
      </c>
      <c r="K107" s="7">
        <f t="shared" si="4"/>
        <v>1503644.2012198186</v>
      </c>
      <c r="L107">
        <f>IFERROR(VLOOKUP(G107,'LEAID Match'!$A$2:$B$168,2,FALSE),"")</f>
        <v>4619410</v>
      </c>
    </row>
    <row r="108" spans="1:12" x14ac:dyDescent="0.2">
      <c r="A108">
        <f t="shared" si="3"/>
        <v>4619410</v>
      </c>
      <c r="B108">
        <v>2017</v>
      </c>
      <c r="C108" t="s">
        <v>208</v>
      </c>
      <c r="D108" t="s">
        <v>212</v>
      </c>
      <c r="E108" t="s">
        <v>211</v>
      </c>
      <c r="F108" s="3">
        <v>902108</v>
      </c>
      <c r="G108" s="3" t="s">
        <v>39</v>
      </c>
      <c r="H108" s="4">
        <v>1025078</v>
      </c>
      <c r="I108" cm="1">
        <f t="array" ref="I108">_xlfn.IFS(B108=2015,H108/$O$10,B108=2016,H108/$O$11,B108=2017,H108/$O$12,B108=2018,H108/$O$13,B108=2019,H108/$O$14,B108=2020,H108/$O$15,B108=2021,H108/$O$16,B108=2022,H108/$O$17)</f>
        <v>2.116457065267684E-2</v>
      </c>
      <c r="J108" s="6" cm="1">
        <f t="array" ref="J108">_xlfn.IFS(B108=2015,I108*$Q$1,B108=2016,I108*$Q$2,B108=2017,I108*$Q$3,B108=2018,I108*$Q$4,B108=2019,I108*$Q$5,B108=2020,I108*$Q$6,B108=2021,I108*$Q$7,B108=2022,I108*$Q$8)</f>
        <v>556745.33289939282</v>
      </c>
      <c r="K108" s="7">
        <f t="shared" si="4"/>
        <v>1581823.3328993928</v>
      </c>
      <c r="L108">
        <f>IFERROR(VLOOKUP(G108,'LEAID Match'!$A$2:$B$168,2,FALSE),"")</f>
        <v>4619410</v>
      </c>
    </row>
    <row r="109" spans="1:12" x14ac:dyDescent="0.2">
      <c r="A109">
        <f t="shared" si="3"/>
        <v>4619410</v>
      </c>
      <c r="B109">
        <v>2018</v>
      </c>
      <c r="C109" t="s">
        <v>208</v>
      </c>
      <c r="D109" t="s">
        <v>212</v>
      </c>
      <c r="E109" t="s">
        <v>211</v>
      </c>
      <c r="F109" s="3">
        <v>902108</v>
      </c>
      <c r="G109" s="3" t="s">
        <v>39</v>
      </c>
      <c r="H109" s="4">
        <v>1024035</v>
      </c>
      <c r="I109" cm="1">
        <f t="array" ref="I109">_xlfn.IFS(B109=2015,H109/$O$10,B109=2016,H109/$O$11,B109=2017,H109/$O$12,B109=2018,H109/$O$13,B109=2019,H109/$O$14,B109=2020,H109/$O$15,B109=2021,H109/$O$16,B109=2022,H109/$O$17)</f>
        <v>2.042192488330884E-2</v>
      </c>
      <c r="J109" s="6" cm="1">
        <f t="array" ref="J109">_xlfn.IFS(B109=2015,I109*$Q$1,B109=2016,I109*$Q$2,B109=2017,I109*$Q$3,B109=2018,I109*$Q$4,B109=2019,I109*$Q$5,B109=2020,I109*$Q$6,B109=2021,I109*$Q$7,B109=2022,I109*$Q$8)</f>
        <v>536194.15914850414</v>
      </c>
      <c r="K109" s="7">
        <f t="shared" si="4"/>
        <v>1560229.159148504</v>
      </c>
      <c r="L109">
        <f>IFERROR(VLOOKUP(G109,'LEAID Match'!$A$2:$B$168,2,FALSE),"")</f>
        <v>4619410</v>
      </c>
    </row>
    <row r="110" spans="1:12" x14ac:dyDescent="0.2">
      <c r="A110">
        <f t="shared" si="3"/>
        <v>4619410</v>
      </c>
      <c r="B110">
        <v>2019</v>
      </c>
      <c r="C110" t="s">
        <v>208</v>
      </c>
      <c r="D110" t="s">
        <v>212</v>
      </c>
      <c r="E110" t="s">
        <v>211</v>
      </c>
      <c r="F110" s="3">
        <v>902108</v>
      </c>
      <c r="G110" s="3" t="s">
        <v>39</v>
      </c>
      <c r="H110" s="4">
        <v>1018333</v>
      </c>
      <c r="I110" cm="1">
        <f t="array" ref="I110">_xlfn.IFS(B110=2015,H110/$O$10,B110=2016,H110/$O$11,B110=2017,H110/$O$12,B110=2018,H110/$O$13,B110=2019,H110/$O$14,B110=2020,H110/$O$15,B110=2021,H110/$O$16,B110=2022,H110/$O$17)</f>
        <v>1.9943575005476326E-2</v>
      </c>
      <c r="J110" s="6" cm="1">
        <f t="array" ref="J110">_xlfn.IFS(B110=2015,I110*$Q$1,B110=2016,I110*$Q$2,B110=2017,I110*$Q$3,B110=2018,I110*$Q$4,B110=2019,I110*$Q$5,B110=2020,I110*$Q$6,B110=2021,I110*$Q$7,B110=2022,I110*$Q$8)</f>
        <v>527456.80249645992</v>
      </c>
      <c r="K110" s="7">
        <f t="shared" si="4"/>
        <v>1545789.8024964598</v>
      </c>
      <c r="L110">
        <f>IFERROR(VLOOKUP(G110,'LEAID Match'!$A$2:$B$168,2,FALSE),"")</f>
        <v>4619410</v>
      </c>
    </row>
    <row r="111" spans="1:12" x14ac:dyDescent="0.2">
      <c r="A111">
        <f t="shared" si="3"/>
        <v>4619410</v>
      </c>
      <c r="B111">
        <v>2020</v>
      </c>
      <c r="C111" t="s">
        <v>208</v>
      </c>
      <c r="D111" t="s">
        <v>212</v>
      </c>
      <c r="E111" t="s">
        <v>211</v>
      </c>
      <c r="F111" s="1">
        <v>902108</v>
      </c>
      <c r="G111" s="3" t="s">
        <v>39</v>
      </c>
      <c r="H111" s="2">
        <v>1060518</v>
      </c>
      <c r="I111" cm="1">
        <f t="array" ref="I111">_xlfn.IFS(B111=2015,H111/$O$10,B111=2016,H111/$O$11,B111=2017,H111/$O$12,B111=2018,H111/$O$13,B111=2019,H111/$O$14,B111=2020,H111/$O$15,B111=2021,H111/$O$16,B111=2022,H111/$O$17)</f>
        <v>2.0085977509693188E-2</v>
      </c>
      <c r="J111" s="6" cm="1">
        <f t="array" ref="J111">_xlfn.IFS(B111=2015,I111*$Q$1,B111=2016,I111*$Q$2,B111=2017,I111*$Q$3,B111=2018,I111*$Q$4,B111=2019,I111*$Q$5,B111=2020,I111*$Q$6,B111=2021,I111*$Q$7,B111=2022,I111*$Q$8)</f>
        <v>546142.36834936251</v>
      </c>
      <c r="K111" s="7">
        <f t="shared" si="4"/>
        <v>1606660.3683493626</v>
      </c>
      <c r="L111">
        <f>IFERROR(VLOOKUP(G111,'LEAID Match'!$A$2:$B$168,2,FALSE),"")</f>
        <v>4619410</v>
      </c>
    </row>
    <row r="112" spans="1:12" x14ac:dyDescent="0.2">
      <c r="A112">
        <f t="shared" si="3"/>
        <v>4619410</v>
      </c>
      <c r="B112">
        <v>2021</v>
      </c>
      <c r="C112" t="s">
        <v>208</v>
      </c>
      <c r="D112" t="s">
        <v>212</v>
      </c>
      <c r="E112" t="s">
        <v>211</v>
      </c>
      <c r="F112" s="3">
        <v>902108</v>
      </c>
      <c r="G112" s="3" t="s">
        <v>39</v>
      </c>
      <c r="H112" s="4">
        <v>1074615</v>
      </c>
      <c r="I112" cm="1">
        <f t="array" ref="I112">_xlfn.IFS(B112=2015,H112/$O$10,B112=2016,H112/$O$11,B112=2017,H112/$O$12,B112=2018,H112/$O$13,B112=2019,H112/$O$14,B112=2020,H112/$O$15,B112=2021,H112/$O$16,B112=2022,H112/$O$17)</f>
        <v>1.9409232112789148E-2</v>
      </c>
      <c r="J112" s="6" cm="1">
        <f t="array" ref="J112">_xlfn.IFS(B112=2015,I112*$Q$1,B112=2016,I112*$Q$2,B112=2017,I112*$Q$3,B112=2018,I112*$Q$4,B112=2019,I112*$Q$5,B112=2020,I112*$Q$6,B112=2021,I112*$Q$7,B112=2022,I112*$Q$8)</f>
        <v>540320.66683011781</v>
      </c>
      <c r="K112" s="7">
        <f t="shared" si="4"/>
        <v>1614935.6668301178</v>
      </c>
      <c r="L112">
        <f>IFERROR(VLOOKUP(G112,'LEAID Match'!$A$2:$B$168,2,FALSE),"")</f>
        <v>4619410</v>
      </c>
    </row>
    <row r="113" spans="1:12" x14ac:dyDescent="0.2">
      <c r="A113">
        <f t="shared" si="3"/>
        <v>4619410</v>
      </c>
      <c r="B113">
        <v>2022</v>
      </c>
      <c r="C113" t="s">
        <v>208</v>
      </c>
      <c r="D113" t="s">
        <v>212</v>
      </c>
      <c r="E113" t="s">
        <v>211</v>
      </c>
      <c r="F113" s="3">
        <v>902108</v>
      </c>
      <c r="G113" s="3" t="s">
        <v>39</v>
      </c>
      <c r="H113" s="4">
        <v>1106750</v>
      </c>
      <c r="I113" cm="1">
        <f t="array" ref="I113">_xlfn.IFS(B113=2015,H113/$O$10,B113=2016,H113/$O$11,B113=2017,H113/$O$12,B113=2018,H113/$O$13,B113=2019,H113/$O$14,B113=2020,H113/$O$15,B113=2021,H113/$O$16,B113=2022,H113/$O$17)</f>
        <v>1.9167340590419555E-2</v>
      </c>
      <c r="J113" s="6" cm="1">
        <f t="array" ref="J113">_xlfn.IFS(B113=2015,I113*$Q$1,B113=2016,I113*$Q$2,B113=2017,I113*$Q$3,B113=2018,I113*$Q$4,B113=2019,I113*$Q$5,B113=2020,I113*$Q$6,B113=2021,I113*$Q$7,B113=2022,I113*$Q$8)</f>
        <v>564630.48407618736</v>
      </c>
      <c r="K113" s="7">
        <f t="shared" si="4"/>
        <v>1671380.4840761875</v>
      </c>
      <c r="L113">
        <f>IFERROR(VLOOKUP(G113,'LEAID Match'!$A$2:$B$168,2,FALSE),"")</f>
        <v>4619410</v>
      </c>
    </row>
    <row r="114" spans="1:12" x14ac:dyDescent="0.2">
      <c r="A114">
        <f t="shared" si="3"/>
        <v>4600032</v>
      </c>
      <c r="B114">
        <v>2015</v>
      </c>
      <c r="C114" t="s">
        <v>208</v>
      </c>
      <c r="D114" t="s">
        <v>212</v>
      </c>
      <c r="E114" t="s">
        <v>211</v>
      </c>
      <c r="F114" s="3">
        <v>903100</v>
      </c>
      <c r="G114" s="3" t="s">
        <v>185</v>
      </c>
      <c r="H114" s="4">
        <v>34613</v>
      </c>
      <c r="I114" cm="1">
        <f t="array" ref="I114">_xlfn.IFS(B114=2015,H114/$O$10,B114=2016,H114/$O$11,B114=2017,H114/$O$12,B114=2018,H114/$O$13,B114=2019,H114/$O$14,B114=2020,H114/$O$15,B114=2021,H114/$O$16,B114=2022,H114/$O$17)</f>
        <v>8.0960822732053172E-4</v>
      </c>
      <c r="J114" s="6" cm="1">
        <f t="array" ref="J114">_xlfn.IFS(B114=2015,I114*$Q$1,B114=2016,I114*$Q$2,B114=2017,I114*$Q$3,B114=2018,I114*$Q$4,B114=2019,I114*$Q$5,B114=2020,I114*$Q$6,B114=2021,I114*$Q$7,B114=2022,I114*$Q$8)</f>
        <v>19910.01101554175</v>
      </c>
      <c r="K114" s="7">
        <f t="shared" si="4"/>
        <v>54523.01101554175</v>
      </c>
      <c r="L114">
        <f>IFERROR(VLOOKUP(G114,'LEAID Match'!$A$2:$B$168,2,FALSE),"")</f>
        <v>4600032</v>
      </c>
    </row>
    <row r="115" spans="1:12" x14ac:dyDescent="0.2">
      <c r="A115">
        <f t="shared" si="3"/>
        <v>4600032</v>
      </c>
      <c r="B115">
        <v>2016</v>
      </c>
      <c r="C115" t="s">
        <v>208</v>
      </c>
      <c r="D115" t="s">
        <v>212</v>
      </c>
      <c r="E115" t="s">
        <v>211</v>
      </c>
      <c r="F115" s="3">
        <v>903100</v>
      </c>
      <c r="G115" s="3" t="s">
        <v>185</v>
      </c>
      <c r="H115" s="4">
        <v>37727</v>
      </c>
      <c r="I115" cm="1">
        <f t="array" ref="I115">_xlfn.IFS(B115=2015,H115/$O$10,B115=2016,H115/$O$11,B115=2017,H115/$O$12,B115=2018,H115/$O$13,B115=2019,H115/$O$14,B115=2020,H115/$O$15,B115=2021,H115/$O$16,B115=2022,H115/$O$17)</f>
        <v>8.557261032299141E-4</v>
      </c>
      <c r="J115" s="6" cm="1">
        <f t="array" ref="J115">_xlfn.IFS(B115=2015,I115*$Q$1,B115=2016,I115*$Q$2,B115=2017,I115*$Q$3,B115=2018,I115*$Q$4,B115=2019,I115*$Q$5,B115=2020,I115*$Q$6,B115=2021,I115*$Q$7,B115=2022,I115*$Q$8)</f>
        <v>21740.410512069069</v>
      </c>
      <c r="K115" s="7">
        <f t="shared" si="4"/>
        <v>59467.410512069066</v>
      </c>
      <c r="L115">
        <f>IFERROR(VLOOKUP(G115,'LEAID Match'!$A$2:$B$168,2,FALSE),"")</f>
        <v>4600032</v>
      </c>
    </row>
    <row r="116" spans="1:12" x14ac:dyDescent="0.2">
      <c r="A116">
        <f t="shared" si="3"/>
        <v>4600032</v>
      </c>
      <c r="B116">
        <v>2017</v>
      </c>
      <c r="C116" t="s">
        <v>208</v>
      </c>
      <c r="D116" t="s">
        <v>212</v>
      </c>
      <c r="E116" t="s">
        <v>211</v>
      </c>
      <c r="F116" s="3">
        <v>903100</v>
      </c>
      <c r="G116" s="3" t="s">
        <v>185</v>
      </c>
      <c r="H116" s="4">
        <v>41188</v>
      </c>
      <c r="I116" cm="1">
        <f t="array" ref="I116">_xlfn.IFS(B116=2015,H116/$O$10,B116=2016,H116/$O$11,B116=2017,H116/$O$12,B116=2018,H116/$O$13,B116=2019,H116/$O$14,B116=2020,H116/$O$15,B116=2021,H116/$O$16,B116=2022,H116/$O$17)</f>
        <v>8.504000047239857E-4</v>
      </c>
      <c r="J116" s="6" cm="1">
        <f t="array" ref="J116">_xlfn.IFS(B116=2015,I116*$Q$1,B116=2016,I116*$Q$2,B116=2017,I116*$Q$3,B116=2018,I116*$Q$4,B116=2019,I116*$Q$5,B116=2020,I116*$Q$6,B116=2021,I116*$Q$7,B116=2022,I116*$Q$8)</f>
        <v>22370.226237866966</v>
      </c>
      <c r="K116" s="7">
        <f t="shared" si="4"/>
        <v>63558.226237866969</v>
      </c>
      <c r="L116">
        <f>IFERROR(VLOOKUP(G116,'LEAID Match'!$A$2:$B$168,2,FALSE),"")</f>
        <v>4600032</v>
      </c>
    </row>
    <row r="117" spans="1:12" x14ac:dyDescent="0.2">
      <c r="A117">
        <f t="shared" si="3"/>
        <v>4600032</v>
      </c>
      <c r="B117">
        <v>2018</v>
      </c>
      <c r="C117" t="s">
        <v>208</v>
      </c>
      <c r="D117" t="s">
        <v>212</v>
      </c>
      <c r="E117" t="s">
        <v>211</v>
      </c>
      <c r="F117" s="3">
        <v>903100</v>
      </c>
      <c r="G117" s="3" t="s">
        <v>185</v>
      </c>
      <c r="H117" s="4">
        <v>37186</v>
      </c>
      <c r="I117" cm="1">
        <f t="array" ref="I117">_xlfn.IFS(B117=2015,H117/$O$10,B117=2016,H117/$O$11,B117=2017,H117/$O$12,B117=2018,H117/$O$13,B117=2019,H117/$O$14,B117=2020,H117/$O$15,B117=2021,H117/$O$16,B117=2022,H117/$O$17)</f>
        <v>7.4158568673016309E-4</v>
      </c>
      <c r="J117" s="6" cm="1">
        <f t="array" ref="J117">_xlfn.IFS(B117=2015,I117*$Q$1,B117=2016,I117*$Q$2,B117=2017,I117*$Q$3,B117=2018,I117*$Q$4,B117=2019,I117*$Q$5,B117=2020,I117*$Q$6,B117=2021,I117*$Q$7,B117=2022,I117*$Q$8)</f>
        <v>19470.932147920998</v>
      </c>
      <c r="K117" s="7">
        <f t="shared" si="4"/>
        <v>56656.932147920998</v>
      </c>
      <c r="L117">
        <f>IFERROR(VLOOKUP(G117,'LEAID Match'!$A$2:$B$168,2,FALSE),"")</f>
        <v>4600032</v>
      </c>
    </row>
    <row r="118" spans="1:12" x14ac:dyDescent="0.2">
      <c r="A118">
        <f t="shared" si="3"/>
        <v>4600032</v>
      </c>
      <c r="B118">
        <v>2019</v>
      </c>
      <c r="C118" t="s">
        <v>208</v>
      </c>
      <c r="D118" t="s">
        <v>212</v>
      </c>
      <c r="E118" t="s">
        <v>211</v>
      </c>
      <c r="F118" s="3">
        <v>903100</v>
      </c>
      <c r="G118" s="3" t="s">
        <v>185</v>
      </c>
      <c r="H118" s="4">
        <v>37896</v>
      </c>
      <c r="I118" cm="1">
        <f t="array" ref="I118">_xlfn.IFS(B118=2015,H118/$O$10,B118=2016,H118/$O$11,B118=2017,H118/$O$12,B118=2018,H118/$O$13,B118=2019,H118/$O$14,B118=2020,H118/$O$15,B118=2021,H118/$O$16,B118=2022,H118/$O$17)</f>
        <v>7.4217541649689326E-4</v>
      </c>
      <c r="J118" s="6" cm="1">
        <f t="array" ref="J118">_xlfn.IFS(B118=2015,I118*$Q$1,B118=2016,I118*$Q$2,B118=2017,I118*$Q$3,B118=2018,I118*$Q$4,B118=2019,I118*$Q$5,B118=2020,I118*$Q$6,B118=2021,I118*$Q$7,B118=2022,I118*$Q$8)</f>
        <v>19628.650929907843</v>
      </c>
      <c r="K118" s="7">
        <f t="shared" si="4"/>
        <v>57524.650929907846</v>
      </c>
      <c r="L118">
        <f>IFERROR(VLOOKUP(G118,'LEAID Match'!$A$2:$B$168,2,FALSE),"")</f>
        <v>4600032</v>
      </c>
    </row>
    <row r="119" spans="1:12" x14ac:dyDescent="0.2">
      <c r="A119">
        <f t="shared" si="3"/>
        <v>4600032</v>
      </c>
      <c r="B119">
        <v>2020</v>
      </c>
      <c r="C119" t="s">
        <v>208</v>
      </c>
      <c r="D119" t="s">
        <v>212</v>
      </c>
      <c r="E119" t="s">
        <v>211</v>
      </c>
      <c r="F119" s="1">
        <v>903100</v>
      </c>
      <c r="G119" s="3" t="s">
        <v>185</v>
      </c>
      <c r="H119" s="2">
        <v>39118</v>
      </c>
      <c r="I119" cm="1">
        <f t="array" ref="I119">_xlfn.IFS(B119=2015,H119/$O$10,B119=2016,H119/$O$11,B119=2017,H119/$O$12,B119=2018,H119/$O$13,B119=2019,H119/$O$14,B119=2020,H119/$O$15,B119=2021,H119/$O$16,B119=2022,H119/$O$17)</f>
        <v>7.4088631048617579E-4</v>
      </c>
      <c r="J119" s="6" cm="1">
        <f t="array" ref="J119">_xlfn.IFS(B119=2015,I119*$Q$1,B119=2016,I119*$Q$2,B119=2017,I119*$Q$3,B119=2018,I119*$Q$4,B119=2019,I119*$Q$5,B119=2020,I119*$Q$6,B119=2021,I119*$Q$7,B119=2022,I119*$Q$8)</f>
        <v>20144.869926856842</v>
      </c>
      <c r="K119" s="7">
        <f t="shared" si="4"/>
        <v>59262.869926856845</v>
      </c>
      <c r="L119">
        <f>IFERROR(VLOOKUP(G119,'LEAID Match'!$A$2:$B$168,2,FALSE),"")</f>
        <v>4600032</v>
      </c>
    </row>
    <row r="120" spans="1:12" x14ac:dyDescent="0.2">
      <c r="A120">
        <f t="shared" si="3"/>
        <v>4600032</v>
      </c>
      <c r="B120">
        <v>2021</v>
      </c>
      <c r="C120" t="s">
        <v>208</v>
      </c>
      <c r="D120" t="s">
        <v>212</v>
      </c>
      <c r="E120" t="s">
        <v>211</v>
      </c>
      <c r="F120" s="3">
        <v>903100</v>
      </c>
      <c r="G120" s="3" t="s">
        <v>185</v>
      </c>
      <c r="H120" s="4">
        <v>38954</v>
      </c>
      <c r="I120" cm="1">
        <f t="array" ref="I120">_xlfn.IFS(B120=2015,H120/$O$10,B120=2016,H120/$O$11,B120=2017,H120/$O$12,B120=2018,H120/$O$13,B120=2019,H120/$O$14,B120=2020,H120/$O$15,B120=2021,H120/$O$16,B120=2022,H120/$O$17)</f>
        <v>7.0357032771884668E-4</v>
      </c>
      <c r="J120" s="6" cm="1">
        <f t="array" ref="J120">_xlfn.IFS(B120=2015,I120*$Q$1,B120=2016,I120*$Q$2,B120=2017,I120*$Q$3,B120=2018,I120*$Q$4,B120=2019,I120*$Q$5,B120=2020,I120*$Q$6,B120=2021,I120*$Q$7,B120=2022,I120*$Q$8)</f>
        <v>19586.225071956385</v>
      </c>
      <c r="K120" s="7">
        <f t="shared" si="4"/>
        <v>58540.225071956389</v>
      </c>
      <c r="L120">
        <f>IFERROR(VLOOKUP(G120,'LEAID Match'!$A$2:$B$168,2,FALSE),"")</f>
        <v>4600032</v>
      </c>
    </row>
    <row r="121" spans="1:12" x14ac:dyDescent="0.2">
      <c r="A121">
        <f t="shared" si="3"/>
        <v>4600032</v>
      </c>
      <c r="B121">
        <v>2022</v>
      </c>
      <c r="C121" t="s">
        <v>208</v>
      </c>
      <c r="D121" t="s">
        <v>212</v>
      </c>
      <c r="E121" t="s">
        <v>211</v>
      </c>
      <c r="F121" s="3">
        <v>903100</v>
      </c>
      <c r="G121" s="3" t="s">
        <v>185</v>
      </c>
      <c r="H121" s="4">
        <v>42140</v>
      </c>
      <c r="I121" cm="1">
        <f t="array" ref="I121">_xlfn.IFS(B121=2015,H121/$O$10,B121=2016,H121/$O$11,B121=2017,H121/$O$12,B121=2018,H121/$O$13,B121=2019,H121/$O$14,B121=2020,H121/$O$15,B121=2021,H121/$O$16,B121=2022,H121/$O$17)</f>
        <v>7.298050440300701E-4</v>
      </c>
      <c r="J121" s="6" cm="1">
        <f t="array" ref="J121">_xlfn.IFS(B121=2015,I121*$Q$1,B121=2016,I121*$Q$2,B121=2017,I121*$Q$3,B121=2018,I121*$Q$4,B121=2019,I121*$Q$5,B121=2020,I121*$Q$6,B121=2021,I121*$Q$7,B121=2022,I121*$Q$8)</f>
        <v>21498.557577565429</v>
      </c>
      <c r="K121" s="7">
        <f t="shared" si="4"/>
        <v>63638.557577565429</v>
      </c>
      <c r="L121">
        <f>IFERROR(VLOOKUP(G121,'LEAID Match'!$A$2:$B$168,2,FALSE),"")</f>
        <v>4600032</v>
      </c>
    </row>
    <row r="122" spans="1:12" x14ac:dyDescent="0.2">
      <c r="A122">
        <f t="shared" si="3"/>
        <v>4602070</v>
      </c>
      <c r="B122">
        <v>2015</v>
      </c>
      <c r="C122" t="s">
        <v>208</v>
      </c>
      <c r="D122" t="s">
        <v>212</v>
      </c>
      <c r="E122" t="s">
        <v>211</v>
      </c>
      <c r="F122" s="3">
        <v>903103</v>
      </c>
      <c r="G122" s="3" t="s">
        <v>0</v>
      </c>
      <c r="H122" s="4">
        <v>1204678</v>
      </c>
      <c r="I122" cm="1">
        <f t="array" ref="I122">_xlfn.IFS(B122=2015,H122/$O$10,B122=2016,H122/$O$11,B122=2017,H122/$O$12,B122=2018,H122/$O$13,B122=2019,H122/$O$14,B122=2020,H122/$O$15,B122=2021,H122/$O$16,B122=2022,H122/$O$17)</f>
        <v>2.8177771937481395E-2</v>
      </c>
      <c r="J122" s="6" cm="1">
        <f t="array" ref="J122">_xlfn.IFS(B122=2015,I122*$Q$1,B122=2016,I122*$Q$2,B122=2017,I122*$Q$3,B122=2018,I122*$Q$4,B122=2019,I122*$Q$5,B122=2020,I122*$Q$6,B122=2021,I122*$Q$7,B122=2022,I122*$Q$8)</f>
        <v>692952.13504119276</v>
      </c>
      <c r="K122" s="7">
        <f t="shared" si="4"/>
        <v>1897630.1350411926</v>
      </c>
      <c r="L122">
        <f>IFERROR(VLOOKUP(G122,'LEAID Match'!$A$2:$B$168,2,FALSE),"")</f>
        <v>4602070</v>
      </c>
    </row>
    <row r="123" spans="1:12" x14ac:dyDescent="0.2">
      <c r="A123">
        <f t="shared" si="3"/>
        <v>4602070</v>
      </c>
      <c r="B123">
        <v>2016</v>
      </c>
      <c r="C123" t="s">
        <v>208</v>
      </c>
      <c r="D123" t="s">
        <v>212</v>
      </c>
      <c r="E123" t="s">
        <v>211</v>
      </c>
      <c r="F123" s="3">
        <v>903103</v>
      </c>
      <c r="G123" s="3" t="s">
        <v>0</v>
      </c>
      <c r="H123" s="4">
        <v>1258689</v>
      </c>
      <c r="I123" cm="1">
        <f t="array" ref="I123">_xlfn.IFS(B123=2015,H123/$O$10,B123=2016,H123/$O$11,B123=2017,H123/$O$12,B123=2018,H123/$O$13,B123=2019,H123/$O$14,B123=2020,H123/$O$15,B123=2021,H123/$O$16,B123=2022,H123/$O$17)</f>
        <v>2.8549660273765667E-2</v>
      </c>
      <c r="J123" s="6" cm="1">
        <f t="array" ref="J123">_xlfn.IFS(B123=2015,I123*$Q$1,B123=2016,I123*$Q$2,B123=2017,I123*$Q$3,B123=2018,I123*$Q$4,B123=2019,I123*$Q$5,B123=2020,I123*$Q$6,B123=2021,I123*$Q$7,B123=2022,I123*$Q$8)</f>
        <v>725327.10173153714</v>
      </c>
      <c r="K123" s="7">
        <f t="shared" si="4"/>
        <v>1984016.1017315371</v>
      </c>
      <c r="L123">
        <f>IFERROR(VLOOKUP(G123,'LEAID Match'!$A$2:$B$168,2,FALSE),"")</f>
        <v>4602070</v>
      </c>
    </row>
    <row r="124" spans="1:12" x14ac:dyDescent="0.2">
      <c r="A124">
        <f t="shared" si="3"/>
        <v>4602070</v>
      </c>
      <c r="B124">
        <v>2017</v>
      </c>
      <c r="C124" t="s">
        <v>208</v>
      </c>
      <c r="D124" t="s">
        <v>212</v>
      </c>
      <c r="E124" t="s">
        <v>211</v>
      </c>
      <c r="F124" s="3">
        <v>903103</v>
      </c>
      <c r="G124" s="3" t="s">
        <v>0</v>
      </c>
      <c r="H124" s="4">
        <v>1398918</v>
      </c>
      <c r="I124" cm="1">
        <f t="array" ref="I124">_xlfn.IFS(B124=2015,H124/$O$10,B124=2016,H124/$O$11,B124=2017,H124/$O$12,B124=2018,H124/$O$13,B124=2019,H124/$O$14,B124=2020,H124/$O$15,B124=2021,H124/$O$16,B124=2022,H124/$O$17)</f>
        <v>2.8883166791504045E-2</v>
      </c>
      <c r="J124" s="6" cm="1">
        <f t="array" ref="J124">_xlfn.IFS(B124=2015,I124*$Q$1,B124=2016,I124*$Q$2,B124=2017,I124*$Q$3,B124=2018,I124*$Q$4,B124=2019,I124*$Q$5,B124=2020,I124*$Q$6,B124=2021,I124*$Q$7,B124=2022,I124*$Q$8)</f>
        <v>759787.12606158061</v>
      </c>
      <c r="K124" s="7">
        <f t="shared" si="4"/>
        <v>2158705.1260615806</v>
      </c>
      <c r="L124">
        <f>IFERROR(VLOOKUP(G124,'LEAID Match'!$A$2:$B$168,2,FALSE),"")</f>
        <v>4602070</v>
      </c>
    </row>
    <row r="125" spans="1:12" x14ac:dyDescent="0.2">
      <c r="A125">
        <f t="shared" si="3"/>
        <v>4602070</v>
      </c>
      <c r="B125">
        <v>2018</v>
      </c>
      <c r="C125" t="s">
        <v>208</v>
      </c>
      <c r="D125" t="s">
        <v>212</v>
      </c>
      <c r="E125" t="s">
        <v>211</v>
      </c>
      <c r="F125" s="3">
        <v>903103</v>
      </c>
      <c r="G125" s="3" t="s">
        <v>0</v>
      </c>
      <c r="H125" s="4">
        <v>1461795</v>
      </c>
      <c r="I125" cm="1">
        <f t="array" ref="I125">_xlfn.IFS(B125=2015,H125/$O$10,B125=2016,H125/$O$11,B125=2017,H125/$O$12,B125=2018,H125/$O$13,B125=2019,H125/$O$14,B125=2020,H125/$O$15,B125=2021,H125/$O$16,B125=2022,H125/$O$17)</f>
        <v>2.9151999379705234E-2</v>
      </c>
      <c r="J125" s="6" cm="1">
        <f t="array" ref="J125">_xlfn.IFS(B125=2015,I125*$Q$1,B125=2016,I125*$Q$2,B125=2017,I125*$Q$3,B125=2018,I125*$Q$4,B125=2019,I125*$Q$5,B125=2020,I125*$Q$6,B125=2021,I125*$Q$7,B125=2022,I125*$Q$8)</f>
        <v>765409.32768165914</v>
      </c>
      <c r="K125" s="7">
        <f t="shared" si="4"/>
        <v>2227204.3276816593</v>
      </c>
      <c r="L125">
        <f>IFERROR(VLOOKUP(G125,'LEAID Match'!$A$2:$B$168,2,FALSE),"")</f>
        <v>4602070</v>
      </c>
    </row>
    <row r="126" spans="1:12" x14ac:dyDescent="0.2">
      <c r="A126">
        <f t="shared" si="3"/>
        <v>4602070</v>
      </c>
      <c r="B126">
        <v>2019</v>
      </c>
      <c r="C126" t="s">
        <v>208</v>
      </c>
      <c r="D126" t="s">
        <v>212</v>
      </c>
      <c r="E126" t="s">
        <v>211</v>
      </c>
      <c r="F126" s="3">
        <v>903103</v>
      </c>
      <c r="G126" s="3" t="s">
        <v>0</v>
      </c>
      <c r="H126" s="4">
        <v>1506073</v>
      </c>
      <c r="I126" cm="1">
        <f t="array" ref="I126">_xlfn.IFS(B126=2015,H126/$O$10,B126=2016,H126/$O$11,B126=2017,H126/$O$12,B126=2018,H126/$O$13,B126=2019,H126/$O$14,B126=2020,H126/$O$15,B126=2021,H126/$O$16,B126=2022,H126/$O$17)</f>
        <v>2.9495734537938714E-2</v>
      </c>
      <c r="J126" s="6" cm="1">
        <f t="array" ref="J126">_xlfn.IFS(B126=2015,I126*$Q$1,B126=2016,I126*$Q$2,B126=2017,I126*$Q$3,B126=2018,I126*$Q$4,B126=2019,I126*$Q$5,B126=2020,I126*$Q$6,B126=2021,I126*$Q$7,B126=2022,I126*$Q$8)</f>
        <v>780087.11188407987</v>
      </c>
      <c r="K126" s="7">
        <f t="shared" si="4"/>
        <v>2286160.1118840799</v>
      </c>
      <c r="L126">
        <f>IFERROR(VLOOKUP(G126,'LEAID Match'!$A$2:$B$168,2,FALSE),"")</f>
        <v>4602070</v>
      </c>
    </row>
    <row r="127" spans="1:12" x14ac:dyDescent="0.2">
      <c r="A127">
        <f t="shared" si="3"/>
        <v>4602070</v>
      </c>
      <c r="B127">
        <v>2020</v>
      </c>
      <c r="C127" t="s">
        <v>208</v>
      </c>
      <c r="D127" t="s">
        <v>212</v>
      </c>
      <c r="E127" t="s">
        <v>211</v>
      </c>
      <c r="F127" s="1">
        <v>903103</v>
      </c>
      <c r="G127" s="3" t="s">
        <v>0</v>
      </c>
      <c r="H127" s="2">
        <v>1529719</v>
      </c>
      <c r="I127" cm="1">
        <f t="array" ref="I127">_xlfn.IFS(B127=2015,H127/$O$10,B127=2016,H127/$O$11,B127=2017,H127/$O$12,B127=2018,H127/$O$13,B127=2019,H127/$O$14,B127=2020,H127/$O$15,B127=2021,H127/$O$16,B127=2022,H127/$O$17)</f>
        <v>2.8972541182846832E-2</v>
      </c>
      <c r="J127" s="6" cm="1">
        <f t="array" ref="J127">_xlfn.IFS(B127=2015,I127*$Q$1,B127=2016,I127*$Q$2,B127=2017,I127*$Q$3,B127=2018,I127*$Q$4,B127=2019,I127*$Q$5,B127=2020,I127*$Q$6,B127=2021,I127*$Q$7,B127=2022,I127*$Q$8)</f>
        <v>787770.08741861861</v>
      </c>
      <c r="K127" s="7">
        <f t="shared" si="4"/>
        <v>2317489.0874186186</v>
      </c>
      <c r="L127">
        <f>IFERROR(VLOOKUP(G127,'LEAID Match'!$A$2:$B$168,2,FALSE),"")</f>
        <v>4602070</v>
      </c>
    </row>
    <row r="128" spans="1:12" x14ac:dyDescent="0.2">
      <c r="A128">
        <f t="shared" si="3"/>
        <v>4602070</v>
      </c>
      <c r="B128">
        <v>2021</v>
      </c>
      <c r="C128" t="s">
        <v>208</v>
      </c>
      <c r="D128" t="s">
        <v>212</v>
      </c>
      <c r="E128" t="s">
        <v>211</v>
      </c>
      <c r="F128" s="3">
        <v>903103</v>
      </c>
      <c r="G128" s="3" t="s">
        <v>0</v>
      </c>
      <c r="H128" s="4">
        <v>1594740</v>
      </c>
      <c r="I128" cm="1">
        <f t="array" ref="I128">_xlfn.IFS(B128=2015,H128/$O$10,B128=2016,H128/$O$11,B128=2017,H128/$O$12,B128=2018,H128/$O$13,B128=2019,H128/$O$14,B128=2020,H128/$O$15,B128=2021,H128/$O$16,B128=2022,H128/$O$17)</f>
        <v>2.8803505273562499E-2</v>
      </c>
      <c r="J128" s="6" cm="1">
        <f t="array" ref="J128">_xlfn.IFS(B128=2015,I128*$Q$1,B128=2016,I128*$Q$2,B128=2017,I128*$Q$3,B128=2018,I128*$Q$4,B128=2019,I128*$Q$5,B128=2020,I128*$Q$6,B128=2021,I128*$Q$7,B128=2022,I128*$Q$8)</f>
        <v>801841.57137268898</v>
      </c>
      <c r="K128" s="7">
        <f t="shared" si="4"/>
        <v>2396581.5713726887</v>
      </c>
      <c r="L128">
        <f>IFERROR(VLOOKUP(G128,'LEAID Match'!$A$2:$B$168,2,FALSE),"")</f>
        <v>4602070</v>
      </c>
    </row>
    <row r="129" spans="1:12" x14ac:dyDescent="0.2">
      <c r="A129">
        <f t="shared" si="3"/>
        <v>4602070</v>
      </c>
      <c r="B129">
        <v>2022</v>
      </c>
      <c r="C129" t="s">
        <v>208</v>
      </c>
      <c r="D129" t="s">
        <v>212</v>
      </c>
      <c r="E129" t="s">
        <v>211</v>
      </c>
      <c r="F129" s="3">
        <v>903103</v>
      </c>
      <c r="G129" s="3" t="s">
        <v>0</v>
      </c>
      <c r="H129" s="4">
        <v>1578612</v>
      </c>
      <c r="I129" cm="1">
        <f t="array" ref="I129">_xlfn.IFS(B129=2015,H129/$O$10,B129=2016,H129/$O$11,B129=2017,H129/$O$12,B129=2018,H129/$O$13,B129=2019,H129/$O$14,B129=2020,H129/$O$15,B129=2021,H129/$O$16,B129=2022,H129/$O$17)</f>
        <v>2.7339321313867987E-2</v>
      </c>
      <c r="J129" s="6" cm="1">
        <f t="array" ref="J129">_xlfn.IFS(B129=2015,I129*$Q$1,B129=2016,I129*$Q$2,B129=2017,I129*$Q$3,B129=2018,I129*$Q$4,B129=2019,I129*$Q$5,B129=2020,I129*$Q$6,B129=2021,I129*$Q$7,B129=2022,I129*$Q$8)</f>
        <v>805360.25094057224</v>
      </c>
      <c r="K129" s="7">
        <f t="shared" si="4"/>
        <v>2383972.2509405725</v>
      </c>
      <c r="L129">
        <f>IFERROR(VLOOKUP(G129,'LEAID Match'!$A$2:$B$168,2,FALSE),"")</f>
        <v>4602070</v>
      </c>
    </row>
    <row r="130" spans="1:12" x14ac:dyDescent="0.2">
      <c r="A130">
        <f t="shared" si="3"/>
        <v>4600045</v>
      </c>
      <c r="B130">
        <v>2015</v>
      </c>
      <c r="C130" t="s">
        <v>208</v>
      </c>
      <c r="D130" t="s">
        <v>212</v>
      </c>
      <c r="E130" t="s">
        <v>211</v>
      </c>
      <c r="F130" s="3">
        <v>903105</v>
      </c>
      <c r="G130" s="3" t="s">
        <v>61</v>
      </c>
      <c r="H130" s="4">
        <v>186943</v>
      </c>
      <c r="I130" cm="1">
        <f t="array" ref="I130">_xlfn.IFS(B130=2015,H130/$O$10,B130=2016,H130/$O$11,B130=2017,H130/$O$12,B130=2018,H130/$O$13,B130=2019,H130/$O$14,B130=2020,H130/$O$15,B130=2021,H130/$O$16,B130=2022,H130/$O$17)</f>
        <v>4.3726516291561594E-3</v>
      </c>
      <c r="J130" s="6" cm="1">
        <f t="array" ref="J130">_xlfn.IFS(B130=2015,I130*$Q$1,B130=2016,I130*$Q$2,B130=2017,I130*$Q$3,B130=2018,I130*$Q$4,B130=2019,I130*$Q$5,B130=2020,I130*$Q$6,B130=2021,I130*$Q$7,B130=2022,I130*$Q$8)</f>
        <v>107532.92662521079</v>
      </c>
      <c r="K130" s="7">
        <f t="shared" si="4"/>
        <v>294475.92662521079</v>
      </c>
      <c r="L130">
        <f>IFERROR(VLOOKUP(G130,'LEAID Match'!$A$2:$B$168,2,FALSE),"")</f>
        <v>4600045</v>
      </c>
    </row>
    <row r="131" spans="1:12" x14ac:dyDescent="0.2">
      <c r="A131">
        <f t="shared" ref="A131:A194" si="5">L131</f>
        <v>4600045</v>
      </c>
      <c r="B131">
        <v>2016</v>
      </c>
      <c r="C131" t="s">
        <v>208</v>
      </c>
      <c r="D131" t="s">
        <v>212</v>
      </c>
      <c r="E131" t="s">
        <v>211</v>
      </c>
      <c r="F131" s="3">
        <v>903105</v>
      </c>
      <c r="G131" s="3" t="s">
        <v>61</v>
      </c>
      <c r="H131" s="4">
        <v>195219</v>
      </c>
      <c r="I131" cm="1">
        <f t="array" ref="I131">_xlfn.IFS(B131=2015,H131/$O$10,B131=2016,H131/$O$11,B131=2017,H131/$O$12,B131=2018,H131/$O$13,B131=2019,H131/$O$14,B131=2020,H131/$O$15,B131=2021,H131/$O$16,B131=2022,H131/$O$17)</f>
        <v>4.4279692036589338E-3</v>
      </c>
      <c r="J131" s="6" cm="1">
        <f t="array" ref="J131">_xlfn.IFS(B131=2015,I131*$Q$1,B131=2016,I131*$Q$2,B131=2017,I131*$Q$3,B131=2018,I131*$Q$4,B131=2019,I131*$Q$5,B131=2020,I131*$Q$6,B131=2021,I131*$Q$7,B131=2022,I131*$Q$8)</f>
        <v>112496.12213416416</v>
      </c>
      <c r="K131" s="7">
        <f t="shared" ref="K131:K194" si="6">SUM(J131,H131)</f>
        <v>307715.12213416415</v>
      </c>
      <c r="L131">
        <f>IFERROR(VLOOKUP(G131,'LEAID Match'!$A$2:$B$168,2,FALSE),"")</f>
        <v>4600045</v>
      </c>
    </row>
    <row r="132" spans="1:12" x14ac:dyDescent="0.2">
      <c r="A132">
        <f t="shared" si="5"/>
        <v>4600045</v>
      </c>
      <c r="B132">
        <v>2017</v>
      </c>
      <c r="C132" t="s">
        <v>208</v>
      </c>
      <c r="D132" t="s">
        <v>212</v>
      </c>
      <c r="E132" t="s">
        <v>211</v>
      </c>
      <c r="F132" s="3">
        <v>903105</v>
      </c>
      <c r="G132" s="3" t="s">
        <v>61</v>
      </c>
      <c r="H132" s="4">
        <v>207501</v>
      </c>
      <c r="I132" cm="1">
        <f t="array" ref="I132">_xlfn.IFS(B132=2015,H132/$O$10,B132=2016,H132/$O$11,B132=2017,H132/$O$12,B132=2018,H132/$O$13,B132=2019,H132/$O$14,B132=2020,H132/$O$15,B132=2021,H132/$O$16,B132=2022,H132/$O$17)</f>
        <v>4.2842296634998485E-3</v>
      </c>
      <c r="J132" s="6" cm="1">
        <f t="array" ref="J132">_xlfn.IFS(B132=2015,I132*$Q$1,B132=2016,I132*$Q$2,B132=2017,I132*$Q$3,B132=2018,I132*$Q$4,B132=2019,I132*$Q$5,B132=2020,I132*$Q$6,B132=2021,I132*$Q$7,B132=2022,I132*$Q$8)</f>
        <v>112698.94907700382</v>
      </c>
      <c r="K132" s="7">
        <f t="shared" si="6"/>
        <v>320199.94907700381</v>
      </c>
      <c r="L132">
        <f>IFERROR(VLOOKUP(G132,'LEAID Match'!$A$2:$B$168,2,FALSE),"")</f>
        <v>4600045</v>
      </c>
    </row>
    <row r="133" spans="1:12" x14ac:dyDescent="0.2">
      <c r="A133">
        <f t="shared" si="5"/>
        <v>4600045</v>
      </c>
      <c r="B133">
        <v>2018</v>
      </c>
      <c r="C133" t="s">
        <v>208</v>
      </c>
      <c r="D133" t="s">
        <v>212</v>
      </c>
      <c r="E133" t="s">
        <v>211</v>
      </c>
      <c r="F133" s="3">
        <v>903105</v>
      </c>
      <c r="G133" s="3" t="s">
        <v>61</v>
      </c>
      <c r="H133" s="4">
        <v>210221</v>
      </c>
      <c r="I133" cm="1">
        <f t="array" ref="I133">_xlfn.IFS(B133=2015,H133/$O$10,B133=2016,H133/$O$11,B133=2017,H133/$O$12,B133=2018,H133/$O$13,B133=2019,H133/$O$14,B133=2020,H133/$O$15,B133=2021,H133/$O$16,B133=2022,H133/$O$17)</f>
        <v>4.1923542368122848E-3</v>
      </c>
      <c r="J133" s="6" cm="1">
        <f t="array" ref="J133">_xlfn.IFS(B133=2015,I133*$Q$1,B133=2016,I133*$Q$2,B133=2017,I133*$Q$3,B133=2018,I133*$Q$4,B133=2019,I133*$Q$5,B133=2020,I133*$Q$6,B133=2021,I133*$Q$7,B133=2022,I133*$Q$8)</f>
        <v>110073.65210208412</v>
      </c>
      <c r="K133" s="7">
        <f t="shared" si="6"/>
        <v>320294.65210208413</v>
      </c>
      <c r="L133">
        <f>IFERROR(VLOOKUP(G133,'LEAID Match'!$A$2:$B$168,2,FALSE),"")</f>
        <v>4600045</v>
      </c>
    </row>
    <row r="134" spans="1:12" x14ac:dyDescent="0.2">
      <c r="A134">
        <f t="shared" si="5"/>
        <v>4600045</v>
      </c>
      <c r="B134">
        <v>2019</v>
      </c>
      <c r="C134" t="s">
        <v>208</v>
      </c>
      <c r="D134" t="s">
        <v>212</v>
      </c>
      <c r="E134" t="s">
        <v>211</v>
      </c>
      <c r="F134" s="3">
        <v>903105</v>
      </c>
      <c r="G134" s="3" t="s">
        <v>61</v>
      </c>
      <c r="H134" s="4">
        <v>208416</v>
      </c>
      <c r="I134" cm="1">
        <f t="array" ref="I134">_xlfn.IFS(B134=2015,H134/$O$10,B134=2016,H134/$O$11,B134=2017,H134/$O$12,B134=2018,H134/$O$13,B134=2019,H134/$O$14,B134=2020,H134/$O$15,B134=2021,H134/$O$16,B134=2022,H134/$O$17)</f>
        <v>4.0817297763515014E-3</v>
      </c>
      <c r="J134" s="6" cm="1">
        <f t="array" ref="J134">_xlfn.IFS(B134=2015,I134*$Q$1,B134=2016,I134*$Q$2,B134=2017,I134*$Q$3,B134=2018,I134*$Q$4,B134=2019,I134*$Q$5,B134=2020,I134*$Q$6,B134=2021,I134*$Q$7,B134=2022,I134*$Q$8)</f>
        <v>107951.3645822164</v>
      </c>
      <c r="K134" s="7">
        <f t="shared" si="6"/>
        <v>316367.36458221637</v>
      </c>
      <c r="L134">
        <f>IFERROR(VLOOKUP(G134,'LEAID Match'!$A$2:$B$168,2,FALSE),"")</f>
        <v>4600045</v>
      </c>
    </row>
    <row r="135" spans="1:12" x14ac:dyDescent="0.2">
      <c r="A135">
        <f t="shared" si="5"/>
        <v>4600045</v>
      </c>
      <c r="B135">
        <v>2020</v>
      </c>
      <c r="C135" t="s">
        <v>208</v>
      </c>
      <c r="D135" t="s">
        <v>212</v>
      </c>
      <c r="E135" t="s">
        <v>211</v>
      </c>
      <c r="F135" s="1">
        <v>903105</v>
      </c>
      <c r="G135" s="3" t="s">
        <v>61</v>
      </c>
      <c r="H135" s="2">
        <v>206826</v>
      </c>
      <c r="I135" cm="1">
        <f t="array" ref="I135">_xlfn.IFS(B135=2015,H135/$O$10,B135=2016,H135/$O$11,B135=2017,H135/$O$12,B135=2018,H135/$O$13,B135=2019,H135/$O$14,B135=2020,H135/$O$15,B135=2021,H135/$O$16,B135=2022,H135/$O$17)</f>
        <v>3.9172389194901021E-3</v>
      </c>
      <c r="J135" s="6" cm="1">
        <f t="array" ref="J135">_xlfn.IFS(B135=2015,I135*$Q$1,B135=2016,I135*$Q$2,B135=2017,I135*$Q$3,B135=2018,I135*$Q$4,B135=2019,I135*$Q$5,B135=2020,I135*$Q$6,B135=2021,I135*$Q$7,B135=2022,I135*$Q$8)</f>
        <v>106510.63110312627</v>
      </c>
      <c r="K135" s="7">
        <f t="shared" si="6"/>
        <v>313336.63110312627</v>
      </c>
      <c r="L135">
        <f>IFERROR(VLOOKUP(G135,'LEAID Match'!$A$2:$B$168,2,FALSE),"")</f>
        <v>4600045</v>
      </c>
    </row>
    <row r="136" spans="1:12" x14ac:dyDescent="0.2">
      <c r="A136">
        <f t="shared" si="5"/>
        <v>4600045</v>
      </c>
      <c r="B136">
        <v>2021</v>
      </c>
      <c r="C136" t="s">
        <v>208</v>
      </c>
      <c r="D136" t="s">
        <v>212</v>
      </c>
      <c r="E136" t="s">
        <v>211</v>
      </c>
      <c r="F136" s="3">
        <v>903105</v>
      </c>
      <c r="G136" s="3" t="s">
        <v>61</v>
      </c>
      <c r="H136" s="4">
        <v>211271</v>
      </c>
      <c r="I136" cm="1">
        <f t="array" ref="I136">_xlfn.IFS(B136=2015,H136/$O$10,B136=2016,H136/$O$11,B136=2017,H136/$O$12,B136=2018,H136/$O$13,B136=2019,H136/$O$14,B136=2020,H136/$O$15,B136=2021,H136/$O$16,B136=2022,H136/$O$17)</f>
        <v>3.815885575486175E-3</v>
      </c>
      <c r="J136" s="6" cm="1">
        <f t="array" ref="J136">_xlfn.IFS(B136=2015,I136*$Q$1,B136=2016,I136*$Q$2,B136=2017,I136*$Q$3,B136=2018,I136*$Q$4,B136=2019,I136*$Q$5,B136=2020,I136*$Q$6,B136=2021,I136*$Q$7,B136=2022,I136*$Q$8)</f>
        <v>106227.89334028077</v>
      </c>
      <c r="K136" s="7">
        <f t="shared" si="6"/>
        <v>317498.89334028075</v>
      </c>
      <c r="L136">
        <f>IFERROR(VLOOKUP(G136,'LEAID Match'!$A$2:$B$168,2,FALSE),"")</f>
        <v>4600045</v>
      </c>
    </row>
    <row r="137" spans="1:12" x14ac:dyDescent="0.2">
      <c r="A137">
        <f t="shared" si="5"/>
        <v>4600045</v>
      </c>
      <c r="B137">
        <v>2022</v>
      </c>
      <c r="C137" t="s">
        <v>208</v>
      </c>
      <c r="D137" t="s">
        <v>212</v>
      </c>
      <c r="E137" t="s">
        <v>211</v>
      </c>
      <c r="F137" s="3">
        <v>903105</v>
      </c>
      <c r="G137" s="3" t="s">
        <v>61</v>
      </c>
      <c r="H137" s="4">
        <v>215948</v>
      </c>
      <c r="I137" cm="1">
        <f t="array" ref="I137">_xlfn.IFS(B137=2015,H137/$O$10,B137=2016,H137/$O$11,B137=2017,H137/$O$12,B137=2018,H137/$O$13,B137=2019,H137/$O$14,B137=2020,H137/$O$15,B137=2021,H137/$O$16,B137=2022,H137/$O$17)</f>
        <v>3.7399131383057801E-3</v>
      </c>
      <c r="J137" s="6" cm="1">
        <f t="array" ref="J137">_xlfn.IFS(B137=2015,I137*$Q$1,B137=2016,I137*$Q$2,B137=2017,I137*$Q$3,B137=2018,I137*$Q$4,B137=2019,I137*$Q$5,B137=2020,I137*$Q$6,B137=2021,I137*$Q$7,B137=2022,I137*$Q$8)</f>
        <v>110170.15927290221</v>
      </c>
      <c r="K137" s="7">
        <f t="shared" si="6"/>
        <v>326118.15927290218</v>
      </c>
      <c r="L137">
        <f>IFERROR(VLOOKUP(G137,'LEAID Match'!$A$2:$B$168,2,FALSE),"")</f>
        <v>4600045</v>
      </c>
    </row>
    <row r="138" spans="1:12" x14ac:dyDescent="0.2">
      <c r="A138">
        <f t="shared" si="5"/>
        <v>4676020</v>
      </c>
      <c r="B138">
        <v>2015</v>
      </c>
      <c r="C138" t="s">
        <v>208</v>
      </c>
      <c r="D138" t="s">
        <v>212</v>
      </c>
      <c r="E138" t="s">
        <v>211</v>
      </c>
      <c r="F138" s="3">
        <v>903141</v>
      </c>
      <c r="G138" s="3" t="s">
        <v>148</v>
      </c>
      <c r="H138" s="4">
        <v>76756</v>
      </c>
      <c r="I138" cm="1">
        <f t="array" ref="I138">_xlfn.IFS(B138=2015,H138/$O$10,B138=2016,H138/$O$11,B138=2017,H138/$O$12,B138=2018,H138/$O$13,B138=2019,H138/$O$14,B138=2020,H138/$O$15,B138=2021,H138/$O$16,B138=2022,H138/$O$17)</f>
        <v>1.7953453643490807E-3</v>
      </c>
      <c r="J138" s="6" cm="1">
        <f t="array" ref="J138">_xlfn.IFS(B138=2015,I138*$Q$1,B138=2016,I138*$Q$2,B138=2017,I138*$Q$3,B138=2018,I138*$Q$4,B138=2019,I138*$Q$5,B138=2020,I138*$Q$6,B138=2021,I138*$Q$7,B138=2022,I138*$Q$8)</f>
        <v>44151.411478604066</v>
      </c>
      <c r="K138" s="7">
        <f t="shared" si="6"/>
        <v>120907.41147860407</v>
      </c>
      <c r="L138">
        <f>IFERROR(VLOOKUP(G138,'LEAID Match'!$A$2:$B$168,2,FALSE),"")</f>
        <v>4676020</v>
      </c>
    </row>
    <row r="139" spans="1:12" x14ac:dyDescent="0.2">
      <c r="A139">
        <f t="shared" si="5"/>
        <v>4676020</v>
      </c>
      <c r="B139">
        <v>2016</v>
      </c>
      <c r="C139" t="s">
        <v>208</v>
      </c>
      <c r="D139" t="s">
        <v>212</v>
      </c>
      <c r="E139" t="s">
        <v>211</v>
      </c>
      <c r="F139" s="3">
        <v>903141</v>
      </c>
      <c r="G139" s="3" t="s">
        <v>148</v>
      </c>
      <c r="H139" s="4">
        <v>81919</v>
      </c>
      <c r="I139" cm="1">
        <f t="array" ref="I139">_xlfn.IFS(B139=2015,H139/$O$10,B139=2016,H139/$O$11,B139=2017,H139/$O$12,B139=2018,H139/$O$13,B139=2019,H139/$O$14,B139=2020,H139/$O$15,B139=2021,H139/$O$16,B139=2022,H139/$O$17)</f>
        <v>1.8580917287484117E-3</v>
      </c>
      <c r="J139" s="6" cm="1">
        <f t="array" ref="J139">_xlfn.IFS(B139=2015,I139*$Q$1,B139=2016,I139*$Q$2,B139=2017,I139*$Q$3,B139=2018,I139*$Q$4,B139=2019,I139*$Q$5,B139=2020,I139*$Q$6,B139=2021,I139*$Q$7,B139=2022,I139*$Q$8)</f>
        <v>47206.316132695043</v>
      </c>
      <c r="K139" s="7">
        <f t="shared" si="6"/>
        <v>129125.31613269504</v>
      </c>
      <c r="L139">
        <f>IFERROR(VLOOKUP(G139,'LEAID Match'!$A$2:$B$168,2,FALSE),"")</f>
        <v>4676020</v>
      </c>
    </row>
    <row r="140" spans="1:12" x14ac:dyDescent="0.2">
      <c r="A140">
        <f t="shared" si="5"/>
        <v>4676020</v>
      </c>
      <c r="B140">
        <v>2017</v>
      </c>
      <c r="C140" t="s">
        <v>208</v>
      </c>
      <c r="D140" t="s">
        <v>212</v>
      </c>
      <c r="E140" t="s">
        <v>211</v>
      </c>
      <c r="F140" s="3">
        <v>903141</v>
      </c>
      <c r="G140" s="3" t="s">
        <v>148</v>
      </c>
      <c r="H140" s="4">
        <v>93072</v>
      </c>
      <c r="I140" cm="1">
        <f t="array" ref="I140">_xlfn.IFS(B140=2015,H140/$O$10,B140=2016,H140/$O$11,B140=2017,H140/$O$12,B140=2018,H140/$O$13,B140=2019,H140/$O$14,B140=2020,H140/$O$15,B140=2021,H140/$O$16,B140=2022,H140/$O$17)</f>
        <v>1.9216380800153149E-3</v>
      </c>
      <c r="J140" s="6" cm="1">
        <f t="array" ref="J140">_xlfn.IFS(B140=2015,I140*$Q$1,B140=2016,I140*$Q$2,B140=2017,I140*$Q$3,B140=2018,I140*$Q$4,B140=2019,I140*$Q$5,B140=2020,I140*$Q$6,B140=2021,I140*$Q$7,B140=2022,I140*$Q$8)</f>
        <v>50549.715849537584</v>
      </c>
      <c r="K140" s="7">
        <f t="shared" si="6"/>
        <v>143621.71584953758</v>
      </c>
      <c r="L140">
        <f>IFERROR(VLOOKUP(G140,'LEAID Match'!$A$2:$B$168,2,FALSE),"")</f>
        <v>4676020</v>
      </c>
    </row>
    <row r="141" spans="1:12" x14ac:dyDescent="0.2">
      <c r="A141">
        <f t="shared" si="5"/>
        <v>4676020</v>
      </c>
      <c r="B141">
        <v>2018</v>
      </c>
      <c r="C141" t="s">
        <v>208</v>
      </c>
      <c r="D141" t="s">
        <v>212</v>
      </c>
      <c r="E141" t="s">
        <v>211</v>
      </c>
      <c r="F141" s="3">
        <v>903141</v>
      </c>
      <c r="G141" s="3" t="s">
        <v>148</v>
      </c>
      <c r="H141" s="4">
        <v>94900</v>
      </c>
      <c r="I141" cm="1">
        <f t="array" ref="I141">_xlfn.IFS(B141=2015,H141/$O$10,B141=2016,H141/$O$11,B141=2017,H141/$O$12,B141=2018,H141/$O$13,B141=2019,H141/$O$14,B141=2020,H141/$O$15,B141=2021,H141/$O$16,B141=2022,H141/$O$17)</f>
        <v>1.8925531563140021E-3</v>
      </c>
      <c r="J141" s="6" cm="1">
        <f t="array" ref="J141">_xlfn.IFS(B141=2015,I141*$Q$1,B141=2016,I141*$Q$2,B141=2017,I141*$Q$3,B141=2018,I141*$Q$4,B141=2019,I141*$Q$5,B141=2020,I141*$Q$6,B141=2021,I141*$Q$7,B141=2022,I141*$Q$8)</f>
        <v>49690.514194527583</v>
      </c>
      <c r="K141" s="7">
        <f t="shared" si="6"/>
        <v>144590.51419452758</v>
      </c>
      <c r="L141">
        <f>IFERROR(VLOOKUP(G141,'LEAID Match'!$A$2:$B$168,2,FALSE),"")</f>
        <v>4676020</v>
      </c>
    </row>
    <row r="142" spans="1:12" x14ac:dyDescent="0.2">
      <c r="A142">
        <f t="shared" si="5"/>
        <v>4676020</v>
      </c>
      <c r="B142">
        <v>2019</v>
      </c>
      <c r="C142" t="s">
        <v>208</v>
      </c>
      <c r="D142" t="s">
        <v>212</v>
      </c>
      <c r="E142" t="s">
        <v>211</v>
      </c>
      <c r="F142" s="3">
        <v>903141</v>
      </c>
      <c r="G142" s="3" t="s">
        <v>148</v>
      </c>
      <c r="H142" s="4">
        <v>96693</v>
      </c>
      <c r="I142" cm="1">
        <f t="array" ref="I142">_xlfn.IFS(B142=2015,H142/$O$10,B142=2016,H142/$O$11,B142=2017,H142/$O$12,B142=2018,H142/$O$13,B142=2019,H142/$O$14,B142=2020,H142/$O$15,B142=2021,H142/$O$16,B142=2022,H142/$O$17)</f>
        <v>1.8936871318169226E-3</v>
      </c>
      <c r="J142" s="6" cm="1">
        <f t="array" ref="J142">_xlfn.IFS(B142=2015,I142*$Q$1,B142=2016,I142*$Q$2,B142=2017,I142*$Q$3,B142=2018,I142*$Q$4,B142=2019,I142*$Q$5,B142=2020,I142*$Q$6,B142=2021,I142*$Q$7,B142=2022,I142*$Q$8)</f>
        <v>50083.205202807127</v>
      </c>
      <c r="K142" s="7">
        <f t="shared" si="6"/>
        <v>146776.20520280712</v>
      </c>
      <c r="L142">
        <f>IFERROR(VLOOKUP(G142,'LEAID Match'!$A$2:$B$168,2,FALSE),"")</f>
        <v>4676020</v>
      </c>
    </row>
    <row r="143" spans="1:12" x14ac:dyDescent="0.2">
      <c r="A143">
        <f t="shared" si="5"/>
        <v>4676020</v>
      </c>
      <c r="B143">
        <v>2020</v>
      </c>
      <c r="C143" t="s">
        <v>208</v>
      </c>
      <c r="D143" t="s">
        <v>212</v>
      </c>
      <c r="E143" t="s">
        <v>211</v>
      </c>
      <c r="F143" s="1">
        <v>903141</v>
      </c>
      <c r="G143" s="3" t="s">
        <v>148</v>
      </c>
      <c r="H143" s="2">
        <v>97474</v>
      </c>
      <c r="I143" cm="1">
        <f t="array" ref="I143">_xlfn.IFS(B143=2015,H143/$O$10,B143=2016,H143/$O$11,B143=2017,H143/$O$12,B143=2018,H143/$O$13,B143=2019,H143/$O$14,B143=2020,H143/$O$15,B143=2021,H143/$O$16,B143=2022,H143/$O$17)</f>
        <v>1.846136106864602E-3</v>
      </c>
      <c r="J143" s="6" cm="1">
        <f t="array" ref="J143">_xlfn.IFS(B143=2015,I143*$Q$1,B143=2016,I143*$Q$2,B143=2017,I143*$Q$3,B143=2018,I143*$Q$4,B143=2019,I143*$Q$5,B143=2020,I143*$Q$6,B143=2021,I143*$Q$7,B143=2022,I143*$Q$8)</f>
        <v>50196.867203089212</v>
      </c>
      <c r="K143" s="7">
        <f t="shared" si="6"/>
        <v>147670.8672030892</v>
      </c>
      <c r="L143">
        <f>IFERROR(VLOOKUP(G143,'LEAID Match'!$A$2:$B$168,2,FALSE),"")</f>
        <v>4676020</v>
      </c>
    </row>
    <row r="144" spans="1:12" x14ac:dyDescent="0.2">
      <c r="A144">
        <f t="shared" si="5"/>
        <v>4676020</v>
      </c>
      <c r="B144">
        <v>2021</v>
      </c>
      <c r="C144" t="s">
        <v>208</v>
      </c>
      <c r="D144" t="s">
        <v>212</v>
      </c>
      <c r="E144" t="s">
        <v>211</v>
      </c>
      <c r="F144" s="3">
        <v>903141</v>
      </c>
      <c r="G144" s="3" t="s">
        <v>148</v>
      </c>
      <c r="H144" s="4">
        <v>97497</v>
      </c>
      <c r="I144" cm="1">
        <f t="array" ref="I144">_xlfn.IFS(B144=2015,H144/$O$10,B144=2016,H144/$O$11,B144=2017,H144/$O$12,B144=2018,H144/$O$13,B144=2019,H144/$O$14,B144=2020,H144/$O$15,B144=2021,H144/$O$16,B144=2022,H144/$O$17)</f>
        <v>1.760948714935678E-3</v>
      </c>
      <c r="J144" s="6" cm="1">
        <f t="array" ref="J144">_xlfn.IFS(B144=2015,I144*$Q$1,B144=2016,I144*$Q$2,B144=2017,I144*$Q$3,B144=2018,I144*$Q$4,B144=2019,I144*$Q$5,B144=2020,I144*$Q$6,B144=2021,I144*$Q$7,B144=2022,I144*$Q$8)</f>
        <v>49021.87672230148</v>
      </c>
      <c r="K144" s="7">
        <f t="shared" si="6"/>
        <v>146518.87672230147</v>
      </c>
      <c r="L144">
        <f>IFERROR(VLOOKUP(G144,'LEAID Match'!$A$2:$B$168,2,FALSE),"")</f>
        <v>4676020</v>
      </c>
    </row>
    <row r="145" spans="1:12" x14ac:dyDescent="0.2">
      <c r="A145">
        <f t="shared" si="5"/>
        <v>4676020</v>
      </c>
      <c r="B145">
        <v>2022</v>
      </c>
      <c r="C145" t="s">
        <v>208</v>
      </c>
      <c r="D145" t="s">
        <v>212</v>
      </c>
      <c r="E145" t="s">
        <v>211</v>
      </c>
      <c r="F145" s="3">
        <v>903141</v>
      </c>
      <c r="G145" s="3" t="s">
        <v>148</v>
      </c>
      <c r="H145" s="4">
        <v>101005</v>
      </c>
      <c r="I145" cm="1">
        <f t="array" ref="I145">_xlfn.IFS(B145=2015,H145/$O$10,B145=2016,H145/$O$11,B145=2017,H145/$O$12,B145=2018,H145/$O$13,B145=2019,H145/$O$14,B145=2020,H145/$O$15,B145=2021,H145/$O$16,B145=2022,H145/$O$17)</f>
        <v>1.7492633714346756E-3</v>
      </c>
      <c r="J145" s="6" cm="1">
        <f t="array" ref="J145">_xlfn.IFS(B145=2015,I145*$Q$1,B145=2016,I145*$Q$2,B145=2017,I145*$Q$3,B145=2018,I145*$Q$4,B145=2019,I145*$Q$5,B145=2020,I145*$Q$6,B145=2021,I145*$Q$7,B145=2022,I145*$Q$8)</f>
        <v>51529.705935500613</v>
      </c>
      <c r="K145" s="7">
        <f t="shared" si="6"/>
        <v>152534.70593550062</v>
      </c>
      <c r="L145">
        <f>IFERROR(VLOOKUP(G145,'LEAID Match'!$A$2:$B$168,2,FALSE),"")</f>
        <v>4676020</v>
      </c>
    </row>
    <row r="146" spans="1:12" x14ac:dyDescent="0.2">
      <c r="A146">
        <f t="shared" si="5"/>
        <v>4621400</v>
      </c>
      <c r="B146">
        <v>2015</v>
      </c>
      <c r="C146" t="s">
        <v>208</v>
      </c>
      <c r="D146" t="s">
        <v>212</v>
      </c>
      <c r="E146" t="s">
        <v>211</v>
      </c>
      <c r="F146" s="3">
        <v>903142</v>
      </c>
      <c r="G146" s="3" t="s">
        <v>55</v>
      </c>
      <c r="H146" s="4">
        <v>59050</v>
      </c>
      <c r="I146" cm="1">
        <f t="array" ref="I146">_xlfn.IFS(B146=2015,H146/$O$10,B146=2016,H146/$O$11,B146=2017,H146/$O$12,B146=2018,H146/$O$13,B146=2019,H146/$O$14,B146=2020,H146/$O$15,B146=2021,H146/$O$16,B146=2022,H146/$O$17)</f>
        <v>1.3811968284539739E-3</v>
      </c>
      <c r="J146" s="6" cm="1">
        <f t="array" ref="J146">_xlfn.IFS(B146=2015,I146*$Q$1,B146=2016,I146*$Q$2,B146=2017,I146*$Q$3,B146=2018,I146*$Q$4,B146=2019,I146*$Q$5,B146=2020,I146*$Q$6,B146=2021,I146*$Q$7,B146=2022,I146*$Q$8)</f>
        <v>33966.606490848535</v>
      </c>
      <c r="K146" s="7">
        <f t="shared" si="6"/>
        <v>93016.606490848528</v>
      </c>
      <c r="L146">
        <f>IFERROR(VLOOKUP(G146,'LEAID Match'!$A$2:$B$168,2,FALSE),"")</f>
        <v>4621400</v>
      </c>
    </row>
    <row r="147" spans="1:12" x14ac:dyDescent="0.2">
      <c r="A147">
        <f t="shared" si="5"/>
        <v>4621400</v>
      </c>
      <c r="B147">
        <v>2016</v>
      </c>
      <c r="C147" t="s">
        <v>208</v>
      </c>
      <c r="D147" t="s">
        <v>212</v>
      </c>
      <c r="E147" t="s">
        <v>211</v>
      </c>
      <c r="F147" s="3">
        <v>903142</v>
      </c>
      <c r="G147" s="3" t="s">
        <v>55</v>
      </c>
      <c r="H147" s="4">
        <v>62128</v>
      </c>
      <c r="I147" cm="1">
        <f t="array" ref="I147">_xlfn.IFS(B147=2015,H147/$O$10,B147=2016,H147/$O$11,B147=2017,H147/$O$12,B147=2018,H147/$O$13,B147=2019,H147/$O$14,B147=2020,H147/$O$15,B147=2021,H147/$O$16,B147=2022,H147/$O$17)</f>
        <v>1.4091910658538475E-3</v>
      </c>
      <c r="J147" s="6" cm="1">
        <f t="array" ref="J147">_xlfn.IFS(B147=2015,I147*$Q$1,B147=2016,I147*$Q$2,B147=2017,I147*$Q$3,B147=2018,I147*$Q$4,B147=2019,I147*$Q$5,B147=2020,I147*$Q$6,B147=2021,I147*$Q$7,B147=2022,I147*$Q$8)</f>
        <v>35801.633426825007</v>
      </c>
      <c r="K147" s="7">
        <f t="shared" si="6"/>
        <v>97929.633426825007</v>
      </c>
      <c r="L147">
        <f>IFERROR(VLOOKUP(G147,'LEAID Match'!$A$2:$B$168,2,FALSE),"")</f>
        <v>4621400</v>
      </c>
    </row>
    <row r="148" spans="1:12" x14ac:dyDescent="0.2">
      <c r="A148">
        <f t="shared" si="5"/>
        <v>4621400</v>
      </c>
      <c r="B148">
        <v>2017</v>
      </c>
      <c r="C148" t="s">
        <v>208</v>
      </c>
      <c r="D148" t="s">
        <v>212</v>
      </c>
      <c r="E148" t="s">
        <v>211</v>
      </c>
      <c r="F148" s="3">
        <v>903142</v>
      </c>
      <c r="G148" s="3" t="s">
        <v>55</v>
      </c>
      <c r="H148" s="4">
        <v>72636</v>
      </c>
      <c r="I148" cm="1">
        <f t="array" ref="I148">_xlfn.IFS(B148=2015,H148/$O$10,B148=2016,H148/$O$11,B148=2017,H148/$O$12,B148=2018,H148/$O$13,B148=2019,H148/$O$14,B148=2020,H148/$O$15,B148=2021,H148/$O$16,B148=2022,H148/$O$17)</f>
        <v>1.4997002705431539E-3</v>
      </c>
      <c r="J148" s="6" cm="1">
        <f t="array" ref="J148">_xlfn.IFS(B148=2015,I148*$Q$1,B148=2016,I148*$Q$2,B148=2017,I148*$Q$3,B148=2018,I148*$Q$4,B148=2019,I148*$Q$5,B148=2020,I148*$Q$6,B148=2021,I148*$Q$7,B148=2022,I148*$Q$8)</f>
        <v>39450.416456582134</v>
      </c>
      <c r="K148" s="7">
        <f t="shared" si="6"/>
        <v>112086.41645658214</v>
      </c>
      <c r="L148">
        <f>IFERROR(VLOOKUP(G148,'LEAID Match'!$A$2:$B$168,2,FALSE),"")</f>
        <v>4621400</v>
      </c>
    </row>
    <row r="149" spans="1:12" x14ac:dyDescent="0.2">
      <c r="A149">
        <f t="shared" si="5"/>
        <v>4621400</v>
      </c>
      <c r="B149">
        <v>2018</v>
      </c>
      <c r="C149" t="s">
        <v>208</v>
      </c>
      <c r="D149" t="s">
        <v>212</v>
      </c>
      <c r="E149" t="s">
        <v>211</v>
      </c>
      <c r="F149" s="3">
        <v>903142</v>
      </c>
      <c r="G149" s="3" t="s">
        <v>55</v>
      </c>
      <c r="H149" s="4">
        <v>73778</v>
      </c>
      <c r="I149" cm="1">
        <f t="array" ref="I149">_xlfn.IFS(B149=2015,H149/$O$10,B149=2016,H149/$O$11,B149=2017,H149/$O$12,B149=2018,H149/$O$13,B149=2019,H149/$O$14,B149=2020,H149/$O$15,B149=2021,H149/$O$16,B149=2022,H149/$O$17)</f>
        <v>1.4713254664545253E-3</v>
      </c>
      <c r="J149" s="6" cm="1">
        <f t="array" ref="J149">_xlfn.IFS(B149=2015,I149*$Q$1,B149=2016,I149*$Q$2,B149=2017,I149*$Q$3,B149=2018,I149*$Q$4,B149=2019,I149*$Q$5,B149=2020,I149*$Q$6,B149=2021,I149*$Q$7,B149=2022,I149*$Q$8)</f>
        <v>38630.840424065922</v>
      </c>
      <c r="K149" s="7">
        <f t="shared" si="6"/>
        <v>112408.84042406591</v>
      </c>
      <c r="L149">
        <f>IFERROR(VLOOKUP(G149,'LEAID Match'!$A$2:$B$168,2,FALSE),"")</f>
        <v>4621400</v>
      </c>
    </row>
    <row r="150" spans="1:12" x14ac:dyDescent="0.2">
      <c r="A150">
        <f t="shared" si="5"/>
        <v>4621400</v>
      </c>
      <c r="B150">
        <v>2019</v>
      </c>
      <c r="C150" t="s">
        <v>208</v>
      </c>
      <c r="D150" t="s">
        <v>212</v>
      </c>
      <c r="E150" t="s">
        <v>211</v>
      </c>
      <c r="F150" s="3">
        <v>903142</v>
      </c>
      <c r="G150" s="3" t="s">
        <v>55</v>
      </c>
      <c r="H150" s="4">
        <v>75046</v>
      </c>
      <c r="I150" cm="1">
        <f t="array" ref="I150">_xlfn.IFS(B150=2015,H150/$O$10,B150=2016,H150/$O$11,B150=2017,H150/$O$12,B150=2018,H150/$O$13,B150=2019,H150/$O$14,B150=2020,H150/$O$15,B150=2021,H150/$O$16,B150=2022,H150/$O$17)</f>
        <v>1.4697407722827171E-3</v>
      </c>
      <c r="J150" s="6" cm="1">
        <f t="array" ref="J150">_xlfn.IFS(B150=2015,I150*$Q$1,B150=2016,I150*$Q$2,B150=2017,I150*$Q$3,B150=2018,I150*$Q$4,B150=2019,I150*$Q$5,B150=2020,I150*$Q$6,B150=2021,I150*$Q$7,B150=2022,I150*$Q$8)</f>
        <v>38870.902936612409</v>
      </c>
      <c r="K150" s="7">
        <f t="shared" si="6"/>
        <v>113916.9029366124</v>
      </c>
      <c r="L150">
        <f>IFERROR(VLOOKUP(G150,'LEAID Match'!$A$2:$B$168,2,FALSE),"")</f>
        <v>4621400</v>
      </c>
    </row>
    <row r="151" spans="1:12" x14ac:dyDescent="0.2">
      <c r="A151">
        <f t="shared" si="5"/>
        <v>4621400</v>
      </c>
      <c r="B151">
        <v>2020</v>
      </c>
      <c r="C151" t="s">
        <v>208</v>
      </c>
      <c r="D151" t="s">
        <v>212</v>
      </c>
      <c r="E151" t="s">
        <v>211</v>
      </c>
      <c r="F151" s="1">
        <v>903142</v>
      </c>
      <c r="G151" s="3" t="s">
        <v>55</v>
      </c>
      <c r="H151" s="2">
        <v>77284</v>
      </c>
      <c r="I151" cm="1">
        <f t="array" ref="I151">_xlfn.IFS(B151=2015,H151/$O$10,B151=2016,H151/$O$11,B151=2017,H151/$O$12,B151=2018,H151/$O$13,B151=2019,H151/$O$14,B151=2020,H151/$O$15,B151=2021,H151/$O$16,B151=2022,H151/$O$17)</f>
        <v>1.4637419504988397E-3</v>
      </c>
      <c r="J151" s="6" cm="1">
        <f t="array" ref="J151">_xlfn.IFS(B151=2015,I151*$Q$1,B151=2016,I151*$Q$2,B151=2017,I151*$Q$3,B151=2018,I151*$Q$4,B151=2019,I151*$Q$5,B151=2020,I151*$Q$6,B151=2021,I151*$Q$7,B151=2022,I151*$Q$8)</f>
        <v>39799.481758454021</v>
      </c>
      <c r="K151" s="7">
        <f t="shared" si="6"/>
        <v>117083.48175845403</v>
      </c>
      <c r="L151">
        <f>IFERROR(VLOOKUP(G151,'LEAID Match'!$A$2:$B$168,2,FALSE),"")</f>
        <v>4621400</v>
      </c>
    </row>
    <row r="152" spans="1:12" x14ac:dyDescent="0.2">
      <c r="A152">
        <f t="shared" si="5"/>
        <v>4621400</v>
      </c>
      <c r="B152">
        <v>2021</v>
      </c>
      <c r="C152" t="s">
        <v>208</v>
      </c>
      <c r="D152" t="s">
        <v>212</v>
      </c>
      <c r="E152" t="s">
        <v>211</v>
      </c>
      <c r="F152" s="3">
        <v>903142</v>
      </c>
      <c r="G152" s="3" t="s">
        <v>55</v>
      </c>
      <c r="H152" s="4">
        <v>79962</v>
      </c>
      <c r="I152" cm="1">
        <f t="array" ref="I152">_xlfn.IFS(B152=2015,H152/$O$10,B152=2016,H152/$O$11,B152=2017,H152/$O$12,B152=2018,H152/$O$13,B152=2019,H152/$O$14,B152=2020,H152/$O$15,B152=2021,H152/$O$16,B152=2022,H152/$O$17)</f>
        <v>1.4442391165234486E-3</v>
      </c>
      <c r="J152" s="6" cm="1">
        <f t="array" ref="J152">_xlfn.IFS(B152=2015,I152*$Q$1,B152=2016,I152*$Q$2,B152=2017,I152*$Q$3,B152=2018,I152*$Q$4,B152=2019,I152*$Q$5,B152=2020,I152*$Q$6,B152=2021,I152*$Q$7,B152=2022,I152*$Q$8)</f>
        <v>40205.209457405566</v>
      </c>
      <c r="K152" s="7">
        <f t="shared" si="6"/>
        <v>120167.20945740557</v>
      </c>
      <c r="L152">
        <f>IFERROR(VLOOKUP(G152,'LEAID Match'!$A$2:$B$168,2,FALSE),"")</f>
        <v>4621400</v>
      </c>
    </row>
    <row r="153" spans="1:12" x14ac:dyDescent="0.2">
      <c r="A153">
        <f t="shared" si="5"/>
        <v>4621400</v>
      </c>
      <c r="B153">
        <v>2022</v>
      </c>
      <c r="C153" t="s">
        <v>208</v>
      </c>
      <c r="D153" t="s">
        <v>212</v>
      </c>
      <c r="E153" t="s">
        <v>211</v>
      </c>
      <c r="F153" s="3">
        <v>903142</v>
      </c>
      <c r="G153" s="3" t="s">
        <v>55</v>
      </c>
      <c r="H153" s="4">
        <v>84402</v>
      </c>
      <c r="I153" cm="1">
        <f t="array" ref="I153">_xlfn.IFS(B153=2015,H153/$O$10,B153=2016,H153/$O$11,B153=2017,H153/$O$12,B153=2018,H153/$O$13,B153=2019,H153/$O$14,B153=2020,H153/$O$15,B153=2021,H153/$O$16,B153=2022,H153/$O$17)</f>
        <v>1.4617229550599423E-3</v>
      </c>
      <c r="J153" s="6" cm="1">
        <f t="array" ref="J153">_xlfn.IFS(B153=2015,I153*$Q$1,B153=2016,I153*$Q$2,B153=2017,I153*$Q$3,B153=2018,I153*$Q$4,B153=2019,I153*$Q$5,B153=2020,I153*$Q$6,B153=2021,I153*$Q$7,B153=2022,I153*$Q$8)</f>
        <v>43059.355877116206</v>
      </c>
      <c r="K153" s="7">
        <f t="shared" si="6"/>
        <v>127461.35587711621</v>
      </c>
      <c r="L153">
        <f>IFERROR(VLOOKUP(G153,'LEAID Match'!$A$2:$B$168,2,FALSE),"")</f>
        <v>4621400</v>
      </c>
    </row>
    <row r="154" spans="1:12" x14ac:dyDescent="0.2">
      <c r="A154">
        <f t="shared" si="5"/>
        <v>4600029</v>
      </c>
      <c r="B154">
        <v>2015</v>
      </c>
      <c r="C154" t="s">
        <v>208</v>
      </c>
      <c r="D154" t="s">
        <v>212</v>
      </c>
      <c r="E154" t="s">
        <v>211</v>
      </c>
      <c r="F154" s="3">
        <v>903501</v>
      </c>
      <c r="G154" s="3" t="s">
        <v>170</v>
      </c>
      <c r="H154" s="4">
        <v>129107</v>
      </c>
      <c r="I154" cm="1">
        <f t="array" ref="I154">_xlfn.IFS(B154=2015,H154/$O$10,B154=2016,H154/$O$11,B154=2017,H154/$O$12,B154=2018,H154/$O$13,B154=2019,H154/$O$14,B154=2020,H154/$O$15,B154=2021,H154/$O$16,B154=2022,H154/$O$17)</f>
        <v>3.0198506169552448E-3</v>
      </c>
      <c r="J154" s="6" cm="1">
        <f t="array" ref="J154">_xlfn.IFS(B154=2015,I154*$Q$1,B154=2016,I154*$Q$2,B154=2017,I154*$Q$3,B154=2018,I154*$Q$4,B154=2019,I154*$Q$5,B154=2020,I154*$Q$6,B154=2021,I154*$Q$7,B154=2022,I154*$Q$8)</f>
        <v>74264.634449009012</v>
      </c>
      <c r="K154" s="7">
        <f t="shared" si="6"/>
        <v>203371.63444900903</v>
      </c>
      <c r="L154">
        <f>IFERROR(VLOOKUP(G154,'LEAID Match'!$A$2:$B$168,2,FALSE),"")</f>
        <v>4600029</v>
      </c>
    </row>
    <row r="155" spans="1:12" x14ac:dyDescent="0.2">
      <c r="A155">
        <f t="shared" si="5"/>
        <v>4600029</v>
      </c>
      <c r="B155">
        <v>2016</v>
      </c>
      <c r="C155" t="s">
        <v>208</v>
      </c>
      <c r="D155" t="s">
        <v>212</v>
      </c>
      <c r="E155" t="s">
        <v>211</v>
      </c>
      <c r="F155" s="3">
        <v>903501</v>
      </c>
      <c r="G155" s="3" t="s">
        <v>170</v>
      </c>
      <c r="H155" s="4">
        <v>131650</v>
      </c>
      <c r="I155" cm="1">
        <f t="array" ref="I155">_xlfn.IFS(B155=2015,H155/$O$10,B155=2016,H155/$O$11,B155=2017,H155/$O$12,B155=2018,H155/$O$13,B155=2019,H155/$O$14,B155=2020,H155/$O$15,B155=2021,H155/$O$16,B155=2022,H155/$O$17)</f>
        <v>2.9860932883669041E-3</v>
      </c>
      <c r="J155" s="6" cm="1">
        <f t="array" ref="J155">_xlfn.IFS(B155=2015,I155*$Q$1,B155=2016,I155*$Q$2,B155=2017,I155*$Q$3,B155=2018,I155*$Q$4,B155=2019,I155*$Q$5,B155=2020,I155*$Q$6,B155=2021,I155*$Q$7,B155=2022,I155*$Q$8)</f>
        <v>75864.103796058334</v>
      </c>
      <c r="K155" s="7">
        <f t="shared" si="6"/>
        <v>207514.10379605833</v>
      </c>
      <c r="L155">
        <f>IFERROR(VLOOKUP(G155,'LEAID Match'!$A$2:$B$168,2,FALSE),"")</f>
        <v>4600029</v>
      </c>
    </row>
    <row r="156" spans="1:12" x14ac:dyDescent="0.2">
      <c r="A156">
        <f t="shared" si="5"/>
        <v>4600029</v>
      </c>
      <c r="B156">
        <v>2017</v>
      </c>
      <c r="C156" t="s">
        <v>208</v>
      </c>
      <c r="D156" t="s">
        <v>212</v>
      </c>
      <c r="E156" t="s">
        <v>211</v>
      </c>
      <c r="F156" s="3">
        <v>903501</v>
      </c>
      <c r="G156" s="3" t="s">
        <v>170</v>
      </c>
      <c r="H156" s="4">
        <v>134856</v>
      </c>
      <c r="I156" cm="1">
        <f t="array" ref="I156">_xlfn.IFS(B156=2015,H156/$O$10,B156=2016,H156/$O$11,B156=2017,H156/$O$12,B156=2018,H156/$O$13,B156=2019,H156/$O$14,B156=2020,H156/$O$15,B156=2021,H156/$O$16,B156=2022,H156/$O$17)</f>
        <v>2.7843435718427167E-3</v>
      </c>
      <c r="J156" s="6" cm="1">
        <f t="array" ref="J156">_xlfn.IFS(B156=2015,I156*$Q$1,B156=2016,I156*$Q$2,B156=2017,I156*$Q$3,B156=2018,I156*$Q$4,B156=2019,I156*$Q$5,B156=2020,I156*$Q$6,B156=2021,I156*$Q$7,B156=2022,I156*$Q$8)</f>
        <v>73243.644496790032</v>
      </c>
      <c r="K156" s="7">
        <f t="shared" si="6"/>
        <v>208099.64449679002</v>
      </c>
      <c r="L156">
        <f>IFERROR(VLOOKUP(G156,'LEAID Match'!$A$2:$B$168,2,FALSE),"")</f>
        <v>4600029</v>
      </c>
    </row>
    <row r="157" spans="1:12" x14ac:dyDescent="0.2">
      <c r="A157">
        <f t="shared" si="5"/>
        <v>4600029</v>
      </c>
      <c r="B157">
        <v>2018</v>
      </c>
      <c r="C157" t="s">
        <v>208</v>
      </c>
      <c r="D157" t="s">
        <v>212</v>
      </c>
      <c r="E157" t="s">
        <v>211</v>
      </c>
      <c r="F157" s="3">
        <v>903501</v>
      </c>
      <c r="G157" s="3" t="s">
        <v>170</v>
      </c>
      <c r="H157" s="4">
        <v>141959</v>
      </c>
      <c r="I157" cm="1">
        <f t="array" ref="I157">_xlfn.IFS(B157=2015,H157/$O$10,B157=2016,H157/$O$11,B157=2017,H157/$O$12,B157=2018,H157/$O$13,B157=2019,H157/$O$14,B157=2020,H157/$O$15,B157=2021,H157/$O$16,B157=2022,H157/$O$17)</f>
        <v>2.831032176155737E-3</v>
      </c>
      <c r="J157" s="6" cm="1">
        <f t="array" ref="J157">_xlfn.IFS(B157=2015,I157*$Q$1,B157=2016,I157*$Q$2,B157=2017,I157*$Q$3,B157=2018,I157*$Q$4,B157=2019,I157*$Q$5,B157=2020,I157*$Q$6,B157=2021,I157*$Q$7,B157=2022,I157*$Q$8)</f>
        <v>74331.040089999384</v>
      </c>
      <c r="K157" s="7">
        <f t="shared" si="6"/>
        <v>216290.04008999938</v>
      </c>
      <c r="L157">
        <f>IFERROR(VLOOKUP(G157,'LEAID Match'!$A$2:$B$168,2,FALSE),"")</f>
        <v>4600029</v>
      </c>
    </row>
    <row r="158" spans="1:12" x14ac:dyDescent="0.2">
      <c r="A158">
        <f t="shared" si="5"/>
        <v>4600029</v>
      </c>
      <c r="B158">
        <v>2019</v>
      </c>
      <c r="C158" t="s">
        <v>208</v>
      </c>
      <c r="D158" t="s">
        <v>212</v>
      </c>
      <c r="E158" t="s">
        <v>211</v>
      </c>
      <c r="F158" s="3">
        <v>903501</v>
      </c>
      <c r="G158" s="3" t="s">
        <v>170</v>
      </c>
      <c r="H158" s="4">
        <v>133451</v>
      </c>
      <c r="I158" cm="1">
        <f t="array" ref="I158">_xlfn.IFS(B158=2015,H158/$O$10,B158=2016,H158/$O$11,B158=2017,H158/$O$12,B158=2018,H158/$O$13,B158=2019,H158/$O$14,B158=2020,H158/$O$15,B158=2021,H158/$O$16,B158=2022,H158/$O$17)</f>
        <v>2.6135753511433105E-3</v>
      </c>
      <c r="J158" s="6" cm="1">
        <f t="array" ref="J158">_xlfn.IFS(B158=2015,I158*$Q$1,B158=2016,I158*$Q$2,B158=2017,I158*$Q$3,B158=2018,I158*$Q$4,B158=2019,I158*$Q$5,B158=2020,I158*$Q$6,B158=2021,I158*$Q$7,B158=2022,I158*$Q$8)</f>
        <v>69122.416488471907</v>
      </c>
      <c r="K158" s="7">
        <f t="shared" si="6"/>
        <v>202573.41648847191</v>
      </c>
      <c r="L158">
        <f>IFERROR(VLOOKUP(G158,'LEAID Match'!$A$2:$B$168,2,FALSE),"")</f>
        <v>4600029</v>
      </c>
    </row>
    <row r="159" spans="1:12" x14ac:dyDescent="0.2">
      <c r="A159">
        <f t="shared" si="5"/>
        <v>4600029</v>
      </c>
      <c r="B159">
        <v>2020</v>
      </c>
      <c r="C159" t="s">
        <v>208</v>
      </c>
      <c r="D159" t="s">
        <v>212</v>
      </c>
      <c r="E159" t="s">
        <v>211</v>
      </c>
      <c r="F159" s="3">
        <v>903501</v>
      </c>
      <c r="G159" s="3" t="s">
        <v>170</v>
      </c>
      <c r="H159" s="4">
        <v>127598</v>
      </c>
      <c r="I159" cm="1">
        <f t="array" ref="I159">_xlfn.IFS(B159=2015,H159/$O$10,B159=2016,H159/$O$11,B159=2017,H159/$O$12,B159=2018,H159/$O$13,B159=2019,H159/$O$14,B159=2020,H159/$O$15,B159=2021,H159/$O$16,B159=2022,H159/$O$17)</f>
        <v>2.4166780368478722E-3</v>
      </c>
      <c r="J159" s="6" cm="1">
        <f t="array" ref="J159">_xlfn.IFS(B159=2015,I159*$Q$1,B159=2016,I159*$Q$2,B159=2017,I159*$Q$3,B159=2018,I159*$Q$4,B159=2019,I159*$Q$5,B159=2020,I159*$Q$6,B159=2021,I159*$Q$7,B159=2022,I159*$Q$8)</f>
        <v>65710.034074520154</v>
      </c>
      <c r="K159" s="7">
        <f t="shared" si="6"/>
        <v>193308.03407452017</v>
      </c>
      <c r="L159">
        <f>IFERROR(VLOOKUP(G159,'LEAID Match'!$A$2:$B$168,2,FALSE),"")</f>
        <v>4600029</v>
      </c>
    </row>
    <row r="160" spans="1:12" x14ac:dyDescent="0.2">
      <c r="A160">
        <f t="shared" si="5"/>
        <v>4600029</v>
      </c>
      <c r="B160">
        <v>2021</v>
      </c>
      <c r="C160" t="s">
        <v>208</v>
      </c>
      <c r="D160" t="s">
        <v>212</v>
      </c>
      <c r="E160" t="s">
        <v>211</v>
      </c>
      <c r="F160" s="3">
        <v>903501</v>
      </c>
      <c r="G160" s="3" t="s">
        <v>170</v>
      </c>
      <c r="H160" s="5">
        <v>116909</v>
      </c>
      <c r="I160" cm="1">
        <f t="array" ref="I160">_xlfn.IFS(B160=2015,H160/$O$10,B160=2016,H160/$O$11,B160=2017,H160/$O$12,B160=2018,H160/$O$13,B160=2019,H160/$O$14,B160=2020,H160/$O$15,B160=2021,H160/$O$16,B160=2022,H160/$O$17)</f>
        <v>2.1115598768620077E-3</v>
      </c>
      <c r="J160" s="6" cm="1">
        <f t="array" ref="J160">_xlfn.IFS(B160=2015,I160*$Q$1,B160=2016,I160*$Q$2,B160=2017,I160*$Q$3,B160=2018,I160*$Q$4,B160=2019,I160*$Q$5,B160=2020,I160*$Q$6,B160=2021,I160*$Q$7,B160=2022,I160*$Q$8)</f>
        <v>58782.307001523564</v>
      </c>
      <c r="K160" s="7">
        <f t="shared" si="6"/>
        <v>175691.30700152356</v>
      </c>
      <c r="L160">
        <f>IFERROR(VLOOKUP(G160,'LEAID Match'!$A$2:$B$168,2,FALSE),"")</f>
        <v>4600029</v>
      </c>
    </row>
    <row r="161" spans="1:12" x14ac:dyDescent="0.2">
      <c r="A161">
        <f t="shared" si="5"/>
        <v>4600029</v>
      </c>
      <c r="B161">
        <v>2022</v>
      </c>
      <c r="C161" t="s">
        <v>208</v>
      </c>
      <c r="D161" t="s">
        <v>212</v>
      </c>
      <c r="E161" t="s">
        <v>211</v>
      </c>
      <c r="F161" s="3">
        <v>903501</v>
      </c>
      <c r="G161" s="3" t="s">
        <v>170</v>
      </c>
      <c r="H161" s="4">
        <v>122970</v>
      </c>
      <c r="I161" cm="1">
        <f t="array" ref="I161">_xlfn.IFS(B161=2015,H161/$O$10,B161=2016,H161/$O$11,B161=2017,H161/$O$12,B161=2018,H161/$O$13,B161=2019,H161/$O$14,B161=2020,H161/$O$15,B161=2021,H161/$O$16,B161=2022,H161/$O$17)</f>
        <v>2.1296660243089157E-3</v>
      </c>
      <c r="J161" s="6" cm="1">
        <f t="array" ref="J161">_xlfn.IFS(B161=2015,I161*$Q$1,B161=2016,I161*$Q$2,B161=2017,I161*$Q$3,B161=2018,I161*$Q$4,B161=2019,I161*$Q$5,B161=2020,I161*$Q$6,B161=2021,I161*$Q$7,B161=2022,I161*$Q$8)</f>
        <v>62735.586742126725</v>
      </c>
      <c r="K161" s="7">
        <f t="shared" si="6"/>
        <v>185705.58674212673</v>
      </c>
      <c r="L161">
        <f>IFERROR(VLOOKUP(G161,'LEAID Match'!$A$2:$B$168,2,FALSE),"")</f>
        <v>4600029</v>
      </c>
    </row>
    <row r="162" spans="1:12" x14ac:dyDescent="0.2">
      <c r="A162">
        <f t="shared" si="5"/>
        <v>4635480</v>
      </c>
      <c r="B162">
        <v>2015</v>
      </c>
      <c r="C162" t="s">
        <v>208</v>
      </c>
      <c r="D162" t="s">
        <v>212</v>
      </c>
      <c r="E162" t="s">
        <v>211</v>
      </c>
      <c r="F162" s="3">
        <v>904103</v>
      </c>
      <c r="G162" s="3" t="s">
        <v>75</v>
      </c>
      <c r="H162" s="4">
        <v>743419</v>
      </c>
      <c r="I162" cm="1">
        <f t="array" ref="I162">_xlfn.IFS(B162=2015,H162/$O$10,B162=2016,H162/$O$11,B162=2017,H162/$O$12,B162=2018,H162/$O$13,B162=2019,H162/$O$14,B162=2020,H162/$O$15,B162=2021,H162/$O$16,B162=2022,H162/$O$17)</f>
        <v>1.7388788569219726E-2</v>
      </c>
      <c r="J162" s="6" cm="1">
        <f t="array" ref="J162">_xlfn.IFS(B162=2015,I162*$Q$1,B162=2016,I162*$Q$2,B162=2017,I162*$Q$3,B162=2018,I162*$Q$4,B162=2019,I162*$Q$5,B162=2020,I162*$Q$6,B162=2021,I162*$Q$7,B162=2022,I162*$Q$8)</f>
        <v>427627.78375647974</v>
      </c>
      <c r="K162" s="7">
        <f t="shared" si="6"/>
        <v>1171046.7837564796</v>
      </c>
      <c r="L162">
        <f>IFERROR(VLOOKUP(G162,'LEAID Match'!$A$2:$B$168,2,FALSE),"")</f>
        <v>4635480</v>
      </c>
    </row>
    <row r="163" spans="1:12" x14ac:dyDescent="0.2">
      <c r="A163">
        <f t="shared" si="5"/>
        <v>4635480</v>
      </c>
      <c r="B163">
        <v>2016</v>
      </c>
      <c r="C163" t="s">
        <v>208</v>
      </c>
      <c r="D163" t="s">
        <v>212</v>
      </c>
      <c r="E163" t="s">
        <v>211</v>
      </c>
      <c r="F163" s="3">
        <v>904103</v>
      </c>
      <c r="G163" s="3" t="s">
        <v>75</v>
      </c>
      <c r="H163" s="4">
        <v>795557</v>
      </c>
      <c r="I163" cm="1">
        <f t="array" ref="I163">_xlfn.IFS(B163=2015,H163/$O$10,B163=2016,H163/$O$11,B163=2017,H163/$O$12,B163=2018,H163/$O$13,B163=2019,H163/$O$14,B163=2020,H163/$O$15,B163=2021,H163/$O$16,B163=2022,H163/$O$17)</f>
        <v>1.8044872147461519E-2</v>
      </c>
      <c r="J163" s="6" cm="1">
        <f t="array" ref="J163">_xlfn.IFS(B163=2015,I163*$Q$1,B163=2016,I163*$Q$2,B163=2017,I163*$Q$3,B163=2018,I163*$Q$4,B163=2019,I163*$Q$5,B163=2020,I163*$Q$6,B163=2021,I163*$Q$7,B163=2022,I163*$Q$8)</f>
        <v>458444.5030283386</v>
      </c>
      <c r="K163" s="7">
        <f t="shared" si="6"/>
        <v>1254001.5030283385</v>
      </c>
      <c r="L163">
        <f>IFERROR(VLOOKUP(G163,'LEAID Match'!$A$2:$B$168,2,FALSE),"")</f>
        <v>4635480</v>
      </c>
    </row>
    <row r="164" spans="1:12" x14ac:dyDescent="0.2">
      <c r="A164">
        <f t="shared" si="5"/>
        <v>4635480</v>
      </c>
      <c r="B164">
        <v>2017</v>
      </c>
      <c r="C164" t="s">
        <v>208</v>
      </c>
      <c r="D164" t="s">
        <v>212</v>
      </c>
      <c r="E164" t="s">
        <v>211</v>
      </c>
      <c r="F164" s="3">
        <v>904103</v>
      </c>
      <c r="G164" s="3" t="s">
        <v>75</v>
      </c>
      <c r="H164" s="4">
        <v>878718</v>
      </c>
      <c r="I164" cm="1">
        <f t="array" ref="I164">_xlfn.IFS(B164=2015,H164/$O$10,B164=2016,H164/$O$11,B164=2017,H164/$O$12,B164=2018,H164/$O$13,B164=2019,H164/$O$14,B164=2020,H164/$O$15,B164=2021,H164/$O$16,B164=2022,H164/$O$17)</f>
        <v>1.8142706403589667E-2</v>
      </c>
      <c r="J164" s="6" cm="1">
        <f t="array" ref="J164">_xlfn.IFS(B164=2015,I164*$Q$1,B164=2016,I164*$Q$2,B164=2017,I164*$Q$3,B164=2018,I164*$Q$4,B164=2019,I164*$Q$5,B164=2020,I164*$Q$6,B164=2021,I164*$Q$7,B164=2022,I164*$Q$8)</f>
        <v>477253.5801516457</v>
      </c>
      <c r="K164" s="7">
        <f t="shared" si="6"/>
        <v>1355971.5801516457</v>
      </c>
      <c r="L164">
        <f>IFERROR(VLOOKUP(G164,'LEAID Match'!$A$2:$B$168,2,FALSE),"")</f>
        <v>4635480</v>
      </c>
    </row>
    <row r="165" spans="1:12" x14ac:dyDescent="0.2">
      <c r="A165">
        <f t="shared" si="5"/>
        <v>4635480</v>
      </c>
      <c r="B165">
        <v>2018</v>
      </c>
      <c r="C165" t="s">
        <v>208</v>
      </c>
      <c r="D165" t="s">
        <v>212</v>
      </c>
      <c r="E165" t="s">
        <v>211</v>
      </c>
      <c r="F165" s="3">
        <v>904103</v>
      </c>
      <c r="G165" s="3" t="s">
        <v>75</v>
      </c>
      <c r="H165" s="4">
        <v>916181</v>
      </c>
      <c r="I165" cm="1">
        <f t="array" ref="I165">_xlfn.IFS(B165=2015,H165/$O$10,B165=2016,H165/$O$11,B165=2017,H165/$O$12,B165=2018,H165/$O$13,B165=2019,H165/$O$14,B165=2020,H165/$O$15,B165=2021,H165/$O$16,B165=2022,H165/$O$17)</f>
        <v>1.8271035229767321E-2</v>
      </c>
      <c r="J165" s="6" cm="1">
        <f t="array" ref="J165">_xlfn.IFS(B165=2015,I165*$Q$1,B165=2016,I165*$Q$2,B165=2017,I165*$Q$3,B165=2018,I165*$Q$4,B165=2019,I165*$Q$5,B165=2020,I165*$Q$6,B165=2021,I165*$Q$7,B165=2022,I165*$Q$8)</f>
        <v>479720.81122504192</v>
      </c>
      <c r="K165" s="7">
        <f t="shared" si="6"/>
        <v>1395901.811225042</v>
      </c>
      <c r="L165">
        <f>IFERROR(VLOOKUP(G165,'LEAID Match'!$A$2:$B$168,2,FALSE),"")</f>
        <v>4635480</v>
      </c>
    </row>
    <row r="166" spans="1:12" x14ac:dyDescent="0.2">
      <c r="A166">
        <f t="shared" si="5"/>
        <v>4635480</v>
      </c>
      <c r="B166">
        <v>2019</v>
      </c>
      <c r="C166" t="s">
        <v>208</v>
      </c>
      <c r="D166" t="s">
        <v>212</v>
      </c>
      <c r="E166" t="s">
        <v>211</v>
      </c>
      <c r="F166" s="3">
        <v>904103</v>
      </c>
      <c r="G166" s="3" t="s">
        <v>75</v>
      </c>
      <c r="H166" s="4">
        <v>937550</v>
      </c>
      <c r="I166" cm="1">
        <f t="array" ref="I166">_xlfn.IFS(B166=2015,H166/$O$10,B166=2016,H166/$O$11,B166=2017,H166/$O$12,B166=2018,H166/$O$13,B166=2019,H166/$O$14,B166=2020,H166/$O$15,B166=2021,H166/$O$16,B166=2022,H166/$O$17)</f>
        <v>1.8361477774347219E-2</v>
      </c>
      <c r="J166" s="6" cm="1">
        <f t="array" ref="J166">_xlfn.IFS(B166=2015,I166*$Q$1,B166=2016,I166*$Q$2,B166=2017,I166*$Q$3,B166=2018,I166*$Q$4,B166=2019,I166*$Q$5,B166=2020,I166*$Q$6,B166=2021,I166*$Q$7,B166=2022,I166*$Q$8)</f>
        <v>485614.35717054823</v>
      </c>
      <c r="K166" s="7">
        <f t="shared" si="6"/>
        <v>1423164.3571705483</v>
      </c>
      <c r="L166">
        <f>IFERROR(VLOOKUP(G166,'LEAID Match'!$A$2:$B$168,2,FALSE),"")</f>
        <v>4635480</v>
      </c>
    </row>
    <row r="167" spans="1:12" x14ac:dyDescent="0.2">
      <c r="A167">
        <f t="shared" si="5"/>
        <v>4635480</v>
      </c>
      <c r="B167">
        <v>2020</v>
      </c>
      <c r="C167" t="s">
        <v>208</v>
      </c>
      <c r="D167" t="s">
        <v>212</v>
      </c>
      <c r="E167" t="s">
        <v>211</v>
      </c>
      <c r="F167" s="1">
        <v>904103</v>
      </c>
      <c r="G167" s="3" t="s">
        <v>75</v>
      </c>
      <c r="H167" s="2">
        <v>984198</v>
      </c>
      <c r="I167" cm="1">
        <f t="array" ref="I167">_xlfn.IFS(B167=2015,H167/$O$10,B167=2016,H167/$O$11,B167=2017,H167/$O$12,B167=2018,H167/$O$13,B167=2019,H167/$O$14,B167=2020,H167/$O$15,B167=2021,H167/$O$16,B167=2022,H167/$O$17)</f>
        <v>1.8640493507026772E-2</v>
      </c>
      <c r="J167" s="6" cm="1">
        <f t="array" ref="J167">_xlfn.IFS(B167=2015,I167*$Q$1,B167=2016,I167*$Q$2,B167=2017,I167*$Q$3,B167=2018,I167*$Q$4,B167=2019,I167*$Q$5,B167=2020,I167*$Q$6,B167=2021,I167*$Q$7,B167=2022,I167*$Q$8)</f>
        <v>506839.32441005803</v>
      </c>
      <c r="K167" s="7">
        <f t="shared" si="6"/>
        <v>1491037.3244100581</v>
      </c>
      <c r="L167">
        <f>IFERROR(VLOOKUP(G167,'LEAID Match'!$A$2:$B$168,2,FALSE),"")</f>
        <v>4635480</v>
      </c>
    </row>
    <row r="168" spans="1:12" x14ac:dyDescent="0.2">
      <c r="A168">
        <f t="shared" si="5"/>
        <v>4635480</v>
      </c>
      <c r="B168">
        <v>2021</v>
      </c>
      <c r="C168" t="s">
        <v>208</v>
      </c>
      <c r="D168" t="s">
        <v>212</v>
      </c>
      <c r="E168" t="s">
        <v>211</v>
      </c>
      <c r="F168" s="3">
        <v>904103</v>
      </c>
      <c r="G168" s="3" t="s">
        <v>75</v>
      </c>
      <c r="H168" s="4">
        <v>1027701</v>
      </c>
      <c r="I168" cm="1">
        <f t="array" ref="I168">_xlfn.IFS(B168=2015,H168/$O$10,B168=2016,H168/$O$11,B168=2017,H168/$O$12,B168=2018,H168/$O$13,B168=2019,H168/$O$14,B168=2020,H168/$O$15,B168=2021,H168/$O$16,B168=2022,H168/$O$17)</f>
        <v>1.8561891702186847E-2</v>
      </c>
      <c r="J168" s="6" cm="1">
        <f t="array" ref="J168">_xlfn.IFS(B168=2015,I168*$Q$1,B168=2016,I168*$Q$2,B168=2017,I168*$Q$3,B168=2018,I168*$Q$4,B168=2019,I168*$Q$5,B168=2020,I168*$Q$6,B168=2021,I168*$Q$7,B168=2022,I168*$Q$8)</f>
        <v>516732.12231541431</v>
      </c>
      <c r="K168" s="7">
        <f t="shared" si="6"/>
        <v>1544433.1223154142</v>
      </c>
      <c r="L168">
        <f>IFERROR(VLOOKUP(G168,'LEAID Match'!$A$2:$B$168,2,FALSE),"")</f>
        <v>4635480</v>
      </c>
    </row>
    <row r="169" spans="1:12" x14ac:dyDescent="0.2">
      <c r="A169">
        <f t="shared" si="5"/>
        <v>4635480</v>
      </c>
      <c r="B169">
        <v>2022</v>
      </c>
      <c r="C169" t="s">
        <v>208</v>
      </c>
      <c r="D169" t="s">
        <v>212</v>
      </c>
      <c r="E169" t="s">
        <v>211</v>
      </c>
      <c r="F169" s="3">
        <v>904103</v>
      </c>
      <c r="G169" s="3" t="s">
        <v>75</v>
      </c>
      <c r="H169" s="4">
        <v>1107620</v>
      </c>
      <c r="I169" cm="1">
        <f t="array" ref="I169">_xlfn.IFS(B169=2015,H169/$O$10,B169=2016,H169/$O$11,B169=2017,H169/$O$12,B169=2018,H169/$O$13,B169=2019,H169/$O$14,B169=2020,H169/$O$15,B169=2021,H169/$O$16,B169=2022,H169/$O$17)</f>
        <v>1.9182407756729618E-2</v>
      </c>
      <c r="J169" s="6" cm="1">
        <f t="array" ref="J169">_xlfn.IFS(B169=2015,I169*$Q$1,B169=2016,I169*$Q$2,B169=2017,I169*$Q$3,B169=2018,I169*$Q$4,B169=2019,I169*$Q$5,B169=2020,I169*$Q$6,B169=2021,I169*$Q$7,B169=2022,I169*$Q$8)</f>
        <v>565074.33184772229</v>
      </c>
      <c r="K169" s="7">
        <f t="shared" si="6"/>
        <v>1672694.3318477222</v>
      </c>
      <c r="L169">
        <f>IFERROR(VLOOKUP(G169,'LEAID Match'!$A$2:$B$168,2,FALSE),"")</f>
        <v>4635480</v>
      </c>
    </row>
    <row r="170" spans="1:12" x14ac:dyDescent="0.2">
      <c r="A170">
        <f t="shared" si="5"/>
        <v>4680100</v>
      </c>
      <c r="B170">
        <v>2015</v>
      </c>
      <c r="C170" t="s">
        <v>208</v>
      </c>
      <c r="D170" t="s">
        <v>212</v>
      </c>
      <c r="E170" t="s">
        <v>211</v>
      </c>
      <c r="F170" s="3">
        <v>904105</v>
      </c>
      <c r="G170" s="3" t="s">
        <v>189</v>
      </c>
      <c r="H170" s="4">
        <v>99624</v>
      </c>
      <c r="I170" cm="1">
        <f t="array" ref="I170">_xlfn.IFS(B170=2015,H170/$O$10,B170=2016,H170/$O$11,B170=2017,H170/$O$12,B170=2018,H170/$O$13,B170=2019,H170/$O$14,B170=2020,H170/$O$15,B170=2021,H170/$O$16,B170=2022,H170/$O$17)</f>
        <v>2.3302345950533226E-3</v>
      </c>
      <c r="J170" s="6" cm="1">
        <f t="array" ref="J170">_xlfn.IFS(B170=2015,I170*$Q$1,B170=2016,I170*$Q$2,B170=2017,I170*$Q$3,B170=2018,I170*$Q$4,B170=2019,I170*$Q$5,B170=2020,I170*$Q$6,B170=2021,I170*$Q$7,B170=2022,I170*$Q$8)</f>
        <v>57305.490347913546</v>
      </c>
      <c r="K170" s="7">
        <f t="shared" si="6"/>
        <v>156929.49034791355</v>
      </c>
      <c r="L170">
        <f>IFERROR(VLOOKUP(G170,'LEAID Match'!$A$2:$B$168,2,FALSE),"")</f>
        <v>4680100</v>
      </c>
    </row>
    <row r="171" spans="1:12" x14ac:dyDescent="0.2">
      <c r="A171">
        <f t="shared" si="5"/>
        <v>4680100</v>
      </c>
      <c r="B171">
        <v>2016</v>
      </c>
      <c r="C171" t="s">
        <v>208</v>
      </c>
      <c r="D171" t="s">
        <v>212</v>
      </c>
      <c r="E171" t="s">
        <v>211</v>
      </c>
      <c r="F171" s="3">
        <v>904105</v>
      </c>
      <c r="G171" s="3" t="s">
        <v>189</v>
      </c>
      <c r="H171" s="4">
        <v>106667</v>
      </c>
      <c r="I171" cm="1">
        <f t="array" ref="I171">_xlfn.IFS(B171=2015,H171/$O$10,B171=2016,H171/$O$11,B171=2017,H171/$O$12,B171=2018,H171/$O$13,B171=2019,H171/$O$14,B171=2020,H171/$O$15,B171=2021,H171/$O$16,B171=2022,H171/$O$17)</f>
        <v>2.4194273664278963E-3</v>
      </c>
      <c r="J171" s="6" cm="1">
        <f t="array" ref="J171">_xlfn.IFS(B171=2015,I171*$Q$1,B171=2016,I171*$Q$2,B171=2017,I171*$Q$3,B171=2018,I171*$Q$4,B171=2019,I171*$Q$5,B171=2020,I171*$Q$6,B171=2021,I171*$Q$7,B171=2022,I171*$Q$8)</f>
        <v>61467.49988313068</v>
      </c>
      <c r="K171" s="7">
        <f t="shared" si="6"/>
        <v>168134.49988313069</v>
      </c>
      <c r="L171">
        <f>IFERROR(VLOOKUP(G171,'LEAID Match'!$A$2:$B$168,2,FALSE),"")</f>
        <v>4680100</v>
      </c>
    </row>
    <row r="172" spans="1:12" x14ac:dyDescent="0.2">
      <c r="A172">
        <f t="shared" si="5"/>
        <v>4680100</v>
      </c>
      <c r="B172">
        <v>2017</v>
      </c>
      <c r="C172" t="s">
        <v>208</v>
      </c>
      <c r="D172" t="s">
        <v>212</v>
      </c>
      <c r="E172" t="s">
        <v>211</v>
      </c>
      <c r="F172" s="3">
        <v>904105</v>
      </c>
      <c r="G172" s="3" t="s">
        <v>189</v>
      </c>
      <c r="H172" s="4">
        <v>121595</v>
      </c>
      <c r="I172" cm="1">
        <f t="array" ref="I172">_xlfn.IFS(B172=2015,H172/$O$10,B172=2016,H172/$O$11,B172=2017,H172/$O$12,B172=2018,H172/$O$13,B172=2019,H172/$O$14,B172=2020,H172/$O$15,B172=2021,H172/$O$16,B172=2022,H172/$O$17)</f>
        <v>2.5105464837917122E-3</v>
      </c>
      <c r="J172" s="6" cm="1">
        <f t="array" ref="J172">_xlfn.IFS(B172=2015,I172*$Q$1,B172=2016,I172*$Q$2,B172=2017,I172*$Q$3,B172=2018,I172*$Q$4,B172=2019,I172*$Q$5,B172=2020,I172*$Q$6,B172=2021,I172*$Q$7,B172=2022,I172*$Q$8)</f>
        <v>66041.265887963338</v>
      </c>
      <c r="K172" s="7">
        <f t="shared" si="6"/>
        <v>187636.26588796335</v>
      </c>
      <c r="L172">
        <f>IFERROR(VLOOKUP(G172,'LEAID Match'!$A$2:$B$168,2,FALSE),"")</f>
        <v>4680100</v>
      </c>
    </row>
    <row r="173" spans="1:12" x14ac:dyDescent="0.2">
      <c r="A173">
        <f t="shared" si="5"/>
        <v>4680100</v>
      </c>
      <c r="B173">
        <v>2018</v>
      </c>
      <c r="C173" t="s">
        <v>208</v>
      </c>
      <c r="D173" t="s">
        <v>212</v>
      </c>
      <c r="E173" t="s">
        <v>211</v>
      </c>
      <c r="F173" s="3">
        <v>904105</v>
      </c>
      <c r="G173" s="3" t="s">
        <v>189</v>
      </c>
      <c r="H173" s="4">
        <v>124213</v>
      </c>
      <c r="I173" cm="1">
        <f t="array" ref="I173">_xlfn.IFS(B173=2015,H173/$O$10,B173=2016,H173/$O$11,B173=2017,H173/$O$12,B173=2018,H173/$O$13,B173=2019,H173/$O$14,B173=2020,H173/$O$15,B173=2021,H173/$O$16,B173=2022,H173/$O$17)</f>
        <v>2.4771307187063346E-3</v>
      </c>
      <c r="J173" s="6" cm="1">
        <f t="array" ref="J173">_xlfn.IFS(B173=2015,I173*$Q$1,B173=2016,I173*$Q$2,B173=2017,I173*$Q$3,B173=2018,I173*$Q$4,B173=2019,I173*$Q$5,B173=2020,I173*$Q$6,B173=2021,I173*$Q$7,B173=2022,I173*$Q$8)</f>
        <v>65039.071018386247</v>
      </c>
      <c r="K173" s="7">
        <f t="shared" si="6"/>
        <v>189252.07101838625</v>
      </c>
      <c r="L173">
        <f>IFERROR(VLOOKUP(G173,'LEAID Match'!$A$2:$B$168,2,FALSE),"")</f>
        <v>4680100</v>
      </c>
    </row>
    <row r="174" spans="1:12" x14ac:dyDescent="0.2">
      <c r="A174">
        <f t="shared" si="5"/>
        <v>4680100</v>
      </c>
      <c r="B174">
        <v>2019</v>
      </c>
      <c r="C174" t="s">
        <v>208</v>
      </c>
      <c r="D174" t="s">
        <v>212</v>
      </c>
      <c r="E174" t="s">
        <v>211</v>
      </c>
      <c r="F174" s="3">
        <v>904105</v>
      </c>
      <c r="G174" s="3" t="s">
        <v>189</v>
      </c>
      <c r="H174" s="4">
        <v>127061</v>
      </c>
      <c r="I174" cm="1">
        <f t="array" ref="I174">_xlfn.IFS(B174=2015,H174/$O$10,B174=2016,H174/$O$11,B174=2017,H174/$O$12,B174=2018,H174/$O$13,B174=2019,H174/$O$14,B174=2020,H174/$O$15,B174=2021,H174/$O$16,B174=2022,H174/$O$17)</f>
        <v>2.488430193041792E-3</v>
      </c>
      <c r="J174" s="6" cm="1">
        <f t="array" ref="J174">_xlfn.IFS(B174=2015,I174*$Q$1,B174=2016,I174*$Q$2,B174=2017,I174*$Q$3,B174=2018,I174*$Q$4,B174=2019,I174*$Q$5,B174=2020,I174*$Q$6,B174=2021,I174*$Q$7,B174=2022,I174*$Q$8)</f>
        <v>65812.64555111411</v>
      </c>
      <c r="K174" s="7">
        <f t="shared" si="6"/>
        <v>192873.64555111411</v>
      </c>
      <c r="L174">
        <f>IFERROR(VLOOKUP(G174,'LEAID Match'!$A$2:$B$168,2,FALSE),"")</f>
        <v>4680100</v>
      </c>
    </row>
    <row r="175" spans="1:12" x14ac:dyDescent="0.2">
      <c r="A175">
        <f t="shared" si="5"/>
        <v>4680100</v>
      </c>
      <c r="B175">
        <v>2020</v>
      </c>
      <c r="C175" t="s">
        <v>208</v>
      </c>
      <c r="D175" t="s">
        <v>212</v>
      </c>
      <c r="E175" t="s">
        <v>211</v>
      </c>
      <c r="F175" s="1">
        <v>904105</v>
      </c>
      <c r="G175" s="3" t="s">
        <v>189</v>
      </c>
      <c r="H175" s="2">
        <v>131848</v>
      </c>
      <c r="I175" cm="1">
        <f t="array" ref="I175">_xlfn.IFS(B175=2015,H175/$O$10,B175=2016,H175/$O$11,B175=2017,H175/$O$12,B175=2018,H175/$O$13,B175=2019,H175/$O$14,B175=2020,H175/$O$15,B175=2021,H175/$O$16,B175=2022,H175/$O$17)</f>
        <v>2.4971721014617645E-3</v>
      </c>
      <c r="J175" s="6" cm="1">
        <f t="array" ref="J175">_xlfn.IFS(B175=2015,I175*$Q$1,B175=2016,I175*$Q$2,B175=2017,I175*$Q$3,B175=2018,I175*$Q$4,B175=2019,I175*$Q$5,B175=2020,I175*$Q$6,B175=2021,I175*$Q$7,B175=2022,I175*$Q$8)</f>
        <v>67898.686285500822</v>
      </c>
      <c r="K175" s="7">
        <f t="shared" si="6"/>
        <v>199746.68628550082</v>
      </c>
      <c r="L175">
        <f>IFERROR(VLOOKUP(G175,'LEAID Match'!$A$2:$B$168,2,FALSE),"")</f>
        <v>4680100</v>
      </c>
    </row>
    <row r="176" spans="1:12" x14ac:dyDescent="0.2">
      <c r="A176">
        <f t="shared" si="5"/>
        <v>4680100</v>
      </c>
      <c r="B176">
        <v>2021</v>
      </c>
      <c r="C176" t="s">
        <v>208</v>
      </c>
      <c r="D176" t="s">
        <v>212</v>
      </c>
      <c r="E176" t="s">
        <v>211</v>
      </c>
      <c r="F176" s="3">
        <v>904105</v>
      </c>
      <c r="G176" s="3" t="s">
        <v>189</v>
      </c>
      <c r="H176" s="4">
        <v>138044</v>
      </c>
      <c r="I176" cm="1">
        <f t="array" ref="I176">_xlfn.IFS(B176=2015,H176/$O$10,B176=2016,H176/$O$11,B176=2017,H176/$O$12,B176=2018,H176/$O$13,B176=2019,H176/$O$14,B176=2020,H176/$O$15,B176=2021,H176/$O$16,B176=2022,H176/$O$17)</f>
        <v>2.4932911207994164E-3</v>
      </c>
      <c r="J176" s="6" cm="1">
        <f t="array" ref="J176">_xlfn.IFS(B176=2015,I176*$Q$1,B176=2016,I176*$Q$2,B176=2017,I176*$Q$3,B176=2018,I176*$Q$4,B176=2019,I176*$Q$5,B176=2020,I176*$Q$6,B176=2021,I176*$Q$7,B176=2022,I176*$Q$8)</f>
        <v>69409.068486757373</v>
      </c>
      <c r="K176" s="7">
        <f t="shared" si="6"/>
        <v>207453.06848675737</v>
      </c>
      <c r="L176">
        <f>IFERROR(VLOOKUP(G176,'LEAID Match'!$A$2:$B$168,2,FALSE),"")</f>
        <v>4680100</v>
      </c>
    </row>
    <row r="177" spans="1:12" x14ac:dyDescent="0.2">
      <c r="A177">
        <f t="shared" si="5"/>
        <v>4680100</v>
      </c>
      <c r="B177">
        <v>2022</v>
      </c>
      <c r="C177" t="s">
        <v>208</v>
      </c>
      <c r="D177" t="s">
        <v>212</v>
      </c>
      <c r="E177" t="s">
        <v>211</v>
      </c>
      <c r="F177" s="3">
        <v>904105</v>
      </c>
      <c r="G177" s="3" t="s">
        <v>189</v>
      </c>
      <c r="H177" s="4">
        <v>143368</v>
      </c>
      <c r="I177" cm="1">
        <f t="array" ref="I177">_xlfn.IFS(B177=2015,H177/$O$10,B177=2016,H177/$O$11,B177=2017,H177/$O$12,B177=2018,H177/$O$13,B177=2019,H177/$O$14,B177=2020,H177/$O$15,B177=2021,H177/$O$16,B177=2022,H177/$O$17)</f>
        <v>2.4829304592430728E-3</v>
      </c>
      <c r="J177" s="6" cm="1">
        <f t="array" ref="J177">_xlfn.IFS(B177=2015,I177*$Q$1,B177=2016,I177*$Q$2,B177=2017,I177*$Q$3,B177=2018,I177*$Q$4,B177=2019,I177*$Q$5,B177=2020,I177*$Q$6,B177=2021,I177*$Q$7,B177=2022,I177*$Q$8)</f>
        <v>73142.031390137636</v>
      </c>
      <c r="K177" s="7">
        <f t="shared" si="6"/>
        <v>216510.03139013762</v>
      </c>
      <c r="L177">
        <f>IFERROR(VLOOKUP(G177,'LEAID Match'!$A$2:$B$168,2,FALSE),"")</f>
        <v>4680100</v>
      </c>
    </row>
    <row r="178" spans="1:12" x14ac:dyDescent="0.2">
      <c r="A178">
        <f t="shared" si="5"/>
        <v>4636150</v>
      </c>
      <c r="B178">
        <v>2015</v>
      </c>
      <c r="C178" t="s">
        <v>208</v>
      </c>
      <c r="D178" t="s">
        <v>212</v>
      </c>
      <c r="E178" t="s">
        <v>211</v>
      </c>
      <c r="F178" s="3">
        <v>904138</v>
      </c>
      <c r="G178" s="3" t="s">
        <v>78</v>
      </c>
      <c r="H178" s="4">
        <v>51774</v>
      </c>
      <c r="I178" cm="1">
        <f t="array" ref="I178">_xlfn.IFS(B178=2015,H178/$O$10,B178=2016,H178/$O$11,B178=2017,H178/$O$12,B178=2018,H178/$O$13,B178=2019,H178/$O$14,B178=2020,H178/$O$15,B178=2021,H178/$O$16,B178=2022,H178/$O$17)</f>
        <v>1.2110090532832522E-3</v>
      </c>
      <c r="J178" s="6" cm="1">
        <f t="array" ref="J178">_xlfn.IFS(B178=2015,I178*$Q$1,B178=2016,I178*$Q$2,B178=2017,I178*$Q$3,B178=2018,I178*$Q$4,B178=2019,I178*$Q$5,B178=2020,I178*$Q$6,B178=2021,I178*$Q$7,B178=2022,I178*$Q$8)</f>
        <v>29781.322344744996</v>
      </c>
      <c r="K178" s="7">
        <f t="shared" si="6"/>
        <v>81555.322344745</v>
      </c>
      <c r="L178">
        <f>IFERROR(VLOOKUP(G178,'LEAID Match'!$A$2:$B$168,2,FALSE),"")</f>
        <v>4636150</v>
      </c>
    </row>
    <row r="179" spans="1:12" x14ac:dyDescent="0.2">
      <c r="A179">
        <f t="shared" si="5"/>
        <v>4636150</v>
      </c>
      <c r="B179">
        <v>2016</v>
      </c>
      <c r="C179" t="s">
        <v>208</v>
      </c>
      <c r="D179" t="s">
        <v>212</v>
      </c>
      <c r="E179" t="s">
        <v>211</v>
      </c>
      <c r="F179" s="3">
        <v>904138</v>
      </c>
      <c r="G179" s="3" t="s">
        <v>78</v>
      </c>
      <c r="H179" s="4">
        <v>53959</v>
      </c>
      <c r="I179" cm="1">
        <f t="array" ref="I179">_xlfn.IFS(B179=2015,H179/$O$10,B179=2016,H179/$O$11,B179=2017,H179/$O$12,B179=2018,H179/$O$13,B179=2019,H179/$O$14,B179=2020,H179/$O$15,B179=2021,H179/$O$16,B179=2022,H179/$O$17)</f>
        <v>1.2239013121685513E-3</v>
      </c>
      <c r="J179" s="6" cm="1">
        <f t="array" ref="J179">_xlfn.IFS(B179=2015,I179*$Q$1,B179=2016,I179*$Q$2,B179=2017,I179*$Q$3,B179=2018,I179*$Q$4,B179=2019,I179*$Q$5,B179=2020,I179*$Q$6,B179=2021,I179*$Q$7,B179=2022,I179*$Q$8)</f>
        <v>31094.198076198343</v>
      </c>
      <c r="K179" s="7">
        <f t="shared" si="6"/>
        <v>85053.198076198343</v>
      </c>
      <c r="L179">
        <f>IFERROR(VLOOKUP(G179,'LEAID Match'!$A$2:$B$168,2,FALSE),"")</f>
        <v>4636150</v>
      </c>
    </row>
    <row r="180" spans="1:12" x14ac:dyDescent="0.2">
      <c r="A180">
        <f t="shared" si="5"/>
        <v>4636150</v>
      </c>
      <c r="B180">
        <v>2017</v>
      </c>
      <c r="C180" t="s">
        <v>208</v>
      </c>
      <c r="D180" t="s">
        <v>212</v>
      </c>
      <c r="E180" t="s">
        <v>211</v>
      </c>
      <c r="F180" s="3">
        <v>904138</v>
      </c>
      <c r="G180" s="3" t="s">
        <v>78</v>
      </c>
      <c r="H180" s="4">
        <v>65749</v>
      </c>
      <c r="I180" cm="1">
        <f t="array" ref="I180">_xlfn.IFS(B180=2015,H180/$O$10,B180=2016,H180/$O$11,B180=2017,H180/$O$12,B180=2018,H180/$O$13,B180=2019,H180/$O$14,B180=2020,H180/$O$15,B180=2021,H180/$O$16,B180=2022,H180/$O$17)</f>
        <v>1.3575058247692856E-3</v>
      </c>
      <c r="J180" s="6" cm="1">
        <f t="array" ref="J180">_xlfn.IFS(B180=2015,I180*$Q$1,B180=2016,I180*$Q$2,B180=2017,I180*$Q$3,B180=2018,I180*$Q$4,B180=2019,I180*$Q$5,B180=2020,I180*$Q$6,B180=2021,I180*$Q$7,B180=2022,I180*$Q$8)</f>
        <v>35709.915628666487</v>
      </c>
      <c r="K180" s="7">
        <f t="shared" si="6"/>
        <v>101458.91562866649</v>
      </c>
      <c r="L180">
        <f>IFERROR(VLOOKUP(G180,'LEAID Match'!$A$2:$B$168,2,FALSE),"")</f>
        <v>4636150</v>
      </c>
    </row>
    <row r="181" spans="1:12" x14ac:dyDescent="0.2">
      <c r="A181">
        <f t="shared" si="5"/>
        <v>4636150</v>
      </c>
      <c r="B181">
        <v>2018</v>
      </c>
      <c r="C181" t="s">
        <v>208</v>
      </c>
      <c r="D181" t="s">
        <v>212</v>
      </c>
      <c r="E181" t="s">
        <v>211</v>
      </c>
      <c r="F181" s="3">
        <v>904138</v>
      </c>
      <c r="G181" s="3" t="s">
        <v>78</v>
      </c>
      <c r="H181" s="4">
        <v>69733</v>
      </c>
      <c r="I181" cm="1">
        <f t="array" ref="I181">_xlfn.IFS(B181=2015,H181/$O$10,B181=2016,H181/$O$11,B181=2017,H181/$O$12,B181=2018,H181/$O$13,B181=2019,H181/$O$14,B181=2020,H181/$O$15,B181=2021,H181/$O$16,B181=2022,H181/$O$17)</f>
        <v>1.3906576317096345E-3</v>
      </c>
      <c r="J181" s="6" cm="1">
        <f t="array" ref="J181">_xlfn.IFS(B181=2015,I181*$Q$1,B181=2016,I181*$Q$2,B181=2017,I181*$Q$3,B181=2018,I181*$Q$4,B181=2019,I181*$Q$5,B181=2020,I181*$Q$6,B181=2021,I181*$Q$7,B181=2022,I181*$Q$8)</f>
        <v>36512.841162560508</v>
      </c>
      <c r="K181" s="7">
        <f t="shared" si="6"/>
        <v>106245.84116256051</v>
      </c>
      <c r="L181">
        <f>IFERROR(VLOOKUP(G181,'LEAID Match'!$A$2:$B$168,2,FALSE),"")</f>
        <v>4636150</v>
      </c>
    </row>
    <row r="182" spans="1:12" x14ac:dyDescent="0.2">
      <c r="A182">
        <f t="shared" si="5"/>
        <v>4636150</v>
      </c>
      <c r="B182">
        <v>2019</v>
      </c>
      <c r="C182" t="s">
        <v>208</v>
      </c>
      <c r="D182" t="s">
        <v>212</v>
      </c>
      <c r="E182" t="s">
        <v>211</v>
      </c>
      <c r="F182" s="3">
        <v>904138</v>
      </c>
      <c r="G182" s="3" t="s">
        <v>78</v>
      </c>
      <c r="H182" s="4">
        <v>73764</v>
      </c>
      <c r="I182" cm="1">
        <f t="array" ref="I182">_xlfn.IFS(B182=2015,H182/$O$10,B182=2016,H182/$O$11,B182=2017,H182/$O$12,B182=2018,H182/$O$13,B182=2019,H182/$O$14,B182=2020,H182/$O$15,B182=2021,H182/$O$16,B182=2022,H182/$O$17)</f>
        <v>1.4446334025352765E-3</v>
      </c>
      <c r="J182" s="6" cm="1">
        <f t="array" ref="J182">_xlfn.IFS(B182=2015,I182*$Q$1,B182=2016,I182*$Q$2,B182=2017,I182*$Q$3,B182=2018,I182*$Q$4,B182=2019,I182*$Q$5,B182=2020,I182*$Q$6,B182=2021,I182*$Q$7,B182=2022,I182*$Q$8)</f>
        <v>38206.876905048608</v>
      </c>
      <c r="K182" s="7">
        <f t="shared" si="6"/>
        <v>111970.87690504862</v>
      </c>
      <c r="L182">
        <f>IFERROR(VLOOKUP(G182,'LEAID Match'!$A$2:$B$168,2,FALSE),"")</f>
        <v>4636150</v>
      </c>
    </row>
    <row r="183" spans="1:12" x14ac:dyDescent="0.2">
      <c r="A183">
        <f t="shared" si="5"/>
        <v>4636150</v>
      </c>
      <c r="B183">
        <v>2020</v>
      </c>
      <c r="C183" t="s">
        <v>208</v>
      </c>
      <c r="D183" t="s">
        <v>212</v>
      </c>
      <c r="E183" t="s">
        <v>211</v>
      </c>
      <c r="F183" s="1">
        <v>904138</v>
      </c>
      <c r="G183" s="3" t="s">
        <v>78</v>
      </c>
      <c r="H183" s="2">
        <v>77496</v>
      </c>
      <c r="I183" cm="1">
        <f t="array" ref="I183">_xlfn.IFS(B183=2015,H183/$O$10,B183=2016,H183/$O$11,B183=2017,H183/$O$12,B183=2018,H183/$O$13,B183=2019,H183/$O$14,B183=2020,H183/$O$15,B183=2021,H183/$O$16,B183=2022,H183/$O$17)</f>
        <v>1.4677571838395797E-3</v>
      </c>
      <c r="J183" s="6" cm="1">
        <f t="array" ref="J183">_xlfn.IFS(B183=2015,I183*$Q$1,B183=2016,I183*$Q$2,B183=2017,I183*$Q$3,B183=2018,I183*$Q$4,B183=2019,I183*$Q$5,B183=2020,I183*$Q$6,B183=2021,I183*$Q$7,B183=2022,I183*$Q$8)</f>
        <v>39908.656880507639</v>
      </c>
      <c r="K183" s="7">
        <f t="shared" si="6"/>
        <v>117404.65688050764</v>
      </c>
      <c r="L183">
        <f>IFERROR(VLOOKUP(G183,'LEAID Match'!$A$2:$B$168,2,FALSE),"")</f>
        <v>4636150</v>
      </c>
    </row>
    <row r="184" spans="1:12" x14ac:dyDescent="0.2">
      <c r="A184">
        <f t="shared" si="5"/>
        <v>4636150</v>
      </c>
      <c r="B184">
        <v>2021</v>
      </c>
      <c r="C184" t="s">
        <v>208</v>
      </c>
      <c r="D184" t="s">
        <v>212</v>
      </c>
      <c r="E184" t="s">
        <v>211</v>
      </c>
      <c r="F184" s="3">
        <v>904138</v>
      </c>
      <c r="G184" s="3" t="s">
        <v>78</v>
      </c>
      <c r="H184" s="4">
        <v>72572</v>
      </c>
      <c r="I184" cm="1">
        <f t="array" ref="I184">_xlfn.IFS(B184=2015,H184/$O$10,B184=2016,H184/$O$11,B184=2017,H184/$O$12,B184=2018,H184/$O$13,B184=2019,H184/$O$14,B184=2020,H184/$O$15,B184=2021,H184/$O$16,B184=2022,H184/$O$17)</f>
        <v>1.3107641275148161E-3</v>
      </c>
      <c r="J184" s="6" cm="1">
        <f t="array" ref="J184">_xlfn.IFS(B184=2015,I184*$Q$1,B184=2016,I184*$Q$2,B184=2017,I184*$Q$3,B184=2018,I184*$Q$4,B184=2019,I184*$Q$5,B184=2020,I184*$Q$6,B184=2021,I184*$Q$7,B184=2022,I184*$Q$8)</f>
        <v>36489.488266211913</v>
      </c>
      <c r="K184" s="7">
        <f t="shared" si="6"/>
        <v>109061.48826621191</v>
      </c>
      <c r="L184">
        <f>IFERROR(VLOOKUP(G184,'LEAID Match'!$A$2:$B$168,2,FALSE),"")</f>
        <v>4636150</v>
      </c>
    </row>
    <row r="185" spans="1:12" x14ac:dyDescent="0.2">
      <c r="A185">
        <f t="shared" si="5"/>
        <v>4636150</v>
      </c>
      <c r="B185">
        <v>2022</v>
      </c>
      <c r="C185" t="s">
        <v>208</v>
      </c>
      <c r="D185" t="s">
        <v>212</v>
      </c>
      <c r="E185" t="s">
        <v>211</v>
      </c>
      <c r="F185" s="3">
        <v>904138</v>
      </c>
      <c r="G185" s="3" t="s">
        <v>78</v>
      </c>
      <c r="H185" s="4">
        <v>70664</v>
      </c>
      <c r="I185" cm="1">
        <f t="array" ref="I185">_xlfn.IFS(B185=2015,H185/$O$10,B185=2016,H185/$O$11,B185=2017,H185/$O$12,B185=2018,H185/$O$13,B185=2019,H185/$O$14,B185=2020,H185/$O$15,B185=2021,H185/$O$16,B185=2022,H185/$O$17)</f>
        <v>1.223800276016632E-3</v>
      </c>
      <c r="J185" s="6" cm="1">
        <f t="array" ref="J185">_xlfn.IFS(B185=2015,I185*$Q$1,B185=2016,I185*$Q$2,B185=2017,I185*$Q$3,B185=2018,I185*$Q$4,B185=2019,I185*$Q$5,B185=2020,I185*$Q$6,B185=2021,I185*$Q$7,B185=2022,I185*$Q$8)</f>
        <v>36050.642445683043</v>
      </c>
      <c r="K185" s="7">
        <f t="shared" si="6"/>
        <v>106714.64244568304</v>
      </c>
      <c r="L185">
        <f>IFERROR(VLOOKUP(G185,'LEAID Match'!$A$2:$B$168,2,FALSE),"")</f>
        <v>4636150</v>
      </c>
    </row>
    <row r="186" spans="1:12" x14ac:dyDescent="0.2">
      <c r="A186">
        <f t="shared" si="5"/>
        <v>4676740</v>
      </c>
      <c r="B186">
        <v>2015</v>
      </c>
      <c r="C186" t="s">
        <v>208</v>
      </c>
      <c r="D186" t="s">
        <v>212</v>
      </c>
      <c r="E186" t="s">
        <v>211</v>
      </c>
      <c r="F186" s="3">
        <v>905100</v>
      </c>
      <c r="G186" s="3" t="s">
        <v>151</v>
      </c>
      <c r="H186" s="4">
        <v>54627</v>
      </c>
      <c r="I186" cm="1">
        <f t="array" ref="I186">_xlfn.IFS(B186=2015,H186/$O$10,B186=2016,H186/$O$11,B186=2017,H186/$O$12,B186=2018,H186/$O$13,B186=2019,H186/$O$14,B186=2020,H186/$O$15,B186=2021,H186/$O$16,B186=2022,H186/$O$17)</f>
        <v>1.277741560507286E-3</v>
      </c>
      <c r="J186" s="6" cm="1">
        <f t="array" ref="J186">_xlfn.IFS(B186=2015,I186*$Q$1,B186=2016,I186*$Q$2,B186=2017,I186*$Q$3,B186=2018,I186*$Q$4,B186=2019,I186*$Q$5,B186=2020,I186*$Q$6,B186=2021,I186*$Q$7,B186=2022,I186*$Q$8)</f>
        <v>31422.418505937054</v>
      </c>
      <c r="K186" s="7">
        <f t="shared" si="6"/>
        <v>86049.41850593705</v>
      </c>
      <c r="L186">
        <f>IFERROR(VLOOKUP(G186,'LEAID Match'!$A$2:$B$168,2,FALSE),"")</f>
        <v>4676740</v>
      </c>
    </row>
    <row r="187" spans="1:12" x14ac:dyDescent="0.2">
      <c r="A187">
        <f t="shared" si="5"/>
        <v>4676740</v>
      </c>
      <c r="B187">
        <v>2016</v>
      </c>
      <c r="C187" t="s">
        <v>208</v>
      </c>
      <c r="D187" t="s">
        <v>212</v>
      </c>
      <c r="E187" t="s">
        <v>211</v>
      </c>
      <c r="F187" s="3">
        <v>905100</v>
      </c>
      <c r="G187" s="3" t="s">
        <v>151</v>
      </c>
      <c r="H187" s="4">
        <v>60886</v>
      </c>
      <c r="I187" cm="1">
        <f t="array" ref="I187">_xlfn.IFS(B187=2015,H187/$O$10,B187=2016,H187/$O$11,B187=2017,H187/$O$12,B187=2018,H187/$O$13,B187=2019,H187/$O$14,B187=2020,H187/$O$15,B187=2021,H187/$O$16,B187=2022,H187/$O$17)</f>
        <v>1.3810199464907506E-3</v>
      </c>
      <c r="J187" s="6" cm="1">
        <f t="array" ref="J187">_xlfn.IFS(B187=2015,I187*$Q$1,B187=2016,I187*$Q$2,B187=2017,I187*$Q$3,B187=2018,I187*$Q$4,B187=2019,I187*$Q$5,B187=2020,I187*$Q$6,B187=2021,I187*$Q$7,B187=2022,I187*$Q$8)</f>
        <v>35085.923461654442</v>
      </c>
      <c r="K187" s="7">
        <f t="shared" si="6"/>
        <v>95971.923461654442</v>
      </c>
      <c r="L187">
        <f>IFERROR(VLOOKUP(G187,'LEAID Match'!$A$2:$B$168,2,FALSE),"")</f>
        <v>4676740</v>
      </c>
    </row>
    <row r="188" spans="1:12" x14ac:dyDescent="0.2">
      <c r="A188">
        <f t="shared" si="5"/>
        <v>4676740</v>
      </c>
      <c r="B188">
        <v>2017</v>
      </c>
      <c r="C188" t="s">
        <v>208</v>
      </c>
      <c r="D188" t="s">
        <v>212</v>
      </c>
      <c r="E188" t="s">
        <v>211</v>
      </c>
      <c r="F188" s="3">
        <v>905100</v>
      </c>
      <c r="G188" s="3" t="s">
        <v>151</v>
      </c>
      <c r="H188" s="4">
        <v>66203</v>
      </c>
      <c r="I188" cm="1">
        <f t="array" ref="I188">_xlfn.IFS(B188=2015,H188/$O$10,B188=2016,H188/$O$11,B188=2017,H188/$O$12,B188=2018,H188/$O$13,B188=2019,H188/$O$14,B188=2020,H188/$O$15,B188=2021,H188/$O$16,B188=2022,H188/$O$17)</f>
        <v>1.3668794676299414E-3</v>
      </c>
      <c r="J188" s="6" cm="1">
        <f t="array" ref="J188">_xlfn.IFS(B188=2015,I188*$Q$1,B188=2016,I188*$Q$2,B188=2017,I188*$Q$3,B188=2018,I188*$Q$4,B188=2019,I188*$Q$5,B188=2020,I188*$Q$6,B188=2021,I188*$Q$7,B188=2022,I188*$Q$8)</f>
        <v>35956.494309641319</v>
      </c>
      <c r="K188" s="7">
        <f t="shared" si="6"/>
        <v>102159.49430964132</v>
      </c>
      <c r="L188">
        <f>IFERROR(VLOOKUP(G188,'LEAID Match'!$A$2:$B$168,2,FALSE),"")</f>
        <v>4676740</v>
      </c>
    </row>
    <row r="189" spans="1:12" x14ac:dyDescent="0.2">
      <c r="A189">
        <f t="shared" si="5"/>
        <v>4676740</v>
      </c>
      <c r="B189">
        <v>2018</v>
      </c>
      <c r="C189" t="s">
        <v>208</v>
      </c>
      <c r="D189" t="s">
        <v>212</v>
      </c>
      <c r="E189" t="s">
        <v>211</v>
      </c>
      <c r="F189" s="3">
        <v>905100</v>
      </c>
      <c r="G189" s="3" t="s">
        <v>151</v>
      </c>
      <c r="H189" s="4">
        <v>70112</v>
      </c>
      <c r="I189" cm="1">
        <f t="array" ref="I189">_xlfn.IFS(B189=2015,H189/$O$10,B189=2016,H189/$O$11,B189=2017,H189/$O$12,B189=2018,H189/$O$13,B189=2019,H189/$O$14,B189=2020,H189/$O$15,B189=2021,H189/$O$16,B189=2022,H189/$O$17)</f>
        <v>1.3982158787722583E-3</v>
      </c>
      <c r="J189" s="6" cm="1">
        <f t="array" ref="J189">_xlfn.IFS(B189=2015,I189*$Q$1,B189=2016,I189*$Q$2,B189=2017,I189*$Q$3,B189=2018,I189*$Q$4,B189=2019,I189*$Q$5,B189=2020,I189*$Q$6,B189=2021,I189*$Q$7,B189=2022,I189*$Q$8)</f>
        <v>36711.289053811568</v>
      </c>
      <c r="K189" s="7">
        <f t="shared" si="6"/>
        <v>106823.28905381158</v>
      </c>
      <c r="L189">
        <f>IFERROR(VLOOKUP(G189,'LEAID Match'!$A$2:$B$168,2,FALSE),"")</f>
        <v>4676740</v>
      </c>
    </row>
    <row r="190" spans="1:12" x14ac:dyDescent="0.2">
      <c r="A190">
        <f t="shared" si="5"/>
        <v>4676740</v>
      </c>
      <c r="B190">
        <v>2019</v>
      </c>
      <c r="C190" t="s">
        <v>208</v>
      </c>
      <c r="D190" t="s">
        <v>212</v>
      </c>
      <c r="E190" t="s">
        <v>211</v>
      </c>
      <c r="F190" s="3">
        <v>905100</v>
      </c>
      <c r="G190" s="3" t="s">
        <v>151</v>
      </c>
      <c r="H190" s="4">
        <v>72380</v>
      </c>
      <c r="I190" cm="1">
        <f t="array" ref="I190">_xlfn.IFS(B190=2015,H190/$O$10,B190=2016,H190/$O$11,B190=2017,H190/$O$12,B190=2018,H190/$O$13,B190=2019,H190/$O$14,B190=2020,H190/$O$15,B190=2021,H190/$O$16,B190=2022,H190/$O$17)</f>
        <v>1.4175284105458394E-3</v>
      </c>
      <c r="J190" s="6" cm="1">
        <f t="array" ref="J190">_xlfn.IFS(B190=2015,I190*$Q$1,B190=2016,I190*$Q$2,B190=2017,I190*$Q$3,B190=2018,I190*$Q$4,B190=2019,I190*$Q$5,B190=2020,I190*$Q$6,B190=2021,I190*$Q$7,B190=2022,I190*$Q$8)</f>
        <v>37490.018849132612</v>
      </c>
      <c r="K190" s="7">
        <f t="shared" si="6"/>
        <v>109870.01884913261</v>
      </c>
      <c r="L190">
        <f>IFERROR(VLOOKUP(G190,'LEAID Match'!$A$2:$B$168,2,FALSE),"")</f>
        <v>4676740</v>
      </c>
    </row>
    <row r="191" spans="1:12" x14ac:dyDescent="0.2">
      <c r="A191">
        <f t="shared" si="5"/>
        <v>4676740</v>
      </c>
      <c r="B191">
        <v>2020</v>
      </c>
      <c r="C191" t="s">
        <v>208</v>
      </c>
      <c r="D191" t="s">
        <v>212</v>
      </c>
      <c r="E191" t="s">
        <v>211</v>
      </c>
      <c r="F191" s="1">
        <v>905100</v>
      </c>
      <c r="G191" s="3" t="s">
        <v>151</v>
      </c>
      <c r="H191" s="2">
        <v>71233</v>
      </c>
      <c r="I191" cm="1">
        <f t="array" ref="I191">_xlfn.IFS(B191=2015,H191/$O$10,B191=2016,H191/$O$11,B191=2017,H191/$O$12,B191=2018,H191/$O$13,B191=2019,H191/$O$14,B191=2020,H191/$O$15,B191=2021,H191/$O$16,B191=2022,H191/$O$17)</f>
        <v>1.349137342268566E-3</v>
      </c>
      <c r="J191" s="6" cm="1">
        <f t="array" ref="J191">_xlfn.IFS(B191=2015,I191*$Q$1,B191=2016,I191*$Q$2,B191=2017,I191*$Q$3,B191=2018,I191*$Q$4,B191=2019,I191*$Q$5,B191=2020,I191*$Q$6,B191=2021,I191*$Q$7,B191=2022,I191*$Q$8)</f>
        <v>36683.35598700837</v>
      </c>
      <c r="K191" s="7">
        <f t="shared" si="6"/>
        <v>107916.35598700837</v>
      </c>
      <c r="L191">
        <f>IFERROR(VLOOKUP(G191,'LEAID Match'!$A$2:$B$168,2,FALSE),"")</f>
        <v>4676740</v>
      </c>
    </row>
    <row r="192" spans="1:12" x14ac:dyDescent="0.2">
      <c r="A192">
        <f t="shared" si="5"/>
        <v>4676740</v>
      </c>
      <c r="B192">
        <v>2021</v>
      </c>
      <c r="C192" t="s">
        <v>208</v>
      </c>
      <c r="D192" t="s">
        <v>212</v>
      </c>
      <c r="E192" t="s">
        <v>211</v>
      </c>
      <c r="F192" s="3">
        <v>905100</v>
      </c>
      <c r="G192" s="3" t="s">
        <v>151</v>
      </c>
      <c r="H192" s="4">
        <v>73700</v>
      </c>
      <c r="I192" cm="1">
        <f t="array" ref="I192">_xlfn.IFS(B192=2015,H192/$O$10,B192=2016,H192/$O$11,B192=2017,H192/$O$12,B192=2018,H192/$O$13,B192=2019,H192/$O$14,B192=2020,H192/$O$15,B192=2021,H192/$O$16,B192=2022,H192/$O$17)</f>
        <v>1.3311375764460389E-3</v>
      </c>
      <c r="J192" s="6" cm="1">
        <f t="array" ref="J192">_xlfn.IFS(B192=2015,I192*$Q$1,B192=2016,I192*$Q$2,B192=2017,I192*$Q$3,B192=2018,I192*$Q$4,B192=2019,I192*$Q$5,B192=2020,I192*$Q$6,B192=2021,I192*$Q$7,B192=2022,I192*$Q$8)</f>
        <v>37056.651121917792</v>
      </c>
      <c r="K192" s="7">
        <f t="shared" si="6"/>
        <v>110756.65112191779</v>
      </c>
      <c r="L192">
        <f>IFERROR(VLOOKUP(G192,'LEAID Match'!$A$2:$B$168,2,FALSE),"")</f>
        <v>4676740</v>
      </c>
    </row>
    <row r="193" spans="1:12" x14ac:dyDescent="0.2">
      <c r="A193">
        <f t="shared" si="5"/>
        <v>4676740</v>
      </c>
      <c r="B193">
        <v>2022</v>
      </c>
      <c r="C193" t="s">
        <v>208</v>
      </c>
      <c r="D193" t="s">
        <v>212</v>
      </c>
      <c r="E193" t="s">
        <v>211</v>
      </c>
      <c r="F193" s="3">
        <v>905100</v>
      </c>
      <c r="G193" s="3" t="s">
        <v>151</v>
      </c>
      <c r="H193" s="4">
        <v>73793</v>
      </c>
      <c r="I193" cm="1">
        <f t="array" ref="I193">_xlfn.IFS(B193=2015,H193/$O$10,B193=2016,H193/$O$11,B193=2017,H193/$O$12,B193=2018,H193/$O$13,B193=2019,H193/$O$14,B193=2020,H193/$O$15,B193=2021,H193/$O$16,B193=2022,H193/$O$17)</f>
        <v>1.277990118986971E-3</v>
      </c>
      <c r="J193" s="6" cm="1">
        <f t="array" ref="J193">_xlfn.IFS(B193=2015,I193*$Q$1,B193=2016,I193*$Q$2,B193=2017,I193*$Q$3,B193=2018,I193*$Q$4,B193=2019,I193*$Q$5,B193=2020,I193*$Q$6,B193=2021,I193*$Q$7,B193=2022,I193*$Q$8)</f>
        <v>37646.963913651765</v>
      </c>
      <c r="K193" s="7">
        <f t="shared" si="6"/>
        <v>111439.96391365177</v>
      </c>
      <c r="L193">
        <f>IFERROR(VLOOKUP(G193,'LEAID Match'!$A$2:$B$168,2,FALSE),"")</f>
        <v>4676740</v>
      </c>
    </row>
    <row r="194" spans="1:12" x14ac:dyDescent="0.2">
      <c r="A194">
        <f t="shared" si="5"/>
        <v>4632340</v>
      </c>
      <c r="B194">
        <v>2015</v>
      </c>
      <c r="C194" t="s">
        <v>208</v>
      </c>
      <c r="D194" t="s">
        <v>212</v>
      </c>
      <c r="E194" t="s">
        <v>211</v>
      </c>
      <c r="F194" s="3">
        <v>905101</v>
      </c>
      <c r="G194" s="3" t="s">
        <v>67</v>
      </c>
      <c r="H194" s="4">
        <v>49367</v>
      </c>
      <c r="I194" cm="1">
        <f t="array" ref="I194">_xlfn.IFS(B194=2015,H194/$O$10,B194=2016,H194/$O$11,B194=2017,H194/$O$12,B194=2018,H194/$O$13,B194=2019,H194/$O$14,B194=2020,H194/$O$15,B194=2021,H194/$O$16,B194=2022,H194/$O$17)</f>
        <v>1.1547086169396668E-3</v>
      </c>
      <c r="J194" s="6" cm="1">
        <f t="array" ref="J194">_xlfn.IFS(B194=2015,I194*$Q$1,B194=2016,I194*$Q$2,B194=2017,I194*$Q$3,B194=2018,I194*$Q$4,B194=2019,I194*$Q$5,B194=2020,I194*$Q$6,B194=2021,I194*$Q$7,B194=2022,I194*$Q$8)</f>
        <v>28396.773287615913</v>
      </c>
      <c r="K194" s="7">
        <f t="shared" si="6"/>
        <v>77763.773287615913</v>
      </c>
      <c r="L194">
        <f>IFERROR(VLOOKUP(G194,'LEAID Match'!$A$2:$B$168,2,FALSE),"")</f>
        <v>4632340</v>
      </c>
    </row>
    <row r="195" spans="1:12" x14ac:dyDescent="0.2">
      <c r="A195">
        <f t="shared" ref="A195:A258" si="7">L195</f>
        <v>4632340</v>
      </c>
      <c r="B195">
        <v>2016</v>
      </c>
      <c r="C195" t="s">
        <v>208</v>
      </c>
      <c r="D195" t="s">
        <v>212</v>
      </c>
      <c r="E195" t="s">
        <v>211</v>
      </c>
      <c r="F195" s="3">
        <v>905101</v>
      </c>
      <c r="G195" s="3" t="s">
        <v>67</v>
      </c>
      <c r="H195" s="4">
        <v>47861</v>
      </c>
      <c r="I195" cm="1">
        <f t="array" ref="I195">_xlfn.IFS(B195=2015,H195/$O$10,B195=2016,H195/$O$11,B195=2017,H195/$O$12,B195=2018,H195/$O$13,B195=2019,H195/$O$14,B195=2020,H195/$O$15,B195=2021,H195/$O$16,B195=2022,H195/$O$17)</f>
        <v>1.0855861061490953E-3</v>
      </c>
      <c r="J195" s="6" cm="1">
        <f t="array" ref="J195">_xlfn.IFS(B195=2015,I195*$Q$1,B195=2016,I195*$Q$2,B195=2017,I195*$Q$3,B195=2018,I195*$Q$4,B195=2019,I195*$Q$5,B195=2020,I195*$Q$6,B195=2021,I195*$Q$7,B195=2022,I195*$Q$8)</f>
        <v>27580.188923533216</v>
      </c>
      <c r="K195" s="7">
        <f t="shared" ref="K195:K258" si="8">SUM(J195,H195)</f>
        <v>75441.18892353322</v>
      </c>
      <c r="L195">
        <f>IFERROR(VLOOKUP(G195,'LEAID Match'!$A$2:$B$168,2,FALSE),"")</f>
        <v>4632340</v>
      </c>
    </row>
    <row r="196" spans="1:12" x14ac:dyDescent="0.2">
      <c r="A196">
        <f t="shared" si="7"/>
        <v>4632340</v>
      </c>
      <c r="B196">
        <v>2017</v>
      </c>
      <c r="C196" t="s">
        <v>208</v>
      </c>
      <c r="D196" t="s">
        <v>212</v>
      </c>
      <c r="E196" t="s">
        <v>211</v>
      </c>
      <c r="F196" s="3">
        <v>905101</v>
      </c>
      <c r="G196" s="3" t="s">
        <v>67</v>
      </c>
      <c r="H196" s="4">
        <v>66946</v>
      </c>
      <c r="I196" cm="1">
        <f t="array" ref="I196">_xlfn.IFS(B196=2015,H196/$O$10,B196=2016,H196/$O$11,B196=2017,H196/$O$12,B196=2018,H196/$O$13,B196=2019,H196/$O$14,B196=2020,H196/$O$15,B196=2021,H196/$O$16,B196=2022,H196/$O$17)</f>
        <v>1.3822200329283274E-3</v>
      </c>
      <c r="J196" s="6" cm="1">
        <f t="array" ref="J196">_xlfn.IFS(B196=2015,I196*$Q$1,B196=2016,I196*$Q$2,B196=2017,I196*$Q$3,B196=2018,I196*$Q$4,B196=2019,I196*$Q$5,B196=2020,I196*$Q$6,B196=2021,I196*$Q$7,B196=2022,I196*$Q$8)</f>
        <v>36360.036071677234</v>
      </c>
      <c r="K196" s="7">
        <f t="shared" si="8"/>
        <v>103306.03607167723</v>
      </c>
      <c r="L196">
        <f>IFERROR(VLOOKUP(G196,'LEAID Match'!$A$2:$B$168,2,FALSE),"")</f>
        <v>4632340</v>
      </c>
    </row>
    <row r="197" spans="1:12" x14ac:dyDescent="0.2">
      <c r="A197">
        <f t="shared" si="7"/>
        <v>4632340</v>
      </c>
      <c r="B197">
        <v>2018</v>
      </c>
      <c r="C197" t="s">
        <v>208</v>
      </c>
      <c r="D197" t="s">
        <v>212</v>
      </c>
      <c r="E197" t="s">
        <v>211</v>
      </c>
      <c r="F197" s="3">
        <v>905101</v>
      </c>
      <c r="G197" s="3" t="s">
        <v>67</v>
      </c>
      <c r="H197" s="4">
        <v>68895</v>
      </c>
      <c r="I197" cm="1">
        <f t="array" ref="I197">_xlfn.IFS(B197=2015,H197/$O$10,B197=2016,H197/$O$11,B197=2017,H197/$O$12,B197=2018,H197/$O$13,B197=2019,H197/$O$14,B197=2020,H197/$O$15,B197=2021,H197/$O$16,B197=2022,H197/$O$17)</f>
        <v>1.373945729233437E-3</v>
      </c>
      <c r="J197" s="6" cm="1">
        <f t="array" ref="J197">_xlfn.IFS(B197=2015,I197*$Q$1,B197=2016,I197*$Q$2,B197=2017,I197*$Q$3,B197=2018,I197*$Q$4,B197=2019,I197*$Q$5,B197=2020,I197*$Q$6,B197=2021,I197*$Q$7,B197=2022,I197*$Q$8)</f>
        <v>36074.056643118834</v>
      </c>
      <c r="K197" s="7">
        <f t="shared" si="8"/>
        <v>104969.05664311883</v>
      </c>
      <c r="L197">
        <f>IFERROR(VLOOKUP(G197,'LEAID Match'!$A$2:$B$168,2,FALSE),"")</f>
        <v>4632340</v>
      </c>
    </row>
    <row r="198" spans="1:12" x14ac:dyDescent="0.2">
      <c r="A198">
        <f t="shared" si="7"/>
        <v>4632340</v>
      </c>
      <c r="B198">
        <v>2019</v>
      </c>
      <c r="C198" t="s">
        <v>208</v>
      </c>
      <c r="D198" t="s">
        <v>212</v>
      </c>
      <c r="E198" t="s">
        <v>211</v>
      </c>
      <c r="F198" s="3">
        <v>905101</v>
      </c>
      <c r="G198" s="3" t="s">
        <v>67</v>
      </c>
      <c r="H198" s="4">
        <v>74561</v>
      </c>
      <c r="I198" cm="1">
        <f t="array" ref="I198">_xlfn.IFS(B198=2015,H198/$O$10,B198=2016,H198/$O$11,B198=2017,H198/$O$12,B198=2018,H198/$O$13,B198=2019,H198/$O$14,B198=2020,H198/$O$15,B198=2021,H198/$O$16,B198=2022,H198/$O$17)</f>
        <v>1.4602422743673438E-3</v>
      </c>
      <c r="J198" s="6" cm="1">
        <f t="array" ref="J198">_xlfn.IFS(B198=2015,I198*$Q$1,B198=2016,I198*$Q$2,B198=2017,I198*$Q$3,B198=2018,I198*$Q$4,B198=2019,I198*$Q$5,B198=2020,I198*$Q$6,B198=2021,I198*$Q$7,B198=2022,I198*$Q$8)</f>
        <v>38619.691840427979</v>
      </c>
      <c r="K198" s="7">
        <f t="shared" si="8"/>
        <v>113180.69184042799</v>
      </c>
      <c r="L198">
        <f>IFERROR(VLOOKUP(G198,'LEAID Match'!$A$2:$B$168,2,FALSE),"")</f>
        <v>4632340</v>
      </c>
    </row>
    <row r="199" spans="1:12" x14ac:dyDescent="0.2">
      <c r="A199">
        <f t="shared" si="7"/>
        <v>4632340</v>
      </c>
      <c r="B199">
        <v>2020</v>
      </c>
      <c r="C199" t="s">
        <v>208</v>
      </c>
      <c r="D199" t="s">
        <v>212</v>
      </c>
      <c r="E199" t="s">
        <v>211</v>
      </c>
      <c r="F199" s="1">
        <v>905101</v>
      </c>
      <c r="G199" s="3" t="s">
        <v>67</v>
      </c>
      <c r="H199" s="2">
        <v>72939</v>
      </c>
      <c r="I199" cm="1">
        <f t="array" ref="I199">_xlfn.IFS(B199=2015,H199/$O$10,B199=2016,H199/$O$11,B199=2017,H199/$O$12,B199=2018,H199/$O$13,B199=2019,H199/$O$14,B199=2020,H199/$O$15,B199=2021,H199/$O$16,B199=2022,H199/$O$17)</f>
        <v>1.3814486067935778E-3</v>
      </c>
      <c r="J199" s="6" cm="1">
        <f t="array" ref="J199">_xlfn.IFS(B199=2015,I199*$Q$1,B199=2016,I199*$Q$2,B199=2017,I199*$Q$3,B199=2018,I199*$Q$4,B199=2019,I199*$Q$5,B199=2020,I199*$Q$6,B199=2021,I199*$Q$7,B199=2022,I199*$Q$8)</f>
        <v>37561.906733345553</v>
      </c>
      <c r="K199" s="7">
        <f t="shared" si="8"/>
        <v>110500.90673334556</v>
      </c>
      <c r="L199">
        <f>IFERROR(VLOOKUP(G199,'LEAID Match'!$A$2:$B$168,2,FALSE),"")</f>
        <v>4632340</v>
      </c>
    </row>
    <row r="200" spans="1:12" x14ac:dyDescent="0.2">
      <c r="A200">
        <f t="shared" si="7"/>
        <v>4632340</v>
      </c>
      <c r="B200">
        <v>2021</v>
      </c>
      <c r="C200" t="s">
        <v>208</v>
      </c>
      <c r="D200" t="s">
        <v>212</v>
      </c>
      <c r="E200" t="s">
        <v>211</v>
      </c>
      <c r="F200" s="3">
        <v>905101</v>
      </c>
      <c r="G200" s="3" t="s">
        <v>67</v>
      </c>
      <c r="H200" s="4">
        <v>75392</v>
      </c>
      <c r="I200" cm="1">
        <f t="array" ref="I200">_xlfn.IFS(B200=2015,H200/$O$10,B200=2016,H200/$O$11,B200=2017,H200/$O$12,B200=2018,H200/$O$13,B200=2019,H200/$O$14,B200=2020,H200/$O$15,B200=2021,H200/$O$16,B200=2022,H200/$O$17)</f>
        <v>1.3616977498428734E-3</v>
      </c>
      <c r="J200" s="6" cm="1">
        <f t="array" ref="J200">_xlfn.IFS(B200=2015,I200*$Q$1,B200=2016,I200*$Q$2,B200=2017,I200*$Q$3,B200=2018,I200*$Q$4,B200=2019,I200*$Q$5,B200=2020,I200*$Q$6,B200=2021,I200*$Q$7,B200=2022,I200*$Q$8)</f>
        <v>37907.395405476607</v>
      </c>
      <c r="K200" s="7">
        <f t="shared" si="8"/>
        <v>113299.39540547661</v>
      </c>
      <c r="L200">
        <f>IFERROR(VLOOKUP(G200,'LEAID Match'!$A$2:$B$168,2,FALSE),"")</f>
        <v>4632340</v>
      </c>
    </row>
    <row r="201" spans="1:12" x14ac:dyDescent="0.2">
      <c r="A201">
        <f t="shared" si="7"/>
        <v>4632340</v>
      </c>
      <c r="B201">
        <v>2022</v>
      </c>
      <c r="C201" t="s">
        <v>208</v>
      </c>
      <c r="D201" t="s">
        <v>212</v>
      </c>
      <c r="E201" t="s">
        <v>211</v>
      </c>
      <c r="F201" s="3">
        <v>905101</v>
      </c>
      <c r="G201" s="3" t="s">
        <v>67</v>
      </c>
      <c r="H201" s="4">
        <v>77989</v>
      </c>
      <c r="I201" cm="1">
        <f t="array" ref="I201">_xlfn.IFS(B201=2015,H201/$O$10,B201=2016,H201/$O$11,B201=2017,H201/$O$12,B201=2018,H201/$O$13,B201=2019,H201/$O$14,B201=2020,H201/$O$15,B201=2021,H201/$O$16,B201=2022,H201/$O$17)</f>
        <v>1.3506588889145973E-3</v>
      </c>
      <c r="J201" s="6" cm="1">
        <f t="array" ref="J201">_xlfn.IFS(B201=2015,I201*$Q$1,B201=2016,I201*$Q$2,B201=2017,I201*$Q$3,B201=2018,I201*$Q$4,B201=2019,I201*$Q$5,B201=2020,I201*$Q$6,B201=2021,I201*$Q$7,B201=2022,I201*$Q$8)</f>
        <v>39787.636614066207</v>
      </c>
      <c r="K201" s="7">
        <f t="shared" si="8"/>
        <v>117776.6366140662</v>
      </c>
      <c r="L201">
        <f>IFERROR(VLOOKUP(G201,'LEAID Match'!$A$2:$B$168,2,FALSE),"")</f>
        <v>4632340</v>
      </c>
    </row>
    <row r="202" spans="1:12" x14ac:dyDescent="0.2">
      <c r="A202">
        <f t="shared" si="7"/>
        <v>4676620</v>
      </c>
      <c r="B202">
        <v>2015</v>
      </c>
      <c r="C202" t="s">
        <v>208</v>
      </c>
      <c r="D202" t="s">
        <v>212</v>
      </c>
      <c r="E202" t="s">
        <v>211</v>
      </c>
      <c r="F202" s="3">
        <v>905104</v>
      </c>
      <c r="G202" s="3" t="s">
        <v>149</v>
      </c>
      <c r="H202" s="4">
        <v>1630885</v>
      </c>
      <c r="I202" cm="1">
        <f t="array" ref="I202">_xlfn.IFS(B202=2015,H202/$O$10,B202=2016,H202/$O$11,B202=2017,H202/$O$12,B202=2018,H202/$O$13,B202=2019,H202/$O$14,B202=2020,H202/$O$15,B202=2021,H202/$O$16,B202=2022,H202/$O$17)</f>
        <v>3.8146878739596261E-2</v>
      </c>
      <c r="J202" s="6" cm="1">
        <f t="array" ref="J202">_xlfn.IFS(B202=2015,I202*$Q$1,B202=2016,I202*$Q$2,B202=2017,I202*$Q$3,B202=2018,I202*$Q$4,B202=2019,I202*$Q$5,B202=2020,I202*$Q$6,B202=2021,I202*$Q$7,B202=2022,I202*$Q$8)</f>
        <v>938113.95473035588</v>
      </c>
      <c r="K202" s="7">
        <f t="shared" si="8"/>
        <v>2568998.9547303561</v>
      </c>
      <c r="L202">
        <f>IFERROR(VLOOKUP(G202,'LEAID Match'!$A$2:$B$168,2,FALSE),"")</f>
        <v>4676620</v>
      </c>
    </row>
    <row r="203" spans="1:12" x14ac:dyDescent="0.2">
      <c r="A203">
        <f t="shared" si="7"/>
        <v>4676620</v>
      </c>
      <c r="B203">
        <v>2016</v>
      </c>
      <c r="C203" t="s">
        <v>208</v>
      </c>
      <c r="D203" t="s">
        <v>212</v>
      </c>
      <c r="E203" t="s">
        <v>211</v>
      </c>
      <c r="F203" s="3">
        <v>905104</v>
      </c>
      <c r="G203" s="3" t="s">
        <v>149</v>
      </c>
      <c r="H203" s="4">
        <v>1674468</v>
      </c>
      <c r="I203" cm="1">
        <f t="array" ref="I203">_xlfn.IFS(B203=2015,H203/$O$10,B203=2016,H203/$O$11,B203=2017,H203/$O$12,B203=2018,H203/$O$13,B203=2019,H203/$O$14,B203=2020,H203/$O$15,B203=2021,H203/$O$16,B203=2022,H203/$O$17)</f>
        <v>3.7980384780745564E-2</v>
      </c>
      <c r="J203" s="6" cm="1">
        <f t="array" ref="J203">_xlfn.IFS(B203=2015,I203*$Q$1,B203=2016,I203*$Q$2,B203=2017,I203*$Q$3,B203=2018,I203*$Q$4,B203=2019,I203*$Q$5,B203=2020,I203*$Q$6,B203=2021,I203*$Q$7,B203=2022,I203*$Q$8)</f>
        <v>964922.24956458958</v>
      </c>
      <c r="K203" s="7">
        <f t="shared" si="8"/>
        <v>2639390.2495645895</v>
      </c>
      <c r="L203">
        <f>IFERROR(VLOOKUP(G203,'LEAID Match'!$A$2:$B$168,2,FALSE),"")</f>
        <v>4676620</v>
      </c>
    </row>
    <row r="204" spans="1:12" x14ac:dyDescent="0.2">
      <c r="A204">
        <f t="shared" si="7"/>
        <v>4676620</v>
      </c>
      <c r="B204">
        <v>2017</v>
      </c>
      <c r="C204" t="s">
        <v>208</v>
      </c>
      <c r="D204" t="s">
        <v>212</v>
      </c>
      <c r="E204" t="s">
        <v>211</v>
      </c>
      <c r="F204" s="3">
        <v>905104</v>
      </c>
      <c r="G204" s="3" t="s">
        <v>149</v>
      </c>
      <c r="H204" s="4">
        <v>1867001</v>
      </c>
      <c r="I204" cm="1">
        <f t="array" ref="I204">_xlfn.IFS(B204=2015,H204/$O$10,B204=2016,H204/$O$11,B204=2017,H204/$O$12,B204=2018,H204/$O$13,B204=2019,H204/$O$14,B204=2020,H204/$O$15,B204=2021,H204/$O$16,B204=2022,H204/$O$17)</f>
        <v>3.8547578401954108E-2</v>
      </c>
      <c r="J204" s="6" cm="1">
        <f t="array" ref="J204">_xlfn.IFS(B204=2015,I204*$Q$1,B204=2016,I204*$Q$2,B204=2017,I204*$Q$3,B204=2018,I204*$Q$4,B204=2019,I204*$Q$5,B204=2020,I204*$Q$6,B204=2021,I204*$Q$7,B204=2022,I204*$Q$8)</f>
        <v>1014014.6342702694</v>
      </c>
      <c r="K204" s="7">
        <f t="shared" si="8"/>
        <v>2881015.6342702694</v>
      </c>
      <c r="L204">
        <f>IFERROR(VLOOKUP(G204,'LEAID Match'!$A$2:$B$168,2,FALSE),"")</f>
        <v>4676620</v>
      </c>
    </row>
    <row r="205" spans="1:12" x14ac:dyDescent="0.2">
      <c r="A205">
        <f t="shared" si="7"/>
        <v>4676620</v>
      </c>
      <c r="B205">
        <v>2018</v>
      </c>
      <c r="C205" t="s">
        <v>208</v>
      </c>
      <c r="D205" t="s">
        <v>212</v>
      </c>
      <c r="E205" t="s">
        <v>211</v>
      </c>
      <c r="F205" s="3">
        <v>905104</v>
      </c>
      <c r="G205" s="3" t="s">
        <v>149</v>
      </c>
      <c r="H205" s="4">
        <v>1909513</v>
      </c>
      <c r="I205" cm="1">
        <f t="array" ref="I205">_xlfn.IFS(B205=2015,H205/$O$10,B205=2016,H205/$O$11,B205=2017,H205/$O$12,B205=2018,H205/$O$13,B205=2019,H205/$O$14,B205=2020,H205/$O$15,B205=2021,H205/$O$16,B205=2022,H205/$O$17)</f>
        <v>3.8080662330586081E-2</v>
      </c>
      <c r="J205" s="6" cm="1">
        <f t="array" ref="J205">_xlfn.IFS(B205=2015,I205*$Q$1,B205=2016,I205*$Q$2,B205=2017,I205*$Q$3,B205=2018,I205*$Q$4,B205=2019,I205*$Q$5,B205=2020,I205*$Q$6,B205=2021,I205*$Q$7,B205=2022,I205*$Q$8)</f>
        <v>999838.59674536297</v>
      </c>
      <c r="K205" s="7">
        <f t="shared" si="8"/>
        <v>2909351.596745363</v>
      </c>
      <c r="L205">
        <f>IFERROR(VLOOKUP(G205,'LEAID Match'!$A$2:$B$168,2,FALSE),"")</f>
        <v>4676620</v>
      </c>
    </row>
    <row r="206" spans="1:12" x14ac:dyDescent="0.2">
      <c r="A206">
        <f t="shared" si="7"/>
        <v>4676620</v>
      </c>
      <c r="B206">
        <v>2019</v>
      </c>
      <c r="C206" t="s">
        <v>208</v>
      </c>
      <c r="D206" t="s">
        <v>212</v>
      </c>
      <c r="E206" t="s">
        <v>211</v>
      </c>
      <c r="F206" s="3">
        <v>905104</v>
      </c>
      <c r="G206" s="3" t="s">
        <v>149</v>
      </c>
      <c r="H206" s="4">
        <v>1934350</v>
      </c>
      <c r="I206" cm="1">
        <f t="array" ref="I206">_xlfn.IFS(B206=2015,H206/$O$10,B206=2016,H206/$O$11,B206=2017,H206/$O$12,B206=2018,H206/$O$13,B206=2019,H206/$O$14,B206=2020,H206/$O$15,B206=2021,H206/$O$16,B206=2022,H206/$O$17)</f>
        <v>3.7883339056912747E-2</v>
      </c>
      <c r="J206" s="6" cm="1">
        <f t="array" ref="J206">_xlfn.IFS(B206=2015,I206*$Q$1,B206=2016,I206*$Q$2,B206=2017,I206*$Q$3,B206=2018,I206*$Q$4,B206=2019,I206*$Q$5,B206=2020,I206*$Q$6,B206=2021,I206*$Q$7,B206=2022,I206*$Q$8)</f>
        <v>1001917.9049574423</v>
      </c>
      <c r="K206" s="7">
        <f t="shared" si="8"/>
        <v>2936267.9049574425</v>
      </c>
      <c r="L206">
        <f>IFERROR(VLOOKUP(G206,'LEAID Match'!$A$2:$B$168,2,FALSE),"")</f>
        <v>4676620</v>
      </c>
    </row>
    <row r="207" spans="1:12" x14ac:dyDescent="0.2">
      <c r="A207">
        <f t="shared" si="7"/>
        <v>4676620</v>
      </c>
      <c r="B207">
        <v>2020</v>
      </c>
      <c r="C207" t="s">
        <v>208</v>
      </c>
      <c r="D207" t="s">
        <v>212</v>
      </c>
      <c r="E207" t="s">
        <v>211</v>
      </c>
      <c r="F207" s="1">
        <v>905104</v>
      </c>
      <c r="G207" s="3" t="s">
        <v>149</v>
      </c>
      <c r="H207" s="2">
        <v>1983397</v>
      </c>
      <c r="I207" cm="1">
        <f t="array" ref="I207">_xlfn.IFS(B207=2015,H207/$O$10,B207=2016,H207/$O$11,B207=2017,H207/$O$12,B207=2018,H207/$O$13,B207=2019,H207/$O$14,B207=2020,H207/$O$15,B207=2021,H207/$O$16,B207=2022,H207/$O$17)</f>
        <v>3.7565102652470719E-2</v>
      </c>
      <c r="J207" s="6" cm="1">
        <f t="array" ref="J207">_xlfn.IFS(B207=2015,I207*$Q$1,B207=2016,I207*$Q$2,B207=2017,I207*$Q$3,B207=2018,I207*$Q$4,B207=2019,I207*$Q$5,B207=2020,I207*$Q$6,B207=2021,I207*$Q$7,B207=2022,I207*$Q$8)</f>
        <v>1021403.8186593916</v>
      </c>
      <c r="K207" s="7">
        <f t="shared" si="8"/>
        <v>3004800.8186593917</v>
      </c>
      <c r="L207">
        <f>IFERROR(VLOOKUP(G207,'LEAID Match'!$A$2:$B$168,2,FALSE),"")</f>
        <v>4676620</v>
      </c>
    </row>
    <row r="208" spans="1:12" x14ac:dyDescent="0.2">
      <c r="A208">
        <f t="shared" si="7"/>
        <v>4676620</v>
      </c>
      <c r="B208">
        <v>2021</v>
      </c>
      <c r="C208" t="s">
        <v>208</v>
      </c>
      <c r="D208" t="s">
        <v>212</v>
      </c>
      <c r="E208" t="s">
        <v>211</v>
      </c>
      <c r="F208" s="3">
        <v>905104</v>
      </c>
      <c r="G208" s="3" t="s">
        <v>149</v>
      </c>
      <c r="H208" s="4">
        <v>2079919</v>
      </c>
      <c r="I208" cm="1">
        <f t="array" ref="I208">_xlfn.IFS(B208=2015,H208/$O$10,B208=2016,H208/$O$11,B208=2017,H208/$O$12,B208=2018,H208/$O$13,B208=2019,H208/$O$14,B208=2020,H208/$O$15,B208=2021,H208/$O$16,B208=2022,H208/$O$17)</f>
        <v>3.7566598871968372E-2</v>
      </c>
      <c r="J208" s="6" cm="1">
        <f t="array" ref="J208">_xlfn.IFS(B208=2015,I208*$Q$1,B208=2016,I208*$Q$2,B208=2017,I208*$Q$3,B208=2018,I208*$Q$4,B208=2019,I208*$Q$5,B208=2020,I208*$Q$6,B208=2021,I208*$Q$7,B208=2022,I208*$Q$8)</f>
        <v>1045791.4890752799</v>
      </c>
      <c r="K208" s="7">
        <f t="shared" si="8"/>
        <v>3125710.4890752798</v>
      </c>
      <c r="L208">
        <f>IFERROR(VLOOKUP(G208,'LEAID Match'!$A$2:$B$168,2,FALSE),"")</f>
        <v>4676620</v>
      </c>
    </row>
    <row r="209" spans="1:12" x14ac:dyDescent="0.2">
      <c r="A209">
        <f t="shared" si="7"/>
        <v>4676620</v>
      </c>
      <c r="B209">
        <v>2022</v>
      </c>
      <c r="C209" t="s">
        <v>208</v>
      </c>
      <c r="D209" t="s">
        <v>212</v>
      </c>
      <c r="E209" t="s">
        <v>211</v>
      </c>
      <c r="F209" s="3">
        <v>905104</v>
      </c>
      <c r="G209" s="3" t="s">
        <v>149</v>
      </c>
      <c r="H209" s="4">
        <v>2116157</v>
      </c>
      <c r="I209" cm="1">
        <f t="array" ref="I209">_xlfn.IFS(B209=2015,H209/$O$10,B209=2016,H209/$O$11,B209=2017,H209/$O$12,B209=2018,H209/$O$13,B209=2019,H209/$O$14,B209=2020,H209/$O$15,B209=2021,H209/$O$16,B209=2022,H209/$O$17)</f>
        <v>3.6648838456562437E-2</v>
      </c>
      <c r="J209" s="6" cm="1">
        <f t="array" ref="J209">_xlfn.IFS(B209=2015,I209*$Q$1,B209=2016,I209*$Q$2,B209=2017,I209*$Q$3,B209=2018,I209*$Q$4,B209=2019,I209*$Q$5,B209=2020,I209*$Q$6,B209=2021,I209*$Q$7,B209=2022,I209*$Q$8)</f>
        <v>1079599.5042161397</v>
      </c>
      <c r="K209" s="7">
        <f t="shared" si="8"/>
        <v>3195756.5042161397</v>
      </c>
      <c r="L209">
        <f>IFERROR(VLOOKUP(G209,'LEAID Match'!$A$2:$B$168,2,FALSE),"")</f>
        <v>4676620</v>
      </c>
    </row>
    <row r="210" spans="1:12" x14ac:dyDescent="0.2">
      <c r="A210">
        <f t="shared" si="7"/>
        <v>4680170</v>
      </c>
      <c r="B210">
        <v>2015</v>
      </c>
      <c r="C210" t="s">
        <v>208</v>
      </c>
      <c r="D210" t="s">
        <v>212</v>
      </c>
      <c r="E210" t="s">
        <v>211</v>
      </c>
      <c r="F210" s="3">
        <v>905130</v>
      </c>
      <c r="G210" s="3" t="s">
        <v>108</v>
      </c>
      <c r="H210" s="4">
        <v>39136</v>
      </c>
      <c r="I210" cm="1">
        <f t="array" ref="I210">_xlfn.IFS(B210=2015,H210/$O$10,B210=2016,H210/$O$11,B210=2017,H210/$O$12,B210=2018,H210/$O$13,B210=2019,H210/$O$14,B210=2020,H210/$O$15,B210=2021,H210/$O$16,B210=2022,H210/$O$17)</f>
        <v>9.1540252461261176E-4</v>
      </c>
      <c r="J210" s="6" cm="1">
        <f t="array" ref="J210">_xlfn.IFS(B210=2015,I210*$Q$1,B210=2016,I210*$Q$2,B210=2017,I210*$Q$3,B210=2018,I210*$Q$4,B210=2019,I210*$Q$5,B210=2020,I210*$Q$6,B210=2021,I210*$Q$7,B210=2022,I210*$Q$8)</f>
        <v>22511.720772664663</v>
      </c>
      <c r="K210" s="7">
        <f t="shared" si="8"/>
        <v>61647.720772664659</v>
      </c>
      <c r="L210">
        <f>IFERROR(VLOOKUP(G210,'LEAID Match'!$A$2:$B$168,2,FALSE),"")</f>
        <v>4680170</v>
      </c>
    </row>
    <row r="211" spans="1:12" x14ac:dyDescent="0.2">
      <c r="A211">
        <f t="shared" si="7"/>
        <v>4680170</v>
      </c>
      <c r="B211">
        <v>2016</v>
      </c>
      <c r="C211" t="s">
        <v>208</v>
      </c>
      <c r="D211" t="s">
        <v>212</v>
      </c>
      <c r="E211" t="s">
        <v>211</v>
      </c>
      <c r="F211" s="3">
        <v>905130</v>
      </c>
      <c r="G211" s="3" t="s">
        <v>108</v>
      </c>
      <c r="H211" s="4">
        <v>39341</v>
      </c>
      <c r="I211" cm="1">
        <f t="array" ref="I211">_xlfn.IFS(B211=2015,H211/$O$10,B211=2016,H211/$O$11,B211=2017,H211/$O$12,B211=2018,H211/$O$13,B211=2019,H211/$O$14,B211=2020,H211/$O$15,B211=2021,H211/$O$16,B211=2022,H211/$O$17)</f>
        <v>8.9233494916553268E-4</v>
      </c>
      <c r="J211" s="6" cm="1">
        <f t="array" ref="J211">_xlfn.IFS(B211=2015,I211*$Q$1,B211=2016,I211*$Q$2,B211=2017,I211*$Q$3,B211=2018,I211*$Q$4,B211=2019,I211*$Q$5,B211=2020,I211*$Q$6,B211=2021,I211*$Q$7,B211=2022,I211*$Q$8)</f>
        <v>22670.487713184437</v>
      </c>
      <c r="K211" s="7">
        <f t="shared" si="8"/>
        <v>62011.487713184441</v>
      </c>
      <c r="L211">
        <f>IFERROR(VLOOKUP(G211,'LEAID Match'!$A$2:$B$168,2,FALSE),"")</f>
        <v>4680170</v>
      </c>
    </row>
    <row r="212" spans="1:12" x14ac:dyDescent="0.2">
      <c r="A212">
        <f t="shared" si="7"/>
        <v>4680170</v>
      </c>
      <c r="B212">
        <v>2017</v>
      </c>
      <c r="C212" t="s">
        <v>208</v>
      </c>
      <c r="D212" t="s">
        <v>212</v>
      </c>
      <c r="E212" t="s">
        <v>211</v>
      </c>
      <c r="F212" s="3">
        <v>905130</v>
      </c>
      <c r="G212" s="3" t="s">
        <v>108</v>
      </c>
      <c r="H212" s="4">
        <v>44275</v>
      </c>
      <c r="I212" cm="1">
        <f t="array" ref="I212">_xlfn.IFS(B212=2015,H212/$O$10,B212=2016,H212/$O$11,B212=2017,H212/$O$12,B212=2018,H212/$O$13,B212=2019,H212/$O$14,B212=2020,H212/$O$15,B212=2021,H212/$O$16,B212=2022,H212/$O$17)</f>
        <v>9.1413664681835643E-4</v>
      </c>
      <c r="J212" s="6" cm="1">
        <f t="array" ref="J212">_xlfn.IFS(B212=2015,I212*$Q$1,B212=2016,I212*$Q$2,B212=2017,I212*$Q$3,B212=2018,I212*$Q$4,B212=2019,I212*$Q$5,B212=2020,I212*$Q$6,B212=2021,I212*$Q$7,B212=2022,I212*$Q$8)</f>
        <v>24046.852643526268</v>
      </c>
      <c r="K212" s="7">
        <f t="shared" si="8"/>
        <v>68321.852643526276</v>
      </c>
      <c r="L212">
        <f>IFERROR(VLOOKUP(G212,'LEAID Match'!$A$2:$B$168,2,FALSE),"")</f>
        <v>4680170</v>
      </c>
    </row>
    <row r="213" spans="1:12" x14ac:dyDescent="0.2">
      <c r="A213">
        <f t="shared" si="7"/>
        <v>4680170</v>
      </c>
      <c r="B213">
        <v>2018</v>
      </c>
      <c r="C213" t="s">
        <v>208</v>
      </c>
      <c r="D213" t="s">
        <v>212</v>
      </c>
      <c r="E213" t="s">
        <v>211</v>
      </c>
      <c r="F213" s="3">
        <v>905130</v>
      </c>
      <c r="G213" s="3" t="s">
        <v>108</v>
      </c>
      <c r="H213" s="4">
        <v>46075</v>
      </c>
      <c r="I213" cm="1">
        <f t="array" ref="I213">_xlfn.IFS(B213=2015,H213/$O$10,B213=2016,H213/$O$11,B213=2017,H213/$O$12,B213=2018,H213/$O$13,B213=2019,H213/$O$14,B213=2020,H213/$O$15,B213=2021,H213/$O$16,B213=2022,H213/$O$17)</f>
        <v>9.1885549712505423E-4</v>
      </c>
      <c r="J213" s="6" cm="1">
        <f t="array" ref="J213">_xlfn.IFS(B213=2015,I213*$Q$1,B213=2016,I213*$Q$2,B213=2017,I213*$Q$3,B213=2018,I213*$Q$4,B213=2019,I213*$Q$5,B213=2020,I213*$Q$6,B213=2021,I213*$Q$7,B213=2022,I213*$Q$8)</f>
        <v>24125.294431115472</v>
      </c>
      <c r="K213" s="7">
        <f t="shared" si="8"/>
        <v>70200.294431115472</v>
      </c>
      <c r="L213">
        <f>IFERROR(VLOOKUP(G213,'LEAID Match'!$A$2:$B$168,2,FALSE),"")</f>
        <v>4680170</v>
      </c>
    </row>
    <row r="214" spans="1:12" x14ac:dyDescent="0.2">
      <c r="A214">
        <f t="shared" si="7"/>
        <v>4680170</v>
      </c>
      <c r="B214">
        <v>2019</v>
      </c>
      <c r="C214" t="s">
        <v>208</v>
      </c>
      <c r="D214" t="s">
        <v>212</v>
      </c>
      <c r="E214" t="s">
        <v>211</v>
      </c>
      <c r="F214" s="3">
        <v>905130</v>
      </c>
      <c r="G214" s="3" t="s">
        <v>108</v>
      </c>
      <c r="H214" s="4">
        <v>46805</v>
      </c>
      <c r="I214" cm="1">
        <f t="array" ref="I214">_xlfn.IFS(B214=2015,H214/$O$10,B214=2016,H214/$O$11,B214=2017,H214/$O$12,B214=2018,H214/$O$13,B214=2019,H214/$O$14,B214=2020,H214/$O$15,B214=2021,H214/$O$16,B214=2022,H214/$O$17)</f>
        <v>9.1665401016300112E-4</v>
      </c>
      <c r="J214" s="6" cm="1">
        <f t="array" ref="J214">_xlfn.IFS(B214=2015,I214*$Q$1,B214=2016,I214*$Q$2,B214=2017,I214*$Q$3,B214=2018,I214*$Q$4,B214=2019,I214*$Q$5,B214=2020,I214*$Q$6,B214=2021,I214*$Q$7,B214=2022,I214*$Q$8)</f>
        <v>24243.165684355514</v>
      </c>
      <c r="K214" s="7">
        <f t="shared" si="8"/>
        <v>71048.16568435551</v>
      </c>
      <c r="L214">
        <f>IFERROR(VLOOKUP(G214,'LEAID Match'!$A$2:$B$168,2,FALSE),"")</f>
        <v>4680170</v>
      </c>
    </row>
    <row r="215" spans="1:12" x14ac:dyDescent="0.2">
      <c r="A215">
        <f t="shared" si="7"/>
        <v>4680170</v>
      </c>
      <c r="B215">
        <v>2020</v>
      </c>
      <c r="C215" t="s">
        <v>208</v>
      </c>
      <c r="D215" t="s">
        <v>212</v>
      </c>
      <c r="E215" t="s">
        <v>211</v>
      </c>
      <c r="F215" s="1">
        <v>905130</v>
      </c>
      <c r="G215" s="3" t="s">
        <v>108</v>
      </c>
      <c r="H215" s="2">
        <v>44803</v>
      </c>
      <c r="I215" cm="1">
        <f t="array" ref="I215">_xlfn.IFS(B215=2015,H215/$O$10,B215=2016,H215/$O$11,B215=2017,H215/$O$12,B215=2018,H215/$O$13,B215=2019,H215/$O$14,B215=2020,H215/$O$15,B215=2021,H215/$O$16,B215=2022,H215/$O$17)</f>
        <v>8.4855895926970026E-4</v>
      </c>
      <c r="J215" s="6" cm="1">
        <f t="array" ref="J215">_xlfn.IFS(B215=2015,I215*$Q$1,B215=2016,I215*$Q$2,B215=2017,I215*$Q$3,B215=2018,I215*$Q$4,B215=2019,I215*$Q$5,B215=2020,I215*$Q$6,B215=2021,I215*$Q$7,B215=2022,I215*$Q$8)</f>
        <v>23072.514119662741</v>
      </c>
      <c r="K215" s="7">
        <f t="shared" si="8"/>
        <v>67875.514119662737</v>
      </c>
      <c r="L215">
        <f>IFERROR(VLOOKUP(G215,'LEAID Match'!$A$2:$B$168,2,FALSE),"")</f>
        <v>4680170</v>
      </c>
    </row>
    <row r="216" spans="1:12" x14ac:dyDescent="0.2">
      <c r="A216">
        <f t="shared" si="7"/>
        <v>4680170</v>
      </c>
      <c r="B216">
        <v>2021</v>
      </c>
      <c r="C216" t="s">
        <v>208</v>
      </c>
      <c r="D216" t="s">
        <v>212</v>
      </c>
      <c r="E216" t="s">
        <v>211</v>
      </c>
      <c r="F216" s="3">
        <v>905130</v>
      </c>
      <c r="G216" s="3" t="s">
        <v>108</v>
      </c>
      <c r="H216" s="4">
        <v>42927</v>
      </c>
      <c r="I216" cm="1">
        <f t="array" ref="I216">_xlfn.IFS(B216=2015,H216/$O$10,B216=2016,H216/$O$11,B216=2017,H216/$O$12,B216=2018,H216/$O$13,B216=2019,H216/$O$14,B216=2020,H216/$O$15,B216=2021,H216/$O$16,B216=2022,H216/$O$17)</f>
        <v>7.7532893818316303E-4</v>
      </c>
      <c r="J216" s="6" cm="1">
        <f t="array" ref="J216">_xlfn.IFS(B216=2015,I216*$Q$1,B216=2016,I216*$Q$2,B216=2017,I216*$Q$3,B216=2018,I216*$Q$4,B216=2019,I216*$Q$5,B216=2020,I216*$Q$6,B216=2021,I216*$Q$7,B216=2022,I216*$Q$8)</f>
        <v>21583.865165679308</v>
      </c>
      <c r="K216" s="7">
        <f t="shared" si="8"/>
        <v>64510.865165679308</v>
      </c>
      <c r="L216">
        <f>IFERROR(VLOOKUP(G216,'LEAID Match'!$A$2:$B$168,2,FALSE),"")</f>
        <v>4680170</v>
      </c>
    </row>
    <row r="217" spans="1:12" x14ac:dyDescent="0.2">
      <c r="A217">
        <f t="shared" si="7"/>
        <v>4680170</v>
      </c>
      <c r="B217">
        <v>2022</v>
      </c>
      <c r="C217" t="s">
        <v>208</v>
      </c>
      <c r="D217" t="s">
        <v>212</v>
      </c>
      <c r="E217" t="s">
        <v>211</v>
      </c>
      <c r="F217" s="3">
        <v>905130</v>
      </c>
      <c r="G217" s="3" t="s">
        <v>108</v>
      </c>
      <c r="H217" s="4">
        <v>45071</v>
      </c>
      <c r="I217" cm="1">
        <f t="array" ref="I217">_xlfn.IFS(B217=2015,H217/$O$10,B217=2016,H217/$O$11,B217=2017,H217/$O$12,B217=2018,H217/$O$13,B217=2019,H217/$O$14,B217=2020,H217/$O$15,B217=2021,H217/$O$16,B217=2022,H217/$O$17)</f>
        <v>7.8056580777122176E-4</v>
      </c>
      <c r="J217" s="6" cm="1">
        <f t="array" ref="J217">_xlfn.IFS(B217=2015,I217*$Q$1,B217=2016,I217*$Q$2,B217=2017,I217*$Q$3,B217=2018,I217*$Q$4,B217=2019,I217*$Q$5,B217=2020,I217*$Q$6,B217=2021,I217*$Q$7,B217=2022,I217*$Q$8)</f>
        <v>22993.865414771029</v>
      </c>
      <c r="K217" s="7">
        <f t="shared" si="8"/>
        <v>68064.865414771033</v>
      </c>
      <c r="L217">
        <f>IFERROR(VLOOKUP(G217,'LEAID Match'!$A$2:$B$168,2,FALSE),"")</f>
        <v>4680170</v>
      </c>
    </row>
    <row r="218" spans="1:12" x14ac:dyDescent="0.2">
      <c r="A218">
        <f t="shared" si="7"/>
        <v>4624540</v>
      </c>
      <c r="B218">
        <v>2015</v>
      </c>
      <c r="C218" t="s">
        <v>208</v>
      </c>
      <c r="D218" t="s">
        <v>212</v>
      </c>
      <c r="E218" t="s">
        <v>211</v>
      </c>
      <c r="F218" s="3">
        <v>905140</v>
      </c>
      <c r="G218" s="3" t="s">
        <v>54</v>
      </c>
      <c r="H218" s="4">
        <v>67490</v>
      </c>
      <c r="I218" cm="1">
        <f t="array" ref="I218">_xlfn.IFS(B218=2015,H218/$O$10,B218=2016,H218/$O$11,B218=2017,H218/$O$12,B218=2018,H218/$O$13,B218=2019,H218/$O$14,B218=2020,H218/$O$15,B218=2021,H218/$O$16,B218=2022,H218/$O$17)</f>
        <v>1.5786109052050583E-3</v>
      </c>
      <c r="J218" s="6" cm="1">
        <f t="array" ref="J218">_xlfn.IFS(B218=2015,I218*$Q$1,B218=2016,I218*$Q$2,B218=2017,I218*$Q$3,B218=2018,I218*$Q$4,B218=2019,I218*$Q$5,B218=2020,I218*$Q$6,B218=2021,I218*$Q$7,B218=2022,I218*$Q$8)</f>
        <v>38821.444065493102</v>
      </c>
      <c r="K218" s="7">
        <f t="shared" si="8"/>
        <v>106311.44406549309</v>
      </c>
      <c r="L218">
        <f>IFERROR(VLOOKUP(G218,'LEAID Match'!$A$2:$B$168,2,FALSE),"")</f>
        <v>4624540</v>
      </c>
    </row>
    <row r="219" spans="1:12" x14ac:dyDescent="0.2">
      <c r="A219">
        <f t="shared" si="7"/>
        <v>4624540</v>
      </c>
      <c r="B219">
        <v>2016</v>
      </c>
      <c r="C219" t="s">
        <v>208</v>
      </c>
      <c r="D219" t="s">
        <v>212</v>
      </c>
      <c r="E219" t="s">
        <v>211</v>
      </c>
      <c r="F219" s="3">
        <v>905140</v>
      </c>
      <c r="G219" s="3" t="s">
        <v>54</v>
      </c>
      <c r="H219" s="4">
        <v>69951</v>
      </c>
      <c r="I219" cm="1">
        <f t="array" ref="I219">_xlfn.IFS(B219=2015,H219/$O$10,B219=2016,H219/$O$11,B219=2017,H219/$O$12,B219=2018,H219/$O$13,B219=2019,H219/$O$14,B219=2020,H219/$O$15,B219=2021,H219/$O$16,B219=2022,H219/$O$17)</f>
        <v>1.5866328265442713E-3</v>
      </c>
      <c r="J219" s="6" cm="1">
        <f t="array" ref="J219">_xlfn.IFS(B219=2015,I219*$Q$1,B219=2016,I219*$Q$2,B219=2017,I219*$Q$3,B219=2018,I219*$Q$4,B219=2019,I219*$Q$5,B219=2020,I219*$Q$6,B219=2021,I219*$Q$7,B219=2022,I219*$Q$8)</f>
        <v>40309.684197782582</v>
      </c>
      <c r="K219" s="7">
        <f t="shared" si="8"/>
        <v>110260.68419778258</v>
      </c>
      <c r="L219">
        <f>IFERROR(VLOOKUP(G219,'LEAID Match'!$A$2:$B$168,2,FALSE),"")</f>
        <v>4624540</v>
      </c>
    </row>
    <row r="220" spans="1:12" x14ac:dyDescent="0.2">
      <c r="A220">
        <f t="shared" si="7"/>
        <v>4624540</v>
      </c>
      <c r="B220">
        <v>2017</v>
      </c>
      <c r="C220" t="s">
        <v>208</v>
      </c>
      <c r="D220" t="s">
        <v>212</v>
      </c>
      <c r="E220" t="s">
        <v>211</v>
      </c>
      <c r="F220" s="3">
        <v>905140</v>
      </c>
      <c r="G220" s="3" t="s">
        <v>54</v>
      </c>
      <c r="H220" s="4">
        <v>82493</v>
      </c>
      <c r="I220" cm="1">
        <f t="array" ref="I220">_xlfn.IFS(B220=2015,H220/$O$10,B220=2016,H220/$O$11,B220=2017,H220/$O$12,B220=2018,H220/$O$13,B220=2019,H220/$O$14,B220=2020,H220/$O$15,B220=2021,H220/$O$16,B220=2022,H220/$O$17)</f>
        <v>1.7032156839296821E-3</v>
      </c>
      <c r="J220" s="6" cm="1">
        <f t="array" ref="J220">_xlfn.IFS(B220=2015,I220*$Q$1,B220=2016,I220*$Q$2,B220=2017,I220*$Q$3,B220=2018,I220*$Q$4,B220=2019,I220*$Q$5,B220=2020,I220*$Q$6,B220=2021,I220*$Q$7,B220=2022,I220*$Q$8)</f>
        <v>44803.998082945509</v>
      </c>
      <c r="K220" s="7">
        <f t="shared" si="8"/>
        <v>127296.9980829455</v>
      </c>
      <c r="L220">
        <f>IFERROR(VLOOKUP(G220,'LEAID Match'!$A$2:$B$168,2,FALSE),"")</f>
        <v>4624540</v>
      </c>
    </row>
    <row r="221" spans="1:12" x14ac:dyDescent="0.2">
      <c r="A221">
        <f t="shared" si="7"/>
        <v>4624540</v>
      </c>
      <c r="B221">
        <v>2018</v>
      </c>
      <c r="C221" t="s">
        <v>208</v>
      </c>
      <c r="D221" t="s">
        <v>212</v>
      </c>
      <c r="E221" t="s">
        <v>211</v>
      </c>
      <c r="F221" s="3">
        <v>905140</v>
      </c>
      <c r="G221" s="3" t="s">
        <v>54</v>
      </c>
      <c r="H221" s="4">
        <v>89886</v>
      </c>
      <c r="I221" cm="1">
        <f t="array" ref="I221">_xlfn.IFS(B221=2015,H221/$O$10,B221=2016,H221/$O$11,B221=2017,H221/$O$12,B221=2018,H221/$O$13,B221=2019,H221/$O$14,B221=2020,H221/$O$15,B221=2021,H221/$O$16,B221=2022,H221/$O$17)</f>
        <v>1.7925609379182339E-3</v>
      </c>
      <c r="J221" s="6" cm="1">
        <f t="array" ref="J221">_xlfn.IFS(B221=2015,I221*$Q$1,B221=2016,I221*$Q$2,B221=2017,I221*$Q$3,B221=2018,I221*$Q$4,B221=2019,I221*$Q$5,B221=2020,I221*$Q$6,B221=2021,I221*$Q$7,B221=2022,I221*$Q$8)</f>
        <v>47065.137606842007</v>
      </c>
      <c r="K221" s="7">
        <f t="shared" si="8"/>
        <v>136951.13760684201</v>
      </c>
      <c r="L221">
        <f>IFERROR(VLOOKUP(G221,'LEAID Match'!$A$2:$B$168,2,FALSE),"")</f>
        <v>4624540</v>
      </c>
    </row>
    <row r="222" spans="1:12" x14ac:dyDescent="0.2">
      <c r="A222">
        <f t="shared" si="7"/>
        <v>4624540</v>
      </c>
      <c r="B222">
        <v>2019</v>
      </c>
      <c r="C222" t="s">
        <v>208</v>
      </c>
      <c r="D222" t="s">
        <v>212</v>
      </c>
      <c r="E222" t="s">
        <v>211</v>
      </c>
      <c r="F222" s="3">
        <v>905140</v>
      </c>
      <c r="G222" s="3" t="s">
        <v>54</v>
      </c>
      <c r="H222" s="4">
        <v>87903</v>
      </c>
      <c r="I222" cm="1">
        <f t="array" ref="I222">_xlfn.IFS(B222=2015,H222/$O$10,B222=2016,H222/$O$11,B222=2017,H222/$O$12,B222=2018,H222/$O$13,B222=2019,H222/$O$14,B222=2020,H222/$O$15,B222=2021,H222/$O$16,B222=2022,H222/$O$17)</f>
        <v>1.7215390974331436E-3</v>
      </c>
      <c r="J222" s="6" cm="1">
        <f t="array" ref="J222">_xlfn.IFS(B222=2015,I222*$Q$1,B222=2016,I222*$Q$2,B222=2017,I222*$Q$3,B222=2018,I222*$Q$4,B222=2019,I222*$Q$5,B222=2020,I222*$Q$6,B222=2021,I222*$Q$7,B222=2022,I222*$Q$8)</f>
        <v>45530.327810103678</v>
      </c>
      <c r="K222" s="7">
        <f t="shared" si="8"/>
        <v>133433.32781010368</v>
      </c>
      <c r="L222">
        <f>IFERROR(VLOOKUP(G222,'LEAID Match'!$A$2:$B$168,2,FALSE),"")</f>
        <v>4624540</v>
      </c>
    </row>
    <row r="223" spans="1:12" x14ac:dyDescent="0.2">
      <c r="A223">
        <f t="shared" si="7"/>
        <v>4624540</v>
      </c>
      <c r="B223">
        <v>2020</v>
      </c>
      <c r="C223" t="s">
        <v>208</v>
      </c>
      <c r="D223" t="s">
        <v>212</v>
      </c>
      <c r="E223" t="s">
        <v>211</v>
      </c>
      <c r="F223" s="1">
        <v>905140</v>
      </c>
      <c r="G223" s="3" t="s">
        <v>54</v>
      </c>
      <c r="H223" s="2">
        <v>89092</v>
      </c>
      <c r="I223" cm="1">
        <f t="array" ref="I223">_xlfn.IFS(B223=2015,H223/$O$10,B223=2016,H223/$O$11,B223=2017,H223/$O$12,B223=2018,H223/$O$13,B223=2019,H223/$O$14,B223=2020,H223/$O$15,B223=2021,H223/$O$16,B223=2022,H223/$O$17)</f>
        <v>1.6873828716660968E-3</v>
      </c>
      <c r="J223" s="6" cm="1">
        <f t="array" ref="J223">_xlfn.IFS(B223=2015,I223*$Q$1,B223=2016,I223*$Q$2,B223=2017,I223*$Q$3,B223=2018,I223*$Q$4,B223=2019,I223*$Q$5,B223=2020,I223*$Q$6,B223=2021,I223*$Q$7,B223=2022,I223*$Q$8)</f>
        <v>45880.330066044524</v>
      </c>
      <c r="K223" s="7">
        <f t="shared" si="8"/>
        <v>134972.33006604452</v>
      </c>
      <c r="L223">
        <f>IFERROR(VLOOKUP(G223,'LEAID Match'!$A$2:$B$168,2,FALSE),"")</f>
        <v>4624540</v>
      </c>
    </row>
    <row r="224" spans="1:12" x14ac:dyDescent="0.2">
      <c r="A224">
        <f t="shared" si="7"/>
        <v>4624540</v>
      </c>
      <c r="B224">
        <v>2021</v>
      </c>
      <c r="C224" t="s">
        <v>208</v>
      </c>
      <c r="D224" t="s">
        <v>212</v>
      </c>
      <c r="E224" t="s">
        <v>211</v>
      </c>
      <c r="F224" s="3">
        <v>905140</v>
      </c>
      <c r="G224" s="3" t="s">
        <v>54</v>
      </c>
      <c r="H224" s="4">
        <v>97945</v>
      </c>
      <c r="I224" cm="1">
        <f t="array" ref="I224">_xlfn.IFS(B224=2015,H224/$O$10,B224=2016,H224/$O$11,B224=2017,H224/$O$12,B224=2018,H224/$O$13,B224=2019,H224/$O$14,B224=2020,H224/$O$15,B224=2021,H224/$O$16,B224=2022,H224/$O$17)</f>
        <v>1.7690402974899224E-3</v>
      </c>
      <c r="J224" s="6" cm="1">
        <f t="array" ref="J224">_xlfn.IFS(B224=2015,I224*$Q$1,B224=2016,I224*$Q$2,B224=2017,I224*$Q$3,B224=2018,I224*$Q$4,B224=2019,I224*$Q$5,B224=2020,I224*$Q$6,B224=2021,I224*$Q$7,B224=2022,I224*$Q$8)</f>
        <v>49247.132891943525</v>
      </c>
      <c r="K224" s="7">
        <f t="shared" si="8"/>
        <v>147192.13289194353</v>
      </c>
      <c r="L224">
        <f>IFERROR(VLOOKUP(G224,'LEAID Match'!$A$2:$B$168,2,FALSE),"")</f>
        <v>4624540</v>
      </c>
    </row>
    <row r="225" spans="1:12" x14ac:dyDescent="0.2">
      <c r="A225">
        <f t="shared" si="7"/>
        <v>4624540</v>
      </c>
      <c r="B225">
        <v>2022</v>
      </c>
      <c r="C225" t="s">
        <v>208</v>
      </c>
      <c r="D225" t="s">
        <v>212</v>
      </c>
      <c r="E225" t="s">
        <v>211</v>
      </c>
      <c r="F225" s="3">
        <v>905140</v>
      </c>
      <c r="G225" s="3" t="s">
        <v>54</v>
      </c>
      <c r="H225" s="4">
        <v>105396</v>
      </c>
      <c r="I225" cm="1">
        <f t="array" ref="I225">_xlfn.IFS(B225=2015,H225/$O$10,B225=2016,H225/$O$11,B225=2017,H225/$O$12,B225=2018,H225/$O$13,B225=2019,H225/$O$14,B225=2020,H225/$O$15,B225=2021,H225/$O$16,B225=2022,H225/$O$17)</f>
        <v>1.8253092648455923E-3</v>
      </c>
      <c r="J225" s="6" cm="1">
        <f t="array" ref="J225">_xlfn.IFS(B225=2015,I225*$Q$1,B225=2016,I225*$Q$2,B225=2017,I225*$Q$3,B225=2018,I225*$Q$4,B225=2019,I225*$Q$5,B225=2020,I225*$Q$6,B225=2021,I225*$Q$7,B225=2022,I225*$Q$8)</f>
        <v>53769.861757121158</v>
      </c>
      <c r="K225" s="7">
        <f t="shared" si="8"/>
        <v>159165.86175712117</v>
      </c>
      <c r="L225">
        <f>IFERROR(VLOOKUP(G225,'LEAID Match'!$A$2:$B$168,2,FALSE),"")</f>
        <v>4624540</v>
      </c>
    </row>
    <row r="226" spans="1:12" x14ac:dyDescent="0.2">
      <c r="A226">
        <f t="shared" si="7"/>
        <v>4608520</v>
      </c>
      <c r="B226">
        <v>2015</v>
      </c>
      <c r="C226" t="s">
        <v>208</v>
      </c>
      <c r="D226" t="s">
        <v>212</v>
      </c>
      <c r="E226" t="s">
        <v>211</v>
      </c>
      <c r="F226" s="3">
        <v>906102</v>
      </c>
      <c r="G226" s="3" t="s">
        <v>18</v>
      </c>
      <c r="H226" s="4">
        <v>857046</v>
      </c>
      <c r="I226" cm="1">
        <f t="array" ref="I226">_xlfn.IFS(B226=2015,H226/$O$10,B226=2016,H226/$O$11,B226=2017,H226/$O$12,B226=2018,H226/$O$13,B226=2019,H226/$O$14,B226=2020,H226/$O$15,B226=2021,H226/$O$16,B226=2022,H226/$O$17)</f>
        <v>2.0046557443508289E-2</v>
      </c>
      <c r="J226" s="6" cm="1">
        <f t="array" ref="J226">_xlfn.IFS(B226=2015,I226*$Q$1,B226=2016,I226*$Q$2,B226=2017,I226*$Q$3,B226=2018,I226*$Q$4,B226=2019,I226*$Q$5,B226=2020,I226*$Q$6,B226=2021,I226*$Q$7,B226=2022,I226*$Q$8)</f>
        <v>492988.04786715959</v>
      </c>
      <c r="K226" s="7">
        <f t="shared" si="8"/>
        <v>1350034.0478671596</v>
      </c>
      <c r="L226">
        <f>IFERROR(VLOOKUP(G226,'LEAID Match'!$A$2:$B$168,2,FALSE),"")</f>
        <v>4608520</v>
      </c>
    </row>
    <row r="227" spans="1:12" x14ac:dyDescent="0.2">
      <c r="A227">
        <f t="shared" si="7"/>
        <v>4608520</v>
      </c>
      <c r="B227">
        <v>2016</v>
      </c>
      <c r="C227" t="s">
        <v>208</v>
      </c>
      <c r="D227" t="s">
        <v>212</v>
      </c>
      <c r="E227" t="s">
        <v>211</v>
      </c>
      <c r="F227" s="3">
        <v>906102</v>
      </c>
      <c r="G227" s="3" t="s">
        <v>18</v>
      </c>
      <c r="H227" s="4">
        <v>910140</v>
      </c>
      <c r="I227" cm="1">
        <f t="array" ref="I227">_xlfn.IFS(B227=2015,H227/$O$10,B227=2016,H227/$O$11,B227=2017,H227/$O$12,B227=2018,H227/$O$13,B227=2019,H227/$O$14,B227=2020,H227/$O$15,B227=2021,H227/$O$16,B227=2022,H227/$O$17)</f>
        <v>2.0643850706222971E-2</v>
      </c>
      <c r="J227" s="6" cm="1">
        <f t="array" ref="J227">_xlfn.IFS(B227=2015,I227*$Q$1,B227=2016,I227*$Q$2,B227=2017,I227*$Q$3,B227=2018,I227*$Q$4,B227=2019,I227*$Q$5,B227=2020,I227*$Q$6,B227=2021,I227*$Q$7,B227=2022,I227*$Q$8)</f>
        <v>524473.64549141307</v>
      </c>
      <c r="K227" s="7">
        <f t="shared" si="8"/>
        <v>1434613.6454914131</v>
      </c>
      <c r="L227">
        <f>IFERROR(VLOOKUP(G227,'LEAID Match'!$A$2:$B$168,2,FALSE),"")</f>
        <v>4608520</v>
      </c>
    </row>
    <row r="228" spans="1:12" x14ac:dyDescent="0.2">
      <c r="A228">
        <f t="shared" si="7"/>
        <v>4608520</v>
      </c>
      <c r="B228">
        <v>2017</v>
      </c>
      <c r="C228" t="s">
        <v>208</v>
      </c>
      <c r="D228" t="s">
        <v>212</v>
      </c>
      <c r="E228" t="s">
        <v>211</v>
      </c>
      <c r="F228" s="3">
        <v>906102</v>
      </c>
      <c r="G228" s="3" t="s">
        <v>18</v>
      </c>
      <c r="H228" s="4">
        <v>1026180</v>
      </c>
      <c r="I228" cm="1">
        <f t="array" ref="I228">_xlfn.IFS(B228=2015,H228/$O$10,B228=2016,H228/$O$11,B228=2017,H228/$O$12,B228=2018,H228/$O$13,B228=2019,H228/$O$14,B228=2020,H228/$O$15,B228=2021,H228/$O$16,B228=2022,H228/$O$17)</f>
        <v>2.1187323415743895E-2</v>
      </c>
      <c r="J228" s="6" cm="1">
        <f t="array" ref="J228">_xlfn.IFS(B228=2015,I228*$Q$1,B228=2016,I228*$Q$2,B228=2017,I228*$Q$3,B228=2018,I228*$Q$4,B228=2019,I228*$Q$5,B228=2020,I228*$Q$6,B228=2021,I228*$Q$7,B228=2022,I228*$Q$8)</f>
        <v>557343.85648184712</v>
      </c>
      <c r="K228" s="7">
        <f t="shared" si="8"/>
        <v>1583523.8564818471</v>
      </c>
      <c r="L228">
        <f>IFERROR(VLOOKUP(G228,'LEAID Match'!$A$2:$B$168,2,FALSE),"")</f>
        <v>4608520</v>
      </c>
    </row>
    <row r="229" spans="1:12" x14ac:dyDescent="0.2">
      <c r="A229">
        <f t="shared" si="7"/>
        <v>4608520</v>
      </c>
      <c r="B229">
        <v>2018</v>
      </c>
      <c r="C229" t="s">
        <v>208</v>
      </c>
      <c r="D229" t="s">
        <v>212</v>
      </c>
      <c r="E229" t="s">
        <v>211</v>
      </c>
      <c r="F229" s="3">
        <v>906102</v>
      </c>
      <c r="G229" s="3" t="s">
        <v>18</v>
      </c>
      <c r="H229" s="4">
        <v>1063772</v>
      </c>
      <c r="I229" cm="1">
        <f t="array" ref="I229">_xlfn.IFS(B229=2015,H229/$O$10,B229=2016,H229/$O$11,B229=2017,H229/$O$12,B229=2018,H229/$O$13,B229=2019,H229/$O$14,B229=2020,H229/$O$15,B229=2021,H229/$O$16,B229=2022,H229/$O$17)</f>
        <v>2.121438415382991E-2</v>
      </c>
      <c r="J229" s="6" cm="1">
        <f t="array" ref="J229">_xlfn.IFS(B229=2015,I229*$Q$1,B229=2016,I229*$Q$2,B229=2017,I229*$Q$3,B229=2018,I229*$Q$4,B229=2019,I229*$Q$5,B229=2020,I229*$Q$6,B229=2021,I229*$Q$7,B229=2022,I229*$Q$8)</f>
        <v>557000.81839558471</v>
      </c>
      <c r="K229" s="7">
        <f t="shared" si="8"/>
        <v>1620772.8183955848</v>
      </c>
      <c r="L229">
        <f>IFERROR(VLOOKUP(G229,'LEAID Match'!$A$2:$B$168,2,FALSE),"")</f>
        <v>4608520</v>
      </c>
    </row>
    <row r="230" spans="1:12" x14ac:dyDescent="0.2">
      <c r="A230">
        <f t="shared" si="7"/>
        <v>4608520</v>
      </c>
      <c r="B230">
        <v>2019</v>
      </c>
      <c r="C230" t="s">
        <v>208</v>
      </c>
      <c r="D230" t="s">
        <v>212</v>
      </c>
      <c r="E230" t="s">
        <v>211</v>
      </c>
      <c r="F230" s="3">
        <v>906102</v>
      </c>
      <c r="G230" s="3" t="s">
        <v>18</v>
      </c>
      <c r="H230" s="4">
        <v>1080392</v>
      </c>
      <c r="I230" cm="1">
        <f t="array" ref="I230">_xlfn.IFS(B230=2015,H230/$O$10,B230=2016,H230/$O$11,B230=2017,H230/$O$12,B230=2018,H230/$O$13,B230=2019,H230/$O$14,B230=2020,H230/$O$15,B230=2021,H230/$O$16,B230=2022,H230/$O$17)</f>
        <v>2.1158971463476658E-2</v>
      </c>
      <c r="J230" s="6" cm="1">
        <f t="array" ref="J230">_xlfn.IFS(B230=2015,I230*$Q$1,B230=2016,I230*$Q$2,B230=2017,I230*$Q$3,B230=2018,I230*$Q$4,B230=2019,I230*$Q$5,B230=2020,I230*$Q$6,B230=2021,I230*$Q$7,B230=2022,I230*$Q$8)</f>
        <v>559600.94562658307</v>
      </c>
      <c r="K230" s="7">
        <f t="shared" si="8"/>
        <v>1639992.945626583</v>
      </c>
      <c r="L230">
        <f>IFERROR(VLOOKUP(G230,'LEAID Match'!$A$2:$B$168,2,FALSE),"")</f>
        <v>4608520</v>
      </c>
    </row>
    <row r="231" spans="1:12" x14ac:dyDescent="0.2">
      <c r="A231">
        <f t="shared" si="7"/>
        <v>4608520</v>
      </c>
      <c r="B231">
        <v>2020</v>
      </c>
      <c r="C231" t="s">
        <v>208</v>
      </c>
      <c r="D231" t="s">
        <v>212</v>
      </c>
      <c r="E231" t="s">
        <v>211</v>
      </c>
      <c r="F231" s="1">
        <v>906102</v>
      </c>
      <c r="G231" s="3" t="s">
        <v>18</v>
      </c>
      <c r="H231" s="2">
        <v>1108250</v>
      </c>
      <c r="I231" cm="1">
        <f t="array" ref="I231">_xlfn.IFS(B231=2015,H231/$O$10,B231=2016,H231/$O$11,B231=2017,H231/$O$12,B231=2018,H231/$O$13,B231=2019,H231/$O$14,B231=2020,H231/$O$15,B231=2021,H231/$O$16,B231=2022,H231/$O$17)</f>
        <v>2.0990011084316793E-2</v>
      </c>
      <c r="J231" s="6" cm="1">
        <f t="array" ref="J231">_xlfn.IFS(B231=2015,I231*$Q$1,B231=2016,I231*$Q$2,B231=2017,I231*$Q$3,B231=2018,I231*$Q$4,B231=2019,I231*$Q$5,B231=2020,I231*$Q$6,B231=2021,I231*$Q$7,B231=2022,I231*$Q$8)</f>
        <v>570723.2500751341</v>
      </c>
      <c r="K231" s="7">
        <f t="shared" si="8"/>
        <v>1678973.250075134</v>
      </c>
      <c r="L231">
        <f>IFERROR(VLOOKUP(G231,'LEAID Match'!$A$2:$B$168,2,FALSE),"")</f>
        <v>4608520</v>
      </c>
    </row>
    <row r="232" spans="1:12" x14ac:dyDescent="0.2">
      <c r="A232">
        <f t="shared" si="7"/>
        <v>4608520</v>
      </c>
      <c r="B232">
        <v>2021</v>
      </c>
      <c r="C232" t="s">
        <v>208</v>
      </c>
      <c r="D232" t="s">
        <v>212</v>
      </c>
      <c r="E232" t="s">
        <v>211</v>
      </c>
      <c r="F232" s="3">
        <v>906102</v>
      </c>
      <c r="G232" s="3" t="s">
        <v>18</v>
      </c>
      <c r="H232" s="4">
        <v>1160054</v>
      </c>
      <c r="I232" cm="1">
        <f t="array" ref="I232">_xlfn.IFS(B232=2015,H232/$O$10,B232=2016,H232/$O$11,B232=2017,H232/$O$12,B232=2018,H232/$O$13,B232=2019,H232/$O$14,B232=2020,H232/$O$15,B232=2021,H232/$O$16,B232=2022,H232/$O$17)</f>
        <v>2.0952394438351875E-2</v>
      </c>
      <c r="J232" s="6" cm="1">
        <f t="array" ref="J232">_xlfn.IFS(B232=2015,I232*$Q$1,B232=2016,I232*$Q$2,B232=2017,I232*$Q$3,B232=2018,I232*$Q$4,B232=2019,I232*$Q$5,B232=2020,I232*$Q$6,B232=2021,I232*$Q$7,B232=2022,I232*$Q$8)</f>
        <v>583279.73352218745</v>
      </c>
      <c r="K232" s="7">
        <f t="shared" si="8"/>
        <v>1743333.7335221875</v>
      </c>
      <c r="L232">
        <f>IFERROR(VLOOKUP(G232,'LEAID Match'!$A$2:$B$168,2,FALSE),"")</f>
        <v>4608520</v>
      </c>
    </row>
    <row r="233" spans="1:12" x14ac:dyDescent="0.2">
      <c r="A233">
        <f t="shared" si="7"/>
        <v>4608520</v>
      </c>
      <c r="B233">
        <v>2022</v>
      </c>
      <c r="C233" t="s">
        <v>208</v>
      </c>
      <c r="D233" t="s">
        <v>212</v>
      </c>
      <c r="E233" t="s">
        <v>211</v>
      </c>
      <c r="F233" s="3">
        <v>906102</v>
      </c>
      <c r="G233" s="3" t="s">
        <v>18</v>
      </c>
      <c r="H233" s="4">
        <v>1206546</v>
      </c>
      <c r="I233" cm="1">
        <f t="array" ref="I233">_xlfn.IFS(B233=2015,H233/$O$10,B233=2016,H233/$O$11,B233=2017,H233/$O$12,B233=2018,H233/$O$13,B233=2019,H233/$O$14,B233=2020,H233/$O$15,B233=2021,H233/$O$16,B233=2022,H233/$O$17)</f>
        <v>2.0895665796257828E-2</v>
      </c>
      <c r="J233" s="6" cm="1">
        <f t="array" ref="J233">_xlfn.IFS(B233=2015,I233*$Q$1,B233=2016,I233*$Q$2,B233=2017,I233*$Q$3,B233=2018,I233*$Q$4,B233=2019,I233*$Q$5,B233=2020,I233*$Q$6,B233=2021,I233*$Q$7,B233=2022,I233*$Q$8)</f>
        <v>615543.39466021012</v>
      </c>
      <c r="K233" s="7">
        <f t="shared" si="8"/>
        <v>1822089.3946602102</v>
      </c>
      <c r="L233">
        <f>IFERROR(VLOOKUP(G233,'LEAID Match'!$A$2:$B$168,2,FALSE),"")</f>
        <v>4608520</v>
      </c>
    </row>
    <row r="234" spans="1:12" x14ac:dyDescent="0.2">
      <c r="A234">
        <f t="shared" si="7"/>
        <v>4666300</v>
      </c>
      <c r="B234">
        <v>2015</v>
      </c>
      <c r="C234" t="s">
        <v>208</v>
      </c>
      <c r="D234" t="s">
        <v>212</v>
      </c>
      <c r="E234" t="s">
        <v>211</v>
      </c>
      <c r="F234" s="3">
        <v>906105</v>
      </c>
      <c r="G234" s="3" t="s">
        <v>129</v>
      </c>
      <c r="H234" s="4">
        <v>157161</v>
      </c>
      <c r="I234" cm="1">
        <f t="array" ref="I234">_xlfn.IFS(B234=2015,H234/$O$10,B234=2016,H234/$O$11,B234=2017,H234/$O$12,B234=2018,H234/$O$13,B234=2019,H234/$O$14,B234=2020,H234/$O$15,B234=2021,H234/$O$16,B234=2022,H234/$O$17)</f>
        <v>3.6760419095115153E-3</v>
      </c>
      <c r="J234" s="6" cm="1">
        <f t="array" ref="J234">_xlfn.IFS(B234=2015,I234*$Q$1,B234=2016,I234*$Q$2,B234=2017,I234*$Q$3,B234=2018,I234*$Q$4,B234=2019,I234*$Q$5,B234=2020,I234*$Q$6,B234=2021,I234*$Q$7,B234=2022,I234*$Q$8)</f>
        <v>90401.792425203152</v>
      </c>
      <c r="K234" s="7">
        <f t="shared" si="8"/>
        <v>247562.79242520314</v>
      </c>
      <c r="L234">
        <f>IFERROR(VLOOKUP(G234,'LEAID Match'!$A$2:$B$168,2,FALSE),"")</f>
        <v>4666300</v>
      </c>
    </row>
    <row r="235" spans="1:12" x14ac:dyDescent="0.2">
      <c r="A235">
        <f t="shared" si="7"/>
        <v>4666300</v>
      </c>
      <c r="B235">
        <v>2016</v>
      </c>
      <c r="C235" t="s">
        <v>208</v>
      </c>
      <c r="D235" t="s">
        <v>212</v>
      </c>
      <c r="E235" t="s">
        <v>211</v>
      </c>
      <c r="F235" s="3">
        <v>906105</v>
      </c>
      <c r="G235" s="3" t="s">
        <v>129</v>
      </c>
      <c r="H235" s="4">
        <v>164805</v>
      </c>
      <c r="I235" cm="1">
        <f t="array" ref="I235">_xlfn.IFS(B235=2015,H235/$O$10,B235=2016,H235/$O$11,B235=2017,H235/$O$12,B235=2018,H235/$O$13,B235=2019,H235/$O$14,B235=2020,H235/$O$15,B235=2021,H235/$O$16,B235=2022,H235/$O$17)</f>
        <v>3.7381170101732446E-3</v>
      </c>
      <c r="J235" s="6" cm="1">
        <f t="array" ref="J235">_xlfn.IFS(B235=2015,I235*$Q$1,B235=2016,I235*$Q$2,B235=2017,I235*$Q$3,B235=2018,I235*$Q$4,B235=2019,I235*$Q$5,B235=2020,I235*$Q$6,B235=2021,I235*$Q$7,B235=2022,I235*$Q$8)</f>
        <v>94969.871827644471</v>
      </c>
      <c r="K235" s="7">
        <f t="shared" si="8"/>
        <v>259774.87182764447</v>
      </c>
      <c r="L235">
        <f>IFERROR(VLOOKUP(G235,'LEAID Match'!$A$2:$B$168,2,FALSE),"")</f>
        <v>4666300</v>
      </c>
    </row>
    <row r="236" spans="1:12" x14ac:dyDescent="0.2">
      <c r="A236">
        <f t="shared" si="7"/>
        <v>4666300</v>
      </c>
      <c r="B236">
        <v>2017</v>
      </c>
      <c r="C236" t="s">
        <v>208</v>
      </c>
      <c r="D236" t="s">
        <v>212</v>
      </c>
      <c r="E236" t="s">
        <v>211</v>
      </c>
      <c r="F236" s="3">
        <v>906105</v>
      </c>
      <c r="G236" s="3" t="s">
        <v>129</v>
      </c>
      <c r="H236" s="4">
        <v>179512</v>
      </c>
      <c r="I236" cm="1">
        <f t="array" ref="I236">_xlfn.IFS(B236=2015,H236/$O$10,B236=2016,H236/$O$11,B236=2017,H236/$O$12,B236=2018,H236/$O$13,B236=2019,H236/$O$14,B236=2020,H236/$O$15,B236=2021,H236/$O$16,B236=2022,H236/$O$17)</f>
        <v>3.7063466458194649E-3</v>
      </c>
      <c r="J236" s="6" cm="1">
        <f t="array" ref="J236">_xlfn.IFS(B236=2015,I236*$Q$1,B236=2016,I236*$Q$2,B236=2017,I236*$Q$3,B236=2018,I236*$Q$4,B236=2019,I236*$Q$5,B236=2020,I236*$Q$6,B236=2021,I236*$Q$7,B236=2022,I236*$Q$8)</f>
        <v>97497.427707389885</v>
      </c>
      <c r="K236" s="7">
        <f t="shared" si="8"/>
        <v>277009.42770738987</v>
      </c>
      <c r="L236">
        <f>IFERROR(VLOOKUP(G236,'LEAID Match'!$A$2:$B$168,2,FALSE),"")</f>
        <v>4666300</v>
      </c>
    </row>
    <row r="237" spans="1:12" x14ac:dyDescent="0.2">
      <c r="A237">
        <f t="shared" si="7"/>
        <v>4666300</v>
      </c>
      <c r="B237">
        <v>2018</v>
      </c>
      <c r="C237" t="s">
        <v>208</v>
      </c>
      <c r="D237" t="s">
        <v>212</v>
      </c>
      <c r="E237" t="s">
        <v>211</v>
      </c>
      <c r="F237" s="3">
        <v>906105</v>
      </c>
      <c r="G237" s="3" t="s">
        <v>129</v>
      </c>
      <c r="H237" s="4">
        <v>180775</v>
      </c>
      <c r="I237" cm="1">
        <f t="array" ref="I237">_xlfn.IFS(B237=2015,H237/$O$10,B237=2016,H237/$O$11,B237=2017,H237/$O$12,B237=2018,H237/$O$13,B237=2019,H237/$O$14,B237=2020,H237/$O$15,B237=2021,H237/$O$16,B237=2022,H237/$O$17)</f>
        <v>3.6051243080364986E-3</v>
      </c>
      <c r="J237" s="6" cm="1">
        <f t="array" ref="J237">_xlfn.IFS(B237=2015,I237*$Q$1,B237=2016,I237*$Q$2,B237=2017,I237*$Q$3,B237=2018,I237*$Q$4,B237=2019,I237*$Q$5,B237=2020,I237*$Q$6,B237=2021,I237*$Q$7,B237=2022,I237*$Q$8)</f>
        <v>94655.455253063468</v>
      </c>
      <c r="K237" s="7">
        <f t="shared" si="8"/>
        <v>275430.45525306347</v>
      </c>
      <c r="L237">
        <f>IFERROR(VLOOKUP(G237,'LEAID Match'!$A$2:$B$168,2,FALSE),"")</f>
        <v>4666300</v>
      </c>
    </row>
    <row r="238" spans="1:12" x14ac:dyDescent="0.2">
      <c r="A238">
        <f t="shared" si="7"/>
        <v>4666300</v>
      </c>
      <c r="B238">
        <v>2019</v>
      </c>
      <c r="C238" t="s">
        <v>208</v>
      </c>
      <c r="D238" t="s">
        <v>212</v>
      </c>
      <c r="E238" t="s">
        <v>211</v>
      </c>
      <c r="F238" s="3">
        <v>906105</v>
      </c>
      <c r="G238" s="3" t="s">
        <v>129</v>
      </c>
      <c r="H238" s="4">
        <v>182469</v>
      </c>
      <c r="I238" cm="1">
        <f t="array" ref="I238">_xlfn.IFS(B238=2015,H238/$O$10,B238=2016,H238/$O$11,B238=2017,H238/$O$12,B238=2018,H238/$O$13,B238=2019,H238/$O$14,B238=2020,H238/$O$15,B238=2021,H238/$O$16,B238=2022,H238/$O$17)</f>
        <v>3.5735699301449129E-3</v>
      </c>
      <c r="J238" s="6" cm="1">
        <f t="array" ref="J238">_xlfn.IFS(B238=2015,I238*$Q$1,B238=2016,I238*$Q$2,B238=2017,I238*$Q$3,B238=2018,I238*$Q$4,B238=2019,I238*$Q$5,B238=2020,I238*$Q$6,B238=2021,I238*$Q$7,B238=2022,I238*$Q$8)</f>
        <v>94511.829916860734</v>
      </c>
      <c r="K238" s="7">
        <f t="shared" si="8"/>
        <v>276980.82991686073</v>
      </c>
      <c r="L238">
        <f>IFERROR(VLOOKUP(G238,'LEAID Match'!$A$2:$B$168,2,FALSE),"")</f>
        <v>4666300</v>
      </c>
    </row>
    <row r="239" spans="1:12" x14ac:dyDescent="0.2">
      <c r="A239">
        <f t="shared" si="7"/>
        <v>4666300</v>
      </c>
      <c r="B239">
        <v>2020</v>
      </c>
      <c r="C239" t="s">
        <v>208</v>
      </c>
      <c r="D239" t="s">
        <v>212</v>
      </c>
      <c r="E239" t="s">
        <v>211</v>
      </c>
      <c r="F239" s="1">
        <v>906105</v>
      </c>
      <c r="G239" s="3" t="s">
        <v>129</v>
      </c>
      <c r="H239" s="2">
        <v>192598</v>
      </c>
      <c r="I239" cm="1">
        <f t="array" ref="I239">_xlfn.IFS(B239=2015,H239/$O$10,B239=2016,H239/$O$11,B239=2017,H239/$O$12,B239=2018,H239/$O$13,B239=2019,H239/$O$14,B239=2020,H239/$O$15,B239=2021,H239/$O$16,B239=2022,H239/$O$17)</f>
        <v>3.6477637309426988E-3</v>
      </c>
      <c r="J239" s="6" cm="1">
        <f t="array" ref="J239">_xlfn.IFS(B239=2015,I239*$Q$1,B239=2016,I239*$Q$2,B239=2017,I239*$Q$3,B239=2018,I239*$Q$4,B239=2019,I239*$Q$5,B239=2020,I239*$Q$6,B239=2021,I239*$Q$7,B239=2022,I239*$Q$8)</f>
        <v>99183.538477753827</v>
      </c>
      <c r="K239" s="7">
        <f t="shared" si="8"/>
        <v>291781.53847775381</v>
      </c>
      <c r="L239">
        <f>IFERROR(VLOOKUP(G239,'LEAID Match'!$A$2:$B$168,2,FALSE),"")</f>
        <v>4666300</v>
      </c>
    </row>
    <row r="240" spans="1:12" x14ac:dyDescent="0.2">
      <c r="A240">
        <f t="shared" si="7"/>
        <v>4666300</v>
      </c>
      <c r="B240">
        <v>2021</v>
      </c>
      <c r="C240" t="s">
        <v>208</v>
      </c>
      <c r="D240" t="s">
        <v>212</v>
      </c>
      <c r="E240" t="s">
        <v>211</v>
      </c>
      <c r="F240" s="3">
        <v>906105</v>
      </c>
      <c r="G240" s="3" t="s">
        <v>129</v>
      </c>
      <c r="H240" s="4">
        <v>216269</v>
      </c>
      <c r="I240" cm="1">
        <f t="array" ref="I240">_xlfn.IFS(B240=2015,H240/$O$10,B240=2016,H240/$O$11,B240=2017,H240/$O$12,B240=2018,H240/$O$13,B240=2019,H240/$O$14,B240=2020,H240/$O$15,B240=2021,H240/$O$16,B240=2022,H240/$O$17)</f>
        <v>3.9061572933569663E-3</v>
      </c>
      <c r="J240" s="6" cm="1">
        <f t="array" ref="J240">_xlfn.IFS(B240=2015,I240*$Q$1,B240=2016,I240*$Q$2,B240=2017,I240*$Q$3,B240=2018,I240*$Q$4,B240=2019,I240*$Q$5,B240=2020,I240*$Q$6,B240=2021,I240*$Q$7,B240=2022,I240*$Q$8)</f>
        <v>108740.90748284991</v>
      </c>
      <c r="K240" s="7">
        <f t="shared" si="8"/>
        <v>325009.9074828499</v>
      </c>
      <c r="L240">
        <f>IFERROR(VLOOKUP(G240,'LEAID Match'!$A$2:$B$168,2,FALSE),"")</f>
        <v>4666300</v>
      </c>
    </row>
    <row r="241" spans="1:12" x14ac:dyDescent="0.2">
      <c r="A241">
        <f t="shared" si="7"/>
        <v>4666300</v>
      </c>
      <c r="B241">
        <v>2022</v>
      </c>
      <c r="C241" t="s">
        <v>208</v>
      </c>
      <c r="D241" t="s">
        <v>212</v>
      </c>
      <c r="E241" t="s">
        <v>211</v>
      </c>
      <c r="F241" s="3">
        <v>906105</v>
      </c>
      <c r="G241" s="3" t="s">
        <v>129</v>
      </c>
      <c r="H241" s="4">
        <v>214510</v>
      </c>
      <c r="I241" cm="1">
        <f t="array" ref="I241">_xlfn.IFS(B241=2015,H241/$O$10,B241=2016,H241/$O$11,B241=2017,H241/$O$12,B241=2018,H241/$O$13,B241=2019,H241/$O$14,B241=2020,H241/$O$15,B241=2021,H241/$O$16,B241=2022,H241/$O$17)</f>
        <v>3.715009017439258E-3</v>
      </c>
      <c r="J241" s="6" cm="1">
        <f t="array" ref="J241">_xlfn.IFS(B241=2015,I241*$Q$1,B241=2016,I241*$Q$2,B241=2017,I241*$Q$3,B241=2018,I241*$Q$4,B241=2019,I241*$Q$5,B241=2020,I241*$Q$6,B241=2021,I241*$Q$7,B241=2022,I241*$Q$8)</f>
        <v>109436.53502523871</v>
      </c>
      <c r="K241" s="7">
        <f t="shared" si="8"/>
        <v>323946.5350252387</v>
      </c>
      <c r="L241">
        <f>IFERROR(VLOOKUP(G241,'LEAID Match'!$A$2:$B$168,2,FALSE),"")</f>
        <v>4666300</v>
      </c>
    </row>
    <row r="242" spans="1:12" x14ac:dyDescent="0.2">
      <c r="A242">
        <f t="shared" si="7"/>
        <v>4621390</v>
      </c>
      <c r="B242">
        <v>2015</v>
      </c>
      <c r="C242" t="s">
        <v>208</v>
      </c>
      <c r="D242" t="s">
        <v>212</v>
      </c>
      <c r="E242" t="s">
        <v>211</v>
      </c>
      <c r="F242" s="3">
        <v>906173</v>
      </c>
      <c r="G242" s="3" t="s">
        <v>47</v>
      </c>
      <c r="H242" s="4">
        <v>105188</v>
      </c>
      <c r="I242" cm="1">
        <f t="array" ref="I242">_xlfn.IFS(B242=2015,H242/$O$10,B242=2016,H242/$O$11,B242=2017,H242/$O$12,B242=2018,H242/$O$13,B242=2019,H242/$O$14,B242=2020,H242/$O$15,B242=2021,H242/$O$16,B242=2022,H242/$O$17)</f>
        <v>2.4603781878309331E-3</v>
      </c>
      <c r="J242" s="6" cm="1">
        <f t="array" ref="J242">_xlfn.IFS(B242=2015,I242*$Q$1,B242=2016,I242*$Q$2,B242=2017,I242*$Q$3,B242=2018,I242*$Q$4,B242=2019,I242*$Q$5,B242=2020,I242*$Q$6,B242=2021,I242*$Q$7,B242=2022,I242*$Q$8)</f>
        <v>60506.001753757424</v>
      </c>
      <c r="K242" s="7">
        <f t="shared" si="8"/>
        <v>165694.00175375742</v>
      </c>
      <c r="L242">
        <f>IFERROR(VLOOKUP(G242,'LEAID Match'!$A$2:$B$168,2,FALSE),"")</f>
        <v>4621390</v>
      </c>
    </row>
    <row r="243" spans="1:12" x14ac:dyDescent="0.2">
      <c r="A243">
        <f t="shared" si="7"/>
        <v>4621390</v>
      </c>
      <c r="B243">
        <v>2016</v>
      </c>
      <c r="C243" t="s">
        <v>208</v>
      </c>
      <c r="D243" t="s">
        <v>212</v>
      </c>
      <c r="E243" t="s">
        <v>211</v>
      </c>
      <c r="F243" s="3">
        <v>906173</v>
      </c>
      <c r="G243" s="3" t="s">
        <v>47</v>
      </c>
      <c r="H243" s="4">
        <v>103107</v>
      </c>
      <c r="I243" cm="1">
        <f t="array" ref="I243">_xlfn.IFS(B243=2015,H243/$O$10,B243=2016,H243/$O$11,B243=2017,H243/$O$12,B243=2018,H243/$O$13,B243=2019,H243/$O$14,B243=2020,H243/$O$15,B243=2021,H243/$O$16,B243=2022,H243/$O$17)</f>
        <v>2.3386792304112905E-3</v>
      </c>
      <c r="J243" s="6" cm="1">
        <f t="array" ref="J243">_xlfn.IFS(B243=2015,I243*$Q$1,B243=2016,I243*$Q$2,B243=2017,I243*$Q$3,B243=2018,I243*$Q$4,B243=2019,I243*$Q$5,B243=2020,I243*$Q$6,B243=2021,I243*$Q$7,B243=2022,I243*$Q$8)</f>
        <v>59416.028485379313</v>
      </c>
      <c r="K243" s="7">
        <f t="shared" si="8"/>
        <v>162523.0284853793</v>
      </c>
      <c r="L243">
        <f>IFERROR(VLOOKUP(G243,'LEAID Match'!$A$2:$B$168,2,FALSE),"")</f>
        <v>4621390</v>
      </c>
    </row>
    <row r="244" spans="1:12" x14ac:dyDescent="0.2">
      <c r="A244">
        <f t="shared" si="7"/>
        <v>4621390</v>
      </c>
      <c r="B244">
        <v>2017</v>
      </c>
      <c r="C244" t="s">
        <v>208</v>
      </c>
      <c r="D244" t="s">
        <v>212</v>
      </c>
      <c r="E244" t="s">
        <v>211</v>
      </c>
      <c r="F244" s="3">
        <v>906173</v>
      </c>
      <c r="G244" s="3" t="s">
        <v>47</v>
      </c>
      <c r="H244" s="4">
        <v>116623</v>
      </c>
      <c r="I244" cm="1">
        <f t="array" ref="I244">_xlfn.IFS(B244=2015,H244/$O$10,B244=2016,H244/$O$11,B244=2017,H244/$O$12,B244=2018,H244/$O$13,B244=2019,H244/$O$14,B244=2020,H244/$O$15,B244=2021,H244/$O$16,B244=2022,H244/$O$17)</f>
        <v>2.4078906417142219E-3</v>
      </c>
      <c r="J244" s="6" cm="1">
        <f t="array" ref="J244">_xlfn.IFS(B244=2015,I244*$Q$1,B244=2016,I244*$Q$2,B244=2017,I244*$Q$3,B244=2018,I244*$Q$4,B244=2019,I244*$Q$5,B244=2020,I244*$Q$6,B244=2021,I244*$Q$7,B244=2022,I244*$Q$8)</f>
        <v>63340.849143895284</v>
      </c>
      <c r="K244" s="7">
        <f t="shared" si="8"/>
        <v>179963.84914389529</v>
      </c>
      <c r="L244">
        <f>IFERROR(VLOOKUP(G244,'LEAID Match'!$A$2:$B$168,2,FALSE),"")</f>
        <v>4621390</v>
      </c>
    </row>
    <row r="245" spans="1:12" x14ac:dyDescent="0.2">
      <c r="A245">
        <f t="shared" si="7"/>
        <v>4621390</v>
      </c>
      <c r="B245">
        <v>2018</v>
      </c>
      <c r="C245" t="s">
        <v>208</v>
      </c>
      <c r="D245" t="s">
        <v>212</v>
      </c>
      <c r="E245" t="s">
        <v>211</v>
      </c>
      <c r="F245" s="3">
        <v>906173</v>
      </c>
      <c r="G245" s="3" t="s">
        <v>47</v>
      </c>
      <c r="H245" s="4">
        <v>120249</v>
      </c>
      <c r="I245" cm="1">
        <f t="array" ref="I245">_xlfn.IFS(B245=2015,H245/$O$10,B245=2016,H245/$O$11,B245=2017,H245/$O$12,B245=2018,H245/$O$13,B245=2019,H245/$O$14,B245=2020,H245/$O$15,B245=2021,H245/$O$16,B245=2022,H245/$O$17)</f>
        <v>2.3980782349167801E-3</v>
      </c>
      <c r="J245" s="6" cm="1">
        <f t="array" ref="J245">_xlfn.IFS(B245=2015,I245*$Q$1,B245=2016,I245*$Q$2,B245=2017,I245*$Q$3,B245=2018,I245*$Q$4,B245=2019,I245*$Q$5,B245=2020,I245*$Q$6,B245=2021,I245*$Q$7,B245=2022,I245*$Q$8)</f>
        <v>62963.484103032111</v>
      </c>
      <c r="K245" s="7">
        <f t="shared" si="8"/>
        <v>183212.4841030321</v>
      </c>
      <c r="L245">
        <f>IFERROR(VLOOKUP(G245,'LEAID Match'!$A$2:$B$168,2,FALSE),"")</f>
        <v>4621390</v>
      </c>
    </row>
    <row r="246" spans="1:12" x14ac:dyDescent="0.2">
      <c r="A246">
        <f t="shared" si="7"/>
        <v>4621390</v>
      </c>
      <c r="B246">
        <v>2019</v>
      </c>
      <c r="C246" t="s">
        <v>208</v>
      </c>
      <c r="D246" t="s">
        <v>212</v>
      </c>
      <c r="E246" t="s">
        <v>211</v>
      </c>
      <c r="F246" s="3">
        <v>906173</v>
      </c>
      <c r="G246" s="3" t="s">
        <v>47</v>
      </c>
      <c r="H246" s="4">
        <v>123981</v>
      </c>
      <c r="I246" cm="1">
        <f t="array" ref="I246">_xlfn.IFS(B246=2015,H246/$O$10,B246=2016,H246/$O$11,B246=2017,H246/$O$12,B246=2018,H246/$O$13,B246=2019,H246/$O$14,B246=2020,H246/$O$15,B246=2021,H246/$O$16,B246=2022,H246/$O$17)</f>
        <v>2.4281098351462247E-3</v>
      </c>
      <c r="J246" s="6" cm="1">
        <f t="array" ref="J246">_xlfn.IFS(B246=2015,I246*$Q$1,B246=2016,I246*$Q$2,B246=2017,I246*$Q$3,B246=2018,I246*$Q$4,B246=2019,I246*$Q$5,B246=2020,I246*$Q$6,B246=2021,I246*$Q$7,B246=2022,I246*$Q$8)</f>
        <v>64217.325600087192</v>
      </c>
      <c r="K246" s="7">
        <f t="shared" si="8"/>
        <v>188198.32560008718</v>
      </c>
      <c r="L246">
        <f>IFERROR(VLOOKUP(G246,'LEAID Match'!$A$2:$B$168,2,FALSE),"")</f>
        <v>4621390</v>
      </c>
    </row>
    <row r="247" spans="1:12" x14ac:dyDescent="0.2">
      <c r="A247">
        <f t="shared" si="7"/>
        <v>4621390</v>
      </c>
      <c r="B247">
        <v>2020</v>
      </c>
      <c r="C247" t="s">
        <v>208</v>
      </c>
      <c r="D247" t="s">
        <v>212</v>
      </c>
      <c r="E247" t="s">
        <v>211</v>
      </c>
      <c r="F247" s="1">
        <v>906173</v>
      </c>
      <c r="G247" s="3" t="s">
        <v>47</v>
      </c>
      <c r="H247" s="2">
        <v>130630</v>
      </c>
      <c r="I247" cm="1">
        <f t="array" ref="I247">_xlfn.IFS(B247=2015,H247/$O$10,B247=2016,H247/$O$11,B247=2017,H247/$O$12,B247=2018,H247/$O$13,B247=2019,H247/$O$14,B247=2020,H247/$O$15,B247=2021,H247/$O$16,B247=2022,H247/$O$17)</f>
        <v>2.4741034495324183E-3</v>
      </c>
      <c r="J247" s="6" cm="1">
        <f t="array" ref="J247">_xlfn.IFS(B247=2015,I247*$Q$1,B247=2016,I247*$Q$2,B247=2017,I247*$Q$3,B247=2018,I247*$Q$4,B247=2019,I247*$Q$5,B247=2020,I247*$Q$6,B247=2021,I247*$Q$7,B247=2022,I247*$Q$8)</f>
        <v>67271.444310683291</v>
      </c>
      <c r="K247" s="7">
        <f t="shared" si="8"/>
        <v>197901.44431068329</v>
      </c>
      <c r="L247">
        <f>IFERROR(VLOOKUP(G247,'LEAID Match'!$A$2:$B$168,2,FALSE),"")</f>
        <v>4621390</v>
      </c>
    </row>
    <row r="248" spans="1:12" x14ac:dyDescent="0.2">
      <c r="A248">
        <f t="shared" si="7"/>
        <v>4621390</v>
      </c>
      <c r="B248">
        <v>2021</v>
      </c>
      <c r="C248" t="s">
        <v>208</v>
      </c>
      <c r="D248" t="s">
        <v>212</v>
      </c>
      <c r="E248" t="s">
        <v>211</v>
      </c>
      <c r="F248" s="3">
        <v>906173</v>
      </c>
      <c r="G248" s="3" t="s">
        <v>47</v>
      </c>
      <c r="H248" s="4">
        <v>129056</v>
      </c>
      <c r="I248" cm="1">
        <f t="array" ref="I248">_xlfn.IFS(B248=2015,H248/$O$10,B248=2016,H248/$O$11,B248=2017,H248/$O$12,B248=2018,H248/$O$13,B248=2019,H248/$O$14,B248=2020,H248/$O$15,B248=2021,H248/$O$16,B248=2022,H248/$O$17)</f>
        <v>2.3309537458048846E-3</v>
      </c>
      <c r="J248" s="6" cm="1">
        <f t="array" ref="J248">_xlfn.IFS(B248=2015,I248*$Q$1,B248=2016,I248*$Q$2,B248=2017,I248*$Q$3,B248=2018,I248*$Q$4,B248=2019,I248*$Q$5,B248=2020,I248*$Q$6,B248=2021,I248*$Q$7,B248=2022,I248*$Q$8)</f>
        <v>64889.866583313735</v>
      </c>
      <c r="K248" s="7">
        <f t="shared" si="8"/>
        <v>193945.86658331373</v>
      </c>
      <c r="L248">
        <f>IFERROR(VLOOKUP(G248,'LEAID Match'!$A$2:$B$168,2,FALSE),"")</f>
        <v>4621390</v>
      </c>
    </row>
    <row r="249" spans="1:12" x14ac:dyDescent="0.2">
      <c r="A249">
        <f t="shared" si="7"/>
        <v>4621390</v>
      </c>
      <c r="B249">
        <v>2022</v>
      </c>
      <c r="C249" t="s">
        <v>208</v>
      </c>
      <c r="D249" t="s">
        <v>212</v>
      </c>
      <c r="E249" t="s">
        <v>211</v>
      </c>
      <c r="F249" s="3">
        <v>906173</v>
      </c>
      <c r="G249" s="3" t="s">
        <v>47</v>
      </c>
      <c r="H249" s="4">
        <v>143309</v>
      </c>
      <c r="I249" cm="1">
        <f t="array" ref="I249">_xlfn.IFS(B249=2015,H249/$O$10,B249=2016,H249/$O$11,B249=2017,H249/$O$12,B249=2018,H249/$O$13,B249=2019,H249/$O$14,B249=2020,H249/$O$15,B249=2021,H249/$O$16,B249=2022,H249/$O$17)</f>
        <v>2.4819086629071026E-3</v>
      </c>
      <c r="J249" s="6" cm="1">
        <f t="array" ref="J249">_xlfn.IFS(B249=2015,I249*$Q$1,B249=2016,I249*$Q$2,B249=2017,I249*$Q$3,B249=2018,I249*$Q$4,B249=2019,I249*$Q$5,B249=2020,I249*$Q$6,B249=2021,I249*$Q$7,B249=2022,I249*$Q$8)</f>
        <v>73111.931368849633</v>
      </c>
      <c r="K249" s="7">
        <f t="shared" si="8"/>
        <v>216420.93136884965</v>
      </c>
      <c r="L249">
        <f>IFERROR(VLOOKUP(G249,'LEAID Match'!$A$2:$B$168,2,FALSE),"")</f>
        <v>4621390</v>
      </c>
    </row>
    <row r="250" spans="1:12" x14ac:dyDescent="0.2">
      <c r="A250">
        <f t="shared" si="7"/>
        <v>4678300</v>
      </c>
      <c r="B250">
        <v>2015</v>
      </c>
      <c r="C250" t="s">
        <v>208</v>
      </c>
      <c r="D250" t="s">
        <v>212</v>
      </c>
      <c r="E250" t="s">
        <v>211</v>
      </c>
      <c r="F250" s="3">
        <v>906174</v>
      </c>
      <c r="G250" s="3" t="s">
        <v>36</v>
      </c>
      <c r="H250" s="4">
        <v>116980</v>
      </c>
      <c r="I250" cm="1">
        <f t="array" ref="I250">_xlfn.IFS(B250=2015,H250/$O$10,B250=2016,H250/$O$11,B250=2017,H250/$O$12,B250=2018,H250/$O$13,B250=2019,H250/$O$14,B250=2020,H250/$O$15,B250=2021,H250/$O$16,B250=2022,H250/$O$17)</f>
        <v>2.7361965282395573E-3</v>
      </c>
      <c r="J250" s="6" cm="1">
        <f t="array" ref="J250">_xlfn.IFS(B250=2015,I250*$Q$1,B250=2016,I250*$Q$2,B250=2017,I250*$Q$3,B250=2018,I250*$Q$4,B250=2019,I250*$Q$5,B250=2020,I250*$Q$6,B250=2021,I250*$Q$7,B250=2022,I250*$Q$8)</f>
        <v>67288.969132929065</v>
      </c>
      <c r="K250" s="7">
        <f t="shared" si="8"/>
        <v>184268.96913292905</v>
      </c>
      <c r="L250">
        <f>IFERROR(VLOOKUP(G250,'LEAID Match'!$A$2:$B$168,2,FALSE),"")</f>
        <v>4678300</v>
      </c>
    </row>
    <row r="251" spans="1:12" x14ac:dyDescent="0.2">
      <c r="A251">
        <f t="shared" si="7"/>
        <v>4678300</v>
      </c>
      <c r="B251">
        <v>2016</v>
      </c>
      <c r="C251" t="s">
        <v>208</v>
      </c>
      <c r="D251" t="s">
        <v>212</v>
      </c>
      <c r="E251" t="s">
        <v>211</v>
      </c>
      <c r="F251" s="3">
        <v>906174</v>
      </c>
      <c r="G251" s="3" t="s">
        <v>36</v>
      </c>
      <c r="H251" s="4">
        <v>118329</v>
      </c>
      <c r="I251" cm="1">
        <f t="array" ref="I251">_xlfn.IFS(B251=2015,H251/$O$10,B251=2016,H251/$O$11,B251=2017,H251/$O$12,B251=2018,H251/$O$13,B251=2019,H251/$O$14,B251=2020,H251/$O$15,B251=2021,H251/$O$16,B251=2022,H251/$O$17)</f>
        <v>2.6839455580643175E-3</v>
      </c>
      <c r="J251" s="6" cm="1">
        <f t="array" ref="J251">_xlfn.IFS(B251=2015,I251*$Q$1,B251=2016,I251*$Q$2,B251=2017,I251*$Q$3,B251=2018,I251*$Q$4,B251=2019,I251*$Q$5,B251=2020,I251*$Q$6,B251=2021,I251*$Q$7,B251=2022,I251*$Q$8)</f>
        <v>68187.797478798224</v>
      </c>
      <c r="K251" s="7">
        <f t="shared" si="8"/>
        <v>186516.79747879822</v>
      </c>
      <c r="L251">
        <f>IFERROR(VLOOKUP(G251,'LEAID Match'!$A$2:$B$168,2,FALSE),"")</f>
        <v>4678300</v>
      </c>
    </row>
    <row r="252" spans="1:12" x14ac:dyDescent="0.2">
      <c r="A252">
        <f t="shared" si="7"/>
        <v>4678300</v>
      </c>
      <c r="B252">
        <v>2017</v>
      </c>
      <c r="C252" t="s">
        <v>208</v>
      </c>
      <c r="D252" t="s">
        <v>212</v>
      </c>
      <c r="E252" t="s">
        <v>211</v>
      </c>
      <c r="F252" s="3">
        <v>906174</v>
      </c>
      <c r="G252" s="3" t="s">
        <v>36</v>
      </c>
      <c r="H252" s="4">
        <v>137719</v>
      </c>
      <c r="I252" cm="1">
        <f t="array" ref="I252">_xlfn.IFS(B252=2015,H252/$O$10,B252=2016,H252/$O$11,B252=2017,H252/$O$12,B252=2018,H252/$O$13,B252=2019,H252/$O$14,B252=2020,H252/$O$15,B252=2021,H252/$O$16,B252=2022,H252/$O$17)</f>
        <v>2.8434553328780853E-3</v>
      </c>
      <c r="J252" s="6" cm="1">
        <f t="array" ref="J252">_xlfn.IFS(B252=2015,I252*$Q$1,B252=2016,I252*$Q$2,B252=2017,I252*$Q$3,B252=2018,I252*$Q$4,B252=2019,I252*$Q$5,B252=2020,I252*$Q$6,B252=2021,I252*$Q$7,B252=2022,I252*$Q$8)</f>
        <v>74798.610936505793</v>
      </c>
      <c r="K252" s="7">
        <f t="shared" si="8"/>
        <v>212517.61093650578</v>
      </c>
      <c r="L252">
        <f>IFERROR(VLOOKUP(G252,'LEAID Match'!$A$2:$B$168,2,FALSE),"")</f>
        <v>4678300</v>
      </c>
    </row>
    <row r="253" spans="1:12" x14ac:dyDescent="0.2">
      <c r="A253">
        <f t="shared" si="7"/>
        <v>4678300</v>
      </c>
      <c r="B253">
        <v>2018</v>
      </c>
      <c r="C253" t="s">
        <v>208</v>
      </c>
      <c r="D253" t="s">
        <v>212</v>
      </c>
      <c r="E253" t="s">
        <v>211</v>
      </c>
      <c r="F253" s="3">
        <v>906174</v>
      </c>
      <c r="G253" s="3" t="s">
        <v>36</v>
      </c>
      <c r="H253" s="4">
        <v>142529</v>
      </c>
      <c r="I253" cm="1">
        <f t="array" ref="I253">_xlfn.IFS(B253=2015,H253/$O$10,B253=2016,H253/$O$11,B253=2017,H253/$O$12,B253=2018,H253/$O$13,B253=2019,H253/$O$14,B253=2020,H253/$O$15,B253=2021,H253/$O$16,B253=2022,H253/$O$17)</f>
        <v>2.842399460656253E-3</v>
      </c>
      <c r="J253" s="6" cm="1">
        <f t="array" ref="J253">_xlfn.IFS(B253=2015,I253*$Q$1,B253=2016,I253*$Q$2,B253=2017,I253*$Q$3,B253=2018,I253*$Q$4,B253=2019,I253*$Q$5,B253=2020,I253*$Q$6,B253=2021,I253*$Q$7,B253=2022,I253*$Q$8)</f>
        <v>74629.49734069359</v>
      </c>
      <c r="K253" s="7">
        <f t="shared" si="8"/>
        <v>217158.4973406936</v>
      </c>
      <c r="L253">
        <f>IFERROR(VLOOKUP(G253,'LEAID Match'!$A$2:$B$168,2,FALSE),"")</f>
        <v>4678300</v>
      </c>
    </row>
    <row r="254" spans="1:12" x14ac:dyDescent="0.2">
      <c r="A254">
        <f t="shared" si="7"/>
        <v>4678300</v>
      </c>
      <c r="B254">
        <v>2019</v>
      </c>
      <c r="C254" t="s">
        <v>208</v>
      </c>
      <c r="D254" t="s">
        <v>212</v>
      </c>
      <c r="E254" t="s">
        <v>211</v>
      </c>
      <c r="F254" s="3">
        <v>906174</v>
      </c>
      <c r="G254" s="3" t="s">
        <v>36</v>
      </c>
      <c r="H254" s="4">
        <v>141445</v>
      </c>
      <c r="I254" cm="1">
        <f t="array" ref="I254">_xlfn.IFS(B254=2015,H254/$O$10,B254=2016,H254/$O$11,B254=2017,H254/$O$12,B254=2018,H254/$O$13,B254=2019,H254/$O$14,B254=2020,H254/$O$15,B254=2021,H254/$O$16,B254=2022,H254/$O$17)</f>
        <v>2.7701340982268065E-3</v>
      </c>
      <c r="J254" s="6" cm="1">
        <f t="array" ref="J254">_xlfn.IFS(B254=2015,I254*$Q$1,B254=2016,I254*$Q$2,B254=2017,I254*$Q$3,B254=2018,I254*$Q$4,B254=2019,I254*$Q$5,B254=2020,I254*$Q$6,B254=2021,I254*$Q$7,B254=2022,I254*$Q$8)</f>
        <v>73262.99690681904</v>
      </c>
      <c r="K254" s="7">
        <f t="shared" si="8"/>
        <v>214707.99690681905</v>
      </c>
      <c r="L254">
        <f>IFERROR(VLOOKUP(G254,'LEAID Match'!$A$2:$B$168,2,FALSE),"")</f>
        <v>4678300</v>
      </c>
    </row>
    <row r="255" spans="1:12" x14ac:dyDescent="0.2">
      <c r="A255">
        <f t="shared" si="7"/>
        <v>4678300</v>
      </c>
      <c r="B255">
        <v>2020</v>
      </c>
      <c r="C255" t="s">
        <v>208</v>
      </c>
      <c r="D255" t="s">
        <v>212</v>
      </c>
      <c r="E255" t="s">
        <v>211</v>
      </c>
      <c r="F255" s="1">
        <v>906174</v>
      </c>
      <c r="G255" s="3" t="s">
        <v>36</v>
      </c>
      <c r="H255" s="2">
        <v>138917</v>
      </c>
      <c r="I255" cm="1">
        <f t="array" ref="I255">_xlfn.IFS(B255=2015,H255/$O$10,B255=2016,H255/$O$11,B255=2017,H255/$O$12,B255=2018,H255/$O$13,B255=2019,H255/$O$14,B255=2020,H255/$O$15,B255=2021,H255/$O$16,B255=2022,H255/$O$17)</f>
        <v>2.6310574056395545E-3</v>
      </c>
      <c r="J255" s="6" cm="1">
        <f t="array" ref="J255">_xlfn.IFS(B255=2015,I255*$Q$1,B255=2016,I255*$Q$2,B255=2017,I255*$Q$3,B255=2018,I255*$Q$4,B255=2019,I255*$Q$5,B255=2020,I255*$Q$6,B255=2021,I255*$Q$7,B255=2022,I255*$Q$8)</f>
        <v>71539.058633600187</v>
      </c>
      <c r="K255" s="7">
        <f t="shared" si="8"/>
        <v>210456.05863360019</v>
      </c>
      <c r="L255">
        <f>IFERROR(VLOOKUP(G255,'LEAID Match'!$A$2:$B$168,2,FALSE),"")</f>
        <v>4678300</v>
      </c>
    </row>
    <row r="256" spans="1:12" x14ac:dyDescent="0.2">
      <c r="A256">
        <f t="shared" si="7"/>
        <v>4678300</v>
      </c>
      <c r="B256">
        <v>2021</v>
      </c>
      <c r="C256" t="s">
        <v>208</v>
      </c>
      <c r="D256" t="s">
        <v>212</v>
      </c>
      <c r="E256" t="s">
        <v>211</v>
      </c>
      <c r="F256" s="3">
        <v>906174</v>
      </c>
      <c r="G256" s="3" t="s">
        <v>36</v>
      </c>
      <c r="H256" s="4">
        <v>149563</v>
      </c>
      <c r="I256" cm="1">
        <f t="array" ref="I256">_xlfn.IFS(B256=2015,H256/$O$10,B256=2016,H256/$O$11,B256=2017,H256/$O$12,B256=2018,H256/$O$13,B256=2019,H256/$O$14,B256=2020,H256/$O$15,B256=2021,H256/$O$16,B256=2022,H256/$O$17)</f>
        <v>2.70134232491179E-3</v>
      </c>
      <c r="J256" s="6" cm="1">
        <f t="array" ref="J256">_xlfn.IFS(B256=2015,I256*$Q$1,B256=2016,I256*$Q$2,B256=2017,I256*$Q$3,B256=2018,I256*$Q$4,B256=2019,I256*$Q$5,B256=2020,I256*$Q$6,B256=2021,I256*$Q$7,B256=2022,I256*$Q$8)</f>
        <v>75200.867187888609</v>
      </c>
      <c r="K256" s="7">
        <f t="shared" si="8"/>
        <v>224763.86718788859</v>
      </c>
      <c r="L256">
        <f>IFERROR(VLOOKUP(G256,'LEAID Match'!$A$2:$B$168,2,FALSE),"")</f>
        <v>4678300</v>
      </c>
    </row>
    <row r="257" spans="1:12" x14ac:dyDescent="0.2">
      <c r="A257">
        <f t="shared" si="7"/>
        <v>4678300</v>
      </c>
      <c r="B257">
        <v>2022</v>
      </c>
      <c r="C257" t="s">
        <v>208</v>
      </c>
      <c r="D257" t="s">
        <v>212</v>
      </c>
      <c r="E257" t="s">
        <v>211</v>
      </c>
      <c r="F257" s="3">
        <v>906174</v>
      </c>
      <c r="G257" s="3" t="s">
        <v>36</v>
      </c>
      <c r="H257" s="4">
        <v>136647</v>
      </c>
      <c r="I257" cm="1">
        <f t="array" ref="I257">_xlfn.IFS(B257=2015,H257/$O$10,B257=2016,H257/$O$11,B257=2017,H257/$O$12,B257=2018,H257/$O$13,B257=2019,H257/$O$14,B257=2020,H257/$O$15,B257=2021,H257/$O$16,B257=2022,H257/$O$17)</f>
        <v>2.3665322698523251E-3</v>
      </c>
      <c r="J257" s="6" cm="1">
        <f t="array" ref="J257">_xlfn.IFS(B257=2015,I257*$Q$1,B257=2016,I257*$Q$2,B257=2017,I257*$Q$3,B257=2018,I257*$Q$4,B257=2019,I257*$Q$5,B257=2020,I257*$Q$6,B257=2021,I257*$Q$7,B257=2022,I257*$Q$8)</f>
        <v>69713.179812567221</v>
      </c>
      <c r="K257" s="7">
        <f t="shared" si="8"/>
        <v>206360.17981256722</v>
      </c>
      <c r="L257">
        <f>IFERROR(VLOOKUP(G257,'LEAID Match'!$A$2:$B$168,2,FALSE),"")</f>
        <v>4678300</v>
      </c>
    </row>
    <row r="258" spans="1:12" x14ac:dyDescent="0.2">
      <c r="A258">
        <f t="shared" si="7"/>
        <v>4680430</v>
      </c>
      <c r="B258">
        <v>2015</v>
      </c>
      <c r="C258" t="s">
        <v>208</v>
      </c>
      <c r="D258" t="s">
        <v>212</v>
      </c>
      <c r="E258" t="s">
        <v>211</v>
      </c>
      <c r="F258" s="3">
        <v>907100</v>
      </c>
      <c r="G258" s="3" t="s">
        <v>163</v>
      </c>
      <c r="H258" s="4">
        <v>756379</v>
      </c>
      <c r="I258" cm="1">
        <f t="array" ref="I258">_xlfn.IFS(B258=2015,H258/$O$10,B258=2016,H258/$O$11,B258=2017,H258/$O$12,B258=2018,H258/$O$13,B258=2019,H258/$O$14,B258=2020,H258/$O$15,B258=2021,H258/$O$16,B258=2022,H258/$O$17)</f>
        <v>1.769192677238253E-2</v>
      </c>
      <c r="J258" s="6" cm="1">
        <f t="array" ref="J258">_xlfn.IFS(B258=2015,I258*$Q$1,B258=2016,I258*$Q$2,B258=2017,I258*$Q$3,B258=2018,I258*$Q$4,B258=2019,I258*$Q$5,B258=2020,I258*$Q$6,B258=2021,I258*$Q$7,B258=2022,I258*$Q$8)</f>
        <v>435082.60543508088</v>
      </c>
      <c r="K258" s="7">
        <f t="shared" si="8"/>
        <v>1191461.6054350808</v>
      </c>
      <c r="L258">
        <f>IFERROR(VLOOKUP(G258,'LEAID Match'!$A$2:$B$168,2,FALSE),"")</f>
        <v>4680430</v>
      </c>
    </row>
    <row r="259" spans="1:12" x14ac:dyDescent="0.2">
      <c r="A259">
        <f t="shared" ref="A259:A322" si="9">L259</f>
        <v>4680430</v>
      </c>
      <c r="B259">
        <v>2016</v>
      </c>
      <c r="C259" t="s">
        <v>208</v>
      </c>
      <c r="D259" t="s">
        <v>212</v>
      </c>
      <c r="E259" t="s">
        <v>211</v>
      </c>
      <c r="F259" s="3">
        <v>907100</v>
      </c>
      <c r="G259" s="3" t="s">
        <v>163</v>
      </c>
      <c r="H259" s="4">
        <v>789695</v>
      </c>
      <c r="I259" cm="1">
        <f t="array" ref="I259">_xlfn.IFS(B259=2015,H259/$O$10,B259=2016,H259/$O$11,B259=2017,H259/$O$12,B259=2018,H259/$O$13,B259=2019,H259/$O$14,B259=2020,H259/$O$15,B259=2021,H259/$O$16,B259=2022,H259/$O$17)</f>
        <v>1.7911909907762265E-2</v>
      </c>
      <c r="J259" s="6" cm="1">
        <f t="array" ref="J259">_xlfn.IFS(B259=2015,I259*$Q$1,B259=2016,I259*$Q$2,B259=2017,I259*$Q$3,B259=2018,I259*$Q$4,B259=2019,I259*$Q$5,B259=2020,I259*$Q$6,B259=2021,I259*$Q$7,B259=2022,I259*$Q$8)</f>
        <v>455066.4902941761</v>
      </c>
      <c r="K259" s="7">
        <f t="shared" ref="K259:K322" si="10">SUM(J259,H259)</f>
        <v>1244761.4902941762</v>
      </c>
      <c r="L259">
        <f>IFERROR(VLOOKUP(G259,'LEAID Match'!$A$2:$B$168,2,FALSE),"")</f>
        <v>4680430</v>
      </c>
    </row>
    <row r="260" spans="1:12" x14ac:dyDescent="0.2">
      <c r="A260">
        <f t="shared" si="9"/>
        <v>4680430</v>
      </c>
      <c r="B260">
        <v>2017</v>
      </c>
      <c r="C260" t="s">
        <v>208</v>
      </c>
      <c r="D260" t="s">
        <v>212</v>
      </c>
      <c r="E260" t="s">
        <v>211</v>
      </c>
      <c r="F260" s="3">
        <v>907100</v>
      </c>
      <c r="G260" s="3" t="s">
        <v>163</v>
      </c>
      <c r="H260" s="4">
        <v>874003</v>
      </c>
      <c r="I260" cm="1">
        <f t="array" ref="I260">_xlfn.IFS(B260=2015,H260/$O$10,B260=2016,H260/$O$11,B260=2017,H260/$O$12,B260=2018,H260/$O$13,B260=2019,H260/$O$14,B260=2020,H260/$O$15,B260=2021,H260/$O$16,B260=2022,H260/$O$17)</f>
        <v>1.8045356786655763E-2</v>
      </c>
      <c r="J260" s="6" cm="1">
        <f t="array" ref="J260">_xlfn.IFS(B260=2015,I260*$Q$1,B260=2016,I260*$Q$2,B260=2017,I260*$Q$3,B260=2018,I260*$Q$4,B260=2019,I260*$Q$5,B260=2020,I260*$Q$6,B260=2021,I260*$Q$7,B260=2022,I260*$Q$8)</f>
        <v>474692.74649350392</v>
      </c>
      <c r="K260" s="7">
        <f t="shared" si="10"/>
        <v>1348695.7464935039</v>
      </c>
      <c r="L260">
        <f>IFERROR(VLOOKUP(G260,'LEAID Match'!$A$2:$B$168,2,FALSE),"")</f>
        <v>4680430</v>
      </c>
    </row>
    <row r="261" spans="1:12" x14ac:dyDescent="0.2">
      <c r="A261">
        <f t="shared" si="9"/>
        <v>4680430</v>
      </c>
      <c r="B261">
        <v>2018</v>
      </c>
      <c r="C261" t="s">
        <v>208</v>
      </c>
      <c r="D261" t="s">
        <v>212</v>
      </c>
      <c r="E261" t="s">
        <v>211</v>
      </c>
      <c r="F261" s="3">
        <v>907100</v>
      </c>
      <c r="G261" s="3" t="s">
        <v>163</v>
      </c>
      <c r="H261" s="4">
        <v>880300</v>
      </c>
      <c r="I261" cm="1">
        <f t="array" ref="I261">_xlfn.IFS(B261=2015,H261/$O$10,B261=2016,H261/$O$11,B261=2017,H261/$O$12,B261=2018,H261/$O$13,B261=2019,H261/$O$14,B261=2020,H261/$O$15,B261=2021,H261/$O$16,B261=2022,H261/$O$17)</f>
        <v>1.7555474641762023E-2</v>
      </c>
      <c r="J261" s="6" cm="1">
        <f t="array" ref="J261">_xlfn.IFS(B261=2015,I261*$Q$1,B261=2016,I261*$Q$2,B261=2017,I261*$Q$3,B261=2018,I261*$Q$4,B261=2019,I261*$Q$5,B261=2020,I261*$Q$6,B261=2021,I261*$Q$7,B261=2022,I261*$Q$8)</f>
        <v>460933.1890984471</v>
      </c>
      <c r="K261" s="7">
        <f t="shared" si="10"/>
        <v>1341233.1890984471</v>
      </c>
      <c r="L261">
        <f>IFERROR(VLOOKUP(G261,'LEAID Match'!$A$2:$B$168,2,FALSE),"")</f>
        <v>4680430</v>
      </c>
    </row>
    <row r="262" spans="1:12" x14ac:dyDescent="0.2">
      <c r="A262">
        <f t="shared" si="9"/>
        <v>4680430</v>
      </c>
      <c r="B262">
        <v>2019</v>
      </c>
      <c r="C262" t="s">
        <v>208</v>
      </c>
      <c r="D262" t="s">
        <v>212</v>
      </c>
      <c r="E262" t="s">
        <v>211</v>
      </c>
      <c r="F262" s="3">
        <v>907100</v>
      </c>
      <c r="G262" s="3" t="s">
        <v>163</v>
      </c>
      <c r="H262" s="4">
        <v>905090</v>
      </c>
      <c r="I262" cm="1">
        <f t="array" ref="I262">_xlfn.IFS(B262=2015,H262/$O$10,B262=2016,H262/$O$11,B262=2017,H262/$O$12,B262=2018,H262/$O$13,B262=2019,H262/$O$14,B262=2020,H262/$O$15,B262=2021,H262/$O$16,B262=2022,H262/$O$17)</f>
        <v>1.7725763872629648E-2</v>
      </c>
      <c r="J262" s="6" cm="1">
        <f t="array" ref="J262">_xlfn.IFS(B262=2015,I262*$Q$1,B262=2016,I262*$Q$2,B262=2017,I262*$Q$3,B262=2018,I262*$Q$4,B262=2019,I262*$Q$5,B262=2020,I262*$Q$6,B262=2021,I262*$Q$7,B262=2022,I262*$Q$8)</f>
        <v>468801.34236199834</v>
      </c>
      <c r="K262" s="7">
        <f t="shared" si="10"/>
        <v>1373891.3423619983</v>
      </c>
      <c r="L262">
        <f>IFERROR(VLOOKUP(G262,'LEAID Match'!$A$2:$B$168,2,FALSE),"")</f>
        <v>4680430</v>
      </c>
    </row>
    <row r="263" spans="1:12" x14ac:dyDescent="0.2">
      <c r="A263">
        <f t="shared" si="9"/>
        <v>4680430</v>
      </c>
      <c r="B263">
        <v>2020</v>
      </c>
      <c r="C263" t="s">
        <v>208</v>
      </c>
      <c r="D263" t="s">
        <v>212</v>
      </c>
      <c r="E263" t="s">
        <v>211</v>
      </c>
      <c r="F263" s="1">
        <v>907100</v>
      </c>
      <c r="G263" s="3" t="s">
        <v>163</v>
      </c>
      <c r="H263" s="2">
        <v>935919</v>
      </c>
      <c r="I263" cm="1">
        <f t="array" ref="I263">_xlfn.IFS(B263=2015,H263/$O$10,B263=2016,H263/$O$11,B263=2017,H263/$O$12,B263=2018,H263/$O$13,B263=2019,H263/$O$14,B263=2020,H263/$O$15,B263=2021,H263/$O$16,B263=2022,H263/$O$17)</f>
        <v>1.7726099872792861E-2</v>
      </c>
      <c r="J263" s="6" cm="1">
        <f t="array" ref="J263">_xlfn.IFS(B263=2015,I263*$Q$1,B263=2016,I263*$Q$2,B263=2017,I263*$Q$3,B263=2018,I263*$Q$4,B263=2019,I263*$Q$5,B263=2020,I263*$Q$6,B263=2021,I263*$Q$7,B263=2022,I263*$Q$8)</f>
        <v>481976.75027030852</v>
      </c>
      <c r="K263" s="7">
        <f t="shared" si="10"/>
        <v>1417895.7502703085</v>
      </c>
      <c r="L263">
        <f>IFERROR(VLOOKUP(G263,'LEAID Match'!$A$2:$B$168,2,FALSE),"")</f>
        <v>4680430</v>
      </c>
    </row>
    <row r="264" spans="1:12" x14ac:dyDescent="0.2">
      <c r="A264">
        <f t="shared" si="9"/>
        <v>4680430</v>
      </c>
      <c r="B264">
        <v>2021</v>
      </c>
      <c r="C264" t="s">
        <v>208</v>
      </c>
      <c r="D264" t="s">
        <v>212</v>
      </c>
      <c r="E264" t="s">
        <v>211</v>
      </c>
      <c r="F264" s="3">
        <v>907100</v>
      </c>
      <c r="G264" s="3" t="s">
        <v>163</v>
      </c>
      <c r="H264" s="4">
        <v>1000973</v>
      </c>
      <c r="I264" cm="1">
        <f t="array" ref="I264">_xlfn.IFS(B264=2015,H264/$O$10,B264=2016,H264/$O$11,B264=2017,H264/$O$12,B264=2018,H264/$O$13,B264=2019,H264/$O$14,B264=2020,H264/$O$15,B264=2021,H264/$O$16,B264=2022,H264/$O$17)</f>
        <v>1.8079142107298791E-2</v>
      </c>
      <c r="J264" s="6" cm="1">
        <f t="array" ref="J264">_xlfn.IFS(B264=2015,I264*$Q$1,B264=2016,I264*$Q$2,B264=2017,I264*$Q$3,B264=2018,I264*$Q$4,B264=2019,I264*$Q$5,B264=2020,I264*$Q$6,B264=2021,I264*$Q$7,B264=2022,I264*$Q$8)</f>
        <v>503293.17833730549</v>
      </c>
      <c r="K264" s="7">
        <f t="shared" si="10"/>
        <v>1504266.1783373056</v>
      </c>
      <c r="L264">
        <f>IFERROR(VLOOKUP(G264,'LEAID Match'!$A$2:$B$168,2,FALSE),"")</f>
        <v>4680430</v>
      </c>
    </row>
    <row r="265" spans="1:12" x14ac:dyDescent="0.2">
      <c r="A265">
        <f t="shared" si="9"/>
        <v>4680430</v>
      </c>
      <c r="B265">
        <v>2022</v>
      </c>
      <c r="C265" t="s">
        <v>208</v>
      </c>
      <c r="D265" t="s">
        <v>212</v>
      </c>
      <c r="E265" t="s">
        <v>211</v>
      </c>
      <c r="F265" s="3">
        <v>907100</v>
      </c>
      <c r="G265" s="3" t="s">
        <v>163</v>
      </c>
      <c r="H265" s="4">
        <v>998734</v>
      </c>
      <c r="I265" cm="1">
        <f t="array" ref="I265">_xlfn.IFS(B265=2015,H265/$O$10,B265=2016,H265/$O$11,B265=2017,H265/$O$12,B265=2018,H265/$O$13,B265=2019,H265/$O$14,B265=2020,H265/$O$15,B265=2021,H265/$O$16,B265=2022,H265/$O$17)</f>
        <v>1.729665664082411E-2</v>
      </c>
      <c r="J265" s="6" cm="1">
        <f t="array" ref="J265">_xlfn.IFS(B265=2015,I265*$Q$1,B265=2016,I265*$Q$2,B265=2017,I265*$Q$3,B265=2018,I265*$Q$4,B265=2019,I265*$Q$5,B265=2020,I265*$Q$6,B265=2021,I265*$Q$7,B265=2022,I265*$Q$8)</f>
        <v>509523.97730593802</v>
      </c>
      <c r="K265" s="7">
        <f t="shared" si="10"/>
        <v>1508257.977305938</v>
      </c>
      <c r="L265">
        <f>IFERROR(VLOOKUP(G265,'LEAID Match'!$A$2:$B$168,2,FALSE),"")</f>
        <v>4680430</v>
      </c>
    </row>
    <row r="266" spans="1:12" x14ac:dyDescent="0.2">
      <c r="A266">
        <f t="shared" si="9"/>
        <v>4680439</v>
      </c>
      <c r="B266">
        <v>2015</v>
      </c>
      <c r="C266" t="s">
        <v>208</v>
      </c>
      <c r="D266" t="s">
        <v>212</v>
      </c>
      <c r="E266" t="s">
        <v>211</v>
      </c>
      <c r="F266" s="3">
        <v>907103</v>
      </c>
      <c r="G266" s="3" t="s">
        <v>193</v>
      </c>
      <c r="H266" s="4">
        <v>94627</v>
      </c>
      <c r="I266" cm="1">
        <f t="array" ref="I266">_xlfn.IFS(B266=2015,H266/$O$10,B266=2016,H266/$O$11,B266=2017,H266/$O$12,B266=2018,H266/$O$13,B266=2019,H266/$O$14,B266=2020,H266/$O$15,B266=2021,H266/$O$16,B266=2022,H266/$O$17)</f>
        <v>2.2133532986640843E-3</v>
      </c>
      <c r="J266" s="6" cm="1">
        <f t="array" ref="J266">_xlfn.IFS(B266=2015,I266*$Q$1,B266=2016,I266*$Q$2,B266=2017,I266*$Q$3,B266=2018,I266*$Q$4,B266=2019,I266*$Q$5,B266=2020,I266*$Q$6,B266=2021,I266*$Q$7,B266=2022,I266*$Q$8)</f>
        <v>54431.127390508453</v>
      </c>
      <c r="K266" s="7">
        <f t="shared" si="10"/>
        <v>149058.12739050845</v>
      </c>
      <c r="L266">
        <f>IFERROR(VLOOKUP(G266,'LEAID Match'!$A$2:$B$168,2,FALSE),"")</f>
        <v>4680439</v>
      </c>
    </row>
    <row r="267" spans="1:12" x14ac:dyDescent="0.2">
      <c r="A267">
        <f t="shared" si="9"/>
        <v>4680439</v>
      </c>
      <c r="B267">
        <v>2016</v>
      </c>
      <c r="C267" t="s">
        <v>208</v>
      </c>
      <c r="D267" t="s">
        <v>212</v>
      </c>
      <c r="E267" t="s">
        <v>211</v>
      </c>
      <c r="F267" s="3">
        <v>907103</v>
      </c>
      <c r="G267" s="3" t="s">
        <v>193</v>
      </c>
      <c r="H267" s="4">
        <v>95379</v>
      </c>
      <c r="I267" cm="1">
        <f t="array" ref="I267">_xlfn.IFS(B267=2015,H267/$O$10,B267=2016,H267/$O$11,B267=2017,H267/$O$12,B267=2018,H267/$O$13,B267=2019,H267/$O$14,B267=2020,H267/$O$15,B267=2021,H267/$O$16,B267=2022,H267/$O$17)</f>
        <v>2.1633922654853547E-3</v>
      </c>
      <c r="J267" s="6" cm="1">
        <f t="array" ref="J267">_xlfn.IFS(B267=2015,I267*$Q$1,B267=2016,I267*$Q$2,B267=2017,I267*$Q$3,B267=2018,I267*$Q$4,B267=2019,I267*$Q$5,B267=2020,I267*$Q$6,B267=2021,I267*$Q$7,B267=2022,I267*$Q$8)</f>
        <v>54962.722035429149</v>
      </c>
      <c r="K267" s="7">
        <f t="shared" si="10"/>
        <v>150341.72203542915</v>
      </c>
      <c r="L267">
        <f>IFERROR(VLOOKUP(G267,'LEAID Match'!$A$2:$B$168,2,FALSE),"")</f>
        <v>4680439</v>
      </c>
    </row>
    <row r="268" spans="1:12" x14ac:dyDescent="0.2">
      <c r="A268">
        <f t="shared" si="9"/>
        <v>4680439</v>
      </c>
      <c r="B268">
        <v>2017</v>
      </c>
      <c r="C268" t="s">
        <v>208</v>
      </c>
      <c r="D268" t="s">
        <v>212</v>
      </c>
      <c r="E268" t="s">
        <v>211</v>
      </c>
      <c r="F268" s="3">
        <v>907103</v>
      </c>
      <c r="G268" s="3" t="s">
        <v>193</v>
      </c>
      <c r="H268" s="4">
        <v>103388</v>
      </c>
      <c r="I268" cm="1">
        <f t="array" ref="I268">_xlfn.IFS(B268=2015,H268/$O$10,B268=2016,H268/$O$11,B268=2017,H268/$O$12,B268=2018,H268/$O$13,B268=2019,H268/$O$14,B268=2020,H268/$O$15,B268=2021,H268/$O$16,B268=2022,H268/$O$17)</f>
        <v>2.1346303702147089E-3</v>
      </c>
      <c r="J268" s="6" cm="1">
        <f t="array" ref="J268">_xlfn.IFS(B268=2015,I268*$Q$1,B268=2016,I268*$Q$2,B268=2017,I268*$Q$3,B268=2018,I268*$Q$4,B268=2019,I268*$Q$5,B268=2020,I268*$Q$6,B268=2021,I268*$Q$7,B268=2022,I268*$Q$8)</f>
        <v>56152.591781115611</v>
      </c>
      <c r="K268" s="7">
        <f t="shared" si="10"/>
        <v>159540.59178111563</v>
      </c>
      <c r="L268">
        <f>IFERROR(VLOOKUP(G268,'LEAID Match'!$A$2:$B$168,2,FALSE),"")</f>
        <v>4680439</v>
      </c>
    </row>
    <row r="269" spans="1:12" x14ac:dyDescent="0.2">
      <c r="A269">
        <f t="shared" si="9"/>
        <v>4680439</v>
      </c>
      <c r="B269">
        <v>2018</v>
      </c>
      <c r="C269" t="s">
        <v>208</v>
      </c>
      <c r="D269" t="s">
        <v>212</v>
      </c>
      <c r="E269" t="s">
        <v>211</v>
      </c>
      <c r="F269" s="3">
        <v>907103</v>
      </c>
      <c r="G269" s="3" t="s">
        <v>193</v>
      </c>
      <c r="H269" s="4">
        <v>105078</v>
      </c>
      <c r="I269" cm="1">
        <f t="array" ref="I269">_xlfn.IFS(B269=2015,H269/$O$10,B269=2016,H269/$O$11,B269=2017,H269/$O$12,B269=2018,H269/$O$13,B269=2019,H269/$O$14,B269=2020,H269/$O$15,B269=2021,H269/$O$16,B269=2022,H269/$O$17)</f>
        <v>2.095528983763569E-3</v>
      </c>
      <c r="J269" s="6" cm="1">
        <f t="array" ref="J269">_xlfn.IFS(B269=2015,I269*$Q$1,B269=2016,I269*$Q$2,B269=2017,I269*$Q$3,B269=2018,I269*$Q$4,B269=2019,I269*$Q$5,B269=2020,I269*$Q$6,B269=2021,I269*$Q$7,B269=2022,I269*$Q$8)</f>
        <v>55019.80875166037</v>
      </c>
      <c r="K269" s="7">
        <f t="shared" si="10"/>
        <v>160097.80875166037</v>
      </c>
      <c r="L269">
        <f>IFERROR(VLOOKUP(G269,'LEAID Match'!$A$2:$B$168,2,FALSE),"")</f>
        <v>4680439</v>
      </c>
    </row>
    <row r="270" spans="1:12" x14ac:dyDescent="0.2">
      <c r="A270">
        <f t="shared" si="9"/>
        <v>4680439</v>
      </c>
      <c r="B270">
        <v>2019</v>
      </c>
      <c r="C270" t="s">
        <v>208</v>
      </c>
      <c r="D270" t="s">
        <v>212</v>
      </c>
      <c r="E270" t="s">
        <v>211</v>
      </c>
      <c r="F270" s="3">
        <v>907103</v>
      </c>
      <c r="G270" s="3" t="s">
        <v>193</v>
      </c>
      <c r="H270" s="4">
        <v>108994</v>
      </c>
      <c r="I270" cm="1">
        <f t="array" ref="I270">_xlfn.IFS(B270=2015,H270/$O$10,B270=2016,H270/$O$11,B270=2017,H270/$O$12,B270=2018,H270/$O$13,B270=2019,H270/$O$14,B270=2020,H270/$O$15,B270=2021,H270/$O$16,B270=2022,H270/$O$17)</f>
        <v>2.1345964572952918E-3</v>
      </c>
      <c r="J270" s="6" cm="1">
        <f t="array" ref="J270">_xlfn.IFS(B270=2015,I270*$Q$1,B270=2016,I270*$Q$2,B270=2017,I270*$Q$3,B270=2018,I270*$Q$4,B270=2019,I270*$Q$5,B270=2020,I270*$Q$6,B270=2021,I270*$Q$7,B270=2022,I270*$Q$8)</f>
        <v>56454.64374747665</v>
      </c>
      <c r="K270" s="7">
        <f t="shared" si="10"/>
        <v>165448.64374747666</v>
      </c>
      <c r="L270">
        <f>IFERROR(VLOOKUP(G270,'LEAID Match'!$A$2:$B$168,2,FALSE),"")</f>
        <v>4680439</v>
      </c>
    </row>
    <row r="271" spans="1:12" x14ac:dyDescent="0.2">
      <c r="A271">
        <f t="shared" si="9"/>
        <v>4680439</v>
      </c>
      <c r="B271">
        <v>2020</v>
      </c>
      <c r="C271" t="s">
        <v>208</v>
      </c>
      <c r="D271" t="s">
        <v>212</v>
      </c>
      <c r="E271" t="s">
        <v>211</v>
      </c>
      <c r="F271" s="1">
        <v>907103</v>
      </c>
      <c r="G271" s="3" t="s">
        <v>193</v>
      </c>
      <c r="H271" s="2">
        <v>110845</v>
      </c>
      <c r="I271" cm="1">
        <f t="array" ref="I271">_xlfn.IFS(B271=2015,H271/$O$10,B271=2016,H271/$O$11,B271=2017,H271/$O$12,B271=2018,H271/$O$13,B271=2019,H271/$O$14,B271=2020,H271/$O$15,B271=2021,H271/$O$16,B271=2022,H271/$O$17)</f>
        <v>2.0993799040298624E-3</v>
      </c>
      <c r="J271" s="6" cm="1">
        <f t="array" ref="J271">_xlfn.IFS(B271=2015,I271*$Q$1,B271=2016,I271*$Q$2,B271=2017,I271*$Q$3,B271=2018,I271*$Q$4,B271=2019,I271*$Q$5,B271=2020,I271*$Q$6,B271=2021,I271*$Q$7,B271=2022,I271*$Q$8)</f>
        <v>57082.624547329789</v>
      </c>
      <c r="K271" s="7">
        <f t="shared" si="10"/>
        <v>167927.62454732979</v>
      </c>
      <c r="L271">
        <f>IFERROR(VLOOKUP(G271,'LEAID Match'!$A$2:$B$168,2,FALSE),"")</f>
        <v>4680439</v>
      </c>
    </row>
    <row r="272" spans="1:12" x14ac:dyDescent="0.2">
      <c r="A272">
        <f t="shared" si="9"/>
        <v>4680439</v>
      </c>
      <c r="B272">
        <v>2021</v>
      </c>
      <c r="C272" t="s">
        <v>208</v>
      </c>
      <c r="D272" t="s">
        <v>212</v>
      </c>
      <c r="E272" t="s">
        <v>211</v>
      </c>
      <c r="F272" s="3">
        <v>907103</v>
      </c>
      <c r="G272" s="3" t="s">
        <v>193</v>
      </c>
      <c r="H272" s="4">
        <v>116955</v>
      </c>
      <c r="I272" cm="1">
        <f t="array" ref="I272">_xlfn.IFS(B272=2015,H272/$O$10,B272=2016,H272/$O$11,B272=2017,H272/$O$12,B272=2018,H272/$O$13,B272=2019,H272/$O$14,B272=2020,H272/$O$15,B272=2021,H272/$O$16,B272=2022,H272/$O$17)</f>
        <v>2.1123907089992738E-3</v>
      </c>
      <c r="J272" s="6" cm="1">
        <f t="array" ref="J272">_xlfn.IFS(B272=2015,I272*$Q$1,B272=2016,I272*$Q$2,B272=2017,I272*$Q$3,B272=2018,I272*$Q$4,B272=2019,I272*$Q$5,B272=2020,I272*$Q$6,B272=2021,I272*$Q$7,B272=2022,I272*$Q$8)</f>
        <v>58805.435983227879</v>
      </c>
      <c r="K272" s="7">
        <f t="shared" si="10"/>
        <v>175760.43598322789</v>
      </c>
      <c r="L272">
        <f>IFERROR(VLOOKUP(G272,'LEAID Match'!$A$2:$B$168,2,FALSE),"")</f>
        <v>4680439</v>
      </c>
    </row>
    <row r="273" spans="1:12" x14ac:dyDescent="0.2">
      <c r="A273">
        <f t="shared" si="9"/>
        <v>4680439</v>
      </c>
      <c r="B273">
        <v>2022</v>
      </c>
      <c r="C273" t="s">
        <v>208</v>
      </c>
      <c r="D273" t="s">
        <v>212</v>
      </c>
      <c r="E273" t="s">
        <v>211</v>
      </c>
      <c r="F273" s="3">
        <v>907103</v>
      </c>
      <c r="G273" s="3" t="s">
        <v>193</v>
      </c>
      <c r="H273" s="4">
        <v>125270</v>
      </c>
      <c r="I273" cm="1">
        <f t="array" ref="I273">_xlfn.IFS(B273=2015,H273/$O$10,B273=2016,H273/$O$11,B273=2017,H273/$O$12,B273=2018,H273/$O$13,B273=2019,H273/$O$14,B273=2020,H273/$O$15,B273=2021,H273/$O$16,B273=2022,H273/$O$17)</f>
        <v>2.1694987628297787E-3</v>
      </c>
      <c r="J273" s="6" cm="1">
        <f t="array" ref="J273">_xlfn.IFS(B273=2015,I273*$Q$1,B273=2016,I273*$Q$2,B273=2017,I273*$Q$3,B273=2018,I273*$Q$4,B273=2019,I273*$Q$5,B273=2020,I273*$Q$6,B273=2021,I273*$Q$7,B273=2022,I273*$Q$8)</f>
        <v>63908.977402506425</v>
      </c>
      <c r="K273" s="7">
        <f t="shared" si="10"/>
        <v>189178.97740250643</v>
      </c>
      <c r="L273">
        <f>IFERROR(VLOOKUP(G273,'LEAID Match'!$A$2:$B$168,2,FALSE),"")</f>
        <v>4680439</v>
      </c>
    </row>
    <row r="274" spans="1:12" x14ac:dyDescent="0.2">
      <c r="A274">
        <f t="shared" si="9"/>
        <v>4626490</v>
      </c>
      <c r="B274">
        <v>2015</v>
      </c>
      <c r="C274" t="s">
        <v>208</v>
      </c>
      <c r="D274" t="s">
        <v>212</v>
      </c>
      <c r="E274" t="s">
        <v>211</v>
      </c>
      <c r="F274" s="3">
        <v>907163</v>
      </c>
      <c r="G274" s="3" t="s">
        <v>179</v>
      </c>
      <c r="H274" s="4">
        <v>76297</v>
      </c>
      <c r="I274" cm="1">
        <f t="array" ref="I274">_xlfn.IFS(B274=2015,H274/$O$10,B274=2016,H274/$O$11,B274=2017,H274/$O$12,B274=2018,H274/$O$13,B274=2019,H274/$O$14,B274=2020,H274/$O$15,B274=2021,H274/$O$16,B274=2022,H274/$O$17)</f>
        <v>1.7846092196537316E-3</v>
      </c>
      <c r="J274" s="6" cm="1">
        <f t="array" ref="J274">_xlfn.IFS(B274=2015,I274*$Q$1,B274=2016,I274*$Q$2,B274=2017,I274*$Q$3,B274=2018,I274*$Q$4,B274=2019,I274*$Q$5,B274=2020,I274*$Q$6,B274=2021,I274*$Q$7,B274=2022,I274*$Q$8)</f>
        <v>43887.386544153611</v>
      </c>
      <c r="K274" s="7">
        <f t="shared" si="10"/>
        <v>120184.38654415362</v>
      </c>
      <c r="L274">
        <f>IFERROR(VLOOKUP(G274,'LEAID Match'!$A$2:$B$168,2,FALSE),"")</f>
        <v>4626490</v>
      </c>
    </row>
    <row r="275" spans="1:12" x14ac:dyDescent="0.2">
      <c r="A275">
        <f t="shared" si="9"/>
        <v>4626490</v>
      </c>
      <c r="B275">
        <v>2016</v>
      </c>
      <c r="C275" t="s">
        <v>208</v>
      </c>
      <c r="D275" t="s">
        <v>212</v>
      </c>
      <c r="E275" t="s">
        <v>211</v>
      </c>
      <c r="F275" s="3">
        <v>907163</v>
      </c>
      <c r="G275" s="3" t="s">
        <v>179</v>
      </c>
      <c r="H275" s="4">
        <v>81694</v>
      </c>
      <c r="I275" cm="1">
        <f t="array" ref="I275">_xlfn.IFS(B275=2015,H275/$O$10,B275=2016,H275/$O$11,B275=2017,H275/$O$12,B275=2018,H275/$O$13,B275=2019,H275/$O$14,B275=2020,H275/$O$15,B275=2021,H275/$O$16,B275=2022,H275/$O$17)</f>
        <v>1.8529882650956768E-3</v>
      </c>
      <c r="J275" s="6" cm="1">
        <f t="array" ref="J275">_xlfn.IFS(B275=2015,I275*$Q$1,B275=2016,I275*$Q$2,B275=2017,I275*$Q$3,B275=2018,I275*$Q$4,B275=2019,I275*$Q$5,B275=2020,I275*$Q$6,B275=2021,I275*$Q$7,B275=2022,I275*$Q$8)</f>
        <v>47076.658530309069</v>
      </c>
      <c r="K275" s="7">
        <f t="shared" si="10"/>
        <v>128770.65853030907</v>
      </c>
      <c r="L275">
        <f>IFERROR(VLOOKUP(G275,'LEAID Match'!$A$2:$B$168,2,FALSE),"")</f>
        <v>4626490</v>
      </c>
    </row>
    <row r="276" spans="1:12" x14ac:dyDescent="0.2">
      <c r="A276">
        <f t="shared" si="9"/>
        <v>4626490</v>
      </c>
      <c r="B276">
        <v>2017</v>
      </c>
      <c r="C276" t="s">
        <v>208</v>
      </c>
      <c r="D276" t="s">
        <v>212</v>
      </c>
      <c r="E276" t="s">
        <v>211</v>
      </c>
      <c r="F276" s="3">
        <v>907163</v>
      </c>
      <c r="G276" s="3" t="s">
        <v>179</v>
      </c>
      <c r="H276" s="4">
        <v>94251</v>
      </c>
      <c r="I276" cm="1">
        <f t="array" ref="I276">_xlfn.IFS(B276=2015,H276/$O$10,B276=2016,H276/$O$11,B276=2017,H276/$O$12,B276=2018,H276/$O$13,B276=2019,H276/$O$14,B276=2020,H276/$O$15,B276=2021,H276/$O$16,B276=2022,H276/$O$17)</f>
        <v>1.9459806459464011E-3</v>
      </c>
      <c r="J276" s="6" cm="1">
        <f t="array" ref="J276">_xlfn.IFS(B276=2015,I276*$Q$1,B276=2016,I276*$Q$2,B276=2017,I276*$Q$3,B276=2018,I276*$Q$4,B276=2019,I276*$Q$5,B276=2020,I276*$Q$6,B276=2021,I276*$Q$7,B276=2022,I276*$Q$8)</f>
        <v>51190.060045285019</v>
      </c>
      <c r="K276" s="7">
        <f t="shared" si="10"/>
        <v>145441.06004528503</v>
      </c>
      <c r="L276">
        <f>IFERROR(VLOOKUP(G276,'LEAID Match'!$A$2:$B$168,2,FALSE),"")</f>
        <v>4626490</v>
      </c>
    </row>
    <row r="277" spans="1:12" x14ac:dyDescent="0.2">
      <c r="A277">
        <f t="shared" si="9"/>
        <v>4626490</v>
      </c>
      <c r="B277">
        <v>2018</v>
      </c>
      <c r="C277" t="s">
        <v>208</v>
      </c>
      <c r="D277" t="s">
        <v>212</v>
      </c>
      <c r="E277" t="s">
        <v>211</v>
      </c>
      <c r="F277" s="3">
        <v>907163</v>
      </c>
      <c r="G277" s="3" t="s">
        <v>179</v>
      </c>
      <c r="H277" s="4">
        <v>99889</v>
      </c>
      <c r="I277" cm="1">
        <f t="array" ref="I277">_xlfn.IFS(B277=2015,H277/$O$10,B277=2016,H277/$O$11,B277=2017,H277/$O$12,B277=2018,H277/$O$13,B277=2019,H277/$O$14,B277=2020,H277/$O$15,B277=2021,H277/$O$16,B277=2022,H277/$O$17)</f>
        <v>1.9920468096000987E-3</v>
      </c>
      <c r="J277" s="6" cm="1">
        <f t="array" ref="J277">_xlfn.IFS(B277=2015,I277*$Q$1,B277=2016,I277*$Q$2,B277=2017,I277*$Q$3,B277=2018,I277*$Q$4,B277=2019,I277*$Q$5,B277=2020,I277*$Q$6,B277=2021,I277*$Q$7,B277=2022,I277*$Q$8)</f>
        <v>52302.800551919558</v>
      </c>
      <c r="K277" s="7">
        <f t="shared" si="10"/>
        <v>152191.80055191956</v>
      </c>
      <c r="L277">
        <f>IFERROR(VLOOKUP(G277,'LEAID Match'!$A$2:$B$168,2,FALSE),"")</f>
        <v>4626490</v>
      </c>
    </row>
    <row r="278" spans="1:12" x14ac:dyDescent="0.2">
      <c r="A278">
        <f t="shared" si="9"/>
        <v>4626490</v>
      </c>
      <c r="B278">
        <v>2019</v>
      </c>
      <c r="C278" t="s">
        <v>208</v>
      </c>
      <c r="D278" t="s">
        <v>212</v>
      </c>
      <c r="E278" t="s">
        <v>211</v>
      </c>
      <c r="F278" s="3">
        <v>907163</v>
      </c>
      <c r="G278" s="3" t="s">
        <v>179</v>
      </c>
      <c r="H278" s="4">
        <v>100110</v>
      </c>
      <c r="I278" cm="1">
        <f t="array" ref="I278">_xlfn.IFS(B278=2015,H278/$O$10,B278=2016,H278/$O$11,B278=2017,H278/$O$12,B278=2018,H278/$O$13,B278=2019,H278/$O$14,B278=2020,H278/$O$15,B278=2021,H278/$O$16,B278=2022,H278/$O$17)</f>
        <v>1.9606074769237909E-3</v>
      </c>
      <c r="J278" s="6" cm="1">
        <f t="array" ref="J278">_xlfn.IFS(B278=2015,I278*$Q$1,B278=2016,I278*$Q$2,B278=2017,I278*$Q$3,B278=2018,I278*$Q$4,B278=2019,I278*$Q$5,B278=2020,I278*$Q$6,B278=2021,I278*$Q$7,B278=2022,I278*$Q$8)</f>
        <v>51853.078018605498</v>
      </c>
      <c r="K278" s="7">
        <f t="shared" si="10"/>
        <v>151963.07801860551</v>
      </c>
      <c r="L278">
        <f>IFERROR(VLOOKUP(G278,'LEAID Match'!$A$2:$B$168,2,FALSE),"")</f>
        <v>4626490</v>
      </c>
    </row>
    <row r="279" spans="1:12" x14ac:dyDescent="0.2">
      <c r="A279">
        <f t="shared" si="9"/>
        <v>4626490</v>
      </c>
      <c r="B279">
        <v>2020</v>
      </c>
      <c r="C279" t="s">
        <v>208</v>
      </c>
      <c r="D279" t="s">
        <v>212</v>
      </c>
      <c r="E279" t="s">
        <v>211</v>
      </c>
      <c r="F279" s="1">
        <v>907163</v>
      </c>
      <c r="G279" s="3" t="s">
        <v>179</v>
      </c>
      <c r="H279" s="2">
        <v>102523</v>
      </c>
      <c r="I279" cm="1">
        <f t="array" ref="I279">_xlfn.IFS(B279=2015,H279/$O$10,B279=2016,H279/$O$11,B279=2017,H279/$O$12,B279=2018,H279/$O$13,B279=2019,H279/$O$14,B279=2020,H279/$O$15,B279=2021,H279/$O$16,B279=2022,H279/$O$17)</f>
        <v>1.9417630556259062E-3</v>
      </c>
      <c r="J279" s="6" cm="1">
        <f t="array" ref="J279">_xlfn.IFS(B279=2015,I279*$Q$1,B279=2016,I279*$Q$2,B279=2017,I279*$Q$3,B279=2018,I279*$Q$4,B279=2019,I279*$Q$5,B279=2020,I279*$Q$6,B279=2021,I279*$Q$7,B279=2022,I279*$Q$8)</f>
        <v>52796.986029734238</v>
      </c>
      <c r="K279" s="7">
        <f t="shared" si="10"/>
        <v>155319.98602973425</v>
      </c>
      <c r="L279">
        <f>IFERROR(VLOOKUP(G279,'LEAID Match'!$A$2:$B$168,2,FALSE),"")</f>
        <v>4626490</v>
      </c>
    </row>
    <row r="280" spans="1:12" x14ac:dyDescent="0.2">
      <c r="A280">
        <f t="shared" si="9"/>
        <v>4626490</v>
      </c>
      <c r="B280">
        <v>2021</v>
      </c>
      <c r="C280" t="s">
        <v>208</v>
      </c>
      <c r="D280" t="s">
        <v>212</v>
      </c>
      <c r="E280" t="s">
        <v>211</v>
      </c>
      <c r="F280" s="3">
        <v>907163</v>
      </c>
      <c r="G280" s="3" t="s">
        <v>179</v>
      </c>
      <c r="H280" s="4">
        <v>107339</v>
      </c>
      <c r="I280" cm="1">
        <f t="array" ref="I280">_xlfn.IFS(B280=2015,H280/$O$10,B280=2016,H280/$O$11,B280=2017,H280/$O$12,B280=2018,H280/$O$13,B280=2019,H280/$O$14,B280=2020,H280/$O$15,B280=2021,H280/$O$16,B280=2022,H280/$O$17)</f>
        <v>1.9387106691742385E-3</v>
      </c>
      <c r="J280" s="6" cm="1">
        <f t="array" ref="J280">_xlfn.IFS(B280=2015,I280*$Q$1,B280=2016,I280*$Q$2,B280=2017,I280*$Q$3,B280=2018,I280*$Q$4,B280=2019,I280*$Q$5,B280=2020,I280*$Q$6,B280=2021,I280*$Q$7,B280=2022,I280*$Q$8)</f>
        <v>53970.473199125285</v>
      </c>
      <c r="K280" s="7">
        <f t="shared" si="10"/>
        <v>161309.47319912529</v>
      </c>
      <c r="L280">
        <f>IFERROR(VLOOKUP(G280,'LEAID Match'!$A$2:$B$168,2,FALSE),"")</f>
        <v>4626490</v>
      </c>
    </row>
    <row r="281" spans="1:12" x14ac:dyDescent="0.2">
      <c r="A281">
        <f t="shared" si="9"/>
        <v>4626490</v>
      </c>
      <c r="B281">
        <v>2022</v>
      </c>
      <c r="C281" t="s">
        <v>208</v>
      </c>
      <c r="D281" t="s">
        <v>212</v>
      </c>
      <c r="E281" t="s">
        <v>211</v>
      </c>
      <c r="F281" s="3">
        <v>907163</v>
      </c>
      <c r="G281" s="3" t="s">
        <v>179</v>
      </c>
      <c r="H281" s="4">
        <v>119109</v>
      </c>
      <c r="I281" cm="1">
        <f t="array" ref="I281">_xlfn.IFS(B281=2015,H281/$O$10,B281=2016,H281/$O$11,B281=2017,H281/$O$12,B281=2018,H281/$O$13,B281=2019,H281/$O$14,B281=2020,H281/$O$15,B281=2021,H281/$O$16,B281=2022,H281/$O$17)</f>
        <v>2.0627989793397632E-3</v>
      </c>
      <c r="J281" s="6" cm="1">
        <f t="array" ref="J281">_xlfn.IFS(B281=2015,I281*$Q$1,B281=2016,I281*$Q$2,B281=2017,I281*$Q$3,B281=2018,I281*$Q$4,B281=2019,I281*$Q$5,B281=2020,I281*$Q$6,B281=2021,I281*$Q$7,B281=2022,I281*$Q$8)</f>
        <v>60765.82094224586</v>
      </c>
      <c r="K281" s="7">
        <f t="shared" si="10"/>
        <v>179874.82094224586</v>
      </c>
      <c r="L281">
        <f>IFERROR(VLOOKUP(G281,'LEAID Match'!$A$2:$B$168,2,FALSE),"")</f>
        <v>4626490</v>
      </c>
    </row>
    <row r="282" spans="1:12" x14ac:dyDescent="0.2">
      <c r="A282">
        <f t="shared" si="9"/>
        <v>4649650</v>
      </c>
      <c r="B282">
        <v>2015</v>
      </c>
      <c r="C282" t="s">
        <v>208</v>
      </c>
      <c r="D282" t="s">
        <v>212</v>
      </c>
      <c r="E282" t="s">
        <v>211</v>
      </c>
      <c r="F282" s="3">
        <v>908100</v>
      </c>
      <c r="G282" s="3" t="s">
        <v>103</v>
      </c>
      <c r="H282" s="4">
        <v>85179</v>
      </c>
      <c r="I282" cm="1">
        <f t="array" ref="I282">_xlfn.IFS(B282=2015,H282/$O$10,B282=2016,H282/$O$11,B282=2017,H282/$O$12,B282=2018,H282/$O$13,B282=2019,H282/$O$14,B282=2020,H282/$O$15,B282=2021,H282/$O$16,B282=2022,H282/$O$17)</f>
        <v>1.9923618061114486E-3</v>
      </c>
      <c r="J282" s="6" cm="1">
        <f t="array" ref="J282">_xlfn.IFS(B282=2015,I282*$Q$1,B282=2016,I282*$Q$2,B282=2017,I282*$Q$3,B282=2018,I282*$Q$4,B282=2019,I282*$Q$5,B282=2020,I282*$Q$6,B282=2021,I282*$Q$7,B282=2022,I282*$Q$8)</f>
        <v>48996.47035197269</v>
      </c>
      <c r="K282" s="7">
        <f t="shared" si="10"/>
        <v>134175.47035197268</v>
      </c>
      <c r="L282">
        <f>IFERROR(VLOOKUP(G282,'LEAID Match'!$A$2:$B$168,2,FALSE),"")</f>
        <v>4649650</v>
      </c>
    </row>
    <row r="283" spans="1:12" x14ac:dyDescent="0.2">
      <c r="A283">
        <f t="shared" si="9"/>
        <v>4649650</v>
      </c>
      <c r="B283">
        <v>2016</v>
      </c>
      <c r="C283" t="s">
        <v>208</v>
      </c>
      <c r="D283" t="s">
        <v>212</v>
      </c>
      <c r="E283" t="s">
        <v>211</v>
      </c>
      <c r="F283" s="3">
        <v>908100</v>
      </c>
      <c r="G283" s="3" t="s">
        <v>103</v>
      </c>
      <c r="H283" s="4">
        <v>80753</v>
      </c>
      <c r="I283" cm="1">
        <f t="array" ref="I283">_xlfn.IFS(B283=2015,H283/$O$10,B283=2016,H283/$O$11,B283=2017,H283/$O$12,B283=2018,H283/$O$13,B283=2019,H283/$O$14,B283=2020,H283/$O$15,B283=2021,H283/$O$16,B283=2022,H283/$O$17)</f>
        <v>1.8316444459969055E-3</v>
      </c>
      <c r="J283" s="6" cm="1">
        <f t="array" ref="J283">_xlfn.IFS(B283=2015,I283*$Q$1,B283=2016,I283*$Q$2,B283=2017,I283*$Q$3,B283=2018,I283*$Q$4,B283=2019,I283*$Q$5,B283=2020,I283*$Q$6,B283=2021,I283*$Q$7,B283=2022,I283*$Q$8)</f>
        <v>46534.401624330414</v>
      </c>
      <c r="K283" s="7">
        <f t="shared" si="10"/>
        <v>127287.40162433041</v>
      </c>
      <c r="L283">
        <f>IFERROR(VLOOKUP(G283,'LEAID Match'!$A$2:$B$168,2,FALSE),"")</f>
        <v>4649650</v>
      </c>
    </row>
    <row r="284" spans="1:12" x14ac:dyDescent="0.2">
      <c r="A284">
        <f t="shared" si="9"/>
        <v>4649650</v>
      </c>
      <c r="B284">
        <v>2017</v>
      </c>
      <c r="C284" t="s">
        <v>208</v>
      </c>
      <c r="D284" t="s">
        <v>212</v>
      </c>
      <c r="E284" t="s">
        <v>211</v>
      </c>
      <c r="F284" s="3">
        <v>908100</v>
      </c>
      <c r="G284" s="3" t="s">
        <v>103</v>
      </c>
      <c r="H284" s="4">
        <v>88934</v>
      </c>
      <c r="I284" cm="1">
        <f t="array" ref="I284">_xlfn.IFS(B284=2015,H284/$O$10,B284=2016,H284/$O$11,B284=2017,H284/$O$12,B284=2018,H284/$O$13,B284=2019,H284/$O$14,B284=2020,H284/$O$15,B284=2021,H284/$O$16,B284=2022,H284/$O$17)</f>
        <v>1.8362016611664306E-3</v>
      </c>
      <c r="J284" s="6" cm="1">
        <f t="array" ref="J284">_xlfn.IFS(B284=2015,I284*$Q$1,B284=2016,I284*$Q$2,B284=2017,I284*$Q$3,B284=2018,I284*$Q$4,B284=2019,I284*$Q$5,B284=2020,I284*$Q$6,B284=2021,I284*$Q$7,B284=2022,I284*$Q$8)</f>
        <v>48302.265228670018</v>
      </c>
      <c r="K284" s="7">
        <f t="shared" si="10"/>
        <v>137236.26522867003</v>
      </c>
      <c r="L284">
        <f>IFERROR(VLOOKUP(G284,'LEAID Match'!$A$2:$B$168,2,FALSE),"")</f>
        <v>4649650</v>
      </c>
    </row>
    <row r="285" spans="1:12" x14ac:dyDescent="0.2">
      <c r="A285">
        <f t="shared" si="9"/>
        <v>4649650</v>
      </c>
      <c r="B285">
        <v>2018</v>
      </c>
      <c r="C285" t="s">
        <v>208</v>
      </c>
      <c r="D285" t="s">
        <v>212</v>
      </c>
      <c r="E285" t="s">
        <v>211</v>
      </c>
      <c r="F285" s="3">
        <v>908100</v>
      </c>
      <c r="G285" s="3" t="s">
        <v>103</v>
      </c>
      <c r="H285" s="4">
        <v>89701</v>
      </c>
      <c r="I285" cm="1">
        <f t="array" ref="I285">_xlfn.IFS(B285=2015,H285/$O$10,B285=2016,H285/$O$11,B285=2017,H285/$O$12,B285=2018,H285/$O$13,B285=2019,H285/$O$14,B285=2020,H285/$O$15,B285=2021,H285/$O$16,B285=2022,H285/$O$17)</f>
        <v>1.7888715561066627E-3</v>
      </c>
      <c r="J285" s="6" cm="1">
        <f t="array" ref="J285">_xlfn.IFS(B285=2015,I285*$Q$1,B285=2016,I285*$Q$2,B285=2017,I285*$Q$3,B285=2018,I285*$Q$4,B285=2019,I285*$Q$5,B285=2020,I285*$Q$6,B285=2021,I285*$Q$7,B285=2022,I285*$Q$8)</f>
        <v>46968.269902669323</v>
      </c>
      <c r="K285" s="7">
        <f t="shared" si="10"/>
        <v>136669.26990266933</v>
      </c>
      <c r="L285">
        <f>IFERROR(VLOOKUP(G285,'LEAID Match'!$A$2:$B$168,2,FALSE),"")</f>
        <v>4649650</v>
      </c>
    </row>
    <row r="286" spans="1:12" x14ac:dyDescent="0.2">
      <c r="A286">
        <f t="shared" si="9"/>
        <v>4649650</v>
      </c>
      <c r="B286">
        <v>2019</v>
      </c>
      <c r="C286" t="s">
        <v>208</v>
      </c>
      <c r="D286" t="s">
        <v>212</v>
      </c>
      <c r="E286" t="s">
        <v>211</v>
      </c>
      <c r="F286" s="3">
        <v>908100</v>
      </c>
      <c r="G286" s="3" t="s">
        <v>103</v>
      </c>
      <c r="H286" s="4">
        <v>91256</v>
      </c>
      <c r="I286" cm="1">
        <f t="array" ref="I286">_xlfn.IFS(B286=2015,H286/$O$10,B286=2016,H286/$O$11,B286=2017,H286/$O$12,B286=2018,H286/$O$13,B286=2019,H286/$O$14,B286=2020,H286/$O$15,B286=2021,H286/$O$16,B286=2022,H286/$O$17)</f>
        <v>1.7872060325058183E-3</v>
      </c>
      <c r="J286" s="6" cm="1">
        <f t="array" ref="J286">_xlfn.IFS(B286=2015,I286*$Q$1,B286=2016,I286*$Q$2,B286=2017,I286*$Q$3,B286=2018,I286*$Q$4,B286=2019,I286*$Q$5,B286=2020,I286*$Q$6,B286=2021,I286*$Q$7,B286=2022,I286*$Q$8)</f>
        <v>47267.051120426164</v>
      </c>
      <c r="K286" s="7">
        <f t="shared" si="10"/>
        <v>138523.05112042616</v>
      </c>
      <c r="L286">
        <f>IFERROR(VLOOKUP(G286,'LEAID Match'!$A$2:$B$168,2,FALSE),"")</f>
        <v>4649650</v>
      </c>
    </row>
    <row r="287" spans="1:12" x14ac:dyDescent="0.2">
      <c r="A287">
        <f t="shared" si="9"/>
        <v>4649650</v>
      </c>
      <c r="B287">
        <v>2020</v>
      </c>
      <c r="C287" t="s">
        <v>208</v>
      </c>
      <c r="D287" t="s">
        <v>212</v>
      </c>
      <c r="E287" t="s">
        <v>211</v>
      </c>
      <c r="F287" s="1">
        <v>908100</v>
      </c>
      <c r="G287" s="3" t="s">
        <v>103</v>
      </c>
      <c r="H287" s="2">
        <v>96533</v>
      </c>
      <c r="I287" cm="1">
        <f t="array" ref="I287">_xlfn.IFS(B287=2015,H287/$O$10,B287=2016,H287/$O$11,B287=2017,H287/$O$12,B287=2018,H287/$O$13,B287=2019,H287/$O$14,B287=2020,H287/$O$15,B287=2021,H287/$O$16,B287=2022,H287/$O$17)</f>
        <v>1.8283137739700907E-3</v>
      </c>
      <c r="J287" s="6" cm="1">
        <f t="array" ref="J287">_xlfn.IFS(B287=2015,I287*$Q$1,B287=2016,I287*$Q$2,B287=2017,I287*$Q$3,B287=2018,I287*$Q$4,B287=2019,I287*$Q$5,B287=2020,I287*$Q$6,B287=2021,I287*$Q$7,B287=2022,I287*$Q$8)</f>
        <v>49712.273854728555</v>
      </c>
      <c r="K287" s="7">
        <f t="shared" si="10"/>
        <v>146245.27385472856</v>
      </c>
      <c r="L287">
        <f>IFERROR(VLOOKUP(G287,'LEAID Match'!$A$2:$B$168,2,FALSE),"")</f>
        <v>4649650</v>
      </c>
    </row>
    <row r="288" spans="1:12" x14ac:dyDescent="0.2">
      <c r="A288">
        <f t="shared" si="9"/>
        <v>4649650</v>
      </c>
      <c r="B288">
        <v>2021</v>
      </c>
      <c r="C288" t="s">
        <v>208</v>
      </c>
      <c r="D288" t="s">
        <v>212</v>
      </c>
      <c r="E288" t="s">
        <v>211</v>
      </c>
      <c r="F288" s="3">
        <v>908100</v>
      </c>
      <c r="G288" s="3" t="s">
        <v>103</v>
      </c>
      <c r="H288" s="4">
        <v>94869</v>
      </c>
      <c r="I288" cm="1">
        <f t="array" ref="I288">_xlfn.IFS(B288=2015,H288/$O$10,B288=2016,H288/$O$11,B288=2017,H288/$O$12,B288=2018,H288/$O$13,B288=2019,H288/$O$14,B288=2020,H288/$O$15,B288=2021,H288/$O$16,B288=2022,H288/$O$17)</f>
        <v>1.7134829137022967E-3</v>
      </c>
      <c r="J288" s="6" cm="1">
        <f t="array" ref="J288">_xlfn.IFS(B288=2015,I288*$Q$1,B288=2016,I288*$Q$2,B288=2017,I288*$Q$3,B288=2018,I288*$Q$4,B288=2019,I288*$Q$5,B288=2020,I288*$Q$6,B288=2021,I288*$Q$7,B288=2022,I288*$Q$8)</f>
        <v>47700.507941454794</v>
      </c>
      <c r="K288" s="7">
        <f t="shared" si="10"/>
        <v>142569.50794145479</v>
      </c>
      <c r="L288">
        <f>IFERROR(VLOOKUP(G288,'LEAID Match'!$A$2:$B$168,2,FALSE),"")</f>
        <v>4649650</v>
      </c>
    </row>
    <row r="289" spans="1:12" x14ac:dyDescent="0.2">
      <c r="A289">
        <f t="shared" si="9"/>
        <v>4649650</v>
      </c>
      <c r="B289">
        <v>2022</v>
      </c>
      <c r="C289" t="s">
        <v>208</v>
      </c>
      <c r="D289" t="s">
        <v>212</v>
      </c>
      <c r="E289" t="s">
        <v>211</v>
      </c>
      <c r="F289" s="3">
        <v>908100</v>
      </c>
      <c r="G289" s="3" t="s">
        <v>103</v>
      </c>
      <c r="H289" s="4">
        <v>106216</v>
      </c>
      <c r="I289" cm="1">
        <f t="array" ref="I289">_xlfn.IFS(B289=2015,H289/$O$10,B289=2016,H289/$O$11,B289=2017,H289/$O$12,B289=2018,H289/$O$13,B289=2019,H289/$O$14,B289=2020,H289/$O$15,B289=2021,H289/$O$16,B289=2022,H289/$O$17)</f>
        <v>1.8395105020573782E-3</v>
      </c>
      <c r="J289" s="6" cm="1">
        <f t="array" ref="J289">_xlfn.IFS(B289=2015,I289*$Q$1,B289=2016,I289*$Q$2,B289=2017,I289*$Q$3,B289=2018,I289*$Q$4,B289=2019,I289*$Q$5,B289=2020,I289*$Q$6,B289=2021,I289*$Q$7,B289=2022,I289*$Q$8)</f>
        <v>54188.201036039136</v>
      </c>
      <c r="K289" s="7">
        <f t="shared" si="10"/>
        <v>160404.20103603913</v>
      </c>
      <c r="L289">
        <f>IFERROR(VLOOKUP(G289,'LEAID Match'!$A$2:$B$168,2,FALSE),"")</f>
        <v>4649650</v>
      </c>
    </row>
    <row r="290" spans="1:12" x14ac:dyDescent="0.2">
      <c r="A290">
        <f t="shared" si="9"/>
        <v>4648390</v>
      </c>
      <c r="B290">
        <v>2015</v>
      </c>
      <c r="C290" t="s">
        <v>208</v>
      </c>
      <c r="D290" t="s">
        <v>212</v>
      </c>
      <c r="E290" t="s">
        <v>211</v>
      </c>
      <c r="F290" s="3">
        <v>908101</v>
      </c>
      <c r="G290" s="3" t="s">
        <v>100</v>
      </c>
      <c r="H290" s="4">
        <v>890759</v>
      </c>
      <c r="I290" cm="1">
        <f t="array" ref="I290">_xlfn.IFS(B290=2015,H290/$O$10,B290=2016,H290/$O$11,B290=2017,H290/$O$12,B290=2018,H290/$O$13,B290=2019,H290/$O$14,B290=2020,H290/$O$15,B290=2021,H290/$O$16,B290=2022,H290/$O$17)</f>
        <v>2.0835114406720295E-2</v>
      </c>
      <c r="J290" s="6" cm="1">
        <f t="array" ref="J290">_xlfn.IFS(B290=2015,I290*$Q$1,B290=2016,I290*$Q$2,B290=2017,I290*$Q$3,B290=2018,I290*$Q$4,B290=2019,I290*$Q$5,B290=2020,I290*$Q$6,B290=2021,I290*$Q$7,B290=2022,I290*$Q$8)</f>
        <v>512380.36293279851</v>
      </c>
      <c r="K290" s="7">
        <f t="shared" si="10"/>
        <v>1403139.3629327985</v>
      </c>
      <c r="L290">
        <f>IFERROR(VLOOKUP(G290,'LEAID Match'!$A$2:$B$168,2,FALSE),"")</f>
        <v>4648390</v>
      </c>
    </row>
    <row r="291" spans="1:12" x14ac:dyDescent="0.2">
      <c r="A291">
        <f t="shared" si="9"/>
        <v>4648390</v>
      </c>
      <c r="B291">
        <v>2016</v>
      </c>
      <c r="C291" t="s">
        <v>208</v>
      </c>
      <c r="D291" t="s">
        <v>212</v>
      </c>
      <c r="E291" t="s">
        <v>211</v>
      </c>
      <c r="F291" s="3">
        <v>908101</v>
      </c>
      <c r="G291" s="3" t="s">
        <v>100</v>
      </c>
      <c r="H291" s="4">
        <v>931662</v>
      </c>
      <c r="I291" cm="1">
        <f t="array" ref="I291">_xlfn.IFS(B291=2015,H291/$O$10,B291=2016,H291/$O$11,B291=2017,H291/$O$12,B291=2018,H291/$O$13,B291=2019,H291/$O$14,B291=2020,H291/$O$15,B291=2021,H291/$O$16,B291=2022,H291/$O$17)</f>
        <v>2.1132014016152577E-2</v>
      </c>
      <c r="J291" s="6" cm="1">
        <f t="array" ref="J291">_xlfn.IFS(B291=2015,I291*$Q$1,B291=2016,I291*$Q$2,B291=2017,I291*$Q$3,B291=2018,I291*$Q$4,B291=2019,I291*$Q$5,B291=2020,I291*$Q$6,B291=2021,I291*$Q$7,B291=2022,I291*$Q$8)</f>
        <v>536875.82735163916</v>
      </c>
      <c r="K291" s="7">
        <f t="shared" si="10"/>
        <v>1468537.827351639</v>
      </c>
      <c r="L291">
        <f>IFERROR(VLOOKUP(G291,'LEAID Match'!$A$2:$B$168,2,FALSE),"")</f>
        <v>4648390</v>
      </c>
    </row>
    <row r="292" spans="1:12" x14ac:dyDescent="0.2">
      <c r="A292">
        <f t="shared" si="9"/>
        <v>4648390</v>
      </c>
      <c r="B292">
        <v>2017</v>
      </c>
      <c r="C292" t="s">
        <v>208</v>
      </c>
      <c r="D292" t="s">
        <v>212</v>
      </c>
      <c r="E292" t="s">
        <v>211</v>
      </c>
      <c r="F292" s="3">
        <v>908101</v>
      </c>
      <c r="G292" s="3" t="s">
        <v>100</v>
      </c>
      <c r="H292" s="4">
        <v>1017681</v>
      </c>
      <c r="I292" cm="1">
        <f t="array" ref="I292">_xlfn.IFS(B292=2015,H292/$O$10,B292=2016,H292/$O$11,B292=2017,H292/$O$12,B292=2018,H292/$O$13,B292=2019,H292/$O$14,B292=2020,H292/$O$15,B292=2021,H292/$O$16,B292=2022,H292/$O$17)</f>
        <v>2.1011846343777566E-2</v>
      </c>
      <c r="J292" s="6" cm="1">
        <f t="array" ref="J292">_xlfn.IFS(B292=2015,I292*$Q$1,B292=2016,I292*$Q$2,B292=2017,I292*$Q$3,B292=2018,I292*$Q$4,B292=2019,I292*$Q$5,B292=2020,I292*$Q$6,B292=2021,I292*$Q$7,B292=2022,I292*$Q$8)</f>
        <v>552727.83839901641</v>
      </c>
      <c r="K292" s="7">
        <f t="shared" si="10"/>
        <v>1570408.8383990163</v>
      </c>
      <c r="L292">
        <f>IFERROR(VLOOKUP(G292,'LEAID Match'!$A$2:$B$168,2,FALSE),"")</f>
        <v>4648390</v>
      </c>
    </row>
    <row r="293" spans="1:12" x14ac:dyDescent="0.2">
      <c r="A293">
        <f t="shared" si="9"/>
        <v>4648390</v>
      </c>
      <c r="B293">
        <v>2018</v>
      </c>
      <c r="C293" t="s">
        <v>208</v>
      </c>
      <c r="D293" t="s">
        <v>212</v>
      </c>
      <c r="E293" t="s">
        <v>211</v>
      </c>
      <c r="F293" s="3">
        <v>908101</v>
      </c>
      <c r="G293" s="3" t="s">
        <v>100</v>
      </c>
      <c r="H293" s="4">
        <v>1018049</v>
      </c>
      <c r="I293" cm="1">
        <f t="array" ref="I293">_xlfn.IFS(B293=2015,H293/$O$10,B293=2016,H293/$O$11,B293=2017,H293/$O$12,B293=2018,H293/$O$13,B293=2019,H293/$O$14,B293=2020,H293/$O$15,B293=2021,H293/$O$16,B293=2022,H293/$O$17)</f>
        <v>2.0302548453449035E-2</v>
      </c>
      <c r="J293" s="6" cm="1">
        <f t="array" ref="J293">_xlfn.IFS(B293=2015,I293*$Q$1,B293=2016,I293*$Q$2,B293=2017,I293*$Q$3,B293=2018,I293*$Q$4,B293=2019,I293*$Q$5,B293=2020,I293*$Q$6,B293=2021,I293*$Q$7,B293=2022,I293*$Q$8)</f>
        <v>533059.83440700325</v>
      </c>
      <c r="K293" s="7">
        <f t="shared" si="10"/>
        <v>1551108.8344070031</v>
      </c>
      <c r="L293">
        <f>IFERROR(VLOOKUP(G293,'LEAID Match'!$A$2:$B$168,2,FALSE),"")</f>
        <v>4648390</v>
      </c>
    </row>
    <row r="294" spans="1:12" x14ac:dyDescent="0.2">
      <c r="A294">
        <f t="shared" si="9"/>
        <v>4648390</v>
      </c>
      <c r="B294">
        <v>2019</v>
      </c>
      <c r="C294" t="s">
        <v>208</v>
      </c>
      <c r="D294" t="s">
        <v>212</v>
      </c>
      <c r="E294" t="s">
        <v>211</v>
      </c>
      <c r="F294" s="3">
        <v>908101</v>
      </c>
      <c r="G294" s="3" t="s">
        <v>100</v>
      </c>
      <c r="H294" s="4">
        <v>1004370</v>
      </c>
      <c r="I294" cm="1">
        <f t="array" ref="I294">_xlfn.IFS(B294=2015,H294/$O$10,B294=2016,H294/$O$11,B294=2017,H294/$O$12,B294=2018,H294/$O$13,B294=2019,H294/$O$14,B294=2020,H294/$O$15,B294=2021,H294/$O$16,B294=2022,H294/$O$17)</f>
        <v>1.9670116188172489E-2</v>
      </c>
      <c r="J294" s="6" cm="1">
        <f t="array" ref="J294">_xlfn.IFS(B294=2015,I294*$Q$1,B294=2016,I294*$Q$2,B294=2017,I294*$Q$3,B294=2018,I294*$Q$4,B294=2019,I294*$Q$5,B294=2020,I294*$Q$6,B294=2021,I294*$Q$7,B294=2022,I294*$Q$8)</f>
        <v>520224.51273146347</v>
      </c>
      <c r="K294" s="7">
        <f t="shared" si="10"/>
        <v>1524594.5127314634</v>
      </c>
      <c r="L294">
        <f>IFERROR(VLOOKUP(G294,'LEAID Match'!$A$2:$B$168,2,FALSE),"")</f>
        <v>4648390</v>
      </c>
    </row>
    <row r="295" spans="1:12" x14ac:dyDescent="0.2">
      <c r="A295">
        <f t="shared" si="9"/>
        <v>4648390</v>
      </c>
      <c r="B295">
        <v>2020</v>
      </c>
      <c r="C295" t="s">
        <v>208</v>
      </c>
      <c r="D295" t="s">
        <v>212</v>
      </c>
      <c r="E295" t="s">
        <v>211</v>
      </c>
      <c r="F295" s="1">
        <v>908101</v>
      </c>
      <c r="G295" s="3" t="s">
        <v>100</v>
      </c>
      <c r="H295" s="2">
        <v>1311249</v>
      </c>
      <c r="I295" cm="1">
        <f t="array" ref="I295">_xlfn.IFS(B295=2015,H295/$O$10,B295=2016,H295/$O$11,B295=2017,H295/$O$12,B295=2018,H295/$O$13,B295=2019,H295/$O$14,B295=2020,H295/$O$15,B295=2021,H295/$O$16,B295=2022,H295/$O$17)</f>
        <v>2.4834767466094573E-2</v>
      </c>
      <c r="J295" s="6" cm="1">
        <f t="array" ref="J295">_xlfn.IFS(B295=2015,I295*$Q$1,B295=2016,I295*$Q$2,B295=2017,I295*$Q$3,B295=2018,I295*$Q$4,B295=2019,I295*$Q$5,B295=2020,I295*$Q$6,B295=2021,I295*$Q$7,B295=2022,I295*$Q$8)</f>
        <v>675263.06423439609</v>
      </c>
      <c r="K295" s="7">
        <f t="shared" si="10"/>
        <v>1986512.064234396</v>
      </c>
      <c r="L295">
        <f>IFERROR(VLOOKUP(G295,'LEAID Match'!$A$2:$B$168,2,FALSE),"")</f>
        <v>4648390</v>
      </c>
    </row>
    <row r="296" spans="1:12" x14ac:dyDescent="0.2">
      <c r="A296">
        <f t="shared" si="9"/>
        <v>4648390</v>
      </c>
      <c r="B296">
        <v>2021</v>
      </c>
      <c r="C296" t="s">
        <v>208</v>
      </c>
      <c r="D296" t="s">
        <v>212</v>
      </c>
      <c r="E296" t="s">
        <v>211</v>
      </c>
      <c r="F296" s="3">
        <v>908101</v>
      </c>
      <c r="G296" s="3" t="s">
        <v>100</v>
      </c>
      <c r="H296" s="4">
        <v>1340212</v>
      </c>
      <c r="I296" cm="1">
        <f t="array" ref="I296">_xlfn.IFS(B296=2015,H296/$O$10,B296=2016,H296/$O$11,B296=2017,H296/$O$12,B296=2018,H296/$O$13,B296=2019,H296/$O$14,B296=2020,H296/$O$15,B296=2021,H296/$O$16,B296=2022,H296/$O$17)</f>
        <v>2.4206330442386684E-2</v>
      </c>
      <c r="J296" s="6" cm="1">
        <f t="array" ref="J296">_xlfn.IFS(B296=2015,I296*$Q$1,B296=2016,I296*$Q$2,B296=2017,I296*$Q$3,B296=2018,I296*$Q$4,B296=2019,I296*$Q$5,B296=2020,I296*$Q$6,B296=2021,I296*$Q$7,B296=2022,I296*$Q$8)</f>
        <v>673863.88756319787</v>
      </c>
      <c r="K296" s="7">
        <f t="shared" si="10"/>
        <v>2014075.8875631979</v>
      </c>
      <c r="L296">
        <f>IFERROR(VLOOKUP(G296,'LEAID Match'!$A$2:$B$168,2,FALSE),"")</f>
        <v>4648390</v>
      </c>
    </row>
    <row r="297" spans="1:12" x14ac:dyDescent="0.2">
      <c r="A297">
        <f t="shared" si="9"/>
        <v>4648390</v>
      </c>
      <c r="B297">
        <v>2022</v>
      </c>
      <c r="C297" t="s">
        <v>208</v>
      </c>
      <c r="D297" t="s">
        <v>212</v>
      </c>
      <c r="E297" t="s">
        <v>211</v>
      </c>
      <c r="F297" s="3">
        <v>908101</v>
      </c>
      <c r="G297" s="3" t="s">
        <v>100</v>
      </c>
      <c r="H297" s="4">
        <v>1361418</v>
      </c>
      <c r="I297" cm="1">
        <f t="array" ref="I297">_xlfn.IFS(B297=2015,H297/$O$10,B297=2016,H297/$O$11,B297=2017,H297/$O$12,B297=2018,H297/$O$13,B297=2019,H297/$O$14,B297=2020,H297/$O$15,B297=2021,H297/$O$16,B297=2022,H297/$O$17)</f>
        <v>2.3577829222433077E-2</v>
      </c>
      <c r="J297" s="6" cm="1">
        <f t="array" ref="J297">_xlfn.IFS(B297=2015,I297*$Q$1,B297=2016,I297*$Q$2,B297=2017,I297*$Q$3,B297=2018,I297*$Q$4,B297=2019,I297*$Q$5,B297=2020,I297*$Q$6,B297=2021,I297*$Q$7,B297=2022,I297*$Q$8)</f>
        <v>694554.42003165558</v>
      </c>
      <c r="K297" s="7">
        <f t="shared" si="10"/>
        <v>2055972.4200316556</v>
      </c>
      <c r="L297">
        <f>IFERROR(VLOOKUP(G297,'LEAID Match'!$A$2:$B$168,2,FALSE),"")</f>
        <v>4648390</v>
      </c>
    </row>
    <row r="298" spans="1:12" x14ac:dyDescent="0.2">
      <c r="A298">
        <f t="shared" si="9"/>
        <v>4600039</v>
      </c>
      <c r="B298">
        <v>2015</v>
      </c>
      <c r="C298" t="s">
        <v>208</v>
      </c>
      <c r="D298" t="s">
        <v>212</v>
      </c>
      <c r="E298" t="s">
        <v>211</v>
      </c>
      <c r="F298" s="3">
        <v>908102</v>
      </c>
      <c r="G298" s="3" t="s">
        <v>79</v>
      </c>
      <c r="H298" s="4">
        <v>18704</v>
      </c>
      <c r="I298" cm="1">
        <f t="array" ref="I298">_xlfn.IFS(B298=2015,H298/$O$10,B298=2016,H298/$O$11,B298=2017,H298/$O$12,B298=2018,H298/$O$13,B298=2019,H298/$O$14,B298=2020,H298/$O$15,B298=2021,H298/$O$16,B298=2022,H298/$O$17)</f>
        <v>4.3749204876211901E-4</v>
      </c>
      <c r="J298" s="6" cm="1">
        <f t="array" ref="J298">_xlfn.IFS(B298=2015,I298*$Q$1,B298=2016,I298*$Q$2,B298=2017,I298*$Q$3,B298=2018,I298*$Q$4,B298=2019,I298*$Q$5,B298=2020,I298*$Q$6,B298=2021,I298*$Q$7,B298=2022,I298*$Q$8)</f>
        <v>10758.872274425588</v>
      </c>
      <c r="K298" s="7">
        <f t="shared" si="10"/>
        <v>29462.872274425587</v>
      </c>
      <c r="L298">
        <f>IFERROR(VLOOKUP(G298,'LEAID Match'!$A$2:$B$168,2,FALSE),"")</f>
        <v>4600039</v>
      </c>
    </row>
    <row r="299" spans="1:12" x14ac:dyDescent="0.2">
      <c r="A299">
        <f t="shared" si="9"/>
        <v>4600039</v>
      </c>
      <c r="B299">
        <v>2016</v>
      </c>
      <c r="C299" t="s">
        <v>208</v>
      </c>
      <c r="D299" t="s">
        <v>212</v>
      </c>
      <c r="E299" t="s">
        <v>211</v>
      </c>
      <c r="F299" s="3">
        <v>908102</v>
      </c>
      <c r="G299" s="3" t="s">
        <v>79</v>
      </c>
      <c r="H299" s="4">
        <v>19291</v>
      </c>
      <c r="I299" cm="1">
        <f t="array" ref="I299">_xlfn.IFS(B299=2015,H299/$O$10,B299=2016,H299/$O$11,B299=2017,H299/$O$12,B299=2018,H299/$O$13,B299=2019,H299/$O$14,B299=2020,H299/$O$15,B299=2021,H299/$O$16,B299=2022,H299/$O$17)</f>
        <v>4.375596325551534E-4</v>
      </c>
      <c r="J299" s="6" cm="1">
        <f t="array" ref="J299">_xlfn.IFS(B299=2015,I299*$Q$1,B299=2016,I299*$Q$2,B299=2017,I299*$Q$3,B299=2018,I299*$Q$4,B299=2019,I299*$Q$5,B299=2020,I299*$Q$6,B299=2021,I299*$Q$7,B299=2022,I299*$Q$8)</f>
        <v>11116.554700567878</v>
      </c>
      <c r="K299" s="7">
        <f t="shared" si="10"/>
        <v>30407.554700567878</v>
      </c>
      <c r="L299">
        <f>IFERROR(VLOOKUP(G299,'LEAID Match'!$A$2:$B$168,2,FALSE),"")</f>
        <v>4600039</v>
      </c>
    </row>
    <row r="300" spans="1:12" x14ac:dyDescent="0.2">
      <c r="A300">
        <f t="shared" si="9"/>
        <v>4600039</v>
      </c>
      <c r="B300">
        <v>2017</v>
      </c>
      <c r="C300" t="s">
        <v>208</v>
      </c>
      <c r="D300" t="s">
        <v>212</v>
      </c>
      <c r="E300" t="s">
        <v>211</v>
      </c>
      <c r="F300" s="3">
        <v>908102</v>
      </c>
      <c r="G300" s="3" t="s">
        <v>79</v>
      </c>
      <c r="H300" s="4">
        <v>17292</v>
      </c>
      <c r="I300" cm="1">
        <f t="array" ref="I300">_xlfn.IFS(B300=2015,H300/$O$10,B300=2016,H300/$O$11,B300=2017,H300/$O$12,B300=2018,H300/$O$13,B300=2019,H300/$O$14,B300=2020,H300/$O$15,B300=2021,H300/$O$16,B300=2022,H300/$O$17)</f>
        <v>3.5702430032259785E-4</v>
      </c>
      <c r="J300" s="6" cm="1">
        <f t="array" ref="J300">_xlfn.IFS(B300=2015,I300*$Q$1,B300=2016,I300*$Q$2,B300=2017,I300*$Q$3,B300=2018,I300*$Q$4,B300=2019,I300*$Q$5,B300=2020,I300*$Q$6,B300=2021,I300*$Q$7,B300=2022,I300*$Q$8)</f>
        <v>9391.7148709623089</v>
      </c>
      <c r="K300" s="7">
        <f t="shared" si="10"/>
        <v>26683.714870962307</v>
      </c>
      <c r="L300">
        <f>IFERROR(VLOOKUP(G300,'LEAID Match'!$A$2:$B$168,2,FALSE),"")</f>
        <v>4600039</v>
      </c>
    </row>
    <row r="301" spans="1:12" x14ac:dyDescent="0.2">
      <c r="A301">
        <f t="shared" si="9"/>
        <v>4600039</v>
      </c>
      <c r="B301">
        <v>2018</v>
      </c>
      <c r="C301" t="s">
        <v>208</v>
      </c>
      <c r="D301" t="s">
        <v>212</v>
      </c>
      <c r="E301" t="s">
        <v>211</v>
      </c>
      <c r="F301" s="3">
        <v>908102</v>
      </c>
      <c r="G301" s="3" t="s">
        <v>79</v>
      </c>
      <c r="H301" s="4">
        <v>17109</v>
      </c>
      <c r="I301" cm="1">
        <f t="array" ref="I301">_xlfn.IFS(B301=2015,H301/$O$10,B301=2016,H301/$O$11,B301=2017,H301/$O$12,B301=2018,H301/$O$13,B301=2019,H301/$O$14,B301=2020,H301/$O$15,B301=2021,H301/$O$16,B301=2022,H301/$O$17)</f>
        <v>3.4119801845496588E-4</v>
      </c>
      <c r="J301" s="6" cm="1">
        <f t="array" ref="J301">_xlfn.IFS(B301=2015,I301*$Q$1,B301=2016,I301*$Q$2,B301=2017,I301*$Q$3,B301=2018,I301*$Q$4,B301=2019,I301*$Q$5,B301=2020,I301*$Q$6,B301=2021,I301*$Q$7,B301=2022,I301*$Q$8)</f>
        <v>8958.430003732059</v>
      </c>
      <c r="K301" s="7">
        <f t="shared" si="10"/>
        <v>26067.430003732057</v>
      </c>
      <c r="L301">
        <f>IFERROR(VLOOKUP(G301,'LEAID Match'!$A$2:$B$168,2,FALSE),"")</f>
        <v>4600039</v>
      </c>
    </row>
    <row r="302" spans="1:12" x14ac:dyDescent="0.2">
      <c r="A302">
        <f t="shared" si="9"/>
        <v>4600039</v>
      </c>
      <c r="B302">
        <v>2019</v>
      </c>
      <c r="C302" t="s">
        <v>208</v>
      </c>
      <c r="D302" t="s">
        <v>212</v>
      </c>
      <c r="E302" t="s">
        <v>211</v>
      </c>
      <c r="F302" s="3">
        <v>908102</v>
      </c>
      <c r="G302" s="3" t="s">
        <v>79</v>
      </c>
      <c r="H302" s="4">
        <v>17288</v>
      </c>
      <c r="I302" cm="1">
        <f t="array" ref="I302">_xlfn.IFS(B302=2015,H302/$O$10,B302=2016,H302/$O$11,B302=2017,H302/$O$12,B302=2018,H302/$O$13,B302=2019,H302/$O$14,B302=2020,H302/$O$15,B302=2021,H302/$O$16,B302=2022,H302/$O$17)</f>
        <v>3.3857738548654981E-4</v>
      </c>
      <c r="J302" s="6" cm="1">
        <f t="array" ref="J302">_xlfn.IFS(B302=2015,I302*$Q$1,B302=2016,I302*$Q$2,B302=2017,I302*$Q$3,B302=2018,I302*$Q$4,B302=2019,I302*$Q$5,B302=2020,I302*$Q$6,B302=2021,I302*$Q$7,B302=2022,I302*$Q$8)</f>
        <v>8954.5101666731789</v>
      </c>
      <c r="K302" s="7">
        <f t="shared" si="10"/>
        <v>26242.510166673179</v>
      </c>
      <c r="L302">
        <f>IFERROR(VLOOKUP(G302,'LEAID Match'!$A$2:$B$168,2,FALSE),"")</f>
        <v>4600039</v>
      </c>
    </row>
    <row r="303" spans="1:12" x14ac:dyDescent="0.2">
      <c r="A303">
        <f t="shared" si="9"/>
        <v>4600039</v>
      </c>
      <c r="B303">
        <v>2020</v>
      </c>
      <c r="C303" t="s">
        <v>208</v>
      </c>
      <c r="D303" t="s">
        <v>212</v>
      </c>
      <c r="E303" t="s">
        <v>211</v>
      </c>
      <c r="F303" s="1">
        <v>908102</v>
      </c>
      <c r="G303" s="3" t="s">
        <v>79</v>
      </c>
      <c r="H303" s="2">
        <v>19461</v>
      </c>
      <c r="I303" cm="1">
        <f t="array" ref="I303">_xlfn.IFS(B303=2015,H303/$O$10,B303=2016,H303/$O$11,B303=2017,H303/$O$12,B303=2018,H303/$O$13,B303=2019,H303/$O$14,B303=2020,H303/$O$15,B303=2021,H303/$O$16,B303=2022,H303/$O$17)</f>
        <v>3.6858705681199112E-4</v>
      </c>
      <c r="J303" s="6" cm="1">
        <f t="array" ref="J303">_xlfn.IFS(B303=2015,I303*$Q$1,B303=2016,I303*$Q$2,B303=2017,I303*$Q$3,B303=2018,I303*$Q$4,B303=2019,I303*$Q$5,B303=2020,I303*$Q$6,B303=2021,I303*$Q$7,B303=2022,I303*$Q$8)</f>
        <v>10021.967218328162</v>
      </c>
      <c r="K303" s="7">
        <f t="shared" si="10"/>
        <v>29482.967218328162</v>
      </c>
      <c r="L303">
        <f>IFERROR(VLOOKUP(G303,'LEAID Match'!$A$2:$B$168,2,FALSE),"")</f>
        <v>4600039</v>
      </c>
    </row>
    <row r="304" spans="1:12" x14ac:dyDescent="0.2">
      <c r="A304">
        <f t="shared" si="9"/>
        <v>4600039</v>
      </c>
      <c r="B304">
        <v>2021</v>
      </c>
      <c r="C304" t="s">
        <v>208</v>
      </c>
      <c r="D304" t="s">
        <v>212</v>
      </c>
      <c r="E304" t="s">
        <v>211</v>
      </c>
      <c r="F304" s="3">
        <v>908102</v>
      </c>
      <c r="G304" s="3" t="s">
        <v>79</v>
      </c>
      <c r="H304" s="4">
        <v>20205</v>
      </c>
      <c r="I304" cm="1">
        <f t="array" ref="I304">_xlfn.IFS(B304=2015,H304/$O$10,B304=2016,H304/$O$11,B304=2017,H304/$O$12,B304=2018,H304/$O$13,B304=2019,H304/$O$14,B304=2020,H304/$O$15,B304=2021,H304/$O$16,B304=2022,H304/$O$17)</f>
        <v>3.649339855100708E-4</v>
      </c>
      <c r="J304" s="6" cm="1">
        <f t="array" ref="J304">_xlfn.IFS(B304=2015,I304*$Q$1,B304=2016,I304*$Q$2,B304=2017,I304*$Q$3,B304=2018,I304*$Q$4,B304=2019,I304*$Q$5,B304=2020,I304*$Q$6,B304=2021,I304*$Q$7,B304=2022,I304*$Q$8)</f>
        <v>10159.153811646525</v>
      </c>
      <c r="K304" s="7">
        <f t="shared" si="10"/>
        <v>30364.153811646524</v>
      </c>
      <c r="L304">
        <f>IFERROR(VLOOKUP(G304,'LEAID Match'!$A$2:$B$168,2,FALSE),"")</f>
        <v>4600039</v>
      </c>
    </row>
    <row r="305" spans="1:12" x14ac:dyDescent="0.2">
      <c r="A305">
        <f t="shared" si="9"/>
        <v>4600039</v>
      </c>
      <c r="B305">
        <v>2022</v>
      </c>
      <c r="C305" t="s">
        <v>208</v>
      </c>
      <c r="D305" t="s">
        <v>212</v>
      </c>
      <c r="E305" t="s">
        <v>211</v>
      </c>
      <c r="F305" s="3">
        <v>908102</v>
      </c>
      <c r="G305" s="3" t="s">
        <v>79</v>
      </c>
      <c r="H305" s="4">
        <v>20442</v>
      </c>
      <c r="I305" cm="1">
        <f t="array" ref="I305">_xlfn.IFS(B305=2015,H305/$O$10,B305=2016,H305/$O$11,B305=2017,H305/$O$12,B305=2018,H305/$O$13,B305=2019,H305/$O$14,B305=2020,H305/$O$15,B305=2021,H305/$O$16,B305=2022,H305/$O$17)</f>
        <v>3.5402645254064289E-4</v>
      </c>
      <c r="J305" s="6" cm="1">
        <f t="array" ref="J305">_xlfn.IFS(B305=2015,I305*$Q$1,B305=2016,I305*$Q$2,B305=2017,I305*$Q$3,B305=2018,I305*$Q$4,B305=2019,I305*$Q$5,B305=2020,I305*$Q$6,B305=2021,I305*$Q$7,B305=2022,I305*$Q$8)</f>
        <v>10428.892121513822</v>
      </c>
      <c r="K305" s="7">
        <f t="shared" si="10"/>
        <v>30870.892121513822</v>
      </c>
      <c r="L305">
        <f>IFERROR(VLOOKUP(G305,'LEAID Match'!$A$2:$B$168,2,FALSE),"")</f>
        <v>4600039</v>
      </c>
    </row>
    <row r="306" spans="1:12" x14ac:dyDescent="0.2">
      <c r="A306">
        <f t="shared" si="9"/>
        <v>4622500</v>
      </c>
      <c r="B306">
        <v>2015</v>
      </c>
      <c r="C306" t="s">
        <v>208</v>
      </c>
      <c r="D306" t="s">
        <v>212</v>
      </c>
      <c r="E306" t="s">
        <v>211</v>
      </c>
      <c r="F306" s="3">
        <v>908117</v>
      </c>
      <c r="G306" s="3" t="s">
        <v>49</v>
      </c>
      <c r="H306" s="4">
        <v>61450</v>
      </c>
      <c r="I306" cm="1">
        <f t="array" ref="I306">_xlfn.IFS(B306=2015,H306/$O$10,B306=2016,H306/$O$11,B306=2017,H306/$O$12,B306=2018,H306/$O$13,B306=2019,H306/$O$14,B306=2020,H306/$O$15,B306=2021,H306/$O$16,B306=2022,H306/$O$17)</f>
        <v>1.4373335327433818E-3</v>
      </c>
      <c r="J306" s="6" cm="1">
        <f t="array" ref="J306">_xlfn.IFS(B306=2015,I306*$Q$1,B306=2016,I306*$Q$2,B306=2017,I306*$Q$3,B306=2018,I306*$Q$4,B306=2019,I306*$Q$5,B306=2020,I306*$Q$6,B306=2021,I306*$Q$7,B306=2022,I306*$Q$8)</f>
        <v>35347.129023922818</v>
      </c>
      <c r="K306" s="7">
        <f t="shared" si="10"/>
        <v>96797.129023922811</v>
      </c>
      <c r="L306">
        <f>IFERROR(VLOOKUP(G306,'LEAID Match'!$A$2:$B$168,2,FALSE),"")</f>
        <v>4622500</v>
      </c>
    </row>
    <row r="307" spans="1:12" x14ac:dyDescent="0.2">
      <c r="A307">
        <f t="shared" si="9"/>
        <v>4622500</v>
      </c>
      <c r="B307">
        <v>2016</v>
      </c>
      <c r="C307" t="s">
        <v>208</v>
      </c>
      <c r="D307" t="s">
        <v>212</v>
      </c>
      <c r="E307" t="s">
        <v>211</v>
      </c>
      <c r="F307" s="3">
        <v>908117</v>
      </c>
      <c r="G307" s="3" t="s">
        <v>49</v>
      </c>
      <c r="H307" s="4">
        <v>65209</v>
      </c>
      <c r="I307" cm="1">
        <f t="array" ref="I307">_xlfn.IFS(B307=2015,H307/$O$10,B307=2016,H307/$O$11,B307=2017,H307/$O$12,B307=2018,H307/$O$13,B307=2019,H307/$O$14,B307=2020,H307/$O$15,B307=2021,H307/$O$16,B307=2022,H307/$O$17)</f>
        <v>1.4790744948052978E-3</v>
      </c>
      <c r="J307" s="6" cm="1">
        <f t="array" ref="J307">_xlfn.IFS(B307=2015,I307*$Q$1,B307=2016,I307*$Q$2,B307=2017,I307*$Q$3,B307=2018,I307*$Q$4,B307=2019,I307*$Q$5,B307=2020,I307*$Q$6,B307=2021,I307*$Q$7,B307=2022,I307*$Q$8)</f>
        <v>37577.078195496906</v>
      </c>
      <c r="K307" s="7">
        <f t="shared" si="10"/>
        <v>102786.0781954969</v>
      </c>
      <c r="L307">
        <f>IFERROR(VLOOKUP(G307,'LEAID Match'!$A$2:$B$168,2,FALSE),"")</f>
        <v>4622500</v>
      </c>
    </row>
    <row r="308" spans="1:12" x14ac:dyDescent="0.2">
      <c r="A308">
        <f t="shared" si="9"/>
        <v>4622500</v>
      </c>
      <c r="B308">
        <v>2017</v>
      </c>
      <c r="C308" t="s">
        <v>208</v>
      </c>
      <c r="D308" t="s">
        <v>212</v>
      </c>
      <c r="E308" t="s">
        <v>211</v>
      </c>
      <c r="F308" s="3">
        <v>908117</v>
      </c>
      <c r="G308" s="3" t="s">
        <v>49</v>
      </c>
      <c r="H308" s="4">
        <v>70946</v>
      </c>
      <c r="I308" cm="1">
        <f t="array" ref="I308">_xlfn.IFS(B308=2015,H308/$O$10,B308=2016,H308/$O$11,B308=2017,H308/$O$12,B308=2018,H308/$O$13,B308=2019,H308/$O$14,B308=2020,H308/$O$15,B308=2021,H308/$O$16,B308=2022,H308/$O$17)</f>
        <v>1.4648071946962195E-3</v>
      </c>
      <c r="J308" s="6" cm="1">
        <f t="array" ref="J308">_xlfn.IFS(B308=2015,I308*$Q$1,B308=2016,I308*$Q$2,B308=2017,I308*$Q$3,B308=2018,I308*$Q$4,B308=2019,I308*$Q$5,B308=2020,I308*$Q$6,B308=2021,I308*$Q$7,B308=2022,I308*$Q$8)</f>
        <v>38532.535463526023</v>
      </c>
      <c r="K308" s="7">
        <f t="shared" si="10"/>
        <v>109478.53546352603</v>
      </c>
      <c r="L308">
        <f>IFERROR(VLOOKUP(G308,'LEAID Match'!$A$2:$B$168,2,FALSE),"")</f>
        <v>4622500</v>
      </c>
    </row>
    <row r="309" spans="1:12" x14ac:dyDescent="0.2">
      <c r="A309">
        <f t="shared" si="9"/>
        <v>4622500</v>
      </c>
      <c r="B309">
        <v>2018</v>
      </c>
      <c r="C309" t="s">
        <v>208</v>
      </c>
      <c r="D309" t="s">
        <v>212</v>
      </c>
      <c r="E309" t="s">
        <v>211</v>
      </c>
      <c r="F309" s="3">
        <v>908117</v>
      </c>
      <c r="G309" s="3" t="s">
        <v>49</v>
      </c>
      <c r="H309" s="4">
        <v>72303</v>
      </c>
      <c r="I309" cm="1">
        <f t="array" ref="I309">_xlfn.IFS(B309=2015,H309/$O$10,B309=2016,H309/$O$11,B309=2017,H309/$O$12,B309=2018,H309/$O$13,B309=2019,H309/$O$14,B309=2020,H309/$O$15,B309=2021,H309/$O$16,B309=2022,H309/$O$17)</f>
        <v>1.4419101249838913E-3</v>
      </c>
      <c r="J309" s="6" cm="1">
        <f t="array" ref="J309">_xlfn.IFS(B309=2015,I309*$Q$1,B309=2016,I309*$Q$2,B309=2017,I309*$Q$3,B309=2018,I309*$Q$4,B309=2019,I309*$Q$5,B309=2020,I309*$Q$6,B309=2021,I309*$Q$7,B309=2022,I309*$Q$8)</f>
        <v>37858.516836743176</v>
      </c>
      <c r="K309" s="7">
        <f t="shared" si="10"/>
        <v>110161.51683674318</v>
      </c>
      <c r="L309">
        <f>IFERROR(VLOOKUP(G309,'LEAID Match'!$A$2:$B$168,2,FALSE),"")</f>
        <v>4622500</v>
      </c>
    </row>
    <row r="310" spans="1:12" x14ac:dyDescent="0.2">
      <c r="A310">
        <f t="shared" si="9"/>
        <v>4622500</v>
      </c>
      <c r="B310">
        <v>2019</v>
      </c>
      <c r="C310" t="s">
        <v>208</v>
      </c>
      <c r="D310" t="s">
        <v>212</v>
      </c>
      <c r="E310" t="s">
        <v>211</v>
      </c>
      <c r="F310" s="3">
        <v>908117</v>
      </c>
      <c r="G310" s="3" t="s">
        <v>49</v>
      </c>
      <c r="H310" s="4">
        <v>77568</v>
      </c>
      <c r="I310" cm="1">
        <f t="array" ref="I310">_xlfn.IFS(B310=2015,H310/$O$10,B310=2016,H310/$O$11,B310=2017,H310/$O$12,B310=2018,H310/$O$13,B310=2019,H310/$O$14,B310=2020,H310/$O$15,B310=2021,H310/$O$16,B310=2022,H310/$O$17)</f>
        <v>1.5191329614426593E-3</v>
      </c>
      <c r="J310" s="6" cm="1">
        <f t="array" ref="J310">_xlfn.IFS(B310=2015,I310*$Q$1,B310=2016,I310*$Q$2,B310=2017,I310*$Q$3,B310=2018,I310*$Q$4,B310=2019,I310*$Q$5,B310=2020,I310*$Q$6,B310=2021,I310*$Q$7,B310=2022,I310*$Q$8)</f>
        <v>40177.200636771464</v>
      </c>
      <c r="K310" s="7">
        <f t="shared" si="10"/>
        <v>117745.20063677146</v>
      </c>
      <c r="L310">
        <f>IFERROR(VLOOKUP(G310,'LEAID Match'!$A$2:$B$168,2,FALSE),"")</f>
        <v>4622500</v>
      </c>
    </row>
    <row r="311" spans="1:12" x14ac:dyDescent="0.2">
      <c r="A311">
        <f t="shared" si="9"/>
        <v>4622500</v>
      </c>
      <c r="B311">
        <v>2020</v>
      </c>
      <c r="C311" t="s">
        <v>208</v>
      </c>
      <c r="D311" t="s">
        <v>212</v>
      </c>
      <c r="E311" t="s">
        <v>211</v>
      </c>
      <c r="F311" s="1">
        <v>908117</v>
      </c>
      <c r="G311" s="3" t="s">
        <v>49</v>
      </c>
      <c r="H311" s="2">
        <v>82579</v>
      </c>
      <c r="I311" cm="1">
        <f t="array" ref="I311">_xlfn.IFS(B311=2015,H311/$O$10,B311=2016,H311/$O$11,B311=2017,H311/$O$12,B311=2018,H311/$O$13,B311=2019,H311/$O$14,B311=2020,H311/$O$15,B311=2021,H311/$O$16,B311=2022,H311/$O$17)</f>
        <v>1.5640280851177953E-3</v>
      </c>
      <c r="J311" s="6" cm="1">
        <f t="array" ref="J311">_xlfn.IFS(B311=2015,I311*$Q$1,B311=2016,I311*$Q$2,B311=2017,I311*$Q$3,B311=2018,I311*$Q$4,B311=2019,I311*$Q$5,B311=2020,I311*$Q$6,B311=2021,I311*$Q$7,B311=2022,I311*$Q$8)</f>
        <v>42526.284924840518</v>
      </c>
      <c r="K311" s="7">
        <f t="shared" si="10"/>
        <v>125105.28492484053</v>
      </c>
      <c r="L311">
        <f>IFERROR(VLOOKUP(G311,'LEAID Match'!$A$2:$B$168,2,FALSE),"")</f>
        <v>4622500</v>
      </c>
    </row>
    <row r="312" spans="1:12" x14ac:dyDescent="0.2">
      <c r="A312">
        <f t="shared" si="9"/>
        <v>4622500</v>
      </c>
      <c r="B312">
        <v>2021</v>
      </c>
      <c r="C312" t="s">
        <v>208</v>
      </c>
      <c r="D312" t="s">
        <v>212</v>
      </c>
      <c r="E312" t="s">
        <v>211</v>
      </c>
      <c r="F312" s="3">
        <v>908117</v>
      </c>
      <c r="G312" s="3" t="s">
        <v>49</v>
      </c>
      <c r="H312" s="4">
        <v>92811</v>
      </c>
      <c r="I312" cm="1">
        <f t="array" ref="I312">_xlfn.IFS(B312=2015,H312/$O$10,B312=2016,H312/$O$11,B312=2017,H312/$O$12,B312=2018,H312/$O$13,B312=2019,H312/$O$14,B312=2020,H312/$O$15,B312=2021,H312/$O$16,B312=2022,H312/$O$17)</f>
        <v>1.6763122063437356E-3</v>
      </c>
      <c r="J312" s="6" cm="1">
        <f t="array" ref="J312">_xlfn.IFS(B312=2015,I312*$Q$1,B312=2016,I312*$Q$2,B312=2017,I312*$Q$3,B312=2018,I312*$Q$4,B312=2019,I312*$Q$5,B312=2020,I312*$Q$6,B312=2021,I312*$Q$7,B312=2022,I312*$Q$8)</f>
        <v>46665.737412161623</v>
      </c>
      <c r="K312" s="7">
        <f t="shared" si="10"/>
        <v>139476.73741216163</v>
      </c>
      <c r="L312">
        <f>IFERROR(VLOOKUP(G312,'LEAID Match'!$A$2:$B$168,2,FALSE),"")</f>
        <v>4622500</v>
      </c>
    </row>
    <row r="313" spans="1:12" x14ac:dyDescent="0.2">
      <c r="A313">
        <f t="shared" si="9"/>
        <v>4622500</v>
      </c>
      <c r="B313">
        <v>2022</v>
      </c>
      <c r="C313" t="s">
        <v>208</v>
      </c>
      <c r="D313" t="s">
        <v>212</v>
      </c>
      <c r="E313" t="s">
        <v>211</v>
      </c>
      <c r="F313" s="3">
        <v>908117</v>
      </c>
      <c r="G313" s="3" t="s">
        <v>49</v>
      </c>
      <c r="H313" s="4">
        <v>92518</v>
      </c>
      <c r="I313" cm="1">
        <f t="array" ref="I313">_xlfn.IFS(B313=2015,H313/$O$10,B313=2016,H313/$O$11,B313=2017,H313/$O$12,B313=2018,H313/$O$13,B313=2019,H313/$O$14,B313=2020,H313/$O$15,B313=2021,H313/$O$16,B313=2022,H313/$O$17)</f>
        <v>1.6022805662926915E-3</v>
      </c>
      <c r="J313" s="6" cm="1">
        <f t="array" ref="J313">_xlfn.IFS(B313=2015,I313*$Q$1,B313=2016,I313*$Q$2,B313=2017,I313*$Q$3,B313=2018,I313*$Q$4,B313=2019,I313*$Q$5,B313=2020,I313*$Q$6,B313=2021,I313*$Q$7,B313=2022,I313*$Q$8)</f>
        <v>47199.894398699529</v>
      </c>
      <c r="K313" s="7">
        <f t="shared" si="10"/>
        <v>139717.89439869951</v>
      </c>
      <c r="L313">
        <f>IFERROR(VLOOKUP(G313,'LEAID Match'!$A$2:$B$168,2,FALSE),"")</f>
        <v>4622500</v>
      </c>
    </row>
    <row r="314" spans="1:12" x14ac:dyDescent="0.2">
      <c r="A314">
        <f t="shared" si="9"/>
        <v>4666930</v>
      </c>
      <c r="B314">
        <v>2015</v>
      </c>
      <c r="C314" t="s">
        <v>208</v>
      </c>
      <c r="D314" t="s">
        <v>212</v>
      </c>
      <c r="E314" t="s">
        <v>211</v>
      </c>
      <c r="F314" s="3">
        <v>909101</v>
      </c>
      <c r="G314" s="3" t="s">
        <v>135</v>
      </c>
      <c r="H314" s="4">
        <v>569027</v>
      </c>
      <c r="I314" cm="1">
        <f t="array" ref="I314">_xlfn.IFS(B314=2015,H314/$O$10,B314=2016,H314/$O$11,B314=2017,H314/$O$12,B314=2018,H314/$O$13,B314=2019,H314/$O$14,B314=2020,H314/$O$15,B314=2021,H314/$O$16,B314=2022,H314/$O$17)</f>
        <v>1.3309708513203716E-2</v>
      </c>
      <c r="J314" s="6" cm="1">
        <f t="array" ref="J314">_xlfn.IFS(B314=2015,I314*$Q$1,B314=2016,I314*$Q$2,B314=2017,I314*$Q$3,B314=2018,I314*$Q$4,B314=2019,I314*$Q$5,B314=2020,I314*$Q$6,B314=2021,I314*$Q$7,B314=2022,I314*$Q$8)</f>
        <v>327314.41476152535</v>
      </c>
      <c r="K314" s="7">
        <f t="shared" si="10"/>
        <v>896341.41476152535</v>
      </c>
      <c r="L314">
        <f>IFERROR(VLOOKUP(G314,'LEAID Match'!$A$2:$B$168,2,FALSE),"")</f>
        <v>4666930</v>
      </c>
    </row>
    <row r="315" spans="1:12" x14ac:dyDescent="0.2">
      <c r="A315">
        <f t="shared" si="9"/>
        <v>4666930</v>
      </c>
      <c r="B315">
        <v>2016</v>
      </c>
      <c r="C315" t="s">
        <v>208</v>
      </c>
      <c r="D315" t="s">
        <v>212</v>
      </c>
      <c r="E315" t="s">
        <v>211</v>
      </c>
      <c r="F315" s="3">
        <v>909101</v>
      </c>
      <c r="G315" s="3" t="s">
        <v>135</v>
      </c>
      <c r="H315" s="4">
        <v>570271</v>
      </c>
      <c r="I315" cm="1">
        <f t="array" ref="I315">_xlfn.IFS(B315=2015,H315/$O$10,B315=2016,H315/$O$11,B315=2017,H315/$O$12,B315=2018,H315/$O$13,B315=2019,H315/$O$14,B315=2020,H315/$O$15,B315=2021,H315/$O$16,B315=2022,H315/$O$17)</f>
        <v>1.2934921425372448E-2</v>
      </c>
      <c r="J315" s="6" cm="1">
        <f t="array" ref="J315">_xlfn.IFS(B315=2015,I315*$Q$1,B315=2016,I315*$Q$2,B315=2017,I315*$Q$3,B315=2018,I315*$Q$4,B315=2019,I315*$Q$5,B315=2020,I315*$Q$6,B315=2021,I315*$Q$7,B315=2022,I315*$Q$8)</f>
        <v>328622.09142333444</v>
      </c>
      <c r="K315" s="7">
        <f t="shared" si="10"/>
        <v>898893.09142333444</v>
      </c>
      <c r="L315">
        <f>IFERROR(VLOOKUP(G315,'LEAID Match'!$A$2:$B$168,2,FALSE),"")</f>
        <v>4666930</v>
      </c>
    </row>
    <row r="316" spans="1:12" x14ac:dyDescent="0.2">
      <c r="A316">
        <f t="shared" si="9"/>
        <v>4666930</v>
      </c>
      <c r="B316">
        <v>2017</v>
      </c>
      <c r="C316" t="s">
        <v>208</v>
      </c>
      <c r="D316" t="s">
        <v>212</v>
      </c>
      <c r="E316" t="s">
        <v>211</v>
      </c>
      <c r="F316" s="3">
        <v>909101</v>
      </c>
      <c r="G316" s="3" t="s">
        <v>135</v>
      </c>
      <c r="H316" s="4">
        <v>631552</v>
      </c>
      <c r="I316" cm="1">
        <f t="array" ref="I316">_xlfn.IFS(B316=2015,H316/$O$10,B316=2016,H316/$O$11,B316=2017,H316/$O$12,B316=2018,H316/$O$13,B316=2019,H316/$O$14,B316=2020,H316/$O$15,B316=2021,H316/$O$16,B316=2022,H316/$O$17)</f>
        <v>1.3039521797208959E-2</v>
      </c>
      <c r="J316" s="6" cm="1">
        <f t="array" ref="J316">_xlfn.IFS(B316=2015,I316*$Q$1,B316=2016,I316*$Q$2,B316=2017,I316*$Q$3,B316=2018,I316*$Q$4,B316=2019,I316*$Q$5,B316=2020,I316*$Q$6,B316=2021,I316*$Q$7,B316=2022,I316*$Q$8)</f>
        <v>343011.58398022136</v>
      </c>
      <c r="K316" s="7">
        <f t="shared" si="10"/>
        <v>974563.5839802213</v>
      </c>
      <c r="L316">
        <f>IFERROR(VLOOKUP(G316,'LEAID Match'!$A$2:$B$168,2,FALSE),"")</f>
        <v>4666930</v>
      </c>
    </row>
    <row r="317" spans="1:12" x14ac:dyDescent="0.2">
      <c r="A317">
        <f t="shared" si="9"/>
        <v>4666930</v>
      </c>
      <c r="B317">
        <v>2018</v>
      </c>
      <c r="C317" t="s">
        <v>208</v>
      </c>
      <c r="D317" t="s">
        <v>212</v>
      </c>
      <c r="E317" t="s">
        <v>211</v>
      </c>
      <c r="F317" s="3">
        <v>909101</v>
      </c>
      <c r="G317" s="3" t="s">
        <v>135</v>
      </c>
      <c r="H317" s="4">
        <v>662362</v>
      </c>
      <c r="I317" cm="1">
        <f t="array" ref="I317">_xlfn.IFS(B317=2015,H317/$O$10,B317=2016,H317/$O$11,B317=2017,H317/$O$12,B317=2018,H317/$O$13,B317=2019,H317/$O$14,B317=2020,H317/$O$15,B317=2021,H317/$O$16,B317=2022,H317/$O$17)</f>
        <v>1.3209223326896259E-2</v>
      </c>
      <c r="J317" s="6" cm="1">
        <f t="array" ref="J317">_xlfn.IFS(B317=2015,I317*$Q$1,B317=2016,I317*$Q$2,B317=2017,I317*$Q$3,B317=2018,I317*$Q$4,B317=2019,I317*$Q$5,B317=2020,I317*$Q$6,B317=2021,I317*$Q$7,B317=2022,I317*$Q$8)</f>
        <v>346818.84470933274</v>
      </c>
      <c r="K317" s="7">
        <f t="shared" si="10"/>
        <v>1009180.8447093328</v>
      </c>
      <c r="L317">
        <f>IFERROR(VLOOKUP(G317,'LEAID Match'!$A$2:$B$168,2,FALSE),"")</f>
        <v>4666930</v>
      </c>
    </row>
    <row r="318" spans="1:12" x14ac:dyDescent="0.2">
      <c r="A318">
        <f t="shared" si="9"/>
        <v>4666930</v>
      </c>
      <c r="B318">
        <v>2019</v>
      </c>
      <c r="C318" t="s">
        <v>208</v>
      </c>
      <c r="D318" t="s">
        <v>212</v>
      </c>
      <c r="E318" t="s">
        <v>211</v>
      </c>
      <c r="F318" s="3">
        <v>909101</v>
      </c>
      <c r="G318" s="3" t="s">
        <v>135</v>
      </c>
      <c r="H318" s="4">
        <v>684724</v>
      </c>
      <c r="I318" cm="1">
        <f t="array" ref="I318">_xlfn.IFS(B318=2015,H318/$O$10,B318=2016,H318/$O$11,B318=2017,H318/$O$12,B318=2018,H318/$O$13,B318=2019,H318/$O$14,B318=2020,H318/$O$15,B318=2021,H318/$O$16,B318=2022,H318/$O$17)</f>
        <v>1.3409998941456057E-2</v>
      </c>
      <c r="J318" s="6" cm="1">
        <f t="array" ref="J318">_xlfn.IFS(B318=2015,I318*$Q$1,B318=2016,I318*$Q$2,B318=2017,I318*$Q$3,B318=2018,I318*$Q$4,B318=2019,I318*$Q$5,B318=2020,I318*$Q$6,B318=2021,I318*$Q$7,B318=2022,I318*$Q$8)</f>
        <v>354660.34355420672</v>
      </c>
      <c r="K318" s="7">
        <f t="shared" si="10"/>
        <v>1039384.3435542067</v>
      </c>
      <c r="L318">
        <f>IFERROR(VLOOKUP(G318,'LEAID Match'!$A$2:$B$168,2,FALSE),"")</f>
        <v>4666930</v>
      </c>
    </row>
    <row r="319" spans="1:12" x14ac:dyDescent="0.2">
      <c r="A319">
        <f t="shared" si="9"/>
        <v>4666930</v>
      </c>
      <c r="B319">
        <v>2020</v>
      </c>
      <c r="C319" t="s">
        <v>208</v>
      </c>
      <c r="D319" t="s">
        <v>212</v>
      </c>
      <c r="E319" t="s">
        <v>211</v>
      </c>
      <c r="F319" s="1">
        <v>909101</v>
      </c>
      <c r="G319" s="3" t="s">
        <v>135</v>
      </c>
      <c r="H319" s="2">
        <v>701831</v>
      </c>
      <c r="I319" cm="1">
        <f t="array" ref="I319">_xlfn.IFS(B319=2015,H319/$O$10,B319=2016,H319/$O$11,B319=2017,H319/$O$12,B319=2018,H319/$O$13,B319=2019,H319/$O$14,B319=2020,H319/$O$15,B319=2021,H319/$O$16,B319=2022,H319/$O$17)</f>
        <v>1.3292524673419482E-2</v>
      </c>
      <c r="J319" s="6" cm="1">
        <f t="array" ref="J319">_xlfn.IFS(B319=2015,I319*$Q$1,B319=2016,I319*$Q$2,B319=2017,I319*$Q$3,B319=2018,I319*$Q$4,B319=2019,I319*$Q$5,B319=2020,I319*$Q$6,B319=2021,I319*$Q$7,B319=2022,I319*$Q$8)</f>
        <v>361426.81644347525</v>
      </c>
      <c r="K319" s="7">
        <f t="shared" si="10"/>
        <v>1063257.8164434752</v>
      </c>
      <c r="L319">
        <f>IFERROR(VLOOKUP(G319,'LEAID Match'!$A$2:$B$168,2,FALSE),"")</f>
        <v>4666930</v>
      </c>
    </row>
    <row r="320" spans="1:12" x14ac:dyDescent="0.2">
      <c r="A320">
        <f t="shared" si="9"/>
        <v>4666930</v>
      </c>
      <c r="B320">
        <v>2021</v>
      </c>
      <c r="C320" t="s">
        <v>208</v>
      </c>
      <c r="D320" t="s">
        <v>212</v>
      </c>
      <c r="E320" t="s">
        <v>211</v>
      </c>
      <c r="F320" s="3">
        <v>909101</v>
      </c>
      <c r="G320" s="3" t="s">
        <v>135</v>
      </c>
      <c r="H320" s="4">
        <v>729585</v>
      </c>
      <c r="I320" cm="1">
        <f t="array" ref="I320">_xlfn.IFS(B320=2015,H320/$O$10,B320=2016,H320/$O$11,B320=2017,H320/$O$12,B320=2018,H320/$O$13,B320=2019,H320/$O$14,B320=2020,H320/$O$15,B320=2021,H320/$O$16,B320=2022,H320/$O$17)</f>
        <v>1.3177449236246721E-2</v>
      </c>
      <c r="J320" s="6" cm="1">
        <f t="array" ref="J320">_xlfn.IFS(B320=2015,I320*$Q$1,B320=2016,I320*$Q$2,B320=2017,I320*$Q$3,B320=2018,I320*$Q$4,B320=2019,I320*$Q$5,B320=2020,I320*$Q$6,B320=2021,I320*$Q$7,B320=2022,I320*$Q$8)</f>
        <v>366838.21992923191</v>
      </c>
      <c r="K320" s="7">
        <f t="shared" si="10"/>
        <v>1096423.2199292318</v>
      </c>
      <c r="L320">
        <f>IFERROR(VLOOKUP(G320,'LEAID Match'!$A$2:$B$168,2,FALSE),"")</f>
        <v>4666930</v>
      </c>
    </row>
    <row r="321" spans="1:12" x14ac:dyDescent="0.2">
      <c r="A321">
        <f t="shared" si="9"/>
        <v>4666930</v>
      </c>
      <c r="B321">
        <v>2022</v>
      </c>
      <c r="C321" t="s">
        <v>208</v>
      </c>
      <c r="D321" t="s">
        <v>212</v>
      </c>
      <c r="E321" t="s">
        <v>211</v>
      </c>
      <c r="F321" s="3">
        <v>909101</v>
      </c>
      <c r="G321" s="3" t="s">
        <v>135</v>
      </c>
      <c r="H321" s="4">
        <v>779036</v>
      </c>
      <c r="I321" cm="1">
        <f t="array" ref="I321">_xlfn.IFS(B321=2015,H321/$O$10,B321=2016,H321/$O$11,B321=2017,H321/$O$12,B321=2018,H321/$O$13,B321=2019,H321/$O$14,B321=2020,H321/$O$15,B321=2021,H321/$O$16,B321=2022,H321/$O$17)</f>
        <v>1.3491798820147357E-2</v>
      </c>
      <c r="J321" s="6" cm="1">
        <f t="array" ref="J321">_xlfn.IFS(B321=2015,I321*$Q$1,B321=2016,I321*$Q$2,B321=2017,I321*$Q$3,B321=2018,I321*$Q$4,B321=2019,I321*$Q$5,B321=2020,I321*$Q$6,B321=2021,I321*$Q$7,B321=2022,I321*$Q$8)</f>
        <v>397440.68108676455</v>
      </c>
      <c r="K321" s="7">
        <f t="shared" si="10"/>
        <v>1176476.6810867647</v>
      </c>
      <c r="L321">
        <f>IFERROR(VLOOKUP(G321,'LEAID Match'!$A$2:$B$168,2,FALSE),"")</f>
        <v>4666930</v>
      </c>
    </row>
    <row r="322" spans="1:12" x14ac:dyDescent="0.2">
      <c r="A322">
        <f t="shared" si="9"/>
        <v>4680120</v>
      </c>
      <c r="B322">
        <v>2015</v>
      </c>
      <c r="C322" t="s">
        <v>208</v>
      </c>
      <c r="D322" t="s">
        <v>212</v>
      </c>
      <c r="E322" t="s">
        <v>211</v>
      </c>
      <c r="F322" s="3">
        <v>909102</v>
      </c>
      <c r="G322" s="3" t="s">
        <v>169</v>
      </c>
      <c r="H322" s="4">
        <v>775980</v>
      </c>
      <c r="I322" cm="1">
        <f t="array" ref="I322">_xlfn.IFS(B322=2015,H322/$O$10,B322=2016,H322/$O$11,B322=2017,H322/$O$12,B322=2018,H322/$O$13,B322=2019,H322/$O$14,B322=2020,H322/$O$15,B322=2021,H322/$O$16,B322=2022,H322/$O$17)</f>
        <v>1.8150399914372815E-2</v>
      </c>
      <c r="J322" s="6" cm="1">
        <f t="array" ref="J322">_xlfn.IFS(B322=2015,I322*$Q$1,B322=2016,I322*$Q$2,B322=2017,I322*$Q$3,B322=2018,I322*$Q$4,B322=2019,I322*$Q$5,B322=2020,I322*$Q$6,B322=2021,I322*$Q$7,B322=2022,I322*$Q$8)</f>
        <v>446357.44800624298</v>
      </c>
      <c r="K322" s="7">
        <f t="shared" si="10"/>
        <v>1222337.448006243</v>
      </c>
      <c r="L322">
        <f>IFERROR(VLOOKUP(G322,'LEAID Match'!$A$2:$B$168,2,FALSE),"")</f>
        <v>4680120</v>
      </c>
    </row>
    <row r="323" spans="1:12" x14ac:dyDescent="0.2">
      <c r="A323">
        <f t="shared" ref="A323:A386" si="11">L323</f>
        <v>4680120</v>
      </c>
      <c r="B323">
        <v>2016</v>
      </c>
      <c r="C323" t="s">
        <v>208</v>
      </c>
      <c r="D323" t="s">
        <v>212</v>
      </c>
      <c r="E323" t="s">
        <v>211</v>
      </c>
      <c r="F323" s="3">
        <v>909102</v>
      </c>
      <c r="G323" s="3" t="s">
        <v>169</v>
      </c>
      <c r="H323" s="4">
        <v>766992</v>
      </c>
      <c r="I323" cm="1">
        <f t="array" ref="I323">_xlfn.IFS(B323=2015,H323/$O$10,B323=2016,H323/$O$11,B323=2017,H323/$O$12,B323=2018,H323/$O$13,B323=2019,H323/$O$14,B323=2020,H323/$O$15,B323=2021,H323/$O$16,B323=2022,H323/$O$17)</f>
        <v>1.7396959084170972E-2</v>
      </c>
      <c r="J323" s="6" cm="1">
        <f t="array" ref="J323">_xlfn.IFS(B323=2015,I323*$Q$1,B323=2016,I323*$Q$2,B323=2017,I323*$Q$3,B323=2018,I323*$Q$4,B323=2019,I323*$Q$5,B323=2020,I323*$Q$6,B323=2021,I323*$Q$7,B323=2022,I323*$Q$8)</f>
        <v>441983.75008542632</v>
      </c>
      <c r="K323" s="7">
        <f t="shared" ref="K323:K386" si="12">SUM(J323,H323)</f>
        <v>1208975.7500854263</v>
      </c>
      <c r="L323">
        <f>IFERROR(VLOOKUP(G323,'LEAID Match'!$A$2:$B$168,2,FALSE),"")</f>
        <v>4680120</v>
      </c>
    </row>
    <row r="324" spans="1:12" x14ac:dyDescent="0.2">
      <c r="A324">
        <f t="shared" si="11"/>
        <v>4680120</v>
      </c>
      <c r="B324">
        <v>2017</v>
      </c>
      <c r="C324" t="s">
        <v>208</v>
      </c>
      <c r="D324" t="s">
        <v>212</v>
      </c>
      <c r="E324" t="s">
        <v>211</v>
      </c>
      <c r="F324" s="3">
        <v>909102</v>
      </c>
      <c r="G324" s="3" t="s">
        <v>169</v>
      </c>
      <c r="H324" s="4">
        <v>800137</v>
      </c>
      <c r="I324" cm="1">
        <f t="array" ref="I324">_xlfn.IFS(B324=2015,H324/$O$10,B324=2016,H324/$O$11,B324=2017,H324/$O$12,B324=2018,H324/$O$13,B324=2019,H324/$O$14,B324=2020,H324/$O$15,B324=2021,H324/$O$16,B324=2022,H324/$O$17)</f>
        <v>1.6520260963868983E-2</v>
      </c>
      <c r="J324" s="6" cm="1">
        <f t="array" ref="J324">_xlfn.IFS(B324=2015,I324*$Q$1,B324=2016,I324*$Q$2,B324=2017,I324*$Q$3,B324=2018,I324*$Q$4,B324=2019,I324*$Q$5,B324=2020,I324*$Q$6,B324=2021,I324*$Q$7,B324=2022,I324*$Q$8)</f>
        <v>434574.28647392831</v>
      </c>
      <c r="K324" s="7">
        <f t="shared" si="12"/>
        <v>1234711.2864739283</v>
      </c>
      <c r="L324">
        <f>IFERROR(VLOOKUP(G324,'LEAID Match'!$A$2:$B$168,2,FALSE),"")</f>
        <v>4680120</v>
      </c>
    </row>
    <row r="325" spans="1:12" x14ac:dyDescent="0.2">
      <c r="A325">
        <f t="shared" si="11"/>
        <v>4680120</v>
      </c>
      <c r="B325">
        <v>2018</v>
      </c>
      <c r="C325" t="s">
        <v>208</v>
      </c>
      <c r="D325" t="s">
        <v>212</v>
      </c>
      <c r="E325" t="s">
        <v>211</v>
      </c>
      <c r="F325" s="3">
        <v>909102</v>
      </c>
      <c r="G325" s="3" t="s">
        <v>169</v>
      </c>
      <c r="H325" s="4">
        <v>794902</v>
      </c>
      <c r="I325" cm="1">
        <f t="array" ref="I325">_xlfn.IFS(B325=2015,H325/$O$10,B325=2016,H325/$O$11,B325=2017,H325/$O$12,B325=2018,H325/$O$13,B325=2019,H325/$O$14,B325=2020,H325/$O$15,B325=2021,H325/$O$16,B325=2022,H325/$O$17)</f>
        <v>1.5852416112332065E-2</v>
      </c>
      <c r="J325" s="6" cm="1">
        <f t="array" ref="J325">_xlfn.IFS(B325=2015,I325*$Q$1,B325=2016,I325*$Q$2,B325=2017,I325*$Q$3,B325=2018,I325*$Q$4,B325=2019,I325*$Q$5,B325=2020,I325*$Q$6,B325=2021,I325*$Q$7,B325=2022,I325*$Q$8)</f>
        <v>416218.00963391323</v>
      </c>
      <c r="K325" s="7">
        <f t="shared" si="12"/>
        <v>1211120.0096339132</v>
      </c>
      <c r="L325">
        <f>IFERROR(VLOOKUP(G325,'LEAID Match'!$A$2:$B$168,2,FALSE),"")</f>
        <v>4680120</v>
      </c>
    </row>
    <row r="326" spans="1:12" x14ac:dyDescent="0.2">
      <c r="A326">
        <f t="shared" si="11"/>
        <v>4680120</v>
      </c>
      <c r="B326">
        <v>2019</v>
      </c>
      <c r="C326" t="s">
        <v>208</v>
      </c>
      <c r="D326" t="s">
        <v>212</v>
      </c>
      <c r="E326" t="s">
        <v>211</v>
      </c>
      <c r="F326" s="3">
        <v>909102</v>
      </c>
      <c r="G326" s="3" t="s">
        <v>169</v>
      </c>
      <c r="H326" s="4">
        <v>802281</v>
      </c>
      <c r="I326" cm="1">
        <f t="array" ref="I326">_xlfn.IFS(B326=2015,H326/$O$10,B326=2016,H326/$O$11,B326=2017,H326/$O$12,B326=2018,H326/$O$13,B326=2019,H326/$O$14,B326=2020,H326/$O$15,B326=2021,H326/$O$16,B326=2022,H326/$O$17)</f>
        <v>1.5712297744420099E-2</v>
      </c>
      <c r="J326" s="6" cm="1">
        <f t="array" ref="J326">_xlfn.IFS(B326=2015,I326*$Q$1,B326=2016,I326*$Q$2,B326=2017,I326*$Q$3,B326=2018,I326*$Q$4,B326=2019,I326*$Q$5,B326=2020,I326*$Q$6,B326=2021,I326*$Q$7,B326=2022,I326*$Q$8)</f>
        <v>415550.28754215204</v>
      </c>
      <c r="K326" s="7">
        <f t="shared" si="12"/>
        <v>1217831.287542152</v>
      </c>
      <c r="L326">
        <f>IFERROR(VLOOKUP(G326,'LEAID Match'!$A$2:$B$168,2,FALSE),"")</f>
        <v>4680120</v>
      </c>
    </row>
    <row r="327" spans="1:12" x14ac:dyDescent="0.2">
      <c r="A327">
        <f t="shared" si="11"/>
        <v>4680120</v>
      </c>
      <c r="B327">
        <v>2020</v>
      </c>
      <c r="C327" t="s">
        <v>208</v>
      </c>
      <c r="D327" t="s">
        <v>212</v>
      </c>
      <c r="E327" t="s">
        <v>211</v>
      </c>
      <c r="F327" s="3">
        <v>909102</v>
      </c>
      <c r="G327" s="3" t="s">
        <v>169</v>
      </c>
      <c r="H327" s="4">
        <v>807587</v>
      </c>
      <c r="I327" cm="1">
        <f t="array" ref="I327">_xlfn.IFS(B327=2015,H327/$O$10,B327=2016,H327/$O$11,B327=2017,H327/$O$12,B327=2018,H327/$O$13,B327=2019,H327/$O$14,B327=2020,H327/$O$15,B327=2021,H327/$O$16,B327=2022,H327/$O$17)</f>
        <v>1.5295520037491673E-2</v>
      </c>
      <c r="J327" s="6" cm="1">
        <f t="array" ref="J327">_xlfn.IFS(B327=2015,I327*$Q$1,B327=2016,I327*$Q$2,B327=2017,I327*$Q$3,B327=2018,I327*$Q$4,B327=2019,I327*$Q$5,B327=2020,I327*$Q$6,B327=2021,I327*$Q$7,B327=2022,I327*$Q$8)</f>
        <v>415888.72308452724</v>
      </c>
      <c r="K327" s="7">
        <f t="shared" si="12"/>
        <v>1223475.7230845273</v>
      </c>
      <c r="L327">
        <f>IFERROR(VLOOKUP(G327,'LEAID Match'!$A$2:$B$168,2,FALSE),"")</f>
        <v>4680120</v>
      </c>
    </row>
    <row r="328" spans="1:12" x14ac:dyDescent="0.2">
      <c r="A328">
        <f t="shared" si="11"/>
        <v>4680120</v>
      </c>
      <c r="B328">
        <v>2021</v>
      </c>
      <c r="C328" t="s">
        <v>208</v>
      </c>
      <c r="D328" t="s">
        <v>212</v>
      </c>
      <c r="E328" t="s">
        <v>211</v>
      </c>
      <c r="F328" s="3">
        <v>909102</v>
      </c>
      <c r="G328" s="3" t="s">
        <v>169</v>
      </c>
      <c r="H328" s="4">
        <v>964889</v>
      </c>
      <c r="I328" cm="1">
        <f t="array" ref="I328">_xlfn.IFS(B328=2015,H328/$O$10,B328=2016,H328/$O$11,B328=2017,H328/$O$12,B328=2018,H328/$O$13,B328=2019,H328/$O$14,B328=2020,H328/$O$15,B328=2021,H328/$O$16,B328=2022,H328/$O$17)</f>
        <v>1.7427408480318075E-2</v>
      </c>
      <c r="J328" s="6" cm="1">
        <f t="array" ref="J328">_xlfn.IFS(B328=2015,I328*$Q$1,B328=2016,I328*$Q$2,B328=2017,I328*$Q$3,B328=2018,I328*$Q$4,B328=2019,I328*$Q$5,B328=2020,I328*$Q$6,B328=2021,I328*$Q$7,B328=2022,I328*$Q$8)</f>
        <v>485150.00060211855</v>
      </c>
      <c r="K328" s="7">
        <f t="shared" si="12"/>
        <v>1450039.0006021187</v>
      </c>
      <c r="L328">
        <f>IFERROR(VLOOKUP(G328,'LEAID Match'!$A$2:$B$168,2,FALSE),"")</f>
        <v>4680120</v>
      </c>
    </row>
    <row r="329" spans="1:12" x14ac:dyDescent="0.2">
      <c r="A329">
        <f t="shared" si="11"/>
        <v>4680120</v>
      </c>
      <c r="B329">
        <v>2022</v>
      </c>
      <c r="C329" t="s">
        <v>208</v>
      </c>
      <c r="D329" t="s">
        <v>212</v>
      </c>
      <c r="E329" t="s">
        <v>211</v>
      </c>
      <c r="F329" s="3">
        <v>909102</v>
      </c>
      <c r="G329" s="3" t="s">
        <v>169</v>
      </c>
      <c r="H329" s="4">
        <v>1038571</v>
      </c>
      <c r="I329" cm="1">
        <f t="array" ref="I329">_xlfn.IFS(B329=2015,H329/$O$10,B329=2016,H329/$O$11,B329=2017,H329/$O$12,B329=2018,H329/$O$13,B329=2019,H329/$O$14,B329=2020,H329/$O$15,B329=2021,H329/$O$16,B329=2022,H329/$O$17)</f>
        <v>1.7986576990587418E-2</v>
      </c>
      <c r="J329" s="6" cm="1">
        <f t="array" ref="J329">_xlfn.IFS(B329=2015,I329*$Q$1,B329=2016,I329*$Q$2,B329=2017,I329*$Q$3,B329=2018,I329*$Q$4,B329=2019,I329*$Q$5,B329=2020,I329*$Q$6,B329=2021,I329*$Q$7,B329=2022,I329*$Q$8)</f>
        <v>529847.61371356668</v>
      </c>
      <c r="K329" s="7">
        <f t="shared" si="12"/>
        <v>1568418.6137135667</v>
      </c>
      <c r="L329">
        <f>IFERROR(VLOOKUP(G329,'LEAID Match'!$A$2:$B$168,2,FALSE),"")</f>
        <v>4680120</v>
      </c>
    </row>
    <row r="330" spans="1:12" x14ac:dyDescent="0.2">
      <c r="A330">
        <f t="shared" si="11"/>
        <v>4641300</v>
      </c>
      <c r="B330">
        <v>2015</v>
      </c>
      <c r="C330" t="s">
        <v>208</v>
      </c>
      <c r="D330" t="s">
        <v>212</v>
      </c>
      <c r="E330" t="s">
        <v>211</v>
      </c>
      <c r="F330" s="3">
        <v>909116</v>
      </c>
      <c r="G330" s="3" t="s">
        <v>183</v>
      </c>
      <c r="H330" s="4">
        <v>302742</v>
      </c>
      <c r="I330" cm="1">
        <f t="array" ref="I330">_xlfn.IFS(B330=2015,H330/$O$10,B330=2016,H330/$O$11,B330=2017,H330/$O$12,B330=2018,H330/$O$13,B330=2019,H330/$O$14,B330=2020,H330/$O$15,B330=2021,H330/$O$16,B330=2022,H330/$O$17)</f>
        <v>7.0812242208266379E-3</v>
      </c>
      <c r="J330" s="6" cm="1">
        <f t="array" ref="J330">_xlfn.IFS(B330=2015,I330*$Q$1,B330=2016,I330*$Q$2,B330=2017,I330*$Q$3,B330=2018,I330*$Q$4,B330=2019,I330*$Q$5,B330=2020,I330*$Q$6,B330=2021,I330*$Q$7,B330=2022,I330*$Q$8)</f>
        <v>174142.56362832291</v>
      </c>
      <c r="K330" s="7">
        <f t="shared" si="12"/>
        <v>476884.56362832291</v>
      </c>
      <c r="L330">
        <f>IFERROR(VLOOKUP(G330,'LEAID Match'!$A$2:$B$168,2,FALSE),"")</f>
        <v>4641300</v>
      </c>
    </row>
    <row r="331" spans="1:12" x14ac:dyDescent="0.2">
      <c r="A331">
        <f t="shared" si="11"/>
        <v>4641300</v>
      </c>
      <c r="B331">
        <v>2016</v>
      </c>
      <c r="C331" t="s">
        <v>208</v>
      </c>
      <c r="D331" t="s">
        <v>212</v>
      </c>
      <c r="E331" t="s">
        <v>211</v>
      </c>
      <c r="F331" s="3">
        <v>909116</v>
      </c>
      <c r="G331" s="3" t="s">
        <v>183</v>
      </c>
      <c r="H331" s="4">
        <v>307520</v>
      </c>
      <c r="I331" cm="1">
        <f t="array" ref="I331">_xlfn.IFS(B331=2015,H331/$O$10,B331=2016,H331/$O$11,B331=2017,H331/$O$12,B331=2018,H331/$O$13,B331=2019,H331/$O$14,B331=2020,H331/$O$15,B331=2021,H331/$O$16,B331=2022,H331/$O$17)</f>
        <v>6.9751872999513128E-3</v>
      </c>
      <c r="J331" s="6" cm="1">
        <f t="array" ref="J331">_xlfn.IFS(B331=2015,I331*$Q$1,B331=2016,I331*$Q$2,B331=2017,I331*$Q$3,B331=2018,I331*$Q$4,B331=2019,I331*$Q$5,B331=2020,I331*$Q$6,B331=2021,I331*$Q$7,B331=2022,I331*$Q$8)</f>
        <v>177210.24838103956</v>
      </c>
      <c r="K331" s="7">
        <f t="shared" si="12"/>
        <v>484730.24838103959</v>
      </c>
      <c r="L331">
        <f>IFERROR(VLOOKUP(G331,'LEAID Match'!$A$2:$B$168,2,FALSE),"")</f>
        <v>4641300</v>
      </c>
    </row>
    <row r="332" spans="1:12" x14ac:dyDescent="0.2">
      <c r="A332">
        <f t="shared" si="11"/>
        <v>4641300</v>
      </c>
      <c r="B332">
        <v>2017</v>
      </c>
      <c r="C332" t="s">
        <v>208</v>
      </c>
      <c r="D332" t="s">
        <v>212</v>
      </c>
      <c r="E332" t="s">
        <v>211</v>
      </c>
      <c r="F332" s="3">
        <v>909116</v>
      </c>
      <c r="G332" s="3" t="s">
        <v>183</v>
      </c>
      <c r="H332" s="4">
        <v>319340</v>
      </c>
      <c r="I332" cm="1">
        <f t="array" ref="I332">_xlfn.IFS(B332=2015,H332/$O$10,B332=2016,H332/$O$11,B332=2017,H332/$O$12,B332=2018,H332/$O$13,B332=2019,H332/$O$14,B332=2020,H332/$O$15,B332=2021,H332/$O$16,B332=2022,H332/$O$17)</f>
        <v>6.5933460597396715E-3</v>
      </c>
      <c r="J332" s="6" cm="1">
        <f t="array" ref="J332">_xlfn.IFS(B332=2015,I332*$Q$1,B332=2016,I332*$Q$2,B332=2017,I332*$Q$3,B332=2018,I332*$Q$4,B332=2019,I332*$Q$5,B332=2020,I332*$Q$6,B332=2021,I332*$Q$7,B332=2022,I332*$Q$8)</f>
        <v>173441.48894824795</v>
      </c>
      <c r="K332" s="7">
        <f t="shared" si="12"/>
        <v>492781.48894824798</v>
      </c>
      <c r="L332">
        <f>IFERROR(VLOOKUP(G332,'LEAID Match'!$A$2:$B$168,2,FALSE),"")</f>
        <v>4641300</v>
      </c>
    </row>
    <row r="333" spans="1:12" x14ac:dyDescent="0.2">
      <c r="A333">
        <f t="shared" si="11"/>
        <v>4641300</v>
      </c>
      <c r="B333">
        <v>2018</v>
      </c>
      <c r="C333" t="s">
        <v>208</v>
      </c>
      <c r="D333" t="s">
        <v>212</v>
      </c>
      <c r="E333" t="s">
        <v>211</v>
      </c>
      <c r="F333" s="3">
        <v>909116</v>
      </c>
      <c r="G333" s="3" t="s">
        <v>183</v>
      </c>
      <c r="H333" s="4">
        <v>319482</v>
      </c>
      <c r="I333" cm="1">
        <f t="array" ref="I333">_xlfn.IFS(B333=2015,H333/$O$10,B333=2016,H333/$O$11,B333=2017,H333/$O$12,B333=2018,H333/$O$13,B333=2019,H333/$O$14,B333=2020,H333/$O$15,B333=2021,H333/$O$16,B333=2022,H333/$O$17)</f>
        <v>6.3713031347261331E-3</v>
      </c>
      <c r="J333" s="6" cm="1">
        <f t="array" ref="J333">_xlfn.IFS(B333=2015,I333*$Q$1,B333=2016,I333*$Q$2,B333=2017,I333*$Q$3,B333=2018,I333*$Q$4,B333=2019,I333*$Q$5,B333=2020,I333*$Q$6,B333=2021,I333*$Q$7,B333=2022,I333*$Q$8)</f>
        <v>167283.71818647062</v>
      </c>
      <c r="K333" s="7">
        <f t="shared" si="12"/>
        <v>486765.71818647062</v>
      </c>
      <c r="L333">
        <f>IFERROR(VLOOKUP(G333,'LEAID Match'!$A$2:$B$168,2,FALSE),"")</f>
        <v>4641300</v>
      </c>
    </row>
    <row r="334" spans="1:12" x14ac:dyDescent="0.2">
      <c r="A334">
        <f t="shared" si="11"/>
        <v>4641300</v>
      </c>
      <c r="B334">
        <v>2019</v>
      </c>
      <c r="C334" t="s">
        <v>208</v>
      </c>
      <c r="D334" t="s">
        <v>212</v>
      </c>
      <c r="E334" t="s">
        <v>211</v>
      </c>
      <c r="F334" s="3">
        <v>909116</v>
      </c>
      <c r="G334" s="3" t="s">
        <v>183</v>
      </c>
      <c r="H334" s="4">
        <v>308744</v>
      </c>
      <c r="I334" cm="1">
        <f t="array" ref="I334">_xlfn.IFS(B334=2015,H334/$O$10,B334=2016,H334/$O$11,B334=2017,H334/$O$12,B334=2018,H334/$O$13,B334=2019,H334/$O$14,B334=2020,H334/$O$15,B334=2021,H334/$O$16,B334=2022,H334/$O$17)</f>
        <v>6.0466066812042644E-3</v>
      </c>
      <c r="J334" s="6" cm="1">
        <f t="array" ref="J334">_xlfn.IFS(B334=2015,I334*$Q$1,B334=2016,I334*$Q$2,B334=2017,I334*$Q$3,B334=2018,I334*$Q$4,B334=2019,I334*$Q$5,B334=2020,I334*$Q$6,B334=2021,I334*$Q$7,B334=2022,I334*$Q$8)</f>
        <v>159917.35810384914</v>
      </c>
      <c r="K334" s="7">
        <f t="shared" si="12"/>
        <v>468661.35810384911</v>
      </c>
      <c r="L334">
        <f>IFERROR(VLOOKUP(G334,'LEAID Match'!$A$2:$B$168,2,FALSE),"")</f>
        <v>4641300</v>
      </c>
    </row>
    <row r="335" spans="1:12" x14ac:dyDescent="0.2">
      <c r="A335">
        <f t="shared" si="11"/>
        <v>4641300</v>
      </c>
      <c r="B335">
        <v>2020</v>
      </c>
      <c r="C335" t="s">
        <v>208</v>
      </c>
      <c r="D335" t="s">
        <v>212</v>
      </c>
      <c r="E335" t="s">
        <v>211</v>
      </c>
      <c r="F335" s="1">
        <v>909116</v>
      </c>
      <c r="G335" s="3" t="s">
        <v>183</v>
      </c>
      <c r="H335" s="2">
        <v>325650</v>
      </c>
      <c r="I335" cm="1">
        <f t="array" ref="I335">_xlfn.IFS(B335=2015,H335/$O$10,B335=2016,H335/$O$11,B335=2017,H335/$O$12,B335=2018,H335/$O$13,B335=2019,H335/$O$14,B335=2020,H335/$O$15,B335=2021,H335/$O$16,B335=2022,H335/$O$17)</f>
        <v>6.1677393274150814E-3</v>
      </c>
      <c r="J335" s="6" cm="1">
        <f t="array" ref="J335">_xlfn.IFS(B335=2015,I335*$Q$1,B335=2016,I335*$Q$2,B335=2017,I335*$Q$3,B335=2018,I335*$Q$4,B335=2019,I335*$Q$5,B335=2020,I335*$Q$6,B335=2021,I335*$Q$7,B335=2022,I335*$Q$8)</f>
        <v>167702.2570602007</v>
      </c>
      <c r="K335" s="7">
        <f t="shared" si="12"/>
        <v>493352.25706020067</v>
      </c>
      <c r="L335">
        <f>IFERROR(VLOOKUP(G335,'LEAID Match'!$A$2:$B$168,2,FALSE),"")</f>
        <v>4641300</v>
      </c>
    </row>
    <row r="336" spans="1:12" x14ac:dyDescent="0.2">
      <c r="A336">
        <f t="shared" si="11"/>
        <v>4641300</v>
      </c>
      <c r="B336">
        <v>2021</v>
      </c>
      <c r="C336" t="s">
        <v>208</v>
      </c>
      <c r="D336" t="s">
        <v>212</v>
      </c>
      <c r="E336" t="s">
        <v>211</v>
      </c>
      <c r="F336" s="3">
        <v>909116</v>
      </c>
      <c r="G336" s="3" t="s">
        <v>183</v>
      </c>
      <c r="H336" s="4">
        <v>339065</v>
      </c>
      <c r="I336" cm="1">
        <f t="array" ref="I336">_xlfn.IFS(B336=2015,H336/$O$10,B336=2016,H336/$O$11,B336=2017,H336/$O$12,B336=2018,H336/$O$13,B336=2019,H336/$O$14,B336=2020,H336/$O$15,B336=2021,H336/$O$16,B336=2022,H336/$O$17)</f>
        <v>6.1240456222208441E-3</v>
      </c>
      <c r="J336" s="6" cm="1">
        <f t="array" ref="J336">_xlfn.IFS(B336=2015,I336*$Q$1,B336=2016,I336*$Q$2,B336=2017,I336*$Q$3,B336=2018,I336*$Q$4,B336=2019,I336*$Q$5,B336=2020,I336*$Q$6,B336=2021,I336*$Q$7,B336=2022,I336*$Q$8)</f>
        <v>170483.22133857606</v>
      </c>
      <c r="K336" s="7">
        <f t="shared" si="12"/>
        <v>509548.22133857606</v>
      </c>
      <c r="L336">
        <f>IFERROR(VLOOKUP(G336,'LEAID Match'!$A$2:$B$168,2,FALSE),"")</f>
        <v>4641300</v>
      </c>
    </row>
    <row r="337" spans="1:12" x14ac:dyDescent="0.2">
      <c r="A337">
        <f t="shared" si="11"/>
        <v>4641300</v>
      </c>
      <c r="B337">
        <v>2022</v>
      </c>
      <c r="C337" t="s">
        <v>208</v>
      </c>
      <c r="D337" t="s">
        <v>212</v>
      </c>
      <c r="E337" t="s">
        <v>211</v>
      </c>
      <c r="F337" s="3">
        <v>909116</v>
      </c>
      <c r="G337" s="3" t="s">
        <v>183</v>
      </c>
      <c r="H337" s="4">
        <v>352600</v>
      </c>
      <c r="I337" cm="1">
        <f t="array" ref="I337">_xlfn.IFS(B337=2015,H337/$O$10,B337=2016,H337/$O$11,B337=2017,H337/$O$12,B337=2018,H337/$O$13,B337=2019,H337/$O$14,B337=2020,H337/$O$15,B337=2021,H337/$O$16,B337=2022,H337/$O$17)</f>
        <v>6.1065320010679327E-3</v>
      </c>
      <c r="J337" s="6" cm="1">
        <f t="array" ref="J337">_xlfn.IFS(B337=2015,I337*$Q$1,B337=2016,I337*$Q$2,B337=2017,I337*$Q$3,B337=2018,I337*$Q$4,B337=2019,I337*$Q$5,B337=2020,I337*$Q$6,B337=2021,I337*$Q$7,B337=2022,I337*$Q$8)</f>
        <v>179885.88993473109</v>
      </c>
      <c r="K337" s="7">
        <f t="shared" si="12"/>
        <v>532485.88993473107</v>
      </c>
      <c r="L337">
        <f>IFERROR(VLOOKUP(G337,'LEAID Match'!$A$2:$B$168,2,FALSE),"")</f>
        <v>4641300</v>
      </c>
    </row>
    <row r="338" spans="1:12" x14ac:dyDescent="0.2">
      <c r="A338">
        <f t="shared" si="11"/>
        <v>4655710</v>
      </c>
      <c r="B338">
        <v>2015</v>
      </c>
      <c r="C338" t="s">
        <v>208</v>
      </c>
      <c r="D338" t="s">
        <v>212</v>
      </c>
      <c r="E338" t="s">
        <v>211</v>
      </c>
      <c r="F338" s="3">
        <v>910103</v>
      </c>
      <c r="G338" s="3" t="s">
        <v>117</v>
      </c>
      <c r="H338" s="4">
        <v>86704</v>
      </c>
      <c r="I338" cm="1">
        <f t="array" ref="I338">_xlfn.IFS(B338=2015,H338/$O$10,B338=2016,H338/$O$11,B338=2017,H338/$O$12,B338=2018,H338/$O$13,B338=2019,H338/$O$14,B338=2020,H338/$O$15,B338=2021,H338/$O$16,B338=2022,H338/$O$17)</f>
        <v>2.0280320036286767E-3</v>
      </c>
      <c r="J338" s="6" cm="1">
        <f t="array" ref="J338">_xlfn.IFS(B338=2015,I338*$Q$1,B338=2016,I338*$Q$2,B338=2017,I338*$Q$3,B338=2018,I338*$Q$4,B338=2019,I338*$Q$5,B338=2020,I338*$Q$6,B338=2021,I338*$Q$7,B338=2022,I338*$Q$8)</f>
        <v>49873.677378196982</v>
      </c>
      <c r="K338" s="7">
        <f t="shared" si="12"/>
        <v>136577.67737819697</v>
      </c>
      <c r="L338">
        <f>IFERROR(VLOOKUP(G338,'LEAID Match'!$A$2:$B$168,2,FALSE),"")</f>
        <v>4655710</v>
      </c>
    </row>
    <row r="339" spans="1:12" x14ac:dyDescent="0.2">
      <c r="A339">
        <f t="shared" si="11"/>
        <v>4655710</v>
      </c>
      <c r="B339">
        <v>2016</v>
      </c>
      <c r="C339" t="s">
        <v>208</v>
      </c>
      <c r="D339" t="s">
        <v>212</v>
      </c>
      <c r="E339" t="s">
        <v>211</v>
      </c>
      <c r="F339" s="3">
        <v>910103</v>
      </c>
      <c r="G339" s="3" t="s">
        <v>117</v>
      </c>
      <c r="H339" s="4">
        <v>88656</v>
      </c>
      <c r="I339" cm="1">
        <f t="array" ref="I339">_xlfn.IFS(B339=2015,H339/$O$10,B339=2016,H339/$O$11,B339=2017,H339/$O$12,B339=2018,H339/$O$13,B339=2019,H339/$O$14,B339=2020,H339/$O$15,B339=2021,H339/$O$16,B339=2022,H339/$O$17)</f>
        <v>2.0109007715416352E-3</v>
      </c>
      <c r="J339" s="6" cm="1">
        <f t="array" ref="J339">_xlfn.IFS(B339=2015,I339*$Q$1,B339=2016,I339*$Q$2,B339=2017,I339*$Q$3,B339=2018,I339*$Q$4,B339=2019,I339*$Q$5,B339=2020,I339*$Q$6,B339=2021,I339*$Q$7,B339=2022,I339*$Q$8)</f>
        <v>51088.552876136331</v>
      </c>
      <c r="K339" s="7">
        <f t="shared" si="12"/>
        <v>139744.55287613632</v>
      </c>
      <c r="L339">
        <f>IFERROR(VLOOKUP(G339,'LEAID Match'!$A$2:$B$168,2,FALSE),"")</f>
        <v>4655710</v>
      </c>
    </row>
    <row r="340" spans="1:12" x14ac:dyDescent="0.2">
      <c r="A340">
        <f t="shared" si="11"/>
        <v>4655710</v>
      </c>
      <c r="B340">
        <v>2017</v>
      </c>
      <c r="C340" t="s">
        <v>208</v>
      </c>
      <c r="D340" t="s">
        <v>212</v>
      </c>
      <c r="E340" t="s">
        <v>211</v>
      </c>
      <c r="F340" s="3">
        <v>910103</v>
      </c>
      <c r="G340" s="3" t="s">
        <v>117</v>
      </c>
      <c r="H340" s="4">
        <v>99258</v>
      </c>
      <c r="I340" cm="1">
        <f t="array" ref="I340">_xlfn.IFS(B340=2015,H340/$O$10,B340=2016,H340/$O$11,B340=2017,H340/$O$12,B340=2018,H340/$O$13,B340=2019,H340/$O$14,B340=2020,H340/$O$15,B340=2021,H340/$O$16,B340=2022,H340/$O$17)</f>
        <v>2.0493591256893601E-3</v>
      </c>
      <c r="J340" s="6" cm="1">
        <f t="array" ref="J340">_xlfn.IFS(B340=2015,I340*$Q$1,B340=2016,I340*$Q$2,B340=2017,I340*$Q$3,B340=2018,I340*$Q$4,B340=2019,I340*$Q$5,B340=2020,I340*$Q$6,B340=2021,I340*$Q$7,B340=2022,I340*$Q$8)</f>
        <v>53909.486159031738</v>
      </c>
      <c r="K340" s="7">
        <f t="shared" si="12"/>
        <v>153167.48615903175</v>
      </c>
      <c r="L340">
        <f>IFERROR(VLOOKUP(G340,'LEAID Match'!$A$2:$B$168,2,FALSE),"")</f>
        <v>4655710</v>
      </c>
    </row>
    <row r="341" spans="1:12" x14ac:dyDescent="0.2">
      <c r="A341">
        <f t="shared" si="11"/>
        <v>4655710</v>
      </c>
      <c r="B341">
        <v>2018</v>
      </c>
      <c r="C341" t="s">
        <v>208</v>
      </c>
      <c r="D341" t="s">
        <v>212</v>
      </c>
      <c r="E341" t="s">
        <v>211</v>
      </c>
      <c r="F341" s="3">
        <v>910103</v>
      </c>
      <c r="G341" s="3" t="s">
        <v>117</v>
      </c>
      <c r="H341" s="4">
        <v>100434</v>
      </c>
      <c r="I341" cm="1">
        <f t="array" ref="I341">_xlfn.IFS(B341=2015,H341/$O$10,B341=2016,H341/$O$11,B341=2017,H341/$O$12,B341=2018,H341/$O$13,B341=2019,H341/$O$14,B341=2020,H341/$O$15,B341=2021,H341/$O$16,B341=2022,H341/$O$17)</f>
        <v>2.0029155289909427E-3</v>
      </c>
      <c r="J341" s="6" cm="1">
        <f t="array" ref="J341">_xlfn.IFS(B341=2015,I341*$Q$1,B341=2016,I341*$Q$2,B341=2017,I341*$Q$3,B341=2018,I341*$Q$4,B341=2019,I341*$Q$5,B341=2020,I341*$Q$6,B341=2021,I341*$Q$7,B341=2022,I341*$Q$8)</f>
        <v>52588.167572320155</v>
      </c>
      <c r="K341" s="7">
        <f t="shared" si="12"/>
        <v>153022.16757232015</v>
      </c>
      <c r="L341">
        <f>IFERROR(VLOOKUP(G341,'LEAID Match'!$A$2:$B$168,2,FALSE),"")</f>
        <v>4655710</v>
      </c>
    </row>
    <row r="342" spans="1:12" x14ac:dyDescent="0.2">
      <c r="A342">
        <f t="shared" si="11"/>
        <v>4655710</v>
      </c>
      <c r="B342">
        <v>2019</v>
      </c>
      <c r="C342" t="s">
        <v>208</v>
      </c>
      <c r="D342" t="s">
        <v>212</v>
      </c>
      <c r="E342" t="s">
        <v>211</v>
      </c>
      <c r="F342" s="3">
        <v>910103</v>
      </c>
      <c r="G342" s="3" t="s">
        <v>117</v>
      </c>
      <c r="H342" s="4">
        <v>100416</v>
      </c>
      <c r="I342" cm="1">
        <f t="array" ref="I342">_xlfn.IFS(B342=2015,H342/$O$10,B342=2016,H342/$O$11,B342=2017,H342/$O$12,B342=2018,H342/$O$13,B342=2019,H342/$O$14,B342=2020,H342/$O$15,B342=2021,H342/$O$16,B342=2022,H342/$O$17)</f>
        <v>1.9666003436497794E-3</v>
      </c>
      <c r="J342" s="6" cm="1">
        <f t="array" ref="J342">_xlfn.IFS(B342=2015,I342*$Q$1,B342=2016,I342*$Q$2,B342=2017,I342*$Q$3,B342=2018,I342*$Q$4,B342=2019,I342*$Q$5,B342=2020,I342*$Q$6,B342=2021,I342*$Q$7,B342=2022,I342*$Q$8)</f>
        <v>52011.574091662078</v>
      </c>
      <c r="K342" s="7">
        <f t="shared" si="12"/>
        <v>152427.57409166207</v>
      </c>
      <c r="L342">
        <f>IFERROR(VLOOKUP(G342,'LEAID Match'!$A$2:$B$168,2,FALSE),"")</f>
        <v>4655710</v>
      </c>
    </row>
    <row r="343" spans="1:12" x14ac:dyDescent="0.2">
      <c r="A343">
        <f t="shared" si="11"/>
        <v>4655710</v>
      </c>
      <c r="B343">
        <v>2020</v>
      </c>
      <c r="C343" t="s">
        <v>208</v>
      </c>
      <c r="D343" t="s">
        <v>212</v>
      </c>
      <c r="E343" t="s">
        <v>211</v>
      </c>
      <c r="F343" s="1">
        <v>910103</v>
      </c>
      <c r="G343" s="3" t="s">
        <v>117</v>
      </c>
      <c r="H343" s="2">
        <v>104612</v>
      </c>
      <c r="I343" cm="1">
        <f t="array" ref="I343">_xlfn.IFS(B343=2015,H343/$O$10,B343=2016,H343/$O$11,B343=2017,H343/$O$12,B343=2018,H343/$O$13,B343=2019,H343/$O$14,B343=2020,H343/$O$15,B343=2021,H343/$O$16,B343=2022,H343/$O$17)</f>
        <v>1.9813282558561233E-3</v>
      </c>
      <c r="J343" s="6" cm="1">
        <f t="array" ref="J343">_xlfn.IFS(B343=2015,I343*$Q$1,B343=2016,I343*$Q$2,B343=2017,I343*$Q$3,B343=2018,I343*$Q$4,B343=2019,I343*$Q$5,B343=2020,I343*$Q$6,B343=2021,I343*$Q$7,B343=2022,I343*$Q$8)</f>
        <v>53872.772963555093</v>
      </c>
      <c r="K343" s="7">
        <f t="shared" si="12"/>
        <v>158484.77296355509</v>
      </c>
      <c r="L343">
        <f>IFERROR(VLOOKUP(G343,'LEAID Match'!$A$2:$B$168,2,FALSE),"")</f>
        <v>4655710</v>
      </c>
    </row>
    <row r="344" spans="1:12" x14ac:dyDescent="0.2">
      <c r="A344">
        <f t="shared" si="11"/>
        <v>4655710</v>
      </c>
      <c r="B344">
        <v>2021</v>
      </c>
      <c r="C344" t="s">
        <v>208</v>
      </c>
      <c r="D344" t="s">
        <v>212</v>
      </c>
      <c r="E344" t="s">
        <v>211</v>
      </c>
      <c r="F344" s="3">
        <v>910103</v>
      </c>
      <c r="G344" s="3" t="s">
        <v>117</v>
      </c>
      <c r="H344" s="4">
        <v>109833</v>
      </c>
      <c r="I344" cm="1">
        <f t="array" ref="I344">_xlfn.IFS(B344=2015,H344/$O$10,B344=2016,H344/$O$11,B344=2017,H344/$O$12,B344=2018,H344/$O$13,B344=2019,H344/$O$14,B344=2020,H344/$O$15,B344=2021,H344/$O$16,B344=2022,H344/$O$17)</f>
        <v>1.9837562202686268E-3</v>
      </c>
      <c r="J344" s="6" cm="1">
        <f t="array" ref="J344">_xlfn.IFS(B344=2015,I344*$Q$1,B344=2016,I344*$Q$2,B344=2017,I344*$Q$3,B344=2018,I344*$Q$4,B344=2019,I344*$Q$5,B344=2020,I344*$Q$6,B344=2021,I344*$Q$7,B344=2022,I344*$Q$8)</f>
        <v>55224.466250659381</v>
      </c>
      <c r="K344" s="7">
        <f t="shared" si="12"/>
        <v>165057.46625065937</v>
      </c>
      <c r="L344">
        <f>IFERROR(VLOOKUP(G344,'LEAID Match'!$A$2:$B$168,2,FALSE),"")</f>
        <v>4655710</v>
      </c>
    </row>
    <row r="345" spans="1:12" x14ac:dyDescent="0.2">
      <c r="A345">
        <f t="shared" si="11"/>
        <v>4655710</v>
      </c>
      <c r="B345">
        <v>2022</v>
      </c>
      <c r="C345" t="s">
        <v>208</v>
      </c>
      <c r="D345" t="s">
        <v>212</v>
      </c>
      <c r="E345" t="s">
        <v>211</v>
      </c>
      <c r="F345" s="3">
        <v>910103</v>
      </c>
      <c r="G345" s="3" t="s">
        <v>117</v>
      </c>
      <c r="H345" s="4">
        <v>110445</v>
      </c>
      <c r="I345" cm="1">
        <f t="array" ref="I345">_xlfn.IFS(B345=2015,H345/$O$10,B345=2016,H345/$O$11,B345=2017,H345/$O$12,B345=2018,H345/$O$13,B345=2019,H345/$O$14,B345=2020,H345/$O$15,B345=2021,H345/$O$16,B345=2022,H345/$O$17)</f>
        <v>1.9127507851898692E-3</v>
      </c>
      <c r="J345" s="6" cm="1">
        <f t="array" ref="J345">_xlfn.IFS(B345=2015,I345*$Q$1,B345=2016,I345*$Q$2,B345=2017,I345*$Q$3,B345=2018,I345*$Q$4,B345=2019,I345*$Q$5,B345=2020,I345*$Q$6,B345=2021,I345*$Q$7,B345=2022,I345*$Q$8)</f>
        <v>56345.709341580769</v>
      </c>
      <c r="K345" s="7">
        <f t="shared" si="12"/>
        <v>166790.70934158078</v>
      </c>
      <c r="L345">
        <f>IFERROR(VLOOKUP(G345,'LEAID Match'!$A$2:$B$168,2,FALSE),"")</f>
        <v>4655710</v>
      </c>
    </row>
    <row r="346" spans="1:12" x14ac:dyDescent="0.2">
      <c r="A346">
        <f t="shared" si="11"/>
        <v>4669540</v>
      </c>
      <c r="B346">
        <v>2015</v>
      </c>
      <c r="C346" t="s">
        <v>208</v>
      </c>
      <c r="D346" t="s">
        <v>212</v>
      </c>
      <c r="E346" t="s">
        <v>211</v>
      </c>
      <c r="F346" s="3">
        <v>910104</v>
      </c>
      <c r="G346" s="3" t="s">
        <v>195</v>
      </c>
      <c r="H346" s="4">
        <v>47931</v>
      </c>
      <c r="I346" cm="1">
        <f t="array" ref="I346">_xlfn.IFS(B346=2015,H346/$O$10,B346=2016,H346/$O$11,B346=2017,H346/$O$12,B346=2018,H346/$O$13,B346=2019,H346/$O$14,B346=2020,H346/$O$15,B346=2021,H346/$O$16,B346=2022,H346/$O$17)</f>
        <v>1.1211201555398377E-3</v>
      </c>
      <c r="J346" s="6" cm="1">
        <f t="array" ref="J346">_xlfn.IFS(B346=2015,I346*$Q$1,B346=2016,I346*$Q$2,B346=2017,I346*$Q$3,B346=2018,I346*$Q$4,B346=2019,I346*$Q$5,B346=2020,I346*$Q$6,B346=2021,I346*$Q$7,B346=2022,I346*$Q$8)</f>
        <v>27570.760638659798</v>
      </c>
      <c r="K346" s="7">
        <f t="shared" si="12"/>
        <v>75501.760638659791</v>
      </c>
      <c r="L346">
        <f>IFERROR(VLOOKUP(G346,'LEAID Match'!$A$2:$B$168,2,FALSE),"")</f>
        <v>4669540</v>
      </c>
    </row>
    <row r="347" spans="1:12" x14ac:dyDescent="0.2">
      <c r="A347">
        <f t="shared" si="11"/>
        <v>4669540</v>
      </c>
      <c r="B347">
        <v>2016</v>
      </c>
      <c r="C347" t="s">
        <v>208</v>
      </c>
      <c r="D347" t="s">
        <v>212</v>
      </c>
      <c r="E347" t="s">
        <v>211</v>
      </c>
      <c r="F347" s="3">
        <v>910104</v>
      </c>
      <c r="G347" s="3" t="s">
        <v>195</v>
      </c>
      <c r="H347" s="4">
        <v>4081</v>
      </c>
      <c r="I347" cm="1">
        <f t="array" ref="I347">_xlfn.IFS(B347=2015,H347/$O$10,B347=2016,H347/$O$11,B347=2017,H347/$O$12,B347=2018,H347/$O$13,B347=2019,H347/$O$14,B347=2020,H347/$O$15,B347=2021,H347/$O$16,B347=2022,H347/$O$17)</f>
        <v>9.2565489630272205E-5</v>
      </c>
      <c r="J347" s="6" cm="1">
        <f t="array" ref="J347">_xlfn.IFS(B347=2015,I347*$Q$1,B347=2016,I347*$Q$2,B347=2017,I347*$Q$3,B347=2018,I347*$Q$4,B347=2019,I347*$Q$5,B347=2020,I347*$Q$6,B347=2021,I347*$Q$7,B347=2022,I347*$Q$8)</f>
        <v>2351.7007792762179</v>
      </c>
      <c r="K347" s="7">
        <f t="shared" si="12"/>
        <v>6432.7007792762179</v>
      </c>
      <c r="L347">
        <f>IFERROR(VLOOKUP(G347,'LEAID Match'!$A$2:$B$168,2,FALSE),"")</f>
        <v>4669540</v>
      </c>
    </row>
    <row r="348" spans="1:12" x14ac:dyDescent="0.2">
      <c r="A348">
        <f t="shared" si="11"/>
        <v>4678510</v>
      </c>
      <c r="B348">
        <v>2015</v>
      </c>
      <c r="C348" t="s">
        <v>208</v>
      </c>
      <c r="D348" t="s">
        <v>212</v>
      </c>
      <c r="E348" t="s">
        <v>211</v>
      </c>
      <c r="F348" s="3">
        <v>910105</v>
      </c>
      <c r="G348" s="3" t="s">
        <v>156</v>
      </c>
      <c r="H348" s="4">
        <v>53492</v>
      </c>
      <c r="I348" cm="1">
        <f t="array" ref="I348">_xlfn.IFS(B348=2015,H348/$O$10,B348=2016,H348/$O$11,B348=2017,H348/$O$12,B348=2018,H348/$O$13,B348=2019,H348/$O$14,B348=2020,H348/$O$15,B348=2021,H348/$O$16,B348=2022,H348/$O$17)</f>
        <v>1.2511935774370867E-3</v>
      </c>
      <c r="J348" s="6" cm="1">
        <f t="array" ref="J348">_xlfn.IFS(B348=2015,I348*$Q$1,B348=2016,I348*$Q$2,B348=2017,I348*$Q$3,B348=2018,I348*$Q$4,B348=2019,I348*$Q$5,B348=2020,I348*$Q$6,B348=2021,I348*$Q$7,B348=2022,I348*$Q$8)</f>
        <v>30769.546391337339</v>
      </c>
      <c r="K348" s="7">
        <f t="shared" si="12"/>
        <v>84261.546391337339</v>
      </c>
      <c r="L348">
        <f>IFERROR(VLOOKUP(G348,'LEAID Match'!$A$2:$B$168,2,FALSE),"")</f>
        <v>4678510</v>
      </c>
    </row>
    <row r="349" spans="1:12" x14ac:dyDescent="0.2">
      <c r="A349">
        <f t="shared" si="11"/>
        <v>4678510</v>
      </c>
      <c r="B349">
        <v>2016</v>
      </c>
      <c r="C349" t="s">
        <v>208</v>
      </c>
      <c r="D349" t="s">
        <v>212</v>
      </c>
      <c r="E349" t="s">
        <v>211</v>
      </c>
      <c r="F349" s="3">
        <v>910105</v>
      </c>
      <c r="G349" s="3" t="s">
        <v>156</v>
      </c>
      <c r="H349" s="4">
        <v>54387</v>
      </c>
      <c r="I349" cm="1">
        <f t="array" ref="I349">_xlfn.IFS(B349=2015,H349/$O$10,B349=2016,H349/$O$11,B349=2017,H349/$O$12,B349=2018,H349/$O$13,B349=2019,H349/$O$14,B349=2020,H349/$O$15,B349=2021,H349/$O$16,B349=2022,H349/$O$17)</f>
        <v>1.2336092341390871E-3</v>
      </c>
      <c r="J349" s="6" cm="1">
        <f t="array" ref="J349">_xlfn.IFS(B349=2015,I349*$Q$1,B349=2016,I349*$Q$2,B349=2017,I349*$Q$3,B349=2018,I349*$Q$4,B349=2019,I349*$Q$5,B349=2020,I349*$Q$6,B349=2021,I349*$Q$7,B349=2022,I349*$Q$8)</f>
        <v>31340.835648736989</v>
      </c>
      <c r="K349" s="7">
        <f t="shared" si="12"/>
        <v>85727.835648736989</v>
      </c>
      <c r="L349">
        <f>IFERROR(VLOOKUP(G349,'LEAID Match'!$A$2:$B$168,2,FALSE),"")</f>
        <v>4678510</v>
      </c>
    </row>
    <row r="350" spans="1:12" x14ac:dyDescent="0.2">
      <c r="A350">
        <f t="shared" si="11"/>
        <v>4678510</v>
      </c>
      <c r="B350">
        <v>2017</v>
      </c>
      <c r="C350" t="s">
        <v>208</v>
      </c>
      <c r="D350" t="s">
        <v>212</v>
      </c>
      <c r="E350" t="s">
        <v>211</v>
      </c>
      <c r="F350" s="3">
        <v>910105</v>
      </c>
      <c r="G350" s="3" t="s">
        <v>156</v>
      </c>
      <c r="H350" s="4">
        <v>56586</v>
      </c>
      <c r="I350" cm="1">
        <f t="array" ref="I350">_xlfn.IFS(B350=2015,H350/$O$10,B350=2016,H350/$O$11,B350=2017,H350/$O$12,B350=2018,H350/$O$13,B350=2019,H350/$O$14,B350=2020,H350/$O$15,B350=2021,H350/$O$16,B350=2022,H350/$O$17)</f>
        <v>1.1683192839494864E-3</v>
      </c>
      <c r="J350" s="6" cm="1">
        <f t="array" ref="J350">_xlfn.IFS(B350=2015,I350*$Q$1,B350=2016,I350*$Q$2,B350=2017,I350*$Q$3,B350=2018,I350*$Q$4,B350=2019,I350*$Q$5,B350=2020,I350*$Q$6,B350=2021,I350*$Q$7,B350=2022,I350*$Q$8)</f>
        <v>30733.262646788869</v>
      </c>
      <c r="K350" s="7">
        <f t="shared" si="12"/>
        <v>87319.262646788877</v>
      </c>
      <c r="L350">
        <f>IFERROR(VLOOKUP(G350,'LEAID Match'!$A$2:$B$168,2,FALSE),"")</f>
        <v>4678510</v>
      </c>
    </row>
    <row r="351" spans="1:12" x14ac:dyDescent="0.2">
      <c r="A351">
        <f t="shared" si="11"/>
        <v>4678510</v>
      </c>
      <c r="B351">
        <v>2018</v>
      </c>
      <c r="C351" t="s">
        <v>208</v>
      </c>
      <c r="D351" t="s">
        <v>212</v>
      </c>
      <c r="E351" t="s">
        <v>211</v>
      </c>
      <c r="F351" s="3">
        <v>910105</v>
      </c>
      <c r="G351" s="3" t="s">
        <v>156</v>
      </c>
      <c r="H351" s="4">
        <v>57204</v>
      </c>
      <c r="I351" cm="1">
        <f t="array" ref="I351">_xlfn.IFS(B351=2015,H351/$O$10,B351=2016,H351/$O$11,B351=2017,H351/$O$12,B351=2018,H351/$O$13,B351=2019,H351/$O$14,B351=2020,H351/$O$15,B351=2021,H351/$O$16,B351=2022,H351/$O$17)</f>
        <v>1.1407967413465351E-3</v>
      </c>
      <c r="J351" s="6" cm="1">
        <f t="array" ref="J351">_xlfn.IFS(B351=2015,I351*$Q$1,B351=2016,I351*$Q$2,B351=2017,I351*$Q$3,B351=2018,I351*$Q$4,B351=2019,I351*$Q$5,B351=2020,I351*$Q$6,B351=2021,I351*$Q$7,B351=2022,I351*$Q$8)</f>
        <v>29952.541348617029</v>
      </c>
      <c r="K351" s="7">
        <f t="shared" si="12"/>
        <v>87156.541348617029</v>
      </c>
      <c r="L351">
        <f>IFERROR(VLOOKUP(G351,'LEAID Match'!$A$2:$B$168,2,FALSE),"")</f>
        <v>4678510</v>
      </c>
    </row>
    <row r="352" spans="1:12" x14ac:dyDescent="0.2">
      <c r="A352">
        <f t="shared" si="11"/>
        <v>4678510</v>
      </c>
      <c r="B352">
        <v>2019</v>
      </c>
      <c r="C352" t="s">
        <v>208</v>
      </c>
      <c r="D352" t="s">
        <v>212</v>
      </c>
      <c r="E352" t="s">
        <v>211</v>
      </c>
      <c r="F352" s="3">
        <v>910105</v>
      </c>
      <c r="G352" s="3" t="s">
        <v>156</v>
      </c>
      <c r="H352" s="4">
        <v>57219</v>
      </c>
      <c r="I352" cm="1">
        <f t="array" ref="I352">_xlfn.IFS(B352=2015,H352/$O$10,B352=2016,H352/$O$11,B352=2017,H352/$O$12,B352=2018,H352/$O$13,B352=2019,H352/$O$14,B352=2020,H352/$O$15,B352=2021,H352/$O$16,B352=2022,H352/$O$17)</f>
        <v>1.1206073241644431E-3</v>
      </c>
      <c r="J352" s="6" cm="1">
        <f t="array" ref="J352">_xlfn.IFS(B352=2015,I352*$Q$1,B352=2016,I352*$Q$2,B352=2017,I352*$Q$3,B352=2018,I352*$Q$4,B352=2019,I352*$Q$5,B352=2020,I352*$Q$6,B352=2021,I352*$Q$7,B352=2022,I352*$Q$8)</f>
        <v>29637.211778509522</v>
      </c>
      <c r="K352" s="7">
        <f t="shared" si="12"/>
        <v>86856.211778509518</v>
      </c>
      <c r="L352">
        <f>IFERROR(VLOOKUP(G352,'LEAID Match'!$A$2:$B$168,2,FALSE),"")</f>
        <v>4678510</v>
      </c>
    </row>
    <row r="353" spans="1:12" x14ac:dyDescent="0.2">
      <c r="A353">
        <f t="shared" si="11"/>
        <v>4678510</v>
      </c>
      <c r="B353">
        <v>2020</v>
      </c>
      <c r="C353" t="s">
        <v>208</v>
      </c>
      <c r="D353" t="s">
        <v>212</v>
      </c>
      <c r="E353" t="s">
        <v>211</v>
      </c>
      <c r="F353" s="1">
        <v>910105</v>
      </c>
      <c r="G353" s="3" t="s">
        <v>156</v>
      </c>
      <c r="H353" s="2">
        <v>58744</v>
      </c>
      <c r="I353" cm="1">
        <f t="array" ref="I353">_xlfn.IFS(B353=2015,H353/$O$10,B353=2016,H353/$O$11,B353=2017,H353/$O$12,B353=2018,H353/$O$13,B353=2019,H353/$O$14,B353=2020,H353/$O$15,B353=2021,H353/$O$16,B353=2022,H353/$O$17)</f>
        <v>1.1125984309831769E-3</v>
      </c>
      <c r="J353" s="6" cm="1">
        <f t="array" ref="J353">_xlfn.IFS(B353=2015,I353*$Q$1,B353=2016,I353*$Q$2,B353=2017,I353*$Q$3,B353=2018,I353*$Q$4,B353=2019,I353*$Q$5,B353=2020,I353*$Q$6,B353=2021,I353*$Q$7,B353=2022,I353*$Q$8)</f>
        <v>30251.808348670136</v>
      </c>
      <c r="K353" s="7">
        <f t="shared" si="12"/>
        <v>88995.808348670136</v>
      </c>
      <c r="L353">
        <f>IFERROR(VLOOKUP(G353,'LEAID Match'!$A$2:$B$168,2,FALSE),"")</f>
        <v>4678510</v>
      </c>
    </row>
    <row r="354" spans="1:12" x14ac:dyDescent="0.2">
      <c r="A354">
        <f t="shared" si="11"/>
        <v>4678510</v>
      </c>
      <c r="B354">
        <v>2021</v>
      </c>
      <c r="C354" t="s">
        <v>208</v>
      </c>
      <c r="D354" t="s">
        <v>212</v>
      </c>
      <c r="E354" t="s">
        <v>211</v>
      </c>
      <c r="F354" s="3">
        <v>910105</v>
      </c>
      <c r="G354" s="3" t="s">
        <v>156</v>
      </c>
      <c r="H354" s="4">
        <v>60494</v>
      </c>
      <c r="I354" cm="1">
        <f t="array" ref="I354">_xlfn.IFS(B354=2015,H354/$O$10,B354=2016,H354/$O$11,B354=2017,H354/$O$12,B354=2018,H354/$O$13,B354=2019,H354/$O$14,B354=2020,H354/$O$15,B354=2021,H354/$O$16,B354=2022,H354/$O$17)</f>
        <v>1.0926165067778383E-3</v>
      </c>
      <c r="J354" s="6" cm="1">
        <f t="array" ref="J354">_xlfn.IFS(B354=2015,I354*$Q$1,B354=2016,I354*$Q$2,B354=2017,I354*$Q$3,B354=2018,I354*$Q$4,B354=2019,I354*$Q$5,B354=2020,I354*$Q$6,B354=2021,I354*$Q$7,B354=2022,I354*$Q$8)</f>
        <v>30416.622156978217</v>
      </c>
      <c r="K354" s="7">
        <f t="shared" si="12"/>
        <v>90910.622156978221</v>
      </c>
      <c r="L354">
        <f>IFERROR(VLOOKUP(G354,'LEAID Match'!$A$2:$B$168,2,FALSE),"")</f>
        <v>4678510</v>
      </c>
    </row>
    <row r="355" spans="1:12" x14ac:dyDescent="0.2">
      <c r="A355">
        <f t="shared" si="11"/>
        <v>4678510</v>
      </c>
      <c r="B355">
        <v>2022</v>
      </c>
      <c r="C355" t="s">
        <v>208</v>
      </c>
      <c r="D355" t="s">
        <v>212</v>
      </c>
      <c r="E355" t="s">
        <v>211</v>
      </c>
      <c r="F355" s="3">
        <v>910105</v>
      </c>
      <c r="G355" s="3" t="s">
        <v>156</v>
      </c>
      <c r="H355" s="4">
        <v>63696</v>
      </c>
      <c r="I355" cm="1">
        <f t="array" ref="I355">_xlfn.IFS(B355=2015,H355/$O$10,B355=2016,H355/$O$11,B355=2017,H355/$O$12,B355=2018,H355/$O$13,B355=2019,H355/$O$14,B355=2020,H355/$O$15,B355=2021,H355/$O$16,B355=2022,H355/$O$17)</f>
        <v>1.103124396880383E-3</v>
      </c>
      <c r="J355" s="6" cm="1">
        <f t="array" ref="J355">_xlfn.IFS(B355=2015,I355*$Q$1,B355=2016,I355*$Q$2,B355=2017,I355*$Q$3,B355=2018,I355*$Q$4,B355=2019,I355*$Q$5,B355=2020,I355*$Q$6,B355=2021,I355*$Q$7,B355=2022,I355*$Q$8)</f>
        <v>32495.778914584891</v>
      </c>
      <c r="K355" s="7">
        <f t="shared" si="12"/>
        <v>96191.778914584895</v>
      </c>
      <c r="L355">
        <f>IFERROR(VLOOKUP(G355,'LEAID Match'!$A$2:$B$168,2,FALSE),"")</f>
        <v>4678510</v>
      </c>
    </row>
    <row r="356" spans="1:12" x14ac:dyDescent="0.2">
      <c r="A356">
        <f t="shared" si="11"/>
        <v>4606240</v>
      </c>
      <c r="B356">
        <v>2015</v>
      </c>
      <c r="C356" t="s">
        <v>208</v>
      </c>
      <c r="D356" t="s">
        <v>212</v>
      </c>
      <c r="E356" t="s">
        <v>211</v>
      </c>
      <c r="F356" s="3">
        <v>911109</v>
      </c>
      <c r="G356" s="3" t="s">
        <v>9</v>
      </c>
      <c r="H356" s="4">
        <v>132636</v>
      </c>
      <c r="I356" cm="1">
        <f t="array" ref="I356">_xlfn.IFS(B356=2015,H356/$O$10,B356=2016,H356/$O$11,B356=2017,H356/$O$12,B356=2018,H356/$O$13,B356=2019,H356/$O$14,B356=2020,H356/$O$15,B356=2021,H356/$O$16,B356=2022,H356/$O$17)</f>
        <v>3.1023949625541285E-3</v>
      </c>
      <c r="J356" s="6" cm="1">
        <f t="array" ref="J356">_xlfn.IFS(B356=2015,I356*$Q$1,B356=2016,I356*$Q$2,B356=2017,I356*$Q$3,B356=2018,I356*$Q$4,B356=2019,I356*$Q$5,B356=2020,I356*$Q$6,B356=2021,I356*$Q$7,B356=2022,I356*$Q$8)</f>
        <v>76294.577790350319</v>
      </c>
      <c r="K356" s="7">
        <f t="shared" si="12"/>
        <v>208930.5777903503</v>
      </c>
      <c r="L356">
        <f>IFERROR(VLOOKUP(G356,'LEAID Match'!$A$2:$B$168,2,FALSE),"")</f>
        <v>4606240</v>
      </c>
    </row>
    <row r="357" spans="1:12" x14ac:dyDescent="0.2">
      <c r="A357">
        <f t="shared" si="11"/>
        <v>4606240</v>
      </c>
      <c r="B357">
        <v>2016</v>
      </c>
      <c r="C357" t="s">
        <v>208</v>
      </c>
      <c r="D357" t="s">
        <v>212</v>
      </c>
      <c r="E357" t="s">
        <v>211</v>
      </c>
      <c r="F357" s="3">
        <v>911109</v>
      </c>
      <c r="G357" s="3" t="s">
        <v>9</v>
      </c>
      <c r="H357" s="4">
        <v>186715</v>
      </c>
      <c r="I357" cm="1">
        <f t="array" ref="I357">_xlfn.IFS(B357=2015,H357/$O$10,B357=2016,H357/$O$11,B357=2017,H357/$O$12,B357=2018,H357/$O$13,B357=2019,H357/$O$14,B357=2020,H357/$O$15,B357=2021,H357/$O$16,B357=2022,H357/$O$17)</f>
        <v>4.2350809596462327E-3</v>
      </c>
      <c r="J357" s="6" cm="1">
        <f t="array" ref="J357">_xlfn.IFS(B357=2015,I357*$Q$1,B357=2016,I357*$Q$2,B357=2017,I357*$Q$3,B357=2018,I357*$Q$4,B357=2019,I357*$Q$5,B357=2020,I357*$Q$6,B357=2021,I357*$Q$7,B357=2022,I357*$Q$8)</f>
        <v>107595.64101998505</v>
      </c>
      <c r="K357" s="7">
        <f t="shared" si="12"/>
        <v>294310.64101998508</v>
      </c>
      <c r="L357">
        <f>IFERROR(VLOOKUP(G357,'LEAID Match'!$A$2:$B$168,2,FALSE),"")</f>
        <v>4606240</v>
      </c>
    </row>
    <row r="358" spans="1:12" x14ac:dyDescent="0.2">
      <c r="A358">
        <f t="shared" si="11"/>
        <v>4606240</v>
      </c>
      <c r="B358">
        <v>2017</v>
      </c>
      <c r="C358" t="s">
        <v>208</v>
      </c>
      <c r="D358" t="s">
        <v>212</v>
      </c>
      <c r="E358" t="s">
        <v>211</v>
      </c>
      <c r="F358" s="3">
        <v>911109</v>
      </c>
      <c r="G358" s="3" t="s">
        <v>9</v>
      </c>
      <c r="H358" s="4">
        <v>211414</v>
      </c>
      <c r="I358" cm="1">
        <f t="array" ref="I358">_xlfn.IFS(B358=2015,H358/$O$10,B358=2016,H358/$O$11,B358=2017,H358/$O$12,B358=2018,H358/$O$13,B358=2019,H358/$O$14,B358=2020,H358/$O$15,B358=2021,H358/$O$16,B358=2022,H358/$O$17)</f>
        <v>4.3650205544992883E-3</v>
      </c>
      <c r="J358" s="6" cm="1">
        <f t="array" ref="J358">_xlfn.IFS(B358=2015,I358*$Q$1,B358=2016,I358*$Q$2,B358=2017,I358*$Q$3,B358=2018,I358*$Q$4,B358=2019,I358*$Q$5,B358=2020,I358*$Q$6,B358=2021,I358*$Q$7,B358=2022,I358*$Q$8)</f>
        <v>114824.19660707988</v>
      </c>
      <c r="K358" s="7">
        <f t="shared" si="12"/>
        <v>326238.19660707988</v>
      </c>
      <c r="L358">
        <f>IFERROR(VLOOKUP(G358,'LEAID Match'!$A$2:$B$168,2,FALSE),"")</f>
        <v>4606240</v>
      </c>
    </row>
    <row r="359" spans="1:12" x14ac:dyDescent="0.2">
      <c r="A359">
        <f t="shared" si="11"/>
        <v>4606240</v>
      </c>
      <c r="B359">
        <v>2018</v>
      </c>
      <c r="C359" t="s">
        <v>208</v>
      </c>
      <c r="D359" t="s">
        <v>212</v>
      </c>
      <c r="E359" t="s">
        <v>211</v>
      </c>
      <c r="F359" s="3">
        <v>911109</v>
      </c>
      <c r="G359" s="3" t="s">
        <v>9</v>
      </c>
      <c r="H359" s="4">
        <v>202069</v>
      </c>
      <c r="I359" cm="1">
        <f t="array" ref="I359">_xlfn.IFS(B359=2015,H359/$O$10,B359=2016,H359/$O$11,B359=2017,H359/$O$12,B359=2018,H359/$O$13,B359=2019,H359/$O$14,B359=2020,H359/$O$15,B359=2021,H359/$O$16,B359=2022,H359/$O$17)</f>
        <v>4.0297821258505175E-3</v>
      </c>
      <c r="J359" s="6" cm="1">
        <f t="array" ref="J359">_xlfn.IFS(B359=2015,I359*$Q$1,B359=2016,I359*$Q$2,B359=2017,I359*$Q$3,B359=2018,I359*$Q$4,B359=2019,I359*$Q$5,B359=2020,I359*$Q$6,B359=2021,I359*$Q$7,B359=2022,I359*$Q$8)</f>
        <v>105805.18980794515</v>
      </c>
      <c r="K359" s="7">
        <f t="shared" si="12"/>
        <v>307874.18980794516</v>
      </c>
      <c r="L359">
        <f>IFERROR(VLOOKUP(G359,'LEAID Match'!$A$2:$B$168,2,FALSE),"")</f>
        <v>4606240</v>
      </c>
    </row>
    <row r="360" spans="1:12" x14ac:dyDescent="0.2">
      <c r="A360">
        <f t="shared" si="11"/>
        <v>4606240</v>
      </c>
      <c r="B360">
        <v>2019</v>
      </c>
      <c r="C360" t="s">
        <v>208</v>
      </c>
      <c r="D360" t="s">
        <v>212</v>
      </c>
      <c r="E360" t="s">
        <v>211</v>
      </c>
      <c r="F360" s="3">
        <v>911109</v>
      </c>
      <c r="G360" s="3" t="s">
        <v>9</v>
      </c>
      <c r="H360" s="4">
        <v>214960</v>
      </c>
      <c r="I360" cm="1">
        <f t="array" ref="I360">_xlfn.IFS(B360=2015,H360/$O$10,B360=2016,H360/$O$11,B360=2017,H360/$O$12,B360=2018,H360/$O$13,B360=2019,H360/$O$14,B360=2020,H360/$O$15,B360=2021,H360/$O$16,B360=2022,H360/$O$17)</f>
        <v>4.2098909523477987E-3</v>
      </c>
      <c r="J360" s="6" cm="1">
        <f t="array" ref="J360">_xlfn.IFS(B360=2015,I360*$Q$1,B360=2016,I360*$Q$2,B360=2017,I360*$Q$3,B360=2018,I360*$Q$4,B360=2019,I360*$Q$5,B360=2020,I360*$Q$6,B360=2021,I360*$Q$7,B360=2022,I360*$Q$8)</f>
        <v>111340.90151712555</v>
      </c>
      <c r="K360" s="7">
        <f t="shared" si="12"/>
        <v>326300.90151712555</v>
      </c>
      <c r="L360">
        <f>IFERROR(VLOOKUP(G360,'LEAID Match'!$A$2:$B$168,2,FALSE),"")</f>
        <v>4606240</v>
      </c>
    </row>
    <row r="361" spans="1:12" x14ac:dyDescent="0.2">
      <c r="A361">
        <f t="shared" si="11"/>
        <v>4606240</v>
      </c>
      <c r="B361">
        <v>2020</v>
      </c>
      <c r="C361" t="s">
        <v>208</v>
      </c>
      <c r="D361" t="s">
        <v>212</v>
      </c>
      <c r="E361" t="s">
        <v>211</v>
      </c>
      <c r="F361" s="1">
        <v>911109</v>
      </c>
      <c r="G361" s="3" t="s">
        <v>9</v>
      </c>
      <c r="H361" s="2">
        <v>217377</v>
      </c>
      <c r="I361" cm="1">
        <f t="array" ref="I361">_xlfn.IFS(B361=2015,H361/$O$10,B361=2016,H361/$O$11,B361=2017,H361/$O$12,B361=2018,H361/$O$13,B361=2019,H361/$O$14,B361=2020,H361/$O$15,B361=2021,H361/$O$16,B361=2022,H361/$O$17)</f>
        <v>4.1170725373115558E-3</v>
      </c>
      <c r="J361" s="6" cm="1">
        <f t="array" ref="J361">_xlfn.IFS(B361=2015,I361*$Q$1,B361=2016,I361*$Q$2,B361=2017,I361*$Q$3,B361=2018,I361*$Q$4,B361=2019,I361*$Q$5,B361=2020,I361*$Q$6,B361=2021,I361*$Q$7,B361=2022,I361*$Q$8)</f>
        <v>111944.15333325732</v>
      </c>
      <c r="K361" s="7">
        <f t="shared" si="12"/>
        <v>329321.1533332573</v>
      </c>
      <c r="L361">
        <f>IFERROR(VLOOKUP(G361,'LEAID Match'!$A$2:$B$168,2,FALSE),"")</f>
        <v>4606240</v>
      </c>
    </row>
    <row r="362" spans="1:12" x14ac:dyDescent="0.2">
      <c r="A362">
        <f t="shared" si="11"/>
        <v>4606240</v>
      </c>
      <c r="B362">
        <v>2021</v>
      </c>
      <c r="C362" t="s">
        <v>208</v>
      </c>
      <c r="D362" t="s">
        <v>212</v>
      </c>
      <c r="E362" t="s">
        <v>211</v>
      </c>
      <c r="F362" s="3">
        <v>911109</v>
      </c>
      <c r="G362" s="3" t="s">
        <v>9</v>
      </c>
      <c r="H362" s="4">
        <v>226466</v>
      </c>
      <c r="I362" cm="1">
        <f t="array" ref="I362">_xlfn.IFS(B362=2015,H362/$O$10,B362=2016,H362/$O$11,B362=2017,H362/$O$12,B362=2018,H362/$O$13,B362=2019,H362/$O$14,B362=2020,H362/$O$15,B362=2021,H362/$O$16,B362=2022,H362/$O$17)</f>
        <v>4.0903311043070378E-3</v>
      </c>
      <c r="J362" s="6" cm="1">
        <f t="array" ref="J362">_xlfn.IFS(B362=2015,I362*$Q$1,B362=2016,I362*$Q$2,B362=2017,I362*$Q$3,B362=2018,I362*$Q$4,B362=2019,I362*$Q$5,B362=2020,I362*$Q$6,B362=2021,I362*$Q$7,B362=2022,I362*$Q$8)</f>
        <v>113867.99936195706</v>
      </c>
      <c r="K362" s="7">
        <f t="shared" si="12"/>
        <v>340333.99936195707</v>
      </c>
      <c r="L362">
        <f>IFERROR(VLOOKUP(G362,'LEAID Match'!$A$2:$B$168,2,FALSE),"")</f>
        <v>4606240</v>
      </c>
    </row>
    <row r="363" spans="1:12" x14ac:dyDescent="0.2">
      <c r="A363">
        <f t="shared" si="11"/>
        <v>4606240</v>
      </c>
      <c r="B363">
        <v>2022</v>
      </c>
      <c r="C363" t="s">
        <v>208</v>
      </c>
      <c r="D363" t="s">
        <v>212</v>
      </c>
      <c r="E363" t="s">
        <v>211</v>
      </c>
      <c r="F363" s="3">
        <v>911109</v>
      </c>
      <c r="G363" s="3" t="s">
        <v>9</v>
      </c>
      <c r="H363" s="4">
        <v>224939</v>
      </c>
      <c r="I363" cm="1">
        <f t="array" ref="I363">_xlfn.IFS(B363=2015,H363/$O$10,B363=2016,H363/$O$11,B363=2017,H363/$O$12,B363=2018,H363/$O$13,B363=2019,H363/$O$14,B363=2020,H363/$O$15,B363=2021,H363/$O$16,B363=2022,H363/$O$17)</f>
        <v>3.8956245087584224E-3</v>
      </c>
      <c r="J363" s="6" cm="1">
        <f t="array" ref="J363">_xlfn.IFS(B363=2015,I363*$Q$1,B363=2016,I363*$Q$2,B363=2017,I363*$Q$3,B363=2018,I363*$Q$4,B363=2019,I363*$Q$5,B363=2020,I363*$Q$6,B363=2021,I363*$Q$7,B363=2022,I363*$Q$8)</f>
        <v>114757.09641528214</v>
      </c>
      <c r="K363" s="7">
        <f t="shared" si="12"/>
        <v>339696.09641528211</v>
      </c>
      <c r="L363">
        <f>IFERROR(VLOOKUP(G363,'LEAID Match'!$A$2:$B$168,2,FALSE),"")</f>
        <v>4606240</v>
      </c>
    </row>
    <row r="364" spans="1:12" x14ac:dyDescent="0.2">
      <c r="A364">
        <f t="shared" si="11"/>
        <v>4665180</v>
      </c>
      <c r="B364">
        <v>2015</v>
      </c>
      <c r="C364" t="s">
        <v>208</v>
      </c>
      <c r="D364" t="s">
        <v>212</v>
      </c>
      <c r="E364" t="s">
        <v>211</v>
      </c>
      <c r="F364" s="3">
        <v>912102</v>
      </c>
      <c r="G364" s="3" t="s">
        <v>125</v>
      </c>
      <c r="H364" s="4">
        <v>68791</v>
      </c>
      <c r="I364" cm="1">
        <f t="array" ref="I364">_xlfn.IFS(B364=2015,H364/$O$10,B364=2016,H364/$O$11,B364=2017,H364/$O$12,B364=2018,H364/$O$13,B364=2019,H364/$O$14,B364=2020,H364/$O$15,B364=2021,H364/$O$16,B364=2022,H364/$O$17)</f>
        <v>1.6090416769886083E-3</v>
      </c>
      <c r="J364" s="6" cm="1">
        <f t="array" ref="J364">_xlfn.IFS(B364=2015,I364*$Q$1,B364=2016,I364*$Q$2,B364=2017,I364*$Q$3,B364=2018,I364*$Q$4,B364=2019,I364*$Q$5,B364=2020,I364*$Q$6,B364=2021,I364*$Q$7,B364=2022,I364*$Q$8)</f>
        <v>39569.802321963791</v>
      </c>
      <c r="K364" s="7">
        <f t="shared" si="12"/>
        <v>108360.8023219638</v>
      </c>
      <c r="L364">
        <f>IFERROR(VLOOKUP(G364,'LEAID Match'!$A$2:$B$168,2,FALSE),"")</f>
        <v>4665180</v>
      </c>
    </row>
    <row r="365" spans="1:12" x14ac:dyDescent="0.2">
      <c r="A365">
        <f t="shared" si="11"/>
        <v>4665180</v>
      </c>
      <c r="B365">
        <v>2016</v>
      </c>
      <c r="C365" t="s">
        <v>208</v>
      </c>
      <c r="D365" t="s">
        <v>212</v>
      </c>
      <c r="E365" t="s">
        <v>211</v>
      </c>
      <c r="F365" s="3">
        <v>912102</v>
      </c>
      <c r="G365" s="3" t="s">
        <v>125</v>
      </c>
      <c r="H365" s="4">
        <v>68967</v>
      </c>
      <c r="I365" cm="1">
        <f t="array" ref="I365">_xlfn.IFS(B365=2015,H365/$O$10,B365=2016,H365/$O$11,B365=2017,H365/$O$12,B365=2018,H365/$O$13,B365=2019,H365/$O$14,B365=2020,H365/$O$15,B365=2021,H365/$O$16,B365=2022,H365/$O$17)</f>
        <v>1.5643136788363104E-3</v>
      </c>
      <c r="J365" s="6" cm="1">
        <f t="array" ref="J365">_xlfn.IFS(B365=2015,I365*$Q$1,B365=2016,I365*$Q$2,B365=2017,I365*$Q$3,B365=2018,I365*$Q$4,B365=2019,I365*$Q$5,B365=2020,I365*$Q$6,B365=2021,I365*$Q$7,B365=2022,I365*$Q$8)</f>
        <v>39742.648283347931</v>
      </c>
      <c r="K365" s="7">
        <f t="shared" si="12"/>
        <v>108709.64828334792</v>
      </c>
      <c r="L365">
        <f>IFERROR(VLOOKUP(G365,'LEAID Match'!$A$2:$B$168,2,FALSE),"")</f>
        <v>4665180</v>
      </c>
    </row>
    <row r="366" spans="1:12" x14ac:dyDescent="0.2">
      <c r="A366">
        <f t="shared" si="11"/>
        <v>4665180</v>
      </c>
      <c r="B366">
        <v>2017</v>
      </c>
      <c r="C366" t="s">
        <v>208</v>
      </c>
      <c r="D366" t="s">
        <v>212</v>
      </c>
      <c r="E366" t="s">
        <v>211</v>
      </c>
      <c r="F366" s="3">
        <v>912102</v>
      </c>
      <c r="G366" s="3" t="s">
        <v>125</v>
      </c>
      <c r="H366" s="4">
        <v>78041</v>
      </c>
      <c r="I366" cm="1">
        <f t="array" ref="I366">_xlfn.IFS(B366=2015,H366/$O$10,B366=2016,H366/$O$11,B366=2017,H366/$O$12,B366=2018,H366/$O$13,B366=2019,H366/$O$14,B366=2020,H366/$O$15,B366=2021,H366/$O$16,B366=2022,H366/$O$17)</f>
        <v>1.6112961728820181E-3</v>
      </c>
      <c r="J366" s="6" cm="1">
        <f t="array" ref="J366">_xlfn.IFS(B366=2015,I366*$Q$1,B366=2016,I366*$Q$2,B366=2017,I366*$Q$3,B366=2018,I366*$Q$4,B366=2019,I366*$Q$5,B366=2020,I366*$Q$6,B366=2021,I366*$Q$7,B366=2022,I366*$Q$8)</f>
        <v>42386.006259817805</v>
      </c>
      <c r="K366" s="7">
        <f t="shared" si="12"/>
        <v>120427.0062598178</v>
      </c>
      <c r="L366">
        <f>IFERROR(VLOOKUP(G366,'LEAID Match'!$A$2:$B$168,2,FALSE),"")</f>
        <v>4665180</v>
      </c>
    </row>
    <row r="367" spans="1:12" x14ac:dyDescent="0.2">
      <c r="A367">
        <f t="shared" si="11"/>
        <v>4665180</v>
      </c>
      <c r="B367">
        <v>2018</v>
      </c>
      <c r="C367" t="s">
        <v>208</v>
      </c>
      <c r="D367" t="s">
        <v>212</v>
      </c>
      <c r="E367" t="s">
        <v>211</v>
      </c>
      <c r="F367" s="3">
        <v>912102</v>
      </c>
      <c r="G367" s="3" t="s">
        <v>125</v>
      </c>
      <c r="H367" s="4">
        <v>76942</v>
      </c>
      <c r="I367" cm="1">
        <f t="array" ref="I367">_xlfn.IFS(B367=2015,H367/$O$10,B367=2016,H367/$O$11,B367=2017,H367/$O$12,B367=2018,H367/$O$13,B367=2019,H367/$O$14,B367=2020,H367/$O$15,B367=2021,H367/$O$16,B367=2022,H367/$O$17)</f>
        <v>1.5344238667345832E-3</v>
      </c>
      <c r="J367" s="6" cm="1">
        <f t="array" ref="J367">_xlfn.IFS(B367=2015,I367*$Q$1,B367=2016,I367*$Q$2,B367=2017,I367*$Q$3,B367=2018,I367*$Q$4,B367=2019,I367*$Q$5,B367=2020,I367*$Q$6,B367=2021,I367*$Q$7,B367=2022,I367*$Q$8)</f>
        <v>40287.539970024671</v>
      </c>
      <c r="K367" s="7">
        <f t="shared" si="12"/>
        <v>117229.53997002466</v>
      </c>
      <c r="L367">
        <f>IFERROR(VLOOKUP(G367,'LEAID Match'!$A$2:$B$168,2,FALSE),"")</f>
        <v>4665180</v>
      </c>
    </row>
    <row r="368" spans="1:12" x14ac:dyDescent="0.2">
      <c r="A368">
        <f t="shared" si="11"/>
        <v>4665180</v>
      </c>
      <c r="B368">
        <v>2019</v>
      </c>
      <c r="C368" t="s">
        <v>208</v>
      </c>
      <c r="D368" t="s">
        <v>212</v>
      </c>
      <c r="E368" t="s">
        <v>211</v>
      </c>
      <c r="F368" s="3">
        <v>912102</v>
      </c>
      <c r="G368" s="3" t="s">
        <v>125</v>
      </c>
      <c r="H368" s="4">
        <v>74430</v>
      </c>
      <c r="I368" cm="1">
        <f t="array" ref="I368">_xlfn.IFS(B368=2015,H368/$O$10,B368=2016,H368/$O$11,B368=2017,H368/$O$12,B368=2018,H368/$O$13,B368=2019,H368/$O$14,B368=2020,H368/$O$15,B368=2021,H368/$O$16,B368=2022,H368/$O$17)</f>
        <v>1.4576767007036036E-3</v>
      </c>
      <c r="J368" s="6" cm="1">
        <f t="array" ref="J368">_xlfn.IFS(B368=2015,I368*$Q$1,B368=2016,I368*$Q$2,B368=2017,I368*$Q$3,B368=2018,I368*$Q$4,B368=2019,I368*$Q$5,B368=2020,I368*$Q$6,B368=2021,I368*$Q$7,B368=2022,I368*$Q$8)</f>
        <v>38551.838946407028</v>
      </c>
      <c r="K368" s="7">
        <f t="shared" si="12"/>
        <v>112981.83894640702</v>
      </c>
      <c r="L368">
        <f>IFERROR(VLOOKUP(G368,'LEAID Match'!$A$2:$B$168,2,FALSE),"")</f>
        <v>4665180</v>
      </c>
    </row>
    <row r="369" spans="1:12" x14ac:dyDescent="0.2">
      <c r="A369">
        <f t="shared" si="11"/>
        <v>4665180</v>
      </c>
      <c r="B369">
        <v>2020</v>
      </c>
      <c r="C369" t="s">
        <v>208</v>
      </c>
      <c r="D369" t="s">
        <v>212</v>
      </c>
      <c r="E369" t="s">
        <v>211</v>
      </c>
      <c r="F369" s="1">
        <v>912102</v>
      </c>
      <c r="G369" s="3" t="s">
        <v>125</v>
      </c>
      <c r="H369" s="2">
        <v>76523</v>
      </c>
      <c r="I369" cm="1">
        <f t="array" ref="I369">_xlfn.IFS(B369=2015,H369/$O$10,B369=2016,H369/$O$11,B369=2017,H369/$O$12,B369=2018,H369/$O$13,B369=2019,H369/$O$14,B369=2020,H369/$O$15,B369=2021,H369/$O$16,B369=2022,H369/$O$17)</f>
        <v>1.4493287779879756E-3</v>
      </c>
      <c r="J369" s="6" cm="1">
        <f t="array" ref="J369">_xlfn.IFS(B369=2015,I369*$Q$1,B369=2016,I369*$Q$2,B369=2017,I369*$Q$3,B369=2018,I369*$Q$4,B369=2019,I369*$Q$5,B369=2020,I369*$Q$6,B369=2021,I369*$Q$7,B369=2022,I369*$Q$8)</f>
        <v>39407.584268440776</v>
      </c>
      <c r="K369" s="7">
        <f t="shared" si="12"/>
        <v>115930.58426844078</v>
      </c>
      <c r="L369">
        <f>IFERROR(VLOOKUP(G369,'LEAID Match'!$A$2:$B$168,2,FALSE),"")</f>
        <v>4665180</v>
      </c>
    </row>
    <row r="370" spans="1:12" x14ac:dyDescent="0.2">
      <c r="A370">
        <f t="shared" si="11"/>
        <v>4665180</v>
      </c>
      <c r="B370">
        <v>2021</v>
      </c>
      <c r="C370" t="s">
        <v>208</v>
      </c>
      <c r="D370" t="s">
        <v>212</v>
      </c>
      <c r="E370" t="s">
        <v>211</v>
      </c>
      <c r="F370" s="3">
        <v>912102</v>
      </c>
      <c r="G370" s="3" t="s">
        <v>125</v>
      </c>
      <c r="H370" s="4">
        <v>86882</v>
      </c>
      <c r="I370" cm="1">
        <f t="array" ref="I370">_xlfn.IFS(B370=2015,H370/$O$10,B370=2016,H370/$O$11,B370=2017,H370/$O$12,B370=2018,H370/$O$13,B370=2019,H370/$O$14,B370=2020,H370/$O$15,B370=2021,H370/$O$16,B370=2022,H370/$O$17)</f>
        <v>1.569225168477405E-3</v>
      </c>
      <c r="J370" s="6" cm="1">
        <f t="array" ref="J370">_xlfn.IFS(B370=2015,I370*$Q$1,B370=2016,I370*$Q$2,B370=2017,I370*$Q$3,B370=2018,I370*$Q$4,B370=2019,I370*$Q$5,B370=2020,I370*$Q$6,B370=2021,I370*$Q$7,B370=2022,I370*$Q$8)</f>
        <v>43684.612792055101</v>
      </c>
      <c r="K370" s="7">
        <f t="shared" si="12"/>
        <v>130566.61279205509</v>
      </c>
      <c r="L370">
        <f>IFERROR(VLOOKUP(G370,'LEAID Match'!$A$2:$B$168,2,FALSE),"")</f>
        <v>4665180</v>
      </c>
    </row>
    <row r="371" spans="1:12" x14ac:dyDescent="0.2">
      <c r="A371">
        <f t="shared" si="11"/>
        <v>4665180</v>
      </c>
      <c r="B371">
        <v>2022</v>
      </c>
      <c r="C371" t="s">
        <v>208</v>
      </c>
      <c r="D371" t="s">
        <v>212</v>
      </c>
      <c r="E371" t="s">
        <v>211</v>
      </c>
      <c r="F371" s="3">
        <v>912102</v>
      </c>
      <c r="G371" s="3" t="s">
        <v>125</v>
      </c>
      <c r="H371" s="4">
        <v>102701</v>
      </c>
      <c r="I371" cm="1">
        <f t="array" ref="I371">_xlfn.IFS(B371=2015,H371/$O$10,B371=2016,H371/$O$11,B371=2017,H371/$O$12,B371=2018,H371/$O$13,B371=2019,H371/$O$14,B371=2020,H371/$O$15,B371=2021,H371/$O$16,B371=2022,H371/$O$17)</f>
        <v>1.7786356864483205E-3</v>
      </c>
      <c r="J371" s="6" cm="1">
        <f t="array" ref="J371">_xlfn.IFS(B371=2015,I371*$Q$1,B371=2016,I371*$Q$2,B371=2017,I371*$Q$3,B371=2018,I371*$Q$4,B371=2019,I371*$Q$5,B371=2020,I371*$Q$6,B371=2021,I371*$Q$7,B371=2022,I371*$Q$8)</f>
        <v>52394.954005067557</v>
      </c>
      <c r="K371" s="7">
        <f t="shared" si="12"/>
        <v>155095.95400506756</v>
      </c>
      <c r="L371">
        <f>IFERROR(VLOOKUP(G371,'LEAID Match'!$A$2:$B$168,2,FALSE),"")</f>
        <v>4665180</v>
      </c>
    </row>
    <row r="372" spans="1:12" x14ac:dyDescent="0.2">
      <c r="A372">
        <f t="shared" si="11"/>
        <v>4604270</v>
      </c>
      <c r="B372">
        <v>2015</v>
      </c>
      <c r="C372" t="s">
        <v>208</v>
      </c>
      <c r="D372" t="s">
        <v>212</v>
      </c>
      <c r="E372" t="s">
        <v>211</v>
      </c>
      <c r="F372" s="3">
        <v>912103</v>
      </c>
      <c r="G372" s="3" t="s">
        <v>6</v>
      </c>
      <c r="H372" s="4">
        <v>75430</v>
      </c>
      <c r="I372" cm="1">
        <f t="array" ref="I372">_xlfn.IFS(B372=2015,H372/$O$10,B372=2016,H372/$O$11,B372=2017,H372/$O$12,B372=2018,H372/$O$13,B372=2019,H372/$O$14,B372=2020,H372/$O$15,B372=2021,H372/$O$16,B372=2022,H372/$O$17)</f>
        <v>1.7643298352291829E-3</v>
      </c>
      <c r="J372" s="6" cm="1">
        <f t="array" ref="J372">_xlfn.IFS(B372=2015,I372*$Q$1,B372=2016,I372*$Q$2,B372=2017,I372*$Q$3,B372=2018,I372*$Q$4,B372=2019,I372*$Q$5,B372=2020,I372*$Q$6,B372=2021,I372*$Q$7,B372=2022,I372*$Q$8)</f>
        <v>43388.672779080531</v>
      </c>
      <c r="K372" s="7">
        <f t="shared" si="12"/>
        <v>118818.67277908053</v>
      </c>
      <c r="L372">
        <f>IFERROR(VLOOKUP(G372,'LEAID Match'!$A$2:$B$168,2,FALSE),"")</f>
        <v>4604270</v>
      </c>
    </row>
    <row r="373" spans="1:12" x14ac:dyDescent="0.2">
      <c r="A373">
        <f t="shared" si="11"/>
        <v>4604270</v>
      </c>
      <c r="B373">
        <v>2016</v>
      </c>
      <c r="C373" t="s">
        <v>208</v>
      </c>
      <c r="D373" t="s">
        <v>212</v>
      </c>
      <c r="E373" t="s">
        <v>211</v>
      </c>
      <c r="F373" s="3">
        <v>912103</v>
      </c>
      <c r="G373" s="3" t="s">
        <v>6</v>
      </c>
      <c r="H373" s="4">
        <v>77170</v>
      </c>
      <c r="I373" cm="1">
        <f t="array" ref="I373">_xlfn.IFS(B373=2015,H373/$O$10,B373=2016,H373/$O$11,B373=2017,H373/$O$12,B373=2018,H373/$O$13,B373=2019,H373/$O$14,B373=2020,H373/$O$15,B373=2021,H373/$O$16,B373=2022,H373/$O$17)</f>
        <v>1.7503746225846866E-3</v>
      </c>
      <c r="J373" s="6" cm="1">
        <f t="array" ref="J373">_xlfn.IFS(B373=2015,I373*$Q$1,B373=2016,I373*$Q$2,B373=2017,I373*$Q$3,B373=2018,I373*$Q$4,B373=2019,I373*$Q$5,B373=2020,I373*$Q$6,B373=2021,I373*$Q$7,B373=2022,I373*$Q$8)</f>
        <v>44469.676338335143</v>
      </c>
      <c r="K373" s="7">
        <f t="shared" si="12"/>
        <v>121639.67633833515</v>
      </c>
      <c r="L373">
        <f>IFERROR(VLOOKUP(G373,'LEAID Match'!$A$2:$B$168,2,FALSE),"")</f>
        <v>4604270</v>
      </c>
    </row>
    <row r="374" spans="1:12" x14ac:dyDescent="0.2">
      <c r="A374">
        <f t="shared" si="11"/>
        <v>4604270</v>
      </c>
      <c r="B374">
        <v>2017</v>
      </c>
      <c r="C374" t="s">
        <v>208</v>
      </c>
      <c r="D374" t="s">
        <v>212</v>
      </c>
      <c r="E374" t="s">
        <v>211</v>
      </c>
      <c r="F374" s="3">
        <v>912103</v>
      </c>
      <c r="G374" s="3" t="s">
        <v>6</v>
      </c>
      <c r="H374" s="4">
        <v>86150</v>
      </c>
      <c r="I374" cm="1">
        <f t="array" ref="I374">_xlfn.IFS(B374=2015,H374/$O$10,B374=2016,H374/$O$11,B374=2017,H374/$O$12,B374=2018,H374/$O$13,B374=2019,H374/$O$14,B374=2020,H374/$O$15,B374=2021,H374/$O$16,B374=2022,H374/$O$17)</f>
        <v>1.7787209965759775E-3</v>
      </c>
      <c r="J374" s="6" cm="1">
        <f t="array" ref="J374">_xlfn.IFS(B374=2015,I374*$Q$1,B374=2016,I374*$Q$2,B374=2017,I374*$Q$3,B374=2018,I374*$Q$4,B374=2019,I374*$Q$5,B374=2020,I374*$Q$6,B374=2021,I374*$Q$7,B374=2022,I374*$Q$8)</f>
        <v>46790.205651943259</v>
      </c>
      <c r="K374" s="7">
        <f t="shared" si="12"/>
        <v>132940.20565194325</v>
      </c>
      <c r="L374">
        <f>IFERROR(VLOOKUP(G374,'LEAID Match'!$A$2:$B$168,2,FALSE),"")</f>
        <v>4604270</v>
      </c>
    </row>
    <row r="375" spans="1:12" x14ac:dyDescent="0.2">
      <c r="A375">
        <f t="shared" si="11"/>
        <v>4604270</v>
      </c>
      <c r="B375">
        <v>2018</v>
      </c>
      <c r="C375" t="s">
        <v>208</v>
      </c>
      <c r="D375" t="s">
        <v>212</v>
      </c>
      <c r="E375" t="s">
        <v>211</v>
      </c>
      <c r="F375" s="3">
        <v>912103</v>
      </c>
      <c r="G375" s="3" t="s">
        <v>6</v>
      </c>
      <c r="H375" s="4">
        <v>87194</v>
      </c>
      <c r="I375" cm="1">
        <f t="array" ref="I375">_xlfn.IFS(B375=2015,H375/$O$10,B375=2016,H375/$O$11,B375=2017,H375/$O$12,B375=2018,H375/$O$13,B375=2019,H375/$O$14,B375=2020,H375/$O$15,B375=2021,H375/$O$16,B375=2022,H375/$O$17)</f>
        <v>1.7388754469087786E-3</v>
      </c>
      <c r="J375" s="6" cm="1">
        <f t="array" ref="J375">_xlfn.IFS(B375=2015,I375*$Q$1,B375=2016,I375*$Q$2,B375=2017,I375*$Q$3,B375=2018,I375*$Q$4,B375=2019,I375*$Q$5,B375=2020,I375*$Q$6,B375=2021,I375*$Q$7,B375=2022,I375*$Q$8)</f>
        <v>45655.581608826535</v>
      </c>
      <c r="K375" s="7">
        <f t="shared" si="12"/>
        <v>132849.58160882653</v>
      </c>
      <c r="L375">
        <f>IFERROR(VLOOKUP(G375,'LEAID Match'!$A$2:$B$168,2,FALSE),"")</f>
        <v>4604270</v>
      </c>
    </row>
    <row r="376" spans="1:12" x14ac:dyDescent="0.2">
      <c r="A376">
        <f t="shared" si="11"/>
        <v>4604270</v>
      </c>
      <c r="B376">
        <v>2019</v>
      </c>
      <c r="C376" t="s">
        <v>208</v>
      </c>
      <c r="D376" t="s">
        <v>212</v>
      </c>
      <c r="E376" t="s">
        <v>211</v>
      </c>
      <c r="F376" s="3">
        <v>912103</v>
      </c>
      <c r="G376" s="3" t="s">
        <v>6</v>
      </c>
      <c r="H376" s="4">
        <v>83703</v>
      </c>
      <c r="I376" cm="1">
        <f t="array" ref="I376">_xlfn.IFS(B376=2015,H376/$O$10,B376=2016,H376/$O$11,B376=2017,H376/$O$12,B376=2018,H376/$O$13,B376=2019,H376/$O$14,B376=2020,H376/$O$15,B376=2021,H376/$O$16,B376=2022,H376/$O$17)</f>
        <v>1.6392840639391877E-3</v>
      </c>
      <c r="J376" s="6" cm="1">
        <f t="array" ref="J376">_xlfn.IFS(B376=2015,I376*$Q$1,B376=2016,I376*$Q$2,B376=2017,I376*$Q$3,B376=2018,I376*$Q$4,B376=2019,I376*$Q$5,B376=2020,I376*$Q$6,B376=2021,I376*$Q$7,B376=2022,I376*$Q$8)</f>
        <v>43354.891513248789</v>
      </c>
      <c r="K376" s="7">
        <f t="shared" si="12"/>
        <v>127057.89151324879</v>
      </c>
      <c r="L376">
        <f>IFERROR(VLOOKUP(G376,'LEAID Match'!$A$2:$B$168,2,FALSE),"")</f>
        <v>4604270</v>
      </c>
    </row>
    <row r="377" spans="1:12" x14ac:dyDescent="0.2">
      <c r="A377">
        <f t="shared" si="11"/>
        <v>4604270</v>
      </c>
      <c r="B377">
        <v>2020</v>
      </c>
      <c r="C377" t="s">
        <v>208</v>
      </c>
      <c r="D377" t="s">
        <v>212</v>
      </c>
      <c r="E377" t="s">
        <v>211</v>
      </c>
      <c r="F377" s="1">
        <v>912103</v>
      </c>
      <c r="G377" s="3" t="s">
        <v>6</v>
      </c>
      <c r="H377" s="2">
        <v>84548</v>
      </c>
      <c r="I377" cm="1">
        <f t="array" ref="I377">_xlfn.IFS(B377=2015,H377/$O$10,B377=2016,H377/$O$11,B377=2017,H377/$O$12,B377=2018,H377/$O$13,B377=2019,H377/$O$14,B377=2020,H377/$O$15,B377=2021,H377/$O$16,B377=2022,H377/$O$17)</f>
        <v>1.6013205117589139E-3</v>
      </c>
      <c r="J377" s="6" cm="1">
        <f t="array" ref="J377">_xlfn.IFS(B377=2015,I377*$Q$1,B377=2016,I377*$Q$2,B377=2017,I377*$Q$3,B377=2018,I377*$Q$4,B377=2019,I377*$Q$5,B377=2020,I377*$Q$6,B377=2021,I377*$Q$7,B377=2022,I377*$Q$8)</f>
        <v>43540.274619763084</v>
      </c>
      <c r="K377" s="7">
        <f t="shared" si="12"/>
        <v>128088.27461976308</v>
      </c>
      <c r="L377">
        <f>IFERROR(VLOOKUP(G377,'LEAID Match'!$A$2:$B$168,2,FALSE),"")</f>
        <v>4604270</v>
      </c>
    </row>
    <row r="378" spans="1:12" x14ac:dyDescent="0.2">
      <c r="A378">
        <f t="shared" si="11"/>
        <v>4604270</v>
      </c>
      <c r="B378">
        <v>2021</v>
      </c>
      <c r="C378" t="s">
        <v>208</v>
      </c>
      <c r="D378" t="s">
        <v>212</v>
      </c>
      <c r="E378" t="s">
        <v>211</v>
      </c>
      <c r="F378" s="3">
        <v>912103</v>
      </c>
      <c r="G378" s="3" t="s">
        <v>6</v>
      </c>
      <c r="H378" s="4">
        <v>89290</v>
      </c>
      <c r="I378" cm="1">
        <f t="array" ref="I378">_xlfn.IFS(B378=2015,H378/$O$10,B378=2016,H378/$O$11,B378=2017,H378/$O$12,B378=2018,H378/$O$13,B378=2019,H378/$O$14,B378=2020,H378/$O$15,B378=2021,H378/$O$16,B378=2022,H378/$O$17)</f>
        <v>1.6127174247064697E-3</v>
      </c>
      <c r="J378" s="6" cm="1">
        <f t="array" ref="J378">_xlfn.IFS(B378=2015,I378*$Q$1,B378=2016,I378*$Q$2,B378=2017,I378*$Q$3,B378=2018,I378*$Q$4,B378=2019,I378*$Q$5,B378=2020,I378*$Q$6,B378=2021,I378*$Q$7,B378=2022,I378*$Q$8)</f>
        <v>44895.364703881132</v>
      </c>
      <c r="K378" s="7">
        <f t="shared" si="12"/>
        <v>134185.36470388115</v>
      </c>
      <c r="L378">
        <f>IFERROR(VLOOKUP(G378,'LEAID Match'!$A$2:$B$168,2,FALSE),"")</f>
        <v>4604270</v>
      </c>
    </row>
    <row r="379" spans="1:12" x14ac:dyDescent="0.2">
      <c r="A379">
        <f t="shared" si="11"/>
        <v>4604270</v>
      </c>
      <c r="B379">
        <v>2022</v>
      </c>
      <c r="C379" t="s">
        <v>208</v>
      </c>
      <c r="D379" t="s">
        <v>212</v>
      </c>
      <c r="E379" t="s">
        <v>211</v>
      </c>
      <c r="F379" s="3">
        <v>912103</v>
      </c>
      <c r="G379" s="3" t="s">
        <v>6</v>
      </c>
      <c r="H379" s="4">
        <v>98415</v>
      </c>
      <c r="I379" cm="1">
        <f t="array" ref="I379">_xlfn.IFS(B379=2015,H379/$O$10,B379=2016,H379/$O$11,B379=2017,H379/$O$12,B379=2018,H379/$O$13,B379=2019,H379/$O$14,B379=2020,H379/$O$15,B379=2021,H379/$O$16,B379=2022,H379/$O$17)</f>
        <v>1.7044082441437908E-3</v>
      </c>
      <c r="J379" s="6" cm="1">
        <f t="array" ref="J379">_xlfn.IFS(B379=2015,I379*$Q$1,B379=2016,I379*$Q$2,B379=2017,I379*$Q$3,B379=2018,I379*$Q$4,B379=2019,I379*$Q$5,B379=2020,I379*$Q$6,B379=2021,I379*$Q$7,B379=2022,I379*$Q$8)</f>
        <v>50208.366017942608</v>
      </c>
      <c r="K379" s="7">
        <f t="shared" si="12"/>
        <v>148623.36601794261</v>
      </c>
      <c r="L379">
        <f>IFERROR(VLOOKUP(G379,'LEAID Match'!$A$2:$B$168,2,FALSE),"")</f>
        <v>4604270</v>
      </c>
    </row>
    <row r="380" spans="1:12" x14ac:dyDescent="0.2">
      <c r="A380">
        <f t="shared" si="11"/>
        <v>4680431</v>
      </c>
      <c r="B380">
        <v>2015</v>
      </c>
      <c r="C380" t="s">
        <v>208</v>
      </c>
      <c r="D380" t="s">
        <v>212</v>
      </c>
      <c r="E380" t="s">
        <v>211</v>
      </c>
      <c r="F380" s="3">
        <v>912104</v>
      </c>
      <c r="G380" s="3" t="s">
        <v>132</v>
      </c>
      <c r="H380" s="4">
        <v>59299</v>
      </c>
      <c r="I380" cm="1">
        <f t="array" ref="I380">_xlfn.IFS(B380=2015,H380/$O$10,B380=2016,H380/$O$11,B380=2017,H380/$O$12,B380=2018,H380/$O$13,B380=2019,H380/$O$14,B380=2020,H380/$O$15,B380=2021,H380/$O$16,B380=2022,H380/$O$17)</f>
        <v>1.3870210115239999E-3</v>
      </c>
      <c r="J380" s="6" cm="1">
        <f t="array" ref="J380">_xlfn.IFS(B380=2015,I380*$Q$1,B380=2016,I380*$Q$2,B380=2017,I380*$Q$3,B380=2018,I380*$Q$4,B380=2019,I380*$Q$5,B380=2020,I380*$Q$6,B380=2021,I380*$Q$7,B380=2022,I380*$Q$8)</f>
        <v>34109.835703654993</v>
      </c>
      <c r="K380" s="7">
        <f t="shared" si="12"/>
        <v>93408.835703655001</v>
      </c>
      <c r="L380">
        <f>IFERROR(VLOOKUP(G380,'LEAID Match'!$A$2:$B$168,2,FALSE),"")</f>
        <v>4680431</v>
      </c>
    </row>
    <row r="381" spans="1:12" x14ac:dyDescent="0.2">
      <c r="A381">
        <f t="shared" si="11"/>
        <v>4680431</v>
      </c>
      <c r="B381">
        <v>2016</v>
      </c>
      <c r="C381" t="s">
        <v>208</v>
      </c>
      <c r="D381" t="s">
        <v>212</v>
      </c>
      <c r="E381" t="s">
        <v>211</v>
      </c>
      <c r="F381" s="3">
        <v>912104</v>
      </c>
      <c r="G381" s="3" t="s">
        <v>132</v>
      </c>
      <c r="H381" s="4">
        <v>62688</v>
      </c>
      <c r="I381" cm="1">
        <f t="array" ref="I381">_xlfn.IFS(B381=2015,H381/$O$10,B381=2016,H381/$O$11,B381=2017,H381/$O$12,B381=2018,H381/$O$13,B381=2019,H381/$O$14,B381=2020,H381/$O$15,B381=2021,H381/$O$16,B381=2022,H381/$O$17)</f>
        <v>1.4218930198339878E-3</v>
      </c>
      <c r="J381" s="6" cm="1">
        <f t="array" ref="J381">_xlfn.IFS(B381=2015,I381*$Q$1,B381=2016,I381*$Q$2,B381=2017,I381*$Q$3,B381=2018,I381*$Q$4,B381=2019,I381*$Q$5,B381=2020,I381*$Q$6,B381=2021,I381*$Q$7,B381=2022,I381*$Q$8)</f>
        <v>36124.336792763424</v>
      </c>
      <c r="K381" s="7">
        <f t="shared" si="12"/>
        <v>98812.336792763424</v>
      </c>
      <c r="L381">
        <f>IFERROR(VLOOKUP(G381,'LEAID Match'!$A$2:$B$168,2,FALSE),"")</f>
        <v>4680431</v>
      </c>
    </row>
    <row r="382" spans="1:12" x14ac:dyDescent="0.2">
      <c r="A382">
        <f t="shared" si="11"/>
        <v>4680431</v>
      </c>
      <c r="B382">
        <v>2017</v>
      </c>
      <c r="C382" t="s">
        <v>208</v>
      </c>
      <c r="D382" t="s">
        <v>212</v>
      </c>
      <c r="E382" t="s">
        <v>211</v>
      </c>
      <c r="F382" s="3">
        <v>912104</v>
      </c>
      <c r="G382" s="3" t="s">
        <v>132</v>
      </c>
      <c r="H382" s="4">
        <v>67494</v>
      </c>
      <c r="I382" cm="1">
        <f t="array" ref="I382">_xlfn.IFS(B382=2015,H382/$O$10,B382=2016,H382/$O$11,B382=2017,H382/$O$12,B382=2018,H382/$O$13,B382=2019,H382/$O$14,B382=2020,H382/$O$15,B382=2021,H382/$O$16,B382=2022,H382/$O$17)</f>
        <v>1.3935344740905284E-3</v>
      </c>
      <c r="J382" s="6" cm="1">
        <f t="array" ref="J382">_xlfn.IFS(B382=2015,I382*$Q$1,B382=2016,I382*$Q$2,B382=2017,I382*$Q$3,B382=2018,I382*$Q$4,B382=2019,I382*$Q$5,B382=2020,I382*$Q$6,B382=2021,I382*$Q$7,B382=2022,I382*$Q$8)</f>
        <v>36657.668488360512</v>
      </c>
      <c r="K382" s="7">
        <f t="shared" si="12"/>
        <v>104151.6684883605</v>
      </c>
      <c r="L382">
        <f>IFERROR(VLOOKUP(G382,'LEAID Match'!$A$2:$B$168,2,FALSE),"")</f>
        <v>4680431</v>
      </c>
    </row>
    <row r="383" spans="1:12" x14ac:dyDescent="0.2">
      <c r="A383">
        <f t="shared" si="11"/>
        <v>4680431</v>
      </c>
      <c r="B383">
        <v>2018</v>
      </c>
      <c r="C383" t="s">
        <v>208</v>
      </c>
      <c r="D383" t="s">
        <v>212</v>
      </c>
      <c r="E383" t="s">
        <v>211</v>
      </c>
      <c r="F383" s="3">
        <v>912104</v>
      </c>
      <c r="G383" s="3" t="s">
        <v>132</v>
      </c>
      <c r="H383" s="4">
        <v>60420</v>
      </c>
      <c r="I383" cm="1">
        <f t="array" ref="I383">_xlfn.IFS(B383=2015,H383/$O$10,B383=2016,H383/$O$11,B383=2017,H383/$O$12,B383=2018,H383/$O$13,B383=2019,H383/$O$14,B383=2020,H383/$O$15,B383=2021,H383/$O$16,B383=2022,H383/$O$17)</f>
        <v>1.2049321570547103E-3</v>
      </c>
      <c r="J383" s="6" cm="1">
        <f t="array" ref="J383">_xlfn.IFS(B383=2015,I383*$Q$1,B383=2016,I383*$Q$2,B383=2017,I383*$Q$3,B383=2018,I383*$Q$4,B383=2019,I383*$Q$5,B383=2020,I383*$Q$6,B383=2021,I383*$Q$7,B383=2022,I383*$Q$8)</f>
        <v>31636.468573586477</v>
      </c>
      <c r="K383" s="7">
        <f t="shared" si="12"/>
        <v>92056.468573586477</v>
      </c>
      <c r="L383">
        <f>IFERROR(VLOOKUP(G383,'LEAID Match'!$A$2:$B$168,2,FALSE),"")</f>
        <v>4680431</v>
      </c>
    </row>
    <row r="384" spans="1:12" x14ac:dyDescent="0.2">
      <c r="A384">
        <f t="shared" si="11"/>
        <v>4680431</v>
      </c>
      <c r="B384">
        <v>2019</v>
      </c>
      <c r="C384" t="s">
        <v>208</v>
      </c>
      <c r="D384" t="s">
        <v>212</v>
      </c>
      <c r="E384" t="s">
        <v>211</v>
      </c>
      <c r="F384" s="3">
        <v>912104</v>
      </c>
      <c r="G384" s="3" t="s">
        <v>132</v>
      </c>
      <c r="H384" s="4">
        <v>55736</v>
      </c>
      <c r="I384" cm="1">
        <f t="array" ref="I384">_xlfn.IFS(B384=2015,H384/$O$10,B384=2016,H384/$O$11,B384=2017,H384/$O$12,B384=2018,H384/$O$13,B384=2019,H384/$O$14,B384=2020,H384/$O$15,B384=2021,H384/$O$16,B384=2022,H384/$O$17)</f>
        <v>1.0915634635283629E-3</v>
      </c>
      <c r="J384" s="6" cm="1">
        <f t="array" ref="J384">_xlfn.IFS(B384=2015,I384*$Q$1,B384=2016,I384*$Q$2,B384=2017,I384*$Q$3,B384=2018,I384*$Q$4,B384=2019,I384*$Q$5,B384=2020,I384*$Q$6,B384=2021,I384*$Q$7,B384=2022,I384*$Q$8)</f>
        <v>28869.075581310517</v>
      </c>
      <c r="K384" s="7">
        <f t="shared" si="12"/>
        <v>84605.075581310521</v>
      </c>
      <c r="L384">
        <f>IFERROR(VLOOKUP(G384,'LEAID Match'!$A$2:$B$168,2,FALSE),"")</f>
        <v>4680431</v>
      </c>
    </row>
    <row r="385" spans="1:12" x14ac:dyDescent="0.2">
      <c r="A385">
        <f t="shared" si="11"/>
        <v>4680431</v>
      </c>
      <c r="B385">
        <v>2020</v>
      </c>
      <c r="C385" t="s">
        <v>208</v>
      </c>
      <c r="D385" t="s">
        <v>212</v>
      </c>
      <c r="E385" t="s">
        <v>211</v>
      </c>
      <c r="F385" s="1">
        <v>912104</v>
      </c>
      <c r="G385" s="3" t="s">
        <v>132</v>
      </c>
      <c r="H385" s="2">
        <v>59345</v>
      </c>
      <c r="I385" cm="1">
        <f t="array" ref="I385">_xlfn.IFS(B385=2015,H385/$O$10,B385=2016,H385/$O$11,B385=2017,H385/$O$12,B385=2018,H385/$O$13,B385=2019,H385/$O$14,B385=2020,H385/$O$15,B385=2021,H385/$O$16,B385=2022,H385/$O$17)</f>
        <v>1.1239812387085768E-3</v>
      </c>
      <c r="J385" s="6" cm="1">
        <f t="array" ref="J385">_xlfn.IFS(B385=2015,I385*$Q$1,B385=2016,I385*$Q$2,B385=2017,I385*$Q$3,B385=2018,I385*$Q$4,B385=2019,I385*$Q$5,B385=2020,I385*$Q$6,B385=2021,I385*$Q$7,B385=2022,I385*$Q$8)</f>
        <v>30561.309520152347</v>
      </c>
      <c r="K385" s="7">
        <f t="shared" si="12"/>
        <v>89906.309520152339</v>
      </c>
      <c r="L385">
        <f>IFERROR(VLOOKUP(G385,'LEAID Match'!$A$2:$B$168,2,FALSE),"")</f>
        <v>4680431</v>
      </c>
    </row>
    <row r="386" spans="1:12" x14ac:dyDescent="0.2">
      <c r="A386">
        <f t="shared" si="11"/>
        <v>4680431</v>
      </c>
      <c r="B386">
        <v>2021</v>
      </c>
      <c r="C386" t="s">
        <v>208</v>
      </c>
      <c r="D386" t="s">
        <v>212</v>
      </c>
      <c r="E386" t="s">
        <v>211</v>
      </c>
      <c r="F386" s="3">
        <v>912104</v>
      </c>
      <c r="G386" s="3" t="s">
        <v>132</v>
      </c>
      <c r="H386" s="4">
        <v>60338</v>
      </c>
      <c r="I386" cm="1">
        <f t="array" ref="I386">_xlfn.IFS(B386=2015,H386/$O$10,B386=2016,H386/$O$11,B386=2017,H386/$O$12,B386=2018,H386/$O$13,B386=2019,H386/$O$14,B386=2020,H386/$O$15,B386=2021,H386/$O$16,B386=2022,H386/$O$17)</f>
        <v>1.0897989021384138E-3</v>
      </c>
      <c r="J386" s="6" cm="1">
        <f t="array" ref="J386">_xlfn.IFS(B386=2015,I386*$Q$1,B386=2016,I386*$Q$2,B386=2017,I386*$Q$3,B386=2018,I386*$Q$4,B386=2019,I386*$Q$5,B386=2020,I386*$Q$6,B386=2021,I386*$Q$7,B386=2022,I386*$Q$8)</f>
        <v>30338.184740763576</v>
      </c>
      <c r="K386" s="7">
        <f t="shared" si="12"/>
        <v>90676.18474076358</v>
      </c>
      <c r="L386">
        <f>IFERROR(VLOOKUP(G386,'LEAID Match'!$A$2:$B$168,2,FALSE),"")</f>
        <v>4680431</v>
      </c>
    </row>
    <row r="387" spans="1:12" x14ac:dyDescent="0.2">
      <c r="A387">
        <f t="shared" ref="A387:A450" si="13">L387</f>
        <v>4680431</v>
      </c>
      <c r="B387">
        <v>2022</v>
      </c>
      <c r="C387" t="s">
        <v>208</v>
      </c>
      <c r="D387" t="s">
        <v>212</v>
      </c>
      <c r="E387" t="s">
        <v>211</v>
      </c>
      <c r="F387" s="3">
        <v>912104</v>
      </c>
      <c r="G387" s="3" t="s">
        <v>132</v>
      </c>
      <c r="H387" s="4">
        <v>74406</v>
      </c>
      <c r="I387" cm="1">
        <f t="array" ref="I387">_xlfn.IFS(B387=2015,H387/$O$10,B387=2016,H387/$O$11,B387=2017,H387/$O$12,B387=2018,H387/$O$13,B387=2019,H387/$O$14,B387=2020,H387/$O$15,B387=2021,H387/$O$16,B387=2022,H387/$O$17)</f>
        <v>1.2886064097318792E-3</v>
      </c>
      <c r="J387" s="6" cm="1">
        <f t="array" ref="J387">_xlfn.IFS(B387=2015,I387*$Q$1,B387=2016,I387*$Q$2,B387=2017,I387*$Q$3,B387=2018,I387*$Q$4,B387=2019,I387*$Q$5,B387=2020,I387*$Q$6,B387=2021,I387*$Q$7,B387=2022,I387*$Q$8)</f>
        <v>37959.698033135573</v>
      </c>
      <c r="K387" s="7">
        <f t="shared" ref="K387:K450" si="14">SUM(J387,H387)</f>
        <v>112365.69803313557</v>
      </c>
      <c r="L387">
        <f>IFERROR(VLOOKUP(G387,'LEAID Match'!$A$2:$B$168,2,FALSE),"")</f>
        <v>4680431</v>
      </c>
    </row>
    <row r="388" spans="1:12" x14ac:dyDescent="0.2">
      <c r="A388">
        <f t="shared" si="13"/>
        <v>4607400</v>
      </c>
      <c r="B388">
        <v>2015</v>
      </c>
      <c r="C388" t="s">
        <v>208</v>
      </c>
      <c r="D388" t="s">
        <v>212</v>
      </c>
      <c r="E388" t="s">
        <v>211</v>
      </c>
      <c r="F388" s="3">
        <v>912172</v>
      </c>
      <c r="G388" s="3" t="s">
        <v>13</v>
      </c>
      <c r="H388" s="4">
        <v>165219</v>
      </c>
      <c r="I388" cm="1">
        <f t="array" ref="I388">_xlfn.IFS(B388=2015,H388/$O$10,B388=2016,H388/$O$11,B388=2017,H388/$O$12,B388=2018,H388/$O$13,B388=2019,H388/$O$14,B388=2020,H388/$O$15,B388=2021,H388/$O$16,B388=2022,H388/$O$17)</f>
        <v>3.8645208941632024E-3</v>
      </c>
      <c r="J388" s="6" cm="1">
        <f t="array" ref="J388">_xlfn.IFS(B388=2015,I388*$Q$1,B388=2016,I388*$Q$2,B388=2017,I388*$Q$3,B388=2018,I388*$Q$4,B388=2019,I388*$Q$5,B388=2020,I388*$Q$6,B388=2021,I388*$Q$7,B388=2022,I388*$Q$8)</f>
        <v>95036.896830000071</v>
      </c>
      <c r="K388" s="7">
        <f t="shared" si="14"/>
        <v>260255.89683000007</v>
      </c>
      <c r="L388">
        <f>IFERROR(VLOOKUP(G388,'LEAID Match'!$A$2:$B$168,2,FALSE),"")</f>
        <v>4607400</v>
      </c>
    </row>
    <row r="389" spans="1:12" x14ac:dyDescent="0.2">
      <c r="A389">
        <f t="shared" si="13"/>
        <v>4607400</v>
      </c>
      <c r="B389">
        <v>2016</v>
      </c>
      <c r="C389" t="s">
        <v>208</v>
      </c>
      <c r="D389" t="s">
        <v>212</v>
      </c>
      <c r="E389" t="s">
        <v>211</v>
      </c>
      <c r="F389" s="3">
        <v>912172</v>
      </c>
      <c r="G389" s="3" t="s">
        <v>13</v>
      </c>
      <c r="H389" s="4">
        <v>164966</v>
      </c>
      <c r="I389" cm="1">
        <f t="array" ref="I389">_xlfn.IFS(B389=2015,H389/$O$10,B389=2016,H389/$O$11,B389=2017,H389/$O$12,B389=2018,H389/$O$13,B389=2019,H389/$O$14,B389=2020,H389/$O$15,B389=2021,H389/$O$16,B389=2022,H389/$O$17)</f>
        <v>3.7417688219425348E-3</v>
      </c>
      <c r="J389" s="6" cm="1">
        <f t="array" ref="J389">_xlfn.IFS(B389=2015,I389*$Q$1,B389=2016,I389*$Q$2,B389=2017,I389*$Q$3,B389=2018,I389*$Q$4,B389=2019,I389*$Q$5,B389=2020,I389*$Q$6,B389=2021,I389*$Q$7,B389=2022,I389*$Q$8)</f>
        <v>95062.649045351762</v>
      </c>
      <c r="K389" s="7">
        <f t="shared" si="14"/>
        <v>260028.64904535178</v>
      </c>
      <c r="L389">
        <f>IFERROR(VLOOKUP(G389,'LEAID Match'!$A$2:$B$168,2,FALSE),"")</f>
        <v>4607400</v>
      </c>
    </row>
    <row r="390" spans="1:12" x14ac:dyDescent="0.2">
      <c r="A390">
        <f t="shared" si="13"/>
        <v>4607400</v>
      </c>
      <c r="B390">
        <v>2017</v>
      </c>
      <c r="C390" t="s">
        <v>208</v>
      </c>
      <c r="D390" t="s">
        <v>212</v>
      </c>
      <c r="E390" t="s">
        <v>211</v>
      </c>
      <c r="F390" s="3">
        <v>912172</v>
      </c>
      <c r="G390" s="3" t="s">
        <v>13</v>
      </c>
      <c r="H390" s="4">
        <v>172952</v>
      </c>
      <c r="I390" cm="1">
        <f t="array" ref="I390">_xlfn.IFS(B390=2015,H390/$O$10,B390=2016,H390/$O$11,B390=2017,H390/$O$12,B390=2018,H390/$O$13,B390=2019,H390/$O$14,B390=2020,H390/$O$15,B390=2021,H390/$O$16,B390=2022,H390/$O$17)</f>
        <v>3.5709037005201213E-3</v>
      </c>
      <c r="J390" s="6" cm="1">
        <f t="array" ref="J390">_xlfn.IFS(B390=2015,I390*$Q$1,B390=2016,I390*$Q$2,B390=2017,I390*$Q$3,B390=2018,I390*$Q$4,B390=2019,I390*$Q$5,B390=2020,I390*$Q$6,B390=2021,I390*$Q$7,B390=2022,I390*$Q$8)</f>
        <v>93934.528704757875</v>
      </c>
      <c r="K390" s="7">
        <f t="shared" si="14"/>
        <v>266886.52870475786</v>
      </c>
      <c r="L390">
        <f>IFERROR(VLOOKUP(G390,'LEAID Match'!$A$2:$B$168,2,FALSE),"")</f>
        <v>4607400</v>
      </c>
    </row>
    <row r="391" spans="1:12" x14ac:dyDescent="0.2">
      <c r="A391">
        <f t="shared" si="13"/>
        <v>4607400</v>
      </c>
      <c r="B391">
        <v>2018</v>
      </c>
      <c r="C391" t="s">
        <v>208</v>
      </c>
      <c r="D391" t="s">
        <v>212</v>
      </c>
      <c r="E391" t="s">
        <v>211</v>
      </c>
      <c r="F391" s="3">
        <v>912172</v>
      </c>
      <c r="G391" s="3" t="s">
        <v>13</v>
      </c>
      <c r="H391" s="4">
        <v>184275</v>
      </c>
      <c r="I391" cm="1">
        <f t="array" ref="I391">_xlfn.IFS(B391=2015,H391/$O$10,B391=2016,H391/$O$11,B391=2017,H391/$O$12,B391=2018,H391/$O$13,B391=2019,H391/$O$14,B391=2020,H391/$O$15,B391=2021,H391/$O$16,B391=2022,H391/$O$17)</f>
        <v>3.6749234233905449E-3</v>
      </c>
      <c r="J391" s="6" cm="1">
        <f t="array" ref="J391">_xlfn.IFS(B391=2015,I391*$Q$1,B391=2016,I391*$Q$2,B391=2017,I391*$Q$3,B391=2018,I391*$Q$4,B391=2019,I391*$Q$5,B391=2020,I391*$Q$6,B391=2021,I391*$Q$7,B391=2022,I391*$Q$8)</f>
        <v>96488.087494168285</v>
      </c>
      <c r="K391" s="7">
        <f t="shared" si="14"/>
        <v>280763.08749416831</v>
      </c>
      <c r="L391">
        <f>IFERROR(VLOOKUP(G391,'LEAID Match'!$A$2:$B$168,2,FALSE),"")</f>
        <v>4607400</v>
      </c>
    </row>
    <row r="392" spans="1:12" x14ac:dyDescent="0.2">
      <c r="A392">
        <f t="shared" si="13"/>
        <v>4607400</v>
      </c>
      <c r="B392">
        <v>2019</v>
      </c>
      <c r="C392" t="s">
        <v>208</v>
      </c>
      <c r="D392" t="s">
        <v>212</v>
      </c>
      <c r="E392" t="s">
        <v>211</v>
      </c>
      <c r="F392" s="3">
        <v>912172</v>
      </c>
      <c r="G392" s="3" t="s">
        <v>13</v>
      </c>
      <c r="H392" s="4">
        <v>186156</v>
      </c>
      <c r="I392" cm="1">
        <f t="array" ref="I392">_xlfn.IFS(B392=2015,H392/$O$10,B392=2016,H392/$O$11,B392=2017,H392/$O$12,B392=2018,H392/$O$13,B392=2019,H392/$O$14,B392=2020,H392/$O$15,B392=2021,H392/$O$16,B392=2022,H392/$O$17)</f>
        <v>3.6457780988335357E-3</v>
      </c>
      <c r="J392" s="6" cm="1">
        <f t="array" ref="J392">_xlfn.IFS(B392=2015,I392*$Q$1,B392=2016,I392*$Q$2,B392=2017,I392*$Q$3,B392=2018,I392*$Q$4,B392=2019,I392*$Q$5,B392=2020,I392*$Q$6,B392=2021,I392*$Q$7,B392=2022,I392*$Q$8)</f>
        <v>96421.552208885492</v>
      </c>
      <c r="K392" s="7">
        <f t="shared" si="14"/>
        <v>282577.55220888549</v>
      </c>
      <c r="L392">
        <f>IFERROR(VLOOKUP(G392,'LEAID Match'!$A$2:$B$168,2,FALSE),"")</f>
        <v>4607400</v>
      </c>
    </row>
    <row r="393" spans="1:12" x14ac:dyDescent="0.2">
      <c r="A393">
        <f t="shared" si="13"/>
        <v>4607400</v>
      </c>
      <c r="B393">
        <v>2020</v>
      </c>
      <c r="C393" t="s">
        <v>208</v>
      </c>
      <c r="D393" t="s">
        <v>212</v>
      </c>
      <c r="E393" t="s">
        <v>211</v>
      </c>
      <c r="F393" s="1">
        <v>912172</v>
      </c>
      <c r="G393" s="3" t="s">
        <v>13</v>
      </c>
      <c r="H393" s="2">
        <v>184186</v>
      </c>
      <c r="I393" cm="1">
        <f t="array" ref="I393">_xlfn.IFS(B393=2015,H393/$O$10,B393=2016,H393/$O$11,B393=2017,H393/$O$12,B393=2018,H393/$O$13,B393=2019,H393/$O$14,B393=2020,H393/$O$15,B393=2021,H393/$O$16,B393=2022,H393/$O$17)</f>
        <v>3.4884423023469192E-3</v>
      </c>
      <c r="J393" s="6" cm="1">
        <f t="array" ref="J393">_xlfn.IFS(B393=2015,I393*$Q$1,B393=2016,I393*$Q$2,B393=2017,I393*$Q$3,B393=2018,I393*$Q$4,B393=2019,I393*$Q$5,B393=2020,I393*$Q$6,B393=2021,I393*$Q$7,B393=2022,I393*$Q$8)</f>
        <v>94851.552030984574</v>
      </c>
      <c r="K393" s="7">
        <f t="shared" si="14"/>
        <v>279037.55203098455</v>
      </c>
      <c r="L393">
        <f>IFERROR(VLOOKUP(G393,'LEAID Match'!$A$2:$B$168,2,FALSE),"")</f>
        <v>4607400</v>
      </c>
    </row>
    <row r="394" spans="1:12" x14ac:dyDescent="0.2">
      <c r="A394">
        <f t="shared" si="13"/>
        <v>4607400</v>
      </c>
      <c r="B394">
        <v>2021</v>
      </c>
      <c r="C394" t="s">
        <v>208</v>
      </c>
      <c r="D394" t="s">
        <v>212</v>
      </c>
      <c r="E394" t="s">
        <v>211</v>
      </c>
      <c r="F394" s="3">
        <v>912172</v>
      </c>
      <c r="G394" s="3" t="s">
        <v>13</v>
      </c>
      <c r="H394" s="4">
        <v>189335</v>
      </c>
      <c r="I394" cm="1">
        <f t="array" ref="I394">_xlfn.IFS(B394=2015,H394/$O$10,B394=2016,H394/$O$11,B394=2017,H394/$O$12,B394=2018,H394/$O$13,B394=2019,H394/$O$14,B394=2020,H394/$O$15,B394=2021,H394/$O$16,B394=2022,H394/$O$17)</f>
        <v>3.4196870154194138E-3</v>
      </c>
      <c r="J394" s="6" cm="1">
        <f t="array" ref="J394">_xlfn.IFS(B394=2015,I394*$Q$1,B394=2016,I394*$Q$2,B394=2017,I394*$Q$3,B394=2018,I394*$Q$4,B394=2019,I394*$Q$5,B394=2020,I394*$Q$6,B394=2021,I394*$Q$7,B394=2022,I394*$Q$8)</f>
        <v>95198.385891021782</v>
      </c>
      <c r="K394" s="7">
        <f t="shared" si="14"/>
        <v>284533.38589102181</v>
      </c>
      <c r="L394">
        <f>IFERROR(VLOOKUP(G394,'LEAID Match'!$A$2:$B$168,2,FALSE),"")</f>
        <v>4607400</v>
      </c>
    </row>
    <row r="395" spans="1:12" x14ac:dyDescent="0.2">
      <c r="A395">
        <f t="shared" si="13"/>
        <v>4607400</v>
      </c>
      <c r="B395">
        <v>2022</v>
      </c>
      <c r="C395" t="s">
        <v>208</v>
      </c>
      <c r="D395" t="s">
        <v>212</v>
      </c>
      <c r="E395" t="s">
        <v>211</v>
      </c>
      <c r="F395" s="3">
        <v>912172</v>
      </c>
      <c r="G395" s="3" t="s">
        <v>13</v>
      </c>
      <c r="H395" s="4">
        <v>198750</v>
      </c>
      <c r="I395" cm="1">
        <f t="array" ref="I395">_xlfn.IFS(B395=2015,H395/$O$10,B395=2016,H395/$O$11,B395=2017,H395/$O$12,B395=2018,H395/$O$13,B395=2019,H395/$O$14,B395=2020,H395/$O$15,B395=2021,H395/$O$16,B395=2022,H395/$O$17)</f>
        <v>3.4420681656615192E-3</v>
      </c>
      <c r="J395" s="6" cm="1">
        <f t="array" ref="J395">_xlfn.IFS(B395=2015,I395*$Q$1,B395=2016,I395*$Q$2,B395=2017,I395*$Q$3,B395=2018,I395*$Q$4,B395=2019,I395*$Q$5,B395=2020,I395*$Q$6,B395=2021,I395*$Q$7,B395=2022,I395*$Q$8)</f>
        <v>101396.25815237609</v>
      </c>
      <c r="K395" s="7">
        <f t="shared" si="14"/>
        <v>300146.2581523761</v>
      </c>
      <c r="L395">
        <f>IFERROR(VLOOKUP(G395,'LEAID Match'!$A$2:$B$168,2,FALSE),"")</f>
        <v>4607400</v>
      </c>
    </row>
    <row r="396" spans="1:12" x14ac:dyDescent="0.2">
      <c r="A396">
        <f t="shared" si="13"/>
        <v>4612000</v>
      </c>
      <c r="B396">
        <v>2015</v>
      </c>
      <c r="C396" t="s">
        <v>208</v>
      </c>
      <c r="D396" t="s">
        <v>212</v>
      </c>
      <c r="E396" t="s">
        <v>211</v>
      </c>
      <c r="F396" s="3">
        <v>913100</v>
      </c>
      <c r="G396" s="3" t="s">
        <v>24</v>
      </c>
      <c r="H396" s="4">
        <v>310602</v>
      </c>
      <c r="I396" cm="1">
        <f t="array" ref="I396">_xlfn.IFS(B396=2015,H396/$O$10,B396=2016,H396/$O$11,B396=2017,H396/$O$12,B396=2018,H396/$O$13,B396=2019,H396/$O$14,B396=2020,H396/$O$15,B396=2021,H396/$O$16,B396=2022,H396/$O$17)</f>
        <v>7.2650719273744486E-3</v>
      </c>
      <c r="J396" s="6" cm="1">
        <f t="array" ref="J396">_xlfn.IFS(B396=2015,I396*$Q$1,B396=2016,I396*$Q$2,B396=2017,I396*$Q$3,B396=2018,I396*$Q$4,B396=2019,I396*$Q$5,B396=2020,I396*$Q$6,B396=2021,I396*$Q$7,B396=2022,I396*$Q$8)</f>
        <v>178663.77492414118</v>
      </c>
      <c r="K396" s="7">
        <f t="shared" si="14"/>
        <v>489265.77492414118</v>
      </c>
      <c r="L396">
        <f>IFERROR(VLOOKUP(G396,'LEAID Match'!$A$2:$B$168,2,FALSE),"")</f>
        <v>4612000</v>
      </c>
    </row>
    <row r="397" spans="1:12" x14ac:dyDescent="0.2">
      <c r="A397">
        <f t="shared" si="13"/>
        <v>4612000</v>
      </c>
      <c r="B397">
        <v>2016</v>
      </c>
      <c r="C397" t="s">
        <v>208</v>
      </c>
      <c r="D397" t="s">
        <v>212</v>
      </c>
      <c r="E397" t="s">
        <v>211</v>
      </c>
      <c r="F397" s="3">
        <v>913100</v>
      </c>
      <c r="G397" s="3" t="s">
        <v>24</v>
      </c>
      <c r="H397" s="4">
        <v>310183</v>
      </c>
      <c r="I397" cm="1">
        <f t="array" ref="I397">_xlfn.IFS(B397=2015,H397/$O$10,B397=2016,H397/$O$11,B397=2017,H397/$O$12,B397=2018,H397/$O$13,B397=2019,H397/$O$14,B397=2020,H397/$O$15,B397=2021,H397/$O$16,B397=2022,H397/$O$17)</f>
        <v>7.0355896275390156E-3</v>
      </c>
      <c r="J397" s="6" cm="1">
        <f t="array" ref="J397">_xlfn.IFS(B397=2015,I397*$Q$1,B397=2016,I397*$Q$2,B397=2017,I397*$Q$3,B397=2018,I397*$Q$4,B397=2019,I397*$Q$5,B397=2020,I397*$Q$6,B397=2021,I397*$Q$7,B397=2022,I397*$Q$8)</f>
        <v>178744.81813727887</v>
      </c>
      <c r="K397" s="7">
        <f t="shared" si="14"/>
        <v>488927.8181372789</v>
      </c>
      <c r="L397">
        <f>IFERROR(VLOOKUP(G397,'LEAID Match'!$A$2:$B$168,2,FALSE),"")</f>
        <v>4612000</v>
      </c>
    </row>
    <row r="398" spans="1:12" x14ac:dyDescent="0.2">
      <c r="A398">
        <f t="shared" si="13"/>
        <v>4612000</v>
      </c>
      <c r="B398">
        <v>2017</v>
      </c>
      <c r="C398" t="s">
        <v>208</v>
      </c>
      <c r="D398" t="s">
        <v>212</v>
      </c>
      <c r="E398" t="s">
        <v>211</v>
      </c>
      <c r="F398" s="3">
        <v>913100</v>
      </c>
      <c r="G398" s="3" t="s">
        <v>24</v>
      </c>
      <c r="H398" s="4">
        <v>340656</v>
      </c>
      <c r="I398" cm="1">
        <f t="array" ref="I398">_xlfn.IFS(B398=2015,H398/$O$10,B398=2016,H398/$O$11,B398=2017,H398/$O$12,B398=2018,H398/$O$13,B398=2019,H398/$O$14,B398=2020,H398/$O$15,B398=2021,H398/$O$16,B398=2022,H398/$O$17)</f>
        <v>7.0334530448007684E-3</v>
      </c>
      <c r="J398" s="6" cm="1">
        <f t="array" ref="J398">_xlfn.IFS(B398=2015,I398*$Q$1,B398=2016,I398*$Q$2,B398=2017,I398*$Q$3,B398=2018,I398*$Q$4,B398=2019,I398*$Q$5,B398=2020,I398*$Q$6,B398=2021,I398*$Q$7,B398=2022,I398*$Q$8)</f>
        <v>185018.73820741015</v>
      </c>
      <c r="K398" s="7">
        <f t="shared" si="14"/>
        <v>525674.73820741009</v>
      </c>
      <c r="L398">
        <f>IFERROR(VLOOKUP(G398,'LEAID Match'!$A$2:$B$168,2,FALSE),"")</f>
        <v>4612000</v>
      </c>
    </row>
    <row r="399" spans="1:12" x14ac:dyDescent="0.2">
      <c r="A399">
        <f t="shared" si="13"/>
        <v>4612000</v>
      </c>
      <c r="B399">
        <v>2018</v>
      </c>
      <c r="C399" t="s">
        <v>208</v>
      </c>
      <c r="D399" t="s">
        <v>212</v>
      </c>
      <c r="E399" t="s">
        <v>211</v>
      </c>
      <c r="F399" s="3">
        <v>913100</v>
      </c>
      <c r="G399" s="3" t="s">
        <v>24</v>
      </c>
      <c r="H399" s="4">
        <v>361692</v>
      </c>
      <c r="I399" cm="1">
        <f t="array" ref="I399">_xlfn.IFS(B399=2015,H399/$O$10,B399=2016,H399/$O$11,B399=2017,H399/$O$12,B399=2018,H399/$O$13,B399=2019,H399/$O$14,B399=2020,H399/$O$15,B399=2021,H399/$O$16,B399=2022,H399/$O$17)</f>
        <v>7.2130804658959331E-3</v>
      </c>
      <c r="J399" s="6" cm="1">
        <f t="array" ref="J399">_xlfn.IFS(B399=2015,I399*$Q$1,B399=2016,I399*$Q$2,B399=2017,I399*$Q$3,B399=2018,I399*$Q$4,B399=2019,I399*$Q$5,B399=2020,I399*$Q$6,B399=2021,I399*$Q$7,B399=2022,I399*$Q$8)</f>
        <v>189385.26301419464</v>
      </c>
      <c r="K399" s="7">
        <f t="shared" si="14"/>
        <v>551077.26301419467</v>
      </c>
      <c r="L399">
        <f>IFERROR(VLOOKUP(G399,'LEAID Match'!$A$2:$B$168,2,FALSE),"")</f>
        <v>4612000</v>
      </c>
    </row>
    <row r="400" spans="1:12" x14ac:dyDescent="0.2">
      <c r="A400">
        <f t="shared" si="13"/>
        <v>4612000</v>
      </c>
      <c r="B400">
        <v>2019</v>
      </c>
      <c r="C400" t="s">
        <v>208</v>
      </c>
      <c r="D400" t="s">
        <v>212</v>
      </c>
      <c r="E400" t="s">
        <v>211</v>
      </c>
      <c r="F400" s="3">
        <v>913100</v>
      </c>
      <c r="G400" s="3" t="s">
        <v>24</v>
      </c>
      <c r="H400" s="4">
        <v>370234</v>
      </c>
      <c r="I400" cm="1">
        <f t="array" ref="I400">_xlfn.IFS(B400=2015,H400/$O$10,B400=2016,H400/$O$11,B400=2017,H400/$O$12,B400=2018,H400/$O$13,B400=2019,H400/$O$14,B400=2020,H400/$O$15,B400=2021,H400/$O$16,B400=2022,H400/$O$17)</f>
        <v>7.2508595406193472E-3</v>
      </c>
      <c r="J400" s="6" cm="1">
        <f t="array" ref="J400">_xlfn.IFS(B400=2015,I400*$Q$1,B400=2016,I400*$Q$2,B400=2017,I400*$Q$3,B400=2018,I400*$Q$4,B400=2019,I400*$Q$5,B400=2020,I400*$Q$6,B400=2021,I400*$Q$7,B400=2022,I400*$Q$8)</f>
        <v>191766.78141185085</v>
      </c>
      <c r="K400" s="7">
        <f t="shared" si="14"/>
        <v>562000.78141185082</v>
      </c>
      <c r="L400">
        <f>IFERROR(VLOOKUP(G400,'LEAID Match'!$A$2:$B$168,2,FALSE),"")</f>
        <v>4612000</v>
      </c>
    </row>
    <row r="401" spans="1:12" x14ac:dyDescent="0.2">
      <c r="A401">
        <f t="shared" si="13"/>
        <v>4612000</v>
      </c>
      <c r="B401">
        <v>2020</v>
      </c>
      <c r="C401" t="s">
        <v>208</v>
      </c>
      <c r="D401" t="s">
        <v>212</v>
      </c>
      <c r="E401" t="s">
        <v>211</v>
      </c>
      <c r="F401" s="1">
        <v>913100</v>
      </c>
      <c r="G401" s="3" t="s">
        <v>24</v>
      </c>
      <c r="H401" s="2">
        <v>382136</v>
      </c>
      <c r="I401" cm="1">
        <f t="array" ref="I401">_xlfn.IFS(B401=2015,H401/$O$10,B401=2016,H401/$O$11,B401=2017,H401/$O$12,B401=2018,H401/$O$13,B401=2019,H401/$O$14,B401=2020,H401/$O$15,B401=2021,H401/$O$16,B401=2022,H401/$O$17)</f>
        <v>7.2375717353633951E-3</v>
      </c>
      <c r="J401" s="6" cm="1">
        <f t="array" ref="J401">_xlfn.IFS(B401=2015,I401*$Q$1,B401=2016,I401*$Q$2,B401=2017,I401*$Q$3,B401=2018,I401*$Q$4,B401=2019,I401*$Q$5,B401=2020,I401*$Q$6,B401=2021,I401*$Q$7,B401=2022,I401*$Q$8)</f>
        <v>196791.24736360158</v>
      </c>
      <c r="K401" s="7">
        <f t="shared" si="14"/>
        <v>578927.24736360158</v>
      </c>
      <c r="L401">
        <f>IFERROR(VLOOKUP(G401,'LEAID Match'!$A$2:$B$168,2,FALSE),"")</f>
        <v>4612000</v>
      </c>
    </row>
    <row r="402" spans="1:12" x14ac:dyDescent="0.2">
      <c r="A402">
        <f t="shared" si="13"/>
        <v>4612000</v>
      </c>
      <c r="B402">
        <v>2021</v>
      </c>
      <c r="C402" t="s">
        <v>208</v>
      </c>
      <c r="D402" t="s">
        <v>212</v>
      </c>
      <c r="E402" t="s">
        <v>211</v>
      </c>
      <c r="F402" s="3">
        <v>913100</v>
      </c>
      <c r="G402" s="3" t="s">
        <v>24</v>
      </c>
      <c r="H402" s="4">
        <v>382093</v>
      </c>
      <c r="I402" cm="1">
        <f t="array" ref="I402">_xlfn.IFS(B402=2015,H402/$O$10,B402=2016,H402/$O$11,B402=2017,H402/$O$12,B402=2018,H402/$O$13,B402=2019,H402/$O$14,B402=2020,H402/$O$15,B402=2021,H402/$O$16,B402=2022,H402/$O$17)</f>
        <v>6.9011987787923525E-3</v>
      </c>
      <c r="J402" s="6" cm="1">
        <f t="array" ref="J402">_xlfn.IFS(B402=2015,I402*$Q$1,B402=2016,I402*$Q$2,B402=2017,I402*$Q$3,B402=2018,I402*$Q$4,B402=2019,I402*$Q$5,B402=2020,I402*$Q$6,B402=2021,I402*$Q$7,B402=2022,I402*$Q$8)</f>
        <v>192117.86970321485</v>
      </c>
      <c r="K402" s="7">
        <f t="shared" si="14"/>
        <v>574210.86970321485</v>
      </c>
      <c r="L402">
        <f>IFERROR(VLOOKUP(G402,'LEAID Match'!$A$2:$B$168,2,FALSE),"")</f>
        <v>4612000</v>
      </c>
    </row>
    <row r="403" spans="1:12" x14ac:dyDescent="0.2">
      <c r="A403">
        <f t="shared" si="13"/>
        <v>4612000</v>
      </c>
      <c r="B403">
        <v>2022</v>
      </c>
      <c r="C403" t="s">
        <v>208</v>
      </c>
      <c r="D403" t="s">
        <v>212</v>
      </c>
      <c r="E403" t="s">
        <v>211</v>
      </c>
      <c r="F403" s="3">
        <v>913100</v>
      </c>
      <c r="G403" s="3" t="s">
        <v>24</v>
      </c>
      <c r="H403" s="4">
        <v>385619</v>
      </c>
      <c r="I403" cm="1">
        <f t="array" ref="I403">_xlfn.IFS(B403=2015,H403/$O$10,B403=2016,H403/$O$11,B403=2017,H403/$O$12,B403=2018,H403/$O$13,B403=2019,H403/$O$14,B403=2020,H403/$O$15,B403=2021,H403/$O$16,B403=2022,H403/$O$17)</f>
        <v>6.6783742589898339E-3</v>
      </c>
      <c r="J403" s="6" cm="1">
        <f t="array" ref="J403">_xlfn.IFS(B403=2015,I403*$Q$1,B403=2016,I403*$Q$2,B403=2017,I403*$Q$3,B403=2018,I403*$Q$4,B403=2019,I403*$Q$5,B403=2020,I403*$Q$6,B403=2021,I403*$Q$7,B403=2022,I403*$Q$8)</f>
        <v>196731.18828911253</v>
      </c>
      <c r="K403" s="7">
        <f t="shared" si="14"/>
        <v>582350.18828911253</v>
      </c>
      <c r="L403">
        <f>IFERROR(VLOOKUP(G403,'LEAID Match'!$A$2:$B$168,2,FALSE),"")</f>
        <v>4612000</v>
      </c>
    </row>
    <row r="404" spans="1:12" x14ac:dyDescent="0.2">
      <c r="A404">
        <f t="shared" si="13"/>
        <v>4638220</v>
      </c>
      <c r="B404">
        <v>2015</v>
      </c>
      <c r="C404" t="s">
        <v>208</v>
      </c>
      <c r="D404" t="s">
        <v>212</v>
      </c>
      <c r="E404" t="s">
        <v>211</v>
      </c>
      <c r="F404" s="3">
        <v>913124</v>
      </c>
      <c r="G404" s="3" t="s">
        <v>82</v>
      </c>
      <c r="H404" s="4">
        <v>91126</v>
      </c>
      <c r="I404" cm="1">
        <f t="array" ref="I404">_xlfn.IFS(B404=2015,H404/$O$10,B404=2016,H404/$O$11,B404=2017,H404/$O$12,B404=2018,H404/$O$13,B404=2019,H404/$O$14,B404=2020,H404/$O$15,B404=2021,H404/$O$16,B404=2022,H404/$O$17)</f>
        <v>2.1314638812819108E-3</v>
      </c>
      <c r="J404" s="6" cm="1">
        <f t="array" ref="J404">_xlfn.IFS(B404=2015,I404*$Q$1,B404=2016,I404*$Q$2,B404=2017,I404*$Q$3,B404=2018,I404*$Q$4,B404=2019,I404*$Q$5,B404=2020,I404*$Q$6,B404=2021,I404*$Q$7,B404=2022,I404*$Q$8)</f>
        <v>52417.290145386352</v>
      </c>
      <c r="K404" s="7">
        <f t="shared" si="14"/>
        <v>143543.29014538636</v>
      </c>
      <c r="L404">
        <f>IFERROR(VLOOKUP(G404,'LEAID Match'!$A$2:$B$168,2,FALSE),"")</f>
        <v>4638220</v>
      </c>
    </row>
    <row r="405" spans="1:12" x14ac:dyDescent="0.2">
      <c r="A405">
        <f t="shared" si="13"/>
        <v>4638220</v>
      </c>
      <c r="B405">
        <v>2016</v>
      </c>
      <c r="C405" t="s">
        <v>208</v>
      </c>
      <c r="D405" t="s">
        <v>212</v>
      </c>
      <c r="E405" t="s">
        <v>211</v>
      </c>
      <c r="F405" s="3">
        <v>913124</v>
      </c>
      <c r="G405" s="3" t="s">
        <v>82</v>
      </c>
      <c r="H405" s="4">
        <v>92272</v>
      </c>
      <c r="I405" cm="1">
        <f t="array" ref="I405">_xlfn.IFS(B405=2015,H405/$O$10,B405=2016,H405/$O$11,B405=2017,H405/$O$12,B405=2018,H405/$O$13,B405=2019,H405/$O$14,B405=2020,H405/$O$15,B405=2021,H405/$O$16,B405=2022,H405/$O$17)</f>
        <v>2.092919102956255E-3</v>
      </c>
      <c r="J405" s="6" cm="1">
        <f t="array" ref="J405">_xlfn.IFS(B405=2015,I405*$Q$1,B405=2016,I405*$Q$2,B405=2017,I405*$Q$3,B405=2018,I405*$Q$4,B405=2019,I405*$Q$5,B405=2020,I405*$Q$6,B405=2021,I405*$Q$7,B405=2022,I405*$Q$8)</f>
        <v>53172.294610481542</v>
      </c>
      <c r="K405" s="7">
        <f t="shared" si="14"/>
        <v>145444.29461048153</v>
      </c>
      <c r="L405">
        <f>IFERROR(VLOOKUP(G405,'LEAID Match'!$A$2:$B$168,2,FALSE),"")</f>
        <v>4638220</v>
      </c>
    </row>
    <row r="406" spans="1:12" x14ac:dyDescent="0.2">
      <c r="A406">
        <f t="shared" si="13"/>
        <v>4638220</v>
      </c>
      <c r="B406">
        <v>2017</v>
      </c>
      <c r="C406" t="s">
        <v>208</v>
      </c>
      <c r="D406" t="s">
        <v>212</v>
      </c>
      <c r="E406" t="s">
        <v>211</v>
      </c>
      <c r="F406" s="3">
        <v>913124</v>
      </c>
      <c r="G406" s="3" t="s">
        <v>82</v>
      </c>
      <c r="H406" s="4">
        <v>103143</v>
      </c>
      <c r="I406" cm="1">
        <f t="array" ref="I406">_xlfn.IFS(B406=2015,H406/$O$10,B406=2016,H406/$O$11,B406=2017,H406/$O$12,B406=2018,H406/$O$13,B406=2019,H406/$O$14,B406=2020,H406/$O$15,B406=2021,H406/$O$16,B406=2022,H406/$O$17)</f>
        <v>2.1295719065564257E-3</v>
      </c>
      <c r="J406" s="6" cm="1">
        <f t="array" ref="J406">_xlfn.IFS(B406=2015,I406*$Q$1,B406=2016,I406*$Q$2,B406=2017,I406*$Q$3,B406=2018,I406*$Q$4,B406=2019,I406*$Q$5,B406=2020,I406*$Q$6,B406=2021,I406*$Q$7,B406=2022,I406*$Q$8)</f>
        <v>56019.52619336488</v>
      </c>
      <c r="K406" s="7">
        <f t="shared" si="14"/>
        <v>159162.52619336487</v>
      </c>
      <c r="L406">
        <f>IFERROR(VLOOKUP(G406,'LEAID Match'!$A$2:$B$168,2,FALSE),"")</f>
        <v>4638220</v>
      </c>
    </row>
    <row r="407" spans="1:12" x14ac:dyDescent="0.2">
      <c r="A407">
        <f t="shared" si="13"/>
        <v>4638220</v>
      </c>
      <c r="B407">
        <v>2018</v>
      </c>
      <c r="C407" t="s">
        <v>208</v>
      </c>
      <c r="D407" t="s">
        <v>212</v>
      </c>
      <c r="E407" t="s">
        <v>211</v>
      </c>
      <c r="F407" s="3">
        <v>913124</v>
      </c>
      <c r="G407" s="3" t="s">
        <v>82</v>
      </c>
      <c r="H407" s="4">
        <v>105676</v>
      </c>
      <c r="I407" cm="1">
        <f t="array" ref="I407">_xlfn.IFS(B407=2015,H407/$O$10,B407=2016,H407/$O$11,B407=2017,H407/$O$12,B407=2018,H407/$O$13,B407=2019,H407/$O$14,B407=2020,H407/$O$15,B407=2021,H407/$O$16,B407=2022,H407/$O$17)</f>
        <v>2.1074546611869176E-3</v>
      </c>
      <c r="J407" s="6" cm="1">
        <f t="array" ref="J407">_xlfn.IFS(B407=2015,I407*$Q$1,B407=2016,I407*$Q$2,B407=2017,I407*$Q$3,B407=2018,I407*$Q$4,B407=2019,I407*$Q$5,B407=2020,I407*$Q$6,B407=2021,I407*$Q$7,B407=2022,I407*$Q$8)</f>
        <v>55332.927060283422</v>
      </c>
      <c r="K407" s="7">
        <f t="shared" si="14"/>
        <v>161008.92706028343</v>
      </c>
      <c r="L407">
        <f>IFERROR(VLOOKUP(G407,'LEAID Match'!$A$2:$B$168,2,FALSE),"")</f>
        <v>4638220</v>
      </c>
    </row>
    <row r="408" spans="1:12" x14ac:dyDescent="0.2">
      <c r="A408">
        <f t="shared" si="13"/>
        <v>4638220</v>
      </c>
      <c r="B408">
        <v>2019</v>
      </c>
      <c r="C408" t="s">
        <v>208</v>
      </c>
      <c r="D408" t="s">
        <v>212</v>
      </c>
      <c r="E408" t="s">
        <v>211</v>
      </c>
      <c r="F408" s="3">
        <v>913124</v>
      </c>
      <c r="G408" s="3" t="s">
        <v>82</v>
      </c>
      <c r="H408" s="4">
        <v>110489</v>
      </c>
      <c r="I408" cm="1">
        <f t="array" ref="I408">_xlfn.IFS(B408=2015,H408/$O$10,B408=2016,H408/$O$11,B408=2017,H408/$O$12,B408=2018,H408/$O$13,B408=2019,H408/$O$14,B408=2020,H408/$O$15,B408=2021,H408/$O$16,B408=2022,H408/$O$17)</f>
        <v>2.1638753323127832E-3</v>
      </c>
      <c r="J408" s="6" cm="1">
        <f t="array" ref="J408">_xlfn.IFS(B408=2015,I408*$Q$1,B408=2016,I408*$Q$2,B408=2017,I408*$Q$3,B408=2018,I408*$Q$4,B408=2019,I408*$Q$5,B408=2020,I408*$Q$6,B408=2021,I408*$Q$7,B408=2022,I408*$Q$8)</f>
        <v>57228.995476952383</v>
      </c>
      <c r="K408" s="7">
        <f t="shared" si="14"/>
        <v>167717.99547695238</v>
      </c>
      <c r="L408">
        <f>IFERROR(VLOOKUP(G408,'LEAID Match'!$A$2:$B$168,2,FALSE),"")</f>
        <v>4638220</v>
      </c>
    </row>
    <row r="409" spans="1:12" x14ac:dyDescent="0.2">
      <c r="A409">
        <f t="shared" si="13"/>
        <v>4638220</v>
      </c>
      <c r="B409">
        <v>2020</v>
      </c>
      <c r="C409" t="s">
        <v>208</v>
      </c>
      <c r="D409" t="s">
        <v>212</v>
      </c>
      <c r="E409" t="s">
        <v>211</v>
      </c>
      <c r="F409" s="1">
        <v>913124</v>
      </c>
      <c r="G409" s="3" t="s">
        <v>82</v>
      </c>
      <c r="H409" s="2">
        <v>116030</v>
      </c>
      <c r="I409" cm="1">
        <f t="array" ref="I409">_xlfn.IFS(B409=2015,H409/$O$10,B409=2016,H409/$O$11,B409=2017,H409/$O$12,B409=2018,H409/$O$13,B409=2019,H409/$O$14,B409=2020,H409/$O$15,B409=2021,H409/$O$16,B409=2022,H409/$O$17)</f>
        <v>2.1975826628588113E-3</v>
      </c>
      <c r="J409" s="6" cm="1">
        <f t="array" ref="J409">_xlfn.IFS(B409=2015,I409*$Q$1,B409=2016,I409*$Q$2,B409=2017,I409*$Q$3,B409=2018,I409*$Q$4,B409=2019,I409*$Q$5,B409=2020,I409*$Q$6,B409=2021,I409*$Q$7,B409=2022,I409*$Q$8)</f>
        <v>59752.7802447262</v>
      </c>
      <c r="K409" s="7">
        <f t="shared" si="14"/>
        <v>175782.78024472619</v>
      </c>
      <c r="L409">
        <f>IFERROR(VLOOKUP(G409,'LEAID Match'!$A$2:$B$168,2,FALSE),"")</f>
        <v>4638220</v>
      </c>
    </row>
    <row r="410" spans="1:12" x14ac:dyDescent="0.2">
      <c r="A410">
        <f t="shared" si="13"/>
        <v>4638220</v>
      </c>
      <c r="B410">
        <v>2021</v>
      </c>
      <c r="C410" t="s">
        <v>208</v>
      </c>
      <c r="D410" t="s">
        <v>212</v>
      </c>
      <c r="E410" t="s">
        <v>211</v>
      </c>
      <c r="F410" s="3">
        <v>913124</v>
      </c>
      <c r="G410" s="3" t="s">
        <v>82</v>
      </c>
      <c r="H410" s="4">
        <v>122396</v>
      </c>
      <c r="I410" cm="1">
        <f t="array" ref="I410">_xlfn.IFS(B410=2015,H410/$O$10,B410=2016,H410/$O$11,B410=2017,H410/$O$12,B410=2018,H410/$O$13,B410=2019,H410/$O$14,B410=2020,H410/$O$15,B410=2021,H410/$O$16,B410=2022,H410/$O$17)</f>
        <v>2.2106637015833022E-3</v>
      </c>
      <c r="J410" s="6" cm="1">
        <f t="array" ref="J410">_xlfn.IFS(B410=2015,I410*$Q$1,B410=2016,I410*$Q$2,B410=2017,I410*$Q$3,B410=2018,I410*$Q$4,B410=2019,I410*$Q$5,B410=2020,I410*$Q$6,B410=2021,I410*$Q$7,B410=2022,I410*$Q$8)</f>
        <v>61541.192275688591</v>
      </c>
      <c r="K410" s="7">
        <f t="shared" si="14"/>
        <v>183937.19227568858</v>
      </c>
      <c r="L410">
        <f>IFERROR(VLOOKUP(G410,'LEAID Match'!$A$2:$B$168,2,FALSE),"")</f>
        <v>4638220</v>
      </c>
    </row>
    <row r="411" spans="1:12" x14ac:dyDescent="0.2">
      <c r="A411">
        <f t="shared" si="13"/>
        <v>4638220</v>
      </c>
      <c r="B411">
        <v>2022</v>
      </c>
      <c r="C411" t="s">
        <v>208</v>
      </c>
      <c r="D411" t="s">
        <v>212</v>
      </c>
      <c r="E411" t="s">
        <v>211</v>
      </c>
      <c r="F411" s="3">
        <v>913124</v>
      </c>
      <c r="G411" s="3" t="s">
        <v>82</v>
      </c>
      <c r="H411" s="4">
        <v>128451</v>
      </c>
      <c r="I411" cm="1">
        <f t="array" ref="I411">_xlfn.IFS(B411=2015,H411/$O$10,B411=2016,H411/$O$11,B411=2017,H411/$O$12,B411=2018,H411/$O$13,B411=2019,H411/$O$14,B411=2020,H411/$O$15,B411=2021,H411/$O$16,B411=2022,H411/$O$17)</f>
        <v>2.2245891720623287E-3</v>
      </c>
      <c r="J411" s="6" cm="1">
        <f t="array" ref="J411">_xlfn.IFS(B411=2015,I411*$Q$1,B411=2016,I411*$Q$2,B411=2017,I411*$Q$3,B411=2018,I411*$Q$4,B411=2019,I411*$Q$5,B411=2020,I411*$Q$6,B411=2021,I411*$Q$7,B411=2022,I411*$Q$8)</f>
        <v>65531.827702796785</v>
      </c>
      <c r="K411" s="7">
        <f t="shared" si="14"/>
        <v>193982.82770279679</v>
      </c>
      <c r="L411">
        <f>IFERROR(VLOOKUP(G411,'LEAID Match'!$A$2:$B$168,2,FALSE),"")</f>
        <v>4638220</v>
      </c>
    </row>
    <row r="412" spans="1:12" x14ac:dyDescent="0.2">
      <c r="A412">
        <f t="shared" si="13"/>
        <v>4605610</v>
      </c>
      <c r="B412">
        <v>2015</v>
      </c>
      <c r="C412" t="s">
        <v>208</v>
      </c>
      <c r="D412" t="s">
        <v>212</v>
      </c>
      <c r="E412" t="s">
        <v>211</v>
      </c>
      <c r="F412" s="3">
        <v>915100</v>
      </c>
      <c r="G412" s="3" t="s">
        <v>8</v>
      </c>
      <c r="H412" s="4">
        <v>323801</v>
      </c>
      <c r="I412" cm="1">
        <f t="array" ref="I412">_xlfn.IFS(B412=2015,H412/$O$10,B412=2016,H412/$O$11,B412=2017,H412/$O$12,B412=2018,H412/$O$13,B412=2019,H412/$O$14,B412=2020,H412/$O$15,B412=2021,H412/$O$16,B412=2022,H412/$O$17)</f>
        <v>7.5738004106727383E-3</v>
      </c>
      <c r="J412" s="6" cm="1">
        <f t="array" ref="J412">_xlfn.IFS(B412=2015,I412*$Q$1,B412=2016,I412*$Q$2,B412=2017,I412*$Q$3,B412=2018,I412*$Q$4,B412=2019,I412*$Q$5,B412=2020,I412*$Q$6,B412=2021,I412*$Q$7,B412=2022,I412*$Q$8)</f>
        <v>186256.07363832762</v>
      </c>
      <c r="K412" s="7">
        <f t="shared" si="14"/>
        <v>510057.07363832765</v>
      </c>
      <c r="L412">
        <f>IFERROR(VLOOKUP(G412,'LEAID Match'!$A$2:$B$168,2,FALSE),"")</f>
        <v>4605610</v>
      </c>
    </row>
    <row r="413" spans="1:12" x14ac:dyDescent="0.2">
      <c r="A413">
        <f t="shared" si="13"/>
        <v>4605610</v>
      </c>
      <c r="B413">
        <v>2016</v>
      </c>
      <c r="C413" t="s">
        <v>208</v>
      </c>
      <c r="D413" t="s">
        <v>212</v>
      </c>
      <c r="E413" t="s">
        <v>211</v>
      </c>
      <c r="F413" s="3">
        <v>915100</v>
      </c>
      <c r="G413" s="3" t="s">
        <v>8</v>
      </c>
      <c r="H413" s="4">
        <v>337231</v>
      </c>
      <c r="I413" cm="1">
        <f t="array" ref="I413">_xlfn.IFS(B413=2015,H413/$O$10,B413=2016,H413/$O$11,B413=2017,H413/$O$12,B413=2018,H413/$O$13,B413=2019,H413/$O$14,B413=2020,H413/$O$15,B413=2021,H413/$O$16,B413=2022,H413/$O$17)</f>
        <v>7.6490940047797907E-3</v>
      </c>
      <c r="J413" s="6" cm="1">
        <f t="array" ref="J413">_xlfn.IFS(B413=2015,I413*$Q$1,B413=2016,I413*$Q$2,B413=2017,I413*$Q$3,B413=2018,I413*$Q$4,B413=2019,I413*$Q$5,B413=2020,I413*$Q$6,B413=2021,I413*$Q$7,B413=2022,I413*$Q$8)</f>
        <v>194331.39071210442</v>
      </c>
      <c r="K413" s="7">
        <f t="shared" si="14"/>
        <v>531562.39071210439</v>
      </c>
      <c r="L413">
        <f>IFERROR(VLOOKUP(G413,'LEAID Match'!$A$2:$B$168,2,FALSE),"")</f>
        <v>4605610</v>
      </c>
    </row>
    <row r="414" spans="1:12" x14ac:dyDescent="0.2">
      <c r="A414">
        <f t="shared" si="13"/>
        <v>4605610</v>
      </c>
      <c r="B414">
        <v>2017</v>
      </c>
      <c r="C414" t="s">
        <v>208</v>
      </c>
      <c r="D414" t="s">
        <v>212</v>
      </c>
      <c r="E414" t="s">
        <v>211</v>
      </c>
      <c r="F414" s="3">
        <v>915100</v>
      </c>
      <c r="G414" s="3" t="s">
        <v>8</v>
      </c>
      <c r="H414" s="4">
        <v>369844</v>
      </c>
      <c r="I414" cm="1">
        <f t="array" ref="I414">_xlfn.IFS(B414=2015,H414/$O$10,B414=2016,H414/$O$11,B414=2017,H414/$O$12,B414=2018,H414/$O$13,B414=2019,H414/$O$14,B414=2020,H414/$O$15,B414=2021,H414/$O$16,B414=2022,H414/$O$17)</f>
        <v>7.6360915642210781E-3</v>
      </c>
      <c r="J414" s="6" cm="1">
        <f t="array" ref="J414">_xlfn.IFS(B414=2015,I414*$Q$1,B414=2016,I414*$Q$2,B414=2017,I414*$Q$3,B414=2018,I414*$Q$4,B414=2019,I414*$Q$5,B414=2020,I414*$Q$6,B414=2021,I414*$Q$7,B414=2022,I414*$Q$8)</f>
        <v>200871.46626973076</v>
      </c>
      <c r="K414" s="7">
        <f t="shared" si="14"/>
        <v>570715.46626973082</v>
      </c>
      <c r="L414">
        <f>IFERROR(VLOOKUP(G414,'LEAID Match'!$A$2:$B$168,2,FALSE),"")</f>
        <v>4605610</v>
      </c>
    </row>
    <row r="415" spans="1:12" x14ac:dyDescent="0.2">
      <c r="A415">
        <f t="shared" si="13"/>
        <v>4605610</v>
      </c>
      <c r="B415">
        <v>2018</v>
      </c>
      <c r="C415" t="s">
        <v>208</v>
      </c>
      <c r="D415" t="s">
        <v>212</v>
      </c>
      <c r="E415" t="s">
        <v>211</v>
      </c>
      <c r="F415" s="3">
        <v>915100</v>
      </c>
      <c r="G415" s="3" t="s">
        <v>8</v>
      </c>
      <c r="H415" s="4">
        <v>382714</v>
      </c>
      <c r="I415" cm="1">
        <f t="array" ref="I415">_xlfn.IFS(B415=2015,H415/$O$10,B415=2016,H415/$O$11,B415=2017,H415/$O$12,B415=2018,H415/$O$13,B415=2019,H415/$O$14,B415=2020,H415/$O$15,B415=2021,H415/$O$16,B415=2022,H415/$O$17)</f>
        <v>7.6323138953167226E-3</v>
      </c>
      <c r="J415" s="6" cm="1">
        <f t="array" ref="J415">_xlfn.IFS(B415=2015,I415*$Q$1,B415=2016,I415*$Q$2,B415=2017,I415*$Q$3,B415=2018,I415*$Q$4,B415=2019,I415*$Q$5,B415=2020,I415*$Q$6,B415=2021,I415*$Q$7,B415=2022,I415*$Q$8)</f>
        <v>200392.57586348188</v>
      </c>
      <c r="K415" s="7">
        <f t="shared" si="14"/>
        <v>583106.57586348185</v>
      </c>
      <c r="L415">
        <f>IFERROR(VLOOKUP(G415,'LEAID Match'!$A$2:$B$168,2,FALSE),"")</f>
        <v>4605610</v>
      </c>
    </row>
    <row r="416" spans="1:12" x14ac:dyDescent="0.2">
      <c r="A416">
        <f t="shared" si="13"/>
        <v>4605610</v>
      </c>
      <c r="B416">
        <v>2019</v>
      </c>
      <c r="C416" t="s">
        <v>208</v>
      </c>
      <c r="D416" t="s">
        <v>212</v>
      </c>
      <c r="E416" t="s">
        <v>211</v>
      </c>
      <c r="F416" s="3">
        <v>915100</v>
      </c>
      <c r="G416" s="3" t="s">
        <v>8</v>
      </c>
      <c r="H416" s="4">
        <v>392722</v>
      </c>
      <c r="I416" cm="1">
        <f t="array" ref="I416">_xlfn.IFS(B416=2015,H416/$O$10,B416=2016,H416/$O$11,B416=2017,H416/$O$12,B416=2018,H416/$O$13,B416=2019,H416/$O$14,B416=2020,H416/$O$15,B416=2021,H416/$O$16,B416=2022,H416/$O$17)</f>
        <v>7.6912764913841282E-3</v>
      </c>
      <c r="J416" s="6" cm="1">
        <f t="array" ref="J416">_xlfn.IFS(B416=2015,I416*$Q$1,B416=2016,I416*$Q$2,B416=2017,I416*$Q$3,B416=2018,I416*$Q$4,B416=2019,I416*$Q$5,B416=2020,I416*$Q$6,B416=2021,I416*$Q$7,B416=2022,I416*$Q$8)</f>
        <v>203414.68889843961</v>
      </c>
      <c r="K416" s="7">
        <f t="shared" si="14"/>
        <v>596136.68889843964</v>
      </c>
      <c r="L416">
        <f>IFERROR(VLOOKUP(G416,'LEAID Match'!$A$2:$B$168,2,FALSE),"")</f>
        <v>4605610</v>
      </c>
    </row>
    <row r="417" spans="1:12" x14ac:dyDescent="0.2">
      <c r="A417">
        <f t="shared" si="13"/>
        <v>4605610</v>
      </c>
      <c r="B417">
        <v>2020</v>
      </c>
      <c r="C417" t="s">
        <v>208</v>
      </c>
      <c r="D417" t="s">
        <v>212</v>
      </c>
      <c r="E417" t="s">
        <v>211</v>
      </c>
      <c r="F417" s="1">
        <v>915100</v>
      </c>
      <c r="G417" s="3" t="s">
        <v>8</v>
      </c>
      <c r="H417" s="2">
        <v>400098</v>
      </c>
      <c r="I417" cm="1">
        <f t="array" ref="I417">_xlfn.IFS(B417=2015,H417/$O$10,B417=2016,H417/$O$11,B417=2017,H417/$O$12,B417=2018,H417/$O$13,B417=2019,H417/$O$14,B417=2020,H417/$O$15,B417=2021,H417/$O$16,B417=2022,H417/$O$17)</f>
        <v>7.5777680620915683E-3</v>
      </c>
      <c r="J417" s="6" cm="1">
        <f t="array" ref="J417">_xlfn.IFS(B417=2015,I417*$Q$1,B417=2016,I417*$Q$2,B417=2017,I417*$Q$3,B417=2018,I417*$Q$4,B417=2019,I417*$Q$5,B417=2020,I417*$Q$6,B417=2021,I417*$Q$7,B417=2022,I417*$Q$8)</f>
        <v>206041.26407269208</v>
      </c>
      <c r="K417" s="7">
        <f t="shared" si="14"/>
        <v>606139.26407269202</v>
      </c>
      <c r="L417">
        <f>IFERROR(VLOOKUP(G417,'LEAID Match'!$A$2:$B$168,2,FALSE),"")</f>
        <v>4605610</v>
      </c>
    </row>
    <row r="418" spans="1:12" x14ac:dyDescent="0.2">
      <c r="A418">
        <f t="shared" si="13"/>
        <v>4605610</v>
      </c>
      <c r="B418">
        <v>2021</v>
      </c>
      <c r="C418" t="s">
        <v>208</v>
      </c>
      <c r="D418" t="s">
        <v>212</v>
      </c>
      <c r="E418" t="s">
        <v>211</v>
      </c>
      <c r="F418" s="3">
        <v>915100</v>
      </c>
      <c r="G418" s="3" t="s">
        <v>8</v>
      </c>
      <c r="H418" s="4">
        <v>425044</v>
      </c>
      <c r="I418" cm="1">
        <f t="array" ref="I418">_xlfn.IFS(B418=2015,H418/$O$10,B418=2016,H418/$O$11,B418=2017,H418/$O$12,B418=2018,H418/$O$13,B418=2019,H418/$O$14,B418=2020,H418/$O$15,B418=2021,H418/$O$16,B418=2022,H418/$O$17)</f>
        <v>7.67696119461235E-3</v>
      </c>
      <c r="J418" s="6" cm="1">
        <f t="array" ref="J418">_xlfn.IFS(B418=2015,I418*$Q$1,B418=2016,I418*$Q$2,B418=2017,I418*$Q$3,B418=2018,I418*$Q$4,B418=2019,I418*$Q$5,B418=2020,I418*$Q$6,B418=2021,I418*$Q$7,B418=2022,I418*$Q$8)</f>
        <v>213713.80216369641</v>
      </c>
      <c r="K418" s="7">
        <f t="shared" si="14"/>
        <v>638757.80216369638</v>
      </c>
      <c r="L418">
        <f>IFERROR(VLOOKUP(G418,'LEAID Match'!$A$2:$B$168,2,FALSE),"")</f>
        <v>4605610</v>
      </c>
    </row>
    <row r="419" spans="1:12" x14ac:dyDescent="0.2">
      <c r="A419">
        <f t="shared" si="13"/>
        <v>4605610</v>
      </c>
      <c r="B419">
        <v>2022</v>
      </c>
      <c r="C419" t="s">
        <v>208</v>
      </c>
      <c r="D419" t="s">
        <v>212</v>
      </c>
      <c r="E419" t="s">
        <v>211</v>
      </c>
      <c r="F419" s="3">
        <v>915100</v>
      </c>
      <c r="G419" s="3" t="s">
        <v>8</v>
      </c>
      <c r="H419" s="4">
        <v>441708</v>
      </c>
      <c r="I419" cm="1">
        <f t="array" ref="I419">_xlfn.IFS(B419=2015,H419/$O$10,B419=2016,H419/$O$11,B419=2017,H419/$O$12,B419=2018,H419/$O$13,B419=2019,H419/$O$14,B419=2020,H419/$O$15,B419=2021,H419/$O$16,B419=2022,H419/$O$17)</f>
        <v>7.6497562028579541E-3</v>
      </c>
      <c r="J419" s="6" cm="1">
        <f t="array" ref="J419">_xlfn.IFS(B419=2015,I419*$Q$1,B419=2016,I419*$Q$2,B419=2017,I419*$Q$3,B419=2018,I419*$Q$4,B419=2019,I419*$Q$5,B419=2020,I419*$Q$6,B419=2021,I419*$Q$7,B419=2022,I419*$Q$8)</f>
        <v>225346.10513695466</v>
      </c>
      <c r="K419" s="7">
        <f t="shared" si="14"/>
        <v>667054.10513695469</v>
      </c>
      <c r="L419">
        <f>IFERROR(VLOOKUP(G419,'LEAID Match'!$A$2:$B$168,2,FALSE),"")</f>
        <v>4605610</v>
      </c>
    </row>
    <row r="420" spans="1:12" x14ac:dyDescent="0.2">
      <c r="A420">
        <f t="shared" si="13"/>
        <v>4650850</v>
      </c>
      <c r="B420">
        <v>2015</v>
      </c>
      <c r="C420" t="s">
        <v>208</v>
      </c>
      <c r="D420" t="s">
        <v>212</v>
      </c>
      <c r="E420" t="s">
        <v>211</v>
      </c>
      <c r="F420" s="3">
        <v>915104</v>
      </c>
      <c r="G420" s="3" t="s">
        <v>105</v>
      </c>
      <c r="H420" s="4">
        <v>108837</v>
      </c>
      <c r="I420" cm="1">
        <f t="array" ref="I420">_xlfn.IFS(B420=2015,H420/$O$10,B420=2016,H420/$O$11,B420=2017,H420/$O$12,B420=2018,H420/$O$13,B420=2019,H420/$O$14,B420=2020,H420/$O$15,B420=2021,H420/$O$16,B420=2022,H420/$O$17)</f>
        <v>2.545729368644287E-3</v>
      </c>
      <c r="J420" s="6" cm="1">
        <f t="array" ref="J420">_xlfn.IFS(B420=2015,I420*$Q$1,B420=2016,I420*$Q$2,B420=2017,I420*$Q$3,B420=2018,I420*$Q$4,B420=2019,I420*$Q$5,B420=2020,I420*$Q$6,B420=2021,I420*$Q$7,B420=2022,I420*$Q$8)</f>
        <v>62604.971221752443</v>
      </c>
      <c r="K420" s="7">
        <f t="shared" si="14"/>
        <v>171441.97122175244</v>
      </c>
      <c r="L420">
        <f>IFERROR(VLOOKUP(G420,'LEAID Match'!$A$2:$B$168,2,FALSE),"")</f>
        <v>4650850</v>
      </c>
    </row>
    <row r="421" spans="1:12" x14ac:dyDescent="0.2">
      <c r="A421">
        <f t="shared" si="13"/>
        <v>4650850</v>
      </c>
      <c r="B421">
        <v>2016</v>
      </c>
      <c r="C421" t="s">
        <v>208</v>
      </c>
      <c r="D421" t="s">
        <v>212</v>
      </c>
      <c r="E421" t="s">
        <v>211</v>
      </c>
      <c r="F421" s="3">
        <v>915104</v>
      </c>
      <c r="G421" s="3" t="s">
        <v>105</v>
      </c>
      <c r="H421" s="4">
        <v>118059</v>
      </c>
      <c r="I421" cm="1">
        <f t="array" ref="I421">_xlfn.IFS(B421=2015,H421/$O$10,B421=2016,H421/$O$11,B421=2017,H421/$O$12,B421=2018,H421/$O$13,B421=2019,H421/$O$14,B421=2020,H421/$O$15,B421=2021,H421/$O$16,B421=2022,H421/$O$17)</f>
        <v>2.6778214016810356E-3</v>
      </c>
      <c r="J421" s="6" cm="1">
        <f t="array" ref="J421">_xlfn.IFS(B421=2015,I421*$Q$1,B421=2016,I421*$Q$2,B421=2017,I421*$Q$3,B421=2018,I421*$Q$4,B421=2019,I421*$Q$5,B421=2020,I421*$Q$6,B421=2021,I421*$Q$7,B421=2022,I421*$Q$8)</f>
        <v>68032.208355935058</v>
      </c>
      <c r="K421" s="7">
        <f t="shared" si="14"/>
        <v>186091.20835593506</v>
      </c>
      <c r="L421">
        <f>IFERROR(VLOOKUP(G421,'LEAID Match'!$A$2:$B$168,2,FALSE),"")</f>
        <v>4650850</v>
      </c>
    </row>
    <row r="422" spans="1:12" x14ac:dyDescent="0.2">
      <c r="A422">
        <f t="shared" si="13"/>
        <v>4650850</v>
      </c>
      <c r="B422">
        <v>2017</v>
      </c>
      <c r="C422" t="s">
        <v>208</v>
      </c>
      <c r="D422" t="s">
        <v>212</v>
      </c>
      <c r="E422" t="s">
        <v>211</v>
      </c>
      <c r="F422" s="3">
        <v>915104</v>
      </c>
      <c r="G422" s="3" t="s">
        <v>105</v>
      </c>
      <c r="H422" s="4">
        <v>120199</v>
      </c>
      <c r="I422" cm="1">
        <f t="array" ref="I422">_xlfn.IFS(B422=2015,H422/$O$10,B422=2016,H422/$O$11,B422=2017,H422/$O$12,B422=2018,H422/$O$13,B422=2019,H422/$O$14,B422=2020,H422/$O$15,B422=2021,H422/$O$16,B422=2022,H422/$O$17)</f>
        <v>2.4817235643347178E-3</v>
      </c>
      <c r="J422" s="6" cm="1">
        <f t="array" ref="J422">_xlfn.IFS(B422=2015,I422*$Q$1,B422=2016,I422*$Q$2,B422=2017,I422*$Q$3,B422=2018,I422*$Q$4,B422=2019,I422*$Q$5,B422=2020,I422*$Q$6,B422=2021,I422*$Q$7,B422=2022,I422*$Q$8)</f>
        <v>65283.063600208108</v>
      </c>
      <c r="K422" s="7">
        <f t="shared" si="14"/>
        <v>185482.06360020812</v>
      </c>
      <c r="L422">
        <f>IFERROR(VLOOKUP(G422,'LEAID Match'!$A$2:$B$168,2,FALSE),"")</f>
        <v>4650850</v>
      </c>
    </row>
    <row r="423" spans="1:12" x14ac:dyDescent="0.2">
      <c r="A423">
        <f t="shared" si="13"/>
        <v>4650850</v>
      </c>
      <c r="B423">
        <v>2018</v>
      </c>
      <c r="C423" t="s">
        <v>208</v>
      </c>
      <c r="D423" t="s">
        <v>212</v>
      </c>
      <c r="E423" t="s">
        <v>211</v>
      </c>
      <c r="F423" s="3">
        <v>915104</v>
      </c>
      <c r="G423" s="3" t="s">
        <v>105</v>
      </c>
      <c r="H423" s="4">
        <v>119899</v>
      </c>
      <c r="I423" cm="1">
        <f t="array" ref="I423">_xlfn.IFS(B423=2015,H423/$O$10,B423=2016,H423/$O$11,B423=2017,H423/$O$12,B423=2018,H423/$O$13,B423=2019,H423/$O$14,B423=2020,H423/$O$15,B423=2021,H423/$O$16,B423=2022,H423/$O$17)</f>
        <v>2.3910983233813754E-3</v>
      </c>
      <c r="J423" s="6" cm="1">
        <f t="array" ref="J423">_xlfn.IFS(B423=2015,I423*$Q$1,B423=2016,I423*$Q$2,B423=2017,I423*$Q$3,B423=2018,I423*$Q$4,B423=2019,I423*$Q$5,B423=2020,I423*$Q$6,B423=2021,I423*$Q$7,B423=2022,I423*$Q$8)</f>
        <v>62780.220878921624</v>
      </c>
      <c r="K423" s="7">
        <f t="shared" si="14"/>
        <v>182679.22087892162</v>
      </c>
      <c r="L423">
        <f>IFERROR(VLOOKUP(G423,'LEAID Match'!$A$2:$B$168,2,FALSE),"")</f>
        <v>4650850</v>
      </c>
    </row>
    <row r="424" spans="1:12" x14ac:dyDescent="0.2">
      <c r="A424">
        <f t="shared" si="13"/>
        <v>4650850</v>
      </c>
      <c r="B424">
        <v>2019</v>
      </c>
      <c r="C424" t="s">
        <v>208</v>
      </c>
      <c r="D424" t="s">
        <v>212</v>
      </c>
      <c r="E424" t="s">
        <v>211</v>
      </c>
      <c r="F424" s="3">
        <v>915104</v>
      </c>
      <c r="G424" s="3" t="s">
        <v>105</v>
      </c>
      <c r="H424" s="4">
        <v>115922</v>
      </c>
      <c r="I424" cm="1">
        <f t="array" ref="I424">_xlfn.IFS(B424=2015,H424/$O$10,B424=2016,H424/$O$11,B424=2017,H424/$O$12,B424=2018,H424/$O$13,B424=2019,H424/$O$14,B424=2020,H424/$O$15,B424=2021,H424/$O$16,B424=2022,H424/$O$17)</f>
        <v>2.2702780934967504E-3</v>
      </c>
      <c r="J424" s="6" cm="1">
        <f t="array" ref="J424">_xlfn.IFS(B424=2015,I424*$Q$1,B424=2016,I424*$Q$2,B424=2017,I424*$Q$3,B424=2018,I424*$Q$4,B424=2019,I424*$Q$5,B424=2020,I424*$Q$6,B424=2021,I424*$Q$7,B424=2022,I424*$Q$8)</f>
        <v>60043.077715241096</v>
      </c>
      <c r="K424" s="7">
        <f t="shared" si="14"/>
        <v>175965.07771524109</v>
      </c>
      <c r="L424">
        <f>IFERROR(VLOOKUP(G424,'LEAID Match'!$A$2:$B$168,2,FALSE),"")</f>
        <v>4650850</v>
      </c>
    </row>
    <row r="425" spans="1:12" x14ac:dyDescent="0.2">
      <c r="A425">
        <f t="shared" si="13"/>
        <v>4650850</v>
      </c>
      <c r="B425">
        <v>2020</v>
      </c>
      <c r="C425" t="s">
        <v>208</v>
      </c>
      <c r="D425" t="s">
        <v>212</v>
      </c>
      <c r="E425" t="s">
        <v>211</v>
      </c>
      <c r="F425" s="1">
        <v>915104</v>
      </c>
      <c r="G425" s="3" t="s">
        <v>105</v>
      </c>
      <c r="H425" s="2">
        <v>114046</v>
      </c>
      <c r="I425" cm="1">
        <f t="array" ref="I425">_xlfn.IFS(B425=2015,H425/$O$10,B425=2016,H425/$O$11,B425=2017,H425/$O$12,B425=2018,H425/$O$13,B425=2019,H425/$O$14,B425=2020,H425/$O$15,B425=2021,H425/$O$16,B425=2022,H425/$O$17)</f>
        <v>2.1600061395190555E-3</v>
      </c>
      <c r="J425" s="6" cm="1">
        <f t="array" ref="J425">_xlfn.IFS(B425=2015,I425*$Q$1,B425=2016,I425*$Q$2,B425=2017,I425*$Q$3,B425=2018,I425*$Q$4,B425=2019,I425*$Q$5,B425=2020,I425*$Q$6,B425=2021,I425*$Q$7,B425=2022,I425*$Q$8)</f>
        <v>58731.065894941348</v>
      </c>
      <c r="K425" s="7">
        <f t="shared" si="14"/>
        <v>172777.06589494133</v>
      </c>
      <c r="L425">
        <f>IFERROR(VLOOKUP(G425,'LEAID Match'!$A$2:$B$168,2,FALSE),"")</f>
        <v>4650850</v>
      </c>
    </row>
    <row r="426" spans="1:12" x14ac:dyDescent="0.2">
      <c r="A426">
        <f t="shared" si="13"/>
        <v>4650850</v>
      </c>
      <c r="B426">
        <v>2021</v>
      </c>
      <c r="C426" t="s">
        <v>208</v>
      </c>
      <c r="D426" t="s">
        <v>212</v>
      </c>
      <c r="E426" t="s">
        <v>211</v>
      </c>
      <c r="F426" s="3">
        <v>915104</v>
      </c>
      <c r="G426" s="3" t="s">
        <v>105</v>
      </c>
      <c r="H426" s="4">
        <v>110354</v>
      </c>
      <c r="I426" cm="1">
        <f t="array" ref="I426">_xlfn.IFS(B426=2015,H426/$O$10,B426=2016,H426/$O$11,B426=2017,H426/$O$12,B426=2018,H426/$O$13,B426=2019,H426/$O$14,B426=2020,H426/$O$15,B426=2021,H426/$O$16,B426=2022,H426/$O$17)</f>
        <v>1.9931662973015764E-3</v>
      </c>
      <c r="J426" s="6" cm="1">
        <f t="array" ref="J426">_xlfn.IFS(B426=2015,I426*$Q$1,B426=2016,I426*$Q$2,B426=2017,I426*$Q$3,B426=2018,I426*$Q$4,B426=2019,I426*$Q$5,B426=2020,I426*$Q$6,B426=2021,I426*$Q$7,B426=2022,I426*$Q$8)</f>
        <v>55486.427108658281</v>
      </c>
      <c r="K426" s="7">
        <f t="shared" si="14"/>
        <v>165840.42710865827</v>
      </c>
      <c r="L426">
        <f>IFERROR(VLOOKUP(G426,'LEAID Match'!$A$2:$B$168,2,FALSE),"")</f>
        <v>4650850</v>
      </c>
    </row>
    <row r="427" spans="1:12" x14ac:dyDescent="0.2">
      <c r="A427">
        <f t="shared" si="13"/>
        <v>4650850</v>
      </c>
      <c r="B427">
        <v>2022</v>
      </c>
      <c r="C427" t="s">
        <v>208</v>
      </c>
      <c r="D427" t="s">
        <v>212</v>
      </c>
      <c r="E427" t="s">
        <v>211</v>
      </c>
      <c r="F427" s="3">
        <v>915104</v>
      </c>
      <c r="G427" s="3" t="s">
        <v>105</v>
      </c>
      <c r="H427" s="4">
        <v>110681</v>
      </c>
      <c r="I427" cm="1">
        <f t="array" ref="I427">_xlfn.IFS(B427=2015,H427/$O$10,B427=2016,H427/$O$11,B427=2017,H427/$O$12,B427=2018,H427/$O$13,B427=2019,H427/$O$14,B427=2020,H427/$O$15,B427=2021,H427/$O$16,B427=2022,H427/$O$17)</f>
        <v>1.9168379705337491E-3</v>
      </c>
      <c r="J427" s="6" cm="1">
        <f t="array" ref="J427">_xlfn.IFS(B427=2015,I427*$Q$1,B427=2016,I427*$Q$2,B427=2017,I427*$Q$3,B427=2018,I427*$Q$4,B427=2019,I427*$Q$5,B427=2020,I427*$Q$6,B427=2021,I427*$Q$7,B427=2022,I427*$Q$8)</f>
        <v>56466.109426732772</v>
      </c>
      <c r="K427" s="7">
        <f t="shared" si="14"/>
        <v>167147.10942673276</v>
      </c>
      <c r="L427">
        <f>IFERROR(VLOOKUP(G427,'LEAID Match'!$A$2:$B$168,2,FALSE),"")</f>
        <v>4650850</v>
      </c>
    </row>
    <row r="428" spans="1:12" x14ac:dyDescent="0.2">
      <c r="A428">
        <f t="shared" si="13"/>
        <v>4632430</v>
      </c>
      <c r="B428">
        <v>2015</v>
      </c>
      <c r="C428" t="s">
        <v>208</v>
      </c>
      <c r="D428" t="s">
        <v>212</v>
      </c>
      <c r="E428" t="s">
        <v>211</v>
      </c>
      <c r="F428" s="3">
        <v>916101</v>
      </c>
      <c r="G428" s="3" t="s">
        <v>68</v>
      </c>
      <c r="H428" s="4">
        <v>42276</v>
      </c>
      <c r="I428" cm="1">
        <f t="array" ref="I428">_xlfn.IFS(B428=2015,H428/$O$10,B428=2016,H428/$O$11,B428=2017,H428/$O$12,B428=2018,H428/$O$13,B428=2019,H428/$O$14,B428=2020,H428/$O$15,B428=2021,H428/$O$16,B428=2022,H428/$O$17)</f>
        <v>9.8884804605792035E-4</v>
      </c>
      <c r="J428" s="6" cm="1">
        <f t="array" ref="J428">_xlfn.IFS(B428=2015,I428*$Q$1,B428=2016,I428*$Q$2,B428=2017,I428*$Q$3,B428=2018,I428*$Q$4,B428=2019,I428*$Q$5,B428=2020,I428*$Q$6,B428=2021,I428*$Q$7,B428=2022,I428*$Q$8)</f>
        <v>24317.904420103518</v>
      </c>
      <c r="K428" s="7">
        <f t="shared" si="14"/>
        <v>66593.904420103514</v>
      </c>
      <c r="L428">
        <f>IFERROR(VLOOKUP(G428,'LEAID Match'!$A$2:$B$168,2,FALSE),"")</f>
        <v>4632430</v>
      </c>
    </row>
    <row r="429" spans="1:12" x14ac:dyDescent="0.2">
      <c r="A429">
        <f t="shared" si="13"/>
        <v>4632430</v>
      </c>
      <c r="B429">
        <v>2016</v>
      </c>
      <c r="C429" t="s">
        <v>208</v>
      </c>
      <c r="D429" t="s">
        <v>212</v>
      </c>
      <c r="E429" t="s">
        <v>211</v>
      </c>
      <c r="F429" s="3">
        <v>916101</v>
      </c>
      <c r="G429" s="3" t="s">
        <v>68</v>
      </c>
      <c r="H429" s="4">
        <v>41886</v>
      </c>
      <c r="I429" cm="1">
        <f t="array" ref="I429">_xlfn.IFS(B429=2015,H429/$O$10,B429=2016,H429/$O$11,B429=2017,H429/$O$12,B429=2018,H429/$O$13,B429=2019,H429/$O$14,B429=2020,H429/$O$15,B429=2021,H429/$O$16,B429=2022,H429/$O$17)</f>
        <v>9.5006079359313443E-4</v>
      </c>
      <c r="J429" s="6" cm="1">
        <f t="array" ref="J429">_xlfn.IFS(B429=2015,I429*$Q$1,B429=2016,I429*$Q$2,B429=2017,I429*$Q$3,B429=2018,I429*$Q$4,B429=2019,I429*$Q$5,B429=2020,I429*$Q$6,B429=2021,I429*$Q$7,B429=2022,I429*$Q$8)</f>
        <v>24137.059260172424</v>
      </c>
      <c r="K429" s="7">
        <f t="shared" si="14"/>
        <v>66023.05926017242</v>
      </c>
      <c r="L429">
        <f>IFERROR(VLOOKUP(G429,'LEAID Match'!$A$2:$B$168,2,FALSE),"")</f>
        <v>4632430</v>
      </c>
    </row>
    <row r="430" spans="1:12" x14ac:dyDescent="0.2">
      <c r="A430">
        <f t="shared" si="13"/>
        <v>4632430</v>
      </c>
      <c r="B430">
        <v>2017</v>
      </c>
      <c r="C430" t="s">
        <v>208</v>
      </c>
      <c r="D430" t="s">
        <v>212</v>
      </c>
      <c r="E430" t="s">
        <v>211</v>
      </c>
      <c r="F430" s="3">
        <v>916101</v>
      </c>
      <c r="G430" s="3" t="s">
        <v>68</v>
      </c>
      <c r="H430" s="4">
        <v>46747</v>
      </c>
      <c r="I430" cm="1">
        <f t="array" ref="I430">_xlfn.IFS(B430=2015,H430/$O$10,B430=2016,H430/$O$11,B430=2017,H430/$O$12,B430=2018,H430/$O$13,B430=2019,H430/$O$14,B430=2020,H430/$O$15,B430=2021,H430/$O$16,B430=2022,H430/$O$17)</f>
        <v>9.6517551279091376E-4</v>
      </c>
      <c r="J430" s="6" cm="1">
        <f t="array" ref="J430">_xlfn.IFS(B430=2015,I430*$Q$1,B430=2016,I430*$Q$2,B430=2017,I430*$Q$3,B430=2018,I430*$Q$4,B430=2019,I430*$Q$5,B430=2020,I430*$Q$6,B430=2021,I430*$Q$7,B430=2022,I430*$Q$8)</f>
        <v>25389.457267688817</v>
      </c>
      <c r="K430" s="7">
        <f t="shared" si="14"/>
        <v>72136.45726768882</v>
      </c>
      <c r="L430">
        <f>IFERROR(VLOOKUP(G430,'LEAID Match'!$A$2:$B$168,2,FALSE),"")</f>
        <v>4632430</v>
      </c>
    </row>
    <row r="431" spans="1:12" x14ac:dyDescent="0.2">
      <c r="A431">
        <f t="shared" si="13"/>
        <v>4632430</v>
      </c>
      <c r="B431">
        <v>2018</v>
      </c>
      <c r="C431" t="s">
        <v>208</v>
      </c>
      <c r="D431" t="s">
        <v>212</v>
      </c>
      <c r="E431" t="s">
        <v>211</v>
      </c>
      <c r="F431" s="3">
        <v>916101</v>
      </c>
      <c r="G431" s="3" t="s">
        <v>68</v>
      </c>
      <c r="H431" s="4">
        <v>50981</v>
      </c>
      <c r="I431" cm="1">
        <f t="array" ref="I431">_xlfn.IFS(B431=2015,H431/$O$10,B431=2016,H431/$O$11,B431=2017,H431/$O$12,B431=2018,H431/$O$13,B431=2019,H431/$O$14,B431=2020,H431/$O$15,B431=2021,H431/$O$16,B431=2022,H431/$O$17)</f>
        <v>1.0166939142470404E-3</v>
      </c>
      <c r="J431" s="6" cm="1">
        <f t="array" ref="J431">_xlfn.IFS(B431=2015,I431*$Q$1,B431=2016,I431*$Q$2,B431=2017,I431*$Q$3,B431=2018,I431*$Q$4,B431=2019,I431*$Q$5,B431=2020,I431*$Q$6,B431=2021,I431*$Q$7,B431=2022,I431*$Q$8)</f>
        <v>26694.121223932671</v>
      </c>
      <c r="K431" s="7">
        <f t="shared" si="14"/>
        <v>77675.121223932671</v>
      </c>
      <c r="L431">
        <f>IFERROR(VLOOKUP(G431,'LEAID Match'!$A$2:$B$168,2,FALSE),"")</f>
        <v>4632430</v>
      </c>
    </row>
    <row r="432" spans="1:12" x14ac:dyDescent="0.2">
      <c r="A432">
        <f t="shared" si="13"/>
        <v>4632430</v>
      </c>
      <c r="B432">
        <v>2019</v>
      </c>
      <c r="C432" t="s">
        <v>208</v>
      </c>
      <c r="D432" t="s">
        <v>212</v>
      </c>
      <c r="E432" t="s">
        <v>211</v>
      </c>
      <c r="F432" s="3">
        <v>916101</v>
      </c>
      <c r="G432" s="3" t="s">
        <v>68</v>
      </c>
      <c r="H432" s="4">
        <v>54680</v>
      </c>
      <c r="I432" cm="1">
        <f t="array" ref="I432">_xlfn.IFS(B432=2015,H432/$O$10,B432=2016,H432/$O$11,B432=2017,H432/$O$12,B432=2018,H432/$O$13,B432=2019,H432/$O$14,B432=2020,H432/$O$15,B432=2021,H432/$O$16,B432=2022,H432/$O$17)</f>
        <v>1.0708821979641683E-3</v>
      </c>
      <c r="J432" s="6" cm="1">
        <f t="array" ref="J432">_xlfn.IFS(B432=2015,I432*$Q$1,B432=2016,I432*$Q$2,B432=2017,I432*$Q$3,B432=2018,I432*$Q$4,B432=2019,I432*$Q$5,B432=2020,I432*$Q$6,B432=2021,I432*$Q$7,B432=2022,I432*$Q$8)</f>
        <v>28322.108740958432</v>
      </c>
      <c r="K432" s="7">
        <f t="shared" si="14"/>
        <v>83002.108740958429</v>
      </c>
      <c r="L432">
        <f>IFERROR(VLOOKUP(G432,'LEAID Match'!$A$2:$B$168,2,FALSE),"")</f>
        <v>4632430</v>
      </c>
    </row>
    <row r="433" spans="1:12" x14ac:dyDescent="0.2">
      <c r="A433">
        <f t="shared" si="13"/>
        <v>4632430</v>
      </c>
      <c r="B433">
        <v>2020</v>
      </c>
      <c r="C433" t="s">
        <v>208</v>
      </c>
      <c r="D433" t="s">
        <v>212</v>
      </c>
      <c r="E433" t="s">
        <v>211</v>
      </c>
      <c r="F433" s="1">
        <v>916101</v>
      </c>
      <c r="G433" s="3" t="s">
        <v>68</v>
      </c>
      <c r="H433" s="2">
        <v>53387</v>
      </c>
      <c r="I433" cm="1">
        <f t="array" ref="I433">_xlfn.IFS(B433=2015,H433/$O$10,B433=2016,H433/$O$11,B433=2017,H433/$O$12,B433=2018,H433/$O$13,B433=2019,H433/$O$14,B433=2020,H433/$O$15,B433=2021,H433/$O$16,B433=2022,H433/$O$17)</f>
        <v>1.0111380300098539E-3</v>
      </c>
      <c r="J433" s="6" cm="1">
        <f t="array" ref="J433">_xlfn.IFS(B433=2015,I433*$Q$1,B433=2016,I433*$Q$2,B433=2017,I433*$Q$3,B433=2018,I433*$Q$4,B433=2019,I433*$Q$5,B433=2020,I433*$Q$6,B433=2021,I433*$Q$7,B433=2022,I433*$Q$8)</f>
        <v>27493.076608852862</v>
      </c>
      <c r="K433" s="7">
        <f t="shared" si="14"/>
        <v>80880.076608852862</v>
      </c>
      <c r="L433">
        <f>IFERROR(VLOOKUP(G433,'LEAID Match'!$A$2:$B$168,2,FALSE),"")</f>
        <v>4632430</v>
      </c>
    </row>
    <row r="434" spans="1:12" x14ac:dyDescent="0.2">
      <c r="A434">
        <f t="shared" si="13"/>
        <v>4632430</v>
      </c>
      <c r="B434">
        <v>2021</v>
      </c>
      <c r="C434" t="s">
        <v>208</v>
      </c>
      <c r="D434" t="s">
        <v>212</v>
      </c>
      <c r="E434" t="s">
        <v>211</v>
      </c>
      <c r="F434" s="3">
        <v>916101</v>
      </c>
      <c r="G434" s="3" t="s">
        <v>68</v>
      </c>
      <c r="H434" s="4">
        <v>54686</v>
      </c>
      <c r="I434" cm="1">
        <f t="array" ref="I434">_xlfn.IFS(B434=2015,H434/$O$10,B434=2016,H434/$O$11,B434=2017,H434/$O$12,B434=2018,H434/$O$13,B434=2019,H434/$O$14,B434=2020,H434/$O$15,B434=2021,H434/$O$16,B434=2022,H434/$O$17)</f>
        <v>9.8771491866388172E-4</v>
      </c>
      <c r="J434" s="6" cm="1">
        <f t="array" ref="J434">_xlfn.IFS(B434=2015,I434*$Q$1,B434=2016,I434*$Q$2,B434=2017,I434*$Q$3,B434=2018,I434*$Q$4,B434=2019,I434*$Q$5,B434=2020,I434*$Q$6,B434=2021,I434*$Q$7,B434=2022,I434*$Q$8)</f>
        <v>27496.336814833056</v>
      </c>
      <c r="K434" s="7">
        <f t="shared" si="14"/>
        <v>82182.336814833048</v>
      </c>
      <c r="L434">
        <f>IFERROR(VLOOKUP(G434,'LEAID Match'!$A$2:$B$168,2,FALSE),"")</f>
        <v>4632430</v>
      </c>
    </row>
    <row r="435" spans="1:12" x14ac:dyDescent="0.2">
      <c r="A435">
        <f t="shared" si="13"/>
        <v>4632430</v>
      </c>
      <c r="B435">
        <v>2022</v>
      </c>
      <c r="C435" t="s">
        <v>208</v>
      </c>
      <c r="D435" t="s">
        <v>212</v>
      </c>
      <c r="E435" t="s">
        <v>211</v>
      </c>
      <c r="F435" s="3">
        <v>916101</v>
      </c>
      <c r="G435" s="3" t="s">
        <v>68</v>
      </c>
      <c r="H435" s="4">
        <v>56956</v>
      </c>
      <c r="I435" cm="1">
        <f t="array" ref="I435">_xlfn.IFS(B435=2015,H435/$O$10,B435=2016,H435/$O$11,B435=2017,H435/$O$12,B435=2018,H435/$O$13,B435=2019,H435/$O$14,B435=2020,H435/$O$15,B435=2021,H435/$O$16,B435=2022,H435/$O$17)</f>
        <v>9.8639715443228919E-4</v>
      </c>
      <c r="J435" s="6" cm="1">
        <f t="array" ref="J435">_xlfn.IFS(B435=2015,I435*$Q$1,B435=2016,I435*$Q$2,B435=2017,I435*$Q$3,B435=2018,I435*$Q$4,B435=2019,I435*$Q$5,B435=2020,I435*$Q$6,B435=2021,I435*$Q$7,B435=2022,I435*$Q$8)</f>
        <v>29057.234109820034</v>
      </c>
      <c r="K435" s="7">
        <f t="shared" si="14"/>
        <v>86013.234109820041</v>
      </c>
      <c r="L435">
        <f>IFERROR(VLOOKUP(G435,'LEAID Match'!$A$2:$B$168,2,FALSE),"")</f>
        <v>4632430</v>
      </c>
    </row>
    <row r="436" spans="1:12" x14ac:dyDescent="0.2">
      <c r="A436">
        <f t="shared" si="13"/>
        <v>4639540</v>
      </c>
      <c r="B436">
        <v>2015</v>
      </c>
      <c r="C436" t="s">
        <v>208</v>
      </c>
      <c r="D436" t="s">
        <v>212</v>
      </c>
      <c r="E436" t="s">
        <v>211</v>
      </c>
      <c r="F436" s="3">
        <v>917102</v>
      </c>
      <c r="G436" s="3" t="s">
        <v>3</v>
      </c>
      <c r="H436" s="4">
        <v>153598</v>
      </c>
      <c r="I436" cm="1">
        <f t="array" ref="I436">_xlfn.IFS(B436=2015,H436/$O$10,B436=2016,H436/$O$11,B436=2017,H436/$O$12,B436=2018,H436/$O$13,B436=2019,H436/$O$14,B436=2020,H436/$O$15,B436=2021,H436/$O$16,B436=2022,H436/$O$17)</f>
        <v>3.5927022939351988E-3</v>
      </c>
      <c r="J436" s="6" cm="1">
        <f t="array" ref="J436">_xlfn.IFS(B436=2015,I436*$Q$1,B436=2016,I436*$Q$2,B436=2017,I436*$Q$3,B436=2018,I436*$Q$4,B436=2019,I436*$Q$5,B436=2020,I436*$Q$6,B436=2021,I436*$Q$7,B436=2022,I436*$Q$8)</f>
        <v>88352.291681309973</v>
      </c>
      <c r="K436" s="7">
        <f t="shared" si="14"/>
        <v>241950.29168130999</v>
      </c>
      <c r="L436">
        <f>IFERROR(VLOOKUP(G436,'LEAID Match'!$A$2:$B$168,2,FALSE),"")</f>
        <v>4639540</v>
      </c>
    </row>
    <row r="437" spans="1:12" x14ac:dyDescent="0.2">
      <c r="A437">
        <f t="shared" si="13"/>
        <v>4639540</v>
      </c>
      <c r="B437">
        <v>2016</v>
      </c>
      <c r="C437" t="s">
        <v>208</v>
      </c>
      <c r="D437" t="s">
        <v>212</v>
      </c>
      <c r="E437" t="s">
        <v>211</v>
      </c>
      <c r="F437" s="3">
        <v>917102</v>
      </c>
      <c r="G437" s="3" t="s">
        <v>3</v>
      </c>
      <c r="H437" s="4">
        <v>161078</v>
      </c>
      <c r="I437" cm="1">
        <f t="array" ref="I437">_xlfn.IFS(B437=2015,H437/$O$10,B437=2016,H437/$O$11,B437=2017,H437/$O$12,B437=2018,H437/$O$13,B437=2019,H437/$O$14,B437=2020,H437/$O$15,B437=2021,H437/$O$16,B437=2022,H437/$O$17)</f>
        <v>3.6535809700232753E-3</v>
      </c>
      <c r="J437" s="6" cm="1">
        <f t="array" ref="J437">_xlfn.IFS(B437=2015,I437*$Q$1,B437=2016,I437*$Q$2,B437=2017,I437*$Q$3,B437=2018,I437*$Q$4,B437=2019,I437*$Q$5,B437=2020,I437*$Q$6,B437=2021,I437*$Q$7,B437=2022,I437*$Q$8)</f>
        <v>92822.165676122182</v>
      </c>
      <c r="K437" s="7">
        <f t="shared" si="14"/>
        <v>253900.16567612218</v>
      </c>
      <c r="L437">
        <f>IFERROR(VLOOKUP(G437,'LEAID Match'!$A$2:$B$168,2,FALSE),"")</f>
        <v>4639540</v>
      </c>
    </row>
    <row r="438" spans="1:12" x14ac:dyDescent="0.2">
      <c r="A438">
        <f t="shared" si="13"/>
        <v>4639540</v>
      </c>
      <c r="B438">
        <v>2017</v>
      </c>
      <c r="C438" t="s">
        <v>208</v>
      </c>
      <c r="D438" t="s">
        <v>212</v>
      </c>
      <c r="E438" t="s">
        <v>211</v>
      </c>
      <c r="F438" s="3">
        <v>917102</v>
      </c>
      <c r="G438" s="3" t="s">
        <v>3</v>
      </c>
      <c r="H438" s="4">
        <v>170760</v>
      </c>
      <c r="I438" cm="1">
        <f t="array" ref="I438">_xlfn.IFS(B438=2015,H438/$O$10,B438=2016,H438/$O$11,B438=2017,H438/$O$12,B438=2018,H438/$O$13,B438=2019,H438/$O$14,B438=2020,H438/$O$15,B438=2021,H438/$O$16,B438=2022,H438/$O$17)</f>
        <v>3.5256459358713166E-3</v>
      </c>
      <c r="J438" s="6" cm="1">
        <f t="array" ref="J438">_xlfn.IFS(B438=2015,I438*$Q$1,B438=2016,I438*$Q$2,B438=2017,I438*$Q$3,B438=2018,I438*$Q$4,B438=2019,I438*$Q$5,B438=2020,I438*$Q$6,B438=2021,I438*$Q$7,B438=2022,I438*$Q$8)</f>
        <v>92743.999038024733</v>
      </c>
      <c r="K438" s="7">
        <f t="shared" si="14"/>
        <v>263503.99903802475</v>
      </c>
      <c r="L438">
        <f>IFERROR(VLOOKUP(G438,'LEAID Match'!$A$2:$B$168,2,FALSE),"")</f>
        <v>4639540</v>
      </c>
    </row>
    <row r="439" spans="1:12" x14ac:dyDescent="0.2">
      <c r="A439">
        <f t="shared" si="13"/>
        <v>4639540</v>
      </c>
      <c r="B439">
        <v>2018</v>
      </c>
      <c r="C439" t="s">
        <v>208</v>
      </c>
      <c r="D439" t="s">
        <v>212</v>
      </c>
      <c r="E439" t="s">
        <v>211</v>
      </c>
      <c r="F439" s="3">
        <v>917102</v>
      </c>
      <c r="G439" s="3" t="s">
        <v>3</v>
      </c>
      <c r="H439" s="4">
        <v>171504</v>
      </c>
      <c r="I439" cm="1">
        <f t="array" ref="I439">_xlfn.IFS(B439=2015,H439/$O$10,B439=2016,H439/$O$11,B439=2017,H439/$O$12,B439=2018,H439/$O$13,B439=2019,H439/$O$14,B439=2020,H439/$O$15,B439=2021,H439/$O$16,B439=2022,H439/$O$17)</f>
        <v>3.4202364227658229E-3</v>
      </c>
      <c r="J439" s="6" cm="1">
        <f t="array" ref="J439">_xlfn.IFS(B439=2015,I439*$Q$1,B439=2016,I439*$Q$2,B439=2017,I439*$Q$3,B439=2018,I439*$Q$4,B439=2019,I439*$Q$5,B439=2020,I439*$Q$6,B439=2021,I439*$Q$7,B439=2022,I439*$Q$8)</f>
        <v>89801.074250982696</v>
      </c>
      <c r="K439" s="7">
        <f t="shared" si="14"/>
        <v>261305.0742509827</v>
      </c>
      <c r="L439">
        <f>IFERROR(VLOOKUP(G439,'LEAID Match'!$A$2:$B$168,2,FALSE),"")</f>
        <v>4639540</v>
      </c>
    </row>
    <row r="440" spans="1:12" x14ac:dyDescent="0.2">
      <c r="A440">
        <f t="shared" si="13"/>
        <v>4639540</v>
      </c>
      <c r="B440">
        <v>2019</v>
      </c>
      <c r="C440" t="s">
        <v>208</v>
      </c>
      <c r="D440" t="s">
        <v>212</v>
      </c>
      <c r="E440" t="s">
        <v>211</v>
      </c>
      <c r="F440" s="3">
        <v>917102</v>
      </c>
      <c r="G440" s="3" t="s">
        <v>3</v>
      </c>
      <c r="H440" s="4">
        <v>181603</v>
      </c>
      <c r="I440" cm="1">
        <f t="array" ref="I440">_xlfn.IFS(B440=2015,H440/$O$10,B440=2016,H440/$O$11,B440=2017,H440/$O$12,B440=2018,H440/$O$13,B440=2019,H440/$O$14,B440=2020,H440/$O$15,B440=2021,H440/$O$16,B440=2022,H440/$O$17)</f>
        <v>3.5566097256197306E-3</v>
      </c>
      <c r="J440" s="6" cm="1">
        <f t="array" ref="J440">_xlfn.IFS(B440=2015,I440*$Q$1,B440=2016,I440*$Q$2,B440=2017,I440*$Q$3,B440=2018,I440*$Q$4,B440=2019,I440*$Q$5,B440=2020,I440*$Q$6,B440=2021,I440*$Q$7,B440=2022,I440*$Q$8)</f>
        <v>94063.275670890172</v>
      </c>
      <c r="K440" s="7">
        <f t="shared" si="14"/>
        <v>275666.27567089017</v>
      </c>
      <c r="L440">
        <f>IFERROR(VLOOKUP(G440,'LEAID Match'!$A$2:$B$168,2,FALSE),"")</f>
        <v>4639540</v>
      </c>
    </row>
    <row r="441" spans="1:12" x14ac:dyDescent="0.2">
      <c r="A441">
        <f t="shared" si="13"/>
        <v>4639540</v>
      </c>
      <c r="B441">
        <v>2020</v>
      </c>
      <c r="C441" t="s">
        <v>208</v>
      </c>
      <c r="D441" t="s">
        <v>212</v>
      </c>
      <c r="E441" t="s">
        <v>211</v>
      </c>
      <c r="F441" s="1">
        <v>917102</v>
      </c>
      <c r="G441" s="3" t="s">
        <v>3</v>
      </c>
      <c r="H441" s="2">
        <v>186681</v>
      </c>
      <c r="I441" cm="1">
        <f t="array" ref="I441">_xlfn.IFS(B441=2015,H441/$O$10,B441=2016,H441/$O$11,B441=2017,H441/$O$12,B441=2018,H441/$O$13,B441=2019,H441/$O$14,B441=2020,H441/$O$15,B441=2021,H441/$O$16,B441=2022,H441/$O$17)</f>
        <v>3.5356970532202511E-3</v>
      </c>
      <c r="J441" s="6" cm="1">
        <f t="array" ref="J441">_xlfn.IFS(B441=2015,I441*$Q$1,B441=2016,I441*$Q$2,B441=2017,I441*$Q$3,B441=2018,I441*$Q$4,B441=2019,I441*$Q$5,B441=2020,I441*$Q$6,B441=2021,I441*$Q$7,B441=2022,I441*$Q$8)</f>
        <v>96136.41962307792</v>
      </c>
      <c r="K441" s="7">
        <f t="shared" si="14"/>
        <v>282817.41962307791</v>
      </c>
      <c r="L441">
        <f>IFERROR(VLOOKUP(G441,'LEAID Match'!$A$2:$B$168,2,FALSE),"")</f>
        <v>4639540</v>
      </c>
    </row>
    <row r="442" spans="1:12" x14ac:dyDescent="0.2">
      <c r="A442">
        <f t="shared" si="13"/>
        <v>4639540</v>
      </c>
      <c r="B442">
        <v>2021</v>
      </c>
      <c r="C442" t="s">
        <v>208</v>
      </c>
      <c r="D442" t="s">
        <v>212</v>
      </c>
      <c r="E442" t="s">
        <v>211</v>
      </c>
      <c r="F442" s="3">
        <v>917102</v>
      </c>
      <c r="G442" s="3" t="s">
        <v>3</v>
      </c>
      <c r="H442" s="4">
        <v>195055</v>
      </c>
      <c r="I442" cm="1">
        <f t="array" ref="I442">_xlfn.IFS(B442=2015,H442/$O$10,B442=2016,H442/$O$11,B442=2017,H442/$O$12,B442=2018,H442/$O$13,B442=2019,H442/$O$14,B442=2020,H442/$O$15,B442=2021,H442/$O$16,B442=2022,H442/$O$17)</f>
        <v>3.5229991855316436E-3</v>
      </c>
      <c r="J442" s="6" cm="1">
        <f t="array" ref="J442">_xlfn.IFS(B442=2015,I442*$Q$1,B442=2016,I442*$Q$2,B442=2017,I442*$Q$3,B442=2018,I442*$Q$4,B442=2019,I442*$Q$5,B442=2020,I442*$Q$6,B442=2021,I442*$Q$7,B442=2022,I442*$Q$8)</f>
        <v>98074.424485558673</v>
      </c>
      <c r="K442" s="7">
        <f t="shared" si="14"/>
        <v>293129.42448555864</v>
      </c>
      <c r="L442">
        <f>IFERROR(VLOOKUP(G442,'LEAID Match'!$A$2:$B$168,2,FALSE),"")</f>
        <v>4639540</v>
      </c>
    </row>
    <row r="443" spans="1:12" x14ac:dyDescent="0.2">
      <c r="A443">
        <f t="shared" si="13"/>
        <v>4639540</v>
      </c>
      <c r="B443">
        <v>2022</v>
      </c>
      <c r="C443" t="s">
        <v>208</v>
      </c>
      <c r="D443" t="s">
        <v>212</v>
      </c>
      <c r="E443" t="s">
        <v>211</v>
      </c>
      <c r="F443" s="3">
        <v>917102</v>
      </c>
      <c r="G443" s="3" t="s">
        <v>3</v>
      </c>
      <c r="H443" s="4">
        <v>200996</v>
      </c>
      <c r="I443" cm="1">
        <f t="array" ref="I443">_xlfn.IFS(B443=2015,H443/$O$10,B443=2016,H443/$O$11,B443=2017,H443/$O$12,B443=2018,H443/$O$13,B443=2019,H443/$O$14,B443=2020,H443/$O$15,B443=2021,H443/$O$16,B443=2022,H443/$O$17)</f>
        <v>3.4809657007562403E-3</v>
      </c>
      <c r="J443" s="6" cm="1">
        <f t="array" ref="J443">_xlfn.IFS(B443=2015,I443*$Q$1,B443=2016,I443*$Q$2,B443=2017,I443*$Q$3,B443=2018,I443*$Q$4,B443=2019,I443*$Q$5,B443=2020,I443*$Q$6,B443=2021,I443*$Q$7,B443=2022,I443*$Q$8)</f>
        <v>102542.09964072949</v>
      </c>
      <c r="K443" s="7">
        <f t="shared" si="14"/>
        <v>303538.09964072949</v>
      </c>
      <c r="L443">
        <f>IFERROR(VLOOKUP(G443,'LEAID Match'!$A$2:$B$168,2,FALSE),"")</f>
        <v>4639540</v>
      </c>
    </row>
    <row r="444" spans="1:12" x14ac:dyDescent="0.2">
      <c r="A444">
        <f t="shared" si="13"/>
        <v>4675420</v>
      </c>
      <c r="B444">
        <v>2015</v>
      </c>
      <c r="C444" t="s">
        <v>208</v>
      </c>
      <c r="D444" t="s">
        <v>212</v>
      </c>
      <c r="E444" t="s">
        <v>211</v>
      </c>
      <c r="F444" s="3">
        <v>917103</v>
      </c>
      <c r="G444" s="3" t="s">
        <v>146</v>
      </c>
      <c r="H444" s="4">
        <v>308996</v>
      </c>
      <c r="I444" cm="1">
        <f t="array" ref="I444">_xlfn.IFS(B444=2015,H444/$O$10,B444=2016,H444/$O$11,B444=2017,H444/$O$12,B444=2018,H444/$O$13,B444=2019,H444/$O$14,B444=2020,H444/$O$15,B444=2021,H444/$O$16,B444=2022,H444/$O$17)</f>
        <v>7.2275071160874532E-3</v>
      </c>
      <c r="J444" s="6" cm="1">
        <f t="array" ref="J444">_xlfn.IFS(B444=2015,I444*$Q$1,B444=2016,I444*$Q$2,B444=2017,I444*$Q$3,B444=2018,I444*$Q$4,B444=2019,I444*$Q$5,B444=2020,I444*$Q$6,B444=2021,I444*$Q$7,B444=2022,I444*$Q$8)</f>
        <v>177739.97526242564</v>
      </c>
      <c r="K444" s="7">
        <f t="shared" si="14"/>
        <v>486735.97526242561</v>
      </c>
      <c r="L444">
        <f>IFERROR(VLOOKUP(G444,'LEAID Match'!$A$2:$B$168,2,FALSE),"")</f>
        <v>4675420</v>
      </c>
    </row>
    <row r="445" spans="1:12" x14ac:dyDescent="0.2">
      <c r="A445">
        <f t="shared" si="13"/>
        <v>4675420</v>
      </c>
      <c r="B445">
        <v>2016</v>
      </c>
      <c r="C445" t="s">
        <v>208</v>
      </c>
      <c r="D445" t="s">
        <v>212</v>
      </c>
      <c r="E445" t="s">
        <v>211</v>
      </c>
      <c r="F445" s="3">
        <v>917103</v>
      </c>
      <c r="G445" s="3" t="s">
        <v>146</v>
      </c>
      <c r="H445" s="4">
        <v>325634</v>
      </c>
      <c r="I445" cm="1">
        <f t="array" ref="I445">_xlfn.IFS(B445=2015,H445/$O$10,B445=2016,H445/$O$11,B445=2017,H445/$O$12,B445=2018,H445/$O$13,B445=2019,H445/$O$14,B445=2020,H445/$O$15,B445=2021,H445/$O$16,B445=2022,H445/$O$17)</f>
        <v>7.3860501470874931E-3</v>
      </c>
      <c r="J445" s="6" cm="1">
        <f t="array" ref="J445">_xlfn.IFS(B445=2015,I445*$Q$1,B445=2016,I445*$Q$2,B445=2017,I445*$Q$3,B445=2018,I445*$Q$4,B445=2019,I445*$Q$5,B445=2020,I445*$Q$6,B445=2021,I445*$Q$7,B445=2022,I445*$Q$8)</f>
        <v>187648.54975712617</v>
      </c>
      <c r="K445" s="7">
        <f t="shared" si="14"/>
        <v>513282.54975712614</v>
      </c>
      <c r="L445">
        <f>IFERROR(VLOOKUP(G445,'LEAID Match'!$A$2:$B$168,2,FALSE),"")</f>
        <v>4675420</v>
      </c>
    </row>
    <row r="446" spans="1:12" x14ac:dyDescent="0.2">
      <c r="A446">
        <f t="shared" si="13"/>
        <v>4675420</v>
      </c>
      <c r="B446">
        <v>2017</v>
      </c>
      <c r="C446" t="s">
        <v>208</v>
      </c>
      <c r="D446" t="s">
        <v>212</v>
      </c>
      <c r="E446" t="s">
        <v>211</v>
      </c>
      <c r="F446" s="3">
        <v>917103</v>
      </c>
      <c r="G446" s="3" t="s">
        <v>146</v>
      </c>
      <c r="H446" s="4">
        <v>356901</v>
      </c>
      <c r="I446" cm="1">
        <f t="array" ref="I446">_xlfn.IFS(B446=2015,H446/$O$10,B446=2016,H446/$O$11,B446=2017,H446/$O$12,B446=2018,H446/$O$13,B446=2019,H446/$O$14,B446=2020,H446/$O$15,B446=2021,H446/$O$16,B446=2022,H446/$O$17)</f>
        <v>7.368860155530621E-3</v>
      </c>
      <c r="J446" s="6" cm="1">
        <f t="array" ref="J446">_xlfn.IFS(B446=2015,I446*$Q$1,B446=2016,I446*$Q$2,B446=2017,I446*$Q$3,B446=2018,I446*$Q$4,B446=2019,I446*$Q$5,B446=2020,I446*$Q$6,B446=2021,I446*$Q$7,B446=2022,I446*$Q$8)</f>
        <v>193841.80136255603</v>
      </c>
      <c r="K446" s="7">
        <f t="shared" si="14"/>
        <v>550742.80136255606</v>
      </c>
      <c r="L446">
        <f>IFERROR(VLOOKUP(G446,'LEAID Match'!$A$2:$B$168,2,FALSE),"")</f>
        <v>4675420</v>
      </c>
    </row>
    <row r="447" spans="1:12" x14ac:dyDescent="0.2">
      <c r="A447">
        <f t="shared" si="13"/>
        <v>4675420</v>
      </c>
      <c r="B447">
        <v>2018</v>
      </c>
      <c r="C447" t="s">
        <v>208</v>
      </c>
      <c r="D447" t="s">
        <v>212</v>
      </c>
      <c r="E447" t="s">
        <v>211</v>
      </c>
      <c r="F447" s="3">
        <v>917103</v>
      </c>
      <c r="G447" s="3" t="s">
        <v>146</v>
      </c>
      <c r="H447" s="4">
        <v>385410</v>
      </c>
      <c r="I447" cm="1">
        <f t="array" ref="I447">_xlfn.IFS(B447=2015,H447/$O$10,B447=2016,H447/$O$11,B447=2017,H447/$O$12,B447=2018,H447/$O$13,B447=2019,H447/$O$14,B447=2020,H447/$O$15,B447=2021,H447/$O$16,B447=2022,H447/$O$17)</f>
        <v>7.6860791567437249E-3</v>
      </c>
      <c r="J447" s="6" cm="1">
        <f t="array" ref="J447">_xlfn.IFS(B447=2015,I447*$Q$1,B447=2016,I447*$Q$2,B447=2017,I447*$Q$3,B447=2018,I447*$Q$4,B447=2019,I447*$Q$5,B447=2020,I447*$Q$6,B447=2021,I447*$Q$7,B447=2022,I447*$Q$8)</f>
        <v>201804.22629834429</v>
      </c>
      <c r="K447" s="7">
        <f t="shared" si="14"/>
        <v>587214.22629834432</v>
      </c>
      <c r="L447">
        <f>IFERROR(VLOOKUP(G447,'LEAID Match'!$A$2:$B$168,2,FALSE),"")</f>
        <v>4675420</v>
      </c>
    </row>
    <row r="448" spans="1:12" x14ac:dyDescent="0.2">
      <c r="A448">
        <f t="shared" si="13"/>
        <v>4675420</v>
      </c>
      <c r="B448">
        <v>2019</v>
      </c>
      <c r="C448" t="s">
        <v>208</v>
      </c>
      <c r="D448" t="s">
        <v>212</v>
      </c>
      <c r="E448" t="s">
        <v>211</v>
      </c>
      <c r="F448" s="3">
        <v>917103</v>
      </c>
      <c r="G448" s="3" t="s">
        <v>146</v>
      </c>
      <c r="H448" s="4">
        <v>395652</v>
      </c>
      <c r="I448" cm="1">
        <f t="array" ref="I448">_xlfn.IFS(B448=2015,H448/$O$10,B448=2016,H448/$O$11,B448=2017,H448/$O$12,B448=2018,H448/$O$13,B448=2019,H448/$O$14,B448=2020,H448/$O$15,B448=2021,H448/$O$16,B448=2022,H448/$O$17)</f>
        <v>7.7486591695120543E-3</v>
      </c>
      <c r="J448" s="6" cm="1">
        <f t="array" ref="J448">_xlfn.IFS(B448=2015,I448*$Q$1,B448=2016,I448*$Q$2,B448=2017,I448*$Q$3,B448=2018,I448*$Q$4,B448=2019,I448*$Q$5,B448=2020,I448*$Q$6,B448=2021,I448*$Q$7,B448=2022,I448*$Q$8)</f>
        <v>204932.31469600744</v>
      </c>
      <c r="K448" s="7">
        <f t="shared" si="14"/>
        <v>600584.31469600741</v>
      </c>
      <c r="L448">
        <f>IFERROR(VLOOKUP(G448,'LEAID Match'!$A$2:$B$168,2,FALSE),"")</f>
        <v>4675420</v>
      </c>
    </row>
    <row r="449" spans="1:12" x14ac:dyDescent="0.2">
      <c r="A449">
        <f t="shared" si="13"/>
        <v>4675420</v>
      </c>
      <c r="B449">
        <v>2020</v>
      </c>
      <c r="C449" t="s">
        <v>208</v>
      </c>
      <c r="D449" t="s">
        <v>212</v>
      </c>
      <c r="E449" t="s">
        <v>211</v>
      </c>
      <c r="F449" s="1">
        <v>917103</v>
      </c>
      <c r="G449" s="3" t="s">
        <v>146</v>
      </c>
      <c r="H449" s="2">
        <v>407874</v>
      </c>
      <c r="I449" cm="1">
        <f t="array" ref="I449">_xlfn.IFS(B449=2015,H449/$O$10,B449=2016,H449/$O$11,B449=2017,H449/$O$12,B449=2018,H449/$O$13,B449=2019,H449/$O$14,B449=2020,H449/$O$15,B449=2021,H449/$O$16,B449=2022,H449/$O$17)</f>
        <v>7.725043790665128E-3</v>
      </c>
      <c r="J449" s="6" cm="1">
        <f t="array" ref="J449">_xlfn.IFS(B449=2015,I449*$Q$1,B449=2016,I449*$Q$2,B449=2017,I449*$Q$3,B449=2018,I449*$Q$4,B449=2019,I449*$Q$5,B449=2020,I449*$Q$6,B449=2021,I449*$Q$7,B449=2022,I449*$Q$8)</f>
        <v>210045.72515330047</v>
      </c>
      <c r="K449" s="7">
        <f t="shared" si="14"/>
        <v>617919.72515330045</v>
      </c>
      <c r="L449">
        <f>IFERROR(VLOOKUP(G449,'LEAID Match'!$A$2:$B$168,2,FALSE),"")</f>
        <v>4675420</v>
      </c>
    </row>
    <row r="450" spans="1:12" x14ac:dyDescent="0.2">
      <c r="A450">
        <f t="shared" si="13"/>
        <v>4675420</v>
      </c>
      <c r="B450">
        <v>2021</v>
      </c>
      <c r="C450" t="s">
        <v>208</v>
      </c>
      <c r="D450" t="s">
        <v>212</v>
      </c>
      <c r="E450" t="s">
        <v>211</v>
      </c>
      <c r="F450" s="3">
        <v>917103</v>
      </c>
      <c r="G450" s="3" t="s">
        <v>146</v>
      </c>
      <c r="H450" s="4">
        <v>426492</v>
      </c>
      <c r="I450" cm="1">
        <f t="array" ref="I450">_xlfn.IFS(B450=2015,H450/$O$10,B450=2016,H450/$O$11,B450=2017,H450/$O$12,B450=2018,H450/$O$13,B450=2019,H450/$O$14,B450=2020,H450/$O$15,B450=2021,H450/$O$16,B450=2022,H450/$O$17)</f>
        <v>7.7031143453680333E-3</v>
      </c>
      <c r="J450" s="6" cm="1">
        <f t="array" ref="J450">_xlfn.IFS(B450=2015,I450*$Q$1,B450=2016,I450*$Q$2,B450=2017,I450*$Q$3,B450=2018,I450*$Q$4,B450=2019,I450*$Q$5,B450=2020,I450*$Q$6,B450=2021,I450*$Q$7,B450=2022,I450*$Q$8)</f>
        <v>214441.86228343233</v>
      </c>
      <c r="K450" s="7">
        <f t="shared" si="14"/>
        <v>640933.86228343239</v>
      </c>
      <c r="L450">
        <f>IFERROR(VLOOKUP(G450,'LEAID Match'!$A$2:$B$168,2,FALSE),"")</f>
        <v>4675420</v>
      </c>
    </row>
    <row r="451" spans="1:12" x14ac:dyDescent="0.2">
      <c r="A451">
        <f t="shared" ref="A451:A514" si="15">L451</f>
        <v>4675420</v>
      </c>
      <c r="B451">
        <v>2022</v>
      </c>
      <c r="C451" t="s">
        <v>208</v>
      </c>
      <c r="D451" t="s">
        <v>212</v>
      </c>
      <c r="E451" t="s">
        <v>211</v>
      </c>
      <c r="F451" s="3">
        <v>917103</v>
      </c>
      <c r="G451" s="3" t="s">
        <v>146</v>
      </c>
      <c r="H451" s="4">
        <v>467132</v>
      </c>
      <c r="I451" cm="1">
        <f t="array" ref="I451">_xlfn.IFS(B451=2015,H451/$O$10,B451=2016,H451/$O$11,B451=2017,H451/$O$12,B451=2018,H451/$O$13,B451=2019,H451/$O$14,B451=2020,H451/$O$15,B451=2021,H451/$O$16,B451=2022,H451/$O$17)</f>
        <v>8.0900638307511794E-3</v>
      </c>
      <c r="J451" s="6" cm="1">
        <f t="array" ref="J451">_xlfn.IFS(B451=2015,I451*$Q$1,B451=2016,I451*$Q$2,B451=2017,I451*$Q$3,B451=2018,I451*$Q$4,B451=2019,I451*$Q$5,B451=2020,I451*$Q$6,B451=2021,I451*$Q$7,B451=2022,I451*$Q$8)</f>
        <v>238316.66346282139</v>
      </c>
      <c r="K451" s="7">
        <f t="shared" ref="K451:K514" si="16">SUM(J451,H451)</f>
        <v>705448.66346282139</v>
      </c>
      <c r="L451">
        <f>IFERROR(VLOOKUP(G451,'LEAID Match'!$A$2:$B$168,2,FALSE),"")</f>
        <v>4675420</v>
      </c>
    </row>
    <row r="452" spans="1:12" x14ac:dyDescent="0.2">
      <c r="A452">
        <f t="shared" si="15"/>
        <v>4680240</v>
      </c>
      <c r="B452">
        <v>2015</v>
      </c>
      <c r="C452" t="s">
        <v>208</v>
      </c>
      <c r="D452" t="s">
        <v>212</v>
      </c>
      <c r="E452" t="s">
        <v>211</v>
      </c>
      <c r="F452" s="3">
        <v>917104</v>
      </c>
      <c r="G452" s="3" t="s">
        <v>191</v>
      </c>
      <c r="H452" s="4">
        <v>166571</v>
      </c>
      <c r="I452" cm="1">
        <f t="array" ref="I452">_xlfn.IFS(B452=2015,H452/$O$10,B452=2016,H452/$O$11,B452=2017,H452/$O$12,B452=2018,H452/$O$13,B452=2019,H452/$O$14,B452=2020,H452/$O$15,B452=2021,H452/$O$16,B452=2022,H452/$O$17)</f>
        <v>3.8961445709129023E-3</v>
      </c>
      <c r="J452" s="6" cm="1">
        <f t="array" ref="J452">_xlfn.IFS(B452=2015,I452*$Q$1,B452=2016,I452*$Q$2,B452=2017,I452*$Q$3,B452=2018,I452*$Q$4,B452=2019,I452*$Q$5,B452=2020,I452*$Q$6,B452=2021,I452*$Q$7,B452=2022,I452*$Q$8)</f>
        <v>95814.591190298583</v>
      </c>
      <c r="K452" s="7">
        <f t="shared" si="16"/>
        <v>262385.59119029855</v>
      </c>
      <c r="L452">
        <f>IFERROR(VLOOKUP(G452,'LEAID Match'!$A$2:$B$168,2,FALSE),"")</f>
        <v>4680240</v>
      </c>
    </row>
    <row r="453" spans="1:12" x14ac:dyDescent="0.2">
      <c r="A453">
        <f t="shared" si="15"/>
        <v>4680240</v>
      </c>
      <c r="B453">
        <v>2016</v>
      </c>
      <c r="C453" t="s">
        <v>208</v>
      </c>
      <c r="D453" t="s">
        <v>212</v>
      </c>
      <c r="E453" t="s">
        <v>211</v>
      </c>
      <c r="F453" s="3">
        <v>917104</v>
      </c>
      <c r="G453" s="3" t="s">
        <v>191</v>
      </c>
      <c r="H453" s="4">
        <v>134605</v>
      </c>
      <c r="I453" cm="1">
        <f t="array" ref="I453">_xlfn.IFS(B453=2015,H453/$O$10,B453=2016,H453/$O$11,B453=2017,H453/$O$12,B453=2018,H453/$O$13,B453=2019,H453/$O$14,B453=2020,H453/$O$15,B453=2021,H453/$O$16,B453=2022,H453/$O$17)</f>
        <v>3.0531187776728229E-3</v>
      </c>
      <c r="J453" s="6" cm="1">
        <f t="array" ref="J453">_xlfn.IFS(B453=2015,I453*$Q$1,B453=2016,I453*$Q$2,B453=2017,I453*$Q$3,B453=2018,I453*$Q$4,B453=2019,I453*$Q$5,B453=2020,I453*$Q$6,B453=2021,I453*$Q$7,B453=2022,I453*$Q$8)</f>
        <v>77566.940307394092</v>
      </c>
      <c r="K453" s="7">
        <f t="shared" si="16"/>
        <v>212171.94030739408</v>
      </c>
      <c r="L453">
        <f>IFERROR(VLOOKUP(G453,'LEAID Match'!$A$2:$B$168,2,FALSE),"")</f>
        <v>4680240</v>
      </c>
    </row>
    <row r="454" spans="1:12" x14ac:dyDescent="0.2">
      <c r="A454">
        <f t="shared" si="15"/>
        <v>4680240</v>
      </c>
      <c r="B454">
        <v>2017</v>
      </c>
      <c r="C454" t="s">
        <v>208</v>
      </c>
      <c r="D454" t="s">
        <v>212</v>
      </c>
      <c r="E454" t="s">
        <v>211</v>
      </c>
      <c r="F454" s="3">
        <v>917104</v>
      </c>
      <c r="G454" s="3" t="s">
        <v>191</v>
      </c>
      <c r="H454" s="4">
        <v>67957</v>
      </c>
      <c r="I454" cm="1">
        <f t="array" ref="I454">_xlfn.IFS(B454=2015,H454/$O$10,B454=2016,H454/$O$11,B454=2017,H454/$O$12,B454=2018,H454/$O$13,B454=2019,H454/$O$14,B454=2020,H454/$O$15,B454=2021,H454/$O$16,B454=2022,H454/$O$17)</f>
        <v>1.403093938065162E-3</v>
      </c>
      <c r="J454" s="6" cm="1">
        <f t="array" ref="J454">_xlfn.IFS(B454=2015,I454*$Q$1,B454=2016,I454*$Q$2,B454=2017,I454*$Q$3,B454=2018,I454*$Q$4,B454=2019,I454*$Q$5,B454=2020,I454*$Q$6,B454=2021,I454*$Q$7,B454=2022,I454*$Q$8)</f>
        <v>36909.13529296701</v>
      </c>
      <c r="K454" s="7">
        <f t="shared" si="16"/>
        <v>104866.13529296701</v>
      </c>
      <c r="L454">
        <f>IFERROR(VLOOKUP(G454,'LEAID Match'!$A$2:$B$168,2,FALSE),"")</f>
        <v>4680240</v>
      </c>
    </row>
    <row r="455" spans="1:12" x14ac:dyDescent="0.2">
      <c r="A455">
        <f t="shared" si="15"/>
        <v>4680438</v>
      </c>
      <c r="B455">
        <v>2015</v>
      </c>
      <c r="C455" t="s">
        <v>208</v>
      </c>
      <c r="D455" t="s">
        <v>212</v>
      </c>
      <c r="E455" t="s">
        <v>211</v>
      </c>
      <c r="F455" s="3">
        <v>917105</v>
      </c>
      <c r="G455" s="3" t="s">
        <v>194</v>
      </c>
      <c r="H455" s="4">
        <v>154422</v>
      </c>
      <c r="I455" cm="1">
        <f t="array" ref="I455">_xlfn.IFS(B455=2015,H455/$O$10,B455=2016,H455/$O$11,B455=2017,H455/$O$12,B455=2018,H455/$O$13,B455=2019,H455/$O$14,B455=2020,H455/$O$15,B455=2021,H455/$O$16,B455=2022,H455/$O$17)</f>
        <v>3.6119758957412285E-3</v>
      </c>
      <c r="J455" s="6" cm="1">
        <f t="array" ref="J455">_xlfn.IFS(B455=2015,I455*$Q$1,B455=2016,I455*$Q$2,B455=2017,I455*$Q$3,B455=2018,I455*$Q$4,B455=2019,I455*$Q$5,B455=2020,I455*$Q$6,B455=2021,I455*$Q$7,B455=2022,I455*$Q$8)</f>
        <v>88826.271084332126</v>
      </c>
      <c r="K455" s="7">
        <f t="shared" si="16"/>
        <v>243248.27108433214</v>
      </c>
      <c r="L455">
        <f>IFERROR(VLOOKUP(G455,'LEAID Match'!$A$2:$B$168,2,FALSE),"")</f>
        <v>4680438</v>
      </c>
    </row>
    <row r="456" spans="1:12" x14ac:dyDescent="0.2">
      <c r="A456">
        <f t="shared" si="15"/>
        <v>4680438</v>
      </c>
      <c r="B456">
        <v>2016</v>
      </c>
      <c r="C456" t="s">
        <v>208</v>
      </c>
      <c r="D456" t="s">
        <v>212</v>
      </c>
      <c r="E456" t="s">
        <v>211</v>
      </c>
      <c r="F456" s="3">
        <v>917105</v>
      </c>
      <c r="G456" s="3" t="s">
        <v>194</v>
      </c>
      <c r="H456" s="4">
        <v>158897</v>
      </c>
      <c r="I456" cm="1">
        <f t="array" ref="I456">_xlfn.IFS(B456=2015,H456/$O$10,B456=2016,H456/$O$11,B456=2017,H456/$O$12,B456=2018,H456/$O$13,B456=2019,H456/$O$14,B456=2020,H456/$O$15,B456=2021,H456/$O$16,B456=2022,H456/$O$17)</f>
        <v>3.6041113956827645E-3</v>
      </c>
      <c r="J456" s="6" cm="1">
        <f t="array" ref="J456">_xlfn.IFS(B456=2015,I456*$Q$1,B456=2016,I456*$Q$2,B456=2017,I456*$Q$3,B456=2018,I456*$Q$4,B456=2019,I456*$Q$5,B456=2020,I456*$Q$6,B456=2021,I456*$Q$7,B456=2022,I456*$Q$8)</f>
        <v>91565.351316994158</v>
      </c>
      <c r="K456" s="7">
        <f t="shared" si="16"/>
        <v>250462.35131699417</v>
      </c>
      <c r="L456">
        <f>IFERROR(VLOOKUP(G456,'LEAID Match'!$A$2:$B$168,2,FALSE),"")</f>
        <v>4680438</v>
      </c>
    </row>
    <row r="457" spans="1:12" x14ac:dyDescent="0.2">
      <c r="A457">
        <f t="shared" si="15"/>
        <v>4680438</v>
      </c>
      <c r="B457">
        <v>2017</v>
      </c>
      <c r="C457" t="s">
        <v>208</v>
      </c>
      <c r="D457" t="s">
        <v>212</v>
      </c>
      <c r="E457" t="s">
        <v>211</v>
      </c>
      <c r="F457" s="3">
        <v>917105</v>
      </c>
      <c r="G457" s="3" t="s">
        <v>194</v>
      </c>
      <c r="H457" s="4">
        <v>175243</v>
      </c>
      <c r="I457" cm="1">
        <f t="array" ref="I457">_xlfn.IFS(B457=2015,H457/$O$10,B457=2016,H457/$O$11,B457=2017,H457/$O$12,B457=2018,H457/$O$13,B457=2019,H457/$O$14,B457=2020,H457/$O$15,B457=2021,H457/$O$16,B457=2022,H457/$O$17)</f>
        <v>3.6182054974226818E-3</v>
      </c>
      <c r="J457" s="6" cm="1">
        <f t="array" ref="J457">_xlfn.IFS(B457=2015,I457*$Q$1,B457=2016,I457*$Q$2,B457=2017,I457*$Q$3,B457=2018,I457*$Q$4,B457=2019,I457*$Q$5,B457=2020,I457*$Q$6,B457=2021,I457*$Q$7,B457=2022,I457*$Q$8)</f>
        <v>95178.827731439262</v>
      </c>
      <c r="K457" s="7">
        <f t="shared" si="16"/>
        <v>270421.82773143926</v>
      </c>
      <c r="L457">
        <f>IFERROR(VLOOKUP(G457,'LEAID Match'!$A$2:$B$168,2,FALSE),"")</f>
        <v>4680438</v>
      </c>
    </row>
    <row r="458" spans="1:12" x14ac:dyDescent="0.2">
      <c r="A458">
        <f t="shared" si="15"/>
        <v>4680438</v>
      </c>
      <c r="B458">
        <v>2018</v>
      </c>
      <c r="C458" t="s">
        <v>208</v>
      </c>
      <c r="D458" t="s">
        <v>212</v>
      </c>
      <c r="E458" t="s">
        <v>211</v>
      </c>
      <c r="F458" s="3">
        <v>917105</v>
      </c>
      <c r="G458" s="3" t="s">
        <v>194</v>
      </c>
      <c r="H458" s="4">
        <v>175378</v>
      </c>
      <c r="I458" cm="1">
        <f t="array" ref="I458">_xlfn.IFS(B458=2015,H458/$O$10,B458=2016,H458/$O$11,B458=2017,H458/$O$12,B458=2018,H458/$O$13,B458=2019,H458/$O$14,B458=2020,H458/$O$15,B458=2021,H458/$O$16,B458=2022,H458/$O$17)</f>
        <v>3.4974940721605591E-3</v>
      </c>
      <c r="J458" s="6" cm="1">
        <f t="array" ref="J458">_xlfn.IFS(B458=2015,I458*$Q$1,B458=2016,I458*$Q$2,B458=2017,I458*$Q$3,B458=2018,I458*$Q$4,B458=2019,I458*$Q$5,B458=2020,I458*$Q$6,B458=2021,I458*$Q$7,B458=2022,I458*$Q$8)</f>
        <v>91829.53633727986</v>
      </c>
      <c r="K458" s="7">
        <f t="shared" si="16"/>
        <v>267207.53633727983</v>
      </c>
      <c r="L458">
        <f>IFERROR(VLOOKUP(G458,'LEAID Match'!$A$2:$B$168,2,FALSE),"")</f>
        <v>4680438</v>
      </c>
    </row>
    <row r="459" spans="1:12" x14ac:dyDescent="0.2">
      <c r="A459">
        <f t="shared" si="15"/>
        <v>4680438</v>
      </c>
      <c r="B459">
        <v>2019</v>
      </c>
      <c r="C459" t="s">
        <v>208</v>
      </c>
      <c r="D459" t="s">
        <v>212</v>
      </c>
      <c r="E459" t="s">
        <v>211</v>
      </c>
      <c r="F459" s="3">
        <v>917105</v>
      </c>
      <c r="G459" s="3" t="s">
        <v>194</v>
      </c>
      <c r="H459" s="4">
        <v>176779</v>
      </c>
      <c r="I459" cm="1">
        <f t="array" ref="I459">_xlfn.IFS(B459=2015,H459/$O$10,B459=2016,H459/$O$11,B459=2017,H459/$O$12,B459=2018,H459/$O$13,B459=2019,H459/$O$14,B459=2020,H459/$O$15,B459=2021,H459/$O$16,B459=2022,H459/$O$17)</f>
        <v>3.462133944292387E-3</v>
      </c>
      <c r="J459" s="6" cm="1">
        <f t="array" ref="J459">_xlfn.IFS(B459=2015,I459*$Q$1,B459=2016,I459*$Q$2,B459=2017,I459*$Q$3,B459=2018,I459*$Q$4,B459=2019,I459*$Q$5,B459=2020,I459*$Q$6,B459=2021,I459*$Q$7,B459=2022,I459*$Q$8)</f>
        <v>91564.63169564541</v>
      </c>
      <c r="K459" s="7">
        <f t="shared" si="16"/>
        <v>268343.6316956454</v>
      </c>
      <c r="L459">
        <f>IFERROR(VLOOKUP(G459,'LEAID Match'!$A$2:$B$168,2,FALSE),"")</f>
        <v>4680438</v>
      </c>
    </row>
    <row r="460" spans="1:12" x14ac:dyDescent="0.2">
      <c r="A460">
        <f t="shared" si="15"/>
        <v>4680438</v>
      </c>
      <c r="B460">
        <v>2020</v>
      </c>
      <c r="C460" t="s">
        <v>208</v>
      </c>
      <c r="D460" t="s">
        <v>212</v>
      </c>
      <c r="E460" t="s">
        <v>211</v>
      </c>
      <c r="F460" s="1">
        <v>917105</v>
      </c>
      <c r="G460" s="3" t="s">
        <v>194</v>
      </c>
      <c r="H460" s="2">
        <v>178599</v>
      </c>
      <c r="I460" cm="1">
        <f t="array" ref="I460">_xlfn.IFS(B460=2015,H460/$O$10,B460=2016,H460/$O$11,B460=2017,H460/$O$12,B460=2018,H460/$O$13,B460=2019,H460/$O$14,B460=2020,H460/$O$15,B460=2021,H460/$O$16,B460=2022,H460/$O$17)</f>
        <v>3.3826257519944912E-3</v>
      </c>
      <c r="J460" s="6" cm="1">
        <f t="array" ref="J460">_xlfn.IFS(B460=2015,I460*$Q$1,B460=2016,I460*$Q$2,B460=2017,I460*$Q$3,B460=2018,I460*$Q$4,B460=2019,I460*$Q$5,B460=2020,I460*$Q$6,B460=2021,I460*$Q$7,B460=2022,I460*$Q$8)</f>
        <v>91974.375583278932</v>
      </c>
      <c r="K460" s="7">
        <f t="shared" si="16"/>
        <v>270573.37558327895</v>
      </c>
      <c r="L460">
        <f>IFERROR(VLOOKUP(G460,'LEAID Match'!$A$2:$B$168,2,FALSE),"")</f>
        <v>4680438</v>
      </c>
    </row>
    <row r="461" spans="1:12" x14ac:dyDescent="0.2">
      <c r="A461">
        <f t="shared" si="15"/>
        <v>4680438</v>
      </c>
      <c r="B461">
        <v>2021</v>
      </c>
      <c r="C461" t="s">
        <v>208</v>
      </c>
      <c r="D461" t="s">
        <v>212</v>
      </c>
      <c r="E461" t="s">
        <v>211</v>
      </c>
      <c r="F461" s="3">
        <v>917105</v>
      </c>
      <c r="G461" s="3" t="s">
        <v>194</v>
      </c>
      <c r="H461" s="4">
        <v>194894</v>
      </c>
      <c r="I461" cm="1">
        <f t="array" ref="I461">_xlfn.IFS(B461=2015,H461/$O$10,B461=2016,H461/$O$11,B461=2017,H461/$O$12,B461=2018,H461/$O$13,B461=2019,H461/$O$14,B461=2020,H461/$O$15,B461=2021,H461/$O$16,B461=2022,H461/$O$17)</f>
        <v>3.5200912730512118E-3</v>
      </c>
      <c r="J461" s="6" cm="1">
        <f t="array" ref="J461">_xlfn.IFS(B461=2015,I461*$Q$1,B461=2016,I461*$Q$2,B461=2017,I461*$Q$3,B461=2018,I461*$Q$4,B461=2019,I461*$Q$5,B461=2020,I461*$Q$6,B461=2021,I461*$Q$7,B461=2022,I461*$Q$8)</f>
        <v>97993.473049593566</v>
      </c>
      <c r="K461" s="7">
        <f t="shared" si="16"/>
        <v>292887.47304959357</v>
      </c>
      <c r="L461">
        <f>IFERROR(VLOOKUP(G461,'LEAID Match'!$A$2:$B$168,2,FALSE),"")</f>
        <v>4680438</v>
      </c>
    </row>
    <row r="462" spans="1:12" x14ac:dyDescent="0.2">
      <c r="A462">
        <f t="shared" si="15"/>
        <v>4680438</v>
      </c>
      <c r="B462">
        <v>2022</v>
      </c>
      <c r="C462" t="s">
        <v>208</v>
      </c>
      <c r="D462" t="s">
        <v>212</v>
      </c>
      <c r="E462" t="s">
        <v>211</v>
      </c>
      <c r="F462" s="3">
        <v>917105</v>
      </c>
      <c r="G462" s="3" t="s">
        <v>194</v>
      </c>
      <c r="H462" s="4">
        <v>187929</v>
      </c>
      <c r="I462" cm="1">
        <f t="array" ref="I462">_xlfn.IFS(B462=2015,H462/$O$10,B462=2016,H462/$O$11,B462=2017,H462/$O$12,B462=2018,H462/$O$13,B462=2019,H462/$O$14,B462=2020,H462/$O$15,B462=2021,H462/$O$16,B462=2022,H462/$O$17)</f>
        <v>3.2546637902118422E-3</v>
      </c>
      <c r="J462" s="6" cm="1">
        <f t="array" ref="J462">_xlfn.IFS(B462=2015,I462*$Q$1,B462=2016,I462*$Q$2,B462=2017,I462*$Q$3,B462=2018,I462*$Q$4,B462=2019,I462*$Q$5,B462=2020,I462*$Q$6,B462=2021,I462*$Q$7,B462=2022,I462*$Q$8)</f>
        <v>95875.71018021577</v>
      </c>
      <c r="K462" s="7">
        <f t="shared" si="16"/>
        <v>283804.71018021577</v>
      </c>
      <c r="L462">
        <f>IFERROR(VLOOKUP(G462,'LEAID Match'!$A$2:$B$168,2,FALSE),"")</f>
        <v>4680438</v>
      </c>
    </row>
    <row r="463" spans="1:12" x14ac:dyDescent="0.2">
      <c r="A463">
        <f t="shared" si="15"/>
        <v>4680446</v>
      </c>
      <c r="B463">
        <v>2018</v>
      </c>
      <c r="C463" t="s">
        <v>208</v>
      </c>
      <c r="D463" t="s">
        <v>212</v>
      </c>
      <c r="E463" t="s">
        <v>211</v>
      </c>
      <c r="F463" s="3">
        <v>917106</v>
      </c>
      <c r="G463" s="3" t="s">
        <v>97</v>
      </c>
      <c r="H463" s="4">
        <v>70750</v>
      </c>
      <c r="I463" cm="1">
        <f t="array" ref="I463">_xlfn.IFS(B463=2015,H463/$O$10,B463=2016,H463/$O$11,B463=2017,H463/$O$12,B463=2018,H463/$O$13,B463=2019,H463/$O$14,B463=2020,H463/$O$15,B463=2021,H463/$O$16,B463=2022,H463/$O$17)</f>
        <v>1.4109392603710816E-3</v>
      </c>
      <c r="J463" s="6" cm="1">
        <f t="array" ref="J463">_xlfn.IFS(B463=2015,I463*$Q$1,B463=2016,I463*$Q$2,B463=2017,I463*$Q$3,B463=2018,I463*$Q$4,B463=2019,I463*$Q$5,B463=2020,I463*$Q$6,B463=2021,I463*$Q$7,B463=2022,I463*$Q$8)</f>
        <v>37045.351730904389</v>
      </c>
      <c r="K463" s="7">
        <f t="shared" si="16"/>
        <v>107795.3517309044</v>
      </c>
      <c r="L463">
        <f>IFERROR(VLOOKUP(G463,'LEAID Match'!$A$2:$B$168,2,FALSE),"")</f>
        <v>4680446</v>
      </c>
    </row>
    <row r="464" spans="1:12" x14ac:dyDescent="0.2">
      <c r="A464">
        <f t="shared" si="15"/>
        <v>4680446</v>
      </c>
      <c r="B464">
        <v>2019</v>
      </c>
      <c r="C464" t="s">
        <v>208</v>
      </c>
      <c r="D464" t="s">
        <v>212</v>
      </c>
      <c r="E464" t="s">
        <v>211</v>
      </c>
      <c r="F464" s="3">
        <v>917106</v>
      </c>
      <c r="G464" s="3" t="s">
        <v>97</v>
      </c>
      <c r="H464" s="4">
        <v>77125</v>
      </c>
      <c r="I464" cm="1">
        <f t="array" ref="I464">_xlfn.IFS(B464=2015,H464/$O$10,B464=2016,H464/$O$11,B464=2017,H464/$O$12,B464=2018,H464/$O$13,B464=2019,H464/$O$14,B464=2020,H464/$O$15,B464=2021,H464/$O$16,B464=2022,H464/$O$17)</f>
        <v>1.5104570138622254E-3</v>
      </c>
      <c r="J464" s="6" cm="1">
        <f t="array" ref="J464">_xlfn.IFS(B464=2015,I464*$Q$1,B464=2016,I464*$Q$2,B464=2017,I464*$Q$3,B464=2018,I464*$Q$4,B464=2019,I464*$Q$5,B464=2020,I464*$Q$6,B464=2021,I464*$Q$7,B464=2022,I464*$Q$8)</f>
        <v>39947.74390355558</v>
      </c>
      <c r="K464" s="7">
        <f t="shared" si="16"/>
        <v>117072.74390355559</v>
      </c>
      <c r="L464">
        <f>IFERROR(VLOOKUP(G464,'LEAID Match'!$A$2:$B$168,2,FALSE),"")</f>
        <v>4680446</v>
      </c>
    </row>
    <row r="465" spans="1:12" x14ac:dyDescent="0.2">
      <c r="A465">
        <f t="shared" si="15"/>
        <v>4680446</v>
      </c>
      <c r="B465">
        <v>2020</v>
      </c>
      <c r="C465" t="s">
        <v>208</v>
      </c>
      <c r="D465" t="s">
        <v>212</v>
      </c>
      <c r="E465" t="s">
        <v>211</v>
      </c>
      <c r="F465" s="1">
        <v>917106</v>
      </c>
      <c r="G465" s="3" t="s">
        <v>97</v>
      </c>
      <c r="H465" s="2">
        <v>83157</v>
      </c>
      <c r="I465" cm="1">
        <f t="array" ref="I465">_xlfn.IFS(B465=2015,H465/$O$10,B465=2016,H465/$O$11,B465=2017,H465/$O$12,B465=2018,H465/$O$13,B465=2019,H465/$O$14,B465=2020,H465/$O$15,B465=2021,H465/$O$16,B465=2022,H465/$O$17)</f>
        <v>1.5749752779052847E-3</v>
      </c>
      <c r="J465" s="6" cm="1">
        <f t="array" ref="J465">_xlfn.IFS(B465=2015,I465*$Q$1,B465=2016,I465*$Q$2,B465=2017,I465*$Q$3,B465=2018,I465*$Q$4,B465=2019,I465*$Q$5,B465=2020,I465*$Q$6,B465=2021,I465*$Q$7,B465=2022,I465*$Q$8)</f>
        <v>42823.941625533887</v>
      </c>
      <c r="K465" s="7">
        <f t="shared" si="16"/>
        <v>125980.94162553389</v>
      </c>
      <c r="L465">
        <f>IFERROR(VLOOKUP(G465,'LEAID Match'!$A$2:$B$168,2,FALSE),"")</f>
        <v>4680446</v>
      </c>
    </row>
    <row r="466" spans="1:12" x14ac:dyDescent="0.2">
      <c r="A466">
        <f t="shared" si="15"/>
        <v>4680446</v>
      </c>
      <c r="B466">
        <v>2021</v>
      </c>
      <c r="C466" t="s">
        <v>208</v>
      </c>
      <c r="D466" t="s">
        <v>212</v>
      </c>
      <c r="E466" t="s">
        <v>211</v>
      </c>
      <c r="F466" s="3">
        <v>917106</v>
      </c>
      <c r="G466" s="3" t="s">
        <v>97</v>
      </c>
      <c r="H466" s="4">
        <v>88282</v>
      </c>
      <c r="I466" cm="1">
        <f t="array" ref="I466">_xlfn.IFS(B466=2015,H466/$O$10,B466=2016,H466/$O$11,B466=2017,H466/$O$12,B466=2018,H466/$O$13,B466=2019,H466/$O$14,B466=2020,H466/$O$15,B466=2021,H466/$O$16,B466=2022,H466/$O$17)</f>
        <v>1.5945113639594193E-3</v>
      </c>
      <c r="J466" s="6" cm="1">
        <f t="array" ref="J466">_xlfn.IFS(B466=2015,I466*$Q$1,B466=2016,I466*$Q$2,B466=2017,I466*$Q$3,B466=2018,I466*$Q$4,B466=2019,I466*$Q$5,B466=2020,I466*$Q$6,B466=2021,I466*$Q$7,B466=2022,I466*$Q$8)</f>
        <v>44388.538322186512</v>
      </c>
      <c r="K466" s="7">
        <f t="shared" si="16"/>
        <v>132670.5383221865</v>
      </c>
      <c r="L466">
        <f>IFERROR(VLOOKUP(G466,'LEAID Match'!$A$2:$B$168,2,FALSE),"")</f>
        <v>4680446</v>
      </c>
    </row>
    <row r="467" spans="1:12" x14ac:dyDescent="0.2">
      <c r="A467">
        <f t="shared" si="15"/>
        <v>4680446</v>
      </c>
      <c r="B467">
        <v>2022</v>
      </c>
      <c r="C467" t="s">
        <v>208</v>
      </c>
      <c r="D467" t="s">
        <v>212</v>
      </c>
      <c r="E467" t="s">
        <v>211</v>
      </c>
      <c r="F467" s="3">
        <v>917106</v>
      </c>
      <c r="G467" s="3" t="s">
        <v>97</v>
      </c>
      <c r="H467" s="4">
        <v>93803</v>
      </c>
      <c r="I467" cm="1">
        <f t="array" ref="I467">_xlfn.IFS(B467=2015,H467/$O$10,B467=2016,H467/$O$11,B467=2017,H467/$O$12,B467=2018,H467/$O$13,B467=2019,H467/$O$14,B467=2020,H467/$O$15,B467=2021,H467/$O$16,B467=2022,H467/$O$17)</f>
        <v>1.624534944118478E-3</v>
      </c>
      <c r="J467" s="6" cm="1">
        <f t="array" ref="J467">_xlfn.IFS(B467=2015,I467*$Q$1,B467=2016,I467*$Q$2,B467=2017,I467*$Q$3,B467=2018,I467*$Q$4,B467=2019,I467*$Q$5,B467=2020,I467*$Q$6,B467=2021,I467*$Q$7,B467=2022,I467*$Q$8)</f>
        <v>47855.462658955141</v>
      </c>
      <c r="K467" s="7">
        <f t="shared" si="16"/>
        <v>141658.46265895513</v>
      </c>
      <c r="L467">
        <f>IFERROR(VLOOKUP(G467,'LEAID Match'!$A$2:$B$168,2,FALSE),"")</f>
        <v>4680446</v>
      </c>
    </row>
    <row r="468" spans="1:12" x14ac:dyDescent="0.2">
      <c r="A468">
        <f t="shared" si="15"/>
        <v>4679350</v>
      </c>
      <c r="B468">
        <v>2015</v>
      </c>
      <c r="C468" t="s">
        <v>208</v>
      </c>
      <c r="D468" t="s">
        <v>212</v>
      </c>
      <c r="E468" t="s">
        <v>211</v>
      </c>
      <c r="F468" s="3">
        <v>918101</v>
      </c>
      <c r="G468" s="3" t="s">
        <v>158</v>
      </c>
      <c r="H468" s="4">
        <v>67183</v>
      </c>
      <c r="I468" cm="1">
        <f t="array" ref="I468">_xlfn.IFS(B468=2015,H468/$O$10,B468=2016,H468/$O$11,B468=2017,H468/$O$12,B468=2018,H468/$O$13,B468=2019,H468/$O$14,B468=2020,H468/$O$15,B468=2021,H468/$O$16,B468=2022,H468/$O$17)</f>
        <v>1.571430085114705E-3</v>
      </c>
      <c r="J468" s="6" cm="1">
        <f t="array" ref="J468">_xlfn.IFS(B468=2015,I468*$Q$1,B468=2016,I468*$Q$2,B468=2017,I468*$Q$3,B468=2018,I468*$Q$4,B468=2019,I468*$Q$5,B468=2020,I468*$Q$6,B468=2021,I468*$Q$7,B468=2022,I468*$Q$8)</f>
        <v>38644.852224804017</v>
      </c>
      <c r="K468" s="7">
        <f t="shared" si="16"/>
        <v>105827.85222480402</v>
      </c>
      <c r="L468">
        <f>IFERROR(VLOOKUP(G468,'LEAID Match'!$A$2:$B$168,2,FALSE),"")</f>
        <v>4679350</v>
      </c>
    </row>
    <row r="469" spans="1:12" x14ac:dyDescent="0.2">
      <c r="A469">
        <f t="shared" si="15"/>
        <v>4679350</v>
      </c>
      <c r="B469">
        <v>2016</v>
      </c>
      <c r="C469" t="s">
        <v>208</v>
      </c>
      <c r="D469" t="s">
        <v>212</v>
      </c>
      <c r="E469" t="s">
        <v>211</v>
      </c>
      <c r="F469" s="3">
        <v>918101</v>
      </c>
      <c r="G469" s="3" t="s">
        <v>158</v>
      </c>
      <c r="H469" s="4">
        <v>73464</v>
      </c>
      <c r="I469" cm="1">
        <f t="array" ref="I469">_xlfn.IFS(B469=2015,H469/$O$10,B469=2016,H469/$O$11,B469=2017,H469/$O$12,B469=2018,H469/$O$13,B469=2019,H469/$O$14,B469=2020,H469/$O$15,B469=2021,H469/$O$16,B469=2022,H469/$O$17)</f>
        <v>1.6663149057089726E-3</v>
      </c>
      <c r="J469" s="6" cm="1">
        <f t="array" ref="J469">_xlfn.IFS(B469=2015,I469*$Q$1,B469=2016,I469*$Q$2,B469=2017,I469*$Q$3,B469=2018,I469*$Q$4,B469=2019,I469*$Q$5,B469=2020,I469*$Q$6,B469=2021,I469*$Q$7,B469=2022,I469*$Q$8)</f>
        <v>42334.071563035541</v>
      </c>
      <c r="K469" s="7">
        <f t="shared" si="16"/>
        <v>115798.07156303554</v>
      </c>
      <c r="L469">
        <f>IFERROR(VLOOKUP(G469,'LEAID Match'!$A$2:$B$168,2,FALSE),"")</f>
        <v>4679350</v>
      </c>
    </row>
    <row r="470" spans="1:12" x14ac:dyDescent="0.2">
      <c r="A470">
        <f t="shared" si="15"/>
        <v>4679350</v>
      </c>
      <c r="B470">
        <v>2017</v>
      </c>
      <c r="C470" t="s">
        <v>208</v>
      </c>
      <c r="D470" t="s">
        <v>212</v>
      </c>
      <c r="E470" t="s">
        <v>211</v>
      </c>
      <c r="F470" s="3">
        <v>918101</v>
      </c>
      <c r="G470" s="3" t="s">
        <v>158</v>
      </c>
      <c r="H470" s="4">
        <v>79182</v>
      </c>
      <c r="I470" cm="1">
        <f t="array" ref="I470">_xlfn.IFS(B470=2015,H470/$O$10,B470=2016,H470/$O$11,B470=2017,H470/$O$12,B470=2018,H470/$O$13,B470=2019,H470/$O$14,B470=2020,H470/$O$15,B470=2021,H470/$O$16,B470=2022,H470/$O$17)</f>
        <v>1.6348541607763094E-3</v>
      </c>
      <c r="J470" s="6" cm="1">
        <f t="array" ref="J470">_xlfn.IFS(B470=2015,I470*$Q$1,B470=2016,I470*$Q$2,B470=2017,I470*$Q$3,B470=2018,I470*$Q$4,B470=2019,I470*$Q$5,B470=2020,I470*$Q$6,B470=2021,I470*$Q$7,B470=2022,I470*$Q$8)</f>
        <v>43005.711711342672</v>
      </c>
      <c r="K470" s="7">
        <f t="shared" si="16"/>
        <v>122187.71171134268</v>
      </c>
      <c r="L470">
        <f>IFERROR(VLOOKUP(G470,'LEAID Match'!$A$2:$B$168,2,FALSE),"")</f>
        <v>4679350</v>
      </c>
    </row>
    <row r="471" spans="1:12" x14ac:dyDescent="0.2">
      <c r="A471">
        <f t="shared" si="15"/>
        <v>4679350</v>
      </c>
      <c r="B471">
        <v>2018</v>
      </c>
      <c r="C471" t="s">
        <v>208</v>
      </c>
      <c r="D471" t="s">
        <v>212</v>
      </c>
      <c r="E471" t="s">
        <v>211</v>
      </c>
      <c r="F471" s="3">
        <v>918101</v>
      </c>
      <c r="G471" s="3" t="s">
        <v>158</v>
      </c>
      <c r="H471" s="4">
        <v>81941</v>
      </c>
      <c r="I471" cm="1">
        <f t="array" ref="I471">_xlfn.IFS(B471=2015,H471/$O$10,B471=2016,H471/$O$11,B471=2017,H471/$O$12,B471=2018,H471/$O$13,B471=2019,H471/$O$14,B471=2020,H471/$O$15,B471=2021,H471/$O$16,B471=2022,H471/$O$17)</f>
        <v>1.6341169460645484E-3</v>
      </c>
      <c r="J471" s="6" cm="1">
        <f t="array" ref="J471">_xlfn.IFS(B471=2015,I471*$Q$1,B471=2016,I471*$Q$2,B471=2017,I471*$Q$3,B471=2018,I471*$Q$4,B471=2019,I471*$Q$5,B471=2020,I471*$Q$6,B471=2021,I471*$Q$7,B471=2022,I471*$Q$8)</f>
        <v>42905.062419534086</v>
      </c>
      <c r="K471" s="7">
        <f t="shared" si="16"/>
        <v>124846.06241953408</v>
      </c>
      <c r="L471">
        <f>IFERROR(VLOOKUP(G471,'LEAID Match'!$A$2:$B$168,2,FALSE),"")</f>
        <v>4679350</v>
      </c>
    </row>
    <row r="472" spans="1:12" x14ac:dyDescent="0.2">
      <c r="A472">
        <f t="shared" si="15"/>
        <v>4679350</v>
      </c>
      <c r="B472">
        <v>2019</v>
      </c>
      <c r="C472" t="s">
        <v>208</v>
      </c>
      <c r="D472" t="s">
        <v>212</v>
      </c>
      <c r="E472" t="s">
        <v>211</v>
      </c>
      <c r="F472" s="3">
        <v>918101</v>
      </c>
      <c r="G472" s="3" t="s">
        <v>158</v>
      </c>
      <c r="H472" s="4">
        <v>84194</v>
      </c>
      <c r="I472" cm="1">
        <f t="array" ref="I472">_xlfn.IFS(B472=2015,H472/$O$10,B472=2016,H472/$O$11,B472=2017,H472/$O$12,B472=2018,H472/$O$13,B472=2019,H472/$O$14,B472=2020,H472/$O$15,B472=2021,H472/$O$16,B472=2022,H472/$O$17)</f>
        <v>1.6489000690452667E-3</v>
      </c>
      <c r="J472" s="6" cm="1">
        <f t="array" ref="J472">_xlfn.IFS(B472=2015,I472*$Q$1,B472=2016,I472*$Q$2,B472=2017,I472*$Q$3,B472=2018,I472*$Q$4,B472=2019,I472*$Q$5,B472=2020,I472*$Q$6,B472=2021,I472*$Q$7,B472=2022,I472*$Q$8)</f>
        <v>43609.210375571587</v>
      </c>
      <c r="K472" s="7">
        <f t="shared" si="16"/>
        <v>127803.21037557159</v>
      </c>
      <c r="L472">
        <f>IFERROR(VLOOKUP(G472,'LEAID Match'!$A$2:$B$168,2,FALSE),"")</f>
        <v>4679350</v>
      </c>
    </row>
    <row r="473" spans="1:12" x14ac:dyDescent="0.2">
      <c r="A473">
        <f t="shared" si="15"/>
        <v>4679350</v>
      </c>
      <c r="B473">
        <v>2020</v>
      </c>
      <c r="C473" t="s">
        <v>208</v>
      </c>
      <c r="D473" t="s">
        <v>212</v>
      </c>
      <c r="E473" t="s">
        <v>211</v>
      </c>
      <c r="F473" s="1">
        <v>918101</v>
      </c>
      <c r="G473" s="3" t="s">
        <v>158</v>
      </c>
      <c r="H473" s="2">
        <v>104665</v>
      </c>
      <c r="I473" cm="1">
        <f t="array" ref="I473">_xlfn.IFS(B473=2015,H473/$O$10,B473=2016,H473/$O$11,B473=2017,H473/$O$12,B473=2018,H473/$O$13,B473=2019,H473/$O$14,B473=2020,H473/$O$15,B473=2021,H473/$O$16,B473=2022,H473/$O$17)</f>
        <v>1.9823320641913079E-3</v>
      </c>
      <c r="J473" s="6" cm="1">
        <f t="array" ref="J473">_xlfn.IFS(B473=2015,I473*$Q$1,B473=2016,I473*$Q$2,B473=2017,I473*$Q$3,B473=2018,I473*$Q$4,B473=2019,I473*$Q$5,B473=2020,I473*$Q$6,B473=2021,I473*$Q$7,B473=2022,I473*$Q$8)</f>
        <v>53900.066744068492</v>
      </c>
      <c r="K473" s="7">
        <f t="shared" si="16"/>
        <v>158565.06674406849</v>
      </c>
      <c r="L473">
        <f>IFERROR(VLOOKUP(G473,'LEAID Match'!$A$2:$B$168,2,FALSE),"")</f>
        <v>4679350</v>
      </c>
    </row>
    <row r="474" spans="1:12" x14ac:dyDescent="0.2">
      <c r="A474">
        <f t="shared" si="15"/>
        <v>4679350</v>
      </c>
      <c r="B474">
        <v>2021</v>
      </c>
      <c r="C474" t="s">
        <v>208</v>
      </c>
      <c r="D474" t="s">
        <v>212</v>
      </c>
      <c r="E474" t="s">
        <v>211</v>
      </c>
      <c r="F474" s="3">
        <v>918101</v>
      </c>
      <c r="G474" s="3" t="s">
        <v>158</v>
      </c>
      <c r="H474" s="4">
        <v>107976</v>
      </c>
      <c r="I474" cm="1">
        <f t="array" ref="I474">_xlfn.IFS(B474=2015,H474/$O$10,B474=2016,H474/$O$11,B474=2017,H474/$O$12,B474=2018,H474/$O$13,B474=2019,H474/$O$14,B474=2020,H474/$O$15,B474=2021,H474/$O$16,B474=2022,H474/$O$17)</f>
        <v>1.950215888118555E-3</v>
      </c>
      <c r="J474" s="6" cm="1">
        <f t="array" ref="J474">_xlfn.IFS(B474=2015,I474*$Q$1,B474=2016,I474*$Q$2,B474=2017,I474*$Q$3,B474=2018,I474*$Q$4,B474=2019,I474*$Q$5,B474=2020,I474*$Q$6,B474=2021,I474*$Q$7,B474=2022,I474*$Q$8)</f>
        <v>54290.759315335075</v>
      </c>
      <c r="K474" s="7">
        <f t="shared" si="16"/>
        <v>162266.75931533508</v>
      </c>
      <c r="L474">
        <f>IFERROR(VLOOKUP(G474,'LEAID Match'!$A$2:$B$168,2,FALSE),"")</f>
        <v>4679350</v>
      </c>
    </row>
    <row r="475" spans="1:12" x14ac:dyDescent="0.2">
      <c r="A475">
        <f t="shared" si="15"/>
        <v>4679350</v>
      </c>
      <c r="B475">
        <v>2022</v>
      </c>
      <c r="C475" t="s">
        <v>208</v>
      </c>
      <c r="D475" t="s">
        <v>212</v>
      </c>
      <c r="E475" t="s">
        <v>211</v>
      </c>
      <c r="F475" s="3">
        <v>918101</v>
      </c>
      <c r="G475" s="3" t="s">
        <v>158</v>
      </c>
      <c r="H475" s="4">
        <v>113180</v>
      </c>
      <c r="I475" cm="1">
        <f t="array" ref="I475">_xlfn.IFS(B475=2015,H475/$O$10,B475=2016,H475/$O$11,B475=2017,H475/$O$12,B475=2018,H475/$O$13,B475=2019,H475/$O$14,B475=2020,H475/$O$15,B475=2021,H475/$O$16,B475=2022,H475/$O$17)</f>
        <v>1.9601171068657649E-3</v>
      </c>
      <c r="J475" s="6" cm="1">
        <f t="array" ref="J475">_xlfn.IFS(B475=2015,I475*$Q$1,B475=2016,I475*$Q$2,B475=2017,I475*$Q$3,B475=2018,I475*$Q$4,B475=2019,I475*$Q$5,B475=2020,I475*$Q$6,B475=2021,I475*$Q$7,B475=2022,I475*$Q$8)</f>
        <v>57741.023887727933</v>
      </c>
      <c r="K475" s="7">
        <f t="shared" si="16"/>
        <v>170921.02388772793</v>
      </c>
      <c r="L475">
        <f>IFERROR(VLOOKUP(G475,'LEAID Match'!$A$2:$B$168,2,FALSE),"")</f>
        <v>4679350</v>
      </c>
    </row>
    <row r="476" spans="1:12" x14ac:dyDescent="0.2">
      <c r="A476">
        <f t="shared" si="15"/>
        <v>4612940</v>
      </c>
      <c r="B476">
        <v>2015</v>
      </c>
      <c r="C476" t="s">
        <v>208</v>
      </c>
      <c r="D476" t="s">
        <v>212</v>
      </c>
      <c r="E476" t="s">
        <v>211</v>
      </c>
      <c r="F476" s="3">
        <v>918123</v>
      </c>
      <c r="G476" s="3" t="s">
        <v>27</v>
      </c>
      <c r="H476" s="4">
        <v>118814</v>
      </c>
      <c r="I476" cm="1">
        <f t="array" ref="I476">_xlfn.IFS(B476=2015,H476/$O$10,B476=2016,H476/$O$11,B476=2017,H476/$O$12,B476=2018,H476/$O$13,B476=2019,H476/$O$14,B476=2020,H476/$O$15,B476=2021,H476/$O$16,B476=2022,H476/$O$17)</f>
        <v>2.7790943264340466E-3</v>
      </c>
      <c r="J476" s="6" cm="1">
        <f t="array" ref="J476">_xlfn.IFS(B476=2015,I476*$Q$1,B476=2016,I476*$Q$2,B476=2017,I476*$Q$3,B476=2018,I476*$Q$4,B476=2019,I476*$Q$5,B476=2020,I476*$Q$6,B476=2021,I476*$Q$7,B476=2022,I476*$Q$8)</f>
        <v>68343.918435286672</v>
      </c>
      <c r="K476" s="7">
        <f t="shared" si="16"/>
        <v>187157.91843528667</v>
      </c>
      <c r="L476">
        <f>IFERROR(VLOOKUP(G476,'LEAID Match'!$A$2:$B$168,2,FALSE),"")</f>
        <v>4612940</v>
      </c>
    </row>
    <row r="477" spans="1:12" x14ac:dyDescent="0.2">
      <c r="A477">
        <f t="shared" si="15"/>
        <v>4612940</v>
      </c>
      <c r="B477">
        <v>2016</v>
      </c>
      <c r="C477" t="s">
        <v>208</v>
      </c>
      <c r="D477" t="s">
        <v>212</v>
      </c>
      <c r="E477" t="s">
        <v>211</v>
      </c>
      <c r="F477" s="3">
        <v>918123</v>
      </c>
      <c r="G477" s="3" t="s">
        <v>27</v>
      </c>
      <c r="H477" s="4">
        <v>128873</v>
      </c>
      <c r="I477" cm="1">
        <f t="array" ref="I477">_xlfn.IFS(B477=2015,H477/$O$10,B477=2016,H477/$O$11,B477=2017,H477/$O$12,B477=2018,H477/$O$13,B477=2019,H477/$O$14,B477=2020,H477/$O$15,B477=2021,H477/$O$16,B477=2022,H477/$O$17)</f>
        <v>2.9231052058618155E-3</v>
      </c>
      <c r="J477" s="6" cm="1">
        <f t="array" ref="J477">_xlfn.IFS(B477=2015,I477*$Q$1,B477=2016,I477*$Q$2,B477=2017,I477*$Q$3,B477=2018,I477*$Q$4,B477=2019,I477*$Q$5,B477=2020,I477*$Q$6,B477=2021,I477*$Q$7,B477=2022,I477*$Q$8)</f>
        <v>74263.840854610142</v>
      </c>
      <c r="K477" s="7">
        <f t="shared" si="16"/>
        <v>203136.84085461014</v>
      </c>
      <c r="L477">
        <f>IFERROR(VLOOKUP(G477,'LEAID Match'!$A$2:$B$168,2,FALSE),"")</f>
        <v>4612940</v>
      </c>
    </row>
    <row r="478" spans="1:12" x14ac:dyDescent="0.2">
      <c r="A478">
        <f t="shared" si="15"/>
        <v>4612940</v>
      </c>
      <c r="B478">
        <v>2017</v>
      </c>
      <c r="C478" t="s">
        <v>208</v>
      </c>
      <c r="D478" t="s">
        <v>212</v>
      </c>
      <c r="E478" t="s">
        <v>211</v>
      </c>
      <c r="F478" s="3">
        <v>918123</v>
      </c>
      <c r="G478" s="3" t="s">
        <v>27</v>
      </c>
      <c r="H478" s="4">
        <v>130694</v>
      </c>
      <c r="I478" cm="1">
        <f t="array" ref="I478">_xlfn.IFS(B478=2015,H478/$O$10,B478=2016,H478/$O$11,B478=2017,H478/$O$12,B478=2018,H478/$O$13,B478=2019,H478/$O$14,B478=2020,H478/$O$15,B478=2021,H478/$O$16,B478=2022,H478/$O$17)</f>
        <v>2.6984116300232249E-3</v>
      </c>
      <c r="J478" s="6" cm="1">
        <f t="array" ref="J478">_xlfn.IFS(B478=2015,I478*$Q$1,B478=2016,I478*$Q$2,B478=2017,I478*$Q$3,B478=2018,I478*$Q$4,B478=2019,I478*$Q$5,B478=2020,I478*$Q$6,B478=2021,I478*$Q$7,B478=2022,I478*$Q$8)</f>
        <v>70983.158879571361</v>
      </c>
      <c r="K478" s="7">
        <f t="shared" si="16"/>
        <v>201677.15887957136</v>
      </c>
      <c r="L478">
        <f>IFERROR(VLOOKUP(G478,'LEAID Match'!$A$2:$B$168,2,FALSE),"")</f>
        <v>4612940</v>
      </c>
    </row>
    <row r="479" spans="1:12" x14ac:dyDescent="0.2">
      <c r="A479">
        <f t="shared" si="15"/>
        <v>4612940</v>
      </c>
      <c r="B479">
        <v>2018</v>
      </c>
      <c r="C479" t="s">
        <v>208</v>
      </c>
      <c r="D479" t="s">
        <v>212</v>
      </c>
      <c r="E479" t="s">
        <v>211</v>
      </c>
      <c r="F479" s="3">
        <v>918123</v>
      </c>
      <c r="G479" s="3" t="s">
        <v>27</v>
      </c>
      <c r="H479" s="4">
        <v>134745</v>
      </c>
      <c r="I479" cm="1">
        <f t="array" ref="I479">_xlfn.IFS(B479=2015,H479/$O$10,B479=2016,H479/$O$11,B479=2017,H479/$O$12,B479=2018,H479/$O$13,B479=2019,H479/$O$14,B479=2020,H479/$O$15,B479=2021,H479/$O$16,B479=2022,H479/$O$17)</f>
        <v>2.6871662281088538E-3</v>
      </c>
      <c r="J479" s="6" cm="1">
        <f t="array" ref="J479">_xlfn.IFS(B479=2015,I479*$Q$1,B479=2016,I479*$Q$2,B479=2017,I479*$Q$3,B479=2018,I479*$Q$4,B479=2019,I479*$Q$5,B479=2020,I479*$Q$6,B479=2021,I479*$Q$7,B479=2022,I479*$Q$8)</f>
        <v>70553.723236476493</v>
      </c>
      <c r="K479" s="7">
        <f t="shared" si="16"/>
        <v>205298.72323647648</v>
      </c>
      <c r="L479">
        <f>IFERROR(VLOOKUP(G479,'LEAID Match'!$A$2:$B$168,2,FALSE),"")</f>
        <v>4612940</v>
      </c>
    </row>
    <row r="480" spans="1:12" x14ac:dyDescent="0.2">
      <c r="A480">
        <f t="shared" si="15"/>
        <v>4612940</v>
      </c>
      <c r="B480">
        <v>2019</v>
      </c>
      <c r="C480" t="s">
        <v>208</v>
      </c>
      <c r="D480" t="s">
        <v>212</v>
      </c>
      <c r="E480" t="s">
        <v>211</v>
      </c>
      <c r="F480" s="3">
        <v>918123</v>
      </c>
      <c r="G480" s="3" t="s">
        <v>27</v>
      </c>
      <c r="H480" s="4">
        <v>134893</v>
      </c>
      <c r="I480" cm="1">
        <f t="array" ref="I480">_xlfn.IFS(B480=2015,H480/$O$10,B480=2016,H480/$O$11,B480=2017,H480/$O$12,B480=2018,H480/$O$13,B480=2019,H480/$O$14,B480=2020,H480/$O$15,B480=2021,H480/$O$16,B480=2022,H480/$O$17)</f>
        <v>2.6418162459762354E-3</v>
      </c>
      <c r="J480" s="6" cm="1">
        <f t="array" ref="J480">_xlfn.IFS(B480=2015,I480*$Q$1,B480=2016,I480*$Q$2,B480=2017,I480*$Q$3,B480=2018,I480*$Q$4,B480=2019,I480*$Q$5,B480=2020,I480*$Q$6,B480=2021,I480*$Q$7,B480=2022,I480*$Q$8)</f>
        <v>69869.31628372542</v>
      </c>
      <c r="K480" s="7">
        <f t="shared" si="16"/>
        <v>204762.31628372543</v>
      </c>
      <c r="L480">
        <f>IFERROR(VLOOKUP(G480,'LEAID Match'!$A$2:$B$168,2,FALSE),"")</f>
        <v>4612940</v>
      </c>
    </row>
    <row r="481" spans="1:12" x14ac:dyDescent="0.2">
      <c r="A481">
        <f t="shared" si="15"/>
        <v>4612940</v>
      </c>
      <c r="B481">
        <v>2020</v>
      </c>
      <c r="C481" t="s">
        <v>208</v>
      </c>
      <c r="D481" t="s">
        <v>212</v>
      </c>
      <c r="E481" t="s">
        <v>211</v>
      </c>
      <c r="F481" s="1">
        <v>918123</v>
      </c>
      <c r="G481" s="3" t="s">
        <v>27</v>
      </c>
      <c r="H481" s="2">
        <v>144894</v>
      </c>
      <c r="I481" cm="1">
        <f t="array" ref="I481">_xlfn.IFS(B481=2015,H481/$O$10,B481=2016,H481/$O$11,B481=2017,H481/$O$12,B481=2018,H481/$O$13,B481=2019,H481/$O$14,B481=2020,H481/$O$15,B481=2021,H481/$O$16,B481=2022,H481/$O$17)</f>
        <v>2.7442604701565509E-3</v>
      </c>
      <c r="J481" s="6" cm="1">
        <f t="array" ref="J481">_xlfn.IFS(B481=2015,I481*$Q$1,B481=2016,I481*$Q$2,B481=2017,I481*$Q$3,B481=2018,I481*$Q$4,B481=2019,I481*$Q$5,B481=2020,I481*$Q$6,B481=2021,I481*$Q$7,B481=2022,I481*$Q$8)</f>
        <v>74617.076107725225</v>
      </c>
      <c r="K481" s="7">
        <f t="shared" si="16"/>
        <v>219511.07610772521</v>
      </c>
      <c r="L481">
        <f>IFERROR(VLOOKUP(G481,'LEAID Match'!$A$2:$B$168,2,FALSE),"")</f>
        <v>4612940</v>
      </c>
    </row>
    <row r="482" spans="1:12" x14ac:dyDescent="0.2">
      <c r="A482">
        <f t="shared" si="15"/>
        <v>4612940</v>
      </c>
      <c r="B482">
        <v>2021</v>
      </c>
      <c r="C482" t="s">
        <v>208</v>
      </c>
      <c r="D482" t="s">
        <v>212</v>
      </c>
      <c r="E482" t="s">
        <v>211</v>
      </c>
      <c r="F482" s="3">
        <v>918123</v>
      </c>
      <c r="G482" s="3" t="s">
        <v>27</v>
      </c>
      <c r="H482" s="4">
        <v>162643</v>
      </c>
      <c r="I482" cm="1">
        <f t="array" ref="I482">_xlfn.IFS(B482=2015,H482/$O$10,B482=2016,H482/$O$11,B482=2017,H482/$O$12,B482=2018,H482/$O$13,B482=2019,H482/$O$14,B482=2020,H482/$O$15,B482=2021,H482/$O$16,B482=2022,H482/$O$17)</f>
        <v>2.9375876369866095E-3</v>
      </c>
      <c r="J482" s="6" cm="1">
        <f t="array" ref="J482">_xlfn.IFS(B482=2015,I482*$Q$1,B482=2016,I482*$Q$2,B482=2017,I482*$Q$3,B482=2018,I482*$Q$4,B482=2019,I482*$Q$5,B482=2020,I482*$Q$6,B482=2021,I482*$Q$7,B482=2022,I482*$Q$8)</f>
        <v>81777.54285511635</v>
      </c>
      <c r="K482" s="7">
        <f t="shared" si="16"/>
        <v>244420.54285511636</v>
      </c>
      <c r="L482">
        <f>IFERROR(VLOOKUP(G482,'LEAID Match'!$A$2:$B$168,2,FALSE),"")</f>
        <v>4612940</v>
      </c>
    </row>
    <row r="483" spans="1:12" x14ac:dyDescent="0.2">
      <c r="A483">
        <f t="shared" si="15"/>
        <v>4612940</v>
      </c>
      <c r="B483">
        <v>2022</v>
      </c>
      <c r="C483" t="s">
        <v>208</v>
      </c>
      <c r="D483" t="s">
        <v>212</v>
      </c>
      <c r="E483" t="s">
        <v>211</v>
      </c>
      <c r="F483" s="3">
        <v>918123</v>
      </c>
      <c r="G483" s="3" t="s">
        <v>27</v>
      </c>
      <c r="H483" s="4">
        <v>168539</v>
      </c>
      <c r="I483" cm="1">
        <f t="array" ref="I483">_xlfn.IFS(B483=2015,H483/$O$10,B483=2016,H483/$O$11,B483=2017,H483/$O$12,B483=2018,H483/$O$13,B483=2019,H483/$O$14,B483=2020,H483/$O$15,B483=2021,H483/$O$16,B483=2022,H483/$O$17)</f>
        <v>2.9188564858990029E-3</v>
      </c>
      <c r="J483" s="6" cm="1">
        <f t="array" ref="J483">_xlfn.IFS(B483=2015,I483*$Q$1,B483=2016,I483*$Q$2,B483=2017,I483*$Q$3,B483=2018,I483*$Q$4,B483=2019,I483*$Q$5,B483=2020,I483*$Q$6,B483=2021,I483*$Q$7,B483=2022,I483*$Q$8)</f>
        <v>85983.51674336259</v>
      </c>
      <c r="K483" s="7">
        <f t="shared" si="16"/>
        <v>254522.51674336259</v>
      </c>
      <c r="L483">
        <f>IFERROR(VLOOKUP(G483,'LEAID Match'!$A$2:$B$168,2,FALSE),"")</f>
        <v>4612940</v>
      </c>
    </row>
    <row r="484" spans="1:12" x14ac:dyDescent="0.2">
      <c r="A484">
        <f t="shared" si="15"/>
        <v>4674370</v>
      </c>
      <c r="B484">
        <v>2015</v>
      </c>
      <c r="C484" t="s">
        <v>208</v>
      </c>
      <c r="D484" t="s">
        <v>212</v>
      </c>
      <c r="E484" t="s">
        <v>211</v>
      </c>
      <c r="F484" s="3">
        <v>919100</v>
      </c>
      <c r="G484" s="3" t="s">
        <v>144</v>
      </c>
      <c r="H484" s="4">
        <v>330736</v>
      </c>
      <c r="I484" cm="1">
        <f t="array" ref="I484">_xlfn.IFS(B484=2015,H484/$O$10,B484=2016,H484/$O$11,B484=2017,H484/$O$12,B484=2018,H484/$O$13,B484=2019,H484/$O$14,B484=2020,H484/$O$15,B484=2021,H484/$O$16,B484=2022,H484/$O$17)</f>
        <v>7.7360120957756734E-3</v>
      </c>
      <c r="J484" s="6" cm="1">
        <f t="array" ref="J484">_xlfn.IFS(B484=2015,I484*$Q$1,B484=2016,I484*$Q$2,B484=2017,I484*$Q$3,B484=2018,I484*$Q$4,B484=2019,I484*$Q$5,B484=2020,I484*$Q$6,B484=2021,I484*$Q$7,B484=2022,I484*$Q$8)</f>
        <v>190245.20854119019</v>
      </c>
      <c r="K484" s="7">
        <f t="shared" si="16"/>
        <v>520981.20854119019</v>
      </c>
      <c r="L484">
        <f>IFERROR(VLOOKUP(G484,'LEAID Match'!$A$2:$B$168,2,FALSE),"")</f>
        <v>4674370</v>
      </c>
    </row>
    <row r="485" spans="1:12" x14ac:dyDescent="0.2">
      <c r="A485">
        <f t="shared" si="15"/>
        <v>4674370</v>
      </c>
      <c r="B485">
        <v>2016</v>
      </c>
      <c r="C485" t="s">
        <v>208</v>
      </c>
      <c r="D485" t="s">
        <v>212</v>
      </c>
      <c r="E485" t="s">
        <v>211</v>
      </c>
      <c r="F485" s="3">
        <v>919100</v>
      </c>
      <c r="G485" s="3" t="s">
        <v>144</v>
      </c>
      <c r="H485" s="4">
        <v>340419</v>
      </c>
      <c r="I485" cm="1">
        <f t="array" ref="I485">_xlfn.IFS(B485=2015,H485/$O$10,B485=2016,H485/$O$11,B485=2017,H485/$O$12,B485=2018,H485/$O$13,B485=2019,H485/$O$14,B485=2020,H485/$O$15,B485=2021,H485/$O$16,B485=2022,H485/$O$17)</f>
        <v>7.7214044142238751E-3</v>
      </c>
      <c r="J485" s="6" cm="1">
        <f t="array" ref="J485">_xlfn.IFS(B485=2015,I485*$Q$1,B485=2016,I485*$Q$2,B485=2017,I485*$Q$3,B485=2018,I485*$Q$4,B485=2019,I485*$Q$5,B485=2020,I485*$Q$6,B485=2021,I485*$Q$7,B485=2022,I485*$Q$8)</f>
        <v>196168.494873911</v>
      </c>
      <c r="K485" s="7">
        <f t="shared" si="16"/>
        <v>536587.49487391103</v>
      </c>
      <c r="L485">
        <f>IFERROR(VLOOKUP(G485,'LEAID Match'!$A$2:$B$168,2,FALSE),"")</f>
        <v>4674370</v>
      </c>
    </row>
    <row r="486" spans="1:12" x14ac:dyDescent="0.2">
      <c r="A486">
        <f t="shared" si="15"/>
        <v>4674370</v>
      </c>
      <c r="B486">
        <v>2017</v>
      </c>
      <c r="C486" t="s">
        <v>208</v>
      </c>
      <c r="D486" t="s">
        <v>212</v>
      </c>
      <c r="E486" t="s">
        <v>211</v>
      </c>
      <c r="F486" s="3">
        <v>919100</v>
      </c>
      <c r="G486" s="3" t="s">
        <v>144</v>
      </c>
      <c r="H486" s="4">
        <v>373289</v>
      </c>
      <c r="I486" cm="1">
        <f t="array" ref="I486">_xlfn.IFS(B486=2015,H486/$O$10,B486=2016,H486/$O$11,B486=2017,H486/$O$12,B486=2018,H486/$O$13,B486=2019,H486/$O$14,B486=2020,H486/$O$15,B486=2021,H486/$O$16,B486=2022,H486/$O$17)</f>
        <v>7.7072197572936752E-3</v>
      </c>
      <c r="J486" s="6" cm="1">
        <f t="array" ref="J486">_xlfn.IFS(B486=2015,I486*$Q$1,B486=2016,I486*$Q$2,B486=2017,I486*$Q$3,B486=2018,I486*$Q$4,B486=2019,I486*$Q$5,B486=2020,I486*$Q$6,B486=2021,I486*$Q$7,B486=2022,I486*$Q$8)</f>
        <v>202742.53137096053</v>
      </c>
      <c r="K486" s="7">
        <f t="shared" si="16"/>
        <v>576031.53137096053</v>
      </c>
      <c r="L486">
        <f>IFERROR(VLOOKUP(G486,'LEAID Match'!$A$2:$B$168,2,FALSE),"")</f>
        <v>4674370</v>
      </c>
    </row>
    <row r="487" spans="1:12" x14ac:dyDescent="0.2">
      <c r="A487">
        <f t="shared" si="15"/>
        <v>4674370</v>
      </c>
      <c r="B487">
        <v>2018</v>
      </c>
      <c r="C487" t="s">
        <v>208</v>
      </c>
      <c r="D487" t="s">
        <v>212</v>
      </c>
      <c r="E487" t="s">
        <v>211</v>
      </c>
      <c r="F487" s="3">
        <v>919100</v>
      </c>
      <c r="G487" s="3" t="s">
        <v>144</v>
      </c>
      <c r="H487" s="4">
        <v>368065</v>
      </c>
      <c r="I487" cm="1">
        <f t="array" ref="I487">_xlfn.IFS(B487=2015,H487/$O$10,B487=2016,H487/$O$11,B487=2017,H487/$O$12,B487=2018,H487/$O$13,B487=2019,H487/$O$14,B487=2020,H487/$O$15,B487=2021,H487/$O$16,B487=2022,H487/$O$17)</f>
        <v>7.3401746836534582E-3</v>
      </c>
      <c r="J487" s="6" cm="1">
        <f t="array" ref="J487">_xlfn.IFS(B487=2015,I487*$Q$1,B487=2016,I487*$Q$2,B487=2017,I487*$Q$3,B487=2018,I487*$Q$4,B487=2019,I487*$Q$5,B487=2020,I487*$Q$6,B487=2021,I487*$Q$7,B487=2022,I487*$Q$8)</f>
        <v>192722.22452064062</v>
      </c>
      <c r="K487" s="7">
        <f t="shared" si="16"/>
        <v>560787.22452064068</v>
      </c>
      <c r="L487">
        <f>IFERROR(VLOOKUP(G487,'LEAID Match'!$A$2:$B$168,2,FALSE),"")</f>
        <v>4674370</v>
      </c>
    </row>
    <row r="488" spans="1:12" x14ac:dyDescent="0.2">
      <c r="A488">
        <f t="shared" si="15"/>
        <v>4674370</v>
      </c>
      <c r="B488">
        <v>2019</v>
      </c>
      <c r="C488" t="s">
        <v>208</v>
      </c>
      <c r="D488" t="s">
        <v>212</v>
      </c>
      <c r="E488" t="s">
        <v>211</v>
      </c>
      <c r="F488" s="3">
        <v>919100</v>
      </c>
      <c r="G488" s="3" t="s">
        <v>144</v>
      </c>
      <c r="H488" s="4">
        <v>374619</v>
      </c>
      <c r="I488" cm="1">
        <f t="array" ref="I488">_xlfn.IFS(B488=2015,H488/$O$10,B488=2016,H488/$O$11,B488=2017,H488/$O$12,B488=2018,H488/$O$13,B488=2019,H488/$O$14,B488=2020,H488/$O$15,B488=2021,H488/$O$16,B488=2022,H488/$O$17)</f>
        <v>7.3367377124933936E-3</v>
      </c>
      <c r="J488" s="6" cm="1">
        <f t="array" ref="J488">_xlfn.IFS(B488=2015,I488*$Q$1,B488=2016,I488*$Q$2,B488=2017,I488*$Q$3,B488=2018,I488*$Q$4,B488=2019,I488*$Q$5,B488=2020,I488*$Q$6,B488=2021,I488*$Q$7,B488=2022,I488*$Q$8)</f>
        <v>194038.04049797196</v>
      </c>
      <c r="K488" s="7">
        <f t="shared" si="16"/>
        <v>568657.04049797193</v>
      </c>
      <c r="L488">
        <f>IFERROR(VLOOKUP(G488,'LEAID Match'!$A$2:$B$168,2,FALSE),"")</f>
        <v>4674370</v>
      </c>
    </row>
    <row r="489" spans="1:12" x14ac:dyDescent="0.2">
      <c r="A489">
        <f t="shared" si="15"/>
        <v>4674370</v>
      </c>
      <c r="B489">
        <v>2020</v>
      </c>
      <c r="C489" t="s">
        <v>208</v>
      </c>
      <c r="D489" t="s">
        <v>212</v>
      </c>
      <c r="E489" t="s">
        <v>211</v>
      </c>
      <c r="F489" s="1">
        <v>919100</v>
      </c>
      <c r="G489" s="3" t="s">
        <v>144</v>
      </c>
      <c r="H489" s="2">
        <v>390878</v>
      </c>
      <c r="I489" cm="1">
        <f t="array" ref="I489">_xlfn.IFS(B489=2015,H489/$O$10,B489=2016,H489/$O$11,B489=2017,H489/$O$12,B489=2018,H489/$O$13,B489=2019,H489/$O$14,B489=2020,H489/$O$15,B489=2021,H489/$O$16,B489=2022,H489/$O$17)</f>
        <v>7.4031432913291943E-3</v>
      </c>
      <c r="J489" s="6" cm="1">
        <f t="array" ref="J489">_xlfn.IFS(B489=2015,I489*$Q$1,B489=2016,I489*$Q$2,B489=2017,I489*$Q$3,B489=2018,I489*$Q$4,B489=2019,I489*$Q$5,B489=2020,I489*$Q$6,B489=2021,I489*$Q$7,B489=2022,I489*$Q$8)</f>
        <v>201293.1762173411</v>
      </c>
      <c r="K489" s="7">
        <f t="shared" si="16"/>
        <v>592171.1762173411</v>
      </c>
      <c r="L489">
        <f>IFERROR(VLOOKUP(G489,'LEAID Match'!$A$2:$B$168,2,FALSE),"")</f>
        <v>4674370</v>
      </c>
    </row>
    <row r="490" spans="1:12" x14ac:dyDescent="0.2">
      <c r="A490">
        <f t="shared" si="15"/>
        <v>4674370</v>
      </c>
      <c r="B490">
        <v>2021</v>
      </c>
      <c r="C490" t="s">
        <v>208</v>
      </c>
      <c r="D490" t="s">
        <v>212</v>
      </c>
      <c r="E490" t="s">
        <v>211</v>
      </c>
      <c r="F490" s="3">
        <v>919100</v>
      </c>
      <c r="G490" s="3" t="s">
        <v>144</v>
      </c>
      <c r="H490" s="4">
        <v>410692</v>
      </c>
      <c r="I490" cm="1">
        <f t="array" ref="I490">_xlfn.IFS(B490=2015,H490/$O$10,B490=2016,H490/$O$11,B490=2017,H490/$O$12,B490=2018,H490/$O$13,B490=2019,H490/$O$14,B490=2020,H490/$O$15,B490=2021,H490/$O$16,B490=2022,H490/$O$17)</f>
        <v>7.4177415677852999E-3</v>
      </c>
      <c r="J490" s="6" cm="1">
        <f t="array" ref="J490">_xlfn.IFS(B490=2015,I490*$Q$1,B490=2016,I490*$Q$2,B490=2017,I490*$Q$3,B490=2018,I490*$Q$4,B490=2019,I490*$Q$5,B490=2020,I490*$Q$6,B490=2021,I490*$Q$7,B490=2022,I490*$Q$8)</f>
        <v>206497.55987194926</v>
      </c>
      <c r="K490" s="7">
        <f t="shared" si="16"/>
        <v>617189.55987194926</v>
      </c>
      <c r="L490">
        <f>IFERROR(VLOOKUP(G490,'LEAID Match'!$A$2:$B$168,2,FALSE),"")</f>
        <v>4674370</v>
      </c>
    </row>
    <row r="491" spans="1:12" x14ac:dyDescent="0.2">
      <c r="A491">
        <f t="shared" si="15"/>
        <v>4674370</v>
      </c>
      <c r="B491">
        <v>2022</v>
      </c>
      <c r="C491" t="s">
        <v>208</v>
      </c>
      <c r="D491" t="s">
        <v>212</v>
      </c>
      <c r="E491" t="s">
        <v>211</v>
      </c>
      <c r="F491" s="3">
        <v>919100</v>
      </c>
      <c r="G491" s="3" t="s">
        <v>144</v>
      </c>
      <c r="H491" s="4">
        <v>425262</v>
      </c>
      <c r="I491" cm="1">
        <f t="array" ref="I491">_xlfn.IFS(B491=2015,H491/$O$10,B491=2016,H491/$O$11,B491=2017,H491/$O$12,B491=2018,H491/$O$13,B491=2019,H491/$O$14,B491=2020,H491/$O$15,B491=2021,H491/$O$16,B491=2022,H491/$O$17)</f>
        <v>7.3649348038518185E-3</v>
      </c>
      <c r="J491" s="6" cm="1">
        <f t="array" ref="J491">_xlfn.IFS(B491=2015,I491*$Q$1,B491=2016,I491*$Q$2,B491=2017,I491*$Q$3,B491=2018,I491*$Q$4,B491=2019,I491*$Q$5,B491=2020,I491*$Q$6,B491=2021,I491*$Q$7,B491=2022,I491*$Q$8)</f>
        <v>216955.85174538745</v>
      </c>
      <c r="K491" s="7">
        <f t="shared" si="16"/>
        <v>642217.85174538742</v>
      </c>
      <c r="L491">
        <f>IFERROR(VLOOKUP(G491,'LEAID Match'!$A$2:$B$168,2,FALSE),"")</f>
        <v>4674370</v>
      </c>
    </row>
    <row r="492" spans="1:12" x14ac:dyDescent="0.2">
      <c r="A492">
        <f t="shared" si="15"/>
        <v>4646260</v>
      </c>
      <c r="B492">
        <v>2015</v>
      </c>
      <c r="C492" t="s">
        <v>208</v>
      </c>
      <c r="D492" t="s">
        <v>212</v>
      </c>
      <c r="E492" t="s">
        <v>211</v>
      </c>
      <c r="F492" s="3">
        <v>920100</v>
      </c>
      <c r="G492" s="3" t="s">
        <v>93</v>
      </c>
      <c r="H492" s="4">
        <v>85773</v>
      </c>
      <c r="I492" cm="1">
        <f t="array" ref="I492">_xlfn.IFS(B492=2015,H492/$O$10,B492=2016,H492/$O$11,B492=2017,H492/$O$12,B492=2018,H492/$O$13,B492=2019,H492/$O$14,B492=2020,H492/$O$15,B492=2021,H492/$O$16,B492=2022,H492/$O$17)</f>
        <v>2.0062556404230772E-3</v>
      </c>
      <c r="J492" s="6" cm="1">
        <f t="array" ref="J492">_xlfn.IFS(B492=2015,I492*$Q$1,B492=2016,I492*$Q$2,B492=2017,I492*$Q$3,B492=2018,I492*$Q$4,B492=2019,I492*$Q$5,B492=2020,I492*$Q$6,B492=2021,I492*$Q$7,B492=2022,I492*$Q$8)</f>
        <v>49338.14967890858</v>
      </c>
      <c r="K492" s="7">
        <f t="shared" si="16"/>
        <v>135111.14967890858</v>
      </c>
      <c r="L492">
        <f>IFERROR(VLOOKUP(G492,'LEAID Match'!$A$2:$B$168,2,FALSE),"")</f>
        <v>4646260</v>
      </c>
    </row>
    <row r="493" spans="1:12" x14ac:dyDescent="0.2">
      <c r="A493">
        <f t="shared" si="15"/>
        <v>4646260</v>
      </c>
      <c r="B493">
        <v>2016</v>
      </c>
      <c r="C493" t="s">
        <v>208</v>
      </c>
      <c r="D493" t="s">
        <v>212</v>
      </c>
      <c r="E493" t="s">
        <v>211</v>
      </c>
      <c r="F493" s="3">
        <v>920100</v>
      </c>
      <c r="G493" s="3" t="s">
        <v>93</v>
      </c>
      <c r="H493" s="4">
        <v>93851</v>
      </c>
      <c r="I493" cm="1">
        <f t="array" ref="I493">_xlfn.IFS(B493=2015,H493/$O$10,B493=2016,H493/$O$11,B493=2017,H493/$O$12,B493=2018,H493/$O$13,B493=2019,H493/$O$14,B493=2020,H493/$O$15,B493=2021,H493/$O$16,B493=2022,H493/$O$17)</f>
        <v>2.1287340767681146E-3</v>
      </c>
      <c r="J493" s="6" cm="1">
        <f t="array" ref="J493">_xlfn.IFS(B493=2015,I493*$Q$1,B493=2016,I493*$Q$2,B493=2017,I493*$Q$3,B493=2018,I493*$Q$4,B493=2019,I493*$Q$5,B493=2020,I493*$Q$6,B493=2021,I493*$Q$7,B493=2022,I493*$Q$8)</f>
        <v>54082.202851225753</v>
      </c>
      <c r="K493" s="7">
        <f t="shared" si="16"/>
        <v>147933.20285122574</v>
      </c>
      <c r="L493">
        <f>IFERROR(VLOOKUP(G493,'LEAID Match'!$A$2:$B$168,2,FALSE),"")</f>
        <v>4646260</v>
      </c>
    </row>
    <row r="494" spans="1:12" x14ac:dyDescent="0.2">
      <c r="A494">
        <f t="shared" si="15"/>
        <v>4646260</v>
      </c>
      <c r="B494">
        <v>2017</v>
      </c>
      <c r="C494" t="s">
        <v>208</v>
      </c>
      <c r="D494" t="s">
        <v>212</v>
      </c>
      <c r="E494" t="s">
        <v>211</v>
      </c>
      <c r="F494" s="3">
        <v>920100</v>
      </c>
      <c r="G494" s="3" t="s">
        <v>93</v>
      </c>
      <c r="H494" s="4">
        <v>96975</v>
      </c>
      <c r="I494" cm="1">
        <f t="array" ref="I494">_xlfn.IFS(B494=2015,H494/$O$10,B494=2016,H494/$O$11,B494=2017,H494/$O$12,B494=2018,H494/$O$13,B494=2019,H494/$O$14,B494=2020,H494/$O$15,B494=2021,H494/$O$16,B494=2022,H494/$O$17)</f>
        <v>2.0022225031103356E-3</v>
      </c>
      <c r="J494" s="6" cm="1">
        <f t="array" ref="J494">_xlfn.IFS(B494=2015,I494*$Q$1,B494=2016,I494*$Q$2,B494=2017,I494*$Q$3,B494=2018,I494*$Q$4,B494=2019,I494*$Q$5,B494=2020,I494*$Q$6,B494=2021,I494*$Q$7,B494=2022,I494*$Q$8)</f>
        <v>52669.532131134038</v>
      </c>
      <c r="K494" s="7">
        <f t="shared" si="16"/>
        <v>149644.53213113404</v>
      </c>
      <c r="L494">
        <f>IFERROR(VLOOKUP(G494,'LEAID Match'!$A$2:$B$168,2,FALSE),"")</f>
        <v>4646260</v>
      </c>
    </row>
    <row r="495" spans="1:12" x14ac:dyDescent="0.2">
      <c r="A495">
        <f t="shared" si="15"/>
        <v>4646260</v>
      </c>
      <c r="B495">
        <v>2018</v>
      </c>
      <c r="C495" t="s">
        <v>208</v>
      </c>
      <c r="D495" t="s">
        <v>212</v>
      </c>
      <c r="E495" t="s">
        <v>211</v>
      </c>
      <c r="F495" s="3">
        <v>920100</v>
      </c>
      <c r="G495" s="3" t="s">
        <v>93</v>
      </c>
      <c r="H495" s="4">
        <v>103012</v>
      </c>
      <c r="I495" cm="1">
        <f t="array" ref="I495">_xlfn.IFS(B495=2015,H495/$O$10,B495=2016,H495/$O$11,B495=2017,H495/$O$12,B495=2018,H495/$O$13,B495=2019,H495/$O$14,B495=2020,H495/$O$15,B495=2021,H495/$O$16,B495=2022,H495/$O$17)</f>
        <v>2.054327563100295E-3</v>
      </c>
      <c r="J495" s="6" cm="1">
        <f t="array" ref="J495">_xlfn.IFS(B495=2015,I495*$Q$1,B495=2016,I495*$Q$2,B495=2017,I495*$Q$3,B495=2018,I495*$Q$4,B495=2019,I495*$Q$5,B495=2020,I495*$Q$6,B495=2021,I495*$Q$7,B495=2022,I495*$Q$8)</f>
        <v>53938.032120196796</v>
      </c>
      <c r="K495" s="7">
        <f t="shared" si="16"/>
        <v>156950.03212019679</v>
      </c>
      <c r="L495">
        <f>IFERROR(VLOOKUP(G495,'LEAID Match'!$A$2:$B$168,2,FALSE),"")</f>
        <v>4646260</v>
      </c>
    </row>
    <row r="496" spans="1:12" x14ac:dyDescent="0.2">
      <c r="A496">
        <f t="shared" si="15"/>
        <v>4646260</v>
      </c>
      <c r="B496">
        <v>2019</v>
      </c>
      <c r="C496" t="s">
        <v>208</v>
      </c>
      <c r="D496" t="s">
        <v>212</v>
      </c>
      <c r="E496" t="s">
        <v>211</v>
      </c>
      <c r="F496" s="3">
        <v>920100</v>
      </c>
      <c r="G496" s="3" t="s">
        <v>93</v>
      </c>
      <c r="H496" s="4">
        <v>106737</v>
      </c>
      <c r="I496" cm="1">
        <f t="array" ref="I496">_xlfn.IFS(B496=2015,H496/$O$10,B496=2016,H496/$O$11,B496=2017,H496/$O$12,B496=2018,H496/$O$13,B496=2019,H496/$O$14,B496=2020,H496/$O$15,B496=2021,H496/$O$16,B496=2022,H496/$O$17)</f>
        <v>2.090394169058183E-3</v>
      </c>
      <c r="J496" s="6" cm="1">
        <f t="array" ref="J496">_xlfn.IFS(B496=2015,I496*$Q$1,B496=2016,I496*$Q$2,B496=2017,I496*$Q$3,B496=2018,I496*$Q$4,B496=2019,I496*$Q$5,B496=2020,I496*$Q$6,B496=2021,I496*$Q$7,B496=2022,I496*$Q$8)</f>
        <v>55285.605718428691</v>
      </c>
      <c r="K496" s="7">
        <f t="shared" si="16"/>
        <v>162022.60571842868</v>
      </c>
      <c r="L496">
        <f>IFERROR(VLOOKUP(G496,'LEAID Match'!$A$2:$B$168,2,FALSE),"")</f>
        <v>4646260</v>
      </c>
    </row>
    <row r="497" spans="1:12" x14ac:dyDescent="0.2">
      <c r="A497">
        <f t="shared" si="15"/>
        <v>4646260</v>
      </c>
      <c r="B497">
        <v>2020</v>
      </c>
      <c r="C497" t="s">
        <v>208</v>
      </c>
      <c r="D497" t="s">
        <v>212</v>
      </c>
      <c r="E497" t="s">
        <v>211</v>
      </c>
      <c r="F497" s="1">
        <v>920100</v>
      </c>
      <c r="G497" s="3" t="s">
        <v>93</v>
      </c>
      <c r="H497" s="2">
        <v>107471</v>
      </c>
      <c r="I497" cm="1">
        <f t="array" ref="I497">_xlfn.IFS(B497=2015,H497/$O$10,B497=2016,H497/$O$11,B497=2017,H497/$O$12,B497=2018,H497/$O$13,B497=2019,H497/$O$14,B497=2020,H497/$O$15,B497=2021,H497/$O$16,B497=2022,H497/$O$17)</f>
        <v>2.0354770866163863E-3</v>
      </c>
      <c r="J497" s="6" cm="1">
        <f t="array" ref="J497">_xlfn.IFS(B497=2015,I497*$Q$1,B497=2016,I497*$Q$2,B497=2017,I497*$Q$3,B497=2018,I497*$Q$4,B497=2019,I497*$Q$5,B497=2020,I497*$Q$6,B497=2021,I497*$Q$7,B497=2022,I497*$Q$8)</f>
        <v>55345.09218030655</v>
      </c>
      <c r="K497" s="7">
        <f t="shared" si="16"/>
        <v>162816.09218030656</v>
      </c>
      <c r="L497">
        <f>IFERROR(VLOOKUP(G497,'LEAID Match'!$A$2:$B$168,2,FALSE),"")</f>
        <v>4646260</v>
      </c>
    </row>
    <row r="498" spans="1:12" x14ac:dyDescent="0.2">
      <c r="A498">
        <f t="shared" si="15"/>
        <v>4646260</v>
      </c>
      <c r="B498">
        <v>2021</v>
      </c>
      <c r="C498" t="s">
        <v>208</v>
      </c>
      <c r="D498" t="s">
        <v>212</v>
      </c>
      <c r="E498" t="s">
        <v>211</v>
      </c>
      <c r="F498" s="3">
        <v>920100</v>
      </c>
      <c r="G498" s="3" t="s">
        <v>93</v>
      </c>
      <c r="H498" s="4">
        <v>112014</v>
      </c>
      <c r="I498" cm="1">
        <f t="array" ref="I498">_xlfn.IFS(B498=2015,H498/$O$10,B498=2016,H498/$O$11,B498=2017,H498/$O$12,B498=2018,H498/$O$13,B498=2019,H498/$O$14,B498=2020,H498/$O$15,B498=2021,H498/$O$16,B498=2022,H498/$O$17)</f>
        <v>2.0231485005159648E-3</v>
      </c>
      <c r="J498" s="6" cm="1">
        <f t="array" ref="J498">_xlfn.IFS(B498=2015,I498*$Q$1,B498=2016,I498*$Q$2,B498=2017,I498*$Q$3,B498=2018,I498*$Q$4,B498=2019,I498*$Q$5,B498=2020,I498*$Q$6,B498=2021,I498*$Q$7,B498=2022,I498*$Q$8)</f>
        <v>56321.081665814098</v>
      </c>
      <c r="K498" s="7">
        <f t="shared" si="16"/>
        <v>168335.0816658141</v>
      </c>
      <c r="L498">
        <f>IFERROR(VLOOKUP(G498,'LEAID Match'!$A$2:$B$168,2,FALSE),"")</f>
        <v>4646260</v>
      </c>
    </row>
    <row r="499" spans="1:12" x14ac:dyDescent="0.2">
      <c r="A499">
        <f t="shared" si="15"/>
        <v>4646260</v>
      </c>
      <c r="B499">
        <v>2022</v>
      </c>
      <c r="C499" t="s">
        <v>208</v>
      </c>
      <c r="D499" t="s">
        <v>212</v>
      </c>
      <c r="E499" t="s">
        <v>211</v>
      </c>
      <c r="F499" s="3">
        <v>920100</v>
      </c>
      <c r="G499" s="3" t="s">
        <v>93</v>
      </c>
      <c r="H499" s="4">
        <v>110762</v>
      </c>
      <c r="I499" cm="1">
        <f t="array" ref="I499">_xlfn.IFS(B499=2015,H499/$O$10,B499=2016,H499/$O$11,B499=2017,H499/$O$12,B499=2018,H499/$O$13,B499=2019,H499/$O$14,B499=2020,H499/$O$15,B499=2021,H499/$O$16,B499=2022,H499/$O$17)</f>
        <v>1.9182407756729619E-3</v>
      </c>
      <c r="J499" s="6" cm="1">
        <f t="array" ref="J499">_xlfn.IFS(B499=2015,I499*$Q$1,B499=2016,I499*$Q$2,B499=2017,I499*$Q$3,B499=2018,I499*$Q$4,B499=2019,I499*$Q$5,B499=2020,I499*$Q$6,B499=2021,I499*$Q$7,B499=2022,I499*$Q$8)</f>
        <v>56507.433184772228</v>
      </c>
      <c r="K499" s="7">
        <f t="shared" si="16"/>
        <v>167269.43318477224</v>
      </c>
      <c r="L499">
        <f>IFERROR(VLOOKUP(G499,'LEAID Match'!$A$2:$B$168,2,FALSE),"")</f>
        <v>4646260</v>
      </c>
    </row>
    <row r="500" spans="1:12" x14ac:dyDescent="0.2">
      <c r="A500">
        <f t="shared" si="15"/>
        <v>4646380</v>
      </c>
      <c r="B500">
        <v>2015</v>
      </c>
      <c r="C500" t="s">
        <v>208</v>
      </c>
      <c r="D500" t="s">
        <v>212</v>
      </c>
      <c r="E500" t="s">
        <v>211</v>
      </c>
      <c r="F500" s="3">
        <v>920101</v>
      </c>
      <c r="G500" s="3" t="s">
        <v>94</v>
      </c>
      <c r="H500" s="4">
        <v>202792</v>
      </c>
      <c r="I500" cm="1">
        <f t="array" ref="I500">_xlfn.IFS(B500=2015,H500/$O$10,B500=2016,H500/$O$11,B500=2017,H500/$O$12,B500=2018,H500/$O$13,B500=2019,H500/$O$14,B500=2020,H500/$O$15,B500=2021,H500/$O$16,B500=2022,H500/$O$17)</f>
        <v>4.743364390107337E-3</v>
      </c>
      <c r="J500" s="6" cm="1">
        <f t="array" ref="J500">_xlfn.IFS(B500=2015,I500*$Q$1,B500=2016,I500*$Q$2,B500=2017,I500*$Q$3,B500=2018,I500*$Q$4,B500=2019,I500*$Q$5,B500=2020,I500*$Q$6,B500=2021,I500*$Q$7,B500=2022,I500*$Q$8)</f>
        <v>116649.55230300009</v>
      </c>
      <c r="K500" s="7">
        <f t="shared" si="16"/>
        <v>319441.55230300012</v>
      </c>
      <c r="L500">
        <f>IFERROR(VLOOKUP(G500,'LEAID Match'!$A$2:$B$168,2,FALSE),"")</f>
        <v>4646380</v>
      </c>
    </row>
    <row r="501" spans="1:12" x14ac:dyDescent="0.2">
      <c r="A501">
        <f t="shared" si="15"/>
        <v>4646380</v>
      </c>
      <c r="B501">
        <v>2016</v>
      </c>
      <c r="C501" t="s">
        <v>208</v>
      </c>
      <c r="D501" t="s">
        <v>212</v>
      </c>
      <c r="E501" t="s">
        <v>211</v>
      </c>
      <c r="F501" s="3">
        <v>920101</v>
      </c>
      <c r="G501" s="3" t="s">
        <v>94</v>
      </c>
      <c r="H501" s="4">
        <v>214668</v>
      </c>
      <c r="I501" cm="1">
        <f t="array" ref="I501">_xlfn.IFS(B501=2015,H501/$O$10,B501=2016,H501/$O$11,B501=2017,H501/$O$12,B501=2018,H501/$O$13,B501=2019,H501/$O$14,B501=2020,H501/$O$15,B501=2021,H501/$O$16,B501=2022,H501/$O$17)</f>
        <v>4.8691126018013415E-3</v>
      </c>
      <c r="J501" s="6" cm="1">
        <f t="array" ref="J501">_xlfn.IFS(B501=2015,I501*$Q$1,B501=2016,I501*$Q$2,B501=2017,I501*$Q$3,B501=2018,I501*$Q$4,B501=2019,I501*$Q$5,B501=2020,I501*$Q$6,B501=2021,I501*$Q$7,B501=2022,I501*$Q$8)</f>
        <v>123703.72528440753</v>
      </c>
      <c r="K501" s="7">
        <f t="shared" si="16"/>
        <v>338371.7252844075</v>
      </c>
      <c r="L501">
        <f>IFERROR(VLOOKUP(G501,'LEAID Match'!$A$2:$B$168,2,FALSE),"")</f>
        <v>4646380</v>
      </c>
    </row>
    <row r="502" spans="1:12" x14ac:dyDescent="0.2">
      <c r="A502">
        <f t="shared" si="15"/>
        <v>4646380</v>
      </c>
      <c r="B502">
        <v>2017</v>
      </c>
      <c r="C502" t="s">
        <v>208</v>
      </c>
      <c r="D502" t="s">
        <v>212</v>
      </c>
      <c r="E502" t="s">
        <v>211</v>
      </c>
      <c r="F502" s="3">
        <v>920101</v>
      </c>
      <c r="G502" s="3" t="s">
        <v>94</v>
      </c>
      <c r="H502" s="4">
        <v>227169</v>
      </c>
      <c r="I502" cm="1">
        <f t="array" ref="I502">_xlfn.IFS(B502=2015,H502/$O$10,B502=2016,H502/$O$11,B502=2017,H502/$O$12,B502=2018,H502/$O$13,B502=2019,H502/$O$14,B502=2020,H502/$O$15,B502=2021,H502/$O$16,B502=2022,H502/$O$17)</f>
        <v>4.6903107379125735E-3</v>
      </c>
      <c r="J502" s="6" cm="1">
        <f t="array" ref="J502">_xlfn.IFS(B502=2015,I502*$Q$1,B502=2016,I502*$Q$2,B502=2017,I502*$Q$3,B502=2018,I502*$Q$4,B502=2019,I502*$Q$5,B502=2020,I502*$Q$6,B502=2021,I502*$Q$7,B502=2022,I502*$Q$8)</f>
        <v>123381.1285867243</v>
      </c>
      <c r="K502" s="7">
        <f t="shared" si="16"/>
        <v>350550.12858672428</v>
      </c>
      <c r="L502">
        <f>IFERROR(VLOOKUP(G502,'LEAID Match'!$A$2:$B$168,2,FALSE),"")</f>
        <v>4646380</v>
      </c>
    </row>
    <row r="503" spans="1:12" x14ac:dyDescent="0.2">
      <c r="A503">
        <f t="shared" si="15"/>
        <v>4646380</v>
      </c>
      <c r="B503">
        <v>2018</v>
      </c>
      <c r="C503" t="s">
        <v>208</v>
      </c>
      <c r="D503" t="s">
        <v>212</v>
      </c>
      <c r="E503" t="s">
        <v>211</v>
      </c>
      <c r="F503" s="3">
        <v>920101</v>
      </c>
      <c r="G503" s="3" t="s">
        <v>94</v>
      </c>
      <c r="H503" s="4">
        <v>224243</v>
      </c>
      <c r="I503" cm="1">
        <f t="array" ref="I503">_xlfn.IFS(B503=2015,H503/$O$10,B503=2016,H503/$O$11,B503=2017,H503/$O$12,B503=2018,H503/$O$13,B503=2019,H503/$O$14,B503=2020,H503/$O$15,B503=2021,H503/$O$16,B503=2022,H503/$O$17)</f>
        <v>4.4719894355249815E-3</v>
      </c>
      <c r="J503" s="6" cm="1">
        <f t="array" ref="J503">_xlfn.IFS(B503=2015,I503*$Q$1,B503=2016,I503*$Q$2,B503=2017,I503*$Q$3,B503=2018,I503*$Q$4,B503=2019,I503*$Q$5,B503=2020,I503*$Q$6,B503=2021,I503*$Q$7,B503=2022,I503*$Q$8)</f>
        <v>117415.70046916173</v>
      </c>
      <c r="K503" s="7">
        <f t="shared" si="16"/>
        <v>341658.70046916173</v>
      </c>
      <c r="L503">
        <f>IFERROR(VLOOKUP(G503,'LEAID Match'!$A$2:$B$168,2,FALSE),"")</f>
        <v>4646380</v>
      </c>
    </row>
    <row r="504" spans="1:12" x14ac:dyDescent="0.2">
      <c r="A504">
        <f t="shared" si="15"/>
        <v>4646380</v>
      </c>
      <c r="B504">
        <v>2019</v>
      </c>
      <c r="C504" t="s">
        <v>208</v>
      </c>
      <c r="D504" t="s">
        <v>212</v>
      </c>
      <c r="E504" t="s">
        <v>211</v>
      </c>
      <c r="F504" s="3">
        <v>920101</v>
      </c>
      <c r="G504" s="3" t="s">
        <v>94</v>
      </c>
      <c r="H504" s="4">
        <v>231621</v>
      </c>
      <c r="I504" cm="1">
        <f t="array" ref="I504">_xlfn.IFS(B504=2015,H504/$O$10,B504=2016,H504/$O$11,B504=2017,H504/$O$12,B504=2018,H504/$O$13,B504=2019,H504/$O$14,B504=2020,H504/$O$15,B504=2021,H504/$O$16,B504=2022,H504/$O$17)</f>
        <v>4.536188836405608E-3</v>
      </c>
      <c r="J504" s="6" cm="1">
        <f t="array" ref="J504">_xlfn.IFS(B504=2015,I504*$Q$1,B504=2016,I504*$Q$2,B504=2017,I504*$Q$3,B504=2018,I504*$Q$4,B504=2019,I504*$Q$5,B504=2020,I504*$Q$6,B504=2021,I504*$Q$7,B504=2022,I504*$Q$8)</f>
        <v>119970.65012233968</v>
      </c>
      <c r="K504" s="7">
        <f t="shared" si="16"/>
        <v>351591.65012233966</v>
      </c>
      <c r="L504">
        <f>IFERROR(VLOOKUP(G504,'LEAID Match'!$A$2:$B$168,2,FALSE),"")</f>
        <v>4646380</v>
      </c>
    </row>
    <row r="505" spans="1:12" x14ac:dyDescent="0.2">
      <c r="A505">
        <f t="shared" si="15"/>
        <v>4646380</v>
      </c>
      <c r="B505">
        <v>2020</v>
      </c>
      <c r="C505" t="s">
        <v>208</v>
      </c>
      <c r="D505" t="s">
        <v>212</v>
      </c>
      <c r="E505" t="s">
        <v>211</v>
      </c>
      <c r="F505" s="1">
        <v>920101</v>
      </c>
      <c r="G505" s="3" t="s">
        <v>94</v>
      </c>
      <c r="H505" s="2">
        <v>293525</v>
      </c>
      <c r="I505" cm="1">
        <f t="array" ref="I505">_xlfn.IFS(B505=2015,H505/$O$10,B505=2016,H505/$O$11,B505=2017,H505/$O$12,B505=2018,H505/$O$13,B505=2019,H505/$O$14,B505=2020,H505/$O$15,B505=2021,H505/$O$16,B505=2022,H505/$O$17)</f>
        <v>5.5592988978335998E-3</v>
      </c>
      <c r="J505" s="6" cm="1">
        <f t="array" ref="J505">_xlfn.IFS(B505=2015,I505*$Q$1,B505=2016,I505*$Q$2,B505=2017,I505*$Q$3,B505=2018,I505*$Q$4,B505=2019,I505*$Q$5,B505=2020,I505*$Q$6,B505=2021,I505*$Q$7,B505=2022,I505*$Q$8)</f>
        <v>151158.62123014097</v>
      </c>
      <c r="K505" s="7">
        <f t="shared" si="16"/>
        <v>444683.62123014097</v>
      </c>
      <c r="L505">
        <f>IFERROR(VLOOKUP(G505,'LEAID Match'!$A$2:$B$168,2,FALSE),"")</f>
        <v>4646380</v>
      </c>
    </row>
    <row r="506" spans="1:12" x14ac:dyDescent="0.2">
      <c r="A506">
        <f t="shared" si="15"/>
        <v>4646380</v>
      </c>
      <c r="B506">
        <v>2021</v>
      </c>
      <c r="C506" t="s">
        <v>208</v>
      </c>
      <c r="D506" t="s">
        <v>212</v>
      </c>
      <c r="E506" t="s">
        <v>211</v>
      </c>
      <c r="F506" s="3">
        <v>920101</v>
      </c>
      <c r="G506" s="3" t="s">
        <v>94</v>
      </c>
      <c r="H506" s="4">
        <v>309870</v>
      </c>
      <c r="I506" cm="1">
        <f t="array" ref="I506">_xlfn.IFS(B506=2015,H506/$O$10,B506=2016,H506/$O$11,B506=2017,H506/$O$12,B506=2018,H506/$O$13,B506=2019,H506/$O$14,B506=2020,H506/$O$15,B506=2021,H506/$O$16,B506=2022,H506/$O$17)</f>
        <v>5.5967381385798381E-3</v>
      </c>
      <c r="J506" s="6" cm="1">
        <f t="array" ref="J506">_xlfn.IFS(B506=2015,I506*$Q$1,B506=2016,I506*$Q$2,B506=2017,I506*$Q$3,B506=2018,I506*$Q$4,B506=2019,I506*$Q$5,B506=2020,I506*$Q$6,B506=2021,I506*$Q$7,B506=2022,I506*$Q$8)</f>
        <v>155803.86001558567</v>
      </c>
      <c r="K506" s="7">
        <f t="shared" si="16"/>
        <v>465673.86001558567</v>
      </c>
      <c r="L506">
        <f>IFERROR(VLOOKUP(G506,'LEAID Match'!$A$2:$B$168,2,FALSE),"")</f>
        <v>4646380</v>
      </c>
    </row>
    <row r="507" spans="1:12" x14ac:dyDescent="0.2">
      <c r="A507">
        <f t="shared" si="15"/>
        <v>4646380</v>
      </c>
      <c r="B507">
        <v>2022</v>
      </c>
      <c r="C507" t="s">
        <v>208</v>
      </c>
      <c r="D507" t="s">
        <v>212</v>
      </c>
      <c r="E507" t="s">
        <v>211</v>
      </c>
      <c r="F507" s="3">
        <v>920101</v>
      </c>
      <c r="G507" s="3" t="s">
        <v>94</v>
      </c>
      <c r="H507" s="4">
        <v>290824</v>
      </c>
      <c r="I507" cm="1">
        <f t="array" ref="I507">_xlfn.IFS(B507=2015,H507/$O$10,B507=2016,H507/$O$11,B507=2017,H507/$O$12,B507=2018,H507/$O$13,B507=2019,H507/$O$14,B507=2020,H507/$O$15,B507=2021,H507/$O$16,B507=2022,H507/$O$17)</f>
        <v>5.0366592815614874E-3</v>
      </c>
      <c r="J507" s="6" cm="1">
        <f t="array" ref="J507">_xlfn.IFS(B507=2015,I507*$Q$1,B507=2016,I507*$Q$2,B507=2017,I507*$Q$3,B507=2018,I507*$Q$4,B507=2019,I507*$Q$5,B507=2020,I507*$Q$6,B507=2021,I507*$Q$7,B507=2022,I507*$Q$8)</f>
        <v>148369.63713663709</v>
      </c>
      <c r="K507" s="7">
        <f t="shared" si="16"/>
        <v>439193.63713663712</v>
      </c>
      <c r="L507">
        <f>IFERROR(VLOOKUP(G507,'LEAID Match'!$A$2:$B$168,2,FALSE),"")</f>
        <v>4646380</v>
      </c>
    </row>
    <row r="508" spans="1:12" x14ac:dyDescent="0.2">
      <c r="A508">
        <f t="shared" si="15"/>
        <v>4675600</v>
      </c>
      <c r="B508">
        <v>2015</v>
      </c>
      <c r="C508" t="s">
        <v>208</v>
      </c>
      <c r="D508" t="s">
        <v>212</v>
      </c>
      <c r="E508" t="s">
        <v>211</v>
      </c>
      <c r="F508" s="3">
        <v>920102</v>
      </c>
      <c r="G508" s="3" t="s">
        <v>131</v>
      </c>
      <c r="H508" s="4">
        <v>107028</v>
      </c>
      <c r="I508" cm="1">
        <f t="array" ref="I508">_xlfn.IFS(B508=2015,H508/$O$10,B508=2016,H508/$O$11,B508=2017,H508/$O$12,B508=2018,H508/$O$13,B508=2019,H508/$O$14,B508=2020,H508/$O$15,B508=2021,H508/$O$16,B508=2022,H508/$O$17)</f>
        <v>2.5034163277861459E-3</v>
      </c>
      <c r="J508" s="6" cm="1">
        <f t="array" ref="J508">_xlfn.IFS(B508=2015,I508*$Q$1,B508=2016,I508*$Q$2,B508=2017,I508*$Q$3,B508=2018,I508*$Q$4,B508=2019,I508*$Q$5,B508=2020,I508*$Q$6,B508=2021,I508*$Q$7,B508=2022,I508*$Q$8)</f>
        <v>61564.402362447705</v>
      </c>
      <c r="K508" s="7">
        <f t="shared" si="16"/>
        <v>168592.4023624477</v>
      </c>
      <c r="L508">
        <f>IFERROR(VLOOKUP(G508,'LEAID Match'!$A$2:$B$168,2,FALSE),"")</f>
        <v>4675600</v>
      </c>
    </row>
    <row r="509" spans="1:12" x14ac:dyDescent="0.2">
      <c r="A509">
        <f t="shared" si="15"/>
        <v>4675600</v>
      </c>
      <c r="B509">
        <v>2016</v>
      </c>
      <c r="C509" t="s">
        <v>208</v>
      </c>
      <c r="D509" t="s">
        <v>212</v>
      </c>
      <c r="E509" t="s">
        <v>211</v>
      </c>
      <c r="F509" s="3">
        <v>920102</v>
      </c>
      <c r="G509" s="3" t="s">
        <v>131</v>
      </c>
      <c r="H509" s="4">
        <v>114899</v>
      </c>
      <c r="I509" cm="1">
        <f t="array" ref="I509">_xlfn.IFS(B509=2015,H509/$O$10,B509=2016,H509/$O$11,B509=2017,H509/$O$12,B509=2018,H509/$O$13,B509=2019,H509/$O$14,B509=2020,H509/$O$15,B509=2021,H509/$O$16,B509=2022,H509/$O$17)</f>
        <v>2.6061460899359581E-3</v>
      </c>
      <c r="J509" s="6" cm="1">
        <f t="array" ref="J509">_xlfn.IFS(B509=2015,I509*$Q$1,B509=2016,I509*$Q$2,B509=2017,I509*$Q$3,B509=2018,I509*$Q$4,B509=2019,I509*$Q$5,B509=2020,I509*$Q$6,B509=2021,I509*$Q$7,B509=2022,I509*$Q$8)</f>
        <v>66211.239362425418</v>
      </c>
      <c r="K509" s="7">
        <f t="shared" si="16"/>
        <v>181110.2393624254</v>
      </c>
      <c r="L509">
        <f>IFERROR(VLOOKUP(G509,'LEAID Match'!$A$2:$B$168,2,FALSE),"")</f>
        <v>4675600</v>
      </c>
    </row>
    <row r="510" spans="1:12" x14ac:dyDescent="0.2">
      <c r="A510">
        <f t="shared" si="15"/>
        <v>4675600</v>
      </c>
      <c r="B510">
        <v>2017</v>
      </c>
      <c r="C510" t="s">
        <v>208</v>
      </c>
      <c r="D510" t="s">
        <v>212</v>
      </c>
      <c r="E510" t="s">
        <v>211</v>
      </c>
      <c r="F510" s="3">
        <v>920102</v>
      </c>
      <c r="G510" s="3" t="s">
        <v>131</v>
      </c>
      <c r="H510" s="4">
        <v>130918</v>
      </c>
      <c r="I510" cm="1">
        <f t="array" ref="I510">_xlfn.IFS(B510=2015,H510/$O$10,B510=2016,H510/$O$11,B510=2017,H510/$O$12,B510=2018,H510/$O$13,B510=2019,H510/$O$14,B510=2020,H510/$O$15,B510=2021,H510/$O$16,B510=2022,H510/$O$17)</f>
        <v>2.7030365110822267E-3</v>
      </c>
      <c r="J510" s="6" cm="1">
        <f t="array" ref="J510">_xlfn.IFS(B510=2015,I510*$Q$1,B510=2016,I510*$Q$2,B510=2017,I510*$Q$3,B510=2018,I510*$Q$4,B510=2019,I510*$Q$5,B510=2020,I510*$Q$6,B510=2021,I510*$Q$7,B510=2022,I510*$Q$8)</f>
        <v>71104.818845514892</v>
      </c>
      <c r="K510" s="7">
        <f t="shared" si="16"/>
        <v>202022.81884551491</v>
      </c>
      <c r="L510">
        <f>IFERROR(VLOOKUP(G510,'LEAID Match'!$A$2:$B$168,2,FALSE),"")</f>
        <v>4675600</v>
      </c>
    </row>
    <row r="511" spans="1:12" x14ac:dyDescent="0.2">
      <c r="A511">
        <f t="shared" si="15"/>
        <v>4675600</v>
      </c>
      <c r="B511">
        <v>2018</v>
      </c>
      <c r="C511" t="s">
        <v>208</v>
      </c>
      <c r="D511" t="s">
        <v>212</v>
      </c>
      <c r="E511" t="s">
        <v>211</v>
      </c>
      <c r="F511" s="3">
        <v>920102</v>
      </c>
      <c r="G511" s="3" t="s">
        <v>131</v>
      </c>
      <c r="H511" s="4">
        <v>132262</v>
      </c>
      <c r="I511" cm="1">
        <f t="array" ref="I511">_xlfn.IFS(B511=2015,H511/$O$10,B511=2016,H511/$O$11,B511=2017,H511/$O$12,B511=2018,H511/$O$13,B511=2019,H511/$O$14,B511=2020,H511/$O$15,B511=2021,H511/$O$16,B511=2022,H511/$O$17)</f>
        <v>2.6376487414162542E-3</v>
      </c>
      <c r="J511" s="6" cm="1">
        <f t="array" ref="J511">_xlfn.IFS(B511=2015,I511*$Q$1,B511=2016,I511*$Q$2,B511=2017,I511*$Q$3,B511=2018,I511*$Q$4,B511=2019,I511*$Q$5,B511=2020,I511*$Q$6,B511=2021,I511*$Q$7,B511=2022,I511*$Q$8)</f>
        <v>69253.601563715565</v>
      </c>
      <c r="K511" s="7">
        <f t="shared" si="16"/>
        <v>201515.60156371555</v>
      </c>
      <c r="L511">
        <f>IFERROR(VLOOKUP(G511,'LEAID Match'!$A$2:$B$168,2,FALSE),"")</f>
        <v>4675600</v>
      </c>
    </row>
    <row r="512" spans="1:12" x14ac:dyDescent="0.2">
      <c r="A512">
        <f t="shared" si="15"/>
        <v>4675600</v>
      </c>
      <c r="B512">
        <v>2019</v>
      </c>
      <c r="C512" t="s">
        <v>208</v>
      </c>
      <c r="D512" t="s">
        <v>212</v>
      </c>
      <c r="E512" t="s">
        <v>211</v>
      </c>
      <c r="F512" s="3">
        <v>920102</v>
      </c>
      <c r="G512" s="3" t="s">
        <v>131</v>
      </c>
      <c r="H512" s="4">
        <v>138478</v>
      </c>
      <c r="I512" cm="1">
        <f t="array" ref="I512">_xlfn.IFS(B512=2015,H512/$O$10,B512=2016,H512/$O$11,B512=2017,H512/$O$12,B512=2018,H512/$O$13,B512=2019,H512/$O$14,B512=2020,H512/$O$15,B512=2021,H512/$O$16,B512=2022,H512/$O$17)</f>
        <v>2.7120267924228623E-3</v>
      </c>
      <c r="J512" s="6" cm="1">
        <f t="array" ref="J512">_xlfn.IFS(B512=2015,I512*$Q$1,B512=2016,I512*$Q$2,B512=2017,I512*$Q$3,B512=2018,I512*$Q$4,B512=2019,I512*$Q$5,B512=2020,I512*$Q$6,B512=2021,I512*$Q$7,B512=2022,I512*$Q$8)</f>
        <v>71726.206551397991</v>
      </c>
      <c r="K512" s="7">
        <f t="shared" si="16"/>
        <v>210204.20655139798</v>
      </c>
      <c r="L512">
        <f>IFERROR(VLOOKUP(G512,'LEAID Match'!$A$2:$B$168,2,FALSE),"")</f>
        <v>4675600</v>
      </c>
    </row>
    <row r="513" spans="1:12" x14ac:dyDescent="0.2">
      <c r="A513">
        <f t="shared" si="15"/>
        <v>4675600</v>
      </c>
      <c r="B513">
        <v>2020</v>
      </c>
      <c r="C513" t="s">
        <v>208</v>
      </c>
      <c r="D513" t="s">
        <v>212</v>
      </c>
      <c r="E513" t="s">
        <v>211</v>
      </c>
      <c r="F513" s="1">
        <v>920102</v>
      </c>
      <c r="G513" s="3" t="s">
        <v>131</v>
      </c>
      <c r="H513" s="2">
        <v>126189</v>
      </c>
      <c r="I513" cm="1">
        <f t="array" ref="I513">_xlfn.IFS(B513=2015,H513/$O$10,B513=2016,H513/$O$11,B513=2017,H513/$O$12,B513=2018,H513/$O$13,B513=2019,H513/$O$14,B513=2020,H513/$O$15,B513=2021,H513/$O$16,B513=2022,H513/$O$17)</f>
        <v>2.3899918869558783E-3</v>
      </c>
      <c r="J513" s="6" cm="1">
        <f t="array" ref="J513">_xlfn.IFS(B513=2015,I513*$Q$1,B513=2016,I513*$Q$2,B513=2017,I513*$Q$3,B513=2018,I513*$Q$4,B513=2019,I513*$Q$5,B513=2020,I513*$Q$6,B513=2021,I513*$Q$7,B513=2022,I513*$Q$8)</f>
        <v>64984.431494456214</v>
      </c>
      <c r="K513" s="7">
        <f t="shared" si="16"/>
        <v>191173.43149445622</v>
      </c>
      <c r="L513">
        <f>IFERROR(VLOOKUP(G513,'LEAID Match'!$A$2:$B$168,2,FALSE),"")</f>
        <v>4675600</v>
      </c>
    </row>
    <row r="514" spans="1:12" x14ac:dyDescent="0.2">
      <c r="A514">
        <f t="shared" si="15"/>
        <v>4675600</v>
      </c>
      <c r="B514">
        <v>2021</v>
      </c>
      <c r="C514" t="s">
        <v>208</v>
      </c>
      <c r="D514" t="s">
        <v>212</v>
      </c>
      <c r="E514" t="s">
        <v>211</v>
      </c>
      <c r="F514" s="3">
        <v>920102</v>
      </c>
      <c r="G514" s="3" t="s">
        <v>131</v>
      </c>
      <c r="H514" s="4">
        <v>134769</v>
      </c>
      <c r="I514" cm="1">
        <f t="array" ref="I514">_xlfn.IFS(B514=2015,H514/$O$10,B514=2016,H514/$O$11,B514=2017,H514/$O$12,B514=2018,H514/$O$13,B514=2019,H514/$O$14,B514=2020,H514/$O$15,B514=2021,H514/$O$16,B514=2022,H514/$O$17)</f>
        <v>2.4341394849397044E-3</v>
      </c>
      <c r="J514" s="6" cm="1">
        <f t="array" ref="J514">_xlfn.IFS(B514=2015,I514*$Q$1,B514=2016,I514*$Q$2,B514=2017,I514*$Q$3,B514=2018,I514*$Q$4,B514=2019,I514*$Q$5,B514=2020,I514*$Q$6,B514=2021,I514*$Q$7,B514=2022,I514*$Q$8)</f>
        <v>67762.385550199979</v>
      </c>
      <c r="K514" s="7">
        <f t="shared" si="16"/>
        <v>202531.38555019998</v>
      </c>
      <c r="L514">
        <f>IFERROR(VLOOKUP(G514,'LEAID Match'!$A$2:$B$168,2,FALSE),"")</f>
        <v>4675600</v>
      </c>
    </row>
    <row r="515" spans="1:12" x14ac:dyDescent="0.2">
      <c r="A515">
        <f t="shared" ref="A515:A578" si="17">L515</f>
        <v>4675600</v>
      </c>
      <c r="B515">
        <v>2022</v>
      </c>
      <c r="C515" t="s">
        <v>208</v>
      </c>
      <c r="D515" t="s">
        <v>212</v>
      </c>
      <c r="E515" t="s">
        <v>211</v>
      </c>
      <c r="F515" s="3">
        <v>920102</v>
      </c>
      <c r="G515" s="3" t="s">
        <v>131</v>
      </c>
      <c r="H515" s="4">
        <v>149291</v>
      </c>
      <c r="I515" cm="1">
        <f t="array" ref="I515">_xlfn.IFS(B515=2015,H515/$O$10,B515=2016,H515/$O$11,B515=2017,H515/$O$12,B515=2018,H515/$O$13,B515=2019,H515/$O$14,B515=2020,H515/$O$15,B515=2021,H515/$O$16,B515=2022,H515/$O$17)</f>
        <v>2.5855084202252771E-3</v>
      </c>
      <c r="J515" s="6" cm="1">
        <f t="array" ref="J515">_xlfn.IFS(B515=2015,I515*$Q$1,B515=2016,I515*$Q$2,B515=2017,I515*$Q$3,B515=2018,I515*$Q$4,B515=2019,I515*$Q$5,B515=2020,I515*$Q$6,B515=2021,I515*$Q$7,B515=2022,I515*$Q$8)</f>
        <v>76163.767425541519</v>
      </c>
      <c r="K515" s="7">
        <f t="shared" ref="K515:K578" si="18">SUM(J515,H515)</f>
        <v>225454.76742554153</v>
      </c>
      <c r="L515">
        <f>IFERROR(VLOOKUP(G515,'LEAID Match'!$A$2:$B$168,2,FALSE),"")</f>
        <v>4675600</v>
      </c>
    </row>
    <row r="516" spans="1:12" x14ac:dyDescent="0.2">
      <c r="A516">
        <f t="shared" si="17"/>
        <v>4616950</v>
      </c>
      <c r="B516">
        <v>2015</v>
      </c>
      <c r="C516" t="s">
        <v>208</v>
      </c>
      <c r="D516" t="s">
        <v>212</v>
      </c>
      <c r="E516" t="s">
        <v>211</v>
      </c>
      <c r="F516" s="3">
        <v>921104</v>
      </c>
      <c r="G516" s="3" t="s">
        <v>32</v>
      </c>
      <c r="H516" s="4">
        <v>252183</v>
      </c>
      <c r="I516" cm="1">
        <f t="array" ref="I516">_xlfn.IFS(B516=2015,H516/$O$10,B516=2016,H516/$O$11,B516=2017,H516/$O$12,B516=2018,H516/$O$13,B516=2019,H516/$O$14,B516=2020,H516/$O$15,B516=2021,H516/$O$16,B516=2022,H516/$O$17)</f>
        <v>5.8986343740898986E-3</v>
      </c>
      <c r="J516" s="6" cm="1">
        <f t="array" ref="J516">_xlfn.IFS(B516=2015,I516*$Q$1,B516=2016,I516*$Q$2,B516=2017,I516*$Q$3,B516=2018,I516*$Q$4,B516=2019,I516*$Q$5,B516=2020,I516*$Q$6,B516=2021,I516*$Q$7,B516=2022,I516*$Q$8)</f>
        <v>145060.13081594676</v>
      </c>
      <c r="K516" s="7">
        <f t="shared" si="18"/>
        <v>397243.13081594673</v>
      </c>
      <c r="L516">
        <f>IFERROR(VLOOKUP(G516,'LEAID Match'!$A$2:$B$168,2,FALSE),"")</f>
        <v>4616950</v>
      </c>
    </row>
    <row r="517" spans="1:12" x14ac:dyDescent="0.2">
      <c r="A517">
        <f t="shared" si="17"/>
        <v>4616950</v>
      </c>
      <c r="B517">
        <v>2016</v>
      </c>
      <c r="C517" t="s">
        <v>208</v>
      </c>
      <c r="D517" t="s">
        <v>212</v>
      </c>
      <c r="E517" t="s">
        <v>211</v>
      </c>
      <c r="F517" s="3">
        <v>921104</v>
      </c>
      <c r="G517" s="3" t="s">
        <v>32</v>
      </c>
      <c r="H517" s="4">
        <v>269080</v>
      </c>
      <c r="I517" cm="1">
        <f t="array" ref="I517">_xlfn.IFS(B517=2015,H517/$O$10,B517=2016,H517/$O$11,B517=2017,H517/$O$12,B517=2018,H517/$O$13,B517=2019,H517/$O$14,B517=2020,H517/$O$15,B517=2021,H517/$O$16,B517=2022,H517/$O$17)</f>
        <v>6.1032888874573985E-3</v>
      </c>
      <c r="J517" s="6" cm="1">
        <f t="array" ref="J517">_xlfn.IFS(B517=2015,I517*$Q$1,B517=2016,I517*$Q$2,B517=2017,I517*$Q$3,B517=2018,I517*$Q$4,B517=2019,I517*$Q$5,B517=2020,I517*$Q$6,B517=2021,I517*$Q$7,B517=2022,I517*$Q$8)</f>
        <v>155058.96733340962</v>
      </c>
      <c r="K517" s="7">
        <f t="shared" si="18"/>
        <v>424138.96733340959</v>
      </c>
      <c r="L517">
        <f>IFERROR(VLOOKUP(G517,'LEAID Match'!$A$2:$B$168,2,FALSE),"")</f>
        <v>4616950</v>
      </c>
    </row>
    <row r="518" spans="1:12" x14ac:dyDescent="0.2">
      <c r="A518">
        <f t="shared" si="17"/>
        <v>4616950</v>
      </c>
      <c r="B518">
        <v>2017</v>
      </c>
      <c r="C518" t="s">
        <v>208</v>
      </c>
      <c r="D518" t="s">
        <v>212</v>
      </c>
      <c r="E518" t="s">
        <v>211</v>
      </c>
      <c r="F518" s="3">
        <v>921104</v>
      </c>
      <c r="G518" s="3" t="s">
        <v>32</v>
      </c>
      <c r="H518" s="4">
        <v>287307</v>
      </c>
      <c r="I518" cm="1">
        <f t="array" ref="I518">_xlfn.IFS(B518=2015,H518/$O$10,B518=2016,H518/$O$11,B518=2017,H518/$O$12,B518=2018,H518/$O$13,B518=2019,H518/$O$14,B518=2020,H518/$O$15,B518=2021,H518/$O$16,B518=2022,H518/$O$17)</f>
        <v>5.9319674215119484E-3</v>
      </c>
      <c r="J518" s="6" cm="1">
        <f t="array" ref="J518">_xlfn.IFS(B518=2015,I518*$Q$1,B518=2016,I518*$Q$2,B518=2017,I518*$Q$3,B518=2018,I518*$Q$4,B518=2019,I518*$Q$5,B518=2020,I518*$Q$6,B518=2021,I518*$Q$7,B518=2022,I518*$Q$8)</f>
        <v>156043.5706934749</v>
      </c>
      <c r="K518" s="7">
        <f t="shared" si="18"/>
        <v>443350.5706934749</v>
      </c>
      <c r="L518">
        <f>IFERROR(VLOOKUP(G518,'LEAID Match'!$A$2:$B$168,2,FALSE),"")</f>
        <v>4616950</v>
      </c>
    </row>
    <row r="519" spans="1:12" x14ac:dyDescent="0.2">
      <c r="A519">
        <f t="shared" si="17"/>
        <v>4616950</v>
      </c>
      <c r="B519">
        <v>2018</v>
      </c>
      <c r="C519" t="s">
        <v>208</v>
      </c>
      <c r="D519" t="s">
        <v>212</v>
      </c>
      <c r="E519" t="s">
        <v>211</v>
      </c>
      <c r="F519" s="3">
        <v>921104</v>
      </c>
      <c r="G519" s="3" t="s">
        <v>32</v>
      </c>
      <c r="H519" s="4">
        <v>300031</v>
      </c>
      <c r="I519" cm="1">
        <f t="array" ref="I519">_xlfn.IFS(B519=2015,H519/$O$10,B519=2016,H519/$O$11,B519=2017,H519/$O$12,B519=2018,H519/$O$13,B519=2019,H519/$O$14,B519=2020,H519/$O$15,B519=2021,H519/$O$16,B519=2022,H519/$O$17)</f>
        <v>5.9833995367971167E-3</v>
      </c>
      <c r="J519" s="6" cm="1">
        <f t="array" ref="J519">_xlfn.IFS(B519=2015,I519*$Q$1,B519=2016,I519*$Q$2,B519=2017,I519*$Q$3,B519=2018,I519*$Q$4,B519=2019,I519*$Q$5,B519=2020,I519*$Q$6,B519=2021,I519*$Q$7,B519=2022,I519*$Q$8)</f>
        <v>157098.99540883358</v>
      </c>
      <c r="K519" s="7">
        <f t="shared" si="18"/>
        <v>457129.99540883361</v>
      </c>
      <c r="L519">
        <f>IFERROR(VLOOKUP(G519,'LEAID Match'!$A$2:$B$168,2,FALSE),"")</f>
        <v>4616950</v>
      </c>
    </row>
    <row r="520" spans="1:12" x14ac:dyDescent="0.2">
      <c r="A520">
        <f t="shared" si="17"/>
        <v>4616950</v>
      </c>
      <c r="B520">
        <v>2019</v>
      </c>
      <c r="C520" t="s">
        <v>208</v>
      </c>
      <c r="D520" t="s">
        <v>212</v>
      </c>
      <c r="E520" t="s">
        <v>211</v>
      </c>
      <c r="F520" s="3">
        <v>921104</v>
      </c>
      <c r="G520" s="3" t="s">
        <v>32</v>
      </c>
      <c r="H520" s="4">
        <v>303292</v>
      </c>
      <c r="I520" cm="1">
        <f t="array" ref="I520">_xlfn.IFS(B520=2015,H520/$O$10,B520=2016,H520/$O$11,B520=2017,H520/$O$12,B520=2018,H520/$O$13,B520=2019,H520/$O$14,B520=2020,H520/$O$15,B520=2021,H520/$O$16,B520=2022,H520/$O$17)</f>
        <v>5.9398318139163965E-3</v>
      </c>
      <c r="J520" s="6" cm="1">
        <f t="array" ref="J520">_xlfn.IFS(B520=2015,I520*$Q$1,B520=2016,I520*$Q$2,B520=2017,I520*$Q$3,B520=2018,I520*$Q$4,B520=2019,I520*$Q$5,B520=2020,I520*$Q$6,B520=2021,I520*$Q$7,B520=2022,I520*$Q$8)</f>
        <v>157093.43460612226</v>
      </c>
      <c r="K520" s="7">
        <f t="shared" si="18"/>
        <v>460385.43460612226</v>
      </c>
      <c r="L520">
        <f>IFERROR(VLOOKUP(G520,'LEAID Match'!$A$2:$B$168,2,FALSE),"")</f>
        <v>4616950</v>
      </c>
    </row>
    <row r="521" spans="1:12" x14ac:dyDescent="0.2">
      <c r="A521">
        <f t="shared" si="17"/>
        <v>4616950</v>
      </c>
      <c r="B521">
        <v>2020</v>
      </c>
      <c r="C521" t="s">
        <v>208</v>
      </c>
      <c r="D521" t="s">
        <v>212</v>
      </c>
      <c r="E521" t="s">
        <v>211</v>
      </c>
      <c r="F521" s="1">
        <v>921104</v>
      </c>
      <c r="G521" s="3" t="s">
        <v>32</v>
      </c>
      <c r="H521" s="2">
        <v>312182</v>
      </c>
      <c r="I521" cm="1">
        <f t="array" ref="I521">_xlfn.IFS(B521=2015,H521/$O$10,B521=2016,H521/$O$11,B521=2017,H521/$O$12,B521=2018,H521/$O$13,B521=2019,H521/$O$14,B521=2020,H521/$O$15,B521=2021,H521/$O$16,B521=2022,H521/$O$17)</f>
        <v>5.9126583715986333E-3</v>
      </c>
      <c r="J521" s="6" cm="1">
        <f t="array" ref="J521">_xlfn.IFS(B521=2015,I521*$Q$1,B521=2016,I521*$Q$2,B521=2017,I521*$Q$3,B521=2018,I521*$Q$4,B521=2019,I521*$Q$5,B521=2020,I521*$Q$6,B521=2021,I521*$Q$7,B521=2022,I521*$Q$8)</f>
        <v>160766.54694785067</v>
      </c>
      <c r="K521" s="7">
        <f t="shared" si="18"/>
        <v>472948.54694785067</v>
      </c>
      <c r="L521">
        <f>IFERROR(VLOOKUP(G521,'LEAID Match'!$A$2:$B$168,2,FALSE),"")</f>
        <v>4616950</v>
      </c>
    </row>
    <row r="522" spans="1:12" x14ac:dyDescent="0.2">
      <c r="A522">
        <f t="shared" si="17"/>
        <v>4616950</v>
      </c>
      <c r="B522">
        <v>2021</v>
      </c>
      <c r="C522" t="s">
        <v>208</v>
      </c>
      <c r="D522" t="s">
        <v>212</v>
      </c>
      <c r="E522" t="s">
        <v>211</v>
      </c>
      <c r="F522" s="3">
        <v>921104</v>
      </c>
      <c r="G522" s="3" t="s">
        <v>32</v>
      </c>
      <c r="H522" s="4">
        <v>330384</v>
      </c>
      <c r="I522" cm="1">
        <f t="array" ref="I522">_xlfn.IFS(B522=2015,H522/$O$10,B522=2016,H522/$O$11,B522=2017,H522/$O$12,B522=2018,H522/$O$13,B522=2019,H522/$O$14,B522=2020,H522/$O$15,B522=2021,H522/$O$16,B522=2022,H522/$O$17)</f>
        <v>5.9672531486641535E-3</v>
      </c>
      <c r="J522" s="6" cm="1">
        <f t="array" ref="J522">_xlfn.IFS(B522=2015,I522*$Q$1,B522=2016,I522*$Q$2,B522=2017,I522*$Q$3,B522=2018,I522*$Q$4,B522=2019,I522*$Q$5,B522=2020,I522*$Q$6,B522=2021,I522*$Q$7,B522=2022,I522*$Q$8)</f>
        <v>166118.3802478112</v>
      </c>
      <c r="K522" s="7">
        <f t="shared" si="18"/>
        <v>496502.3802478112</v>
      </c>
      <c r="L522">
        <f>IFERROR(VLOOKUP(G522,'LEAID Match'!$A$2:$B$168,2,FALSE),"")</f>
        <v>4616950</v>
      </c>
    </row>
    <row r="523" spans="1:12" x14ac:dyDescent="0.2">
      <c r="A523">
        <f t="shared" si="17"/>
        <v>4616950</v>
      </c>
      <c r="B523">
        <v>2022</v>
      </c>
      <c r="C523" t="s">
        <v>208</v>
      </c>
      <c r="D523" t="s">
        <v>212</v>
      </c>
      <c r="E523" t="s">
        <v>211</v>
      </c>
      <c r="F523" s="3">
        <v>921104</v>
      </c>
      <c r="G523" s="3" t="s">
        <v>32</v>
      </c>
      <c r="H523" s="4">
        <v>364583</v>
      </c>
      <c r="I523" cm="1">
        <f t="array" ref="I523">_xlfn.IFS(B523=2015,H523/$O$10,B523=2016,H523/$O$11,B523=2017,H523/$O$12,B523=2018,H523/$O$13,B523=2019,H523/$O$14,B523=2020,H523/$O$15,B523=2021,H523/$O$16,B523=2022,H523/$O$17)</f>
        <v>6.3140605687616288E-3</v>
      </c>
      <c r="J523" s="6" cm="1">
        <f t="array" ref="J523">_xlfn.IFS(B523=2015,I523*$Q$1,B523=2016,I523*$Q$2,B523=2017,I523*$Q$3,B523=2018,I523*$Q$4,B523=2019,I523*$Q$5,B523=2020,I523*$Q$6,B523=2021,I523*$Q$7,B523=2022,I523*$Q$8)</f>
        <v>185999.25527530935</v>
      </c>
      <c r="K523" s="7">
        <f t="shared" si="18"/>
        <v>550582.25527530932</v>
      </c>
      <c r="L523">
        <f>IFERROR(VLOOKUP(G523,'LEAID Match'!$A$2:$B$168,2,FALSE),"")</f>
        <v>4616950</v>
      </c>
    </row>
    <row r="524" spans="1:12" x14ac:dyDescent="0.2">
      <c r="A524">
        <f t="shared" si="17"/>
        <v>4676680</v>
      </c>
      <c r="B524">
        <v>2015</v>
      </c>
      <c r="C524" t="s">
        <v>208</v>
      </c>
      <c r="D524" t="s">
        <v>212</v>
      </c>
      <c r="E524" t="s">
        <v>211</v>
      </c>
      <c r="F524" s="3">
        <v>922105</v>
      </c>
      <c r="G524" s="3" t="s">
        <v>150</v>
      </c>
      <c r="H524" s="4">
        <v>69611</v>
      </c>
      <c r="I524" cm="1">
        <f t="array" ref="I524">_xlfn.IFS(B524=2015,H524/$O$10,B524=2016,H524/$O$11,B524=2017,H524/$O$12,B524=2018,H524/$O$13,B524=2019,H524/$O$14,B524=2020,H524/$O$15,B524=2021,H524/$O$16,B524=2022,H524/$O$17)</f>
        <v>1.6282217176208226E-3</v>
      </c>
      <c r="J524" s="6" cm="1">
        <f t="array" ref="J524">_xlfn.IFS(B524=2015,I524*$Q$1,B524=2016,I524*$Q$2,B524=2017,I524*$Q$3,B524=2018,I524*$Q$4,B524=2019,I524*$Q$5,B524=2020,I524*$Q$6,B524=2021,I524*$Q$7,B524=2022,I524*$Q$8)</f>
        <v>40041.480854097499</v>
      </c>
      <c r="K524" s="7">
        <f t="shared" si="18"/>
        <v>109652.48085409749</v>
      </c>
      <c r="L524">
        <f>IFERROR(VLOOKUP(G524,'LEAID Match'!$A$2:$B$168,2,FALSE),"")</f>
        <v>4676680</v>
      </c>
    </row>
    <row r="525" spans="1:12" x14ac:dyDescent="0.2">
      <c r="A525">
        <f t="shared" si="17"/>
        <v>4676680</v>
      </c>
      <c r="B525">
        <v>2016</v>
      </c>
      <c r="C525" t="s">
        <v>208</v>
      </c>
      <c r="D525" t="s">
        <v>212</v>
      </c>
      <c r="E525" t="s">
        <v>211</v>
      </c>
      <c r="F525" s="3">
        <v>922105</v>
      </c>
      <c r="G525" s="3" t="s">
        <v>150</v>
      </c>
      <c r="H525" s="4">
        <v>68010</v>
      </c>
      <c r="I525" cm="1">
        <f t="array" ref="I525">_xlfn.IFS(B525=2015,H525/$O$10,B525=2016,H525/$O$11,B525=2017,H525/$O$12,B525=2018,H525/$O$13,B525=2019,H525/$O$14,B525=2020,H525/$O$15,B525=2021,H525/$O$16,B525=2022,H525/$O$17)</f>
        <v>1.5426069467666778E-3</v>
      </c>
      <c r="J525" s="6" cm="1">
        <f t="array" ref="J525">_xlfn.IFS(B525=2015,I525*$Q$1,B525=2016,I525*$Q$2,B525=2017,I525*$Q$3,B525=2018,I525*$Q$4,B525=2019,I525*$Q$5,B525=2020,I525*$Q$6,B525=2021,I525*$Q$7,B525=2022,I525*$Q$8)</f>
        <v>39191.171281199597</v>
      </c>
      <c r="K525" s="7">
        <f t="shared" si="18"/>
        <v>107201.1712811996</v>
      </c>
      <c r="L525">
        <f>IFERROR(VLOOKUP(G525,'LEAID Match'!$A$2:$B$168,2,FALSE),"")</f>
        <v>4676680</v>
      </c>
    </row>
    <row r="526" spans="1:12" x14ac:dyDescent="0.2">
      <c r="A526">
        <f t="shared" si="17"/>
        <v>4676680</v>
      </c>
      <c r="B526">
        <v>2017</v>
      </c>
      <c r="C526" t="s">
        <v>208</v>
      </c>
      <c r="D526" t="s">
        <v>212</v>
      </c>
      <c r="E526" t="s">
        <v>211</v>
      </c>
      <c r="F526" s="3">
        <v>922105</v>
      </c>
      <c r="G526" s="3" t="s">
        <v>150</v>
      </c>
      <c r="H526" s="4">
        <v>77279</v>
      </c>
      <c r="I526" cm="1">
        <f t="array" ref="I526">_xlfn.IFS(B526=2015,H526/$O$10,B526=2016,H526/$O$11,B526=2017,H526/$O$12,B526=2018,H526/$O$13,B526=2019,H526/$O$14,B526=2020,H526/$O$15,B526=2021,H526/$O$16,B526=2022,H526/$O$17)</f>
        <v>1.5955633185652347E-3</v>
      </c>
      <c r="J526" s="6" cm="1">
        <f t="array" ref="J526">_xlfn.IFS(B526=2015,I526*$Q$1,B526=2016,I526*$Q$2,B526=2017,I526*$Q$3,B526=2018,I526*$Q$4,B526=2019,I526*$Q$5,B526=2020,I526*$Q$6,B526=2021,I526*$Q$7,B526=2022,I526*$Q$8)</f>
        <v>41972.145125670613</v>
      </c>
      <c r="K526" s="7">
        <f t="shared" si="18"/>
        <v>119251.14512567062</v>
      </c>
      <c r="L526">
        <f>IFERROR(VLOOKUP(G526,'LEAID Match'!$A$2:$B$168,2,FALSE),"")</f>
        <v>4676680</v>
      </c>
    </row>
    <row r="527" spans="1:12" x14ac:dyDescent="0.2">
      <c r="A527">
        <f t="shared" si="17"/>
        <v>4676680</v>
      </c>
      <c r="B527">
        <v>2018</v>
      </c>
      <c r="C527" t="s">
        <v>208</v>
      </c>
      <c r="D527" t="s">
        <v>212</v>
      </c>
      <c r="E527" t="s">
        <v>211</v>
      </c>
      <c r="F527" s="3">
        <v>922105</v>
      </c>
      <c r="G527" s="3" t="s">
        <v>150</v>
      </c>
      <c r="H527" s="4">
        <v>75992</v>
      </c>
      <c r="I527" cm="1">
        <f t="array" ref="I527">_xlfn.IFS(B527=2015,H527/$O$10,B527=2016,H527/$O$11,B527=2017,H527/$O$12,B527=2018,H527/$O$13,B527=2019,H527/$O$14,B527=2020,H527/$O$15,B527=2021,H527/$O$16,B527=2022,H527/$O$17)</f>
        <v>1.5154783925670563E-3</v>
      </c>
      <c r="J527" s="6" cm="1">
        <f t="array" ref="J527">_xlfn.IFS(B527=2015,I527*$Q$1,B527=2016,I527*$Q$2,B527=2017,I527*$Q$3,B527=2018,I527*$Q$4,B527=2019,I527*$Q$5,B527=2020,I527*$Q$6,B527=2021,I527*$Q$7,B527=2022,I527*$Q$8)</f>
        <v>39790.111218867649</v>
      </c>
      <c r="K527" s="7">
        <f t="shared" si="18"/>
        <v>115782.11121886765</v>
      </c>
      <c r="L527">
        <f>IFERROR(VLOOKUP(G527,'LEAID Match'!$A$2:$B$168,2,FALSE),"")</f>
        <v>4676680</v>
      </c>
    </row>
    <row r="528" spans="1:12" x14ac:dyDescent="0.2">
      <c r="A528">
        <f t="shared" si="17"/>
        <v>4676680</v>
      </c>
      <c r="B528">
        <v>2019</v>
      </c>
      <c r="C528" t="s">
        <v>208</v>
      </c>
      <c r="D528" t="s">
        <v>212</v>
      </c>
      <c r="E528" t="s">
        <v>211</v>
      </c>
      <c r="F528" s="3">
        <v>922105</v>
      </c>
      <c r="G528" s="3" t="s">
        <v>150</v>
      </c>
      <c r="H528" s="4">
        <v>80892</v>
      </c>
      <c r="I528" cm="1">
        <f t="array" ref="I528">_xlfn.IFS(B528=2015,H528/$O$10,B528=2016,H528/$O$11,B528=2017,H528/$O$12,B528=2018,H528/$O$13,B528=2019,H528/$O$14,B528=2020,H528/$O$15,B528=2021,H528/$O$16,B528=2022,H528/$O$17)</f>
        <v>1.5842319450935902E-3</v>
      </c>
      <c r="J528" s="6" cm="1">
        <f t="array" ref="J528">_xlfn.IFS(B528=2015,I528*$Q$1,B528=2016,I528*$Q$2,B528=2017,I528*$Q$3,B528=2018,I528*$Q$4,B528=2019,I528*$Q$5,B528=2020,I528*$Q$6,B528=2021,I528*$Q$7,B528=2022,I528*$Q$8)</f>
        <v>41898.903077425195</v>
      </c>
      <c r="K528" s="7">
        <f t="shared" si="18"/>
        <v>122790.9030774252</v>
      </c>
      <c r="L528">
        <f>IFERROR(VLOOKUP(G528,'LEAID Match'!$A$2:$B$168,2,FALSE),"")</f>
        <v>4676680</v>
      </c>
    </row>
    <row r="529" spans="1:12" x14ac:dyDescent="0.2">
      <c r="A529">
        <f t="shared" si="17"/>
        <v>4676680</v>
      </c>
      <c r="B529">
        <v>2020</v>
      </c>
      <c r="C529" t="s">
        <v>208</v>
      </c>
      <c r="D529" t="s">
        <v>212</v>
      </c>
      <c r="E529" t="s">
        <v>211</v>
      </c>
      <c r="F529" s="1">
        <v>922105</v>
      </c>
      <c r="G529" s="3" t="s">
        <v>150</v>
      </c>
      <c r="H529" s="2">
        <v>84591</v>
      </c>
      <c r="I529" cm="1">
        <f t="array" ref="I529">_xlfn.IFS(B529=2015,H529/$O$10,B529=2016,H529/$O$11,B529=2017,H529/$O$12,B529=2018,H529/$O$13,B529=2019,H529/$O$14,B529=2020,H529/$O$15,B529=2021,H529/$O$16,B529=2022,H529/$O$17)</f>
        <v>1.6021349222950074E-3</v>
      </c>
      <c r="J529" s="6" cm="1">
        <f t="array" ref="J529">_xlfn.IFS(B529=2015,I529*$Q$1,B529=2016,I529*$Q$2,B529=2017,I529*$Q$3,B529=2018,I529*$Q$4,B529=2019,I529*$Q$5,B529=2020,I529*$Q$6,B529=2021,I529*$Q$7,B529=2022,I529*$Q$8)</f>
        <v>43562.418630368302</v>
      </c>
      <c r="K529" s="7">
        <f t="shared" si="18"/>
        <v>128153.41863036831</v>
      </c>
      <c r="L529">
        <f>IFERROR(VLOOKUP(G529,'LEAID Match'!$A$2:$B$168,2,FALSE),"")</f>
        <v>4676680</v>
      </c>
    </row>
    <row r="530" spans="1:12" x14ac:dyDescent="0.2">
      <c r="A530">
        <f t="shared" si="17"/>
        <v>4676680</v>
      </c>
      <c r="B530">
        <v>2021</v>
      </c>
      <c r="C530" t="s">
        <v>208</v>
      </c>
      <c r="D530" t="s">
        <v>212</v>
      </c>
      <c r="E530" t="s">
        <v>211</v>
      </c>
      <c r="F530" s="3">
        <v>922105</v>
      </c>
      <c r="G530" s="3" t="s">
        <v>150</v>
      </c>
      <c r="H530" s="4">
        <v>89090</v>
      </c>
      <c r="I530" cm="1">
        <f t="array" ref="I530">_xlfn.IFS(B530=2015,H530/$O$10,B530=2016,H530/$O$11,B530=2017,H530/$O$12,B530=2018,H530/$O$13,B530=2019,H530/$O$14,B530=2020,H530/$O$15,B530=2021,H530/$O$16,B530=2022,H530/$O$17)</f>
        <v>1.6091051110661819E-3</v>
      </c>
      <c r="J530" s="6" cm="1">
        <f t="array" ref="J530">_xlfn.IFS(B530=2015,I530*$Q$1,B530=2016,I530*$Q$2,B530=2017,I530*$Q$3,B530=2018,I530*$Q$4,B530=2019,I530*$Q$5,B530=2020,I530*$Q$6,B530=2021,I530*$Q$7,B530=2022,I530*$Q$8)</f>
        <v>44794.803913862357</v>
      </c>
      <c r="K530" s="7">
        <f t="shared" si="18"/>
        <v>133884.80391386236</v>
      </c>
      <c r="L530">
        <f>IFERROR(VLOOKUP(G530,'LEAID Match'!$A$2:$B$168,2,FALSE),"")</f>
        <v>4676680</v>
      </c>
    </row>
    <row r="531" spans="1:12" x14ac:dyDescent="0.2">
      <c r="A531">
        <f t="shared" si="17"/>
        <v>4676680</v>
      </c>
      <c r="B531">
        <v>2022</v>
      </c>
      <c r="C531" t="s">
        <v>208</v>
      </c>
      <c r="D531" t="s">
        <v>212</v>
      </c>
      <c r="E531" t="s">
        <v>211</v>
      </c>
      <c r="F531" s="3">
        <v>922105</v>
      </c>
      <c r="G531" s="3" t="s">
        <v>150</v>
      </c>
      <c r="H531" s="4">
        <v>90676</v>
      </c>
      <c r="I531" cm="1">
        <f t="array" ref="I531">_xlfn.IFS(B531=2015,H531/$O$10,B531=2016,H531/$O$11,B531=2017,H531/$O$12,B531=2018,H531/$O$13,B531=2019,H531/$O$14,B531=2020,H531/$O$15,B531=2021,H531/$O$16,B531=2022,H531/$O$17)</f>
        <v>1.5703797383120701E-3</v>
      </c>
      <c r="J531" s="6" cm="1">
        <f t="array" ref="J531">_xlfn.IFS(B531=2015,I531*$Q$1,B531=2016,I531*$Q$2,B531=2017,I531*$Q$3,B531=2018,I531*$Q$4,B531=2019,I531*$Q$5,B531=2020,I531*$Q$6,B531=2021,I531*$Q$7,B531=2022,I531*$Q$8)</f>
        <v>46260.16153069109</v>
      </c>
      <c r="K531" s="7">
        <f t="shared" si="18"/>
        <v>136936.16153069108</v>
      </c>
      <c r="L531">
        <f>IFERROR(VLOOKUP(G531,'LEAID Match'!$A$2:$B$168,2,FALSE),"")</f>
        <v>4676680</v>
      </c>
    </row>
    <row r="532" spans="1:12" x14ac:dyDescent="0.2">
      <c r="A532">
        <f t="shared" si="17"/>
        <v>4676990</v>
      </c>
      <c r="B532">
        <v>2015</v>
      </c>
      <c r="C532" t="s">
        <v>208</v>
      </c>
      <c r="D532" t="s">
        <v>212</v>
      </c>
      <c r="E532" t="s">
        <v>211</v>
      </c>
      <c r="F532" s="3">
        <v>922107</v>
      </c>
      <c r="G532" s="3" t="s">
        <v>152</v>
      </c>
      <c r="H532" s="4">
        <v>135981</v>
      </c>
      <c r="I532" cm="1">
        <f t="array" ref="I532">_xlfn.IFS(B532=2015,H532/$O$10,B532=2016,H532/$O$11,B532=2017,H532/$O$12,B532=2018,H532/$O$13,B532=2019,H532/$O$14,B532=2020,H532/$O$15,B532=2021,H532/$O$16,B532=2022,H532/$O$17)</f>
        <v>3.1806354941574908E-3</v>
      </c>
      <c r="J532" s="6" cm="1">
        <f t="array" ref="J532">_xlfn.IFS(B532=2015,I532*$Q$1,B532=2016,I532*$Q$2,B532=2017,I532*$Q$3,B532=2018,I532*$Q$4,B532=2019,I532*$Q$5,B532=2020,I532*$Q$6,B532=2021,I532*$Q$7,B532=2022,I532*$Q$8)</f>
        <v>78218.681070822611</v>
      </c>
      <c r="K532" s="7">
        <f t="shared" si="18"/>
        <v>214199.68107082261</v>
      </c>
      <c r="L532">
        <f>IFERROR(VLOOKUP(G532,'LEAID Match'!$A$2:$B$168,2,FALSE),"")</f>
        <v>4676990</v>
      </c>
    </row>
    <row r="533" spans="1:12" x14ac:dyDescent="0.2">
      <c r="A533">
        <f t="shared" si="17"/>
        <v>4676990</v>
      </c>
      <c r="B533">
        <v>2016</v>
      </c>
      <c r="C533" t="s">
        <v>208</v>
      </c>
      <c r="D533" t="s">
        <v>212</v>
      </c>
      <c r="E533" t="s">
        <v>211</v>
      </c>
      <c r="F533" s="3">
        <v>922107</v>
      </c>
      <c r="G533" s="3" t="s">
        <v>152</v>
      </c>
      <c r="H533" s="4">
        <v>146492</v>
      </c>
      <c r="I533" cm="1">
        <f t="array" ref="I533">_xlfn.IFS(B533=2015,H533/$O$10,B533=2016,H533/$O$11,B533=2017,H533/$O$12,B533=2018,H533/$O$13,B533=2019,H533/$O$14,B533=2020,H533/$O$15,B533=2021,H533/$O$16,B533=2022,H533/$O$17)</f>
        <v>3.322740432961979E-3</v>
      </c>
      <c r="J533" s="6" cm="1">
        <f t="array" ref="J533">_xlfn.IFS(B533=2015,I533*$Q$1,B533=2016,I533*$Q$2,B533=2017,I533*$Q$3,B533=2018,I533*$Q$4,B533=2019,I533*$Q$5,B533=2020,I533*$Q$6,B533=2021,I533*$Q$7,B533=2022,I533*$Q$8)</f>
        <v>84416.89550544761</v>
      </c>
      <c r="K533" s="7">
        <f t="shared" si="18"/>
        <v>230908.89550544761</v>
      </c>
      <c r="L533">
        <f>IFERROR(VLOOKUP(G533,'LEAID Match'!$A$2:$B$168,2,FALSE),"")</f>
        <v>4676990</v>
      </c>
    </row>
    <row r="534" spans="1:12" x14ac:dyDescent="0.2">
      <c r="A534">
        <f t="shared" si="17"/>
        <v>4676990</v>
      </c>
      <c r="B534">
        <v>2017</v>
      </c>
      <c r="C534" t="s">
        <v>208</v>
      </c>
      <c r="D534" t="s">
        <v>212</v>
      </c>
      <c r="E534" t="s">
        <v>211</v>
      </c>
      <c r="F534" s="3">
        <v>922107</v>
      </c>
      <c r="G534" s="3" t="s">
        <v>152</v>
      </c>
      <c r="H534" s="4">
        <v>154556</v>
      </c>
      <c r="I534" cm="1">
        <f t="array" ref="I534">_xlfn.IFS(B534=2015,H534/$O$10,B534=2016,H534/$O$11,B534=2017,H534/$O$12,B534=2018,H534/$O$13,B534=2019,H534/$O$14,B534=2020,H534/$O$15,B534=2021,H534/$O$16,B534=2022,H534/$O$17)</f>
        <v>3.1910853435495857E-3</v>
      </c>
      <c r="J534" s="6" cm="1">
        <f t="array" ref="J534">_xlfn.IFS(B534=2015,I534*$Q$1,B534=2016,I534*$Q$2,B534=2017,I534*$Q$3,B534=2018,I534*$Q$4,B534=2019,I534*$Q$5,B534=2020,I534*$Q$6,B534=2021,I534*$Q$7,B534=2022,I534*$Q$8)</f>
        <v>83943.20400164531</v>
      </c>
      <c r="K534" s="7">
        <f t="shared" si="18"/>
        <v>238499.20400164532</v>
      </c>
      <c r="L534">
        <f>IFERROR(VLOOKUP(G534,'LEAID Match'!$A$2:$B$168,2,FALSE),"")</f>
        <v>4676990</v>
      </c>
    </row>
    <row r="535" spans="1:12" x14ac:dyDescent="0.2">
      <c r="A535">
        <f t="shared" si="17"/>
        <v>4676990</v>
      </c>
      <c r="B535">
        <v>2018</v>
      </c>
      <c r="C535" t="s">
        <v>208</v>
      </c>
      <c r="D535" t="s">
        <v>212</v>
      </c>
      <c r="E535" t="s">
        <v>211</v>
      </c>
      <c r="F535" s="3">
        <v>922107</v>
      </c>
      <c r="G535" s="3" t="s">
        <v>152</v>
      </c>
      <c r="H535" s="4">
        <v>158398</v>
      </c>
      <c r="I535" cm="1">
        <f t="array" ref="I535">_xlfn.IFS(B535=2015,H535/$O$10,B535=2016,H535/$O$11,B535=2017,H535/$O$12,B535=2018,H535/$O$13,B535=2019,H535/$O$14,B535=2020,H535/$O$15,B535=2021,H535/$O$16,B535=2022,H535/$O$17)</f>
        <v>3.1588686496714993E-3</v>
      </c>
      <c r="J535" s="6" cm="1">
        <f t="array" ref="J535">_xlfn.IFS(B535=2015,I535*$Q$1,B535=2016,I535*$Q$2,B535=2017,I535*$Q$3,B535=2018,I535*$Q$4,B535=2019,I535*$Q$5,B535=2020,I535*$Q$6,B535=2021,I535*$Q$7,B535=2022,I535*$Q$8)</f>
        <v>82938.651921862795</v>
      </c>
      <c r="K535" s="7">
        <f t="shared" si="18"/>
        <v>241336.65192186279</v>
      </c>
      <c r="L535">
        <f>IFERROR(VLOOKUP(G535,'LEAID Match'!$A$2:$B$168,2,FALSE),"")</f>
        <v>4676990</v>
      </c>
    </row>
    <row r="536" spans="1:12" x14ac:dyDescent="0.2">
      <c r="A536">
        <f t="shared" si="17"/>
        <v>4676990</v>
      </c>
      <c r="B536">
        <v>2019</v>
      </c>
      <c r="C536" t="s">
        <v>208</v>
      </c>
      <c r="D536" t="s">
        <v>212</v>
      </c>
      <c r="E536" t="s">
        <v>211</v>
      </c>
      <c r="F536" s="3">
        <v>922107</v>
      </c>
      <c r="G536" s="3" t="s">
        <v>152</v>
      </c>
      <c r="H536" s="4">
        <v>161627</v>
      </c>
      <c r="I536" cm="1">
        <f t="array" ref="I536">_xlfn.IFS(B536=2015,H536/$O$10,B536=2016,H536/$O$11,B536=2017,H536/$O$12,B536=2018,H536/$O$13,B536=2019,H536/$O$14,B536=2020,H536/$O$15,B536=2021,H536/$O$16,B536=2022,H536/$O$17)</f>
        <v>3.1653891186970489E-3</v>
      </c>
      <c r="J536" s="6" cm="1">
        <f t="array" ref="J536">_xlfn.IFS(B536=2015,I536*$Q$1,B536=2016,I536*$Q$2,B536=2017,I536*$Q$3,B536=2018,I536*$Q$4,B536=2019,I536*$Q$5,B536=2020,I536*$Q$6,B536=2021,I536*$Q$7,B536=2022,I536*$Q$8)</f>
        <v>83716.486274229857</v>
      </c>
      <c r="K536" s="7">
        <f t="shared" si="18"/>
        <v>245343.48627422986</v>
      </c>
      <c r="L536">
        <f>IFERROR(VLOOKUP(G536,'LEAID Match'!$A$2:$B$168,2,FALSE),"")</f>
        <v>4676990</v>
      </c>
    </row>
    <row r="537" spans="1:12" x14ac:dyDescent="0.2">
      <c r="A537">
        <f t="shared" si="17"/>
        <v>4676990</v>
      </c>
      <c r="B537">
        <v>2020</v>
      </c>
      <c r="C537" t="s">
        <v>208</v>
      </c>
      <c r="D537" t="s">
        <v>212</v>
      </c>
      <c r="E537" t="s">
        <v>211</v>
      </c>
      <c r="F537" s="1">
        <v>922107</v>
      </c>
      <c r="G537" s="3" t="s">
        <v>152</v>
      </c>
      <c r="H537" s="2">
        <v>159870</v>
      </c>
      <c r="I537" cm="1">
        <f t="array" ref="I537">_xlfn.IFS(B537=2015,H537/$O$10,B537=2016,H537/$O$11,B537=2017,H537/$O$12,B537=2018,H537/$O$13,B537=2019,H537/$O$14,B537=2020,H537/$O$15,B537=2021,H537/$O$16,B537=2022,H537/$O$17)</f>
        <v>3.0279026140759991E-3</v>
      </c>
      <c r="J537" s="6" cm="1">
        <f t="array" ref="J537">_xlfn.IFS(B537=2015,I537*$Q$1,B537=2016,I537*$Q$2,B537=2017,I537*$Q$3,B537=2018,I537*$Q$4,B537=2019,I537*$Q$5,B537=2020,I537*$Q$6,B537=2021,I537*$Q$7,B537=2022,I537*$Q$8)</f>
        <v>82329.371522230271</v>
      </c>
      <c r="K537" s="7">
        <f t="shared" si="18"/>
        <v>242199.37152223027</v>
      </c>
      <c r="L537">
        <f>IFERROR(VLOOKUP(G537,'LEAID Match'!$A$2:$B$168,2,FALSE),"")</f>
        <v>4676990</v>
      </c>
    </row>
    <row r="538" spans="1:12" x14ac:dyDescent="0.2">
      <c r="A538">
        <f t="shared" si="17"/>
        <v>4676990</v>
      </c>
      <c r="B538">
        <v>2021</v>
      </c>
      <c r="C538" t="s">
        <v>208</v>
      </c>
      <c r="D538" t="s">
        <v>212</v>
      </c>
      <c r="E538" t="s">
        <v>211</v>
      </c>
      <c r="F538" s="3">
        <v>922107</v>
      </c>
      <c r="G538" s="3" t="s">
        <v>152</v>
      </c>
      <c r="H538" s="4">
        <v>157981</v>
      </c>
      <c r="I538" cm="1">
        <f t="array" ref="I538">_xlfn.IFS(B538=2015,H538/$O$10,B538=2016,H538/$O$11,B538=2017,H538/$O$12,B538=2018,H538/$O$13,B538=2019,H538/$O$14,B538=2020,H538/$O$15,B538=2021,H538/$O$16,B538=2022,H538/$O$17)</f>
        <v>2.8533846060315019E-3</v>
      </c>
      <c r="J538" s="6" cm="1">
        <f t="array" ref="J538">_xlfn.IFS(B538=2015,I538*$Q$1,B538=2016,I538*$Q$2,B538=2017,I538*$Q$3,B538=2018,I538*$Q$4,B538=2019,I538*$Q$5,B538=2020,I538*$Q$6,B538=2021,I538*$Q$7,B538=2022,I538*$Q$8)</f>
        <v>79433.470839778762</v>
      </c>
      <c r="K538" s="7">
        <f t="shared" si="18"/>
        <v>237414.47083977878</v>
      </c>
      <c r="L538">
        <f>IFERROR(VLOOKUP(G538,'LEAID Match'!$A$2:$B$168,2,FALSE),"")</f>
        <v>4676990</v>
      </c>
    </row>
    <row r="539" spans="1:12" x14ac:dyDescent="0.2">
      <c r="A539">
        <f t="shared" si="17"/>
        <v>4676990</v>
      </c>
      <c r="B539">
        <v>2022</v>
      </c>
      <c r="C539" t="s">
        <v>208</v>
      </c>
      <c r="D539" t="s">
        <v>212</v>
      </c>
      <c r="E539" t="s">
        <v>211</v>
      </c>
      <c r="F539" s="3">
        <v>922107</v>
      </c>
      <c r="G539" s="3" t="s">
        <v>152</v>
      </c>
      <c r="H539" s="4">
        <v>160666</v>
      </c>
      <c r="I539" cm="1">
        <f t="array" ref="I539">_xlfn.IFS(B539=2015,H539/$O$10,B539=2016,H539/$O$11,B539=2017,H539/$O$12,B539=2018,H539/$O$13,B539=2019,H539/$O$14,B539=2020,H539/$O$15,B539=2021,H539/$O$16,B539=2022,H539/$O$17)</f>
        <v>2.7825072900838927E-3</v>
      </c>
      <c r="J539" s="6" cm="1">
        <f t="array" ref="J539">_xlfn.IFS(B539=2015,I539*$Q$1,B539=2016,I539*$Q$2,B539=2017,I539*$Q$3,B539=2018,I539*$Q$4,B539=2019,I539*$Q$5,B539=2020,I539*$Q$6,B539=2021,I539*$Q$7,B539=2022,I539*$Q$8)</f>
        <v>81966.949495897643</v>
      </c>
      <c r="K539" s="7">
        <f t="shared" si="18"/>
        <v>242632.94949589763</v>
      </c>
      <c r="L539">
        <f>IFERROR(VLOOKUP(G539,'LEAID Match'!$A$2:$B$168,2,FALSE),"")</f>
        <v>4676990</v>
      </c>
    </row>
    <row r="540" spans="1:12" x14ac:dyDescent="0.2">
      <c r="A540">
        <f t="shared" si="17"/>
        <v>4600036</v>
      </c>
      <c r="B540">
        <v>2015</v>
      </c>
      <c r="C540" t="s">
        <v>208</v>
      </c>
      <c r="D540" t="s">
        <v>212</v>
      </c>
      <c r="E540" t="s">
        <v>211</v>
      </c>
      <c r="F540" s="3">
        <v>923148</v>
      </c>
      <c r="G540" s="3" t="s">
        <v>37</v>
      </c>
      <c r="H540" s="4">
        <v>130355</v>
      </c>
      <c r="I540" cm="1">
        <f t="array" ref="I540">_xlfn.IFS(B540=2015,H540/$O$10,B540=2016,H540/$O$11,B540=2017,H540/$O$12,B540=2018,H540/$O$13,B540=2019,H540/$O$14,B540=2020,H540/$O$15,B540=2021,H540/$O$16,B540=2022,H540/$O$17)</f>
        <v>3.0490417031857368E-3</v>
      </c>
      <c r="J540" s="6" cm="1">
        <f t="array" ref="J540">_xlfn.IFS(B540=2015,I540*$Q$1,B540=2016,I540*$Q$2,B540=2017,I540*$Q$3,B540=2018,I540*$Q$4,B540=2019,I540*$Q$5,B540=2020,I540*$Q$6,B540=2021,I540*$Q$7,B540=2022,I540*$Q$8)</f>
        <v>74982.506166207633</v>
      </c>
      <c r="K540" s="7">
        <f t="shared" si="18"/>
        <v>205337.50616620763</v>
      </c>
      <c r="L540">
        <f>IFERROR(VLOOKUP(G540,'LEAID Match'!$A$2:$B$168,2,FALSE),"")</f>
        <v>4600036</v>
      </c>
    </row>
    <row r="541" spans="1:12" x14ac:dyDescent="0.2">
      <c r="A541">
        <f t="shared" si="17"/>
        <v>4600036</v>
      </c>
      <c r="B541">
        <v>2016</v>
      </c>
      <c r="C541" t="s">
        <v>208</v>
      </c>
      <c r="D541" t="s">
        <v>212</v>
      </c>
      <c r="E541" t="s">
        <v>211</v>
      </c>
      <c r="F541" s="3">
        <v>923148</v>
      </c>
      <c r="G541" s="3" t="s">
        <v>37</v>
      </c>
      <c r="H541" s="4">
        <v>136327</v>
      </c>
      <c r="I541" cm="1">
        <f t="array" ref="I541">_xlfn.IFS(B541=2015,H541/$O$10,B541=2016,H541/$O$11,B541=2017,H541/$O$12,B541=2018,H541/$O$13,B541=2019,H541/$O$14,B541=2020,H541/$O$15,B541=2021,H541/$O$16,B541=2022,H541/$O$17)</f>
        <v>3.0921772861617542E-3</v>
      </c>
      <c r="J541" s="6" cm="1">
        <f t="array" ref="J541">_xlfn.IFS(B541=2015,I541*$Q$1,B541=2016,I541*$Q$2,B541=2017,I541*$Q$3,B541=2018,I541*$Q$4,B541=2019,I541*$Q$5,B541=2020,I541*$Q$6,B541=2021,I541*$Q$7,B541=2022,I541*$Q$8)</f>
        <v>78559.253157654719</v>
      </c>
      <c r="K541" s="7">
        <f t="shared" si="18"/>
        <v>214886.25315765472</v>
      </c>
      <c r="L541">
        <f>IFERROR(VLOOKUP(G541,'LEAID Match'!$A$2:$B$168,2,FALSE),"")</f>
        <v>4600036</v>
      </c>
    </row>
    <row r="542" spans="1:12" x14ac:dyDescent="0.2">
      <c r="A542">
        <f t="shared" si="17"/>
        <v>4600036</v>
      </c>
      <c r="B542">
        <v>2017</v>
      </c>
      <c r="C542" t="s">
        <v>208</v>
      </c>
      <c r="D542" t="s">
        <v>212</v>
      </c>
      <c r="E542" t="s">
        <v>211</v>
      </c>
      <c r="F542" s="3">
        <v>923148</v>
      </c>
      <c r="G542" s="3" t="s">
        <v>37</v>
      </c>
      <c r="H542" s="4">
        <v>149665</v>
      </c>
      <c r="I542" cm="1">
        <f t="array" ref="I542">_xlfn.IFS(B542=2015,H542/$O$10,B542=2016,H542/$O$11,B542=2017,H542/$O$12,B542=2018,H542/$O$13,B542=2019,H542/$O$14,B542=2020,H542/$O$15,B542=2021,H542/$O$16,B542=2022,H542/$O$17)</f>
        <v>3.0901018914978955E-3</v>
      </c>
      <c r="J542" s="6" cm="1">
        <f t="array" ref="J542">_xlfn.IFS(B542=2015,I542*$Q$1,B542=2016,I542*$Q$2,B542=2017,I542*$Q$3,B542=2018,I542*$Q$4,B542=2019,I542*$Q$5,B542=2020,I542*$Q$6,B542=2021,I542*$Q$7,B542=2022,I542*$Q$8)</f>
        <v>81286.780370262204</v>
      </c>
      <c r="K542" s="7">
        <f t="shared" si="18"/>
        <v>230951.78037026222</v>
      </c>
      <c r="L542">
        <f>IFERROR(VLOOKUP(G542,'LEAID Match'!$A$2:$B$168,2,FALSE),"")</f>
        <v>4600036</v>
      </c>
    </row>
    <row r="543" spans="1:12" x14ac:dyDescent="0.2">
      <c r="A543">
        <f t="shared" si="17"/>
        <v>4600036</v>
      </c>
      <c r="B543">
        <v>2018</v>
      </c>
      <c r="C543" t="s">
        <v>208</v>
      </c>
      <c r="D543" t="s">
        <v>212</v>
      </c>
      <c r="E543" t="s">
        <v>211</v>
      </c>
      <c r="F543" s="3">
        <v>923148</v>
      </c>
      <c r="G543" s="3" t="s">
        <v>37</v>
      </c>
      <c r="H543" s="4">
        <v>154493</v>
      </c>
      <c r="I543" cm="1">
        <f t="array" ref="I543">_xlfn.IFS(B543=2015,H543/$O$10,B543=2016,H543/$O$11,B543=2017,H543/$O$12,B543=2018,H543/$O$13,B543=2019,H543/$O$14,B543=2020,H543/$O$15,B543=2021,H543/$O$16,B543=2022,H543/$O$17)</f>
        <v>3.0809927795407703E-3</v>
      </c>
      <c r="J543" s="6" cm="1">
        <f t="array" ref="J543">_xlfn.IFS(B543=2015,I543*$Q$1,B543=2016,I543*$Q$2,B543=2017,I543*$Q$3,B543=2018,I543*$Q$4,B543=2019,I543*$Q$5,B543=2020,I543*$Q$6,B543=2021,I543*$Q$7,B543=2022,I543*$Q$8)</f>
        <v>80893.957950001568</v>
      </c>
      <c r="K543" s="7">
        <f t="shared" si="18"/>
        <v>235386.95795000158</v>
      </c>
      <c r="L543">
        <f>IFERROR(VLOOKUP(G543,'LEAID Match'!$A$2:$B$168,2,FALSE),"")</f>
        <v>4600036</v>
      </c>
    </row>
    <row r="544" spans="1:12" x14ac:dyDescent="0.2">
      <c r="A544">
        <f t="shared" si="17"/>
        <v>4600036</v>
      </c>
      <c r="B544">
        <v>2019</v>
      </c>
      <c r="C544" t="s">
        <v>208</v>
      </c>
      <c r="D544" t="s">
        <v>212</v>
      </c>
      <c r="E544" t="s">
        <v>211</v>
      </c>
      <c r="F544" s="3">
        <v>923148</v>
      </c>
      <c r="G544" s="3" t="s">
        <v>37</v>
      </c>
      <c r="H544" s="4">
        <v>161738</v>
      </c>
      <c r="I544" cm="1">
        <f t="array" ref="I544">_xlfn.IFS(B544=2015,H544/$O$10,B544=2016,H544/$O$11,B544=2017,H544/$O$12,B544=2018,H544/$O$13,B544=2019,H544/$O$14,B544=2020,H544/$O$15,B544=2021,H544/$O$16,B544=2022,H544/$O$17)</f>
        <v>3.1675630017251035E-3</v>
      </c>
      <c r="J544" s="6" cm="1">
        <f t="array" ref="J544">_xlfn.IFS(B544=2015,I544*$Q$1,B544=2016,I544*$Q$2,B544=2017,I544*$Q$3,B544=2018,I544*$Q$4,B544=2019,I544*$Q$5,B544=2020,I544*$Q$6,B544=2021,I544*$Q$7,B544=2022,I544*$Q$8)</f>
        <v>83773.979947789601</v>
      </c>
      <c r="K544" s="7">
        <f t="shared" si="18"/>
        <v>245511.9799477896</v>
      </c>
      <c r="L544">
        <f>IFERROR(VLOOKUP(G544,'LEAID Match'!$A$2:$B$168,2,FALSE),"")</f>
        <v>4600036</v>
      </c>
    </row>
    <row r="545" spans="1:12" x14ac:dyDescent="0.2">
      <c r="A545">
        <f t="shared" si="17"/>
        <v>4600036</v>
      </c>
      <c r="B545">
        <v>2020</v>
      </c>
      <c r="C545" t="s">
        <v>208</v>
      </c>
      <c r="D545" t="s">
        <v>212</v>
      </c>
      <c r="E545" t="s">
        <v>211</v>
      </c>
      <c r="F545" s="1">
        <v>923148</v>
      </c>
      <c r="G545" s="3" t="s">
        <v>37</v>
      </c>
      <c r="H545" s="2">
        <v>162632</v>
      </c>
      <c r="I545" cm="1">
        <f t="array" ref="I545">_xlfn.IFS(B545=2015,H545/$O$10,B545=2016,H545/$O$11,B545=2017,H545/$O$12,B545=2018,H545/$O$13,B545=2019,H545/$O$14,B545=2020,H545/$O$15,B545=2021,H545/$O$16,B545=2022,H545/$O$17)</f>
        <v>3.0802142861850747E-3</v>
      </c>
      <c r="J545" s="6" cm="1">
        <f t="array" ref="J545">_xlfn.IFS(B545=2015,I545*$Q$1,B545=2016,I545*$Q$2,B545=2017,I545*$Q$3,B545=2018,I545*$Q$4,B545=2019,I545*$Q$5,B545=2020,I545*$Q$6,B545=2021,I545*$Q$7,B545=2022,I545*$Q$8)</f>
        <v>83751.737970872287</v>
      </c>
      <c r="K545" s="7">
        <f t="shared" si="18"/>
        <v>246383.73797087229</v>
      </c>
      <c r="L545">
        <f>IFERROR(VLOOKUP(G545,'LEAID Match'!$A$2:$B$168,2,FALSE),"")</f>
        <v>4600036</v>
      </c>
    </row>
    <row r="546" spans="1:12" x14ac:dyDescent="0.2">
      <c r="A546">
        <f t="shared" si="17"/>
        <v>4600036</v>
      </c>
      <c r="B546">
        <v>2021</v>
      </c>
      <c r="C546" t="s">
        <v>208</v>
      </c>
      <c r="D546" t="s">
        <v>212</v>
      </c>
      <c r="E546" t="s">
        <v>211</v>
      </c>
      <c r="F546" s="3">
        <v>923148</v>
      </c>
      <c r="G546" s="3" t="s">
        <v>37</v>
      </c>
      <c r="H546" s="4">
        <v>172974</v>
      </c>
      <c r="I546" cm="1">
        <f t="array" ref="I546">_xlfn.IFS(B546=2015,H546/$O$10,B546=2016,H546/$O$11,B546=2017,H546/$O$12,B546=2018,H546/$O$13,B546=2019,H546/$O$14,B546=2020,H546/$O$15,B546=2021,H546/$O$16,B546=2022,H546/$O$17)</f>
        <v>3.1241816980756734E-3</v>
      </c>
      <c r="J546" s="6" cm="1">
        <f t="array" ref="J546">_xlfn.IFS(B546=2015,I546*$Q$1,B546=2016,I546*$Q$2,B546=2017,I546*$Q$3,B546=2018,I546*$Q$4,B546=2019,I546*$Q$5,B546=2020,I546*$Q$6,B546=2021,I546*$Q$7,B546=2022,I546*$Q$8)</f>
        <v>86972.010463536062</v>
      </c>
      <c r="K546" s="7">
        <f t="shared" si="18"/>
        <v>259946.01046353608</v>
      </c>
      <c r="L546">
        <f>IFERROR(VLOOKUP(G546,'LEAID Match'!$A$2:$B$168,2,FALSE),"")</f>
        <v>4600036</v>
      </c>
    </row>
    <row r="547" spans="1:12" x14ac:dyDescent="0.2">
      <c r="A547">
        <f t="shared" si="17"/>
        <v>4600036</v>
      </c>
      <c r="B547">
        <v>2022</v>
      </c>
      <c r="C547" t="s">
        <v>208</v>
      </c>
      <c r="D547" t="s">
        <v>212</v>
      </c>
      <c r="E547" t="s">
        <v>211</v>
      </c>
      <c r="F547" s="3">
        <v>923148</v>
      </c>
      <c r="G547" s="3" t="s">
        <v>37</v>
      </c>
      <c r="H547" s="4">
        <v>181637</v>
      </c>
      <c r="I547" cm="1">
        <f t="array" ref="I547">_xlfn.IFS(B547=2015,H547/$O$10,B547=2016,H547/$O$11,B547=2017,H547/$O$12,B547=2018,H547/$O$13,B547=2019,H547/$O$14,B547=2020,H547/$O$15,B547=2021,H547/$O$16,B547=2022,H547/$O$17)</f>
        <v>3.1456952724843341E-3</v>
      </c>
      <c r="J547" s="6" cm="1">
        <f t="array" ref="J547">_xlfn.IFS(B547=2015,I547*$Q$1,B547=2016,I547*$Q$2,B547=2017,I547*$Q$3,B547=2018,I547*$Q$4,B547=2019,I547*$Q$5,B547=2020,I547*$Q$6,B547=2021,I547*$Q$7,B547=2022,I547*$Q$8)</f>
        <v>92665.721469298805</v>
      </c>
      <c r="K547" s="7">
        <f t="shared" si="18"/>
        <v>274302.72146929882</v>
      </c>
      <c r="L547">
        <f>IFERROR(VLOOKUP(G547,'LEAID Match'!$A$2:$B$168,2,FALSE),"")</f>
        <v>4600036</v>
      </c>
    </row>
    <row r="548" spans="1:12" x14ac:dyDescent="0.2">
      <c r="A548">
        <f t="shared" si="17"/>
        <v>4671880</v>
      </c>
      <c r="B548">
        <v>2015</v>
      </c>
      <c r="C548" t="s">
        <v>208</v>
      </c>
      <c r="D548" t="s">
        <v>212</v>
      </c>
      <c r="E548" t="s">
        <v>211</v>
      </c>
      <c r="F548" s="3">
        <v>924101</v>
      </c>
      <c r="G548" s="3" t="s">
        <v>140</v>
      </c>
      <c r="H548" s="4">
        <v>144950</v>
      </c>
      <c r="I548" cm="1">
        <f t="array" ref="I548">_xlfn.IFS(B548=2015,H548/$O$10,B548=2016,H548/$O$11,B548=2017,H548/$O$12,B548=2018,H548/$O$13,B548=2019,H548/$O$14,B548=2020,H548/$O$15,B548=2021,H548/$O$16,B548=2022,H548/$O$17)</f>
        <v>3.3904230361456989E-3</v>
      </c>
      <c r="J548" s="6" cm="1">
        <f t="array" ref="J548">_xlfn.IFS(B548=2015,I548*$Q$1,B548=2016,I548*$Q$2,B548=2017,I548*$Q$3,B548=2018,I548*$Q$4,B548=2019,I548*$Q$5,B548=2020,I548*$Q$6,B548=2021,I548*$Q$7,B548=2022,I548*$Q$8)</f>
        <v>83377.808820465623</v>
      </c>
      <c r="K548" s="7">
        <f t="shared" si="18"/>
        <v>228327.80882046564</v>
      </c>
      <c r="L548">
        <f>IFERROR(VLOOKUP(G548,'LEAID Match'!$A$2:$B$168,2,FALSE),"")</f>
        <v>4671880</v>
      </c>
    </row>
    <row r="549" spans="1:12" x14ac:dyDescent="0.2">
      <c r="A549">
        <f t="shared" si="17"/>
        <v>4671880</v>
      </c>
      <c r="B549">
        <v>2016</v>
      </c>
      <c r="C549" t="s">
        <v>208</v>
      </c>
      <c r="D549" t="s">
        <v>212</v>
      </c>
      <c r="E549" t="s">
        <v>211</v>
      </c>
      <c r="F549" s="3">
        <v>924101</v>
      </c>
      <c r="G549" s="3" t="s">
        <v>140</v>
      </c>
      <c r="H549" s="4">
        <v>149181</v>
      </c>
      <c r="I549" cm="1">
        <f t="array" ref="I549">_xlfn.IFS(B549=2015,H549/$O$10,B549=2016,H549/$O$11,B549=2017,H549/$O$12,B549=2018,H549/$O$13,B549=2019,H549/$O$14,B549=2020,H549/$O$15,B549=2021,H549/$O$16,B549=2022,H549/$O$17)</f>
        <v>3.383732494127331E-3</v>
      </c>
      <c r="J549" s="6" cm="1">
        <f t="array" ref="J549">_xlfn.IFS(B549=2015,I549*$Q$1,B549=2016,I549*$Q$2,B549=2017,I549*$Q$3,B549=2018,I549*$Q$4,B549=2019,I549*$Q$5,B549=2020,I549*$Q$6,B549=2021,I549*$Q$7,B549=2022,I549*$Q$8)</f>
        <v>85966.447917962621</v>
      </c>
      <c r="K549" s="7">
        <f t="shared" si="18"/>
        <v>235147.44791796262</v>
      </c>
      <c r="L549">
        <f>IFERROR(VLOOKUP(G549,'LEAID Match'!$A$2:$B$168,2,FALSE),"")</f>
        <v>4671880</v>
      </c>
    </row>
    <row r="550" spans="1:12" x14ac:dyDescent="0.2">
      <c r="A550">
        <f t="shared" si="17"/>
        <v>4671880</v>
      </c>
      <c r="B550">
        <v>2017</v>
      </c>
      <c r="C550" t="s">
        <v>208</v>
      </c>
      <c r="D550" t="s">
        <v>212</v>
      </c>
      <c r="E550" t="s">
        <v>211</v>
      </c>
      <c r="F550" s="3">
        <v>924101</v>
      </c>
      <c r="G550" s="3" t="s">
        <v>140</v>
      </c>
      <c r="H550" s="4">
        <v>162267</v>
      </c>
      <c r="I550" cm="1">
        <f t="array" ref="I550">_xlfn.IFS(B550=2015,H550/$O$10,B550=2016,H550/$O$11,B550=2017,H550/$O$12,B550=2018,H550/$O$13,B550=2019,H550/$O$14,B550=2020,H550/$O$15,B550=2021,H550/$O$16,B550=2022,H550/$O$17)</f>
        <v>3.3502927446476395E-3</v>
      </c>
      <c r="J550" s="6" cm="1">
        <f t="array" ref="J550">_xlfn.IFS(B550=2015,I550*$Q$1,B550=2016,I550*$Q$2,B550=2017,I550*$Q$3,B550=2018,I550*$Q$4,B550=2019,I550*$Q$5,B550=2020,I550*$Q$6,B550=2021,I550*$Q$7,B550=2022,I550*$Q$8)</f>
        <v>88131.239704281805</v>
      </c>
      <c r="K550" s="7">
        <f t="shared" si="18"/>
        <v>250398.23970428179</v>
      </c>
      <c r="L550">
        <f>IFERROR(VLOOKUP(G550,'LEAID Match'!$A$2:$B$168,2,FALSE),"")</f>
        <v>4671880</v>
      </c>
    </row>
    <row r="551" spans="1:12" x14ac:dyDescent="0.2">
      <c r="A551">
        <f t="shared" si="17"/>
        <v>4671880</v>
      </c>
      <c r="B551">
        <v>2018</v>
      </c>
      <c r="C551" t="s">
        <v>208</v>
      </c>
      <c r="D551" t="s">
        <v>212</v>
      </c>
      <c r="E551" t="s">
        <v>211</v>
      </c>
      <c r="F551" s="3">
        <v>924101</v>
      </c>
      <c r="G551" s="3" t="s">
        <v>140</v>
      </c>
      <c r="H551" s="4">
        <v>170047</v>
      </c>
      <c r="I551" cm="1">
        <f t="array" ref="I551">_xlfn.IFS(B551=2015,H551/$O$10,B551=2016,H551/$O$11,B551=2017,H551/$O$12,B551=2018,H551/$O$13,B551=2019,H551/$O$14,B551=2020,H551/$O$15,B551=2021,H551/$O$16,B551=2022,H551/$O$17)</f>
        <v>3.3911800481741528E-3</v>
      </c>
      <c r="J551" s="6" cm="1">
        <f t="array" ref="J551">_xlfn.IFS(B551=2015,I551*$Q$1,B551=2016,I551*$Q$2,B551=2017,I551*$Q$3,B551=2018,I551*$Q$4,B551=2019,I551*$Q$5,B551=2020,I551*$Q$6,B551=2021,I551*$Q$7,B551=2022,I551*$Q$8)</f>
        <v>89038.175629471356</v>
      </c>
      <c r="K551" s="7">
        <f t="shared" si="18"/>
        <v>259085.17562947137</v>
      </c>
      <c r="L551">
        <f>IFERROR(VLOOKUP(G551,'LEAID Match'!$A$2:$B$168,2,FALSE),"")</f>
        <v>4671880</v>
      </c>
    </row>
    <row r="552" spans="1:12" x14ac:dyDescent="0.2">
      <c r="A552">
        <f t="shared" si="17"/>
        <v>4671880</v>
      </c>
      <c r="B552">
        <v>2019</v>
      </c>
      <c r="C552" t="s">
        <v>208</v>
      </c>
      <c r="D552" t="s">
        <v>212</v>
      </c>
      <c r="E552" t="s">
        <v>211</v>
      </c>
      <c r="F552" s="3">
        <v>924101</v>
      </c>
      <c r="G552" s="3" t="s">
        <v>140</v>
      </c>
      <c r="H552" s="4">
        <v>173240</v>
      </c>
      <c r="I552" cm="1">
        <f t="array" ref="I552">_xlfn.IFS(B552=2015,H552/$O$10,B552=2016,H552/$O$11,B552=2017,H552/$O$12,B552=2018,H552/$O$13,B552=2019,H552/$O$14,B552=2020,H552/$O$15,B552=2021,H552/$O$16,B552=2022,H552/$O$17)</f>
        <v>3.3928242863078368E-3</v>
      </c>
      <c r="J552" s="6" cm="1">
        <f t="array" ref="J552">_xlfn.IFS(B552=2015,I552*$Q$1,B552=2016,I552*$Q$2,B552=2017,I552*$Q$3,B552=2018,I552*$Q$4,B552=2019,I552*$Q$5,B552=2020,I552*$Q$6,B552=2021,I552*$Q$7,B552=2022,I552*$Q$8)</f>
        <v>89731.567635033629</v>
      </c>
      <c r="K552" s="7">
        <f t="shared" si="18"/>
        <v>262971.56763503363</v>
      </c>
      <c r="L552">
        <f>IFERROR(VLOOKUP(G552,'LEAID Match'!$A$2:$B$168,2,FALSE),"")</f>
        <v>4671880</v>
      </c>
    </row>
    <row r="553" spans="1:12" x14ac:dyDescent="0.2">
      <c r="A553">
        <f t="shared" si="17"/>
        <v>4671880</v>
      </c>
      <c r="B553">
        <v>2020</v>
      </c>
      <c r="C553" t="s">
        <v>208</v>
      </c>
      <c r="D553" t="s">
        <v>212</v>
      </c>
      <c r="E553" t="s">
        <v>211</v>
      </c>
      <c r="F553" s="1">
        <v>924101</v>
      </c>
      <c r="G553" s="3" t="s">
        <v>140</v>
      </c>
      <c r="H553" s="2">
        <v>174808</v>
      </c>
      <c r="I553" cm="1">
        <f t="array" ref="I553">_xlfn.IFS(B553=2015,H553/$O$10,B553=2016,H553/$O$11,B553=2017,H553/$O$12,B553=2018,H553/$O$13,B553=2019,H553/$O$14,B553=2020,H553/$O$15,B553=2021,H553/$O$16,B553=2022,H553/$O$17)</f>
        <v>3.3108250463588992E-3</v>
      </c>
      <c r="J553" s="6" cm="1">
        <f t="array" ref="J553">_xlfn.IFS(B553=2015,I553*$Q$1,B553=2016,I553*$Q$2,B553=2017,I553*$Q$3,B553=2018,I553*$Q$4,B553=2019,I553*$Q$5,B553=2020,I553*$Q$6,B553=2021,I553*$Q$7,B553=2022,I553*$Q$8)</f>
        <v>90022.097811084182</v>
      </c>
      <c r="K553" s="7">
        <f t="shared" si="18"/>
        <v>264830.09781108418</v>
      </c>
      <c r="L553">
        <f>IFERROR(VLOOKUP(G553,'LEAID Match'!$A$2:$B$168,2,FALSE),"")</f>
        <v>4671880</v>
      </c>
    </row>
    <row r="554" spans="1:12" x14ac:dyDescent="0.2">
      <c r="A554">
        <f t="shared" si="17"/>
        <v>4671880</v>
      </c>
      <c r="B554">
        <v>2021</v>
      </c>
      <c r="C554" t="s">
        <v>208</v>
      </c>
      <c r="D554" t="s">
        <v>212</v>
      </c>
      <c r="E554" t="s">
        <v>211</v>
      </c>
      <c r="F554" s="3">
        <v>924101</v>
      </c>
      <c r="G554" s="3" t="s">
        <v>140</v>
      </c>
      <c r="H554" s="4">
        <v>186915</v>
      </c>
      <c r="I554" cm="1">
        <f t="array" ref="I554">_xlfn.IFS(B554=2015,H554/$O$10,B554=2016,H554/$O$11,B554=2017,H554/$O$12,B554=2018,H554/$O$13,B554=2019,H554/$O$14,B554=2020,H554/$O$15,B554=2021,H554/$O$16,B554=2022,H554/$O$17)</f>
        <v>3.375978020371932E-3</v>
      </c>
      <c r="J554" s="6" cm="1">
        <f t="array" ref="J554">_xlfn.IFS(B554=2015,I554*$Q$1,B554=2016,I554*$Q$2,B554=2017,I554*$Q$3,B554=2018,I554*$Q$4,B554=2019,I554*$Q$5,B554=2020,I554*$Q$6,B554=2021,I554*$Q$7,B554=2022,I554*$Q$8)</f>
        <v>93981.600331794631</v>
      </c>
      <c r="K554" s="7">
        <f t="shared" si="18"/>
        <v>280896.60033179465</v>
      </c>
      <c r="L554">
        <f>IFERROR(VLOOKUP(G554,'LEAID Match'!$A$2:$B$168,2,FALSE),"")</f>
        <v>4671880</v>
      </c>
    </row>
    <row r="555" spans="1:12" x14ac:dyDescent="0.2">
      <c r="A555">
        <f t="shared" si="17"/>
        <v>4671880</v>
      </c>
      <c r="B555">
        <v>2022</v>
      </c>
      <c r="C555" t="s">
        <v>208</v>
      </c>
      <c r="D555" t="s">
        <v>212</v>
      </c>
      <c r="E555" t="s">
        <v>211</v>
      </c>
      <c r="F555" s="3">
        <v>924101</v>
      </c>
      <c r="G555" s="3" t="s">
        <v>140</v>
      </c>
      <c r="H555" s="4">
        <v>200203</v>
      </c>
      <c r="I555" cm="1">
        <f t="array" ref="I555">_xlfn.IFS(B555=2015,H555/$O$10,B555=2016,H555/$O$11,B555=2017,H555/$O$12,B555=2018,H555/$O$13,B555=2019,H555/$O$14,B555=2020,H555/$O$15,B555=2021,H555/$O$16,B555=2022,H555/$O$17)</f>
        <v>3.4672320652575253E-3</v>
      </c>
      <c r="J555" s="6" cm="1">
        <f t="array" ref="J555">_xlfn.IFS(B555=2015,I555*$Q$1,B555=2016,I555*$Q$2,B555=2017,I555*$Q$3,B555=2018,I555*$Q$4,B555=2019,I555*$Q$5,B555=2020,I555*$Q$6,B555=2021,I555*$Q$7,B555=2022,I555*$Q$8)</f>
        <v>102137.53494782465</v>
      </c>
      <c r="K555" s="7">
        <f t="shared" si="18"/>
        <v>302340.53494782466</v>
      </c>
      <c r="L555">
        <f>IFERROR(VLOOKUP(G555,'LEAID Match'!$A$2:$B$168,2,FALSE),"")</f>
        <v>4671880</v>
      </c>
    </row>
    <row r="556" spans="1:12" x14ac:dyDescent="0.2">
      <c r="A556">
        <f t="shared" si="17"/>
        <v>4620100</v>
      </c>
      <c r="B556">
        <v>2015</v>
      </c>
      <c r="C556" t="s">
        <v>208</v>
      </c>
      <c r="D556" t="s">
        <v>212</v>
      </c>
      <c r="E556" t="s">
        <v>211</v>
      </c>
      <c r="F556" s="3">
        <v>924102</v>
      </c>
      <c r="G556" s="3" t="s">
        <v>41</v>
      </c>
      <c r="H556" s="4">
        <v>214698</v>
      </c>
      <c r="I556" cm="1">
        <f t="array" ref="I556">_xlfn.IFS(B556=2015,H556/$O$10,B556=2016,H556/$O$11,B556=2017,H556/$O$12,B556=2018,H556/$O$13,B556=2019,H556/$O$14,B556=2020,H556/$O$15,B556=2021,H556/$O$16,B556=2022,H556/$O$17)</f>
        <v>5.0218492239697083E-3</v>
      </c>
      <c r="J556" s="6" cm="1">
        <f t="array" ref="J556">_xlfn.IFS(B556=2015,I556*$Q$1,B556=2016,I556*$Q$2,B556=2017,I556*$Q$3,B556=2018,I556*$Q$4,B556=2019,I556*$Q$5,B556=2020,I556*$Q$6,B556=2021,I556*$Q$7,B556=2022,I556*$Q$8)</f>
        <v>123498.09450249278</v>
      </c>
      <c r="K556" s="7">
        <f t="shared" si="18"/>
        <v>338196.09450249281</v>
      </c>
      <c r="L556">
        <f>IFERROR(VLOOKUP(G556,'LEAID Match'!$A$2:$B$168,2,FALSE),"")</f>
        <v>4620100</v>
      </c>
    </row>
    <row r="557" spans="1:12" x14ac:dyDescent="0.2">
      <c r="A557">
        <f t="shared" si="17"/>
        <v>4620100</v>
      </c>
      <c r="B557">
        <v>2016</v>
      </c>
      <c r="C557" t="s">
        <v>208</v>
      </c>
      <c r="D557" t="s">
        <v>212</v>
      </c>
      <c r="E557" t="s">
        <v>211</v>
      </c>
      <c r="F557" s="3">
        <v>924102</v>
      </c>
      <c r="G557" s="3" t="s">
        <v>41</v>
      </c>
      <c r="H557" s="4">
        <v>217340</v>
      </c>
      <c r="I557" cm="1">
        <f t="array" ref="I557">_xlfn.IFS(B557=2015,H557/$O$10,B557=2016,H557/$O$11,B557=2017,H557/$O$12,B557=2018,H557/$O$13,B557=2019,H557/$O$14,B557=2020,H557/$O$15,B557=2021,H557/$O$16,B557=2022,H557/$O$17)</f>
        <v>4.9297190679351531E-3</v>
      </c>
      <c r="J557" s="6" cm="1">
        <f t="array" ref="J557">_xlfn.IFS(B557=2015,I557*$Q$1,B557=2016,I557*$Q$2,B557=2017,I557*$Q$3,B557=2018,I557*$Q$4,B557=2019,I557*$Q$5,B557=2020,I557*$Q$6,B557=2021,I557*$Q$7,B557=2022,I557*$Q$8)</f>
        <v>125243.48134474225</v>
      </c>
      <c r="K557" s="7">
        <f t="shared" si="18"/>
        <v>342583.48134474223</v>
      </c>
      <c r="L557">
        <f>IFERROR(VLOOKUP(G557,'LEAID Match'!$A$2:$B$168,2,FALSE),"")</f>
        <v>4620100</v>
      </c>
    </row>
    <row r="558" spans="1:12" x14ac:dyDescent="0.2">
      <c r="A558">
        <f t="shared" si="17"/>
        <v>4620100</v>
      </c>
      <c r="B558">
        <v>2017</v>
      </c>
      <c r="C558" t="s">
        <v>208</v>
      </c>
      <c r="D558" t="s">
        <v>212</v>
      </c>
      <c r="E558" t="s">
        <v>211</v>
      </c>
      <c r="F558" s="3">
        <v>924102</v>
      </c>
      <c r="G558" s="3" t="s">
        <v>41</v>
      </c>
      <c r="H558" s="4">
        <v>258939</v>
      </c>
      <c r="I558" cm="1">
        <f t="array" ref="I558">_xlfn.IFS(B558=2015,H558/$O$10,B558=2016,H558/$O$11,B558=2017,H558/$O$12,B558=2018,H558/$O$13,B558=2019,H558/$O$14,B558=2020,H558/$O$15,B558=2021,H558/$O$16,B558=2022,H558/$O$17)</f>
        <v>5.3462592702540578E-3</v>
      </c>
      <c r="J558" s="6" cm="1">
        <f t="array" ref="J558">_xlfn.IFS(B558=2015,I558*$Q$1,B558=2016,I558*$Q$2,B558=2017,I558*$Q$3,B558=2018,I558*$Q$4,B558=2019,I558*$Q$5,B558=2020,I558*$Q$6,B558=2021,I558*$Q$7,B558=2022,I558*$Q$8)</f>
        <v>140636.2050064833</v>
      </c>
      <c r="K558" s="7">
        <f t="shared" si="18"/>
        <v>399575.2050064833</v>
      </c>
      <c r="L558">
        <f>IFERROR(VLOOKUP(G558,'LEAID Match'!$A$2:$B$168,2,FALSE),"")</f>
        <v>4620100</v>
      </c>
    </row>
    <row r="559" spans="1:12" x14ac:dyDescent="0.2">
      <c r="A559">
        <f t="shared" si="17"/>
        <v>4620100</v>
      </c>
      <c r="B559">
        <v>2018</v>
      </c>
      <c r="C559" t="s">
        <v>208</v>
      </c>
      <c r="D559" t="s">
        <v>212</v>
      </c>
      <c r="E559" t="s">
        <v>211</v>
      </c>
      <c r="F559" s="3">
        <v>924102</v>
      </c>
      <c r="G559" s="3" t="s">
        <v>41</v>
      </c>
      <c r="H559" s="4">
        <v>252961</v>
      </c>
      <c r="I559" cm="1">
        <f t="array" ref="I559">_xlfn.IFS(B559=2015,H559/$O$10,B559=2016,H559/$O$11,B559=2017,H559/$O$12,B559=2018,H559/$O$13,B559=2019,H559/$O$14,B559=2020,H559/$O$15,B559=2021,H559/$O$16,B559=2022,H559/$O$17)</f>
        <v>5.0447011483071265E-3</v>
      </c>
      <c r="J559" s="6" cm="1">
        <f t="array" ref="J559">_xlfn.IFS(B559=2015,I559*$Q$1,B559=2016,I559*$Q$2,B559=2017,I559*$Q$3,B559=2018,I559*$Q$4,B559=2019,I559*$Q$5,B559=2020,I559*$Q$6,B559=2021,I559*$Q$7,B559=2022,I559*$Q$8)</f>
        <v>132452.70981203258</v>
      </c>
      <c r="K559" s="7">
        <f t="shared" si="18"/>
        <v>385413.70981203258</v>
      </c>
      <c r="L559">
        <f>IFERROR(VLOOKUP(G559,'LEAID Match'!$A$2:$B$168,2,FALSE),"")</f>
        <v>4620100</v>
      </c>
    </row>
    <row r="560" spans="1:12" x14ac:dyDescent="0.2">
      <c r="A560">
        <f t="shared" si="17"/>
        <v>4620100</v>
      </c>
      <c r="B560">
        <v>2019</v>
      </c>
      <c r="C560" t="s">
        <v>208</v>
      </c>
      <c r="D560" t="s">
        <v>212</v>
      </c>
      <c r="E560" t="s">
        <v>211</v>
      </c>
      <c r="F560" s="3">
        <v>924102</v>
      </c>
      <c r="G560" s="3" t="s">
        <v>41</v>
      </c>
      <c r="H560" s="4">
        <v>247262</v>
      </c>
      <c r="I560" cm="1">
        <f t="array" ref="I560">_xlfn.IFS(B560=2015,H560/$O$10,B560=2016,H560/$O$11,B560=2017,H560/$O$12,B560=2018,H560/$O$13,B560=2019,H560/$O$14,B560=2020,H560/$O$15,B560=2021,H560/$O$16,B560=2022,H560/$O$17)</f>
        <v>4.8425104980434567E-3</v>
      </c>
      <c r="J560" s="6" cm="1">
        <f t="array" ref="J560">_xlfn.IFS(B560=2015,I560*$Q$1,B560=2016,I560*$Q$2,B560=2017,I560*$Q$3,B560=2018,I560*$Q$4,B560=2019,I560*$Q$5,B560=2020,I560*$Q$6,B560=2021,I560*$Q$7,B560=2022,I560*$Q$8)</f>
        <v>128072.07848403191</v>
      </c>
      <c r="K560" s="7">
        <f t="shared" si="18"/>
        <v>375334.0784840319</v>
      </c>
      <c r="L560">
        <f>IFERROR(VLOOKUP(G560,'LEAID Match'!$A$2:$B$168,2,FALSE),"")</f>
        <v>4620100</v>
      </c>
    </row>
    <row r="561" spans="1:12" x14ac:dyDescent="0.2">
      <c r="A561">
        <f t="shared" si="17"/>
        <v>4620100</v>
      </c>
      <c r="B561">
        <v>2020</v>
      </c>
      <c r="C561" t="s">
        <v>208</v>
      </c>
      <c r="D561" t="s">
        <v>212</v>
      </c>
      <c r="E561" t="s">
        <v>211</v>
      </c>
      <c r="F561" s="1">
        <v>924102</v>
      </c>
      <c r="G561" s="3" t="s">
        <v>41</v>
      </c>
      <c r="H561" s="2">
        <v>273769</v>
      </c>
      <c r="I561" cm="1">
        <f t="array" ref="I561">_xlfn.IFS(B561=2015,H561/$O$10,B561=2016,H561/$O$11,B561=2017,H561/$O$12,B561=2018,H561/$O$13,B561=2019,H561/$O$14,B561=2020,H561/$O$15,B561=2021,H561/$O$16,B561=2022,H561/$O$17)</f>
        <v>5.1851246059484088E-3</v>
      </c>
      <c r="J561" s="6" cm="1">
        <f t="array" ref="J561">_xlfn.IFS(B561=2015,I561*$Q$1,B561=2016,I561*$Q$2,B561=2017,I561*$Q$3,B561=2018,I561*$Q$4,B561=2019,I561*$Q$5,B561=2020,I561*$Q$6,B561=2021,I561*$Q$7,B561=2022,I561*$Q$8)</f>
        <v>140984.73579952121</v>
      </c>
      <c r="K561" s="7">
        <f t="shared" si="18"/>
        <v>414753.73579952121</v>
      </c>
      <c r="L561">
        <f>IFERROR(VLOOKUP(G561,'LEAID Match'!$A$2:$B$168,2,FALSE),"")</f>
        <v>4620100</v>
      </c>
    </row>
    <row r="562" spans="1:12" x14ac:dyDescent="0.2">
      <c r="A562">
        <f t="shared" si="17"/>
        <v>4620100</v>
      </c>
      <c r="B562">
        <v>2021</v>
      </c>
      <c r="C562" t="s">
        <v>208</v>
      </c>
      <c r="D562" t="s">
        <v>212</v>
      </c>
      <c r="E562" t="s">
        <v>211</v>
      </c>
      <c r="F562" s="3">
        <v>924102</v>
      </c>
      <c r="G562" s="3" t="s">
        <v>41</v>
      </c>
      <c r="H562" s="4">
        <v>320864</v>
      </c>
      <c r="I562" cm="1">
        <f t="array" ref="I562">_xlfn.IFS(B562=2015,H562/$O$10,B562=2016,H562/$O$11,B562=2017,H562/$O$12,B562=2018,H562/$O$13,B562=2019,H562/$O$14,B562=2020,H562/$O$15,B562=2021,H562/$O$16,B562=2022,H562/$O$17)</f>
        <v>5.7953070193864564E-3</v>
      </c>
      <c r="J562" s="6" cm="1">
        <f t="array" ref="J562">_xlfn.IFS(B562=2015,I562*$Q$1,B562=2016,I562*$Q$2,B562=2017,I562*$Q$3,B562=2018,I562*$Q$4,B562=2019,I562*$Q$5,B562=2020,I562*$Q$6,B562=2021,I562*$Q$7,B562=2022,I562*$Q$8)</f>
        <v>161331.68664291763</v>
      </c>
      <c r="K562" s="7">
        <f t="shared" si="18"/>
        <v>482195.68664291763</v>
      </c>
      <c r="L562">
        <f>IFERROR(VLOOKUP(G562,'LEAID Match'!$A$2:$B$168,2,FALSE),"")</f>
        <v>4620100</v>
      </c>
    </row>
    <row r="563" spans="1:12" x14ac:dyDescent="0.2">
      <c r="A563">
        <f t="shared" si="17"/>
        <v>4620100</v>
      </c>
      <c r="B563">
        <v>2022</v>
      </c>
      <c r="C563" t="s">
        <v>208</v>
      </c>
      <c r="D563" t="s">
        <v>212</v>
      </c>
      <c r="E563" t="s">
        <v>211</v>
      </c>
      <c r="F563" s="3">
        <v>924102</v>
      </c>
      <c r="G563" s="3" t="s">
        <v>41</v>
      </c>
      <c r="H563" s="4">
        <v>332034</v>
      </c>
      <c r="I563" cm="1">
        <f t="array" ref="I563">_xlfn.IFS(B563=2015,H563/$O$10,B563=2016,H563/$O$11,B563=2017,H563/$O$12,B563=2018,H563/$O$13,B563=2019,H563/$O$14,B563=2020,H563/$O$15,B563=2021,H563/$O$16,B563=2022,H563/$O$17)</f>
        <v>5.7503580443635568E-3</v>
      </c>
      <c r="J563" s="6" cm="1">
        <f t="array" ref="J563">_xlfn.IFS(B563=2015,I563*$Q$1,B563=2016,I563*$Q$2,B563=2017,I563*$Q$3,B563=2018,I563*$Q$4,B563=2019,I563*$Q$5,B563=2020,I563*$Q$6,B563=2021,I563*$Q$7,B563=2022,I563*$Q$8)</f>
        <v>169393.73675152726</v>
      </c>
      <c r="K563" s="7">
        <f t="shared" si="18"/>
        <v>501427.73675152729</v>
      </c>
      <c r="L563">
        <f>IFERROR(VLOOKUP(G563,'LEAID Match'!$A$2:$B$168,2,FALSE),"")</f>
        <v>4620100</v>
      </c>
    </row>
    <row r="564" spans="1:12" x14ac:dyDescent="0.2">
      <c r="A564">
        <f t="shared" si="17"/>
        <v>4603780</v>
      </c>
      <c r="B564">
        <v>2015</v>
      </c>
      <c r="C564" t="s">
        <v>208</v>
      </c>
      <c r="D564" t="s">
        <v>212</v>
      </c>
      <c r="E564" t="s">
        <v>211</v>
      </c>
      <c r="F564" s="3">
        <v>925101</v>
      </c>
      <c r="G564" s="3" t="s">
        <v>5</v>
      </c>
      <c r="H564" s="4">
        <v>55452</v>
      </c>
      <c r="I564" cm="1">
        <f t="array" ref="I564">_xlfn.IFS(B564=2015,H564/$O$10,B564=2016,H564/$O$11,B564=2017,H564/$O$12,B564=2018,H564/$O$13,B564=2019,H564/$O$14,B564=2020,H564/$O$15,B564=2021,H564/$O$16,B564=2022,H564/$O$17)</f>
        <v>1.2970385526067699E-3</v>
      </c>
      <c r="J564" s="6" cm="1">
        <f t="array" ref="J564">_xlfn.IFS(B564=2015,I564*$Q$1,B564=2016,I564*$Q$2,B564=2017,I564*$Q$3,B564=2018,I564*$Q$4,B564=2019,I564*$Q$5,B564=2020,I564*$Q$6,B564=2021,I564*$Q$7,B564=2022,I564*$Q$8)</f>
        <v>31896.97312668134</v>
      </c>
      <c r="K564" s="7">
        <f t="shared" si="18"/>
        <v>87348.973126681347</v>
      </c>
      <c r="L564">
        <f>IFERROR(VLOOKUP(G564,'LEAID Match'!$A$2:$B$168,2,FALSE),"")</f>
        <v>4603780</v>
      </c>
    </row>
    <row r="565" spans="1:12" x14ac:dyDescent="0.2">
      <c r="A565">
        <f t="shared" si="17"/>
        <v>4603780</v>
      </c>
      <c r="B565">
        <v>2016</v>
      </c>
      <c r="C565" t="s">
        <v>208</v>
      </c>
      <c r="D565" t="s">
        <v>212</v>
      </c>
      <c r="E565" t="s">
        <v>211</v>
      </c>
      <c r="F565" s="3">
        <v>925101</v>
      </c>
      <c r="G565" s="3" t="s">
        <v>5</v>
      </c>
      <c r="H565" s="4">
        <v>57555</v>
      </c>
      <c r="I565" cm="1">
        <f t="array" ref="I565">_xlfn.IFS(B565=2015,H565/$O$10,B565=2016,H565/$O$11,B565=2017,H565/$O$12,B565=2018,H565/$O$13,B565=2019,H565/$O$14,B565=2020,H565/$O$15,B565=2021,H565/$O$16,B565=2022,H565/$O$17)</f>
        <v>1.3054660023695949E-3</v>
      </c>
      <c r="J565" s="6" cm="1">
        <f t="array" ref="J565">_xlfn.IFS(B565=2015,I565*$Q$1,B565=2016,I565*$Q$2,B565=2017,I565*$Q$3,B565=2018,I565*$Q$4,B565=2019,I565*$Q$5,B565=2020,I565*$Q$6,B565=2021,I565*$Q$7,B565=2022,I565*$Q$8)</f>
        <v>33166.414690331469</v>
      </c>
      <c r="K565" s="7">
        <f t="shared" si="18"/>
        <v>90721.414690331469</v>
      </c>
      <c r="L565">
        <f>IFERROR(VLOOKUP(G565,'LEAID Match'!$A$2:$B$168,2,FALSE),"")</f>
        <v>4603780</v>
      </c>
    </row>
    <row r="566" spans="1:12" x14ac:dyDescent="0.2">
      <c r="A566">
        <f t="shared" si="17"/>
        <v>4603780</v>
      </c>
      <c r="B566">
        <v>2017</v>
      </c>
      <c r="C566" t="s">
        <v>208</v>
      </c>
      <c r="D566" t="s">
        <v>212</v>
      </c>
      <c r="E566" t="s">
        <v>211</v>
      </c>
      <c r="F566" s="3">
        <v>925101</v>
      </c>
      <c r="G566" s="3" t="s">
        <v>5</v>
      </c>
      <c r="H566" s="4">
        <v>70144</v>
      </c>
      <c r="I566" cm="1">
        <f t="array" ref="I566">_xlfn.IFS(B566=2015,H566/$O$10,B566=2016,H566/$O$11,B566=2017,H566/$O$12,B566=2018,H566/$O$13,B566=2019,H566/$O$14,B566=2020,H566/$O$15,B566=2021,H566/$O$16,B566=2022,H566/$O$17)</f>
        <v>1.4482484687617571E-3</v>
      </c>
      <c r="J566" s="6" cm="1">
        <f t="array" ref="J566">_xlfn.IFS(B566=2015,I566*$Q$1,B566=2016,I566*$Q$2,B566=2017,I566*$Q$3,B566=2018,I566*$Q$4,B566=2019,I566*$Q$5,B566=2020,I566*$Q$6,B566=2021,I566*$Q$7,B566=2022,I566*$Q$8)</f>
        <v>38096.94933546034</v>
      </c>
      <c r="K566" s="7">
        <f t="shared" si="18"/>
        <v>108240.94933546035</v>
      </c>
      <c r="L566">
        <f>IFERROR(VLOOKUP(G566,'LEAID Match'!$A$2:$B$168,2,FALSE),"")</f>
        <v>4603780</v>
      </c>
    </row>
    <row r="567" spans="1:12" x14ac:dyDescent="0.2">
      <c r="A567">
        <f t="shared" si="17"/>
        <v>4603780</v>
      </c>
      <c r="B567">
        <v>2018</v>
      </c>
      <c r="C567" t="s">
        <v>208</v>
      </c>
      <c r="D567" t="s">
        <v>212</v>
      </c>
      <c r="E567" t="s">
        <v>211</v>
      </c>
      <c r="F567" s="3">
        <v>925101</v>
      </c>
      <c r="G567" s="3" t="s">
        <v>5</v>
      </c>
      <c r="H567" s="4">
        <v>76069</v>
      </c>
      <c r="I567" cm="1">
        <f t="array" ref="I567">_xlfn.IFS(B567=2015,H567/$O$10,B567=2016,H567/$O$11,B567=2017,H567/$O$12,B567=2018,H567/$O$13,B567=2019,H567/$O$14,B567=2020,H567/$O$15,B567=2021,H567/$O$16,B567=2022,H567/$O$17)</f>
        <v>1.5170139731048454E-3</v>
      </c>
      <c r="J567" s="6" cm="1">
        <f t="array" ref="J567">_xlfn.IFS(B567=2015,I567*$Q$1,B567=2016,I567*$Q$2,B567=2017,I567*$Q$3,B567=2018,I567*$Q$4,B567=2019,I567*$Q$5,B567=2020,I567*$Q$6,B567=2021,I567*$Q$7,B567=2022,I567*$Q$8)</f>
        <v>39830.429128171956</v>
      </c>
      <c r="K567" s="7">
        <f t="shared" si="18"/>
        <v>115899.42912817196</v>
      </c>
      <c r="L567">
        <f>IFERROR(VLOOKUP(G567,'LEAID Match'!$A$2:$B$168,2,FALSE),"")</f>
        <v>4603780</v>
      </c>
    </row>
    <row r="568" spans="1:12" x14ac:dyDescent="0.2">
      <c r="A568">
        <f t="shared" si="17"/>
        <v>4603780</v>
      </c>
      <c r="B568">
        <v>2019</v>
      </c>
      <c r="C568" t="s">
        <v>208</v>
      </c>
      <c r="D568" t="s">
        <v>212</v>
      </c>
      <c r="E568" t="s">
        <v>211</v>
      </c>
      <c r="F568" s="3">
        <v>925101</v>
      </c>
      <c r="G568" s="3" t="s">
        <v>5</v>
      </c>
      <c r="H568" s="4">
        <v>81911</v>
      </c>
      <c r="I568" cm="1">
        <f t="array" ref="I568">_xlfn.IFS(B568=2015,H568/$O$10,B568=2016,H568/$O$11,B568=2017,H568/$O$12,B568=2018,H568/$O$13,B568=2019,H568/$O$14,B568=2020,H568/$O$15,B568=2021,H568/$O$16,B568=2022,H568/$O$17)</f>
        <v>1.6041885829817665E-3</v>
      </c>
      <c r="J568" s="6" cm="1">
        <f t="array" ref="J568">_xlfn.IFS(B568=2015,I568*$Q$1,B568=2016,I568*$Q$2,B568=2017,I568*$Q$3,B568=2018,I568*$Q$4,B568=2019,I568*$Q$5,B568=2020,I568*$Q$6,B568=2021,I568*$Q$7,B568=2022,I568*$Q$8)</f>
        <v>42426.705359924032</v>
      </c>
      <c r="K568" s="7">
        <f t="shared" si="18"/>
        <v>124337.70535992403</v>
      </c>
      <c r="L568">
        <f>IFERROR(VLOOKUP(G568,'LEAID Match'!$A$2:$B$168,2,FALSE),"")</f>
        <v>4603780</v>
      </c>
    </row>
    <row r="569" spans="1:12" x14ac:dyDescent="0.2">
      <c r="A569">
        <f t="shared" si="17"/>
        <v>4603780</v>
      </c>
      <c r="B569">
        <v>2020</v>
      </c>
      <c r="C569" t="s">
        <v>208</v>
      </c>
      <c r="D569" t="s">
        <v>212</v>
      </c>
      <c r="E569" t="s">
        <v>211</v>
      </c>
      <c r="F569" s="1">
        <v>925101</v>
      </c>
      <c r="G569" s="3" t="s">
        <v>5</v>
      </c>
      <c r="H569" s="2">
        <v>86258</v>
      </c>
      <c r="I569" cm="1">
        <f t="array" ref="I569">_xlfn.IFS(B569=2015,H569/$O$10,B569=2016,H569/$O$11,B569=2017,H569/$O$12,B569=2018,H569/$O$13,B569=2019,H569/$O$14,B569=2020,H569/$O$15,B569=2021,H569/$O$16,B569=2022,H569/$O$17)</f>
        <v>1.6337075354035625E-3</v>
      </c>
      <c r="J569" s="6" cm="1">
        <f t="array" ref="J569">_xlfn.IFS(B569=2015,I569*$Q$1,B569=2016,I569*$Q$2,B569=2017,I569*$Q$3,B569=2018,I569*$Q$4,B569=2019,I569*$Q$5,B569=2020,I569*$Q$6,B569=2021,I569*$Q$7,B569=2022,I569*$Q$8)</f>
        <v>44420.885274063541</v>
      </c>
      <c r="K569" s="7">
        <f t="shared" si="18"/>
        <v>130678.88527406353</v>
      </c>
      <c r="L569">
        <f>IFERROR(VLOOKUP(G569,'LEAID Match'!$A$2:$B$168,2,FALSE),"")</f>
        <v>4603780</v>
      </c>
    </row>
    <row r="570" spans="1:12" x14ac:dyDescent="0.2">
      <c r="A570">
        <f t="shared" si="17"/>
        <v>4603780</v>
      </c>
      <c r="B570">
        <v>2021</v>
      </c>
      <c r="C570" t="s">
        <v>208</v>
      </c>
      <c r="D570" t="s">
        <v>212</v>
      </c>
      <c r="E570" t="s">
        <v>211</v>
      </c>
      <c r="F570" s="3">
        <v>925101</v>
      </c>
      <c r="G570" s="3" t="s">
        <v>5</v>
      </c>
      <c r="H570" s="4">
        <v>95717</v>
      </c>
      <c r="I570" cm="1">
        <f t="array" ref="I570">_xlfn.IFS(B570=2015,H570/$O$10,B570=2016,H570/$O$11,B570=2017,H570/$O$12,B570=2018,H570/$O$13,B570=2019,H570/$O$14,B570=2020,H570/$O$15,B570=2021,H570/$O$16,B570=2022,H570/$O$17)</f>
        <v>1.7287991235371168E-3</v>
      </c>
      <c r="J570" s="6" cm="1">
        <f t="array" ref="J570">_xlfn.IFS(B570=2015,I570*$Q$1,B570=2016,I570*$Q$2,B570=2017,I570*$Q$3,B570=2018,I570*$Q$4,B570=2019,I570*$Q$5,B570=2020,I570*$Q$6,B570=2021,I570*$Q$7,B570=2022,I570*$Q$8)</f>
        <v>48126.885691134397</v>
      </c>
      <c r="K570" s="7">
        <f t="shared" si="18"/>
        <v>143843.8856911344</v>
      </c>
      <c r="L570">
        <f>IFERROR(VLOOKUP(G570,'LEAID Match'!$A$2:$B$168,2,FALSE),"")</f>
        <v>4603780</v>
      </c>
    </row>
    <row r="571" spans="1:12" x14ac:dyDescent="0.2">
      <c r="A571">
        <f t="shared" si="17"/>
        <v>4603780</v>
      </c>
      <c r="B571">
        <v>2022</v>
      </c>
      <c r="C571" t="s">
        <v>208</v>
      </c>
      <c r="D571" t="s">
        <v>212</v>
      </c>
      <c r="E571" t="s">
        <v>211</v>
      </c>
      <c r="F571" s="3">
        <v>925101</v>
      </c>
      <c r="G571" s="3" t="s">
        <v>5</v>
      </c>
      <c r="H571" s="4">
        <v>99097</v>
      </c>
      <c r="I571" cm="1">
        <f t="array" ref="I571">_xlfn.IFS(B571=2015,H571/$O$10,B571=2016,H571/$O$11,B571=2017,H571/$O$12,B571=2018,H571/$O$13,B571=2019,H571/$O$14,B571=2020,H571/$O$15,B571=2021,H571/$O$16,B571=2022,H571/$O$17)</f>
        <v>1.7162195170443248E-3</v>
      </c>
      <c r="J571" s="6" cm="1">
        <f t="array" ref="J571">_xlfn.IFS(B571=2015,I571*$Q$1,B571=2016,I571*$Q$2,B571=2017,I571*$Q$3,B571=2018,I571*$Q$4,B571=2019,I571*$Q$5,B571=2020,I571*$Q$6,B571=2021,I571*$Q$7,B571=2022,I571*$Q$8)</f>
        <v>50556.301857237799</v>
      </c>
      <c r="K571" s="7">
        <f t="shared" si="18"/>
        <v>149653.30185723779</v>
      </c>
      <c r="L571">
        <f>IFERROR(VLOOKUP(G571,'LEAID Match'!$A$2:$B$168,2,FALSE),"")</f>
        <v>4603780</v>
      </c>
    </row>
    <row r="572" spans="1:12" x14ac:dyDescent="0.2">
      <c r="A572">
        <f t="shared" si="17"/>
        <v>4680445</v>
      </c>
      <c r="B572">
        <v>2015</v>
      </c>
      <c r="C572" t="s">
        <v>208</v>
      </c>
      <c r="D572" t="s">
        <v>212</v>
      </c>
      <c r="E572" t="s">
        <v>211</v>
      </c>
      <c r="F572" s="3">
        <v>925102</v>
      </c>
      <c r="G572" s="3" t="s">
        <v>178</v>
      </c>
      <c r="H572" s="4">
        <v>43425</v>
      </c>
      <c r="I572" cm="1">
        <f t="array" ref="I572">_xlfn.IFS(B572=2015,H572/$O$10,B572=2016,H572/$O$11,B572=2017,H572/$O$12,B572=2018,H572/$O$13,B572=2019,H572/$O$14,B572=2020,H572/$O$15,B572=2021,H572/$O$16,B572=2022,H572/$O$17)</f>
        <v>1.0157234932364745E-3</v>
      </c>
      <c r="J572" s="6" cm="1">
        <f t="array" ref="J572">_xlfn.IFS(B572=2015,I572*$Q$1,B572=2016,I572*$Q$2,B572=2017,I572*$Q$3,B572=2018,I572*$Q$4,B572=2019,I572*$Q$5,B572=2020,I572*$Q$6,B572=2021,I572*$Q$7,B572=2022,I572*$Q$8)</f>
        <v>24978.829582812832</v>
      </c>
      <c r="K572" s="7">
        <f t="shared" si="18"/>
        <v>68403.829582812832</v>
      </c>
      <c r="L572">
        <f>IFERROR(VLOOKUP(G572,'LEAID Match'!$A$2:$B$168,2,FALSE),"")</f>
        <v>4680445</v>
      </c>
    </row>
    <row r="573" spans="1:12" x14ac:dyDescent="0.2">
      <c r="A573">
        <f t="shared" si="17"/>
        <v>4680445</v>
      </c>
      <c r="B573">
        <v>2016</v>
      </c>
      <c r="C573" t="s">
        <v>208</v>
      </c>
      <c r="D573" t="s">
        <v>212</v>
      </c>
      <c r="E573" t="s">
        <v>211</v>
      </c>
      <c r="F573" s="3">
        <v>925102</v>
      </c>
      <c r="G573" s="3" t="s">
        <v>178</v>
      </c>
      <c r="H573" s="4">
        <v>82871</v>
      </c>
      <c r="I573" cm="1">
        <f t="array" ref="I573">_xlfn.IFS(B573=2015,H573/$O$10,B573=2016,H573/$O$11,B573=2017,H573/$O$12,B573=2018,H573/$O$13,B573=2019,H573/$O$14,B573=2020,H573/$O$15,B573=2021,H573/$O$16,B573=2022,H573/$O$17)</f>
        <v>1.8796850505146503E-3</v>
      </c>
      <c r="J573" s="6" cm="1">
        <f t="array" ref="J573">_xlfn.IFS(B573=2015,I573*$Q$1,B573=2016,I573*$Q$2,B573=2017,I573*$Q$3,B573=2018,I573*$Q$4,B573=2019,I573*$Q$5,B573=2020,I573*$Q$6,B573=2021,I573*$Q$7,B573=2022,I573*$Q$8)</f>
        <v>47754.911854790356</v>
      </c>
      <c r="K573" s="7">
        <f t="shared" si="18"/>
        <v>130625.91185479035</v>
      </c>
      <c r="L573">
        <f>IFERROR(VLOOKUP(G573,'LEAID Match'!$A$2:$B$168,2,FALSE),"")</f>
        <v>4680445</v>
      </c>
    </row>
    <row r="574" spans="1:12" x14ac:dyDescent="0.2">
      <c r="A574">
        <f t="shared" si="17"/>
        <v>4680445</v>
      </c>
      <c r="B574">
        <v>2017</v>
      </c>
      <c r="C574" t="s">
        <v>208</v>
      </c>
      <c r="D574" t="s">
        <v>212</v>
      </c>
      <c r="E574" t="s">
        <v>211</v>
      </c>
      <c r="F574" s="3">
        <v>925102</v>
      </c>
      <c r="G574" s="3" t="s">
        <v>178</v>
      </c>
      <c r="H574" s="4">
        <v>98846</v>
      </c>
      <c r="I574" cm="1">
        <f t="array" ref="I574">_xlfn.IFS(B574=2015,H574/$O$10,B574=2016,H574/$O$11,B574=2017,H574/$O$12,B574=2018,H574/$O$13,B574=2019,H574/$O$14,B574=2020,H574/$O$15,B574=2021,H574/$O$16,B574=2022,H574/$O$17)</f>
        <v>2.0408526480272674E-3</v>
      </c>
      <c r="J574" s="6" cm="1">
        <f t="array" ref="J574">_xlfn.IFS(B574=2015,I574*$Q$1,B574=2016,I574*$Q$2,B574=2017,I574*$Q$3,B574=2018,I574*$Q$4,B574=2019,I574*$Q$5,B574=2020,I574*$Q$6,B574=2021,I574*$Q$7,B574=2022,I574*$Q$8)</f>
        <v>53685.718721671314</v>
      </c>
      <c r="K574" s="7">
        <f t="shared" si="18"/>
        <v>152531.71872167132</v>
      </c>
      <c r="L574">
        <f>IFERROR(VLOOKUP(G574,'LEAID Match'!$A$2:$B$168,2,FALSE),"")</f>
        <v>4680445</v>
      </c>
    </row>
    <row r="575" spans="1:12" x14ac:dyDescent="0.2">
      <c r="A575">
        <f t="shared" si="17"/>
        <v>4680445</v>
      </c>
      <c r="B575">
        <v>2018</v>
      </c>
      <c r="C575" t="s">
        <v>208</v>
      </c>
      <c r="D575" t="s">
        <v>212</v>
      </c>
      <c r="E575" t="s">
        <v>211</v>
      </c>
      <c r="F575" s="3">
        <v>925102</v>
      </c>
      <c r="G575" s="3" t="s">
        <v>178</v>
      </c>
      <c r="H575" s="4">
        <v>99214</v>
      </c>
      <c r="I575" cm="1">
        <f t="array" ref="I575">_xlfn.IFS(B575=2015,H575/$O$10,B575=2016,H575/$O$11,B575=2017,H575/$O$12,B575=2018,H575/$O$13,B575=2019,H575/$O$14,B575=2020,H575/$O$15,B575=2021,H575/$O$16,B575=2022,H575/$O$17)</f>
        <v>1.9785855516389608E-3</v>
      </c>
      <c r="J575" s="6" cm="1">
        <f t="array" ref="J575">_xlfn.IFS(B575=2015,I575*$Q$1,B575=2016,I575*$Q$2,B575=2017,I575*$Q$3,B575=2018,I575*$Q$4,B575=2019,I575*$Q$5,B575=2020,I575*$Q$6,B575=2021,I575*$Q$7,B575=2022,I575*$Q$8)</f>
        <v>51949.364333992191</v>
      </c>
      <c r="K575" s="7">
        <f t="shared" si="18"/>
        <v>151163.36433399218</v>
      </c>
      <c r="L575">
        <f>IFERROR(VLOOKUP(G575,'LEAID Match'!$A$2:$B$168,2,FALSE),"")</f>
        <v>4680445</v>
      </c>
    </row>
    <row r="576" spans="1:12" x14ac:dyDescent="0.2">
      <c r="A576">
        <f t="shared" si="17"/>
        <v>4680445</v>
      </c>
      <c r="B576">
        <v>2019</v>
      </c>
      <c r="C576" t="s">
        <v>208</v>
      </c>
      <c r="D576" t="s">
        <v>212</v>
      </c>
      <c r="E576" t="s">
        <v>211</v>
      </c>
      <c r="F576" s="3">
        <v>925102</v>
      </c>
      <c r="G576" s="3" t="s">
        <v>178</v>
      </c>
      <c r="H576" s="4">
        <v>101609</v>
      </c>
      <c r="I576" cm="1">
        <f t="array" ref="I576">_xlfn.IFS(B576=2015,H576/$O$10,B576=2016,H576/$O$11,B576=2017,H576/$O$12,B576=2018,H576/$O$13,B576=2019,H576/$O$14,B576=2020,H576/$O$15,B576=2021,H576/$O$16,B576=2022,H576/$O$17)</f>
        <v>1.9899646900684194E-3</v>
      </c>
      <c r="J576" s="6" cm="1">
        <f t="array" ref="J576">_xlfn.IFS(B576=2015,I576*$Q$1,B576=2016,I576*$Q$2,B576=2017,I576*$Q$3,B576=2018,I576*$Q$4,B576=2019,I576*$Q$5,B576=2020,I576*$Q$6,B576=2021,I576*$Q$7,B576=2022,I576*$Q$8)</f>
        <v>52629.501592173467</v>
      </c>
      <c r="K576" s="7">
        <f t="shared" si="18"/>
        <v>154238.50159217347</v>
      </c>
      <c r="L576">
        <f>IFERROR(VLOOKUP(G576,'LEAID Match'!$A$2:$B$168,2,FALSE),"")</f>
        <v>4680445</v>
      </c>
    </row>
    <row r="577" spans="1:12" x14ac:dyDescent="0.2">
      <c r="A577">
        <f t="shared" si="17"/>
        <v>4680445</v>
      </c>
      <c r="B577">
        <v>2020</v>
      </c>
      <c r="C577" t="s">
        <v>208</v>
      </c>
      <c r="D577" t="s">
        <v>212</v>
      </c>
      <c r="E577" t="s">
        <v>211</v>
      </c>
      <c r="F577" s="1">
        <v>925102</v>
      </c>
      <c r="G577" s="3" t="s">
        <v>178</v>
      </c>
      <c r="H577" s="2">
        <v>100245</v>
      </c>
      <c r="I577" cm="1">
        <f t="array" ref="I577">_xlfn.IFS(B577=2015,H577/$O$10,B577=2016,H577/$O$11,B577=2017,H577/$O$12,B577=2018,H577/$O$13,B577=2019,H577/$O$14,B577=2020,H577/$O$15,B577=2021,H577/$O$16,B577=2022,H577/$O$17)</f>
        <v>1.8986182369928599E-3</v>
      </c>
      <c r="J577" s="6" cm="1">
        <f t="array" ref="J577">_xlfn.IFS(B577=2015,I577*$Q$1,B577=2016,I577*$Q$2,B577=2017,I577*$Q$3,B577=2018,I577*$Q$4,B577=2019,I577*$Q$5,B577=2020,I577*$Q$6,B577=2021,I577*$Q$7,B577=2022,I577*$Q$8)</f>
        <v>51623.868444648608</v>
      </c>
      <c r="K577" s="7">
        <f t="shared" si="18"/>
        <v>151868.8684446486</v>
      </c>
      <c r="L577">
        <f>IFERROR(VLOOKUP(G577,'LEAID Match'!$A$2:$B$168,2,FALSE),"")</f>
        <v>4680445</v>
      </c>
    </row>
    <row r="578" spans="1:12" x14ac:dyDescent="0.2">
      <c r="A578">
        <f t="shared" si="17"/>
        <v>4680445</v>
      </c>
      <c r="B578">
        <v>2021</v>
      </c>
      <c r="C578" t="s">
        <v>208</v>
      </c>
      <c r="D578" t="s">
        <v>212</v>
      </c>
      <c r="E578" t="s">
        <v>211</v>
      </c>
      <c r="F578" s="3">
        <v>925102</v>
      </c>
      <c r="G578" s="3" t="s">
        <v>178</v>
      </c>
      <c r="H578" s="4">
        <v>106980</v>
      </c>
      <c r="I578" cm="1">
        <f t="array" ref="I578">_xlfn.IFS(B578=2015,H578/$O$10,B578=2016,H578/$O$11,B578=2017,H578/$O$12,B578=2018,H578/$O$13,B578=2019,H578/$O$14,B578=2020,H578/$O$15,B578=2021,H578/$O$16,B578=2022,H578/$O$17)</f>
        <v>1.932226566189922E-3</v>
      </c>
      <c r="J578" s="6" cm="1">
        <f t="array" ref="J578">_xlfn.IFS(B578=2015,I578*$Q$1,B578=2016,I578*$Q$2,B578=2017,I578*$Q$3,B578=2018,I578*$Q$4,B578=2019,I578*$Q$5,B578=2020,I578*$Q$6,B578=2021,I578*$Q$7,B578=2022,I578*$Q$8)</f>
        <v>53789.96658104159</v>
      </c>
      <c r="K578" s="7">
        <f t="shared" si="18"/>
        <v>160769.96658104158</v>
      </c>
      <c r="L578">
        <f>IFERROR(VLOOKUP(G578,'LEAID Match'!$A$2:$B$168,2,FALSE),"")</f>
        <v>4680445</v>
      </c>
    </row>
    <row r="579" spans="1:12" x14ac:dyDescent="0.2">
      <c r="A579">
        <f t="shared" ref="A579:A642" si="19">L579</f>
        <v>4680445</v>
      </c>
      <c r="B579">
        <v>2022</v>
      </c>
      <c r="C579" t="s">
        <v>208</v>
      </c>
      <c r="D579" t="s">
        <v>212</v>
      </c>
      <c r="E579" t="s">
        <v>211</v>
      </c>
      <c r="F579" s="3">
        <v>925102</v>
      </c>
      <c r="G579" s="3" t="s">
        <v>178</v>
      </c>
      <c r="H579" s="4">
        <v>108764</v>
      </c>
      <c r="I579" cm="1">
        <f t="array" ref="I579">_xlfn.IFS(B579=2015,H579/$O$10,B579=2016,H579/$O$11,B579=2017,H579/$O$12,B579=2018,H579/$O$13,B579=2019,H579/$O$14,B579=2020,H579/$O$15,B579=2021,H579/$O$16,B579=2022,H579/$O$17)</f>
        <v>1.8836382489057081E-3</v>
      </c>
      <c r="J579" s="6" cm="1">
        <f t="array" ref="J579">_xlfn.IFS(B579=2015,I579*$Q$1,B579=2016,I579*$Q$2,B579=2017,I579*$Q$3,B579=2018,I579*$Q$4,B579=2019,I579*$Q$5,B579=2020,I579*$Q$6,B579=2021,I579*$Q$7,B579=2022,I579*$Q$8)</f>
        <v>55488.113819798906</v>
      </c>
      <c r="K579" s="7">
        <f t="shared" ref="K579:K642" si="20">SUM(J579,H579)</f>
        <v>164252.11381979892</v>
      </c>
      <c r="L579">
        <f>IFERROR(VLOOKUP(G579,'LEAID Match'!$A$2:$B$168,2,FALSE),"")</f>
        <v>4680445</v>
      </c>
    </row>
    <row r="580" spans="1:12" x14ac:dyDescent="0.2">
      <c r="A580">
        <f t="shared" si="19"/>
        <v>4636060</v>
      </c>
      <c r="B580">
        <v>2015</v>
      </c>
      <c r="C580" t="s">
        <v>208</v>
      </c>
      <c r="D580" t="s">
        <v>212</v>
      </c>
      <c r="E580" t="s">
        <v>211</v>
      </c>
      <c r="F580" s="3">
        <v>926101</v>
      </c>
      <c r="G580" s="3" t="s">
        <v>76</v>
      </c>
      <c r="H580" s="4">
        <v>110576</v>
      </c>
      <c r="I580" cm="1">
        <f t="array" ref="I580">_xlfn.IFS(B580=2015,H580/$O$10,B580=2016,H580/$O$11,B580=2017,H580/$O$12,B580=2018,H580/$O$13,B580=2019,H580/$O$14,B580=2020,H580/$O$15,B580=2021,H580/$O$16,B580=2022,H580/$O$17)</f>
        <v>2.5864050889606539E-3</v>
      </c>
      <c r="J580" s="6" cm="1">
        <f t="array" ref="J580">_xlfn.IFS(B580=2015,I580*$Q$1,B580=2016,I580*$Q$2,B580=2017,I580*$Q$3,B580=2018,I580*$Q$4,B580=2019,I580*$Q$5,B580=2020,I580*$Q$6,B580=2021,I580*$Q$7,B580=2022,I580*$Q$8)</f>
        <v>63605.274840509192</v>
      </c>
      <c r="K580" s="7">
        <f t="shared" si="20"/>
        <v>174181.2748405092</v>
      </c>
      <c r="L580">
        <f>IFERROR(VLOOKUP(G580,'LEAID Match'!$A$2:$B$168,2,FALSE),"")</f>
        <v>4636060</v>
      </c>
    </row>
    <row r="581" spans="1:12" x14ac:dyDescent="0.2">
      <c r="A581">
        <f t="shared" si="19"/>
        <v>4636060</v>
      </c>
      <c r="B581">
        <v>2016</v>
      </c>
      <c r="C581" t="s">
        <v>208</v>
      </c>
      <c r="D581" t="s">
        <v>212</v>
      </c>
      <c r="E581" t="s">
        <v>211</v>
      </c>
      <c r="F581" s="3">
        <v>926101</v>
      </c>
      <c r="G581" s="3" t="s">
        <v>76</v>
      </c>
      <c r="H581" s="4">
        <v>122556</v>
      </c>
      <c r="I581" cm="1">
        <f t="array" ref="I581">_xlfn.IFS(B581=2015,H581/$O$10,B581=2016,H581/$O$11,B581=2017,H581/$O$12,B581=2018,H581/$O$13,B581=2019,H581/$O$14,B581=2020,H581/$O$15,B581=2021,H581/$O$16,B581=2022,H581/$O$17)</f>
        <v>2.7798226285536977E-3</v>
      </c>
      <c r="J581" s="6" cm="1">
        <f t="array" ref="J581">_xlfn.IFS(B581=2015,I581*$Q$1,B581=2016,I581*$Q$2,B581=2017,I581*$Q$3,B581=2018,I581*$Q$4,B581=2019,I581*$Q$5,B581=2020,I581*$Q$6,B581=2021,I581*$Q$7,B581=2022,I581*$Q$8)</f>
        <v>70623.631635622674</v>
      </c>
      <c r="K581" s="7">
        <f t="shared" si="20"/>
        <v>193179.63163562267</v>
      </c>
      <c r="L581">
        <f>IFERROR(VLOOKUP(G581,'LEAID Match'!$A$2:$B$168,2,FALSE),"")</f>
        <v>4636060</v>
      </c>
    </row>
    <row r="582" spans="1:12" x14ac:dyDescent="0.2">
      <c r="A582">
        <f t="shared" si="19"/>
        <v>4636060</v>
      </c>
      <c r="B582">
        <v>2017</v>
      </c>
      <c r="C582" t="s">
        <v>208</v>
      </c>
      <c r="D582" t="s">
        <v>212</v>
      </c>
      <c r="E582" t="s">
        <v>211</v>
      </c>
      <c r="F582" s="3">
        <v>926101</v>
      </c>
      <c r="G582" s="3" t="s">
        <v>76</v>
      </c>
      <c r="H582" s="4">
        <v>138480</v>
      </c>
      <c r="I582" cm="1">
        <f t="array" ref="I582">_xlfn.IFS(B582=2015,H582/$O$10,B582=2016,H582/$O$11,B582=2017,H582/$O$12,B582=2018,H582/$O$13,B582=2019,H582/$O$14,B582=2020,H582/$O$15,B582=2021,H582/$O$16,B582=2022,H582/$O$17)</f>
        <v>2.8591675404044271E-3</v>
      </c>
      <c r="J582" s="6" cm="1">
        <f t="array" ref="J582">_xlfn.IFS(B582=2015,I582*$Q$1,B582=2016,I582*$Q$2,B582=2017,I582*$Q$3,B582=2018,I582*$Q$4,B582=2019,I582*$Q$5,B582=2020,I582*$Q$6,B582=2021,I582*$Q$7,B582=2022,I582*$Q$8)</f>
        <v>75211.928945805033</v>
      </c>
      <c r="K582" s="7">
        <f t="shared" si="20"/>
        <v>213691.92894580503</v>
      </c>
      <c r="L582">
        <f>IFERROR(VLOOKUP(G582,'LEAID Match'!$A$2:$B$168,2,FALSE),"")</f>
        <v>4636060</v>
      </c>
    </row>
    <row r="583" spans="1:12" x14ac:dyDescent="0.2">
      <c r="A583">
        <f t="shared" si="19"/>
        <v>4636060</v>
      </c>
      <c r="B583">
        <v>2018</v>
      </c>
      <c r="C583" t="s">
        <v>208</v>
      </c>
      <c r="D583" t="s">
        <v>212</v>
      </c>
      <c r="E583" t="s">
        <v>211</v>
      </c>
      <c r="F583" s="3">
        <v>926101</v>
      </c>
      <c r="G583" s="3" t="s">
        <v>76</v>
      </c>
      <c r="H583" s="4">
        <v>141820</v>
      </c>
      <c r="I583" cm="1">
        <f t="array" ref="I583">_xlfn.IFS(B583=2015,H583/$O$10,B583=2016,H583/$O$11,B583=2017,H583/$O$12,B583=2018,H583/$O$13,B583=2019,H583/$O$14,B583=2020,H583/$O$15,B583=2021,H583/$O$16,B583=2022,H583/$O$17)</f>
        <v>2.8282601541459616E-3</v>
      </c>
      <c r="J583" s="6" cm="1">
        <f t="array" ref="J583">_xlfn.IFS(B583=2015,I583*$Q$1,B583=2016,I583*$Q$2,B583=2017,I583*$Q$3,B583=2018,I583*$Q$4,B583=2019,I583*$Q$5,B583=2020,I583*$Q$6,B583=2021,I583*$Q$7,B583=2022,I583*$Q$8)</f>
        <v>74258.25840956693</v>
      </c>
      <c r="K583" s="7">
        <f t="shared" si="20"/>
        <v>216078.25840956694</v>
      </c>
      <c r="L583">
        <f>IFERROR(VLOOKUP(G583,'LEAID Match'!$A$2:$B$168,2,FALSE),"")</f>
        <v>4636060</v>
      </c>
    </row>
    <row r="584" spans="1:12" x14ac:dyDescent="0.2">
      <c r="A584">
        <f t="shared" si="19"/>
        <v>4636060</v>
      </c>
      <c r="B584">
        <v>2019</v>
      </c>
      <c r="C584" t="s">
        <v>208</v>
      </c>
      <c r="D584" t="s">
        <v>212</v>
      </c>
      <c r="E584" t="s">
        <v>211</v>
      </c>
      <c r="F584" s="3">
        <v>926101</v>
      </c>
      <c r="G584" s="3" t="s">
        <v>76</v>
      </c>
      <c r="H584" s="4">
        <v>149240</v>
      </c>
      <c r="I584" cm="1">
        <f t="array" ref="I584">_xlfn.IFS(B584=2015,H584/$O$10,B584=2016,H584/$O$11,B584=2017,H584/$O$12,B584=2018,H584/$O$13,B584=2019,H584/$O$14,B584=2020,H584/$O$15,B584=2021,H584/$O$16,B584=2022,H584/$O$17)</f>
        <v>2.9227955234852319E-3</v>
      </c>
      <c r="J584" s="6" cm="1">
        <f t="array" ref="J584">_xlfn.IFS(B584=2015,I584*$Q$1,B584=2016,I584*$Q$2,B584=2017,I584*$Q$3,B584=2018,I584*$Q$4,B584=2019,I584*$Q$5,B584=2020,I584*$Q$6,B584=2021,I584*$Q$7,B584=2022,I584*$Q$8)</f>
        <v>77300.503081577117</v>
      </c>
      <c r="K584" s="7">
        <f t="shared" si="20"/>
        <v>226540.50308157713</v>
      </c>
      <c r="L584">
        <f>IFERROR(VLOOKUP(G584,'LEAID Match'!$A$2:$B$168,2,FALSE),"")</f>
        <v>4636060</v>
      </c>
    </row>
    <row r="585" spans="1:12" x14ac:dyDescent="0.2">
      <c r="A585">
        <f t="shared" si="19"/>
        <v>4636060</v>
      </c>
      <c r="B585">
        <v>2020</v>
      </c>
      <c r="C585" t="s">
        <v>208</v>
      </c>
      <c r="D585" t="s">
        <v>212</v>
      </c>
      <c r="E585" t="s">
        <v>211</v>
      </c>
      <c r="F585" s="1">
        <v>926101</v>
      </c>
      <c r="G585" s="3" t="s">
        <v>76</v>
      </c>
      <c r="H585" s="2">
        <v>151360</v>
      </c>
      <c r="I585" cm="1">
        <f t="array" ref="I585">_xlfn.IFS(B585=2015,H585/$O$10,B585=2016,H585/$O$11,B585=2017,H585/$O$12,B585=2018,H585/$O$13,B585=2019,H585/$O$14,B585=2020,H585/$O$15,B585=2021,H585/$O$16,B585=2022,H585/$O$17)</f>
        <v>2.8667250870491223E-3</v>
      </c>
      <c r="J585" s="6" cm="1">
        <f t="array" ref="J585">_xlfn.IFS(B585=2015,I585*$Q$1,B585=2016,I585*$Q$2,B585=2017,I585*$Q$3,B585=2018,I585*$Q$4,B585=2019,I585*$Q$5,B585=2020,I585*$Q$6,B585=2021,I585*$Q$7,B585=2022,I585*$Q$8)</f>
        <v>77946.917330360739</v>
      </c>
      <c r="K585" s="7">
        <f t="shared" si="20"/>
        <v>229306.91733036074</v>
      </c>
      <c r="L585">
        <f>IFERROR(VLOOKUP(G585,'LEAID Match'!$A$2:$B$168,2,FALSE),"")</f>
        <v>4636060</v>
      </c>
    </row>
    <row r="586" spans="1:12" x14ac:dyDescent="0.2">
      <c r="A586">
        <f t="shared" si="19"/>
        <v>4636060</v>
      </c>
      <c r="B586">
        <v>2021</v>
      </c>
      <c r="C586" t="s">
        <v>208</v>
      </c>
      <c r="D586" t="s">
        <v>212</v>
      </c>
      <c r="E586" t="s">
        <v>211</v>
      </c>
      <c r="F586" s="3">
        <v>926101</v>
      </c>
      <c r="G586" s="3" t="s">
        <v>76</v>
      </c>
      <c r="H586" s="4">
        <v>155689</v>
      </c>
      <c r="I586" cm="1">
        <f t="array" ref="I586">_xlfn.IFS(B586=2015,H586/$O$10,B586=2016,H586/$O$11,B586=2017,H586/$O$12,B586=2018,H586/$O$13,B586=2019,H586/$O$14,B586=2020,H586/$O$15,B586=2021,H586/$O$16,B586=2022,H586/$O$17)</f>
        <v>2.811987491713804E-3</v>
      </c>
      <c r="J586" s="6" cm="1">
        <f t="array" ref="J586">_xlfn.IFS(B586=2015,I586*$Q$1,B586=2016,I586*$Q$2,B586=2017,I586*$Q$3,B586=2018,I586*$Q$4,B586=2019,I586*$Q$5,B586=2020,I586*$Q$6,B586=2021,I586*$Q$7,B586=2022,I586*$Q$8)</f>
        <v>78281.044186163621</v>
      </c>
      <c r="K586" s="7">
        <f t="shared" si="20"/>
        <v>233970.04418616364</v>
      </c>
      <c r="L586">
        <f>IFERROR(VLOOKUP(G586,'LEAID Match'!$A$2:$B$168,2,FALSE),"")</f>
        <v>4636060</v>
      </c>
    </row>
    <row r="587" spans="1:12" x14ac:dyDescent="0.2">
      <c r="A587">
        <f t="shared" si="19"/>
        <v>4636060</v>
      </c>
      <c r="B587">
        <v>2022</v>
      </c>
      <c r="C587" t="s">
        <v>208</v>
      </c>
      <c r="D587" t="s">
        <v>212</v>
      </c>
      <c r="E587" t="s">
        <v>211</v>
      </c>
      <c r="F587" s="3">
        <v>926101</v>
      </c>
      <c r="G587" s="3" t="s">
        <v>76</v>
      </c>
      <c r="H587" s="4">
        <v>158434</v>
      </c>
      <c r="I587" cm="1">
        <f t="array" ref="I587">_xlfn.IFS(B587=2015,H587/$O$10,B587=2016,H587/$O$11,B587=2017,H587/$O$12,B587=2018,H587/$O$13,B587=2019,H587/$O$14,B587=2020,H587/$O$15,B587=2021,H587/$O$16,B587=2022,H587/$O$17)</f>
        <v>2.7438522151366899E-3</v>
      </c>
      <c r="J587" s="6" cm="1">
        <f t="array" ref="J587">_xlfn.IFS(B587=2015,I587*$Q$1,B587=2016,I587*$Q$2,B587=2017,I587*$Q$3,B587=2018,I587*$Q$4,B587=2019,I587*$Q$5,B587=2020,I587*$Q$6,B587=2021,I587*$Q$7,B587=2022,I587*$Q$8)</f>
        <v>80828.250385476989</v>
      </c>
      <c r="K587" s="7">
        <f t="shared" si="20"/>
        <v>239262.25038547697</v>
      </c>
      <c r="L587">
        <f>IFERROR(VLOOKUP(G587,'LEAID Match'!$A$2:$B$168,2,FALSE),"")</f>
        <v>4636060</v>
      </c>
    </row>
    <row r="588" spans="1:12" x14ac:dyDescent="0.2">
      <c r="A588">
        <f t="shared" si="19"/>
        <v>4634440</v>
      </c>
      <c r="B588">
        <v>2015</v>
      </c>
      <c r="C588" t="s">
        <v>208</v>
      </c>
      <c r="D588" t="s">
        <v>212</v>
      </c>
      <c r="E588" t="s">
        <v>211</v>
      </c>
      <c r="F588" s="3">
        <v>926121</v>
      </c>
      <c r="G588" s="3" t="s">
        <v>44</v>
      </c>
      <c r="H588" s="4">
        <v>40841</v>
      </c>
      <c r="I588" cm="1">
        <f t="array" ref="I588">_xlfn.IFS(B588=2015,H588/$O$10,B588=2016,H588/$O$11,B588=2017,H588/$O$12,B588=2018,H588/$O$13,B588=2019,H588/$O$14,B588=2020,H588/$O$15,B588=2021,H588/$O$16,B588=2022,H588/$O$17)</f>
        <v>9.5528297495154528E-4</v>
      </c>
      <c r="J588" s="6" cm="1">
        <f t="array" ref="J588">_xlfn.IFS(B588=2015,I588*$Q$1,B588=2016,I588*$Q$2,B588=2017,I588*$Q$3,B588=2018,I588*$Q$4,B588=2019,I588*$Q$5,B588=2020,I588*$Q$6,B588=2021,I588*$Q$7,B588=2022,I588*$Q$8)</f>
        <v>23492.466988869521</v>
      </c>
      <c r="K588" s="7">
        <f t="shared" si="20"/>
        <v>64333.466988869521</v>
      </c>
      <c r="L588">
        <f>IFERROR(VLOOKUP(G588,'LEAID Match'!$A$2:$B$168,2,FALSE),"")</f>
        <v>4634440</v>
      </c>
    </row>
    <row r="589" spans="1:12" x14ac:dyDescent="0.2">
      <c r="A589">
        <f t="shared" si="19"/>
        <v>4634440</v>
      </c>
      <c r="B589">
        <v>2016</v>
      </c>
      <c r="C589" t="s">
        <v>208</v>
      </c>
      <c r="D589" t="s">
        <v>212</v>
      </c>
      <c r="E589" t="s">
        <v>211</v>
      </c>
      <c r="F589" s="3">
        <v>926121</v>
      </c>
      <c r="G589" s="3" t="s">
        <v>44</v>
      </c>
      <c r="H589" s="4">
        <v>38886</v>
      </c>
      <c r="I589" cm="1">
        <f t="array" ref="I589">_xlfn.IFS(B589=2015,H589/$O$10,B589=2016,H589/$O$11,B589=2017,H589/$O$12,B589=2018,H589/$O$13,B589=2019,H589/$O$14,B589=2020,H589/$O$15,B589=2021,H589/$O$16,B589=2022,H589/$O$17)</f>
        <v>8.8201461155666867E-4</v>
      </c>
      <c r="J589" s="6" cm="1">
        <f t="array" ref="J589">_xlfn.IFS(B589=2015,I589*$Q$1,B589=2016,I589*$Q$2,B589=2017,I589*$Q$3,B589=2018,I589*$Q$4,B589=2019,I589*$Q$5,B589=2020,I589*$Q$6,B589=2021,I589*$Q$7,B589=2022,I589*$Q$8)</f>
        <v>22408.291228359471</v>
      </c>
      <c r="K589" s="7">
        <f t="shared" si="20"/>
        <v>61294.291228359471</v>
      </c>
      <c r="L589">
        <f>IFERROR(VLOOKUP(G589,'LEAID Match'!$A$2:$B$168,2,FALSE),"")</f>
        <v>4634440</v>
      </c>
    </row>
    <row r="590" spans="1:12" x14ac:dyDescent="0.2">
      <c r="A590">
        <f t="shared" si="19"/>
        <v>4634440</v>
      </c>
      <c r="B590">
        <v>2017</v>
      </c>
      <c r="C590" t="s">
        <v>208</v>
      </c>
      <c r="D590" t="s">
        <v>212</v>
      </c>
      <c r="E590" t="s">
        <v>211</v>
      </c>
      <c r="F590" s="3">
        <v>926121</v>
      </c>
      <c r="G590" s="3" t="s">
        <v>44</v>
      </c>
      <c r="H590" s="4">
        <v>51191</v>
      </c>
      <c r="I590" cm="1">
        <f t="array" ref="I590">_xlfn.IFS(B590=2015,H590/$O$10,B590=2016,H590/$O$11,B590=2017,H590/$O$12,B590=2018,H590/$O$13,B590=2019,H590/$O$14,B590=2020,H590/$O$15,B590=2021,H590/$O$16,B590=2022,H590/$O$17)</f>
        <v>1.0569298495150419E-3</v>
      </c>
      <c r="J590" s="6" cm="1">
        <f t="array" ref="J590">_xlfn.IFS(B590=2015,I590*$Q$1,B590=2016,I590*$Q$2,B590=2017,I590*$Q$3,B590=2018,I590*$Q$4,B590=2019,I590*$Q$5,B590=2020,I590*$Q$6,B590=2021,I590*$Q$7,B590=2022,I590*$Q$8)</f>
        <v>27803.10409203282</v>
      </c>
      <c r="K590" s="7">
        <f t="shared" si="20"/>
        <v>78994.104092032823</v>
      </c>
      <c r="L590">
        <f>IFERROR(VLOOKUP(G590,'LEAID Match'!$A$2:$B$168,2,FALSE),"")</f>
        <v>4634440</v>
      </c>
    </row>
    <row r="591" spans="1:12" x14ac:dyDescent="0.2">
      <c r="A591">
        <f t="shared" si="19"/>
        <v>4634440</v>
      </c>
      <c r="B591">
        <v>2018</v>
      </c>
      <c r="C591" t="s">
        <v>208</v>
      </c>
      <c r="D591" t="s">
        <v>212</v>
      </c>
      <c r="E591" t="s">
        <v>211</v>
      </c>
      <c r="F591" s="3">
        <v>926121</v>
      </c>
      <c r="G591" s="3" t="s">
        <v>44</v>
      </c>
      <c r="H591" s="4">
        <v>60941</v>
      </c>
      <c r="I591" cm="1">
        <f t="array" ref="I591">_xlfn.IFS(B591=2015,H591/$O$10,B591=2016,H591/$O$11,B591=2017,H591/$O$12,B591=2018,H591/$O$13,B591=2019,H591/$O$14,B591=2020,H591/$O$15,B591=2021,H591/$O$16,B591=2022,H591/$O$17)</f>
        <v>1.2153222539402697E-3</v>
      </c>
      <c r="J591" s="6" cm="1">
        <f t="array" ref="J591">_xlfn.IFS(B591=2015,I591*$Q$1,B591=2016,I591*$Q$2,B591=2017,I591*$Q$3,B591=2018,I591*$Q$4,B591=2019,I591*$Q$5,B591=2020,I591*$Q$6,B591=2021,I591*$Q$7,B591=2022,I591*$Q$8)</f>
        <v>31909.268972905218</v>
      </c>
      <c r="K591" s="7">
        <f t="shared" si="20"/>
        <v>92850.268972905222</v>
      </c>
      <c r="L591">
        <f>IFERROR(VLOOKUP(G591,'LEAID Match'!$A$2:$B$168,2,FALSE),"")</f>
        <v>4634440</v>
      </c>
    </row>
    <row r="592" spans="1:12" x14ac:dyDescent="0.2">
      <c r="A592">
        <f t="shared" si="19"/>
        <v>4634440</v>
      </c>
      <c r="B592">
        <v>2019</v>
      </c>
      <c r="C592" t="s">
        <v>208</v>
      </c>
      <c r="D592" t="s">
        <v>212</v>
      </c>
      <c r="E592" t="s">
        <v>211</v>
      </c>
      <c r="F592" s="3">
        <v>926121</v>
      </c>
      <c r="G592" s="3" t="s">
        <v>44</v>
      </c>
      <c r="H592" s="4">
        <v>67566</v>
      </c>
      <c r="I592" cm="1">
        <f t="array" ref="I592">_xlfn.IFS(B592=2015,H592/$O$10,B592=2016,H592/$O$11,B592=2017,H592/$O$12,B592=2018,H592/$O$13,B592=2019,H592/$O$14,B592=2020,H592/$O$15,B592=2021,H592/$O$16,B592=2022,H592/$O$17)</f>
        <v>1.3232484745363386E-3</v>
      </c>
      <c r="J592" s="6" cm="1">
        <f t="array" ref="J592">_xlfn.IFS(B592=2015,I592*$Q$1,B592=2016,I592*$Q$2,B592=2017,I592*$Q$3,B592=2018,I592*$Q$4,B592=2019,I592*$Q$5,B592=2020,I592*$Q$6,B592=2021,I592*$Q$7,B592=2022,I592*$Q$8)</f>
        <v>34996.55448411846</v>
      </c>
      <c r="K592" s="7">
        <f t="shared" si="20"/>
        <v>102562.55448411846</v>
      </c>
      <c r="L592">
        <f>IFERROR(VLOOKUP(G592,'LEAID Match'!$A$2:$B$168,2,FALSE),"")</f>
        <v>4634440</v>
      </c>
    </row>
    <row r="593" spans="1:12" x14ac:dyDescent="0.2">
      <c r="A593">
        <f t="shared" si="19"/>
        <v>4634440</v>
      </c>
      <c r="B593">
        <v>2020</v>
      </c>
      <c r="C593" t="s">
        <v>208</v>
      </c>
      <c r="D593" t="s">
        <v>212</v>
      </c>
      <c r="E593" t="s">
        <v>211</v>
      </c>
      <c r="F593" s="1">
        <v>926121</v>
      </c>
      <c r="G593" s="3" t="s">
        <v>44</v>
      </c>
      <c r="H593" s="2">
        <v>65716</v>
      </c>
      <c r="I593" cm="1">
        <f t="array" ref="I593">_xlfn.IFS(B593=2015,H593/$O$10,B593=2016,H593/$O$11,B593=2017,H593/$O$12,B593=2018,H593/$O$13,B593=2019,H593/$O$14,B593=2020,H593/$O$15,B593=2021,H593/$O$16,B593=2022,H593/$O$17)</f>
        <v>1.2446465765097788E-3</v>
      </c>
      <c r="J593" s="6" cm="1">
        <f t="array" ref="J593">_xlfn.IFS(B593=2015,I593*$Q$1,B593=2016,I593*$Q$2,B593=2017,I593*$Q$3,B593=2018,I593*$Q$4,B593=2019,I593*$Q$5,B593=2020,I593*$Q$6,B593=2021,I593*$Q$7,B593=2022,I593*$Q$8)</f>
        <v>33842.227928660061</v>
      </c>
      <c r="K593" s="7">
        <f t="shared" si="20"/>
        <v>99558.227928660053</v>
      </c>
      <c r="L593">
        <f>IFERROR(VLOOKUP(G593,'LEAID Match'!$A$2:$B$168,2,FALSE),"")</f>
        <v>4634440</v>
      </c>
    </row>
    <row r="594" spans="1:12" x14ac:dyDescent="0.2">
      <c r="A594">
        <f t="shared" si="19"/>
        <v>4634440</v>
      </c>
      <c r="B594">
        <v>2021</v>
      </c>
      <c r="C594" t="s">
        <v>208</v>
      </c>
      <c r="D594" t="s">
        <v>212</v>
      </c>
      <c r="E594" t="s">
        <v>211</v>
      </c>
      <c r="F594" s="3">
        <v>926121</v>
      </c>
      <c r="G594" s="3" t="s">
        <v>44</v>
      </c>
      <c r="H594" s="4">
        <v>67291</v>
      </c>
      <c r="I594" cm="1">
        <f t="array" ref="I594">_xlfn.IFS(B594=2015,H594/$O$10,B594=2016,H594/$O$11,B594=2017,H594/$O$12,B594=2018,H594/$O$13,B594=2019,H594/$O$14,B594=2020,H594/$O$15,B594=2021,H594/$O$16,B594=2022,H594/$O$17)</f>
        <v>1.2153809858430177E-3</v>
      </c>
      <c r="J594" s="6" cm="1">
        <f t="array" ref="J594">_xlfn.IFS(B594=2015,I594*$Q$1,B594=2016,I594*$Q$2,B594=2017,I594*$Q$3,B594=2018,I594*$Q$4,B594=2019,I594*$Q$5,B594=2020,I594*$Q$6,B594=2021,I594*$Q$7,B594=2022,I594*$Q$8)</f>
        <v>33834.180605766211</v>
      </c>
      <c r="K594" s="7">
        <f t="shared" si="20"/>
        <v>101125.18060576622</v>
      </c>
      <c r="L594">
        <f>IFERROR(VLOOKUP(G594,'LEAID Match'!$A$2:$B$168,2,FALSE),"")</f>
        <v>4634440</v>
      </c>
    </row>
    <row r="595" spans="1:12" x14ac:dyDescent="0.2">
      <c r="A595">
        <f t="shared" si="19"/>
        <v>4634440</v>
      </c>
      <c r="B595">
        <v>2022</v>
      </c>
      <c r="C595" t="s">
        <v>208</v>
      </c>
      <c r="D595" t="s">
        <v>212</v>
      </c>
      <c r="E595" t="s">
        <v>211</v>
      </c>
      <c r="F595" s="3">
        <v>926121</v>
      </c>
      <c r="G595" s="3" t="s">
        <v>44</v>
      </c>
      <c r="H595" s="4">
        <v>70322</v>
      </c>
      <c r="I595" cm="1">
        <f t="array" ref="I595">_xlfn.IFS(B595=2015,H595/$O$10,B595=2016,H595/$O$11,B595=2017,H595/$O$12,B595=2018,H595/$O$13,B595=2019,H595/$O$14,B595=2020,H595/$O$15,B595=2021,H595/$O$16,B595=2022,H595/$O$17)</f>
        <v>1.2178773209843992E-3</v>
      </c>
      <c r="J595" s="6" cm="1">
        <f t="array" ref="J595">_xlfn.IFS(B595=2015,I595*$Q$1,B595=2016,I595*$Q$2,B595=2017,I595*$Q$3,B595=2018,I595*$Q$4,B595=2019,I595*$Q$5,B595=2020,I595*$Q$6,B595=2021,I595*$Q$7,B595=2022,I595*$Q$8)</f>
        <v>35876.164356183101</v>
      </c>
      <c r="K595" s="7">
        <f t="shared" si="20"/>
        <v>106198.1643561831</v>
      </c>
      <c r="L595">
        <f>IFERROR(VLOOKUP(G595,'LEAID Match'!$A$2:$B$168,2,FALSE),"")</f>
        <v>4634440</v>
      </c>
    </row>
    <row r="596" spans="1:12" x14ac:dyDescent="0.2">
      <c r="A596">
        <f t="shared" si="19"/>
        <v>4607800</v>
      </c>
      <c r="B596">
        <v>2015</v>
      </c>
      <c r="C596" t="s">
        <v>208</v>
      </c>
      <c r="D596" t="s">
        <v>212</v>
      </c>
      <c r="E596" t="s">
        <v>211</v>
      </c>
      <c r="F596" s="3">
        <v>926124</v>
      </c>
      <c r="G596" s="3" t="s">
        <v>14</v>
      </c>
      <c r="H596" s="4">
        <v>45538</v>
      </c>
      <c r="I596" cm="1">
        <f t="array" ref="I596">_xlfn.IFS(B596=2015,H596/$O$10,B596=2016,H596/$O$11,B596=2017,H596/$O$12,B596=2018,H596/$O$13,B596=2019,H596/$O$14,B596=2020,H596/$O$15,B596=2021,H596/$O$16,B596=2022,H596/$O$17)</f>
        <v>1.0651471833046074E-3</v>
      </c>
      <c r="J596" s="6" cm="1">
        <f t="array" ref="J596">_xlfn.IFS(B596=2015,I596*$Q$1,B596=2016,I596*$Q$2,B596=2017,I596*$Q$3,B596=2018,I596*$Q$4,B596=2019,I596*$Q$5,B596=2020,I596*$Q$6,B596=2021,I596*$Q$7,B596=2022,I596*$Q$8)</f>
        <v>26194.264629640318</v>
      </c>
      <c r="K596" s="7">
        <f t="shared" si="20"/>
        <v>71732.264629640325</v>
      </c>
      <c r="L596">
        <f>IFERROR(VLOOKUP(G596,'LEAID Match'!$A$2:$B$168,2,FALSE),"")</f>
        <v>4607800</v>
      </c>
    </row>
    <row r="597" spans="1:12" x14ac:dyDescent="0.2">
      <c r="A597">
        <f t="shared" si="19"/>
        <v>4607800</v>
      </c>
      <c r="B597">
        <v>2016</v>
      </c>
      <c r="C597" t="s">
        <v>208</v>
      </c>
      <c r="D597" t="s">
        <v>212</v>
      </c>
      <c r="E597" t="s">
        <v>211</v>
      </c>
      <c r="F597" s="3">
        <v>926124</v>
      </c>
      <c r="G597" s="3" t="s">
        <v>14</v>
      </c>
      <c r="H597" s="4">
        <v>47985</v>
      </c>
      <c r="I597" cm="1">
        <f t="array" ref="I597">_xlfn.IFS(B597=2015,H597/$O$10,B597=2016,H597/$O$11,B597=2017,H597/$O$12,B597=2018,H597/$O$13,B597=2019,H597/$O$14,B597=2020,H597/$O$15,B597=2021,H597/$O$16,B597=2022,H597/$O$17)</f>
        <v>1.0883986816732692E-3</v>
      </c>
      <c r="J597" s="6" cm="1">
        <f t="array" ref="J597">_xlfn.IFS(B597=2015,I597*$Q$1,B597=2016,I597*$Q$2,B597=2017,I597*$Q$3,B597=2018,I597*$Q$4,B597=2019,I597*$Q$5,B597=2020,I597*$Q$6,B597=2021,I597*$Q$7,B597=2022,I597*$Q$8)</f>
        <v>27651.644668848152</v>
      </c>
      <c r="K597" s="7">
        <f t="shared" si="20"/>
        <v>75636.644668848152</v>
      </c>
      <c r="L597">
        <f>IFERROR(VLOOKUP(G597,'LEAID Match'!$A$2:$B$168,2,FALSE),"")</f>
        <v>4607800</v>
      </c>
    </row>
    <row r="598" spans="1:12" x14ac:dyDescent="0.2">
      <c r="A598">
        <f t="shared" si="19"/>
        <v>4607800</v>
      </c>
      <c r="B598">
        <v>2017</v>
      </c>
      <c r="C598" t="s">
        <v>208</v>
      </c>
      <c r="D598" t="s">
        <v>212</v>
      </c>
      <c r="E598" t="s">
        <v>211</v>
      </c>
      <c r="F598" s="3">
        <v>926124</v>
      </c>
      <c r="G598" s="3" t="s">
        <v>14</v>
      </c>
      <c r="H598" s="4">
        <v>51418</v>
      </c>
      <c r="I598" cm="1">
        <f t="array" ref="I598">_xlfn.IFS(B598=2015,H598/$O$10,B598=2016,H598/$O$11,B598=2017,H598/$O$12,B598=2018,H598/$O$13,B598=2019,H598/$O$14,B598=2020,H598/$O$15,B598=2021,H598/$O$16,B598=2022,H598/$O$17)</f>
        <v>1.0616166709453698E-3</v>
      </c>
      <c r="J598" s="6" cm="1">
        <f t="array" ref="J598">_xlfn.IFS(B598=2015,I598*$Q$1,B598=2016,I598*$Q$2,B598=2017,I598*$Q$3,B598=2018,I598*$Q$4,B598=2019,I598*$Q$5,B598=2020,I598*$Q$6,B598=2021,I598*$Q$7,B598=2022,I598*$Q$8)</f>
        <v>27926.393432520239</v>
      </c>
      <c r="K598" s="7">
        <f t="shared" si="20"/>
        <v>79344.393432520243</v>
      </c>
      <c r="L598">
        <f>IFERROR(VLOOKUP(G598,'LEAID Match'!$A$2:$B$168,2,FALSE),"")</f>
        <v>4607800</v>
      </c>
    </row>
    <row r="599" spans="1:12" x14ac:dyDescent="0.2">
      <c r="A599">
        <f t="shared" si="19"/>
        <v>4607800</v>
      </c>
      <c r="B599">
        <v>2018</v>
      </c>
      <c r="C599" t="s">
        <v>208</v>
      </c>
      <c r="D599" t="s">
        <v>212</v>
      </c>
      <c r="E599" t="s">
        <v>211</v>
      </c>
      <c r="F599" s="3">
        <v>926124</v>
      </c>
      <c r="G599" s="3" t="s">
        <v>14</v>
      </c>
      <c r="H599" s="4">
        <v>54313</v>
      </c>
      <c r="I599" cm="1">
        <f t="array" ref="I599">_xlfn.IFS(B599=2015,H599/$O$10,B599=2016,H599/$O$11,B599=2017,H599/$O$12,B599=2018,H599/$O$13,B599=2019,H599/$O$14,B599=2020,H599/$O$15,B599=2021,H599/$O$16,B599=2022,H599/$O$17)</f>
        <v>1.0831426720640926E-3</v>
      </c>
      <c r="J599" s="6" cm="1">
        <f t="array" ref="J599">_xlfn.IFS(B599=2015,I599*$Q$1,B599=2016,I599*$Q$2,B599=2017,I599*$Q$3,B599=2018,I599*$Q$4,B599=2019,I599*$Q$5,B599=2020,I599*$Q$6,B599=2021,I599*$Q$7,B599=2022,I599*$Q$8)</f>
        <v>28438.78711746445</v>
      </c>
      <c r="K599" s="7">
        <f t="shared" si="20"/>
        <v>82751.787117464453</v>
      </c>
      <c r="L599">
        <f>IFERROR(VLOOKUP(G599,'LEAID Match'!$A$2:$B$168,2,FALSE),"")</f>
        <v>4607800</v>
      </c>
    </row>
    <row r="600" spans="1:12" x14ac:dyDescent="0.2">
      <c r="A600">
        <f t="shared" si="19"/>
        <v>4607800</v>
      </c>
      <c r="B600">
        <v>2019</v>
      </c>
      <c r="C600" t="s">
        <v>208</v>
      </c>
      <c r="D600" t="s">
        <v>212</v>
      </c>
      <c r="E600" t="s">
        <v>211</v>
      </c>
      <c r="F600" s="3">
        <v>926124</v>
      </c>
      <c r="G600" s="3" t="s">
        <v>14</v>
      </c>
      <c r="H600" s="4">
        <v>56160</v>
      </c>
      <c r="I600" cm="1">
        <f t="array" ref="I600">_xlfn.IFS(B600=2015,H600/$O$10,B600=2016,H600/$O$11,B600=2017,H600/$O$12,B600=2018,H600/$O$13,B600=2019,H600/$O$14,B600=2020,H600/$O$15,B600=2021,H600/$O$16,B600=2022,H600/$O$17)</f>
        <v>1.0998673050048957E-3</v>
      </c>
      <c r="J600" s="6" cm="1">
        <f t="array" ref="J600">_xlfn.IFS(B600=2015,I600*$Q$1,B600=2016,I600*$Q$2,B600=2017,I600*$Q$3,B600=2018,I600*$Q$4,B600=2019,I600*$Q$5,B600=2020,I600*$Q$6,B600=2021,I600*$Q$7,B600=2022,I600*$Q$8)</f>
        <v>29088.691055088253</v>
      </c>
      <c r="K600" s="7">
        <f t="shared" si="20"/>
        <v>85248.691055088246</v>
      </c>
      <c r="L600">
        <f>IFERROR(VLOOKUP(G600,'LEAID Match'!$A$2:$B$168,2,FALSE),"")</f>
        <v>4607800</v>
      </c>
    </row>
    <row r="601" spans="1:12" x14ac:dyDescent="0.2">
      <c r="A601">
        <f t="shared" si="19"/>
        <v>4607800</v>
      </c>
      <c r="B601">
        <v>2020</v>
      </c>
      <c r="C601" t="s">
        <v>208</v>
      </c>
      <c r="D601" t="s">
        <v>212</v>
      </c>
      <c r="E601" t="s">
        <v>211</v>
      </c>
      <c r="F601" s="1">
        <v>926124</v>
      </c>
      <c r="G601" s="3" t="s">
        <v>14</v>
      </c>
      <c r="H601" s="2">
        <v>56664</v>
      </c>
      <c r="I601" cm="1">
        <f t="array" ref="I601">_xlfn.IFS(B601=2015,H601/$O$10,B601=2016,H601/$O$11,B601=2017,H601/$O$12,B601=2018,H601/$O$13,B601=2019,H601/$O$14,B601=2020,H601/$O$15,B601=2021,H601/$O$16,B601=2022,H601/$O$17)</f>
        <v>1.0732036887721424E-3</v>
      </c>
      <c r="J601" s="6" cm="1">
        <f t="array" ref="J601">_xlfn.IFS(B601=2015,I601*$Q$1,B601=2016,I601*$Q$2,B601=2017,I601*$Q$3,B601=2018,I601*$Q$4,B601=2019,I601*$Q$5,B601=2020,I601*$Q$6,B601=2021,I601*$Q$7,B601=2022,I601*$Q$8)</f>
        <v>29180.656207766657</v>
      </c>
      <c r="K601" s="7">
        <f t="shared" si="20"/>
        <v>85844.65620776666</v>
      </c>
      <c r="L601">
        <f>IFERROR(VLOOKUP(G601,'LEAID Match'!$A$2:$B$168,2,FALSE),"")</f>
        <v>4607800</v>
      </c>
    </row>
    <row r="602" spans="1:12" x14ac:dyDescent="0.2">
      <c r="A602">
        <f t="shared" si="19"/>
        <v>4607800</v>
      </c>
      <c r="B602">
        <v>2021</v>
      </c>
      <c r="C602" t="s">
        <v>208</v>
      </c>
      <c r="D602" t="s">
        <v>212</v>
      </c>
      <c r="E602" t="s">
        <v>211</v>
      </c>
      <c r="F602" s="3">
        <v>926124</v>
      </c>
      <c r="G602" s="3" t="s">
        <v>14</v>
      </c>
      <c r="H602" s="4">
        <v>59820</v>
      </c>
      <c r="I602" cm="1">
        <f t="array" ref="I602">_xlfn.IFS(B602=2015,H602/$O$10,B602=2016,H602/$O$11,B602=2017,H602/$O$12,B602=2018,H602/$O$13,B602=2019,H602/$O$14,B602=2020,H602/$O$15,B602=2021,H602/$O$16,B602=2022,H602/$O$17)</f>
        <v>1.0804430098100685E-3</v>
      </c>
      <c r="J602" s="6" cm="1">
        <f t="array" ref="J602">_xlfn.IFS(B602=2015,I602*$Q$1,B602=2016,I602*$Q$2,B602=2017,I602*$Q$3,B602=2018,I602*$Q$4,B602=2019,I602*$Q$5,B602=2020,I602*$Q$6,B602=2021,I602*$Q$7,B602=2022,I602*$Q$8)</f>
        <v>30077.732294614954</v>
      </c>
      <c r="K602" s="7">
        <f t="shared" si="20"/>
        <v>89897.732294614951</v>
      </c>
      <c r="L602">
        <f>IFERROR(VLOOKUP(G602,'LEAID Match'!$A$2:$B$168,2,FALSE),"")</f>
        <v>4607800</v>
      </c>
    </row>
    <row r="603" spans="1:12" x14ac:dyDescent="0.2">
      <c r="A603">
        <f t="shared" si="19"/>
        <v>4607800</v>
      </c>
      <c r="B603">
        <v>2022</v>
      </c>
      <c r="C603" t="s">
        <v>208</v>
      </c>
      <c r="D603" t="s">
        <v>212</v>
      </c>
      <c r="E603" t="s">
        <v>211</v>
      </c>
      <c r="F603" s="3">
        <v>926124</v>
      </c>
      <c r="G603" s="3" t="s">
        <v>14</v>
      </c>
      <c r="H603" s="4">
        <v>55792</v>
      </c>
      <c r="I603" cm="1">
        <f t="array" ref="I603">_xlfn.IFS(B603=2015,H603/$O$10,B603=2016,H603/$O$11,B603=2017,H603/$O$12,B603=2018,H603/$O$13,B603=2019,H603/$O$14,B603=2020,H603/$O$15,B603=2021,H603/$O$16,B603=2022,H603/$O$17)</f>
        <v>9.6623832502433949E-4</v>
      </c>
      <c r="J603" s="6" cm="1">
        <f t="array" ref="J603">_xlfn.IFS(B603=2015,I603*$Q$1,B603=2016,I603*$Q$2,B603=2017,I603*$Q$3,B603=2018,I603*$Q$4,B603=2019,I603*$Q$5,B603=2020,I603*$Q$6,B603=2021,I603*$Q$7,B603=2022,I603*$Q$8)</f>
        <v>28463.396401697442</v>
      </c>
      <c r="K603" s="7">
        <f t="shared" si="20"/>
        <v>84255.39640169745</v>
      </c>
      <c r="L603">
        <f>IFERROR(VLOOKUP(G603,'LEAID Match'!$A$2:$B$168,2,FALSE),"")</f>
        <v>4607800</v>
      </c>
    </row>
    <row r="604" spans="1:12" x14ac:dyDescent="0.2">
      <c r="A604">
        <f t="shared" si="19"/>
        <v>4652770</v>
      </c>
      <c r="B604">
        <v>2015</v>
      </c>
      <c r="C604" t="s">
        <v>208</v>
      </c>
      <c r="D604" t="s">
        <v>212</v>
      </c>
      <c r="E604" t="s">
        <v>211</v>
      </c>
      <c r="F604" s="3">
        <v>927100</v>
      </c>
      <c r="G604" s="3" t="s">
        <v>112</v>
      </c>
      <c r="H604" s="4">
        <v>73294</v>
      </c>
      <c r="I604" cm="1">
        <f t="array" ref="I604">_xlfn.IFS(B604=2015,H604/$O$10,B604=2016,H604/$O$11,B604=2017,H604/$O$12,B604=2018,H604/$O$13,B604=2019,H604/$O$14,B604=2020,H604/$O$15,B604=2021,H604/$O$16,B604=2022,H604/$O$17)</f>
        <v>1.7143681684116099E-3</v>
      </c>
      <c r="J604" s="6" cm="1">
        <f t="array" ref="J604">_xlfn.IFS(B604=2015,I604*$Q$1,B604=2016,I604*$Q$2,B604=2017,I604*$Q$3,B604=2018,I604*$Q$4,B604=2019,I604*$Q$5,B604=2020,I604*$Q$6,B604=2021,I604*$Q$7,B604=2022,I604*$Q$8)</f>
        <v>42160.007724644413</v>
      </c>
      <c r="K604" s="7">
        <f t="shared" si="20"/>
        <v>115454.00772464441</v>
      </c>
      <c r="L604">
        <f>IFERROR(VLOOKUP(G604,'LEAID Match'!$A$2:$B$168,2,FALSE),"")</f>
        <v>4652770</v>
      </c>
    </row>
    <row r="605" spans="1:12" x14ac:dyDescent="0.2">
      <c r="A605">
        <f t="shared" si="19"/>
        <v>4652770</v>
      </c>
      <c r="B605">
        <v>2016</v>
      </c>
      <c r="C605" t="s">
        <v>208</v>
      </c>
      <c r="D605" t="s">
        <v>212</v>
      </c>
      <c r="E605" t="s">
        <v>211</v>
      </c>
      <c r="F605" s="3">
        <v>927100</v>
      </c>
      <c r="G605" s="3" t="s">
        <v>112</v>
      </c>
      <c r="H605" s="4">
        <v>82406</v>
      </c>
      <c r="I605" cm="1">
        <f t="array" ref="I605">_xlfn.IFS(B605=2015,H605/$O$10,B605=2016,H605/$O$11,B605=2017,H605/$O$12,B605=2018,H605/$O$13,B605=2019,H605/$O$14,B605=2020,H605/$O$15,B605=2021,H605/$O$16,B605=2022,H605/$O$17)</f>
        <v>1.869137892298998E-3</v>
      </c>
      <c r="J605" s="6" cm="1">
        <f t="array" ref="J605">_xlfn.IFS(B605=2015,I605*$Q$1,B605=2016,I605*$Q$2,B605=2017,I605*$Q$3,B605=2018,I605*$Q$4,B605=2019,I605*$Q$5,B605=2020,I605*$Q$6,B605=2021,I605*$Q$7,B605=2022,I605*$Q$8)</f>
        <v>47486.952809859344</v>
      </c>
      <c r="K605" s="7">
        <f t="shared" si="20"/>
        <v>129892.95280985934</v>
      </c>
      <c r="L605">
        <f>IFERROR(VLOOKUP(G605,'LEAID Match'!$A$2:$B$168,2,FALSE),"")</f>
        <v>4652770</v>
      </c>
    </row>
    <row r="606" spans="1:12" x14ac:dyDescent="0.2">
      <c r="A606">
        <f t="shared" si="19"/>
        <v>4652770</v>
      </c>
      <c r="B606">
        <v>2017</v>
      </c>
      <c r="C606" t="s">
        <v>208</v>
      </c>
      <c r="D606" t="s">
        <v>212</v>
      </c>
      <c r="E606" t="s">
        <v>211</v>
      </c>
      <c r="F606" s="3">
        <v>927100</v>
      </c>
      <c r="G606" s="3" t="s">
        <v>112</v>
      </c>
      <c r="H606" s="4">
        <v>57570</v>
      </c>
      <c r="I606" cm="1">
        <f t="array" ref="I606">_xlfn.IFS(B606=2015,H606/$O$10,B606=2016,H606/$O$11,B606=2017,H606/$O$12,B606=2018,H606/$O$13,B606=2019,H606/$O$14,B606=2020,H606/$O$15,B606=2021,H606/$O$16,B606=2022,H606/$O$17)</f>
        <v>1.1886357257443879E-3</v>
      </c>
      <c r="J606" s="6" cm="1">
        <f t="array" ref="J606">_xlfn.IFS(B606=2015,I606*$Q$1,B606=2016,I606*$Q$2,B606=2017,I606*$Q$3,B606=2018,I606*$Q$4,B606=2019,I606*$Q$5,B606=2020,I606*$Q$6,B606=2021,I606*$Q$7,B606=2022,I606*$Q$8)</f>
        <v>31267.697497183672</v>
      </c>
      <c r="K606" s="7">
        <f t="shared" si="20"/>
        <v>88837.697497183675</v>
      </c>
      <c r="L606">
        <f>IFERROR(VLOOKUP(G606,'LEAID Match'!$A$2:$B$168,2,FALSE),"")</f>
        <v>4652770</v>
      </c>
    </row>
    <row r="607" spans="1:12" x14ac:dyDescent="0.2">
      <c r="A607">
        <f t="shared" si="19"/>
        <v>4652770</v>
      </c>
      <c r="B607">
        <v>2018</v>
      </c>
      <c r="C607" t="s">
        <v>208</v>
      </c>
      <c r="D607" t="s">
        <v>212</v>
      </c>
      <c r="E607" t="s">
        <v>211</v>
      </c>
      <c r="F607" s="3">
        <v>927100</v>
      </c>
      <c r="G607" s="3" t="s">
        <v>112</v>
      </c>
      <c r="H607" s="4">
        <v>66491</v>
      </c>
      <c r="I607" cm="1">
        <f t="array" ref="I607">_xlfn.IFS(B607=2015,H607/$O$10,B607=2016,H607/$O$11,B607=2017,H607/$O$12,B607=2018,H607/$O$13,B607=2019,H607/$O$14,B607=2020,H607/$O$15,B607=2021,H607/$O$16,B607=2022,H607/$O$17)</f>
        <v>1.3260037082874006E-3</v>
      </c>
      <c r="J607" s="6" cm="1">
        <f t="array" ref="J607">_xlfn.IFS(B607=2015,I607*$Q$1,B607=2016,I607*$Q$2,B607=2017,I607*$Q$3,B607=2018,I607*$Q$4,B607=2019,I607*$Q$5,B607=2020,I607*$Q$6,B607=2021,I607*$Q$7,B607=2022,I607*$Q$8)</f>
        <v>34815.30009808571</v>
      </c>
      <c r="K607" s="7">
        <f t="shared" si="20"/>
        <v>101306.30009808572</v>
      </c>
      <c r="L607">
        <f>IFERROR(VLOOKUP(G607,'LEAID Match'!$A$2:$B$168,2,FALSE),"")</f>
        <v>4652770</v>
      </c>
    </row>
    <row r="608" spans="1:12" x14ac:dyDescent="0.2">
      <c r="A608">
        <f t="shared" si="19"/>
        <v>4652770</v>
      </c>
      <c r="B608">
        <v>2019</v>
      </c>
      <c r="C608" t="s">
        <v>208</v>
      </c>
      <c r="D608" t="s">
        <v>212</v>
      </c>
      <c r="E608" t="s">
        <v>211</v>
      </c>
      <c r="F608" s="3">
        <v>927100</v>
      </c>
      <c r="G608" s="3" t="s">
        <v>112</v>
      </c>
      <c r="H608" s="4">
        <v>67083</v>
      </c>
      <c r="I608" cm="1">
        <f t="array" ref="I608">_xlfn.IFS(B608=2015,H608/$O$10,B608=2016,H608/$O$11,B608=2017,H608/$O$12,B608=2018,H608/$O$13,B608=2019,H608/$O$14,B608=2020,H608/$O$15,B608=2021,H608/$O$16,B608=2022,H608/$O$17)</f>
        <v>1.3137891456845338E-3</v>
      </c>
      <c r="J608" s="6" cm="1">
        <f t="array" ref="J608">_xlfn.IFS(B608=2015,I608*$Q$1,B608=2016,I608*$Q$2,B608=2017,I608*$Q$3,B608=2018,I608*$Q$4,B608=2019,I608*$Q$5,B608=2020,I608*$Q$6,B608=2021,I608*$Q$7,B608=2022,I608*$Q$8)</f>
        <v>34746.379309980148</v>
      </c>
      <c r="K608" s="7">
        <f t="shared" si="20"/>
        <v>101829.37930998014</v>
      </c>
      <c r="L608">
        <f>IFERROR(VLOOKUP(G608,'LEAID Match'!$A$2:$B$168,2,FALSE),"")</f>
        <v>4652770</v>
      </c>
    </row>
    <row r="609" spans="1:12" x14ac:dyDescent="0.2">
      <c r="A609">
        <f t="shared" si="19"/>
        <v>4652770</v>
      </c>
      <c r="B609">
        <v>2020</v>
      </c>
      <c r="C609" t="s">
        <v>208</v>
      </c>
      <c r="D609" t="s">
        <v>212</v>
      </c>
      <c r="E609" t="s">
        <v>211</v>
      </c>
      <c r="F609" s="1">
        <v>927100</v>
      </c>
      <c r="G609" s="3" t="s">
        <v>112</v>
      </c>
      <c r="H609" s="2">
        <v>70051</v>
      </c>
      <c r="I609" cm="1">
        <f t="array" ref="I609">_xlfn.IFS(B609=2015,H609/$O$10,B609=2016,H609/$O$11,B609=2017,H609/$O$12,B609=2018,H609/$O$13,B609=2019,H609/$O$14,B609=2020,H609/$O$15,B609=2021,H609/$O$16,B609=2022,H609/$O$17)</f>
        <v>1.3267505224159493E-3</v>
      </c>
      <c r="J609" s="6" cm="1">
        <f t="array" ref="J609">_xlfn.IFS(B609=2015,I609*$Q$1,B609=2016,I609*$Q$2,B609=2017,I609*$Q$3,B609=2018,I609*$Q$4,B609=2019,I609*$Q$5,B609=2020,I609*$Q$6,B609=2021,I609*$Q$7,B609=2022,I609*$Q$8)</f>
        <v>36074.653183860341</v>
      </c>
      <c r="K609" s="7">
        <f t="shared" si="20"/>
        <v>106125.65318386034</v>
      </c>
      <c r="L609">
        <f>IFERROR(VLOOKUP(G609,'LEAID Match'!$A$2:$B$168,2,FALSE),"")</f>
        <v>4652770</v>
      </c>
    </row>
    <row r="610" spans="1:12" x14ac:dyDescent="0.2">
      <c r="A610">
        <f t="shared" si="19"/>
        <v>4652770</v>
      </c>
      <c r="B610">
        <v>2021</v>
      </c>
      <c r="C610" t="s">
        <v>208</v>
      </c>
      <c r="D610" t="s">
        <v>212</v>
      </c>
      <c r="E610" t="s">
        <v>211</v>
      </c>
      <c r="F610" s="3">
        <v>927100</v>
      </c>
      <c r="G610" s="3" t="s">
        <v>112</v>
      </c>
      <c r="H610" s="4">
        <v>60334</v>
      </c>
      <c r="I610" cm="1">
        <f t="array" ref="I610">_xlfn.IFS(B610=2015,H610/$O$10,B610=2016,H610/$O$11,B610=2017,H610/$O$12,B610=2018,H610/$O$13,B610=2019,H610/$O$14,B610=2020,H610/$O$15,B610=2021,H610/$O$16,B610=2022,H610/$O$17)</f>
        <v>1.089726655865608E-3</v>
      </c>
      <c r="J610" s="6" cm="1">
        <f t="array" ref="J610">_xlfn.IFS(B610=2015,I610*$Q$1,B610=2016,I610*$Q$2,B610=2017,I610*$Q$3,B610=2018,I610*$Q$4,B610=2019,I610*$Q$5,B610=2020,I610*$Q$6,B610=2021,I610*$Q$7,B610=2022,I610*$Q$8)</f>
        <v>30336.173524963197</v>
      </c>
      <c r="K610" s="7">
        <f t="shared" si="20"/>
        <v>90670.173524963204</v>
      </c>
      <c r="L610">
        <f>IFERROR(VLOOKUP(G610,'LEAID Match'!$A$2:$B$168,2,FALSE),"")</f>
        <v>4652770</v>
      </c>
    </row>
    <row r="611" spans="1:12" x14ac:dyDescent="0.2">
      <c r="A611">
        <f t="shared" si="19"/>
        <v>4652770</v>
      </c>
      <c r="B611">
        <v>2022</v>
      </c>
      <c r="C611" t="s">
        <v>208</v>
      </c>
      <c r="D611" t="s">
        <v>212</v>
      </c>
      <c r="E611" t="s">
        <v>211</v>
      </c>
      <c r="F611" s="3">
        <v>927100</v>
      </c>
      <c r="G611" s="3" t="s">
        <v>112</v>
      </c>
      <c r="H611" s="4">
        <v>73902</v>
      </c>
      <c r="I611" cm="1">
        <f t="array" ref="I611">_xlfn.IFS(B611=2015,H611/$O$10,B611=2016,H611/$O$11,B611=2017,H611/$O$12,B611=2018,H611/$O$13,B611=2019,H611/$O$14,B611=2020,H611/$O$15,B611=2021,H611/$O$16,B611=2022,H611/$O$17)</f>
        <v>1.2798778444212207E-3</v>
      </c>
      <c r="J611" s="6" cm="1">
        <f t="array" ref="J611">_xlfn.IFS(B611=2015,I611*$Q$1,B611=2016,I611*$Q$2,B611=2017,I611*$Q$3,B611=2018,I611*$Q$4,B611=2019,I611*$Q$5,B611=2020,I611*$Q$6,B611=2021,I611*$Q$7,B611=2022,I611*$Q$8)</f>
        <v>37702.572427556719</v>
      </c>
      <c r="K611" s="7">
        <f t="shared" si="20"/>
        <v>111604.57242755672</v>
      </c>
      <c r="L611">
        <f>IFERROR(VLOOKUP(G611,'LEAID Match'!$A$2:$B$168,2,FALSE),"")</f>
        <v>4652770</v>
      </c>
    </row>
    <row r="612" spans="1:12" x14ac:dyDescent="0.2">
      <c r="A612">
        <f t="shared" si="19"/>
        <v>4634480</v>
      </c>
      <c r="B612">
        <v>2015</v>
      </c>
      <c r="C612" t="s">
        <v>208</v>
      </c>
      <c r="D612" t="s">
        <v>212</v>
      </c>
      <c r="E612" t="s">
        <v>211</v>
      </c>
      <c r="F612" s="3">
        <v>927101</v>
      </c>
      <c r="G612" s="3" t="s">
        <v>72</v>
      </c>
      <c r="H612" s="4">
        <v>228474</v>
      </c>
      <c r="I612" cm="1">
        <f t="array" ref="I612">_xlfn.IFS(B612=2015,H612/$O$10,B612=2016,H612/$O$11,B612=2017,H612/$O$12,B612=2018,H612/$O$13,B612=2019,H612/$O$14,B612=2020,H612/$O$15,B612=2021,H612/$O$16,B612=2022,H612/$O$17)</f>
        <v>5.3440739065909095E-3</v>
      </c>
      <c r="J612" s="6" cm="1">
        <f t="array" ref="J612">_xlfn.IFS(B612=2015,I612*$Q$1,B612=2016,I612*$Q$2,B612=2017,I612*$Q$3,B612=2018,I612*$Q$4,B612=2019,I612*$Q$5,B612=2020,I612*$Q$6,B612=2021,I612*$Q$7,B612=2022,I612*$Q$8)</f>
        <v>131422.29384233916</v>
      </c>
      <c r="K612" s="7">
        <f t="shared" si="20"/>
        <v>359896.29384233919</v>
      </c>
      <c r="L612">
        <f>IFERROR(VLOOKUP(G612,'LEAID Match'!$A$2:$B$168,2,FALSE),"")</f>
        <v>4634480</v>
      </c>
    </row>
    <row r="613" spans="1:12" x14ac:dyDescent="0.2">
      <c r="A613">
        <f t="shared" si="19"/>
        <v>4634480</v>
      </c>
      <c r="B613">
        <v>2016</v>
      </c>
      <c r="C613" t="s">
        <v>208</v>
      </c>
      <c r="D613" t="s">
        <v>212</v>
      </c>
      <c r="E613" t="s">
        <v>211</v>
      </c>
      <c r="F613" s="3">
        <v>927101</v>
      </c>
      <c r="G613" s="3" t="s">
        <v>72</v>
      </c>
      <c r="H613" s="4">
        <v>241272</v>
      </c>
      <c r="I613" cm="1">
        <f t="array" ref="I613">_xlfn.IFS(B613=2015,H613/$O$10,B613=2016,H613/$O$11,B613=2017,H613/$O$12,B613=2018,H613/$O$13,B613=2019,H613/$O$14,B613=2020,H613/$O$15,B613=2021,H613/$O$16,B613=2022,H613/$O$17)</f>
        <v>5.4725461441007192E-3</v>
      </c>
      <c r="J613" s="6" cm="1">
        <f t="array" ref="J613">_xlfn.IFS(B613=2015,I613*$Q$1,B613=2016,I613*$Q$2,B613=2017,I613*$Q$3,B613=2018,I613*$Q$4,B613=2019,I613*$Q$5,B613=2020,I613*$Q$6,B613=2021,I613*$Q$7,B613=2022,I613*$Q$8)</f>
        <v>139034.44019052477</v>
      </c>
      <c r="K613" s="7">
        <f t="shared" si="20"/>
        <v>380306.44019052479</v>
      </c>
      <c r="L613">
        <f>IFERROR(VLOOKUP(G613,'LEAID Match'!$A$2:$B$168,2,FALSE),"")</f>
        <v>4634480</v>
      </c>
    </row>
    <row r="614" spans="1:12" x14ac:dyDescent="0.2">
      <c r="A614">
        <f t="shared" si="19"/>
        <v>4634480</v>
      </c>
      <c r="B614">
        <v>2017</v>
      </c>
      <c r="C614" t="s">
        <v>208</v>
      </c>
      <c r="D614" t="s">
        <v>212</v>
      </c>
      <c r="E614" t="s">
        <v>211</v>
      </c>
      <c r="F614" s="3">
        <v>927101</v>
      </c>
      <c r="G614" s="3" t="s">
        <v>72</v>
      </c>
      <c r="H614" s="4">
        <v>263748</v>
      </c>
      <c r="I614" cm="1">
        <f t="array" ref="I614">_xlfn.IFS(B614=2015,H614/$O$10,B614=2016,H614/$O$11,B614=2017,H614/$O$12,B614=2018,H614/$O$13,B614=2019,H614/$O$14,B614=2020,H614/$O$15,B614=2021,H614/$O$16,B614=2022,H614/$O$17)</f>
        <v>5.4455496854895055E-3</v>
      </c>
      <c r="J614" s="6" cm="1">
        <f t="array" ref="J614">_xlfn.IFS(B614=2015,I614*$Q$1,B614=2016,I614*$Q$2,B614=2017,I614*$Q$3,B614=2018,I614*$Q$4,B614=2019,I614*$Q$5,B614=2020,I614*$Q$6,B614=2021,I614*$Q$7,B614=2022,I614*$Q$8)</f>
        <v>143248.09240033349</v>
      </c>
      <c r="K614" s="7">
        <f t="shared" si="20"/>
        <v>406996.09240033349</v>
      </c>
      <c r="L614">
        <f>IFERROR(VLOOKUP(G614,'LEAID Match'!$A$2:$B$168,2,FALSE),"")</f>
        <v>4634480</v>
      </c>
    </row>
    <row r="615" spans="1:12" x14ac:dyDescent="0.2">
      <c r="A615">
        <f t="shared" si="19"/>
        <v>4634480</v>
      </c>
      <c r="B615">
        <v>2018</v>
      </c>
      <c r="C615" t="s">
        <v>208</v>
      </c>
      <c r="D615" t="s">
        <v>212</v>
      </c>
      <c r="E615" t="s">
        <v>211</v>
      </c>
      <c r="F615" s="3">
        <v>927101</v>
      </c>
      <c r="G615" s="3" t="s">
        <v>72</v>
      </c>
      <c r="H615" s="4">
        <v>244535</v>
      </c>
      <c r="I615" cm="1">
        <f t="array" ref="I615">_xlfn.IFS(B615=2015,H615/$O$10,B615=2016,H615/$O$11,B615=2017,H615/$O$12,B615=2018,H615/$O$13,B615=2019,H615/$O$14,B615=2020,H615/$O$15,B615=2021,H615/$O$16,B615=2022,H615/$O$17)</f>
        <v>4.8766647637433561E-3</v>
      </c>
      <c r="J615" s="6" cm="1">
        <f t="array" ref="J615">_xlfn.IFS(B615=2015,I615*$Q$1,B615=2016,I615*$Q$2,B615=2017,I615*$Q$3,B615=2018,I615*$Q$4,B615=2019,I615*$Q$5,B615=2020,I615*$Q$6,B615=2021,I615*$Q$7,B615=2022,I615*$Q$8)</f>
        <v>128040.77859387569</v>
      </c>
      <c r="K615" s="7">
        <f t="shared" si="20"/>
        <v>372575.7785938757</v>
      </c>
      <c r="L615">
        <f>IFERROR(VLOOKUP(G615,'LEAID Match'!$A$2:$B$168,2,FALSE),"")</f>
        <v>4634480</v>
      </c>
    </row>
    <row r="616" spans="1:12" x14ac:dyDescent="0.2">
      <c r="A616">
        <f t="shared" si="19"/>
        <v>4634480</v>
      </c>
      <c r="B616">
        <v>2019</v>
      </c>
      <c r="C616" t="s">
        <v>208</v>
      </c>
      <c r="D616" t="s">
        <v>212</v>
      </c>
      <c r="E616" t="s">
        <v>211</v>
      </c>
      <c r="F616" s="3">
        <v>927101</v>
      </c>
      <c r="G616" s="3" t="s">
        <v>72</v>
      </c>
      <c r="H616" s="4">
        <v>221817</v>
      </c>
      <c r="I616" cm="1">
        <f t="array" ref="I616">_xlfn.IFS(B616=2015,H616/$O$10,B616=2016,H616/$O$11,B616=2017,H616/$O$12,B616=2018,H616/$O$13,B616=2019,H616/$O$14,B616=2020,H616/$O$15,B616=2021,H616/$O$16,B616=2022,H616/$O$17)</f>
        <v>4.3441820867925734E-3</v>
      </c>
      <c r="J616" s="6" cm="1">
        <f t="array" ref="J616">_xlfn.IFS(B616=2015,I616*$Q$1,B616=2016,I616*$Q$2,B616=2017,I616*$Q$3,B616=2018,I616*$Q$4,B616=2019,I616*$Q$5,B616=2020,I616*$Q$6,B616=2021,I616*$Q$7,B616=2022,I616*$Q$8)</f>
        <v>114892.56025225268</v>
      </c>
      <c r="K616" s="7">
        <f t="shared" si="20"/>
        <v>336709.56025225268</v>
      </c>
      <c r="L616">
        <f>IFERROR(VLOOKUP(G616,'LEAID Match'!$A$2:$B$168,2,FALSE),"")</f>
        <v>4634480</v>
      </c>
    </row>
    <row r="617" spans="1:12" x14ac:dyDescent="0.2">
      <c r="A617">
        <f t="shared" si="19"/>
        <v>4634480</v>
      </c>
      <c r="B617">
        <v>2020</v>
      </c>
      <c r="C617" t="s">
        <v>208</v>
      </c>
      <c r="D617" t="s">
        <v>212</v>
      </c>
      <c r="E617" t="s">
        <v>211</v>
      </c>
      <c r="F617" s="1">
        <v>927101</v>
      </c>
      <c r="G617" s="3" t="s">
        <v>72</v>
      </c>
      <c r="H617" s="2">
        <v>224269</v>
      </c>
      <c r="I617" cm="1">
        <f t="array" ref="I617">_xlfn.IFS(B617=2015,H617/$O$10,B617=2016,H617/$O$11,B617=2017,H617/$O$12,B617=2018,H617/$O$13,B617=2019,H617/$O$14,B617=2020,H617/$O$15,B617=2021,H617/$O$16,B617=2022,H617/$O$17)</f>
        <v>4.2476055004454253E-3</v>
      </c>
      <c r="J617" s="6" cm="1">
        <f t="array" ref="J617">_xlfn.IFS(B617=2015,I617*$Q$1,B617=2016,I617*$Q$2,B617=2017,I617*$Q$3,B617=2018,I617*$Q$4,B617=2019,I617*$Q$5,B617=2020,I617*$Q$6,B617=2021,I617*$Q$7,B617=2022,I617*$Q$8)</f>
        <v>115493.37475398171</v>
      </c>
      <c r="K617" s="7">
        <f t="shared" si="20"/>
        <v>339762.37475398171</v>
      </c>
      <c r="L617">
        <f>IFERROR(VLOOKUP(G617,'LEAID Match'!$A$2:$B$168,2,FALSE),"")</f>
        <v>4634480</v>
      </c>
    </row>
    <row r="618" spans="1:12" x14ac:dyDescent="0.2">
      <c r="A618">
        <f t="shared" si="19"/>
        <v>4634480</v>
      </c>
      <c r="B618">
        <v>2021</v>
      </c>
      <c r="C618" t="s">
        <v>208</v>
      </c>
      <c r="D618" t="s">
        <v>212</v>
      </c>
      <c r="E618" t="s">
        <v>211</v>
      </c>
      <c r="F618" s="3">
        <v>927101</v>
      </c>
      <c r="G618" s="3" t="s">
        <v>72</v>
      </c>
      <c r="H618" s="4">
        <v>244031</v>
      </c>
      <c r="I618" cm="1">
        <f t="array" ref="I618">_xlfn.IFS(B618=2015,H618/$O$10,B618=2016,H618/$O$11,B618=2017,H618/$O$12,B618=2018,H618/$O$13,B618=2019,H618/$O$14,B618=2020,H618/$O$15,B618=2021,H618/$O$16,B618=2022,H618/$O$17)</f>
        <v>4.4075825497653098E-3</v>
      </c>
      <c r="J618" s="6" cm="1">
        <f t="array" ref="J618">_xlfn.IFS(B618=2015,I618*$Q$1,B618=2016,I618*$Q$2,B618=2017,I618*$Q$3,B618=2018,I618*$Q$4,B618=2019,I618*$Q$5,B618=2020,I618*$Q$6,B618=2021,I618*$Q$7,B618=2022,I618*$Q$8)</f>
        <v>122699.75074535576</v>
      </c>
      <c r="K618" s="7">
        <f t="shared" si="20"/>
        <v>366730.75074535573</v>
      </c>
      <c r="L618">
        <f>IFERROR(VLOOKUP(G618,'LEAID Match'!$A$2:$B$168,2,FALSE),"")</f>
        <v>4634480</v>
      </c>
    </row>
    <row r="619" spans="1:12" x14ac:dyDescent="0.2">
      <c r="A619">
        <f t="shared" si="19"/>
        <v>4634480</v>
      </c>
      <c r="B619">
        <v>2022</v>
      </c>
      <c r="C619" t="s">
        <v>208</v>
      </c>
      <c r="D619" t="s">
        <v>212</v>
      </c>
      <c r="E619" t="s">
        <v>211</v>
      </c>
      <c r="F619" s="3">
        <v>927101</v>
      </c>
      <c r="G619" s="3" t="s">
        <v>72</v>
      </c>
      <c r="H619" s="4">
        <v>253723</v>
      </c>
      <c r="I619" cm="1">
        <f t="array" ref="I619">_xlfn.IFS(B619=2015,H619/$O$10,B619=2016,H619/$O$11,B619=2017,H619/$O$12,B619=2018,H619/$O$13,B619=2019,H619/$O$14,B619=2020,H619/$O$15,B619=2021,H619/$O$16,B619=2022,H619/$O$17)</f>
        <v>4.3941225720560383E-3</v>
      </c>
      <c r="J619" s="6" cm="1">
        <f t="array" ref="J619">_xlfn.IFS(B619=2015,I619*$Q$1,B619=2016,I619*$Q$2,B619=2017,I619*$Q$3,B619=2018,I619*$Q$4,B619=2019,I619*$Q$5,B619=2020,I619*$Q$6,B619=2021,I619*$Q$7,B619=2022,I619*$Q$8)</f>
        <v>129441.82544500788</v>
      </c>
      <c r="K619" s="7">
        <f t="shared" si="20"/>
        <v>383164.82544500788</v>
      </c>
      <c r="L619">
        <f>IFERROR(VLOOKUP(G619,'LEAID Match'!$A$2:$B$168,2,FALSE),"")</f>
        <v>4634480</v>
      </c>
    </row>
    <row r="620" spans="1:12" x14ac:dyDescent="0.2">
      <c r="A620">
        <f t="shared" si="19"/>
        <v>4621300</v>
      </c>
      <c r="B620">
        <v>2015</v>
      </c>
      <c r="C620" t="s">
        <v>208</v>
      </c>
      <c r="D620" t="s">
        <v>212</v>
      </c>
      <c r="E620" t="s">
        <v>211</v>
      </c>
      <c r="F620" s="3">
        <v>927102</v>
      </c>
      <c r="G620" s="3" t="s">
        <v>45</v>
      </c>
      <c r="H620" s="4">
        <v>5169</v>
      </c>
      <c r="I620" cm="1">
        <f t="array" ref="I620">_xlfn.IFS(B620=2015,H620/$O$10,B620=2016,H620/$O$11,B620=2017,H620/$O$12,B620=2018,H620/$O$13,B620=2019,H620/$O$14,B620=2020,H620/$O$15,B620=2021,H620/$O$16,B620=2022,H620/$O$17)</f>
        <v>1.209044268633123E-4</v>
      </c>
      <c r="J620" s="6" cm="1">
        <f t="array" ref="J620">_xlfn.IFS(B620=2015,I620*$Q$1,B620=2016,I620*$Q$2,B620=2017,I620*$Q$3,B620=2018,I620*$Q$4,B620=2019,I620*$Q$5,B620=2020,I620*$Q$6,B620=2021,I620*$Q$7,B620=2022,I620*$Q$8)</f>
        <v>2973.3004056087398</v>
      </c>
      <c r="K620" s="7">
        <f t="shared" si="20"/>
        <v>8142.3004056087393</v>
      </c>
      <c r="L620">
        <f>IFERROR(VLOOKUP(G620,'LEAID Match'!$A$2:$B$168,2,FALSE),"")</f>
        <v>4621300</v>
      </c>
    </row>
    <row r="621" spans="1:12" x14ac:dyDescent="0.2">
      <c r="A621">
        <f t="shared" si="19"/>
        <v>4621300</v>
      </c>
      <c r="B621">
        <v>2016</v>
      </c>
      <c r="C621" t="s">
        <v>208</v>
      </c>
      <c r="D621" t="s">
        <v>212</v>
      </c>
      <c r="E621" t="s">
        <v>211</v>
      </c>
      <c r="F621" s="3">
        <v>927102</v>
      </c>
      <c r="G621" s="3" t="s">
        <v>45</v>
      </c>
      <c r="H621" s="4">
        <v>5055</v>
      </c>
      <c r="I621" cm="1">
        <f t="array" ref="I621">_xlfn.IFS(B621=2015,H621/$O$10,B621=2016,H621/$O$11,B621=2017,H621/$O$12,B621=2018,H621/$O$13,B621=2019,H621/$O$14,B621=2020,H621/$O$15,B621=2021,H621/$O$16,B621=2022,H621/$O$17)</f>
        <v>1.1465781673144475E-4</v>
      </c>
      <c r="J621" s="6" cm="1">
        <f t="array" ref="J621">_xlfn.IFS(B621=2015,I621*$Q$1,B621=2016,I621*$Q$2,B621=2017,I621*$Q$3,B621=2018,I621*$Q$4,B621=2019,I621*$Q$5,B621=2020,I621*$Q$6,B621=2021,I621*$Q$7,B621=2022,I621*$Q$8)</f>
        <v>2912.9741336048228</v>
      </c>
      <c r="K621" s="7">
        <f t="shared" si="20"/>
        <v>7967.9741336048228</v>
      </c>
      <c r="L621">
        <f>IFERROR(VLOOKUP(G621,'LEAID Match'!$A$2:$B$168,2,FALSE),"")</f>
        <v>4621300</v>
      </c>
    </row>
    <row r="622" spans="1:12" x14ac:dyDescent="0.2">
      <c r="A622">
        <f t="shared" si="19"/>
        <v>4621300</v>
      </c>
      <c r="B622">
        <v>2017</v>
      </c>
      <c r="C622" t="s">
        <v>208</v>
      </c>
      <c r="D622" t="s">
        <v>212</v>
      </c>
      <c r="E622" t="s">
        <v>211</v>
      </c>
      <c r="F622" s="3">
        <v>927102</v>
      </c>
      <c r="G622" s="3" t="s">
        <v>45</v>
      </c>
      <c r="H622" s="4">
        <v>9612</v>
      </c>
      <c r="I622" cm="1">
        <f t="array" ref="I622">_xlfn.IFS(B622=2015,H622/$O$10,B622=2016,H622/$O$11,B622=2017,H622/$O$12,B622=2018,H622/$O$13,B622=2019,H622/$O$14,B622=2020,H622/$O$15,B622=2021,H622/$O$16,B622=2022,H622/$O$17)</f>
        <v>1.9845694972824487E-4</v>
      </c>
      <c r="J622" s="6" cm="1">
        <f t="array" ref="J622">_xlfn.IFS(B622=2015,I622*$Q$1,B622=2016,I622*$Q$2,B622=2017,I622*$Q$3,B622=2018,I622*$Q$4,B622=2019,I622*$Q$5,B622=2020,I622*$Q$6,B622=2021,I622*$Q$7,B622=2022,I622*$Q$8)</f>
        <v>5220.5160386126363</v>
      </c>
      <c r="K622" s="7">
        <f t="shared" si="20"/>
        <v>14832.516038612637</v>
      </c>
      <c r="L622">
        <f>IFERROR(VLOOKUP(G622,'LEAID Match'!$A$2:$B$168,2,FALSE),"")</f>
        <v>4621300</v>
      </c>
    </row>
    <row r="623" spans="1:12" x14ac:dyDescent="0.2">
      <c r="A623">
        <f t="shared" si="19"/>
        <v>4621300</v>
      </c>
      <c r="B623">
        <v>2018</v>
      </c>
      <c r="C623" t="s">
        <v>208</v>
      </c>
      <c r="D623" t="s">
        <v>212</v>
      </c>
      <c r="E623" t="s">
        <v>211</v>
      </c>
      <c r="F623" s="3">
        <v>927102</v>
      </c>
      <c r="G623" s="3" t="s">
        <v>45</v>
      </c>
      <c r="H623" s="4">
        <v>12642</v>
      </c>
      <c r="I623" cm="1">
        <f t="array" ref="I623">_xlfn.IFS(B623=2015,H623/$O$10,B623=2016,H623/$O$11,B623=2017,H623/$O$12,B623=2018,H623/$O$13,B623=2019,H623/$O$14,B623=2020,H623/$O$15,B623=2021,H623/$O$16,B623=2022,H623/$O$17)</f>
        <v>2.5211440465881574E-4</v>
      </c>
      <c r="J623" s="6" cm="1">
        <f t="array" ref="J623">_xlfn.IFS(B623=2015,I623*$Q$1,B623=2016,I623*$Q$2,B623=2017,I623*$Q$3,B623=2018,I623*$Q$4,B623=2019,I623*$Q$5,B623=2020,I623*$Q$6,B623=2021,I623*$Q$7,B623=2022,I623*$Q$8)</f>
        <v>6619.4676548705766</v>
      </c>
      <c r="K623" s="7">
        <f t="shared" si="20"/>
        <v>19261.467654870576</v>
      </c>
      <c r="L623">
        <f>IFERROR(VLOOKUP(G623,'LEAID Match'!$A$2:$B$168,2,FALSE),"")</f>
        <v>4621300</v>
      </c>
    </row>
    <row r="624" spans="1:12" x14ac:dyDescent="0.2">
      <c r="A624">
        <f t="shared" si="19"/>
        <v>4621300</v>
      </c>
      <c r="B624">
        <v>2019</v>
      </c>
      <c r="C624" t="s">
        <v>208</v>
      </c>
      <c r="D624" t="s">
        <v>212</v>
      </c>
      <c r="E624" t="s">
        <v>211</v>
      </c>
      <c r="F624" s="3">
        <v>927102</v>
      </c>
      <c r="G624" s="3" t="s">
        <v>45</v>
      </c>
      <c r="H624" s="4">
        <v>11289</v>
      </c>
      <c r="I624" cm="1">
        <f t="array" ref="I624">_xlfn.IFS(B624=2015,H624/$O$10,B624=2016,H624/$O$11,B624=2017,H624/$O$12,B624=2018,H624/$O$13,B624=2019,H624/$O$14,B624=2020,H624/$O$15,B624=2021,H624/$O$16,B624=2022,H624/$O$17)</f>
        <v>2.2108977931268282E-4</v>
      </c>
      <c r="J624" s="6" cm="1">
        <f t="array" ref="J624">_xlfn.IFS(B624=2015,I624*$Q$1,B624=2016,I624*$Q$2,B624=2017,I624*$Q$3,B624=2018,I624*$Q$4,B624=2019,I624*$Q$5,B624=2020,I624*$Q$6,B624=2021,I624*$Q$7,B624=2022,I624*$Q$8)</f>
        <v>5847.2619893321098</v>
      </c>
      <c r="K624" s="7">
        <f t="shared" si="20"/>
        <v>17136.26198933211</v>
      </c>
      <c r="L624">
        <f>IFERROR(VLOOKUP(G624,'LEAID Match'!$A$2:$B$168,2,FALSE),"")</f>
        <v>4621300</v>
      </c>
    </row>
    <row r="625" spans="1:12" x14ac:dyDescent="0.2">
      <c r="A625">
        <f t="shared" si="19"/>
        <v>4621300</v>
      </c>
      <c r="B625">
        <v>2020</v>
      </c>
      <c r="C625" t="s">
        <v>208</v>
      </c>
      <c r="D625" t="s">
        <v>212</v>
      </c>
      <c r="E625" t="s">
        <v>211</v>
      </c>
      <c r="F625" s="1">
        <v>927102</v>
      </c>
      <c r="G625" s="3" t="s">
        <v>45</v>
      </c>
      <c r="H625" s="2">
        <v>11531</v>
      </c>
      <c r="I625" cm="1">
        <f t="array" ref="I625">_xlfn.IFS(B625=2015,H625/$O$10,B625=2016,H625/$O$11,B625=2017,H625/$O$12,B625=2018,H625/$O$13,B625=2019,H625/$O$14,B625=2020,H625/$O$15,B625=2021,H625/$O$16,B625=2022,H625/$O$17)</f>
        <v>2.1839460213242225E-4</v>
      </c>
      <c r="J625" s="6" cm="1">
        <f t="array" ref="J625">_xlfn.IFS(B625=2015,I625*$Q$1,B625=2016,I625*$Q$2,B625=2017,I625*$Q$3,B625=2018,I625*$Q$4,B625=2019,I625*$Q$5,B625=2020,I625*$Q$6,B625=2021,I625*$Q$7,B625=2022,I625*$Q$8)</f>
        <v>5938.1996811336539</v>
      </c>
      <c r="K625" s="7">
        <f t="shared" si="20"/>
        <v>17469.199681133654</v>
      </c>
      <c r="L625">
        <f>IFERROR(VLOOKUP(G625,'LEAID Match'!$A$2:$B$168,2,FALSE),"")</f>
        <v>4621300</v>
      </c>
    </row>
    <row r="626" spans="1:12" x14ac:dyDescent="0.2">
      <c r="A626">
        <f t="shared" si="19"/>
        <v>4621300</v>
      </c>
      <c r="B626">
        <v>2021</v>
      </c>
      <c r="C626" t="s">
        <v>208</v>
      </c>
      <c r="D626" t="s">
        <v>212</v>
      </c>
      <c r="E626" t="s">
        <v>211</v>
      </c>
      <c r="F626" s="3">
        <v>927102</v>
      </c>
      <c r="G626" s="3" t="s">
        <v>45</v>
      </c>
      <c r="H626" s="4">
        <v>7763</v>
      </c>
      <c r="I626" cm="1">
        <f t="array" ref="I626">_xlfn.IFS(B626=2015,H626/$O$10,B626=2016,H626/$O$11,B626=2017,H626/$O$12,B626=2018,H626/$O$13,B626=2019,H626/$O$14,B626=2020,H626/$O$15,B626=2021,H626/$O$16,B626=2022,H626/$O$17)</f>
        <v>1.4021195394776933E-4</v>
      </c>
      <c r="J626" s="6" cm="1">
        <f t="array" ref="J626">_xlfn.IFS(B626=2015,I626*$Q$1,B626=2016,I626*$Q$2,B626=2017,I626*$Q$3,B626=2018,I626*$Q$4,B626=2019,I626*$Q$5,B626=2020,I626*$Q$6,B626=2021,I626*$Q$7,B626=2022,I626*$Q$8)</f>
        <v>3903.2670645786675</v>
      </c>
      <c r="K626" s="7">
        <f t="shared" si="20"/>
        <v>11666.267064578667</v>
      </c>
      <c r="L626">
        <f>IFERROR(VLOOKUP(G626,'LEAID Match'!$A$2:$B$168,2,FALSE),"")</f>
        <v>4621300</v>
      </c>
    </row>
    <row r="627" spans="1:12" x14ac:dyDescent="0.2">
      <c r="A627">
        <f t="shared" si="19"/>
        <v>4621300</v>
      </c>
      <c r="B627">
        <v>2022</v>
      </c>
      <c r="C627" t="s">
        <v>208</v>
      </c>
      <c r="D627" t="s">
        <v>212</v>
      </c>
      <c r="E627" t="s">
        <v>211</v>
      </c>
      <c r="F627" s="3">
        <v>927102</v>
      </c>
      <c r="G627" s="3" t="s">
        <v>45</v>
      </c>
      <c r="H627" s="4">
        <v>10256</v>
      </c>
      <c r="I627" cm="1">
        <f t="array" ref="I627">_xlfn.IFS(B627=2015,H627/$O$10,B627=2016,H627/$O$11,B627=2017,H627/$O$12,B627=2018,H627/$O$13,B627=2019,H627/$O$14,B627=2020,H627/$O$15,B627=2021,H627/$O$16,B627=2022,H627/$O$17)</f>
        <v>1.776193766391172E-4</v>
      </c>
      <c r="J627" s="6" cm="1">
        <f t="array" ref="J627">_xlfn.IFS(B627=2015,I627*$Q$1,B627=2016,I627*$Q$2,B627=2017,I627*$Q$3,B627=2018,I627*$Q$4,B627=2019,I627*$Q$5,B627=2020,I627*$Q$6,B627=2021,I627*$Q$7,B627=2022,I627*$Q$8)</f>
        <v>5232.3020055887764</v>
      </c>
      <c r="K627" s="7">
        <f t="shared" si="20"/>
        <v>15488.302005588776</v>
      </c>
      <c r="L627">
        <f>IFERROR(VLOOKUP(G627,'LEAID Match'!$A$2:$B$168,2,FALSE),"")</f>
        <v>4621300</v>
      </c>
    </row>
    <row r="628" spans="1:12" x14ac:dyDescent="0.2">
      <c r="A628">
        <f t="shared" si="19"/>
        <v>4620850</v>
      </c>
      <c r="B628">
        <v>2015</v>
      </c>
      <c r="C628" t="s">
        <v>208</v>
      </c>
      <c r="D628" t="s">
        <v>212</v>
      </c>
      <c r="E628" t="s">
        <v>211</v>
      </c>
      <c r="F628" s="3">
        <v>927111</v>
      </c>
      <c r="G628" s="3" t="s">
        <v>43</v>
      </c>
      <c r="H628" s="4">
        <v>69653</v>
      </c>
      <c r="I628" cm="1">
        <f t="array" ref="I628">_xlfn.IFS(B628=2015,H628/$O$10,B628=2016,H628/$O$11,B628=2017,H628/$O$12,B628=2018,H628/$O$13,B628=2019,H628/$O$14,B628=2020,H628/$O$15,B628=2021,H628/$O$16,B628=2022,H628/$O$17)</f>
        <v>1.6292041099458872E-3</v>
      </c>
      <c r="J628" s="6" cm="1">
        <f t="array" ref="J628">_xlfn.IFS(B628=2015,I628*$Q$1,B628=2016,I628*$Q$2,B628=2017,I628*$Q$3,B628=2018,I628*$Q$4,B628=2019,I628*$Q$5,B628=2020,I628*$Q$6,B628=2021,I628*$Q$7,B628=2022,I628*$Q$8)</f>
        <v>40065.639998426297</v>
      </c>
      <c r="K628" s="7">
        <f t="shared" si="20"/>
        <v>109718.6399984263</v>
      </c>
      <c r="L628">
        <f>IFERROR(VLOOKUP(G628,'LEAID Match'!$A$2:$B$168,2,FALSE),"")</f>
        <v>4620850</v>
      </c>
    </row>
    <row r="629" spans="1:12" x14ac:dyDescent="0.2">
      <c r="A629">
        <f t="shared" si="19"/>
        <v>4620850</v>
      </c>
      <c r="B629">
        <v>2016</v>
      </c>
      <c r="C629" t="s">
        <v>208</v>
      </c>
      <c r="D629" t="s">
        <v>212</v>
      </c>
      <c r="E629" t="s">
        <v>211</v>
      </c>
      <c r="F629" s="3">
        <v>927111</v>
      </c>
      <c r="G629" s="3" t="s">
        <v>43</v>
      </c>
      <c r="H629" s="4">
        <v>72950</v>
      </c>
      <c r="I629" cm="1">
        <f t="array" ref="I629">_xlfn.IFS(B629=2015,H629/$O$10,B629=2016,H629/$O$11,B629=2017,H629/$O$12,B629=2018,H629/$O$13,B629=2019,H629/$O$14,B629=2020,H629/$O$15,B629=2021,H629/$O$16,B629=2022,H629/$O$17)</f>
        <v>1.6546563265200582E-3</v>
      </c>
      <c r="J629" s="6" cm="1">
        <f t="array" ref="J629">_xlfn.IFS(B629=2015,I629*$Q$1,B629=2016,I629*$Q$2,B629=2017,I629*$Q$3,B629=2018,I629*$Q$4,B629=2019,I629*$Q$5,B629=2020,I629*$Q$6,B629=2021,I629*$Q$7,B629=2022,I629*$Q$8)</f>
        <v>42037.875973584923</v>
      </c>
      <c r="K629" s="7">
        <f t="shared" si="20"/>
        <v>114987.87597358492</v>
      </c>
      <c r="L629">
        <f>IFERROR(VLOOKUP(G629,'LEAID Match'!$A$2:$B$168,2,FALSE),"")</f>
        <v>4620850</v>
      </c>
    </row>
    <row r="630" spans="1:12" x14ac:dyDescent="0.2">
      <c r="A630">
        <f t="shared" si="19"/>
        <v>4620850</v>
      </c>
      <c r="B630">
        <v>2017</v>
      </c>
      <c r="C630" t="s">
        <v>208</v>
      </c>
      <c r="D630" t="s">
        <v>212</v>
      </c>
      <c r="E630" t="s">
        <v>211</v>
      </c>
      <c r="F630" s="3">
        <v>927111</v>
      </c>
      <c r="G630" s="3" t="s">
        <v>43</v>
      </c>
      <c r="H630" s="4">
        <v>74903</v>
      </c>
      <c r="I630" cm="1">
        <f t="array" ref="I630">_xlfn.IFS(B630=2015,H630/$O$10,B630=2016,H630/$O$11,B630=2017,H630/$O$12,B630=2018,H630/$O$13,B630=2019,H630/$O$14,B630=2020,H630/$O$15,B630=2021,H630/$O$16,B630=2022,H630/$O$17)</f>
        <v>1.5465065444751067E-3</v>
      </c>
      <c r="J630" s="6" cm="1">
        <f t="array" ref="J630">_xlfn.IFS(B630=2015,I630*$Q$1,B630=2016,I630*$Q$2,B630=2017,I630*$Q$3,B630=2018,I630*$Q$4,B630=2019,I630*$Q$5,B630=2020,I630*$Q$6,B630=2021,I630*$Q$7,B630=2022,I630*$Q$8)</f>
        <v>40681.680486912432</v>
      </c>
      <c r="K630" s="7">
        <f t="shared" si="20"/>
        <v>115584.68048691243</v>
      </c>
      <c r="L630">
        <f>IFERROR(VLOOKUP(G630,'LEAID Match'!$A$2:$B$168,2,FALSE),"")</f>
        <v>4620850</v>
      </c>
    </row>
    <row r="631" spans="1:12" x14ac:dyDescent="0.2">
      <c r="A631">
        <f t="shared" si="19"/>
        <v>4620850</v>
      </c>
      <c r="B631">
        <v>2018</v>
      </c>
      <c r="C631" t="s">
        <v>208</v>
      </c>
      <c r="D631" t="s">
        <v>212</v>
      </c>
      <c r="E631" t="s">
        <v>211</v>
      </c>
      <c r="F631" s="3">
        <v>927111</v>
      </c>
      <c r="G631" s="3" t="s">
        <v>43</v>
      </c>
      <c r="H631" s="4">
        <v>73735</v>
      </c>
      <c r="I631" cm="1">
        <f t="array" ref="I631">_xlfn.IFS(B631=2015,H631/$O$10,B631=2016,H631/$O$11,B631=2017,H631/$O$12,B631=2018,H631/$O$13,B631=2019,H631/$O$14,B631=2020,H631/$O$15,B631=2021,H631/$O$16,B631=2022,H631/$O$17)</f>
        <v>1.4704679344658897E-3</v>
      </c>
      <c r="J631" s="6" cm="1">
        <f t="array" ref="J631">_xlfn.IFS(B631=2015,I631*$Q$1,B631=2016,I631*$Q$2,B631=2017,I631*$Q$3,B631=2018,I631*$Q$4,B631=2019,I631*$Q$5,B631=2020,I631*$Q$6,B631=2021,I631*$Q$7,B631=2022,I631*$Q$8)</f>
        <v>38608.325227960915</v>
      </c>
      <c r="K631" s="7">
        <f t="shared" si="20"/>
        <v>112343.32522796092</v>
      </c>
      <c r="L631">
        <f>IFERROR(VLOOKUP(G631,'LEAID Match'!$A$2:$B$168,2,FALSE),"")</f>
        <v>4620850</v>
      </c>
    </row>
    <row r="632" spans="1:12" x14ac:dyDescent="0.2">
      <c r="A632">
        <f t="shared" si="19"/>
        <v>4620850</v>
      </c>
      <c r="B632">
        <v>2019</v>
      </c>
      <c r="C632" t="s">
        <v>208</v>
      </c>
      <c r="D632" t="s">
        <v>212</v>
      </c>
      <c r="E632" t="s">
        <v>211</v>
      </c>
      <c r="F632" s="3">
        <v>927111</v>
      </c>
      <c r="G632" s="3" t="s">
        <v>43</v>
      </c>
      <c r="H632" s="4">
        <v>65600</v>
      </c>
      <c r="I632" cm="1">
        <f t="array" ref="I632">_xlfn.IFS(B632=2015,H632/$O$10,B632=2016,H632/$O$11,B632=2017,H632/$O$12,B632=2018,H632/$O$13,B632=2019,H632/$O$14,B632=2020,H632/$O$15,B632=2021,H632/$O$16,B632=2022,H632/$O$17)</f>
        <v>1.2847452850484537E-3</v>
      </c>
      <c r="J632" s="6" cm="1">
        <f t="array" ref="J632">_xlfn.IFS(B632=2015,I632*$Q$1,B632=2016,I632*$Q$2,B632=2017,I632*$Q$3,B632=2018,I632*$Q$4,B632=2019,I632*$Q$5,B632=2020,I632*$Q$6,B632=2021,I632*$Q$7,B632=2022,I632*$Q$8)</f>
        <v>33978.243112781151</v>
      </c>
      <c r="K632" s="7">
        <f t="shared" si="20"/>
        <v>99578.243112781143</v>
      </c>
      <c r="L632">
        <f>IFERROR(VLOOKUP(G632,'LEAID Match'!$A$2:$B$168,2,FALSE),"")</f>
        <v>4620850</v>
      </c>
    </row>
    <row r="633" spans="1:12" x14ac:dyDescent="0.2">
      <c r="A633">
        <f t="shared" si="19"/>
        <v>4620850</v>
      </c>
      <c r="B633">
        <v>2020</v>
      </c>
      <c r="C633" t="s">
        <v>208</v>
      </c>
      <c r="D633" t="s">
        <v>212</v>
      </c>
      <c r="E633" t="s">
        <v>211</v>
      </c>
      <c r="F633" s="1">
        <v>927111</v>
      </c>
      <c r="G633" s="3" t="s">
        <v>43</v>
      </c>
      <c r="H633" s="2">
        <v>68613</v>
      </c>
      <c r="I633" cm="1">
        <f t="array" ref="I633">_xlfn.IFS(B633=2015,H633/$O$10,B633=2016,H633/$O$11,B633=2017,H633/$O$12,B633=2018,H633/$O$13,B633=2019,H633/$O$14,B633=2020,H633/$O$15,B633=2021,H633/$O$16,B633=2022,H633/$O$17)</f>
        <v>1.2995151189065899E-3</v>
      </c>
      <c r="J633" s="6" cm="1">
        <f t="array" ref="J633">_xlfn.IFS(B633=2015,I633*$Q$1,B633=2016,I633*$Q$2,B633=2017,I633*$Q$3,B633=2018,I633*$Q$4,B633=2019,I633*$Q$5,B633=2020,I633*$Q$6,B633=2021,I633*$Q$7,B633=2022,I633*$Q$8)</f>
        <v>35334.116271062645</v>
      </c>
      <c r="K633" s="7">
        <f t="shared" si="20"/>
        <v>103947.11627106264</v>
      </c>
      <c r="L633">
        <f>IFERROR(VLOOKUP(G633,'LEAID Match'!$A$2:$B$168,2,FALSE),"")</f>
        <v>4620850</v>
      </c>
    </row>
    <row r="634" spans="1:12" x14ac:dyDescent="0.2">
      <c r="A634">
        <f t="shared" si="19"/>
        <v>4620850</v>
      </c>
      <c r="B634">
        <v>2021</v>
      </c>
      <c r="C634" t="s">
        <v>208</v>
      </c>
      <c r="D634" t="s">
        <v>212</v>
      </c>
      <c r="E634" t="s">
        <v>211</v>
      </c>
      <c r="F634" s="3">
        <v>927111</v>
      </c>
      <c r="G634" s="3" t="s">
        <v>43</v>
      </c>
      <c r="H634" s="4">
        <v>75101</v>
      </c>
      <c r="I634" cm="1">
        <f t="array" ref="I634">_xlfn.IFS(B634=2015,H634/$O$10,B634=2016,H634/$O$11,B634=2017,H634/$O$12,B634=2018,H634/$O$13,B634=2019,H634/$O$14,B634=2020,H634/$O$15,B634=2021,H634/$O$16,B634=2022,H634/$O$17)</f>
        <v>1.3564418334962548E-3</v>
      </c>
      <c r="J634" s="6" cm="1">
        <f t="array" ref="J634">_xlfn.IFS(B634=2015,I634*$Q$1,B634=2016,I634*$Q$2,B634=2017,I634*$Q$3,B634=2018,I634*$Q$4,B634=2019,I634*$Q$5,B634=2020,I634*$Q$6,B634=2021,I634*$Q$7,B634=2022,I634*$Q$8)</f>
        <v>37761.079455999294</v>
      </c>
      <c r="K634" s="7">
        <f t="shared" si="20"/>
        <v>112862.07945599929</v>
      </c>
      <c r="L634">
        <f>IFERROR(VLOOKUP(G634,'LEAID Match'!$A$2:$B$168,2,FALSE),"")</f>
        <v>4620850</v>
      </c>
    </row>
    <row r="635" spans="1:12" x14ac:dyDescent="0.2">
      <c r="A635">
        <f t="shared" si="19"/>
        <v>4620850</v>
      </c>
      <c r="B635">
        <v>2022</v>
      </c>
      <c r="C635" t="s">
        <v>208</v>
      </c>
      <c r="D635" t="s">
        <v>212</v>
      </c>
      <c r="E635" t="s">
        <v>211</v>
      </c>
      <c r="F635" s="3">
        <v>927111</v>
      </c>
      <c r="G635" s="3" t="s">
        <v>43</v>
      </c>
      <c r="H635" s="4">
        <v>78541</v>
      </c>
      <c r="I635" cm="1">
        <f t="array" ref="I635">_xlfn.IFS(B635=2015,H635/$O$10,B635=2016,H635/$O$11,B635=2017,H635/$O$12,B635=2018,H635/$O$13,B635=2019,H635/$O$14,B635=2020,H635/$O$15,B635=2021,H635/$O$16,B635=2022,H635/$O$17)</f>
        <v>1.3602187461596044E-3</v>
      </c>
      <c r="J635" s="6" cm="1">
        <f t="array" ref="J635">_xlfn.IFS(B635=2015,I635*$Q$1,B635=2016,I635*$Q$2,B635=2017,I635*$Q$3,B635=2018,I635*$Q$4,B635=2019,I635*$Q$5,B635=2020,I635*$Q$6,B635=2021,I635*$Q$7,B635=2022,I635*$Q$8)</f>
        <v>40069.250372557333</v>
      </c>
      <c r="K635" s="7">
        <f t="shared" si="20"/>
        <v>118610.25037255733</v>
      </c>
      <c r="L635">
        <f>IFERROR(VLOOKUP(G635,'LEAID Match'!$A$2:$B$168,2,FALSE),"")</f>
        <v>4620850</v>
      </c>
    </row>
    <row r="636" spans="1:12" x14ac:dyDescent="0.2">
      <c r="A636">
        <f t="shared" si="19"/>
        <v>4665460</v>
      </c>
      <c r="B636">
        <v>2015</v>
      </c>
      <c r="C636" t="s">
        <v>208</v>
      </c>
      <c r="D636" t="s">
        <v>212</v>
      </c>
      <c r="E636" t="s">
        <v>211</v>
      </c>
      <c r="F636" s="3">
        <v>927200</v>
      </c>
      <c r="G636" s="3" t="s">
        <v>127</v>
      </c>
      <c r="H636" s="4">
        <v>401520</v>
      </c>
      <c r="I636" cm="1">
        <f t="array" ref="I636">_xlfn.IFS(B636=2015,H636/$O$10,B636=2016,H636/$O$11,B636=2017,H636/$O$12,B636=2018,H636/$O$13,B636=2019,H636/$O$14,B636=2020,H636/$O$15,B636=2021,H636/$O$16,B636=2022,H636/$O$17)</f>
        <v>9.3916706276179433E-3</v>
      </c>
      <c r="J636" s="6" cm="1">
        <f t="array" ref="J636">_xlfn.IFS(B636=2015,I636*$Q$1,B636=2016,I636*$Q$2,B636=2017,I636*$Q$3,B636=2018,I636*$Q$4,B636=2019,I636*$Q$5,B636=2020,I636*$Q$6,B636=2021,I636*$Q$7,B636=2022,I636*$Q$8)</f>
        <v>230961.41978332773</v>
      </c>
      <c r="K636" s="7">
        <f t="shared" si="20"/>
        <v>632481.41978332773</v>
      </c>
      <c r="L636">
        <f>IFERROR(VLOOKUP(G636,'LEAID Match'!$A$2:$B$168,2,FALSE),"")</f>
        <v>4665460</v>
      </c>
    </row>
    <row r="637" spans="1:12" x14ac:dyDescent="0.2">
      <c r="A637">
        <f t="shared" si="19"/>
        <v>4665460</v>
      </c>
      <c r="B637">
        <v>2016</v>
      </c>
      <c r="C637" t="s">
        <v>208</v>
      </c>
      <c r="D637" t="s">
        <v>212</v>
      </c>
      <c r="E637" t="s">
        <v>211</v>
      </c>
      <c r="F637" s="3">
        <v>927200</v>
      </c>
      <c r="G637" s="3" t="s">
        <v>127</v>
      </c>
      <c r="H637" s="4">
        <v>383857</v>
      </c>
      <c r="I637" cm="1">
        <f t="array" ref="I637">_xlfn.IFS(B637=2015,H637/$O$10,B637=2016,H637/$O$11,B637=2017,H637/$O$12,B637=2018,H637/$O$13,B637=2019,H637/$O$14,B637=2020,H637/$O$15,B637=2021,H637/$O$16,B637=2022,H637/$O$17)</f>
        <v>8.7066677659905414E-3</v>
      </c>
      <c r="J637" s="6" cm="1">
        <f t="array" ref="J637">_xlfn.IFS(B637=2015,I637*$Q$1,B637=2016,I637*$Q$2,B637=2017,I637*$Q$3,B637=2018,I637*$Q$4,B637=2019,I637*$Q$5,B637=2020,I637*$Q$6,B637=2021,I637*$Q$7,B637=2022,I637*$Q$8)</f>
        <v>221199.90346254132</v>
      </c>
      <c r="K637" s="7">
        <f t="shared" si="20"/>
        <v>605056.90346254129</v>
      </c>
      <c r="L637">
        <f>IFERROR(VLOOKUP(G637,'LEAID Match'!$A$2:$B$168,2,FALSE),"")</f>
        <v>4665460</v>
      </c>
    </row>
    <row r="638" spans="1:12" x14ac:dyDescent="0.2">
      <c r="A638">
        <f t="shared" si="19"/>
        <v>4665460</v>
      </c>
      <c r="B638">
        <v>2017</v>
      </c>
      <c r="C638" t="s">
        <v>208</v>
      </c>
      <c r="D638" t="s">
        <v>212</v>
      </c>
      <c r="E638" t="s">
        <v>211</v>
      </c>
      <c r="F638" s="3">
        <v>927200</v>
      </c>
      <c r="G638" s="3" t="s">
        <v>127</v>
      </c>
      <c r="H638" s="4">
        <v>446219</v>
      </c>
      <c r="I638" cm="1">
        <f t="array" ref="I638">_xlfn.IFS(B638=2015,H638/$O$10,B638=2016,H638/$O$11,B638=2017,H638/$O$12,B638=2018,H638/$O$13,B638=2019,H638/$O$14,B638=2020,H638/$O$15,B638=2021,H638/$O$16,B638=2022,H638/$O$17)</f>
        <v>9.2129901842267683E-3</v>
      </c>
      <c r="J638" s="6" cm="1">
        <f t="array" ref="J638">_xlfn.IFS(B638=2015,I638*$Q$1,B638=2016,I638*$Q$2,B638=2017,I638*$Q$3,B638=2018,I638*$Q$4,B638=2019,I638*$Q$5,B638=2020,I638*$Q$6,B638=2021,I638*$Q$7,B638=2022,I638*$Q$8)</f>
        <v>242352.62653284351</v>
      </c>
      <c r="K638" s="7">
        <f t="shared" si="20"/>
        <v>688571.62653284357</v>
      </c>
      <c r="L638">
        <f>IFERROR(VLOOKUP(G638,'LEAID Match'!$A$2:$B$168,2,FALSE),"")</f>
        <v>4665460</v>
      </c>
    </row>
    <row r="639" spans="1:12" x14ac:dyDescent="0.2">
      <c r="A639">
        <f t="shared" si="19"/>
        <v>4665460</v>
      </c>
      <c r="B639">
        <v>2018</v>
      </c>
      <c r="C639" t="s">
        <v>208</v>
      </c>
      <c r="D639" t="s">
        <v>212</v>
      </c>
      <c r="E639" t="s">
        <v>211</v>
      </c>
      <c r="F639" s="3">
        <v>927200</v>
      </c>
      <c r="G639" s="3" t="s">
        <v>127</v>
      </c>
      <c r="H639" s="4">
        <v>481752</v>
      </c>
      <c r="I639" cm="1">
        <f t="array" ref="I639">_xlfn.IFS(B639=2015,H639/$O$10,B639=2016,H639/$O$11,B639=2017,H639/$O$12,B639=2018,H639/$O$13,B639=2019,H639/$O$14,B639=2020,H639/$O$15,B639=2021,H639/$O$16,B639=2022,H639/$O$17)</f>
        <v>9.6073895485835944E-3</v>
      </c>
      <c r="J639" s="6" cm="1">
        <f t="array" ref="J639">_xlfn.IFS(B639=2015,I639*$Q$1,B639=2016,I639*$Q$2,B639=2017,I639*$Q$3,B639=2018,I639*$Q$4,B639=2019,I639*$Q$5,B639=2020,I639*$Q$6,B639=2021,I639*$Q$7,B639=2022,I639*$Q$8)</f>
        <v>252249.78497620707</v>
      </c>
      <c r="K639" s="7">
        <f t="shared" si="20"/>
        <v>734001.78497620707</v>
      </c>
      <c r="L639">
        <f>IFERROR(VLOOKUP(G639,'LEAID Match'!$A$2:$B$168,2,FALSE),"")</f>
        <v>4665460</v>
      </c>
    </row>
    <row r="640" spans="1:12" x14ac:dyDescent="0.2">
      <c r="A640">
        <f t="shared" si="19"/>
        <v>4665460</v>
      </c>
      <c r="B640">
        <v>2019</v>
      </c>
      <c r="C640" t="s">
        <v>208</v>
      </c>
      <c r="D640" t="s">
        <v>212</v>
      </c>
      <c r="E640" t="s">
        <v>211</v>
      </c>
      <c r="F640" s="3">
        <v>927200</v>
      </c>
      <c r="G640" s="3" t="s">
        <v>127</v>
      </c>
      <c r="H640" s="4">
        <v>495267</v>
      </c>
      <c r="I640" cm="1">
        <f t="array" ref="I640">_xlfn.IFS(B640=2015,H640/$O$10,B640=2016,H640/$O$11,B640=2017,H640/$O$12,B640=2018,H640/$O$13,B640=2019,H640/$O$14,B640=2020,H640/$O$15,B640=2021,H640/$O$16,B640=2022,H640/$O$17)</f>
        <v>9.6995723032026297E-3</v>
      </c>
      <c r="J640" s="6" cm="1">
        <f t="array" ref="J640">_xlfn.IFS(B640=2015,I640*$Q$1,B640=2016,I640*$Q$2,B640=2017,I640*$Q$3,B640=2018,I640*$Q$4,B640=2019,I640*$Q$5,B640=2020,I640*$Q$6,B640=2021,I640*$Q$7,B640=2022,I640*$Q$8)</f>
        <v>256529.00200819792</v>
      </c>
      <c r="K640" s="7">
        <f t="shared" si="20"/>
        <v>751796.00200819795</v>
      </c>
      <c r="L640">
        <f>IFERROR(VLOOKUP(G640,'LEAID Match'!$A$2:$B$168,2,FALSE),"")</f>
        <v>4665460</v>
      </c>
    </row>
    <row r="641" spans="1:12" x14ac:dyDescent="0.2">
      <c r="A641">
        <f t="shared" si="19"/>
        <v>4665460</v>
      </c>
      <c r="B641">
        <v>2020</v>
      </c>
      <c r="C641" t="s">
        <v>208</v>
      </c>
      <c r="D641" t="s">
        <v>212</v>
      </c>
      <c r="E641" t="s">
        <v>211</v>
      </c>
      <c r="F641" s="1">
        <v>927200</v>
      </c>
      <c r="G641" s="3" t="s">
        <v>127</v>
      </c>
      <c r="H641" s="2">
        <v>466733</v>
      </c>
      <c r="I641" cm="1">
        <f t="array" ref="I641">_xlfn.IFS(B641=2015,H641/$O$10,B641=2016,H641/$O$11,B641=2017,H641/$O$12,B641=2018,H641/$O$13,B641=2019,H641/$O$14,B641=2020,H641/$O$15,B641=2021,H641/$O$16,B641=2022,H641/$O$17)</f>
        <v>8.839820296337857E-3</v>
      </c>
      <c r="J641" s="6" cm="1">
        <f t="array" ref="J641">_xlfn.IFS(B641=2015,I641*$Q$1,B641=2016,I641*$Q$2,B641=2017,I641*$Q$3,B641=2018,I641*$Q$4,B641=2019,I641*$Q$5,B641=2020,I641*$Q$6,B641=2021,I641*$Q$7,B641=2022,I641*$Q$8)</f>
        <v>240356.75585591479</v>
      </c>
      <c r="K641" s="7">
        <f t="shared" si="20"/>
        <v>707089.75585591479</v>
      </c>
      <c r="L641">
        <f>IFERROR(VLOOKUP(G641,'LEAID Match'!$A$2:$B$168,2,FALSE),"")</f>
        <v>4665460</v>
      </c>
    </row>
    <row r="642" spans="1:12" x14ac:dyDescent="0.2">
      <c r="A642">
        <f t="shared" si="19"/>
        <v>4665460</v>
      </c>
      <c r="B642">
        <v>2021</v>
      </c>
      <c r="C642" t="s">
        <v>208</v>
      </c>
      <c r="D642" t="s">
        <v>212</v>
      </c>
      <c r="E642" t="s">
        <v>211</v>
      </c>
      <c r="F642" s="3">
        <v>927200</v>
      </c>
      <c r="G642" s="3" t="s">
        <v>127</v>
      </c>
      <c r="H642" s="4">
        <v>508503</v>
      </c>
      <c r="I642" cm="1">
        <f t="array" ref="I642">_xlfn.IFS(B642=2015,H642/$O$10,B642=2016,H642/$O$11,B642=2017,H642/$O$12,B642=2018,H642/$O$13,B642=2019,H642/$O$14,B642=2020,H642/$O$15,B642=2021,H642/$O$16,B642=2022,H642/$O$17)</f>
        <v>9.1843616151362304E-3</v>
      </c>
      <c r="J642" s="6" cm="1">
        <f t="array" ref="J642">_xlfn.IFS(B642=2015,I642*$Q$1,B642=2016,I642*$Q$2,B642=2017,I642*$Q$3,B642=2018,I642*$Q$4,B642=2019,I642*$Q$5,B642=2020,I642*$Q$6,B642=2021,I642*$Q$7,B642=2022,I642*$Q$8)</f>
        <v>255677.31703458022</v>
      </c>
      <c r="K642" s="7">
        <f t="shared" si="20"/>
        <v>764180.31703458028</v>
      </c>
      <c r="L642">
        <f>IFERROR(VLOOKUP(G642,'LEAID Match'!$A$2:$B$168,2,FALSE),"")</f>
        <v>4665460</v>
      </c>
    </row>
    <row r="643" spans="1:12" x14ac:dyDescent="0.2">
      <c r="A643">
        <f t="shared" ref="A643:A706" si="21">L643</f>
        <v>4665460</v>
      </c>
      <c r="B643">
        <v>2022</v>
      </c>
      <c r="C643" t="s">
        <v>208</v>
      </c>
      <c r="D643" t="s">
        <v>212</v>
      </c>
      <c r="E643" t="s">
        <v>211</v>
      </c>
      <c r="F643" s="3">
        <v>927200</v>
      </c>
      <c r="G643" s="3" t="s">
        <v>127</v>
      </c>
      <c r="H643" s="4">
        <v>941309</v>
      </c>
      <c r="I643" cm="1">
        <f t="array" ref="I643">_xlfn.IFS(B643=2015,H643/$O$10,B643=2016,H643/$O$11,B643=2017,H643/$O$12,B643=2018,H643/$O$13,B643=2019,H643/$O$14,B643=2020,H643/$O$15,B643=2021,H643/$O$16,B643=2022,H643/$O$17)</f>
        <v>1.6302137071449958E-2</v>
      </c>
      <c r="J643" s="6" cm="1">
        <f t="array" ref="J643">_xlfn.IFS(B643=2015,I643*$Q$1,B643=2016,I643*$Q$2,B643=2017,I643*$Q$3,B643=2018,I643*$Q$4,B643=2019,I643*$Q$5,B643=2020,I643*$Q$6,B643=2021,I643*$Q$7,B643=2022,I643*$Q$8)</f>
        <v>480227.47353537101</v>
      </c>
      <c r="K643" s="7">
        <f t="shared" ref="K643:K706" si="22">SUM(J643,H643)</f>
        <v>1421536.473535371</v>
      </c>
      <c r="L643">
        <f>IFERROR(VLOOKUP(G643,'LEAID Match'!$A$2:$B$168,2,FALSE),"")</f>
        <v>4665460</v>
      </c>
    </row>
    <row r="644" spans="1:12" x14ac:dyDescent="0.2">
      <c r="A644">
        <f t="shared" si="21"/>
        <v>4624030</v>
      </c>
      <c r="B644">
        <v>2015</v>
      </c>
      <c r="C644" t="s">
        <v>208</v>
      </c>
      <c r="D644" t="s">
        <v>212</v>
      </c>
      <c r="E644" t="s">
        <v>211</v>
      </c>
      <c r="F644" s="3">
        <v>928117</v>
      </c>
      <c r="G644" s="3" t="s">
        <v>52</v>
      </c>
      <c r="H644" s="4">
        <v>89760</v>
      </c>
      <c r="I644" cm="1">
        <f t="array" ref="I644">_xlfn.IFS(B644=2015,H644/$O$10,B644=2016,H644/$O$11,B644=2017,H644/$O$12,B644=2018,H644/$O$13,B644=2019,H644/$O$14,B644=2020,H644/$O$15,B644=2021,H644/$O$16,B644=2022,H644/$O$17)</f>
        <v>2.0995127404238559E-3</v>
      </c>
      <c r="J644" s="6" cm="1">
        <f t="array" ref="J644">_xlfn.IFS(B644=2015,I644*$Q$1,B644=2016,I644*$Q$2,B644=2017,I644*$Q$3,B644=2018,I644*$Q$4,B644=2019,I644*$Q$5,B644=2020,I644*$Q$6,B644=2021,I644*$Q$7,B644=2022,I644*$Q$8)</f>
        <v>51631.542736978226</v>
      </c>
      <c r="K644" s="7">
        <f t="shared" si="22"/>
        <v>141391.54273697821</v>
      </c>
      <c r="L644">
        <f>IFERROR(VLOOKUP(G644,'LEAID Match'!$A$2:$B$168,2,FALSE),"")</f>
        <v>4624030</v>
      </c>
    </row>
    <row r="645" spans="1:12" x14ac:dyDescent="0.2">
      <c r="A645">
        <f t="shared" si="21"/>
        <v>4624030</v>
      </c>
      <c r="B645">
        <v>2016</v>
      </c>
      <c r="C645" t="s">
        <v>208</v>
      </c>
      <c r="D645" t="s">
        <v>212</v>
      </c>
      <c r="E645" t="s">
        <v>211</v>
      </c>
      <c r="F645" s="3">
        <v>928117</v>
      </c>
      <c r="G645" s="3" t="s">
        <v>52</v>
      </c>
      <c r="H645" s="4">
        <v>77651</v>
      </c>
      <c r="I645" cm="1">
        <f t="array" ref="I645">_xlfn.IFS(B645=2015,H645/$O$10,B645=2016,H645/$O$11,B645=2017,H645/$O$12,B645=2018,H645/$O$13,B645=2019,H645/$O$14,B645=2020,H645/$O$15,B645=2021,H645/$O$16,B645=2022,H645/$O$17)</f>
        <v>1.7612846937711999E-3</v>
      </c>
      <c r="J645" s="6" cm="1">
        <f t="array" ref="J645">_xlfn.IFS(B645=2015,I645*$Q$1,B645=2016,I645*$Q$2,B645=2017,I645*$Q$3,B645=2018,I645*$Q$4,B645=2019,I645*$Q$5,B645=2020,I645*$Q$6,B645=2021,I645*$Q$7,B645=2022,I645*$Q$8)</f>
        <v>44746.855479435821</v>
      </c>
      <c r="K645" s="7">
        <f t="shared" si="22"/>
        <v>122397.85547943582</v>
      </c>
      <c r="L645">
        <f>IFERROR(VLOOKUP(G645,'LEAID Match'!$A$2:$B$168,2,FALSE),"")</f>
        <v>4624030</v>
      </c>
    </row>
    <row r="646" spans="1:12" x14ac:dyDescent="0.2">
      <c r="A646">
        <f t="shared" si="21"/>
        <v>4624030</v>
      </c>
      <c r="B646">
        <v>2017</v>
      </c>
      <c r="C646" t="s">
        <v>208</v>
      </c>
      <c r="D646" t="s">
        <v>212</v>
      </c>
      <c r="E646" t="s">
        <v>211</v>
      </c>
      <c r="F646" s="3">
        <v>928117</v>
      </c>
      <c r="G646" s="3" t="s">
        <v>52</v>
      </c>
      <c r="H646" s="4">
        <v>97636</v>
      </c>
      <c r="I646" cm="1">
        <f t="array" ref="I646">_xlfn.IFS(B646=2015,H646/$O$10,B646=2016,H646/$O$11,B646=2017,H646/$O$12,B646=2018,H646/$O$13,B646=2019,H646/$O$14,B646=2020,H646/$O$15,B646=2021,H646/$O$16,B646=2022,H646/$O$17)</f>
        <v>2.0158700315924798E-3</v>
      </c>
      <c r="J646" s="6" cm="1">
        <f t="array" ref="J646">_xlfn.IFS(B646=2015,I646*$Q$1,B646=2016,I646*$Q$2,B646=2017,I646*$Q$3,B646=2018,I646*$Q$4,B646=2019,I646*$Q$5,B646=2020,I646*$Q$6,B646=2021,I646*$Q$7,B646=2022,I646*$Q$8)</f>
        <v>53028.537655637054</v>
      </c>
      <c r="K646" s="7">
        <f t="shared" si="22"/>
        <v>150664.53765563705</v>
      </c>
      <c r="L646">
        <f>IFERROR(VLOOKUP(G646,'LEAID Match'!$A$2:$B$168,2,FALSE),"")</f>
        <v>4624030</v>
      </c>
    </row>
    <row r="647" spans="1:12" x14ac:dyDescent="0.2">
      <c r="A647">
        <f t="shared" si="21"/>
        <v>4624030</v>
      </c>
      <c r="B647">
        <v>2018</v>
      </c>
      <c r="C647" t="s">
        <v>208</v>
      </c>
      <c r="D647" t="s">
        <v>212</v>
      </c>
      <c r="E647" t="s">
        <v>211</v>
      </c>
      <c r="F647" s="3">
        <v>928117</v>
      </c>
      <c r="G647" s="3" t="s">
        <v>52</v>
      </c>
      <c r="H647" s="4">
        <v>103299</v>
      </c>
      <c r="I647" cm="1">
        <f t="array" ref="I647">_xlfn.IFS(B647=2015,H647/$O$10,B647=2016,H647/$O$11,B647=2017,H647/$O$12,B647=2018,H647/$O$13,B647=2019,H647/$O$14,B647=2020,H647/$O$15,B647=2021,H647/$O$16,B647=2022,H647/$O$17)</f>
        <v>2.0600510905593268E-3</v>
      </c>
      <c r="J647" s="6" cm="1">
        <f t="array" ref="J647">_xlfn.IFS(B647=2015,I647*$Q$1,B647=2016,I647*$Q$2,B647=2017,I647*$Q$3,B647=2018,I647*$Q$4,B647=2019,I647*$Q$5,B647=2020,I647*$Q$6,B647=2021,I647*$Q$7,B647=2022,I647*$Q$8)</f>
        <v>54088.307963967389</v>
      </c>
      <c r="K647" s="7">
        <f t="shared" si="22"/>
        <v>157387.30796396738</v>
      </c>
      <c r="L647">
        <f>IFERROR(VLOOKUP(G647,'LEAID Match'!$A$2:$B$168,2,FALSE),"")</f>
        <v>4624030</v>
      </c>
    </row>
    <row r="648" spans="1:12" x14ac:dyDescent="0.2">
      <c r="A648">
        <f t="shared" si="21"/>
        <v>4624030</v>
      </c>
      <c r="B648">
        <v>2019</v>
      </c>
      <c r="C648" t="s">
        <v>208</v>
      </c>
      <c r="D648" t="s">
        <v>212</v>
      </c>
      <c r="E648" t="s">
        <v>211</v>
      </c>
      <c r="F648" s="3">
        <v>928117</v>
      </c>
      <c r="G648" s="3" t="s">
        <v>52</v>
      </c>
      <c r="H648" s="4">
        <v>110756</v>
      </c>
      <c r="I648" cm="1">
        <f t="array" ref="I648">_xlfn.IFS(B648=2015,H648/$O$10,B648=2016,H648/$O$11,B648=2017,H648/$O$12,B648=2018,H648/$O$13,B648=2019,H648/$O$14,B648=2020,H648/$O$15,B648=2021,H648/$O$16,B648=2022,H648/$O$17)</f>
        <v>2.1691044022991847E-3</v>
      </c>
      <c r="J648" s="6" cm="1">
        <f t="array" ref="J648">_xlfn.IFS(B648=2015,I648*$Q$1,B648=2016,I648*$Q$2,B648=2017,I648*$Q$3,B648=2018,I648*$Q$4,B648=2019,I648*$Q$5,B648=2020,I648*$Q$6,B648=2021,I648*$Q$7,B648=2022,I648*$Q$8)</f>
        <v>57367.291070109583</v>
      </c>
      <c r="K648" s="7">
        <f t="shared" si="22"/>
        <v>168123.29107010958</v>
      </c>
      <c r="L648">
        <f>IFERROR(VLOOKUP(G648,'LEAID Match'!$A$2:$B$168,2,FALSE),"")</f>
        <v>4624030</v>
      </c>
    </row>
    <row r="649" spans="1:12" x14ac:dyDescent="0.2">
      <c r="A649">
        <f t="shared" si="21"/>
        <v>4624030</v>
      </c>
      <c r="B649">
        <v>2020</v>
      </c>
      <c r="C649" t="s">
        <v>208</v>
      </c>
      <c r="D649" t="s">
        <v>212</v>
      </c>
      <c r="E649" t="s">
        <v>211</v>
      </c>
      <c r="F649" s="1">
        <v>928117</v>
      </c>
      <c r="G649" s="3" t="s">
        <v>52</v>
      </c>
      <c r="H649" s="2">
        <v>118213</v>
      </c>
      <c r="I649" cm="1">
        <f t="array" ref="I649">_xlfn.IFS(B649=2015,H649/$O$10,B649=2016,H649/$O$11,B649=2017,H649/$O$12,B649=2018,H649/$O$13,B649=2019,H649/$O$14,B649=2020,H649/$O$15,B649=2021,H649/$O$16,B649=2022,H649/$O$17)</f>
        <v>2.2389282024004881E-3</v>
      </c>
      <c r="J649" s="6" cm="1">
        <f t="array" ref="J649">_xlfn.IFS(B649=2015,I649*$Q$1,B649=2016,I649*$Q$2,B649=2017,I649*$Q$3,B649=2018,I649*$Q$4,B649=2019,I649*$Q$5,B649=2020,I649*$Q$6,B649=2021,I649*$Q$7,B649=2022,I649*$Q$8)</f>
        <v>60876.975015684024</v>
      </c>
      <c r="K649" s="7">
        <f t="shared" si="22"/>
        <v>179089.97501568403</v>
      </c>
      <c r="L649">
        <f>IFERROR(VLOOKUP(G649,'LEAID Match'!$A$2:$B$168,2,FALSE),"")</f>
        <v>4624030</v>
      </c>
    </row>
    <row r="650" spans="1:12" x14ac:dyDescent="0.2">
      <c r="A650">
        <f t="shared" si="21"/>
        <v>4624030</v>
      </c>
      <c r="B650">
        <v>2021</v>
      </c>
      <c r="C650" t="s">
        <v>208</v>
      </c>
      <c r="D650" t="s">
        <v>212</v>
      </c>
      <c r="E650" t="s">
        <v>211</v>
      </c>
      <c r="F650" s="3">
        <v>928117</v>
      </c>
      <c r="G650" s="3" t="s">
        <v>52</v>
      </c>
      <c r="H650" s="4">
        <v>128201</v>
      </c>
      <c r="I650" cm="1">
        <f t="array" ref="I650">_xlfn.IFS(B650=2015,H650/$O$10,B650=2016,H650/$O$11,B650=2017,H650/$O$12,B650=2018,H650/$O$13,B650=2019,H650/$O$14,B650=2020,H650/$O$15,B650=2021,H650/$O$16,B650=2022,H650/$O$17)</f>
        <v>2.3155111049926545E-3</v>
      </c>
      <c r="J650" s="6" cm="1">
        <f t="array" ref="J650">_xlfn.IFS(B650=2015,I650*$Q$1,B650=2016,I650*$Q$2,B650=2017,I650*$Q$3,B650=2018,I650*$Q$4,B650=2019,I650*$Q$5,B650=2020,I650*$Q$6,B650=2021,I650*$Q$7,B650=2022,I650*$Q$8)</f>
        <v>64459.969205983478</v>
      </c>
      <c r="K650" s="7">
        <f t="shared" si="22"/>
        <v>192660.96920598348</v>
      </c>
      <c r="L650">
        <f>IFERROR(VLOOKUP(G650,'LEAID Match'!$A$2:$B$168,2,FALSE),"")</f>
        <v>4624030</v>
      </c>
    </row>
    <row r="651" spans="1:12" x14ac:dyDescent="0.2">
      <c r="A651">
        <f t="shared" si="21"/>
        <v>4624030</v>
      </c>
      <c r="B651">
        <v>2022</v>
      </c>
      <c r="C651" t="s">
        <v>208</v>
      </c>
      <c r="D651" t="s">
        <v>212</v>
      </c>
      <c r="E651" t="s">
        <v>211</v>
      </c>
      <c r="F651" s="3">
        <v>928117</v>
      </c>
      <c r="G651" s="3" t="s">
        <v>52</v>
      </c>
      <c r="H651" s="4">
        <v>135396</v>
      </c>
      <c r="I651" cm="1">
        <f t="array" ref="I651">_xlfn.IFS(B651=2015,H651/$O$10,B651=2016,H651/$O$11,B651=2017,H651/$O$12,B651=2018,H651/$O$13,B651=2019,H651/$O$14,B651=2020,H651/$O$15,B651=2021,H651/$O$16,B651=2022,H651/$O$17)</f>
        <v>2.3448667238133688E-3</v>
      </c>
      <c r="J651" s="6" cm="1">
        <f t="array" ref="J651">_xlfn.IFS(B651=2015,I651*$Q$1,B651=2016,I651*$Q$2,B651=2017,I651*$Q$3,B651=2018,I651*$Q$4,B651=2019,I651*$Q$5,B651=2020,I651*$Q$6,B651=2021,I651*$Q$7,B651=2022,I651*$Q$8)</f>
        <v>69074.957327291137</v>
      </c>
      <c r="K651" s="7">
        <f t="shared" si="22"/>
        <v>204470.95732729114</v>
      </c>
      <c r="L651">
        <f>IFERROR(VLOOKUP(G651,'LEAID Match'!$A$2:$B$168,2,FALSE),"")</f>
        <v>4624030</v>
      </c>
    </row>
    <row r="652" spans="1:12" x14ac:dyDescent="0.2">
      <c r="A652">
        <f t="shared" si="21"/>
        <v>4600002</v>
      </c>
      <c r="B652">
        <v>2015</v>
      </c>
      <c r="C652" t="s">
        <v>208</v>
      </c>
      <c r="D652" t="s">
        <v>212</v>
      </c>
      <c r="E652" t="s">
        <v>211</v>
      </c>
      <c r="F652" s="3">
        <v>929103</v>
      </c>
      <c r="G652" s="3" t="s">
        <v>98</v>
      </c>
      <c r="H652" s="4">
        <v>259967</v>
      </c>
      <c r="I652" cm="1">
        <f t="array" ref="I652">_xlfn.IFS(B652=2015,H652/$O$10,B652=2016,H652/$O$11,B652=2017,H652/$O$12,B652=2018,H652/$O$13,B652=2019,H652/$O$14,B652=2020,H652/$O$15,B652=2021,H652/$O$16,B652=2022,H652/$O$17)</f>
        <v>6.0807044183352112E-3</v>
      </c>
      <c r="J652" s="6" cm="1">
        <f t="array" ref="J652">_xlfn.IFS(B652=2015,I652*$Q$1,B652=2016,I652*$Q$2,B652=2017,I652*$Q$3,B652=2018,I652*$Q$4,B652=2019,I652*$Q$5,B652=2020,I652*$Q$6,B652=2021,I652*$Q$7,B652=2022,I652*$Q$8)</f>
        <v>149537.62556488437</v>
      </c>
      <c r="K652" s="7">
        <f t="shared" si="22"/>
        <v>409504.62556488439</v>
      </c>
      <c r="L652">
        <f>IFERROR(VLOOKUP(G652,'LEAID Match'!$A$2:$B$168,2,FALSE),"")</f>
        <v>4600002</v>
      </c>
    </row>
    <row r="653" spans="1:12" x14ac:dyDescent="0.2">
      <c r="A653">
        <f t="shared" si="21"/>
        <v>4600002</v>
      </c>
      <c r="B653">
        <v>2016</v>
      </c>
      <c r="C653" t="s">
        <v>208</v>
      </c>
      <c r="D653" t="s">
        <v>212</v>
      </c>
      <c r="E653" t="s">
        <v>211</v>
      </c>
      <c r="F653" s="3">
        <v>929103</v>
      </c>
      <c r="G653" s="3" t="s">
        <v>98</v>
      </c>
      <c r="H653" s="4">
        <v>275260</v>
      </c>
      <c r="I653" cm="1">
        <f t="array" ref="I653">_xlfn.IFS(B653=2015,H653/$O$10,B653=2016,H653/$O$11,B653=2017,H653/$O$12,B653=2018,H653/$O$13,B653=2019,H653/$O$14,B653=2020,H653/$O$15,B653=2021,H653/$O$16,B653=2022,H653/$O$17)</f>
        <v>6.2434640224525179E-3</v>
      </c>
      <c r="J653" s="6" cm="1">
        <f t="array" ref="J653">_xlfn.IFS(B653=2015,I653*$Q$1,B653=2016,I653*$Q$2,B653=2017,I653*$Q$3,B653=2018,I653*$Q$4,B653=2019,I653*$Q$5,B653=2020,I653*$Q$6,B653=2021,I653*$Q$7,B653=2022,I653*$Q$8)</f>
        <v>158620.2294789443</v>
      </c>
      <c r="K653" s="7">
        <f t="shared" si="22"/>
        <v>433880.22947894433</v>
      </c>
      <c r="L653">
        <f>IFERROR(VLOOKUP(G653,'LEAID Match'!$A$2:$B$168,2,FALSE),"")</f>
        <v>4600002</v>
      </c>
    </row>
    <row r="654" spans="1:12" x14ac:dyDescent="0.2">
      <c r="A654">
        <f t="shared" si="21"/>
        <v>4600002</v>
      </c>
      <c r="B654">
        <v>2017</v>
      </c>
      <c r="C654" t="s">
        <v>208</v>
      </c>
      <c r="D654" t="s">
        <v>212</v>
      </c>
      <c r="E654" t="s">
        <v>211</v>
      </c>
      <c r="F654" s="3">
        <v>929103</v>
      </c>
      <c r="G654" s="3" t="s">
        <v>98</v>
      </c>
      <c r="H654" s="4">
        <v>297201</v>
      </c>
      <c r="I654" cm="1">
        <f t="array" ref="I654">_xlfn.IFS(B654=2015,H654/$O$10,B654=2016,H654/$O$11,B654=2017,H654/$O$12,B654=2018,H654/$O$13,B654=2019,H654/$O$14,B654=2020,H654/$O$15,B654=2021,H654/$O$16,B654=2022,H654/$O$17)</f>
        <v>6.1362467661448305E-3</v>
      </c>
      <c r="J654" s="6" cm="1">
        <f t="array" ref="J654">_xlfn.IFS(B654=2015,I654*$Q$1,B654=2016,I654*$Q$2,B654=2017,I654*$Q$3,B654=2018,I654*$Q$4,B654=2019,I654*$Q$5,B654=2020,I654*$Q$6,B654=2021,I654*$Q$7,B654=2022,I654*$Q$8)</f>
        <v>161417.24793921289</v>
      </c>
      <c r="K654" s="7">
        <f t="shared" si="22"/>
        <v>458618.24793921289</v>
      </c>
      <c r="L654">
        <f>IFERROR(VLOOKUP(G654,'LEAID Match'!$A$2:$B$168,2,FALSE),"")</f>
        <v>4600002</v>
      </c>
    </row>
    <row r="655" spans="1:12" x14ac:dyDescent="0.2">
      <c r="A655">
        <f t="shared" si="21"/>
        <v>4600002</v>
      </c>
      <c r="B655">
        <v>2018</v>
      </c>
      <c r="C655" t="s">
        <v>208</v>
      </c>
      <c r="D655" t="s">
        <v>212</v>
      </c>
      <c r="E655" t="s">
        <v>211</v>
      </c>
      <c r="F655" s="3">
        <v>929103</v>
      </c>
      <c r="G655" s="3" t="s">
        <v>98</v>
      </c>
      <c r="H655" s="4">
        <v>309544</v>
      </c>
      <c r="I655" cm="1">
        <f t="array" ref="I655">_xlfn.IFS(B655=2015,H655/$O$10,B655=2016,H655/$O$11,B655=2017,H655/$O$12,B655=2018,H655/$O$13,B655=2019,H655/$O$14,B655=2020,H655/$O$15,B655=2021,H655/$O$16,B655=2022,H655/$O$17)</f>
        <v>6.173113532329415E-3</v>
      </c>
      <c r="J655" s="6" cm="1">
        <f t="array" ref="J655">_xlfn.IFS(B655=2015,I655*$Q$1,B655=2016,I655*$Q$2,B655=2017,I655*$Q$3,B655=2018,I655*$Q$4,B655=2019,I655*$Q$5,B655=2020,I655*$Q$6,B655=2021,I655*$Q$7,B655=2022,I655*$Q$8)</f>
        <v>162080.08984015643</v>
      </c>
      <c r="K655" s="7">
        <f t="shared" si="22"/>
        <v>471624.08984015643</v>
      </c>
      <c r="L655">
        <f>IFERROR(VLOOKUP(G655,'LEAID Match'!$A$2:$B$168,2,FALSE),"")</f>
        <v>4600002</v>
      </c>
    </row>
    <row r="656" spans="1:12" x14ac:dyDescent="0.2">
      <c r="A656">
        <f t="shared" si="21"/>
        <v>4600002</v>
      </c>
      <c r="B656">
        <v>2019</v>
      </c>
      <c r="C656" t="s">
        <v>208</v>
      </c>
      <c r="D656" t="s">
        <v>212</v>
      </c>
      <c r="E656" t="s">
        <v>211</v>
      </c>
      <c r="F656" s="3">
        <v>929103</v>
      </c>
      <c r="G656" s="3" t="s">
        <v>98</v>
      </c>
      <c r="H656" s="4">
        <v>330358</v>
      </c>
      <c r="I656" cm="1">
        <f t="array" ref="I656">_xlfn.IFS(B656=2015,H656/$O$10,B656=2016,H656/$O$11,B656=2017,H656/$O$12,B656=2018,H656/$O$13,B656=2019,H656/$O$14,B656=2020,H656/$O$15,B656=2021,H656/$O$16,B656=2022,H656/$O$17)</f>
        <v>6.4699067511895889E-3</v>
      </c>
      <c r="J656" s="6" cm="1">
        <f t="array" ref="J656">_xlfn.IFS(B656=2015,I656*$Q$1,B656=2016,I656*$Q$2,B656=2017,I656*$Q$3,B656=2018,I656*$Q$4,B656=2019,I656*$Q$5,B656=2020,I656*$Q$6,B656=2021,I656*$Q$7,B656=2022,I656*$Q$8)</f>
        <v>171112.56765628286</v>
      </c>
      <c r="K656" s="7">
        <f t="shared" si="22"/>
        <v>501470.56765628286</v>
      </c>
      <c r="L656">
        <f>IFERROR(VLOOKUP(G656,'LEAID Match'!$A$2:$B$168,2,FALSE),"")</f>
        <v>4600002</v>
      </c>
    </row>
    <row r="657" spans="1:12" x14ac:dyDescent="0.2">
      <c r="A657">
        <f t="shared" si="21"/>
        <v>4600002</v>
      </c>
      <c r="B657">
        <v>2020</v>
      </c>
      <c r="C657" t="s">
        <v>208</v>
      </c>
      <c r="D657" t="s">
        <v>212</v>
      </c>
      <c r="E657" t="s">
        <v>211</v>
      </c>
      <c r="F657" s="1">
        <v>929103</v>
      </c>
      <c r="G657" s="3" t="s">
        <v>98</v>
      </c>
      <c r="H657" s="2">
        <v>344550</v>
      </c>
      <c r="I657" cm="1">
        <f t="array" ref="I657">_xlfn.IFS(B657=2015,H657/$O$10,B657=2016,H657/$O$11,B657=2017,H657/$O$12,B657=2018,H657/$O$13,B657=2019,H657/$O$14,B657=2020,H657/$O$15,B657=2021,H657/$O$16,B657=2022,H657/$O$17)</f>
        <v>6.5257011676980387E-3</v>
      </c>
      <c r="J657" s="6" cm="1">
        <f t="array" ref="J657">_xlfn.IFS(B657=2015,I657*$Q$1,B657=2016,I657*$Q$2,B657=2017,I657*$Q$3,B657=2018,I657*$Q$4,B657=2019,I657*$Q$5,B657=2020,I657*$Q$6,B657=2021,I657*$Q$7,B657=2022,I657*$Q$8)</f>
        <v>177435.3221866794</v>
      </c>
      <c r="K657" s="7">
        <f t="shared" si="22"/>
        <v>521985.3221866794</v>
      </c>
      <c r="L657">
        <f>IFERROR(VLOOKUP(G657,'LEAID Match'!$A$2:$B$168,2,FALSE),"")</f>
        <v>4600002</v>
      </c>
    </row>
    <row r="658" spans="1:12" x14ac:dyDescent="0.2">
      <c r="A658">
        <f t="shared" si="21"/>
        <v>4600002</v>
      </c>
      <c r="B658">
        <v>2021</v>
      </c>
      <c r="C658" t="s">
        <v>208</v>
      </c>
      <c r="D658" t="s">
        <v>212</v>
      </c>
      <c r="E658" t="s">
        <v>211</v>
      </c>
      <c r="F658" s="3">
        <v>929103</v>
      </c>
      <c r="G658" s="3" t="s">
        <v>98</v>
      </c>
      <c r="H658" s="4">
        <v>372065</v>
      </c>
      <c r="I658" cm="1">
        <f t="array" ref="I658">_xlfn.IFS(B658=2015,H658/$O$10,B658=2016,H658/$O$11,B658=2017,H658/$O$12,B658=2018,H658/$O$13,B658=2019,H658/$O$14,B658=2020,H658/$O$15,B658=2021,H658/$O$16,B658=2022,H658/$O$17)</f>
        <v>6.7200773728683244E-3</v>
      </c>
      <c r="J658" s="6" cm="1">
        <f t="array" ref="J658">_xlfn.IFS(B658=2015,I658*$Q$1,B658=2016,I658*$Q$2,B658=2017,I658*$Q$3,B658=2018,I658*$Q$4,B658=2019,I658*$Q$5,B658=2020,I658*$Q$6,B658=2021,I658*$Q$7,B658=2022,I658*$Q$8)</f>
        <v>187075.75169167359</v>
      </c>
      <c r="K658" s="7">
        <f t="shared" si="22"/>
        <v>559140.75169167365</v>
      </c>
      <c r="L658">
        <f>IFERROR(VLOOKUP(G658,'LEAID Match'!$A$2:$B$168,2,FALSE),"")</f>
        <v>4600002</v>
      </c>
    </row>
    <row r="659" spans="1:12" x14ac:dyDescent="0.2">
      <c r="A659">
        <f t="shared" si="21"/>
        <v>4600002</v>
      </c>
      <c r="B659">
        <v>2022</v>
      </c>
      <c r="C659" t="s">
        <v>208</v>
      </c>
      <c r="D659" t="s">
        <v>212</v>
      </c>
      <c r="E659" t="s">
        <v>211</v>
      </c>
      <c r="F659" s="3">
        <v>929103</v>
      </c>
      <c r="G659" s="3" t="s">
        <v>98</v>
      </c>
      <c r="H659" s="4">
        <v>384584</v>
      </c>
      <c r="I659" cm="1">
        <f t="array" ref="I659">_xlfn.IFS(B659=2015,H659/$O$10,B659=2016,H659/$O$11,B659=2017,H659/$O$12,B659=2018,H659/$O$13,B659=2019,H659/$O$14,B659=2020,H659/$O$15,B659=2021,H659/$O$16,B659=2022,H659/$O$17)</f>
        <v>6.6604495266554455E-3</v>
      </c>
      <c r="J659" s="6" cm="1">
        <f t="array" ref="J659">_xlfn.IFS(B659=2015,I659*$Q$1,B659=2016,I659*$Q$2,B659=2017,I659*$Q$3,B659=2018,I659*$Q$4,B659=2019,I659*$Q$5,B659=2020,I659*$Q$6,B659=2021,I659*$Q$7,B659=2022,I659*$Q$8)</f>
        <v>196203.16249194168</v>
      </c>
      <c r="K659" s="7">
        <f t="shared" si="22"/>
        <v>580787.16249194171</v>
      </c>
      <c r="L659">
        <f>IFERROR(VLOOKUP(G659,'LEAID Match'!$A$2:$B$168,2,FALSE),"")</f>
        <v>4600002</v>
      </c>
    </row>
    <row r="660" spans="1:12" x14ac:dyDescent="0.2">
      <c r="A660">
        <f t="shared" si="21"/>
        <v>4629340</v>
      </c>
      <c r="B660">
        <v>2015</v>
      </c>
      <c r="C660" t="s">
        <v>208</v>
      </c>
      <c r="D660" t="s">
        <v>212</v>
      </c>
      <c r="E660" t="s">
        <v>211</v>
      </c>
      <c r="F660" s="3">
        <v>929106</v>
      </c>
      <c r="G660" s="3" t="s">
        <v>190</v>
      </c>
      <c r="H660" s="4">
        <v>51029</v>
      </c>
      <c r="I660" cm="1">
        <f t="array" ref="I660">_xlfn.IFS(B660=2015,H660/$O$10,B660=2016,H660/$O$11,B660=2017,H660/$O$12,B660=2018,H660/$O$13,B660=2019,H660/$O$14,B660=2020,H660/$O$15,B660=2021,H660/$O$16,B660=2022,H660/$O$17)</f>
        <v>1.1935832846600818E-3</v>
      </c>
      <c r="J660" s="6" cm="1">
        <f t="array" ref="J660">_xlfn.IFS(B660=2015,I660*$Q$1,B660=2016,I660*$Q$2,B660=2017,I660*$Q$3,B660=2018,I660*$Q$4,B660=2019,I660*$Q$5,B660=2020,I660*$Q$6,B660=2021,I660*$Q$7,B660=2022,I660*$Q$8)</f>
        <v>29352.785141769851</v>
      </c>
      <c r="K660" s="7">
        <f t="shared" si="22"/>
        <v>80381.785141769855</v>
      </c>
      <c r="L660">
        <f>IFERROR(VLOOKUP(G660,'LEAID Match'!$A$2:$B$168,2,FALSE),"")</f>
        <v>4629340</v>
      </c>
    </row>
    <row r="661" spans="1:12" x14ac:dyDescent="0.2">
      <c r="A661">
        <f t="shared" si="21"/>
        <v>4629340</v>
      </c>
      <c r="B661">
        <v>2016</v>
      </c>
      <c r="C661" t="s">
        <v>208</v>
      </c>
      <c r="D661" t="s">
        <v>212</v>
      </c>
      <c r="E661" t="s">
        <v>211</v>
      </c>
      <c r="F661" s="3">
        <v>929106</v>
      </c>
      <c r="G661" s="3" t="s">
        <v>190</v>
      </c>
      <c r="H661" s="4">
        <v>38094</v>
      </c>
      <c r="I661" cm="1">
        <f t="array" ref="I661">_xlfn.IFS(B661=2015,H661/$O$10,B661=2016,H661/$O$11,B661=2017,H661/$O$12,B661=2018,H661/$O$13,B661=2019,H661/$O$14,B661=2020,H661/$O$15,B661=2021,H661/$O$16,B661=2022,H661/$O$17)</f>
        <v>8.6405041949904173E-4</v>
      </c>
      <c r="J661" s="6" cm="1">
        <f t="array" ref="J661">_xlfn.IFS(B661=2015,I661*$Q$1,B661=2016,I661*$Q$2,B661=2017,I661*$Q$3,B661=2018,I661*$Q$4,B661=2019,I661*$Q$5,B661=2020,I661*$Q$6,B661=2021,I661*$Q$7,B661=2022,I661*$Q$8)</f>
        <v>21951.896467960851</v>
      </c>
      <c r="K661" s="7">
        <f t="shared" si="22"/>
        <v>60045.896467960847</v>
      </c>
      <c r="L661">
        <f>IFERROR(VLOOKUP(G661,'LEAID Match'!$A$2:$B$168,2,FALSE),"")</f>
        <v>4629340</v>
      </c>
    </row>
    <row r="662" spans="1:12" x14ac:dyDescent="0.2">
      <c r="A662">
        <f t="shared" si="21"/>
        <v>4629340</v>
      </c>
      <c r="B662">
        <v>2017</v>
      </c>
      <c r="C662" t="s">
        <v>208</v>
      </c>
      <c r="D662" t="s">
        <v>212</v>
      </c>
      <c r="E662" t="s">
        <v>211</v>
      </c>
      <c r="F662" s="3">
        <v>929106</v>
      </c>
      <c r="G662" s="3" t="s">
        <v>190</v>
      </c>
      <c r="H662" s="4">
        <v>56556</v>
      </c>
      <c r="I662" cm="1">
        <f t="array" ref="I662">_xlfn.IFS(B662=2015,H662/$O$10,B662=2016,H662/$O$11,B662=2017,H662/$O$12,B662=2018,H662/$O$13,B662=2019,H662/$O$14,B662=2020,H662/$O$15,B662=2021,H662/$O$16,B662=2022,H662/$O$17)</f>
        <v>1.1676998802362273E-3</v>
      </c>
      <c r="J662" s="6" cm="1">
        <f t="array" ref="J662">_xlfn.IFS(B662=2015,I662*$Q$1,B662=2016,I662*$Q$2,B662=2017,I662*$Q$3,B662=2018,I662*$Q$4,B662=2019,I662*$Q$5,B662=2020,I662*$Q$6,B662=2021,I662*$Q$7,B662=2022,I662*$Q$8)</f>
        <v>30716.968901350006</v>
      </c>
      <c r="K662" s="7">
        <f t="shared" si="22"/>
        <v>87272.968901350003</v>
      </c>
      <c r="L662">
        <f>IFERROR(VLOOKUP(G662,'LEAID Match'!$A$2:$B$168,2,FALSE),"")</f>
        <v>4629340</v>
      </c>
    </row>
    <row r="663" spans="1:12" x14ac:dyDescent="0.2">
      <c r="A663">
        <f t="shared" si="21"/>
        <v>4606960</v>
      </c>
      <c r="B663">
        <v>2015</v>
      </c>
      <c r="C663" t="s">
        <v>208</v>
      </c>
      <c r="D663" t="s">
        <v>212</v>
      </c>
      <c r="E663" t="s">
        <v>211</v>
      </c>
      <c r="F663" s="3">
        <v>929144</v>
      </c>
      <c r="G663" s="3" t="s">
        <v>11</v>
      </c>
      <c r="H663" s="4">
        <v>48792</v>
      </c>
      <c r="I663" cm="1">
        <f t="array" ref="I663">_xlfn.IFS(B663=2015,H663/$O$10,B663=2016,H663/$O$11,B663=2017,H663/$O$12,B663=2018,H663/$O$13,B663=2019,H663/$O$14,B663=2020,H663/$O$15,B663=2021,H663/$O$16,B663=2022,H663/$O$17)</f>
        <v>1.1412591982036628E-3</v>
      </c>
      <c r="J663" s="6" cm="1">
        <f t="array" ref="J663">_xlfn.IFS(B663=2015,I663*$Q$1,B663=2016,I663*$Q$2,B663=2017,I663*$Q$3,B663=2018,I663*$Q$4,B663=2019,I663*$Q$5,B663=2020,I663*$Q$6,B663=2021,I663*$Q$7,B663=2022,I663*$Q$8)</f>
        <v>28066.023097400197</v>
      </c>
      <c r="K663" s="7">
        <f t="shared" si="22"/>
        <v>76858.023097400204</v>
      </c>
      <c r="L663">
        <f>IFERROR(VLOOKUP(G663,'LEAID Match'!$A$2:$B$168,2,FALSE),"")</f>
        <v>4606960</v>
      </c>
    </row>
    <row r="664" spans="1:12" x14ac:dyDescent="0.2">
      <c r="A664">
        <f t="shared" si="21"/>
        <v>4606960</v>
      </c>
      <c r="B664">
        <v>2016</v>
      </c>
      <c r="C664" t="s">
        <v>208</v>
      </c>
      <c r="D664" t="s">
        <v>212</v>
      </c>
      <c r="E664" t="s">
        <v>211</v>
      </c>
      <c r="F664" s="3">
        <v>929144</v>
      </c>
      <c r="G664" s="3" t="s">
        <v>11</v>
      </c>
      <c r="H664" s="4">
        <v>45191</v>
      </c>
      <c r="I664" cm="1">
        <f t="array" ref="I664">_xlfn.IFS(B664=2015,H664/$O$10,B664=2016,H664/$O$11,B664=2017,H664/$O$12,B664=2018,H664/$O$13,B664=2019,H664/$O$14,B664=2020,H664/$O$15,B664=2021,H664/$O$16,B664=2022,H664/$O$17)</f>
        <v>1.0250250041366408E-3</v>
      </c>
      <c r="J664" s="6" cm="1">
        <f t="array" ref="J664">_xlfn.IFS(B664=2015,I664*$Q$1,B664=2016,I664*$Q$2,B664=2017,I664*$Q$3,B664=2018,I664*$Q$4,B664=2019,I664*$Q$5,B664=2020,I664*$Q$6,B664=2021,I664*$Q$7,B664=2022,I664*$Q$8)</f>
        <v>26041.585375219689</v>
      </c>
      <c r="K664" s="7">
        <f t="shared" si="22"/>
        <v>71232.585375219685</v>
      </c>
      <c r="L664">
        <f>IFERROR(VLOOKUP(G664,'LEAID Match'!$A$2:$B$168,2,FALSE),"")</f>
        <v>4606960</v>
      </c>
    </row>
    <row r="665" spans="1:12" x14ac:dyDescent="0.2">
      <c r="A665">
        <f t="shared" si="21"/>
        <v>4606960</v>
      </c>
      <c r="B665">
        <v>2017</v>
      </c>
      <c r="C665" t="s">
        <v>208</v>
      </c>
      <c r="D665" t="s">
        <v>212</v>
      </c>
      <c r="E665" t="s">
        <v>211</v>
      </c>
      <c r="F665" s="3">
        <v>929144</v>
      </c>
      <c r="G665" s="3" t="s">
        <v>11</v>
      </c>
      <c r="H665" s="4">
        <v>47668</v>
      </c>
      <c r="I665" cm="1">
        <f t="array" ref="I665">_xlfn.IFS(B665=2015,H665/$O$10,B665=2016,H665/$O$11,B665=2017,H665/$O$12,B665=2018,H665/$O$13,B665=2019,H665/$O$14,B665=2020,H665/$O$15,B665=2021,H665/$O$16,B665=2022,H665/$O$17)</f>
        <v>9.8419120678797101E-4</v>
      </c>
      <c r="J665" s="6" cm="1">
        <f t="array" ref="J665">_xlfn.IFS(B665=2015,I665*$Q$1,B665=2016,I665*$Q$2,B665=2017,I665*$Q$3,B665=2018,I665*$Q$4,B665=2019,I665*$Q$5,B665=2020,I665*$Q$6,B665=2021,I665*$Q$7,B665=2022,I665*$Q$8)</f>
        <v>25889.675252662004</v>
      </c>
      <c r="K665" s="7">
        <f t="shared" si="22"/>
        <v>73557.675252662011</v>
      </c>
      <c r="L665">
        <f>IFERROR(VLOOKUP(G665,'LEAID Match'!$A$2:$B$168,2,FALSE),"")</f>
        <v>4606960</v>
      </c>
    </row>
    <row r="666" spans="1:12" x14ac:dyDescent="0.2">
      <c r="A666">
        <f t="shared" si="21"/>
        <v>4606960</v>
      </c>
      <c r="B666">
        <v>2018</v>
      </c>
      <c r="C666" t="s">
        <v>208</v>
      </c>
      <c r="D666" t="s">
        <v>212</v>
      </c>
      <c r="E666" t="s">
        <v>211</v>
      </c>
      <c r="F666" s="3">
        <v>929144</v>
      </c>
      <c r="G666" s="3" t="s">
        <v>11</v>
      </c>
      <c r="H666" s="4">
        <v>53782</v>
      </c>
      <c r="I666" cm="1">
        <f t="array" ref="I666">_xlfn.IFS(B666=2015,H666/$O$10,B666=2016,H666/$O$11,B666=2017,H666/$O$12,B666=2018,H666/$O$13,B666=2019,H666/$O$14,B666=2020,H666/$O$15,B666=2021,H666/$O$16,B666=2022,H666/$O$17)</f>
        <v>1.0725531491346644E-3</v>
      </c>
      <c r="J666" s="6" cm="1">
        <f t="array" ref="J666">_xlfn.IFS(B666=2015,I666*$Q$1,B666=2016,I666*$Q$2,B666=2017,I666*$Q$3,B666=2018,I666*$Q$4,B666=2019,I666*$Q$5,B666=2020,I666*$Q$6,B666=2021,I666*$Q$7,B666=2022,I666*$Q$8)</f>
        <v>28160.750626028264</v>
      </c>
      <c r="K666" s="7">
        <f t="shared" si="22"/>
        <v>81942.750626028268</v>
      </c>
      <c r="L666">
        <f>IFERROR(VLOOKUP(G666,'LEAID Match'!$A$2:$B$168,2,FALSE),"")</f>
        <v>4606960</v>
      </c>
    </row>
    <row r="667" spans="1:12" x14ac:dyDescent="0.2">
      <c r="A667">
        <f t="shared" si="21"/>
        <v>4606960</v>
      </c>
      <c r="B667">
        <v>2019</v>
      </c>
      <c r="C667" t="s">
        <v>208</v>
      </c>
      <c r="D667" t="s">
        <v>212</v>
      </c>
      <c r="E667" t="s">
        <v>211</v>
      </c>
      <c r="F667" s="3">
        <v>929144</v>
      </c>
      <c r="G667" s="3" t="s">
        <v>11</v>
      </c>
      <c r="H667" s="4">
        <v>55839</v>
      </c>
      <c r="I667" cm="1">
        <f t="array" ref="I667">_xlfn.IFS(B667=2015,H667/$O$10,B667=2016,H667/$O$11,B667=2017,H667/$O$12,B667=2018,H667/$O$13,B667=2019,H667/$O$14,B667=2020,H667/$O$15,B667=2021,H667/$O$16,B667=2022,H667/$O$17)</f>
        <v>1.0935806703021432E-3</v>
      </c>
      <c r="J667" s="6" cm="1">
        <f t="array" ref="J667">_xlfn.IFS(B667=2015,I667*$Q$1,B667=2016,I667*$Q$2,B667=2017,I667*$Q$3,B667=2018,I667*$Q$4,B667=2019,I667*$Q$5,B667=2020,I667*$Q$6,B667=2021,I667*$Q$7,B667=2022,I667*$Q$8)</f>
        <v>28922.425566685772</v>
      </c>
      <c r="K667" s="7">
        <f t="shared" si="22"/>
        <v>84761.425566685764</v>
      </c>
      <c r="L667">
        <f>IFERROR(VLOOKUP(G667,'LEAID Match'!$A$2:$B$168,2,FALSE),"")</f>
        <v>4606960</v>
      </c>
    </row>
    <row r="668" spans="1:12" x14ac:dyDescent="0.2">
      <c r="A668">
        <f t="shared" si="21"/>
        <v>4606960</v>
      </c>
      <c r="B668">
        <v>2020</v>
      </c>
      <c r="C668" t="s">
        <v>208</v>
      </c>
      <c r="D668" t="s">
        <v>212</v>
      </c>
      <c r="E668" t="s">
        <v>211</v>
      </c>
      <c r="F668" s="1">
        <v>929144</v>
      </c>
      <c r="G668" s="3" t="s">
        <v>11</v>
      </c>
      <c r="H668" s="2">
        <v>56512</v>
      </c>
      <c r="I668" cm="1">
        <f t="array" ref="I668">_xlfn.IFS(B668=2015,H668/$O$10,B668=2016,H668/$O$11,B668=2017,H668/$O$12,B668=2018,H668/$O$13,B668=2019,H668/$O$14,B668=2020,H668/$O$15,B668=2021,H668/$O$16,B668=2022,H668/$O$17)</f>
        <v>1.0703248422259514E-3</v>
      </c>
      <c r="J668" s="6" cm="1">
        <f t="array" ref="J668">_xlfn.IFS(B668=2015,I668*$Q$1,B668=2016,I668*$Q$2,B668=2017,I668*$Q$3,B668=2018,I668*$Q$4,B668=2019,I668*$Q$5,B668=2020,I668*$Q$6,B668=2021,I668*$Q$7,B668=2022,I668*$Q$8)</f>
        <v>29102.379705162173</v>
      </c>
      <c r="K668" s="7">
        <f t="shared" si="22"/>
        <v>85614.379705162166</v>
      </c>
      <c r="L668">
        <f>IFERROR(VLOOKUP(G668,'LEAID Match'!$A$2:$B$168,2,FALSE),"")</f>
        <v>4606960</v>
      </c>
    </row>
    <row r="669" spans="1:12" x14ac:dyDescent="0.2">
      <c r="A669">
        <f t="shared" si="21"/>
        <v>4606960</v>
      </c>
      <c r="B669">
        <v>2021</v>
      </c>
      <c r="C669" t="s">
        <v>208</v>
      </c>
      <c r="D669" t="s">
        <v>212</v>
      </c>
      <c r="E669" t="s">
        <v>211</v>
      </c>
      <c r="F669" s="3">
        <v>929144</v>
      </c>
      <c r="G669" s="3" t="s">
        <v>11</v>
      </c>
      <c r="H669" s="4">
        <v>60608</v>
      </c>
      <c r="I669" cm="1">
        <f t="array" ref="I669">_xlfn.IFS(B669=2015,H669/$O$10,B669=2016,H669/$O$11,B669=2017,H669/$O$12,B669=2018,H669/$O$13,B669=2019,H669/$O$14,B669=2020,H669/$O$15,B669=2021,H669/$O$16,B669=2022,H669/$O$17)</f>
        <v>1.0946755255528023E-3</v>
      </c>
      <c r="J669" s="6" cm="1">
        <f t="array" ref="J669">_xlfn.IFS(B669=2015,I669*$Q$1,B669=2016,I669*$Q$2,B669=2017,I669*$Q$3,B669=2018,I669*$Q$4,B669=2019,I669*$Q$5,B669=2020,I669*$Q$6,B669=2021,I669*$Q$7,B669=2022,I669*$Q$8)</f>
        <v>30473.94180728892</v>
      </c>
      <c r="K669" s="7">
        <f t="shared" si="22"/>
        <v>91081.941807288924</v>
      </c>
      <c r="L669">
        <f>IFERROR(VLOOKUP(G669,'LEAID Match'!$A$2:$B$168,2,FALSE),"")</f>
        <v>4606960</v>
      </c>
    </row>
    <row r="670" spans="1:12" x14ac:dyDescent="0.2">
      <c r="A670">
        <f t="shared" si="21"/>
        <v>4606960</v>
      </c>
      <c r="B670">
        <v>2022</v>
      </c>
      <c r="C670" t="s">
        <v>208</v>
      </c>
      <c r="D670" t="s">
        <v>212</v>
      </c>
      <c r="E670" t="s">
        <v>211</v>
      </c>
      <c r="F670" s="3">
        <v>929144</v>
      </c>
      <c r="G670" s="3" t="s">
        <v>11</v>
      </c>
      <c r="H670" s="4">
        <v>65391</v>
      </c>
      <c r="I670" cm="1">
        <f t="array" ref="I670">_xlfn.IFS(B670=2015,H670/$O$10,B670=2016,H670/$O$11,B670=2017,H670/$O$12,B670=2018,H670/$O$13,B670=2019,H670/$O$14,B670=2020,H670/$O$15,B670=2021,H670/$O$16,B670=2022,H670/$O$17)</f>
        <v>1.1324793933120624E-3</v>
      </c>
      <c r="J670" s="6" cm="1">
        <f t="array" ref="J670">_xlfn.IFS(B670=2015,I670*$Q$1,B670=2016,I670*$Q$2,B670=2017,I670*$Q$3,B670=2018,I670*$Q$4,B670=2019,I670*$Q$5,B670=2020,I670*$Q$6,B670=2021,I670*$Q$7,B670=2022,I670*$Q$8)</f>
        <v>33360.516814299495</v>
      </c>
      <c r="K670" s="7">
        <f t="shared" si="22"/>
        <v>98751.516814299495</v>
      </c>
      <c r="L670">
        <f>IFERROR(VLOOKUP(G670,'LEAID Match'!$A$2:$B$168,2,FALSE),"")</f>
        <v>4606960</v>
      </c>
    </row>
    <row r="671" spans="1:12" x14ac:dyDescent="0.2">
      <c r="A671">
        <f t="shared" si="21"/>
        <v>4609512</v>
      </c>
      <c r="B671">
        <v>2015</v>
      </c>
      <c r="C671" t="s">
        <v>208</v>
      </c>
      <c r="D671" t="s">
        <v>212</v>
      </c>
      <c r="E671" t="s">
        <v>211</v>
      </c>
      <c r="F671" s="3">
        <v>930100</v>
      </c>
      <c r="G671" s="3" t="s">
        <v>19</v>
      </c>
      <c r="H671" s="4">
        <v>76630</v>
      </c>
      <c r="I671" cm="1">
        <f t="array" ref="I671">_xlfn.IFS(B671=2015,H671/$O$10,B671=2016,H671/$O$11,B671=2017,H671/$O$12,B671=2018,H671/$O$13,B671=2019,H671/$O$14,B671=2020,H671/$O$15,B671=2021,H671/$O$16,B671=2022,H671/$O$17)</f>
        <v>1.7923981873738868E-3</v>
      </c>
      <c r="J671" s="6" cm="1">
        <f t="array" ref="J671">_xlfn.IFS(B671=2015,I671*$Q$1,B671=2016,I671*$Q$2,B671=2017,I671*$Q$3,B671=2018,I671*$Q$4,B671=2019,I671*$Q$5,B671=2020,I671*$Q$6,B671=2021,I671*$Q$7,B671=2022,I671*$Q$8)</f>
        <v>44078.934045617665</v>
      </c>
      <c r="K671" s="7">
        <f t="shared" si="22"/>
        <v>120708.93404561767</v>
      </c>
      <c r="L671">
        <f>IFERROR(VLOOKUP(G671,'LEAID Match'!$A$2:$B$168,2,FALSE),"")</f>
        <v>4609512</v>
      </c>
    </row>
    <row r="672" spans="1:12" x14ac:dyDescent="0.2">
      <c r="A672">
        <f t="shared" si="21"/>
        <v>4609512</v>
      </c>
      <c r="B672">
        <v>2016</v>
      </c>
      <c r="C672" t="s">
        <v>208</v>
      </c>
      <c r="D672" t="s">
        <v>212</v>
      </c>
      <c r="E672" t="s">
        <v>211</v>
      </c>
      <c r="F672" s="3">
        <v>930100</v>
      </c>
      <c r="G672" s="3" t="s">
        <v>19</v>
      </c>
      <c r="H672" s="4">
        <v>77059</v>
      </c>
      <c r="I672" cm="1">
        <f t="array" ref="I672">_xlfn.IFS(B672=2015,H672/$O$10,B672=2016,H672/$O$11,B672=2017,H672/$O$12,B672=2018,H672/$O$13,B672=2019,H672/$O$14,B672=2020,H672/$O$15,B672=2021,H672/$O$16,B672=2022,H672/$O$17)</f>
        <v>1.7478569138493375E-3</v>
      </c>
      <c r="J672" s="6" cm="1">
        <f t="array" ref="J672">_xlfn.IFS(B672=2015,I672*$Q$1,B672=2016,I672*$Q$2,B672=2017,I672*$Q$3,B672=2018,I672*$Q$4,B672=2019,I672*$Q$5,B672=2020,I672*$Q$6,B672=2021,I672*$Q$7,B672=2022,I672*$Q$8)</f>
        <v>44405.711921158065</v>
      </c>
      <c r="K672" s="7">
        <f t="shared" si="22"/>
        <v>121464.71192115807</v>
      </c>
      <c r="L672">
        <f>IFERROR(VLOOKUP(G672,'LEAID Match'!$A$2:$B$168,2,FALSE),"")</f>
        <v>4609512</v>
      </c>
    </row>
    <row r="673" spans="1:12" x14ac:dyDescent="0.2">
      <c r="A673">
        <f t="shared" si="21"/>
        <v>4609512</v>
      </c>
      <c r="B673">
        <v>2017</v>
      </c>
      <c r="C673" t="s">
        <v>208</v>
      </c>
      <c r="D673" t="s">
        <v>212</v>
      </c>
      <c r="E673" t="s">
        <v>211</v>
      </c>
      <c r="F673" s="3">
        <v>930100</v>
      </c>
      <c r="G673" s="3" t="s">
        <v>19</v>
      </c>
      <c r="H673" s="4">
        <v>83121</v>
      </c>
      <c r="I673" cm="1">
        <f t="array" ref="I673">_xlfn.IFS(B673=2015,H673/$O$10,B673=2016,H673/$O$11,B673=2017,H673/$O$12,B673=2018,H673/$O$13,B673=2019,H673/$O$14,B673=2020,H673/$O$15,B673=2021,H673/$O$16,B673=2022,H673/$O$17)</f>
        <v>1.7161818683272413E-3</v>
      </c>
      <c r="J673" s="6" cm="1">
        <f t="array" ref="J673">_xlfn.IFS(B673=2015,I673*$Q$1,B673=2016,I673*$Q$2,B673=2017,I673*$Q$3,B673=2018,I673*$Q$4,B673=2019,I673*$Q$5,B673=2020,I673*$Q$6,B673=2021,I673*$Q$7,B673=2022,I673*$Q$8)</f>
        <v>45145.08048746577</v>
      </c>
      <c r="K673" s="7">
        <f t="shared" si="22"/>
        <v>128266.08048746578</v>
      </c>
      <c r="L673">
        <f>IFERROR(VLOOKUP(G673,'LEAID Match'!$A$2:$B$168,2,FALSE),"")</f>
        <v>4609512</v>
      </c>
    </row>
    <row r="674" spans="1:12" x14ac:dyDescent="0.2">
      <c r="A674">
        <f t="shared" si="21"/>
        <v>4609512</v>
      </c>
      <c r="B674">
        <v>2018</v>
      </c>
      <c r="C674" t="s">
        <v>208</v>
      </c>
      <c r="D674" t="s">
        <v>212</v>
      </c>
      <c r="E674" t="s">
        <v>211</v>
      </c>
      <c r="F674" s="3">
        <v>930100</v>
      </c>
      <c r="G674" s="3" t="s">
        <v>19</v>
      </c>
      <c r="H674" s="4">
        <v>91137</v>
      </c>
      <c r="I674" cm="1">
        <f t="array" ref="I674">_xlfn.IFS(B674=2015,H674/$O$10,B674=2016,H674/$O$11,B674=2017,H674/$O$12,B674=2018,H674/$O$13,B674=2019,H674/$O$14,B674=2020,H674/$O$15,B674=2021,H674/$O$16,B674=2022,H674/$O$17)</f>
        <v>1.8175091360062086E-3</v>
      </c>
      <c r="J674" s="6" cm="1">
        <f t="array" ref="J674">_xlfn.IFS(B674=2015,I674*$Q$1,B674=2016,I674*$Q$2,B674=2017,I674*$Q$3,B674=2018,I674*$Q$4,B674=2019,I674*$Q$5,B674=2020,I674*$Q$6,B674=2021,I674*$Q$7,B674=2022,I674*$Q$8)</f>
        <v>47720.172730734033</v>
      </c>
      <c r="K674" s="7">
        <f t="shared" si="22"/>
        <v>138857.17273073405</v>
      </c>
      <c r="L674">
        <f>IFERROR(VLOOKUP(G674,'LEAID Match'!$A$2:$B$168,2,FALSE),"")</f>
        <v>4609512</v>
      </c>
    </row>
    <row r="675" spans="1:12" x14ac:dyDescent="0.2">
      <c r="A675">
        <f t="shared" si="21"/>
        <v>4609512</v>
      </c>
      <c r="B675">
        <v>2019</v>
      </c>
      <c r="C675" t="s">
        <v>208</v>
      </c>
      <c r="D675" t="s">
        <v>212</v>
      </c>
      <c r="E675" t="s">
        <v>211</v>
      </c>
      <c r="F675" s="3">
        <v>930100</v>
      </c>
      <c r="G675" s="3" t="s">
        <v>19</v>
      </c>
      <c r="H675" s="4">
        <v>100175</v>
      </c>
      <c r="I675" cm="1">
        <f t="array" ref="I675">_xlfn.IFS(B675=2015,H675/$O$10,B675=2016,H675/$O$11,B675=2017,H675/$O$12,B675=2018,H675/$O$13,B675=2019,H675/$O$14,B675=2020,H675/$O$15,B675=2021,H675/$O$16,B675=2022,H675/$O$17)</f>
        <v>1.9618804714897687E-3</v>
      </c>
      <c r="J675" s="6" cm="1">
        <f t="array" ref="J675">_xlfn.IFS(B675=2015,I675*$Q$1,B675=2016,I675*$Q$2,B675=2017,I675*$Q$3,B675=2018,I675*$Q$4,B675=2019,I675*$Q$5,B675=2020,I675*$Q$6,B675=2021,I675*$Q$7,B675=2022,I675*$Q$8)</f>
        <v>51886.745485104439</v>
      </c>
      <c r="K675" s="7">
        <f t="shared" si="22"/>
        <v>152061.74548510445</v>
      </c>
      <c r="L675">
        <f>IFERROR(VLOOKUP(G675,'LEAID Match'!$A$2:$B$168,2,FALSE),"")</f>
        <v>4609512</v>
      </c>
    </row>
    <row r="676" spans="1:12" x14ac:dyDescent="0.2">
      <c r="A676">
        <f t="shared" si="21"/>
        <v>4609512</v>
      </c>
      <c r="B676">
        <v>2020</v>
      </c>
      <c r="C676" t="s">
        <v>208</v>
      </c>
      <c r="D676" t="s">
        <v>212</v>
      </c>
      <c r="E676" t="s">
        <v>211</v>
      </c>
      <c r="F676" s="1">
        <v>930100</v>
      </c>
      <c r="G676" s="3" t="s">
        <v>19</v>
      </c>
      <c r="H676" s="2">
        <v>105508</v>
      </c>
      <c r="I676" cm="1">
        <f t="array" ref="I676">_xlfn.IFS(B676=2015,H676/$O$10,B676=2016,H676/$O$11,B676=2017,H676/$O$12,B676=2018,H676/$O$13,B676=2019,H676/$O$14,B676=2020,H676/$O$15,B676=2021,H676/$O$16,B676=2022,H676/$O$17)</f>
        <v>1.9982982986547224E-3</v>
      </c>
      <c r="J676" s="6" cm="1">
        <f t="array" ref="J676">_xlfn.IFS(B676=2015,I676*$Q$1,B676=2016,I676*$Q$2,B676=2017,I676*$Q$3,B676=2018,I676*$Q$4,B676=2019,I676*$Q$5,B676=2020,I676*$Q$6,B676=2021,I676*$Q$7,B676=2022,I676*$Q$8)</f>
        <v>54334.192347328892</v>
      </c>
      <c r="K676" s="7">
        <f t="shared" si="22"/>
        <v>159842.19234732888</v>
      </c>
      <c r="L676">
        <f>IFERROR(VLOOKUP(G676,'LEAID Match'!$A$2:$B$168,2,FALSE),"")</f>
        <v>4609512</v>
      </c>
    </row>
    <row r="677" spans="1:12" x14ac:dyDescent="0.2">
      <c r="A677">
        <f t="shared" si="21"/>
        <v>4609512</v>
      </c>
      <c r="B677">
        <v>2021</v>
      </c>
      <c r="C677" t="s">
        <v>208</v>
      </c>
      <c r="D677" t="s">
        <v>212</v>
      </c>
      <c r="E677" t="s">
        <v>211</v>
      </c>
      <c r="F677" s="3">
        <v>930100</v>
      </c>
      <c r="G677" s="3" t="s">
        <v>19</v>
      </c>
      <c r="H677" s="4">
        <v>116624</v>
      </c>
      <c r="I677" cm="1">
        <f t="array" ref="I677">_xlfn.IFS(B677=2015,H677/$O$10,B677=2016,H677/$O$11,B677=2017,H677/$O$12,B677=2018,H677/$O$13,B677=2019,H677/$O$14,B677=2020,H677/$O$15,B677=2021,H677/$O$16,B677=2022,H677/$O$17)</f>
        <v>2.1064123299245978E-3</v>
      </c>
      <c r="J677" s="6" cm="1">
        <f t="array" ref="J677">_xlfn.IFS(B677=2015,I677*$Q$1,B677=2016,I677*$Q$2,B677=2017,I677*$Q$3,B677=2018,I677*$Q$4,B677=2019,I677*$Q$5,B677=2020,I677*$Q$6,B677=2021,I677*$Q$7,B677=2022,I677*$Q$8)</f>
        <v>58639.007875746822</v>
      </c>
      <c r="K677" s="7">
        <f t="shared" si="22"/>
        <v>175263.00787574681</v>
      </c>
      <c r="L677">
        <f>IFERROR(VLOOKUP(G677,'LEAID Match'!$A$2:$B$168,2,FALSE),"")</f>
        <v>4609512</v>
      </c>
    </row>
    <row r="678" spans="1:12" x14ac:dyDescent="0.2">
      <c r="A678">
        <f t="shared" si="21"/>
        <v>4609512</v>
      </c>
      <c r="B678">
        <v>2022</v>
      </c>
      <c r="C678" t="s">
        <v>208</v>
      </c>
      <c r="D678" t="s">
        <v>212</v>
      </c>
      <c r="E678" t="s">
        <v>211</v>
      </c>
      <c r="F678" s="3">
        <v>930100</v>
      </c>
      <c r="G678" s="3" t="s">
        <v>19</v>
      </c>
      <c r="H678" s="4">
        <v>108923</v>
      </c>
      <c r="I678" cm="1">
        <f t="array" ref="I678">_xlfn.IFS(B678=2015,H678/$O$10,B678=2016,H678/$O$11,B678=2017,H678/$O$12,B678=2018,H678/$O$13,B678=2019,H678/$O$14,B678=2020,H678/$O$15,B678=2021,H678/$O$16,B678=2022,H678/$O$17)</f>
        <v>1.8863919034382373E-3</v>
      </c>
      <c r="J678" s="6" cm="1">
        <f t="array" ref="J678">_xlfn.IFS(B678=2015,I678*$Q$1,B678=2016,I678*$Q$2,B678=2017,I678*$Q$3,B678=2018,I678*$Q$4,B678=2019,I678*$Q$5,B678=2020,I678*$Q$6,B678=2021,I678*$Q$7,B678=2022,I678*$Q$8)</f>
        <v>55569.230826320811</v>
      </c>
      <c r="K678" s="7">
        <f t="shared" si="22"/>
        <v>164492.23082632083</v>
      </c>
      <c r="L678">
        <f>IFERROR(VLOOKUP(G678,'LEAID Match'!$A$2:$B$168,2,FALSE),"")</f>
        <v>4609512</v>
      </c>
    </row>
    <row r="679" spans="1:12" x14ac:dyDescent="0.2">
      <c r="A679">
        <f t="shared" si="21"/>
        <v>4629880</v>
      </c>
      <c r="B679">
        <v>2015</v>
      </c>
      <c r="C679" t="s">
        <v>208</v>
      </c>
      <c r="D679" t="s">
        <v>212</v>
      </c>
      <c r="E679" t="s">
        <v>211</v>
      </c>
      <c r="F679" s="3">
        <v>930101</v>
      </c>
      <c r="G679" s="3" t="s">
        <v>60</v>
      </c>
      <c r="H679" s="4">
        <v>112184</v>
      </c>
      <c r="I679" cm="1">
        <f t="array" ref="I679">_xlfn.IFS(B679=2015,H679/$O$10,B679=2016,H679/$O$11,B679=2017,H679/$O$12,B679=2018,H679/$O$13,B679=2019,H679/$O$14,B679=2020,H679/$O$15,B679=2021,H679/$O$16,B679=2022,H679/$O$17)</f>
        <v>2.6240166808345574E-3</v>
      </c>
      <c r="J679" s="6" cm="1">
        <f t="array" ref="J679">_xlfn.IFS(B679=2015,I679*$Q$1,B679=2016,I679*$Q$2,B679=2017,I679*$Q$3,B679=2018,I679*$Q$4,B679=2019,I679*$Q$5,B679=2020,I679*$Q$6,B679=2021,I679*$Q$7,B679=2022,I679*$Q$8)</f>
        <v>64530.224937668965</v>
      </c>
      <c r="K679" s="7">
        <f t="shared" si="22"/>
        <v>176714.22493766897</v>
      </c>
      <c r="L679">
        <f>IFERROR(VLOOKUP(G679,'LEAID Match'!$A$2:$B$168,2,FALSE),"")</f>
        <v>4629880</v>
      </c>
    </row>
    <row r="680" spans="1:12" x14ac:dyDescent="0.2">
      <c r="A680">
        <f t="shared" si="21"/>
        <v>4629880</v>
      </c>
      <c r="B680">
        <v>2016</v>
      </c>
      <c r="C680" t="s">
        <v>208</v>
      </c>
      <c r="D680" t="s">
        <v>212</v>
      </c>
      <c r="E680" t="s">
        <v>211</v>
      </c>
      <c r="F680" s="3">
        <v>930101</v>
      </c>
      <c r="G680" s="3" t="s">
        <v>60</v>
      </c>
      <c r="H680" s="4">
        <v>119398</v>
      </c>
      <c r="I680" cm="1">
        <f t="array" ref="I680">_xlfn.IFS(B680=2015,H680/$O$10,B680=2016,H680/$O$11,B680=2017,H680/$O$12,B680=2018,H680/$O$13,B680=2019,H680/$O$14,B680=2020,H680/$O$15,B680=2021,H680/$O$16,B680=2022,H680/$O$17)</f>
        <v>2.7081926809299781E-3</v>
      </c>
      <c r="J680" s="6" cm="1">
        <f t="array" ref="J680">_xlfn.IFS(B680=2015,I680*$Q$1,B680=2016,I680*$Q$2,B680=2017,I680*$Q$3,B680=2018,I680*$Q$4,B680=2019,I680*$Q$5,B680=2020,I680*$Q$6,B680=2021,I680*$Q$7,B680=2022,I680*$Q$8)</f>
        <v>68803.815154134238</v>
      </c>
      <c r="K680" s="7">
        <f t="shared" si="22"/>
        <v>188201.81515413424</v>
      </c>
      <c r="L680">
        <f>IFERROR(VLOOKUP(G680,'LEAID Match'!$A$2:$B$168,2,FALSE),"")</f>
        <v>4629880</v>
      </c>
    </row>
    <row r="681" spans="1:12" x14ac:dyDescent="0.2">
      <c r="A681">
        <f t="shared" si="21"/>
        <v>4629880</v>
      </c>
      <c r="B681">
        <v>2017</v>
      </c>
      <c r="C681" t="s">
        <v>208</v>
      </c>
      <c r="D681" t="s">
        <v>212</v>
      </c>
      <c r="E681" t="s">
        <v>211</v>
      </c>
      <c r="F681" s="3">
        <v>930101</v>
      </c>
      <c r="G681" s="3" t="s">
        <v>60</v>
      </c>
      <c r="H681" s="4">
        <v>132057</v>
      </c>
      <c r="I681" cm="1">
        <f t="array" ref="I681">_xlfn.IFS(B681=2015,H681/$O$10,B681=2016,H681/$O$11,B681=2017,H681/$O$12,B681=2018,H681/$O$13,B681=2019,H681/$O$14,B681=2020,H681/$O$15,B681=2021,H681/$O$16,B681=2022,H681/$O$17)</f>
        <v>2.7265532053956341E-3</v>
      </c>
      <c r="J681" s="6" cm="1">
        <f t="array" ref="J681">_xlfn.IFS(B681=2015,I681*$Q$1,B681=2016,I681*$Q$2,B681=2017,I681*$Q$3,B681=2018,I681*$Q$4,B681=2019,I681*$Q$5,B681=2020,I681*$Q$6,B681=2021,I681*$Q$7,B681=2022,I681*$Q$8)</f>
        <v>71723.438047343836</v>
      </c>
      <c r="K681" s="7">
        <f t="shared" si="22"/>
        <v>203780.43804734384</v>
      </c>
      <c r="L681">
        <f>IFERROR(VLOOKUP(G681,'LEAID Match'!$A$2:$B$168,2,FALSE),"")</f>
        <v>4629880</v>
      </c>
    </row>
    <row r="682" spans="1:12" x14ac:dyDescent="0.2">
      <c r="A682">
        <f t="shared" si="21"/>
        <v>4629880</v>
      </c>
      <c r="B682">
        <v>2018</v>
      </c>
      <c r="C682" t="s">
        <v>208</v>
      </c>
      <c r="D682" t="s">
        <v>212</v>
      </c>
      <c r="E682" t="s">
        <v>211</v>
      </c>
      <c r="F682" s="3">
        <v>930101</v>
      </c>
      <c r="G682" s="3" t="s">
        <v>60</v>
      </c>
      <c r="H682" s="4">
        <v>131649</v>
      </c>
      <c r="I682" cm="1">
        <f t="array" ref="I682">_xlfn.IFS(B682=2015,H682/$O$10,B682=2016,H682/$O$11,B682=2017,H682/$O$12,B682=2018,H682/$O$13,B682=2019,H682/$O$14,B682=2020,H682/$O$15,B682=2021,H682/$O$16,B682=2022,H682/$O$17)</f>
        <v>2.6254239249271028E-3</v>
      </c>
      <c r="J682" s="6" cm="1">
        <f t="array" ref="J682">_xlfn.IFS(B682=2015,I682*$Q$1,B682=2016,I682*$Q$2,B682=2017,I682*$Q$3,B682=2018,I682*$Q$4,B682=2019,I682*$Q$5,B682=2020,I682*$Q$6,B682=2021,I682*$Q$7,B682=2022,I682*$Q$8)</f>
        <v>68932.629116916345</v>
      </c>
      <c r="K682" s="7">
        <f t="shared" si="22"/>
        <v>200581.62911691633</v>
      </c>
      <c r="L682">
        <f>IFERROR(VLOOKUP(G682,'LEAID Match'!$A$2:$B$168,2,FALSE),"")</f>
        <v>4629880</v>
      </c>
    </row>
    <row r="683" spans="1:12" x14ac:dyDescent="0.2">
      <c r="A683">
        <f t="shared" si="21"/>
        <v>4629880</v>
      </c>
      <c r="B683">
        <v>2019</v>
      </c>
      <c r="C683" t="s">
        <v>208</v>
      </c>
      <c r="D683" t="s">
        <v>212</v>
      </c>
      <c r="E683" t="s">
        <v>211</v>
      </c>
      <c r="F683" s="3">
        <v>930101</v>
      </c>
      <c r="G683" s="3" t="s">
        <v>60</v>
      </c>
      <c r="H683" s="4">
        <v>134228</v>
      </c>
      <c r="I683" cm="1">
        <f t="array" ref="I683">_xlfn.IFS(B683=2015,H683/$O$10,B683=2016,H683/$O$11,B683=2017,H683/$O$12,B683=2018,H683/$O$13,B683=2019,H683/$O$14,B683=2020,H683/$O$15,B683=2021,H683/$O$16,B683=2022,H683/$O$17)</f>
        <v>2.6287925323396923E-3</v>
      </c>
      <c r="J683" s="6" cm="1">
        <f t="array" ref="J683">_xlfn.IFS(B683=2015,I683*$Q$1,B683=2016,I683*$Q$2,B683=2017,I683*$Q$3,B683=2018,I683*$Q$4,B683=2019,I683*$Q$5,B683=2020,I683*$Q$6,B683=2021,I683*$Q$7,B683=2022,I683*$Q$8)</f>
        <v>69524.872203390056</v>
      </c>
      <c r="K683" s="7">
        <f t="shared" si="22"/>
        <v>203752.87220339006</v>
      </c>
      <c r="L683">
        <f>IFERROR(VLOOKUP(G683,'LEAID Match'!$A$2:$B$168,2,FALSE),"")</f>
        <v>4629880</v>
      </c>
    </row>
    <row r="684" spans="1:12" x14ac:dyDescent="0.2">
      <c r="A684">
        <f t="shared" si="21"/>
        <v>4629880</v>
      </c>
      <c r="B684">
        <v>2020</v>
      </c>
      <c r="C684" t="s">
        <v>208</v>
      </c>
      <c r="D684" t="s">
        <v>212</v>
      </c>
      <c r="E684" t="s">
        <v>211</v>
      </c>
      <c r="F684" s="1">
        <v>930101</v>
      </c>
      <c r="G684" s="3" t="s">
        <v>60</v>
      </c>
      <c r="H684" s="2">
        <v>136829</v>
      </c>
      <c r="I684" cm="1">
        <f t="array" ref="I684">_xlfn.IFS(B684=2015,H684/$O$10,B684=2016,H684/$O$11,B684=2017,H684/$O$12,B684=2018,H684/$O$13,B684=2019,H684/$O$14,B684=2020,H684/$O$15,B684=2021,H684/$O$16,B684=2022,H684/$O$17)</f>
        <v>2.5915111451892468E-3</v>
      </c>
      <c r="J684" s="6" cm="1">
        <f t="array" ref="J684">_xlfn.IFS(B684=2015,I684*$Q$1,B684=2016,I684*$Q$2,B684=2017,I684*$Q$3,B684=2018,I684*$Q$4,B684=2019,I684*$Q$5,B684=2020,I684*$Q$6,B684=2021,I684*$Q$7,B684=2022,I684*$Q$8)</f>
        <v>70463.786676770163</v>
      </c>
      <c r="K684" s="7">
        <f t="shared" si="22"/>
        <v>207292.78667677016</v>
      </c>
      <c r="L684">
        <f>IFERROR(VLOOKUP(G684,'LEAID Match'!$A$2:$B$168,2,FALSE),"")</f>
        <v>4629880</v>
      </c>
    </row>
    <row r="685" spans="1:12" x14ac:dyDescent="0.2">
      <c r="A685">
        <f t="shared" si="21"/>
        <v>4629880</v>
      </c>
      <c r="B685">
        <v>2021</v>
      </c>
      <c r="C685" t="s">
        <v>208</v>
      </c>
      <c r="D685" t="s">
        <v>212</v>
      </c>
      <c r="E685" t="s">
        <v>211</v>
      </c>
      <c r="F685" s="3">
        <v>930101</v>
      </c>
      <c r="G685" s="3" t="s">
        <v>60</v>
      </c>
      <c r="H685" s="4">
        <v>144087</v>
      </c>
      <c r="I685" cm="1">
        <f t="array" ref="I685">_xlfn.IFS(B685=2015,H685/$O$10,B685=2016,H685/$O$11,B685=2017,H685/$O$12,B685=2018,H685/$O$13,B685=2019,H685/$O$14,B685=2020,H685/$O$15,B685=2021,H685/$O$16,B685=2022,H685/$O$17)</f>
        <v>2.602437177440711E-3</v>
      </c>
      <c r="J685" s="6" cm="1">
        <f t="array" ref="J685">_xlfn.IFS(B685=2015,I685*$Q$1,B685=2016,I685*$Q$2,B685=2017,I685*$Q$3,B685=2018,I685*$Q$4,B685=2019,I685*$Q$5,B685=2020,I685*$Q$6,B685=2021,I685*$Q$7,B685=2022,I685*$Q$8)</f>
        <v>72447.512757174598</v>
      </c>
      <c r="K685" s="7">
        <f t="shared" si="22"/>
        <v>216534.51275717461</v>
      </c>
      <c r="L685">
        <f>IFERROR(VLOOKUP(G685,'LEAID Match'!$A$2:$B$168,2,FALSE),"")</f>
        <v>4629880</v>
      </c>
    </row>
    <row r="686" spans="1:12" x14ac:dyDescent="0.2">
      <c r="A686">
        <f t="shared" si="21"/>
        <v>4629880</v>
      </c>
      <c r="B686">
        <v>2022</v>
      </c>
      <c r="C686" t="s">
        <v>208</v>
      </c>
      <c r="D686" t="s">
        <v>212</v>
      </c>
      <c r="E686" t="s">
        <v>211</v>
      </c>
      <c r="F686" s="3">
        <v>930101</v>
      </c>
      <c r="G686" s="3" t="s">
        <v>60</v>
      </c>
      <c r="H686" s="4">
        <v>153678</v>
      </c>
      <c r="I686" cm="1">
        <f t="array" ref="I686">_xlfn.IFS(B686=2015,H686/$O$10,B686=2016,H686/$O$11,B686=2017,H686/$O$12,B686=2018,H686/$O$13,B686=2019,H686/$O$14,B686=2020,H686/$O$15,B686=2021,H686/$O$16,B686=2022,H686/$O$17)</f>
        <v>2.6614850393083317E-3</v>
      </c>
      <c r="J686" s="6" cm="1">
        <f t="array" ref="J686">_xlfn.IFS(B686=2015,I686*$Q$1,B686=2016,I686*$Q$2,B686=2017,I686*$Q$3,B686=2018,I686*$Q$4,B686=2019,I686*$Q$5,B686=2020,I686*$Q$6,B686=2021,I686*$Q$7,B686=2022,I686*$Q$8)</f>
        <v>78401.882567752706</v>
      </c>
      <c r="K686" s="7">
        <f t="shared" si="22"/>
        <v>232079.88256775271</v>
      </c>
      <c r="L686">
        <f>IFERROR(VLOOKUP(G686,'LEAID Match'!$A$2:$B$168,2,FALSE),"")</f>
        <v>4629880</v>
      </c>
    </row>
    <row r="687" spans="1:12" x14ac:dyDescent="0.2">
      <c r="A687">
        <f t="shared" si="21"/>
        <v>4607670</v>
      </c>
      <c r="B687">
        <v>2015</v>
      </c>
      <c r="C687" t="s">
        <v>208</v>
      </c>
      <c r="D687" t="s">
        <v>212</v>
      </c>
      <c r="E687" t="s">
        <v>211</v>
      </c>
      <c r="F687" s="3">
        <v>930103</v>
      </c>
      <c r="G687" s="3" t="s">
        <v>133</v>
      </c>
      <c r="H687" s="4">
        <v>58618</v>
      </c>
      <c r="I687" cm="1">
        <f t="array" ref="I687">_xlfn.IFS(B687=2015,H687/$O$10,B687=2016,H687/$O$11,B687=2017,H687/$O$12,B687=2018,H687/$O$13,B687=2019,H687/$O$14,B687=2020,H687/$O$15,B687=2021,H687/$O$16,B687=2022,H687/$O$17)</f>
        <v>1.3710922216818805E-3</v>
      </c>
      <c r="J687" s="6" cm="1">
        <f t="array" ref="J687">_xlfn.IFS(B687=2015,I687*$Q$1,B687=2016,I687*$Q$2,B687=2017,I687*$Q$3,B687=2018,I687*$Q$4,B687=2019,I687*$Q$5,B687=2020,I687*$Q$6,B687=2021,I687*$Q$7,B687=2022,I687*$Q$8)</f>
        <v>33718.112434895163</v>
      </c>
      <c r="K687" s="7">
        <f t="shared" si="22"/>
        <v>92336.112434895156</v>
      </c>
      <c r="L687">
        <f>IFERROR(VLOOKUP(G687,'LEAID Match'!$A$2:$B$168,2,FALSE),"")</f>
        <v>4607670</v>
      </c>
    </row>
    <row r="688" spans="1:12" x14ac:dyDescent="0.2">
      <c r="A688">
        <f t="shared" si="21"/>
        <v>4607670</v>
      </c>
      <c r="B688">
        <v>2016</v>
      </c>
      <c r="C688" t="s">
        <v>208</v>
      </c>
      <c r="D688" t="s">
        <v>212</v>
      </c>
      <c r="E688" t="s">
        <v>211</v>
      </c>
      <c r="F688" s="3">
        <v>930103</v>
      </c>
      <c r="G688" s="3" t="s">
        <v>133</v>
      </c>
      <c r="H688" s="4">
        <v>61818</v>
      </c>
      <c r="I688" cm="1">
        <f t="array" ref="I688">_xlfn.IFS(B688=2015,H688/$O$10,B688=2016,H688/$O$11,B688=2017,H688/$O$12,B688=2018,H688/$O$13,B688=2019,H688/$O$14,B688=2020,H688/$O$15,B688=2021,H688/$O$16,B688=2022,H688/$O$17)</f>
        <v>1.4021596270434127E-3</v>
      </c>
      <c r="J688" s="6" cm="1">
        <f t="array" ref="J688">_xlfn.IFS(B688=2015,I688*$Q$1,B688=2016,I688*$Q$2,B688=2017,I688*$Q$3,B688=2018,I688*$Q$4,B688=2019,I688*$Q$5,B688=2020,I688*$Q$6,B688=2021,I688*$Q$7,B688=2022,I688*$Q$8)</f>
        <v>35622.99406353767</v>
      </c>
      <c r="K688" s="7">
        <f t="shared" si="22"/>
        <v>97440.99406353767</v>
      </c>
      <c r="L688">
        <f>IFERROR(VLOOKUP(G688,'LEAID Match'!$A$2:$B$168,2,FALSE),"")</f>
        <v>4607670</v>
      </c>
    </row>
    <row r="689" spans="1:12" x14ac:dyDescent="0.2">
      <c r="A689">
        <f t="shared" si="21"/>
        <v>4607670</v>
      </c>
      <c r="B689">
        <v>2017</v>
      </c>
      <c r="C689" t="s">
        <v>208</v>
      </c>
      <c r="D689" t="s">
        <v>212</v>
      </c>
      <c r="E689" t="s">
        <v>211</v>
      </c>
      <c r="F689" s="3">
        <v>930103</v>
      </c>
      <c r="G689" s="3" t="s">
        <v>133</v>
      </c>
      <c r="H689" s="4">
        <v>69815</v>
      </c>
      <c r="I689" cm="1">
        <f t="array" ref="I689">_xlfn.IFS(B689=2015,H689/$O$10,B689=2016,H689/$O$11,B689=2017,H689/$O$12,B689=2018,H689/$O$13,B689=2019,H689/$O$14,B689=2020,H689/$O$15,B689=2021,H689/$O$16,B689=2022,H689/$O$17)</f>
        <v>1.441455674706348E-3</v>
      </c>
      <c r="J689" s="6" cm="1">
        <f t="array" ref="J689">_xlfn.IFS(B689=2015,I689*$Q$1,B689=2016,I689*$Q$2,B689=2017,I689*$Q$3,B689=2018,I689*$Q$4,B689=2019,I689*$Q$5,B689=2020,I689*$Q$6,B689=2021,I689*$Q$7,B689=2022,I689*$Q$8)</f>
        <v>37918.26126048078</v>
      </c>
      <c r="K689" s="7">
        <f t="shared" si="22"/>
        <v>107733.26126048078</v>
      </c>
      <c r="L689">
        <f>IFERROR(VLOOKUP(G689,'LEAID Match'!$A$2:$B$168,2,FALSE),"")</f>
        <v>4607670</v>
      </c>
    </row>
    <row r="690" spans="1:12" x14ac:dyDescent="0.2">
      <c r="A690">
        <f t="shared" si="21"/>
        <v>4607670</v>
      </c>
      <c r="B690">
        <v>2018</v>
      </c>
      <c r="C690" t="s">
        <v>208</v>
      </c>
      <c r="D690" t="s">
        <v>212</v>
      </c>
      <c r="E690" t="s">
        <v>211</v>
      </c>
      <c r="F690" s="3">
        <v>930103</v>
      </c>
      <c r="G690" s="3" t="s">
        <v>133</v>
      </c>
      <c r="H690" s="4">
        <v>76204</v>
      </c>
      <c r="I690" cm="1">
        <f t="array" ref="I690">_xlfn.IFS(B690=2015,H690/$O$10,B690=2016,H690/$O$11,B690=2017,H690/$O$12,B690=2018,H690/$O$13,B690=2019,H690/$O$14,B690=2020,H690/$O$15,B690=2021,H690/$O$16,B690=2022,H690/$O$17)</f>
        <v>1.5197062246970728E-3</v>
      </c>
      <c r="J690" s="6" cm="1">
        <f t="array" ref="J690">_xlfn.IFS(B690=2015,I690*$Q$1,B690=2016,I690*$Q$2,B690=2017,I690*$Q$3,B690=2018,I690*$Q$4,B690=2019,I690*$Q$5,B690=2020,I690*$Q$6,B690=2021,I690*$Q$7,B690=2022,I690*$Q$8)</f>
        <v>39901.116371757424</v>
      </c>
      <c r="K690" s="7">
        <f t="shared" si="22"/>
        <v>116105.11637175742</v>
      </c>
      <c r="L690">
        <f>IFERROR(VLOOKUP(G690,'LEAID Match'!$A$2:$B$168,2,FALSE),"")</f>
        <v>4607670</v>
      </c>
    </row>
    <row r="691" spans="1:12" x14ac:dyDescent="0.2">
      <c r="A691">
        <f t="shared" si="21"/>
        <v>4607670</v>
      </c>
      <c r="B691">
        <v>2019</v>
      </c>
      <c r="C691" t="s">
        <v>208</v>
      </c>
      <c r="D691" t="s">
        <v>212</v>
      </c>
      <c r="E691" t="s">
        <v>211</v>
      </c>
      <c r="F691" s="3">
        <v>930103</v>
      </c>
      <c r="G691" s="3" t="s">
        <v>133</v>
      </c>
      <c r="H691" s="4">
        <v>44005</v>
      </c>
      <c r="I691" cm="1">
        <f t="array" ref="I691">_xlfn.IFS(B691=2015,H691/$O$10,B691=2016,H691/$O$11,B691=2017,H691/$O$12,B691=2018,H691/$O$13,B691=2019,H691/$O$14,B691=2020,H691/$O$15,B691=2021,H691/$O$16,B691=2022,H691/$O$17)</f>
        <v>8.6181732116703054E-4</v>
      </c>
      <c r="J691" s="6" cm="1">
        <f t="array" ref="J691">_xlfn.IFS(B691=2015,I691*$Q$1,B691=2016,I691*$Q$2,B691=2017,I691*$Q$3,B691=2018,I691*$Q$4,B691=2019,I691*$Q$5,B691=2020,I691*$Q$6,B691=2021,I691*$Q$7,B691=2022,I691*$Q$8)</f>
        <v>22792.874819785589</v>
      </c>
      <c r="K691" s="7">
        <f t="shared" si="22"/>
        <v>66797.874819785589</v>
      </c>
      <c r="L691">
        <f>IFERROR(VLOOKUP(G691,'LEAID Match'!$A$2:$B$168,2,FALSE),"")</f>
        <v>4607670</v>
      </c>
    </row>
    <row r="692" spans="1:12" x14ac:dyDescent="0.2">
      <c r="A692">
        <f t="shared" si="21"/>
        <v>4607670</v>
      </c>
      <c r="B692">
        <v>2020</v>
      </c>
      <c r="C692" t="s">
        <v>208</v>
      </c>
      <c r="D692" t="s">
        <v>212</v>
      </c>
      <c r="E692" t="s">
        <v>211</v>
      </c>
      <c r="F692" s="1">
        <v>930103</v>
      </c>
      <c r="G692" s="3" t="s">
        <v>133</v>
      </c>
      <c r="H692" s="2">
        <v>39651</v>
      </c>
      <c r="I692" cm="1">
        <f t="array" ref="I692">_xlfn.IFS(B692=2015,H692/$O$10,B692=2016,H692/$O$11,B692=2017,H692/$O$12,B692=2018,H692/$O$13,B692=2019,H692/$O$14,B692=2020,H692/$O$15,B692=2021,H692/$O$16,B692=2022,H692/$O$17)</f>
        <v>7.509812131777534E-4</v>
      </c>
      <c r="J692" s="6" cm="1">
        <f t="array" ref="J692">_xlfn.IFS(B692=2015,I692*$Q$1,B692=2016,I692*$Q$2,B692=2017,I692*$Q$3,B692=2018,I692*$Q$4,B692=2019,I692*$Q$5,B692=2020,I692*$Q$6,B692=2021,I692*$Q$7,B692=2022,I692*$Q$8)</f>
        <v>20419.35266296336</v>
      </c>
      <c r="K692" s="7">
        <f t="shared" si="22"/>
        <v>60070.352662963356</v>
      </c>
      <c r="L692">
        <f>IFERROR(VLOOKUP(G692,'LEAID Match'!$A$2:$B$168,2,FALSE),"")</f>
        <v>4607670</v>
      </c>
    </row>
    <row r="693" spans="1:12" x14ac:dyDescent="0.2">
      <c r="A693">
        <f t="shared" si="21"/>
        <v>4607670</v>
      </c>
      <c r="B693">
        <v>2021</v>
      </c>
      <c r="C693" t="s">
        <v>208</v>
      </c>
      <c r="D693" t="s">
        <v>212</v>
      </c>
      <c r="E693" t="s">
        <v>211</v>
      </c>
      <c r="F693" s="3">
        <v>930103</v>
      </c>
      <c r="G693" s="3" t="s">
        <v>133</v>
      </c>
      <c r="H693" s="4">
        <v>42165</v>
      </c>
      <c r="I693" cm="1">
        <f t="array" ref="I693">_xlfn.IFS(B693=2015,H693/$O$10,B693=2016,H693/$O$11,B693=2017,H693/$O$12,B693=2018,H693/$O$13,B693=2019,H693/$O$14,B693=2020,H693/$O$15,B693=2021,H693/$O$16,B693=2022,H693/$O$17)</f>
        <v>7.6156602321366665E-4</v>
      </c>
      <c r="J693" s="6" cm="1">
        <f t="array" ref="J693">_xlfn.IFS(B693=2015,I693*$Q$1,B693=2016,I693*$Q$2,B693=2017,I693*$Q$3,B693=2018,I693*$Q$4,B693=2019,I693*$Q$5,B693=2020,I693*$Q$6,B693=2021,I693*$Q$7,B693=2022,I693*$Q$8)</f>
        <v>21200.728555707781</v>
      </c>
      <c r="K693" s="7">
        <f t="shared" si="22"/>
        <v>63365.728555707785</v>
      </c>
      <c r="L693">
        <f>IFERROR(VLOOKUP(G693,'LEAID Match'!$A$2:$B$168,2,FALSE),"")</f>
        <v>4607670</v>
      </c>
    </row>
    <row r="694" spans="1:12" x14ac:dyDescent="0.2">
      <c r="A694">
        <f t="shared" si="21"/>
        <v>4607670</v>
      </c>
      <c r="B694">
        <v>2022</v>
      </c>
      <c r="C694" t="s">
        <v>208</v>
      </c>
      <c r="D694" t="s">
        <v>212</v>
      </c>
      <c r="E694" t="s">
        <v>211</v>
      </c>
      <c r="F694" s="3">
        <v>930103</v>
      </c>
      <c r="G694" s="3" t="s">
        <v>133</v>
      </c>
      <c r="H694" s="4">
        <v>42442</v>
      </c>
      <c r="I694" cm="1">
        <f t="array" ref="I694">_xlfn.IFS(B694=2015,H694/$O$10,B694=2016,H694/$O$11,B694=2017,H694/$O$12,B694=2018,H694/$O$13,B694=2019,H694/$O$14,B694=2020,H694/$O$15,B694=2021,H694/$O$16,B694=2022,H694/$O$17)</f>
        <v>7.3503525578367894E-4</v>
      </c>
      <c r="J694" s="6" cm="1">
        <f t="array" ref="J694">_xlfn.IFS(B694=2015,I694*$Q$1,B694=2016,I694*$Q$2,B694=2017,I694*$Q$3,B694=2018,I694*$Q$4,B694=2019,I694*$Q$5,B694=2020,I694*$Q$6,B694=2021,I694*$Q$7,B694=2022,I694*$Q$8)</f>
        <v>21652.628872971804</v>
      </c>
      <c r="K694" s="7">
        <f t="shared" si="22"/>
        <v>64094.628872971807</v>
      </c>
      <c r="L694">
        <f>IFERROR(VLOOKUP(G694,'LEAID Match'!$A$2:$B$168,2,FALSE),"")</f>
        <v>4607670</v>
      </c>
    </row>
    <row r="695" spans="1:12" x14ac:dyDescent="0.2">
      <c r="A695">
        <f t="shared" si="21"/>
        <v>4630490</v>
      </c>
      <c r="B695">
        <v>2015</v>
      </c>
      <c r="C695" t="s">
        <v>208</v>
      </c>
      <c r="D695" t="s">
        <v>212</v>
      </c>
      <c r="E695" t="s">
        <v>211</v>
      </c>
      <c r="F695" s="3">
        <v>931100</v>
      </c>
      <c r="G695" s="3" t="s">
        <v>62</v>
      </c>
      <c r="H695" s="4">
        <v>94239</v>
      </c>
      <c r="I695" cm="1">
        <f t="array" ref="I695">_xlfn.IFS(B695=2015,H695/$O$10,B695=2016,H695/$O$11,B695=2017,H695/$O$12,B695=2018,H695/$O$13,B695=2019,H695/$O$14,B695=2020,H695/$O$15,B695=2021,H695/$O$16,B695=2022,H695/$O$17)</f>
        <v>2.2042778648039634E-3</v>
      </c>
      <c r="J695" s="6" cm="1">
        <f t="array" ref="J695">_xlfn.IFS(B695=2015,I695*$Q$1,B695=2016,I695*$Q$2,B695=2017,I695*$Q$3,B695=2018,I695*$Q$4,B695=2019,I695*$Q$5,B695=2020,I695*$Q$6,B695=2021,I695*$Q$7,B695=2022,I695*$Q$8)</f>
        <v>54207.942914328116</v>
      </c>
      <c r="K695" s="7">
        <f t="shared" si="22"/>
        <v>148446.94291432813</v>
      </c>
      <c r="L695">
        <f>IFERROR(VLOOKUP(G695,'LEAID Match'!$A$2:$B$168,2,FALSE),"")</f>
        <v>4630490</v>
      </c>
    </row>
    <row r="696" spans="1:12" x14ac:dyDescent="0.2">
      <c r="A696">
        <f t="shared" si="21"/>
        <v>4630490</v>
      </c>
      <c r="B696">
        <v>2016</v>
      </c>
      <c r="C696" t="s">
        <v>208</v>
      </c>
      <c r="D696" t="s">
        <v>212</v>
      </c>
      <c r="E696" t="s">
        <v>211</v>
      </c>
      <c r="F696" s="3">
        <v>931100</v>
      </c>
      <c r="G696" s="3" t="s">
        <v>62</v>
      </c>
      <c r="H696" s="4">
        <v>90535</v>
      </c>
      <c r="I696" cm="1">
        <f t="array" ref="I696">_xlfn.IFS(B696=2015,H696/$O$10,B696=2016,H696/$O$11,B696=2017,H696/$O$12,B696=2018,H696/$O$13,B696=2019,H696/$O$14,B696=2020,H696/$O$15,B696=2021,H696/$O$16,B696=2022,H696/$O$17)</f>
        <v>2.0535203635571415E-3</v>
      </c>
      <c r="J696" s="6" cm="1">
        <f t="array" ref="J696">_xlfn.IFS(B696=2015,I696*$Q$1,B696=2016,I696*$Q$2,B696=2017,I696*$Q$3,B696=2018,I696*$Q$4,B696=2019,I696*$Q$5,B696=2020,I696*$Q$6,B696=2021,I696*$Q$7,B696=2022,I696*$Q$8)</f>
        <v>52171.337920061844</v>
      </c>
      <c r="K696" s="7">
        <f t="shared" si="22"/>
        <v>142706.33792006184</v>
      </c>
      <c r="L696">
        <f>IFERROR(VLOOKUP(G696,'LEAID Match'!$A$2:$B$168,2,FALSE),"")</f>
        <v>4630490</v>
      </c>
    </row>
    <row r="697" spans="1:12" x14ac:dyDescent="0.2">
      <c r="A697">
        <f t="shared" si="21"/>
        <v>4630490</v>
      </c>
      <c r="B697">
        <v>2017</v>
      </c>
      <c r="C697" t="s">
        <v>208</v>
      </c>
      <c r="D697" t="s">
        <v>212</v>
      </c>
      <c r="E697" t="s">
        <v>211</v>
      </c>
      <c r="F697" s="3">
        <v>931100</v>
      </c>
      <c r="G697" s="3" t="s">
        <v>62</v>
      </c>
      <c r="H697" s="4">
        <v>110452</v>
      </c>
      <c r="I697" cm="1">
        <f t="array" ref="I697">_xlfn.IFS(B697=2015,H697/$O$10,B697=2016,H697/$O$11,B697=2017,H697/$O$12,B697=2018,H697/$O$13,B697=2019,H697/$O$14,B697=2020,H697/$O$15,B697=2021,H697/$O$16,B697=2022,H697/$O$17)</f>
        <v>2.2804792978968064E-3</v>
      </c>
      <c r="J697" s="6" cm="1">
        <f t="array" ref="J697">_xlfn.IFS(B697=2015,I697*$Q$1,B697=2016,I697*$Q$2,B697=2017,I697*$Q$3,B697=2018,I697*$Q$4,B697=2019,I697*$Q$5,B697=2020,I697*$Q$6,B697=2021,I697*$Q$7,B697=2022,I697*$Q$8)</f>
        <v>59989.225707120568</v>
      </c>
      <c r="K697" s="7">
        <f t="shared" si="22"/>
        <v>170441.22570712055</v>
      </c>
      <c r="L697">
        <f>IFERROR(VLOOKUP(G697,'LEAID Match'!$A$2:$B$168,2,FALSE),"")</f>
        <v>4630490</v>
      </c>
    </row>
    <row r="698" spans="1:12" x14ac:dyDescent="0.2">
      <c r="A698">
        <f t="shared" si="21"/>
        <v>4630490</v>
      </c>
      <c r="B698">
        <v>2018</v>
      </c>
      <c r="C698" t="s">
        <v>208</v>
      </c>
      <c r="D698" t="s">
        <v>212</v>
      </c>
      <c r="E698" t="s">
        <v>211</v>
      </c>
      <c r="F698" s="3">
        <v>931100</v>
      </c>
      <c r="G698" s="3" t="s">
        <v>62</v>
      </c>
      <c r="H698" s="4">
        <v>106666</v>
      </c>
      <c r="I698" cm="1">
        <f t="array" ref="I698">_xlfn.IFS(B698=2015,H698/$O$10,B698=2016,H698/$O$11,B698=2017,H698/$O$12,B698=2018,H698/$O$13,B698=2019,H698/$O$14,B698=2020,H698/$O$15,B698=2021,H698/$O$16,B698=2022,H698/$O$17)</f>
        <v>2.1271978395299195E-3</v>
      </c>
      <c r="J698" s="6" cm="1">
        <f t="array" ref="J698">_xlfn.IFS(B698=2015,I698*$Q$1,B698=2016,I698*$Q$2,B698=2017,I698*$Q$3,B698=2018,I698*$Q$4,B698=2019,I698*$Q$5,B698=2020,I698*$Q$6,B698=2021,I698*$Q$7,B698=2022,I698*$Q$8)</f>
        <v>55851.300179910213</v>
      </c>
      <c r="K698" s="7">
        <f t="shared" si="22"/>
        <v>162517.30017991021</v>
      </c>
      <c r="L698">
        <f>IFERROR(VLOOKUP(G698,'LEAID Match'!$A$2:$B$168,2,FALSE),"")</f>
        <v>4630490</v>
      </c>
    </row>
    <row r="699" spans="1:12" x14ac:dyDescent="0.2">
      <c r="A699">
        <f t="shared" si="21"/>
        <v>4630490</v>
      </c>
      <c r="B699">
        <v>2019</v>
      </c>
      <c r="C699" t="s">
        <v>208</v>
      </c>
      <c r="D699" t="s">
        <v>212</v>
      </c>
      <c r="E699" t="s">
        <v>211</v>
      </c>
      <c r="F699" s="3">
        <v>931100</v>
      </c>
      <c r="G699" s="3" t="s">
        <v>62</v>
      </c>
      <c r="H699" s="4">
        <v>107778</v>
      </c>
      <c r="I699" cm="1">
        <f t="array" ref="I699">_xlfn.IFS(B699=2015,H699/$O$10,B699=2016,H699/$O$11,B699=2017,H699/$O$12,B699=2018,H699/$O$13,B699=2019,H699/$O$14,B699=2020,H699/$O$15,B699=2021,H699/$O$16,B699=2022,H699/$O$17)</f>
        <v>2.1107816666456132E-3</v>
      </c>
      <c r="J699" s="6" cm="1">
        <f t="array" ref="J699">_xlfn.IFS(B699=2015,I699*$Q$1,B699=2016,I699*$Q$2,B699=2017,I699*$Q$3,B699=2018,I699*$Q$4,B699=2019,I699*$Q$5,B699=2020,I699*$Q$6,B699=2021,I699*$Q$7,B699=2022,I699*$Q$8)</f>
        <v>55824.80314343486</v>
      </c>
      <c r="K699" s="7">
        <f t="shared" si="22"/>
        <v>163602.80314343487</v>
      </c>
      <c r="L699">
        <f>IFERROR(VLOOKUP(G699,'LEAID Match'!$A$2:$B$168,2,FALSE),"")</f>
        <v>4630490</v>
      </c>
    </row>
    <row r="700" spans="1:12" x14ac:dyDescent="0.2">
      <c r="A700">
        <f t="shared" si="21"/>
        <v>4630490</v>
      </c>
      <c r="B700">
        <v>2020</v>
      </c>
      <c r="C700" t="s">
        <v>208</v>
      </c>
      <c r="D700" t="s">
        <v>212</v>
      </c>
      <c r="E700" t="s">
        <v>211</v>
      </c>
      <c r="F700" s="1">
        <v>931100</v>
      </c>
      <c r="G700" s="3" t="s">
        <v>62</v>
      </c>
      <c r="H700" s="2">
        <v>106873</v>
      </c>
      <c r="I700" cm="1">
        <f t="array" ref="I700">_xlfn.IFS(B700=2015,H700/$O$10,B700=2016,H700/$O$11,B700=2017,H700/$O$12,B700=2018,H700/$O$13,B700=2019,H700/$O$14,B700=2020,H700/$O$15,B700=2021,H700/$O$16,B700=2022,H700/$O$17)</f>
        <v>2.024151098230714E-3</v>
      </c>
      <c r="J700" s="6" cm="1">
        <f t="array" ref="J700">_xlfn.IFS(B700=2015,I700*$Q$1,B700=2016,I700*$Q$2,B700=2017,I700*$Q$3,B700=2018,I700*$Q$4,B700=2019,I700*$Q$5,B700=2020,I700*$Q$6,B700=2021,I700*$Q$7,B700=2022,I700*$Q$8)</f>
        <v>55037.135939796804</v>
      </c>
      <c r="K700" s="7">
        <f t="shared" si="22"/>
        <v>161910.1359397968</v>
      </c>
      <c r="L700">
        <f>IFERROR(VLOOKUP(G700,'LEAID Match'!$A$2:$B$168,2,FALSE),"")</f>
        <v>4630490</v>
      </c>
    </row>
    <row r="701" spans="1:12" x14ac:dyDescent="0.2">
      <c r="A701">
        <f t="shared" si="21"/>
        <v>4630490</v>
      </c>
      <c r="B701">
        <v>2021</v>
      </c>
      <c r="C701" t="s">
        <v>208</v>
      </c>
      <c r="D701" t="s">
        <v>212</v>
      </c>
      <c r="E701" t="s">
        <v>211</v>
      </c>
      <c r="F701" s="3">
        <v>931100</v>
      </c>
      <c r="G701" s="3" t="s">
        <v>62</v>
      </c>
      <c r="H701" s="4">
        <v>108053</v>
      </c>
      <c r="I701" cm="1">
        <f t="array" ref="I701">_xlfn.IFS(B701=2015,H701/$O$10,B701=2016,H701/$O$11,B701=2017,H701/$O$12,B701=2018,H701/$O$13,B701=2019,H701/$O$14,B701=2020,H701/$O$15,B701=2021,H701/$O$16,B701=2022,H701/$O$17)</f>
        <v>1.9516066288700657E-3</v>
      </c>
      <c r="J701" s="6" cm="1">
        <f t="array" ref="J701">_xlfn.IFS(B701=2015,I701*$Q$1,B701=2016,I701*$Q$2,B701=2017,I701*$Q$3,B701=2018,I701*$Q$4,B701=2019,I701*$Q$5,B701=2020,I701*$Q$6,B701=2021,I701*$Q$7,B701=2022,I701*$Q$8)</f>
        <v>54329.475219492298</v>
      </c>
      <c r="K701" s="7">
        <f t="shared" si="22"/>
        <v>162382.47521949231</v>
      </c>
      <c r="L701">
        <f>IFERROR(VLOOKUP(G701,'LEAID Match'!$A$2:$B$168,2,FALSE),"")</f>
        <v>4630490</v>
      </c>
    </row>
    <row r="702" spans="1:12" x14ac:dyDescent="0.2">
      <c r="A702">
        <f t="shared" si="21"/>
        <v>4630490</v>
      </c>
      <c r="B702">
        <v>2022</v>
      </c>
      <c r="C702" t="s">
        <v>208</v>
      </c>
      <c r="D702" t="s">
        <v>212</v>
      </c>
      <c r="E702" t="s">
        <v>211</v>
      </c>
      <c r="F702" s="3">
        <v>931100</v>
      </c>
      <c r="G702" s="3" t="s">
        <v>62</v>
      </c>
      <c r="H702" s="4">
        <v>112076</v>
      </c>
      <c r="I702" cm="1">
        <f t="array" ref="I702">_xlfn.IFS(B702=2015,H702/$O$10,B702=2016,H702/$O$11,B702=2017,H702/$O$12,B702=2018,H702/$O$13,B702=2019,H702/$O$14,B702=2020,H702/$O$15,B702=2021,H702/$O$16,B702=2022,H702/$O$17)</f>
        <v>1.9409973923757507E-3</v>
      </c>
      <c r="J702" s="6" cm="1">
        <f t="array" ref="J702">_xlfn.IFS(B702=2015,I702*$Q$1,B702=2016,I702*$Q$2,B702=2017,I702*$Q$3,B702=2018,I702*$Q$4,B702=2019,I702*$Q$5,B702=2020,I702*$Q$6,B702=2021,I702*$Q$7,B702=2022,I702*$Q$8)</f>
        <v>57177.796370745673</v>
      </c>
      <c r="K702" s="7">
        <f t="shared" si="22"/>
        <v>169253.79637074567</v>
      </c>
      <c r="L702">
        <f>IFERROR(VLOOKUP(G702,'LEAID Match'!$A$2:$B$168,2,FALSE),"")</f>
        <v>4630490</v>
      </c>
    </row>
    <row r="703" spans="1:12" x14ac:dyDescent="0.2">
      <c r="A703">
        <f t="shared" si="21"/>
        <v>4611280</v>
      </c>
      <c r="B703">
        <v>2015</v>
      </c>
      <c r="C703" t="s">
        <v>208</v>
      </c>
      <c r="D703" t="s">
        <v>212</v>
      </c>
      <c r="E703" t="s">
        <v>211</v>
      </c>
      <c r="F703" s="3">
        <v>932101</v>
      </c>
      <c r="G703" s="3" t="s">
        <v>22</v>
      </c>
      <c r="H703" s="4">
        <v>78825</v>
      </c>
      <c r="I703" cm="1">
        <f t="array" ref="I703">_xlfn.IFS(B703=2015,H703/$O$10,B703=2016,H703/$O$11,B703=2017,H703/$O$12,B703=2018,H703/$O$13,B703=2019,H703/$O$14,B703=2020,H703/$O$15,B703=2021,H703/$O$16,B703=2022,H703/$O$17)</f>
        <v>1.8437398815052413E-3</v>
      </c>
      <c r="J703" s="6" cm="1">
        <f t="array" ref="J703">_xlfn.IFS(B703=2015,I703*$Q$1,B703=2016,I703*$Q$2,B703=2017,I703*$Q$3,B703=2018,I703*$Q$4,B703=2019,I703*$Q$5,B703=2020,I703*$Q$6,B703=2021,I703*$Q$7,B703=2022,I703*$Q$8)</f>
        <v>45341.536945658525</v>
      </c>
      <c r="K703" s="7">
        <f t="shared" si="22"/>
        <v>124166.53694565853</v>
      </c>
      <c r="L703">
        <f>IFERROR(VLOOKUP(G703,'LEAID Match'!$A$2:$B$168,2,FALSE),"")</f>
        <v>4611280</v>
      </c>
    </row>
    <row r="704" spans="1:12" x14ac:dyDescent="0.2">
      <c r="A704">
        <f t="shared" si="21"/>
        <v>4611280</v>
      </c>
      <c r="B704">
        <v>2016</v>
      </c>
      <c r="C704" t="s">
        <v>208</v>
      </c>
      <c r="D704" t="s">
        <v>212</v>
      </c>
      <c r="E704" t="s">
        <v>211</v>
      </c>
      <c r="F704" s="3">
        <v>932101</v>
      </c>
      <c r="G704" s="3" t="s">
        <v>22</v>
      </c>
      <c r="H704" s="4">
        <v>79962</v>
      </c>
      <c r="I704" cm="1">
        <f t="array" ref="I704">_xlfn.IFS(B704=2015,H704/$O$10,B704=2016,H704/$O$11,B704=2017,H704/$O$12,B704=2018,H704/$O$13,B704=2019,H704/$O$14,B704=2020,H704/$O$15,B704=2021,H704/$O$16,B704=2022,H704/$O$17)</f>
        <v>1.8137029359999574E-3</v>
      </c>
      <c r="J704" s="6" cm="1">
        <f t="array" ref="J704">_xlfn.IFS(B704=2015,I704*$Q$1,B704=2016,I704*$Q$2,B704=2017,I704*$Q$3,B704=2018,I704*$Q$4,B704=2019,I704*$Q$5,B704=2020,I704*$Q$6,B704=2021,I704*$Q$7,B704=2022,I704*$Q$8)</f>
        <v>46078.583119942399</v>
      </c>
      <c r="K704" s="7">
        <f t="shared" si="22"/>
        <v>126040.5831199424</v>
      </c>
      <c r="L704">
        <f>IFERROR(VLOOKUP(G704,'LEAID Match'!$A$2:$B$168,2,FALSE),"")</f>
        <v>4611280</v>
      </c>
    </row>
    <row r="705" spans="1:12" x14ac:dyDescent="0.2">
      <c r="A705">
        <f t="shared" si="21"/>
        <v>4611280</v>
      </c>
      <c r="B705">
        <v>2017</v>
      </c>
      <c r="C705" t="s">
        <v>208</v>
      </c>
      <c r="D705" t="s">
        <v>212</v>
      </c>
      <c r="E705" t="s">
        <v>211</v>
      </c>
      <c r="F705" s="3">
        <v>932101</v>
      </c>
      <c r="G705" s="3" t="s">
        <v>22</v>
      </c>
      <c r="H705" s="4">
        <v>86926</v>
      </c>
      <c r="I705" cm="1">
        <f t="array" ref="I705">_xlfn.IFS(B705=2015,H705/$O$10,B705=2016,H705/$O$11,B705=2017,H705/$O$12,B705=2018,H705/$O$13,B705=2019,H705/$O$14,B705=2020,H705/$O$15,B705=2021,H705/$O$16,B705=2022,H705/$O$17)</f>
        <v>1.7947429059589487E-3</v>
      </c>
      <c r="J705" s="6" cm="1">
        <f t="array" ref="J705">_xlfn.IFS(B705=2015,I705*$Q$1,B705=2016,I705*$Q$2,B705=2017,I705*$Q$3,B705=2018,I705*$Q$4,B705=2019,I705*$Q$5,B705=2020,I705*$Q$6,B705=2021,I705*$Q$7,B705=2022,I705*$Q$8)</f>
        <v>47211.670533961929</v>
      </c>
      <c r="K705" s="7">
        <f t="shared" si="22"/>
        <v>134137.67053396194</v>
      </c>
      <c r="L705">
        <f>IFERROR(VLOOKUP(G705,'LEAID Match'!$A$2:$B$168,2,FALSE),"")</f>
        <v>4611280</v>
      </c>
    </row>
    <row r="706" spans="1:12" x14ac:dyDescent="0.2">
      <c r="A706">
        <f t="shared" si="21"/>
        <v>4611280</v>
      </c>
      <c r="B706">
        <v>2018</v>
      </c>
      <c r="C706" t="s">
        <v>208</v>
      </c>
      <c r="D706" t="s">
        <v>212</v>
      </c>
      <c r="E706" t="s">
        <v>211</v>
      </c>
      <c r="F706" s="3">
        <v>932101</v>
      </c>
      <c r="G706" s="3" t="s">
        <v>22</v>
      </c>
      <c r="H706" s="4">
        <v>89849</v>
      </c>
      <c r="I706" cm="1">
        <f t="array" ref="I706">_xlfn.IFS(B706=2015,H706/$O$10,B706=2016,H706/$O$11,B706=2017,H706/$O$12,B706=2018,H706/$O$13,B706=2019,H706/$O$14,B706=2020,H706/$O$15,B706=2021,H706/$O$16,B706=2022,H706/$O$17)</f>
        <v>1.7918230615559195E-3</v>
      </c>
      <c r="J706" s="6" cm="1">
        <f t="array" ref="J706">_xlfn.IFS(B706=2015,I706*$Q$1,B706=2016,I706*$Q$2,B706=2017,I706*$Q$3,B706=2018,I706*$Q$4,B706=2019,I706*$Q$5,B706=2020,I706*$Q$6,B706=2021,I706*$Q$7,B706=2022,I706*$Q$8)</f>
        <v>47045.764066007469</v>
      </c>
      <c r="K706" s="7">
        <f t="shared" si="22"/>
        <v>136894.76406600745</v>
      </c>
      <c r="L706">
        <f>IFERROR(VLOOKUP(G706,'LEAID Match'!$A$2:$B$168,2,FALSE),"")</f>
        <v>4611280</v>
      </c>
    </row>
    <row r="707" spans="1:12" x14ac:dyDescent="0.2">
      <c r="A707">
        <f t="shared" ref="A707:A770" si="23">L707</f>
        <v>4611280</v>
      </c>
      <c r="B707">
        <v>2019</v>
      </c>
      <c r="C707" t="s">
        <v>208</v>
      </c>
      <c r="D707" t="s">
        <v>212</v>
      </c>
      <c r="E707" t="s">
        <v>211</v>
      </c>
      <c r="F707" s="3">
        <v>932101</v>
      </c>
      <c r="G707" s="3" t="s">
        <v>22</v>
      </c>
      <c r="H707" s="4">
        <v>94484</v>
      </c>
      <c r="I707" cm="1">
        <f t="array" ref="I707">_xlfn.IFS(B707=2015,H707/$O$10,B707=2016,H707/$O$11,B707=2017,H707/$O$12,B707=2018,H707/$O$13,B707=2019,H707/$O$14,B707=2020,H707/$O$15,B707=2021,H707/$O$16,B707=2022,H707/$O$17)</f>
        <v>1.8504249011054587E-3</v>
      </c>
      <c r="J707" s="6" cm="1">
        <f t="array" ref="J707">_xlfn.IFS(B707=2015,I707*$Q$1,B707=2016,I707*$Q$2,B707=2017,I707*$Q$3,B707=2018,I707*$Q$4,B707=2019,I707*$Q$5,B707=2020,I707*$Q$6,B707=2021,I707*$Q$7,B707=2022,I707*$Q$8)</f>
        <v>48939.029302866067</v>
      </c>
      <c r="K707" s="7">
        <f t="shared" ref="K707:K770" si="24">SUM(J707,H707)</f>
        <v>143423.02930286608</v>
      </c>
      <c r="L707">
        <f>IFERROR(VLOOKUP(G707,'LEAID Match'!$A$2:$B$168,2,FALSE),"")</f>
        <v>4611280</v>
      </c>
    </row>
    <row r="708" spans="1:12" x14ac:dyDescent="0.2">
      <c r="A708">
        <f t="shared" si="23"/>
        <v>4611280</v>
      </c>
      <c r="B708">
        <v>2020</v>
      </c>
      <c r="C708" t="s">
        <v>208</v>
      </c>
      <c r="D708" t="s">
        <v>212</v>
      </c>
      <c r="E708" t="s">
        <v>211</v>
      </c>
      <c r="F708" s="1">
        <v>932101</v>
      </c>
      <c r="G708" s="3" t="s">
        <v>22</v>
      </c>
      <c r="H708" s="2">
        <v>96250</v>
      </c>
      <c r="I708" cm="1">
        <f t="array" ref="I708">_xlfn.IFS(B708=2015,H708/$O$10,B708=2016,H708/$O$11,B708=2017,H708/$O$12,B708=2018,H708/$O$13,B708=2019,H708/$O$14,B708=2020,H708/$O$15,B708=2021,H708/$O$16,B708=2022,H708/$O$17)</f>
        <v>1.822953816255801E-3</v>
      </c>
      <c r="J708" s="6" cm="1">
        <f t="array" ref="J708">_xlfn.IFS(B708=2015,I708*$Q$1,B708=2016,I708*$Q$2,B708=2017,I708*$Q$3,B708=2018,I708*$Q$4,B708=2019,I708*$Q$5,B708=2020,I708*$Q$6,B708=2021,I708*$Q$7,B708=2022,I708*$Q$8)</f>
        <v>49566.535366326782</v>
      </c>
      <c r="K708" s="7">
        <f t="shared" si="24"/>
        <v>145816.53536632677</v>
      </c>
      <c r="L708">
        <f>IFERROR(VLOOKUP(G708,'LEAID Match'!$A$2:$B$168,2,FALSE),"")</f>
        <v>4611280</v>
      </c>
    </row>
    <row r="709" spans="1:12" x14ac:dyDescent="0.2">
      <c r="A709">
        <f t="shared" si="23"/>
        <v>4611280</v>
      </c>
      <c r="B709">
        <v>2021</v>
      </c>
      <c r="C709" t="s">
        <v>208</v>
      </c>
      <c r="D709" t="s">
        <v>212</v>
      </c>
      <c r="E709" t="s">
        <v>211</v>
      </c>
      <c r="F709" s="3">
        <v>932101</v>
      </c>
      <c r="G709" s="3" t="s">
        <v>22</v>
      </c>
      <c r="H709" s="4">
        <v>99873</v>
      </c>
      <c r="I709" cm="1">
        <f t="array" ref="I709">_xlfn.IFS(B709=2015,H709/$O$10,B709=2016,H709/$O$11,B709=2017,H709/$O$12,B709=2018,H709/$O$13,B709=2019,H709/$O$14,B709=2020,H709/$O$15,B709=2021,H709/$O$16,B709=2022,H709/$O$17)</f>
        <v>1.8038630009822964E-3</v>
      </c>
      <c r="J709" s="6" cm="1">
        <f t="array" ref="J709">_xlfn.IFS(B709=2015,I709*$Q$1,B709=2016,I709*$Q$2,B709=2017,I709*$Q$3,B709=2018,I709*$Q$4,B709=2019,I709*$Q$5,B709=2020,I709*$Q$6,B709=2021,I709*$Q$7,B709=2022,I709*$Q$8)</f>
        <v>50216.538907724498</v>
      </c>
      <c r="K709" s="7">
        <f t="shared" si="24"/>
        <v>150089.53890772449</v>
      </c>
      <c r="L709">
        <f>IFERROR(VLOOKUP(G709,'LEAID Match'!$A$2:$B$168,2,FALSE),"")</f>
        <v>4611280</v>
      </c>
    </row>
    <row r="710" spans="1:12" x14ac:dyDescent="0.2">
      <c r="A710">
        <f t="shared" si="23"/>
        <v>4611280</v>
      </c>
      <c r="B710">
        <v>2022</v>
      </c>
      <c r="C710" t="s">
        <v>208</v>
      </c>
      <c r="D710" t="s">
        <v>212</v>
      </c>
      <c r="E710" t="s">
        <v>211</v>
      </c>
      <c r="F710" s="3">
        <v>932101</v>
      </c>
      <c r="G710" s="3" t="s">
        <v>22</v>
      </c>
      <c r="H710" s="4">
        <v>100064</v>
      </c>
      <c r="I710" cm="1">
        <f t="array" ref="I710">_xlfn.IFS(B710=2015,H710/$O$10,B710=2016,H710/$O$11,B710=2017,H710/$O$12,B710=2018,H710/$O$13,B710=2019,H710/$O$14,B710=2020,H710/$O$15,B710=2021,H710/$O$16,B710=2022,H710/$O$17)</f>
        <v>1.732966585805053E-3</v>
      </c>
      <c r="J710" s="6" cm="1">
        <f t="array" ref="J710">_xlfn.IFS(B710=2015,I710*$Q$1,B710=2016,I710*$Q$2,B710=2017,I710*$Q$3,B710=2018,I710*$Q$4,B710=2019,I710*$Q$5,B710=2020,I710*$Q$6,B710=2021,I710*$Q$7,B710=2022,I710*$Q$8)</f>
        <v>51049.636104449615</v>
      </c>
      <c r="K710" s="7">
        <f t="shared" si="24"/>
        <v>151113.63610444963</v>
      </c>
      <c r="L710">
        <f>IFERROR(VLOOKUP(G710,'LEAID Match'!$A$2:$B$168,2,FALSE),"")</f>
        <v>4611280</v>
      </c>
    </row>
    <row r="711" spans="1:12" x14ac:dyDescent="0.2">
      <c r="A711">
        <f t="shared" si="23"/>
        <v>4622410</v>
      </c>
      <c r="B711">
        <v>2015</v>
      </c>
      <c r="C711" t="s">
        <v>208</v>
      </c>
      <c r="D711" t="s">
        <v>212</v>
      </c>
      <c r="E711" t="s">
        <v>211</v>
      </c>
      <c r="F711" s="3">
        <v>932104</v>
      </c>
      <c r="G711" s="3" t="s">
        <v>48</v>
      </c>
      <c r="H711" s="4">
        <v>73899</v>
      </c>
      <c r="I711" cm="1">
        <f t="array" ref="I711">_xlfn.IFS(B711=2015,H711/$O$10,B711=2016,H711/$O$11,B711=2017,H711/$O$12,B711=2018,H711/$O$13,B711=2019,H711/$O$14,B711=2020,H711/$O$15,B711=2021,H711/$O$16,B711=2022,H711/$O$17)</f>
        <v>1.7285192959512314E-3</v>
      </c>
      <c r="J711" s="6" cm="1">
        <f t="array" ref="J711">_xlfn.IFS(B711=2015,I711*$Q$1,B711=2016,I711*$Q$2,B711=2017,I711*$Q$3,B711=2018,I711*$Q$4,B711=2019,I711*$Q$5,B711=2020,I711*$Q$6,B711=2021,I711*$Q$7,B711=2022,I711*$Q$8)</f>
        <v>42508.014446523557</v>
      </c>
      <c r="K711" s="7">
        <f t="shared" si="24"/>
        <v>116407.01444652356</v>
      </c>
      <c r="L711">
        <f>IFERROR(VLOOKUP(G711,'LEAID Match'!$A$2:$B$168,2,FALSE),"")</f>
        <v>4622410</v>
      </c>
    </row>
    <row r="712" spans="1:12" x14ac:dyDescent="0.2">
      <c r="A712">
        <f t="shared" si="23"/>
        <v>4622410</v>
      </c>
      <c r="B712">
        <v>2016</v>
      </c>
      <c r="C712" t="s">
        <v>208</v>
      </c>
      <c r="D712" t="s">
        <v>212</v>
      </c>
      <c r="E712" t="s">
        <v>211</v>
      </c>
      <c r="F712" s="3">
        <v>932104</v>
      </c>
      <c r="G712" s="3" t="s">
        <v>48</v>
      </c>
      <c r="H712" s="4">
        <v>83050</v>
      </c>
      <c r="I712" cm="1">
        <f t="array" ref="I712">_xlfn.IFS(B712=2015,H712/$O$10,B712=2016,H712/$O$11,B712=2017,H712/$O$12,B712=2018,H712/$O$13,B712=2019,H712/$O$14,B712=2020,H712/$O$15,B712=2021,H712/$O$16,B712=2022,H712/$O$17)</f>
        <v>1.8837451393761593E-3</v>
      </c>
      <c r="J712" s="6" cm="1">
        <f t="array" ref="J712">_xlfn.IFS(B712=2015,I712*$Q$1,B712=2016,I712*$Q$2,B712=2017,I712*$Q$3,B712=2018,I712*$Q$4,B712=2019,I712*$Q$5,B712=2020,I712*$Q$6,B712=2021,I712*$Q$7,B712=2022,I712*$Q$8)</f>
        <v>47858.061680688523</v>
      </c>
      <c r="K712" s="7">
        <f t="shared" si="24"/>
        <v>130908.06168068852</v>
      </c>
      <c r="L712">
        <f>IFERROR(VLOOKUP(G712,'LEAID Match'!$A$2:$B$168,2,FALSE),"")</f>
        <v>4622410</v>
      </c>
    </row>
    <row r="713" spans="1:12" x14ac:dyDescent="0.2">
      <c r="A713">
        <f t="shared" si="23"/>
        <v>4622410</v>
      </c>
      <c r="B713">
        <v>2017</v>
      </c>
      <c r="C713" t="s">
        <v>208</v>
      </c>
      <c r="D713" t="s">
        <v>212</v>
      </c>
      <c r="E713" t="s">
        <v>211</v>
      </c>
      <c r="F713" s="3">
        <v>932104</v>
      </c>
      <c r="G713" s="3" t="s">
        <v>48</v>
      </c>
      <c r="H713" s="4">
        <v>95504</v>
      </c>
      <c r="I713" cm="1">
        <f t="array" ref="I713">_xlfn.IFS(B713=2015,H713/$O$10,B713=2016,H713/$O$11,B713=2017,H713/$O$12,B713=2018,H713/$O$13,B713=2019,H713/$O$14,B713=2020,H713/$O$15,B713=2021,H713/$O$16,B713=2022,H713/$O$17)</f>
        <v>1.9718510743701933E-3</v>
      </c>
      <c r="J713" s="6" cm="1">
        <f t="array" ref="J713">_xlfn.IFS(B713=2015,I713*$Q$1,B713=2016,I713*$Q$2,B713=2017,I713*$Q$3,B713=2018,I713*$Q$4,B713=2019,I713*$Q$5,B713=2020,I713*$Q$6,B713=2021,I713*$Q$7,B713=2022,I713*$Q$8)</f>
        <v>51870.595479781652</v>
      </c>
      <c r="K713" s="7">
        <f t="shared" si="24"/>
        <v>147374.59547978165</v>
      </c>
      <c r="L713">
        <f>IFERROR(VLOOKUP(G713,'LEAID Match'!$A$2:$B$168,2,FALSE),"")</f>
        <v>4622410</v>
      </c>
    </row>
    <row r="714" spans="1:12" x14ac:dyDescent="0.2">
      <c r="A714">
        <f t="shared" si="23"/>
        <v>4622410</v>
      </c>
      <c r="B714">
        <v>2018</v>
      </c>
      <c r="C714" t="s">
        <v>208</v>
      </c>
      <c r="D714" t="s">
        <v>212</v>
      </c>
      <c r="E714" t="s">
        <v>211</v>
      </c>
      <c r="F714" s="3">
        <v>932104</v>
      </c>
      <c r="G714" s="3" t="s">
        <v>48</v>
      </c>
      <c r="H714" s="4">
        <v>100244</v>
      </c>
      <c r="I714" cm="1">
        <f t="array" ref="I714">_xlfn.IFS(B714=2015,H714/$O$10,B714=2016,H714/$O$11,B714=2017,H714/$O$12,B714=2018,H714/$O$13,B714=2019,H714/$O$14,B714=2020,H714/$O$15,B714=2021,H714/$O$16,B714=2022,H714/$O$17)</f>
        <v>1.9991264341574374E-3</v>
      </c>
      <c r="J714" s="6" cm="1">
        <f t="array" ref="J714">_xlfn.IFS(B714=2015,I714*$Q$1,B714=2016,I714*$Q$2,B714=2017,I714*$Q$3,B714=2018,I714*$Q$4,B714=2019,I714*$Q$5,B714=2020,I714*$Q$6,B714=2021,I714*$Q$7,B714=2022,I714*$Q$8)</f>
        <v>52488.681822088751</v>
      </c>
      <c r="K714" s="7">
        <f t="shared" si="24"/>
        <v>152732.68182208875</v>
      </c>
      <c r="L714">
        <f>IFERROR(VLOOKUP(G714,'LEAID Match'!$A$2:$B$168,2,FALSE),"")</f>
        <v>4622410</v>
      </c>
    </row>
    <row r="715" spans="1:12" x14ac:dyDescent="0.2">
      <c r="A715">
        <f t="shared" si="23"/>
        <v>4622410</v>
      </c>
      <c r="B715">
        <v>2019</v>
      </c>
      <c r="C715" t="s">
        <v>208</v>
      </c>
      <c r="D715" t="s">
        <v>212</v>
      </c>
      <c r="E715" t="s">
        <v>211</v>
      </c>
      <c r="F715" s="3">
        <v>932104</v>
      </c>
      <c r="G715" s="3" t="s">
        <v>48</v>
      </c>
      <c r="H715" s="4">
        <v>96602</v>
      </c>
      <c r="I715" cm="1">
        <f t="array" ref="I715">_xlfn.IFS(B715=2015,H715/$O$10,B715=2016,H715/$O$11,B715=2017,H715/$O$12,B715=2018,H715/$O$13,B715=2019,H715/$O$14,B715=2020,H715/$O$15,B715=2021,H715/$O$16,B715=2022,H715/$O$17)</f>
        <v>1.8919049394245536E-3</v>
      </c>
      <c r="J715" s="6" cm="1">
        <f t="array" ref="J715">_xlfn.IFS(B715=2015,I715*$Q$1,B715=2016,I715*$Q$2,B715=2017,I715*$Q$3,B715=2018,I715*$Q$4,B715=2019,I715*$Q$5,B715=2020,I715*$Q$6,B715=2021,I715*$Q$7,B715=2022,I715*$Q$8)</f>
        <v>50036.070749708604</v>
      </c>
      <c r="K715" s="7">
        <f t="shared" si="24"/>
        <v>146638.0707497086</v>
      </c>
      <c r="L715">
        <f>IFERROR(VLOOKUP(G715,'LEAID Match'!$A$2:$B$168,2,FALSE),"")</f>
        <v>4622410</v>
      </c>
    </row>
    <row r="716" spans="1:12" x14ac:dyDescent="0.2">
      <c r="A716">
        <f t="shared" si="23"/>
        <v>4622410</v>
      </c>
      <c r="B716">
        <v>2020</v>
      </c>
      <c r="C716" t="s">
        <v>208</v>
      </c>
      <c r="D716" t="s">
        <v>212</v>
      </c>
      <c r="E716" t="s">
        <v>211</v>
      </c>
      <c r="F716" s="1">
        <v>932104</v>
      </c>
      <c r="G716" s="3" t="s">
        <v>48</v>
      </c>
      <c r="H716" s="2">
        <v>98217</v>
      </c>
      <c r="I716" cm="1">
        <f t="array" ref="I716">_xlfn.IFS(B716=2015,H716/$O$10,B716=2016,H716/$O$11,B716=2017,H716/$O$12,B716=2018,H716/$O$13,B716=2019,H716/$O$14,B716=2020,H716/$O$15,B716=2021,H716/$O$16,B716=2022,H716/$O$17)</f>
        <v>1.8602083633371014E-3</v>
      </c>
      <c r="J716" s="6" cm="1">
        <f t="array" ref="J716">_xlfn.IFS(B716=2015,I716*$Q$1,B716=2016,I716*$Q$2,B716=2017,I716*$Q$3,B716=2018,I716*$Q$4,B716=2019,I716*$Q$5,B716=2020,I716*$Q$6,B716=2021,I716*$Q$7,B716=2022,I716*$Q$8)</f>
        <v>50579.495107267721</v>
      </c>
      <c r="K716" s="7">
        <f t="shared" si="24"/>
        <v>148796.49510726772</v>
      </c>
      <c r="L716">
        <f>IFERROR(VLOOKUP(G716,'LEAID Match'!$A$2:$B$168,2,FALSE),"")</f>
        <v>4622410</v>
      </c>
    </row>
    <row r="717" spans="1:12" x14ac:dyDescent="0.2">
      <c r="A717">
        <f t="shared" si="23"/>
        <v>4622410</v>
      </c>
      <c r="B717">
        <v>2021</v>
      </c>
      <c r="C717" t="s">
        <v>208</v>
      </c>
      <c r="D717" t="s">
        <v>212</v>
      </c>
      <c r="E717" t="s">
        <v>211</v>
      </c>
      <c r="F717" s="3">
        <v>932104</v>
      </c>
      <c r="G717" s="3" t="s">
        <v>48</v>
      </c>
      <c r="H717" s="4">
        <v>95880</v>
      </c>
      <c r="I717" cm="1">
        <f t="array" ref="I717">_xlfn.IFS(B717=2015,H717/$O$10,B717=2016,H717/$O$11,B717=2017,H717/$O$12,B717=2018,H717/$O$13,B717=2019,H717/$O$14,B717=2020,H717/$O$15,B717=2021,H717/$O$16,B717=2022,H717/$O$17)</f>
        <v>1.7317431591539513E-3</v>
      </c>
      <c r="J717" s="6" cm="1">
        <f t="array" ref="J717">_xlfn.IFS(B717=2015,I717*$Q$1,B717=2016,I717*$Q$2,B717=2017,I717*$Q$3,B717=2018,I717*$Q$4,B717=2019,I717*$Q$5,B717=2020,I717*$Q$6,B717=2021,I717*$Q$7,B717=2022,I717*$Q$8)</f>
        <v>48208.842734999693</v>
      </c>
      <c r="K717" s="7">
        <f t="shared" si="24"/>
        <v>144088.84273499969</v>
      </c>
      <c r="L717">
        <f>IFERROR(VLOOKUP(G717,'LEAID Match'!$A$2:$B$168,2,FALSE),"")</f>
        <v>4622410</v>
      </c>
    </row>
    <row r="718" spans="1:12" x14ac:dyDescent="0.2">
      <c r="A718">
        <f t="shared" si="23"/>
        <v>4622410</v>
      </c>
      <c r="B718">
        <v>2022</v>
      </c>
      <c r="C718" t="s">
        <v>208</v>
      </c>
      <c r="D718" t="s">
        <v>212</v>
      </c>
      <c r="E718" t="s">
        <v>211</v>
      </c>
      <c r="F718" s="3">
        <v>932104</v>
      </c>
      <c r="G718" s="3" t="s">
        <v>48</v>
      </c>
      <c r="H718" s="4">
        <v>102945</v>
      </c>
      <c r="I718" cm="1">
        <f t="array" ref="I718">_xlfn.IFS(B718=2015,H718/$O$10,B718=2016,H718/$O$11,B718=2017,H718/$O$12,B718=2018,H718/$O$13,B718=2019,H718/$O$14,B718=2020,H718/$O$15,B718=2021,H718/$O$16,B718=2022,H718/$O$17)</f>
        <v>1.7828614204479251E-3</v>
      </c>
      <c r="J718" s="6" cm="1">
        <f t="array" ref="J718">_xlfn.IFS(B718=2015,I718*$Q$1,B718=2016,I718*$Q$2,B718=2017,I718*$Q$3,B718=2018,I718*$Q$4,B718=2019,I718*$Q$5,B718=2020,I718*$Q$6,B718=2021,I718*$Q$7,B718=2022,I718*$Q$8)</f>
        <v>52519.435449038276</v>
      </c>
      <c r="K718" s="7">
        <f t="shared" si="24"/>
        <v>155464.43544903828</v>
      </c>
      <c r="L718">
        <f>IFERROR(VLOOKUP(G718,'LEAID Match'!$A$2:$B$168,2,FALSE),"")</f>
        <v>4622410</v>
      </c>
    </row>
    <row r="719" spans="1:12" x14ac:dyDescent="0.2">
      <c r="A719">
        <f t="shared" si="23"/>
        <v>4630800</v>
      </c>
      <c r="B719">
        <v>2015</v>
      </c>
      <c r="C719" t="s">
        <v>208</v>
      </c>
      <c r="D719" t="s">
        <v>212</v>
      </c>
      <c r="E719" t="s">
        <v>211</v>
      </c>
      <c r="F719" s="3">
        <v>932136</v>
      </c>
      <c r="G719" s="3" t="s">
        <v>63</v>
      </c>
      <c r="H719" s="4">
        <v>182352</v>
      </c>
      <c r="I719" cm="1">
        <f t="array" ref="I719">_xlfn.IFS(B719=2015,H719/$O$10,B719=2016,H719/$O$11,B719=2017,H719/$O$12,B719=2018,H719/$O$13,B719=2019,H719/$O$14,B719=2020,H719/$O$15,B719=2021,H719/$O$16,B719=2022,H719/$O$17)</f>
        <v>4.2652667919092129E-3</v>
      </c>
      <c r="J719" s="6" cm="1">
        <f t="array" ref="J719">_xlfn.IFS(B719=2015,I719*$Q$1,B719=2016,I719*$Q$2,B719=2017,I719*$Q$3,B719=2018,I719*$Q$4,B719=2019,I719*$Q$5,B719=2020,I719*$Q$6,B719=2021,I719*$Q$7,B719=2022,I719*$Q$8)</f>
        <v>104892.10206298411</v>
      </c>
      <c r="K719" s="7">
        <f t="shared" si="24"/>
        <v>287244.10206298414</v>
      </c>
      <c r="L719">
        <f>IFERROR(VLOOKUP(G719,'LEAID Match'!$A$2:$B$168,2,FALSE),"")</f>
        <v>4630800</v>
      </c>
    </row>
    <row r="720" spans="1:12" x14ac:dyDescent="0.2">
      <c r="A720">
        <f t="shared" si="23"/>
        <v>4630800</v>
      </c>
      <c r="B720">
        <v>2016</v>
      </c>
      <c r="C720" t="s">
        <v>208</v>
      </c>
      <c r="D720" t="s">
        <v>212</v>
      </c>
      <c r="E720" t="s">
        <v>211</v>
      </c>
      <c r="F720" s="3">
        <v>932136</v>
      </c>
      <c r="G720" s="3" t="s">
        <v>63</v>
      </c>
      <c r="H720" s="4">
        <v>193245</v>
      </c>
      <c r="I720" cm="1">
        <f t="array" ref="I720">_xlfn.IFS(B720=2015,H720/$O$10,B720=2016,H720/$O$11,B720=2017,H720/$O$12,B720=2018,H720/$O$13,B720=2019,H720/$O$14,B720=2020,H720/$O$15,B720=2021,H720/$O$16,B720=2022,H720/$O$17)</f>
        <v>4.3831948158789399E-3</v>
      </c>
      <c r="J720" s="6" cm="1">
        <f t="array" ref="J720">_xlfn.IFS(B720=2015,I720*$Q$1,B720=2016,I720*$Q$2,B720=2017,I720*$Q$3,B720=2018,I720*$Q$4,B720=2019,I720*$Q$5,B720=2020,I720*$Q$6,B720=2021,I720*$Q$7,B720=2022,I720*$Q$8)</f>
        <v>111358.59276923125</v>
      </c>
      <c r="K720" s="7">
        <f t="shared" si="24"/>
        <v>304603.59276923124</v>
      </c>
      <c r="L720">
        <f>IFERROR(VLOOKUP(G720,'LEAID Match'!$A$2:$B$168,2,FALSE),"")</f>
        <v>4630800</v>
      </c>
    </row>
    <row r="721" spans="1:12" x14ac:dyDescent="0.2">
      <c r="A721">
        <f t="shared" si="23"/>
        <v>4630800</v>
      </c>
      <c r="B721">
        <v>2017</v>
      </c>
      <c r="C721" t="s">
        <v>208</v>
      </c>
      <c r="D721" t="s">
        <v>212</v>
      </c>
      <c r="E721" t="s">
        <v>211</v>
      </c>
      <c r="F721" s="3">
        <v>932136</v>
      </c>
      <c r="G721" s="3" t="s">
        <v>63</v>
      </c>
      <c r="H721" s="4">
        <v>212002</v>
      </c>
      <c r="I721" cm="1">
        <f t="array" ref="I721">_xlfn.IFS(B721=2015,H721/$O$10,B721=2016,H721/$O$11,B721=2017,H721/$O$12,B721=2018,H721/$O$13,B721=2019,H721/$O$14,B721=2020,H721/$O$15,B721=2021,H721/$O$16,B721=2022,H721/$O$17)</f>
        <v>4.3771608672791692E-3</v>
      </c>
      <c r="J721" s="6" cm="1">
        <f t="array" ref="J721">_xlfn.IFS(B721=2015,I721*$Q$1,B721=2016,I721*$Q$2,B721=2017,I721*$Q$3,B721=2018,I721*$Q$4,B721=2019,I721*$Q$5,B721=2020,I721*$Q$6,B721=2021,I721*$Q$7,B721=2022,I721*$Q$8)</f>
        <v>115143.55401768167</v>
      </c>
      <c r="K721" s="7">
        <f t="shared" si="24"/>
        <v>327145.55401768169</v>
      </c>
      <c r="L721">
        <f>IFERROR(VLOOKUP(G721,'LEAID Match'!$A$2:$B$168,2,FALSE),"")</f>
        <v>4630800</v>
      </c>
    </row>
    <row r="722" spans="1:12" x14ac:dyDescent="0.2">
      <c r="A722">
        <f t="shared" si="23"/>
        <v>4630800</v>
      </c>
      <c r="B722">
        <v>2018</v>
      </c>
      <c r="C722" t="s">
        <v>208</v>
      </c>
      <c r="D722" t="s">
        <v>212</v>
      </c>
      <c r="E722" t="s">
        <v>211</v>
      </c>
      <c r="F722" s="3">
        <v>932136</v>
      </c>
      <c r="G722" s="3" t="s">
        <v>63</v>
      </c>
      <c r="H722" s="4">
        <v>218532</v>
      </c>
      <c r="I722" cm="1">
        <f t="array" ref="I722">_xlfn.IFS(B722=2015,H722/$O$10,B722=2016,H722/$O$11,B722=2017,H722/$O$12,B722=2018,H722/$O$13,B722=2019,H722/$O$14,B722=2020,H722/$O$15,B722=2021,H722/$O$16,B722=2022,H722/$O$17)</f>
        <v>4.3580972218715645E-3</v>
      </c>
      <c r="J722" s="6" cm="1">
        <f t="array" ref="J722">_xlfn.IFS(B722=2015,I722*$Q$1,B722=2016,I722*$Q$2,B722=2017,I722*$Q$3,B722=2018,I722*$Q$4,B722=2019,I722*$Q$5,B722=2020,I722*$Q$6,B722=2021,I722*$Q$7,B722=2022,I722*$Q$8)</f>
        <v>114425.36826089042</v>
      </c>
      <c r="K722" s="7">
        <f t="shared" si="24"/>
        <v>332957.36826089042</v>
      </c>
      <c r="L722">
        <f>IFERROR(VLOOKUP(G722,'LEAID Match'!$A$2:$B$168,2,FALSE),"")</f>
        <v>4630800</v>
      </c>
    </row>
    <row r="723" spans="1:12" x14ac:dyDescent="0.2">
      <c r="A723">
        <f t="shared" si="23"/>
        <v>4630800</v>
      </c>
      <c r="B723">
        <v>2019</v>
      </c>
      <c r="C723" t="s">
        <v>208</v>
      </c>
      <c r="D723" t="s">
        <v>212</v>
      </c>
      <c r="E723" t="s">
        <v>211</v>
      </c>
      <c r="F723" s="3">
        <v>932136</v>
      </c>
      <c r="G723" s="3" t="s">
        <v>63</v>
      </c>
      <c r="H723" s="4">
        <v>219824</v>
      </c>
      <c r="I723" cm="1">
        <f t="array" ref="I723">_xlfn.IFS(B723=2015,H723/$O$10,B723=2016,H723/$O$11,B723=2017,H723/$O$12,B723=2018,H723/$O$13,B723=2019,H723/$O$14,B723=2020,H723/$O$15,B723=2021,H723/$O$16,B723=2022,H723/$O$17)</f>
        <v>4.305150114946513E-3</v>
      </c>
      <c r="J723" s="6" cm="1">
        <f t="array" ref="J723">_xlfn.IFS(B723=2015,I723*$Q$1,B723=2016,I723*$Q$2,B723=2017,I723*$Q$3,B723=2018,I723*$Q$4,B723=2019,I723*$Q$5,B723=2020,I723*$Q$6,B723=2021,I723*$Q$7,B723=2022,I723*$Q$8)</f>
        <v>113860.26393329274</v>
      </c>
      <c r="K723" s="7">
        <f t="shared" si="24"/>
        <v>333684.26393329271</v>
      </c>
      <c r="L723">
        <f>IFERROR(VLOOKUP(G723,'LEAID Match'!$A$2:$B$168,2,FALSE),"")</f>
        <v>4630800</v>
      </c>
    </row>
    <row r="724" spans="1:12" x14ac:dyDescent="0.2">
      <c r="A724">
        <f t="shared" si="23"/>
        <v>4630800</v>
      </c>
      <c r="B724">
        <v>2020</v>
      </c>
      <c r="C724" t="s">
        <v>208</v>
      </c>
      <c r="D724" t="s">
        <v>212</v>
      </c>
      <c r="E724" t="s">
        <v>211</v>
      </c>
      <c r="F724" s="1">
        <v>932136</v>
      </c>
      <c r="G724" s="3" t="s">
        <v>63</v>
      </c>
      <c r="H724" s="2">
        <v>216802</v>
      </c>
      <c r="I724" cm="1">
        <f t="array" ref="I724">_xlfn.IFS(B724=2015,H724/$O$10,B724=2016,H724/$O$11,B724=2017,H724/$O$12,B724=2018,H724/$O$13,B724=2019,H724/$O$14,B724=2020,H724/$O$15,B724=2021,H724/$O$16,B724=2022,H724/$O$17)</f>
        <v>4.1061821638637939E-3</v>
      </c>
      <c r="J724" s="6" cm="1">
        <f t="array" ref="J724">_xlfn.IFS(B724=2015,I724*$Q$1,B724=2016,I724*$Q$2,B724=2017,I724*$Q$3,B724=2018,I724*$Q$4,B724=2019,I724*$Q$5,B724=2020,I724*$Q$6,B724=2021,I724*$Q$7,B724=2022,I724*$Q$8)</f>
        <v>111648.0415635364</v>
      </c>
      <c r="K724" s="7">
        <f t="shared" si="24"/>
        <v>328450.04156353639</v>
      </c>
      <c r="L724">
        <f>IFERROR(VLOOKUP(G724,'LEAID Match'!$A$2:$B$168,2,FALSE),"")</f>
        <v>4630800</v>
      </c>
    </row>
    <row r="725" spans="1:12" x14ac:dyDescent="0.2">
      <c r="A725">
        <f t="shared" si="23"/>
        <v>4630800</v>
      </c>
      <c r="B725">
        <v>2021</v>
      </c>
      <c r="C725" t="s">
        <v>208</v>
      </c>
      <c r="D725" t="s">
        <v>212</v>
      </c>
      <c r="E725" t="s">
        <v>211</v>
      </c>
      <c r="F725" s="3">
        <v>932136</v>
      </c>
      <c r="G725" s="3" t="s">
        <v>63</v>
      </c>
      <c r="H725" s="4">
        <v>234834</v>
      </c>
      <c r="I725" cm="1">
        <f t="array" ref="I725">_xlfn.IFS(B725=2015,H725/$O$10,B725=2016,H725/$O$11,B725=2017,H725/$O$12,B725=2018,H725/$O$13,B725=2019,H725/$O$14,B725=2020,H725/$O$15,B725=2021,H725/$O$16,B725=2022,H725/$O$17)</f>
        <v>4.2414703070166775E-3</v>
      </c>
      <c r="J725" s="6" cm="1">
        <f t="array" ref="J725">_xlfn.IFS(B725=2015,I725*$Q$1,B725=2016,I725*$Q$2,B725=2017,I725*$Q$3,B725=2018,I725*$Q$4,B725=2019,I725*$Q$5,B725=2020,I725*$Q$6,B725=2021,I725*$Q$7,B725=2022,I725*$Q$8)</f>
        <v>118075.46281634251</v>
      </c>
      <c r="K725" s="7">
        <f t="shared" si="24"/>
        <v>352909.46281634248</v>
      </c>
      <c r="L725">
        <f>IFERROR(VLOOKUP(G725,'LEAID Match'!$A$2:$B$168,2,FALSE),"")</f>
        <v>4630800</v>
      </c>
    </row>
    <row r="726" spans="1:12" x14ac:dyDescent="0.2">
      <c r="A726">
        <f t="shared" si="23"/>
        <v>4630800</v>
      </c>
      <c r="B726">
        <v>2022</v>
      </c>
      <c r="C726" t="s">
        <v>208</v>
      </c>
      <c r="D726" t="s">
        <v>212</v>
      </c>
      <c r="E726" t="s">
        <v>211</v>
      </c>
      <c r="F726" s="3">
        <v>932136</v>
      </c>
      <c r="G726" s="3" t="s">
        <v>63</v>
      </c>
      <c r="H726" s="4">
        <v>249560</v>
      </c>
      <c r="I726" cm="1">
        <f t="array" ref="I726">_xlfn.IFS(B726=2015,H726/$O$10,B726=2016,H726/$O$11,B726=2017,H726/$O$12,B726=2018,H726/$O$13,B726=2019,H726/$O$14,B726=2020,H726/$O$15,B726=2021,H726/$O$16,B726=2022,H726/$O$17)</f>
        <v>4.322025315333277E-3</v>
      </c>
      <c r="J726" s="6" cm="1">
        <f t="array" ref="J726">_xlfn.IFS(B726=2015,I726*$Q$1,B726=2016,I726*$Q$2,B726=2017,I726*$Q$3,B726=2018,I726*$Q$4,B726=2019,I726*$Q$5,B726=2020,I726*$Q$6,B726=2021,I726*$Q$7,B726=2022,I726*$Q$8)</f>
        <v>127317.98834972065</v>
      </c>
      <c r="K726" s="7">
        <f t="shared" si="24"/>
        <v>376877.98834972066</v>
      </c>
      <c r="L726">
        <f>IFERROR(VLOOKUP(G726,'LEAID Match'!$A$2:$B$168,2,FALSE),"")</f>
        <v>4630800</v>
      </c>
    </row>
    <row r="727" spans="1:12" x14ac:dyDescent="0.2">
      <c r="A727">
        <f t="shared" si="23"/>
        <v>4651730</v>
      </c>
      <c r="B727">
        <v>2015</v>
      </c>
      <c r="C727" t="s">
        <v>208</v>
      </c>
      <c r="D727" t="s">
        <v>212</v>
      </c>
      <c r="E727" t="s">
        <v>211</v>
      </c>
      <c r="F727" s="3">
        <v>932137</v>
      </c>
      <c r="G727" s="3" t="s">
        <v>107</v>
      </c>
      <c r="H727" s="4">
        <v>139346</v>
      </c>
      <c r="I727" cm="1">
        <f t="array" ref="I727">_xlfn.IFS(B727=2015,H727/$O$10,B727=2016,H727/$O$11,B727=2017,H727/$O$12,B727=2018,H727/$O$13,B727=2019,H727/$O$14,B727=2020,H727/$O$15,B727=2021,H727/$O$16,B727=2022,H727/$O$17)</f>
        <v>3.2593438316299312E-3</v>
      </c>
      <c r="J727" s="6" cm="1">
        <f t="array" ref="J727">_xlfn.IFS(B727=2015,I727*$Q$1,B727=2016,I727*$Q$2,B727=2017,I727*$Q$3,B727=2018,I727*$Q$4,B727=2019,I727*$Q$5,B727=2020,I727*$Q$6,B727=2021,I727*$Q$7,B727=2022,I727*$Q$8)</f>
        <v>80154.28870573717</v>
      </c>
      <c r="K727" s="7">
        <f t="shared" si="24"/>
        <v>219500.28870573716</v>
      </c>
      <c r="L727">
        <f>IFERROR(VLOOKUP(G727,'LEAID Match'!$A$2:$B$168,2,FALSE),"")</f>
        <v>4651730</v>
      </c>
    </row>
    <row r="728" spans="1:12" x14ac:dyDescent="0.2">
      <c r="A728">
        <f t="shared" si="23"/>
        <v>4651730</v>
      </c>
      <c r="B728">
        <v>2016</v>
      </c>
      <c r="C728" t="s">
        <v>208</v>
      </c>
      <c r="D728" t="s">
        <v>212</v>
      </c>
      <c r="E728" t="s">
        <v>211</v>
      </c>
      <c r="F728" s="3">
        <v>932137</v>
      </c>
      <c r="G728" s="3" t="s">
        <v>107</v>
      </c>
      <c r="H728" s="4">
        <v>138928</v>
      </c>
      <c r="I728" cm="1">
        <f t="array" ref="I728">_xlfn.IFS(B728=2015,H728/$O$10,B728=2016,H728/$O$11,B728=2017,H728/$O$12,B728=2018,H728/$O$13,B728=2019,H728/$O$14,B728=2020,H728/$O$15,B728=2021,H728/$O$16,B728=2022,H728/$O$17)</f>
        <v>3.1511733259873701E-3</v>
      </c>
      <c r="J728" s="6" cm="1">
        <f t="array" ref="J728">_xlfn.IFS(B728=2015,I728*$Q$1,B728=2016,I728*$Q$2,B728=2017,I728*$Q$3,B728=2018,I728*$Q$4,B728=2019,I728*$Q$5,B728=2020,I728*$Q$6,B728=2021,I728*$Q$7,B728=2022,I728*$Q$8)</f>
        <v>80058.095041236564</v>
      </c>
      <c r="K728" s="7">
        <f t="shared" si="24"/>
        <v>218986.09504123655</v>
      </c>
      <c r="L728">
        <f>IFERROR(VLOOKUP(G728,'LEAID Match'!$A$2:$B$168,2,FALSE),"")</f>
        <v>4651730</v>
      </c>
    </row>
    <row r="729" spans="1:12" x14ac:dyDescent="0.2">
      <c r="A729">
        <f t="shared" si="23"/>
        <v>4651730</v>
      </c>
      <c r="B729">
        <v>2017</v>
      </c>
      <c r="C729" t="s">
        <v>208</v>
      </c>
      <c r="D729" t="s">
        <v>212</v>
      </c>
      <c r="E729" t="s">
        <v>211</v>
      </c>
      <c r="F729" s="3">
        <v>932137</v>
      </c>
      <c r="G729" s="3" t="s">
        <v>107</v>
      </c>
      <c r="H729" s="4">
        <v>149705</v>
      </c>
      <c r="I729" cm="1">
        <f t="array" ref="I729">_xlfn.IFS(B729=2015,H729/$O$10,B729=2016,H729/$O$11,B729=2017,H729/$O$12,B729=2018,H729/$O$13,B729=2019,H729/$O$14,B729=2020,H729/$O$15,B729=2021,H729/$O$16,B729=2022,H729/$O$17)</f>
        <v>3.0909277631155745E-3</v>
      </c>
      <c r="J729" s="6" cm="1">
        <f t="array" ref="J729">_xlfn.IFS(B729=2015,I729*$Q$1,B729=2016,I729*$Q$2,B729=2017,I729*$Q$3,B729=2018,I729*$Q$4,B729=2019,I729*$Q$5,B729=2020,I729*$Q$6,B729=2021,I729*$Q$7,B729=2022,I729*$Q$8)</f>
        <v>81308.505364180688</v>
      </c>
      <c r="K729" s="7">
        <f t="shared" si="24"/>
        <v>231013.50536418069</v>
      </c>
      <c r="L729">
        <f>IFERROR(VLOOKUP(G729,'LEAID Match'!$A$2:$B$168,2,FALSE),"")</f>
        <v>4651730</v>
      </c>
    </row>
    <row r="730" spans="1:12" x14ac:dyDescent="0.2">
      <c r="A730">
        <f t="shared" si="23"/>
        <v>4651730</v>
      </c>
      <c r="B730">
        <v>2018</v>
      </c>
      <c r="C730" t="s">
        <v>208</v>
      </c>
      <c r="D730" t="s">
        <v>212</v>
      </c>
      <c r="E730" t="s">
        <v>211</v>
      </c>
      <c r="F730" s="3">
        <v>932137</v>
      </c>
      <c r="G730" s="3" t="s">
        <v>107</v>
      </c>
      <c r="H730" s="4">
        <v>150030</v>
      </c>
      <c r="I730" cm="1">
        <f t="array" ref="I730">_xlfn.IFS(B730=2015,H730/$O$10,B730=2016,H730/$O$11,B730=2017,H730/$O$12,B730=2018,H730/$O$13,B730=2019,H730/$O$14,B730=2020,H730/$O$15,B730=2021,H730/$O$16,B730=2022,H730/$O$17)</f>
        <v>2.9919889361621679E-3</v>
      </c>
      <c r="J730" s="6" cm="1">
        <f t="array" ref="J730">_xlfn.IFS(B730=2015,I730*$Q$1,B730=2016,I730*$Q$2,B730=2017,I730*$Q$3,B730=2018,I730*$Q$4,B730=2019,I730*$Q$5,B730=2020,I730*$Q$6,B730=2021,I730*$Q$7,B730=2022,I730*$Q$8)</f>
        <v>78557.090037987073</v>
      </c>
      <c r="K730" s="7">
        <f t="shared" si="24"/>
        <v>228587.09003798707</v>
      </c>
      <c r="L730">
        <f>IFERROR(VLOOKUP(G730,'LEAID Match'!$A$2:$B$168,2,FALSE),"")</f>
        <v>4651730</v>
      </c>
    </row>
    <row r="731" spans="1:12" x14ac:dyDescent="0.2">
      <c r="A731">
        <f t="shared" si="23"/>
        <v>4651730</v>
      </c>
      <c r="B731">
        <v>2019</v>
      </c>
      <c r="C731" t="s">
        <v>208</v>
      </c>
      <c r="D731" t="s">
        <v>212</v>
      </c>
      <c r="E731" t="s">
        <v>211</v>
      </c>
      <c r="F731" s="3">
        <v>932137</v>
      </c>
      <c r="G731" s="3" t="s">
        <v>107</v>
      </c>
      <c r="H731" s="4">
        <v>149879</v>
      </c>
      <c r="I731" cm="1">
        <f t="array" ref="I731">_xlfn.IFS(B731=2015,H731/$O$10,B731=2016,H731/$O$11,B731=2017,H731/$O$12,B731=2018,H731/$O$13,B731=2019,H731/$O$14,B731=2020,H731/$O$15,B731=2021,H731/$O$16,B731=2022,H731/$O$17)</f>
        <v>2.9353100392953838E-3</v>
      </c>
      <c r="J731" s="6" cm="1">
        <f t="array" ref="J731">_xlfn.IFS(B731=2015,I731*$Q$1,B731=2016,I731*$Q$2,B731=2017,I731*$Q$3,B731=2018,I731*$Q$4,B731=2019,I731*$Q$5,B731=2020,I731*$Q$6,B731=2021,I731*$Q$7,B731=2022,I731*$Q$8)</f>
        <v>77631.4801753129</v>
      </c>
      <c r="K731" s="7">
        <f t="shared" si="24"/>
        <v>227510.4801753129</v>
      </c>
      <c r="L731">
        <f>IFERROR(VLOOKUP(G731,'LEAID Match'!$A$2:$B$168,2,FALSE),"")</f>
        <v>4651730</v>
      </c>
    </row>
    <row r="732" spans="1:12" x14ac:dyDescent="0.2">
      <c r="A732">
        <f t="shared" si="23"/>
        <v>4651730</v>
      </c>
      <c r="B732">
        <v>2020</v>
      </c>
      <c r="C732" t="s">
        <v>208</v>
      </c>
      <c r="D732" t="s">
        <v>212</v>
      </c>
      <c r="E732" t="s">
        <v>211</v>
      </c>
      <c r="F732" s="1">
        <v>932137</v>
      </c>
      <c r="G732" s="3" t="s">
        <v>107</v>
      </c>
      <c r="H732" s="2">
        <v>154303</v>
      </c>
      <c r="I732" cm="1">
        <f t="array" ref="I732">_xlfn.IFS(B732=2015,H732/$O$10,B732=2016,H732/$O$11,B732=2017,H732/$O$12,B732=2018,H732/$O$13,B732=2019,H732/$O$14,B732=2020,H732/$O$15,B732=2021,H732/$O$16,B732=2022,H732/$O$17)</f>
        <v>2.9224648593217544E-3</v>
      </c>
      <c r="J732" s="6" cm="1">
        <f t="array" ref="J732">_xlfn.IFS(B732=2015,I732*$Q$1,B732=2016,I732*$Q$2,B732=2017,I732*$Q$3,B732=2018,I732*$Q$4,B732=2019,I732*$Q$5,B732=2020,I732*$Q$6,B732=2021,I732*$Q$7,B732=2022,I732*$Q$8)</f>
        <v>79462.494614341005</v>
      </c>
      <c r="K732" s="7">
        <f t="shared" si="24"/>
        <v>233765.49461434101</v>
      </c>
      <c r="L732">
        <f>IFERROR(VLOOKUP(G732,'LEAID Match'!$A$2:$B$168,2,FALSE),"")</f>
        <v>4651730</v>
      </c>
    </row>
    <row r="733" spans="1:12" x14ac:dyDescent="0.2">
      <c r="A733">
        <f t="shared" si="23"/>
        <v>4651730</v>
      </c>
      <c r="B733">
        <v>2021</v>
      </c>
      <c r="C733" t="s">
        <v>208</v>
      </c>
      <c r="D733" t="s">
        <v>212</v>
      </c>
      <c r="E733" t="s">
        <v>211</v>
      </c>
      <c r="F733" s="3">
        <v>932137</v>
      </c>
      <c r="G733" s="3" t="s">
        <v>107</v>
      </c>
      <c r="H733" s="4">
        <v>158301</v>
      </c>
      <c r="I733" cm="1">
        <f t="array" ref="I733">_xlfn.IFS(B733=2015,H733/$O$10,B733=2016,H733/$O$11,B733=2017,H733/$O$12,B733=2018,H733/$O$13,B733=2019,H733/$O$14,B733=2020,H733/$O$15,B733=2021,H733/$O$16,B733=2022,H733/$O$17)</f>
        <v>2.8591643078559621E-3</v>
      </c>
      <c r="J733" s="6" cm="1">
        <f t="array" ref="J733">_xlfn.IFS(B733=2015,I733*$Q$1,B733=2016,I733*$Q$2,B733=2017,I733*$Q$3,B733=2018,I733*$Q$4,B733=2019,I733*$Q$5,B733=2020,I733*$Q$6,B733=2021,I733*$Q$7,B733=2022,I733*$Q$8)</f>
        <v>79594.368103808782</v>
      </c>
      <c r="K733" s="7">
        <f t="shared" si="24"/>
        <v>237895.36810380878</v>
      </c>
      <c r="L733">
        <f>IFERROR(VLOOKUP(G733,'LEAID Match'!$A$2:$B$168,2,FALSE),"")</f>
        <v>4651730</v>
      </c>
    </row>
    <row r="734" spans="1:12" x14ac:dyDescent="0.2">
      <c r="A734">
        <f t="shared" si="23"/>
        <v>4651730</v>
      </c>
      <c r="B734">
        <v>2022</v>
      </c>
      <c r="C734" t="s">
        <v>208</v>
      </c>
      <c r="D734" t="s">
        <v>212</v>
      </c>
      <c r="E734" t="s">
        <v>211</v>
      </c>
      <c r="F734" s="3">
        <v>932137</v>
      </c>
      <c r="G734" s="3" t="s">
        <v>107</v>
      </c>
      <c r="H734" s="4">
        <v>173791</v>
      </c>
      <c r="I734" cm="1">
        <f t="array" ref="I734">_xlfn.IFS(B734=2015,H734/$O$10,B734=2016,H734/$O$11,B734=2017,H734/$O$12,B734=2018,H734/$O$13,B734=2019,H734/$O$14,B734=2020,H734/$O$15,B734=2021,H734/$O$16,B734=2022,H734/$O$17)</f>
        <v>3.0098136783822949E-3</v>
      </c>
      <c r="J734" s="6" cm="1">
        <f t="array" ref="J734">_xlfn.IFS(B734=2015,I734*$Q$1,B734=2016,I734*$Q$2,B734=2017,I734*$Q$3,B734=2018,I734*$Q$4,B734=2019,I734*$Q$5,B734=2020,I734*$Q$6,B734=2021,I734*$Q$7,B734=2022,I734*$Q$8)</f>
        <v>88662.928807847013</v>
      </c>
      <c r="K734" s="7">
        <f t="shared" si="24"/>
        <v>262453.92880784703</v>
      </c>
      <c r="L734">
        <f>IFERROR(VLOOKUP(G734,'LEAID Match'!$A$2:$B$168,2,FALSE),"")</f>
        <v>4651730</v>
      </c>
    </row>
    <row r="735" spans="1:12" x14ac:dyDescent="0.2">
      <c r="A735">
        <f t="shared" si="23"/>
        <v>4647942</v>
      </c>
      <c r="B735">
        <v>2015</v>
      </c>
      <c r="C735" t="s">
        <v>208</v>
      </c>
      <c r="D735" t="s">
        <v>212</v>
      </c>
      <c r="E735" t="s">
        <v>211</v>
      </c>
      <c r="F735" s="3">
        <v>933100</v>
      </c>
      <c r="G735" s="3" t="s">
        <v>99</v>
      </c>
      <c r="H735" s="4">
        <v>126311</v>
      </c>
      <c r="I735" cm="1">
        <f t="array" ref="I735">_xlfn.IFS(B735=2015,H735/$O$10,B735=2016,H735/$O$11,B735=2017,H735/$O$12,B735=2018,H735/$O$13,B735=2019,H735/$O$14,B735=2020,H735/$O$15,B735=2021,H735/$O$16,B735=2022,H735/$O$17)</f>
        <v>2.9544513564580847E-3</v>
      </c>
      <c r="J735" s="6" cm="1">
        <f t="array" ref="J735">_xlfn.IFS(B735=2015,I735*$Q$1,B735=2016,I735*$Q$2,B735=2017,I735*$Q$3,B735=2018,I735*$Q$4,B735=2019,I735*$Q$5,B735=2020,I735*$Q$6,B735=2021,I735*$Q$7,B735=2022,I735*$Q$8)</f>
        <v>72656.325697977474</v>
      </c>
      <c r="K735" s="7">
        <f t="shared" si="24"/>
        <v>198967.32569797747</v>
      </c>
      <c r="L735">
        <f>IFERROR(VLOOKUP(G735,'LEAID Match'!$A$2:$B$168,2,FALSE),"")</f>
        <v>4647942</v>
      </c>
    </row>
    <row r="736" spans="1:12" x14ac:dyDescent="0.2">
      <c r="A736">
        <f t="shared" si="23"/>
        <v>4647942</v>
      </c>
      <c r="B736">
        <v>2016</v>
      </c>
      <c r="C736" t="s">
        <v>208</v>
      </c>
      <c r="D736" t="s">
        <v>212</v>
      </c>
      <c r="E736" t="s">
        <v>211</v>
      </c>
      <c r="F736" s="3">
        <v>933100</v>
      </c>
      <c r="G736" s="3" t="s">
        <v>99</v>
      </c>
      <c r="H736" s="4">
        <v>131465</v>
      </c>
      <c r="I736" cm="1">
        <f t="array" ref="I736">_xlfn.IFS(B736=2015,H736/$O$10,B736=2016,H736/$O$11,B736=2017,H736/$O$12,B736=2018,H736/$O$13,B736=2019,H736/$O$14,B736=2020,H736/$O$15,B736=2021,H736/$O$16,B736=2022,H736/$O$17)</f>
        <v>2.9818971071413221E-3</v>
      </c>
      <c r="J736" s="6" cm="1">
        <f t="array" ref="J736">_xlfn.IFS(B736=2015,I736*$Q$1,B736=2016,I736*$Q$2,B736=2017,I736*$Q$3,B736=2018,I736*$Q$4,B736=2019,I736*$Q$5,B736=2020,I736*$Q$6,B736=2021,I736*$Q$7,B736=2022,I736*$Q$8)</f>
        <v>75757.496434096538</v>
      </c>
      <c r="K736" s="7">
        <f t="shared" si="24"/>
        <v>207222.49643409654</v>
      </c>
      <c r="L736">
        <f>IFERROR(VLOOKUP(G736,'LEAID Match'!$A$2:$B$168,2,FALSE),"")</f>
        <v>4647942</v>
      </c>
    </row>
    <row r="737" spans="1:12" x14ac:dyDescent="0.2">
      <c r="A737">
        <f t="shared" si="23"/>
        <v>4647942</v>
      </c>
      <c r="B737">
        <v>2017</v>
      </c>
      <c r="C737" t="s">
        <v>208</v>
      </c>
      <c r="D737" t="s">
        <v>212</v>
      </c>
      <c r="E737" t="s">
        <v>211</v>
      </c>
      <c r="F737" s="3">
        <v>933100</v>
      </c>
      <c r="G737" s="3" t="s">
        <v>99</v>
      </c>
      <c r="H737" s="4">
        <v>150523</v>
      </c>
      <c r="I737" cm="1">
        <f t="array" ref="I737">_xlfn.IFS(B737=2015,H737/$O$10,B737=2016,H737/$O$11,B737=2017,H737/$O$12,B737=2018,H737/$O$13,B737=2019,H737/$O$14,B737=2020,H737/$O$15,B737=2021,H737/$O$16,B737=2022,H737/$O$17)</f>
        <v>3.1078168376971081E-3</v>
      </c>
      <c r="J737" s="6" cm="1">
        <f t="array" ref="J737">_xlfn.IFS(B737=2015,I737*$Q$1,B737=2016,I737*$Q$2,B737=2017,I737*$Q$3,B737=2018,I737*$Q$4,B737=2019,I737*$Q$5,B737=2020,I737*$Q$6,B737=2021,I737*$Q$7,B737=2022,I737*$Q$8)</f>
        <v>81752.781489813759</v>
      </c>
      <c r="K737" s="7">
        <f t="shared" si="24"/>
        <v>232275.78148981376</v>
      </c>
      <c r="L737">
        <f>IFERROR(VLOOKUP(G737,'LEAID Match'!$A$2:$B$168,2,FALSE),"")</f>
        <v>4647942</v>
      </c>
    </row>
    <row r="738" spans="1:12" x14ac:dyDescent="0.2">
      <c r="A738">
        <f t="shared" si="23"/>
        <v>4647942</v>
      </c>
      <c r="B738">
        <v>2018</v>
      </c>
      <c r="C738" t="s">
        <v>208</v>
      </c>
      <c r="D738" t="s">
        <v>212</v>
      </c>
      <c r="E738" t="s">
        <v>211</v>
      </c>
      <c r="F738" s="3">
        <v>933100</v>
      </c>
      <c r="G738" s="3" t="s">
        <v>99</v>
      </c>
      <c r="H738" s="4">
        <v>157836</v>
      </c>
      <c r="I738" cm="1">
        <f t="array" ref="I738">_xlfn.IFS(B738=2015,H738/$O$10,B738=2016,H738/$O$11,B738=2017,H738/$O$12,B738=2018,H738/$O$13,B738=2019,H738/$O$14,B738=2020,H738/$O$15,B738=2021,H738/$O$16,B738=2022,H738/$O$17)</f>
        <v>3.1476609060060784E-3</v>
      </c>
      <c r="J738" s="6" cm="1">
        <f t="array" ref="J738">_xlfn.IFS(B738=2015,I738*$Q$1,B738=2016,I738*$Q$2,B738=2017,I738*$Q$3,B738=2018,I738*$Q$4,B738=2019,I738*$Q$5,B738=2020,I738*$Q$6,B738=2021,I738*$Q$7,B738=2022,I738*$Q$8)</f>
        <v>82644.383544862547</v>
      </c>
      <c r="K738" s="7">
        <f t="shared" si="24"/>
        <v>240480.38354486256</v>
      </c>
      <c r="L738">
        <f>IFERROR(VLOOKUP(G738,'LEAID Match'!$A$2:$B$168,2,FALSE),"")</f>
        <v>4647942</v>
      </c>
    </row>
    <row r="739" spans="1:12" x14ac:dyDescent="0.2">
      <c r="A739">
        <f t="shared" si="23"/>
        <v>4647942</v>
      </c>
      <c r="B739">
        <v>2019</v>
      </c>
      <c r="C739" t="s">
        <v>208</v>
      </c>
      <c r="D739" t="s">
        <v>212</v>
      </c>
      <c r="E739" t="s">
        <v>211</v>
      </c>
      <c r="F739" s="3">
        <v>933100</v>
      </c>
      <c r="G739" s="3" t="s">
        <v>99</v>
      </c>
      <c r="H739" s="4">
        <v>154843</v>
      </c>
      <c r="I739" cm="1">
        <f t="array" ref="I739">_xlfn.IFS(B739=2015,H739/$O$10,B739=2016,H739/$O$11,B739=2017,H739/$O$12,B739=2018,H739/$O$13,B739=2019,H739/$O$14,B739=2020,H739/$O$15,B739=2021,H739/$O$16,B739=2022,H739/$O$17)</f>
        <v>3.0325276550725259E-3</v>
      </c>
      <c r="J739" s="6" cm="1">
        <f t="array" ref="J739">_xlfn.IFS(B739=2015,I739*$Q$1,B739=2016,I739*$Q$2,B739=2017,I739*$Q$3,B739=2018,I739*$Q$4,B739=2019,I739*$Q$5,B739=2020,I739*$Q$6,B739=2021,I739*$Q$7,B739=2022,I739*$Q$8)</f>
        <v>80202.638693786153</v>
      </c>
      <c r="K739" s="7">
        <f t="shared" si="24"/>
        <v>235045.63869378617</v>
      </c>
      <c r="L739">
        <f>IFERROR(VLOOKUP(G739,'LEAID Match'!$A$2:$B$168,2,FALSE),"")</f>
        <v>4647942</v>
      </c>
    </row>
    <row r="740" spans="1:12" x14ac:dyDescent="0.2">
      <c r="A740">
        <f t="shared" si="23"/>
        <v>4647942</v>
      </c>
      <c r="B740">
        <v>2020</v>
      </c>
      <c r="C740" t="s">
        <v>208</v>
      </c>
      <c r="D740" t="s">
        <v>212</v>
      </c>
      <c r="E740" t="s">
        <v>211</v>
      </c>
      <c r="F740" s="1">
        <v>933100</v>
      </c>
      <c r="G740" s="3" t="s">
        <v>99</v>
      </c>
      <c r="H740" s="2">
        <v>168621</v>
      </c>
      <c r="I740" cm="1">
        <f t="array" ref="I740">_xlfn.IFS(B740=2015,H740/$O$10,B740=2016,H740/$O$11,B740=2017,H740/$O$12,B740=2018,H740/$O$13,B740=2019,H740/$O$14,B740=2020,H740/$O$15,B740=2021,H740/$O$16,B740=2022,H740/$O$17)</f>
        <v>3.1936446280609811E-3</v>
      </c>
      <c r="J740" s="6" cm="1">
        <f t="array" ref="J740">_xlfn.IFS(B740=2015,I740*$Q$1,B740=2016,I740*$Q$2,B740=2017,I740*$Q$3,B740=2018,I740*$Q$4,B740=2019,I740*$Q$5,B740=2020,I740*$Q$6,B740=2021,I740*$Q$7,B740=2022,I740*$Q$8)</f>
        <v>86835.935168887154</v>
      </c>
      <c r="K740" s="7">
        <f t="shared" si="24"/>
        <v>255456.93516888714</v>
      </c>
      <c r="L740">
        <f>IFERROR(VLOOKUP(G740,'LEAID Match'!$A$2:$B$168,2,FALSE),"")</f>
        <v>4647942</v>
      </c>
    </row>
    <row r="741" spans="1:12" x14ac:dyDescent="0.2">
      <c r="A741">
        <f t="shared" si="23"/>
        <v>4647942</v>
      </c>
      <c r="B741">
        <v>2021</v>
      </c>
      <c r="C741" t="s">
        <v>208</v>
      </c>
      <c r="D741" t="s">
        <v>212</v>
      </c>
      <c r="E741" t="s">
        <v>211</v>
      </c>
      <c r="F741" s="3">
        <v>933100</v>
      </c>
      <c r="G741" s="3" t="s">
        <v>99</v>
      </c>
      <c r="H741" s="4">
        <v>180714</v>
      </c>
      <c r="I741" cm="1">
        <f t="array" ref="I741">_xlfn.IFS(B741=2015,H741/$O$10,B741=2016,H741/$O$11,B741=2017,H741/$O$12,B741=2018,H741/$O$13,B741=2019,H741/$O$14,B741=2020,H741/$O$15,B741=2021,H741/$O$16,B741=2022,H741/$O$17)</f>
        <v>3.2639782359548098E-3</v>
      </c>
      <c r="J741" s="6" cm="1">
        <f t="array" ref="J741">_xlfn.IFS(B741=2015,I741*$Q$1,B741=2016,I741*$Q$2,B741=2017,I741*$Q$3,B741=2018,I741*$Q$4,B741=2019,I741*$Q$5,B741=2020,I741*$Q$6,B741=2021,I741*$Q$7,B741=2022,I741*$Q$8)</f>
        <v>90863.713037262569</v>
      </c>
      <c r="K741" s="7">
        <f t="shared" si="24"/>
        <v>271577.71303726255</v>
      </c>
      <c r="L741">
        <f>IFERROR(VLOOKUP(G741,'LEAID Match'!$A$2:$B$168,2,FALSE),"")</f>
        <v>4647942</v>
      </c>
    </row>
    <row r="742" spans="1:12" x14ac:dyDescent="0.2">
      <c r="A742">
        <f t="shared" si="23"/>
        <v>4647942</v>
      </c>
      <c r="B742">
        <v>2022</v>
      </c>
      <c r="C742" t="s">
        <v>208</v>
      </c>
      <c r="D742" t="s">
        <v>212</v>
      </c>
      <c r="E742" t="s">
        <v>211</v>
      </c>
      <c r="F742" s="3">
        <v>933100</v>
      </c>
      <c r="G742" s="3" t="s">
        <v>99</v>
      </c>
      <c r="H742" s="4">
        <v>164252</v>
      </c>
      <c r="I742" cm="1">
        <f t="array" ref="I742">_xlfn.IFS(B742=2015,H742/$O$10,B742=2016,H742/$O$11,B742=2017,H742/$O$12,B742=2018,H742/$O$13,B742=2019,H742/$O$14,B742=2020,H742/$O$15,B742=2021,H742/$O$16,B742=2022,H742/$O$17)</f>
        <v>2.8446117250125074E-3</v>
      </c>
      <c r="J742" s="6" cm="1">
        <f t="array" ref="J742">_xlfn.IFS(B742=2015,I742*$Q$1,B742=2016,I742*$Q$2,B742=2017,I742*$Q$3,B742=2018,I742*$Q$4,B742=2019,I742*$Q$5,B742=2020,I742*$Q$6,B742=2021,I742*$Q$7,B742=2022,I742*$Q$8)</f>
        <v>83796.418586385291</v>
      </c>
      <c r="K742" s="7">
        <f t="shared" si="24"/>
        <v>248048.41858638529</v>
      </c>
      <c r="L742">
        <f>IFERROR(VLOOKUP(G742,'LEAID Match'!$A$2:$B$168,2,FALSE),"")</f>
        <v>4647942</v>
      </c>
    </row>
    <row r="743" spans="1:12" x14ac:dyDescent="0.2">
      <c r="A743">
        <f t="shared" si="23"/>
        <v>4602640</v>
      </c>
      <c r="B743">
        <v>2015</v>
      </c>
      <c r="C743" t="s">
        <v>208</v>
      </c>
      <c r="D743" t="s">
        <v>212</v>
      </c>
      <c r="E743" t="s">
        <v>211</v>
      </c>
      <c r="F743" s="3">
        <v>934118</v>
      </c>
      <c r="G743" s="3" t="s">
        <v>64</v>
      </c>
      <c r="H743" s="4">
        <v>107887</v>
      </c>
      <c r="I743" cm="1">
        <f t="array" ref="I743">_xlfn.IFS(B743=2015,H743/$O$10,B743=2016,H743/$O$11,B743=2017,H743/$O$12,B743=2018,H743/$O$13,B743=2019,H743/$O$14,B743=2020,H743/$O$15,B743=2021,H743/$O$16,B743=2022,H743/$O$17)</f>
        <v>2.5235085898630632E-3</v>
      </c>
      <c r="J743" s="6" cm="1">
        <f t="array" ref="J743">_xlfn.IFS(B743=2015,I743*$Q$1,B743=2016,I743*$Q$2,B743=2017,I743*$Q$3,B743=2018,I743*$Q$4,B743=2019,I743*$Q$5,B743=2020,I743*$Q$6,B743=2021,I743*$Q$7,B743=2022,I743*$Q$8)</f>
        <v>62058.514385743882</v>
      </c>
      <c r="K743" s="7">
        <f t="shared" si="24"/>
        <v>169945.51438574388</v>
      </c>
      <c r="L743">
        <f>IFERROR(VLOOKUP(G743,'LEAID Match'!$A$2:$B$168,2,FALSE),"")</f>
        <v>4602640</v>
      </c>
    </row>
    <row r="744" spans="1:12" x14ac:dyDescent="0.2">
      <c r="A744">
        <f t="shared" si="23"/>
        <v>4602640</v>
      </c>
      <c r="B744">
        <v>2016</v>
      </c>
      <c r="C744" t="s">
        <v>208</v>
      </c>
      <c r="D744" t="s">
        <v>212</v>
      </c>
      <c r="E744" t="s">
        <v>211</v>
      </c>
      <c r="F744" s="3">
        <v>934118</v>
      </c>
      <c r="G744" s="3" t="s">
        <v>64</v>
      </c>
      <c r="H744" s="4">
        <v>111757</v>
      </c>
      <c r="I744" cm="1">
        <f t="array" ref="I744">_xlfn.IFS(B744=2015,H744/$O$10,B744=2016,H744/$O$11,B744=2017,H744/$O$12,B744=2018,H744/$O$13,B744=2019,H744/$O$14,B744=2020,H744/$O$15,B744=2021,H744/$O$16,B744=2022,H744/$O$17)</f>
        <v>2.5348790552831E-3</v>
      </c>
      <c r="J744" s="6" cm="1">
        <f t="array" ref="J744">_xlfn.IFS(B744=2015,I744*$Q$1,B744=2016,I744*$Q$2,B744=2017,I744*$Q$3,B744=2018,I744*$Q$4,B744=2019,I744*$Q$5,B744=2020,I744*$Q$6,B744=2021,I744*$Q$7,B744=2022,I744*$Q$8)</f>
        <v>64400.642977106661</v>
      </c>
      <c r="K744" s="7">
        <f t="shared" si="24"/>
        <v>176157.64297710668</v>
      </c>
      <c r="L744">
        <f>IFERROR(VLOOKUP(G744,'LEAID Match'!$A$2:$B$168,2,FALSE),"")</f>
        <v>4602640</v>
      </c>
    </row>
    <row r="745" spans="1:12" x14ac:dyDescent="0.2">
      <c r="A745">
        <f t="shared" si="23"/>
        <v>4602640</v>
      </c>
      <c r="B745">
        <v>2017</v>
      </c>
      <c r="C745" t="s">
        <v>208</v>
      </c>
      <c r="D745" t="s">
        <v>212</v>
      </c>
      <c r="E745" t="s">
        <v>211</v>
      </c>
      <c r="F745" s="3">
        <v>934118</v>
      </c>
      <c r="G745" s="3" t="s">
        <v>64</v>
      </c>
      <c r="H745" s="4">
        <v>122352</v>
      </c>
      <c r="I745" cm="1">
        <f t="array" ref="I745">_xlfn.IFS(B745=2015,H745/$O$10,B745=2016,H745/$O$11,B745=2017,H745/$O$12,B745=2018,H745/$O$13,B745=2019,H745/$O$14,B745=2020,H745/$O$15,B745=2021,H745/$O$16,B745=2022,H745/$O$17)</f>
        <v>2.5261761041562858E-3</v>
      </c>
      <c r="J745" s="6" cm="1">
        <f t="array" ref="J745">_xlfn.IFS(B745=2015,I745*$Q$1,B745=2016,I745*$Q$2,B745=2017,I745*$Q$3,B745=2018,I745*$Q$4,B745=2019,I745*$Q$5,B745=2020,I745*$Q$6,B745=2021,I745*$Q$7,B745=2022,I745*$Q$8)</f>
        <v>66452.411397870717</v>
      </c>
      <c r="K745" s="7">
        <f t="shared" si="24"/>
        <v>188804.41139787072</v>
      </c>
      <c r="L745">
        <f>IFERROR(VLOOKUP(G745,'LEAID Match'!$A$2:$B$168,2,FALSE),"")</f>
        <v>4602640</v>
      </c>
    </row>
    <row r="746" spans="1:12" x14ac:dyDescent="0.2">
      <c r="A746">
        <f t="shared" si="23"/>
        <v>4602640</v>
      </c>
      <c r="B746">
        <v>2018</v>
      </c>
      <c r="C746" t="s">
        <v>208</v>
      </c>
      <c r="D746" t="s">
        <v>212</v>
      </c>
      <c r="E746" t="s">
        <v>211</v>
      </c>
      <c r="F746" s="3">
        <v>934118</v>
      </c>
      <c r="G746" s="3" t="s">
        <v>64</v>
      </c>
      <c r="H746" s="4">
        <v>136179</v>
      </c>
      <c r="I746" cm="1">
        <f t="array" ref="I746">_xlfn.IFS(B746=2015,H746/$O$10,B746=2016,H746/$O$11,B746=2017,H746/$O$12,B746=2018,H746/$O$13,B746=2019,H746/$O$14,B746=2020,H746/$O$15,B746=2021,H746/$O$16,B746=2022,H746/$O$17)</f>
        <v>2.7157639227996257E-3</v>
      </c>
      <c r="J746" s="6" cm="1">
        <f t="array" ref="J746">_xlfn.IFS(B746=2015,I746*$Q$1,B746=2016,I746*$Q$2,B746=2017,I746*$Q$3,B746=2018,I746*$Q$4,B746=2019,I746*$Q$5,B746=2020,I746*$Q$6,B746=2021,I746*$Q$7,B746=2022,I746*$Q$8)</f>
        <v>71304.578846117714</v>
      </c>
      <c r="K746" s="7">
        <f t="shared" si="24"/>
        <v>207483.57884611771</v>
      </c>
      <c r="L746">
        <f>IFERROR(VLOOKUP(G746,'LEAID Match'!$A$2:$B$168,2,FALSE),"")</f>
        <v>4602640</v>
      </c>
    </row>
    <row r="747" spans="1:12" x14ac:dyDescent="0.2">
      <c r="A747">
        <f t="shared" si="23"/>
        <v>4602640</v>
      </c>
      <c r="B747">
        <v>2019</v>
      </c>
      <c r="C747" t="s">
        <v>208</v>
      </c>
      <c r="D747" t="s">
        <v>212</v>
      </c>
      <c r="E747" t="s">
        <v>211</v>
      </c>
      <c r="F747" s="3">
        <v>934118</v>
      </c>
      <c r="G747" s="3" t="s">
        <v>64</v>
      </c>
      <c r="H747" s="4">
        <v>128966</v>
      </c>
      <c r="I747" cm="1">
        <f t="array" ref="I747">_xlfn.IFS(B747=2015,H747/$O$10,B747=2016,H747/$O$11,B747=2017,H747/$O$12,B747=2018,H747/$O$13,B747=2019,H747/$O$14,B747=2020,H747/$O$15,B747=2021,H747/$O$16,B747=2022,H747/$O$17)</f>
        <v>2.5257387260908364E-3</v>
      </c>
      <c r="J747" s="6" cm="1">
        <f t="array" ref="J747">_xlfn.IFS(B747=2015,I747*$Q$1,B747=2016,I747*$Q$2,B747=2017,I747*$Q$3,B747=2018,I747*$Q$4,B747=2019,I747*$Q$5,B747=2020,I747*$Q$6,B747=2021,I747*$Q$7,B747=2022,I747*$Q$8)</f>
        <v>66799.361300044722</v>
      </c>
      <c r="K747" s="7">
        <f t="shared" si="24"/>
        <v>195765.36130004472</v>
      </c>
      <c r="L747">
        <f>IFERROR(VLOOKUP(G747,'LEAID Match'!$A$2:$B$168,2,FALSE),"")</f>
        <v>4602640</v>
      </c>
    </row>
    <row r="748" spans="1:12" x14ac:dyDescent="0.2">
      <c r="A748">
        <f t="shared" si="23"/>
        <v>4602640</v>
      </c>
      <c r="B748">
        <v>2020</v>
      </c>
      <c r="C748" t="s">
        <v>208</v>
      </c>
      <c r="D748" t="s">
        <v>212</v>
      </c>
      <c r="E748" t="s">
        <v>211</v>
      </c>
      <c r="F748" s="1">
        <v>934118</v>
      </c>
      <c r="G748" s="3" t="s">
        <v>64</v>
      </c>
      <c r="H748" s="2">
        <v>134782</v>
      </c>
      <c r="I748" cm="1">
        <f t="array" ref="I748">_xlfn.IFS(B748=2015,H748/$O$10,B748=2016,H748/$O$11,B748=2017,H748/$O$12,B748=2018,H748/$O$13,B748=2019,H748/$O$14,B748=2020,H748/$O$15,B748=2021,H748/$O$16,B748=2022,H748/$O$17)</f>
        <v>2.5527414157152143E-3</v>
      </c>
      <c r="J748" s="6" cm="1">
        <f t="array" ref="J748">_xlfn.IFS(B748=2015,I748*$Q$1,B748=2016,I748*$Q$2,B748=2017,I748*$Q$3,B748=2018,I748*$Q$4,B748=2019,I748*$Q$5,B748=2020,I748*$Q$6,B748=2021,I748*$Q$7,B748=2022,I748*$Q$8)</f>
        <v>69409.62877656371</v>
      </c>
      <c r="K748" s="7">
        <f t="shared" si="24"/>
        <v>204191.62877656371</v>
      </c>
      <c r="L748">
        <f>IFERROR(VLOOKUP(G748,'LEAID Match'!$A$2:$B$168,2,FALSE),"")</f>
        <v>4602640</v>
      </c>
    </row>
    <row r="749" spans="1:12" x14ac:dyDescent="0.2">
      <c r="A749">
        <f t="shared" si="23"/>
        <v>4602640</v>
      </c>
      <c r="B749">
        <v>2021</v>
      </c>
      <c r="C749" t="s">
        <v>208</v>
      </c>
      <c r="D749" t="s">
        <v>212</v>
      </c>
      <c r="E749" t="s">
        <v>211</v>
      </c>
      <c r="F749" s="3">
        <v>934118</v>
      </c>
      <c r="G749" s="3" t="s">
        <v>64</v>
      </c>
      <c r="H749" s="4">
        <v>136443</v>
      </c>
      <c r="I749" cm="1">
        <f t="array" ref="I749">_xlfn.IFS(B749=2015,H749/$O$10,B749=2016,H749/$O$11,B749=2017,H749/$O$12,B749=2018,H749/$O$13,B749=2019,H749/$O$14,B749=2020,H749/$O$15,B749=2021,H749/$O$16,B749=2022,H749/$O$17)</f>
        <v>2.4643745501089129E-3</v>
      </c>
      <c r="J749" s="6" cm="1">
        <f t="array" ref="J749">_xlfn.IFS(B749=2015,I749*$Q$1,B749=2016,I749*$Q$2,B749=2017,I749*$Q$3,B749=2018,I749*$Q$4,B749=2019,I749*$Q$5,B749=2020,I749*$Q$6,B749=2021,I749*$Q$7,B749=2022,I749*$Q$8)</f>
        <v>68604.07936265711</v>
      </c>
      <c r="K749" s="7">
        <f t="shared" si="24"/>
        <v>205047.0793626571</v>
      </c>
      <c r="L749">
        <f>IFERROR(VLOOKUP(G749,'LEAID Match'!$A$2:$B$168,2,FALSE),"")</f>
        <v>4602640</v>
      </c>
    </row>
    <row r="750" spans="1:12" x14ac:dyDescent="0.2">
      <c r="A750">
        <f t="shared" si="23"/>
        <v>4602640</v>
      </c>
      <c r="B750">
        <v>2022</v>
      </c>
      <c r="C750" t="s">
        <v>208</v>
      </c>
      <c r="D750" t="s">
        <v>212</v>
      </c>
      <c r="E750" t="s">
        <v>211</v>
      </c>
      <c r="F750" s="3">
        <v>934118</v>
      </c>
      <c r="G750" s="3" t="s">
        <v>64</v>
      </c>
      <c r="H750" s="4">
        <v>138248</v>
      </c>
      <c r="I750" cm="1">
        <f t="array" ref="I750">_xlfn.IFS(B750=2015,H750/$O$10,B750=2016,H750/$O$11,B750=2017,H750/$O$12,B750=2018,H750/$O$13,B750=2019,H750/$O$14,B750=2020,H750/$O$15,B750=2021,H750/$O$16,B750=2022,H750/$O$17)</f>
        <v>2.3942593195792387E-3</v>
      </c>
      <c r="J750" s="6" cm="1">
        <f t="array" ref="J750">_xlfn.IFS(B750=2015,I750*$Q$1,B750=2016,I750*$Q$2,B750=2017,I750*$Q$3,B750=2018,I750*$Q$4,B750=2019,I750*$Q$5,B750=2020,I750*$Q$6,B750=2021,I750*$Q$7,B750=2022,I750*$Q$8)</f>
        <v>70529.961746161949</v>
      </c>
      <c r="K750" s="7">
        <f t="shared" si="24"/>
        <v>208777.96174616195</v>
      </c>
      <c r="L750">
        <f>IFERROR(VLOOKUP(G750,'LEAID Match'!$A$2:$B$168,2,FALSE),"")</f>
        <v>4602640</v>
      </c>
    </row>
    <row r="751" spans="1:12" x14ac:dyDescent="0.2">
      <c r="A751">
        <f t="shared" si="23"/>
        <v>4609300</v>
      </c>
      <c r="B751">
        <v>2015</v>
      </c>
      <c r="C751" t="s">
        <v>208</v>
      </c>
      <c r="D751" t="s">
        <v>212</v>
      </c>
      <c r="E751" t="s">
        <v>211</v>
      </c>
      <c r="F751" s="3">
        <v>935117</v>
      </c>
      <c r="G751" s="3" t="s">
        <v>65</v>
      </c>
      <c r="H751" s="4">
        <v>86969</v>
      </c>
      <c r="I751" cm="1">
        <f t="array" ref="I751">_xlfn.IFS(B751=2015,H751/$O$10,B751=2016,H751/$O$11,B751=2017,H751/$O$12,B751=2018,H751/$O$13,B751=2019,H751/$O$14,B751=2020,H751/$O$15,B751=2021,H751/$O$16,B751=2022,H751/$O$17)</f>
        <v>2.0342304313939654E-3</v>
      </c>
      <c r="J751" s="6" cm="1">
        <f t="array" ref="J751">_xlfn.IFS(B751=2015,I751*$Q$1,B751=2016,I751*$Q$2,B751=2017,I751*$Q$3,B751=2018,I751*$Q$4,B751=2019,I751*$Q$5,B751=2020,I751*$Q$6,B751=2021,I751*$Q$7,B751=2022,I751*$Q$8)</f>
        <v>50026.110074557262</v>
      </c>
      <c r="K751" s="7">
        <f t="shared" si="24"/>
        <v>136995.11007455725</v>
      </c>
      <c r="L751">
        <f>IFERROR(VLOOKUP(G751,'LEAID Match'!$A$2:$B$168,2,FALSE),"")</f>
        <v>4609300</v>
      </c>
    </row>
    <row r="752" spans="1:12" x14ac:dyDescent="0.2">
      <c r="A752">
        <f t="shared" si="23"/>
        <v>4609300</v>
      </c>
      <c r="B752">
        <v>2016</v>
      </c>
      <c r="C752" t="s">
        <v>208</v>
      </c>
      <c r="D752" t="s">
        <v>212</v>
      </c>
      <c r="E752" t="s">
        <v>211</v>
      </c>
      <c r="F752" s="3">
        <v>935117</v>
      </c>
      <c r="G752" s="3" t="s">
        <v>65</v>
      </c>
      <c r="H752" s="4">
        <v>94516</v>
      </c>
      <c r="I752" cm="1">
        <f t="array" ref="I752">_xlfn.IFS(B752=2015,H752/$O$10,B752=2016,H752/$O$11,B752=2017,H752/$O$12,B752=2018,H752/$O$13,B752=2019,H752/$O$14,B752=2020,H752/$O$15,B752=2021,H752/$O$16,B752=2022,H752/$O$17)</f>
        <v>2.1438176471195313E-3</v>
      </c>
      <c r="J752" s="6" cm="1">
        <f t="array" ref="J752">_xlfn.IFS(B752=2015,I752*$Q$1,B752=2016,I752*$Q$2,B752=2017,I752*$Q$3,B752=2018,I752*$Q$4,B752=2019,I752*$Q$5,B752=2020,I752*$Q$6,B752=2021,I752*$Q$7,B752=2022,I752*$Q$8)</f>
        <v>54465.413098277626</v>
      </c>
      <c r="K752" s="7">
        <f t="shared" si="24"/>
        <v>148981.41309827764</v>
      </c>
      <c r="L752">
        <f>IFERROR(VLOOKUP(G752,'LEAID Match'!$A$2:$B$168,2,FALSE),"")</f>
        <v>4609300</v>
      </c>
    </row>
    <row r="753" spans="1:12" x14ac:dyDescent="0.2">
      <c r="A753">
        <f t="shared" si="23"/>
        <v>4609300</v>
      </c>
      <c r="B753">
        <v>2017</v>
      </c>
      <c r="C753" t="s">
        <v>208</v>
      </c>
      <c r="D753" t="s">
        <v>212</v>
      </c>
      <c r="E753" t="s">
        <v>211</v>
      </c>
      <c r="F753" s="3">
        <v>935117</v>
      </c>
      <c r="G753" s="3" t="s">
        <v>65</v>
      </c>
      <c r="H753" s="4">
        <v>97387</v>
      </c>
      <c r="I753" cm="1">
        <f t="array" ref="I753">_xlfn.IFS(B753=2015,H753/$O$10,B753=2016,H753/$O$11,B753=2017,H753/$O$12,B753=2018,H753/$O$13,B753=2019,H753/$O$14,B753=2020,H753/$O$15,B753=2021,H753/$O$16,B753=2022,H753/$O$17)</f>
        <v>2.0107289807724288E-3</v>
      </c>
      <c r="J753" s="6" cm="1">
        <f t="array" ref="J753">_xlfn.IFS(B753=2015,I753*$Q$1,B753=2016,I753*$Q$2,B753=2017,I753*$Q$3,B753=2018,I753*$Q$4,B753=2019,I753*$Q$5,B753=2020,I753*$Q$6,B753=2021,I753*$Q$7,B753=2022,I753*$Q$8)</f>
        <v>52893.299568494469</v>
      </c>
      <c r="K753" s="7">
        <f t="shared" si="24"/>
        <v>150280.29956849446</v>
      </c>
      <c r="L753">
        <f>IFERROR(VLOOKUP(G753,'LEAID Match'!$A$2:$B$168,2,FALSE),"")</f>
        <v>4609300</v>
      </c>
    </row>
    <row r="754" spans="1:12" x14ac:dyDescent="0.2">
      <c r="A754">
        <f t="shared" si="23"/>
        <v>4609300</v>
      </c>
      <c r="B754">
        <v>2018</v>
      </c>
      <c r="C754" t="s">
        <v>208</v>
      </c>
      <c r="D754" t="s">
        <v>212</v>
      </c>
      <c r="E754" t="s">
        <v>211</v>
      </c>
      <c r="F754" s="3">
        <v>935117</v>
      </c>
      <c r="G754" s="3" t="s">
        <v>65</v>
      </c>
      <c r="H754" s="4">
        <v>101501</v>
      </c>
      <c r="I754" cm="1">
        <f t="array" ref="I754">_xlfn.IFS(B754=2015,H754/$O$10,B754=2016,H754/$O$11,B754=2017,H754/$O$12,B754=2018,H754/$O$13,B754=2019,H754/$O$14,B754=2020,H754/$O$15,B754=2021,H754/$O$16,B754=2022,H754/$O$17)</f>
        <v>2.0241942878717338E-3</v>
      </c>
      <c r="J754" s="6" cm="1">
        <f t="array" ref="J754">_xlfn.IFS(B754=2015,I754*$Q$1,B754=2016,I754*$Q$2,B754=2017,I754*$Q$3,B754=2018,I754*$Q$4,B754=2019,I754*$Q$5,B754=2020,I754*$Q$6,B754=2021,I754*$Q$7,B754=2022,I754*$Q$8)</f>
        <v>53146.858601251261</v>
      </c>
      <c r="K754" s="7">
        <f t="shared" si="24"/>
        <v>154647.85860125127</v>
      </c>
      <c r="L754">
        <f>IFERROR(VLOOKUP(G754,'LEAID Match'!$A$2:$B$168,2,FALSE),"")</f>
        <v>4609300</v>
      </c>
    </row>
    <row r="755" spans="1:12" x14ac:dyDescent="0.2">
      <c r="A755">
        <f t="shared" si="23"/>
        <v>4609300</v>
      </c>
      <c r="B755">
        <v>2019</v>
      </c>
      <c r="C755" t="s">
        <v>208</v>
      </c>
      <c r="D755" t="s">
        <v>212</v>
      </c>
      <c r="E755" t="s">
        <v>211</v>
      </c>
      <c r="F755" s="3">
        <v>935117</v>
      </c>
      <c r="G755" s="3" t="s">
        <v>65</v>
      </c>
      <c r="H755" s="4">
        <v>104207</v>
      </c>
      <c r="I755" cm="1">
        <f t="array" ref="I755">_xlfn.IFS(B755=2015,H755/$O$10,B755=2016,H755/$O$11,B755=2017,H755/$O$12,B755=2018,H755/$O$13,B755=2019,H755/$O$14,B755=2020,H755/$O$15,B755=2021,H755/$O$16,B755=2022,H755/$O$17)</f>
        <v>2.0408453036439666E-3</v>
      </c>
      <c r="J755" s="6" cm="1">
        <f t="array" ref="J755">_xlfn.IFS(B755=2015,I755*$Q$1,B755=2016,I755*$Q$2,B755=2017,I755*$Q$3,B755=2018,I755*$Q$4,B755=2019,I755*$Q$5,B755=2020,I755*$Q$6,B755=2021,I755*$Q$7,B755=2022,I755*$Q$8)</f>
        <v>53975.164330085143</v>
      </c>
      <c r="K755" s="7">
        <f t="shared" si="24"/>
        <v>158182.16433008516</v>
      </c>
      <c r="L755">
        <f>IFERROR(VLOOKUP(G755,'LEAID Match'!$A$2:$B$168,2,FALSE),"")</f>
        <v>4609300</v>
      </c>
    </row>
    <row r="756" spans="1:12" x14ac:dyDescent="0.2">
      <c r="A756">
        <f t="shared" si="23"/>
        <v>4609300</v>
      </c>
      <c r="B756">
        <v>2020</v>
      </c>
      <c r="C756" t="s">
        <v>208</v>
      </c>
      <c r="D756" t="s">
        <v>212</v>
      </c>
      <c r="E756" t="s">
        <v>211</v>
      </c>
      <c r="F756" s="1">
        <v>935117</v>
      </c>
      <c r="G756" s="3" t="s">
        <v>65</v>
      </c>
      <c r="H756" s="2">
        <v>100848</v>
      </c>
      <c r="I756" cm="1">
        <f t="array" ref="I756">_xlfn.IFS(B756=2015,H756/$O$10,B756=2016,H756/$O$11,B756=2017,H756/$O$12,B756=2018,H756/$O$13,B756=2019,H756/$O$14,B756=2020,H756/$O$15,B756=2021,H756/$O$16,B756=2022,H756/$O$17)</f>
        <v>1.9100389242780781E-3</v>
      </c>
      <c r="J756" s="6" cm="1">
        <f t="array" ref="J756">_xlfn.IFS(B756=2015,I756*$Q$1,B756=2016,I756*$Q$2,B756=2017,I756*$Q$3,B756=2018,I756*$Q$4,B756=2019,I756*$Q$5,B756=2020,I756*$Q$6,B756=2021,I756*$Q$7,B756=2022,I756*$Q$8)</f>
        <v>51934.399570112451</v>
      </c>
      <c r="K756" s="7">
        <f t="shared" si="24"/>
        <v>152782.39957011247</v>
      </c>
      <c r="L756">
        <f>IFERROR(VLOOKUP(G756,'LEAID Match'!$A$2:$B$168,2,FALSE),"")</f>
        <v>4609300</v>
      </c>
    </row>
    <row r="757" spans="1:12" x14ac:dyDescent="0.2">
      <c r="A757">
        <f t="shared" si="23"/>
        <v>4609300</v>
      </c>
      <c r="B757">
        <v>2021</v>
      </c>
      <c r="C757" t="s">
        <v>208</v>
      </c>
      <c r="D757" t="s">
        <v>212</v>
      </c>
      <c r="E757" t="s">
        <v>211</v>
      </c>
      <c r="F757" s="3">
        <v>935117</v>
      </c>
      <c r="G757" s="3" t="s">
        <v>65</v>
      </c>
      <c r="H757" s="4">
        <v>103824</v>
      </c>
      <c r="I757" cm="1">
        <f t="array" ref="I757">_xlfn.IFS(B757=2015,H757/$O$10,B757=2016,H757/$O$11,B757=2017,H757/$O$12,B757=2018,H757/$O$13,B757=2019,H757/$O$14,B757=2020,H757/$O$15,B757=2021,H757/$O$16,B757=2022,H757/$O$17)</f>
        <v>1.8752242569461811E-3</v>
      </c>
      <c r="J757" s="6" cm="1">
        <f t="array" ref="J757">_xlfn.IFS(B757=2015,I757*$Q$1,B757=2016,I757*$Q$2,B757=2017,I757*$Q$3,B757=2018,I757*$Q$4,B757=2019,I757*$Q$5,B757=2020,I757*$Q$6,B757=2021,I757*$Q$7,B757=2022,I757*$Q$8)</f>
        <v>52203.11731454535</v>
      </c>
      <c r="K757" s="7">
        <f t="shared" si="24"/>
        <v>156027.11731454535</v>
      </c>
      <c r="L757">
        <f>IFERROR(VLOOKUP(G757,'LEAID Match'!$A$2:$B$168,2,FALSE),"")</f>
        <v>4609300</v>
      </c>
    </row>
    <row r="758" spans="1:12" x14ac:dyDescent="0.2">
      <c r="A758">
        <f t="shared" si="23"/>
        <v>4609300</v>
      </c>
      <c r="B758">
        <v>2022</v>
      </c>
      <c r="C758" t="s">
        <v>208</v>
      </c>
      <c r="D758" t="s">
        <v>212</v>
      </c>
      <c r="E758" t="s">
        <v>211</v>
      </c>
      <c r="F758" s="3">
        <v>935117</v>
      </c>
      <c r="G758" s="3" t="s">
        <v>65</v>
      </c>
      <c r="H758" s="4">
        <v>103735</v>
      </c>
      <c r="I758" cm="1">
        <f t="array" ref="I758">_xlfn.IFS(B758=2015,H758/$O$10,B758=2016,H758/$O$11,B758=2017,H758/$O$12,B758=2018,H758/$O$13,B758=2019,H758/$O$14,B758=2020,H758/$O$15,B758=2021,H758/$O$16,B758=2022,H758/$O$17)</f>
        <v>1.7965431002007432E-3</v>
      </c>
      <c r="J758" s="6" cm="1">
        <f t="array" ref="J758">_xlfn.IFS(B758=2015,I758*$Q$1,B758=2016,I758*$Q$2,B758=2017,I758*$Q$3,B758=2018,I758*$Q$4,B758=2019,I758*$Q$5,B758=2020,I758*$Q$6,B758=2021,I758*$Q$7,B758=2022,I758*$Q$8)</f>
        <v>52922.469632386084</v>
      </c>
      <c r="K758" s="7">
        <f t="shared" si="24"/>
        <v>156657.46963238608</v>
      </c>
      <c r="L758">
        <f>IFERROR(VLOOKUP(G758,'LEAID Match'!$A$2:$B$168,2,FALSE),"")</f>
        <v>4609300</v>
      </c>
    </row>
    <row r="759" spans="1:12" x14ac:dyDescent="0.2">
      <c r="A759">
        <f t="shared" si="23"/>
        <v>4655260</v>
      </c>
      <c r="B759">
        <v>2015</v>
      </c>
      <c r="C759" t="s">
        <v>208</v>
      </c>
      <c r="D759" t="s">
        <v>212</v>
      </c>
      <c r="E759" t="s">
        <v>211</v>
      </c>
      <c r="F759" s="3">
        <v>936100</v>
      </c>
      <c r="G759" s="3" t="s">
        <v>116</v>
      </c>
      <c r="H759" s="4">
        <v>765870</v>
      </c>
      <c r="I759" cm="1">
        <f t="array" ref="I759">_xlfn.IFS(B759=2015,H759/$O$10,B759=2016,H759/$O$11,B759=2017,H759/$O$12,B759=2018,H759/$O$13,B759=2019,H759/$O$14,B759=2020,H759/$O$15,B759=2021,H759/$O$16,B759=2022,H759/$O$17)</f>
        <v>1.7913924047553684E-2</v>
      </c>
      <c r="J759" s="6" cm="1">
        <f t="array" ref="J759">_xlfn.IFS(B759=2015,I759*$Q$1,B759=2016,I759*$Q$2,B759=2017,I759*$Q$3,B759=2018,I759*$Q$4,B759=2019,I759*$Q$5,B759=2020,I759*$Q$6,B759=2021,I759*$Q$7,B759=2022,I759*$Q$8)</f>
        <v>440541.99683566758</v>
      </c>
      <c r="K759" s="7">
        <f t="shared" si="24"/>
        <v>1206411.9968356676</v>
      </c>
      <c r="L759">
        <f>IFERROR(VLOOKUP(G759,'LEAID Match'!$A$2:$B$168,2,FALSE),"")</f>
        <v>4655260</v>
      </c>
    </row>
    <row r="760" spans="1:12" x14ac:dyDescent="0.2">
      <c r="A760">
        <f t="shared" si="23"/>
        <v>4655260</v>
      </c>
      <c r="B760">
        <v>2016</v>
      </c>
      <c r="C760" t="s">
        <v>208</v>
      </c>
      <c r="D760" t="s">
        <v>212</v>
      </c>
      <c r="E760" t="s">
        <v>211</v>
      </c>
      <c r="F760" s="3">
        <v>936100</v>
      </c>
      <c r="G760" s="3" t="s">
        <v>116</v>
      </c>
      <c r="H760" s="4">
        <v>782549</v>
      </c>
      <c r="I760" cm="1">
        <f t="array" ref="I760">_xlfn.IFS(B760=2015,H760/$O$10,B760=2016,H760/$O$11,B760=2017,H760/$O$12,B760=2018,H760/$O$13,B760=2019,H760/$O$14,B760=2020,H760/$O$15,B760=2021,H760/$O$16,B760=2022,H760/$O$17)</f>
        <v>1.7749823902151404E-2</v>
      </c>
      <c r="J760" s="6" cm="1">
        <f t="array" ref="J760">_xlfn.IFS(B760=2015,I760*$Q$1,B760=2016,I760*$Q$2,B760=2017,I760*$Q$3,B760=2018,I760*$Q$4,B760=2019,I760*$Q$5,B760=2020,I760*$Q$6,B760=2021,I760*$Q$7,B760=2022,I760*$Q$8)</f>
        <v>450948.56484239764</v>
      </c>
      <c r="K760" s="7">
        <f t="shared" si="24"/>
        <v>1233497.5648423976</v>
      </c>
      <c r="L760">
        <f>IFERROR(VLOOKUP(G760,'LEAID Match'!$A$2:$B$168,2,FALSE),"")</f>
        <v>4655260</v>
      </c>
    </row>
    <row r="761" spans="1:12" x14ac:dyDescent="0.2">
      <c r="A761">
        <f t="shared" si="23"/>
        <v>4655260</v>
      </c>
      <c r="B761">
        <v>2017</v>
      </c>
      <c r="C761" t="s">
        <v>208</v>
      </c>
      <c r="D761" t="s">
        <v>212</v>
      </c>
      <c r="E761" t="s">
        <v>211</v>
      </c>
      <c r="F761" s="3">
        <v>936100</v>
      </c>
      <c r="G761" s="3" t="s">
        <v>116</v>
      </c>
      <c r="H761" s="4">
        <v>850589</v>
      </c>
      <c r="I761" cm="1">
        <f t="array" ref="I761">_xlfn.IFS(B761=2015,H761/$O$10,B761=2016,H761/$O$11,B761=2017,H761/$O$12,B761=2018,H761/$O$13,B761=2019,H761/$O$14,B761=2020,H761/$O$15,B761=2021,H761/$O$16,B761=2022,H761/$O$17)</f>
        <v>1.7561932835247408E-2</v>
      </c>
      <c r="J761" s="6" cm="1">
        <f t="array" ref="J761">_xlfn.IFS(B761=2015,I761*$Q$1,B761=2016,I761*$Q$2,B761=2017,I761*$Q$3,B761=2018,I761*$Q$4,B761=2019,I761*$Q$5,B761=2020,I761*$Q$6,B761=2021,I761*$Q$7,B761=2022,I761*$Q$8)</f>
        <v>461976.0213033171</v>
      </c>
      <c r="K761" s="7">
        <f t="shared" si="24"/>
        <v>1312565.021303317</v>
      </c>
      <c r="L761">
        <f>IFERROR(VLOOKUP(G761,'LEAID Match'!$A$2:$B$168,2,FALSE),"")</f>
        <v>4655260</v>
      </c>
    </row>
    <row r="762" spans="1:12" x14ac:dyDescent="0.2">
      <c r="A762">
        <f t="shared" si="23"/>
        <v>4655260</v>
      </c>
      <c r="B762">
        <v>2018</v>
      </c>
      <c r="C762" t="s">
        <v>208</v>
      </c>
      <c r="D762" t="s">
        <v>212</v>
      </c>
      <c r="E762" t="s">
        <v>211</v>
      </c>
      <c r="F762" s="3">
        <v>936100</v>
      </c>
      <c r="G762" s="3" t="s">
        <v>116</v>
      </c>
      <c r="H762" s="4">
        <v>883834</v>
      </c>
      <c r="I762" cm="1">
        <f t="array" ref="I762">_xlfn.IFS(B762=2015,H762/$O$10,B762=2016,H762/$O$11,B762=2017,H762/$O$12,B762=2018,H762/$O$13,B762=2019,H762/$O$14,B762=2020,H762/$O$15,B762=2021,H762/$O$16,B762=2022,H762/$O$17)</f>
        <v>1.7625951805665223E-2</v>
      </c>
      <c r="J762" s="6" cm="1">
        <f t="array" ref="J762">_xlfn.IFS(B762=2015,I762*$Q$1,B762=2016,I762*$Q$2,B762=2017,I762*$Q$3,B762=2018,I762*$Q$4,B762=2019,I762*$Q$5,B762=2020,I762*$Q$6,B762=2021,I762*$Q$7,B762=2022,I762*$Q$8)</f>
        <v>462783.62405275123</v>
      </c>
      <c r="K762" s="7">
        <f t="shared" si="24"/>
        <v>1346617.6240527513</v>
      </c>
      <c r="L762">
        <f>IFERROR(VLOOKUP(G762,'LEAID Match'!$A$2:$B$168,2,FALSE),"")</f>
        <v>4655260</v>
      </c>
    </row>
    <row r="763" spans="1:12" x14ac:dyDescent="0.2">
      <c r="A763">
        <f t="shared" si="23"/>
        <v>4655260</v>
      </c>
      <c r="B763">
        <v>2019</v>
      </c>
      <c r="C763" t="s">
        <v>208</v>
      </c>
      <c r="D763" t="s">
        <v>212</v>
      </c>
      <c r="E763" t="s">
        <v>211</v>
      </c>
      <c r="F763" s="3">
        <v>936100</v>
      </c>
      <c r="G763" s="3" t="s">
        <v>116</v>
      </c>
      <c r="H763" s="4">
        <v>891512</v>
      </c>
      <c r="I763" cm="1">
        <f t="array" ref="I763">_xlfn.IFS(B763=2015,H763/$O$10,B763=2016,H763/$O$11,B763=2017,H763/$O$12,B763=2018,H763/$O$13,B763=2019,H763/$O$14,B763=2020,H763/$O$15,B763=2021,H763/$O$16,B763=2022,H763/$O$17)</f>
        <v>1.7459845100062758E-2</v>
      </c>
      <c r="J763" s="6" cm="1">
        <f t="array" ref="J763">_xlfn.IFS(B763=2015,I763*$Q$1,B763=2016,I763*$Q$2,B763=2017,I763*$Q$3,B763=2018,I763*$Q$4,B763=2019,I763*$Q$5,B763=2020,I763*$Q$6,B763=2021,I763*$Q$7,B763=2022,I763*$Q$8)</f>
        <v>461768.46759088029</v>
      </c>
      <c r="K763" s="7">
        <f t="shared" si="24"/>
        <v>1353280.4675908803</v>
      </c>
      <c r="L763">
        <f>IFERROR(VLOOKUP(G763,'LEAID Match'!$A$2:$B$168,2,FALSE),"")</f>
        <v>4655260</v>
      </c>
    </row>
    <row r="764" spans="1:12" x14ac:dyDescent="0.2">
      <c r="A764">
        <f t="shared" si="23"/>
        <v>4655260</v>
      </c>
      <c r="B764">
        <v>2020</v>
      </c>
      <c r="C764" t="s">
        <v>208</v>
      </c>
      <c r="D764" t="s">
        <v>212</v>
      </c>
      <c r="E764" t="s">
        <v>211</v>
      </c>
      <c r="F764" s="1">
        <v>936100</v>
      </c>
      <c r="G764" s="3" t="s">
        <v>116</v>
      </c>
      <c r="H764" s="2">
        <v>912902</v>
      </c>
      <c r="I764" cm="1">
        <f t="array" ref="I764">_xlfn.IFS(B764=2015,H764/$O$10,B764=2016,H764/$O$11,B764=2017,H764/$O$12,B764=2018,H764/$O$13,B764=2019,H764/$O$14,B764=2020,H764/$O$15,B764=2021,H764/$O$16,B764=2022,H764/$O$17)</f>
        <v>1.7290162958623928E-2</v>
      </c>
      <c r="J764" s="6" cm="1">
        <f t="array" ref="J764">_xlfn.IFS(B764=2015,I764*$Q$1,B764=2016,I764*$Q$2,B764=2017,I764*$Q$3,B764=2018,I764*$Q$4,B764=2019,I764*$Q$5,B764=2020,I764*$Q$6,B764=2021,I764*$Q$7,B764=2022,I764*$Q$8)</f>
        <v>470123.52487262804</v>
      </c>
      <c r="K764" s="7">
        <f t="shared" si="24"/>
        <v>1383025.524872628</v>
      </c>
      <c r="L764">
        <f>IFERROR(VLOOKUP(G764,'LEAID Match'!$A$2:$B$168,2,FALSE),"")</f>
        <v>4655260</v>
      </c>
    </row>
    <row r="765" spans="1:12" x14ac:dyDescent="0.2">
      <c r="A765">
        <f t="shared" si="23"/>
        <v>4655260</v>
      </c>
      <c r="B765">
        <v>2021</v>
      </c>
      <c r="C765" t="s">
        <v>208</v>
      </c>
      <c r="D765" t="s">
        <v>212</v>
      </c>
      <c r="E765" t="s">
        <v>211</v>
      </c>
      <c r="F765" s="3">
        <v>936100</v>
      </c>
      <c r="G765" s="3" t="s">
        <v>116</v>
      </c>
      <c r="H765" s="4">
        <v>996408</v>
      </c>
      <c r="I765" cm="1">
        <f t="array" ref="I765">_xlfn.IFS(B765=2015,H765/$O$10,B765=2016,H765/$O$11,B765=2017,H765/$O$12,B765=2018,H765/$O$13,B765=2019,H765/$O$14,B765=2020,H765/$O$15,B765=2021,H765/$O$16,B765=2022,H765/$O$17)</f>
        <v>1.7996691048459225E-2</v>
      </c>
      <c r="J765" s="6" cm="1">
        <f t="array" ref="J765">_xlfn.IFS(B765=2015,I765*$Q$1,B765=2016,I765*$Q$2,B765=2017,I765*$Q$3,B765=2018,I765*$Q$4,B765=2019,I765*$Q$5,B765=2020,I765*$Q$6,B765=2021,I765*$Q$7,B765=2022,I765*$Q$8)</f>
        <v>500997.87830512703</v>
      </c>
      <c r="K765" s="7">
        <f t="shared" si="24"/>
        <v>1497405.8783051269</v>
      </c>
      <c r="L765">
        <f>IFERROR(VLOOKUP(G765,'LEAID Match'!$A$2:$B$168,2,FALSE),"")</f>
        <v>4655260</v>
      </c>
    </row>
    <row r="766" spans="1:12" x14ac:dyDescent="0.2">
      <c r="A766">
        <f t="shared" si="23"/>
        <v>4655260</v>
      </c>
      <c r="B766">
        <v>2022</v>
      </c>
      <c r="C766" t="s">
        <v>208</v>
      </c>
      <c r="D766" t="s">
        <v>212</v>
      </c>
      <c r="E766" t="s">
        <v>211</v>
      </c>
      <c r="F766" s="3">
        <v>936100</v>
      </c>
      <c r="G766" s="3" t="s">
        <v>116</v>
      </c>
      <c r="H766" s="4">
        <v>1016218</v>
      </c>
      <c r="I766" cm="1">
        <f t="array" ref="I766">_xlfn.IFS(B766=2015,H766/$O$10,B766=2016,H766/$O$11,B766=2017,H766/$O$12,B766=2018,H766/$O$13,B766=2019,H766/$O$14,B766=2020,H766/$O$15,B766=2021,H766/$O$16,B766=2022,H766/$O$17)</f>
        <v>1.7599454727910531E-2</v>
      </c>
      <c r="J766" s="6" cm="1">
        <f t="array" ref="J766">_xlfn.IFS(B766=2015,I766*$Q$1,B766=2016,I766*$Q$2,B766=2017,I766*$Q$3,B766=2018,I766*$Q$4,B766=2019,I766*$Q$5,B766=2020,I766*$Q$6,B766=2021,I766*$Q$7,B766=2022,I766*$Q$8)</f>
        <v>518443.78700423311</v>
      </c>
      <c r="K766" s="7">
        <f t="shared" si="24"/>
        <v>1534661.7870042331</v>
      </c>
      <c r="L766">
        <f>IFERROR(VLOOKUP(G766,'LEAID Match'!$A$2:$B$168,2,FALSE),"")</f>
        <v>4655260</v>
      </c>
    </row>
    <row r="767" spans="1:12" x14ac:dyDescent="0.2">
      <c r="A767">
        <f t="shared" si="23"/>
        <v>4672450</v>
      </c>
      <c r="B767">
        <v>2015</v>
      </c>
      <c r="C767" t="s">
        <v>208</v>
      </c>
      <c r="D767" t="s">
        <v>212</v>
      </c>
      <c r="E767" t="s">
        <v>211</v>
      </c>
      <c r="F767" s="3">
        <v>937100</v>
      </c>
      <c r="G767" s="3" t="s">
        <v>143</v>
      </c>
      <c r="H767" s="4">
        <v>71942</v>
      </c>
      <c r="I767" cm="1">
        <f t="array" ref="I767">_xlfn.IFS(B767=2015,H767/$O$10,B767=2016,H767/$O$11,B767=2017,H767/$O$12,B767=2018,H767/$O$13,B767=2019,H767/$O$14,B767=2020,H767/$O$15,B767=2021,H767/$O$16,B767=2022,H767/$O$17)</f>
        <v>1.6827444916619101E-3</v>
      </c>
      <c r="J767" s="6" cm="1">
        <f t="array" ref="J767">_xlfn.IFS(B767=2015,I767*$Q$1,B767=2016,I767*$Q$2,B767=2017,I767*$Q$3,B767=2018,I767*$Q$4,B767=2019,I767*$Q$5,B767=2020,I767*$Q$6,B767=2021,I767*$Q$7,B767=2022,I767*$Q$8)</f>
        <v>41382.3133643459</v>
      </c>
      <c r="K767" s="7">
        <f t="shared" si="24"/>
        <v>113324.3133643459</v>
      </c>
      <c r="L767">
        <f>IFERROR(VLOOKUP(G767,'LEAID Match'!$A$2:$B$168,2,FALSE),"")</f>
        <v>4672450</v>
      </c>
    </row>
    <row r="768" spans="1:12" x14ac:dyDescent="0.2">
      <c r="A768">
        <f t="shared" si="23"/>
        <v>4672450</v>
      </c>
      <c r="B768">
        <v>2016</v>
      </c>
      <c r="C768" t="s">
        <v>208</v>
      </c>
      <c r="D768" t="s">
        <v>212</v>
      </c>
      <c r="E768" t="s">
        <v>211</v>
      </c>
      <c r="F768" s="3">
        <v>937100</v>
      </c>
      <c r="G768" s="3" t="s">
        <v>143</v>
      </c>
      <c r="H768" s="4">
        <v>80170</v>
      </c>
      <c r="I768" cm="1">
        <f t="array" ref="I768">_xlfn.IFS(B768=2015,H768/$O$10,B768=2016,H768/$O$11,B768=2017,H768/$O$12,B768=2018,H768/$O$13,B768=2019,H768/$O$14,B768=2020,H768/$O$15,B768=2021,H768/$O$16,B768=2022,H768/$O$17)</f>
        <v>1.8184208046211523E-3</v>
      </c>
      <c r="J768" s="6" cm="1">
        <f t="array" ref="J768">_xlfn.IFS(B768=2015,I768*$Q$1,B768=2016,I768*$Q$2,B768=2017,I768*$Q$3,B768=2018,I768*$Q$4,B768=2019,I768*$Q$5,B768=2020,I768*$Q$6,B768=2021,I768*$Q$7,B768=2022,I768*$Q$8)</f>
        <v>46198.444370148092</v>
      </c>
      <c r="K768" s="7">
        <f t="shared" si="24"/>
        <v>126368.44437014809</v>
      </c>
      <c r="L768">
        <f>IFERROR(VLOOKUP(G768,'LEAID Match'!$A$2:$B$168,2,FALSE),"")</f>
        <v>4672450</v>
      </c>
    </row>
    <row r="769" spans="1:12" x14ac:dyDescent="0.2">
      <c r="A769">
        <f t="shared" si="23"/>
        <v>4672450</v>
      </c>
      <c r="B769">
        <v>2017</v>
      </c>
      <c r="C769" t="s">
        <v>208</v>
      </c>
      <c r="D769" t="s">
        <v>212</v>
      </c>
      <c r="E769" t="s">
        <v>211</v>
      </c>
      <c r="F769" s="3">
        <v>937100</v>
      </c>
      <c r="G769" s="3" t="s">
        <v>143</v>
      </c>
      <c r="H769" s="4">
        <v>82615</v>
      </c>
      <c r="I769" cm="1">
        <f t="array" ref="I769">_xlfn.IFS(B769=2015,H769/$O$10,B769=2016,H769/$O$11,B769=2017,H769/$O$12,B769=2018,H769/$O$13,B769=2019,H769/$O$14,B769=2020,H769/$O$15,B769=2021,H769/$O$16,B769=2022,H769/$O$17)</f>
        <v>1.7057345923636028E-3</v>
      </c>
      <c r="J769" s="6" cm="1">
        <f t="array" ref="J769">_xlfn.IFS(B769=2015,I769*$Q$1,B769=2016,I769*$Q$2,B769=2017,I769*$Q$3,B769=2018,I769*$Q$4,B769=2019,I769*$Q$5,B769=2020,I769*$Q$6,B769=2021,I769*$Q$7,B769=2022,I769*$Q$8)</f>
        <v>44870.259314396892</v>
      </c>
      <c r="K769" s="7">
        <f t="shared" si="24"/>
        <v>127485.25931439688</v>
      </c>
      <c r="L769">
        <f>IFERROR(VLOOKUP(G769,'LEAID Match'!$A$2:$B$168,2,FALSE),"")</f>
        <v>4672450</v>
      </c>
    </row>
    <row r="770" spans="1:12" x14ac:dyDescent="0.2">
      <c r="A770">
        <f t="shared" si="23"/>
        <v>4672450</v>
      </c>
      <c r="B770">
        <v>2018</v>
      </c>
      <c r="C770" t="s">
        <v>208</v>
      </c>
      <c r="D770" t="s">
        <v>212</v>
      </c>
      <c r="E770" t="s">
        <v>211</v>
      </c>
      <c r="F770" s="3">
        <v>937100</v>
      </c>
      <c r="G770" s="3" t="s">
        <v>143</v>
      </c>
      <c r="H770" s="4">
        <v>82346</v>
      </c>
      <c r="I770" cm="1">
        <f t="array" ref="I770">_xlfn.IFS(B770=2015,H770/$O$10,B770=2016,H770/$O$11,B770=2017,H770/$O$12,B770=2018,H770/$O$13,B770=2019,H770/$O$14,B770=2020,H770/$O$15,B770=2021,H770/$O$16,B770=2022,H770/$O$17)</f>
        <v>1.6421937008412309E-3</v>
      </c>
      <c r="J770" s="6" cm="1">
        <f t="array" ref="J770">_xlfn.IFS(B770=2015,I770*$Q$1,B770=2016,I770*$Q$2,B770=2017,I770*$Q$3,B770=2018,I770*$Q$4,B770=2019,I770*$Q$5,B770=2020,I770*$Q$6,B770=2021,I770*$Q$7,B770=2022,I770*$Q$8)</f>
        <v>43117.124150290496</v>
      </c>
      <c r="K770" s="7">
        <f t="shared" si="24"/>
        <v>125463.1241502905</v>
      </c>
      <c r="L770">
        <f>IFERROR(VLOOKUP(G770,'LEAID Match'!$A$2:$B$168,2,FALSE),"")</f>
        <v>4672450</v>
      </c>
    </row>
    <row r="771" spans="1:12" x14ac:dyDescent="0.2">
      <c r="A771">
        <f t="shared" ref="A771:A834" si="25">L771</f>
        <v>4672450</v>
      </c>
      <c r="B771">
        <v>2019</v>
      </c>
      <c r="C771" t="s">
        <v>208</v>
      </c>
      <c r="D771" t="s">
        <v>212</v>
      </c>
      <c r="E771" t="s">
        <v>211</v>
      </c>
      <c r="F771" s="3">
        <v>937100</v>
      </c>
      <c r="G771" s="3" t="s">
        <v>143</v>
      </c>
      <c r="H771" s="4">
        <v>77594</v>
      </c>
      <c r="I771" cm="1">
        <f t="array" ref="I771">_xlfn.IFS(B771=2015,H771/$O$10,B771=2016,H771/$O$11,B771=2017,H771/$O$12,B771=2018,H771/$O$13,B771=2019,H771/$O$14,B771=2020,H771/$O$15,B771=2021,H771/$O$16,B771=2022,H771/$O$17)</f>
        <v>1.5196421592690505E-3</v>
      </c>
      <c r="J771" s="6" cm="1">
        <f t="array" ref="J771">_xlfn.IFS(B771=2015,I771*$Q$1,B771=2016,I771*$Q$2,B771=2017,I771*$Q$3,B771=2018,I771*$Q$4,B771=2019,I771*$Q$5,B771=2020,I771*$Q$6,B771=2021,I771*$Q$7,B771=2022,I771*$Q$8)</f>
        <v>40190.667623371046</v>
      </c>
      <c r="K771" s="7">
        <f t="shared" ref="K771:K834" si="26">SUM(J771,H771)</f>
        <v>117784.66762337105</v>
      </c>
      <c r="L771">
        <f>IFERROR(VLOOKUP(G771,'LEAID Match'!$A$2:$B$168,2,FALSE),"")</f>
        <v>4672450</v>
      </c>
    </row>
    <row r="772" spans="1:12" x14ac:dyDescent="0.2">
      <c r="A772">
        <f t="shared" si="25"/>
        <v>4672450</v>
      </c>
      <c r="B772">
        <v>2020</v>
      </c>
      <c r="C772" t="s">
        <v>208</v>
      </c>
      <c r="D772" t="s">
        <v>212</v>
      </c>
      <c r="E772" t="s">
        <v>211</v>
      </c>
      <c r="F772" s="1">
        <v>937100</v>
      </c>
      <c r="G772" s="3" t="s">
        <v>143</v>
      </c>
      <c r="H772" s="2">
        <v>83967</v>
      </c>
      <c r="I772" cm="1">
        <f t="array" ref="I772">_xlfn.IFS(B772=2015,H772/$O$10,B772=2016,H772/$O$11,B772=2017,H772/$O$12,B772=2018,H772/$O$13,B772=2019,H772/$O$14,B772=2020,H772/$O$15,B772=2021,H772/$O$16,B772=2022,H772/$O$17)</f>
        <v>1.5903164996316969E-3</v>
      </c>
      <c r="J772" s="6" cm="1">
        <f t="array" ref="J772">_xlfn.IFS(B772=2015,I772*$Q$1,B772=2016,I772*$Q$2,B772=2017,I772*$Q$3,B772=2018,I772*$Q$4,B772=2019,I772*$Q$5,B772=2020,I772*$Q$6,B772=2021,I772*$Q$7,B772=2022,I772*$Q$8)</f>
        <v>43241.072988097258</v>
      </c>
      <c r="K772" s="7">
        <f t="shared" si="26"/>
        <v>127208.07298809726</v>
      </c>
      <c r="L772">
        <f>IFERROR(VLOOKUP(G772,'LEAID Match'!$A$2:$B$168,2,FALSE),"")</f>
        <v>4672450</v>
      </c>
    </row>
    <row r="773" spans="1:12" x14ac:dyDescent="0.2">
      <c r="A773">
        <f t="shared" si="25"/>
        <v>4672450</v>
      </c>
      <c r="B773">
        <v>2021</v>
      </c>
      <c r="C773" t="s">
        <v>208</v>
      </c>
      <c r="D773" t="s">
        <v>212</v>
      </c>
      <c r="E773" t="s">
        <v>211</v>
      </c>
      <c r="F773" s="3">
        <v>937100</v>
      </c>
      <c r="G773" s="3" t="s">
        <v>143</v>
      </c>
      <c r="H773" s="4">
        <v>85548</v>
      </c>
      <c r="I773" cm="1">
        <f t="array" ref="I773">_xlfn.IFS(B773=2015,H773/$O$10,B773=2016,H773/$O$11,B773=2017,H773/$O$12,B773=2018,H773/$O$13,B773=2019,H773/$O$14,B773=2020,H773/$O$15,B773=2021,H773/$O$16,B773=2022,H773/$O$17)</f>
        <v>1.5451310364966858E-3</v>
      </c>
      <c r="J773" s="6" cm="1">
        <f t="array" ref="J773">_xlfn.IFS(B773=2015,I773*$Q$1,B773=2016,I773*$Q$2,B773=2017,I773*$Q$3,B773=2018,I773*$Q$4,B773=2019,I773*$Q$5,B773=2020,I773*$Q$6,B773=2021,I773*$Q$7,B773=2022,I773*$Q$8)</f>
        <v>43013.87232262989</v>
      </c>
      <c r="K773" s="7">
        <f t="shared" si="26"/>
        <v>128561.87232262989</v>
      </c>
      <c r="L773">
        <f>IFERROR(VLOOKUP(G773,'LEAID Match'!$A$2:$B$168,2,FALSE),"")</f>
        <v>4672450</v>
      </c>
    </row>
    <row r="774" spans="1:12" x14ac:dyDescent="0.2">
      <c r="A774">
        <f t="shared" si="25"/>
        <v>4672450</v>
      </c>
      <c r="B774">
        <v>2022</v>
      </c>
      <c r="C774" t="s">
        <v>208</v>
      </c>
      <c r="D774" t="s">
        <v>212</v>
      </c>
      <c r="E774" t="s">
        <v>211</v>
      </c>
      <c r="F774" s="3">
        <v>937100</v>
      </c>
      <c r="G774" s="3" t="s">
        <v>143</v>
      </c>
      <c r="H774" s="4">
        <v>89670</v>
      </c>
      <c r="I774" cm="1">
        <f t="array" ref="I774">_xlfn.IFS(B774=2015,H774/$O$10,B774=2016,H774/$O$11,B774=2017,H774/$O$12,B774=2018,H774/$O$13,B774=2019,H774/$O$14,B774=2020,H774/$O$15,B774=2021,H774/$O$16,B774=2022,H774/$O$17)</f>
        <v>1.5529572448546838E-3</v>
      </c>
      <c r="J774" s="6" cm="1">
        <f t="array" ref="J774">_xlfn.IFS(B774=2015,I774*$Q$1,B774=2016,I774*$Q$2,B774=2017,I774*$Q$3,B774=2018,I774*$Q$4,B774=2019,I774*$Q$5,B774=2020,I774*$Q$6,B774=2021,I774*$Q$7,B774=2022,I774*$Q$8)</f>
        <v>45746.930659238053</v>
      </c>
      <c r="K774" s="7">
        <f t="shared" si="26"/>
        <v>135416.93065923805</v>
      </c>
      <c r="L774">
        <f>IFERROR(VLOOKUP(G774,'LEAID Match'!$A$2:$B$168,2,FALSE),"")</f>
        <v>4672450</v>
      </c>
    </row>
    <row r="775" spans="1:12" x14ac:dyDescent="0.2">
      <c r="A775">
        <f t="shared" si="25"/>
        <v>4647100</v>
      </c>
      <c r="B775">
        <v>2015</v>
      </c>
      <c r="C775" t="s">
        <v>208</v>
      </c>
      <c r="D775" t="s">
        <v>212</v>
      </c>
      <c r="E775" t="s">
        <v>211</v>
      </c>
      <c r="F775" s="3">
        <v>937102</v>
      </c>
      <c r="G775" s="3" t="s">
        <v>96</v>
      </c>
      <c r="H775" s="4">
        <v>99691</v>
      </c>
      <c r="I775" cm="1">
        <f t="array" ref="I775">_xlfn.IFS(B775=2015,H775/$O$10,B775=2016,H775/$O$11,B775=2017,H775/$O$12,B775=2018,H775/$O$13,B775=2019,H775/$O$14,B775=2020,H775/$O$15,B775=2021,H775/$O$16,B775=2022,H775/$O$17)</f>
        <v>2.3318017447147353E-3</v>
      </c>
      <c r="J775" s="6" cm="1">
        <f t="array" ref="J775">_xlfn.IFS(B775=2015,I775*$Q$1,B775=2016,I775*$Q$2,B775=2017,I775*$Q$3,B775=2018,I775*$Q$4,B775=2019,I775*$Q$5,B775=2020,I775*$Q$6,B775=2021,I775*$Q$7,B775=2022,I775*$Q$8)</f>
        <v>57344.029935295199</v>
      </c>
      <c r="K775" s="7">
        <f t="shared" si="26"/>
        <v>157035.0299352952</v>
      </c>
      <c r="L775">
        <f>IFERROR(VLOOKUP(G775,'LEAID Match'!$A$2:$B$168,2,FALSE),"")</f>
        <v>4647100</v>
      </c>
    </row>
    <row r="776" spans="1:12" x14ac:dyDescent="0.2">
      <c r="A776">
        <f t="shared" si="25"/>
        <v>4647100</v>
      </c>
      <c r="B776">
        <v>2016</v>
      </c>
      <c r="C776" t="s">
        <v>208</v>
      </c>
      <c r="D776" t="s">
        <v>212</v>
      </c>
      <c r="E776" t="s">
        <v>211</v>
      </c>
      <c r="F776" s="3">
        <v>937102</v>
      </c>
      <c r="G776" s="3" t="s">
        <v>96</v>
      </c>
      <c r="H776" s="4">
        <v>100756</v>
      </c>
      <c r="I776" cm="1">
        <f t="array" ref="I776">_xlfn.IFS(B776=2015,H776/$O$10,B776=2016,H776/$O$11,B776=2017,H776/$O$12,B776=2018,H776/$O$13,B776=2019,H776/$O$14,B776=2020,H776/$O$15,B776=2021,H776/$O$16,B776=2022,H776/$O$17)</f>
        <v>2.2853537057553803E-3</v>
      </c>
      <c r="J776" s="6" cm="1">
        <f t="array" ref="J776">_xlfn.IFS(B776=2015,I776*$Q$1,B776=2016,I776*$Q$2,B776=2017,I776*$Q$3,B776=2018,I776*$Q$4,B776=2019,I776*$Q$5,B776=2020,I776*$Q$6,B776=2021,I776*$Q$7,B776=2022,I776*$Q$8)</f>
        <v>58061.250604448571</v>
      </c>
      <c r="K776" s="7">
        <f t="shared" si="26"/>
        <v>158817.25060444858</v>
      </c>
      <c r="L776">
        <f>IFERROR(VLOOKUP(G776,'LEAID Match'!$A$2:$B$168,2,FALSE),"")</f>
        <v>4647100</v>
      </c>
    </row>
    <row r="777" spans="1:12" x14ac:dyDescent="0.2">
      <c r="A777">
        <f t="shared" si="25"/>
        <v>4647100</v>
      </c>
      <c r="B777">
        <v>2017</v>
      </c>
      <c r="C777" t="s">
        <v>208</v>
      </c>
      <c r="D777" t="s">
        <v>212</v>
      </c>
      <c r="E777" t="s">
        <v>211</v>
      </c>
      <c r="F777" s="3">
        <v>937102</v>
      </c>
      <c r="G777" s="3" t="s">
        <v>96</v>
      </c>
      <c r="H777" s="4">
        <v>113207</v>
      </c>
      <c r="I777" cm="1">
        <f t="array" ref="I777">_xlfn.IFS(B777=2015,H777/$O$10,B777=2016,H777/$O$11,B777=2017,H777/$O$12,B777=2018,H777/$O$13,B777=2019,H777/$O$14,B777=2020,H777/$O$15,B777=2021,H777/$O$16,B777=2022,H777/$O$17)</f>
        <v>2.3373612055644422E-3</v>
      </c>
      <c r="J777" s="6" cm="1">
        <f t="array" ref="J777">_xlfn.IFS(B777=2015,I777*$Q$1,B777=2016,I777*$Q$2,B777=2017,I777*$Q$3,B777=2018,I777*$Q$4,B777=2019,I777*$Q$5,B777=2020,I777*$Q$6,B777=2021,I777*$Q$7,B777=2022,I777*$Q$8)</f>
        <v>61485.534663256425</v>
      </c>
      <c r="K777" s="7">
        <f t="shared" si="26"/>
        <v>174692.53466325643</v>
      </c>
      <c r="L777">
        <f>IFERROR(VLOOKUP(G777,'LEAID Match'!$A$2:$B$168,2,FALSE),"")</f>
        <v>4647100</v>
      </c>
    </row>
    <row r="778" spans="1:12" x14ac:dyDescent="0.2">
      <c r="A778">
        <f t="shared" si="25"/>
        <v>4647100</v>
      </c>
      <c r="B778">
        <v>2018</v>
      </c>
      <c r="C778" t="s">
        <v>208</v>
      </c>
      <c r="D778" t="s">
        <v>212</v>
      </c>
      <c r="E778" t="s">
        <v>211</v>
      </c>
      <c r="F778" s="3">
        <v>937102</v>
      </c>
      <c r="G778" s="3" t="s">
        <v>96</v>
      </c>
      <c r="H778" s="4">
        <v>125159</v>
      </c>
      <c r="I778" cm="1">
        <f t="array" ref="I778">_xlfn.IFS(B778=2015,H778/$O$10,B778=2016,H778/$O$11,B778=2017,H778/$O$12,B778=2018,H778/$O$13,B778=2019,H778/$O$14,B778=2020,H778/$O$15,B778=2021,H778/$O$16,B778=2022,H778/$O$17)</f>
        <v>2.4959964224563137E-3</v>
      </c>
      <c r="J778" s="6" cm="1">
        <f t="array" ref="J778">_xlfn.IFS(B778=2015,I778*$Q$1,B778=2016,I778*$Q$2,B778=2017,I778*$Q$3,B778=2018,I778*$Q$4,B778=2019,I778*$Q$5,B778=2020,I778*$Q$6,B778=2021,I778*$Q$7,B778=2022,I778*$Q$8)</f>
        <v>65534.405332696282</v>
      </c>
      <c r="K778" s="7">
        <f t="shared" si="26"/>
        <v>190693.40533269627</v>
      </c>
      <c r="L778">
        <f>IFERROR(VLOOKUP(G778,'LEAID Match'!$A$2:$B$168,2,FALSE),"")</f>
        <v>4647100</v>
      </c>
    </row>
    <row r="779" spans="1:12" x14ac:dyDescent="0.2">
      <c r="A779">
        <f t="shared" si="25"/>
        <v>4647100</v>
      </c>
      <c r="B779">
        <v>2019</v>
      </c>
      <c r="C779" t="s">
        <v>208</v>
      </c>
      <c r="D779" t="s">
        <v>212</v>
      </c>
      <c r="E779" t="s">
        <v>211</v>
      </c>
      <c r="F779" s="3">
        <v>937102</v>
      </c>
      <c r="G779" s="3" t="s">
        <v>96</v>
      </c>
      <c r="H779" s="4">
        <v>118878</v>
      </c>
      <c r="I779" cm="1">
        <f t="array" ref="I779">_xlfn.IFS(B779=2015,H779/$O$10,B779=2016,H779/$O$11,B779=2017,H779/$O$12,B779=2018,H779/$O$13,B779=2019,H779/$O$14,B779=2020,H779/$O$15,B779=2021,H779/$O$16,B779=2022,H779/$O$17)</f>
        <v>2.3281699694510682E-3</v>
      </c>
      <c r="J779" s="6" cm="1">
        <f t="array" ref="J779">_xlfn.IFS(B779=2015,I779*$Q$1,B779=2016,I779*$Q$2,B779=2017,I779*$Q$3,B779=2018,I779*$Q$4,B779=2019,I779*$Q$5,B779=2020,I779*$Q$6,B779=2021,I779*$Q$7,B779=2022,I779*$Q$8)</f>
        <v>61574.170499408501</v>
      </c>
      <c r="K779" s="7">
        <f t="shared" si="26"/>
        <v>180452.1704994085</v>
      </c>
      <c r="L779">
        <f>IFERROR(VLOOKUP(G779,'LEAID Match'!$A$2:$B$168,2,FALSE),"")</f>
        <v>4647100</v>
      </c>
    </row>
    <row r="780" spans="1:12" x14ac:dyDescent="0.2">
      <c r="A780">
        <f t="shared" si="25"/>
        <v>4647100</v>
      </c>
      <c r="B780">
        <v>2020</v>
      </c>
      <c r="C780" t="s">
        <v>208</v>
      </c>
      <c r="D780" t="s">
        <v>212</v>
      </c>
      <c r="E780" t="s">
        <v>211</v>
      </c>
      <c r="F780" s="1">
        <v>937102</v>
      </c>
      <c r="G780" s="3" t="s">
        <v>96</v>
      </c>
      <c r="H780" s="2">
        <v>119975</v>
      </c>
      <c r="I780" cm="1">
        <f t="array" ref="I780">_xlfn.IFS(B780=2015,H780/$O$10,B780=2016,H780/$O$11,B780=2017,H780/$O$12,B780=2018,H780/$O$13,B780=2019,H780/$O$14,B780=2020,H780/$O$15,B780=2021,H780/$O$16,B780=2022,H780/$O$17)</f>
        <v>2.2723000946004127E-3</v>
      </c>
      <c r="J780" s="6" cm="1">
        <f t="array" ref="J780">_xlfn.IFS(B780=2015,I780*$Q$1,B780=2016,I780*$Q$2,B780=2017,I780*$Q$3,B780=2018,I780*$Q$4,B780=2019,I780*$Q$5,B780=2020,I780*$Q$6,B780=2021,I780*$Q$7,B780=2022,I780*$Q$8)</f>
        <v>61784.36447350707</v>
      </c>
      <c r="K780" s="7">
        <f t="shared" si="26"/>
        <v>181759.36447350707</v>
      </c>
      <c r="L780">
        <f>IFERROR(VLOOKUP(G780,'LEAID Match'!$A$2:$B$168,2,FALSE),"")</f>
        <v>4647100</v>
      </c>
    </row>
    <row r="781" spans="1:12" x14ac:dyDescent="0.2">
      <c r="A781">
        <f t="shared" si="25"/>
        <v>4647100</v>
      </c>
      <c r="B781">
        <v>2021</v>
      </c>
      <c r="C781" t="s">
        <v>208</v>
      </c>
      <c r="D781" t="s">
        <v>212</v>
      </c>
      <c r="E781" t="s">
        <v>211</v>
      </c>
      <c r="F781" s="3">
        <v>937102</v>
      </c>
      <c r="G781" s="3" t="s">
        <v>96</v>
      </c>
      <c r="H781" s="4">
        <v>129314</v>
      </c>
      <c r="I781" cm="1">
        <f t="array" ref="I781">_xlfn.IFS(B781=2015,H781/$O$10,B781=2016,H781/$O$11,B781=2017,H781/$O$12,B781=2018,H781/$O$13,B781=2019,H781/$O$14,B781=2020,H781/$O$15,B781=2021,H781/$O$16,B781=2022,H781/$O$17)</f>
        <v>2.3356136304008559E-3</v>
      </c>
      <c r="J781" s="6" cm="1">
        <f t="array" ref="J781">_xlfn.IFS(B781=2015,I781*$Q$1,B781=2016,I781*$Q$2,B781=2017,I781*$Q$3,B781=2018,I781*$Q$4,B781=2019,I781*$Q$5,B781=2020,I781*$Q$6,B781=2021,I781*$Q$7,B781=2022,I781*$Q$8)</f>
        <v>65019.590002437952</v>
      </c>
      <c r="K781" s="7">
        <f t="shared" si="26"/>
        <v>194333.59000243794</v>
      </c>
      <c r="L781">
        <f>IFERROR(VLOOKUP(G781,'LEAID Match'!$A$2:$B$168,2,FALSE),"")</f>
        <v>4647100</v>
      </c>
    </row>
    <row r="782" spans="1:12" x14ac:dyDescent="0.2">
      <c r="A782">
        <f t="shared" si="25"/>
        <v>4647100</v>
      </c>
      <c r="B782">
        <v>2022</v>
      </c>
      <c r="C782" t="s">
        <v>208</v>
      </c>
      <c r="D782" t="s">
        <v>212</v>
      </c>
      <c r="E782" t="s">
        <v>211</v>
      </c>
      <c r="F782" s="3">
        <v>937102</v>
      </c>
      <c r="G782" s="3" t="s">
        <v>96</v>
      </c>
      <c r="H782" s="4">
        <v>133835</v>
      </c>
      <c r="I782" cm="1">
        <f t="array" ref="I782">_xlfn.IFS(B782=2015,H782/$O$10,B782=2016,H782/$O$11,B782=2017,H782/$O$12,B782=2018,H782/$O$13,B782=2019,H782/$O$14,B782=2020,H782/$O$15,B782=2021,H782/$O$16,B782=2022,H782/$O$17)</f>
        <v>2.3178324173650788E-3</v>
      </c>
      <c r="J782" s="6" cm="1">
        <f t="array" ref="J782">_xlfn.IFS(B782=2015,I782*$Q$1,B782=2016,I782*$Q$2,B782=2017,I782*$Q$3,B782=2018,I782*$Q$4,B782=2019,I782*$Q$5,B782=2020,I782*$Q$6,B782=2021,I782*$Q$7,B782=2022,I782*$Q$8)</f>
        <v>68278.582187789958</v>
      </c>
      <c r="K782" s="7">
        <f t="shared" si="26"/>
        <v>202113.58218778996</v>
      </c>
      <c r="L782">
        <f>IFERROR(VLOOKUP(G782,'LEAID Match'!$A$2:$B$168,2,FALSE),"")</f>
        <v>4647100</v>
      </c>
    </row>
    <row r="783" spans="1:12" x14ac:dyDescent="0.2">
      <c r="A783">
        <f t="shared" si="25"/>
        <v>4625500</v>
      </c>
      <c r="B783">
        <v>2015</v>
      </c>
      <c r="C783" t="s">
        <v>208</v>
      </c>
      <c r="D783" t="s">
        <v>212</v>
      </c>
      <c r="E783" t="s">
        <v>211</v>
      </c>
      <c r="F783" s="3">
        <v>937103</v>
      </c>
      <c r="G783" s="3" t="s">
        <v>56</v>
      </c>
      <c r="H783" s="4">
        <v>94659</v>
      </c>
      <c r="I783" cm="1">
        <f t="array" ref="I783">_xlfn.IFS(B783=2015,H783/$O$10,B783=2016,H783/$O$11,B783=2017,H783/$O$12,B783=2018,H783/$O$13,B783=2019,H783/$O$14,B783=2020,H783/$O$15,B783=2021,H783/$O$16,B783=2022,H783/$O$17)</f>
        <v>2.2141017880546099E-3</v>
      </c>
      <c r="J783" s="6" cm="1">
        <f t="array" ref="J783">_xlfn.IFS(B783=2015,I783*$Q$1,B783=2016,I783*$Q$2,B783=2017,I783*$Q$3,B783=2018,I783*$Q$4,B783=2019,I783*$Q$5,B783=2020,I783*$Q$6,B783=2021,I783*$Q$7,B783=2022,I783*$Q$8)</f>
        <v>54449.53435761611</v>
      </c>
      <c r="K783" s="7">
        <f t="shared" si="26"/>
        <v>149108.5343576161</v>
      </c>
      <c r="L783">
        <f>IFERROR(VLOOKUP(G783,'LEAID Match'!$A$2:$B$168,2,FALSE),"")</f>
        <v>4625500</v>
      </c>
    </row>
    <row r="784" spans="1:12" x14ac:dyDescent="0.2">
      <c r="A784">
        <f t="shared" si="25"/>
        <v>4625500</v>
      </c>
      <c r="B784">
        <v>2016</v>
      </c>
      <c r="C784" t="s">
        <v>208</v>
      </c>
      <c r="D784" t="s">
        <v>212</v>
      </c>
      <c r="E784" t="s">
        <v>211</v>
      </c>
      <c r="F784" s="3">
        <v>937103</v>
      </c>
      <c r="G784" s="3" t="s">
        <v>56</v>
      </c>
      <c r="H784" s="4">
        <v>103301</v>
      </c>
      <c r="I784" cm="1">
        <f t="array" ref="I784">_xlfn.IFS(B784=2015,H784/$O$10,B784=2016,H784/$O$11,B784=2017,H784/$O$12,B784=2018,H784/$O$13,B784=2019,H784/$O$14,B784=2020,H784/$O$15,B784=2021,H784/$O$16,B784=2022,H784/$O$17)</f>
        <v>2.3430795501829817E-3</v>
      </c>
      <c r="J784" s="6" cm="1">
        <f t="array" ref="J784">_xlfn.IFS(B784=2015,I784*$Q$1,B784=2016,I784*$Q$2,B784=2017,I784*$Q$3,B784=2018,I784*$Q$4,B784=2019,I784*$Q$5,B784=2020,I784*$Q$6,B784=2021,I784*$Q$7,B784=2022,I784*$Q$8)</f>
        <v>59527.82215143655</v>
      </c>
      <c r="K784" s="7">
        <f t="shared" si="26"/>
        <v>162828.82215143656</v>
      </c>
      <c r="L784">
        <f>IFERROR(VLOOKUP(G784,'LEAID Match'!$A$2:$B$168,2,FALSE),"")</f>
        <v>4625500</v>
      </c>
    </row>
    <row r="785" spans="1:12" x14ac:dyDescent="0.2">
      <c r="A785">
        <f t="shared" si="25"/>
        <v>4625500</v>
      </c>
      <c r="B785">
        <v>2017</v>
      </c>
      <c r="C785" t="s">
        <v>208</v>
      </c>
      <c r="D785" t="s">
        <v>212</v>
      </c>
      <c r="E785" t="s">
        <v>211</v>
      </c>
      <c r="F785" s="3">
        <v>937103</v>
      </c>
      <c r="G785" s="3" t="s">
        <v>56</v>
      </c>
      <c r="H785" s="4">
        <v>113670</v>
      </c>
      <c r="I785" cm="1">
        <f t="array" ref="I785">_xlfn.IFS(B785=2015,H785/$O$10,B785=2016,H785/$O$11,B785=2017,H785/$O$12,B785=2018,H785/$O$13,B785=2019,H785/$O$14,B785=2020,H785/$O$15,B785=2021,H785/$O$16,B785=2022,H785/$O$17)</f>
        <v>2.3469206695390758E-3</v>
      </c>
      <c r="J785" s="6" cm="1">
        <f t="array" ref="J785">_xlfn.IFS(B785=2015,I785*$Q$1,B785=2016,I785*$Q$2,B785=2017,I785*$Q$3,B785=2018,I785*$Q$4,B785=2019,I785*$Q$5,B785=2020,I785*$Q$6,B785=2021,I785*$Q$7,B785=2022,I785*$Q$8)</f>
        <v>61737.001467862923</v>
      </c>
      <c r="K785" s="7">
        <f t="shared" si="26"/>
        <v>175407.00146786292</v>
      </c>
      <c r="L785">
        <f>IFERROR(VLOOKUP(G785,'LEAID Match'!$A$2:$B$168,2,FALSE),"")</f>
        <v>4625500</v>
      </c>
    </row>
    <row r="786" spans="1:12" x14ac:dyDescent="0.2">
      <c r="A786">
        <f t="shared" si="25"/>
        <v>4625500</v>
      </c>
      <c r="B786">
        <v>2018</v>
      </c>
      <c r="C786" t="s">
        <v>208</v>
      </c>
      <c r="D786" t="s">
        <v>212</v>
      </c>
      <c r="E786" t="s">
        <v>211</v>
      </c>
      <c r="F786" s="3">
        <v>937103</v>
      </c>
      <c r="G786" s="3" t="s">
        <v>56</v>
      </c>
      <c r="H786" s="4">
        <v>106451</v>
      </c>
      <c r="I786" cm="1">
        <f t="array" ref="I786">_xlfn.IFS(B786=2015,H786/$O$10,B786=2016,H786/$O$11,B786=2017,H786/$O$12,B786=2018,H786/$O$13,B786=2019,H786/$O$14,B786=2020,H786/$O$15,B786=2021,H786/$O$16,B786=2022,H786/$O$17)</f>
        <v>2.1229101795867422E-3</v>
      </c>
      <c r="J786" s="6" cm="1">
        <f t="array" ref="J786">_xlfn.IFS(B786=2015,I786*$Q$1,B786=2016,I786*$Q$2,B786=2017,I786*$Q$3,B786=2018,I786*$Q$4,B786=2019,I786*$Q$5,B786=2020,I786*$Q$6,B786=2021,I786*$Q$7,B786=2022,I786*$Q$8)</f>
        <v>55738.7241993852</v>
      </c>
      <c r="K786" s="7">
        <f t="shared" si="26"/>
        <v>162189.72419938521</v>
      </c>
      <c r="L786">
        <f>IFERROR(VLOOKUP(G786,'LEAID Match'!$A$2:$B$168,2,FALSE),"")</f>
        <v>4625500</v>
      </c>
    </row>
    <row r="787" spans="1:12" x14ac:dyDescent="0.2">
      <c r="A787">
        <f t="shared" si="25"/>
        <v>4625500</v>
      </c>
      <c r="B787">
        <v>2019</v>
      </c>
      <c r="C787" t="s">
        <v>208</v>
      </c>
      <c r="D787" t="s">
        <v>212</v>
      </c>
      <c r="E787" t="s">
        <v>211</v>
      </c>
      <c r="F787" s="3">
        <v>937103</v>
      </c>
      <c r="G787" s="3" t="s">
        <v>56</v>
      </c>
      <c r="H787" s="4">
        <v>112144</v>
      </c>
      <c r="I787" cm="1">
        <f t="array" ref="I787">_xlfn.IFS(B787=2015,H787/$O$10,B787=2016,H787/$O$11,B787=2017,H787/$O$12,B787=2018,H787/$O$13,B787=2019,H787/$O$14,B787=2020,H787/$O$15,B787=2021,H787/$O$16,B787=2022,H787/$O$17)</f>
        <v>2.196287732415759E-3</v>
      </c>
      <c r="J787" s="6" cm="1">
        <f t="array" ref="J787">_xlfn.IFS(B787=2015,I787*$Q$1,B787=2016,I787*$Q$2,B787=2017,I787*$Q$3,B787=2018,I787*$Q$4,B787=2019,I787*$Q$5,B787=2020,I787*$Q$6,B787=2021,I787*$Q$7,B787=2022,I787*$Q$8)</f>
        <v>58086.220970117829</v>
      </c>
      <c r="K787" s="7">
        <f t="shared" si="26"/>
        <v>170230.22097011784</v>
      </c>
      <c r="L787">
        <f>IFERROR(VLOOKUP(G787,'LEAID Match'!$A$2:$B$168,2,FALSE),"")</f>
        <v>4625500</v>
      </c>
    </row>
    <row r="788" spans="1:12" x14ac:dyDescent="0.2">
      <c r="A788">
        <f t="shared" si="25"/>
        <v>4625500</v>
      </c>
      <c r="B788">
        <v>2020</v>
      </c>
      <c r="C788" t="s">
        <v>208</v>
      </c>
      <c r="D788" t="s">
        <v>212</v>
      </c>
      <c r="E788" t="s">
        <v>211</v>
      </c>
      <c r="F788" s="1">
        <v>937103</v>
      </c>
      <c r="G788" s="3" t="s">
        <v>56</v>
      </c>
      <c r="H788" s="2">
        <v>119395</v>
      </c>
      <c r="I788" cm="1">
        <f t="array" ref="I788">_xlfn.IFS(B788=2015,H788/$O$10,B788=2016,H788/$O$11,B788=2017,H788/$O$12,B788=2018,H788/$O$13,B788=2019,H788/$O$14,B788=2020,H788/$O$15,B788=2021,H788/$O$16,B788=2022,H788/$O$17)</f>
        <v>2.261315022253105E-3</v>
      </c>
      <c r="J788" s="6" cm="1">
        <f t="array" ref="J788">_xlfn.IFS(B788=2015,I788*$Q$1,B788=2016,I788*$Q$2,B788=2017,I788*$Q$3,B788=2018,I788*$Q$4,B788=2019,I788*$Q$5,B788=2020,I788*$Q$6,B788=2021,I788*$Q$7,B788=2022,I788*$Q$8)</f>
        <v>61485.677818832068</v>
      </c>
      <c r="K788" s="7">
        <f t="shared" si="26"/>
        <v>180880.67781883207</v>
      </c>
      <c r="L788">
        <f>IFERROR(VLOOKUP(G788,'LEAID Match'!$A$2:$B$168,2,FALSE),"")</f>
        <v>4625500</v>
      </c>
    </row>
    <row r="789" spans="1:12" x14ac:dyDescent="0.2">
      <c r="A789">
        <f t="shared" si="25"/>
        <v>4625500</v>
      </c>
      <c r="B789">
        <v>2021</v>
      </c>
      <c r="C789" t="s">
        <v>208</v>
      </c>
      <c r="D789" t="s">
        <v>212</v>
      </c>
      <c r="E789" t="s">
        <v>211</v>
      </c>
      <c r="F789" s="3">
        <v>937103</v>
      </c>
      <c r="G789" s="3" t="s">
        <v>56</v>
      </c>
      <c r="H789" s="4">
        <v>130821</v>
      </c>
      <c r="I789" cm="1">
        <f t="array" ref="I789">_xlfn.IFS(B789=2015,H789/$O$10,B789=2016,H789/$O$11,B789=2017,H789/$O$12,B789=2018,H789/$O$13,B789=2019,H789/$O$14,B789=2020,H789/$O$15,B789=2021,H789/$O$16,B789=2022,H789/$O$17)</f>
        <v>2.3628324136804242E-3</v>
      </c>
      <c r="J789" s="6" cm="1">
        <f t="array" ref="J789">_xlfn.IFS(B789=2015,I789*$Q$1,B789=2016,I789*$Q$2,B789=2017,I789*$Q$3,B789=2018,I789*$Q$4,B789=2019,I789*$Q$5,B789=2020,I789*$Q$6,B789=2021,I789*$Q$7,B789=2022,I789*$Q$8)</f>
        <v>65777.315555229405</v>
      </c>
      <c r="K789" s="7">
        <f t="shared" si="26"/>
        <v>196598.3155552294</v>
      </c>
      <c r="L789">
        <f>IFERROR(VLOOKUP(G789,'LEAID Match'!$A$2:$B$168,2,FALSE),"")</f>
        <v>4625500</v>
      </c>
    </row>
    <row r="790" spans="1:12" x14ac:dyDescent="0.2">
      <c r="A790">
        <f t="shared" si="25"/>
        <v>4625500</v>
      </c>
      <c r="B790">
        <v>2022</v>
      </c>
      <c r="C790" t="s">
        <v>208</v>
      </c>
      <c r="D790" t="s">
        <v>212</v>
      </c>
      <c r="E790" t="s">
        <v>211</v>
      </c>
      <c r="F790" s="3">
        <v>937103</v>
      </c>
      <c r="G790" s="3" t="s">
        <v>56</v>
      </c>
      <c r="H790" s="4">
        <v>140735</v>
      </c>
      <c r="I790" cm="1">
        <f t="array" ref="I790">_xlfn.IFS(B790=2015,H790/$O$10,B790=2016,H790/$O$11,B790=2017,H790/$O$12,B790=2018,H790/$O$13,B790=2019,H790/$O$14,B790=2020,H790/$O$15,B790=2021,H790/$O$16,B790=2022,H790/$O$17)</f>
        <v>2.4373306329276674E-3</v>
      </c>
      <c r="J790" s="6" cm="1">
        <f t="array" ref="J790">_xlfn.IFS(B790=2015,I790*$Q$1,B790=2016,I790*$Q$2,B790=2017,I790*$Q$3,B790=2018,I790*$Q$4,B790=2019,I790*$Q$5,B790=2020,I790*$Q$6,B790=2021,I790*$Q$7,B790=2022,I790*$Q$8)</f>
        <v>71798.754168929052</v>
      </c>
      <c r="K790" s="7">
        <f t="shared" si="26"/>
        <v>212533.75416892907</v>
      </c>
      <c r="L790">
        <f>IFERROR(VLOOKUP(G790,'LEAID Match'!$A$2:$B$168,2,FALSE),"")</f>
        <v>4625500</v>
      </c>
    </row>
    <row r="791" spans="1:12" x14ac:dyDescent="0.2">
      <c r="A791">
        <f t="shared" si="25"/>
        <v>4654300</v>
      </c>
      <c r="B791">
        <v>2015</v>
      </c>
      <c r="C791" t="s">
        <v>208</v>
      </c>
      <c r="D791" t="s">
        <v>212</v>
      </c>
      <c r="E791" t="s">
        <v>211</v>
      </c>
      <c r="F791" s="3">
        <v>937104</v>
      </c>
      <c r="G791" s="3" t="s">
        <v>115</v>
      </c>
      <c r="H791" s="4">
        <v>158596</v>
      </c>
      <c r="I791" cm="1">
        <f t="array" ref="I791">_xlfn.IFS(B791=2015,H791/$O$10,B791=2016,H791/$O$11,B791=2017,H791/$O$12,B791=2018,H791/$O$13,B791=2019,H791/$O$14,B791=2020,H791/$O$15,B791=2021,H791/$O$16,B791=2022,H791/$O$17)</f>
        <v>3.7096069806178905E-3</v>
      </c>
      <c r="J791" s="6" cm="1">
        <f t="array" ref="J791">_xlfn.IFS(B791=2015,I791*$Q$1,B791=2016,I791*$Q$2,B791=2017,I791*$Q$3,B791=2018,I791*$Q$4,B791=2019,I791*$Q$5,B791=2020,I791*$Q$6,B791=2021,I791*$Q$7,B791=2022,I791*$Q$8)</f>
        <v>91227.229856437159</v>
      </c>
      <c r="K791" s="7">
        <f t="shared" si="26"/>
        <v>249823.22985643716</v>
      </c>
      <c r="L791">
        <f>IFERROR(VLOOKUP(G791,'LEAID Match'!$A$2:$B$168,2,FALSE),"")</f>
        <v>4654300</v>
      </c>
    </row>
    <row r="792" spans="1:12" x14ac:dyDescent="0.2">
      <c r="A792">
        <f t="shared" si="25"/>
        <v>4654300</v>
      </c>
      <c r="B792">
        <v>2016</v>
      </c>
      <c r="C792" t="s">
        <v>208</v>
      </c>
      <c r="D792" t="s">
        <v>212</v>
      </c>
      <c r="E792" t="s">
        <v>211</v>
      </c>
      <c r="F792" s="3">
        <v>937104</v>
      </c>
      <c r="G792" s="3" t="s">
        <v>115</v>
      </c>
      <c r="H792" s="4">
        <v>157120</v>
      </c>
      <c r="I792" cm="1">
        <f t="array" ref="I792">_xlfn.IFS(B792=2015,H792/$O$10,B792=2016,H792/$O$11,B792=2017,H792/$O$12,B792=2018,H792/$O$13,B792=2019,H792/$O$14,B792=2020,H792/$O$15,B792=2021,H792/$O$16,B792=2022,H792/$O$17)</f>
        <v>3.563805373856498E-3</v>
      </c>
      <c r="J792" s="6" cm="1">
        <f t="array" ref="J792">_xlfn.IFS(B792=2015,I792*$Q$1,B792=2016,I792*$Q$2,B792=2017,I792*$Q$3,B792=2018,I792*$Q$4,B792=2019,I792*$Q$5,B792=2020,I792*$Q$6,B792=2021,I792*$Q$7,B792=2022,I792*$Q$8)</f>
        <v>90541.344386150289</v>
      </c>
      <c r="K792" s="7">
        <f t="shared" si="26"/>
        <v>247661.3443861503</v>
      </c>
      <c r="L792">
        <f>IFERROR(VLOOKUP(G792,'LEAID Match'!$A$2:$B$168,2,FALSE),"")</f>
        <v>4654300</v>
      </c>
    </row>
    <row r="793" spans="1:12" x14ac:dyDescent="0.2">
      <c r="A793">
        <f t="shared" si="25"/>
        <v>4654300</v>
      </c>
      <c r="B793">
        <v>2017</v>
      </c>
      <c r="C793" t="s">
        <v>208</v>
      </c>
      <c r="D793" t="s">
        <v>212</v>
      </c>
      <c r="E793" t="s">
        <v>211</v>
      </c>
      <c r="F793" s="3">
        <v>937104</v>
      </c>
      <c r="G793" s="3" t="s">
        <v>115</v>
      </c>
      <c r="H793" s="4">
        <v>166380</v>
      </c>
      <c r="I793" cm="1">
        <f t="array" ref="I793">_xlfn.IFS(B793=2015,H793/$O$10,B793=2016,H793/$O$11,B793=2017,H793/$O$12,B793=2018,H793/$O$13,B793=2019,H793/$O$14,B793=2020,H793/$O$15,B793=2021,H793/$O$16,B793=2022,H793/$O$17)</f>
        <v>3.4352129937354745E-3</v>
      </c>
      <c r="J793" s="6" cm="1">
        <f t="array" ref="J793">_xlfn.IFS(B793=2015,I793*$Q$1,B793=2016,I793*$Q$2,B793=2017,I793*$Q$3,B793=2018,I793*$Q$4,B793=2019,I793*$Q$5,B793=2020,I793*$Q$6,B793=2021,I793*$Q$7,B793=2022,I793*$Q$8)</f>
        <v>90365.11220395031</v>
      </c>
      <c r="K793" s="7">
        <f t="shared" si="26"/>
        <v>256745.1122039503</v>
      </c>
      <c r="L793">
        <f>IFERROR(VLOOKUP(G793,'LEAID Match'!$A$2:$B$168,2,FALSE),"")</f>
        <v>4654300</v>
      </c>
    </row>
    <row r="794" spans="1:12" x14ac:dyDescent="0.2">
      <c r="A794">
        <f t="shared" si="25"/>
        <v>4654300</v>
      </c>
      <c r="B794">
        <v>2018</v>
      </c>
      <c r="C794" t="s">
        <v>208</v>
      </c>
      <c r="D794" t="s">
        <v>212</v>
      </c>
      <c r="E794" t="s">
        <v>211</v>
      </c>
      <c r="F794" s="3">
        <v>937104</v>
      </c>
      <c r="G794" s="3" t="s">
        <v>115</v>
      </c>
      <c r="H794" s="4">
        <v>184305</v>
      </c>
      <c r="I794" cm="1">
        <f t="array" ref="I794">_xlfn.IFS(B794=2015,H794/$O$10,B794=2016,H794/$O$11,B794=2017,H794/$O$12,B794=2018,H794/$O$13,B794=2019,H794/$O$14,B794=2020,H794/$O$15,B794=2021,H794/$O$16,B794=2022,H794/$O$17)</f>
        <v>3.6755217015221513E-3</v>
      </c>
      <c r="J794" s="6" cm="1">
        <f t="array" ref="J794">_xlfn.IFS(B794=2015,I794*$Q$1,B794=2016,I794*$Q$2,B794=2017,I794*$Q$3,B794=2018,I794*$Q$4,B794=2019,I794*$Q$5,B794=2020,I794*$Q$6,B794=2021,I794*$Q$7,B794=2022,I794*$Q$8)</f>
        <v>96503.795770520621</v>
      </c>
      <c r="K794" s="7">
        <f t="shared" si="26"/>
        <v>280808.79577052064</v>
      </c>
      <c r="L794">
        <f>IFERROR(VLOOKUP(G794,'LEAID Match'!$A$2:$B$168,2,FALSE),"")</f>
        <v>4654300</v>
      </c>
    </row>
    <row r="795" spans="1:12" x14ac:dyDescent="0.2">
      <c r="A795">
        <f t="shared" si="25"/>
        <v>4654300</v>
      </c>
      <c r="B795">
        <v>2019</v>
      </c>
      <c r="C795" t="s">
        <v>208</v>
      </c>
      <c r="D795" t="s">
        <v>212</v>
      </c>
      <c r="E795" t="s">
        <v>211</v>
      </c>
      <c r="F795" s="3">
        <v>937104</v>
      </c>
      <c r="G795" s="3" t="s">
        <v>115</v>
      </c>
      <c r="H795" s="4">
        <v>178559</v>
      </c>
      <c r="I795" cm="1">
        <f t="array" ref="I795">_xlfn.IFS(B795=2015,H795/$O$10,B795=2016,H795/$O$11,B795=2017,H795/$O$12,B795=2018,H795/$O$13,B795=2019,H795/$O$14,B795=2020,H795/$O$15,B795=2021,H795/$O$16,B795=2022,H795/$O$17)</f>
        <v>3.4969944108683968E-3</v>
      </c>
      <c r="J795" s="6" cm="1">
        <f t="array" ref="J795">_xlfn.IFS(B795=2015,I795*$Q$1,B795=2016,I795*$Q$2,B795=2017,I795*$Q$3,B795=2018,I795*$Q$4,B795=2019,I795*$Q$5,B795=2020,I795*$Q$6,B795=2021,I795*$Q$7,B795=2022,I795*$Q$8)</f>
        <v>92486.602316693432</v>
      </c>
      <c r="K795" s="7">
        <f t="shared" si="26"/>
        <v>271045.6023166934</v>
      </c>
      <c r="L795">
        <f>IFERROR(VLOOKUP(G795,'LEAID Match'!$A$2:$B$168,2,FALSE),"")</f>
        <v>4654300</v>
      </c>
    </row>
    <row r="796" spans="1:12" x14ac:dyDescent="0.2">
      <c r="A796">
        <f t="shared" si="25"/>
        <v>4654300</v>
      </c>
      <c r="B796">
        <v>2020</v>
      </c>
      <c r="C796" t="s">
        <v>208</v>
      </c>
      <c r="D796" t="s">
        <v>212</v>
      </c>
      <c r="E796" t="s">
        <v>211</v>
      </c>
      <c r="F796" s="1">
        <v>937104</v>
      </c>
      <c r="G796" s="3" t="s">
        <v>115</v>
      </c>
      <c r="H796" s="2">
        <v>179682</v>
      </c>
      <c r="I796" cm="1">
        <f t="array" ref="I796">_xlfn.IFS(B796=2015,H796/$O$10,B796=2016,H796/$O$11,B796=2017,H796/$O$12,B796=2018,H796/$O$13,B796=2019,H796/$O$14,B796=2020,H796/$O$15,B796=2021,H796/$O$16,B796=2022,H796/$O$17)</f>
        <v>3.403137533636102E-3</v>
      </c>
      <c r="J796" s="6" cm="1">
        <f t="array" ref="J796">_xlfn.IFS(B796=2015,I796*$Q$1,B796=2016,I796*$Q$2,B796=2017,I796*$Q$3,B796=2018,I796*$Q$4,B796=2019,I796*$Q$5,B796=2020,I796*$Q$6,B796=2021,I796*$Q$7,B796=2022,I796*$Q$8)</f>
        <v>92532.09566433588</v>
      </c>
      <c r="K796" s="7">
        <f t="shared" si="26"/>
        <v>272214.09566433588</v>
      </c>
      <c r="L796">
        <f>IFERROR(VLOOKUP(G796,'LEAID Match'!$A$2:$B$168,2,FALSE),"")</f>
        <v>4654300</v>
      </c>
    </row>
    <row r="797" spans="1:12" x14ac:dyDescent="0.2">
      <c r="A797">
        <f t="shared" si="25"/>
        <v>4654300</v>
      </c>
      <c r="B797">
        <v>2021</v>
      </c>
      <c r="C797" t="s">
        <v>208</v>
      </c>
      <c r="D797" t="s">
        <v>212</v>
      </c>
      <c r="E797" t="s">
        <v>211</v>
      </c>
      <c r="F797" s="3">
        <v>937104</v>
      </c>
      <c r="G797" s="3" t="s">
        <v>115</v>
      </c>
      <c r="H797" s="4">
        <v>194816</v>
      </c>
      <c r="I797" cm="1">
        <f t="array" ref="I797">_xlfn.IFS(B797=2015,H797/$O$10,B797=2016,H797/$O$11,B797=2017,H797/$O$12,B797=2018,H797/$O$13,B797=2019,H797/$O$14,B797=2020,H797/$O$15,B797=2021,H797/$O$16,B797=2022,H797/$O$17)</f>
        <v>3.5186824707314998E-3</v>
      </c>
      <c r="J797" s="6" cm="1">
        <f t="array" ref="J797">_xlfn.IFS(B797=2015,I797*$Q$1,B797=2016,I797*$Q$2,B797=2017,I797*$Q$3,B797=2018,I797*$Q$4,B797=2019,I797*$Q$5,B797=2020,I797*$Q$6,B797=2021,I797*$Q$7,B797=2022,I797*$Q$8)</f>
        <v>97954.254341486245</v>
      </c>
      <c r="K797" s="7">
        <f t="shared" si="26"/>
        <v>292770.25434148626</v>
      </c>
      <c r="L797">
        <f>IFERROR(VLOOKUP(G797,'LEAID Match'!$A$2:$B$168,2,FALSE),"")</f>
        <v>4654300</v>
      </c>
    </row>
    <row r="798" spans="1:12" x14ac:dyDescent="0.2">
      <c r="A798">
        <f t="shared" si="25"/>
        <v>4654300</v>
      </c>
      <c r="B798">
        <v>2022</v>
      </c>
      <c r="C798" t="s">
        <v>208</v>
      </c>
      <c r="D798" t="s">
        <v>212</v>
      </c>
      <c r="E798" t="s">
        <v>211</v>
      </c>
      <c r="F798" s="3">
        <v>937104</v>
      </c>
      <c r="G798" s="3" t="s">
        <v>115</v>
      </c>
      <c r="H798" s="4">
        <v>202982</v>
      </c>
      <c r="I798" cm="1">
        <f t="array" ref="I798">_xlfn.IFS(B798=2015,H798/$O$10,B798=2016,H798/$O$11,B798=2017,H798/$O$12,B798=2018,H798/$O$13,B798=2019,H798/$O$14,B798=2020,H798/$O$15,B798=2021,H798/$O$16,B798=2022,H798/$O$17)</f>
        <v>3.5153604045399071E-3</v>
      </c>
      <c r="J798" s="6" cm="1">
        <f t="array" ref="J798">_xlfn.IFS(B798=2015,I798*$Q$1,B798=2016,I798*$Q$2,B798=2017,I798*$Q$3,B798=2018,I798*$Q$4,B798=2019,I798*$Q$5,B798=2020,I798*$Q$6,B798=2021,I798*$Q$7,B798=2022,I798*$Q$8)</f>
        <v>103555.29696747474</v>
      </c>
      <c r="K798" s="7">
        <f t="shared" si="26"/>
        <v>306537.29696747474</v>
      </c>
      <c r="L798">
        <f>IFERROR(VLOOKUP(G798,'LEAID Match'!$A$2:$B$168,2,FALSE),"")</f>
        <v>4654300</v>
      </c>
    </row>
    <row r="799" spans="1:12" x14ac:dyDescent="0.2">
      <c r="A799">
        <f t="shared" si="25"/>
        <v>4680440</v>
      </c>
      <c r="B799">
        <v>2015</v>
      </c>
      <c r="C799" t="s">
        <v>208</v>
      </c>
      <c r="D799" t="s">
        <v>212</v>
      </c>
      <c r="E799" t="s">
        <v>211</v>
      </c>
      <c r="F799" s="3">
        <v>938124</v>
      </c>
      <c r="G799" s="3" t="s">
        <v>180</v>
      </c>
      <c r="H799" s="4">
        <v>93640</v>
      </c>
      <c r="I799" cm="1">
        <f t="array" ref="I799">_xlfn.IFS(B799=2015,H799/$O$10,B799=2016,H799/$O$11,B799=2017,H799/$O$12,B799=2018,H799/$O$13,B799=2019,H799/$O$14,B799=2020,H799/$O$15,B799=2021,H799/$O$16,B799=2022,H799/$O$17)</f>
        <v>2.1902670790250652E-3</v>
      </c>
      <c r="J799" s="6" cm="1">
        <f t="array" ref="J799">_xlfn.IFS(B799=2015,I799*$Q$1,B799=2016,I799*$Q$2,B799=2017,I799*$Q$3,B799=2018,I799*$Q$4,B799=2019,I799*$Q$5,B799=2020,I799*$Q$6,B799=2021,I799*$Q$7,B799=2022,I799*$Q$8)</f>
        <v>53863.387498781653</v>
      </c>
      <c r="K799" s="7">
        <f t="shared" si="26"/>
        <v>147503.38749878167</v>
      </c>
      <c r="L799">
        <f>IFERROR(VLOOKUP(G799,'LEAID Match'!$A$2:$B$168,2,FALSE),"")</f>
        <v>4680440</v>
      </c>
    </row>
    <row r="800" spans="1:12" x14ac:dyDescent="0.2">
      <c r="A800">
        <f t="shared" si="25"/>
        <v>4680440</v>
      </c>
      <c r="B800">
        <v>2016</v>
      </c>
      <c r="C800" t="s">
        <v>208</v>
      </c>
      <c r="D800" t="s">
        <v>212</v>
      </c>
      <c r="E800" t="s">
        <v>211</v>
      </c>
      <c r="F800" s="3">
        <v>938124</v>
      </c>
      <c r="G800" s="3" t="s">
        <v>180</v>
      </c>
      <c r="H800" s="4">
        <v>95595</v>
      </c>
      <c r="I800" cm="1">
        <f t="array" ref="I800">_xlfn.IFS(B800=2015,H800/$O$10,B800=2016,H800/$O$11,B800=2017,H800/$O$12,B800=2018,H800/$O$13,B800=2019,H800/$O$14,B800=2020,H800/$O$15,B800=2021,H800/$O$16,B800=2022,H800/$O$17)</f>
        <v>2.1682915905919804E-3</v>
      </c>
      <c r="J800" s="6" cm="1">
        <f t="array" ref="J800">_xlfn.IFS(B800=2015,I800*$Q$1,B800=2016,I800*$Q$2,B800=2017,I800*$Q$3,B800=2018,I800*$Q$4,B800=2019,I800*$Q$5,B800=2020,I800*$Q$6,B800=2021,I800*$Q$7,B800=2022,I800*$Q$8)</f>
        <v>55087.19333371969</v>
      </c>
      <c r="K800" s="7">
        <f t="shared" si="26"/>
        <v>150682.19333371968</v>
      </c>
      <c r="L800">
        <f>IFERROR(VLOOKUP(G800,'LEAID Match'!$A$2:$B$168,2,FALSE),"")</f>
        <v>4680440</v>
      </c>
    </row>
    <row r="801" spans="1:12" x14ac:dyDescent="0.2">
      <c r="A801">
        <f t="shared" si="25"/>
        <v>4680440</v>
      </c>
      <c r="B801">
        <v>2017</v>
      </c>
      <c r="C801" t="s">
        <v>208</v>
      </c>
      <c r="D801" t="s">
        <v>212</v>
      </c>
      <c r="E801" t="s">
        <v>211</v>
      </c>
      <c r="F801" s="3">
        <v>938124</v>
      </c>
      <c r="G801" s="3" t="s">
        <v>180</v>
      </c>
      <c r="H801" s="4">
        <v>104270</v>
      </c>
      <c r="I801" cm="1">
        <f t="array" ref="I801">_xlfn.IFS(B801=2015,H801/$O$10,B801=2016,H801/$O$11,B801=2017,H801/$O$12,B801=2018,H801/$O$13,B801=2019,H801/$O$14,B801=2020,H801/$O$15,B801=2021,H801/$O$16,B801=2022,H801/$O$17)</f>
        <v>2.1528408393845289E-3</v>
      </c>
      <c r="J801" s="6" cm="1">
        <f t="array" ref="J801">_xlfn.IFS(B801=2015,I801*$Q$1,B801=2016,I801*$Q$2,B801=2017,I801*$Q$3,B801=2018,I801*$Q$4,B801=2019,I801*$Q$5,B801=2020,I801*$Q$6,B801=2021,I801*$Q$7,B801=2022,I801*$Q$8)</f>
        <v>56631.627897018268</v>
      </c>
      <c r="K801" s="7">
        <f t="shared" si="26"/>
        <v>160901.62789701828</v>
      </c>
      <c r="L801">
        <f>IFERROR(VLOOKUP(G801,'LEAID Match'!$A$2:$B$168,2,FALSE),"")</f>
        <v>4680440</v>
      </c>
    </row>
    <row r="802" spans="1:12" x14ac:dyDescent="0.2">
      <c r="A802">
        <f t="shared" si="25"/>
        <v>4680440</v>
      </c>
      <c r="B802">
        <v>2018</v>
      </c>
      <c r="C802" t="s">
        <v>208</v>
      </c>
      <c r="D802" t="s">
        <v>212</v>
      </c>
      <c r="E802" t="s">
        <v>211</v>
      </c>
      <c r="F802" s="3">
        <v>938124</v>
      </c>
      <c r="G802" s="3" t="s">
        <v>180</v>
      </c>
      <c r="H802" s="4">
        <v>105380</v>
      </c>
      <c r="I802" cm="1">
        <f t="array" ref="I802">_xlfn.IFS(B802=2015,H802/$O$10,B802=2016,H802/$O$11,B802=2017,H802/$O$12,B802=2018,H802/$O$13,B802=2019,H802/$O$14,B802=2020,H802/$O$15,B802=2021,H802/$O$16,B802=2022,H802/$O$17)</f>
        <v>2.101551650288404E-3</v>
      </c>
      <c r="J802" s="6" cm="1">
        <f t="array" ref="J802">_xlfn.IFS(B802=2015,I802*$Q$1,B802=2016,I802*$Q$2,B802=2017,I802*$Q$3,B802=2018,I802*$Q$4,B802=2019,I802*$Q$5,B802=2020,I802*$Q$6,B802=2021,I802*$Q$7,B802=2022,I802*$Q$8)</f>
        <v>55177.93873360713</v>
      </c>
      <c r="K802" s="7">
        <f t="shared" si="26"/>
        <v>160557.93873360712</v>
      </c>
      <c r="L802">
        <f>IFERROR(VLOOKUP(G802,'LEAID Match'!$A$2:$B$168,2,FALSE),"")</f>
        <v>4680440</v>
      </c>
    </row>
    <row r="803" spans="1:12" x14ac:dyDescent="0.2">
      <c r="A803">
        <f t="shared" si="25"/>
        <v>4680440</v>
      </c>
      <c r="B803">
        <v>2019</v>
      </c>
      <c r="C803" t="s">
        <v>208</v>
      </c>
      <c r="D803" t="s">
        <v>212</v>
      </c>
      <c r="E803" t="s">
        <v>211</v>
      </c>
      <c r="F803" s="3">
        <v>938124</v>
      </c>
      <c r="G803" s="3" t="s">
        <v>180</v>
      </c>
      <c r="H803" s="4">
        <v>105454</v>
      </c>
      <c r="I803" cm="1">
        <f t="array" ref="I803">_xlfn.IFS(B803=2015,H803/$O$10,B803=2016,H803/$O$11,B803=2017,H803/$O$12,B803=2018,H803/$O$13,B803=2019,H803/$O$14,B803=2020,H803/$O$15,B803=2021,H803/$O$16,B803=2022,H803/$O$17)</f>
        <v>2.0652672147789576E-3</v>
      </c>
      <c r="J803" s="6" cm="1">
        <f t="array" ref="J803">_xlfn.IFS(B803=2015,I803*$Q$1,B803=2016,I803*$Q$2,B803=2017,I803*$Q$3,B803=2018,I803*$Q$4,B803=2019,I803*$Q$5,B803=2020,I803*$Q$6,B803=2021,I803*$Q$7,B803=2022,I803*$Q$8)</f>
        <v>54621.061725841813</v>
      </c>
      <c r="K803" s="7">
        <f t="shared" si="26"/>
        <v>160075.06172584181</v>
      </c>
      <c r="L803">
        <f>IFERROR(VLOOKUP(G803,'LEAID Match'!$A$2:$B$168,2,FALSE),"")</f>
        <v>4680440</v>
      </c>
    </row>
    <row r="804" spans="1:12" x14ac:dyDescent="0.2">
      <c r="A804">
        <f t="shared" si="25"/>
        <v>4680440</v>
      </c>
      <c r="B804">
        <v>2020</v>
      </c>
      <c r="C804" t="s">
        <v>208</v>
      </c>
      <c r="D804" t="s">
        <v>212</v>
      </c>
      <c r="E804" t="s">
        <v>211</v>
      </c>
      <c r="F804" s="1">
        <v>938124</v>
      </c>
      <c r="G804" s="3" t="s">
        <v>180</v>
      </c>
      <c r="H804" s="2">
        <v>106998</v>
      </c>
      <c r="I804" cm="1">
        <f t="array" ref="I804">_xlfn.IFS(B804=2015,H804/$O$10,B804=2016,H804/$O$11,B804=2017,H804/$O$12,B804=2018,H804/$O$13,B804=2019,H804/$O$14,B804=2020,H804/$O$15,B804=2021,H804/$O$16,B804=2022,H804/$O$17)</f>
        <v>2.0265185707193578E-3</v>
      </c>
      <c r="J804" s="6" cm="1">
        <f t="array" ref="J804">_xlfn.IFS(B804=2015,I804*$Q$1,B804=2016,I804*$Q$2,B804=2017,I804*$Q$3,B804=2018,I804*$Q$4,B804=2019,I804*$Q$5,B804=2020,I804*$Q$6,B804=2021,I804*$Q$7,B804=2022,I804*$Q$8)</f>
        <v>55101.508063649177</v>
      </c>
      <c r="K804" s="7">
        <f t="shared" si="26"/>
        <v>162099.50806364918</v>
      </c>
      <c r="L804">
        <f>IFERROR(VLOOKUP(G804,'LEAID Match'!$A$2:$B$168,2,FALSE),"")</f>
        <v>4680440</v>
      </c>
    </row>
    <row r="805" spans="1:12" x14ac:dyDescent="0.2">
      <c r="A805">
        <f t="shared" si="25"/>
        <v>4680440</v>
      </c>
      <c r="B805">
        <v>2021</v>
      </c>
      <c r="C805" t="s">
        <v>208</v>
      </c>
      <c r="D805" t="s">
        <v>212</v>
      </c>
      <c r="E805" t="s">
        <v>211</v>
      </c>
      <c r="F805" s="3">
        <v>938124</v>
      </c>
      <c r="G805" s="3" t="s">
        <v>180</v>
      </c>
      <c r="H805" s="4">
        <v>106501</v>
      </c>
      <c r="I805" cm="1">
        <f t="array" ref="I805">_xlfn.IFS(B805=2015,H805/$O$10,B805=2016,H805/$O$11,B805=2017,H805/$O$12,B805=2018,H805/$O$13,B805=2019,H805/$O$14,B805=2020,H805/$O$15,B805=2021,H805/$O$16,B805=2022,H805/$O$17)</f>
        <v>1.9235750750214327E-3</v>
      </c>
      <c r="J805" s="6" cm="1">
        <f t="array" ref="J805">_xlfn.IFS(B805=2015,I805*$Q$1,B805=2016,I805*$Q$2,B805=2017,I805*$Q$3,B805=2018,I805*$Q$4,B805=2019,I805*$Q$5,B805=2020,I805*$Q$6,B805=2021,I805*$Q$7,B805=2022,I805*$Q$8)</f>
        <v>53549.123488946629</v>
      </c>
      <c r="K805" s="7">
        <f t="shared" si="26"/>
        <v>160050.12348894664</v>
      </c>
      <c r="L805">
        <f>IFERROR(VLOOKUP(G805,'LEAID Match'!$A$2:$B$168,2,FALSE),"")</f>
        <v>4680440</v>
      </c>
    </row>
    <row r="806" spans="1:12" x14ac:dyDescent="0.2">
      <c r="A806">
        <f t="shared" si="25"/>
        <v>4680440</v>
      </c>
      <c r="B806">
        <v>2022</v>
      </c>
      <c r="C806" t="s">
        <v>208</v>
      </c>
      <c r="D806" t="s">
        <v>212</v>
      </c>
      <c r="E806" t="s">
        <v>211</v>
      </c>
      <c r="F806" s="3">
        <v>938124</v>
      </c>
      <c r="G806" s="3" t="s">
        <v>180</v>
      </c>
      <c r="H806" s="4">
        <v>101894</v>
      </c>
      <c r="I806" cm="1">
        <f t="array" ref="I806">_xlfn.IFS(B806=2015,H806/$O$10,B806=2016,H806/$O$11,B806=2017,H806/$O$12,B806=2018,H806/$O$13,B806=2019,H806/$O$14,B806=2020,H806/$O$15,B806=2021,H806/$O$16,B806=2022,H806/$O$17)</f>
        <v>1.7646595908020872E-3</v>
      </c>
      <c r="J806" s="6" cm="1">
        <f t="array" ref="J806">_xlfn.IFS(B806=2015,I806*$Q$1,B806=2016,I806*$Q$2,B806=2017,I806*$Q$3,B806=2018,I806*$Q$4,B806=2019,I806*$Q$5,B806=2020,I806*$Q$6,B806=2021,I806*$Q$7,B806=2022,I806*$Q$8)</f>
        <v>51983.246934229981</v>
      </c>
      <c r="K806" s="7">
        <f t="shared" si="26"/>
        <v>153877.24693422997</v>
      </c>
      <c r="L806">
        <f>IFERROR(VLOOKUP(G806,'LEAID Match'!$A$2:$B$168,2,FALSE),"")</f>
        <v>4680440</v>
      </c>
    </row>
    <row r="807" spans="1:12" x14ac:dyDescent="0.2">
      <c r="A807">
        <f t="shared" si="25"/>
        <v>4680437</v>
      </c>
      <c r="B807">
        <v>2015</v>
      </c>
      <c r="C807" t="s">
        <v>208</v>
      </c>
      <c r="D807" t="s">
        <v>212</v>
      </c>
      <c r="E807" t="s">
        <v>211</v>
      </c>
      <c r="F807" s="3">
        <v>939103</v>
      </c>
      <c r="G807" s="3" t="s">
        <v>81</v>
      </c>
      <c r="H807" s="4">
        <v>147179</v>
      </c>
      <c r="I807" cm="1">
        <f t="array" ref="I807">_xlfn.IFS(B807=2015,H807/$O$10,B807=2016,H807/$O$11,B807=2017,H807/$O$12,B807=2018,H807/$O$13,B807=2019,H807/$O$14,B807=2020,H807/$O$15,B807=2021,H807/$O$16,B807=2022,H807/$O$17)</f>
        <v>3.4425600002544864E-3</v>
      </c>
      <c r="J807" s="6" cm="1">
        <f t="array" ref="J807">_xlfn.IFS(B807=2015,I807*$Q$1,B807=2016,I807*$Q$2,B807=2017,I807*$Q$3,B807=2018,I807*$Q$4,B807=2019,I807*$Q$5,B807=2020,I807*$Q$6,B807=2021,I807*$Q$7,B807=2022,I807*$Q$8)</f>
        <v>84659.96912305837</v>
      </c>
      <c r="K807" s="7">
        <f t="shared" si="26"/>
        <v>231838.96912305837</v>
      </c>
      <c r="L807">
        <f>IFERROR(VLOOKUP(G807,'LEAID Match'!$A$2:$B$168,2,FALSE),"")</f>
        <v>4680437</v>
      </c>
    </row>
    <row r="808" spans="1:12" x14ac:dyDescent="0.2">
      <c r="A808">
        <f t="shared" si="25"/>
        <v>4680437</v>
      </c>
      <c r="B808">
        <v>2016</v>
      </c>
      <c r="C808" t="s">
        <v>208</v>
      </c>
      <c r="D808" t="s">
        <v>212</v>
      </c>
      <c r="E808" t="s">
        <v>211</v>
      </c>
      <c r="F808" s="3">
        <v>939103</v>
      </c>
      <c r="G808" s="3" t="s">
        <v>81</v>
      </c>
      <c r="H808" s="4">
        <v>151571</v>
      </c>
      <c r="I808" cm="1">
        <f t="array" ref="I808">_xlfn.IFS(B808=2015,H808/$O$10,B808=2016,H808/$O$11,B808=2017,H808/$O$12,B808=2018,H808/$O$13,B808=2019,H808/$O$14,B808=2020,H808/$O$15,B808=2021,H808/$O$16,B808=2022,H808/$O$17)</f>
        <v>3.4379426191497153E-3</v>
      </c>
      <c r="J808" s="6" cm="1">
        <f t="array" ref="J808">_xlfn.IFS(B808=2015,I808*$Q$1,B808=2016,I808*$Q$2,B808=2017,I808*$Q$3,B808=2018,I808*$Q$4,B808=2019,I808*$Q$5,B808=2020,I808*$Q$6,B808=2021,I808*$Q$7,B808=2022,I808*$Q$8)</f>
        <v>87343.699783306933</v>
      </c>
      <c r="K808" s="7">
        <f t="shared" si="26"/>
        <v>238914.69978330692</v>
      </c>
      <c r="L808">
        <f>IFERROR(VLOOKUP(G808,'LEAID Match'!$A$2:$B$168,2,FALSE),"")</f>
        <v>4680437</v>
      </c>
    </row>
    <row r="809" spans="1:12" x14ac:dyDescent="0.2">
      <c r="A809">
        <f t="shared" si="25"/>
        <v>4680437</v>
      </c>
      <c r="B809">
        <v>2017</v>
      </c>
      <c r="C809" t="s">
        <v>208</v>
      </c>
      <c r="D809" t="s">
        <v>212</v>
      </c>
      <c r="E809" t="s">
        <v>211</v>
      </c>
      <c r="F809" s="3">
        <v>939103</v>
      </c>
      <c r="G809" s="3" t="s">
        <v>81</v>
      </c>
      <c r="H809" s="4">
        <v>161348</v>
      </c>
      <c r="I809" cm="1">
        <f t="array" ref="I809">_xlfn.IFS(B809=2015,H809/$O$10,B809=2016,H809/$O$11,B809=2017,H809/$O$12,B809=2018,H809/$O$13,B809=2019,H809/$O$14,B809=2020,H809/$O$15,B809=2021,H809/$O$16,B809=2022,H809/$O$17)</f>
        <v>3.3313183442314665E-3</v>
      </c>
      <c r="J809" s="6" cm="1">
        <f t="array" ref="J809">_xlfn.IFS(B809=2015,I809*$Q$1,B809=2016,I809*$Q$2,B809=2017,I809*$Q$3,B809=2018,I809*$Q$4,B809=2019,I809*$Q$5,B809=2020,I809*$Q$6,B809=2021,I809*$Q$7,B809=2022,I809*$Q$8)</f>
        <v>87632.107969004544</v>
      </c>
      <c r="K809" s="7">
        <f t="shared" si="26"/>
        <v>248980.10796900454</v>
      </c>
      <c r="L809">
        <f>IFERROR(VLOOKUP(G809,'LEAID Match'!$A$2:$B$168,2,FALSE),"")</f>
        <v>4680437</v>
      </c>
    </row>
    <row r="810" spans="1:12" x14ac:dyDescent="0.2">
      <c r="A810">
        <f t="shared" si="25"/>
        <v>4680437</v>
      </c>
      <c r="B810">
        <v>2018</v>
      </c>
      <c r="C810" t="s">
        <v>208</v>
      </c>
      <c r="D810" t="s">
        <v>212</v>
      </c>
      <c r="E810" t="s">
        <v>211</v>
      </c>
      <c r="F810" s="3">
        <v>939103</v>
      </c>
      <c r="G810" s="3" t="s">
        <v>81</v>
      </c>
      <c r="H810" s="4">
        <v>156292</v>
      </c>
      <c r="I810" cm="1">
        <f t="array" ref="I810">_xlfn.IFS(B810=2015,H810/$O$10,B810=2016,H810/$O$11,B810=2017,H810/$O$12,B810=2018,H810/$O$13,B810=2019,H810/$O$14,B810=2020,H810/$O$15,B810=2021,H810/$O$16,B810=2022,H810/$O$17)</f>
        <v>3.1168695248327502E-3</v>
      </c>
      <c r="J810" s="6" cm="1">
        <f t="array" ref="J810">_xlfn.IFS(B810=2015,I810*$Q$1,B810=2016,I810*$Q$2,B810=2017,I810*$Q$3,B810=2018,I810*$Q$4,B810=2019,I810*$Q$5,B810=2020,I810*$Q$6,B810=2021,I810*$Q$7,B810=2022,I810*$Q$8)</f>
        <v>81835.930921929452</v>
      </c>
      <c r="K810" s="7">
        <f t="shared" si="26"/>
        <v>238127.93092192945</v>
      </c>
      <c r="L810">
        <f>IFERROR(VLOOKUP(G810,'LEAID Match'!$A$2:$B$168,2,FALSE),"")</f>
        <v>4680437</v>
      </c>
    </row>
    <row r="811" spans="1:12" x14ac:dyDescent="0.2">
      <c r="A811">
        <f t="shared" si="25"/>
        <v>4680437</v>
      </c>
      <c r="B811">
        <v>2019</v>
      </c>
      <c r="C811" t="s">
        <v>208</v>
      </c>
      <c r="D811" t="s">
        <v>212</v>
      </c>
      <c r="E811" t="s">
        <v>211</v>
      </c>
      <c r="F811" s="3">
        <v>939103</v>
      </c>
      <c r="G811" s="3" t="s">
        <v>81</v>
      </c>
      <c r="H811" s="4">
        <v>157919</v>
      </c>
      <c r="I811" cm="1">
        <f t="array" ref="I811">_xlfn.IFS(B811=2015,H811/$O$10,B811=2016,H811/$O$11,B811=2017,H811/$O$12,B811=2018,H811/$O$13,B811=2019,H811/$O$14,B811=2020,H811/$O$15,B811=2021,H811/$O$16,B811=2022,H811/$O$17)</f>
        <v>3.0927696748409565E-3</v>
      </c>
      <c r="J811" s="6" cm="1">
        <f t="array" ref="J811">_xlfn.IFS(B811=2015,I811*$Q$1,B811=2016,I811*$Q$2,B811=2017,I811*$Q$3,B811=2018,I811*$Q$4,B811=2019,I811*$Q$5,B811=2020,I811*$Q$6,B811=2021,I811*$Q$7,B811=2022,I811*$Q$8)</f>
        <v>81795.886800720837</v>
      </c>
      <c r="K811" s="7">
        <f t="shared" si="26"/>
        <v>239714.88680072082</v>
      </c>
      <c r="L811">
        <f>IFERROR(VLOOKUP(G811,'LEAID Match'!$A$2:$B$168,2,FALSE),"")</f>
        <v>4680437</v>
      </c>
    </row>
    <row r="812" spans="1:12" x14ac:dyDescent="0.2">
      <c r="A812">
        <f t="shared" si="25"/>
        <v>4680437</v>
      </c>
      <c r="B812">
        <v>2020</v>
      </c>
      <c r="C812" t="s">
        <v>208</v>
      </c>
      <c r="D812" t="s">
        <v>212</v>
      </c>
      <c r="E812" t="s">
        <v>211</v>
      </c>
      <c r="F812" s="1">
        <v>939103</v>
      </c>
      <c r="G812" s="3" t="s">
        <v>81</v>
      </c>
      <c r="H812" s="2">
        <v>162500</v>
      </c>
      <c r="I812" cm="1">
        <f t="array" ref="I812">_xlfn.IFS(B812=2015,H812/$O$10,B812=2016,H812/$O$11,B812=2017,H812/$O$12,B812=2018,H812/$O$13,B812=2019,H812/$O$14,B812=2020,H812/$O$15,B812=2021,H812/$O$16,B812=2022,H812/$O$17)</f>
        <v>3.0777142352370664E-3</v>
      </c>
      <c r="J812" s="6" cm="1">
        <f t="array" ref="J812">_xlfn.IFS(B812=2015,I812*$Q$1,B812=2016,I812*$Q$2,B812=2017,I812*$Q$3,B812=2018,I812*$Q$4,B812=2019,I812*$Q$5,B812=2020,I812*$Q$6,B812=2021,I812*$Q$7,B812=2022,I812*$Q$8)</f>
        <v>83683.76100808417</v>
      </c>
      <c r="K812" s="7">
        <f t="shared" si="26"/>
        <v>246183.76100808417</v>
      </c>
      <c r="L812">
        <f>IFERROR(VLOOKUP(G812,'LEAID Match'!$A$2:$B$168,2,FALSE),"")</f>
        <v>4680437</v>
      </c>
    </row>
    <row r="813" spans="1:12" x14ac:dyDescent="0.2">
      <c r="A813">
        <f t="shared" si="25"/>
        <v>4680437</v>
      </c>
      <c r="B813">
        <v>2021</v>
      </c>
      <c r="C813" t="s">
        <v>208</v>
      </c>
      <c r="D813" t="s">
        <v>212</v>
      </c>
      <c r="E813" t="s">
        <v>211</v>
      </c>
      <c r="F813" s="3">
        <v>939103</v>
      </c>
      <c r="G813" s="3" t="s">
        <v>81</v>
      </c>
      <c r="H813" s="4">
        <v>162565</v>
      </c>
      <c r="I813" cm="1">
        <f t="array" ref="I813">_xlfn.IFS(B813=2015,H813/$O$10,B813=2016,H813/$O$11,B813=2017,H813/$O$12,B813=2018,H813/$O$13,B813=2019,H813/$O$14,B813=2020,H813/$O$15,B813=2021,H813/$O$16,B813=2022,H813/$O$17)</f>
        <v>2.936178834666897E-3</v>
      </c>
      <c r="J813" s="6" cm="1">
        <f t="array" ref="J813">_xlfn.IFS(B813=2015,I813*$Q$1,B813=2016,I813*$Q$2,B813=2017,I813*$Q$3,B813=2018,I813*$Q$4,B813=2019,I813*$Q$5,B813=2020,I813*$Q$6,B813=2021,I813*$Q$7,B813=2022,I813*$Q$8)</f>
        <v>81738.324147009029</v>
      </c>
      <c r="K813" s="7">
        <f t="shared" si="26"/>
        <v>244303.32414700903</v>
      </c>
      <c r="L813">
        <f>IFERROR(VLOOKUP(G813,'LEAID Match'!$A$2:$B$168,2,FALSE),"")</f>
        <v>4680437</v>
      </c>
    </row>
    <row r="814" spans="1:12" x14ac:dyDescent="0.2">
      <c r="A814">
        <f t="shared" si="25"/>
        <v>4680437</v>
      </c>
      <c r="B814">
        <v>2022</v>
      </c>
      <c r="C814" t="s">
        <v>208</v>
      </c>
      <c r="D814" t="s">
        <v>212</v>
      </c>
      <c r="E814" t="s">
        <v>211</v>
      </c>
      <c r="F814" s="3">
        <v>939103</v>
      </c>
      <c r="G814" s="3" t="s">
        <v>81</v>
      </c>
      <c r="H814" s="4">
        <v>178391</v>
      </c>
      <c r="I814" cm="1">
        <f t="array" ref="I814">_xlfn.IFS(B814=2015,H814/$O$10,B814=2016,H814/$O$11,B814=2017,H814/$O$12,B814=2018,H814/$O$13,B814=2019,H814/$O$14,B814=2020,H814/$O$15,B814=2021,H814/$O$16,B814=2022,H814/$O$17)</f>
        <v>3.0894791554240205E-3</v>
      </c>
      <c r="J814" s="6" cm="1">
        <f t="array" ref="J814">_xlfn.IFS(B814=2015,I814*$Q$1,B814=2016,I814*$Q$2,B814=2017,I814*$Q$3,B814=2018,I814*$Q$4,B814=2019,I814*$Q$5,B814=2020,I814*$Q$6,B814=2021,I814*$Q$7,B814=2022,I814*$Q$8)</f>
        <v>91009.710128606399</v>
      </c>
      <c r="K814" s="7">
        <f t="shared" si="26"/>
        <v>269400.71012860641</v>
      </c>
      <c r="L814">
        <f>IFERROR(VLOOKUP(G814,'LEAID Match'!$A$2:$B$168,2,FALSE),"")</f>
        <v>4680437</v>
      </c>
    </row>
    <row r="815" spans="1:12" x14ac:dyDescent="0.2">
      <c r="A815">
        <f t="shared" si="25"/>
        <v>4677460</v>
      </c>
      <c r="B815">
        <v>2015</v>
      </c>
      <c r="C815" t="s">
        <v>208</v>
      </c>
      <c r="D815" t="s">
        <v>212</v>
      </c>
      <c r="E815" t="s">
        <v>211</v>
      </c>
      <c r="F815" s="3">
        <v>940102</v>
      </c>
      <c r="G815" s="3" t="s">
        <v>153</v>
      </c>
      <c r="H815" s="4">
        <v>93556</v>
      </c>
      <c r="I815" cm="1">
        <f t="array" ref="I815">_xlfn.IFS(B815=2015,H815/$O$10,B815=2016,H815/$O$11,B815=2017,H815/$O$12,B815=2018,H815/$O$13,B815=2019,H815/$O$14,B815=2020,H815/$O$15,B815=2021,H815/$O$16,B815=2022,H815/$O$17)</f>
        <v>2.1883022943749364E-3</v>
      </c>
      <c r="J815" s="6" cm="1">
        <f t="array" ref="J815">_xlfn.IFS(B815=2015,I815*$Q$1,B815=2016,I815*$Q$2,B815=2017,I815*$Q$3,B815=2018,I815*$Q$4,B815=2019,I815*$Q$5,B815=2020,I815*$Q$6,B815=2021,I815*$Q$7,B815=2022,I815*$Q$8)</f>
        <v>53815.069210124064</v>
      </c>
      <c r="K815" s="7">
        <f t="shared" si="26"/>
        <v>147371.06921012406</v>
      </c>
      <c r="L815">
        <f>IFERROR(VLOOKUP(G815,'LEAID Match'!$A$2:$B$168,2,FALSE),"")</f>
        <v>4677460</v>
      </c>
    </row>
    <row r="816" spans="1:12" x14ac:dyDescent="0.2">
      <c r="A816">
        <f t="shared" si="25"/>
        <v>4677460</v>
      </c>
      <c r="B816">
        <v>2016</v>
      </c>
      <c r="C816" t="s">
        <v>208</v>
      </c>
      <c r="D816" t="s">
        <v>212</v>
      </c>
      <c r="E816" t="s">
        <v>211</v>
      </c>
      <c r="F816" s="3">
        <v>940102</v>
      </c>
      <c r="G816" s="3" t="s">
        <v>153</v>
      </c>
      <c r="H816" s="4">
        <v>99853</v>
      </c>
      <c r="I816" cm="1">
        <f t="array" ref="I816">_xlfn.IFS(B816=2015,H816/$O$10,B816=2016,H816/$O$11,B816=2017,H816/$O$12,B816=2018,H816/$O$13,B816=2019,H816/$O$14,B816=2020,H816/$O$15,B816=2021,H816/$O$16,B816=2022,H816/$O$17)</f>
        <v>2.2648718049624039E-3</v>
      </c>
      <c r="J816" s="6" cm="1">
        <f t="array" ref="J816">_xlfn.IFS(B816=2015,I816*$Q$1,B816=2016,I816*$Q$2,B816=2017,I816*$Q$3,B816=2018,I816*$Q$4,B816=2019,I816*$Q$5,B816=2020,I816*$Q$6,B816=2021,I816*$Q$7,B816=2022,I816*$Q$8)</f>
        <v>57540.891426872869</v>
      </c>
      <c r="K816" s="7">
        <f t="shared" si="26"/>
        <v>157393.89142687287</v>
      </c>
      <c r="L816">
        <f>IFERROR(VLOOKUP(G816,'LEAID Match'!$A$2:$B$168,2,FALSE),"")</f>
        <v>4677460</v>
      </c>
    </row>
    <row r="817" spans="1:12" x14ac:dyDescent="0.2">
      <c r="A817">
        <f t="shared" si="25"/>
        <v>4677460</v>
      </c>
      <c r="B817">
        <v>2017</v>
      </c>
      <c r="C817" t="s">
        <v>208</v>
      </c>
      <c r="D817" t="s">
        <v>212</v>
      </c>
      <c r="E817" t="s">
        <v>211</v>
      </c>
      <c r="F817" s="3">
        <v>940102</v>
      </c>
      <c r="G817" s="3" t="s">
        <v>153</v>
      </c>
      <c r="H817" s="4">
        <v>115683</v>
      </c>
      <c r="I817" cm="1">
        <f t="array" ref="I817">_xlfn.IFS(B817=2015,H817/$O$10,B817=2016,H817/$O$11,B817=2017,H817/$O$12,B817=2018,H817/$O$13,B817=2019,H817/$O$14,B817=2020,H817/$O$15,B817=2021,H817/$O$16,B817=2022,H817/$O$17)</f>
        <v>2.3884826586987673E-3</v>
      </c>
      <c r="J817" s="6" cm="1">
        <f t="array" ref="J817">_xlfn.IFS(B817=2015,I817*$Q$1,B817=2016,I817*$Q$2,B817=2017,I817*$Q$3,B817=2018,I817*$Q$4,B817=2019,I817*$Q$5,B817=2020,I817*$Q$6,B817=2021,I817*$Q$7,B817=2022,I817*$Q$8)</f>
        <v>62830.311786810817</v>
      </c>
      <c r="K817" s="7">
        <f t="shared" si="26"/>
        <v>178513.31178681081</v>
      </c>
      <c r="L817">
        <f>IFERROR(VLOOKUP(G817,'LEAID Match'!$A$2:$B$168,2,FALSE),"")</f>
        <v>4677460</v>
      </c>
    </row>
    <row r="818" spans="1:12" x14ac:dyDescent="0.2">
      <c r="A818">
        <f t="shared" si="25"/>
        <v>4677460</v>
      </c>
      <c r="B818">
        <v>2018</v>
      </c>
      <c r="C818" t="s">
        <v>208</v>
      </c>
      <c r="D818" t="s">
        <v>212</v>
      </c>
      <c r="E818" t="s">
        <v>211</v>
      </c>
      <c r="F818" s="3">
        <v>940102</v>
      </c>
      <c r="G818" s="3" t="s">
        <v>153</v>
      </c>
      <c r="H818" s="4">
        <v>113672</v>
      </c>
      <c r="I818" cm="1">
        <f t="array" ref="I818">_xlfn.IFS(B818=2015,H818/$O$10,B818=2016,H818/$O$11,B818=2017,H818/$O$12,B818=2018,H818/$O$13,B818=2019,H818/$O$14,B818=2020,H818/$O$15,B818=2021,H818/$O$16,B818=2022,H818/$O$17)</f>
        <v>2.2669157258643335E-3</v>
      </c>
      <c r="J818" s="6" cm="1">
        <f t="array" ref="J818">_xlfn.IFS(B818=2015,I818*$Q$1,B818=2016,I818*$Q$2,B818=2017,I818*$Q$3,B818=2018,I818*$Q$4,B818=2019,I818*$Q$5,B818=2020,I818*$Q$6,B818=2021,I818*$Q$7,B818=2022,I818*$Q$8)</f>
        <v>59519.706317390301</v>
      </c>
      <c r="K818" s="7">
        <f t="shared" si="26"/>
        <v>173191.70631739032</v>
      </c>
      <c r="L818">
        <f>IFERROR(VLOOKUP(G818,'LEAID Match'!$A$2:$B$168,2,FALSE),"")</f>
        <v>4677460</v>
      </c>
    </row>
    <row r="819" spans="1:12" x14ac:dyDescent="0.2">
      <c r="A819">
        <f t="shared" si="25"/>
        <v>4677460</v>
      </c>
      <c r="B819">
        <v>2019</v>
      </c>
      <c r="C819" t="s">
        <v>208</v>
      </c>
      <c r="D819" t="s">
        <v>212</v>
      </c>
      <c r="E819" t="s">
        <v>211</v>
      </c>
      <c r="F819" s="3">
        <v>940102</v>
      </c>
      <c r="G819" s="3" t="s">
        <v>153</v>
      </c>
      <c r="H819" s="4">
        <v>113632</v>
      </c>
      <c r="I819" cm="1">
        <f t="array" ref="I819">_xlfn.IFS(B819=2015,H819/$O$10,B819=2016,H819/$O$11,B819=2017,H819/$O$12,B819=2018,H819/$O$13,B819=2019,H819/$O$14,B819=2020,H819/$O$15,B819=2021,H819/$O$16,B819=2022,H819/$O$17)</f>
        <v>2.2254295157107602E-3</v>
      </c>
      <c r="J819" s="6" cm="1">
        <f t="array" ref="J819">_xlfn.IFS(B819=2015,I819*$Q$1,B819=2016,I819*$Q$2,B819=2017,I819*$Q$3,B819=2018,I819*$Q$4,B819=2019,I819*$Q$5,B819=2020,I819*$Q$6,B819=2021,I819*$Q$7,B819=2022,I819*$Q$8)</f>
        <v>58856.946972432124</v>
      </c>
      <c r="K819" s="7">
        <f t="shared" si="26"/>
        <v>172488.94697243214</v>
      </c>
      <c r="L819">
        <f>IFERROR(VLOOKUP(G819,'LEAID Match'!$A$2:$B$168,2,FALSE),"")</f>
        <v>4677460</v>
      </c>
    </row>
    <row r="820" spans="1:12" x14ac:dyDescent="0.2">
      <c r="A820">
        <f t="shared" si="25"/>
        <v>4677460</v>
      </c>
      <c r="B820">
        <v>2020</v>
      </c>
      <c r="C820" t="s">
        <v>208</v>
      </c>
      <c r="D820" t="s">
        <v>212</v>
      </c>
      <c r="E820" t="s">
        <v>211</v>
      </c>
      <c r="F820" s="1">
        <v>940102</v>
      </c>
      <c r="G820" s="3" t="s">
        <v>153</v>
      </c>
      <c r="H820" s="2">
        <v>111351</v>
      </c>
      <c r="I820" cm="1">
        <f t="array" ref="I820">_xlfn.IFS(B820=2015,H820/$O$10,B820=2016,H820/$O$11,B820=2017,H820/$O$12,B820=2018,H820/$O$13,B820=2019,H820/$O$14,B820=2020,H820/$O$15,B820=2021,H820/$O$16,B820=2022,H820/$O$17)</f>
        <v>2.1089634326638927E-3</v>
      </c>
      <c r="J820" s="6" cm="1">
        <f t="array" ref="J820">_xlfn.IFS(B820=2015,I820*$Q$1,B820=2016,I820*$Q$2,B820=2017,I820*$Q$3,B820=2018,I820*$Q$4,B820=2019,I820*$Q$5,B820=2020,I820*$Q$6,B820=2021,I820*$Q$7,B820=2022,I820*$Q$8)</f>
        <v>57343.202904684185</v>
      </c>
      <c r="K820" s="7">
        <f t="shared" si="26"/>
        <v>168694.20290468418</v>
      </c>
      <c r="L820">
        <f>IFERROR(VLOOKUP(G820,'LEAID Match'!$A$2:$B$168,2,FALSE),"")</f>
        <v>4677460</v>
      </c>
    </row>
    <row r="821" spans="1:12" x14ac:dyDescent="0.2">
      <c r="A821">
        <f t="shared" si="25"/>
        <v>4677460</v>
      </c>
      <c r="B821">
        <v>2021</v>
      </c>
      <c r="C821" t="s">
        <v>208</v>
      </c>
      <c r="D821" t="s">
        <v>212</v>
      </c>
      <c r="E821" t="s">
        <v>211</v>
      </c>
      <c r="F821" s="3">
        <v>940102</v>
      </c>
      <c r="G821" s="3" t="s">
        <v>153</v>
      </c>
      <c r="H821" s="4">
        <v>121502</v>
      </c>
      <c r="I821" cm="1">
        <f t="array" ref="I821">_xlfn.IFS(B821=2015,H821/$O$10,B821=2016,H821/$O$11,B821=2017,H821/$O$12,B821=2018,H821/$O$13,B821=2019,H821/$O$14,B821=2020,H821/$O$15,B821=2021,H821/$O$16,B821=2022,H821/$O$17)</f>
        <v>2.194516659611216E-3</v>
      </c>
      <c r="J821" s="6" cm="1">
        <f t="array" ref="J821">_xlfn.IFS(B821=2015,I821*$Q$1,B821=2016,I821*$Q$2,B821=2017,I821*$Q$3,B821=2018,I821*$Q$4,B821=2019,I821*$Q$5,B821=2020,I821*$Q$6,B821=2021,I821*$Q$7,B821=2022,I821*$Q$8)</f>
        <v>61091.685544304681</v>
      </c>
      <c r="K821" s="7">
        <f t="shared" si="26"/>
        <v>182593.68554430467</v>
      </c>
      <c r="L821">
        <f>IFERROR(VLOOKUP(G821,'LEAID Match'!$A$2:$B$168,2,FALSE),"")</f>
        <v>4677460</v>
      </c>
    </row>
    <row r="822" spans="1:12" x14ac:dyDescent="0.2">
      <c r="A822">
        <f t="shared" si="25"/>
        <v>4677460</v>
      </c>
      <c r="B822">
        <v>2022</v>
      </c>
      <c r="C822" t="s">
        <v>208</v>
      </c>
      <c r="D822" t="s">
        <v>212</v>
      </c>
      <c r="E822" t="s">
        <v>211</v>
      </c>
      <c r="F822" s="3">
        <v>940102</v>
      </c>
      <c r="G822" s="3" t="s">
        <v>153</v>
      </c>
      <c r="H822" s="4">
        <v>121749</v>
      </c>
      <c r="I822" cm="1">
        <f t="array" ref="I822">_xlfn.IFS(B822=2015,H822/$O$10,B822=2016,H822/$O$11,B822=2017,H822/$O$12,B822=2018,H822/$O$13,B822=2019,H822/$O$14,B822=2020,H822/$O$15,B822=2021,H822/$O$16,B822=2022,H822/$O$17)</f>
        <v>2.1085200357289272E-3</v>
      </c>
      <c r="J822" s="6" cm="1">
        <f t="array" ref="J822">_xlfn.IFS(B822=2015,I822*$Q$1,B822=2016,I822*$Q$2,B822=2017,I822*$Q$3,B822=2018,I822*$Q$4,B822=2019,I822*$Q$5,B822=2020,I822*$Q$6,B822=2021,I822*$Q$7,B822=2022,I822*$Q$8)</f>
        <v>62112.669352420809</v>
      </c>
      <c r="K822" s="7">
        <f t="shared" si="26"/>
        <v>183861.66935242081</v>
      </c>
      <c r="L822">
        <f>IFERROR(VLOOKUP(G822,'LEAID Match'!$A$2:$B$168,2,FALSE),"")</f>
        <v>4677460</v>
      </c>
    </row>
    <row r="823" spans="1:12" x14ac:dyDescent="0.2">
      <c r="A823">
        <f t="shared" si="25"/>
        <v>4619580</v>
      </c>
      <c r="B823">
        <v>2015</v>
      </c>
      <c r="C823" t="s">
        <v>208</v>
      </c>
      <c r="D823" t="s">
        <v>212</v>
      </c>
      <c r="E823" t="s">
        <v>211</v>
      </c>
      <c r="F823" s="3">
        <v>941100</v>
      </c>
      <c r="G823" s="3" t="s">
        <v>80</v>
      </c>
      <c r="H823" s="4">
        <v>64633</v>
      </c>
      <c r="I823" cm="1">
        <f t="array" ref="I823">_xlfn.IFS(B823=2015,H823/$O$10,B823=2016,H823/$O$11,B823=2017,H823/$O$12,B823=2018,H823/$O$13,B823=2019,H823/$O$14,B823=2020,H823/$O$15,B823=2021,H823/$O$16,B823=2022,H823/$O$17)</f>
        <v>1.511784836807209E-3</v>
      </c>
      <c r="J823" s="6" cm="1">
        <f t="array" ref="J823">_xlfn.IFS(B823=2015,I823*$Q$1,B823=2016,I823*$Q$2,B823=2017,I823*$Q$3,B823=2018,I823*$Q$4,B823=2019,I823*$Q$5,B823=2020,I823*$Q$6,B823=2021,I823*$Q$7,B823=2022,I823*$Q$8)</f>
        <v>37178.047033412586</v>
      </c>
      <c r="K823" s="7">
        <f t="shared" si="26"/>
        <v>101811.04703341259</v>
      </c>
      <c r="L823">
        <f>IFERROR(VLOOKUP(G823,'LEAID Match'!$A$2:$B$168,2,FALSE),"")</f>
        <v>4619580</v>
      </c>
    </row>
    <row r="824" spans="1:12" x14ac:dyDescent="0.2">
      <c r="A824">
        <f t="shared" si="25"/>
        <v>4619580</v>
      </c>
      <c r="B824">
        <v>2016</v>
      </c>
      <c r="C824" t="s">
        <v>208</v>
      </c>
      <c r="D824" t="s">
        <v>212</v>
      </c>
      <c r="E824" t="s">
        <v>211</v>
      </c>
      <c r="F824" s="3">
        <v>941100</v>
      </c>
      <c r="G824" s="3" t="s">
        <v>80</v>
      </c>
      <c r="H824" s="4">
        <v>68052</v>
      </c>
      <c r="I824" cm="1">
        <f t="array" ref="I824">_xlfn.IFS(B824=2015,H824/$O$10,B824=2016,H824/$O$11,B824=2017,H824/$O$12,B824=2018,H824/$O$13,B824=2019,H824/$O$14,B824=2020,H824/$O$15,B824=2021,H824/$O$16,B824=2022,H824/$O$17)</f>
        <v>1.5435595933151883E-3</v>
      </c>
      <c r="J824" s="6" cm="1">
        <f t="array" ref="J824">_xlfn.IFS(B824=2015,I824*$Q$1,B824=2016,I824*$Q$2,B824=2017,I824*$Q$3,B824=2018,I824*$Q$4,B824=2019,I824*$Q$5,B824=2020,I824*$Q$6,B824=2021,I824*$Q$7,B824=2022,I824*$Q$8)</f>
        <v>39215.374033644977</v>
      </c>
      <c r="K824" s="7">
        <f t="shared" si="26"/>
        <v>107267.37403364497</v>
      </c>
      <c r="L824">
        <f>IFERROR(VLOOKUP(G824,'LEAID Match'!$A$2:$B$168,2,FALSE),"")</f>
        <v>4619580</v>
      </c>
    </row>
    <row r="825" spans="1:12" x14ac:dyDescent="0.2">
      <c r="A825">
        <f t="shared" si="25"/>
        <v>4619580</v>
      </c>
      <c r="B825">
        <v>2017</v>
      </c>
      <c r="C825" t="s">
        <v>208</v>
      </c>
      <c r="D825" t="s">
        <v>212</v>
      </c>
      <c r="E825" t="s">
        <v>211</v>
      </c>
      <c r="F825" s="3">
        <v>941100</v>
      </c>
      <c r="G825" s="3" t="s">
        <v>80</v>
      </c>
      <c r="H825" s="4">
        <v>74790</v>
      </c>
      <c r="I825" cm="1">
        <f t="array" ref="I825">_xlfn.IFS(B825=2015,H825/$O$10,B825=2016,H825/$O$11,B825=2017,H825/$O$12,B825=2018,H825/$O$13,B825=2019,H825/$O$14,B825=2020,H825/$O$15,B825=2021,H825/$O$16,B825=2022,H825/$O$17)</f>
        <v>1.5441734571551638E-3</v>
      </c>
      <c r="J825" s="6" cm="1">
        <f t="array" ref="J825">_xlfn.IFS(B825=2015,I825*$Q$1,B825=2016,I825*$Q$2,B825=2017,I825*$Q$3,B825=2018,I825*$Q$4,B825=2019,I825*$Q$5,B825=2020,I825*$Q$6,B825=2021,I825*$Q$7,B825=2022,I825*$Q$8)</f>
        <v>40620.307379092701</v>
      </c>
      <c r="K825" s="7">
        <f t="shared" si="26"/>
        <v>115410.3073790927</v>
      </c>
      <c r="L825">
        <f>IFERROR(VLOOKUP(G825,'LEAID Match'!$A$2:$B$168,2,FALSE),"")</f>
        <v>4619580</v>
      </c>
    </row>
    <row r="826" spans="1:12" x14ac:dyDescent="0.2">
      <c r="A826">
        <f t="shared" si="25"/>
        <v>4619580</v>
      </c>
      <c r="B826">
        <v>2018</v>
      </c>
      <c r="C826" t="s">
        <v>208</v>
      </c>
      <c r="D826" t="s">
        <v>212</v>
      </c>
      <c r="E826" t="s">
        <v>211</v>
      </c>
      <c r="F826" s="3">
        <v>941100</v>
      </c>
      <c r="G826" s="3" t="s">
        <v>80</v>
      </c>
      <c r="H826" s="4">
        <v>76320</v>
      </c>
      <c r="I826" cm="1">
        <f t="array" ref="I826">_xlfn.IFS(B826=2015,H826/$O$10,B826=2016,H826/$O$11,B826=2017,H826/$O$12,B826=2018,H826/$O$13,B826=2019,H826/$O$14,B826=2020,H826/$O$15,B826=2021,H826/$O$16,B826=2022,H826/$O$17)</f>
        <v>1.5220195668059497E-3</v>
      </c>
      <c r="J826" s="6" cm="1">
        <f t="array" ref="J826">_xlfn.IFS(B826=2015,I826*$Q$1,B826=2016,I826*$Q$2,B826=2017,I826*$Q$3,B826=2018,I826*$Q$4,B826=2019,I826*$Q$5,B826=2020,I826*$Q$6,B826=2021,I826*$Q$7,B826=2022,I826*$Q$8)</f>
        <v>39961.855040319759</v>
      </c>
      <c r="K826" s="7">
        <f t="shared" si="26"/>
        <v>116281.85504031976</v>
      </c>
      <c r="L826">
        <f>IFERROR(VLOOKUP(G826,'LEAID Match'!$A$2:$B$168,2,FALSE),"")</f>
        <v>4619580</v>
      </c>
    </row>
    <row r="827" spans="1:12" x14ac:dyDescent="0.2">
      <c r="A827">
        <f t="shared" si="25"/>
        <v>4619580</v>
      </c>
      <c r="B827">
        <v>2019</v>
      </c>
      <c r="C827" t="s">
        <v>208</v>
      </c>
      <c r="D827" t="s">
        <v>212</v>
      </c>
      <c r="E827" t="s">
        <v>211</v>
      </c>
      <c r="F827" s="3">
        <v>941100</v>
      </c>
      <c r="G827" s="3" t="s">
        <v>80</v>
      </c>
      <c r="H827" s="4">
        <v>77934</v>
      </c>
      <c r="I827" cm="1">
        <f t="array" ref="I827">_xlfn.IFS(B827=2015,H827/$O$10,B827=2016,H827/$O$11,B827=2017,H827/$O$12,B827=2018,H827/$O$13,B827=2019,H827/$O$14,B827=2020,H827/$O$15,B827=2021,H827/$O$16,B827=2022,H827/$O$17)</f>
        <v>1.526300900075704E-3</v>
      </c>
      <c r="J827" s="6" cm="1">
        <f t="array" ref="J827">_xlfn.IFS(B827=2015,I827*$Q$1,B827=2016,I827*$Q$2,B827=2017,I827*$Q$3,B827=2018,I827*$Q$4,B827=2019,I827*$Q$5,B827=2020,I827*$Q$6,B827=2021,I827*$Q$7,B827=2022,I827*$Q$8)</f>
        <v>40366.774371211679</v>
      </c>
      <c r="K827" s="7">
        <f t="shared" si="26"/>
        <v>118300.77437121168</v>
      </c>
      <c r="L827">
        <f>IFERROR(VLOOKUP(G827,'LEAID Match'!$A$2:$B$168,2,FALSE),"")</f>
        <v>4619580</v>
      </c>
    </row>
    <row r="828" spans="1:12" x14ac:dyDescent="0.2">
      <c r="A828">
        <f t="shared" si="25"/>
        <v>4619580</v>
      </c>
      <c r="B828">
        <v>2020</v>
      </c>
      <c r="C828" t="s">
        <v>208</v>
      </c>
      <c r="D828" t="s">
        <v>212</v>
      </c>
      <c r="E828" t="s">
        <v>211</v>
      </c>
      <c r="F828" s="1">
        <v>941100</v>
      </c>
      <c r="G828" s="3" t="s">
        <v>80</v>
      </c>
      <c r="H828" s="2">
        <v>80523</v>
      </c>
      <c r="I828" cm="1">
        <f t="array" ref="I828">_xlfn.IFS(B828=2015,H828/$O$10,B828=2016,H828/$O$11,B828=2017,H828/$O$12,B828=2018,H828/$O$13,B828=2019,H828/$O$14,B828=2020,H828/$O$15,B828=2021,H828/$O$16,B828=2022,H828/$O$17)</f>
        <v>1.5250878976245804E-3</v>
      </c>
      <c r="J828" s="6" cm="1">
        <f t="array" ref="J828">_xlfn.IFS(B828=2015,I828*$Q$1,B828=2016,I828*$Q$2,B828=2017,I828*$Q$3,B828=2018,I828*$Q$4,B828=2019,I828*$Q$5,B828=2020,I828*$Q$6,B828=2021,I828*$Q$7,B828=2022,I828*$Q$8)</f>
        <v>41467.492231716693</v>
      </c>
      <c r="K828" s="7">
        <f t="shared" si="26"/>
        <v>121990.49223171669</v>
      </c>
      <c r="L828">
        <f>IFERROR(VLOOKUP(G828,'LEAID Match'!$A$2:$B$168,2,FALSE),"")</f>
        <v>4619580</v>
      </c>
    </row>
    <row r="829" spans="1:12" x14ac:dyDescent="0.2">
      <c r="A829">
        <f t="shared" si="25"/>
        <v>4619580</v>
      </c>
      <c r="B829">
        <v>2021</v>
      </c>
      <c r="C829" t="s">
        <v>208</v>
      </c>
      <c r="D829" t="s">
        <v>212</v>
      </c>
      <c r="E829" t="s">
        <v>211</v>
      </c>
      <c r="F829" s="3">
        <v>941100</v>
      </c>
      <c r="G829" s="3" t="s">
        <v>80</v>
      </c>
      <c r="H829" s="4">
        <v>80948</v>
      </c>
      <c r="I829" cm="1">
        <f t="array" ref="I829">_xlfn.IFS(B829=2015,H829/$O$10,B829=2016,H829/$O$11,B829=2017,H829/$O$12,B829=2018,H829/$O$13,B829=2019,H829/$O$14,B829=2020,H829/$O$15,B829=2021,H829/$O$16,B829=2022,H829/$O$17)</f>
        <v>1.4620478227700673E-3</v>
      </c>
      <c r="J829" s="6" cm="1">
        <f t="array" ref="J829">_xlfn.IFS(B829=2015,I829*$Q$1,B829=2016,I829*$Q$2,B829=2017,I829*$Q$3,B829=2018,I829*$Q$4,B829=2019,I829*$Q$5,B829=2020,I829*$Q$6,B829=2021,I829*$Q$7,B829=2022,I829*$Q$8)</f>
        <v>40700.97415219812</v>
      </c>
      <c r="K829" s="7">
        <f t="shared" si="26"/>
        <v>121648.97415219812</v>
      </c>
      <c r="L829">
        <f>IFERROR(VLOOKUP(G829,'LEAID Match'!$A$2:$B$168,2,FALSE),"")</f>
        <v>4619580</v>
      </c>
    </row>
    <row r="830" spans="1:12" x14ac:dyDescent="0.2">
      <c r="A830">
        <f t="shared" si="25"/>
        <v>4619580</v>
      </c>
      <c r="B830">
        <v>2022</v>
      </c>
      <c r="C830" t="s">
        <v>208</v>
      </c>
      <c r="D830" t="s">
        <v>212</v>
      </c>
      <c r="E830" t="s">
        <v>211</v>
      </c>
      <c r="F830" s="3">
        <v>941100</v>
      </c>
      <c r="G830" s="3" t="s">
        <v>80</v>
      </c>
      <c r="H830" s="4">
        <v>85817</v>
      </c>
      <c r="I830" cm="1">
        <f t="array" ref="I830">_xlfn.IFS(B830=2015,H830/$O$10,B830=2016,H830/$O$11,B830=2017,H830/$O$12,B830=2018,H830/$O$13,B830=2019,H830/$O$14,B830=2020,H830/$O$15,B830=2021,H830/$O$16,B830=2022,H830/$O$17)</f>
        <v>1.4862287485412559E-3</v>
      </c>
      <c r="J830" s="6" cm="1">
        <f t="array" ref="J830">_xlfn.IFS(B830=2015,I830*$Q$1,B830=2016,I830*$Q$2,B830=2017,I830*$Q$3,B830=2018,I830*$Q$4,B830=2019,I830*$Q$5,B830=2020,I830*$Q$6,B830=2021,I830*$Q$7,B830=2022,I830*$Q$8)</f>
        <v>43781.246218175897</v>
      </c>
      <c r="K830" s="7">
        <f t="shared" si="26"/>
        <v>129598.24621817589</v>
      </c>
      <c r="L830">
        <f>IFERROR(VLOOKUP(G830,'LEAID Match'!$A$2:$B$168,2,FALSE),"")</f>
        <v>4619580</v>
      </c>
    </row>
    <row r="831" spans="1:12" x14ac:dyDescent="0.2">
      <c r="A831">
        <f t="shared" si="25"/>
        <v>4603720</v>
      </c>
      <c r="B831">
        <v>2015</v>
      </c>
      <c r="C831" t="s">
        <v>208</v>
      </c>
      <c r="D831" t="s">
        <v>212</v>
      </c>
      <c r="E831" t="s">
        <v>211</v>
      </c>
      <c r="F831" s="3">
        <v>942100</v>
      </c>
      <c r="G831" s="3" t="s">
        <v>4</v>
      </c>
      <c r="H831" s="4">
        <v>94527</v>
      </c>
      <c r="I831" cm="1">
        <f t="array" ref="I831">_xlfn.IFS(B831=2015,H831/$O$10,B831=2016,H831/$O$11,B831=2017,H831/$O$12,B831=2018,H831/$O$13,B831=2019,H831/$O$14,B831=2020,H831/$O$15,B831=2021,H831/$O$16,B831=2022,H831/$O$17)</f>
        <v>2.2110142693186926E-3</v>
      </c>
      <c r="J831" s="6" cm="1">
        <f t="array" ref="J831">_xlfn.IFS(B831=2015,I831*$Q$1,B831=2016,I831*$Q$2,B831=2017,I831*$Q$3,B831=2018,I831*$Q$4,B831=2019,I831*$Q$5,B831=2020,I831*$Q$6,B831=2021,I831*$Q$7,B831=2022,I831*$Q$8)</f>
        <v>54373.605618297035</v>
      </c>
      <c r="K831" s="7">
        <f t="shared" si="26"/>
        <v>148900.60561829704</v>
      </c>
      <c r="L831">
        <f>IFERROR(VLOOKUP(G831,'LEAID Match'!$A$2:$B$168,2,FALSE),"")</f>
        <v>4603720</v>
      </c>
    </row>
    <row r="832" spans="1:12" x14ac:dyDescent="0.2">
      <c r="A832">
        <f t="shared" si="25"/>
        <v>4603720</v>
      </c>
      <c r="B832">
        <v>2016</v>
      </c>
      <c r="C832" t="s">
        <v>208</v>
      </c>
      <c r="D832" t="s">
        <v>212</v>
      </c>
      <c r="E832" t="s">
        <v>211</v>
      </c>
      <c r="F832" s="3">
        <v>942100</v>
      </c>
      <c r="G832" s="3" t="s">
        <v>4</v>
      </c>
      <c r="H832" s="4">
        <v>99348</v>
      </c>
      <c r="I832" cm="1">
        <f t="array" ref="I832">_xlfn.IFS(B832=2015,H832/$O$10,B832=2016,H832/$O$11,B832=2017,H832/$O$12,B832=2018,H832/$O$13,B832=2019,H832/$O$14,B832=2020,H832/$O$15,B832=2021,H832/$O$16,B832=2022,H832/$O$17)</f>
        <v>2.253417364319599E-3</v>
      </c>
      <c r="J832" s="6" cm="1">
        <f t="array" ref="J832">_xlfn.IFS(B832=2015,I832*$Q$1,B832=2016,I832*$Q$2,B832=2017,I832*$Q$3,B832=2018,I832*$Q$4,B832=2019,I832*$Q$5,B832=2020,I832*$Q$6,B832=2021,I832*$Q$7,B832=2022,I832*$Q$8)</f>
        <v>57249.882141517686</v>
      </c>
      <c r="K832" s="7">
        <f t="shared" si="26"/>
        <v>156597.88214151768</v>
      </c>
      <c r="L832">
        <f>IFERROR(VLOOKUP(G832,'LEAID Match'!$A$2:$B$168,2,FALSE),"")</f>
        <v>4603720</v>
      </c>
    </row>
    <row r="833" spans="1:12" x14ac:dyDescent="0.2">
      <c r="A833">
        <f t="shared" si="25"/>
        <v>4603720</v>
      </c>
      <c r="B833">
        <v>2017</v>
      </c>
      <c r="C833" t="s">
        <v>208</v>
      </c>
      <c r="D833" t="s">
        <v>212</v>
      </c>
      <c r="E833" t="s">
        <v>211</v>
      </c>
      <c r="F833" s="3">
        <v>942100</v>
      </c>
      <c r="G833" s="3" t="s">
        <v>4</v>
      </c>
      <c r="H833" s="4">
        <v>105276</v>
      </c>
      <c r="I833" cm="1">
        <f t="array" ref="I833">_xlfn.IFS(B833=2015,H833/$O$10,B833=2016,H833/$O$11,B833=2017,H833/$O$12,B833=2018,H833/$O$13,B833=2019,H833/$O$14,B833=2020,H833/$O$15,B833=2021,H833/$O$16,B833=2022,H833/$O$17)</f>
        <v>2.173611510569154E-3</v>
      </c>
      <c r="J833" s="6" cm="1">
        <f t="array" ref="J833">_xlfn.IFS(B833=2015,I833*$Q$1,B833=2016,I833*$Q$2,B833=2017,I833*$Q$3,B833=2018,I833*$Q$4,B833=2019,I833*$Q$5,B833=2020,I833*$Q$6,B833=2021,I833*$Q$7,B833=2022,I833*$Q$8)</f>
        <v>57178.01149406824</v>
      </c>
      <c r="K833" s="7">
        <f t="shared" si="26"/>
        <v>162454.01149406825</v>
      </c>
      <c r="L833">
        <f>IFERROR(VLOOKUP(G833,'LEAID Match'!$A$2:$B$168,2,FALSE),"")</f>
        <v>4603720</v>
      </c>
    </row>
    <row r="834" spans="1:12" x14ac:dyDescent="0.2">
      <c r="A834">
        <f t="shared" si="25"/>
        <v>4603720</v>
      </c>
      <c r="B834">
        <v>2018</v>
      </c>
      <c r="C834" t="s">
        <v>208</v>
      </c>
      <c r="D834" t="s">
        <v>212</v>
      </c>
      <c r="E834" t="s">
        <v>211</v>
      </c>
      <c r="F834" s="3">
        <v>942100</v>
      </c>
      <c r="G834" s="3" t="s">
        <v>4</v>
      </c>
      <c r="H834" s="4">
        <v>106401</v>
      </c>
      <c r="I834" cm="1">
        <f t="array" ref="I834">_xlfn.IFS(B834=2015,H834/$O$10,B834=2016,H834/$O$11,B834=2017,H834/$O$12,B834=2018,H834/$O$13,B834=2019,H834/$O$14,B834=2020,H834/$O$15,B834=2021,H834/$O$16,B834=2022,H834/$O$17)</f>
        <v>2.1219130493673986E-3</v>
      </c>
      <c r="J834" s="6" cm="1">
        <f t="array" ref="J834">_xlfn.IFS(B834=2015,I834*$Q$1,B834=2016,I834*$Q$2,B834=2017,I834*$Q$3,B834=2018,I834*$Q$4,B834=2019,I834*$Q$5,B834=2020,I834*$Q$6,B834=2021,I834*$Q$7,B834=2022,I834*$Q$8)</f>
        <v>55712.543738797991</v>
      </c>
      <c r="K834" s="7">
        <f t="shared" si="26"/>
        <v>162113.54373879801</v>
      </c>
      <c r="L834">
        <f>IFERROR(VLOOKUP(G834,'LEAID Match'!$A$2:$B$168,2,FALSE),"")</f>
        <v>4603720</v>
      </c>
    </row>
    <row r="835" spans="1:12" x14ac:dyDescent="0.2">
      <c r="A835">
        <f t="shared" ref="A835:A898" si="27">L835</f>
        <v>4603720</v>
      </c>
      <c r="B835">
        <v>2019</v>
      </c>
      <c r="C835" t="s">
        <v>208</v>
      </c>
      <c r="D835" t="s">
        <v>212</v>
      </c>
      <c r="E835" t="s">
        <v>211</v>
      </c>
      <c r="F835" s="3">
        <v>942100</v>
      </c>
      <c r="G835" s="3" t="s">
        <v>4</v>
      </c>
      <c r="H835" s="4">
        <v>111210</v>
      </c>
      <c r="I835" cm="1">
        <f t="array" ref="I835">_xlfn.IFS(B835=2015,H835/$O$10,B835=2016,H835/$O$11,B835=2017,H835/$O$12,B835=2018,H835/$O$13,B835=2019,H835/$O$14,B835=2020,H835/$O$15,B835=2021,H835/$O$16,B835=2022,H835/$O$17)</f>
        <v>2.1779957797292459E-3</v>
      </c>
      <c r="J835" s="6" cm="1">
        <f t="array" ref="J835">_xlfn.IFS(B835=2015,I835*$Q$1,B835=2016,I835*$Q$2,B835=2017,I835*$Q$3,B835=2018,I835*$Q$4,B835=2019,I835*$Q$5,B835=2020,I835*$Q$6,B835=2021,I835*$Q$7,B835=2022,I835*$Q$8)</f>
        <v>57602.44537457914</v>
      </c>
      <c r="K835" s="7">
        <f t="shared" ref="K835:K898" si="28">SUM(J835,H835)</f>
        <v>168812.44537457914</v>
      </c>
      <c r="L835">
        <f>IFERROR(VLOOKUP(G835,'LEAID Match'!$A$2:$B$168,2,FALSE),"")</f>
        <v>4603720</v>
      </c>
    </row>
    <row r="836" spans="1:12" x14ac:dyDescent="0.2">
      <c r="A836">
        <f t="shared" si="27"/>
        <v>4603720</v>
      </c>
      <c r="B836">
        <v>2020</v>
      </c>
      <c r="C836" t="s">
        <v>208</v>
      </c>
      <c r="D836" t="s">
        <v>212</v>
      </c>
      <c r="E836" t="s">
        <v>211</v>
      </c>
      <c r="F836" s="1">
        <v>942100</v>
      </c>
      <c r="G836" s="3" t="s">
        <v>4</v>
      </c>
      <c r="H836" s="2">
        <v>111113</v>
      </c>
      <c r="I836" cm="1">
        <f t="array" ref="I836">_xlfn.IFS(B836=2015,H836/$O$10,B836=2016,H836/$O$11,B836=2017,H836/$O$12,B836=2018,H836/$O$13,B836=2019,H836/$O$14,B836=2020,H836/$O$15,B836=2021,H836/$O$16,B836=2022,H836/$O$17)</f>
        <v>2.1044557650455151E-3</v>
      </c>
      <c r="J836" s="6" cm="1">
        <f t="array" ref="J836">_xlfn.IFS(B836=2015,I836*$Q$1,B836=2016,I836*$Q$2,B836=2017,I836*$Q$3,B836=2018,I836*$Q$4,B836=2019,I836*$Q$5,B836=2020,I836*$Q$6,B836=2021,I836*$Q$7,B836=2022,I836*$Q$8)</f>
        <v>57220.638380869277</v>
      </c>
      <c r="K836" s="7">
        <f t="shared" si="28"/>
        <v>168333.63838086929</v>
      </c>
      <c r="L836">
        <f>IFERROR(VLOOKUP(G836,'LEAID Match'!$A$2:$B$168,2,FALSE),"")</f>
        <v>4603720</v>
      </c>
    </row>
    <row r="837" spans="1:12" x14ac:dyDescent="0.2">
      <c r="A837">
        <f t="shared" si="27"/>
        <v>4603720</v>
      </c>
      <c r="B837">
        <v>2021</v>
      </c>
      <c r="C837" t="s">
        <v>208</v>
      </c>
      <c r="D837" t="s">
        <v>212</v>
      </c>
      <c r="E837" t="s">
        <v>211</v>
      </c>
      <c r="F837" s="3">
        <v>942100</v>
      </c>
      <c r="G837" s="3" t="s">
        <v>4</v>
      </c>
      <c r="H837" s="4">
        <v>130210</v>
      </c>
      <c r="I837" cm="1">
        <f t="array" ref="I837">_xlfn.IFS(B837=2015,H837/$O$10,B837=2016,H837/$O$11,B837=2017,H837/$O$12,B837=2018,H837/$O$13,B837=2019,H837/$O$14,B837=2020,H837/$O$15,B837=2021,H837/$O$16,B837=2022,H837/$O$17)</f>
        <v>2.3517967955093452E-3</v>
      </c>
      <c r="J837" s="6" cm="1">
        <f t="array" ref="J837">_xlfn.IFS(B837=2015,I837*$Q$1,B837=2016,I837*$Q$2,B837=2017,I837*$Q$3,B837=2018,I837*$Q$4,B837=2019,I837*$Q$5,B837=2020,I837*$Q$6,B837=2021,I837*$Q$7,B837=2022,I837*$Q$8)</f>
        <v>65470.102341722057</v>
      </c>
      <c r="K837" s="7">
        <f t="shared" si="28"/>
        <v>195680.10234172206</v>
      </c>
      <c r="L837">
        <f>IFERROR(VLOOKUP(G837,'LEAID Match'!$A$2:$B$168,2,FALSE),"")</f>
        <v>4603720</v>
      </c>
    </row>
    <row r="838" spans="1:12" x14ac:dyDescent="0.2">
      <c r="A838">
        <f t="shared" si="27"/>
        <v>4603720</v>
      </c>
      <c r="B838">
        <v>2022</v>
      </c>
      <c r="C838" t="s">
        <v>208</v>
      </c>
      <c r="D838" t="s">
        <v>212</v>
      </c>
      <c r="E838" t="s">
        <v>211</v>
      </c>
      <c r="F838" s="3">
        <v>942100</v>
      </c>
      <c r="G838" s="3" t="s">
        <v>4</v>
      </c>
      <c r="H838" s="4">
        <v>121259</v>
      </c>
      <c r="I838" cm="1">
        <f t="array" ref="I838">_xlfn.IFS(B838=2015,H838/$O$10,B838=2016,H838/$O$11,B838=2017,H838/$O$12,B838=2018,H838/$O$13,B838=2019,H838/$O$14,B838=2020,H838/$O$15,B838=2021,H838/$O$16,B838=2022,H838/$O$17)</f>
        <v>2.100033930565787E-3</v>
      </c>
      <c r="J838" s="6" cm="1">
        <f t="array" ref="J838">_xlfn.IFS(B838=2015,I838*$Q$1,B838=2016,I838*$Q$2,B838=2017,I838*$Q$3,B838=2018,I838*$Q$4,B838=2019,I838*$Q$5,B838=2020,I838*$Q$6,B838=2021,I838*$Q$7,B838=2022,I838*$Q$8)</f>
        <v>61862.686124774707</v>
      </c>
      <c r="K838" s="7">
        <f t="shared" si="28"/>
        <v>183121.68612477471</v>
      </c>
      <c r="L838">
        <f>IFERROR(VLOOKUP(G838,'LEAID Match'!$A$2:$B$168,2,FALSE),"")</f>
        <v>4603720</v>
      </c>
    </row>
    <row r="839" spans="1:12" x14ac:dyDescent="0.2">
      <c r="A839">
        <f t="shared" si="27"/>
        <v>4639990</v>
      </c>
      <c r="B839">
        <v>2015</v>
      </c>
      <c r="C839" t="s">
        <v>208</v>
      </c>
      <c r="D839" t="s">
        <v>212</v>
      </c>
      <c r="E839" t="s">
        <v>211</v>
      </c>
      <c r="F839" s="3">
        <v>942101</v>
      </c>
      <c r="G839" s="3" t="s">
        <v>83</v>
      </c>
      <c r="H839" s="4">
        <v>76703</v>
      </c>
      <c r="I839" cm="1">
        <f t="array" ref="I839">_xlfn.IFS(B839=2015,H839/$O$10,B839=2016,H839/$O$11,B839=2017,H839/$O$12,B839=2018,H839/$O$13,B839=2019,H839/$O$14,B839=2020,H839/$O$15,B839=2021,H839/$O$16,B839=2022,H839/$O$17)</f>
        <v>1.7941056787960229E-3</v>
      </c>
      <c r="J839" s="6" cm="1">
        <f t="array" ref="J839">_xlfn.IFS(B839=2015,I839*$Q$1,B839=2016,I839*$Q$2,B839=2017,I839*$Q$3,B839=2018,I839*$Q$4,B839=2019,I839*$Q$5,B839=2020,I839*$Q$6,B839=2021,I839*$Q$7,B839=2022,I839*$Q$8)</f>
        <v>44120.924939332006</v>
      </c>
      <c r="K839" s="7">
        <f t="shared" si="28"/>
        <v>120823.92493933201</v>
      </c>
      <c r="L839">
        <f>IFERROR(VLOOKUP(G839,'LEAID Match'!$A$2:$B$168,2,FALSE),"")</f>
        <v>4639990</v>
      </c>
    </row>
    <row r="840" spans="1:12" x14ac:dyDescent="0.2">
      <c r="A840">
        <f t="shared" si="27"/>
        <v>4639990</v>
      </c>
      <c r="B840">
        <v>2016</v>
      </c>
      <c r="C840" t="s">
        <v>208</v>
      </c>
      <c r="D840" t="s">
        <v>212</v>
      </c>
      <c r="E840" t="s">
        <v>211</v>
      </c>
      <c r="F840" s="3">
        <v>942101</v>
      </c>
      <c r="G840" s="3" t="s">
        <v>83</v>
      </c>
      <c r="H840" s="4">
        <v>77785</v>
      </c>
      <c r="I840" cm="1">
        <f t="array" ref="I840">_xlfn.IFS(B840=2015,H840/$O$10,B840=2016,H840/$O$11,B840=2017,H840/$O$12,B840=2018,H840/$O$13,B840=2019,H840/$O$14,B840=2020,H840/$O$15,B840=2021,H840/$O$16,B840=2022,H840/$O$17)</f>
        <v>1.7643240899021622E-3</v>
      </c>
      <c r="J840" s="6" cm="1">
        <f t="array" ref="J840">_xlfn.IFS(B840=2015,I840*$Q$1,B840=2016,I840*$Q$2,B840=2017,I840*$Q$3,B840=2018,I840*$Q$4,B840=2019,I840*$Q$5,B840=2020,I840*$Q$6,B840=2021,I840*$Q$7,B840=2022,I840*$Q$8)</f>
        <v>44824.073784856802</v>
      </c>
      <c r="K840" s="7">
        <f t="shared" si="28"/>
        <v>122609.0737848568</v>
      </c>
      <c r="L840">
        <f>IFERROR(VLOOKUP(G840,'LEAID Match'!$A$2:$B$168,2,FALSE),"")</f>
        <v>4639990</v>
      </c>
    </row>
    <row r="841" spans="1:12" x14ac:dyDescent="0.2">
      <c r="A841">
        <f t="shared" si="27"/>
        <v>4639990</v>
      </c>
      <c r="B841">
        <v>2017</v>
      </c>
      <c r="C841" t="s">
        <v>208</v>
      </c>
      <c r="D841" t="s">
        <v>212</v>
      </c>
      <c r="E841" t="s">
        <v>211</v>
      </c>
      <c r="F841" s="3">
        <v>942101</v>
      </c>
      <c r="G841" s="3" t="s">
        <v>83</v>
      </c>
      <c r="H841" s="4">
        <v>82016</v>
      </c>
      <c r="I841" cm="1">
        <f t="array" ref="I841">_xlfn.IFS(B841=2015,H841/$O$10,B841=2016,H841/$O$11,B841=2017,H841/$O$12,B841=2018,H841/$O$13,B841=2019,H841/$O$14,B841=2020,H841/$O$15,B841=2021,H841/$O$16,B841=2022,H841/$O$17)</f>
        <v>1.6933671648888609E-3</v>
      </c>
      <c r="J841" s="6" cm="1">
        <f t="array" ref="J841">_xlfn.IFS(B841=2015,I841*$Q$1,B841=2016,I841*$Q$2,B841=2017,I841*$Q$3,B841=2018,I841*$Q$4,B841=2019,I841*$Q$5,B841=2020,I841*$Q$6,B841=2021,I841*$Q$7,B841=2022,I841*$Q$8)</f>
        <v>44544.927530467539</v>
      </c>
      <c r="K841" s="7">
        <f t="shared" si="28"/>
        <v>126560.92753046754</v>
      </c>
      <c r="L841">
        <f>IFERROR(VLOOKUP(G841,'LEAID Match'!$A$2:$B$168,2,FALSE),"")</f>
        <v>4639990</v>
      </c>
    </row>
    <row r="842" spans="1:12" x14ac:dyDescent="0.2">
      <c r="A842">
        <f t="shared" si="27"/>
        <v>4639990</v>
      </c>
      <c r="B842">
        <v>2018</v>
      </c>
      <c r="C842" t="s">
        <v>208</v>
      </c>
      <c r="D842" t="s">
        <v>212</v>
      </c>
      <c r="E842" t="s">
        <v>211</v>
      </c>
      <c r="F842" s="3">
        <v>942101</v>
      </c>
      <c r="G842" s="3" t="s">
        <v>83</v>
      </c>
      <c r="H842" s="4">
        <v>84422</v>
      </c>
      <c r="I842" cm="1">
        <f t="array" ref="I842">_xlfn.IFS(B842=2015,H842/$O$10,B842=2016,H842/$O$11,B842=2017,H842/$O$12,B842=2018,H842/$O$13,B842=2019,H842/$O$14,B842=2020,H842/$O$15,B842=2021,H842/$O$16,B842=2022,H842/$O$17)</f>
        <v>1.6835945475483739E-3</v>
      </c>
      <c r="J842" s="6" cm="1">
        <f t="array" ref="J842">_xlfn.IFS(B842=2015,I842*$Q$1,B842=2016,I842*$Q$2,B842=2017,I842*$Q$3,B842=2018,I842*$Q$4,B842=2019,I842*$Q$5,B842=2020,I842*$Q$6,B842=2021,I842*$Q$7,B842=2022,I842*$Q$8)</f>
        <v>44204.136873871525</v>
      </c>
      <c r="K842" s="7">
        <f t="shared" si="28"/>
        <v>128626.13687387152</v>
      </c>
      <c r="L842">
        <f>IFERROR(VLOOKUP(G842,'LEAID Match'!$A$2:$B$168,2,FALSE),"")</f>
        <v>4639990</v>
      </c>
    </row>
    <row r="843" spans="1:12" x14ac:dyDescent="0.2">
      <c r="A843">
        <f t="shared" si="27"/>
        <v>4639990</v>
      </c>
      <c r="B843">
        <v>2019</v>
      </c>
      <c r="C843" t="s">
        <v>208</v>
      </c>
      <c r="D843" t="s">
        <v>212</v>
      </c>
      <c r="E843" t="s">
        <v>211</v>
      </c>
      <c r="F843" s="3">
        <v>942101</v>
      </c>
      <c r="G843" s="3" t="s">
        <v>83</v>
      </c>
      <c r="H843" s="4">
        <v>85665</v>
      </c>
      <c r="I843" cm="1">
        <f t="array" ref="I843">_xlfn.IFS(B843=2015,H843/$O$10,B843=2016,H843/$O$11,B843=2017,H843/$O$12,B843=2018,H843/$O$13,B843=2019,H843/$O$14,B843=2020,H843/$O$15,B843=2021,H843/$O$16,B843=2022,H843/$O$17)</f>
        <v>1.6777089152999356E-3</v>
      </c>
      <c r="J843" s="6" cm="1">
        <f t="array" ref="J843">_xlfn.IFS(B843=2015,I843*$Q$1,B843=2016,I843*$Q$2,B843=2017,I843*$Q$3,B843=2018,I843*$Q$4,B843=2019,I843*$Q$5,B843=2020,I843*$Q$6,B843=2021,I843*$Q$7,B843=2022,I843*$Q$8)</f>
        <v>44371.131040493863</v>
      </c>
      <c r="K843" s="7">
        <f t="shared" si="28"/>
        <v>130036.13104049387</v>
      </c>
      <c r="L843">
        <f>IFERROR(VLOOKUP(G843,'LEAID Match'!$A$2:$B$168,2,FALSE),"")</f>
        <v>4639990</v>
      </c>
    </row>
    <row r="844" spans="1:12" x14ac:dyDescent="0.2">
      <c r="A844">
        <f t="shared" si="27"/>
        <v>4639990</v>
      </c>
      <c r="B844">
        <v>2020</v>
      </c>
      <c r="C844" t="s">
        <v>208</v>
      </c>
      <c r="D844" t="s">
        <v>212</v>
      </c>
      <c r="E844" t="s">
        <v>211</v>
      </c>
      <c r="F844" s="1">
        <v>942101</v>
      </c>
      <c r="G844" s="3" t="s">
        <v>83</v>
      </c>
      <c r="H844" s="2">
        <v>86958</v>
      </c>
      <c r="I844" cm="1">
        <f t="array" ref="I844">_xlfn.IFS(B844=2015,H844/$O$10,B844=2016,H844/$O$11,B844=2017,H844/$O$12,B844=2018,H844/$O$13,B844=2019,H844/$O$14,B844=2020,H844/$O$15,B844=2021,H844/$O$16,B844=2022,H844/$O$17)</f>
        <v>1.6469653813399683E-3</v>
      </c>
      <c r="J844" s="6" cm="1">
        <f t="array" ref="J844">_xlfn.IFS(B844=2015,I844*$Q$1,B844=2016,I844*$Q$2,B844=2017,I844*$Q$3,B844=2018,I844*$Q$4,B844=2019,I844*$Q$5,B844=2020,I844*$Q$6,B844=2021,I844*$Q$7,B844=2022,I844*$Q$8)</f>
        <v>44781.369167636825</v>
      </c>
      <c r="K844" s="7">
        <f t="shared" si="28"/>
        <v>131739.36916763682</v>
      </c>
      <c r="L844">
        <f>IFERROR(VLOOKUP(G844,'LEAID Match'!$A$2:$B$168,2,FALSE),"")</f>
        <v>4639990</v>
      </c>
    </row>
    <row r="845" spans="1:12" x14ac:dyDescent="0.2">
      <c r="A845">
        <f t="shared" si="27"/>
        <v>4639990</v>
      </c>
      <c r="B845">
        <v>2021</v>
      </c>
      <c r="C845" t="s">
        <v>208</v>
      </c>
      <c r="D845" t="s">
        <v>212</v>
      </c>
      <c r="E845" t="s">
        <v>211</v>
      </c>
      <c r="F845" s="3">
        <v>942101</v>
      </c>
      <c r="G845" s="3" t="s">
        <v>83</v>
      </c>
      <c r="H845" s="4">
        <v>90177</v>
      </c>
      <c r="I845" cm="1">
        <f t="array" ref="I845">_xlfn.IFS(B845=2015,H845/$O$10,B845=2016,H845/$O$11,B845=2017,H845/$O$12,B845=2018,H845/$O$13,B845=2019,H845/$O$14,B845=2020,H845/$O$15,B845=2021,H845/$O$16,B845=2022,H845/$O$17)</f>
        <v>1.6287380357011458E-3</v>
      </c>
      <c r="J845" s="6" cm="1">
        <f t="array" ref="J845">_xlfn.IFS(B845=2015,I845*$Q$1,B845=2016,I845*$Q$2,B845=2017,I845*$Q$3,B845=2018,I845*$Q$4,B845=2019,I845*$Q$5,B845=2020,I845*$Q$6,B845=2021,I845*$Q$7,B845=2022,I845*$Q$8)</f>
        <v>45341.351807614388</v>
      </c>
      <c r="K845" s="7">
        <f t="shared" si="28"/>
        <v>135518.35180761438</v>
      </c>
      <c r="L845">
        <f>IFERROR(VLOOKUP(G845,'LEAID Match'!$A$2:$B$168,2,FALSE),"")</f>
        <v>4639990</v>
      </c>
    </row>
    <row r="846" spans="1:12" x14ac:dyDescent="0.2">
      <c r="A846">
        <f t="shared" si="27"/>
        <v>4639990</v>
      </c>
      <c r="B846">
        <v>2022</v>
      </c>
      <c r="C846" t="s">
        <v>208</v>
      </c>
      <c r="D846" t="s">
        <v>212</v>
      </c>
      <c r="E846" t="s">
        <v>211</v>
      </c>
      <c r="F846" s="3">
        <v>942101</v>
      </c>
      <c r="G846" s="3" t="s">
        <v>83</v>
      </c>
      <c r="H846" s="4">
        <v>87834</v>
      </c>
      <c r="I846" cm="1">
        <f t="array" ref="I846">_xlfn.IFS(B846=2015,H846/$O$10,B846=2016,H846/$O$11,B846=2017,H846/$O$12,B846=2018,H846/$O$13,B846=2019,H846/$O$14,B846=2020,H846/$O$15,B846=2021,H846/$O$16,B846=2022,H846/$O$17)</f>
        <v>1.5211603283658559E-3</v>
      </c>
      <c r="J846" s="6" cm="1">
        <f t="array" ref="J846">_xlfn.IFS(B846=2015,I846*$Q$1,B846=2016,I846*$Q$2,B846=2017,I846*$Q$3,B846=2018,I846*$Q$4,B846=2019,I846*$Q$5,B846=2020,I846*$Q$6,B846=2021,I846*$Q$7,B846=2022,I846*$Q$8)</f>
        <v>44810.25881034365</v>
      </c>
      <c r="K846" s="7">
        <f t="shared" si="28"/>
        <v>132644.25881034366</v>
      </c>
      <c r="L846">
        <f>IFERROR(VLOOKUP(G846,'LEAID Match'!$A$2:$B$168,2,FALSE),"")</f>
        <v>4639990</v>
      </c>
    </row>
    <row r="847" spans="1:12" x14ac:dyDescent="0.2">
      <c r="A847">
        <f t="shared" si="27"/>
        <v>4617850</v>
      </c>
      <c r="B847">
        <v>2015</v>
      </c>
      <c r="C847" t="s">
        <v>208</v>
      </c>
      <c r="D847" t="s">
        <v>212</v>
      </c>
      <c r="E847" t="s">
        <v>211</v>
      </c>
      <c r="F847" s="3">
        <v>942103</v>
      </c>
      <c r="G847" s="3" t="s">
        <v>35</v>
      </c>
      <c r="H847" s="4">
        <v>92276</v>
      </c>
      <c r="I847" cm="1">
        <f t="array" ref="I847">_xlfn.IFS(B847=2015,H847/$O$10,B847=2016,H847/$O$11,B847=2017,H847/$O$12,B847=2018,H847/$O$13,B847=2019,H847/$O$14,B847=2020,H847/$O$15,B847=2021,H847/$O$16,B847=2022,H847/$O$17)</f>
        <v>2.1583627187539184E-3</v>
      </c>
      <c r="J847" s="6" cm="1">
        <f t="array" ref="J847">_xlfn.IFS(B847=2015,I847*$Q$1,B847=2016,I847*$Q$2,B847=2017,I847*$Q$3,B847=2018,I847*$Q$4,B847=2019,I847*$Q$5,B847=2020,I847*$Q$6,B847=2021,I847*$Q$7,B847=2022,I847*$Q$8)</f>
        <v>53078.790525817771</v>
      </c>
      <c r="K847" s="7">
        <f t="shared" si="28"/>
        <v>145354.79052581778</v>
      </c>
      <c r="L847">
        <f>IFERROR(VLOOKUP(G847,'LEAID Match'!$A$2:$B$168,2,FALSE),"")</f>
        <v>4617850</v>
      </c>
    </row>
    <row r="848" spans="1:12" x14ac:dyDescent="0.2">
      <c r="A848">
        <f t="shared" si="27"/>
        <v>4617850</v>
      </c>
      <c r="B848">
        <v>2016</v>
      </c>
      <c r="C848" t="s">
        <v>208</v>
      </c>
      <c r="D848" t="s">
        <v>212</v>
      </c>
      <c r="E848" t="s">
        <v>211</v>
      </c>
      <c r="F848" s="3">
        <v>942103</v>
      </c>
      <c r="G848" s="3" t="s">
        <v>35</v>
      </c>
      <c r="H848" s="4">
        <v>99211</v>
      </c>
      <c r="I848" cm="1">
        <f t="array" ref="I848">_xlfn.IFS(B848=2015,H848/$O$10,B848=2016,H848/$O$11,B848=2017,H848/$O$12,B848=2018,H848/$O$13,B848=2019,H848/$O$14,B848=2020,H848/$O$15,B848=2021,H848/$O$16,B848=2022,H848/$O$17)</f>
        <v>2.2503099220066002E-3</v>
      </c>
      <c r="J848" s="6" cm="1">
        <f t="array" ref="J848">_xlfn.IFS(B848=2015,I848*$Q$1,B848=2016,I848*$Q$2,B848=2017,I848*$Q$3,B848=2018,I848*$Q$4,B848=2019,I848*$Q$5,B848=2020,I848*$Q$6,B848=2021,I848*$Q$7,B848=2022,I848*$Q$8)</f>
        <v>57170.935068064893</v>
      </c>
      <c r="K848" s="7">
        <f t="shared" si="28"/>
        <v>156381.93506806489</v>
      </c>
      <c r="L848">
        <f>IFERROR(VLOOKUP(G848,'LEAID Match'!$A$2:$B$168,2,FALSE),"")</f>
        <v>4617850</v>
      </c>
    </row>
    <row r="849" spans="1:12" x14ac:dyDescent="0.2">
      <c r="A849">
        <f t="shared" si="27"/>
        <v>4617850</v>
      </c>
      <c r="B849">
        <v>2017</v>
      </c>
      <c r="C849" t="s">
        <v>208</v>
      </c>
      <c r="D849" t="s">
        <v>212</v>
      </c>
      <c r="E849" t="s">
        <v>211</v>
      </c>
      <c r="F849" s="3">
        <v>942103</v>
      </c>
      <c r="G849" s="3" t="s">
        <v>35</v>
      </c>
      <c r="H849" s="4">
        <v>110657</v>
      </c>
      <c r="I849" cm="1">
        <f t="array" ref="I849">_xlfn.IFS(B849=2015,H849/$O$10,B849=2016,H849/$O$11,B849=2017,H849/$O$12,B849=2018,H849/$O$13,B849=2019,H849/$O$14,B849=2020,H849/$O$15,B849=2021,H849/$O$16,B849=2022,H849/$O$17)</f>
        <v>2.2847118899374107E-3</v>
      </c>
      <c r="J849" s="6" cm="1">
        <f t="array" ref="J849">_xlfn.IFS(B849=2015,I849*$Q$1,B849=2016,I849*$Q$2,B849=2017,I849*$Q$3,B849=2018,I849*$Q$4,B849=2019,I849*$Q$5,B849=2020,I849*$Q$6,B849=2021,I849*$Q$7,B849=2022,I849*$Q$8)</f>
        <v>60100.566300952814</v>
      </c>
      <c r="K849" s="7">
        <f t="shared" si="28"/>
        <v>170757.56630095281</v>
      </c>
      <c r="L849">
        <f>IFERROR(VLOOKUP(G849,'LEAID Match'!$A$2:$B$168,2,FALSE),"")</f>
        <v>4617850</v>
      </c>
    </row>
    <row r="850" spans="1:12" x14ac:dyDescent="0.2">
      <c r="A850">
        <f t="shared" si="27"/>
        <v>4617850</v>
      </c>
      <c r="B850">
        <v>2018</v>
      </c>
      <c r="C850" t="s">
        <v>208</v>
      </c>
      <c r="D850" t="s">
        <v>212</v>
      </c>
      <c r="E850" t="s">
        <v>211</v>
      </c>
      <c r="F850" s="3">
        <v>942103</v>
      </c>
      <c r="G850" s="3" t="s">
        <v>35</v>
      </c>
      <c r="H850" s="4">
        <v>114626</v>
      </c>
      <c r="I850" cm="1">
        <f t="array" ref="I850">_xlfn.IFS(B850=2015,H850/$O$10,B850=2016,H850/$O$11,B850=2017,H850/$O$12,B850=2018,H850/$O$13,B850=2019,H850/$O$14,B850=2020,H850/$O$15,B850=2021,H850/$O$16,B850=2022,H850/$O$17)</f>
        <v>2.2859409704494077E-3</v>
      </c>
      <c r="J850" s="6" cm="1">
        <f t="array" ref="J850">_xlfn.IFS(B850=2015,I850*$Q$1,B850=2016,I850*$Q$2,B850=2017,I850*$Q$3,B850=2018,I850*$Q$4,B850=2019,I850*$Q$5,B850=2020,I850*$Q$6,B850=2021,I850*$Q$7,B850=2022,I850*$Q$8)</f>
        <v>60019.229505394294</v>
      </c>
      <c r="K850" s="7">
        <f t="shared" si="28"/>
        <v>174645.22950539429</v>
      </c>
      <c r="L850">
        <f>IFERROR(VLOOKUP(G850,'LEAID Match'!$A$2:$B$168,2,FALSE),"")</f>
        <v>4617850</v>
      </c>
    </row>
    <row r="851" spans="1:12" x14ac:dyDescent="0.2">
      <c r="A851">
        <f t="shared" si="27"/>
        <v>4617850</v>
      </c>
      <c r="B851">
        <v>2019</v>
      </c>
      <c r="C851" t="s">
        <v>208</v>
      </c>
      <c r="D851" t="s">
        <v>212</v>
      </c>
      <c r="E851" t="s">
        <v>211</v>
      </c>
      <c r="F851" s="3">
        <v>942103</v>
      </c>
      <c r="G851" s="3" t="s">
        <v>35</v>
      </c>
      <c r="H851" s="4">
        <v>115682</v>
      </c>
      <c r="I851" cm="1">
        <f t="array" ref="I851">_xlfn.IFS(B851=2015,H851/$O$10,B851=2016,H851/$O$11,B851=2017,H851/$O$12,B851=2018,H851/$O$13,B851=2019,H851/$O$14,B851=2020,H851/$O$15,B851=2021,H851/$O$16,B851=2022,H851/$O$17)</f>
        <v>2.2655778058685246E-3</v>
      </c>
      <c r="J851" s="6" cm="1">
        <f t="array" ref="J851">_xlfn.IFS(B851=2015,I851*$Q$1,B851=2016,I851*$Q$2,B851=2017,I851*$Q$3,B851=2018,I851*$Q$4,B851=2019,I851*$Q$5,B851=2020,I851*$Q$6,B851=2021,I851*$Q$7,B851=2022,I851*$Q$8)</f>
        <v>59918.76706970654</v>
      </c>
      <c r="K851" s="7">
        <f t="shared" si="28"/>
        <v>175600.76706970655</v>
      </c>
      <c r="L851">
        <f>IFERROR(VLOOKUP(G851,'LEAID Match'!$A$2:$B$168,2,FALSE),"")</f>
        <v>4617850</v>
      </c>
    </row>
    <row r="852" spans="1:12" x14ac:dyDescent="0.2">
      <c r="A852">
        <f t="shared" si="27"/>
        <v>4617850</v>
      </c>
      <c r="B852">
        <v>2020</v>
      </c>
      <c r="C852" t="s">
        <v>208</v>
      </c>
      <c r="D852" t="s">
        <v>212</v>
      </c>
      <c r="E852" t="s">
        <v>211</v>
      </c>
      <c r="F852" s="1">
        <v>942103</v>
      </c>
      <c r="G852" s="3" t="s">
        <v>35</v>
      </c>
      <c r="H852" s="2">
        <v>114433</v>
      </c>
      <c r="I852" cm="1">
        <f t="array" ref="I852">_xlfn.IFS(B852=2015,H852/$O$10,B852=2016,H852/$O$11,B852=2017,H852/$O$12,B852=2018,H852/$O$13,B852=2019,H852/$O$14,B852=2020,H852/$O$15,B852=2021,H852/$O$16,B852=2022,H852/$O$17)</f>
        <v>2.1673358343438968E-3</v>
      </c>
      <c r="J852" s="6" cm="1">
        <f t="array" ref="J852">_xlfn.IFS(B852=2015,I852*$Q$1,B852=2016,I852*$Q$2,B852=2017,I852*$Q$3,B852=2018,I852*$Q$4,B852=2019,I852*$Q$5,B852=2020,I852*$Q$6,B852=2021,I852*$Q$7,B852=2022,I852*$Q$8)</f>
        <v>58930.361990388286</v>
      </c>
      <c r="K852" s="7">
        <f t="shared" si="28"/>
        <v>173363.36199038828</v>
      </c>
      <c r="L852">
        <f>IFERROR(VLOOKUP(G852,'LEAID Match'!$A$2:$B$168,2,FALSE),"")</f>
        <v>4617850</v>
      </c>
    </row>
    <row r="853" spans="1:12" x14ac:dyDescent="0.2">
      <c r="A853">
        <f t="shared" si="27"/>
        <v>4617850</v>
      </c>
      <c r="B853">
        <v>2021</v>
      </c>
      <c r="C853" t="s">
        <v>208</v>
      </c>
      <c r="D853" t="s">
        <v>212</v>
      </c>
      <c r="E853" t="s">
        <v>211</v>
      </c>
      <c r="F853" s="3">
        <v>942103</v>
      </c>
      <c r="G853" s="3" t="s">
        <v>35</v>
      </c>
      <c r="H853" s="4">
        <v>116364</v>
      </c>
      <c r="I853" cm="1">
        <f t="array" ref="I853">_xlfn.IFS(B853=2015,H853/$O$10,B853=2016,H853/$O$11,B853=2017,H853/$O$12,B853=2018,H853/$O$13,B853=2019,H853/$O$14,B853=2020,H853/$O$15,B853=2021,H853/$O$16,B853=2022,H853/$O$17)</f>
        <v>2.1017163221922234E-3</v>
      </c>
      <c r="J853" s="6" cm="1">
        <f t="array" ref="J853">_xlfn.IFS(B853=2015,I853*$Q$1,B853=2016,I853*$Q$2,B853=2017,I853*$Q$3,B853=2018,I853*$Q$4,B853=2019,I853*$Q$5,B853=2020,I853*$Q$6,B853=2021,I853*$Q$7,B853=2022,I853*$Q$8)</f>
        <v>58508.278848722402</v>
      </c>
      <c r="K853" s="7">
        <f t="shared" si="28"/>
        <v>174872.2788487224</v>
      </c>
      <c r="L853">
        <f>IFERROR(VLOOKUP(G853,'LEAID Match'!$A$2:$B$168,2,FALSE),"")</f>
        <v>4617850</v>
      </c>
    </row>
    <row r="854" spans="1:12" x14ac:dyDescent="0.2">
      <c r="A854">
        <f t="shared" si="27"/>
        <v>4617850</v>
      </c>
      <c r="B854">
        <v>2022</v>
      </c>
      <c r="C854" t="s">
        <v>208</v>
      </c>
      <c r="D854" t="s">
        <v>212</v>
      </c>
      <c r="E854" t="s">
        <v>211</v>
      </c>
      <c r="F854" s="3">
        <v>942103</v>
      </c>
      <c r="G854" s="3" t="s">
        <v>35</v>
      </c>
      <c r="H854" s="4">
        <v>125264</v>
      </c>
      <c r="I854" cm="1">
        <f t="array" ref="I854">_xlfn.IFS(B854=2015,H854/$O$10,B854=2016,H854/$O$11,B854=2017,H854/$O$12,B854=2018,H854/$O$13,B854=2019,H854/$O$14,B854=2020,H854/$O$15,B854=2021,H854/$O$16,B854=2022,H854/$O$17)</f>
        <v>2.1693948513379852E-3</v>
      </c>
      <c r="J854" s="6" cm="1">
        <f t="array" ref="J854">_xlfn.IFS(B854=2015,I854*$Q$1,B854=2016,I854*$Q$2,B854=2017,I854*$Q$3,B854=2018,I854*$Q$4,B854=2019,I854*$Q$5,B854=2020,I854*$Q$6,B854=2021,I854*$Q$7,B854=2022,I854*$Q$8)</f>
        <v>63905.916383392396</v>
      </c>
      <c r="K854" s="7">
        <f t="shared" si="28"/>
        <v>189169.91638339241</v>
      </c>
      <c r="L854">
        <f>IFERROR(VLOOKUP(G854,'LEAID Match'!$A$2:$B$168,2,FALSE),"")</f>
        <v>4617850</v>
      </c>
    </row>
    <row r="855" spans="1:12" x14ac:dyDescent="0.2">
      <c r="A855">
        <f t="shared" si="27"/>
        <v>4600050</v>
      </c>
      <c r="B855">
        <v>2015</v>
      </c>
      <c r="C855" t="s">
        <v>208</v>
      </c>
      <c r="D855" t="s">
        <v>212</v>
      </c>
      <c r="E855" t="s">
        <v>211</v>
      </c>
      <c r="F855" s="3">
        <v>943100</v>
      </c>
      <c r="G855" s="3" t="s">
        <v>119</v>
      </c>
      <c r="H855" s="4">
        <v>11989</v>
      </c>
      <c r="I855" cm="1">
        <f t="array" ref="I855">_xlfn.IFS(B855=2015,H855/$O$10,B855=2016,H855/$O$11,B855=2017,H855/$O$12,B855=2018,H855/$O$13,B855=2019,H855/$O$14,B855=2020,H855/$O$15,B855=2021,H855/$O$16,B855=2022,H855/$O$17)</f>
        <v>2.8042622821904643E-4</v>
      </c>
      <c r="J855" s="6" cm="1">
        <f t="array" ref="J855">_xlfn.IFS(B855=2015,I855*$Q$1,B855=2016,I855*$Q$2,B855=2017,I855*$Q$3,B855=2018,I855*$Q$4,B855=2019,I855*$Q$5,B855=2020,I855*$Q$6,B855=2021,I855*$Q$7,B855=2022,I855*$Q$8)</f>
        <v>6896.285270428164</v>
      </c>
      <c r="K855" s="7">
        <f t="shared" si="28"/>
        <v>18885.285270428165</v>
      </c>
      <c r="L855">
        <f>IFERROR(VLOOKUP(G855,'LEAID Match'!$A$2:$B$168,2,FALSE),"")</f>
        <v>4600050</v>
      </c>
    </row>
    <row r="856" spans="1:12" x14ac:dyDescent="0.2">
      <c r="A856">
        <f t="shared" si="27"/>
        <v>4600050</v>
      </c>
      <c r="B856">
        <v>2016</v>
      </c>
      <c r="C856" t="s">
        <v>208</v>
      </c>
      <c r="D856" t="s">
        <v>212</v>
      </c>
      <c r="E856" t="s">
        <v>211</v>
      </c>
      <c r="F856" s="3">
        <v>943100</v>
      </c>
      <c r="G856" s="3" t="s">
        <v>119</v>
      </c>
      <c r="H856" s="4">
        <v>11515</v>
      </c>
      <c r="I856" cm="1">
        <f t="array" ref="I856">_xlfn.IFS(B856=2015,H856/$O$10,B856=2016,H856/$O$11,B856=2017,H856/$O$12,B856=2018,H856/$O$13,B856=2019,H856/$O$14,B856=2020,H856/$O$15,B856=2021,H856/$O$16,B856=2022,H856/$O$17)</f>
        <v>2.6118392871663426E-4</v>
      </c>
      <c r="J856" s="6" cm="1">
        <f t="array" ref="J856">_xlfn.IFS(B856=2015,I856*$Q$1,B856=2016,I856*$Q$2,B856=2017,I856*$Q$3,B856=2018,I856*$Q$4,B856=2019,I856*$Q$5,B856=2020,I856*$Q$6,B856=2021,I856*$Q$7,B856=2022,I856*$Q$8)</f>
        <v>6635.5879621087106</v>
      </c>
      <c r="K856" s="7">
        <f t="shared" si="28"/>
        <v>18150.587962108712</v>
      </c>
      <c r="L856">
        <f>IFERROR(VLOOKUP(G856,'LEAID Match'!$A$2:$B$168,2,FALSE),"")</f>
        <v>4600050</v>
      </c>
    </row>
    <row r="857" spans="1:12" x14ac:dyDescent="0.2">
      <c r="A857">
        <f t="shared" si="27"/>
        <v>4600050</v>
      </c>
      <c r="B857">
        <v>2017</v>
      </c>
      <c r="C857" t="s">
        <v>208</v>
      </c>
      <c r="D857" t="s">
        <v>212</v>
      </c>
      <c r="E857" t="s">
        <v>211</v>
      </c>
      <c r="F857" s="3">
        <v>943100</v>
      </c>
      <c r="G857" s="3" t="s">
        <v>119</v>
      </c>
      <c r="H857" s="4">
        <v>11727</v>
      </c>
      <c r="I857" cm="1">
        <f t="array" ref="I857">_xlfn.IFS(B857=2015,H857/$O$10,B857=2016,H857/$O$11,B857=2017,H857/$O$12,B857=2018,H857/$O$13,B857=2019,H857/$O$14,B857=2020,H857/$O$15,B857=2021,H857/$O$16,B857=2022,H857/$O$17)</f>
        <v>2.4212491151301787E-4</v>
      </c>
      <c r="J857" s="6" cm="1">
        <f t="array" ref="J857">_xlfn.IFS(B857=2015,I857*$Q$1,B857=2016,I857*$Q$2,B857=2017,I857*$Q$3,B857=2018,I857*$Q$4,B857=2019,I857*$Q$5,B857=2020,I857*$Q$6,B857=2021,I857*$Q$7,B857=2022,I857*$Q$8)</f>
        <v>6369.2250920526831</v>
      </c>
      <c r="K857" s="7">
        <f t="shared" si="28"/>
        <v>18096.225092052682</v>
      </c>
      <c r="L857">
        <f>IFERROR(VLOOKUP(G857,'LEAID Match'!$A$2:$B$168,2,FALSE),"")</f>
        <v>4600050</v>
      </c>
    </row>
    <row r="858" spans="1:12" x14ac:dyDescent="0.2">
      <c r="A858">
        <f t="shared" si="27"/>
        <v>4600050</v>
      </c>
      <c r="B858">
        <v>2018</v>
      </c>
      <c r="C858" t="s">
        <v>208</v>
      </c>
      <c r="D858" t="s">
        <v>212</v>
      </c>
      <c r="E858" t="s">
        <v>211</v>
      </c>
      <c r="F858" s="3">
        <v>943100</v>
      </c>
      <c r="G858" s="3" t="s">
        <v>119</v>
      </c>
      <c r="H858" s="4">
        <v>12661</v>
      </c>
      <c r="I858" cm="1">
        <f t="array" ref="I858">_xlfn.IFS(B858=2015,H858/$O$10,B858=2016,H858/$O$11,B858=2017,H858/$O$12,B858=2018,H858/$O$13,B858=2019,H858/$O$14,B858=2020,H858/$O$15,B858=2021,H858/$O$16,B858=2022,H858/$O$17)</f>
        <v>2.5249331414216628E-4</v>
      </c>
      <c r="J858" s="6" cm="1">
        <f t="array" ref="J858">_xlfn.IFS(B858=2015,I858*$Q$1,B858=2016,I858*$Q$2,B858=2017,I858*$Q$3,B858=2018,I858*$Q$4,B858=2019,I858*$Q$5,B858=2020,I858*$Q$6,B858=2021,I858*$Q$7,B858=2022,I858*$Q$8)</f>
        <v>6629.4162298937172</v>
      </c>
      <c r="K858" s="7">
        <f t="shared" si="28"/>
        <v>19290.416229893715</v>
      </c>
      <c r="L858">
        <f>IFERROR(VLOOKUP(G858,'LEAID Match'!$A$2:$B$168,2,FALSE),"")</f>
        <v>4600050</v>
      </c>
    </row>
    <row r="859" spans="1:12" x14ac:dyDescent="0.2">
      <c r="A859">
        <f t="shared" si="27"/>
        <v>4600050</v>
      </c>
      <c r="B859">
        <v>2019</v>
      </c>
      <c r="C859" t="s">
        <v>208</v>
      </c>
      <c r="D859" t="s">
        <v>212</v>
      </c>
      <c r="E859" t="s">
        <v>211</v>
      </c>
      <c r="F859" s="3">
        <v>943100</v>
      </c>
      <c r="G859" s="3" t="s">
        <v>119</v>
      </c>
      <c r="H859" s="4">
        <v>13127</v>
      </c>
      <c r="I859" cm="1">
        <f t="array" ref="I859">_xlfn.IFS(B859=2015,H859/$O$10,B859=2016,H859/$O$11,B859=2017,H859/$O$12,B859=2018,H859/$O$13,B859=2019,H859/$O$14,B859=2020,H859/$O$15,B859=2021,H859/$O$16,B859=2022,H859/$O$17)</f>
        <v>2.5708614873218066E-4</v>
      </c>
      <c r="J859" s="6" cm="1">
        <f t="array" ref="J859">_xlfn.IFS(B859=2015,I859*$Q$1,B859=2016,I859*$Q$2,B859=2017,I859*$Q$3,B859=2018,I859*$Q$4,B859=2019,I859*$Q$5,B859=2020,I859*$Q$6,B859=2021,I859*$Q$7,B859=2022,I859*$Q$8)</f>
        <v>6799.2743497176552</v>
      </c>
      <c r="K859" s="7">
        <f t="shared" si="28"/>
        <v>19926.274349717656</v>
      </c>
      <c r="L859">
        <f>IFERROR(VLOOKUP(G859,'LEAID Match'!$A$2:$B$168,2,FALSE),"")</f>
        <v>4600050</v>
      </c>
    </row>
    <row r="860" spans="1:12" x14ac:dyDescent="0.2">
      <c r="A860">
        <f t="shared" si="27"/>
        <v>4600050</v>
      </c>
      <c r="B860">
        <v>2020</v>
      </c>
      <c r="C860" t="s">
        <v>208</v>
      </c>
      <c r="D860" t="s">
        <v>212</v>
      </c>
      <c r="E860" t="s">
        <v>211</v>
      </c>
      <c r="F860" s="1">
        <v>943100</v>
      </c>
      <c r="G860" s="3" t="s">
        <v>119</v>
      </c>
      <c r="H860" s="2">
        <v>13184</v>
      </c>
      <c r="I860" cm="1">
        <f t="array" ref="I860">_xlfn.IFS(B860=2015,H860/$O$10,B860=2016,H860/$O$11,B860=2017,H860/$O$12,B860=2018,H860/$O$13,B860=2019,H860/$O$14,B860=2020,H860/$O$15,B860=2021,H860/$O$16,B860=2022,H860/$O$17)</f>
        <v>2.4970205832224913E-4</v>
      </c>
      <c r="J860" s="6" cm="1">
        <f t="array" ref="J860">_xlfn.IFS(B860=2015,I860*$Q$1,B860=2016,I860*$Q$2,B860=2017,I860*$Q$3,B860=2018,I860*$Q$4,B860=2019,I860*$Q$5,B860=2020,I860*$Q$6,B860=2021,I860*$Q$7,B860=2022,I860*$Q$8)</f>
        <v>6789.4566469574265</v>
      </c>
      <c r="K860" s="7">
        <f t="shared" si="28"/>
        <v>19973.456646957427</v>
      </c>
      <c r="L860">
        <f>IFERROR(VLOOKUP(G860,'LEAID Match'!$A$2:$B$168,2,FALSE),"")</f>
        <v>4600050</v>
      </c>
    </row>
    <row r="861" spans="1:12" x14ac:dyDescent="0.2">
      <c r="A861">
        <f t="shared" si="27"/>
        <v>4600050</v>
      </c>
      <c r="B861">
        <v>2021</v>
      </c>
      <c r="C861" t="s">
        <v>208</v>
      </c>
      <c r="D861" t="s">
        <v>212</v>
      </c>
      <c r="E861" t="s">
        <v>211</v>
      </c>
      <c r="F861" s="3">
        <v>943100</v>
      </c>
      <c r="G861" s="3" t="s">
        <v>119</v>
      </c>
      <c r="H861" s="4">
        <v>13590</v>
      </c>
      <c r="I861" cm="1">
        <f t="array" ref="I861">_xlfn.IFS(B861=2015,H861/$O$10,B861=2016,H861/$O$11,B861=2017,H861/$O$12,B861=2018,H861/$O$13,B861=2019,H861/$O$14,B861=2020,H861/$O$15,B861=2021,H861/$O$16,B861=2022,H861/$O$17)</f>
        <v>2.4545671185755317E-4</v>
      </c>
      <c r="J861" s="6" cm="1">
        <f t="array" ref="J861">_xlfn.IFS(B861=2015,I861*$Q$1,B861=2016,I861*$Q$2,B861=2017,I861*$Q$3,B861=2018,I861*$Q$4,B861=2019,I861*$Q$5,B861=2020,I861*$Q$6,B861=2021,I861*$Q$7,B861=2022,I861*$Q$8)</f>
        <v>6833.1056817756134</v>
      </c>
      <c r="K861" s="7">
        <f t="shared" si="28"/>
        <v>20423.105681775614</v>
      </c>
      <c r="L861">
        <f>IFERROR(VLOOKUP(G861,'LEAID Match'!$A$2:$B$168,2,FALSE),"")</f>
        <v>4600050</v>
      </c>
    </row>
    <row r="862" spans="1:12" x14ac:dyDescent="0.2">
      <c r="A862">
        <f t="shared" si="27"/>
        <v>4600050</v>
      </c>
      <c r="B862">
        <v>2022</v>
      </c>
      <c r="C862" t="s">
        <v>208</v>
      </c>
      <c r="D862" t="s">
        <v>212</v>
      </c>
      <c r="E862" t="s">
        <v>211</v>
      </c>
      <c r="F862" s="3">
        <v>943100</v>
      </c>
      <c r="G862" s="3" t="s">
        <v>119</v>
      </c>
      <c r="H862" s="4">
        <v>16052</v>
      </c>
      <c r="I862" cm="1">
        <f t="array" ref="I862">_xlfn.IFS(B862=2015,H862/$O$10,B862=2016,H862/$O$11,B862=2017,H862/$O$12,B862=2018,H862/$O$13,B862=2019,H862/$O$14,B862=2020,H862/$O$15,B862=2021,H862/$O$16,B862=2022,H862/$O$17)</f>
        <v>2.7799787771169162E-4</v>
      </c>
      <c r="J862" s="6" cm="1">
        <f t="array" ref="J862">_xlfn.IFS(B862=2015,I862*$Q$1,B862=2016,I862*$Q$2,B862=2017,I862*$Q$3,B862=2018,I862*$Q$4,B862=2019,I862*$Q$5,B862=2020,I862*$Q$6,B862=2021,I862*$Q$7,B862=2022,I862*$Q$8)</f>
        <v>8189.2464697456153</v>
      </c>
      <c r="K862" s="7">
        <f t="shared" si="28"/>
        <v>24241.246469745616</v>
      </c>
      <c r="L862">
        <f>IFERROR(VLOOKUP(G862,'LEAID Match'!$A$2:$B$168,2,FALSE),"")</f>
        <v>4600050</v>
      </c>
    </row>
    <row r="863" spans="1:12" x14ac:dyDescent="0.2">
      <c r="A863">
        <f t="shared" si="27"/>
        <v>4601027</v>
      </c>
      <c r="B863">
        <v>2015</v>
      </c>
      <c r="C863" t="s">
        <v>208</v>
      </c>
      <c r="D863" t="s">
        <v>212</v>
      </c>
      <c r="E863" t="s">
        <v>211</v>
      </c>
      <c r="F863" s="3">
        <v>943104</v>
      </c>
      <c r="G863" s="3" t="s">
        <v>186</v>
      </c>
      <c r="H863" s="4">
        <v>50267</v>
      </c>
      <c r="I863" cm="1">
        <f t="array" ref="I863">_xlfn.IFS(B863=2015,H863/$O$10,B863=2016,H863/$O$11,B863=2017,H863/$O$12,B863=2018,H863/$O$13,B863=2019,H863/$O$14,B863=2020,H863/$O$15,B863=2021,H863/$O$16,B863=2022,H863/$O$17)</f>
        <v>1.1757598810481949E-3</v>
      </c>
      <c r="J863" s="6" cm="1">
        <f t="array" ref="J863">_xlfn.IFS(B863=2015,I863*$Q$1,B863=2016,I863*$Q$2,B863=2017,I863*$Q$3,B863=2018,I863*$Q$4,B863=2019,I863*$Q$5,B863=2020,I863*$Q$6,B863=2021,I863*$Q$7,B863=2022,I863*$Q$8)</f>
        <v>28914.46923751877</v>
      </c>
      <c r="K863" s="7">
        <f t="shared" si="28"/>
        <v>79181.469237518773</v>
      </c>
      <c r="L863">
        <f>IFERROR(VLOOKUP(G863,'LEAID Match'!$A$2:$B$168,2,FALSE),"")</f>
        <v>4601027</v>
      </c>
    </row>
    <row r="864" spans="1:12" x14ac:dyDescent="0.2">
      <c r="A864">
        <f t="shared" si="27"/>
        <v>4601027</v>
      </c>
      <c r="B864">
        <v>2016</v>
      </c>
      <c r="C864" t="s">
        <v>208</v>
      </c>
      <c r="D864" t="s">
        <v>212</v>
      </c>
      <c r="E864" t="s">
        <v>211</v>
      </c>
      <c r="F864" s="3">
        <v>943104</v>
      </c>
      <c r="G864" s="3" t="s">
        <v>186</v>
      </c>
      <c r="H864" s="4">
        <v>58177</v>
      </c>
      <c r="I864" cm="1">
        <f t="array" ref="I864">_xlfn.IFS(B864=2015,H864/$O$10,B864=2016,H864/$O$11,B864=2017,H864/$O$12,B864=2018,H864/$O$13,B864=2019,H864/$O$14,B864=2020,H864/$O$15,B864=2021,H864/$O$16,B864=2022,H864/$O$17)</f>
        <v>1.3195742441118221E-3</v>
      </c>
      <c r="J864" s="6" cm="1">
        <f t="array" ref="J864">_xlfn.IFS(B864=2015,I864*$Q$1,B864=2016,I864*$Q$2,B864=2017,I864*$Q$3,B864=2018,I864*$Q$4,B864=2019,I864*$Q$5,B864=2020,I864*$Q$6,B864=2021,I864*$Q$7,B864=2022,I864*$Q$8)</f>
        <v>33524.845928927352</v>
      </c>
      <c r="K864" s="7">
        <f t="shared" si="28"/>
        <v>91701.84592892736</v>
      </c>
      <c r="L864">
        <f>IFERROR(VLOOKUP(G864,'LEAID Match'!$A$2:$B$168,2,FALSE),"")</f>
        <v>4601027</v>
      </c>
    </row>
    <row r="865" spans="1:12" x14ac:dyDescent="0.2">
      <c r="A865">
        <f t="shared" si="27"/>
        <v>4601027</v>
      </c>
      <c r="B865">
        <v>2017</v>
      </c>
      <c r="C865" t="s">
        <v>208</v>
      </c>
      <c r="D865" t="s">
        <v>212</v>
      </c>
      <c r="E865" t="s">
        <v>211</v>
      </c>
      <c r="F865" s="3">
        <v>943104</v>
      </c>
      <c r="G865" s="3" t="s">
        <v>186</v>
      </c>
      <c r="H865" s="4">
        <v>61889</v>
      </c>
      <c r="I865" cm="1">
        <f t="array" ref="I865">_xlfn.IFS(B865=2015,H865/$O$10,B865=2016,H865/$O$11,B865=2017,H865/$O$12,B865=2018,H865/$O$13,B865=2019,H865/$O$14,B865=2020,H865/$O$15,B865=2021,H865/$O$16,B865=2022,H865/$O$17)</f>
        <v>1.2778092136632696E-3</v>
      </c>
      <c r="J865" s="6" cm="1">
        <f t="array" ref="J865">_xlfn.IFS(B865=2015,I865*$Q$1,B865=2016,I865*$Q$2,B865=2017,I865*$Q$3,B865=2018,I865*$Q$4,B865=2019,I865*$Q$5,B865=2020,I865*$Q$6,B865=2021,I865*$Q$7,B865=2022,I865*$Q$8)</f>
        <v>33613.4537155324</v>
      </c>
      <c r="K865" s="7">
        <f t="shared" si="28"/>
        <v>95502.453715532407</v>
      </c>
      <c r="L865">
        <f>IFERROR(VLOOKUP(G865,'LEAID Match'!$A$2:$B$168,2,FALSE),"")</f>
        <v>4601027</v>
      </c>
    </row>
    <row r="866" spans="1:12" x14ac:dyDescent="0.2">
      <c r="A866">
        <f t="shared" si="27"/>
        <v>4601027</v>
      </c>
      <c r="B866">
        <v>2018</v>
      </c>
      <c r="C866" t="s">
        <v>208</v>
      </c>
      <c r="D866" t="s">
        <v>212</v>
      </c>
      <c r="E866" t="s">
        <v>211</v>
      </c>
      <c r="F866" s="3">
        <v>943104</v>
      </c>
      <c r="G866" s="3" t="s">
        <v>186</v>
      </c>
      <c r="H866" s="4">
        <v>68992</v>
      </c>
      <c r="I866" cm="1">
        <f t="array" ref="I866">_xlfn.IFS(B866=2015,H866/$O$10,B866=2016,H866/$O$11,B866=2017,H866/$O$12,B866=2018,H866/$O$13,B866=2019,H866/$O$14,B866=2020,H866/$O$15,B866=2021,H866/$O$16,B866=2022,H866/$O$17)</f>
        <v>1.3758801618589634E-3</v>
      </c>
      <c r="J866" s="6" cm="1">
        <f t="array" ref="J866">_xlfn.IFS(B866=2015,I866*$Q$1,B866=2016,I866*$Q$2,B866=2017,I866*$Q$3,B866=2018,I866*$Q$4,B866=2019,I866*$Q$5,B866=2020,I866*$Q$6,B866=2021,I866*$Q$7,B866=2022,I866*$Q$8)</f>
        <v>36124.84673665803</v>
      </c>
      <c r="K866" s="7">
        <f t="shared" si="28"/>
        <v>105116.84673665803</v>
      </c>
      <c r="L866">
        <f>IFERROR(VLOOKUP(G866,'LEAID Match'!$A$2:$B$168,2,FALSE),"")</f>
        <v>4601027</v>
      </c>
    </row>
    <row r="867" spans="1:12" x14ac:dyDescent="0.2">
      <c r="A867">
        <f t="shared" si="27"/>
        <v>4601027</v>
      </c>
      <c r="B867">
        <v>2019</v>
      </c>
      <c r="C867" t="s">
        <v>208</v>
      </c>
      <c r="D867" t="s">
        <v>212</v>
      </c>
      <c r="E867" t="s">
        <v>211</v>
      </c>
      <c r="F867" s="3">
        <v>943104</v>
      </c>
      <c r="G867" s="3" t="s">
        <v>186</v>
      </c>
      <c r="H867" s="4">
        <v>72822</v>
      </c>
      <c r="I867" cm="1">
        <f t="array" ref="I867">_xlfn.IFS(B867=2015,H867/$O$10,B867=2016,H867/$O$11,B867=2017,H867/$O$12,B867=2018,H867/$O$13,B867=2019,H867/$O$14,B867=2020,H867/$O$15,B867=2021,H867/$O$16,B867=2022,H867/$O$17)</f>
        <v>1.4261847735944891E-3</v>
      </c>
      <c r="J867" s="6" cm="1">
        <f t="array" ref="J867">_xlfn.IFS(B867=2015,I867*$Q$1,B867=2016,I867*$Q$2,B867=2017,I867*$Q$3,B867=2018,I867*$Q$4,B867=2019,I867*$Q$5,B867=2020,I867*$Q$6,B867=2021,I867*$Q$7,B867=2022,I867*$Q$8)</f>
        <v>37718.95762132544</v>
      </c>
      <c r="K867" s="7">
        <f t="shared" si="28"/>
        <v>110540.95762132545</v>
      </c>
      <c r="L867">
        <f>IFERROR(VLOOKUP(G867,'LEAID Match'!$A$2:$B$168,2,FALSE),"")</f>
        <v>4601027</v>
      </c>
    </row>
    <row r="868" spans="1:12" x14ac:dyDescent="0.2">
      <c r="A868">
        <f t="shared" si="27"/>
        <v>4601027</v>
      </c>
      <c r="B868">
        <v>2020</v>
      </c>
      <c r="C868" t="s">
        <v>208</v>
      </c>
      <c r="D868" t="s">
        <v>212</v>
      </c>
      <c r="E868" t="s">
        <v>211</v>
      </c>
      <c r="F868" s="1">
        <v>943104</v>
      </c>
      <c r="G868" s="3" t="s">
        <v>186</v>
      </c>
      <c r="H868" s="2">
        <v>71346</v>
      </c>
      <c r="I868" cm="1">
        <f t="array" ref="I868">_xlfn.IFS(B868=2015,H868/$O$10,B868=2016,H868/$O$11,B868=2017,H868/$O$12,B868=2018,H868/$O$13,B868=2019,H868/$O$14,B868=2020,H868/$O$15,B868=2021,H868/$O$16,B868=2022,H868/$O$17)</f>
        <v>1.3512775373983E-3</v>
      </c>
      <c r="J868" s="6" cm="1">
        <f t="array" ref="J868">_xlfn.IFS(B868=2015,I868*$Q$1,B868=2016,I868*$Q$2,B868=2017,I868*$Q$3,B868=2018,I868*$Q$4,B868=2019,I868*$Q$5,B868=2020,I868*$Q$6,B868=2021,I868*$Q$7,B868=2022,I868*$Q$8)</f>
        <v>36741.548386970913</v>
      </c>
      <c r="K868" s="7">
        <f t="shared" si="28"/>
        <v>108087.54838697091</v>
      </c>
      <c r="L868">
        <f>IFERROR(VLOOKUP(G868,'LEAID Match'!$A$2:$B$168,2,FALSE),"")</f>
        <v>4601027</v>
      </c>
    </row>
    <row r="869" spans="1:12" x14ac:dyDescent="0.2">
      <c r="A869">
        <f t="shared" si="27"/>
        <v>4601027</v>
      </c>
      <c r="B869">
        <v>2021</v>
      </c>
      <c r="C869" t="s">
        <v>208</v>
      </c>
      <c r="D869" t="s">
        <v>212</v>
      </c>
      <c r="E869" t="s">
        <v>211</v>
      </c>
      <c r="F869" s="3">
        <v>943104</v>
      </c>
      <c r="G869" s="3" t="s">
        <v>186</v>
      </c>
      <c r="H869" s="4">
        <v>78550</v>
      </c>
      <c r="I869" cm="1">
        <f t="array" ref="I869">_xlfn.IFS(B869=2015,H869/$O$10,B869=2016,H869/$O$11,B869=2017,H869/$O$12,B869=2018,H869/$O$13,B869=2019,H869/$O$14,B869=2020,H869/$O$15,B869=2021,H869/$O$16,B869=2022,H869/$O$17)</f>
        <v>1.4187361822230171E-3</v>
      </c>
      <c r="J869" s="6" cm="1">
        <f t="array" ref="J869">_xlfn.IFS(B869=2015,I869*$Q$1,B869=2016,I869*$Q$2,B869=2017,I869*$Q$3,B869=2018,I869*$Q$4,B869=2019,I869*$Q$5,B869=2020,I869*$Q$6,B869=2021,I869*$Q$7,B869=2022,I869*$Q$8)</f>
        <v>39495.250279873035</v>
      </c>
      <c r="K869" s="7">
        <f t="shared" si="28"/>
        <v>118045.25027987303</v>
      </c>
      <c r="L869">
        <f>IFERROR(VLOOKUP(G869,'LEAID Match'!$A$2:$B$168,2,FALSE),"")</f>
        <v>4601027</v>
      </c>
    </row>
    <row r="870" spans="1:12" x14ac:dyDescent="0.2">
      <c r="A870">
        <f t="shared" si="27"/>
        <v>4601027</v>
      </c>
      <c r="B870">
        <v>2022</v>
      </c>
      <c r="C870" t="s">
        <v>208</v>
      </c>
      <c r="D870" t="s">
        <v>212</v>
      </c>
      <c r="E870" t="s">
        <v>211</v>
      </c>
      <c r="F870" s="3">
        <v>943104</v>
      </c>
      <c r="G870" s="3" t="s">
        <v>186</v>
      </c>
      <c r="H870" s="4">
        <v>79609</v>
      </c>
      <c r="I870" cm="1">
        <f t="array" ref="I870">_xlfn.IFS(B870=2015,H870/$O$10,B870=2016,H870/$O$11,B870=2017,H870/$O$12,B870=2018,H870/$O$13,B870=2019,H870/$O$14,B870=2020,H870/$O$15,B870=2021,H870/$O$16,B870=2022,H870/$O$17)</f>
        <v>1.3787149916988572E-3</v>
      </c>
      <c r="J870" s="6" cm="1">
        <f t="array" ref="J870">_xlfn.IFS(B870=2015,I870*$Q$1,B870=2016,I870*$Q$2,B870=2017,I870*$Q$3,B870=2018,I870*$Q$4,B870=2019,I870*$Q$5,B870=2020,I870*$Q$6,B870=2021,I870*$Q$7,B870=2022,I870*$Q$8)</f>
        <v>40614.111774855381</v>
      </c>
      <c r="K870" s="7">
        <f t="shared" si="28"/>
        <v>120223.11177485538</v>
      </c>
      <c r="L870">
        <f>IFERROR(VLOOKUP(G870,'LEAID Match'!$A$2:$B$168,2,FALSE),"")</f>
        <v>4601027</v>
      </c>
    </row>
    <row r="871" spans="1:12" x14ac:dyDescent="0.2">
      <c r="A871">
        <f t="shared" si="27"/>
        <v>4664140</v>
      </c>
      <c r="B871">
        <v>2015</v>
      </c>
      <c r="C871" t="s">
        <v>208</v>
      </c>
      <c r="D871" t="s">
        <v>212</v>
      </c>
      <c r="E871" t="s">
        <v>211</v>
      </c>
      <c r="F871" s="3">
        <v>943121</v>
      </c>
      <c r="G871" s="3" t="s">
        <v>123</v>
      </c>
      <c r="H871" s="4">
        <v>42878</v>
      </c>
      <c r="I871" cm="1">
        <f t="array" ref="I871">_xlfn.IFS(B871=2015,H871/$O$10,B871=2016,H871/$O$11,B871=2017,H871/$O$12,B871=2018,H871/$O$13,B871=2019,H871/$O$14,B871=2020,H871/$O$15,B871=2021,H871/$O$16,B871=2022,H871/$O$17)</f>
        <v>1.0029290027171803E-3</v>
      </c>
      <c r="J871" s="6" cm="1">
        <f t="array" ref="J871">_xlfn.IFS(B871=2015,I871*$Q$1,B871=2016,I871*$Q$2,B871=2017,I871*$Q$3,B871=2018,I871*$Q$4,B871=2019,I871*$Q$5,B871=2020,I871*$Q$6,B871=2021,I871*$Q$7,B871=2022,I871*$Q$8)</f>
        <v>24664.185488816318</v>
      </c>
      <c r="K871" s="7">
        <f t="shared" si="28"/>
        <v>67542.185488816322</v>
      </c>
      <c r="L871">
        <f>IFERROR(VLOOKUP(G871,'LEAID Match'!$A$2:$B$168,2,FALSE),"")</f>
        <v>4664140</v>
      </c>
    </row>
    <row r="872" spans="1:12" x14ac:dyDescent="0.2">
      <c r="A872">
        <f t="shared" si="27"/>
        <v>4664140</v>
      </c>
      <c r="B872">
        <v>2016</v>
      </c>
      <c r="C872" t="s">
        <v>208</v>
      </c>
      <c r="D872" t="s">
        <v>212</v>
      </c>
      <c r="E872" t="s">
        <v>211</v>
      </c>
      <c r="F872" s="3">
        <v>943121</v>
      </c>
      <c r="G872" s="3" t="s">
        <v>123</v>
      </c>
      <c r="H872" s="4">
        <v>40530</v>
      </c>
      <c r="I872" cm="1">
        <f t="array" ref="I872">_xlfn.IFS(B872=2015,H872/$O$10,B872=2016,H872/$O$11,B872=2017,H872/$O$12,B872=2018,H872/$O$13,B872=2019,H872/$O$14,B872=2020,H872/$O$15,B872=2021,H872/$O$16,B872=2022,H872/$O$17)</f>
        <v>9.1930391931265194E-4</v>
      </c>
      <c r="J872" s="6" cm="1">
        <f t="array" ref="J872">_xlfn.IFS(B872=2015,I872*$Q$1,B872=2016,I872*$Q$2,B872=2017,I872*$Q$3,B872=2018,I872*$Q$4,B872=2019,I872*$Q$5,B872=2020,I872*$Q$6,B872=2021,I872*$Q$7,B872=2022,I872*$Q$8)</f>
        <v>23355.65610979297</v>
      </c>
      <c r="K872" s="7">
        <f t="shared" si="28"/>
        <v>63885.656109792966</v>
      </c>
      <c r="L872">
        <f>IFERROR(VLOOKUP(G872,'LEAID Match'!$A$2:$B$168,2,FALSE),"")</f>
        <v>4664140</v>
      </c>
    </row>
    <row r="873" spans="1:12" x14ac:dyDescent="0.2">
      <c r="A873">
        <f t="shared" si="27"/>
        <v>4664140</v>
      </c>
      <c r="B873">
        <v>2017</v>
      </c>
      <c r="C873" t="s">
        <v>208</v>
      </c>
      <c r="D873" t="s">
        <v>212</v>
      </c>
      <c r="E873" t="s">
        <v>211</v>
      </c>
      <c r="F873" s="3">
        <v>943121</v>
      </c>
      <c r="G873" s="3" t="s">
        <v>123</v>
      </c>
      <c r="H873" s="4">
        <v>67422</v>
      </c>
      <c r="I873" cm="1">
        <f t="array" ref="I873">_xlfn.IFS(B873=2015,H873/$O$10,B873=2016,H873/$O$11,B873=2017,H873/$O$12,B873=2018,H873/$O$13,B873=2019,H873/$O$14,B873=2020,H873/$O$15,B873=2021,H873/$O$16,B873=2022,H873/$O$17)</f>
        <v>1.3920479051787065E-3</v>
      </c>
      <c r="J873" s="6" cm="1">
        <f t="array" ref="J873">_xlfn.IFS(B873=2015,I873*$Q$1,B873=2016,I873*$Q$2,B873=2017,I873*$Q$3,B873=2018,I873*$Q$4,B873=2019,I873*$Q$5,B873=2020,I873*$Q$6,B873=2021,I873*$Q$7,B873=2022,I873*$Q$8)</f>
        <v>36618.563499307238</v>
      </c>
      <c r="K873" s="7">
        <f t="shared" si="28"/>
        <v>104040.56349930723</v>
      </c>
      <c r="L873">
        <f>IFERROR(VLOOKUP(G873,'LEAID Match'!$A$2:$B$168,2,FALSE),"")</f>
        <v>4664140</v>
      </c>
    </row>
    <row r="874" spans="1:12" x14ac:dyDescent="0.2">
      <c r="A874">
        <f t="shared" si="27"/>
        <v>4664140</v>
      </c>
      <c r="B874">
        <v>2018</v>
      </c>
      <c r="C874" t="s">
        <v>208</v>
      </c>
      <c r="D874" t="s">
        <v>212</v>
      </c>
      <c r="E874" t="s">
        <v>211</v>
      </c>
      <c r="F874" s="3">
        <v>943121</v>
      </c>
      <c r="G874" s="3" t="s">
        <v>123</v>
      </c>
      <c r="H874" s="4">
        <v>73908</v>
      </c>
      <c r="I874" cm="1">
        <f t="array" ref="I874">_xlfn.IFS(B874=2015,H874/$O$10,B874=2016,H874/$O$11,B874=2017,H874/$O$12,B874=2018,H874/$O$13,B874=2019,H874/$O$14,B874=2020,H874/$O$15,B874=2021,H874/$O$16,B874=2022,H874/$O$17)</f>
        <v>1.4739180050248183E-3</v>
      </c>
      <c r="J874" s="6" cm="1">
        <f t="array" ref="J874">_xlfn.IFS(B874=2015,I874*$Q$1,B874=2016,I874*$Q$2,B874=2017,I874*$Q$3,B874=2018,I874*$Q$4,B874=2019,I874*$Q$5,B874=2020,I874*$Q$6,B874=2021,I874*$Q$7,B874=2022,I874*$Q$8)</f>
        <v>38698.909621592669</v>
      </c>
      <c r="K874" s="7">
        <f t="shared" si="28"/>
        <v>112606.90962159267</v>
      </c>
      <c r="L874">
        <f>IFERROR(VLOOKUP(G874,'LEAID Match'!$A$2:$B$168,2,FALSE),"")</f>
        <v>4664140</v>
      </c>
    </row>
    <row r="875" spans="1:12" x14ac:dyDescent="0.2">
      <c r="A875">
        <f t="shared" si="27"/>
        <v>4664140</v>
      </c>
      <c r="B875">
        <v>2019</v>
      </c>
      <c r="C875" t="s">
        <v>208</v>
      </c>
      <c r="D875" t="s">
        <v>212</v>
      </c>
      <c r="E875" t="s">
        <v>211</v>
      </c>
      <c r="F875" s="3">
        <v>943121</v>
      </c>
      <c r="G875" s="3" t="s">
        <v>123</v>
      </c>
      <c r="H875" s="4">
        <v>74380</v>
      </c>
      <c r="I875" cm="1">
        <f t="array" ref="I875">_xlfn.IFS(B875=2015,H875/$O$10,B875=2016,H875/$O$11,B875=2017,H875/$O$12,B875=2018,H875/$O$13,B875=2019,H875/$O$14,B875=2020,H875/$O$15,B875=2021,H875/$O$16,B875=2022,H875/$O$17)</f>
        <v>1.45669747411439E-3</v>
      </c>
      <c r="J875" s="6" cm="1">
        <f t="array" ref="J875">_xlfn.IFS(B875=2015,I875*$Q$1,B875=2016,I875*$Q$2,B875=2017,I875*$Q$3,B875=2018,I875*$Q$4,B875=2019,I875*$Q$5,B875=2020,I875*$Q$6,B875=2021,I875*$Q$7,B875=2022,I875*$Q$8)</f>
        <v>38525.940895253996</v>
      </c>
      <c r="K875" s="7">
        <f t="shared" si="28"/>
        <v>112905.940895254</v>
      </c>
      <c r="L875">
        <f>IFERROR(VLOOKUP(G875,'LEAID Match'!$A$2:$B$168,2,FALSE),"")</f>
        <v>4664140</v>
      </c>
    </row>
    <row r="876" spans="1:12" x14ac:dyDescent="0.2">
      <c r="A876">
        <f t="shared" si="27"/>
        <v>4664140</v>
      </c>
      <c r="B876">
        <v>2020</v>
      </c>
      <c r="C876" t="s">
        <v>208</v>
      </c>
      <c r="D876" t="s">
        <v>212</v>
      </c>
      <c r="E876" t="s">
        <v>211</v>
      </c>
      <c r="F876" s="1">
        <v>943121</v>
      </c>
      <c r="G876" s="3" t="s">
        <v>123</v>
      </c>
      <c r="H876" s="2">
        <v>77966</v>
      </c>
      <c r="I876" cm="1">
        <f t="array" ref="I876">_xlfn.IFS(B876=2015,H876/$O$10,B876=2016,H876/$O$11,B876=2017,H876/$O$12,B876=2018,H876/$O$13,B876=2019,H876/$O$14,B876=2020,H876/$O$15,B876=2021,H876/$O$16,B876=2022,H876/$O$17)</f>
        <v>1.4766588803968809E-3</v>
      </c>
      <c r="J876" s="6" cm="1">
        <f t="array" ref="J876">_xlfn.IFS(B876=2015,I876*$Q$1,B876=2016,I876*$Q$2,B876=2017,I876*$Q$3,B876=2018,I876*$Q$4,B876=2019,I876*$Q$5,B876=2020,I876*$Q$6,B876=2021,I876*$Q$7,B876=2022,I876*$Q$8)</f>
        <v>40150.696066192562</v>
      </c>
      <c r="K876" s="7">
        <f t="shared" si="28"/>
        <v>118116.69606619256</v>
      </c>
      <c r="L876">
        <f>IFERROR(VLOOKUP(G876,'LEAID Match'!$A$2:$B$168,2,FALSE),"")</f>
        <v>4664140</v>
      </c>
    </row>
    <row r="877" spans="1:12" x14ac:dyDescent="0.2">
      <c r="A877">
        <f t="shared" si="27"/>
        <v>4664140</v>
      </c>
      <c r="B877">
        <v>2021</v>
      </c>
      <c r="C877" t="s">
        <v>208</v>
      </c>
      <c r="D877" t="s">
        <v>212</v>
      </c>
      <c r="E877" t="s">
        <v>211</v>
      </c>
      <c r="F877" s="3">
        <v>943121</v>
      </c>
      <c r="G877" s="3" t="s">
        <v>123</v>
      </c>
      <c r="H877" s="4">
        <v>78628</v>
      </c>
      <c r="I877" cm="1">
        <f t="array" ref="I877">_xlfn.IFS(B877=2015,H877/$O$10,B877=2016,H877/$O$11,B877=2017,H877/$O$12,B877=2018,H877/$O$13,B877=2019,H877/$O$14,B877=2020,H877/$O$15,B877=2021,H877/$O$16,B877=2022,H877/$O$17)</f>
        <v>1.4201449845427294E-3</v>
      </c>
      <c r="J877" s="6" cm="1">
        <f t="array" ref="J877">_xlfn.IFS(B877=2015,I877*$Q$1,B877=2016,I877*$Q$2,B877=2017,I877*$Q$3,B877=2018,I877*$Q$4,B877=2019,I877*$Q$5,B877=2020,I877*$Q$6,B877=2021,I877*$Q$7,B877=2022,I877*$Q$8)</f>
        <v>39534.468987980355</v>
      </c>
      <c r="K877" s="7">
        <f t="shared" si="28"/>
        <v>118162.46898798036</v>
      </c>
      <c r="L877">
        <f>IFERROR(VLOOKUP(G877,'LEAID Match'!$A$2:$B$168,2,FALSE),"")</f>
        <v>4664140</v>
      </c>
    </row>
    <row r="878" spans="1:12" x14ac:dyDescent="0.2">
      <c r="A878">
        <f t="shared" si="27"/>
        <v>4664140</v>
      </c>
      <c r="B878">
        <v>2022</v>
      </c>
      <c r="C878" t="s">
        <v>208</v>
      </c>
      <c r="D878" t="s">
        <v>212</v>
      </c>
      <c r="E878" t="s">
        <v>211</v>
      </c>
      <c r="F878" s="3">
        <v>943121</v>
      </c>
      <c r="G878" s="3" t="s">
        <v>123</v>
      </c>
      <c r="H878" s="4">
        <v>87906</v>
      </c>
      <c r="I878" cm="1">
        <f t="array" ref="I878">_xlfn.IFS(B878=2015,H878/$O$10,B878=2016,H878/$O$11,B878=2017,H878/$O$12,B878=2018,H878/$O$13,B878=2019,H878/$O$14,B878=2020,H878/$O$15,B878=2021,H878/$O$16,B878=2022,H878/$O$17)</f>
        <v>1.5224072662673787E-3</v>
      </c>
      <c r="J878" s="6" cm="1">
        <f t="array" ref="J878">_xlfn.IFS(B878=2015,I878*$Q$1,B878=2016,I878*$Q$2,B878=2017,I878*$Q$3,B878=2018,I878*$Q$4,B878=2019,I878*$Q$5,B878=2020,I878*$Q$6,B878=2021,I878*$Q$7,B878=2022,I878*$Q$8)</f>
        <v>44846.991039712062</v>
      </c>
      <c r="K878" s="7">
        <f t="shared" si="28"/>
        <v>132752.99103971207</v>
      </c>
      <c r="L878">
        <f>IFERROR(VLOOKUP(G878,'LEAID Match'!$A$2:$B$168,2,FALSE),"")</f>
        <v>4664140</v>
      </c>
    </row>
    <row r="879" spans="1:12" x14ac:dyDescent="0.2">
      <c r="A879">
        <f t="shared" si="27"/>
        <v>4639600</v>
      </c>
      <c r="B879">
        <v>2015</v>
      </c>
      <c r="C879" t="s">
        <v>208</v>
      </c>
      <c r="D879" t="s">
        <v>212</v>
      </c>
      <c r="E879" t="s">
        <v>211</v>
      </c>
      <c r="F879" s="3">
        <v>943122</v>
      </c>
      <c r="G879" s="3" t="s">
        <v>90</v>
      </c>
      <c r="H879" s="4">
        <v>311052</v>
      </c>
      <c r="I879" cm="1">
        <f t="array" ref="I879">_xlfn.IFS(B879=2015,H879/$O$10,B879=2016,H879/$O$11,B879=2017,H879/$O$12,B879=2018,H879/$O$13,B879=2019,H879/$O$14,B879=2020,H879/$O$15,B879=2021,H879/$O$16,B879=2022,H879/$O$17)</f>
        <v>7.2755975594287125E-3</v>
      </c>
      <c r="J879" s="6" cm="1">
        <f t="array" ref="J879">_xlfn.IFS(B879=2015,I879*$Q$1,B879=2016,I879*$Q$2,B879=2017,I879*$Q$3,B879=2018,I879*$Q$4,B879=2019,I879*$Q$5,B879=2020,I879*$Q$6,B879=2021,I879*$Q$7,B879=2022,I879*$Q$8)</f>
        <v>178922.62289909262</v>
      </c>
      <c r="K879" s="7">
        <f t="shared" si="28"/>
        <v>489974.62289909262</v>
      </c>
      <c r="L879">
        <f>IFERROR(VLOOKUP(G879,'LEAID Match'!$A$2:$B$168,2,FALSE),"")</f>
        <v>4639600</v>
      </c>
    </row>
    <row r="880" spans="1:12" x14ac:dyDescent="0.2">
      <c r="A880">
        <f t="shared" si="27"/>
        <v>4639600</v>
      </c>
      <c r="B880">
        <v>2016</v>
      </c>
      <c r="C880" t="s">
        <v>208</v>
      </c>
      <c r="D880" t="s">
        <v>212</v>
      </c>
      <c r="E880" t="s">
        <v>211</v>
      </c>
      <c r="F880" s="3">
        <v>943122</v>
      </c>
      <c r="G880" s="3" t="s">
        <v>90</v>
      </c>
      <c r="H880" s="4">
        <v>324552</v>
      </c>
      <c r="I880" cm="1">
        <f t="array" ref="I880">_xlfn.IFS(B880=2015,H880/$O$10,B880=2016,H880/$O$11,B880=2017,H880/$O$12,B880=2018,H880/$O$13,B880=2019,H880/$O$14,B880=2020,H880/$O$15,B880=2021,H880/$O$16,B880=2022,H880/$O$17)</f>
        <v>7.3615081574330077E-3</v>
      </c>
      <c r="J880" s="6" cm="1">
        <f t="array" ref="J880">_xlfn.IFS(B880=2015,I880*$Q$1,B880=2016,I880*$Q$2,B880=2017,I880*$Q$3,B880=2018,I880*$Q$4,B880=2019,I880*$Q$5,B880=2020,I880*$Q$6,B880=2021,I880*$Q$7,B880=2022,I880*$Q$8)</f>
        <v>187025.04075365228</v>
      </c>
      <c r="K880" s="7">
        <f t="shared" si="28"/>
        <v>511577.04075365228</v>
      </c>
      <c r="L880">
        <f>IFERROR(VLOOKUP(G880,'LEAID Match'!$A$2:$B$168,2,FALSE),"")</f>
        <v>4639600</v>
      </c>
    </row>
    <row r="881" spans="1:12" x14ac:dyDescent="0.2">
      <c r="A881">
        <f t="shared" si="27"/>
        <v>4639600</v>
      </c>
      <c r="B881">
        <v>2017</v>
      </c>
      <c r="C881" t="s">
        <v>208</v>
      </c>
      <c r="D881" t="s">
        <v>212</v>
      </c>
      <c r="E881" t="s">
        <v>211</v>
      </c>
      <c r="F881" s="3">
        <v>943122</v>
      </c>
      <c r="G881" s="3" t="s">
        <v>90</v>
      </c>
      <c r="H881" s="4">
        <v>353561</v>
      </c>
      <c r="I881" cm="1">
        <f t="array" ref="I881">_xlfn.IFS(B881=2015,H881/$O$10,B881=2016,H881/$O$11,B881=2017,H881/$O$12,B881=2018,H881/$O$13,B881=2019,H881/$O$14,B881=2020,H881/$O$15,B881=2021,H881/$O$16,B881=2022,H881/$O$17)</f>
        <v>7.2998998754544306E-3</v>
      </c>
      <c r="J881" s="6" cm="1">
        <f t="array" ref="J881">_xlfn.IFS(B881=2015,I881*$Q$1,B881=2016,I881*$Q$2,B881=2017,I881*$Q$3,B881=2018,I881*$Q$4,B881=2019,I881*$Q$5,B881=2020,I881*$Q$6,B881=2021,I881*$Q$7,B881=2022,I881*$Q$8)</f>
        <v>192027.7643703623</v>
      </c>
      <c r="K881" s="7">
        <f t="shared" si="28"/>
        <v>545588.76437036227</v>
      </c>
      <c r="L881">
        <f>IFERROR(VLOOKUP(G881,'LEAID Match'!$A$2:$B$168,2,FALSE),"")</f>
        <v>4639600</v>
      </c>
    </row>
    <row r="882" spans="1:12" x14ac:dyDescent="0.2">
      <c r="A882">
        <f t="shared" si="27"/>
        <v>4639600</v>
      </c>
      <c r="B882">
        <v>2018</v>
      </c>
      <c r="C882" t="s">
        <v>208</v>
      </c>
      <c r="D882" t="s">
        <v>212</v>
      </c>
      <c r="E882" t="s">
        <v>211</v>
      </c>
      <c r="F882" s="3">
        <v>943122</v>
      </c>
      <c r="G882" s="3" t="s">
        <v>90</v>
      </c>
      <c r="H882" s="4">
        <v>365529</v>
      </c>
      <c r="I882" cm="1">
        <f t="array" ref="I882">_xlfn.IFS(B882=2015,H882/$O$10,B882=2016,H882/$O$11,B882=2017,H882/$O$12,B882=2018,H882/$O$13,B882=2019,H882/$O$14,B882=2020,H882/$O$15,B882=2021,H882/$O$16,B882=2022,H882/$O$17)</f>
        <v>7.2896002389283548E-3</v>
      </c>
      <c r="J882" s="6" cm="1">
        <f t="array" ref="J882">_xlfn.IFS(B882=2015,I882*$Q$1,B882=2016,I882*$Q$2,B882=2017,I882*$Q$3,B882=2018,I882*$Q$4,B882=2019,I882*$Q$5,B882=2020,I882*$Q$6,B882=2021,I882*$Q$7,B882=2022,I882*$Q$8)</f>
        <v>191394.35155965725</v>
      </c>
      <c r="K882" s="7">
        <f t="shared" si="28"/>
        <v>556923.35155965725</v>
      </c>
      <c r="L882">
        <f>IFERROR(VLOOKUP(G882,'LEAID Match'!$A$2:$B$168,2,FALSE),"")</f>
        <v>4639600</v>
      </c>
    </row>
    <row r="883" spans="1:12" x14ac:dyDescent="0.2">
      <c r="A883">
        <f t="shared" si="27"/>
        <v>4639600</v>
      </c>
      <c r="B883">
        <v>2019</v>
      </c>
      <c r="C883" t="s">
        <v>208</v>
      </c>
      <c r="D883" t="s">
        <v>212</v>
      </c>
      <c r="E883" t="s">
        <v>211</v>
      </c>
      <c r="F883" s="3">
        <v>943122</v>
      </c>
      <c r="G883" s="3" t="s">
        <v>90</v>
      </c>
      <c r="H883" s="4">
        <v>368928</v>
      </c>
      <c r="I883" cm="1">
        <f t="array" ref="I883">_xlfn.IFS(B883=2015,H883/$O$10,B883=2016,H883/$O$11,B883=2017,H883/$O$12,B883=2018,H883/$O$13,B883=2019,H883/$O$14,B883=2020,H883/$O$15,B883=2021,H883/$O$16,B883=2022,H883/$O$17)</f>
        <v>7.2252821421090836E-3</v>
      </c>
      <c r="J883" s="6" cm="1">
        <f t="array" ref="J883">_xlfn.IFS(B883=2015,I883*$Q$1,B883=2016,I883*$Q$2,B883=2017,I883*$Q$3,B883=2018,I883*$Q$4,B883=2019,I883*$Q$5,B883=2020,I883*$Q$6,B883=2021,I883*$Q$7,B883=2022,I883*$Q$8)</f>
        <v>191090.3243157336</v>
      </c>
      <c r="K883" s="7">
        <f t="shared" si="28"/>
        <v>560018.32431573363</v>
      </c>
      <c r="L883">
        <f>IFERROR(VLOOKUP(G883,'LEAID Match'!$A$2:$B$168,2,FALSE),"")</f>
        <v>4639600</v>
      </c>
    </row>
    <row r="884" spans="1:12" x14ac:dyDescent="0.2">
      <c r="A884">
        <f t="shared" si="27"/>
        <v>4639600</v>
      </c>
      <c r="B884">
        <v>2020</v>
      </c>
      <c r="C884" t="s">
        <v>208</v>
      </c>
      <c r="D884" t="s">
        <v>212</v>
      </c>
      <c r="E884" t="s">
        <v>211</v>
      </c>
      <c r="F884" s="1">
        <v>943122</v>
      </c>
      <c r="G884" s="3" t="s">
        <v>90</v>
      </c>
      <c r="H884" s="2">
        <v>378491</v>
      </c>
      <c r="I884" cm="1">
        <f t="array" ref="I884">_xlfn.IFS(B884=2015,H884/$O$10,B884=2016,H884/$O$11,B884=2017,H884/$O$12,B884=2018,H884/$O$13,B884=2019,H884/$O$14,B884=2020,H884/$O$15,B884=2021,H884/$O$16,B884=2022,H884/$O$17)</f>
        <v>7.1685362375945392E-3</v>
      </c>
      <c r="J884" s="6" cm="1">
        <f t="array" ref="J884">_xlfn.IFS(B884=2015,I884*$Q$1,B884=2016,I884*$Q$2,B884=2017,I884*$Q$3,B884=2018,I884*$Q$4,B884=2019,I884*$Q$5,B884=2020,I884*$Q$6,B884=2021,I884*$Q$7,B884=2022,I884*$Q$8)</f>
        <v>194914.15623206639</v>
      </c>
      <c r="K884" s="7">
        <f t="shared" si="28"/>
        <v>573405.15623206645</v>
      </c>
      <c r="L884">
        <f>IFERROR(VLOOKUP(G884,'LEAID Match'!$A$2:$B$168,2,FALSE),"")</f>
        <v>4639600</v>
      </c>
    </row>
    <row r="885" spans="1:12" x14ac:dyDescent="0.2">
      <c r="A885">
        <f t="shared" si="27"/>
        <v>4639600</v>
      </c>
      <c r="B885">
        <v>2021</v>
      </c>
      <c r="C885" t="s">
        <v>208</v>
      </c>
      <c r="D885" t="s">
        <v>212</v>
      </c>
      <c r="E885" t="s">
        <v>211</v>
      </c>
      <c r="F885" s="3">
        <v>943122</v>
      </c>
      <c r="G885" s="3" t="s">
        <v>90</v>
      </c>
      <c r="H885" s="4">
        <v>381735</v>
      </c>
      <c r="I885" cm="1">
        <f t="array" ref="I885">_xlfn.IFS(B885=2015,H885/$O$10,B885=2016,H885/$O$11,B885=2017,H885/$O$12,B885=2018,H885/$O$13,B885=2019,H885/$O$14,B885=2020,H885/$O$15,B885=2021,H885/$O$16,B885=2022,H885/$O$17)</f>
        <v>6.8947327373762371E-3</v>
      </c>
      <c r="J885" s="6" cm="1">
        <f t="array" ref="J885">_xlfn.IFS(B885=2015,I885*$Q$1,B885=2016,I885*$Q$2,B885=2017,I885*$Q$3,B885=2018,I885*$Q$4,B885=2019,I885*$Q$5,B885=2020,I885*$Q$6,B885=2021,I885*$Q$7,B885=2022,I885*$Q$8)</f>
        <v>191937.86588908124</v>
      </c>
      <c r="K885" s="7">
        <f t="shared" si="28"/>
        <v>573672.86588908127</v>
      </c>
      <c r="L885">
        <f>IFERROR(VLOOKUP(G885,'LEAID Match'!$A$2:$B$168,2,FALSE),"")</f>
        <v>4639600</v>
      </c>
    </row>
    <row r="886" spans="1:12" x14ac:dyDescent="0.2">
      <c r="A886">
        <f t="shared" si="27"/>
        <v>4639600</v>
      </c>
      <c r="B886">
        <v>2022</v>
      </c>
      <c r="C886" t="s">
        <v>208</v>
      </c>
      <c r="D886" t="s">
        <v>212</v>
      </c>
      <c r="E886" t="s">
        <v>211</v>
      </c>
      <c r="F886" s="3">
        <v>943122</v>
      </c>
      <c r="G886" s="3" t="s">
        <v>90</v>
      </c>
      <c r="H886" s="4">
        <v>405905</v>
      </c>
      <c r="I886" cm="1">
        <f t="array" ref="I886">_xlfn.IFS(B886=2015,H886/$O$10,B886=2016,H886/$O$11,B886=2017,H886/$O$12,B886=2018,H886/$O$13,B886=2019,H886/$O$14,B886=2020,H886/$O$15,B886=2021,H886/$O$16,B886=2022,H886/$O$17)</f>
        <v>7.0296990127438437E-3</v>
      </c>
      <c r="J886" s="6" cm="1">
        <f t="array" ref="J886">_xlfn.IFS(B886=2015,I886*$Q$1,B886=2016,I886*$Q$2,B886=2017,I886*$Q$3,B886=2018,I886*$Q$4,B886=2019,I886*$Q$5,B886=2020,I886*$Q$6,B886=2021,I886*$Q$7,B886=2022,I886*$Q$8)</f>
        <v>207080.49391366146</v>
      </c>
      <c r="K886" s="7">
        <f t="shared" si="28"/>
        <v>612985.49391366146</v>
      </c>
      <c r="L886">
        <f>IFERROR(VLOOKUP(G886,'LEAID Match'!$A$2:$B$168,2,FALSE),"")</f>
        <v>4639600</v>
      </c>
    </row>
    <row r="887" spans="1:12" x14ac:dyDescent="0.2">
      <c r="A887">
        <f t="shared" si="27"/>
        <v>4612300</v>
      </c>
      <c r="B887">
        <v>2015</v>
      </c>
      <c r="C887" t="s">
        <v>208</v>
      </c>
      <c r="D887" t="s">
        <v>212</v>
      </c>
      <c r="E887" t="s">
        <v>211</v>
      </c>
      <c r="F887" s="3">
        <v>943123</v>
      </c>
      <c r="G887" s="3" t="s">
        <v>25</v>
      </c>
      <c r="H887" s="4">
        <v>163515</v>
      </c>
      <c r="I887" cm="1">
        <f t="array" ref="I887">_xlfn.IFS(B887=2015,H887/$O$10,B887=2016,H887/$O$11,B887=2017,H887/$O$12,B887=2018,H887/$O$13,B887=2019,H887/$O$14,B887=2020,H887/$O$15,B887=2021,H887/$O$16,B887=2022,H887/$O$17)</f>
        <v>3.8246638341177231E-3</v>
      </c>
      <c r="J887" s="6" cm="1">
        <f t="array" ref="J887">_xlfn.IFS(B887=2015,I887*$Q$1,B887=2016,I887*$Q$2,B887=2017,I887*$Q$3,B887=2018,I887*$Q$4,B887=2019,I887*$Q$5,B887=2020,I887*$Q$6,B887=2021,I887*$Q$7,B887=2022,I887*$Q$8)</f>
        <v>94056.725831517339</v>
      </c>
      <c r="K887" s="7">
        <f t="shared" si="28"/>
        <v>257571.72583151734</v>
      </c>
      <c r="L887">
        <f>IFERROR(VLOOKUP(G887,'LEAID Match'!$A$2:$B$168,2,FALSE),"")</f>
        <v>4612300</v>
      </c>
    </row>
    <row r="888" spans="1:12" x14ac:dyDescent="0.2">
      <c r="A888">
        <f t="shared" si="27"/>
        <v>4612300</v>
      </c>
      <c r="B888">
        <v>2016</v>
      </c>
      <c r="C888" t="s">
        <v>208</v>
      </c>
      <c r="D888" t="s">
        <v>212</v>
      </c>
      <c r="E888" t="s">
        <v>211</v>
      </c>
      <c r="F888" s="3">
        <v>943123</v>
      </c>
      <c r="G888" s="3" t="s">
        <v>25</v>
      </c>
      <c r="H888" s="4">
        <v>167300</v>
      </c>
      <c r="I888" cm="1">
        <f t="array" ref="I888">_xlfn.IFS(B888=2015,H888/$O$10,B888=2016,H888/$O$11,B888=2017,H888/$O$12,B888=2018,H888/$O$13,B888=2019,H888/$O$14,B888=2020,H888/$O$15,B888=2021,H888/$O$16,B888=2022,H888/$O$17)</f>
        <v>3.794708751566905E-3</v>
      </c>
      <c r="J888" s="6" cm="1">
        <f t="array" ref="J888">_xlfn.IFS(B888=2015,I888*$Q$1,B888=2016,I888*$Q$2,B888=2017,I888*$Q$3,B888=2018,I888*$Q$4,B888=2019,I888*$Q$5,B888=2020,I888*$Q$6,B888=2021,I888*$Q$7,B888=2022,I888*$Q$8)</f>
        <v>96407.630574102237</v>
      </c>
      <c r="K888" s="7">
        <f t="shared" si="28"/>
        <v>263707.63057410222</v>
      </c>
      <c r="L888">
        <f>IFERROR(VLOOKUP(G888,'LEAID Match'!$A$2:$B$168,2,FALSE),"")</f>
        <v>4612300</v>
      </c>
    </row>
    <row r="889" spans="1:12" x14ac:dyDescent="0.2">
      <c r="A889">
        <f t="shared" si="27"/>
        <v>4612300</v>
      </c>
      <c r="B889">
        <v>2017</v>
      </c>
      <c r="C889" t="s">
        <v>208</v>
      </c>
      <c r="D889" t="s">
        <v>212</v>
      </c>
      <c r="E889" t="s">
        <v>211</v>
      </c>
      <c r="F889" s="3">
        <v>943123</v>
      </c>
      <c r="G889" s="3" t="s">
        <v>25</v>
      </c>
      <c r="H889" s="4">
        <v>177153</v>
      </c>
      <c r="I889" cm="1">
        <f t="array" ref="I889">_xlfn.IFS(B889=2015,H889/$O$10,B889=2016,H889/$O$11,B889=2017,H889/$O$12,B889=2018,H889/$O$13,B889=2019,H889/$O$14,B889=2020,H889/$O$15,B889=2021,H889/$O$16,B889=2022,H889/$O$17)</f>
        <v>3.6576408671668502E-3</v>
      </c>
      <c r="J889" s="6" cm="1">
        <f t="array" ref="J889">_xlfn.IFS(B889=2015,I889*$Q$1,B889=2016,I889*$Q$2,B889=2017,I889*$Q$3,B889=2018,I889*$Q$4,B889=2019,I889*$Q$5,B889=2020,I889*$Q$6,B889=2021,I889*$Q$7,B889=2022,I889*$Q$8)</f>
        <v>96216.196191047056</v>
      </c>
      <c r="K889" s="7">
        <f t="shared" si="28"/>
        <v>273369.19619104709</v>
      </c>
      <c r="L889">
        <f>IFERROR(VLOOKUP(G889,'LEAID Match'!$A$2:$B$168,2,FALSE),"")</f>
        <v>4612300</v>
      </c>
    </row>
    <row r="890" spans="1:12" x14ac:dyDescent="0.2">
      <c r="A890">
        <f t="shared" si="27"/>
        <v>4612300</v>
      </c>
      <c r="B890">
        <v>2018</v>
      </c>
      <c r="C890" t="s">
        <v>208</v>
      </c>
      <c r="D890" t="s">
        <v>212</v>
      </c>
      <c r="E890" t="s">
        <v>211</v>
      </c>
      <c r="F890" s="3">
        <v>943123</v>
      </c>
      <c r="G890" s="3" t="s">
        <v>25</v>
      </c>
      <c r="H890" s="4">
        <v>175640</v>
      </c>
      <c r="I890" cm="1">
        <f t="array" ref="I890">_xlfn.IFS(B890=2015,H890/$O$10,B890=2016,H890/$O$11,B890=2017,H890/$O$12,B890=2018,H890/$O$13,B890=2019,H890/$O$14,B890=2020,H890/$O$15,B890=2021,H890/$O$16,B890=2022,H890/$O$17)</f>
        <v>3.5027190345099193E-3</v>
      </c>
      <c r="J890" s="6" cm="1">
        <f t="array" ref="J890">_xlfn.IFS(B890=2015,I890*$Q$1,B890=2016,I890*$Q$2,B890=2017,I890*$Q$3,B890=2018,I890*$Q$4,B890=2019,I890*$Q$5,B890=2020,I890*$Q$6,B890=2021,I890*$Q$7,B890=2022,I890*$Q$8)</f>
        <v>91966.721950756852</v>
      </c>
      <c r="K890" s="7">
        <f t="shared" si="28"/>
        <v>267606.72195075685</v>
      </c>
      <c r="L890">
        <f>IFERROR(VLOOKUP(G890,'LEAID Match'!$A$2:$B$168,2,FALSE),"")</f>
        <v>4612300</v>
      </c>
    </row>
    <row r="891" spans="1:12" x14ac:dyDescent="0.2">
      <c r="A891">
        <f t="shared" si="27"/>
        <v>4612300</v>
      </c>
      <c r="B891">
        <v>2019</v>
      </c>
      <c r="C891" t="s">
        <v>208</v>
      </c>
      <c r="D891" t="s">
        <v>212</v>
      </c>
      <c r="E891" t="s">
        <v>211</v>
      </c>
      <c r="F891" s="3">
        <v>943123</v>
      </c>
      <c r="G891" s="3" t="s">
        <v>25</v>
      </c>
      <c r="H891" s="4">
        <v>182762</v>
      </c>
      <c r="I891" cm="1">
        <f t="array" ref="I891">_xlfn.IFS(B891=2015,H891/$O$10,B891=2016,H891/$O$11,B891=2017,H891/$O$12,B891=2018,H891/$O$13,B891=2019,H891/$O$14,B891=2020,H891/$O$15,B891=2021,H891/$O$16,B891=2022,H891/$O$17)</f>
        <v>3.5793081979577056E-3</v>
      </c>
      <c r="J891" s="6" cm="1">
        <f t="array" ref="J891">_xlfn.IFS(B891=2015,I891*$Q$1,B891=2016,I891*$Q$2,B891=2017,I891*$Q$3,B891=2018,I891*$Q$4,B891=2019,I891*$Q$5,B891=2020,I891*$Q$6,B891=2021,I891*$Q$7,B891=2022,I891*$Q$8)</f>
        <v>94663.592496617508</v>
      </c>
      <c r="K891" s="7">
        <f t="shared" si="28"/>
        <v>277425.59249661752</v>
      </c>
      <c r="L891">
        <f>IFERROR(VLOOKUP(G891,'LEAID Match'!$A$2:$B$168,2,FALSE),"")</f>
        <v>4612300</v>
      </c>
    </row>
    <row r="892" spans="1:12" x14ac:dyDescent="0.2">
      <c r="A892">
        <f t="shared" si="27"/>
        <v>4612300</v>
      </c>
      <c r="B892">
        <v>2020</v>
      </c>
      <c r="C892" t="s">
        <v>208</v>
      </c>
      <c r="D892" t="s">
        <v>212</v>
      </c>
      <c r="E892" t="s">
        <v>211</v>
      </c>
      <c r="F892" s="1">
        <v>943123</v>
      </c>
      <c r="G892" s="3" t="s">
        <v>25</v>
      </c>
      <c r="H892" s="2">
        <v>186427</v>
      </c>
      <c r="I892" cm="1">
        <f t="array" ref="I892">_xlfn.IFS(B892=2015,H892/$O$10,B892=2016,H892/$O$11,B892=2017,H892/$O$12,B892=2018,H892/$O$13,B892=2019,H892/$O$14,B892=2020,H892/$O$15,B892=2021,H892/$O$16,B892=2022,H892/$O$17)</f>
        <v>3.530886349123327E-3</v>
      </c>
      <c r="J892" s="6" cm="1">
        <f t="array" ref="J892">_xlfn.IFS(B892=2015,I892*$Q$1,B892=2016,I892*$Q$2,B892=2017,I892*$Q$3,B892=2018,I892*$Q$4,B892=2019,I892*$Q$5,B892=2020,I892*$Q$6,B892=2021,I892*$Q$7,B892=2022,I892*$Q$8)</f>
        <v>96005.615467409909</v>
      </c>
      <c r="K892" s="7">
        <f t="shared" si="28"/>
        <v>282432.61546740989</v>
      </c>
      <c r="L892">
        <f>IFERROR(VLOOKUP(G892,'LEAID Match'!$A$2:$B$168,2,FALSE),"")</f>
        <v>4612300</v>
      </c>
    </row>
    <row r="893" spans="1:12" x14ac:dyDescent="0.2">
      <c r="A893">
        <f t="shared" si="27"/>
        <v>4612300</v>
      </c>
      <c r="B893">
        <v>2021</v>
      </c>
      <c r="C893" t="s">
        <v>208</v>
      </c>
      <c r="D893" t="s">
        <v>212</v>
      </c>
      <c r="E893" t="s">
        <v>211</v>
      </c>
      <c r="F893" s="3">
        <v>943123</v>
      </c>
      <c r="G893" s="3" t="s">
        <v>25</v>
      </c>
      <c r="H893" s="4">
        <v>196653</v>
      </c>
      <c r="I893" cm="1">
        <f t="array" ref="I893">_xlfn.IFS(B893=2015,H893/$O$10,B893=2016,H893/$O$11,B893=2017,H893/$O$12,B893=2018,H893/$O$13,B893=2019,H893/$O$14,B893=2020,H893/$O$15,B893=2021,H893/$O$16,B893=2022,H893/$O$17)</f>
        <v>3.5518615715175428E-3</v>
      </c>
      <c r="J893" s="6" cm="1">
        <f t="array" ref="J893">_xlfn.IFS(B893=2015,I893*$Q$1,B893=2016,I893*$Q$2,B893=2017,I893*$Q$3,B893=2018,I893*$Q$4,B893=2019,I893*$Q$5,B893=2020,I893*$Q$6,B893=2021,I893*$Q$7,B893=2022,I893*$Q$8)</f>
        <v>98877.905197808679</v>
      </c>
      <c r="K893" s="7">
        <f t="shared" si="28"/>
        <v>295530.90519780869</v>
      </c>
      <c r="L893">
        <f>IFERROR(VLOOKUP(G893,'LEAID Match'!$A$2:$B$168,2,FALSE),"")</f>
        <v>4612300</v>
      </c>
    </row>
    <row r="894" spans="1:12" x14ac:dyDescent="0.2">
      <c r="A894">
        <f t="shared" si="27"/>
        <v>4612300</v>
      </c>
      <c r="B894">
        <v>2022</v>
      </c>
      <c r="C894" t="s">
        <v>208</v>
      </c>
      <c r="D894" t="s">
        <v>212</v>
      </c>
      <c r="E894" t="s">
        <v>211</v>
      </c>
      <c r="F894" s="3">
        <v>943123</v>
      </c>
      <c r="G894" s="3" t="s">
        <v>25</v>
      </c>
      <c r="H894" s="4">
        <v>196775</v>
      </c>
      <c r="I894" cm="1">
        <f t="array" ref="I894">_xlfn.IFS(B894=2015,H894/$O$10,B894=2016,H894/$O$11,B894=2017,H894/$O$12,B894=2018,H894/$O$13,B894=2019,H894/$O$14,B894=2020,H894/$O$15,B894=2021,H894/$O$16,B894=2022,H894/$O$17)</f>
        <v>3.4078639662794741E-3</v>
      </c>
      <c r="J894" s="6" cm="1">
        <f t="array" ref="J894">_xlfn.IFS(B894=2015,I894*$Q$1,B894=2016,I894*$Q$2,B894=2017,I894*$Q$3,B894=2018,I894*$Q$4,B894=2019,I894*$Q$5,B894=2020,I894*$Q$6,B894=2021,I894*$Q$7,B894=2022,I894*$Q$8)</f>
        <v>100388.67269400657</v>
      </c>
      <c r="K894" s="7">
        <f t="shared" si="28"/>
        <v>297163.67269400659</v>
      </c>
      <c r="L894">
        <f>IFERROR(VLOOKUP(G894,'LEAID Match'!$A$2:$B$168,2,FALSE),"")</f>
        <v>4612300</v>
      </c>
    </row>
    <row r="895" spans="1:12" x14ac:dyDescent="0.2">
      <c r="A895">
        <f t="shared" si="27"/>
        <v>4631350</v>
      </c>
      <c r="B895">
        <v>2015</v>
      </c>
      <c r="C895" t="s">
        <v>208</v>
      </c>
      <c r="D895" t="s">
        <v>212</v>
      </c>
      <c r="E895" t="s">
        <v>211</v>
      </c>
      <c r="F895" s="3">
        <v>944100</v>
      </c>
      <c r="G895" s="3" t="s">
        <v>66</v>
      </c>
      <c r="H895" s="4">
        <v>1063214</v>
      </c>
      <c r="I895" cm="1">
        <f t="array" ref="I895">_xlfn.IFS(B895=2015,H895/$O$10,B895=2016,H895/$O$11,B895=2017,H895/$O$12,B895=2018,H895/$O$13,B895=2019,H895/$O$14,B895=2020,H895/$O$15,B895=2021,H895/$O$16,B895=2022,H895/$O$17)</f>
        <v>2.4868887464316061E-2</v>
      </c>
      <c r="J895" s="6" cm="1">
        <f t="array" ref="J895">_xlfn.IFS(B895=2015,I895*$Q$1,B895=2016,I895*$Q$2,B895=2017,I895*$Q$3,B895=2018,I895*$Q$4,B895=2019,I895*$Q$5,B895=2020,I895*$Q$6,B895=2021,I895*$Q$7,B895=2022,I895*$Q$8)</f>
        <v>611579.5352000175</v>
      </c>
      <c r="K895" s="7">
        <f t="shared" si="28"/>
        <v>1674793.5352000175</v>
      </c>
      <c r="L895">
        <f>IFERROR(VLOOKUP(G895,'LEAID Match'!$A$2:$B$168,2,FALSE),"")</f>
        <v>4631350</v>
      </c>
    </row>
    <row r="896" spans="1:12" x14ac:dyDescent="0.2">
      <c r="A896">
        <f t="shared" si="27"/>
        <v>4631350</v>
      </c>
      <c r="B896">
        <v>2016</v>
      </c>
      <c r="C896" t="s">
        <v>208</v>
      </c>
      <c r="D896" t="s">
        <v>212</v>
      </c>
      <c r="E896" t="s">
        <v>211</v>
      </c>
      <c r="F896" s="3">
        <v>944100</v>
      </c>
      <c r="G896" s="3" t="s">
        <v>66</v>
      </c>
      <c r="H896" s="4">
        <v>1165052</v>
      </c>
      <c r="I896" cm="1">
        <f t="array" ref="I896">_xlfn.IFS(B896=2015,H896/$O$10,B896=2016,H896/$O$11,B896=2017,H896/$O$12,B896=2018,H896/$O$13,B896=2019,H896/$O$14,B896=2020,H896/$O$15,B896=2021,H896/$O$16,B896=2022,H896/$O$17)</f>
        <v>2.6425780157982821E-2</v>
      </c>
      <c r="J896" s="6" cm="1">
        <f t="array" ref="J896">_xlfn.IFS(B896=2015,I896*$Q$1,B896=2016,I896*$Q$2,B896=2017,I896*$Q$3,B896=2018,I896*$Q$4,B896=2019,I896*$Q$5,B896=2020,I896*$Q$6,B896=2021,I896*$Q$7,B896=2022,I896*$Q$8)</f>
        <v>671368.21766658069</v>
      </c>
      <c r="K896" s="7">
        <f t="shared" si="28"/>
        <v>1836420.2176665808</v>
      </c>
      <c r="L896">
        <f>IFERROR(VLOOKUP(G896,'LEAID Match'!$A$2:$B$168,2,FALSE),"")</f>
        <v>4631350</v>
      </c>
    </row>
    <row r="897" spans="1:12" x14ac:dyDescent="0.2">
      <c r="A897">
        <f t="shared" si="27"/>
        <v>4631350</v>
      </c>
      <c r="B897">
        <v>2017</v>
      </c>
      <c r="C897" t="s">
        <v>208</v>
      </c>
      <c r="D897" t="s">
        <v>212</v>
      </c>
      <c r="E897" t="s">
        <v>211</v>
      </c>
      <c r="F897" s="3">
        <v>944100</v>
      </c>
      <c r="G897" s="3" t="s">
        <v>66</v>
      </c>
      <c r="H897" s="4">
        <v>1352590</v>
      </c>
      <c r="I897" cm="1">
        <f t="array" ref="I897">_xlfn.IFS(B897=2015,H897/$O$10,B897=2016,H897/$O$11,B897=2017,H897/$O$12,B897=2018,H897/$O$13,B897=2019,H897/$O$14,B897=2020,H897/$O$15,B897=2021,H897/$O$16,B897=2022,H897/$O$17)</f>
        <v>2.7926642283908319E-2</v>
      </c>
      <c r="J897" s="6" cm="1">
        <f t="array" ref="J897">_xlfn.IFS(B897=2015,I897*$Q$1,B897=2016,I897*$Q$2,B897=2017,I897*$Q$3,B897=2018,I897*$Q$4,B897=2019,I897*$Q$5,B897=2020,I897*$Q$6,B897=2021,I897*$Q$7,B897=2022,I897*$Q$8)</f>
        <v>734625.23810518789</v>
      </c>
      <c r="K897" s="7">
        <f t="shared" si="28"/>
        <v>2087215.2381051879</v>
      </c>
      <c r="L897">
        <f>IFERROR(VLOOKUP(G897,'LEAID Match'!$A$2:$B$168,2,FALSE),"")</f>
        <v>4631350</v>
      </c>
    </row>
    <row r="898" spans="1:12" x14ac:dyDescent="0.2">
      <c r="A898">
        <f t="shared" si="27"/>
        <v>4631350</v>
      </c>
      <c r="B898">
        <v>2018</v>
      </c>
      <c r="C898" t="s">
        <v>208</v>
      </c>
      <c r="D898" t="s">
        <v>212</v>
      </c>
      <c r="E898" t="s">
        <v>211</v>
      </c>
      <c r="F898" s="3">
        <v>944100</v>
      </c>
      <c r="G898" s="3" t="s">
        <v>66</v>
      </c>
      <c r="H898" s="4">
        <v>1543521</v>
      </c>
      <c r="I898" cm="1">
        <f t="array" ref="I898">_xlfn.IFS(B898=2015,H898/$O$10,B898=2016,H898/$O$11,B898=2017,H898/$O$12,B898=2018,H898/$O$13,B898=2019,H898/$O$14,B898=2020,H898/$O$15,B898=2021,H898/$O$16,B898=2022,H898/$O$17)</f>
        <v>3.0781828665826603E-2</v>
      </c>
      <c r="J898" s="6" cm="1">
        <f t="array" ref="J898">_xlfn.IFS(B898=2015,I898*$Q$1,B898=2016,I898*$Q$2,B898=2017,I898*$Q$3,B898=2018,I898*$Q$4,B898=2019,I898*$Q$5,B898=2020,I898*$Q$6,B898=2021,I898*$Q$7,B898=2022,I898*$Q$8)</f>
        <v>808201.8141206681</v>
      </c>
      <c r="K898" s="7">
        <f t="shared" si="28"/>
        <v>2351722.814120668</v>
      </c>
      <c r="L898">
        <f>IFERROR(VLOOKUP(G898,'LEAID Match'!$A$2:$B$168,2,FALSE),"")</f>
        <v>4631350</v>
      </c>
    </row>
    <row r="899" spans="1:12" x14ac:dyDescent="0.2">
      <c r="A899">
        <f t="shared" ref="A899:A962" si="29">L899</f>
        <v>4631350</v>
      </c>
      <c r="B899">
        <v>2019</v>
      </c>
      <c r="C899" t="s">
        <v>208</v>
      </c>
      <c r="D899" t="s">
        <v>212</v>
      </c>
      <c r="E899" t="s">
        <v>211</v>
      </c>
      <c r="F899" s="3">
        <v>944100</v>
      </c>
      <c r="G899" s="3" t="s">
        <v>66</v>
      </c>
      <c r="H899" s="4">
        <v>1674550</v>
      </c>
      <c r="I899" cm="1">
        <f t="array" ref="I899">_xlfn.IFS(B899=2015,H899/$O$10,B899=2016,H899/$O$11,B899=2017,H899/$O$12,B899=2018,H899/$O$13,B899=2019,H899/$O$14,B899=2020,H899/$O$15,B899=2021,H899/$O$16,B899=2022,H899/$O$17)</f>
        <v>3.2795277699358048E-2</v>
      </c>
      <c r="J899" s="6" cm="1">
        <f t="array" ref="J899">_xlfn.IFS(B899=2015,I899*$Q$1,B899=2016,I899*$Q$2,B899=2017,I899*$Q$3,B899=2018,I899*$Q$4,B899=2019,I899*$Q$5,B899=2020,I899*$Q$6,B899=2021,I899*$Q$7,B899=2022,I899*$Q$8)</f>
        <v>867351.63116627547</v>
      </c>
      <c r="K899" s="7">
        <f t="shared" ref="K899:K962" si="30">SUM(J899,H899)</f>
        <v>2541901.6311662756</v>
      </c>
      <c r="L899">
        <f>IFERROR(VLOOKUP(G899,'LEAID Match'!$A$2:$B$168,2,FALSE),"")</f>
        <v>4631350</v>
      </c>
    </row>
    <row r="900" spans="1:12" x14ac:dyDescent="0.2">
      <c r="A900">
        <f t="shared" si="29"/>
        <v>4631350</v>
      </c>
      <c r="B900">
        <v>2020</v>
      </c>
      <c r="C900" t="s">
        <v>208</v>
      </c>
      <c r="D900" t="s">
        <v>212</v>
      </c>
      <c r="E900" t="s">
        <v>211</v>
      </c>
      <c r="F900" s="1">
        <v>944100</v>
      </c>
      <c r="G900" s="3" t="s">
        <v>66</v>
      </c>
      <c r="H900" s="2">
        <v>1838882</v>
      </c>
      <c r="I900" cm="1">
        <f t="array" ref="I900">_xlfn.IFS(B900=2015,H900/$O$10,B900=2016,H900/$O$11,B900=2017,H900/$O$12,B900=2018,H900/$O$13,B900=2019,H900/$O$14,B900=2020,H900/$O$15,B900=2021,H900/$O$16,B900=2022,H900/$O$17)</f>
        <v>3.4828020358899738E-2</v>
      </c>
      <c r="J900" s="6" cm="1">
        <f t="array" ref="J900">_xlfn.IFS(B900=2015,I900*$Q$1,B900=2016,I900*$Q$2,B900=2017,I900*$Q$3,B900=2018,I900*$Q$4,B900=2019,I900*$Q$5,B900=2020,I900*$Q$6,B900=2021,I900*$Q$7,B900=2022,I900*$Q$8)</f>
        <v>946981.91883118672</v>
      </c>
      <c r="K900" s="7">
        <f t="shared" si="30"/>
        <v>2785863.9188311868</v>
      </c>
      <c r="L900">
        <f>IFERROR(VLOOKUP(G900,'LEAID Match'!$A$2:$B$168,2,FALSE),"")</f>
        <v>4631350</v>
      </c>
    </row>
    <row r="901" spans="1:12" x14ac:dyDescent="0.2">
      <c r="A901">
        <f t="shared" si="29"/>
        <v>4631350</v>
      </c>
      <c r="B901">
        <v>2021</v>
      </c>
      <c r="C901" t="s">
        <v>208</v>
      </c>
      <c r="D901" t="s">
        <v>212</v>
      </c>
      <c r="E901" t="s">
        <v>211</v>
      </c>
      <c r="F901" s="3">
        <v>944100</v>
      </c>
      <c r="G901" s="3" t="s">
        <v>66</v>
      </c>
      <c r="H901" s="4">
        <v>2100197</v>
      </c>
      <c r="I901" cm="1">
        <f t="array" ref="I901">_xlfn.IFS(B901=2015,H901/$O$10,B901=2016,H901/$O$11,B901=2017,H901/$O$12,B901=2018,H901/$O$13,B901=2019,H901/$O$14,B901=2020,H901/$O$15,B901=2021,H901/$O$16,B901=2022,H901/$O$17)</f>
        <v>3.7932851351957148E-2</v>
      </c>
      <c r="J901" s="6" cm="1">
        <f t="array" ref="J901">_xlfn.IFS(B901=2015,I901*$Q$1,B901=2016,I901*$Q$2,B901=2017,I901*$Q$3,B901=2018,I901*$Q$4,B901=2019,I901*$Q$5,B901=2020,I901*$Q$6,B901=2021,I901*$Q$7,B901=2022,I901*$Q$8)</f>
        <v>1055987.3475752834</v>
      </c>
      <c r="K901" s="7">
        <f t="shared" si="30"/>
        <v>3156184.3475752836</v>
      </c>
      <c r="L901">
        <f>IFERROR(VLOOKUP(G901,'LEAID Match'!$A$2:$B$168,2,FALSE),"")</f>
        <v>4631350</v>
      </c>
    </row>
    <row r="902" spans="1:12" x14ac:dyDescent="0.2">
      <c r="A902">
        <f t="shared" si="29"/>
        <v>4631350</v>
      </c>
      <c r="B902">
        <v>2022</v>
      </c>
      <c r="C902" t="s">
        <v>208</v>
      </c>
      <c r="D902" t="s">
        <v>212</v>
      </c>
      <c r="E902" t="s">
        <v>211</v>
      </c>
      <c r="F902" s="3">
        <v>944100</v>
      </c>
      <c r="G902" s="3" t="s">
        <v>66</v>
      </c>
      <c r="H902" s="4">
        <v>2238746</v>
      </c>
      <c r="I902" cm="1">
        <f t="array" ref="I902">_xlfn.IFS(B902=2015,H902/$O$10,B902=2016,H902/$O$11,B902=2017,H902/$O$12,B902=2018,H902/$O$13,B902=2019,H902/$O$14,B902=2020,H902/$O$15,B902=2021,H902/$O$16,B902=2022,H902/$O$17)</f>
        <v>3.8771906101142457E-2</v>
      </c>
      <c r="J902" s="6" cm="1">
        <f t="array" ref="J902">_xlfn.IFS(B902=2015,I902*$Q$1,B902=2016,I902*$Q$2,B902=2017,I902*$Q$3,B902=2018,I902*$Q$4,B902=2019,I902*$Q$5,B902=2020,I902*$Q$6,B902=2021,I902*$Q$7,B902=2022,I902*$Q$8)</f>
        <v>1142140.716244525</v>
      </c>
      <c r="K902" s="7">
        <f t="shared" si="30"/>
        <v>3380886.7162445253</v>
      </c>
      <c r="L902">
        <f>IFERROR(VLOOKUP(G902,'LEAID Match'!$A$2:$B$168,2,FALSE),"")</f>
        <v>4631350</v>
      </c>
    </row>
    <row r="903" spans="1:12" x14ac:dyDescent="0.2">
      <c r="A903">
        <f t="shared" si="29"/>
        <v>4610560</v>
      </c>
      <c r="B903">
        <v>2015</v>
      </c>
      <c r="C903" t="s">
        <v>208</v>
      </c>
      <c r="D903" t="s">
        <v>212</v>
      </c>
      <c r="E903" t="s">
        <v>211</v>
      </c>
      <c r="F903" s="3">
        <v>944101</v>
      </c>
      <c r="G903" s="3" t="s">
        <v>21</v>
      </c>
      <c r="H903" s="4">
        <v>229745</v>
      </c>
      <c r="I903" cm="1">
        <f t="array" ref="I903">_xlfn.IFS(B903=2015,H903/$O$10,B903=2016,H903/$O$11,B903=2017,H903/$O$12,B903=2018,H903/$O$13,B903=2019,H903/$O$14,B903=2020,H903/$O$15,B903=2021,H903/$O$16,B903=2022,H903/$O$17)</f>
        <v>5.3738029695708425E-3</v>
      </c>
      <c r="J903" s="6" cm="1">
        <f t="array" ref="J903">_xlfn.IFS(B903=2015,I903*$Q$1,B903=2016,I903*$Q$2,B903=2017,I903*$Q$3,B903=2018,I903*$Q$4,B903=2019,I903*$Q$5,B903=2020,I903*$Q$6,B903=2021,I903*$Q$7,B903=2022,I903*$Q$8)</f>
        <v>132153.39556714645</v>
      </c>
      <c r="K903" s="7">
        <f t="shared" si="30"/>
        <v>361898.39556714648</v>
      </c>
      <c r="L903">
        <f>IFERROR(VLOOKUP(G903,'LEAID Match'!$A$2:$B$168,2,FALSE),"")</f>
        <v>4610560</v>
      </c>
    </row>
    <row r="904" spans="1:12" x14ac:dyDescent="0.2">
      <c r="A904">
        <f t="shared" si="29"/>
        <v>4610560</v>
      </c>
      <c r="B904">
        <v>2016</v>
      </c>
      <c r="C904" t="s">
        <v>208</v>
      </c>
      <c r="D904" t="s">
        <v>212</v>
      </c>
      <c r="E904" t="s">
        <v>211</v>
      </c>
      <c r="F904" s="3">
        <v>944101</v>
      </c>
      <c r="G904" s="3" t="s">
        <v>21</v>
      </c>
      <c r="H904" s="4">
        <v>237035</v>
      </c>
      <c r="I904" cm="1">
        <f t="array" ref="I904">_xlfn.IFS(B904=2015,H904/$O$10,B904=2016,H904/$O$11,B904=2017,H904/$O$12,B904=2018,H904/$O$13,B904=2019,H904/$O$14,B904=2020,H904/$O$15,B904=2021,H904/$O$16,B904=2022,H904/$O$17)</f>
        <v>5.3764422530045508E-3</v>
      </c>
      <c r="J904" s="6" cm="1">
        <f t="array" ref="J904">_xlfn.IFS(B904=2015,I904*$Q$1,B904=2016,I904*$Q$2,B904=2017,I904*$Q$3,B904=2018,I904*$Q$4,B904=2019,I904*$Q$5,B904=2020,I904*$Q$6,B904=2021,I904*$Q$7,B904=2022,I904*$Q$8)</f>
        <v>136592.84347359429</v>
      </c>
      <c r="K904" s="7">
        <f t="shared" si="30"/>
        <v>373627.84347359429</v>
      </c>
      <c r="L904">
        <f>IFERROR(VLOOKUP(G904,'LEAID Match'!$A$2:$B$168,2,FALSE),"")</f>
        <v>4610560</v>
      </c>
    </row>
    <row r="905" spans="1:12" x14ac:dyDescent="0.2">
      <c r="A905">
        <f t="shared" si="29"/>
        <v>4610560</v>
      </c>
      <c r="B905">
        <v>2017</v>
      </c>
      <c r="C905" t="s">
        <v>208</v>
      </c>
      <c r="D905" t="s">
        <v>212</v>
      </c>
      <c r="E905" t="s">
        <v>211</v>
      </c>
      <c r="F905" s="3">
        <v>944101</v>
      </c>
      <c r="G905" s="3" t="s">
        <v>21</v>
      </c>
      <c r="H905" s="4">
        <v>258564</v>
      </c>
      <c r="I905" cm="1">
        <f t="array" ref="I905">_xlfn.IFS(B905=2015,H905/$O$10,B905=2016,H905/$O$11,B905=2017,H905/$O$12,B905=2018,H905/$O$13,B905=2019,H905/$O$14,B905=2020,H905/$O$15,B905=2021,H905/$O$16,B905=2022,H905/$O$17)</f>
        <v>5.338516723838318E-3</v>
      </c>
      <c r="J905" s="6" cm="1">
        <f t="array" ref="J905">_xlfn.IFS(B905=2015,I905*$Q$1,B905=2016,I905*$Q$2,B905=2017,I905*$Q$3,B905=2018,I905*$Q$4,B905=2019,I905*$Q$5,B905=2020,I905*$Q$6,B905=2021,I905*$Q$7,B905=2022,I905*$Q$8)</f>
        <v>140432.53318849747</v>
      </c>
      <c r="K905" s="7">
        <f t="shared" si="30"/>
        <v>398996.53318849747</v>
      </c>
      <c r="L905">
        <f>IFERROR(VLOOKUP(G905,'LEAID Match'!$A$2:$B$168,2,FALSE),"")</f>
        <v>4610560</v>
      </c>
    </row>
    <row r="906" spans="1:12" x14ac:dyDescent="0.2">
      <c r="A906">
        <f t="shared" si="29"/>
        <v>4610560</v>
      </c>
      <c r="B906">
        <v>2018</v>
      </c>
      <c r="C906" t="s">
        <v>208</v>
      </c>
      <c r="D906" t="s">
        <v>212</v>
      </c>
      <c r="E906" t="s">
        <v>211</v>
      </c>
      <c r="F906" s="3">
        <v>944101</v>
      </c>
      <c r="G906" s="3" t="s">
        <v>21</v>
      </c>
      <c r="H906" s="4">
        <v>255256</v>
      </c>
      <c r="I906" cm="1">
        <f t="array" ref="I906">_xlfn.IFS(B906=2015,H906/$O$10,B906=2016,H906/$O$11,B906=2017,H906/$O$12,B906=2018,H906/$O$13,B906=2019,H906/$O$14,B906=2020,H906/$O$15,B906=2021,H906/$O$16,B906=2022,H906/$O$17)</f>
        <v>5.0904694253749942E-3</v>
      </c>
      <c r="J906" s="6" cm="1">
        <f t="array" ref="J906">_xlfn.IFS(B906=2015,I906*$Q$1,B906=2016,I906*$Q$2,B906=2017,I906*$Q$3,B906=2018,I906*$Q$4,B906=2019,I906*$Q$5,B906=2020,I906*$Q$6,B906=2021,I906*$Q$7,B906=2022,I906*$Q$8)</f>
        <v>133654.3929529856</v>
      </c>
      <c r="K906" s="7">
        <f t="shared" si="30"/>
        <v>388910.3929529856</v>
      </c>
      <c r="L906">
        <f>IFERROR(VLOOKUP(G906,'LEAID Match'!$A$2:$B$168,2,FALSE),"")</f>
        <v>4610560</v>
      </c>
    </row>
    <row r="907" spans="1:12" x14ac:dyDescent="0.2">
      <c r="A907">
        <f t="shared" si="29"/>
        <v>4610560</v>
      </c>
      <c r="B907">
        <v>2019</v>
      </c>
      <c r="C907" t="s">
        <v>208</v>
      </c>
      <c r="D907" t="s">
        <v>212</v>
      </c>
      <c r="E907" t="s">
        <v>211</v>
      </c>
      <c r="F907" s="3">
        <v>944101</v>
      </c>
      <c r="G907" s="3" t="s">
        <v>21</v>
      </c>
      <c r="H907" s="4">
        <v>260274</v>
      </c>
      <c r="I907" cm="1">
        <f t="array" ref="I907">_xlfn.IFS(B907=2015,H907/$O$10,B907=2016,H907/$O$11,B907=2017,H907/$O$12,B907=2018,H907/$O$13,B907=2019,H907/$O$14,B907=2020,H907/$O$15,B907=2021,H907/$O$16,B907=2022,H907/$O$17)</f>
        <v>5.0973444256204453E-3</v>
      </c>
      <c r="J907" s="6" cm="1">
        <f t="array" ref="J907">_xlfn.IFS(B907=2015,I907*$Q$1,B907=2016,I907*$Q$2,B907=2017,I907*$Q$3,B907=2018,I907*$Q$4,B907=2019,I907*$Q$5,B907=2020,I907*$Q$6,B907=2021,I907*$Q$7,B907=2022,I907*$Q$8)</f>
        <v>134811.78731609759</v>
      </c>
      <c r="K907" s="7">
        <f t="shared" si="30"/>
        <v>395085.78731609759</v>
      </c>
      <c r="L907">
        <f>IFERROR(VLOOKUP(G907,'LEAID Match'!$A$2:$B$168,2,FALSE),"")</f>
        <v>4610560</v>
      </c>
    </row>
    <row r="908" spans="1:12" x14ac:dyDescent="0.2">
      <c r="A908">
        <f t="shared" si="29"/>
        <v>4610560</v>
      </c>
      <c r="B908">
        <v>2020</v>
      </c>
      <c r="C908" t="s">
        <v>208</v>
      </c>
      <c r="D908" t="s">
        <v>212</v>
      </c>
      <c r="E908" t="s">
        <v>211</v>
      </c>
      <c r="F908" s="1">
        <v>944101</v>
      </c>
      <c r="G908" s="3" t="s">
        <v>21</v>
      </c>
      <c r="H908" s="2">
        <v>273832</v>
      </c>
      <c r="I908" cm="1">
        <f t="array" ref="I908">_xlfn.IFS(B908=2015,H908/$O$10,B908=2016,H908/$O$11,B908=2017,H908/$O$12,B908=2018,H908/$O$13,B908=2019,H908/$O$14,B908=2020,H908/$O$15,B908=2021,H908/$O$16,B908=2022,H908/$O$17)</f>
        <v>5.186317812082686E-3</v>
      </c>
      <c r="J908" s="6" cm="1">
        <f t="array" ref="J908">_xlfn.IFS(B908=2015,I908*$Q$1,B908=2016,I908*$Q$2,B908=2017,I908*$Q$3,B908=2018,I908*$Q$4,B908=2019,I908*$Q$5,B908=2020,I908*$Q$6,B908=2021,I908*$Q$7,B908=2022,I908*$Q$8)</f>
        <v>141017.17934994283</v>
      </c>
      <c r="K908" s="7">
        <f t="shared" si="30"/>
        <v>414849.17934994283</v>
      </c>
      <c r="L908">
        <f>IFERROR(VLOOKUP(G908,'LEAID Match'!$A$2:$B$168,2,FALSE),"")</f>
        <v>4610560</v>
      </c>
    </row>
    <row r="909" spans="1:12" x14ac:dyDescent="0.2">
      <c r="A909">
        <f t="shared" si="29"/>
        <v>4610560</v>
      </c>
      <c r="B909">
        <v>2021</v>
      </c>
      <c r="C909" t="s">
        <v>208</v>
      </c>
      <c r="D909" t="s">
        <v>212</v>
      </c>
      <c r="E909" t="s">
        <v>211</v>
      </c>
      <c r="F909" s="3">
        <v>944101</v>
      </c>
      <c r="G909" s="3" t="s">
        <v>21</v>
      </c>
      <c r="H909" s="4">
        <v>282176</v>
      </c>
      <c r="I909" cm="1">
        <f t="array" ref="I909">_xlfn.IFS(B909=2015,H909/$O$10,B909=2016,H909/$O$11,B909=2017,H909/$O$12,B909=2018,H909/$O$13,B909=2019,H909/$O$14,B909=2020,H909/$O$15,B909=2021,H909/$O$16,B909=2022,H909/$O$17)</f>
        <v>5.0965410688091923E-3</v>
      </c>
      <c r="J909" s="6" cm="1">
        <f t="array" ref="J909">_xlfn.IFS(B909=2015,I909*$Q$1,B909=2016,I909*$Q$2,B909=2017,I909*$Q$3,B909=2018,I909*$Q$4,B909=2019,I909*$Q$5,B909=2020,I909*$Q$6,B909=2021,I909*$Q$7,B909=2022,I909*$Q$8)</f>
        <v>141879.20742168621</v>
      </c>
      <c r="K909" s="7">
        <f t="shared" si="30"/>
        <v>424055.20742168621</v>
      </c>
      <c r="L909">
        <f>IFERROR(VLOOKUP(G909,'LEAID Match'!$A$2:$B$168,2,FALSE),"")</f>
        <v>4610560</v>
      </c>
    </row>
    <row r="910" spans="1:12" x14ac:dyDescent="0.2">
      <c r="A910">
        <f t="shared" si="29"/>
        <v>4610560</v>
      </c>
      <c r="B910">
        <v>2022</v>
      </c>
      <c r="C910" t="s">
        <v>208</v>
      </c>
      <c r="D910" t="s">
        <v>212</v>
      </c>
      <c r="E910" t="s">
        <v>211</v>
      </c>
      <c r="F910" s="3">
        <v>944101</v>
      </c>
      <c r="G910" s="3" t="s">
        <v>21</v>
      </c>
      <c r="H910" s="4">
        <v>297557</v>
      </c>
      <c r="I910" cm="1">
        <f t="array" ref="I910">_xlfn.IFS(B910=2015,H910/$O$10,B910=2016,H910/$O$11,B910=2017,H910/$O$12,B910=2018,H910/$O$13,B910=2019,H910/$O$14,B910=2020,H910/$O$15,B910=2021,H910/$O$16,B910=2022,H910/$O$17)</f>
        <v>5.1532652939358225E-3</v>
      </c>
      <c r="J910" s="6" cm="1">
        <f t="array" ref="J910">_xlfn.IFS(B910=2015,I910*$Q$1,B910=2016,I910*$Q$2,B910=2017,I910*$Q$3,B910=2018,I910*$Q$4,B910=2019,I910*$Q$5,B910=2020,I910*$Q$6,B910=2021,I910*$Q$7,B910=2022,I910*$Q$8)</f>
        <v>151804.61075243558</v>
      </c>
      <c r="K910" s="7">
        <f t="shared" si="30"/>
        <v>449361.61075243558</v>
      </c>
      <c r="L910">
        <f>IFERROR(VLOOKUP(G910,'LEAID Match'!$A$2:$B$168,2,FALSE),"")</f>
        <v>4610560</v>
      </c>
    </row>
    <row r="911" spans="1:12" x14ac:dyDescent="0.2">
      <c r="A911">
        <f t="shared" si="29"/>
        <v>4600052</v>
      </c>
      <c r="B911">
        <v>2015</v>
      </c>
      <c r="C911" t="s">
        <v>208</v>
      </c>
      <c r="D911" t="s">
        <v>212</v>
      </c>
      <c r="E911" t="s">
        <v>211</v>
      </c>
      <c r="F911" s="3">
        <v>944102</v>
      </c>
      <c r="G911" s="3" t="s">
        <v>138</v>
      </c>
      <c r="H911" s="4">
        <v>366792</v>
      </c>
      <c r="I911" cm="1">
        <f t="array" ref="I911">_xlfn.IFS(B911=2015,H911/$O$10,B911=2016,H911/$O$11,B911=2017,H911/$O$12,B911=2018,H911/$O$13,B911=2019,H911/$O$14,B911=2020,H911/$O$15,B911=2021,H911/$O$16,B911=2022,H911/$O$17)</f>
        <v>8.5793725165502106E-3</v>
      </c>
      <c r="J911" s="6" cm="1">
        <f t="array" ref="J911">_xlfn.IFS(B911=2015,I911*$Q$1,B911=2016,I911*$Q$2,B911=2017,I911*$Q$3,B911=2018,I911*$Q$4,B911=2019,I911*$Q$5,B911=2020,I911*$Q$6,B911=2021,I911*$Q$7,B911=2022,I911*$Q$8)</f>
        <v>210985.25872974284</v>
      </c>
      <c r="K911" s="7">
        <f t="shared" si="30"/>
        <v>577777.25872974284</v>
      </c>
      <c r="L911">
        <f>IFERROR(VLOOKUP(G911,'LEAID Match'!$A$2:$B$168,2,FALSE),"")</f>
        <v>4600052</v>
      </c>
    </row>
    <row r="912" spans="1:12" x14ac:dyDescent="0.2">
      <c r="A912">
        <f t="shared" si="29"/>
        <v>4600052</v>
      </c>
      <c r="B912">
        <v>2016</v>
      </c>
      <c r="C912" t="s">
        <v>208</v>
      </c>
      <c r="D912" t="s">
        <v>212</v>
      </c>
      <c r="E912" t="s">
        <v>211</v>
      </c>
      <c r="F912" s="3">
        <v>944102</v>
      </c>
      <c r="G912" s="3" t="s">
        <v>138</v>
      </c>
      <c r="H912" s="4">
        <v>394840</v>
      </c>
      <c r="I912" cm="1">
        <f t="array" ref="I912">_xlfn.IFS(B912=2015,H912/$O$10,B912=2016,H912/$O$11,B912=2017,H912/$O$12,B912=2018,H912/$O$13,B912=2019,H912/$O$14,B912=2020,H912/$O$15,B912=2021,H912/$O$16,B912=2022,H912/$O$17)</f>
        <v>8.9557848384260418E-3</v>
      </c>
      <c r="J912" s="6" cm="1">
        <f t="array" ref="J912">_xlfn.IFS(B912=2015,I912*$Q$1,B912=2016,I912*$Q$2,B912=2017,I912*$Q$3,B912=2018,I912*$Q$4,B912=2019,I912*$Q$5,B912=2020,I912*$Q$6,B912=2021,I912*$Q$7,B912=2022,I912*$Q$8)</f>
        <v>227528.92322700852</v>
      </c>
      <c r="K912" s="7">
        <f t="shared" si="30"/>
        <v>622368.92322700855</v>
      </c>
      <c r="L912">
        <f>IFERROR(VLOOKUP(G912,'LEAID Match'!$A$2:$B$168,2,FALSE),"")</f>
        <v>4600052</v>
      </c>
    </row>
    <row r="913" spans="1:12" x14ac:dyDescent="0.2">
      <c r="A913">
        <f t="shared" si="29"/>
        <v>4600052</v>
      </c>
      <c r="B913">
        <v>2017</v>
      </c>
      <c r="C913" t="s">
        <v>208</v>
      </c>
      <c r="D913" t="s">
        <v>212</v>
      </c>
      <c r="E913" t="s">
        <v>211</v>
      </c>
      <c r="F913" s="3">
        <v>944102</v>
      </c>
      <c r="G913" s="3" t="s">
        <v>138</v>
      </c>
      <c r="H913" s="4">
        <v>452878</v>
      </c>
      <c r="I913" cm="1">
        <f t="array" ref="I913">_xlfn.IFS(B913=2015,H913/$O$10,B913=2016,H913/$O$11,B913=2017,H913/$O$12,B913=2018,H913/$O$13,B913=2019,H913/$O$14,B913=2020,H913/$O$15,B913=2021,H913/$O$16,B913=2022,H913/$O$17)</f>
        <v>9.3504771617798667E-3</v>
      </c>
      <c r="J913" s="6" cm="1">
        <f t="array" ref="J913">_xlfn.IFS(B913=2015,I913*$Q$1,B913=2016,I913*$Q$2,B913=2017,I913*$Q$3,B913=2018,I913*$Q$4,B913=2019,I913*$Q$5,B913=2020,I913*$Q$6,B913=2021,I913*$Q$7,B913=2022,I913*$Q$8)</f>
        <v>245969.29489542378</v>
      </c>
      <c r="K913" s="7">
        <f t="shared" si="30"/>
        <v>698847.29489542381</v>
      </c>
      <c r="L913">
        <f>IFERROR(VLOOKUP(G913,'LEAID Match'!$A$2:$B$168,2,FALSE),"")</f>
        <v>4600052</v>
      </c>
    </row>
    <row r="914" spans="1:12" x14ac:dyDescent="0.2">
      <c r="A914">
        <f t="shared" si="29"/>
        <v>4600052</v>
      </c>
      <c r="B914">
        <v>2018</v>
      </c>
      <c r="C914" t="s">
        <v>208</v>
      </c>
      <c r="D914" t="s">
        <v>212</v>
      </c>
      <c r="E914" t="s">
        <v>211</v>
      </c>
      <c r="F914" s="3">
        <v>944102</v>
      </c>
      <c r="G914" s="3" t="s">
        <v>138</v>
      </c>
      <c r="H914" s="4">
        <v>506206</v>
      </c>
      <c r="I914" cm="1">
        <f t="array" ref="I914">_xlfn.IFS(B914=2015,H914/$O$10,B914=2016,H914/$O$11,B914=2017,H914/$O$12,B914=2018,H914/$O$13,B914=2019,H914/$O$14,B914=2020,H914/$O$15,B914=2021,H914/$O$16,B914=2022,H914/$O$17)</f>
        <v>1.0095065996260123E-2</v>
      </c>
      <c r="J914" s="6" cm="1">
        <f t="array" ref="J914">_xlfn.IFS(B914=2015,I914*$Q$1,B914=2016,I914*$Q$2,B914=2017,I914*$Q$3,B914=2018,I914*$Q$4,B914=2019,I914*$Q$5,B914=2020,I914*$Q$6,B914=2021,I914*$Q$7,B914=2022,I914*$Q$8)</f>
        <v>265054.12464020052</v>
      </c>
      <c r="K914" s="7">
        <f t="shared" si="30"/>
        <v>771260.12464020052</v>
      </c>
      <c r="L914">
        <f>IFERROR(VLOOKUP(G914,'LEAID Match'!$A$2:$B$168,2,FALSE),"")</f>
        <v>4600052</v>
      </c>
    </row>
    <row r="915" spans="1:12" x14ac:dyDescent="0.2">
      <c r="A915">
        <f t="shared" si="29"/>
        <v>4600052</v>
      </c>
      <c r="B915">
        <v>2019</v>
      </c>
      <c r="C915" t="s">
        <v>208</v>
      </c>
      <c r="D915" t="s">
        <v>212</v>
      </c>
      <c r="E915" t="s">
        <v>211</v>
      </c>
      <c r="F915" s="3">
        <v>944102</v>
      </c>
      <c r="G915" s="3" t="s">
        <v>138</v>
      </c>
      <c r="H915" s="4">
        <v>535567</v>
      </c>
      <c r="I915" cm="1">
        <f t="array" ref="I915">_xlfn.IFS(B915=2015,H915/$O$10,B915=2016,H915/$O$11,B915=2017,H915/$O$12,B915=2018,H915/$O$13,B915=2019,H915/$O$14,B915=2020,H915/$O$15,B915=2021,H915/$O$16,B915=2022,H915/$O$17)</f>
        <v>1.0488828934108921E-2</v>
      </c>
      <c r="J915" s="6" cm="1">
        <f t="array" ref="J915">_xlfn.IFS(B915=2015,I915*$Q$1,B915=2016,I915*$Q$2,B915=2017,I915*$Q$3,B915=2018,I915*$Q$4,B915=2019,I915*$Q$5,B915=2020,I915*$Q$6,B915=2021,I915*$Q$7,B915=2022,I915*$Q$8)</f>
        <v>277402.83123754367</v>
      </c>
      <c r="K915" s="7">
        <f t="shared" si="30"/>
        <v>812969.83123754361</v>
      </c>
      <c r="L915">
        <f>IFERROR(VLOOKUP(G915,'LEAID Match'!$A$2:$B$168,2,FALSE),"")</f>
        <v>4600052</v>
      </c>
    </row>
    <row r="916" spans="1:12" x14ac:dyDescent="0.2">
      <c r="A916">
        <f t="shared" si="29"/>
        <v>4600052</v>
      </c>
      <c r="B916">
        <v>2020</v>
      </c>
      <c r="C916" t="s">
        <v>208</v>
      </c>
      <c r="D916" t="s">
        <v>212</v>
      </c>
      <c r="E916" t="s">
        <v>211</v>
      </c>
      <c r="F916" s="1">
        <v>944102</v>
      </c>
      <c r="G916" s="3" t="s">
        <v>138</v>
      </c>
      <c r="H916" s="2">
        <v>589914</v>
      </c>
      <c r="I916" cm="1">
        <f t="array" ref="I916">_xlfn.IFS(B916=2015,H916/$O$10,B916=2016,H916/$O$11,B916=2017,H916/$O$12,B916=2018,H916/$O$13,B916=2019,H916/$O$14,B916=2020,H916/$O$15,B916=2021,H916/$O$16,B916=2022,H916/$O$17)</f>
        <v>1.1172841325327008E-2</v>
      </c>
      <c r="J916" s="6" cm="1">
        <f t="array" ref="J916">_xlfn.IFS(B916=2015,I916*$Q$1,B916=2016,I916*$Q$2,B916=2017,I916*$Q$3,B916=2018,I916*$Q$4,B916=2019,I916*$Q$5,B916=2020,I916*$Q$6,B916=2021,I916*$Q$7,B916=2022,I916*$Q$8)</f>
        <v>303792.13656198751</v>
      </c>
      <c r="K916" s="7">
        <f t="shared" si="30"/>
        <v>893706.13656198746</v>
      </c>
      <c r="L916">
        <f>IFERROR(VLOOKUP(G916,'LEAID Match'!$A$2:$B$168,2,FALSE),"")</f>
        <v>4600052</v>
      </c>
    </row>
    <row r="917" spans="1:12" x14ac:dyDescent="0.2">
      <c r="A917">
        <f t="shared" si="29"/>
        <v>4600052</v>
      </c>
      <c r="B917">
        <v>2021</v>
      </c>
      <c r="C917" t="s">
        <v>208</v>
      </c>
      <c r="D917" t="s">
        <v>212</v>
      </c>
      <c r="E917" t="s">
        <v>211</v>
      </c>
      <c r="F917" s="3">
        <v>944102</v>
      </c>
      <c r="G917" s="3" t="s">
        <v>138</v>
      </c>
      <c r="H917" s="4">
        <v>641074</v>
      </c>
      <c r="I917" cm="1">
        <f t="array" ref="I917">_xlfn.IFS(B917=2015,H917/$O$10,B917=2016,H917/$O$11,B917=2017,H917/$O$12,B917=2018,H917/$O$13,B917=2019,H917/$O$14,B917=2020,H917/$O$15,B917=2021,H917/$O$16,B917=2022,H917/$O$17)</f>
        <v>1.1578801773169172E-2</v>
      </c>
      <c r="J917" s="6" cm="1">
        <f t="array" ref="J917">_xlfn.IFS(B917=2015,I917*$Q$1,B917=2016,I917*$Q$2,B917=2017,I917*$Q$3,B917=2018,I917*$Q$4,B917=2019,I917*$Q$5,B917=2020,I917*$Q$6,B917=2021,I917*$Q$7,B917=2022,I917*$Q$8)</f>
        <v>322334.5395024739</v>
      </c>
      <c r="K917" s="7">
        <f t="shared" si="30"/>
        <v>963408.5395024739</v>
      </c>
      <c r="L917">
        <f>IFERROR(VLOOKUP(G917,'LEAID Match'!$A$2:$B$168,2,FALSE),"")</f>
        <v>4600052</v>
      </c>
    </row>
    <row r="918" spans="1:12" x14ac:dyDescent="0.2">
      <c r="A918">
        <f t="shared" si="29"/>
        <v>4600052</v>
      </c>
      <c r="B918">
        <v>2022</v>
      </c>
      <c r="C918" t="s">
        <v>208</v>
      </c>
      <c r="D918" t="s">
        <v>212</v>
      </c>
      <c r="E918" t="s">
        <v>211</v>
      </c>
      <c r="F918" s="3">
        <v>944102</v>
      </c>
      <c r="G918" s="3" t="s">
        <v>138</v>
      </c>
      <c r="H918" s="4">
        <v>706447</v>
      </c>
      <c r="I918" cm="1">
        <f t="array" ref="I918">_xlfn.IFS(B918=2015,H918/$O$10,B918=2016,H918/$O$11,B918=2017,H918/$O$12,B918=2018,H918/$O$13,B918=2019,H918/$O$14,B918=2020,H918/$O$15,B918=2021,H918/$O$16,B918=2022,H918/$O$17)</f>
        <v>1.223466027384696E-2</v>
      </c>
      <c r="J918" s="6" cm="1">
        <f t="array" ref="J918">_xlfn.IFS(B918=2015,I918*$Q$1,B918=2016,I918*$Q$2,B918=2017,I918*$Q$3,B918=2018,I918*$Q$4,B918=2019,I918*$Q$5,B918=2020,I918*$Q$6,B918=2021,I918*$Q$7,B918=2022,I918*$Q$8)</f>
        <v>360407.96167532896</v>
      </c>
      <c r="K918" s="7">
        <f t="shared" si="30"/>
        <v>1066854.9616753289</v>
      </c>
      <c r="L918">
        <f>IFERROR(VLOOKUP(G918,'LEAID Match'!$A$2:$B$168,2,FALSE),"")</f>
        <v>4600052</v>
      </c>
    </row>
    <row r="919" spans="1:12" x14ac:dyDescent="0.2">
      <c r="A919">
        <f t="shared" si="29"/>
        <v>4641550</v>
      </c>
      <c r="B919">
        <v>2015</v>
      </c>
      <c r="C919" t="s">
        <v>208</v>
      </c>
      <c r="D919" t="s">
        <v>212</v>
      </c>
      <c r="E919" t="s">
        <v>211</v>
      </c>
      <c r="F919" s="3">
        <v>944172</v>
      </c>
      <c r="G919" s="3" t="s">
        <v>87</v>
      </c>
      <c r="H919" s="4">
        <v>278810</v>
      </c>
      <c r="I919" cm="1">
        <f t="array" ref="I919">_xlfn.IFS(B919=2015,H919/$O$10,B919=2016,H919/$O$11,B919=2017,H919/$O$12,B919=2018,H919/$O$13,B919=2019,H919/$O$14,B919=2020,H919/$O$15,B919=2021,H919/$O$16,B919=2022,H919/$O$17)</f>
        <v>6.5214477178874254E-3</v>
      </c>
      <c r="J919" s="6" cm="1">
        <f t="array" ref="J919">_xlfn.IFS(B919=2015,I919*$Q$1,B919=2016,I919*$Q$2,B919=2017,I919*$Q$3,B919=2018,I919*$Q$4,B919=2019,I919*$Q$5,B919=2020,I919*$Q$6,B919=2021,I919*$Q$7,B919=2022,I919*$Q$8)</f>
        <v>160376.45310268382</v>
      </c>
      <c r="K919" s="7">
        <f t="shared" si="30"/>
        <v>439186.45310268382</v>
      </c>
      <c r="L919">
        <f>IFERROR(VLOOKUP(G919,'LEAID Match'!$A$2:$B$168,2,FALSE),"")</f>
        <v>4641550</v>
      </c>
    </row>
    <row r="920" spans="1:12" x14ac:dyDescent="0.2">
      <c r="A920">
        <f t="shared" si="29"/>
        <v>4641550</v>
      </c>
      <c r="B920">
        <v>2016</v>
      </c>
      <c r="C920" t="s">
        <v>208</v>
      </c>
      <c r="D920" t="s">
        <v>212</v>
      </c>
      <c r="E920" t="s">
        <v>211</v>
      </c>
      <c r="F920" s="3">
        <v>944172</v>
      </c>
      <c r="G920" s="3" t="s">
        <v>87</v>
      </c>
      <c r="H920" s="4">
        <v>291706</v>
      </c>
      <c r="I920" cm="1">
        <f t="array" ref="I920">_xlfn.IFS(B920=2015,H920/$O$10,B920=2016,H920/$O$11,B920=2017,H920/$O$12,B920=2018,H920/$O$13,B920=2019,H920/$O$14,B920=2020,H920/$O$15,B920=2021,H920/$O$16,B920=2022,H920/$O$17)</f>
        <v>6.6164931923764232E-3</v>
      </c>
      <c r="J920" s="6" cm="1">
        <f t="array" ref="J920">_xlfn.IFS(B920=2015,I920*$Q$1,B920=2016,I920*$Q$2,B920=2017,I920*$Q$3,B920=2018,I920*$Q$4,B920=2019,I920*$Q$5,B920=2020,I920*$Q$6,B920=2021,I920*$Q$7,B920=2022,I920*$Q$8)</f>
        <v>168097.33582934289</v>
      </c>
      <c r="K920" s="7">
        <f t="shared" si="30"/>
        <v>459803.33582934289</v>
      </c>
      <c r="L920">
        <f>IFERROR(VLOOKUP(G920,'LEAID Match'!$A$2:$B$168,2,FALSE),"")</f>
        <v>4641550</v>
      </c>
    </row>
    <row r="921" spans="1:12" x14ac:dyDescent="0.2">
      <c r="A921">
        <f t="shared" si="29"/>
        <v>4641550</v>
      </c>
      <c r="B921">
        <v>2017</v>
      </c>
      <c r="C921" t="s">
        <v>208</v>
      </c>
      <c r="D921" t="s">
        <v>212</v>
      </c>
      <c r="E921" t="s">
        <v>211</v>
      </c>
      <c r="F921" s="3">
        <v>944172</v>
      </c>
      <c r="G921" s="3" t="s">
        <v>87</v>
      </c>
      <c r="H921" s="4">
        <v>325844</v>
      </c>
      <c r="I921" cm="1">
        <f t="array" ref="I921">_xlfn.IFS(B921=2015,H921/$O$10,B921=2016,H921/$O$11,B921=2017,H921/$O$12,B921=2018,H921/$O$13,B921=2019,H921/$O$14,B921=2020,H921/$O$15,B921=2021,H921/$O$16,B921=2022,H921/$O$17)</f>
        <v>6.7276327847742637E-3</v>
      </c>
      <c r="J921" s="6" cm="1">
        <f t="array" ref="J921">_xlfn.IFS(B921=2015,I921*$Q$1,B921=2016,I921*$Q$2,B921=2017,I921*$Q$3,B921=2018,I921*$Q$4,B921=2019,I921*$Q$5,B921=2020,I921*$Q$6,B921=2021,I921*$Q$7,B921=2022,I921*$Q$8)</f>
        <v>176973.97295939407</v>
      </c>
      <c r="K921" s="7">
        <f t="shared" si="30"/>
        <v>502817.9729593941</v>
      </c>
      <c r="L921">
        <f>IFERROR(VLOOKUP(G921,'LEAID Match'!$A$2:$B$168,2,FALSE),"")</f>
        <v>4641550</v>
      </c>
    </row>
    <row r="922" spans="1:12" x14ac:dyDescent="0.2">
      <c r="A922">
        <f t="shared" si="29"/>
        <v>4641550</v>
      </c>
      <c r="B922">
        <v>2018</v>
      </c>
      <c r="C922" t="s">
        <v>208</v>
      </c>
      <c r="D922" t="s">
        <v>212</v>
      </c>
      <c r="E922" t="s">
        <v>211</v>
      </c>
      <c r="F922" s="3">
        <v>944172</v>
      </c>
      <c r="G922" s="3" t="s">
        <v>87</v>
      </c>
      <c r="H922" s="4">
        <v>325699</v>
      </c>
      <c r="I922" cm="1">
        <f t="array" ref="I922">_xlfn.IFS(B922=2015,H922/$O$10,B922=2016,H922/$O$11,B922=2017,H922/$O$12,B922=2018,H922/$O$13,B922=2019,H922/$O$14,B922=2020,H922/$O$15,B922=2021,H922/$O$16,B922=2022,H922/$O$17)</f>
        <v>6.4952863061993058E-3</v>
      </c>
      <c r="J922" s="6" cm="1">
        <f t="array" ref="J922">_xlfn.IFS(B922=2015,I922*$Q$1,B922=2016,I922*$Q$2,B922=2017,I922*$Q$3,B922=2018,I922*$Q$4,B922=2019,I922*$Q$5,B922=2020,I922*$Q$6,B922=2021,I922*$Q$7,B922=2022,I922*$Q$8)</f>
        <v>170538.99665588449</v>
      </c>
      <c r="K922" s="7">
        <f t="shared" si="30"/>
        <v>496237.99665588449</v>
      </c>
      <c r="L922">
        <f>IFERROR(VLOOKUP(G922,'LEAID Match'!$A$2:$B$168,2,FALSE),"")</f>
        <v>4641550</v>
      </c>
    </row>
    <row r="923" spans="1:12" x14ac:dyDescent="0.2">
      <c r="A923">
        <f t="shared" si="29"/>
        <v>4641550</v>
      </c>
      <c r="B923">
        <v>2019</v>
      </c>
      <c r="C923" t="s">
        <v>208</v>
      </c>
      <c r="D923" t="s">
        <v>212</v>
      </c>
      <c r="E923" t="s">
        <v>211</v>
      </c>
      <c r="F923" s="3">
        <v>944172</v>
      </c>
      <c r="G923" s="3" t="s">
        <v>87</v>
      </c>
      <c r="H923" s="4">
        <v>344872</v>
      </c>
      <c r="I923" cm="1">
        <f t="array" ref="I923">_xlfn.IFS(B923=2015,H923/$O$10,B923=2016,H923/$O$11,B923=2017,H923/$O$12,B923=2018,H923/$O$13,B923=2019,H923/$O$14,B923=2020,H923/$O$15,B923=2021,H923/$O$16,B923=2022,H923/$O$17)</f>
        <v>6.7541566455065595E-3</v>
      </c>
      <c r="J923" s="6" cm="1">
        <f t="array" ref="J923">_xlfn.IFS(B923=2015,I923*$Q$1,B923=2016,I923*$Q$2,B923=2017,I923*$Q$3,B923=2018,I923*$Q$4,B923=2019,I923*$Q$5,B923=2020,I923*$Q$6,B923=2021,I923*$Q$7,B923=2022,I923*$Q$8)</f>
        <v>178630.25394498568</v>
      </c>
      <c r="K923" s="7">
        <f t="shared" si="30"/>
        <v>523502.25394498568</v>
      </c>
      <c r="L923">
        <f>IFERROR(VLOOKUP(G923,'LEAID Match'!$A$2:$B$168,2,FALSE),"")</f>
        <v>4641550</v>
      </c>
    </row>
    <row r="924" spans="1:12" x14ac:dyDescent="0.2">
      <c r="A924">
        <f t="shared" si="29"/>
        <v>4641550</v>
      </c>
      <c r="B924">
        <v>2020</v>
      </c>
      <c r="C924" t="s">
        <v>208</v>
      </c>
      <c r="D924" t="s">
        <v>212</v>
      </c>
      <c r="E924" t="s">
        <v>211</v>
      </c>
      <c r="F924" s="1">
        <v>944172</v>
      </c>
      <c r="G924" s="3" t="s">
        <v>87</v>
      </c>
      <c r="H924" s="2">
        <v>353541</v>
      </c>
      <c r="I924" cm="1">
        <f t="array" ref="I924">_xlfn.IFS(B924=2015,H924/$O$10,B924=2016,H924/$O$11,B924=2017,H924/$O$12,B924=2018,H924/$O$13,B924=2019,H924/$O$14,B924=2020,H924/$O$15,B924=2021,H924/$O$16,B924=2022,H924/$O$17)</f>
        <v>6.695988728861217E-3</v>
      </c>
      <c r="J924" s="6" cm="1">
        <f t="array" ref="J924">_xlfn.IFS(B924=2015,I924*$Q$1,B924=2016,I924*$Q$2,B924=2017,I924*$Q$3,B924=2018,I924*$Q$4,B924=2019,I924*$Q$5,B924=2020,I924*$Q$6,B924=2021,I924*$Q$7,B924=2022,I924*$Q$8)</f>
        <v>182065.48031113285</v>
      </c>
      <c r="K924" s="7">
        <f t="shared" si="30"/>
        <v>535606.48031113285</v>
      </c>
      <c r="L924">
        <f>IFERROR(VLOOKUP(G924,'LEAID Match'!$A$2:$B$168,2,FALSE),"")</f>
        <v>4641550</v>
      </c>
    </row>
    <row r="925" spans="1:12" x14ac:dyDescent="0.2">
      <c r="A925">
        <f t="shared" si="29"/>
        <v>4641550</v>
      </c>
      <c r="B925">
        <v>2021</v>
      </c>
      <c r="C925" t="s">
        <v>208</v>
      </c>
      <c r="D925" t="s">
        <v>212</v>
      </c>
      <c r="E925" t="s">
        <v>211</v>
      </c>
      <c r="F925" s="3">
        <v>944172</v>
      </c>
      <c r="G925" s="3" t="s">
        <v>87</v>
      </c>
      <c r="H925" s="4">
        <v>392641</v>
      </c>
      <c r="I925" cm="1">
        <f t="array" ref="I925">_xlfn.IFS(B925=2015,H925/$O$10,B925=2016,H925/$O$11,B925=2017,H925/$O$12,B925=2018,H925/$O$13,B925=2019,H925/$O$14,B925=2020,H925/$O$15,B925=2021,H925/$O$16,B925=2022,H925/$O$17)</f>
        <v>7.0917122001811286E-3</v>
      </c>
      <c r="J925" s="6" cm="1">
        <f t="array" ref="J925">_xlfn.IFS(B925=2015,I925*$Q$1,B925=2016,I925*$Q$2,B925=2017,I925*$Q$3,B925=2018,I925*$Q$4,B925=2019,I925*$Q$5,B925=2020,I925*$Q$6,B925=2021,I925*$Q$7,B925=2022,I925*$Q$8)</f>
        <v>197421.44576880493</v>
      </c>
      <c r="K925" s="7">
        <f t="shared" si="30"/>
        <v>590062.44576880499</v>
      </c>
      <c r="L925">
        <f>IFERROR(VLOOKUP(G925,'LEAID Match'!$A$2:$B$168,2,FALSE),"")</f>
        <v>4641550</v>
      </c>
    </row>
    <row r="926" spans="1:12" x14ac:dyDescent="0.2">
      <c r="A926">
        <f t="shared" si="29"/>
        <v>4641550</v>
      </c>
      <c r="B926">
        <v>2022</v>
      </c>
      <c r="C926" t="s">
        <v>208</v>
      </c>
      <c r="D926" t="s">
        <v>212</v>
      </c>
      <c r="E926" t="s">
        <v>211</v>
      </c>
      <c r="F926" s="3">
        <v>944172</v>
      </c>
      <c r="G926" s="3" t="s">
        <v>87</v>
      </c>
      <c r="H926" s="4">
        <v>418218</v>
      </c>
      <c r="I926" cm="1">
        <f t="array" ref="I926">_xlfn.IFS(B926=2015,H926/$O$10,B926=2016,H926/$O$11,B926=2017,H926/$O$12,B926=2018,H926/$O$13,B926=2019,H926/$O$14,B926=2020,H926/$O$15,B926=2021,H926/$O$16,B926=2022,H926/$O$17)</f>
        <v>7.2429427124861851E-3</v>
      </c>
      <c r="J926" s="6" cm="1">
        <f t="array" ref="J926">_xlfn.IFS(B926=2015,I926*$Q$1,B926=2016,I926*$Q$2,B926=2017,I926*$Q$3,B926=2018,I926*$Q$4,B926=2019,I926*$Q$5,B926=2020,I926*$Q$6,B926=2021,I926*$Q$7,B926=2022,I926*$Q$8)</f>
        <v>213362.21530551158</v>
      </c>
      <c r="K926" s="7">
        <f t="shared" si="30"/>
        <v>631580.21530551161</v>
      </c>
      <c r="L926">
        <f>IFERROR(VLOOKUP(G926,'LEAID Match'!$A$2:$B$168,2,FALSE),"")</f>
        <v>4641550</v>
      </c>
    </row>
    <row r="927" spans="1:12" x14ac:dyDescent="0.2">
      <c r="A927">
        <f t="shared" si="29"/>
        <v>4644770</v>
      </c>
      <c r="B927">
        <v>2015</v>
      </c>
      <c r="C927" t="s">
        <v>208</v>
      </c>
      <c r="D927" t="s">
        <v>212</v>
      </c>
      <c r="E927" t="s">
        <v>211</v>
      </c>
      <c r="F927" s="3">
        <v>945132</v>
      </c>
      <c r="G927" s="3" t="s">
        <v>89</v>
      </c>
      <c r="H927" s="4">
        <v>169692</v>
      </c>
      <c r="I927" cm="1">
        <f t="array" ref="I927">_xlfn.IFS(B927=2015,H927/$O$10,B927=2016,H927/$O$11,B927=2017,H927/$O$12,B927=2018,H927/$O$13,B927=2019,H927/$O$14,B927=2020,H927/$O$15,B927=2021,H927/$O$16,B927=2022,H927/$O$17)</f>
        <v>3.9691456767825869E-3</v>
      </c>
      <c r="J927" s="6" cm="1">
        <f t="array" ref="J927">_xlfn.IFS(B927=2015,I927*$Q$1,B927=2016,I927*$Q$2,B927=2017,I927*$Q$3,B927=2018,I927*$Q$4,B927=2019,I927*$Q$5,B927=2020,I927*$Q$6,B927=2021,I927*$Q$7,B927=2022,I927*$Q$8)</f>
        <v>97609.845701017271</v>
      </c>
      <c r="K927" s="7">
        <f t="shared" si="30"/>
        <v>267301.8457010173</v>
      </c>
      <c r="L927">
        <f>IFERROR(VLOOKUP(G927,'LEAID Match'!$A$2:$B$168,2,FALSE),"")</f>
        <v>4644770</v>
      </c>
    </row>
    <row r="928" spans="1:12" x14ac:dyDescent="0.2">
      <c r="A928">
        <f t="shared" si="29"/>
        <v>4644770</v>
      </c>
      <c r="B928">
        <v>2016</v>
      </c>
      <c r="C928" t="s">
        <v>208</v>
      </c>
      <c r="D928" t="s">
        <v>212</v>
      </c>
      <c r="E928" t="s">
        <v>211</v>
      </c>
      <c r="F928" s="3">
        <v>945132</v>
      </c>
      <c r="G928" s="3" t="s">
        <v>89</v>
      </c>
      <c r="H928" s="4">
        <v>172380</v>
      </c>
      <c r="I928" cm="1">
        <f t="array" ref="I928">_xlfn.IFS(B928=2015,H928/$O$10,B928=2016,H928/$O$11,B928=2017,H928/$O$12,B928=2018,H928/$O$13,B928=2019,H928/$O$14,B928=2020,H928/$O$15,B928=2021,H928/$O$16,B928=2022,H928/$O$17)</f>
        <v>3.9099336198153206E-3</v>
      </c>
      <c r="J928" s="6" cm="1">
        <f t="array" ref="J928">_xlfn.IFS(B928=2015,I928*$Q$1,B928=2016,I928*$Q$2,B928=2017,I928*$Q$3,B928=2018,I928*$Q$4,B928=2019,I928*$Q$5,B928=2020,I928*$Q$6,B928=2021,I928*$Q$7,B928=2022,I928*$Q$8)</f>
        <v>99335.011107972168</v>
      </c>
      <c r="K928" s="7">
        <f t="shared" si="30"/>
        <v>271715.01110797218</v>
      </c>
      <c r="L928">
        <f>IFERROR(VLOOKUP(G928,'LEAID Match'!$A$2:$B$168,2,FALSE),"")</f>
        <v>4644770</v>
      </c>
    </row>
    <row r="929" spans="1:12" x14ac:dyDescent="0.2">
      <c r="A929">
        <f t="shared" si="29"/>
        <v>4644770</v>
      </c>
      <c r="B929">
        <v>2017</v>
      </c>
      <c r="C929" t="s">
        <v>208</v>
      </c>
      <c r="D929" t="s">
        <v>212</v>
      </c>
      <c r="E929" t="s">
        <v>211</v>
      </c>
      <c r="F929" s="3">
        <v>945132</v>
      </c>
      <c r="G929" s="3" t="s">
        <v>89</v>
      </c>
      <c r="H929" s="4">
        <v>180053</v>
      </c>
      <c r="I929" cm="1">
        <f t="array" ref="I929">_xlfn.IFS(B929=2015,H929/$O$10,B929=2016,H929/$O$11,B929=2017,H929/$O$12,B929=2018,H929/$O$13,B929=2019,H929/$O$14,B929=2020,H929/$O$15,B929=2021,H929/$O$16,B929=2022,H929/$O$17)</f>
        <v>3.7175165594485722E-3</v>
      </c>
      <c r="J929" s="6" cm="1">
        <f t="array" ref="J929">_xlfn.IFS(B929=2015,I929*$Q$1,B929=2016,I929*$Q$2,B929=2017,I929*$Q$3,B929=2018,I929*$Q$4,B929=2019,I929*$Q$5,B929=2020,I929*$Q$6,B929=2021,I929*$Q$7,B929=2022,I929*$Q$8)</f>
        <v>97791.258250137442</v>
      </c>
      <c r="K929" s="7">
        <f t="shared" si="30"/>
        <v>277844.25825013744</v>
      </c>
      <c r="L929">
        <f>IFERROR(VLOOKUP(G929,'LEAID Match'!$A$2:$B$168,2,FALSE),"")</f>
        <v>4644770</v>
      </c>
    </row>
    <row r="930" spans="1:12" x14ac:dyDescent="0.2">
      <c r="A930">
        <f t="shared" si="29"/>
        <v>4644770</v>
      </c>
      <c r="B930">
        <v>2018</v>
      </c>
      <c r="C930" t="s">
        <v>208</v>
      </c>
      <c r="D930" t="s">
        <v>212</v>
      </c>
      <c r="E930" t="s">
        <v>211</v>
      </c>
      <c r="F930" s="3">
        <v>945132</v>
      </c>
      <c r="G930" s="3" t="s">
        <v>89</v>
      </c>
      <c r="H930" s="4">
        <v>183695</v>
      </c>
      <c r="I930" cm="1">
        <f t="array" ref="I930">_xlfn.IFS(B930=2015,H930/$O$10,B930=2016,H930/$O$11,B930=2017,H930/$O$12,B930=2018,H930/$O$13,B930=2019,H930/$O$14,B930=2020,H930/$O$15,B930=2021,H930/$O$16,B930=2022,H930/$O$17)</f>
        <v>3.6633567128461601E-3</v>
      </c>
      <c r="J930" s="6" cm="1">
        <f t="array" ref="J930">_xlfn.IFS(B930=2015,I930*$Q$1,B930=2016,I930*$Q$2,B930=2017,I930*$Q$3,B930=2018,I930*$Q$4,B930=2019,I930*$Q$5,B930=2020,I930*$Q$6,B930=2021,I930*$Q$7,B930=2022,I930*$Q$8)</f>
        <v>96184.394151356624</v>
      </c>
      <c r="K930" s="7">
        <f t="shared" si="30"/>
        <v>279879.39415135665</v>
      </c>
      <c r="L930">
        <f>IFERROR(VLOOKUP(G930,'LEAID Match'!$A$2:$B$168,2,FALSE),"")</f>
        <v>4644770</v>
      </c>
    </row>
    <row r="931" spans="1:12" x14ac:dyDescent="0.2">
      <c r="A931">
        <f t="shared" si="29"/>
        <v>4644770</v>
      </c>
      <c r="B931">
        <v>2019</v>
      </c>
      <c r="C931" t="s">
        <v>208</v>
      </c>
      <c r="D931" t="s">
        <v>212</v>
      </c>
      <c r="E931" t="s">
        <v>211</v>
      </c>
      <c r="F931" s="3">
        <v>945132</v>
      </c>
      <c r="G931" s="3" t="s">
        <v>89</v>
      </c>
      <c r="H931" s="4">
        <v>185836</v>
      </c>
      <c r="I931" cm="1">
        <f t="array" ref="I931">_xlfn.IFS(B931=2015,H931/$O$10,B931=2016,H931/$O$11,B931=2017,H931/$O$12,B931=2018,H931/$O$13,B931=2019,H931/$O$14,B931=2020,H931/$O$15,B931=2021,H931/$O$16,B931=2022,H931/$O$17)</f>
        <v>3.6395110486625673E-3</v>
      </c>
      <c r="J931" s="6" cm="1">
        <f t="array" ref="J931">_xlfn.IFS(B931=2015,I931*$Q$1,B931=2016,I931*$Q$2,B931=2017,I931*$Q$3,B931=2018,I931*$Q$4,B931=2019,I931*$Q$5,B931=2020,I931*$Q$6,B931=2021,I931*$Q$7,B931=2022,I931*$Q$8)</f>
        <v>96255.804681506052</v>
      </c>
      <c r="K931" s="7">
        <f t="shared" si="30"/>
        <v>282091.80468150607</v>
      </c>
      <c r="L931">
        <f>IFERROR(VLOOKUP(G931,'LEAID Match'!$A$2:$B$168,2,FALSE),"")</f>
        <v>4644770</v>
      </c>
    </row>
    <row r="932" spans="1:12" x14ac:dyDescent="0.2">
      <c r="A932">
        <f t="shared" si="29"/>
        <v>4644770</v>
      </c>
      <c r="B932">
        <v>2020</v>
      </c>
      <c r="C932" t="s">
        <v>208</v>
      </c>
      <c r="D932" t="s">
        <v>212</v>
      </c>
      <c r="E932" t="s">
        <v>211</v>
      </c>
      <c r="F932" s="1">
        <v>945132</v>
      </c>
      <c r="G932" s="3" t="s">
        <v>89</v>
      </c>
      <c r="H932" s="2">
        <v>188692</v>
      </c>
      <c r="I932" cm="1">
        <f t="array" ref="I932">_xlfn.IFS(B932=2015,H932/$O$10,B932=2016,H932/$O$11,B932=2017,H932/$O$12,B932=2018,H932/$O$13,B932=2019,H932/$O$14,B932=2020,H932/$O$15,B932=2021,H932/$O$16,B932=2022,H932/$O$17)</f>
        <v>3.5737849506175543E-3</v>
      </c>
      <c r="J932" s="6" cm="1">
        <f t="array" ref="J932">_xlfn.IFS(B932=2015,I932*$Q$1,B932=2016,I932*$Q$2,B932=2017,I932*$Q$3,B932=2018,I932*$Q$4,B932=2019,I932*$Q$5,B932=2020,I932*$Q$6,B932=2021,I932*$Q$7,B932=2022,I932*$Q$8)</f>
        <v>97172.038351614887</v>
      </c>
      <c r="K932" s="7">
        <f t="shared" si="30"/>
        <v>285864.0383516149</v>
      </c>
      <c r="L932">
        <f>IFERROR(VLOOKUP(G932,'LEAID Match'!$A$2:$B$168,2,FALSE),"")</f>
        <v>4644770</v>
      </c>
    </row>
    <row r="933" spans="1:12" x14ac:dyDescent="0.2">
      <c r="A933">
        <f t="shared" si="29"/>
        <v>4644770</v>
      </c>
      <c r="B933">
        <v>2021</v>
      </c>
      <c r="C933" t="s">
        <v>208</v>
      </c>
      <c r="D933" t="s">
        <v>212</v>
      </c>
      <c r="E933" t="s">
        <v>211</v>
      </c>
      <c r="F933" s="3">
        <v>945132</v>
      </c>
      <c r="G933" s="3" t="s">
        <v>89</v>
      </c>
      <c r="H933" s="4">
        <v>204813</v>
      </c>
      <c r="I933" cm="1">
        <f t="array" ref="I933">_xlfn.IFS(B933=2015,H933/$O$10,B933=2016,H933/$O$11,B933=2017,H933/$O$12,B933=2018,H933/$O$13,B933=2019,H933/$O$14,B933=2020,H933/$O$15,B933=2021,H933/$O$16,B933=2022,H933/$O$17)</f>
        <v>3.699243968041283E-3</v>
      </c>
      <c r="J933" s="6" cm="1">
        <f t="array" ref="J933">_xlfn.IFS(B933=2015,I933*$Q$1,B933=2016,I933*$Q$2,B933=2017,I933*$Q$3,B933=2018,I933*$Q$4,B933=2019,I933*$Q$5,B933=2020,I933*$Q$6,B933=2021,I933*$Q$7,B933=2022,I933*$Q$8)</f>
        <v>102980.7854305746</v>
      </c>
      <c r="K933" s="7">
        <f t="shared" si="30"/>
        <v>307793.78543057462</v>
      </c>
      <c r="L933">
        <f>IFERROR(VLOOKUP(G933,'LEAID Match'!$A$2:$B$168,2,FALSE),"")</f>
        <v>4644770</v>
      </c>
    </row>
    <row r="934" spans="1:12" x14ac:dyDescent="0.2">
      <c r="A934">
        <f t="shared" si="29"/>
        <v>4644770</v>
      </c>
      <c r="B934">
        <v>2022</v>
      </c>
      <c r="C934" t="s">
        <v>208</v>
      </c>
      <c r="D934" t="s">
        <v>212</v>
      </c>
      <c r="E934" t="s">
        <v>211</v>
      </c>
      <c r="F934" s="3">
        <v>945132</v>
      </c>
      <c r="G934" s="3" t="s">
        <v>89</v>
      </c>
      <c r="H934" s="4">
        <v>174422</v>
      </c>
      <c r="I934" cm="1">
        <f t="array" ref="I934">_xlfn.IFS(B934=2015,H934/$O$10,B934=2016,H934/$O$11,B934=2017,H934/$O$12,B934=2018,H934/$O$13,B934=2019,H934/$O$14,B934=2020,H934/$O$15,B934=2021,H934/$O$16,B934=2022,H934/$O$17)</f>
        <v>3.0207417036025837E-3</v>
      </c>
      <c r="J934" s="6" cm="1">
        <f t="array" ref="J934">_xlfn.IFS(B934=2015,I934*$Q$1,B934=2016,I934*$Q$2,B934=2017,I934*$Q$3,B934=2018,I934*$Q$4,B934=2019,I934*$Q$5,B934=2020,I934*$Q$6,B934=2021,I934*$Q$7,B934=2022,I934*$Q$8)</f>
        <v>88984.845984672909</v>
      </c>
      <c r="K934" s="7">
        <f t="shared" si="30"/>
        <v>263406.84598467289</v>
      </c>
      <c r="L934">
        <f>IFERROR(VLOOKUP(G934,'LEAID Match'!$A$2:$B$168,2,FALSE),"")</f>
        <v>4644770</v>
      </c>
    </row>
    <row r="935" spans="1:12" x14ac:dyDescent="0.2">
      <c r="A935">
        <f t="shared" si="29"/>
        <v>4610320</v>
      </c>
      <c r="B935">
        <v>2015</v>
      </c>
      <c r="C935" t="s">
        <v>208</v>
      </c>
      <c r="D935" t="s">
        <v>212</v>
      </c>
      <c r="E935" t="s">
        <v>211</v>
      </c>
      <c r="F935" s="3">
        <v>946102</v>
      </c>
      <c r="G935" s="3" t="s">
        <v>20</v>
      </c>
      <c r="H935" s="4">
        <v>71985</v>
      </c>
      <c r="I935" cm="1">
        <f t="array" ref="I935">_xlfn.IFS(B935=2015,H935/$O$10,B935=2016,H935/$O$11,B935=2017,H935/$O$12,B935=2018,H935/$O$13,B935=2019,H935/$O$14,B935=2020,H935/$O$15,B935=2021,H935/$O$16,B935=2022,H935/$O$17)</f>
        <v>1.6837502742804286E-3</v>
      </c>
      <c r="J935" s="6" cm="1">
        <f t="array" ref="J935">_xlfn.IFS(B935=2015,I935*$Q$1,B935=2016,I935*$Q$2,B935=2017,I935*$Q$3,B935=2018,I935*$Q$4,B935=2019,I935*$Q$5,B935=2020,I935*$Q$6,B935=2021,I935*$Q$7,B935=2022,I935*$Q$8)</f>
        <v>41407.047726396813</v>
      </c>
      <c r="K935" s="7">
        <f t="shared" si="30"/>
        <v>113392.04772639682</v>
      </c>
      <c r="L935">
        <f>IFERROR(VLOOKUP(G935,'LEAID Match'!$A$2:$B$168,2,FALSE),"")</f>
        <v>4610320</v>
      </c>
    </row>
    <row r="936" spans="1:12" x14ac:dyDescent="0.2">
      <c r="A936">
        <f t="shared" si="29"/>
        <v>4610320</v>
      </c>
      <c r="B936">
        <v>2016</v>
      </c>
      <c r="C936" t="s">
        <v>208</v>
      </c>
      <c r="D936" t="s">
        <v>212</v>
      </c>
      <c r="E936" t="s">
        <v>211</v>
      </c>
      <c r="F936" s="3">
        <v>946102</v>
      </c>
      <c r="G936" s="3" t="s">
        <v>20</v>
      </c>
      <c r="H936" s="4">
        <v>78331</v>
      </c>
      <c r="I936" cm="1">
        <f t="array" ref="I936">_xlfn.IFS(B936=2015,H936/$O$10,B936=2016,H936/$O$11,B936=2017,H936/$O$12,B936=2018,H936/$O$13,B936=2019,H936/$O$14,B936=2020,H936/$O$15,B936=2021,H936/$O$16,B936=2022,H936/$O$17)</f>
        <v>1.7767084950327989E-3</v>
      </c>
      <c r="J936" s="6" cm="1">
        <f t="array" ref="J936">_xlfn.IFS(B936=2015,I936*$Q$1,B936=2016,I936*$Q$2,B936=2017,I936*$Q$3,B936=2018,I936*$Q$4,B936=2019,I936*$Q$5,B936=2020,I936*$Q$6,B936=2021,I936*$Q$7,B936=2022,I936*$Q$8)</f>
        <v>45138.709566646758</v>
      </c>
      <c r="K936" s="7">
        <f t="shared" si="30"/>
        <v>123469.70956664675</v>
      </c>
      <c r="L936">
        <f>IFERROR(VLOOKUP(G936,'LEAID Match'!$A$2:$B$168,2,FALSE),"")</f>
        <v>4610320</v>
      </c>
    </row>
    <row r="937" spans="1:12" x14ac:dyDescent="0.2">
      <c r="A937">
        <f t="shared" si="29"/>
        <v>4610320</v>
      </c>
      <c r="B937">
        <v>2017</v>
      </c>
      <c r="C937" t="s">
        <v>208</v>
      </c>
      <c r="D937" t="s">
        <v>212</v>
      </c>
      <c r="E937" t="s">
        <v>211</v>
      </c>
      <c r="F937" s="3">
        <v>946102</v>
      </c>
      <c r="G937" s="3" t="s">
        <v>20</v>
      </c>
      <c r="H937" s="4">
        <v>86576</v>
      </c>
      <c r="I937" cm="1">
        <f t="array" ref="I937">_xlfn.IFS(B937=2015,H937/$O$10,B937=2016,H937/$O$11,B937=2017,H937/$O$12,B937=2018,H937/$O$13,B937=2019,H937/$O$14,B937=2020,H937/$O$15,B937=2021,H937/$O$16,B937=2022,H937/$O$17)</f>
        <v>1.787516529304258E-3</v>
      </c>
      <c r="J937" s="6" cm="1">
        <f t="array" ref="J937">_xlfn.IFS(B937=2015,I937*$Q$1,B937=2016,I937*$Q$2,B937=2017,I937*$Q$3,B937=2018,I937*$Q$4,B937=2019,I937*$Q$5,B937=2020,I937*$Q$6,B937=2021,I937*$Q$7,B937=2022,I937*$Q$8)</f>
        <v>47021.576837175155</v>
      </c>
      <c r="K937" s="7">
        <f t="shared" si="30"/>
        <v>133597.57683717515</v>
      </c>
      <c r="L937">
        <f>IFERROR(VLOOKUP(G937,'LEAID Match'!$A$2:$B$168,2,FALSE),"")</f>
        <v>4610320</v>
      </c>
    </row>
    <row r="938" spans="1:12" x14ac:dyDescent="0.2">
      <c r="A938">
        <f t="shared" si="29"/>
        <v>4610320</v>
      </c>
      <c r="B938">
        <v>2018</v>
      </c>
      <c r="C938" t="s">
        <v>208</v>
      </c>
      <c r="D938" t="s">
        <v>212</v>
      </c>
      <c r="E938" t="s">
        <v>211</v>
      </c>
      <c r="F938" s="3">
        <v>946102</v>
      </c>
      <c r="G938" s="3" t="s">
        <v>20</v>
      </c>
      <c r="H938" s="4">
        <v>94798</v>
      </c>
      <c r="I938" cm="1">
        <f t="array" ref="I938">_xlfn.IFS(B938=2015,H938/$O$10,B938=2016,H938/$O$11,B938=2017,H938/$O$12,B938=2018,H938/$O$13,B938=2019,H938/$O$14,B938=2020,H938/$O$15,B938=2021,H938/$O$16,B938=2022,H938/$O$17)</f>
        <v>1.8905190106665412E-3</v>
      </c>
      <c r="J938" s="6" cm="1">
        <f t="array" ref="J938">_xlfn.IFS(B938=2015,I938*$Q$1,B938=2016,I938*$Q$2,B938=2017,I938*$Q$3,B938=2018,I938*$Q$4,B938=2019,I938*$Q$5,B938=2020,I938*$Q$6,B938=2021,I938*$Q$7,B938=2022,I938*$Q$8)</f>
        <v>49637.106054929667</v>
      </c>
      <c r="K938" s="7">
        <f t="shared" si="30"/>
        <v>144435.10605492967</v>
      </c>
      <c r="L938">
        <f>IFERROR(VLOOKUP(G938,'LEAID Match'!$A$2:$B$168,2,FALSE),"")</f>
        <v>4610320</v>
      </c>
    </row>
    <row r="939" spans="1:12" x14ac:dyDescent="0.2">
      <c r="A939">
        <f t="shared" si="29"/>
        <v>4610320</v>
      </c>
      <c r="B939">
        <v>2019</v>
      </c>
      <c r="C939" t="s">
        <v>208</v>
      </c>
      <c r="D939" t="s">
        <v>212</v>
      </c>
      <c r="E939" t="s">
        <v>211</v>
      </c>
      <c r="F939" s="3">
        <v>946102</v>
      </c>
      <c r="G939" s="3" t="s">
        <v>20</v>
      </c>
      <c r="H939" s="4">
        <v>92446</v>
      </c>
      <c r="I939" cm="1">
        <f t="array" ref="I939">_xlfn.IFS(B939=2015,H939/$O$10,B939=2016,H939/$O$11,B939=2017,H939/$O$12,B939=2018,H939/$O$13,B939=2019,H939/$O$14,B939=2020,H939/$O$15,B939=2021,H939/$O$16,B939=2022,H939/$O$17)</f>
        <v>1.8105116253291059E-3</v>
      </c>
      <c r="J939" s="6" cm="1">
        <f t="array" ref="J939">_xlfn.IFS(B939=2015,I939*$Q$1,B939=2016,I939*$Q$2,B939=2017,I939*$Q$3,B939=2018,I939*$Q$4,B939=2019,I939*$Q$5,B939=2020,I939*$Q$6,B939=2021,I939*$Q$7,B939=2022,I939*$Q$8)</f>
        <v>47883.424737868387</v>
      </c>
      <c r="K939" s="7">
        <f t="shared" si="30"/>
        <v>140329.42473786839</v>
      </c>
      <c r="L939">
        <f>IFERROR(VLOOKUP(G939,'LEAID Match'!$A$2:$B$168,2,FALSE),"")</f>
        <v>4610320</v>
      </c>
    </row>
    <row r="940" spans="1:12" x14ac:dyDescent="0.2">
      <c r="A940">
        <f t="shared" si="29"/>
        <v>4610320</v>
      </c>
      <c r="B940">
        <v>2020</v>
      </c>
      <c r="C940" t="s">
        <v>208</v>
      </c>
      <c r="D940" t="s">
        <v>212</v>
      </c>
      <c r="E940" t="s">
        <v>211</v>
      </c>
      <c r="F940" s="1">
        <v>946102</v>
      </c>
      <c r="G940" s="3" t="s">
        <v>20</v>
      </c>
      <c r="H940" s="2">
        <v>89149</v>
      </c>
      <c r="I940" cm="1">
        <f t="array" ref="I940">_xlfn.IFS(B940=2015,H940/$O$10,B940=2016,H940/$O$11,B940=2017,H940/$O$12,B940=2018,H940/$O$13,B940=2019,H940/$O$14,B940=2020,H940/$O$15,B940=2021,H940/$O$16,B940=2022,H940/$O$17)</f>
        <v>1.6884624391209184E-3</v>
      </c>
      <c r="J940" s="6" cm="1">
        <f t="array" ref="J940">_xlfn.IFS(B940=2015,I940*$Q$1,B940=2016,I940*$Q$2,B940=2017,I940*$Q$3,B940=2018,I940*$Q$4,B940=2019,I940*$Q$5,B940=2020,I940*$Q$6,B940=2021,I940*$Q$7,B940=2022,I940*$Q$8)</f>
        <v>45909.683754521211</v>
      </c>
      <c r="K940" s="7">
        <f t="shared" si="30"/>
        <v>135058.68375452122</v>
      </c>
      <c r="L940">
        <f>IFERROR(VLOOKUP(G940,'LEAID Match'!$A$2:$B$168,2,FALSE),"")</f>
        <v>4610320</v>
      </c>
    </row>
    <row r="941" spans="1:12" x14ac:dyDescent="0.2">
      <c r="A941">
        <f t="shared" si="29"/>
        <v>4610320</v>
      </c>
      <c r="B941">
        <v>2021</v>
      </c>
      <c r="C941" t="s">
        <v>208</v>
      </c>
      <c r="D941" t="s">
        <v>212</v>
      </c>
      <c r="E941" t="s">
        <v>211</v>
      </c>
      <c r="F941" s="3">
        <v>946102</v>
      </c>
      <c r="G941" s="3" t="s">
        <v>20</v>
      </c>
      <c r="H941" s="4">
        <v>97746</v>
      </c>
      <c r="I941" cm="1">
        <f t="array" ref="I941">_xlfn.IFS(B941=2015,H941/$O$10,B941=2016,H941/$O$11,B941=2017,H941/$O$12,B941=2018,H941/$O$13,B941=2019,H941/$O$14,B941=2020,H941/$O$15,B941=2021,H941/$O$16,B941=2022,H941/$O$17)</f>
        <v>1.7654460454178361E-3</v>
      </c>
      <c r="J941" s="6" cm="1">
        <f t="array" ref="J941">_xlfn.IFS(B941=2015,I941*$Q$1,B941=2016,I941*$Q$2,B941=2017,I941*$Q$3,B941=2018,I941*$Q$4,B941=2019,I941*$Q$5,B941=2020,I941*$Q$6,B941=2021,I941*$Q$7,B941=2022,I941*$Q$8)</f>
        <v>49147.074905874848</v>
      </c>
      <c r="K941" s="7">
        <f t="shared" si="30"/>
        <v>146893.07490587485</v>
      </c>
      <c r="L941">
        <f>IFERROR(VLOOKUP(G941,'LEAID Match'!$A$2:$B$168,2,FALSE),"")</f>
        <v>4610320</v>
      </c>
    </row>
    <row r="942" spans="1:12" x14ac:dyDescent="0.2">
      <c r="A942">
        <f t="shared" si="29"/>
        <v>4610320</v>
      </c>
      <c r="B942">
        <v>2022</v>
      </c>
      <c r="C942" t="s">
        <v>208</v>
      </c>
      <c r="D942" t="s">
        <v>212</v>
      </c>
      <c r="E942" t="s">
        <v>211</v>
      </c>
      <c r="F942" s="3">
        <v>946102</v>
      </c>
      <c r="G942" s="3" t="s">
        <v>20</v>
      </c>
      <c r="H942" s="4">
        <v>101473</v>
      </c>
      <c r="I942" cm="1">
        <f t="array" ref="I942">_xlfn.IFS(B942=2015,H942/$O$10,B942=2016,H942/$O$11,B942=2017,H942/$O$12,B942=2018,H942/$O$13,B942=2019,H942/$O$14,B942=2020,H942/$O$15,B942=2021,H942/$O$16,B942=2022,H942/$O$17)</f>
        <v>1.7573684677945729E-3</v>
      </c>
      <c r="J942" s="6" cm="1">
        <f t="array" ref="J942">_xlfn.IFS(B942=2015,I942*$Q$1,B942=2016,I942*$Q$2,B942=2017,I942*$Q$3,B942=2018,I942*$Q$4,B942=2019,I942*$Q$5,B942=2020,I942*$Q$6,B942=2021,I942*$Q$7,B942=2022,I942*$Q$8)</f>
        <v>51768.465426395269</v>
      </c>
      <c r="K942" s="7">
        <f t="shared" si="30"/>
        <v>153241.46542639527</v>
      </c>
      <c r="L942">
        <f>IFERROR(VLOOKUP(G942,'LEAID Match'!$A$2:$B$168,2,FALSE),"")</f>
        <v>4610320</v>
      </c>
    </row>
    <row r="943" spans="1:12" x14ac:dyDescent="0.2">
      <c r="A943">
        <f t="shared" si="29"/>
        <v>4648780</v>
      </c>
      <c r="B943">
        <v>2015</v>
      </c>
      <c r="C943" t="s">
        <v>208</v>
      </c>
      <c r="D943" t="s">
        <v>212</v>
      </c>
      <c r="E943" t="s">
        <v>211</v>
      </c>
      <c r="F943" s="3">
        <v>946103</v>
      </c>
      <c r="G943" s="3" t="s">
        <v>102</v>
      </c>
      <c r="H943" s="4">
        <v>66564</v>
      </c>
      <c r="I943" cm="1">
        <f t="array" ref="I943">_xlfn.IFS(B943=2015,H943/$O$10,B943=2016,H943/$O$11,B943=2017,H943/$O$12,B943=2018,H943/$O$13,B943=2019,H943/$O$14,B943=2020,H943/$O$15,B943=2021,H943/$O$16,B943=2022,H943/$O$17)</f>
        <v>1.5569514934667284E-3</v>
      </c>
      <c r="J943" s="6" cm="1">
        <f t="array" ref="J943">_xlfn.IFS(B943=2015,I943*$Q$1,B943=2016,I943*$Q$2,B943=2017,I943*$Q$3,B943=2018,I943*$Q$4,B943=2019,I943*$Q$5,B943=2020,I943*$Q$6,B943=2021,I943*$Q$7,B943=2022,I943*$Q$8)</f>
        <v>38288.792454815273</v>
      </c>
      <c r="K943" s="7">
        <f t="shared" si="30"/>
        <v>104852.79245481527</v>
      </c>
      <c r="L943">
        <f>IFERROR(VLOOKUP(G943,'LEAID Match'!$A$2:$B$168,2,FALSE),"")</f>
        <v>4648780</v>
      </c>
    </row>
    <row r="944" spans="1:12" x14ac:dyDescent="0.2">
      <c r="A944">
        <f t="shared" si="29"/>
        <v>4648780</v>
      </c>
      <c r="B944">
        <v>2016</v>
      </c>
      <c r="C944" t="s">
        <v>208</v>
      </c>
      <c r="D944" t="s">
        <v>212</v>
      </c>
      <c r="E944" t="s">
        <v>211</v>
      </c>
      <c r="F944" s="3">
        <v>946103</v>
      </c>
      <c r="G944" s="3" t="s">
        <v>102</v>
      </c>
      <c r="H944" s="4">
        <v>74945</v>
      </c>
      <c r="I944" cm="1">
        <f t="array" ref="I944">_xlfn.IFS(B944=2015,H944/$O$10,B944=2016,H944/$O$11,B944=2017,H944/$O$12,B944=2018,H944/$O$13,B944=2019,H944/$O$14,B944=2020,H944/$O$15,B944=2021,H944/$O$16,B944=2022,H944/$O$17)</f>
        <v>1.6999070375743079E-3</v>
      </c>
      <c r="J944" s="6" cm="1">
        <f t="array" ref="J944">_xlfn.IFS(B944=2015,I944*$Q$1,B944=2016,I944*$Q$2,B944=2017,I944*$Q$3,B944=2018,I944*$Q$4,B944=2019,I944*$Q$5,B944=2020,I944*$Q$6,B944=2021,I944*$Q$7,B944=2022,I944*$Q$8)</f>
        <v>43187.506714740543</v>
      </c>
      <c r="K944" s="7">
        <f t="shared" si="30"/>
        <v>118132.50671474054</v>
      </c>
      <c r="L944">
        <f>IFERROR(VLOOKUP(G944,'LEAID Match'!$A$2:$B$168,2,FALSE),"")</f>
        <v>4648780</v>
      </c>
    </row>
    <row r="945" spans="1:12" x14ac:dyDescent="0.2">
      <c r="A945">
        <f t="shared" si="29"/>
        <v>4648780</v>
      </c>
      <c r="B945">
        <v>2017</v>
      </c>
      <c r="C945" t="s">
        <v>208</v>
      </c>
      <c r="D945" t="s">
        <v>212</v>
      </c>
      <c r="E945" t="s">
        <v>211</v>
      </c>
      <c r="F945" s="3">
        <v>946103</v>
      </c>
      <c r="G945" s="3" t="s">
        <v>102</v>
      </c>
      <c r="H945" s="4">
        <v>90414</v>
      </c>
      <c r="I945" cm="1">
        <f t="array" ref="I945">_xlfn.IFS(B945=2015,H945/$O$10,B945=2016,H945/$O$11,B945=2017,H945/$O$12,B945=2018,H945/$O$13,B945=2019,H945/$O$14,B945=2020,H945/$O$15,B945=2021,H945/$O$16,B945=2022,H945/$O$17)</f>
        <v>1.8667589110205507E-3</v>
      </c>
      <c r="J945" s="6" cm="1">
        <f t="array" ref="J945">_xlfn.IFS(B945=2015,I945*$Q$1,B945=2016,I945*$Q$2,B945=2017,I945*$Q$3,B945=2018,I945*$Q$4,B945=2019,I945*$Q$5,B945=2020,I945*$Q$6,B945=2021,I945*$Q$7,B945=2022,I945*$Q$8)</f>
        <v>49106.09000365407</v>
      </c>
      <c r="K945" s="7">
        <f t="shared" si="30"/>
        <v>139520.09000365407</v>
      </c>
      <c r="L945">
        <f>IFERROR(VLOOKUP(G945,'LEAID Match'!$A$2:$B$168,2,FALSE),"")</f>
        <v>4648780</v>
      </c>
    </row>
    <row r="946" spans="1:12" x14ac:dyDescent="0.2">
      <c r="A946">
        <f t="shared" si="29"/>
        <v>4648780</v>
      </c>
      <c r="B946">
        <v>2018</v>
      </c>
      <c r="C946" t="s">
        <v>208</v>
      </c>
      <c r="D946" t="s">
        <v>212</v>
      </c>
      <c r="E946" t="s">
        <v>211</v>
      </c>
      <c r="F946" s="3">
        <v>946103</v>
      </c>
      <c r="G946" s="3" t="s">
        <v>102</v>
      </c>
      <c r="H946" s="4">
        <v>95930</v>
      </c>
      <c r="I946" cm="1">
        <f t="array" ref="I946">_xlfn.IFS(B946=2015,H946/$O$10,B946=2016,H946/$O$11,B946=2017,H946/$O$12,B946=2018,H946/$O$13,B946=2019,H946/$O$14,B946=2020,H946/$O$15,B946=2021,H946/$O$16,B946=2022,H946/$O$17)</f>
        <v>1.9130940388324786E-3</v>
      </c>
      <c r="J946" s="6" cm="1">
        <f t="array" ref="J946">_xlfn.IFS(B946=2015,I946*$Q$1,B946=2016,I946*$Q$2,B946=2017,I946*$Q$3,B946=2018,I946*$Q$4,B946=2019,I946*$Q$5,B946=2020,I946*$Q$6,B946=2021,I946*$Q$7,B946=2022,I946*$Q$8)</f>
        <v>50229.831682624143</v>
      </c>
      <c r="K946" s="7">
        <f t="shared" si="30"/>
        <v>146159.83168262415</v>
      </c>
      <c r="L946">
        <f>IFERROR(VLOOKUP(G946,'LEAID Match'!$A$2:$B$168,2,FALSE),"")</f>
        <v>4648780</v>
      </c>
    </row>
    <row r="947" spans="1:12" x14ac:dyDescent="0.2">
      <c r="A947">
        <f t="shared" si="29"/>
        <v>4648780</v>
      </c>
      <c r="B947">
        <v>2019</v>
      </c>
      <c r="C947" t="s">
        <v>208</v>
      </c>
      <c r="D947" t="s">
        <v>212</v>
      </c>
      <c r="E947" t="s">
        <v>211</v>
      </c>
      <c r="F947" s="3">
        <v>946103</v>
      </c>
      <c r="G947" s="3" t="s">
        <v>102</v>
      </c>
      <c r="H947" s="4">
        <v>92777</v>
      </c>
      <c r="I947" cm="1">
        <f t="array" ref="I947">_xlfn.IFS(B947=2015,H947/$O$10,B947=2016,H947/$O$11,B947=2017,H947/$O$12,B947=2018,H947/$O$13,B947=2019,H947/$O$14,B947=2020,H947/$O$15,B947=2021,H947/$O$16,B947=2022,H947/$O$17)</f>
        <v>1.8169941053497009E-3</v>
      </c>
      <c r="J947" s="6" cm="1">
        <f t="array" ref="J947">_xlfn.IFS(B947=2015,I947*$Q$1,B947=2016,I947*$Q$2,B947=2017,I947*$Q$3,B947=2018,I947*$Q$4,B947=2019,I947*$Q$5,B947=2020,I947*$Q$6,B947=2021,I947*$Q$7,B947=2022,I947*$Q$8)</f>
        <v>48054.869836501472</v>
      </c>
      <c r="K947" s="7">
        <f t="shared" si="30"/>
        <v>140831.86983650149</v>
      </c>
      <c r="L947">
        <f>IFERROR(VLOOKUP(G947,'LEAID Match'!$A$2:$B$168,2,FALSE),"")</f>
        <v>4648780</v>
      </c>
    </row>
    <row r="948" spans="1:12" x14ac:dyDescent="0.2">
      <c r="A948">
        <f t="shared" si="29"/>
        <v>4648780</v>
      </c>
      <c r="B948">
        <v>2020</v>
      </c>
      <c r="C948" t="s">
        <v>208</v>
      </c>
      <c r="D948" t="s">
        <v>212</v>
      </c>
      <c r="E948" t="s">
        <v>211</v>
      </c>
      <c r="F948" s="1">
        <v>946103</v>
      </c>
      <c r="G948" s="3" t="s">
        <v>102</v>
      </c>
      <c r="H948" s="2">
        <v>93074</v>
      </c>
      <c r="I948" cm="1">
        <f t="array" ref="I948">_xlfn.IFS(B948=2015,H948/$O$10,B948=2016,H948/$O$11,B948=2017,H948/$O$12,B948=2018,H948/$O$13,B948=2019,H948/$O$14,B948=2020,H948/$O$15,B948=2021,H948/$O$16,B948=2022,H948/$O$17)</f>
        <v>1.7628010752643369E-3</v>
      </c>
      <c r="J948" s="6" cm="1">
        <f t="array" ref="J948">_xlfn.IFS(B948=2015,I948*$Q$1,B948=2016,I948*$Q$2,B948=2017,I948*$Q$3,B948=2018,I948*$Q$4,B948=2019,I948*$Q$5,B948=2020,I948*$Q$6,B948=2021,I948*$Q$7,B948=2022,I948*$Q$8)</f>
        <v>47930.968443485704</v>
      </c>
      <c r="K948" s="7">
        <f t="shared" si="30"/>
        <v>141004.9684434857</v>
      </c>
      <c r="L948">
        <f>IFERROR(VLOOKUP(G948,'LEAID Match'!$A$2:$B$168,2,FALSE),"")</f>
        <v>4648780</v>
      </c>
    </row>
    <row r="949" spans="1:12" x14ac:dyDescent="0.2">
      <c r="A949">
        <f t="shared" si="29"/>
        <v>4648780</v>
      </c>
      <c r="B949">
        <v>2021</v>
      </c>
      <c r="C949" t="s">
        <v>208</v>
      </c>
      <c r="D949" t="s">
        <v>212</v>
      </c>
      <c r="E949" t="s">
        <v>211</v>
      </c>
      <c r="F949" s="3">
        <v>946103</v>
      </c>
      <c r="G949" s="3" t="s">
        <v>102</v>
      </c>
      <c r="H949" s="4">
        <v>98443</v>
      </c>
      <c r="I949" cm="1">
        <f t="array" ref="I949">_xlfn.IFS(B949=2015,H949/$O$10,B949=2016,H949/$O$11,B949=2017,H949/$O$12,B949=2018,H949/$O$13,B949=2019,H949/$O$14,B949=2020,H949/$O$15,B949=2021,H949/$O$16,B949=2022,H949/$O$17)</f>
        <v>1.7780349584542389E-3</v>
      </c>
      <c r="J949" s="6" cm="1">
        <f t="array" ref="J949">_xlfn.IFS(B949=2015,I949*$Q$1,B949=2016,I949*$Q$2,B949=2017,I949*$Q$3,B949=2018,I949*$Q$4,B949=2019,I949*$Q$5,B949=2020,I949*$Q$6,B949=2021,I949*$Q$7,B949=2022,I949*$Q$8)</f>
        <v>49497.529259090268</v>
      </c>
      <c r="K949" s="7">
        <f t="shared" si="30"/>
        <v>147940.52925909025</v>
      </c>
      <c r="L949">
        <f>IFERROR(VLOOKUP(G949,'LEAID Match'!$A$2:$B$168,2,FALSE),"")</f>
        <v>4648780</v>
      </c>
    </row>
    <row r="950" spans="1:12" x14ac:dyDescent="0.2">
      <c r="A950">
        <f t="shared" si="29"/>
        <v>4648780</v>
      </c>
      <c r="B950">
        <v>2022</v>
      </c>
      <c r="C950" t="s">
        <v>208</v>
      </c>
      <c r="D950" t="s">
        <v>212</v>
      </c>
      <c r="E950" t="s">
        <v>211</v>
      </c>
      <c r="F950" s="3">
        <v>946103</v>
      </c>
      <c r="G950" s="3" t="s">
        <v>102</v>
      </c>
      <c r="H950" s="4">
        <v>104751</v>
      </c>
      <c r="I950" cm="1">
        <f t="array" ref="I950">_xlfn.IFS(B950=2015,H950/$O$10,B950=2016,H950/$O$11,B950=2017,H950/$O$12,B950=2018,H950/$O$13,B950=2019,H950/$O$14,B950=2020,H950/$O$15,B950=2021,H950/$O$16,B950=2022,H950/$O$17)</f>
        <v>1.8141387794777851E-3</v>
      </c>
      <c r="J950" s="6" cm="1">
        <f t="array" ref="J950">_xlfn.IFS(B950=2015,I950*$Q$1,B950=2016,I950*$Q$2,B950=2017,I950*$Q$3,B950=2018,I950*$Q$4,B950=2019,I950*$Q$5,B950=2020,I950*$Q$6,B950=2021,I950*$Q$7,B950=2022,I950*$Q$8)</f>
        <v>53440.802202362502</v>
      </c>
      <c r="K950" s="7">
        <f t="shared" si="30"/>
        <v>158191.80220236251</v>
      </c>
      <c r="L950">
        <f>IFERROR(VLOOKUP(G950,'LEAID Match'!$A$2:$B$168,2,FALSE),"")</f>
        <v>4648780</v>
      </c>
    </row>
    <row r="951" spans="1:12" x14ac:dyDescent="0.2">
      <c r="A951">
        <f t="shared" si="29"/>
        <v>4601026</v>
      </c>
      <c r="B951">
        <v>2015</v>
      </c>
      <c r="C951" t="s">
        <v>208</v>
      </c>
      <c r="D951" t="s">
        <v>212</v>
      </c>
      <c r="E951" t="s">
        <v>211</v>
      </c>
      <c r="F951" s="3">
        <v>946105</v>
      </c>
      <c r="G951" s="3" t="s">
        <v>92</v>
      </c>
      <c r="H951" s="4">
        <v>123146</v>
      </c>
      <c r="I951" cm="1">
        <f t="array" ref="I951">_xlfn.IFS(B951=2015,H951/$O$10,B951=2016,H951/$O$11,B951=2017,H951/$O$12,B951=2018,H951/$O$13,B951=2019,H951/$O$14,B951=2020,H951/$O$15,B951=2021,H951/$O$16,B951=2022,H951/$O$17)</f>
        <v>2.880421077676428E-3</v>
      </c>
      <c r="J951" s="6" cm="1">
        <f t="array" ref="J951">_xlfn.IFS(B951=2015,I951*$Q$1,B951=2016,I951*$Q$2,B951=2017,I951*$Q$3,B951=2018,I951*$Q$4,B951=2019,I951*$Q$5,B951=2020,I951*$Q$6,B951=2021,I951*$Q$7,B951=2022,I951*$Q$8)</f>
        <v>70835.761607485751</v>
      </c>
      <c r="K951" s="7">
        <f t="shared" si="30"/>
        <v>193981.76160748577</v>
      </c>
      <c r="L951">
        <f>IFERROR(VLOOKUP(G951,'LEAID Match'!$A$2:$B$168,2,FALSE),"")</f>
        <v>4601026</v>
      </c>
    </row>
    <row r="952" spans="1:12" x14ac:dyDescent="0.2">
      <c r="A952">
        <f t="shared" si="29"/>
        <v>4601026</v>
      </c>
      <c r="B952">
        <v>2016</v>
      </c>
      <c r="C952" t="s">
        <v>208</v>
      </c>
      <c r="D952" t="s">
        <v>212</v>
      </c>
      <c r="E952" t="s">
        <v>211</v>
      </c>
      <c r="F952" s="3">
        <v>946105</v>
      </c>
      <c r="G952" s="3" t="s">
        <v>92</v>
      </c>
      <c r="H952" s="4">
        <v>121528</v>
      </c>
      <c r="I952" cm="1">
        <f t="array" ref="I952">_xlfn.IFS(B952=2015,H952/$O$10,B952=2016,H952/$O$11,B952=2017,H952/$O$12,B952=2018,H952/$O$13,B952=2019,H952/$O$14,B952=2020,H952/$O$15,B952=2021,H952/$O$16,B952=2022,H952/$O$17)</f>
        <v>2.756505470175869E-3</v>
      </c>
      <c r="J952" s="6" cm="1">
        <f t="array" ref="J952">_xlfn.IFS(B952=2015,I952*$Q$1,B952=2016,I952*$Q$2,B952=2017,I952*$Q$3,B952=2018,I952*$Q$4,B952=2019,I952*$Q$5,B952=2020,I952*$Q$6,B952=2021,I952*$Q$7,B952=2022,I952*$Q$8)</f>
        <v>70031.24045672144</v>
      </c>
      <c r="K952" s="7">
        <f t="shared" si="30"/>
        <v>191559.24045672145</v>
      </c>
      <c r="L952">
        <f>IFERROR(VLOOKUP(G952,'LEAID Match'!$A$2:$B$168,2,FALSE),"")</f>
        <v>4601026</v>
      </c>
    </row>
    <row r="953" spans="1:12" x14ac:dyDescent="0.2">
      <c r="A953">
        <f t="shared" si="29"/>
        <v>4601026</v>
      </c>
      <c r="B953">
        <v>2017</v>
      </c>
      <c r="C953" t="s">
        <v>208</v>
      </c>
      <c r="D953" t="s">
        <v>212</v>
      </c>
      <c r="E953" t="s">
        <v>211</v>
      </c>
      <c r="F953" s="3">
        <v>946105</v>
      </c>
      <c r="G953" s="3" t="s">
        <v>92</v>
      </c>
      <c r="H953" s="4">
        <v>136802</v>
      </c>
      <c r="I953" cm="1">
        <f t="array" ref="I953">_xlfn.IFS(B953=2015,H953/$O$10,B953=2016,H953/$O$11,B953=2017,H953/$O$12,B953=2018,H953/$O$13,B953=2019,H953/$O$14,B953=2020,H953/$O$15,B953=2021,H953/$O$16,B953=2022,H953/$O$17)</f>
        <v>2.8245222260427959E-3</v>
      </c>
      <c r="J953" s="6" cm="1">
        <f t="array" ref="J953">_xlfn.IFS(B953=2015,I953*$Q$1,B953=2016,I953*$Q$2,B953=2017,I953*$Q$3,B953=2018,I953*$Q$4,B953=2019,I953*$Q$5,B953=2020,I953*$Q$6,B953=2021,I953*$Q$7,B953=2022,I953*$Q$8)</f>
        <v>74300.565450924449</v>
      </c>
      <c r="K953" s="7">
        <f t="shared" si="30"/>
        <v>211102.56545092445</v>
      </c>
      <c r="L953">
        <f>IFERROR(VLOOKUP(G953,'LEAID Match'!$A$2:$B$168,2,FALSE),"")</f>
        <v>4601026</v>
      </c>
    </row>
    <row r="954" spans="1:12" x14ac:dyDescent="0.2">
      <c r="A954">
        <f t="shared" si="29"/>
        <v>4601026</v>
      </c>
      <c r="B954">
        <v>2018</v>
      </c>
      <c r="C954" t="s">
        <v>208</v>
      </c>
      <c r="D954" t="s">
        <v>212</v>
      </c>
      <c r="E954" t="s">
        <v>211</v>
      </c>
      <c r="F954" s="3">
        <v>946105</v>
      </c>
      <c r="G954" s="3" t="s">
        <v>92</v>
      </c>
      <c r="H954" s="4">
        <v>138823</v>
      </c>
      <c r="I954" cm="1">
        <f t="array" ref="I954">_xlfn.IFS(B954=2015,H954/$O$10,B954=2016,H954/$O$11,B954=2017,H954/$O$12,B954=2018,H954/$O$13,B954=2019,H954/$O$14,B954=2020,H954/$O$15,B954=2021,H954/$O$16,B954=2022,H954/$O$17)</f>
        <v>2.7684921687985112E-3</v>
      </c>
      <c r="J954" s="6" cm="1">
        <f t="array" ref="J954">_xlfn.IFS(B954=2015,I954*$Q$1,B954=2016,I954*$Q$2,B954=2017,I954*$Q$3,B954=2018,I954*$Q$4,B954=2019,I954*$Q$5,B954=2020,I954*$Q$6,B954=2021,I954*$Q$7,B954=2022,I954*$Q$8)</f>
        <v>72689.001601969474</v>
      </c>
      <c r="K954" s="7">
        <f t="shared" si="30"/>
        <v>211512.00160196947</v>
      </c>
      <c r="L954">
        <f>IFERROR(VLOOKUP(G954,'LEAID Match'!$A$2:$B$168,2,FALSE),"")</f>
        <v>4601026</v>
      </c>
    </row>
    <row r="955" spans="1:12" x14ac:dyDescent="0.2">
      <c r="A955">
        <f t="shared" si="29"/>
        <v>4601026</v>
      </c>
      <c r="B955">
        <v>2019</v>
      </c>
      <c r="C955" t="s">
        <v>208</v>
      </c>
      <c r="D955" t="s">
        <v>212</v>
      </c>
      <c r="E955" t="s">
        <v>211</v>
      </c>
      <c r="F955" s="3">
        <v>946105</v>
      </c>
      <c r="G955" s="3" t="s">
        <v>92</v>
      </c>
      <c r="H955" s="4">
        <v>137276</v>
      </c>
      <c r="I955" cm="1">
        <f t="array" ref="I955">_xlfn.IFS(B955=2015,H955/$O$10,B955=2016,H955/$O$11,B955=2017,H955/$O$12,B955=2018,H955/$O$13,B955=2019,H955/$O$14,B955=2020,H955/$O$15,B955=2021,H955/$O$16,B955=2022,H955/$O$17)</f>
        <v>2.6884861852181632E-3</v>
      </c>
      <c r="J955" s="6" cm="1">
        <f t="array" ref="J955">_xlfn.IFS(B955=2015,I955*$Q$1,B955=2016,I955*$Q$2,B955=2017,I955*$Q$3,B955=2018,I955*$Q$4,B955=2019,I955*$Q$5,B955=2020,I955*$Q$6,B955=2021,I955*$Q$7,B955=2022,I955*$Q$8)</f>
        <v>71103.617401679032</v>
      </c>
      <c r="K955" s="7">
        <f t="shared" si="30"/>
        <v>208379.61740167905</v>
      </c>
      <c r="L955">
        <f>IFERROR(VLOOKUP(G955,'LEAID Match'!$A$2:$B$168,2,FALSE),"")</f>
        <v>4601026</v>
      </c>
    </row>
    <row r="956" spans="1:12" x14ac:dyDescent="0.2">
      <c r="A956">
        <f t="shared" si="29"/>
        <v>4601026</v>
      </c>
      <c r="B956">
        <v>2020</v>
      </c>
      <c r="C956" t="s">
        <v>208</v>
      </c>
      <c r="D956" t="s">
        <v>212</v>
      </c>
      <c r="E956" t="s">
        <v>211</v>
      </c>
      <c r="F956" s="1">
        <v>946105</v>
      </c>
      <c r="G956" s="3" t="s">
        <v>92</v>
      </c>
      <c r="H956" s="2">
        <v>136380</v>
      </c>
      <c r="I956" cm="1">
        <f t="array" ref="I956">_xlfn.IFS(B956=2015,H956/$O$10,B956=2016,H956/$O$11,B956=2017,H956/$O$12,B956=2018,H956/$O$13,B956=2019,H956/$O$14,B956=2020,H956/$O$15,B956=2021,H956/$O$16,B956=2022,H956/$O$17)</f>
        <v>2.5830071840100377E-3</v>
      </c>
      <c r="J956" s="6" cm="1">
        <f t="array" ref="J956">_xlfn.IFS(B956=2015,I956*$Q$1,B956=2016,I956*$Q$2,B956=2017,I956*$Q$3,B956=2018,I956*$Q$4,B956=2019,I956*$Q$5,B956=2020,I956*$Q$6,B956=2021,I956*$Q$7,B956=2022,I956*$Q$8)</f>
        <v>70232.562007892426</v>
      </c>
      <c r="K956" s="7">
        <f t="shared" si="30"/>
        <v>206612.56200789241</v>
      </c>
      <c r="L956">
        <f>IFERROR(VLOOKUP(G956,'LEAID Match'!$A$2:$B$168,2,FALSE),"")</f>
        <v>4601026</v>
      </c>
    </row>
    <row r="957" spans="1:12" x14ac:dyDescent="0.2">
      <c r="A957">
        <f t="shared" si="29"/>
        <v>4601026</v>
      </c>
      <c r="B957">
        <v>2021</v>
      </c>
      <c r="C957" t="s">
        <v>208</v>
      </c>
      <c r="D957" t="s">
        <v>212</v>
      </c>
      <c r="E957" t="s">
        <v>211</v>
      </c>
      <c r="F957" s="3">
        <v>946105</v>
      </c>
      <c r="G957" s="3" t="s">
        <v>92</v>
      </c>
      <c r="H957" s="4">
        <v>145696</v>
      </c>
      <c r="I957" cm="1">
        <f t="array" ref="I957">_xlfn.IFS(B957=2015,H957/$O$10,B957=2016,H957/$O$11,B957=2017,H957/$O$12,B957=2018,H957/$O$13,B957=2019,H957/$O$14,B957=2020,H957/$O$15,B957=2021,H957/$O$16,B957=2022,H957/$O$17)</f>
        <v>2.631498240676826E-3</v>
      </c>
      <c r="J957" s="6" cm="1">
        <f t="array" ref="J957">_xlfn.IFS(B957=2015,I957*$Q$1,B957=2016,I957*$Q$2,B957=2017,I957*$Q$3,B957=2018,I957*$Q$4,B957=2019,I957*$Q$5,B957=2020,I957*$Q$6,B957=2021,I957*$Q$7,B957=2022,I957*$Q$8)</f>
        <v>73256.524312875626</v>
      </c>
      <c r="K957" s="7">
        <f t="shared" si="30"/>
        <v>218952.52431287564</v>
      </c>
      <c r="L957">
        <f>IFERROR(VLOOKUP(G957,'LEAID Match'!$A$2:$B$168,2,FALSE),"")</f>
        <v>4601026</v>
      </c>
    </row>
    <row r="958" spans="1:12" x14ac:dyDescent="0.2">
      <c r="A958">
        <f t="shared" si="29"/>
        <v>4601026</v>
      </c>
      <c r="B958">
        <v>2022</v>
      </c>
      <c r="C958" t="s">
        <v>208</v>
      </c>
      <c r="D958" t="s">
        <v>212</v>
      </c>
      <c r="E958" t="s">
        <v>211</v>
      </c>
      <c r="F958" s="3">
        <v>946105</v>
      </c>
      <c r="G958" s="3" t="s">
        <v>92</v>
      </c>
      <c r="H958" s="4">
        <v>152774</v>
      </c>
      <c r="I958" cm="1">
        <f t="array" ref="I958">_xlfn.IFS(B958=2015,H958/$O$10,B958=2016,H958/$O$11,B958=2017,H958/$O$12,B958=2018,H958/$O$13,B958=2019,H958/$O$14,B958=2020,H958/$O$15,B958=2021,H958/$O$16,B958=2022,H958/$O$17)</f>
        <v>2.6458290412114363E-3</v>
      </c>
      <c r="J958" s="6" cm="1">
        <f t="array" ref="J958">_xlfn.IFS(B958=2015,I958*$Q$1,B958=2016,I958*$Q$2,B958=2017,I958*$Q$3,B958=2018,I958*$Q$4,B958=2019,I958*$Q$5,B958=2020,I958*$Q$6,B958=2021,I958*$Q$7,B958=2022,I958*$Q$8)</f>
        <v>77940.689021238271</v>
      </c>
      <c r="K958" s="7">
        <f t="shared" si="30"/>
        <v>230714.68902123827</v>
      </c>
      <c r="L958">
        <f>IFERROR(VLOOKUP(G958,'LEAID Match'!$A$2:$B$168,2,FALSE),"")</f>
        <v>4601026</v>
      </c>
    </row>
    <row r="959" spans="1:12" x14ac:dyDescent="0.2">
      <c r="A959">
        <f t="shared" si="29"/>
        <v>4621420</v>
      </c>
      <c r="B959">
        <v>2015</v>
      </c>
      <c r="C959" t="s">
        <v>208</v>
      </c>
      <c r="D959" t="s">
        <v>212</v>
      </c>
      <c r="E959" t="s">
        <v>211</v>
      </c>
      <c r="F959" s="3">
        <v>946129</v>
      </c>
      <c r="G959" s="3" t="s">
        <v>175</v>
      </c>
      <c r="H959" s="4">
        <v>108479</v>
      </c>
      <c r="I959" cm="1">
        <f t="array" ref="I959">_xlfn.IFS(B959=2015,H959/$O$10,B959=2016,H959/$O$11,B959=2017,H959/$O$12,B959=2018,H959/$O$13,B959=2019,H959/$O$14,B959=2020,H959/$O$15,B959=2021,H959/$O$16,B959=2022,H959/$O$17)</f>
        <v>2.5373556435877836E-3</v>
      </c>
      <c r="J959" s="6" cm="1">
        <f t="array" ref="J959">_xlfn.IFS(B959=2015,I959*$Q$1,B959=2016,I959*$Q$2,B959=2017,I959*$Q$3,B959=2018,I959*$Q$4,B959=2019,I959*$Q$5,B959=2020,I959*$Q$6,B959=2021,I959*$Q$7,B959=2022,I959*$Q$8)</f>
        <v>62399.043277235527</v>
      </c>
      <c r="K959" s="7">
        <f t="shared" si="30"/>
        <v>170878.04327723553</v>
      </c>
      <c r="L959">
        <f>IFERROR(VLOOKUP(G959,'LEAID Match'!$A$2:$B$168,2,FALSE),"")</f>
        <v>4621420</v>
      </c>
    </row>
    <row r="960" spans="1:12" x14ac:dyDescent="0.2">
      <c r="A960">
        <f t="shared" si="29"/>
        <v>4621420</v>
      </c>
      <c r="B960">
        <v>2016</v>
      </c>
      <c r="C960" t="s">
        <v>208</v>
      </c>
      <c r="D960" t="s">
        <v>212</v>
      </c>
      <c r="E960" t="s">
        <v>211</v>
      </c>
      <c r="F960" s="3">
        <v>946129</v>
      </c>
      <c r="G960" s="3" t="s">
        <v>175</v>
      </c>
      <c r="H960" s="4">
        <v>110869</v>
      </c>
      <c r="I960" cm="1">
        <f t="array" ref="I960">_xlfn.IFS(B960=2015,H960/$O$10,B960=2016,H960/$O$11,B960=2017,H960/$O$12,B960=2018,H960/$O$13,B960=2019,H960/$O$14,B960=2020,H960/$O$15,B960=2021,H960/$O$16,B960=2022,H960/$O$17)</f>
        <v>2.5147373854003062E-3</v>
      </c>
      <c r="J960" s="6" cm="1">
        <f t="array" ref="J960">_xlfn.IFS(B960=2015,I960*$Q$1,B960=2016,I960*$Q$2,B960=2017,I960*$Q$3,B960=2018,I960*$Q$4,B960=2019,I960*$Q$5,B960=2020,I960*$Q$6,B960=2021,I960*$Q$7,B960=2022,I960*$Q$8)</f>
        <v>63888.927639690024</v>
      </c>
      <c r="K960" s="7">
        <f t="shared" si="30"/>
        <v>174757.92763969002</v>
      </c>
      <c r="L960">
        <f>IFERROR(VLOOKUP(G960,'LEAID Match'!$A$2:$B$168,2,FALSE),"")</f>
        <v>4621420</v>
      </c>
    </row>
    <row r="961" spans="1:12" x14ac:dyDescent="0.2">
      <c r="A961">
        <f t="shared" si="29"/>
        <v>4621420</v>
      </c>
      <c r="B961">
        <v>2017</v>
      </c>
      <c r="C961" t="s">
        <v>208</v>
      </c>
      <c r="D961" t="s">
        <v>212</v>
      </c>
      <c r="E961" t="s">
        <v>211</v>
      </c>
      <c r="F961" s="3">
        <v>946129</v>
      </c>
      <c r="G961" s="3" t="s">
        <v>175</v>
      </c>
      <c r="H961" s="4">
        <v>122034</v>
      </c>
      <c r="I961" cm="1">
        <f t="array" ref="I961">_xlfn.IFS(B961=2015,H961/$O$10,B961=2016,H961/$O$11,B961=2017,H961/$O$12,B961=2018,H961/$O$13,B961=2019,H961/$O$14,B961=2020,H961/$O$15,B961=2021,H961/$O$16,B961=2022,H961/$O$17)</f>
        <v>2.5196104247957383E-3</v>
      </c>
      <c r="J961" s="6" cm="1">
        <f t="array" ref="J961">_xlfn.IFS(B961=2015,I961*$Q$1,B961=2016,I961*$Q$2,B961=2017,I961*$Q$3,B961=2018,I961*$Q$4,B961=2019,I961*$Q$5,B961=2020,I961*$Q$6,B961=2021,I961*$Q$7,B961=2022,I961*$Q$8)</f>
        <v>66279.697696218733</v>
      </c>
      <c r="K961" s="7">
        <f t="shared" si="30"/>
        <v>188313.69769621873</v>
      </c>
      <c r="L961">
        <f>IFERROR(VLOOKUP(G961,'LEAID Match'!$A$2:$B$168,2,FALSE),"")</f>
        <v>4621420</v>
      </c>
    </row>
    <row r="962" spans="1:12" x14ac:dyDescent="0.2">
      <c r="A962">
        <f t="shared" si="29"/>
        <v>4621420</v>
      </c>
      <c r="B962">
        <v>2018</v>
      </c>
      <c r="C962" t="s">
        <v>208</v>
      </c>
      <c r="D962" t="s">
        <v>212</v>
      </c>
      <c r="E962" t="s">
        <v>211</v>
      </c>
      <c r="F962" s="3">
        <v>946129</v>
      </c>
      <c r="G962" s="3" t="s">
        <v>175</v>
      </c>
      <c r="H962" s="4">
        <v>122948</v>
      </c>
      <c r="I962" cm="1">
        <f t="array" ref="I962">_xlfn.IFS(B962=2015,H962/$O$10,B962=2016,H962/$O$11,B962=2017,H962/$O$12,B962=2018,H962/$O$13,B962=2019,H962/$O$14,B962=2020,H962/$O$15,B962=2021,H962/$O$16,B962=2022,H962/$O$17)</f>
        <v>2.4519033241569435E-3</v>
      </c>
      <c r="J962" s="6" cm="1">
        <f t="array" ref="J962">_xlfn.IFS(B962=2015,I962*$Q$1,B962=2016,I962*$Q$2,B962=2017,I962*$Q$3,B962=2018,I962*$Q$4,B962=2019,I962*$Q$5,B962=2020,I962*$Q$6,B962=2021,I962*$Q$7,B962=2022,I962*$Q$8)</f>
        <v>64376.705365529793</v>
      </c>
      <c r="K962" s="7">
        <f t="shared" si="30"/>
        <v>187324.70536552981</v>
      </c>
      <c r="L962">
        <f>IFERROR(VLOOKUP(G962,'LEAID Match'!$A$2:$B$168,2,FALSE),"")</f>
        <v>4621420</v>
      </c>
    </row>
    <row r="963" spans="1:12" x14ac:dyDescent="0.2">
      <c r="A963">
        <f t="shared" ref="A963:A1026" si="31">L963</f>
        <v>4621420</v>
      </c>
      <c r="B963">
        <v>2019</v>
      </c>
      <c r="C963" t="s">
        <v>208</v>
      </c>
      <c r="D963" t="s">
        <v>212</v>
      </c>
      <c r="E963" t="s">
        <v>211</v>
      </c>
      <c r="F963" s="3">
        <v>946129</v>
      </c>
      <c r="G963" s="3" t="s">
        <v>175</v>
      </c>
      <c r="H963" s="4">
        <v>124745</v>
      </c>
      <c r="I963" cm="1">
        <f t="array" ref="I963">_xlfn.IFS(B963=2015,H963/$O$10,B963=2016,H963/$O$11,B963=2017,H963/$O$12,B963=2018,H963/$O$13,B963=2019,H963/$O$14,B963=2020,H963/$O$15,B963=2021,H963/$O$16,B963=2022,H963/$O$17)</f>
        <v>2.4430724174294106E-3</v>
      </c>
      <c r="J963" s="6" cm="1">
        <f t="array" ref="J963">_xlfn.IFS(B963=2015,I963*$Q$1,B963=2016,I963*$Q$2,B963=2017,I963*$Q$3,B963=2018,I963*$Q$4,B963=2019,I963*$Q$5,B963=2020,I963*$Q$6,B963=2021,I963*$Q$7,B963=2022,I963*$Q$8)</f>
        <v>64613.04782170555</v>
      </c>
      <c r="K963" s="7">
        <f t="shared" ref="K963:K1026" si="32">SUM(J963,H963)</f>
        <v>189358.04782170555</v>
      </c>
      <c r="L963">
        <f>IFERROR(VLOOKUP(G963,'LEAID Match'!$A$2:$B$168,2,FALSE),"")</f>
        <v>4621420</v>
      </c>
    </row>
    <row r="964" spans="1:12" x14ac:dyDescent="0.2">
      <c r="A964">
        <f t="shared" si="31"/>
        <v>4621420</v>
      </c>
      <c r="B964">
        <v>2020</v>
      </c>
      <c r="C964" t="s">
        <v>208</v>
      </c>
      <c r="D964" t="s">
        <v>212</v>
      </c>
      <c r="E964" t="s">
        <v>211</v>
      </c>
      <c r="F964" s="1">
        <v>946129</v>
      </c>
      <c r="G964" s="3" t="s">
        <v>175</v>
      </c>
      <c r="H964" s="2">
        <v>122704</v>
      </c>
      <c r="I964" cm="1">
        <f t="array" ref="I964">_xlfn.IFS(B964=2015,H964/$O$10,B964=2016,H964/$O$11,B964=2017,H964/$O$12,B964=2018,H964/$O$13,B964=2019,H964/$O$14,B964=2020,H964/$O$15,B964=2021,H964/$O$16,B964=2022,H964/$O$17)</f>
        <v>2.3239867539724861E-3</v>
      </c>
      <c r="J964" s="6" cm="1">
        <f t="array" ref="J964">_xlfn.IFS(B964=2015,I964*$Q$1,B964=2016,I964*$Q$2,B964=2017,I964*$Q$3,B964=2018,I964*$Q$4,B964=2019,I964*$Q$5,B964=2020,I964*$Q$6,B964=2021,I964*$Q$7,B964=2022,I964*$Q$8)</f>
        <v>63189.736681452065</v>
      </c>
      <c r="K964" s="7">
        <f t="shared" si="32"/>
        <v>185893.73668145208</v>
      </c>
      <c r="L964">
        <f>IFERROR(VLOOKUP(G964,'LEAID Match'!$A$2:$B$168,2,FALSE),"")</f>
        <v>4621420</v>
      </c>
    </row>
    <row r="965" spans="1:12" x14ac:dyDescent="0.2">
      <c r="A965">
        <f t="shared" si="31"/>
        <v>4621420</v>
      </c>
      <c r="B965">
        <v>2021</v>
      </c>
      <c r="C965" t="s">
        <v>208</v>
      </c>
      <c r="D965" t="s">
        <v>212</v>
      </c>
      <c r="E965" t="s">
        <v>211</v>
      </c>
      <c r="F965" s="3">
        <v>946129</v>
      </c>
      <c r="G965" s="3" t="s">
        <v>175</v>
      </c>
      <c r="H965" s="4">
        <v>126690</v>
      </c>
      <c r="I965" cm="1">
        <f t="array" ref="I965">_xlfn.IFS(B965=2015,H965/$O$10,B965=2016,H965/$O$11,B965=2017,H965/$O$12,B965=2018,H965/$O$13,B965=2019,H965/$O$14,B965=2020,H965/$O$15,B965=2021,H965/$O$16,B965=2022,H965/$O$17)</f>
        <v>2.2882200754402804E-3</v>
      </c>
      <c r="J965" s="6" cm="1">
        <f t="array" ref="J965">_xlfn.IFS(B965=2015,I965*$Q$1,B965=2016,I965*$Q$2,B965=2017,I965*$Q$3,B965=2018,I965*$Q$4,B965=2019,I965*$Q$5,B965=2020,I965*$Q$6,B965=2021,I965*$Q$7,B965=2022,I965*$Q$8)</f>
        <v>63700.232437391649</v>
      </c>
      <c r="K965" s="7">
        <f t="shared" si="32"/>
        <v>190390.23243739165</v>
      </c>
      <c r="L965">
        <f>IFERROR(VLOOKUP(G965,'LEAID Match'!$A$2:$B$168,2,FALSE),"")</f>
        <v>4621420</v>
      </c>
    </row>
    <row r="966" spans="1:12" x14ac:dyDescent="0.2">
      <c r="A966">
        <f t="shared" si="31"/>
        <v>4621420</v>
      </c>
      <c r="B966">
        <v>2022</v>
      </c>
      <c r="C966" t="s">
        <v>208</v>
      </c>
      <c r="D966" t="s">
        <v>212</v>
      </c>
      <c r="E966" t="s">
        <v>211</v>
      </c>
      <c r="F966" s="3">
        <v>946129</v>
      </c>
      <c r="G966" s="3" t="s">
        <v>175</v>
      </c>
      <c r="H966" s="4">
        <v>131481</v>
      </c>
      <c r="I966" cm="1">
        <f t="array" ref="I966">_xlfn.IFS(B966=2015,H966/$O$10,B966=2016,H966/$O$11,B966=2017,H966/$O$12,B966=2018,H966/$O$13,B966=2019,H966/$O$14,B966=2020,H966/$O$15,B966=2021,H966/$O$16,B966=2022,H966/$O$17)</f>
        <v>2.2770644754180739E-3</v>
      </c>
      <c r="J966" s="6" cm="1">
        <f t="array" ref="J966">_xlfn.IFS(B966=2015,I966*$Q$1,B966=2016,I966*$Q$2,B966=2017,I966*$Q$3,B966=2018,I966*$Q$4,B966=2019,I966*$Q$5,B966=2020,I966*$Q$6,B966=2021,I966*$Q$7,B966=2022,I966*$Q$8)</f>
        <v>67077.642355383956</v>
      </c>
      <c r="K966" s="7">
        <f t="shared" si="32"/>
        <v>198558.64235538396</v>
      </c>
      <c r="L966">
        <f>IFERROR(VLOOKUP(G966,'LEAID Match'!$A$2:$B$168,2,FALSE),"")</f>
        <v>4621420</v>
      </c>
    </row>
    <row r="967" spans="1:12" x14ac:dyDescent="0.2">
      <c r="A967">
        <f t="shared" si="31"/>
        <v>4622560</v>
      </c>
      <c r="B967">
        <v>2015</v>
      </c>
      <c r="C967" t="s">
        <v>208</v>
      </c>
      <c r="D967" t="s">
        <v>212</v>
      </c>
      <c r="E967" t="s">
        <v>211</v>
      </c>
      <c r="F967" s="3">
        <v>947100</v>
      </c>
      <c r="G967" s="3" t="s">
        <v>50</v>
      </c>
      <c r="H967" s="4">
        <v>65394</v>
      </c>
      <c r="I967" cm="1">
        <f t="array" ref="I967">_xlfn.IFS(B967=2015,H967/$O$10,B967=2016,H967/$O$11,B967=2017,H967/$O$12,B967=2018,H967/$O$13,B967=2019,H967/$O$14,B967=2020,H967/$O$15,B967=2021,H967/$O$16,B967=2022,H967/$O$17)</f>
        <v>1.529584850125642E-3</v>
      </c>
      <c r="J967" s="6" cm="1">
        <f t="array" ref="J967">_xlfn.IFS(B967=2015,I967*$Q$1,B967=2016,I967*$Q$2,B967=2017,I967*$Q$3,B967=2018,I967*$Q$4,B967=2019,I967*$Q$5,B967=2020,I967*$Q$6,B967=2021,I967*$Q$7,B967=2022,I967*$Q$8)</f>
        <v>37615.78771994156</v>
      </c>
      <c r="K967" s="7">
        <f t="shared" si="32"/>
        <v>103009.78771994155</v>
      </c>
      <c r="L967">
        <f>IFERROR(VLOOKUP(G967,'LEAID Match'!$A$2:$B$168,2,FALSE),"")</f>
        <v>4622560</v>
      </c>
    </row>
    <row r="968" spans="1:12" x14ac:dyDescent="0.2">
      <c r="A968">
        <f t="shared" si="31"/>
        <v>4622560</v>
      </c>
      <c r="B968">
        <v>2016</v>
      </c>
      <c r="C968" t="s">
        <v>208</v>
      </c>
      <c r="D968" t="s">
        <v>212</v>
      </c>
      <c r="E968" t="s">
        <v>211</v>
      </c>
      <c r="F968" s="3">
        <v>947100</v>
      </c>
      <c r="G968" s="3" t="s">
        <v>50</v>
      </c>
      <c r="H968" s="4">
        <v>70458</v>
      </c>
      <c r="I968" cm="1">
        <f t="array" ref="I968">_xlfn.IFS(B968=2015,H968/$O$10,B968=2016,H968/$O$11,B968=2017,H968/$O$12,B968=2018,H968/$O$13,B968=2019,H968/$O$14,B968=2020,H968/$O$15,B968=2021,H968/$O$16,B968=2022,H968/$O$17)</f>
        <v>1.5981326313084339E-3</v>
      </c>
      <c r="J968" s="6" cm="1">
        <f t="array" ref="J968">_xlfn.IFS(B968=2015,I968*$Q$1,B968=2016,I968*$Q$2,B968=2017,I968*$Q$3,B968=2018,I968*$Q$4,B968=2019,I968*$Q$5,B968=2020,I968*$Q$6,B968=2021,I968*$Q$7,B968=2022,I968*$Q$8)</f>
        <v>40601.845995158968</v>
      </c>
      <c r="K968" s="7">
        <f t="shared" si="32"/>
        <v>111059.84599515898</v>
      </c>
      <c r="L968">
        <f>IFERROR(VLOOKUP(G968,'LEAID Match'!$A$2:$B$168,2,FALSE),"")</f>
        <v>4622560</v>
      </c>
    </row>
    <row r="969" spans="1:12" x14ac:dyDescent="0.2">
      <c r="A969">
        <f t="shared" si="31"/>
        <v>4622560</v>
      </c>
      <c r="B969">
        <v>2017</v>
      </c>
      <c r="C969" t="s">
        <v>208</v>
      </c>
      <c r="D969" t="s">
        <v>212</v>
      </c>
      <c r="E969" t="s">
        <v>211</v>
      </c>
      <c r="F969" s="3">
        <v>947100</v>
      </c>
      <c r="G969" s="3" t="s">
        <v>50</v>
      </c>
      <c r="H969" s="4">
        <v>77546</v>
      </c>
      <c r="I969" cm="1">
        <f t="array" ref="I969">_xlfn.IFS(B969=2015,H969/$O$10,B969=2016,H969/$O$11,B969=2017,H969/$O$12,B969=2018,H969/$O$13,B969=2019,H969/$O$14,B969=2020,H969/$O$15,B969=2021,H969/$O$16,B969=2022,H969/$O$17)</f>
        <v>1.6010760116132415E-3</v>
      </c>
      <c r="J969" s="6" cm="1">
        <f t="array" ref="J969">_xlfn.IFS(B969=2015,I969*$Q$1,B969=2016,I969*$Q$2,B969=2017,I969*$Q$3,B969=2018,I969*$Q$4,B969=2019,I969*$Q$5,B969=2020,I969*$Q$6,B969=2021,I969*$Q$7,B969=2022,I969*$Q$8)</f>
        <v>42117.159460076517</v>
      </c>
      <c r="K969" s="7">
        <f t="shared" si="32"/>
        <v>119663.15946007651</v>
      </c>
      <c r="L969">
        <f>IFERROR(VLOOKUP(G969,'LEAID Match'!$A$2:$B$168,2,FALSE),"")</f>
        <v>4622560</v>
      </c>
    </row>
    <row r="970" spans="1:12" x14ac:dyDescent="0.2">
      <c r="A970">
        <f t="shared" si="31"/>
        <v>4622560</v>
      </c>
      <c r="B970">
        <v>2018</v>
      </c>
      <c r="C970" t="s">
        <v>208</v>
      </c>
      <c r="D970" t="s">
        <v>212</v>
      </c>
      <c r="E970" t="s">
        <v>211</v>
      </c>
      <c r="F970" s="3">
        <v>947100</v>
      </c>
      <c r="G970" s="3" t="s">
        <v>50</v>
      </c>
      <c r="H970" s="4">
        <v>81878</v>
      </c>
      <c r="I970" cm="1">
        <f t="array" ref="I970">_xlfn.IFS(B970=2015,H970/$O$10,B970=2016,H970/$O$11,B970=2017,H970/$O$12,B970=2018,H970/$O$13,B970=2019,H970/$O$14,B970=2020,H970/$O$15,B970=2021,H970/$O$16,B970=2022,H970/$O$17)</f>
        <v>1.6328605619881755E-3</v>
      </c>
      <c r="J970" s="6" cm="1">
        <f t="array" ref="J970">_xlfn.IFS(B970=2015,I970*$Q$1,B970=2016,I970*$Q$2,B970=2017,I970*$Q$3,B970=2018,I970*$Q$4,B970=2019,I970*$Q$5,B970=2020,I970*$Q$6,B970=2021,I970*$Q$7,B970=2022,I970*$Q$8)</f>
        <v>42872.075039194198</v>
      </c>
      <c r="K970" s="7">
        <f t="shared" si="32"/>
        <v>124750.0750391942</v>
      </c>
      <c r="L970">
        <f>IFERROR(VLOOKUP(G970,'LEAID Match'!$A$2:$B$168,2,FALSE),"")</f>
        <v>4622560</v>
      </c>
    </row>
    <row r="971" spans="1:12" x14ac:dyDescent="0.2">
      <c r="A971">
        <f t="shared" si="31"/>
        <v>4622560</v>
      </c>
      <c r="B971">
        <v>2019</v>
      </c>
      <c r="C971" t="s">
        <v>208</v>
      </c>
      <c r="D971" t="s">
        <v>212</v>
      </c>
      <c r="E971" t="s">
        <v>211</v>
      </c>
      <c r="F971" s="3">
        <v>947100</v>
      </c>
      <c r="G971" s="3" t="s">
        <v>50</v>
      </c>
      <c r="H971" s="4">
        <v>79387</v>
      </c>
      <c r="I971" cm="1">
        <f t="array" ref="I971">_xlfn.IFS(B971=2015,H971/$O$10,B971=2016,H971/$O$11,B971=2017,H971/$O$12,B971=2018,H971/$O$13,B971=2019,H971/$O$14,B971=2020,H971/$O$15,B971=2021,H971/$O$16,B971=2022,H971/$O$17)</f>
        <v>1.554757224758256E-3</v>
      </c>
      <c r="J971" s="6" cm="1">
        <f t="array" ref="J971">_xlfn.IFS(B971=2015,I971*$Q$1,B971=2016,I971*$Q$2,B971=2017,I971*$Q$3,B971=2018,I971*$Q$4,B971=2019,I971*$Q$5,B971=2020,I971*$Q$6,B971=2021,I971*$Q$7,B971=2022,I971*$Q$8)</f>
        <v>41119.371737718859</v>
      </c>
      <c r="K971" s="7">
        <f t="shared" si="32"/>
        <v>120506.37173771886</v>
      </c>
      <c r="L971">
        <f>IFERROR(VLOOKUP(G971,'LEAID Match'!$A$2:$B$168,2,FALSE),"")</f>
        <v>4622560</v>
      </c>
    </row>
    <row r="972" spans="1:12" x14ac:dyDescent="0.2">
      <c r="A972">
        <f t="shared" si="31"/>
        <v>4622560</v>
      </c>
      <c r="B972">
        <v>2020</v>
      </c>
      <c r="C972" t="s">
        <v>208</v>
      </c>
      <c r="D972" t="s">
        <v>212</v>
      </c>
      <c r="E972" t="s">
        <v>211</v>
      </c>
      <c r="F972" s="1">
        <v>947100</v>
      </c>
      <c r="G972" s="3" t="s">
        <v>50</v>
      </c>
      <c r="H972" s="2">
        <v>78973</v>
      </c>
      <c r="I972" cm="1">
        <f t="array" ref="I972">_xlfn.IFS(B972=2015,H972/$O$10,B972=2016,H972/$O$11,B972=2017,H972/$O$12,B972=2018,H972/$O$13,B972=2019,H972/$O$14,B972=2020,H972/$O$15,B972=2021,H972/$O$16,B972=2022,H972/$O$17)</f>
        <v>1.4957312387653961E-3</v>
      </c>
      <c r="J972" s="6" cm="1">
        <f t="array" ref="J972">_xlfn.IFS(B972=2015,I972*$Q$1,B972=2016,I972*$Q$2,B972=2017,I972*$Q$3,B972=2018,I972*$Q$4,B972=2019,I972*$Q$5,B972=2020,I972*$Q$6,B972=2021,I972*$Q$7,B972=2022,I972*$Q$8)</f>
        <v>40669.277895947271</v>
      </c>
      <c r="K972" s="7">
        <f t="shared" si="32"/>
        <v>119642.27789594728</v>
      </c>
      <c r="L972">
        <f>IFERROR(VLOOKUP(G972,'LEAID Match'!$A$2:$B$168,2,FALSE),"")</f>
        <v>4622560</v>
      </c>
    </row>
    <row r="973" spans="1:12" x14ac:dyDescent="0.2">
      <c r="A973">
        <f t="shared" si="31"/>
        <v>4622560</v>
      </c>
      <c r="B973">
        <v>2021</v>
      </c>
      <c r="C973" t="s">
        <v>208</v>
      </c>
      <c r="D973" t="s">
        <v>212</v>
      </c>
      <c r="E973" t="s">
        <v>211</v>
      </c>
      <c r="F973" s="3">
        <v>947100</v>
      </c>
      <c r="G973" s="3" t="s">
        <v>50</v>
      </c>
      <c r="H973" s="4">
        <v>77022</v>
      </c>
      <c r="I973" cm="1">
        <f t="array" ref="I973">_xlfn.IFS(B973=2015,H973/$O$10,B973=2016,H973/$O$11,B973=2017,H973/$O$12,B973=2018,H973/$O$13,B973=2019,H973/$O$14,B973=2020,H973/$O$15,B973=2021,H973/$O$16,B973=2022,H973/$O$17)</f>
        <v>1.3911381060112186E-3</v>
      </c>
      <c r="J973" s="6" cm="1">
        <f t="array" ref="J973">_xlfn.IFS(B973=2015,I973*$Q$1,B973=2016,I973*$Q$2,B973=2017,I973*$Q$3,B973=2018,I973*$Q$4,B973=2019,I973*$Q$5,B973=2020,I973*$Q$6,B973=2021,I973*$Q$7,B973=2022,I973*$Q$8)</f>
        <v>38726.965844129605</v>
      </c>
      <c r="K973" s="7">
        <f t="shared" si="32"/>
        <v>115748.96584412961</v>
      </c>
      <c r="L973">
        <f>IFERROR(VLOOKUP(G973,'LEAID Match'!$A$2:$B$168,2,FALSE),"")</f>
        <v>4622560</v>
      </c>
    </row>
    <row r="974" spans="1:12" x14ac:dyDescent="0.2">
      <c r="A974">
        <f t="shared" si="31"/>
        <v>4622560</v>
      </c>
      <c r="B974">
        <v>2022</v>
      </c>
      <c r="C974" t="s">
        <v>208</v>
      </c>
      <c r="D974" t="s">
        <v>212</v>
      </c>
      <c r="E974" t="s">
        <v>211</v>
      </c>
      <c r="F974" s="3">
        <v>947100</v>
      </c>
      <c r="G974" s="3" t="s">
        <v>50</v>
      </c>
      <c r="H974" s="4">
        <v>83658</v>
      </c>
      <c r="I974" cm="1">
        <f t="array" ref="I974">_xlfn.IFS(B974=2015,H974/$O$10,B974=2016,H974/$O$11,B974=2017,H974/$O$12,B974=2018,H974/$O$13,B974=2019,H974/$O$14,B974=2020,H974/$O$15,B974=2021,H974/$O$16,B974=2022,H974/$O$17)</f>
        <v>1.4488379300775416E-3</v>
      </c>
      <c r="J974" s="6" cm="1">
        <f t="array" ref="J974">_xlfn.IFS(B974=2015,I974*$Q$1,B974=2016,I974*$Q$2,B974=2017,I974*$Q$3,B974=2018,I974*$Q$4,B974=2019,I974*$Q$5,B974=2020,I974*$Q$6,B974=2021,I974*$Q$7,B974=2022,I974*$Q$8)</f>
        <v>42679.789506975998</v>
      </c>
      <c r="K974" s="7">
        <f t="shared" si="32"/>
        <v>126337.789506976</v>
      </c>
      <c r="L974">
        <f>IFERROR(VLOOKUP(G974,'LEAID Match'!$A$2:$B$168,2,FALSE),"")</f>
        <v>4622560</v>
      </c>
    </row>
    <row r="975" spans="1:12" x14ac:dyDescent="0.2">
      <c r="A975">
        <f t="shared" si="31"/>
        <v>4641640</v>
      </c>
      <c r="B975">
        <v>2015</v>
      </c>
      <c r="C975" t="s">
        <v>208</v>
      </c>
      <c r="D975" t="s">
        <v>212</v>
      </c>
      <c r="E975" t="s">
        <v>211</v>
      </c>
      <c r="F975" s="3">
        <v>947101</v>
      </c>
      <c r="G975" s="3" t="s">
        <v>88</v>
      </c>
      <c r="H975" s="4">
        <v>70626</v>
      </c>
      <c r="I975" cm="1">
        <f t="array" ref="I975">_xlfn.IFS(B975=2015,H975/$O$10,B975=2016,H975/$O$11,B975=2017,H975/$O$12,B975=2018,H975/$O$13,B975=2019,H975/$O$14,B975=2020,H975/$O$15,B975=2021,H975/$O$16,B975=2022,H975/$O$17)</f>
        <v>1.6519628654765514E-3</v>
      </c>
      <c r="J975" s="6" cm="1">
        <f t="array" ref="J975">_xlfn.IFS(B975=2015,I975*$Q$1,B975=2016,I975*$Q$2,B975=2017,I975*$Q$3,B975=2018,I975*$Q$4,B975=2019,I975*$Q$5,B975=2020,I975*$Q$6,B975=2021,I975*$Q$7,B975=2022,I975*$Q$8)</f>
        <v>40625.326842043498</v>
      </c>
      <c r="K975" s="7">
        <f t="shared" si="32"/>
        <v>111251.32684204349</v>
      </c>
      <c r="L975">
        <f>IFERROR(VLOOKUP(G975,'LEAID Match'!$A$2:$B$168,2,FALSE),"")</f>
        <v>4641640</v>
      </c>
    </row>
    <row r="976" spans="1:12" x14ac:dyDescent="0.2">
      <c r="A976">
        <f t="shared" si="31"/>
        <v>4641640</v>
      </c>
      <c r="B976">
        <v>2016</v>
      </c>
      <c r="C976" t="s">
        <v>208</v>
      </c>
      <c r="D976" t="s">
        <v>212</v>
      </c>
      <c r="E976" t="s">
        <v>211</v>
      </c>
      <c r="F976" s="3">
        <v>947101</v>
      </c>
      <c r="G976" s="3" t="s">
        <v>88</v>
      </c>
      <c r="H976" s="4">
        <v>75952</v>
      </c>
      <c r="I976" cm="1">
        <f t="array" ref="I976">_xlfn.IFS(B976=2015,H976/$O$10,B976=2016,H976/$O$11,B976=2017,H976/$O$12,B976=2018,H976/$O$13,B976=2019,H976/$O$14,B976=2020,H976/$O$15,B976=2021,H976/$O$16,B976=2022,H976/$O$17)</f>
        <v>1.7227478726778815E-3</v>
      </c>
      <c r="J976" s="6" cm="1">
        <f t="array" ref="J976">_xlfn.IFS(B976=2015,I976*$Q$1,B976=2016,I976*$Q$2,B976=2017,I976*$Q$3,B976=2018,I976*$Q$4,B976=2019,I976*$Q$5,B976=2020,I976*$Q$6,B976=2021,I976*$Q$7,B976=2022,I976*$Q$8)</f>
        <v>43767.796517419083</v>
      </c>
      <c r="K976" s="7">
        <f t="shared" si="32"/>
        <v>119719.79651741908</v>
      </c>
      <c r="L976">
        <f>IFERROR(VLOOKUP(G976,'LEAID Match'!$A$2:$B$168,2,FALSE),"")</f>
        <v>4641640</v>
      </c>
    </row>
    <row r="977" spans="1:12" x14ac:dyDescent="0.2">
      <c r="A977">
        <f t="shared" si="31"/>
        <v>4641640</v>
      </c>
      <c r="B977">
        <v>2017</v>
      </c>
      <c r="C977" t="s">
        <v>208</v>
      </c>
      <c r="D977" t="s">
        <v>212</v>
      </c>
      <c r="E977" t="s">
        <v>211</v>
      </c>
      <c r="F977" s="3">
        <v>947101</v>
      </c>
      <c r="G977" s="3" t="s">
        <v>88</v>
      </c>
      <c r="H977" s="4">
        <v>88529</v>
      </c>
      <c r="I977" cm="1">
        <f t="array" ref="I977">_xlfn.IFS(B977=2015,H977/$O$10,B977=2016,H977/$O$11,B977=2017,H977/$O$12,B977=2018,H977/$O$13,B977=2019,H977/$O$14,B977=2020,H977/$O$15,B977=2021,H977/$O$16,B977=2022,H977/$O$17)</f>
        <v>1.8278397110374313E-3</v>
      </c>
      <c r="J977" s="6" cm="1">
        <f t="array" ref="J977">_xlfn.IFS(B977=2015,I977*$Q$1,B977=2016,I977*$Q$2,B977=2017,I977*$Q$3,B977=2018,I977*$Q$4,B977=2019,I977*$Q$5,B977=2020,I977*$Q$6,B977=2021,I977*$Q$7,B977=2022,I977*$Q$8)</f>
        <v>48082.299665245322</v>
      </c>
      <c r="K977" s="7">
        <f t="shared" si="32"/>
        <v>136611.29966524531</v>
      </c>
      <c r="L977">
        <f>IFERROR(VLOOKUP(G977,'LEAID Match'!$A$2:$B$168,2,FALSE),"")</f>
        <v>4641640</v>
      </c>
    </row>
    <row r="978" spans="1:12" x14ac:dyDescent="0.2">
      <c r="A978">
        <f t="shared" si="31"/>
        <v>4641640</v>
      </c>
      <c r="B978">
        <v>2018</v>
      </c>
      <c r="C978" t="s">
        <v>208</v>
      </c>
      <c r="D978" t="s">
        <v>212</v>
      </c>
      <c r="E978" t="s">
        <v>211</v>
      </c>
      <c r="F978" s="3">
        <v>947101</v>
      </c>
      <c r="G978" s="3" t="s">
        <v>88</v>
      </c>
      <c r="H978" s="4">
        <v>95427</v>
      </c>
      <c r="I978" cm="1">
        <f t="array" ref="I978">_xlfn.IFS(B978=2015,H978/$O$10,B978=2016,H978/$O$11,B978=2017,H978/$O$12,B978=2018,H978/$O$13,B978=2019,H978/$O$14,B978=2020,H978/$O$15,B978=2021,H978/$O$16,B978=2022,H978/$O$17)</f>
        <v>1.9030629088258827E-3</v>
      </c>
      <c r="J978" s="6" cm="1">
        <f t="array" ref="J978">_xlfn.IFS(B978=2015,I978*$Q$1,B978=2016,I978*$Q$2,B978=2017,I978*$Q$3,B978=2018,I978*$Q$4,B978=2019,I978*$Q$5,B978=2020,I978*$Q$6,B978=2021,I978*$Q$7,B978=2022,I978*$Q$8)</f>
        <v>49966.456249116789</v>
      </c>
      <c r="K978" s="7">
        <f t="shared" si="32"/>
        <v>145393.4562491168</v>
      </c>
      <c r="L978">
        <f>IFERROR(VLOOKUP(G978,'LEAID Match'!$A$2:$B$168,2,FALSE),"")</f>
        <v>4641640</v>
      </c>
    </row>
    <row r="979" spans="1:12" x14ac:dyDescent="0.2">
      <c r="A979">
        <f t="shared" si="31"/>
        <v>4641640</v>
      </c>
      <c r="B979">
        <v>2019</v>
      </c>
      <c r="C979" t="s">
        <v>208</v>
      </c>
      <c r="D979" t="s">
        <v>212</v>
      </c>
      <c r="E979" t="s">
        <v>211</v>
      </c>
      <c r="F979" s="3">
        <v>947101</v>
      </c>
      <c r="G979" s="3" t="s">
        <v>88</v>
      </c>
      <c r="H979" s="4">
        <v>86616</v>
      </c>
      <c r="I979" cm="1">
        <f t="array" ref="I979">_xlfn.IFS(B979=2015,H979/$O$10,B979=2016,H979/$O$11,B979=2017,H979/$O$12,B979=2018,H979/$O$13,B979=2019,H979/$O$14,B979=2020,H979/$O$15,B979=2021,H979/$O$16,B979=2022,H979/$O$17)</f>
        <v>1.6963338050267813E-3</v>
      </c>
      <c r="J979" s="6" cm="1">
        <f t="array" ref="J979">_xlfn.IFS(B979=2015,I979*$Q$1,B979=2016,I979*$Q$2,B979=2017,I979*$Q$3,B979=2018,I979*$Q$4,B979=2019,I979*$Q$5,B979=2020,I979*$Q$6,B979=2021,I979*$Q$7,B979=2022,I979*$Q$8)</f>
        <v>44863.711973424572</v>
      </c>
      <c r="K979" s="7">
        <f t="shared" si="32"/>
        <v>131479.71197342456</v>
      </c>
      <c r="L979">
        <f>IFERROR(VLOOKUP(G979,'LEAID Match'!$A$2:$B$168,2,FALSE),"")</f>
        <v>4641640</v>
      </c>
    </row>
    <row r="980" spans="1:12" x14ac:dyDescent="0.2">
      <c r="A980">
        <f t="shared" si="31"/>
        <v>4641640</v>
      </c>
      <c r="B980">
        <v>2020</v>
      </c>
      <c r="C980" t="s">
        <v>208</v>
      </c>
      <c r="D980" t="s">
        <v>212</v>
      </c>
      <c r="E980" t="s">
        <v>211</v>
      </c>
      <c r="F980" s="1">
        <v>947101</v>
      </c>
      <c r="G980" s="3" t="s">
        <v>88</v>
      </c>
      <c r="H980" s="2">
        <v>96757</v>
      </c>
      <c r="I980" cm="1">
        <f t="array" ref="I980">_xlfn.IFS(B980=2015,H980/$O$10,B980=2016,H980/$O$11,B980=2017,H980/$O$12,B980=2018,H980/$O$13,B980=2019,H980/$O$14,B980=2020,H980/$O$15,B980=2021,H980/$O$16,B980=2022,H980/$O$17)</f>
        <v>1.8325562846697406E-3</v>
      </c>
      <c r="J980" s="6" cm="1">
        <f t="array" ref="J980">_xlfn.IFS(B980=2015,I980*$Q$1,B980=2016,I980*$Q$2,B980=2017,I980*$Q$3,B980=2018,I980*$Q$4,B980=2019,I980*$Q$5,B980=2020,I980*$Q$6,B980=2021,I980*$Q$7,B980=2022,I980*$Q$8)</f>
        <v>49827.628700672009</v>
      </c>
      <c r="K980" s="7">
        <f t="shared" si="32"/>
        <v>146584.62870067201</v>
      </c>
      <c r="L980">
        <f>IFERROR(VLOOKUP(G980,'LEAID Match'!$A$2:$B$168,2,FALSE),"")</f>
        <v>4641640</v>
      </c>
    </row>
    <row r="981" spans="1:12" x14ac:dyDescent="0.2">
      <c r="A981">
        <f t="shared" si="31"/>
        <v>4641640</v>
      </c>
      <c r="B981">
        <v>2021</v>
      </c>
      <c r="C981" t="s">
        <v>208</v>
      </c>
      <c r="D981" t="s">
        <v>212</v>
      </c>
      <c r="E981" t="s">
        <v>211</v>
      </c>
      <c r="F981" s="3">
        <v>947101</v>
      </c>
      <c r="G981" s="3" t="s">
        <v>88</v>
      </c>
      <c r="H981" s="4">
        <v>108994</v>
      </c>
      <c r="I981" cm="1">
        <f t="array" ref="I981">_xlfn.IFS(B981=2015,H981/$O$10,B981=2016,H981/$O$11,B981=2017,H981/$O$12,B981=2018,H981/$O$13,B981=2019,H981/$O$14,B981=2020,H981/$O$15,B981=2021,H981/$O$16,B981=2022,H981/$O$17)</f>
        <v>1.9686025645476199E-3</v>
      </c>
      <c r="J981" s="6" cm="1">
        <f t="array" ref="J981">_xlfn.IFS(B981=2015,I981*$Q$1,B981=2016,I981*$Q$2,B981=2017,I981*$Q$3,B981=2018,I981*$Q$4,B981=2019,I981*$Q$5,B981=2020,I981*$Q$6,B981=2021,I981*$Q$7,B981=2022,I981*$Q$8)</f>
        <v>54802.613736530635</v>
      </c>
      <c r="K981" s="7">
        <f t="shared" si="32"/>
        <v>163796.61373653065</v>
      </c>
      <c r="L981">
        <f>IFERROR(VLOOKUP(G981,'LEAID Match'!$A$2:$B$168,2,FALSE),"")</f>
        <v>4641640</v>
      </c>
    </row>
    <row r="982" spans="1:12" x14ac:dyDescent="0.2">
      <c r="A982">
        <f t="shared" si="31"/>
        <v>4641640</v>
      </c>
      <c r="B982">
        <v>2022</v>
      </c>
      <c r="C982" t="s">
        <v>208</v>
      </c>
      <c r="D982" t="s">
        <v>212</v>
      </c>
      <c r="E982" t="s">
        <v>211</v>
      </c>
      <c r="F982" s="3">
        <v>947101</v>
      </c>
      <c r="G982" s="3" t="s">
        <v>88</v>
      </c>
      <c r="H982" s="4">
        <v>116164</v>
      </c>
      <c r="I982" cm="1">
        <f t="array" ref="I982">_xlfn.IFS(B982=2015,H982/$O$10,B982=2016,H982/$O$11,B982=2017,H982/$O$12,B982=2018,H982/$O$13,B982=2019,H982/$O$14,B982=2020,H982/$O$15,B982=2021,H982/$O$16,B982=2022,H982/$O$17)</f>
        <v>2.011795755451093E-3</v>
      </c>
      <c r="J982" s="6" cm="1">
        <f t="array" ref="J982">_xlfn.IFS(B982=2015,I982*$Q$1,B982=2016,I982*$Q$2,B982=2017,I982*$Q$3,B982=2018,I982*$Q$4,B982=2019,I982*$Q$5,B982=2020,I982*$Q$6,B982=2021,I982*$Q$7,B982=2022,I982*$Q$8)</f>
        <v>59263.370727107504</v>
      </c>
      <c r="K982" s="7">
        <f t="shared" si="32"/>
        <v>175427.37072710751</v>
      </c>
      <c r="L982">
        <f>IFERROR(VLOOKUP(G982,'LEAID Match'!$A$2:$B$168,2,FALSE),"")</f>
        <v>4641640</v>
      </c>
    </row>
    <row r="983" spans="1:12" x14ac:dyDescent="0.2">
      <c r="A983">
        <f t="shared" si="31"/>
        <v>4600041</v>
      </c>
      <c r="B983">
        <v>2015</v>
      </c>
      <c r="C983" t="s">
        <v>208</v>
      </c>
      <c r="D983" t="s">
        <v>212</v>
      </c>
      <c r="E983" t="s">
        <v>211</v>
      </c>
      <c r="F983" s="3">
        <v>948100</v>
      </c>
      <c r="G983" s="3" t="s">
        <v>176</v>
      </c>
      <c r="H983" s="4">
        <v>138766</v>
      </c>
      <c r="I983" cm="1">
        <f t="array" ref="I983">_xlfn.IFS(B983=2015,H983/$O$10,B983=2016,H983/$O$11,B983=2017,H983/$O$12,B983=2018,H983/$O$13,B983=2019,H983/$O$14,B983=2020,H983/$O$15,B983=2021,H983/$O$16,B983=2022,H983/$O$17)</f>
        <v>3.2457774614266578E-3</v>
      </c>
      <c r="J983" s="6" cm="1">
        <f t="array" ref="J983">_xlfn.IFS(B983=2015,I983*$Q$1,B983=2016,I983*$Q$2,B983=2017,I983*$Q$3,B983=2018,I983*$Q$4,B983=2019,I983*$Q$5,B983=2020,I983*$Q$6,B983=2021,I983*$Q$7,B983=2022,I983*$Q$8)</f>
        <v>79820.662426910887</v>
      </c>
      <c r="K983" s="7">
        <f t="shared" si="32"/>
        <v>218586.66242691089</v>
      </c>
      <c r="L983">
        <f>IFERROR(VLOOKUP(G983,'LEAID Match'!$A$2:$B$168,2,FALSE),"")</f>
        <v>4600041</v>
      </c>
    </row>
    <row r="984" spans="1:12" x14ac:dyDescent="0.2">
      <c r="A984">
        <f t="shared" si="31"/>
        <v>4600041</v>
      </c>
      <c r="B984">
        <v>2016</v>
      </c>
      <c r="C984" t="s">
        <v>208</v>
      </c>
      <c r="D984" t="s">
        <v>212</v>
      </c>
      <c r="E984" t="s">
        <v>211</v>
      </c>
      <c r="F984" s="3">
        <v>948100</v>
      </c>
      <c r="G984" s="3" t="s">
        <v>176</v>
      </c>
      <c r="H984" s="4">
        <v>145241</v>
      </c>
      <c r="I984" cm="1">
        <f t="array" ref="I984">_xlfn.IFS(B984=2015,H984/$O$10,B984=2016,H984/$O$11,B984=2017,H984/$O$12,B984=2018,H984/$O$13,B984=2019,H984/$O$14,B984=2020,H984/$O$15,B984=2021,H984/$O$16,B984=2022,H984/$O$17)</f>
        <v>3.2943651750527727E-3</v>
      </c>
      <c r="J984" s="6" cm="1">
        <f t="array" ref="J984">_xlfn.IFS(B984=2015,I984*$Q$1,B984=2016,I984*$Q$2,B984=2017,I984*$Q$3,B984=2018,I984*$Q$4,B984=2019,I984*$Q$5,B984=2020,I984*$Q$6,B984=2021,I984*$Q$7,B984=2022,I984*$Q$8)</f>
        <v>83695.999236181611</v>
      </c>
      <c r="K984" s="7">
        <f t="shared" si="32"/>
        <v>228936.99923618161</v>
      </c>
      <c r="L984">
        <f>IFERROR(VLOOKUP(G984,'LEAID Match'!$A$2:$B$168,2,FALSE),"")</f>
        <v>4600041</v>
      </c>
    </row>
    <row r="985" spans="1:12" x14ac:dyDescent="0.2">
      <c r="A985">
        <f t="shared" si="31"/>
        <v>4600041</v>
      </c>
      <c r="B985">
        <v>2017</v>
      </c>
      <c r="C985" t="s">
        <v>208</v>
      </c>
      <c r="D985" t="s">
        <v>212</v>
      </c>
      <c r="E985" t="s">
        <v>211</v>
      </c>
      <c r="F985" s="3">
        <v>948100</v>
      </c>
      <c r="G985" s="3" t="s">
        <v>176</v>
      </c>
      <c r="H985" s="4">
        <v>158055</v>
      </c>
      <c r="I985" cm="1">
        <f t="array" ref="I985">_xlfn.IFS(B985=2015,H985/$O$10,B985=2016,H985/$O$11,B985=2017,H985/$O$12,B985=2018,H985/$O$13,B985=2019,H985/$O$14,B985=2020,H985/$O$15,B985=2021,H985/$O$16,B985=2022,H985/$O$17)</f>
        <v>3.2633284633060491E-3</v>
      </c>
      <c r="J985" s="6" cm="1">
        <f t="array" ref="J985">_xlfn.IFS(B985=2015,I985*$Q$1,B985=2016,I985*$Q$2,B985=2017,I985*$Q$3,B985=2018,I985*$Q$4,B985=2019,I985*$Q$5,B985=2020,I985*$Q$6,B985=2021,I985*$Q$7,B985=2022,I985*$Q$8)</f>
        <v>85843.597844665026</v>
      </c>
      <c r="K985" s="7">
        <f t="shared" si="32"/>
        <v>243898.59784466503</v>
      </c>
      <c r="L985">
        <f>IFERROR(VLOOKUP(G985,'LEAID Match'!$A$2:$B$168,2,FALSE),"")</f>
        <v>4600041</v>
      </c>
    </row>
    <row r="986" spans="1:12" x14ac:dyDescent="0.2">
      <c r="A986">
        <f t="shared" si="31"/>
        <v>4600041</v>
      </c>
      <c r="B986">
        <v>2018</v>
      </c>
      <c r="C986" t="s">
        <v>208</v>
      </c>
      <c r="D986" t="s">
        <v>212</v>
      </c>
      <c r="E986" t="s">
        <v>211</v>
      </c>
      <c r="F986" s="3">
        <v>948100</v>
      </c>
      <c r="G986" s="3" t="s">
        <v>176</v>
      </c>
      <c r="H986" s="4">
        <v>147768</v>
      </c>
      <c r="I986" cm="1">
        <f t="array" ref="I986">_xlfn.IFS(B986=2015,H986/$O$10,B986=2016,H986/$O$11,B986=2017,H986/$O$12,B986=2018,H986/$O$13,B986=2019,H986/$O$14,B986=2020,H986/$O$15,B986=2021,H986/$O$16,B986=2022,H986/$O$17)</f>
        <v>2.9468787650390668E-3</v>
      </c>
      <c r="J986" s="6" cm="1">
        <f t="array" ref="J986">_xlfn.IFS(B986=2015,I986*$Q$1,B986=2016,I986*$Q$2,B986=2017,I986*$Q$3,B986=2018,I986*$Q$4,B986=2019,I986*$Q$5,B986=2020,I986*$Q$6,B986=2021,I986*$Q$7,B986=2022,I986*$Q$8)</f>
        <v>77372.686001021619</v>
      </c>
      <c r="K986" s="7">
        <f t="shared" si="32"/>
        <v>225140.68600102162</v>
      </c>
      <c r="L986">
        <f>IFERROR(VLOOKUP(G986,'LEAID Match'!$A$2:$B$168,2,FALSE),"")</f>
        <v>4600041</v>
      </c>
    </row>
    <row r="987" spans="1:12" x14ac:dyDescent="0.2">
      <c r="A987">
        <f t="shared" si="31"/>
        <v>4600041</v>
      </c>
      <c r="B987">
        <v>2019</v>
      </c>
      <c r="C987" t="s">
        <v>208</v>
      </c>
      <c r="D987" t="s">
        <v>212</v>
      </c>
      <c r="E987" t="s">
        <v>211</v>
      </c>
      <c r="F987" s="3">
        <v>948100</v>
      </c>
      <c r="G987" s="3" t="s">
        <v>176</v>
      </c>
      <c r="H987" s="4">
        <v>139247</v>
      </c>
      <c r="I987" cm="1">
        <f t="array" ref="I987">_xlfn.IFS(B987=2015,H987/$O$10,B987=2016,H987/$O$11,B987=2017,H987/$O$12,B987=2018,H987/$O$13,B987=2019,H987/$O$14,B987=2020,H987/$O$15,B987=2021,H987/$O$16,B987=2022,H987/$O$17)</f>
        <v>2.7270872973649699E-3</v>
      </c>
      <c r="J987" s="6" cm="1">
        <f t="array" ref="J987">_xlfn.IFS(B987=2015,I987*$Q$1,B987=2016,I987*$Q$2,B987=2017,I987*$Q$3,B987=2018,I987*$Q$4,B987=2019,I987*$Q$5,B987=2020,I987*$Q$6,B987=2021,I987*$Q$7,B987=2022,I987*$Q$8)</f>
        <v>72124.518578131654</v>
      </c>
      <c r="K987" s="7">
        <f t="shared" si="32"/>
        <v>211371.51857813165</v>
      </c>
      <c r="L987">
        <f>IFERROR(VLOOKUP(G987,'LEAID Match'!$A$2:$B$168,2,FALSE),"")</f>
        <v>4600041</v>
      </c>
    </row>
    <row r="988" spans="1:12" x14ac:dyDescent="0.2">
      <c r="A988">
        <f t="shared" si="31"/>
        <v>4600041</v>
      </c>
      <c r="B988">
        <v>2020</v>
      </c>
      <c r="C988" t="s">
        <v>208</v>
      </c>
      <c r="D988" t="s">
        <v>212</v>
      </c>
      <c r="E988" t="s">
        <v>211</v>
      </c>
      <c r="F988" s="1">
        <v>948100</v>
      </c>
      <c r="G988" s="3" t="s">
        <v>176</v>
      </c>
      <c r="H988" s="2">
        <v>140782</v>
      </c>
      <c r="I988" cm="1">
        <f t="array" ref="I988">_xlfn.IFS(B988=2015,H988/$O$10,B988=2016,H988/$O$11,B988=2017,H988/$O$12,B988=2018,H988/$O$13,B988=2019,H988/$O$14,B988=2020,H988/$O$15,B988=2021,H988/$O$16,B988=2022,H988/$O$17)</f>
        <v>2.6663800951701212E-3</v>
      </c>
      <c r="J988" s="6" cm="1">
        <f t="array" ref="J988">_xlfn.IFS(B988=2015,I988*$Q$1,B988=2016,I988*$Q$2,B988=2017,I988*$Q$3,B988=2018,I988*$Q$4,B988=2019,I988*$Q$5,B988=2020,I988*$Q$6,B988=2021,I988*$Q$7,B988=2022,I988*$Q$8)</f>
        <v>72499.490721477574</v>
      </c>
      <c r="K988" s="7">
        <f t="shared" si="32"/>
        <v>213281.49072147757</v>
      </c>
      <c r="L988">
        <f>IFERROR(VLOOKUP(G988,'LEAID Match'!$A$2:$B$168,2,FALSE),"")</f>
        <v>4600041</v>
      </c>
    </row>
    <row r="989" spans="1:12" x14ac:dyDescent="0.2">
      <c r="A989">
        <f t="shared" si="31"/>
        <v>4600041</v>
      </c>
      <c r="B989">
        <v>2021</v>
      </c>
      <c r="C989" t="s">
        <v>208</v>
      </c>
      <c r="D989" t="s">
        <v>212</v>
      </c>
      <c r="E989" t="s">
        <v>211</v>
      </c>
      <c r="F989" s="3">
        <v>948100</v>
      </c>
      <c r="G989" s="3" t="s">
        <v>176</v>
      </c>
      <c r="H989" s="4">
        <v>150415</v>
      </c>
      <c r="I989" cm="1">
        <f t="array" ref="I989">_xlfn.IFS(B989=2015,H989/$O$10,B989=2016,H989/$O$11,B989=2017,H989/$O$12,B989=2018,H989/$O$13,B989=2019,H989/$O$14,B989=2020,H989/$O$15,B989=2021,H989/$O$16,B989=2022,H989/$O$17)</f>
        <v>2.7167307810194159E-3</v>
      </c>
      <c r="J989" s="6" cm="1">
        <f t="array" ref="J989">_xlfn.IFS(B989=2015,I989*$Q$1,B989=2016,I989*$Q$2,B989=2017,I989*$Q$3,B989=2018,I989*$Q$4,B989=2019,I989*$Q$5,B989=2020,I989*$Q$6,B989=2021,I989*$Q$7,B989=2022,I989*$Q$8)</f>
        <v>75629.25615336858</v>
      </c>
      <c r="K989" s="7">
        <f t="shared" si="32"/>
        <v>226044.25615336857</v>
      </c>
      <c r="L989">
        <f>IFERROR(VLOOKUP(G989,'LEAID Match'!$A$2:$B$168,2,FALSE),"")</f>
        <v>4600041</v>
      </c>
    </row>
    <row r="990" spans="1:12" x14ac:dyDescent="0.2">
      <c r="A990">
        <f t="shared" si="31"/>
        <v>4600041</v>
      </c>
      <c r="B990">
        <v>2022</v>
      </c>
      <c r="C990" t="s">
        <v>208</v>
      </c>
      <c r="D990" t="s">
        <v>212</v>
      </c>
      <c r="E990" t="s">
        <v>211</v>
      </c>
      <c r="F990" s="3">
        <v>948100</v>
      </c>
      <c r="G990" s="3" t="s">
        <v>176</v>
      </c>
      <c r="H990" s="4">
        <v>151250</v>
      </c>
      <c r="I990" cm="1">
        <f t="array" ref="I990">_xlfn.IFS(B990=2015,H990/$O$10,B990=2016,H990/$O$11,B990=2017,H990/$O$12,B990=2018,H990/$O$13,B990=2019,H990/$O$14,B990=2020,H990/$O$15,B990=2021,H990/$O$16,B990=2022,H990/$O$17)</f>
        <v>2.619435522295873E-3</v>
      </c>
      <c r="J990" s="6" cm="1">
        <f t="array" ref="J990">_xlfn.IFS(B990=2015,I990*$Q$1,B990=2016,I990*$Q$2,B990=2017,I990*$Q$3,B990=2018,I990*$Q$4,B990=2019,I990*$Q$5,B990=2020,I990*$Q$6,B990=2021,I990*$Q$7,B990=2022,I990*$Q$8)</f>
        <v>77163.19016627362</v>
      </c>
      <c r="K990" s="7">
        <f t="shared" si="32"/>
        <v>228413.19016627362</v>
      </c>
      <c r="L990">
        <f>IFERROR(VLOOKUP(G990,'LEAID Match'!$A$2:$B$168,2,FALSE),"")</f>
        <v>4600041</v>
      </c>
    </row>
    <row r="991" spans="1:12" x14ac:dyDescent="0.2">
      <c r="A991">
        <f t="shared" si="31"/>
        <v>4640860</v>
      </c>
      <c r="B991">
        <v>2015</v>
      </c>
      <c r="C991" t="s">
        <v>208</v>
      </c>
      <c r="D991" t="s">
        <v>212</v>
      </c>
      <c r="E991" t="s">
        <v>211</v>
      </c>
      <c r="F991" s="3">
        <v>948124</v>
      </c>
      <c r="G991" s="3" t="s">
        <v>84</v>
      </c>
      <c r="H991" s="4">
        <v>61621</v>
      </c>
      <c r="I991" cm="1">
        <f t="array" ref="I991">_xlfn.IFS(B991=2015,H991/$O$10,B991=2016,H991/$O$11,B991=2017,H991/$O$12,B991=2018,H991/$O$13,B991=2019,H991/$O$14,B991=2020,H991/$O$15,B991=2021,H991/$O$16,B991=2022,H991/$O$17)</f>
        <v>1.4413332729240021E-3</v>
      </c>
      <c r="J991" s="6" cm="1">
        <f t="array" ref="J991">_xlfn.IFS(B991=2015,I991*$Q$1,B991=2016,I991*$Q$2,B991=2017,I991*$Q$3,B991=2018,I991*$Q$4,B991=2019,I991*$Q$5,B991=2020,I991*$Q$6,B991=2021,I991*$Q$7,B991=2022,I991*$Q$8)</f>
        <v>35445.491254404362</v>
      </c>
      <c r="K991" s="7">
        <f t="shared" si="32"/>
        <v>97066.491254404362</v>
      </c>
      <c r="L991">
        <f>IFERROR(VLOOKUP(G991,'LEAID Match'!$A$2:$B$168,2,FALSE),"")</f>
        <v>4640860</v>
      </c>
    </row>
    <row r="992" spans="1:12" x14ac:dyDescent="0.2">
      <c r="A992">
        <f t="shared" si="31"/>
        <v>4640860</v>
      </c>
      <c r="B992">
        <v>2016</v>
      </c>
      <c r="C992" t="s">
        <v>208</v>
      </c>
      <c r="D992" t="s">
        <v>212</v>
      </c>
      <c r="E992" t="s">
        <v>211</v>
      </c>
      <c r="F992" s="3">
        <v>948124</v>
      </c>
      <c r="G992" s="3" t="s">
        <v>84</v>
      </c>
      <c r="H992" s="4">
        <v>65699</v>
      </c>
      <c r="I992" cm="1">
        <f t="array" ref="I992">_xlfn.IFS(B992=2015,H992/$O$10,B992=2016,H992/$O$11,B992=2017,H992/$O$12,B992=2018,H992/$O$13,B992=2019,H992/$O$14,B992=2020,H992/$O$15,B992=2021,H992/$O$16,B992=2022,H992/$O$17)</f>
        <v>1.4901887045379206E-3</v>
      </c>
      <c r="J992" s="6" cm="1">
        <f t="array" ref="J992">_xlfn.IFS(B992=2015,I992*$Q$1,B992=2016,I992*$Q$2,B992=2017,I992*$Q$3,B992=2018,I992*$Q$4,B992=2019,I992*$Q$5,B992=2020,I992*$Q$6,B992=2021,I992*$Q$7,B992=2022,I992*$Q$8)</f>
        <v>37859.443640693025</v>
      </c>
      <c r="K992" s="7">
        <f t="shared" si="32"/>
        <v>103558.44364069303</v>
      </c>
      <c r="L992">
        <f>IFERROR(VLOOKUP(G992,'LEAID Match'!$A$2:$B$168,2,FALSE),"")</f>
        <v>4640860</v>
      </c>
    </row>
    <row r="993" spans="1:12" x14ac:dyDescent="0.2">
      <c r="A993">
        <f t="shared" si="31"/>
        <v>4640860</v>
      </c>
      <c r="B993">
        <v>2017</v>
      </c>
      <c r="C993" t="s">
        <v>208</v>
      </c>
      <c r="D993" t="s">
        <v>212</v>
      </c>
      <c r="E993" t="s">
        <v>211</v>
      </c>
      <c r="F993" s="3">
        <v>948124</v>
      </c>
      <c r="G993" s="3" t="s">
        <v>84</v>
      </c>
      <c r="H993" s="4">
        <v>73581</v>
      </c>
      <c r="I993" cm="1">
        <f t="array" ref="I993">_xlfn.IFS(B993=2015,H993/$O$10,B993=2016,H993/$O$11,B993=2017,H993/$O$12,B993=2018,H993/$O$13,B993=2019,H993/$O$14,B993=2020,H993/$O$15,B993=2021,H993/$O$16,B993=2022,H993/$O$17)</f>
        <v>1.5192114875108183E-3</v>
      </c>
      <c r="J993" s="6" cm="1">
        <f t="array" ref="J993">_xlfn.IFS(B993=2015,I993*$Q$1,B993=2016,I993*$Q$2,B993=2017,I993*$Q$3,B993=2018,I993*$Q$4,B993=2019,I993*$Q$5,B993=2020,I993*$Q$6,B993=2021,I993*$Q$7,B993=2022,I993*$Q$8)</f>
        <v>39963.669437906407</v>
      </c>
      <c r="K993" s="7">
        <f t="shared" si="32"/>
        <v>113544.66943790641</v>
      </c>
      <c r="L993">
        <f>IFERROR(VLOOKUP(G993,'LEAID Match'!$A$2:$B$168,2,FALSE),"")</f>
        <v>4640860</v>
      </c>
    </row>
    <row r="994" spans="1:12" x14ac:dyDescent="0.2">
      <c r="A994">
        <f t="shared" si="31"/>
        <v>4640860</v>
      </c>
      <c r="B994">
        <v>2018</v>
      </c>
      <c r="C994" t="s">
        <v>208</v>
      </c>
      <c r="D994" t="s">
        <v>212</v>
      </c>
      <c r="E994" t="s">
        <v>211</v>
      </c>
      <c r="F994" s="3">
        <v>948124</v>
      </c>
      <c r="G994" s="3" t="s">
        <v>84</v>
      </c>
      <c r="H994" s="4">
        <v>81600</v>
      </c>
      <c r="I994" cm="1">
        <f t="array" ref="I994">_xlfn.IFS(B994=2015,H994/$O$10,B994=2016,H994/$O$11,B994=2017,H994/$O$12,B994=2018,H994/$O$13,B994=2019,H994/$O$14,B994=2020,H994/$O$15,B994=2021,H994/$O$16,B994=2022,H994/$O$17)</f>
        <v>1.6273165179686256E-3</v>
      </c>
      <c r="J994" s="6" cm="1">
        <f t="array" ref="J994">_xlfn.IFS(B994=2015,I994*$Q$1,B994=2016,I994*$Q$2,B994=2017,I994*$Q$3,B994=2018,I994*$Q$4,B994=2019,I994*$Q$5,B994=2020,I994*$Q$6,B994=2021,I994*$Q$7,B994=2022,I994*$Q$8)</f>
        <v>42726.511678329305</v>
      </c>
      <c r="K994" s="7">
        <f t="shared" si="32"/>
        <v>124326.51167832931</v>
      </c>
      <c r="L994">
        <f>IFERROR(VLOOKUP(G994,'LEAID Match'!$A$2:$B$168,2,FALSE),"")</f>
        <v>4640860</v>
      </c>
    </row>
    <row r="995" spans="1:12" x14ac:dyDescent="0.2">
      <c r="A995">
        <f t="shared" si="31"/>
        <v>4640860</v>
      </c>
      <c r="B995">
        <v>2019</v>
      </c>
      <c r="C995" t="s">
        <v>208</v>
      </c>
      <c r="D995" t="s">
        <v>212</v>
      </c>
      <c r="E995" t="s">
        <v>211</v>
      </c>
      <c r="F995" s="3">
        <v>948124</v>
      </c>
      <c r="G995" s="3" t="s">
        <v>84</v>
      </c>
      <c r="H995" s="4">
        <v>83665</v>
      </c>
      <c r="I995" cm="1">
        <f t="array" ref="I995">_xlfn.IFS(B995=2015,H995/$O$10,B995=2016,H995/$O$11,B995=2017,H995/$O$12,B995=2018,H995/$O$13,B995=2019,H995/$O$14,B995=2020,H995/$O$15,B995=2021,H995/$O$16,B995=2022,H995/$O$17)</f>
        <v>1.6385398517313851E-3</v>
      </c>
      <c r="J995" s="6" cm="1">
        <f t="array" ref="J995">_xlfn.IFS(B995=2015,I995*$Q$1,B995=2016,I995*$Q$2,B995=2017,I995*$Q$3,B995=2018,I995*$Q$4,B995=2019,I995*$Q$5,B995=2020,I995*$Q$6,B995=2021,I995*$Q$7,B995=2022,I995*$Q$8)</f>
        <v>43335.208994372479</v>
      </c>
      <c r="K995" s="7">
        <f t="shared" si="32"/>
        <v>127000.20899437249</v>
      </c>
      <c r="L995">
        <f>IFERROR(VLOOKUP(G995,'LEAID Match'!$A$2:$B$168,2,FALSE),"")</f>
        <v>4640860</v>
      </c>
    </row>
    <row r="996" spans="1:12" x14ac:dyDescent="0.2">
      <c r="A996">
        <f t="shared" si="31"/>
        <v>4640860</v>
      </c>
      <c r="B996">
        <v>2020</v>
      </c>
      <c r="C996" t="s">
        <v>208</v>
      </c>
      <c r="D996" t="s">
        <v>212</v>
      </c>
      <c r="E996" t="s">
        <v>211</v>
      </c>
      <c r="F996" s="1">
        <v>948124</v>
      </c>
      <c r="G996" s="3" t="s">
        <v>84</v>
      </c>
      <c r="H996" s="2">
        <v>86469</v>
      </c>
      <c r="I996" cm="1">
        <f t="array" ref="I996">_xlfn.IFS(B996=2015,H996/$O$10,B996=2016,H996/$O$11,B996=2017,H996/$O$12,B996=2018,H996/$O$13,B996=2019,H996/$O$14,B996=2020,H996/$O$15,B996=2021,H996/$O$16,B996=2022,H996/$O$17)</f>
        <v>1.6377038289643933E-3</v>
      </c>
      <c r="J996" s="6" cm="1">
        <f t="array" ref="J996">_xlfn.IFS(B996=2015,I996*$Q$1,B996=2016,I996*$Q$2,B996=2017,I996*$Q$3,B996=2018,I996*$Q$4,B996=2019,I996*$Q$5,B996=2020,I996*$Q$6,B996=2021,I996*$Q$7,B996=2022,I996*$Q$8)</f>
        <v>44529.545419126349</v>
      </c>
      <c r="K996" s="7">
        <f t="shared" si="32"/>
        <v>130998.54541912634</v>
      </c>
      <c r="L996">
        <f>IFERROR(VLOOKUP(G996,'LEAID Match'!$A$2:$B$168,2,FALSE),"")</f>
        <v>4640860</v>
      </c>
    </row>
    <row r="997" spans="1:12" x14ac:dyDescent="0.2">
      <c r="A997">
        <f t="shared" si="31"/>
        <v>4640860</v>
      </c>
      <c r="B997">
        <v>2021</v>
      </c>
      <c r="C997" t="s">
        <v>208</v>
      </c>
      <c r="D997" t="s">
        <v>212</v>
      </c>
      <c r="E997" t="s">
        <v>211</v>
      </c>
      <c r="F997" s="3">
        <v>948124</v>
      </c>
      <c r="G997" s="3" t="s">
        <v>84</v>
      </c>
      <c r="H997" s="4">
        <v>85709</v>
      </c>
      <c r="I997" cm="1">
        <f t="array" ref="I997">_xlfn.IFS(B997=2015,H997/$O$10,B997=2016,H997/$O$11,B997=2017,H997/$O$12,B997=2018,H997/$O$13,B997=2019,H997/$O$14,B997=2020,H997/$O$15,B997=2021,H997/$O$16,B997=2022,H997/$O$17)</f>
        <v>1.5480389489771174E-3</v>
      </c>
      <c r="J997" s="6" cm="1">
        <f t="array" ref="J997">_xlfn.IFS(B997=2015,I997*$Q$1,B997=2016,I997*$Q$2,B997=2017,I997*$Q$3,B997=2018,I997*$Q$4,B997=2019,I997*$Q$5,B997=2020,I997*$Q$6,B997=2021,I997*$Q$7,B997=2022,I997*$Q$8)</f>
        <v>43094.823758595005</v>
      </c>
      <c r="K997" s="7">
        <f t="shared" si="32"/>
        <v>128803.82375859501</v>
      </c>
      <c r="L997">
        <f>IFERROR(VLOOKUP(G997,'LEAID Match'!$A$2:$B$168,2,FALSE),"")</f>
        <v>4640860</v>
      </c>
    </row>
    <row r="998" spans="1:12" x14ac:dyDescent="0.2">
      <c r="A998">
        <f t="shared" si="31"/>
        <v>4640860</v>
      </c>
      <c r="B998">
        <v>2022</v>
      </c>
      <c r="C998" t="s">
        <v>208</v>
      </c>
      <c r="D998" t="s">
        <v>212</v>
      </c>
      <c r="E998" t="s">
        <v>211</v>
      </c>
      <c r="F998" s="3">
        <v>948124</v>
      </c>
      <c r="G998" s="3" t="s">
        <v>84</v>
      </c>
      <c r="H998" s="4">
        <v>95510</v>
      </c>
      <c r="I998" cm="1">
        <f t="array" ref="I998">_xlfn.IFS(B998=2015,H998/$O$10,B998=2016,H998/$O$11,B998=2017,H998/$O$12,B998=2018,H998/$O$13,B998=2019,H998/$O$14,B998=2020,H998/$O$15,B998=2021,H998/$O$16,B998=2022,H998/$O$17)</f>
        <v>1.6540977635337445E-3</v>
      </c>
      <c r="J998" s="6" cm="1">
        <f t="array" ref="J998">_xlfn.IFS(B998=2015,I998*$Q$1,B998=2016,I998*$Q$2,B998=2017,I998*$Q$3,B998=2018,I998*$Q$4,B998=2019,I998*$Q$5,B998=2020,I998*$Q$6,B998=2021,I998*$Q$7,B998=2022,I998*$Q$8)</f>
        <v>48726.322596897815</v>
      </c>
      <c r="K998" s="7">
        <f t="shared" si="32"/>
        <v>144236.32259689781</v>
      </c>
      <c r="L998">
        <f>IFERROR(VLOOKUP(G998,'LEAID Match'!$A$2:$B$168,2,FALSE),"")</f>
        <v>4640860</v>
      </c>
    </row>
    <row r="999" spans="1:12" x14ac:dyDescent="0.2">
      <c r="A999">
        <f t="shared" si="31"/>
        <v>4669930</v>
      </c>
      <c r="B999">
        <v>2015</v>
      </c>
      <c r="C999" t="s">
        <v>208</v>
      </c>
      <c r="D999" t="s">
        <v>212</v>
      </c>
      <c r="E999" t="s">
        <v>211</v>
      </c>
      <c r="F999" s="3">
        <v>949157</v>
      </c>
      <c r="G999" s="3" t="s">
        <v>95</v>
      </c>
      <c r="H999" s="4">
        <v>673459</v>
      </c>
      <c r="I999" cm="1">
        <f t="array" ref="I999">_xlfn.IFS(B999=2015,H999/$O$10,B999=2016,H999/$O$11,B999=2017,H999/$O$12,B999=2018,H999/$O$13,B999=2019,H999/$O$14,B999=2020,H999/$O$15,B999=2021,H999/$O$16,B999=2022,H999/$O$17)</f>
        <v>1.5752403639183486E-2</v>
      </c>
      <c r="J999" s="6" cm="1">
        <f t="array" ref="J999">_xlfn.IFS(B999=2015,I999*$Q$1,B999=2016,I999*$Q$2,B999=2017,I999*$Q$3,B999=2018,I999*$Q$4,B999=2019,I999*$Q$5,B999=2020,I999*$Q$6,B999=2021,I999*$Q$7,B999=2022,I999*$Q$8)</f>
        <v>387385.55191736436</v>
      </c>
      <c r="K999" s="7">
        <f t="shared" si="32"/>
        <v>1060844.5519173644</v>
      </c>
      <c r="L999">
        <f>IFERROR(VLOOKUP(G999,'LEAID Match'!$A$2:$B$168,2,FALSE),"")</f>
        <v>4669930</v>
      </c>
    </row>
    <row r="1000" spans="1:12" x14ac:dyDescent="0.2">
      <c r="A1000">
        <f t="shared" si="31"/>
        <v>4669930</v>
      </c>
      <c r="B1000">
        <v>2016</v>
      </c>
      <c r="C1000" t="s">
        <v>208</v>
      </c>
      <c r="D1000" t="s">
        <v>212</v>
      </c>
      <c r="E1000" t="s">
        <v>211</v>
      </c>
      <c r="F1000" s="3">
        <v>949157</v>
      </c>
      <c r="G1000" s="3" t="s">
        <v>95</v>
      </c>
      <c r="H1000" s="4">
        <v>707456</v>
      </c>
      <c r="I1000" cm="1">
        <f t="array" ref="I1000">_xlfn.IFS(B1000=2015,H1000/$O$10,B1000=2016,H1000/$O$11,B1000=2017,H1000/$O$12,B1000=2018,H1000/$O$13,B1000=2019,H1000/$O$14,B1000=2020,H1000/$O$15,B1000=2021,H1000/$O$16,B1000=2022,H1000/$O$17)</f>
        <v>1.604655991959663E-2</v>
      </c>
      <c r="J1000" s="6" cm="1">
        <f t="array" ref="J1000">_xlfn.IFS(B1000=2015,I1000*$Q$1,B1000=2016,I1000*$Q$2,B1000=2017,I1000*$Q$3,B1000=2018,I1000*$Q$4,B1000=2019,I1000*$Q$5,B1000=2020,I1000*$Q$6,B1000=2021,I1000*$Q$7,B1000=2022,I1000*$Q$8)</f>
        <v>407675.77223808767</v>
      </c>
      <c r="K1000" s="7">
        <f t="shared" si="32"/>
        <v>1115131.7722380876</v>
      </c>
      <c r="L1000">
        <f>IFERROR(VLOOKUP(G1000,'LEAID Match'!$A$2:$B$168,2,FALSE),"")</f>
        <v>4669930</v>
      </c>
    </row>
    <row r="1001" spans="1:12" x14ac:dyDescent="0.2">
      <c r="A1001">
        <f t="shared" si="31"/>
        <v>4669930</v>
      </c>
      <c r="B1001">
        <v>2017</v>
      </c>
      <c r="C1001" t="s">
        <v>208</v>
      </c>
      <c r="D1001" t="s">
        <v>212</v>
      </c>
      <c r="E1001" t="s">
        <v>211</v>
      </c>
      <c r="F1001" s="3">
        <v>949157</v>
      </c>
      <c r="G1001" s="3" t="s">
        <v>95</v>
      </c>
      <c r="H1001" s="4">
        <v>794807</v>
      </c>
      <c r="I1001" cm="1">
        <f t="array" ref="I1001">_xlfn.IFS(B1001=2015,H1001/$O$10,B1001=2016,H1001/$O$11,B1001=2017,H1001/$O$12,B1001=2018,H1001/$O$13,B1001=2019,H1001/$O$14,B1001=2020,H1001/$O$15,B1001=2021,H1001/$O$16,B1001=2022,H1001/$O$17)</f>
        <v>1.6410213570813268E-2</v>
      </c>
      <c r="J1001" s="6" cm="1">
        <f t="array" ref="J1001">_xlfn.IFS(B1001=2015,I1001*$Q$1,B1001=2016,I1001*$Q$2,B1001=2017,I1001*$Q$3,B1001=2018,I1001*$Q$4,B1001=2019,I1001*$Q$5,B1001=2020,I1001*$Q$6,B1001=2021,I1001*$Q$7,B1001=2022,I1001*$Q$8)</f>
        <v>431679.43103428982</v>
      </c>
      <c r="K1001" s="7">
        <f t="shared" si="32"/>
        <v>1226486.4310342898</v>
      </c>
      <c r="L1001">
        <f>IFERROR(VLOOKUP(G1001,'LEAID Match'!$A$2:$B$168,2,FALSE),"")</f>
        <v>4669930</v>
      </c>
    </row>
    <row r="1002" spans="1:12" x14ac:dyDescent="0.2">
      <c r="A1002">
        <f t="shared" si="31"/>
        <v>4669930</v>
      </c>
      <c r="B1002">
        <v>2018</v>
      </c>
      <c r="C1002" t="s">
        <v>208</v>
      </c>
      <c r="D1002" t="s">
        <v>212</v>
      </c>
      <c r="E1002" t="s">
        <v>211</v>
      </c>
      <c r="F1002" s="3">
        <v>949157</v>
      </c>
      <c r="G1002" s="3" t="s">
        <v>95</v>
      </c>
      <c r="H1002" s="4">
        <v>825026</v>
      </c>
      <c r="I1002" cm="1">
        <f t="array" ref="I1002">_xlfn.IFS(B1002=2015,H1002/$O$10,B1002=2016,H1002/$O$11,B1002=2017,H1002/$O$12,B1002=2018,H1002/$O$13,B1002=2019,H1002/$O$14,B1002=2020,H1002/$O$15,B1002=2021,H1002/$O$16,B1002=2022,H1002/$O$17)</f>
        <v>1.6453167126882148E-2</v>
      </c>
      <c r="J1002" s="6" cm="1">
        <f t="array" ref="J1002">_xlfn.IFS(B1002=2015,I1002*$Q$1,B1002=2016,I1002*$Q$2,B1002=2017,I1002*$Q$3,B1002=2018,I1002*$Q$4,B1002=2019,I1002*$Q$5,B1002=2020,I1002*$Q$6,B1002=2021,I1002*$Q$7,B1002=2022,I1002*$Q$8)</f>
        <v>431991.21352849645</v>
      </c>
      <c r="K1002" s="7">
        <f t="shared" si="32"/>
        <v>1257017.2135284964</v>
      </c>
      <c r="L1002">
        <f>IFERROR(VLOOKUP(G1002,'LEAID Match'!$A$2:$B$168,2,FALSE),"")</f>
        <v>4669930</v>
      </c>
    </row>
    <row r="1003" spans="1:12" x14ac:dyDescent="0.2">
      <c r="A1003">
        <f t="shared" si="31"/>
        <v>4669930</v>
      </c>
      <c r="B1003">
        <v>2019</v>
      </c>
      <c r="C1003" t="s">
        <v>208</v>
      </c>
      <c r="D1003" t="s">
        <v>212</v>
      </c>
      <c r="E1003" t="s">
        <v>211</v>
      </c>
      <c r="F1003" s="3">
        <v>949157</v>
      </c>
      <c r="G1003" s="3" t="s">
        <v>95</v>
      </c>
      <c r="H1003" s="4">
        <v>857315</v>
      </c>
      <c r="I1003" cm="1">
        <f t="array" ref="I1003">_xlfn.IFS(B1003=2015,H1003/$O$10,B1003=2016,H1003/$O$11,B1003=2017,H1003/$O$12,B1003=2018,H1003/$O$13,B1003=2019,H1003/$O$14,B1003=2020,H1003/$O$15,B1003=2021,H1003/$O$16,B1003=2022,H1003/$O$17)</f>
        <v>1.6790112866635898E-2</v>
      </c>
      <c r="J1003" s="6" cm="1">
        <f t="array" ref="J1003">_xlfn.IFS(B1003=2015,I1003*$Q$1,B1003=2016,I1003*$Q$2,B1003=2017,I1003*$Q$3,B1003=2018,I1003*$Q$4,B1003=2019,I1003*$Q$5,B1003=2020,I1003*$Q$6,B1003=2021,I1003*$Q$7,B1003=2022,I1003*$Q$8)</f>
        <v>444055.75448527391</v>
      </c>
      <c r="K1003" s="7">
        <f t="shared" si="32"/>
        <v>1301370.754485274</v>
      </c>
      <c r="L1003">
        <f>IFERROR(VLOOKUP(G1003,'LEAID Match'!$A$2:$B$168,2,FALSE),"")</f>
        <v>4669930</v>
      </c>
    </row>
    <row r="1004" spans="1:12" x14ac:dyDescent="0.2">
      <c r="A1004">
        <f t="shared" si="31"/>
        <v>4669930</v>
      </c>
      <c r="B1004">
        <v>2020</v>
      </c>
      <c r="C1004" t="s">
        <v>208</v>
      </c>
      <c r="D1004" t="s">
        <v>212</v>
      </c>
      <c r="E1004" t="s">
        <v>211</v>
      </c>
      <c r="F1004" s="1">
        <v>949157</v>
      </c>
      <c r="G1004" s="3" t="s">
        <v>95</v>
      </c>
      <c r="H1004" s="2">
        <v>880802</v>
      </c>
      <c r="I1004" cm="1">
        <f t="array" ref="I1004">_xlfn.IFS(B1004=2015,H1004/$O$10,B1004=2016,H1004/$O$11,B1004=2017,H1004/$O$12,B1004=2018,H1004/$O$13,B1004=2019,H1004/$O$14,B1004=2020,H1004/$O$15,B1004=2021,H1004/$O$16,B1004=2022,H1004/$O$17)</f>
        <v>1.6682196023540177E-2</v>
      </c>
      <c r="J1004" s="6" cm="1">
        <f t="array" ref="J1004">_xlfn.IFS(B1004=2015,I1004*$Q$1,B1004=2016,I1004*$Q$2,B1004=2017,I1004*$Q$3,B1004=2018,I1004*$Q$4,B1004=2019,I1004*$Q$5,B1004=2020,I1004*$Q$6,B1004=2021,I1004*$Q$7,B1004=2022,I1004*$Q$8)</f>
        <v>453592.76346733887</v>
      </c>
      <c r="K1004" s="7">
        <f t="shared" si="32"/>
        <v>1334394.7634673389</v>
      </c>
      <c r="L1004">
        <f>IFERROR(VLOOKUP(G1004,'LEAID Match'!$A$2:$B$168,2,FALSE),"")</f>
        <v>4669930</v>
      </c>
    </row>
    <row r="1005" spans="1:12" x14ac:dyDescent="0.2">
      <c r="A1005">
        <f t="shared" si="31"/>
        <v>4669930</v>
      </c>
      <c r="B1005">
        <v>2021</v>
      </c>
      <c r="C1005" t="s">
        <v>208</v>
      </c>
      <c r="D1005" t="s">
        <v>212</v>
      </c>
      <c r="E1005" t="s">
        <v>211</v>
      </c>
      <c r="F1005" s="3">
        <v>949157</v>
      </c>
      <c r="G1005" s="3" t="s">
        <v>95</v>
      </c>
      <c r="H1005" s="4">
        <v>922590</v>
      </c>
      <c r="I1005" cm="1">
        <f t="array" ref="I1005">_xlfn.IFS(B1005=2015,H1005/$O$10,B1005=2016,H1005/$O$11,B1005=2017,H1005/$O$12,B1005=2018,H1005/$O$13,B1005=2019,H1005/$O$14,B1005=2020,H1005/$O$15,B1005=2021,H1005/$O$16,B1005=2022,H1005/$O$17)</f>
        <v>1.6663422206965414E-2</v>
      </c>
      <c r="J1005" s="6" cm="1">
        <f t="array" ref="J1005">_xlfn.IFS(B1005=2015,I1005*$Q$1,B1005=2016,I1005*$Q$2,B1005=2017,I1005*$Q$3,B1005=2018,I1005*$Q$4,B1005=2019,I1005*$Q$5,B1005=2020,I1005*$Q$6,B1005=2021,I1005*$Q$7,B1005=2022,I1005*$Q$8)</f>
        <v>463881.89631709812</v>
      </c>
      <c r="K1005" s="7">
        <f t="shared" si="32"/>
        <v>1386471.8963170981</v>
      </c>
      <c r="L1005">
        <f>IFERROR(VLOOKUP(G1005,'LEAID Match'!$A$2:$B$168,2,FALSE),"")</f>
        <v>4669930</v>
      </c>
    </row>
    <row r="1006" spans="1:12" x14ac:dyDescent="0.2">
      <c r="A1006">
        <f t="shared" si="31"/>
        <v>4669930</v>
      </c>
      <c r="B1006">
        <v>2022</v>
      </c>
      <c r="C1006" t="s">
        <v>208</v>
      </c>
      <c r="D1006" t="s">
        <v>212</v>
      </c>
      <c r="E1006" t="s">
        <v>211</v>
      </c>
      <c r="F1006" s="3">
        <v>949157</v>
      </c>
      <c r="G1006" s="3" t="s">
        <v>95</v>
      </c>
      <c r="H1006" s="4">
        <v>932837</v>
      </c>
      <c r="I1006" cm="1">
        <f t="array" ref="I1006">_xlfn.IFS(B1006=2015,H1006/$O$10,B1006=2016,H1006/$O$11,B1006=2017,H1006/$O$12,B1006=2018,H1006/$O$13,B1006=2019,H1006/$O$14,B1006=2020,H1006/$O$15,B1006=2021,H1006/$O$16,B1006=2022,H1006/$O$17)</f>
        <v>1.6155414045037456E-2</v>
      </c>
      <c r="J1006" s="6" cm="1">
        <f t="array" ref="J1006">_xlfn.IFS(B1006=2015,I1006*$Q$1,B1006=2016,I1006*$Q$2,B1006=2017,I1006*$Q$3,B1006=2018,I1006*$Q$4,B1006=2019,I1006*$Q$5,B1006=2020,I1006*$Q$6,B1006=2021,I1006*$Q$7,B1006=2022,I1006*$Q$8)</f>
        <v>475905.31454635493</v>
      </c>
      <c r="K1006" s="7">
        <f t="shared" si="32"/>
        <v>1408742.314546355</v>
      </c>
      <c r="L1006">
        <f>IFERROR(VLOOKUP(G1006,'LEAID Match'!$A$2:$B$168,2,FALSE),"")</f>
        <v>4669930</v>
      </c>
    </row>
    <row r="1007" spans="1:12" x14ac:dyDescent="0.2">
      <c r="A1007">
        <f t="shared" si="31"/>
        <v>4678570</v>
      </c>
      <c r="B1007">
        <v>2015</v>
      </c>
      <c r="C1007" t="s">
        <v>208</v>
      </c>
      <c r="D1007" t="s">
        <v>212</v>
      </c>
      <c r="E1007" t="s">
        <v>211</v>
      </c>
      <c r="F1007" s="3">
        <v>950101</v>
      </c>
      <c r="G1007" s="3" t="s">
        <v>157</v>
      </c>
      <c r="H1007" s="4">
        <v>176206</v>
      </c>
      <c r="I1007" cm="1">
        <f t="array" ref="I1007">_xlfn.IFS(B1007=2015,H1007/$O$10,B1007=2016,H1007/$O$11,B1007=2017,H1007/$O$12,B1007=2018,H1007/$O$13,B1007=2019,H1007/$O$14,B1007=2020,H1007/$O$15,B1007=2021,H1007/$O$16,B1007=2022,H1007/$O$17)</f>
        <v>4.1215100483414212E-3</v>
      </c>
      <c r="J1007" s="6" cm="1">
        <f t="array" ref="J1007">_xlfn.IFS(B1007=2015,I1007*$Q$1,B1007=2016,I1007*$Q$2,B1007=2017,I1007*$Q$3,B1007=2018,I1007*$Q$4,B1007=2019,I1007*$Q$5,B1007=2020,I1007*$Q$6,B1007=2021,I1007*$Q$7,B1007=2022,I1007*$Q$8)</f>
        <v>101356.81394286972</v>
      </c>
      <c r="K1007" s="7">
        <f t="shared" si="32"/>
        <v>277562.81394286972</v>
      </c>
      <c r="L1007">
        <f>IFERROR(VLOOKUP(G1007,'LEAID Match'!$A$2:$B$168,2,FALSE),"")</f>
        <v>4678570</v>
      </c>
    </row>
    <row r="1008" spans="1:12" x14ac:dyDescent="0.2">
      <c r="A1008">
        <f t="shared" si="31"/>
        <v>4678570</v>
      </c>
      <c r="B1008">
        <v>2016</v>
      </c>
      <c r="C1008" t="s">
        <v>208</v>
      </c>
      <c r="D1008" t="s">
        <v>212</v>
      </c>
      <c r="E1008" t="s">
        <v>211</v>
      </c>
      <c r="F1008" s="3">
        <v>950101</v>
      </c>
      <c r="G1008" s="3" t="s">
        <v>157</v>
      </c>
      <c r="H1008" s="4">
        <v>180496</v>
      </c>
      <c r="I1008" cm="1">
        <f t="array" ref="I1008">_xlfn.IFS(B1008=2015,H1008/$O$10,B1008=2016,H1008/$O$11,B1008=2017,H1008/$O$12,B1008=2018,H1008/$O$13,B1008=2019,H1008/$O$14,B1008=2020,H1008/$O$15,B1008=2021,H1008/$O$16,B1008=2022,H1008/$O$17)</f>
        <v>4.0940212242846392E-3</v>
      </c>
      <c r="J1008" s="6" cm="1">
        <f t="array" ref="J1008">_xlfn.IFS(B1008=2015,I1008*$Q$1,B1008=2016,I1008*$Q$2,B1008=2017,I1008*$Q$3,B1008=2018,I1008*$Q$4,B1008=2019,I1008*$Q$5,B1008=2020,I1008*$Q$6,B1008=2021,I1008*$Q$7,B1008=2022,I1008*$Q$8)</f>
        <v>104011.90489003681</v>
      </c>
      <c r="K1008" s="7">
        <f t="shared" si="32"/>
        <v>284507.90489003679</v>
      </c>
      <c r="L1008">
        <f>IFERROR(VLOOKUP(G1008,'LEAID Match'!$A$2:$B$168,2,FALSE),"")</f>
        <v>4678570</v>
      </c>
    </row>
    <row r="1009" spans="1:12" x14ac:dyDescent="0.2">
      <c r="A1009">
        <f t="shared" si="31"/>
        <v>4678570</v>
      </c>
      <c r="B1009">
        <v>2017</v>
      </c>
      <c r="C1009" t="s">
        <v>208</v>
      </c>
      <c r="D1009" t="s">
        <v>212</v>
      </c>
      <c r="E1009" t="s">
        <v>211</v>
      </c>
      <c r="F1009" s="3">
        <v>950101</v>
      </c>
      <c r="G1009" s="3" t="s">
        <v>157</v>
      </c>
      <c r="H1009" s="4">
        <v>188115</v>
      </c>
      <c r="I1009" cm="1">
        <f t="array" ref="I1009">_xlfn.IFS(B1009=2015,H1009/$O$10,B1009=2016,H1009/$O$11,B1009=2017,H1009/$O$12,B1009=2018,H1009/$O$13,B1009=2019,H1009/$O$14,B1009=2020,H1009/$O$15,B1009=2021,H1009/$O$16,B1009=2022,H1009/$O$17)</f>
        <v>3.8839709839917588E-3</v>
      </c>
      <c r="J1009" s="6" cm="1">
        <f t="array" ref="J1009">_xlfn.IFS(B1009=2015,I1009*$Q$1,B1009=2016,I1009*$Q$2,B1009=2017,I1009*$Q$3,B1009=2018,I1009*$Q$4,B1009=2019,I1009*$Q$5,B1009=2020,I1009*$Q$6,B1009=2021,I1009*$Q$7,B1009=2022,I1009*$Q$8)</f>
        <v>102169.93077440867</v>
      </c>
      <c r="K1009" s="7">
        <f t="shared" si="32"/>
        <v>290284.93077440868</v>
      </c>
      <c r="L1009">
        <f>IFERROR(VLOOKUP(G1009,'LEAID Match'!$A$2:$B$168,2,FALSE),"")</f>
        <v>4678570</v>
      </c>
    </row>
    <row r="1010" spans="1:12" x14ac:dyDescent="0.2">
      <c r="A1010">
        <f t="shared" si="31"/>
        <v>4678570</v>
      </c>
      <c r="B1010">
        <v>2018</v>
      </c>
      <c r="C1010" t="s">
        <v>208</v>
      </c>
      <c r="D1010" t="s">
        <v>212</v>
      </c>
      <c r="E1010" t="s">
        <v>211</v>
      </c>
      <c r="F1010" s="3">
        <v>950101</v>
      </c>
      <c r="G1010" s="3" t="s">
        <v>157</v>
      </c>
      <c r="H1010" s="4">
        <v>199666</v>
      </c>
      <c r="I1010" cm="1">
        <f t="array" ref="I1010">_xlfn.IFS(B1010=2015,H1010/$O$10,B1010=2016,H1010/$O$11,B1010=2017,H1010/$O$12,B1010=2018,H1010/$O$13,B1010=2019,H1010/$O$14,B1010=2020,H1010/$O$15,B1010=2021,H1010/$O$16,B1010=2022,H1010/$O$17)</f>
        <v>3.9818600475088678E-3</v>
      </c>
      <c r="J1010" s="6" cm="1">
        <f t="array" ref="J1010">_xlfn.IFS(B1010=2015,I1010*$Q$1,B1010=2016,I1010*$Q$2,B1010=2017,I1010*$Q$3,B1010=2018,I1010*$Q$4,B1010=2019,I1010*$Q$5,B1010=2020,I1010*$Q$6,B1010=2021,I1010*$Q$7,B1010=2022,I1010*$Q$8)</f>
        <v>104546.95687212376</v>
      </c>
      <c r="K1010" s="7">
        <f t="shared" si="32"/>
        <v>304212.95687212376</v>
      </c>
      <c r="L1010">
        <f>IFERROR(VLOOKUP(G1010,'LEAID Match'!$A$2:$B$168,2,FALSE),"")</f>
        <v>4678570</v>
      </c>
    </row>
    <row r="1011" spans="1:12" x14ac:dyDescent="0.2">
      <c r="A1011">
        <f t="shared" si="31"/>
        <v>4678570</v>
      </c>
      <c r="B1011">
        <v>2019</v>
      </c>
      <c r="C1011" t="s">
        <v>208</v>
      </c>
      <c r="D1011" t="s">
        <v>212</v>
      </c>
      <c r="E1011" t="s">
        <v>211</v>
      </c>
      <c r="F1011" s="3">
        <v>950101</v>
      </c>
      <c r="G1011" s="3" t="s">
        <v>157</v>
      </c>
      <c r="H1011" s="4">
        <v>202101</v>
      </c>
      <c r="I1011" cm="1">
        <f t="array" ref="I1011">_xlfn.IFS(B1011=2015,H1011/$O$10,B1011=2016,H1011/$O$11,B1011=2017,H1011/$O$12,B1011=2018,H1011/$O$13,B1011=2019,H1011/$O$14,B1011=2020,H1011/$O$15,B1011=2021,H1011/$O$16,B1011=2022,H1011/$O$17)</f>
        <v>3.9580534581338039E-3</v>
      </c>
      <c r="J1011" s="6" cm="1">
        <f t="array" ref="J1011">_xlfn.IFS(B1011=2015,I1011*$Q$1,B1011=2016,I1011*$Q$2,B1011=2017,I1011*$Q$3,B1011=2018,I1011*$Q$4,B1011=2019,I1011*$Q$5,B1011=2020,I1011*$Q$6,B1011=2021,I1011*$Q$7,B1011=2022,I1011*$Q$8)</f>
        <v>104680.44072158817</v>
      </c>
      <c r="K1011" s="7">
        <f t="shared" si="32"/>
        <v>306781.44072158815</v>
      </c>
      <c r="L1011">
        <f>IFERROR(VLOOKUP(G1011,'LEAID Match'!$A$2:$B$168,2,FALSE),"")</f>
        <v>4678570</v>
      </c>
    </row>
    <row r="1012" spans="1:12" x14ac:dyDescent="0.2">
      <c r="A1012">
        <f t="shared" si="31"/>
        <v>4678570</v>
      </c>
      <c r="B1012">
        <v>2020</v>
      </c>
      <c r="C1012" t="s">
        <v>208</v>
      </c>
      <c r="D1012" t="s">
        <v>212</v>
      </c>
      <c r="E1012" t="s">
        <v>211</v>
      </c>
      <c r="F1012" s="1">
        <v>950101</v>
      </c>
      <c r="G1012" s="3" t="s">
        <v>157</v>
      </c>
      <c r="H1012" s="2">
        <v>207287</v>
      </c>
      <c r="I1012" cm="1">
        <f t="array" ref="I1012">_xlfn.IFS(B1012=2015,H1012/$O$10,B1012=2016,H1012/$O$11,B1012=2017,H1012/$O$12,B1012=2018,H1012/$O$13,B1012=2019,H1012/$O$14,B1012=2020,H1012/$O$15,B1012=2021,H1012/$O$16,B1012=2022,H1012/$O$17)</f>
        <v>3.9259701580282207E-3</v>
      </c>
      <c r="J1012" s="6" cm="1">
        <f t="array" ref="J1012">_xlfn.IFS(B1012=2015,I1012*$Q$1,B1012=2016,I1012*$Q$2,B1012=2017,I1012*$Q$3,B1012=2018,I1012*$Q$4,B1012=2019,I1012*$Q$5,B1012=2020,I1012*$Q$6,B1012=2021,I1012*$Q$7,B1012=2022,I1012*$Q$8)</f>
        <v>106748.03549589383</v>
      </c>
      <c r="K1012" s="7">
        <f t="shared" si="32"/>
        <v>314035.0354958938</v>
      </c>
      <c r="L1012">
        <f>IFERROR(VLOOKUP(G1012,'LEAID Match'!$A$2:$B$168,2,FALSE),"")</f>
        <v>4678570</v>
      </c>
    </row>
    <row r="1013" spans="1:12" x14ac:dyDescent="0.2">
      <c r="A1013">
        <f t="shared" si="31"/>
        <v>4678570</v>
      </c>
      <c r="B1013">
        <v>2021</v>
      </c>
      <c r="C1013" t="s">
        <v>208</v>
      </c>
      <c r="D1013" t="s">
        <v>212</v>
      </c>
      <c r="E1013" t="s">
        <v>211</v>
      </c>
      <c r="F1013" s="3">
        <v>950101</v>
      </c>
      <c r="G1013" s="3" t="s">
        <v>157</v>
      </c>
      <c r="H1013" s="4">
        <v>213048</v>
      </c>
      <c r="I1013" cm="1">
        <f t="array" ref="I1013">_xlfn.IFS(B1013=2015,H1013/$O$10,B1013=2016,H1013/$O$11,B1013=2017,H1013/$O$12,B1013=2018,H1013/$O$13,B1013=2019,H1013/$O$14,B1013=2020,H1013/$O$15,B1013=2021,H1013/$O$16,B1013=2022,H1013/$O$17)</f>
        <v>3.8479809821801319E-3</v>
      </c>
      <c r="J1013" s="6" cm="1">
        <f t="array" ref="J1013">_xlfn.IFS(B1013=2015,I1013*$Q$1,B1013=2016,I1013*$Q$2,B1013=2017,I1013*$Q$3,B1013=2018,I1013*$Q$4,B1013=2019,I1013*$Q$5,B1013=2020,I1013*$Q$6,B1013=2021,I1013*$Q$7,B1013=2022,I1013*$Q$8)</f>
        <v>107121.37595959757</v>
      </c>
      <c r="K1013" s="7">
        <f t="shared" si="32"/>
        <v>320169.37595959759</v>
      </c>
      <c r="L1013">
        <f>IFERROR(VLOOKUP(G1013,'LEAID Match'!$A$2:$B$168,2,FALSE),"")</f>
        <v>4678570</v>
      </c>
    </row>
    <row r="1014" spans="1:12" x14ac:dyDescent="0.2">
      <c r="A1014">
        <f t="shared" si="31"/>
        <v>4678570</v>
      </c>
      <c r="B1014">
        <v>2022</v>
      </c>
      <c r="C1014" t="s">
        <v>208</v>
      </c>
      <c r="D1014" t="s">
        <v>212</v>
      </c>
      <c r="E1014" t="s">
        <v>211</v>
      </c>
      <c r="F1014" s="3">
        <v>950101</v>
      </c>
      <c r="G1014" s="3" t="s">
        <v>157</v>
      </c>
      <c r="H1014" s="4">
        <v>211805</v>
      </c>
      <c r="I1014" cm="1">
        <f t="array" ref="I1014">_xlfn.IFS(B1014=2015,H1014/$O$10,B1014=2016,H1014/$O$11,B1014=2017,H1014/$O$12,B1014=2018,H1014/$O$13,B1014=2019,H1014/$O$14,B1014=2020,H1014/$O$15,B1014=2021,H1014/$O$16,B1014=2022,H1014/$O$17)</f>
        <v>3.6681622532223298E-3</v>
      </c>
      <c r="J1014" s="6" cm="1">
        <f t="array" ref="J1014">_xlfn.IFS(B1014=2015,I1014*$Q$1,B1014=2016,I1014*$Q$2,B1014=2017,I1014*$Q$3,B1014=2018,I1014*$Q$4,B1014=2019,I1014*$Q$5,B1014=2020,I1014*$Q$6,B1014=2021,I1014*$Q$7,B1014=2022,I1014*$Q$8)</f>
        <v>108056.52557466172</v>
      </c>
      <c r="K1014" s="7">
        <f t="shared" si="32"/>
        <v>319861.52557466173</v>
      </c>
      <c r="L1014">
        <f>IFERROR(VLOOKUP(G1014,'LEAID Match'!$A$2:$B$168,2,FALSE),"")</f>
        <v>4678570</v>
      </c>
    </row>
    <row r="1015" spans="1:12" x14ac:dyDescent="0.2">
      <c r="A1015">
        <f t="shared" si="31"/>
        <v>4600024</v>
      </c>
      <c r="B1015">
        <v>2015</v>
      </c>
      <c r="C1015" t="s">
        <v>208</v>
      </c>
      <c r="D1015" t="s">
        <v>212</v>
      </c>
      <c r="E1015" t="s">
        <v>211</v>
      </c>
      <c r="F1015" s="3">
        <v>950102</v>
      </c>
      <c r="G1015" s="3" t="s">
        <v>139</v>
      </c>
      <c r="H1015" s="4">
        <v>22724</v>
      </c>
      <c r="I1015" cm="1">
        <f t="array" ref="I1015">_xlfn.IFS(B1015=2015,H1015/$O$10,B1015=2016,H1015/$O$11,B1015=2017,H1015/$O$12,B1015=2018,H1015/$O$13,B1015=2019,H1015/$O$14,B1015=2020,H1015/$O$15,B1015=2021,H1015/$O$16,B1015=2022,H1015/$O$17)</f>
        <v>5.3152102844687731E-4</v>
      </c>
      <c r="J1015" s="6" cm="1">
        <f t="array" ref="J1015">_xlfn.IFS(B1015=2015,I1015*$Q$1,B1015=2016,I1015*$Q$2,B1015=2017,I1015*$Q$3,B1015=2018,I1015*$Q$4,B1015=2019,I1015*$Q$5,B1015=2020,I1015*$Q$6,B1015=2021,I1015*$Q$7,B1015=2022,I1015*$Q$8)</f>
        <v>13071.247517325017</v>
      </c>
      <c r="K1015" s="7">
        <f t="shared" si="32"/>
        <v>35795.247517325013</v>
      </c>
      <c r="L1015">
        <f>IFERROR(VLOOKUP(G1015,'LEAID Match'!$A$2:$B$168,2,FALSE),"")</f>
        <v>4600024</v>
      </c>
    </row>
    <row r="1016" spans="1:12" x14ac:dyDescent="0.2">
      <c r="A1016">
        <f t="shared" si="31"/>
        <v>4600024</v>
      </c>
      <c r="B1016">
        <v>2016</v>
      </c>
      <c r="C1016" t="s">
        <v>208</v>
      </c>
      <c r="D1016" t="s">
        <v>212</v>
      </c>
      <c r="E1016" t="s">
        <v>211</v>
      </c>
      <c r="F1016" s="3">
        <v>950102</v>
      </c>
      <c r="G1016" s="3" t="s">
        <v>139</v>
      </c>
      <c r="H1016" s="4">
        <v>18640</v>
      </c>
      <c r="I1016" cm="1">
        <f t="array" ref="I1016">_xlfn.IFS(B1016=2015,H1016/$O$10,B1016=2016,H1016/$O$11,B1016=2017,H1016/$O$12,B1016=2018,H1016/$O$13,B1016=2019,H1016/$O$14,B1016=2020,H1016/$O$15,B1016=2021,H1016/$O$16,B1016=2022,H1016/$O$17)</f>
        <v>4.2279361105324037E-4</v>
      </c>
      <c r="J1016" s="6" cm="1">
        <f t="array" ref="J1016">_xlfn.IFS(B1016=2015,I1016*$Q$1,B1016=2016,I1016*$Q$2,B1016=2017,I1016*$Q$3,B1016=2018,I1016*$Q$4,B1016=2019,I1016*$Q$5,B1016=2020,I1016*$Q$6,B1016=2021,I1016*$Q$7,B1016=2022,I1016*$Q$8)</f>
        <v>10741.41203766447</v>
      </c>
      <c r="K1016" s="7">
        <f t="shared" si="32"/>
        <v>29381.412037664471</v>
      </c>
      <c r="L1016">
        <f>IFERROR(VLOOKUP(G1016,'LEAID Match'!$A$2:$B$168,2,FALSE),"")</f>
        <v>4600024</v>
      </c>
    </row>
    <row r="1017" spans="1:12" x14ac:dyDescent="0.2">
      <c r="A1017">
        <f t="shared" si="31"/>
        <v>4600024</v>
      </c>
      <c r="B1017">
        <v>2017</v>
      </c>
      <c r="C1017" t="s">
        <v>208</v>
      </c>
      <c r="D1017" t="s">
        <v>212</v>
      </c>
      <c r="E1017" t="s">
        <v>211</v>
      </c>
      <c r="F1017" s="3">
        <v>950102</v>
      </c>
      <c r="G1017" s="3" t="s">
        <v>139</v>
      </c>
      <c r="H1017" s="4">
        <v>21342</v>
      </c>
      <c r="I1017" cm="1">
        <f t="array" ref="I1017">_xlfn.IFS(B1017=2015,H1017/$O$10,B1017=2016,H1017/$O$11,B1017=2017,H1017/$O$12,B1017=2018,H1017/$O$13,B1017=2019,H1017/$O$14,B1017=2020,H1017/$O$15,B1017=2021,H1017/$O$16,B1017=2022,H1017/$O$17)</f>
        <v>4.4064380161258865E-4</v>
      </c>
      <c r="J1017" s="6" cm="1">
        <f t="array" ref="J1017">_xlfn.IFS(B1017=2015,I1017*$Q$1,B1017=2016,I1017*$Q$2,B1017=2017,I1017*$Q$3,B1017=2018,I1017*$Q$4,B1017=2019,I1017*$Q$5,B1017=2020,I1017*$Q$6,B1017=2021,I1017*$Q$7,B1017=2022,I1017*$Q$8)</f>
        <v>11591.370505209206</v>
      </c>
      <c r="K1017" s="7">
        <f t="shared" si="32"/>
        <v>32933.370505209205</v>
      </c>
      <c r="L1017">
        <f>IFERROR(VLOOKUP(G1017,'LEAID Match'!$A$2:$B$168,2,FALSE),"")</f>
        <v>4600024</v>
      </c>
    </row>
    <row r="1018" spans="1:12" x14ac:dyDescent="0.2">
      <c r="A1018">
        <f t="shared" si="31"/>
        <v>4600024</v>
      </c>
      <c r="B1018">
        <v>2018</v>
      </c>
      <c r="C1018" t="s">
        <v>208</v>
      </c>
      <c r="D1018" t="s">
        <v>212</v>
      </c>
      <c r="E1018" t="s">
        <v>211</v>
      </c>
      <c r="F1018" s="3">
        <v>950102</v>
      </c>
      <c r="G1018" s="3" t="s">
        <v>139</v>
      </c>
      <c r="H1018" s="4">
        <v>22605</v>
      </c>
      <c r="I1018" cm="1">
        <f t="array" ref="I1018">_xlfn.IFS(B1018=2015,H1018/$O$10,B1018=2016,H1018/$O$11,B1018=2017,H1018/$O$12,B1018=2018,H1018/$O$13,B1018=2019,H1018/$O$14,B1018=2020,H1018/$O$15,B1018=2021,H1018/$O$16,B1018=2022,H1018/$O$17)</f>
        <v>4.5080257216520566E-4</v>
      </c>
      <c r="J1018" s="6" cm="1">
        <f t="array" ref="J1018">_xlfn.IFS(B1018=2015,I1018*$Q$1,B1018=2016,I1018*$Q$2,B1018=2017,I1018*$Q$3,B1018=2018,I1018*$Q$4,B1018=2019,I1018*$Q$5,B1018=2020,I1018*$Q$6,B1018=2021,I1018*$Q$7,B1018=2022,I1018*$Q$8)</f>
        <v>11836.186231478356</v>
      </c>
      <c r="K1018" s="7">
        <f t="shared" si="32"/>
        <v>34441.186231478358</v>
      </c>
      <c r="L1018">
        <f>IFERROR(VLOOKUP(G1018,'LEAID Match'!$A$2:$B$168,2,FALSE),"")</f>
        <v>4600024</v>
      </c>
    </row>
    <row r="1019" spans="1:12" x14ac:dyDescent="0.2">
      <c r="A1019">
        <f t="shared" si="31"/>
        <v>4600024</v>
      </c>
      <c r="B1019">
        <v>2019</v>
      </c>
      <c r="C1019" t="s">
        <v>208</v>
      </c>
      <c r="D1019" t="s">
        <v>212</v>
      </c>
      <c r="E1019" t="s">
        <v>211</v>
      </c>
      <c r="F1019" s="3">
        <v>950102</v>
      </c>
      <c r="G1019" s="3" t="s">
        <v>139</v>
      </c>
      <c r="H1019" s="4">
        <v>22777</v>
      </c>
      <c r="I1019" cm="1">
        <f t="array" ref="I1019">_xlfn.IFS(B1019=2015,H1019/$O$10,B1019=2016,H1019/$O$11,B1019=2017,H1019/$O$12,B1019=2018,H1019/$O$13,B1019=2019,H1019/$O$14,B1019=2020,H1019/$O$15,B1019=2021,H1019/$O$16,B1019=2022,H1019/$O$17)</f>
        <v>4.4607688045043641E-4</v>
      </c>
      <c r="J1019" s="6" cm="1">
        <f t="array" ref="J1019">_xlfn.IFS(B1019=2015,I1019*$Q$1,B1019=2016,I1019*$Q$2,B1019=2017,I1019*$Q$3,B1019=2018,I1019*$Q$4,B1019=2019,I1019*$Q$5,B1019=2020,I1019*$Q$6,B1019=2021,I1019*$Q$7,B1019=2022,I1019*$Q$8)</f>
        <v>11797.598222253297</v>
      </c>
      <c r="K1019" s="7">
        <f t="shared" si="32"/>
        <v>34574.598222253298</v>
      </c>
      <c r="L1019">
        <f>IFERROR(VLOOKUP(G1019,'LEAID Match'!$A$2:$B$168,2,FALSE),"")</f>
        <v>4600024</v>
      </c>
    </row>
    <row r="1020" spans="1:12" x14ac:dyDescent="0.2">
      <c r="A1020">
        <f t="shared" si="31"/>
        <v>4600024</v>
      </c>
      <c r="B1020">
        <v>2020</v>
      </c>
      <c r="C1020" t="s">
        <v>208</v>
      </c>
      <c r="D1020" t="s">
        <v>212</v>
      </c>
      <c r="E1020" t="s">
        <v>211</v>
      </c>
      <c r="F1020" s="1">
        <v>950102</v>
      </c>
      <c r="G1020" s="3" t="s">
        <v>139</v>
      </c>
      <c r="H1020" s="2">
        <v>27270</v>
      </c>
      <c r="I1020" cm="1">
        <f t="array" ref="I1020">_xlfn.IFS(B1020=2015,H1020/$O$10,B1020=2016,H1020/$O$11,B1020=2017,H1020/$O$12,B1020=2018,H1020/$O$13,B1020=2019,H1020/$O$14,B1020=2020,H1020/$O$15,B1020=2021,H1020/$O$16,B1020=2022,H1020/$O$17)</f>
        <v>5.1648779812255268E-4</v>
      </c>
      <c r="J1020" s="6" cm="1">
        <f t="array" ref="J1020">_xlfn.IFS(B1020=2015,I1020*$Q$1,B1020=2016,I1020*$Q$2,B1020=2017,I1020*$Q$3,B1020=2018,I1020*$Q$4,B1020=2019,I1020*$Q$5,B1020=2020,I1020*$Q$6,B1020=2021,I1020*$Q$7,B1020=2022,I1020*$Q$8)</f>
        <v>14043.422539633573</v>
      </c>
      <c r="K1020" s="7">
        <f t="shared" si="32"/>
        <v>41313.422539633575</v>
      </c>
      <c r="L1020">
        <f>IFERROR(VLOOKUP(G1020,'LEAID Match'!$A$2:$B$168,2,FALSE),"")</f>
        <v>4600024</v>
      </c>
    </row>
    <row r="1021" spans="1:12" x14ac:dyDescent="0.2">
      <c r="A1021">
        <f t="shared" si="31"/>
        <v>4600024</v>
      </c>
      <c r="B1021">
        <v>2021</v>
      </c>
      <c r="C1021" t="s">
        <v>208</v>
      </c>
      <c r="D1021" t="s">
        <v>212</v>
      </c>
      <c r="E1021" t="s">
        <v>211</v>
      </c>
      <c r="F1021" s="3">
        <v>950102</v>
      </c>
      <c r="G1021" s="3" t="s">
        <v>139</v>
      </c>
      <c r="H1021" s="4">
        <v>26625</v>
      </c>
      <c r="I1021" cm="1">
        <f t="array" ref="I1021">_xlfn.IFS(B1021=2015,H1021/$O$10,B1021=2016,H1021/$O$11,B1021=2017,H1021/$O$12,B1021=2018,H1021/$O$13,B1021=2019,H1021/$O$14,B1021=2020,H1021/$O$15,B1021=2021,H1021/$O$16,B1021=2022,H1021/$O$17)</f>
        <v>4.8088925336330784E-4</v>
      </c>
      <c r="J1021" s="6" cm="1">
        <f t="array" ref="J1021">_xlfn.IFS(B1021=2015,I1021*$Q$1,B1021=2016,I1021*$Q$2,B1021=2017,I1021*$Q$3,B1021=2018,I1021*$Q$4,B1021=2019,I1021*$Q$5,B1021=2020,I1021*$Q$6,B1021=2021,I1021*$Q$7,B1021=2022,I1021*$Q$8)</f>
        <v>13387.155171249135</v>
      </c>
      <c r="K1021" s="7">
        <f t="shared" si="32"/>
        <v>40012.155171249135</v>
      </c>
      <c r="L1021">
        <f>IFERROR(VLOOKUP(G1021,'LEAID Match'!$A$2:$B$168,2,FALSE),"")</f>
        <v>4600024</v>
      </c>
    </row>
    <row r="1022" spans="1:12" x14ac:dyDescent="0.2">
      <c r="A1022">
        <f t="shared" si="31"/>
        <v>4600024</v>
      </c>
      <c r="B1022">
        <v>2022</v>
      </c>
      <c r="C1022" t="s">
        <v>208</v>
      </c>
      <c r="D1022" t="s">
        <v>212</v>
      </c>
      <c r="E1022" t="s">
        <v>211</v>
      </c>
      <c r="F1022" s="3">
        <v>950102</v>
      </c>
      <c r="G1022" s="3" t="s">
        <v>139</v>
      </c>
      <c r="H1022" s="4">
        <v>29598</v>
      </c>
      <c r="I1022" cm="1">
        <f t="array" ref="I1022">_xlfn.IFS(B1022=2015,H1022/$O$10,B1022=2016,H1022/$O$11,B1022=2017,H1022/$O$12,B1022=2018,H1022/$O$13,B1022=2019,H1022/$O$14,B1022=2020,H1022/$O$15,B1022=2021,H1022/$O$16,B1022=2022,H1022/$O$17)</f>
        <v>5.125953890176083E-4</v>
      </c>
      <c r="J1022" s="6" cm="1">
        <f t="array" ref="J1022">_xlfn.IFS(B1022=2015,I1022*$Q$1,B1022=2016,I1022*$Q$2,B1022=2017,I1022*$Q$3,B1022=2018,I1022*$Q$4,B1022=2019,I1022*$Q$5,B1022=2020,I1022*$Q$6,B1022=2021,I1022*$Q$7,B1022=2022,I1022*$Q$8)</f>
        <v>15100.007289529698</v>
      </c>
      <c r="K1022" s="7">
        <f t="shared" si="32"/>
        <v>44698.007289529698</v>
      </c>
      <c r="L1022">
        <f>IFERROR(VLOOKUP(G1022,'LEAID Match'!$A$2:$B$168,2,FALSE),"")</f>
        <v>4600024</v>
      </c>
    </row>
    <row r="1023" spans="1:12" x14ac:dyDescent="0.2">
      <c r="A1023">
        <f t="shared" si="31"/>
        <v>4600025</v>
      </c>
      <c r="B1023">
        <v>2015</v>
      </c>
      <c r="C1023" t="s">
        <v>208</v>
      </c>
      <c r="D1023" t="s">
        <v>212</v>
      </c>
      <c r="E1023" t="s">
        <v>211</v>
      </c>
      <c r="F1023" s="3">
        <v>951100</v>
      </c>
      <c r="G1023" s="3" t="s">
        <v>74</v>
      </c>
      <c r="H1023" s="4">
        <v>125981</v>
      </c>
      <c r="I1023" cm="1">
        <f t="array" ref="I1023">_xlfn.IFS(B1023=2015,H1023/$O$10,B1023=2016,H1023/$O$11,B1023=2017,H1023/$O$12,B1023=2018,H1023/$O$13,B1023=2019,H1023/$O$14,B1023=2020,H1023/$O$15,B1023=2021,H1023/$O$16,B1023=2022,H1023/$O$17)</f>
        <v>2.946732559618291E-3</v>
      </c>
      <c r="J1023" s="6" cm="1">
        <f t="array" ref="J1023">_xlfn.IFS(B1023=2015,I1023*$Q$1,B1023=2016,I1023*$Q$2,B1023=2017,I1023*$Q$3,B1023=2018,I1023*$Q$4,B1023=2019,I1023*$Q$5,B1023=2020,I1023*$Q$6,B1023=2021,I1023*$Q$7,B1023=2022,I1023*$Q$8)</f>
        <v>72466.50384967975</v>
      </c>
      <c r="K1023" s="7">
        <f t="shared" si="32"/>
        <v>198447.50384967975</v>
      </c>
      <c r="L1023">
        <f>IFERROR(VLOOKUP(G1023,'LEAID Match'!$A$2:$B$168,2,FALSE),"")</f>
        <v>4600025</v>
      </c>
    </row>
    <row r="1024" spans="1:12" x14ac:dyDescent="0.2">
      <c r="A1024">
        <f t="shared" si="31"/>
        <v>4600025</v>
      </c>
      <c r="B1024">
        <v>2016</v>
      </c>
      <c r="C1024" t="s">
        <v>208</v>
      </c>
      <c r="D1024" t="s">
        <v>212</v>
      </c>
      <c r="E1024" t="s">
        <v>211</v>
      </c>
      <c r="F1024" s="3">
        <v>951100</v>
      </c>
      <c r="G1024" s="3" t="s">
        <v>74</v>
      </c>
      <c r="H1024" s="4">
        <v>130312</v>
      </c>
      <c r="I1024" cm="1">
        <f t="array" ref="I1024">_xlfn.IFS(B1024=2015,H1024/$O$10,B1024=2016,H1024/$O$11,B1024=2017,H1024/$O$12,B1024=2018,H1024/$O$13,B1024=2019,H1024/$O$14,B1024=2020,H1024/$O$15,B1024=2021,H1024/$O$16,B1024=2022,H1024/$O$17)</f>
        <v>2.9557446911786405E-3</v>
      </c>
      <c r="J1024" s="6" cm="1">
        <f t="array" ref="J1024">_xlfn.IFS(B1024=2015,I1024*$Q$1,B1024=2016,I1024*$Q$2,B1024=2017,I1024*$Q$3,B1024=2018,I1024*$Q$4,B1024=2019,I1024*$Q$5,B1024=2020,I1024*$Q$6,B1024=2021,I1024*$Q$7,B1024=2022,I1024*$Q$8)</f>
        <v>75093.073253869763</v>
      </c>
      <c r="K1024" s="7">
        <f t="shared" si="32"/>
        <v>205405.07325386978</v>
      </c>
      <c r="L1024">
        <f>IFERROR(VLOOKUP(G1024,'LEAID Match'!$A$2:$B$168,2,FALSE),"")</f>
        <v>4600025</v>
      </c>
    </row>
    <row r="1025" spans="1:12" x14ac:dyDescent="0.2">
      <c r="A1025">
        <f t="shared" si="31"/>
        <v>4600025</v>
      </c>
      <c r="B1025">
        <v>2017</v>
      </c>
      <c r="C1025" t="s">
        <v>208</v>
      </c>
      <c r="D1025" t="s">
        <v>212</v>
      </c>
      <c r="E1025" t="s">
        <v>211</v>
      </c>
      <c r="F1025" s="3">
        <v>951100</v>
      </c>
      <c r="G1025" s="3" t="s">
        <v>74</v>
      </c>
      <c r="H1025" s="4">
        <v>145262</v>
      </c>
      <c r="I1025" cm="1">
        <f t="array" ref="I1025">_xlfn.IFS(B1025=2015,H1025/$O$10,B1025=2016,H1025/$O$11,B1025=2017,H1025/$O$12,B1025=2018,H1025/$O$13,B1025=2019,H1025/$O$14,B1025=2020,H1025/$O$15,B1025=2021,H1025/$O$16,B1025=2022,H1025/$O$17)</f>
        <v>2.9991940731818882E-3</v>
      </c>
      <c r="J1025" s="6" cm="1">
        <f t="array" ref="J1025">_xlfn.IFS(B1025=2015,I1025*$Q$1,B1025=2016,I1025*$Q$2,B1025=2017,I1025*$Q$3,B1025=2018,I1025*$Q$4,B1025=2019,I1025*$Q$5,B1025=2020,I1025*$Q$6,B1025=2021,I1025*$Q$7,B1025=2022,I1025*$Q$8)</f>
        <v>78895.401664684643</v>
      </c>
      <c r="K1025" s="7">
        <f t="shared" si="32"/>
        <v>224157.40166468464</v>
      </c>
      <c r="L1025">
        <f>IFERROR(VLOOKUP(G1025,'LEAID Match'!$A$2:$B$168,2,FALSE),"")</f>
        <v>4600025</v>
      </c>
    </row>
    <row r="1026" spans="1:12" x14ac:dyDescent="0.2">
      <c r="A1026">
        <f t="shared" si="31"/>
        <v>4600025</v>
      </c>
      <c r="B1026">
        <v>2018</v>
      </c>
      <c r="C1026" t="s">
        <v>208</v>
      </c>
      <c r="D1026" t="s">
        <v>212</v>
      </c>
      <c r="E1026" t="s">
        <v>211</v>
      </c>
      <c r="F1026" s="3">
        <v>951100</v>
      </c>
      <c r="G1026" s="3" t="s">
        <v>74</v>
      </c>
      <c r="H1026" s="4">
        <v>143451</v>
      </c>
      <c r="I1026" cm="1">
        <f t="array" ref="I1026">_xlfn.IFS(B1026=2015,H1026/$O$10,B1026=2016,H1026/$O$11,B1026=2017,H1026/$O$12,B1026=2018,H1026/$O$13,B1026=2019,H1026/$O$14,B1026=2020,H1026/$O$15,B1026=2021,H1026/$O$16,B1026=2022,H1026/$O$17)</f>
        <v>2.8607865419009474E-3</v>
      </c>
      <c r="J1026" s="6" cm="1">
        <f t="array" ref="J1026">_xlfn.IFS(B1026=2015,I1026*$Q$1,B1026=2016,I1026*$Q$2,B1026=2017,I1026*$Q$3,B1026=2018,I1026*$Q$4,B1026=2019,I1026*$Q$5,B1026=2020,I1026*$Q$6,B1026=2021,I1026*$Q$7,B1026=2022,I1026*$Q$8)</f>
        <v>75112.26503392178</v>
      </c>
      <c r="K1026" s="7">
        <f t="shared" si="32"/>
        <v>218563.26503392178</v>
      </c>
      <c r="L1026">
        <f>IFERROR(VLOOKUP(G1026,'LEAID Match'!$A$2:$B$168,2,FALSE),"")</f>
        <v>4600025</v>
      </c>
    </row>
    <row r="1027" spans="1:12" x14ac:dyDescent="0.2">
      <c r="A1027">
        <f t="shared" ref="A1027:A1090" si="33">L1027</f>
        <v>4600025</v>
      </c>
      <c r="B1027">
        <v>2019</v>
      </c>
      <c r="C1027" t="s">
        <v>208</v>
      </c>
      <c r="D1027" t="s">
        <v>212</v>
      </c>
      <c r="E1027" t="s">
        <v>211</v>
      </c>
      <c r="F1027" s="3">
        <v>951100</v>
      </c>
      <c r="G1027" s="3" t="s">
        <v>74</v>
      </c>
      <c r="H1027" s="4">
        <v>146179</v>
      </c>
      <c r="I1027" cm="1">
        <f t="array" ref="I1027">_xlfn.IFS(B1027=2015,H1027/$O$10,B1027=2016,H1027/$O$11,B1027=2017,H1027/$O$12,B1027=2018,H1027/$O$13,B1027=2019,H1027/$O$14,B1027=2020,H1027/$O$15,B1027=2021,H1027/$O$16,B1027=2022,H1027/$O$17)</f>
        <v>2.8628472716935656E-3</v>
      </c>
      <c r="J1027" s="6" cm="1">
        <f t="array" ref="J1027">_xlfn.IFS(B1027=2015,I1027*$Q$1,B1027=2016,I1027*$Q$2,B1027=2017,I1027*$Q$3,B1027=2018,I1027*$Q$4,B1027=2019,I1027*$Q$5,B1027=2020,I1027*$Q$6,B1027=2021,I1027*$Q$7,B1027=2022,I1027*$Q$8)</f>
        <v>75715.02438998835</v>
      </c>
      <c r="K1027" s="7">
        <f t="shared" ref="K1027:K1090" si="34">SUM(J1027,H1027)</f>
        <v>221894.02438998834</v>
      </c>
      <c r="L1027">
        <f>IFERROR(VLOOKUP(G1027,'LEAID Match'!$A$2:$B$168,2,FALSE),"")</f>
        <v>4600025</v>
      </c>
    </row>
    <row r="1028" spans="1:12" x14ac:dyDescent="0.2">
      <c r="A1028">
        <f t="shared" si="33"/>
        <v>4600025</v>
      </c>
      <c r="B1028">
        <v>2020</v>
      </c>
      <c r="C1028" t="s">
        <v>208</v>
      </c>
      <c r="D1028" t="s">
        <v>212</v>
      </c>
      <c r="E1028" t="s">
        <v>211</v>
      </c>
      <c r="F1028" s="1">
        <v>951100</v>
      </c>
      <c r="G1028" s="3" t="s">
        <v>74</v>
      </c>
      <c r="H1028" s="2">
        <v>151092</v>
      </c>
      <c r="I1028" cm="1">
        <f t="array" ref="I1028">_xlfn.IFS(B1028=2015,H1028/$O$10,B1028=2016,H1028/$O$11,B1028=2017,H1028/$O$12,B1028=2018,H1028/$O$13,B1028=2019,H1028/$O$14,B1028=2020,H1028/$O$15,B1028=2021,H1028/$O$16,B1028=2022,H1028/$O$17)</f>
        <v>2.8616492260334701E-3</v>
      </c>
      <c r="J1028" s="6" cm="1">
        <f t="array" ref="J1028">_xlfn.IFS(B1028=2015,I1028*$Q$1,B1028=2016,I1028*$Q$2,B1028=2017,I1028*$Q$3,B1028=2018,I1028*$Q$4,B1028=2019,I1028*$Q$5,B1028=2020,I1028*$Q$6,B1028=2021,I1028*$Q$7,B1028=2022,I1028*$Q$8)</f>
        <v>77808.903496821265</v>
      </c>
      <c r="K1028" s="7">
        <f t="shared" si="34"/>
        <v>228900.90349682127</v>
      </c>
      <c r="L1028">
        <f>IFERROR(VLOOKUP(G1028,'LEAID Match'!$A$2:$B$168,2,FALSE),"")</f>
        <v>4600025</v>
      </c>
    </row>
    <row r="1029" spans="1:12" x14ac:dyDescent="0.2">
      <c r="A1029">
        <f t="shared" si="33"/>
        <v>4600025</v>
      </c>
      <c r="B1029">
        <v>2021</v>
      </c>
      <c r="C1029" t="s">
        <v>208</v>
      </c>
      <c r="D1029" t="s">
        <v>212</v>
      </c>
      <c r="E1029" t="s">
        <v>211</v>
      </c>
      <c r="F1029" s="3">
        <v>951100</v>
      </c>
      <c r="G1029" s="3" t="s">
        <v>74</v>
      </c>
      <c r="H1029" s="4">
        <v>155380</v>
      </c>
      <c r="I1029" cm="1">
        <f t="array" ref="I1029">_xlfn.IFS(B1029=2015,H1029/$O$10,B1029=2016,H1029/$O$11,B1029=2017,H1029/$O$12,B1029=2018,H1029/$O$13,B1029=2019,H1029/$O$14,B1029=2020,H1029/$O$15,B1029=2021,H1029/$O$16,B1029=2022,H1029/$O$17)</f>
        <v>2.8064064671395597E-3</v>
      </c>
      <c r="J1029" s="6" cm="1">
        <f t="array" ref="J1029">_xlfn.IFS(B1029=2015,I1029*$Q$1,B1029=2016,I1029*$Q$2,B1029=2017,I1029*$Q$3,B1029=2018,I1029*$Q$4,B1029=2019,I1029*$Q$5,B1029=2020,I1029*$Q$6,B1029=2021,I1029*$Q$7,B1029=2022,I1029*$Q$8)</f>
        <v>78125.677765584624</v>
      </c>
      <c r="K1029" s="7">
        <f t="shared" si="34"/>
        <v>233505.67776558461</v>
      </c>
      <c r="L1029">
        <f>IFERROR(VLOOKUP(G1029,'LEAID Match'!$A$2:$B$168,2,FALSE),"")</f>
        <v>4600025</v>
      </c>
    </row>
    <row r="1030" spans="1:12" x14ac:dyDescent="0.2">
      <c r="A1030">
        <f t="shared" si="33"/>
        <v>4600025</v>
      </c>
      <c r="B1030">
        <v>2022</v>
      </c>
      <c r="C1030" t="s">
        <v>208</v>
      </c>
      <c r="D1030" t="s">
        <v>212</v>
      </c>
      <c r="E1030" t="s">
        <v>211</v>
      </c>
      <c r="F1030" s="3">
        <v>951100</v>
      </c>
      <c r="G1030" s="3" t="s">
        <v>74</v>
      </c>
      <c r="H1030" s="4">
        <v>155545</v>
      </c>
      <c r="I1030" cm="1">
        <f t="array" ref="I1030">_xlfn.IFS(B1030=2015,H1030/$O$10,B1030=2016,H1030/$O$11,B1030=2017,H1030/$O$12,B1030=2018,H1030/$O$13,B1030=2019,H1030/$O$14,B1030=2020,H1030/$O$15,B1030=2021,H1030/$O$16,B1030=2022,H1030/$O$17)</f>
        <v>2.6938188318380934E-3</v>
      </c>
      <c r="J1030" s="6" cm="1">
        <f t="array" ref="J1030">_xlfn.IFS(B1030=2015,I1030*$Q$1,B1030=2016,I1030*$Q$2,B1030=2017,I1030*$Q$3,B1030=2018,I1030*$Q$4,B1030=2019,I1030*$Q$5,B1030=2020,I1030*$Q$6,B1030=2021,I1030*$Q$7,B1030=2022,I1030*$Q$8)</f>
        <v>79354.369682069635</v>
      </c>
      <c r="K1030" s="7">
        <f t="shared" si="34"/>
        <v>234899.36968206964</v>
      </c>
      <c r="L1030">
        <f>IFERROR(VLOOKUP(G1030,'LEAID Match'!$A$2:$B$168,2,FALSE),"")</f>
        <v>4600025</v>
      </c>
    </row>
    <row r="1031" spans="1:12" x14ac:dyDescent="0.2">
      <c r="A1031">
        <f t="shared" si="33"/>
        <v>4624390</v>
      </c>
      <c r="B1031">
        <v>2015</v>
      </c>
      <c r="C1031" t="s">
        <v>208</v>
      </c>
      <c r="D1031" t="s">
        <v>212</v>
      </c>
      <c r="E1031" t="s">
        <v>211</v>
      </c>
      <c r="F1031" s="3">
        <v>952102</v>
      </c>
      <c r="G1031" s="3" t="s">
        <v>53</v>
      </c>
      <c r="H1031" s="4">
        <v>183497</v>
      </c>
      <c r="I1031" cm="1">
        <f t="array" ref="I1031">_xlfn.IFS(B1031=2015,H1031/$O$10,B1031=2016,H1031/$O$11,B1031=2017,H1031/$O$12,B1031=2018,H1031/$O$13,B1031=2019,H1031/$O$14,B1031=2020,H1031/$O$15,B1031=2021,H1031/$O$16,B1031=2022,H1031/$O$17)</f>
        <v>4.2920486779139512E-3</v>
      </c>
      <c r="J1031" s="6" cm="1">
        <f t="array" ref="J1031">_xlfn.IFS(B1031=2015,I1031*$Q$1,B1031=2016,I1031*$Q$2,B1031=2017,I1031*$Q$3,B1031=2018,I1031*$Q$4,B1031=2019,I1031*$Q$5,B1031=2020,I1031*$Q$6,B1031=2021,I1031*$Q$7,B1031=2022,I1031*$Q$8)</f>
        <v>105550.72635480497</v>
      </c>
      <c r="K1031" s="7">
        <f t="shared" si="34"/>
        <v>289047.72635480494</v>
      </c>
      <c r="L1031">
        <f>IFERROR(VLOOKUP(G1031,'LEAID Match'!$A$2:$B$168,2,FALSE),"")</f>
        <v>4624390</v>
      </c>
    </row>
    <row r="1032" spans="1:12" x14ac:dyDescent="0.2">
      <c r="A1032">
        <f t="shared" si="33"/>
        <v>4624390</v>
      </c>
      <c r="B1032">
        <v>2016</v>
      </c>
      <c r="C1032" t="s">
        <v>208</v>
      </c>
      <c r="D1032" t="s">
        <v>212</v>
      </c>
      <c r="E1032" t="s">
        <v>211</v>
      </c>
      <c r="F1032" s="3">
        <v>952102</v>
      </c>
      <c r="G1032" s="3" t="s">
        <v>53</v>
      </c>
      <c r="H1032" s="4">
        <v>195448</v>
      </c>
      <c r="I1032" cm="1">
        <f t="array" ref="I1032">_xlfn.IFS(B1032=2015,H1032/$O$10,B1032=2016,H1032/$O$11,B1032=2017,H1032/$O$12,B1032=2018,H1032/$O$13,B1032=2019,H1032/$O$14,B1032=2020,H1032/$O$15,B1032=2021,H1032/$O$16,B1032=2022,H1032/$O$17)</f>
        <v>4.4331633955543839E-3</v>
      </c>
      <c r="J1032" s="6" cm="1">
        <f t="array" ref="J1032">_xlfn.IFS(B1032=2015,I1032*$Q$1,B1032=2016,I1032*$Q$2,B1032=2017,I1032*$Q$3,B1032=2018,I1032*$Q$4,B1032=2019,I1032*$Q$5,B1032=2020,I1032*$Q$6,B1032=2021,I1032*$Q$7,B1032=2022,I1032*$Q$8)</f>
        <v>112628.08476059254</v>
      </c>
      <c r="K1032" s="7">
        <f t="shared" si="34"/>
        <v>308076.08476059255</v>
      </c>
      <c r="L1032">
        <f>IFERROR(VLOOKUP(G1032,'LEAID Match'!$A$2:$B$168,2,FALSE),"")</f>
        <v>4624390</v>
      </c>
    </row>
    <row r="1033" spans="1:12" x14ac:dyDescent="0.2">
      <c r="A1033">
        <f t="shared" si="33"/>
        <v>4624390</v>
      </c>
      <c r="B1033">
        <v>2017</v>
      </c>
      <c r="C1033" t="s">
        <v>208</v>
      </c>
      <c r="D1033" t="s">
        <v>212</v>
      </c>
      <c r="E1033" t="s">
        <v>211</v>
      </c>
      <c r="F1033" s="3">
        <v>952102</v>
      </c>
      <c r="G1033" s="3" t="s">
        <v>53</v>
      </c>
      <c r="H1033" s="4">
        <v>213544</v>
      </c>
      <c r="I1033" cm="1">
        <f t="array" ref="I1033">_xlfn.IFS(B1033=2015,H1033/$O$10,B1033=2016,H1033/$O$11,B1033=2017,H1033/$O$12,B1033=2018,H1033/$O$13,B1033=2019,H1033/$O$14,B1033=2020,H1033/$O$15,B1033=2021,H1033/$O$16,B1033=2022,H1033/$O$17)</f>
        <v>4.4089982181406912E-3</v>
      </c>
      <c r="J1033" s="6" cm="1">
        <f t="array" ref="J1033">_xlfn.IFS(B1033=2015,I1033*$Q$1,B1033=2016,I1033*$Q$2,B1033=2017,I1033*$Q$3,B1033=2018,I1033*$Q$4,B1033=2019,I1033*$Q$5,B1033=2020,I1033*$Q$6,B1033=2021,I1033*$Q$7,B1033=2022,I1033*$Q$8)</f>
        <v>115981.05253323937</v>
      </c>
      <c r="K1033" s="7">
        <f t="shared" si="34"/>
        <v>329525.05253323936</v>
      </c>
      <c r="L1033">
        <f>IFERROR(VLOOKUP(G1033,'LEAID Match'!$A$2:$B$168,2,FALSE),"")</f>
        <v>4624390</v>
      </c>
    </row>
    <row r="1034" spans="1:12" x14ac:dyDescent="0.2">
      <c r="A1034">
        <f t="shared" si="33"/>
        <v>4624390</v>
      </c>
      <c r="B1034">
        <v>2018</v>
      </c>
      <c r="C1034" t="s">
        <v>208</v>
      </c>
      <c r="D1034" t="s">
        <v>212</v>
      </c>
      <c r="E1034" t="s">
        <v>211</v>
      </c>
      <c r="F1034" s="3">
        <v>952102</v>
      </c>
      <c r="G1034" s="3" t="s">
        <v>53</v>
      </c>
      <c r="H1034" s="4">
        <v>226474</v>
      </c>
      <c r="I1034" cm="1">
        <f t="array" ref="I1034">_xlfn.IFS(B1034=2015,H1034/$O$10,B1034=2016,H1034/$O$11,B1034=2017,H1034/$O$12,B1034=2018,H1034/$O$13,B1034=2019,H1034/$O$14,B1034=2020,H1034/$O$15,B1034=2021,H1034/$O$16,B1034=2022,H1034/$O$17)</f>
        <v>4.5164813859120898E-3</v>
      </c>
      <c r="J1034" s="6" cm="1">
        <f t="array" ref="J1034">_xlfn.IFS(B1034=2015,I1034*$Q$1,B1034=2016,I1034*$Q$2,B1034=2017,I1034*$Q$3,B1034=2018,I1034*$Q$4,B1034=2019,I1034*$Q$5,B1034=2020,I1034*$Q$6,B1034=2021,I1034*$Q$7,B1034=2022,I1034*$Q$8)</f>
        <v>118583.87262056312</v>
      </c>
      <c r="K1034" s="7">
        <f t="shared" si="34"/>
        <v>345057.87262056314</v>
      </c>
      <c r="L1034">
        <f>IFERROR(VLOOKUP(G1034,'LEAID Match'!$A$2:$B$168,2,FALSE),"")</f>
        <v>4624390</v>
      </c>
    </row>
    <row r="1035" spans="1:12" x14ac:dyDescent="0.2">
      <c r="A1035">
        <f t="shared" si="33"/>
        <v>4624390</v>
      </c>
      <c r="B1035">
        <v>2019</v>
      </c>
      <c r="C1035" t="s">
        <v>208</v>
      </c>
      <c r="D1035" t="s">
        <v>212</v>
      </c>
      <c r="E1035" t="s">
        <v>211</v>
      </c>
      <c r="F1035" s="3">
        <v>952102</v>
      </c>
      <c r="G1035" s="3" t="s">
        <v>53</v>
      </c>
      <c r="H1035" s="4">
        <v>235567</v>
      </c>
      <c r="I1035" cm="1">
        <f t="array" ref="I1035">_xlfn.IFS(B1035=2015,H1035/$O$10,B1035=2016,H1035/$O$11,B1035=2017,H1035/$O$12,B1035=2018,H1035/$O$13,B1035=2019,H1035/$O$14,B1035=2020,H1035/$O$15,B1035=2021,H1035/$O$16,B1035=2022,H1035/$O$17)</f>
        <v>4.6134693988263576E-3</v>
      </c>
      <c r="J1035" s="6" cm="1">
        <f t="array" ref="J1035">_xlfn.IFS(B1035=2015,I1035*$Q$1,B1035=2016,I1035*$Q$2,B1035=2017,I1035*$Q$3,B1035=2018,I1035*$Q$4,B1035=2019,I1035*$Q$5,B1035=2020,I1035*$Q$6,B1035=2021,I1035*$Q$7,B1035=2022,I1035*$Q$8)</f>
        <v>122014.52431933714</v>
      </c>
      <c r="K1035" s="7">
        <f t="shared" si="34"/>
        <v>357581.52431933716</v>
      </c>
      <c r="L1035">
        <f>IFERROR(VLOOKUP(G1035,'LEAID Match'!$A$2:$B$168,2,FALSE),"")</f>
        <v>4624390</v>
      </c>
    </row>
    <row r="1036" spans="1:12" x14ac:dyDescent="0.2">
      <c r="A1036">
        <f t="shared" si="33"/>
        <v>4624390</v>
      </c>
      <c r="B1036">
        <v>2020</v>
      </c>
      <c r="C1036" t="s">
        <v>208</v>
      </c>
      <c r="D1036" t="s">
        <v>212</v>
      </c>
      <c r="E1036" t="s">
        <v>211</v>
      </c>
      <c r="F1036" s="1">
        <v>952102</v>
      </c>
      <c r="G1036" s="3" t="s">
        <v>53</v>
      </c>
      <c r="H1036" s="2">
        <v>248052</v>
      </c>
      <c r="I1036" cm="1">
        <f t="array" ref="I1036">_xlfn.IFS(B1036=2015,H1036/$O$10,B1036=2016,H1036/$O$11,B1036=2017,H1036/$O$12,B1036=2018,H1036/$O$13,B1036=2019,H1036/$O$14,B1036=2020,H1036/$O$15,B1036=2021,H1036/$O$16,B1036=2022,H1036/$O$17)</f>
        <v>4.6980502860247686E-3</v>
      </c>
      <c r="J1036" s="6" cm="1">
        <f t="array" ref="J1036">_xlfn.IFS(B1036=2015,I1036*$Q$1,B1036=2016,I1036*$Q$2,B1036=2017,I1036*$Q$3,B1036=2018,I1036*$Q$4,B1036=2019,I1036*$Q$5,B1036=2020,I1036*$Q$6,B1036=2021,I1036*$Q$7,B1036=2022,I1036*$Q$8)</f>
        <v>127741.07252662953</v>
      </c>
      <c r="K1036" s="7">
        <f t="shared" si="34"/>
        <v>375793.07252662955</v>
      </c>
      <c r="L1036">
        <f>IFERROR(VLOOKUP(G1036,'LEAID Match'!$A$2:$B$168,2,FALSE),"")</f>
        <v>4624390</v>
      </c>
    </row>
    <row r="1037" spans="1:12" x14ac:dyDescent="0.2">
      <c r="A1037">
        <f t="shared" si="33"/>
        <v>4624390</v>
      </c>
      <c r="B1037">
        <v>2021</v>
      </c>
      <c r="C1037" t="s">
        <v>208</v>
      </c>
      <c r="D1037" t="s">
        <v>212</v>
      </c>
      <c r="E1037" t="s">
        <v>211</v>
      </c>
      <c r="F1037" s="3">
        <v>952102</v>
      </c>
      <c r="G1037" s="3" t="s">
        <v>53</v>
      </c>
      <c r="H1037" s="4">
        <v>268495</v>
      </c>
      <c r="I1037" cm="1">
        <f t="array" ref="I1037">_xlfn.IFS(B1037=2015,H1037/$O$10,B1037=2016,H1037/$O$11,B1037=2017,H1037/$O$12,B1037=2018,H1037/$O$13,B1037=2019,H1037/$O$14,B1037=2020,H1037/$O$15,B1037=2021,H1037/$O$16,B1037=2022,H1037/$O$17)</f>
        <v>4.8494407542453086E-3</v>
      </c>
      <c r="J1037" s="6" cm="1">
        <f t="array" ref="J1037">_xlfn.IFS(B1037=2015,I1037*$Q$1,B1037=2016,I1037*$Q$2,B1037=2017,I1037*$Q$3,B1037=2018,I1037*$Q$4,B1037=2019,I1037*$Q$5,B1037=2020,I1037*$Q$6,B1037=2021,I1037*$Q$7,B1037=2022,I1037*$Q$8)</f>
        <v>135000.34658045205</v>
      </c>
      <c r="K1037" s="7">
        <f t="shared" si="34"/>
        <v>403495.34658045205</v>
      </c>
      <c r="L1037">
        <f>IFERROR(VLOOKUP(G1037,'LEAID Match'!$A$2:$B$168,2,FALSE),"")</f>
        <v>4624390</v>
      </c>
    </row>
    <row r="1038" spans="1:12" x14ac:dyDescent="0.2">
      <c r="A1038">
        <f t="shared" si="33"/>
        <v>4624390</v>
      </c>
      <c r="B1038">
        <v>2022</v>
      </c>
      <c r="C1038" t="s">
        <v>208</v>
      </c>
      <c r="D1038" t="s">
        <v>212</v>
      </c>
      <c r="E1038" t="s">
        <v>211</v>
      </c>
      <c r="F1038" s="3">
        <v>952102</v>
      </c>
      <c r="G1038" s="3" t="s">
        <v>53</v>
      </c>
      <c r="H1038" s="4">
        <v>273743</v>
      </c>
      <c r="I1038" cm="1">
        <f t="array" ref="I1038">_xlfn.IFS(B1038=2015,H1038/$O$10,B1038=2016,H1038/$O$11,B1038=2017,H1038/$O$12,B1038=2018,H1038/$O$13,B1038=2019,H1038/$O$14,B1038=2020,H1038/$O$15,B1038=2021,H1038/$O$16,B1038=2022,H1038/$O$17)</f>
        <v>4.7408405830072012E-3</v>
      </c>
      <c r="J1038" s="6" cm="1">
        <f t="array" ref="J1038">_xlfn.IFS(B1038=2015,I1038*$Q$1,B1038=2016,I1038*$Q$2,B1038=2017,I1038*$Q$3,B1038=2018,I1038*$Q$4,B1038=2019,I1038*$Q$5,B1038=2020,I1038*$Q$6,B1038=2021,I1038*$Q$7,B1038=2022,I1038*$Q$8)</f>
        <v>139655.42588883464</v>
      </c>
      <c r="K1038" s="7">
        <f t="shared" si="34"/>
        <v>413398.42588883464</v>
      </c>
      <c r="L1038">
        <f>IFERROR(VLOOKUP(G1038,'LEAID Match'!$A$2:$B$168,2,FALSE),"")</f>
        <v>4624390</v>
      </c>
    </row>
    <row r="1039" spans="1:12" x14ac:dyDescent="0.2">
      <c r="A1039">
        <f t="shared" si="33"/>
        <v>4614100</v>
      </c>
      <c r="B1039">
        <v>2015</v>
      </c>
      <c r="C1039" t="s">
        <v>208</v>
      </c>
      <c r="D1039" t="s">
        <v>212</v>
      </c>
      <c r="E1039" t="s">
        <v>211</v>
      </c>
      <c r="F1039" s="3">
        <v>952103</v>
      </c>
      <c r="G1039" s="3" t="s">
        <v>177</v>
      </c>
      <c r="H1039" s="4">
        <v>77790</v>
      </c>
      <c r="I1039" cm="1">
        <f t="array" ref="I1039">_xlfn.IFS(B1039=2015,H1039/$O$10,B1039=2016,H1039/$O$11,B1039=2017,H1039/$O$12,B1039=2018,H1039/$O$13,B1039=2019,H1039/$O$14,B1039=2020,H1039/$O$15,B1039=2021,H1039/$O$16,B1039=2022,H1039/$O$17)</f>
        <v>1.8195309277804341E-3</v>
      </c>
      <c r="J1039" s="6" cm="1">
        <f t="array" ref="J1039">_xlfn.IFS(B1039=2015,I1039*$Q$1,B1039=2016,I1039*$Q$2,B1039=2017,I1039*$Q$3,B1039=2018,I1039*$Q$4,B1039=2019,I1039*$Q$5,B1039=2020,I1039*$Q$6,B1039=2021,I1039*$Q$7,B1039=2022,I1039*$Q$8)</f>
        <v>44746.186603270238</v>
      </c>
      <c r="K1039" s="7">
        <f t="shared" si="34"/>
        <v>122536.18660327024</v>
      </c>
      <c r="L1039">
        <f>IFERROR(VLOOKUP(G1039,'LEAID Match'!$A$2:$B$168,2,FALSE),"")</f>
        <v>4614100</v>
      </c>
    </row>
    <row r="1040" spans="1:12" x14ac:dyDescent="0.2">
      <c r="A1040">
        <f t="shared" si="33"/>
        <v>4614100</v>
      </c>
      <c r="B1040">
        <v>2016</v>
      </c>
      <c r="C1040" t="s">
        <v>208</v>
      </c>
      <c r="D1040" t="s">
        <v>212</v>
      </c>
      <c r="E1040" t="s">
        <v>211</v>
      </c>
      <c r="F1040" s="3">
        <v>952103</v>
      </c>
      <c r="G1040" s="3" t="s">
        <v>177</v>
      </c>
      <c r="H1040" s="4">
        <v>77641</v>
      </c>
      <c r="I1040" cm="1">
        <f t="array" ref="I1040">_xlfn.IFS(B1040=2015,H1040/$O$10,B1040=2016,H1040/$O$11,B1040=2017,H1040/$O$12,B1040=2018,H1040/$O$13,B1040=2019,H1040/$O$14,B1040=2020,H1040/$O$15,B1040=2021,H1040/$O$16,B1040=2022,H1040/$O$17)</f>
        <v>1.7610578731644118E-3</v>
      </c>
      <c r="J1040" s="6" cm="1">
        <f t="array" ref="J1040">_xlfn.IFS(B1040=2015,I1040*$Q$1,B1040=2016,I1040*$Q$2,B1040=2017,I1040*$Q$3,B1040=2018,I1040*$Q$4,B1040=2019,I1040*$Q$5,B1040=2020,I1040*$Q$6,B1040=2021,I1040*$Q$7,B1040=2022,I1040*$Q$8)</f>
        <v>44741.092919329778</v>
      </c>
      <c r="K1040" s="7">
        <f t="shared" si="34"/>
        <v>122382.09291932978</v>
      </c>
      <c r="L1040">
        <f>IFERROR(VLOOKUP(G1040,'LEAID Match'!$A$2:$B$168,2,FALSE),"")</f>
        <v>4614100</v>
      </c>
    </row>
    <row r="1041" spans="1:12" x14ac:dyDescent="0.2">
      <c r="A1041">
        <f t="shared" si="33"/>
        <v>4614100</v>
      </c>
      <c r="B1041">
        <v>2017</v>
      </c>
      <c r="C1041" t="s">
        <v>208</v>
      </c>
      <c r="D1041" t="s">
        <v>212</v>
      </c>
      <c r="E1041" t="s">
        <v>211</v>
      </c>
      <c r="F1041" s="3">
        <v>952103</v>
      </c>
      <c r="G1041" s="3" t="s">
        <v>177</v>
      </c>
      <c r="H1041" s="4">
        <v>86544</v>
      </c>
      <c r="I1041" cm="1">
        <f t="array" ref="I1041">_xlfn.IFS(B1041=2015,H1041/$O$10,B1041=2016,H1041/$O$11,B1041=2017,H1041/$O$12,B1041=2018,H1041/$O$13,B1041=2019,H1041/$O$14,B1041=2020,H1041/$O$15,B1041=2021,H1041/$O$16,B1041=2022,H1041/$O$17)</f>
        <v>1.7868558320101148E-3</v>
      </c>
      <c r="J1041" s="6" cm="1">
        <f t="array" ref="J1041">_xlfn.IFS(B1041=2015,I1041*$Q$1,B1041=2016,I1041*$Q$2,B1041=2017,I1041*$Q$3,B1041=2018,I1041*$Q$4,B1041=2019,I1041*$Q$5,B1041=2020,I1041*$Q$6,B1041=2021,I1041*$Q$7,B1041=2022,I1041*$Q$8)</f>
        <v>47004.196842040365</v>
      </c>
      <c r="K1041" s="7">
        <f t="shared" si="34"/>
        <v>133548.19684204037</v>
      </c>
      <c r="L1041">
        <f>IFERROR(VLOOKUP(G1041,'LEAID Match'!$A$2:$B$168,2,FALSE),"")</f>
        <v>4614100</v>
      </c>
    </row>
    <row r="1042" spans="1:12" x14ac:dyDescent="0.2">
      <c r="A1042">
        <f t="shared" si="33"/>
        <v>4614100</v>
      </c>
      <c r="B1042">
        <v>2018</v>
      </c>
      <c r="C1042" t="s">
        <v>208</v>
      </c>
      <c r="D1042" t="s">
        <v>212</v>
      </c>
      <c r="E1042" t="s">
        <v>211</v>
      </c>
      <c r="F1042" s="3">
        <v>952103</v>
      </c>
      <c r="G1042" s="3" t="s">
        <v>177</v>
      </c>
      <c r="H1042" s="4">
        <v>89558</v>
      </c>
      <c r="I1042" cm="1">
        <f t="array" ref="I1042">_xlfn.IFS(B1042=2015,H1042/$O$10,B1042=2016,H1042/$O$11,B1042=2017,H1042/$O$12,B1042=2018,H1042/$O$13,B1042=2019,H1042/$O$14,B1042=2020,H1042/$O$15,B1042=2021,H1042/$O$16,B1042=2022,H1042/$O$17)</f>
        <v>1.7860197636793403E-3</v>
      </c>
      <c r="J1042" s="6" cm="1">
        <f t="array" ref="J1042">_xlfn.IFS(B1042=2015,I1042*$Q$1,B1042=2016,I1042*$Q$2,B1042=2017,I1042*$Q$3,B1042=2018,I1042*$Q$4,B1042=2019,I1042*$Q$5,B1042=2020,I1042*$Q$6,B1042=2021,I1042*$Q$7,B1042=2022,I1042*$Q$8)</f>
        <v>46893.393785389897</v>
      </c>
      <c r="K1042" s="7">
        <f t="shared" si="34"/>
        <v>136451.3937853899</v>
      </c>
      <c r="L1042">
        <f>IFERROR(VLOOKUP(G1042,'LEAID Match'!$A$2:$B$168,2,FALSE),"")</f>
        <v>4614100</v>
      </c>
    </row>
    <row r="1043" spans="1:12" x14ac:dyDescent="0.2">
      <c r="A1043">
        <f t="shared" si="33"/>
        <v>4614100</v>
      </c>
      <c r="B1043">
        <v>2019</v>
      </c>
      <c r="C1043" t="s">
        <v>208</v>
      </c>
      <c r="D1043" t="s">
        <v>212</v>
      </c>
      <c r="E1043" t="s">
        <v>211</v>
      </c>
      <c r="F1043" s="3">
        <v>952103</v>
      </c>
      <c r="G1043" s="3" t="s">
        <v>177</v>
      </c>
      <c r="H1043" s="4">
        <v>86073</v>
      </c>
      <c r="I1043" cm="1">
        <f t="array" ref="I1043">_xlfn.IFS(B1043=2015,H1043/$O$10,B1043=2016,H1043/$O$11,B1043=2017,H1043/$O$12,B1043=2018,H1043/$O$13,B1043=2019,H1043/$O$14,B1043=2020,H1043/$O$15,B1043=2021,H1043/$O$16,B1043=2022,H1043/$O$17)</f>
        <v>1.6856994042679198E-3</v>
      </c>
      <c r="J1043" s="6" cm="1">
        <f t="array" ref="J1043">_xlfn.IFS(B1043=2015,I1043*$Q$1,B1043=2016,I1043*$Q$2,B1043=2017,I1043*$Q$3,B1043=2018,I1043*$Q$4,B1043=2019,I1043*$Q$5,B1043=2020,I1043*$Q$6,B1043=2021,I1043*$Q$7,B1043=2022,I1043*$Q$8)</f>
        <v>44582.459137902617</v>
      </c>
      <c r="K1043" s="7">
        <f t="shared" si="34"/>
        <v>130655.45913790262</v>
      </c>
      <c r="L1043">
        <f>IFERROR(VLOOKUP(G1043,'LEAID Match'!$A$2:$B$168,2,FALSE),"")</f>
        <v>4614100</v>
      </c>
    </row>
    <row r="1044" spans="1:12" x14ac:dyDescent="0.2">
      <c r="A1044">
        <f t="shared" si="33"/>
        <v>4614100</v>
      </c>
      <c r="B1044">
        <v>2020</v>
      </c>
      <c r="C1044" t="s">
        <v>208</v>
      </c>
      <c r="D1044" t="s">
        <v>212</v>
      </c>
      <c r="E1044" t="s">
        <v>211</v>
      </c>
      <c r="F1044" s="1">
        <v>952103</v>
      </c>
      <c r="G1044" s="3" t="s">
        <v>177</v>
      </c>
      <c r="H1044" s="2">
        <v>93525</v>
      </c>
      <c r="I1044" cm="1">
        <f t="array" ref="I1044">_xlfn.IFS(B1044=2015,H1044/$O$10,B1044=2016,H1044/$O$11,B1044=2017,H1044/$O$12,B1044=2018,H1044/$O$13,B1044=2019,H1044/$O$14,B1044=2020,H1044/$O$15,B1044=2021,H1044/$O$16,B1044=2022,H1044/$O$17)</f>
        <v>1.7713429160033641E-3</v>
      </c>
      <c r="J1044" s="6" cm="1">
        <f t="array" ref="J1044">_xlfn.IFS(B1044=2015,I1044*$Q$1,B1044=2016,I1044*$Q$2,B1044=2017,I1044*$Q$3,B1044=2018,I1044*$Q$4,B1044=2019,I1044*$Q$5,B1044=2020,I1044*$Q$6,B1044=2021,I1044*$Q$7,B1044=2022,I1044*$Q$8)</f>
        <v>48163.223066345068</v>
      </c>
      <c r="K1044" s="7">
        <f t="shared" si="34"/>
        <v>141688.22306634506</v>
      </c>
      <c r="L1044">
        <f>IFERROR(VLOOKUP(G1044,'LEAID Match'!$A$2:$B$168,2,FALSE),"")</f>
        <v>4614100</v>
      </c>
    </row>
    <row r="1045" spans="1:12" x14ac:dyDescent="0.2">
      <c r="A1045">
        <f t="shared" si="33"/>
        <v>4614100</v>
      </c>
      <c r="B1045">
        <v>2021</v>
      </c>
      <c r="C1045" t="s">
        <v>208</v>
      </c>
      <c r="D1045" t="s">
        <v>212</v>
      </c>
      <c r="E1045" t="s">
        <v>211</v>
      </c>
      <c r="F1045" s="3">
        <v>952103</v>
      </c>
      <c r="G1045" s="3" t="s">
        <v>177</v>
      </c>
      <c r="H1045" s="4">
        <v>101897</v>
      </c>
      <c r="I1045" cm="1">
        <f t="array" ref="I1045">_xlfn.IFS(B1045=2015,H1045/$O$10,B1045=2016,H1045/$O$11,B1045=2017,H1045/$O$12,B1045=2018,H1045/$O$13,B1045=2019,H1045/$O$14,B1045=2020,H1045/$O$15,B1045=2021,H1045/$O$16,B1045=2022,H1045/$O$17)</f>
        <v>1.8404196150220086E-3</v>
      </c>
      <c r="J1045" s="6" cm="1">
        <f t="array" ref="J1045">_xlfn.IFS(B1045=2015,I1045*$Q$1,B1045=2016,I1045*$Q$2,B1045=2017,I1045*$Q$3,B1045=2018,I1045*$Q$4,B1045=2019,I1045*$Q$5,B1045=2020,I1045*$Q$6,B1045=2021,I1045*$Q$7,B1045=2022,I1045*$Q$8)</f>
        <v>51234.214102714475</v>
      </c>
      <c r="K1045" s="7">
        <f t="shared" si="34"/>
        <v>153131.21410271447</v>
      </c>
      <c r="L1045">
        <f>IFERROR(VLOOKUP(G1045,'LEAID Match'!$A$2:$B$168,2,FALSE),"")</f>
        <v>4614100</v>
      </c>
    </row>
    <row r="1046" spans="1:12" x14ac:dyDescent="0.2">
      <c r="A1046">
        <f t="shared" si="33"/>
        <v>4614100</v>
      </c>
      <c r="B1046">
        <v>2022</v>
      </c>
      <c r="C1046" t="s">
        <v>208</v>
      </c>
      <c r="D1046" t="s">
        <v>212</v>
      </c>
      <c r="E1046" t="s">
        <v>211</v>
      </c>
      <c r="F1046" s="3">
        <v>952103</v>
      </c>
      <c r="G1046" s="3" t="s">
        <v>177</v>
      </c>
      <c r="H1046" s="4">
        <v>103457</v>
      </c>
      <c r="I1046" cm="1">
        <f t="array" ref="I1046">_xlfn.IFS(B1046=2015,H1046/$O$10,B1046=2016,H1046/$O$11,B1046=2017,H1046/$O$12,B1046=2018,H1046/$O$13,B1046=2019,H1046/$O$14,B1046=2020,H1046/$O$15,B1046=2021,H1046/$O$16,B1046=2022,H1046/$O$17)</f>
        <v>1.7917285344143084E-3</v>
      </c>
      <c r="J1046" s="6" cm="1">
        <f t="array" ref="J1046">_xlfn.IFS(B1046=2015,I1046*$Q$1,B1046=2016,I1046*$Q$2,B1046=2017,I1046*$Q$3,B1046=2018,I1046*$Q$4,B1046=2019,I1046*$Q$5,B1046=2020,I1046*$Q$6,B1046=2021,I1046*$Q$7,B1046=2022,I1046*$Q$8)</f>
        <v>52780.642413435839</v>
      </c>
      <c r="K1046" s="7">
        <f t="shared" si="34"/>
        <v>156237.64241343585</v>
      </c>
      <c r="L1046">
        <f>IFERROR(VLOOKUP(G1046,'LEAID Match'!$A$2:$B$168,2,FALSE),"")</f>
        <v>4614100</v>
      </c>
    </row>
    <row r="1047" spans="1:12" x14ac:dyDescent="0.2">
      <c r="A1047">
        <f t="shared" si="33"/>
        <v>4641520</v>
      </c>
      <c r="B1047">
        <v>2015</v>
      </c>
      <c r="C1047" t="s">
        <v>208</v>
      </c>
      <c r="D1047" t="s">
        <v>212</v>
      </c>
      <c r="E1047" t="s">
        <v>211</v>
      </c>
      <c r="F1047" s="3">
        <v>953100</v>
      </c>
      <c r="G1047" s="3" t="s">
        <v>86</v>
      </c>
      <c r="H1047" s="4">
        <v>87071</v>
      </c>
      <c r="I1047" cm="1">
        <f t="array" ref="I1047">_xlfn.IFS(B1047=2015,H1047/$O$10,B1047=2016,H1047/$O$11,B1047=2017,H1047/$O$12,B1047=2018,H1047/$O$13,B1047=2019,H1047/$O$14,B1047=2020,H1047/$O$15,B1047=2021,H1047/$O$16,B1047=2022,H1047/$O$17)</f>
        <v>2.0366162413262652E-3</v>
      </c>
      <c r="J1047" s="6" cm="1">
        <f t="array" ref="J1047">_xlfn.IFS(B1047=2015,I1047*$Q$1,B1047=2016,I1047*$Q$2,B1047=2017,I1047*$Q$3,B1047=2018,I1047*$Q$4,B1047=2019,I1047*$Q$5,B1047=2020,I1047*$Q$6,B1047=2021,I1047*$Q$7,B1047=2022,I1047*$Q$8)</f>
        <v>50084.782282212916</v>
      </c>
      <c r="K1047" s="7">
        <f t="shared" si="34"/>
        <v>137155.78228221292</v>
      </c>
      <c r="L1047">
        <f>IFERROR(VLOOKUP(G1047,'LEAID Match'!$A$2:$B$168,2,FALSE),"")</f>
        <v>4641520</v>
      </c>
    </row>
    <row r="1048" spans="1:12" x14ac:dyDescent="0.2">
      <c r="A1048">
        <f t="shared" si="33"/>
        <v>4641520</v>
      </c>
      <c r="B1048">
        <v>2016</v>
      </c>
      <c r="C1048" t="s">
        <v>208</v>
      </c>
      <c r="D1048" t="s">
        <v>212</v>
      </c>
      <c r="E1048" t="s">
        <v>211</v>
      </c>
      <c r="F1048" s="3">
        <v>953100</v>
      </c>
      <c r="G1048" s="3" t="s">
        <v>86</v>
      </c>
      <c r="H1048" s="4">
        <v>90282</v>
      </c>
      <c r="I1048" cm="1">
        <f t="array" ref="I1048">_xlfn.IFS(B1048=2015,H1048/$O$10,B1048=2016,H1048/$O$11,B1048=2017,H1048/$O$12,B1048=2018,H1048/$O$13,B1048=2019,H1048/$O$14,B1048=2020,H1048/$O$15,B1048=2021,H1048/$O$16,B1048=2022,H1048/$O$17)</f>
        <v>2.0477818022053996E-3</v>
      </c>
      <c r="J1048" s="6" cm="1">
        <f t="array" ref="J1048">_xlfn.IFS(B1048=2015,I1048*$Q$1,B1048=2016,I1048*$Q$2,B1048=2017,I1048*$Q$3,B1048=2018,I1048*$Q$4,B1048=2019,I1048*$Q$5,B1048=2020,I1048*$Q$6,B1048=2021,I1048*$Q$7,B1048=2022,I1048*$Q$8)</f>
        <v>52025.545149378951</v>
      </c>
      <c r="K1048" s="7">
        <f t="shared" si="34"/>
        <v>142307.54514937894</v>
      </c>
      <c r="L1048">
        <f>IFERROR(VLOOKUP(G1048,'LEAID Match'!$A$2:$B$168,2,FALSE),"")</f>
        <v>4641520</v>
      </c>
    </row>
    <row r="1049" spans="1:12" x14ac:dyDescent="0.2">
      <c r="A1049">
        <f t="shared" si="33"/>
        <v>4641520</v>
      </c>
      <c r="B1049">
        <v>2017</v>
      </c>
      <c r="C1049" t="s">
        <v>208</v>
      </c>
      <c r="D1049" t="s">
        <v>212</v>
      </c>
      <c r="E1049" t="s">
        <v>211</v>
      </c>
      <c r="F1049" s="3">
        <v>953100</v>
      </c>
      <c r="G1049" s="3" t="s">
        <v>86</v>
      </c>
      <c r="H1049" s="4">
        <v>104009</v>
      </c>
      <c r="I1049" cm="1">
        <f t="array" ref="I1049">_xlfn.IFS(B1049=2015,H1049/$O$10,B1049=2016,H1049/$O$11,B1049=2017,H1049/$O$12,B1049=2018,H1049/$O$13,B1049=2019,H1049/$O$14,B1049=2020,H1049/$O$15,B1049=2021,H1049/$O$16,B1049=2022,H1049/$O$17)</f>
        <v>2.1474520270791742E-3</v>
      </c>
      <c r="J1049" s="6" cm="1">
        <f t="array" ref="J1049">_xlfn.IFS(B1049=2015,I1049*$Q$1,B1049=2016,I1049*$Q$2,B1049=2017,I1049*$Q$3,B1049=2018,I1049*$Q$4,B1049=2019,I1049*$Q$5,B1049=2020,I1049*$Q$6,B1049=2021,I1049*$Q$7,B1049=2022,I1049*$Q$8)</f>
        <v>56489.872311700135</v>
      </c>
      <c r="K1049" s="7">
        <f t="shared" si="34"/>
        <v>160498.87231170014</v>
      </c>
      <c r="L1049">
        <f>IFERROR(VLOOKUP(G1049,'LEAID Match'!$A$2:$B$168,2,FALSE),"")</f>
        <v>4641520</v>
      </c>
    </row>
    <row r="1050" spans="1:12" x14ac:dyDescent="0.2">
      <c r="A1050">
        <f t="shared" si="33"/>
        <v>4641520</v>
      </c>
      <c r="B1050">
        <v>2018</v>
      </c>
      <c r="C1050" t="s">
        <v>208</v>
      </c>
      <c r="D1050" t="s">
        <v>212</v>
      </c>
      <c r="E1050" t="s">
        <v>211</v>
      </c>
      <c r="F1050" s="3">
        <v>953100</v>
      </c>
      <c r="G1050" s="3" t="s">
        <v>86</v>
      </c>
      <c r="H1050" s="4">
        <v>101629</v>
      </c>
      <c r="I1050" cm="1">
        <f t="array" ref="I1050">_xlfn.IFS(B1050=2015,H1050/$O$10,B1050=2016,H1050/$O$11,B1050=2017,H1050/$O$12,B1050=2018,H1050/$O$13,B1050=2019,H1050/$O$14,B1050=2020,H1050/$O$15,B1050=2021,H1050/$O$16,B1050=2022,H1050/$O$17)</f>
        <v>2.0267469412332531E-3</v>
      </c>
      <c r="J1050" s="6" cm="1">
        <f t="array" ref="J1050">_xlfn.IFS(B1050=2015,I1050*$Q$1,B1050=2016,I1050*$Q$2,B1050=2017,I1050*$Q$3,B1050=2018,I1050*$Q$4,B1050=2019,I1050*$Q$5,B1050=2020,I1050*$Q$6,B1050=2021,I1050*$Q$7,B1050=2022,I1050*$Q$8)</f>
        <v>53213.880580354518</v>
      </c>
      <c r="K1050" s="7">
        <f t="shared" si="34"/>
        <v>154842.88058035451</v>
      </c>
      <c r="L1050">
        <f>IFERROR(VLOOKUP(G1050,'LEAID Match'!$A$2:$B$168,2,FALSE),"")</f>
        <v>4641520</v>
      </c>
    </row>
    <row r="1051" spans="1:12" x14ac:dyDescent="0.2">
      <c r="A1051">
        <f t="shared" si="33"/>
        <v>4641520</v>
      </c>
      <c r="B1051">
        <v>2019</v>
      </c>
      <c r="C1051" t="s">
        <v>208</v>
      </c>
      <c r="D1051" t="s">
        <v>212</v>
      </c>
      <c r="E1051" t="s">
        <v>211</v>
      </c>
      <c r="F1051" s="3">
        <v>953100</v>
      </c>
      <c r="G1051" s="3" t="s">
        <v>86</v>
      </c>
      <c r="H1051" s="4">
        <v>102237</v>
      </c>
      <c r="I1051" cm="1">
        <f t="array" ref="I1051">_xlfn.IFS(B1051=2015,H1051/$O$10,B1051=2016,H1051/$O$11,B1051=2017,H1051/$O$12,B1051=2018,H1051/$O$13,B1051=2019,H1051/$O$14,B1051=2020,H1051/$O$15,B1051=2021,H1051/$O$16,B1051=2022,H1051/$O$17)</f>
        <v>2.0022637760289444E-3</v>
      </c>
      <c r="J1051" s="6" cm="1">
        <f t="array" ref="J1051">_xlfn.IFS(B1051=2015,I1051*$Q$1,B1051=2016,I1051*$Q$2,B1051=2017,I1051*$Q$3,B1051=2018,I1051*$Q$4,B1051=2019,I1051*$Q$5,B1051=2020,I1051*$Q$6,B1051=2021,I1051*$Q$7,B1051=2022,I1051*$Q$8)</f>
        <v>52954.78111465559</v>
      </c>
      <c r="K1051" s="7">
        <f t="shared" si="34"/>
        <v>155191.78111465561</v>
      </c>
      <c r="L1051">
        <f>IFERROR(VLOOKUP(G1051,'LEAID Match'!$A$2:$B$168,2,FALSE),"")</f>
        <v>4641520</v>
      </c>
    </row>
    <row r="1052" spans="1:12" x14ac:dyDescent="0.2">
      <c r="A1052">
        <f t="shared" si="33"/>
        <v>4641520</v>
      </c>
      <c r="B1052">
        <v>2020</v>
      </c>
      <c r="C1052" t="s">
        <v>208</v>
      </c>
      <c r="D1052" t="s">
        <v>212</v>
      </c>
      <c r="E1052" t="s">
        <v>211</v>
      </c>
      <c r="F1052" s="1">
        <v>953100</v>
      </c>
      <c r="G1052" s="3" t="s">
        <v>86</v>
      </c>
      <c r="H1052" s="2">
        <v>104356</v>
      </c>
      <c r="I1052" cm="1">
        <f t="array" ref="I1052">_xlfn.IFS(B1052=2015,H1052/$O$10,B1052=2016,H1052/$O$11,B1052=2017,H1052/$O$12,B1052=2018,H1052/$O$13,B1052=2019,H1052/$O$14,B1052=2020,H1052/$O$15,B1052=2021,H1052/$O$16,B1052=2022,H1052/$O$17)</f>
        <v>1.9764796721993805E-3</v>
      </c>
      <c r="J1052" s="6" cm="1">
        <f t="array" ref="J1052">_xlfn.IFS(B1052=2015,I1052*$Q$1,B1052=2016,I1052*$Q$2,B1052=2017,I1052*$Q$3,B1052=2018,I1052*$Q$4,B1052=2019,I1052*$Q$5,B1052=2020,I1052*$Q$6,B1052=2021,I1052*$Q$7,B1052=2022,I1052*$Q$8)</f>
        <v>53740.938853905434</v>
      </c>
      <c r="K1052" s="7">
        <f t="shared" si="34"/>
        <v>158096.93885390542</v>
      </c>
      <c r="L1052">
        <f>IFERROR(VLOOKUP(G1052,'LEAID Match'!$A$2:$B$168,2,FALSE),"")</f>
        <v>4641520</v>
      </c>
    </row>
    <row r="1053" spans="1:12" x14ac:dyDescent="0.2">
      <c r="A1053">
        <f t="shared" si="33"/>
        <v>4641520</v>
      </c>
      <c r="B1053">
        <v>2021</v>
      </c>
      <c r="C1053" t="s">
        <v>208</v>
      </c>
      <c r="D1053" t="s">
        <v>212</v>
      </c>
      <c r="E1053" t="s">
        <v>211</v>
      </c>
      <c r="F1053" s="3">
        <v>953100</v>
      </c>
      <c r="G1053" s="3" t="s">
        <v>86</v>
      </c>
      <c r="H1053" s="4">
        <v>115745</v>
      </c>
      <c r="I1053" cm="1">
        <f t="array" ref="I1053">_xlfn.IFS(B1053=2015,H1053/$O$10,B1053=2016,H1053/$O$11,B1053=2017,H1053/$O$12,B1053=2018,H1053/$O$13,B1053=2019,H1053/$O$14,B1053=2020,H1053/$O$15,B1053=2021,H1053/$O$16,B1053=2022,H1053/$O$17)</f>
        <v>2.0905362114755329E-3</v>
      </c>
      <c r="J1053" s="6" cm="1">
        <f t="array" ref="J1053">_xlfn.IFS(B1053=2015,I1053*$Q$1,B1053=2016,I1053*$Q$2,B1053=2017,I1053*$Q$3,B1053=2018,I1053*$Q$4,B1053=2019,I1053*$Q$5,B1053=2020,I1053*$Q$6,B1053=2021,I1053*$Q$7,B1053=2022,I1053*$Q$8)</f>
        <v>58197.043203614303</v>
      </c>
      <c r="K1053" s="7">
        <f t="shared" si="34"/>
        <v>173942.0432036143</v>
      </c>
      <c r="L1053">
        <f>IFERROR(VLOOKUP(G1053,'LEAID Match'!$A$2:$B$168,2,FALSE),"")</f>
        <v>4641520</v>
      </c>
    </row>
    <row r="1054" spans="1:12" x14ac:dyDescent="0.2">
      <c r="A1054">
        <f t="shared" si="33"/>
        <v>4641520</v>
      </c>
      <c r="B1054">
        <v>2022</v>
      </c>
      <c r="C1054" t="s">
        <v>208</v>
      </c>
      <c r="D1054" t="s">
        <v>212</v>
      </c>
      <c r="E1054" t="s">
        <v>211</v>
      </c>
      <c r="F1054" s="3">
        <v>953100</v>
      </c>
      <c r="G1054" s="3" t="s">
        <v>86</v>
      </c>
      <c r="H1054" s="4">
        <v>124265</v>
      </c>
      <c r="I1054" cm="1">
        <f t="array" ref="I1054">_xlfn.IFS(B1054=2015,H1054/$O$10,B1054=2016,H1054/$O$11,B1054=2017,H1054/$O$12,B1054=2018,H1054/$O$13,B1054=2019,H1054/$O$14,B1054=2020,H1054/$O$15,B1054=2021,H1054/$O$16,B1054=2022,H1054/$O$17)</f>
        <v>2.1520935879543583E-3</v>
      </c>
      <c r="J1054" s="6" cm="1">
        <f t="array" ref="J1054">_xlfn.IFS(B1054=2015,I1054*$Q$1,B1054=2016,I1054*$Q$2,B1054=2017,I1054*$Q$3,B1054=2018,I1054*$Q$4,B1054=2019,I1054*$Q$5,B1054=2020,I1054*$Q$6,B1054=2021,I1054*$Q$7,B1054=2022,I1054*$Q$8)</f>
        <v>63396.256700905738</v>
      </c>
      <c r="K1054" s="7">
        <f t="shared" si="34"/>
        <v>187661.25670090574</v>
      </c>
      <c r="L1054">
        <f>IFERROR(VLOOKUP(G1054,'LEAID Match'!$A$2:$B$168,2,FALSE),"")</f>
        <v>4641520</v>
      </c>
    </row>
    <row r="1055" spans="1:12" x14ac:dyDescent="0.2">
      <c r="A1055">
        <f t="shared" si="33"/>
        <v>4607050</v>
      </c>
      <c r="B1055">
        <v>2015</v>
      </c>
      <c r="C1055" t="s">
        <v>208</v>
      </c>
      <c r="D1055" t="s">
        <v>212</v>
      </c>
      <c r="E1055" t="s">
        <v>211</v>
      </c>
      <c r="F1055" s="3">
        <v>953171</v>
      </c>
      <c r="G1055" s="3" t="s">
        <v>12</v>
      </c>
      <c r="H1055" s="4">
        <v>60192</v>
      </c>
      <c r="I1055" cm="1">
        <f t="array" ref="I1055">_xlfn.IFS(B1055=2015,H1055/$O$10,B1055=2016,H1055/$O$11,B1055=2017,H1055/$O$12,B1055=2018,H1055/$O$13,B1055=2019,H1055/$O$14,B1055=2020,H1055/$O$15,B1055=2021,H1055/$O$16,B1055=2022,H1055/$O$17)</f>
        <v>1.4079085435783505E-3</v>
      </c>
      <c r="J1055" s="6" cm="1">
        <f t="array" ref="J1055">_xlfn.IFS(B1055=2015,I1055*$Q$1,B1055=2016,I1055*$Q$2,B1055=2017,I1055*$Q$3,B1055=2018,I1055*$Q$4,B1055=2019,I1055*$Q$5,B1055=2020,I1055*$Q$6,B1055=2021,I1055*$Q$7,B1055=2022,I1055*$Q$8)</f>
        <v>34623.50512950305</v>
      </c>
      <c r="K1055" s="7">
        <f t="shared" si="34"/>
        <v>94815.505129503057</v>
      </c>
      <c r="L1055">
        <f>IFERROR(VLOOKUP(G1055,'LEAID Match'!$A$2:$B$168,2,FALSE),"")</f>
        <v>4607050</v>
      </c>
    </row>
    <row r="1056" spans="1:12" x14ac:dyDescent="0.2">
      <c r="A1056">
        <f t="shared" si="33"/>
        <v>4607050</v>
      </c>
      <c r="B1056">
        <v>2016</v>
      </c>
      <c r="C1056" t="s">
        <v>208</v>
      </c>
      <c r="D1056" t="s">
        <v>212</v>
      </c>
      <c r="E1056" t="s">
        <v>211</v>
      </c>
      <c r="F1056" s="3">
        <v>953171</v>
      </c>
      <c r="G1056" s="3" t="s">
        <v>12</v>
      </c>
      <c r="H1056" s="4">
        <v>71408</v>
      </c>
      <c r="I1056" cm="1">
        <f t="array" ref="I1056">_xlfn.IFS(B1056=2015,H1056/$O$10,B1056=2016,H1056/$O$11,B1056=2017,H1056/$O$12,B1056=2018,H1056/$O$13,B1056=2019,H1056/$O$14,B1056=2020,H1056/$O$15,B1056=2021,H1056/$O$16,B1056=2022,H1056/$O$17)</f>
        <v>1.6196805889533148E-3</v>
      </c>
      <c r="J1056" s="6" cm="1">
        <f t="array" ref="J1056">_xlfn.IFS(B1056=2015,I1056*$Q$1,B1056=2016,I1056*$Q$2,B1056=2017,I1056*$Q$3,B1056=2018,I1056*$Q$4,B1056=2019,I1056*$Q$5,B1056=2020,I1056*$Q$6,B1056=2021,I1056*$Q$7,B1056=2022,I1056*$Q$8)</f>
        <v>41149.289205233072</v>
      </c>
      <c r="K1056" s="7">
        <f t="shared" si="34"/>
        <v>112557.28920523307</v>
      </c>
      <c r="L1056">
        <f>IFERROR(VLOOKUP(G1056,'LEAID Match'!$A$2:$B$168,2,FALSE),"")</f>
        <v>4607050</v>
      </c>
    </row>
    <row r="1057" spans="1:12" x14ac:dyDescent="0.2">
      <c r="A1057">
        <f t="shared" si="33"/>
        <v>4607050</v>
      </c>
      <c r="B1057">
        <v>2017</v>
      </c>
      <c r="C1057" t="s">
        <v>208</v>
      </c>
      <c r="D1057" t="s">
        <v>212</v>
      </c>
      <c r="E1057" t="s">
        <v>211</v>
      </c>
      <c r="F1057" s="3">
        <v>953171</v>
      </c>
      <c r="G1057" s="3" t="s">
        <v>12</v>
      </c>
      <c r="H1057" s="4">
        <v>80214</v>
      </c>
      <c r="I1057" cm="1">
        <f t="array" ref="I1057">_xlfn.IFS(B1057=2015,H1057/$O$10,B1057=2016,H1057/$O$11,B1057=2017,H1057/$O$12,B1057=2018,H1057/$O$13,B1057=2019,H1057/$O$14,B1057=2020,H1057/$O$15,B1057=2021,H1057/$O$16,B1057=2022,H1057/$O$17)</f>
        <v>1.6561616485124256E-3</v>
      </c>
      <c r="J1057" s="6" cm="1">
        <f t="array" ref="J1057">_xlfn.IFS(B1057=2015,I1057*$Q$1,B1057=2016,I1057*$Q$2,B1057=2017,I1057*$Q$3,B1057=2018,I1057*$Q$4,B1057=2019,I1057*$Q$5,B1057=2020,I1057*$Q$6,B1057=2021,I1057*$Q$7,B1057=2022,I1057*$Q$8)</f>
        <v>43566.216554439663</v>
      </c>
      <c r="K1057" s="7">
        <f t="shared" si="34"/>
        <v>123780.21655443966</v>
      </c>
      <c r="L1057">
        <f>IFERROR(VLOOKUP(G1057,'LEAID Match'!$A$2:$B$168,2,FALSE),"")</f>
        <v>4607050</v>
      </c>
    </row>
    <row r="1058" spans="1:12" x14ac:dyDescent="0.2">
      <c r="A1058">
        <f t="shared" si="33"/>
        <v>4607050</v>
      </c>
      <c r="B1058">
        <v>2018</v>
      </c>
      <c r="C1058" t="s">
        <v>208</v>
      </c>
      <c r="D1058" t="s">
        <v>212</v>
      </c>
      <c r="E1058" t="s">
        <v>211</v>
      </c>
      <c r="F1058" s="3">
        <v>953171</v>
      </c>
      <c r="G1058" s="3" t="s">
        <v>12</v>
      </c>
      <c r="H1058" s="4">
        <v>80327</v>
      </c>
      <c r="I1058" cm="1">
        <f t="array" ref="I1058">_xlfn.IFS(B1058=2015,H1058/$O$10,B1058=2016,H1058/$O$11,B1058=2017,H1058/$O$12,B1058=2018,H1058/$O$13,B1058=2019,H1058/$O$14,B1058=2020,H1058/$O$15,B1058=2021,H1058/$O$16,B1058=2022,H1058/$O$17)</f>
        <v>1.6019295825841396E-3</v>
      </c>
      <c r="J1058" s="6" cm="1">
        <f t="array" ref="J1058">_xlfn.IFS(B1058=2015,I1058*$Q$1,B1058=2016,I1058*$Q$2,B1058=2017,I1058*$Q$3,B1058=2018,I1058*$Q$4,B1058=2019,I1058*$Q$5,B1058=2020,I1058*$Q$6,B1058=2021,I1058*$Q$7,B1058=2022,I1058*$Q$8)</f>
        <v>42059.957151778894</v>
      </c>
      <c r="K1058" s="7">
        <f t="shared" si="34"/>
        <v>122386.95715177889</v>
      </c>
      <c r="L1058">
        <f>IFERROR(VLOOKUP(G1058,'LEAID Match'!$A$2:$B$168,2,FALSE),"")</f>
        <v>4607050</v>
      </c>
    </row>
    <row r="1059" spans="1:12" x14ac:dyDescent="0.2">
      <c r="A1059">
        <f t="shared" si="33"/>
        <v>4607050</v>
      </c>
      <c r="B1059">
        <v>2019</v>
      </c>
      <c r="C1059" t="s">
        <v>208</v>
      </c>
      <c r="D1059" t="s">
        <v>212</v>
      </c>
      <c r="E1059" t="s">
        <v>211</v>
      </c>
      <c r="F1059" s="3">
        <v>953171</v>
      </c>
      <c r="G1059" s="3" t="s">
        <v>12</v>
      </c>
      <c r="H1059" s="4">
        <v>81993</v>
      </c>
      <c r="I1059" cm="1">
        <f t="array" ref="I1059">_xlfn.IFS(B1059=2015,H1059/$O$10,B1059=2016,H1059/$O$11,B1059=2017,H1059/$O$12,B1059=2018,H1059/$O$13,B1059=2019,H1059/$O$14,B1059=2020,H1059/$O$15,B1059=2021,H1059/$O$16,B1059=2022,H1059/$O$17)</f>
        <v>1.605794514588077E-3</v>
      </c>
      <c r="J1059" s="6" cm="1">
        <f t="array" ref="J1059">_xlfn.IFS(B1059=2015,I1059*$Q$1,B1059=2016,I1059*$Q$2,B1059=2017,I1059*$Q$3,B1059=2018,I1059*$Q$4,B1059=2019,I1059*$Q$5,B1059=2020,I1059*$Q$6,B1059=2021,I1059*$Q$7,B1059=2022,I1059*$Q$8)</f>
        <v>42469.178163815013</v>
      </c>
      <c r="K1059" s="7">
        <f t="shared" si="34"/>
        <v>124462.17816381501</v>
      </c>
      <c r="L1059">
        <f>IFERROR(VLOOKUP(G1059,'LEAID Match'!$A$2:$B$168,2,FALSE),"")</f>
        <v>4607050</v>
      </c>
    </row>
    <row r="1060" spans="1:12" x14ac:dyDescent="0.2">
      <c r="A1060">
        <f t="shared" si="33"/>
        <v>4607050</v>
      </c>
      <c r="B1060">
        <v>2020</v>
      </c>
      <c r="C1060" t="s">
        <v>208</v>
      </c>
      <c r="D1060" t="s">
        <v>212</v>
      </c>
      <c r="E1060" t="s">
        <v>211</v>
      </c>
      <c r="F1060" s="1">
        <v>953171</v>
      </c>
      <c r="G1060" s="3" t="s">
        <v>12</v>
      </c>
      <c r="H1060" s="2">
        <v>82512</v>
      </c>
      <c r="I1060" cm="1">
        <f t="array" ref="I1060">_xlfn.IFS(B1060=2015,H1060/$O$10,B1060=2016,H1060/$O$11,B1060=2017,H1060/$O$12,B1060=2018,H1060/$O$13,B1060=2019,H1060/$O$14,B1060=2020,H1060/$O$15,B1060=2021,H1060/$O$16,B1060=2022,H1060/$O$17)</f>
        <v>1.562759119863882E-3</v>
      </c>
      <c r="J1060" s="6" cm="1">
        <f t="array" ref="J1060">_xlfn.IFS(B1060=2015,I1060*$Q$1,B1060=2016,I1060*$Q$2,B1060=2017,I1060*$Q$3,B1060=2018,I1060*$Q$4,B1060=2019,I1060*$Q$5,B1060=2020,I1060*$Q$6,B1060=2021,I1060*$Q$7,B1060=2022,I1060*$Q$8)</f>
        <v>42491.781466455643</v>
      </c>
      <c r="K1060" s="7">
        <f t="shared" si="34"/>
        <v>125003.78146645564</v>
      </c>
      <c r="L1060">
        <f>IFERROR(VLOOKUP(G1060,'LEAID Match'!$A$2:$B$168,2,FALSE),"")</f>
        <v>4607050</v>
      </c>
    </row>
    <row r="1061" spans="1:12" x14ac:dyDescent="0.2">
      <c r="A1061">
        <f t="shared" si="33"/>
        <v>4607050</v>
      </c>
      <c r="B1061">
        <v>2021</v>
      </c>
      <c r="C1061" t="s">
        <v>208</v>
      </c>
      <c r="D1061" t="s">
        <v>212</v>
      </c>
      <c r="E1061" t="s">
        <v>211</v>
      </c>
      <c r="F1061" s="3">
        <v>953171</v>
      </c>
      <c r="G1061" s="3" t="s">
        <v>12</v>
      </c>
      <c r="H1061" s="4">
        <v>84210</v>
      </c>
      <c r="I1061" cm="1">
        <f t="array" ref="I1061">_xlfn.IFS(B1061=2015,H1061/$O$10,B1061=2016,H1061/$O$11,B1061=2017,H1061/$O$12,B1061=2018,H1061/$O$13,B1061=2019,H1061/$O$14,B1061=2020,H1061/$O$15,B1061=2021,H1061/$O$16,B1061=2022,H1061/$O$17)</f>
        <v>1.5209646582431606E-3</v>
      </c>
      <c r="J1061" s="6" cm="1">
        <f t="array" ref="J1061">_xlfn.IFS(B1061=2015,I1061*$Q$1,B1061=2016,I1061*$Q$2,B1061=2017,I1061*$Q$3,B1061=2018,I1061*$Q$4,B1061=2019,I1061*$Q$5,B1061=2020,I1061*$Q$6,B1061=2021,I1061*$Q$7,B1061=2022,I1061*$Q$8)</f>
        <v>42341.120637404296</v>
      </c>
      <c r="K1061" s="7">
        <f t="shared" si="34"/>
        <v>126551.1206374043</v>
      </c>
      <c r="L1061">
        <f>IFERROR(VLOOKUP(G1061,'LEAID Match'!$A$2:$B$168,2,FALSE),"")</f>
        <v>4607050</v>
      </c>
    </row>
    <row r="1062" spans="1:12" x14ac:dyDescent="0.2">
      <c r="A1062">
        <f t="shared" si="33"/>
        <v>4607050</v>
      </c>
      <c r="B1062">
        <v>2022</v>
      </c>
      <c r="C1062" t="s">
        <v>208</v>
      </c>
      <c r="D1062" t="s">
        <v>212</v>
      </c>
      <c r="E1062" t="s">
        <v>211</v>
      </c>
      <c r="F1062" s="3">
        <v>953171</v>
      </c>
      <c r="G1062" s="3" t="s">
        <v>12</v>
      </c>
      <c r="H1062" s="4">
        <v>76346</v>
      </c>
      <c r="I1062" cm="1">
        <f t="array" ref="I1062">_xlfn.IFS(B1062=2015,H1062/$O$10,B1062=2016,H1062/$O$11,B1062=2017,H1062/$O$12,B1062=2018,H1062/$O$13,B1062=2019,H1062/$O$14,B1062=2020,H1062/$O$15,B1062=2021,H1062/$O$16,B1062=2022,H1062/$O$17)</f>
        <v>1.3222044587451289E-3</v>
      </c>
      <c r="J1062" s="6" cm="1">
        <f t="array" ref="J1062">_xlfn.IFS(B1062=2015,I1062*$Q$1,B1062=2016,I1062*$Q$2,B1062=2017,I1062*$Q$3,B1062=2018,I1062*$Q$4,B1062=2019,I1062*$Q$5,B1062=2020,I1062*$Q$6,B1062=2021,I1062*$Q$7,B1062=2022,I1062*$Q$8)</f>
        <v>38949.427546673236</v>
      </c>
      <c r="K1062" s="7">
        <f t="shared" si="34"/>
        <v>115295.42754667324</v>
      </c>
      <c r="L1062">
        <f>IFERROR(VLOOKUP(G1062,'LEAID Match'!$A$2:$B$168,2,FALSE),"")</f>
        <v>4607050</v>
      </c>
    </row>
    <row r="1063" spans="1:12" x14ac:dyDescent="0.2">
      <c r="A1063">
        <f t="shared" si="33"/>
        <v>4680280</v>
      </c>
      <c r="B1063">
        <v>2015</v>
      </c>
      <c r="C1063" t="s">
        <v>208</v>
      </c>
      <c r="D1063" t="s">
        <v>212</v>
      </c>
      <c r="E1063" t="s">
        <v>211</v>
      </c>
      <c r="F1063" s="3">
        <v>953173</v>
      </c>
      <c r="G1063" s="3" t="s">
        <v>109</v>
      </c>
      <c r="H1063" s="4">
        <v>63701</v>
      </c>
      <c r="I1063" cm="1">
        <f t="array" ref="I1063">_xlfn.IFS(B1063=2015,H1063/$O$10,B1063=2016,H1063/$O$11,B1063=2017,H1063/$O$12,B1063=2018,H1063/$O$13,B1063=2019,H1063/$O$14,B1063=2020,H1063/$O$15,B1063=2021,H1063/$O$16,B1063=2022,H1063/$O$17)</f>
        <v>1.4899850833081556E-3</v>
      </c>
      <c r="J1063" s="6" cm="1">
        <f t="array" ref="J1063">_xlfn.IFS(B1063=2015,I1063*$Q$1,B1063=2016,I1063*$Q$2,B1063=2017,I1063*$Q$3,B1063=2018,I1063*$Q$4,B1063=2019,I1063*$Q$5,B1063=2020,I1063*$Q$6,B1063=2021,I1063*$Q$7,B1063=2022,I1063*$Q$8)</f>
        <v>36641.944116402075</v>
      </c>
      <c r="K1063" s="7">
        <f t="shared" si="34"/>
        <v>100342.94411640207</v>
      </c>
      <c r="L1063">
        <f>IFERROR(VLOOKUP(G1063,'LEAID Match'!$A$2:$B$168,2,FALSE),"")</f>
        <v>4680280</v>
      </c>
    </row>
    <row r="1064" spans="1:12" x14ac:dyDescent="0.2">
      <c r="A1064">
        <f t="shared" si="33"/>
        <v>4680280</v>
      </c>
      <c r="B1064">
        <v>2016</v>
      </c>
      <c r="C1064" t="s">
        <v>208</v>
      </c>
      <c r="D1064" t="s">
        <v>212</v>
      </c>
      <c r="E1064" t="s">
        <v>211</v>
      </c>
      <c r="F1064" s="3">
        <v>953173</v>
      </c>
      <c r="G1064" s="3" t="s">
        <v>109</v>
      </c>
      <c r="H1064" s="4">
        <v>61533</v>
      </c>
      <c r="I1064" cm="1">
        <f t="array" ref="I1064">_xlfn.IFS(B1064=2015,H1064/$O$10,B1064=2016,H1064/$O$11,B1064=2017,H1064/$O$12,B1064=2018,H1064/$O$13,B1064=2019,H1064/$O$14,B1064=2020,H1064/$O$15,B1064=2021,H1064/$O$16,B1064=2022,H1064/$O$17)</f>
        <v>1.3956952397499484E-3</v>
      </c>
      <c r="J1064" s="6" cm="1">
        <f t="array" ref="J1064">_xlfn.IFS(B1064=2015,I1064*$Q$1,B1064=2016,I1064*$Q$2,B1064=2017,I1064*$Q$3,B1064=2018,I1064*$Q$4,B1064=2019,I1064*$Q$5,B1064=2020,I1064*$Q$6,B1064=2021,I1064*$Q$7,B1064=2022,I1064*$Q$8)</f>
        <v>35458.761100515439</v>
      </c>
      <c r="K1064" s="7">
        <f t="shared" si="34"/>
        <v>96991.761100515432</v>
      </c>
      <c r="L1064">
        <f>IFERROR(VLOOKUP(G1064,'LEAID Match'!$A$2:$B$168,2,FALSE),"")</f>
        <v>4680280</v>
      </c>
    </row>
    <row r="1065" spans="1:12" x14ac:dyDescent="0.2">
      <c r="A1065">
        <f t="shared" si="33"/>
        <v>4680280</v>
      </c>
      <c r="B1065">
        <v>2017</v>
      </c>
      <c r="C1065" t="s">
        <v>208</v>
      </c>
      <c r="D1065" t="s">
        <v>212</v>
      </c>
      <c r="E1065" t="s">
        <v>211</v>
      </c>
      <c r="F1065" s="3">
        <v>953173</v>
      </c>
      <c r="G1065" s="3" t="s">
        <v>109</v>
      </c>
      <c r="H1065" s="4">
        <v>72916</v>
      </c>
      <c r="I1065" cm="1">
        <f t="array" ref="I1065">_xlfn.IFS(B1065=2015,H1065/$O$10,B1065=2016,H1065/$O$11,B1065=2017,H1065/$O$12,B1065=2018,H1065/$O$13,B1065=2019,H1065/$O$14,B1065=2020,H1065/$O$15,B1065=2021,H1065/$O$16,B1065=2022,H1065/$O$17)</f>
        <v>1.5054813718669063E-3</v>
      </c>
      <c r="J1065" s="6" cm="1">
        <f t="array" ref="J1065">_xlfn.IFS(B1065=2015,I1065*$Q$1,B1065=2016,I1065*$Q$2,B1065=2017,I1065*$Q$3,B1065=2018,I1065*$Q$4,B1065=2019,I1065*$Q$5,B1065=2020,I1065*$Q$6,B1065=2021,I1065*$Q$7,B1065=2022,I1065*$Q$8)</f>
        <v>39602.491414011551</v>
      </c>
      <c r="K1065" s="7">
        <f t="shared" si="34"/>
        <v>112518.49141401154</v>
      </c>
      <c r="L1065">
        <f>IFERROR(VLOOKUP(G1065,'LEAID Match'!$A$2:$B$168,2,FALSE),"")</f>
        <v>4680280</v>
      </c>
    </row>
    <row r="1066" spans="1:12" x14ac:dyDescent="0.2">
      <c r="A1066">
        <f t="shared" si="33"/>
        <v>4680280</v>
      </c>
      <c r="B1066">
        <v>2018</v>
      </c>
      <c r="C1066" t="s">
        <v>208</v>
      </c>
      <c r="D1066" t="s">
        <v>212</v>
      </c>
      <c r="E1066" t="s">
        <v>211</v>
      </c>
      <c r="F1066" s="3">
        <v>953173</v>
      </c>
      <c r="G1066" s="3" t="s">
        <v>109</v>
      </c>
      <c r="H1066" s="4">
        <v>72339</v>
      </c>
      <c r="I1066" cm="1">
        <f t="array" ref="I1066">_xlfn.IFS(B1066=2015,H1066/$O$10,B1066=2016,H1066/$O$11,B1066=2017,H1066/$O$12,B1066=2018,H1066/$O$13,B1066=2019,H1066/$O$14,B1066=2020,H1066/$O$15,B1066=2021,H1066/$O$16,B1066=2022,H1066/$O$17)</f>
        <v>1.4426280587418188E-3</v>
      </c>
      <c r="J1066" s="6" cm="1">
        <f t="array" ref="J1066">_xlfn.IFS(B1066=2015,I1066*$Q$1,B1066=2016,I1066*$Q$2,B1066=2017,I1066*$Q$3,B1066=2018,I1066*$Q$4,B1066=2019,I1066*$Q$5,B1066=2020,I1066*$Q$6,B1066=2021,I1066*$Q$7,B1066=2022,I1066*$Q$8)</f>
        <v>37877.366768365973</v>
      </c>
      <c r="K1066" s="7">
        <f t="shared" si="34"/>
        <v>110216.36676836597</v>
      </c>
      <c r="L1066">
        <f>IFERROR(VLOOKUP(G1066,'LEAID Match'!$A$2:$B$168,2,FALSE),"")</f>
        <v>4680280</v>
      </c>
    </row>
    <row r="1067" spans="1:12" x14ac:dyDescent="0.2">
      <c r="A1067">
        <f t="shared" si="33"/>
        <v>4680280</v>
      </c>
      <c r="B1067">
        <v>2019</v>
      </c>
      <c r="C1067" t="s">
        <v>208</v>
      </c>
      <c r="D1067" t="s">
        <v>212</v>
      </c>
      <c r="E1067" t="s">
        <v>211</v>
      </c>
      <c r="F1067" s="3">
        <v>953173</v>
      </c>
      <c r="G1067" s="3" t="s">
        <v>109</v>
      </c>
      <c r="H1067" s="4">
        <v>78140</v>
      </c>
      <c r="I1067" cm="1">
        <f t="array" ref="I1067">_xlfn.IFS(B1067=2015,H1067/$O$10,B1067=2016,H1067/$O$11,B1067=2017,H1067/$O$12,B1067=2018,H1067/$O$13,B1067=2019,H1067/$O$14,B1067=2020,H1067/$O$15,B1067=2021,H1067/$O$16,B1067=2022,H1067/$O$17)</f>
        <v>1.5303353136232648E-3</v>
      </c>
      <c r="J1067" s="6" cm="1">
        <f t="array" ref="J1067">_xlfn.IFS(B1067=2015,I1067*$Q$1,B1067=2016,I1067*$Q$2,B1067=2017,I1067*$Q$3,B1067=2018,I1067*$Q$4,B1067=2019,I1067*$Q$5,B1067=2020,I1067*$Q$6,B1067=2021,I1067*$Q$7,B1067=2022,I1067*$Q$8)</f>
        <v>40473.474341962181</v>
      </c>
      <c r="K1067" s="7">
        <f t="shared" si="34"/>
        <v>118613.47434196218</v>
      </c>
      <c r="L1067">
        <f>IFERROR(VLOOKUP(G1067,'LEAID Match'!$A$2:$B$168,2,FALSE),"")</f>
        <v>4680280</v>
      </c>
    </row>
    <row r="1068" spans="1:12" x14ac:dyDescent="0.2">
      <c r="A1068">
        <f t="shared" si="33"/>
        <v>4680280</v>
      </c>
      <c r="B1068">
        <v>2020</v>
      </c>
      <c r="C1068" t="s">
        <v>208</v>
      </c>
      <c r="D1068" t="s">
        <v>212</v>
      </c>
      <c r="E1068" t="s">
        <v>211</v>
      </c>
      <c r="F1068" s="1">
        <v>953173</v>
      </c>
      <c r="G1068" s="3" t="s">
        <v>109</v>
      </c>
      <c r="H1068" s="2">
        <v>57636</v>
      </c>
      <c r="I1068" cm="1">
        <f t="array" ref="I1068">_xlfn.IFS(B1068=2015,H1068/$O$10,B1068=2016,H1068/$O$11,B1068=2017,H1068/$O$12,B1068=2018,H1068/$O$13,B1068=2019,H1068/$O$14,B1068=2020,H1068/$O$15,B1068=2021,H1068/$O$16,B1068=2022,H1068/$O$17)</f>
        <v>1.0916131548438374E-3</v>
      </c>
      <c r="J1068" s="6" cm="1">
        <f t="array" ref="J1068">_xlfn.IFS(B1068=2015,I1068*$Q$1,B1068=2016,I1068*$Q$2,B1068=2017,I1068*$Q$3,B1068=2018,I1068*$Q$4,B1068=2019,I1068*$Q$5,B1068=2020,I1068*$Q$6,B1068=2021,I1068*$Q$7,B1068=2022,I1068*$Q$8)</f>
        <v>29681.213842842706</v>
      </c>
      <c r="K1068" s="7">
        <f t="shared" si="34"/>
        <v>87317.213842842699</v>
      </c>
      <c r="L1068">
        <f>IFERROR(VLOOKUP(G1068,'LEAID Match'!$A$2:$B$168,2,FALSE),"")</f>
        <v>4680280</v>
      </c>
    </row>
    <row r="1069" spans="1:12" x14ac:dyDescent="0.2">
      <c r="A1069">
        <f t="shared" si="33"/>
        <v>4680280</v>
      </c>
      <c r="B1069">
        <v>2021</v>
      </c>
      <c r="C1069" t="s">
        <v>208</v>
      </c>
      <c r="D1069" t="s">
        <v>212</v>
      </c>
      <c r="E1069" t="s">
        <v>211</v>
      </c>
      <c r="F1069" s="3">
        <v>953173</v>
      </c>
      <c r="G1069" s="3" t="s">
        <v>109</v>
      </c>
      <c r="H1069" s="4">
        <v>51630</v>
      </c>
      <c r="I1069" cm="1">
        <f t="array" ref="I1069">_xlfn.IFS(B1069=2015,H1069/$O$10,B1069=2016,H1069/$O$11,B1069=2017,H1069/$O$12,B1069=2018,H1069/$O$13,B1069=2019,H1069/$O$14,B1069=2020,H1069/$O$15,B1069=2021,H1069/$O$16,B1069=2022,H1069/$O$17)</f>
        <v>9.3251876624028478E-4</v>
      </c>
      <c r="J1069" s="6" cm="1">
        <f t="array" ref="J1069">_xlfn.IFS(B1069=2015,I1069*$Q$1,B1069=2016,I1069*$Q$2,B1069=2017,I1069*$Q$3,B1069=2018,I1069*$Q$4,B1069=2019,I1069*$Q$5,B1069=2020,I1069*$Q$6,B1069=2021,I1069*$Q$7,B1069=2022,I1069*$Q$8)</f>
        <v>25959.767943346207</v>
      </c>
      <c r="K1069" s="7">
        <f t="shared" si="34"/>
        <v>77589.767943346204</v>
      </c>
      <c r="L1069">
        <f>IFERROR(VLOOKUP(G1069,'LEAID Match'!$A$2:$B$168,2,FALSE),"")</f>
        <v>4680280</v>
      </c>
    </row>
    <row r="1070" spans="1:12" x14ac:dyDescent="0.2">
      <c r="A1070">
        <f t="shared" si="33"/>
        <v>4680280</v>
      </c>
      <c r="B1070">
        <v>2022</v>
      </c>
      <c r="C1070" t="s">
        <v>208</v>
      </c>
      <c r="D1070" t="s">
        <v>212</v>
      </c>
      <c r="E1070" t="s">
        <v>211</v>
      </c>
      <c r="F1070" s="3">
        <v>953173</v>
      </c>
      <c r="G1070" s="3" t="s">
        <v>109</v>
      </c>
      <c r="H1070" s="4">
        <v>56755</v>
      </c>
      <c r="I1070" cm="1">
        <f t="array" ref="I1070">_xlfn.IFS(B1070=2015,H1070/$O$10,B1070=2016,H1070/$O$11,B1070=2017,H1070/$O$12,B1070=2018,H1070/$O$13,B1070=2019,H1070/$O$14,B1070=2020,H1070/$O$15,B1070=2021,H1070/$O$16,B1070=2022,H1070/$O$17)</f>
        <v>9.8291611945720511E-4</v>
      </c>
      <c r="J1070" s="6" cm="1">
        <f t="array" ref="J1070">_xlfn.IFS(B1070=2015,I1070*$Q$1,B1070=2016,I1070*$Q$2,B1070=2017,I1070*$Q$3,B1070=2018,I1070*$Q$4,B1070=2019,I1070*$Q$5,B1070=2020,I1070*$Q$6,B1070=2021,I1070*$Q$7,B1070=2022,I1070*$Q$8)</f>
        <v>28954.689969499897</v>
      </c>
      <c r="K1070" s="7">
        <f t="shared" si="34"/>
        <v>85709.689969499901</v>
      </c>
      <c r="L1070">
        <f>IFERROR(VLOOKUP(G1070,'LEAID Match'!$A$2:$B$168,2,FALSE),"")</f>
        <v>4680280</v>
      </c>
    </row>
    <row r="1071" spans="1:12" x14ac:dyDescent="0.2">
      <c r="A1071">
        <f t="shared" si="33"/>
        <v>4626970</v>
      </c>
      <c r="B1071">
        <v>2015</v>
      </c>
      <c r="C1071" t="s">
        <v>208</v>
      </c>
      <c r="D1071" t="s">
        <v>212</v>
      </c>
      <c r="E1071" t="s">
        <v>211</v>
      </c>
      <c r="F1071" s="3">
        <v>954100</v>
      </c>
      <c r="G1071" s="3" t="s">
        <v>59</v>
      </c>
      <c r="H1071" s="4">
        <v>80714</v>
      </c>
      <c r="I1071" cm="1">
        <f t="array" ref="I1071">_xlfn.IFS(B1071=2015,H1071/$O$10,B1071=2016,H1071/$O$11,B1071=2017,H1071/$O$12,B1071=2018,H1071/$O$13,B1071=2019,H1071/$O$14,B1071=2020,H1071/$O$15,B1071=2021,H1071/$O$16,B1071=2022,H1071/$O$17)</f>
        <v>1.887924145839696E-3</v>
      </c>
      <c r="J1071" s="6" cm="1">
        <f t="array" ref="J1071">_xlfn.IFS(B1071=2015,I1071*$Q$1,B1071=2016,I1071*$Q$2,B1071=2017,I1071*$Q$3,B1071=2018,I1071*$Q$4,B1071=2019,I1071*$Q$5,B1071=2020,I1071*$Q$6,B1071=2021,I1071*$Q$7,B1071=2022,I1071*$Q$8)</f>
        <v>46428.123222732407</v>
      </c>
      <c r="K1071" s="7">
        <f t="shared" si="34"/>
        <v>127142.12322273241</v>
      </c>
      <c r="L1071">
        <f>IFERROR(VLOOKUP(G1071,'LEAID Match'!$A$2:$B$168,2,FALSE),"")</f>
        <v>4626970</v>
      </c>
    </row>
    <row r="1072" spans="1:12" x14ac:dyDescent="0.2">
      <c r="A1072">
        <f t="shared" si="33"/>
        <v>4626970</v>
      </c>
      <c r="B1072">
        <v>2016</v>
      </c>
      <c r="C1072" t="s">
        <v>208</v>
      </c>
      <c r="D1072" t="s">
        <v>212</v>
      </c>
      <c r="E1072" t="s">
        <v>211</v>
      </c>
      <c r="F1072" s="3">
        <v>954100</v>
      </c>
      <c r="G1072" s="3" t="s">
        <v>59</v>
      </c>
      <c r="H1072" s="4">
        <v>81297</v>
      </c>
      <c r="I1072" cm="1">
        <f t="array" ref="I1072">_xlfn.IFS(B1072=2015,H1072/$O$10,B1072=2016,H1072/$O$11,B1072=2017,H1072/$O$12,B1072=2018,H1072/$O$13,B1072=2019,H1072/$O$14,B1072=2020,H1072/$O$15,B1072=2021,H1072/$O$16,B1072=2022,H1072/$O$17)</f>
        <v>1.8439834870061845E-3</v>
      </c>
      <c r="J1072" s="6" cm="1">
        <f t="array" ref="J1072">_xlfn.IFS(B1072=2015,I1072*$Q$1,B1072=2016,I1072*$Q$2,B1072=2017,I1072*$Q$3,B1072=2018,I1072*$Q$4,B1072=2019,I1072*$Q$5,B1072=2020,I1072*$Q$6,B1072=2021,I1072*$Q$7,B1072=2022,I1072*$Q$8)</f>
        <v>46847.884894099159</v>
      </c>
      <c r="K1072" s="7">
        <f t="shared" si="34"/>
        <v>128144.88489409916</v>
      </c>
      <c r="L1072">
        <f>IFERROR(VLOOKUP(G1072,'LEAID Match'!$A$2:$B$168,2,FALSE),"")</f>
        <v>4626970</v>
      </c>
    </row>
    <row r="1073" spans="1:12" x14ac:dyDescent="0.2">
      <c r="A1073">
        <f t="shared" si="33"/>
        <v>4626970</v>
      </c>
      <c r="B1073">
        <v>2017</v>
      </c>
      <c r="C1073" t="s">
        <v>208</v>
      </c>
      <c r="D1073" t="s">
        <v>212</v>
      </c>
      <c r="E1073" t="s">
        <v>211</v>
      </c>
      <c r="F1073" s="3">
        <v>954100</v>
      </c>
      <c r="G1073" s="3" t="s">
        <v>59</v>
      </c>
      <c r="H1073" s="4">
        <v>85646</v>
      </c>
      <c r="I1073" cm="1">
        <f t="array" ref="I1073">_xlfn.IFS(B1073=2015,H1073/$O$10,B1073=2016,H1073/$O$11,B1073=2017,H1073/$O$12,B1073=2018,H1073/$O$13,B1073=2019,H1073/$O$14,B1073=2020,H1073/$O$15,B1073=2021,H1073/$O$16,B1073=2022,H1073/$O$17)</f>
        <v>1.7683150141932231E-3</v>
      </c>
      <c r="J1073" s="6" cm="1">
        <f t="array" ref="J1073">_xlfn.IFS(B1073=2015,I1073*$Q$1,B1073=2016,I1073*$Q$2,B1073=2017,I1073*$Q$3,B1073=2018,I1073*$Q$4,B1073=2019,I1073*$Q$5,B1073=2020,I1073*$Q$6,B1073=2021,I1073*$Q$7,B1073=2022,I1073*$Q$8)</f>
        <v>46516.470728570312</v>
      </c>
      <c r="K1073" s="7">
        <f t="shared" si="34"/>
        <v>132162.4707285703</v>
      </c>
      <c r="L1073">
        <f>IFERROR(VLOOKUP(G1073,'LEAID Match'!$A$2:$B$168,2,FALSE),"")</f>
        <v>4626970</v>
      </c>
    </row>
    <row r="1074" spans="1:12" x14ac:dyDescent="0.2">
      <c r="A1074">
        <f t="shared" si="33"/>
        <v>4626970</v>
      </c>
      <c r="B1074">
        <v>2018</v>
      </c>
      <c r="C1074" t="s">
        <v>208</v>
      </c>
      <c r="D1074" t="s">
        <v>212</v>
      </c>
      <c r="E1074" t="s">
        <v>211</v>
      </c>
      <c r="F1074" s="3">
        <v>954100</v>
      </c>
      <c r="G1074" s="3" t="s">
        <v>59</v>
      </c>
      <c r="H1074" s="4">
        <v>90560</v>
      </c>
      <c r="I1074" cm="1">
        <f t="array" ref="I1074">_xlfn.IFS(B1074=2015,H1074/$O$10,B1074=2016,H1074/$O$11,B1074=2017,H1074/$O$12,B1074=2018,H1074/$O$13,B1074=2019,H1074/$O$14,B1074=2020,H1074/$O$15,B1074=2021,H1074/$O$16,B1074=2022,H1074/$O$17)</f>
        <v>1.8060022532749844E-3</v>
      </c>
      <c r="J1074" s="6" cm="1">
        <f t="array" ref="J1074">_xlfn.IFS(B1074=2015,I1074*$Q$1,B1074=2016,I1074*$Q$2,B1074=2017,I1074*$Q$3,B1074=2018,I1074*$Q$4,B1074=2019,I1074*$Q$5,B1074=2020,I1074*$Q$6,B1074=2021,I1074*$Q$7,B1074=2022,I1074*$Q$8)</f>
        <v>47418.050215557618</v>
      </c>
      <c r="K1074" s="7">
        <f t="shared" si="34"/>
        <v>137978.05021555763</v>
      </c>
      <c r="L1074">
        <f>IFERROR(VLOOKUP(G1074,'LEAID Match'!$A$2:$B$168,2,FALSE),"")</f>
        <v>4626970</v>
      </c>
    </row>
    <row r="1075" spans="1:12" x14ac:dyDescent="0.2">
      <c r="A1075">
        <f t="shared" si="33"/>
        <v>4626970</v>
      </c>
      <c r="B1075">
        <v>2019</v>
      </c>
      <c r="C1075" t="s">
        <v>208</v>
      </c>
      <c r="D1075" t="s">
        <v>212</v>
      </c>
      <c r="E1075" t="s">
        <v>211</v>
      </c>
      <c r="F1075" s="3">
        <v>954100</v>
      </c>
      <c r="G1075" s="3" t="s">
        <v>59</v>
      </c>
      <c r="H1075" s="4">
        <v>93622</v>
      </c>
      <c r="I1075" cm="1">
        <f t="array" ref="I1075">_xlfn.IFS(B1075=2015,H1075/$O$10,B1075=2016,H1075/$O$11,B1075=2017,H1075/$O$12,B1075=2018,H1075/$O$13,B1075=2019,H1075/$O$14,B1075=2020,H1075/$O$15,B1075=2021,H1075/$O$16,B1075=2022,H1075/$O$17)</f>
        <v>1.8335430347074134E-3</v>
      </c>
      <c r="J1075" s="6" cm="1">
        <f t="array" ref="J1075">_xlfn.IFS(B1075=2015,I1075*$Q$1,B1075=2016,I1075*$Q$2,B1075=2017,I1075*$Q$3,B1075=2018,I1075*$Q$4,B1075=2019,I1075*$Q$5,B1075=2020,I1075*$Q$6,B1075=2021,I1075*$Q$7,B1075=2022,I1075*$Q$8)</f>
        <v>48492.546900987756</v>
      </c>
      <c r="K1075" s="7">
        <f t="shared" si="34"/>
        <v>142114.54690098774</v>
      </c>
      <c r="L1075">
        <f>IFERROR(VLOOKUP(G1075,'LEAID Match'!$A$2:$B$168,2,FALSE),"")</f>
        <v>4626970</v>
      </c>
    </row>
    <row r="1076" spans="1:12" x14ac:dyDescent="0.2">
      <c r="A1076">
        <f t="shared" si="33"/>
        <v>4626970</v>
      </c>
      <c r="B1076">
        <v>2020</v>
      </c>
      <c r="C1076" t="s">
        <v>208</v>
      </c>
      <c r="D1076" t="s">
        <v>212</v>
      </c>
      <c r="E1076" t="s">
        <v>211</v>
      </c>
      <c r="F1076" s="1">
        <v>954100</v>
      </c>
      <c r="G1076" s="3" t="s">
        <v>59</v>
      </c>
      <c r="H1076" s="2">
        <v>94290</v>
      </c>
      <c r="I1076" cm="1">
        <f t="array" ref="I1076">_xlfn.IFS(B1076=2015,H1076/$O$10,B1076=2016,H1076/$O$11,B1076=2017,H1076/$O$12,B1076=2018,H1076/$O$13,B1076=2019,H1076/$O$14,B1076=2020,H1076/$O$15,B1076=2021,H1076/$O$16,B1076=2022,H1076/$O$17)</f>
        <v>1.7858318476338647E-3</v>
      </c>
      <c r="J1076" s="6" cm="1">
        <f t="array" ref="J1076">_xlfn.IFS(B1076=2015,I1076*$Q$1,B1076=2016,I1076*$Q$2,B1076=2017,I1076*$Q$3,B1076=2018,I1076*$Q$4,B1076=2019,I1076*$Q$5,B1076=2020,I1076*$Q$6,B1076=2021,I1076*$Q$7,B1076=2022,I1076*$Q$8)</f>
        <v>48557.180464321587</v>
      </c>
      <c r="K1076" s="7">
        <f t="shared" si="34"/>
        <v>142847.18046432157</v>
      </c>
      <c r="L1076">
        <f>IFERROR(VLOOKUP(G1076,'LEAID Match'!$A$2:$B$168,2,FALSE),"")</f>
        <v>4626970</v>
      </c>
    </row>
    <row r="1077" spans="1:12" x14ac:dyDescent="0.2">
      <c r="A1077">
        <f t="shared" si="33"/>
        <v>4626970</v>
      </c>
      <c r="B1077">
        <v>2021</v>
      </c>
      <c r="C1077" t="s">
        <v>208</v>
      </c>
      <c r="D1077" t="s">
        <v>212</v>
      </c>
      <c r="E1077" t="s">
        <v>211</v>
      </c>
      <c r="F1077" s="3">
        <v>954100</v>
      </c>
      <c r="G1077" s="3" t="s">
        <v>59</v>
      </c>
      <c r="H1077" s="4">
        <v>98460</v>
      </c>
      <c r="I1077" cm="1">
        <f t="array" ref="I1077">_xlfn.IFS(B1077=2015,H1077/$O$10,B1077=2016,H1077/$O$11,B1077=2017,H1077/$O$12,B1077=2018,H1077/$O$13,B1077=2019,H1077/$O$14,B1077=2020,H1077/$O$15,B1077=2021,H1077/$O$16,B1077=2022,H1077/$O$17)</f>
        <v>1.7783420051136634E-3</v>
      </c>
      <c r="J1077" s="6" cm="1">
        <f t="array" ref="J1077">_xlfn.IFS(B1077=2015,I1077*$Q$1,B1077=2016,I1077*$Q$2,B1077=2017,I1077*$Q$3,B1077=2018,I1077*$Q$4,B1077=2019,I1077*$Q$5,B1077=2020,I1077*$Q$6,B1077=2021,I1077*$Q$7,B1077=2022,I1077*$Q$8)</f>
        <v>49506.076926241869</v>
      </c>
      <c r="K1077" s="7">
        <f t="shared" si="34"/>
        <v>147966.07692624186</v>
      </c>
      <c r="L1077">
        <f>IFERROR(VLOOKUP(G1077,'LEAID Match'!$A$2:$B$168,2,FALSE),"")</f>
        <v>4626970</v>
      </c>
    </row>
    <row r="1078" spans="1:12" x14ac:dyDescent="0.2">
      <c r="A1078">
        <f t="shared" si="33"/>
        <v>4626970</v>
      </c>
      <c r="B1078">
        <v>2022</v>
      </c>
      <c r="C1078" t="s">
        <v>208</v>
      </c>
      <c r="D1078" t="s">
        <v>212</v>
      </c>
      <c r="E1078" t="s">
        <v>211</v>
      </c>
      <c r="F1078" s="3">
        <v>954100</v>
      </c>
      <c r="G1078" s="3" t="s">
        <v>59</v>
      </c>
      <c r="H1078" s="4">
        <v>104580</v>
      </c>
      <c r="I1078" cm="1">
        <f t="array" ref="I1078">_xlfn.IFS(B1078=2015,H1078/$O$10,B1078=2016,H1078/$O$11,B1078=2017,H1078/$O$12,B1078=2018,H1078/$O$13,B1078=2019,H1078/$O$14,B1078=2020,H1078/$O$15,B1078=2021,H1078/$O$16,B1078=2022,H1078/$O$17)</f>
        <v>1.8111773019616687E-3</v>
      </c>
      <c r="J1078" s="6" cm="1">
        <f t="array" ref="J1078">_xlfn.IFS(B1078=2015,I1078*$Q$1,B1078=2016,I1078*$Q$2,B1078=2017,I1078*$Q$3,B1078=2018,I1078*$Q$4,B1078=2019,I1078*$Q$5,B1078=2020,I1078*$Q$6,B1078=2021,I1078*$Q$7,B1078=2022,I1078*$Q$8)</f>
        <v>53353.563157612531</v>
      </c>
      <c r="K1078" s="7">
        <f t="shared" si="34"/>
        <v>157933.56315761252</v>
      </c>
      <c r="L1078">
        <f>IFERROR(VLOOKUP(G1078,'LEAID Match'!$A$2:$B$168,2,FALSE),"")</f>
        <v>4626970</v>
      </c>
    </row>
    <row r="1079" spans="1:12" x14ac:dyDescent="0.2">
      <c r="A1079">
        <f t="shared" si="33"/>
        <v>4634600</v>
      </c>
      <c r="B1079">
        <v>2015</v>
      </c>
      <c r="C1079" t="s">
        <v>208</v>
      </c>
      <c r="D1079" t="s">
        <v>212</v>
      </c>
      <c r="E1079" t="s">
        <v>211</v>
      </c>
      <c r="F1079" s="3">
        <v>954103</v>
      </c>
      <c r="G1079" s="3" t="s">
        <v>73</v>
      </c>
      <c r="H1079" s="4">
        <v>53108</v>
      </c>
      <c r="I1079" cm="1">
        <f t="array" ref="I1079">_xlfn.IFS(B1079=2015,H1079/$O$10,B1079=2016,H1079/$O$11,B1079=2017,H1079/$O$12,B1079=2018,H1079/$O$13,B1079=2019,H1079/$O$14,B1079=2020,H1079/$O$15,B1079=2021,H1079/$O$16,B1079=2022,H1079/$O$17)</f>
        <v>1.2422117047507814E-3</v>
      </c>
      <c r="J1079" s="6" cm="1">
        <f t="array" ref="J1079">_xlfn.IFS(B1079=2015,I1079*$Q$1,B1079=2016,I1079*$Q$2,B1079=2017,I1079*$Q$3,B1079=2018,I1079*$Q$4,B1079=2019,I1079*$Q$5,B1079=2020,I1079*$Q$6,B1079=2021,I1079*$Q$7,B1079=2022,I1079*$Q$8)</f>
        <v>30548.662786045454</v>
      </c>
      <c r="K1079" s="7">
        <f t="shared" si="34"/>
        <v>83656.662786045461</v>
      </c>
      <c r="L1079">
        <f>IFERROR(VLOOKUP(G1079,'LEAID Match'!$A$2:$B$168,2,FALSE),"")</f>
        <v>4634600</v>
      </c>
    </row>
    <row r="1080" spans="1:12" x14ac:dyDescent="0.2">
      <c r="A1080">
        <f t="shared" si="33"/>
        <v>4634600</v>
      </c>
      <c r="B1080">
        <v>2016</v>
      </c>
      <c r="C1080" t="s">
        <v>208</v>
      </c>
      <c r="D1080" t="s">
        <v>212</v>
      </c>
      <c r="E1080" t="s">
        <v>211</v>
      </c>
      <c r="F1080" s="3">
        <v>954103</v>
      </c>
      <c r="G1080" s="3" t="s">
        <v>73</v>
      </c>
      <c r="H1080" s="4">
        <v>59151</v>
      </c>
      <c r="I1080" cm="1">
        <f t="array" ref="I1080">_xlfn.IFS(B1080=2015,H1080/$O$10,B1080=2016,H1080/$O$11,B1080=2017,H1080/$O$12,B1080=2018,H1080/$O$13,B1080=2019,H1080/$O$14,B1080=2020,H1080/$O$15,B1080=2021,H1080/$O$16,B1080=2022,H1080/$O$17)</f>
        <v>1.3416665712129947E-3</v>
      </c>
      <c r="J1080" s="6" cm="1">
        <f t="array" ref="J1080">_xlfn.IFS(B1080=2015,I1080*$Q$1,B1080=2016,I1080*$Q$2,B1080=2017,I1080*$Q$3,B1080=2018,I1080*$Q$4,B1080=2019,I1080*$Q$5,B1080=2020,I1080*$Q$6,B1080=2021,I1080*$Q$7,B1080=2022,I1080*$Q$8)</f>
        <v>34086.119283255954</v>
      </c>
      <c r="K1080" s="7">
        <f t="shared" si="34"/>
        <v>93237.119283255946</v>
      </c>
      <c r="L1080">
        <f>IFERROR(VLOOKUP(G1080,'LEAID Match'!$A$2:$B$168,2,FALSE),"")</f>
        <v>4634600</v>
      </c>
    </row>
    <row r="1081" spans="1:12" x14ac:dyDescent="0.2">
      <c r="A1081">
        <f t="shared" si="33"/>
        <v>4634600</v>
      </c>
      <c r="B1081">
        <v>2017</v>
      </c>
      <c r="C1081" t="s">
        <v>208</v>
      </c>
      <c r="D1081" t="s">
        <v>212</v>
      </c>
      <c r="E1081" t="s">
        <v>211</v>
      </c>
      <c r="F1081" s="3">
        <v>954103</v>
      </c>
      <c r="G1081" s="3" t="s">
        <v>73</v>
      </c>
      <c r="H1081" s="4">
        <v>76312</v>
      </c>
      <c r="I1081" cm="1">
        <f t="array" ref="I1081">_xlfn.IFS(B1081=2015,H1081/$O$10,B1081=2016,H1081/$O$11,B1081=2017,H1081/$O$12,B1081=2018,H1081/$O$13,B1081=2019,H1081/$O$14,B1081=2020,H1081/$O$15,B1081=2021,H1081/$O$16,B1081=2022,H1081/$O$17)</f>
        <v>1.5755978722078467E-3</v>
      </c>
      <c r="J1081" s="6" cm="1">
        <f t="array" ref="J1081">_xlfn.IFS(B1081=2015,I1081*$Q$1,B1081=2016,I1081*$Q$2,B1081=2017,I1081*$Q$3,B1081=2018,I1081*$Q$4,B1081=2019,I1081*$Q$5,B1081=2020,I1081*$Q$6,B1081=2021,I1081*$Q$7,B1081=2022,I1081*$Q$8)</f>
        <v>41446.943397691168</v>
      </c>
      <c r="K1081" s="7">
        <f t="shared" si="34"/>
        <v>117758.94339769117</v>
      </c>
      <c r="L1081">
        <f>IFERROR(VLOOKUP(G1081,'LEAID Match'!$A$2:$B$168,2,FALSE),"")</f>
        <v>4634600</v>
      </c>
    </row>
    <row r="1082" spans="1:12" x14ac:dyDescent="0.2">
      <c r="A1082">
        <f t="shared" si="33"/>
        <v>4634600</v>
      </c>
      <c r="B1082">
        <v>2018</v>
      </c>
      <c r="C1082" t="s">
        <v>208</v>
      </c>
      <c r="D1082" t="s">
        <v>212</v>
      </c>
      <c r="E1082" t="s">
        <v>211</v>
      </c>
      <c r="F1082" s="3">
        <v>954103</v>
      </c>
      <c r="G1082" s="3" t="s">
        <v>73</v>
      </c>
      <c r="H1082" s="4">
        <v>82560</v>
      </c>
      <c r="I1082" cm="1">
        <f t="array" ref="I1082">_xlfn.IFS(B1082=2015,H1082/$O$10,B1082=2016,H1082/$O$11,B1082=2017,H1082/$O$12,B1082=2018,H1082/$O$13,B1082=2019,H1082/$O$14,B1082=2020,H1082/$O$15,B1082=2021,H1082/$O$16,B1082=2022,H1082/$O$17)</f>
        <v>1.6464614181800211E-3</v>
      </c>
      <c r="J1082" s="6" cm="1">
        <f t="array" ref="J1082">_xlfn.IFS(B1082=2015,I1082*$Q$1,B1082=2016,I1082*$Q$2,B1082=2017,I1082*$Q$3,B1082=2018,I1082*$Q$4,B1082=2019,I1082*$Q$5,B1082=2020,I1082*$Q$6,B1082=2021,I1082*$Q$7,B1082=2022,I1082*$Q$8)</f>
        <v>43229.17652160376</v>
      </c>
      <c r="K1082" s="7">
        <f t="shared" si="34"/>
        <v>125789.17652160376</v>
      </c>
      <c r="L1082">
        <f>IFERROR(VLOOKUP(G1082,'LEAID Match'!$A$2:$B$168,2,FALSE),"")</f>
        <v>4634600</v>
      </c>
    </row>
    <row r="1083" spans="1:12" x14ac:dyDescent="0.2">
      <c r="A1083">
        <f t="shared" si="33"/>
        <v>4634600</v>
      </c>
      <c r="B1083">
        <v>2019</v>
      </c>
      <c r="C1083" t="s">
        <v>208</v>
      </c>
      <c r="D1083" t="s">
        <v>212</v>
      </c>
      <c r="E1083" t="s">
        <v>211</v>
      </c>
      <c r="F1083" s="3">
        <v>954103</v>
      </c>
      <c r="G1083" s="3" t="s">
        <v>73</v>
      </c>
      <c r="H1083" s="4">
        <v>88810</v>
      </c>
      <c r="I1083" cm="1">
        <f t="array" ref="I1083">_xlfn.IFS(B1083=2015,H1083/$O$10,B1083=2016,H1083/$O$11,B1083=2017,H1083/$O$12,B1083=2018,H1083/$O$13,B1083=2019,H1083/$O$14,B1083=2020,H1083/$O$15,B1083=2021,H1083/$O$16,B1083=2022,H1083/$O$17)</f>
        <v>1.7393022677614813E-3</v>
      </c>
      <c r="J1083" s="6" cm="1">
        <f t="array" ref="J1083">_xlfn.IFS(B1083=2015,I1083*$Q$1,B1083=2016,I1083*$Q$2,B1083=2017,I1083*$Q$3,B1083=2018,I1083*$Q$4,B1083=2019,I1083*$Q$5,B1083=2020,I1083*$Q$6,B1083=2021,I1083*$Q$7,B1083=2022,I1083*$Q$8)</f>
        <v>46000.11845801973</v>
      </c>
      <c r="K1083" s="7">
        <f t="shared" si="34"/>
        <v>134810.11845801974</v>
      </c>
      <c r="L1083">
        <f>IFERROR(VLOOKUP(G1083,'LEAID Match'!$A$2:$B$168,2,FALSE),"")</f>
        <v>4634600</v>
      </c>
    </row>
    <row r="1084" spans="1:12" x14ac:dyDescent="0.2">
      <c r="A1084">
        <f t="shared" si="33"/>
        <v>4634600</v>
      </c>
      <c r="B1084">
        <v>2020</v>
      </c>
      <c r="C1084" t="s">
        <v>208</v>
      </c>
      <c r="D1084" t="s">
        <v>212</v>
      </c>
      <c r="E1084" t="s">
        <v>211</v>
      </c>
      <c r="F1084" s="1">
        <v>954103</v>
      </c>
      <c r="G1084" s="3" t="s">
        <v>73</v>
      </c>
      <c r="H1084" s="2">
        <v>90265</v>
      </c>
      <c r="I1084" cm="1">
        <f t="array" ref="I1084">_xlfn.IFS(B1084=2015,H1084/$O$10,B1084=2016,H1084/$O$11,B1084=2017,H1084/$O$12,B1084=2018,H1084/$O$13,B1084=2019,H1084/$O$14,B1084=2020,H1084/$O$15,B1084=2021,H1084/$O$16,B1084=2022,H1084/$O$17)</f>
        <v>1.7095992334995311E-3</v>
      </c>
      <c r="J1084" s="6" cm="1">
        <f t="array" ref="J1084">_xlfn.IFS(B1084=2015,I1084*$Q$1,B1084=2016,I1084*$Q$2,B1084=2017,I1084*$Q$3,B1084=2018,I1084*$Q$4,B1084=2019,I1084*$Q$5,B1084=2020,I1084*$Q$6,B1084=2021,I1084*$Q$7,B1084=2022,I1084*$Q$8)</f>
        <v>46484.398076275189</v>
      </c>
      <c r="K1084" s="7">
        <f t="shared" si="34"/>
        <v>136749.39807627519</v>
      </c>
      <c r="L1084">
        <f>IFERROR(VLOOKUP(G1084,'LEAID Match'!$A$2:$B$168,2,FALSE),"")</f>
        <v>4634600</v>
      </c>
    </row>
    <row r="1085" spans="1:12" x14ac:dyDescent="0.2">
      <c r="A1085">
        <f t="shared" si="33"/>
        <v>4634600</v>
      </c>
      <c r="B1085">
        <v>2021</v>
      </c>
      <c r="C1085" t="s">
        <v>208</v>
      </c>
      <c r="D1085" t="s">
        <v>212</v>
      </c>
      <c r="E1085" t="s">
        <v>211</v>
      </c>
      <c r="F1085" s="3">
        <v>954103</v>
      </c>
      <c r="G1085" s="3" t="s">
        <v>73</v>
      </c>
      <c r="H1085" s="4">
        <v>92007</v>
      </c>
      <c r="I1085" cm="1">
        <f t="array" ref="I1085">_xlfn.IFS(B1085=2015,H1085/$O$10,B1085=2016,H1085/$O$11,B1085=2017,H1085/$O$12,B1085=2018,H1085/$O$13,B1085=2019,H1085/$O$14,B1085=2020,H1085/$O$15,B1085=2021,H1085/$O$16,B1085=2022,H1085/$O$17)</f>
        <v>1.6617907055097789E-3</v>
      </c>
      <c r="J1085" s="6" cm="1">
        <f t="array" ref="J1085">_xlfn.IFS(B1085=2015,I1085*$Q$1,B1085=2016,I1085*$Q$2,B1085=2017,I1085*$Q$3,B1085=2018,I1085*$Q$4,B1085=2019,I1085*$Q$5,B1085=2020,I1085*$Q$6,B1085=2021,I1085*$Q$7,B1085=2022,I1085*$Q$8)</f>
        <v>46261.483036286161</v>
      </c>
      <c r="K1085" s="7">
        <f t="shared" si="34"/>
        <v>138268.48303628617</v>
      </c>
      <c r="L1085">
        <f>IFERROR(VLOOKUP(G1085,'LEAID Match'!$A$2:$B$168,2,FALSE),"")</f>
        <v>4634600</v>
      </c>
    </row>
    <row r="1086" spans="1:12" x14ac:dyDescent="0.2">
      <c r="A1086">
        <f t="shared" si="33"/>
        <v>4634600</v>
      </c>
      <c r="B1086">
        <v>2022</v>
      </c>
      <c r="C1086" t="s">
        <v>208</v>
      </c>
      <c r="D1086" t="s">
        <v>212</v>
      </c>
      <c r="E1086" t="s">
        <v>211</v>
      </c>
      <c r="F1086" s="3">
        <v>954103</v>
      </c>
      <c r="G1086" s="3" t="s">
        <v>73</v>
      </c>
      <c r="H1086" s="4">
        <v>80376</v>
      </c>
      <c r="I1086" cm="1">
        <f t="array" ref="I1086">_xlfn.IFS(B1086=2015,H1086/$O$10,B1086=2016,H1086/$O$11,B1086=2017,H1086/$O$12,B1086=2018,H1086/$O$13,B1086=2019,H1086/$O$14,B1086=2020,H1086/$O$15,B1086=2021,H1086/$O$16,B1086=2022,H1086/$O$17)</f>
        <v>1.3919983440664667E-3</v>
      </c>
      <c r="J1086" s="6" cm="1">
        <f t="array" ref="J1086">_xlfn.IFS(B1086=2015,I1086*$Q$1,B1086=2016,I1086*$Q$2,B1086=2017,I1086*$Q$3,B1086=2018,I1086*$Q$4,B1086=2019,I1086*$Q$5,B1086=2020,I1086*$Q$6,B1086=2021,I1086*$Q$7,B1086=2022,I1086*$Q$8)</f>
        <v>41005.4120515994</v>
      </c>
      <c r="K1086" s="7">
        <f t="shared" si="34"/>
        <v>121381.4120515994</v>
      </c>
      <c r="L1086">
        <f>IFERROR(VLOOKUP(G1086,'LEAID Match'!$A$2:$B$168,2,FALSE),"")</f>
        <v>4634600</v>
      </c>
    </row>
    <row r="1087" spans="1:12" x14ac:dyDescent="0.2">
      <c r="A1087">
        <f t="shared" si="33"/>
        <v>4600003</v>
      </c>
      <c r="B1087">
        <v>2015</v>
      </c>
      <c r="C1087" t="s">
        <v>208</v>
      </c>
      <c r="D1087" t="s">
        <v>212</v>
      </c>
      <c r="E1087" t="s">
        <v>211</v>
      </c>
      <c r="F1087" s="3">
        <v>955102</v>
      </c>
      <c r="G1087" s="3" t="s">
        <v>159</v>
      </c>
      <c r="H1087" s="4">
        <v>66957</v>
      </c>
      <c r="I1087" cm="1">
        <f t="array" ref="I1087">_xlfn.IFS(B1087=2015,H1087/$O$10,B1087=2016,H1087/$O$11,B1087=2017,H1087/$O$12,B1087=2018,H1087/$O$13,B1087=2019,H1087/$O$14,B1087=2020,H1087/$O$15,B1087=2021,H1087/$O$16,B1087=2022,H1087/$O$17)</f>
        <v>1.5661438787941189E-3</v>
      </c>
      <c r="J1087" s="6" cm="1">
        <f t="array" ref="J1087">_xlfn.IFS(B1087=2015,I1087*$Q$1,B1087=2016,I1087*$Q$2,B1087=2017,I1087*$Q$3,B1087=2018,I1087*$Q$4,B1087=2019,I1087*$Q$5,B1087=2020,I1087*$Q$6,B1087=2021,I1087*$Q$7,B1087=2022,I1087*$Q$8)</f>
        <v>38514.853019606184</v>
      </c>
      <c r="K1087" s="7">
        <f t="shared" si="34"/>
        <v>105471.85301960618</v>
      </c>
      <c r="L1087">
        <f>IFERROR(VLOOKUP(G1087,'LEAID Match'!$A$2:$B$168,2,FALSE),"")</f>
        <v>4600003</v>
      </c>
    </row>
    <row r="1088" spans="1:12" x14ac:dyDescent="0.2">
      <c r="A1088">
        <f t="shared" si="33"/>
        <v>4600003</v>
      </c>
      <c r="B1088">
        <v>2016</v>
      </c>
      <c r="C1088" t="s">
        <v>208</v>
      </c>
      <c r="D1088" t="s">
        <v>212</v>
      </c>
      <c r="E1088" t="s">
        <v>211</v>
      </c>
      <c r="F1088" s="3">
        <v>955102</v>
      </c>
      <c r="G1088" s="3" t="s">
        <v>159</v>
      </c>
      <c r="H1088" s="4">
        <v>68602</v>
      </c>
      <c r="I1088" cm="1">
        <f t="array" ref="I1088">_xlfn.IFS(B1088=2015,H1088/$O$10,B1088=2016,H1088/$O$11,B1088=2017,H1088/$O$12,B1088=2018,H1088/$O$13,B1088=2019,H1088/$O$14,B1088=2020,H1088/$O$15,B1088=2021,H1088/$O$16,B1088=2022,H1088/$O$17)</f>
        <v>1.5560347266885405E-3</v>
      </c>
      <c r="J1088" s="6" cm="1">
        <f t="array" ref="J1088">_xlfn.IFS(B1088=2015,I1088*$Q$1,B1088=2016,I1088*$Q$2,B1088=2017,I1088*$Q$3,B1088=2018,I1088*$Q$4,B1088=2019,I1088*$Q$5,B1088=2020,I1088*$Q$6,B1088=2021,I1088*$Q$7,B1088=2022,I1088*$Q$8)</f>
        <v>39532.314839477353</v>
      </c>
      <c r="K1088" s="7">
        <f t="shared" si="34"/>
        <v>108134.31483947736</v>
      </c>
      <c r="L1088">
        <f>IFERROR(VLOOKUP(G1088,'LEAID Match'!$A$2:$B$168,2,FALSE),"")</f>
        <v>4600003</v>
      </c>
    </row>
    <row r="1089" spans="1:12" x14ac:dyDescent="0.2">
      <c r="A1089">
        <f t="shared" si="33"/>
        <v>4600003</v>
      </c>
      <c r="B1089">
        <v>2017</v>
      </c>
      <c r="C1089" t="s">
        <v>208</v>
      </c>
      <c r="D1089" t="s">
        <v>212</v>
      </c>
      <c r="E1089" t="s">
        <v>211</v>
      </c>
      <c r="F1089" s="3">
        <v>955102</v>
      </c>
      <c r="G1089" s="3" t="s">
        <v>159</v>
      </c>
      <c r="H1089" s="4">
        <v>76532</v>
      </c>
      <c r="I1089" cm="1">
        <f t="array" ref="I1089">_xlfn.IFS(B1089=2015,H1089/$O$10,B1089=2016,H1089/$O$11,B1089=2017,H1089/$O$12,B1089=2018,H1089/$O$13,B1089=2019,H1089/$O$14,B1089=2020,H1089/$O$15,B1089=2021,H1089/$O$16,B1089=2022,H1089/$O$17)</f>
        <v>1.5801401661050809E-3</v>
      </c>
      <c r="J1089" s="6" cm="1">
        <f t="array" ref="J1089">_xlfn.IFS(B1089=2015,I1089*$Q$1,B1089=2016,I1089*$Q$2,B1089=2017,I1089*$Q$3,B1089=2018,I1089*$Q$4,B1089=2019,I1089*$Q$5,B1089=2020,I1089*$Q$6,B1089=2021,I1089*$Q$7,B1089=2022,I1089*$Q$8)</f>
        <v>41566.430864242851</v>
      </c>
      <c r="K1089" s="7">
        <f t="shared" si="34"/>
        <v>118098.43086424285</v>
      </c>
      <c r="L1089">
        <f>IFERROR(VLOOKUP(G1089,'LEAID Match'!$A$2:$B$168,2,FALSE),"")</f>
        <v>4600003</v>
      </c>
    </row>
    <row r="1090" spans="1:12" x14ac:dyDescent="0.2">
      <c r="A1090">
        <f t="shared" si="33"/>
        <v>4600003</v>
      </c>
      <c r="B1090">
        <v>2018</v>
      </c>
      <c r="C1090" t="s">
        <v>208</v>
      </c>
      <c r="D1090" t="s">
        <v>212</v>
      </c>
      <c r="E1090" t="s">
        <v>211</v>
      </c>
      <c r="F1090" s="3">
        <v>955102</v>
      </c>
      <c r="G1090" s="3" t="s">
        <v>159</v>
      </c>
      <c r="H1090" s="4">
        <v>80310</v>
      </c>
      <c r="I1090" cm="1">
        <f t="array" ref="I1090">_xlfn.IFS(B1090=2015,H1090/$O$10,B1090=2016,H1090/$O$11,B1090=2017,H1090/$O$12,B1090=2018,H1090/$O$13,B1090=2019,H1090/$O$14,B1090=2020,H1090/$O$15,B1090=2021,H1090/$O$16,B1090=2022,H1090/$O$17)</f>
        <v>1.6015905583095628E-3</v>
      </c>
      <c r="J1090" s="6" cm="1">
        <f t="array" ref="J1090">_xlfn.IFS(B1090=2015,I1090*$Q$1,B1090=2016,I1090*$Q$2,B1090=2017,I1090*$Q$3,B1090=2018,I1090*$Q$4,B1090=2019,I1090*$Q$5,B1090=2020,I1090*$Q$6,B1090=2021,I1090*$Q$7,B1090=2022,I1090*$Q$8)</f>
        <v>42051.055795179243</v>
      </c>
      <c r="K1090" s="7">
        <f t="shared" si="34"/>
        <v>122361.05579517924</v>
      </c>
      <c r="L1090">
        <f>IFERROR(VLOOKUP(G1090,'LEAID Match'!$A$2:$B$168,2,FALSE),"")</f>
        <v>4600003</v>
      </c>
    </row>
    <row r="1091" spans="1:12" x14ac:dyDescent="0.2">
      <c r="A1091">
        <f t="shared" ref="A1091:A1154" si="35">L1091</f>
        <v>4600003</v>
      </c>
      <c r="B1091">
        <v>2019</v>
      </c>
      <c r="C1091" t="s">
        <v>208</v>
      </c>
      <c r="D1091" t="s">
        <v>212</v>
      </c>
      <c r="E1091" t="s">
        <v>211</v>
      </c>
      <c r="F1091" s="3">
        <v>955102</v>
      </c>
      <c r="G1091" s="3" t="s">
        <v>159</v>
      </c>
      <c r="H1091" s="4">
        <v>84893</v>
      </c>
      <c r="I1091" cm="1">
        <f t="array" ref="I1091">_xlfn.IFS(B1091=2015,H1091/$O$10,B1091=2016,H1091/$O$11,B1091=2017,H1091/$O$12,B1091=2018,H1091/$O$13,B1091=2019,H1091/$O$14,B1091=2020,H1091/$O$15,B1091=2021,H1091/$O$16,B1091=2022,H1091/$O$17)</f>
        <v>1.6625896567624753E-3</v>
      </c>
      <c r="J1091" s="6" cm="1">
        <f t="array" ref="J1091">_xlfn.IFS(B1091=2015,I1091*$Q$1,B1091=2016,I1091*$Q$2,B1091=2017,I1091*$Q$3,B1091=2018,I1091*$Q$4,B1091=2019,I1091*$Q$5,B1091=2020,I1091*$Q$6,B1091=2021,I1091*$Q$7,B1091=2022,I1091*$Q$8)</f>
        <v>43971.265130691012</v>
      </c>
      <c r="K1091" s="7">
        <f t="shared" ref="K1091:K1154" si="36">SUM(J1091,H1091)</f>
        <v>128864.26513069101</v>
      </c>
      <c r="L1091">
        <f>IFERROR(VLOOKUP(G1091,'LEAID Match'!$A$2:$B$168,2,FALSE),"")</f>
        <v>4600003</v>
      </c>
    </row>
    <row r="1092" spans="1:12" x14ac:dyDescent="0.2">
      <c r="A1092">
        <f t="shared" si="35"/>
        <v>4600003</v>
      </c>
      <c r="B1092">
        <v>2020</v>
      </c>
      <c r="C1092" t="s">
        <v>208</v>
      </c>
      <c r="D1092" t="s">
        <v>212</v>
      </c>
      <c r="E1092" t="s">
        <v>211</v>
      </c>
      <c r="F1092" s="1">
        <v>955102</v>
      </c>
      <c r="G1092" s="3" t="s">
        <v>159</v>
      </c>
      <c r="H1092" s="2">
        <v>86882</v>
      </c>
      <c r="I1092" cm="1">
        <f t="array" ref="I1092">_xlfn.IFS(B1092=2015,H1092/$O$10,B1092=2016,H1092/$O$11,B1092=2017,H1092/$O$12,B1092=2018,H1092/$O$13,B1092=2019,H1092/$O$14,B1092=2020,H1092/$O$15,B1092=2021,H1092/$O$16,B1092=2022,H1092/$O$17)</f>
        <v>1.6455259580668727E-3</v>
      </c>
      <c r="J1092" s="6" cm="1">
        <f t="array" ref="J1092">_xlfn.IFS(B1092=2015,I1092*$Q$1,B1092=2016,I1092*$Q$2,B1092=2017,I1092*$Q$3,B1092=2018,I1092*$Q$4,B1092=2019,I1092*$Q$5,B1092=2020,I1092*$Q$6,B1092=2021,I1092*$Q$7,B1092=2022,I1092*$Q$8)</f>
        <v>44742.230916334585</v>
      </c>
      <c r="K1092" s="7">
        <f t="shared" si="36"/>
        <v>131624.23091633458</v>
      </c>
      <c r="L1092">
        <f>IFERROR(VLOOKUP(G1092,'LEAID Match'!$A$2:$B$168,2,FALSE),"")</f>
        <v>4600003</v>
      </c>
    </row>
    <row r="1093" spans="1:12" x14ac:dyDescent="0.2">
      <c r="A1093">
        <f t="shared" si="35"/>
        <v>4600003</v>
      </c>
      <c r="B1093">
        <v>2021</v>
      </c>
      <c r="C1093" t="s">
        <v>208</v>
      </c>
      <c r="D1093" t="s">
        <v>212</v>
      </c>
      <c r="E1093" t="s">
        <v>211</v>
      </c>
      <c r="F1093" s="3">
        <v>955102</v>
      </c>
      <c r="G1093" s="3" t="s">
        <v>159</v>
      </c>
      <c r="H1093" s="4">
        <v>88201</v>
      </c>
      <c r="I1093" cm="1">
        <f t="array" ref="I1093">_xlfn.IFS(B1093=2015,H1093/$O$10,B1093=2016,H1093/$O$11,B1093=2017,H1093/$O$12,B1093=2018,H1093/$O$13,B1093=2019,H1093/$O$14,B1093=2020,H1093/$O$15,B1093=2021,H1093/$O$16,B1093=2022,H1093/$O$17)</f>
        <v>1.5930483769351028E-3</v>
      </c>
      <c r="J1093" s="6" cm="1">
        <f t="array" ref="J1093">_xlfn.IFS(B1093=2015,I1093*$Q$1,B1093=2016,I1093*$Q$2,B1093=2017,I1093*$Q$3,B1093=2018,I1093*$Q$4,B1093=2019,I1093*$Q$5,B1093=2020,I1093*$Q$6,B1093=2021,I1093*$Q$7,B1093=2022,I1093*$Q$8)</f>
        <v>44347.811202228913</v>
      </c>
      <c r="K1093" s="7">
        <f t="shared" si="36"/>
        <v>132548.81120222891</v>
      </c>
      <c r="L1093">
        <f>IFERROR(VLOOKUP(G1093,'LEAID Match'!$A$2:$B$168,2,FALSE),"")</f>
        <v>4600003</v>
      </c>
    </row>
    <row r="1094" spans="1:12" x14ac:dyDescent="0.2">
      <c r="A1094">
        <f t="shared" si="35"/>
        <v>4600003</v>
      </c>
      <c r="B1094">
        <v>2022</v>
      </c>
      <c r="C1094" t="s">
        <v>208</v>
      </c>
      <c r="D1094" t="s">
        <v>212</v>
      </c>
      <c r="E1094" t="s">
        <v>211</v>
      </c>
      <c r="F1094" s="3">
        <v>955102</v>
      </c>
      <c r="G1094" s="3" t="s">
        <v>159</v>
      </c>
      <c r="H1094" s="4">
        <v>101264</v>
      </c>
      <c r="I1094" cm="1">
        <f t="array" ref="I1094">_xlfn.IFS(B1094=2015,H1094/$O$10,B1094=2016,H1094/$O$11,B1094=2017,H1094/$O$12,B1094=2018,H1094/$O$13,B1094=2019,H1094/$O$14,B1094=2020,H1094/$O$15,B1094=2021,H1094/$O$16,B1094=2022,H1094/$O$17)</f>
        <v>1.753748884163764E-3</v>
      </c>
      <c r="J1094" s="6" cm="1">
        <f t="array" ref="J1094">_xlfn.IFS(B1094=2015,I1094*$Q$1,B1094=2016,I1094*$Q$2,B1094=2017,I1094*$Q$3,B1094=2018,I1094*$Q$4,B1094=2019,I1094*$Q$5,B1094=2020,I1094*$Q$6,B1094=2021,I1094*$Q$7,B1094=2022,I1094*$Q$8)</f>
        <v>51661.839927256413</v>
      </c>
      <c r="K1094" s="7">
        <f t="shared" si="36"/>
        <v>152925.8399272564</v>
      </c>
      <c r="L1094">
        <f>IFERROR(VLOOKUP(G1094,'LEAID Match'!$A$2:$B$168,2,FALSE),"")</f>
        <v>4600003</v>
      </c>
    </row>
    <row r="1095" spans="1:12" x14ac:dyDescent="0.2">
      <c r="A1095">
        <f t="shared" si="35"/>
        <v>4670140</v>
      </c>
      <c r="B1095">
        <v>2015</v>
      </c>
      <c r="C1095" t="s">
        <v>208</v>
      </c>
      <c r="D1095" t="s">
        <v>212</v>
      </c>
      <c r="E1095" t="s">
        <v>211</v>
      </c>
      <c r="F1095" s="3">
        <v>955104</v>
      </c>
      <c r="G1095" s="3" t="s">
        <v>137</v>
      </c>
      <c r="H1095" s="4">
        <v>53807</v>
      </c>
      <c r="I1095" cm="1">
        <f t="array" ref="I1095">_xlfn.IFS(B1095=2015,H1095/$O$10,B1095=2016,H1095/$O$11,B1095=2017,H1095/$O$12,B1095=2018,H1095/$O$13,B1095=2019,H1095/$O$14,B1095=2020,H1095/$O$15,B1095=2021,H1095/$O$16,B1095=2022,H1095/$O$17)</f>
        <v>1.2585615198750714E-3</v>
      </c>
      <c r="J1095" s="6" cm="1">
        <f t="array" ref="J1095">_xlfn.IFS(B1095=2015,I1095*$Q$1,B1095=2016,I1095*$Q$2,B1095=2017,I1095*$Q$3,B1095=2018,I1095*$Q$4,B1095=2019,I1095*$Q$5,B1095=2020,I1095*$Q$6,B1095=2021,I1095*$Q$7,B1095=2022,I1095*$Q$8)</f>
        <v>30950.739973803338</v>
      </c>
      <c r="K1095" s="7">
        <f t="shared" si="36"/>
        <v>84757.739973803342</v>
      </c>
      <c r="L1095">
        <f>IFERROR(VLOOKUP(G1095,'LEAID Match'!$A$2:$B$168,2,FALSE),"")</f>
        <v>4670140</v>
      </c>
    </row>
    <row r="1096" spans="1:12" x14ac:dyDescent="0.2">
      <c r="A1096">
        <f t="shared" si="35"/>
        <v>4670140</v>
      </c>
      <c r="B1096">
        <v>2016</v>
      </c>
      <c r="C1096" t="s">
        <v>208</v>
      </c>
      <c r="D1096" t="s">
        <v>212</v>
      </c>
      <c r="E1096" t="s">
        <v>211</v>
      </c>
      <c r="F1096" s="3">
        <v>955104</v>
      </c>
      <c r="G1096" s="3" t="s">
        <v>137</v>
      </c>
      <c r="H1096" s="4">
        <v>59302</v>
      </c>
      <c r="I1096" cm="1">
        <f t="array" ref="I1096">_xlfn.IFS(B1096=2015,H1096/$O$10,B1096=2016,H1096/$O$11,B1096=2017,H1096/$O$12,B1096=2018,H1096/$O$13,B1096=2019,H1096/$O$14,B1096=2020,H1096/$O$15,B1096=2021,H1096/$O$16,B1096=2022,H1096/$O$17)</f>
        <v>1.3450915623754967E-3</v>
      </c>
      <c r="J1096" s="6" cm="1">
        <f t="array" ref="J1096">_xlfn.IFS(B1096=2015,I1096*$Q$1,B1096=2016,I1096*$Q$2,B1096=2017,I1096*$Q$3,B1096=2018,I1096*$Q$4,B1096=2019,I1096*$Q$5,B1096=2020,I1096*$Q$6,B1096=2021,I1096*$Q$7,B1096=2022,I1096*$Q$8)</f>
        <v>34173.133940857209</v>
      </c>
      <c r="K1096" s="7">
        <f t="shared" si="36"/>
        <v>93475.133940857209</v>
      </c>
      <c r="L1096">
        <f>IFERROR(VLOOKUP(G1096,'LEAID Match'!$A$2:$B$168,2,FALSE),"")</f>
        <v>4670140</v>
      </c>
    </row>
    <row r="1097" spans="1:12" x14ac:dyDescent="0.2">
      <c r="A1097">
        <f t="shared" si="35"/>
        <v>4670140</v>
      </c>
      <c r="B1097">
        <v>2017</v>
      </c>
      <c r="C1097" t="s">
        <v>208</v>
      </c>
      <c r="D1097" t="s">
        <v>212</v>
      </c>
      <c r="E1097" t="s">
        <v>211</v>
      </c>
      <c r="F1097" s="3">
        <v>955104</v>
      </c>
      <c r="G1097" s="3" t="s">
        <v>137</v>
      </c>
      <c r="H1097" s="4">
        <v>63777</v>
      </c>
      <c r="I1097" cm="1">
        <f t="array" ref="I1097">_xlfn.IFS(B1097=2015,H1097/$O$10,B1097=2016,H1097/$O$11,B1097=2017,H1097/$O$12,B1097=2018,H1097/$O$13,B1097=2019,H1097/$O$14,B1097=2020,H1097/$O$15,B1097=2021,H1097/$O$16,B1097=2022,H1097/$O$17)</f>
        <v>1.3167903540177146E-3</v>
      </c>
      <c r="J1097" s="6" cm="1">
        <f t="array" ref="J1097">_xlfn.IFS(B1097=2015,I1097*$Q$1,B1097=2016,I1097*$Q$2,B1097=2017,I1097*$Q$3,B1097=2018,I1097*$Q$4,B1097=2019,I1097*$Q$5,B1097=2020,I1097*$Q$6,B1097=2021,I1097*$Q$7,B1097=2022,I1097*$Q$8)</f>
        <v>34638.873428485029</v>
      </c>
      <c r="K1097" s="7">
        <f t="shared" si="36"/>
        <v>98415.873428485036</v>
      </c>
      <c r="L1097">
        <f>IFERROR(VLOOKUP(G1097,'LEAID Match'!$A$2:$B$168,2,FALSE),"")</f>
        <v>4670140</v>
      </c>
    </row>
    <row r="1098" spans="1:12" x14ac:dyDescent="0.2">
      <c r="A1098">
        <f t="shared" si="35"/>
        <v>4670140</v>
      </c>
      <c r="B1098">
        <v>2018</v>
      </c>
      <c r="C1098" t="s">
        <v>208</v>
      </c>
      <c r="D1098" t="s">
        <v>212</v>
      </c>
      <c r="E1098" t="s">
        <v>211</v>
      </c>
      <c r="F1098" s="3">
        <v>955104</v>
      </c>
      <c r="G1098" s="3" t="s">
        <v>137</v>
      </c>
      <c r="H1098" s="4">
        <v>70494</v>
      </c>
      <c r="I1098" cm="1">
        <f t="array" ref="I1098">_xlfn.IFS(B1098=2015,H1098/$O$10,B1098=2016,H1098/$O$11,B1098=2017,H1098/$O$12,B1098=2018,H1098/$O$13,B1098=2019,H1098/$O$14,B1098=2020,H1098/$O$15,B1098=2021,H1098/$O$16,B1098=2022,H1098/$O$17)</f>
        <v>1.4058339536480427E-3</v>
      </c>
      <c r="J1098" s="6" cm="1">
        <f t="array" ref="J1098">_xlfn.IFS(B1098=2015,I1098*$Q$1,B1098=2016,I1098*$Q$2,B1098=2017,I1098*$Q$3,B1098=2018,I1098*$Q$4,B1098=2019,I1098*$Q$5,B1098=2020,I1098*$Q$6,B1098=2021,I1098*$Q$7,B1098=2022,I1098*$Q$8)</f>
        <v>36911.307772697859</v>
      </c>
      <c r="K1098" s="7">
        <f t="shared" si="36"/>
        <v>107405.30777269785</v>
      </c>
      <c r="L1098">
        <f>IFERROR(VLOOKUP(G1098,'LEAID Match'!$A$2:$B$168,2,FALSE),"")</f>
        <v>4670140</v>
      </c>
    </row>
    <row r="1099" spans="1:12" x14ac:dyDescent="0.2">
      <c r="A1099">
        <f t="shared" si="35"/>
        <v>4670140</v>
      </c>
      <c r="B1099">
        <v>2019</v>
      </c>
      <c r="C1099" t="s">
        <v>208</v>
      </c>
      <c r="D1099" t="s">
        <v>212</v>
      </c>
      <c r="E1099" t="s">
        <v>211</v>
      </c>
      <c r="F1099" s="3">
        <v>955104</v>
      </c>
      <c r="G1099" s="3" t="s">
        <v>137</v>
      </c>
      <c r="H1099" s="4">
        <v>69627</v>
      </c>
      <c r="I1099" cm="1">
        <f t="array" ref="I1099">_xlfn.IFS(B1099=2015,H1099/$O$10,B1099=2016,H1099/$O$11,B1099=2017,H1099/$O$12,B1099=2018,H1099/$O$13,B1099=2019,H1099/$O$14,B1099=2020,H1099/$O$15,B1099=2021,H1099/$O$16,B1099=2022,H1099/$O$17)</f>
        <v>1.3636121945437298E-3</v>
      </c>
      <c r="J1099" s="6" cm="1">
        <f t="array" ref="J1099">_xlfn.IFS(B1099=2015,I1099*$Q$1,B1099=2016,I1099*$Q$2,B1099=2017,I1099*$Q$3,B1099=2018,I1099*$Q$4,B1099=2019,I1099*$Q$5,B1099=2020,I1099*$Q$6,B1099=2021,I1099*$Q$7,B1099=2022,I1099*$Q$8)</f>
        <v>36064.072152646542</v>
      </c>
      <c r="K1099" s="7">
        <f t="shared" si="36"/>
        <v>105691.07215264655</v>
      </c>
      <c r="L1099">
        <f>IFERROR(VLOOKUP(G1099,'LEAID Match'!$A$2:$B$168,2,FALSE),"")</f>
        <v>4670140</v>
      </c>
    </row>
    <row r="1100" spans="1:12" x14ac:dyDescent="0.2">
      <c r="A1100">
        <f t="shared" si="35"/>
        <v>4670140</v>
      </c>
      <c r="B1100">
        <v>2020</v>
      </c>
      <c r="C1100" t="s">
        <v>208</v>
      </c>
      <c r="D1100" t="s">
        <v>212</v>
      </c>
      <c r="E1100" t="s">
        <v>211</v>
      </c>
      <c r="F1100" s="1">
        <v>955104</v>
      </c>
      <c r="G1100" s="3" t="s">
        <v>137</v>
      </c>
      <c r="H1100" s="2">
        <v>70946</v>
      </c>
      <c r="I1100" cm="1">
        <f t="array" ref="I1100">_xlfn.IFS(B1100=2015,H1100/$O$10,B1100=2016,H1100/$O$11,B1100=2017,H1100/$O$12,B1100=2018,H1100/$O$13,B1100=2019,H1100/$O$14,B1100=2020,H1100/$O$15,B1100=2021,H1100/$O$16,B1100=2022,H1100/$O$17)</f>
        <v>1.3437016254346395E-3</v>
      </c>
      <c r="J1100" s="6" cm="1">
        <f t="array" ref="J1100">_xlfn.IFS(B1100=2015,I1100*$Q$1,B1100=2016,I1100*$Q$2,B1100=2017,I1100*$Q$3,B1100=2018,I1100*$Q$4,B1100=2019,I1100*$Q$5,B1100=2020,I1100*$Q$6,B1100=2021,I1100*$Q$7,B1100=2022,I1100*$Q$8)</f>
        <v>36535.557590643322</v>
      </c>
      <c r="K1100" s="7">
        <f t="shared" si="36"/>
        <v>107481.55759064332</v>
      </c>
      <c r="L1100">
        <f>IFERROR(VLOOKUP(G1100,'LEAID Match'!$A$2:$B$168,2,FALSE),"")</f>
        <v>4670140</v>
      </c>
    </row>
    <row r="1101" spans="1:12" x14ac:dyDescent="0.2">
      <c r="A1101">
        <f t="shared" si="35"/>
        <v>4670140</v>
      </c>
      <c r="B1101">
        <v>2021</v>
      </c>
      <c r="C1101" t="s">
        <v>208</v>
      </c>
      <c r="D1101" t="s">
        <v>212</v>
      </c>
      <c r="E1101" t="s">
        <v>211</v>
      </c>
      <c r="F1101" s="3">
        <v>955104</v>
      </c>
      <c r="G1101" s="3" t="s">
        <v>137</v>
      </c>
      <c r="H1101" s="4">
        <v>73721</v>
      </c>
      <c r="I1101" cm="1">
        <f t="array" ref="I1101">_xlfn.IFS(B1101=2015,H1101/$O$10,B1101=2016,H1101/$O$11,B1101=2017,H1101/$O$12,B1101=2018,H1101/$O$13,B1101=2019,H1101/$O$14,B1101=2020,H1101/$O$15,B1101=2021,H1101/$O$16,B1101=2022,H1101/$O$17)</f>
        <v>1.3315168693782691E-3</v>
      </c>
      <c r="J1101" s="6" cm="1">
        <f t="array" ref="J1101">_xlfn.IFS(B1101=2015,I1101*$Q$1,B1101=2016,I1101*$Q$2,B1101=2017,I1101*$Q$3,B1101=2018,I1101*$Q$4,B1101=2019,I1101*$Q$5,B1101=2020,I1101*$Q$6,B1101=2021,I1101*$Q$7,B1101=2022,I1101*$Q$8)</f>
        <v>37067.210004869754</v>
      </c>
      <c r="K1101" s="7">
        <f t="shared" si="36"/>
        <v>110788.21000486976</v>
      </c>
      <c r="L1101">
        <f>IFERROR(VLOOKUP(G1101,'LEAID Match'!$A$2:$B$168,2,FALSE),"")</f>
        <v>4670140</v>
      </c>
    </row>
    <row r="1102" spans="1:12" x14ac:dyDescent="0.2">
      <c r="A1102">
        <f t="shared" si="35"/>
        <v>4670140</v>
      </c>
      <c r="B1102">
        <v>2022</v>
      </c>
      <c r="C1102" t="s">
        <v>208</v>
      </c>
      <c r="D1102" t="s">
        <v>212</v>
      </c>
      <c r="E1102" t="s">
        <v>211</v>
      </c>
      <c r="F1102" s="3">
        <v>955104</v>
      </c>
      <c r="G1102" s="3" t="s">
        <v>137</v>
      </c>
      <c r="H1102" s="4">
        <v>73244</v>
      </c>
      <c r="I1102" cm="1">
        <f t="array" ref="I1102">_xlfn.IFS(B1102=2015,H1102/$O$10,B1102=2016,H1102/$O$11,B1102=2017,H1102/$O$12,B1102=2018,H1102/$O$13,B1102=2019,H1102/$O$14,B1102=2020,H1102/$O$15,B1102=2021,H1102/$O$16,B1102=2022,H1102/$O$17)</f>
        <v>1.2684822174878606E-3</v>
      </c>
      <c r="J1102" s="6" cm="1">
        <f t="array" ref="J1102">_xlfn.IFS(B1102=2015,I1102*$Q$1,B1102=2016,I1102*$Q$2,B1102=2017,I1102*$Q$3,B1102=2018,I1102*$Q$4,B1102=2019,I1102*$Q$5,B1102=2020,I1102*$Q$6,B1102=2021,I1102*$Q$7,B1102=2022,I1102*$Q$8)</f>
        <v>37366.880664717653</v>
      </c>
      <c r="K1102" s="7">
        <f t="shared" si="36"/>
        <v>110610.88066471765</v>
      </c>
      <c r="L1102">
        <f>IFERROR(VLOOKUP(G1102,'LEAID Match'!$A$2:$B$168,2,FALSE),"")</f>
        <v>4670140</v>
      </c>
    </row>
    <row r="1103" spans="1:12" x14ac:dyDescent="0.2">
      <c r="A1103">
        <f t="shared" si="35"/>
        <v>4600053</v>
      </c>
      <c r="B1103">
        <v>2015</v>
      </c>
      <c r="C1103" t="s">
        <v>208</v>
      </c>
      <c r="D1103" t="s">
        <v>212</v>
      </c>
      <c r="E1103" t="s">
        <v>211</v>
      </c>
      <c r="F1103" s="3">
        <v>955108</v>
      </c>
      <c r="G1103" s="3" t="s">
        <v>130</v>
      </c>
      <c r="H1103" s="4">
        <v>372862</v>
      </c>
      <c r="I1103" cm="1">
        <f t="array" ref="I1103">_xlfn.IFS(B1103=2015,H1103/$O$10,B1103=2016,H1103/$O$11,B1103=2017,H1103/$O$12,B1103=2018,H1103/$O$13,B1103=2019,H1103/$O$14,B1103=2020,H1103/$O$15,B1103=2021,H1103/$O$16,B1103=2022,H1103/$O$17)</f>
        <v>8.7213515978155059E-3</v>
      </c>
      <c r="J1103" s="6" cm="1">
        <f t="array" ref="J1103">_xlfn.IFS(B1103=2015,I1103*$Q$1,B1103=2016,I1103*$Q$2,B1103=2017,I1103*$Q$3,B1103=2018,I1103*$Q$4,B1103=2019,I1103*$Q$5,B1103=2020,I1103*$Q$6,B1103=2021,I1103*$Q$7,B1103=2022,I1103*$Q$8)</f>
        <v>214476.8303029766</v>
      </c>
      <c r="K1103" s="7">
        <f t="shared" si="36"/>
        <v>587338.83030297654</v>
      </c>
      <c r="L1103">
        <f>IFERROR(VLOOKUP(G1103,'LEAID Match'!$A$2:$B$168,2,FALSE),"")</f>
        <v>4600053</v>
      </c>
    </row>
    <row r="1104" spans="1:12" x14ac:dyDescent="0.2">
      <c r="A1104">
        <f t="shared" si="35"/>
        <v>4600053</v>
      </c>
      <c r="B1104">
        <v>2016</v>
      </c>
      <c r="C1104" t="s">
        <v>208</v>
      </c>
      <c r="D1104" t="s">
        <v>212</v>
      </c>
      <c r="E1104" t="s">
        <v>211</v>
      </c>
      <c r="F1104" s="3">
        <v>955108</v>
      </c>
      <c r="G1104" s="3" t="s">
        <v>130</v>
      </c>
      <c r="H1104" s="4">
        <v>350415</v>
      </c>
      <c r="I1104" cm="1">
        <f t="array" ref="I1104">_xlfn.IFS(B1104=2015,H1104/$O$10,B1104=2016,H1104/$O$11,B1104=2017,H1104/$O$12,B1104=2018,H1104/$O$13,B1104=2019,H1104/$O$14,B1104=2020,H1104/$O$15,B1104=2021,H1104/$O$16,B1104=2022,H1104/$O$17)</f>
        <v>7.948134292769379E-3</v>
      </c>
      <c r="J1104" s="6" cm="1">
        <f t="array" ref="J1104">_xlfn.IFS(B1104=2015,I1104*$Q$1,B1104=2016,I1104*$Q$2,B1104=2017,I1104*$Q$3,B1104=2018,I1104*$Q$4,B1104=2019,I1104*$Q$5,B1104=2020,I1104*$Q$6,B1104=2021,I1104*$Q$7,B1104=2022,I1104*$Q$8)</f>
        <v>201928.74995591174</v>
      </c>
      <c r="K1104" s="7">
        <f t="shared" si="36"/>
        <v>552343.74995591177</v>
      </c>
      <c r="L1104">
        <f>IFERROR(VLOOKUP(G1104,'LEAID Match'!$A$2:$B$168,2,FALSE),"")</f>
        <v>4600053</v>
      </c>
    </row>
    <row r="1105" spans="1:12" x14ac:dyDescent="0.2">
      <c r="A1105">
        <f t="shared" si="35"/>
        <v>4600053</v>
      </c>
      <c r="B1105">
        <v>2017</v>
      </c>
      <c r="C1105" t="s">
        <v>208</v>
      </c>
      <c r="D1105" t="s">
        <v>212</v>
      </c>
      <c r="E1105" t="s">
        <v>211</v>
      </c>
      <c r="F1105" s="3">
        <v>955108</v>
      </c>
      <c r="G1105" s="3" t="s">
        <v>130</v>
      </c>
      <c r="H1105" s="4">
        <v>363681</v>
      </c>
      <c r="I1105" cm="1">
        <f t="array" ref="I1105">_xlfn.IFS(B1105=2015,H1105/$O$10,B1105=2016,H1105/$O$11,B1105=2017,H1105/$O$12,B1105=2018,H1105/$O$13,B1105=2019,H1105/$O$14,B1105=2020,H1105/$O$15,B1105=2021,H1105/$O$16,B1105=2022,H1105/$O$17)</f>
        <v>7.5088453947271981E-3</v>
      </c>
      <c r="J1105" s="6" cm="1">
        <f t="array" ref="J1105">_xlfn.IFS(B1105=2015,I1105*$Q$1,B1105=2016,I1105*$Q$2,B1105=2017,I1105*$Q$3,B1105=2018,I1105*$Q$4,B1105=2019,I1105*$Q$5,B1105=2020,I1105*$Q$6,B1105=2021,I1105*$Q$7,B1105=2022,I1105*$Q$8)</f>
        <v>197524.18783173972</v>
      </c>
      <c r="K1105" s="7">
        <f t="shared" si="36"/>
        <v>561205.18783173966</v>
      </c>
      <c r="L1105">
        <f>IFERROR(VLOOKUP(G1105,'LEAID Match'!$A$2:$B$168,2,FALSE),"")</f>
        <v>4600053</v>
      </c>
    </row>
    <row r="1106" spans="1:12" x14ac:dyDescent="0.2">
      <c r="A1106">
        <f t="shared" si="35"/>
        <v>4600053</v>
      </c>
      <c r="B1106">
        <v>2018</v>
      </c>
      <c r="C1106" t="s">
        <v>208</v>
      </c>
      <c r="D1106" t="s">
        <v>212</v>
      </c>
      <c r="E1106" t="s">
        <v>211</v>
      </c>
      <c r="F1106" s="3">
        <v>955108</v>
      </c>
      <c r="G1106" s="3" t="s">
        <v>130</v>
      </c>
      <c r="H1106" s="4">
        <v>371021</v>
      </c>
      <c r="I1106" cm="1">
        <f t="array" ref="I1106">_xlfn.IFS(B1106=2015,H1106/$O$10,B1106=2016,H1106/$O$11,B1106=2017,H1106/$O$12,B1106=2018,H1106/$O$13,B1106=2019,H1106/$O$14,B1106=2020,H1106/$O$15,B1106=2021,H1106/$O$16,B1106=2022,H1106/$O$17)</f>
        <v>7.3991250222210474E-3</v>
      </c>
      <c r="J1106" s="6" cm="1">
        <f t="array" ref="J1106">_xlfn.IFS(B1106=2015,I1106*$Q$1,B1106=2016,I1106*$Q$2,B1106=2017,I1106*$Q$3,B1106=2018,I1106*$Q$4,B1106=2019,I1106*$Q$5,B1106=2020,I1106*$Q$6,B1106=2021,I1106*$Q$7,B1106=2022,I1106*$Q$8)</f>
        <v>194270.01335055658</v>
      </c>
      <c r="K1106" s="7">
        <f t="shared" si="36"/>
        <v>565291.0133505566</v>
      </c>
      <c r="L1106">
        <f>IFERROR(VLOOKUP(G1106,'LEAID Match'!$A$2:$B$168,2,FALSE),"")</f>
        <v>4600053</v>
      </c>
    </row>
    <row r="1107" spans="1:12" x14ac:dyDescent="0.2">
      <c r="A1107">
        <f t="shared" si="35"/>
        <v>4600053</v>
      </c>
      <c r="B1107">
        <v>2019</v>
      </c>
      <c r="C1107" t="s">
        <v>208</v>
      </c>
      <c r="D1107" t="s">
        <v>212</v>
      </c>
      <c r="E1107" t="s">
        <v>211</v>
      </c>
      <c r="F1107" s="3">
        <v>955108</v>
      </c>
      <c r="G1107" s="3" t="s">
        <v>130</v>
      </c>
      <c r="H1107" s="4">
        <v>379662</v>
      </c>
      <c r="I1107" cm="1">
        <f t="array" ref="I1107">_xlfn.IFS(B1107=2015,H1107/$O$10,B1107=2016,H1107/$O$11,B1107=2017,H1107/$O$12,B1107=2018,H1107/$O$13,B1107=2019,H1107/$O$14,B1107=2020,H1107/$O$15,B1107=2021,H1107/$O$16,B1107=2022,H1107/$O$17)</f>
        <v>7.4355025062814934E-3</v>
      </c>
      <c r="J1107" s="6" cm="1">
        <f t="array" ref="J1107">_xlfn.IFS(B1107=2015,I1107*$Q$1,B1107=2016,I1107*$Q$2,B1107=2017,I1107*$Q$3,B1107=2018,I1107*$Q$4,B1107=2019,I1107*$Q$5,B1107=2020,I1107*$Q$6,B1107=2021,I1107*$Q$7,B1107=2022,I1107*$Q$8)</f>
        <v>196650.117937267</v>
      </c>
      <c r="K1107" s="7">
        <f t="shared" si="36"/>
        <v>576312.11793726706</v>
      </c>
      <c r="L1107">
        <f>IFERROR(VLOOKUP(G1107,'LEAID Match'!$A$2:$B$168,2,FALSE),"")</f>
        <v>4600053</v>
      </c>
    </row>
    <row r="1108" spans="1:12" x14ac:dyDescent="0.2">
      <c r="A1108">
        <f t="shared" si="35"/>
        <v>4600053</v>
      </c>
      <c r="B1108">
        <v>2020</v>
      </c>
      <c r="C1108" t="s">
        <v>208</v>
      </c>
      <c r="D1108" t="s">
        <v>212</v>
      </c>
      <c r="E1108" t="s">
        <v>211</v>
      </c>
      <c r="F1108" s="1">
        <v>955108</v>
      </c>
      <c r="G1108" s="3" t="s">
        <v>130</v>
      </c>
      <c r="H1108" s="2">
        <v>398473</v>
      </c>
      <c r="I1108" cm="1">
        <f t="array" ref="I1108">_xlfn.IFS(B1108=2015,H1108/$O$10,B1108=2016,H1108/$O$11,B1108=2017,H1108/$O$12,B1108=2018,H1108/$O$13,B1108=2019,H1108/$O$14,B1108=2020,H1108/$O$15,B1108=2021,H1108/$O$16,B1108=2022,H1108/$O$17)</f>
        <v>7.5469909197391979E-3</v>
      </c>
      <c r="J1108" s="6" cm="1">
        <f t="array" ref="J1108">_xlfn.IFS(B1108=2015,I1108*$Q$1,B1108=2016,I1108*$Q$2,B1108=2017,I1108*$Q$3,B1108=2018,I1108*$Q$4,B1108=2019,I1108*$Q$5,B1108=2020,I1108*$Q$6,B1108=2021,I1108*$Q$7,B1108=2022,I1108*$Q$8)</f>
        <v>205204.42646261124</v>
      </c>
      <c r="K1108" s="7">
        <f t="shared" si="36"/>
        <v>603677.42646261118</v>
      </c>
      <c r="L1108">
        <f>IFERROR(VLOOKUP(G1108,'LEAID Match'!$A$2:$B$168,2,FALSE),"")</f>
        <v>4600053</v>
      </c>
    </row>
    <row r="1109" spans="1:12" x14ac:dyDescent="0.2">
      <c r="A1109">
        <f t="shared" si="35"/>
        <v>4600053</v>
      </c>
      <c r="B1109">
        <v>2021</v>
      </c>
      <c r="C1109" t="s">
        <v>208</v>
      </c>
      <c r="D1109" t="s">
        <v>212</v>
      </c>
      <c r="E1109" t="s">
        <v>211</v>
      </c>
      <c r="F1109" s="3">
        <v>955108</v>
      </c>
      <c r="G1109" s="3" t="s">
        <v>130</v>
      </c>
      <c r="H1109" s="4">
        <v>411843</v>
      </c>
      <c r="I1109" cm="1">
        <f t="array" ref="I1109">_xlfn.IFS(B1109=2015,H1109/$O$10,B1109=2016,H1109/$O$11,B1109=2017,H1109/$O$12,B1109=2018,H1109/$O$13,B1109=2019,H1109/$O$14,B1109=2020,H1109/$O$15,B1109=2021,H1109/$O$16,B1109=2022,H1109/$O$17)</f>
        <v>7.4385304327851563E-3</v>
      </c>
      <c r="J1109" s="6" cm="1">
        <f t="array" ref="J1109">_xlfn.IFS(B1109=2015,I1109*$Q$1,B1109=2016,I1109*$Q$2,B1109=2017,I1109*$Q$3,B1109=2018,I1109*$Q$4,B1109=2019,I1109*$Q$5,B1109=2020,I1109*$Q$6,B1109=2021,I1109*$Q$7,B1109=2022,I1109*$Q$8)</f>
        <v>207076.28721850729</v>
      </c>
      <c r="K1109" s="7">
        <f t="shared" si="36"/>
        <v>618919.28721850726</v>
      </c>
      <c r="L1109">
        <f>IFERROR(VLOOKUP(G1109,'LEAID Match'!$A$2:$B$168,2,FALSE),"")</f>
        <v>4600053</v>
      </c>
    </row>
    <row r="1110" spans="1:12" x14ac:dyDescent="0.2">
      <c r="A1110">
        <f t="shared" si="35"/>
        <v>4600053</v>
      </c>
      <c r="B1110">
        <v>2022</v>
      </c>
      <c r="C1110" t="s">
        <v>208</v>
      </c>
      <c r="D1110" t="s">
        <v>212</v>
      </c>
      <c r="E1110" t="s">
        <v>211</v>
      </c>
      <c r="F1110" s="3">
        <v>955108</v>
      </c>
      <c r="G1110" s="3" t="s">
        <v>130</v>
      </c>
      <c r="H1110" s="4">
        <v>427538</v>
      </c>
      <c r="I1110" cm="1">
        <f t="array" ref="I1110">_xlfn.IFS(B1110=2015,H1110/$O$10,B1110=2016,H1110/$O$11,B1110=2017,H1110/$O$12,B1110=2018,H1110/$O$13,B1110=2019,H1110/$O$14,B1110=2020,H1110/$O$15,B1110=2021,H1110/$O$16,B1110=2022,H1110/$O$17)</f>
        <v>7.4043518964055071E-3</v>
      </c>
      <c r="J1110" s="6" cm="1">
        <f t="array" ref="J1110">_xlfn.IFS(B1110=2015,I1110*$Q$1,B1110=2016,I1110*$Q$2,B1110=2017,I1110*$Q$3,B1110=2018,I1110*$Q$4,B1110=2019,I1110*$Q$5,B1110=2020,I1110*$Q$6,B1110=2021,I1110*$Q$7,B1110=2022,I1110*$Q$8)</f>
        <v>218116.99832931103</v>
      </c>
      <c r="K1110" s="7">
        <f t="shared" si="36"/>
        <v>645654.99832931103</v>
      </c>
      <c r="L1110">
        <f>IFERROR(VLOOKUP(G1110,'LEAID Match'!$A$2:$B$168,2,FALSE),"")</f>
        <v>4600053</v>
      </c>
    </row>
    <row r="1111" spans="1:12" x14ac:dyDescent="0.2">
      <c r="A1111">
        <f t="shared" si="35"/>
        <v>4663360</v>
      </c>
      <c r="B1111">
        <v>2015</v>
      </c>
      <c r="C1111" t="s">
        <v>208</v>
      </c>
      <c r="D1111" t="s">
        <v>212</v>
      </c>
      <c r="E1111" t="s">
        <v>211</v>
      </c>
      <c r="F1111" s="3">
        <v>955167</v>
      </c>
      <c r="G1111" s="3" t="s">
        <v>122</v>
      </c>
      <c r="H1111" s="4">
        <v>67094</v>
      </c>
      <c r="I1111" cm="1">
        <f t="array" ref="I1111">_xlfn.IFS(B1111=2015,H1111/$O$10,B1111=2016,H1111/$O$11,B1111=2017,H1111/$O$12,B1111=2018,H1111/$O$13,B1111=2019,H1111/$O$14,B1111=2020,H1111/$O$15,B1111=2021,H1111/$O$16,B1111=2022,H1111/$O$17)</f>
        <v>1.569348348997306E-3</v>
      </c>
      <c r="J1111" s="6" cm="1">
        <f t="array" ref="J1111">_xlfn.IFS(B1111=2015,I1111*$Q$1,B1111=2016,I1111*$Q$2,B1111=2017,I1111*$Q$3,B1111=2018,I1111*$Q$4,B1111=2019,I1111*$Q$5,B1111=2020,I1111*$Q$6,B1111=2021,I1111*$Q$7,B1111=2022,I1111*$Q$8)</f>
        <v>38593.657847535847</v>
      </c>
      <c r="K1111" s="7">
        <f t="shared" si="36"/>
        <v>105687.65784753585</v>
      </c>
      <c r="L1111">
        <f>IFERROR(VLOOKUP(G1111,'LEAID Match'!$A$2:$B$168,2,FALSE),"")</f>
        <v>4663360</v>
      </c>
    </row>
    <row r="1112" spans="1:12" x14ac:dyDescent="0.2">
      <c r="A1112">
        <f t="shared" si="35"/>
        <v>4663360</v>
      </c>
      <c r="B1112">
        <v>2016</v>
      </c>
      <c r="C1112" t="s">
        <v>208</v>
      </c>
      <c r="D1112" t="s">
        <v>212</v>
      </c>
      <c r="E1112" t="s">
        <v>211</v>
      </c>
      <c r="F1112" s="3">
        <v>955167</v>
      </c>
      <c r="G1112" s="3" t="s">
        <v>122</v>
      </c>
      <c r="H1112" s="4">
        <v>72337</v>
      </c>
      <c r="I1112" cm="1">
        <f t="array" ref="I1112">_xlfn.IFS(B1112=2015,H1112/$O$10,B1112=2016,H1112/$O$11,B1112=2017,H1112/$O$12,B1112=2018,H1112/$O$13,B1112=2019,H1112/$O$14,B1112=2020,H1112/$O$15,B1112=2021,H1112/$O$16,B1112=2022,H1112/$O$17)</f>
        <v>1.6407522233239404E-3</v>
      </c>
      <c r="J1112" s="6" cm="1">
        <f t="array" ref="J1112">_xlfn.IFS(B1112=2015,I1112*$Q$1,B1112=2016,I1112*$Q$2,B1112=2017,I1112*$Q$3,B1112=2018,I1112*$Q$4,B1112=2019,I1112*$Q$5,B1112=2020,I1112*$Q$6,B1112=2021,I1112*$Q$7,B1112=2022,I1112*$Q$8)</f>
        <v>41684.631039084481</v>
      </c>
      <c r="K1112" s="7">
        <f t="shared" si="36"/>
        <v>114021.63103908449</v>
      </c>
      <c r="L1112">
        <f>IFERROR(VLOOKUP(G1112,'LEAID Match'!$A$2:$B$168,2,FALSE),"")</f>
        <v>4663360</v>
      </c>
    </row>
    <row r="1113" spans="1:12" x14ac:dyDescent="0.2">
      <c r="A1113">
        <f t="shared" si="35"/>
        <v>4663360</v>
      </c>
      <c r="B1113">
        <v>2017</v>
      </c>
      <c r="C1113" t="s">
        <v>208</v>
      </c>
      <c r="D1113" t="s">
        <v>212</v>
      </c>
      <c r="E1113" t="s">
        <v>211</v>
      </c>
      <c r="F1113" s="3">
        <v>955167</v>
      </c>
      <c r="G1113" s="3" t="s">
        <v>122</v>
      </c>
      <c r="H1113" s="4">
        <v>85202</v>
      </c>
      <c r="I1113" cm="1">
        <f t="array" ref="I1113">_xlfn.IFS(B1113=2015,H1113/$O$10,B1113=2016,H1113/$O$11,B1113=2017,H1113/$O$12,B1113=2018,H1113/$O$13,B1113=2019,H1113/$O$14,B1113=2020,H1113/$O$15,B1113=2021,H1113/$O$16,B1113=2022,H1113/$O$17)</f>
        <v>1.7591478392369872E-3</v>
      </c>
      <c r="J1113" s="6" cm="1">
        <f t="array" ref="J1113">_xlfn.IFS(B1113=2015,I1113*$Q$1,B1113=2016,I1113*$Q$2,B1113=2017,I1113*$Q$3,B1113=2018,I1113*$Q$4,B1113=2019,I1113*$Q$5,B1113=2020,I1113*$Q$6,B1113=2021,I1113*$Q$7,B1113=2022,I1113*$Q$8)</f>
        <v>46275.323296075097</v>
      </c>
      <c r="K1113" s="7">
        <f t="shared" si="36"/>
        <v>131477.3232960751</v>
      </c>
      <c r="L1113">
        <f>IFERROR(VLOOKUP(G1113,'LEAID Match'!$A$2:$B$168,2,FALSE),"")</f>
        <v>4663360</v>
      </c>
    </row>
    <row r="1114" spans="1:12" x14ac:dyDescent="0.2">
      <c r="A1114">
        <f t="shared" si="35"/>
        <v>4663360</v>
      </c>
      <c r="B1114">
        <v>2018</v>
      </c>
      <c r="C1114" t="s">
        <v>208</v>
      </c>
      <c r="D1114" t="s">
        <v>212</v>
      </c>
      <c r="E1114" t="s">
        <v>211</v>
      </c>
      <c r="F1114" s="3">
        <v>955167</v>
      </c>
      <c r="G1114" s="3" t="s">
        <v>122</v>
      </c>
      <c r="H1114" s="4">
        <v>87501</v>
      </c>
      <c r="I1114" cm="1">
        <f t="array" ref="I1114">_xlfn.IFS(B1114=2015,H1114/$O$10,B1114=2016,H1114/$O$11,B1114=2017,H1114/$O$12,B1114=2018,H1114/$O$13,B1114=2019,H1114/$O$14,B1114=2020,H1114/$O$15,B1114=2021,H1114/$O$16,B1114=2022,H1114/$O$17)</f>
        <v>1.744997826455548E-3</v>
      </c>
      <c r="J1114" s="6" cm="1">
        <f t="array" ref="J1114">_xlfn.IFS(B1114=2015,I1114*$Q$1,B1114=2016,I1114*$Q$2,B1114=2017,I1114*$Q$3,B1114=2018,I1114*$Q$4,B1114=2019,I1114*$Q$5,B1114=2020,I1114*$Q$6,B1114=2021,I1114*$Q$7,B1114=2022,I1114*$Q$8)</f>
        <v>45816.329636832015</v>
      </c>
      <c r="K1114" s="7">
        <f t="shared" si="36"/>
        <v>133317.329636832</v>
      </c>
      <c r="L1114">
        <f>IFERROR(VLOOKUP(G1114,'LEAID Match'!$A$2:$B$168,2,FALSE),"")</f>
        <v>4663360</v>
      </c>
    </row>
    <row r="1115" spans="1:12" x14ac:dyDescent="0.2">
      <c r="A1115">
        <f t="shared" si="35"/>
        <v>4663360</v>
      </c>
      <c r="B1115">
        <v>2019</v>
      </c>
      <c r="C1115" t="s">
        <v>208</v>
      </c>
      <c r="D1115" t="s">
        <v>212</v>
      </c>
      <c r="E1115" t="s">
        <v>211</v>
      </c>
      <c r="F1115" s="3">
        <v>955167</v>
      </c>
      <c r="G1115" s="3" t="s">
        <v>122</v>
      </c>
      <c r="H1115" s="4">
        <v>93812</v>
      </c>
      <c r="I1115" cm="1">
        <f t="array" ref="I1115">_xlfn.IFS(B1115=2015,H1115/$O$10,B1115=2016,H1115/$O$11,B1115=2017,H1115/$O$12,B1115=2018,H1115/$O$13,B1115=2019,H1115/$O$14,B1115=2020,H1115/$O$15,B1115=2021,H1115/$O$16,B1115=2022,H1115/$O$17)</f>
        <v>1.8372640957464257E-3</v>
      </c>
      <c r="J1115" s="6" cm="1">
        <f t="array" ref="J1115">_xlfn.IFS(B1115=2015,I1115*$Q$1,B1115=2016,I1115*$Q$2,B1115=2017,I1115*$Q$3,B1115=2018,I1115*$Q$4,B1115=2019,I1115*$Q$5,B1115=2020,I1115*$Q$6,B1115=2021,I1115*$Q$7,B1115=2022,I1115*$Q$8)</f>
        <v>48590.959495369287</v>
      </c>
      <c r="K1115" s="7">
        <f t="shared" si="36"/>
        <v>142402.95949536929</v>
      </c>
      <c r="L1115">
        <f>IFERROR(VLOOKUP(G1115,'LEAID Match'!$A$2:$B$168,2,FALSE),"")</f>
        <v>4663360</v>
      </c>
    </row>
    <row r="1116" spans="1:12" x14ac:dyDescent="0.2">
      <c r="A1116">
        <f t="shared" si="35"/>
        <v>4663360</v>
      </c>
      <c r="B1116">
        <v>2020</v>
      </c>
      <c r="C1116" t="s">
        <v>208</v>
      </c>
      <c r="D1116" t="s">
        <v>212</v>
      </c>
      <c r="E1116" t="s">
        <v>211</v>
      </c>
      <c r="F1116" s="1">
        <v>955167</v>
      </c>
      <c r="G1116" s="3" t="s">
        <v>122</v>
      </c>
      <c r="H1116" s="2">
        <v>97672</v>
      </c>
      <c r="I1116" cm="1">
        <f t="array" ref="I1116">_xlfn.IFS(B1116=2015,H1116/$O$10,B1116=2016,H1116/$O$11,B1116=2017,H1116/$O$12,B1116=2018,H1116/$O$13,B1116=2019,H1116/$O$14,B1116=2020,H1116/$O$15,B1116=2021,H1116/$O$16,B1116=2022,H1116/$O$17)</f>
        <v>1.849886183286614E-3</v>
      </c>
      <c r="J1116" s="6" cm="1">
        <f t="array" ref="J1116">_xlfn.IFS(B1116=2015,I1116*$Q$1,B1116=2016,I1116*$Q$2,B1116=2017,I1116*$Q$3,B1116=2018,I1116*$Q$4,B1116=2019,I1116*$Q$5,B1116=2020,I1116*$Q$6,B1116=2021,I1116*$Q$7,B1116=2022,I1116*$Q$8)</f>
        <v>50298.832647271374</v>
      </c>
      <c r="K1116" s="7">
        <f t="shared" si="36"/>
        <v>147970.83264727137</v>
      </c>
      <c r="L1116">
        <f>IFERROR(VLOOKUP(G1116,'LEAID Match'!$A$2:$B$168,2,FALSE),"")</f>
        <v>4663360</v>
      </c>
    </row>
    <row r="1117" spans="1:12" x14ac:dyDescent="0.2">
      <c r="A1117">
        <f t="shared" si="35"/>
        <v>4663360</v>
      </c>
      <c r="B1117">
        <v>2021</v>
      </c>
      <c r="C1117" t="s">
        <v>208</v>
      </c>
      <c r="D1117" t="s">
        <v>212</v>
      </c>
      <c r="E1117" t="s">
        <v>211</v>
      </c>
      <c r="F1117" s="3">
        <v>955167</v>
      </c>
      <c r="G1117" s="3" t="s">
        <v>122</v>
      </c>
      <c r="H1117" s="4">
        <v>101544</v>
      </c>
      <c r="I1117" cm="1">
        <f t="array" ref="I1117">_xlfn.IFS(B1117=2015,H1117/$O$10,B1117=2016,H1117/$O$11,B1117=2017,H1117/$O$12,B1117=2018,H1117/$O$13,B1117=2019,H1117/$O$14,B1117=2020,H1117/$O$15,B1117=2021,H1117/$O$16,B1117=2022,H1117/$O$17)</f>
        <v>1.8340438814469008E-3</v>
      </c>
      <c r="J1117" s="6" cm="1">
        <f t="array" ref="J1117">_xlfn.IFS(B1117=2015,I1117*$Q$1,B1117=2016,I1117*$Q$2,B1117=2017,I1117*$Q$3,B1117=2018,I1117*$Q$4,B1117=2019,I1117*$Q$5,B1117=2020,I1117*$Q$6,B1117=2021,I1117*$Q$7,B1117=2022,I1117*$Q$8)</f>
        <v>51056.724308331344</v>
      </c>
      <c r="K1117" s="7">
        <f t="shared" si="36"/>
        <v>152600.72430833135</v>
      </c>
      <c r="L1117">
        <f>IFERROR(VLOOKUP(G1117,'LEAID Match'!$A$2:$B$168,2,FALSE),"")</f>
        <v>4663360</v>
      </c>
    </row>
    <row r="1118" spans="1:12" x14ac:dyDescent="0.2">
      <c r="A1118">
        <f t="shared" si="35"/>
        <v>4663360</v>
      </c>
      <c r="B1118">
        <v>2022</v>
      </c>
      <c r="C1118" t="s">
        <v>208</v>
      </c>
      <c r="D1118" t="s">
        <v>212</v>
      </c>
      <c r="E1118" t="s">
        <v>211</v>
      </c>
      <c r="F1118" s="3">
        <v>955167</v>
      </c>
      <c r="G1118" s="3" t="s">
        <v>122</v>
      </c>
      <c r="H1118" s="4">
        <v>98114</v>
      </c>
      <c r="I1118" cm="1">
        <f t="array" ref="I1118">_xlfn.IFS(B1118=2015,H1118/$O$10,B1118=2016,H1118/$O$11,B1118=2017,H1118/$O$12,B1118=2018,H1118/$O$13,B1118=2019,H1118/$O$14,B1118=2020,H1118/$O$15,B1118=2021,H1118/$O$16,B1118=2022,H1118/$O$17)</f>
        <v>1.6991953509721475E-3</v>
      </c>
      <c r="J1118" s="6" cm="1">
        <f t="array" ref="J1118">_xlfn.IFS(B1118=2015,I1118*$Q$1,B1118=2016,I1118*$Q$2,B1118=2017,I1118*$Q$3,B1118=2018,I1118*$Q$4,B1118=2019,I1118*$Q$5,B1118=2020,I1118*$Q$6,B1118=2021,I1118*$Q$7,B1118=2022,I1118*$Q$8)</f>
        <v>50054.804892388573</v>
      </c>
      <c r="K1118" s="7">
        <f t="shared" si="36"/>
        <v>148168.80489238858</v>
      </c>
      <c r="L1118">
        <f>IFERROR(VLOOKUP(G1118,'LEAID Match'!$A$2:$B$168,2,FALSE),"")</f>
        <v>4663360</v>
      </c>
    </row>
    <row r="1119" spans="1:12" x14ac:dyDescent="0.2">
      <c r="A1119">
        <f t="shared" si="35"/>
        <v>4680190</v>
      </c>
      <c r="B1119">
        <v>2015</v>
      </c>
      <c r="C1119" t="s">
        <v>208</v>
      </c>
      <c r="D1119" t="s">
        <v>212</v>
      </c>
      <c r="E1119" t="s">
        <v>211</v>
      </c>
      <c r="F1119" s="3">
        <v>956100</v>
      </c>
      <c r="G1119" s="3" t="s">
        <v>162</v>
      </c>
      <c r="H1119" s="4">
        <v>62295</v>
      </c>
      <c r="I1119" cm="1">
        <f t="array" ref="I1119">_xlfn.IFS(B1119=2015,H1119/$O$10,B1119=2016,H1119/$O$11,B1119=2017,H1119/$O$12,B1119=2018,H1119/$O$13,B1119=2019,H1119/$O$14,B1119=2020,H1119/$O$15,B1119=2021,H1119/$O$16,B1119=2022,H1119/$O$17)</f>
        <v>1.4570983307119441E-3</v>
      </c>
      <c r="J1119" s="6" cm="1">
        <f t="array" ref="J1119">_xlfn.IFS(B1119=2015,I1119*$Q$1,B1119=2016,I1119*$Q$2,B1119=2017,I1119*$Q$3,B1119=2018,I1119*$Q$4,B1119=2019,I1119*$Q$5,B1119=2020,I1119*$Q$6,B1119=2021,I1119*$Q$7,B1119=2022,I1119*$Q$8)</f>
        <v>35833.187999109388</v>
      </c>
      <c r="K1119" s="7">
        <f t="shared" si="36"/>
        <v>98128.187999109388</v>
      </c>
      <c r="L1119">
        <f>IFERROR(VLOOKUP(G1119,'LEAID Match'!$A$2:$B$168,2,FALSE),"")</f>
        <v>4680190</v>
      </c>
    </row>
    <row r="1120" spans="1:12" x14ac:dyDescent="0.2">
      <c r="A1120">
        <f t="shared" si="35"/>
        <v>4680190</v>
      </c>
      <c r="B1120">
        <v>2016</v>
      </c>
      <c r="C1120" t="s">
        <v>208</v>
      </c>
      <c r="D1120" t="s">
        <v>212</v>
      </c>
      <c r="E1120" t="s">
        <v>211</v>
      </c>
      <c r="F1120" s="3">
        <v>956100</v>
      </c>
      <c r="G1120" s="3" t="s">
        <v>162</v>
      </c>
      <c r="H1120" s="4">
        <v>67484</v>
      </c>
      <c r="I1120" cm="1">
        <f t="array" ref="I1120">_xlfn.IFS(B1120=2015,H1120/$O$10,B1120=2016,H1120/$O$11,B1120=2017,H1120/$O$12,B1120=2018,H1120/$O$13,B1120=2019,H1120/$O$14,B1120=2020,H1120/$O$15,B1120=2021,H1120/$O$16,B1120=2022,H1120/$O$17)</f>
        <v>1.5306761828496175E-3</v>
      </c>
      <c r="J1120" s="6" cm="1">
        <f t="array" ref="J1120">_xlfn.IFS(B1120=2015,I1120*$Q$1,B1120=2016,I1120*$Q$2,B1120=2017,I1120*$Q$3,B1120=2018,I1120*$Q$4,B1120=2019,I1120*$Q$5,B1120=2020,I1120*$Q$6,B1120=2021,I1120*$Q$7,B1120=2022,I1120*$Q$8)</f>
        <v>38888.060619621727</v>
      </c>
      <c r="K1120" s="7">
        <f t="shared" si="36"/>
        <v>106372.06061962173</v>
      </c>
      <c r="L1120">
        <f>IFERROR(VLOOKUP(G1120,'LEAID Match'!$A$2:$B$168,2,FALSE),"")</f>
        <v>4680190</v>
      </c>
    </row>
    <row r="1121" spans="1:12" x14ac:dyDescent="0.2">
      <c r="A1121">
        <f t="shared" si="35"/>
        <v>4680190</v>
      </c>
      <c r="B1121">
        <v>2017</v>
      </c>
      <c r="C1121" t="s">
        <v>208</v>
      </c>
      <c r="D1121" t="s">
        <v>212</v>
      </c>
      <c r="E1121" t="s">
        <v>211</v>
      </c>
      <c r="F1121" s="3">
        <v>956100</v>
      </c>
      <c r="G1121" s="3" t="s">
        <v>162</v>
      </c>
      <c r="H1121" s="4">
        <v>78068</v>
      </c>
      <c r="I1121" cm="1">
        <f t="array" ref="I1121">_xlfn.IFS(B1121=2015,H1121/$O$10,B1121=2016,H1121/$O$11,B1121=2017,H1121/$O$12,B1121=2018,H1121/$O$13,B1121=2019,H1121/$O$14,B1121=2020,H1121/$O$15,B1121=2021,H1121/$O$16,B1121=2022,H1121/$O$17)</f>
        <v>1.6118536362239515E-3</v>
      </c>
      <c r="J1121" s="6" cm="1">
        <f t="array" ref="J1121">_xlfn.IFS(B1121=2015,I1121*$Q$1,B1121=2016,I1121*$Q$2,B1121=2017,I1121*$Q$3,B1121=2018,I1121*$Q$4,B1121=2019,I1121*$Q$5,B1121=2020,I1121*$Q$6,B1121=2021,I1121*$Q$7,B1121=2022,I1121*$Q$8)</f>
        <v>42400.67063071279</v>
      </c>
      <c r="K1121" s="7">
        <f t="shared" si="36"/>
        <v>120468.67063071279</v>
      </c>
      <c r="L1121">
        <f>IFERROR(VLOOKUP(G1121,'LEAID Match'!$A$2:$B$168,2,FALSE),"")</f>
        <v>4680190</v>
      </c>
    </row>
    <row r="1122" spans="1:12" x14ac:dyDescent="0.2">
      <c r="A1122">
        <f t="shared" si="35"/>
        <v>4680190</v>
      </c>
      <c r="B1122">
        <v>2018</v>
      </c>
      <c r="C1122" t="s">
        <v>208</v>
      </c>
      <c r="D1122" t="s">
        <v>212</v>
      </c>
      <c r="E1122" t="s">
        <v>211</v>
      </c>
      <c r="F1122" s="3">
        <v>956100</v>
      </c>
      <c r="G1122" s="3" t="s">
        <v>162</v>
      </c>
      <c r="H1122" s="4">
        <v>93390</v>
      </c>
      <c r="I1122" cm="1">
        <f t="array" ref="I1122">_xlfn.IFS(B1122=2015,H1122/$O$10,B1122=2016,H1122/$O$11,B1122=2017,H1122/$O$12,B1122=2018,H1122/$O$13,B1122=2019,H1122/$O$14,B1122=2020,H1122/$O$15,B1122=2021,H1122/$O$16,B1122=2022,H1122/$O$17)</f>
        <v>1.8624398236898277E-3</v>
      </c>
      <c r="J1122" s="6" cm="1">
        <f t="array" ref="J1122">_xlfn.IFS(B1122=2015,I1122*$Q$1,B1122=2016,I1122*$Q$2,B1122=2017,I1122*$Q$3,B1122=2018,I1122*$Q$4,B1122=2019,I1122*$Q$5,B1122=2020,I1122*$Q$6,B1122=2021,I1122*$Q$7,B1122=2022,I1122*$Q$8)</f>
        <v>48899.864284793795</v>
      </c>
      <c r="K1122" s="7">
        <f t="shared" si="36"/>
        <v>142289.86428479379</v>
      </c>
      <c r="L1122">
        <f>IFERROR(VLOOKUP(G1122,'LEAID Match'!$A$2:$B$168,2,FALSE),"")</f>
        <v>4680190</v>
      </c>
    </row>
    <row r="1123" spans="1:12" x14ac:dyDescent="0.2">
      <c r="A1123">
        <f t="shared" si="35"/>
        <v>4680190</v>
      </c>
      <c r="B1123">
        <v>2019</v>
      </c>
      <c r="C1123" t="s">
        <v>208</v>
      </c>
      <c r="D1123" t="s">
        <v>212</v>
      </c>
      <c r="E1123" t="s">
        <v>211</v>
      </c>
      <c r="F1123" s="3">
        <v>956100</v>
      </c>
      <c r="G1123" s="3" t="s">
        <v>162</v>
      </c>
      <c r="H1123" s="4">
        <v>81408</v>
      </c>
      <c r="I1123" cm="1">
        <f t="array" ref="I1123">_xlfn.IFS(B1123=2015,H1123/$O$10,B1123=2016,H1123/$O$11,B1123=2017,H1123/$O$12,B1123=2018,H1123/$O$13,B1123=2019,H1123/$O$14,B1123=2020,H1123/$O$15,B1123=2021,H1123/$O$16,B1123=2022,H1123/$O$17)</f>
        <v>1.5943375634942761E-3</v>
      </c>
      <c r="J1123" s="6" cm="1">
        <f t="array" ref="J1123">_xlfn.IFS(B1123=2015,I1123*$Q$1,B1123=2016,I1123*$Q$2,B1123=2017,I1123*$Q$3,B1123=2018,I1123*$Q$4,B1123=2019,I1123*$Q$5,B1123=2020,I1123*$Q$6,B1123=2021,I1123*$Q$7,B1123=2022,I1123*$Q$8)</f>
        <v>42166.170965324513</v>
      </c>
      <c r="K1123" s="7">
        <f t="shared" si="36"/>
        <v>123574.17096532451</v>
      </c>
      <c r="L1123">
        <f>IFERROR(VLOOKUP(G1123,'LEAID Match'!$A$2:$B$168,2,FALSE),"")</f>
        <v>4680190</v>
      </c>
    </row>
    <row r="1124" spans="1:12" x14ac:dyDescent="0.2">
      <c r="A1124">
        <f t="shared" si="35"/>
        <v>4680190</v>
      </c>
      <c r="B1124">
        <v>2020</v>
      </c>
      <c r="C1124" t="s">
        <v>208</v>
      </c>
      <c r="D1124" t="s">
        <v>212</v>
      </c>
      <c r="E1124" t="s">
        <v>211</v>
      </c>
      <c r="F1124" s="1">
        <v>956100</v>
      </c>
      <c r="G1124" s="3" t="s">
        <v>162</v>
      </c>
      <c r="H1124" s="2">
        <v>87045</v>
      </c>
      <c r="I1124" cm="1">
        <f t="array" ref="I1124">_xlfn.IFS(B1124=2015,H1124/$O$10,B1124=2016,H1124/$O$11,B1124=2017,H1124/$O$12,B1124=2018,H1124/$O$13,B1124=2019,H1124/$O$14,B1124=2020,H1124/$O$15,B1124=2021,H1124/$O$16,B1124=2022,H1124/$O$17)</f>
        <v>1.6486131421920643E-3</v>
      </c>
      <c r="J1124" s="6" cm="1">
        <f t="array" ref="J1124">_xlfn.IFS(B1124=2015,I1124*$Q$1,B1124=2016,I1124*$Q$2,B1124=2017,I1124*$Q$3,B1124=2018,I1124*$Q$4,B1124=2019,I1124*$Q$5,B1124=2020,I1124*$Q$6,B1124=2021,I1124*$Q$7,B1124=2022,I1124*$Q$8)</f>
        <v>44826.172165838077</v>
      </c>
      <c r="K1124" s="7">
        <f t="shared" si="36"/>
        <v>131871.17216583807</v>
      </c>
      <c r="L1124">
        <f>IFERROR(VLOOKUP(G1124,'LEAID Match'!$A$2:$B$168,2,FALSE),"")</f>
        <v>4680190</v>
      </c>
    </row>
    <row r="1125" spans="1:12" x14ac:dyDescent="0.2">
      <c r="A1125">
        <f t="shared" si="35"/>
        <v>4680190</v>
      </c>
      <c r="B1125">
        <v>2021</v>
      </c>
      <c r="C1125" t="s">
        <v>208</v>
      </c>
      <c r="D1125" t="s">
        <v>212</v>
      </c>
      <c r="E1125" t="s">
        <v>211</v>
      </c>
      <c r="F1125" s="3">
        <v>956100</v>
      </c>
      <c r="G1125" s="3" t="s">
        <v>162</v>
      </c>
      <c r="H1125" s="4">
        <v>90999</v>
      </c>
      <c r="I1125" cm="1">
        <f t="array" ref="I1125">_xlfn.IFS(B1125=2015,H1125/$O$10,B1125=2016,H1125/$O$11,B1125=2017,H1125/$O$12,B1125=2018,H1125/$O$13,B1125=2019,H1125/$O$14,B1125=2020,H1125/$O$15,B1125=2021,H1125/$O$16,B1125=2022,H1125/$O$17)</f>
        <v>1.6435846447627287E-3</v>
      </c>
      <c r="J1125" s="6" cm="1">
        <f t="array" ref="J1125">_xlfn.IFS(B1125=2015,I1125*$Q$1,B1125=2016,I1125*$Q$2,B1125=2017,I1125*$Q$3,B1125=2018,I1125*$Q$4,B1125=2019,I1125*$Q$5,B1125=2020,I1125*$Q$6,B1125=2021,I1125*$Q$7,B1125=2022,I1125*$Q$8)</f>
        <v>45754.656654591548</v>
      </c>
      <c r="K1125" s="7">
        <f t="shared" si="36"/>
        <v>136753.65665459156</v>
      </c>
      <c r="L1125">
        <f>IFERROR(VLOOKUP(G1125,'LEAID Match'!$A$2:$B$168,2,FALSE),"")</f>
        <v>4680190</v>
      </c>
    </row>
    <row r="1126" spans="1:12" x14ac:dyDescent="0.2">
      <c r="A1126">
        <f t="shared" si="35"/>
        <v>4680190</v>
      </c>
      <c r="B1126">
        <v>2022</v>
      </c>
      <c r="C1126" t="s">
        <v>208</v>
      </c>
      <c r="D1126" t="s">
        <v>212</v>
      </c>
      <c r="E1126" t="s">
        <v>211</v>
      </c>
      <c r="F1126" s="3">
        <v>956100</v>
      </c>
      <c r="G1126" s="3" t="s">
        <v>162</v>
      </c>
      <c r="H1126" s="4">
        <v>91926</v>
      </c>
      <c r="I1126" cm="1">
        <f t="array" ref="I1126">_xlfn.IFS(B1126=2015,H1126/$O$10,B1126=2016,H1126/$O$11,B1126=2017,H1126/$O$12,B1126=2018,H1126/$O$13,B1126=2019,H1126/$O$14,B1126=2020,H1126/$O$15,B1126=2021,H1126/$O$16,B1126=2022,H1126/$O$17)</f>
        <v>1.5920279657690606E-3</v>
      </c>
      <c r="J1126" s="6" cm="1">
        <f t="array" ref="J1126">_xlfn.IFS(B1126=2015,I1126*$Q$1,B1126=2016,I1126*$Q$2,B1126=2017,I1126*$Q$3,B1126=2018,I1126*$Q$4,B1126=2019,I1126*$Q$5,B1126=2020,I1126*$Q$6,B1126=2021,I1126*$Q$7,B1126=2022,I1126*$Q$8)</f>
        <v>46897.873846114839</v>
      </c>
      <c r="K1126" s="7">
        <f t="shared" si="36"/>
        <v>138823.87384611485</v>
      </c>
      <c r="L1126">
        <f>IFERROR(VLOOKUP(G1126,'LEAID Match'!$A$2:$B$168,2,FALSE),"")</f>
        <v>4680190</v>
      </c>
    </row>
    <row r="1127" spans="1:12" x14ac:dyDescent="0.2">
      <c r="A1127">
        <f t="shared" si="35"/>
        <v>4603932</v>
      </c>
      <c r="B1127">
        <v>2015</v>
      </c>
      <c r="C1127" t="s">
        <v>208</v>
      </c>
      <c r="D1127" t="s">
        <v>212</v>
      </c>
      <c r="E1127" t="s">
        <v>211</v>
      </c>
      <c r="F1127" s="3">
        <v>956114</v>
      </c>
      <c r="G1127" s="3" t="s">
        <v>124</v>
      </c>
      <c r="H1127" s="4">
        <v>81389</v>
      </c>
      <c r="I1127" cm="1">
        <f t="array" ref="I1127">_xlfn.IFS(B1127=2015,H1127/$O$10,B1127=2016,H1127/$O$11,B1127=2017,H1127/$O$12,B1127=2018,H1127/$O$13,B1127=2019,H1127/$O$14,B1127=2020,H1127/$O$15,B1127=2021,H1127/$O$16,B1127=2022,H1127/$O$17)</f>
        <v>1.9037125939210919E-3</v>
      </c>
      <c r="J1127" s="6" cm="1">
        <f t="array" ref="J1127">_xlfn.IFS(B1127=2015,I1127*$Q$1,B1127=2016,I1127*$Q$2,B1127=2017,I1127*$Q$3,B1127=2018,I1127*$Q$4,B1127=2019,I1127*$Q$5,B1127=2020,I1127*$Q$6,B1127=2021,I1127*$Q$7,B1127=2022,I1127*$Q$8)</f>
        <v>46816.395185159548</v>
      </c>
      <c r="K1127" s="7">
        <f t="shared" si="36"/>
        <v>128205.39518515955</v>
      </c>
      <c r="L1127">
        <f>IFERROR(VLOOKUP(G1127,'LEAID Match'!$A$2:$B$168,2,FALSE),"")</f>
        <v>4603932</v>
      </c>
    </row>
    <row r="1128" spans="1:12" x14ac:dyDescent="0.2">
      <c r="A1128">
        <f t="shared" si="35"/>
        <v>4603932</v>
      </c>
      <c r="B1128">
        <v>2016</v>
      </c>
      <c r="C1128" t="s">
        <v>208</v>
      </c>
      <c r="D1128" t="s">
        <v>212</v>
      </c>
      <c r="E1128" t="s">
        <v>211</v>
      </c>
      <c r="F1128" s="3">
        <v>956114</v>
      </c>
      <c r="G1128" s="3" t="s">
        <v>124</v>
      </c>
      <c r="H1128" s="4">
        <v>85119</v>
      </c>
      <c r="I1128" cm="1">
        <f t="array" ref="I1128">_xlfn.IFS(B1128=2015,H1128/$O$10,B1128=2016,H1128/$O$11,B1128=2017,H1128/$O$12,B1128=2018,H1128/$O$13,B1128=2019,H1128/$O$14,B1128=2020,H1128/$O$15,B1128=2021,H1128/$O$16,B1128=2022,H1128/$O$17)</f>
        <v>1.9306743229206419E-3</v>
      </c>
      <c r="J1128" s="6" cm="1">
        <f t="array" ref="J1128">_xlfn.IFS(B1128=2015,I1128*$Q$1,B1128=2016,I1128*$Q$2,B1128=2017,I1128*$Q$3,B1128=2018,I1128*$Q$4,B1128=2019,I1128*$Q$5,B1128=2020,I1128*$Q$6,B1128=2021,I1128*$Q$7,B1128=2022,I1128*$Q$8)</f>
        <v>49050.33536662886</v>
      </c>
      <c r="K1128" s="7">
        <f t="shared" si="36"/>
        <v>134169.33536662886</v>
      </c>
      <c r="L1128">
        <f>IFERROR(VLOOKUP(G1128,'LEAID Match'!$A$2:$B$168,2,FALSE),"")</f>
        <v>4603932</v>
      </c>
    </row>
    <row r="1129" spans="1:12" x14ac:dyDescent="0.2">
      <c r="A1129">
        <f t="shared" si="35"/>
        <v>4603932</v>
      </c>
      <c r="B1129">
        <v>2017</v>
      </c>
      <c r="C1129" t="s">
        <v>208</v>
      </c>
      <c r="D1129" t="s">
        <v>212</v>
      </c>
      <c r="E1129" t="s">
        <v>211</v>
      </c>
      <c r="F1129" s="3">
        <v>956114</v>
      </c>
      <c r="G1129" s="3" t="s">
        <v>124</v>
      </c>
      <c r="H1129" s="4">
        <v>85806</v>
      </c>
      <c r="I1129" cm="1">
        <f t="array" ref="I1129">_xlfn.IFS(B1129=2015,H1129/$O$10,B1129=2016,H1129/$O$11,B1129=2017,H1129/$O$12,B1129=2018,H1129/$O$13,B1129=2019,H1129/$O$14,B1129=2020,H1129/$O$15,B1129=2021,H1129/$O$16,B1129=2022,H1129/$O$17)</f>
        <v>1.7716185006639389E-3</v>
      </c>
      <c r="J1129" s="6" cm="1">
        <f t="array" ref="J1129">_xlfn.IFS(B1129=2015,I1129*$Q$1,B1129=2016,I1129*$Q$2,B1129=2017,I1129*$Q$3,B1129=2018,I1129*$Q$4,B1129=2019,I1129*$Q$5,B1129=2020,I1129*$Q$6,B1129=2021,I1129*$Q$7,B1129=2022,I1129*$Q$8)</f>
        <v>46603.370704244269</v>
      </c>
      <c r="K1129" s="7">
        <f t="shared" si="36"/>
        <v>132409.37070424427</v>
      </c>
      <c r="L1129">
        <f>IFERROR(VLOOKUP(G1129,'LEAID Match'!$A$2:$B$168,2,FALSE),"")</f>
        <v>4603932</v>
      </c>
    </row>
    <row r="1130" spans="1:12" x14ac:dyDescent="0.2">
      <c r="A1130">
        <f t="shared" si="35"/>
        <v>4603932</v>
      </c>
      <c r="B1130">
        <v>2018</v>
      </c>
      <c r="C1130" t="s">
        <v>208</v>
      </c>
      <c r="D1130" t="s">
        <v>212</v>
      </c>
      <c r="E1130" t="s">
        <v>211</v>
      </c>
      <c r="F1130" s="3">
        <v>956114</v>
      </c>
      <c r="G1130" s="3" t="s">
        <v>124</v>
      </c>
      <c r="H1130" s="4">
        <v>85489</v>
      </c>
      <c r="I1130" cm="1">
        <f t="array" ref="I1130">_xlfn.IFS(B1130=2015,H1130/$O$10,B1130=2016,H1130/$O$11,B1130=2017,H1130/$O$12,B1130=2018,H1130/$O$13,B1130=2019,H1130/$O$14,B1130=2020,H1130/$O$15,B1130=2021,H1130/$O$16,B1130=2022,H1130/$O$17)</f>
        <v>1.7048733064291646E-3</v>
      </c>
      <c r="J1130" s="6" cm="1">
        <f t="array" ref="J1130">_xlfn.IFS(B1130=2015,I1130*$Q$1,B1130=2016,I1130*$Q$2,B1130=2017,I1130*$Q$3,B1130=2018,I1130*$Q$4,B1130=2019,I1130*$Q$5,B1130=2020,I1130*$Q$6,B1130=2021,I1130*$Q$7,B1130=2022,I1130*$Q$8)</f>
        <v>44762.827902802615</v>
      </c>
      <c r="K1130" s="7">
        <f t="shared" si="36"/>
        <v>130251.82790280262</v>
      </c>
      <c r="L1130">
        <f>IFERROR(VLOOKUP(G1130,'LEAID Match'!$A$2:$B$168,2,FALSE),"")</f>
        <v>4603932</v>
      </c>
    </row>
    <row r="1131" spans="1:12" x14ac:dyDescent="0.2">
      <c r="A1131">
        <f t="shared" si="35"/>
        <v>4603932</v>
      </c>
      <c r="B1131">
        <v>2019</v>
      </c>
      <c r="C1131" t="s">
        <v>208</v>
      </c>
      <c r="D1131" t="s">
        <v>212</v>
      </c>
      <c r="E1131" t="s">
        <v>211</v>
      </c>
      <c r="F1131" s="3">
        <v>956114</v>
      </c>
      <c r="G1131" s="3" t="s">
        <v>124</v>
      </c>
      <c r="H1131" s="4">
        <v>84258</v>
      </c>
      <c r="I1131" cm="1">
        <f t="array" ref="I1131">_xlfn.IFS(B1131=2015,H1131/$O$10,B1131=2016,H1131/$O$11,B1131=2017,H1131/$O$12,B1131=2018,H1131/$O$13,B1131=2019,H1131/$O$14,B1131=2020,H1131/$O$15,B1131=2021,H1131/$O$16,B1131=2022,H1131/$O$17)</f>
        <v>1.6501534790794605E-3</v>
      </c>
      <c r="J1131" s="6" cm="1">
        <f t="array" ref="J1131">_xlfn.IFS(B1131=2015,I1131*$Q$1,B1131=2016,I1131*$Q$2,B1131=2017,I1131*$Q$3,B1131=2018,I1131*$Q$4,B1131=2019,I1131*$Q$5,B1131=2020,I1131*$Q$6,B1131=2021,I1131*$Q$7,B1131=2022,I1131*$Q$8)</f>
        <v>43642.359881047472</v>
      </c>
      <c r="K1131" s="7">
        <f t="shared" si="36"/>
        <v>127900.35988104748</v>
      </c>
      <c r="L1131">
        <f>IFERROR(VLOOKUP(G1131,'LEAID Match'!$A$2:$B$168,2,FALSE),"")</f>
        <v>4603932</v>
      </c>
    </row>
    <row r="1132" spans="1:12" x14ac:dyDescent="0.2">
      <c r="A1132">
        <f t="shared" si="35"/>
        <v>4603932</v>
      </c>
      <c r="B1132">
        <v>2020</v>
      </c>
      <c r="C1132" t="s">
        <v>208</v>
      </c>
      <c r="D1132" t="s">
        <v>212</v>
      </c>
      <c r="E1132" t="s">
        <v>211</v>
      </c>
      <c r="F1132" s="1">
        <v>956114</v>
      </c>
      <c r="G1132" s="3" t="s">
        <v>124</v>
      </c>
      <c r="H1132" s="2">
        <v>88852</v>
      </c>
      <c r="I1132" cm="1">
        <f t="array" ref="I1132">_xlfn.IFS(B1132=2015,H1132/$O$10,B1132=2016,H1132/$O$11,B1132=2017,H1132/$O$12,B1132=2018,H1132/$O$13,B1132=2019,H1132/$O$14,B1132=2020,H1132/$O$15,B1132=2021,H1132/$O$16,B1132=2022,H1132/$O$17)</f>
        <v>1.6828373244879005E-3</v>
      </c>
      <c r="J1132" s="6" cm="1">
        <f t="array" ref="J1132">_xlfn.IFS(B1132=2015,I1132*$Q$1,B1132=2016,I1132*$Q$2,B1132=2017,I1132*$Q$3,B1132=2018,I1132*$Q$4,B1132=2019,I1132*$Q$5,B1132=2020,I1132*$Q$6,B1132=2021,I1132*$Q$7,B1132=2022,I1132*$Q$8)</f>
        <v>45756.735588247968</v>
      </c>
      <c r="K1132" s="7">
        <f t="shared" si="36"/>
        <v>134608.73558824798</v>
      </c>
      <c r="L1132">
        <f>IFERROR(VLOOKUP(G1132,'LEAID Match'!$A$2:$B$168,2,FALSE),"")</f>
        <v>4603932</v>
      </c>
    </row>
    <row r="1133" spans="1:12" x14ac:dyDescent="0.2">
      <c r="A1133">
        <f t="shared" si="35"/>
        <v>4603932</v>
      </c>
      <c r="B1133">
        <v>2021</v>
      </c>
      <c r="C1133" t="s">
        <v>208</v>
      </c>
      <c r="D1133" t="s">
        <v>212</v>
      </c>
      <c r="E1133" t="s">
        <v>211</v>
      </c>
      <c r="F1133" s="3">
        <v>956114</v>
      </c>
      <c r="G1133" s="3" t="s">
        <v>124</v>
      </c>
      <c r="H1133" s="4">
        <v>92529</v>
      </c>
      <c r="I1133" cm="1">
        <f t="array" ref="I1133">_xlfn.IFS(B1133=2015,H1133/$O$10,B1133=2016,H1133/$O$11,B1133=2017,H1133/$O$12,B1133=2018,H1133/$O$13,B1133=2019,H1133/$O$14,B1133=2020,H1133/$O$15,B1133=2021,H1133/$O$16,B1133=2022,H1133/$O$17)</f>
        <v>1.6712188441109299E-3</v>
      </c>
      <c r="J1133" s="6" cm="1">
        <f t="array" ref="J1133">_xlfn.IFS(B1133=2015,I1133*$Q$1,B1133=2016,I1133*$Q$2,B1133=2017,I1133*$Q$3,B1133=2018,I1133*$Q$4,B1133=2019,I1133*$Q$5,B1133=2020,I1133*$Q$6,B1133=2021,I1133*$Q$7,B1133=2022,I1133*$Q$8)</f>
        <v>46523.946698235159</v>
      </c>
      <c r="K1133" s="7">
        <f t="shared" si="36"/>
        <v>139052.94669823517</v>
      </c>
      <c r="L1133">
        <f>IFERROR(VLOOKUP(G1133,'LEAID Match'!$A$2:$B$168,2,FALSE),"")</f>
        <v>4603932</v>
      </c>
    </row>
    <row r="1134" spans="1:12" x14ac:dyDescent="0.2">
      <c r="A1134">
        <f t="shared" si="35"/>
        <v>4603932</v>
      </c>
      <c r="B1134">
        <v>2022</v>
      </c>
      <c r="C1134" t="s">
        <v>208</v>
      </c>
      <c r="D1134" t="s">
        <v>212</v>
      </c>
      <c r="E1134" t="s">
        <v>211</v>
      </c>
      <c r="F1134" s="3">
        <v>956114</v>
      </c>
      <c r="G1134" s="3" t="s">
        <v>124</v>
      </c>
      <c r="H1134" s="4">
        <v>99131</v>
      </c>
      <c r="I1134" cm="1">
        <f t="array" ref="I1134">_xlfn.IFS(B1134=2015,H1134/$O$10,B1134=2016,H1134/$O$11,B1134=2017,H1134/$O$12,B1134=2018,H1134/$O$13,B1134=2019,H1134/$O$14,B1134=2020,H1134/$O$15,B1134=2021,H1134/$O$16,B1134=2022,H1134/$O$17)</f>
        <v>1.7168083488311552E-3</v>
      </c>
      <c r="J1134" s="6" cm="1">
        <f t="array" ref="J1134">_xlfn.IFS(B1134=2015,I1134*$Q$1,B1134=2016,I1134*$Q$2,B1134=2017,I1134*$Q$3,B1134=2018,I1134*$Q$4,B1134=2019,I1134*$Q$5,B1134=2020,I1134*$Q$6,B1134=2021,I1134*$Q$7,B1134=2022,I1134*$Q$8)</f>
        <v>50573.647632217333</v>
      </c>
      <c r="K1134" s="7">
        <f t="shared" si="36"/>
        <v>149704.64763221733</v>
      </c>
      <c r="L1134">
        <f>IFERROR(VLOOKUP(G1134,'LEAID Match'!$A$2:$B$168,2,FALSE),"")</f>
        <v>4603932</v>
      </c>
    </row>
    <row r="1135" spans="1:12" x14ac:dyDescent="0.2">
      <c r="A1135">
        <f t="shared" si="35"/>
        <v>4660450</v>
      </c>
      <c r="B1135">
        <v>2015</v>
      </c>
      <c r="C1135" t="s">
        <v>208</v>
      </c>
      <c r="D1135" t="s">
        <v>212</v>
      </c>
      <c r="E1135" t="s">
        <v>211</v>
      </c>
      <c r="F1135" s="3">
        <v>957100</v>
      </c>
      <c r="G1135" s="3" t="s">
        <v>121</v>
      </c>
      <c r="H1135" s="4">
        <v>200512</v>
      </c>
      <c r="I1135" cm="1">
        <f t="array" ref="I1135">_xlfn.IFS(B1135=2015,H1135/$O$10,B1135=2016,H1135/$O$11,B1135=2017,H1135/$O$12,B1135=2018,H1135/$O$13,B1135=2019,H1135/$O$14,B1135=2020,H1135/$O$15,B1135=2021,H1135/$O$16,B1135=2022,H1135/$O$17)</f>
        <v>4.6900345210323996E-3</v>
      </c>
      <c r="J1135" s="6" cm="1">
        <f t="array" ref="J1135">_xlfn.IFS(B1135=2015,I1135*$Q$1,B1135=2016,I1135*$Q$2,B1135=2017,I1135*$Q$3,B1135=2018,I1135*$Q$4,B1135=2019,I1135*$Q$5,B1135=2020,I1135*$Q$6,B1135=2021,I1135*$Q$7,B1135=2022,I1135*$Q$8)</f>
        <v>115338.05589657954</v>
      </c>
      <c r="K1135" s="7">
        <f t="shared" si="36"/>
        <v>315850.05589657952</v>
      </c>
      <c r="L1135">
        <f>IFERROR(VLOOKUP(G1135,'LEAID Match'!$A$2:$B$168,2,FALSE),"")</f>
        <v>4660450</v>
      </c>
    </row>
    <row r="1136" spans="1:12" x14ac:dyDescent="0.2">
      <c r="A1136">
        <f t="shared" si="35"/>
        <v>4660450</v>
      </c>
      <c r="B1136">
        <v>2016</v>
      </c>
      <c r="C1136" t="s">
        <v>208</v>
      </c>
      <c r="D1136" t="s">
        <v>212</v>
      </c>
      <c r="E1136" t="s">
        <v>211</v>
      </c>
      <c r="F1136" s="3">
        <v>957100</v>
      </c>
      <c r="G1136" s="3" t="s">
        <v>121</v>
      </c>
      <c r="H1136" s="4">
        <v>206612</v>
      </c>
      <c r="I1136" cm="1">
        <f t="array" ref="I1136">_xlfn.IFS(B1136=2015,H1136/$O$10,B1136=2016,H1136/$O$11,B1136=2017,H1136/$O$12,B1136=2018,H1136/$O$13,B1136=2019,H1136/$O$14,B1136=2020,H1136/$O$15,B1136=2021,H1136/$O$16,B1136=2022,H1136/$O$17)</f>
        <v>4.6863859209727516E-3</v>
      </c>
      <c r="J1136" s="6" cm="1">
        <f t="array" ref="J1136">_xlfn.IFS(B1136=2015,I1136*$Q$1,B1136=2016,I1136*$Q$2,B1136=2017,I1136*$Q$3,B1136=2018,I1136*$Q$4,B1136=2019,I1136*$Q$5,B1136=2020,I1136*$Q$6,B1136=2021,I1136*$Q$7,B1136=2022,I1136*$Q$8)</f>
        <v>119061.40686297914</v>
      </c>
      <c r="K1136" s="7">
        <f t="shared" si="36"/>
        <v>325673.40686297917</v>
      </c>
      <c r="L1136">
        <f>IFERROR(VLOOKUP(G1136,'LEAID Match'!$A$2:$B$168,2,FALSE),"")</f>
        <v>4660450</v>
      </c>
    </row>
    <row r="1137" spans="1:12" x14ac:dyDescent="0.2">
      <c r="A1137">
        <f t="shared" si="35"/>
        <v>4660450</v>
      </c>
      <c r="B1137">
        <v>2017</v>
      </c>
      <c r="C1137" t="s">
        <v>208</v>
      </c>
      <c r="D1137" t="s">
        <v>212</v>
      </c>
      <c r="E1137" t="s">
        <v>211</v>
      </c>
      <c r="F1137" s="3">
        <v>957100</v>
      </c>
      <c r="G1137" s="3" t="s">
        <v>121</v>
      </c>
      <c r="H1137" s="4">
        <v>213627</v>
      </c>
      <c r="I1137" cm="1">
        <f t="array" ref="I1137">_xlfn.IFS(B1137=2015,H1137/$O$10,B1137=2016,H1137/$O$11,B1137=2017,H1137/$O$12,B1137=2018,H1137/$O$13,B1137=2019,H1137/$O$14,B1137=2020,H1137/$O$15,B1137=2021,H1137/$O$16,B1137=2022,H1137/$O$17)</f>
        <v>4.410711901747375E-3</v>
      </c>
      <c r="J1137" s="6" cm="1">
        <f t="array" ref="J1137">_xlfn.IFS(B1137=2015,I1137*$Q$1,B1137=2016,I1137*$Q$2,B1137=2017,I1137*$Q$3,B1137=2018,I1137*$Q$4,B1137=2019,I1137*$Q$5,B1137=2020,I1137*$Q$6,B1137=2021,I1137*$Q$7,B1137=2022,I1137*$Q$8)</f>
        <v>116026.13189562023</v>
      </c>
      <c r="K1137" s="7">
        <f t="shared" si="36"/>
        <v>329653.13189562026</v>
      </c>
      <c r="L1137">
        <f>IFERROR(VLOOKUP(G1137,'LEAID Match'!$A$2:$B$168,2,FALSE),"")</f>
        <v>4660450</v>
      </c>
    </row>
    <row r="1138" spans="1:12" x14ac:dyDescent="0.2">
      <c r="A1138">
        <f t="shared" si="35"/>
        <v>4660450</v>
      </c>
      <c r="B1138">
        <v>2018</v>
      </c>
      <c r="C1138" t="s">
        <v>208</v>
      </c>
      <c r="D1138" t="s">
        <v>212</v>
      </c>
      <c r="E1138" t="s">
        <v>211</v>
      </c>
      <c r="F1138" s="3">
        <v>957100</v>
      </c>
      <c r="G1138" s="3" t="s">
        <v>121</v>
      </c>
      <c r="H1138" s="4">
        <v>218736</v>
      </c>
      <c r="I1138" cm="1">
        <f t="array" ref="I1138">_xlfn.IFS(B1138=2015,H1138/$O$10,B1138=2016,H1138/$O$11,B1138=2017,H1138/$O$12,B1138=2018,H1138/$O$13,B1138=2019,H1138/$O$14,B1138=2020,H1138/$O$15,B1138=2021,H1138/$O$16,B1138=2022,H1138/$O$17)</f>
        <v>4.3621655131664862E-3</v>
      </c>
      <c r="J1138" s="6" cm="1">
        <f t="array" ref="J1138">_xlfn.IFS(B1138=2015,I1138*$Q$1,B1138=2016,I1138*$Q$2,B1138=2017,I1138*$Q$3,B1138=2018,I1138*$Q$4,B1138=2019,I1138*$Q$5,B1138=2020,I1138*$Q$6,B1138=2021,I1138*$Q$7,B1138=2022,I1138*$Q$8)</f>
        <v>114532.18454008625</v>
      </c>
      <c r="K1138" s="7">
        <f t="shared" si="36"/>
        <v>333268.18454008625</v>
      </c>
      <c r="L1138">
        <f>IFERROR(VLOOKUP(G1138,'LEAID Match'!$A$2:$B$168,2,FALSE),"")</f>
        <v>4660450</v>
      </c>
    </row>
    <row r="1139" spans="1:12" x14ac:dyDescent="0.2">
      <c r="A1139">
        <f t="shared" si="35"/>
        <v>4660450</v>
      </c>
      <c r="B1139">
        <v>2019</v>
      </c>
      <c r="C1139" t="s">
        <v>208</v>
      </c>
      <c r="D1139" t="s">
        <v>212</v>
      </c>
      <c r="E1139" t="s">
        <v>211</v>
      </c>
      <c r="F1139" s="3">
        <v>957100</v>
      </c>
      <c r="G1139" s="3" t="s">
        <v>121</v>
      </c>
      <c r="H1139" s="4">
        <v>218887</v>
      </c>
      <c r="I1139" cm="1">
        <f t="array" ref="I1139">_xlfn.IFS(B1139=2015,H1139/$O$10,B1139=2016,H1139/$O$11,B1139=2017,H1139/$O$12,B1139=2018,H1139/$O$13,B1139=2019,H1139/$O$14,B1139=2020,H1139/$O$15,B1139=2021,H1139/$O$16,B1139=2022,H1139/$O$17)</f>
        <v>4.2867994086646473E-3</v>
      </c>
      <c r="J1139" s="6" cm="1">
        <f t="array" ref="J1139">_xlfn.IFS(B1139=2015,I1139*$Q$1,B1139=2016,I1139*$Q$2,B1139=2017,I1139*$Q$3,B1139=2018,I1139*$Q$4,B1139=2019,I1139*$Q$5,B1139=2020,I1139*$Q$6,B1139=2021,I1139*$Q$7,B1139=2022,I1139*$Q$8)</f>
        <v>113374.93445468487</v>
      </c>
      <c r="K1139" s="7">
        <f t="shared" si="36"/>
        <v>332261.93445468484</v>
      </c>
      <c r="L1139">
        <f>IFERROR(VLOOKUP(G1139,'LEAID Match'!$A$2:$B$168,2,FALSE),"")</f>
        <v>4660450</v>
      </c>
    </row>
    <row r="1140" spans="1:12" x14ac:dyDescent="0.2">
      <c r="A1140">
        <f t="shared" si="35"/>
        <v>4660450</v>
      </c>
      <c r="B1140">
        <v>2020</v>
      </c>
      <c r="C1140" t="s">
        <v>208</v>
      </c>
      <c r="D1140" t="s">
        <v>212</v>
      </c>
      <c r="E1140" t="s">
        <v>211</v>
      </c>
      <c r="F1140" s="1">
        <v>957100</v>
      </c>
      <c r="G1140" s="3" t="s">
        <v>121</v>
      </c>
      <c r="H1140" s="2">
        <v>211672</v>
      </c>
      <c r="I1140" cm="1">
        <f t="array" ref="I1140">_xlfn.IFS(B1140=2015,H1140/$O$10,B1140=2016,H1140/$O$11,B1140=2017,H1140/$O$12,B1140=2018,H1140/$O$13,B1140=2019,H1140/$O$14,B1140=2020,H1140/$O$15,B1140=2021,H1140/$O$16,B1140=2022,H1140/$O$17)</f>
        <v>4.0090210929298485E-3</v>
      </c>
      <c r="J1140" s="6" cm="1">
        <f t="array" ref="J1140">_xlfn.IFS(B1140=2015,I1140*$Q$1,B1140=2016,I1140*$Q$2,B1140=2017,I1140*$Q$3,B1140=2018,I1140*$Q$4,B1140=2019,I1140*$Q$5,B1140=2020,I1140*$Q$6,B1140=2021,I1140*$Q$7,B1140=2022,I1140*$Q$8)</f>
        <v>109006.20960063505</v>
      </c>
      <c r="K1140" s="7">
        <f t="shared" si="36"/>
        <v>320678.20960063505</v>
      </c>
      <c r="L1140">
        <f>IFERROR(VLOOKUP(G1140,'LEAID Match'!$A$2:$B$168,2,FALSE),"")</f>
        <v>4660450</v>
      </c>
    </row>
    <row r="1141" spans="1:12" x14ac:dyDescent="0.2">
      <c r="A1141">
        <f t="shared" si="35"/>
        <v>4660450</v>
      </c>
      <c r="B1141">
        <v>2021</v>
      </c>
      <c r="C1141" t="s">
        <v>208</v>
      </c>
      <c r="D1141" t="s">
        <v>212</v>
      </c>
      <c r="E1141" t="s">
        <v>211</v>
      </c>
      <c r="F1141" s="3">
        <v>957100</v>
      </c>
      <c r="G1141" s="3" t="s">
        <v>121</v>
      </c>
      <c r="H1141" s="4">
        <v>226118</v>
      </c>
      <c r="I1141" cm="1">
        <f t="array" ref="I1141">_xlfn.IFS(B1141=2015,H1141/$O$10,B1141=2016,H1141/$O$11,B1141=2017,H1141/$O$12,B1141=2018,H1141/$O$13,B1141=2019,H1141/$O$14,B1141=2020,H1141/$O$15,B1141=2021,H1141/$O$16,B1141=2022,H1141/$O$17)</f>
        <v>4.0840456785729371E-3</v>
      </c>
      <c r="J1141" s="6" cm="1">
        <f t="array" ref="J1141">_xlfn.IFS(B1141=2015,I1141*$Q$1,B1141=2016,I1141*$Q$2,B1141=2017,I1141*$Q$3,B1141=2018,I1141*$Q$4,B1141=2019,I1141*$Q$5,B1141=2020,I1141*$Q$6,B1141=2021,I1141*$Q$7,B1141=2022,I1141*$Q$8)</f>
        <v>113693.02358732439</v>
      </c>
      <c r="K1141" s="7">
        <f t="shared" si="36"/>
        <v>339811.02358732442</v>
      </c>
      <c r="L1141">
        <f>IFERROR(VLOOKUP(G1141,'LEAID Match'!$A$2:$B$168,2,FALSE),"")</f>
        <v>4660450</v>
      </c>
    </row>
    <row r="1142" spans="1:12" x14ac:dyDescent="0.2">
      <c r="A1142">
        <f t="shared" si="35"/>
        <v>4660450</v>
      </c>
      <c r="B1142">
        <v>2022</v>
      </c>
      <c r="C1142" t="s">
        <v>208</v>
      </c>
      <c r="D1142" t="s">
        <v>212</v>
      </c>
      <c r="E1142" t="s">
        <v>211</v>
      </c>
      <c r="F1142" s="3">
        <v>957100</v>
      </c>
      <c r="G1142" s="3" t="s">
        <v>121</v>
      </c>
      <c r="H1142" s="4">
        <v>219849</v>
      </c>
      <c r="I1142" cm="1">
        <f t="array" ref="I1142">_xlfn.IFS(B1142=2015,H1142/$O$10,B1142=2016,H1142/$O$11,B1142=2017,H1142/$O$12,B1142=2018,H1142/$O$13,B1142=2019,H1142/$O$14,B1142=2020,H1142/$O$15,B1142=2021,H1142/$O$16,B1142=2022,H1142/$O$17)</f>
        <v>3.8074729265535566E-3</v>
      </c>
      <c r="J1142" s="6" cm="1">
        <f t="array" ref="J1142">_xlfn.IFS(B1142=2015,I1142*$Q$1,B1142=2016,I1142*$Q$2,B1142=2017,I1142*$Q$3,B1142=2018,I1142*$Q$4,B1142=2019,I1142*$Q$5,B1142=2020,I1142*$Q$6,B1142=2021,I1142*$Q$7,B1142=2022,I1142*$Q$8)</f>
        <v>112160.33186687664</v>
      </c>
      <c r="K1142" s="7">
        <f t="shared" si="36"/>
        <v>332009.33186687663</v>
      </c>
      <c r="L1142">
        <f>IFERROR(VLOOKUP(G1142,'LEAID Match'!$A$2:$B$168,2,FALSE),"")</f>
        <v>4660450</v>
      </c>
    </row>
    <row r="1143" spans="1:12" x14ac:dyDescent="0.2">
      <c r="A1143">
        <f t="shared" si="35"/>
        <v>4600046</v>
      </c>
      <c r="B1143">
        <v>2015</v>
      </c>
      <c r="C1143" t="s">
        <v>208</v>
      </c>
      <c r="D1143" t="s">
        <v>212</v>
      </c>
      <c r="E1143" t="s">
        <v>211</v>
      </c>
      <c r="F1143" s="3">
        <v>957101</v>
      </c>
      <c r="G1143" s="3" t="s">
        <v>181</v>
      </c>
      <c r="H1143" s="4">
        <v>77106</v>
      </c>
      <c r="I1143" cm="1">
        <f t="array" ref="I1143">_xlfn.IFS(B1143=2015,H1143/$O$10,B1143=2016,H1143/$O$11,B1143=2017,H1143/$O$12,B1143=2018,H1143/$O$13,B1143=2019,H1143/$O$14,B1143=2020,H1143/$O$15,B1143=2021,H1143/$O$16,B1143=2022,H1143/$O$17)</f>
        <v>1.8035319670579527E-3</v>
      </c>
      <c r="J1143" s="6" cm="1">
        <f t="array" ref="J1143">_xlfn.IFS(B1143=2015,I1143*$Q$1,B1143=2016,I1143*$Q$2,B1143=2017,I1143*$Q$3,B1143=2018,I1143*$Q$4,B1143=2019,I1143*$Q$5,B1143=2020,I1143*$Q$6,B1143=2021,I1143*$Q$7,B1143=2022,I1143*$Q$8)</f>
        <v>44352.737681344064</v>
      </c>
      <c r="K1143" s="7">
        <f t="shared" si="36"/>
        <v>121458.73768134406</v>
      </c>
      <c r="L1143">
        <f>IFERROR(VLOOKUP(G1143,'LEAID Match'!$A$2:$B$168,2,FALSE),"")</f>
        <v>4600046</v>
      </c>
    </row>
    <row r="1144" spans="1:12" x14ac:dyDescent="0.2">
      <c r="A1144">
        <f t="shared" si="35"/>
        <v>4600046</v>
      </c>
      <c r="B1144">
        <v>2016</v>
      </c>
      <c r="C1144" t="s">
        <v>208</v>
      </c>
      <c r="D1144" t="s">
        <v>212</v>
      </c>
      <c r="E1144" t="s">
        <v>211</v>
      </c>
      <c r="F1144" s="3">
        <v>957101</v>
      </c>
      <c r="G1144" s="3" t="s">
        <v>181</v>
      </c>
      <c r="H1144" s="4">
        <v>83859</v>
      </c>
      <c r="I1144" cm="1">
        <f t="array" ref="I1144">_xlfn.IFS(B1144=2015,H1144/$O$10,B1144=2016,H1144/$O$11,B1144=2017,H1144/$O$12,B1144=2018,H1144/$O$13,B1144=2019,H1144/$O$14,B1144=2020,H1144/$O$15,B1144=2021,H1144/$O$16,B1144=2022,H1144/$O$17)</f>
        <v>1.9020949264653263E-3</v>
      </c>
      <c r="J1144" s="6" cm="1">
        <f t="array" ref="J1144">_xlfn.IFS(B1144=2015,I1144*$Q$1,B1144=2016,I1144*$Q$2,B1144=2017,I1144*$Q$3,B1144=2018,I1144*$Q$4,B1144=2019,I1144*$Q$5,B1144=2020,I1144*$Q$6,B1144=2021,I1144*$Q$7,B1144=2022,I1144*$Q$8)</f>
        <v>48324.25279326742</v>
      </c>
      <c r="K1144" s="7">
        <f t="shared" si="36"/>
        <v>132183.25279326743</v>
      </c>
      <c r="L1144">
        <f>IFERROR(VLOOKUP(G1144,'LEAID Match'!$A$2:$B$168,2,FALSE),"")</f>
        <v>4600046</v>
      </c>
    </row>
    <row r="1145" spans="1:12" x14ac:dyDescent="0.2">
      <c r="A1145">
        <f t="shared" si="35"/>
        <v>4600046</v>
      </c>
      <c r="B1145">
        <v>2017</v>
      </c>
      <c r="C1145" t="s">
        <v>208</v>
      </c>
      <c r="D1145" t="s">
        <v>212</v>
      </c>
      <c r="E1145" t="s">
        <v>211</v>
      </c>
      <c r="F1145" s="3">
        <v>957101</v>
      </c>
      <c r="G1145" s="3" t="s">
        <v>181</v>
      </c>
      <c r="H1145" s="4">
        <v>91565</v>
      </c>
      <c r="I1145" cm="1">
        <f t="array" ref="I1145">_xlfn.IFS(B1145=2015,H1145/$O$10,B1145=2016,H1145/$O$11,B1145=2017,H1145/$O$12,B1145=2018,H1145/$O$13,B1145=2019,H1145/$O$14,B1145=2020,H1145/$O$15,B1145=2021,H1145/$O$16,B1145=2022,H1145/$O$17)</f>
        <v>1.8905233668192617E-3</v>
      </c>
      <c r="J1145" s="6" cm="1">
        <f t="array" ref="J1145">_xlfn.IFS(B1145=2015,I1145*$Q$1,B1145=2016,I1145*$Q$2,B1145=2017,I1145*$Q$3,B1145=2018,I1145*$Q$4,B1145=2019,I1145*$Q$5,B1145=2020,I1145*$Q$6,B1145=2021,I1145*$Q$7,B1145=2022,I1145*$Q$8)</f>
        <v>49731.226703658562</v>
      </c>
      <c r="K1145" s="7">
        <f t="shared" si="36"/>
        <v>141296.22670365855</v>
      </c>
      <c r="L1145">
        <f>IFERROR(VLOOKUP(G1145,'LEAID Match'!$A$2:$B$168,2,FALSE),"")</f>
        <v>4600046</v>
      </c>
    </row>
    <row r="1146" spans="1:12" x14ac:dyDescent="0.2">
      <c r="A1146">
        <f t="shared" si="35"/>
        <v>4600046</v>
      </c>
      <c r="B1146">
        <v>2018</v>
      </c>
      <c r="C1146" t="s">
        <v>208</v>
      </c>
      <c r="D1146" t="s">
        <v>212</v>
      </c>
      <c r="E1146" t="s">
        <v>211</v>
      </c>
      <c r="F1146" s="3">
        <v>957101</v>
      </c>
      <c r="G1146" s="3" t="s">
        <v>181</v>
      </c>
      <c r="H1146" s="4">
        <v>92341</v>
      </c>
      <c r="I1146" cm="1">
        <f t="array" ref="I1146">_xlfn.IFS(B1146=2015,H1146/$O$10,B1146=2016,H1146/$O$11,B1146=2017,H1146/$O$12,B1146=2018,H1146/$O$13,B1146=2019,H1146/$O$14,B1146=2020,H1146/$O$15,B1146=2021,H1146/$O$16,B1146=2022,H1146/$O$17)</f>
        <v>1.8415200316880007E-3</v>
      </c>
      <c r="J1146" s="6" cm="1">
        <f t="array" ref="J1146">_xlfn.IFS(B1146=2015,I1146*$Q$1,B1146=2016,I1146*$Q$2,B1146=2017,I1146*$Q$3,B1146=2018,I1146*$Q$4,B1146=2019,I1146*$Q$5,B1146=2020,I1146*$Q$6,B1146=2021,I1146*$Q$7,B1146=2022,I1146*$Q$8)</f>
        <v>48350.598221674096</v>
      </c>
      <c r="K1146" s="7">
        <f t="shared" si="36"/>
        <v>140691.5982216741</v>
      </c>
      <c r="L1146">
        <f>IFERROR(VLOOKUP(G1146,'LEAID Match'!$A$2:$B$168,2,FALSE),"")</f>
        <v>4600046</v>
      </c>
    </row>
    <row r="1147" spans="1:12" x14ac:dyDescent="0.2">
      <c r="A1147">
        <f t="shared" si="35"/>
        <v>4600046</v>
      </c>
      <c r="B1147">
        <v>2019</v>
      </c>
      <c r="C1147" t="s">
        <v>208</v>
      </c>
      <c r="D1147" t="s">
        <v>212</v>
      </c>
      <c r="E1147" t="s">
        <v>211</v>
      </c>
      <c r="F1147" s="3">
        <v>957101</v>
      </c>
      <c r="G1147" s="3" t="s">
        <v>181</v>
      </c>
      <c r="H1147" s="4">
        <v>96305</v>
      </c>
      <c r="I1147" cm="1">
        <f t="array" ref="I1147">_xlfn.IFS(B1147=2015,H1147/$O$10,B1147=2016,H1147/$O$11,B1147=2017,H1147/$O$12,B1147=2018,H1147/$O$13,B1147=2019,H1147/$O$14,B1147=2020,H1147/$O$15,B1147=2021,H1147/$O$16,B1147=2022,H1147/$O$17)</f>
        <v>1.8860883334846238E-3</v>
      </c>
      <c r="J1147" s="6" cm="1">
        <f t="array" ref="J1147">_xlfn.IFS(B1147=2015,I1147*$Q$1,B1147=2016,I1147*$Q$2,B1147=2017,I1147*$Q$3,B1147=2018,I1147*$Q$4,B1147=2019,I1147*$Q$5,B1147=2020,I1147*$Q$6,B1147=2021,I1147*$Q$7,B1147=2022,I1147*$Q$8)</f>
        <v>49882.23632585958</v>
      </c>
      <c r="K1147" s="7">
        <f t="shared" si="36"/>
        <v>146187.23632585959</v>
      </c>
      <c r="L1147">
        <f>IFERROR(VLOOKUP(G1147,'LEAID Match'!$A$2:$B$168,2,FALSE),"")</f>
        <v>4600046</v>
      </c>
    </row>
    <row r="1148" spans="1:12" x14ac:dyDescent="0.2">
      <c r="A1148">
        <f t="shared" si="35"/>
        <v>4600046</v>
      </c>
      <c r="B1148">
        <v>2020</v>
      </c>
      <c r="C1148" t="s">
        <v>208</v>
      </c>
      <c r="D1148" t="s">
        <v>212</v>
      </c>
      <c r="E1148" t="s">
        <v>211</v>
      </c>
      <c r="F1148" s="1">
        <v>957101</v>
      </c>
      <c r="G1148" s="3" t="s">
        <v>181</v>
      </c>
      <c r="H1148" s="2">
        <v>103800</v>
      </c>
      <c r="I1148" cm="1">
        <f t="array" ref="I1148">_xlfn.IFS(B1148=2015,H1148/$O$10,B1148=2016,H1148/$O$11,B1148=2017,H1148/$O$12,B1148=2018,H1148/$O$13,B1148=2019,H1148/$O$14,B1148=2020,H1148/$O$15,B1148=2021,H1148/$O$16,B1148=2022,H1148/$O$17)</f>
        <v>1.9659491545698923E-3</v>
      </c>
      <c r="J1148" s="6" cm="1">
        <f t="array" ref="J1148">_xlfn.IFS(B1148=2015,I1148*$Q$1,B1148=2016,I1148*$Q$2,B1148=2017,I1148*$Q$3,B1148=2018,I1148*$Q$4,B1148=2019,I1148*$Q$5,B1148=2020,I1148*$Q$6,B1148=2021,I1148*$Q$7,B1148=2022,I1148*$Q$8)</f>
        <v>53454.611647010075</v>
      </c>
      <c r="K1148" s="7">
        <f t="shared" si="36"/>
        <v>157254.61164701008</v>
      </c>
      <c r="L1148">
        <f>IFERROR(VLOOKUP(G1148,'LEAID Match'!$A$2:$B$168,2,FALSE),"")</f>
        <v>4600046</v>
      </c>
    </row>
    <row r="1149" spans="1:12" x14ac:dyDescent="0.2">
      <c r="A1149">
        <f t="shared" si="35"/>
        <v>4600046</v>
      </c>
      <c r="B1149">
        <v>2021</v>
      </c>
      <c r="C1149" t="s">
        <v>208</v>
      </c>
      <c r="D1149" t="s">
        <v>212</v>
      </c>
      <c r="E1149" t="s">
        <v>211</v>
      </c>
      <c r="F1149" s="3">
        <v>957101</v>
      </c>
      <c r="G1149" s="3" t="s">
        <v>181</v>
      </c>
      <c r="H1149" s="4">
        <v>106369</v>
      </c>
      <c r="I1149" cm="1">
        <f t="array" ref="I1149">_xlfn.IFS(B1149=2015,H1149/$O$10,B1149=2016,H1149/$O$11,B1149=2017,H1149/$O$12,B1149=2018,H1149/$O$13,B1149=2019,H1149/$O$14,B1149=2020,H1149/$O$15,B1149=2021,H1149/$O$16,B1149=2022,H1149/$O$17)</f>
        <v>1.9211909480188428E-3</v>
      </c>
      <c r="J1149" s="6" cm="1">
        <f t="array" ref="J1149">_xlfn.IFS(B1149=2015,I1149*$Q$1,B1149=2016,I1149*$Q$2,B1149=2017,I1149*$Q$3,B1149=2018,I1149*$Q$4,B1149=2019,I1149*$Q$5,B1149=2020,I1149*$Q$6,B1149=2021,I1149*$Q$7,B1149=2022,I1149*$Q$8)</f>
        <v>53482.753367534235</v>
      </c>
      <c r="K1149" s="7">
        <f t="shared" si="36"/>
        <v>159851.75336753423</v>
      </c>
      <c r="L1149">
        <f>IFERROR(VLOOKUP(G1149,'LEAID Match'!$A$2:$B$168,2,FALSE),"")</f>
        <v>4600046</v>
      </c>
    </row>
    <row r="1150" spans="1:12" x14ac:dyDescent="0.2">
      <c r="A1150">
        <f t="shared" si="35"/>
        <v>4600046</v>
      </c>
      <c r="B1150">
        <v>2022</v>
      </c>
      <c r="C1150" t="s">
        <v>208</v>
      </c>
      <c r="D1150" t="s">
        <v>212</v>
      </c>
      <c r="E1150" t="s">
        <v>211</v>
      </c>
      <c r="F1150" s="3">
        <v>957101</v>
      </c>
      <c r="G1150" s="3" t="s">
        <v>181</v>
      </c>
      <c r="H1150" s="4">
        <v>105165</v>
      </c>
      <c r="I1150" cm="1">
        <f t="array" ref="I1150">_xlfn.IFS(B1150=2015,H1150/$O$10,B1150=2016,H1150/$O$11,B1150=2017,H1150/$O$12,B1150=2018,H1150/$O$13,B1150=2019,H1150/$O$14,B1150=2020,H1150/$O$15,B1150=2021,H1150/$O$16,B1150=2022,H1150/$O$17)</f>
        <v>1.8213086724115405E-3</v>
      </c>
      <c r="J1150" s="6" cm="1">
        <f t="array" ref="J1150">_xlfn.IFS(B1150=2015,I1150*$Q$1,B1150=2016,I1150*$Q$2,B1150=2017,I1150*$Q$3,B1150=2018,I1150*$Q$4,B1150=2019,I1150*$Q$5,B1150=2020,I1150*$Q$6,B1150=2021,I1150*$Q$7,B1150=2022,I1150*$Q$8)</f>
        <v>53652.012521230849</v>
      </c>
      <c r="K1150" s="7">
        <f t="shared" si="36"/>
        <v>158817.01252123085</v>
      </c>
      <c r="L1150">
        <f>IFERROR(VLOOKUP(G1150,'LEAID Match'!$A$2:$B$168,2,FALSE),"")</f>
        <v>4600046</v>
      </c>
    </row>
    <row r="1151" spans="1:12" x14ac:dyDescent="0.2">
      <c r="A1151">
        <f t="shared" si="35"/>
        <v>4619170</v>
      </c>
      <c r="B1151">
        <v>2015</v>
      </c>
      <c r="C1151" t="s">
        <v>208</v>
      </c>
      <c r="D1151" t="s">
        <v>212</v>
      </c>
      <c r="E1151" t="s">
        <v>211</v>
      </c>
      <c r="F1151" s="3">
        <v>957102</v>
      </c>
      <c r="G1151" s="3" t="s">
        <v>38</v>
      </c>
      <c r="H1151" s="4">
        <v>60054</v>
      </c>
      <c r="I1151" cm="1">
        <f t="array" ref="I1151">_xlfn.IFS(B1151=2015,H1151/$O$10,B1151=2016,H1151/$O$11,B1151=2017,H1151/$O$12,B1151=2018,H1151/$O$13,B1151=2019,H1151/$O$14,B1151=2020,H1151/$O$15,B1151=2021,H1151/$O$16,B1151=2022,H1151/$O$17)</f>
        <v>1.4046806830817094E-3</v>
      </c>
      <c r="J1151" s="6" cm="1">
        <f t="array" ref="J1151">_xlfn.IFS(B1151=2015,I1151*$Q$1,B1151=2016,I1151*$Q$2,B1151=2017,I1151*$Q$3,B1151=2018,I1151*$Q$4,B1151=2019,I1151*$Q$5,B1151=2020,I1151*$Q$6,B1151=2021,I1151*$Q$7,B1151=2022,I1151*$Q$8)</f>
        <v>34544.125083851279</v>
      </c>
      <c r="K1151" s="7">
        <f t="shared" si="36"/>
        <v>94598.125083851279</v>
      </c>
      <c r="L1151">
        <f>IFERROR(VLOOKUP(G1151,'LEAID Match'!$A$2:$B$168,2,FALSE),"")</f>
        <v>4619170</v>
      </c>
    </row>
    <row r="1152" spans="1:12" x14ac:dyDescent="0.2">
      <c r="A1152">
        <f t="shared" si="35"/>
        <v>4619170</v>
      </c>
      <c r="B1152">
        <v>2016</v>
      </c>
      <c r="C1152" t="s">
        <v>208</v>
      </c>
      <c r="D1152" t="s">
        <v>212</v>
      </c>
      <c r="E1152" t="s">
        <v>211</v>
      </c>
      <c r="F1152" s="3">
        <v>957102</v>
      </c>
      <c r="G1152" s="3" t="s">
        <v>38</v>
      </c>
      <c r="H1152" s="4">
        <v>69413</v>
      </c>
      <c r="I1152" cm="1">
        <f t="array" ref="I1152">_xlfn.IFS(B1152=2015,H1152/$O$10,B1152=2016,H1152/$O$11,B1152=2017,H1152/$O$12,B1152=2018,H1152/$O$13,B1152=2019,H1152/$O$14,B1152=2020,H1152/$O$15,B1152=2021,H1152/$O$16,B1152=2022,H1152/$O$17)</f>
        <v>1.5744298778990651E-3</v>
      </c>
      <c r="J1152" s="6" cm="1">
        <f t="array" ref="J1152">_xlfn.IFS(B1152=2015,I1152*$Q$1,B1152=2016,I1152*$Q$2,B1152=2017,I1152*$Q$3,B1152=2018,I1152*$Q$4,B1152=2019,I1152*$Q$5,B1152=2020,I1152*$Q$6,B1152=2021,I1152*$Q$7,B1152=2022,I1152*$Q$8)</f>
        <v>39999.65846407746</v>
      </c>
      <c r="K1152" s="7">
        <f t="shared" si="36"/>
        <v>109412.65846407745</v>
      </c>
      <c r="L1152">
        <f>IFERROR(VLOOKUP(G1152,'LEAID Match'!$A$2:$B$168,2,FALSE),"")</f>
        <v>4619170</v>
      </c>
    </row>
    <row r="1153" spans="1:12" x14ac:dyDescent="0.2">
      <c r="A1153">
        <f t="shared" si="35"/>
        <v>4619170</v>
      </c>
      <c r="B1153">
        <v>2017</v>
      </c>
      <c r="C1153" t="s">
        <v>208</v>
      </c>
      <c r="D1153" t="s">
        <v>212</v>
      </c>
      <c r="E1153" t="s">
        <v>211</v>
      </c>
      <c r="F1153" s="3">
        <v>957102</v>
      </c>
      <c r="G1153" s="3" t="s">
        <v>38</v>
      </c>
      <c r="H1153" s="4">
        <v>76007</v>
      </c>
      <c r="I1153" cm="1">
        <f t="array" ref="I1153">_xlfn.IFS(B1153=2015,H1153/$O$10,B1153=2016,H1153/$O$11,B1153=2017,H1153/$O$12,B1153=2018,H1153/$O$13,B1153=2019,H1153/$O$14,B1153=2020,H1153/$O$15,B1153=2021,H1153/$O$16,B1153=2022,H1153/$O$17)</f>
        <v>1.569300601123045E-3</v>
      </c>
      <c r="J1153" s="6" cm="1">
        <f t="array" ref="J1153">_xlfn.IFS(B1153=2015,I1153*$Q$1,B1153=2016,I1153*$Q$2,B1153=2017,I1153*$Q$3,B1153=2018,I1153*$Q$4,B1153=2019,I1153*$Q$5,B1153=2020,I1153*$Q$6,B1153=2021,I1153*$Q$7,B1153=2022,I1153*$Q$8)</f>
        <v>41281.290319062697</v>
      </c>
      <c r="K1153" s="7">
        <f t="shared" si="36"/>
        <v>117288.2903190627</v>
      </c>
      <c r="L1153">
        <f>IFERROR(VLOOKUP(G1153,'LEAID Match'!$A$2:$B$168,2,FALSE),"")</f>
        <v>4619170</v>
      </c>
    </row>
    <row r="1154" spans="1:12" x14ac:dyDescent="0.2">
      <c r="A1154">
        <f t="shared" si="35"/>
        <v>4619170</v>
      </c>
      <c r="B1154">
        <v>2018</v>
      </c>
      <c r="C1154" t="s">
        <v>208</v>
      </c>
      <c r="D1154" t="s">
        <v>212</v>
      </c>
      <c r="E1154" t="s">
        <v>211</v>
      </c>
      <c r="F1154" s="3">
        <v>957102</v>
      </c>
      <c r="G1154" s="3" t="s">
        <v>38</v>
      </c>
      <c r="H1154" s="4">
        <v>78155</v>
      </c>
      <c r="I1154" cm="1">
        <f t="array" ref="I1154">_xlfn.IFS(B1154=2015,H1154/$O$10,B1154=2016,H1154/$O$11,B1154=2017,H1154/$O$12,B1154=2018,H1154/$O$13,B1154=2019,H1154/$O$14,B1154=2020,H1154/$O$15,B1154=2021,H1154/$O$16,B1154=2022,H1154/$O$17)</f>
        <v>1.558614245855857E-3</v>
      </c>
      <c r="J1154" s="6" cm="1">
        <f t="array" ref="J1154">_xlfn.IFS(B1154=2015,I1154*$Q$1,B1154=2016,I1154*$Q$2,B1154=2017,I1154*$Q$3,B1154=2018,I1154*$Q$4,B1154=2019,I1154*$Q$5,B1154=2020,I1154*$Q$6,B1154=2021,I1154*$Q$7,B1154=2022,I1154*$Q$8)</f>
        <v>40922.677943870425</v>
      </c>
      <c r="K1154" s="7">
        <f t="shared" si="36"/>
        <v>119077.67794387043</v>
      </c>
      <c r="L1154">
        <f>IFERROR(VLOOKUP(G1154,'LEAID Match'!$A$2:$B$168,2,FALSE),"")</f>
        <v>4619170</v>
      </c>
    </row>
    <row r="1155" spans="1:12" x14ac:dyDescent="0.2">
      <c r="A1155">
        <f t="shared" ref="A1155:A1218" si="37">L1155</f>
        <v>4619170</v>
      </c>
      <c r="B1155">
        <v>2019</v>
      </c>
      <c r="C1155" t="s">
        <v>208</v>
      </c>
      <c r="D1155" t="s">
        <v>212</v>
      </c>
      <c r="E1155" t="s">
        <v>211</v>
      </c>
      <c r="F1155" s="3">
        <v>957102</v>
      </c>
      <c r="G1155" s="3" t="s">
        <v>38</v>
      </c>
      <c r="H1155" s="4">
        <v>74534</v>
      </c>
      <c r="I1155" cm="1">
        <f t="array" ref="I1155">_xlfn.IFS(B1155=2015,H1155/$O$10,B1155=2016,H1155/$O$11,B1155=2017,H1155/$O$12,B1155=2018,H1155/$O$13,B1155=2019,H1155/$O$14,B1155=2020,H1155/$O$15,B1155=2021,H1155/$O$16,B1155=2022,H1155/$O$17)</f>
        <v>1.4597134920091683E-3</v>
      </c>
      <c r="J1155" s="6" cm="1">
        <f t="array" ref="J1155">_xlfn.IFS(B1155=2015,I1155*$Q$1,B1155=2016,I1155*$Q$2,B1155=2017,I1155*$Q$3,B1155=2018,I1155*$Q$4,B1155=2019,I1155*$Q$5,B1155=2020,I1155*$Q$6,B1155=2021,I1155*$Q$7,B1155=2022,I1155*$Q$8)</f>
        <v>38605.706892805341</v>
      </c>
      <c r="K1155" s="7">
        <f t="shared" ref="K1155:K1218" si="38">SUM(J1155,H1155)</f>
        <v>113139.70689280535</v>
      </c>
      <c r="L1155">
        <f>IFERROR(VLOOKUP(G1155,'LEAID Match'!$A$2:$B$168,2,FALSE),"")</f>
        <v>4619170</v>
      </c>
    </row>
    <row r="1156" spans="1:12" x14ac:dyDescent="0.2">
      <c r="A1156">
        <f t="shared" si="37"/>
        <v>4619170</v>
      </c>
      <c r="B1156">
        <v>2020</v>
      </c>
      <c r="C1156" t="s">
        <v>208</v>
      </c>
      <c r="D1156" t="s">
        <v>212</v>
      </c>
      <c r="E1156" t="s">
        <v>211</v>
      </c>
      <c r="F1156" s="1">
        <v>957102</v>
      </c>
      <c r="G1156" s="3" t="s">
        <v>38</v>
      </c>
      <c r="H1156" s="2">
        <v>74099</v>
      </c>
      <c r="I1156" cm="1">
        <f t="array" ref="I1156">_xlfn.IFS(B1156=2015,H1156/$O$10,B1156=2016,H1156/$O$11,B1156=2017,H1156/$O$12,B1156=2018,H1156/$O$13,B1156=2019,H1156/$O$14,B1156=2020,H1156/$O$15,B1156=2021,H1156/$O$16,B1156=2022,H1156/$O$17)</f>
        <v>1.4034187514881933E-3</v>
      </c>
      <c r="J1156" s="6" cm="1">
        <f t="array" ref="J1156">_xlfn.IFS(B1156=2015,I1156*$Q$1,B1156=2016,I1156*$Q$2,B1156=2017,I1156*$Q$3,B1156=2018,I1156*$Q$4,B1156=2019,I1156*$Q$5,B1156=2020,I1156*$Q$6,B1156=2021,I1156*$Q$7,B1156=2022,I1156*$Q$8)</f>
        <v>38159.280042695573</v>
      </c>
      <c r="K1156" s="7">
        <f t="shared" si="38"/>
        <v>112258.28004269558</v>
      </c>
      <c r="L1156">
        <f>IFERROR(VLOOKUP(G1156,'LEAID Match'!$A$2:$B$168,2,FALSE),"")</f>
        <v>4619170</v>
      </c>
    </row>
    <row r="1157" spans="1:12" x14ac:dyDescent="0.2">
      <c r="A1157">
        <f t="shared" si="37"/>
        <v>4619170</v>
      </c>
      <c r="B1157">
        <v>2021</v>
      </c>
      <c r="C1157" t="s">
        <v>208</v>
      </c>
      <c r="D1157" t="s">
        <v>212</v>
      </c>
      <c r="E1157" t="s">
        <v>211</v>
      </c>
      <c r="F1157" s="3">
        <v>957102</v>
      </c>
      <c r="G1157" s="3" t="s">
        <v>38</v>
      </c>
      <c r="H1157" s="4">
        <v>72017</v>
      </c>
      <c r="I1157" cm="1">
        <f t="array" ref="I1157">_xlfn.IFS(B1157=2015,H1157/$O$10,B1157=2016,H1157/$O$11,B1157=2017,H1157/$O$12,B1157=2018,H1157/$O$13,B1157=2019,H1157/$O$14,B1157=2020,H1157/$O$15,B1157=2021,H1157/$O$16,B1157=2022,H1157/$O$17)</f>
        <v>1.3007399571630174E-3</v>
      </c>
      <c r="J1157" s="6" cm="1">
        <f t="array" ref="J1157">_xlfn.IFS(B1157=2015,I1157*$Q$1,B1157=2016,I1157*$Q$2,B1157=2017,I1157*$Q$3,B1157=2018,I1157*$Q$4,B1157=2019,I1157*$Q$5,B1157=2020,I1157*$Q$6,B1157=2021,I1157*$Q$7,B1157=2022,I1157*$Q$8)</f>
        <v>36210.432073909811</v>
      </c>
      <c r="K1157" s="7">
        <f t="shared" si="38"/>
        <v>108227.43207390982</v>
      </c>
      <c r="L1157">
        <f>IFERROR(VLOOKUP(G1157,'LEAID Match'!$A$2:$B$168,2,FALSE),"")</f>
        <v>4619170</v>
      </c>
    </row>
    <row r="1158" spans="1:12" x14ac:dyDescent="0.2">
      <c r="A1158">
        <f t="shared" si="37"/>
        <v>4619170</v>
      </c>
      <c r="B1158">
        <v>2022</v>
      </c>
      <c r="C1158" t="s">
        <v>208</v>
      </c>
      <c r="D1158" t="s">
        <v>212</v>
      </c>
      <c r="E1158" t="s">
        <v>211</v>
      </c>
      <c r="F1158" s="3">
        <v>957102</v>
      </c>
      <c r="G1158" s="3" t="s">
        <v>38</v>
      </c>
      <c r="H1158" s="4">
        <v>70618</v>
      </c>
      <c r="I1158" cm="1">
        <f t="array" ref="I1158">_xlfn.IFS(B1158=2015,H1158/$O$10,B1158=2016,H1158/$O$11,B1158=2017,H1158/$O$12,B1158=2018,H1158/$O$13,B1158=2019,H1158/$O$14,B1158=2020,H1158/$O$15,B1158=2021,H1158/$O$16,B1158=2022,H1158/$O$17)</f>
        <v>1.2230036212462147E-3</v>
      </c>
      <c r="J1158" s="6" cm="1">
        <f t="array" ref="J1158">_xlfn.IFS(B1158=2015,I1158*$Q$1,B1158=2016,I1158*$Q$2,B1158=2017,I1158*$Q$3,B1158=2018,I1158*$Q$4,B1158=2019,I1158*$Q$5,B1158=2020,I1158*$Q$6,B1158=2021,I1158*$Q$7,B1158=2022,I1158*$Q$8)</f>
        <v>36027.174632475442</v>
      </c>
      <c r="K1158" s="7">
        <f t="shared" si="38"/>
        <v>106645.17463247545</v>
      </c>
      <c r="L1158">
        <f>IFERROR(VLOOKUP(G1158,'LEAID Match'!$A$2:$B$168,2,FALSE),"")</f>
        <v>4619170</v>
      </c>
    </row>
    <row r="1159" spans="1:12" x14ac:dyDescent="0.2">
      <c r="A1159">
        <f t="shared" si="37"/>
        <v>4651750</v>
      </c>
      <c r="B1159">
        <v>2015</v>
      </c>
      <c r="C1159" t="s">
        <v>208</v>
      </c>
      <c r="D1159" t="s">
        <v>212</v>
      </c>
      <c r="E1159" t="s">
        <v>211</v>
      </c>
      <c r="F1159" s="3">
        <v>957116</v>
      </c>
      <c r="G1159" s="3" t="s">
        <v>110</v>
      </c>
      <c r="H1159" s="4">
        <v>85808</v>
      </c>
      <c r="I1159" cm="1">
        <f t="array" ref="I1159">_xlfn.IFS(B1159=2015,H1159/$O$10,B1159=2016,H1159/$O$11,B1159=2017,H1159/$O$12,B1159=2018,H1159/$O$13,B1159=2019,H1159/$O$14,B1159=2020,H1159/$O$15,B1159=2021,H1159/$O$16,B1159=2022,H1159/$O$17)</f>
        <v>2.0070743006939643E-3</v>
      </c>
      <c r="J1159" s="6" cm="1">
        <f t="array" ref="J1159">_xlfn.IFS(B1159=2015,I1159*$Q$1,B1159=2016,I1159*$Q$2,B1159=2017,I1159*$Q$3,B1159=2018,I1159*$Q$4,B1159=2019,I1159*$Q$5,B1159=2020,I1159*$Q$6,B1159=2021,I1159*$Q$7,B1159=2022,I1159*$Q$8)</f>
        <v>49358.282299182574</v>
      </c>
      <c r="K1159" s="7">
        <f t="shared" si="38"/>
        <v>135166.28229918258</v>
      </c>
      <c r="L1159">
        <f>IFERROR(VLOOKUP(G1159,'LEAID Match'!$A$2:$B$168,2,FALSE),"")</f>
        <v>4651750</v>
      </c>
    </row>
    <row r="1160" spans="1:12" x14ac:dyDescent="0.2">
      <c r="A1160">
        <f t="shared" si="37"/>
        <v>4651750</v>
      </c>
      <c r="B1160">
        <v>2016</v>
      </c>
      <c r="C1160" t="s">
        <v>208</v>
      </c>
      <c r="D1160" t="s">
        <v>212</v>
      </c>
      <c r="E1160" t="s">
        <v>211</v>
      </c>
      <c r="F1160" s="3">
        <v>957116</v>
      </c>
      <c r="G1160" s="3" t="s">
        <v>110</v>
      </c>
      <c r="H1160" s="4">
        <v>86371</v>
      </c>
      <c r="I1160" cm="1">
        <f t="array" ref="I1160">_xlfn.IFS(B1160=2015,H1160/$O$10,B1160=2016,H1160/$O$11,B1160=2017,H1160/$O$12,B1160=2018,H1160/$O$13,B1160=2019,H1160/$O$14,B1160=2020,H1160/$O$15,B1160=2021,H1160/$O$16,B1160=2022,H1160/$O$17)</f>
        <v>1.9590722628905271E-3</v>
      </c>
      <c r="J1160" s="6" cm="1">
        <f t="array" ref="J1160">_xlfn.IFS(B1160=2015,I1160*$Q$1,B1160=2016,I1160*$Q$2,B1160=2017,I1160*$Q$3,B1160=2018,I1160*$Q$4,B1160=2019,I1160*$Q$5,B1160=2020,I1160*$Q$6,B1160=2021,I1160*$Q$7,B1160=2022,I1160*$Q$8)</f>
        <v>49771.807891905468</v>
      </c>
      <c r="K1160" s="7">
        <f t="shared" si="38"/>
        <v>136142.80789190548</v>
      </c>
      <c r="L1160">
        <f>IFERROR(VLOOKUP(G1160,'LEAID Match'!$A$2:$B$168,2,FALSE),"")</f>
        <v>4651750</v>
      </c>
    </row>
    <row r="1161" spans="1:12" x14ac:dyDescent="0.2">
      <c r="A1161">
        <f t="shared" si="37"/>
        <v>4651750</v>
      </c>
      <c r="B1161">
        <v>2017</v>
      </c>
      <c r="C1161" t="s">
        <v>208</v>
      </c>
      <c r="D1161" t="s">
        <v>212</v>
      </c>
      <c r="E1161" t="s">
        <v>211</v>
      </c>
      <c r="F1161" s="3">
        <v>957116</v>
      </c>
      <c r="G1161" s="3" t="s">
        <v>110</v>
      </c>
      <c r="H1161" s="4">
        <v>89834</v>
      </c>
      <c r="I1161" cm="1">
        <f t="array" ref="I1161">_xlfn.IFS(B1161=2015,H1161/$O$10,B1161=2016,H1161/$O$11,B1161=2017,H1161/$O$12,B1161=2018,H1161/$O$13,B1161=2019,H1161/$O$14,B1161=2020,H1161/$O$15,B1161=2021,H1161/$O$16,B1161=2022,H1161/$O$17)</f>
        <v>1.8547837725642062E-3</v>
      </c>
      <c r="J1161" s="6" cm="1">
        <f t="array" ref="J1161">_xlfn.IFS(B1161=2015,I1161*$Q$1,B1161=2016,I1161*$Q$2,B1161=2017,I1161*$Q$3,B1161=2018,I1161*$Q$4,B1161=2019,I1161*$Q$5,B1161=2020,I1161*$Q$6,B1161=2021,I1161*$Q$7,B1161=2022,I1161*$Q$8)</f>
        <v>48791.077591835994</v>
      </c>
      <c r="K1161" s="7">
        <f t="shared" si="38"/>
        <v>138625.07759183599</v>
      </c>
      <c r="L1161">
        <f>IFERROR(VLOOKUP(G1161,'LEAID Match'!$A$2:$B$168,2,FALSE),"")</f>
        <v>4651750</v>
      </c>
    </row>
    <row r="1162" spans="1:12" x14ac:dyDescent="0.2">
      <c r="A1162">
        <f t="shared" si="37"/>
        <v>4651750</v>
      </c>
      <c r="B1162">
        <v>2018</v>
      </c>
      <c r="C1162" t="s">
        <v>208</v>
      </c>
      <c r="D1162" t="s">
        <v>212</v>
      </c>
      <c r="E1162" t="s">
        <v>211</v>
      </c>
      <c r="F1162" s="3">
        <v>957116</v>
      </c>
      <c r="G1162" s="3" t="s">
        <v>110</v>
      </c>
      <c r="H1162" s="4">
        <v>91782</v>
      </c>
      <c r="I1162" cm="1">
        <f t="array" ref="I1162">_xlfn.IFS(B1162=2015,H1162/$O$10,B1162=2016,H1162/$O$11,B1162=2017,H1162/$O$12,B1162=2018,H1162/$O$13,B1162=2019,H1162/$O$14,B1162=2020,H1162/$O$15,B1162=2021,H1162/$O$16,B1162=2022,H1162/$O$17)</f>
        <v>1.8303721158357401E-3</v>
      </c>
      <c r="J1162" s="6" cm="1">
        <f t="array" ref="J1162">_xlfn.IFS(B1162=2015,I1162*$Q$1,B1162=2016,I1162*$Q$2,B1162=2017,I1162*$Q$3,B1162=2018,I1162*$Q$4,B1162=2019,I1162*$Q$5,B1162=2020,I1162*$Q$6,B1162=2021,I1162*$Q$7,B1162=2022,I1162*$Q$8)</f>
        <v>48057.900672309072</v>
      </c>
      <c r="K1162" s="7">
        <f t="shared" si="38"/>
        <v>139839.90067230907</v>
      </c>
      <c r="L1162">
        <f>IFERROR(VLOOKUP(G1162,'LEAID Match'!$A$2:$B$168,2,FALSE),"")</f>
        <v>4651750</v>
      </c>
    </row>
    <row r="1163" spans="1:12" x14ac:dyDescent="0.2">
      <c r="A1163">
        <f t="shared" si="37"/>
        <v>4651750</v>
      </c>
      <c r="B1163">
        <v>2019</v>
      </c>
      <c r="C1163" t="s">
        <v>208</v>
      </c>
      <c r="D1163" t="s">
        <v>212</v>
      </c>
      <c r="E1163" t="s">
        <v>211</v>
      </c>
      <c r="F1163" s="3">
        <v>957116</v>
      </c>
      <c r="G1163" s="3" t="s">
        <v>110</v>
      </c>
      <c r="H1163" s="4">
        <v>93851</v>
      </c>
      <c r="I1163" cm="1">
        <f t="array" ref="I1163">_xlfn.IFS(B1163=2015,H1163/$O$10,B1163=2016,H1163/$O$11,B1163=2017,H1163/$O$12,B1163=2018,H1163/$O$13,B1163=2019,H1163/$O$14,B1163=2020,H1163/$O$15,B1163=2021,H1163/$O$16,B1163=2022,H1163/$O$17)</f>
        <v>1.8380278924860125E-3</v>
      </c>
      <c r="J1163" s="6" cm="1">
        <f t="array" ref="J1163">_xlfn.IFS(B1163=2015,I1163*$Q$1,B1163=2016,I1163*$Q$2,B1163=2017,I1163*$Q$3,B1163=2018,I1163*$Q$4,B1163=2019,I1163*$Q$5,B1163=2020,I1163*$Q$6,B1163=2021,I1163*$Q$7,B1163=2022,I1163*$Q$8)</f>
        <v>48611.159975268652</v>
      </c>
      <c r="K1163" s="7">
        <f t="shared" si="38"/>
        <v>142462.15997526865</v>
      </c>
      <c r="L1163">
        <f>IFERROR(VLOOKUP(G1163,'LEAID Match'!$A$2:$B$168,2,FALSE),"")</f>
        <v>4651750</v>
      </c>
    </row>
    <row r="1164" spans="1:12" x14ac:dyDescent="0.2">
      <c r="A1164">
        <f t="shared" si="37"/>
        <v>4651750</v>
      </c>
      <c r="B1164">
        <v>2020</v>
      </c>
      <c r="C1164" t="s">
        <v>208</v>
      </c>
      <c r="D1164" t="s">
        <v>212</v>
      </c>
      <c r="E1164" t="s">
        <v>211</v>
      </c>
      <c r="F1164" s="1">
        <v>957116</v>
      </c>
      <c r="G1164" s="3" t="s">
        <v>110</v>
      </c>
      <c r="H1164" s="2">
        <v>95745</v>
      </c>
      <c r="I1164" cm="1">
        <f t="array" ref="I1164">_xlfn.IFS(B1164=2015,H1164/$O$10,B1164=2016,H1164/$O$11,B1164=2017,H1164/$O$12,B1164=2018,H1164/$O$13,B1164=2019,H1164/$O$14,B1164=2020,H1164/$O$15,B1164=2021,H1164/$O$16,B1164=2022,H1164/$O$17)</f>
        <v>1.8133892274016796E-3</v>
      </c>
      <c r="J1164" s="6" cm="1">
        <f t="array" ref="J1164">_xlfn.IFS(B1164=2015,I1164*$Q$1,B1164=2016,I1164*$Q$2,B1164=2017,I1164*$Q$3,B1164=2018,I1164*$Q$4,B1164=2019,I1164*$Q$5,B1164=2020,I1164*$Q$6,B1164=2021,I1164*$Q$7,B1164=2022,I1164*$Q$8)</f>
        <v>49306.471985963202</v>
      </c>
      <c r="K1164" s="7">
        <f t="shared" si="38"/>
        <v>145051.4719859632</v>
      </c>
      <c r="L1164">
        <f>IFERROR(VLOOKUP(G1164,'LEAID Match'!$A$2:$B$168,2,FALSE),"")</f>
        <v>4651750</v>
      </c>
    </row>
    <row r="1165" spans="1:12" x14ac:dyDescent="0.2">
      <c r="A1165">
        <f t="shared" si="37"/>
        <v>4651750</v>
      </c>
      <c r="B1165">
        <v>2021</v>
      </c>
      <c r="C1165" t="s">
        <v>208</v>
      </c>
      <c r="D1165" t="s">
        <v>212</v>
      </c>
      <c r="E1165" t="s">
        <v>211</v>
      </c>
      <c r="F1165" s="3">
        <v>957116</v>
      </c>
      <c r="G1165" s="3" t="s">
        <v>110</v>
      </c>
      <c r="H1165" s="4">
        <v>101923</v>
      </c>
      <c r="I1165" cm="1">
        <f t="array" ref="I1165">_xlfn.IFS(B1165=2015,H1165/$O$10,B1165=2016,H1165/$O$11,B1165=2017,H1165/$O$12,B1165=2018,H1165/$O$13,B1165=2019,H1165/$O$14,B1165=2020,H1165/$O$15,B1165=2021,H1165/$O$16,B1165=2022,H1165/$O$17)</f>
        <v>1.8408892157952459E-3</v>
      </c>
      <c r="J1165" s="6" cm="1">
        <f t="array" ref="J1165">_xlfn.IFS(B1165=2015,I1165*$Q$1,B1165=2016,I1165*$Q$2,B1165=2017,I1165*$Q$3,B1165=2018,I1165*$Q$4,B1165=2019,I1165*$Q$5,B1165=2020,I1165*$Q$6,B1165=2021,I1165*$Q$7,B1165=2022,I1165*$Q$8)</f>
        <v>51247.287005416918</v>
      </c>
      <c r="K1165" s="7">
        <f t="shared" si="38"/>
        <v>153170.28700541693</v>
      </c>
      <c r="L1165">
        <f>IFERROR(VLOOKUP(G1165,'LEAID Match'!$A$2:$B$168,2,FALSE),"")</f>
        <v>4651750</v>
      </c>
    </row>
    <row r="1166" spans="1:12" x14ac:dyDescent="0.2">
      <c r="A1166">
        <f t="shared" si="37"/>
        <v>4651750</v>
      </c>
      <c r="B1166">
        <v>2022</v>
      </c>
      <c r="C1166" t="s">
        <v>208</v>
      </c>
      <c r="D1166" t="s">
        <v>212</v>
      </c>
      <c r="E1166" t="s">
        <v>211</v>
      </c>
      <c r="F1166" s="3">
        <v>957116</v>
      </c>
      <c r="G1166" s="3" t="s">
        <v>110</v>
      </c>
      <c r="H1166" s="4">
        <v>105161</v>
      </c>
      <c r="I1166" cm="1">
        <f t="array" ref="I1166">_xlfn.IFS(B1166=2015,H1166/$O$10,B1166=2016,H1166/$O$11,B1166=2017,H1166/$O$12,B1166=2018,H1166/$O$13,B1166=2019,H1166/$O$14,B1166=2020,H1166/$O$15,B1166=2021,H1166/$O$16,B1166=2022,H1166/$O$17)</f>
        <v>1.8212393980836781E-3</v>
      </c>
      <c r="J1166" s="6" cm="1">
        <f t="array" ref="J1166">_xlfn.IFS(B1166=2015,I1166*$Q$1,B1166=2016,I1166*$Q$2,B1166=2017,I1166*$Q$3,B1166=2018,I1166*$Q$4,B1166=2019,I1166*$Q$5,B1166=2020,I1166*$Q$6,B1166=2021,I1166*$Q$7,B1166=2022,I1166*$Q$8)</f>
        <v>53649.971841821491</v>
      </c>
      <c r="K1166" s="7">
        <f t="shared" si="38"/>
        <v>158810.97184182151</v>
      </c>
      <c r="L1166">
        <f>IFERROR(VLOOKUP(G1166,'LEAID Match'!$A$2:$B$168,2,FALSE),"")</f>
        <v>4651750</v>
      </c>
    </row>
    <row r="1167" spans="1:12" x14ac:dyDescent="0.2">
      <c r="A1167">
        <f t="shared" si="37"/>
        <v>4624850</v>
      </c>
      <c r="B1167">
        <v>2015</v>
      </c>
      <c r="C1167" t="s">
        <v>208</v>
      </c>
      <c r="D1167" t="s">
        <v>212</v>
      </c>
      <c r="E1167" t="s">
        <v>211</v>
      </c>
      <c r="F1167" s="3">
        <v>958100</v>
      </c>
      <c r="G1167" s="3" t="s">
        <v>136</v>
      </c>
      <c r="H1167" s="4">
        <v>152054</v>
      </c>
      <c r="I1167" cm="1">
        <f t="array" ref="I1167">_xlfn.IFS(B1167=2015,H1167/$O$10,B1167=2016,H1167/$O$11,B1167=2017,H1167/$O$12,B1167=2018,H1167/$O$13,B1167=2019,H1167/$O$14,B1167=2020,H1167/$O$15,B1167=2021,H1167/$O$16,B1167=2022,H1167/$O$17)</f>
        <v>3.5565876808423464E-3</v>
      </c>
      <c r="J1167" s="6" cm="1">
        <f t="array" ref="J1167">_xlfn.IFS(B1167=2015,I1167*$Q$1,B1167=2016,I1167*$Q$2,B1167=2017,I1167*$Q$3,B1167=2018,I1167*$Q$4,B1167=2019,I1167*$Q$5,B1167=2020,I1167*$Q$6,B1167=2021,I1167*$Q$7,B1167=2022,I1167*$Q$8)</f>
        <v>87464.155518365515</v>
      </c>
      <c r="K1167" s="7">
        <f t="shared" si="38"/>
        <v>239518.1555183655</v>
      </c>
      <c r="L1167">
        <f>IFERROR(VLOOKUP(G1167,'LEAID Match'!$A$2:$B$168,2,FALSE),"")</f>
        <v>4624850</v>
      </c>
    </row>
    <row r="1168" spans="1:12" x14ac:dyDescent="0.2">
      <c r="A1168">
        <f t="shared" si="37"/>
        <v>4624850</v>
      </c>
      <c r="B1168">
        <v>2016</v>
      </c>
      <c r="C1168" t="s">
        <v>208</v>
      </c>
      <c r="D1168" t="s">
        <v>212</v>
      </c>
      <c r="E1168" t="s">
        <v>211</v>
      </c>
      <c r="F1168" s="3">
        <v>958100</v>
      </c>
      <c r="G1168" s="3" t="s">
        <v>136</v>
      </c>
      <c r="H1168" s="4">
        <v>149849</v>
      </c>
      <c r="I1168" cm="1">
        <f t="array" ref="I1168">_xlfn.IFS(B1168=2015,H1168/$O$10,B1168=2016,H1168/$O$11,B1168=2017,H1168/$O$12,B1168=2018,H1168/$O$13,B1168=2019,H1168/$O$14,B1168=2020,H1168/$O$15,B1168=2021,H1168/$O$16,B1168=2022,H1168/$O$17)</f>
        <v>3.3988841106607839E-3</v>
      </c>
      <c r="J1168" s="6" cm="1">
        <f t="array" ref="J1168">_xlfn.IFS(B1168=2015,I1168*$Q$1,B1168=2016,I1168*$Q$2,B1168=2017,I1168*$Q$3,B1168=2018,I1168*$Q$4,B1168=2019,I1168*$Q$5,B1168=2020,I1168*$Q$6,B1168=2021,I1168*$Q$7,B1168=2022,I1168*$Q$8)</f>
        <v>86351.386933046291</v>
      </c>
      <c r="K1168" s="7">
        <f t="shared" si="38"/>
        <v>236200.38693304628</v>
      </c>
      <c r="L1168">
        <f>IFERROR(VLOOKUP(G1168,'LEAID Match'!$A$2:$B$168,2,FALSE),"")</f>
        <v>4624850</v>
      </c>
    </row>
    <row r="1169" spans="1:12" x14ac:dyDescent="0.2">
      <c r="A1169">
        <f t="shared" si="37"/>
        <v>4624850</v>
      </c>
      <c r="B1169">
        <v>2017</v>
      </c>
      <c r="C1169" t="s">
        <v>208</v>
      </c>
      <c r="D1169" t="s">
        <v>212</v>
      </c>
      <c r="E1169" t="s">
        <v>211</v>
      </c>
      <c r="F1169" s="3">
        <v>958100</v>
      </c>
      <c r="G1169" s="3" t="s">
        <v>136</v>
      </c>
      <c r="H1169" s="4">
        <v>166335</v>
      </c>
      <c r="I1169" cm="1">
        <f t="array" ref="I1169">_xlfn.IFS(B1169=2015,H1169/$O$10,B1169=2016,H1169/$O$11,B1169=2017,H1169/$O$12,B1169=2018,H1169/$O$13,B1169=2019,H1169/$O$14,B1169=2020,H1169/$O$15,B1169=2021,H1169/$O$16,B1169=2022,H1169/$O$17)</f>
        <v>3.434283888165586E-3</v>
      </c>
      <c r="J1169" s="6" cm="1">
        <f t="array" ref="J1169">_xlfn.IFS(B1169=2015,I1169*$Q$1,B1169=2016,I1169*$Q$2,B1169=2017,I1169*$Q$3,B1169=2018,I1169*$Q$4,B1169=2019,I1169*$Q$5,B1169=2020,I1169*$Q$6,B1169=2021,I1169*$Q$7,B1169=2022,I1169*$Q$8)</f>
        <v>90340.671585792021</v>
      </c>
      <c r="K1169" s="7">
        <f t="shared" si="38"/>
        <v>256675.67158579204</v>
      </c>
      <c r="L1169">
        <f>IFERROR(VLOOKUP(G1169,'LEAID Match'!$A$2:$B$168,2,FALSE),"")</f>
        <v>4624850</v>
      </c>
    </row>
    <row r="1170" spans="1:12" x14ac:dyDescent="0.2">
      <c r="A1170">
        <f t="shared" si="37"/>
        <v>4624850</v>
      </c>
      <c r="B1170">
        <v>2018</v>
      </c>
      <c r="C1170" t="s">
        <v>208</v>
      </c>
      <c r="D1170" t="s">
        <v>212</v>
      </c>
      <c r="E1170" t="s">
        <v>211</v>
      </c>
      <c r="F1170" s="3">
        <v>958100</v>
      </c>
      <c r="G1170" s="3" t="s">
        <v>136</v>
      </c>
      <c r="H1170" s="4">
        <v>175632</v>
      </c>
      <c r="I1170" cm="1">
        <f t="array" ref="I1170">_xlfn.IFS(B1170=2015,H1170/$O$10,B1170=2016,H1170/$O$11,B1170=2017,H1170/$O$12,B1170=2018,H1170/$O$13,B1170=2019,H1170/$O$14,B1170=2020,H1170/$O$15,B1170=2021,H1170/$O$16,B1170=2022,H1170/$O$17)</f>
        <v>3.5025594936748243E-3</v>
      </c>
      <c r="J1170" s="6" cm="1">
        <f t="array" ref="J1170">_xlfn.IFS(B1170=2015,I1170*$Q$1,B1170=2016,I1170*$Q$2,B1170=2017,I1170*$Q$3,B1170=2018,I1170*$Q$4,B1170=2019,I1170*$Q$5,B1170=2020,I1170*$Q$6,B1170=2021,I1170*$Q$7,B1170=2022,I1170*$Q$8)</f>
        <v>91962.533077062893</v>
      </c>
      <c r="K1170" s="7">
        <f t="shared" si="38"/>
        <v>267594.53307706292</v>
      </c>
      <c r="L1170">
        <f>IFERROR(VLOOKUP(G1170,'LEAID Match'!$A$2:$B$168,2,FALSE),"")</f>
        <v>4624850</v>
      </c>
    </row>
    <row r="1171" spans="1:12" x14ac:dyDescent="0.2">
      <c r="A1171">
        <f t="shared" si="37"/>
        <v>4624850</v>
      </c>
      <c r="B1171">
        <v>2019</v>
      </c>
      <c r="C1171" t="s">
        <v>208</v>
      </c>
      <c r="D1171" t="s">
        <v>212</v>
      </c>
      <c r="E1171" t="s">
        <v>211</v>
      </c>
      <c r="F1171" s="3">
        <v>958100</v>
      </c>
      <c r="G1171" s="3" t="s">
        <v>136</v>
      </c>
      <c r="H1171" s="4">
        <v>169431</v>
      </c>
      <c r="I1171" cm="1">
        <f t="array" ref="I1171">_xlfn.IFS(B1171=2015,H1171/$O$10,B1171=2016,H1171/$O$11,B1171=2017,H1171/$O$12,B1171=2018,H1171/$O$13,B1171=2019,H1171/$O$14,B1171=2020,H1171/$O$15,B1171=2021,H1171/$O$16,B1171=2022,H1171/$O$17)</f>
        <v>3.3182268047415326E-3</v>
      </c>
      <c r="J1171" s="6" cm="1">
        <f t="array" ref="J1171">_xlfn.IFS(B1171=2015,I1171*$Q$1,B1171=2016,I1171*$Q$2,B1171=2017,I1171*$Q$3,B1171=2018,I1171*$Q$4,B1171=2019,I1171*$Q$5,B1171=2020,I1171*$Q$6,B1171=2021,I1171*$Q$7,B1171=2022,I1171*$Q$8)</f>
        <v>87758.654098195475</v>
      </c>
      <c r="K1171" s="7">
        <f t="shared" si="38"/>
        <v>257189.65409819549</v>
      </c>
      <c r="L1171">
        <f>IFERROR(VLOOKUP(G1171,'LEAID Match'!$A$2:$B$168,2,FALSE),"")</f>
        <v>4624850</v>
      </c>
    </row>
    <row r="1172" spans="1:12" x14ac:dyDescent="0.2">
      <c r="A1172">
        <f t="shared" si="37"/>
        <v>4624850</v>
      </c>
      <c r="B1172">
        <v>2020</v>
      </c>
      <c r="C1172" t="s">
        <v>208</v>
      </c>
      <c r="D1172" t="s">
        <v>212</v>
      </c>
      <c r="E1172" t="s">
        <v>211</v>
      </c>
      <c r="F1172" s="1">
        <v>958100</v>
      </c>
      <c r="G1172" s="3" t="s">
        <v>136</v>
      </c>
      <c r="H1172" s="2">
        <v>170433</v>
      </c>
      <c r="I1172" cm="1">
        <f t="array" ref="I1172">_xlfn.IFS(B1172=2015,H1172/$O$10,B1172=2016,H1172/$O$11,B1172=2017,H1172/$O$12,B1172=2018,H1172/$O$13,B1172=2019,H1172/$O$14,B1172=2020,H1172/$O$15,B1172=2021,H1172/$O$16,B1172=2022,H1172/$O$17)</f>
        <v>3.2279635092563627E-3</v>
      </c>
      <c r="J1172" s="6" cm="1">
        <f t="array" ref="J1172">_xlfn.IFS(B1172=2015,I1172*$Q$1,B1172=2016,I1172*$Q$2,B1172=2017,I1172*$Q$3,B1172=2018,I1172*$Q$4,B1172=2019,I1172*$Q$5,B1172=2020,I1172*$Q$6,B1172=2021,I1172*$Q$7,B1172=2022,I1172*$Q$8)</f>
        <v>87769.073476251142</v>
      </c>
      <c r="K1172" s="7">
        <f t="shared" si="38"/>
        <v>258202.07347625116</v>
      </c>
      <c r="L1172">
        <f>IFERROR(VLOOKUP(G1172,'LEAID Match'!$A$2:$B$168,2,FALSE),"")</f>
        <v>4624850</v>
      </c>
    </row>
    <row r="1173" spans="1:12" x14ac:dyDescent="0.2">
      <c r="A1173">
        <f t="shared" si="37"/>
        <v>4624850</v>
      </c>
      <c r="B1173">
        <v>2021</v>
      </c>
      <c r="C1173" t="s">
        <v>208</v>
      </c>
      <c r="D1173" t="s">
        <v>212</v>
      </c>
      <c r="E1173" t="s">
        <v>211</v>
      </c>
      <c r="F1173" s="3">
        <v>958100</v>
      </c>
      <c r="G1173" s="3" t="s">
        <v>136</v>
      </c>
      <c r="H1173" s="4">
        <v>174674</v>
      </c>
      <c r="I1173" cm="1">
        <f t="array" ref="I1173">_xlfn.IFS(B1173=2015,H1173/$O$10,B1173=2016,H1173/$O$11,B1173=2017,H1173/$O$12,B1173=2018,H1173/$O$13,B1173=2019,H1173/$O$14,B1173=2020,H1173/$O$15,B1173=2021,H1173/$O$16,B1173=2022,H1173/$O$17)</f>
        <v>3.1548863640181194E-3</v>
      </c>
      <c r="J1173" s="6" cm="1">
        <f t="array" ref="J1173">_xlfn.IFS(B1173=2015,I1173*$Q$1,B1173=2016,I1173*$Q$2,B1173=2017,I1173*$Q$3,B1173=2018,I1173*$Q$4,B1173=2019,I1173*$Q$5,B1173=2020,I1173*$Q$6,B1173=2021,I1173*$Q$7,B1173=2022,I1173*$Q$8)</f>
        <v>87826.777178695629</v>
      </c>
      <c r="K1173" s="7">
        <f t="shared" si="38"/>
        <v>262500.77717869566</v>
      </c>
      <c r="L1173">
        <f>IFERROR(VLOOKUP(G1173,'LEAID Match'!$A$2:$B$168,2,FALSE),"")</f>
        <v>4624850</v>
      </c>
    </row>
    <row r="1174" spans="1:12" x14ac:dyDescent="0.2">
      <c r="A1174">
        <f t="shared" si="37"/>
        <v>4624850</v>
      </c>
      <c r="B1174">
        <v>2022</v>
      </c>
      <c r="C1174" t="s">
        <v>208</v>
      </c>
      <c r="D1174" t="s">
        <v>212</v>
      </c>
      <c r="E1174" t="s">
        <v>211</v>
      </c>
      <c r="F1174" s="3">
        <v>958100</v>
      </c>
      <c r="G1174" s="3" t="s">
        <v>136</v>
      </c>
      <c r="H1174" s="4">
        <v>182937</v>
      </c>
      <c r="I1174" cm="1">
        <f t="array" ref="I1174">_xlfn.IFS(B1174=2015,H1174/$O$10,B1174=2016,H1174/$O$11,B1174=2017,H1174/$O$12,B1174=2018,H1174/$O$13,B1174=2019,H1174/$O$14,B1174=2020,H1174/$O$15,B1174=2021,H1174/$O$16,B1174=2022,H1174/$O$17)</f>
        <v>3.1682094290396041E-3</v>
      </c>
      <c r="J1174" s="6" cm="1">
        <f t="array" ref="J1174">_xlfn.IFS(B1174=2015,I1174*$Q$1,B1174=2016,I1174*$Q$2,B1174=2017,I1174*$Q$3,B1174=2018,I1174*$Q$4,B1174=2019,I1174*$Q$5,B1174=2020,I1174*$Q$6,B1174=2021,I1174*$Q$7,B1174=2022,I1174*$Q$8)</f>
        <v>93328.942277339491</v>
      </c>
      <c r="K1174" s="7">
        <f t="shared" si="38"/>
        <v>276265.94227733952</v>
      </c>
      <c r="L1174">
        <f>IFERROR(VLOOKUP(G1174,'LEAID Match'!$A$2:$B$168,2,FALSE),"")</f>
        <v>4624850</v>
      </c>
    </row>
    <row r="1175" spans="1:12" x14ac:dyDescent="0.2">
      <c r="A1175">
        <f t="shared" si="37"/>
        <v>4600042</v>
      </c>
      <c r="B1175">
        <v>2015</v>
      </c>
      <c r="C1175" t="s">
        <v>208</v>
      </c>
      <c r="D1175" t="s">
        <v>212</v>
      </c>
      <c r="E1175" t="s">
        <v>211</v>
      </c>
      <c r="F1175" s="3">
        <v>959126</v>
      </c>
      <c r="G1175" s="3" t="s">
        <v>173</v>
      </c>
      <c r="H1175" s="4">
        <v>104311</v>
      </c>
      <c r="I1175" cm="1">
        <f t="array" ref="I1175">_xlfn.IFS(B1175=2015,H1175/$O$10,B1175=2016,H1175/$O$11,B1175=2017,H1175/$O$12,B1175=2018,H1175/$O$13,B1175=2019,H1175/$O$14,B1175=2020,H1175/$O$15,B1175=2021,H1175/$O$16,B1175=2022,H1175/$O$17)</f>
        <v>2.4398649004718454E-3</v>
      </c>
      <c r="J1175" s="6" cm="1">
        <f t="array" ref="J1175">_xlfn.IFS(B1175=2015,I1175*$Q$1,B1175=2016,I1175*$Q$2,B1175=2017,I1175*$Q$3,B1175=2018,I1175*$Q$4,B1175=2019,I1175*$Q$5,B1175=2020,I1175*$Q$6,B1175=2021,I1175*$Q$7,B1175=2022,I1175*$Q$8)</f>
        <v>60001.535811463196</v>
      </c>
      <c r="K1175" s="7">
        <f t="shared" si="38"/>
        <v>164312.5358114632</v>
      </c>
      <c r="L1175">
        <f>IFERROR(VLOOKUP(G1175,'LEAID Match'!$A$2:$B$168,2,FALSE),"")</f>
        <v>4600042</v>
      </c>
    </row>
    <row r="1176" spans="1:12" x14ac:dyDescent="0.2">
      <c r="A1176">
        <f t="shared" si="37"/>
        <v>4600042</v>
      </c>
      <c r="B1176">
        <v>2016</v>
      </c>
      <c r="C1176" t="s">
        <v>208</v>
      </c>
      <c r="D1176" t="s">
        <v>212</v>
      </c>
      <c r="E1176" t="s">
        <v>211</v>
      </c>
      <c r="F1176" s="3">
        <v>959126</v>
      </c>
      <c r="G1176" s="3" t="s">
        <v>173</v>
      </c>
      <c r="H1176" s="4">
        <v>110235</v>
      </c>
      <c r="I1176" cm="1">
        <f t="array" ref="I1176">_xlfn.IFS(B1176=2015,H1176/$O$10,B1176=2016,H1176/$O$11,B1176=2017,H1176/$O$12,B1176=2018,H1176/$O$13,B1176=2019,H1176/$O$14,B1176=2020,H1176/$O$15,B1176=2021,H1176/$O$16,B1176=2022,H1176/$O$17)</f>
        <v>2.5003569589299329E-3</v>
      </c>
      <c r="J1176" s="6" cm="1">
        <f t="array" ref="J1176">_xlfn.IFS(B1176=2015,I1176*$Q$1,B1176=2016,I1176*$Q$2,B1176=2017,I1176*$Q$3,B1176=2018,I1176*$Q$4,B1176=2019,I1176*$Q$5,B1176=2020,I1176*$Q$6,B1176=2021,I1176*$Q$7,B1176=2022,I1176*$Q$8)</f>
        <v>63523.58132896688</v>
      </c>
      <c r="K1176" s="7">
        <f t="shared" si="38"/>
        <v>173758.58132896689</v>
      </c>
      <c r="L1176">
        <f>IFERROR(VLOOKUP(G1176,'LEAID Match'!$A$2:$B$168,2,FALSE),"")</f>
        <v>4600042</v>
      </c>
    </row>
    <row r="1177" spans="1:12" x14ac:dyDescent="0.2">
      <c r="A1177">
        <f t="shared" si="37"/>
        <v>4600042</v>
      </c>
      <c r="B1177">
        <v>2017</v>
      </c>
      <c r="C1177" t="s">
        <v>208</v>
      </c>
      <c r="D1177" t="s">
        <v>212</v>
      </c>
      <c r="E1177" t="s">
        <v>211</v>
      </c>
      <c r="F1177" s="3">
        <v>959126</v>
      </c>
      <c r="G1177" s="3" t="s">
        <v>173</v>
      </c>
      <c r="H1177" s="4">
        <v>110435</v>
      </c>
      <c r="I1177" cm="1">
        <f t="array" ref="I1177">_xlfn.IFS(B1177=2015,H1177/$O$10,B1177=2016,H1177/$O$11,B1177=2017,H1177/$O$12,B1177=2018,H1177/$O$13,B1177=2019,H1177/$O$14,B1177=2020,H1177/$O$15,B1177=2021,H1177/$O$16,B1177=2022,H1177/$O$17)</f>
        <v>2.280128302459293E-3</v>
      </c>
      <c r="J1177" s="6" cm="1">
        <f t="array" ref="J1177">_xlfn.IFS(B1177=2015,I1177*$Q$1,B1177=2016,I1177*$Q$2,B1177=2017,I1177*$Q$3,B1177=2018,I1177*$Q$4,B1177=2019,I1177*$Q$5,B1177=2020,I1177*$Q$6,B1177=2021,I1177*$Q$7,B1177=2022,I1177*$Q$8)</f>
        <v>59979.992584705215</v>
      </c>
      <c r="K1177" s="7">
        <f t="shared" si="38"/>
        <v>170414.99258470521</v>
      </c>
      <c r="L1177">
        <f>IFERROR(VLOOKUP(G1177,'LEAID Match'!$A$2:$B$168,2,FALSE),"")</f>
        <v>4600042</v>
      </c>
    </row>
    <row r="1178" spans="1:12" x14ac:dyDescent="0.2">
      <c r="A1178">
        <f t="shared" si="37"/>
        <v>4600042</v>
      </c>
      <c r="B1178">
        <v>2018</v>
      </c>
      <c r="C1178" t="s">
        <v>208</v>
      </c>
      <c r="D1178" t="s">
        <v>212</v>
      </c>
      <c r="E1178" t="s">
        <v>211</v>
      </c>
      <c r="F1178" s="3">
        <v>959126</v>
      </c>
      <c r="G1178" s="3" t="s">
        <v>173</v>
      </c>
      <c r="H1178" s="4">
        <v>119518</v>
      </c>
      <c r="I1178" cm="1">
        <f t="array" ref="I1178">_xlfn.IFS(B1178=2015,H1178/$O$10,B1178=2016,H1178/$O$11,B1178=2017,H1178/$O$12,B1178=2018,H1178/$O$13,B1178=2019,H1178/$O$14,B1178=2020,H1178/$O$15,B1178=2021,H1178/$O$16,B1178=2022,H1178/$O$17)</f>
        <v>2.3835001911099779E-3</v>
      </c>
      <c r="J1178" s="6" cm="1">
        <f t="array" ref="J1178">_xlfn.IFS(B1178=2015,I1178*$Q$1,B1178=2016,I1178*$Q$2,B1178=2017,I1178*$Q$3,B1178=2018,I1178*$Q$4,B1178=2019,I1178*$Q$5,B1178=2020,I1178*$Q$6,B1178=2021,I1178*$Q$7,B1178=2022,I1178*$Q$8)</f>
        <v>62580.725769247074</v>
      </c>
      <c r="K1178" s="7">
        <f t="shared" si="38"/>
        <v>182098.72576924707</v>
      </c>
      <c r="L1178">
        <f>IFERROR(VLOOKUP(G1178,'LEAID Match'!$A$2:$B$168,2,FALSE),"")</f>
        <v>4600042</v>
      </c>
    </row>
    <row r="1179" spans="1:12" x14ac:dyDescent="0.2">
      <c r="A1179">
        <f t="shared" si="37"/>
        <v>4600042</v>
      </c>
      <c r="B1179">
        <v>2019</v>
      </c>
      <c r="C1179" t="s">
        <v>208</v>
      </c>
      <c r="D1179" t="s">
        <v>212</v>
      </c>
      <c r="E1179" t="s">
        <v>211</v>
      </c>
      <c r="F1179" s="3">
        <v>959126</v>
      </c>
      <c r="G1179" s="3" t="s">
        <v>173</v>
      </c>
      <c r="H1179" s="4">
        <v>126458</v>
      </c>
      <c r="I1179" cm="1">
        <f t="array" ref="I1179">_xlfn.IFS(B1179=2015,H1179/$O$10,B1179=2016,H1179/$O$11,B1179=2017,H1179/$O$12,B1179=2018,H1179/$O$13,B1179=2019,H1179/$O$14,B1179=2020,H1179/$O$15,B1179=2021,H1179/$O$16,B1179=2022,H1179/$O$17)</f>
        <v>2.4766207203758741E-3</v>
      </c>
      <c r="J1179" s="6" cm="1">
        <f t="array" ref="J1179">_xlfn.IFS(B1179=2015,I1179*$Q$1,B1179=2016,I1179*$Q$2,B1179=2017,I1179*$Q$3,B1179=2018,I1179*$Q$4,B1179=2019,I1179*$Q$5,B1179=2020,I1179*$Q$6,B1179=2021,I1179*$Q$7,B1179=2022,I1179*$Q$8)</f>
        <v>65500.315054208513</v>
      </c>
      <c r="K1179" s="7">
        <f t="shared" si="38"/>
        <v>191958.31505420851</v>
      </c>
      <c r="L1179">
        <f>IFERROR(VLOOKUP(G1179,'LEAID Match'!$A$2:$B$168,2,FALSE),"")</f>
        <v>4600042</v>
      </c>
    </row>
    <row r="1180" spans="1:12" x14ac:dyDescent="0.2">
      <c r="A1180">
        <f t="shared" si="37"/>
        <v>4600042</v>
      </c>
      <c r="B1180">
        <v>2020</v>
      </c>
      <c r="C1180" t="s">
        <v>208</v>
      </c>
      <c r="D1180" t="s">
        <v>212</v>
      </c>
      <c r="E1180" t="s">
        <v>211</v>
      </c>
      <c r="F1180" s="1">
        <v>959126</v>
      </c>
      <c r="G1180" s="3" t="s">
        <v>173</v>
      </c>
      <c r="H1180" s="2">
        <v>132751</v>
      </c>
      <c r="I1180" cm="1">
        <f t="array" ref="I1180">_xlfn.IFS(B1180=2015,H1180/$O$10,B1180=2016,H1180/$O$11,B1180=2017,H1180/$O$12,B1180=2018,H1180/$O$13,B1180=2019,H1180/$O$14,B1180=2020,H1180/$O$15,B1180=2021,H1180/$O$16,B1180=2022,H1180/$O$17)</f>
        <v>2.5142747227197282E-3</v>
      </c>
      <c r="J1180" s="6" cm="1">
        <f t="array" ref="J1180">_xlfn.IFS(B1180=2015,I1180*$Q$1,B1180=2016,I1180*$Q$2,B1180=2017,I1180*$Q$3,B1180=2018,I1180*$Q$4,B1180=2019,I1180*$Q$5,B1180=2020,I1180*$Q$6,B1180=2021,I1180*$Q$7,B1180=2022,I1180*$Q$8)</f>
        <v>68363.710508210352</v>
      </c>
      <c r="K1180" s="7">
        <f t="shared" si="38"/>
        <v>201114.71050821035</v>
      </c>
      <c r="L1180">
        <f>IFERROR(VLOOKUP(G1180,'LEAID Match'!$A$2:$B$168,2,FALSE),"")</f>
        <v>4600042</v>
      </c>
    </row>
    <row r="1181" spans="1:12" x14ac:dyDescent="0.2">
      <c r="A1181">
        <f t="shared" si="37"/>
        <v>4600042</v>
      </c>
      <c r="B1181">
        <v>2021</v>
      </c>
      <c r="C1181" t="s">
        <v>208</v>
      </c>
      <c r="D1181" t="s">
        <v>212</v>
      </c>
      <c r="E1181" t="s">
        <v>211</v>
      </c>
      <c r="F1181" s="3">
        <v>959126</v>
      </c>
      <c r="G1181" s="3" t="s">
        <v>173</v>
      </c>
      <c r="H1181" s="4">
        <v>143584</v>
      </c>
      <c r="I1181" cm="1">
        <f t="array" ref="I1181">_xlfn.IFS(B1181=2015,H1181/$O$10,B1181=2016,H1181/$O$11,B1181=2017,H1181/$O$12,B1181=2018,H1181/$O$13,B1181=2019,H1181/$O$14,B1181=2020,H1181/$O$15,B1181=2021,H1181/$O$16,B1181=2022,H1181/$O$17)</f>
        <v>2.5933522086353873E-3</v>
      </c>
      <c r="J1181" s="6" cm="1">
        <f t="array" ref="J1181">_xlfn.IFS(B1181=2015,I1181*$Q$1,B1181=2016,I1181*$Q$2,B1181=2017,I1181*$Q$3,B1181=2018,I1181*$Q$4,B1181=2019,I1181*$Q$5,B1181=2020,I1181*$Q$6,B1181=2021,I1181*$Q$7,B1181=2022,I1181*$Q$8)</f>
        <v>72194.602370277382</v>
      </c>
      <c r="K1181" s="7">
        <f t="shared" si="38"/>
        <v>215778.6023702774</v>
      </c>
      <c r="L1181">
        <f>IFERROR(VLOOKUP(G1181,'LEAID Match'!$A$2:$B$168,2,FALSE),"")</f>
        <v>4600042</v>
      </c>
    </row>
    <row r="1182" spans="1:12" x14ac:dyDescent="0.2">
      <c r="A1182">
        <f t="shared" si="37"/>
        <v>4600042</v>
      </c>
      <c r="B1182">
        <v>2022</v>
      </c>
      <c r="C1182" t="s">
        <v>208</v>
      </c>
      <c r="D1182" t="s">
        <v>212</v>
      </c>
      <c r="E1182" t="s">
        <v>211</v>
      </c>
      <c r="F1182" s="3">
        <v>959126</v>
      </c>
      <c r="G1182" s="3" t="s">
        <v>173</v>
      </c>
      <c r="H1182" s="4">
        <v>145880</v>
      </c>
      <c r="I1182" cm="1">
        <f t="array" ref="I1182">_xlfn.IFS(B1182=2015,H1182/$O$10,B1182=2016,H1182/$O$11,B1182=2017,H1182/$O$12,B1182=2018,H1182/$O$13,B1182=2019,H1182/$O$14,B1182=2020,H1182/$O$15,B1182=2021,H1182/$O$16,B1182=2022,H1182/$O$17)</f>
        <v>2.5264347371406412E-3</v>
      </c>
      <c r="J1182" s="6" cm="1">
        <f t="array" ref="J1182">_xlfn.IFS(B1182=2015,I1182*$Q$1,B1182=2016,I1182*$Q$2,B1182=2017,I1182*$Q$3,B1182=2018,I1182*$Q$4,B1182=2019,I1182*$Q$5,B1182=2020,I1182*$Q$6,B1182=2021,I1182*$Q$7,B1182=2022,I1182*$Q$8)</f>
        <v>74423.578059213207</v>
      </c>
      <c r="K1182" s="7">
        <f t="shared" si="38"/>
        <v>220303.57805921321</v>
      </c>
      <c r="L1182">
        <f>IFERROR(VLOOKUP(G1182,'LEAID Match'!$A$2:$B$168,2,FALSE),"")</f>
        <v>4600042</v>
      </c>
    </row>
    <row r="1183" spans="1:12" x14ac:dyDescent="0.2">
      <c r="A1183">
        <f t="shared" si="37"/>
        <v>4679710</v>
      </c>
      <c r="B1183">
        <v>2015</v>
      </c>
      <c r="C1183" t="s">
        <v>208</v>
      </c>
      <c r="D1183" t="s">
        <v>212</v>
      </c>
      <c r="E1183" t="s">
        <v>211</v>
      </c>
      <c r="F1183" s="3">
        <v>960102</v>
      </c>
      <c r="G1183" s="3" t="s">
        <v>160</v>
      </c>
      <c r="H1183" s="4">
        <v>198875</v>
      </c>
      <c r="I1183" cm="1">
        <f t="array" ref="I1183">_xlfn.IFS(B1183=2015,H1183/$O$10,B1183=2016,H1183/$O$11,B1183=2017,H1183/$O$12,B1183=2018,H1183/$O$13,B1183=2019,H1183/$O$14,B1183=2020,H1183/$O$15,B1183=2021,H1183/$O$16,B1183=2022,H1183/$O$17)</f>
        <v>4.6517446106483324E-3</v>
      </c>
      <c r="J1183" s="6" cm="1">
        <f t="array" ref="J1183">_xlfn.IFS(B1183=2015,I1183*$Q$1,B1183=2016,I1183*$Q$2,B1183=2017,I1183*$Q$3,B1183=2018,I1183*$Q$4,B1183=2019,I1183*$Q$5,B1183=2020,I1183*$Q$6,B1183=2021,I1183*$Q$7,B1183=2022,I1183*$Q$8)</f>
        <v>114396.42448547845</v>
      </c>
      <c r="K1183" s="7">
        <f t="shared" si="38"/>
        <v>313271.42448547843</v>
      </c>
      <c r="L1183">
        <f>IFERROR(VLOOKUP(G1183,'LEAID Match'!$A$2:$B$168,2,FALSE),"")</f>
        <v>4679710</v>
      </c>
    </row>
    <row r="1184" spans="1:12" x14ac:dyDescent="0.2">
      <c r="A1184">
        <f t="shared" si="37"/>
        <v>4679710</v>
      </c>
      <c r="B1184">
        <v>2016</v>
      </c>
      <c r="C1184" t="s">
        <v>208</v>
      </c>
      <c r="D1184" t="s">
        <v>212</v>
      </c>
      <c r="E1184" t="s">
        <v>211</v>
      </c>
      <c r="F1184" s="3">
        <v>960102</v>
      </c>
      <c r="G1184" s="3" t="s">
        <v>160</v>
      </c>
      <c r="H1184" s="4">
        <v>210373</v>
      </c>
      <c r="I1184" cm="1">
        <f t="array" ref="I1184">_xlfn.IFS(B1184=2015,H1184/$O$10,B1184=2016,H1184/$O$11,B1184=2017,H1184/$O$12,B1184=2018,H1184/$O$13,B1184=2019,H1184/$O$14,B1184=2020,H1184/$O$15,B1184=2021,H1184/$O$16,B1184=2022,H1184/$O$17)</f>
        <v>4.7716931511858013E-3</v>
      </c>
      <c r="J1184" s="6" cm="1">
        <f t="array" ref="J1184">_xlfn.IFS(B1184=2015,I1184*$Q$1,B1184=2016,I1184*$Q$2,B1184=2017,I1184*$Q$3,B1184=2018,I1184*$Q$4,B1184=2019,I1184*$Q$5,B1184=2020,I1184*$Q$6,B1184=2021,I1184*$Q$7,B1184=2022,I1184*$Q$8)</f>
        <v>121228.70571886198</v>
      </c>
      <c r="K1184" s="7">
        <f t="shared" si="38"/>
        <v>331601.70571886201</v>
      </c>
      <c r="L1184">
        <f>IFERROR(VLOOKUP(G1184,'LEAID Match'!$A$2:$B$168,2,FALSE),"")</f>
        <v>4679710</v>
      </c>
    </row>
    <row r="1185" spans="1:12" x14ac:dyDescent="0.2">
      <c r="A1185">
        <f t="shared" si="37"/>
        <v>4679710</v>
      </c>
      <c r="B1185">
        <v>2017</v>
      </c>
      <c r="C1185" t="s">
        <v>208</v>
      </c>
      <c r="D1185" t="s">
        <v>212</v>
      </c>
      <c r="E1185" t="s">
        <v>211</v>
      </c>
      <c r="F1185" s="3">
        <v>960102</v>
      </c>
      <c r="G1185" s="3" t="s">
        <v>160</v>
      </c>
      <c r="H1185" s="4">
        <v>226371</v>
      </c>
      <c r="I1185" cm="1">
        <f t="array" ref="I1185">_xlfn.IFS(B1185=2015,H1185/$O$10,B1185=2016,H1185/$O$11,B1185=2017,H1185/$O$12,B1185=2018,H1185/$O$13,B1185=2019,H1185/$O$14,B1185=2020,H1185/$O$15,B1185=2021,H1185/$O$16,B1185=2022,H1185/$O$17)</f>
        <v>4.6738345991398792E-3</v>
      </c>
      <c r="J1185" s="6" cm="1">
        <f t="array" ref="J1185">_xlfn.IFS(B1185=2015,I1185*$Q$1,B1185=2016,I1185*$Q$2,B1185=2017,I1185*$Q$3,B1185=2018,I1185*$Q$4,B1185=2019,I1185*$Q$5,B1185=2020,I1185*$Q$6,B1185=2021,I1185*$Q$7,B1185=2022,I1185*$Q$8)</f>
        <v>122947.71495805046</v>
      </c>
      <c r="K1185" s="7">
        <f t="shared" si="38"/>
        <v>349318.71495805046</v>
      </c>
      <c r="L1185">
        <f>IFERROR(VLOOKUP(G1185,'LEAID Match'!$A$2:$B$168,2,FALSE),"")</f>
        <v>4679710</v>
      </c>
    </row>
    <row r="1186" spans="1:12" x14ac:dyDescent="0.2">
      <c r="A1186">
        <f t="shared" si="37"/>
        <v>4679710</v>
      </c>
      <c r="B1186">
        <v>2018</v>
      </c>
      <c r="C1186" t="s">
        <v>208</v>
      </c>
      <c r="D1186" t="s">
        <v>212</v>
      </c>
      <c r="E1186" t="s">
        <v>211</v>
      </c>
      <c r="F1186" s="3">
        <v>960102</v>
      </c>
      <c r="G1186" s="3" t="s">
        <v>160</v>
      </c>
      <c r="H1186" s="4">
        <v>234786</v>
      </c>
      <c r="I1186" cm="1">
        <f t="array" ref="I1186">_xlfn.IFS(B1186=2015,H1186/$O$10,B1186=2016,H1186/$O$11,B1186=2017,H1186/$O$12,B1186=2018,H1186/$O$13,B1186=2019,H1186/$O$14,B1186=2020,H1186/$O$15,B1186=2021,H1186/$O$16,B1186=2022,H1186/$O$17)</f>
        <v>4.6822443135757568E-3</v>
      </c>
      <c r="J1186" s="6" cm="1">
        <f t="array" ref="J1186">_xlfn.IFS(B1186=2015,I1186*$Q$1,B1186=2016,I1186*$Q$2,B1186=2017,I1186*$Q$3,B1186=2018,I1186*$Q$4,B1186=2019,I1186*$Q$5,B1186=2020,I1186*$Q$6,B1186=2021,I1186*$Q$7,B1186=2022,I1186*$Q$8)</f>
        <v>122936.11238858118</v>
      </c>
      <c r="K1186" s="7">
        <f t="shared" si="38"/>
        <v>357722.11238858115</v>
      </c>
      <c r="L1186">
        <f>IFERROR(VLOOKUP(G1186,'LEAID Match'!$A$2:$B$168,2,FALSE),"")</f>
        <v>4679710</v>
      </c>
    </row>
    <row r="1187" spans="1:12" x14ac:dyDescent="0.2">
      <c r="A1187">
        <f t="shared" si="37"/>
        <v>4679710</v>
      </c>
      <c r="B1187">
        <v>2019</v>
      </c>
      <c r="C1187" t="s">
        <v>208</v>
      </c>
      <c r="D1187" t="s">
        <v>212</v>
      </c>
      <c r="E1187" t="s">
        <v>211</v>
      </c>
      <c r="F1187" s="3">
        <v>960102</v>
      </c>
      <c r="G1187" s="3" t="s">
        <v>160</v>
      </c>
      <c r="H1187" s="4">
        <v>236883</v>
      </c>
      <c r="I1187" cm="1">
        <f t="array" ref="I1187">_xlfn.IFS(B1187=2015,H1187/$O$10,B1187=2016,H1187/$O$11,B1187=2017,H1187/$O$12,B1187=2018,H1187/$O$13,B1187=2019,H1187/$O$14,B1187=2020,H1187/$O$15,B1187=2021,H1187/$O$16,B1187=2022,H1187/$O$17)</f>
        <v>4.6392426426544635E-3</v>
      </c>
      <c r="J1187" s="6" cm="1">
        <f t="array" ref="J1187">_xlfn.IFS(B1187=2015,I1187*$Q$1,B1187=2016,I1187*$Q$2,B1187=2017,I1187*$Q$3,B1187=2018,I1187*$Q$4,B1187=2019,I1187*$Q$5,B1187=2020,I1187*$Q$6,B1187=2021,I1187*$Q$7,B1187=2022,I1187*$Q$8)</f>
        <v>122696.16102568501</v>
      </c>
      <c r="K1187" s="7">
        <f t="shared" si="38"/>
        <v>359579.16102568503</v>
      </c>
      <c r="L1187">
        <f>IFERROR(VLOOKUP(G1187,'LEAID Match'!$A$2:$B$168,2,FALSE),"")</f>
        <v>4679710</v>
      </c>
    </row>
    <row r="1188" spans="1:12" x14ac:dyDescent="0.2">
      <c r="A1188">
        <f t="shared" si="37"/>
        <v>4679710</v>
      </c>
      <c r="B1188">
        <v>2020</v>
      </c>
      <c r="C1188" t="s">
        <v>208</v>
      </c>
      <c r="D1188" t="s">
        <v>212</v>
      </c>
      <c r="E1188" t="s">
        <v>211</v>
      </c>
      <c r="F1188" s="1">
        <v>960102</v>
      </c>
      <c r="G1188" s="3" t="s">
        <v>160</v>
      </c>
      <c r="H1188" s="2">
        <v>241037</v>
      </c>
      <c r="I1188" cm="1">
        <f t="array" ref="I1188">_xlfn.IFS(B1188=2015,H1188/$O$10,B1188=2016,H1188/$O$11,B1188=2017,H1188/$O$12,B1188=2018,H1188/$O$13,B1188=2019,H1188/$O$14,B1188=2020,H1188/$O$15,B1188=2021,H1188/$O$16,B1188=2022,H1188/$O$17)</f>
        <v>4.5651877299620726E-3</v>
      </c>
      <c r="J1188" s="6" cm="1">
        <f t="array" ref="J1188">_xlfn.IFS(B1188=2015,I1188*$Q$1,B1188=2016,I1188*$Q$2,B1188=2017,I1188*$Q$3,B1188=2018,I1188*$Q$4,B1188=2019,I1188*$Q$5,B1188=2020,I1188*$Q$6,B1188=2021,I1188*$Q$7,B1188=2022,I1188*$Q$8)</f>
        <v>124128.50893603437</v>
      </c>
      <c r="K1188" s="7">
        <f t="shared" si="38"/>
        <v>365165.5089360344</v>
      </c>
      <c r="L1188">
        <f>IFERROR(VLOOKUP(G1188,'LEAID Match'!$A$2:$B$168,2,FALSE),"")</f>
        <v>4679710</v>
      </c>
    </row>
    <row r="1189" spans="1:12" x14ac:dyDescent="0.2">
      <c r="A1189">
        <f t="shared" si="37"/>
        <v>4679710</v>
      </c>
      <c r="B1189">
        <v>2021</v>
      </c>
      <c r="C1189" t="s">
        <v>208</v>
      </c>
      <c r="D1189" t="s">
        <v>212</v>
      </c>
      <c r="E1189" t="s">
        <v>211</v>
      </c>
      <c r="F1189" s="3">
        <v>960102</v>
      </c>
      <c r="G1189" s="3" t="s">
        <v>160</v>
      </c>
      <c r="H1189" s="4">
        <v>269183</v>
      </c>
      <c r="I1189" cm="1">
        <f t="array" ref="I1189">_xlfn.IFS(B1189=2015,H1189/$O$10,B1189=2016,H1189/$O$11,B1189=2017,H1189/$O$12,B1189=2018,H1189/$O$13,B1189=2019,H1189/$O$14,B1189=2020,H1189/$O$15,B1189=2021,H1189/$O$16,B1189=2022,H1189/$O$17)</f>
        <v>4.8618671131678984E-3</v>
      </c>
      <c r="J1189" s="6" cm="1">
        <f t="array" ref="J1189">_xlfn.IFS(B1189=2015,I1189*$Q$1,B1189=2016,I1189*$Q$2,B1189=2017,I1189*$Q$3,B1189=2018,I1189*$Q$4,B1189=2019,I1189*$Q$5,B1189=2020,I1189*$Q$6,B1189=2021,I1189*$Q$7,B1189=2022,I1189*$Q$8)</f>
        <v>135346.27569811663</v>
      </c>
      <c r="K1189" s="7">
        <f t="shared" si="38"/>
        <v>404529.27569811663</v>
      </c>
      <c r="L1189">
        <f>IFERROR(VLOOKUP(G1189,'LEAID Match'!$A$2:$B$168,2,FALSE),"")</f>
        <v>4679710</v>
      </c>
    </row>
    <row r="1190" spans="1:12" x14ac:dyDescent="0.2">
      <c r="A1190">
        <f t="shared" si="37"/>
        <v>4679710</v>
      </c>
      <c r="B1190">
        <v>2022</v>
      </c>
      <c r="C1190" t="s">
        <v>208</v>
      </c>
      <c r="D1190" t="s">
        <v>212</v>
      </c>
      <c r="E1190" t="s">
        <v>211</v>
      </c>
      <c r="F1190" s="3">
        <v>960102</v>
      </c>
      <c r="G1190" s="3" t="s">
        <v>160</v>
      </c>
      <c r="H1190" s="4">
        <v>275602</v>
      </c>
      <c r="I1190" cm="1">
        <f t="array" ref="I1190">_xlfn.IFS(B1190=2015,H1190/$O$10,B1190=2016,H1190/$O$11,B1190=2017,H1190/$O$12,B1190=2018,H1190/$O$13,B1190=2019,H1190/$O$14,B1190=2020,H1190/$O$15,B1190=2021,H1190/$O$16,B1190=2022,H1190/$O$17)</f>
        <v>4.7730358268812381E-3</v>
      </c>
      <c r="J1190" s="6" cm="1">
        <f t="array" ref="J1190">_xlfn.IFS(B1190=2015,I1190*$Q$1,B1190=2016,I1190*$Q$2,B1190=2017,I1190*$Q$3,B1190=2018,I1190*$Q$4,B1190=2019,I1190*$Q$5,B1190=2020,I1190*$Q$6,B1190=2021,I1190*$Q$7,B1190=2022,I1190*$Q$8)</f>
        <v>140603.83164433285</v>
      </c>
      <c r="K1190" s="7">
        <f t="shared" si="38"/>
        <v>416205.83164433285</v>
      </c>
      <c r="L1190">
        <f>IFERROR(VLOOKUP(G1190,'LEAID Match'!$A$2:$B$168,2,FALSE),"")</f>
        <v>4679710</v>
      </c>
    </row>
    <row r="1191" spans="1:12" x14ac:dyDescent="0.2">
      <c r="A1191">
        <f t="shared" si="37"/>
        <v>4614130</v>
      </c>
      <c r="B1191">
        <v>2015</v>
      </c>
      <c r="C1191" t="s">
        <v>208</v>
      </c>
      <c r="D1191" t="s">
        <v>212</v>
      </c>
      <c r="E1191" t="s">
        <v>211</v>
      </c>
      <c r="F1191" s="3">
        <v>960103</v>
      </c>
      <c r="G1191" s="3" t="s">
        <v>29</v>
      </c>
      <c r="H1191" s="4">
        <v>78911</v>
      </c>
      <c r="I1191" cm="1">
        <f t="array" ref="I1191">_xlfn.IFS(B1191=2015,H1191/$O$10,B1191=2016,H1191/$O$11,B1191=2017,H1191/$O$12,B1191=2018,H1191/$O$13,B1191=2019,H1191/$O$14,B1191=2020,H1191/$O$15,B1191=2021,H1191/$O$16,B1191=2022,H1191/$O$17)</f>
        <v>1.8457514467422782E-3</v>
      </c>
      <c r="J1191" s="6" cm="1">
        <f t="array" ref="J1191">_xlfn.IFS(B1191=2015,I1191*$Q$1,B1191=2016,I1191*$Q$2,B1191=2017,I1191*$Q$3,B1191=2018,I1191*$Q$4,B1191=2019,I1191*$Q$5,B1191=2020,I1191*$Q$6,B1191=2021,I1191*$Q$7,B1191=2022,I1191*$Q$8)</f>
        <v>45391.00566976035</v>
      </c>
      <c r="K1191" s="7">
        <f t="shared" si="38"/>
        <v>124302.00566976034</v>
      </c>
      <c r="L1191">
        <f>IFERROR(VLOOKUP(G1191,'LEAID Match'!$A$2:$B$168,2,FALSE),"")</f>
        <v>4614130</v>
      </c>
    </row>
    <row r="1192" spans="1:12" x14ac:dyDescent="0.2">
      <c r="A1192">
        <f t="shared" si="37"/>
        <v>4614130</v>
      </c>
      <c r="B1192">
        <v>2016</v>
      </c>
      <c r="C1192" t="s">
        <v>208</v>
      </c>
      <c r="D1192" t="s">
        <v>212</v>
      </c>
      <c r="E1192" t="s">
        <v>211</v>
      </c>
      <c r="F1192" s="3">
        <v>960103</v>
      </c>
      <c r="G1192" s="3" t="s">
        <v>29</v>
      </c>
      <c r="H1192" s="4">
        <v>78783</v>
      </c>
      <c r="I1192" cm="1">
        <f t="array" ref="I1192">_xlfn.IFS(B1192=2015,H1192/$O$10,B1192=2016,H1192/$O$11,B1192=2017,H1192/$O$12,B1192=2018,H1192/$O$13,B1192=2019,H1192/$O$14,B1192=2020,H1192/$O$15,B1192=2021,H1192/$O$16,B1192=2022,H1192/$O$17)</f>
        <v>1.7869607864596264E-3</v>
      </c>
      <c r="J1192" s="6" cm="1">
        <f t="array" ref="J1192">_xlfn.IFS(B1192=2015,I1192*$Q$1,B1192=2016,I1192*$Q$2,B1192=2017,I1192*$Q$3,B1192=2018,I1192*$Q$4,B1192=2019,I1192*$Q$5,B1192=2020,I1192*$Q$6,B1192=2021,I1192*$Q$7,B1192=2022,I1192*$Q$8)</f>
        <v>45399.177283439909</v>
      </c>
      <c r="K1192" s="7">
        <f t="shared" si="38"/>
        <v>124182.1772834399</v>
      </c>
      <c r="L1192">
        <f>IFERROR(VLOOKUP(G1192,'LEAID Match'!$A$2:$B$168,2,FALSE),"")</f>
        <v>4614130</v>
      </c>
    </row>
    <row r="1193" spans="1:12" x14ac:dyDescent="0.2">
      <c r="A1193">
        <f t="shared" si="37"/>
        <v>4614130</v>
      </c>
      <c r="B1193">
        <v>2017</v>
      </c>
      <c r="C1193" t="s">
        <v>208</v>
      </c>
      <c r="D1193" t="s">
        <v>212</v>
      </c>
      <c r="E1193" t="s">
        <v>211</v>
      </c>
      <c r="F1193" s="3">
        <v>960103</v>
      </c>
      <c r="G1193" s="3" t="s">
        <v>29</v>
      </c>
      <c r="H1193" s="4">
        <v>83319</v>
      </c>
      <c r="I1193" cm="1">
        <f t="array" ref="I1193">_xlfn.IFS(B1193=2015,H1193/$O$10,B1193=2016,H1193/$O$11,B1193=2017,H1193/$O$12,B1193=2018,H1193/$O$13,B1193=2019,H1193/$O$14,B1193=2020,H1193/$O$15,B1193=2021,H1193/$O$16,B1193=2022,H1193/$O$17)</f>
        <v>1.7202699328347519E-3</v>
      </c>
      <c r="J1193" s="6" cm="1">
        <f t="array" ref="J1193">_xlfn.IFS(B1193=2015,I1193*$Q$1,B1193=2016,I1193*$Q$2,B1193=2017,I1193*$Q$3,B1193=2018,I1193*$Q$4,B1193=2019,I1193*$Q$5,B1193=2020,I1193*$Q$6,B1193=2021,I1193*$Q$7,B1193=2022,I1193*$Q$8)</f>
        <v>45252.619207362281</v>
      </c>
      <c r="K1193" s="7">
        <f t="shared" si="38"/>
        <v>128571.61920736228</v>
      </c>
      <c r="L1193">
        <f>IFERROR(VLOOKUP(G1193,'LEAID Match'!$A$2:$B$168,2,FALSE),"")</f>
        <v>4614130</v>
      </c>
    </row>
    <row r="1194" spans="1:12" x14ac:dyDescent="0.2">
      <c r="A1194">
        <f t="shared" si="37"/>
        <v>4614130</v>
      </c>
      <c r="B1194">
        <v>2018</v>
      </c>
      <c r="C1194" t="s">
        <v>208</v>
      </c>
      <c r="D1194" t="s">
        <v>212</v>
      </c>
      <c r="E1194" t="s">
        <v>211</v>
      </c>
      <c r="F1194" s="3">
        <v>960103</v>
      </c>
      <c r="G1194" s="3" t="s">
        <v>29</v>
      </c>
      <c r="H1194" s="4">
        <v>80857</v>
      </c>
      <c r="I1194" cm="1">
        <f t="array" ref="I1194">_xlfn.IFS(B1194=2015,H1194/$O$10,B1194=2016,H1194/$O$11,B1194=2017,H1194/$O$12,B1194=2018,H1194/$O$13,B1194=2019,H1194/$O$14,B1194=2020,H1194/$O$15,B1194=2021,H1194/$O$16,B1194=2022,H1194/$O$17)</f>
        <v>1.6124991629091808E-3</v>
      </c>
      <c r="J1194" s="6" cm="1">
        <f t="array" ref="J1194">_xlfn.IFS(B1194=2015,I1194*$Q$1,B1194=2016,I1194*$Q$2,B1194=2017,I1194*$Q$3,B1194=2018,I1194*$Q$4,B1194=2019,I1194*$Q$5,B1194=2020,I1194*$Q$6,B1194=2021,I1194*$Q$7,B1194=2022,I1194*$Q$8)</f>
        <v>42337.470034003338</v>
      </c>
      <c r="K1194" s="7">
        <f t="shared" si="38"/>
        <v>123194.47003400335</v>
      </c>
      <c r="L1194">
        <f>IFERROR(VLOOKUP(G1194,'LEAID Match'!$A$2:$B$168,2,FALSE),"")</f>
        <v>4614130</v>
      </c>
    </row>
    <row r="1195" spans="1:12" x14ac:dyDescent="0.2">
      <c r="A1195">
        <f t="shared" si="37"/>
        <v>4614130</v>
      </c>
      <c r="B1195">
        <v>2019</v>
      </c>
      <c r="C1195" t="s">
        <v>208</v>
      </c>
      <c r="D1195" t="s">
        <v>212</v>
      </c>
      <c r="E1195" t="s">
        <v>211</v>
      </c>
      <c r="F1195" s="3">
        <v>960103</v>
      </c>
      <c r="G1195" s="3" t="s">
        <v>29</v>
      </c>
      <c r="H1195" s="4">
        <v>80517</v>
      </c>
      <c r="I1195" cm="1">
        <f t="array" ref="I1195">_xlfn.IFS(B1195=2015,H1195/$O$10,B1195=2016,H1195/$O$11,B1195=2017,H1195/$O$12,B1195=2018,H1195/$O$13,B1195=2019,H1195/$O$14,B1195=2020,H1195/$O$15,B1195=2021,H1195/$O$16,B1195=2022,H1195/$O$17)</f>
        <v>1.5768877456744869E-3</v>
      </c>
      <c r="J1195" s="6" cm="1">
        <f t="array" ref="J1195">_xlfn.IFS(B1195=2015,I1195*$Q$1,B1195=2016,I1195*$Q$2,B1195=2017,I1195*$Q$3,B1195=2018,I1195*$Q$4,B1195=2019,I1195*$Q$5,B1195=2020,I1195*$Q$6,B1195=2021,I1195*$Q$7,B1195=2022,I1195*$Q$8)</f>
        <v>41704.667693777439</v>
      </c>
      <c r="K1195" s="7">
        <f t="shared" si="38"/>
        <v>122221.66769377745</v>
      </c>
      <c r="L1195">
        <f>IFERROR(VLOOKUP(G1195,'LEAID Match'!$A$2:$B$168,2,FALSE),"")</f>
        <v>4614130</v>
      </c>
    </row>
    <row r="1196" spans="1:12" x14ac:dyDescent="0.2">
      <c r="A1196">
        <f t="shared" si="37"/>
        <v>4614130</v>
      </c>
      <c r="B1196">
        <v>2020</v>
      </c>
      <c r="C1196" t="s">
        <v>208</v>
      </c>
      <c r="D1196" t="s">
        <v>212</v>
      </c>
      <c r="E1196" t="s">
        <v>211</v>
      </c>
      <c r="F1196" s="1">
        <v>960103</v>
      </c>
      <c r="G1196" s="3" t="s">
        <v>29</v>
      </c>
      <c r="H1196" s="2">
        <v>79441</v>
      </c>
      <c r="I1196" cm="1">
        <f t="array" ref="I1196">_xlfn.IFS(B1196=2015,H1196/$O$10,B1196=2016,H1196/$O$11,B1196=2017,H1196/$O$12,B1196=2018,H1196/$O$13,B1196=2019,H1196/$O$14,B1196=2020,H1196/$O$15,B1196=2021,H1196/$O$16,B1196=2022,H1196/$O$17)</f>
        <v>1.5045950557628788E-3</v>
      </c>
      <c r="J1196" s="6" cm="1">
        <f t="array" ref="J1196">_xlfn.IFS(B1196=2015,I1196*$Q$1,B1196=2016,I1196*$Q$2,B1196=2017,I1196*$Q$3,B1196=2018,I1196*$Q$4,B1196=2019,I1196*$Q$5,B1196=2020,I1196*$Q$6,B1196=2021,I1196*$Q$7,B1196=2022,I1196*$Q$8)</f>
        <v>40910.287127650554</v>
      </c>
      <c r="K1196" s="7">
        <f t="shared" si="38"/>
        <v>120351.28712765055</v>
      </c>
      <c r="L1196">
        <f>IFERROR(VLOOKUP(G1196,'LEAID Match'!$A$2:$B$168,2,FALSE),"")</f>
        <v>4614130</v>
      </c>
    </row>
    <row r="1197" spans="1:12" x14ac:dyDescent="0.2">
      <c r="A1197">
        <f t="shared" si="37"/>
        <v>4614130</v>
      </c>
      <c r="B1197">
        <v>2021</v>
      </c>
      <c r="C1197" t="s">
        <v>208</v>
      </c>
      <c r="D1197" t="s">
        <v>212</v>
      </c>
      <c r="E1197" t="s">
        <v>211</v>
      </c>
      <c r="F1197" s="3">
        <v>960103</v>
      </c>
      <c r="G1197" s="3" t="s">
        <v>29</v>
      </c>
      <c r="H1197" s="4">
        <v>87671</v>
      </c>
      <c r="I1197" cm="1">
        <f t="array" ref="I1197">_xlfn.IFS(B1197=2015,H1197/$O$10,B1197=2016,H1197/$O$11,B1197=2017,H1197/$O$12,B1197=2018,H1197/$O$13,B1197=2019,H1197/$O$14,B1197=2020,H1197/$O$15,B1197=2021,H1197/$O$16,B1197=2022,H1197/$O$17)</f>
        <v>1.5834757457883404E-3</v>
      </c>
      <c r="J1197" s="6" cm="1">
        <f t="array" ref="J1197">_xlfn.IFS(B1197=2015,I1197*$Q$1,B1197=2016,I1197*$Q$2,B1197=2017,I1197*$Q$3,B1197=2018,I1197*$Q$4,B1197=2019,I1197*$Q$5,B1197=2020,I1197*$Q$6,B1197=2021,I1197*$Q$7,B1197=2022,I1197*$Q$8)</f>
        <v>44081.325108679164</v>
      </c>
      <c r="K1197" s="7">
        <f t="shared" si="38"/>
        <v>131752.32510867916</v>
      </c>
      <c r="L1197">
        <f>IFERROR(VLOOKUP(G1197,'LEAID Match'!$A$2:$B$168,2,FALSE),"")</f>
        <v>4614130</v>
      </c>
    </row>
    <row r="1198" spans="1:12" x14ac:dyDescent="0.2">
      <c r="A1198">
        <f t="shared" si="37"/>
        <v>4614130</v>
      </c>
      <c r="B1198">
        <v>2022</v>
      </c>
      <c r="C1198" t="s">
        <v>208</v>
      </c>
      <c r="D1198" t="s">
        <v>212</v>
      </c>
      <c r="E1198" t="s">
        <v>211</v>
      </c>
      <c r="F1198" s="3">
        <v>960103</v>
      </c>
      <c r="G1198" s="3" t="s">
        <v>29</v>
      </c>
      <c r="H1198" s="4">
        <v>88992</v>
      </c>
      <c r="I1198" cm="1">
        <f t="array" ref="I1198">_xlfn.IFS(B1198=2015,H1198/$O$10,B1198=2016,H1198/$O$11,B1198=2017,H1198/$O$12,B1198=2018,H1198/$O$13,B1198=2019,H1198/$O$14,B1198=2020,H1198/$O$15,B1198=2021,H1198/$O$16,B1198=2022,H1198/$O$17)</f>
        <v>1.5412152462820122E-3</v>
      </c>
      <c r="J1198" s="6" cm="1">
        <f t="array" ref="J1198">_xlfn.IFS(B1198=2015,I1198*$Q$1,B1198=2016,I1198*$Q$2,B1198=2017,I1198*$Q$3,B1198=2018,I1198*$Q$4,B1198=2019,I1198*$Q$5,B1198=2020,I1198*$Q$6,B1198=2021,I1198*$Q$7,B1198=2022,I1198*$Q$8)</f>
        <v>45401.03549935222</v>
      </c>
      <c r="K1198" s="7">
        <f t="shared" si="38"/>
        <v>134393.03549935221</v>
      </c>
      <c r="L1198">
        <f>IFERROR(VLOOKUP(G1198,'LEAID Match'!$A$2:$B$168,2,FALSE),"")</f>
        <v>4614130</v>
      </c>
    </row>
    <row r="1199" spans="1:12" x14ac:dyDescent="0.2">
      <c r="A1199">
        <f t="shared" si="37"/>
        <v>4672090</v>
      </c>
      <c r="B1199">
        <v>2015</v>
      </c>
      <c r="C1199" t="s">
        <v>208</v>
      </c>
      <c r="D1199" t="s">
        <v>212</v>
      </c>
      <c r="E1199" t="s">
        <v>211</v>
      </c>
      <c r="F1199" s="3">
        <v>960200</v>
      </c>
      <c r="G1199" s="3" t="s">
        <v>141</v>
      </c>
      <c r="H1199" s="4">
        <v>846093</v>
      </c>
      <c r="I1199" cm="1">
        <f t="array" ref="I1199">_xlfn.IFS(B1199=2015,H1199/$O$10,B1199=2016,H1199/$O$11,B1199=2017,H1199/$O$12,B1199=2018,H1199/$O$13,B1199=2019,H1199/$O$14,B1199=2020,H1199/$O$15,B1199=2021,H1199/$O$16,B1199=2022,H1199/$O$17)</f>
        <v>1.9790363559307505E-2</v>
      </c>
      <c r="J1199" s="6" cm="1">
        <f t="array" ref="J1199">_xlfn.IFS(B1199=2015,I1199*$Q$1,B1199=2016,I1199*$Q$2,B1199=2017,I1199*$Q$3,B1199=2018,I1199*$Q$4,B1199=2019,I1199*$Q$5,B1199=2020,I1199*$Q$6,B1199=2021,I1199*$Q$7,B1199=2022,I1199*$Q$8)</f>
        <v>486687.68815684185</v>
      </c>
      <c r="K1199" s="7">
        <f t="shared" si="38"/>
        <v>1332780.6881568418</v>
      </c>
      <c r="L1199">
        <f>IFERROR(VLOOKUP(G1199,'LEAID Match'!$A$2:$B$168,2,FALSE),"")</f>
        <v>4672090</v>
      </c>
    </row>
    <row r="1200" spans="1:12" x14ac:dyDescent="0.2">
      <c r="A1200">
        <f t="shared" si="37"/>
        <v>4672090</v>
      </c>
      <c r="B1200">
        <v>2016</v>
      </c>
      <c r="C1200" t="s">
        <v>208</v>
      </c>
      <c r="D1200" t="s">
        <v>212</v>
      </c>
      <c r="E1200" t="s">
        <v>211</v>
      </c>
      <c r="F1200" s="3">
        <v>960200</v>
      </c>
      <c r="G1200" s="3" t="s">
        <v>141</v>
      </c>
      <c r="H1200" s="4">
        <v>847398</v>
      </c>
      <c r="I1200" cm="1">
        <f t="array" ref="I1200">_xlfn.IFS(B1200=2015,H1200/$O$10,B1200=2016,H1200/$O$11,B1200=2017,H1200/$O$12,B1200=2018,H1200/$O$13,B1200=2019,H1200/$O$14,B1200=2020,H1200/$O$15,B1200=2021,H1200/$O$16,B1200=2022,H1200/$O$17)</f>
        <v>1.9220732855112325E-2</v>
      </c>
      <c r="J1200" s="6" cm="1">
        <f t="array" ref="J1200">_xlfn.IFS(B1200=2015,I1200*$Q$1,B1200=2016,I1200*$Q$2,B1200=2017,I1200*$Q$3,B1200=2018,I1200*$Q$4,B1200=2019,I1200*$Q$5,B1200=2020,I1200*$Q$6,B1200=2021,I1200*$Q$7,B1200=2022,I1200*$Q$8)</f>
        <v>488318.19087407697</v>
      </c>
      <c r="K1200" s="7">
        <f t="shared" si="38"/>
        <v>1335716.1908740769</v>
      </c>
      <c r="L1200">
        <f>IFERROR(VLOOKUP(G1200,'LEAID Match'!$A$2:$B$168,2,FALSE),"")</f>
        <v>4672090</v>
      </c>
    </row>
    <row r="1201" spans="1:12" x14ac:dyDescent="0.2">
      <c r="A1201">
        <f t="shared" si="37"/>
        <v>4672090</v>
      </c>
      <c r="B1201">
        <v>2017</v>
      </c>
      <c r="C1201" t="s">
        <v>208</v>
      </c>
      <c r="D1201" t="s">
        <v>212</v>
      </c>
      <c r="E1201" t="s">
        <v>211</v>
      </c>
      <c r="F1201" s="3">
        <v>960200</v>
      </c>
      <c r="G1201" s="3" t="s">
        <v>141</v>
      </c>
      <c r="H1201" s="4">
        <v>841975</v>
      </c>
      <c r="I1201" cm="1">
        <f t="array" ref="I1201">_xlfn.IFS(B1201=2015,H1201/$O$10,B1201=2016,H1201/$O$11,B1201=2017,H1201/$O$12,B1201=2018,H1201/$O$13,B1201=2019,H1201/$O$14,B1201=2020,H1201/$O$15,B1201=2021,H1201/$O$16,B1201=2022,H1201/$O$17)</f>
        <v>1.7384081382380252E-2</v>
      </c>
      <c r="J1201" s="6" cm="1">
        <f t="array" ref="J1201">_xlfn.IFS(B1201=2015,I1201*$Q$1,B1201=2016,I1201*$Q$2,B1201=2017,I1201*$Q$3,B1201=2018,I1201*$Q$4,B1201=2019,I1201*$Q$5,B1201=2020,I1201*$Q$6,B1201=2021,I1201*$Q$7,B1201=2022,I1201*$Q$8)</f>
        <v>457297.54386297072</v>
      </c>
      <c r="K1201" s="7">
        <f t="shared" si="38"/>
        <v>1299272.5438629708</v>
      </c>
      <c r="L1201">
        <f>IFERROR(VLOOKUP(G1201,'LEAID Match'!$A$2:$B$168,2,FALSE),"")</f>
        <v>4672090</v>
      </c>
    </row>
    <row r="1202" spans="1:12" x14ac:dyDescent="0.2">
      <c r="A1202">
        <f t="shared" si="37"/>
        <v>4672090</v>
      </c>
      <c r="B1202">
        <v>2018</v>
      </c>
      <c r="C1202" t="s">
        <v>208</v>
      </c>
      <c r="D1202" t="s">
        <v>212</v>
      </c>
      <c r="E1202" t="s">
        <v>211</v>
      </c>
      <c r="F1202" s="3">
        <v>960200</v>
      </c>
      <c r="G1202" s="3" t="s">
        <v>141</v>
      </c>
      <c r="H1202" s="4">
        <v>923184</v>
      </c>
      <c r="I1202" cm="1">
        <f t="array" ref="I1202">_xlfn.IFS(B1202=2015,H1202/$O$10,B1202=2016,H1202/$O$11,B1202=2017,H1202/$O$12,B1202=2018,H1202/$O$13,B1202=2019,H1202/$O$14,B1202=2020,H1202/$O$15,B1202=2021,H1202/$O$16,B1202=2022,H1202/$O$17)</f>
        <v>1.8410693288288572E-2</v>
      </c>
      <c r="J1202" s="6" cm="1">
        <f t="array" ref="J1202">_xlfn.IFS(B1202=2015,I1202*$Q$1,B1202=2016,I1202*$Q$2,B1202=2017,I1202*$Q$3,B1202=2018,I1202*$Q$4,B1202=2019,I1202*$Q$5,B1202=2020,I1202*$Q$6,B1202=2021,I1202*$Q$7,B1202=2022,I1202*$Q$8)</f>
        <v>483387.64653488668</v>
      </c>
      <c r="K1202" s="7">
        <f t="shared" si="38"/>
        <v>1406571.6465348867</v>
      </c>
      <c r="L1202">
        <f>IFERROR(VLOOKUP(G1202,'LEAID Match'!$A$2:$B$168,2,FALSE),"")</f>
        <v>4672090</v>
      </c>
    </row>
    <row r="1203" spans="1:12" x14ac:dyDescent="0.2">
      <c r="A1203">
        <f t="shared" si="37"/>
        <v>4672090</v>
      </c>
      <c r="B1203">
        <v>2019</v>
      </c>
      <c r="C1203" t="s">
        <v>208</v>
      </c>
      <c r="D1203" t="s">
        <v>212</v>
      </c>
      <c r="E1203" t="s">
        <v>211</v>
      </c>
      <c r="F1203" s="3">
        <v>960200</v>
      </c>
      <c r="G1203" s="3" t="s">
        <v>141</v>
      </c>
      <c r="H1203" s="4">
        <v>945603</v>
      </c>
      <c r="I1203" cm="1">
        <f t="array" ref="I1203">_xlfn.IFS(B1203=2015,H1203/$O$10,B1203=2016,H1203/$O$11,B1203=2017,H1203/$O$12,B1203=2018,H1203/$O$13,B1203=2019,H1203/$O$14,B1203=2020,H1203/$O$15,B1203=2021,H1203/$O$16,B1203=2022,H1203/$O$17)</f>
        <v>1.8519192008805987E-2</v>
      </c>
      <c r="J1203" s="6" cm="1">
        <f t="array" ref="J1203">_xlfn.IFS(B1203=2015,I1203*$Q$1,B1203=2016,I1203*$Q$2,B1203=2017,I1203*$Q$3,B1203=2018,I1203*$Q$4,B1203=2019,I1203*$Q$5,B1203=2020,I1203*$Q$6,B1203=2021,I1203*$Q$7,B1203=2022,I1203*$Q$8)</f>
        <v>489785.49728925596</v>
      </c>
      <c r="K1203" s="7">
        <f t="shared" si="38"/>
        <v>1435388.497289256</v>
      </c>
      <c r="L1203">
        <f>IFERROR(VLOOKUP(G1203,'LEAID Match'!$A$2:$B$168,2,FALSE),"")</f>
        <v>4672090</v>
      </c>
    </row>
    <row r="1204" spans="1:12" x14ac:dyDescent="0.2">
      <c r="A1204">
        <f t="shared" si="37"/>
        <v>4672090</v>
      </c>
      <c r="B1204">
        <v>2020</v>
      </c>
      <c r="C1204" t="s">
        <v>208</v>
      </c>
      <c r="D1204" t="s">
        <v>212</v>
      </c>
      <c r="E1204" t="s">
        <v>211</v>
      </c>
      <c r="F1204" s="1">
        <v>960200</v>
      </c>
      <c r="G1204" s="3" t="s">
        <v>141</v>
      </c>
      <c r="H1204" s="2">
        <v>1016779</v>
      </c>
      <c r="I1204" cm="1">
        <f t="array" ref="I1204">_xlfn.IFS(B1204=2015,H1204/$O$10,B1204=2016,H1204/$O$11,B1204=2017,H1204/$O$12,B1204=2018,H1204/$O$13,B1204=2019,H1204/$O$14,B1204=2020,H1204/$O$15,B1204=2021,H1204/$O$16,B1204=2022,H1204/$O$17)</f>
        <v>1.9257570476246825E-2</v>
      </c>
      <c r="J1204" s="6" cm="1">
        <f t="array" ref="J1204">_xlfn.IFS(B1204=2015,I1204*$Q$1,B1204=2016,I1204*$Q$2,B1204=2017,I1204*$Q$3,B1204=2018,I1204*$Q$4,B1204=2019,I1204*$Q$5,B1204=2020,I1204*$Q$6,B1204=2021,I1204*$Q$7,B1204=2022,I1204*$Q$8)</f>
        <v>523617.78974793118</v>
      </c>
      <c r="K1204" s="7">
        <f t="shared" si="38"/>
        <v>1540396.7897479311</v>
      </c>
      <c r="L1204">
        <f>IFERROR(VLOOKUP(G1204,'LEAID Match'!$A$2:$B$168,2,FALSE),"")</f>
        <v>4672090</v>
      </c>
    </row>
    <row r="1205" spans="1:12" x14ac:dyDescent="0.2">
      <c r="A1205">
        <f t="shared" si="37"/>
        <v>4672090</v>
      </c>
      <c r="B1205">
        <v>2021</v>
      </c>
      <c r="C1205" t="s">
        <v>208</v>
      </c>
      <c r="D1205" t="s">
        <v>212</v>
      </c>
      <c r="E1205" t="s">
        <v>211</v>
      </c>
      <c r="F1205" s="3">
        <v>960200</v>
      </c>
      <c r="G1205" s="3" t="s">
        <v>141</v>
      </c>
      <c r="H1205" s="4">
        <v>996465</v>
      </c>
      <c r="I1205" cm="1">
        <f t="array" ref="I1205">_xlfn.IFS(B1205=2015,H1205/$O$10,B1205=2016,H1205/$O$11,B1205=2017,H1205/$O$12,B1205=2018,H1205/$O$13,B1205=2019,H1205/$O$14,B1205=2020,H1205/$O$15,B1205=2021,H1205/$O$16,B1205=2022,H1205/$O$17)</f>
        <v>1.7997720557846705E-2</v>
      </c>
      <c r="J1205" s="6" cm="1">
        <f t="array" ref="J1205">_xlfn.IFS(B1205=2015,I1205*$Q$1,B1205=2016,I1205*$Q$2,B1205=2017,I1205*$Q$3,B1205=2018,I1205*$Q$4,B1205=2019,I1205*$Q$5,B1205=2020,I1205*$Q$6,B1205=2021,I1205*$Q$7,B1205=2022,I1205*$Q$8)</f>
        <v>501026.53813028231</v>
      </c>
      <c r="K1205" s="7">
        <f t="shared" si="38"/>
        <v>1497491.5381302824</v>
      </c>
      <c r="L1205">
        <f>IFERROR(VLOOKUP(G1205,'LEAID Match'!$A$2:$B$168,2,FALSE),"")</f>
        <v>4672090</v>
      </c>
    </row>
    <row r="1206" spans="1:12" x14ac:dyDescent="0.2">
      <c r="A1206">
        <f t="shared" si="37"/>
        <v>4672090</v>
      </c>
      <c r="B1206">
        <v>2022</v>
      </c>
      <c r="C1206" t="s">
        <v>208</v>
      </c>
      <c r="D1206" t="s">
        <v>212</v>
      </c>
      <c r="E1206" t="s">
        <v>211</v>
      </c>
      <c r="F1206" s="3">
        <v>960200</v>
      </c>
      <c r="G1206" s="3" t="s">
        <v>141</v>
      </c>
      <c r="H1206" s="4">
        <v>1085227</v>
      </c>
      <c r="I1206" cm="1">
        <f t="array" ref="I1206">_xlfn.IFS(B1206=2015,H1206/$O$10,B1206=2016,H1206/$O$11,B1206=2017,H1206/$O$12,B1206=2018,H1206/$O$13,B1206=2019,H1206/$O$14,B1206=2020,H1206/$O$15,B1206=2021,H1206/$O$16,B1206=2022,H1206/$O$17)</f>
        <v>1.8794592750774105E-2</v>
      </c>
      <c r="J1206" s="6" cm="1">
        <f t="array" ref="J1206">_xlfn.IFS(B1206=2015,I1206*$Q$1,B1206=2016,I1206*$Q$2,B1206=2017,I1206*$Q$3,B1206=2018,I1206*$Q$4,B1206=2019,I1206*$Q$5,B1206=2020,I1206*$Q$6,B1206=2021,I1206*$Q$7,B1206=2022,I1206*$Q$8)</f>
        <v>553650.09834429505</v>
      </c>
      <c r="K1206" s="7">
        <f t="shared" si="38"/>
        <v>1638877.0983442951</v>
      </c>
      <c r="L1206">
        <f>IFERROR(VLOOKUP(G1206,'LEAID Match'!$A$2:$B$168,2,FALSE),"")</f>
        <v>4672090</v>
      </c>
    </row>
    <row r="1207" spans="1:12" x14ac:dyDescent="0.2">
      <c r="A1207">
        <f t="shared" si="37"/>
        <v>4654270</v>
      </c>
      <c r="B1207">
        <v>2015</v>
      </c>
      <c r="C1207" t="s">
        <v>208</v>
      </c>
      <c r="D1207" t="s">
        <v>212</v>
      </c>
      <c r="E1207" t="s">
        <v>211</v>
      </c>
      <c r="F1207" s="3">
        <v>961100</v>
      </c>
      <c r="G1207" s="3" t="s">
        <v>114</v>
      </c>
      <c r="H1207" s="4">
        <v>77560</v>
      </c>
      <c r="I1207" cm="1">
        <f t="array" ref="I1207">_xlfn.IFS(B1207=2015,H1207/$O$10,B1207=2016,H1207/$O$11,B1207=2017,H1207/$O$12,B1207=2018,H1207/$O$13,B1207=2019,H1207/$O$14,B1207=2020,H1207/$O$15,B1207=2021,H1207/$O$16,B1207=2022,H1207/$O$17)</f>
        <v>1.8141511602860325E-3</v>
      </c>
      <c r="J1207" s="6" cm="1">
        <f t="array" ref="J1207">_xlfn.IFS(B1207=2015,I1207*$Q$1,B1207=2016,I1207*$Q$2,B1207=2017,I1207*$Q$3,B1207=2018,I1207*$Q$4,B1207=2019,I1207*$Q$5,B1207=2020,I1207*$Q$6,B1207=2021,I1207*$Q$7,B1207=2022,I1207*$Q$8)</f>
        <v>44613.886527183953</v>
      </c>
      <c r="K1207" s="7">
        <f t="shared" si="38"/>
        <v>122173.88652718396</v>
      </c>
      <c r="L1207">
        <f>IFERROR(VLOOKUP(G1207,'LEAID Match'!$A$2:$B$168,2,FALSE),"")</f>
        <v>4654270</v>
      </c>
    </row>
    <row r="1208" spans="1:12" x14ac:dyDescent="0.2">
      <c r="A1208">
        <f t="shared" si="37"/>
        <v>4654270</v>
      </c>
      <c r="B1208">
        <v>2016</v>
      </c>
      <c r="C1208" t="s">
        <v>208</v>
      </c>
      <c r="D1208" t="s">
        <v>212</v>
      </c>
      <c r="E1208" t="s">
        <v>211</v>
      </c>
      <c r="F1208" s="3">
        <v>961100</v>
      </c>
      <c r="G1208" s="3" t="s">
        <v>114</v>
      </c>
      <c r="H1208" s="4">
        <v>112910</v>
      </c>
      <c r="I1208" cm="1">
        <f t="array" ref="I1208">_xlfn.IFS(B1208=2015,H1208/$O$10,B1208=2016,H1208/$O$11,B1208=2017,H1208/$O$12,B1208=2018,H1208/$O$13,B1208=2019,H1208/$O$14,B1208=2020,H1208/$O$15,B1208=2021,H1208/$O$16,B1208=2022,H1208/$O$17)</f>
        <v>2.5610314712457816E-3</v>
      </c>
      <c r="J1208" s="6" cm="1">
        <f t="array" ref="J1208">_xlfn.IFS(B1208=2015,I1208*$Q$1,B1208=2016,I1208*$Q$2,B1208=2017,I1208*$Q$3,B1208=2018,I1208*$Q$4,B1208=2019,I1208*$Q$5,B1208=2020,I1208*$Q$6,B1208=2021,I1208*$Q$7,B1208=2022,I1208*$Q$8)</f>
        <v>65065.066157333436</v>
      </c>
      <c r="K1208" s="7">
        <f t="shared" si="38"/>
        <v>177975.06615733344</v>
      </c>
      <c r="L1208">
        <f>IFERROR(VLOOKUP(G1208,'LEAID Match'!$A$2:$B$168,2,FALSE),"")</f>
        <v>4654270</v>
      </c>
    </row>
    <row r="1209" spans="1:12" x14ac:dyDescent="0.2">
      <c r="A1209">
        <f t="shared" si="37"/>
        <v>4654270</v>
      </c>
      <c r="B1209">
        <v>2017</v>
      </c>
      <c r="C1209" t="s">
        <v>208</v>
      </c>
      <c r="D1209" t="s">
        <v>212</v>
      </c>
      <c r="E1209" t="s">
        <v>211</v>
      </c>
      <c r="F1209" s="3">
        <v>961100</v>
      </c>
      <c r="G1209" s="3" t="s">
        <v>114</v>
      </c>
      <c r="H1209" s="4">
        <v>128210</v>
      </c>
      <c r="I1209" cm="1">
        <f t="array" ref="I1209">_xlfn.IFS(B1209=2015,H1209/$O$10,B1209=2016,H1209/$O$11,B1209=2017,H1209/$O$12,B1209=2018,H1209/$O$13,B1209=2019,H1209/$O$14,B1209=2020,H1209/$O$15,B1209=2021,H1209/$O$16,B1209=2022,H1209/$O$17)</f>
        <v>2.6471250025653639E-3</v>
      </c>
      <c r="J1209" s="6" cm="1">
        <f t="array" ref="J1209">_xlfn.IFS(B1209=2015,I1209*$Q$1,B1209=2016,I1209*$Q$2,B1209=2017,I1209*$Q$3,B1209=2018,I1209*$Q$4,B1209=2019,I1209*$Q$5,B1209=2020,I1209*$Q$6,B1209=2021,I1209*$Q$7,B1209=2022,I1209*$Q$8)</f>
        <v>69634.036757233262</v>
      </c>
      <c r="K1209" s="7">
        <f t="shared" si="38"/>
        <v>197844.03675723326</v>
      </c>
      <c r="L1209">
        <f>IFERROR(VLOOKUP(G1209,'LEAID Match'!$A$2:$B$168,2,FALSE),"")</f>
        <v>4654270</v>
      </c>
    </row>
    <row r="1210" spans="1:12" x14ac:dyDescent="0.2">
      <c r="A1210">
        <f t="shared" si="37"/>
        <v>4654270</v>
      </c>
      <c r="B1210">
        <v>2018</v>
      </c>
      <c r="C1210" t="s">
        <v>208</v>
      </c>
      <c r="D1210" t="s">
        <v>212</v>
      </c>
      <c r="E1210" t="s">
        <v>211</v>
      </c>
      <c r="F1210" s="3">
        <v>961100</v>
      </c>
      <c r="G1210" s="3" t="s">
        <v>114</v>
      </c>
      <c r="H1210" s="4">
        <v>139876</v>
      </c>
      <c r="I1210" cm="1">
        <f t="array" ref="I1210">_xlfn.IFS(B1210=2015,H1210/$O$10,B1210=2016,H1210/$O$11,B1210=2017,H1210/$O$12,B1210=2018,H1210/$O$13,B1210=2019,H1210/$O$14,B1210=2020,H1210/$O$15,B1210=2021,H1210/$O$16,B1210=2022,H1210/$O$17)</f>
        <v>2.7894917312178856E-3</v>
      </c>
      <c r="J1210" s="6" cm="1">
        <f t="array" ref="J1210">_xlfn.IFS(B1210=2015,I1210*$Q$1,B1210=2016,I1210*$Q$2,B1210=2017,I1210*$Q$3,B1210=2018,I1210*$Q$4,B1210=2019,I1210*$Q$5,B1210=2020,I1210*$Q$6,B1210=2021,I1210*$Q$7,B1210=2022,I1210*$Q$8)</f>
        <v>73240.362101936145</v>
      </c>
      <c r="K1210" s="7">
        <f t="shared" si="38"/>
        <v>213116.36210193613</v>
      </c>
      <c r="L1210">
        <f>IFERROR(VLOOKUP(G1210,'LEAID Match'!$A$2:$B$168,2,FALSE),"")</f>
        <v>4654270</v>
      </c>
    </row>
    <row r="1211" spans="1:12" x14ac:dyDescent="0.2">
      <c r="A1211">
        <f t="shared" si="37"/>
        <v>4654270</v>
      </c>
      <c r="B1211">
        <v>2019</v>
      </c>
      <c r="C1211" t="s">
        <v>208</v>
      </c>
      <c r="D1211" t="s">
        <v>212</v>
      </c>
      <c r="E1211" t="s">
        <v>211</v>
      </c>
      <c r="F1211" s="3">
        <v>961100</v>
      </c>
      <c r="G1211" s="3" t="s">
        <v>114</v>
      </c>
      <c r="H1211" s="4">
        <v>149132</v>
      </c>
      <c r="I1211" cm="1">
        <f t="array" ref="I1211">_xlfn.IFS(B1211=2015,H1211/$O$10,B1211=2016,H1211/$O$11,B1211=2017,H1211/$O$12,B1211=2018,H1211/$O$13,B1211=2019,H1211/$O$14,B1211=2020,H1211/$O$15,B1211=2021,H1211/$O$16,B1211=2022,H1211/$O$17)</f>
        <v>2.9206803940525303E-3</v>
      </c>
      <c r="J1211" s="6" cm="1">
        <f t="array" ref="J1211">_xlfn.IFS(B1211=2015,I1211*$Q$1,B1211=2016,I1211*$Q$2,B1211=2017,I1211*$Q$3,B1211=2018,I1211*$Q$4,B1211=2019,I1211*$Q$5,B1211=2020,I1211*$Q$6,B1211=2021,I1211*$Q$7,B1211=2022,I1211*$Q$8)</f>
        <v>77244.563291086568</v>
      </c>
      <c r="K1211" s="7">
        <f t="shared" si="38"/>
        <v>226376.56329108658</v>
      </c>
      <c r="L1211">
        <f>IFERROR(VLOOKUP(G1211,'LEAID Match'!$A$2:$B$168,2,FALSE),"")</f>
        <v>4654270</v>
      </c>
    </row>
    <row r="1212" spans="1:12" x14ac:dyDescent="0.2">
      <c r="A1212">
        <f t="shared" si="37"/>
        <v>4654270</v>
      </c>
      <c r="B1212">
        <v>2020</v>
      </c>
      <c r="C1212" t="s">
        <v>208</v>
      </c>
      <c r="D1212" t="s">
        <v>212</v>
      </c>
      <c r="E1212" t="s">
        <v>211</v>
      </c>
      <c r="F1212" s="1">
        <v>961100</v>
      </c>
      <c r="G1212" s="3" t="s">
        <v>114</v>
      </c>
      <c r="H1212" s="2">
        <v>143054</v>
      </c>
      <c r="I1212" cm="1">
        <f t="array" ref="I1212">_xlfn.IFS(B1212=2015,H1212/$O$10,B1212=2016,H1212/$O$11,B1212=2017,H1212/$O$12,B1212=2018,H1212/$O$13,B1212=2019,H1212/$O$14,B1212=2020,H1212/$O$15,B1212=2021,H1212/$O$16,B1212=2022,H1212/$O$17)</f>
        <v>2.7094112751237126E-3</v>
      </c>
      <c r="J1212" s="6" cm="1">
        <f t="array" ref="J1212">_xlfn.IFS(B1212=2015,I1212*$Q$1,B1212=2016,I1212*$Q$2,B1212=2017,I1212*$Q$3,B1212=2018,I1212*$Q$4,B1212=2019,I1212*$Q$5,B1212=2020,I1212*$Q$6,B1212=2021,I1212*$Q$7,B1212=2022,I1212*$Q$8)</f>
        <v>73669.518444618298</v>
      </c>
      <c r="K1212" s="7">
        <f t="shared" si="38"/>
        <v>216723.5184446183</v>
      </c>
      <c r="L1212">
        <f>IFERROR(VLOOKUP(G1212,'LEAID Match'!$A$2:$B$168,2,FALSE),"")</f>
        <v>4654270</v>
      </c>
    </row>
    <row r="1213" spans="1:12" x14ac:dyDescent="0.2">
      <c r="A1213">
        <f t="shared" si="37"/>
        <v>4654270</v>
      </c>
      <c r="B1213">
        <v>2021</v>
      </c>
      <c r="C1213" t="s">
        <v>208</v>
      </c>
      <c r="D1213" t="s">
        <v>212</v>
      </c>
      <c r="E1213" t="s">
        <v>211</v>
      </c>
      <c r="F1213" s="3">
        <v>961100</v>
      </c>
      <c r="G1213" s="3" t="s">
        <v>114</v>
      </c>
      <c r="H1213" s="4">
        <v>165490</v>
      </c>
      <c r="I1213" cm="1">
        <f t="array" ref="I1213">_xlfn.IFS(B1213=2015,H1213/$O$10,B1213=2016,H1213/$O$11,B1213=2017,H1213/$O$12,B1213=2018,H1213/$O$13,B1213=2019,H1213/$O$14,B1213=2020,H1213/$O$15,B1213=2021,H1213/$O$16,B1213=2022,H1213/$O$17)</f>
        <v>2.9890089216561056E-3</v>
      </c>
      <c r="J1213" s="6" cm="1">
        <f t="array" ref="J1213">_xlfn.IFS(B1213=2015,I1213*$Q$1,B1213=2016,I1213*$Q$2,B1213=2017,I1213*$Q$3,B1213=2018,I1213*$Q$4,B1213=2019,I1213*$Q$5,B1213=2020,I1213*$Q$6,B1213=2021,I1213*$Q$7,B1213=2022,I1213*$Q$8)</f>
        <v>83209.025701033577</v>
      </c>
      <c r="K1213" s="7">
        <f t="shared" si="38"/>
        <v>248699.02570103359</v>
      </c>
      <c r="L1213">
        <f>IFERROR(VLOOKUP(G1213,'LEAID Match'!$A$2:$B$168,2,FALSE),"")</f>
        <v>4654270</v>
      </c>
    </row>
    <row r="1214" spans="1:12" x14ac:dyDescent="0.2">
      <c r="A1214">
        <f t="shared" si="37"/>
        <v>4654270</v>
      </c>
      <c r="B1214">
        <v>2022</v>
      </c>
      <c r="C1214" t="s">
        <v>208</v>
      </c>
      <c r="D1214" t="s">
        <v>212</v>
      </c>
      <c r="E1214" t="s">
        <v>211</v>
      </c>
      <c r="F1214" s="3">
        <v>961100</v>
      </c>
      <c r="G1214" s="3" t="s">
        <v>114</v>
      </c>
      <c r="H1214" s="4">
        <v>165856</v>
      </c>
      <c r="I1214" cm="1">
        <f t="array" ref="I1214">_xlfn.IFS(B1214=2015,H1214/$O$10,B1214=2016,H1214/$O$11,B1214=2017,H1214/$O$12,B1214=2018,H1214/$O$13,B1214=2019,H1214/$O$14,B1214=2020,H1214/$O$15,B1214=2021,H1214/$O$16,B1214=2022,H1214/$O$17)</f>
        <v>2.8723907304853179E-3</v>
      </c>
      <c r="J1214" s="6" cm="1">
        <f t="array" ref="J1214">_xlfn.IFS(B1214=2015,I1214*$Q$1,B1214=2016,I1214*$Q$2,B1214=2017,I1214*$Q$3,B1214=2018,I1214*$Q$4,B1214=2019,I1214*$Q$5,B1214=2020,I1214*$Q$6,B1214=2021,I1214*$Q$7,B1214=2022,I1214*$Q$8)</f>
        <v>84614.731029537055</v>
      </c>
      <c r="K1214" s="7">
        <f t="shared" si="38"/>
        <v>250470.73102953704</v>
      </c>
      <c r="L1214">
        <f>IFERROR(VLOOKUP(G1214,'LEAID Match'!$A$2:$B$168,2,FALSE),"")</f>
        <v>4654270</v>
      </c>
    </row>
    <row r="1215" spans="1:12" x14ac:dyDescent="0.2">
      <c r="A1215">
        <f t="shared" si="37"/>
        <v>4611760</v>
      </c>
      <c r="B1215">
        <v>2015</v>
      </c>
      <c r="C1215" t="s">
        <v>208</v>
      </c>
      <c r="D1215" t="s">
        <v>212</v>
      </c>
      <c r="E1215" t="s">
        <v>211</v>
      </c>
      <c r="F1215" s="3">
        <v>961101</v>
      </c>
      <c r="G1215" s="3" t="s">
        <v>23</v>
      </c>
      <c r="H1215" s="4">
        <v>57508</v>
      </c>
      <c r="I1215" cm="1">
        <f t="array" ref="I1215">_xlfn.IFS(B1215=2015,H1215/$O$10,B1215=2016,H1215/$O$11,B1215=2017,H1215/$O$12,B1215=2018,H1215/$O$13,B1215=2019,H1215/$O$14,B1215=2020,H1215/$O$15,B1215=2021,H1215/$O$16,B1215=2022,H1215/$O$17)</f>
        <v>1.3451289959480292E-3</v>
      </c>
      <c r="J1215" s="6" cm="1">
        <f t="array" ref="J1215">_xlfn.IFS(B1215=2015,I1215*$Q$1,B1215=2016,I1215*$Q$2,B1215=2017,I1215*$Q$3,B1215=2018,I1215*$Q$4,B1215=2019,I1215*$Q$5,B1215=2020,I1215*$Q$6,B1215=2021,I1215*$Q$7,B1215=2022,I1215*$Q$8)</f>
        <v>33079.620763348306</v>
      </c>
      <c r="K1215" s="7">
        <f t="shared" si="38"/>
        <v>90587.620763348299</v>
      </c>
      <c r="L1215">
        <f>IFERROR(VLOOKUP(G1215,'LEAID Match'!$A$2:$B$168,2,FALSE),"")</f>
        <v>4611760</v>
      </c>
    </row>
    <row r="1216" spans="1:12" x14ac:dyDescent="0.2">
      <c r="A1216">
        <f t="shared" si="37"/>
        <v>4611760</v>
      </c>
      <c r="B1216">
        <v>2016</v>
      </c>
      <c r="C1216" t="s">
        <v>208</v>
      </c>
      <c r="D1216" t="s">
        <v>212</v>
      </c>
      <c r="E1216" t="s">
        <v>211</v>
      </c>
      <c r="F1216" s="3">
        <v>961101</v>
      </c>
      <c r="G1216" s="3" t="s">
        <v>23</v>
      </c>
      <c r="H1216" s="4">
        <v>57281</v>
      </c>
      <c r="I1216" cm="1">
        <f t="array" ref="I1216">_xlfn.IFS(B1216=2015,H1216/$O$10,B1216=2016,H1216/$O$11,B1216=2017,H1216/$O$12,B1216=2018,H1216/$O$13,B1216=2019,H1216/$O$14,B1216=2020,H1216/$O$15,B1216=2021,H1216/$O$16,B1216=2022,H1216/$O$17)</f>
        <v>1.2992511177435976E-3</v>
      </c>
      <c r="J1216" s="6" cm="1">
        <f t="array" ref="J1216">_xlfn.IFS(B1216=2015,I1216*$Q$1,B1216=2016,I1216*$Q$2,B1216=2017,I1216*$Q$3,B1216=2018,I1216*$Q$4,B1216=2019,I1216*$Q$5,B1216=2020,I1216*$Q$6,B1216=2021,I1216*$Q$7,B1216=2022,I1216*$Q$8)</f>
        <v>33008.520543425882</v>
      </c>
      <c r="K1216" s="7">
        <f t="shared" si="38"/>
        <v>90289.520543425882</v>
      </c>
      <c r="L1216">
        <f>IFERROR(VLOOKUP(G1216,'LEAID Match'!$A$2:$B$168,2,FALSE),"")</f>
        <v>4611760</v>
      </c>
    </row>
    <row r="1217" spans="1:12" x14ac:dyDescent="0.2">
      <c r="A1217">
        <f t="shared" si="37"/>
        <v>4611760</v>
      </c>
      <c r="B1217">
        <v>2017</v>
      </c>
      <c r="C1217" t="s">
        <v>208</v>
      </c>
      <c r="D1217" t="s">
        <v>212</v>
      </c>
      <c r="E1217" t="s">
        <v>211</v>
      </c>
      <c r="F1217" s="3">
        <v>961101</v>
      </c>
      <c r="G1217" s="3" t="s">
        <v>23</v>
      </c>
      <c r="H1217" s="4">
        <v>83880</v>
      </c>
      <c r="I1217" cm="1">
        <f t="array" ref="I1217">_xlfn.IFS(B1217=2015,H1217/$O$10,B1217=2016,H1217/$O$11,B1217=2017,H1217/$O$12,B1217=2018,H1217/$O$13,B1217=2019,H1217/$O$14,B1217=2020,H1217/$O$15,B1217=2021,H1217/$O$16,B1217=2022,H1217/$O$17)</f>
        <v>1.7318527822726987E-3</v>
      </c>
      <c r="J1217" s="6" cm="1">
        <f t="array" ref="J1217">_xlfn.IFS(B1217=2015,I1217*$Q$1,B1217=2016,I1217*$Q$2,B1217=2017,I1217*$Q$3,B1217=2018,I1217*$Q$4,B1217=2019,I1217*$Q$5,B1217=2020,I1217*$Q$6,B1217=2021,I1217*$Q$7,B1217=2022,I1217*$Q$8)</f>
        <v>45557.312247069072</v>
      </c>
      <c r="K1217" s="7">
        <f t="shared" si="38"/>
        <v>129437.31224706907</v>
      </c>
      <c r="L1217">
        <f>IFERROR(VLOOKUP(G1217,'LEAID Match'!$A$2:$B$168,2,FALSE),"")</f>
        <v>4611760</v>
      </c>
    </row>
    <row r="1218" spans="1:12" x14ac:dyDescent="0.2">
      <c r="A1218">
        <f t="shared" si="37"/>
        <v>4611760</v>
      </c>
      <c r="B1218">
        <v>2018</v>
      </c>
      <c r="C1218" t="s">
        <v>208</v>
      </c>
      <c r="D1218" t="s">
        <v>212</v>
      </c>
      <c r="E1218" t="s">
        <v>211</v>
      </c>
      <c r="F1218" s="3">
        <v>961101</v>
      </c>
      <c r="G1218" s="3" t="s">
        <v>23</v>
      </c>
      <c r="H1218" s="4">
        <v>89698</v>
      </c>
      <c r="I1218" cm="1">
        <f t="array" ref="I1218">_xlfn.IFS(B1218=2015,H1218/$O$10,B1218=2016,H1218/$O$11,B1218=2017,H1218/$O$12,B1218=2018,H1218/$O$13,B1218=2019,H1218/$O$14,B1218=2020,H1218/$O$15,B1218=2021,H1218/$O$16,B1218=2022,H1218/$O$17)</f>
        <v>1.7888117282935021E-3</v>
      </c>
      <c r="J1218" s="6" cm="1">
        <f t="array" ref="J1218">_xlfn.IFS(B1218=2015,I1218*$Q$1,B1218=2016,I1218*$Q$2,B1218=2017,I1218*$Q$3,B1218=2018,I1218*$Q$4,B1218=2019,I1218*$Q$5,B1218=2020,I1218*$Q$6,B1218=2021,I1218*$Q$7,B1218=2022,I1218*$Q$8)</f>
        <v>46966.699075034085</v>
      </c>
      <c r="K1218" s="7">
        <f t="shared" si="38"/>
        <v>136664.69907503409</v>
      </c>
      <c r="L1218">
        <f>IFERROR(VLOOKUP(G1218,'LEAID Match'!$A$2:$B$168,2,FALSE),"")</f>
        <v>4611760</v>
      </c>
    </row>
    <row r="1219" spans="1:12" x14ac:dyDescent="0.2">
      <c r="A1219">
        <f t="shared" ref="A1219:A1282" si="39">L1219</f>
        <v>4611760</v>
      </c>
      <c r="B1219">
        <v>2019</v>
      </c>
      <c r="C1219" t="s">
        <v>208</v>
      </c>
      <c r="D1219" t="s">
        <v>212</v>
      </c>
      <c r="E1219" t="s">
        <v>211</v>
      </c>
      <c r="F1219" s="3">
        <v>961101</v>
      </c>
      <c r="G1219" s="3" t="s">
        <v>23</v>
      </c>
      <c r="H1219" s="4">
        <v>92372</v>
      </c>
      <c r="I1219" cm="1">
        <f t="array" ref="I1219">_xlfn.IFS(B1219=2015,H1219/$O$10,B1219=2016,H1219/$O$11,B1219=2017,H1219/$O$12,B1219=2018,H1219/$O$13,B1219=2019,H1219/$O$14,B1219=2020,H1219/$O$15,B1219=2021,H1219/$O$16,B1219=2022,H1219/$O$17)</f>
        <v>1.8090623699770696E-3</v>
      </c>
      <c r="J1219" s="6" cm="1">
        <f t="array" ref="J1219">_xlfn.IFS(B1219=2015,I1219*$Q$1,B1219=2016,I1219*$Q$2,B1219=2017,I1219*$Q$3,B1219=2018,I1219*$Q$4,B1219=2019,I1219*$Q$5,B1219=2020,I1219*$Q$6,B1219=2021,I1219*$Q$7,B1219=2022,I1219*$Q$8)</f>
        <v>47845.095622161898</v>
      </c>
      <c r="K1219" s="7">
        <f t="shared" ref="K1219:K1282" si="40">SUM(J1219,H1219)</f>
        <v>140217.0956221619</v>
      </c>
      <c r="L1219">
        <f>IFERROR(VLOOKUP(G1219,'LEAID Match'!$A$2:$B$168,2,FALSE),"")</f>
        <v>4611760</v>
      </c>
    </row>
    <row r="1220" spans="1:12" x14ac:dyDescent="0.2">
      <c r="A1220">
        <f t="shared" si="39"/>
        <v>4611760</v>
      </c>
      <c r="B1220">
        <v>2020</v>
      </c>
      <c r="C1220" t="s">
        <v>208</v>
      </c>
      <c r="D1220" t="s">
        <v>212</v>
      </c>
      <c r="E1220" t="s">
        <v>211</v>
      </c>
      <c r="F1220" s="1">
        <v>961101</v>
      </c>
      <c r="G1220" s="3" t="s">
        <v>23</v>
      </c>
      <c r="H1220" s="2">
        <v>96761</v>
      </c>
      <c r="I1220" cm="1">
        <f t="array" ref="I1220">_xlfn.IFS(B1220=2015,H1220/$O$10,B1220=2016,H1220/$O$11,B1220=2017,H1220/$O$12,B1220=2018,H1220/$O$13,B1220=2019,H1220/$O$14,B1220=2020,H1220/$O$15,B1220=2021,H1220/$O$16,B1220=2022,H1220/$O$17)</f>
        <v>1.8326320437893771E-3</v>
      </c>
      <c r="J1220" s="6" cm="1">
        <f t="array" ref="J1220">_xlfn.IFS(B1220=2015,I1220*$Q$1,B1220=2016,I1220*$Q$2,B1220=2017,I1220*$Q$3,B1220=2018,I1220*$Q$4,B1220=2019,I1220*$Q$5,B1220=2020,I1220*$Q$6,B1220=2021,I1220*$Q$7,B1220=2022,I1220*$Q$8)</f>
        <v>49829.688608635282</v>
      </c>
      <c r="K1220" s="7">
        <f t="shared" si="40"/>
        <v>146590.68860863528</v>
      </c>
      <c r="L1220">
        <f>IFERROR(VLOOKUP(G1220,'LEAID Match'!$A$2:$B$168,2,FALSE),"")</f>
        <v>4611760</v>
      </c>
    </row>
    <row r="1221" spans="1:12" x14ac:dyDescent="0.2">
      <c r="A1221">
        <f t="shared" si="39"/>
        <v>4611760</v>
      </c>
      <c r="B1221">
        <v>2021</v>
      </c>
      <c r="C1221" t="s">
        <v>208</v>
      </c>
      <c r="D1221" t="s">
        <v>212</v>
      </c>
      <c r="E1221" t="s">
        <v>211</v>
      </c>
      <c r="F1221" s="3">
        <v>961101</v>
      </c>
      <c r="G1221" s="3" t="s">
        <v>23</v>
      </c>
      <c r="H1221" s="4">
        <v>97272</v>
      </c>
      <c r="I1221" cm="1">
        <f t="array" ref="I1221">_xlfn.IFS(B1221=2015,H1221/$O$10,B1221=2016,H1221/$O$11,B1221=2017,H1221/$O$12,B1221=2018,H1221/$O$13,B1221=2019,H1221/$O$14,B1221=2020,H1221/$O$15,B1221=2021,H1221/$O$16,B1221=2022,H1221/$O$17)</f>
        <v>1.7568848620903542E-3</v>
      </c>
      <c r="J1221" s="6" cm="1">
        <f t="array" ref="J1221">_xlfn.IFS(B1221=2015,I1221*$Q$1,B1221=2016,I1221*$Q$2,B1221=2017,I1221*$Q$3,B1221=2018,I1221*$Q$4,B1221=2019,I1221*$Q$5,B1221=2020,I1221*$Q$6,B1221=2021,I1221*$Q$7,B1221=2022,I1221*$Q$8)</f>
        <v>48908.745833530353</v>
      </c>
      <c r="K1221" s="7">
        <f t="shared" si="40"/>
        <v>146180.74583353035</v>
      </c>
      <c r="L1221">
        <f>IFERROR(VLOOKUP(G1221,'LEAID Match'!$A$2:$B$168,2,FALSE),"")</f>
        <v>4611760</v>
      </c>
    </row>
    <row r="1222" spans="1:12" x14ac:dyDescent="0.2">
      <c r="A1222">
        <f t="shared" si="39"/>
        <v>4611760</v>
      </c>
      <c r="B1222">
        <v>2022</v>
      </c>
      <c r="C1222" t="s">
        <v>208</v>
      </c>
      <c r="D1222" t="s">
        <v>212</v>
      </c>
      <c r="E1222" t="s">
        <v>211</v>
      </c>
      <c r="F1222" s="3">
        <v>961101</v>
      </c>
      <c r="G1222" s="3" t="s">
        <v>23</v>
      </c>
      <c r="H1222" s="4">
        <v>97840</v>
      </c>
      <c r="I1222" cm="1">
        <f t="array" ref="I1222">_xlfn.IFS(B1222=2015,H1222/$O$10,B1222=2016,H1222/$O$11,B1222=2017,H1222/$O$12,B1222=2018,H1222/$O$13,B1222=2019,H1222/$O$14,B1222=2020,H1222/$O$15,B1222=2021,H1222/$O$16,B1222=2022,H1222/$O$17)</f>
        <v>1.694450059513575E-3</v>
      </c>
      <c r="J1222" s="6" cm="1">
        <f t="array" ref="J1222">_xlfn.IFS(B1222=2015,I1222*$Q$1,B1222=2016,I1222*$Q$2,B1222=2017,I1222*$Q$3,B1222=2018,I1222*$Q$4,B1222=2019,I1222*$Q$5,B1222=2020,I1222*$Q$6,B1222=2021,I1222*$Q$7,B1222=2022,I1222*$Q$8)</f>
        <v>49915.018352847677</v>
      </c>
      <c r="K1222" s="7">
        <f t="shared" si="40"/>
        <v>147755.01835284766</v>
      </c>
      <c r="L1222">
        <f>IFERROR(VLOOKUP(G1222,'LEAID Match'!$A$2:$B$168,2,FALSE),"")</f>
        <v>4611760</v>
      </c>
    </row>
    <row r="1223" spans="1:12" x14ac:dyDescent="0.2">
      <c r="A1223">
        <f t="shared" si="39"/>
        <v>4645450</v>
      </c>
      <c r="B1223">
        <v>2015</v>
      </c>
      <c r="C1223" t="s">
        <v>208</v>
      </c>
      <c r="D1223" t="s">
        <v>212</v>
      </c>
      <c r="E1223" t="s">
        <v>211</v>
      </c>
      <c r="F1223" s="3">
        <v>961102</v>
      </c>
      <c r="G1223" s="3" t="s">
        <v>91</v>
      </c>
      <c r="H1223" s="4">
        <v>67688</v>
      </c>
      <c r="I1223" cm="1">
        <f t="array" ref="I1223">_xlfn.IFS(B1223=2015,H1223/$O$10,B1223=2016,H1223/$O$11,B1223=2017,H1223/$O$12,B1223=2018,H1223/$O$13,B1223=2019,H1223/$O$14,B1223=2020,H1223/$O$15,B1223=2021,H1223/$O$16,B1223=2022,H1223/$O$17)</f>
        <v>1.5832421833089346E-3</v>
      </c>
      <c r="J1223" s="6" cm="1">
        <f t="array" ref="J1223">_xlfn.IFS(B1223=2015,I1223*$Q$1,B1223=2016,I1223*$Q$2,B1223=2017,I1223*$Q$3,B1223=2018,I1223*$Q$4,B1223=2019,I1223*$Q$5,B1223=2020,I1223*$Q$6,B1223=2021,I1223*$Q$7,B1223=2022,I1223*$Q$8)</f>
        <v>38935.33717447173</v>
      </c>
      <c r="K1223" s="7">
        <f t="shared" si="40"/>
        <v>106623.33717447173</v>
      </c>
      <c r="L1223">
        <f>IFERROR(VLOOKUP(G1223,'LEAID Match'!$A$2:$B$168,2,FALSE),"")</f>
        <v>4645450</v>
      </c>
    </row>
    <row r="1224" spans="1:12" x14ac:dyDescent="0.2">
      <c r="A1224">
        <f t="shared" si="39"/>
        <v>4645450</v>
      </c>
      <c r="B1224">
        <v>2016</v>
      </c>
      <c r="C1224" t="s">
        <v>208</v>
      </c>
      <c r="D1224" t="s">
        <v>212</v>
      </c>
      <c r="E1224" t="s">
        <v>211</v>
      </c>
      <c r="F1224" s="3">
        <v>961102</v>
      </c>
      <c r="G1224" s="3" t="s">
        <v>91</v>
      </c>
      <c r="H1224" s="4">
        <v>69592</v>
      </c>
      <c r="I1224" cm="1">
        <f t="array" ref="I1224">_xlfn.IFS(B1224=2015,H1224/$O$10,B1224=2016,H1224/$O$11,B1224=2017,H1224/$O$12,B1224=2018,H1224/$O$13,B1224=2019,H1224/$O$14,B1224=2020,H1224/$O$15,B1224=2021,H1224/$O$16,B1224=2022,H1224/$O$17)</f>
        <v>1.5784899667605741E-3</v>
      </c>
      <c r="J1224" s="6" cm="1">
        <f t="array" ref="J1224">_xlfn.IFS(B1224=2015,I1224*$Q$1,B1224=2016,I1224*$Q$2,B1224=2017,I1224*$Q$3,B1224=2018,I1224*$Q$4,B1224=2019,I1224*$Q$5,B1224=2020,I1224*$Q$6,B1224=2021,I1224*$Q$7,B1224=2022,I1224*$Q$8)</f>
        <v>40102.808289975626</v>
      </c>
      <c r="K1224" s="7">
        <f t="shared" si="40"/>
        <v>109694.80828997563</v>
      </c>
      <c r="L1224">
        <f>IFERROR(VLOOKUP(G1224,'LEAID Match'!$A$2:$B$168,2,FALSE),"")</f>
        <v>4645450</v>
      </c>
    </row>
    <row r="1225" spans="1:12" x14ac:dyDescent="0.2">
      <c r="A1225">
        <f t="shared" si="39"/>
        <v>4645450</v>
      </c>
      <c r="B1225">
        <v>2017</v>
      </c>
      <c r="C1225" t="s">
        <v>208</v>
      </c>
      <c r="D1225" t="s">
        <v>212</v>
      </c>
      <c r="E1225" t="s">
        <v>211</v>
      </c>
      <c r="F1225" s="3">
        <v>961102</v>
      </c>
      <c r="G1225" s="3" t="s">
        <v>91</v>
      </c>
      <c r="H1225" s="4">
        <v>79914</v>
      </c>
      <c r="I1225" cm="1">
        <f t="array" ref="I1225">_xlfn.IFS(B1225=2015,H1225/$O$10,B1225=2016,H1225/$O$11,B1225=2017,H1225/$O$12,B1225=2018,H1225/$O$13,B1225=2019,H1225/$O$14,B1225=2020,H1225/$O$15,B1225=2021,H1225/$O$16,B1225=2022,H1225/$O$17)</f>
        <v>1.6499676113798337E-3</v>
      </c>
      <c r="J1225" s="6" cm="1">
        <f t="array" ref="J1225">_xlfn.IFS(B1225=2015,I1225*$Q$1,B1225=2016,I1225*$Q$2,B1225=2017,I1225*$Q$3,B1225=2018,I1225*$Q$4,B1225=2019,I1225*$Q$5,B1225=2020,I1225*$Q$6,B1225=2021,I1225*$Q$7,B1225=2022,I1225*$Q$8)</f>
        <v>43403.279100051004</v>
      </c>
      <c r="K1225" s="7">
        <f t="shared" si="40"/>
        <v>123317.279100051</v>
      </c>
      <c r="L1225">
        <f>IFERROR(VLOOKUP(G1225,'LEAID Match'!$A$2:$B$168,2,FALSE),"")</f>
        <v>4645450</v>
      </c>
    </row>
    <row r="1226" spans="1:12" x14ac:dyDescent="0.2">
      <c r="A1226">
        <f t="shared" si="39"/>
        <v>4645450</v>
      </c>
      <c r="B1226">
        <v>2018</v>
      </c>
      <c r="C1226" t="s">
        <v>208</v>
      </c>
      <c r="D1226" t="s">
        <v>212</v>
      </c>
      <c r="E1226" t="s">
        <v>211</v>
      </c>
      <c r="F1226" s="3">
        <v>961102</v>
      </c>
      <c r="G1226" s="3" t="s">
        <v>91</v>
      </c>
      <c r="H1226" s="4">
        <v>82289</v>
      </c>
      <c r="I1226" cm="1">
        <f t="array" ref="I1226">_xlfn.IFS(B1226=2015,H1226/$O$10,B1226=2016,H1226/$O$11,B1226=2017,H1226/$O$12,B1226=2018,H1226/$O$13,B1226=2019,H1226/$O$14,B1226=2020,H1226/$O$15,B1226=2021,H1226/$O$16,B1226=2022,H1226/$O$17)</f>
        <v>1.6410569723911792E-3</v>
      </c>
      <c r="J1226" s="6" cm="1">
        <f t="array" ref="J1226">_xlfn.IFS(B1226=2015,I1226*$Q$1,B1226=2016,I1226*$Q$2,B1226=2017,I1226*$Q$3,B1226=2018,I1226*$Q$4,B1226=2019,I1226*$Q$5,B1226=2020,I1226*$Q$6,B1226=2021,I1226*$Q$7,B1226=2022,I1226*$Q$8)</f>
        <v>43087.278425221077</v>
      </c>
      <c r="K1226" s="7">
        <f t="shared" si="40"/>
        <v>125376.27842522107</v>
      </c>
      <c r="L1226">
        <f>IFERROR(VLOOKUP(G1226,'LEAID Match'!$A$2:$B$168,2,FALSE),"")</f>
        <v>4645450</v>
      </c>
    </row>
    <row r="1227" spans="1:12" x14ac:dyDescent="0.2">
      <c r="A1227">
        <f t="shared" si="39"/>
        <v>4645450</v>
      </c>
      <c r="B1227">
        <v>2019</v>
      </c>
      <c r="C1227" t="s">
        <v>208</v>
      </c>
      <c r="D1227" t="s">
        <v>212</v>
      </c>
      <c r="E1227" t="s">
        <v>211</v>
      </c>
      <c r="F1227" s="3">
        <v>961102</v>
      </c>
      <c r="G1227" s="3" t="s">
        <v>91</v>
      </c>
      <c r="H1227" s="4">
        <v>87289</v>
      </c>
      <c r="I1227" cm="1">
        <f t="array" ref="I1227">_xlfn.IFS(B1227=2015,H1227/$O$10,B1227=2016,H1227/$O$11,B1227=2017,H1227/$O$12,B1227=2018,H1227/$O$13,B1227=2019,H1227/$O$14,B1227=2020,H1227/$O$15,B1227=2021,H1227/$O$16,B1227=2022,H1227/$O$17)</f>
        <v>1.7095141949175986E-3</v>
      </c>
      <c r="J1227" s="6" cm="1">
        <f t="array" ref="J1227">_xlfn.IFS(B1227=2015,I1227*$Q$1,B1227=2016,I1227*$Q$2,B1227=2017,I1227*$Q$3,B1227=2018,I1227*$Q$4,B1227=2019,I1227*$Q$5,B1227=2020,I1227*$Q$6,B1227=2021,I1227*$Q$7,B1227=2022,I1227*$Q$8)</f>
        <v>45212.299741944422</v>
      </c>
      <c r="K1227" s="7">
        <f t="shared" si="40"/>
        <v>132501.29974194441</v>
      </c>
      <c r="L1227">
        <f>IFERROR(VLOOKUP(G1227,'LEAID Match'!$A$2:$B$168,2,FALSE),"")</f>
        <v>4645450</v>
      </c>
    </row>
    <row r="1228" spans="1:12" x14ac:dyDescent="0.2">
      <c r="A1228">
        <f t="shared" si="39"/>
        <v>4645450</v>
      </c>
      <c r="B1228">
        <v>2020</v>
      </c>
      <c r="C1228" t="s">
        <v>208</v>
      </c>
      <c r="D1228" t="s">
        <v>212</v>
      </c>
      <c r="E1228" t="s">
        <v>211</v>
      </c>
      <c r="F1228" s="1">
        <v>961102</v>
      </c>
      <c r="G1228" s="3" t="s">
        <v>91</v>
      </c>
      <c r="H1228" s="2">
        <v>93057</v>
      </c>
      <c r="I1228" cm="1">
        <f t="array" ref="I1228">_xlfn.IFS(B1228=2015,H1228/$O$10,B1228=2016,H1228/$O$11,B1228=2017,H1228/$O$12,B1228=2018,H1228/$O$13,B1228=2019,H1228/$O$14,B1228=2020,H1228/$O$15,B1228=2021,H1228/$O$16,B1228=2022,H1228/$O$17)</f>
        <v>1.7624790990058814E-3</v>
      </c>
      <c r="J1228" s="6" cm="1">
        <f t="array" ref="J1228">_xlfn.IFS(B1228=2015,I1228*$Q$1,B1228=2016,I1228*$Q$2,B1228=2017,I1228*$Q$3,B1228=2018,I1228*$Q$4,B1228=2019,I1228*$Q$5,B1228=2020,I1228*$Q$6,B1228=2021,I1228*$Q$7,B1228=2022,I1228*$Q$8)</f>
        <v>47922.213834641785</v>
      </c>
      <c r="K1228" s="7">
        <f t="shared" si="40"/>
        <v>140979.21383464179</v>
      </c>
      <c r="L1228">
        <f>IFERROR(VLOOKUP(G1228,'LEAID Match'!$A$2:$B$168,2,FALSE),"")</f>
        <v>4645450</v>
      </c>
    </row>
    <row r="1229" spans="1:12" x14ac:dyDescent="0.2">
      <c r="A1229">
        <f t="shared" si="39"/>
        <v>4645450</v>
      </c>
      <c r="B1229">
        <v>2021</v>
      </c>
      <c r="C1229" t="s">
        <v>208</v>
      </c>
      <c r="D1229" t="s">
        <v>212</v>
      </c>
      <c r="E1229" t="s">
        <v>211</v>
      </c>
      <c r="F1229" s="3">
        <v>961102</v>
      </c>
      <c r="G1229" s="3" t="s">
        <v>91</v>
      </c>
      <c r="H1229" s="4">
        <v>93230</v>
      </c>
      <c r="I1229" cm="1">
        <f t="array" ref="I1229">_xlfn.IFS(B1229=2015,H1229/$O$10,B1229=2016,H1229/$O$11,B1229=2017,H1229/$O$12,B1229=2018,H1229/$O$13,B1229=2019,H1229/$O$14,B1229=2020,H1229/$O$15,B1229=2021,H1229/$O$16,B1229=2022,H1229/$O$17)</f>
        <v>1.6838800034201385E-3</v>
      </c>
      <c r="J1229" s="6" cm="1">
        <f t="array" ref="J1229">_xlfn.IFS(B1229=2015,I1229*$Q$1,B1229=2016,I1229*$Q$2,B1229=2017,I1229*$Q$3,B1229=2018,I1229*$Q$4,B1229=2019,I1229*$Q$5,B1229=2020,I1229*$Q$6,B1229=2021,I1229*$Q$7,B1229=2022,I1229*$Q$8)</f>
        <v>46876.412267250955</v>
      </c>
      <c r="K1229" s="7">
        <f t="shared" si="40"/>
        <v>140106.41226725094</v>
      </c>
      <c r="L1229">
        <f>IFERROR(VLOOKUP(G1229,'LEAID Match'!$A$2:$B$168,2,FALSE),"")</f>
        <v>4645450</v>
      </c>
    </row>
    <row r="1230" spans="1:12" x14ac:dyDescent="0.2">
      <c r="A1230">
        <f t="shared" si="39"/>
        <v>4645450</v>
      </c>
      <c r="B1230">
        <v>2022</v>
      </c>
      <c r="C1230" t="s">
        <v>208</v>
      </c>
      <c r="D1230" t="s">
        <v>212</v>
      </c>
      <c r="E1230" t="s">
        <v>211</v>
      </c>
      <c r="F1230" s="3">
        <v>961102</v>
      </c>
      <c r="G1230" s="3" t="s">
        <v>91</v>
      </c>
      <c r="H1230" s="4">
        <v>93301</v>
      </c>
      <c r="I1230" cm="1">
        <f t="array" ref="I1230">_xlfn.IFS(B1230=2015,H1230/$O$10,B1230=2016,H1230/$O$11,B1230=2017,H1230/$O$12,B1230=2018,H1230/$O$13,B1230=2019,H1230/$O$14,B1230=2020,H1230/$O$15,B1230=2021,H1230/$O$16,B1230=2022,H1230/$O$17)</f>
        <v>1.6158410159717504E-3</v>
      </c>
      <c r="J1230" s="6" cm="1">
        <f t="array" ref="J1230">_xlfn.IFS(B1230=2015,I1230*$Q$1,B1230=2016,I1230*$Q$2,B1230=2017,I1230*$Q$3,B1230=2018,I1230*$Q$4,B1230=2019,I1230*$Q$5,B1230=2020,I1230*$Q$6,B1230=2021,I1230*$Q$7,B1230=2022,I1230*$Q$8)</f>
        <v>47599.357393080958</v>
      </c>
      <c r="K1230" s="7">
        <f t="shared" si="40"/>
        <v>140900.35739308095</v>
      </c>
      <c r="L1230">
        <f>IFERROR(VLOOKUP(G1230,'LEAID Match'!$A$2:$B$168,2,FALSE),"")</f>
        <v>4645450</v>
      </c>
    </row>
    <row r="1231" spans="1:12" x14ac:dyDescent="0.2">
      <c r="A1231">
        <f t="shared" si="39"/>
        <v>4616150</v>
      </c>
      <c r="B1231">
        <v>2015</v>
      </c>
      <c r="C1231" t="s">
        <v>208</v>
      </c>
      <c r="D1231" t="s">
        <v>212</v>
      </c>
      <c r="E1231" t="s">
        <v>211</v>
      </c>
      <c r="F1231" s="3">
        <v>961103</v>
      </c>
      <c r="G1231" s="3" t="s">
        <v>30</v>
      </c>
      <c r="H1231" s="4">
        <v>53947</v>
      </c>
      <c r="I1231" cm="1">
        <f t="array" ref="I1231">_xlfn.IFS(B1231=2015,H1231/$O$10,B1231=2016,H1231/$O$11,B1231=2017,H1231/$O$12,B1231=2018,H1231/$O$13,B1231=2019,H1231/$O$14,B1231=2020,H1231/$O$15,B1231=2021,H1231/$O$16,B1231=2022,H1231/$O$17)</f>
        <v>1.2618361609586203E-3</v>
      </c>
      <c r="J1231" s="6" cm="1">
        <f t="array" ref="J1231">_xlfn.IFS(B1231=2015,I1231*$Q$1,B1231=2016,I1231*$Q$2,B1231=2017,I1231*$Q$3,B1231=2018,I1231*$Q$4,B1231=2019,I1231*$Q$5,B1231=2020,I1231*$Q$6,B1231=2021,I1231*$Q$7,B1231=2022,I1231*$Q$8)</f>
        <v>31031.270454899339</v>
      </c>
      <c r="K1231" s="7">
        <f t="shared" si="40"/>
        <v>84978.270454899335</v>
      </c>
      <c r="L1231">
        <f>IFERROR(VLOOKUP(G1231,'LEAID Match'!$A$2:$B$168,2,FALSE),"")</f>
        <v>4616150</v>
      </c>
    </row>
    <row r="1232" spans="1:12" x14ac:dyDescent="0.2">
      <c r="A1232">
        <f t="shared" si="39"/>
        <v>4616150</v>
      </c>
      <c r="B1232">
        <v>2016</v>
      </c>
      <c r="C1232" t="s">
        <v>208</v>
      </c>
      <c r="D1232" t="s">
        <v>212</v>
      </c>
      <c r="E1232" t="s">
        <v>211</v>
      </c>
      <c r="F1232" s="3">
        <v>961103</v>
      </c>
      <c r="G1232" s="3" t="s">
        <v>30</v>
      </c>
      <c r="H1232" s="4">
        <v>54854</v>
      </c>
      <c r="I1232" cm="1">
        <f t="array" ref="I1232">_xlfn.IFS(B1232=2015,H1232/$O$10,B1232=2016,H1232/$O$11,B1232=2017,H1232/$O$12,B1232=2018,H1232/$O$13,B1232=2019,H1232/$O$14,B1232=2020,H1232/$O$15,B1232=2021,H1232/$O$16,B1232=2022,H1232/$O$17)</f>
        <v>1.2442017564760969E-3</v>
      </c>
      <c r="J1232" s="6" cm="1">
        <f t="array" ref="J1232">_xlfn.IFS(B1232=2015,I1232*$Q$1,B1232=2016,I1232*$Q$2,B1232=2017,I1232*$Q$3,B1232=2018,I1232*$Q$4,B1232=2019,I1232*$Q$5,B1232=2020,I1232*$Q$6,B1232=2021,I1232*$Q$7,B1232=2022,I1232*$Q$8)</f>
        <v>31609.947205689205</v>
      </c>
      <c r="K1232" s="7">
        <f t="shared" si="40"/>
        <v>86463.947205689212</v>
      </c>
      <c r="L1232">
        <f>IFERROR(VLOOKUP(G1232,'LEAID Match'!$A$2:$B$168,2,FALSE),"")</f>
        <v>4616150</v>
      </c>
    </row>
    <row r="1233" spans="1:12" x14ac:dyDescent="0.2">
      <c r="A1233">
        <f t="shared" si="39"/>
        <v>4616150</v>
      </c>
      <c r="B1233">
        <v>2017</v>
      </c>
      <c r="C1233" t="s">
        <v>208</v>
      </c>
      <c r="D1233" t="s">
        <v>212</v>
      </c>
      <c r="E1233" t="s">
        <v>211</v>
      </c>
      <c r="F1233" s="3">
        <v>961103</v>
      </c>
      <c r="G1233" s="3" t="s">
        <v>30</v>
      </c>
      <c r="H1233" s="4">
        <v>58952</v>
      </c>
      <c r="I1233" cm="1">
        <f t="array" ref="I1233">_xlfn.IFS(B1233=2015,H1233/$O$10,B1233=2016,H1233/$O$11,B1233=2017,H1233/$O$12,B1233=2018,H1233/$O$13,B1233=2019,H1233/$O$14,B1233=2020,H1233/$O$15,B1233=2021,H1233/$O$16,B1233=2022,H1233/$O$17)</f>
        <v>1.2171695901351948E-3</v>
      </c>
      <c r="J1233" s="6" cm="1">
        <f t="array" ref="J1233">_xlfn.IFS(B1233=2015,I1233*$Q$1,B1233=2016,I1233*$Q$2,B1233=2017,I1233*$Q$3,B1233=2018,I1233*$Q$4,B1233=2019,I1233*$Q$5,B1233=2020,I1233*$Q$6,B1233=2021,I1233*$Q$7,B1233=2022,I1233*$Q$8)</f>
        <v>32018.29603706743</v>
      </c>
      <c r="K1233" s="7">
        <f t="shared" si="40"/>
        <v>90970.296037067426</v>
      </c>
      <c r="L1233">
        <f>IFERROR(VLOOKUP(G1233,'LEAID Match'!$A$2:$B$168,2,FALSE),"")</f>
        <v>4616150</v>
      </c>
    </row>
    <row r="1234" spans="1:12" x14ac:dyDescent="0.2">
      <c r="A1234">
        <f t="shared" si="39"/>
        <v>4616150</v>
      </c>
      <c r="B1234">
        <v>2018</v>
      </c>
      <c r="C1234" t="s">
        <v>208</v>
      </c>
      <c r="D1234" t="s">
        <v>212</v>
      </c>
      <c r="E1234" t="s">
        <v>211</v>
      </c>
      <c r="F1234" s="3">
        <v>961103</v>
      </c>
      <c r="G1234" s="3" t="s">
        <v>30</v>
      </c>
      <c r="H1234" s="4">
        <v>52209</v>
      </c>
      <c r="I1234" cm="1">
        <f t="array" ref="I1234">_xlfn.IFS(B1234=2015,H1234/$O$10,B1234=2016,H1234/$O$11,B1234=2017,H1234/$O$12,B1234=2018,H1234/$O$13,B1234=2019,H1234/$O$14,B1234=2020,H1234/$O$15,B1234=2021,H1234/$O$16,B1234=2022,H1234/$O$17)</f>
        <v>1.0411834324341174E-3</v>
      </c>
      <c r="J1234" s="6" cm="1">
        <f t="array" ref="J1234">_xlfn.IFS(B1234=2015,I1234*$Q$1,B1234=2016,I1234*$Q$2,B1234=2017,I1234*$Q$3,B1234=2018,I1234*$Q$4,B1234=2019,I1234*$Q$5,B1234=2020,I1234*$Q$6,B1234=2021,I1234*$Q$7,B1234=2022,I1234*$Q$8)</f>
        <v>27337.113335954589</v>
      </c>
      <c r="K1234" s="7">
        <f t="shared" si="40"/>
        <v>79546.113335954593</v>
      </c>
      <c r="L1234">
        <f>IFERROR(VLOOKUP(G1234,'LEAID Match'!$A$2:$B$168,2,FALSE),"")</f>
        <v>4616150</v>
      </c>
    </row>
    <row r="1235" spans="1:12" x14ac:dyDescent="0.2">
      <c r="A1235">
        <f t="shared" si="39"/>
        <v>4616150</v>
      </c>
      <c r="B1235">
        <v>2019</v>
      </c>
      <c r="C1235" t="s">
        <v>208</v>
      </c>
      <c r="D1235" t="s">
        <v>212</v>
      </c>
      <c r="E1235" t="s">
        <v>211</v>
      </c>
      <c r="F1235" s="3">
        <v>961103</v>
      </c>
      <c r="G1235" s="3" t="s">
        <v>30</v>
      </c>
      <c r="H1235" s="4">
        <v>50613</v>
      </c>
      <c r="I1235" cm="1">
        <f t="array" ref="I1235">_xlfn.IFS(B1235=2015,H1235/$O$10,B1235=2016,H1235/$O$11,B1235=2017,H1235/$O$12,B1235=2018,H1235/$O$13,B1235=2019,H1235/$O$14,B1235=2020,H1235/$O$15,B1235=2021,H1235/$O$16,B1235=2022,H1235/$O$17)</f>
        <v>9.9123190719752107E-4</v>
      </c>
      <c r="J1235" s="6" cm="1">
        <f t="array" ref="J1235">_xlfn.IFS(B1235=2015,I1235*$Q$1,B1235=2016,I1235*$Q$2,B1235=2017,I1235*$Q$3,B1235=2018,I1235*$Q$4,B1235=2019,I1235*$Q$5,B1235=2020,I1235*$Q$6,B1235=2021,I1235*$Q$7,B1235=2022,I1235*$Q$8)</f>
        <v>26215.561260170616</v>
      </c>
      <c r="K1235" s="7">
        <f t="shared" si="40"/>
        <v>76828.561260170623</v>
      </c>
      <c r="L1235">
        <f>IFERROR(VLOOKUP(G1235,'LEAID Match'!$A$2:$B$168,2,FALSE),"")</f>
        <v>4616150</v>
      </c>
    </row>
    <row r="1236" spans="1:12" x14ac:dyDescent="0.2">
      <c r="A1236">
        <f t="shared" si="39"/>
        <v>4616150</v>
      </c>
      <c r="B1236">
        <v>2020</v>
      </c>
      <c r="C1236" t="s">
        <v>208</v>
      </c>
      <c r="D1236" t="s">
        <v>212</v>
      </c>
      <c r="E1236" t="s">
        <v>211</v>
      </c>
      <c r="F1236" s="1">
        <v>961103</v>
      </c>
      <c r="G1236" s="3" t="s">
        <v>30</v>
      </c>
      <c r="H1236" s="2">
        <v>50695</v>
      </c>
      <c r="I1236" cm="1">
        <f t="array" ref="I1236">_xlfn.IFS(B1236=2015,H1236/$O$10,B1236=2016,H1236/$O$11,B1236=2017,H1236/$O$12,B1236=2018,H1236/$O$13,B1236=2019,H1236/$O$14,B1236=2020,H1236/$O$15,B1236=2021,H1236/$O$16,B1236=2022,H1236/$O$17)</f>
        <v>9.6015214249441897E-4</v>
      </c>
      <c r="J1236" s="6" cm="1">
        <f t="array" ref="J1236">_xlfn.IFS(B1236=2015,I1236*$Q$1,B1236=2016,I1236*$Q$2,B1236=2017,I1236*$Q$3,B1236=2018,I1236*$Q$4,B1236=2019,I1236*$Q$5,B1236=2020,I1236*$Q$6,B1236=2021,I1236*$Q$7,B1236=2022,I1236*$Q$8)</f>
        <v>26106.758549568167</v>
      </c>
      <c r="K1236" s="7">
        <f t="shared" si="40"/>
        <v>76801.758549568171</v>
      </c>
      <c r="L1236">
        <f>IFERROR(VLOOKUP(G1236,'LEAID Match'!$A$2:$B$168,2,FALSE),"")</f>
        <v>4616150</v>
      </c>
    </row>
    <row r="1237" spans="1:12" x14ac:dyDescent="0.2">
      <c r="A1237">
        <f t="shared" si="39"/>
        <v>4616150</v>
      </c>
      <c r="B1237">
        <v>2021</v>
      </c>
      <c r="C1237" t="s">
        <v>208</v>
      </c>
      <c r="D1237" t="s">
        <v>212</v>
      </c>
      <c r="E1237" t="s">
        <v>211</v>
      </c>
      <c r="F1237" s="3">
        <v>961103</v>
      </c>
      <c r="G1237" s="3" t="s">
        <v>30</v>
      </c>
      <c r="H1237" s="4">
        <v>51447</v>
      </c>
      <c r="I1237" cm="1">
        <f t="array" ref="I1237">_xlfn.IFS(B1237=2015,H1237/$O$10,B1237=2016,H1237/$O$11,B1237=2017,H1237/$O$12,B1237=2018,H1237/$O$13,B1237=2019,H1237/$O$14,B1237=2020,H1237/$O$15,B1237=2021,H1237/$O$16,B1237=2022,H1237/$O$17)</f>
        <v>9.2921349925942148E-4</v>
      </c>
      <c r="J1237" s="6" cm="1">
        <f t="array" ref="J1237">_xlfn.IFS(B1237=2015,I1237*$Q$1,B1237=2016,I1237*$Q$2,B1237=2017,I1237*$Q$3,B1237=2018,I1237*$Q$4,B1237=2019,I1237*$Q$5,B1237=2020,I1237*$Q$6,B1237=2021,I1237*$Q$7,B1237=2022,I1237*$Q$8)</f>
        <v>25867.754820479029</v>
      </c>
      <c r="K1237" s="7">
        <f t="shared" si="40"/>
        <v>77314.754820479022</v>
      </c>
      <c r="L1237">
        <f>IFERROR(VLOOKUP(G1237,'LEAID Match'!$A$2:$B$168,2,FALSE),"")</f>
        <v>4616150</v>
      </c>
    </row>
    <row r="1238" spans="1:12" x14ac:dyDescent="0.2">
      <c r="A1238">
        <f t="shared" si="39"/>
        <v>4616150</v>
      </c>
      <c r="B1238">
        <v>2022</v>
      </c>
      <c r="C1238" t="s">
        <v>208</v>
      </c>
      <c r="D1238" t="s">
        <v>212</v>
      </c>
      <c r="E1238" t="s">
        <v>211</v>
      </c>
      <c r="F1238" s="3">
        <v>961103</v>
      </c>
      <c r="G1238" s="3" t="s">
        <v>30</v>
      </c>
      <c r="H1238" s="4">
        <v>56579</v>
      </c>
      <c r="I1238" cm="1">
        <f t="array" ref="I1238">_xlfn.IFS(B1238=2015,H1238/$O$10,B1238=2016,H1238/$O$11,B1238=2017,H1238/$O$12,B1238=2018,H1238/$O$13,B1238=2019,H1238/$O$14,B1238=2020,H1238/$O$15,B1238=2021,H1238/$O$16,B1238=2022,H1238/$O$17)</f>
        <v>9.7986804903126088E-4</v>
      </c>
      <c r="J1238" s="6" cm="1">
        <f t="array" ref="J1238">_xlfn.IFS(B1238=2015,I1238*$Q$1,B1238=2016,I1238*$Q$2,B1238=2017,I1238*$Q$3,B1238=2018,I1238*$Q$4,B1238=2019,I1238*$Q$5,B1238=2020,I1238*$Q$6,B1238=2021,I1238*$Q$7,B1238=2022,I1238*$Q$8)</f>
        <v>28864.900075488236</v>
      </c>
      <c r="K1238" s="7">
        <f t="shared" si="40"/>
        <v>85443.900075488229</v>
      </c>
      <c r="L1238">
        <f>IFERROR(VLOOKUP(G1238,'LEAID Match'!$A$2:$B$168,2,FALSE),"")</f>
        <v>4616150</v>
      </c>
    </row>
    <row r="1239" spans="1:12" x14ac:dyDescent="0.2">
      <c r="A1239">
        <f t="shared" si="39"/>
        <v>4674520</v>
      </c>
      <c r="B1239">
        <v>2015</v>
      </c>
      <c r="C1239" t="s">
        <v>208</v>
      </c>
      <c r="D1239" t="s">
        <v>212</v>
      </c>
      <c r="E1239" t="s">
        <v>211</v>
      </c>
      <c r="F1239" s="3">
        <v>961104</v>
      </c>
      <c r="G1239" s="3" t="s">
        <v>188</v>
      </c>
      <c r="H1239" s="4">
        <v>84950</v>
      </c>
      <c r="I1239" cm="1">
        <f t="array" ref="I1239">_xlfn.IFS(B1239=2015,H1239/$O$10,B1239=2016,H1239/$O$11,B1239=2017,H1239/$O$12,B1239=2018,H1239/$O$13,B1239=2019,H1239/$O$14,B1239=2020,H1239/$O$15,B1239=2021,H1239/$O$16,B1239=2022,H1239/$O$17)</f>
        <v>1.9870054289105009E-3</v>
      </c>
      <c r="J1239" s="6" cm="1">
        <f t="array" ref="J1239">_xlfn.IFS(B1239=2015,I1239*$Q$1,B1239=2016,I1239*$Q$2,B1239=2017,I1239*$Q$3,B1239=2018,I1239*$Q$4,B1239=2019,I1239*$Q$5,B1239=2020,I1239*$Q$6,B1239=2021,I1239*$Q$7,B1239=2022,I1239*$Q$8)</f>
        <v>48864.74549360852</v>
      </c>
      <c r="K1239" s="7">
        <f t="shared" si="40"/>
        <v>133814.74549360853</v>
      </c>
      <c r="L1239">
        <f>IFERROR(VLOOKUP(G1239,'LEAID Match'!$A$2:$B$168,2,FALSE),"")</f>
        <v>4674520</v>
      </c>
    </row>
    <row r="1240" spans="1:12" x14ac:dyDescent="0.2">
      <c r="A1240">
        <f t="shared" si="39"/>
        <v>4674520</v>
      </c>
      <c r="B1240">
        <v>2016</v>
      </c>
      <c r="C1240" t="s">
        <v>208</v>
      </c>
      <c r="D1240" t="s">
        <v>212</v>
      </c>
      <c r="E1240" t="s">
        <v>211</v>
      </c>
      <c r="F1240" s="3">
        <v>961104</v>
      </c>
      <c r="G1240" s="3" t="s">
        <v>188</v>
      </c>
      <c r="H1240" s="4">
        <v>88250</v>
      </c>
      <c r="I1240" cm="1">
        <f t="array" ref="I1240">_xlfn.IFS(B1240=2015,H1240/$O$10,B1240=2016,H1240/$O$11,B1240=2017,H1240/$O$12,B1240=2018,H1240/$O$13,B1240=2019,H1240/$O$14,B1240=2020,H1240/$O$15,B1240=2021,H1240/$O$16,B1240=2022,H1240/$O$17)</f>
        <v>2.0016918549060334E-3</v>
      </c>
      <c r="J1240" s="6" cm="1">
        <f t="array" ref="J1240">_xlfn.IFS(B1240=2015,I1240*$Q$1,B1240=2016,I1240*$Q$2,B1240=2017,I1240*$Q$3,B1240=2018,I1240*$Q$4,B1240=2019,I1240*$Q$5,B1240=2020,I1240*$Q$6,B1240=2021,I1240*$Q$7,B1240=2022,I1240*$Q$8)</f>
        <v>50854.59293583098</v>
      </c>
      <c r="K1240" s="7">
        <f t="shared" si="40"/>
        <v>139104.59293583099</v>
      </c>
      <c r="L1240">
        <f>IFERROR(VLOOKUP(G1240,'LEAID Match'!$A$2:$B$168,2,FALSE),"")</f>
        <v>4674520</v>
      </c>
    </row>
    <row r="1241" spans="1:12" x14ac:dyDescent="0.2">
      <c r="A1241">
        <f t="shared" si="39"/>
        <v>4674520</v>
      </c>
      <c r="B1241">
        <v>2017</v>
      </c>
      <c r="C1241" t="s">
        <v>208</v>
      </c>
      <c r="D1241" t="s">
        <v>212</v>
      </c>
      <c r="E1241" t="s">
        <v>211</v>
      </c>
      <c r="F1241" s="3">
        <v>961104</v>
      </c>
      <c r="G1241" s="3" t="s">
        <v>188</v>
      </c>
      <c r="H1241" s="4">
        <v>100039</v>
      </c>
      <c r="I1241" cm="1">
        <f t="array" ref="I1241">_xlfn.IFS(B1241=2015,H1241/$O$10,B1241=2016,H1241/$O$11,B1241=2017,H1241/$O$12,B1241=2018,H1241/$O$13,B1241=2019,H1241/$O$14,B1241=2020,H1241/$O$15,B1241=2021,H1241/$O$16,B1241=2022,H1241/$O$17)</f>
        <v>2.0654842690245412E-3</v>
      </c>
      <c r="J1241" s="6" cm="1">
        <f t="array" ref="J1241">_xlfn.IFS(B1241=2015,I1241*$Q$1,B1241=2016,I1241*$Q$2,B1241=2017,I1241*$Q$3,B1241=2018,I1241*$Q$4,B1241=2019,I1241*$Q$5,B1241=2020,I1241*$Q$6,B1241=2021,I1241*$Q$7,B1241=2022,I1241*$Q$8)</f>
        <v>54333.666665290213</v>
      </c>
      <c r="K1241" s="7">
        <f t="shared" si="40"/>
        <v>154372.66666529022</v>
      </c>
      <c r="L1241">
        <f>IFERROR(VLOOKUP(G1241,'LEAID Match'!$A$2:$B$168,2,FALSE),"")</f>
        <v>4674520</v>
      </c>
    </row>
    <row r="1242" spans="1:12" x14ac:dyDescent="0.2">
      <c r="A1242">
        <f t="shared" si="39"/>
        <v>4674520</v>
      </c>
      <c r="B1242">
        <v>2018</v>
      </c>
      <c r="C1242" t="s">
        <v>208</v>
      </c>
      <c r="D1242" t="s">
        <v>212</v>
      </c>
      <c r="E1242" t="s">
        <v>211</v>
      </c>
      <c r="F1242" s="3">
        <v>961104</v>
      </c>
      <c r="G1242" s="3" t="s">
        <v>188</v>
      </c>
      <c r="H1242" s="4">
        <v>105781</v>
      </c>
      <c r="I1242" cm="1">
        <f t="array" ref="I1242">_xlfn.IFS(B1242=2015,H1242/$O$10,B1242=2016,H1242/$O$11,B1242=2017,H1242/$O$12,B1242=2018,H1242/$O$13,B1242=2019,H1242/$O$14,B1242=2020,H1242/$O$15,B1242=2021,H1242/$O$16,B1242=2022,H1242/$O$17)</f>
        <v>2.1095486346475391E-3</v>
      </c>
      <c r="J1242" s="6" cm="1">
        <f t="array" ref="J1242">_xlfn.IFS(B1242=2015,I1242*$Q$1,B1242=2016,I1242*$Q$2,B1242=2017,I1242*$Q$3,B1242=2018,I1242*$Q$4,B1242=2019,I1242*$Q$5,B1242=2020,I1242*$Q$6,B1242=2021,I1242*$Q$7,B1242=2022,I1242*$Q$8)</f>
        <v>55387.906027516568</v>
      </c>
      <c r="K1242" s="7">
        <f t="shared" si="40"/>
        <v>161168.90602751658</v>
      </c>
      <c r="L1242">
        <f>IFERROR(VLOOKUP(G1242,'LEAID Match'!$A$2:$B$168,2,FALSE),"")</f>
        <v>4674520</v>
      </c>
    </row>
    <row r="1243" spans="1:12" x14ac:dyDescent="0.2">
      <c r="A1243">
        <f t="shared" si="39"/>
        <v>4674520</v>
      </c>
      <c r="B1243">
        <v>2019</v>
      </c>
      <c r="C1243" t="s">
        <v>208</v>
      </c>
      <c r="D1243" t="s">
        <v>212</v>
      </c>
      <c r="E1243" t="s">
        <v>211</v>
      </c>
      <c r="F1243" s="3">
        <v>961104</v>
      </c>
      <c r="G1243" s="3" t="s">
        <v>188</v>
      </c>
      <c r="H1243" s="4">
        <v>111017</v>
      </c>
      <c r="I1243" cm="1">
        <f t="array" ref="I1243">_xlfn.IFS(B1243=2015,H1243/$O$10,B1243=2016,H1243/$O$11,B1243=2017,H1243/$O$12,B1243=2018,H1243/$O$13,B1243=2019,H1243/$O$14,B1243=2020,H1243/$O$15,B1243=2021,H1243/$O$16,B1243=2022,H1243/$O$17)</f>
        <v>2.1742159650948805E-3</v>
      </c>
      <c r="J1243" s="6" cm="1">
        <f t="array" ref="J1243">_xlfn.IFS(B1243=2015,I1243*$Q$1,B1243=2016,I1243*$Q$2,B1243=2017,I1243*$Q$3,B1243=2018,I1243*$Q$4,B1243=2019,I1243*$Q$5,B1243=2020,I1243*$Q$6,B1243=2021,I1243*$Q$7,B1243=2022,I1243*$Q$8)</f>
        <v>57502.478897128422</v>
      </c>
      <c r="K1243" s="7">
        <f t="shared" si="40"/>
        <v>168519.47889712843</v>
      </c>
      <c r="L1243">
        <f>IFERROR(VLOOKUP(G1243,'LEAID Match'!$A$2:$B$168,2,FALSE),"")</f>
        <v>4674520</v>
      </c>
    </row>
    <row r="1244" spans="1:12" x14ac:dyDescent="0.2">
      <c r="A1244">
        <f t="shared" si="39"/>
        <v>4674520</v>
      </c>
      <c r="B1244">
        <v>2020</v>
      </c>
      <c r="C1244" t="s">
        <v>208</v>
      </c>
      <c r="D1244" t="s">
        <v>212</v>
      </c>
      <c r="E1244" t="s">
        <v>211</v>
      </c>
      <c r="F1244" s="1">
        <v>961104</v>
      </c>
      <c r="G1244" s="3" t="s">
        <v>188</v>
      </c>
      <c r="H1244" s="2">
        <v>120255</v>
      </c>
      <c r="I1244" cm="1">
        <f t="array" ref="I1244">_xlfn.IFS(B1244=2015,H1244/$O$10,B1244=2016,H1244/$O$11,B1244=2017,H1244/$O$12,B1244=2018,H1244/$O$13,B1244=2019,H1244/$O$14,B1244=2020,H1244/$O$15,B1244=2021,H1244/$O$16,B1244=2022,H1244/$O$17)</f>
        <v>2.2776032329749748E-3</v>
      </c>
      <c r="J1244" s="6" cm="1">
        <f t="array" ref="J1244">_xlfn.IFS(B1244=2015,I1244*$Q$1,B1244=2016,I1244*$Q$2,B1244=2017,I1244*$Q$3,B1244=2018,I1244*$Q$4,B1244=2019,I1244*$Q$5,B1244=2020,I1244*$Q$6,B1244=2021,I1244*$Q$7,B1244=2022,I1244*$Q$8)</f>
        <v>61928.55803093638</v>
      </c>
      <c r="K1244" s="7">
        <f t="shared" si="40"/>
        <v>182183.55803093637</v>
      </c>
      <c r="L1244">
        <f>IFERROR(VLOOKUP(G1244,'LEAID Match'!$A$2:$B$168,2,FALSE),"")</f>
        <v>4674520</v>
      </c>
    </row>
    <row r="1245" spans="1:12" x14ac:dyDescent="0.2">
      <c r="A1245">
        <f t="shared" si="39"/>
        <v>4674520</v>
      </c>
      <c r="B1245">
        <v>2021</v>
      </c>
      <c r="C1245" t="s">
        <v>208</v>
      </c>
      <c r="D1245" t="s">
        <v>212</v>
      </c>
      <c r="E1245" t="s">
        <v>211</v>
      </c>
      <c r="F1245" s="3">
        <v>961104</v>
      </c>
      <c r="G1245" s="3" t="s">
        <v>188</v>
      </c>
      <c r="H1245" s="4">
        <v>119876</v>
      </c>
      <c r="I1245" cm="1">
        <f t="array" ref="I1245">_xlfn.IFS(B1245=2015,H1245/$O$10,B1245=2016,H1245/$O$11,B1245=2017,H1245/$O$12,B1245=2018,H1245/$O$13,B1245=2019,H1245/$O$14,B1245=2020,H1245/$O$15,B1245=2021,H1245/$O$16,B1245=2022,H1245/$O$17)</f>
        <v>2.1651485497156766E-3</v>
      </c>
      <c r="J1245" s="6" cm="1">
        <f t="array" ref="J1245">_xlfn.IFS(B1245=2015,I1245*$Q$1,B1245=2016,I1245*$Q$2,B1245=2017,I1245*$Q$3,B1245=2018,I1245*$Q$4,B1245=2019,I1245*$Q$5,B1245=2020,I1245*$Q$6,B1245=2021,I1245*$Q$7,B1245=2022,I1245*$Q$8)</f>
        <v>60274.126321452059</v>
      </c>
      <c r="K1245" s="7">
        <f t="shared" si="40"/>
        <v>180150.12632145206</v>
      </c>
      <c r="L1245">
        <f>IFERROR(VLOOKUP(G1245,'LEAID Match'!$A$2:$B$168,2,FALSE),"")</f>
        <v>4674520</v>
      </c>
    </row>
    <row r="1246" spans="1:12" x14ac:dyDescent="0.2">
      <c r="A1246">
        <f t="shared" si="39"/>
        <v>4674520</v>
      </c>
      <c r="B1246">
        <v>2022</v>
      </c>
      <c r="C1246" t="s">
        <v>208</v>
      </c>
      <c r="D1246" t="s">
        <v>212</v>
      </c>
      <c r="E1246" t="s">
        <v>211</v>
      </c>
      <c r="F1246" s="3">
        <v>961104</v>
      </c>
      <c r="G1246" s="3" t="s">
        <v>188</v>
      </c>
      <c r="H1246" s="4">
        <v>126125</v>
      </c>
      <c r="I1246" cm="1">
        <f t="array" ref="I1246">_xlfn.IFS(B1246=2015,H1246/$O$10,B1246=2016,H1246/$O$11,B1246=2017,H1246/$O$12,B1246=2018,H1246/$O$13,B1246=2019,H1246/$O$14,B1246=2020,H1246/$O$15,B1246=2021,H1246/$O$16,B1246=2022,H1246/$O$17)</f>
        <v>2.1843061504103604E-3</v>
      </c>
      <c r="J1246" s="6" cm="1">
        <f t="array" ref="J1246">_xlfn.IFS(B1246=2015,I1246*$Q$1,B1246=2016,I1246*$Q$2,B1246=2017,I1246*$Q$3,B1246=2018,I1246*$Q$4,B1246=2019,I1246*$Q$5,B1246=2020,I1246*$Q$6,B1246=2021,I1246*$Q$7,B1246=2022,I1246*$Q$8)</f>
        <v>64345.172626256273</v>
      </c>
      <c r="K1246" s="7">
        <f t="shared" si="40"/>
        <v>190470.17262625627</v>
      </c>
      <c r="L1246">
        <f>IFERROR(VLOOKUP(G1246,'LEAID Match'!$A$2:$B$168,2,FALSE),"")</f>
        <v>4674520</v>
      </c>
    </row>
    <row r="1247" spans="1:12" x14ac:dyDescent="0.2">
      <c r="A1247">
        <f t="shared" si="39"/>
        <v>4636990</v>
      </c>
      <c r="B1247">
        <v>2015</v>
      </c>
      <c r="C1247" t="s">
        <v>208</v>
      </c>
      <c r="D1247" t="s">
        <v>212</v>
      </c>
      <c r="E1247" t="s">
        <v>211</v>
      </c>
      <c r="F1247" s="3">
        <v>962100</v>
      </c>
      <c r="G1247" s="3" t="s">
        <v>33</v>
      </c>
      <c r="H1247" s="4">
        <v>346947</v>
      </c>
      <c r="I1247" cm="1">
        <f t="array" ref="I1247">_xlfn.IFS(B1247=2015,H1247/$O$10,B1247=2016,H1247/$O$11,B1247=2017,H1247/$O$12,B1247=2018,H1247/$O$13,B1247=2019,H1247/$O$14,B1247=2020,H1247/$O$15,B1247=2021,H1247/$O$16,B1247=2022,H1247/$O$17)</f>
        <v>8.1151921429571689E-3</v>
      </c>
      <c r="J1247" s="6" cm="1">
        <f t="array" ref="J1247">_xlfn.IFS(B1247=2015,I1247*$Q$1,B1247=2016,I1247*$Q$2,B1247=2017,I1247*$Q$3,B1247=2018,I1247*$Q$4,B1247=2019,I1247*$Q$5,B1247=2020,I1247*$Q$6,B1247=2021,I1247*$Q$7,B1247=2022,I1247*$Q$8)</f>
        <v>199570.06303438486</v>
      </c>
      <c r="K1247" s="7">
        <f t="shared" si="40"/>
        <v>546517.06303438486</v>
      </c>
      <c r="L1247">
        <f>IFERROR(VLOOKUP(G1247,'LEAID Match'!$A$2:$B$168,2,FALSE),"")</f>
        <v>4636990</v>
      </c>
    </row>
    <row r="1248" spans="1:12" x14ac:dyDescent="0.2">
      <c r="A1248">
        <f t="shared" si="39"/>
        <v>4636990</v>
      </c>
      <c r="B1248">
        <v>2016</v>
      </c>
      <c r="C1248" t="s">
        <v>208</v>
      </c>
      <c r="D1248" t="s">
        <v>212</v>
      </c>
      <c r="E1248" t="s">
        <v>211</v>
      </c>
      <c r="F1248" s="3">
        <v>962100</v>
      </c>
      <c r="G1248" s="3" t="s">
        <v>33</v>
      </c>
      <c r="H1248" s="4">
        <v>365253</v>
      </c>
      <c r="I1248" cm="1">
        <f t="array" ref="I1248">_xlfn.IFS(B1248=2015,H1248/$O$10,B1248=2016,H1248/$O$11,B1248=2017,H1248/$O$12,B1248=2018,H1248/$O$13,B1248=2019,H1248/$O$14,B1248=2020,H1248/$O$15,B1248=2021,H1248/$O$16,B1248=2022,H1248/$O$17)</f>
        <v>8.2846907091217378E-3</v>
      </c>
      <c r="J1248" s="6" cm="1">
        <f t="array" ref="J1248">_xlfn.IFS(B1248=2015,I1248*$Q$1,B1248=2016,I1248*$Q$2,B1248=2017,I1248*$Q$3,B1248=2018,I1248*$Q$4,B1248=2019,I1248*$Q$5,B1248=2020,I1248*$Q$6,B1248=2021,I1248*$Q$7,B1248=2022,I1248*$Q$8)</f>
        <v>210479.23664125858</v>
      </c>
      <c r="K1248" s="7">
        <f t="shared" si="40"/>
        <v>575732.23664125858</v>
      </c>
      <c r="L1248">
        <f>IFERROR(VLOOKUP(G1248,'LEAID Match'!$A$2:$B$168,2,FALSE),"")</f>
        <v>4636990</v>
      </c>
    </row>
    <row r="1249" spans="1:12" x14ac:dyDescent="0.2">
      <c r="A1249">
        <f t="shared" si="39"/>
        <v>4636990</v>
      </c>
      <c r="B1249">
        <v>2017</v>
      </c>
      <c r="C1249" t="s">
        <v>208</v>
      </c>
      <c r="D1249" t="s">
        <v>212</v>
      </c>
      <c r="E1249" t="s">
        <v>211</v>
      </c>
      <c r="F1249" s="3">
        <v>962100</v>
      </c>
      <c r="G1249" s="3" t="s">
        <v>33</v>
      </c>
      <c r="H1249" s="4">
        <v>398891</v>
      </c>
      <c r="I1249" cm="1">
        <f t="array" ref="I1249">_xlfn.IFS(B1249=2015,H1249/$O$10,B1249=2016,H1249/$O$11,B1249=2017,H1249/$O$12,B1249=2018,H1249/$O$13,B1249=2019,H1249/$O$14,B1249=2020,H1249/$O$15,B1249=2021,H1249/$O$16,B1249=2022,H1249/$O$17)</f>
        <v>8.235818886189069E-3</v>
      </c>
      <c r="J1249" s="6" cm="1">
        <f t="array" ref="J1249">_xlfn.IFS(B1249=2015,I1249*$Q$1,B1249=2016,I1249*$Q$2,B1249=2017,I1249*$Q$3,B1249=2018,I1249*$Q$4,B1249=2019,I1249*$Q$5,B1249=2020,I1249*$Q$6,B1249=2021,I1249*$Q$7,B1249=2022,I1249*$Q$8)</f>
        <v>216647.61372848868</v>
      </c>
      <c r="K1249" s="7">
        <f t="shared" si="40"/>
        <v>615538.61372848868</v>
      </c>
      <c r="L1249">
        <f>IFERROR(VLOOKUP(G1249,'LEAID Match'!$A$2:$B$168,2,FALSE),"")</f>
        <v>4636990</v>
      </c>
    </row>
    <row r="1250" spans="1:12" x14ac:dyDescent="0.2">
      <c r="A1250">
        <f t="shared" si="39"/>
        <v>4636990</v>
      </c>
      <c r="B1250">
        <v>2018</v>
      </c>
      <c r="C1250" t="s">
        <v>208</v>
      </c>
      <c r="D1250" t="s">
        <v>212</v>
      </c>
      <c r="E1250" t="s">
        <v>211</v>
      </c>
      <c r="F1250" s="3">
        <v>962100</v>
      </c>
      <c r="G1250" s="3" t="s">
        <v>33</v>
      </c>
      <c r="H1250" s="4">
        <v>408975</v>
      </c>
      <c r="I1250" cm="1">
        <f t="array" ref="I1250">_xlfn.IFS(B1250=2015,H1250/$O$10,B1250=2016,H1250/$O$11,B1250=2017,H1250/$O$12,B1250=2018,H1250/$O$13,B1250=2019,H1250/$O$14,B1250=2020,H1250/$O$15,B1250=2021,H1250/$O$16,B1250=2022,H1250/$O$17)</f>
        <v>8.1560266291203273E-3</v>
      </c>
      <c r="J1250" s="6" cm="1">
        <f t="array" ref="J1250">_xlfn.IFS(B1250=2015,I1250*$Q$1,B1250=2016,I1250*$Q$2,B1250=2017,I1250*$Q$3,B1250=2018,I1250*$Q$4,B1250=2019,I1250*$Q$5,B1250=2020,I1250*$Q$6,B1250=2021,I1250*$Q$7,B1250=2022,I1250*$Q$8)</f>
        <v>214143.07737309716</v>
      </c>
      <c r="K1250" s="7">
        <f t="shared" si="40"/>
        <v>623118.07737309719</v>
      </c>
      <c r="L1250">
        <f>IFERROR(VLOOKUP(G1250,'LEAID Match'!$A$2:$B$168,2,FALSE),"")</f>
        <v>4636990</v>
      </c>
    </row>
    <row r="1251" spans="1:12" x14ac:dyDescent="0.2">
      <c r="A1251">
        <f t="shared" si="39"/>
        <v>4636990</v>
      </c>
      <c r="B1251">
        <v>2019</v>
      </c>
      <c r="C1251" t="s">
        <v>208</v>
      </c>
      <c r="D1251" t="s">
        <v>212</v>
      </c>
      <c r="E1251" t="s">
        <v>211</v>
      </c>
      <c r="F1251" s="3">
        <v>962100</v>
      </c>
      <c r="G1251" s="3" t="s">
        <v>33</v>
      </c>
      <c r="H1251" s="4">
        <v>419227</v>
      </c>
      <c r="I1251" cm="1">
        <f t="array" ref="I1251">_xlfn.IFS(B1251=2015,H1251/$O$10,B1251=2016,H1251/$O$11,B1251=2017,H1251/$O$12,B1251=2018,H1251/$O$13,B1251=2019,H1251/$O$14,B1251=2020,H1251/$O$15,B1251=2021,H1251/$O$16,B1251=2022,H1251/$O$17)</f>
        <v>8.2103645063263415E-3</v>
      </c>
      <c r="J1251" s="6" cm="1">
        <f t="array" ref="J1251">_xlfn.IFS(B1251=2015,I1251*$Q$1,B1251=2016,I1251*$Q$2,B1251=2017,I1251*$Q$3,B1251=2018,I1251*$Q$4,B1251=2019,I1251*$Q$5,B1251=2020,I1251*$Q$6,B1251=2021,I1251*$Q$7,B1251=2022,I1251*$Q$8)</f>
        <v>217143.24581466313</v>
      </c>
      <c r="K1251" s="7">
        <f t="shared" si="40"/>
        <v>636370.24581466313</v>
      </c>
      <c r="L1251">
        <f>IFERROR(VLOOKUP(G1251,'LEAID Match'!$A$2:$B$168,2,FALSE),"")</f>
        <v>4636990</v>
      </c>
    </row>
    <row r="1252" spans="1:12" x14ac:dyDescent="0.2">
      <c r="A1252">
        <f t="shared" si="39"/>
        <v>4636990</v>
      </c>
      <c r="B1252">
        <v>2020</v>
      </c>
      <c r="C1252" t="s">
        <v>208</v>
      </c>
      <c r="D1252" t="s">
        <v>212</v>
      </c>
      <c r="E1252" t="s">
        <v>211</v>
      </c>
      <c r="F1252" s="1">
        <v>962100</v>
      </c>
      <c r="G1252" s="3" t="s">
        <v>33</v>
      </c>
      <c r="H1252" s="2">
        <v>430292</v>
      </c>
      <c r="I1252" cm="1">
        <f t="array" ref="I1252">_xlfn.IFS(B1252=2015,H1252/$O$10,B1252=2016,H1252/$O$11,B1252=2017,H1252/$O$12,B1252=2018,H1252/$O$13,B1252=2019,H1252/$O$14,B1252=2020,H1252/$O$15,B1252=2021,H1252/$O$16,B1252=2022,H1252/$O$17)</f>
        <v>8.1496357766684784E-3</v>
      </c>
      <c r="J1252" s="6" cm="1">
        <f t="array" ref="J1252">_xlfn.IFS(B1252=2015,I1252*$Q$1,B1252=2016,I1252*$Q$2,B1252=2017,I1252*$Q$3,B1252=2018,I1252*$Q$4,B1252=2019,I1252*$Q$5,B1252=2020,I1252*$Q$6,B1252=2021,I1252*$Q$7,B1252=2022,I1252*$Q$8)</f>
        <v>221590.47933348033</v>
      </c>
      <c r="K1252" s="7">
        <f t="shared" si="40"/>
        <v>651882.47933348035</v>
      </c>
      <c r="L1252">
        <f>IFERROR(VLOOKUP(G1252,'LEAID Match'!$A$2:$B$168,2,FALSE),"")</f>
        <v>4636990</v>
      </c>
    </row>
    <row r="1253" spans="1:12" x14ac:dyDescent="0.2">
      <c r="A1253">
        <f t="shared" si="39"/>
        <v>4636990</v>
      </c>
      <c r="B1253">
        <v>2021</v>
      </c>
      <c r="C1253" t="s">
        <v>208</v>
      </c>
      <c r="D1253" t="s">
        <v>212</v>
      </c>
      <c r="E1253" t="s">
        <v>211</v>
      </c>
      <c r="F1253" s="3">
        <v>962100</v>
      </c>
      <c r="G1253" s="3" t="s">
        <v>33</v>
      </c>
      <c r="H1253" s="4">
        <v>444172</v>
      </c>
      <c r="I1253" cm="1">
        <f t="array" ref="I1253">_xlfn.IFS(B1253=2015,H1253/$O$10,B1253=2016,H1253/$O$11,B1253=2017,H1253/$O$12,B1253=2018,H1253/$O$13,B1253=2019,H1253/$O$14,B1253=2020,H1253/$O$15,B1253=2021,H1253/$O$16,B1253=2022,H1253/$O$17)</f>
        <v>8.0224428711694711E-3</v>
      </c>
      <c r="J1253" s="6" cm="1">
        <f t="array" ref="J1253">_xlfn.IFS(B1253=2015,I1253*$Q$1,B1253=2016,I1253*$Q$2,B1253=2017,I1253*$Q$3,B1253=2018,I1253*$Q$4,B1253=2019,I1253*$Q$5,B1253=2020,I1253*$Q$6,B1253=2021,I1253*$Q$7,B1253=2022,I1253*$Q$8)</f>
        <v>223331.43612109183</v>
      </c>
      <c r="K1253" s="7">
        <f t="shared" si="40"/>
        <v>667503.43612109183</v>
      </c>
      <c r="L1253">
        <f>IFERROR(VLOOKUP(G1253,'LEAID Match'!$A$2:$B$168,2,FALSE),"")</f>
        <v>4636990</v>
      </c>
    </row>
    <row r="1254" spans="1:12" x14ac:dyDescent="0.2">
      <c r="A1254">
        <f t="shared" si="39"/>
        <v>4636990</v>
      </c>
      <c r="B1254">
        <v>2022</v>
      </c>
      <c r="C1254" t="s">
        <v>208</v>
      </c>
      <c r="D1254" t="s">
        <v>212</v>
      </c>
      <c r="E1254" t="s">
        <v>211</v>
      </c>
      <c r="F1254" s="3">
        <v>962100</v>
      </c>
      <c r="G1254" s="3" t="s">
        <v>33</v>
      </c>
      <c r="H1254" s="4">
        <v>459152</v>
      </c>
      <c r="I1254" cm="1">
        <f t="array" ref="I1254">_xlfn.IFS(B1254=2015,H1254/$O$10,B1254=2016,H1254/$O$11,B1254=2017,H1254/$O$12,B1254=2018,H1254/$O$13,B1254=2019,H1254/$O$14,B1254=2020,H1254/$O$15,B1254=2021,H1254/$O$16,B1254=2022,H1254/$O$17)</f>
        <v>7.9518615466657502E-3</v>
      </c>
      <c r="J1254" s="6" cm="1">
        <f t="array" ref="J1254">_xlfn.IFS(B1254=2015,I1254*$Q$1,B1254=2016,I1254*$Q$2,B1254=2017,I1254*$Q$3,B1254=2018,I1254*$Q$4,B1254=2019,I1254*$Q$5,B1254=2020,I1254*$Q$6,B1254=2021,I1254*$Q$7,B1254=2022,I1254*$Q$8)</f>
        <v>234245.50804115614</v>
      </c>
      <c r="K1254" s="7">
        <f t="shared" si="40"/>
        <v>693397.50804115611</v>
      </c>
      <c r="L1254">
        <f>IFERROR(VLOOKUP(G1254,'LEAID Match'!$A$2:$B$168,2,FALSE),"")</f>
        <v>4636990</v>
      </c>
    </row>
    <row r="1255" spans="1:12" x14ac:dyDescent="0.2">
      <c r="A1255">
        <f t="shared" si="39"/>
        <v>4621340</v>
      </c>
      <c r="B1255">
        <v>2015</v>
      </c>
      <c r="C1255" t="s">
        <v>208</v>
      </c>
      <c r="D1255" t="s">
        <v>212</v>
      </c>
      <c r="E1255" t="s">
        <v>211</v>
      </c>
      <c r="F1255" s="3">
        <v>962101</v>
      </c>
      <c r="G1255" s="3" t="s">
        <v>46</v>
      </c>
      <c r="H1255" s="4">
        <v>181050</v>
      </c>
      <c r="I1255" cm="1">
        <f t="array" ref="I1255">_xlfn.IFS(B1255=2015,H1255/$O$10,B1255=2016,H1255/$O$11,B1255=2017,H1255/$O$12,B1255=2018,H1255/$O$13,B1255=2019,H1255/$O$14,B1255=2020,H1255/$O$15,B1255=2021,H1255/$O$16,B1255=2022,H1255/$O$17)</f>
        <v>4.2348126298322091E-3</v>
      </c>
      <c r="J1255" s="6" cm="1">
        <f t="array" ref="J1255">_xlfn.IFS(B1255=2015,I1255*$Q$1,B1255=2016,I1255*$Q$2,B1255=2017,I1255*$Q$3,B1255=2018,I1255*$Q$4,B1255=2019,I1255*$Q$5,B1255=2020,I1255*$Q$6,B1255=2021,I1255*$Q$7,B1255=2022,I1255*$Q$8)</f>
        <v>104143.1685887913</v>
      </c>
      <c r="K1255" s="7">
        <f t="shared" si="40"/>
        <v>285193.16858879128</v>
      </c>
      <c r="L1255">
        <f>IFERROR(VLOOKUP(G1255,'LEAID Match'!$A$2:$B$168,2,FALSE),"")</f>
        <v>4621340</v>
      </c>
    </row>
    <row r="1256" spans="1:12" x14ac:dyDescent="0.2">
      <c r="A1256">
        <f t="shared" si="39"/>
        <v>4621340</v>
      </c>
      <c r="B1256">
        <v>2016</v>
      </c>
      <c r="C1256" t="s">
        <v>208</v>
      </c>
      <c r="D1256" t="s">
        <v>212</v>
      </c>
      <c r="E1256" t="s">
        <v>211</v>
      </c>
      <c r="F1256" s="3">
        <v>962101</v>
      </c>
      <c r="G1256" s="3" t="s">
        <v>46</v>
      </c>
      <c r="H1256" s="4">
        <v>181768</v>
      </c>
      <c r="I1256" cm="1">
        <f t="array" ref="I1256">_xlfn.IFS(B1256=2015,H1256/$O$10,B1256=2016,H1256/$O$11,B1256=2017,H1256/$O$12,B1256=2018,H1256/$O$13,B1256=2019,H1256/$O$14,B1256=2020,H1256/$O$15,B1256=2021,H1256/$O$16,B1256=2022,H1256/$O$17)</f>
        <v>4.1228728054681007E-3</v>
      </c>
      <c r="J1256" s="6" cm="1">
        <f t="array" ref="J1256">_xlfn.IFS(B1256=2015,I1256*$Q$1,B1256=2016,I1256*$Q$2,B1256=2017,I1256*$Q$3,B1256=2018,I1256*$Q$4,B1256=2019,I1256*$Q$5,B1256=2020,I1256*$Q$6,B1256=2021,I1256*$Q$7,B1256=2022,I1256*$Q$8)</f>
        <v>104744.9025355255</v>
      </c>
      <c r="K1256" s="7">
        <f t="shared" si="40"/>
        <v>286512.9025355255</v>
      </c>
      <c r="L1256">
        <f>IFERROR(VLOOKUP(G1256,'LEAID Match'!$A$2:$B$168,2,FALSE),"")</f>
        <v>4621340</v>
      </c>
    </row>
    <row r="1257" spans="1:12" x14ac:dyDescent="0.2">
      <c r="A1257">
        <f t="shared" si="39"/>
        <v>4621340</v>
      </c>
      <c r="B1257">
        <v>2017</v>
      </c>
      <c r="C1257" t="s">
        <v>208</v>
      </c>
      <c r="D1257" t="s">
        <v>212</v>
      </c>
      <c r="E1257" t="s">
        <v>211</v>
      </c>
      <c r="F1257" s="3">
        <v>962101</v>
      </c>
      <c r="G1257" s="3" t="s">
        <v>46</v>
      </c>
      <c r="H1257" s="4">
        <v>191309</v>
      </c>
      <c r="I1257" cm="1">
        <f t="array" ref="I1257">_xlfn.IFS(B1257=2015,H1257/$O$10,B1257=2016,H1257/$O$11,B1257=2017,H1257/$O$12,B1257=2018,H1257/$O$13,B1257=2019,H1257/$O$14,B1257=2020,H1257/$O$15,B1257=2021,H1257/$O$16,B1257=2022,H1257/$O$17)</f>
        <v>3.9499168326634203E-3</v>
      </c>
      <c r="J1257" s="6" cm="1">
        <f t="array" ref="J1257">_xlfn.IFS(B1257=2015,I1257*$Q$1,B1257=2016,I1257*$Q$2,B1257=2017,I1257*$Q$3,B1257=2018,I1257*$Q$4,B1257=2019,I1257*$Q$5,B1257=2020,I1257*$Q$6,B1257=2021,I1257*$Q$7,B1257=2022,I1257*$Q$8)</f>
        <v>103904.67153879991</v>
      </c>
      <c r="K1257" s="7">
        <f t="shared" si="40"/>
        <v>295213.67153879988</v>
      </c>
      <c r="L1257">
        <f>IFERROR(VLOOKUP(G1257,'LEAID Match'!$A$2:$B$168,2,FALSE),"")</f>
        <v>4621340</v>
      </c>
    </row>
    <row r="1258" spans="1:12" x14ac:dyDescent="0.2">
      <c r="A1258">
        <f t="shared" si="39"/>
        <v>4621340</v>
      </c>
      <c r="B1258">
        <v>2018</v>
      </c>
      <c r="C1258" t="s">
        <v>208</v>
      </c>
      <c r="D1258" t="s">
        <v>212</v>
      </c>
      <c r="E1258" t="s">
        <v>211</v>
      </c>
      <c r="F1258" s="3">
        <v>962101</v>
      </c>
      <c r="G1258" s="3" t="s">
        <v>46</v>
      </c>
      <c r="H1258" s="4">
        <v>192476</v>
      </c>
      <c r="I1258" cm="1">
        <f t="array" ref="I1258">_xlfn.IFS(B1258=2015,H1258/$O$10,B1258=2016,H1258/$O$11,B1258=2017,H1258/$O$12,B1258=2018,H1258/$O$13,B1258=2019,H1258/$O$14,B1258=2020,H1258/$O$15,B1258=2021,H1258/$O$16,B1258=2022,H1258/$O$17)</f>
        <v>3.8384727219672693E-3</v>
      </c>
      <c r="J1258" s="6" cm="1">
        <f t="array" ref="J1258">_xlfn.IFS(B1258=2015,I1258*$Q$1,B1258=2016,I1258*$Q$2,B1258=2017,I1258*$Q$3,B1258=2018,I1258*$Q$4,B1258=2019,I1258*$Q$5,B1258=2020,I1258*$Q$6,B1258=2021,I1258*$Q$7,B1258=2022,I1258*$Q$8)</f>
        <v>100782.20663968273</v>
      </c>
      <c r="K1258" s="7">
        <f t="shared" si="40"/>
        <v>293258.20663968276</v>
      </c>
      <c r="L1258">
        <f>IFERROR(VLOOKUP(G1258,'LEAID Match'!$A$2:$B$168,2,FALSE),"")</f>
        <v>4621340</v>
      </c>
    </row>
    <row r="1259" spans="1:12" x14ac:dyDescent="0.2">
      <c r="A1259">
        <f t="shared" si="39"/>
        <v>4621340</v>
      </c>
      <c r="B1259">
        <v>2019</v>
      </c>
      <c r="C1259" t="s">
        <v>208</v>
      </c>
      <c r="D1259" t="s">
        <v>212</v>
      </c>
      <c r="E1259" t="s">
        <v>211</v>
      </c>
      <c r="F1259" s="3">
        <v>962101</v>
      </c>
      <c r="G1259" s="3" t="s">
        <v>46</v>
      </c>
      <c r="H1259" s="4">
        <v>197175</v>
      </c>
      <c r="I1259" cm="1">
        <f t="array" ref="I1259">_xlfn.IFS(B1259=2015,H1259/$O$10,B1259=2016,H1259/$O$11,B1259=2017,H1259/$O$12,B1259=2018,H1259/$O$13,B1259=2019,H1259/$O$14,B1259=2020,H1259/$O$15,B1259=2021,H1259/$O$16,B1259=2022,H1259/$O$17)</f>
        <v>3.8615800545644639E-3</v>
      </c>
      <c r="J1259" s="6" cm="1">
        <f t="array" ref="J1259">_xlfn.IFS(B1259=2015,I1259*$Q$1,B1259=2016,I1259*$Q$2,B1259=2017,I1259*$Q$3,B1259=2018,I1259*$Q$4,B1259=2019,I1259*$Q$5,B1259=2020,I1259*$Q$6,B1259=2021,I1259*$Q$7,B1259=2022,I1259*$Q$8)</f>
        <v>102128.9647219912</v>
      </c>
      <c r="K1259" s="7">
        <f t="shared" si="40"/>
        <v>299303.96472199121</v>
      </c>
      <c r="L1259">
        <f>IFERROR(VLOOKUP(G1259,'LEAID Match'!$A$2:$B$168,2,FALSE),"")</f>
        <v>4621340</v>
      </c>
    </row>
    <row r="1260" spans="1:12" x14ac:dyDescent="0.2">
      <c r="A1260">
        <f t="shared" si="39"/>
        <v>4621340</v>
      </c>
      <c r="B1260">
        <v>2020</v>
      </c>
      <c r="C1260" t="s">
        <v>208</v>
      </c>
      <c r="D1260" t="s">
        <v>212</v>
      </c>
      <c r="E1260" t="s">
        <v>211</v>
      </c>
      <c r="F1260" s="1">
        <v>962101</v>
      </c>
      <c r="G1260" s="3" t="s">
        <v>46</v>
      </c>
      <c r="H1260" s="2">
        <v>204236</v>
      </c>
      <c r="I1260" cm="1">
        <f t="array" ref="I1260">_xlfn.IFS(B1260=2015,H1260/$O$10,B1260=2016,H1260/$O$11,B1260=2017,H1260/$O$12,B1260=2018,H1260/$O$13,B1260=2019,H1260/$O$14,B1260=2020,H1260/$O$15,B1260=2021,H1260/$O$16,B1260=2022,H1260/$O$17)</f>
        <v>3.8681848895254002E-3</v>
      </c>
      <c r="J1260" s="6" cm="1">
        <f t="array" ref="J1260">_xlfn.IFS(B1260=2015,I1260*$Q$1,B1260=2016,I1260*$Q$2,B1260=2017,I1260*$Q$3,B1260=2018,I1260*$Q$4,B1260=2019,I1260*$Q$5,B1260=2020,I1260*$Q$6,B1260=2021,I1260*$Q$7,B1260=2022,I1260*$Q$8)</f>
        <v>105176.84069690511</v>
      </c>
      <c r="K1260" s="7">
        <f t="shared" si="40"/>
        <v>309412.8406969051</v>
      </c>
      <c r="L1260">
        <f>IFERROR(VLOOKUP(G1260,'LEAID Match'!$A$2:$B$168,2,FALSE),"")</f>
        <v>4621340</v>
      </c>
    </row>
    <row r="1261" spans="1:12" x14ac:dyDescent="0.2">
      <c r="A1261">
        <f t="shared" si="39"/>
        <v>4621340</v>
      </c>
      <c r="B1261">
        <v>2021</v>
      </c>
      <c r="C1261" t="s">
        <v>208</v>
      </c>
      <c r="D1261" t="s">
        <v>212</v>
      </c>
      <c r="E1261" t="s">
        <v>211</v>
      </c>
      <c r="F1261" s="3">
        <v>962101</v>
      </c>
      <c r="G1261" s="3" t="s">
        <v>46</v>
      </c>
      <c r="H1261" s="4">
        <v>217889</v>
      </c>
      <c r="I1261" cm="1">
        <f t="array" ref="I1261">_xlfn.IFS(B1261=2015,H1261/$O$10,B1261=2016,H1261/$O$11,B1261=2017,H1261/$O$12,B1261=2018,H1261/$O$13,B1261=2019,H1261/$O$14,B1261=2020,H1261/$O$15,B1261=2021,H1261/$O$16,B1261=2022,H1261/$O$17)</f>
        <v>3.9354170338432972E-3</v>
      </c>
      <c r="J1261" s="6" cm="1">
        <f t="array" ref="J1261">_xlfn.IFS(B1261=2015,I1261*$Q$1,B1261=2016,I1261*$Q$2,B1261=2017,I1261*$Q$3,B1261=2018,I1261*$Q$4,B1261=2019,I1261*$Q$5,B1261=2020,I1261*$Q$6,B1261=2021,I1261*$Q$7,B1261=2022,I1261*$Q$8)</f>
        <v>109555.44988200198</v>
      </c>
      <c r="K1261" s="7">
        <f t="shared" si="40"/>
        <v>327444.44988200197</v>
      </c>
      <c r="L1261">
        <f>IFERROR(VLOOKUP(G1261,'LEAID Match'!$A$2:$B$168,2,FALSE),"")</f>
        <v>4621340</v>
      </c>
    </row>
    <row r="1262" spans="1:12" x14ac:dyDescent="0.2">
      <c r="A1262">
        <f t="shared" si="39"/>
        <v>4621340</v>
      </c>
      <c r="B1262">
        <v>2022</v>
      </c>
      <c r="C1262" t="s">
        <v>208</v>
      </c>
      <c r="D1262" t="s">
        <v>212</v>
      </c>
      <c r="E1262" t="s">
        <v>211</v>
      </c>
      <c r="F1262" s="3">
        <v>962101</v>
      </c>
      <c r="G1262" s="3" t="s">
        <v>46</v>
      </c>
      <c r="H1262" s="4">
        <v>223054</v>
      </c>
      <c r="I1262" cm="1">
        <f t="array" ref="I1262">_xlfn.IFS(B1262=2015,H1262/$O$10,B1262=2016,H1262/$O$11,B1262=2017,H1262/$O$12,B1262=2018,H1262/$O$13,B1262=2019,H1262/$O$14,B1262=2020,H1262/$O$15,B1262=2021,H1262/$O$16,B1262=2022,H1262/$O$17)</f>
        <v>3.8629789817532807E-3</v>
      </c>
      <c r="J1262" s="6" cm="1">
        <f t="array" ref="J1262">_xlfn.IFS(B1262=2015,I1262*$Q$1,B1262=2016,I1262*$Q$2,B1262=2017,I1262*$Q$3,B1262=2018,I1262*$Q$4,B1262=2019,I1262*$Q$5,B1262=2020,I1262*$Q$6,B1262=2021,I1262*$Q$7,B1262=2022,I1262*$Q$8)</f>
        <v>113795.42624362312</v>
      </c>
      <c r="K1262" s="7">
        <f t="shared" si="40"/>
        <v>336849.42624362314</v>
      </c>
      <c r="L1262">
        <f>IFERROR(VLOOKUP(G1262,'LEAID Match'!$A$2:$B$168,2,FALSE),"")</f>
        <v>4621340</v>
      </c>
    </row>
    <row r="1263" spans="1:12" x14ac:dyDescent="0.2">
      <c r="A1263">
        <f t="shared" si="39"/>
        <v>4600028</v>
      </c>
      <c r="B1263">
        <v>2015</v>
      </c>
      <c r="C1263" t="s">
        <v>208</v>
      </c>
      <c r="D1263" t="s">
        <v>212</v>
      </c>
      <c r="E1263" t="s">
        <v>211</v>
      </c>
      <c r="F1263" s="3">
        <v>962102</v>
      </c>
      <c r="G1263" s="3" t="s">
        <v>174</v>
      </c>
      <c r="H1263" s="4">
        <v>104269</v>
      </c>
      <c r="I1263" cm="1">
        <f t="array" ref="I1263">_xlfn.IFS(B1263=2015,H1263/$O$10,B1263=2016,H1263/$O$11,B1263=2017,H1263/$O$12,B1263=2018,H1263/$O$13,B1263=2019,H1263/$O$14,B1263=2020,H1263/$O$15,B1263=2021,H1263/$O$16,B1263=2022,H1263/$O$17)</f>
        <v>2.4388825081467806E-3</v>
      </c>
      <c r="J1263" s="6" cm="1">
        <f t="array" ref="J1263">_xlfn.IFS(B1263=2015,I1263*$Q$1,B1263=2016,I1263*$Q$2,B1263=2017,I1263*$Q$3,B1263=2018,I1263*$Q$4,B1263=2019,I1263*$Q$5,B1263=2020,I1263*$Q$6,B1263=2021,I1263*$Q$7,B1263=2022,I1263*$Q$8)</f>
        <v>59977.376667134391</v>
      </c>
      <c r="K1263" s="7">
        <f t="shared" si="40"/>
        <v>164246.37666713441</v>
      </c>
      <c r="L1263">
        <f>IFERROR(VLOOKUP(G1263,'LEAID Match'!$A$2:$B$168,2,FALSE),"")</f>
        <v>4600028</v>
      </c>
    </row>
    <row r="1264" spans="1:12" x14ac:dyDescent="0.2">
      <c r="A1264">
        <f t="shared" si="39"/>
        <v>4600028</v>
      </c>
      <c r="B1264">
        <v>2016</v>
      </c>
      <c r="C1264" t="s">
        <v>208</v>
      </c>
      <c r="D1264" t="s">
        <v>212</v>
      </c>
      <c r="E1264" t="s">
        <v>211</v>
      </c>
      <c r="F1264" s="3">
        <v>962102</v>
      </c>
      <c r="G1264" s="3" t="s">
        <v>174</v>
      </c>
      <c r="H1264" s="4">
        <v>112232</v>
      </c>
      <c r="I1264" cm="1">
        <f t="array" ref="I1264">_xlfn.IFS(B1264=2015,H1264/$O$10,B1264=2016,H1264/$O$11,B1264=2017,H1264/$O$12,B1264=2018,H1264/$O$13,B1264=2019,H1264/$O$14,B1264=2020,H1264/$O$15,B1264=2021,H1264/$O$16,B1264=2022,H1264/$O$17)</f>
        <v>2.5456530341055402E-3</v>
      </c>
      <c r="J1264" s="6" cm="1">
        <f t="array" ref="J1264">_xlfn.IFS(B1264=2015,I1264*$Q$1,B1264=2016,I1264*$Q$2,B1264=2017,I1264*$Q$3,B1264=2018,I1264*$Q$4,B1264=2019,I1264*$Q$5,B1264=2020,I1264*$Q$6,B1264=2021,I1264*$Q$7,B1264=2022,I1264*$Q$8)</f>
        <v>64674.364582143702</v>
      </c>
      <c r="K1264" s="7">
        <f t="shared" si="40"/>
        <v>176906.36458214369</v>
      </c>
      <c r="L1264">
        <f>IFERROR(VLOOKUP(G1264,'LEAID Match'!$A$2:$B$168,2,FALSE),"")</f>
        <v>4600028</v>
      </c>
    </row>
    <row r="1265" spans="1:12" x14ac:dyDescent="0.2">
      <c r="A1265">
        <f t="shared" si="39"/>
        <v>4600028</v>
      </c>
      <c r="B1265">
        <v>2017</v>
      </c>
      <c r="C1265" t="s">
        <v>208</v>
      </c>
      <c r="D1265" t="s">
        <v>212</v>
      </c>
      <c r="E1265" t="s">
        <v>211</v>
      </c>
      <c r="F1265" s="3">
        <v>962102</v>
      </c>
      <c r="G1265" s="3" t="s">
        <v>174</v>
      </c>
      <c r="H1265" s="4">
        <v>129222</v>
      </c>
      <c r="I1265" cm="1">
        <f t="array" ref="I1265">_xlfn.IFS(B1265=2015,H1265/$O$10,B1265=2016,H1265/$O$11,B1265=2017,H1265/$O$12,B1265=2018,H1265/$O$13,B1265=2019,H1265/$O$14,B1265=2020,H1265/$O$15,B1265=2021,H1265/$O$16,B1265=2022,H1265/$O$17)</f>
        <v>2.6680195544926404E-3</v>
      </c>
      <c r="J1265" s="6" cm="1">
        <f t="array" ref="J1265">_xlfn.IFS(B1265=2015,I1265*$Q$1,B1265=2016,I1265*$Q$2,B1265=2017,I1265*$Q$3,B1265=2018,I1265*$Q$4,B1265=2019,I1265*$Q$5,B1265=2020,I1265*$Q$6,B1265=2021,I1265*$Q$7,B1265=2022,I1265*$Q$8)</f>
        <v>70183.679103371003</v>
      </c>
      <c r="K1265" s="7">
        <f t="shared" si="40"/>
        <v>199405.67910337099</v>
      </c>
      <c r="L1265">
        <f>IFERROR(VLOOKUP(G1265,'LEAID Match'!$A$2:$B$168,2,FALSE),"")</f>
        <v>4600028</v>
      </c>
    </row>
    <row r="1266" spans="1:12" x14ac:dyDescent="0.2">
      <c r="A1266">
        <f t="shared" si="39"/>
        <v>4600028</v>
      </c>
      <c r="B1266">
        <v>2018</v>
      </c>
      <c r="C1266" t="s">
        <v>208</v>
      </c>
      <c r="D1266" t="s">
        <v>212</v>
      </c>
      <c r="E1266" t="s">
        <v>211</v>
      </c>
      <c r="F1266" s="3">
        <v>962102</v>
      </c>
      <c r="G1266" s="3" t="s">
        <v>174</v>
      </c>
      <c r="H1266" s="4">
        <v>130997</v>
      </c>
      <c r="I1266" cm="1">
        <f t="array" ref="I1266">_xlfn.IFS(B1266=2015,H1266/$O$10,B1266=2016,H1266/$O$11,B1266=2017,H1266/$O$12,B1266=2018,H1266/$O$13,B1266=2019,H1266/$O$14,B1266=2020,H1266/$O$15,B1266=2021,H1266/$O$16,B1266=2022,H1266/$O$17)</f>
        <v>2.6124213468668631E-3</v>
      </c>
      <c r="J1266" s="6" cm="1">
        <f t="array" ref="J1266">_xlfn.IFS(B1266=2015,I1266*$Q$1,B1266=2016,I1266*$Q$2,B1266=2017,I1266*$Q$3,B1266=2018,I1266*$Q$4,B1266=2019,I1266*$Q$5,B1266=2020,I1266*$Q$6,B1266=2021,I1266*$Q$7,B1266=2022,I1266*$Q$8)</f>
        <v>68591.235910859104</v>
      </c>
      <c r="K1266" s="7">
        <f t="shared" si="40"/>
        <v>199588.2359108591</v>
      </c>
      <c r="L1266">
        <f>IFERROR(VLOOKUP(G1266,'LEAID Match'!$A$2:$B$168,2,FALSE),"")</f>
        <v>4600028</v>
      </c>
    </row>
    <row r="1267" spans="1:12" x14ac:dyDescent="0.2">
      <c r="A1267">
        <f t="shared" si="39"/>
        <v>4600028</v>
      </c>
      <c r="B1267">
        <v>2019</v>
      </c>
      <c r="C1267" t="s">
        <v>208</v>
      </c>
      <c r="D1267" t="s">
        <v>212</v>
      </c>
      <c r="E1267" t="s">
        <v>211</v>
      </c>
      <c r="F1267" s="3">
        <v>962102</v>
      </c>
      <c r="G1267" s="3" t="s">
        <v>174</v>
      </c>
      <c r="H1267" s="4">
        <v>133167</v>
      </c>
      <c r="I1267" cm="1">
        <f t="array" ref="I1267">_xlfn.IFS(B1267=2015,H1267/$O$10,B1267=2016,H1267/$O$11,B1267=2017,H1267/$O$12,B1267=2018,H1267/$O$13,B1267=2019,H1267/$O$14,B1267=2020,H1267/$O$15,B1267=2021,H1267/$O$16,B1267=2022,H1267/$O$17)</f>
        <v>2.6080133441165766E-3</v>
      </c>
      <c r="J1267" s="6" cm="1">
        <f t="array" ref="J1267">_xlfn.IFS(B1267=2015,I1267*$Q$1,B1267=2016,I1267*$Q$2,B1267=2017,I1267*$Q$3,B1267=2018,I1267*$Q$4,B1267=2019,I1267*$Q$5,B1267=2020,I1267*$Q$6,B1267=2021,I1267*$Q$7,B1267=2022,I1267*$Q$8)</f>
        <v>68975.315557922673</v>
      </c>
      <c r="K1267" s="7">
        <f t="shared" si="40"/>
        <v>202142.31555792267</v>
      </c>
      <c r="L1267">
        <f>IFERROR(VLOOKUP(G1267,'LEAID Match'!$A$2:$B$168,2,FALSE),"")</f>
        <v>4600028</v>
      </c>
    </row>
    <row r="1268" spans="1:12" x14ac:dyDescent="0.2">
      <c r="A1268">
        <f t="shared" si="39"/>
        <v>4600028</v>
      </c>
      <c r="B1268">
        <v>2020</v>
      </c>
      <c r="C1268" t="s">
        <v>208</v>
      </c>
      <c r="D1268" t="s">
        <v>212</v>
      </c>
      <c r="E1268" t="s">
        <v>211</v>
      </c>
      <c r="F1268" s="1">
        <v>962102</v>
      </c>
      <c r="G1268" s="3" t="s">
        <v>174</v>
      </c>
      <c r="H1268" s="2">
        <v>141760</v>
      </c>
      <c r="I1268" cm="1">
        <f t="array" ref="I1268">_xlfn.IFS(B1268=2015,H1268/$O$10,B1268=2016,H1268/$O$11,B1268=2017,H1268/$O$12,B1268=2018,H1268/$O$13,B1268=2019,H1268/$O$14,B1268=2020,H1268/$O$15,B1268=2021,H1268/$O$16,B1268=2022,H1268/$O$17)</f>
        <v>2.6849031999212711E-3</v>
      </c>
      <c r="J1268" s="6" cm="1">
        <f t="array" ref="J1268">_xlfn.IFS(B1268=2015,I1268*$Q$1,B1268=2016,I1268*$Q$2,B1268=2017,I1268*$Q$3,B1268=2018,I1268*$Q$4,B1268=2019,I1268*$Q$5,B1268=2020,I1268*$Q$6,B1268=2021,I1268*$Q$7,B1268=2022,I1268*$Q$8)</f>
        <v>73003.138218498541</v>
      </c>
      <c r="K1268" s="7">
        <f t="shared" si="40"/>
        <v>214763.13821849856</v>
      </c>
      <c r="L1268">
        <f>IFERROR(VLOOKUP(G1268,'LEAID Match'!$A$2:$B$168,2,FALSE),"")</f>
        <v>4600028</v>
      </c>
    </row>
    <row r="1269" spans="1:12" x14ac:dyDescent="0.2">
      <c r="A1269">
        <f t="shared" si="39"/>
        <v>4600028</v>
      </c>
      <c r="B1269">
        <v>2021</v>
      </c>
      <c r="C1269" t="s">
        <v>208</v>
      </c>
      <c r="D1269" t="s">
        <v>212</v>
      </c>
      <c r="E1269" t="s">
        <v>211</v>
      </c>
      <c r="F1269" s="3">
        <v>962102</v>
      </c>
      <c r="G1269" s="3" t="s">
        <v>174</v>
      </c>
      <c r="H1269" s="4">
        <v>148557</v>
      </c>
      <c r="I1269" cm="1">
        <f t="array" ref="I1269">_xlfn.IFS(B1269=2015,H1269/$O$10,B1269=2016,H1269/$O$11,B1269=2017,H1269/$O$12,B1269=2018,H1269/$O$13,B1269=2019,H1269/$O$14,B1269=2020,H1269/$O$15,B1269=2021,H1269/$O$16,B1269=2022,H1269/$O$17)</f>
        <v>2.6831723873011427E-3</v>
      </c>
      <c r="J1269" s="6" cm="1">
        <f t="array" ref="J1269">_xlfn.IFS(B1269=2015,I1269*$Q$1,B1269=2016,I1269*$Q$2,B1269=2017,I1269*$Q$3,B1269=2018,I1269*$Q$4,B1269=2019,I1269*$Q$5,B1269=2020,I1269*$Q$6,B1269=2021,I1269*$Q$7,B1269=2022,I1269*$Q$8)</f>
        <v>74695.046414094177</v>
      </c>
      <c r="K1269" s="7">
        <f t="shared" si="40"/>
        <v>223252.04641409416</v>
      </c>
      <c r="L1269">
        <f>IFERROR(VLOOKUP(G1269,'LEAID Match'!$A$2:$B$168,2,FALSE),"")</f>
        <v>4600028</v>
      </c>
    </row>
    <row r="1270" spans="1:12" x14ac:dyDescent="0.2">
      <c r="A1270">
        <f t="shared" si="39"/>
        <v>4600028</v>
      </c>
      <c r="B1270">
        <v>2022</v>
      </c>
      <c r="C1270" t="s">
        <v>208</v>
      </c>
      <c r="D1270" t="s">
        <v>212</v>
      </c>
      <c r="E1270" t="s">
        <v>211</v>
      </c>
      <c r="F1270" s="3">
        <v>962102</v>
      </c>
      <c r="G1270" s="3" t="s">
        <v>174</v>
      </c>
      <c r="H1270" s="4">
        <v>157376</v>
      </c>
      <c r="I1270" cm="1">
        <f t="array" ref="I1270">_xlfn.IFS(B1270=2015,H1270/$O$10,B1270=2016,H1270/$O$11,B1270=2017,H1270/$O$12,B1270=2018,H1270/$O$13,B1270=2019,H1270/$O$14,B1270=2020,H1270/$O$15,B1270=2021,H1270/$O$16,B1270=2022,H1270/$O$17)</f>
        <v>2.7255291554170932E-3</v>
      </c>
      <c r="J1270" s="6" cm="1">
        <f t="array" ref="J1270">_xlfn.IFS(B1270=2015,I1270*$Q$1,B1270=2016,I1270*$Q$2,B1270=2017,I1270*$Q$3,B1270=2018,I1270*$Q$4,B1270=2019,I1270*$Q$5,B1270=2020,I1270*$Q$6,B1270=2021,I1270*$Q$7,B1270=2022,I1270*$Q$8)</f>
        <v>80288.490681702344</v>
      </c>
      <c r="K1270" s="7">
        <f t="shared" si="40"/>
        <v>237664.49068170233</v>
      </c>
      <c r="L1270">
        <f>IFERROR(VLOOKUP(G1270,'LEAID Match'!$A$2:$B$168,2,FALSE),"")</f>
        <v>4600028</v>
      </c>
    </row>
    <row r="1271" spans="1:12" x14ac:dyDescent="0.2">
      <c r="A1271">
        <f t="shared" si="39"/>
        <v>4664300</v>
      </c>
      <c r="B1271">
        <v>2015</v>
      </c>
      <c r="C1271" t="s">
        <v>208</v>
      </c>
      <c r="D1271" t="s">
        <v>212</v>
      </c>
      <c r="E1271" t="s">
        <v>211</v>
      </c>
      <c r="F1271" s="3">
        <v>962104</v>
      </c>
      <c r="G1271" s="3" t="s">
        <v>134</v>
      </c>
      <c r="H1271" s="4">
        <v>65538</v>
      </c>
      <c r="I1271" cm="1">
        <f t="array" ref="I1271">_xlfn.IFS(B1271=2015,H1271/$O$10,B1271=2016,H1271/$O$11,B1271=2017,H1271/$O$12,B1271=2018,H1271/$O$13,B1271=2019,H1271/$O$14,B1271=2020,H1271/$O$15,B1271=2021,H1271/$O$16,B1271=2022,H1271/$O$17)</f>
        <v>1.5329530523830067E-3</v>
      </c>
      <c r="J1271" s="6" cm="1">
        <f t="array" ref="J1271">_xlfn.IFS(B1271=2015,I1271*$Q$1,B1271=2016,I1271*$Q$2,B1271=2017,I1271*$Q$3,B1271=2018,I1271*$Q$4,B1271=2019,I1271*$Q$5,B1271=2020,I1271*$Q$6,B1271=2021,I1271*$Q$7,B1271=2022,I1271*$Q$8)</f>
        <v>37698.619071926019</v>
      </c>
      <c r="K1271" s="7">
        <f t="shared" si="40"/>
        <v>103236.61907192602</v>
      </c>
      <c r="L1271">
        <f>IFERROR(VLOOKUP(G1271,'LEAID Match'!$A$2:$B$168,2,FALSE),"")</f>
        <v>4664300</v>
      </c>
    </row>
    <row r="1272" spans="1:12" x14ac:dyDescent="0.2">
      <c r="A1272">
        <f t="shared" si="39"/>
        <v>4664300</v>
      </c>
      <c r="B1272">
        <v>2016</v>
      </c>
      <c r="C1272" t="s">
        <v>208</v>
      </c>
      <c r="D1272" t="s">
        <v>212</v>
      </c>
      <c r="E1272" t="s">
        <v>211</v>
      </c>
      <c r="F1272" s="3">
        <v>962104</v>
      </c>
      <c r="G1272" s="3" t="s">
        <v>134</v>
      </c>
      <c r="H1272" s="4">
        <v>69161</v>
      </c>
      <c r="I1272" cm="1">
        <f t="array" ref="I1272">_xlfn.IFS(B1272=2015,H1272/$O$10,B1272=2016,H1272/$O$11,B1272=2017,H1272/$O$12,B1272=2018,H1272/$O$13,B1272=2019,H1272/$O$14,B1272=2020,H1272/$O$15,B1272=2021,H1272/$O$16,B1272=2022,H1272/$O$17)</f>
        <v>1.5687139986080019E-3</v>
      </c>
      <c r="J1272" s="6" cm="1">
        <f t="array" ref="J1272">_xlfn.IFS(B1272=2015,I1272*$Q$1,B1272=2016,I1272*$Q$2,B1272=2017,I1272*$Q$3,B1272=2018,I1272*$Q$4,B1272=2019,I1272*$Q$5,B1272=2020,I1272*$Q$6,B1272=2021,I1272*$Q$7,B1272=2022,I1272*$Q$8)</f>
        <v>39854.441949405169</v>
      </c>
      <c r="K1272" s="7">
        <f t="shared" si="40"/>
        <v>109015.44194940517</v>
      </c>
      <c r="L1272">
        <f>IFERROR(VLOOKUP(G1272,'LEAID Match'!$A$2:$B$168,2,FALSE),"")</f>
        <v>4664300</v>
      </c>
    </row>
    <row r="1273" spans="1:12" x14ac:dyDescent="0.2">
      <c r="A1273">
        <f t="shared" si="39"/>
        <v>4664300</v>
      </c>
      <c r="B1273">
        <v>2017</v>
      </c>
      <c r="C1273" t="s">
        <v>208</v>
      </c>
      <c r="D1273" t="s">
        <v>212</v>
      </c>
      <c r="E1273" t="s">
        <v>211</v>
      </c>
      <c r="F1273" s="3">
        <v>962104</v>
      </c>
      <c r="G1273" s="3" t="s">
        <v>134</v>
      </c>
      <c r="H1273" s="4">
        <v>65593</v>
      </c>
      <c r="I1273" cm="1">
        <f t="array" ref="I1273">_xlfn.IFS(B1273=2015,H1273/$O$10,B1273=2016,H1273/$O$11,B1273=2017,H1273/$O$12,B1273=2018,H1273/$O$13,B1273=2019,H1273/$O$14,B1273=2020,H1273/$O$15,B1273=2021,H1273/$O$16,B1273=2022,H1273/$O$17)</f>
        <v>1.3542849254603378E-3</v>
      </c>
      <c r="J1273" s="6" cm="1">
        <f t="array" ref="J1273">_xlfn.IFS(B1273=2015,I1273*$Q$1,B1273=2016,I1273*$Q$2,B1273=2017,I1273*$Q$3,B1273=2018,I1273*$Q$4,B1273=2019,I1273*$Q$5,B1273=2020,I1273*$Q$6,B1273=2021,I1273*$Q$7,B1273=2022,I1273*$Q$8)</f>
        <v>35625.188152384384</v>
      </c>
      <c r="K1273" s="7">
        <f t="shared" si="40"/>
        <v>101218.18815238439</v>
      </c>
      <c r="L1273">
        <f>IFERROR(VLOOKUP(G1273,'LEAID Match'!$A$2:$B$168,2,FALSE),"")</f>
        <v>4664300</v>
      </c>
    </row>
    <row r="1274" spans="1:12" x14ac:dyDescent="0.2">
      <c r="A1274">
        <f t="shared" si="39"/>
        <v>4664300</v>
      </c>
      <c r="B1274">
        <v>2018</v>
      </c>
      <c r="C1274" t="s">
        <v>208</v>
      </c>
      <c r="D1274" t="s">
        <v>212</v>
      </c>
      <c r="E1274" t="s">
        <v>211</v>
      </c>
      <c r="F1274" s="3">
        <v>962104</v>
      </c>
      <c r="G1274" s="3" t="s">
        <v>134</v>
      </c>
      <c r="H1274" s="4">
        <v>64676</v>
      </c>
      <c r="I1274" cm="1">
        <f t="array" ref="I1274">_xlfn.IFS(B1274=2015,H1274/$O$10,B1274=2016,H1274/$O$11,B1274=2017,H1274/$O$12,B1274=2018,H1274/$O$13,B1274=2019,H1274/$O$14,B1274=2020,H1274/$O$15,B1274=2021,H1274/$O$16,B1274=2022,H1274/$O$17)</f>
        <v>1.2898078813252307E-3</v>
      </c>
      <c r="J1274" s="6" cm="1">
        <f t="array" ref="J1274">_xlfn.IFS(B1274=2015,I1274*$Q$1,B1274=2016,I1274*$Q$2,B1274=2017,I1274*$Q$3,B1274=2018,I1274*$Q$4,B1274=2019,I1274*$Q$5,B1274=2020,I1274*$Q$6,B1274=2021,I1274*$Q$7,B1274=2022,I1274*$Q$8)</f>
        <v>33864.949378769925</v>
      </c>
      <c r="K1274" s="7">
        <f t="shared" si="40"/>
        <v>98540.949378769932</v>
      </c>
      <c r="L1274">
        <f>IFERROR(VLOOKUP(G1274,'LEAID Match'!$A$2:$B$168,2,FALSE),"")</f>
        <v>4664300</v>
      </c>
    </row>
    <row r="1275" spans="1:12" x14ac:dyDescent="0.2">
      <c r="A1275">
        <f t="shared" si="39"/>
        <v>4664300</v>
      </c>
      <c r="B1275">
        <v>2019</v>
      </c>
      <c r="C1275" t="s">
        <v>208</v>
      </c>
      <c r="D1275" t="s">
        <v>212</v>
      </c>
      <c r="E1275" t="s">
        <v>211</v>
      </c>
      <c r="F1275" s="3">
        <v>962104</v>
      </c>
      <c r="G1275" s="3" t="s">
        <v>134</v>
      </c>
      <c r="H1275" s="4">
        <v>68737</v>
      </c>
      <c r="I1275" cm="1">
        <f t="array" ref="I1275">_xlfn.IFS(B1275=2015,H1275/$O$10,B1275=2016,H1275/$O$11,B1275=2017,H1275/$O$12,B1275=2018,H1275/$O$13,B1275=2019,H1275/$O$14,B1275=2020,H1275/$O$15,B1275=2021,H1275/$O$16,B1275=2022,H1275/$O$17)</f>
        <v>1.3461819612557249E-3</v>
      </c>
      <c r="J1275" s="6" cm="1">
        <f t="array" ref="J1275">_xlfn.IFS(B1275=2015,I1275*$Q$1,B1275=2016,I1275*$Q$2,B1275=2017,I1275*$Q$3,B1275=2018,I1275*$Q$4,B1275=2019,I1275*$Q$5,B1275=2020,I1275*$Q$6,B1275=2021,I1275*$Q$7,B1275=2022,I1275*$Q$8)</f>
        <v>35603.086842122524</v>
      </c>
      <c r="K1275" s="7">
        <f t="shared" si="40"/>
        <v>104340.08684212252</v>
      </c>
      <c r="L1275">
        <f>IFERROR(VLOOKUP(G1275,'LEAID Match'!$A$2:$B$168,2,FALSE),"")</f>
        <v>4664300</v>
      </c>
    </row>
    <row r="1276" spans="1:12" x14ac:dyDescent="0.2">
      <c r="A1276">
        <f t="shared" si="39"/>
        <v>4664300</v>
      </c>
      <c r="B1276">
        <v>2020</v>
      </c>
      <c r="C1276" t="s">
        <v>208</v>
      </c>
      <c r="D1276" t="s">
        <v>212</v>
      </c>
      <c r="E1276" t="s">
        <v>211</v>
      </c>
      <c r="F1276" s="1">
        <v>962104</v>
      </c>
      <c r="G1276" s="3" t="s">
        <v>134</v>
      </c>
      <c r="H1276" s="2">
        <v>70061</v>
      </c>
      <c r="I1276" cm="1">
        <f t="array" ref="I1276">_xlfn.IFS(B1276=2015,H1276/$O$10,B1276=2016,H1276/$O$11,B1276=2017,H1276/$O$12,B1276=2018,H1276/$O$13,B1276=2019,H1276/$O$14,B1276=2020,H1276/$O$15,B1276=2021,H1276/$O$16,B1276=2022,H1276/$O$17)</f>
        <v>1.3269399202150407E-3</v>
      </c>
      <c r="J1276" s="6" cm="1">
        <f t="array" ref="J1276">_xlfn.IFS(B1276=2015,I1276*$Q$1,B1276=2016,I1276*$Q$2,B1276=2017,I1276*$Q$3,B1276=2018,I1276*$Q$4,B1276=2019,I1276*$Q$5,B1276=2020,I1276*$Q$6,B1276=2021,I1276*$Q$7,B1276=2022,I1276*$Q$8)</f>
        <v>36079.802953768529</v>
      </c>
      <c r="K1276" s="7">
        <f t="shared" si="40"/>
        <v>106140.80295376852</v>
      </c>
      <c r="L1276">
        <f>IFERROR(VLOOKUP(G1276,'LEAID Match'!$A$2:$B$168,2,FALSE),"")</f>
        <v>4664300</v>
      </c>
    </row>
    <row r="1277" spans="1:12" x14ac:dyDescent="0.2">
      <c r="A1277">
        <f t="shared" si="39"/>
        <v>4664300</v>
      </c>
      <c r="B1277">
        <v>2021</v>
      </c>
      <c r="C1277" t="s">
        <v>208</v>
      </c>
      <c r="D1277" t="s">
        <v>212</v>
      </c>
      <c r="E1277" t="s">
        <v>211</v>
      </c>
      <c r="F1277" s="3">
        <v>962104</v>
      </c>
      <c r="G1277" s="3" t="s">
        <v>134</v>
      </c>
      <c r="H1277" s="4">
        <v>71680</v>
      </c>
      <c r="I1277" cm="1">
        <f t="array" ref="I1277">_xlfn.IFS(B1277=2015,H1277/$O$10,B1277=2016,H1277/$O$11,B1277=2017,H1277/$O$12,B1277=2018,H1277/$O$13,B1277=2019,H1277/$O$14,B1277=2020,H1277/$O$15,B1277=2021,H1277/$O$16,B1277=2022,H1277/$O$17)</f>
        <v>1.2946532086791326E-3</v>
      </c>
      <c r="J1277" s="6" cm="1">
        <f t="array" ref="J1277">_xlfn.IFS(B1277=2015,I1277*$Q$1,B1277=2016,I1277*$Q$2,B1277=2017,I1277*$Q$3,B1277=2018,I1277*$Q$4,B1277=2019,I1277*$Q$5,B1277=2020,I1277*$Q$6,B1277=2021,I1277*$Q$7,B1277=2022,I1277*$Q$8)</f>
        <v>36040.987142728183</v>
      </c>
      <c r="K1277" s="7">
        <f t="shared" si="40"/>
        <v>107720.98714272818</v>
      </c>
      <c r="L1277">
        <f>IFERROR(VLOOKUP(G1277,'LEAID Match'!$A$2:$B$168,2,FALSE),"")</f>
        <v>4664300</v>
      </c>
    </row>
    <row r="1278" spans="1:12" x14ac:dyDescent="0.2">
      <c r="A1278">
        <f t="shared" si="39"/>
        <v>4664300</v>
      </c>
      <c r="B1278">
        <v>2022</v>
      </c>
      <c r="C1278" t="s">
        <v>208</v>
      </c>
      <c r="D1278" t="s">
        <v>212</v>
      </c>
      <c r="E1278" t="s">
        <v>211</v>
      </c>
      <c r="F1278" s="3">
        <v>962104</v>
      </c>
      <c r="G1278" s="3" t="s">
        <v>134</v>
      </c>
      <c r="H1278" s="4">
        <v>76399</v>
      </c>
      <c r="I1278" cm="1">
        <f t="array" ref="I1278">_xlfn.IFS(B1278=2015,H1278/$O$10,B1278=2016,H1278/$O$11,B1278=2017,H1278/$O$12,B1278=2018,H1278/$O$13,B1278=2019,H1278/$O$14,B1278=2020,H1278/$O$15,B1278=2021,H1278/$O$16,B1278=2022,H1278/$O$17)</f>
        <v>1.3231223435893052E-3</v>
      </c>
      <c r="J1278" s="6" cm="1">
        <f t="array" ref="J1278">_xlfn.IFS(B1278=2015,I1278*$Q$1,B1278=2016,I1278*$Q$2,B1278=2017,I1278*$Q$3,B1278=2018,I1278*$Q$4,B1278=2019,I1278*$Q$5,B1278=2020,I1278*$Q$6,B1278=2021,I1278*$Q$7,B1278=2022,I1278*$Q$8)</f>
        <v>38976.466548847195</v>
      </c>
      <c r="K1278" s="7">
        <f t="shared" si="40"/>
        <v>115375.46654884719</v>
      </c>
      <c r="L1278">
        <f>IFERROR(VLOOKUP(G1278,'LEAID Match'!$A$2:$B$168,2,FALSE),"")</f>
        <v>4664300</v>
      </c>
    </row>
    <row r="1279" spans="1:12" x14ac:dyDescent="0.2">
      <c r="A1279">
        <f t="shared" si="39"/>
        <v>4606360</v>
      </c>
      <c r="B1279">
        <v>2015</v>
      </c>
      <c r="C1279" t="s">
        <v>208</v>
      </c>
      <c r="D1279" t="s">
        <v>212</v>
      </c>
      <c r="E1279" t="s">
        <v>211</v>
      </c>
      <c r="F1279" s="3">
        <v>962150</v>
      </c>
      <c r="G1279" s="3" t="s">
        <v>10</v>
      </c>
      <c r="H1279" s="4">
        <v>176665</v>
      </c>
      <c r="I1279" cm="1">
        <f t="array" ref="I1279">_xlfn.IFS(B1279=2015,H1279/$O$10,B1279=2016,H1279/$O$11,B1279=2017,H1279/$O$12,B1279=2018,H1279/$O$13,B1279=2019,H1279/$O$14,B1279=2020,H1279/$O$15,B1279=2021,H1279/$O$16,B1279=2022,H1279/$O$17)</f>
        <v>4.1322461930367706E-3</v>
      </c>
      <c r="J1279" s="6" cm="1">
        <f t="array" ref="J1279">_xlfn.IFS(B1279=2015,I1279*$Q$1,B1279=2016,I1279*$Q$2,B1279=2017,I1279*$Q$3,B1279=2018,I1279*$Q$4,B1279=2019,I1279*$Q$5,B1279=2020,I1279*$Q$6,B1279=2021,I1279*$Q$7,B1279=2022,I1279*$Q$8)</f>
        <v>101620.83887732019</v>
      </c>
      <c r="K1279" s="7">
        <f t="shared" si="40"/>
        <v>278285.83887732017</v>
      </c>
      <c r="L1279">
        <f>IFERROR(VLOOKUP(G1279,'LEAID Match'!$A$2:$B$168,2,FALSE),"")</f>
        <v>4606360</v>
      </c>
    </row>
    <row r="1280" spans="1:12" x14ac:dyDescent="0.2">
      <c r="A1280">
        <f t="shared" si="39"/>
        <v>4606360</v>
      </c>
      <c r="B1280">
        <v>2016</v>
      </c>
      <c r="C1280" t="s">
        <v>208</v>
      </c>
      <c r="D1280" t="s">
        <v>212</v>
      </c>
      <c r="E1280" t="s">
        <v>211</v>
      </c>
      <c r="F1280" s="3">
        <v>962150</v>
      </c>
      <c r="G1280" s="3" t="s">
        <v>10</v>
      </c>
      <c r="H1280" s="4">
        <v>184542</v>
      </c>
      <c r="I1280" cm="1">
        <f t="array" ref="I1280">_xlfn.IFS(B1280=2015,H1280/$O$10,B1280=2016,H1280/$O$11,B1280=2017,H1280/$O$12,B1280=2018,H1280/$O$13,B1280=2019,H1280/$O$14,B1280=2020,H1280/$O$15,B1280=2021,H1280/$O$16,B1280=2022,H1280/$O$17)</f>
        <v>4.1857928417911522E-3</v>
      </c>
      <c r="J1280" s="6" cm="1">
        <f t="array" ref="J1280">_xlfn.IFS(B1280=2015,I1280*$Q$1,B1280=2016,I1280*$Q$2,B1280=2017,I1280*$Q$3,B1280=2018,I1280*$Q$4,B1280=2019,I1280*$Q$5,B1280=2020,I1280*$Q$6,B1280=2021,I1280*$Q$7,B1280=2022,I1280*$Q$8)</f>
        <v>106343.43670894187</v>
      </c>
      <c r="K1280" s="7">
        <f t="shared" si="40"/>
        <v>290885.43670894188</v>
      </c>
      <c r="L1280">
        <f>IFERROR(VLOOKUP(G1280,'LEAID Match'!$A$2:$B$168,2,FALSE),"")</f>
        <v>4606360</v>
      </c>
    </row>
    <row r="1281" spans="1:12" x14ac:dyDescent="0.2">
      <c r="A1281">
        <f t="shared" si="39"/>
        <v>4606360</v>
      </c>
      <c r="B1281">
        <v>2017</v>
      </c>
      <c r="C1281" t="s">
        <v>208</v>
      </c>
      <c r="D1281" t="s">
        <v>212</v>
      </c>
      <c r="E1281" t="s">
        <v>211</v>
      </c>
      <c r="F1281" s="3">
        <v>962150</v>
      </c>
      <c r="G1281" s="3" t="s">
        <v>10</v>
      </c>
      <c r="H1281" s="4">
        <v>207861</v>
      </c>
      <c r="I1281" cm="1">
        <f t="array" ref="I1281">_xlfn.IFS(B1281=2015,H1281/$O$10,B1281=2016,H1281/$O$11,B1281=2017,H1281/$O$12,B1281=2018,H1281/$O$13,B1281=2019,H1281/$O$14,B1281=2020,H1281/$O$15,B1281=2021,H1281/$O$16,B1281=2022,H1281/$O$17)</f>
        <v>4.2916625080589585E-3</v>
      </c>
      <c r="J1281" s="6" cm="1">
        <f t="array" ref="J1281">_xlfn.IFS(B1281=2015,I1281*$Q$1,B1281=2016,I1281*$Q$2,B1281=2017,I1281*$Q$3,B1281=2018,I1281*$Q$4,B1281=2019,I1281*$Q$5,B1281=2020,I1281*$Q$6,B1281=2021,I1281*$Q$7,B1281=2022,I1281*$Q$8)</f>
        <v>112894.47402227021</v>
      </c>
      <c r="K1281" s="7">
        <f t="shared" si="40"/>
        <v>320755.47402227018</v>
      </c>
      <c r="L1281">
        <f>IFERROR(VLOOKUP(G1281,'LEAID Match'!$A$2:$B$168,2,FALSE),"")</f>
        <v>4606360</v>
      </c>
    </row>
    <row r="1282" spans="1:12" x14ac:dyDescent="0.2">
      <c r="A1282">
        <f t="shared" si="39"/>
        <v>4606360</v>
      </c>
      <c r="B1282">
        <v>2018</v>
      </c>
      <c r="C1282" t="s">
        <v>208</v>
      </c>
      <c r="D1282" t="s">
        <v>212</v>
      </c>
      <c r="E1282" t="s">
        <v>211</v>
      </c>
      <c r="F1282" s="3">
        <v>962150</v>
      </c>
      <c r="G1282" s="3" t="s">
        <v>10</v>
      </c>
      <c r="H1282" s="4">
        <v>206920</v>
      </c>
      <c r="I1282" cm="1">
        <f t="array" ref="I1282">_xlfn.IFS(B1282=2015,H1282/$O$10,B1282=2016,H1282/$O$11,B1282=2017,H1282/$O$12,B1282=2018,H1282/$O$13,B1282=2019,H1282/$O$14,B1282=2020,H1282/$O$15,B1282=2021,H1282/$O$16,B1282=2022,H1282/$O$17)</f>
        <v>4.1265236997312252E-3</v>
      </c>
      <c r="J1282" s="6" cm="1">
        <f t="array" ref="J1282">_xlfn.IFS(B1282=2015,I1282*$Q$1,B1282=2016,I1282*$Q$2,B1282=2017,I1282*$Q$3,B1282=2018,I1282*$Q$4,B1282=2019,I1282*$Q$5,B1282=2020,I1282*$Q$6,B1282=2021,I1282*$Q$7,B1282=2022,I1282*$Q$8)</f>
        <v>108345.2180941164</v>
      </c>
      <c r="K1282" s="7">
        <f t="shared" si="40"/>
        <v>315265.21809411643</v>
      </c>
      <c r="L1282">
        <f>IFERROR(VLOOKUP(G1282,'LEAID Match'!$A$2:$B$168,2,FALSE),"")</f>
        <v>4606360</v>
      </c>
    </row>
    <row r="1283" spans="1:12" x14ac:dyDescent="0.2">
      <c r="A1283">
        <f t="shared" ref="A1283:A1326" si="41">L1283</f>
        <v>4606360</v>
      </c>
      <c r="B1283">
        <v>2019</v>
      </c>
      <c r="C1283" t="s">
        <v>208</v>
      </c>
      <c r="D1283" t="s">
        <v>212</v>
      </c>
      <c r="E1283" t="s">
        <v>211</v>
      </c>
      <c r="F1283" s="3">
        <v>962150</v>
      </c>
      <c r="G1283" s="3" t="s">
        <v>10</v>
      </c>
      <c r="H1283" s="4">
        <v>210002</v>
      </c>
      <c r="I1283" cm="1">
        <f t="array" ref="I1283">_xlfn.IFS(B1283=2015,H1283/$O$10,B1283=2016,H1283/$O$11,B1283=2017,H1283/$O$12,B1283=2018,H1283/$O$13,B1283=2019,H1283/$O$14,B1283=2020,H1283/$O$15,B1283=2021,H1283/$O$16,B1283=2022,H1283/$O$17)</f>
        <v>4.1127908437613618E-3</v>
      </c>
      <c r="J1283" s="6" cm="1">
        <f t="array" ref="J1283">_xlfn.IFS(B1283=2015,I1283*$Q$1,B1283=2016,I1283*$Q$2,B1283=2017,I1283*$Q$3,B1283=2018,I1283*$Q$4,B1283=2019,I1283*$Q$5,B1283=2020,I1283*$Q$6,B1283=2021,I1283*$Q$7,B1283=2022,I1283*$Q$8)</f>
        <v>108772.85076479065</v>
      </c>
      <c r="K1283" s="7">
        <f t="shared" ref="K1283:K1326" si="42">SUM(J1283,H1283)</f>
        <v>318774.85076479067</v>
      </c>
      <c r="L1283">
        <f>IFERROR(VLOOKUP(G1283,'LEAID Match'!$A$2:$B$168,2,FALSE),"")</f>
        <v>4606360</v>
      </c>
    </row>
    <row r="1284" spans="1:12" x14ac:dyDescent="0.2">
      <c r="A1284">
        <f t="shared" si="41"/>
        <v>4606360</v>
      </c>
      <c r="B1284">
        <v>2020</v>
      </c>
      <c r="C1284" t="s">
        <v>208</v>
      </c>
      <c r="D1284" t="s">
        <v>212</v>
      </c>
      <c r="E1284" t="s">
        <v>211</v>
      </c>
      <c r="F1284" s="1">
        <v>962150</v>
      </c>
      <c r="G1284" s="3" t="s">
        <v>10</v>
      </c>
      <c r="H1284" s="2">
        <v>218287</v>
      </c>
      <c r="I1284" cm="1">
        <f t="array" ref="I1284">_xlfn.IFS(B1284=2015,H1284/$O$10,B1284=2016,H1284/$O$11,B1284=2017,H1284/$O$12,B1284=2018,H1284/$O$13,B1284=2019,H1284/$O$14,B1284=2020,H1284/$O$15,B1284=2021,H1284/$O$16,B1284=2022,H1284/$O$17)</f>
        <v>4.1343077370288835E-3</v>
      </c>
      <c r="J1284" s="6" cm="1">
        <f t="array" ref="J1284">_xlfn.IFS(B1284=2015,I1284*$Q$1,B1284=2016,I1284*$Q$2,B1284=2017,I1284*$Q$3,B1284=2018,I1284*$Q$4,B1284=2019,I1284*$Q$5,B1284=2020,I1284*$Q$6,B1284=2021,I1284*$Q$7,B1284=2022,I1284*$Q$8)</f>
        <v>112412.78239490259</v>
      </c>
      <c r="K1284" s="7">
        <f t="shared" si="42"/>
        <v>330699.78239490261</v>
      </c>
      <c r="L1284">
        <f>IFERROR(VLOOKUP(G1284,'LEAID Match'!$A$2:$B$168,2,FALSE),"")</f>
        <v>4606360</v>
      </c>
    </row>
    <row r="1285" spans="1:12" x14ac:dyDescent="0.2">
      <c r="A1285">
        <f t="shared" si="41"/>
        <v>4606360</v>
      </c>
      <c r="B1285">
        <v>2021</v>
      </c>
      <c r="C1285" t="s">
        <v>208</v>
      </c>
      <c r="D1285" t="s">
        <v>212</v>
      </c>
      <c r="E1285" t="s">
        <v>211</v>
      </c>
      <c r="F1285" s="3">
        <v>962150</v>
      </c>
      <c r="G1285" s="3" t="s">
        <v>10</v>
      </c>
      <c r="H1285" s="4">
        <v>238621</v>
      </c>
      <c r="I1285" cm="1">
        <f t="array" ref="I1285">_xlfn.IFS(B1285=2015,H1285/$O$10,B1285=2016,H1285/$O$11,B1285=2017,H1285/$O$12,B1285=2018,H1285/$O$13,B1285=2019,H1285/$O$14,B1285=2020,H1285/$O$15,B1285=2021,H1285/$O$16,B1285=2022,H1285/$O$17)</f>
        <v>4.3098694657955263E-3</v>
      </c>
      <c r="J1285" s="6" cm="1">
        <f t="array" ref="J1285">_xlfn.IFS(B1285=2015,I1285*$Q$1,B1285=2016,I1285*$Q$2,B1285=2017,I1285*$Q$3,B1285=2018,I1285*$Q$4,B1285=2019,I1285*$Q$5,B1285=2020,I1285*$Q$6,B1285=2021,I1285*$Q$7,B1285=2022,I1285*$Q$8)</f>
        <v>119979.58137534797</v>
      </c>
      <c r="K1285" s="7">
        <f t="shared" si="42"/>
        <v>358600.58137534797</v>
      </c>
      <c r="L1285">
        <f>IFERROR(VLOOKUP(G1285,'LEAID Match'!$A$2:$B$168,2,FALSE),"")</f>
        <v>4606360</v>
      </c>
    </row>
    <row r="1286" spans="1:12" x14ac:dyDescent="0.2">
      <c r="A1286">
        <f t="shared" si="41"/>
        <v>4606360</v>
      </c>
      <c r="B1286">
        <v>2022</v>
      </c>
      <c r="C1286" t="s">
        <v>208</v>
      </c>
      <c r="D1286" t="s">
        <v>212</v>
      </c>
      <c r="E1286" t="s">
        <v>211</v>
      </c>
      <c r="F1286" s="3">
        <v>962150</v>
      </c>
      <c r="G1286" s="3" t="s">
        <v>10</v>
      </c>
      <c r="H1286" s="4">
        <v>250079</v>
      </c>
      <c r="I1286" cm="1">
        <f t="array" ref="I1286">_xlfn.IFS(B1286=2015,H1286/$O$10,B1286=2016,H1286/$O$11,B1286=2017,H1286/$O$12,B1286=2018,H1286/$O$13,B1286=2019,H1286/$O$14,B1286=2020,H1286/$O$15,B1286=2021,H1286/$O$16,B1286=2022,H1286/$O$17)</f>
        <v>4.3310136593734195E-3</v>
      </c>
      <c r="J1286" s="6" cm="1">
        <f t="array" ref="J1286">_xlfn.IFS(B1286=2015,I1286*$Q$1,B1286=2016,I1286*$Q$2,B1286=2017,I1286*$Q$3,B1286=2018,I1286*$Q$4,B1286=2019,I1286*$Q$5,B1286=2020,I1286*$Q$6,B1286=2021,I1286*$Q$7,B1286=2022,I1286*$Q$8)</f>
        <v>127582.76650308458</v>
      </c>
      <c r="K1286" s="7">
        <f t="shared" si="42"/>
        <v>377661.76650308457</v>
      </c>
      <c r="L1286">
        <f>IFERROR(VLOOKUP(G1286,'LEAID Match'!$A$2:$B$168,2,FALSE),"")</f>
        <v>4606360</v>
      </c>
    </row>
    <row r="1287" spans="1:12" x14ac:dyDescent="0.2">
      <c r="A1287">
        <f t="shared" si="41"/>
        <v>4680441</v>
      </c>
      <c r="B1287">
        <v>2015</v>
      </c>
      <c r="C1287" t="s">
        <v>208</v>
      </c>
      <c r="D1287" t="s">
        <v>212</v>
      </c>
      <c r="E1287" t="s">
        <v>211</v>
      </c>
      <c r="F1287" s="3">
        <v>963101</v>
      </c>
      <c r="G1287" s="3" t="s">
        <v>184</v>
      </c>
      <c r="H1287" s="4">
        <v>189990</v>
      </c>
      <c r="I1287" cm="1">
        <f t="array" ref="I1287">_xlfn.IFS(B1287=2015,H1287/$O$10,B1287=2016,H1287/$O$11,B1287=2017,H1287/$O$12,B1287=2018,H1287/$O$13,B1287=2019,H1287/$O$14,B1287=2020,H1287/$O$15,B1287=2021,H1287/$O$16,B1287=2022,H1287/$O$17)</f>
        <v>4.443921853310254E-3</v>
      </c>
      <c r="J1287" s="6" cm="1">
        <f t="array" ref="J1287">_xlfn.IFS(B1287=2015,I1287*$Q$1,B1287=2016,I1287*$Q$2,B1287=2017,I1287*$Q$3,B1287=2018,I1287*$Q$4,B1287=2019,I1287*$Q$5,B1287=2020,I1287*$Q$6,B1287=2021,I1287*$Q$7,B1287=2022,I1287*$Q$8)</f>
        <v>109285.61502449303</v>
      </c>
      <c r="K1287" s="7">
        <f t="shared" si="42"/>
        <v>299275.61502449302</v>
      </c>
      <c r="L1287">
        <f>IFERROR(VLOOKUP(G1287,'LEAID Match'!$A$2:$B$168,2,FALSE),"")</f>
        <v>4680441</v>
      </c>
    </row>
    <row r="1288" spans="1:12" x14ac:dyDescent="0.2">
      <c r="A1288">
        <f t="shared" si="41"/>
        <v>4680441</v>
      </c>
      <c r="B1288">
        <v>2016</v>
      </c>
      <c r="C1288" t="s">
        <v>208</v>
      </c>
      <c r="D1288" t="s">
        <v>212</v>
      </c>
      <c r="E1288" t="s">
        <v>211</v>
      </c>
      <c r="F1288" s="3">
        <v>963101</v>
      </c>
      <c r="G1288" s="3" t="s">
        <v>184</v>
      </c>
      <c r="H1288" s="4">
        <v>194373</v>
      </c>
      <c r="I1288" cm="1">
        <f t="array" ref="I1288">_xlfn.IFS(B1288=2015,H1288/$O$10,B1288=2016,H1288/$O$11,B1288=2017,H1288/$O$12,B1288=2018,H1288/$O$13,B1288=2019,H1288/$O$14,B1288=2020,H1288/$O$15,B1288=2021,H1288/$O$16,B1288=2022,H1288/$O$17)</f>
        <v>4.4087801803246503E-3</v>
      </c>
      <c r="J1288" s="6" cm="1">
        <f t="array" ref="J1288">_xlfn.IFS(B1288=2015,I1288*$Q$1,B1288=2016,I1288*$Q$2,B1288=2017,I1288*$Q$3,B1288=2018,I1288*$Q$4,B1288=2019,I1288*$Q$5,B1288=2020,I1288*$Q$6,B1288=2021,I1288*$Q$7,B1288=2022,I1288*$Q$8)</f>
        <v>112008.6095491929</v>
      </c>
      <c r="K1288" s="7">
        <f t="shared" si="42"/>
        <v>306381.60954919289</v>
      </c>
      <c r="L1288">
        <f>IFERROR(VLOOKUP(G1288,'LEAID Match'!$A$2:$B$168,2,FALSE),"")</f>
        <v>4680441</v>
      </c>
    </row>
    <row r="1289" spans="1:12" x14ac:dyDescent="0.2">
      <c r="A1289">
        <f t="shared" si="41"/>
        <v>4680441</v>
      </c>
      <c r="B1289">
        <v>2017</v>
      </c>
      <c r="C1289" t="s">
        <v>208</v>
      </c>
      <c r="D1289" t="s">
        <v>212</v>
      </c>
      <c r="E1289" t="s">
        <v>211</v>
      </c>
      <c r="F1289" s="3">
        <v>963101</v>
      </c>
      <c r="G1289" s="3" t="s">
        <v>184</v>
      </c>
      <c r="H1289" s="4">
        <v>233909</v>
      </c>
      <c r="I1289" cm="1">
        <f t="array" ref="I1289">_xlfn.IFS(B1289=2015,H1289/$O$10,B1289=2016,H1289/$O$11,B1289=2017,H1289/$O$12,B1289=2018,H1289/$O$13,B1289=2019,H1289/$O$14,B1289=2020,H1289/$O$15,B1289=2021,H1289/$O$16,B1289=2022,H1289/$O$17)</f>
        <v>4.8294701054914721E-3</v>
      </c>
      <c r="J1289" s="6" cm="1">
        <f t="array" ref="J1289">_xlfn.IFS(B1289=2015,I1289*$Q$1,B1289=2016,I1289*$Q$2,B1289=2017,I1289*$Q$3,B1289=2018,I1289*$Q$4,B1289=2019,I1289*$Q$5,B1289=2020,I1289*$Q$6,B1289=2021,I1289*$Q$7,B1289=2022,I1289*$Q$8)</f>
        <v>127041.79006198951</v>
      </c>
      <c r="K1289" s="7">
        <f t="shared" si="42"/>
        <v>360950.79006198951</v>
      </c>
      <c r="L1289">
        <f>IFERROR(VLOOKUP(G1289,'LEAID Match'!$A$2:$B$168,2,FALSE),"")</f>
        <v>4680441</v>
      </c>
    </row>
    <row r="1290" spans="1:12" x14ac:dyDescent="0.2">
      <c r="A1290">
        <f t="shared" si="41"/>
        <v>4680441</v>
      </c>
      <c r="B1290">
        <v>2018</v>
      </c>
      <c r="C1290" t="s">
        <v>208</v>
      </c>
      <c r="D1290" t="s">
        <v>212</v>
      </c>
      <c r="E1290" t="s">
        <v>211</v>
      </c>
      <c r="F1290" s="3">
        <v>963101</v>
      </c>
      <c r="G1290" s="3" t="s">
        <v>184</v>
      </c>
      <c r="H1290" s="4">
        <v>225221</v>
      </c>
      <c r="I1290" cm="1">
        <f t="array" ref="I1290">_xlfn.IFS(B1290=2015,H1290/$O$10,B1290=2016,H1290/$O$11,B1290=2017,H1290/$O$12,B1290=2018,H1290/$O$13,B1290=2019,H1290/$O$14,B1290=2020,H1290/$O$15,B1290=2021,H1290/$O$16,B1290=2022,H1290/$O$17)</f>
        <v>4.4914933026153408E-3</v>
      </c>
      <c r="J1290" s="6" cm="1">
        <f t="array" ref="J1290">_xlfn.IFS(B1290=2015,I1290*$Q$1,B1290=2016,I1290*$Q$2,B1290=2017,I1290*$Q$3,B1290=2018,I1290*$Q$4,B1290=2019,I1290*$Q$5,B1290=2020,I1290*$Q$6,B1290=2021,I1290*$Q$7,B1290=2022,I1290*$Q$8)</f>
        <v>117927.79027824759</v>
      </c>
      <c r="K1290" s="7">
        <f t="shared" si="42"/>
        <v>343148.79027824756</v>
      </c>
      <c r="L1290">
        <f>IFERROR(VLOOKUP(G1290,'LEAID Match'!$A$2:$B$168,2,FALSE),"")</f>
        <v>4680441</v>
      </c>
    </row>
    <row r="1291" spans="1:12" x14ac:dyDescent="0.2">
      <c r="A1291">
        <f t="shared" si="41"/>
        <v>4680441</v>
      </c>
      <c r="B1291">
        <v>2019</v>
      </c>
      <c r="C1291" t="s">
        <v>208</v>
      </c>
      <c r="D1291" t="s">
        <v>212</v>
      </c>
      <c r="E1291" t="s">
        <v>211</v>
      </c>
      <c r="F1291" s="3">
        <v>963101</v>
      </c>
      <c r="G1291" s="3" t="s">
        <v>184</v>
      </c>
      <c r="H1291" s="4">
        <v>215943</v>
      </c>
      <c r="I1291" cm="1">
        <f t="array" ref="I1291">_xlfn.IFS(B1291=2015,H1291/$O$10,B1291=2016,H1291/$O$11,B1291=2017,H1291/$O$12,B1291=2018,H1291/$O$13,B1291=2019,H1291/$O$14,B1291=2020,H1291/$O$15,B1291=2021,H1291/$O$16,B1291=2022,H1291/$O$17)</f>
        <v>4.2291425470917408E-3</v>
      </c>
      <c r="J1291" s="6" cm="1">
        <f t="array" ref="J1291">_xlfn.IFS(B1291=2015,I1291*$Q$1,B1291=2016,I1291*$Q$2,B1291=2017,I1291*$Q$3,B1291=2018,I1291*$Q$4,B1291=2019,I1291*$Q$5,B1291=2020,I1291*$Q$6,B1291=2021,I1291*$Q$7,B1291=2022,I1291*$Q$8)</f>
        <v>111850.0572027942</v>
      </c>
      <c r="K1291" s="7">
        <f t="shared" si="42"/>
        <v>327793.05720279418</v>
      </c>
      <c r="L1291">
        <f>IFERROR(VLOOKUP(G1291,'LEAID Match'!$A$2:$B$168,2,FALSE),"")</f>
        <v>4680441</v>
      </c>
    </row>
    <row r="1292" spans="1:12" x14ac:dyDescent="0.2">
      <c r="A1292">
        <f t="shared" si="41"/>
        <v>4680441</v>
      </c>
      <c r="B1292">
        <v>2020</v>
      </c>
      <c r="C1292" t="s">
        <v>208</v>
      </c>
      <c r="D1292" t="s">
        <v>212</v>
      </c>
      <c r="E1292" t="s">
        <v>211</v>
      </c>
      <c r="F1292" s="1">
        <v>963101</v>
      </c>
      <c r="G1292" s="3" t="s">
        <v>184</v>
      </c>
      <c r="H1292" s="2">
        <v>225277</v>
      </c>
      <c r="I1292" cm="1">
        <f t="array" ref="I1292">_xlfn.IFS(B1292=2015,H1292/$O$10,B1292=2016,H1292/$O$11,B1292=2017,H1292/$O$12,B1292=2018,H1292/$O$13,B1292=2019,H1292/$O$14,B1292=2020,H1292/$O$15,B1292=2021,H1292/$O$16,B1292=2022,H1292/$O$17)</f>
        <v>4.2666967985938503E-3</v>
      </c>
      <c r="J1292" s="6" cm="1">
        <f t="array" ref="J1292">_xlfn.IFS(B1292=2015,I1292*$Q$1,B1292=2016,I1292*$Q$2,B1292=2017,I1292*$Q$3,B1292=2018,I1292*$Q$4,B1292=2019,I1292*$Q$5,B1292=2020,I1292*$Q$6,B1292=2021,I1292*$Q$7,B1292=2022,I1292*$Q$8)</f>
        <v>116012.47156072727</v>
      </c>
      <c r="K1292" s="7">
        <f t="shared" si="42"/>
        <v>341289.47156072728</v>
      </c>
      <c r="L1292">
        <f>IFERROR(VLOOKUP(G1292,'LEAID Match'!$A$2:$B$168,2,FALSE),"")</f>
        <v>4680441</v>
      </c>
    </row>
    <row r="1293" spans="1:12" x14ac:dyDescent="0.2">
      <c r="A1293">
        <f t="shared" si="41"/>
        <v>4680441</v>
      </c>
      <c r="B1293">
        <v>2021</v>
      </c>
      <c r="C1293" t="s">
        <v>208</v>
      </c>
      <c r="D1293" t="s">
        <v>212</v>
      </c>
      <c r="E1293" t="s">
        <v>211</v>
      </c>
      <c r="F1293" s="3">
        <v>963101</v>
      </c>
      <c r="G1293" s="3" t="s">
        <v>184</v>
      </c>
      <c r="H1293" s="4">
        <v>227069</v>
      </c>
      <c r="I1293" cm="1">
        <f t="array" ref="I1293">_xlfn.IFS(B1293=2015,H1293/$O$10,B1293=2016,H1293/$O$11,B1293=2017,H1293/$O$12,B1293=2018,H1293/$O$13,B1293=2019,H1293/$O$14,B1293=2020,H1293/$O$15,B1293=2021,H1293/$O$16,B1293=2022,H1293/$O$17)</f>
        <v>4.1012222299325052E-3</v>
      </c>
      <c r="J1293" s="6" cm="1">
        <f t="array" ref="J1293">_xlfn.IFS(B1293=2015,I1293*$Q$1,B1293=2016,I1293*$Q$2,B1293=2017,I1293*$Q$3,B1293=2018,I1293*$Q$4,B1293=2019,I1293*$Q$5,B1293=2020,I1293*$Q$6,B1293=2021,I1293*$Q$7,B1293=2022,I1293*$Q$8)</f>
        <v>114171.19014386364</v>
      </c>
      <c r="K1293" s="7">
        <f t="shared" si="42"/>
        <v>341240.19014386367</v>
      </c>
      <c r="L1293">
        <f>IFERROR(VLOOKUP(G1293,'LEAID Match'!$A$2:$B$168,2,FALSE),"")</f>
        <v>4680441</v>
      </c>
    </row>
    <row r="1294" spans="1:12" x14ac:dyDescent="0.2">
      <c r="A1294">
        <f t="shared" si="41"/>
        <v>4680441</v>
      </c>
      <c r="B1294">
        <v>2022</v>
      </c>
      <c r="C1294" t="s">
        <v>208</v>
      </c>
      <c r="D1294" t="s">
        <v>212</v>
      </c>
      <c r="E1294" t="s">
        <v>211</v>
      </c>
      <c r="F1294" s="3">
        <v>963101</v>
      </c>
      <c r="G1294" s="3" t="s">
        <v>184</v>
      </c>
      <c r="H1294" s="4">
        <v>240427</v>
      </c>
      <c r="I1294" cm="1">
        <f t="array" ref="I1294">_xlfn.IFS(B1294=2015,H1294/$O$10,B1294=2016,H1294/$O$11,B1294=2017,H1294/$O$12,B1294=2018,H1294/$O$13,B1294=2019,H1294/$O$14,B1294=2020,H1294/$O$15,B1294=2021,H1294/$O$16,B1294=2022,H1294/$O$17)</f>
        <v>4.1638547062415199E-3</v>
      </c>
      <c r="J1294" s="6" cm="1">
        <f t="array" ref="J1294">_xlfn.IFS(B1294=2015,I1294*$Q$1,B1294=2016,I1294*$Q$2,B1294=2017,I1294*$Q$3,B1294=2018,I1294*$Q$4,B1294=2019,I1294*$Q$5,B1294=2020,I1294*$Q$6,B1294=2021,I1294*$Q$7,B1294=2022,I1294*$Q$8)</f>
        <v>122658.60708830856</v>
      </c>
      <c r="K1294" s="7">
        <f t="shared" si="42"/>
        <v>363085.60708830855</v>
      </c>
      <c r="L1294">
        <f>IFERROR(VLOOKUP(G1294,'LEAID Match'!$A$2:$B$168,2,FALSE),"")</f>
        <v>4680441</v>
      </c>
    </row>
    <row r="1295" spans="1:12" x14ac:dyDescent="0.2">
      <c r="A1295">
        <f t="shared" si="41"/>
        <v>4670000</v>
      </c>
      <c r="B1295">
        <v>2015</v>
      </c>
      <c r="C1295" t="s">
        <v>208</v>
      </c>
      <c r="D1295" t="s">
        <v>212</v>
      </c>
      <c r="E1295" t="s">
        <v>211</v>
      </c>
      <c r="F1295" s="3">
        <v>963102</v>
      </c>
      <c r="G1295" s="3" t="s">
        <v>111</v>
      </c>
      <c r="H1295" s="4">
        <v>35602</v>
      </c>
      <c r="I1295" cm="1">
        <f t="array" ref="I1295">_xlfn.IFS(B1295=2015,H1295/$O$10,B1295=2016,H1295/$O$11,B1295=2017,H1295/$O$12,B1295=2018,H1295/$O$13,B1295=2019,H1295/$O$14,B1295=2020,H1295/$O$15,B1295=2021,H1295/$O$16,B1295=2022,H1295/$O$17)</f>
        <v>8.3274122754645858E-4</v>
      </c>
      <c r="J1295" s="6" cm="1">
        <f t="array" ref="J1295">_xlfn.IFS(B1295=2015,I1295*$Q$1,B1295=2016,I1295*$Q$2,B1295=2017,I1295*$Q$3,B1295=2018,I1295*$Q$4,B1295=2019,I1295*$Q$5,B1295=2020,I1295*$Q$6,B1295=2021,I1295*$Q$7,B1295=2022,I1295*$Q$8)</f>
        <v>20478.901342712779</v>
      </c>
      <c r="K1295" s="7">
        <f t="shared" si="42"/>
        <v>56080.901342712779</v>
      </c>
      <c r="L1295">
        <f>IFERROR(VLOOKUP(G1295,'LEAID Match'!$A$2:$B$168,2,FALSE),"")</f>
        <v>4670000</v>
      </c>
    </row>
    <row r="1296" spans="1:12" x14ac:dyDescent="0.2">
      <c r="A1296">
        <f t="shared" si="41"/>
        <v>4670000</v>
      </c>
      <c r="B1296">
        <v>2016</v>
      </c>
      <c r="C1296" t="s">
        <v>208</v>
      </c>
      <c r="D1296" t="s">
        <v>212</v>
      </c>
      <c r="E1296" t="s">
        <v>211</v>
      </c>
      <c r="F1296" s="3">
        <v>963102</v>
      </c>
      <c r="G1296" s="3" t="s">
        <v>111</v>
      </c>
      <c r="H1296" s="4">
        <v>34369</v>
      </c>
      <c r="I1296" cm="1">
        <f t="array" ref="I1296">_xlfn.IFS(B1296=2015,H1296/$O$10,B1296=2016,H1296/$O$11,B1296=2017,H1296/$O$12,B1296=2018,H1296/$O$13,B1296=2019,H1296/$O$14,B1296=2020,H1296/$O$15,B1296=2021,H1296/$O$16,B1296=2022,H1296/$O$17)</f>
        <v>7.7955974347043017E-4</v>
      </c>
      <c r="J1296" s="6" cm="1">
        <f t="array" ref="J1296">_xlfn.IFS(B1296=2015,I1296*$Q$1,B1296=2016,I1296*$Q$2,B1296=2017,I1296*$Q$3,B1296=2018,I1296*$Q$4,B1296=2019,I1296*$Q$5,B1296=2020,I1296*$Q$6,B1296=2021,I1296*$Q$7,B1296=2022,I1296*$Q$8)</f>
        <v>19805.342828459772</v>
      </c>
      <c r="K1296" s="7">
        <f t="shared" si="42"/>
        <v>54174.342828459776</v>
      </c>
      <c r="L1296">
        <f>IFERROR(VLOOKUP(G1296,'LEAID Match'!$A$2:$B$168,2,FALSE),"")</f>
        <v>4670000</v>
      </c>
    </row>
    <row r="1297" spans="1:12" x14ac:dyDescent="0.2">
      <c r="A1297">
        <f t="shared" si="41"/>
        <v>4670000</v>
      </c>
      <c r="B1297">
        <v>2017</v>
      </c>
      <c r="C1297" t="s">
        <v>208</v>
      </c>
      <c r="D1297" t="s">
        <v>212</v>
      </c>
      <c r="E1297" t="s">
        <v>211</v>
      </c>
      <c r="F1297" s="3">
        <v>963102</v>
      </c>
      <c r="G1297" s="3" t="s">
        <v>111</v>
      </c>
      <c r="H1297" s="4">
        <v>44438</v>
      </c>
      <c r="I1297" cm="1">
        <f t="array" ref="I1297">_xlfn.IFS(B1297=2015,H1297/$O$10,B1297=2016,H1297/$O$11,B1297=2017,H1297/$O$12,B1297=2018,H1297/$O$13,B1297=2019,H1297/$O$14,B1297=2020,H1297/$O$15,B1297=2021,H1297/$O$16,B1297=2022,H1297/$O$17)</f>
        <v>9.1750207366039804E-4</v>
      </c>
      <c r="J1297" s="6" cm="1">
        <f t="array" ref="J1297">_xlfn.IFS(B1297=2015,I1297*$Q$1,B1297=2016,I1297*$Q$2,B1297=2017,I1297*$Q$3,B1297=2018,I1297*$Q$4,B1297=2019,I1297*$Q$5,B1297=2020,I1297*$Q$6,B1297=2021,I1297*$Q$7,B1297=2022,I1297*$Q$8)</f>
        <v>24135.381993744104</v>
      </c>
      <c r="K1297" s="7">
        <f t="shared" si="42"/>
        <v>68573.3819937441</v>
      </c>
      <c r="L1297">
        <f>IFERROR(VLOOKUP(G1297,'LEAID Match'!$A$2:$B$168,2,FALSE),"")</f>
        <v>4670000</v>
      </c>
    </row>
    <row r="1298" spans="1:12" x14ac:dyDescent="0.2">
      <c r="A1298">
        <f t="shared" si="41"/>
        <v>4670000</v>
      </c>
      <c r="B1298">
        <v>2018</v>
      </c>
      <c r="C1298" t="s">
        <v>208</v>
      </c>
      <c r="D1298" t="s">
        <v>212</v>
      </c>
      <c r="E1298" t="s">
        <v>211</v>
      </c>
      <c r="F1298" s="3">
        <v>963102</v>
      </c>
      <c r="G1298" s="3" t="s">
        <v>111</v>
      </c>
      <c r="H1298" s="4">
        <v>37002</v>
      </c>
      <c r="I1298" cm="1">
        <f t="array" ref="I1298">_xlfn.IFS(B1298=2015,H1298/$O$10,B1298=2016,H1298/$O$11,B1298=2017,H1298/$O$12,B1298=2018,H1298/$O$13,B1298=2019,H1298/$O$14,B1298=2020,H1298/$O$15,B1298=2021,H1298/$O$16,B1298=2022,H1298/$O$17)</f>
        <v>7.3791624752297892E-4</v>
      </c>
      <c r="J1298" s="6" cm="1">
        <f t="array" ref="J1298">_xlfn.IFS(B1298=2015,I1298*$Q$1,B1298=2016,I1298*$Q$2,B1298=2017,I1298*$Q$3,B1298=2018,I1298*$Q$4,B1298=2019,I1298*$Q$5,B1298=2020,I1298*$Q$6,B1298=2021,I1298*$Q$7,B1298=2022,I1298*$Q$8)</f>
        <v>19374.588052960058</v>
      </c>
      <c r="K1298" s="7">
        <f t="shared" si="42"/>
        <v>56376.588052960054</v>
      </c>
      <c r="L1298">
        <f>IFERROR(VLOOKUP(G1298,'LEAID Match'!$A$2:$B$168,2,FALSE),"")</f>
        <v>4670000</v>
      </c>
    </row>
    <row r="1299" spans="1:12" x14ac:dyDescent="0.2">
      <c r="A1299">
        <f t="shared" si="41"/>
        <v>4670000</v>
      </c>
      <c r="B1299">
        <v>2019</v>
      </c>
      <c r="C1299" t="s">
        <v>208</v>
      </c>
      <c r="D1299" t="s">
        <v>212</v>
      </c>
      <c r="E1299" t="s">
        <v>211</v>
      </c>
      <c r="F1299" s="3">
        <v>963102</v>
      </c>
      <c r="G1299" s="3" t="s">
        <v>111</v>
      </c>
      <c r="H1299" s="4">
        <v>35887</v>
      </c>
      <c r="I1299" cm="1">
        <f t="array" ref="I1299">_xlfn.IFS(B1299=2015,H1299/$O$10,B1299=2016,H1299/$O$11,B1299=2017,H1299/$O$12,B1299=2018,H1299/$O$13,B1299=2019,H1299/$O$14,B1299=2020,H1299/$O$15,B1299=2021,H1299/$O$16,B1299=2022,H1299/$O$17)</f>
        <v>7.0283009214228435E-4</v>
      </c>
      <c r="J1299" s="6" cm="1">
        <f t="array" ref="J1299">_xlfn.IFS(B1299=2015,I1299*$Q$1,B1299=2016,I1299*$Q$2,B1299=2017,I1299*$Q$3,B1299=2018,I1299*$Q$4,B1299=2019,I1299*$Q$5,B1299=2020,I1299*$Q$6,B1299=2021,I1299*$Q$7,B1299=2022,I1299*$Q$8)</f>
        <v>18588.067234578921</v>
      </c>
      <c r="K1299" s="7">
        <f t="shared" si="42"/>
        <v>54475.067234578921</v>
      </c>
      <c r="L1299">
        <f>IFERROR(VLOOKUP(G1299,'LEAID Match'!$A$2:$B$168,2,FALSE),"")</f>
        <v>4670000</v>
      </c>
    </row>
    <row r="1300" spans="1:12" x14ac:dyDescent="0.2">
      <c r="A1300">
        <f t="shared" si="41"/>
        <v>4670000</v>
      </c>
      <c r="B1300">
        <v>2020</v>
      </c>
      <c r="C1300" t="s">
        <v>208</v>
      </c>
      <c r="D1300" t="s">
        <v>212</v>
      </c>
      <c r="E1300" t="s">
        <v>211</v>
      </c>
      <c r="F1300" s="1">
        <v>963102</v>
      </c>
      <c r="G1300" s="3" t="s">
        <v>111</v>
      </c>
      <c r="H1300" s="2">
        <v>36954</v>
      </c>
      <c r="I1300" cm="1">
        <f t="array" ref="I1300">_xlfn.IFS(B1300=2015,H1300/$O$10,B1300=2016,H1300/$O$11,B1300=2017,H1300/$O$12,B1300=2018,H1300/$O$13,B1300=2019,H1300/$O$14,B1300=2020,H1300/$O$15,B1300=2021,H1300/$O$16,B1300=2022,H1300/$O$17)</f>
        <v>6.9990062676277269E-4</v>
      </c>
      <c r="J1300" s="6" cm="1">
        <f t="array" ref="J1300">_xlfn.IFS(B1300=2015,I1300*$Q$1,B1300=2016,I1300*$Q$2,B1300=2017,I1300*$Q$3,B1300=2018,I1300*$Q$4,B1300=2019,I1300*$Q$5,B1300=2020,I1300*$Q$6,B1300=2021,I1300*$Q$7,B1300=2022,I1300*$Q$8)</f>
        <v>19030.459718724571</v>
      </c>
      <c r="K1300" s="7">
        <f t="shared" si="42"/>
        <v>55984.459718724567</v>
      </c>
      <c r="L1300">
        <f>IFERROR(VLOOKUP(G1300,'LEAID Match'!$A$2:$B$168,2,FALSE),"")</f>
        <v>4670000</v>
      </c>
    </row>
    <row r="1301" spans="1:12" x14ac:dyDescent="0.2">
      <c r="A1301">
        <f t="shared" si="41"/>
        <v>4670000</v>
      </c>
      <c r="B1301">
        <v>2021</v>
      </c>
      <c r="C1301" t="s">
        <v>208</v>
      </c>
      <c r="D1301" t="s">
        <v>212</v>
      </c>
      <c r="E1301" t="s">
        <v>211</v>
      </c>
      <c r="F1301" s="3">
        <v>963102</v>
      </c>
      <c r="G1301" s="3" t="s">
        <v>111</v>
      </c>
      <c r="H1301" s="4">
        <v>41559</v>
      </c>
      <c r="I1301" cm="1">
        <f t="array" ref="I1301">_xlfn.IFS(B1301=2015,H1301/$O$10,B1301=2016,H1301/$O$11,B1301=2017,H1301/$O$12,B1301=2018,H1301/$O$13,B1301=2019,H1301/$O$14,B1301=2020,H1301/$O$15,B1301=2021,H1301/$O$16,B1301=2022,H1301/$O$17)</f>
        <v>7.5062071288359473E-4</v>
      </c>
      <c r="J1301" s="6" cm="1">
        <f t="array" ref="J1301">_xlfn.IFS(B1301=2015,I1301*$Q$1,B1301=2016,I1301*$Q$2,B1301=2017,I1301*$Q$3,B1301=2018,I1301*$Q$4,B1301=2019,I1301*$Q$5,B1301=2020,I1301*$Q$6,B1301=2021,I1301*$Q$7,B1301=2022,I1301*$Q$8)</f>
        <v>20896.029361950899</v>
      </c>
      <c r="K1301" s="7">
        <f t="shared" si="42"/>
        <v>62455.029361950903</v>
      </c>
      <c r="L1301">
        <f>IFERROR(VLOOKUP(G1301,'LEAID Match'!$A$2:$B$168,2,FALSE),"")</f>
        <v>4670000</v>
      </c>
    </row>
    <row r="1302" spans="1:12" x14ac:dyDescent="0.2">
      <c r="A1302">
        <f t="shared" si="41"/>
        <v>4670000</v>
      </c>
      <c r="B1302">
        <v>2022</v>
      </c>
      <c r="C1302" t="s">
        <v>208</v>
      </c>
      <c r="D1302" t="s">
        <v>212</v>
      </c>
      <c r="E1302" t="s">
        <v>211</v>
      </c>
      <c r="F1302" s="3">
        <v>963102</v>
      </c>
      <c r="G1302" s="3" t="s">
        <v>111</v>
      </c>
      <c r="H1302" s="4">
        <v>36446</v>
      </c>
      <c r="I1302" cm="1">
        <f t="array" ref="I1302">_xlfn.IFS(B1302=2015,H1302/$O$10,B1302=2016,H1302/$O$11,B1302=2017,H1302/$O$12,B1302=2018,H1302/$O$13,B1302=2019,H1302/$O$14,B1302=2020,H1302/$O$15,B1302=2021,H1302/$O$16,B1302=2022,H1302/$O$17)</f>
        <v>6.311930383179861E-4</v>
      </c>
      <c r="J1302" s="6" cm="1">
        <f t="array" ref="J1302">_xlfn.IFS(B1302=2015,I1302*$Q$1,B1302=2016,I1302*$Q$2,B1302=2017,I1302*$Q$3,B1302=2018,I1302*$Q$4,B1302=2019,I1302*$Q$5,B1302=2020,I1302*$Q$6,B1302=2021,I1302*$Q$7,B1302=2022,I1302*$Q$8)</f>
        <v>18593.650438347166</v>
      </c>
      <c r="K1302" s="7">
        <f t="shared" si="42"/>
        <v>55039.650438347162</v>
      </c>
      <c r="L1302">
        <f>IFERROR(VLOOKUP(G1302,'LEAID Match'!$A$2:$B$168,2,FALSE),"")</f>
        <v>4670000</v>
      </c>
    </row>
    <row r="1303" spans="1:12" x14ac:dyDescent="0.2">
      <c r="A1303">
        <f t="shared" si="41"/>
        <v>4601028</v>
      </c>
      <c r="B1303">
        <v>2015</v>
      </c>
      <c r="C1303" t="s">
        <v>208</v>
      </c>
      <c r="D1303" t="s">
        <v>212</v>
      </c>
      <c r="E1303" t="s">
        <v>211</v>
      </c>
      <c r="F1303" s="3">
        <v>963112</v>
      </c>
      <c r="G1303" s="3" t="s">
        <v>126</v>
      </c>
      <c r="H1303" s="4">
        <v>63599</v>
      </c>
      <c r="I1303" cm="1">
        <f t="array" ref="I1303">_xlfn.IFS(B1303=2015,H1303/$O$10,B1303=2016,H1303/$O$11,B1303=2017,H1303/$O$12,B1303=2018,H1303/$O$13,B1303=2019,H1303/$O$14,B1303=2020,H1303/$O$15,B1303=2021,H1303/$O$16,B1303=2022,H1303/$O$17)</f>
        <v>1.4875992733758558E-3</v>
      </c>
      <c r="J1303" s="6" cm="1">
        <f t="array" ref="J1303">_xlfn.IFS(B1303=2015,I1303*$Q$1,B1303=2016,I1303*$Q$2,B1303=2017,I1303*$Q$3,B1303=2018,I1303*$Q$4,B1303=2019,I1303*$Q$5,B1303=2020,I1303*$Q$6,B1303=2021,I1303*$Q$7,B1303=2022,I1303*$Q$8)</f>
        <v>36583.271908746421</v>
      </c>
      <c r="K1303" s="7">
        <f t="shared" si="42"/>
        <v>100182.27190874642</v>
      </c>
      <c r="L1303">
        <f>IFERROR(VLOOKUP(G1303,'LEAID Match'!$A$2:$B$168,2,FALSE),"")</f>
        <v>4601028</v>
      </c>
    </row>
    <row r="1304" spans="1:12" x14ac:dyDescent="0.2">
      <c r="A1304">
        <f t="shared" si="41"/>
        <v>4601028</v>
      </c>
      <c r="B1304">
        <v>2016</v>
      </c>
      <c r="C1304" t="s">
        <v>208</v>
      </c>
      <c r="D1304" t="s">
        <v>212</v>
      </c>
      <c r="E1304" t="s">
        <v>211</v>
      </c>
      <c r="F1304" s="3">
        <v>963112</v>
      </c>
      <c r="G1304" s="3" t="s">
        <v>126</v>
      </c>
      <c r="H1304" s="4">
        <v>67914</v>
      </c>
      <c r="I1304" cm="1">
        <f t="array" ref="I1304">_xlfn.IFS(B1304=2015,H1304/$O$10,B1304=2016,H1304/$O$11,B1304=2017,H1304/$O$12,B1304=2018,H1304/$O$13,B1304=2019,H1304/$O$14,B1304=2020,H1304/$O$15,B1304=2021,H1304/$O$16,B1304=2022,H1304/$O$17)</f>
        <v>1.5404294689415111E-3</v>
      </c>
      <c r="J1304" s="6" cm="1">
        <f t="array" ref="J1304">_xlfn.IFS(B1304=2015,I1304*$Q$1,B1304=2016,I1304*$Q$2,B1304=2017,I1304*$Q$3,B1304=2018,I1304*$Q$4,B1304=2019,I1304*$Q$5,B1304=2020,I1304*$Q$6,B1304=2021,I1304*$Q$7,B1304=2022,I1304*$Q$8)</f>
        <v>39135.85070418159</v>
      </c>
      <c r="K1304" s="7">
        <f t="shared" si="42"/>
        <v>107049.85070418159</v>
      </c>
      <c r="L1304">
        <f>IFERROR(VLOOKUP(G1304,'LEAID Match'!$A$2:$B$168,2,FALSE),"")</f>
        <v>4601028</v>
      </c>
    </row>
    <row r="1305" spans="1:12" x14ac:dyDescent="0.2">
      <c r="A1305">
        <f t="shared" si="41"/>
        <v>4601028</v>
      </c>
      <c r="B1305">
        <v>2017</v>
      </c>
      <c r="C1305" t="s">
        <v>208</v>
      </c>
      <c r="D1305" t="s">
        <v>212</v>
      </c>
      <c r="E1305" t="s">
        <v>211</v>
      </c>
      <c r="F1305" s="3">
        <v>963112</v>
      </c>
      <c r="G1305" s="3" t="s">
        <v>126</v>
      </c>
      <c r="H1305" s="4">
        <v>73877</v>
      </c>
      <c r="I1305" cm="1">
        <f t="array" ref="I1305">_xlfn.IFS(B1305=2015,H1305/$O$10,B1305=2016,H1305/$O$11,B1305=2017,H1305/$O$12,B1305=2018,H1305/$O$13,B1305=2019,H1305/$O$14,B1305=2020,H1305/$O$15,B1305=2021,H1305/$O$16,B1305=2022,H1305/$O$17)</f>
        <v>1.5253229374816424E-3</v>
      </c>
      <c r="J1305" s="6" cm="1">
        <f t="array" ref="J1305">_xlfn.IFS(B1305=2015,I1305*$Q$1,B1305=2016,I1305*$Q$2,B1305=2017,I1305*$Q$3,B1305=2018,I1305*$Q$4,B1305=2019,I1305*$Q$5,B1305=2020,I1305*$Q$6,B1305=2021,I1305*$Q$7,B1305=2022,I1305*$Q$8)</f>
        <v>40124.434392903218</v>
      </c>
      <c r="K1305" s="7">
        <f t="shared" si="42"/>
        <v>114001.43439290322</v>
      </c>
      <c r="L1305">
        <f>IFERROR(VLOOKUP(G1305,'LEAID Match'!$A$2:$B$168,2,FALSE),"")</f>
        <v>4601028</v>
      </c>
    </row>
    <row r="1306" spans="1:12" x14ac:dyDescent="0.2">
      <c r="A1306">
        <f t="shared" si="41"/>
        <v>4601028</v>
      </c>
      <c r="B1306">
        <v>2018</v>
      </c>
      <c r="C1306" t="s">
        <v>208</v>
      </c>
      <c r="D1306" t="s">
        <v>212</v>
      </c>
      <c r="E1306" t="s">
        <v>211</v>
      </c>
      <c r="F1306" s="3">
        <v>963112</v>
      </c>
      <c r="G1306" s="3" t="s">
        <v>126</v>
      </c>
      <c r="H1306" s="4">
        <v>76822</v>
      </c>
      <c r="I1306" cm="1">
        <f t="array" ref="I1306">_xlfn.IFS(B1306=2015,H1306/$O$10,B1306=2016,H1306/$O$11,B1306=2017,H1306/$O$12,B1306=2018,H1306/$O$13,B1306=2019,H1306/$O$14,B1306=2020,H1306/$O$15,B1306=2021,H1306/$O$16,B1306=2022,H1306/$O$17)</f>
        <v>1.5320307542081588E-3</v>
      </c>
      <c r="J1306" s="6" cm="1">
        <f t="array" ref="J1306">_xlfn.IFS(B1306=2015,I1306*$Q$1,B1306=2016,I1306*$Q$2,B1306=2017,I1306*$Q$3,B1306=2018,I1306*$Q$4,B1306=2019,I1306*$Q$5,B1306=2020,I1306*$Q$6,B1306=2021,I1306*$Q$7,B1306=2022,I1306*$Q$8)</f>
        <v>40224.706864615364</v>
      </c>
      <c r="K1306" s="7">
        <f t="shared" si="42"/>
        <v>117046.70686461536</v>
      </c>
      <c r="L1306">
        <f>IFERROR(VLOOKUP(G1306,'LEAID Match'!$A$2:$B$168,2,FALSE),"")</f>
        <v>4601028</v>
      </c>
    </row>
    <row r="1307" spans="1:12" x14ac:dyDescent="0.2">
      <c r="A1307">
        <f t="shared" si="41"/>
        <v>4601028</v>
      </c>
      <c r="B1307">
        <v>2019</v>
      </c>
      <c r="C1307" t="s">
        <v>208</v>
      </c>
      <c r="D1307" t="s">
        <v>212</v>
      </c>
      <c r="E1307" t="s">
        <v>211</v>
      </c>
      <c r="F1307" s="3">
        <v>963112</v>
      </c>
      <c r="G1307" s="3" t="s">
        <v>126</v>
      </c>
      <c r="H1307" s="4">
        <v>76681</v>
      </c>
      <c r="I1307" cm="1">
        <f t="array" ref="I1307">_xlfn.IFS(B1307=2015,H1307/$O$10,B1307=2016,H1307/$O$11,B1307=2017,H1307/$O$12,B1307=2018,H1307/$O$13,B1307=2019,H1307/$O$14,B1307=2020,H1307/$O$15,B1307=2021,H1307/$O$16,B1307=2022,H1307/$O$17)</f>
        <v>1.5017614817500072E-3</v>
      </c>
      <c r="J1307" s="6" cm="1">
        <f t="array" ref="J1307">_xlfn.IFS(B1307=2015,I1307*$Q$1,B1307=2016,I1307*$Q$2,B1307=2017,I1307*$Q$3,B1307=2018,I1307*$Q$4,B1307=2019,I1307*$Q$5,B1307=2020,I1307*$Q$6,B1307=2021,I1307*$Q$7,B1307=2022,I1307*$Q$8)</f>
        <v>39717.769209316633</v>
      </c>
      <c r="K1307" s="7">
        <f t="shared" si="42"/>
        <v>116398.76920931664</v>
      </c>
      <c r="L1307">
        <f>IFERROR(VLOOKUP(G1307,'LEAID Match'!$A$2:$B$168,2,FALSE),"")</f>
        <v>4601028</v>
      </c>
    </row>
    <row r="1308" spans="1:12" x14ac:dyDescent="0.2">
      <c r="A1308">
        <f t="shared" si="41"/>
        <v>4601028</v>
      </c>
      <c r="B1308">
        <v>2020</v>
      </c>
      <c r="C1308" t="s">
        <v>208</v>
      </c>
      <c r="D1308" t="s">
        <v>212</v>
      </c>
      <c r="E1308" t="s">
        <v>211</v>
      </c>
      <c r="F1308" s="1">
        <v>963112</v>
      </c>
      <c r="G1308" s="3" t="s">
        <v>126</v>
      </c>
      <c r="H1308" s="2">
        <v>75183</v>
      </c>
      <c r="I1308" cm="1">
        <f t="array" ref="I1308">_xlfn.IFS(B1308=2015,H1308/$O$10,B1308=2016,H1308/$O$11,B1308=2017,H1308/$O$12,B1308=2018,H1308/$O$13,B1308=2019,H1308/$O$14,B1308=2020,H1308/$O$15,B1308=2021,H1308/$O$16,B1308=2022,H1308/$O$17)</f>
        <v>1.423949472909713E-3</v>
      </c>
      <c r="J1308" s="6" cm="1">
        <f t="array" ref="J1308">_xlfn.IFS(B1308=2015,I1308*$Q$1,B1308=2016,I1308*$Q$2,B1308=2017,I1308*$Q$3,B1308=2018,I1308*$Q$4,B1308=2019,I1308*$Q$5,B1308=2020,I1308*$Q$6,B1308=2021,I1308*$Q$7,B1308=2022,I1308*$Q$8)</f>
        <v>38717.515100743338</v>
      </c>
      <c r="K1308" s="7">
        <f t="shared" si="42"/>
        <v>113900.51510074333</v>
      </c>
      <c r="L1308">
        <f>IFERROR(VLOOKUP(G1308,'LEAID Match'!$A$2:$B$168,2,FALSE),"")</f>
        <v>4601028</v>
      </c>
    </row>
    <row r="1309" spans="1:12" x14ac:dyDescent="0.2">
      <c r="A1309">
        <f t="shared" si="41"/>
        <v>4601028</v>
      </c>
      <c r="B1309">
        <v>2021</v>
      </c>
      <c r="C1309" t="s">
        <v>208</v>
      </c>
      <c r="D1309" t="s">
        <v>212</v>
      </c>
      <c r="E1309" t="s">
        <v>211</v>
      </c>
      <c r="F1309" s="3">
        <v>963112</v>
      </c>
      <c r="G1309" s="3" t="s">
        <v>126</v>
      </c>
      <c r="H1309" s="4">
        <v>78705</v>
      </c>
      <c r="I1309" cm="1">
        <f t="array" ref="I1309">_xlfn.IFS(B1309=2015,H1309/$O$10,B1309=2016,H1309/$O$11,B1309=2017,H1309/$O$12,B1309=2018,H1309/$O$13,B1309=2019,H1309/$O$14,B1309=2020,H1309/$O$15,B1309=2021,H1309/$O$16,B1309=2022,H1309/$O$17)</f>
        <v>1.4215357252942401E-3</v>
      </c>
      <c r="J1309" s="6" cm="1">
        <f t="array" ref="J1309">_xlfn.IFS(B1309=2015,I1309*$Q$1,B1309=2016,I1309*$Q$2,B1309=2017,I1309*$Q$3,B1309=2018,I1309*$Q$4,B1309=2019,I1309*$Q$5,B1309=2020,I1309*$Q$6,B1309=2021,I1309*$Q$7,B1309=2022,I1309*$Q$8)</f>
        <v>39573.184892137579</v>
      </c>
      <c r="K1309" s="7">
        <f t="shared" si="42"/>
        <v>118278.18489213758</v>
      </c>
      <c r="L1309">
        <f>IFERROR(VLOOKUP(G1309,'LEAID Match'!$A$2:$B$168,2,FALSE),"")</f>
        <v>4601028</v>
      </c>
    </row>
    <row r="1310" spans="1:12" x14ac:dyDescent="0.2">
      <c r="A1310">
        <f t="shared" si="41"/>
        <v>4601028</v>
      </c>
      <c r="B1310">
        <v>2022</v>
      </c>
      <c r="C1310" t="s">
        <v>208</v>
      </c>
      <c r="D1310" t="s">
        <v>212</v>
      </c>
      <c r="E1310" t="s">
        <v>211</v>
      </c>
      <c r="F1310" s="3">
        <v>963112</v>
      </c>
      <c r="G1310" s="3" t="s">
        <v>126</v>
      </c>
      <c r="H1310" s="4">
        <v>81744</v>
      </c>
      <c r="I1310" cm="1">
        <f t="array" ref="I1310">_xlfn.IFS(B1310=2015,H1310/$O$10,B1310=2016,H1310/$O$11,B1310=2017,H1310/$O$12,B1310=2018,H1310/$O$13,B1310=2019,H1310/$O$14,B1310=2020,H1310/$O$15,B1310=2021,H1310/$O$16,B1310=2022,H1310/$O$17)</f>
        <v>1.4156901641953973E-3</v>
      </c>
      <c r="J1310" s="6" cm="1">
        <f t="array" ref="J1310">_xlfn.IFS(B1310=2015,I1310*$Q$1,B1310=2016,I1310*$Q$2,B1310=2017,I1310*$Q$3,B1310=2018,I1310*$Q$4,B1310=2019,I1310*$Q$5,B1310=2020,I1310*$Q$6,B1310=2021,I1310*$Q$7,B1310=2022,I1310*$Q$8)</f>
        <v>41703.324409599147</v>
      </c>
      <c r="K1310" s="7">
        <f t="shared" si="42"/>
        <v>123447.32440959915</v>
      </c>
      <c r="L1310">
        <f>IFERROR(VLOOKUP(G1310,'LEAID Match'!$A$2:$B$168,2,FALSE),"")</f>
        <v>4601028</v>
      </c>
    </row>
    <row r="1311" spans="1:12" x14ac:dyDescent="0.2">
      <c r="A1311">
        <f t="shared" si="41"/>
        <v>4619450</v>
      </c>
      <c r="B1311">
        <v>2015</v>
      </c>
      <c r="C1311" t="s">
        <v>208</v>
      </c>
      <c r="D1311" t="s">
        <v>212</v>
      </c>
      <c r="E1311" t="s">
        <v>211</v>
      </c>
      <c r="F1311" s="3">
        <v>964107</v>
      </c>
      <c r="G1311" s="3" t="s">
        <v>40</v>
      </c>
      <c r="H1311" s="4">
        <v>150545</v>
      </c>
      <c r="I1311" cm="1">
        <f t="array" ref="I1311">_xlfn.IFS(B1311=2015,H1311/$O$10,B1311=2016,H1311/$O$11,B1311=2017,H1311/$O$12,B1311=2018,H1311/$O$13,B1311=2019,H1311/$O$14,B1311=2020,H1311/$O$15,B1311=2021,H1311/$O$16,B1311=2022,H1311/$O$17)</f>
        <v>3.5212917280203811E-3</v>
      </c>
      <c r="J1311" s="6" cm="1">
        <f t="array" ref="J1311">_xlfn.IFS(B1311=2015,I1311*$Q$1,B1311=2016,I1311*$Q$2,B1311=2017,I1311*$Q$3,B1311=2018,I1311*$Q$4,B1311=2019,I1311*$Q$5,B1311=2020,I1311*$Q$6,B1311=2021,I1311*$Q$7,B1311=2022,I1311*$Q$8)</f>
        <v>86596.151975695058</v>
      </c>
      <c r="K1311" s="7">
        <f t="shared" si="42"/>
        <v>237141.15197569504</v>
      </c>
      <c r="L1311">
        <f>IFERROR(VLOOKUP(G1311,'LEAID Match'!$A$2:$B$168,2,FALSE),"")</f>
        <v>4619450</v>
      </c>
    </row>
    <row r="1312" spans="1:12" x14ac:dyDescent="0.2">
      <c r="A1312">
        <f t="shared" si="41"/>
        <v>4619450</v>
      </c>
      <c r="B1312">
        <v>2016</v>
      </c>
      <c r="C1312" t="s">
        <v>208</v>
      </c>
      <c r="D1312" t="s">
        <v>212</v>
      </c>
      <c r="E1312" t="s">
        <v>211</v>
      </c>
      <c r="F1312" s="3">
        <v>964107</v>
      </c>
      <c r="G1312" s="3" t="s">
        <v>40</v>
      </c>
      <c r="H1312" s="4">
        <v>163154</v>
      </c>
      <c r="I1312" cm="1">
        <f t="array" ref="I1312">_xlfn.IFS(B1312=2015,H1312/$O$10,B1312=2016,H1312/$O$11,B1312=2017,H1312/$O$12,B1312=2018,H1312/$O$13,B1312=2019,H1312/$O$14,B1312=2020,H1312/$O$15,B1312=2021,H1312/$O$16,B1312=2022,H1312/$O$17)</f>
        <v>3.7006689279925095E-3</v>
      </c>
      <c r="J1312" s="6" cm="1">
        <f t="array" ref="J1312">_xlfn.IFS(B1312=2015,I1312*$Q$1,B1312=2016,I1312*$Q$2,B1312=2017,I1312*$Q$3,B1312=2018,I1312*$Q$4,B1312=2019,I1312*$Q$5,B1312=2020,I1312*$Q$6,B1312=2021,I1312*$Q$7,B1312=2022,I1312*$Q$8)</f>
        <v>94018.473154136736</v>
      </c>
      <c r="K1312" s="7">
        <f t="shared" si="42"/>
        <v>257172.47315413674</v>
      </c>
      <c r="L1312">
        <f>IFERROR(VLOOKUP(G1312,'LEAID Match'!$A$2:$B$168,2,FALSE),"")</f>
        <v>4619450</v>
      </c>
    </row>
    <row r="1313" spans="1:12" x14ac:dyDescent="0.2">
      <c r="A1313">
        <f t="shared" si="41"/>
        <v>4619450</v>
      </c>
      <c r="B1313">
        <v>2017</v>
      </c>
      <c r="C1313" t="s">
        <v>208</v>
      </c>
      <c r="D1313" t="s">
        <v>212</v>
      </c>
      <c r="E1313" t="s">
        <v>211</v>
      </c>
      <c r="F1313" s="3">
        <v>964107</v>
      </c>
      <c r="G1313" s="3" t="s">
        <v>40</v>
      </c>
      <c r="H1313" s="4">
        <v>183996</v>
      </c>
      <c r="I1313" cm="1">
        <f t="array" ref="I1313">_xlfn.IFS(B1313=2015,H1313/$O$10,B1313=2016,H1313/$O$11,B1313=2017,H1313/$O$12,B1313=2018,H1313/$O$13,B1313=2019,H1313/$O$14,B1313=2020,H1313/$O$15,B1313=2021,H1313/$O$16,B1313=2022,H1313/$O$17)</f>
        <v>3.7989268541612719E-3</v>
      </c>
      <c r="J1313" s="6" cm="1">
        <f t="array" ref="J1313">_xlfn.IFS(B1313=2015,I1313*$Q$1,B1313=2016,I1313*$Q$2,B1313=2017,I1313*$Q$3,B1313=2018,I1313*$Q$4,B1313=2019,I1313*$Q$5,B1313=2020,I1313*$Q$6,B1313=2021,I1313*$Q$7,B1313=2022,I1313*$Q$8)</f>
        <v>99932.799525652372</v>
      </c>
      <c r="K1313" s="7">
        <f t="shared" si="42"/>
        <v>283928.79952565237</v>
      </c>
      <c r="L1313">
        <f>IFERROR(VLOOKUP(G1313,'LEAID Match'!$A$2:$B$168,2,FALSE),"")</f>
        <v>4619450</v>
      </c>
    </row>
    <row r="1314" spans="1:12" x14ac:dyDescent="0.2">
      <c r="A1314">
        <f t="shared" si="41"/>
        <v>4619450</v>
      </c>
      <c r="B1314">
        <v>2018</v>
      </c>
      <c r="C1314" t="s">
        <v>208</v>
      </c>
      <c r="D1314" t="s">
        <v>212</v>
      </c>
      <c r="E1314" t="s">
        <v>211</v>
      </c>
      <c r="F1314" s="3">
        <v>964107</v>
      </c>
      <c r="G1314" s="3" t="s">
        <v>40</v>
      </c>
      <c r="H1314" s="4">
        <v>190526</v>
      </c>
      <c r="I1314" cm="1">
        <f t="array" ref="I1314">_xlfn.IFS(B1314=2015,H1314/$O$10,B1314=2016,H1314/$O$11,B1314=2017,H1314/$O$12,B1314=2018,H1314/$O$13,B1314=2019,H1314/$O$14,B1314=2020,H1314/$O$15,B1314=2021,H1314/$O$16,B1314=2022,H1314/$O$17)</f>
        <v>3.799584643412872E-3</v>
      </c>
      <c r="J1314" s="6" cm="1">
        <f t="array" ref="J1314">_xlfn.IFS(B1314=2015,I1314*$Q$1,B1314=2016,I1314*$Q$2,B1314=2017,I1314*$Q$3,B1314=2018,I1314*$Q$4,B1314=2019,I1314*$Q$5,B1314=2020,I1314*$Q$6,B1314=2021,I1314*$Q$7,B1314=2022,I1314*$Q$8)</f>
        <v>99761.168676781468</v>
      </c>
      <c r="K1314" s="7">
        <f t="shared" si="42"/>
        <v>290287.16867678147</v>
      </c>
      <c r="L1314">
        <f>IFERROR(VLOOKUP(G1314,'LEAID Match'!$A$2:$B$168,2,FALSE),"")</f>
        <v>4619450</v>
      </c>
    </row>
    <row r="1315" spans="1:12" x14ac:dyDescent="0.2">
      <c r="A1315">
        <f t="shared" si="41"/>
        <v>4619450</v>
      </c>
      <c r="B1315">
        <v>2019</v>
      </c>
      <c r="C1315" t="s">
        <v>208</v>
      </c>
      <c r="D1315" t="s">
        <v>212</v>
      </c>
      <c r="E1315" t="s">
        <v>211</v>
      </c>
      <c r="F1315" s="3">
        <v>964107</v>
      </c>
      <c r="G1315" s="3" t="s">
        <v>40</v>
      </c>
      <c r="H1315" s="4">
        <v>198122</v>
      </c>
      <c r="I1315" cm="1">
        <f t="array" ref="I1315">_xlfn.IFS(B1315=2015,H1315/$O$10,B1315=2016,H1315/$O$11,B1315=2017,H1315/$O$12,B1315=2018,H1315/$O$13,B1315=2019,H1315/$O$14,B1315=2020,H1315/$O$15,B1315=2021,H1315/$O$16,B1315=2022,H1315/$O$17)</f>
        <v>3.8801266061641725E-3</v>
      </c>
      <c r="J1315" s="6" cm="1">
        <f t="array" ref="J1315">_xlfn.IFS(B1315=2015,I1315*$Q$1,B1315=2016,I1315*$Q$2,B1315=2017,I1315*$Q$3,B1315=2018,I1315*$Q$4,B1315=2019,I1315*$Q$5,B1315=2020,I1315*$Q$6,B1315=2021,I1315*$Q$7,B1315=2022,I1315*$Q$8)</f>
        <v>102619.47381082967</v>
      </c>
      <c r="K1315" s="7">
        <f t="shared" si="42"/>
        <v>300741.47381082969</v>
      </c>
      <c r="L1315">
        <f>IFERROR(VLOOKUP(G1315,'LEAID Match'!$A$2:$B$168,2,FALSE),"")</f>
        <v>4619450</v>
      </c>
    </row>
    <row r="1316" spans="1:12" x14ac:dyDescent="0.2">
      <c r="A1316">
        <f t="shared" si="41"/>
        <v>4619450</v>
      </c>
      <c r="B1316">
        <v>2020</v>
      </c>
      <c r="C1316" t="s">
        <v>208</v>
      </c>
      <c r="D1316" t="s">
        <v>212</v>
      </c>
      <c r="E1316" t="s">
        <v>211</v>
      </c>
      <c r="F1316" s="1">
        <v>964107</v>
      </c>
      <c r="G1316" s="3" t="s">
        <v>40</v>
      </c>
      <c r="H1316" s="2">
        <v>211021</v>
      </c>
      <c r="I1316" cm="1">
        <f t="array" ref="I1316">_xlfn.IFS(B1316=2015,H1316/$O$10,B1316=2016,H1316/$O$11,B1316=2017,H1316/$O$12,B1316=2018,H1316/$O$13,B1316=2019,H1316/$O$14,B1316=2020,H1316/$O$15,B1316=2021,H1316/$O$16,B1316=2022,H1316/$O$17)</f>
        <v>3.9966912962089906E-3</v>
      </c>
      <c r="J1316" s="6" cm="1">
        <f t="array" ref="J1316">_xlfn.IFS(B1316=2015,I1316*$Q$1,B1316=2016,I1316*$Q$2,B1316=2017,I1316*$Q$3,B1316=2018,I1316*$Q$4,B1316=2019,I1316*$Q$5,B1316=2020,I1316*$Q$6,B1316=2021,I1316*$Q$7,B1316=2022,I1316*$Q$8)</f>
        <v>108670.95957961188</v>
      </c>
      <c r="K1316" s="7">
        <f t="shared" si="42"/>
        <v>319691.9595796119</v>
      </c>
      <c r="L1316">
        <f>IFERROR(VLOOKUP(G1316,'LEAID Match'!$A$2:$B$168,2,FALSE),"")</f>
        <v>4619450</v>
      </c>
    </row>
    <row r="1317" spans="1:12" x14ac:dyDescent="0.2">
      <c r="A1317">
        <f t="shared" si="41"/>
        <v>4619450</v>
      </c>
      <c r="B1317">
        <v>2021</v>
      </c>
      <c r="C1317" t="s">
        <v>208</v>
      </c>
      <c r="D1317" t="s">
        <v>212</v>
      </c>
      <c r="E1317" t="s">
        <v>211</v>
      </c>
      <c r="F1317" s="3">
        <v>964107</v>
      </c>
      <c r="G1317" s="3" t="s">
        <v>40</v>
      </c>
      <c r="H1317" s="4">
        <v>223340</v>
      </c>
      <c r="I1317" cm="1">
        <f t="array" ref="I1317">_xlfn.IFS(B1317=2015,H1317/$O$10,B1317=2016,H1317/$O$11,B1317=2017,H1317/$O$12,B1317=2018,H1317/$O$13,B1317=2019,H1317/$O$14,B1317=2020,H1317/$O$15,B1317=2021,H1317/$O$16,B1317=2022,H1317/$O$17)</f>
        <v>4.0338706421093398E-3</v>
      </c>
      <c r="J1317" s="6" cm="1">
        <f t="array" ref="J1317">_xlfn.IFS(B1317=2015,I1317*$Q$1,B1317=2016,I1317*$Q$2,B1317=2017,I1317*$Q$3,B1317=2018,I1317*$Q$4,B1317=2019,I1317*$Q$5,B1317=2020,I1317*$Q$6,B1317=2021,I1317*$Q$7,B1317=2022,I1317*$Q$8)</f>
        <v>112296.23421396363</v>
      </c>
      <c r="K1317" s="7">
        <f t="shared" si="42"/>
        <v>335636.23421396362</v>
      </c>
      <c r="L1317">
        <f>IFERROR(VLOOKUP(G1317,'LEAID Match'!$A$2:$B$168,2,FALSE),"")</f>
        <v>4619450</v>
      </c>
    </row>
    <row r="1318" spans="1:12" x14ac:dyDescent="0.2">
      <c r="A1318">
        <f t="shared" si="41"/>
        <v>4619450</v>
      </c>
      <c r="B1318">
        <v>2022</v>
      </c>
      <c r="C1318" t="s">
        <v>208</v>
      </c>
      <c r="D1318" t="s">
        <v>212</v>
      </c>
      <c r="E1318" t="s">
        <v>211</v>
      </c>
      <c r="F1318" s="3">
        <v>964107</v>
      </c>
      <c r="G1318" s="3" t="s">
        <v>40</v>
      </c>
      <c r="H1318" s="4">
        <v>227555</v>
      </c>
      <c r="I1318" cm="1">
        <f t="array" ref="I1318">_xlfn.IFS(B1318=2015,H1318/$O$10,B1318=2016,H1318/$O$11,B1318=2017,H1318/$O$12,B1318=2018,H1318/$O$13,B1318=2019,H1318/$O$14,B1318=2020,H1318/$O$15,B1318=2021,H1318/$O$16,B1318=2022,H1318/$O$17)</f>
        <v>3.9409299191804125E-3</v>
      </c>
      <c r="J1318" s="6" cm="1">
        <f t="array" ref="J1318">_xlfn.IFS(B1318=2015,I1318*$Q$1,B1318=2016,I1318*$Q$2,B1318=2017,I1318*$Q$3,B1318=2018,I1318*$Q$4,B1318=2019,I1318*$Q$5,B1318=2020,I1318*$Q$6,B1318=2021,I1318*$Q$7,B1318=2022,I1318*$Q$8)</f>
        <v>116091.70074900096</v>
      </c>
      <c r="K1318" s="7">
        <f t="shared" si="42"/>
        <v>343646.70074900094</v>
      </c>
      <c r="L1318">
        <f>IFERROR(VLOOKUP(G1318,'LEAID Match'!$A$2:$B$168,2,FALSE),"")</f>
        <v>4619450</v>
      </c>
    </row>
    <row r="1319" spans="1:12" x14ac:dyDescent="0.2">
      <c r="A1319">
        <f t="shared" si="41"/>
        <v>4622940</v>
      </c>
      <c r="B1319">
        <v>2015</v>
      </c>
      <c r="C1319" t="s">
        <v>208</v>
      </c>
      <c r="D1319" t="s">
        <v>212</v>
      </c>
      <c r="E1319" t="s">
        <v>211</v>
      </c>
      <c r="F1319" s="3">
        <v>964108</v>
      </c>
      <c r="G1319" s="3" t="s">
        <v>51</v>
      </c>
      <c r="H1319" s="4">
        <v>52728</v>
      </c>
      <c r="I1319" cm="1">
        <f t="array" ref="I1319">_xlfn.IFS(B1319=2015,H1319/$O$10,B1319=2016,H1319/$O$11,B1319=2017,H1319/$O$12,B1319=2018,H1319/$O$13,B1319=2019,H1319/$O$14,B1319=2020,H1319/$O$15,B1319=2021,H1319/$O$16,B1319=2022,H1319/$O$17)</f>
        <v>1.2333233932382919E-3</v>
      </c>
      <c r="J1319" s="6" cm="1">
        <f t="array" ref="J1319">_xlfn.IFS(B1319=2015,I1319*$Q$1,B1319=2016,I1319*$Q$2,B1319=2017,I1319*$Q$3,B1319=2018,I1319*$Q$4,B1319=2019,I1319*$Q$5,B1319=2020,I1319*$Q$6,B1319=2021,I1319*$Q$7,B1319=2022,I1319*$Q$8)</f>
        <v>30330.080051642028</v>
      </c>
      <c r="K1319" s="7">
        <f t="shared" si="42"/>
        <v>83058.080051642028</v>
      </c>
      <c r="L1319">
        <f>IFERROR(VLOOKUP(G1319,'LEAID Match'!$A$2:$B$168,2,FALSE),"")</f>
        <v>4622940</v>
      </c>
    </row>
    <row r="1320" spans="1:12" x14ac:dyDescent="0.2">
      <c r="A1320">
        <f t="shared" si="41"/>
        <v>4622940</v>
      </c>
      <c r="B1320">
        <v>2016</v>
      </c>
      <c r="C1320" t="s">
        <v>208</v>
      </c>
      <c r="D1320" t="s">
        <v>212</v>
      </c>
      <c r="E1320" t="s">
        <v>211</v>
      </c>
      <c r="F1320" s="3">
        <v>964108</v>
      </c>
      <c r="G1320" s="3" t="s">
        <v>51</v>
      </c>
      <c r="H1320" s="4">
        <v>52703</v>
      </c>
      <c r="I1320" cm="1">
        <f t="array" ref="I1320">_xlfn.IFS(B1320=2015,H1320/$O$10,B1320=2016,H1320/$O$11,B1320=2017,H1320/$O$12,B1320=2018,H1320/$O$13,B1320=2019,H1320/$O$14,B1320=2020,H1320/$O$15,B1320=2021,H1320/$O$16,B1320=2022,H1320/$O$17)</f>
        <v>1.1954126439559509E-3</v>
      </c>
      <c r="J1320" s="6" cm="1">
        <f t="array" ref="J1320">_xlfn.IFS(B1320=2015,I1320*$Q$1,B1320=2016,I1320*$Q$2,B1320=2017,I1320*$Q$3,B1320=2018,I1320*$Q$4,B1320=2019,I1320*$Q$5,B1320=2020,I1320*$Q$6,B1320=2021,I1320*$Q$7,B1320=2022,I1320*$Q$8)</f>
        <v>30370.420526879319</v>
      </c>
      <c r="K1320" s="7">
        <f t="shared" si="42"/>
        <v>83073.420526879316</v>
      </c>
      <c r="L1320">
        <f>IFERROR(VLOOKUP(G1320,'LEAID Match'!$A$2:$B$168,2,FALSE),"")</f>
        <v>4622940</v>
      </c>
    </row>
    <row r="1321" spans="1:12" x14ac:dyDescent="0.2">
      <c r="A1321">
        <f t="shared" si="41"/>
        <v>4622940</v>
      </c>
      <c r="B1321">
        <v>2017</v>
      </c>
      <c r="C1321" t="s">
        <v>208</v>
      </c>
      <c r="D1321" t="s">
        <v>212</v>
      </c>
      <c r="E1321" t="s">
        <v>211</v>
      </c>
      <c r="F1321" s="3">
        <v>964108</v>
      </c>
      <c r="G1321" s="3" t="s">
        <v>51</v>
      </c>
      <c r="H1321" s="4">
        <v>59774</v>
      </c>
      <c r="I1321" cm="1">
        <f t="array" ref="I1321">_xlfn.IFS(B1321=2015,H1321/$O$10,B1321=2016,H1321/$O$11,B1321=2017,H1321/$O$12,B1321=2018,H1321/$O$13,B1321=2019,H1321/$O$14,B1321=2020,H1321/$O$15,B1321=2021,H1321/$O$16,B1321=2022,H1321/$O$17)</f>
        <v>1.2341412518784966E-3</v>
      </c>
      <c r="J1321" s="6" cm="1">
        <f t="array" ref="J1321">_xlfn.IFS(B1321=2015,I1321*$Q$1,B1321=2016,I1321*$Q$2,B1321=2017,I1321*$Q$3,B1321=2018,I1321*$Q$4,B1321=2019,I1321*$Q$5,B1321=2020,I1321*$Q$6,B1321=2021,I1321*$Q$7,B1321=2022,I1321*$Q$8)</f>
        <v>32464.744662092355</v>
      </c>
      <c r="K1321" s="7">
        <f t="shared" si="42"/>
        <v>92238.744662092358</v>
      </c>
      <c r="L1321">
        <f>IFERROR(VLOOKUP(G1321,'LEAID Match'!$A$2:$B$168,2,FALSE),"")</f>
        <v>4622940</v>
      </c>
    </row>
    <row r="1322" spans="1:12" x14ac:dyDescent="0.2">
      <c r="A1322">
        <f t="shared" si="41"/>
        <v>4622940</v>
      </c>
      <c r="B1322">
        <v>2018</v>
      </c>
      <c r="C1322" t="s">
        <v>208</v>
      </c>
      <c r="D1322" t="s">
        <v>212</v>
      </c>
      <c r="E1322" t="s">
        <v>211</v>
      </c>
      <c r="F1322" s="3">
        <v>964108</v>
      </c>
      <c r="G1322" s="3" t="s">
        <v>51</v>
      </c>
      <c r="H1322" s="4">
        <v>61765</v>
      </c>
      <c r="I1322" cm="1">
        <f t="array" ref="I1322">_xlfn.IFS(B1322=2015,H1322/$O$10,B1322=2016,H1322/$O$11,B1322=2017,H1322/$O$12,B1322=2018,H1322/$O$13,B1322=2019,H1322/$O$14,B1322=2020,H1322/$O$15,B1322=2021,H1322/$O$16,B1322=2022,H1322/$O$17)</f>
        <v>1.231754959955051E-3</v>
      </c>
      <c r="J1322" s="6" cm="1">
        <f t="array" ref="J1322">_xlfn.IFS(B1322=2015,I1322*$Q$1,B1322=2016,I1322*$Q$2,B1322=2017,I1322*$Q$3,B1322=2018,I1322*$Q$4,B1322=2019,I1322*$Q$5,B1322=2020,I1322*$Q$6,B1322=2021,I1322*$Q$7,B1322=2022,I1322*$Q$8)</f>
        <v>32340.722963382468</v>
      </c>
      <c r="K1322" s="7">
        <f t="shared" si="42"/>
        <v>94105.722963382461</v>
      </c>
      <c r="L1322">
        <f>IFERROR(VLOOKUP(G1322,'LEAID Match'!$A$2:$B$168,2,FALSE),"")</f>
        <v>4622940</v>
      </c>
    </row>
    <row r="1323" spans="1:12" x14ac:dyDescent="0.2">
      <c r="A1323">
        <f t="shared" si="41"/>
        <v>4622940</v>
      </c>
      <c r="B1323">
        <v>2019</v>
      </c>
      <c r="C1323" t="s">
        <v>208</v>
      </c>
      <c r="D1323" t="s">
        <v>212</v>
      </c>
      <c r="E1323" t="s">
        <v>211</v>
      </c>
      <c r="F1323" s="3">
        <v>964108</v>
      </c>
      <c r="G1323" s="3" t="s">
        <v>51</v>
      </c>
      <c r="H1323" s="4">
        <v>58457</v>
      </c>
      <c r="I1323" cm="1">
        <f t="array" ref="I1323">_xlfn.IFS(B1323=2015,H1323/$O$10,B1323=2016,H1323/$O$11,B1323=2017,H1323/$O$12,B1323=2018,H1323/$O$13,B1323=2019,H1323/$O$14,B1323=2020,H1323/$O$15,B1323=2021,H1323/$O$16,B1323=2022,H1323/$O$17)</f>
        <v>1.1448529745133758E-3</v>
      </c>
      <c r="J1323" s="6" cm="1">
        <f t="array" ref="J1323">_xlfn.IFS(B1323=2015,I1323*$Q$1,B1323=2016,I1323*$Q$2,B1323=2017,I1323*$Q$3,B1323=2018,I1323*$Q$4,B1323=2019,I1323*$Q$5,B1323=2020,I1323*$Q$6,B1323=2021,I1323*$Q$7,B1323=2022,I1323*$Q$8)</f>
        <v>30278.447525058655</v>
      </c>
      <c r="K1323" s="7">
        <f t="shared" si="42"/>
        <v>88735.447525058655</v>
      </c>
      <c r="L1323">
        <f>IFERROR(VLOOKUP(G1323,'LEAID Match'!$A$2:$B$168,2,FALSE),"")</f>
        <v>4622940</v>
      </c>
    </row>
    <row r="1324" spans="1:12" x14ac:dyDescent="0.2">
      <c r="A1324">
        <f t="shared" si="41"/>
        <v>4622940</v>
      </c>
      <c r="B1324">
        <v>2020</v>
      </c>
      <c r="C1324" t="s">
        <v>208</v>
      </c>
      <c r="D1324" t="s">
        <v>212</v>
      </c>
      <c r="E1324" t="s">
        <v>211</v>
      </c>
      <c r="F1324" s="1">
        <v>964108</v>
      </c>
      <c r="G1324" s="3" t="s">
        <v>51</v>
      </c>
      <c r="H1324" s="2">
        <v>59195</v>
      </c>
      <c r="I1324" cm="1">
        <f t="array" ref="I1324">_xlfn.IFS(B1324=2015,H1324/$O$10,B1324=2016,H1324/$O$11,B1324=2017,H1324/$O$12,B1324=2018,H1324/$O$13,B1324=2019,H1324/$O$14,B1324=2020,H1324/$O$15,B1324=2021,H1324/$O$16,B1324=2022,H1324/$O$17)</f>
        <v>1.1211402717222041E-3</v>
      </c>
      <c r="J1324" s="6" cm="1">
        <f t="array" ref="J1324">_xlfn.IFS(B1324=2015,I1324*$Q$1,B1324=2016,I1324*$Q$2,B1324=2017,I1324*$Q$3,B1324=2018,I1324*$Q$4,B1324=2019,I1324*$Q$5,B1324=2020,I1324*$Q$6,B1324=2021,I1324*$Q$7,B1324=2022,I1324*$Q$8)</f>
        <v>30484.062971529496</v>
      </c>
      <c r="K1324" s="7">
        <f t="shared" si="42"/>
        <v>89679.062971529493</v>
      </c>
      <c r="L1324">
        <f>IFERROR(VLOOKUP(G1324,'LEAID Match'!$A$2:$B$168,2,FALSE),"")</f>
        <v>4622940</v>
      </c>
    </row>
    <row r="1325" spans="1:12" x14ac:dyDescent="0.2">
      <c r="A1325">
        <f t="shared" si="41"/>
        <v>4622940</v>
      </c>
      <c r="B1325">
        <v>2021</v>
      </c>
      <c r="C1325" t="s">
        <v>208</v>
      </c>
      <c r="D1325" t="s">
        <v>212</v>
      </c>
      <c r="E1325" t="s">
        <v>211</v>
      </c>
      <c r="F1325" s="3">
        <v>964108</v>
      </c>
      <c r="G1325" s="3" t="s">
        <v>51</v>
      </c>
      <c r="H1325" s="4">
        <v>63166</v>
      </c>
      <c r="I1325" cm="1">
        <f t="array" ref="I1325">_xlfn.IFS(B1325=2015,H1325/$O$10,B1325=2016,H1325/$O$11,B1325=2017,H1325/$O$12,B1325=2018,H1325/$O$13,B1325=2019,H1325/$O$14,B1325=2020,H1325/$O$15,B1325=2021,H1325/$O$16,B1325=2022,H1325/$O$17)</f>
        <v>1.1408770170120827E-3</v>
      </c>
      <c r="J1325" s="6" cm="1">
        <f t="array" ref="J1325">_xlfn.IFS(B1325=2015,I1325*$Q$1,B1325=2016,I1325*$Q$2,B1325=2017,I1325*$Q$3,B1325=2018,I1325*$Q$4,B1325=2019,I1325*$Q$5,B1325=2020,I1325*$Q$6,B1325=2021,I1325*$Q$7,B1325=2022,I1325*$Q$8)</f>
        <v>31760.114311629022</v>
      </c>
      <c r="K1325" s="7">
        <f t="shared" si="42"/>
        <v>94926.114311629019</v>
      </c>
      <c r="L1325">
        <f>IFERROR(VLOOKUP(G1325,'LEAID Match'!$A$2:$B$168,2,FALSE),"")</f>
        <v>4622940</v>
      </c>
    </row>
    <row r="1326" spans="1:12" x14ac:dyDescent="0.2">
      <c r="A1326">
        <f t="shared" si="41"/>
        <v>4622940</v>
      </c>
      <c r="B1326">
        <v>2022</v>
      </c>
      <c r="C1326" t="s">
        <v>208</v>
      </c>
      <c r="D1326" t="s">
        <v>212</v>
      </c>
      <c r="E1326" t="s">
        <v>211</v>
      </c>
      <c r="F1326" s="3">
        <v>964108</v>
      </c>
      <c r="G1326" s="3" t="s">
        <v>51</v>
      </c>
      <c r="H1326" s="4">
        <v>60766</v>
      </c>
      <c r="I1326" cm="1">
        <f t="array" ref="I1326">_xlfn.IFS(B1326=2015,H1326/$O$10,B1326=2016,H1326/$O$11,B1326=2017,H1326/$O$12,B1326=2018,H1326/$O$13,B1326=2019,H1326/$O$14,B1326=2020,H1326/$O$15,B1326=2021,H1326/$O$16,B1326=2022,H1326/$O$17)</f>
        <v>1.052380951721197E-3</v>
      </c>
      <c r="J1326" s="6" cm="1">
        <f t="array" ref="J1326">_xlfn.IFS(B1326=2015,I1326*$Q$1,B1326=2016,I1326*$Q$2,B1326=2017,I1326*$Q$3,B1326=2018,I1326*$Q$4,B1326=2019,I1326*$Q$5,B1326=2020,I1326*$Q$6,B1326=2021,I1326*$Q$7,B1326=2022,I1326*$Q$8)</f>
        <v>31000.981247231626</v>
      </c>
      <c r="K1326" s="7">
        <f t="shared" si="42"/>
        <v>91766.981247231626</v>
      </c>
      <c r="L1326">
        <f>IFERROR(VLOOKUP(G1326,'LEAID Match'!$A$2:$B$168,2,FALSE),"")</f>
        <v>4622940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FF13-5A19-0144-8846-1A8535BEBBA3}">
  <sheetPr>
    <tabColor rgb="FFFF0000"/>
  </sheetPr>
  <dimension ref="A1"/>
  <sheetViews>
    <sheetView workbookViewId="0">
      <selection activeCell="G25" sqref="G25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16F0-FA47-F942-8A50-5BD7C4963DA3}">
  <sheetPr>
    <tabColor rgb="FFFFFF00"/>
  </sheetPr>
  <dimension ref="A1:E168"/>
  <sheetViews>
    <sheetView workbookViewId="0">
      <selection activeCell="D1" sqref="A1:D1048576"/>
    </sheetView>
  </sheetViews>
  <sheetFormatPr baseColWidth="10" defaultRowHeight="16" x14ac:dyDescent="0.2"/>
  <cols>
    <col min="2" max="2" width="10.83203125" style="3"/>
    <col min="3" max="3" width="40.5" style="3" bestFit="1" customWidth="1"/>
    <col min="4" max="5" width="10.83203125" style="3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2022</v>
      </c>
      <c r="B2" s="3">
        <v>903103</v>
      </c>
      <c r="C2" s="3" t="s">
        <v>0</v>
      </c>
      <c r="D2" s="4">
        <v>1578612</v>
      </c>
    </row>
    <row r="3" spans="1:4" x14ac:dyDescent="0.2">
      <c r="A3">
        <v>2022</v>
      </c>
      <c r="B3" s="3">
        <v>959126</v>
      </c>
      <c r="C3" s="3" t="s">
        <v>1</v>
      </c>
      <c r="D3" s="4">
        <v>145880</v>
      </c>
    </row>
    <row r="4" spans="1:4" x14ac:dyDescent="0.2">
      <c r="A4">
        <v>2022</v>
      </c>
      <c r="B4" s="3">
        <v>962102</v>
      </c>
      <c r="C4" s="3" t="s">
        <v>2</v>
      </c>
      <c r="D4" s="4">
        <v>157376</v>
      </c>
    </row>
    <row r="5" spans="1:4" x14ac:dyDescent="0.2">
      <c r="A5">
        <v>2022</v>
      </c>
      <c r="B5" s="3">
        <v>917102</v>
      </c>
      <c r="C5" s="3" t="s">
        <v>3</v>
      </c>
      <c r="D5" s="4">
        <v>200996</v>
      </c>
    </row>
    <row r="6" spans="1:4" x14ac:dyDescent="0.2">
      <c r="A6">
        <v>2022</v>
      </c>
      <c r="B6" s="3">
        <v>942100</v>
      </c>
      <c r="C6" s="3" t="s">
        <v>4</v>
      </c>
      <c r="D6" s="4">
        <v>121259</v>
      </c>
    </row>
    <row r="7" spans="1:4" x14ac:dyDescent="0.2">
      <c r="A7">
        <v>2022</v>
      </c>
      <c r="B7" s="3">
        <v>925101</v>
      </c>
      <c r="C7" s="3" t="s">
        <v>5</v>
      </c>
      <c r="D7" s="4">
        <v>99097</v>
      </c>
    </row>
    <row r="8" spans="1:4" x14ac:dyDescent="0.2">
      <c r="A8">
        <v>2022</v>
      </c>
      <c r="B8" s="3">
        <v>912103</v>
      </c>
      <c r="C8" s="3" t="s">
        <v>6</v>
      </c>
      <c r="D8" s="4">
        <v>98415</v>
      </c>
    </row>
    <row r="9" spans="1:4" x14ac:dyDescent="0.2">
      <c r="A9">
        <v>2022</v>
      </c>
      <c r="B9" s="3">
        <v>901106</v>
      </c>
      <c r="C9" s="3" t="s">
        <v>7</v>
      </c>
      <c r="D9" s="4">
        <v>184773</v>
      </c>
    </row>
    <row r="10" spans="1:4" x14ac:dyDescent="0.2">
      <c r="A10">
        <v>2022</v>
      </c>
      <c r="B10" s="3">
        <v>915100</v>
      </c>
      <c r="C10" s="3" t="s">
        <v>8</v>
      </c>
      <c r="D10" s="4">
        <v>441708</v>
      </c>
    </row>
    <row r="11" spans="1:4" x14ac:dyDescent="0.2">
      <c r="A11">
        <v>2022</v>
      </c>
      <c r="B11" s="3">
        <v>911109</v>
      </c>
      <c r="C11" s="3" t="s">
        <v>9</v>
      </c>
      <c r="D11" s="4">
        <v>224939</v>
      </c>
    </row>
    <row r="12" spans="1:4" x14ac:dyDescent="0.2">
      <c r="A12">
        <v>2022</v>
      </c>
      <c r="B12" s="3">
        <v>962150</v>
      </c>
      <c r="C12" s="3" t="s">
        <v>10</v>
      </c>
      <c r="D12" s="4">
        <v>250079</v>
      </c>
    </row>
    <row r="13" spans="1:4" x14ac:dyDescent="0.2">
      <c r="A13">
        <v>2022</v>
      </c>
      <c r="B13" s="3">
        <v>929144</v>
      </c>
      <c r="C13" s="3" t="s">
        <v>11</v>
      </c>
      <c r="D13" s="4">
        <v>65391</v>
      </c>
    </row>
    <row r="14" spans="1:4" x14ac:dyDescent="0.2">
      <c r="A14">
        <v>2022</v>
      </c>
      <c r="B14" s="3">
        <v>953171</v>
      </c>
      <c r="C14" s="3" t="s">
        <v>12</v>
      </c>
      <c r="D14" s="4">
        <v>76346</v>
      </c>
    </row>
    <row r="15" spans="1:4" x14ac:dyDescent="0.2">
      <c r="A15">
        <v>2022</v>
      </c>
      <c r="B15" s="3">
        <v>912172</v>
      </c>
      <c r="C15" s="3" t="s">
        <v>13</v>
      </c>
      <c r="D15" s="4">
        <v>198750</v>
      </c>
    </row>
    <row r="16" spans="1:4" x14ac:dyDescent="0.2">
      <c r="A16">
        <v>2022</v>
      </c>
      <c r="B16" s="3">
        <v>926124</v>
      </c>
      <c r="C16" s="3" t="s">
        <v>14</v>
      </c>
      <c r="D16" s="4">
        <v>55792</v>
      </c>
    </row>
    <row r="17" spans="1:4" x14ac:dyDescent="0.2">
      <c r="A17">
        <v>2022</v>
      </c>
      <c r="B17" s="3">
        <v>901154</v>
      </c>
      <c r="C17" s="3" t="s">
        <v>15</v>
      </c>
      <c r="D17" s="4">
        <v>1524086</v>
      </c>
    </row>
    <row r="18" spans="1:4" x14ac:dyDescent="0.2">
      <c r="A18">
        <v>2022</v>
      </c>
      <c r="B18" s="3">
        <v>946129</v>
      </c>
      <c r="C18" s="3" t="s">
        <v>16</v>
      </c>
      <c r="D18" s="4">
        <v>131481</v>
      </c>
    </row>
    <row r="19" spans="1:4" x14ac:dyDescent="0.2">
      <c r="A19">
        <v>2022</v>
      </c>
      <c r="B19" s="3">
        <v>948100</v>
      </c>
      <c r="C19" s="3" t="s">
        <v>17</v>
      </c>
      <c r="D19" s="4">
        <v>151250</v>
      </c>
    </row>
    <row r="20" spans="1:4" x14ac:dyDescent="0.2">
      <c r="A20">
        <v>2022</v>
      </c>
      <c r="B20" s="3">
        <v>906102</v>
      </c>
      <c r="C20" s="3" t="s">
        <v>18</v>
      </c>
      <c r="D20" s="4">
        <v>1206546</v>
      </c>
    </row>
    <row r="21" spans="1:4" x14ac:dyDescent="0.2">
      <c r="A21">
        <v>2022</v>
      </c>
      <c r="B21" s="3">
        <v>930100</v>
      </c>
      <c r="C21" s="3" t="s">
        <v>19</v>
      </c>
      <c r="D21" s="4">
        <v>108923</v>
      </c>
    </row>
    <row r="22" spans="1:4" x14ac:dyDescent="0.2">
      <c r="A22">
        <v>2022</v>
      </c>
      <c r="B22" s="3">
        <v>946102</v>
      </c>
      <c r="C22" s="3" t="s">
        <v>20</v>
      </c>
      <c r="D22" s="4">
        <v>101473</v>
      </c>
    </row>
    <row r="23" spans="1:4" x14ac:dyDescent="0.2">
      <c r="A23">
        <v>2022</v>
      </c>
      <c r="B23" s="3">
        <v>944101</v>
      </c>
      <c r="C23" s="3" t="s">
        <v>21</v>
      </c>
      <c r="D23" s="4">
        <v>297557</v>
      </c>
    </row>
    <row r="24" spans="1:4" x14ac:dyDescent="0.2">
      <c r="A24">
        <v>2022</v>
      </c>
      <c r="B24" s="3">
        <v>932101</v>
      </c>
      <c r="C24" s="3" t="s">
        <v>22</v>
      </c>
      <c r="D24" s="4">
        <v>100064</v>
      </c>
    </row>
    <row r="25" spans="1:4" x14ac:dyDescent="0.2">
      <c r="A25">
        <v>2022</v>
      </c>
      <c r="B25" s="3">
        <v>961101</v>
      </c>
      <c r="C25" s="3" t="s">
        <v>23</v>
      </c>
      <c r="D25" s="4">
        <v>97840</v>
      </c>
    </row>
    <row r="26" spans="1:4" x14ac:dyDescent="0.2">
      <c r="A26">
        <v>2022</v>
      </c>
      <c r="B26" s="3">
        <v>913100</v>
      </c>
      <c r="C26" s="3" t="s">
        <v>24</v>
      </c>
      <c r="D26" s="4">
        <v>385619</v>
      </c>
    </row>
    <row r="27" spans="1:4" x14ac:dyDescent="0.2">
      <c r="A27">
        <v>2022</v>
      </c>
      <c r="B27" s="3">
        <v>943123</v>
      </c>
      <c r="C27" s="3" t="s">
        <v>25</v>
      </c>
      <c r="D27" s="4">
        <v>196775</v>
      </c>
    </row>
    <row r="28" spans="1:4" x14ac:dyDescent="0.2">
      <c r="A28">
        <v>2022</v>
      </c>
      <c r="B28" s="3">
        <v>901162</v>
      </c>
      <c r="C28" s="3" t="s">
        <v>26</v>
      </c>
      <c r="D28" s="4">
        <v>86970</v>
      </c>
    </row>
    <row r="29" spans="1:4" x14ac:dyDescent="0.2">
      <c r="A29">
        <v>2022</v>
      </c>
      <c r="B29" s="3">
        <v>918123</v>
      </c>
      <c r="C29" s="3" t="s">
        <v>27</v>
      </c>
      <c r="D29" s="4">
        <v>168539</v>
      </c>
    </row>
    <row r="30" spans="1:4" x14ac:dyDescent="0.2">
      <c r="A30">
        <v>2022</v>
      </c>
      <c r="B30" s="3">
        <v>952103</v>
      </c>
      <c r="C30" s="3" t="s">
        <v>28</v>
      </c>
      <c r="D30" s="4">
        <v>103457</v>
      </c>
    </row>
    <row r="31" spans="1:4" x14ac:dyDescent="0.2">
      <c r="A31">
        <v>2022</v>
      </c>
      <c r="B31" s="3">
        <v>960103</v>
      </c>
      <c r="C31" s="3" t="s">
        <v>29</v>
      </c>
      <c r="D31" s="4">
        <v>88992</v>
      </c>
    </row>
    <row r="32" spans="1:4" x14ac:dyDescent="0.2">
      <c r="A32">
        <v>2022</v>
      </c>
      <c r="B32" s="3">
        <v>961103</v>
      </c>
      <c r="C32" s="3" t="s">
        <v>30</v>
      </c>
      <c r="D32" s="4">
        <v>56579</v>
      </c>
    </row>
    <row r="33" spans="1:4" x14ac:dyDescent="0.2">
      <c r="A33">
        <v>2022</v>
      </c>
      <c r="B33" s="3">
        <v>925102</v>
      </c>
      <c r="C33" s="3" t="s">
        <v>31</v>
      </c>
      <c r="D33" s="4">
        <v>108764</v>
      </c>
    </row>
    <row r="34" spans="1:4" x14ac:dyDescent="0.2">
      <c r="A34">
        <v>2022</v>
      </c>
      <c r="B34" s="3">
        <v>921104</v>
      </c>
      <c r="C34" s="3" t="s">
        <v>32</v>
      </c>
      <c r="D34" s="4">
        <v>364583</v>
      </c>
    </row>
    <row r="35" spans="1:4" x14ac:dyDescent="0.2">
      <c r="A35">
        <v>2022</v>
      </c>
      <c r="B35" s="3">
        <v>962100</v>
      </c>
      <c r="C35" s="3" t="s">
        <v>33</v>
      </c>
      <c r="D35" s="4">
        <v>459152</v>
      </c>
    </row>
    <row r="36" spans="1:4" x14ac:dyDescent="0.2">
      <c r="A36">
        <v>2022</v>
      </c>
      <c r="B36" s="3">
        <v>901110</v>
      </c>
      <c r="C36" s="3" t="s">
        <v>34</v>
      </c>
      <c r="D36" s="4">
        <v>338447</v>
      </c>
    </row>
    <row r="37" spans="1:4" x14ac:dyDescent="0.2">
      <c r="A37">
        <v>2022</v>
      </c>
      <c r="B37" s="3">
        <v>942103</v>
      </c>
      <c r="C37" s="3" t="s">
        <v>35</v>
      </c>
      <c r="D37" s="4">
        <v>125264</v>
      </c>
    </row>
    <row r="38" spans="1:4" x14ac:dyDescent="0.2">
      <c r="A38">
        <v>2022</v>
      </c>
      <c r="B38" s="3">
        <v>906174</v>
      </c>
      <c r="C38" s="3" t="s">
        <v>36</v>
      </c>
      <c r="D38" s="4">
        <v>136647</v>
      </c>
    </row>
    <row r="39" spans="1:4" x14ac:dyDescent="0.2">
      <c r="A39">
        <v>2022</v>
      </c>
      <c r="B39" s="3">
        <v>923148</v>
      </c>
      <c r="C39" s="3" t="s">
        <v>37</v>
      </c>
      <c r="D39" s="4">
        <v>181637</v>
      </c>
    </row>
    <row r="40" spans="1:4" x14ac:dyDescent="0.2">
      <c r="A40">
        <v>2022</v>
      </c>
      <c r="B40" s="3">
        <v>957102</v>
      </c>
      <c r="C40" s="3" t="s">
        <v>38</v>
      </c>
      <c r="D40" s="4">
        <v>70618</v>
      </c>
    </row>
    <row r="41" spans="1:4" x14ac:dyDescent="0.2">
      <c r="A41">
        <v>2022</v>
      </c>
      <c r="B41" s="3">
        <v>902108</v>
      </c>
      <c r="C41" s="3" t="s">
        <v>39</v>
      </c>
      <c r="D41" s="4">
        <v>1106750</v>
      </c>
    </row>
    <row r="42" spans="1:4" x14ac:dyDescent="0.2">
      <c r="A42">
        <v>2022</v>
      </c>
      <c r="B42" s="3">
        <v>964107</v>
      </c>
      <c r="C42" s="3" t="s">
        <v>40</v>
      </c>
      <c r="D42" s="4">
        <v>227555</v>
      </c>
    </row>
    <row r="43" spans="1:4" x14ac:dyDescent="0.2">
      <c r="A43">
        <v>2022</v>
      </c>
      <c r="B43" s="3">
        <v>924102</v>
      </c>
      <c r="C43" s="3" t="s">
        <v>41</v>
      </c>
      <c r="D43" s="4">
        <v>332034</v>
      </c>
    </row>
    <row r="44" spans="1:4" x14ac:dyDescent="0.2">
      <c r="A44">
        <v>2022</v>
      </c>
      <c r="B44" s="3">
        <v>901100</v>
      </c>
      <c r="C44" s="3" t="s">
        <v>42</v>
      </c>
      <c r="D44" s="4">
        <v>227241</v>
      </c>
    </row>
    <row r="45" spans="1:4" x14ac:dyDescent="0.2">
      <c r="A45">
        <v>2022</v>
      </c>
      <c r="B45" s="3">
        <v>927111</v>
      </c>
      <c r="C45" s="3" t="s">
        <v>43</v>
      </c>
      <c r="D45" s="4">
        <v>78541</v>
      </c>
    </row>
    <row r="46" spans="1:4" x14ac:dyDescent="0.2">
      <c r="A46">
        <v>2022</v>
      </c>
      <c r="B46" s="3">
        <v>926121</v>
      </c>
      <c r="C46" s="3" t="s">
        <v>44</v>
      </c>
      <c r="D46" s="4">
        <v>70322</v>
      </c>
    </row>
    <row r="47" spans="1:4" x14ac:dyDescent="0.2">
      <c r="A47">
        <v>2022</v>
      </c>
      <c r="B47" s="3">
        <v>927102</v>
      </c>
      <c r="C47" s="3" t="s">
        <v>45</v>
      </c>
      <c r="D47" s="4">
        <v>10256</v>
      </c>
    </row>
    <row r="48" spans="1:4" x14ac:dyDescent="0.2">
      <c r="A48">
        <v>2022</v>
      </c>
      <c r="B48" s="3">
        <v>962101</v>
      </c>
      <c r="C48" s="3" t="s">
        <v>46</v>
      </c>
      <c r="D48" s="4">
        <v>223054</v>
      </c>
    </row>
    <row r="49" spans="1:4" x14ac:dyDescent="0.2">
      <c r="A49">
        <v>2022</v>
      </c>
      <c r="B49" s="3">
        <v>906173</v>
      </c>
      <c r="C49" s="3" t="s">
        <v>47</v>
      </c>
      <c r="D49" s="4">
        <v>143309</v>
      </c>
    </row>
    <row r="50" spans="1:4" x14ac:dyDescent="0.2">
      <c r="A50">
        <v>2022</v>
      </c>
      <c r="B50" s="3">
        <v>932104</v>
      </c>
      <c r="C50" s="3" t="s">
        <v>48</v>
      </c>
      <c r="D50" s="4">
        <v>102945</v>
      </c>
    </row>
    <row r="51" spans="1:4" x14ac:dyDescent="0.2">
      <c r="A51">
        <v>2022</v>
      </c>
      <c r="B51" s="3">
        <v>908117</v>
      </c>
      <c r="C51" s="3" t="s">
        <v>49</v>
      </c>
      <c r="D51" s="4">
        <v>92518</v>
      </c>
    </row>
    <row r="52" spans="1:4" x14ac:dyDescent="0.2">
      <c r="A52">
        <v>2022</v>
      </c>
      <c r="B52" s="3">
        <v>947100</v>
      </c>
      <c r="C52" s="3" t="s">
        <v>50</v>
      </c>
      <c r="D52" s="4">
        <v>83658</v>
      </c>
    </row>
    <row r="53" spans="1:4" x14ac:dyDescent="0.2">
      <c r="A53">
        <v>2022</v>
      </c>
      <c r="B53" s="3">
        <v>964108</v>
      </c>
      <c r="C53" s="3" t="s">
        <v>51</v>
      </c>
      <c r="D53" s="4">
        <v>60766</v>
      </c>
    </row>
    <row r="54" spans="1:4" x14ac:dyDescent="0.2">
      <c r="A54">
        <v>2022</v>
      </c>
      <c r="B54" s="3">
        <v>928117</v>
      </c>
      <c r="C54" s="3" t="s">
        <v>52</v>
      </c>
      <c r="D54" s="4">
        <v>135396</v>
      </c>
    </row>
    <row r="55" spans="1:4" x14ac:dyDescent="0.2">
      <c r="A55">
        <v>2022</v>
      </c>
      <c r="B55" s="3">
        <v>952102</v>
      </c>
      <c r="C55" s="3" t="s">
        <v>53</v>
      </c>
      <c r="D55" s="4">
        <v>273743</v>
      </c>
    </row>
    <row r="56" spans="1:4" x14ac:dyDescent="0.2">
      <c r="A56">
        <v>2022</v>
      </c>
      <c r="B56" s="3">
        <v>905140</v>
      </c>
      <c r="C56" s="3" t="s">
        <v>54</v>
      </c>
      <c r="D56" s="4">
        <v>105396</v>
      </c>
    </row>
    <row r="57" spans="1:4" x14ac:dyDescent="0.2">
      <c r="A57">
        <v>2022</v>
      </c>
      <c r="B57" s="3">
        <v>903142</v>
      </c>
      <c r="C57" s="3" t="s">
        <v>55</v>
      </c>
      <c r="D57" s="4">
        <v>84402</v>
      </c>
    </row>
    <row r="58" spans="1:4" x14ac:dyDescent="0.2">
      <c r="A58">
        <v>2022</v>
      </c>
      <c r="B58" s="3">
        <v>937103</v>
      </c>
      <c r="C58" s="3" t="s">
        <v>56</v>
      </c>
      <c r="D58" s="4">
        <v>140735</v>
      </c>
    </row>
    <row r="59" spans="1:4" x14ac:dyDescent="0.2">
      <c r="A59">
        <v>2022</v>
      </c>
      <c r="B59" s="3">
        <v>901155</v>
      </c>
      <c r="C59" s="3" t="s">
        <v>57</v>
      </c>
      <c r="D59" s="4">
        <v>173648</v>
      </c>
    </row>
    <row r="60" spans="1:4" x14ac:dyDescent="0.2">
      <c r="A60">
        <v>2022</v>
      </c>
      <c r="B60" s="3">
        <v>907163</v>
      </c>
      <c r="C60" s="3" t="s">
        <v>58</v>
      </c>
      <c r="D60" s="4">
        <v>119109</v>
      </c>
    </row>
    <row r="61" spans="1:4" x14ac:dyDescent="0.2">
      <c r="A61">
        <v>2022</v>
      </c>
      <c r="B61" s="3">
        <v>954100</v>
      </c>
      <c r="C61" s="3" t="s">
        <v>59</v>
      </c>
      <c r="D61" s="4">
        <v>104580</v>
      </c>
    </row>
    <row r="62" spans="1:4" x14ac:dyDescent="0.2">
      <c r="A62">
        <v>2022</v>
      </c>
      <c r="B62" s="3">
        <v>930101</v>
      </c>
      <c r="C62" s="3" t="s">
        <v>60</v>
      </c>
      <c r="D62" s="4">
        <v>153678</v>
      </c>
    </row>
    <row r="63" spans="1:4" x14ac:dyDescent="0.2">
      <c r="A63">
        <v>2022</v>
      </c>
      <c r="B63" s="3">
        <v>903105</v>
      </c>
      <c r="C63" s="3" t="s">
        <v>61</v>
      </c>
      <c r="D63" s="4">
        <v>215948</v>
      </c>
    </row>
    <row r="64" spans="1:4" x14ac:dyDescent="0.2">
      <c r="A64">
        <v>2022</v>
      </c>
      <c r="B64" s="3">
        <v>931100</v>
      </c>
      <c r="C64" s="3" t="s">
        <v>62</v>
      </c>
      <c r="D64" s="4">
        <v>112076</v>
      </c>
    </row>
    <row r="65" spans="1:4" x14ac:dyDescent="0.2">
      <c r="A65">
        <v>2022</v>
      </c>
      <c r="B65" s="3">
        <v>932136</v>
      </c>
      <c r="C65" s="3" t="s">
        <v>63</v>
      </c>
      <c r="D65" s="4">
        <v>249560</v>
      </c>
    </row>
    <row r="66" spans="1:4" x14ac:dyDescent="0.2">
      <c r="A66">
        <v>2022</v>
      </c>
      <c r="B66" s="3">
        <v>934118</v>
      </c>
      <c r="C66" s="3" t="s">
        <v>64</v>
      </c>
      <c r="D66" s="4">
        <v>138248</v>
      </c>
    </row>
    <row r="67" spans="1:4" x14ac:dyDescent="0.2">
      <c r="A67">
        <v>2022</v>
      </c>
      <c r="B67" s="3">
        <v>935117</v>
      </c>
      <c r="C67" s="3" t="s">
        <v>65</v>
      </c>
      <c r="D67" s="4">
        <v>103735</v>
      </c>
    </row>
    <row r="68" spans="1:4" x14ac:dyDescent="0.2">
      <c r="A68">
        <v>2022</v>
      </c>
      <c r="B68" s="3">
        <v>944100</v>
      </c>
      <c r="C68" s="3" t="s">
        <v>66</v>
      </c>
      <c r="D68" s="4">
        <v>2238746</v>
      </c>
    </row>
    <row r="69" spans="1:4" x14ac:dyDescent="0.2">
      <c r="A69">
        <v>2022</v>
      </c>
      <c r="B69" s="3">
        <v>905101</v>
      </c>
      <c r="C69" s="3" t="s">
        <v>67</v>
      </c>
      <c r="D69" s="4">
        <v>77989</v>
      </c>
    </row>
    <row r="70" spans="1:4" x14ac:dyDescent="0.2">
      <c r="A70">
        <v>2022</v>
      </c>
      <c r="B70" s="3">
        <v>916101</v>
      </c>
      <c r="C70" s="3" t="s">
        <v>68</v>
      </c>
      <c r="D70" s="4">
        <v>56956</v>
      </c>
    </row>
    <row r="71" spans="1:4" x14ac:dyDescent="0.2">
      <c r="A71">
        <v>2022</v>
      </c>
      <c r="B71" s="3">
        <v>938124</v>
      </c>
      <c r="C71" s="3" t="s">
        <v>69</v>
      </c>
      <c r="D71" s="4">
        <v>101894</v>
      </c>
    </row>
    <row r="72" spans="1:4" x14ac:dyDescent="0.2">
      <c r="A72">
        <v>2022</v>
      </c>
      <c r="B72" s="3">
        <v>902106</v>
      </c>
      <c r="C72" s="3" t="s">
        <v>70</v>
      </c>
      <c r="D72" s="4">
        <v>178937</v>
      </c>
    </row>
    <row r="73" spans="1:4" x14ac:dyDescent="0.2">
      <c r="A73">
        <v>2022</v>
      </c>
      <c r="B73" s="3">
        <v>957101</v>
      </c>
      <c r="C73" s="3" t="s">
        <v>71</v>
      </c>
      <c r="D73" s="4">
        <v>105165</v>
      </c>
    </row>
    <row r="74" spans="1:4" x14ac:dyDescent="0.2">
      <c r="A74">
        <v>2022</v>
      </c>
      <c r="B74" s="3">
        <v>927101</v>
      </c>
      <c r="C74" s="3" t="s">
        <v>72</v>
      </c>
      <c r="D74" s="4">
        <v>253723</v>
      </c>
    </row>
    <row r="75" spans="1:4" x14ac:dyDescent="0.2">
      <c r="A75">
        <v>2022</v>
      </c>
      <c r="B75" s="3">
        <v>954103</v>
      </c>
      <c r="C75" s="3" t="s">
        <v>73</v>
      </c>
      <c r="D75" s="4">
        <v>80376</v>
      </c>
    </row>
    <row r="76" spans="1:4" x14ac:dyDescent="0.2">
      <c r="A76">
        <v>2022</v>
      </c>
      <c r="B76" s="3">
        <v>951100</v>
      </c>
      <c r="C76" s="3" t="s">
        <v>74</v>
      </c>
      <c r="D76" s="4">
        <v>155545</v>
      </c>
    </row>
    <row r="77" spans="1:4" x14ac:dyDescent="0.2">
      <c r="A77">
        <v>2022</v>
      </c>
      <c r="B77" s="3">
        <v>904103</v>
      </c>
      <c r="C77" s="3" t="s">
        <v>75</v>
      </c>
      <c r="D77" s="4">
        <v>1107620</v>
      </c>
    </row>
    <row r="78" spans="1:4" x14ac:dyDescent="0.2">
      <c r="A78">
        <v>2022</v>
      </c>
      <c r="B78" s="3">
        <v>926101</v>
      </c>
      <c r="C78" s="3" t="s">
        <v>76</v>
      </c>
      <c r="D78" s="4">
        <v>158434</v>
      </c>
    </row>
    <row r="79" spans="1:4" x14ac:dyDescent="0.2">
      <c r="A79">
        <v>2022</v>
      </c>
      <c r="B79" s="3">
        <v>907103</v>
      </c>
      <c r="C79" s="3" t="s">
        <v>77</v>
      </c>
      <c r="D79" s="4">
        <v>125270</v>
      </c>
    </row>
    <row r="80" spans="1:4" x14ac:dyDescent="0.2">
      <c r="A80">
        <v>2022</v>
      </c>
      <c r="B80" s="3">
        <v>904138</v>
      </c>
      <c r="C80" s="3" t="s">
        <v>78</v>
      </c>
      <c r="D80" s="4">
        <v>70664</v>
      </c>
    </row>
    <row r="81" spans="1:4" x14ac:dyDescent="0.2">
      <c r="A81">
        <v>2022</v>
      </c>
      <c r="B81" s="3">
        <v>908102</v>
      </c>
      <c r="C81" s="3" t="s">
        <v>79</v>
      </c>
      <c r="D81" s="4">
        <v>20442</v>
      </c>
    </row>
    <row r="82" spans="1:4" x14ac:dyDescent="0.2">
      <c r="A82">
        <v>2022</v>
      </c>
      <c r="B82" s="3">
        <v>941100</v>
      </c>
      <c r="C82" s="3" t="s">
        <v>80</v>
      </c>
      <c r="D82" s="4">
        <v>85817</v>
      </c>
    </row>
    <row r="83" spans="1:4" x14ac:dyDescent="0.2">
      <c r="A83">
        <v>2022</v>
      </c>
      <c r="B83" s="3">
        <v>939103</v>
      </c>
      <c r="C83" s="3" t="s">
        <v>81</v>
      </c>
      <c r="D83" s="4">
        <v>178391</v>
      </c>
    </row>
    <row r="84" spans="1:4" x14ac:dyDescent="0.2">
      <c r="A84">
        <v>2022</v>
      </c>
      <c r="B84" s="3">
        <v>913124</v>
      </c>
      <c r="C84" s="3" t="s">
        <v>82</v>
      </c>
      <c r="D84" s="4">
        <v>128451</v>
      </c>
    </row>
    <row r="85" spans="1:4" x14ac:dyDescent="0.2">
      <c r="A85">
        <v>2022</v>
      </c>
      <c r="B85" s="3">
        <v>942101</v>
      </c>
      <c r="C85" s="3" t="s">
        <v>83</v>
      </c>
      <c r="D85" s="4">
        <v>87834</v>
      </c>
    </row>
    <row r="86" spans="1:4" x14ac:dyDescent="0.2">
      <c r="A86">
        <v>2022</v>
      </c>
      <c r="B86" s="3">
        <v>948124</v>
      </c>
      <c r="C86" s="3" t="s">
        <v>84</v>
      </c>
      <c r="D86" s="4">
        <v>95510</v>
      </c>
    </row>
    <row r="87" spans="1:4" x14ac:dyDescent="0.2">
      <c r="A87">
        <v>2022</v>
      </c>
      <c r="B87" s="3">
        <v>909116</v>
      </c>
      <c r="C87" s="3" t="s">
        <v>85</v>
      </c>
      <c r="D87" s="4">
        <v>352600</v>
      </c>
    </row>
    <row r="88" spans="1:4" x14ac:dyDescent="0.2">
      <c r="A88">
        <v>2022</v>
      </c>
      <c r="B88" s="3">
        <v>953100</v>
      </c>
      <c r="C88" s="3" t="s">
        <v>86</v>
      </c>
      <c r="D88" s="4">
        <v>124265</v>
      </c>
    </row>
    <row r="89" spans="1:4" x14ac:dyDescent="0.2">
      <c r="A89">
        <v>2022</v>
      </c>
      <c r="B89" s="3">
        <v>944172</v>
      </c>
      <c r="C89" s="3" t="s">
        <v>87</v>
      </c>
      <c r="D89" s="4">
        <v>418218</v>
      </c>
    </row>
    <row r="90" spans="1:4" x14ac:dyDescent="0.2">
      <c r="A90">
        <v>2022</v>
      </c>
      <c r="B90" s="3">
        <v>947101</v>
      </c>
      <c r="C90" s="3" t="s">
        <v>88</v>
      </c>
      <c r="D90" s="4">
        <v>116164</v>
      </c>
    </row>
    <row r="91" spans="1:4" x14ac:dyDescent="0.2">
      <c r="A91">
        <v>2022</v>
      </c>
      <c r="B91" s="3">
        <v>945132</v>
      </c>
      <c r="C91" s="3" t="s">
        <v>89</v>
      </c>
      <c r="D91" s="4">
        <v>174422</v>
      </c>
    </row>
    <row r="92" spans="1:4" x14ac:dyDescent="0.2">
      <c r="A92">
        <v>2022</v>
      </c>
      <c r="B92" s="3">
        <v>943122</v>
      </c>
      <c r="C92" s="3" t="s">
        <v>90</v>
      </c>
      <c r="D92" s="4">
        <v>405905</v>
      </c>
    </row>
    <row r="93" spans="1:4" x14ac:dyDescent="0.2">
      <c r="A93">
        <v>2022</v>
      </c>
      <c r="B93" s="3">
        <v>961102</v>
      </c>
      <c r="C93" s="3" t="s">
        <v>91</v>
      </c>
      <c r="D93" s="4">
        <v>93301</v>
      </c>
    </row>
    <row r="94" spans="1:4" x14ac:dyDescent="0.2">
      <c r="A94">
        <v>2022</v>
      </c>
      <c r="B94" s="3">
        <v>946105</v>
      </c>
      <c r="C94" s="3" t="s">
        <v>92</v>
      </c>
      <c r="D94" s="4">
        <v>152774</v>
      </c>
    </row>
    <row r="95" spans="1:4" x14ac:dyDescent="0.2">
      <c r="A95">
        <v>2022</v>
      </c>
      <c r="B95" s="3">
        <v>920100</v>
      </c>
      <c r="C95" s="3" t="s">
        <v>93</v>
      </c>
      <c r="D95" s="4">
        <v>110762</v>
      </c>
    </row>
    <row r="96" spans="1:4" x14ac:dyDescent="0.2">
      <c r="A96">
        <v>2022</v>
      </c>
      <c r="B96" s="3">
        <v>920101</v>
      </c>
      <c r="C96" s="3" t="s">
        <v>94</v>
      </c>
      <c r="D96" s="4">
        <v>290824</v>
      </c>
    </row>
    <row r="97" spans="1:4" x14ac:dyDescent="0.2">
      <c r="A97">
        <v>2022</v>
      </c>
      <c r="B97" s="3">
        <v>949157</v>
      </c>
      <c r="C97" s="3" t="s">
        <v>95</v>
      </c>
      <c r="D97" s="4">
        <v>932837</v>
      </c>
    </row>
    <row r="98" spans="1:4" x14ac:dyDescent="0.2">
      <c r="A98">
        <v>2022</v>
      </c>
      <c r="B98" s="3">
        <v>937102</v>
      </c>
      <c r="C98" s="3" t="s">
        <v>96</v>
      </c>
      <c r="D98" s="4">
        <v>133835</v>
      </c>
    </row>
    <row r="99" spans="1:4" x14ac:dyDescent="0.2">
      <c r="A99">
        <v>2022</v>
      </c>
      <c r="B99" s="3">
        <v>917106</v>
      </c>
      <c r="C99" s="3" t="s">
        <v>97</v>
      </c>
      <c r="D99" s="4">
        <v>93803</v>
      </c>
    </row>
    <row r="100" spans="1:4" x14ac:dyDescent="0.2">
      <c r="A100">
        <v>2022</v>
      </c>
      <c r="B100" s="3">
        <v>929103</v>
      </c>
      <c r="C100" s="3" t="s">
        <v>98</v>
      </c>
      <c r="D100" s="4">
        <v>384584</v>
      </c>
    </row>
    <row r="101" spans="1:4" x14ac:dyDescent="0.2">
      <c r="A101">
        <v>2022</v>
      </c>
      <c r="B101" s="3">
        <v>933100</v>
      </c>
      <c r="C101" s="3" t="s">
        <v>99</v>
      </c>
      <c r="D101" s="4">
        <v>164252</v>
      </c>
    </row>
    <row r="102" spans="1:4" x14ac:dyDescent="0.2">
      <c r="A102">
        <v>2022</v>
      </c>
      <c r="B102" s="3">
        <v>908101</v>
      </c>
      <c r="C102" s="3" t="s">
        <v>100</v>
      </c>
      <c r="D102" s="4">
        <v>1361418</v>
      </c>
    </row>
    <row r="103" spans="1:4" x14ac:dyDescent="0.2">
      <c r="A103">
        <v>2022</v>
      </c>
      <c r="B103" s="3">
        <v>963101</v>
      </c>
      <c r="C103" s="3" t="s">
        <v>101</v>
      </c>
      <c r="D103" s="4">
        <v>240427</v>
      </c>
    </row>
    <row r="104" spans="1:4" x14ac:dyDescent="0.2">
      <c r="A104">
        <v>2022</v>
      </c>
      <c r="B104" s="3">
        <v>946103</v>
      </c>
      <c r="C104" s="3" t="s">
        <v>102</v>
      </c>
      <c r="D104" s="4">
        <v>104751</v>
      </c>
    </row>
    <row r="105" spans="1:4" x14ac:dyDescent="0.2">
      <c r="A105">
        <v>2022</v>
      </c>
      <c r="B105" s="3">
        <v>908100</v>
      </c>
      <c r="C105" s="3" t="s">
        <v>103</v>
      </c>
      <c r="D105" s="4">
        <v>106216</v>
      </c>
    </row>
    <row r="106" spans="1:4" x14ac:dyDescent="0.2">
      <c r="A106">
        <v>2022</v>
      </c>
      <c r="B106" s="3">
        <v>902104</v>
      </c>
      <c r="C106" s="3" t="s">
        <v>104</v>
      </c>
      <c r="D106" s="4">
        <v>81517</v>
      </c>
    </row>
    <row r="107" spans="1:4" x14ac:dyDescent="0.2">
      <c r="A107">
        <v>2022</v>
      </c>
      <c r="B107" s="3">
        <v>915104</v>
      </c>
      <c r="C107" s="3" t="s">
        <v>105</v>
      </c>
      <c r="D107" s="4">
        <v>110681</v>
      </c>
    </row>
    <row r="108" spans="1:4" x14ac:dyDescent="0.2">
      <c r="A108">
        <v>2022</v>
      </c>
      <c r="B108" s="3">
        <v>903100</v>
      </c>
      <c r="C108" s="3" t="s">
        <v>106</v>
      </c>
      <c r="D108" s="4">
        <v>42140</v>
      </c>
    </row>
    <row r="109" spans="1:4" x14ac:dyDescent="0.2">
      <c r="A109">
        <v>2022</v>
      </c>
      <c r="B109" s="3">
        <v>932137</v>
      </c>
      <c r="C109" s="3" t="s">
        <v>107</v>
      </c>
      <c r="D109" s="4">
        <v>173791</v>
      </c>
    </row>
    <row r="110" spans="1:4" x14ac:dyDescent="0.2">
      <c r="A110">
        <v>2022</v>
      </c>
      <c r="B110" s="3">
        <v>905130</v>
      </c>
      <c r="C110" s="3" t="s">
        <v>108</v>
      </c>
      <c r="D110" s="4">
        <v>45071</v>
      </c>
    </row>
    <row r="111" spans="1:4" x14ac:dyDescent="0.2">
      <c r="A111">
        <v>2022</v>
      </c>
      <c r="B111" s="3">
        <v>953173</v>
      </c>
      <c r="C111" s="3" t="s">
        <v>109</v>
      </c>
      <c r="D111" s="4">
        <v>56755</v>
      </c>
    </row>
    <row r="112" spans="1:4" x14ac:dyDescent="0.2">
      <c r="A112">
        <v>2022</v>
      </c>
      <c r="B112" s="3">
        <v>957116</v>
      </c>
      <c r="C112" s="3" t="s">
        <v>110</v>
      </c>
      <c r="D112" s="4">
        <v>105161</v>
      </c>
    </row>
    <row r="113" spans="1:4" x14ac:dyDescent="0.2">
      <c r="A113">
        <v>2022</v>
      </c>
      <c r="B113" s="3">
        <v>963102</v>
      </c>
      <c r="C113" s="3" t="s">
        <v>111</v>
      </c>
      <c r="D113" s="4">
        <v>36446</v>
      </c>
    </row>
    <row r="114" spans="1:4" x14ac:dyDescent="0.2">
      <c r="A114">
        <v>2022</v>
      </c>
      <c r="B114" s="3">
        <v>927100</v>
      </c>
      <c r="C114" s="3" t="s">
        <v>112</v>
      </c>
      <c r="D114" s="4">
        <v>73902</v>
      </c>
    </row>
    <row r="115" spans="1:4" x14ac:dyDescent="0.2">
      <c r="A115">
        <v>2022</v>
      </c>
      <c r="B115" s="3">
        <v>943104</v>
      </c>
      <c r="C115" s="3" t="s">
        <v>113</v>
      </c>
      <c r="D115" s="4">
        <v>79609</v>
      </c>
    </row>
    <row r="116" spans="1:4" x14ac:dyDescent="0.2">
      <c r="A116">
        <v>2022</v>
      </c>
      <c r="B116" s="3">
        <v>961100</v>
      </c>
      <c r="C116" s="3" t="s">
        <v>114</v>
      </c>
      <c r="D116" s="4">
        <v>165856</v>
      </c>
    </row>
    <row r="117" spans="1:4" x14ac:dyDescent="0.2">
      <c r="A117">
        <v>2022</v>
      </c>
      <c r="B117" s="3">
        <v>937104</v>
      </c>
      <c r="C117" s="3" t="s">
        <v>115</v>
      </c>
      <c r="D117" s="4">
        <v>202982</v>
      </c>
    </row>
    <row r="118" spans="1:4" x14ac:dyDescent="0.2">
      <c r="A118">
        <v>2022</v>
      </c>
      <c r="B118" s="3">
        <v>936100</v>
      </c>
      <c r="C118" s="3" t="s">
        <v>116</v>
      </c>
      <c r="D118" s="4">
        <v>1016218</v>
      </c>
    </row>
    <row r="119" spans="1:4" x14ac:dyDescent="0.2">
      <c r="A119">
        <v>2022</v>
      </c>
      <c r="B119" s="3">
        <v>910103</v>
      </c>
      <c r="C119" s="3" t="s">
        <v>117</v>
      </c>
      <c r="D119" s="4">
        <v>110445</v>
      </c>
    </row>
    <row r="120" spans="1:4" x14ac:dyDescent="0.2">
      <c r="A120">
        <v>2022</v>
      </c>
      <c r="B120" s="3">
        <v>917105</v>
      </c>
      <c r="C120" s="3" t="s">
        <v>118</v>
      </c>
      <c r="D120" s="4">
        <v>187929</v>
      </c>
    </row>
    <row r="121" spans="1:4" x14ac:dyDescent="0.2">
      <c r="A121">
        <v>2022</v>
      </c>
      <c r="B121" s="3">
        <v>943100</v>
      </c>
      <c r="C121" s="3" t="s">
        <v>119</v>
      </c>
      <c r="D121" s="4">
        <v>16052</v>
      </c>
    </row>
    <row r="122" spans="1:4" x14ac:dyDescent="0.2">
      <c r="A122">
        <v>2022</v>
      </c>
      <c r="B122" s="3">
        <v>902101</v>
      </c>
      <c r="C122" s="3" t="s">
        <v>120</v>
      </c>
      <c r="D122" s="4">
        <v>4888521</v>
      </c>
    </row>
    <row r="123" spans="1:4" x14ac:dyDescent="0.2">
      <c r="A123">
        <v>2022</v>
      </c>
      <c r="B123" s="3">
        <v>957100</v>
      </c>
      <c r="C123" s="3" t="s">
        <v>121</v>
      </c>
      <c r="D123" s="4">
        <v>219849</v>
      </c>
    </row>
    <row r="124" spans="1:4" x14ac:dyDescent="0.2">
      <c r="A124">
        <v>2022</v>
      </c>
      <c r="B124" s="3">
        <v>955167</v>
      </c>
      <c r="C124" s="3" t="s">
        <v>122</v>
      </c>
      <c r="D124" s="4">
        <v>98114</v>
      </c>
    </row>
    <row r="125" spans="1:4" x14ac:dyDescent="0.2">
      <c r="A125">
        <v>2022</v>
      </c>
      <c r="B125" s="3">
        <v>943121</v>
      </c>
      <c r="C125" s="3" t="s">
        <v>123</v>
      </c>
      <c r="D125" s="4">
        <v>87906</v>
      </c>
    </row>
    <row r="126" spans="1:4" x14ac:dyDescent="0.2">
      <c r="A126">
        <v>2022</v>
      </c>
      <c r="B126" s="3">
        <v>956114</v>
      </c>
      <c r="C126" s="3" t="s">
        <v>124</v>
      </c>
      <c r="D126" s="4">
        <v>99131</v>
      </c>
    </row>
    <row r="127" spans="1:4" x14ac:dyDescent="0.2">
      <c r="A127">
        <v>2022</v>
      </c>
      <c r="B127" s="3">
        <v>912102</v>
      </c>
      <c r="C127" s="3" t="s">
        <v>125</v>
      </c>
      <c r="D127" s="4">
        <v>102701</v>
      </c>
    </row>
    <row r="128" spans="1:4" x14ac:dyDescent="0.2">
      <c r="A128">
        <v>2022</v>
      </c>
      <c r="B128" s="3">
        <v>963112</v>
      </c>
      <c r="C128" s="3" t="s">
        <v>126</v>
      </c>
      <c r="D128" s="4">
        <v>81744</v>
      </c>
    </row>
    <row r="129" spans="1:4" x14ac:dyDescent="0.2">
      <c r="A129">
        <v>2022</v>
      </c>
      <c r="B129" s="3">
        <v>927200</v>
      </c>
      <c r="C129" s="3" t="s">
        <v>127</v>
      </c>
      <c r="D129" s="4">
        <v>941309</v>
      </c>
    </row>
    <row r="130" spans="1:4" x14ac:dyDescent="0.2">
      <c r="A130">
        <v>2022</v>
      </c>
      <c r="B130" s="3">
        <v>901111</v>
      </c>
      <c r="C130" s="3" t="s">
        <v>128</v>
      </c>
      <c r="D130" s="4">
        <v>10377538</v>
      </c>
    </row>
    <row r="131" spans="1:4" x14ac:dyDescent="0.2">
      <c r="A131">
        <v>2022</v>
      </c>
      <c r="B131" s="3">
        <v>906105</v>
      </c>
      <c r="C131" s="3" t="s">
        <v>129</v>
      </c>
      <c r="D131" s="4">
        <v>214510</v>
      </c>
    </row>
    <row r="132" spans="1:4" x14ac:dyDescent="0.2">
      <c r="A132">
        <v>2022</v>
      </c>
      <c r="B132" s="3">
        <v>955108</v>
      </c>
      <c r="C132" s="3" t="s">
        <v>130</v>
      </c>
      <c r="D132" s="4">
        <v>427538</v>
      </c>
    </row>
    <row r="133" spans="1:4" x14ac:dyDescent="0.2">
      <c r="A133">
        <v>2022</v>
      </c>
      <c r="B133" s="3">
        <v>920102</v>
      </c>
      <c r="C133" s="3" t="s">
        <v>131</v>
      </c>
      <c r="D133" s="4">
        <v>149291</v>
      </c>
    </row>
    <row r="134" spans="1:4" x14ac:dyDescent="0.2">
      <c r="A134">
        <v>2022</v>
      </c>
      <c r="B134" s="3">
        <v>912104</v>
      </c>
      <c r="C134" s="3" t="s">
        <v>132</v>
      </c>
      <c r="D134" s="4">
        <v>74406</v>
      </c>
    </row>
    <row r="135" spans="1:4" x14ac:dyDescent="0.2">
      <c r="A135">
        <v>2022</v>
      </c>
      <c r="B135" s="3">
        <v>930103</v>
      </c>
      <c r="C135" s="3" t="s">
        <v>133</v>
      </c>
      <c r="D135" s="4">
        <v>42442</v>
      </c>
    </row>
    <row r="136" spans="1:4" x14ac:dyDescent="0.2">
      <c r="A136">
        <v>2022</v>
      </c>
      <c r="B136" s="3">
        <v>962104</v>
      </c>
      <c r="C136" s="3" t="s">
        <v>134</v>
      </c>
      <c r="D136" s="4">
        <v>76399</v>
      </c>
    </row>
    <row r="137" spans="1:4" x14ac:dyDescent="0.2">
      <c r="A137">
        <v>2022</v>
      </c>
      <c r="B137" s="3">
        <v>909101</v>
      </c>
      <c r="C137" s="3" t="s">
        <v>135</v>
      </c>
      <c r="D137" s="4">
        <v>779036</v>
      </c>
    </row>
    <row r="138" spans="1:4" x14ac:dyDescent="0.2">
      <c r="A138">
        <v>2022</v>
      </c>
      <c r="B138" s="3">
        <v>958100</v>
      </c>
      <c r="C138" s="3" t="s">
        <v>136</v>
      </c>
      <c r="D138" s="4">
        <v>182937</v>
      </c>
    </row>
    <row r="139" spans="1:4" x14ac:dyDescent="0.2">
      <c r="A139">
        <v>2022</v>
      </c>
      <c r="B139" s="3">
        <v>955104</v>
      </c>
      <c r="C139" s="3" t="s">
        <v>137</v>
      </c>
      <c r="D139" s="4">
        <v>73244</v>
      </c>
    </row>
    <row r="140" spans="1:4" x14ac:dyDescent="0.2">
      <c r="A140">
        <v>2022</v>
      </c>
      <c r="B140" s="3">
        <v>944102</v>
      </c>
      <c r="C140" s="3" t="s">
        <v>138</v>
      </c>
      <c r="D140" s="4">
        <v>706447</v>
      </c>
    </row>
    <row r="141" spans="1:4" x14ac:dyDescent="0.2">
      <c r="A141">
        <v>2022</v>
      </c>
      <c r="B141" s="3">
        <v>950102</v>
      </c>
      <c r="C141" s="3" t="s">
        <v>139</v>
      </c>
      <c r="D141" s="4">
        <v>29598</v>
      </c>
    </row>
    <row r="142" spans="1:4" x14ac:dyDescent="0.2">
      <c r="A142">
        <v>2022</v>
      </c>
      <c r="B142" s="3">
        <v>924101</v>
      </c>
      <c r="C142" s="3" t="s">
        <v>140</v>
      </c>
      <c r="D142" s="4">
        <v>200203</v>
      </c>
    </row>
    <row r="143" spans="1:4" x14ac:dyDescent="0.2">
      <c r="A143">
        <v>2022</v>
      </c>
      <c r="B143" s="3">
        <v>960200</v>
      </c>
      <c r="C143" s="3" t="s">
        <v>141</v>
      </c>
      <c r="D143" s="4">
        <v>1085227</v>
      </c>
    </row>
    <row r="144" spans="1:4" x14ac:dyDescent="0.2">
      <c r="A144">
        <v>2022</v>
      </c>
      <c r="B144" s="3">
        <v>901105</v>
      </c>
      <c r="C144" s="3" t="s">
        <v>142</v>
      </c>
      <c r="D144" s="4">
        <v>348750</v>
      </c>
    </row>
    <row r="145" spans="1:4" x14ac:dyDescent="0.2">
      <c r="A145">
        <v>2022</v>
      </c>
      <c r="B145" s="3">
        <v>937100</v>
      </c>
      <c r="C145" s="3" t="s">
        <v>143</v>
      </c>
      <c r="D145" s="4">
        <v>89670</v>
      </c>
    </row>
    <row r="146" spans="1:4" x14ac:dyDescent="0.2">
      <c r="A146">
        <v>2022</v>
      </c>
      <c r="B146" s="3">
        <v>919100</v>
      </c>
      <c r="C146" s="3" t="s">
        <v>144</v>
      </c>
      <c r="D146" s="4">
        <v>425262</v>
      </c>
    </row>
    <row r="147" spans="1:4" x14ac:dyDescent="0.2">
      <c r="A147">
        <v>2022</v>
      </c>
      <c r="B147" s="3">
        <v>961104</v>
      </c>
      <c r="C147" s="3" t="s">
        <v>145</v>
      </c>
      <c r="D147" s="4">
        <v>126125</v>
      </c>
    </row>
    <row r="148" spans="1:4" x14ac:dyDescent="0.2">
      <c r="A148">
        <v>2022</v>
      </c>
      <c r="B148" s="3">
        <v>917103</v>
      </c>
      <c r="C148" s="3" t="s">
        <v>146</v>
      </c>
      <c r="D148" s="4">
        <v>467132</v>
      </c>
    </row>
    <row r="149" spans="1:4" x14ac:dyDescent="0.2">
      <c r="A149">
        <v>2022</v>
      </c>
      <c r="B149" s="3">
        <v>902107</v>
      </c>
      <c r="C149" s="3" t="s">
        <v>147</v>
      </c>
      <c r="D149" s="4">
        <v>119638</v>
      </c>
    </row>
    <row r="150" spans="1:4" x14ac:dyDescent="0.2">
      <c r="A150">
        <v>2022</v>
      </c>
      <c r="B150" s="3">
        <v>903141</v>
      </c>
      <c r="C150" s="3" t="s">
        <v>148</v>
      </c>
      <c r="D150" s="4">
        <v>101005</v>
      </c>
    </row>
    <row r="151" spans="1:4" x14ac:dyDescent="0.2">
      <c r="A151">
        <v>2022</v>
      </c>
      <c r="B151" s="3">
        <v>905104</v>
      </c>
      <c r="C151" s="3" t="s">
        <v>149</v>
      </c>
      <c r="D151" s="4">
        <v>2116157</v>
      </c>
    </row>
    <row r="152" spans="1:4" x14ac:dyDescent="0.2">
      <c r="A152">
        <v>2022</v>
      </c>
      <c r="B152" s="3">
        <v>922105</v>
      </c>
      <c r="C152" s="3" t="s">
        <v>150</v>
      </c>
      <c r="D152" s="4">
        <v>90676</v>
      </c>
    </row>
    <row r="153" spans="1:4" x14ac:dyDescent="0.2">
      <c r="A153">
        <v>2022</v>
      </c>
      <c r="B153" s="3">
        <v>905100</v>
      </c>
      <c r="C153" s="3" t="s">
        <v>151</v>
      </c>
      <c r="D153" s="4">
        <v>73793</v>
      </c>
    </row>
    <row r="154" spans="1:4" x14ac:dyDescent="0.2">
      <c r="A154">
        <v>2022</v>
      </c>
      <c r="B154" s="3">
        <v>922107</v>
      </c>
      <c r="C154" s="3" t="s">
        <v>152</v>
      </c>
      <c r="D154" s="4">
        <v>160666</v>
      </c>
    </row>
    <row r="155" spans="1:4" x14ac:dyDescent="0.2">
      <c r="A155">
        <v>2022</v>
      </c>
      <c r="B155" s="3">
        <v>940102</v>
      </c>
      <c r="C155" s="3" t="s">
        <v>153</v>
      </c>
      <c r="D155" s="4">
        <v>121749</v>
      </c>
    </row>
    <row r="156" spans="1:4" x14ac:dyDescent="0.2">
      <c r="A156">
        <v>2022</v>
      </c>
      <c r="B156" s="3">
        <v>901157</v>
      </c>
      <c r="C156" s="3" t="s">
        <v>154</v>
      </c>
      <c r="D156" s="4">
        <v>468062</v>
      </c>
    </row>
    <row r="157" spans="1:4" x14ac:dyDescent="0.2">
      <c r="A157">
        <v>2022</v>
      </c>
      <c r="B157" s="3">
        <v>902103</v>
      </c>
      <c r="C157" s="3" t="s">
        <v>155</v>
      </c>
      <c r="D157" s="4">
        <v>398725</v>
      </c>
    </row>
    <row r="158" spans="1:4" x14ac:dyDescent="0.2">
      <c r="A158">
        <v>2022</v>
      </c>
      <c r="B158" s="3">
        <v>910105</v>
      </c>
      <c r="C158" s="3" t="s">
        <v>156</v>
      </c>
      <c r="D158" s="4">
        <v>63696</v>
      </c>
    </row>
    <row r="159" spans="1:4" x14ac:dyDescent="0.2">
      <c r="A159">
        <v>2022</v>
      </c>
      <c r="B159" s="3">
        <v>950101</v>
      </c>
      <c r="C159" s="3" t="s">
        <v>157</v>
      </c>
      <c r="D159" s="4">
        <v>211805</v>
      </c>
    </row>
    <row r="160" spans="1:4" x14ac:dyDescent="0.2">
      <c r="A160">
        <v>2022</v>
      </c>
      <c r="B160" s="3">
        <v>918101</v>
      </c>
      <c r="C160" s="3" t="s">
        <v>158</v>
      </c>
      <c r="D160" s="4">
        <v>113180</v>
      </c>
    </row>
    <row r="161" spans="1:4" x14ac:dyDescent="0.2">
      <c r="A161">
        <v>2022</v>
      </c>
      <c r="B161" s="3">
        <v>955102</v>
      </c>
      <c r="C161" s="3" t="s">
        <v>159</v>
      </c>
      <c r="D161" s="4">
        <v>101264</v>
      </c>
    </row>
    <row r="162" spans="1:4" x14ac:dyDescent="0.2">
      <c r="A162">
        <v>2022</v>
      </c>
      <c r="B162" s="3">
        <v>960102</v>
      </c>
      <c r="C162" s="3" t="s">
        <v>160</v>
      </c>
      <c r="D162" s="4">
        <v>275602</v>
      </c>
    </row>
    <row r="163" spans="1:4" x14ac:dyDescent="0.2">
      <c r="A163">
        <v>2022</v>
      </c>
      <c r="B163" s="3">
        <v>904105</v>
      </c>
      <c r="C163" s="3" t="s">
        <v>161</v>
      </c>
      <c r="D163" s="4">
        <v>143368</v>
      </c>
    </row>
    <row r="164" spans="1:4" x14ac:dyDescent="0.2">
      <c r="A164">
        <v>2022</v>
      </c>
      <c r="B164" s="3">
        <v>956100</v>
      </c>
      <c r="C164" s="3" t="s">
        <v>162</v>
      </c>
      <c r="D164" s="4">
        <v>91926</v>
      </c>
    </row>
    <row r="165" spans="1:4" x14ac:dyDescent="0.2">
      <c r="A165">
        <v>2022</v>
      </c>
      <c r="B165" s="3">
        <v>907100</v>
      </c>
      <c r="C165" s="3" t="s">
        <v>163</v>
      </c>
      <c r="D165" s="4">
        <v>998734</v>
      </c>
    </row>
    <row r="166" spans="1:4" x14ac:dyDescent="0.2">
      <c r="A166">
        <v>2022</v>
      </c>
      <c r="B166" s="3" t="s">
        <v>165</v>
      </c>
      <c r="C166" s="3" t="s">
        <v>164</v>
      </c>
      <c r="D166" s="4">
        <v>29457946</v>
      </c>
    </row>
    <row r="167" spans="1:4" x14ac:dyDescent="0.2">
      <c r="A167">
        <v>2022</v>
      </c>
      <c r="B167" s="3">
        <v>909102</v>
      </c>
      <c r="C167" s="3" t="s">
        <v>169</v>
      </c>
      <c r="D167" s="4">
        <v>1038571</v>
      </c>
    </row>
    <row r="168" spans="1:4" s="3" customFormat="1" x14ac:dyDescent="0.2">
      <c r="A168">
        <v>2022</v>
      </c>
      <c r="B168" s="3">
        <v>903501</v>
      </c>
      <c r="C168" s="3" t="s">
        <v>170</v>
      </c>
      <c r="D168" s="4">
        <v>122970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43F1-6A52-264E-9F93-0974F166BF5D}">
  <sheetPr>
    <tabColor rgb="FFFFFF00"/>
  </sheetPr>
  <dimension ref="A1:E167"/>
  <sheetViews>
    <sheetView workbookViewId="0">
      <selection activeCell="A2" sqref="A2:D167"/>
    </sheetView>
  </sheetViews>
  <sheetFormatPr baseColWidth="10" defaultRowHeight="16" x14ac:dyDescent="0.2"/>
  <cols>
    <col min="2" max="2" width="15.6640625" style="3" bestFit="1" customWidth="1"/>
    <col min="3" max="3" width="35" style="3" bestFit="1" customWidth="1"/>
    <col min="4" max="4" width="10.83203125" style="3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2021</v>
      </c>
      <c r="B2" s="3">
        <v>903103</v>
      </c>
      <c r="C2" s="3" t="s">
        <v>0</v>
      </c>
      <c r="D2" s="4">
        <v>1594740</v>
      </c>
    </row>
    <row r="3" spans="1:4" x14ac:dyDescent="0.2">
      <c r="A3">
        <v>2021</v>
      </c>
      <c r="B3" s="3">
        <v>959126</v>
      </c>
      <c r="C3" s="3" t="s">
        <v>1</v>
      </c>
      <c r="D3" s="4">
        <v>143584</v>
      </c>
    </row>
    <row r="4" spans="1:4" x14ac:dyDescent="0.2">
      <c r="A4">
        <v>2021</v>
      </c>
      <c r="B4" s="3">
        <v>962102</v>
      </c>
      <c r="C4" s="3" t="s">
        <v>2</v>
      </c>
      <c r="D4" s="4">
        <v>148557</v>
      </c>
    </row>
    <row r="5" spans="1:4" x14ac:dyDescent="0.2">
      <c r="A5">
        <v>2021</v>
      </c>
      <c r="B5" s="3">
        <v>917102</v>
      </c>
      <c r="C5" s="3" t="s">
        <v>3</v>
      </c>
      <c r="D5" s="4">
        <v>195055</v>
      </c>
    </row>
    <row r="6" spans="1:4" x14ac:dyDescent="0.2">
      <c r="A6">
        <v>2021</v>
      </c>
      <c r="B6" s="3">
        <v>942100</v>
      </c>
      <c r="C6" s="3" t="s">
        <v>4</v>
      </c>
      <c r="D6" s="4">
        <v>130210</v>
      </c>
    </row>
    <row r="7" spans="1:4" x14ac:dyDescent="0.2">
      <c r="A7">
        <v>2021</v>
      </c>
      <c r="B7" s="3">
        <v>925101</v>
      </c>
      <c r="C7" s="3" t="s">
        <v>5</v>
      </c>
      <c r="D7" s="4">
        <v>95717</v>
      </c>
    </row>
    <row r="8" spans="1:4" x14ac:dyDescent="0.2">
      <c r="A8">
        <v>2021</v>
      </c>
      <c r="B8" s="3">
        <v>912103</v>
      </c>
      <c r="C8" s="3" t="s">
        <v>6</v>
      </c>
      <c r="D8" s="4">
        <v>89290</v>
      </c>
    </row>
    <row r="9" spans="1:4" x14ac:dyDescent="0.2">
      <c r="A9">
        <v>2021</v>
      </c>
      <c r="B9" s="3">
        <v>901106</v>
      </c>
      <c r="C9" s="3" t="s">
        <v>7</v>
      </c>
      <c r="D9" s="4">
        <v>174119</v>
      </c>
    </row>
    <row r="10" spans="1:4" x14ac:dyDescent="0.2">
      <c r="A10">
        <v>2021</v>
      </c>
      <c r="B10" s="3">
        <v>915100</v>
      </c>
      <c r="C10" s="3" t="s">
        <v>8</v>
      </c>
      <c r="D10" s="4">
        <v>425044</v>
      </c>
    </row>
    <row r="11" spans="1:4" x14ac:dyDescent="0.2">
      <c r="A11">
        <v>2021</v>
      </c>
      <c r="B11" s="3">
        <v>911109</v>
      </c>
      <c r="C11" s="3" t="s">
        <v>9</v>
      </c>
      <c r="D11" s="4">
        <v>226466</v>
      </c>
    </row>
    <row r="12" spans="1:4" x14ac:dyDescent="0.2">
      <c r="A12">
        <v>2021</v>
      </c>
      <c r="B12" s="3">
        <v>962150</v>
      </c>
      <c r="C12" s="3" t="s">
        <v>10</v>
      </c>
      <c r="D12" s="4">
        <v>238621</v>
      </c>
    </row>
    <row r="13" spans="1:4" x14ac:dyDescent="0.2">
      <c r="A13">
        <v>2021</v>
      </c>
      <c r="B13" s="3">
        <v>929144</v>
      </c>
      <c r="C13" s="3" t="s">
        <v>11</v>
      </c>
      <c r="D13" s="4">
        <v>60608</v>
      </c>
    </row>
    <row r="14" spans="1:4" x14ac:dyDescent="0.2">
      <c r="A14">
        <v>2021</v>
      </c>
      <c r="B14" s="3">
        <v>953171</v>
      </c>
      <c r="C14" s="3" t="s">
        <v>12</v>
      </c>
      <c r="D14" s="4">
        <v>84210</v>
      </c>
    </row>
    <row r="15" spans="1:4" x14ac:dyDescent="0.2">
      <c r="A15">
        <v>2021</v>
      </c>
      <c r="B15" s="3">
        <v>912172</v>
      </c>
      <c r="C15" s="3" t="s">
        <v>13</v>
      </c>
      <c r="D15" s="4">
        <v>189335</v>
      </c>
    </row>
    <row r="16" spans="1:4" x14ac:dyDescent="0.2">
      <c r="A16">
        <v>2021</v>
      </c>
      <c r="B16" s="3">
        <v>926124</v>
      </c>
      <c r="C16" s="3" t="s">
        <v>14</v>
      </c>
      <c r="D16" s="4">
        <v>59820</v>
      </c>
    </row>
    <row r="17" spans="1:4" x14ac:dyDescent="0.2">
      <c r="A17">
        <v>2021</v>
      </c>
      <c r="B17" s="3">
        <v>901154</v>
      </c>
      <c r="C17" s="3" t="s">
        <v>15</v>
      </c>
      <c r="D17" s="4">
        <v>1389907</v>
      </c>
    </row>
    <row r="18" spans="1:4" x14ac:dyDescent="0.2">
      <c r="A18">
        <v>2021</v>
      </c>
      <c r="B18" s="3">
        <v>946129</v>
      </c>
      <c r="C18" s="3" t="s">
        <v>16</v>
      </c>
      <c r="D18" s="4">
        <v>126690</v>
      </c>
    </row>
    <row r="19" spans="1:4" x14ac:dyDescent="0.2">
      <c r="A19">
        <v>2021</v>
      </c>
      <c r="B19" s="3">
        <v>948100</v>
      </c>
      <c r="C19" s="3" t="s">
        <v>17</v>
      </c>
      <c r="D19" s="4">
        <v>150415</v>
      </c>
    </row>
    <row r="20" spans="1:4" x14ac:dyDescent="0.2">
      <c r="A20">
        <v>2021</v>
      </c>
      <c r="B20" s="3">
        <v>906102</v>
      </c>
      <c r="C20" s="3" t="s">
        <v>18</v>
      </c>
      <c r="D20" s="4">
        <v>1160054</v>
      </c>
    </row>
    <row r="21" spans="1:4" x14ac:dyDescent="0.2">
      <c r="A21">
        <v>2021</v>
      </c>
      <c r="B21" s="3">
        <v>930100</v>
      </c>
      <c r="C21" s="3" t="s">
        <v>19</v>
      </c>
      <c r="D21" s="4">
        <v>116624</v>
      </c>
    </row>
    <row r="22" spans="1:4" x14ac:dyDescent="0.2">
      <c r="A22">
        <v>2021</v>
      </c>
      <c r="B22" s="3">
        <v>946102</v>
      </c>
      <c r="C22" s="3" t="s">
        <v>20</v>
      </c>
      <c r="D22" s="4">
        <v>97746</v>
      </c>
    </row>
    <row r="23" spans="1:4" x14ac:dyDescent="0.2">
      <c r="A23">
        <v>2021</v>
      </c>
      <c r="B23" s="3">
        <v>944101</v>
      </c>
      <c r="C23" s="3" t="s">
        <v>21</v>
      </c>
      <c r="D23" s="4">
        <v>282176</v>
      </c>
    </row>
    <row r="24" spans="1:4" x14ac:dyDescent="0.2">
      <c r="A24">
        <v>2021</v>
      </c>
      <c r="B24" s="3">
        <v>932101</v>
      </c>
      <c r="C24" s="3" t="s">
        <v>22</v>
      </c>
      <c r="D24" s="4">
        <v>99873</v>
      </c>
    </row>
    <row r="25" spans="1:4" x14ac:dyDescent="0.2">
      <c r="A25">
        <v>2021</v>
      </c>
      <c r="B25" s="3">
        <v>961101</v>
      </c>
      <c r="C25" s="3" t="s">
        <v>23</v>
      </c>
      <c r="D25" s="4">
        <v>97272</v>
      </c>
    </row>
    <row r="26" spans="1:4" x14ac:dyDescent="0.2">
      <c r="A26">
        <v>2021</v>
      </c>
      <c r="B26" s="3">
        <v>913100</v>
      </c>
      <c r="C26" s="3" t="s">
        <v>24</v>
      </c>
      <c r="D26" s="4">
        <v>382093</v>
      </c>
    </row>
    <row r="27" spans="1:4" x14ac:dyDescent="0.2">
      <c r="A27">
        <v>2021</v>
      </c>
      <c r="B27" s="3">
        <v>943123</v>
      </c>
      <c r="C27" s="3" t="s">
        <v>25</v>
      </c>
      <c r="D27" s="4">
        <v>196653</v>
      </c>
    </row>
    <row r="28" spans="1:4" x14ac:dyDescent="0.2">
      <c r="A28">
        <v>2021</v>
      </c>
      <c r="B28" s="3">
        <v>901162</v>
      </c>
      <c r="C28" s="3" t="s">
        <v>26</v>
      </c>
      <c r="D28" s="4">
        <v>94927</v>
      </c>
    </row>
    <row r="29" spans="1:4" x14ac:dyDescent="0.2">
      <c r="A29">
        <v>2021</v>
      </c>
      <c r="B29" s="3">
        <v>918123</v>
      </c>
      <c r="C29" s="3" t="s">
        <v>27</v>
      </c>
      <c r="D29" s="4">
        <v>162643</v>
      </c>
    </row>
    <row r="30" spans="1:4" x14ac:dyDescent="0.2">
      <c r="A30">
        <v>2021</v>
      </c>
      <c r="B30" s="3">
        <v>952103</v>
      </c>
      <c r="C30" s="3" t="s">
        <v>28</v>
      </c>
      <c r="D30" s="4">
        <v>101897</v>
      </c>
    </row>
    <row r="31" spans="1:4" x14ac:dyDescent="0.2">
      <c r="A31">
        <v>2021</v>
      </c>
      <c r="B31" s="3">
        <v>960103</v>
      </c>
      <c r="C31" s="3" t="s">
        <v>29</v>
      </c>
      <c r="D31" s="4">
        <v>87671</v>
      </c>
    </row>
    <row r="32" spans="1:4" x14ac:dyDescent="0.2">
      <c r="A32">
        <v>2021</v>
      </c>
      <c r="B32" s="3">
        <v>961103</v>
      </c>
      <c r="C32" s="3" t="s">
        <v>30</v>
      </c>
      <c r="D32" s="4">
        <v>51447</v>
      </c>
    </row>
    <row r="33" spans="1:4" x14ac:dyDescent="0.2">
      <c r="A33">
        <v>2021</v>
      </c>
      <c r="B33" s="3">
        <v>925102</v>
      </c>
      <c r="C33" s="3" t="s">
        <v>31</v>
      </c>
      <c r="D33" s="4">
        <v>106980</v>
      </c>
    </row>
    <row r="34" spans="1:4" x14ac:dyDescent="0.2">
      <c r="A34">
        <v>2021</v>
      </c>
      <c r="B34" s="3">
        <v>921104</v>
      </c>
      <c r="C34" s="3" t="s">
        <v>32</v>
      </c>
      <c r="D34" s="4">
        <v>330384</v>
      </c>
    </row>
    <row r="35" spans="1:4" x14ac:dyDescent="0.2">
      <c r="A35">
        <v>2021</v>
      </c>
      <c r="B35" s="3">
        <v>962100</v>
      </c>
      <c r="C35" s="3" t="s">
        <v>33</v>
      </c>
      <c r="D35" s="4">
        <v>444172</v>
      </c>
    </row>
    <row r="36" spans="1:4" x14ac:dyDescent="0.2">
      <c r="A36">
        <v>2021</v>
      </c>
      <c r="B36" s="3">
        <v>901110</v>
      </c>
      <c r="C36" s="3" t="s">
        <v>34</v>
      </c>
      <c r="D36" s="4">
        <v>314665</v>
      </c>
    </row>
    <row r="37" spans="1:4" x14ac:dyDescent="0.2">
      <c r="A37">
        <v>2021</v>
      </c>
      <c r="B37" s="3">
        <v>942103</v>
      </c>
      <c r="C37" s="3" t="s">
        <v>35</v>
      </c>
      <c r="D37" s="4">
        <v>116364</v>
      </c>
    </row>
    <row r="38" spans="1:4" x14ac:dyDescent="0.2">
      <c r="A38">
        <v>2021</v>
      </c>
      <c r="B38" s="3">
        <v>906174</v>
      </c>
      <c r="C38" s="3" t="s">
        <v>36</v>
      </c>
      <c r="D38" s="4">
        <v>149563</v>
      </c>
    </row>
    <row r="39" spans="1:4" x14ac:dyDescent="0.2">
      <c r="A39">
        <v>2021</v>
      </c>
      <c r="B39" s="3">
        <v>923148</v>
      </c>
      <c r="C39" s="3" t="s">
        <v>37</v>
      </c>
      <c r="D39" s="4">
        <v>172974</v>
      </c>
    </row>
    <row r="40" spans="1:4" x14ac:dyDescent="0.2">
      <c r="A40">
        <v>2021</v>
      </c>
      <c r="B40" s="3">
        <v>957102</v>
      </c>
      <c r="C40" s="3" t="s">
        <v>38</v>
      </c>
      <c r="D40" s="4">
        <v>72017</v>
      </c>
    </row>
    <row r="41" spans="1:4" x14ac:dyDescent="0.2">
      <c r="A41">
        <v>2021</v>
      </c>
      <c r="B41" s="3">
        <v>902108</v>
      </c>
      <c r="C41" s="3" t="s">
        <v>39</v>
      </c>
      <c r="D41" s="4">
        <v>1074615</v>
      </c>
    </row>
    <row r="42" spans="1:4" x14ac:dyDescent="0.2">
      <c r="A42">
        <v>2021</v>
      </c>
      <c r="B42" s="3">
        <v>964107</v>
      </c>
      <c r="C42" s="3" t="s">
        <v>40</v>
      </c>
      <c r="D42" s="4">
        <v>223340</v>
      </c>
    </row>
    <row r="43" spans="1:4" x14ac:dyDescent="0.2">
      <c r="A43">
        <v>2021</v>
      </c>
      <c r="B43" s="3">
        <v>924102</v>
      </c>
      <c r="C43" s="3" t="s">
        <v>41</v>
      </c>
      <c r="D43" s="4">
        <v>320864</v>
      </c>
    </row>
    <row r="44" spans="1:4" x14ac:dyDescent="0.2">
      <c r="A44">
        <v>2021</v>
      </c>
      <c r="B44" s="3">
        <v>901100</v>
      </c>
      <c r="C44" s="3" t="s">
        <v>42</v>
      </c>
      <c r="D44" s="4">
        <v>185456</v>
      </c>
    </row>
    <row r="45" spans="1:4" x14ac:dyDescent="0.2">
      <c r="A45">
        <v>2021</v>
      </c>
      <c r="B45" s="3">
        <v>927111</v>
      </c>
      <c r="C45" s="3" t="s">
        <v>43</v>
      </c>
      <c r="D45" s="4">
        <v>75101</v>
      </c>
    </row>
    <row r="46" spans="1:4" x14ac:dyDescent="0.2">
      <c r="A46">
        <v>2021</v>
      </c>
      <c r="B46" s="3">
        <v>926121</v>
      </c>
      <c r="C46" s="3" t="s">
        <v>44</v>
      </c>
      <c r="D46" s="4">
        <v>67291</v>
      </c>
    </row>
    <row r="47" spans="1:4" x14ac:dyDescent="0.2">
      <c r="A47">
        <v>2021</v>
      </c>
      <c r="B47" s="3">
        <v>927102</v>
      </c>
      <c r="C47" s="3" t="s">
        <v>45</v>
      </c>
      <c r="D47" s="4">
        <v>7763</v>
      </c>
    </row>
    <row r="48" spans="1:4" x14ac:dyDescent="0.2">
      <c r="A48">
        <v>2021</v>
      </c>
      <c r="B48" s="3">
        <v>962101</v>
      </c>
      <c r="C48" s="3" t="s">
        <v>46</v>
      </c>
      <c r="D48" s="4">
        <v>217889</v>
      </c>
    </row>
    <row r="49" spans="1:4" x14ac:dyDescent="0.2">
      <c r="A49">
        <v>2021</v>
      </c>
      <c r="B49" s="3">
        <v>906173</v>
      </c>
      <c r="C49" s="3" t="s">
        <v>47</v>
      </c>
      <c r="D49" s="4">
        <v>129056</v>
      </c>
    </row>
    <row r="50" spans="1:4" x14ac:dyDescent="0.2">
      <c r="A50">
        <v>2021</v>
      </c>
      <c r="B50" s="3">
        <v>932104</v>
      </c>
      <c r="C50" s="3" t="s">
        <v>48</v>
      </c>
      <c r="D50" s="4">
        <v>95880</v>
      </c>
    </row>
    <row r="51" spans="1:4" x14ac:dyDescent="0.2">
      <c r="A51">
        <v>2021</v>
      </c>
      <c r="B51" s="3">
        <v>908117</v>
      </c>
      <c r="C51" s="3" t="s">
        <v>49</v>
      </c>
      <c r="D51" s="4">
        <v>92811</v>
      </c>
    </row>
    <row r="52" spans="1:4" x14ac:dyDescent="0.2">
      <c r="A52">
        <v>2021</v>
      </c>
      <c r="B52" s="3">
        <v>947100</v>
      </c>
      <c r="C52" s="3" t="s">
        <v>50</v>
      </c>
      <c r="D52" s="4">
        <v>77022</v>
      </c>
    </row>
    <row r="53" spans="1:4" x14ac:dyDescent="0.2">
      <c r="A53">
        <v>2021</v>
      </c>
      <c r="B53" s="3">
        <v>964108</v>
      </c>
      <c r="C53" s="3" t="s">
        <v>51</v>
      </c>
      <c r="D53" s="4">
        <v>63166</v>
      </c>
    </row>
    <row r="54" spans="1:4" x14ac:dyDescent="0.2">
      <c r="A54">
        <v>2021</v>
      </c>
      <c r="B54" s="3">
        <v>928117</v>
      </c>
      <c r="C54" s="3" t="s">
        <v>52</v>
      </c>
      <c r="D54" s="4">
        <v>128201</v>
      </c>
    </row>
    <row r="55" spans="1:4" x14ac:dyDescent="0.2">
      <c r="A55">
        <v>2021</v>
      </c>
      <c r="B55" s="3">
        <v>952102</v>
      </c>
      <c r="C55" s="3" t="s">
        <v>53</v>
      </c>
      <c r="D55" s="4">
        <v>268495</v>
      </c>
    </row>
    <row r="56" spans="1:4" x14ac:dyDescent="0.2">
      <c r="A56">
        <v>2021</v>
      </c>
      <c r="B56" s="3">
        <v>905140</v>
      </c>
      <c r="C56" s="3" t="s">
        <v>54</v>
      </c>
      <c r="D56" s="4">
        <v>97945</v>
      </c>
    </row>
    <row r="57" spans="1:4" x14ac:dyDescent="0.2">
      <c r="A57">
        <v>2021</v>
      </c>
      <c r="B57" s="3">
        <v>903142</v>
      </c>
      <c r="C57" s="3" t="s">
        <v>55</v>
      </c>
      <c r="D57" s="4">
        <v>79962</v>
      </c>
    </row>
    <row r="58" spans="1:4" x14ac:dyDescent="0.2">
      <c r="A58">
        <v>2021</v>
      </c>
      <c r="B58" s="3">
        <v>937103</v>
      </c>
      <c r="C58" s="3" t="s">
        <v>56</v>
      </c>
      <c r="D58" s="4">
        <v>130821</v>
      </c>
    </row>
    <row r="59" spans="1:4" x14ac:dyDescent="0.2">
      <c r="A59">
        <v>2021</v>
      </c>
      <c r="B59" s="3">
        <v>901155</v>
      </c>
      <c r="C59" s="3" t="s">
        <v>57</v>
      </c>
      <c r="D59" s="4">
        <v>161693</v>
      </c>
    </row>
    <row r="60" spans="1:4" x14ac:dyDescent="0.2">
      <c r="A60">
        <v>2021</v>
      </c>
      <c r="B60" s="3">
        <v>907163</v>
      </c>
      <c r="C60" s="3" t="s">
        <v>58</v>
      </c>
      <c r="D60" s="4">
        <v>107339</v>
      </c>
    </row>
    <row r="61" spans="1:4" x14ac:dyDescent="0.2">
      <c r="A61">
        <v>2021</v>
      </c>
      <c r="B61" s="3">
        <v>954100</v>
      </c>
      <c r="C61" s="3" t="s">
        <v>59</v>
      </c>
      <c r="D61" s="4">
        <v>98460</v>
      </c>
    </row>
    <row r="62" spans="1:4" x14ac:dyDescent="0.2">
      <c r="A62">
        <v>2021</v>
      </c>
      <c r="B62" s="3">
        <v>930101</v>
      </c>
      <c r="C62" s="3" t="s">
        <v>60</v>
      </c>
      <c r="D62" s="4">
        <v>144087</v>
      </c>
    </row>
    <row r="63" spans="1:4" x14ac:dyDescent="0.2">
      <c r="A63">
        <v>2021</v>
      </c>
      <c r="B63" s="3">
        <v>903105</v>
      </c>
      <c r="C63" s="3" t="s">
        <v>61</v>
      </c>
      <c r="D63" s="4">
        <v>211271</v>
      </c>
    </row>
    <row r="64" spans="1:4" x14ac:dyDescent="0.2">
      <c r="A64">
        <v>2021</v>
      </c>
      <c r="B64" s="3">
        <v>931100</v>
      </c>
      <c r="C64" s="3" t="s">
        <v>62</v>
      </c>
      <c r="D64" s="4">
        <v>108053</v>
      </c>
    </row>
    <row r="65" spans="1:4" x14ac:dyDescent="0.2">
      <c r="A65">
        <v>2021</v>
      </c>
      <c r="B65" s="3">
        <v>932136</v>
      </c>
      <c r="C65" s="3" t="s">
        <v>63</v>
      </c>
      <c r="D65" s="4">
        <v>234834</v>
      </c>
    </row>
    <row r="66" spans="1:4" x14ac:dyDescent="0.2">
      <c r="A66">
        <v>2021</v>
      </c>
      <c r="B66" s="3">
        <v>934118</v>
      </c>
      <c r="C66" s="3" t="s">
        <v>64</v>
      </c>
      <c r="D66" s="4">
        <v>136443</v>
      </c>
    </row>
    <row r="67" spans="1:4" x14ac:dyDescent="0.2">
      <c r="A67">
        <v>2021</v>
      </c>
      <c r="B67" s="3">
        <v>935117</v>
      </c>
      <c r="C67" s="3" t="s">
        <v>65</v>
      </c>
      <c r="D67" s="4">
        <v>103824</v>
      </c>
    </row>
    <row r="68" spans="1:4" x14ac:dyDescent="0.2">
      <c r="A68">
        <v>2021</v>
      </c>
      <c r="B68" s="3">
        <v>944100</v>
      </c>
      <c r="C68" s="3" t="s">
        <v>66</v>
      </c>
      <c r="D68" s="4">
        <v>2100197</v>
      </c>
    </row>
    <row r="69" spans="1:4" x14ac:dyDescent="0.2">
      <c r="A69">
        <v>2021</v>
      </c>
      <c r="B69" s="3">
        <v>905101</v>
      </c>
      <c r="C69" s="3" t="s">
        <v>67</v>
      </c>
      <c r="D69" s="4">
        <v>75392</v>
      </c>
    </row>
    <row r="70" spans="1:4" x14ac:dyDescent="0.2">
      <c r="A70">
        <v>2021</v>
      </c>
      <c r="B70" s="3">
        <v>916101</v>
      </c>
      <c r="C70" s="3" t="s">
        <v>68</v>
      </c>
      <c r="D70" s="4">
        <v>54686</v>
      </c>
    </row>
    <row r="71" spans="1:4" x14ac:dyDescent="0.2">
      <c r="A71">
        <v>2021</v>
      </c>
      <c r="B71" s="3">
        <v>938124</v>
      </c>
      <c r="C71" s="3" t="s">
        <v>69</v>
      </c>
      <c r="D71" s="4">
        <v>106501</v>
      </c>
    </row>
    <row r="72" spans="1:4" x14ac:dyDescent="0.2">
      <c r="A72">
        <v>2021</v>
      </c>
      <c r="B72" s="3">
        <v>902106</v>
      </c>
      <c r="C72" s="3" t="s">
        <v>70</v>
      </c>
      <c r="D72" s="4">
        <v>175770</v>
      </c>
    </row>
    <row r="73" spans="1:4" x14ac:dyDescent="0.2">
      <c r="A73">
        <v>2021</v>
      </c>
      <c r="B73" s="3">
        <v>957101</v>
      </c>
      <c r="C73" s="3" t="s">
        <v>71</v>
      </c>
      <c r="D73" s="4">
        <v>106369</v>
      </c>
    </row>
    <row r="74" spans="1:4" x14ac:dyDescent="0.2">
      <c r="A74">
        <v>2021</v>
      </c>
      <c r="B74" s="3">
        <v>927101</v>
      </c>
      <c r="C74" s="3" t="s">
        <v>72</v>
      </c>
      <c r="D74" s="4">
        <v>244031</v>
      </c>
    </row>
    <row r="75" spans="1:4" x14ac:dyDescent="0.2">
      <c r="A75">
        <v>2021</v>
      </c>
      <c r="B75" s="3">
        <v>954103</v>
      </c>
      <c r="C75" s="3" t="s">
        <v>73</v>
      </c>
      <c r="D75" s="4">
        <v>92007</v>
      </c>
    </row>
    <row r="76" spans="1:4" x14ac:dyDescent="0.2">
      <c r="A76">
        <v>2021</v>
      </c>
      <c r="B76" s="3">
        <v>951100</v>
      </c>
      <c r="C76" s="3" t="s">
        <v>74</v>
      </c>
      <c r="D76" s="4">
        <v>155380</v>
      </c>
    </row>
    <row r="77" spans="1:4" x14ac:dyDescent="0.2">
      <c r="A77">
        <v>2021</v>
      </c>
      <c r="B77" s="3">
        <v>904103</v>
      </c>
      <c r="C77" s="3" t="s">
        <v>75</v>
      </c>
      <c r="D77" s="4">
        <v>1027701</v>
      </c>
    </row>
    <row r="78" spans="1:4" x14ac:dyDescent="0.2">
      <c r="A78">
        <v>2021</v>
      </c>
      <c r="B78" s="3">
        <v>926101</v>
      </c>
      <c r="C78" s="3" t="s">
        <v>76</v>
      </c>
      <c r="D78" s="4">
        <v>155689</v>
      </c>
    </row>
    <row r="79" spans="1:4" x14ac:dyDescent="0.2">
      <c r="A79">
        <v>2021</v>
      </c>
      <c r="B79" s="3">
        <v>907103</v>
      </c>
      <c r="C79" s="3" t="s">
        <v>171</v>
      </c>
      <c r="D79" s="4">
        <v>116955</v>
      </c>
    </row>
    <row r="80" spans="1:4" x14ac:dyDescent="0.2">
      <c r="A80">
        <v>2021</v>
      </c>
      <c r="B80" s="3">
        <v>904138</v>
      </c>
      <c r="C80" s="3" t="s">
        <v>78</v>
      </c>
      <c r="D80" s="4">
        <v>72572</v>
      </c>
    </row>
    <row r="81" spans="1:4" x14ac:dyDescent="0.2">
      <c r="A81">
        <v>2021</v>
      </c>
      <c r="B81" s="3">
        <v>908102</v>
      </c>
      <c r="C81" s="3" t="s">
        <v>79</v>
      </c>
      <c r="D81" s="4">
        <v>20205</v>
      </c>
    </row>
    <row r="82" spans="1:4" x14ac:dyDescent="0.2">
      <c r="A82">
        <v>2021</v>
      </c>
      <c r="B82" s="3">
        <v>941100</v>
      </c>
      <c r="C82" s="3" t="s">
        <v>80</v>
      </c>
      <c r="D82" s="4">
        <v>80948</v>
      </c>
    </row>
    <row r="83" spans="1:4" x14ac:dyDescent="0.2">
      <c r="A83">
        <v>2021</v>
      </c>
      <c r="B83" s="3">
        <v>939103</v>
      </c>
      <c r="C83" s="3" t="s">
        <v>81</v>
      </c>
      <c r="D83" s="4">
        <v>162565</v>
      </c>
    </row>
    <row r="84" spans="1:4" x14ac:dyDescent="0.2">
      <c r="A84">
        <v>2021</v>
      </c>
      <c r="B84" s="3">
        <v>913124</v>
      </c>
      <c r="C84" s="3" t="s">
        <v>82</v>
      </c>
      <c r="D84" s="4">
        <v>122396</v>
      </c>
    </row>
    <row r="85" spans="1:4" x14ac:dyDescent="0.2">
      <c r="A85">
        <v>2021</v>
      </c>
      <c r="B85" s="3">
        <v>942101</v>
      </c>
      <c r="C85" s="3" t="s">
        <v>83</v>
      </c>
      <c r="D85" s="4">
        <v>90177</v>
      </c>
    </row>
    <row r="86" spans="1:4" x14ac:dyDescent="0.2">
      <c r="A86">
        <v>2021</v>
      </c>
      <c r="B86" s="3">
        <v>948124</v>
      </c>
      <c r="C86" s="3" t="s">
        <v>84</v>
      </c>
      <c r="D86" s="4">
        <v>85709</v>
      </c>
    </row>
    <row r="87" spans="1:4" x14ac:dyDescent="0.2">
      <c r="A87">
        <v>2021</v>
      </c>
      <c r="B87" s="3">
        <v>909116</v>
      </c>
      <c r="C87" s="3" t="s">
        <v>85</v>
      </c>
      <c r="D87" s="4">
        <v>339065</v>
      </c>
    </row>
    <row r="88" spans="1:4" x14ac:dyDescent="0.2">
      <c r="A88">
        <v>2021</v>
      </c>
      <c r="B88" s="3">
        <v>953100</v>
      </c>
      <c r="C88" s="3" t="s">
        <v>86</v>
      </c>
      <c r="D88" s="4">
        <v>115745</v>
      </c>
    </row>
    <row r="89" spans="1:4" x14ac:dyDescent="0.2">
      <c r="A89">
        <v>2021</v>
      </c>
      <c r="B89" s="3">
        <v>944172</v>
      </c>
      <c r="C89" s="3" t="s">
        <v>87</v>
      </c>
      <c r="D89" s="4">
        <v>392641</v>
      </c>
    </row>
    <row r="90" spans="1:4" x14ac:dyDescent="0.2">
      <c r="A90">
        <v>2021</v>
      </c>
      <c r="B90" s="3">
        <v>947101</v>
      </c>
      <c r="C90" s="3" t="s">
        <v>88</v>
      </c>
      <c r="D90" s="4">
        <v>108994</v>
      </c>
    </row>
    <row r="91" spans="1:4" x14ac:dyDescent="0.2">
      <c r="A91">
        <v>2021</v>
      </c>
      <c r="B91" s="3">
        <v>945132</v>
      </c>
      <c r="C91" s="3" t="s">
        <v>89</v>
      </c>
      <c r="D91" s="4">
        <v>204813</v>
      </c>
    </row>
    <row r="92" spans="1:4" x14ac:dyDescent="0.2">
      <c r="A92">
        <v>2021</v>
      </c>
      <c r="B92" s="3">
        <v>943122</v>
      </c>
      <c r="C92" s="3" t="s">
        <v>90</v>
      </c>
      <c r="D92" s="4">
        <v>381735</v>
      </c>
    </row>
    <row r="93" spans="1:4" x14ac:dyDescent="0.2">
      <c r="A93">
        <v>2021</v>
      </c>
      <c r="B93" s="3">
        <v>961102</v>
      </c>
      <c r="C93" s="3" t="s">
        <v>91</v>
      </c>
      <c r="D93" s="4">
        <v>93230</v>
      </c>
    </row>
    <row r="94" spans="1:4" x14ac:dyDescent="0.2">
      <c r="A94">
        <v>2021</v>
      </c>
      <c r="B94" s="3">
        <v>946105</v>
      </c>
      <c r="C94" s="3" t="s">
        <v>92</v>
      </c>
      <c r="D94" s="4">
        <v>145696</v>
      </c>
    </row>
    <row r="95" spans="1:4" x14ac:dyDescent="0.2">
      <c r="A95">
        <v>2021</v>
      </c>
      <c r="B95" s="3">
        <v>920100</v>
      </c>
      <c r="C95" s="3" t="s">
        <v>93</v>
      </c>
      <c r="D95" s="4">
        <v>112014</v>
      </c>
    </row>
    <row r="96" spans="1:4" x14ac:dyDescent="0.2">
      <c r="A96">
        <v>2021</v>
      </c>
      <c r="B96" s="3">
        <v>920101</v>
      </c>
      <c r="C96" s="3" t="s">
        <v>94</v>
      </c>
      <c r="D96" s="4">
        <v>309870</v>
      </c>
    </row>
    <row r="97" spans="1:4" x14ac:dyDescent="0.2">
      <c r="A97">
        <v>2021</v>
      </c>
      <c r="B97" s="3">
        <v>949157</v>
      </c>
      <c r="C97" s="3" t="s">
        <v>95</v>
      </c>
      <c r="D97" s="4">
        <v>922590</v>
      </c>
    </row>
    <row r="98" spans="1:4" x14ac:dyDescent="0.2">
      <c r="A98">
        <v>2021</v>
      </c>
      <c r="B98" s="3">
        <v>937102</v>
      </c>
      <c r="C98" s="3" t="s">
        <v>96</v>
      </c>
      <c r="D98" s="4">
        <v>129314</v>
      </c>
    </row>
    <row r="99" spans="1:4" x14ac:dyDescent="0.2">
      <c r="A99">
        <v>2021</v>
      </c>
      <c r="B99" s="3">
        <v>917106</v>
      </c>
      <c r="C99" s="3" t="s">
        <v>97</v>
      </c>
      <c r="D99" s="4">
        <v>88282</v>
      </c>
    </row>
    <row r="100" spans="1:4" x14ac:dyDescent="0.2">
      <c r="A100">
        <v>2021</v>
      </c>
      <c r="B100" s="3">
        <v>929103</v>
      </c>
      <c r="C100" s="3" t="s">
        <v>98</v>
      </c>
      <c r="D100" s="4">
        <v>372065</v>
      </c>
    </row>
    <row r="101" spans="1:4" x14ac:dyDescent="0.2">
      <c r="A101">
        <v>2021</v>
      </c>
      <c r="B101" s="3">
        <v>933100</v>
      </c>
      <c r="C101" s="3" t="s">
        <v>99</v>
      </c>
      <c r="D101" s="4">
        <v>180714</v>
      </c>
    </row>
    <row r="102" spans="1:4" x14ac:dyDescent="0.2">
      <c r="A102">
        <v>2021</v>
      </c>
      <c r="B102" s="3">
        <v>908101</v>
      </c>
      <c r="C102" s="3" t="s">
        <v>100</v>
      </c>
      <c r="D102" s="4">
        <v>1340212</v>
      </c>
    </row>
    <row r="103" spans="1:4" x14ac:dyDescent="0.2">
      <c r="A103">
        <v>2021</v>
      </c>
      <c r="B103" s="3">
        <v>963101</v>
      </c>
      <c r="C103" s="3" t="s">
        <v>101</v>
      </c>
      <c r="D103" s="4">
        <v>227069</v>
      </c>
    </row>
    <row r="104" spans="1:4" x14ac:dyDescent="0.2">
      <c r="A104">
        <v>2021</v>
      </c>
      <c r="B104" s="3">
        <v>946103</v>
      </c>
      <c r="C104" s="3" t="s">
        <v>102</v>
      </c>
      <c r="D104" s="4">
        <v>98443</v>
      </c>
    </row>
    <row r="105" spans="1:4" x14ac:dyDescent="0.2">
      <c r="A105">
        <v>2021</v>
      </c>
      <c r="B105" s="3">
        <v>908100</v>
      </c>
      <c r="C105" s="3" t="s">
        <v>103</v>
      </c>
      <c r="D105" s="4">
        <v>94869</v>
      </c>
    </row>
    <row r="106" spans="1:4" x14ac:dyDescent="0.2">
      <c r="A106">
        <v>2021</v>
      </c>
      <c r="B106" s="3">
        <v>902104</v>
      </c>
      <c r="C106" s="3" t="s">
        <v>104</v>
      </c>
      <c r="D106" s="4">
        <v>80631</v>
      </c>
    </row>
    <row r="107" spans="1:4" x14ac:dyDescent="0.2">
      <c r="A107">
        <v>2021</v>
      </c>
      <c r="B107" s="3">
        <v>915104</v>
      </c>
      <c r="C107" s="3" t="s">
        <v>105</v>
      </c>
      <c r="D107" s="4">
        <v>110354</v>
      </c>
    </row>
    <row r="108" spans="1:4" x14ac:dyDescent="0.2">
      <c r="A108">
        <v>2021</v>
      </c>
      <c r="B108" s="3">
        <v>903100</v>
      </c>
      <c r="C108" s="3" t="s">
        <v>106</v>
      </c>
      <c r="D108" s="4">
        <v>38954</v>
      </c>
    </row>
    <row r="109" spans="1:4" x14ac:dyDescent="0.2">
      <c r="A109">
        <v>2021</v>
      </c>
      <c r="B109" s="3">
        <v>932137</v>
      </c>
      <c r="C109" s="3" t="s">
        <v>107</v>
      </c>
      <c r="D109" s="4">
        <v>158301</v>
      </c>
    </row>
    <row r="110" spans="1:4" x14ac:dyDescent="0.2">
      <c r="A110">
        <v>2021</v>
      </c>
      <c r="B110" s="3">
        <v>905130</v>
      </c>
      <c r="C110" s="3" t="s">
        <v>108</v>
      </c>
      <c r="D110" s="4">
        <v>42927</v>
      </c>
    </row>
    <row r="111" spans="1:4" x14ac:dyDescent="0.2">
      <c r="A111">
        <v>2021</v>
      </c>
      <c r="B111" s="3">
        <v>953173</v>
      </c>
      <c r="C111" s="3" t="s">
        <v>109</v>
      </c>
      <c r="D111" s="4">
        <v>51630</v>
      </c>
    </row>
    <row r="112" spans="1:4" x14ac:dyDescent="0.2">
      <c r="A112">
        <v>2021</v>
      </c>
      <c r="B112" s="3">
        <v>957116</v>
      </c>
      <c r="C112" s="3" t="s">
        <v>110</v>
      </c>
      <c r="D112" s="4">
        <v>101923</v>
      </c>
    </row>
    <row r="113" spans="1:4" x14ac:dyDescent="0.2">
      <c r="A113">
        <v>2021</v>
      </c>
      <c r="B113" s="3">
        <v>963102</v>
      </c>
      <c r="C113" s="3" t="s">
        <v>111</v>
      </c>
      <c r="D113" s="4">
        <v>41559</v>
      </c>
    </row>
    <row r="114" spans="1:4" x14ac:dyDescent="0.2">
      <c r="A114">
        <v>2021</v>
      </c>
      <c r="B114" s="3">
        <v>927100</v>
      </c>
      <c r="C114" s="3" t="s">
        <v>112</v>
      </c>
      <c r="D114" s="4">
        <v>60334</v>
      </c>
    </row>
    <row r="115" spans="1:4" x14ac:dyDescent="0.2">
      <c r="A115">
        <v>2021</v>
      </c>
      <c r="B115" s="3">
        <v>943104</v>
      </c>
      <c r="C115" s="3" t="s">
        <v>113</v>
      </c>
      <c r="D115" s="4">
        <v>78550</v>
      </c>
    </row>
    <row r="116" spans="1:4" x14ac:dyDescent="0.2">
      <c r="A116">
        <v>2021</v>
      </c>
      <c r="B116" s="3">
        <v>961100</v>
      </c>
      <c r="C116" s="3" t="s">
        <v>114</v>
      </c>
      <c r="D116" s="4">
        <v>165490</v>
      </c>
    </row>
    <row r="117" spans="1:4" x14ac:dyDescent="0.2">
      <c r="A117">
        <v>2021</v>
      </c>
      <c r="B117" s="3">
        <v>937104</v>
      </c>
      <c r="C117" s="3" t="s">
        <v>115</v>
      </c>
      <c r="D117" s="4">
        <v>194816</v>
      </c>
    </row>
    <row r="118" spans="1:4" x14ac:dyDescent="0.2">
      <c r="A118">
        <v>2021</v>
      </c>
      <c r="B118" s="3">
        <v>936100</v>
      </c>
      <c r="C118" s="3" t="s">
        <v>116</v>
      </c>
      <c r="D118" s="4">
        <v>996408</v>
      </c>
    </row>
    <row r="119" spans="1:4" x14ac:dyDescent="0.2">
      <c r="A119">
        <v>2021</v>
      </c>
      <c r="B119" s="3">
        <v>910103</v>
      </c>
      <c r="C119" s="3" t="s">
        <v>117</v>
      </c>
      <c r="D119" s="4">
        <v>109833</v>
      </c>
    </row>
    <row r="120" spans="1:4" x14ac:dyDescent="0.2">
      <c r="A120">
        <v>2021</v>
      </c>
      <c r="B120" s="3">
        <v>917105</v>
      </c>
      <c r="C120" s="3" t="s">
        <v>172</v>
      </c>
      <c r="D120" s="4">
        <v>194894</v>
      </c>
    </row>
    <row r="121" spans="1:4" x14ac:dyDescent="0.2">
      <c r="A121">
        <v>2021</v>
      </c>
      <c r="B121" s="3">
        <v>943100</v>
      </c>
      <c r="C121" s="3" t="s">
        <v>119</v>
      </c>
      <c r="D121" s="4">
        <v>13590</v>
      </c>
    </row>
    <row r="122" spans="1:4" x14ac:dyDescent="0.2">
      <c r="A122">
        <v>2021</v>
      </c>
      <c r="B122" s="3">
        <v>902101</v>
      </c>
      <c r="C122" s="3" t="s">
        <v>120</v>
      </c>
      <c r="D122" s="4">
        <v>5263768</v>
      </c>
    </row>
    <row r="123" spans="1:4" x14ac:dyDescent="0.2">
      <c r="A123">
        <v>2021</v>
      </c>
      <c r="B123" s="3">
        <v>957100</v>
      </c>
      <c r="C123" s="3" t="s">
        <v>121</v>
      </c>
      <c r="D123" s="4">
        <v>226118</v>
      </c>
    </row>
    <row r="124" spans="1:4" x14ac:dyDescent="0.2">
      <c r="A124">
        <v>2021</v>
      </c>
      <c r="B124" s="3">
        <v>955167</v>
      </c>
      <c r="C124" s="3" t="s">
        <v>122</v>
      </c>
      <c r="D124" s="4">
        <v>101544</v>
      </c>
    </row>
    <row r="125" spans="1:4" x14ac:dyDescent="0.2">
      <c r="A125">
        <v>2021</v>
      </c>
      <c r="B125" s="3">
        <v>943121</v>
      </c>
      <c r="C125" s="3" t="s">
        <v>123</v>
      </c>
      <c r="D125" s="4">
        <v>78628</v>
      </c>
    </row>
    <row r="126" spans="1:4" x14ac:dyDescent="0.2">
      <c r="A126">
        <v>2021</v>
      </c>
      <c r="B126" s="3">
        <v>956114</v>
      </c>
      <c r="C126" s="3" t="s">
        <v>124</v>
      </c>
      <c r="D126" s="4">
        <v>92529</v>
      </c>
    </row>
    <row r="127" spans="1:4" x14ac:dyDescent="0.2">
      <c r="A127">
        <v>2021</v>
      </c>
      <c r="B127" s="3">
        <v>912102</v>
      </c>
      <c r="C127" s="3" t="s">
        <v>125</v>
      </c>
      <c r="D127" s="4">
        <v>86882</v>
      </c>
    </row>
    <row r="128" spans="1:4" x14ac:dyDescent="0.2">
      <c r="A128">
        <v>2021</v>
      </c>
      <c r="B128" s="3">
        <v>963112</v>
      </c>
      <c r="C128" s="3" t="s">
        <v>126</v>
      </c>
      <c r="D128" s="4">
        <v>78705</v>
      </c>
    </row>
    <row r="129" spans="1:4" x14ac:dyDescent="0.2">
      <c r="A129">
        <v>2021</v>
      </c>
      <c r="B129" s="3">
        <v>927200</v>
      </c>
      <c r="C129" s="3" t="s">
        <v>127</v>
      </c>
      <c r="D129" s="4">
        <v>508503</v>
      </c>
    </row>
    <row r="130" spans="1:4" x14ac:dyDescent="0.2">
      <c r="A130">
        <v>2021</v>
      </c>
      <c r="B130" s="3">
        <v>901111</v>
      </c>
      <c r="C130" s="3" t="s">
        <v>128</v>
      </c>
      <c r="D130" s="4">
        <v>9599442</v>
      </c>
    </row>
    <row r="131" spans="1:4" x14ac:dyDescent="0.2">
      <c r="A131">
        <v>2021</v>
      </c>
      <c r="B131" s="3">
        <v>906105</v>
      </c>
      <c r="C131" s="3" t="s">
        <v>129</v>
      </c>
      <c r="D131" s="4">
        <v>216269</v>
      </c>
    </row>
    <row r="132" spans="1:4" x14ac:dyDescent="0.2">
      <c r="A132">
        <v>2021</v>
      </c>
      <c r="B132" s="3">
        <v>955108</v>
      </c>
      <c r="C132" s="3" t="s">
        <v>130</v>
      </c>
      <c r="D132" s="4">
        <v>411843</v>
      </c>
    </row>
    <row r="133" spans="1:4" x14ac:dyDescent="0.2">
      <c r="A133">
        <v>2021</v>
      </c>
      <c r="B133" s="3">
        <v>920102</v>
      </c>
      <c r="C133" s="3" t="s">
        <v>131</v>
      </c>
      <c r="D133" s="4">
        <v>134769</v>
      </c>
    </row>
    <row r="134" spans="1:4" x14ac:dyDescent="0.2">
      <c r="A134">
        <v>2021</v>
      </c>
      <c r="B134" s="3">
        <v>912104</v>
      </c>
      <c r="C134" s="3" t="s">
        <v>132</v>
      </c>
      <c r="D134" s="4">
        <v>60338</v>
      </c>
    </row>
    <row r="135" spans="1:4" x14ac:dyDescent="0.2">
      <c r="A135">
        <v>2021</v>
      </c>
      <c r="B135" s="3">
        <v>930103</v>
      </c>
      <c r="C135" s="3" t="s">
        <v>133</v>
      </c>
      <c r="D135" s="4">
        <v>42165</v>
      </c>
    </row>
    <row r="136" spans="1:4" x14ac:dyDescent="0.2">
      <c r="A136">
        <v>2021</v>
      </c>
      <c r="B136" s="3">
        <v>962104</v>
      </c>
      <c r="C136" s="3" t="s">
        <v>134</v>
      </c>
      <c r="D136" s="4">
        <v>71680</v>
      </c>
    </row>
    <row r="137" spans="1:4" x14ac:dyDescent="0.2">
      <c r="A137">
        <v>2021</v>
      </c>
      <c r="B137" s="3">
        <v>909101</v>
      </c>
      <c r="C137" s="3" t="s">
        <v>135</v>
      </c>
      <c r="D137" s="4">
        <v>729585</v>
      </c>
    </row>
    <row r="138" spans="1:4" x14ac:dyDescent="0.2">
      <c r="A138">
        <v>2021</v>
      </c>
      <c r="B138" s="3">
        <v>958100</v>
      </c>
      <c r="C138" s="3" t="s">
        <v>136</v>
      </c>
      <c r="D138" s="4">
        <v>174674</v>
      </c>
    </row>
    <row r="139" spans="1:4" x14ac:dyDescent="0.2">
      <c r="A139">
        <v>2021</v>
      </c>
      <c r="B139" s="3">
        <v>955104</v>
      </c>
      <c r="C139" s="3" t="s">
        <v>137</v>
      </c>
      <c r="D139" s="4">
        <v>73721</v>
      </c>
    </row>
    <row r="140" spans="1:4" x14ac:dyDescent="0.2">
      <c r="A140">
        <v>2021</v>
      </c>
      <c r="B140" s="3">
        <v>944102</v>
      </c>
      <c r="C140" s="3" t="s">
        <v>138</v>
      </c>
      <c r="D140" s="4">
        <v>641074</v>
      </c>
    </row>
    <row r="141" spans="1:4" x14ac:dyDescent="0.2">
      <c r="A141">
        <v>2021</v>
      </c>
      <c r="B141" s="3">
        <v>950102</v>
      </c>
      <c r="C141" s="3" t="s">
        <v>139</v>
      </c>
      <c r="D141" s="4">
        <v>26625</v>
      </c>
    </row>
    <row r="142" spans="1:4" x14ac:dyDescent="0.2">
      <c r="A142">
        <v>2021</v>
      </c>
      <c r="B142" s="3">
        <v>924101</v>
      </c>
      <c r="C142" s="3" t="s">
        <v>140</v>
      </c>
      <c r="D142" s="4">
        <v>186915</v>
      </c>
    </row>
    <row r="143" spans="1:4" x14ac:dyDescent="0.2">
      <c r="A143">
        <v>2021</v>
      </c>
      <c r="B143" s="3">
        <v>960200</v>
      </c>
      <c r="C143" s="3" t="s">
        <v>141</v>
      </c>
      <c r="D143" s="4">
        <v>996465</v>
      </c>
    </row>
    <row r="144" spans="1:4" x14ac:dyDescent="0.2">
      <c r="A144">
        <v>2021</v>
      </c>
      <c r="B144" s="3">
        <v>901105</v>
      </c>
      <c r="C144" s="3" t="s">
        <v>142</v>
      </c>
      <c r="D144" s="4">
        <v>317601</v>
      </c>
    </row>
    <row r="145" spans="1:4" x14ac:dyDescent="0.2">
      <c r="A145">
        <v>2021</v>
      </c>
      <c r="B145" s="3">
        <v>937100</v>
      </c>
      <c r="C145" s="3" t="s">
        <v>143</v>
      </c>
      <c r="D145" s="4">
        <v>85548</v>
      </c>
    </row>
    <row r="146" spans="1:4" x14ac:dyDescent="0.2">
      <c r="A146">
        <v>2021</v>
      </c>
      <c r="B146" s="3">
        <v>919100</v>
      </c>
      <c r="C146" s="3" t="s">
        <v>144</v>
      </c>
      <c r="D146" s="4">
        <v>410692</v>
      </c>
    </row>
    <row r="147" spans="1:4" x14ac:dyDescent="0.2">
      <c r="A147">
        <v>2021</v>
      </c>
      <c r="B147" s="3">
        <v>961104</v>
      </c>
      <c r="C147" s="3" t="s">
        <v>145</v>
      </c>
      <c r="D147" s="4">
        <v>119876</v>
      </c>
    </row>
    <row r="148" spans="1:4" x14ac:dyDescent="0.2">
      <c r="A148">
        <v>2021</v>
      </c>
      <c r="B148" s="3">
        <v>917103</v>
      </c>
      <c r="C148" s="3" t="s">
        <v>146</v>
      </c>
      <c r="D148" s="4">
        <v>426492</v>
      </c>
    </row>
    <row r="149" spans="1:4" x14ac:dyDescent="0.2">
      <c r="A149">
        <v>2021</v>
      </c>
      <c r="B149" s="3">
        <v>902107</v>
      </c>
      <c r="C149" s="3" t="s">
        <v>147</v>
      </c>
      <c r="D149" s="4">
        <v>110113</v>
      </c>
    </row>
    <row r="150" spans="1:4" x14ac:dyDescent="0.2">
      <c r="A150">
        <v>2021</v>
      </c>
      <c r="B150" s="3">
        <v>903141</v>
      </c>
      <c r="C150" s="3" t="s">
        <v>148</v>
      </c>
      <c r="D150" s="4">
        <v>97497</v>
      </c>
    </row>
    <row r="151" spans="1:4" x14ac:dyDescent="0.2">
      <c r="A151">
        <v>2021</v>
      </c>
      <c r="B151" s="3">
        <v>905104</v>
      </c>
      <c r="C151" s="3" t="s">
        <v>149</v>
      </c>
      <c r="D151" s="4">
        <v>2079919</v>
      </c>
    </row>
    <row r="152" spans="1:4" x14ac:dyDescent="0.2">
      <c r="A152">
        <v>2021</v>
      </c>
      <c r="B152" s="3">
        <v>922105</v>
      </c>
      <c r="C152" s="3" t="s">
        <v>150</v>
      </c>
      <c r="D152" s="4">
        <v>89090</v>
      </c>
    </row>
    <row r="153" spans="1:4" x14ac:dyDescent="0.2">
      <c r="A153">
        <v>2021</v>
      </c>
      <c r="B153" s="3">
        <v>905100</v>
      </c>
      <c r="C153" s="3" t="s">
        <v>151</v>
      </c>
      <c r="D153" s="4">
        <v>73700</v>
      </c>
    </row>
    <row r="154" spans="1:4" x14ac:dyDescent="0.2">
      <c r="A154">
        <v>2021</v>
      </c>
      <c r="B154" s="3">
        <v>922107</v>
      </c>
      <c r="C154" s="3" t="s">
        <v>152</v>
      </c>
      <c r="D154" s="4">
        <v>157981</v>
      </c>
    </row>
    <row r="155" spans="1:4" x14ac:dyDescent="0.2">
      <c r="A155">
        <v>2021</v>
      </c>
      <c r="B155" s="3">
        <v>940102</v>
      </c>
      <c r="C155" s="3" t="s">
        <v>153</v>
      </c>
      <c r="D155" s="4">
        <v>121502</v>
      </c>
    </row>
    <row r="156" spans="1:4" x14ac:dyDescent="0.2">
      <c r="A156">
        <v>2021</v>
      </c>
      <c r="B156" s="3">
        <v>901157</v>
      </c>
      <c r="C156" s="3" t="s">
        <v>154</v>
      </c>
      <c r="D156" s="4">
        <v>478139</v>
      </c>
    </row>
    <row r="157" spans="1:4" x14ac:dyDescent="0.2">
      <c r="A157">
        <v>2021</v>
      </c>
      <c r="B157" s="3">
        <v>910105</v>
      </c>
      <c r="C157" s="3" t="s">
        <v>156</v>
      </c>
      <c r="D157" s="4">
        <v>60494</v>
      </c>
    </row>
    <row r="158" spans="1:4" x14ac:dyDescent="0.2">
      <c r="A158">
        <v>2021</v>
      </c>
      <c r="B158" s="3">
        <v>950101</v>
      </c>
      <c r="C158" s="3" t="s">
        <v>157</v>
      </c>
      <c r="D158" s="4">
        <v>213048</v>
      </c>
    </row>
    <row r="159" spans="1:4" x14ac:dyDescent="0.2">
      <c r="A159">
        <v>2021</v>
      </c>
      <c r="B159" s="3">
        <v>918101</v>
      </c>
      <c r="C159" s="3" t="s">
        <v>158</v>
      </c>
      <c r="D159" s="4">
        <v>107976</v>
      </c>
    </row>
    <row r="160" spans="1:4" x14ac:dyDescent="0.2">
      <c r="A160">
        <v>2021</v>
      </c>
      <c r="B160" s="3">
        <v>955102</v>
      </c>
      <c r="C160" s="3" t="s">
        <v>159</v>
      </c>
      <c r="D160" s="4">
        <v>88201</v>
      </c>
    </row>
    <row r="161" spans="1:4" x14ac:dyDescent="0.2">
      <c r="A161">
        <v>2021</v>
      </c>
      <c r="B161" s="3">
        <v>960102</v>
      </c>
      <c r="C161" s="3" t="s">
        <v>160</v>
      </c>
      <c r="D161" s="4">
        <v>269183</v>
      </c>
    </row>
    <row r="162" spans="1:4" x14ac:dyDescent="0.2">
      <c r="A162">
        <v>2021</v>
      </c>
      <c r="B162" s="3">
        <v>904105</v>
      </c>
      <c r="C162" s="3" t="s">
        <v>161</v>
      </c>
      <c r="D162" s="4">
        <v>138044</v>
      </c>
    </row>
    <row r="163" spans="1:4" x14ac:dyDescent="0.2">
      <c r="A163">
        <v>2021</v>
      </c>
      <c r="B163" s="3">
        <v>956100</v>
      </c>
      <c r="C163" s="3" t="s">
        <v>162</v>
      </c>
      <c r="D163" s="4">
        <v>90999</v>
      </c>
    </row>
    <row r="164" spans="1:4" x14ac:dyDescent="0.2">
      <c r="A164">
        <v>2021</v>
      </c>
      <c r="B164" s="3">
        <v>907100</v>
      </c>
      <c r="C164" s="3" t="s">
        <v>163</v>
      </c>
      <c r="D164" s="4">
        <v>1000973</v>
      </c>
    </row>
    <row r="165" spans="1:4" x14ac:dyDescent="0.2">
      <c r="A165">
        <v>2021</v>
      </c>
      <c r="B165" s="3" t="s">
        <v>165</v>
      </c>
      <c r="C165" s="3" t="s">
        <v>164</v>
      </c>
      <c r="D165" s="4">
        <v>27838333</v>
      </c>
    </row>
    <row r="166" spans="1:4" x14ac:dyDescent="0.2">
      <c r="A166">
        <v>2021</v>
      </c>
      <c r="B166" s="3">
        <v>909102</v>
      </c>
      <c r="C166" s="3" t="s">
        <v>169</v>
      </c>
      <c r="D166" s="4">
        <v>964889</v>
      </c>
    </row>
    <row r="167" spans="1:4" x14ac:dyDescent="0.2">
      <c r="A167">
        <v>2021</v>
      </c>
      <c r="B167" s="3">
        <v>903501</v>
      </c>
      <c r="C167" s="3" t="s">
        <v>170</v>
      </c>
      <c r="D167" s="5">
        <v>116909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EC13-67A4-0344-AB33-C54931A5C79D}">
  <sheetPr>
    <tabColor rgb="FFFFFF00"/>
  </sheetPr>
  <dimension ref="A1:E167"/>
  <sheetViews>
    <sheetView workbookViewId="0">
      <selection activeCell="A2" sqref="A2:D167"/>
    </sheetView>
  </sheetViews>
  <sheetFormatPr baseColWidth="10" defaultRowHeight="16" x14ac:dyDescent="0.2"/>
  <cols>
    <col min="2" max="2" width="15.6640625" bestFit="1" customWidth="1"/>
    <col min="3" max="3" width="40.5" bestFit="1" customWidth="1"/>
    <col min="4" max="4" width="20.5" bestFit="1" customWidth="1"/>
  </cols>
  <sheetData>
    <row r="1" spans="1:5" x14ac:dyDescent="0.2">
      <c r="A1" t="s">
        <v>198</v>
      </c>
      <c r="B1" s="3" t="s">
        <v>166</v>
      </c>
      <c r="C1" s="3" t="s">
        <v>167</v>
      </c>
      <c r="D1" s="3" t="s">
        <v>168</v>
      </c>
      <c r="E1" s="3"/>
    </row>
    <row r="2" spans="1:5" x14ac:dyDescent="0.2">
      <c r="A2">
        <v>2020</v>
      </c>
      <c r="B2" s="1">
        <v>903103</v>
      </c>
      <c r="C2" s="1" t="s">
        <v>0</v>
      </c>
      <c r="D2" s="2">
        <v>1529719</v>
      </c>
      <c r="E2" s="1"/>
    </row>
    <row r="3" spans="1:5" x14ac:dyDescent="0.2">
      <c r="A3">
        <v>2020</v>
      </c>
      <c r="B3" s="1">
        <v>959126</v>
      </c>
      <c r="C3" s="1" t="s">
        <v>1</v>
      </c>
      <c r="D3" s="2">
        <v>132751</v>
      </c>
      <c r="E3" s="1"/>
    </row>
    <row r="4" spans="1:5" x14ac:dyDescent="0.2">
      <c r="A4">
        <v>2020</v>
      </c>
      <c r="B4" s="1">
        <v>962102</v>
      </c>
      <c r="C4" s="1" t="s">
        <v>2</v>
      </c>
      <c r="D4" s="2">
        <v>141760</v>
      </c>
      <c r="E4" s="1"/>
    </row>
    <row r="5" spans="1:5" x14ac:dyDescent="0.2">
      <c r="A5">
        <v>2020</v>
      </c>
      <c r="B5" s="1">
        <v>917102</v>
      </c>
      <c r="C5" s="1" t="s">
        <v>3</v>
      </c>
      <c r="D5" s="2">
        <v>186681</v>
      </c>
      <c r="E5" s="1"/>
    </row>
    <row r="6" spans="1:5" x14ac:dyDescent="0.2">
      <c r="A6">
        <v>2020</v>
      </c>
      <c r="B6" s="1">
        <v>942100</v>
      </c>
      <c r="C6" s="1" t="s">
        <v>4</v>
      </c>
      <c r="D6" s="2">
        <v>111113</v>
      </c>
      <c r="E6" s="1"/>
    </row>
    <row r="7" spans="1:5" x14ac:dyDescent="0.2">
      <c r="A7">
        <v>2020</v>
      </c>
      <c r="B7" s="1">
        <v>925101</v>
      </c>
      <c r="C7" s="1" t="s">
        <v>5</v>
      </c>
      <c r="D7" s="2">
        <v>86258</v>
      </c>
      <c r="E7" s="1"/>
    </row>
    <row r="8" spans="1:5" x14ac:dyDescent="0.2">
      <c r="A8">
        <v>2020</v>
      </c>
      <c r="B8" s="1">
        <v>912103</v>
      </c>
      <c r="C8" s="1" t="s">
        <v>6</v>
      </c>
      <c r="D8" s="2">
        <v>84548</v>
      </c>
      <c r="E8" s="1"/>
    </row>
    <row r="9" spans="1:5" x14ac:dyDescent="0.2">
      <c r="A9">
        <v>2020</v>
      </c>
      <c r="B9" s="1">
        <v>901106</v>
      </c>
      <c r="C9" s="1" t="s">
        <v>7</v>
      </c>
      <c r="D9" s="2">
        <v>168387</v>
      </c>
      <c r="E9" s="1"/>
    </row>
    <row r="10" spans="1:5" x14ac:dyDescent="0.2">
      <c r="A10">
        <v>2020</v>
      </c>
      <c r="B10" s="1">
        <v>915100</v>
      </c>
      <c r="C10" s="1" t="s">
        <v>8</v>
      </c>
      <c r="D10" s="2">
        <v>400098</v>
      </c>
      <c r="E10" s="1"/>
    </row>
    <row r="11" spans="1:5" x14ac:dyDescent="0.2">
      <c r="A11">
        <v>2020</v>
      </c>
      <c r="B11" s="1">
        <v>911109</v>
      </c>
      <c r="C11" s="1" t="s">
        <v>9</v>
      </c>
      <c r="D11" s="2">
        <v>217377</v>
      </c>
      <c r="E11" s="1"/>
    </row>
    <row r="12" spans="1:5" x14ac:dyDescent="0.2">
      <c r="A12">
        <v>2020</v>
      </c>
      <c r="B12" s="1">
        <v>962150</v>
      </c>
      <c r="C12" s="1" t="s">
        <v>10</v>
      </c>
      <c r="D12" s="2">
        <v>218287</v>
      </c>
      <c r="E12" s="1"/>
    </row>
    <row r="13" spans="1:5" x14ac:dyDescent="0.2">
      <c r="A13">
        <v>2020</v>
      </c>
      <c r="B13" s="1">
        <v>929144</v>
      </c>
      <c r="C13" s="1" t="s">
        <v>11</v>
      </c>
      <c r="D13" s="2">
        <v>56512</v>
      </c>
      <c r="E13" s="1"/>
    </row>
    <row r="14" spans="1:5" x14ac:dyDescent="0.2">
      <c r="A14">
        <v>2020</v>
      </c>
      <c r="B14" s="1">
        <v>953171</v>
      </c>
      <c r="C14" s="1" t="s">
        <v>12</v>
      </c>
      <c r="D14" s="2">
        <v>82512</v>
      </c>
      <c r="E14" s="1"/>
    </row>
    <row r="15" spans="1:5" x14ac:dyDescent="0.2">
      <c r="A15">
        <v>2020</v>
      </c>
      <c r="B15" s="1">
        <v>912172</v>
      </c>
      <c r="C15" s="1" t="s">
        <v>13</v>
      </c>
      <c r="D15" s="2">
        <v>184186</v>
      </c>
      <c r="E15" s="1"/>
    </row>
    <row r="16" spans="1:5" x14ac:dyDescent="0.2">
      <c r="A16">
        <v>2020</v>
      </c>
      <c r="B16" s="1">
        <v>926124</v>
      </c>
      <c r="C16" s="1" t="s">
        <v>14</v>
      </c>
      <c r="D16" s="2">
        <v>56664</v>
      </c>
      <c r="E16" s="1"/>
    </row>
    <row r="17" spans="1:5" x14ac:dyDescent="0.2">
      <c r="A17">
        <v>2020</v>
      </c>
      <c r="B17" s="1">
        <v>901154</v>
      </c>
      <c r="C17" s="1" t="s">
        <v>15</v>
      </c>
      <c r="D17" s="2">
        <v>1294210</v>
      </c>
      <c r="E17" s="1"/>
    </row>
    <row r="18" spans="1:5" x14ac:dyDescent="0.2">
      <c r="A18">
        <v>2020</v>
      </c>
      <c r="B18" s="1">
        <v>946129</v>
      </c>
      <c r="C18" s="1" t="s">
        <v>16</v>
      </c>
      <c r="D18" s="2">
        <v>122704</v>
      </c>
      <c r="E18" s="1"/>
    </row>
    <row r="19" spans="1:5" x14ac:dyDescent="0.2">
      <c r="A19">
        <v>2020</v>
      </c>
      <c r="B19" s="1">
        <v>948100</v>
      </c>
      <c r="C19" s="1" t="s">
        <v>17</v>
      </c>
      <c r="D19" s="2">
        <v>140782</v>
      </c>
      <c r="E19" s="1"/>
    </row>
    <row r="20" spans="1:5" x14ac:dyDescent="0.2">
      <c r="A20">
        <v>2020</v>
      </c>
      <c r="B20" s="1">
        <v>906102</v>
      </c>
      <c r="C20" s="1" t="s">
        <v>18</v>
      </c>
      <c r="D20" s="2">
        <v>1108250</v>
      </c>
      <c r="E20" s="1"/>
    </row>
    <row r="21" spans="1:5" x14ac:dyDescent="0.2">
      <c r="A21">
        <v>2020</v>
      </c>
      <c r="B21" s="1">
        <v>930100</v>
      </c>
      <c r="C21" s="1" t="s">
        <v>19</v>
      </c>
      <c r="D21" s="2">
        <v>105508</v>
      </c>
      <c r="E21" s="1"/>
    </row>
    <row r="22" spans="1:5" x14ac:dyDescent="0.2">
      <c r="A22">
        <v>2020</v>
      </c>
      <c r="B22" s="1">
        <v>946102</v>
      </c>
      <c r="C22" s="1" t="s">
        <v>20</v>
      </c>
      <c r="D22" s="2">
        <v>89149</v>
      </c>
      <c r="E22" s="1"/>
    </row>
    <row r="23" spans="1:5" x14ac:dyDescent="0.2">
      <c r="A23">
        <v>2020</v>
      </c>
      <c r="B23" s="1">
        <v>944101</v>
      </c>
      <c r="C23" s="1" t="s">
        <v>21</v>
      </c>
      <c r="D23" s="2">
        <v>273832</v>
      </c>
      <c r="E23" s="1"/>
    </row>
    <row r="24" spans="1:5" x14ac:dyDescent="0.2">
      <c r="A24">
        <v>2020</v>
      </c>
      <c r="B24" s="1">
        <v>932101</v>
      </c>
      <c r="C24" s="1" t="s">
        <v>22</v>
      </c>
      <c r="D24" s="2">
        <v>96250</v>
      </c>
      <c r="E24" s="1"/>
    </row>
    <row r="25" spans="1:5" x14ac:dyDescent="0.2">
      <c r="A25">
        <v>2020</v>
      </c>
      <c r="B25" s="1">
        <v>961101</v>
      </c>
      <c r="C25" s="1" t="s">
        <v>23</v>
      </c>
      <c r="D25" s="2">
        <v>96761</v>
      </c>
      <c r="E25" s="1"/>
    </row>
    <row r="26" spans="1:5" x14ac:dyDescent="0.2">
      <c r="A26">
        <v>2020</v>
      </c>
      <c r="B26" s="1">
        <v>913100</v>
      </c>
      <c r="C26" s="1" t="s">
        <v>24</v>
      </c>
      <c r="D26" s="2">
        <v>382136</v>
      </c>
      <c r="E26" s="1"/>
    </row>
    <row r="27" spans="1:5" x14ac:dyDescent="0.2">
      <c r="A27">
        <v>2020</v>
      </c>
      <c r="B27" s="1">
        <v>943123</v>
      </c>
      <c r="C27" s="1" t="s">
        <v>25</v>
      </c>
      <c r="D27" s="2">
        <v>186427</v>
      </c>
      <c r="E27" s="1"/>
    </row>
    <row r="28" spans="1:5" x14ac:dyDescent="0.2">
      <c r="A28">
        <v>2020</v>
      </c>
      <c r="B28" s="1">
        <v>901162</v>
      </c>
      <c r="C28" s="1" t="s">
        <v>26</v>
      </c>
      <c r="D28" s="2">
        <v>96331</v>
      </c>
      <c r="E28" s="1"/>
    </row>
    <row r="29" spans="1:5" x14ac:dyDescent="0.2">
      <c r="A29">
        <v>2020</v>
      </c>
      <c r="B29" s="1">
        <v>918123</v>
      </c>
      <c r="C29" s="1" t="s">
        <v>27</v>
      </c>
      <c r="D29" s="2">
        <v>144894</v>
      </c>
      <c r="E29" s="1"/>
    </row>
    <row r="30" spans="1:5" x14ac:dyDescent="0.2">
      <c r="A30">
        <v>2020</v>
      </c>
      <c r="B30" s="1">
        <v>952103</v>
      </c>
      <c r="C30" s="1" t="s">
        <v>28</v>
      </c>
      <c r="D30" s="2">
        <v>93525</v>
      </c>
      <c r="E30" s="1"/>
    </row>
    <row r="31" spans="1:5" x14ac:dyDescent="0.2">
      <c r="A31">
        <v>2020</v>
      </c>
      <c r="B31" s="1">
        <v>960103</v>
      </c>
      <c r="C31" s="1" t="s">
        <v>29</v>
      </c>
      <c r="D31" s="2">
        <v>79441</v>
      </c>
      <c r="E31" s="1"/>
    </row>
    <row r="32" spans="1:5" x14ac:dyDescent="0.2">
      <c r="A32">
        <v>2020</v>
      </c>
      <c r="B32" s="1">
        <v>961103</v>
      </c>
      <c r="C32" s="1" t="s">
        <v>30</v>
      </c>
      <c r="D32" s="2">
        <v>50695</v>
      </c>
      <c r="E32" s="1"/>
    </row>
    <row r="33" spans="1:5" x14ac:dyDescent="0.2">
      <c r="A33">
        <v>2020</v>
      </c>
      <c r="B33" s="1">
        <v>925102</v>
      </c>
      <c r="C33" s="1" t="s">
        <v>31</v>
      </c>
      <c r="D33" s="2">
        <v>100245</v>
      </c>
      <c r="E33" s="1"/>
    </row>
    <row r="34" spans="1:5" x14ac:dyDescent="0.2">
      <c r="A34">
        <v>2020</v>
      </c>
      <c r="B34" s="1">
        <v>921104</v>
      </c>
      <c r="C34" s="1" t="s">
        <v>32</v>
      </c>
      <c r="D34" s="2">
        <v>312182</v>
      </c>
      <c r="E34" s="1"/>
    </row>
    <row r="35" spans="1:5" x14ac:dyDescent="0.2">
      <c r="A35">
        <v>2020</v>
      </c>
      <c r="B35" s="1">
        <v>962100</v>
      </c>
      <c r="C35" s="1" t="s">
        <v>33</v>
      </c>
      <c r="D35" s="2">
        <v>430292</v>
      </c>
      <c r="E35" s="1"/>
    </row>
    <row r="36" spans="1:5" x14ac:dyDescent="0.2">
      <c r="A36">
        <v>2020</v>
      </c>
      <c r="B36" s="1">
        <v>901110</v>
      </c>
      <c r="C36" s="1" t="s">
        <v>34</v>
      </c>
      <c r="D36" s="2">
        <v>300047</v>
      </c>
      <c r="E36" s="1"/>
    </row>
    <row r="37" spans="1:5" x14ac:dyDescent="0.2">
      <c r="A37">
        <v>2020</v>
      </c>
      <c r="B37" s="1">
        <v>942103</v>
      </c>
      <c r="C37" s="1" t="s">
        <v>35</v>
      </c>
      <c r="D37" s="2">
        <v>114433</v>
      </c>
      <c r="E37" s="1"/>
    </row>
    <row r="38" spans="1:5" x14ac:dyDescent="0.2">
      <c r="A38">
        <v>2020</v>
      </c>
      <c r="B38" s="1">
        <v>906174</v>
      </c>
      <c r="C38" s="1" t="s">
        <v>36</v>
      </c>
      <c r="D38" s="2">
        <v>138917</v>
      </c>
      <c r="E38" s="1"/>
    </row>
    <row r="39" spans="1:5" x14ac:dyDescent="0.2">
      <c r="A39">
        <v>2020</v>
      </c>
      <c r="B39" s="1">
        <v>923148</v>
      </c>
      <c r="C39" s="1" t="s">
        <v>37</v>
      </c>
      <c r="D39" s="2">
        <v>162632</v>
      </c>
      <c r="E39" s="1"/>
    </row>
    <row r="40" spans="1:5" x14ac:dyDescent="0.2">
      <c r="A40">
        <v>2020</v>
      </c>
      <c r="B40" s="1">
        <v>957102</v>
      </c>
      <c r="C40" s="1" t="s">
        <v>38</v>
      </c>
      <c r="D40" s="2">
        <v>74099</v>
      </c>
      <c r="E40" s="1"/>
    </row>
    <row r="41" spans="1:5" x14ac:dyDescent="0.2">
      <c r="A41">
        <v>2020</v>
      </c>
      <c r="B41" s="1">
        <v>902108</v>
      </c>
      <c r="C41" s="1" t="s">
        <v>39</v>
      </c>
      <c r="D41" s="2">
        <v>1060518</v>
      </c>
      <c r="E41" s="1"/>
    </row>
    <row r="42" spans="1:5" x14ac:dyDescent="0.2">
      <c r="A42">
        <v>2020</v>
      </c>
      <c r="B42" s="1">
        <v>964107</v>
      </c>
      <c r="C42" s="1" t="s">
        <v>40</v>
      </c>
      <c r="D42" s="2">
        <v>211021</v>
      </c>
      <c r="E42" s="1"/>
    </row>
    <row r="43" spans="1:5" x14ac:dyDescent="0.2">
      <c r="A43">
        <v>2020</v>
      </c>
      <c r="B43" s="1">
        <v>924102</v>
      </c>
      <c r="C43" s="1" t="s">
        <v>41</v>
      </c>
      <c r="D43" s="2">
        <v>273769</v>
      </c>
      <c r="E43" s="1"/>
    </row>
    <row r="44" spans="1:5" x14ac:dyDescent="0.2">
      <c r="A44">
        <v>2020</v>
      </c>
      <c r="B44" s="1">
        <v>901100</v>
      </c>
      <c r="C44" s="1" t="s">
        <v>42</v>
      </c>
      <c r="D44" s="2">
        <v>136493</v>
      </c>
      <c r="E44" s="1"/>
    </row>
    <row r="45" spans="1:5" x14ac:dyDescent="0.2">
      <c r="A45">
        <v>2020</v>
      </c>
      <c r="B45" s="1">
        <v>927111</v>
      </c>
      <c r="C45" s="1" t="s">
        <v>43</v>
      </c>
      <c r="D45" s="2">
        <v>68613</v>
      </c>
      <c r="E45" s="1"/>
    </row>
    <row r="46" spans="1:5" x14ac:dyDescent="0.2">
      <c r="A46">
        <v>2020</v>
      </c>
      <c r="B46" s="1">
        <v>926121</v>
      </c>
      <c r="C46" s="1" t="s">
        <v>44</v>
      </c>
      <c r="D46" s="2">
        <v>65716</v>
      </c>
      <c r="E46" s="1"/>
    </row>
    <row r="47" spans="1:5" x14ac:dyDescent="0.2">
      <c r="A47">
        <v>2020</v>
      </c>
      <c r="B47" s="1">
        <v>927102</v>
      </c>
      <c r="C47" s="1" t="s">
        <v>45</v>
      </c>
      <c r="D47" s="2">
        <v>11531</v>
      </c>
      <c r="E47" s="1"/>
    </row>
    <row r="48" spans="1:5" x14ac:dyDescent="0.2">
      <c r="A48">
        <v>2020</v>
      </c>
      <c r="B48" s="1">
        <v>962101</v>
      </c>
      <c r="C48" s="1" t="s">
        <v>46</v>
      </c>
      <c r="D48" s="2">
        <v>204236</v>
      </c>
      <c r="E48" s="1"/>
    </row>
    <row r="49" spans="1:5" x14ac:dyDescent="0.2">
      <c r="A49">
        <v>2020</v>
      </c>
      <c r="B49" s="1">
        <v>906173</v>
      </c>
      <c r="C49" s="1" t="s">
        <v>47</v>
      </c>
      <c r="D49" s="2">
        <v>130630</v>
      </c>
      <c r="E49" s="1"/>
    </row>
    <row r="50" spans="1:5" x14ac:dyDescent="0.2">
      <c r="A50">
        <v>2020</v>
      </c>
      <c r="B50" s="1">
        <v>932104</v>
      </c>
      <c r="C50" s="1" t="s">
        <v>48</v>
      </c>
      <c r="D50" s="2">
        <v>98217</v>
      </c>
      <c r="E50" s="1"/>
    </row>
    <row r="51" spans="1:5" x14ac:dyDescent="0.2">
      <c r="A51">
        <v>2020</v>
      </c>
      <c r="B51" s="1">
        <v>908117</v>
      </c>
      <c r="C51" s="1" t="s">
        <v>49</v>
      </c>
      <c r="D51" s="2">
        <v>82579</v>
      </c>
      <c r="E51" s="1"/>
    </row>
    <row r="52" spans="1:5" x14ac:dyDescent="0.2">
      <c r="A52">
        <v>2020</v>
      </c>
      <c r="B52" s="1">
        <v>947100</v>
      </c>
      <c r="C52" s="1" t="s">
        <v>50</v>
      </c>
      <c r="D52" s="2">
        <v>78973</v>
      </c>
      <c r="E52" s="1"/>
    </row>
    <row r="53" spans="1:5" x14ac:dyDescent="0.2">
      <c r="A53">
        <v>2020</v>
      </c>
      <c r="B53" s="1">
        <v>964108</v>
      </c>
      <c r="C53" s="1" t="s">
        <v>51</v>
      </c>
      <c r="D53" s="2">
        <v>59195</v>
      </c>
      <c r="E53" s="1"/>
    </row>
    <row r="54" spans="1:5" x14ac:dyDescent="0.2">
      <c r="A54">
        <v>2020</v>
      </c>
      <c r="B54" s="1">
        <v>928117</v>
      </c>
      <c r="C54" s="1" t="s">
        <v>52</v>
      </c>
      <c r="D54" s="2">
        <v>118213</v>
      </c>
      <c r="E54" s="1"/>
    </row>
    <row r="55" spans="1:5" x14ac:dyDescent="0.2">
      <c r="A55">
        <v>2020</v>
      </c>
      <c r="B55" s="1">
        <v>952102</v>
      </c>
      <c r="C55" s="1" t="s">
        <v>53</v>
      </c>
      <c r="D55" s="2">
        <v>248052</v>
      </c>
      <c r="E55" s="1"/>
    </row>
    <row r="56" spans="1:5" x14ac:dyDescent="0.2">
      <c r="A56">
        <v>2020</v>
      </c>
      <c r="B56" s="1">
        <v>905140</v>
      </c>
      <c r="C56" s="1" t="s">
        <v>54</v>
      </c>
      <c r="D56" s="2">
        <v>89092</v>
      </c>
      <c r="E56" s="1"/>
    </row>
    <row r="57" spans="1:5" x14ac:dyDescent="0.2">
      <c r="A57">
        <v>2020</v>
      </c>
      <c r="B57" s="1">
        <v>903142</v>
      </c>
      <c r="C57" s="1" t="s">
        <v>55</v>
      </c>
      <c r="D57" s="2">
        <v>77284</v>
      </c>
      <c r="E57" s="1"/>
    </row>
    <row r="58" spans="1:5" x14ac:dyDescent="0.2">
      <c r="A58">
        <v>2020</v>
      </c>
      <c r="B58" s="1">
        <v>937103</v>
      </c>
      <c r="C58" s="1" t="s">
        <v>56</v>
      </c>
      <c r="D58" s="2">
        <v>119395</v>
      </c>
      <c r="E58" s="1"/>
    </row>
    <row r="59" spans="1:5" x14ac:dyDescent="0.2">
      <c r="A59">
        <v>2020</v>
      </c>
      <c r="B59" s="1">
        <v>901155</v>
      </c>
      <c r="C59" s="1" t="s">
        <v>57</v>
      </c>
      <c r="D59" s="2">
        <v>156759</v>
      </c>
      <c r="E59" s="1"/>
    </row>
    <row r="60" spans="1:5" x14ac:dyDescent="0.2">
      <c r="A60">
        <v>2020</v>
      </c>
      <c r="B60" s="1">
        <v>907163</v>
      </c>
      <c r="C60" s="1" t="s">
        <v>58</v>
      </c>
      <c r="D60" s="2">
        <v>102523</v>
      </c>
      <c r="E60" s="1"/>
    </row>
    <row r="61" spans="1:5" x14ac:dyDescent="0.2">
      <c r="A61">
        <v>2020</v>
      </c>
      <c r="B61" s="1">
        <v>954100</v>
      </c>
      <c r="C61" s="1" t="s">
        <v>59</v>
      </c>
      <c r="D61" s="2">
        <v>94290</v>
      </c>
      <c r="E61" s="1"/>
    </row>
    <row r="62" spans="1:5" x14ac:dyDescent="0.2">
      <c r="A62">
        <v>2020</v>
      </c>
      <c r="B62" s="1">
        <v>930101</v>
      </c>
      <c r="C62" s="1" t="s">
        <v>60</v>
      </c>
      <c r="D62" s="2">
        <v>136829</v>
      </c>
      <c r="E62" s="1"/>
    </row>
    <row r="63" spans="1:5" x14ac:dyDescent="0.2">
      <c r="A63">
        <v>2020</v>
      </c>
      <c r="B63" s="1">
        <v>903105</v>
      </c>
      <c r="C63" s="1" t="s">
        <v>61</v>
      </c>
      <c r="D63" s="2">
        <v>206826</v>
      </c>
      <c r="E63" s="1"/>
    </row>
    <row r="64" spans="1:5" x14ac:dyDescent="0.2">
      <c r="A64">
        <v>2020</v>
      </c>
      <c r="B64" s="1">
        <v>931100</v>
      </c>
      <c r="C64" s="1" t="s">
        <v>62</v>
      </c>
      <c r="D64" s="2">
        <v>106873</v>
      </c>
      <c r="E64" s="1"/>
    </row>
    <row r="65" spans="1:5" x14ac:dyDescent="0.2">
      <c r="A65">
        <v>2020</v>
      </c>
      <c r="B65" s="1">
        <v>932136</v>
      </c>
      <c r="C65" s="1" t="s">
        <v>63</v>
      </c>
      <c r="D65" s="2">
        <v>216802</v>
      </c>
      <c r="E65" s="1"/>
    </row>
    <row r="66" spans="1:5" x14ac:dyDescent="0.2">
      <c r="A66">
        <v>2020</v>
      </c>
      <c r="B66" s="1">
        <v>934118</v>
      </c>
      <c r="C66" s="1" t="s">
        <v>64</v>
      </c>
      <c r="D66" s="2">
        <v>134782</v>
      </c>
      <c r="E66" s="1"/>
    </row>
    <row r="67" spans="1:5" x14ac:dyDescent="0.2">
      <c r="A67">
        <v>2020</v>
      </c>
      <c r="B67" s="1">
        <v>935117</v>
      </c>
      <c r="C67" s="1" t="s">
        <v>65</v>
      </c>
      <c r="D67" s="2">
        <v>100848</v>
      </c>
      <c r="E67" s="1"/>
    </row>
    <row r="68" spans="1:5" x14ac:dyDescent="0.2">
      <c r="A68">
        <v>2020</v>
      </c>
      <c r="B68" s="1">
        <v>944100</v>
      </c>
      <c r="C68" s="1" t="s">
        <v>66</v>
      </c>
      <c r="D68" s="2">
        <v>1838882</v>
      </c>
      <c r="E68" s="1"/>
    </row>
    <row r="69" spans="1:5" x14ac:dyDescent="0.2">
      <c r="A69">
        <v>2020</v>
      </c>
      <c r="B69" s="1">
        <v>905101</v>
      </c>
      <c r="C69" s="1" t="s">
        <v>67</v>
      </c>
      <c r="D69" s="2">
        <v>72939</v>
      </c>
      <c r="E69" s="1"/>
    </row>
    <row r="70" spans="1:5" x14ac:dyDescent="0.2">
      <c r="A70">
        <v>2020</v>
      </c>
      <c r="B70" s="1">
        <v>916101</v>
      </c>
      <c r="C70" s="1" t="s">
        <v>68</v>
      </c>
      <c r="D70" s="2">
        <v>53387</v>
      </c>
      <c r="E70" s="1"/>
    </row>
    <row r="71" spans="1:5" x14ac:dyDescent="0.2">
      <c r="A71">
        <v>2020</v>
      </c>
      <c r="B71" s="1">
        <v>938124</v>
      </c>
      <c r="C71" s="1" t="s">
        <v>69</v>
      </c>
      <c r="D71" s="2">
        <v>106998</v>
      </c>
      <c r="E71" s="1"/>
    </row>
    <row r="72" spans="1:5" x14ac:dyDescent="0.2">
      <c r="A72">
        <v>2020</v>
      </c>
      <c r="B72" s="1">
        <v>902106</v>
      </c>
      <c r="C72" s="1" t="s">
        <v>70</v>
      </c>
      <c r="D72" s="2">
        <v>174668</v>
      </c>
      <c r="E72" s="1"/>
    </row>
    <row r="73" spans="1:5" x14ac:dyDescent="0.2">
      <c r="A73">
        <v>2020</v>
      </c>
      <c r="B73" s="1">
        <v>957101</v>
      </c>
      <c r="C73" s="1" t="s">
        <v>71</v>
      </c>
      <c r="D73" s="2">
        <v>103800</v>
      </c>
      <c r="E73" s="1"/>
    </row>
    <row r="74" spans="1:5" x14ac:dyDescent="0.2">
      <c r="A74">
        <v>2020</v>
      </c>
      <c r="B74" s="1">
        <v>927101</v>
      </c>
      <c r="C74" s="1" t="s">
        <v>72</v>
      </c>
      <c r="D74" s="2">
        <v>224269</v>
      </c>
      <c r="E74" s="1"/>
    </row>
    <row r="75" spans="1:5" x14ac:dyDescent="0.2">
      <c r="A75">
        <v>2020</v>
      </c>
      <c r="B75" s="1">
        <v>954103</v>
      </c>
      <c r="C75" s="1" t="s">
        <v>73</v>
      </c>
      <c r="D75" s="2">
        <v>90265</v>
      </c>
      <c r="E75" s="1"/>
    </row>
    <row r="76" spans="1:5" x14ac:dyDescent="0.2">
      <c r="A76">
        <v>2020</v>
      </c>
      <c r="B76" s="1">
        <v>951100</v>
      </c>
      <c r="C76" s="1" t="s">
        <v>74</v>
      </c>
      <c r="D76" s="2">
        <v>151092</v>
      </c>
      <c r="E76" s="1"/>
    </row>
    <row r="77" spans="1:5" x14ac:dyDescent="0.2">
      <c r="A77">
        <v>2020</v>
      </c>
      <c r="B77" s="1">
        <v>904103</v>
      </c>
      <c r="C77" s="1" t="s">
        <v>75</v>
      </c>
      <c r="D77" s="2">
        <v>984198</v>
      </c>
      <c r="E77" s="1"/>
    </row>
    <row r="78" spans="1:5" x14ac:dyDescent="0.2">
      <c r="A78">
        <v>2020</v>
      </c>
      <c r="B78" s="1">
        <v>926101</v>
      </c>
      <c r="C78" s="1" t="s">
        <v>76</v>
      </c>
      <c r="D78" s="2">
        <v>151360</v>
      </c>
      <c r="E78" s="1"/>
    </row>
    <row r="79" spans="1:5" x14ac:dyDescent="0.2">
      <c r="A79">
        <v>2020</v>
      </c>
      <c r="B79" s="1">
        <v>907103</v>
      </c>
      <c r="C79" s="1" t="s">
        <v>77</v>
      </c>
      <c r="D79" s="2">
        <v>110845</v>
      </c>
      <c r="E79" s="1"/>
    </row>
    <row r="80" spans="1:5" x14ac:dyDescent="0.2">
      <c r="A80">
        <v>2020</v>
      </c>
      <c r="B80" s="1">
        <v>904138</v>
      </c>
      <c r="C80" s="1" t="s">
        <v>78</v>
      </c>
      <c r="D80" s="2">
        <v>77496</v>
      </c>
      <c r="E80" s="1"/>
    </row>
    <row r="81" spans="1:5" x14ac:dyDescent="0.2">
      <c r="A81">
        <v>2020</v>
      </c>
      <c r="B81" s="1">
        <v>908102</v>
      </c>
      <c r="C81" s="1" t="s">
        <v>79</v>
      </c>
      <c r="D81" s="2">
        <v>19461</v>
      </c>
      <c r="E81" s="1"/>
    </row>
    <row r="82" spans="1:5" x14ac:dyDescent="0.2">
      <c r="A82">
        <v>2020</v>
      </c>
      <c r="B82" s="1">
        <v>941100</v>
      </c>
      <c r="C82" s="1" t="s">
        <v>80</v>
      </c>
      <c r="D82" s="2">
        <v>80523</v>
      </c>
      <c r="E82" s="1"/>
    </row>
    <row r="83" spans="1:5" x14ac:dyDescent="0.2">
      <c r="A83">
        <v>2020</v>
      </c>
      <c r="B83" s="1">
        <v>939103</v>
      </c>
      <c r="C83" s="1" t="s">
        <v>81</v>
      </c>
      <c r="D83" s="2">
        <v>162500</v>
      </c>
      <c r="E83" s="1"/>
    </row>
    <row r="84" spans="1:5" x14ac:dyDescent="0.2">
      <c r="A84">
        <v>2020</v>
      </c>
      <c r="B84" s="1">
        <v>913124</v>
      </c>
      <c r="C84" s="1" t="s">
        <v>82</v>
      </c>
      <c r="D84" s="2">
        <v>116030</v>
      </c>
      <c r="E84" s="1"/>
    </row>
    <row r="85" spans="1:5" x14ac:dyDescent="0.2">
      <c r="A85">
        <v>2020</v>
      </c>
      <c r="B85" s="1">
        <v>942101</v>
      </c>
      <c r="C85" s="1" t="s">
        <v>83</v>
      </c>
      <c r="D85" s="2">
        <v>86958</v>
      </c>
      <c r="E85" s="1"/>
    </row>
    <row r="86" spans="1:5" x14ac:dyDescent="0.2">
      <c r="A86">
        <v>2020</v>
      </c>
      <c r="B86" s="1">
        <v>948124</v>
      </c>
      <c r="C86" s="1" t="s">
        <v>84</v>
      </c>
      <c r="D86" s="2">
        <v>86469</v>
      </c>
      <c r="E86" s="1"/>
    </row>
    <row r="87" spans="1:5" x14ac:dyDescent="0.2">
      <c r="A87">
        <v>2020</v>
      </c>
      <c r="B87" s="1">
        <v>909116</v>
      </c>
      <c r="C87" s="1" t="s">
        <v>85</v>
      </c>
      <c r="D87" s="2">
        <v>325650</v>
      </c>
      <c r="E87" s="1"/>
    </row>
    <row r="88" spans="1:5" x14ac:dyDescent="0.2">
      <c r="A88">
        <v>2020</v>
      </c>
      <c r="B88" s="1">
        <v>953100</v>
      </c>
      <c r="C88" s="1" t="s">
        <v>86</v>
      </c>
      <c r="D88" s="2">
        <v>104356</v>
      </c>
      <c r="E88" s="1"/>
    </row>
    <row r="89" spans="1:5" x14ac:dyDescent="0.2">
      <c r="A89">
        <v>2020</v>
      </c>
      <c r="B89" s="1">
        <v>944172</v>
      </c>
      <c r="C89" s="1" t="s">
        <v>87</v>
      </c>
      <c r="D89" s="2">
        <v>353541</v>
      </c>
      <c r="E89" s="1"/>
    </row>
    <row r="90" spans="1:5" x14ac:dyDescent="0.2">
      <c r="A90">
        <v>2020</v>
      </c>
      <c r="B90" s="1">
        <v>947101</v>
      </c>
      <c r="C90" s="1" t="s">
        <v>88</v>
      </c>
      <c r="D90" s="2">
        <v>96757</v>
      </c>
      <c r="E90" s="1"/>
    </row>
    <row r="91" spans="1:5" x14ac:dyDescent="0.2">
      <c r="A91">
        <v>2020</v>
      </c>
      <c r="B91" s="1">
        <v>945132</v>
      </c>
      <c r="C91" s="1" t="s">
        <v>89</v>
      </c>
      <c r="D91" s="2">
        <v>188692</v>
      </c>
      <c r="E91" s="1"/>
    </row>
    <row r="92" spans="1:5" x14ac:dyDescent="0.2">
      <c r="A92">
        <v>2020</v>
      </c>
      <c r="B92" s="1">
        <v>943122</v>
      </c>
      <c r="C92" s="1" t="s">
        <v>90</v>
      </c>
      <c r="D92" s="2">
        <v>378491</v>
      </c>
      <c r="E92" s="1"/>
    </row>
    <row r="93" spans="1:5" x14ac:dyDescent="0.2">
      <c r="A93">
        <v>2020</v>
      </c>
      <c r="B93" s="1">
        <v>961102</v>
      </c>
      <c r="C93" s="1" t="s">
        <v>91</v>
      </c>
      <c r="D93" s="2">
        <v>93057</v>
      </c>
      <c r="E93" s="1"/>
    </row>
    <row r="94" spans="1:5" x14ac:dyDescent="0.2">
      <c r="A94">
        <v>2020</v>
      </c>
      <c r="B94" s="1">
        <v>946105</v>
      </c>
      <c r="C94" s="1" t="s">
        <v>92</v>
      </c>
      <c r="D94" s="2">
        <v>136380</v>
      </c>
      <c r="E94" s="1"/>
    </row>
    <row r="95" spans="1:5" x14ac:dyDescent="0.2">
      <c r="A95">
        <v>2020</v>
      </c>
      <c r="B95" s="1">
        <v>920100</v>
      </c>
      <c r="C95" s="1" t="s">
        <v>93</v>
      </c>
      <c r="D95" s="2">
        <v>107471</v>
      </c>
      <c r="E95" s="1"/>
    </row>
    <row r="96" spans="1:5" x14ac:dyDescent="0.2">
      <c r="A96">
        <v>2020</v>
      </c>
      <c r="B96" s="1">
        <v>920101</v>
      </c>
      <c r="C96" s="1" t="s">
        <v>94</v>
      </c>
      <c r="D96" s="2">
        <v>293525</v>
      </c>
      <c r="E96" s="1"/>
    </row>
    <row r="97" spans="1:5" x14ac:dyDescent="0.2">
      <c r="A97">
        <v>2020</v>
      </c>
      <c r="B97" s="1">
        <v>949157</v>
      </c>
      <c r="C97" s="1" t="s">
        <v>95</v>
      </c>
      <c r="D97" s="2">
        <v>880802</v>
      </c>
      <c r="E97" s="1"/>
    </row>
    <row r="98" spans="1:5" x14ac:dyDescent="0.2">
      <c r="A98">
        <v>2020</v>
      </c>
      <c r="B98" s="1">
        <v>937102</v>
      </c>
      <c r="C98" s="1" t="s">
        <v>96</v>
      </c>
      <c r="D98" s="2">
        <v>119975</v>
      </c>
      <c r="E98" s="1"/>
    </row>
    <row r="99" spans="1:5" x14ac:dyDescent="0.2">
      <c r="A99">
        <v>2020</v>
      </c>
      <c r="B99" s="1">
        <v>917106</v>
      </c>
      <c r="C99" s="1" t="s">
        <v>97</v>
      </c>
      <c r="D99" s="2">
        <v>83157</v>
      </c>
      <c r="E99" s="1"/>
    </row>
    <row r="100" spans="1:5" x14ac:dyDescent="0.2">
      <c r="A100">
        <v>2020</v>
      </c>
      <c r="B100" s="1">
        <v>929103</v>
      </c>
      <c r="C100" s="1" t="s">
        <v>98</v>
      </c>
      <c r="D100" s="2">
        <v>344550</v>
      </c>
      <c r="E100" s="1"/>
    </row>
    <row r="101" spans="1:5" x14ac:dyDescent="0.2">
      <c r="A101">
        <v>2020</v>
      </c>
      <c r="B101" s="1">
        <v>933100</v>
      </c>
      <c r="C101" s="1" t="s">
        <v>99</v>
      </c>
      <c r="D101" s="2">
        <v>168621</v>
      </c>
      <c r="E101" s="1"/>
    </row>
    <row r="102" spans="1:5" x14ac:dyDescent="0.2">
      <c r="A102">
        <v>2020</v>
      </c>
      <c r="B102" s="1">
        <v>908101</v>
      </c>
      <c r="C102" s="1" t="s">
        <v>100</v>
      </c>
      <c r="D102" s="2">
        <v>1311249</v>
      </c>
      <c r="E102" s="1"/>
    </row>
    <row r="103" spans="1:5" x14ac:dyDescent="0.2">
      <c r="A103">
        <v>2020</v>
      </c>
      <c r="B103" s="1">
        <v>963101</v>
      </c>
      <c r="C103" s="1" t="s">
        <v>101</v>
      </c>
      <c r="D103" s="2">
        <v>225277</v>
      </c>
      <c r="E103" s="1"/>
    </row>
    <row r="104" spans="1:5" x14ac:dyDescent="0.2">
      <c r="A104">
        <v>2020</v>
      </c>
      <c r="B104" s="1">
        <v>946103</v>
      </c>
      <c r="C104" s="1" t="s">
        <v>102</v>
      </c>
      <c r="D104" s="2">
        <v>93074</v>
      </c>
      <c r="E104" s="1"/>
    </row>
    <row r="105" spans="1:5" x14ac:dyDescent="0.2">
      <c r="A105">
        <v>2020</v>
      </c>
      <c r="B105" s="1">
        <v>908100</v>
      </c>
      <c r="C105" s="1" t="s">
        <v>103</v>
      </c>
      <c r="D105" s="2">
        <v>96533</v>
      </c>
      <c r="E105" s="1"/>
    </row>
    <row r="106" spans="1:5" x14ac:dyDescent="0.2">
      <c r="A106">
        <v>2020</v>
      </c>
      <c r="B106" s="1">
        <v>902104</v>
      </c>
      <c r="C106" s="1" t="s">
        <v>104</v>
      </c>
      <c r="D106" s="2">
        <v>74299</v>
      </c>
      <c r="E106" s="1"/>
    </row>
    <row r="107" spans="1:5" x14ac:dyDescent="0.2">
      <c r="A107">
        <v>2020</v>
      </c>
      <c r="B107" s="1">
        <v>915104</v>
      </c>
      <c r="C107" s="1" t="s">
        <v>105</v>
      </c>
      <c r="D107" s="2">
        <v>114046</v>
      </c>
      <c r="E107" s="1"/>
    </row>
    <row r="108" spans="1:5" x14ac:dyDescent="0.2">
      <c r="A108">
        <v>2020</v>
      </c>
      <c r="B108" s="1">
        <v>903100</v>
      </c>
      <c r="C108" s="1" t="s">
        <v>106</v>
      </c>
      <c r="D108" s="2">
        <v>39118</v>
      </c>
      <c r="E108" s="1"/>
    </row>
    <row r="109" spans="1:5" x14ac:dyDescent="0.2">
      <c r="A109">
        <v>2020</v>
      </c>
      <c r="B109" s="1">
        <v>932137</v>
      </c>
      <c r="C109" s="1" t="s">
        <v>107</v>
      </c>
      <c r="D109" s="2">
        <v>154303</v>
      </c>
      <c r="E109" s="1"/>
    </row>
    <row r="110" spans="1:5" x14ac:dyDescent="0.2">
      <c r="A110">
        <v>2020</v>
      </c>
      <c r="B110" s="1">
        <v>905130</v>
      </c>
      <c r="C110" s="1" t="s">
        <v>108</v>
      </c>
      <c r="D110" s="2">
        <v>44803</v>
      </c>
      <c r="E110" s="1"/>
    </row>
    <row r="111" spans="1:5" x14ac:dyDescent="0.2">
      <c r="A111">
        <v>2020</v>
      </c>
      <c r="B111" s="1">
        <v>953173</v>
      </c>
      <c r="C111" s="1" t="s">
        <v>109</v>
      </c>
      <c r="D111" s="2">
        <v>57636</v>
      </c>
      <c r="E111" s="1"/>
    </row>
    <row r="112" spans="1:5" x14ac:dyDescent="0.2">
      <c r="A112">
        <v>2020</v>
      </c>
      <c r="B112" s="1">
        <v>957116</v>
      </c>
      <c r="C112" s="1" t="s">
        <v>110</v>
      </c>
      <c r="D112" s="2">
        <v>95745</v>
      </c>
      <c r="E112" s="1"/>
    </row>
    <row r="113" spans="1:5" x14ac:dyDescent="0.2">
      <c r="A113">
        <v>2020</v>
      </c>
      <c r="B113" s="1">
        <v>963102</v>
      </c>
      <c r="C113" s="1" t="s">
        <v>111</v>
      </c>
      <c r="D113" s="2">
        <v>36954</v>
      </c>
      <c r="E113" s="1"/>
    </row>
    <row r="114" spans="1:5" x14ac:dyDescent="0.2">
      <c r="A114">
        <v>2020</v>
      </c>
      <c r="B114" s="1">
        <v>927100</v>
      </c>
      <c r="C114" s="1" t="s">
        <v>112</v>
      </c>
      <c r="D114" s="2">
        <v>70051</v>
      </c>
      <c r="E114" s="1"/>
    </row>
    <row r="115" spans="1:5" x14ac:dyDescent="0.2">
      <c r="A115">
        <v>2020</v>
      </c>
      <c r="B115" s="1">
        <v>943104</v>
      </c>
      <c r="C115" s="1" t="s">
        <v>113</v>
      </c>
      <c r="D115" s="2">
        <v>71346</v>
      </c>
      <c r="E115" s="1"/>
    </row>
    <row r="116" spans="1:5" x14ac:dyDescent="0.2">
      <c r="A116">
        <v>2020</v>
      </c>
      <c r="B116" s="1">
        <v>961100</v>
      </c>
      <c r="C116" s="1" t="s">
        <v>114</v>
      </c>
      <c r="D116" s="2">
        <v>143054</v>
      </c>
      <c r="E116" s="1"/>
    </row>
    <row r="117" spans="1:5" x14ac:dyDescent="0.2">
      <c r="A117">
        <v>2020</v>
      </c>
      <c r="B117" s="1">
        <v>937104</v>
      </c>
      <c r="C117" s="1" t="s">
        <v>115</v>
      </c>
      <c r="D117" s="2">
        <v>179682</v>
      </c>
      <c r="E117" s="1"/>
    </row>
    <row r="118" spans="1:5" x14ac:dyDescent="0.2">
      <c r="A118">
        <v>2020</v>
      </c>
      <c r="B118" s="1">
        <v>936100</v>
      </c>
      <c r="C118" s="1" t="s">
        <v>116</v>
      </c>
      <c r="D118" s="2">
        <v>912902</v>
      </c>
      <c r="E118" s="1"/>
    </row>
    <row r="119" spans="1:5" x14ac:dyDescent="0.2">
      <c r="A119">
        <v>2020</v>
      </c>
      <c r="B119" s="1">
        <v>910103</v>
      </c>
      <c r="C119" s="1" t="s">
        <v>117</v>
      </c>
      <c r="D119" s="2">
        <v>104612</v>
      </c>
      <c r="E119" s="1"/>
    </row>
    <row r="120" spans="1:5" x14ac:dyDescent="0.2">
      <c r="A120">
        <v>2020</v>
      </c>
      <c r="B120" s="1">
        <v>917105</v>
      </c>
      <c r="C120" s="1" t="s">
        <v>118</v>
      </c>
      <c r="D120" s="2">
        <v>178599</v>
      </c>
      <c r="E120" s="1"/>
    </row>
    <row r="121" spans="1:5" x14ac:dyDescent="0.2">
      <c r="A121">
        <v>2020</v>
      </c>
      <c r="B121" s="1">
        <v>943100</v>
      </c>
      <c r="C121" s="1" t="s">
        <v>119</v>
      </c>
      <c r="D121" s="2">
        <v>13184</v>
      </c>
      <c r="E121" s="1"/>
    </row>
    <row r="122" spans="1:5" x14ac:dyDescent="0.2">
      <c r="A122">
        <v>2020</v>
      </c>
      <c r="B122" s="1">
        <v>902101</v>
      </c>
      <c r="C122" s="1" t="s">
        <v>120</v>
      </c>
      <c r="D122" s="2">
        <v>5139589</v>
      </c>
      <c r="E122" s="1"/>
    </row>
    <row r="123" spans="1:5" x14ac:dyDescent="0.2">
      <c r="A123">
        <v>2020</v>
      </c>
      <c r="B123" s="1">
        <v>957100</v>
      </c>
      <c r="C123" s="1" t="s">
        <v>121</v>
      </c>
      <c r="D123" s="2">
        <v>211672</v>
      </c>
      <c r="E123" s="1"/>
    </row>
    <row r="124" spans="1:5" x14ac:dyDescent="0.2">
      <c r="A124">
        <v>2020</v>
      </c>
      <c r="B124" s="1">
        <v>955167</v>
      </c>
      <c r="C124" s="1" t="s">
        <v>122</v>
      </c>
      <c r="D124" s="2">
        <v>97672</v>
      </c>
      <c r="E124" s="1"/>
    </row>
    <row r="125" spans="1:5" x14ac:dyDescent="0.2">
      <c r="A125">
        <v>2020</v>
      </c>
      <c r="B125" s="1">
        <v>943121</v>
      </c>
      <c r="C125" s="1" t="s">
        <v>123</v>
      </c>
      <c r="D125" s="2">
        <v>77966</v>
      </c>
      <c r="E125" s="1"/>
    </row>
    <row r="126" spans="1:5" x14ac:dyDescent="0.2">
      <c r="A126">
        <v>2020</v>
      </c>
      <c r="B126" s="1">
        <v>956114</v>
      </c>
      <c r="C126" s="1" t="s">
        <v>124</v>
      </c>
      <c r="D126" s="2">
        <v>88852</v>
      </c>
      <c r="E126" s="1"/>
    </row>
    <row r="127" spans="1:5" x14ac:dyDescent="0.2">
      <c r="A127">
        <v>2020</v>
      </c>
      <c r="B127" s="1">
        <v>912102</v>
      </c>
      <c r="C127" s="1" t="s">
        <v>125</v>
      </c>
      <c r="D127" s="2">
        <v>76523</v>
      </c>
      <c r="E127" s="1"/>
    </row>
    <row r="128" spans="1:5" x14ac:dyDescent="0.2">
      <c r="A128">
        <v>2020</v>
      </c>
      <c r="B128" s="1">
        <v>963112</v>
      </c>
      <c r="C128" s="1" t="s">
        <v>126</v>
      </c>
      <c r="D128" s="2">
        <v>75183</v>
      </c>
      <c r="E128" s="1"/>
    </row>
    <row r="129" spans="1:5" x14ac:dyDescent="0.2">
      <c r="A129">
        <v>2020</v>
      </c>
      <c r="B129" s="1">
        <v>927200</v>
      </c>
      <c r="C129" s="1" t="s">
        <v>127</v>
      </c>
      <c r="D129" s="2">
        <v>466733</v>
      </c>
      <c r="E129" s="1"/>
    </row>
    <row r="130" spans="1:5" x14ac:dyDescent="0.2">
      <c r="A130">
        <v>2020</v>
      </c>
      <c r="B130" s="1">
        <v>901111</v>
      </c>
      <c r="C130" s="1" t="s">
        <v>128</v>
      </c>
      <c r="D130" s="2">
        <v>9341158</v>
      </c>
      <c r="E130" s="1"/>
    </row>
    <row r="131" spans="1:5" x14ac:dyDescent="0.2">
      <c r="A131">
        <v>2020</v>
      </c>
      <c r="B131" s="1">
        <v>906105</v>
      </c>
      <c r="C131" s="1" t="s">
        <v>129</v>
      </c>
      <c r="D131" s="2">
        <v>192598</v>
      </c>
      <c r="E131" s="1"/>
    </row>
    <row r="132" spans="1:5" x14ac:dyDescent="0.2">
      <c r="A132">
        <v>2020</v>
      </c>
      <c r="B132" s="1">
        <v>955108</v>
      </c>
      <c r="C132" s="1" t="s">
        <v>130</v>
      </c>
      <c r="D132" s="2">
        <v>398473</v>
      </c>
      <c r="E132" s="1"/>
    </row>
    <row r="133" spans="1:5" x14ac:dyDescent="0.2">
      <c r="A133">
        <v>2020</v>
      </c>
      <c r="B133" s="1">
        <v>920102</v>
      </c>
      <c r="C133" s="1" t="s">
        <v>131</v>
      </c>
      <c r="D133" s="2">
        <v>126189</v>
      </c>
      <c r="E133" s="1"/>
    </row>
    <row r="134" spans="1:5" x14ac:dyDescent="0.2">
      <c r="A134">
        <v>2020</v>
      </c>
      <c r="B134" s="1">
        <v>912104</v>
      </c>
      <c r="C134" s="1" t="s">
        <v>132</v>
      </c>
      <c r="D134" s="2">
        <v>59345</v>
      </c>
      <c r="E134" s="1"/>
    </row>
    <row r="135" spans="1:5" x14ac:dyDescent="0.2">
      <c r="A135">
        <v>2020</v>
      </c>
      <c r="B135" s="1">
        <v>930103</v>
      </c>
      <c r="C135" s="1" t="s">
        <v>133</v>
      </c>
      <c r="D135" s="2">
        <v>39651</v>
      </c>
      <c r="E135" s="1"/>
    </row>
    <row r="136" spans="1:5" x14ac:dyDescent="0.2">
      <c r="A136">
        <v>2020</v>
      </c>
      <c r="B136" s="1">
        <v>962104</v>
      </c>
      <c r="C136" s="1" t="s">
        <v>134</v>
      </c>
      <c r="D136" s="2">
        <v>70061</v>
      </c>
      <c r="E136" s="1"/>
    </row>
    <row r="137" spans="1:5" x14ac:dyDescent="0.2">
      <c r="A137">
        <v>2020</v>
      </c>
      <c r="B137" s="1">
        <v>909101</v>
      </c>
      <c r="C137" s="1" t="s">
        <v>135</v>
      </c>
      <c r="D137" s="2">
        <v>701831</v>
      </c>
      <c r="E137" s="1"/>
    </row>
    <row r="138" spans="1:5" x14ac:dyDescent="0.2">
      <c r="A138">
        <v>2020</v>
      </c>
      <c r="B138" s="1">
        <v>958100</v>
      </c>
      <c r="C138" s="1" t="s">
        <v>136</v>
      </c>
      <c r="D138" s="2">
        <v>170433</v>
      </c>
      <c r="E138" s="1"/>
    </row>
    <row r="139" spans="1:5" x14ac:dyDescent="0.2">
      <c r="A139">
        <v>2020</v>
      </c>
      <c r="B139" s="1">
        <v>955104</v>
      </c>
      <c r="C139" s="1" t="s">
        <v>137</v>
      </c>
      <c r="D139" s="2">
        <v>70946</v>
      </c>
      <c r="E139" s="1"/>
    </row>
    <row r="140" spans="1:5" x14ac:dyDescent="0.2">
      <c r="A140">
        <v>2020</v>
      </c>
      <c r="B140" s="1">
        <v>944102</v>
      </c>
      <c r="C140" s="1" t="s">
        <v>138</v>
      </c>
      <c r="D140" s="2">
        <v>589914</v>
      </c>
      <c r="E140" s="1"/>
    </row>
    <row r="141" spans="1:5" x14ac:dyDescent="0.2">
      <c r="A141">
        <v>2020</v>
      </c>
      <c r="B141" s="1">
        <v>950102</v>
      </c>
      <c r="C141" s="1" t="s">
        <v>139</v>
      </c>
      <c r="D141" s="2">
        <v>27270</v>
      </c>
      <c r="E141" s="1"/>
    </row>
    <row r="142" spans="1:5" x14ac:dyDescent="0.2">
      <c r="A142">
        <v>2020</v>
      </c>
      <c r="B142" s="1">
        <v>924101</v>
      </c>
      <c r="C142" s="1" t="s">
        <v>140</v>
      </c>
      <c r="D142" s="2">
        <v>174808</v>
      </c>
      <c r="E142" s="1"/>
    </row>
    <row r="143" spans="1:5" x14ac:dyDescent="0.2">
      <c r="A143">
        <v>2020</v>
      </c>
      <c r="B143" s="1">
        <v>960200</v>
      </c>
      <c r="C143" s="1" t="s">
        <v>141</v>
      </c>
      <c r="D143" s="2">
        <v>1016779</v>
      </c>
      <c r="E143" s="1"/>
    </row>
    <row r="144" spans="1:5" x14ac:dyDescent="0.2">
      <c r="A144">
        <v>2020</v>
      </c>
      <c r="B144" s="1">
        <v>901105</v>
      </c>
      <c r="C144" s="1" t="s">
        <v>142</v>
      </c>
      <c r="D144" s="2">
        <v>294755</v>
      </c>
      <c r="E144" s="1"/>
    </row>
    <row r="145" spans="1:5" x14ac:dyDescent="0.2">
      <c r="A145">
        <v>2020</v>
      </c>
      <c r="B145" s="1">
        <v>937100</v>
      </c>
      <c r="C145" s="1" t="s">
        <v>143</v>
      </c>
      <c r="D145" s="2">
        <v>83967</v>
      </c>
      <c r="E145" s="1"/>
    </row>
    <row r="146" spans="1:5" x14ac:dyDescent="0.2">
      <c r="A146">
        <v>2020</v>
      </c>
      <c r="B146" s="1">
        <v>919100</v>
      </c>
      <c r="C146" s="1" t="s">
        <v>144</v>
      </c>
      <c r="D146" s="2">
        <v>390878</v>
      </c>
      <c r="E146" s="1"/>
    </row>
    <row r="147" spans="1:5" x14ac:dyDescent="0.2">
      <c r="A147">
        <v>2020</v>
      </c>
      <c r="B147" s="1">
        <v>961104</v>
      </c>
      <c r="C147" s="1" t="s">
        <v>145</v>
      </c>
      <c r="D147" s="2">
        <v>120255</v>
      </c>
      <c r="E147" s="1"/>
    </row>
    <row r="148" spans="1:5" x14ac:dyDescent="0.2">
      <c r="A148">
        <v>2020</v>
      </c>
      <c r="B148" s="1">
        <v>917103</v>
      </c>
      <c r="C148" s="1" t="s">
        <v>146</v>
      </c>
      <c r="D148" s="2">
        <v>407874</v>
      </c>
      <c r="E148" s="1"/>
    </row>
    <row r="149" spans="1:5" x14ac:dyDescent="0.2">
      <c r="A149">
        <v>2020</v>
      </c>
      <c r="B149" s="1">
        <v>902107</v>
      </c>
      <c r="C149" s="1" t="s">
        <v>147</v>
      </c>
      <c r="D149" s="2">
        <v>107675</v>
      </c>
      <c r="E149" s="1"/>
    </row>
    <row r="150" spans="1:5" x14ac:dyDescent="0.2">
      <c r="A150">
        <v>2020</v>
      </c>
      <c r="B150" s="1">
        <v>903141</v>
      </c>
      <c r="C150" s="1" t="s">
        <v>148</v>
      </c>
      <c r="D150" s="2">
        <v>97474</v>
      </c>
      <c r="E150" s="1"/>
    </row>
    <row r="151" spans="1:5" x14ac:dyDescent="0.2">
      <c r="A151">
        <v>2020</v>
      </c>
      <c r="B151" s="1">
        <v>905104</v>
      </c>
      <c r="C151" s="1" t="s">
        <v>149</v>
      </c>
      <c r="D151" s="2">
        <v>1983397</v>
      </c>
      <c r="E151" s="1"/>
    </row>
    <row r="152" spans="1:5" x14ac:dyDescent="0.2">
      <c r="A152">
        <v>2020</v>
      </c>
      <c r="B152" s="1">
        <v>922105</v>
      </c>
      <c r="C152" s="1" t="s">
        <v>150</v>
      </c>
      <c r="D152" s="2">
        <v>84591</v>
      </c>
      <c r="E152" s="1"/>
    </row>
    <row r="153" spans="1:5" x14ac:dyDescent="0.2">
      <c r="A153">
        <v>2020</v>
      </c>
      <c r="B153" s="1">
        <v>905100</v>
      </c>
      <c r="C153" s="1" t="s">
        <v>151</v>
      </c>
      <c r="D153" s="2">
        <v>71233</v>
      </c>
      <c r="E153" s="1"/>
    </row>
    <row r="154" spans="1:5" x14ac:dyDescent="0.2">
      <c r="A154">
        <v>2020</v>
      </c>
      <c r="B154" s="1">
        <v>922107</v>
      </c>
      <c r="C154" s="1" t="s">
        <v>152</v>
      </c>
      <c r="D154" s="2">
        <v>159870</v>
      </c>
      <c r="E154" s="1"/>
    </row>
    <row r="155" spans="1:5" x14ac:dyDescent="0.2">
      <c r="A155">
        <v>2020</v>
      </c>
      <c r="B155" s="1">
        <v>940102</v>
      </c>
      <c r="C155" s="1" t="s">
        <v>153</v>
      </c>
      <c r="D155" s="2">
        <v>111351</v>
      </c>
      <c r="E155" s="1"/>
    </row>
    <row r="156" spans="1:5" x14ac:dyDescent="0.2">
      <c r="A156">
        <v>2020</v>
      </c>
      <c r="B156" s="1">
        <v>901157</v>
      </c>
      <c r="C156" s="1" t="s">
        <v>154</v>
      </c>
      <c r="D156" s="2">
        <v>459060</v>
      </c>
      <c r="E156" s="1"/>
    </row>
    <row r="157" spans="1:5" x14ac:dyDescent="0.2">
      <c r="A157">
        <v>2020</v>
      </c>
      <c r="B157" s="1">
        <v>910105</v>
      </c>
      <c r="C157" s="1" t="s">
        <v>156</v>
      </c>
      <c r="D157" s="2">
        <v>58744</v>
      </c>
      <c r="E157" s="1"/>
    </row>
    <row r="158" spans="1:5" x14ac:dyDescent="0.2">
      <c r="A158">
        <v>2020</v>
      </c>
      <c r="B158" s="1">
        <v>950101</v>
      </c>
      <c r="C158" s="1" t="s">
        <v>157</v>
      </c>
      <c r="D158" s="2">
        <v>207287</v>
      </c>
      <c r="E158" s="1"/>
    </row>
    <row r="159" spans="1:5" x14ac:dyDescent="0.2">
      <c r="A159">
        <v>2020</v>
      </c>
      <c r="B159" s="1">
        <v>918101</v>
      </c>
      <c r="C159" s="1" t="s">
        <v>158</v>
      </c>
      <c r="D159" s="2">
        <v>104665</v>
      </c>
      <c r="E159" s="1"/>
    </row>
    <row r="160" spans="1:5" x14ac:dyDescent="0.2">
      <c r="A160">
        <v>2020</v>
      </c>
      <c r="B160" s="1">
        <v>955102</v>
      </c>
      <c r="C160" s="1" t="s">
        <v>159</v>
      </c>
      <c r="D160" s="2">
        <v>86882</v>
      </c>
      <c r="E160" s="1"/>
    </row>
    <row r="161" spans="1:5" x14ac:dyDescent="0.2">
      <c r="A161">
        <v>2020</v>
      </c>
      <c r="B161" s="1">
        <v>960102</v>
      </c>
      <c r="C161" s="1" t="s">
        <v>160</v>
      </c>
      <c r="D161" s="2">
        <v>241037</v>
      </c>
      <c r="E161" s="1"/>
    </row>
    <row r="162" spans="1:5" x14ac:dyDescent="0.2">
      <c r="A162">
        <v>2020</v>
      </c>
      <c r="B162" s="1">
        <v>904105</v>
      </c>
      <c r="C162" s="1" t="s">
        <v>161</v>
      </c>
      <c r="D162" s="2">
        <v>131848</v>
      </c>
      <c r="E162" s="1"/>
    </row>
    <row r="163" spans="1:5" x14ac:dyDescent="0.2">
      <c r="A163">
        <v>2020</v>
      </c>
      <c r="B163" s="1">
        <v>956100</v>
      </c>
      <c r="C163" s="1" t="s">
        <v>162</v>
      </c>
      <c r="D163" s="2">
        <v>87045</v>
      </c>
      <c r="E163" s="1"/>
    </row>
    <row r="164" spans="1:5" x14ac:dyDescent="0.2">
      <c r="A164">
        <v>2020</v>
      </c>
      <c r="B164" s="1">
        <v>907100</v>
      </c>
      <c r="C164" s="1" t="s">
        <v>163</v>
      </c>
      <c r="D164" s="2">
        <v>935919</v>
      </c>
      <c r="E164" s="1"/>
    </row>
    <row r="165" spans="1:5" x14ac:dyDescent="0.2">
      <c r="A165">
        <v>2020</v>
      </c>
      <c r="B165" s="3" t="s">
        <v>165</v>
      </c>
      <c r="C165" s="3" t="s">
        <v>164</v>
      </c>
      <c r="D165" s="2">
        <v>27190231</v>
      </c>
      <c r="E165" s="1"/>
    </row>
    <row r="166" spans="1:5" x14ac:dyDescent="0.2">
      <c r="A166">
        <v>2020</v>
      </c>
      <c r="B166" s="3">
        <v>909102</v>
      </c>
      <c r="C166" s="3" t="s">
        <v>169</v>
      </c>
      <c r="D166" s="4">
        <v>807587</v>
      </c>
      <c r="E166" s="3"/>
    </row>
    <row r="167" spans="1:5" x14ac:dyDescent="0.2">
      <c r="A167">
        <v>2020</v>
      </c>
      <c r="B167" s="3">
        <v>903501</v>
      </c>
      <c r="C167" s="3" t="s">
        <v>170</v>
      </c>
      <c r="D167" s="4">
        <v>127598</v>
      </c>
      <c r="E16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3667-2E10-4044-AC51-BAEB3D016483}">
  <sheetPr>
    <tabColor rgb="FFFFFF00"/>
  </sheetPr>
  <dimension ref="A1:E167"/>
  <sheetViews>
    <sheetView workbookViewId="0">
      <selection activeCell="A2" sqref="A2:D167"/>
    </sheetView>
  </sheetViews>
  <sheetFormatPr baseColWidth="10" defaultRowHeight="16" x14ac:dyDescent="0.2"/>
  <cols>
    <col min="2" max="2" width="10.83203125" style="3"/>
    <col min="3" max="3" width="40.1640625" style="3" bestFit="1" customWidth="1"/>
    <col min="4" max="4" width="20.5" style="3" bestFit="1" customWidth="1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2019</v>
      </c>
      <c r="B2" s="3">
        <v>903103</v>
      </c>
      <c r="C2" s="3" t="s">
        <v>0</v>
      </c>
      <c r="D2" s="4">
        <v>1506073</v>
      </c>
    </row>
    <row r="3" spans="1:4" x14ac:dyDescent="0.2">
      <c r="A3">
        <v>2019</v>
      </c>
      <c r="B3" s="3">
        <v>959126</v>
      </c>
      <c r="C3" s="3" t="s">
        <v>1</v>
      </c>
      <c r="D3" s="4">
        <v>126458</v>
      </c>
    </row>
    <row r="4" spans="1:4" x14ac:dyDescent="0.2">
      <c r="A4">
        <v>2019</v>
      </c>
      <c r="B4" s="3">
        <v>962102</v>
      </c>
      <c r="C4" s="3" t="s">
        <v>2</v>
      </c>
      <c r="D4" s="4">
        <v>133167</v>
      </c>
    </row>
    <row r="5" spans="1:4" x14ac:dyDescent="0.2">
      <c r="A5">
        <v>2019</v>
      </c>
      <c r="B5" s="3">
        <v>917102</v>
      </c>
      <c r="C5" s="3" t="s">
        <v>3</v>
      </c>
      <c r="D5" s="4">
        <v>181603</v>
      </c>
    </row>
    <row r="6" spans="1:4" x14ac:dyDescent="0.2">
      <c r="A6">
        <v>2019</v>
      </c>
      <c r="B6" s="3">
        <v>942100</v>
      </c>
      <c r="C6" s="3" t="s">
        <v>4</v>
      </c>
      <c r="D6" s="4">
        <v>111210</v>
      </c>
    </row>
    <row r="7" spans="1:4" x14ac:dyDescent="0.2">
      <c r="A7">
        <v>2019</v>
      </c>
      <c r="B7" s="3">
        <v>925101</v>
      </c>
      <c r="C7" s="3" t="s">
        <v>5</v>
      </c>
      <c r="D7" s="4">
        <v>81911</v>
      </c>
    </row>
    <row r="8" spans="1:4" x14ac:dyDescent="0.2">
      <c r="A8">
        <v>2019</v>
      </c>
      <c r="B8" s="3">
        <v>912103</v>
      </c>
      <c r="C8" s="3" t="s">
        <v>6</v>
      </c>
      <c r="D8" s="4">
        <v>83703</v>
      </c>
    </row>
    <row r="9" spans="1:4" x14ac:dyDescent="0.2">
      <c r="A9">
        <v>2019</v>
      </c>
      <c r="B9" s="3">
        <v>901106</v>
      </c>
      <c r="C9" s="3" t="s">
        <v>7</v>
      </c>
      <c r="D9" s="4">
        <v>159948</v>
      </c>
    </row>
    <row r="10" spans="1:4" x14ac:dyDescent="0.2">
      <c r="A10">
        <v>2019</v>
      </c>
      <c r="B10" s="3">
        <v>915100</v>
      </c>
      <c r="C10" s="3" t="s">
        <v>8</v>
      </c>
      <c r="D10" s="4">
        <v>392722</v>
      </c>
    </row>
    <row r="11" spans="1:4" x14ac:dyDescent="0.2">
      <c r="A11">
        <v>2019</v>
      </c>
      <c r="B11" s="3">
        <v>911109</v>
      </c>
      <c r="C11" s="3" t="s">
        <v>9</v>
      </c>
      <c r="D11" s="4">
        <v>214960</v>
      </c>
    </row>
    <row r="12" spans="1:4" x14ac:dyDescent="0.2">
      <c r="A12">
        <v>2019</v>
      </c>
      <c r="B12" s="3">
        <v>962150</v>
      </c>
      <c r="C12" s="3" t="s">
        <v>10</v>
      </c>
      <c r="D12" s="4">
        <v>210002</v>
      </c>
    </row>
    <row r="13" spans="1:4" x14ac:dyDescent="0.2">
      <c r="A13">
        <v>2019</v>
      </c>
      <c r="B13" s="3">
        <v>929144</v>
      </c>
      <c r="C13" s="3" t="s">
        <v>11</v>
      </c>
      <c r="D13" s="4">
        <v>55839</v>
      </c>
    </row>
    <row r="14" spans="1:4" x14ac:dyDescent="0.2">
      <c r="A14">
        <v>2019</v>
      </c>
      <c r="B14" s="3">
        <v>953171</v>
      </c>
      <c r="C14" s="3" t="s">
        <v>12</v>
      </c>
      <c r="D14" s="4">
        <v>81993</v>
      </c>
    </row>
    <row r="15" spans="1:4" x14ac:dyDescent="0.2">
      <c r="A15">
        <v>2019</v>
      </c>
      <c r="B15" s="3">
        <v>912172</v>
      </c>
      <c r="C15" s="3" t="s">
        <v>13</v>
      </c>
      <c r="D15" s="4">
        <v>186156</v>
      </c>
    </row>
    <row r="16" spans="1:4" x14ac:dyDescent="0.2">
      <c r="A16">
        <v>2019</v>
      </c>
      <c r="B16" s="3">
        <v>926124</v>
      </c>
      <c r="C16" s="3" t="s">
        <v>14</v>
      </c>
      <c r="D16" s="4">
        <v>56160</v>
      </c>
    </row>
    <row r="17" spans="1:4" x14ac:dyDescent="0.2">
      <c r="A17">
        <v>2019</v>
      </c>
      <c r="B17" s="3">
        <v>901154</v>
      </c>
      <c r="C17" s="3" t="s">
        <v>15</v>
      </c>
      <c r="D17" s="4">
        <v>1210676</v>
      </c>
    </row>
    <row r="18" spans="1:4" x14ac:dyDescent="0.2">
      <c r="A18">
        <v>2019</v>
      </c>
      <c r="B18" s="3">
        <v>946129</v>
      </c>
      <c r="C18" s="3" t="s">
        <v>16</v>
      </c>
      <c r="D18" s="4">
        <v>124745</v>
      </c>
    </row>
    <row r="19" spans="1:4" x14ac:dyDescent="0.2">
      <c r="A19">
        <v>2019</v>
      </c>
      <c r="B19" s="3">
        <v>948100</v>
      </c>
      <c r="C19" s="3" t="s">
        <v>17</v>
      </c>
      <c r="D19" s="4">
        <v>139247</v>
      </c>
    </row>
    <row r="20" spans="1:4" x14ac:dyDescent="0.2">
      <c r="A20">
        <v>2019</v>
      </c>
      <c r="B20" s="3">
        <v>906102</v>
      </c>
      <c r="C20" s="3" t="s">
        <v>18</v>
      </c>
      <c r="D20" s="4">
        <v>1080392</v>
      </c>
    </row>
    <row r="21" spans="1:4" x14ac:dyDescent="0.2">
      <c r="A21">
        <v>2019</v>
      </c>
      <c r="B21" s="3">
        <v>930100</v>
      </c>
      <c r="C21" s="3" t="s">
        <v>19</v>
      </c>
      <c r="D21" s="4">
        <v>100175</v>
      </c>
    </row>
    <row r="22" spans="1:4" x14ac:dyDescent="0.2">
      <c r="A22">
        <v>2019</v>
      </c>
      <c r="B22" s="3">
        <v>946102</v>
      </c>
      <c r="C22" s="3" t="s">
        <v>20</v>
      </c>
      <c r="D22" s="4">
        <v>92446</v>
      </c>
    </row>
    <row r="23" spans="1:4" x14ac:dyDescent="0.2">
      <c r="A23">
        <v>2019</v>
      </c>
      <c r="B23" s="3">
        <v>944101</v>
      </c>
      <c r="C23" s="3" t="s">
        <v>21</v>
      </c>
      <c r="D23" s="4">
        <v>260274</v>
      </c>
    </row>
    <row r="24" spans="1:4" x14ac:dyDescent="0.2">
      <c r="A24">
        <v>2019</v>
      </c>
      <c r="B24" s="3">
        <v>932101</v>
      </c>
      <c r="C24" s="3" t="s">
        <v>22</v>
      </c>
      <c r="D24" s="4">
        <v>94484</v>
      </c>
    </row>
    <row r="25" spans="1:4" x14ac:dyDescent="0.2">
      <c r="A25">
        <v>2019</v>
      </c>
      <c r="B25" s="3">
        <v>961101</v>
      </c>
      <c r="C25" s="3" t="s">
        <v>23</v>
      </c>
      <c r="D25" s="4">
        <v>92372</v>
      </c>
    </row>
    <row r="26" spans="1:4" x14ac:dyDescent="0.2">
      <c r="A26">
        <v>2019</v>
      </c>
      <c r="B26" s="3">
        <v>913100</v>
      </c>
      <c r="C26" s="3" t="s">
        <v>24</v>
      </c>
      <c r="D26" s="4">
        <v>370234</v>
      </c>
    </row>
    <row r="27" spans="1:4" x14ac:dyDescent="0.2">
      <c r="A27">
        <v>2019</v>
      </c>
      <c r="B27" s="3">
        <v>943123</v>
      </c>
      <c r="C27" s="3" t="s">
        <v>25</v>
      </c>
      <c r="D27" s="4">
        <v>182762</v>
      </c>
    </row>
    <row r="28" spans="1:4" x14ac:dyDescent="0.2">
      <c r="A28">
        <v>2019</v>
      </c>
      <c r="B28" s="3">
        <v>901162</v>
      </c>
      <c r="C28" s="3" t="s">
        <v>26</v>
      </c>
      <c r="D28" s="4">
        <v>83966</v>
      </c>
    </row>
    <row r="29" spans="1:4" x14ac:dyDescent="0.2">
      <c r="A29">
        <v>2019</v>
      </c>
      <c r="B29" s="3">
        <v>918123</v>
      </c>
      <c r="C29" s="3" t="s">
        <v>27</v>
      </c>
      <c r="D29" s="4">
        <v>134893</v>
      </c>
    </row>
    <row r="30" spans="1:4" x14ac:dyDescent="0.2">
      <c r="A30">
        <v>2019</v>
      </c>
      <c r="B30" s="3">
        <v>952103</v>
      </c>
      <c r="C30" s="3" t="s">
        <v>28</v>
      </c>
      <c r="D30" s="4">
        <v>86073</v>
      </c>
    </row>
    <row r="31" spans="1:4" x14ac:dyDescent="0.2">
      <c r="A31">
        <v>2019</v>
      </c>
      <c r="B31" s="3">
        <v>960103</v>
      </c>
      <c r="C31" s="3" t="s">
        <v>29</v>
      </c>
      <c r="D31" s="4">
        <v>80517</v>
      </c>
    </row>
    <row r="32" spans="1:4" x14ac:dyDescent="0.2">
      <c r="A32">
        <v>2019</v>
      </c>
      <c r="B32" s="3">
        <v>961103</v>
      </c>
      <c r="C32" s="3" t="s">
        <v>30</v>
      </c>
      <c r="D32" s="4">
        <v>50613</v>
      </c>
    </row>
    <row r="33" spans="1:4" x14ac:dyDescent="0.2">
      <c r="A33">
        <v>2019</v>
      </c>
      <c r="B33" s="3">
        <v>925102</v>
      </c>
      <c r="C33" s="3" t="s">
        <v>31</v>
      </c>
      <c r="D33" s="4">
        <v>101609</v>
      </c>
    </row>
    <row r="34" spans="1:4" x14ac:dyDescent="0.2">
      <c r="A34">
        <v>2019</v>
      </c>
      <c r="B34" s="3">
        <v>921104</v>
      </c>
      <c r="C34" s="3" t="s">
        <v>32</v>
      </c>
      <c r="D34" s="4">
        <v>303292</v>
      </c>
    </row>
    <row r="35" spans="1:4" x14ac:dyDescent="0.2">
      <c r="A35">
        <v>2019</v>
      </c>
      <c r="B35" s="3">
        <v>962100</v>
      </c>
      <c r="C35" s="3" t="s">
        <v>33</v>
      </c>
      <c r="D35" s="4">
        <v>419227</v>
      </c>
    </row>
    <row r="36" spans="1:4" x14ac:dyDescent="0.2">
      <c r="A36">
        <v>2019</v>
      </c>
      <c r="B36" s="3">
        <v>901110</v>
      </c>
      <c r="C36" s="3" t="s">
        <v>34</v>
      </c>
      <c r="D36" s="4">
        <v>300294</v>
      </c>
    </row>
    <row r="37" spans="1:4" x14ac:dyDescent="0.2">
      <c r="A37">
        <v>2019</v>
      </c>
      <c r="B37" s="3">
        <v>942103</v>
      </c>
      <c r="C37" s="3" t="s">
        <v>35</v>
      </c>
      <c r="D37" s="4">
        <v>115682</v>
      </c>
    </row>
    <row r="38" spans="1:4" x14ac:dyDescent="0.2">
      <c r="A38">
        <v>2019</v>
      </c>
      <c r="B38" s="3">
        <v>906174</v>
      </c>
      <c r="C38" s="3" t="s">
        <v>36</v>
      </c>
      <c r="D38" s="4">
        <v>141445</v>
      </c>
    </row>
    <row r="39" spans="1:4" x14ac:dyDescent="0.2">
      <c r="A39">
        <v>2019</v>
      </c>
      <c r="B39" s="3">
        <v>923148</v>
      </c>
      <c r="C39" s="3" t="s">
        <v>37</v>
      </c>
      <c r="D39" s="4">
        <v>161738</v>
      </c>
    </row>
    <row r="40" spans="1:4" x14ac:dyDescent="0.2">
      <c r="A40">
        <v>2019</v>
      </c>
      <c r="B40" s="3">
        <v>957102</v>
      </c>
      <c r="C40" s="3" t="s">
        <v>38</v>
      </c>
      <c r="D40" s="4">
        <v>74534</v>
      </c>
    </row>
    <row r="41" spans="1:4" x14ac:dyDescent="0.2">
      <c r="A41">
        <v>2019</v>
      </c>
      <c r="B41" s="3">
        <v>902108</v>
      </c>
      <c r="C41" s="3" t="s">
        <v>39</v>
      </c>
      <c r="D41" s="4">
        <v>1018333</v>
      </c>
    </row>
    <row r="42" spans="1:4" x14ac:dyDescent="0.2">
      <c r="A42">
        <v>2019</v>
      </c>
      <c r="B42" s="3">
        <v>964107</v>
      </c>
      <c r="C42" s="3" t="s">
        <v>40</v>
      </c>
      <c r="D42" s="4">
        <v>198122</v>
      </c>
    </row>
    <row r="43" spans="1:4" x14ac:dyDescent="0.2">
      <c r="A43">
        <v>2019</v>
      </c>
      <c r="B43" s="3">
        <v>924102</v>
      </c>
      <c r="C43" s="3" t="s">
        <v>41</v>
      </c>
      <c r="D43" s="4">
        <v>247262</v>
      </c>
    </row>
    <row r="44" spans="1:4" x14ac:dyDescent="0.2">
      <c r="A44">
        <v>2019</v>
      </c>
      <c r="B44" s="3">
        <v>901100</v>
      </c>
      <c r="C44" s="3" t="s">
        <v>42</v>
      </c>
      <c r="D44" s="4">
        <v>118943</v>
      </c>
    </row>
    <row r="45" spans="1:4" x14ac:dyDescent="0.2">
      <c r="A45">
        <v>2019</v>
      </c>
      <c r="B45" s="3">
        <v>927111</v>
      </c>
      <c r="C45" s="3" t="s">
        <v>43</v>
      </c>
      <c r="D45" s="4">
        <v>65600</v>
      </c>
    </row>
    <row r="46" spans="1:4" x14ac:dyDescent="0.2">
      <c r="A46">
        <v>2019</v>
      </c>
      <c r="B46" s="3">
        <v>926121</v>
      </c>
      <c r="C46" s="3" t="s">
        <v>44</v>
      </c>
      <c r="D46" s="4">
        <v>67566</v>
      </c>
    </row>
    <row r="47" spans="1:4" x14ac:dyDescent="0.2">
      <c r="A47">
        <v>2019</v>
      </c>
      <c r="B47" s="3">
        <v>927102</v>
      </c>
      <c r="C47" s="3" t="s">
        <v>45</v>
      </c>
      <c r="D47" s="4">
        <v>11289</v>
      </c>
    </row>
    <row r="48" spans="1:4" x14ac:dyDescent="0.2">
      <c r="A48">
        <v>2019</v>
      </c>
      <c r="B48" s="3">
        <v>962101</v>
      </c>
      <c r="C48" s="3" t="s">
        <v>46</v>
      </c>
      <c r="D48" s="4">
        <v>197175</v>
      </c>
    </row>
    <row r="49" spans="1:4" x14ac:dyDescent="0.2">
      <c r="A49">
        <v>2019</v>
      </c>
      <c r="B49" s="3">
        <v>906173</v>
      </c>
      <c r="C49" s="3" t="s">
        <v>47</v>
      </c>
      <c r="D49" s="4">
        <v>123981</v>
      </c>
    </row>
    <row r="50" spans="1:4" x14ac:dyDescent="0.2">
      <c r="A50">
        <v>2019</v>
      </c>
      <c r="B50" s="3">
        <v>932104</v>
      </c>
      <c r="C50" s="3" t="s">
        <v>48</v>
      </c>
      <c r="D50" s="4">
        <v>96602</v>
      </c>
    </row>
    <row r="51" spans="1:4" x14ac:dyDescent="0.2">
      <c r="A51">
        <v>2019</v>
      </c>
      <c r="B51" s="3">
        <v>908117</v>
      </c>
      <c r="C51" s="3" t="s">
        <v>49</v>
      </c>
      <c r="D51" s="4">
        <v>77568</v>
      </c>
    </row>
    <row r="52" spans="1:4" x14ac:dyDescent="0.2">
      <c r="A52">
        <v>2019</v>
      </c>
      <c r="B52" s="3">
        <v>947100</v>
      </c>
      <c r="C52" s="3" t="s">
        <v>50</v>
      </c>
      <c r="D52" s="4">
        <v>79387</v>
      </c>
    </row>
    <row r="53" spans="1:4" x14ac:dyDescent="0.2">
      <c r="A53">
        <v>2019</v>
      </c>
      <c r="B53" s="3">
        <v>964108</v>
      </c>
      <c r="C53" s="3" t="s">
        <v>51</v>
      </c>
      <c r="D53" s="4">
        <v>58457</v>
      </c>
    </row>
    <row r="54" spans="1:4" x14ac:dyDescent="0.2">
      <c r="A54">
        <v>2019</v>
      </c>
      <c r="B54" s="3">
        <v>928117</v>
      </c>
      <c r="C54" s="3" t="s">
        <v>52</v>
      </c>
      <c r="D54" s="4">
        <v>110756</v>
      </c>
    </row>
    <row r="55" spans="1:4" x14ac:dyDescent="0.2">
      <c r="A55">
        <v>2019</v>
      </c>
      <c r="B55" s="3">
        <v>952102</v>
      </c>
      <c r="C55" s="3" t="s">
        <v>53</v>
      </c>
      <c r="D55" s="4">
        <v>235567</v>
      </c>
    </row>
    <row r="56" spans="1:4" x14ac:dyDescent="0.2">
      <c r="A56">
        <v>2019</v>
      </c>
      <c r="B56" s="3">
        <v>905140</v>
      </c>
      <c r="C56" s="3" t="s">
        <v>54</v>
      </c>
      <c r="D56" s="4">
        <v>87903</v>
      </c>
    </row>
    <row r="57" spans="1:4" x14ac:dyDescent="0.2">
      <c r="A57">
        <v>2019</v>
      </c>
      <c r="B57" s="3">
        <v>903142</v>
      </c>
      <c r="C57" s="3" t="s">
        <v>55</v>
      </c>
      <c r="D57" s="4">
        <v>75046</v>
      </c>
    </row>
    <row r="58" spans="1:4" x14ac:dyDescent="0.2">
      <c r="A58">
        <v>2019</v>
      </c>
      <c r="B58" s="3">
        <v>937103</v>
      </c>
      <c r="C58" s="3" t="s">
        <v>56</v>
      </c>
      <c r="D58" s="4">
        <v>112144</v>
      </c>
    </row>
    <row r="59" spans="1:4" x14ac:dyDescent="0.2">
      <c r="A59">
        <v>2019</v>
      </c>
      <c r="B59" s="3">
        <v>901155</v>
      </c>
      <c r="C59" s="3" t="s">
        <v>57</v>
      </c>
      <c r="D59" s="4">
        <v>149556</v>
      </c>
    </row>
    <row r="60" spans="1:4" x14ac:dyDescent="0.2">
      <c r="A60">
        <v>2019</v>
      </c>
      <c r="B60" s="3">
        <v>907163</v>
      </c>
      <c r="C60" s="3" t="s">
        <v>58</v>
      </c>
      <c r="D60" s="4">
        <v>100110</v>
      </c>
    </row>
    <row r="61" spans="1:4" x14ac:dyDescent="0.2">
      <c r="A61">
        <v>2019</v>
      </c>
      <c r="B61" s="3">
        <v>954100</v>
      </c>
      <c r="C61" s="3" t="s">
        <v>59</v>
      </c>
      <c r="D61" s="4">
        <v>93622</v>
      </c>
    </row>
    <row r="62" spans="1:4" x14ac:dyDescent="0.2">
      <c r="A62">
        <v>2019</v>
      </c>
      <c r="B62" s="3">
        <v>930101</v>
      </c>
      <c r="C62" s="3" t="s">
        <v>60</v>
      </c>
      <c r="D62" s="4">
        <v>134228</v>
      </c>
    </row>
    <row r="63" spans="1:4" x14ac:dyDescent="0.2">
      <c r="A63">
        <v>2019</v>
      </c>
      <c r="B63" s="3">
        <v>903105</v>
      </c>
      <c r="C63" s="3" t="s">
        <v>61</v>
      </c>
      <c r="D63" s="4">
        <v>208416</v>
      </c>
    </row>
    <row r="64" spans="1:4" x14ac:dyDescent="0.2">
      <c r="A64">
        <v>2019</v>
      </c>
      <c r="B64" s="3">
        <v>931100</v>
      </c>
      <c r="C64" s="3" t="s">
        <v>62</v>
      </c>
      <c r="D64" s="4">
        <v>107778</v>
      </c>
    </row>
    <row r="65" spans="1:4" x14ac:dyDescent="0.2">
      <c r="A65">
        <v>2019</v>
      </c>
      <c r="B65" s="3">
        <v>932136</v>
      </c>
      <c r="C65" s="3" t="s">
        <v>63</v>
      </c>
      <c r="D65" s="4">
        <v>219824</v>
      </c>
    </row>
    <row r="66" spans="1:4" x14ac:dyDescent="0.2">
      <c r="A66">
        <v>2019</v>
      </c>
      <c r="B66" s="3">
        <v>934118</v>
      </c>
      <c r="C66" s="3" t="s">
        <v>64</v>
      </c>
      <c r="D66" s="4">
        <v>128966</v>
      </c>
    </row>
    <row r="67" spans="1:4" x14ac:dyDescent="0.2">
      <c r="A67">
        <v>2019</v>
      </c>
      <c r="B67" s="3">
        <v>935117</v>
      </c>
      <c r="C67" s="3" t="s">
        <v>65</v>
      </c>
      <c r="D67" s="4">
        <v>104207</v>
      </c>
    </row>
    <row r="68" spans="1:4" x14ac:dyDescent="0.2">
      <c r="A68">
        <v>2019</v>
      </c>
      <c r="B68" s="3">
        <v>944100</v>
      </c>
      <c r="C68" s="3" t="s">
        <v>66</v>
      </c>
      <c r="D68" s="4">
        <v>1674550</v>
      </c>
    </row>
    <row r="69" spans="1:4" x14ac:dyDescent="0.2">
      <c r="A69">
        <v>2019</v>
      </c>
      <c r="B69" s="3">
        <v>905101</v>
      </c>
      <c r="C69" s="3" t="s">
        <v>67</v>
      </c>
      <c r="D69" s="4">
        <v>74561</v>
      </c>
    </row>
    <row r="70" spans="1:4" x14ac:dyDescent="0.2">
      <c r="A70">
        <v>2019</v>
      </c>
      <c r="B70" s="3">
        <v>916101</v>
      </c>
      <c r="C70" s="3" t="s">
        <v>68</v>
      </c>
      <c r="D70" s="4">
        <v>54680</v>
      </c>
    </row>
    <row r="71" spans="1:4" x14ac:dyDescent="0.2">
      <c r="A71">
        <v>2019</v>
      </c>
      <c r="B71" s="3">
        <v>938124</v>
      </c>
      <c r="C71" s="3" t="s">
        <v>69</v>
      </c>
      <c r="D71" s="4">
        <v>105454</v>
      </c>
    </row>
    <row r="72" spans="1:4" x14ac:dyDescent="0.2">
      <c r="A72">
        <v>2019</v>
      </c>
      <c r="B72" s="3">
        <v>902106</v>
      </c>
      <c r="C72" s="3" t="s">
        <v>70</v>
      </c>
      <c r="D72" s="4">
        <v>176996</v>
      </c>
    </row>
    <row r="73" spans="1:4" x14ac:dyDescent="0.2">
      <c r="A73">
        <v>2019</v>
      </c>
      <c r="B73" s="3">
        <v>957101</v>
      </c>
      <c r="C73" s="3" t="s">
        <v>71</v>
      </c>
      <c r="D73" s="4">
        <v>96305</v>
      </c>
    </row>
    <row r="74" spans="1:4" x14ac:dyDescent="0.2">
      <c r="A74">
        <v>2019</v>
      </c>
      <c r="B74" s="3">
        <v>927101</v>
      </c>
      <c r="C74" s="3" t="s">
        <v>72</v>
      </c>
      <c r="D74" s="4">
        <v>221817</v>
      </c>
    </row>
    <row r="75" spans="1:4" x14ac:dyDescent="0.2">
      <c r="A75">
        <v>2019</v>
      </c>
      <c r="B75" s="3">
        <v>954103</v>
      </c>
      <c r="C75" s="3" t="s">
        <v>73</v>
      </c>
      <c r="D75" s="4">
        <v>88810</v>
      </c>
    </row>
    <row r="76" spans="1:4" x14ac:dyDescent="0.2">
      <c r="A76">
        <v>2019</v>
      </c>
      <c r="B76" s="3">
        <v>951100</v>
      </c>
      <c r="C76" s="3" t="s">
        <v>74</v>
      </c>
      <c r="D76" s="4">
        <v>146179</v>
      </c>
    </row>
    <row r="77" spans="1:4" x14ac:dyDescent="0.2">
      <c r="A77">
        <v>2019</v>
      </c>
      <c r="B77" s="3">
        <v>904103</v>
      </c>
      <c r="C77" s="3" t="s">
        <v>75</v>
      </c>
      <c r="D77" s="4">
        <v>937550</v>
      </c>
    </row>
    <row r="78" spans="1:4" x14ac:dyDescent="0.2">
      <c r="A78">
        <v>2019</v>
      </c>
      <c r="B78" s="3">
        <v>926101</v>
      </c>
      <c r="C78" s="3" t="s">
        <v>76</v>
      </c>
      <c r="D78" s="4">
        <v>149240</v>
      </c>
    </row>
    <row r="79" spans="1:4" x14ac:dyDescent="0.2">
      <c r="A79">
        <v>2019</v>
      </c>
      <c r="B79" s="3">
        <v>907103</v>
      </c>
      <c r="C79" s="3" t="s">
        <v>171</v>
      </c>
      <c r="D79" s="4">
        <v>108994</v>
      </c>
    </row>
    <row r="80" spans="1:4" x14ac:dyDescent="0.2">
      <c r="A80">
        <v>2019</v>
      </c>
      <c r="B80" s="3">
        <v>904138</v>
      </c>
      <c r="C80" s="3" t="s">
        <v>78</v>
      </c>
      <c r="D80" s="4">
        <v>73764</v>
      </c>
    </row>
    <row r="81" spans="1:4" x14ac:dyDescent="0.2">
      <c r="A81">
        <v>2019</v>
      </c>
      <c r="B81" s="3">
        <v>908102</v>
      </c>
      <c r="C81" s="3" t="s">
        <v>79</v>
      </c>
      <c r="D81" s="4">
        <v>17288</v>
      </c>
    </row>
    <row r="82" spans="1:4" x14ac:dyDescent="0.2">
      <c r="A82">
        <v>2019</v>
      </c>
      <c r="B82" s="3">
        <v>941100</v>
      </c>
      <c r="C82" s="3" t="s">
        <v>80</v>
      </c>
      <c r="D82" s="4">
        <v>77934</v>
      </c>
    </row>
    <row r="83" spans="1:4" x14ac:dyDescent="0.2">
      <c r="A83">
        <v>2019</v>
      </c>
      <c r="B83" s="3">
        <v>939103</v>
      </c>
      <c r="C83" s="3" t="s">
        <v>81</v>
      </c>
      <c r="D83" s="4">
        <v>157919</v>
      </c>
    </row>
    <row r="84" spans="1:4" x14ac:dyDescent="0.2">
      <c r="A84">
        <v>2019</v>
      </c>
      <c r="B84" s="3">
        <v>913124</v>
      </c>
      <c r="C84" s="3" t="s">
        <v>82</v>
      </c>
      <c r="D84" s="4">
        <v>110489</v>
      </c>
    </row>
    <row r="85" spans="1:4" x14ac:dyDescent="0.2">
      <c r="A85">
        <v>2019</v>
      </c>
      <c r="B85" s="3">
        <v>942101</v>
      </c>
      <c r="C85" s="3" t="s">
        <v>83</v>
      </c>
      <c r="D85" s="4">
        <v>85665</v>
      </c>
    </row>
    <row r="86" spans="1:4" x14ac:dyDescent="0.2">
      <c r="A86">
        <v>2019</v>
      </c>
      <c r="B86" s="3">
        <v>948124</v>
      </c>
      <c r="C86" s="3" t="s">
        <v>84</v>
      </c>
      <c r="D86" s="4">
        <v>83665</v>
      </c>
    </row>
    <row r="87" spans="1:4" x14ac:dyDescent="0.2">
      <c r="A87">
        <v>2019</v>
      </c>
      <c r="B87" s="3">
        <v>909116</v>
      </c>
      <c r="C87" s="3" t="s">
        <v>85</v>
      </c>
      <c r="D87" s="4">
        <v>308744</v>
      </c>
    </row>
    <row r="88" spans="1:4" x14ac:dyDescent="0.2">
      <c r="A88">
        <v>2019</v>
      </c>
      <c r="B88" s="3">
        <v>953100</v>
      </c>
      <c r="C88" s="3" t="s">
        <v>86</v>
      </c>
      <c r="D88" s="4">
        <v>102237</v>
      </c>
    </row>
    <row r="89" spans="1:4" x14ac:dyDescent="0.2">
      <c r="A89">
        <v>2019</v>
      </c>
      <c r="B89" s="3">
        <v>944172</v>
      </c>
      <c r="C89" s="3" t="s">
        <v>87</v>
      </c>
      <c r="D89" s="4">
        <v>344872</v>
      </c>
    </row>
    <row r="90" spans="1:4" x14ac:dyDescent="0.2">
      <c r="A90">
        <v>2019</v>
      </c>
      <c r="B90" s="3">
        <v>947101</v>
      </c>
      <c r="C90" s="3" t="s">
        <v>88</v>
      </c>
      <c r="D90" s="4">
        <v>86616</v>
      </c>
    </row>
    <row r="91" spans="1:4" x14ac:dyDescent="0.2">
      <c r="A91">
        <v>2019</v>
      </c>
      <c r="B91" s="3">
        <v>945132</v>
      </c>
      <c r="C91" s="3" t="s">
        <v>89</v>
      </c>
      <c r="D91" s="4">
        <v>185836</v>
      </c>
    </row>
    <row r="92" spans="1:4" x14ac:dyDescent="0.2">
      <c r="A92">
        <v>2019</v>
      </c>
      <c r="B92" s="3">
        <v>943122</v>
      </c>
      <c r="C92" s="3" t="s">
        <v>90</v>
      </c>
      <c r="D92" s="4">
        <v>368928</v>
      </c>
    </row>
    <row r="93" spans="1:4" x14ac:dyDescent="0.2">
      <c r="A93">
        <v>2019</v>
      </c>
      <c r="B93" s="3">
        <v>961102</v>
      </c>
      <c r="C93" s="3" t="s">
        <v>91</v>
      </c>
      <c r="D93" s="4">
        <v>87289</v>
      </c>
    </row>
    <row r="94" spans="1:4" x14ac:dyDescent="0.2">
      <c r="A94">
        <v>2019</v>
      </c>
      <c r="B94" s="3">
        <v>946105</v>
      </c>
      <c r="C94" s="3" t="s">
        <v>92</v>
      </c>
      <c r="D94" s="4">
        <v>137276</v>
      </c>
    </row>
    <row r="95" spans="1:4" x14ac:dyDescent="0.2">
      <c r="A95">
        <v>2019</v>
      </c>
      <c r="B95" s="3">
        <v>920100</v>
      </c>
      <c r="C95" s="3" t="s">
        <v>93</v>
      </c>
      <c r="D95" s="4">
        <v>106737</v>
      </c>
    </row>
    <row r="96" spans="1:4" x14ac:dyDescent="0.2">
      <c r="A96">
        <v>2019</v>
      </c>
      <c r="B96" s="3">
        <v>920101</v>
      </c>
      <c r="C96" s="3" t="s">
        <v>94</v>
      </c>
      <c r="D96" s="4">
        <v>231621</v>
      </c>
    </row>
    <row r="97" spans="1:4" x14ac:dyDescent="0.2">
      <c r="A97">
        <v>2019</v>
      </c>
      <c r="B97" s="3">
        <v>949157</v>
      </c>
      <c r="C97" s="3" t="s">
        <v>95</v>
      </c>
      <c r="D97" s="4">
        <v>857315</v>
      </c>
    </row>
    <row r="98" spans="1:4" x14ac:dyDescent="0.2">
      <c r="A98">
        <v>2019</v>
      </c>
      <c r="B98" s="3">
        <v>937102</v>
      </c>
      <c r="C98" s="3" t="s">
        <v>96</v>
      </c>
      <c r="D98" s="4">
        <v>118878</v>
      </c>
    </row>
    <row r="99" spans="1:4" x14ac:dyDescent="0.2">
      <c r="A99">
        <v>2019</v>
      </c>
      <c r="B99" s="3">
        <v>917106</v>
      </c>
      <c r="C99" s="3" t="s">
        <v>97</v>
      </c>
      <c r="D99" s="4">
        <v>77125</v>
      </c>
    </row>
    <row r="100" spans="1:4" x14ac:dyDescent="0.2">
      <c r="A100">
        <v>2019</v>
      </c>
      <c r="B100" s="3">
        <v>929103</v>
      </c>
      <c r="C100" s="3" t="s">
        <v>98</v>
      </c>
      <c r="D100" s="4">
        <v>330358</v>
      </c>
    </row>
    <row r="101" spans="1:4" x14ac:dyDescent="0.2">
      <c r="A101">
        <v>2019</v>
      </c>
      <c r="B101" s="3">
        <v>933100</v>
      </c>
      <c r="C101" s="3" t="s">
        <v>99</v>
      </c>
      <c r="D101" s="4">
        <v>154843</v>
      </c>
    </row>
    <row r="102" spans="1:4" x14ac:dyDescent="0.2">
      <c r="A102">
        <v>2019</v>
      </c>
      <c r="B102" s="3">
        <v>908101</v>
      </c>
      <c r="C102" s="3" t="s">
        <v>100</v>
      </c>
      <c r="D102" s="4">
        <v>1004370</v>
      </c>
    </row>
    <row r="103" spans="1:4" x14ac:dyDescent="0.2">
      <c r="A103">
        <v>2019</v>
      </c>
      <c r="B103" s="3">
        <v>963101</v>
      </c>
      <c r="C103" s="3" t="s">
        <v>101</v>
      </c>
      <c r="D103" s="4">
        <v>215943</v>
      </c>
    </row>
    <row r="104" spans="1:4" x14ac:dyDescent="0.2">
      <c r="A104">
        <v>2019</v>
      </c>
      <c r="B104" s="3">
        <v>946103</v>
      </c>
      <c r="C104" s="3" t="s">
        <v>102</v>
      </c>
      <c r="D104" s="4">
        <v>92777</v>
      </c>
    </row>
    <row r="105" spans="1:4" x14ac:dyDescent="0.2">
      <c r="A105">
        <v>2019</v>
      </c>
      <c r="B105" s="3">
        <v>908100</v>
      </c>
      <c r="C105" s="3" t="s">
        <v>103</v>
      </c>
      <c r="D105" s="4">
        <v>91256</v>
      </c>
    </row>
    <row r="106" spans="1:4" x14ac:dyDescent="0.2">
      <c r="A106">
        <v>2019</v>
      </c>
      <c r="B106" s="3">
        <v>902104</v>
      </c>
      <c r="C106" s="3" t="s">
        <v>104</v>
      </c>
      <c r="D106" s="4">
        <v>69708</v>
      </c>
    </row>
    <row r="107" spans="1:4" x14ac:dyDescent="0.2">
      <c r="A107">
        <v>2019</v>
      </c>
      <c r="B107" s="3">
        <v>915104</v>
      </c>
      <c r="C107" s="3" t="s">
        <v>105</v>
      </c>
      <c r="D107" s="4">
        <v>115922</v>
      </c>
    </row>
    <row r="108" spans="1:4" x14ac:dyDescent="0.2">
      <c r="A108">
        <v>2019</v>
      </c>
      <c r="B108" s="3">
        <v>903100</v>
      </c>
      <c r="C108" s="3" t="s">
        <v>106</v>
      </c>
      <c r="D108" s="4">
        <v>37896</v>
      </c>
    </row>
    <row r="109" spans="1:4" x14ac:dyDescent="0.2">
      <c r="A109">
        <v>2019</v>
      </c>
      <c r="B109" s="3">
        <v>932137</v>
      </c>
      <c r="C109" s="3" t="s">
        <v>107</v>
      </c>
      <c r="D109" s="4">
        <v>149879</v>
      </c>
    </row>
    <row r="110" spans="1:4" x14ac:dyDescent="0.2">
      <c r="A110">
        <v>2019</v>
      </c>
      <c r="B110" s="3">
        <v>905130</v>
      </c>
      <c r="C110" s="3" t="s">
        <v>108</v>
      </c>
      <c r="D110" s="4">
        <v>46805</v>
      </c>
    </row>
    <row r="111" spans="1:4" x14ac:dyDescent="0.2">
      <c r="A111">
        <v>2019</v>
      </c>
      <c r="B111" s="3">
        <v>953173</v>
      </c>
      <c r="C111" s="3" t="s">
        <v>109</v>
      </c>
      <c r="D111" s="4">
        <v>78140</v>
      </c>
    </row>
    <row r="112" spans="1:4" x14ac:dyDescent="0.2">
      <c r="A112">
        <v>2019</v>
      </c>
      <c r="B112" s="3">
        <v>957116</v>
      </c>
      <c r="C112" s="3" t="s">
        <v>110</v>
      </c>
      <c r="D112" s="4">
        <v>93851</v>
      </c>
    </row>
    <row r="113" spans="1:4" x14ac:dyDescent="0.2">
      <c r="A113">
        <v>2019</v>
      </c>
      <c r="B113" s="3">
        <v>963102</v>
      </c>
      <c r="C113" s="3" t="s">
        <v>111</v>
      </c>
      <c r="D113" s="4">
        <v>35887</v>
      </c>
    </row>
    <row r="114" spans="1:4" x14ac:dyDescent="0.2">
      <c r="A114">
        <v>2019</v>
      </c>
      <c r="B114" s="3">
        <v>927100</v>
      </c>
      <c r="C114" s="3" t="s">
        <v>112</v>
      </c>
      <c r="D114" s="4">
        <v>67083</v>
      </c>
    </row>
    <row r="115" spans="1:4" x14ac:dyDescent="0.2">
      <c r="A115">
        <v>2019</v>
      </c>
      <c r="B115" s="3">
        <v>943104</v>
      </c>
      <c r="C115" s="3" t="s">
        <v>113</v>
      </c>
      <c r="D115" s="4">
        <v>72822</v>
      </c>
    </row>
    <row r="116" spans="1:4" x14ac:dyDescent="0.2">
      <c r="A116">
        <v>2019</v>
      </c>
      <c r="B116" s="3">
        <v>961100</v>
      </c>
      <c r="C116" s="3" t="s">
        <v>114</v>
      </c>
      <c r="D116" s="4">
        <v>149132</v>
      </c>
    </row>
    <row r="117" spans="1:4" x14ac:dyDescent="0.2">
      <c r="A117">
        <v>2019</v>
      </c>
      <c r="B117" s="3">
        <v>937104</v>
      </c>
      <c r="C117" s="3" t="s">
        <v>115</v>
      </c>
      <c r="D117" s="4">
        <v>178559</v>
      </c>
    </row>
    <row r="118" spans="1:4" x14ac:dyDescent="0.2">
      <c r="A118">
        <v>2019</v>
      </c>
      <c r="B118" s="3">
        <v>936100</v>
      </c>
      <c r="C118" s="3" t="s">
        <v>116</v>
      </c>
      <c r="D118" s="4">
        <v>891512</v>
      </c>
    </row>
    <row r="119" spans="1:4" x14ac:dyDescent="0.2">
      <c r="A119">
        <v>2019</v>
      </c>
      <c r="B119" s="3">
        <v>910103</v>
      </c>
      <c r="C119" s="3" t="s">
        <v>117</v>
      </c>
      <c r="D119" s="4">
        <v>100416</v>
      </c>
    </row>
    <row r="120" spans="1:4" x14ac:dyDescent="0.2">
      <c r="A120">
        <v>2019</v>
      </c>
      <c r="B120" s="3">
        <v>917105</v>
      </c>
      <c r="C120" s="3" t="s">
        <v>172</v>
      </c>
      <c r="D120" s="4">
        <v>176779</v>
      </c>
    </row>
    <row r="121" spans="1:4" x14ac:dyDescent="0.2">
      <c r="A121">
        <v>2019</v>
      </c>
      <c r="B121" s="3">
        <v>943100</v>
      </c>
      <c r="C121" s="3" t="s">
        <v>119</v>
      </c>
      <c r="D121" s="4">
        <v>13127</v>
      </c>
    </row>
    <row r="122" spans="1:4" x14ac:dyDescent="0.2">
      <c r="A122">
        <v>2019</v>
      </c>
      <c r="B122" s="3">
        <v>902101</v>
      </c>
      <c r="C122" s="3" t="s">
        <v>120</v>
      </c>
      <c r="D122" s="4">
        <v>5072558</v>
      </c>
    </row>
    <row r="123" spans="1:4" x14ac:dyDescent="0.2">
      <c r="A123">
        <v>2019</v>
      </c>
      <c r="B123" s="3">
        <v>957100</v>
      </c>
      <c r="C123" s="3" t="s">
        <v>121</v>
      </c>
      <c r="D123" s="4">
        <v>218887</v>
      </c>
    </row>
    <row r="124" spans="1:4" x14ac:dyDescent="0.2">
      <c r="A124">
        <v>2019</v>
      </c>
      <c r="B124" s="3">
        <v>955167</v>
      </c>
      <c r="C124" s="3" t="s">
        <v>122</v>
      </c>
      <c r="D124" s="4">
        <v>93812</v>
      </c>
    </row>
    <row r="125" spans="1:4" x14ac:dyDescent="0.2">
      <c r="A125">
        <v>2019</v>
      </c>
      <c r="B125" s="3">
        <v>943121</v>
      </c>
      <c r="C125" s="3" t="s">
        <v>123</v>
      </c>
      <c r="D125" s="4">
        <v>74380</v>
      </c>
    </row>
    <row r="126" spans="1:4" x14ac:dyDescent="0.2">
      <c r="A126">
        <v>2019</v>
      </c>
      <c r="B126" s="3">
        <v>956114</v>
      </c>
      <c r="C126" s="3" t="s">
        <v>124</v>
      </c>
      <c r="D126" s="4">
        <v>84258</v>
      </c>
    </row>
    <row r="127" spans="1:4" x14ac:dyDescent="0.2">
      <c r="A127">
        <v>2019</v>
      </c>
      <c r="B127" s="3">
        <v>912102</v>
      </c>
      <c r="C127" s="3" t="s">
        <v>125</v>
      </c>
      <c r="D127" s="4">
        <v>74430</v>
      </c>
    </row>
    <row r="128" spans="1:4" x14ac:dyDescent="0.2">
      <c r="A128">
        <v>2019</v>
      </c>
      <c r="B128" s="3">
        <v>963112</v>
      </c>
      <c r="C128" s="3" t="s">
        <v>126</v>
      </c>
      <c r="D128" s="4">
        <v>76681</v>
      </c>
    </row>
    <row r="129" spans="1:4" x14ac:dyDescent="0.2">
      <c r="A129">
        <v>2019</v>
      </c>
      <c r="B129" s="3">
        <v>927200</v>
      </c>
      <c r="C129" s="3" t="s">
        <v>127</v>
      </c>
      <c r="D129" s="4">
        <v>495267</v>
      </c>
    </row>
    <row r="130" spans="1:4" x14ac:dyDescent="0.2">
      <c r="A130">
        <v>2019</v>
      </c>
      <c r="B130" s="3">
        <v>901111</v>
      </c>
      <c r="C130" s="3" t="s">
        <v>128</v>
      </c>
      <c r="D130" s="4">
        <v>9195686</v>
      </c>
    </row>
    <row r="131" spans="1:4" x14ac:dyDescent="0.2">
      <c r="A131">
        <v>2019</v>
      </c>
      <c r="B131" s="3">
        <v>906105</v>
      </c>
      <c r="C131" s="3" t="s">
        <v>129</v>
      </c>
      <c r="D131" s="4">
        <v>182469</v>
      </c>
    </row>
    <row r="132" spans="1:4" x14ac:dyDescent="0.2">
      <c r="A132">
        <v>2019</v>
      </c>
      <c r="B132" s="3">
        <v>955108</v>
      </c>
      <c r="C132" s="3" t="s">
        <v>130</v>
      </c>
      <c r="D132" s="4">
        <v>379662</v>
      </c>
    </row>
    <row r="133" spans="1:4" x14ac:dyDescent="0.2">
      <c r="A133">
        <v>2019</v>
      </c>
      <c r="B133" s="3">
        <v>920102</v>
      </c>
      <c r="C133" s="3" t="s">
        <v>131</v>
      </c>
      <c r="D133" s="4">
        <v>138478</v>
      </c>
    </row>
    <row r="134" spans="1:4" x14ac:dyDescent="0.2">
      <c r="A134">
        <v>2019</v>
      </c>
      <c r="B134" s="3">
        <v>912104</v>
      </c>
      <c r="C134" s="3" t="s">
        <v>132</v>
      </c>
      <c r="D134" s="4">
        <v>55736</v>
      </c>
    </row>
    <row r="135" spans="1:4" x14ac:dyDescent="0.2">
      <c r="A135">
        <v>2019</v>
      </c>
      <c r="B135" s="3">
        <v>930103</v>
      </c>
      <c r="C135" s="3" t="s">
        <v>133</v>
      </c>
      <c r="D135" s="4">
        <v>44005</v>
      </c>
    </row>
    <row r="136" spans="1:4" x14ac:dyDescent="0.2">
      <c r="A136">
        <v>2019</v>
      </c>
      <c r="B136" s="3">
        <v>962104</v>
      </c>
      <c r="C136" s="3" t="s">
        <v>134</v>
      </c>
      <c r="D136" s="4">
        <v>68737</v>
      </c>
    </row>
    <row r="137" spans="1:4" x14ac:dyDescent="0.2">
      <c r="A137">
        <v>2019</v>
      </c>
      <c r="B137" s="3">
        <v>909101</v>
      </c>
      <c r="C137" s="3" t="s">
        <v>135</v>
      </c>
      <c r="D137" s="4">
        <v>684724</v>
      </c>
    </row>
    <row r="138" spans="1:4" x14ac:dyDescent="0.2">
      <c r="A138">
        <v>2019</v>
      </c>
      <c r="B138" s="3">
        <v>958100</v>
      </c>
      <c r="C138" s="3" t="s">
        <v>136</v>
      </c>
      <c r="D138" s="4">
        <v>169431</v>
      </c>
    </row>
    <row r="139" spans="1:4" x14ac:dyDescent="0.2">
      <c r="A139">
        <v>2019</v>
      </c>
      <c r="B139" s="3">
        <v>955104</v>
      </c>
      <c r="C139" s="3" t="s">
        <v>137</v>
      </c>
      <c r="D139" s="4">
        <v>69627</v>
      </c>
    </row>
    <row r="140" spans="1:4" x14ac:dyDescent="0.2">
      <c r="A140">
        <v>2019</v>
      </c>
      <c r="B140" s="3">
        <v>944102</v>
      </c>
      <c r="C140" s="3" t="s">
        <v>138</v>
      </c>
      <c r="D140" s="4">
        <v>535567</v>
      </c>
    </row>
    <row r="141" spans="1:4" x14ac:dyDescent="0.2">
      <c r="A141">
        <v>2019</v>
      </c>
      <c r="B141" s="3">
        <v>950102</v>
      </c>
      <c r="C141" s="3" t="s">
        <v>139</v>
      </c>
      <c r="D141" s="4">
        <v>22777</v>
      </c>
    </row>
    <row r="142" spans="1:4" x14ac:dyDescent="0.2">
      <c r="A142">
        <v>2019</v>
      </c>
      <c r="B142" s="3">
        <v>924101</v>
      </c>
      <c r="C142" s="3" t="s">
        <v>140</v>
      </c>
      <c r="D142" s="4">
        <v>173240</v>
      </c>
    </row>
    <row r="143" spans="1:4" x14ac:dyDescent="0.2">
      <c r="A143">
        <v>2019</v>
      </c>
      <c r="B143" s="3">
        <v>960200</v>
      </c>
      <c r="C143" s="3" t="s">
        <v>141</v>
      </c>
      <c r="D143" s="4">
        <v>945603</v>
      </c>
    </row>
    <row r="144" spans="1:4" x14ac:dyDescent="0.2">
      <c r="A144">
        <v>2019</v>
      </c>
      <c r="B144" s="3">
        <v>901105</v>
      </c>
      <c r="C144" s="3" t="s">
        <v>142</v>
      </c>
      <c r="D144" s="4">
        <v>283907</v>
      </c>
    </row>
    <row r="145" spans="1:4" x14ac:dyDescent="0.2">
      <c r="A145">
        <v>2019</v>
      </c>
      <c r="B145" s="3">
        <v>937100</v>
      </c>
      <c r="C145" s="3" t="s">
        <v>143</v>
      </c>
      <c r="D145" s="4">
        <v>77594</v>
      </c>
    </row>
    <row r="146" spans="1:4" x14ac:dyDescent="0.2">
      <c r="A146">
        <v>2019</v>
      </c>
      <c r="B146" s="3">
        <v>919100</v>
      </c>
      <c r="C146" s="3" t="s">
        <v>144</v>
      </c>
      <c r="D146" s="4">
        <v>374619</v>
      </c>
    </row>
    <row r="147" spans="1:4" x14ac:dyDescent="0.2">
      <c r="A147">
        <v>2019</v>
      </c>
      <c r="B147" s="3">
        <v>961104</v>
      </c>
      <c r="C147" s="3" t="s">
        <v>145</v>
      </c>
      <c r="D147" s="4">
        <v>111017</v>
      </c>
    </row>
    <row r="148" spans="1:4" x14ac:dyDescent="0.2">
      <c r="A148">
        <v>2019</v>
      </c>
      <c r="B148" s="3">
        <v>917103</v>
      </c>
      <c r="C148" s="3" t="s">
        <v>146</v>
      </c>
      <c r="D148" s="4">
        <v>395652</v>
      </c>
    </row>
    <row r="149" spans="1:4" x14ac:dyDescent="0.2">
      <c r="A149">
        <v>2019</v>
      </c>
      <c r="B149" s="3">
        <v>902107</v>
      </c>
      <c r="C149" s="3" t="s">
        <v>147</v>
      </c>
      <c r="D149" s="4">
        <v>104965</v>
      </c>
    </row>
    <row r="150" spans="1:4" x14ac:dyDescent="0.2">
      <c r="A150">
        <v>2019</v>
      </c>
      <c r="B150" s="3">
        <v>903141</v>
      </c>
      <c r="C150" s="3" t="s">
        <v>148</v>
      </c>
      <c r="D150" s="4">
        <v>96693</v>
      </c>
    </row>
    <row r="151" spans="1:4" x14ac:dyDescent="0.2">
      <c r="A151">
        <v>2019</v>
      </c>
      <c r="B151" s="3">
        <v>905104</v>
      </c>
      <c r="C151" s="3" t="s">
        <v>149</v>
      </c>
      <c r="D151" s="4">
        <v>1934350</v>
      </c>
    </row>
    <row r="152" spans="1:4" x14ac:dyDescent="0.2">
      <c r="A152">
        <v>2019</v>
      </c>
      <c r="B152" s="3">
        <v>922105</v>
      </c>
      <c r="C152" s="3" t="s">
        <v>150</v>
      </c>
      <c r="D152" s="4">
        <v>80892</v>
      </c>
    </row>
    <row r="153" spans="1:4" x14ac:dyDescent="0.2">
      <c r="A153">
        <v>2019</v>
      </c>
      <c r="B153" s="3">
        <v>905100</v>
      </c>
      <c r="C153" s="3" t="s">
        <v>151</v>
      </c>
      <c r="D153" s="4">
        <v>72380</v>
      </c>
    </row>
    <row r="154" spans="1:4" x14ac:dyDescent="0.2">
      <c r="A154">
        <v>2019</v>
      </c>
      <c r="B154" s="3">
        <v>922107</v>
      </c>
      <c r="C154" s="3" t="s">
        <v>152</v>
      </c>
      <c r="D154" s="4">
        <v>161627</v>
      </c>
    </row>
    <row r="155" spans="1:4" x14ac:dyDescent="0.2">
      <c r="A155">
        <v>2019</v>
      </c>
      <c r="B155" s="3">
        <v>940102</v>
      </c>
      <c r="C155" s="3" t="s">
        <v>153</v>
      </c>
      <c r="D155" s="4">
        <v>113632</v>
      </c>
    </row>
    <row r="156" spans="1:4" x14ac:dyDescent="0.2">
      <c r="A156">
        <v>2019</v>
      </c>
      <c r="B156" s="3">
        <v>901157</v>
      </c>
      <c r="C156" s="3" t="s">
        <v>154</v>
      </c>
      <c r="D156" s="4">
        <v>448379</v>
      </c>
    </row>
    <row r="157" spans="1:4" x14ac:dyDescent="0.2">
      <c r="A157">
        <v>2019</v>
      </c>
      <c r="B157" s="3">
        <v>910105</v>
      </c>
      <c r="C157" s="3" t="s">
        <v>156</v>
      </c>
      <c r="D157" s="4">
        <v>57219</v>
      </c>
    </row>
    <row r="158" spans="1:4" x14ac:dyDescent="0.2">
      <c r="A158">
        <v>2019</v>
      </c>
      <c r="B158" s="3">
        <v>950101</v>
      </c>
      <c r="C158" s="3" t="s">
        <v>157</v>
      </c>
      <c r="D158" s="4">
        <v>202101</v>
      </c>
    </row>
    <row r="159" spans="1:4" x14ac:dyDescent="0.2">
      <c r="A159">
        <v>2019</v>
      </c>
      <c r="B159" s="3">
        <v>918101</v>
      </c>
      <c r="C159" s="3" t="s">
        <v>158</v>
      </c>
      <c r="D159" s="4">
        <v>84194</v>
      </c>
    </row>
    <row r="160" spans="1:4" x14ac:dyDescent="0.2">
      <c r="A160">
        <v>2019</v>
      </c>
      <c r="B160" s="3">
        <v>955102</v>
      </c>
      <c r="C160" s="3" t="s">
        <v>159</v>
      </c>
      <c r="D160" s="4">
        <v>84893</v>
      </c>
    </row>
    <row r="161" spans="1:4" x14ac:dyDescent="0.2">
      <c r="A161">
        <v>2019</v>
      </c>
      <c r="B161" s="3">
        <v>960102</v>
      </c>
      <c r="C161" s="3" t="s">
        <v>160</v>
      </c>
      <c r="D161" s="4">
        <v>236883</v>
      </c>
    </row>
    <row r="162" spans="1:4" x14ac:dyDescent="0.2">
      <c r="A162">
        <v>2019</v>
      </c>
      <c r="B162" s="3">
        <v>904105</v>
      </c>
      <c r="C162" s="3" t="s">
        <v>161</v>
      </c>
      <c r="D162" s="4">
        <v>127061</v>
      </c>
    </row>
    <row r="163" spans="1:4" x14ac:dyDescent="0.2">
      <c r="A163">
        <v>2019</v>
      </c>
      <c r="B163" s="3">
        <v>956100</v>
      </c>
      <c r="C163" s="3" t="s">
        <v>162</v>
      </c>
      <c r="D163" s="4">
        <v>81408</v>
      </c>
    </row>
    <row r="164" spans="1:4" x14ac:dyDescent="0.2">
      <c r="A164">
        <v>2019</v>
      </c>
      <c r="B164" s="3">
        <v>907100</v>
      </c>
      <c r="C164" s="3" t="s">
        <v>163</v>
      </c>
      <c r="D164" s="4">
        <v>905090</v>
      </c>
    </row>
    <row r="165" spans="1:4" x14ac:dyDescent="0.2">
      <c r="A165">
        <v>2019</v>
      </c>
      <c r="B165" s="3" t="s">
        <v>165</v>
      </c>
      <c r="C165" s="3" t="s">
        <v>164</v>
      </c>
      <c r="D165" s="4">
        <v>26447455</v>
      </c>
    </row>
    <row r="166" spans="1:4" x14ac:dyDescent="0.2">
      <c r="A166">
        <v>2019</v>
      </c>
      <c r="B166" s="3">
        <v>909102</v>
      </c>
      <c r="C166" s="3" t="s">
        <v>169</v>
      </c>
      <c r="D166" s="4">
        <v>802281</v>
      </c>
    </row>
    <row r="167" spans="1:4" x14ac:dyDescent="0.2">
      <c r="A167">
        <v>2019</v>
      </c>
      <c r="B167" s="3">
        <v>903501</v>
      </c>
      <c r="C167" s="3" t="s">
        <v>170</v>
      </c>
      <c r="D167" s="4">
        <v>133451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0BE7-2057-2D40-9186-BB788F3897E0}">
  <sheetPr>
    <tabColor rgb="FFFFFF00"/>
  </sheetPr>
  <dimension ref="A1:E167"/>
  <sheetViews>
    <sheetView workbookViewId="0">
      <selection activeCell="A2" sqref="A2:D167"/>
    </sheetView>
  </sheetViews>
  <sheetFormatPr baseColWidth="10" defaultRowHeight="16" x14ac:dyDescent="0.2"/>
  <cols>
    <col min="2" max="2" width="15.6640625" style="3" bestFit="1" customWidth="1"/>
    <col min="3" max="3" width="40.5" style="3" bestFit="1" customWidth="1"/>
    <col min="4" max="4" width="20.5" style="3" bestFit="1" customWidth="1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2018</v>
      </c>
      <c r="B2" s="3">
        <v>903103</v>
      </c>
      <c r="C2" s="3" t="s">
        <v>0</v>
      </c>
      <c r="D2" s="4">
        <v>1461795</v>
      </c>
    </row>
    <row r="3" spans="1:4" x14ac:dyDescent="0.2">
      <c r="A3">
        <v>2018</v>
      </c>
      <c r="B3" s="3">
        <v>959126</v>
      </c>
      <c r="C3" s="3" t="s">
        <v>173</v>
      </c>
      <c r="D3" s="4">
        <v>119518</v>
      </c>
    </row>
    <row r="4" spans="1:4" x14ac:dyDescent="0.2">
      <c r="A4">
        <v>2018</v>
      </c>
      <c r="B4" s="3">
        <v>962102</v>
      </c>
      <c r="C4" s="3" t="s">
        <v>174</v>
      </c>
      <c r="D4" s="4">
        <v>130997</v>
      </c>
    </row>
    <row r="5" spans="1:4" x14ac:dyDescent="0.2">
      <c r="A5">
        <v>2018</v>
      </c>
      <c r="B5" s="3">
        <v>917102</v>
      </c>
      <c r="C5" s="3" t="s">
        <v>3</v>
      </c>
      <c r="D5" s="4">
        <v>171504</v>
      </c>
    </row>
    <row r="6" spans="1:4" x14ac:dyDescent="0.2">
      <c r="A6">
        <v>2018</v>
      </c>
      <c r="B6" s="3">
        <v>942100</v>
      </c>
      <c r="C6" s="3" t="s">
        <v>4</v>
      </c>
      <c r="D6" s="4">
        <v>106401</v>
      </c>
    </row>
    <row r="7" spans="1:4" x14ac:dyDescent="0.2">
      <c r="A7">
        <v>2018</v>
      </c>
      <c r="B7" s="3">
        <v>925101</v>
      </c>
      <c r="C7" s="3" t="s">
        <v>5</v>
      </c>
      <c r="D7" s="4">
        <v>76069</v>
      </c>
    </row>
    <row r="8" spans="1:4" x14ac:dyDescent="0.2">
      <c r="A8">
        <v>2018</v>
      </c>
      <c r="B8" s="3">
        <v>912103</v>
      </c>
      <c r="C8" s="3" t="s">
        <v>6</v>
      </c>
      <c r="D8" s="4">
        <v>87194</v>
      </c>
    </row>
    <row r="9" spans="1:4" x14ac:dyDescent="0.2">
      <c r="A9">
        <v>2018</v>
      </c>
      <c r="B9" s="3">
        <v>901106</v>
      </c>
      <c r="C9" s="3" t="s">
        <v>7</v>
      </c>
      <c r="D9" s="4">
        <v>162051</v>
      </c>
    </row>
    <row r="10" spans="1:4" x14ac:dyDescent="0.2">
      <c r="A10">
        <v>2018</v>
      </c>
      <c r="B10" s="3">
        <v>915100</v>
      </c>
      <c r="C10" s="3" t="s">
        <v>8</v>
      </c>
      <c r="D10" s="4">
        <v>382714</v>
      </c>
    </row>
    <row r="11" spans="1:4" x14ac:dyDescent="0.2">
      <c r="A11">
        <v>2018</v>
      </c>
      <c r="B11" s="3">
        <v>911109</v>
      </c>
      <c r="C11" s="3" t="s">
        <v>9</v>
      </c>
      <c r="D11" s="4">
        <v>202069</v>
      </c>
    </row>
    <row r="12" spans="1:4" x14ac:dyDescent="0.2">
      <c r="A12">
        <v>2018</v>
      </c>
      <c r="B12" s="3">
        <v>962150</v>
      </c>
      <c r="C12" s="3" t="s">
        <v>10</v>
      </c>
      <c r="D12" s="4">
        <v>206920</v>
      </c>
    </row>
    <row r="13" spans="1:4" x14ac:dyDescent="0.2">
      <c r="A13">
        <v>2018</v>
      </c>
      <c r="B13" s="3">
        <v>929144</v>
      </c>
      <c r="C13" s="3" t="s">
        <v>11</v>
      </c>
      <c r="D13" s="4">
        <v>53782</v>
      </c>
    </row>
    <row r="14" spans="1:4" x14ac:dyDescent="0.2">
      <c r="A14">
        <v>2018</v>
      </c>
      <c r="B14" s="3">
        <v>953171</v>
      </c>
      <c r="C14" s="3" t="s">
        <v>12</v>
      </c>
      <c r="D14" s="4">
        <v>80327</v>
      </c>
    </row>
    <row r="15" spans="1:4" x14ac:dyDescent="0.2">
      <c r="A15">
        <v>2018</v>
      </c>
      <c r="B15" s="3">
        <v>912172</v>
      </c>
      <c r="C15" s="3" t="s">
        <v>13</v>
      </c>
      <c r="D15" s="4">
        <v>184275</v>
      </c>
    </row>
    <row r="16" spans="1:4" x14ac:dyDescent="0.2">
      <c r="A16">
        <v>2018</v>
      </c>
      <c r="B16" s="3">
        <v>926124</v>
      </c>
      <c r="C16" s="3" t="s">
        <v>14</v>
      </c>
      <c r="D16" s="4">
        <v>54313</v>
      </c>
    </row>
    <row r="17" spans="1:4" x14ac:dyDescent="0.2">
      <c r="A17">
        <v>2018</v>
      </c>
      <c r="B17" s="3">
        <v>901154</v>
      </c>
      <c r="C17" s="3" t="s">
        <v>15</v>
      </c>
      <c r="D17" s="4">
        <v>1154095</v>
      </c>
    </row>
    <row r="18" spans="1:4" x14ac:dyDescent="0.2">
      <c r="A18">
        <v>2018</v>
      </c>
      <c r="B18" s="3">
        <v>946129</v>
      </c>
      <c r="C18" s="3" t="s">
        <v>175</v>
      </c>
      <c r="D18" s="4">
        <v>122948</v>
      </c>
    </row>
    <row r="19" spans="1:4" x14ac:dyDescent="0.2">
      <c r="A19">
        <v>2018</v>
      </c>
      <c r="B19" s="3">
        <v>948100</v>
      </c>
      <c r="C19" s="3" t="s">
        <v>176</v>
      </c>
      <c r="D19" s="4">
        <v>147768</v>
      </c>
    </row>
    <row r="20" spans="1:4" x14ac:dyDescent="0.2">
      <c r="A20">
        <v>2018</v>
      </c>
      <c r="B20" s="3">
        <v>906102</v>
      </c>
      <c r="C20" s="3" t="s">
        <v>18</v>
      </c>
      <c r="D20" s="4">
        <v>1063772</v>
      </c>
    </row>
    <row r="21" spans="1:4" x14ac:dyDescent="0.2">
      <c r="A21">
        <v>2018</v>
      </c>
      <c r="B21" s="3">
        <v>930100</v>
      </c>
      <c r="C21" s="3" t="s">
        <v>19</v>
      </c>
      <c r="D21" s="4">
        <v>91137</v>
      </c>
    </row>
    <row r="22" spans="1:4" x14ac:dyDescent="0.2">
      <c r="A22">
        <v>2018</v>
      </c>
      <c r="B22" s="3">
        <v>946102</v>
      </c>
      <c r="C22" s="3" t="s">
        <v>20</v>
      </c>
      <c r="D22" s="4">
        <v>94798</v>
      </c>
    </row>
    <row r="23" spans="1:4" x14ac:dyDescent="0.2">
      <c r="A23">
        <v>2018</v>
      </c>
      <c r="B23" s="3">
        <v>944101</v>
      </c>
      <c r="C23" s="3" t="s">
        <v>21</v>
      </c>
      <c r="D23" s="4">
        <v>255256</v>
      </c>
    </row>
    <row r="24" spans="1:4" x14ac:dyDescent="0.2">
      <c r="A24">
        <v>2018</v>
      </c>
      <c r="B24" s="3">
        <v>932101</v>
      </c>
      <c r="C24" s="3" t="s">
        <v>22</v>
      </c>
      <c r="D24" s="4">
        <v>89849</v>
      </c>
    </row>
    <row r="25" spans="1:4" x14ac:dyDescent="0.2">
      <c r="A25">
        <v>2018</v>
      </c>
      <c r="B25" s="3">
        <v>961101</v>
      </c>
      <c r="C25" s="3" t="s">
        <v>23</v>
      </c>
      <c r="D25" s="4">
        <v>89698</v>
      </c>
    </row>
    <row r="26" spans="1:4" x14ac:dyDescent="0.2">
      <c r="A26">
        <v>2018</v>
      </c>
      <c r="B26" s="3">
        <v>913100</v>
      </c>
      <c r="C26" s="3" t="s">
        <v>24</v>
      </c>
      <c r="D26" s="4">
        <v>361692</v>
      </c>
    </row>
    <row r="27" spans="1:4" x14ac:dyDescent="0.2">
      <c r="A27">
        <v>2018</v>
      </c>
      <c r="B27" s="3">
        <v>943123</v>
      </c>
      <c r="C27" s="3" t="s">
        <v>25</v>
      </c>
      <c r="D27" s="4">
        <v>175640</v>
      </c>
    </row>
    <row r="28" spans="1:4" x14ac:dyDescent="0.2">
      <c r="A28">
        <v>2018</v>
      </c>
      <c r="B28" s="3">
        <v>901162</v>
      </c>
      <c r="C28" s="3" t="s">
        <v>26</v>
      </c>
      <c r="D28" s="4">
        <v>66853</v>
      </c>
    </row>
    <row r="29" spans="1:4" x14ac:dyDescent="0.2">
      <c r="A29">
        <v>2018</v>
      </c>
      <c r="B29" s="3">
        <v>918123</v>
      </c>
      <c r="C29" s="3" t="s">
        <v>27</v>
      </c>
      <c r="D29" s="4">
        <v>134745</v>
      </c>
    </row>
    <row r="30" spans="1:4" x14ac:dyDescent="0.2">
      <c r="A30">
        <v>2018</v>
      </c>
      <c r="B30" s="3">
        <v>952103</v>
      </c>
      <c r="C30" s="3" t="s">
        <v>177</v>
      </c>
      <c r="D30" s="4">
        <v>89558</v>
      </c>
    </row>
    <row r="31" spans="1:4" x14ac:dyDescent="0.2">
      <c r="A31">
        <v>2018</v>
      </c>
      <c r="B31" s="3">
        <v>960103</v>
      </c>
      <c r="C31" s="3" t="s">
        <v>29</v>
      </c>
      <c r="D31" s="4">
        <v>80857</v>
      </c>
    </row>
    <row r="32" spans="1:4" x14ac:dyDescent="0.2">
      <c r="A32">
        <v>2018</v>
      </c>
      <c r="B32" s="3">
        <v>917106</v>
      </c>
      <c r="C32" s="3" t="s">
        <v>97</v>
      </c>
      <c r="D32" s="4">
        <v>70750</v>
      </c>
    </row>
    <row r="33" spans="1:4" x14ac:dyDescent="0.2">
      <c r="A33">
        <v>2018</v>
      </c>
      <c r="B33" s="3">
        <v>961103</v>
      </c>
      <c r="C33" s="3" t="s">
        <v>30</v>
      </c>
      <c r="D33" s="4">
        <v>52209</v>
      </c>
    </row>
    <row r="34" spans="1:4" x14ac:dyDescent="0.2">
      <c r="A34">
        <v>2018</v>
      </c>
      <c r="B34" s="3">
        <v>925102</v>
      </c>
      <c r="C34" s="3" t="s">
        <v>178</v>
      </c>
      <c r="D34" s="4">
        <v>99214</v>
      </c>
    </row>
    <row r="35" spans="1:4" x14ac:dyDescent="0.2">
      <c r="A35">
        <v>2018</v>
      </c>
      <c r="B35" s="3">
        <v>921104</v>
      </c>
      <c r="C35" s="3" t="s">
        <v>32</v>
      </c>
      <c r="D35" s="4">
        <v>300031</v>
      </c>
    </row>
    <row r="36" spans="1:4" x14ac:dyDescent="0.2">
      <c r="A36">
        <v>2018</v>
      </c>
      <c r="B36" s="3">
        <v>962100</v>
      </c>
      <c r="C36" s="3" t="s">
        <v>33</v>
      </c>
      <c r="D36" s="4">
        <v>408975</v>
      </c>
    </row>
    <row r="37" spans="1:4" x14ac:dyDescent="0.2">
      <c r="A37">
        <v>2018</v>
      </c>
      <c r="B37" s="3">
        <v>901110</v>
      </c>
      <c r="C37" s="3" t="s">
        <v>34</v>
      </c>
      <c r="D37" s="4">
        <v>284455</v>
      </c>
    </row>
    <row r="38" spans="1:4" x14ac:dyDescent="0.2">
      <c r="A38">
        <v>2018</v>
      </c>
      <c r="B38" s="3">
        <v>942103</v>
      </c>
      <c r="C38" s="3" t="s">
        <v>35</v>
      </c>
      <c r="D38" s="4">
        <v>114626</v>
      </c>
    </row>
    <row r="39" spans="1:4" x14ac:dyDescent="0.2">
      <c r="A39">
        <v>2018</v>
      </c>
      <c r="B39" s="3">
        <v>906174</v>
      </c>
      <c r="C39" s="3" t="s">
        <v>36</v>
      </c>
      <c r="D39" s="4">
        <v>142529</v>
      </c>
    </row>
    <row r="40" spans="1:4" x14ac:dyDescent="0.2">
      <c r="A40">
        <v>2018</v>
      </c>
      <c r="B40" s="3">
        <v>923148</v>
      </c>
      <c r="C40" s="3" t="s">
        <v>37</v>
      </c>
      <c r="D40" s="4">
        <v>154493</v>
      </c>
    </row>
    <row r="41" spans="1:4" x14ac:dyDescent="0.2">
      <c r="A41">
        <v>2018</v>
      </c>
      <c r="B41" s="3">
        <v>957102</v>
      </c>
      <c r="C41" s="3" t="s">
        <v>38</v>
      </c>
      <c r="D41" s="4">
        <v>78155</v>
      </c>
    </row>
    <row r="42" spans="1:4" x14ac:dyDescent="0.2">
      <c r="A42">
        <v>2018</v>
      </c>
      <c r="B42" s="3">
        <v>902108</v>
      </c>
      <c r="C42" s="3" t="s">
        <v>39</v>
      </c>
      <c r="D42" s="4">
        <v>1024035</v>
      </c>
    </row>
    <row r="43" spans="1:4" x14ac:dyDescent="0.2">
      <c r="A43">
        <v>2018</v>
      </c>
      <c r="B43" s="3">
        <v>964107</v>
      </c>
      <c r="C43" s="3" t="s">
        <v>40</v>
      </c>
      <c r="D43" s="4">
        <v>190526</v>
      </c>
    </row>
    <row r="44" spans="1:4" x14ac:dyDescent="0.2">
      <c r="A44">
        <v>2018</v>
      </c>
      <c r="B44" s="3">
        <v>924102</v>
      </c>
      <c r="C44" s="3" t="s">
        <v>41</v>
      </c>
      <c r="D44" s="4">
        <v>252961</v>
      </c>
    </row>
    <row r="45" spans="1:4" x14ac:dyDescent="0.2">
      <c r="A45">
        <v>2018</v>
      </c>
      <c r="B45" s="3">
        <v>901100</v>
      </c>
      <c r="C45" s="3" t="s">
        <v>42</v>
      </c>
      <c r="D45" s="4">
        <v>116011</v>
      </c>
    </row>
    <row r="46" spans="1:4" x14ac:dyDescent="0.2">
      <c r="A46">
        <v>2018</v>
      </c>
      <c r="B46" s="3">
        <v>927111</v>
      </c>
      <c r="C46" s="3" t="s">
        <v>43</v>
      </c>
      <c r="D46" s="4">
        <v>73735</v>
      </c>
    </row>
    <row r="47" spans="1:4" x14ac:dyDescent="0.2">
      <c r="A47">
        <v>2018</v>
      </c>
      <c r="B47" s="3">
        <v>926121</v>
      </c>
      <c r="C47" s="3" t="s">
        <v>44</v>
      </c>
      <c r="D47" s="4">
        <v>60941</v>
      </c>
    </row>
    <row r="48" spans="1:4" x14ac:dyDescent="0.2">
      <c r="A48">
        <v>2018</v>
      </c>
      <c r="B48" s="3">
        <v>927102</v>
      </c>
      <c r="C48" s="3" t="s">
        <v>45</v>
      </c>
      <c r="D48" s="4">
        <v>12642</v>
      </c>
    </row>
    <row r="49" spans="1:4" x14ac:dyDescent="0.2">
      <c r="A49">
        <v>2018</v>
      </c>
      <c r="B49" s="3">
        <v>962101</v>
      </c>
      <c r="C49" s="3" t="s">
        <v>46</v>
      </c>
      <c r="D49" s="4">
        <v>192476</v>
      </c>
    </row>
    <row r="50" spans="1:4" x14ac:dyDescent="0.2">
      <c r="A50">
        <v>2018</v>
      </c>
      <c r="B50" s="3">
        <v>906173</v>
      </c>
      <c r="C50" s="3" t="s">
        <v>47</v>
      </c>
      <c r="D50" s="4">
        <v>120249</v>
      </c>
    </row>
    <row r="51" spans="1:4" x14ac:dyDescent="0.2">
      <c r="A51">
        <v>2018</v>
      </c>
      <c r="B51" s="3">
        <v>932104</v>
      </c>
      <c r="C51" s="3" t="s">
        <v>48</v>
      </c>
      <c r="D51" s="4">
        <v>100244</v>
      </c>
    </row>
    <row r="52" spans="1:4" x14ac:dyDescent="0.2">
      <c r="A52">
        <v>2018</v>
      </c>
      <c r="B52" s="3">
        <v>908117</v>
      </c>
      <c r="C52" s="3" t="s">
        <v>49</v>
      </c>
      <c r="D52" s="4">
        <v>72303</v>
      </c>
    </row>
    <row r="53" spans="1:4" x14ac:dyDescent="0.2">
      <c r="A53">
        <v>2018</v>
      </c>
      <c r="B53" s="3">
        <v>947100</v>
      </c>
      <c r="C53" s="3" t="s">
        <v>50</v>
      </c>
      <c r="D53" s="4">
        <v>81878</v>
      </c>
    </row>
    <row r="54" spans="1:4" x14ac:dyDescent="0.2">
      <c r="A54">
        <v>2018</v>
      </c>
      <c r="B54" s="3">
        <v>964108</v>
      </c>
      <c r="C54" s="3" t="s">
        <v>51</v>
      </c>
      <c r="D54" s="4">
        <v>61765</v>
      </c>
    </row>
    <row r="55" spans="1:4" x14ac:dyDescent="0.2">
      <c r="A55">
        <v>2018</v>
      </c>
      <c r="B55" s="3">
        <v>928117</v>
      </c>
      <c r="C55" s="3" t="s">
        <v>52</v>
      </c>
      <c r="D55" s="4">
        <v>103299</v>
      </c>
    </row>
    <row r="56" spans="1:4" x14ac:dyDescent="0.2">
      <c r="A56">
        <v>2018</v>
      </c>
      <c r="B56" s="3">
        <v>952102</v>
      </c>
      <c r="C56" s="3" t="s">
        <v>53</v>
      </c>
      <c r="D56" s="4">
        <v>226474</v>
      </c>
    </row>
    <row r="57" spans="1:4" x14ac:dyDescent="0.2">
      <c r="A57">
        <v>2018</v>
      </c>
      <c r="B57" s="3">
        <v>905140</v>
      </c>
      <c r="C57" s="3" t="s">
        <v>54</v>
      </c>
      <c r="D57" s="4">
        <v>89886</v>
      </c>
    </row>
    <row r="58" spans="1:4" x14ac:dyDescent="0.2">
      <c r="A58">
        <v>2018</v>
      </c>
      <c r="B58" s="3">
        <v>903142</v>
      </c>
      <c r="C58" s="3" t="s">
        <v>55</v>
      </c>
      <c r="D58" s="4">
        <v>73778</v>
      </c>
    </row>
    <row r="59" spans="1:4" x14ac:dyDescent="0.2">
      <c r="A59">
        <v>2018</v>
      </c>
      <c r="B59" s="3">
        <v>937103</v>
      </c>
      <c r="C59" s="3" t="s">
        <v>56</v>
      </c>
      <c r="D59" s="4">
        <v>106451</v>
      </c>
    </row>
    <row r="60" spans="1:4" x14ac:dyDescent="0.2">
      <c r="A60">
        <v>2018</v>
      </c>
      <c r="B60" s="3">
        <v>901155</v>
      </c>
      <c r="C60" s="3" t="s">
        <v>57</v>
      </c>
      <c r="D60" s="4">
        <v>146047</v>
      </c>
    </row>
    <row r="61" spans="1:4" x14ac:dyDescent="0.2">
      <c r="A61">
        <v>2018</v>
      </c>
      <c r="B61" s="3">
        <v>907163</v>
      </c>
      <c r="C61" s="3" t="s">
        <v>179</v>
      </c>
      <c r="D61" s="4">
        <v>99889</v>
      </c>
    </row>
    <row r="62" spans="1:4" x14ac:dyDescent="0.2">
      <c r="A62">
        <v>2018</v>
      </c>
      <c r="B62" s="3">
        <v>954100</v>
      </c>
      <c r="C62" s="3" t="s">
        <v>59</v>
      </c>
      <c r="D62" s="4">
        <v>90560</v>
      </c>
    </row>
    <row r="63" spans="1:4" x14ac:dyDescent="0.2">
      <c r="A63">
        <v>2018</v>
      </c>
      <c r="B63" s="3">
        <v>930101</v>
      </c>
      <c r="C63" s="3" t="s">
        <v>60</v>
      </c>
      <c r="D63" s="4">
        <v>131649</v>
      </c>
    </row>
    <row r="64" spans="1:4" x14ac:dyDescent="0.2">
      <c r="A64">
        <v>2018</v>
      </c>
      <c r="B64" s="3">
        <v>903105</v>
      </c>
      <c r="C64" s="3" t="s">
        <v>61</v>
      </c>
      <c r="D64" s="4">
        <v>210221</v>
      </c>
    </row>
    <row r="65" spans="1:4" x14ac:dyDescent="0.2">
      <c r="A65">
        <v>2018</v>
      </c>
      <c r="B65" s="3">
        <v>931100</v>
      </c>
      <c r="C65" s="3" t="s">
        <v>62</v>
      </c>
      <c r="D65" s="4">
        <v>106666</v>
      </c>
    </row>
    <row r="66" spans="1:4" x14ac:dyDescent="0.2">
      <c r="A66">
        <v>2018</v>
      </c>
      <c r="B66" s="3">
        <v>932136</v>
      </c>
      <c r="C66" s="3" t="s">
        <v>63</v>
      </c>
      <c r="D66" s="4">
        <v>218532</v>
      </c>
    </row>
    <row r="67" spans="1:4" x14ac:dyDescent="0.2">
      <c r="A67">
        <v>2018</v>
      </c>
      <c r="B67" s="3">
        <v>934118</v>
      </c>
      <c r="C67" s="3" t="s">
        <v>64</v>
      </c>
      <c r="D67" s="4">
        <v>136179</v>
      </c>
    </row>
    <row r="68" spans="1:4" x14ac:dyDescent="0.2">
      <c r="A68">
        <v>2018</v>
      </c>
      <c r="B68" s="3">
        <v>935117</v>
      </c>
      <c r="C68" s="3" t="s">
        <v>65</v>
      </c>
      <c r="D68" s="4">
        <v>101501</v>
      </c>
    </row>
    <row r="69" spans="1:4" x14ac:dyDescent="0.2">
      <c r="A69">
        <v>2018</v>
      </c>
      <c r="B69" s="3">
        <v>944100</v>
      </c>
      <c r="C69" s="3" t="s">
        <v>66</v>
      </c>
      <c r="D69" s="4">
        <v>1543521</v>
      </c>
    </row>
    <row r="70" spans="1:4" x14ac:dyDescent="0.2">
      <c r="A70">
        <v>2018</v>
      </c>
      <c r="B70" s="3">
        <v>905101</v>
      </c>
      <c r="C70" s="3" t="s">
        <v>67</v>
      </c>
      <c r="D70" s="4">
        <v>68895</v>
      </c>
    </row>
    <row r="71" spans="1:4" x14ac:dyDescent="0.2">
      <c r="A71">
        <v>2018</v>
      </c>
      <c r="B71" s="3">
        <v>916101</v>
      </c>
      <c r="C71" s="3" t="s">
        <v>68</v>
      </c>
      <c r="D71" s="4">
        <v>50981</v>
      </c>
    </row>
    <row r="72" spans="1:4" x14ac:dyDescent="0.2">
      <c r="A72">
        <v>2018</v>
      </c>
      <c r="B72" s="3">
        <v>938124</v>
      </c>
      <c r="C72" s="3" t="s">
        <v>180</v>
      </c>
      <c r="D72" s="4">
        <v>105380</v>
      </c>
    </row>
    <row r="73" spans="1:4" x14ac:dyDescent="0.2">
      <c r="A73">
        <v>2018</v>
      </c>
      <c r="B73" s="3">
        <v>902106</v>
      </c>
      <c r="C73" s="3" t="s">
        <v>70</v>
      </c>
      <c r="D73" s="4">
        <v>194982</v>
      </c>
    </row>
    <row r="74" spans="1:4" x14ac:dyDescent="0.2">
      <c r="A74">
        <v>2018</v>
      </c>
      <c r="B74" s="3">
        <v>957101</v>
      </c>
      <c r="C74" s="3" t="s">
        <v>181</v>
      </c>
      <c r="D74" s="4">
        <v>92341</v>
      </c>
    </row>
    <row r="75" spans="1:4" x14ac:dyDescent="0.2">
      <c r="A75">
        <v>2018</v>
      </c>
      <c r="B75" s="3">
        <v>927101</v>
      </c>
      <c r="C75" s="3" t="s">
        <v>72</v>
      </c>
      <c r="D75" s="4">
        <v>244535</v>
      </c>
    </row>
    <row r="76" spans="1:4" x14ac:dyDescent="0.2">
      <c r="A76">
        <v>2018</v>
      </c>
      <c r="B76" s="3">
        <v>954103</v>
      </c>
      <c r="C76" s="3" t="s">
        <v>73</v>
      </c>
      <c r="D76" s="4">
        <v>82560</v>
      </c>
    </row>
    <row r="77" spans="1:4" x14ac:dyDescent="0.2">
      <c r="A77">
        <v>2018</v>
      </c>
      <c r="B77" s="3">
        <v>951100</v>
      </c>
      <c r="C77" s="3" t="s">
        <v>74</v>
      </c>
      <c r="D77" s="4">
        <v>143451</v>
      </c>
    </row>
    <row r="78" spans="1:4" x14ac:dyDescent="0.2">
      <c r="A78">
        <v>2018</v>
      </c>
      <c r="B78" s="3">
        <v>904103</v>
      </c>
      <c r="C78" s="3" t="s">
        <v>75</v>
      </c>
      <c r="D78" s="4">
        <v>916181</v>
      </c>
    </row>
    <row r="79" spans="1:4" x14ac:dyDescent="0.2">
      <c r="A79">
        <v>2018</v>
      </c>
      <c r="B79" s="3">
        <v>926101</v>
      </c>
      <c r="C79" s="3" t="s">
        <v>76</v>
      </c>
      <c r="D79" s="4">
        <v>141820</v>
      </c>
    </row>
    <row r="80" spans="1:4" x14ac:dyDescent="0.2">
      <c r="A80">
        <v>2018</v>
      </c>
      <c r="B80" s="3">
        <v>907103</v>
      </c>
      <c r="C80" s="3" t="s">
        <v>182</v>
      </c>
      <c r="D80" s="4">
        <v>105078</v>
      </c>
    </row>
    <row r="81" spans="1:4" x14ac:dyDescent="0.2">
      <c r="A81">
        <v>2018</v>
      </c>
      <c r="B81" s="3">
        <v>904138</v>
      </c>
      <c r="C81" s="3" t="s">
        <v>78</v>
      </c>
      <c r="D81" s="4">
        <v>69733</v>
      </c>
    </row>
    <row r="82" spans="1:4" x14ac:dyDescent="0.2">
      <c r="A82">
        <v>2018</v>
      </c>
      <c r="B82" s="3">
        <v>908102</v>
      </c>
      <c r="C82" s="3" t="s">
        <v>79</v>
      </c>
      <c r="D82" s="4">
        <v>17109</v>
      </c>
    </row>
    <row r="83" spans="1:4" x14ac:dyDescent="0.2">
      <c r="A83">
        <v>2018</v>
      </c>
      <c r="B83" s="3">
        <v>941100</v>
      </c>
      <c r="C83" s="3" t="s">
        <v>80</v>
      </c>
      <c r="D83" s="4">
        <v>76320</v>
      </c>
    </row>
    <row r="84" spans="1:4" x14ac:dyDescent="0.2">
      <c r="A84">
        <v>2018</v>
      </c>
      <c r="B84" s="3">
        <v>939103</v>
      </c>
      <c r="C84" s="3" t="s">
        <v>81</v>
      </c>
      <c r="D84" s="4">
        <v>156292</v>
      </c>
    </row>
    <row r="85" spans="1:4" x14ac:dyDescent="0.2">
      <c r="A85">
        <v>2018</v>
      </c>
      <c r="B85" s="3">
        <v>913124</v>
      </c>
      <c r="C85" s="3" t="s">
        <v>82</v>
      </c>
      <c r="D85" s="4">
        <v>105676</v>
      </c>
    </row>
    <row r="86" spans="1:4" x14ac:dyDescent="0.2">
      <c r="A86">
        <v>2018</v>
      </c>
      <c r="B86" s="3">
        <v>942101</v>
      </c>
      <c r="C86" s="3" t="s">
        <v>83</v>
      </c>
      <c r="D86" s="4">
        <v>84422</v>
      </c>
    </row>
    <row r="87" spans="1:4" x14ac:dyDescent="0.2">
      <c r="A87">
        <v>2018</v>
      </c>
      <c r="B87" s="3">
        <v>948124</v>
      </c>
      <c r="C87" s="3" t="s">
        <v>84</v>
      </c>
      <c r="D87" s="4">
        <v>81600</v>
      </c>
    </row>
    <row r="88" spans="1:4" x14ac:dyDescent="0.2">
      <c r="A88">
        <v>2018</v>
      </c>
      <c r="B88" s="3">
        <v>909116</v>
      </c>
      <c r="C88" s="3" t="s">
        <v>183</v>
      </c>
      <c r="D88" s="4">
        <v>319482</v>
      </c>
    </row>
    <row r="89" spans="1:4" x14ac:dyDescent="0.2">
      <c r="A89">
        <v>2018</v>
      </c>
      <c r="B89" s="3">
        <v>953100</v>
      </c>
      <c r="C89" s="3" t="s">
        <v>86</v>
      </c>
      <c r="D89" s="4">
        <v>101629</v>
      </c>
    </row>
    <row r="90" spans="1:4" x14ac:dyDescent="0.2">
      <c r="A90">
        <v>2018</v>
      </c>
      <c r="B90" s="3">
        <v>944172</v>
      </c>
      <c r="C90" s="3" t="s">
        <v>87</v>
      </c>
      <c r="D90" s="4">
        <v>325699</v>
      </c>
    </row>
    <row r="91" spans="1:4" x14ac:dyDescent="0.2">
      <c r="A91">
        <v>2018</v>
      </c>
      <c r="B91" s="3">
        <v>947101</v>
      </c>
      <c r="C91" s="3" t="s">
        <v>88</v>
      </c>
      <c r="D91" s="4">
        <v>95427</v>
      </c>
    </row>
    <row r="92" spans="1:4" x14ac:dyDescent="0.2">
      <c r="A92">
        <v>2018</v>
      </c>
      <c r="B92" s="3">
        <v>945132</v>
      </c>
      <c r="C92" s="3" t="s">
        <v>89</v>
      </c>
      <c r="D92" s="4">
        <v>183695</v>
      </c>
    </row>
    <row r="93" spans="1:4" x14ac:dyDescent="0.2">
      <c r="A93">
        <v>2018</v>
      </c>
      <c r="B93" s="3">
        <v>943122</v>
      </c>
      <c r="C93" s="3" t="s">
        <v>90</v>
      </c>
      <c r="D93" s="4">
        <v>365529</v>
      </c>
    </row>
    <row r="94" spans="1:4" x14ac:dyDescent="0.2">
      <c r="A94">
        <v>2018</v>
      </c>
      <c r="B94" s="3">
        <v>961102</v>
      </c>
      <c r="C94" s="3" t="s">
        <v>91</v>
      </c>
      <c r="D94" s="4">
        <v>82289</v>
      </c>
    </row>
    <row r="95" spans="1:4" x14ac:dyDescent="0.2">
      <c r="A95">
        <v>2018</v>
      </c>
      <c r="B95" s="3">
        <v>946105</v>
      </c>
      <c r="C95" s="3" t="s">
        <v>92</v>
      </c>
      <c r="D95" s="4">
        <v>138823</v>
      </c>
    </row>
    <row r="96" spans="1:4" x14ac:dyDescent="0.2">
      <c r="A96">
        <v>2018</v>
      </c>
      <c r="B96" s="3">
        <v>920100</v>
      </c>
      <c r="C96" s="3" t="s">
        <v>93</v>
      </c>
      <c r="D96" s="4">
        <v>103012</v>
      </c>
    </row>
    <row r="97" spans="1:4" x14ac:dyDescent="0.2">
      <c r="A97">
        <v>2018</v>
      </c>
      <c r="B97" s="3">
        <v>920101</v>
      </c>
      <c r="C97" s="3" t="s">
        <v>94</v>
      </c>
      <c r="D97" s="4">
        <v>224243</v>
      </c>
    </row>
    <row r="98" spans="1:4" x14ac:dyDescent="0.2">
      <c r="A98">
        <v>2018</v>
      </c>
      <c r="B98" s="3">
        <v>949157</v>
      </c>
      <c r="C98" s="3" t="s">
        <v>95</v>
      </c>
      <c r="D98" s="4">
        <v>825026</v>
      </c>
    </row>
    <row r="99" spans="1:4" x14ac:dyDescent="0.2">
      <c r="A99">
        <v>2018</v>
      </c>
      <c r="B99" s="3">
        <v>937102</v>
      </c>
      <c r="C99" s="3" t="s">
        <v>96</v>
      </c>
      <c r="D99" s="4">
        <v>125159</v>
      </c>
    </row>
    <row r="100" spans="1:4" x14ac:dyDescent="0.2">
      <c r="A100">
        <v>2018</v>
      </c>
      <c r="B100" s="3">
        <v>929103</v>
      </c>
      <c r="C100" s="3" t="s">
        <v>98</v>
      </c>
      <c r="D100" s="4">
        <v>309544</v>
      </c>
    </row>
    <row r="101" spans="1:4" x14ac:dyDescent="0.2">
      <c r="A101">
        <v>2018</v>
      </c>
      <c r="B101" s="3">
        <v>933100</v>
      </c>
      <c r="C101" s="3" t="s">
        <v>99</v>
      </c>
      <c r="D101" s="4">
        <v>157836</v>
      </c>
    </row>
    <row r="102" spans="1:4" x14ac:dyDescent="0.2">
      <c r="A102">
        <v>2018</v>
      </c>
      <c r="B102" s="3">
        <v>908101</v>
      </c>
      <c r="C102" s="3" t="s">
        <v>100</v>
      </c>
      <c r="D102" s="4">
        <v>1018049</v>
      </c>
    </row>
    <row r="103" spans="1:4" x14ac:dyDescent="0.2">
      <c r="A103">
        <v>2018</v>
      </c>
      <c r="B103" s="3">
        <v>963101</v>
      </c>
      <c r="C103" s="3" t="s">
        <v>184</v>
      </c>
      <c r="D103" s="4">
        <v>225221</v>
      </c>
    </row>
    <row r="104" spans="1:4" x14ac:dyDescent="0.2">
      <c r="A104">
        <v>2018</v>
      </c>
      <c r="B104" s="3">
        <v>946103</v>
      </c>
      <c r="C104" s="3" t="s">
        <v>102</v>
      </c>
      <c r="D104" s="4">
        <v>95930</v>
      </c>
    </row>
    <row r="105" spans="1:4" x14ac:dyDescent="0.2">
      <c r="A105">
        <v>2018</v>
      </c>
      <c r="B105" s="3">
        <v>908100</v>
      </c>
      <c r="C105" s="3" t="s">
        <v>103</v>
      </c>
      <c r="D105" s="4">
        <v>89701</v>
      </c>
    </row>
    <row r="106" spans="1:4" x14ac:dyDescent="0.2">
      <c r="A106">
        <v>2018</v>
      </c>
      <c r="B106" s="3">
        <v>902104</v>
      </c>
      <c r="C106" s="3" t="s">
        <v>104</v>
      </c>
      <c r="D106" s="4">
        <v>77399</v>
      </c>
    </row>
    <row r="107" spans="1:4" x14ac:dyDescent="0.2">
      <c r="A107">
        <v>2018</v>
      </c>
      <c r="B107" s="3">
        <v>915104</v>
      </c>
      <c r="C107" s="3" t="s">
        <v>105</v>
      </c>
      <c r="D107" s="4">
        <v>119899</v>
      </c>
    </row>
    <row r="108" spans="1:4" x14ac:dyDescent="0.2">
      <c r="A108">
        <v>2018</v>
      </c>
      <c r="B108" s="3">
        <v>903100</v>
      </c>
      <c r="C108" s="3" t="s">
        <v>185</v>
      </c>
      <c r="D108" s="4">
        <v>37186</v>
      </c>
    </row>
    <row r="109" spans="1:4" x14ac:dyDescent="0.2">
      <c r="A109">
        <v>2018</v>
      </c>
      <c r="B109" s="3">
        <v>932137</v>
      </c>
      <c r="C109" s="3" t="s">
        <v>107</v>
      </c>
      <c r="D109" s="4">
        <v>150030</v>
      </c>
    </row>
    <row r="110" spans="1:4" x14ac:dyDescent="0.2">
      <c r="A110">
        <v>2018</v>
      </c>
      <c r="B110" s="3">
        <v>905130</v>
      </c>
      <c r="C110" s="3" t="s">
        <v>108</v>
      </c>
      <c r="D110" s="4">
        <v>46075</v>
      </c>
    </row>
    <row r="111" spans="1:4" x14ac:dyDescent="0.2">
      <c r="A111">
        <v>2018</v>
      </c>
      <c r="B111" s="3">
        <v>953173</v>
      </c>
      <c r="C111" s="3" t="s">
        <v>109</v>
      </c>
      <c r="D111" s="4">
        <v>72339</v>
      </c>
    </row>
    <row r="112" spans="1:4" x14ac:dyDescent="0.2">
      <c r="A112">
        <v>2018</v>
      </c>
      <c r="B112" s="3">
        <v>957116</v>
      </c>
      <c r="C112" s="3" t="s">
        <v>110</v>
      </c>
      <c r="D112" s="4">
        <v>91782</v>
      </c>
    </row>
    <row r="113" spans="1:4" x14ac:dyDescent="0.2">
      <c r="A113">
        <v>2018</v>
      </c>
      <c r="B113" s="3">
        <v>963102</v>
      </c>
      <c r="C113" s="3" t="s">
        <v>111</v>
      </c>
      <c r="D113" s="4">
        <v>37002</v>
      </c>
    </row>
    <row r="114" spans="1:4" x14ac:dyDescent="0.2">
      <c r="A114">
        <v>2018</v>
      </c>
      <c r="B114" s="3">
        <v>927100</v>
      </c>
      <c r="C114" s="3" t="s">
        <v>112</v>
      </c>
      <c r="D114" s="4">
        <v>66491</v>
      </c>
    </row>
    <row r="115" spans="1:4" x14ac:dyDescent="0.2">
      <c r="A115">
        <v>2018</v>
      </c>
      <c r="B115" s="3">
        <v>927200</v>
      </c>
      <c r="C115" s="3" t="s">
        <v>127</v>
      </c>
      <c r="D115" s="4">
        <v>481752</v>
      </c>
    </row>
    <row r="116" spans="1:4" x14ac:dyDescent="0.2">
      <c r="A116">
        <v>2018</v>
      </c>
      <c r="B116" s="3">
        <v>943104</v>
      </c>
      <c r="C116" s="3" t="s">
        <v>186</v>
      </c>
      <c r="D116" s="4">
        <v>68992</v>
      </c>
    </row>
    <row r="117" spans="1:4" x14ac:dyDescent="0.2">
      <c r="A117">
        <v>2018</v>
      </c>
      <c r="B117" s="3">
        <v>961100</v>
      </c>
      <c r="C117" s="3" t="s">
        <v>114</v>
      </c>
      <c r="D117" s="4">
        <v>139876</v>
      </c>
    </row>
    <row r="118" spans="1:4" x14ac:dyDescent="0.2">
      <c r="A118">
        <v>2018</v>
      </c>
      <c r="B118" s="3">
        <v>937104</v>
      </c>
      <c r="C118" s="3" t="s">
        <v>115</v>
      </c>
      <c r="D118" s="4">
        <v>184305</v>
      </c>
    </row>
    <row r="119" spans="1:4" x14ac:dyDescent="0.2">
      <c r="A119">
        <v>2018</v>
      </c>
      <c r="B119" s="3">
        <v>936100</v>
      </c>
      <c r="C119" s="3" t="s">
        <v>116</v>
      </c>
      <c r="D119" s="4">
        <v>883834</v>
      </c>
    </row>
    <row r="120" spans="1:4" x14ac:dyDescent="0.2">
      <c r="A120">
        <v>2018</v>
      </c>
      <c r="B120" s="3">
        <v>910103</v>
      </c>
      <c r="C120" s="3" t="s">
        <v>117</v>
      </c>
      <c r="D120" s="4">
        <v>100434</v>
      </c>
    </row>
    <row r="121" spans="1:4" x14ac:dyDescent="0.2">
      <c r="A121">
        <v>2018</v>
      </c>
      <c r="B121" s="3">
        <v>917105</v>
      </c>
      <c r="C121" s="3" t="s">
        <v>187</v>
      </c>
      <c r="D121" s="4">
        <v>175378</v>
      </c>
    </row>
    <row r="122" spans="1:4" x14ac:dyDescent="0.2">
      <c r="A122">
        <v>2018</v>
      </c>
      <c r="B122" s="3">
        <v>943100</v>
      </c>
      <c r="C122" s="3" t="s">
        <v>119</v>
      </c>
      <c r="D122" s="4">
        <v>12661</v>
      </c>
    </row>
    <row r="123" spans="1:4" x14ac:dyDescent="0.2">
      <c r="A123">
        <v>2018</v>
      </c>
      <c r="B123" s="3">
        <v>902101</v>
      </c>
      <c r="C123" s="3" t="s">
        <v>120</v>
      </c>
      <c r="D123" s="4">
        <v>4991968</v>
      </c>
    </row>
    <row r="124" spans="1:4" x14ac:dyDescent="0.2">
      <c r="A124">
        <v>2018</v>
      </c>
      <c r="B124" s="3">
        <v>957100</v>
      </c>
      <c r="C124" s="3" t="s">
        <v>121</v>
      </c>
      <c r="D124" s="4">
        <v>218736</v>
      </c>
    </row>
    <row r="125" spans="1:4" x14ac:dyDescent="0.2">
      <c r="A125">
        <v>2018</v>
      </c>
      <c r="B125" s="3">
        <v>955167</v>
      </c>
      <c r="C125" s="3" t="s">
        <v>122</v>
      </c>
      <c r="D125" s="4">
        <v>87501</v>
      </c>
    </row>
    <row r="126" spans="1:4" x14ac:dyDescent="0.2">
      <c r="A126">
        <v>2018</v>
      </c>
      <c r="B126" s="3">
        <v>943121</v>
      </c>
      <c r="C126" s="3" t="s">
        <v>123</v>
      </c>
      <c r="D126" s="4">
        <v>73908</v>
      </c>
    </row>
    <row r="127" spans="1:4" x14ac:dyDescent="0.2">
      <c r="A127">
        <v>2018</v>
      </c>
      <c r="B127" s="3">
        <v>956114</v>
      </c>
      <c r="C127" s="3" t="s">
        <v>124</v>
      </c>
      <c r="D127" s="4">
        <v>85489</v>
      </c>
    </row>
    <row r="128" spans="1:4" x14ac:dyDescent="0.2">
      <c r="A128">
        <v>2018</v>
      </c>
      <c r="B128" s="3">
        <v>912102</v>
      </c>
      <c r="C128" s="3" t="s">
        <v>125</v>
      </c>
      <c r="D128" s="4">
        <v>76942</v>
      </c>
    </row>
    <row r="129" spans="1:4" x14ac:dyDescent="0.2">
      <c r="A129">
        <v>2018</v>
      </c>
      <c r="B129" s="3">
        <v>963112</v>
      </c>
      <c r="C129" s="3" t="s">
        <v>126</v>
      </c>
      <c r="D129" s="4">
        <v>76822</v>
      </c>
    </row>
    <row r="130" spans="1:4" x14ac:dyDescent="0.2">
      <c r="A130">
        <v>2018</v>
      </c>
      <c r="B130" s="3">
        <v>901111</v>
      </c>
      <c r="C130" s="3" t="s">
        <v>128</v>
      </c>
      <c r="D130" s="4">
        <v>9011756</v>
      </c>
    </row>
    <row r="131" spans="1:4" x14ac:dyDescent="0.2">
      <c r="A131">
        <v>2018</v>
      </c>
      <c r="B131" s="3">
        <v>906105</v>
      </c>
      <c r="C131" s="3" t="s">
        <v>129</v>
      </c>
      <c r="D131" s="4">
        <v>180775</v>
      </c>
    </row>
    <row r="132" spans="1:4" x14ac:dyDescent="0.2">
      <c r="A132">
        <v>2018</v>
      </c>
      <c r="B132" s="3">
        <v>955108</v>
      </c>
      <c r="C132" s="3" t="s">
        <v>130</v>
      </c>
      <c r="D132" s="4">
        <v>371021</v>
      </c>
    </row>
    <row r="133" spans="1:4" x14ac:dyDescent="0.2">
      <c r="A133">
        <v>2018</v>
      </c>
      <c r="B133" s="3">
        <v>920102</v>
      </c>
      <c r="C133" s="3" t="s">
        <v>131</v>
      </c>
      <c r="D133" s="4">
        <v>132262</v>
      </c>
    </row>
    <row r="134" spans="1:4" x14ac:dyDescent="0.2">
      <c r="A134">
        <v>2018</v>
      </c>
      <c r="B134" s="3">
        <v>912104</v>
      </c>
      <c r="C134" s="3" t="s">
        <v>132</v>
      </c>
      <c r="D134" s="4">
        <v>60420</v>
      </c>
    </row>
    <row r="135" spans="1:4" x14ac:dyDescent="0.2">
      <c r="A135">
        <v>2018</v>
      </c>
      <c r="B135" s="3">
        <v>930103</v>
      </c>
      <c r="C135" s="3" t="s">
        <v>133</v>
      </c>
      <c r="D135" s="4">
        <v>76204</v>
      </c>
    </row>
    <row r="136" spans="1:4" x14ac:dyDescent="0.2">
      <c r="A136">
        <v>2018</v>
      </c>
      <c r="B136" s="3">
        <v>962104</v>
      </c>
      <c r="C136" s="3" t="s">
        <v>134</v>
      </c>
      <c r="D136" s="4">
        <v>64676</v>
      </c>
    </row>
    <row r="137" spans="1:4" x14ac:dyDescent="0.2">
      <c r="A137">
        <v>2018</v>
      </c>
      <c r="B137" s="3">
        <v>909101</v>
      </c>
      <c r="C137" s="3" t="s">
        <v>135</v>
      </c>
      <c r="D137" s="4">
        <v>662362</v>
      </c>
    </row>
    <row r="138" spans="1:4" x14ac:dyDescent="0.2">
      <c r="A138">
        <v>2018</v>
      </c>
      <c r="B138" s="3">
        <v>958100</v>
      </c>
      <c r="C138" s="3" t="s">
        <v>136</v>
      </c>
      <c r="D138" s="4">
        <v>175632</v>
      </c>
    </row>
    <row r="139" spans="1:4" x14ac:dyDescent="0.2">
      <c r="A139">
        <v>2018</v>
      </c>
      <c r="B139" s="3">
        <v>955104</v>
      </c>
      <c r="C139" s="3" t="s">
        <v>137</v>
      </c>
      <c r="D139" s="4">
        <v>70494</v>
      </c>
    </row>
    <row r="140" spans="1:4" x14ac:dyDescent="0.2">
      <c r="A140">
        <v>2018</v>
      </c>
      <c r="B140" s="3">
        <v>944102</v>
      </c>
      <c r="C140" s="3" t="s">
        <v>138</v>
      </c>
      <c r="D140" s="4">
        <v>506206</v>
      </c>
    </row>
    <row r="141" spans="1:4" x14ac:dyDescent="0.2">
      <c r="A141">
        <v>2018</v>
      </c>
      <c r="B141" s="3">
        <v>950102</v>
      </c>
      <c r="C141" s="3" t="s">
        <v>139</v>
      </c>
      <c r="D141" s="4">
        <v>22605</v>
      </c>
    </row>
    <row r="142" spans="1:4" x14ac:dyDescent="0.2">
      <c r="A142">
        <v>2018</v>
      </c>
      <c r="B142" s="3">
        <v>924101</v>
      </c>
      <c r="C142" s="3" t="s">
        <v>140</v>
      </c>
      <c r="D142" s="4">
        <v>170047</v>
      </c>
    </row>
    <row r="143" spans="1:4" x14ac:dyDescent="0.2">
      <c r="A143">
        <v>2018</v>
      </c>
      <c r="B143" s="3">
        <v>960200</v>
      </c>
      <c r="C143" s="3" t="s">
        <v>141</v>
      </c>
      <c r="D143" s="4">
        <v>923184</v>
      </c>
    </row>
    <row r="144" spans="1:4" x14ac:dyDescent="0.2">
      <c r="A144">
        <v>2018</v>
      </c>
      <c r="B144" s="3">
        <v>901105</v>
      </c>
      <c r="C144" s="3" t="s">
        <v>142</v>
      </c>
      <c r="D144" s="4">
        <v>283114</v>
      </c>
    </row>
    <row r="145" spans="1:4" x14ac:dyDescent="0.2">
      <c r="A145">
        <v>2018</v>
      </c>
      <c r="B145" s="3">
        <v>937100</v>
      </c>
      <c r="C145" s="3" t="s">
        <v>143</v>
      </c>
      <c r="D145" s="4">
        <v>82346</v>
      </c>
    </row>
    <row r="146" spans="1:4" x14ac:dyDescent="0.2">
      <c r="A146">
        <v>2018</v>
      </c>
      <c r="B146" s="3">
        <v>919100</v>
      </c>
      <c r="C146" s="3" t="s">
        <v>144</v>
      </c>
      <c r="D146" s="4">
        <v>368065</v>
      </c>
    </row>
    <row r="147" spans="1:4" x14ac:dyDescent="0.2">
      <c r="A147">
        <v>2018</v>
      </c>
      <c r="B147" s="3">
        <v>961104</v>
      </c>
      <c r="C147" s="3" t="s">
        <v>188</v>
      </c>
      <c r="D147" s="4">
        <v>105781</v>
      </c>
    </row>
    <row r="148" spans="1:4" x14ac:dyDescent="0.2">
      <c r="A148">
        <v>2018</v>
      </c>
      <c r="B148" s="3">
        <v>917103</v>
      </c>
      <c r="C148" s="3" t="s">
        <v>146</v>
      </c>
      <c r="D148" s="4">
        <v>385410</v>
      </c>
    </row>
    <row r="149" spans="1:4" x14ac:dyDescent="0.2">
      <c r="A149">
        <v>2018</v>
      </c>
      <c r="B149" s="3">
        <v>902107</v>
      </c>
      <c r="C149" s="3" t="s">
        <v>147</v>
      </c>
      <c r="D149" s="4">
        <v>106201</v>
      </c>
    </row>
    <row r="150" spans="1:4" x14ac:dyDescent="0.2">
      <c r="A150">
        <v>2018</v>
      </c>
      <c r="B150" s="3">
        <v>903141</v>
      </c>
      <c r="C150" s="3" t="s">
        <v>148</v>
      </c>
      <c r="D150" s="4">
        <v>94900</v>
      </c>
    </row>
    <row r="151" spans="1:4" x14ac:dyDescent="0.2">
      <c r="A151">
        <v>2018</v>
      </c>
      <c r="B151" s="3">
        <v>905104</v>
      </c>
      <c r="C151" s="3" t="s">
        <v>149</v>
      </c>
      <c r="D151" s="4">
        <v>1909513</v>
      </c>
    </row>
    <row r="152" spans="1:4" x14ac:dyDescent="0.2">
      <c r="A152">
        <v>2018</v>
      </c>
      <c r="B152" s="3">
        <v>922105</v>
      </c>
      <c r="C152" s="3" t="s">
        <v>150</v>
      </c>
      <c r="D152" s="4">
        <v>75992</v>
      </c>
    </row>
    <row r="153" spans="1:4" x14ac:dyDescent="0.2">
      <c r="A153">
        <v>2018</v>
      </c>
      <c r="B153" s="3">
        <v>905100</v>
      </c>
      <c r="C153" s="3" t="s">
        <v>151</v>
      </c>
      <c r="D153" s="4">
        <v>70112</v>
      </c>
    </row>
    <row r="154" spans="1:4" x14ac:dyDescent="0.2">
      <c r="A154">
        <v>2018</v>
      </c>
      <c r="B154" s="3">
        <v>922107</v>
      </c>
      <c r="C154" s="3" t="s">
        <v>152</v>
      </c>
      <c r="D154" s="4">
        <v>158398</v>
      </c>
    </row>
    <row r="155" spans="1:4" x14ac:dyDescent="0.2">
      <c r="A155">
        <v>2018</v>
      </c>
      <c r="B155" s="3">
        <v>940102</v>
      </c>
      <c r="C155" s="3" t="s">
        <v>153</v>
      </c>
      <c r="D155" s="4">
        <v>113672</v>
      </c>
    </row>
    <row r="156" spans="1:4" x14ac:dyDescent="0.2">
      <c r="A156">
        <v>2018</v>
      </c>
      <c r="B156" s="3">
        <v>901157</v>
      </c>
      <c r="C156" s="3" t="s">
        <v>154</v>
      </c>
      <c r="D156" s="4">
        <v>445181</v>
      </c>
    </row>
    <row r="157" spans="1:4" x14ac:dyDescent="0.2">
      <c r="A157">
        <v>2018</v>
      </c>
      <c r="B157" s="3">
        <v>910105</v>
      </c>
      <c r="C157" s="3" t="s">
        <v>156</v>
      </c>
      <c r="D157" s="4">
        <v>57204</v>
      </c>
    </row>
    <row r="158" spans="1:4" x14ac:dyDescent="0.2">
      <c r="A158">
        <v>2018</v>
      </c>
      <c r="B158" s="3">
        <v>950101</v>
      </c>
      <c r="C158" s="3" t="s">
        <v>157</v>
      </c>
      <c r="D158" s="4">
        <v>199666</v>
      </c>
    </row>
    <row r="159" spans="1:4" x14ac:dyDescent="0.2">
      <c r="A159">
        <v>2018</v>
      </c>
      <c r="B159" s="3">
        <v>918101</v>
      </c>
      <c r="C159" s="3" t="s">
        <v>158</v>
      </c>
      <c r="D159" s="4">
        <v>81941</v>
      </c>
    </row>
    <row r="160" spans="1:4" x14ac:dyDescent="0.2">
      <c r="A160">
        <v>2018</v>
      </c>
      <c r="B160" s="3">
        <v>955102</v>
      </c>
      <c r="C160" s="3" t="s">
        <v>159</v>
      </c>
      <c r="D160" s="4">
        <v>80310</v>
      </c>
    </row>
    <row r="161" spans="1:4" x14ac:dyDescent="0.2">
      <c r="A161">
        <v>2018</v>
      </c>
      <c r="B161" s="3">
        <v>960102</v>
      </c>
      <c r="C161" s="3" t="s">
        <v>160</v>
      </c>
      <c r="D161" s="4">
        <v>234786</v>
      </c>
    </row>
    <row r="162" spans="1:4" x14ac:dyDescent="0.2">
      <c r="A162">
        <v>2018</v>
      </c>
      <c r="B162" s="3">
        <v>904105</v>
      </c>
      <c r="C162" s="3" t="s">
        <v>189</v>
      </c>
      <c r="D162" s="4">
        <v>124213</v>
      </c>
    </row>
    <row r="163" spans="1:4" x14ac:dyDescent="0.2">
      <c r="A163">
        <v>2018</v>
      </c>
      <c r="B163" s="3">
        <v>956100</v>
      </c>
      <c r="C163" s="3" t="s">
        <v>162</v>
      </c>
      <c r="D163" s="4">
        <v>93390</v>
      </c>
    </row>
    <row r="164" spans="1:4" x14ac:dyDescent="0.2">
      <c r="A164">
        <v>2018</v>
      </c>
      <c r="B164" s="3">
        <v>907100</v>
      </c>
      <c r="C164" s="3" t="s">
        <v>163</v>
      </c>
      <c r="D164" s="4">
        <v>880300</v>
      </c>
    </row>
    <row r="165" spans="1:4" x14ac:dyDescent="0.2">
      <c r="A165">
        <v>2018</v>
      </c>
      <c r="B165" s="3" t="s">
        <v>165</v>
      </c>
      <c r="C165" s="3" t="s">
        <v>164</v>
      </c>
      <c r="D165" s="4">
        <v>26255809</v>
      </c>
    </row>
    <row r="166" spans="1:4" x14ac:dyDescent="0.2">
      <c r="A166">
        <v>2018</v>
      </c>
      <c r="B166" s="3">
        <v>909102</v>
      </c>
      <c r="C166" s="3" t="s">
        <v>169</v>
      </c>
      <c r="D166" s="4">
        <v>794902</v>
      </c>
    </row>
    <row r="167" spans="1:4" x14ac:dyDescent="0.2">
      <c r="A167">
        <v>2018</v>
      </c>
      <c r="B167" s="3">
        <v>903501</v>
      </c>
      <c r="C167" s="3" t="s">
        <v>170</v>
      </c>
      <c r="D167" s="4">
        <v>141959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7C45-EC5C-1B4E-9495-01C3C0E86D44}">
  <sheetPr>
    <tabColor rgb="FFFFFF00"/>
  </sheetPr>
  <dimension ref="A1:E168"/>
  <sheetViews>
    <sheetView workbookViewId="0">
      <selection activeCell="A2" sqref="A2:D168"/>
    </sheetView>
  </sheetViews>
  <sheetFormatPr baseColWidth="10" defaultRowHeight="16" x14ac:dyDescent="0.2"/>
  <cols>
    <col min="2" max="2" width="15.6640625" style="3" bestFit="1" customWidth="1"/>
    <col min="3" max="3" width="36" style="3" bestFit="1" customWidth="1"/>
    <col min="4" max="4" width="20.5" style="3" bestFit="1" customWidth="1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2017</v>
      </c>
      <c r="B2" s="3">
        <v>903103</v>
      </c>
      <c r="C2" s="3" t="s">
        <v>0</v>
      </c>
      <c r="D2" s="4">
        <v>1398918</v>
      </c>
    </row>
    <row r="3" spans="1:4" x14ac:dyDescent="0.2">
      <c r="A3">
        <v>2017</v>
      </c>
      <c r="B3" s="3">
        <v>959126</v>
      </c>
      <c r="C3" s="3" t="s">
        <v>173</v>
      </c>
      <c r="D3" s="4">
        <v>110435</v>
      </c>
    </row>
    <row r="4" spans="1:4" x14ac:dyDescent="0.2">
      <c r="A4">
        <v>2017</v>
      </c>
      <c r="B4" s="3">
        <v>962102</v>
      </c>
      <c r="C4" s="3" t="s">
        <v>174</v>
      </c>
      <c r="D4" s="4">
        <v>129222</v>
      </c>
    </row>
    <row r="5" spans="1:4" x14ac:dyDescent="0.2">
      <c r="A5">
        <v>2017</v>
      </c>
      <c r="B5" s="3">
        <v>917102</v>
      </c>
      <c r="C5" s="3" t="s">
        <v>3</v>
      </c>
      <c r="D5" s="4">
        <v>170760</v>
      </c>
    </row>
    <row r="6" spans="1:4" x14ac:dyDescent="0.2">
      <c r="A6">
        <v>2017</v>
      </c>
      <c r="B6" s="3">
        <v>942100</v>
      </c>
      <c r="C6" s="3" t="s">
        <v>4</v>
      </c>
      <c r="D6" s="4">
        <v>105276</v>
      </c>
    </row>
    <row r="7" spans="1:4" x14ac:dyDescent="0.2">
      <c r="A7">
        <v>2017</v>
      </c>
      <c r="B7" s="3">
        <v>925101</v>
      </c>
      <c r="C7" s="3" t="s">
        <v>5</v>
      </c>
      <c r="D7" s="4">
        <v>70144</v>
      </c>
    </row>
    <row r="8" spans="1:4" x14ac:dyDescent="0.2">
      <c r="A8">
        <v>2017</v>
      </c>
      <c r="B8" s="3">
        <v>912103</v>
      </c>
      <c r="C8" s="3" t="s">
        <v>6</v>
      </c>
      <c r="D8" s="4">
        <v>86150</v>
      </c>
    </row>
    <row r="9" spans="1:4" x14ac:dyDescent="0.2">
      <c r="A9">
        <v>2017</v>
      </c>
      <c r="B9" s="3">
        <v>901106</v>
      </c>
      <c r="C9" s="3" t="s">
        <v>7</v>
      </c>
      <c r="D9" s="4">
        <v>160822</v>
      </c>
    </row>
    <row r="10" spans="1:4" x14ac:dyDescent="0.2">
      <c r="A10">
        <v>2017</v>
      </c>
      <c r="B10" s="3">
        <v>915100</v>
      </c>
      <c r="C10" s="3" t="s">
        <v>8</v>
      </c>
      <c r="D10" s="4">
        <v>369844</v>
      </c>
    </row>
    <row r="11" spans="1:4" x14ac:dyDescent="0.2">
      <c r="A11">
        <v>2017</v>
      </c>
      <c r="B11" s="3">
        <v>911109</v>
      </c>
      <c r="C11" s="3" t="s">
        <v>9</v>
      </c>
      <c r="D11" s="4">
        <v>211414</v>
      </c>
    </row>
    <row r="12" spans="1:4" x14ac:dyDescent="0.2">
      <c r="A12">
        <v>2017</v>
      </c>
      <c r="B12" s="3">
        <v>962150</v>
      </c>
      <c r="C12" s="3" t="s">
        <v>10</v>
      </c>
      <c r="D12" s="4">
        <v>207861</v>
      </c>
    </row>
    <row r="13" spans="1:4" x14ac:dyDescent="0.2">
      <c r="A13">
        <v>2017</v>
      </c>
      <c r="B13" s="3">
        <v>929144</v>
      </c>
      <c r="C13" s="3" t="s">
        <v>11</v>
      </c>
      <c r="D13" s="4">
        <v>47668</v>
      </c>
    </row>
    <row r="14" spans="1:4" x14ac:dyDescent="0.2">
      <c r="A14">
        <v>2017</v>
      </c>
      <c r="B14" s="3">
        <v>953171</v>
      </c>
      <c r="C14" s="3" t="s">
        <v>12</v>
      </c>
      <c r="D14" s="4">
        <v>80214</v>
      </c>
    </row>
    <row r="15" spans="1:4" x14ac:dyDescent="0.2">
      <c r="A15">
        <v>2017</v>
      </c>
      <c r="B15" s="3">
        <v>912172</v>
      </c>
      <c r="C15" s="3" t="s">
        <v>13</v>
      </c>
      <c r="D15" s="4">
        <v>172952</v>
      </c>
    </row>
    <row r="16" spans="1:4" x14ac:dyDescent="0.2">
      <c r="A16">
        <v>2017</v>
      </c>
      <c r="B16" s="3">
        <v>926124</v>
      </c>
      <c r="C16" s="3" t="s">
        <v>14</v>
      </c>
      <c r="D16" s="4">
        <v>51418</v>
      </c>
    </row>
    <row r="17" spans="1:4" x14ac:dyDescent="0.2">
      <c r="A17">
        <v>2017</v>
      </c>
      <c r="B17" s="3">
        <v>901154</v>
      </c>
      <c r="C17" s="3" t="s">
        <v>15</v>
      </c>
      <c r="D17" s="4">
        <v>1110842</v>
      </c>
    </row>
    <row r="18" spans="1:4" x14ac:dyDescent="0.2">
      <c r="A18">
        <v>2017</v>
      </c>
      <c r="B18" s="3">
        <v>946129</v>
      </c>
      <c r="C18" s="3" t="s">
        <v>175</v>
      </c>
      <c r="D18" s="4">
        <v>122034</v>
      </c>
    </row>
    <row r="19" spans="1:4" x14ac:dyDescent="0.2">
      <c r="A19">
        <v>2017</v>
      </c>
      <c r="B19" s="3">
        <v>948100</v>
      </c>
      <c r="C19" s="3" t="s">
        <v>176</v>
      </c>
      <c r="D19" s="4">
        <v>158055</v>
      </c>
    </row>
    <row r="20" spans="1:4" x14ac:dyDescent="0.2">
      <c r="A20">
        <v>2017</v>
      </c>
      <c r="B20" s="3">
        <v>906102</v>
      </c>
      <c r="C20" s="3" t="s">
        <v>18</v>
      </c>
      <c r="D20" s="4">
        <v>1026180</v>
      </c>
    </row>
    <row r="21" spans="1:4" x14ac:dyDescent="0.2">
      <c r="A21">
        <v>2017</v>
      </c>
      <c r="B21" s="3">
        <v>930100</v>
      </c>
      <c r="C21" s="3" t="s">
        <v>19</v>
      </c>
      <c r="D21" s="4">
        <v>83121</v>
      </c>
    </row>
    <row r="22" spans="1:4" x14ac:dyDescent="0.2">
      <c r="A22">
        <v>2017</v>
      </c>
      <c r="B22" s="3">
        <v>946102</v>
      </c>
      <c r="C22" s="3" t="s">
        <v>20</v>
      </c>
      <c r="D22" s="4">
        <v>86576</v>
      </c>
    </row>
    <row r="23" spans="1:4" x14ac:dyDescent="0.2">
      <c r="A23">
        <v>2017</v>
      </c>
      <c r="B23" s="3">
        <v>944101</v>
      </c>
      <c r="C23" s="3" t="s">
        <v>21</v>
      </c>
      <c r="D23" s="4">
        <v>258564</v>
      </c>
    </row>
    <row r="24" spans="1:4" x14ac:dyDescent="0.2">
      <c r="A24">
        <v>2017</v>
      </c>
      <c r="B24" s="3">
        <v>932101</v>
      </c>
      <c r="C24" s="3" t="s">
        <v>22</v>
      </c>
      <c r="D24" s="4">
        <v>86926</v>
      </c>
    </row>
    <row r="25" spans="1:4" x14ac:dyDescent="0.2">
      <c r="A25">
        <v>2017</v>
      </c>
      <c r="B25" s="3">
        <v>961101</v>
      </c>
      <c r="C25" s="3" t="s">
        <v>23</v>
      </c>
      <c r="D25" s="4">
        <v>83880</v>
      </c>
    </row>
    <row r="26" spans="1:4" x14ac:dyDescent="0.2">
      <c r="A26">
        <v>2017</v>
      </c>
      <c r="B26" s="3">
        <v>913100</v>
      </c>
      <c r="C26" s="3" t="s">
        <v>24</v>
      </c>
      <c r="D26" s="4">
        <v>340656</v>
      </c>
    </row>
    <row r="27" spans="1:4" x14ac:dyDescent="0.2">
      <c r="A27">
        <v>2017</v>
      </c>
      <c r="B27" s="3">
        <v>943123</v>
      </c>
      <c r="C27" s="3" t="s">
        <v>25</v>
      </c>
      <c r="D27" s="4">
        <v>177153</v>
      </c>
    </row>
    <row r="28" spans="1:4" x14ac:dyDescent="0.2">
      <c r="A28">
        <v>2017</v>
      </c>
      <c r="B28" s="3">
        <v>901162</v>
      </c>
      <c r="C28" s="3" t="s">
        <v>26</v>
      </c>
      <c r="D28" s="4">
        <v>69921</v>
      </c>
    </row>
    <row r="29" spans="1:4" x14ac:dyDescent="0.2">
      <c r="A29">
        <v>2017</v>
      </c>
      <c r="B29" s="3">
        <v>918123</v>
      </c>
      <c r="C29" s="3" t="s">
        <v>27</v>
      </c>
      <c r="D29" s="4">
        <v>130694</v>
      </c>
    </row>
    <row r="30" spans="1:4" x14ac:dyDescent="0.2">
      <c r="A30">
        <v>2017</v>
      </c>
      <c r="B30" s="3">
        <v>952103</v>
      </c>
      <c r="C30" s="3" t="s">
        <v>177</v>
      </c>
      <c r="D30" s="4">
        <v>86544</v>
      </c>
    </row>
    <row r="31" spans="1:4" x14ac:dyDescent="0.2">
      <c r="A31">
        <v>2017</v>
      </c>
      <c r="B31" s="3">
        <v>960103</v>
      </c>
      <c r="C31" s="3" t="s">
        <v>29</v>
      </c>
      <c r="D31" s="4">
        <v>83319</v>
      </c>
    </row>
    <row r="32" spans="1:4" x14ac:dyDescent="0.2">
      <c r="A32">
        <v>2017</v>
      </c>
      <c r="B32" s="3">
        <v>961103</v>
      </c>
      <c r="C32" s="3" t="s">
        <v>30</v>
      </c>
      <c r="D32" s="4">
        <v>58952</v>
      </c>
    </row>
    <row r="33" spans="1:4" x14ac:dyDescent="0.2">
      <c r="A33">
        <v>2017</v>
      </c>
      <c r="B33" s="3">
        <v>925102</v>
      </c>
      <c r="C33" s="3" t="s">
        <v>178</v>
      </c>
      <c r="D33" s="4">
        <v>98846</v>
      </c>
    </row>
    <row r="34" spans="1:4" x14ac:dyDescent="0.2">
      <c r="A34">
        <v>2017</v>
      </c>
      <c r="B34" s="3">
        <v>921104</v>
      </c>
      <c r="C34" s="3" t="s">
        <v>32</v>
      </c>
      <c r="D34" s="4">
        <v>287307</v>
      </c>
    </row>
    <row r="35" spans="1:4" x14ac:dyDescent="0.2">
      <c r="A35">
        <v>2017</v>
      </c>
      <c r="B35" s="3">
        <v>962100</v>
      </c>
      <c r="C35" s="3" t="s">
        <v>33</v>
      </c>
      <c r="D35" s="4">
        <v>398891</v>
      </c>
    </row>
    <row r="36" spans="1:4" x14ac:dyDescent="0.2">
      <c r="A36">
        <v>2017</v>
      </c>
      <c r="B36" s="3">
        <v>901110</v>
      </c>
      <c r="C36" s="3" t="s">
        <v>34</v>
      </c>
      <c r="D36" s="4">
        <v>275727</v>
      </c>
    </row>
    <row r="37" spans="1:4" x14ac:dyDescent="0.2">
      <c r="A37">
        <v>2017</v>
      </c>
      <c r="B37" s="3">
        <v>942103</v>
      </c>
      <c r="C37" s="3" t="s">
        <v>35</v>
      </c>
      <c r="D37" s="4">
        <v>110657</v>
      </c>
    </row>
    <row r="38" spans="1:4" x14ac:dyDescent="0.2">
      <c r="A38">
        <v>2017</v>
      </c>
      <c r="B38" s="3">
        <v>906174</v>
      </c>
      <c r="C38" s="3" t="s">
        <v>36</v>
      </c>
      <c r="D38" s="4">
        <v>137719</v>
      </c>
    </row>
    <row r="39" spans="1:4" x14ac:dyDescent="0.2">
      <c r="A39">
        <v>2017</v>
      </c>
      <c r="B39" s="3">
        <v>923148</v>
      </c>
      <c r="C39" s="3" t="s">
        <v>37</v>
      </c>
      <c r="D39" s="4">
        <v>149665</v>
      </c>
    </row>
    <row r="40" spans="1:4" x14ac:dyDescent="0.2">
      <c r="A40">
        <v>2017</v>
      </c>
      <c r="B40" s="3">
        <v>957102</v>
      </c>
      <c r="C40" s="3" t="s">
        <v>38</v>
      </c>
      <c r="D40" s="4">
        <v>76007</v>
      </c>
    </row>
    <row r="41" spans="1:4" x14ac:dyDescent="0.2">
      <c r="A41">
        <v>2017</v>
      </c>
      <c r="B41" s="3">
        <v>902108</v>
      </c>
      <c r="C41" s="3" t="s">
        <v>39</v>
      </c>
      <c r="D41" s="4">
        <v>1025078</v>
      </c>
    </row>
    <row r="42" spans="1:4" x14ac:dyDescent="0.2">
      <c r="A42">
        <v>2017</v>
      </c>
      <c r="B42" s="3">
        <v>964107</v>
      </c>
      <c r="C42" s="3" t="s">
        <v>40</v>
      </c>
      <c r="D42" s="4">
        <v>183996</v>
      </c>
    </row>
    <row r="43" spans="1:4" x14ac:dyDescent="0.2">
      <c r="A43">
        <v>2017</v>
      </c>
      <c r="B43" s="3">
        <v>924102</v>
      </c>
      <c r="C43" s="3" t="s">
        <v>41</v>
      </c>
      <c r="D43" s="4">
        <v>258939</v>
      </c>
    </row>
    <row r="44" spans="1:4" x14ac:dyDescent="0.2">
      <c r="A44">
        <v>2017</v>
      </c>
      <c r="B44" s="3">
        <v>901100</v>
      </c>
      <c r="C44" s="3" t="s">
        <v>42</v>
      </c>
      <c r="D44" s="4">
        <v>126079</v>
      </c>
    </row>
    <row r="45" spans="1:4" x14ac:dyDescent="0.2">
      <c r="A45">
        <v>2017</v>
      </c>
      <c r="B45" s="3">
        <v>927111</v>
      </c>
      <c r="C45" s="3" t="s">
        <v>43</v>
      </c>
      <c r="D45" s="4">
        <v>74903</v>
      </c>
    </row>
    <row r="46" spans="1:4" x14ac:dyDescent="0.2">
      <c r="A46">
        <v>2017</v>
      </c>
      <c r="B46" s="3">
        <v>926121</v>
      </c>
      <c r="C46" s="3" t="s">
        <v>44</v>
      </c>
      <c r="D46" s="4">
        <v>51191</v>
      </c>
    </row>
    <row r="47" spans="1:4" x14ac:dyDescent="0.2">
      <c r="A47">
        <v>2017</v>
      </c>
      <c r="B47" s="3">
        <v>927102</v>
      </c>
      <c r="C47" s="3" t="s">
        <v>45</v>
      </c>
      <c r="D47" s="4">
        <v>9612</v>
      </c>
    </row>
    <row r="48" spans="1:4" x14ac:dyDescent="0.2">
      <c r="A48">
        <v>2017</v>
      </c>
      <c r="B48" s="3">
        <v>962101</v>
      </c>
      <c r="C48" s="3" t="s">
        <v>46</v>
      </c>
      <c r="D48" s="4">
        <v>191309</v>
      </c>
    </row>
    <row r="49" spans="1:4" x14ac:dyDescent="0.2">
      <c r="A49">
        <v>2017</v>
      </c>
      <c r="B49" s="3">
        <v>906173</v>
      </c>
      <c r="C49" s="3" t="s">
        <v>47</v>
      </c>
      <c r="D49" s="4">
        <v>116623</v>
      </c>
    </row>
    <row r="50" spans="1:4" x14ac:dyDescent="0.2">
      <c r="A50">
        <v>2017</v>
      </c>
      <c r="B50" s="3">
        <v>932104</v>
      </c>
      <c r="C50" s="3" t="s">
        <v>48</v>
      </c>
      <c r="D50" s="4">
        <v>95504</v>
      </c>
    </row>
    <row r="51" spans="1:4" x14ac:dyDescent="0.2">
      <c r="A51">
        <v>2017</v>
      </c>
      <c r="B51" s="3">
        <v>908117</v>
      </c>
      <c r="C51" s="3" t="s">
        <v>49</v>
      </c>
      <c r="D51" s="4">
        <v>70946</v>
      </c>
    </row>
    <row r="52" spans="1:4" x14ac:dyDescent="0.2">
      <c r="A52">
        <v>2017</v>
      </c>
      <c r="B52" s="3">
        <v>947100</v>
      </c>
      <c r="C52" s="3" t="s">
        <v>50</v>
      </c>
      <c r="D52" s="4">
        <v>77546</v>
      </c>
    </row>
    <row r="53" spans="1:4" x14ac:dyDescent="0.2">
      <c r="A53">
        <v>2017</v>
      </c>
      <c r="B53" s="3">
        <v>964108</v>
      </c>
      <c r="C53" s="3" t="s">
        <v>51</v>
      </c>
      <c r="D53" s="4">
        <v>59774</v>
      </c>
    </row>
    <row r="54" spans="1:4" x14ac:dyDescent="0.2">
      <c r="A54">
        <v>2017</v>
      </c>
      <c r="B54" s="3">
        <v>928117</v>
      </c>
      <c r="C54" s="3" t="s">
        <v>52</v>
      </c>
      <c r="D54" s="4">
        <v>97636</v>
      </c>
    </row>
    <row r="55" spans="1:4" x14ac:dyDescent="0.2">
      <c r="A55">
        <v>2017</v>
      </c>
      <c r="B55" s="3">
        <v>952102</v>
      </c>
      <c r="C55" s="3" t="s">
        <v>53</v>
      </c>
      <c r="D55" s="4">
        <v>213544</v>
      </c>
    </row>
    <row r="56" spans="1:4" x14ac:dyDescent="0.2">
      <c r="A56">
        <v>2017</v>
      </c>
      <c r="B56" s="3">
        <v>905140</v>
      </c>
      <c r="C56" s="3" t="s">
        <v>54</v>
      </c>
      <c r="D56" s="4">
        <v>82493</v>
      </c>
    </row>
    <row r="57" spans="1:4" x14ac:dyDescent="0.2">
      <c r="A57">
        <v>2017</v>
      </c>
      <c r="B57" s="3">
        <v>903142</v>
      </c>
      <c r="C57" s="3" t="s">
        <v>55</v>
      </c>
      <c r="D57" s="4">
        <v>72636</v>
      </c>
    </row>
    <row r="58" spans="1:4" x14ac:dyDescent="0.2">
      <c r="A58">
        <v>2017</v>
      </c>
      <c r="B58" s="3">
        <v>937103</v>
      </c>
      <c r="C58" s="3" t="s">
        <v>56</v>
      </c>
      <c r="D58" s="4">
        <v>113670</v>
      </c>
    </row>
    <row r="59" spans="1:4" x14ac:dyDescent="0.2">
      <c r="A59">
        <v>2017</v>
      </c>
      <c r="B59" s="3">
        <v>901155</v>
      </c>
      <c r="C59" s="3" t="s">
        <v>57</v>
      </c>
      <c r="D59" s="4">
        <v>136020</v>
      </c>
    </row>
    <row r="60" spans="1:4" x14ac:dyDescent="0.2">
      <c r="A60">
        <v>2017</v>
      </c>
      <c r="B60" s="3">
        <v>907163</v>
      </c>
      <c r="C60" s="3" t="s">
        <v>179</v>
      </c>
      <c r="D60" s="4">
        <v>94251</v>
      </c>
    </row>
    <row r="61" spans="1:4" x14ac:dyDescent="0.2">
      <c r="A61">
        <v>2017</v>
      </c>
      <c r="B61" s="3">
        <v>954100</v>
      </c>
      <c r="C61" s="3" t="s">
        <v>59</v>
      </c>
      <c r="D61" s="4">
        <v>85646</v>
      </c>
    </row>
    <row r="62" spans="1:4" x14ac:dyDescent="0.2">
      <c r="A62">
        <v>2017</v>
      </c>
      <c r="B62" s="3">
        <v>929106</v>
      </c>
      <c r="C62" s="3" t="s">
        <v>190</v>
      </c>
      <c r="D62" s="4">
        <v>56556</v>
      </c>
    </row>
    <row r="63" spans="1:4" x14ac:dyDescent="0.2">
      <c r="A63">
        <v>2017</v>
      </c>
      <c r="B63" s="3">
        <v>930101</v>
      </c>
      <c r="C63" s="3" t="s">
        <v>60</v>
      </c>
      <c r="D63" s="4">
        <v>132057</v>
      </c>
    </row>
    <row r="64" spans="1:4" x14ac:dyDescent="0.2">
      <c r="A64">
        <v>2017</v>
      </c>
      <c r="B64" s="3">
        <v>903105</v>
      </c>
      <c r="C64" s="3" t="s">
        <v>61</v>
      </c>
      <c r="D64" s="4">
        <v>207501</v>
      </c>
    </row>
    <row r="65" spans="1:4" x14ac:dyDescent="0.2">
      <c r="A65">
        <v>2017</v>
      </c>
      <c r="B65" s="3">
        <v>931100</v>
      </c>
      <c r="C65" s="3" t="s">
        <v>62</v>
      </c>
      <c r="D65" s="4">
        <v>110452</v>
      </c>
    </row>
    <row r="66" spans="1:4" x14ac:dyDescent="0.2">
      <c r="A66">
        <v>2017</v>
      </c>
      <c r="B66" s="3">
        <v>932136</v>
      </c>
      <c r="C66" s="3" t="s">
        <v>63</v>
      </c>
      <c r="D66" s="4">
        <v>212002</v>
      </c>
    </row>
    <row r="67" spans="1:4" x14ac:dyDescent="0.2">
      <c r="A67">
        <v>2017</v>
      </c>
      <c r="B67" s="3">
        <v>934118</v>
      </c>
      <c r="C67" s="3" t="s">
        <v>64</v>
      </c>
      <c r="D67" s="4">
        <v>122352</v>
      </c>
    </row>
    <row r="68" spans="1:4" x14ac:dyDescent="0.2">
      <c r="A68">
        <v>2017</v>
      </c>
      <c r="B68" s="3">
        <v>935117</v>
      </c>
      <c r="C68" s="3" t="s">
        <v>65</v>
      </c>
      <c r="D68" s="4">
        <v>97387</v>
      </c>
    </row>
    <row r="69" spans="1:4" x14ac:dyDescent="0.2">
      <c r="A69">
        <v>2017</v>
      </c>
      <c r="B69" s="3">
        <v>944100</v>
      </c>
      <c r="C69" s="3" t="s">
        <v>66</v>
      </c>
      <c r="D69" s="4">
        <v>1352590</v>
      </c>
    </row>
    <row r="70" spans="1:4" x14ac:dyDescent="0.2">
      <c r="A70">
        <v>2017</v>
      </c>
      <c r="B70" s="3">
        <v>905101</v>
      </c>
      <c r="C70" s="3" t="s">
        <v>67</v>
      </c>
      <c r="D70" s="4">
        <v>66946</v>
      </c>
    </row>
    <row r="71" spans="1:4" x14ac:dyDescent="0.2">
      <c r="A71">
        <v>2017</v>
      </c>
      <c r="B71" s="3">
        <v>916101</v>
      </c>
      <c r="C71" s="3" t="s">
        <v>68</v>
      </c>
      <c r="D71" s="4">
        <v>46747</v>
      </c>
    </row>
    <row r="72" spans="1:4" x14ac:dyDescent="0.2">
      <c r="A72">
        <v>2017</v>
      </c>
      <c r="B72" s="3">
        <v>938124</v>
      </c>
      <c r="C72" s="3" t="s">
        <v>180</v>
      </c>
      <c r="D72" s="4">
        <v>104270</v>
      </c>
    </row>
    <row r="73" spans="1:4" x14ac:dyDescent="0.2">
      <c r="A73">
        <v>2017</v>
      </c>
      <c r="B73" s="3">
        <v>902106</v>
      </c>
      <c r="C73" s="3" t="s">
        <v>70</v>
      </c>
      <c r="D73" s="4">
        <v>197288</v>
      </c>
    </row>
    <row r="74" spans="1:4" x14ac:dyDescent="0.2">
      <c r="A74">
        <v>2017</v>
      </c>
      <c r="B74" s="3">
        <v>957101</v>
      </c>
      <c r="C74" s="3" t="s">
        <v>181</v>
      </c>
      <c r="D74" s="4">
        <v>91565</v>
      </c>
    </row>
    <row r="75" spans="1:4" x14ac:dyDescent="0.2">
      <c r="A75">
        <v>2017</v>
      </c>
      <c r="B75" s="3">
        <v>927101</v>
      </c>
      <c r="C75" s="3" t="s">
        <v>72</v>
      </c>
      <c r="D75" s="4">
        <v>263748</v>
      </c>
    </row>
    <row r="76" spans="1:4" x14ac:dyDescent="0.2">
      <c r="A76">
        <v>2017</v>
      </c>
      <c r="B76" s="3">
        <v>954103</v>
      </c>
      <c r="C76" s="3" t="s">
        <v>73</v>
      </c>
      <c r="D76" s="4">
        <v>76312</v>
      </c>
    </row>
    <row r="77" spans="1:4" x14ac:dyDescent="0.2">
      <c r="A77">
        <v>2017</v>
      </c>
      <c r="B77" s="3">
        <v>951100</v>
      </c>
      <c r="C77" s="3" t="s">
        <v>74</v>
      </c>
      <c r="D77" s="4">
        <v>145262</v>
      </c>
    </row>
    <row r="78" spans="1:4" x14ac:dyDescent="0.2">
      <c r="A78">
        <v>2017</v>
      </c>
      <c r="B78" s="3">
        <v>904103</v>
      </c>
      <c r="C78" s="3" t="s">
        <v>75</v>
      </c>
      <c r="D78" s="4">
        <v>878718</v>
      </c>
    </row>
    <row r="79" spans="1:4" x14ac:dyDescent="0.2">
      <c r="A79">
        <v>2017</v>
      </c>
      <c r="B79" s="3">
        <v>926101</v>
      </c>
      <c r="C79" s="3" t="s">
        <v>76</v>
      </c>
      <c r="D79" s="4">
        <v>138480</v>
      </c>
    </row>
    <row r="80" spans="1:4" x14ac:dyDescent="0.2">
      <c r="A80">
        <v>2017</v>
      </c>
      <c r="B80" s="3">
        <v>907103</v>
      </c>
      <c r="C80" s="3" t="s">
        <v>182</v>
      </c>
      <c r="D80" s="4">
        <v>103388</v>
      </c>
    </row>
    <row r="81" spans="1:4" x14ac:dyDescent="0.2">
      <c r="A81">
        <v>2017</v>
      </c>
      <c r="B81" s="3">
        <v>904138</v>
      </c>
      <c r="C81" s="3" t="s">
        <v>78</v>
      </c>
      <c r="D81" s="4">
        <v>65749</v>
      </c>
    </row>
    <row r="82" spans="1:4" x14ac:dyDescent="0.2">
      <c r="A82">
        <v>2017</v>
      </c>
      <c r="B82" s="3">
        <v>908102</v>
      </c>
      <c r="C82" s="3" t="s">
        <v>79</v>
      </c>
      <c r="D82" s="4">
        <v>17292</v>
      </c>
    </row>
    <row r="83" spans="1:4" x14ac:dyDescent="0.2">
      <c r="A83">
        <v>2017</v>
      </c>
      <c r="B83" s="3">
        <v>941100</v>
      </c>
      <c r="C83" s="3" t="s">
        <v>80</v>
      </c>
      <c r="D83" s="4">
        <v>74790</v>
      </c>
    </row>
    <row r="84" spans="1:4" x14ac:dyDescent="0.2">
      <c r="A84">
        <v>2017</v>
      </c>
      <c r="B84" s="3">
        <v>939103</v>
      </c>
      <c r="C84" s="3" t="s">
        <v>81</v>
      </c>
      <c r="D84" s="4">
        <v>161348</v>
      </c>
    </row>
    <row r="85" spans="1:4" x14ac:dyDescent="0.2">
      <c r="A85">
        <v>2017</v>
      </c>
      <c r="B85" s="3">
        <v>913124</v>
      </c>
      <c r="C85" s="3" t="s">
        <v>82</v>
      </c>
      <c r="D85" s="4">
        <v>103143</v>
      </c>
    </row>
    <row r="86" spans="1:4" x14ac:dyDescent="0.2">
      <c r="A86">
        <v>2017</v>
      </c>
      <c r="B86" s="3">
        <v>942101</v>
      </c>
      <c r="C86" s="3" t="s">
        <v>83</v>
      </c>
      <c r="D86" s="4">
        <v>82016</v>
      </c>
    </row>
    <row r="87" spans="1:4" x14ac:dyDescent="0.2">
      <c r="A87">
        <v>2017</v>
      </c>
      <c r="B87" s="3">
        <v>948124</v>
      </c>
      <c r="C87" s="3" t="s">
        <v>84</v>
      </c>
      <c r="D87" s="4">
        <v>73581</v>
      </c>
    </row>
    <row r="88" spans="1:4" x14ac:dyDescent="0.2">
      <c r="A88">
        <v>2017</v>
      </c>
      <c r="B88" s="3">
        <v>909116</v>
      </c>
      <c r="C88" s="3" t="s">
        <v>183</v>
      </c>
      <c r="D88" s="4">
        <v>319340</v>
      </c>
    </row>
    <row r="89" spans="1:4" x14ac:dyDescent="0.2">
      <c r="A89">
        <v>2017</v>
      </c>
      <c r="B89" s="3">
        <v>953100</v>
      </c>
      <c r="C89" s="3" t="s">
        <v>86</v>
      </c>
      <c r="D89" s="4">
        <v>104009</v>
      </c>
    </row>
    <row r="90" spans="1:4" x14ac:dyDescent="0.2">
      <c r="A90">
        <v>2017</v>
      </c>
      <c r="B90" s="3">
        <v>944172</v>
      </c>
      <c r="C90" s="3" t="s">
        <v>87</v>
      </c>
      <c r="D90" s="4">
        <v>325844</v>
      </c>
    </row>
    <row r="91" spans="1:4" x14ac:dyDescent="0.2">
      <c r="A91">
        <v>2017</v>
      </c>
      <c r="B91" s="3">
        <v>947101</v>
      </c>
      <c r="C91" s="3" t="s">
        <v>88</v>
      </c>
      <c r="D91" s="4">
        <v>88529</v>
      </c>
    </row>
    <row r="92" spans="1:4" x14ac:dyDescent="0.2">
      <c r="A92">
        <v>2017</v>
      </c>
      <c r="B92" s="3">
        <v>945132</v>
      </c>
      <c r="C92" s="3" t="s">
        <v>89</v>
      </c>
      <c r="D92" s="4">
        <v>180053</v>
      </c>
    </row>
    <row r="93" spans="1:4" x14ac:dyDescent="0.2">
      <c r="A93">
        <v>2017</v>
      </c>
      <c r="B93" s="3">
        <v>943122</v>
      </c>
      <c r="C93" s="3" t="s">
        <v>90</v>
      </c>
      <c r="D93" s="4">
        <v>353561</v>
      </c>
    </row>
    <row r="94" spans="1:4" x14ac:dyDescent="0.2">
      <c r="A94">
        <v>2017</v>
      </c>
      <c r="B94" s="3">
        <v>961102</v>
      </c>
      <c r="C94" s="3" t="s">
        <v>91</v>
      </c>
      <c r="D94" s="4">
        <v>79914</v>
      </c>
    </row>
    <row r="95" spans="1:4" x14ac:dyDescent="0.2">
      <c r="A95">
        <v>2017</v>
      </c>
      <c r="B95" s="3">
        <v>946105</v>
      </c>
      <c r="C95" s="3" t="s">
        <v>92</v>
      </c>
      <c r="D95" s="4">
        <v>136802</v>
      </c>
    </row>
    <row r="96" spans="1:4" x14ac:dyDescent="0.2">
      <c r="A96">
        <v>2017</v>
      </c>
      <c r="B96" s="3">
        <v>920100</v>
      </c>
      <c r="C96" s="3" t="s">
        <v>93</v>
      </c>
      <c r="D96" s="4">
        <v>96975</v>
      </c>
    </row>
    <row r="97" spans="1:4" x14ac:dyDescent="0.2">
      <c r="A97">
        <v>2017</v>
      </c>
      <c r="B97" s="3">
        <v>920101</v>
      </c>
      <c r="C97" s="3" t="s">
        <v>94</v>
      </c>
      <c r="D97" s="4">
        <v>227169</v>
      </c>
    </row>
    <row r="98" spans="1:4" x14ac:dyDescent="0.2">
      <c r="A98">
        <v>2017</v>
      </c>
      <c r="B98" s="3">
        <v>949157</v>
      </c>
      <c r="C98" s="3" t="s">
        <v>95</v>
      </c>
      <c r="D98" s="4">
        <v>794807</v>
      </c>
    </row>
    <row r="99" spans="1:4" x14ac:dyDescent="0.2">
      <c r="A99">
        <v>2017</v>
      </c>
      <c r="B99" s="3">
        <v>937102</v>
      </c>
      <c r="C99" s="3" t="s">
        <v>96</v>
      </c>
      <c r="D99" s="4">
        <v>113207</v>
      </c>
    </row>
    <row r="100" spans="1:4" x14ac:dyDescent="0.2">
      <c r="A100">
        <v>2017</v>
      </c>
      <c r="B100" s="3">
        <v>917104</v>
      </c>
      <c r="C100" s="3" t="s">
        <v>191</v>
      </c>
      <c r="D100" s="4">
        <v>67957</v>
      </c>
    </row>
    <row r="101" spans="1:4" x14ac:dyDescent="0.2">
      <c r="A101">
        <v>2017</v>
      </c>
      <c r="B101" s="3">
        <v>929103</v>
      </c>
      <c r="C101" s="3" t="s">
        <v>98</v>
      </c>
      <c r="D101" s="4">
        <v>297201</v>
      </c>
    </row>
    <row r="102" spans="1:4" x14ac:dyDescent="0.2">
      <c r="A102">
        <v>2017</v>
      </c>
      <c r="B102" s="3">
        <v>933100</v>
      </c>
      <c r="C102" s="3" t="s">
        <v>99</v>
      </c>
      <c r="D102" s="4">
        <v>150523</v>
      </c>
    </row>
    <row r="103" spans="1:4" x14ac:dyDescent="0.2">
      <c r="A103">
        <v>2017</v>
      </c>
      <c r="B103" s="3">
        <v>908101</v>
      </c>
      <c r="C103" s="3" t="s">
        <v>100</v>
      </c>
      <c r="D103" s="4">
        <v>1017681</v>
      </c>
    </row>
    <row r="104" spans="1:4" x14ac:dyDescent="0.2">
      <c r="A104">
        <v>2017</v>
      </c>
      <c r="B104" s="3">
        <v>963101</v>
      </c>
      <c r="C104" s="3" t="s">
        <v>184</v>
      </c>
      <c r="D104" s="4">
        <v>233909</v>
      </c>
    </row>
    <row r="105" spans="1:4" x14ac:dyDescent="0.2">
      <c r="A105">
        <v>2017</v>
      </c>
      <c r="B105" s="3">
        <v>946103</v>
      </c>
      <c r="C105" s="3" t="s">
        <v>102</v>
      </c>
      <c r="D105" s="4">
        <v>90414</v>
      </c>
    </row>
    <row r="106" spans="1:4" x14ac:dyDescent="0.2">
      <c r="A106">
        <v>2017</v>
      </c>
      <c r="B106" s="3">
        <v>908100</v>
      </c>
      <c r="C106" s="3" t="s">
        <v>103</v>
      </c>
      <c r="D106" s="4">
        <v>88934</v>
      </c>
    </row>
    <row r="107" spans="1:4" x14ac:dyDescent="0.2">
      <c r="A107">
        <v>2017</v>
      </c>
      <c r="B107" s="3">
        <v>902104</v>
      </c>
      <c r="C107" s="3" t="s">
        <v>104</v>
      </c>
      <c r="D107" s="4">
        <v>91357</v>
      </c>
    </row>
    <row r="108" spans="1:4" x14ac:dyDescent="0.2">
      <c r="A108">
        <v>2017</v>
      </c>
      <c r="B108" s="3">
        <v>915104</v>
      </c>
      <c r="C108" s="3" t="s">
        <v>105</v>
      </c>
      <c r="D108" s="4">
        <v>120199</v>
      </c>
    </row>
    <row r="109" spans="1:4" x14ac:dyDescent="0.2">
      <c r="A109">
        <v>2017</v>
      </c>
      <c r="B109" s="3">
        <v>903100</v>
      </c>
      <c r="C109" s="3" t="s">
        <v>185</v>
      </c>
      <c r="D109" s="4">
        <v>41188</v>
      </c>
    </row>
    <row r="110" spans="1:4" x14ac:dyDescent="0.2">
      <c r="A110">
        <v>2017</v>
      </c>
      <c r="B110" s="3">
        <v>932137</v>
      </c>
      <c r="C110" s="3" t="s">
        <v>107</v>
      </c>
      <c r="D110" s="4">
        <v>149705</v>
      </c>
    </row>
    <row r="111" spans="1:4" x14ac:dyDescent="0.2">
      <c r="A111">
        <v>2017</v>
      </c>
      <c r="B111" s="3">
        <v>905130</v>
      </c>
      <c r="C111" s="3" t="s">
        <v>108</v>
      </c>
      <c r="D111" s="4">
        <v>44275</v>
      </c>
    </row>
    <row r="112" spans="1:4" x14ac:dyDescent="0.2">
      <c r="A112">
        <v>2017</v>
      </c>
      <c r="B112" s="3">
        <v>953173</v>
      </c>
      <c r="C112" s="3" t="s">
        <v>109</v>
      </c>
      <c r="D112" s="4">
        <v>72916</v>
      </c>
    </row>
    <row r="113" spans="1:4" x14ac:dyDescent="0.2">
      <c r="A113">
        <v>2017</v>
      </c>
      <c r="B113" s="3">
        <v>957116</v>
      </c>
      <c r="C113" s="3" t="s">
        <v>110</v>
      </c>
      <c r="D113" s="4">
        <v>89834</v>
      </c>
    </row>
    <row r="114" spans="1:4" x14ac:dyDescent="0.2">
      <c r="A114">
        <v>2017</v>
      </c>
      <c r="B114" s="3">
        <v>963102</v>
      </c>
      <c r="C114" s="3" t="s">
        <v>111</v>
      </c>
      <c r="D114" s="4">
        <v>44438</v>
      </c>
    </row>
    <row r="115" spans="1:4" x14ac:dyDescent="0.2">
      <c r="A115">
        <v>2017</v>
      </c>
      <c r="B115" s="3">
        <v>927100</v>
      </c>
      <c r="C115" s="3" t="s">
        <v>112</v>
      </c>
      <c r="D115" s="4">
        <v>57570</v>
      </c>
    </row>
    <row r="116" spans="1:4" x14ac:dyDescent="0.2">
      <c r="A116">
        <v>2017</v>
      </c>
      <c r="B116" s="3">
        <v>943104</v>
      </c>
      <c r="C116" s="3" t="s">
        <v>186</v>
      </c>
      <c r="D116" s="4">
        <v>61889</v>
      </c>
    </row>
    <row r="117" spans="1:4" x14ac:dyDescent="0.2">
      <c r="A117">
        <v>2017</v>
      </c>
      <c r="B117" s="3">
        <v>961100</v>
      </c>
      <c r="C117" s="3" t="s">
        <v>114</v>
      </c>
      <c r="D117" s="4">
        <v>128210</v>
      </c>
    </row>
    <row r="118" spans="1:4" x14ac:dyDescent="0.2">
      <c r="A118">
        <v>2017</v>
      </c>
      <c r="B118" s="3">
        <v>937104</v>
      </c>
      <c r="C118" s="3" t="s">
        <v>115</v>
      </c>
      <c r="D118" s="4">
        <v>166380</v>
      </c>
    </row>
    <row r="119" spans="1:4" x14ac:dyDescent="0.2">
      <c r="A119">
        <v>2017</v>
      </c>
      <c r="B119" s="3">
        <v>936100</v>
      </c>
      <c r="C119" s="3" t="s">
        <v>116</v>
      </c>
      <c r="D119" s="4">
        <v>850589</v>
      </c>
    </row>
    <row r="120" spans="1:4" x14ac:dyDescent="0.2">
      <c r="A120">
        <v>2017</v>
      </c>
      <c r="B120" s="3">
        <v>910103</v>
      </c>
      <c r="C120" s="3" t="s">
        <v>117</v>
      </c>
      <c r="D120" s="4">
        <v>99258</v>
      </c>
    </row>
    <row r="121" spans="1:4" x14ac:dyDescent="0.2">
      <c r="A121">
        <v>2017</v>
      </c>
      <c r="B121" s="3">
        <v>917105</v>
      </c>
      <c r="C121" s="3" t="s">
        <v>187</v>
      </c>
      <c r="D121" s="4">
        <v>175243</v>
      </c>
    </row>
    <row r="122" spans="1:4" x14ac:dyDescent="0.2">
      <c r="A122">
        <v>2017</v>
      </c>
      <c r="B122" s="3">
        <v>943100</v>
      </c>
      <c r="C122" s="3" t="s">
        <v>119</v>
      </c>
      <c r="D122" s="4">
        <v>11727</v>
      </c>
    </row>
    <row r="123" spans="1:4" x14ac:dyDescent="0.2">
      <c r="A123">
        <v>2017</v>
      </c>
      <c r="B123" s="3">
        <v>902101</v>
      </c>
      <c r="C123" s="3" t="s">
        <v>120</v>
      </c>
      <c r="D123" s="4">
        <v>4706881</v>
      </c>
    </row>
    <row r="124" spans="1:4" x14ac:dyDescent="0.2">
      <c r="A124">
        <v>2017</v>
      </c>
      <c r="B124" s="3">
        <v>957100</v>
      </c>
      <c r="C124" s="3" t="s">
        <v>121</v>
      </c>
      <c r="D124" s="4">
        <v>213627</v>
      </c>
    </row>
    <row r="125" spans="1:4" x14ac:dyDescent="0.2">
      <c r="A125">
        <v>2017</v>
      </c>
      <c r="B125" s="3">
        <v>955167</v>
      </c>
      <c r="C125" s="3" t="s">
        <v>122</v>
      </c>
      <c r="D125" s="4">
        <v>85202</v>
      </c>
    </row>
    <row r="126" spans="1:4" x14ac:dyDescent="0.2">
      <c r="A126">
        <v>2017</v>
      </c>
      <c r="B126" s="3">
        <v>943121</v>
      </c>
      <c r="C126" s="3" t="s">
        <v>123</v>
      </c>
      <c r="D126" s="4">
        <v>67422</v>
      </c>
    </row>
    <row r="127" spans="1:4" x14ac:dyDescent="0.2">
      <c r="A127">
        <v>2017</v>
      </c>
      <c r="B127" s="3">
        <v>956114</v>
      </c>
      <c r="C127" s="3" t="s">
        <v>124</v>
      </c>
      <c r="D127" s="4">
        <v>85806</v>
      </c>
    </row>
    <row r="128" spans="1:4" x14ac:dyDescent="0.2">
      <c r="A128">
        <v>2017</v>
      </c>
      <c r="B128" s="3">
        <v>912102</v>
      </c>
      <c r="C128" s="3" t="s">
        <v>125</v>
      </c>
      <c r="D128" s="4">
        <v>78041</v>
      </c>
    </row>
    <row r="129" spans="1:4" x14ac:dyDescent="0.2">
      <c r="A129">
        <v>2017</v>
      </c>
      <c r="B129" s="3">
        <v>963112</v>
      </c>
      <c r="C129" s="3" t="s">
        <v>126</v>
      </c>
      <c r="D129" s="4">
        <v>73877</v>
      </c>
    </row>
    <row r="130" spans="1:4" x14ac:dyDescent="0.2">
      <c r="A130">
        <v>2017</v>
      </c>
      <c r="B130" s="3">
        <v>927200</v>
      </c>
      <c r="C130" s="3" t="s">
        <v>192</v>
      </c>
      <c r="D130" s="4">
        <v>446219</v>
      </c>
    </row>
    <row r="131" spans="1:4" x14ac:dyDescent="0.2">
      <c r="A131">
        <v>2017</v>
      </c>
      <c r="B131" s="3">
        <v>901111</v>
      </c>
      <c r="C131" s="3" t="s">
        <v>128</v>
      </c>
      <c r="D131" s="4">
        <v>8686574</v>
      </c>
    </row>
    <row r="132" spans="1:4" x14ac:dyDescent="0.2">
      <c r="A132">
        <v>2017</v>
      </c>
      <c r="B132" s="3">
        <v>906105</v>
      </c>
      <c r="C132" s="3" t="s">
        <v>129</v>
      </c>
      <c r="D132" s="4">
        <v>179512</v>
      </c>
    </row>
    <row r="133" spans="1:4" x14ac:dyDescent="0.2">
      <c r="A133">
        <v>2017</v>
      </c>
      <c r="B133" s="3">
        <v>955108</v>
      </c>
      <c r="C133" s="3" t="s">
        <v>130</v>
      </c>
      <c r="D133" s="4">
        <v>363681</v>
      </c>
    </row>
    <row r="134" spans="1:4" x14ac:dyDescent="0.2">
      <c r="A134">
        <v>2017</v>
      </c>
      <c r="B134" s="3">
        <v>920102</v>
      </c>
      <c r="C134" s="3" t="s">
        <v>131</v>
      </c>
      <c r="D134" s="4">
        <v>130918</v>
      </c>
    </row>
    <row r="135" spans="1:4" x14ac:dyDescent="0.2">
      <c r="A135">
        <v>2017</v>
      </c>
      <c r="B135" s="3">
        <v>912104</v>
      </c>
      <c r="C135" s="3" t="s">
        <v>132</v>
      </c>
      <c r="D135" s="4">
        <v>67494</v>
      </c>
    </row>
    <row r="136" spans="1:4" x14ac:dyDescent="0.2">
      <c r="A136">
        <v>2017</v>
      </c>
      <c r="B136" s="3">
        <v>930103</v>
      </c>
      <c r="C136" s="3" t="s">
        <v>133</v>
      </c>
      <c r="D136" s="4">
        <v>69815</v>
      </c>
    </row>
    <row r="137" spans="1:4" x14ac:dyDescent="0.2">
      <c r="A137">
        <v>2017</v>
      </c>
      <c r="B137" s="3">
        <v>962104</v>
      </c>
      <c r="C137" s="3" t="s">
        <v>134</v>
      </c>
      <c r="D137" s="4">
        <v>65593</v>
      </c>
    </row>
    <row r="138" spans="1:4" x14ac:dyDescent="0.2">
      <c r="A138">
        <v>2017</v>
      </c>
      <c r="B138" s="3">
        <v>909101</v>
      </c>
      <c r="C138" s="3" t="s">
        <v>135</v>
      </c>
      <c r="D138" s="4">
        <v>631552</v>
      </c>
    </row>
    <row r="139" spans="1:4" x14ac:dyDescent="0.2">
      <c r="A139">
        <v>2017</v>
      </c>
      <c r="B139" s="3">
        <v>958100</v>
      </c>
      <c r="C139" s="3" t="s">
        <v>136</v>
      </c>
      <c r="D139" s="4">
        <v>166335</v>
      </c>
    </row>
    <row r="140" spans="1:4" x14ac:dyDescent="0.2">
      <c r="A140">
        <v>2017</v>
      </c>
      <c r="B140" s="3">
        <v>955104</v>
      </c>
      <c r="C140" s="3" t="s">
        <v>137</v>
      </c>
      <c r="D140" s="4">
        <v>63777</v>
      </c>
    </row>
    <row r="141" spans="1:4" x14ac:dyDescent="0.2">
      <c r="A141">
        <v>2017</v>
      </c>
      <c r="B141" s="3">
        <v>944102</v>
      </c>
      <c r="C141" s="3" t="s">
        <v>138</v>
      </c>
      <c r="D141" s="4">
        <v>452878</v>
      </c>
    </row>
    <row r="142" spans="1:4" x14ac:dyDescent="0.2">
      <c r="A142">
        <v>2017</v>
      </c>
      <c r="B142" s="3">
        <v>950102</v>
      </c>
      <c r="C142" s="3" t="s">
        <v>139</v>
      </c>
      <c r="D142" s="4">
        <v>21342</v>
      </c>
    </row>
    <row r="143" spans="1:4" x14ac:dyDescent="0.2">
      <c r="A143">
        <v>2017</v>
      </c>
      <c r="B143" s="3">
        <v>924101</v>
      </c>
      <c r="C143" s="3" t="s">
        <v>140</v>
      </c>
      <c r="D143" s="4">
        <v>162267</v>
      </c>
    </row>
    <row r="144" spans="1:4" x14ac:dyDescent="0.2">
      <c r="A144">
        <v>2017</v>
      </c>
      <c r="B144" s="3">
        <v>960200</v>
      </c>
      <c r="C144" s="3" t="s">
        <v>141</v>
      </c>
      <c r="D144" s="4">
        <v>841975</v>
      </c>
    </row>
    <row r="145" spans="1:4" x14ac:dyDescent="0.2">
      <c r="A145">
        <v>2017</v>
      </c>
      <c r="B145" s="3">
        <v>901105</v>
      </c>
      <c r="C145" s="3" t="s">
        <v>142</v>
      </c>
      <c r="D145" s="4">
        <v>270010</v>
      </c>
    </row>
    <row r="146" spans="1:4" x14ac:dyDescent="0.2">
      <c r="A146">
        <v>2017</v>
      </c>
      <c r="B146" s="3">
        <v>937100</v>
      </c>
      <c r="C146" s="3" t="s">
        <v>143</v>
      </c>
      <c r="D146" s="4">
        <v>82615</v>
      </c>
    </row>
    <row r="147" spans="1:4" x14ac:dyDescent="0.2">
      <c r="A147">
        <v>2017</v>
      </c>
      <c r="B147" s="3">
        <v>919100</v>
      </c>
      <c r="C147" s="3" t="s">
        <v>144</v>
      </c>
      <c r="D147" s="4">
        <v>373289</v>
      </c>
    </row>
    <row r="148" spans="1:4" x14ac:dyDescent="0.2">
      <c r="A148">
        <v>2017</v>
      </c>
      <c r="B148" s="3">
        <v>961104</v>
      </c>
      <c r="C148" s="3" t="s">
        <v>188</v>
      </c>
      <c r="D148" s="4">
        <v>100039</v>
      </c>
    </row>
    <row r="149" spans="1:4" x14ac:dyDescent="0.2">
      <c r="A149">
        <v>2017</v>
      </c>
      <c r="B149" s="3">
        <v>917103</v>
      </c>
      <c r="C149" s="3" t="s">
        <v>146</v>
      </c>
      <c r="D149" s="4">
        <v>356901</v>
      </c>
    </row>
    <row r="150" spans="1:4" x14ac:dyDescent="0.2">
      <c r="A150">
        <v>2017</v>
      </c>
      <c r="B150" s="3">
        <v>902107</v>
      </c>
      <c r="C150" s="3" t="s">
        <v>147</v>
      </c>
      <c r="D150" s="4">
        <v>102177</v>
      </c>
    </row>
    <row r="151" spans="1:4" x14ac:dyDescent="0.2">
      <c r="A151">
        <v>2017</v>
      </c>
      <c r="B151" s="3">
        <v>903141</v>
      </c>
      <c r="C151" s="3" t="s">
        <v>148</v>
      </c>
      <c r="D151" s="4">
        <v>93072</v>
      </c>
    </row>
    <row r="152" spans="1:4" x14ac:dyDescent="0.2">
      <c r="A152">
        <v>2017</v>
      </c>
      <c r="B152" s="3">
        <v>905104</v>
      </c>
      <c r="C152" s="3" t="s">
        <v>149</v>
      </c>
      <c r="D152" s="4">
        <v>1867001</v>
      </c>
    </row>
    <row r="153" spans="1:4" x14ac:dyDescent="0.2">
      <c r="A153">
        <v>2017</v>
      </c>
      <c r="B153" s="3">
        <v>922105</v>
      </c>
      <c r="C153" s="3" t="s">
        <v>150</v>
      </c>
      <c r="D153" s="4">
        <v>77279</v>
      </c>
    </row>
    <row r="154" spans="1:4" x14ac:dyDescent="0.2">
      <c r="A154">
        <v>2017</v>
      </c>
      <c r="B154" s="3">
        <v>905100</v>
      </c>
      <c r="C154" s="3" t="s">
        <v>151</v>
      </c>
      <c r="D154" s="4">
        <v>66203</v>
      </c>
    </row>
    <row r="155" spans="1:4" x14ac:dyDescent="0.2">
      <c r="A155">
        <v>2017</v>
      </c>
      <c r="B155" s="3">
        <v>922107</v>
      </c>
      <c r="C155" s="3" t="s">
        <v>152</v>
      </c>
      <c r="D155" s="4">
        <v>154556</v>
      </c>
    </row>
    <row r="156" spans="1:4" x14ac:dyDescent="0.2">
      <c r="A156">
        <v>2017</v>
      </c>
      <c r="B156" s="3">
        <v>940102</v>
      </c>
      <c r="C156" s="3" t="s">
        <v>153</v>
      </c>
      <c r="D156" s="4">
        <v>115683</v>
      </c>
    </row>
    <row r="157" spans="1:4" x14ac:dyDescent="0.2">
      <c r="A157">
        <v>2017</v>
      </c>
      <c r="B157" s="3">
        <v>901157</v>
      </c>
      <c r="C157" s="3" t="s">
        <v>154</v>
      </c>
      <c r="D157" s="4">
        <v>416743</v>
      </c>
    </row>
    <row r="158" spans="1:4" x14ac:dyDescent="0.2">
      <c r="A158">
        <v>2017</v>
      </c>
      <c r="B158" s="3">
        <v>910105</v>
      </c>
      <c r="C158" s="3" t="s">
        <v>156</v>
      </c>
      <c r="D158" s="4">
        <v>56586</v>
      </c>
    </row>
    <row r="159" spans="1:4" x14ac:dyDescent="0.2">
      <c r="A159">
        <v>2017</v>
      </c>
      <c r="B159" s="3">
        <v>950101</v>
      </c>
      <c r="C159" s="3" t="s">
        <v>157</v>
      </c>
      <c r="D159" s="4">
        <v>188115</v>
      </c>
    </row>
    <row r="160" spans="1:4" x14ac:dyDescent="0.2">
      <c r="A160">
        <v>2017</v>
      </c>
      <c r="B160" s="3">
        <v>918101</v>
      </c>
      <c r="C160" s="3" t="s">
        <v>158</v>
      </c>
      <c r="D160" s="4">
        <v>79182</v>
      </c>
    </row>
    <row r="161" spans="1:4" x14ac:dyDescent="0.2">
      <c r="A161">
        <v>2017</v>
      </c>
      <c r="B161" s="3">
        <v>955102</v>
      </c>
      <c r="C161" s="3" t="s">
        <v>159</v>
      </c>
      <c r="D161" s="4">
        <v>76532</v>
      </c>
    </row>
    <row r="162" spans="1:4" x14ac:dyDescent="0.2">
      <c r="A162">
        <v>2017</v>
      </c>
      <c r="B162" s="3">
        <v>960102</v>
      </c>
      <c r="C162" s="3" t="s">
        <v>160</v>
      </c>
      <c r="D162" s="4">
        <v>226371</v>
      </c>
    </row>
    <row r="163" spans="1:4" x14ac:dyDescent="0.2">
      <c r="A163">
        <v>2017</v>
      </c>
      <c r="B163" s="3">
        <v>904105</v>
      </c>
      <c r="C163" s="3" t="s">
        <v>189</v>
      </c>
      <c r="D163" s="4">
        <v>121595</v>
      </c>
    </row>
    <row r="164" spans="1:4" x14ac:dyDescent="0.2">
      <c r="A164">
        <v>2017</v>
      </c>
      <c r="B164" s="3">
        <v>956100</v>
      </c>
      <c r="C164" s="3" t="s">
        <v>162</v>
      </c>
      <c r="D164" s="4">
        <v>78068</v>
      </c>
    </row>
    <row r="165" spans="1:4" x14ac:dyDescent="0.2">
      <c r="A165">
        <v>2017</v>
      </c>
      <c r="B165" s="3">
        <v>907100</v>
      </c>
      <c r="C165" s="3" t="s">
        <v>163</v>
      </c>
      <c r="D165" s="4">
        <v>874003</v>
      </c>
    </row>
    <row r="166" spans="1:4" x14ac:dyDescent="0.2">
      <c r="A166">
        <v>2017</v>
      </c>
      <c r="B166" s="3" t="s">
        <v>165</v>
      </c>
      <c r="C166" s="3" t="s">
        <v>164</v>
      </c>
      <c r="D166" s="4">
        <v>26305534</v>
      </c>
    </row>
    <row r="167" spans="1:4" x14ac:dyDescent="0.2">
      <c r="A167">
        <v>2017</v>
      </c>
      <c r="B167" s="3">
        <v>909102</v>
      </c>
      <c r="C167" s="3" t="s">
        <v>169</v>
      </c>
      <c r="D167" s="4">
        <v>800137</v>
      </c>
    </row>
    <row r="168" spans="1:4" x14ac:dyDescent="0.2">
      <c r="A168">
        <v>2017</v>
      </c>
      <c r="B168" s="3">
        <v>903501</v>
      </c>
      <c r="C168" s="3" t="s">
        <v>170</v>
      </c>
      <c r="D168" s="4">
        <v>134856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D7EE-4D14-6C4C-8FD8-868EFC46E190}">
  <sheetPr>
    <tabColor rgb="FFFFFF00"/>
  </sheetPr>
  <dimension ref="A1:E169"/>
  <sheetViews>
    <sheetView workbookViewId="0">
      <selection activeCell="A2" sqref="A2:D169"/>
    </sheetView>
  </sheetViews>
  <sheetFormatPr baseColWidth="10" defaultRowHeight="16" x14ac:dyDescent="0.2"/>
  <cols>
    <col min="2" max="2" width="15.6640625" style="3" bestFit="1" customWidth="1"/>
    <col min="3" max="3" width="35" style="3" bestFit="1" customWidth="1"/>
    <col min="4" max="4" width="20.5" style="3" bestFit="1" customWidth="1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2016</v>
      </c>
      <c r="B2" s="3">
        <v>903103</v>
      </c>
      <c r="C2" s="3" t="s">
        <v>0</v>
      </c>
      <c r="D2" s="4">
        <v>1258689</v>
      </c>
    </row>
    <row r="3" spans="1:4" x14ac:dyDescent="0.2">
      <c r="A3">
        <v>2016</v>
      </c>
      <c r="B3" s="3">
        <v>959126</v>
      </c>
      <c r="C3" s="3" t="s">
        <v>173</v>
      </c>
      <c r="D3" s="4">
        <v>110235</v>
      </c>
    </row>
    <row r="4" spans="1:4" x14ac:dyDescent="0.2">
      <c r="A4">
        <v>2016</v>
      </c>
      <c r="B4" s="3">
        <v>962102</v>
      </c>
      <c r="C4" s="3" t="s">
        <v>174</v>
      </c>
      <c r="D4" s="4">
        <v>112232</v>
      </c>
    </row>
    <row r="5" spans="1:4" x14ac:dyDescent="0.2">
      <c r="A5">
        <v>2016</v>
      </c>
      <c r="B5" s="3">
        <v>917102</v>
      </c>
      <c r="C5" s="3" t="s">
        <v>3</v>
      </c>
      <c r="D5" s="4">
        <v>161078</v>
      </c>
    </row>
    <row r="6" spans="1:4" x14ac:dyDescent="0.2">
      <c r="A6">
        <v>2016</v>
      </c>
      <c r="B6" s="3">
        <v>942100</v>
      </c>
      <c r="C6" s="3" t="s">
        <v>4</v>
      </c>
      <c r="D6" s="4">
        <v>99348</v>
      </c>
    </row>
    <row r="7" spans="1:4" x14ac:dyDescent="0.2">
      <c r="A7">
        <v>2016</v>
      </c>
      <c r="B7" s="3">
        <v>925101</v>
      </c>
      <c r="C7" s="3" t="s">
        <v>5</v>
      </c>
      <c r="D7" s="4">
        <v>57555</v>
      </c>
    </row>
    <row r="8" spans="1:4" x14ac:dyDescent="0.2">
      <c r="A8">
        <v>2016</v>
      </c>
      <c r="B8" s="3">
        <v>912103</v>
      </c>
      <c r="C8" s="3" t="s">
        <v>6</v>
      </c>
      <c r="D8" s="4">
        <v>77170</v>
      </c>
    </row>
    <row r="9" spans="1:4" x14ac:dyDescent="0.2">
      <c r="A9">
        <v>2016</v>
      </c>
      <c r="B9" s="3">
        <v>901106</v>
      </c>
      <c r="C9" s="3" t="s">
        <v>7</v>
      </c>
      <c r="D9" s="4">
        <v>136261</v>
      </c>
    </row>
    <row r="10" spans="1:4" x14ac:dyDescent="0.2">
      <c r="A10">
        <v>2016</v>
      </c>
      <c r="B10" s="3">
        <v>915100</v>
      </c>
      <c r="C10" s="3" t="s">
        <v>8</v>
      </c>
      <c r="D10" s="4">
        <v>337231</v>
      </c>
    </row>
    <row r="11" spans="1:4" x14ac:dyDescent="0.2">
      <c r="A11">
        <v>2016</v>
      </c>
      <c r="B11" s="3">
        <v>911109</v>
      </c>
      <c r="C11" s="3" t="s">
        <v>9</v>
      </c>
      <c r="D11" s="4">
        <v>186715</v>
      </c>
    </row>
    <row r="12" spans="1:4" x14ac:dyDescent="0.2">
      <c r="A12">
        <v>2016</v>
      </c>
      <c r="B12" s="3">
        <v>962150</v>
      </c>
      <c r="C12" s="3" t="s">
        <v>10</v>
      </c>
      <c r="D12" s="4">
        <v>184542</v>
      </c>
    </row>
    <row r="13" spans="1:4" x14ac:dyDescent="0.2">
      <c r="A13">
        <v>2016</v>
      </c>
      <c r="B13" s="3">
        <v>929144</v>
      </c>
      <c r="C13" s="3" t="s">
        <v>11</v>
      </c>
      <c r="D13" s="4">
        <v>45191</v>
      </c>
    </row>
    <row r="14" spans="1:4" x14ac:dyDescent="0.2">
      <c r="A14">
        <v>2016</v>
      </c>
      <c r="B14" s="3">
        <v>953171</v>
      </c>
      <c r="C14" s="3" t="s">
        <v>12</v>
      </c>
      <c r="D14" s="4">
        <v>71408</v>
      </c>
    </row>
    <row r="15" spans="1:4" x14ac:dyDescent="0.2">
      <c r="A15">
        <v>2016</v>
      </c>
      <c r="B15" s="3">
        <v>912172</v>
      </c>
      <c r="C15" s="3" t="s">
        <v>13</v>
      </c>
      <c r="D15" s="4">
        <v>164966</v>
      </c>
    </row>
    <row r="16" spans="1:4" x14ac:dyDescent="0.2">
      <c r="A16">
        <v>2016</v>
      </c>
      <c r="B16" s="3">
        <v>926124</v>
      </c>
      <c r="C16" s="3" t="s">
        <v>14</v>
      </c>
      <c r="D16" s="4">
        <v>47985</v>
      </c>
    </row>
    <row r="17" spans="1:4" x14ac:dyDescent="0.2">
      <c r="A17">
        <v>2016</v>
      </c>
      <c r="B17" s="3">
        <v>901154</v>
      </c>
      <c r="C17" s="3" t="s">
        <v>15</v>
      </c>
      <c r="D17" s="4">
        <v>994453</v>
      </c>
    </row>
    <row r="18" spans="1:4" x14ac:dyDescent="0.2">
      <c r="A18">
        <v>2016</v>
      </c>
      <c r="B18" s="3">
        <v>946129</v>
      </c>
      <c r="C18" s="3" t="s">
        <v>175</v>
      </c>
      <c r="D18" s="4">
        <v>110869</v>
      </c>
    </row>
    <row r="19" spans="1:4" x14ac:dyDescent="0.2">
      <c r="A19">
        <v>2016</v>
      </c>
      <c r="B19" s="3">
        <v>948100</v>
      </c>
      <c r="C19" s="3" t="s">
        <v>176</v>
      </c>
      <c r="D19" s="4">
        <v>145241</v>
      </c>
    </row>
    <row r="20" spans="1:4" x14ac:dyDescent="0.2">
      <c r="A20">
        <v>2016</v>
      </c>
      <c r="B20" s="3">
        <v>906102</v>
      </c>
      <c r="C20" s="3" t="s">
        <v>18</v>
      </c>
      <c r="D20" s="4">
        <v>910140</v>
      </c>
    </row>
    <row r="21" spans="1:4" x14ac:dyDescent="0.2">
      <c r="A21">
        <v>2016</v>
      </c>
      <c r="B21" s="3">
        <v>930100</v>
      </c>
      <c r="C21" s="3" t="s">
        <v>19</v>
      </c>
      <c r="D21" s="4">
        <v>77059</v>
      </c>
    </row>
    <row r="22" spans="1:4" x14ac:dyDescent="0.2">
      <c r="A22">
        <v>2016</v>
      </c>
      <c r="B22" s="3">
        <v>946102</v>
      </c>
      <c r="C22" s="3" t="s">
        <v>20</v>
      </c>
      <c r="D22" s="4">
        <v>78331</v>
      </c>
    </row>
    <row r="23" spans="1:4" x14ac:dyDescent="0.2">
      <c r="A23">
        <v>2016</v>
      </c>
      <c r="B23" s="3">
        <v>944101</v>
      </c>
      <c r="C23" s="3" t="s">
        <v>21</v>
      </c>
      <c r="D23" s="4">
        <v>237035</v>
      </c>
    </row>
    <row r="24" spans="1:4" x14ac:dyDescent="0.2">
      <c r="A24">
        <v>2016</v>
      </c>
      <c r="B24" s="3">
        <v>932101</v>
      </c>
      <c r="C24" s="3" t="s">
        <v>22</v>
      </c>
      <c r="D24" s="4">
        <v>79962</v>
      </c>
    </row>
    <row r="25" spans="1:4" x14ac:dyDescent="0.2">
      <c r="A25">
        <v>2016</v>
      </c>
      <c r="B25" s="3">
        <v>961101</v>
      </c>
      <c r="C25" s="3" t="s">
        <v>23</v>
      </c>
      <c r="D25" s="4">
        <v>57281</v>
      </c>
    </row>
    <row r="26" spans="1:4" x14ac:dyDescent="0.2">
      <c r="A26">
        <v>2016</v>
      </c>
      <c r="B26" s="3">
        <v>913100</v>
      </c>
      <c r="C26" s="3" t="s">
        <v>24</v>
      </c>
      <c r="D26" s="4">
        <v>310183</v>
      </c>
    </row>
    <row r="27" spans="1:4" x14ac:dyDescent="0.2">
      <c r="A27">
        <v>2016</v>
      </c>
      <c r="B27" s="3">
        <v>943123</v>
      </c>
      <c r="C27" s="3" t="s">
        <v>25</v>
      </c>
      <c r="D27" s="4">
        <v>167300</v>
      </c>
    </row>
    <row r="28" spans="1:4" x14ac:dyDescent="0.2">
      <c r="A28">
        <v>2016</v>
      </c>
      <c r="B28" s="3">
        <v>901162</v>
      </c>
      <c r="C28" s="3" t="s">
        <v>26</v>
      </c>
      <c r="D28" s="4">
        <v>58870</v>
      </c>
    </row>
    <row r="29" spans="1:4" x14ac:dyDescent="0.2">
      <c r="A29">
        <v>2016</v>
      </c>
      <c r="B29" s="3">
        <v>918123</v>
      </c>
      <c r="C29" s="3" t="s">
        <v>27</v>
      </c>
      <c r="D29" s="4">
        <v>128873</v>
      </c>
    </row>
    <row r="30" spans="1:4" x14ac:dyDescent="0.2">
      <c r="A30">
        <v>2016</v>
      </c>
      <c r="B30" s="3">
        <v>952103</v>
      </c>
      <c r="C30" s="3" t="s">
        <v>177</v>
      </c>
      <c r="D30" s="4">
        <v>77641</v>
      </c>
    </row>
    <row r="31" spans="1:4" x14ac:dyDescent="0.2">
      <c r="A31">
        <v>2016</v>
      </c>
      <c r="B31" s="3">
        <v>960103</v>
      </c>
      <c r="C31" s="3" t="s">
        <v>29</v>
      </c>
      <c r="D31" s="4">
        <v>78783</v>
      </c>
    </row>
    <row r="32" spans="1:4" x14ac:dyDescent="0.2">
      <c r="A32">
        <v>2016</v>
      </c>
      <c r="B32" s="3">
        <v>961103</v>
      </c>
      <c r="C32" s="3" t="s">
        <v>30</v>
      </c>
      <c r="D32" s="4">
        <v>54854</v>
      </c>
    </row>
    <row r="33" spans="1:4" x14ac:dyDescent="0.2">
      <c r="A33">
        <v>2016</v>
      </c>
      <c r="B33" s="3">
        <v>925102</v>
      </c>
      <c r="C33" s="3" t="s">
        <v>178</v>
      </c>
      <c r="D33" s="4">
        <v>82871</v>
      </c>
    </row>
    <row r="34" spans="1:4" x14ac:dyDescent="0.2">
      <c r="A34">
        <v>2016</v>
      </c>
      <c r="B34" s="3">
        <v>921104</v>
      </c>
      <c r="C34" s="3" t="s">
        <v>32</v>
      </c>
      <c r="D34" s="4">
        <v>269080</v>
      </c>
    </row>
    <row r="35" spans="1:4" x14ac:dyDescent="0.2">
      <c r="A35">
        <v>2016</v>
      </c>
      <c r="B35" s="3">
        <v>962100</v>
      </c>
      <c r="C35" s="3" t="s">
        <v>33</v>
      </c>
      <c r="D35" s="4">
        <v>365253</v>
      </c>
    </row>
    <row r="36" spans="1:4" x14ac:dyDescent="0.2">
      <c r="A36">
        <v>2016</v>
      </c>
      <c r="B36" s="3">
        <v>901110</v>
      </c>
      <c r="C36" s="3" t="s">
        <v>34</v>
      </c>
      <c r="D36" s="4">
        <v>247987</v>
      </c>
    </row>
    <row r="37" spans="1:4" x14ac:dyDescent="0.2">
      <c r="A37">
        <v>2016</v>
      </c>
      <c r="B37" s="3">
        <v>942103</v>
      </c>
      <c r="C37" s="3" t="s">
        <v>35</v>
      </c>
      <c r="D37" s="4">
        <v>99211</v>
      </c>
    </row>
    <row r="38" spans="1:4" x14ac:dyDescent="0.2">
      <c r="A38">
        <v>2016</v>
      </c>
      <c r="B38" s="3">
        <v>906174</v>
      </c>
      <c r="C38" s="3" t="s">
        <v>36</v>
      </c>
      <c r="D38" s="4">
        <v>118329</v>
      </c>
    </row>
    <row r="39" spans="1:4" x14ac:dyDescent="0.2">
      <c r="A39">
        <v>2016</v>
      </c>
      <c r="B39" s="3">
        <v>923148</v>
      </c>
      <c r="C39" s="3" t="s">
        <v>37</v>
      </c>
      <c r="D39" s="4">
        <v>136327</v>
      </c>
    </row>
    <row r="40" spans="1:4" x14ac:dyDescent="0.2">
      <c r="A40">
        <v>2016</v>
      </c>
      <c r="B40" s="3">
        <v>957102</v>
      </c>
      <c r="C40" s="3" t="s">
        <v>38</v>
      </c>
      <c r="D40" s="4">
        <v>69413</v>
      </c>
    </row>
    <row r="41" spans="1:4" x14ac:dyDescent="0.2">
      <c r="A41">
        <v>2016</v>
      </c>
      <c r="B41" s="3">
        <v>902108</v>
      </c>
      <c r="C41" s="3" t="s">
        <v>39</v>
      </c>
      <c r="D41" s="4">
        <v>953934</v>
      </c>
    </row>
    <row r="42" spans="1:4" x14ac:dyDescent="0.2">
      <c r="A42">
        <v>2016</v>
      </c>
      <c r="B42" s="3">
        <v>964107</v>
      </c>
      <c r="C42" s="3" t="s">
        <v>40</v>
      </c>
      <c r="D42" s="4">
        <v>163154</v>
      </c>
    </row>
    <row r="43" spans="1:4" x14ac:dyDescent="0.2">
      <c r="A43">
        <v>2016</v>
      </c>
      <c r="B43" s="3">
        <v>924102</v>
      </c>
      <c r="C43" s="3" t="s">
        <v>41</v>
      </c>
      <c r="D43" s="4">
        <v>217340</v>
      </c>
    </row>
    <row r="44" spans="1:4" x14ac:dyDescent="0.2">
      <c r="A44">
        <v>2016</v>
      </c>
      <c r="B44" s="3">
        <v>901100</v>
      </c>
      <c r="C44" s="3" t="s">
        <v>42</v>
      </c>
      <c r="D44" s="4">
        <v>109201</v>
      </c>
    </row>
    <row r="45" spans="1:4" x14ac:dyDescent="0.2">
      <c r="A45">
        <v>2016</v>
      </c>
      <c r="B45" s="3">
        <v>927111</v>
      </c>
      <c r="C45" s="3" t="s">
        <v>43</v>
      </c>
      <c r="D45" s="4">
        <v>72950</v>
      </c>
    </row>
    <row r="46" spans="1:4" x14ac:dyDescent="0.2">
      <c r="A46">
        <v>2016</v>
      </c>
      <c r="B46" s="3">
        <v>926121</v>
      </c>
      <c r="C46" s="3" t="s">
        <v>44</v>
      </c>
      <c r="D46" s="4">
        <v>38886</v>
      </c>
    </row>
    <row r="47" spans="1:4" x14ac:dyDescent="0.2">
      <c r="A47">
        <v>2016</v>
      </c>
      <c r="B47" s="3">
        <v>927102</v>
      </c>
      <c r="C47" s="3" t="s">
        <v>45</v>
      </c>
      <c r="D47" s="4">
        <v>5055</v>
      </c>
    </row>
    <row r="48" spans="1:4" x14ac:dyDescent="0.2">
      <c r="A48">
        <v>2016</v>
      </c>
      <c r="B48" s="3">
        <v>962101</v>
      </c>
      <c r="C48" s="3" t="s">
        <v>46</v>
      </c>
      <c r="D48" s="4">
        <v>181768</v>
      </c>
    </row>
    <row r="49" spans="1:4" x14ac:dyDescent="0.2">
      <c r="A49">
        <v>2016</v>
      </c>
      <c r="B49" s="3">
        <v>906173</v>
      </c>
      <c r="C49" s="3" t="s">
        <v>47</v>
      </c>
      <c r="D49" s="4">
        <v>103107</v>
      </c>
    </row>
    <row r="50" spans="1:4" x14ac:dyDescent="0.2">
      <c r="A50">
        <v>2016</v>
      </c>
      <c r="B50" s="3">
        <v>932104</v>
      </c>
      <c r="C50" s="3" t="s">
        <v>48</v>
      </c>
      <c r="D50" s="4">
        <v>83050</v>
      </c>
    </row>
    <row r="51" spans="1:4" x14ac:dyDescent="0.2">
      <c r="A51">
        <v>2016</v>
      </c>
      <c r="B51" s="3">
        <v>908117</v>
      </c>
      <c r="C51" s="3" t="s">
        <v>49</v>
      </c>
      <c r="D51" s="4">
        <v>65209</v>
      </c>
    </row>
    <row r="52" spans="1:4" x14ac:dyDescent="0.2">
      <c r="A52">
        <v>2016</v>
      </c>
      <c r="B52" s="3">
        <v>947100</v>
      </c>
      <c r="C52" s="3" t="s">
        <v>50</v>
      </c>
      <c r="D52" s="4">
        <v>70458</v>
      </c>
    </row>
    <row r="53" spans="1:4" x14ac:dyDescent="0.2">
      <c r="A53">
        <v>2016</v>
      </c>
      <c r="B53" s="3">
        <v>964108</v>
      </c>
      <c r="C53" s="3" t="s">
        <v>51</v>
      </c>
      <c r="D53" s="4">
        <v>52703</v>
      </c>
    </row>
    <row r="54" spans="1:4" x14ac:dyDescent="0.2">
      <c r="A54">
        <v>2016</v>
      </c>
      <c r="B54" s="3">
        <v>928117</v>
      </c>
      <c r="C54" s="3" t="s">
        <v>52</v>
      </c>
      <c r="D54" s="4">
        <v>77651</v>
      </c>
    </row>
    <row r="55" spans="1:4" x14ac:dyDescent="0.2">
      <c r="A55">
        <v>2016</v>
      </c>
      <c r="B55" s="3">
        <v>952102</v>
      </c>
      <c r="C55" s="3" t="s">
        <v>53</v>
      </c>
      <c r="D55" s="4">
        <v>195448</v>
      </c>
    </row>
    <row r="56" spans="1:4" x14ac:dyDescent="0.2">
      <c r="A56">
        <v>2016</v>
      </c>
      <c r="B56" s="3">
        <v>905140</v>
      </c>
      <c r="C56" s="3" t="s">
        <v>54</v>
      </c>
      <c r="D56" s="4">
        <v>69951</v>
      </c>
    </row>
    <row r="57" spans="1:4" x14ac:dyDescent="0.2">
      <c r="A57">
        <v>2016</v>
      </c>
      <c r="B57" s="3">
        <v>903142</v>
      </c>
      <c r="C57" s="3" t="s">
        <v>55</v>
      </c>
      <c r="D57" s="4">
        <v>62128</v>
      </c>
    </row>
    <row r="58" spans="1:4" x14ac:dyDescent="0.2">
      <c r="A58">
        <v>2016</v>
      </c>
      <c r="B58" s="3">
        <v>937103</v>
      </c>
      <c r="C58" s="3" t="s">
        <v>56</v>
      </c>
      <c r="D58" s="4">
        <v>103301</v>
      </c>
    </row>
    <row r="59" spans="1:4" x14ac:dyDescent="0.2">
      <c r="A59">
        <v>2016</v>
      </c>
      <c r="B59" s="3">
        <v>901155</v>
      </c>
      <c r="C59" s="3" t="s">
        <v>57</v>
      </c>
      <c r="D59" s="4">
        <v>138472</v>
      </c>
    </row>
    <row r="60" spans="1:4" x14ac:dyDescent="0.2">
      <c r="A60">
        <v>2016</v>
      </c>
      <c r="B60" s="3">
        <v>907163</v>
      </c>
      <c r="C60" s="3" t="s">
        <v>179</v>
      </c>
      <c r="D60" s="4">
        <v>81694</v>
      </c>
    </row>
    <row r="61" spans="1:4" x14ac:dyDescent="0.2">
      <c r="A61">
        <v>2016</v>
      </c>
      <c r="B61" s="3">
        <v>954100</v>
      </c>
      <c r="C61" s="3" t="s">
        <v>59</v>
      </c>
      <c r="D61" s="4">
        <v>81297</v>
      </c>
    </row>
    <row r="62" spans="1:4" x14ac:dyDescent="0.2">
      <c r="A62">
        <v>2016</v>
      </c>
      <c r="B62" s="3">
        <v>929106</v>
      </c>
      <c r="C62" s="3" t="s">
        <v>190</v>
      </c>
      <c r="D62" s="4">
        <v>38094</v>
      </c>
    </row>
    <row r="63" spans="1:4" x14ac:dyDescent="0.2">
      <c r="A63">
        <v>2016</v>
      </c>
      <c r="B63" s="3">
        <v>930101</v>
      </c>
      <c r="C63" s="3" t="s">
        <v>60</v>
      </c>
      <c r="D63" s="4">
        <v>119398</v>
      </c>
    </row>
    <row r="64" spans="1:4" x14ac:dyDescent="0.2">
      <c r="A64">
        <v>2016</v>
      </c>
      <c r="B64" s="3">
        <v>903105</v>
      </c>
      <c r="C64" s="3" t="s">
        <v>61</v>
      </c>
      <c r="D64" s="4">
        <v>195219</v>
      </c>
    </row>
    <row r="65" spans="1:4" x14ac:dyDescent="0.2">
      <c r="A65">
        <v>2016</v>
      </c>
      <c r="B65" s="3">
        <v>931100</v>
      </c>
      <c r="C65" s="3" t="s">
        <v>62</v>
      </c>
      <c r="D65" s="4">
        <v>90535</v>
      </c>
    </row>
    <row r="66" spans="1:4" x14ac:dyDescent="0.2">
      <c r="A66">
        <v>2016</v>
      </c>
      <c r="B66" s="3">
        <v>932136</v>
      </c>
      <c r="C66" s="3" t="s">
        <v>63</v>
      </c>
      <c r="D66" s="4">
        <v>193245</v>
      </c>
    </row>
    <row r="67" spans="1:4" x14ac:dyDescent="0.2">
      <c r="A67">
        <v>2016</v>
      </c>
      <c r="B67" s="3">
        <v>934118</v>
      </c>
      <c r="C67" s="3" t="s">
        <v>64</v>
      </c>
      <c r="D67" s="4">
        <v>111757</v>
      </c>
    </row>
    <row r="68" spans="1:4" x14ac:dyDescent="0.2">
      <c r="A68">
        <v>2016</v>
      </c>
      <c r="B68" s="3">
        <v>935117</v>
      </c>
      <c r="C68" s="3" t="s">
        <v>65</v>
      </c>
      <c r="D68" s="4">
        <v>94516</v>
      </c>
    </row>
    <row r="69" spans="1:4" x14ac:dyDescent="0.2">
      <c r="A69">
        <v>2016</v>
      </c>
      <c r="B69" s="3">
        <v>944100</v>
      </c>
      <c r="C69" s="3" t="s">
        <v>66</v>
      </c>
      <c r="D69" s="4">
        <v>1165052</v>
      </c>
    </row>
    <row r="70" spans="1:4" x14ac:dyDescent="0.2">
      <c r="A70">
        <v>2016</v>
      </c>
      <c r="B70" s="3">
        <v>905101</v>
      </c>
      <c r="C70" s="3" t="s">
        <v>67</v>
      </c>
      <c r="D70" s="4">
        <v>47861</v>
      </c>
    </row>
    <row r="71" spans="1:4" x14ac:dyDescent="0.2">
      <c r="A71">
        <v>2016</v>
      </c>
      <c r="B71" s="3">
        <v>916101</v>
      </c>
      <c r="C71" s="3" t="s">
        <v>68</v>
      </c>
      <c r="D71" s="4">
        <v>41886</v>
      </c>
    </row>
    <row r="72" spans="1:4" x14ac:dyDescent="0.2">
      <c r="A72">
        <v>2016</v>
      </c>
      <c r="B72" s="3">
        <v>938124</v>
      </c>
      <c r="C72" s="3" t="s">
        <v>180</v>
      </c>
      <c r="D72" s="4">
        <v>95595</v>
      </c>
    </row>
    <row r="73" spans="1:4" x14ac:dyDescent="0.2">
      <c r="A73">
        <v>2016</v>
      </c>
      <c r="B73" s="3">
        <v>902106</v>
      </c>
      <c r="C73" s="3" t="s">
        <v>70</v>
      </c>
      <c r="D73" s="4">
        <v>187348</v>
      </c>
    </row>
    <row r="74" spans="1:4" x14ac:dyDescent="0.2">
      <c r="A74">
        <v>2016</v>
      </c>
      <c r="B74" s="3">
        <v>957101</v>
      </c>
      <c r="C74" s="3" t="s">
        <v>181</v>
      </c>
      <c r="D74" s="4">
        <v>83859</v>
      </c>
    </row>
    <row r="75" spans="1:4" x14ac:dyDescent="0.2">
      <c r="A75">
        <v>2016</v>
      </c>
      <c r="B75" s="3">
        <v>927101</v>
      </c>
      <c r="C75" s="3" t="s">
        <v>72</v>
      </c>
      <c r="D75" s="4">
        <v>241272</v>
      </c>
    </row>
    <row r="76" spans="1:4" x14ac:dyDescent="0.2">
      <c r="A76">
        <v>2016</v>
      </c>
      <c r="B76" s="3">
        <v>954103</v>
      </c>
      <c r="C76" s="3" t="s">
        <v>73</v>
      </c>
      <c r="D76" s="4">
        <v>59151</v>
      </c>
    </row>
    <row r="77" spans="1:4" x14ac:dyDescent="0.2">
      <c r="A77">
        <v>2016</v>
      </c>
      <c r="B77" s="3">
        <v>951100</v>
      </c>
      <c r="C77" s="3" t="s">
        <v>74</v>
      </c>
      <c r="D77" s="4">
        <v>130312</v>
      </c>
    </row>
    <row r="78" spans="1:4" x14ac:dyDescent="0.2">
      <c r="A78">
        <v>2016</v>
      </c>
      <c r="B78" s="3">
        <v>904103</v>
      </c>
      <c r="C78" s="3" t="s">
        <v>75</v>
      </c>
      <c r="D78" s="4">
        <v>795557</v>
      </c>
    </row>
    <row r="79" spans="1:4" x14ac:dyDescent="0.2">
      <c r="A79">
        <v>2016</v>
      </c>
      <c r="B79" s="3">
        <v>926101</v>
      </c>
      <c r="C79" s="3" t="s">
        <v>76</v>
      </c>
      <c r="D79" s="4">
        <v>122556</v>
      </c>
    </row>
    <row r="80" spans="1:4" x14ac:dyDescent="0.2">
      <c r="A80">
        <v>2016</v>
      </c>
      <c r="B80" s="3">
        <v>907103</v>
      </c>
      <c r="C80" s="3" t="s">
        <v>193</v>
      </c>
      <c r="D80" s="4">
        <v>95379</v>
      </c>
    </row>
    <row r="81" spans="1:4" x14ac:dyDescent="0.2">
      <c r="A81">
        <v>2016</v>
      </c>
      <c r="B81" s="3">
        <v>904138</v>
      </c>
      <c r="C81" s="3" t="s">
        <v>78</v>
      </c>
      <c r="D81" s="4">
        <v>53959</v>
      </c>
    </row>
    <row r="82" spans="1:4" x14ac:dyDescent="0.2">
      <c r="A82">
        <v>2016</v>
      </c>
      <c r="B82" s="3">
        <v>908102</v>
      </c>
      <c r="C82" s="3" t="s">
        <v>79</v>
      </c>
      <c r="D82" s="4">
        <v>19291</v>
      </c>
    </row>
    <row r="83" spans="1:4" x14ac:dyDescent="0.2">
      <c r="A83">
        <v>2016</v>
      </c>
      <c r="B83" s="3">
        <v>941100</v>
      </c>
      <c r="C83" s="3" t="s">
        <v>80</v>
      </c>
      <c r="D83" s="4">
        <v>68052</v>
      </c>
    </row>
    <row r="84" spans="1:4" x14ac:dyDescent="0.2">
      <c r="A84">
        <v>2016</v>
      </c>
      <c r="B84" s="3">
        <v>939103</v>
      </c>
      <c r="C84" s="3" t="s">
        <v>81</v>
      </c>
      <c r="D84" s="4">
        <v>151571</v>
      </c>
    </row>
    <row r="85" spans="1:4" x14ac:dyDescent="0.2">
      <c r="A85">
        <v>2016</v>
      </c>
      <c r="B85" s="3">
        <v>913124</v>
      </c>
      <c r="C85" s="3" t="s">
        <v>82</v>
      </c>
      <c r="D85" s="4">
        <v>92272</v>
      </c>
    </row>
    <row r="86" spans="1:4" x14ac:dyDescent="0.2">
      <c r="A86">
        <v>2016</v>
      </c>
      <c r="B86" s="3">
        <v>942101</v>
      </c>
      <c r="C86" s="3" t="s">
        <v>83</v>
      </c>
      <c r="D86" s="4">
        <v>77785</v>
      </c>
    </row>
    <row r="87" spans="1:4" x14ac:dyDescent="0.2">
      <c r="A87">
        <v>2016</v>
      </c>
      <c r="B87" s="3">
        <v>948124</v>
      </c>
      <c r="C87" s="3" t="s">
        <v>84</v>
      </c>
      <c r="D87" s="4">
        <v>65699</v>
      </c>
    </row>
    <row r="88" spans="1:4" x14ac:dyDescent="0.2">
      <c r="A88">
        <v>2016</v>
      </c>
      <c r="B88" s="3">
        <v>909116</v>
      </c>
      <c r="C88" s="3" t="s">
        <v>183</v>
      </c>
      <c r="D88" s="4">
        <v>307520</v>
      </c>
    </row>
    <row r="89" spans="1:4" x14ac:dyDescent="0.2">
      <c r="A89">
        <v>2016</v>
      </c>
      <c r="B89" s="3">
        <v>953100</v>
      </c>
      <c r="C89" s="3" t="s">
        <v>86</v>
      </c>
      <c r="D89" s="4">
        <v>90282</v>
      </c>
    </row>
    <row r="90" spans="1:4" x14ac:dyDescent="0.2">
      <c r="A90">
        <v>2016</v>
      </c>
      <c r="B90" s="3">
        <v>944172</v>
      </c>
      <c r="C90" s="3" t="s">
        <v>87</v>
      </c>
      <c r="D90" s="4">
        <v>291706</v>
      </c>
    </row>
    <row r="91" spans="1:4" x14ac:dyDescent="0.2">
      <c r="A91">
        <v>2016</v>
      </c>
      <c r="B91" s="3">
        <v>947101</v>
      </c>
      <c r="C91" s="3" t="s">
        <v>88</v>
      </c>
      <c r="D91" s="4">
        <v>75952</v>
      </c>
    </row>
    <row r="92" spans="1:4" x14ac:dyDescent="0.2">
      <c r="A92">
        <v>2016</v>
      </c>
      <c r="B92" s="3">
        <v>945132</v>
      </c>
      <c r="C92" s="3" t="s">
        <v>89</v>
      </c>
      <c r="D92" s="4">
        <v>172380</v>
      </c>
    </row>
    <row r="93" spans="1:4" x14ac:dyDescent="0.2">
      <c r="A93">
        <v>2016</v>
      </c>
      <c r="B93" s="3">
        <v>943122</v>
      </c>
      <c r="C93" s="3" t="s">
        <v>90</v>
      </c>
      <c r="D93" s="4">
        <v>324552</v>
      </c>
    </row>
    <row r="94" spans="1:4" x14ac:dyDescent="0.2">
      <c r="A94">
        <v>2016</v>
      </c>
      <c r="B94" s="3">
        <v>961102</v>
      </c>
      <c r="C94" s="3" t="s">
        <v>91</v>
      </c>
      <c r="D94" s="4">
        <v>69592</v>
      </c>
    </row>
    <row r="95" spans="1:4" x14ac:dyDescent="0.2">
      <c r="A95">
        <v>2016</v>
      </c>
      <c r="B95" s="3">
        <v>946105</v>
      </c>
      <c r="C95" s="3" t="s">
        <v>92</v>
      </c>
      <c r="D95" s="4">
        <v>121528</v>
      </c>
    </row>
    <row r="96" spans="1:4" x14ac:dyDescent="0.2">
      <c r="A96">
        <v>2016</v>
      </c>
      <c r="B96" s="3">
        <v>920100</v>
      </c>
      <c r="C96" s="3" t="s">
        <v>93</v>
      </c>
      <c r="D96" s="4">
        <v>93851</v>
      </c>
    </row>
    <row r="97" spans="1:4" x14ac:dyDescent="0.2">
      <c r="A97">
        <v>2016</v>
      </c>
      <c r="B97" s="3">
        <v>920101</v>
      </c>
      <c r="C97" s="3" t="s">
        <v>94</v>
      </c>
      <c r="D97" s="4">
        <v>214668</v>
      </c>
    </row>
    <row r="98" spans="1:4" x14ac:dyDescent="0.2">
      <c r="A98">
        <v>2016</v>
      </c>
      <c r="B98" s="3">
        <v>949157</v>
      </c>
      <c r="C98" s="3" t="s">
        <v>95</v>
      </c>
      <c r="D98" s="4">
        <v>707456</v>
      </c>
    </row>
    <row r="99" spans="1:4" x14ac:dyDescent="0.2">
      <c r="A99">
        <v>2016</v>
      </c>
      <c r="B99" s="3">
        <v>937102</v>
      </c>
      <c r="C99" s="3" t="s">
        <v>96</v>
      </c>
      <c r="D99" s="4">
        <v>100756</v>
      </c>
    </row>
    <row r="100" spans="1:4" x14ac:dyDescent="0.2">
      <c r="A100">
        <v>2016</v>
      </c>
      <c r="B100" s="3">
        <v>917104</v>
      </c>
      <c r="C100" s="3" t="s">
        <v>191</v>
      </c>
      <c r="D100" s="4">
        <v>134605</v>
      </c>
    </row>
    <row r="101" spans="1:4" x14ac:dyDescent="0.2">
      <c r="A101">
        <v>2016</v>
      </c>
      <c r="B101" s="3">
        <v>929103</v>
      </c>
      <c r="C101" s="3" t="s">
        <v>98</v>
      </c>
      <c r="D101" s="4">
        <v>275260</v>
      </c>
    </row>
    <row r="102" spans="1:4" x14ac:dyDescent="0.2">
      <c r="A102">
        <v>2016</v>
      </c>
      <c r="B102" s="3">
        <v>933100</v>
      </c>
      <c r="C102" s="3" t="s">
        <v>99</v>
      </c>
      <c r="D102" s="4">
        <v>131465</v>
      </c>
    </row>
    <row r="103" spans="1:4" x14ac:dyDescent="0.2">
      <c r="A103">
        <v>2016</v>
      </c>
      <c r="B103" s="3">
        <v>908101</v>
      </c>
      <c r="C103" s="3" t="s">
        <v>100</v>
      </c>
      <c r="D103" s="4">
        <v>931662</v>
      </c>
    </row>
    <row r="104" spans="1:4" x14ac:dyDescent="0.2">
      <c r="A104">
        <v>2016</v>
      </c>
      <c r="B104" s="3">
        <v>963101</v>
      </c>
      <c r="C104" s="3" t="s">
        <v>184</v>
      </c>
      <c r="D104" s="4">
        <v>194373</v>
      </c>
    </row>
    <row r="105" spans="1:4" x14ac:dyDescent="0.2">
      <c r="A105">
        <v>2016</v>
      </c>
      <c r="B105" s="3">
        <v>946103</v>
      </c>
      <c r="C105" s="3" t="s">
        <v>102</v>
      </c>
      <c r="D105" s="4">
        <v>74945</v>
      </c>
    </row>
    <row r="106" spans="1:4" x14ac:dyDescent="0.2">
      <c r="A106">
        <v>2016</v>
      </c>
      <c r="B106" s="3">
        <v>908100</v>
      </c>
      <c r="C106" s="3" t="s">
        <v>103</v>
      </c>
      <c r="D106" s="4">
        <v>80753</v>
      </c>
    </row>
    <row r="107" spans="1:4" x14ac:dyDescent="0.2">
      <c r="A107">
        <v>2016</v>
      </c>
      <c r="B107" s="3">
        <v>902104</v>
      </c>
      <c r="C107" s="3" t="s">
        <v>104</v>
      </c>
      <c r="D107" s="4">
        <v>91942</v>
      </c>
    </row>
    <row r="108" spans="1:4" x14ac:dyDescent="0.2">
      <c r="A108">
        <v>2016</v>
      </c>
      <c r="B108" s="3">
        <v>915104</v>
      </c>
      <c r="C108" s="3" t="s">
        <v>105</v>
      </c>
      <c r="D108" s="4">
        <v>118059</v>
      </c>
    </row>
    <row r="109" spans="1:4" x14ac:dyDescent="0.2">
      <c r="A109">
        <v>2016</v>
      </c>
      <c r="B109" s="3">
        <v>903100</v>
      </c>
      <c r="C109" s="3" t="s">
        <v>185</v>
      </c>
      <c r="D109" s="4">
        <v>37727</v>
      </c>
    </row>
    <row r="110" spans="1:4" x14ac:dyDescent="0.2">
      <c r="A110">
        <v>2016</v>
      </c>
      <c r="B110" s="3">
        <v>932137</v>
      </c>
      <c r="C110" s="3" t="s">
        <v>107</v>
      </c>
      <c r="D110" s="4">
        <v>138928</v>
      </c>
    </row>
    <row r="111" spans="1:4" x14ac:dyDescent="0.2">
      <c r="A111">
        <v>2016</v>
      </c>
      <c r="B111" s="3">
        <v>905130</v>
      </c>
      <c r="C111" s="3" t="s">
        <v>108</v>
      </c>
      <c r="D111" s="4">
        <v>39341</v>
      </c>
    </row>
    <row r="112" spans="1:4" x14ac:dyDescent="0.2">
      <c r="A112">
        <v>2016</v>
      </c>
      <c r="B112" s="3">
        <v>953173</v>
      </c>
      <c r="C112" s="3" t="s">
        <v>109</v>
      </c>
      <c r="D112" s="4">
        <v>61533</v>
      </c>
    </row>
    <row r="113" spans="1:4" x14ac:dyDescent="0.2">
      <c r="A113">
        <v>2016</v>
      </c>
      <c r="B113" s="3">
        <v>957116</v>
      </c>
      <c r="C113" s="3" t="s">
        <v>110</v>
      </c>
      <c r="D113" s="4">
        <v>86371</v>
      </c>
    </row>
    <row r="114" spans="1:4" x14ac:dyDescent="0.2">
      <c r="A114">
        <v>2016</v>
      </c>
      <c r="B114" s="3">
        <v>963102</v>
      </c>
      <c r="C114" s="3" t="s">
        <v>111</v>
      </c>
      <c r="D114" s="4">
        <v>34369</v>
      </c>
    </row>
    <row r="115" spans="1:4" x14ac:dyDescent="0.2">
      <c r="A115">
        <v>2016</v>
      </c>
      <c r="B115" s="3">
        <v>927100</v>
      </c>
      <c r="C115" s="3" t="s">
        <v>112</v>
      </c>
      <c r="D115" s="4">
        <v>82406</v>
      </c>
    </row>
    <row r="116" spans="1:4" x14ac:dyDescent="0.2">
      <c r="A116">
        <v>2016</v>
      </c>
      <c r="B116" s="3">
        <v>943104</v>
      </c>
      <c r="C116" s="3" t="s">
        <v>186</v>
      </c>
      <c r="D116" s="4">
        <v>58177</v>
      </c>
    </row>
    <row r="117" spans="1:4" x14ac:dyDescent="0.2">
      <c r="A117">
        <v>2016</v>
      </c>
      <c r="B117" s="3">
        <v>961100</v>
      </c>
      <c r="C117" s="3" t="s">
        <v>114</v>
      </c>
      <c r="D117" s="4">
        <v>112910</v>
      </c>
    </row>
    <row r="118" spans="1:4" x14ac:dyDescent="0.2">
      <c r="A118">
        <v>2016</v>
      </c>
      <c r="B118" s="3">
        <v>937104</v>
      </c>
      <c r="C118" s="3" t="s">
        <v>115</v>
      </c>
      <c r="D118" s="4">
        <v>157120</v>
      </c>
    </row>
    <row r="119" spans="1:4" x14ac:dyDescent="0.2">
      <c r="A119">
        <v>2016</v>
      </c>
      <c r="B119" s="3">
        <v>936100</v>
      </c>
      <c r="C119" s="3" t="s">
        <v>116</v>
      </c>
      <c r="D119" s="4">
        <v>782549</v>
      </c>
    </row>
    <row r="120" spans="1:4" x14ac:dyDescent="0.2">
      <c r="A120">
        <v>2016</v>
      </c>
      <c r="B120" s="3">
        <v>910103</v>
      </c>
      <c r="C120" s="3" t="s">
        <v>117</v>
      </c>
      <c r="D120" s="4">
        <v>88656</v>
      </c>
    </row>
    <row r="121" spans="1:4" x14ac:dyDescent="0.2">
      <c r="A121">
        <v>2016</v>
      </c>
      <c r="B121" s="3">
        <v>917105</v>
      </c>
      <c r="C121" s="3" t="s">
        <v>194</v>
      </c>
      <c r="D121" s="4">
        <v>158897</v>
      </c>
    </row>
    <row r="122" spans="1:4" x14ac:dyDescent="0.2">
      <c r="A122">
        <v>2016</v>
      </c>
      <c r="B122" s="3">
        <v>943100</v>
      </c>
      <c r="C122" s="3" t="s">
        <v>119</v>
      </c>
      <c r="D122" s="4">
        <v>11515</v>
      </c>
    </row>
    <row r="123" spans="1:4" x14ac:dyDescent="0.2">
      <c r="A123">
        <v>2016</v>
      </c>
      <c r="B123" s="3">
        <v>902101</v>
      </c>
      <c r="C123" s="3" t="s">
        <v>120</v>
      </c>
      <c r="D123" s="4">
        <v>4221922</v>
      </c>
    </row>
    <row r="124" spans="1:4" x14ac:dyDescent="0.2">
      <c r="A124">
        <v>2016</v>
      </c>
      <c r="B124" s="3">
        <v>957100</v>
      </c>
      <c r="C124" s="3" t="s">
        <v>121</v>
      </c>
      <c r="D124" s="4">
        <v>206612</v>
      </c>
    </row>
    <row r="125" spans="1:4" x14ac:dyDescent="0.2">
      <c r="A125">
        <v>2016</v>
      </c>
      <c r="B125" s="3">
        <v>955167</v>
      </c>
      <c r="C125" s="3" t="s">
        <v>122</v>
      </c>
      <c r="D125" s="4">
        <v>72337</v>
      </c>
    </row>
    <row r="126" spans="1:4" x14ac:dyDescent="0.2">
      <c r="A126">
        <v>2016</v>
      </c>
      <c r="B126" s="3">
        <v>943121</v>
      </c>
      <c r="C126" s="3" t="s">
        <v>123</v>
      </c>
      <c r="D126" s="4">
        <v>40530</v>
      </c>
    </row>
    <row r="127" spans="1:4" x14ac:dyDescent="0.2">
      <c r="A127">
        <v>2016</v>
      </c>
      <c r="B127" s="3">
        <v>956114</v>
      </c>
      <c r="C127" s="3" t="s">
        <v>124</v>
      </c>
      <c r="D127" s="4">
        <v>85119</v>
      </c>
    </row>
    <row r="128" spans="1:4" x14ac:dyDescent="0.2">
      <c r="A128">
        <v>2016</v>
      </c>
      <c r="B128" s="3">
        <v>912102</v>
      </c>
      <c r="C128" s="3" t="s">
        <v>125</v>
      </c>
      <c r="D128" s="4">
        <v>68967</v>
      </c>
    </row>
    <row r="129" spans="1:4" x14ac:dyDescent="0.2">
      <c r="A129">
        <v>2016</v>
      </c>
      <c r="B129" s="3">
        <v>963112</v>
      </c>
      <c r="C129" s="3" t="s">
        <v>126</v>
      </c>
      <c r="D129" s="4">
        <v>67914</v>
      </c>
    </row>
    <row r="130" spans="1:4" x14ac:dyDescent="0.2">
      <c r="A130">
        <v>2016</v>
      </c>
      <c r="B130" s="3">
        <v>927200</v>
      </c>
      <c r="C130" s="3" t="s">
        <v>192</v>
      </c>
      <c r="D130" s="4">
        <v>383857</v>
      </c>
    </row>
    <row r="131" spans="1:4" x14ac:dyDescent="0.2">
      <c r="A131">
        <v>2016</v>
      </c>
      <c r="B131" s="3">
        <v>901111</v>
      </c>
      <c r="C131" s="3" t="s">
        <v>128</v>
      </c>
      <c r="D131" s="4">
        <v>7971079</v>
      </c>
    </row>
    <row r="132" spans="1:4" x14ac:dyDescent="0.2">
      <c r="A132">
        <v>2016</v>
      </c>
      <c r="B132" s="3">
        <v>906105</v>
      </c>
      <c r="C132" s="3" t="s">
        <v>129</v>
      </c>
      <c r="D132" s="4">
        <v>164805</v>
      </c>
    </row>
    <row r="133" spans="1:4" x14ac:dyDescent="0.2">
      <c r="A133">
        <v>2016</v>
      </c>
      <c r="B133" s="3">
        <v>955108</v>
      </c>
      <c r="C133" s="3" t="s">
        <v>130</v>
      </c>
      <c r="D133" s="4">
        <v>350415</v>
      </c>
    </row>
    <row r="134" spans="1:4" x14ac:dyDescent="0.2">
      <c r="A134">
        <v>2016</v>
      </c>
      <c r="B134" s="3">
        <v>920102</v>
      </c>
      <c r="C134" s="3" t="s">
        <v>131</v>
      </c>
      <c r="D134" s="4">
        <v>114899</v>
      </c>
    </row>
    <row r="135" spans="1:4" x14ac:dyDescent="0.2">
      <c r="A135">
        <v>2016</v>
      </c>
      <c r="B135" s="3">
        <v>912104</v>
      </c>
      <c r="C135" s="3" t="s">
        <v>132</v>
      </c>
      <c r="D135" s="4">
        <v>62688</v>
      </c>
    </row>
    <row r="136" spans="1:4" x14ac:dyDescent="0.2">
      <c r="A136">
        <v>2016</v>
      </c>
      <c r="B136" s="3">
        <v>930103</v>
      </c>
      <c r="C136" s="3" t="s">
        <v>133</v>
      </c>
      <c r="D136" s="4">
        <v>61818</v>
      </c>
    </row>
    <row r="137" spans="1:4" x14ac:dyDescent="0.2">
      <c r="A137">
        <v>2016</v>
      </c>
      <c r="B137" s="3">
        <v>962104</v>
      </c>
      <c r="C137" s="3" t="s">
        <v>134</v>
      </c>
      <c r="D137" s="4">
        <v>69161</v>
      </c>
    </row>
    <row r="138" spans="1:4" x14ac:dyDescent="0.2">
      <c r="A138">
        <v>2016</v>
      </c>
      <c r="B138" s="3">
        <v>909101</v>
      </c>
      <c r="C138" s="3" t="s">
        <v>135</v>
      </c>
      <c r="D138" s="4">
        <v>570271</v>
      </c>
    </row>
    <row r="139" spans="1:4" x14ac:dyDescent="0.2">
      <c r="A139">
        <v>2016</v>
      </c>
      <c r="B139" s="3">
        <v>958100</v>
      </c>
      <c r="C139" s="3" t="s">
        <v>136</v>
      </c>
      <c r="D139" s="4">
        <v>149849</v>
      </c>
    </row>
    <row r="140" spans="1:4" x14ac:dyDescent="0.2">
      <c r="A140">
        <v>2016</v>
      </c>
      <c r="B140" s="3">
        <v>910104</v>
      </c>
      <c r="C140" s="3" t="s">
        <v>195</v>
      </c>
      <c r="D140" s="4">
        <v>4081</v>
      </c>
    </row>
    <row r="141" spans="1:4" x14ac:dyDescent="0.2">
      <c r="A141">
        <v>2016</v>
      </c>
      <c r="B141" s="3">
        <v>955104</v>
      </c>
      <c r="C141" s="3" t="s">
        <v>137</v>
      </c>
      <c r="D141" s="4">
        <v>59302</v>
      </c>
    </row>
    <row r="142" spans="1:4" x14ac:dyDescent="0.2">
      <c r="A142">
        <v>2016</v>
      </c>
      <c r="B142" s="3">
        <v>944102</v>
      </c>
      <c r="C142" s="3" t="s">
        <v>138</v>
      </c>
      <c r="D142" s="4">
        <v>394840</v>
      </c>
    </row>
    <row r="143" spans="1:4" x14ac:dyDescent="0.2">
      <c r="A143">
        <v>2016</v>
      </c>
      <c r="B143" s="3">
        <v>950102</v>
      </c>
      <c r="C143" s="3" t="s">
        <v>139</v>
      </c>
      <c r="D143" s="4">
        <v>18640</v>
      </c>
    </row>
    <row r="144" spans="1:4" x14ac:dyDescent="0.2">
      <c r="A144">
        <v>2016</v>
      </c>
      <c r="B144" s="3">
        <v>924101</v>
      </c>
      <c r="C144" s="3" t="s">
        <v>140</v>
      </c>
      <c r="D144" s="4">
        <v>149181</v>
      </c>
    </row>
    <row r="145" spans="1:4" x14ac:dyDescent="0.2">
      <c r="A145">
        <v>2016</v>
      </c>
      <c r="B145" s="3">
        <v>960200</v>
      </c>
      <c r="C145" s="3" t="s">
        <v>141</v>
      </c>
      <c r="D145" s="4">
        <v>847398</v>
      </c>
    </row>
    <row r="146" spans="1:4" x14ac:dyDescent="0.2">
      <c r="A146">
        <v>2016</v>
      </c>
      <c r="B146" s="3">
        <v>901105</v>
      </c>
      <c r="C146" s="3" t="s">
        <v>142</v>
      </c>
      <c r="D146" s="4">
        <v>236136</v>
      </c>
    </row>
    <row r="147" spans="1:4" x14ac:dyDescent="0.2">
      <c r="A147">
        <v>2016</v>
      </c>
      <c r="B147" s="3">
        <v>937100</v>
      </c>
      <c r="C147" s="3" t="s">
        <v>143</v>
      </c>
      <c r="D147" s="4">
        <v>80170</v>
      </c>
    </row>
    <row r="148" spans="1:4" x14ac:dyDescent="0.2">
      <c r="A148">
        <v>2016</v>
      </c>
      <c r="B148" s="3">
        <v>919100</v>
      </c>
      <c r="C148" s="3" t="s">
        <v>144</v>
      </c>
      <c r="D148" s="4">
        <v>340419</v>
      </c>
    </row>
    <row r="149" spans="1:4" x14ac:dyDescent="0.2">
      <c r="A149">
        <v>2016</v>
      </c>
      <c r="B149" s="3">
        <v>961104</v>
      </c>
      <c r="C149" s="3" t="s">
        <v>188</v>
      </c>
      <c r="D149" s="4">
        <v>88250</v>
      </c>
    </row>
    <row r="150" spans="1:4" x14ac:dyDescent="0.2">
      <c r="A150">
        <v>2016</v>
      </c>
      <c r="B150" s="3">
        <v>917103</v>
      </c>
      <c r="C150" s="3" t="s">
        <v>146</v>
      </c>
      <c r="D150" s="4">
        <v>325634</v>
      </c>
    </row>
    <row r="151" spans="1:4" x14ac:dyDescent="0.2">
      <c r="A151">
        <v>2016</v>
      </c>
      <c r="B151" s="3">
        <v>902107</v>
      </c>
      <c r="C151" s="3" t="s">
        <v>147</v>
      </c>
      <c r="D151" s="4">
        <v>91856</v>
      </c>
    </row>
    <row r="152" spans="1:4" x14ac:dyDescent="0.2">
      <c r="A152">
        <v>2016</v>
      </c>
      <c r="B152" s="3">
        <v>903141</v>
      </c>
      <c r="C152" s="3" t="s">
        <v>148</v>
      </c>
      <c r="D152" s="4">
        <v>81919</v>
      </c>
    </row>
    <row r="153" spans="1:4" x14ac:dyDescent="0.2">
      <c r="A153">
        <v>2016</v>
      </c>
      <c r="B153" s="3">
        <v>905104</v>
      </c>
      <c r="C153" s="3" t="s">
        <v>149</v>
      </c>
      <c r="D153" s="4">
        <v>1674468</v>
      </c>
    </row>
    <row r="154" spans="1:4" x14ac:dyDescent="0.2">
      <c r="A154">
        <v>2016</v>
      </c>
      <c r="B154" s="3">
        <v>922105</v>
      </c>
      <c r="C154" s="3" t="s">
        <v>150</v>
      </c>
      <c r="D154" s="4">
        <v>68010</v>
      </c>
    </row>
    <row r="155" spans="1:4" x14ac:dyDescent="0.2">
      <c r="A155">
        <v>2016</v>
      </c>
      <c r="B155" s="3">
        <v>905100</v>
      </c>
      <c r="C155" s="3" t="s">
        <v>151</v>
      </c>
      <c r="D155" s="4">
        <v>60886</v>
      </c>
    </row>
    <row r="156" spans="1:4" x14ac:dyDescent="0.2">
      <c r="A156">
        <v>2016</v>
      </c>
      <c r="B156" s="3">
        <v>922107</v>
      </c>
      <c r="C156" s="3" t="s">
        <v>152</v>
      </c>
      <c r="D156" s="4">
        <v>146492</v>
      </c>
    </row>
    <row r="157" spans="1:4" x14ac:dyDescent="0.2">
      <c r="A157">
        <v>2016</v>
      </c>
      <c r="B157" s="3">
        <v>940102</v>
      </c>
      <c r="C157" s="3" t="s">
        <v>153</v>
      </c>
      <c r="D157" s="4">
        <v>99853</v>
      </c>
    </row>
    <row r="158" spans="1:4" x14ac:dyDescent="0.2">
      <c r="A158">
        <v>2016</v>
      </c>
      <c r="B158" s="3">
        <v>901157</v>
      </c>
      <c r="C158" s="3" t="s">
        <v>154</v>
      </c>
      <c r="D158" s="4">
        <v>384381</v>
      </c>
    </row>
    <row r="159" spans="1:4" x14ac:dyDescent="0.2">
      <c r="A159">
        <v>2016</v>
      </c>
      <c r="B159" s="3">
        <v>910105</v>
      </c>
      <c r="C159" s="3" t="s">
        <v>156</v>
      </c>
      <c r="D159" s="4">
        <v>54387</v>
      </c>
    </row>
    <row r="160" spans="1:4" x14ac:dyDescent="0.2">
      <c r="A160">
        <v>2016</v>
      </c>
      <c r="B160" s="3">
        <v>950101</v>
      </c>
      <c r="C160" s="3" t="s">
        <v>157</v>
      </c>
      <c r="D160" s="4">
        <v>180496</v>
      </c>
    </row>
    <row r="161" spans="1:4" x14ac:dyDescent="0.2">
      <c r="A161">
        <v>2016</v>
      </c>
      <c r="B161" s="3">
        <v>918101</v>
      </c>
      <c r="C161" s="3" t="s">
        <v>158</v>
      </c>
      <c r="D161" s="4">
        <v>73464</v>
      </c>
    </row>
    <row r="162" spans="1:4" x14ac:dyDescent="0.2">
      <c r="A162">
        <v>2016</v>
      </c>
      <c r="B162" s="3">
        <v>955102</v>
      </c>
      <c r="C162" s="3" t="s">
        <v>159</v>
      </c>
      <c r="D162" s="4">
        <v>68602</v>
      </c>
    </row>
    <row r="163" spans="1:4" x14ac:dyDescent="0.2">
      <c r="A163">
        <v>2016</v>
      </c>
      <c r="B163" s="3">
        <v>960102</v>
      </c>
      <c r="C163" s="3" t="s">
        <v>160</v>
      </c>
      <c r="D163" s="4">
        <v>210373</v>
      </c>
    </row>
    <row r="164" spans="1:4" x14ac:dyDescent="0.2">
      <c r="A164">
        <v>2016</v>
      </c>
      <c r="B164" s="3">
        <v>904105</v>
      </c>
      <c r="C164" s="3" t="s">
        <v>189</v>
      </c>
      <c r="D164" s="4">
        <v>106667</v>
      </c>
    </row>
    <row r="165" spans="1:4" x14ac:dyDescent="0.2">
      <c r="A165">
        <v>2016</v>
      </c>
      <c r="B165" s="3">
        <v>956100</v>
      </c>
      <c r="C165" s="3" t="s">
        <v>162</v>
      </c>
      <c r="D165" s="4">
        <v>67484</v>
      </c>
    </row>
    <row r="166" spans="1:4" x14ac:dyDescent="0.2">
      <c r="A166">
        <v>2016</v>
      </c>
      <c r="B166" s="3">
        <v>907100</v>
      </c>
      <c r="C166" s="3" t="s">
        <v>163</v>
      </c>
      <c r="D166" s="4">
        <v>789695</v>
      </c>
    </row>
    <row r="167" spans="1:4" x14ac:dyDescent="0.2">
      <c r="A167">
        <v>2016</v>
      </c>
      <c r="B167" s="3" t="s">
        <v>165</v>
      </c>
      <c r="C167" s="3" t="s">
        <v>164</v>
      </c>
      <c r="D167" s="4">
        <v>25405805</v>
      </c>
    </row>
    <row r="168" spans="1:4" x14ac:dyDescent="0.2">
      <c r="A168">
        <v>2016</v>
      </c>
      <c r="B168" s="3">
        <v>909102</v>
      </c>
      <c r="C168" s="3" t="s">
        <v>169</v>
      </c>
      <c r="D168" s="4">
        <v>766992</v>
      </c>
    </row>
    <row r="169" spans="1:4" x14ac:dyDescent="0.2">
      <c r="A169">
        <v>2016</v>
      </c>
      <c r="B169" s="3">
        <v>903501</v>
      </c>
      <c r="C169" s="3" t="s">
        <v>170</v>
      </c>
      <c r="D169" s="4">
        <v>131650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C319-1AD3-EE42-861B-76EB165899D7}">
  <sheetPr>
    <tabColor rgb="FFFFFF00"/>
  </sheetPr>
  <dimension ref="A1:E169"/>
  <sheetViews>
    <sheetView workbookViewId="0">
      <selection activeCell="A2" sqref="A2:D169"/>
    </sheetView>
  </sheetViews>
  <sheetFormatPr baseColWidth="10" defaultRowHeight="16" x14ac:dyDescent="0.2"/>
  <cols>
    <col min="2" max="2" width="15.6640625" style="3" bestFit="1" customWidth="1"/>
    <col min="3" max="3" width="39.6640625" style="3" bestFit="1" customWidth="1"/>
    <col min="4" max="4" width="20.5" style="3" bestFit="1" customWidth="1"/>
    <col min="5" max="5" width="30.1640625" style="3" bestFit="1" customWidth="1"/>
  </cols>
  <sheetData>
    <row r="1" spans="1:4" x14ac:dyDescent="0.2">
      <c r="A1" t="s">
        <v>198</v>
      </c>
      <c r="B1" s="3" t="s">
        <v>166</v>
      </c>
      <c r="C1" s="3" t="s">
        <v>167</v>
      </c>
      <c r="D1" s="3" t="s">
        <v>168</v>
      </c>
    </row>
    <row r="2" spans="1:4" x14ac:dyDescent="0.2">
      <c r="A2">
        <v>2015</v>
      </c>
      <c r="B2" s="3">
        <v>903103</v>
      </c>
      <c r="C2" s="3" t="s">
        <v>0</v>
      </c>
      <c r="D2" s="4">
        <v>1204678</v>
      </c>
    </row>
    <row r="3" spans="1:4" x14ac:dyDescent="0.2">
      <c r="A3">
        <v>2015</v>
      </c>
      <c r="B3" s="3">
        <v>959126</v>
      </c>
      <c r="C3" s="3" t="s">
        <v>173</v>
      </c>
      <c r="D3" s="4">
        <v>104311</v>
      </c>
    </row>
    <row r="4" spans="1:4" x14ac:dyDescent="0.2">
      <c r="A4">
        <v>2015</v>
      </c>
      <c r="B4" s="3">
        <v>962102</v>
      </c>
      <c r="C4" s="3" t="s">
        <v>174</v>
      </c>
      <c r="D4" s="4">
        <v>104269</v>
      </c>
    </row>
    <row r="5" spans="1:4" x14ac:dyDescent="0.2">
      <c r="A5">
        <v>2015</v>
      </c>
      <c r="B5" s="3">
        <v>917102</v>
      </c>
      <c r="C5" s="3" t="s">
        <v>3</v>
      </c>
      <c r="D5" s="4">
        <v>153598</v>
      </c>
    </row>
    <row r="6" spans="1:4" x14ac:dyDescent="0.2">
      <c r="A6">
        <v>2015</v>
      </c>
      <c r="B6" s="3">
        <v>942100</v>
      </c>
      <c r="C6" s="3" t="s">
        <v>4</v>
      </c>
      <c r="D6" s="4">
        <v>94527</v>
      </c>
    </row>
    <row r="7" spans="1:4" x14ac:dyDescent="0.2">
      <c r="A7">
        <v>2015</v>
      </c>
      <c r="B7" s="3">
        <v>925101</v>
      </c>
      <c r="C7" s="3" t="s">
        <v>5</v>
      </c>
      <c r="D7" s="4">
        <v>55452</v>
      </c>
    </row>
    <row r="8" spans="1:4" x14ac:dyDescent="0.2">
      <c r="A8">
        <v>2015</v>
      </c>
      <c r="B8" s="3">
        <v>912103</v>
      </c>
      <c r="C8" s="3" t="s">
        <v>6</v>
      </c>
      <c r="D8" s="4">
        <v>75430</v>
      </c>
    </row>
    <row r="9" spans="1:4" x14ac:dyDescent="0.2">
      <c r="A9">
        <v>2015</v>
      </c>
      <c r="B9" s="3">
        <v>901106</v>
      </c>
      <c r="C9" s="3" t="s">
        <v>7</v>
      </c>
      <c r="D9" s="4">
        <v>128184</v>
      </c>
    </row>
    <row r="10" spans="1:4" x14ac:dyDescent="0.2">
      <c r="A10">
        <v>2015</v>
      </c>
      <c r="B10" s="3">
        <v>915100</v>
      </c>
      <c r="C10" s="3" t="s">
        <v>8</v>
      </c>
      <c r="D10" s="4">
        <v>323801</v>
      </c>
    </row>
    <row r="11" spans="1:4" x14ac:dyDescent="0.2">
      <c r="A11">
        <v>2015</v>
      </c>
      <c r="B11" s="3">
        <v>911109</v>
      </c>
      <c r="C11" s="3" t="s">
        <v>9</v>
      </c>
      <c r="D11" s="4">
        <v>132636</v>
      </c>
    </row>
    <row r="12" spans="1:4" x14ac:dyDescent="0.2">
      <c r="A12">
        <v>2015</v>
      </c>
      <c r="B12" s="3">
        <v>962150</v>
      </c>
      <c r="C12" s="3" t="s">
        <v>10</v>
      </c>
      <c r="D12" s="4">
        <v>176665</v>
      </c>
    </row>
    <row r="13" spans="1:4" x14ac:dyDescent="0.2">
      <c r="A13">
        <v>2015</v>
      </c>
      <c r="B13" s="3">
        <v>929144</v>
      </c>
      <c r="C13" s="3" t="s">
        <v>11</v>
      </c>
      <c r="D13" s="4">
        <v>48792</v>
      </c>
    </row>
    <row r="14" spans="1:4" x14ac:dyDescent="0.2">
      <c r="A14">
        <v>2015</v>
      </c>
      <c r="B14" s="3">
        <v>953171</v>
      </c>
      <c r="C14" s="3" t="s">
        <v>12</v>
      </c>
      <c r="D14" s="4">
        <v>60192</v>
      </c>
    </row>
    <row r="15" spans="1:4" x14ac:dyDescent="0.2">
      <c r="A15">
        <v>2015</v>
      </c>
      <c r="B15" s="3">
        <v>912172</v>
      </c>
      <c r="C15" s="3" t="s">
        <v>13</v>
      </c>
      <c r="D15" s="4">
        <v>165219</v>
      </c>
    </row>
    <row r="16" spans="1:4" x14ac:dyDescent="0.2">
      <c r="A16">
        <v>2015</v>
      </c>
      <c r="B16" s="3">
        <v>926124</v>
      </c>
      <c r="C16" s="3" t="s">
        <v>14</v>
      </c>
      <c r="D16" s="4">
        <v>45538</v>
      </c>
    </row>
    <row r="17" spans="1:4" x14ac:dyDescent="0.2">
      <c r="A17">
        <v>2015</v>
      </c>
      <c r="B17" s="3">
        <v>901154</v>
      </c>
      <c r="C17" s="3" t="s">
        <v>15</v>
      </c>
      <c r="D17" s="4">
        <v>955572</v>
      </c>
    </row>
    <row r="18" spans="1:4" x14ac:dyDescent="0.2">
      <c r="A18">
        <v>2015</v>
      </c>
      <c r="B18" s="3">
        <v>946129</v>
      </c>
      <c r="C18" s="3" t="s">
        <v>175</v>
      </c>
      <c r="D18" s="4">
        <v>108479</v>
      </c>
    </row>
    <row r="19" spans="1:4" x14ac:dyDescent="0.2">
      <c r="A19">
        <v>2015</v>
      </c>
      <c r="B19" s="3">
        <v>948100</v>
      </c>
      <c r="C19" s="3" t="s">
        <v>176</v>
      </c>
      <c r="D19" s="4">
        <v>138766</v>
      </c>
    </row>
    <row r="20" spans="1:4" x14ac:dyDescent="0.2">
      <c r="A20">
        <v>2015</v>
      </c>
      <c r="B20" s="3">
        <v>906102</v>
      </c>
      <c r="C20" s="3" t="s">
        <v>18</v>
      </c>
      <c r="D20" s="4">
        <v>857046</v>
      </c>
    </row>
    <row r="21" spans="1:4" x14ac:dyDescent="0.2">
      <c r="A21">
        <v>2015</v>
      </c>
      <c r="B21" s="3">
        <v>930100</v>
      </c>
      <c r="C21" s="3" t="s">
        <v>19</v>
      </c>
      <c r="D21" s="4">
        <v>76630</v>
      </c>
    </row>
    <row r="22" spans="1:4" x14ac:dyDescent="0.2">
      <c r="A22">
        <v>2015</v>
      </c>
      <c r="B22" s="3">
        <v>946102</v>
      </c>
      <c r="C22" s="3" t="s">
        <v>20</v>
      </c>
      <c r="D22" s="4">
        <v>71985</v>
      </c>
    </row>
    <row r="23" spans="1:4" x14ac:dyDescent="0.2">
      <c r="A23">
        <v>2015</v>
      </c>
      <c r="B23" s="3">
        <v>944101</v>
      </c>
      <c r="C23" s="3" t="s">
        <v>21</v>
      </c>
      <c r="D23" s="4">
        <v>229745</v>
      </c>
    </row>
    <row r="24" spans="1:4" x14ac:dyDescent="0.2">
      <c r="A24">
        <v>2015</v>
      </c>
      <c r="B24" s="3">
        <v>932101</v>
      </c>
      <c r="C24" s="3" t="s">
        <v>22</v>
      </c>
      <c r="D24" s="4">
        <v>78825</v>
      </c>
    </row>
    <row r="25" spans="1:4" x14ac:dyDescent="0.2">
      <c r="A25">
        <v>2015</v>
      </c>
      <c r="B25" s="3">
        <v>961101</v>
      </c>
      <c r="C25" s="3" t="s">
        <v>23</v>
      </c>
      <c r="D25" s="4">
        <v>57508</v>
      </c>
    </row>
    <row r="26" spans="1:4" x14ac:dyDescent="0.2">
      <c r="A26">
        <v>2015</v>
      </c>
      <c r="B26" s="3">
        <v>913100</v>
      </c>
      <c r="C26" s="3" t="s">
        <v>24</v>
      </c>
      <c r="D26" s="4">
        <v>310602</v>
      </c>
    </row>
    <row r="27" spans="1:4" x14ac:dyDescent="0.2">
      <c r="A27">
        <v>2015</v>
      </c>
      <c r="B27" s="3">
        <v>943123</v>
      </c>
      <c r="C27" s="3" t="s">
        <v>25</v>
      </c>
      <c r="D27" s="4">
        <v>163515</v>
      </c>
    </row>
    <row r="28" spans="1:4" x14ac:dyDescent="0.2">
      <c r="A28">
        <v>2015</v>
      </c>
      <c r="B28" s="3">
        <v>901162</v>
      </c>
      <c r="C28" s="3" t="s">
        <v>26</v>
      </c>
      <c r="D28" s="4">
        <v>54044</v>
      </c>
    </row>
    <row r="29" spans="1:4" x14ac:dyDescent="0.2">
      <c r="A29">
        <v>2015</v>
      </c>
      <c r="B29" s="3">
        <v>918123</v>
      </c>
      <c r="C29" s="3" t="s">
        <v>27</v>
      </c>
      <c r="D29" s="4">
        <v>118814</v>
      </c>
    </row>
    <row r="30" spans="1:4" x14ac:dyDescent="0.2">
      <c r="A30">
        <v>2015</v>
      </c>
      <c r="B30" s="3">
        <v>952103</v>
      </c>
      <c r="C30" s="3" t="s">
        <v>177</v>
      </c>
      <c r="D30" s="4">
        <v>77790</v>
      </c>
    </row>
    <row r="31" spans="1:4" x14ac:dyDescent="0.2">
      <c r="A31">
        <v>2015</v>
      </c>
      <c r="B31" s="3">
        <v>960103</v>
      </c>
      <c r="C31" s="3" t="s">
        <v>29</v>
      </c>
      <c r="D31" s="4">
        <v>78911</v>
      </c>
    </row>
    <row r="32" spans="1:4" x14ac:dyDescent="0.2">
      <c r="A32">
        <v>2015</v>
      </c>
      <c r="B32" s="3">
        <v>961103</v>
      </c>
      <c r="C32" s="3" t="s">
        <v>30</v>
      </c>
      <c r="D32" s="4">
        <v>53947</v>
      </c>
    </row>
    <row r="33" spans="1:4" x14ac:dyDescent="0.2">
      <c r="A33">
        <v>2015</v>
      </c>
      <c r="B33" s="3">
        <v>925102</v>
      </c>
      <c r="C33" s="3" t="s">
        <v>196</v>
      </c>
      <c r="D33" s="4">
        <v>43425</v>
      </c>
    </row>
    <row r="34" spans="1:4" x14ac:dyDescent="0.2">
      <c r="A34">
        <v>2015</v>
      </c>
      <c r="B34" s="3">
        <v>921104</v>
      </c>
      <c r="C34" s="3" t="s">
        <v>32</v>
      </c>
      <c r="D34" s="4">
        <v>252183</v>
      </c>
    </row>
    <row r="35" spans="1:4" x14ac:dyDescent="0.2">
      <c r="A35">
        <v>2015</v>
      </c>
      <c r="B35" s="3">
        <v>962100</v>
      </c>
      <c r="C35" s="3" t="s">
        <v>33</v>
      </c>
      <c r="D35" s="4">
        <v>346947</v>
      </c>
    </row>
    <row r="36" spans="1:4" x14ac:dyDescent="0.2">
      <c r="A36">
        <v>2015</v>
      </c>
      <c r="B36" s="3">
        <v>901110</v>
      </c>
      <c r="C36" s="3" t="s">
        <v>34</v>
      </c>
      <c r="D36" s="4">
        <v>241497</v>
      </c>
    </row>
    <row r="37" spans="1:4" x14ac:dyDescent="0.2">
      <c r="A37">
        <v>2015</v>
      </c>
      <c r="B37" s="3">
        <v>942103</v>
      </c>
      <c r="C37" s="3" t="s">
        <v>35</v>
      </c>
      <c r="D37" s="4">
        <v>92276</v>
      </c>
    </row>
    <row r="38" spans="1:4" x14ac:dyDescent="0.2">
      <c r="A38">
        <v>2015</v>
      </c>
      <c r="B38" s="3">
        <v>906174</v>
      </c>
      <c r="C38" s="3" t="s">
        <v>36</v>
      </c>
      <c r="D38" s="4">
        <v>116980</v>
      </c>
    </row>
    <row r="39" spans="1:4" x14ac:dyDescent="0.2">
      <c r="A39">
        <v>2015</v>
      </c>
      <c r="B39" s="3">
        <v>923148</v>
      </c>
      <c r="C39" s="3" t="s">
        <v>37</v>
      </c>
      <c r="D39" s="4">
        <v>130355</v>
      </c>
    </row>
    <row r="40" spans="1:4" x14ac:dyDescent="0.2">
      <c r="A40">
        <v>2015</v>
      </c>
      <c r="B40" s="3">
        <v>957102</v>
      </c>
      <c r="C40" s="3" t="s">
        <v>38</v>
      </c>
      <c r="D40" s="4">
        <v>60054</v>
      </c>
    </row>
    <row r="41" spans="1:4" x14ac:dyDescent="0.2">
      <c r="A41">
        <v>2015</v>
      </c>
      <c r="B41" s="3">
        <v>902108</v>
      </c>
      <c r="C41" s="3" t="s">
        <v>39</v>
      </c>
      <c r="D41" s="4">
        <v>937042</v>
      </c>
    </row>
    <row r="42" spans="1:4" x14ac:dyDescent="0.2">
      <c r="A42">
        <v>2015</v>
      </c>
      <c r="B42" s="3">
        <v>964107</v>
      </c>
      <c r="C42" s="3" t="s">
        <v>40</v>
      </c>
      <c r="D42" s="4">
        <v>150545</v>
      </c>
    </row>
    <row r="43" spans="1:4" x14ac:dyDescent="0.2">
      <c r="A43">
        <v>2015</v>
      </c>
      <c r="B43" s="3">
        <v>924102</v>
      </c>
      <c r="C43" s="3" t="s">
        <v>41</v>
      </c>
      <c r="D43" s="4">
        <v>214698</v>
      </c>
    </row>
    <row r="44" spans="1:4" x14ac:dyDescent="0.2">
      <c r="A44">
        <v>2015</v>
      </c>
      <c r="B44" s="3">
        <v>901100</v>
      </c>
      <c r="C44" s="3" t="s">
        <v>42</v>
      </c>
      <c r="D44" s="4">
        <v>108197</v>
      </c>
    </row>
    <row r="45" spans="1:4" x14ac:dyDescent="0.2">
      <c r="A45">
        <v>2015</v>
      </c>
      <c r="B45" s="3">
        <v>927111</v>
      </c>
      <c r="C45" s="3" t="s">
        <v>43</v>
      </c>
      <c r="D45" s="4">
        <v>69653</v>
      </c>
    </row>
    <row r="46" spans="1:4" x14ac:dyDescent="0.2">
      <c r="A46">
        <v>2015</v>
      </c>
      <c r="B46" s="3">
        <v>926121</v>
      </c>
      <c r="C46" s="3" t="s">
        <v>44</v>
      </c>
      <c r="D46" s="4">
        <v>40841</v>
      </c>
    </row>
    <row r="47" spans="1:4" x14ac:dyDescent="0.2">
      <c r="A47">
        <v>2015</v>
      </c>
      <c r="B47" s="3">
        <v>927102</v>
      </c>
      <c r="C47" s="3" t="s">
        <v>45</v>
      </c>
      <c r="D47" s="4">
        <v>5169</v>
      </c>
    </row>
    <row r="48" spans="1:4" x14ac:dyDescent="0.2">
      <c r="A48">
        <v>2015</v>
      </c>
      <c r="B48" s="3">
        <v>962101</v>
      </c>
      <c r="C48" s="3" t="s">
        <v>46</v>
      </c>
      <c r="D48" s="4">
        <v>181050</v>
      </c>
    </row>
    <row r="49" spans="1:4" x14ac:dyDescent="0.2">
      <c r="A49">
        <v>2015</v>
      </c>
      <c r="B49" s="3">
        <v>906173</v>
      </c>
      <c r="C49" s="3" t="s">
        <v>47</v>
      </c>
      <c r="D49" s="4">
        <v>105188</v>
      </c>
    </row>
    <row r="50" spans="1:4" x14ac:dyDescent="0.2">
      <c r="A50">
        <v>2015</v>
      </c>
      <c r="B50" s="3">
        <v>932104</v>
      </c>
      <c r="C50" s="3" t="s">
        <v>48</v>
      </c>
      <c r="D50" s="4">
        <v>73899</v>
      </c>
    </row>
    <row r="51" spans="1:4" x14ac:dyDescent="0.2">
      <c r="A51">
        <v>2015</v>
      </c>
      <c r="B51" s="3">
        <v>908117</v>
      </c>
      <c r="C51" s="3" t="s">
        <v>49</v>
      </c>
      <c r="D51" s="4">
        <v>61450</v>
      </c>
    </row>
    <row r="52" spans="1:4" x14ac:dyDescent="0.2">
      <c r="A52">
        <v>2015</v>
      </c>
      <c r="B52" s="3">
        <v>947100</v>
      </c>
      <c r="C52" s="3" t="s">
        <v>50</v>
      </c>
      <c r="D52" s="4">
        <v>65394</v>
      </c>
    </row>
    <row r="53" spans="1:4" x14ac:dyDescent="0.2">
      <c r="A53">
        <v>2015</v>
      </c>
      <c r="B53" s="3">
        <v>964108</v>
      </c>
      <c r="C53" s="3" t="s">
        <v>51</v>
      </c>
      <c r="D53" s="4">
        <v>52728</v>
      </c>
    </row>
    <row r="54" spans="1:4" x14ac:dyDescent="0.2">
      <c r="A54">
        <v>2015</v>
      </c>
      <c r="B54" s="3">
        <v>928117</v>
      </c>
      <c r="C54" s="3" t="s">
        <v>52</v>
      </c>
      <c r="D54" s="4">
        <v>89760</v>
      </c>
    </row>
    <row r="55" spans="1:4" x14ac:dyDescent="0.2">
      <c r="A55">
        <v>2015</v>
      </c>
      <c r="B55" s="3">
        <v>952102</v>
      </c>
      <c r="C55" s="3" t="s">
        <v>53</v>
      </c>
      <c r="D55" s="4">
        <v>183497</v>
      </c>
    </row>
    <row r="56" spans="1:4" x14ac:dyDescent="0.2">
      <c r="A56">
        <v>2015</v>
      </c>
      <c r="B56" s="3">
        <v>905140</v>
      </c>
      <c r="C56" s="3" t="s">
        <v>54</v>
      </c>
      <c r="D56" s="4">
        <v>67490</v>
      </c>
    </row>
    <row r="57" spans="1:4" x14ac:dyDescent="0.2">
      <c r="A57">
        <v>2015</v>
      </c>
      <c r="B57" s="3">
        <v>903142</v>
      </c>
      <c r="C57" s="3" t="s">
        <v>55</v>
      </c>
      <c r="D57" s="4">
        <v>59050</v>
      </c>
    </row>
    <row r="58" spans="1:4" x14ac:dyDescent="0.2">
      <c r="A58">
        <v>2015</v>
      </c>
      <c r="B58" s="3">
        <v>937103</v>
      </c>
      <c r="C58" s="3" t="s">
        <v>56</v>
      </c>
      <c r="D58" s="4">
        <v>94659</v>
      </c>
    </row>
    <row r="59" spans="1:4" x14ac:dyDescent="0.2">
      <c r="A59">
        <v>2015</v>
      </c>
      <c r="B59" s="3">
        <v>901155</v>
      </c>
      <c r="C59" s="3" t="s">
        <v>57</v>
      </c>
      <c r="D59" s="4">
        <v>142977</v>
      </c>
    </row>
    <row r="60" spans="1:4" x14ac:dyDescent="0.2">
      <c r="A60">
        <v>2015</v>
      </c>
      <c r="B60" s="3">
        <v>907163</v>
      </c>
      <c r="C60" s="3" t="s">
        <v>179</v>
      </c>
      <c r="D60" s="4">
        <v>76297</v>
      </c>
    </row>
    <row r="61" spans="1:4" x14ac:dyDescent="0.2">
      <c r="A61">
        <v>2015</v>
      </c>
      <c r="B61" s="3">
        <v>954100</v>
      </c>
      <c r="C61" s="3" t="s">
        <v>59</v>
      </c>
      <c r="D61" s="4">
        <v>80714</v>
      </c>
    </row>
    <row r="62" spans="1:4" x14ac:dyDescent="0.2">
      <c r="A62">
        <v>2015</v>
      </c>
      <c r="B62" s="3">
        <v>929106</v>
      </c>
      <c r="C62" s="3" t="s">
        <v>190</v>
      </c>
      <c r="D62" s="4">
        <v>51029</v>
      </c>
    </row>
    <row r="63" spans="1:4" x14ac:dyDescent="0.2">
      <c r="A63">
        <v>2015</v>
      </c>
      <c r="B63" s="3">
        <v>930101</v>
      </c>
      <c r="C63" s="3" t="s">
        <v>60</v>
      </c>
      <c r="D63" s="4">
        <v>112184</v>
      </c>
    </row>
    <row r="64" spans="1:4" x14ac:dyDescent="0.2">
      <c r="A64">
        <v>2015</v>
      </c>
      <c r="B64" s="3">
        <v>903105</v>
      </c>
      <c r="C64" s="3" t="s">
        <v>61</v>
      </c>
      <c r="D64" s="4">
        <v>186943</v>
      </c>
    </row>
    <row r="65" spans="1:4" x14ac:dyDescent="0.2">
      <c r="A65">
        <v>2015</v>
      </c>
      <c r="B65" s="3">
        <v>931100</v>
      </c>
      <c r="C65" s="3" t="s">
        <v>62</v>
      </c>
      <c r="D65" s="4">
        <v>94239</v>
      </c>
    </row>
    <row r="66" spans="1:4" x14ac:dyDescent="0.2">
      <c r="A66">
        <v>2015</v>
      </c>
      <c r="B66" s="3">
        <v>932136</v>
      </c>
      <c r="C66" s="3" t="s">
        <v>63</v>
      </c>
      <c r="D66" s="4">
        <v>182352</v>
      </c>
    </row>
    <row r="67" spans="1:4" x14ac:dyDescent="0.2">
      <c r="A67">
        <v>2015</v>
      </c>
      <c r="B67" s="3">
        <v>934118</v>
      </c>
      <c r="C67" s="3" t="s">
        <v>64</v>
      </c>
      <c r="D67" s="4">
        <v>107887</v>
      </c>
    </row>
    <row r="68" spans="1:4" x14ac:dyDescent="0.2">
      <c r="A68">
        <v>2015</v>
      </c>
      <c r="B68" s="3">
        <v>935117</v>
      </c>
      <c r="C68" s="3" t="s">
        <v>65</v>
      </c>
      <c r="D68" s="4">
        <v>86969</v>
      </c>
    </row>
    <row r="69" spans="1:4" x14ac:dyDescent="0.2">
      <c r="A69">
        <v>2015</v>
      </c>
      <c r="B69" s="3">
        <v>944100</v>
      </c>
      <c r="C69" s="3" t="s">
        <v>66</v>
      </c>
      <c r="D69" s="4">
        <v>1063214</v>
      </c>
    </row>
    <row r="70" spans="1:4" x14ac:dyDescent="0.2">
      <c r="A70">
        <v>2015</v>
      </c>
      <c r="B70" s="3">
        <v>905101</v>
      </c>
      <c r="C70" s="3" t="s">
        <v>67</v>
      </c>
      <c r="D70" s="4">
        <v>49367</v>
      </c>
    </row>
    <row r="71" spans="1:4" x14ac:dyDescent="0.2">
      <c r="A71">
        <v>2015</v>
      </c>
      <c r="B71" s="3">
        <v>916101</v>
      </c>
      <c r="C71" s="3" t="s">
        <v>68</v>
      </c>
      <c r="D71" s="4">
        <v>42276</v>
      </c>
    </row>
    <row r="72" spans="1:4" x14ac:dyDescent="0.2">
      <c r="A72">
        <v>2015</v>
      </c>
      <c r="B72" s="3">
        <v>938124</v>
      </c>
      <c r="C72" s="3" t="s">
        <v>180</v>
      </c>
      <c r="D72" s="4">
        <v>93640</v>
      </c>
    </row>
    <row r="73" spans="1:4" x14ac:dyDescent="0.2">
      <c r="A73">
        <v>2015</v>
      </c>
      <c r="B73" s="3">
        <v>902106</v>
      </c>
      <c r="C73" s="3" t="s">
        <v>70</v>
      </c>
      <c r="D73" s="4">
        <v>182699</v>
      </c>
    </row>
    <row r="74" spans="1:4" x14ac:dyDescent="0.2">
      <c r="A74">
        <v>2015</v>
      </c>
      <c r="B74" s="3">
        <v>957101</v>
      </c>
      <c r="C74" s="3" t="s">
        <v>181</v>
      </c>
      <c r="D74" s="4">
        <v>77106</v>
      </c>
    </row>
    <row r="75" spans="1:4" x14ac:dyDescent="0.2">
      <c r="A75">
        <v>2015</v>
      </c>
      <c r="B75" s="3">
        <v>927101</v>
      </c>
      <c r="C75" s="3" t="s">
        <v>72</v>
      </c>
      <c r="D75" s="4">
        <v>228474</v>
      </c>
    </row>
    <row r="76" spans="1:4" x14ac:dyDescent="0.2">
      <c r="A76">
        <v>2015</v>
      </c>
      <c r="B76" s="3">
        <v>954103</v>
      </c>
      <c r="C76" s="3" t="s">
        <v>73</v>
      </c>
      <c r="D76" s="4">
        <v>53108</v>
      </c>
    </row>
    <row r="77" spans="1:4" x14ac:dyDescent="0.2">
      <c r="A77">
        <v>2015</v>
      </c>
      <c r="B77" s="3">
        <v>951100</v>
      </c>
      <c r="C77" s="3" t="s">
        <v>74</v>
      </c>
      <c r="D77" s="4">
        <v>125981</v>
      </c>
    </row>
    <row r="78" spans="1:4" x14ac:dyDescent="0.2">
      <c r="A78">
        <v>2015</v>
      </c>
      <c r="B78" s="3">
        <v>904103</v>
      </c>
      <c r="C78" s="3" t="s">
        <v>75</v>
      </c>
      <c r="D78" s="4">
        <v>743419</v>
      </c>
    </row>
    <row r="79" spans="1:4" x14ac:dyDescent="0.2">
      <c r="A79">
        <v>2015</v>
      </c>
      <c r="B79" s="3">
        <v>926101</v>
      </c>
      <c r="C79" s="3" t="s">
        <v>76</v>
      </c>
      <c r="D79" s="4">
        <v>110576</v>
      </c>
    </row>
    <row r="80" spans="1:4" x14ac:dyDescent="0.2">
      <c r="A80">
        <v>2015</v>
      </c>
      <c r="B80" s="3">
        <v>907103</v>
      </c>
      <c r="C80" s="3" t="s">
        <v>182</v>
      </c>
      <c r="D80" s="4">
        <v>94627</v>
      </c>
    </row>
    <row r="81" spans="1:4" x14ac:dyDescent="0.2">
      <c r="A81">
        <v>2015</v>
      </c>
      <c r="B81" s="3">
        <v>904138</v>
      </c>
      <c r="C81" s="3" t="s">
        <v>78</v>
      </c>
      <c r="D81" s="4">
        <v>51774</v>
      </c>
    </row>
    <row r="82" spans="1:4" x14ac:dyDescent="0.2">
      <c r="A82">
        <v>2015</v>
      </c>
      <c r="B82" s="3">
        <v>908102</v>
      </c>
      <c r="C82" s="3" t="s">
        <v>197</v>
      </c>
      <c r="D82" s="4">
        <v>18704</v>
      </c>
    </row>
    <row r="83" spans="1:4" x14ac:dyDescent="0.2">
      <c r="A83">
        <v>2015</v>
      </c>
      <c r="B83" s="3">
        <v>941100</v>
      </c>
      <c r="C83" s="3" t="s">
        <v>80</v>
      </c>
      <c r="D83" s="4">
        <v>64633</v>
      </c>
    </row>
    <row r="84" spans="1:4" x14ac:dyDescent="0.2">
      <c r="A84">
        <v>2015</v>
      </c>
      <c r="B84" s="3">
        <v>939103</v>
      </c>
      <c r="C84" s="3" t="s">
        <v>81</v>
      </c>
      <c r="D84" s="4">
        <v>147179</v>
      </c>
    </row>
    <row r="85" spans="1:4" x14ac:dyDescent="0.2">
      <c r="A85">
        <v>2015</v>
      </c>
      <c r="B85" s="3">
        <v>913124</v>
      </c>
      <c r="C85" s="3" t="s">
        <v>82</v>
      </c>
      <c r="D85" s="4">
        <v>91126</v>
      </c>
    </row>
    <row r="86" spans="1:4" x14ac:dyDescent="0.2">
      <c r="A86">
        <v>2015</v>
      </c>
      <c r="B86" s="3">
        <v>942101</v>
      </c>
      <c r="C86" s="3" t="s">
        <v>83</v>
      </c>
      <c r="D86" s="4">
        <v>76703</v>
      </c>
    </row>
    <row r="87" spans="1:4" x14ac:dyDescent="0.2">
      <c r="A87">
        <v>2015</v>
      </c>
      <c r="B87" s="3">
        <v>948124</v>
      </c>
      <c r="C87" s="3" t="s">
        <v>84</v>
      </c>
      <c r="D87" s="4">
        <v>61621</v>
      </c>
    </row>
    <row r="88" spans="1:4" x14ac:dyDescent="0.2">
      <c r="A88">
        <v>2015</v>
      </c>
      <c r="B88" s="3">
        <v>909116</v>
      </c>
      <c r="C88" s="3" t="s">
        <v>183</v>
      </c>
      <c r="D88" s="4">
        <v>302742</v>
      </c>
    </row>
    <row r="89" spans="1:4" x14ac:dyDescent="0.2">
      <c r="A89">
        <v>2015</v>
      </c>
      <c r="B89" s="3">
        <v>953100</v>
      </c>
      <c r="C89" s="3" t="s">
        <v>86</v>
      </c>
      <c r="D89" s="4">
        <v>87071</v>
      </c>
    </row>
    <row r="90" spans="1:4" x14ac:dyDescent="0.2">
      <c r="A90">
        <v>2015</v>
      </c>
      <c r="B90" s="3">
        <v>944172</v>
      </c>
      <c r="C90" s="3" t="s">
        <v>87</v>
      </c>
      <c r="D90" s="4">
        <v>278810</v>
      </c>
    </row>
    <row r="91" spans="1:4" x14ac:dyDescent="0.2">
      <c r="A91">
        <v>2015</v>
      </c>
      <c r="B91" s="3">
        <v>947101</v>
      </c>
      <c r="C91" s="3" t="s">
        <v>88</v>
      </c>
      <c r="D91" s="4">
        <v>70626</v>
      </c>
    </row>
    <row r="92" spans="1:4" x14ac:dyDescent="0.2">
      <c r="A92">
        <v>2015</v>
      </c>
      <c r="B92" s="3">
        <v>945132</v>
      </c>
      <c r="C92" s="3" t="s">
        <v>89</v>
      </c>
      <c r="D92" s="4">
        <v>169692</v>
      </c>
    </row>
    <row r="93" spans="1:4" x14ac:dyDescent="0.2">
      <c r="A93">
        <v>2015</v>
      </c>
      <c r="B93" s="3">
        <v>943122</v>
      </c>
      <c r="C93" s="3" t="s">
        <v>90</v>
      </c>
      <c r="D93" s="4">
        <v>311052</v>
      </c>
    </row>
    <row r="94" spans="1:4" x14ac:dyDescent="0.2">
      <c r="A94">
        <v>2015</v>
      </c>
      <c r="B94" s="3">
        <v>961102</v>
      </c>
      <c r="C94" s="3" t="s">
        <v>91</v>
      </c>
      <c r="D94" s="4">
        <v>67688</v>
      </c>
    </row>
    <row r="95" spans="1:4" x14ac:dyDescent="0.2">
      <c r="A95">
        <v>2015</v>
      </c>
      <c r="B95" s="3">
        <v>946105</v>
      </c>
      <c r="C95" s="3" t="s">
        <v>92</v>
      </c>
      <c r="D95" s="4">
        <v>123146</v>
      </c>
    </row>
    <row r="96" spans="1:4" x14ac:dyDescent="0.2">
      <c r="A96">
        <v>2015</v>
      </c>
      <c r="B96" s="3">
        <v>920100</v>
      </c>
      <c r="C96" s="3" t="s">
        <v>93</v>
      </c>
      <c r="D96" s="4">
        <v>85773</v>
      </c>
    </row>
    <row r="97" spans="1:4" x14ac:dyDescent="0.2">
      <c r="A97">
        <v>2015</v>
      </c>
      <c r="B97" s="3">
        <v>920101</v>
      </c>
      <c r="C97" s="3" t="s">
        <v>94</v>
      </c>
      <c r="D97" s="4">
        <v>202792</v>
      </c>
    </row>
    <row r="98" spans="1:4" x14ac:dyDescent="0.2">
      <c r="A98">
        <v>2015</v>
      </c>
      <c r="B98" s="3">
        <v>949157</v>
      </c>
      <c r="C98" s="3" t="s">
        <v>95</v>
      </c>
      <c r="D98" s="4">
        <v>673459</v>
      </c>
    </row>
    <row r="99" spans="1:4" x14ac:dyDescent="0.2">
      <c r="A99">
        <v>2015</v>
      </c>
      <c r="B99" s="3">
        <v>937102</v>
      </c>
      <c r="C99" s="3" t="s">
        <v>96</v>
      </c>
      <c r="D99" s="4">
        <v>99691</v>
      </c>
    </row>
    <row r="100" spans="1:4" x14ac:dyDescent="0.2">
      <c r="A100">
        <v>2015</v>
      </c>
      <c r="B100" s="3">
        <v>917104</v>
      </c>
      <c r="C100" s="3" t="s">
        <v>191</v>
      </c>
      <c r="D100" s="4">
        <v>166571</v>
      </c>
    </row>
    <row r="101" spans="1:4" x14ac:dyDescent="0.2">
      <c r="A101">
        <v>2015</v>
      </c>
      <c r="B101" s="3">
        <v>929103</v>
      </c>
      <c r="C101" s="3" t="s">
        <v>98</v>
      </c>
      <c r="D101" s="4">
        <v>259967</v>
      </c>
    </row>
    <row r="102" spans="1:4" x14ac:dyDescent="0.2">
      <c r="A102">
        <v>2015</v>
      </c>
      <c r="B102" s="3">
        <v>933100</v>
      </c>
      <c r="C102" s="3" t="s">
        <v>99</v>
      </c>
      <c r="D102" s="4">
        <v>126311</v>
      </c>
    </row>
    <row r="103" spans="1:4" x14ac:dyDescent="0.2">
      <c r="A103">
        <v>2015</v>
      </c>
      <c r="B103" s="3">
        <v>908101</v>
      </c>
      <c r="C103" s="3" t="s">
        <v>100</v>
      </c>
      <c r="D103" s="4">
        <v>890759</v>
      </c>
    </row>
    <row r="104" spans="1:4" x14ac:dyDescent="0.2">
      <c r="A104">
        <v>2015</v>
      </c>
      <c r="B104" s="3">
        <v>963101</v>
      </c>
      <c r="C104" s="3" t="s">
        <v>184</v>
      </c>
      <c r="D104" s="4">
        <v>189990</v>
      </c>
    </row>
    <row r="105" spans="1:4" x14ac:dyDescent="0.2">
      <c r="A105">
        <v>2015</v>
      </c>
      <c r="B105" s="3">
        <v>946103</v>
      </c>
      <c r="C105" s="3" t="s">
        <v>102</v>
      </c>
      <c r="D105" s="4">
        <v>66564</v>
      </c>
    </row>
    <row r="106" spans="1:4" x14ac:dyDescent="0.2">
      <c r="A106">
        <v>2015</v>
      </c>
      <c r="B106" s="3">
        <v>908100</v>
      </c>
      <c r="C106" s="3" t="s">
        <v>103</v>
      </c>
      <c r="D106" s="4">
        <v>85179</v>
      </c>
    </row>
    <row r="107" spans="1:4" x14ac:dyDescent="0.2">
      <c r="A107">
        <v>2015</v>
      </c>
      <c r="B107" s="3">
        <v>902104</v>
      </c>
      <c r="C107" s="3" t="s">
        <v>104</v>
      </c>
      <c r="D107" s="4">
        <v>86495</v>
      </c>
    </row>
    <row r="108" spans="1:4" x14ac:dyDescent="0.2">
      <c r="A108">
        <v>2015</v>
      </c>
      <c r="B108" s="3">
        <v>915104</v>
      </c>
      <c r="C108" s="3" t="s">
        <v>105</v>
      </c>
      <c r="D108" s="4">
        <v>108837</v>
      </c>
    </row>
    <row r="109" spans="1:4" x14ac:dyDescent="0.2">
      <c r="A109">
        <v>2015</v>
      </c>
      <c r="B109" s="3">
        <v>903100</v>
      </c>
      <c r="C109" s="3" t="s">
        <v>185</v>
      </c>
      <c r="D109" s="4">
        <v>34613</v>
      </c>
    </row>
    <row r="110" spans="1:4" x14ac:dyDescent="0.2">
      <c r="A110">
        <v>2015</v>
      </c>
      <c r="B110" s="3">
        <v>932137</v>
      </c>
      <c r="C110" s="3" t="s">
        <v>107</v>
      </c>
      <c r="D110" s="4">
        <v>139346</v>
      </c>
    </row>
    <row r="111" spans="1:4" x14ac:dyDescent="0.2">
      <c r="A111">
        <v>2015</v>
      </c>
      <c r="B111" s="3">
        <v>905130</v>
      </c>
      <c r="C111" s="3" t="s">
        <v>108</v>
      </c>
      <c r="D111" s="4">
        <v>39136</v>
      </c>
    </row>
    <row r="112" spans="1:4" x14ac:dyDescent="0.2">
      <c r="A112">
        <v>2015</v>
      </c>
      <c r="B112" s="3">
        <v>953173</v>
      </c>
      <c r="C112" s="3" t="s">
        <v>109</v>
      </c>
      <c r="D112" s="4">
        <v>63701</v>
      </c>
    </row>
    <row r="113" spans="1:4" x14ac:dyDescent="0.2">
      <c r="A113">
        <v>2015</v>
      </c>
      <c r="B113" s="3">
        <v>957116</v>
      </c>
      <c r="C113" s="3" t="s">
        <v>110</v>
      </c>
      <c r="D113" s="4">
        <v>85808</v>
      </c>
    </row>
    <row r="114" spans="1:4" x14ac:dyDescent="0.2">
      <c r="A114">
        <v>2015</v>
      </c>
      <c r="B114" s="3">
        <v>963102</v>
      </c>
      <c r="C114" s="3" t="s">
        <v>111</v>
      </c>
      <c r="D114" s="4">
        <v>35602</v>
      </c>
    </row>
    <row r="115" spans="1:4" x14ac:dyDescent="0.2">
      <c r="A115">
        <v>2015</v>
      </c>
      <c r="B115" s="3">
        <v>927100</v>
      </c>
      <c r="C115" s="3" t="s">
        <v>112</v>
      </c>
      <c r="D115" s="4">
        <v>73294</v>
      </c>
    </row>
    <row r="116" spans="1:4" x14ac:dyDescent="0.2">
      <c r="A116">
        <v>2015</v>
      </c>
      <c r="B116" s="3">
        <v>927200</v>
      </c>
      <c r="C116" s="3" t="s">
        <v>127</v>
      </c>
      <c r="D116" s="4">
        <v>401520</v>
      </c>
    </row>
    <row r="117" spans="1:4" x14ac:dyDescent="0.2">
      <c r="A117">
        <v>2015</v>
      </c>
      <c r="B117" s="3">
        <v>943104</v>
      </c>
      <c r="C117" s="3" t="s">
        <v>186</v>
      </c>
      <c r="D117" s="4">
        <v>50267</v>
      </c>
    </row>
    <row r="118" spans="1:4" x14ac:dyDescent="0.2">
      <c r="A118">
        <v>2015</v>
      </c>
      <c r="B118" s="3">
        <v>961100</v>
      </c>
      <c r="C118" s="3" t="s">
        <v>114</v>
      </c>
      <c r="D118" s="4">
        <v>77560</v>
      </c>
    </row>
    <row r="119" spans="1:4" x14ac:dyDescent="0.2">
      <c r="A119">
        <v>2015</v>
      </c>
      <c r="B119" s="3">
        <v>937104</v>
      </c>
      <c r="C119" s="3" t="s">
        <v>115</v>
      </c>
      <c r="D119" s="4">
        <v>158596</v>
      </c>
    </row>
    <row r="120" spans="1:4" x14ac:dyDescent="0.2">
      <c r="A120">
        <v>2015</v>
      </c>
      <c r="B120" s="3">
        <v>936100</v>
      </c>
      <c r="C120" s="3" t="s">
        <v>116</v>
      </c>
      <c r="D120" s="4">
        <v>765870</v>
      </c>
    </row>
    <row r="121" spans="1:4" x14ac:dyDescent="0.2">
      <c r="A121">
        <v>2015</v>
      </c>
      <c r="B121" s="3">
        <v>910103</v>
      </c>
      <c r="C121" s="3" t="s">
        <v>117</v>
      </c>
      <c r="D121" s="4">
        <v>86704</v>
      </c>
    </row>
    <row r="122" spans="1:4" x14ac:dyDescent="0.2">
      <c r="A122">
        <v>2015</v>
      </c>
      <c r="B122" s="3">
        <v>917105</v>
      </c>
      <c r="C122" s="3" t="s">
        <v>187</v>
      </c>
      <c r="D122" s="4">
        <v>154422</v>
      </c>
    </row>
    <row r="123" spans="1:4" x14ac:dyDescent="0.2">
      <c r="A123">
        <v>2015</v>
      </c>
      <c r="B123" s="3">
        <v>943100</v>
      </c>
      <c r="C123" s="3" t="s">
        <v>119</v>
      </c>
      <c r="D123" s="4">
        <v>11989</v>
      </c>
    </row>
    <row r="124" spans="1:4" x14ac:dyDescent="0.2">
      <c r="A124">
        <v>2015</v>
      </c>
      <c r="B124" s="3">
        <v>902101</v>
      </c>
      <c r="C124" s="3" t="s">
        <v>120</v>
      </c>
      <c r="D124" s="4">
        <v>4239803</v>
      </c>
    </row>
    <row r="125" spans="1:4" x14ac:dyDescent="0.2">
      <c r="A125">
        <v>2015</v>
      </c>
      <c r="B125" s="3">
        <v>957100</v>
      </c>
      <c r="C125" s="3" t="s">
        <v>121</v>
      </c>
      <c r="D125" s="4">
        <v>200512</v>
      </c>
    </row>
    <row r="126" spans="1:4" x14ac:dyDescent="0.2">
      <c r="A126">
        <v>2015</v>
      </c>
      <c r="B126" s="3">
        <v>955167</v>
      </c>
      <c r="C126" s="3" t="s">
        <v>122</v>
      </c>
      <c r="D126" s="4">
        <v>67094</v>
      </c>
    </row>
    <row r="127" spans="1:4" x14ac:dyDescent="0.2">
      <c r="A127">
        <v>2015</v>
      </c>
      <c r="B127" s="3">
        <v>943121</v>
      </c>
      <c r="C127" s="3" t="s">
        <v>123</v>
      </c>
      <c r="D127" s="4">
        <v>42878</v>
      </c>
    </row>
    <row r="128" spans="1:4" x14ac:dyDescent="0.2">
      <c r="A128">
        <v>2015</v>
      </c>
      <c r="B128" s="3">
        <v>956114</v>
      </c>
      <c r="C128" s="3" t="s">
        <v>124</v>
      </c>
      <c r="D128" s="4">
        <v>81389</v>
      </c>
    </row>
    <row r="129" spans="1:4" x14ac:dyDescent="0.2">
      <c r="A129">
        <v>2015</v>
      </c>
      <c r="B129" s="3">
        <v>912102</v>
      </c>
      <c r="C129" s="3" t="s">
        <v>125</v>
      </c>
      <c r="D129" s="4">
        <v>68791</v>
      </c>
    </row>
    <row r="130" spans="1:4" x14ac:dyDescent="0.2">
      <c r="A130">
        <v>2015</v>
      </c>
      <c r="B130" s="3">
        <v>963112</v>
      </c>
      <c r="C130" s="3" t="s">
        <v>126</v>
      </c>
      <c r="D130" s="4">
        <v>63599</v>
      </c>
    </row>
    <row r="131" spans="1:4" x14ac:dyDescent="0.2">
      <c r="A131">
        <v>2015</v>
      </c>
      <c r="B131" s="3">
        <v>901111</v>
      </c>
      <c r="C131" s="3" t="s">
        <v>128</v>
      </c>
      <c r="D131" s="4">
        <v>7772300</v>
      </c>
    </row>
    <row r="132" spans="1:4" x14ac:dyDescent="0.2">
      <c r="A132">
        <v>2015</v>
      </c>
      <c r="B132" s="3">
        <v>906105</v>
      </c>
      <c r="C132" s="3" t="s">
        <v>129</v>
      </c>
      <c r="D132" s="4">
        <v>157161</v>
      </c>
    </row>
    <row r="133" spans="1:4" x14ac:dyDescent="0.2">
      <c r="A133">
        <v>2015</v>
      </c>
      <c r="B133" s="3">
        <v>955108</v>
      </c>
      <c r="C133" s="3" t="s">
        <v>130</v>
      </c>
      <c r="D133" s="4">
        <v>372862</v>
      </c>
    </row>
    <row r="134" spans="1:4" x14ac:dyDescent="0.2">
      <c r="A134">
        <v>2015</v>
      </c>
      <c r="B134" s="3">
        <v>920102</v>
      </c>
      <c r="C134" s="3" t="s">
        <v>131</v>
      </c>
      <c r="D134" s="4">
        <v>107028</v>
      </c>
    </row>
    <row r="135" spans="1:4" x14ac:dyDescent="0.2">
      <c r="A135">
        <v>2015</v>
      </c>
      <c r="B135" s="3">
        <v>912104</v>
      </c>
      <c r="C135" s="3" t="s">
        <v>132</v>
      </c>
      <c r="D135" s="4">
        <v>59299</v>
      </c>
    </row>
    <row r="136" spans="1:4" x14ac:dyDescent="0.2">
      <c r="A136">
        <v>2015</v>
      </c>
      <c r="B136" s="3">
        <v>930103</v>
      </c>
      <c r="C136" s="3" t="s">
        <v>133</v>
      </c>
      <c r="D136" s="4">
        <v>58618</v>
      </c>
    </row>
    <row r="137" spans="1:4" x14ac:dyDescent="0.2">
      <c r="A137">
        <v>2015</v>
      </c>
      <c r="B137" s="3">
        <v>962104</v>
      </c>
      <c r="C137" s="3" t="s">
        <v>134</v>
      </c>
      <c r="D137" s="4">
        <v>65538</v>
      </c>
    </row>
    <row r="138" spans="1:4" x14ac:dyDescent="0.2">
      <c r="A138">
        <v>2015</v>
      </c>
      <c r="B138" s="3">
        <v>909101</v>
      </c>
      <c r="C138" s="3" t="s">
        <v>135</v>
      </c>
      <c r="D138" s="4">
        <v>569027</v>
      </c>
    </row>
    <row r="139" spans="1:4" x14ac:dyDescent="0.2">
      <c r="A139">
        <v>2015</v>
      </c>
      <c r="B139" s="3">
        <v>958100</v>
      </c>
      <c r="C139" s="3" t="s">
        <v>136</v>
      </c>
      <c r="D139" s="4">
        <v>152054</v>
      </c>
    </row>
    <row r="140" spans="1:4" x14ac:dyDescent="0.2">
      <c r="A140">
        <v>2015</v>
      </c>
      <c r="B140" s="3">
        <v>910104</v>
      </c>
      <c r="C140" s="3" t="s">
        <v>195</v>
      </c>
      <c r="D140" s="4">
        <v>47931</v>
      </c>
    </row>
    <row r="141" spans="1:4" x14ac:dyDescent="0.2">
      <c r="A141">
        <v>2015</v>
      </c>
      <c r="B141" s="3">
        <v>955104</v>
      </c>
      <c r="C141" s="3" t="s">
        <v>137</v>
      </c>
      <c r="D141" s="4">
        <v>53807</v>
      </c>
    </row>
    <row r="142" spans="1:4" x14ac:dyDescent="0.2">
      <c r="A142">
        <v>2015</v>
      </c>
      <c r="B142" s="3">
        <v>944102</v>
      </c>
      <c r="C142" s="3" t="s">
        <v>138</v>
      </c>
      <c r="D142" s="4">
        <v>366792</v>
      </c>
    </row>
    <row r="143" spans="1:4" x14ac:dyDescent="0.2">
      <c r="A143">
        <v>2015</v>
      </c>
      <c r="B143" s="3">
        <v>950102</v>
      </c>
      <c r="C143" s="3" t="s">
        <v>139</v>
      </c>
      <c r="D143" s="4">
        <v>22724</v>
      </c>
    </row>
    <row r="144" spans="1:4" x14ac:dyDescent="0.2">
      <c r="A144">
        <v>2015</v>
      </c>
      <c r="B144" s="3">
        <v>924101</v>
      </c>
      <c r="C144" s="3" t="s">
        <v>140</v>
      </c>
      <c r="D144" s="4">
        <v>144950</v>
      </c>
    </row>
    <row r="145" spans="1:4" x14ac:dyDescent="0.2">
      <c r="A145">
        <v>2015</v>
      </c>
      <c r="B145" s="3">
        <v>960200</v>
      </c>
      <c r="C145" s="3" t="s">
        <v>141</v>
      </c>
      <c r="D145" s="4">
        <v>846093</v>
      </c>
    </row>
    <row r="146" spans="1:4" x14ac:dyDescent="0.2">
      <c r="A146">
        <v>2015</v>
      </c>
      <c r="B146" s="3">
        <v>901105</v>
      </c>
      <c r="C146" s="3" t="s">
        <v>142</v>
      </c>
      <c r="D146" s="4">
        <v>214465</v>
      </c>
    </row>
    <row r="147" spans="1:4" x14ac:dyDescent="0.2">
      <c r="A147">
        <v>2015</v>
      </c>
      <c r="B147" s="3">
        <v>937100</v>
      </c>
      <c r="C147" s="3" t="s">
        <v>143</v>
      </c>
      <c r="D147" s="4">
        <v>71942</v>
      </c>
    </row>
    <row r="148" spans="1:4" x14ac:dyDescent="0.2">
      <c r="A148">
        <v>2015</v>
      </c>
      <c r="B148" s="3">
        <v>919100</v>
      </c>
      <c r="C148" s="3" t="s">
        <v>144</v>
      </c>
      <c r="D148" s="4">
        <v>330736</v>
      </c>
    </row>
    <row r="149" spans="1:4" x14ac:dyDescent="0.2">
      <c r="A149">
        <v>2015</v>
      </c>
      <c r="B149" s="3">
        <v>961104</v>
      </c>
      <c r="C149" s="3" t="s">
        <v>188</v>
      </c>
      <c r="D149" s="4">
        <v>84950</v>
      </c>
    </row>
    <row r="150" spans="1:4" x14ac:dyDescent="0.2">
      <c r="A150">
        <v>2015</v>
      </c>
      <c r="B150" s="3">
        <v>917103</v>
      </c>
      <c r="C150" s="3" t="s">
        <v>146</v>
      </c>
      <c r="D150" s="4">
        <v>308996</v>
      </c>
    </row>
    <row r="151" spans="1:4" x14ac:dyDescent="0.2">
      <c r="A151">
        <v>2015</v>
      </c>
      <c r="B151" s="3">
        <v>902107</v>
      </c>
      <c r="C151" s="3" t="s">
        <v>147</v>
      </c>
      <c r="D151" s="4">
        <v>88842</v>
      </c>
    </row>
    <row r="152" spans="1:4" x14ac:dyDescent="0.2">
      <c r="A152">
        <v>2015</v>
      </c>
      <c r="B152" s="3">
        <v>903141</v>
      </c>
      <c r="C152" s="3" t="s">
        <v>148</v>
      </c>
      <c r="D152" s="4">
        <v>76756</v>
      </c>
    </row>
    <row r="153" spans="1:4" x14ac:dyDescent="0.2">
      <c r="A153">
        <v>2015</v>
      </c>
      <c r="B153" s="3">
        <v>905104</v>
      </c>
      <c r="C153" s="3" t="s">
        <v>149</v>
      </c>
      <c r="D153" s="4">
        <v>1630885</v>
      </c>
    </row>
    <row r="154" spans="1:4" x14ac:dyDescent="0.2">
      <c r="A154">
        <v>2015</v>
      </c>
      <c r="B154" s="3">
        <v>922105</v>
      </c>
      <c r="C154" s="3" t="s">
        <v>150</v>
      </c>
      <c r="D154" s="4">
        <v>69611</v>
      </c>
    </row>
    <row r="155" spans="1:4" x14ac:dyDescent="0.2">
      <c r="A155">
        <v>2015</v>
      </c>
      <c r="B155" s="3">
        <v>905100</v>
      </c>
      <c r="C155" s="3" t="s">
        <v>151</v>
      </c>
      <c r="D155" s="4">
        <v>54627</v>
      </c>
    </row>
    <row r="156" spans="1:4" x14ac:dyDescent="0.2">
      <c r="A156">
        <v>2015</v>
      </c>
      <c r="B156" s="3">
        <v>922107</v>
      </c>
      <c r="C156" s="3" t="s">
        <v>152</v>
      </c>
      <c r="D156" s="4">
        <v>135981</v>
      </c>
    </row>
    <row r="157" spans="1:4" x14ac:dyDescent="0.2">
      <c r="A157">
        <v>2015</v>
      </c>
      <c r="B157" s="3">
        <v>940102</v>
      </c>
      <c r="C157" s="3" t="s">
        <v>153</v>
      </c>
      <c r="D157" s="4">
        <v>93556</v>
      </c>
    </row>
    <row r="158" spans="1:4" x14ac:dyDescent="0.2">
      <c r="A158">
        <v>2015</v>
      </c>
      <c r="B158" s="3">
        <v>901157</v>
      </c>
      <c r="C158" s="3" t="s">
        <v>154</v>
      </c>
      <c r="D158" s="4">
        <v>366123</v>
      </c>
    </row>
    <row r="159" spans="1:4" x14ac:dyDescent="0.2">
      <c r="A159">
        <v>2015</v>
      </c>
      <c r="B159" s="3">
        <v>910105</v>
      </c>
      <c r="C159" s="3" t="s">
        <v>156</v>
      </c>
      <c r="D159" s="4">
        <v>53492</v>
      </c>
    </row>
    <row r="160" spans="1:4" x14ac:dyDescent="0.2">
      <c r="A160">
        <v>2015</v>
      </c>
      <c r="B160" s="3">
        <v>950101</v>
      </c>
      <c r="C160" s="3" t="s">
        <v>157</v>
      </c>
      <c r="D160" s="4">
        <v>176206</v>
      </c>
    </row>
    <row r="161" spans="1:4" x14ac:dyDescent="0.2">
      <c r="A161">
        <v>2015</v>
      </c>
      <c r="B161" s="3">
        <v>918101</v>
      </c>
      <c r="C161" s="3" t="s">
        <v>158</v>
      </c>
      <c r="D161" s="4">
        <v>67183</v>
      </c>
    </row>
    <row r="162" spans="1:4" x14ac:dyDescent="0.2">
      <c r="A162">
        <v>2015</v>
      </c>
      <c r="B162" s="3">
        <v>955102</v>
      </c>
      <c r="C162" s="3" t="s">
        <v>159</v>
      </c>
      <c r="D162" s="4">
        <v>66957</v>
      </c>
    </row>
    <row r="163" spans="1:4" x14ac:dyDescent="0.2">
      <c r="A163">
        <v>2015</v>
      </c>
      <c r="B163" s="3">
        <v>960102</v>
      </c>
      <c r="C163" s="3" t="s">
        <v>160</v>
      </c>
      <c r="D163" s="4">
        <v>198875</v>
      </c>
    </row>
    <row r="164" spans="1:4" x14ac:dyDescent="0.2">
      <c r="A164">
        <v>2015</v>
      </c>
      <c r="B164" s="3">
        <v>904105</v>
      </c>
      <c r="C164" s="3" t="s">
        <v>189</v>
      </c>
      <c r="D164" s="4">
        <v>99624</v>
      </c>
    </row>
    <row r="165" spans="1:4" x14ac:dyDescent="0.2">
      <c r="A165">
        <v>2015</v>
      </c>
      <c r="B165" s="3">
        <v>956100</v>
      </c>
      <c r="C165" s="3" t="s">
        <v>162</v>
      </c>
      <c r="D165" s="4">
        <v>62295</v>
      </c>
    </row>
    <row r="166" spans="1:4" x14ac:dyDescent="0.2">
      <c r="A166">
        <v>2015</v>
      </c>
      <c r="B166" s="3">
        <v>907100</v>
      </c>
      <c r="C166" s="3" t="s">
        <v>163</v>
      </c>
      <c r="D166" s="4">
        <v>756379</v>
      </c>
    </row>
    <row r="167" spans="1:4" x14ac:dyDescent="0.2">
      <c r="A167">
        <v>2015</v>
      </c>
      <c r="B167" s="3" t="s">
        <v>165</v>
      </c>
      <c r="C167" s="3" t="s">
        <v>164</v>
      </c>
      <c r="D167" s="4">
        <v>24592155</v>
      </c>
    </row>
    <row r="168" spans="1:4" x14ac:dyDescent="0.2">
      <c r="A168">
        <v>2015</v>
      </c>
      <c r="B168" s="3">
        <v>909102</v>
      </c>
      <c r="C168" s="3" t="s">
        <v>169</v>
      </c>
      <c r="D168" s="4">
        <v>775980</v>
      </c>
    </row>
    <row r="169" spans="1:4" x14ac:dyDescent="0.2">
      <c r="A169">
        <v>2015</v>
      </c>
      <c r="B169" s="3">
        <v>903501</v>
      </c>
      <c r="C169" s="3" t="s">
        <v>170</v>
      </c>
      <c r="D169" s="4">
        <v>129107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8F62-65C9-A84F-90FB-7D2F0668C1E0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4FD4-7617-AB4B-BEA9-307F9F36E8C8}">
  <sheetPr>
    <tabColor rgb="FFFFFF00"/>
  </sheetPr>
  <dimension ref="A1:B1325"/>
  <sheetViews>
    <sheetView topLeftCell="A131" workbookViewId="0">
      <selection activeCell="B21" sqref="B21"/>
    </sheetView>
  </sheetViews>
  <sheetFormatPr baseColWidth="10" defaultRowHeight="16" x14ac:dyDescent="0.2"/>
  <cols>
    <col min="1" max="1" width="40.5" style="3" bestFit="1" customWidth="1"/>
  </cols>
  <sheetData>
    <row r="1" spans="1:2" x14ac:dyDescent="0.2">
      <c r="A1" s="3" t="s">
        <v>203</v>
      </c>
      <c r="B1" t="s">
        <v>204</v>
      </c>
    </row>
    <row r="2" spans="1:2" x14ac:dyDescent="0.2">
      <c r="A2" s="3" t="s">
        <v>0</v>
      </c>
      <c r="B2">
        <v>4602070</v>
      </c>
    </row>
    <row r="3" spans="1:2" x14ac:dyDescent="0.2">
      <c r="A3" s="3" t="s">
        <v>173</v>
      </c>
      <c r="B3">
        <v>4600042</v>
      </c>
    </row>
    <row r="4" spans="1:2" x14ac:dyDescent="0.2">
      <c r="A4" s="3" t="s">
        <v>174</v>
      </c>
      <c r="B4">
        <v>4600028</v>
      </c>
    </row>
    <row r="5" spans="1:2" x14ac:dyDescent="0.2">
      <c r="A5" s="3" t="s">
        <v>3</v>
      </c>
      <c r="B5">
        <v>4639540</v>
      </c>
    </row>
    <row r="6" spans="1:2" x14ac:dyDescent="0.2">
      <c r="A6" s="3" t="s">
        <v>4</v>
      </c>
      <c r="B6">
        <v>4603720</v>
      </c>
    </row>
    <row r="7" spans="1:2" x14ac:dyDescent="0.2">
      <c r="A7" s="3" t="s">
        <v>5</v>
      </c>
      <c r="B7">
        <v>4603780</v>
      </c>
    </row>
    <row r="8" spans="1:2" x14ac:dyDescent="0.2">
      <c r="A8" s="3" t="s">
        <v>6</v>
      </c>
      <c r="B8">
        <v>4604270</v>
      </c>
    </row>
    <row r="9" spans="1:2" x14ac:dyDescent="0.2">
      <c r="A9" s="3" t="s">
        <v>7</v>
      </c>
      <c r="B9">
        <v>4604680</v>
      </c>
    </row>
    <row r="10" spans="1:2" x14ac:dyDescent="0.2">
      <c r="A10" s="3" t="s">
        <v>8</v>
      </c>
      <c r="B10">
        <v>4605610</v>
      </c>
    </row>
    <row r="11" spans="1:2" x14ac:dyDescent="0.2">
      <c r="A11" s="3" t="s">
        <v>9</v>
      </c>
      <c r="B11">
        <v>4606240</v>
      </c>
    </row>
    <row r="12" spans="1:2" x14ac:dyDescent="0.2">
      <c r="A12" s="3" t="s">
        <v>10</v>
      </c>
      <c r="B12">
        <v>4606360</v>
      </c>
    </row>
    <row r="13" spans="1:2" x14ac:dyDescent="0.2">
      <c r="A13" s="3" t="s">
        <v>11</v>
      </c>
      <c r="B13">
        <v>4606960</v>
      </c>
    </row>
    <row r="14" spans="1:2" x14ac:dyDescent="0.2">
      <c r="A14" s="3" t="s">
        <v>12</v>
      </c>
      <c r="B14">
        <v>4607050</v>
      </c>
    </row>
    <row r="15" spans="1:2" x14ac:dyDescent="0.2">
      <c r="A15" s="3" t="s">
        <v>169</v>
      </c>
      <c r="B15">
        <v>4680120</v>
      </c>
    </row>
    <row r="16" spans="1:2" x14ac:dyDescent="0.2">
      <c r="A16" s="3" t="s">
        <v>13</v>
      </c>
      <c r="B16">
        <v>4607400</v>
      </c>
    </row>
    <row r="17" spans="1:2" x14ac:dyDescent="0.2">
      <c r="A17" s="3" t="s">
        <v>14</v>
      </c>
      <c r="B17">
        <v>4607800</v>
      </c>
    </row>
    <row r="18" spans="1:2" x14ac:dyDescent="0.2">
      <c r="A18" s="3" t="s">
        <v>15</v>
      </c>
      <c r="B18">
        <v>4607950</v>
      </c>
    </row>
    <row r="19" spans="1:2" x14ac:dyDescent="0.2">
      <c r="A19" s="3" t="s">
        <v>175</v>
      </c>
      <c r="B19">
        <v>4621420</v>
      </c>
    </row>
    <row r="20" spans="1:2" x14ac:dyDescent="0.2">
      <c r="A20" s="3" t="s">
        <v>176</v>
      </c>
      <c r="B20">
        <v>4600041</v>
      </c>
    </row>
    <row r="21" spans="1:2" x14ac:dyDescent="0.2">
      <c r="A21" s="3" t="s">
        <v>18</v>
      </c>
      <c r="B21">
        <v>4608520</v>
      </c>
    </row>
    <row r="22" spans="1:2" x14ac:dyDescent="0.2">
      <c r="A22" s="3" t="s">
        <v>19</v>
      </c>
      <c r="B22">
        <v>4609512</v>
      </c>
    </row>
    <row r="23" spans="1:2" x14ac:dyDescent="0.2">
      <c r="A23" s="3" t="s">
        <v>20</v>
      </c>
      <c r="B23">
        <v>4610320</v>
      </c>
    </row>
    <row r="24" spans="1:2" x14ac:dyDescent="0.2">
      <c r="A24" s="3" t="s">
        <v>21</v>
      </c>
      <c r="B24">
        <v>4610560</v>
      </c>
    </row>
    <row r="25" spans="1:2" x14ac:dyDescent="0.2">
      <c r="A25" s="3" t="s">
        <v>22</v>
      </c>
      <c r="B25">
        <v>4611280</v>
      </c>
    </row>
    <row r="26" spans="1:2" x14ac:dyDescent="0.2">
      <c r="A26" s="3" t="s">
        <v>23</v>
      </c>
      <c r="B26">
        <v>4611760</v>
      </c>
    </row>
    <row r="27" spans="1:2" x14ac:dyDescent="0.2">
      <c r="A27" s="3" t="s">
        <v>24</v>
      </c>
      <c r="B27">
        <v>4612000</v>
      </c>
    </row>
    <row r="28" spans="1:2" x14ac:dyDescent="0.2">
      <c r="A28" s="3" t="s">
        <v>25</v>
      </c>
      <c r="B28">
        <v>4612300</v>
      </c>
    </row>
    <row r="29" spans="1:2" x14ac:dyDescent="0.2">
      <c r="A29" s="3" t="s">
        <v>27</v>
      </c>
      <c r="B29">
        <v>4612940</v>
      </c>
    </row>
    <row r="30" spans="1:2" x14ac:dyDescent="0.2">
      <c r="A30" s="3" t="s">
        <v>177</v>
      </c>
      <c r="B30">
        <v>4614100</v>
      </c>
    </row>
    <row r="31" spans="1:2" x14ac:dyDescent="0.2">
      <c r="A31" s="3" t="s">
        <v>29</v>
      </c>
      <c r="B31">
        <v>4614130</v>
      </c>
    </row>
    <row r="32" spans="1:2" x14ac:dyDescent="0.2">
      <c r="A32" s="3" t="s">
        <v>97</v>
      </c>
      <c r="B32">
        <v>4680446</v>
      </c>
    </row>
    <row r="33" spans="1:2" x14ac:dyDescent="0.2">
      <c r="A33" s="3" t="s">
        <v>30</v>
      </c>
      <c r="B33">
        <v>4616150</v>
      </c>
    </row>
    <row r="34" spans="1:2" x14ac:dyDescent="0.2">
      <c r="A34" s="3" t="s">
        <v>178</v>
      </c>
      <c r="B34">
        <v>4680445</v>
      </c>
    </row>
    <row r="35" spans="1:2" x14ac:dyDescent="0.2">
      <c r="A35" s="3" t="s">
        <v>32</v>
      </c>
      <c r="B35">
        <v>4616950</v>
      </c>
    </row>
    <row r="36" spans="1:2" x14ac:dyDescent="0.2">
      <c r="A36" s="3" t="s">
        <v>33</v>
      </c>
      <c r="B36">
        <v>4636990</v>
      </c>
    </row>
    <row r="37" spans="1:2" x14ac:dyDescent="0.2">
      <c r="A37" s="3" t="s">
        <v>34</v>
      </c>
      <c r="B37">
        <v>4618120</v>
      </c>
    </row>
    <row r="38" spans="1:2" x14ac:dyDescent="0.2">
      <c r="A38" s="3" t="s">
        <v>35</v>
      </c>
      <c r="B38">
        <v>4617850</v>
      </c>
    </row>
    <row r="39" spans="1:2" x14ac:dyDescent="0.2">
      <c r="A39" s="3" t="s">
        <v>36</v>
      </c>
      <c r="B39">
        <v>4678300</v>
      </c>
    </row>
    <row r="40" spans="1:2" x14ac:dyDescent="0.2">
      <c r="A40" s="3" t="s">
        <v>37</v>
      </c>
      <c r="B40">
        <v>4600036</v>
      </c>
    </row>
    <row r="41" spans="1:2" x14ac:dyDescent="0.2">
      <c r="A41" s="3" t="s">
        <v>38</v>
      </c>
      <c r="B41">
        <v>4619170</v>
      </c>
    </row>
    <row r="42" spans="1:2" x14ac:dyDescent="0.2">
      <c r="A42" s="3" t="s">
        <v>39</v>
      </c>
      <c r="B42">
        <v>4619410</v>
      </c>
    </row>
    <row r="43" spans="1:2" x14ac:dyDescent="0.2">
      <c r="A43" s="3" t="s">
        <v>40</v>
      </c>
      <c r="B43">
        <v>4619450</v>
      </c>
    </row>
    <row r="44" spans="1:2" x14ac:dyDescent="0.2">
      <c r="A44" s="3" t="s">
        <v>41</v>
      </c>
      <c r="B44">
        <v>4620100</v>
      </c>
    </row>
    <row r="45" spans="1:2" x14ac:dyDescent="0.2">
      <c r="A45" s="3" t="s">
        <v>42</v>
      </c>
      <c r="B45">
        <v>4600027</v>
      </c>
    </row>
    <row r="46" spans="1:2" x14ac:dyDescent="0.2">
      <c r="A46" s="3" t="s">
        <v>43</v>
      </c>
      <c r="B46">
        <v>4620850</v>
      </c>
    </row>
    <row r="47" spans="1:2" x14ac:dyDescent="0.2">
      <c r="A47" s="3" t="s">
        <v>44</v>
      </c>
      <c r="B47">
        <v>4634440</v>
      </c>
    </row>
    <row r="48" spans="1:2" x14ac:dyDescent="0.2">
      <c r="A48" s="3" t="s">
        <v>45</v>
      </c>
      <c r="B48">
        <v>4621300</v>
      </c>
    </row>
    <row r="49" spans="1:2" x14ac:dyDescent="0.2">
      <c r="A49" s="3" t="s">
        <v>46</v>
      </c>
      <c r="B49">
        <v>4621340</v>
      </c>
    </row>
    <row r="50" spans="1:2" x14ac:dyDescent="0.2">
      <c r="A50" s="3" t="s">
        <v>47</v>
      </c>
      <c r="B50">
        <v>4621390</v>
      </c>
    </row>
    <row r="51" spans="1:2" x14ac:dyDescent="0.2">
      <c r="A51" s="3" t="s">
        <v>48</v>
      </c>
      <c r="B51">
        <v>4622410</v>
      </c>
    </row>
    <row r="52" spans="1:2" x14ac:dyDescent="0.2">
      <c r="A52" s="3" t="s">
        <v>49</v>
      </c>
      <c r="B52">
        <v>4622500</v>
      </c>
    </row>
    <row r="53" spans="1:2" x14ac:dyDescent="0.2">
      <c r="A53" s="3" t="s">
        <v>50</v>
      </c>
      <c r="B53">
        <v>4622560</v>
      </c>
    </row>
    <row r="54" spans="1:2" x14ac:dyDescent="0.2">
      <c r="A54" s="3" t="s">
        <v>51</v>
      </c>
      <c r="B54">
        <v>4622940</v>
      </c>
    </row>
    <row r="55" spans="1:2" x14ac:dyDescent="0.2">
      <c r="A55" s="3" t="s">
        <v>52</v>
      </c>
      <c r="B55">
        <v>4624030</v>
      </c>
    </row>
    <row r="56" spans="1:2" x14ac:dyDescent="0.2">
      <c r="A56" s="3" t="s">
        <v>53</v>
      </c>
      <c r="B56">
        <v>4624390</v>
      </c>
    </row>
    <row r="57" spans="1:2" x14ac:dyDescent="0.2">
      <c r="A57" s="3" t="s">
        <v>54</v>
      </c>
      <c r="B57">
        <v>4624540</v>
      </c>
    </row>
    <row r="58" spans="1:2" x14ac:dyDescent="0.2">
      <c r="A58" s="3" t="s">
        <v>55</v>
      </c>
      <c r="B58">
        <v>4621400</v>
      </c>
    </row>
    <row r="59" spans="1:2" x14ac:dyDescent="0.2">
      <c r="A59" s="3" t="s">
        <v>56</v>
      </c>
      <c r="B59">
        <v>4625500</v>
      </c>
    </row>
    <row r="60" spans="1:2" x14ac:dyDescent="0.2">
      <c r="A60" s="3" t="s">
        <v>57</v>
      </c>
      <c r="B60">
        <v>4626370</v>
      </c>
    </row>
    <row r="61" spans="1:2" x14ac:dyDescent="0.2">
      <c r="A61" s="3" t="s">
        <v>179</v>
      </c>
      <c r="B61">
        <v>4626490</v>
      </c>
    </row>
    <row r="62" spans="1:2" x14ac:dyDescent="0.2">
      <c r="A62" s="3" t="s">
        <v>59</v>
      </c>
      <c r="B62">
        <v>4626970</v>
      </c>
    </row>
    <row r="63" spans="1:2" x14ac:dyDescent="0.2">
      <c r="A63" s="3" t="s">
        <v>190</v>
      </c>
      <c r="B63">
        <v>4629340</v>
      </c>
    </row>
    <row r="64" spans="1:2" x14ac:dyDescent="0.2">
      <c r="A64" s="3" t="s">
        <v>60</v>
      </c>
      <c r="B64">
        <v>4629880</v>
      </c>
    </row>
    <row r="65" spans="1:2" x14ac:dyDescent="0.2">
      <c r="A65" s="3" t="s">
        <v>61</v>
      </c>
      <c r="B65">
        <v>4600045</v>
      </c>
    </row>
    <row r="66" spans="1:2" x14ac:dyDescent="0.2">
      <c r="A66" s="3" t="s">
        <v>62</v>
      </c>
      <c r="B66">
        <v>4630490</v>
      </c>
    </row>
    <row r="67" spans="1:2" x14ac:dyDescent="0.2">
      <c r="A67" s="3" t="s">
        <v>63</v>
      </c>
      <c r="B67">
        <v>4630800</v>
      </c>
    </row>
    <row r="68" spans="1:2" x14ac:dyDescent="0.2">
      <c r="A68" s="3" t="s">
        <v>64</v>
      </c>
      <c r="B68">
        <v>4602640</v>
      </c>
    </row>
    <row r="69" spans="1:2" x14ac:dyDescent="0.2">
      <c r="A69" s="3" t="s">
        <v>65</v>
      </c>
      <c r="B69">
        <v>4609300</v>
      </c>
    </row>
    <row r="70" spans="1:2" x14ac:dyDescent="0.2">
      <c r="A70" s="3" t="s">
        <v>66</v>
      </c>
      <c r="B70">
        <v>4631350</v>
      </c>
    </row>
    <row r="71" spans="1:2" x14ac:dyDescent="0.2">
      <c r="A71" s="3" t="s">
        <v>67</v>
      </c>
      <c r="B71">
        <v>4632340</v>
      </c>
    </row>
    <row r="72" spans="1:2" x14ac:dyDescent="0.2">
      <c r="A72" s="3" t="s">
        <v>68</v>
      </c>
      <c r="B72">
        <v>4632430</v>
      </c>
    </row>
    <row r="73" spans="1:2" x14ac:dyDescent="0.2">
      <c r="A73" s="3" t="s">
        <v>180</v>
      </c>
      <c r="B73">
        <v>4680440</v>
      </c>
    </row>
    <row r="74" spans="1:2" x14ac:dyDescent="0.2">
      <c r="A74" s="3" t="s">
        <v>70</v>
      </c>
      <c r="B74">
        <v>4633360</v>
      </c>
    </row>
    <row r="75" spans="1:2" x14ac:dyDescent="0.2">
      <c r="A75" s="3" t="s">
        <v>181</v>
      </c>
      <c r="B75">
        <v>4600046</v>
      </c>
    </row>
    <row r="76" spans="1:2" x14ac:dyDescent="0.2">
      <c r="A76" s="3" t="s">
        <v>72</v>
      </c>
      <c r="B76">
        <v>4634480</v>
      </c>
    </row>
    <row r="77" spans="1:2" x14ac:dyDescent="0.2">
      <c r="A77" s="3" t="s">
        <v>73</v>
      </c>
      <c r="B77">
        <v>4634600</v>
      </c>
    </row>
    <row r="78" spans="1:2" x14ac:dyDescent="0.2">
      <c r="A78" s="3" t="s">
        <v>74</v>
      </c>
      <c r="B78">
        <v>4600025</v>
      </c>
    </row>
    <row r="79" spans="1:2" x14ac:dyDescent="0.2">
      <c r="A79" s="3" t="s">
        <v>75</v>
      </c>
      <c r="B79">
        <v>4635480</v>
      </c>
    </row>
    <row r="80" spans="1:2" x14ac:dyDescent="0.2">
      <c r="A80" s="3" t="s">
        <v>76</v>
      </c>
      <c r="B80">
        <v>4636060</v>
      </c>
    </row>
    <row r="81" spans="1:2" x14ac:dyDescent="0.2">
      <c r="A81" s="3" t="s">
        <v>193</v>
      </c>
      <c r="B81">
        <v>4680439</v>
      </c>
    </row>
    <row r="82" spans="1:2" x14ac:dyDescent="0.2">
      <c r="A82" s="3" t="s">
        <v>78</v>
      </c>
      <c r="B82">
        <v>4636150</v>
      </c>
    </row>
    <row r="83" spans="1:2" x14ac:dyDescent="0.2">
      <c r="A83" s="3" t="s">
        <v>79</v>
      </c>
      <c r="B83">
        <v>4600039</v>
      </c>
    </row>
    <row r="84" spans="1:2" x14ac:dyDescent="0.2">
      <c r="A84" s="3" t="s">
        <v>80</v>
      </c>
      <c r="B84">
        <v>4619580</v>
      </c>
    </row>
    <row r="85" spans="1:2" x14ac:dyDescent="0.2">
      <c r="A85" s="3" t="s">
        <v>81</v>
      </c>
      <c r="B85">
        <v>4680437</v>
      </c>
    </row>
    <row r="86" spans="1:2" x14ac:dyDescent="0.2">
      <c r="A86" s="3" t="s">
        <v>82</v>
      </c>
      <c r="B86">
        <v>4638220</v>
      </c>
    </row>
    <row r="87" spans="1:2" x14ac:dyDescent="0.2">
      <c r="A87" s="3" t="s">
        <v>83</v>
      </c>
      <c r="B87">
        <v>4639990</v>
      </c>
    </row>
    <row r="88" spans="1:2" x14ac:dyDescent="0.2">
      <c r="A88" s="3" t="s">
        <v>84</v>
      </c>
      <c r="B88">
        <v>4640860</v>
      </c>
    </row>
    <row r="89" spans="1:2" x14ac:dyDescent="0.2">
      <c r="A89" s="3" t="s">
        <v>183</v>
      </c>
      <c r="B89">
        <v>4641300</v>
      </c>
    </row>
    <row r="90" spans="1:2" x14ac:dyDescent="0.2">
      <c r="A90" s="3" t="s">
        <v>86</v>
      </c>
      <c r="B90">
        <v>4641520</v>
      </c>
    </row>
    <row r="91" spans="1:2" x14ac:dyDescent="0.2">
      <c r="A91" s="3" t="s">
        <v>87</v>
      </c>
      <c r="B91">
        <v>4641550</v>
      </c>
    </row>
    <row r="92" spans="1:2" x14ac:dyDescent="0.2">
      <c r="A92" s="3" t="s">
        <v>88</v>
      </c>
      <c r="B92">
        <v>4641640</v>
      </c>
    </row>
    <row r="93" spans="1:2" x14ac:dyDescent="0.2">
      <c r="A93" s="3" t="s">
        <v>89</v>
      </c>
      <c r="B93">
        <v>4644770</v>
      </c>
    </row>
    <row r="94" spans="1:2" x14ac:dyDescent="0.2">
      <c r="A94" s="3" t="s">
        <v>90</v>
      </c>
      <c r="B94">
        <v>4639600</v>
      </c>
    </row>
    <row r="95" spans="1:2" x14ac:dyDescent="0.2">
      <c r="A95" s="3" t="s">
        <v>91</v>
      </c>
      <c r="B95">
        <v>4645450</v>
      </c>
    </row>
    <row r="96" spans="1:2" x14ac:dyDescent="0.2">
      <c r="A96" s="3" t="s">
        <v>92</v>
      </c>
      <c r="B96">
        <v>4601026</v>
      </c>
    </row>
    <row r="97" spans="1:2" x14ac:dyDescent="0.2">
      <c r="A97" s="3" t="s">
        <v>93</v>
      </c>
      <c r="B97">
        <v>4646260</v>
      </c>
    </row>
    <row r="98" spans="1:2" x14ac:dyDescent="0.2">
      <c r="A98" s="3" t="s">
        <v>94</v>
      </c>
      <c r="B98">
        <v>4646380</v>
      </c>
    </row>
    <row r="99" spans="1:2" x14ac:dyDescent="0.2">
      <c r="A99" s="3" t="s">
        <v>95</v>
      </c>
      <c r="B99">
        <v>4669930</v>
      </c>
    </row>
    <row r="100" spans="1:2" x14ac:dyDescent="0.2">
      <c r="A100" s="3" t="s">
        <v>96</v>
      </c>
      <c r="B100">
        <v>4647100</v>
      </c>
    </row>
    <row r="101" spans="1:2" x14ac:dyDescent="0.2">
      <c r="A101" s="3" t="s">
        <v>191</v>
      </c>
      <c r="B101">
        <v>4680240</v>
      </c>
    </row>
    <row r="102" spans="1:2" x14ac:dyDescent="0.2">
      <c r="A102" s="3" t="s">
        <v>98</v>
      </c>
      <c r="B102">
        <v>4600002</v>
      </c>
    </row>
    <row r="103" spans="1:2" x14ac:dyDescent="0.2">
      <c r="A103" s="3" t="s">
        <v>99</v>
      </c>
      <c r="B103">
        <v>4647942</v>
      </c>
    </row>
    <row r="104" spans="1:2" x14ac:dyDescent="0.2">
      <c r="A104" s="3" t="s">
        <v>100</v>
      </c>
      <c r="B104">
        <v>4648390</v>
      </c>
    </row>
    <row r="105" spans="1:2" x14ac:dyDescent="0.2">
      <c r="A105" s="3" t="s">
        <v>184</v>
      </c>
      <c r="B105">
        <v>4680441</v>
      </c>
    </row>
    <row r="106" spans="1:2" x14ac:dyDescent="0.2">
      <c r="A106" s="3" t="s">
        <v>102</v>
      </c>
      <c r="B106">
        <v>4648780</v>
      </c>
    </row>
    <row r="107" spans="1:2" x14ac:dyDescent="0.2">
      <c r="A107" s="3" t="s">
        <v>103</v>
      </c>
      <c r="B107">
        <v>4649650</v>
      </c>
    </row>
    <row r="108" spans="1:2" x14ac:dyDescent="0.2">
      <c r="A108" s="3" t="s">
        <v>104</v>
      </c>
      <c r="B108">
        <v>4650670</v>
      </c>
    </row>
    <row r="109" spans="1:2" x14ac:dyDescent="0.2">
      <c r="A109" s="3" t="s">
        <v>105</v>
      </c>
      <c r="B109">
        <v>4650850</v>
      </c>
    </row>
    <row r="110" spans="1:2" x14ac:dyDescent="0.2">
      <c r="A110" s="3" t="s">
        <v>185</v>
      </c>
      <c r="B110">
        <v>4600032</v>
      </c>
    </row>
    <row r="111" spans="1:2" x14ac:dyDescent="0.2">
      <c r="A111" s="3" t="s">
        <v>107</v>
      </c>
      <c r="B111">
        <v>4651730</v>
      </c>
    </row>
    <row r="112" spans="1:2" x14ac:dyDescent="0.2">
      <c r="A112" s="3" t="s">
        <v>108</v>
      </c>
      <c r="B112">
        <v>4680170</v>
      </c>
    </row>
    <row r="113" spans="1:2" x14ac:dyDescent="0.2">
      <c r="A113" s="3" t="s">
        <v>109</v>
      </c>
      <c r="B113">
        <v>4680280</v>
      </c>
    </row>
    <row r="114" spans="1:2" x14ac:dyDescent="0.2">
      <c r="A114" s="3" t="s">
        <v>110</v>
      </c>
      <c r="B114">
        <v>4651750</v>
      </c>
    </row>
    <row r="115" spans="1:2" x14ac:dyDescent="0.2">
      <c r="A115" s="3" t="s">
        <v>111</v>
      </c>
      <c r="B115">
        <v>4670000</v>
      </c>
    </row>
    <row r="116" spans="1:2" x14ac:dyDescent="0.2">
      <c r="A116" s="3" t="s">
        <v>112</v>
      </c>
      <c r="B116">
        <v>4652770</v>
      </c>
    </row>
    <row r="117" spans="1:2" x14ac:dyDescent="0.2">
      <c r="A117" s="3" t="s">
        <v>127</v>
      </c>
      <c r="B117">
        <v>4665460</v>
      </c>
    </row>
    <row r="118" spans="1:2" x14ac:dyDescent="0.2">
      <c r="A118" s="3" t="s">
        <v>186</v>
      </c>
      <c r="B118">
        <v>4601027</v>
      </c>
    </row>
    <row r="119" spans="1:2" x14ac:dyDescent="0.2">
      <c r="A119" s="3" t="s">
        <v>114</v>
      </c>
      <c r="B119">
        <v>4654270</v>
      </c>
    </row>
    <row r="120" spans="1:2" x14ac:dyDescent="0.2">
      <c r="A120" s="3" t="s">
        <v>115</v>
      </c>
      <c r="B120">
        <v>4654300</v>
      </c>
    </row>
    <row r="121" spans="1:2" x14ac:dyDescent="0.2">
      <c r="A121" s="3" t="s">
        <v>116</v>
      </c>
      <c r="B121">
        <v>4655260</v>
      </c>
    </row>
    <row r="122" spans="1:2" x14ac:dyDescent="0.2">
      <c r="A122" s="3" t="s">
        <v>117</v>
      </c>
      <c r="B122">
        <v>4655710</v>
      </c>
    </row>
    <row r="123" spans="1:2" x14ac:dyDescent="0.2">
      <c r="A123" s="3" t="s">
        <v>194</v>
      </c>
      <c r="B123">
        <v>4680438</v>
      </c>
    </row>
    <row r="124" spans="1:2" x14ac:dyDescent="0.2">
      <c r="A124" s="3" t="s">
        <v>119</v>
      </c>
      <c r="B124">
        <v>4600050</v>
      </c>
    </row>
    <row r="125" spans="1:2" x14ac:dyDescent="0.2">
      <c r="A125" s="3" t="s">
        <v>120</v>
      </c>
      <c r="B125">
        <v>4659820</v>
      </c>
    </row>
    <row r="126" spans="1:2" x14ac:dyDescent="0.2">
      <c r="A126" s="3" t="s">
        <v>121</v>
      </c>
      <c r="B126">
        <v>4660450</v>
      </c>
    </row>
    <row r="127" spans="1:2" x14ac:dyDescent="0.2">
      <c r="A127" s="3" t="s">
        <v>122</v>
      </c>
      <c r="B127">
        <v>4663360</v>
      </c>
    </row>
    <row r="128" spans="1:2" x14ac:dyDescent="0.2">
      <c r="A128" s="3" t="s">
        <v>123</v>
      </c>
      <c r="B128">
        <v>4664140</v>
      </c>
    </row>
    <row r="129" spans="1:2" x14ac:dyDescent="0.2">
      <c r="A129" s="3" t="s">
        <v>124</v>
      </c>
      <c r="B129">
        <v>4603932</v>
      </c>
    </row>
    <row r="130" spans="1:2" x14ac:dyDescent="0.2">
      <c r="A130" s="3" t="s">
        <v>170</v>
      </c>
      <c r="B130">
        <v>4600029</v>
      </c>
    </row>
    <row r="131" spans="1:2" x14ac:dyDescent="0.2">
      <c r="A131" s="3" t="s">
        <v>125</v>
      </c>
      <c r="B131">
        <v>4665180</v>
      </c>
    </row>
    <row r="132" spans="1:2" x14ac:dyDescent="0.2">
      <c r="A132" s="3" t="s">
        <v>126</v>
      </c>
      <c r="B132">
        <v>4601028</v>
      </c>
    </row>
    <row r="133" spans="1:2" x14ac:dyDescent="0.2">
      <c r="A133" s="3" t="s">
        <v>128</v>
      </c>
      <c r="B133">
        <v>4666270</v>
      </c>
    </row>
    <row r="134" spans="1:2" x14ac:dyDescent="0.2">
      <c r="A134" s="3" t="s">
        <v>129</v>
      </c>
      <c r="B134">
        <v>4666300</v>
      </c>
    </row>
    <row r="135" spans="1:2" x14ac:dyDescent="0.2">
      <c r="A135" s="3" t="s">
        <v>130</v>
      </c>
      <c r="B135">
        <v>4600053</v>
      </c>
    </row>
    <row r="136" spans="1:2" x14ac:dyDescent="0.2">
      <c r="A136" s="3" t="s">
        <v>131</v>
      </c>
      <c r="B136">
        <v>4675600</v>
      </c>
    </row>
    <row r="137" spans="1:2" x14ac:dyDescent="0.2">
      <c r="A137" s="3" t="s">
        <v>132</v>
      </c>
      <c r="B137">
        <v>4680431</v>
      </c>
    </row>
    <row r="138" spans="1:2" x14ac:dyDescent="0.2">
      <c r="A138" s="3" t="s">
        <v>133</v>
      </c>
      <c r="B138">
        <v>4607670</v>
      </c>
    </row>
    <row r="139" spans="1:2" x14ac:dyDescent="0.2">
      <c r="A139" s="3" t="s">
        <v>134</v>
      </c>
      <c r="B139">
        <v>4664300</v>
      </c>
    </row>
    <row r="140" spans="1:2" x14ac:dyDescent="0.2">
      <c r="A140" s="3" t="s">
        <v>135</v>
      </c>
      <c r="B140">
        <v>4666930</v>
      </c>
    </row>
    <row r="141" spans="1:2" x14ac:dyDescent="0.2">
      <c r="A141" s="3" t="s">
        <v>136</v>
      </c>
      <c r="B141">
        <v>4624850</v>
      </c>
    </row>
    <row r="142" spans="1:2" x14ac:dyDescent="0.2">
      <c r="A142" s="3" t="s">
        <v>195</v>
      </c>
      <c r="B142">
        <v>4669540</v>
      </c>
    </row>
    <row r="143" spans="1:2" x14ac:dyDescent="0.2">
      <c r="A143" s="3" t="s">
        <v>137</v>
      </c>
      <c r="B143">
        <v>4670140</v>
      </c>
    </row>
    <row r="144" spans="1:2" x14ac:dyDescent="0.2">
      <c r="A144" s="3" t="s">
        <v>138</v>
      </c>
      <c r="B144">
        <v>4600052</v>
      </c>
    </row>
    <row r="145" spans="1:2" x14ac:dyDescent="0.2">
      <c r="A145" s="3" t="s">
        <v>139</v>
      </c>
      <c r="B145">
        <v>4600024</v>
      </c>
    </row>
    <row r="146" spans="1:2" x14ac:dyDescent="0.2">
      <c r="A146" s="3" t="s">
        <v>140</v>
      </c>
      <c r="B146">
        <v>4671880</v>
      </c>
    </row>
    <row r="147" spans="1:2" x14ac:dyDescent="0.2">
      <c r="A147" s="3" t="s">
        <v>141</v>
      </c>
      <c r="B147">
        <v>4672090</v>
      </c>
    </row>
    <row r="148" spans="1:2" x14ac:dyDescent="0.2">
      <c r="A148" s="3" t="s">
        <v>142</v>
      </c>
      <c r="B148">
        <v>4644940</v>
      </c>
    </row>
    <row r="149" spans="1:2" x14ac:dyDescent="0.2">
      <c r="A149" s="3" t="s">
        <v>143</v>
      </c>
      <c r="B149">
        <v>4672450</v>
      </c>
    </row>
    <row r="150" spans="1:2" x14ac:dyDescent="0.2">
      <c r="A150" s="3" t="s">
        <v>144</v>
      </c>
      <c r="B150">
        <v>4674370</v>
      </c>
    </row>
    <row r="151" spans="1:2" x14ac:dyDescent="0.2">
      <c r="A151" s="3" t="s">
        <v>188</v>
      </c>
      <c r="B151">
        <v>4674520</v>
      </c>
    </row>
    <row r="152" spans="1:2" x14ac:dyDescent="0.2">
      <c r="A152" s="3" t="s">
        <v>146</v>
      </c>
      <c r="B152">
        <v>4675420</v>
      </c>
    </row>
    <row r="153" spans="1:2" x14ac:dyDescent="0.2">
      <c r="A153" s="3" t="s">
        <v>147</v>
      </c>
      <c r="B153">
        <v>4675660</v>
      </c>
    </row>
    <row r="154" spans="1:2" x14ac:dyDescent="0.2">
      <c r="A154" s="3" t="s">
        <v>148</v>
      </c>
      <c r="B154">
        <v>4676020</v>
      </c>
    </row>
    <row r="155" spans="1:2" x14ac:dyDescent="0.2">
      <c r="A155" s="3" t="s">
        <v>149</v>
      </c>
      <c r="B155">
        <v>4676620</v>
      </c>
    </row>
    <row r="156" spans="1:2" x14ac:dyDescent="0.2">
      <c r="A156" s="3" t="s">
        <v>150</v>
      </c>
      <c r="B156">
        <v>4676680</v>
      </c>
    </row>
    <row r="157" spans="1:2" x14ac:dyDescent="0.2">
      <c r="A157" s="3" t="s">
        <v>151</v>
      </c>
      <c r="B157">
        <v>4676740</v>
      </c>
    </row>
    <row r="158" spans="1:2" x14ac:dyDescent="0.2">
      <c r="A158" s="3" t="s">
        <v>152</v>
      </c>
      <c r="B158">
        <v>4676990</v>
      </c>
    </row>
    <row r="159" spans="1:2" x14ac:dyDescent="0.2">
      <c r="A159" s="3" t="s">
        <v>153</v>
      </c>
      <c r="B159">
        <v>4677460</v>
      </c>
    </row>
    <row r="160" spans="1:2" x14ac:dyDescent="0.2">
      <c r="A160" s="3" t="s">
        <v>154</v>
      </c>
      <c r="B160">
        <v>4631710</v>
      </c>
    </row>
    <row r="161" spans="1:2" x14ac:dyDescent="0.2">
      <c r="A161" s="3" t="s">
        <v>156</v>
      </c>
      <c r="B161">
        <v>4678510</v>
      </c>
    </row>
    <row r="162" spans="1:2" x14ac:dyDescent="0.2">
      <c r="A162" s="3" t="s">
        <v>157</v>
      </c>
      <c r="B162">
        <v>4678570</v>
      </c>
    </row>
    <row r="163" spans="1:2" x14ac:dyDescent="0.2">
      <c r="A163" s="3" t="s">
        <v>158</v>
      </c>
      <c r="B163">
        <v>4679350</v>
      </c>
    </row>
    <row r="164" spans="1:2" x14ac:dyDescent="0.2">
      <c r="A164" s="3" t="s">
        <v>159</v>
      </c>
      <c r="B164">
        <v>4600003</v>
      </c>
    </row>
    <row r="165" spans="1:2" x14ac:dyDescent="0.2">
      <c r="A165" s="3" t="s">
        <v>160</v>
      </c>
      <c r="B165">
        <v>4679710</v>
      </c>
    </row>
    <row r="166" spans="1:2" x14ac:dyDescent="0.2">
      <c r="A166" s="3" t="s">
        <v>189</v>
      </c>
      <c r="B166">
        <v>4680100</v>
      </c>
    </row>
    <row r="167" spans="1:2" x14ac:dyDescent="0.2">
      <c r="A167" s="3" t="s">
        <v>162</v>
      </c>
      <c r="B167">
        <v>4680190</v>
      </c>
    </row>
    <row r="168" spans="1:2" x14ac:dyDescent="0.2">
      <c r="A168" s="3" t="s">
        <v>163</v>
      </c>
      <c r="B168">
        <v>4680430</v>
      </c>
    </row>
    <row r="169" spans="1:2" x14ac:dyDescent="0.2">
      <c r="A169"/>
    </row>
    <row r="170" spans="1:2" x14ac:dyDescent="0.2">
      <c r="A170"/>
    </row>
    <row r="171" spans="1:2" x14ac:dyDescent="0.2">
      <c r="A171"/>
    </row>
    <row r="172" spans="1:2" x14ac:dyDescent="0.2">
      <c r="A172"/>
    </row>
    <row r="173" spans="1:2" x14ac:dyDescent="0.2">
      <c r="A173"/>
    </row>
    <row r="174" spans="1:2" x14ac:dyDescent="0.2">
      <c r="A174"/>
    </row>
    <row r="175" spans="1:2" x14ac:dyDescent="0.2">
      <c r="A175"/>
    </row>
    <row r="176" spans="1:2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</sheetData>
  <autoFilter ref="A1:B1" xr:uid="{3EC24FD4-7617-AB4B-BEA9-307F9F36E8C8}">
    <sortState xmlns:xlrd2="http://schemas.microsoft.com/office/spreadsheetml/2017/richdata2" ref="A2:B169">
      <sortCondition ref="A1:A1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GASB 68 Data --&gt;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2025-02-25T22:50:14Z</dcterms:created>
  <dcterms:modified xsi:type="dcterms:W3CDTF">2025-02-26T05:23:23Z</dcterms:modified>
</cp:coreProperties>
</file>