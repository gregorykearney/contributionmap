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Rhode Island/"/>
    </mc:Choice>
  </mc:AlternateContent>
  <xr:revisionPtr revIDLastSave="0" documentId="13_ncr:1_{00CEC229-55A2-A441-9F09-B8E02C939DD1}" xr6:coauthVersionLast="47" xr6:coauthVersionMax="47" xr10:uidLastSave="{00000000-0000-0000-0000-000000000000}"/>
  <bookViews>
    <workbookView xWindow="-3820" yWindow="-20980" windowWidth="30600" windowHeight="20120" xr2:uid="{59F85BFB-6B2B-3246-BAA4-8CB2C2E9D2A1}"/>
  </bookViews>
  <sheets>
    <sheet name="Summary" sheetId="9" r:id="rId1"/>
    <sheet name="2022" sheetId="1" r:id="rId2"/>
    <sheet name="2021" sheetId="2" r:id="rId3"/>
    <sheet name="2020" sheetId="3" r:id="rId4"/>
    <sheet name="2019" sheetId="4" r:id="rId5"/>
    <sheet name="2018" sheetId="5" r:id="rId6"/>
    <sheet name="2017" sheetId="8" r:id="rId7"/>
    <sheet name="2016" sheetId="6" r:id="rId8"/>
    <sheet name="2015" sheetId="7" r:id="rId9"/>
    <sheet name="NCES Data --&gt;" sheetId="11" r:id="rId10"/>
    <sheet name="LEAID Match" sheetId="10" r:id="rId11"/>
  </sheets>
  <definedNames>
    <definedName name="_xlnm._FilterDatabase" localSheetId="0" hidden="1">Summary!$B$1:$I$1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9" l="1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170" i="9"/>
  <c r="A171" i="9"/>
  <c r="A172" i="9"/>
  <c r="A173" i="9"/>
  <c r="A174" i="9"/>
  <c r="A175" i="9"/>
  <c r="A176" i="9"/>
  <c r="A177" i="9"/>
  <c r="A178" i="9"/>
  <c r="A179" i="9"/>
  <c r="A180" i="9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A242" i="9"/>
  <c r="A243" i="9"/>
  <c r="A244" i="9"/>
  <c r="A245" i="9"/>
  <c r="A246" i="9"/>
  <c r="A247" i="9"/>
  <c r="A248" i="9"/>
  <c r="A249" i="9"/>
  <c r="A250" i="9"/>
  <c r="A251" i="9"/>
  <c r="A252" i="9"/>
  <c r="A253" i="9"/>
  <c r="A254" i="9"/>
  <c r="A255" i="9"/>
  <c r="A256" i="9"/>
  <c r="A257" i="9"/>
  <c r="A258" i="9"/>
  <c r="A259" i="9"/>
  <c r="A260" i="9"/>
  <c r="A261" i="9"/>
  <c r="A262" i="9"/>
  <c r="A263" i="9"/>
  <c r="A264" i="9"/>
  <c r="A265" i="9"/>
  <c r="A266" i="9"/>
  <c r="A267" i="9"/>
  <c r="A268" i="9"/>
  <c r="A269" i="9"/>
  <c r="A270" i="9"/>
  <c r="A271" i="9"/>
  <c r="A272" i="9"/>
  <c r="A273" i="9"/>
  <c r="A274" i="9"/>
  <c r="A275" i="9"/>
  <c r="A276" i="9"/>
  <c r="A277" i="9"/>
  <c r="A278" i="9"/>
  <c r="A279" i="9"/>
  <c r="A280" i="9"/>
  <c r="A281" i="9"/>
  <c r="A282" i="9"/>
  <c r="A283" i="9"/>
  <c r="A284" i="9"/>
  <c r="A285" i="9"/>
  <c r="A286" i="9"/>
  <c r="A287" i="9"/>
  <c r="A288" i="9"/>
  <c r="A289" i="9"/>
  <c r="A290" i="9"/>
  <c r="A291" i="9"/>
  <c r="A292" i="9"/>
  <c r="A293" i="9"/>
  <c r="A294" i="9"/>
  <c r="A295" i="9"/>
  <c r="A296" i="9"/>
  <c r="A297" i="9"/>
  <c r="A298" i="9"/>
  <c r="A299" i="9"/>
  <c r="A300" i="9"/>
  <c r="A301" i="9"/>
  <c r="A302" i="9"/>
  <c r="A303" i="9"/>
  <c r="A304" i="9"/>
  <c r="A305" i="9"/>
  <c r="A306" i="9"/>
  <c r="A307" i="9"/>
  <c r="A308" i="9"/>
  <c r="A309" i="9"/>
  <c r="A310" i="9"/>
  <c r="A311" i="9"/>
  <c r="A312" i="9"/>
  <c r="A313" i="9"/>
  <c r="A314" i="9"/>
  <c r="A315" i="9"/>
  <c r="A316" i="9"/>
  <c r="A317" i="9"/>
  <c r="A318" i="9"/>
  <c r="A319" i="9"/>
  <c r="A320" i="9"/>
  <c r="A321" i="9"/>
  <c r="A322" i="9"/>
  <c r="A323" i="9"/>
  <c r="A324" i="9"/>
  <c r="A325" i="9"/>
  <c r="A326" i="9"/>
  <c r="A327" i="9"/>
  <c r="A328" i="9"/>
  <c r="A329" i="9"/>
  <c r="A330" i="9"/>
  <c r="A331" i="9"/>
  <c r="A332" i="9"/>
  <c r="A333" i="9"/>
  <c r="A334" i="9"/>
  <c r="A335" i="9"/>
  <c r="A336" i="9"/>
  <c r="A337" i="9"/>
  <c r="A338" i="9"/>
  <c r="A339" i="9"/>
  <c r="A340" i="9"/>
  <c r="A341" i="9"/>
  <c r="A342" i="9"/>
  <c r="A343" i="9"/>
  <c r="A344" i="9"/>
  <c r="A345" i="9"/>
  <c r="A346" i="9"/>
  <c r="A347" i="9"/>
  <c r="A348" i="9"/>
  <c r="A349" i="9"/>
  <c r="A350" i="9"/>
  <c r="A351" i="9"/>
  <c r="A352" i="9"/>
  <c r="A353" i="9"/>
  <c r="A354" i="9"/>
  <c r="A355" i="9"/>
  <c r="A356" i="9"/>
  <c r="A357" i="9"/>
  <c r="A358" i="9"/>
  <c r="A359" i="9"/>
  <c r="A360" i="9"/>
  <c r="A361" i="9"/>
  <c r="A362" i="9"/>
  <c r="A363" i="9"/>
  <c r="A364" i="9"/>
  <c r="A365" i="9"/>
  <c r="A366" i="9"/>
  <c r="A367" i="9"/>
  <c r="A368" i="9"/>
  <c r="A369" i="9"/>
  <c r="A370" i="9"/>
  <c r="A371" i="9"/>
  <c r="A372" i="9"/>
  <c r="A373" i="9"/>
  <c r="A374" i="9"/>
  <c r="A375" i="9"/>
  <c r="A376" i="9"/>
  <c r="A377" i="9"/>
  <c r="A378" i="9"/>
  <c r="A379" i="9"/>
  <c r="A380" i="9"/>
  <c r="A381" i="9"/>
  <c r="A382" i="9"/>
  <c r="A383" i="9"/>
  <c r="A384" i="9"/>
  <c r="A385" i="9"/>
  <c r="A386" i="9"/>
  <c r="A387" i="9"/>
  <c r="A388" i="9"/>
  <c r="A389" i="9"/>
  <c r="A390" i="9"/>
  <c r="A391" i="9"/>
  <c r="A392" i="9"/>
  <c r="A393" i="9"/>
  <c r="A394" i="9"/>
  <c r="A395" i="9"/>
  <c r="A396" i="9"/>
  <c r="A397" i="9"/>
  <c r="A398" i="9"/>
  <c r="A399" i="9"/>
  <c r="A400" i="9"/>
  <c r="A401" i="9"/>
  <c r="A402" i="9"/>
  <c r="A403" i="9"/>
  <c r="A404" i="9"/>
  <c r="A405" i="9"/>
  <c r="A406" i="9"/>
  <c r="A407" i="9"/>
  <c r="A408" i="9"/>
  <c r="A409" i="9"/>
  <c r="A410" i="9"/>
  <c r="A411" i="9"/>
  <c r="A412" i="9"/>
  <c r="A413" i="9"/>
  <c r="A414" i="9"/>
  <c r="A415" i="9"/>
  <c r="A416" i="9"/>
  <c r="A417" i="9"/>
  <c r="A418" i="9"/>
  <c r="A419" i="9"/>
  <c r="A420" i="9"/>
  <c r="A421" i="9"/>
  <c r="A422" i="9"/>
  <c r="A423" i="9"/>
  <c r="A424" i="9"/>
  <c r="A425" i="9"/>
  <c r="A426" i="9"/>
  <c r="A427" i="9"/>
  <c r="A428" i="9"/>
  <c r="A429" i="9"/>
  <c r="A430" i="9"/>
  <c r="A431" i="9"/>
  <c r="A432" i="9"/>
  <c r="A433" i="9"/>
  <c r="A434" i="9"/>
  <c r="A435" i="9"/>
  <c r="A436" i="9"/>
  <c r="A437" i="9"/>
  <c r="A438" i="9"/>
  <c r="A439" i="9"/>
  <c r="A440" i="9"/>
  <c r="A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J250" i="9"/>
  <c r="J251" i="9"/>
  <c r="J252" i="9"/>
  <c r="J253" i="9"/>
  <c r="J254" i="9"/>
  <c r="J255" i="9"/>
  <c r="J256" i="9"/>
  <c r="J257" i="9"/>
  <c r="J258" i="9"/>
  <c r="J259" i="9"/>
  <c r="J260" i="9"/>
  <c r="J261" i="9"/>
  <c r="J262" i="9"/>
  <c r="J263" i="9"/>
  <c r="J264" i="9"/>
  <c r="J265" i="9"/>
  <c r="J266" i="9"/>
  <c r="J267" i="9"/>
  <c r="J268" i="9"/>
  <c r="J269" i="9"/>
  <c r="J270" i="9"/>
  <c r="J271" i="9"/>
  <c r="J272" i="9"/>
  <c r="J273" i="9"/>
  <c r="J274" i="9"/>
  <c r="J275" i="9"/>
  <c r="J276" i="9"/>
  <c r="J277" i="9"/>
  <c r="J278" i="9"/>
  <c r="J279" i="9"/>
  <c r="J280" i="9"/>
  <c r="J281" i="9"/>
  <c r="J282" i="9"/>
  <c r="J283" i="9"/>
  <c r="J284" i="9"/>
  <c r="J285" i="9"/>
  <c r="J286" i="9"/>
  <c r="J287" i="9"/>
  <c r="J288" i="9"/>
  <c r="J289" i="9"/>
  <c r="J290" i="9"/>
  <c r="J291" i="9"/>
  <c r="J292" i="9"/>
  <c r="J293" i="9"/>
  <c r="J294" i="9"/>
  <c r="J295" i="9"/>
  <c r="J296" i="9"/>
  <c r="J297" i="9"/>
  <c r="J298" i="9"/>
  <c r="J299" i="9"/>
  <c r="J300" i="9"/>
  <c r="J301" i="9"/>
  <c r="J302" i="9"/>
  <c r="J303" i="9"/>
  <c r="J304" i="9"/>
  <c r="J305" i="9"/>
  <c r="J306" i="9"/>
  <c r="J307" i="9"/>
  <c r="J308" i="9"/>
  <c r="J309" i="9"/>
  <c r="J310" i="9"/>
  <c r="J311" i="9"/>
  <c r="J312" i="9"/>
  <c r="J313" i="9"/>
  <c r="J314" i="9"/>
  <c r="J315" i="9"/>
  <c r="J316" i="9"/>
  <c r="J317" i="9"/>
  <c r="J318" i="9"/>
  <c r="J319" i="9"/>
  <c r="J320" i="9"/>
  <c r="J321" i="9"/>
  <c r="J322" i="9"/>
  <c r="J323" i="9"/>
  <c r="J324" i="9"/>
  <c r="J325" i="9"/>
  <c r="J326" i="9"/>
  <c r="J327" i="9"/>
  <c r="J328" i="9"/>
  <c r="J329" i="9"/>
  <c r="J330" i="9"/>
  <c r="J331" i="9"/>
  <c r="J332" i="9"/>
  <c r="J333" i="9"/>
  <c r="J334" i="9"/>
  <c r="J335" i="9"/>
  <c r="J336" i="9"/>
  <c r="J337" i="9"/>
  <c r="J338" i="9"/>
  <c r="J339" i="9"/>
  <c r="J340" i="9"/>
  <c r="J341" i="9"/>
  <c r="J342" i="9"/>
  <c r="J343" i="9"/>
  <c r="J344" i="9"/>
  <c r="J345" i="9"/>
  <c r="J346" i="9"/>
  <c r="J347" i="9"/>
  <c r="J348" i="9"/>
  <c r="J349" i="9"/>
  <c r="J350" i="9"/>
  <c r="J351" i="9"/>
  <c r="J352" i="9"/>
  <c r="J353" i="9"/>
  <c r="J354" i="9"/>
  <c r="J355" i="9"/>
  <c r="J356" i="9"/>
  <c r="J357" i="9"/>
  <c r="J358" i="9"/>
  <c r="J359" i="9"/>
  <c r="J360" i="9"/>
  <c r="J361" i="9"/>
  <c r="J362" i="9"/>
  <c r="J363" i="9"/>
  <c r="J364" i="9"/>
  <c r="J365" i="9"/>
  <c r="J366" i="9"/>
  <c r="J367" i="9"/>
  <c r="J368" i="9"/>
  <c r="J369" i="9"/>
  <c r="J370" i="9"/>
  <c r="J371" i="9"/>
  <c r="J372" i="9"/>
  <c r="J373" i="9"/>
  <c r="J374" i="9"/>
  <c r="J375" i="9"/>
  <c r="J376" i="9"/>
  <c r="J377" i="9"/>
  <c r="J378" i="9"/>
  <c r="J379" i="9"/>
  <c r="J380" i="9"/>
  <c r="J381" i="9"/>
  <c r="J382" i="9"/>
  <c r="J383" i="9"/>
  <c r="J384" i="9"/>
  <c r="J385" i="9"/>
  <c r="J386" i="9"/>
  <c r="J387" i="9"/>
  <c r="J388" i="9"/>
  <c r="J389" i="9"/>
  <c r="J390" i="9"/>
  <c r="J391" i="9"/>
  <c r="J392" i="9"/>
  <c r="J393" i="9"/>
  <c r="J394" i="9"/>
  <c r="J395" i="9"/>
  <c r="J396" i="9"/>
  <c r="J397" i="9"/>
  <c r="J398" i="9"/>
  <c r="J399" i="9"/>
  <c r="J400" i="9"/>
  <c r="J401" i="9"/>
  <c r="J402" i="9"/>
  <c r="J403" i="9"/>
  <c r="J404" i="9"/>
  <c r="J405" i="9"/>
  <c r="J406" i="9"/>
  <c r="J407" i="9"/>
  <c r="J408" i="9"/>
  <c r="J409" i="9"/>
  <c r="J410" i="9"/>
  <c r="J411" i="9"/>
  <c r="J412" i="9"/>
  <c r="J413" i="9"/>
  <c r="J414" i="9"/>
  <c r="J415" i="9"/>
  <c r="J416" i="9"/>
  <c r="J417" i="9"/>
  <c r="J418" i="9"/>
  <c r="J419" i="9"/>
  <c r="J420" i="9"/>
  <c r="J421" i="9"/>
  <c r="J422" i="9"/>
  <c r="J423" i="9"/>
  <c r="J424" i="9"/>
  <c r="J425" i="9"/>
  <c r="J426" i="9"/>
  <c r="J427" i="9"/>
  <c r="J428" i="9"/>
  <c r="J429" i="9"/>
  <c r="J430" i="9"/>
  <c r="J431" i="9"/>
  <c r="J432" i="9"/>
  <c r="J433" i="9"/>
  <c r="J434" i="9"/>
  <c r="J435" i="9"/>
  <c r="J436" i="9"/>
  <c r="J437" i="9"/>
  <c r="J438" i="9"/>
  <c r="J439" i="9"/>
  <c r="J440" i="9"/>
  <c r="J2" i="9"/>
  <c r="F6" i="7"/>
  <c r="F7" i="7"/>
  <c r="F8" i="7"/>
  <c r="F10" i="7"/>
  <c r="F14" i="7"/>
  <c r="F15" i="7"/>
  <c r="F16" i="7"/>
  <c r="F17" i="7"/>
  <c r="F18" i="7"/>
  <c r="F22" i="7"/>
  <c r="F23" i="7"/>
  <c r="F24" i="7"/>
  <c r="F25" i="7"/>
  <c r="F26" i="7"/>
  <c r="F30" i="7"/>
  <c r="F31" i="7"/>
  <c r="F32" i="7"/>
  <c r="F33" i="7"/>
  <c r="F34" i="7"/>
  <c r="F38" i="7"/>
  <c r="F39" i="7"/>
  <c r="F40" i="7"/>
  <c r="F41" i="7"/>
  <c r="F42" i="7"/>
  <c r="F46" i="7"/>
  <c r="F47" i="7"/>
  <c r="F48" i="7"/>
  <c r="F49" i="7"/>
  <c r="F50" i="7"/>
  <c r="F54" i="7"/>
  <c r="F55" i="7"/>
  <c r="E3" i="7"/>
  <c r="F3" i="7" s="1"/>
  <c r="E4" i="7"/>
  <c r="F4" i="7" s="1"/>
  <c r="E5" i="7"/>
  <c r="F5" i="7" s="1"/>
  <c r="E6" i="7"/>
  <c r="E7" i="7"/>
  <c r="E8" i="7"/>
  <c r="E9" i="7"/>
  <c r="F9" i="7" s="1"/>
  <c r="E10" i="7"/>
  <c r="E11" i="7"/>
  <c r="F11" i="7" s="1"/>
  <c r="E12" i="7"/>
  <c r="F12" i="7" s="1"/>
  <c r="E13" i="7"/>
  <c r="F13" i="7" s="1"/>
  <c r="E14" i="7"/>
  <c r="E15" i="7"/>
  <c r="E16" i="7"/>
  <c r="E17" i="7"/>
  <c r="E18" i="7"/>
  <c r="E19" i="7"/>
  <c r="F19" i="7" s="1"/>
  <c r="E20" i="7"/>
  <c r="F20" i="7" s="1"/>
  <c r="E21" i="7"/>
  <c r="F21" i="7" s="1"/>
  <c r="E22" i="7"/>
  <c r="E23" i="7"/>
  <c r="E24" i="7"/>
  <c r="E25" i="7"/>
  <c r="E26" i="7"/>
  <c r="E27" i="7"/>
  <c r="F27" i="7" s="1"/>
  <c r="E28" i="7"/>
  <c r="F28" i="7" s="1"/>
  <c r="E29" i="7"/>
  <c r="F29" i="7" s="1"/>
  <c r="E30" i="7"/>
  <c r="E31" i="7"/>
  <c r="E32" i="7"/>
  <c r="E33" i="7"/>
  <c r="E34" i="7"/>
  <c r="E35" i="7"/>
  <c r="F35" i="7" s="1"/>
  <c r="E36" i="7"/>
  <c r="F36" i="7" s="1"/>
  <c r="E37" i="7"/>
  <c r="F37" i="7" s="1"/>
  <c r="E38" i="7"/>
  <c r="E39" i="7"/>
  <c r="E40" i="7"/>
  <c r="E41" i="7"/>
  <c r="E42" i="7"/>
  <c r="E43" i="7"/>
  <c r="F43" i="7" s="1"/>
  <c r="E44" i="7"/>
  <c r="F44" i="7" s="1"/>
  <c r="E45" i="7"/>
  <c r="F45" i="7" s="1"/>
  <c r="E46" i="7"/>
  <c r="E47" i="7"/>
  <c r="E48" i="7"/>
  <c r="E49" i="7"/>
  <c r="E50" i="7"/>
  <c r="E51" i="7"/>
  <c r="F51" i="7" s="1"/>
  <c r="E52" i="7"/>
  <c r="F52" i="7" s="1"/>
  <c r="E53" i="7"/>
  <c r="F53" i="7" s="1"/>
  <c r="E54" i="7"/>
  <c r="E55" i="7"/>
  <c r="E2" i="7"/>
  <c r="F2" i="7" s="1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2" i="7"/>
  <c r="C61" i="7"/>
  <c r="C57" i="7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2" i="6"/>
  <c r="C61" i="6"/>
  <c r="C57" i="6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2" i="4"/>
  <c r="C62" i="4"/>
  <c r="C58" i="4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2" i="5"/>
  <c r="C61" i="5"/>
  <c r="C57" i="5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2" i="8"/>
  <c r="C57" i="8"/>
  <c r="C61" i="8" s="1"/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2" i="3"/>
  <c r="C62" i="3"/>
  <c r="C58" i="3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2" i="2"/>
  <c r="C62" i="2"/>
  <c r="C58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2" i="1"/>
  <c r="C65" i="1"/>
  <c r="C61" i="1"/>
</calcChain>
</file>

<file path=xl/sharedStrings.xml><?xml version="1.0" encoding="utf-8"?>
<sst xmlns="http://schemas.openxmlformats.org/spreadsheetml/2006/main" count="2345" uniqueCount="76">
  <si>
    <t>Barrington</t>
  </si>
  <si>
    <t>Bristol/Warren</t>
  </si>
  <si>
    <t>Burrillville</t>
  </si>
  <si>
    <t>Central Falls</t>
  </si>
  <si>
    <t>Chariho</t>
  </si>
  <si>
    <t>Coventry</t>
  </si>
  <si>
    <t>Cranston</t>
  </si>
  <si>
    <t>Cumberland</t>
  </si>
  <si>
    <t>East Greenwich</t>
  </si>
  <si>
    <t>East Providence</t>
  </si>
  <si>
    <t>Exeter-West Greenwich</t>
  </si>
  <si>
    <t>Foster</t>
  </si>
  <si>
    <t>Foster-Glocester</t>
  </si>
  <si>
    <t>Glocester</t>
  </si>
  <si>
    <t>Jamestown</t>
  </si>
  <si>
    <t>Johnston</t>
  </si>
  <si>
    <t>Lincoln</t>
  </si>
  <si>
    <t>Little Compton</t>
  </si>
  <si>
    <t>Middletown</t>
  </si>
  <si>
    <t>Narragansett</t>
  </si>
  <si>
    <t>New Shoreham</t>
  </si>
  <si>
    <t>Newport</t>
  </si>
  <si>
    <t>North Kingstown</t>
  </si>
  <si>
    <t>North Providence</t>
  </si>
  <si>
    <t>North Smithfield</t>
  </si>
  <si>
    <t>Northern RI Collaborative</t>
  </si>
  <si>
    <t>Pawtucket</t>
  </si>
  <si>
    <t>Portsmouth</t>
  </si>
  <si>
    <t>Providence</t>
  </si>
  <si>
    <t>Scituate</t>
  </si>
  <si>
    <t>Smithfield</t>
  </si>
  <si>
    <t>South Kingstown</t>
  </si>
  <si>
    <t>Tiverton</t>
  </si>
  <si>
    <t>Urban Collaborative</t>
  </si>
  <si>
    <t>Warwick</t>
  </si>
  <si>
    <t>West Bay Collaborative</t>
  </si>
  <si>
    <t>West Warwick</t>
  </si>
  <si>
    <t>Westerly</t>
  </si>
  <si>
    <t>Woonsocket</t>
  </si>
  <si>
    <t>Highlander Charter School</t>
  </si>
  <si>
    <t>Paul Cuffee Charter School</t>
  </si>
  <si>
    <t>Kingston Hill Charter School</t>
  </si>
  <si>
    <t>International Charter School</t>
  </si>
  <si>
    <t>Compass School Charter School</t>
  </si>
  <si>
    <t>Blackstone Academy Charter School</t>
  </si>
  <si>
    <t>Beacon Charter School</t>
  </si>
  <si>
    <t>Learning Community Charter School</t>
  </si>
  <si>
    <t>Segue Institute Charter School</t>
  </si>
  <si>
    <t>Greene Charter School</t>
  </si>
  <si>
    <t>Trinity Academy Charter School</t>
  </si>
  <si>
    <t>RI Nurses Charter School</t>
  </si>
  <si>
    <t>Village Green Charter School</t>
  </si>
  <si>
    <t>Sheila Nowell Charter School</t>
  </si>
  <si>
    <t>South Side Charter School</t>
  </si>
  <si>
    <t>Charette Charter School</t>
  </si>
  <si>
    <t>Providence Prepatory Charter School</t>
  </si>
  <si>
    <t>Times2 Academy</t>
  </si>
  <si>
    <t>Nuestro Mundo Charter School</t>
  </si>
  <si>
    <t>Year</t>
  </si>
  <si>
    <t>district_name</t>
  </si>
  <si>
    <t>district_contributions</t>
  </si>
  <si>
    <t>Summed Contributions</t>
  </si>
  <si>
    <t>GASB 68 Report</t>
  </si>
  <si>
    <t>Check</t>
  </si>
  <si>
    <t>State of Rhode Island</t>
  </si>
  <si>
    <t>district_prop</t>
  </si>
  <si>
    <t>state_contributions</t>
  </si>
  <si>
    <t>total_contributions</t>
  </si>
  <si>
    <t>State</t>
  </si>
  <si>
    <t>Rhode Island</t>
  </si>
  <si>
    <t>state_abv</t>
  </si>
  <si>
    <t>RI</t>
  </si>
  <si>
    <t>plan</t>
  </si>
  <si>
    <t>Employees' Retirement System of the State of Rhode Island - Teachers</t>
  </si>
  <si>
    <t>LEAID</t>
  </si>
  <si>
    <t>LEAID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</si>
</sst>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9" formatCode="_(* #,##0_);_(* \(#,##0\);_(* &quot;-&quot;??_);_(@_)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rial Narrow"/>
      <family val="2"/>
    </font>
    <font>
      <sz val="12"/>
      <color theme="1"/>
      <name val="Aptos Narrow"/>
      <scheme val="minor"/>
    </font>
    <font>
      <sz val="12"/>
      <color rgb="FFFF0000"/>
      <name val="Aptos Narrow"/>
      <scheme val="minor"/>
    </font>
    <font>
      <sz val="11"/>
      <color theme="1"/>
      <name val="Arial Narrow"/>
      <family val="2"/>
    </font>
    <font>
      <sz val="7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10" fontId="2" fillId="0" borderId="0" xfId="0" applyNumberFormat="1" applyFont="1"/>
    <xf numFmtId="3" fontId="2" fillId="0" borderId="0" xfId="0" applyNumberFormat="1" applyFont="1"/>
    <xf numFmtId="0" fontId="3" fillId="0" borderId="0" xfId="0" applyFont="1"/>
    <xf numFmtId="3" fontId="3" fillId="0" borderId="0" xfId="0" applyNumberFormat="1" applyFont="1"/>
    <xf numFmtId="0" fontId="4" fillId="0" borderId="0" xfId="0" applyFont="1"/>
    <xf numFmtId="3" fontId="4" fillId="0" borderId="0" xfId="0" applyNumberFormat="1" applyFont="1"/>
    <xf numFmtId="169" fontId="3" fillId="0" borderId="0" xfId="1" applyNumberFormat="1" applyFont="1"/>
    <xf numFmtId="169" fontId="0" fillId="0" borderId="0" xfId="1" applyNumberFormat="1" applyFont="1"/>
    <xf numFmtId="0" fontId="5" fillId="0" borderId="0" xfId="0" applyFont="1"/>
    <xf numFmtId="10" fontId="5" fillId="0" borderId="0" xfId="0" applyNumberFormat="1" applyFont="1"/>
    <xf numFmtId="3" fontId="5" fillId="0" borderId="0" xfId="0" applyNumberFormat="1" applyFont="1"/>
    <xf numFmtId="0" fontId="0" fillId="0" borderId="0" xfId="0" applyFont="1"/>
    <xf numFmtId="169" fontId="3" fillId="0" borderId="0" xfId="0" applyNumberFormat="1" applyFont="1"/>
    <xf numFmtId="43" fontId="3" fillId="0" borderId="0" xfId="0" applyNumberFormat="1" applyFont="1"/>
    <xf numFmtId="0" fontId="6" fillId="0" borderId="0" xfId="0" applyFont="1"/>
    <xf numFmtId="10" fontId="6" fillId="0" borderId="0" xfId="0" applyNumberFormat="1" applyFont="1"/>
    <xf numFmtId="3" fontId="6" fillId="0" borderId="0" xfId="0" applyNumberFormat="1" applyFont="1"/>
    <xf numFmtId="169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2212B-489D-0F4D-BECA-057172C04F02}">
  <sheetPr>
    <tabColor rgb="FF002060"/>
  </sheetPr>
  <dimension ref="A1:J440"/>
  <sheetViews>
    <sheetView tabSelected="1" workbookViewId="0">
      <selection activeCell="D12" sqref="D12"/>
    </sheetView>
  </sheetViews>
  <sheetFormatPr baseColWidth="10" defaultRowHeight="16" x14ac:dyDescent="0.2"/>
  <cols>
    <col min="2" max="2" width="5.1640625" bestFit="1" customWidth="1"/>
    <col min="3" max="3" width="31.33203125" bestFit="1" customWidth="1"/>
    <col min="4" max="4" width="11.5" bestFit="1" customWidth="1"/>
    <col min="5" max="5" width="9" bestFit="1" customWidth="1"/>
    <col min="6" max="6" width="58" bestFit="1" customWidth="1"/>
    <col min="7" max="7" width="18.83203125" bestFit="1" customWidth="1"/>
    <col min="8" max="8" width="17.1640625" bestFit="1" customWidth="1"/>
    <col min="9" max="9" width="16.83203125" bestFit="1" customWidth="1"/>
  </cols>
  <sheetData>
    <row r="1" spans="1:10" x14ac:dyDescent="0.2">
      <c r="A1" t="s">
        <v>74</v>
      </c>
      <c r="B1" t="s">
        <v>58</v>
      </c>
      <c r="C1" t="s">
        <v>59</v>
      </c>
      <c r="D1" t="s">
        <v>68</v>
      </c>
      <c r="E1" t="s">
        <v>70</v>
      </c>
      <c r="F1" t="s">
        <v>72</v>
      </c>
      <c r="G1" t="s">
        <v>60</v>
      </c>
      <c r="H1" t="s">
        <v>66</v>
      </c>
      <c r="I1" t="s">
        <v>67</v>
      </c>
      <c r="J1" t="s">
        <v>75</v>
      </c>
    </row>
    <row r="2" spans="1:10" x14ac:dyDescent="0.2">
      <c r="A2">
        <f>J2</f>
        <v>4400030</v>
      </c>
      <c r="B2">
        <v>2015</v>
      </c>
      <c r="C2" t="s">
        <v>0</v>
      </c>
      <c r="D2" t="s">
        <v>69</v>
      </c>
      <c r="E2" t="s">
        <v>71</v>
      </c>
      <c r="F2" t="s">
        <v>73</v>
      </c>
      <c r="G2">
        <v>3183386</v>
      </c>
      <c r="H2">
        <v>2033777.6391181506</v>
      </c>
      <c r="I2">
        <v>5217163.6391181508</v>
      </c>
      <c r="J2">
        <f>VLOOKUP(C2,'LEAID Match'!$A$2:$B$59,2,FALSE)</f>
        <v>4400030</v>
      </c>
    </row>
    <row r="3" spans="1:10" x14ac:dyDescent="0.2">
      <c r="A3">
        <f t="shared" ref="A3:A66" si="0">J3</f>
        <v>4400030</v>
      </c>
      <c r="B3">
        <v>2016</v>
      </c>
      <c r="C3" t="s">
        <v>0</v>
      </c>
      <c r="D3" t="s">
        <v>69</v>
      </c>
      <c r="E3" t="s">
        <v>71</v>
      </c>
      <c r="F3" t="s">
        <v>73</v>
      </c>
      <c r="G3">
        <v>3359854</v>
      </c>
      <c r="H3">
        <v>2149124.1631697244</v>
      </c>
      <c r="I3">
        <v>5508978.1631697249</v>
      </c>
      <c r="J3">
        <f>VLOOKUP(C3,'LEAID Match'!$A$2:$B$59,2,FALSE)</f>
        <v>4400030</v>
      </c>
    </row>
    <row r="4" spans="1:10" x14ac:dyDescent="0.2">
      <c r="A4">
        <f t="shared" si="0"/>
        <v>4400030</v>
      </c>
      <c r="B4">
        <v>2017</v>
      </c>
      <c r="C4" t="s">
        <v>0</v>
      </c>
      <c r="D4" t="s">
        <v>69</v>
      </c>
      <c r="E4" t="s">
        <v>71</v>
      </c>
      <c r="F4" t="s">
        <v>73</v>
      </c>
      <c r="G4">
        <v>3266223</v>
      </c>
      <c r="H4">
        <v>2296864.49210206</v>
      </c>
      <c r="I4">
        <v>5563087.4921020605</v>
      </c>
      <c r="J4">
        <f>VLOOKUP(C4,'LEAID Match'!$A$2:$B$59,2,FALSE)</f>
        <v>4400030</v>
      </c>
    </row>
    <row r="5" spans="1:10" x14ac:dyDescent="0.2">
      <c r="A5">
        <f t="shared" si="0"/>
        <v>4400030</v>
      </c>
      <c r="B5">
        <v>2018</v>
      </c>
      <c r="C5" t="s">
        <v>0</v>
      </c>
      <c r="D5" t="s">
        <v>69</v>
      </c>
      <c r="E5" t="s">
        <v>71</v>
      </c>
      <c r="F5" t="s">
        <v>73</v>
      </c>
      <c r="G5">
        <v>3366722</v>
      </c>
      <c r="H5">
        <v>3366721.9999999995</v>
      </c>
      <c r="I5">
        <v>6733444</v>
      </c>
      <c r="J5">
        <f>VLOOKUP(C5,'LEAID Match'!$A$2:$B$59,2,FALSE)</f>
        <v>4400030</v>
      </c>
    </row>
    <row r="6" spans="1:10" x14ac:dyDescent="0.2">
      <c r="A6">
        <f t="shared" si="0"/>
        <v>4400030</v>
      </c>
      <c r="B6">
        <v>2019</v>
      </c>
      <c r="C6" t="s">
        <v>0</v>
      </c>
      <c r="D6" t="s">
        <v>69</v>
      </c>
      <c r="E6" t="s">
        <v>71</v>
      </c>
      <c r="F6" t="s">
        <v>73</v>
      </c>
      <c r="G6">
        <v>3510164</v>
      </c>
      <c r="H6">
        <v>2434762.001086215</v>
      </c>
      <c r="I6">
        <v>5944926.0010862146</v>
      </c>
      <c r="J6">
        <f>VLOOKUP(C6,'LEAID Match'!$A$2:$B$59,2,FALSE)</f>
        <v>4400030</v>
      </c>
    </row>
    <row r="7" spans="1:10" x14ac:dyDescent="0.2">
      <c r="A7">
        <f t="shared" si="0"/>
        <v>4400030</v>
      </c>
      <c r="B7">
        <v>2020</v>
      </c>
      <c r="C7" t="s">
        <v>0</v>
      </c>
      <c r="D7" t="s">
        <v>69</v>
      </c>
      <c r="E7" t="s">
        <v>71</v>
      </c>
      <c r="F7" t="s">
        <v>73</v>
      </c>
      <c r="G7">
        <v>3439066</v>
      </c>
      <c r="H7">
        <v>2576397.376056571</v>
      </c>
      <c r="I7">
        <v>6015463.3760565706</v>
      </c>
      <c r="J7">
        <f>VLOOKUP(C7,'LEAID Match'!$A$2:$B$59,2,FALSE)</f>
        <v>4400030</v>
      </c>
    </row>
    <row r="8" spans="1:10" x14ac:dyDescent="0.2">
      <c r="A8">
        <f t="shared" si="0"/>
        <v>4400030</v>
      </c>
      <c r="B8">
        <v>2021</v>
      </c>
      <c r="C8" t="s">
        <v>0</v>
      </c>
      <c r="D8" t="s">
        <v>69</v>
      </c>
      <c r="E8" t="s">
        <v>71</v>
      </c>
      <c r="F8" t="s">
        <v>73</v>
      </c>
      <c r="G8">
        <v>3874674</v>
      </c>
      <c r="H8">
        <v>2873452.9215949276</v>
      </c>
      <c r="I8">
        <v>6748126.9215949271</v>
      </c>
      <c r="J8">
        <f>VLOOKUP(C8,'LEAID Match'!$A$2:$B$59,2,FALSE)</f>
        <v>4400030</v>
      </c>
    </row>
    <row r="9" spans="1:10" x14ac:dyDescent="0.2">
      <c r="A9">
        <f t="shared" si="0"/>
        <v>4400030</v>
      </c>
      <c r="B9">
        <v>2022</v>
      </c>
      <c r="C9" t="s">
        <v>0</v>
      </c>
      <c r="D9" t="s">
        <v>69</v>
      </c>
      <c r="E9" t="s">
        <v>71</v>
      </c>
      <c r="F9" t="s">
        <v>73</v>
      </c>
      <c r="G9">
        <v>4056942</v>
      </c>
      <c r="H9">
        <v>3000262.1704157256</v>
      </c>
      <c r="I9">
        <v>7057204.1704157256</v>
      </c>
      <c r="J9">
        <f>VLOOKUP(C9,'LEAID Match'!$A$2:$B$59,2,FALSE)</f>
        <v>4400030</v>
      </c>
    </row>
    <row r="10" spans="1:10" x14ac:dyDescent="0.2">
      <c r="A10">
        <f t="shared" si="0"/>
        <v>4400008</v>
      </c>
      <c r="B10">
        <v>2015</v>
      </c>
      <c r="C10" t="s">
        <v>45</v>
      </c>
      <c r="D10" t="s">
        <v>69</v>
      </c>
      <c r="E10" t="s">
        <v>71</v>
      </c>
      <c r="F10" t="s">
        <v>73</v>
      </c>
      <c r="G10">
        <v>173008</v>
      </c>
      <c r="H10">
        <v>110530.04624275945</v>
      </c>
      <c r="I10">
        <v>283538.04624275945</v>
      </c>
      <c r="J10">
        <f>VLOOKUP(C10,'LEAID Match'!$A$2:$B$59,2,FALSE)</f>
        <v>4400008</v>
      </c>
    </row>
    <row r="11" spans="1:10" x14ac:dyDescent="0.2">
      <c r="A11">
        <f t="shared" si="0"/>
        <v>4400008</v>
      </c>
      <c r="B11">
        <v>2016</v>
      </c>
      <c r="C11" t="s">
        <v>45</v>
      </c>
      <c r="D11" t="s">
        <v>69</v>
      </c>
      <c r="E11" t="s">
        <v>71</v>
      </c>
      <c r="F11" t="s">
        <v>73</v>
      </c>
      <c r="G11">
        <v>235775</v>
      </c>
      <c r="H11">
        <v>150813.026271779</v>
      </c>
      <c r="I11">
        <v>386588.02627177897</v>
      </c>
      <c r="J11">
        <f>VLOOKUP(C11,'LEAID Match'!$A$2:$B$59,2,FALSE)</f>
        <v>4400008</v>
      </c>
    </row>
    <row r="12" spans="1:10" x14ac:dyDescent="0.2">
      <c r="A12">
        <f t="shared" si="0"/>
        <v>4400008</v>
      </c>
      <c r="B12">
        <v>2017</v>
      </c>
      <c r="C12" t="s">
        <v>45</v>
      </c>
      <c r="D12" t="s">
        <v>69</v>
      </c>
      <c r="E12" t="s">
        <v>71</v>
      </c>
      <c r="F12" t="s">
        <v>73</v>
      </c>
      <c r="G12">
        <v>252459</v>
      </c>
      <c r="H12">
        <v>177533.53424172016</v>
      </c>
      <c r="I12">
        <v>429992.53424172016</v>
      </c>
      <c r="J12">
        <f>VLOOKUP(C12,'LEAID Match'!$A$2:$B$59,2,FALSE)</f>
        <v>4400008</v>
      </c>
    </row>
    <row r="13" spans="1:10" x14ac:dyDescent="0.2">
      <c r="A13">
        <f t="shared" si="0"/>
        <v>4400008</v>
      </c>
      <c r="B13">
        <v>2018</v>
      </c>
      <c r="C13" t="s">
        <v>45</v>
      </c>
      <c r="D13" t="s">
        <v>69</v>
      </c>
      <c r="E13" t="s">
        <v>71</v>
      </c>
      <c r="F13" t="s">
        <v>73</v>
      </c>
      <c r="G13">
        <v>271715</v>
      </c>
      <c r="H13">
        <v>271715</v>
      </c>
      <c r="I13">
        <v>543430</v>
      </c>
      <c r="J13">
        <f>VLOOKUP(C13,'LEAID Match'!$A$2:$B$59,2,FALSE)</f>
        <v>4400008</v>
      </c>
    </row>
    <row r="14" spans="1:10" x14ac:dyDescent="0.2">
      <c r="A14">
        <f t="shared" si="0"/>
        <v>4400008</v>
      </c>
      <c r="B14">
        <v>2019</v>
      </c>
      <c r="C14" t="s">
        <v>45</v>
      </c>
      <c r="D14" t="s">
        <v>69</v>
      </c>
      <c r="E14" t="s">
        <v>71</v>
      </c>
      <c r="F14" t="s">
        <v>73</v>
      </c>
      <c r="G14">
        <v>302120</v>
      </c>
      <c r="H14">
        <v>209560.09342246322</v>
      </c>
      <c r="I14">
        <v>511680.09342246322</v>
      </c>
      <c r="J14">
        <f>VLOOKUP(C14,'LEAID Match'!$A$2:$B$59,2,FALSE)</f>
        <v>4400008</v>
      </c>
    </row>
    <row r="15" spans="1:10" x14ac:dyDescent="0.2">
      <c r="A15">
        <f t="shared" si="0"/>
        <v>4400008</v>
      </c>
      <c r="B15">
        <v>2020</v>
      </c>
      <c r="C15" t="s">
        <v>45</v>
      </c>
      <c r="D15" t="s">
        <v>69</v>
      </c>
      <c r="E15" t="s">
        <v>71</v>
      </c>
      <c r="F15" t="s">
        <v>73</v>
      </c>
      <c r="G15">
        <v>302120</v>
      </c>
      <c r="H15">
        <v>226335.05005551252</v>
      </c>
      <c r="I15">
        <v>528455.05005551246</v>
      </c>
      <c r="J15">
        <f>VLOOKUP(C15,'LEAID Match'!$A$2:$B$59,2,FALSE)</f>
        <v>4400008</v>
      </c>
    </row>
    <row r="16" spans="1:10" x14ac:dyDescent="0.2">
      <c r="A16">
        <f t="shared" si="0"/>
        <v>4400008</v>
      </c>
      <c r="B16">
        <v>2021</v>
      </c>
      <c r="C16" t="s">
        <v>45</v>
      </c>
      <c r="D16" t="s">
        <v>69</v>
      </c>
      <c r="E16" t="s">
        <v>71</v>
      </c>
      <c r="F16" t="s">
        <v>73</v>
      </c>
      <c r="G16">
        <v>363791</v>
      </c>
      <c r="H16">
        <v>269786.90640811087</v>
      </c>
      <c r="I16">
        <v>633577.90640811087</v>
      </c>
      <c r="J16">
        <f>VLOOKUP(C16,'LEAID Match'!$A$2:$B$59,2,FALSE)</f>
        <v>4400008</v>
      </c>
    </row>
    <row r="17" spans="1:10" x14ac:dyDescent="0.2">
      <c r="A17">
        <f t="shared" si="0"/>
        <v>4400008</v>
      </c>
      <c r="B17">
        <v>2022</v>
      </c>
      <c r="C17" t="s">
        <v>45</v>
      </c>
      <c r="D17" t="s">
        <v>69</v>
      </c>
      <c r="E17" t="s">
        <v>71</v>
      </c>
      <c r="F17" t="s">
        <v>73</v>
      </c>
      <c r="G17">
        <v>376174</v>
      </c>
      <c r="H17">
        <v>278194.91175717203</v>
      </c>
      <c r="I17">
        <v>654368.91175717209</v>
      </c>
      <c r="J17">
        <f>VLOOKUP(C17,'LEAID Match'!$A$2:$B$59,2,FALSE)</f>
        <v>4400008</v>
      </c>
    </row>
    <row r="18" spans="1:10" x14ac:dyDescent="0.2">
      <c r="A18">
        <f t="shared" si="0"/>
        <v>4400036</v>
      </c>
      <c r="B18">
        <v>2015</v>
      </c>
      <c r="C18" t="s">
        <v>44</v>
      </c>
      <c r="D18" t="s">
        <v>69</v>
      </c>
      <c r="E18" t="s">
        <v>71</v>
      </c>
      <c r="F18" t="s">
        <v>73</v>
      </c>
      <c r="G18">
        <v>106578</v>
      </c>
      <c r="H18">
        <v>68089.748846647635</v>
      </c>
      <c r="I18">
        <v>174667.74884664762</v>
      </c>
      <c r="J18">
        <f>VLOOKUP(C18,'LEAID Match'!$A$2:$B$59,2,FALSE)</f>
        <v>4400036</v>
      </c>
    </row>
    <row r="19" spans="1:10" x14ac:dyDescent="0.2">
      <c r="A19">
        <f t="shared" si="0"/>
        <v>4400036</v>
      </c>
      <c r="B19">
        <v>2016</v>
      </c>
      <c r="C19" t="s">
        <v>44</v>
      </c>
      <c r="D19" t="s">
        <v>69</v>
      </c>
      <c r="E19" t="s">
        <v>71</v>
      </c>
      <c r="F19" t="s">
        <v>73</v>
      </c>
      <c r="G19">
        <v>176699</v>
      </c>
      <c r="H19">
        <v>113025.17624513659</v>
      </c>
      <c r="I19">
        <v>289724.17624513659</v>
      </c>
      <c r="J19">
        <f>VLOOKUP(C19,'LEAID Match'!$A$2:$B$59,2,FALSE)</f>
        <v>4400036</v>
      </c>
    </row>
    <row r="20" spans="1:10" x14ac:dyDescent="0.2">
      <c r="A20">
        <f t="shared" si="0"/>
        <v>4400036</v>
      </c>
      <c r="B20">
        <v>2017</v>
      </c>
      <c r="C20" t="s">
        <v>44</v>
      </c>
      <c r="D20" t="s">
        <v>69</v>
      </c>
      <c r="E20" t="s">
        <v>71</v>
      </c>
      <c r="F20" t="s">
        <v>73</v>
      </c>
      <c r="G20">
        <v>198144</v>
      </c>
      <c r="H20">
        <v>139338.28704380276</v>
      </c>
      <c r="I20">
        <v>337482.28704380279</v>
      </c>
      <c r="J20">
        <f>VLOOKUP(C20,'LEAID Match'!$A$2:$B$59,2,FALSE)</f>
        <v>4400036</v>
      </c>
    </row>
    <row r="21" spans="1:10" x14ac:dyDescent="0.2">
      <c r="A21">
        <f t="shared" si="0"/>
        <v>4400036</v>
      </c>
      <c r="B21">
        <v>2018</v>
      </c>
      <c r="C21" t="s">
        <v>44</v>
      </c>
      <c r="D21" t="s">
        <v>69</v>
      </c>
      <c r="E21" t="s">
        <v>71</v>
      </c>
      <c r="F21" t="s">
        <v>73</v>
      </c>
      <c r="G21">
        <v>221018</v>
      </c>
      <c r="H21">
        <v>221018</v>
      </c>
      <c r="I21">
        <v>442036</v>
      </c>
      <c r="J21">
        <f>VLOOKUP(C21,'LEAID Match'!$A$2:$B$59,2,FALSE)</f>
        <v>4400036</v>
      </c>
    </row>
    <row r="22" spans="1:10" x14ac:dyDescent="0.2">
      <c r="A22">
        <f t="shared" si="0"/>
        <v>4400036</v>
      </c>
      <c r="B22">
        <v>2019</v>
      </c>
      <c r="C22" t="s">
        <v>44</v>
      </c>
      <c r="D22" t="s">
        <v>69</v>
      </c>
      <c r="E22" t="s">
        <v>71</v>
      </c>
      <c r="F22" t="s">
        <v>73</v>
      </c>
      <c r="G22">
        <v>262667</v>
      </c>
      <c r="H22">
        <v>182194.23096451128</v>
      </c>
      <c r="I22">
        <v>444861.23096451128</v>
      </c>
      <c r="J22">
        <f>VLOOKUP(C22,'LEAID Match'!$A$2:$B$59,2,FALSE)</f>
        <v>4400036</v>
      </c>
    </row>
    <row r="23" spans="1:10" x14ac:dyDescent="0.2">
      <c r="A23">
        <f t="shared" si="0"/>
        <v>4400036</v>
      </c>
      <c r="B23">
        <v>2020</v>
      </c>
      <c r="C23" t="s">
        <v>44</v>
      </c>
      <c r="D23" t="s">
        <v>69</v>
      </c>
      <c r="E23" t="s">
        <v>71</v>
      </c>
      <c r="F23" t="s">
        <v>73</v>
      </c>
      <c r="G23">
        <v>227344</v>
      </c>
      <c r="H23">
        <v>170316.15126380391</v>
      </c>
      <c r="I23">
        <v>397660.15126380394</v>
      </c>
      <c r="J23">
        <f>VLOOKUP(C23,'LEAID Match'!$A$2:$B$59,2,FALSE)</f>
        <v>4400036</v>
      </c>
    </row>
    <row r="24" spans="1:10" x14ac:dyDescent="0.2">
      <c r="A24">
        <f t="shared" si="0"/>
        <v>4400036</v>
      </c>
      <c r="B24">
        <v>2021</v>
      </c>
      <c r="C24" t="s">
        <v>44</v>
      </c>
      <c r="D24" t="s">
        <v>69</v>
      </c>
      <c r="E24" t="s">
        <v>71</v>
      </c>
      <c r="F24" t="s">
        <v>73</v>
      </c>
      <c r="G24">
        <v>275410</v>
      </c>
      <c r="H24">
        <v>204243.67808400374</v>
      </c>
      <c r="I24">
        <v>479653.67808400374</v>
      </c>
      <c r="J24">
        <f>VLOOKUP(C24,'LEAID Match'!$A$2:$B$59,2,FALSE)</f>
        <v>4400036</v>
      </c>
    </row>
    <row r="25" spans="1:10" x14ac:dyDescent="0.2">
      <c r="A25">
        <f t="shared" si="0"/>
        <v>4400036</v>
      </c>
      <c r="B25">
        <v>2022</v>
      </c>
      <c r="C25" t="s">
        <v>44</v>
      </c>
      <c r="D25" t="s">
        <v>69</v>
      </c>
      <c r="E25" t="s">
        <v>71</v>
      </c>
      <c r="F25" t="s">
        <v>73</v>
      </c>
      <c r="G25">
        <v>322253</v>
      </c>
      <c r="H25">
        <v>238318.29126543558</v>
      </c>
      <c r="I25">
        <v>560571.29126543552</v>
      </c>
      <c r="J25">
        <f>VLOOKUP(C25,'LEAID Match'!$A$2:$B$59,2,FALSE)</f>
        <v>4400036</v>
      </c>
    </row>
    <row r="26" spans="1:10" x14ac:dyDescent="0.2">
      <c r="A26">
        <f t="shared" si="0"/>
        <v>4400065</v>
      </c>
      <c r="B26">
        <v>2015</v>
      </c>
      <c r="C26" t="s">
        <v>1</v>
      </c>
      <c r="D26" t="s">
        <v>69</v>
      </c>
      <c r="E26" t="s">
        <v>71</v>
      </c>
      <c r="F26" t="s">
        <v>73</v>
      </c>
      <c r="G26">
        <v>3120167</v>
      </c>
      <c r="H26">
        <v>1993388.7611852167</v>
      </c>
      <c r="I26">
        <v>5113555.7611852167</v>
      </c>
      <c r="J26">
        <f>VLOOKUP(C26,'LEAID Match'!$A$2:$B$59,2,FALSE)</f>
        <v>4400065</v>
      </c>
    </row>
    <row r="27" spans="1:10" x14ac:dyDescent="0.2">
      <c r="A27">
        <f t="shared" si="0"/>
        <v>4400065</v>
      </c>
      <c r="B27">
        <v>2016</v>
      </c>
      <c r="C27" t="s">
        <v>1</v>
      </c>
      <c r="D27" t="s">
        <v>69</v>
      </c>
      <c r="E27" t="s">
        <v>71</v>
      </c>
      <c r="F27" t="s">
        <v>73</v>
      </c>
      <c r="G27">
        <v>3190696</v>
      </c>
      <c r="H27">
        <v>2040922.5731025776</v>
      </c>
      <c r="I27">
        <v>5231618.5731025776</v>
      </c>
      <c r="J27">
        <f>VLOOKUP(C27,'LEAID Match'!$A$2:$B$59,2,FALSE)</f>
        <v>4400065</v>
      </c>
    </row>
    <row r="28" spans="1:10" x14ac:dyDescent="0.2">
      <c r="A28">
        <f t="shared" si="0"/>
        <v>4400065</v>
      </c>
      <c r="B28">
        <v>2017</v>
      </c>
      <c r="C28" t="s">
        <v>1</v>
      </c>
      <c r="D28" t="s">
        <v>69</v>
      </c>
      <c r="E28" t="s">
        <v>71</v>
      </c>
      <c r="F28" t="s">
        <v>73</v>
      </c>
      <c r="G28">
        <v>3147640</v>
      </c>
      <c r="H28">
        <v>2213474.8760020761</v>
      </c>
      <c r="I28">
        <v>5361114.8760020761</v>
      </c>
      <c r="J28">
        <f>VLOOKUP(C28,'LEAID Match'!$A$2:$B$59,2,FALSE)</f>
        <v>4400065</v>
      </c>
    </row>
    <row r="29" spans="1:10" x14ac:dyDescent="0.2">
      <c r="A29">
        <f t="shared" si="0"/>
        <v>4400065</v>
      </c>
      <c r="B29">
        <v>2018</v>
      </c>
      <c r="C29" t="s">
        <v>1</v>
      </c>
      <c r="D29" t="s">
        <v>69</v>
      </c>
      <c r="E29" t="s">
        <v>71</v>
      </c>
      <c r="F29" t="s">
        <v>73</v>
      </c>
      <c r="G29">
        <v>3315316</v>
      </c>
      <c r="H29">
        <v>3315316</v>
      </c>
      <c r="I29">
        <v>6630632</v>
      </c>
      <c r="J29">
        <f>VLOOKUP(C29,'LEAID Match'!$A$2:$B$59,2,FALSE)</f>
        <v>4400065</v>
      </c>
    </row>
    <row r="30" spans="1:10" x14ac:dyDescent="0.2">
      <c r="A30">
        <f t="shared" si="0"/>
        <v>4400065</v>
      </c>
      <c r="B30">
        <v>2019</v>
      </c>
      <c r="C30" t="s">
        <v>1</v>
      </c>
      <c r="D30" t="s">
        <v>69</v>
      </c>
      <c r="E30" t="s">
        <v>71</v>
      </c>
      <c r="F30" t="s">
        <v>73</v>
      </c>
      <c r="G30">
        <v>3494089</v>
      </c>
      <c r="H30">
        <v>2423611.8670276748</v>
      </c>
      <c r="I30">
        <v>5917700.8670276748</v>
      </c>
      <c r="J30">
        <f>VLOOKUP(C30,'LEAID Match'!$A$2:$B$59,2,FALSE)</f>
        <v>4400065</v>
      </c>
    </row>
    <row r="31" spans="1:10" x14ac:dyDescent="0.2">
      <c r="A31">
        <f t="shared" si="0"/>
        <v>4400065</v>
      </c>
      <c r="B31">
        <v>2020</v>
      </c>
      <c r="C31" t="s">
        <v>1</v>
      </c>
      <c r="D31" t="s">
        <v>69</v>
      </c>
      <c r="E31" t="s">
        <v>71</v>
      </c>
      <c r="F31" t="s">
        <v>73</v>
      </c>
      <c r="G31">
        <v>3243168</v>
      </c>
      <c r="H31">
        <v>2429639.1884629834</v>
      </c>
      <c r="I31">
        <v>5672807.1884629838</v>
      </c>
      <c r="J31">
        <f>VLOOKUP(C31,'LEAID Match'!$A$2:$B$59,2,FALSE)</f>
        <v>4400065</v>
      </c>
    </row>
    <row r="32" spans="1:10" x14ac:dyDescent="0.2">
      <c r="A32">
        <f t="shared" si="0"/>
        <v>4400065</v>
      </c>
      <c r="B32">
        <v>2021</v>
      </c>
      <c r="C32" t="s">
        <v>1</v>
      </c>
      <c r="D32" t="s">
        <v>69</v>
      </c>
      <c r="E32" t="s">
        <v>71</v>
      </c>
      <c r="F32" t="s">
        <v>73</v>
      </c>
      <c r="G32">
        <v>3584410</v>
      </c>
      <c r="H32">
        <v>2658193.5374934962</v>
      </c>
      <c r="I32">
        <v>6242603.5374934962</v>
      </c>
      <c r="J32">
        <f>VLOOKUP(C32,'LEAID Match'!$A$2:$B$59,2,FALSE)</f>
        <v>4400065</v>
      </c>
    </row>
    <row r="33" spans="1:10" x14ac:dyDescent="0.2">
      <c r="A33">
        <f t="shared" si="0"/>
        <v>4400065</v>
      </c>
      <c r="B33">
        <v>2022</v>
      </c>
      <c r="C33" t="s">
        <v>1</v>
      </c>
      <c r="D33" t="s">
        <v>69</v>
      </c>
      <c r="E33" t="s">
        <v>71</v>
      </c>
      <c r="F33" t="s">
        <v>73</v>
      </c>
      <c r="G33">
        <v>3554595</v>
      </c>
      <c r="H33">
        <v>2628757.5493188924</v>
      </c>
      <c r="I33">
        <v>6183352.5493188929</v>
      </c>
      <c r="J33">
        <f>VLOOKUP(C33,'LEAID Match'!$A$2:$B$59,2,FALSE)</f>
        <v>4400065</v>
      </c>
    </row>
    <row r="34" spans="1:10" x14ac:dyDescent="0.2">
      <c r="A34">
        <f t="shared" si="0"/>
        <v>4400090</v>
      </c>
      <c r="B34">
        <v>2015</v>
      </c>
      <c r="C34" t="s">
        <v>2</v>
      </c>
      <c r="D34" t="s">
        <v>69</v>
      </c>
      <c r="E34" t="s">
        <v>71</v>
      </c>
      <c r="F34" t="s">
        <v>73</v>
      </c>
      <c r="G34">
        <v>1861216</v>
      </c>
      <c r="H34">
        <v>1189079.6411019359</v>
      </c>
      <c r="I34">
        <v>3050295.6411019359</v>
      </c>
      <c r="J34">
        <f>VLOOKUP(C34,'LEAID Match'!$A$2:$B$59,2,FALSE)</f>
        <v>4400090</v>
      </c>
    </row>
    <row r="35" spans="1:10" x14ac:dyDescent="0.2">
      <c r="A35">
        <f t="shared" si="0"/>
        <v>4400090</v>
      </c>
      <c r="B35">
        <v>2016</v>
      </c>
      <c r="C35" t="s">
        <v>2</v>
      </c>
      <c r="D35" t="s">
        <v>69</v>
      </c>
      <c r="E35" t="s">
        <v>71</v>
      </c>
      <c r="F35" t="s">
        <v>73</v>
      </c>
      <c r="G35">
        <v>1941839</v>
      </c>
      <c r="H35">
        <v>1242093.5897468564</v>
      </c>
      <c r="I35">
        <v>3183932.5897468561</v>
      </c>
      <c r="J35">
        <f>VLOOKUP(C35,'LEAID Match'!$A$2:$B$59,2,FALSE)</f>
        <v>4400090</v>
      </c>
    </row>
    <row r="36" spans="1:10" x14ac:dyDescent="0.2">
      <c r="A36">
        <f t="shared" si="0"/>
        <v>4400090</v>
      </c>
      <c r="B36">
        <v>2017</v>
      </c>
      <c r="C36" t="s">
        <v>2</v>
      </c>
      <c r="D36" t="s">
        <v>69</v>
      </c>
      <c r="E36" t="s">
        <v>71</v>
      </c>
      <c r="F36" t="s">
        <v>73</v>
      </c>
      <c r="G36">
        <v>1961232</v>
      </c>
      <c r="H36">
        <v>1379172.2554076398</v>
      </c>
      <c r="I36">
        <v>3340404.2554076398</v>
      </c>
      <c r="J36">
        <f>VLOOKUP(C36,'LEAID Match'!$A$2:$B$59,2,FALSE)</f>
        <v>4400090</v>
      </c>
    </row>
    <row r="37" spans="1:10" x14ac:dyDescent="0.2">
      <c r="A37">
        <f t="shared" si="0"/>
        <v>4400090</v>
      </c>
      <c r="B37">
        <v>2018</v>
      </c>
      <c r="C37" t="s">
        <v>2</v>
      </c>
      <c r="D37" t="s">
        <v>69</v>
      </c>
      <c r="E37" t="s">
        <v>71</v>
      </c>
      <c r="F37" t="s">
        <v>73</v>
      </c>
      <c r="G37">
        <v>2131274</v>
      </c>
      <c r="H37">
        <v>2131274</v>
      </c>
      <c r="I37">
        <v>4262548</v>
      </c>
      <c r="J37">
        <f>VLOOKUP(C37,'LEAID Match'!$A$2:$B$59,2,FALSE)</f>
        <v>4400090</v>
      </c>
    </row>
    <row r="38" spans="1:10" x14ac:dyDescent="0.2">
      <c r="A38">
        <f t="shared" si="0"/>
        <v>4400090</v>
      </c>
      <c r="B38">
        <v>2019</v>
      </c>
      <c r="C38" t="s">
        <v>2</v>
      </c>
      <c r="D38" t="s">
        <v>69</v>
      </c>
      <c r="E38" t="s">
        <v>71</v>
      </c>
      <c r="F38" t="s">
        <v>73</v>
      </c>
      <c r="G38">
        <v>2210699</v>
      </c>
      <c r="H38">
        <v>1533411.5218090364</v>
      </c>
      <c r="I38">
        <v>3744110.5218090364</v>
      </c>
      <c r="J38">
        <f>VLOOKUP(C38,'LEAID Match'!$A$2:$B$59,2,FALSE)</f>
        <v>4400090</v>
      </c>
    </row>
    <row r="39" spans="1:10" x14ac:dyDescent="0.2">
      <c r="A39">
        <f t="shared" si="0"/>
        <v>4400090</v>
      </c>
      <c r="B39">
        <v>2020</v>
      </c>
      <c r="C39" t="s">
        <v>2</v>
      </c>
      <c r="D39" t="s">
        <v>69</v>
      </c>
      <c r="E39" t="s">
        <v>71</v>
      </c>
      <c r="F39" t="s">
        <v>73</v>
      </c>
      <c r="G39">
        <v>2064970</v>
      </c>
      <c r="H39">
        <v>1546984.9341755982</v>
      </c>
      <c r="I39">
        <v>3611954.9341755984</v>
      </c>
      <c r="J39">
        <f>VLOOKUP(C39,'LEAID Match'!$A$2:$B$59,2,FALSE)</f>
        <v>4400090</v>
      </c>
    </row>
    <row r="40" spans="1:10" x14ac:dyDescent="0.2">
      <c r="A40">
        <f t="shared" si="0"/>
        <v>4400090</v>
      </c>
      <c r="B40">
        <v>2021</v>
      </c>
      <c r="C40" t="s">
        <v>2</v>
      </c>
      <c r="D40" t="s">
        <v>69</v>
      </c>
      <c r="E40" t="s">
        <v>71</v>
      </c>
      <c r="F40" t="s">
        <v>73</v>
      </c>
      <c r="G40">
        <v>2187060</v>
      </c>
      <c r="H40">
        <v>1621920.6949290193</v>
      </c>
      <c r="I40">
        <v>3808980.6949290195</v>
      </c>
      <c r="J40">
        <f>VLOOKUP(C40,'LEAID Match'!$A$2:$B$59,2,FALSE)</f>
        <v>4400090</v>
      </c>
    </row>
    <row r="41" spans="1:10" x14ac:dyDescent="0.2">
      <c r="A41">
        <f t="shared" si="0"/>
        <v>4400090</v>
      </c>
      <c r="B41">
        <v>2022</v>
      </c>
      <c r="C41" t="s">
        <v>2</v>
      </c>
      <c r="D41" t="s">
        <v>69</v>
      </c>
      <c r="E41" t="s">
        <v>71</v>
      </c>
      <c r="F41" t="s">
        <v>73</v>
      </c>
      <c r="G41">
        <v>2279213</v>
      </c>
      <c r="H41">
        <v>1685564.2851733491</v>
      </c>
      <c r="I41">
        <v>3964777.2851733491</v>
      </c>
      <c r="J41">
        <f>VLOOKUP(C41,'LEAID Match'!$A$2:$B$59,2,FALSE)</f>
        <v>4400090</v>
      </c>
    </row>
    <row r="42" spans="1:10" x14ac:dyDescent="0.2">
      <c r="A42">
        <f t="shared" si="0"/>
        <v>4400120</v>
      </c>
      <c r="B42">
        <v>2015</v>
      </c>
      <c r="C42" t="s">
        <v>3</v>
      </c>
      <c r="D42" t="s">
        <v>69</v>
      </c>
      <c r="E42" t="s">
        <v>71</v>
      </c>
      <c r="F42" t="s">
        <v>73</v>
      </c>
      <c r="G42">
        <v>2563268</v>
      </c>
      <c r="H42">
        <v>1637601.3281038189</v>
      </c>
      <c r="I42">
        <v>4200869.3281038189</v>
      </c>
      <c r="J42">
        <f>VLOOKUP(C42,'LEAID Match'!$A$2:$B$59,2,FALSE)</f>
        <v>4400120</v>
      </c>
    </row>
    <row r="43" spans="1:10" x14ac:dyDescent="0.2">
      <c r="A43">
        <f t="shared" si="0"/>
        <v>4400120</v>
      </c>
      <c r="B43">
        <v>2016</v>
      </c>
      <c r="C43" t="s">
        <v>3</v>
      </c>
      <c r="D43" t="s">
        <v>69</v>
      </c>
      <c r="E43" t="s">
        <v>71</v>
      </c>
      <c r="F43" t="s">
        <v>73</v>
      </c>
      <c r="G43">
        <v>2724152</v>
      </c>
      <c r="H43">
        <v>1742498.5988519534</v>
      </c>
      <c r="I43">
        <v>4466650.5988519536</v>
      </c>
      <c r="J43">
        <f>VLOOKUP(C43,'LEAID Match'!$A$2:$B$59,2,FALSE)</f>
        <v>4400120</v>
      </c>
    </row>
    <row r="44" spans="1:10" x14ac:dyDescent="0.2">
      <c r="A44">
        <f t="shared" si="0"/>
        <v>4400120</v>
      </c>
      <c r="B44">
        <v>2017</v>
      </c>
      <c r="C44" t="s">
        <v>3</v>
      </c>
      <c r="D44" t="s">
        <v>69</v>
      </c>
      <c r="E44" t="s">
        <v>71</v>
      </c>
      <c r="F44" t="s">
        <v>73</v>
      </c>
      <c r="G44">
        <v>2598889</v>
      </c>
      <c r="H44">
        <v>1827583.6839721694</v>
      </c>
      <c r="I44">
        <v>4426472.6839721696</v>
      </c>
      <c r="J44">
        <f>VLOOKUP(C44,'LEAID Match'!$A$2:$B$59,2,FALSE)</f>
        <v>4400120</v>
      </c>
    </row>
    <row r="45" spans="1:10" x14ac:dyDescent="0.2">
      <c r="A45">
        <f t="shared" si="0"/>
        <v>4400120</v>
      </c>
      <c r="B45">
        <v>2018</v>
      </c>
      <c r="C45" t="s">
        <v>3</v>
      </c>
      <c r="D45" t="s">
        <v>69</v>
      </c>
      <c r="E45" t="s">
        <v>71</v>
      </c>
      <c r="F45" t="s">
        <v>73</v>
      </c>
      <c r="G45">
        <v>2638883</v>
      </c>
      <c r="H45">
        <v>2638883</v>
      </c>
      <c r="I45">
        <v>5277766</v>
      </c>
      <c r="J45">
        <f>VLOOKUP(C45,'LEAID Match'!$A$2:$B$59,2,FALSE)</f>
        <v>4400120</v>
      </c>
    </row>
    <row r="46" spans="1:10" x14ac:dyDescent="0.2">
      <c r="A46">
        <f t="shared" si="0"/>
        <v>4400120</v>
      </c>
      <c r="B46">
        <v>2019</v>
      </c>
      <c r="C46" t="s">
        <v>3</v>
      </c>
      <c r="D46" t="s">
        <v>69</v>
      </c>
      <c r="E46" t="s">
        <v>71</v>
      </c>
      <c r="F46" t="s">
        <v>73</v>
      </c>
      <c r="G46">
        <v>2884392</v>
      </c>
      <c r="H46">
        <v>2000706.5304746642</v>
      </c>
      <c r="I46">
        <v>4885098.5304746646</v>
      </c>
      <c r="J46">
        <f>VLOOKUP(C46,'LEAID Match'!$A$2:$B$59,2,FALSE)</f>
        <v>4400120</v>
      </c>
    </row>
    <row r="47" spans="1:10" x14ac:dyDescent="0.2">
      <c r="A47">
        <f t="shared" si="0"/>
        <v>4400120</v>
      </c>
      <c r="B47">
        <v>2020</v>
      </c>
      <c r="C47" t="s">
        <v>3</v>
      </c>
      <c r="D47" t="s">
        <v>69</v>
      </c>
      <c r="E47" t="s">
        <v>71</v>
      </c>
      <c r="F47" t="s">
        <v>73</v>
      </c>
      <c r="G47">
        <v>2431160</v>
      </c>
      <c r="H47">
        <v>1821318.4174929161</v>
      </c>
      <c r="I47">
        <v>4252478.4174929159</v>
      </c>
      <c r="J47">
        <f>VLOOKUP(C47,'LEAID Match'!$A$2:$B$59,2,FALSE)</f>
        <v>4400120</v>
      </c>
    </row>
    <row r="48" spans="1:10" x14ac:dyDescent="0.2">
      <c r="A48">
        <f t="shared" si="0"/>
        <v>4400120</v>
      </c>
      <c r="B48">
        <v>2021</v>
      </c>
      <c r="C48" t="s">
        <v>3</v>
      </c>
      <c r="D48" t="s">
        <v>69</v>
      </c>
      <c r="E48" t="s">
        <v>71</v>
      </c>
      <c r="F48" t="s">
        <v>73</v>
      </c>
      <c r="G48">
        <v>2754039</v>
      </c>
      <c r="H48">
        <v>2042391.5433237411</v>
      </c>
      <c r="I48">
        <v>4796430.5433237413</v>
      </c>
      <c r="J48">
        <f>VLOOKUP(C48,'LEAID Match'!$A$2:$B$59,2,FALSE)</f>
        <v>4400120</v>
      </c>
    </row>
    <row r="49" spans="1:10" x14ac:dyDescent="0.2">
      <c r="A49">
        <f t="shared" si="0"/>
        <v>4400120</v>
      </c>
      <c r="B49">
        <v>2022</v>
      </c>
      <c r="C49" t="s">
        <v>3</v>
      </c>
      <c r="D49" t="s">
        <v>69</v>
      </c>
      <c r="E49" t="s">
        <v>71</v>
      </c>
      <c r="F49" t="s">
        <v>73</v>
      </c>
      <c r="G49">
        <v>3008114</v>
      </c>
      <c r="H49">
        <v>2224614.1646831352</v>
      </c>
      <c r="I49">
        <v>5232728.1646831352</v>
      </c>
      <c r="J49">
        <f>VLOOKUP(C49,'LEAID Match'!$A$2:$B$59,2,FALSE)</f>
        <v>4400120</v>
      </c>
    </row>
    <row r="50" spans="1:10" x14ac:dyDescent="0.2">
      <c r="A50">
        <f t="shared" si="0"/>
        <v>4400037</v>
      </c>
      <c r="B50">
        <v>2019</v>
      </c>
      <c r="C50" t="s">
        <v>54</v>
      </c>
      <c r="D50" t="s">
        <v>69</v>
      </c>
      <c r="E50" t="s">
        <v>71</v>
      </c>
      <c r="F50" t="s">
        <v>73</v>
      </c>
      <c r="G50">
        <v>30760</v>
      </c>
      <c r="H50">
        <v>21336.119666605882</v>
      </c>
      <c r="I50">
        <v>52096.119666605882</v>
      </c>
      <c r="J50">
        <f>VLOOKUP(C50,'LEAID Match'!$A$2:$B$59,2,FALSE)</f>
        <v>4400037</v>
      </c>
    </row>
    <row r="51" spans="1:10" x14ac:dyDescent="0.2">
      <c r="A51">
        <f t="shared" si="0"/>
        <v>4400037</v>
      </c>
      <c r="B51">
        <v>2020</v>
      </c>
      <c r="C51" t="s">
        <v>54</v>
      </c>
      <c r="D51" t="s">
        <v>69</v>
      </c>
      <c r="E51" t="s">
        <v>71</v>
      </c>
      <c r="F51" t="s">
        <v>73</v>
      </c>
      <c r="G51">
        <v>27214</v>
      </c>
      <c r="H51">
        <v>20387.53492721673</v>
      </c>
      <c r="I51">
        <v>47601.53492721673</v>
      </c>
      <c r="J51">
        <f>VLOOKUP(C51,'LEAID Match'!$A$2:$B$59,2,FALSE)</f>
        <v>4400037</v>
      </c>
    </row>
    <row r="52" spans="1:10" x14ac:dyDescent="0.2">
      <c r="A52">
        <f t="shared" si="0"/>
        <v>4400037</v>
      </c>
      <c r="B52">
        <v>2021</v>
      </c>
      <c r="C52" t="s">
        <v>54</v>
      </c>
      <c r="D52" t="s">
        <v>69</v>
      </c>
      <c r="E52" t="s">
        <v>71</v>
      </c>
      <c r="F52" t="s">
        <v>73</v>
      </c>
      <c r="G52">
        <v>73237</v>
      </c>
      <c r="H52">
        <v>54312.458704615594</v>
      </c>
      <c r="I52">
        <v>127549.45870461559</v>
      </c>
      <c r="J52">
        <f>VLOOKUP(C52,'LEAID Match'!$A$2:$B$59,2,FALSE)</f>
        <v>4400037</v>
      </c>
    </row>
    <row r="53" spans="1:10" x14ac:dyDescent="0.2">
      <c r="A53">
        <f t="shared" si="0"/>
        <v>4400037</v>
      </c>
      <c r="B53">
        <v>2022</v>
      </c>
      <c r="C53" t="s">
        <v>54</v>
      </c>
      <c r="D53" t="s">
        <v>69</v>
      </c>
      <c r="E53" t="s">
        <v>71</v>
      </c>
      <c r="F53" t="s">
        <v>73</v>
      </c>
      <c r="G53">
        <v>84663</v>
      </c>
      <c r="H53">
        <v>62611.493123122433</v>
      </c>
      <c r="I53">
        <v>147274.49312312243</v>
      </c>
      <c r="J53">
        <f>VLOOKUP(C53,'LEAID Match'!$A$2:$B$59,2,FALSE)</f>
        <v>4400037</v>
      </c>
    </row>
    <row r="54" spans="1:10" x14ac:dyDescent="0.2">
      <c r="A54">
        <f t="shared" si="0"/>
        <v>4400150</v>
      </c>
      <c r="B54">
        <v>2015</v>
      </c>
      <c r="C54" t="s">
        <v>4</v>
      </c>
      <c r="D54" t="s">
        <v>69</v>
      </c>
      <c r="E54" t="s">
        <v>71</v>
      </c>
      <c r="F54" t="s">
        <v>73</v>
      </c>
      <c r="G54">
        <v>3719220</v>
      </c>
      <c r="H54">
        <v>2376107.2238682359</v>
      </c>
      <c r="I54">
        <v>6095327.2238682359</v>
      </c>
      <c r="J54">
        <f>VLOOKUP(C54,'LEAID Match'!$A$2:$B$59,2,FALSE)</f>
        <v>4400150</v>
      </c>
    </row>
    <row r="55" spans="1:10" x14ac:dyDescent="0.2">
      <c r="A55">
        <f t="shared" si="0"/>
        <v>4400150</v>
      </c>
      <c r="B55">
        <v>2016</v>
      </c>
      <c r="C55" t="s">
        <v>4</v>
      </c>
      <c r="D55" t="s">
        <v>69</v>
      </c>
      <c r="E55" t="s">
        <v>71</v>
      </c>
      <c r="F55" t="s">
        <v>73</v>
      </c>
      <c r="G55">
        <v>3624354</v>
      </c>
      <c r="H55">
        <v>2318311.0805650614</v>
      </c>
      <c r="I55">
        <v>5942665.0805650614</v>
      </c>
      <c r="J55">
        <f>VLOOKUP(C55,'LEAID Match'!$A$2:$B$59,2,FALSE)</f>
        <v>4400150</v>
      </c>
    </row>
    <row r="56" spans="1:10" x14ac:dyDescent="0.2">
      <c r="A56">
        <f t="shared" si="0"/>
        <v>4400150</v>
      </c>
      <c r="B56">
        <v>2017</v>
      </c>
      <c r="C56" t="s">
        <v>4</v>
      </c>
      <c r="D56" t="s">
        <v>69</v>
      </c>
      <c r="E56" t="s">
        <v>71</v>
      </c>
      <c r="F56" t="s">
        <v>73</v>
      </c>
      <c r="G56">
        <v>3466122</v>
      </c>
      <c r="H56">
        <v>2437436.9254927719</v>
      </c>
      <c r="I56">
        <v>5903558.9254927719</v>
      </c>
      <c r="J56">
        <f>VLOOKUP(C56,'LEAID Match'!$A$2:$B$59,2,FALSE)</f>
        <v>4400150</v>
      </c>
    </row>
    <row r="57" spans="1:10" x14ac:dyDescent="0.2">
      <c r="A57">
        <f t="shared" si="0"/>
        <v>4400150</v>
      </c>
      <c r="B57">
        <v>2018</v>
      </c>
      <c r="C57" t="s">
        <v>4</v>
      </c>
      <c r="D57" t="s">
        <v>69</v>
      </c>
      <c r="E57" t="s">
        <v>71</v>
      </c>
      <c r="F57" t="s">
        <v>73</v>
      </c>
      <c r="G57">
        <v>3501206</v>
      </c>
      <c r="H57">
        <v>3501206</v>
      </c>
      <c r="I57">
        <v>7002412</v>
      </c>
      <c r="J57">
        <f>VLOOKUP(C57,'LEAID Match'!$A$2:$B$59,2,FALSE)</f>
        <v>4400150</v>
      </c>
    </row>
    <row r="58" spans="1:10" x14ac:dyDescent="0.2">
      <c r="A58">
        <f t="shared" si="0"/>
        <v>4400150</v>
      </c>
      <c r="B58">
        <v>2019</v>
      </c>
      <c r="C58" t="s">
        <v>4</v>
      </c>
      <c r="D58" t="s">
        <v>69</v>
      </c>
      <c r="E58" t="s">
        <v>71</v>
      </c>
      <c r="F58" t="s">
        <v>73</v>
      </c>
      <c r="G58">
        <v>3627393</v>
      </c>
      <c r="H58">
        <v>2516075.7843240742</v>
      </c>
      <c r="I58">
        <v>6143468.7843240742</v>
      </c>
      <c r="J58">
        <f>VLOOKUP(C58,'LEAID Match'!$A$2:$B$59,2,FALSE)</f>
        <v>4400150</v>
      </c>
    </row>
    <row r="59" spans="1:10" x14ac:dyDescent="0.2">
      <c r="A59">
        <f t="shared" si="0"/>
        <v>4400150</v>
      </c>
      <c r="B59">
        <v>2020</v>
      </c>
      <c r="C59" t="s">
        <v>4</v>
      </c>
      <c r="D59" t="s">
        <v>69</v>
      </c>
      <c r="E59" t="s">
        <v>71</v>
      </c>
      <c r="F59" t="s">
        <v>73</v>
      </c>
      <c r="G59">
        <v>3449200</v>
      </c>
      <c r="H59">
        <v>2583989.3242800008</v>
      </c>
      <c r="I59">
        <v>6033189.3242800012</v>
      </c>
      <c r="J59">
        <f>VLOOKUP(C59,'LEAID Match'!$A$2:$B$59,2,FALSE)</f>
        <v>4400150</v>
      </c>
    </row>
    <row r="60" spans="1:10" x14ac:dyDescent="0.2">
      <c r="A60">
        <f t="shared" si="0"/>
        <v>4400150</v>
      </c>
      <c r="B60">
        <v>2021</v>
      </c>
      <c r="C60" t="s">
        <v>4</v>
      </c>
      <c r="D60" t="s">
        <v>69</v>
      </c>
      <c r="E60" t="s">
        <v>71</v>
      </c>
      <c r="F60" t="s">
        <v>73</v>
      </c>
      <c r="G60">
        <v>3855109</v>
      </c>
      <c r="H60">
        <v>2858943.5444419067</v>
      </c>
      <c r="I60">
        <v>6714052.5444419067</v>
      </c>
      <c r="J60">
        <f>VLOOKUP(C60,'LEAID Match'!$A$2:$B$59,2,FALSE)</f>
        <v>4400150</v>
      </c>
    </row>
    <row r="61" spans="1:10" x14ac:dyDescent="0.2">
      <c r="A61">
        <f t="shared" si="0"/>
        <v>4400150</v>
      </c>
      <c r="B61">
        <v>2022</v>
      </c>
      <c r="C61" t="s">
        <v>4</v>
      </c>
      <c r="D61" t="s">
        <v>69</v>
      </c>
      <c r="E61" t="s">
        <v>71</v>
      </c>
      <c r="F61" t="s">
        <v>73</v>
      </c>
      <c r="G61">
        <v>4057375</v>
      </c>
      <c r="H61">
        <v>3000582.390305433</v>
      </c>
      <c r="I61">
        <v>7057957.3903054334</v>
      </c>
      <c r="J61">
        <f>VLOOKUP(C61,'LEAID Match'!$A$2:$B$59,2,FALSE)</f>
        <v>4400150</v>
      </c>
    </row>
    <row r="62" spans="1:10" x14ac:dyDescent="0.2">
      <c r="A62">
        <f t="shared" si="0"/>
        <v>4400035</v>
      </c>
      <c r="B62">
        <v>2015</v>
      </c>
      <c r="C62" t="s">
        <v>43</v>
      </c>
      <c r="D62" t="s">
        <v>69</v>
      </c>
      <c r="E62" t="s">
        <v>71</v>
      </c>
      <c r="F62" t="s">
        <v>73</v>
      </c>
      <c r="G62">
        <v>124241</v>
      </c>
      <c r="H62">
        <v>79374.153075272101</v>
      </c>
      <c r="I62">
        <v>203615.1530752721</v>
      </c>
      <c r="J62">
        <f>VLOOKUP(C62,'LEAID Match'!$A$2:$B$59,2,FALSE)</f>
        <v>4400035</v>
      </c>
    </row>
    <row r="63" spans="1:10" x14ac:dyDescent="0.2">
      <c r="A63">
        <f t="shared" si="0"/>
        <v>4400035</v>
      </c>
      <c r="B63">
        <v>2016</v>
      </c>
      <c r="C63" t="s">
        <v>43</v>
      </c>
      <c r="D63" t="s">
        <v>69</v>
      </c>
      <c r="E63" t="s">
        <v>71</v>
      </c>
      <c r="F63" t="s">
        <v>73</v>
      </c>
      <c r="G63">
        <v>111071</v>
      </c>
      <c r="H63">
        <v>71046.351992504569</v>
      </c>
      <c r="I63">
        <v>182117.35199250455</v>
      </c>
      <c r="J63">
        <f>VLOOKUP(C63,'LEAID Match'!$A$2:$B$59,2,FALSE)</f>
        <v>4400035</v>
      </c>
    </row>
    <row r="64" spans="1:10" x14ac:dyDescent="0.2">
      <c r="A64">
        <f t="shared" si="0"/>
        <v>4400035</v>
      </c>
      <c r="B64">
        <v>2017</v>
      </c>
      <c r="C64" t="s">
        <v>43</v>
      </c>
      <c r="D64" t="s">
        <v>69</v>
      </c>
      <c r="E64" t="s">
        <v>71</v>
      </c>
      <c r="F64" t="s">
        <v>73</v>
      </c>
      <c r="G64">
        <v>133675</v>
      </c>
      <c r="H64">
        <v>94002.57146610714</v>
      </c>
      <c r="I64">
        <v>227677.57146610715</v>
      </c>
      <c r="J64">
        <f>VLOOKUP(C64,'LEAID Match'!$A$2:$B$59,2,FALSE)</f>
        <v>4400035</v>
      </c>
    </row>
    <row r="65" spans="1:10" x14ac:dyDescent="0.2">
      <c r="A65">
        <f t="shared" si="0"/>
        <v>4400035</v>
      </c>
      <c r="B65">
        <v>2018</v>
      </c>
      <c r="C65" t="s">
        <v>43</v>
      </c>
      <c r="D65" t="s">
        <v>69</v>
      </c>
      <c r="E65" t="s">
        <v>71</v>
      </c>
      <c r="F65" t="s">
        <v>73</v>
      </c>
      <c r="G65">
        <v>128985</v>
      </c>
      <c r="H65">
        <v>128985</v>
      </c>
      <c r="I65">
        <v>257970</v>
      </c>
      <c r="J65">
        <f>VLOOKUP(C65,'LEAID Match'!$A$2:$B$59,2,FALSE)</f>
        <v>4400035</v>
      </c>
    </row>
    <row r="66" spans="1:10" x14ac:dyDescent="0.2">
      <c r="A66">
        <f t="shared" si="0"/>
        <v>4400035</v>
      </c>
      <c r="B66">
        <v>2019</v>
      </c>
      <c r="C66" t="s">
        <v>43</v>
      </c>
      <c r="D66" t="s">
        <v>69</v>
      </c>
      <c r="E66" t="s">
        <v>71</v>
      </c>
      <c r="F66" t="s">
        <v>73</v>
      </c>
      <c r="G66">
        <v>145674</v>
      </c>
      <c r="H66">
        <v>101044.14487363932</v>
      </c>
      <c r="I66">
        <v>246718.14487363934</v>
      </c>
      <c r="J66">
        <f>VLOOKUP(C66,'LEAID Match'!$A$2:$B$59,2,FALSE)</f>
        <v>4400035</v>
      </c>
    </row>
    <row r="67" spans="1:10" x14ac:dyDescent="0.2">
      <c r="A67">
        <f t="shared" ref="A67:A130" si="1">J67</f>
        <v>4400035</v>
      </c>
      <c r="B67">
        <v>2020</v>
      </c>
      <c r="C67" t="s">
        <v>43</v>
      </c>
      <c r="D67" t="s">
        <v>69</v>
      </c>
      <c r="E67" t="s">
        <v>71</v>
      </c>
      <c r="F67" t="s">
        <v>73</v>
      </c>
      <c r="G67">
        <v>145674</v>
      </c>
      <c r="H67">
        <v>109132.57011050818</v>
      </c>
      <c r="I67">
        <v>254806.57011050818</v>
      </c>
      <c r="J67">
        <f>VLOOKUP(C67,'LEAID Match'!$A$2:$B$59,2,FALSE)</f>
        <v>4400035</v>
      </c>
    </row>
    <row r="68" spans="1:10" x14ac:dyDescent="0.2">
      <c r="A68">
        <f t="shared" si="1"/>
        <v>4400035</v>
      </c>
      <c r="B68">
        <v>2021</v>
      </c>
      <c r="C68" t="s">
        <v>43</v>
      </c>
      <c r="D68" t="s">
        <v>69</v>
      </c>
      <c r="E68" t="s">
        <v>71</v>
      </c>
      <c r="F68" t="s">
        <v>73</v>
      </c>
      <c r="G68">
        <v>194193</v>
      </c>
      <c r="H68">
        <v>144013.26232949761</v>
      </c>
      <c r="I68">
        <v>338206.26232949761</v>
      </c>
      <c r="J68">
        <f>VLOOKUP(C68,'LEAID Match'!$A$2:$B$59,2,FALSE)</f>
        <v>4400035</v>
      </c>
    </row>
    <row r="69" spans="1:10" x14ac:dyDescent="0.2">
      <c r="A69">
        <f t="shared" si="1"/>
        <v>4400035</v>
      </c>
      <c r="B69">
        <v>2022</v>
      </c>
      <c r="C69" t="s">
        <v>43</v>
      </c>
      <c r="D69" t="s">
        <v>69</v>
      </c>
      <c r="E69" t="s">
        <v>71</v>
      </c>
      <c r="F69" t="s">
        <v>73</v>
      </c>
      <c r="G69">
        <v>251513</v>
      </c>
      <c r="H69">
        <v>186003.38364900716</v>
      </c>
      <c r="I69">
        <v>437516.38364900718</v>
      </c>
      <c r="J69">
        <f>VLOOKUP(C69,'LEAID Match'!$A$2:$B$59,2,FALSE)</f>
        <v>4400035</v>
      </c>
    </row>
    <row r="70" spans="1:10" x14ac:dyDescent="0.2">
      <c r="A70">
        <f t="shared" si="1"/>
        <v>4400210</v>
      </c>
      <c r="B70">
        <v>2015</v>
      </c>
      <c r="C70" t="s">
        <v>5</v>
      </c>
      <c r="D70" t="s">
        <v>69</v>
      </c>
      <c r="E70" t="s">
        <v>71</v>
      </c>
      <c r="F70" t="s">
        <v>73</v>
      </c>
      <c r="G70">
        <v>4850038</v>
      </c>
      <c r="H70">
        <v>3098555.699269054</v>
      </c>
      <c r="I70">
        <v>7948593.6992690545</v>
      </c>
      <c r="J70">
        <f>VLOOKUP(C70,'LEAID Match'!$A$2:$B$59,2,FALSE)</f>
        <v>4400210</v>
      </c>
    </row>
    <row r="71" spans="1:10" x14ac:dyDescent="0.2">
      <c r="A71">
        <f t="shared" si="1"/>
        <v>4400210</v>
      </c>
      <c r="B71">
        <v>2016</v>
      </c>
      <c r="C71" t="s">
        <v>5</v>
      </c>
      <c r="D71" t="s">
        <v>69</v>
      </c>
      <c r="E71" t="s">
        <v>71</v>
      </c>
      <c r="F71" t="s">
        <v>73</v>
      </c>
      <c r="G71">
        <v>5039744</v>
      </c>
      <c r="H71">
        <v>3223662.5777755938</v>
      </c>
      <c r="I71">
        <v>8263406.5777755938</v>
      </c>
      <c r="J71">
        <f>VLOOKUP(C71,'LEAID Match'!$A$2:$B$59,2,FALSE)</f>
        <v>4400210</v>
      </c>
    </row>
    <row r="72" spans="1:10" x14ac:dyDescent="0.2">
      <c r="A72">
        <f t="shared" si="1"/>
        <v>4400210</v>
      </c>
      <c r="B72">
        <v>2017</v>
      </c>
      <c r="C72" t="s">
        <v>5</v>
      </c>
      <c r="D72" t="s">
        <v>69</v>
      </c>
      <c r="E72" t="s">
        <v>71</v>
      </c>
      <c r="F72" t="s">
        <v>73</v>
      </c>
      <c r="G72">
        <v>4948791</v>
      </c>
      <c r="H72">
        <v>3480075.404139352</v>
      </c>
      <c r="I72">
        <v>8428866.4041393511</v>
      </c>
      <c r="J72">
        <f>VLOOKUP(C72,'LEAID Match'!$A$2:$B$59,2,FALSE)</f>
        <v>4400210</v>
      </c>
    </row>
    <row r="73" spans="1:10" x14ac:dyDescent="0.2">
      <c r="A73">
        <f t="shared" si="1"/>
        <v>4400210</v>
      </c>
      <c r="B73">
        <v>2018</v>
      </c>
      <c r="C73" t="s">
        <v>5</v>
      </c>
      <c r="D73" t="s">
        <v>69</v>
      </c>
      <c r="E73" t="s">
        <v>71</v>
      </c>
      <c r="F73" t="s">
        <v>73</v>
      </c>
      <c r="G73">
        <v>5031192</v>
      </c>
      <c r="H73">
        <v>5031192.0000000009</v>
      </c>
      <c r="I73">
        <v>10062384</v>
      </c>
      <c r="J73">
        <f>VLOOKUP(C73,'LEAID Match'!$A$2:$B$59,2,FALSE)</f>
        <v>4400210</v>
      </c>
    </row>
    <row r="74" spans="1:10" x14ac:dyDescent="0.2">
      <c r="A74">
        <f t="shared" si="1"/>
        <v>4400210</v>
      </c>
      <c r="B74">
        <v>2019</v>
      </c>
      <c r="C74" t="s">
        <v>5</v>
      </c>
      <c r="D74" t="s">
        <v>69</v>
      </c>
      <c r="E74" t="s">
        <v>71</v>
      </c>
      <c r="F74" t="s">
        <v>73</v>
      </c>
      <c r="G74">
        <v>5070688</v>
      </c>
      <c r="H74">
        <v>3517191.3511060611</v>
      </c>
      <c r="I74">
        <v>8587879.3511060607</v>
      </c>
      <c r="J74">
        <f>VLOOKUP(C74,'LEAID Match'!$A$2:$B$59,2,FALSE)</f>
        <v>4400210</v>
      </c>
    </row>
    <row r="75" spans="1:10" x14ac:dyDescent="0.2">
      <c r="A75">
        <f t="shared" si="1"/>
        <v>4400210</v>
      </c>
      <c r="B75">
        <v>2020</v>
      </c>
      <c r="C75" t="s">
        <v>5</v>
      </c>
      <c r="D75" t="s">
        <v>69</v>
      </c>
      <c r="E75" t="s">
        <v>71</v>
      </c>
      <c r="F75" t="s">
        <v>73</v>
      </c>
      <c r="G75">
        <v>4789798</v>
      </c>
      <c r="H75">
        <v>3588306.5341115906</v>
      </c>
      <c r="I75">
        <v>8378104.5341115911</v>
      </c>
      <c r="J75">
        <f>VLOOKUP(C75,'LEAID Match'!$A$2:$B$59,2,FALSE)</f>
        <v>4400210</v>
      </c>
    </row>
    <row r="76" spans="1:10" x14ac:dyDescent="0.2">
      <c r="A76">
        <f t="shared" si="1"/>
        <v>4400210</v>
      </c>
      <c r="B76">
        <v>2021</v>
      </c>
      <c r="C76" t="s">
        <v>5</v>
      </c>
      <c r="D76" t="s">
        <v>69</v>
      </c>
      <c r="E76" t="s">
        <v>71</v>
      </c>
      <c r="F76" t="s">
        <v>73</v>
      </c>
      <c r="G76">
        <v>5228294</v>
      </c>
      <c r="H76">
        <v>3877295.6561654559</v>
      </c>
      <c r="I76">
        <v>9105589.6561654564</v>
      </c>
      <c r="J76">
        <f>VLOOKUP(C76,'LEAID Match'!$A$2:$B$59,2,FALSE)</f>
        <v>4400210</v>
      </c>
    </row>
    <row r="77" spans="1:10" x14ac:dyDescent="0.2">
      <c r="A77">
        <f t="shared" si="1"/>
        <v>4400210</v>
      </c>
      <c r="B77">
        <v>2022</v>
      </c>
      <c r="C77" t="s">
        <v>5</v>
      </c>
      <c r="D77" t="s">
        <v>69</v>
      </c>
      <c r="E77" t="s">
        <v>71</v>
      </c>
      <c r="F77" t="s">
        <v>73</v>
      </c>
      <c r="G77">
        <v>5495859</v>
      </c>
      <c r="H77">
        <v>4064395.7571093692</v>
      </c>
      <c r="I77">
        <v>9560254.7571093701</v>
      </c>
      <c r="J77">
        <f>VLOOKUP(C77,'LEAID Match'!$A$2:$B$59,2,FALSE)</f>
        <v>4400210</v>
      </c>
    </row>
    <row r="78" spans="1:10" x14ac:dyDescent="0.2">
      <c r="A78">
        <f t="shared" si="1"/>
        <v>4400240</v>
      </c>
      <c r="B78">
        <v>2015</v>
      </c>
      <c r="C78" t="s">
        <v>6</v>
      </c>
      <c r="D78" t="s">
        <v>69</v>
      </c>
      <c r="E78" t="s">
        <v>71</v>
      </c>
      <c r="F78" t="s">
        <v>73</v>
      </c>
      <c r="G78">
        <v>10073268</v>
      </c>
      <c r="H78">
        <v>6435533.4889468048</v>
      </c>
      <c r="I78">
        <v>16508801.488946805</v>
      </c>
      <c r="J78">
        <f>VLOOKUP(C78,'LEAID Match'!$A$2:$B$59,2,FALSE)</f>
        <v>4400240</v>
      </c>
    </row>
    <row r="79" spans="1:10" x14ac:dyDescent="0.2">
      <c r="A79">
        <f t="shared" si="1"/>
        <v>4400240</v>
      </c>
      <c r="B79">
        <v>2016</v>
      </c>
      <c r="C79" t="s">
        <v>6</v>
      </c>
      <c r="D79" t="s">
        <v>69</v>
      </c>
      <c r="E79" t="s">
        <v>71</v>
      </c>
      <c r="F79" t="s">
        <v>73</v>
      </c>
      <c r="G79">
        <v>10740991</v>
      </c>
      <c r="H79">
        <v>6870454.2800039956</v>
      </c>
      <c r="I79">
        <v>17611445.280003995</v>
      </c>
      <c r="J79">
        <f>VLOOKUP(C79,'LEAID Match'!$A$2:$B$59,2,FALSE)</f>
        <v>4400240</v>
      </c>
    </row>
    <row r="80" spans="1:10" x14ac:dyDescent="0.2">
      <c r="A80">
        <f t="shared" si="1"/>
        <v>4400240</v>
      </c>
      <c r="B80">
        <v>2017</v>
      </c>
      <c r="C80" t="s">
        <v>6</v>
      </c>
      <c r="D80" t="s">
        <v>69</v>
      </c>
      <c r="E80" t="s">
        <v>71</v>
      </c>
      <c r="F80" t="s">
        <v>73</v>
      </c>
      <c r="G80">
        <v>10852160</v>
      </c>
      <c r="H80">
        <v>7631426.5641416069</v>
      </c>
      <c r="I80">
        <v>18483586.564141609</v>
      </c>
      <c r="J80">
        <f>VLOOKUP(C80,'LEAID Match'!$A$2:$B$59,2,FALSE)</f>
        <v>4400240</v>
      </c>
    </row>
    <row r="81" spans="1:10" x14ac:dyDescent="0.2">
      <c r="A81">
        <f t="shared" si="1"/>
        <v>4400240</v>
      </c>
      <c r="B81">
        <v>2018</v>
      </c>
      <c r="C81" t="s">
        <v>6</v>
      </c>
      <c r="D81" t="s">
        <v>69</v>
      </c>
      <c r="E81" t="s">
        <v>71</v>
      </c>
      <c r="F81" t="s">
        <v>73</v>
      </c>
      <c r="G81">
        <v>11085649</v>
      </c>
      <c r="H81">
        <v>11085649</v>
      </c>
      <c r="I81">
        <v>22171298</v>
      </c>
      <c r="J81">
        <f>VLOOKUP(C81,'LEAID Match'!$A$2:$B$59,2,FALSE)</f>
        <v>4400240</v>
      </c>
    </row>
    <row r="82" spans="1:10" x14ac:dyDescent="0.2">
      <c r="A82">
        <f t="shared" si="1"/>
        <v>4400240</v>
      </c>
      <c r="B82">
        <v>2019</v>
      </c>
      <c r="C82" t="s">
        <v>6</v>
      </c>
      <c r="D82" t="s">
        <v>69</v>
      </c>
      <c r="E82" t="s">
        <v>71</v>
      </c>
      <c r="F82" t="s">
        <v>73</v>
      </c>
      <c r="G82">
        <v>11597002</v>
      </c>
      <c r="H82">
        <v>8044051.4449241795</v>
      </c>
      <c r="I82">
        <v>19641053.444924179</v>
      </c>
      <c r="J82">
        <f>VLOOKUP(C82,'LEAID Match'!$A$2:$B$59,2,FALSE)</f>
        <v>4400240</v>
      </c>
    </row>
    <row r="83" spans="1:10" x14ac:dyDescent="0.2">
      <c r="A83">
        <f t="shared" si="1"/>
        <v>4400240</v>
      </c>
      <c r="B83">
        <v>2020</v>
      </c>
      <c r="C83" t="s">
        <v>6</v>
      </c>
      <c r="D83" t="s">
        <v>69</v>
      </c>
      <c r="E83" t="s">
        <v>71</v>
      </c>
      <c r="F83" t="s">
        <v>73</v>
      </c>
      <c r="G83">
        <v>10773215</v>
      </c>
      <c r="H83">
        <v>8070820.0591943553</v>
      </c>
      <c r="I83">
        <v>18844035.059194356</v>
      </c>
      <c r="J83">
        <f>VLOOKUP(C83,'LEAID Match'!$A$2:$B$59,2,FALSE)</f>
        <v>4400240</v>
      </c>
    </row>
    <row r="84" spans="1:10" x14ac:dyDescent="0.2">
      <c r="A84">
        <f t="shared" si="1"/>
        <v>4400240</v>
      </c>
      <c r="B84">
        <v>2021</v>
      </c>
      <c r="C84" t="s">
        <v>6</v>
      </c>
      <c r="D84" t="s">
        <v>69</v>
      </c>
      <c r="E84" t="s">
        <v>71</v>
      </c>
      <c r="F84" t="s">
        <v>73</v>
      </c>
      <c r="G84">
        <v>12210068</v>
      </c>
      <c r="H84">
        <v>9054969.6742158793</v>
      </c>
      <c r="I84">
        <v>21265037.674215879</v>
      </c>
      <c r="J84">
        <f>VLOOKUP(C84,'LEAID Match'!$A$2:$B$59,2,FALSE)</f>
        <v>4400240</v>
      </c>
    </row>
    <row r="85" spans="1:10" x14ac:dyDescent="0.2">
      <c r="A85">
        <f t="shared" si="1"/>
        <v>4400240</v>
      </c>
      <c r="B85">
        <v>2022</v>
      </c>
      <c r="C85" t="s">
        <v>6</v>
      </c>
      <c r="D85" t="s">
        <v>69</v>
      </c>
      <c r="E85" t="s">
        <v>71</v>
      </c>
      <c r="F85" t="s">
        <v>73</v>
      </c>
      <c r="G85">
        <v>12733950</v>
      </c>
      <c r="H85">
        <v>9417238.0243457574</v>
      </c>
      <c r="I85">
        <v>22151188.024345756</v>
      </c>
      <c r="J85">
        <f>VLOOKUP(C85,'LEAID Match'!$A$2:$B$59,2,FALSE)</f>
        <v>4400240</v>
      </c>
    </row>
    <row r="86" spans="1:10" x14ac:dyDescent="0.2">
      <c r="A86">
        <f t="shared" si="1"/>
        <v>4400270</v>
      </c>
      <c r="B86">
        <v>2015</v>
      </c>
      <c r="C86" t="s">
        <v>7</v>
      </c>
      <c r="D86" t="s">
        <v>69</v>
      </c>
      <c r="E86" t="s">
        <v>71</v>
      </c>
      <c r="F86" t="s">
        <v>73</v>
      </c>
      <c r="G86">
        <v>3765727</v>
      </c>
      <c r="H86">
        <v>2405819.2652802635</v>
      </c>
      <c r="I86">
        <v>6171546.2652802635</v>
      </c>
      <c r="J86">
        <f>VLOOKUP(C86,'LEAID Match'!$A$2:$B$59,2,FALSE)</f>
        <v>4400270</v>
      </c>
    </row>
    <row r="87" spans="1:10" x14ac:dyDescent="0.2">
      <c r="A87">
        <f t="shared" si="1"/>
        <v>4400270</v>
      </c>
      <c r="B87">
        <v>2016</v>
      </c>
      <c r="C87" t="s">
        <v>7</v>
      </c>
      <c r="D87" t="s">
        <v>69</v>
      </c>
      <c r="E87" t="s">
        <v>71</v>
      </c>
      <c r="F87" t="s">
        <v>73</v>
      </c>
      <c r="G87">
        <v>4223527</v>
      </c>
      <c r="H87">
        <v>2701570.9401360112</v>
      </c>
      <c r="I87">
        <v>6925097.9401360117</v>
      </c>
      <c r="J87">
        <f>VLOOKUP(C87,'LEAID Match'!$A$2:$B$59,2,FALSE)</f>
        <v>4400270</v>
      </c>
    </row>
    <row r="88" spans="1:10" x14ac:dyDescent="0.2">
      <c r="A88">
        <f t="shared" si="1"/>
        <v>4400270</v>
      </c>
      <c r="B88">
        <v>2017</v>
      </c>
      <c r="C88" t="s">
        <v>7</v>
      </c>
      <c r="D88" t="s">
        <v>69</v>
      </c>
      <c r="E88" t="s">
        <v>71</v>
      </c>
      <c r="F88" t="s">
        <v>73</v>
      </c>
      <c r="G88">
        <v>4192515</v>
      </c>
      <c r="H88">
        <v>2948249.0436523375</v>
      </c>
      <c r="I88">
        <v>7140764.043652337</v>
      </c>
      <c r="J88">
        <f>VLOOKUP(C88,'LEAID Match'!$A$2:$B$59,2,FALSE)</f>
        <v>4400270</v>
      </c>
    </row>
    <row r="89" spans="1:10" x14ac:dyDescent="0.2">
      <c r="A89">
        <f t="shared" si="1"/>
        <v>4400270</v>
      </c>
      <c r="B89">
        <v>2018</v>
      </c>
      <c r="C89" t="s">
        <v>7</v>
      </c>
      <c r="D89" t="s">
        <v>69</v>
      </c>
      <c r="E89" t="s">
        <v>71</v>
      </c>
      <c r="F89" t="s">
        <v>73</v>
      </c>
      <c r="G89">
        <v>4309643</v>
      </c>
      <c r="H89">
        <v>4309643</v>
      </c>
      <c r="I89">
        <v>8619286</v>
      </c>
      <c r="J89">
        <f>VLOOKUP(C89,'LEAID Match'!$A$2:$B$59,2,FALSE)</f>
        <v>4400270</v>
      </c>
    </row>
    <row r="90" spans="1:10" x14ac:dyDescent="0.2">
      <c r="A90">
        <f t="shared" si="1"/>
        <v>4400270</v>
      </c>
      <c r="B90">
        <v>2019</v>
      </c>
      <c r="C90" t="s">
        <v>7</v>
      </c>
      <c r="D90" t="s">
        <v>69</v>
      </c>
      <c r="E90" t="s">
        <v>71</v>
      </c>
      <c r="F90" t="s">
        <v>73</v>
      </c>
      <c r="G90">
        <v>4587352</v>
      </c>
      <c r="H90">
        <v>3181934.0450209309</v>
      </c>
      <c r="I90">
        <v>7769286.0450209305</v>
      </c>
      <c r="J90">
        <f>VLOOKUP(C90,'LEAID Match'!$A$2:$B$59,2,FALSE)</f>
        <v>4400270</v>
      </c>
    </row>
    <row r="91" spans="1:10" x14ac:dyDescent="0.2">
      <c r="A91">
        <f t="shared" si="1"/>
        <v>4400270</v>
      </c>
      <c r="B91">
        <v>2020</v>
      </c>
      <c r="C91" t="s">
        <v>7</v>
      </c>
      <c r="D91" t="s">
        <v>69</v>
      </c>
      <c r="E91" t="s">
        <v>71</v>
      </c>
      <c r="F91" t="s">
        <v>73</v>
      </c>
      <c r="G91">
        <v>4341190</v>
      </c>
      <c r="H91">
        <v>3252229.1008555889</v>
      </c>
      <c r="I91">
        <v>7593419.1008555889</v>
      </c>
      <c r="J91">
        <f>VLOOKUP(C91,'LEAID Match'!$A$2:$B$59,2,FALSE)</f>
        <v>4400270</v>
      </c>
    </row>
    <row r="92" spans="1:10" x14ac:dyDescent="0.2">
      <c r="A92">
        <f t="shared" si="1"/>
        <v>4400270</v>
      </c>
      <c r="B92">
        <v>2021</v>
      </c>
      <c r="C92" t="s">
        <v>7</v>
      </c>
      <c r="D92" t="s">
        <v>69</v>
      </c>
      <c r="E92" t="s">
        <v>71</v>
      </c>
      <c r="F92" t="s">
        <v>73</v>
      </c>
      <c r="G92">
        <v>4833646</v>
      </c>
      <c r="H92">
        <v>3584625.2408991405</v>
      </c>
      <c r="I92">
        <v>8418271.24089914</v>
      </c>
      <c r="J92">
        <f>VLOOKUP(C92,'LEAID Match'!$A$2:$B$59,2,FALSE)</f>
        <v>4400270</v>
      </c>
    </row>
    <row r="93" spans="1:10" x14ac:dyDescent="0.2">
      <c r="A93">
        <f t="shared" si="1"/>
        <v>4400270</v>
      </c>
      <c r="B93">
        <v>2022</v>
      </c>
      <c r="C93" t="s">
        <v>7</v>
      </c>
      <c r="D93" t="s">
        <v>69</v>
      </c>
      <c r="E93" t="s">
        <v>71</v>
      </c>
      <c r="F93" t="s">
        <v>73</v>
      </c>
      <c r="G93">
        <v>4957780</v>
      </c>
      <c r="H93">
        <v>3666465.9695020719</v>
      </c>
      <c r="I93">
        <v>8624245.9695020728</v>
      </c>
      <c r="J93">
        <f>VLOOKUP(C93,'LEAID Match'!$A$2:$B$59,2,FALSE)</f>
        <v>4400270</v>
      </c>
    </row>
    <row r="94" spans="1:10" x14ac:dyDescent="0.2">
      <c r="A94">
        <f t="shared" si="1"/>
        <v>4400300</v>
      </c>
      <c r="B94">
        <v>2015</v>
      </c>
      <c r="C94" t="s">
        <v>8</v>
      </c>
      <c r="D94" t="s">
        <v>69</v>
      </c>
      <c r="E94" t="s">
        <v>71</v>
      </c>
      <c r="F94" t="s">
        <v>73</v>
      </c>
      <c r="G94">
        <v>2125947</v>
      </c>
      <c r="H94">
        <v>1358208.9858252548</v>
      </c>
      <c r="I94">
        <v>3484155.9858252546</v>
      </c>
      <c r="J94">
        <f>VLOOKUP(C94,'LEAID Match'!$A$2:$B$59,2,FALSE)</f>
        <v>4400300</v>
      </c>
    </row>
    <row r="95" spans="1:10" x14ac:dyDescent="0.2">
      <c r="A95">
        <f t="shared" si="1"/>
        <v>4400300</v>
      </c>
      <c r="B95">
        <v>2016</v>
      </c>
      <c r="C95" t="s">
        <v>8</v>
      </c>
      <c r="D95" t="s">
        <v>69</v>
      </c>
      <c r="E95" t="s">
        <v>71</v>
      </c>
      <c r="F95" t="s">
        <v>73</v>
      </c>
      <c r="G95">
        <v>2347911</v>
      </c>
      <c r="H95">
        <v>1501836.7652499159</v>
      </c>
      <c r="I95">
        <v>3849747.7652499159</v>
      </c>
      <c r="J95">
        <f>VLOOKUP(C95,'LEAID Match'!$A$2:$B$59,2,FALSE)</f>
        <v>4400300</v>
      </c>
    </row>
    <row r="96" spans="1:10" x14ac:dyDescent="0.2">
      <c r="A96">
        <f t="shared" si="1"/>
        <v>4400300</v>
      </c>
      <c r="B96">
        <v>2017</v>
      </c>
      <c r="C96" t="s">
        <v>8</v>
      </c>
      <c r="D96" t="s">
        <v>69</v>
      </c>
      <c r="E96" t="s">
        <v>71</v>
      </c>
      <c r="F96" t="s">
        <v>73</v>
      </c>
      <c r="G96">
        <v>2248280</v>
      </c>
      <c r="H96">
        <v>1581029.3725514824</v>
      </c>
      <c r="I96">
        <v>3829309.3725514822</v>
      </c>
      <c r="J96">
        <f>VLOOKUP(C96,'LEAID Match'!$A$2:$B$59,2,FALSE)</f>
        <v>4400300</v>
      </c>
    </row>
    <row r="97" spans="1:10" x14ac:dyDescent="0.2">
      <c r="A97">
        <f t="shared" si="1"/>
        <v>4400300</v>
      </c>
      <c r="B97">
        <v>2018</v>
      </c>
      <c r="C97" t="s">
        <v>8</v>
      </c>
      <c r="D97" t="s">
        <v>69</v>
      </c>
      <c r="E97" t="s">
        <v>71</v>
      </c>
      <c r="F97" t="s">
        <v>73</v>
      </c>
      <c r="G97">
        <v>2533100</v>
      </c>
      <c r="H97">
        <v>2533100</v>
      </c>
      <c r="I97">
        <v>5066200</v>
      </c>
      <c r="J97">
        <f>VLOOKUP(C97,'LEAID Match'!$A$2:$B$59,2,FALSE)</f>
        <v>4400300</v>
      </c>
    </row>
    <row r="98" spans="1:10" x14ac:dyDescent="0.2">
      <c r="A98">
        <f t="shared" si="1"/>
        <v>4400300</v>
      </c>
      <c r="B98">
        <v>2019</v>
      </c>
      <c r="C98" t="s">
        <v>8</v>
      </c>
      <c r="D98" t="s">
        <v>69</v>
      </c>
      <c r="E98" t="s">
        <v>71</v>
      </c>
      <c r="F98" t="s">
        <v>73</v>
      </c>
      <c r="G98">
        <v>2652750</v>
      </c>
      <c r="H98">
        <v>1840032.2316511299</v>
      </c>
      <c r="I98">
        <v>4492782.2316511301</v>
      </c>
      <c r="J98">
        <f>VLOOKUP(C98,'LEAID Match'!$A$2:$B$59,2,FALSE)</f>
        <v>4400300</v>
      </c>
    </row>
    <row r="99" spans="1:10" x14ac:dyDescent="0.2">
      <c r="A99">
        <f t="shared" si="1"/>
        <v>4400300</v>
      </c>
      <c r="B99">
        <v>2020</v>
      </c>
      <c r="C99" t="s">
        <v>8</v>
      </c>
      <c r="D99" t="s">
        <v>69</v>
      </c>
      <c r="E99" t="s">
        <v>71</v>
      </c>
      <c r="F99" t="s">
        <v>73</v>
      </c>
      <c r="G99">
        <v>2560332</v>
      </c>
      <c r="H99">
        <v>1918088.4131428921</v>
      </c>
      <c r="I99">
        <v>4478420.4131428916</v>
      </c>
      <c r="J99">
        <f>VLOOKUP(C99,'LEAID Match'!$A$2:$B$59,2,FALSE)</f>
        <v>4400300</v>
      </c>
    </row>
    <row r="100" spans="1:10" x14ac:dyDescent="0.2">
      <c r="A100">
        <f t="shared" si="1"/>
        <v>4400300</v>
      </c>
      <c r="B100">
        <v>2021</v>
      </c>
      <c r="C100" t="s">
        <v>8</v>
      </c>
      <c r="D100" t="s">
        <v>69</v>
      </c>
      <c r="E100" t="s">
        <v>71</v>
      </c>
      <c r="F100" t="s">
        <v>73</v>
      </c>
      <c r="G100">
        <v>2824167</v>
      </c>
      <c r="H100">
        <v>2094398.3718945086</v>
      </c>
      <c r="I100">
        <v>4918565.3718945086</v>
      </c>
      <c r="J100">
        <f>VLOOKUP(C100,'LEAID Match'!$A$2:$B$59,2,FALSE)</f>
        <v>4400300</v>
      </c>
    </row>
    <row r="101" spans="1:10" x14ac:dyDescent="0.2">
      <c r="A101">
        <f t="shared" si="1"/>
        <v>4400300</v>
      </c>
      <c r="B101">
        <v>2022</v>
      </c>
      <c r="C101" t="s">
        <v>8</v>
      </c>
      <c r="D101" t="s">
        <v>69</v>
      </c>
      <c r="E101" t="s">
        <v>71</v>
      </c>
      <c r="F101" t="s">
        <v>73</v>
      </c>
      <c r="G101">
        <v>2995818</v>
      </c>
      <c r="H101">
        <v>2215520.8072608621</v>
      </c>
      <c r="I101">
        <v>5211338.8072608616</v>
      </c>
      <c r="J101">
        <f>VLOOKUP(C101,'LEAID Match'!$A$2:$B$59,2,FALSE)</f>
        <v>4400300</v>
      </c>
    </row>
    <row r="102" spans="1:10" x14ac:dyDescent="0.2">
      <c r="A102">
        <f t="shared" si="1"/>
        <v>4400330</v>
      </c>
      <c r="B102">
        <v>2015</v>
      </c>
      <c r="C102" t="s">
        <v>9</v>
      </c>
      <c r="D102" t="s">
        <v>69</v>
      </c>
      <c r="E102" t="s">
        <v>71</v>
      </c>
      <c r="F102" t="s">
        <v>73</v>
      </c>
      <c r="G102">
        <v>4418964</v>
      </c>
      <c r="H102">
        <v>2823154.3932366669</v>
      </c>
      <c r="I102">
        <v>7242118.3932366669</v>
      </c>
      <c r="J102">
        <f>VLOOKUP(C102,'LEAID Match'!$A$2:$B$59,2,FALSE)</f>
        <v>4400330</v>
      </c>
    </row>
    <row r="103" spans="1:10" x14ac:dyDescent="0.2">
      <c r="A103">
        <f t="shared" si="1"/>
        <v>4400330</v>
      </c>
      <c r="B103">
        <v>2016</v>
      </c>
      <c r="C103" t="s">
        <v>9</v>
      </c>
      <c r="D103" t="s">
        <v>69</v>
      </c>
      <c r="E103" t="s">
        <v>71</v>
      </c>
      <c r="F103" t="s">
        <v>73</v>
      </c>
      <c r="G103">
        <v>4818824</v>
      </c>
      <c r="H103">
        <v>3082351.523745432</v>
      </c>
      <c r="I103">
        <v>7901175.5237454325</v>
      </c>
      <c r="J103">
        <f>VLOOKUP(C103,'LEAID Match'!$A$2:$B$59,2,FALSE)</f>
        <v>4400330</v>
      </c>
    </row>
    <row r="104" spans="1:10" x14ac:dyDescent="0.2">
      <c r="A104">
        <f t="shared" si="1"/>
        <v>4400330</v>
      </c>
      <c r="B104">
        <v>2017</v>
      </c>
      <c r="C104" t="s">
        <v>9</v>
      </c>
      <c r="D104" t="s">
        <v>69</v>
      </c>
      <c r="E104" t="s">
        <v>71</v>
      </c>
      <c r="F104" t="s">
        <v>73</v>
      </c>
      <c r="G104">
        <v>5058545</v>
      </c>
      <c r="H104">
        <v>3557256.3147710413</v>
      </c>
      <c r="I104">
        <v>8615801.3147710413</v>
      </c>
      <c r="J104">
        <f>VLOOKUP(C104,'LEAID Match'!$A$2:$B$59,2,FALSE)</f>
        <v>4400330</v>
      </c>
    </row>
    <row r="105" spans="1:10" x14ac:dyDescent="0.2">
      <c r="A105">
        <f t="shared" si="1"/>
        <v>4400330</v>
      </c>
      <c r="B105">
        <v>2018</v>
      </c>
      <c r="C105" t="s">
        <v>9</v>
      </c>
      <c r="D105" t="s">
        <v>69</v>
      </c>
      <c r="E105" t="s">
        <v>71</v>
      </c>
      <c r="F105" t="s">
        <v>73</v>
      </c>
      <c r="G105">
        <v>5272813</v>
      </c>
      <c r="H105">
        <v>5272813</v>
      </c>
      <c r="I105">
        <v>10545626</v>
      </c>
      <c r="J105">
        <f>VLOOKUP(C105,'LEAID Match'!$A$2:$B$59,2,FALSE)</f>
        <v>4400330</v>
      </c>
    </row>
    <row r="106" spans="1:10" x14ac:dyDescent="0.2">
      <c r="A106">
        <f t="shared" si="1"/>
        <v>4400330</v>
      </c>
      <c r="B106">
        <v>2019</v>
      </c>
      <c r="C106" t="s">
        <v>9</v>
      </c>
      <c r="D106" t="s">
        <v>69</v>
      </c>
      <c r="E106" t="s">
        <v>71</v>
      </c>
      <c r="F106" t="s">
        <v>73</v>
      </c>
      <c r="G106">
        <v>5607265</v>
      </c>
      <c r="H106">
        <v>3889378.3173722639</v>
      </c>
      <c r="I106">
        <v>9496643.3173722643</v>
      </c>
      <c r="J106">
        <f>VLOOKUP(C106,'LEAID Match'!$A$2:$B$59,2,FALSE)</f>
        <v>4400330</v>
      </c>
    </row>
    <row r="107" spans="1:10" x14ac:dyDescent="0.2">
      <c r="A107">
        <f t="shared" si="1"/>
        <v>4400330</v>
      </c>
      <c r="B107">
        <v>2020</v>
      </c>
      <c r="C107" t="s">
        <v>9</v>
      </c>
      <c r="D107" t="s">
        <v>69</v>
      </c>
      <c r="E107" t="s">
        <v>71</v>
      </c>
      <c r="F107" t="s">
        <v>73</v>
      </c>
      <c r="G107">
        <v>5042374</v>
      </c>
      <c r="H107">
        <v>3777525.3928525588</v>
      </c>
      <c r="I107">
        <v>8819899.3928525597</v>
      </c>
      <c r="J107">
        <f>VLOOKUP(C107,'LEAID Match'!$A$2:$B$59,2,FALSE)</f>
        <v>4400330</v>
      </c>
    </row>
    <row r="108" spans="1:10" x14ac:dyDescent="0.2">
      <c r="A108">
        <f t="shared" si="1"/>
        <v>4400330</v>
      </c>
      <c r="B108">
        <v>2021</v>
      </c>
      <c r="C108" t="s">
        <v>9</v>
      </c>
      <c r="D108" t="s">
        <v>69</v>
      </c>
      <c r="E108" t="s">
        <v>71</v>
      </c>
      <c r="F108" t="s">
        <v>73</v>
      </c>
      <c r="G108">
        <v>5529672</v>
      </c>
      <c r="H108">
        <v>4100797.1674163211</v>
      </c>
      <c r="I108">
        <v>9630469.1674163211</v>
      </c>
      <c r="J108">
        <f>VLOOKUP(C108,'LEAID Match'!$A$2:$B$59,2,FALSE)</f>
        <v>4400330</v>
      </c>
    </row>
    <row r="109" spans="1:10" x14ac:dyDescent="0.2">
      <c r="A109">
        <f t="shared" si="1"/>
        <v>4400330</v>
      </c>
      <c r="B109">
        <v>2022</v>
      </c>
      <c r="C109" t="s">
        <v>9</v>
      </c>
      <c r="D109" t="s">
        <v>69</v>
      </c>
      <c r="E109" t="s">
        <v>71</v>
      </c>
      <c r="F109" t="s">
        <v>73</v>
      </c>
      <c r="G109">
        <v>5913064</v>
      </c>
      <c r="H109">
        <v>4372934.6464522025</v>
      </c>
      <c r="I109">
        <v>10285998.646452203</v>
      </c>
      <c r="J109">
        <f>VLOOKUP(C109,'LEAID Match'!$A$2:$B$59,2,FALSE)</f>
        <v>4400330</v>
      </c>
    </row>
    <row r="110" spans="1:10" x14ac:dyDescent="0.2">
      <c r="A110">
        <f t="shared" si="1"/>
        <v>4400360</v>
      </c>
      <c r="B110">
        <v>2015</v>
      </c>
      <c r="C110" t="s">
        <v>10</v>
      </c>
      <c r="D110" t="s">
        <v>69</v>
      </c>
      <c r="E110" t="s">
        <v>71</v>
      </c>
      <c r="F110" t="s">
        <v>73</v>
      </c>
      <c r="G110">
        <v>1855459</v>
      </c>
      <c r="H110">
        <v>1185401.6523602619</v>
      </c>
      <c r="I110">
        <v>3040860.6523602619</v>
      </c>
      <c r="J110">
        <f>VLOOKUP(C110,'LEAID Match'!$A$2:$B$59,2,FALSE)</f>
        <v>4400360</v>
      </c>
    </row>
    <row r="111" spans="1:10" x14ac:dyDescent="0.2">
      <c r="A111">
        <f t="shared" si="1"/>
        <v>4400360</v>
      </c>
      <c r="B111">
        <v>2016</v>
      </c>
      <c r="C111" t="s">
        <v>10</v>
      </c>
      <c r="D111" t="s">
        <v>69</v>
      </c>
      <c r="E111" t="s">
        <v>71</v>
      </c>
      <c r="F111" t="s">
        <v>73</v>
      </c>
      <c r="G111">
        <v>1901465</v>
      </c>
      <c r="H111">
        <v>1216268.4381290141</v>
      </c>
      <c r="I111">
        <v>3117733.4381290143</v>
      </c>
      <c r="J111">
        <f>VLOOKUP(C111,'LEAID Match'!$A$2:$B$59,2,FALSE)</f>
        <v>4400360</v>
      </c>
    </row>
    <row r="112" spans="1:10" x14ac:dyDescent="0.2">
      <c r="A112">
        <f t="shared" si="1"/>
        <v>4400360</v>
      </c>
      <c r="B112">
        <v>2017</v>
      </c>
      <c r="C112" t="s">
        <v>10</v>
      </c>
      <c r="D112" t="s">
        <v>69</v>
      </c>
      <c r="E112" t="s">
        <v>71</v>
      </c>
      <c r="F112" t="s">
        <v>73</v>
      </c>
      <c r="G112">
        <v>1890191</v>
      </c>
      <c r="H112">
        <v>1329214.9957889849</v>
      </c>
      <c r="I112">
        <v>3219405.9957889849</v>
      </c>
      <c r="J112">
        <f>VLOOKUP(C112,'LEAID Match'!$A$2:$B$59,2,FALSE)</f>
        <v>4400360</v>
      </c>
    </row>
    <row r="113" spans="1:10" x14ac:dyDescent="0.2">
      <c r="A113">
        <f t="shared" si="1"/>
        <v>4400360</v>
      </c>
      <c r="B113">
        <v>2018</v>
      </c>
      <c r="C113" t="s">
        <v>10</v>
      </c>
      <c r="D113" t="s">
        <v>69</v>
      </c>
      <c r="E113" t="s">
        <v>71</v>
      </c>
      <c r="F113" t="s">
        <v>73</v>
      </c>
      <c r="G113">
        <v>1871063</v>
      </c>
      <c r="H113">
        <v>1871063</v>
      </c>
      <c r="I113">
        <v>3742126</v>
      </c>
      <c r="J113">
        <f>VLOOKUP(C113,'LEAID Match'!$A$2:$B$59,2,FALSE)</f>
        <v>4400360</v>
      </c>
    </row>
    <row r="114" spans="1:10" x14ac:dyDescent="0.2">
      <c r="A114">
        <f t="shared" si="1"/>
        <v>4400360</v>
      </c>
      <c r="B114">
        <v>2019</v>
      </c>
      <c r="C114" t="s">
        <v>10</v>
      </c>
      <c r="D114" t="s">
        <v>69</v>
      </c>
      <c r="E114" t="s">
        <v>71</v>
      </c>
      <c r="F114" t="s">
        <v>73</v>
      </c>
      <c r="G114">
        <v>1898176</v>
      </c>
      <c r="H114">
        <v>1316635.5749115502</v>
      </c>
      <c r="I114">
        <v>3214811.5749115502</v>
      </c>
      <c r="J114">
        <f>VLOOKUP(C114,'LEAID Match'!$A$2:$B$59,2,FALSE)</f>
        <v>4400360</v>
      </c>
    </row>
    <row r="115" spans="1:10" x14ac:dyDescent="0.2">
      <c r="A115">
        <f t="shared" si="1"/>
        <v>4400360</v>
      </c>
      <c r="B115">
        <v>2020</v>
      </c>
      <c r="C115" t="s">
        <v>10</v>
      </c>
      <c r="D115" t="s">
        <v>69</v>
      </c>
      <c r="E115" t="s">
        <v>71</v>
      </c>
      <c r="F115" t="s">
        <v>73</v>
      </c>
      <c r="G115">
        <v>1826493</v>
      </c>
      <c r="H115">
        <v>1368328.4277142966</v>
      </c>
      <c r="I115">
        <v>3194821.4277142966</v>
      </c>
      <c r="J115">
        <f>VLOOKUP(C115,'LEAID Match'!$A$2:$B$59,2,FALSE)</f>
        <v>4400360</v>
      </c>
    </row>
    <row r="116" spans="1:10" x14ac:dyDescent="0.2">
      <c r="A116">
        <f t="shared" si="1"/>
        <v>4400360</v>
      </c>
      <c r="B116">
        <v>2021</v>
      </c>
      <c r="C116" t="s">
        <v>10</v>
      </c>
      <c r="D116" t="s">
        <v>69</v>
      </c>
      <c r="E116" t="s">
        <v>71</v>
      </c>
      <c r="F116" t="s">
        <v>73</v>
      </c>
      <c r="G116">
        <v>1969320</v>
      </c>
      <c r="H116">
        <v>1460445.0097105778</v>
      </c>
      <c r="I116">
        <v>3429765.0097105778</v>
      </c>
      <c r="J116">
        <f>VLOOKUP(C116,'LEAID Match'!$A$2:$B$59,2,FALSE)</f>
        <v>4400360</v>
      </c>
    </row>
    <row r="117" spans="1:10" x14ac:dyDescent="0.2">
      <c r="A117">
        <f t="shared" si="1"/>
        <v>4400360</v>
      </c>
      <c r="B117">
        <v>2022</v>
      </c>
      <c r="C117" t="s">
        <v>10</v>
      </c>
      <c r="D117" t="s">
        <v>69</v>
      </c>
      <c r="E117" t="s">
        <v>71</v>
      </c>
      <c r="F117" t="s">
        <v>73</v>
      </c>
      <c r="G117">
        <v>2071969</v>
      </c>
      <c r="H117">
        <v>1532299.5026732204</v>
      </c>
      <c r="I117">
        <v>3604268.5026732204</v>
      </c>
      <c r="J117">
        <f>VLOOKUP(C117,'LEAID Match'!$A$2:$B$59,2,FALSE)</f>
        <v>4400360</v>
      </c>
    </row>
    <row r="118" spans="1:10" x14ac:dyDescent="0.2">
      <c r="A118">
        <f t="shared" si="1"/>
        <v>4400390</v>
      </c>
      <c r="B118">
        <v>2015</v>
      </c>
      <c r="C118" t="s">
        <v>11</v>
      </c>
      <c r="D118" t="s">
        <v>69</v>
      </c>
      <c r="E118" t="s">
        <v>71</v>
      </c>
      <c r="F118" t="s">
        <v>73</v>
      </c>
      <c r="G118">
        <v>247872</v>
      </c>
      <c r="H118">
        <v>158358.59395106163</v>
      </c>
      <c r="I118">
        <v>406230.5939510616</v>
      </c>
      <c r="J118">
        <f>VLOOKUP(C118,'LEAID Match'!$A$2:$B$59,2,FALSE)</f>
        <v>4400390</v>
      </c>
    </row>
    <row r="119" spans="1:10" x14ac:dyDescent="0.2">
      <c r="A119">
        <f t="shared" si="1"/>
        <v>4400390</v>
      </c>
      <c r="B119">
        <v>2016</v>
      </c>
      <c r="C119" t="s">
        <v>11</v>
      </c>
      <c r="D119" t="s">
        <v>69</v>
      </c>
      <c r="E119" t="s">
        <v>71</v>
      </c>
      <c r="F119" t="s">
        <v>73</v>
      </c>
      <c r="G119">
        <v>234490</v>
      </c>
      <c r="H119">
        <v>149991.07848783568</v>
      </c>
      <c r="I119">
        <v>384481.07848783571</v>
      </c>
      <c r="J119">
        <f>VLOOKUP(C119,'LEAID Match'!$A$2:$B$59,2,FALSE)</f>
        <v>4400390</v>
      </c>
    </row>
    <row r="120" spans="1:10" x14ac:dyDescent="0.2">
      <c r="A120">
        <f t="shared" si="1"/>
        <v>4400390</v>
      </c>
      <c r="B120">
        <v>2017</v>
      </c>
      <c r="C120" t="s">
        <v>11</v>
      </c>
      <c r="D120" t="s">
        <v>69</v>
      </c>
      <c r="E120" t="s">
        <v>71</v>
      </c>
      <c r="F120" t="s">
        <v>73</v>
      </c>
      <c r="G120">
        <v>239770</v>
      </c>
      <c r="H120">
        <v>168610.41002751832</v>
      </c>
      <c r="I120">
        <v>408380.41002751829</v>
      </c>
      <c r="J120">
        <f>VLOOKUP(C120,'LEAID Match'!$A$2:$B$59,2,FALSE)</f>
        <v>4400390</v>
      </c>
    </row>
    <row r="121" spans="1:10" x14ac:dyDescent="0.2">
      <c r="A121">
        <f t="shared" si="1"/>
        <v>4400390</v>
      </c>
      <c r="B121">
        <v>2018</v>
      </c>
      <c r="C121" t="s">
        <v>11</v>
      </c>
      <c r="D121" t="s">
        <v>69</v>
      </c>
      <c r="E121" t="s">
        <v>71</v>
      </c>
      <c r="F121" t="s">
        <v>73</v>
      </c>
      <c r="G121">
        <v>235000</v>
      </c>
      <c r="H121">
        <v>235000</v>
      </c>
      <c r="I121">
        <v>470000</v>
      </c>
      <c r="J121">
        <f>VLOOKUP(C121,'LEAID Match'!$A$2:$B$59,2,FALSE)</f>
        <v>4400390</v>
      </c>
    </row>
    <row r="122" spans="1:10" x14ac:dyDescent="0.2">
      <c r="A122">
        <f t="shared" si="1"/>
        <v>4400390</v>
      </c>
      <c r="B122">
        <v>2019</v>
      </c>
      <c r="C122" t="s">
        <v>11</v>
      </c>
      <c r="D122" t="s">
        <v>69</v>
      </c>
      <c r="E122" t="s">
        <v>71</v>
      </c>
      <c r="F122" t="s">
        <v>73</v>
      </c>
      <c r="G122">
        <v>254951</v>
      </c>
      <c r="H122">
        <v>176842.16661641211</v>
      </c>
      <c r="I122">
        <v>431793.16661641211</v>
      </c>
      <c r="J122">
        <f>VLOOKUP(C122,'LEAID Match'!$A$2:$B$59,2,FALSE)</f>
        <v>4400390</v>
      </c>
    </row>
    <row r="123" spans="1:10" x14ac:dyDescent="0.2">
      <c r="A123">
        <f t="shared" si="1"/>
        <v>4400390</v>
      </c>
      <c r="B123">
        <v>2020</v>
      </c>
      <c r="C123" t="s">
        <v>11</v>
      </c>
      <c r="D123" t="s">
        <v>69</v>
      </c>
      <c r="E123" t="s">
        <v>71</v>
      </c>
      <c r="F123" t="s">
        <v>73</v>
      </c>
      <c r="G123">
        <v>239871</v>
      </c>
      <c r="H123">
        <v>179700.83010679812</v>
      </c>
      <c r="I123">
        <v>419571.83010679809</v>
      </c>
      <c r="J123">
        <f>VLOOKUP(C123,'LEAID Match'!$A$2:$B$59,2,FALSE)</f>
        <v>4400390</v>
      </c>
    </row>
    <row r="124" spans="1:10" x14ac:dyDescent="0.2">
      <c r="A124">
        <f t="shared" si="1"/>
        <v>4400390</v>
      </c>
      <c r="B124">
        <v>2021</v>
      </c>
      <c r="C124" t="s">
        <v>11</v>
      </c>
      <c r="D124" t="s">
        <v>69</v>
      </c>
      <c r="E124" t="s">
        <v>71</v>
      </c>
      <c r="F124" t="s">
        <v>73</v>
      </c>
      <c r="G124">
        <v>234793</v>
      </c>
      <c r="H124">
        <v>174122.16661841431</v>
      </c>
      <c r="I124">
        <v>408915.16661841434</v>
      </c>
      <c r="J124">
        <f>VLOOKUP(C124,'LEAID Match'!$A$2:$B$59,2,FALSE)</f>
        <v>4400390</v>
      </c>
    </row>
    <row r="125" spans="1:10" x14ac:dyDescent="0.2">
      <c r="A125">
        <f t="shared" si="1"/>
        <v>4400390</v>
      </c>
      <c r="B125">
        <v>2022</v>
      </c>
      <c r="C125" t="s">
        <v>11</v>
      </c>
      <c r="D125" t="s">
        <v>69</v>
      </c>
      <c r="E125" t="s">
        <v>71</v>
      </c>
      <c r="F125" t="s">
        <v>73</v>
      </c>
      <c r="G125">
        <v>252804</v>
      </c>
      <c r="H125">
        <v>186958.1270153177</v>
      </c>
      <c r="I125">
        <v>439762.12701531767</v>
      </c>
      <c r="J125">
        <f>VLOOKUP(C125,'LEAID Match'!$A$2:$B$59,2,FALSE)</f>
        <v>4400390</v>
      </c>
    </row>
    <row r="126" spans="1:10" x14ac:dyDescent="0.2">
      <c r="A126">
        <f t="shared" si="1"/>
        <v>4400420</v>
      </c>
      <c r="B126">
        <v>2015</v>
      </c>
      <c r="C126" t="s">
        <v>12</v>
      </c>
      <c r="D126" t="s">
        <v>69</v>
      </c>
      <c r="E126" t="s">
        <v>71</v>
      </c>
      <c r="F126" t="s">
        <v>73</v>
      </c>
      <c r="G126">
        <v>1153736</v>
      </c>
      <c r="H126">
        <v>737090.15439711639</v>
      </c>
      <c r="I126">
        <v>1890826.1543971165</v>
      </c>
      <c r="J126">
        <f>VLOOKUP(C126,'LEAID Match'!$A$2:$B$59,2,FALSE)</f>
        <v>4400420</v>
      </c>
    </row>
    <row r="127" spans="1:10" x14ac:dyDescent="0.2">
      <c r="A127">
        <f t="shared" si="1"/>
        <v>4400420</v>
      </c>
      <c r="B127">
        <v>2016</v>
      </c>
      <c r="C127" t="s">
        <v>12</v>
      </c>
      <c r="D127" t="s">
        <v>69</v>
      </c>
      <c r="E127" t="s">
        <v>71</v>
      </c>
      <c r="F127" t="s">
        <v>73</v>
      </c>
      <c r="G127">
        <v>1203084</v>
      </c>
      <c r="H127">
        <v>769550.37174915487</v>
      </c>
      <c r="I127">
        <v>1972634.3717491548</v>
      </c>
      <c r="J127">
        <f>VLOOKUP(C127,'LEAID Match'!$A$2:$B$59,2,FALSE)</f>
        <v>4400420</v>
      </c>
    </row>
    <row r="128" spans="1:10" x14ac:dyDescent="0.2">
      <c r="A128">
        <f t="shared" si="1"/>
        <v>4400420</v>
      </c>
      <c r="B128">
        <v>2017</v>
      </c>
      <c r="C128" t="s">
        <v>12</v>
      </c>
      <c r="D128" t="s">
        <v>69</v>
      </c>
      <c r="E128" t="s">
        <v>71</v>
      </c>
      <c r="F128" t="s">
        <v>73</v>
      </c>
      <c r="G128">
        <v>1195663</v>
      </c>
      <c r="H128">
        <v>840810.89662898879</v>
      </c>
      <c r="I128">
        <v>2036473.8966289889</v>
      </c>
      <c r="J128">
        <f>VLOOKUP(C128,'LEAID Match'!$A$2:$B$59,2,FALSE)</f>
        <v>4400420</v>
      </c>
    </row>
    <row r="129" spans="1:10" x14ac:dyDescent="0.2">
      <c r="A129">
        <f t="shared" si="1"/>
        <v>4400420</v>
      </c>
      <c r="B129">
        <v>2018</v>
      </c>
      <c r="C129" t="s">
        <v>12</v>
      </c>
      <c r="D129" t="s">
        <v>69</v>
      </c>
      <c r="E129" t="s">
        <v>71</v>
      </c>
      <c r="F129" t="s">
        <v>73</v>
      </c>
      <c r="G129">
        <v>1256102</v>
      </c>
      <c r="H129">
        <v>1256102</v>
      </c>
      <c r="I129">
        <v>2512204</v>
      </c>
      <c r="J129">
        <f>VLOOKUP(C129,'LEAID Match'!$A$2:$B$59,2,FALSE)</f>
        <v>4400420</v>
      </c>
    </row>
    <row r="130" spans="1:10" x14ac:dyDescent="0.2">
      <c r="A130">
        <f t="shared" si="1"/>
        <v>4400420</v>
      </c>
      <c r="B130">
        <v>2019</v>
      </c>
      <c r="C130" t="s">
        <v>12</v>
      </c>
      <c r="D130" t="s">
        <v>69</v>
      </c>
      <c r="E130" t="s">
        <v>71</v>
      </c>
      <c r="F130" t="s">
        <v>73</v>
      </c>
      <c r="G130">
        <v>1330334</v>
      </c>
      <c r="H130">
        <v>922762.20482946909</v>
      </c>
      <c r="I130">
        <v>2253096.2048294693</v>
      </c>
      <c r="J130">
        <f>VLOOKUP(C130,'LEAID Match'!$A$2:$B$59,2,FALSE)</f>
        <v>4400420</v>
      </c>
    </row>
    <row r="131" spans="1:10" x14ac:dyDescent="0.2">
      <c r="A131">
        <f t="shared" ref="A131:A194" si="2">J131</f>
        <v>4400420</v>
      </c>
      <c r="B131">
        <v>2020</v>
      </c>
      <c r="C131" t="s">
        <v>12</v>
      </c>
      <c r="D131" t="s">
        <v>69</v>
      </c>
      <c r="E131" t="s">
        <v>71</v>
      </c>
      <c r="F131" t="s">
        <v>73</v>
      </c>
      <c r="G131">
        <v>1305738</v>
      </c>
      <c r="H131">
        <v>978201.62713287713</v>
      </c>
      <c r="I131">
        <v>2283939.6271328772</v>
      </c>
      <c r="J131">
        <f>VLOOKUP(C131,'LEAID Match'!$A$2:$B$59,2,FALSE)</f>
        <v>4400420</v>
      </c>
    </row>
    <row r="132" spans="1:10" x14ac:dyDescent="0.2">
      <c r="A132">
        <f t="shared" si="2"/>
        <v>4400420</v>
      </c>
      <c r="B132">
        <v>2021</v>
      </c>
      <c r="C132" t="s">
        <v>12</v>
      </c>
      <c r="D132" t="s">
        <v>69</v>
      </c>
      <c r="E132" t="s">
        <v>71</v>
      </c>
      <c r="F132" t="s">
        <v>73</v>
      </c>
      <c r="G132">
        <v>1596641</v>
      </c>
      <c r="H132">
        <v>1184066.7746985289</v>
      </c>
      <c r="I132">
        <v>2780707.7746985289</v>
      </c>
      <c r="J132">
        <f>VLOOKUP(C132,'LEAID Match'!$A$2:$B$59,2,FALSE)</f>
        <v>4400420</v>
      </c>
    </row>
    <row r="133" spans="1:10" x14ac:dyDescent="0.2">
      <c r="A133">
        <f t="shared" si="2"/>
        <v>4400420</v>
      </c>
      <c r="B133">
        <v>2022</v>
      </c>
      <c r="C133" t="s">
        <v>12</v>
      </c>
      <c r="D133" t="s">
        <v>69</v>
      </c>
      <c r="E133" t="s">
        <v>71</v>
      </c>
      <c r="F133" t="s">
        <v>73</v>
      </c>
      <c r="G133">
        <v>1668740</v>
      </c>
      <c r="H133">
        <v>1234096.3943432115</v>
      </c>
      <c r="I133">
        <v>2902836.3943432113</v>
      </c>
      <c r="J133">
        <f>VLOOKUP(C133,'LEAID Match'!$A$2:$B$59,2,FALSE)</f>
        <v>4400420</v>
      </c>
    </row>
    <row r="134" spans="1:10" x14ac:dyDescent="0.2">
      <c r="A134">
        <f t="shared" si="2"/>
        <v>4400450</v>
      </c>
      <c r="B134">
        <v>2015</v>
      </c>
      <c r="C134" t="s">
        <v>13</v>
      </c>
      <c r="D134" t="s">
        <v>69</v>
      </c>
      <c r="E134" t="s">
        <v>71</v>
      </c>
      <c r="F134" t="s">
        <v>73</v>
      </c>
      <c r="G134">
        <v>541267</v>
      </c>
      <c r="H134">
        <v>345800.57881531294</v>
      </c>
      <c r="I134">
        <v>887067.57881531294</v>
      </c>
      <c r="J134">
        <f>VLOOKUP(C134,'LEAID Match'!$A$2:$B$59,2,FALSE)</f>
        <v>4400450</v>
      </c>
    </row>
    <row r="135" spans="1:10" x14ac:dyDescent="0.2">
      <c r="A135">
        <f t="shared" si="2"/>
        <v>4400450</v>
      </c>
      <c r="B135">
        <v>2016</v>
      </c>
      <c r="C135" t="s">
        <v>13</v>
      </c>
      <c r="D135" t="s">
        <v>69</v>
      </c>
      <c r="E135" t="s">
        <v>71</v>
      </c>
      <c r="F135" t="s">
        <v>73</v>
      </c>
      <c r="G135">
        <v>544972</v>
      </c>
      <c r="H135">
        <v>348590.2939386447</v>
      </c>
      <c r="I135">
        <v>893562.2939386447</v>
      </c>
      <c r="J135">
        <f>VLOOKUP(C135,'LEAID Match'!$A$2:$B$59,2,FALSE)</f>
        <v>4400450</v>
      </c>
    </row>
    <row r="136" spans="1:10" x14ac:dyDescent="0.2">
      <c r="A136">
        <f t="shared" si="2"/>
        <v>4400450</v>
      </c>
      <c r="B136">
        <v>2017</v>
      </c>
      <c r="C136" t="s">
        <v>13</v>
      </c>
      <c r="D136" t="s">
        <v>69</v>
      </c>
      <c r="E136" t="s">
        <v>71</v>
      </c>
      <c r="F136" t="s">
        <v>73</v>
      </c>
      <c r="G136">
        <v>554011</v>
      </c>
      <c r="H136">
        <v>389590.11498417426</v>
      </c>
      <c r="I136">
        <v>943601.11498417426</v>
      </c>
      <c r="J136">
        <f>VLOOKUP(C136,'LEAID Match'!$A$2:$B$59,2,FALSE)</f>
        <v>4400450</v>
      </c>
    </row>
    <row r="137" spans="1:10" x14ac:dyDescent="0.2">
      <c r="A137">
        <f t="shared" si="2"/>
        <v>4400450</v>
      </c>
      <c r="B137">
        <v>2018</v>
      </c>
      <c r="C137" t="s">
        <v>13</v>
      </c>
      <c r="D137" t="s">
        <v>69</v>
      </c>
      <c r="E137" t="s">
        <v>71</v>
      </c>
      <c r="F137" t="s">
        <v>73</v>
      </c>
      <c r="G137">
        <v>546153</v>
      </c>
      <c r="H137">
        <v>546153</v>
      </c>
      <c r="I137">
        <v>1092306</v>
      </c>
      <c r="J137">
        <f>VLOOKUP(C137,'LEAID Match'!$A$2:$B$59,2,FALSE)</f>
        <v>4400450</v>
      </c>
    </row>
    <row r="138" spans="1:10" x14ac:dyDescent="0.2">
      <c r="A138">
        <f t="shared" si="2"/>
        <v>4400450</v>
      </c>
      <c r="B138">
        <v>2019</v>
      </c>
      <c r="C138" t="s">
        <v>13</v>
      </c>
      <c r="D138" t="s">
        <v>69</v>
      </c>
      <c r="E138" t="s">
        <v>71</v>
      </c>
      <c r="F138" t="s">
        <v>73</v>
      </c>
      <c r="G138">
        <v>561924</v>
      </c>
      <c r="H138">
        <v>389768.45603178948</v>
      </c>
      <c r="I138">
        <v>951692.45603178954</v>
      </c>
      <c r="J138">
        <f>VLOOKUP(C138,'LEAID Match'!$A$2:$B$59,2,FALSE)</f>
        <v>4400450</v>
      </c>
    </row>
    <row r="139" spans="1:10" x14ac:dyDescent="0.2">
      <c r="A139">
        <f t="shared" si="2"/>
        <v>4400450</v>
      </c>
      <c r="B139">
        <v>2020</v>
      </c>
      <c r="C139" t="s">
        <v>13</v>
      </c>
      <c r="D139" t="s">
        <v>69</v>
      </c>
      <c r="E139" t="s">
        <v>71</v>
      </c>
      <c r="F139" t="s">
        <v>73</v>
      </c>
      <c r="G139">
        <v>547567</v>
      </c>
      <c r="H139">
        <v>410213.17474429641</v>
      </c>
      <c r="I139">
        <v>957780.17474429635</v>
      </c>
      <c r="J139">
        <f>VLOOKUP(C139,'LEAID Match'!$A$2:$B$59,2,FALSE)</f>
        <v>4400450</v>
      </c>
    </row>
    <row r="140" spans="1:10" x14ac:dyDescent="0.2">
      <c r="A140">
        <f t="shared" si="2"/>
        <v>4400450</v>
      </c>
      <c r="B140">
        <v>2021</v>
      </c>
      <c r="C140" t="s">
        <v>13</v>
      </c>
      <c r="D140" t="s">
        <v>69</v>
      </c>
      <c r="E140" t="s">
        <v>71</v>
      </c>
      <c r="F140" t="s">
        <v>73</v>
      </c>
      <c r="G140">
        <v>604563</v>
      </c>
      <c r="H140">
        <v>448343.09122217621</v>
      </c>
      <c r="I140">
        <v>1052906.0912221763</v>
      </c>
      <c r="J140">
        <f>VLOOKUP(C140,'LEAID Match'!$A$2:$B$59,2,FALSE)</f>
        <v>4400450</v>
      </c>
    </row>
    <row r="141" spans="1:10" x14ac:dyDescent="0.2">
      <c r="A141">
        <f t="shared" si="2"/>
        <v>4400450</v>
      </c>
      <c r="B141">
        <v>2022</v>
      </c>
      <c r="C141" t="s">
        <v>13</v>
      </c>
      <c r="D141" t="s">
        <v>69</v>
      </c>
      <c r="E141" t="s">
        <v>71</v>
      </c>
      <c r="F141" t="s">
        <v>73</v>
      </c>
      <c r="G141">
        <v>658152</v>
      </c>
      <c r="H141">
        <v>486728.31605269451</v>
      </c>
      <c r="I141">
        <v>1144880.3160526946</v>
      </c>
      <c r="J141">
        <f>VLOOKUP(C141,'LEAID Match'!$A$2:$B$59,2,FALSE)</f>
        <v>4400450</v>
      </c>
    </row>
    <row r="142" spans="1:10" x14ac:dyDescent="0.2">
      <c r="A142">
        <f t="shared" si="2"/>
        <v>4400017</v>
      </c>
      <c r="B142">
        <v>2015</v>
      </c>
      <c r="C142" t="s">
        <v>48</v>
      </c>
      <c r="D142" t="s">
        <v>69</v>
      </c>
      <c r="E142" t="s">
        <v>71</v>
      </c>
      <c r="F142" t="s">
        <v>73</v>
      </c>
      <c r="G142">
        <v>122007</v>
      </c>
      <c r="H142">
        <v>77946.912003724399</v>
      </c>
      <c r="I142">
        <v>199953.9120037244</v>
      </c>
      <c r="J142">
        <f>VLOOKUP(C142,'LEAID Match'!$A$2:$B$59,2,FALSE)</f>
        <v>4400017</v>
      </c>
    </row>
    <row r="143" spans="1:10" x14ac:dyDescent="0.2">
      <c r="A143">
        <f t="shared" si="2"/>
        <v>4400017</v>
      </c>
      <c r="B143">
        <v>2016</v>
      </c>
      <c r="C143" t="s">
        <v>48</v>
      </c>
      <c r="D143" t="s">
        <v>69</v>
      </c>
      <c r="E143" t="s">
        <v>71</v>
      </c>
      <c r="F143" t="s">
        <v>73</v>
      </c>
      <c r="G143">
        <v>148751</v>
      </c>
      <c r="H143">
        <v>95148.291680430077</v>
      </c>
      <c r="I143">
        <v>243899.29168043006</v>
      </c>
      <c r="J143">
        <f>VLOOKUP(C143,'LEAID Match'!$A$2:$B$59,2,FALSE)</f>
        <v>4400017</v>
      </c>
    </row>
    <row r="144" spans="1:10" x14ac:dyDescent="0.2">
      <c r="A144">
        <f t="shared" si="2"/>
        <v>4400017</v>
      </c>
      <c r="B144">
        <v>2017</v>
      </c>
      <c r="C144" t="s">
        <v>48</v>
      </c>
      <c r="D144" t="s">
        <v>69</v>
      </c>
      <c r="E144" t="s">
        <v>71</v>
      </c>
      <c r="F144" t="s">
        <v>73</v>
      </c>
      <c r="G144">
        <v>140309</v>
      </c>
      <c r="H144">
        <v>98667.714979151133</v>
      </c>
      <c r="I144">
        <v>238976.71497915115</v>
      </c>
      <c r="J144">
        <f>VLOOKUP(C144,'LEAID Match'!$A$2:$B$59,2,FALSE)</f>
        <v>4400017</v>
      </c>
    </row>
    <row r="145" spans="1:10" x14ac:dyDescent="0.2">
      <c r="A145">
        <f t="shared" si="2"/>
        <v>4400017</v>
      </c>
      <c r="B145">
        <v>2018</v>
      </c>
      <c r="C145" t="s">
        <v>48</v>
      </c>
      <c r="D145" t="s">
        <v>69</v>
      </c>
      <c r="E145" t="s">
        <v>71</v>
      </c>
      <c r="F145" t="s">
        <v>73</v>
      </c>
      <c r="G145">
        <v>168312</v>
      </c>
      <c r="H145">
        <v>168312</v>
      </c>
      <c r="I145">
        <v>336624</v>
      </c>
      <c r="J145">
        <f>VLOOKUP(C145,'LEAID Match'!$A$2:$B$59,2,FALSE)</f>
        <v>4400017</v>
      </c>
    </row>
    <row r="146" spans="1:10" x14ac:dyDescent="0.2">
      <c r="A146">
        <f t="shared" si="2"/>
        <v>4400017</v>
      </c>
      <c r="B146">
        <v>2019</v>
      </c>
      <c r="C146" t="s">
        <v>48</v>
      </c>
      <c r="D146" t="s">
        <v>69</v>
      </c>
      <c r="E146" t="s">
        <v>71</v>
      </c>
      <c r="F146" t="s">
        <v>73</v>
      </c>
      <c r="G146">
        <v>173772</v>
      </c>
      <c r="H146">
        <v>120533.81621279055</v>
      </c>
      <c r="I146">
        <v>294305.81621279055</v>
      </c>
      <c r="J146">
        <f>VLOOKUP(C146,'LEAID Match'!$A$2:$B$59,2,FALSE)</f>
        <v>4400017</v>
      </c>
    </row>
    <row r="147" spans="1:10" x14ac:dyDescent="0.2">
      <c r="A147">
        <f t="shared" si="2"/>
        <v>4400017</v>
      </c>
      <c r="B147">
        <v>2020</v>
      </c>
      <c r="C147" t="s">
        <v>48</v>
      </c>
      <c r="D147" t="s">
        <v>69</v>
      </c>
      <c r="E147" t="s">
        <v>71</v>
      </c>
      <c r="F147" t="s">
        <v>73</v>
      </c>
      <c r="G147">
        <v>161471</v>
      </c>
      <c r="H147">
        <v>120966.98949925085</v>
      </c>
      <c r="I147">
        <v>282437.98949925083</v>
      </c>
      <c r="J147">
        <f>VLOOKUP(C147,'LEAID Match'!$A$2:$B$59,2,FALSE)</f>
        <v>4400017</v>
      </c>
    </row>
    <row r="148" spans="1:10" x14ac:dyDescent="0.2">
      <c r="A148">
        <f t="shared" si="2"/>
        <v>4400017</v>
      </c>
      <c r="B148">
        <v>2021</v>
      </c>
      <c r="C148" t="s">
        <v>48</v>
      </c>
      <c r="D148" t="s">
        <v>69</v>
      </c>
      <c r="E148" t="s">
        <v>71</v>
      </c>
      <c r="F148" t="s">
        <v>73</v>
      </c>
      <c r="G148">
        <v>164880</v>
      </c>
      <c r="H148">
        <v>122274.78175262529</v>
      </c>
      <c r="I148">
        <v>287154.78175262531</v>
      </c>
      <c r="J148">
        <f>VLOOKUP(C148,'LEAID Match'!$A$2:$B$59,2,FALSE)</f>
        <v>4400017</v>
      </c>
    </row>
    <row r="149" spans="1:10" x14ac:dyDescent="0.2">
      <c r="A149">
        <f t="shared" si="2"/>
        <v>4400017</v>
      </c>
      <c r="B149">
        <v>2022</v>
      </c>
      <c r="C149" t="s">
        <v>48</v>
      </c>
      <c r="D149" t="s">
        <v>69</v>
      </c>
      <c r="E149" t="s">
        <v>71</v>
      </c>
      <c r="F149" t="s">
        <v>73</v>
      </c>
      <c r="G149">
        <v>172332</v>
      </c>
      <c r="H149">
        <v>127446.03702790987</v>
      </c>
      <c r="I149">
        <v>299778.03702790989</v>
      </c>
      <c r="J149">
        <f>VLOOKUP(C149,'LEAID Match'!$A$2:$B$59,2,FALSE)</f>
        <v>4400017</v>
      </c>
    </row>
    <row r="150" spans="1:10" x14ac:dyDescent="0.2">
      <c r="A150">
        <f t="shared" si="2"/>
        <v>4400031</v>
      </c>
      <c r="B150">
        <v>2015</v>
      </c>
      <c r="C150" t="s">
        <v>39</v>
      </c>
      <c r="D150" t="s">
        <v>69</v>
      </c>
      <c r="E150" t="s">
        <v>71</v>
      </c>
      <c r="F150" t="s">
        <v>73</v>
      </c>
      <c r="G150">
        <v>303267</v>
      </c>
      <c r="H150">
        <v>193748.93377128761</v>
      </c>
      <c r="I150">
        <v>497015.93377128761</v>
      </c>
      <c r="J150">
        <f>VLOOKUP(C150,'LEAID Match'!$A$2:$B$59,2,FALSE)</f>
        <v>4400031</v>
      </c>
    </row>
    <row r="151" spans="1:10" x14ac:dyDescent="0.2">
      <c r="A151">
        <f t="shared" si="2"/>
        <v>4400031</v>
      </c>
      <c r="B151">
        <v>2016</v>
      </c>
      <c r="C151" t="s">
        <v>39</v>
      </c>
      <c r="D151" t="s">
        <v>69</v>
      </c>
      <c r="E151" t="s">
        <v>71</v>
      </c>
      <c r="F151" t="s">
        <v>73</v>
      </c>
      <c r="G151">
        <v>350489</v>
      </c>
      <c r="H151">
        <v>224189.61622296492</v>
      </c>
      <c r="I151">
        <v>574678.61622296495</v>
      </c>
      <c r="J151">
        <f>VLOOKUP(C151,'LEAID Match'!$A$2:$B$59,2,FALSE)</f>
        <v>4400031</v>
      </c>
    </row>
    <row r="152" spans="1:10" x14ac:dyDescent="0.2">
      <c r="A152">
        <f t="shared" si="2"/>
        <v>4400031</v>
      </c>
      <c r="B152">
        <v>2017</v>
      </c>
      <c r="C152" t="s">
        <v>39</v>
      </c>
      <c r="D152" t="s">
        <v>69</v>
      </c>
      <c r="E152" t="s">
        <v>71</v>
      </c>
      <c r="F152" t="s">
        <v>73</v>
      </c>
      <c r="G152">
        <v>353972</v>
      </c>
      <c r="H152">
        <v>248919.23117262675</v>
      </c>
      <c r="I152">
        <v>602891.23117262672</v>
      </c>
      <c r="J152">
        <f>VLOOKUP(C152,'LEAID Match'!$A$2:$B$59,2,FALSE)</f>
        <v>4400031</v>
      </c>
    </row>
    <row r="153" spans="1:10" x14ac:dyDescent="0.2">
      <c r="A153">
        <f t="shared" si="2"/>
        <v>4400031</v>
      </c>
      <c r="B153">
        <v>2018</v>
      </c>
      <c r="C153" t="s">
        <v>39</v>
      </c>
      <c r="D153" t="s">
        <v>69</v>
      </c>
      <c r="E153" t="s">
        <v>71</v>
      </c>
      <c r="F153" t="s">
        <v>73</v>
      </c>
      <c r="G153">
        <v>384010</v>
      </c>
      <c r="H153">
        <v>384010</v>
      </c>
      <c r="I153">
        <v>768020</v>
      </c>
      <c r="J153">
        <f>VLOOKUP(C153,'LEAID Match'!$A$2:$B$59,2,FALSE)</f>
        <v>4400031</v>
      </c>
    </row>
    <row r="154" spans="1:10" x14ac:dyDescent="0.2">
      <c r="A154">
        <f t="shared" si="2"/>
        <v>4400031</v>
      </c>
      <c r="B154">
        <v>2019</v>
      </c>
      <c r="C154" t="s">
        <v>39</v>
      </c>
      <c r="D154" t="s">
        <v>69</v>
      </c>
      <c r="E154" t="s">
        <v>71</v>
      </c>
      <c r="F154" t="s">
        <v>73</v>
      </c>
      <c r="G154">
        <v>419739</v>
      </c>
      <c r="H154">
        <v>291144.39313203795</v>
      </c>
      <c r="I154">
        <v>710883.39313203795</v>
      </c>
      <c r="J154">
        <f>VLOOKUP(C154,'LEAID Match'!$A$2:$B$59,2,FALSE)</f>
        <v>4400031</v>
      </c>
    </row>
    <row r="155" spans="1:10" x14ac:dyDescent="0.2">
      <c r="A155">
        <f t="shared" si="2"/>
        <v>4400031</v>
      </c>
      <c r="B155">
        <v>2020</v>
      </c>
      <c r="C155" t="s">
        <v>39</v>
      </c>
      <c r="D155" t="s">
        <v>69</v>
      </c>
      <c r="E155" t="s">
        <v>71</v>
      </c>
      <c r="F155" t="s">
        <v>73</v>
      </c>
      <c r="G155">
        <v>398589</v>
      </c>
      <c r="H155">
        <v>298605.39277961303</v>
      </c>
      <c r="I155">
        <v>697194.39277961303</v>
      </c>
      <c r="J155">
        <f>VLOOKUP(C155,'LEAID Match'!$A$2:$B$59,2,FALSE)</f>
        <v>4400031</v>
      </c>
    </row>
    <row r="156" spans="1:10" x14ac:dyDescent="0.2">
      <c r="A156">
        <f t="shared" si="2"/>
        <v>4400031</v>
      </c>
      <c r="B156">
        <v>2021</v>
      </c>
      <c r="C156" t="s">
        <v>39</v>
      </c>
      <c r="D156" t="s">
        <v>69</v>
      </c>
      <c r="E156" t="s">
        <v>71</v>
      </c>
      <c r="F156" t="s">
        <v>73</v>
      </c>
      <c r="G156">
        <v>500191</v>
      </c>
      <c r="H156">
        <v>370940.95924082608</v>
      </c>
      <c r="I156">
        <v>871131.95924082608</v>
      </c>
      <c r="J156">
        <f>VLOOKUP(C156,'LEAID Match'!$A$2:$B$59,2,FALSE)</f>
        <v>4400031</v>
      </c>
    </row>
    <row r="157" spans="1:10" x14ac:dyDescent="0.2">
      <c r="A157">
        <f t="shared" si="2"/>
        <v>4400031</v>
      </c>
      <c r="B157">
        <v>2022</v>
      </c>
      <c r="C157" t="s">
        <v>39</v>
      </c>
      <c r="D157" t="s">
        <v>69</v>
      </c>
      <c r="E157" t="s">
        <v>71</v>
      </c>
      <c r="F157" t="s">
        <v>73</v>
      </c>
      <c r="G157">
        <v>553485</v>
      </c>
      <c r="H157">
        <v>409323.1077477932</v>
      </c>
      <c r="I157">
        <v>962808.1077477932</v>
      </c>
      <c r="J157">
        <f>VLOOKUP(C157,'LEAID Match'!$A$2:$B$59,2,FALSE)</f>
        <v>4400031</v>
      </c>
    </row>
    <row r="158" spans="1:10" x14ac:dyDescent="0.2">
      <c r="A158">
        <f t="shared" si="2"/>
        <v>4400034</v>
      </c>
      <c r="B158">
        <v>2015</v>
      </c>
      <c r="C158" t="s">
        <v>42</v>
      </c>
      <c r="D158" t="s">
        <v>69</v>
      </c>
      <c r="E158" t="s">
        <v>71</v>
      </c>
      <c r="F158" t="s">
        <v>73</v>
      </c>
      <c r="G158">
        <v>274220</v>
      </c>
      <c r="H158">
        <v>175191.60547887668</v>
      </c>
      <c r="I158">
        <v>449411.60547887668</v>
      </c>
      <c r="J158">
        <f>VLOOKUP(C158,'LEAID Match'!$A$2:$B$59,2,FALSE)</f>
        <v>4400034</v>
      </c>
    </row>
    <row r="159" spans="1:10" x14ac:dyDescent="0.2">
      <c r="A159">
        <f t="shared" si="2"/>
        <v>4400034</v>
      </c>
      <c r="B159">
        <v>2016</v>
      </c>
      <c r="C159" t="s">
        <v>42</v>
      </c>
      <c r="D159" t="s">
        <v>69</v>
      </c>
      <c r="E159" t="s">
        <v>71</v>
      </c>
      <c r="F159" t="s">
        <v>73</v>
      </c>
      <c r="G159">
        <v>249187</v>
      </c>
      <c r="H159">
        <v>159391.98633267224</v>
      </c>
      <c r="I159">
        <v>408578.98633267224</v>
      </c>
      <c r="J159">
        <f>VLOOKUP(C159,'LEAID Match'!$A$2:$B$59,2,FALSE)</f>
        <v>4400034</v>
      </c>
    </row>
    <row r="160" spans="1:10" x14ac:dyDescent="0.2">
      <c r="A160">
        <f t="shared" si="2"/>
        <v>4400034</v>
      </c>
      <c r="B160">
        <v>2017</v>
      </c>
      <c r="C160" t="s">
        <v>42</v>
      </c>
      <c r="D160" t="s">
        <v>69</v>
      </c>
      <c r="E160" t="s">
        <v>71</v>
      </c>
      <c r="F160" t="s">
        <v>73</v>
      </c>
      <c r="G160">
        <v>324878</v>
      </c>
      <c r="H160">
        <v>228459.82728831837</v>
      </c>
      <c r="I160">
        <v>553337.82728831843</v>
      </c>
      <c r="J160">
        <f>VLOOKUP(C160,'LEAID Match'!$A$2:$B$59,2,FALSE)</f>
        <v>4400034</v>
      </c>
    </row>
    <row r="161" spans="1:10" x14ac:dyDescent="0.2">
      <c r="A161">
        <f t="shared" si="2"/>
        <v>4400034</v>
      </c>
      <c r="B161">
        <v>2018</v>
      </c>
      <c r="C161" t="s">
        <v>42</v>
      </c>
      <c r="D161" t="s">
        <v>69</v>
      </c>
      <c r="E161" t="s">
        <v>71</v>
      </c>
      <c r="F161" t="s">
        <v>73</v>
      </c>
      <c r="G161">
        <v>299917</v>
      </c>
      <c r="H161">
        <v>299917</v>
      </c>
      <c r="I161">
        <v>599834</v>
      </c>
      <c r="J161">
        <f>VLOOKUP(C161,'LEAID Match'!$A$2:$B$59,2,FALSE)</f>
        <v>4400034</v>
      </c>
    </row>
    <row r="162" spans="1:10" x14ac:dyDescent="0.2">
      <c r="A162">
        <f t="shared" si="2"/>
        <v>4400034</v>
      </c>
      <c r="B162">
        <v>2019</v>
      </c>
      <c r="C162" t="s">
        <v>42</v>
      </c>
      <c r="D162" t="s">
        <v>69</v>
      </c>
      <c r="E162" t="s">
        <v>71</v>
      </c>
      <c r="F162" t="s">
        <v>73</v>
      </c>
      <c r="G162">
        <v>290522</v>
      </c>
      <c r="H162">
        <v>201515.34973282425</v>
      </c>
      <c r="I162">
        <v>492037.34973282425</v>
      </c>
      <c r="J162">
        <f>VLOOKUP(C162,'LEAID Match'!$A$2:$B$59,2,FALSE)</f>
        <v>4400034</v>
      </c>
    </row>
    <row r="163" spans="1:10" x14ac:dyDescent="0.2">
      <c r="A163">
        <f t="shared" si="2"/>
        <v>4400034</v>
      </c>
      <c r="B163">
        <v>2020</v>
      </c>
      <c r="C163" t="s">
        <v>42</v>
      </c>
      <c r="D163" t="s">
        <v>69</v>
      </c>
      <c r="E163" t="s">
        <v>71</v>
      </c>
      <c r="F163" t="s">
        <v>73</v>
      </c>
      <c r="G163">
        <v>263901</v>
      </c>
      <c r="H163">
        <v>197703.05191546344</v>
      </c>
      <c r="I163">
        <v>461604.05191546341</v>
      </c>
      <c r="J163">
        <f>VLOOKUP(C163,'LEAID Match'!$A$2:$B$59,2,FALSE)</f>
        <v>4400034</v>
      </c>
    </row>
    <row r="164" spans="1:10" x14ac:dyDescent="0.2">
      <c r="A164">
        <f t="shared" si="2"/>
        <v>4400034</v>
      </c>
      <c r="B164">
        <v>2021</v>
      </c>
      <c r="C164" t="s">
        <v>42</v>
      </c>
      <c r="D164" t="s">
        <v>69</v>
      </c>
      <c r="E164" t="s">
        <v>71</v>
      </c>
      <c r="F164" t="s">
        <v>73</v>
      </c>
      <c r="G164">
        <v>304828</v>
      </c>
      <c r="H164">
        <v>226060.02651679565</v>
      </c>
      <c r="I164">
        <v>530888.02651679562</v>
      </c>
      <c r="J164">
        <f>VLOOKUP(C164,'LEAID Match'!$A$2:$B$59,2,FALSE)</f>
        <v>4400034</v>
      </c>
    </row>
    <row r="165" spans="1:10" x14ac:dyDescent="0.2">
      <c r="A165">
        <f t="shared" si="2"/>
        <v>4400034</v>
      </c>
      <c r="B165">
        <v>2022</v>
      </c>
      <c r="C165" t="s">
        <v>42</v>
      </c>
      <c r="D165" t="s">
        <v>69</v>
      </c>
      <c r="E165" t="s">
        <v>71</v>
      </c>
      <c r="F165" t="s">
        <v>73</v>
      </c>
      <c r="G165">
        <v>337394</v>
      </c>
      <c r="H165">
        <v>249515.63387527928</v>
      </c>
      <c r="I165">
        <v>586909.63387527922</v>
      </c>
      <c r="J165">
        <f>VLOOKUP(C165,'LEAID Match'!$A$2:$B$59,2,FALSE)</f>
        <v>4400034</v>
      </c>
    </row>
    <row r="166" spans="1:10" x14ac:dyDescent="0.2">
      <c r="A166">
        <f t="shared" si="2"/>
        <v>4400510</v>
      </c>
      <c r="B166">
        <v>2015</v>
      </c>
      <c r="C166" t="s">
        <v>14</v>
      </c>
      <c r="D166" t="s">
        <v>69</v>
      </c>
      <c r="E166" t="s">
        <v>71</v>
      </c>
      <c r="F166" t="s">
        <v>73</v>
      </c>
      <c r="G166">
        <v>572481</v>
      </c>
      <c r="H166">
        <v>365742.34372457443</v>
      </c>
      <c r="I166">
        <v>938223.34372457443</v>
      </c>
      <c r="J166">
        <f>VLOOKUP(C166,'LEAID Match'!$A$2:$B$59,2,FALSE)</f>
        <v>4400510</v>
      </c>
    </row>
    <row r="167" spans="1:10" x14ac:dyDescent="0.2">
      <c r="A167">
        <f t="shared" si="2"/>
        <v>4400510</v>
      </c>
      <c r="B167">
        <v>2016</v>
      </c>
      <c r="C167" t="s">
        <v>14</v>
      </c>
      <c r="D167" t="s">
        <v>69</v>
      </c>
      <c r="E167" t="s">
        <v>71</v>
      </c>
      <c r="F167" t="s">
        <v>73</v>
      </c>
      <c r="G167">
        <v>588134</v>
      </c>
      <c r="H167">
        <v>376198.78440600779</v>
      </c>
      <c r="I167">
        <v>964332.78440600773</v>
      </c>
      <c r="J167">
        <f>VLOOKUP(C167,'LEAID Match'!$A$2:$B$59,2,FALSE)</f>
        <v>4400510</v>
      </c>
    </row>
    <row r="168" spans="1:10" x14ac:dyDescent="0.2">
      <c r="A168">
        <f t="shared" si="2"/>
        <v>4400510</v>
      </c>
      <c r="B168">
        <v>2017</v>
      </c>
      <c r="C168" t="s">
        <v>14</v>
      </c>
      <c r="D168" t="s">
        <v>69</v>
      </c>
      <c r="E168" t="s">
        <v>71</v>
      </c>
      <c r="F168" t="s">
        <v>73</v>
      </c>
      <c r="G168">
        <v>554507</v>
      </c>
      <c r="H168">
        <v>389938.91076085035</v>
      </c>
      <c r="I168">
        <v>944445.91076085041</v>
      </c>
      <c r="J168">
        <f>VLOOKUP(C168,'LEAID Match'!$A$2:$B$59,2,FALSE)</f>
        <v>4400510</v>
      </c>
    </row>
    <row r="169" spans="1:10" x14ac:dyDescent="0.2">
      <c r="A169">
        <f t="shared" si="2"/>
        <v>4400510</v>
      </c>
      <c r="B169">
        <v>2018</v>
      </c>
      <c r="C169" t="s">
        <v>14</v>
      </c>
      <c r="D169" t="s">
        <v>69</v>
      </c>
      <c r="E169" t="s">
        <v>71</v>
      </c>
      <c r="F169" t="s">
        <v>73</v>
      </c>
      <c r="G169">
        <v>591801</v>
      </c>
      <c r="H169">
        <v>591801</v>
      </c>
      <c r="I169">
        <v>1183602</v>
      </c>
      <c r="J169">
        <f>VLOOKUP(C169,'LEAID Match'!$A$2:$B$59,2,FALSE)</f>
        <v>4400510</v>
      </c>
    </row>
    <row r="170" spans="1:10" x14ac:dyDescent="0.2">
      <c r="A170">
        <f t="shared" si="2"/>
        <v>4400510</v>
      </c>
      <c r="B170">
        <v>2019</v>
      </c>
      <c r="C170" t="s">
        <v>14</v>
      </c>
      <c r="D170" t="s">
        <v>69</v>
      </c>
      <c r="E170" t="s">
        <v>71</v>
      </c>
      <c r="F170" t="s">
        <v>73</v>
      </c>
      <c r="G170">
        <v>613839</v>
      </c>
      <c r="H170">
        <v>425778.3602090276</v>
      </c>
      <c r="I170">
        <v>1039617.3602090275</v>
      </c>
      <c r="J170">
        <f>VLOOKUP(C170,'LEAID Match'!$A$2:$B$59,2,FALSE)</f>
        <v>4400510</v>
      </c>
    </row>
    <row r="171" spans="1:10" x14ac:dyDescent="0.2">
      <c r="A171">
        <f t="shared" si="2"/>
        <v>4400510</v>
      </c>
      <c r="B171">
        <v>2020</v>
      </c>
      <c r="C171" t="s">
        <v>14</v>
      </c>
      <c r="D171" t="s">
        <v>69</v>
      </c>
      <c r="E171" t="s">
        <v>71</v>
      </c>
      <c r="F171" t="s">
        <v>73</v>
      </c>
      <c r="G171">
        <v>568458</v>
      </c>
      <c r="H171">
        <v>425863.7954602692</v>
      </c>
      <c r="I171">
        <v>994321.7954602692</v>
      </c>
      <c r="J171">
        <f>VLOOKUP(C171,'LEAID Match'!$A$2:$B$59,2,FALSE)</f>
        <v>4400510</v>
      </c>
    </row>
    <row r="172" spans="1:10" x14ac:dyDescent="0.2">
      <c r="A172">
        <f t="shared" si="2"/>
        <v>4400510</v>
      </c>
      <c r="B172">
        <v>2021</v>
      </c>
      <c r="C172" t="s">
        <v>14</v>
      </c>
      <c r="D172" t="s">
        <v>69</v>
      </c>
      <c r="E172" t="s">
        <v>71</v>
      </c>
      <c r="F172" t="s">
        <v>73</v>
      </c>
      <c r="G172">
        <v>604735</v>
      </c>
      <c r="H172">
        <v>448470.64618615882</v>
      </c>
      <c r="I172">
        <v>1053205.6461861588</v>
      </c>
      <c r="J172">
        <f>VLOOKUP(C172,'LEAID Match'!$A$2:$B$59,2,FALSE)</f>
        <v>4400510</v>
      </c>
    </row>
    <row r="173" spans="1:10" x14ac:dyDescent="0.2">
      <c r="A173">
        <f t="shared" si="2"/>
        <v>4400510</v>
      </c>
      <c r="B173">
        <v>2022</v>
      </c>
      <c r="C173" t="s">
        <v>14</v>
      </c>
      <c r="D173" t="s">
        <v>69</v>
      </c>
      <c r="E173" t="s">
        <v>71</v>
      </c>
      <c r="F173" t="s">
        <v>73</v>
      </c>
      <c r="G173">
        <v>643128</v>
      </c>
      <c r="H173">
        <v>475617.49937147845</v>
      </c>
      <c r="I173">
        <v>1118745.4993714783</v>
      </c>
      <c r="J173">
        <f>VLOOKUP(C173,'LEAID Match'!$A$2:$B$59,2,FALSE)</f>
        <v>4400510</v>
      </c>
    </row>
    <row r="174" spans="1:10" x14ac:dyDescent="0.2">
      <c r="A174">
        <f t="shared" si="2"/>
        <v>4400540</v>
      </c>
      <c r="B174">
        <v>2015</v>
      </c>
      <c r="C174" t="s">
        <v>15</v>
      </c>
      <c r="D174" t="s">
        <v>69</v>
      </c>
      <c r="E174" t="s">
        <v>71</v>
      </c>
      <c r="F174" t="s">
        <v>73</v>
      </c>
      <c r="G174">
        <v>3030625</v>
      </c>
      <c r="H174">
        <v>1936182.843535922</v>
      </c>
      <c r="I174">
        <v>4966807.8435359225</v>
      </c>
      <c r="J174">
        <f>VLOOKUP(C174,'LEAID Match'!$A$2:$B$59,2,FALSE)</f>
        <v>4400540</v>
      </c>
    </row>
    <row r="175" spans="1:10" x14ac:dyDescent="0.2">
      <c r="A175">
        <f t="shared" si="2"/>
        <v>4400540</v>
      </c>
      <c r="B175">
        <v>2016</v>
      </c>
      <c r="C175" t="s">
        <v>15</v>
      </c>
      <c r="D175" t="s">
        <v>69</v>
      </c>
      <c r="E175" t="s">
        <v>71</v>
      </c>
      <c r="F175" t="s">
        <v>73</v>
      </c>
      <c r="G175">
        <v>3258588</v>
      </c>
      <c r="H175">
        <v>2084349.5606103439</v>
      </c>
      <c r="I175">
        <v>5342937.5606103437</v>
      </c>
      <c r="J175">
        <f>VLOOKUP(C175,'LEAID Match'!$A$2:$B$59,2,FALSE)</f>
        <v>4400540</v>
      </c>
    </row>
    <row r="176" spans="1:10" x14ac:dyDescent="0.2">
      <c r="A176">
        <f t="shared" si="2"/>
        <v>4400540</v>
      </c>
      <c r="B176">
        <v>2017</v>
      </c>
      <c r="C176" t="s">
        <v>15</v>
      </c>
      <c r="D176" t="s">
        <v>69</v>
      </c>
      <c r="E176" t="s">
        <v>71</v>
      </c>
      <c r="F176" t="s">
        <v>73</v>
      </c>
      <c r="G176">
        <v>3247865</v>
      </c>
      <c r="H176">
        <v>2283954.8290612912</v>
      </c>
      <c r="I176">
        <v>5531819.8290612912</v>
      </c>
      <c r="J176">
        <f>VLOOKUP(C176,'LEAID Match'!$A$2:$B$59,2,FALSE)</f>
        <v>4400540</v>
      </c>
    </row>
    <row r="177" spans="1:10" x14ac:dyDescent="0.2">
      <c r="A177">
        <f t="shared" si="2"/>
        <v>4400540</v>
      </c>
      <c r="B177">
        <v>2018</v>
      </c>
      <c r="C177" t="s">
        <v>15</v>
      </c>
      <c r="D177" t="s">
        <v>69</v>
      </c>
      <c r="E177" t="s">
        <v>71</v>
      </c>
      <c r="F177" t="s">
        <v>73</v>
      </c>
      <c r="G177">
        <v>3426841</v>
      </c>
      <c r="H177">
        <v>3426841</v>
      </c>
      <c r="I177">
        <v>6853682</v>
      </c>
      <c r="J177">
        <f>VLOOKUP(C177,'LEAID Match'!$A$2:$B$59,2,FALSE)</f>
        <v>4400540</v>
      </c>
    </row>
    <row r="178" spans="1:10" x14ac:dyDescent="0.2">
      <c r="A178">
        <f t="shared" si="2"/>
        <v>4400540</v>
      </c>
      <c r="B178">
        <v>2019</v>
      </c>
      <c r="C178" t="s">
        <v>15</v>
      </c>
      <c r="D178" t="s">
        <v>69</v>
      </c>
      <c r="E178" t="s">
        <v>71</v>
      </c>
      <c r="F178" t="s">
        <v>73</v>
      </c>
      <c r="G178">
        <v>3588539</v>
      </c>
      <c r="H178">
        <v>2489125.407421398</v>
      </c>
      <c r="I178">
        <v>6077664.407421398</v>
      </c>
      <c r="J178">
        <f>VLOOKUP(C178,'LEAID Match'!$A$2:$B$59,2,FALSE)</f>
        <v>4400540</v>
      </c>
    </row>
    <row r="179" spans="1:10" x14ac:dyDescent="0.2">
      <c r="A179">
        <f t="shared" si="2"/>
        <v>4400540</v>
      </c>
      <c r="B179">
        <v>2020</v>
      </c>
      <c r="C179" t="s">
        <v>15</v>
      </c>
      <c r="D179" t="s">
        <v>69</v>
      </c>
      <c r="E179" t="s">
        <v>71</v>
      </c>
      <c r="F179" t="s">
        <v>73</v>
      </c>
      <c r="G179">
        <v>3361190</v>
      </c>
      <c r="H179">
        <v>2518056.093261248</v>
      </c>
      <c r="I179">
        <v>5879246.0932612475</v>
      </c>
      <c r="J179">
        <f>VLOOKUP(C179,'LEAID Match'!$A$2:$B$59,2,FALSE)</f>
        <v>4400540</v>
      </c>
    </row>
    <row r="180" spans="1:10" x14ac:dyDescent="0.2">
      <c r="A180">
        <f t="shared" si="2"/>
        <v>4400540</v>
      </c>
      <c r="B180">
        <v>2021</v>
      </c>
      <c r="C180" t="s">
        <v>15</v>
      </c>
      <c r="D180" t="s">
        <v>69</v>
      </c>
      <c r="E180" t="s">
        <v>71</v>
      </c>
      <c r="F180" t="s">
        <v>73</v>
      </c>
      <c r="G180">
        <v>3577433</v>
      </c>
      <c r="H180">
        <v>2653019.403867295</v>
      </c>
      <c r="I180">
        <v>6230452.403867295</v>
      </c>
      <c r="J180">
        <f>VLOOKUP(C180,'LEAID Match'!$A$2:$B$59,2,FALSE)</f>
        <v>4400540</v>
      </c>
    </row>
    <row r="181" spans="1:10" x14ac:dyDescent="0.2">
      <c r="A181">
        <f t="shared" si="2"/>
        <v>4400540</v>
      </c>
      <c r="B181">
        <v>2022</v>
      </c>
      <c r="C181" t="s">
        <v>15</v>
      </c>
      <c r="D181" t="s">
        <v>69</v>
      </c>
      <c r="E181" t="s">
        <v>71</v>
      </c>
      <c r="F181" t="s">
        <v>73</v>
      </c>
      <c r="G181">
        <v>3685054</v>
      </c>
      <c r="H181">
        <v>2725236.9178901622</v>
      </c>
      <c r="I181">
        <v>6410290.9178901622</v>
      </c>
      <c r="J181">
        <f>VLOOKUP(C181,'LEAID Match'!$A$2:$B$59,2,FALSE)</f>
        <v>4400540</v>
      </c>
    </row>
    <row r="182" spans="1:10" x14ac:dyDescent="0.2">
      <c r="A182">
        <f t="shared" si="2"/>
        <v>4400033</v>
      </c>
      <c r="B182">
        <v>2015</v>
      </c>
      <c r="C182" t="s">
        <v>41</v>
      </c>
      <c r="D182" t="s">
        <v>69</v>
      </c>
      <c r="E182" t="s">
        <v>71</v>
      </c>
      <c r="F182" t="s">
        <v>73</v>
      </c>
      <c r="G182">
        <v>123205</v>
      </c>
      <c r="H182">
        <v>78712.281208609871</v>
      </c>
      <c r="I182">
        <v>201917.28120860987</v>
      </c>
      <c r="J182">
        <f>VLOOKUP(C182,'LEAID Match'!$A$2:$B$59,2,FALSE)</f>
        <v>4400033</v>
      </c>
    </row>
    <row r="183" spans="1:10" x14ac:dyDescent="0.2">
      <c r="A183">
        <f t="shared" si="2"/>
        <v>4400033</v>
      </c>
      <c r="B183">
        <v>2016</v>
      </c>
      <c r="C183" t="s">
        <v>41</v>
      </c>
      <c r="D183" t="s">
        <v>69</v>
      </c>
      <c r="E183" t="s">
        <v>71</v>
      </c>
      <c r="F183" t="s">
        <v>73</v>
      </c>
      <c r="G183">
        <v>129938</v>
      </c>
      <c r="H183">
        <v>83114.592334651345</v>
      </c>
      <c r="I183">
        <v>213052.59233465133</v>
      </c>
      <c r="J183">
        <f>VLOOKUP(C183,'LEAID Match'!$A$2:$B$59,2,FALSE)</f>
        <v>4400033</v>
      </c>
    </row>
    <row r="184" spans="1:10" x14ac:dyDescent="0.2">
      <c r="A184">
        <f t="shared" si="2"/>
        <v>4400033</v>
      </c>
      <c r="B184">
        <v>2017</v>
      </c>
      <c r="C184" t="s">
        <v>41</v>
      </c>
      <c r="D184" t="s">
        <v>69</v>
      </c>
      <c r="E184" t="s">
        <v>71</v>
      </c>
      <c r="F184" t="s">
        <v>73</v>
      </c>
      <c r="G184">
        <v>116046</v>
      </c>
      <c r="H184">
        <v>81605.553830977151</v>
      </c>
      <c r="I184">
        <v>197651.55383097715</v>
      </c>
      <c r="J184">
        <f>VLOOKUP(C184,'LEAID Match'!$A$2:$B$59,2,FALSE)</f>
        <v>4400033</v>
      </c>
    </row>
    <row r="185" spans="1:10" x14ac:dyDescent="0.2">
      <c r="A185">
        <f t="shared" si="2"/>
        <v>4400033</v>
      </c>
      <c r="B185">
        <v>2018</v>
      </c>
      <c r="C185" t="s">
        <v>41</v>
      </c>
      <c r="D185" t="s">
        <v>69</v>
      </c>
      <c r="E185" t="s">
        <v>71</v>
      </c>
      <c r="F185" t="s">
        <v>73</v>
      </c>
      <c r="G185">
        <v>119601</v>
      </c>
      <c r="H185">
        <v>119601</v>
      </c>
      <c r="I185">
        <v>239202</v>
      </c>
      <c r="J185">
        <f>VLOOKUP(C185,'LEAID Match'!$A$2:$B$59,2,FALSE)</f>
        <v>4400033</v>
      </c>
    </row>
    <row r="186" spans="1:10" x14ac:dyDescent="0.2">
      <c r="A186">
        <f t="shared" si="2"/>
        <v>4400033</v>
      </c>
      <c r="B186">
        <v>2019</v>
      </c>
      <c r="C186" t="s">
        <v>41</v>
      </c>
      <c r="D186" t="s">
        <v>69</v>
      </c>
      <c r="E186" t="s">
        <v>71</v>
      </c>
      <c r="F186" t="s">
        <v>73</v>
      </c>
      <c r="G186">
        <v>131545</v>
      </c>
      <c r="H186">
        <v>91243.818645763036</v>
      </c>
      <c r="I186">
        <v>222788.81864576304</v>
      </c>
      <c r="J186">
        <f>VLOOKUP(C186,'LEAID Match'!$A$2:$B$59,2,FALSE)</f>
        <v>4400033</v>
      </c>
    </row>
    <row r="187" spans="1:10" x14ac:dyDescent="0.2">
      <c r="A187">
        <f t="shared" si="2"/>
        <v>4400033</v>
      </c>
      <c r="B187">
        <v>2020</v>
      </c>
      <c r="C187" t="s">
        <v>41</v>
      </c>
      <c r="D187" t="s">
        <v>69</v>
      </c>
      <c r="E187" t="s">
        <v>71</v>
      </c>
      <c r="F187" t="s">
        <v>73</v>
      </c>
      <c r="G187">
        <v>131545</v>
      </c>
      <c r="H187">
        <v>98547.743146936307</v>
      </c>
      <c r="I187">
        <v>230092.74314693629</v>
      </c>
      <c r="J187">
        <f>VLOOKUP(C187,'LEAID Match'!$A$2:$B$59,2,FALSE)</f>
        <v>4400033</v>
      </c>
    </row>
    <row r="188" spans="1:10" x14ac:dyDescent="0.2">
      <c r="A188">
        <f t="shared" si="2"/>
        <v>4400033</v>
      </c>
      <c r="B188">
        <v>2021</v>
      </c>
      <c r="C188" t="s">
        <v>41</v>
      </c>
      <c r="D188" t="s">
        <v>69</v>
      </c>
      <c r="E188" t="s">
        <v>71</v>
      </c>
      <c r="F188" t="s">
        <v>73</v>
      </c>
      <c r="G188">
        <v>206375</v>
      </c>
      <c r="H188">
        <v>153047.41681342822</v>
      </c>
      <c r="I188">
        <v>359422.41681342822</v>
      </c>
      <c r="J188">
        <f>VLOOKUP(C188,'LEAID Match'!$A$2:$B$59,2,FALSE)</f>
        <v>4400033</v>
      </c>
    </row>
    <row r="189" spans="1:10" x14ac:dyDescent="0.2">
      <c r="A189">
        <f t="shared" si="2"/>
        <v>4400033</v>
      </c>
      <c r="B189">
        <v>2022</v>
      </c>
      <c r="C189" t="s">
        <v>41</v>
      </c>
      <c r="D189" t="s">
        <v>69</v>
      </c>
      <c r="E189" t="s">
        <v>71</v>
      </c>
      <c r="F189" t="s">
        <v>73</v>
      </c>
      <c r="G189">
        <v>231985</v>
      </c>
      <c r="H189">
        <v>171561.68848455118</v>
      </c>
      <c r="I189">
        <v>403546.68848455115</v>
      </c>
      <c r="J189">
        <f>VLOOKUP(C189,'LEAID Match'!$A$2:$B$59,2,FALSE)</f>
        <v>4400033</v>
      </c>
    </row>
    <row r="190" spans="1:10" x14ac:dyDescent="0.2">
      <c r="A190">
        <f t="shared" si="2"/>
        <v>4400006</v>
      </c>
      <c r="B190">
        <v>2015</v>
      </c>
      <c r="C190" t="s">
        <v>46</v>
      </c>
      <c r="D190" t="s">
        <v>69</v>
      </c>
      <c r="E190" t="s">
        <v>71</v>
      </c>
      <c r="F190" t="s">
        <v>73</v>
      </c>
      <c r="G190">
        <v>464456</v>
      </c>
      <c r="H190">
        <v>296728.14643095742</v>
      </c>
      <c r="I190">
        <v>761184.14643095736</v>
      </c>
      <c r="J190">
        <f>VLOOKUP(C190,'LEAID Match'!$A$2:$B$59,2,FALSE)</f>
        <v>4400006</v>
      </c>
    </row>
    <row r="191" spans="1:10" x14ac:dyDescent="0.2">
      <c r="A191">
        <f t="shared" si="2"/>
        <v>4400006</v>
      </c>
      <c r="B191">
        <v>2016</v>
      </c>
      <c r="C191" t="s">
        <v>46</v>
      </c>
      <c r="D191" t="s">
        <v>69</v>
      </c>
      <c r="E191" t="s">
        <v>71</v>
      </c>
      <c r="F191" t="s">
        <v>73</v>
      </c>
      <c r="G191">
        <v>469010</v>
      </c>
      <c r="H191">
        <v>300001.34641809808</v>
      </c>
      <c r="I191">
        <v>769011.34641809808</v>
      </c>
      <c r="J191">
        <f>VLOOKUP(C191,'LEAID Match'!$A$2:$B$59,2,FALSE)</f>
        <v>4400006</v>
      </c>
    </row>
    <row r="192" spans="1:10" x14ac:dyDescent="0.2">
      <c r="A192">
        <f t="shared" si="2"/>
        <v>4400006</v>
      </c>
      <c r="B192">
        <v>2017</v>
      </c>
      <c r="C192" t="s">
        <v>46</v>
      </c>
      <c r="D192" t="s">
        <v>69</v>
      </c>
      <c r="E192" t="s">
        <v>71</v>
      </c>
      <c r="F192" t="s">
        <v>73</v>
      </c>
      <c r="G192">
        <v>426104</v>
      </c>
      <c r="H192">
        <v>299643.70085651113</v>
      </c>
      <c r="I192">
        <v>725747.70085651113</v>
      </c>
      <c r="J192">
        <f>VLOOKUP(C192,'LEAID Match'!$A$2:$B$59,2,FALSE)</f>
        <v>4400006</v>
      </c>
    </row>
    <row r="193" spans="1:10" x14ac:dyDescent="0.2">
      <c r="A193">
        <f t="shared" si="2"/>
        <v>4400006</v>
      </c>
      <c r="B193">
        <v>2018</v>
      </c>
      <c r="C193" t="s">
        <v>46</v>
      </c>
      <c r="D193" t="s">
        <v>69</v>
      </c>
      <c r="E193" t="s">
        <v>71</v>
      </c>
      <c r="F193" t="s">
        <v>73</v>
      </c>
      <c r="G193">
        <v>426281</v>
      </c>
      <c r="H193">
        <v>426281.00000000006</v>
      </c>
      <c r="I193">
        <v>852562</v>
      </c>
      <c r="J193">
        <f>VLOOKUP(C193,'LEAID Match'!$A$2:$B$59,2,FALSE)</f>
        <v>4400006</v>
      </c>
    </row>
    <row r="194" spans="1:10" x14ac:dyDescent="0.2">
      <c r="A194">
        <f t="shared" si="2"/>
        <v>4400006</v>
      </c>
      <c r="B194">
        <v>2019</v>
      </c>
      <c r="C194" t="s">
        <v>46</v>
      </c>
      <c r="D194" t="s">
        <v>69</v>
      </c>
      <c r="E194" t="s">
        <v>71</v>
      </c>
      <c r="F194" t="s">
        <v>73</v>
      </c>
      <c r="G194">
        <v>439013</v>
      </c>
      <c r="H194">
        <v>304513.45589062577</v>
      </c>
      <c r="I194">
        <v>743526.45589062572</v>
      </c>
      <c r="J194">
        <f>VLOOKUP(C194,'LEAID Match'!$A$2:$B$59,2,FALSE)</f>
        <v>4400006</v>
      </c>
    </row>
    <row r="195" spans="1:10" x14ac:dyDescent="0.2">
      <c r="A195">
        <f t="shared" ref="A195:A258" si="3">J195</f>
        <v>4400006</v>
      </c>
      <c r="B195">
        <v>2020</v>
      </c>
      <c r="C195" t="s">
        <v>46</v>
      </c>
      <c r="D195" t="s">
        <v>69</v>
      </c>
      <c r="E195" t="s">
        <v>71</v>
      </c>
      <c r="F195" t="s">
        <v>73</v>
      </c>
      <c r="G195">
        <v>376054</v>
      </c>
      <c r="H195">
        <v>281723.15938559419</v>
      </c>
      <c r="I195">
        <v>657777.15938559419</v>
      </c>
      <c r="J195">
        <f>VLOOKUP(C195,'LEAID Match'!$A$2:$B$59,2,FALSE)</f>
        <v>4400006</v>
      </c>
    </row>
    <row r="196" spans="1:10" x14ac:dyDescent="0.2">
      <c r="A196">
        <f t="shared" si="3"/>
        <v>4400006</v>
      </c>
      <c r="B196">
        <v>2021</v>
      </c>
      <c r="C196" t="s">
        <v>46</v>
      </c>
      <c r="D196" t="s">
        <v>69</v>
      </c>
      <c r="E196" t="s">
        <v>71</v>
      </c>
      <c r="F196" t="s">
        <v>73</v>
      </c>
      <c r="G196">
        <v>488170</v>
      </c>
      <c r="H196">
        <v>362026.20213597215</v>
      </c>
      <c r="I196">
        <v>850196.20213597221</v>
      </c>
      <c r="J196">
        <f>VLOOKUP(C196,'LEAID Match'!$A$2:$B$59,2,FALSE)</f>
        <v>4400006</v>
      </c>
    </row>
    <row r="197" spans="1:10" x14ac:dyDescent="0.2">
      <c r="A197">
        <f t="shared" si="3"/>
        <v>4400006</v>
      </c>
      <c r="B197">
        <v>2022</v>
      </c>
      <c r="C197" t="s">
        <v>46</v>
      </c>
      <c r="D197" t="s">
        <v>69</v>
      </c>
      <c r="E197" t="s">
        <v>71</v>
      </c>
      <c r="F197" t="s">
        <v>73</v>
      </c>
      <c r="G197">
        <v>595217</v>
      </c>
      <c r="H197">
        <v>440185.50136736903</v>
      </c>
      <c r="I197">
        <v>1035402.501367369</v>
      </c>
      <c r="J197">
        <f>VLOOKUP(C197,'LEAID Match'!$A$2:$B$59,2,FALSE)</f>
        <v>4400006</v>
      </c>
    </row>
    <row r="198" spans="1:10" x14ac:dyDescent="0.2">
      <c r="A198">
        <f t="shared" si="3"/>
        <v>4400570</v>
      </c>
      <c r="B198">
        <v>2015</v>
      </c>
      <c r="C198" t="s">
        <v>16</v>
      </c>
      <c r="D198" t="s">
        <v>69</v>
      </c>
      <c r="E198" t="s">
        <v>71</v>
      </c>
      <c r="F198" t="s">
        <v>73</v>
      </c>
      <c r="G198">
        <v>3404310</v>
      </c>
      <c r="H198">
        <v>2174919.898066496</v>
      </c>
      <c r="I198">
        <v>5579229.8980664965</v>
      </c>
      <c r="J198">
        <f>VLOOKUP(C198,'LEAID Match'!$A$2:$B$59,2,FALSE)</f>
        <v>4400570</v>
      </c>
    </row>
    <row r="199" spans="1:10" x14ac:dyDescent="0.2">
      <c r="A199">
        <f t="shared" si="3"/>
        <v>4400570</v>
      </c>
      <c r="B199">
        <v>2016</v>
      </c>
      <c r="C199" t="s">
        <v>16</v>
      </c>
      <c r="D199" t="s">
        <v>69</v>
      </c>
      <c r="E199" t="s">
        <v>71</v>
      </c>
      <c r="F199" t="s">
        <v>73</v>
      </c>
      <c r="G199">
        <v>3517578</v>
      </c>
      <c r="H199">
        <v>2250012.0170799782</v>
      </c>
      <c r="I199">
        <v>5767590.0170799782</v>
      </c>
      <c r="J199">
        <f>VLOOKUP(C199,'LEAID Match'!$A$2:$B$59,2,FALSE)</f>
        <v>4400570</v>
      </c>
    </row>
    <row r="200" spans="1:10" x14ac:dyDescent="0.2">
      <c r="A200">
        <f t="shared" si="3"/>
        <v>4400570</v>
      </c>
      <c r="B200">
        <v>2017</v>
      </c>
      <c r="C200" t="s">
        <v>16</v>
      </c>
      <c r="D200" t="s">
        <v>69</v>
      </c>
      <c r="E200" t="s">
        <v>71</v>
      </c>
      <c r="F200" t="s">
        <v>73</v>
      </c>
      <c r="G200">
        <v>3426655</v>
      </c>
      <c r="H200">
        <v>2409683.048641806</v>
      </c>
      <c r="I200">
        <v>5836338.0486418065</v>
      </c>
      <c r="J200">
        <f>VLOOKUP(C200,'LEAID Match'!$A$2:$B$59,2,FALSE)</f>
        <v>4400570</v>
      </c>
    </row>
    <row r="201" spans="1:10" x14ac:dyDescent="0.2">
      <c r="A201">
        <f t="shared" si="3"/>
        <v>4400570</v>
      </c>
      <c r="B201">
        <v>2018</v>
      </c>
      <c r="C201" t="s">
        <v>16</v>
      </c>
      <c r="D201" t="s">
        <v>69</v>
      </c>
      <c r="E201" t="s">
        <v>71</v>
      </c>
      <c r="F201" t="s">
        <v>73</v>
      </c>
      <c r="G201">
        <v>3475182</v>
      </c>
      <c r="H201">
        <v>3475182</v>
      </c>
      <c r="I201">
        <v>6950364</v>
      </c>
      <c r="J201">
        <f>VLOOKUP(C201,'LEAID Match'!$A$2:$B$59,2,FALSE)</f>
        <v>4400570</v>
      </c>
    </row>
    <row r="202" spans="1:10" x14ac:dyDescent="0.2">
      <c r="A202">
        <f t="shared" si="3"/>
        <v>4400570</v>
      </c>
      <c r="B202">
        <v>2019</v>
      </c>
      <c r="C202" t="s">
        <v>16</v>
      </c>
      <c r="D202" t="s">
        <v>69</v>
      </c>
      <c r="E202" t="s">
        <v>71</v>
      </c>
      <c r="F202" t="s">
        <v>73</v>
      </c>
      <c r="G202">
        <v>3621244</v>
      </c>
      <c r="H202">
        <v>2511810.6412866889</v>
      </c>
      <c r="I202">
        <v>6133054.6412866889</v>
      </c>
      <c r="J202">
        <f>VLOOKUP(C202,'LEAID Match'!$A$2:$B$59,2,FALSE)</f>
        <v>4400570</v>
      </c>
    </row>
    <row r="203" spans="1:10" x14ac:dyDescent="0.2">
      <c r="A203">
        <f t="shared" si="3"/>
        <v>4400570</v>
      </c>
      <c r="B203">
        <v>2020</v>
      </c>
      <c r="C203" t="s">
        <v>16</v>
      </c>
      <c r="D203" t="s">
        <v>69</v>
      </c>
      <c r="E203" t="s">
        <v>71</v>
      </c>
      <c r="F203" t="s">
        <v>73</v>
      </c>
      <c r="G203">
        <v>3434736</v>
      </c>
      <c r="H203">
        <v>2573153.5300128125</v>
      </c>
      <c r="I203">
        <v>6007889.5300128125</v>
      </c>
      <c r="J203">
        <f>VLOOKUP(C203,'LEAID Match'!$A$2:$B$59,2,FALSE)</f>
        <v>4400570</v>
      </c>
    </row>
    <row r="204" spans="1:10" x14ac:dyDescent="0.2">
      <c r="A204">
        <f t="shared" si="3"/>
        <v>4400570</v>
      </c>
      <c r="B204">
        <v>2021</v>
      </c>
      <c r="C204" t="s">
        <v>16</v>
      </c>
      <c r="D204" t="s">
        <v>69</v>
      </c>
      <c r="E204" t="s">
        <v>71</v>
      </c>
      <c r="F204" t="s">
        <v>73</v>
      </c>
      <c r="G204">
        <v>3852089</v>
      </c>
      <c r="H204">
        <v>2856703.916585933</v>
      </c>
      <c r="I204">
        <v>6708792.9165859334</v>
      </c>
      <c r="J204">
        <f>VLOOKUP(C204,'LEAID Match'!$A$2:$B$59,2,FALSE)</f>
        <v>4400570</v>
      </c>
    </row>
    <row r="205" spans="1:10" x14ac:dyDescent="0.2">
      <c r="A205">
        <f t="shared" si="3"/>
        <v>4400570</v>
      </c>
      <c r="B205">
        <v>2022</v>
      </c>
      <c r="C205" t="s">
        <v>16</v>
      </c>
      <c r="D205" t="s">
        <v>69</v>
      </c>
      <c r="E205" t="s">
        <v>71</v>
      </c>
      <c r="F205" t="s">
        <v>73</v>
      </c>
      <c r="G205">
        <v>3959729</v>
      </c>
      <c r="H205">
        <v>2928369.4772560443</v>
      </c>
      <c r="I205">
        <v>6888098.4772560447</v>
      </c>
      <c r="J205">
        <f>VLOOKUP(C205,'LEAID Match'!$A$2:$B$59,2,FALSE)</f>
        <v>4400570</v>
      </c>
    </row>
    <row r="206" spans="1:10" x14ac:dyDescent="0.2">
      <c r="A206">
        <f t="shared" si="3"/>
        <v>4400600</v>
      </c>
      <c r="B206">
        <v>2015</v>
      </c>
      <c r="C206" t="s">
        <v>17</v>
      </c>
      <c r="D206" t="s">
        <v>69</v>
      </c>
      <c r="E206" t="s">
        <v>71</v>
      </c>
      <c r="F206" t="s">
        <v>73</v>
      </c>
      <c r="G206">
        <v>271115</v>
      </c>
      <c r="H206">
        <v>173207.90649626448</v>
      </c>
      <c r="I206">
        <v>444322.90649626451</v>
      </c>
      <c r="J206">
        <f>VLOOKUP(C206,'LEAID Match'!$A$2:$B$59,2,FALSE)</f>
        <v>4400600</v>
      </c>
    </row>
    <row r="207" spans="1:10" x14ac:dyDescent="0.2">
      <c r="A207">
        <f t="shared" si="3"/>
        <v>4400600</v>
      </c>
      <c r="B207">
        <v>2016</v>
      </c>
      <c r="C207" t="s">
        <v>17</v>
      </c>
      <c r="D207" t="s">
        <v>69</v>
      </c>
      <c r="E207" t="s">
        <v>71</v>
      </c>
      <c r="F207" t="s">
        <v>73</v>
      </c>
      <c r="G207">
        <v>304597</v>
      </c>
      <c r="H207">
        <v>194834.88649477286</v>
      </c>
      <c r="I207">
        <v>499431.88649477286</v>
      </c>
      <c r="J207">
        <f>VLOOKUP(C207,'LEAID Match'!$A$2:$B$59,2,FALSE)</f>
        <v>4400600</v>
      </c>
    </row>
    <row r="208" spans="1:10" x14ac:dyDescent="0.2">
      <c r="A208">
        <f t="shared" si="3"/>
        <v>4400600</v>
      </c>
      <c r="B208">
        <v>2017</v>
      </c>
      <c r="C208" t="s">
        <v>17</v>
      </c>
      <c r="D208" t="s">
        <v>69</v>
      </c>
      <c r="E208" t="s">
        <v>71</v>
      </c>
      <c r="F208" t="s">
        <v>73</v>
      </c>
      <c r="G208">
        <v>299704</v>
      </c>
      <c r="H208">
        <v>210757.03518741857</v>
      </c>
      <c r="I208">
        <v>510461.03518741857</v>
      </c>
      <c r="J208">
        <f>VLOOKUP(C208,'LEAID Match'!$A$2:$B$59,2,FALSE)</f>
        <v>4400600</v>
      </c>
    </row>
    <row r="209" spans="1:10" x14ac:dyDescent="0.2">
      <c r="A209">
        <f t="shared" si="3"/>
        <v>4400600</v>
      </c>
      <c r="B209">
        <v>2018</v>
      </c>
      <c r="C209" t="s">
        <v>17</v>
      </c>
      <c r="D209" t="s">
        <v>69</v>
      </c>
      <c r="E209" t="s">
        <v>71</v>
      </c>
      <c r="F209" t="s">
        <v>73</v>
      </c>
      <c r="G209">
        <v>333080</v>
      </c>
      <c r="H209">
        <v>333080</v>
      </c>
      <c r="I209">
        <v>666160</v>
      </c>
      <c r="J209">
        <f>VLOOKUP(C209,'LEAID Match'!$A$2:$B$59,2,FALSE)</f>
        <v>4400600</v>
      </c>
    </row>
    <row r="210" spans="1:10" x14ac:dyDescent="0.2">
      <c r="A210">
        <f t="shared" si="3"/>
        <v>4400600</v>
      </c>
      <c r="B210">
        <v>2019</v>
      </c>
      <c r="C210" t="s">
        <v>17</v>
      </c>
      <c r="D210" t="s">
        <v>69</v>
      </c>
      <c r="E210" t="s">
        <v>71</v>
      </c>
      <c r="F210" t="s">
        <v>73</v>
      </c>
      <c r="G210">
        <v>358346</v>
      </c>
      <c r="H210">
        <v>248560.24506012848</v>
      </c>
      <c r="I210">
        <v>606906.24506012851</v>
      </c>
      <c r="J210">
        <f>VLOOKUP(C210,'LEAID Match'!$A$2:$B$59,2,FALSE)</f>
        <v>4400600</v>
      </c>
    </row>
    <row r="211" spans="1:10" x14ac:dyDescent="0.2">
      <c r="A211">
        <f t="shared" si="3"/>
        <v>4400600</v>
      </c>
      <c r="B211">
        <v>2020</v>
      </c>
      <c r="C211" t="s">
        <v>17</v>
      </c>
      <c r="D211" t="s">
        <v>69</v>
      </c>
      <c r="E211" t="s">
        <v>71</v>
      </c>
      <c r="F211" t="s">
        <v>73</v>
      </c>
      <c r="G211">
        <v>358346</v>
      </c>
      <c r="H211">
        <v>268457.10263204254</v>
      </c>
      <c r="I211">
        <v>626803.10263204249</v>
      </c>
      <c r="J211">
        <f>VLOOKUP(C211,'LEAID Match'!$A$2:$B$59,2,FALSE)</f>
        <v>4400600</v>
      </c>
    </row>
    <row r="212" spans="1:10" x14ac:dyDescent="0.2">
      <c r="A212">
        <f t="shared" si="3"/>
        <v>4400600</v>
      </c>
      <c r="B212">
        <v>2021</v>
      </c>
      <c r="C212" t="s">
        <v>17</v>
      </c>
      <c r="D212" t="s">
        <v>69</v>
      </c>
      <c r="E212" t="s">
        <v>71</v>
      </c>
      <c r="F212" t="s">
        <v>73</v>
      </c>
      <c r="G212">
        <v>405230</v>
      </c>
      <c r="H212">
        <v>300518.01194575662</v>
      </c>
      <c r="I212">
        <v>705748.01194575662</v>
      </c>
      <c r="J212">
        <f>VLOOKUP(C212,'LEAID Match'!$A$2:$B$59,2,FALSE)</f>
        <v>4400600</v>
      </c>
    </row>
    <row r="213" spans="1:10" x14ac:dyDescent="0.2">
      <c r="A213">
        <f t="shared" si="3"/>
        <v>4400600</v>
      </c>
      <c r="B213">
        <v>2022</v>
      </c>
      <c r="C213" t="s">
        <v>17</v>
      </c>
      <c r="D213" t="s">
        <v>69</v>
      </c>
      <c r="E213" t="s">
        <v>71</v>
      </c>
      <c r="F213" t="s">
        <v>73</v>
      </c>
      <c r="G213">
        <v>420087</v>
      </c>
      <c r="H213">
        <v>310670.23743091</v>
      </c>
      <c r="I213">
        <v>730757.23743091</v>
      </c>
      <c r="J213">
        <f>VLOOKUP(C213,'LEAID Match'!$A$2:$B$59,2,FALSE)</f>
        <v>4400600</v>
      </c>
    </row>
    <row r="214" spans="1:10" x14ac:dyDescent="0.2">
      <c r="A214">
        <f t="shared" si="3"/>
        <v>4400630</v>
      </c>
      <c r="B214">
        <v>2015</v>
      </c>
      <c r="C214" t="s">
        <v>18</v>
      </c>
      <c r="D214" t="s">
        <v>69</v>
      </c>
      <c r="E214" t="s">
        <v>71</v>
      </c>
      <c r="F214" t="s">
        <v>73</v>
      </c>
      <c r="G214">
        <v>2285458</v>
      </c>
      <c r="H214">
        <v>1460116.1705001185</v>
      </c>
      <c r="I214">
        <v>3745574.1705001183</v>
      </c>
      <c r="J214">
        <f>VLOOKUP(C214,'LEAID Match'!$A$2:$B$59,2,FALSE)</f>
        <v>4400630</v>
      </c>
    </row>
    <row r="215" spans="1:10" x14ac:dyDescent="0.2">
      <c r="A215">
        <f t="shared" si="3"/>
        <v>4400630</v>
      </c>
      <c r="B215">
        <v>2016</v>
      </c>
      <c r="C215" t="s">
        <v>18</v>
      </c>
      <c r="D215" t="s">
        <v>69</v>
      </c>
      <c r="E215" t="s">
        <v>71</v>
      </c>
      <c r="F215" t="s">
        <v>73</v>
      </c>
      <c r="G215">
        <v>2403973</v>
      </c>
      <c r="H215">
        <v>1537696.7159607566</v>
      </c>
      <c r="I215">
        <v>3941669.7159607569</v>
      </c>
      <c r="J215">
        <f>VLOOKUP(C215,'LEAID Match'!$A$2:$B$59,2,FALSE)</f>
        <v>4400630</v>
      </c>
    </row>
    <row r="216" spans="1:10" x14ac:dyDescent="0.2">
      <c r="A216">
        <f t="shared" si="3"/>
        <v>4400630</v>
      </c>
      <c r="B216">
        <v>2017</v>
      </c>
      <c r="C216" t="s">
        <v>18</v>
      </c>
      <c r="D216" t="s">
        <v>69</v>
      </c>
      <c r="E216" t="s">
        <v>71</v>
      </c>
      <c r="F216" t="s">
        <v>73</v>
      </c>
      <c r="G216">
        <v>2423051</v>
      </c>
      <c r="H216">
        <v>1703931.3618367114</v>
      </c>
      <c r="I216">
        <v>4126982.3618367114</v>
      </c>
      <c r="J216">
        <f>VLOOKUP(C216,'LEAID Match'!$A$2:$B$59,2,FALSE)</f>
        <v>4400630</v>
      </c>
    </row>
    <row r="217" spans="1:10" x14ac:dyDescent="0.2">
      <c r="A217">
        <f t="shared" si="3"/>
        <v>4400630</v>
      </c>
      <c r="B217">
        <v>2018</v>
      </c>
      <c r="C217" t="s">
        <v>18</v>
      </c>
      <c r="D217" t="s">
        <v>69</v>
      </c>
      <c r="E217" t="s">
        <v>71</v>
      </c>
      <c r="F217" t="s">
        <v>73</v>
      </c>
      <c r="G217">
        <v>2494455</v>
      </c>
      <c r="H217">
        <v>2494455</v>
      </c>
      <c r="I217">
        <v>4988910</v>
      </c>
      <c r="J217">
        <f>VLOOKUP(C217,'LEAID Match'!$A$2:$B$59,2,FALSE)</f>
        <v>4400630</v>
      </c>
    </row>
    <row r="218" spans="1:10" x14ac:dyDescent="0.2">
      <c r="A218">
        <f t="shared" si="3"/>
        <v>4400630</v>
      </c>
      <c r="B218">
        <v>2019</v>
      </c>
      <c r="C218" t="s">
        <v>18</v>
      </c>
      <c r="D218" t="s">
        <v>69</v>
      </c>
      <c r="E218" t="s">
        <v>71</v>
      </c>
      <c r="F218" t="s">
        <v>73</v>
      </c>
      <c r="G218">
        <v>2536492</v>
      </c>
      <c r="H218">
        <v>1759391.9650646453</v>
      </c>
      <c r="I218">
        <v>4295883.9650646448</v>
      </c>
      <c r="J218">
        <f>VLOOKUP(C218,'LEAID Match'!$A$2:$B$59,2,FALSE)</f>
        <v>4400630</v>
      </c>
    </row>
    <row r="219" spans="1:10" x14ac:dyDescent="0.2">
      <c r="A219">
        <f t="shared" si="3"/>
        <v>4400630</v>
      </c>
      <c r="B219">
        <v>2020</v>
      </c>
      <c r="C219" t="s">
        <v>18</v>
      </c>
      <c r="D219" t="s">
        <v>69</v>
      </c>
      <c r="E219" t="s">
        <v>71</v>
      </c>
      <c r="F219" t="s">
        <v>73</v>
      </c>
      <c r="G219">
        <v>2383398</v>
      </c>
      <c r="H219">
        <v>1785537.2224023847</v>
      </c>
      <c r="I219">
        <v>4168935.2224023845</v>
      </c>
      <c r="J219">
        <f>VLOOKUP(C219,'LEAID Match'!$A$2:$B$59,2,FALSE)</f>
        <v>4400630</v>
      </c>
    </row>
    <row r="220" spans="1:10" x14ac:dyDescent="0.2">
      <c r="A220">
        <f t="shared" si="3"/>
        <v>4400630</v>
      </c>
      <c r="B220">
        <v>2021</v>
      </c>
      <c r="C220" t="s">
        <v>18</v>
      </c>
      <c r="D220" t="s">
        <v>69</v>
      </c>
      <c r="E220" t="s">
        <v>71</v>
      </c>
      <c r="F220" t="s">
        <v>73</v>
      </c>
      <c r="G220">
        <v>2590712</v>
      </c>
      <c r="H220">
        <v>1921268.4642400984</v>
      </c>
      <c r="I220">
        <v>4511980.4642400984</v>
      </c>
      <c r="J220">
        <f>VLOOKUP(C220,'LEAID Match'!$A$2:$B$59,2,FALSE)</f>
        <v>4400630</v>
      </c>
    </row>
    <row r="221" spans="1:10" x14ac:dyDescent="0.2">
      <c r="A221">
        <f t="shared" si="3"/>
        <v>4400630</v>
      </c>
      <c r="B221">
        <v>2022</v>
      </c>
      <c r="C221" t="s">
        <v>18</v>
      </c>
      <c r="D221" t="s">
        <v>69</v>
      </c>
      <c r="E221" t="s">
        <v>71</v>
      </c>
      <c r="F221" t="s">
        <v>73</v>
      </c>
      <c r="G221">
        <v>2681418</v>
      </c>
      <c r="H221">
        <v>1983010.1067434028</v>
      </c>
      <c r="I221">
        <v>4664428.1067434028</v>
      </c>
      <c r="J221">
        <f>VLOOKUP(C221,'LEAID Match'!$A$2:$B$59,2,FALSE)</f>
        <v>4400630</v>
      </c>
    </row>
    <row r="222" spans="1:10" x14ac:dyDescent="0.2">
      <c r="A222">
        <f t="shared" si="3"/>
        <v>4400660</v>
      </c>
      <c r="B222">
        <v>2015</v>
      </c>
      <c r="C222" t="s">
        <v>19</v>
      </c>
      <c r="D222" t="s">
        <v>69</v>
      </c>
      <c r="E222" t="s">
        <v>71</v>
      </c>
      <c r="F222" t="s">
        <v>73</v>
      </c>
      <c r="G222">
        <v>1666194</v>
      </c>
      <c r="H222">
        <v>1064485.4565650623</v>
      </c>
      <c r="I222">
        <v>2730679.4565650625</v>
      </c>
      <c r="J222">
        <f>VLOOKUP(C222,'LEAID Match'!$A$2:$B$59,2,FALSE)</f>
        <v>4400660</v>
      </c>
    </row>
    <row r="223" spans="1:10" x14ac:dyDescent="0.2">
      <c r="A223">
        <f t="shared" si="3"/>
        <v>4400660</v>
      </c>
      <c r="B223">
        <v>2016</v>
      </c>
      <c r="C223" t="s">
        <v>19</v>
      </c>
      <c r="D223" t="s">
        <v>69</v>
      </c>
      <c r="E223" t="s">
        <v>71</v>
      </c>
      <c r="F223" t="s">
        <v>73</v>
      </c>
      <c r="G223">
        <v>1706931</v>
      </c>
      <c r="H223">
        <v>1091835.1383612088</v>
      </c>
      <c r="I223">
        <v>2798766.1383612091</v>
      </c>
      <c r="J223">
        <f>VLOOKUP(C223,'LEAID Match'!$A$2:$B$59,2,FALSE)</f>
        <v>4400660</v>
      </c>
    </row>
    <row r="224" spans="1:10" x14ac:dyDescent="0.2">
      <c r="A224">
        <f t="shared" si="3"/>
        <v>4400660</v>
      </c>
      <c r="B224">
        <v>2017</v>
      </c>
      <c r="C224" t="s">
        <v>19</v>
      </c>
      <c r="D224" t="s">
        <v>69</v>
      </c>
      <c r="E224" t="s">
        <v>71</v>
      </c>
      <c r="F224" t="s">
        <v>73</v>
      </c>
      <c r="G224">
        <v>1642280</v>
      </c>
      <c r="H224">
        <v>1154879.6937898519</v>
      </c>
      <c r="I224">
        <v>2797159.6937898519</v>
      </c>
      <c r="J224">
        <f>VLOOKUP(C224,'LEAID Match'!$A$2:$B$59,2,FALSE)</f>
        <v>4400660</v>
      </c>
    </row>
    <row r="225" spans="1:10" x14ac:dyDescent="0.2">
      <c r="A225">
        <f t="shared" si="3"/>
        <v>4400660</v>
      </c>
      <c r="B225">
        <v>2018</v>
      </c>
      <c r="C225" t="s">
        <v>19</v>
      </c>
      <c r="D225" t="s">
        <v>69</v>
      </c>
      <c r="E225" t="s">
        <v>71</v>
      </c>
      <c r="F225" t="s">
        <v>73</v>
      </c>
      <c r="G225">
        <v>1660661</v>
      </c>
      <c r="H225">
        <v>1660660.9999999998</v>
      </c>
      <c r="I225">
        <v>3321322</v>
      </c>
      <c r="J225">
        <f>VLOOKUP(C225,'LEAID Match'!$A$2:$B$59,2,FALSE)</f>
        <v>4400660</v>
      </c>
    </row>
    <row r="226" spans="1:10" x14ac:dyDescent="0.2">
      <c r="A226">
        <f t="shared" si="3"/>
        <v>4400660</v>
      </c>
      <c r="B226">
        <v>2019</v>
      </c>
      <c r="C226" t="s">
        <v>19</v>
      </c>
      <c r="D226" t="s">
        <v>69</v>
      </c>
      <c r="E226" t="s">
        <v>71</v>
      </c>
      <c r="F226" t="s">
        <v>73</v>
      </c>
      <c r="G226">
        <v>1679749</v>
      </c>
      <c r="H226">
        <v>1165127.6226873072</v>
      </c>
      <c r="I226">
        <v>2844876.6226873072</v>
      </c>
      <c r="J226">
        <f>VLOOKUP(C226,'LEAID Match'!$A$2:$B$59,2,FALSE)</f>
        <v>4400660</v>
      </c>
    </row>
    <row r="227" spans="1:10" x14ac:dyDescent="0.2">
      <c r="A227">
        <f t="shared" si="3"/>
        <v>4400660</v>
      </c>
      <c r="B227">
        <v>2020</v>
      </c>
      <c r="C227" t="s">
        <v>19</v>
      </c>
      <c r="D227" t="s">
        <v>69</v>
      </c>
      <c r="E227" t="s">
        <v>71</v>
      </c>
      <c r="F227" t="s">
        <v>73</v>
      </c>
      <c r="G227">
        <v>1617354</v>
      </c>
      <c r="H227">
        <v>1211650.6638007527</v>
      </c>
      <c r="I227">
        <v>2829004.6638007527</v>
      </c>
      <c r="J227">
        <f>VLOOKUP(C227,'LEAID Match'!$A$2:$B$59,2,FALSE)</f>
        <v>4400660</v>
      </c>
    </row>
    <row r="228" spans="1:10" x14ac:dyDescent="0.2">
      <c r="A228">
        <f t="shared" si="3"/>
        <v>4400660</v>
      </c>
      <c r="B228">
        <v>2021</v>
      </c>
      <c r="C228" t="s">
        <v>19</v>
      </c>
      <c r="D228" t="s">
        <v>69</v>
      </c>
      <c r="E228" t="s">
        <v>71</v>
      </c>
      <c r="F228" t="s">
        <v>73</v>
      </c>
      <c r="G228">
        <v>1771424</v>
      </c>
      <c r="H228">
        <v>1313685.607662315</v>
      </c>
      <c r="I228">
        <v>3085109.607662315</v>
      </c>
      <c r="J228">
        <f>VLOOKUP(C228,'LEAID Match'!$A$2:$B$59,2,FALSE)</f>
        <v>4400660</v>
      </c>
    </row>
    <row r="229" spans="1:10" x14ac:dyDescent="0.2">
      <c r="A229">
        <f t="shared" si="3"/>
        <v>4400660</v>
      </c>
      <c r="B229">
        <v>2022</v>
      </c>
      <c r="C229" t="s">
        <v>19</v>
      </c>
      <c r="D229" t="s">
        <v>69</v>
      </c>
      <c r="E229" t="s">
        <v>71</v>
      </c>
      <c r="F229" t="s">
        <v>73</v>
      </c>
      <c r="G229">
        <v>1874602</v>
      </c>
      <c r="H229">
        <v>1386339.1355325414</v>
      </c>
      <c r="I229">
        <v>3260941.1355325412</v>
      </c>
      <c r="J229">
        <f>VLOOKUP(C229,'LEAID Match'!$A$2:$B$59,2,FALSE)</f>
        <v>4400660</v>
      </c>
    </row>
    <row r="230" spans="1:10" x14ac:dyDescent="0.2">
      <c r="A230">
        <f t="shared" si="3"/>
        <v>4400690</v>
      </c>
      <c r="B230">
        <v>2015</v>
      </c>
      <c r="C230" t="s">
        <v>20</v>
      </c>
      <c r="D230" t="s">
        <v>69</v>
      </c>
      <c r="E230" t="s">
        <v>71</v>
      </c>
      <c r="F230" t="s">
        <v>73</v>
      </c>
      <c r="G230">
        <v>250456</v>
      </c>
      <c r="H230">
        <v>160009.44038296817</v>
      </c>
      <c r="I230">
        <v>410465.44038296817</v>
      </c>
      <c r="J230">
        <f>VLOOKUP(C230,'LEAID Match'!$A$2:$B$59,2,FALSE)</f>
        <v>4400690</v>
      </c>
    </row>
    <row r="231" spans="1:10" x14ac:dyDescent="0.2">
      <c r="A231">
        <f t="shared" si="3"/>
        <v>4400690</v>
      </c>
      <c r="B231">
        <v>2016</v>
      </c>
      <c r="C231" t="s">
        <v>20</v>
      </c>
      <c r="D231" t="s">
        <v>69</v>
      </c>
      <c r="E231" t="s">
        <v>71</v>
      </c>
      <c r="F231" t="s">
        <v>73</v>
      </c>
      <c r="G231">
        <v>258842</v>
      </c>
      <c r="H231">
        <v>165567.78855366271</v>
      </c>
      <c r="I231">
        <v>424409.78855366271</v>
      </c>
      <c r="J231">
        <f>VLOOKUP(C231,'LEAID Match'!$A$2:$B$59,2,FALSE)</f>
        <v>4400690</v>
      </c>
    </row>
    <row r="232" spans="1:10" x14ac:dyDescent="0.2">
      <c r="A232">
        <f t="shared" si="3"/>
        <v>4400690</v>
      </c>
      <c r="B232">
        <v>2017</v>
      </c>
      <c r="C232" t="s">
        <v>20</v>
      </c>
      <c r="D232" t="s">
        <v>69</v>
      </c>
      <c r="E232" t="s">
        <v>71</v>
      </c>
      <c r="F232" t="s">
        <v>73</v>
      </c>
      <c r="G232">
        <v>251125</v>
      </c>
      <c r="H232">
        <v>176595.44237461124</v>
      </c>
      <c r="I232">
        <v>427720.44237461127</v>
      </c>
      <c r="J232">
        <f>VLOOKUP(C232,'LEAID Match'!$A$2:$B$59,2,FALSE)</f>
        <v>4400690</v>
      </c>
    </row>
    <row r="233" spans="1:10" x14ac:dyDescent="0.2">
      <c r="A233">
        <f t="shared" si="3"/>
        <v>4400690</v>
      </c>
      <c r="B233">
        <v>2018</v>
      </c>
      <c r="C233" t="s">
        <v>20</v>
      </c>
      <c r="D233" t="s">
        <v>69</v>
      </c>
      <c r="E233" t="s">
        <v>71</v>
      </c>
      <c r="F233" t="s">
        <v>73</v>
      </c>
      <c r="G233">
        <v>283729</v>
      </c>
      <c r="H233">
        <v>283729</v>
      </c>
      <c r="I233">
        <v>567458</v>
      </c>
      <c r="J233">
        <f>VLOOKUP(C233,'LEAID Match'!$A$2:$B$59,2,FALSE)</f>
        <v>4400690</v>
      </c>
    </row>
    <row r="234" spans="1:10" x14ac:dyDescent="0.2">
      <c r="A234">
        <f t="shared" si="3"/>
        <v>4400690</v>
      </c>
      <c r="B234">
        <v>2019</v>
      </c>
      <c r="C234" t="s">
        <v>20</v>
      </c>
      <c r="D234" t="s">
        <v>69</v>
      </c>
      <c r="E234" t="s">
        <v>71</v>
      </c>
      <c r="F234" t="s">
        <v>73</v>
      </c>
      <c r="G234">
        <v>302543</v>
      </c>
      <c r="H234">
        <v>209853.49974947798</v>
      </c>
      <c r="I234">
        <v>512396.49974947795</v>
      </c>
      <c r="J234">
        <f>VLOOKUP(C234,'LEAID Match'!$A$2:$B$59,2,FALSE)</f>
        <v>4400690</v>
      </c>
    </row>
    <row r="235" spans="1:10" x14ac:dyDescent="0.2">
      <c r="A235">
        <f t="shared" si="3"/>
        <v>4400690</v>
      </c>
      <c r="B235">
        <v>2020</v>
      </c>
      <c r="C235" t="s">
        <v>20</v>
      </c>
      <c r="D235" t="s">
        <v>69</v>
      </c>
      <c r="E235" t="s">
        <v>71</v>
      </c>
      <c r="F235" t="s">
        <v>73</v>
      </c>
      <c r="G235">
        <v>302543</v>
      </c>
      <c r="H235">
        <v>226651.94309858643</v>
      </c>
      <c r="I235">
        <v>529194.9430985864</v>
      </c>
      <c r="J235">
        <f>VLOOKUP(C235,'LEAID Match'!$A$2:$B$59,2,FALSE)</f>
        <v>4400690</v>
      </c>
    </row>
    <row r="236" spans="1:10" x14ac:dyDescent="0.2">
      <c r="A236">
        <f t="shared" si="3"/>
        <v>4400690</v>
      </c>
      <c r="B236">
        <v>2021</v>
      </c>
      <c r="C236" t="s">
        <v>20</v>
      </c>
      <c r="D236" t="s">
        <v>69</v>
      </c>
      <c r="E236" t="s">
        <v>71</v>
      </c>
      <c r="F236" t="s">
        <v>73</v>
      </c>
      <c r="G236">
        <v>344201</v>
      </c>
      <c r="H236">
        <v>255258.98928939461</v>
      </c>
      <c r="I236">
        <v>599459.98928939458</v>
      </c>
      <c r="J236">
        <f>VLOOKUP(C236,'LEAID Match'!$A$2:$B$59,2,FALSE)</f>
        <v>4400690</v>
      </c>
    </row>
    <row r="237" spans="1:10" x14ac:dyDescent="0.2">
      <c r="A237">
        <f t="shared" si="3"/>
        <v>4400690</v>
      </c>
      <c r="B237">
        <v>2022</v>
      </c>
      <c r="C237" t="s">
        <v>20</v>
      </c>
      <c r="D237" t="s">
        <v>69</v>
      </c>
      <c r="E237" t="s">
        <v>71</v>
      </c>
      <c r="F237" t="s">
        <v>73</v>
      </c>
      <c r="G237">
        <v>378506</v>
      </c>
      <c r="H237">
        <v>279919.5140269135</v>
      </c>
      <c r="I237">
        <v>658425.51402691356</v>
      </c>
      <c r="J237">
        <f>VLOOKUP(C237,'LEAID Match'!$A$2:$B$59,2,FALSE)</f>
        <v>4400690</v>
      </c>
    </row>
    <row r="238" spans="1:10" x14ac:dyDescent="0.2">
      <c r="A238">
        <f t="shared" si="3"/>
        <v>4400720</v>
      </c>
      <c r="B238">
        <v>2015</v>
      </c>
      <c r="C238" t="s">
        <v>21</v>
      </c>
      <c r="D238" t="s">
        <v>69</v>
      </c>
      <c r="E238" t="s">
        <v>71</v>
      </c>
      <c r="F238" t="s">
        <v>73</v>
      </c>
      <c r="G238">
        <v>2310627</v>
      </c>
      <c r="H238">
        <v>1476195.9513997531</v>
      </c>
      <c r="I238">
        <v>3786822.9513997529</v>
      </c>
      <c r="J238">
        <f>VLOOKUP(C238,'LEAID Match'!$A$2:$B$59,2,FALSE)</f>
        <v>4400720</v>
      </c>
    </row>
    <row r="239" spans="1:10" x14ac:dyDescent="0.2">
      <c r="A239">
        <f t="shared" si="3"/>
        <v>4400720</v>
      </c>
      <c r="B239">
        <v>2016</v>
      </c>
      <c r="C239" t="s">
        <v>21</v>
      </c>
      <c r="D239" t="s">
        <v>69</v>
      </c>
      <c r="E239" t="s">
        <v>71</v>
      </c>
      <c r="F239" t="s">
        <v>73</v>
      </c>
      <c r="G239">
        <v>2236509</v>
      </c>
      <c r="H239">
        <v>1430578.6897426369</v>
      </c>
      <c r="I239">
        <v>3667087.6897426369</v>
      </c>
      <c r="J239">
        <f>VLOOKUP(C239,'LEAID Match'!$A$2:$B$59,2,FALSE)</f>
        <v>4400720</v>
      </c>
    </row>
    <row r="240" spans="1:10" x14ac:dyDescent="0.2">
      <c r="A240">
        <f t="shared" si="3"/>
        <v>4400720</v>
      </c>
      <c r="B240">
        <v>2017</v>
      </c>
      <c r="C240" t="s">
        <v>21</v>
      </c>
      <c r="D240" t="s">
        <v>69</v>
      </c>
      <c r="E240" t="s">
        <v>71</v>
      </c>
      <c r="F240" t="s">
        <v>73</v>
      </c>
      <c r="G240">
        <v>2546600</v>
      </c>
      <c r="H240">
        <v>1790813.1550072075</v>
      </c>
      <c r="I240">
        <v>4337413.1550072078</v>
      </c>
      <c r="J240">
        <f>VLOOKUP(C240,'LEAID Match'!$A$2:$B$59,2,FALSE)</f>
        <v>4400720</v>
      </c>
    </row>
    <row r="241" spans="1:10" x14ac:dyDescent="0.2">
      <c r="A241">
        <f t="shared" si="3"/>
        <v>4400720</v>
      </c>
      <c r="B241">
        <v>2018</v>
      </c>
      <c r="C241" t="s">
        <v>21</v>
      </c>
      <c r="D241" t="s">
        <v>69</v>
      </c>
      <c r="E241" t="s">
        <v>71</v>
      </c>
      <c r="F241" t="s">
        <v>73</v>
      </c>
      <c r="G241">
        <v>2554605</v>
      </c>
      <c r="H241">
        <v>2554605</v>
      </c>
      <c r="I241">
        <v>5109210</v>
      </c>
      <c r="J241">
        <f>VLOOKUP(C241,'LEAID Match'!$A$2:$B$59,2,FALSE)</f>
        <v>4400720</v>
      </c>
    </row>
    <row r="242" spans="1:10" x14ac:dyDescent="0.2">
      <c r="A242">
        <f t="shared" si="3"/>
        <v>4400720</v>
      </c>
      <c r="B242">
        <v>2019</v>
      </c>
      <c r="C242" t="s">
        <v>21</v>
      </c>
      <c r="D242" t="s">
        <v>69</v>
      </c>
      <c r="E242" t="s">
        <v>71</v>
      </c>
      <c r="F242" t="s">
        <v>73</v>
      </c>
      <c r="G242">
        <v>2610528</v>
      </c>
      <c r="H242">
        <v>1810745.7022439961</v>
      </c>
      <c r="I242">
        <v>4421273.7022439959</v>
      </c>
      <c r="J242">
        <f>VLOOKUP(C242,'LEAID Match'!$A$2:$B$59,2,FALSE)</f>
        <v>4400720</v>
      </c>
    </row>
    <row r="243" spans="1:10" x14ac:dyDescent="0.2">
      <c r="A243">
        <f t="shared" si="3"/>
        <v>4400720</v>
      </c>
      <c r="B243">
        <v>2020</v>
      </c>
      <c r="C243" t="s">
        <v>21</v>
      </c>
      <c r="D243" t="s">
        <v>69</v>
      </c>
      <c r="E243" t="s">
        <v>71</v>
      </c>
      <c r="F243" t="s">
        <v>73</v>
      </c>
      <c r="G243">
        <v>2399490</v>
      </c>
      <c r="H243">
        <v>1797592.6428495359</v>
      </c>
      <c r="I243">
        <v>4197082.6428495357</v>
      </c>
      <c r="J243">
        <f>VLOOKUP(C243,'LEAID Match'!$A$2:$B$59,2,FALSE)</f>
        <v>4400720</v>
      </c>
    </row>
    <row r="244" spans="1:10" x14ac:dyDescent="0.2">
      <c r="A244">
        <f t="shared" si="3"/>
        <v>4400720</v>
      </c>
      <c r="B244">
        <v>2021</v>
      </c>
      <c r="C244" t="s">
        <v>21</v>
      </c>
      <c r="D244" t="s">
        <v>69</v>
      </c>
      <c r="E244" t="s">
        <v>71</v>
      </c>
      <c r="F244" t="s">
        <v>73</v>
      </c>
      <c r="G244">
        <v>2678086</v>
      </c>
      <c r="H244">
        <v>1986064.902746005</v>
      </c>
      <c r="I244">
        <v>4664150.902746005</v>
      </c>
      <c r="J244">
        <f>VLOOKUP(C244,'LEAID Match'!$A$2:$B$59,2,FALSE)</f>
        <v>4400720</v>
      </c>
    </row>
    <row r="245" spans="1:10" x14ac:dyDescent="0.2">
      <c r="A245">
        <f t="shared" si="3"/>
        <v>4400720</v>
      </c>
      <c r="B245">
        <v>2022</v>
      </c>
      <c r="C245" t="s">
        <v>21</v>
      </c>
      <c r="D245" t="s">
        <v>69</v>
      </c>
      <c r="E245" t="s">
        <v>71</v>
      </c>
      <c r="F245" t="s">
        <v>73</v>
      </c>
      <c r="G245">
        <v>2793911</v>
      </c>
      <c r="H245">
        <v>2066202.938274289</v>
      </c>
      <c r="I245">
        <v>4860113.9382742886</v>
      </c>
      <c r="J245">
        <f>VLOOKUP(C245,'LEAID Match'!$A$2:$B$59,2,FALSE)</f>
        <v>4400720</v>
      </c>
    </row>
    <row r="246" spans="1:10" x14ac:dyDescent="0.2">
      <c r="A246">
        <f t="shared" si="3"/>
        <v>4400750</v>
      </c>
      <c r="B246">
        <v>2015</v>
      </c>
      <c r="C246" t="s">
        <v>22</v>
      </c>
      <c r="D246" t="s">
        <v>69</v>
      </c>
      <c r="E246" t="s">
        <v>71</v>
      </c>
      <c r="F246" t="s">
        <v>73</v>
      </c>
      <c r="G246">
        <v>3765968</v>
      </c>
      <c r="H246">
        <v>2405973.2335426817</v>
      </c>
      <c r="I246">
        <v>6171941.2335426817</v>
      </c>
      <c r="J246">
        <f>VLOOKUP(C246,'LEAID Match'!$A$2:$B$59,2,FALSE)</f>
        <v>4400750</v>
      </c>
    </row>
    <row r="247" spans="1:10" x14ac:dyDescent="0.2">
      <c r="A247">
        <f t="shared" si="3"/>
        <v>4400750</v>
      </c>
      <c r="B247">
        <v>2016</v>
      </c>
      <c r="C247" t="s">
        <v>22</v>
      </c>
      <c r="D247" t="s">
        <v>69</v>
      </c>
      <c r="E247" t="s">
        <v>71</v>
      </c>
      <c r="F247" t="s">
        <v>73</v>
      </c>
      <c r="G247">
        <v>4042004</v>
      </c>
      <c r="H247">
        <v>2585460.1015486624</v>
      </c>
      <c r="I247">
        <v>6627464.1015486624</v>
      </c>
      <c r="J247">
        <f>VLOOKUP(C247,'LEAID Match'!$A$2:$B$59,2,FALSE)</f>
        <v>4400750</v>
      </c>
    </row>
    <row r="248" spans="1:10" x14ac:dyDescent="0.2">
      <c r="A248">
        <f t="shared" si="3"/>
        <v>4400750</v>
      </c>
      <c r="B248">
        <v>2017</v>
      </c>
      <c r="C248" t="s">
        <v>22</v>
      </c>
      <c r="D248" t="s">
        <v>69</v>
      </c>
      <c r="E248" t="s">
        <v>71</v>
      </c>
      <c r="F248" t="s">
        <v>73</v>
      </c>
      <c r="G248">
        <v>3979174</v>
      </c>
      <c r="H248">
        <v>2798223.9634267846</v>
      </c>
      <c r="I248">
        <v>6777397.9634267846</v>
      </c>
      <c r="J248">
        <f>VLOOKUP(C248,'LEAID Match'!$A$2:$B$59,2,FALSE)</f>
        <v>4400750</v>
      </c>
    </row>
    <row r="249" spans="1:10" x14ac:dyDescent="0.2">
      <c r="A249">
        <f t="shared" si="3"/>
        <v>4400750</v>
      </c>
      <c r="B249">
        <v>2018</v>
      </c>
      <c r="C249" t="s">
        <v>22</v>
      </c>
      <c r="D249" t="s">
        <v>69</v>
      </c>
      <c r="E249" t="s">
        <v>71</v>
      </c>
      <c r="F249" t="s">
        <v>73</v>
      </c>
      <c r="G249">
        <v>4077838</v>
      </c>
      <c r="H249">
        <v>4077838</v>
      </c>
      <c r="I249">
        <v>8155676</v>
      </c>
      <c r="J249">
        <f>VLOOKUP(C249,'LEAID Match'!$A$2:$B$59,2,FALSE)</f>
        <v>4400750</v>
      </c>
    </row>
    <row r="250" spans="1:10" x14ac:dyDescent="0.2">
      <c r="A250">
        <f t="shared" si="3"/>
        <v>4400750</v>
      </c>
      <c r="B250">
        <v>2019</v>
      </c>
      <c r="C250" t="s">
        <v>22</v>
      </c>
      <c r="D250" t="s">
        <v>69</v>
      </c>
      <c r="E250" t="s">
        <v>71</v>
      </c>
      <c r="F250" t="s">
        <v>73</v>
      </c>
      <c r="G250">
        <v>4258728</v>
      </c>
      <c r="H250">
        <v>2953989.9296334572</v>
      </c>
      <c r="I250">
        <v>7212717.9296334572</v>
      </c>
      <c r="J250">
        <f>VLOOKUP(C250,'LEAID Match'!$A$2:$B$59,2,FALSE)</f>
        <v>4400750</v>
      </c>
    </row>
    <row r="251" spans="1:10" x14ac:dyDescent="0.2">
      <c r="A251">
        <f t="shared" si="3"/>
        <v>4400750</v>
      </c>
      <c r="B251">
        <v>2020</v>
      </c>
      <c r="C251" t="s">
        <v>22</v>
      </c>
      <c r="D251" t="s">
        <v>69</v>
      </c>
      <c r="E251" t="s">
        <v>71</v>
      </c>
      <c r="F251" t="s">
        <v>73</v>
      </c>
      <c r="G251">
        <v>4066500</v>
      </c>
      <c r="H251">
        <v>3046443.4034514157</v>
      </c>
      <c r="I251">
        <v>7112943.4034514157</v>
      </c>
      <c r="J251">
        <f>VLOOKUP(C251,'LEAID Match'!$A$2:$B$59,2,FALSE)</f>
        <v>4400750</v>
      </c>
    </row>
    <row r="252" spans="1:10" x14ac:dyDescent="0.2">
      <c r="A252">
        <f t="shared" si="3"/>
        <v>4400750</v>
      </c>
      <c r="B252">
        <v>2021</v>
      </c>
      <c r="C252" t="s">
        <v>22</v>
      </c>
      <c r="D252" t="s">
        <v>69</v>
      </c>
      <c r="E252" t="s">
        <v>71</v>
      </c>
      <c r="F252" t="s">
        <v>73</v>
      </c>
      <c r="G252">
        <v>4720939</v>
      </c>
      <c r="H252">
        <v>3501041.8843550286</v>
      </c>
      <c r="I252">
        <v>8221980.8843550291</v>
      </c>
      <c r="J252">
        <f>VLOOKUP(C252,'LEAID Match'!$A$2:$B$59,2,FALSE)</f>
        <v>4400750</v>
      </c>
    </row>
    <row r="253" spans="1:10" x14ac:dyDescent="0.2">
      <c r="A253">
        <f t="shared" si="3"/>
        <v>4400750</v>
      </c>
      <c r="B253">
        <v>2022</v>
      </c>
      <c r="C253" t="s">
        <v>22</v>
      </c>
      <c r="D253" t="s">
        <v>69</v>
      </c>
      <c r="E253" t="s">
        <v>71</v>
      </c>
      <c r="F253" t="s">
        <v>73</v>
      </c>
      <c r="G253">
        <v>4891487</v>
      </c>
      <c r="H253">
        <v>3617439.7867113468</v>
      </c>
      <c r="I253">
        <v>8508926.7867113464</v>
      </c>
      <c r="J253">
        <f>VLOOKUP(C253,'LEAID Match'!$A$2:$B$59,2,FALSE)</f>
        <v>4400750</v>
      </c>
    </row>
    <row r="254" spans="1:10" x14ac:dyDescent="0.2">
      <c r="A254">
        <f t="shared" si="3"/>
        <v>4400780</v>
      </c>
      <c r="B254">
        <v>2015</v>
      </c>
      <c r="C254" t="s">
        <v>23</v>
      </c>
      <c r="D254" t="s">
        <v>69</v>
      </c>
      <c r="E254" t="s">
        <v>71</v>
      </c>
      <c r="F254" t="s">
        <v>73</v>
      </c>
      <c r="G254">
        <v>3255338</v>
      </c>
      <c r="H254">
        <v>2079745.790228267</v>
      </c>
      <c r="I254">
        <v>5335083.7902282672</v>
      </c>
      <c r="J254">
        <f>VLOOKUP(C254,'LEAID Match'!$A$2:$B$59,2,FALSE)</f>
        <v>4400780</v>
      </c>
    </row>
    <row r="255" spans="1:10" x14ac:dyDescent="0.2">
      <c r="A255">
        <f t="shared" si="3"/>
        <v>4400780</v>
      </c>
      <c r="B255">
        <v>2016</v>
      </c>
      <c r="C255" t="s">
        <v>23</v>
      </c>
      <c r="D255" t="s">
        <v>69</v>
      </c>
      <c r="E255" t="s">
        <v>71</v>
      </c>
      <c r="F255" t="s">
        <v>73</v>
      </c>
      <c r="G255">
        <v>3408564</v>
      </c>
      <c r="H255">
        <v>2180281.4211898637</v>
      </c>
      <c r="I255">
        <v>5588845.4211898632</v>
      </c>
      <c r="J255">
        <f>VLOOKUP(C255,'LEAID Match'!$A$2:$B$59,2,FALSE)</f>
        <v>4400780</v>
      </c>
    </row>
    <row r="256" spans="1:10" x14ac:dyDescent="0.2">
      <c r="A256">
        <f t="shared" si="3"/>
        <v>4400780</v>
      </c>
      <c r="B256">
        <v>2017</v>
      </c>
      <c r="C256" t="s">
        <v>23</v>
      </c>
      <c r="D256" t="s">
        <v>69</v>
      </c>
      <c r="E256" t="s">
        <v>71</v>
      </c>
      <c r="F256" t="s">
        <v>73</v>
      </c>
      <c r="G256">
        <v>3407290</v>
      </c>
      <c r="H256">
        <v>2396065.2457883093</v>
      </c>
      <c r="I256">
        <v>5803355.2457883097</v>
      </c>
      <c r="J256">
        <f>VLOOKUP(C256,'LEAID Match'!$A$2:$B$59,2,FALSE)</f>
        <v>4400780</v>
      </c>
    </row>
    <row r="257" spans="1:10" x14ac:dyDescent="0.2">
      <c r="A257">
        <f t="shared" si="3"/>
        <v>4400780</v>
      </c>
      <c r="B257">
        <v>2018</v>
      </c>
      <c r="C257" t="s">
        <v>23</v>
      </c>
      <c r="D257" t="s">
        <v>69</v>
      </c>
      <c r="E257" t="s">
        <v>71</v>
      </c>
      <c r="F257" t="s">
        <v>73</v>
      </c>
      <c r="G257">
        <v>3538031</v>
      </c>
      <c r="H257">
        <v>3538031</v>
      </c>
      <c r="I257">
        <v>7076062</v>
      </c>
      <c r="J257">
        <f>VLOOKUP(C257,'LEAID Match'!$A$2:$B$59,2,FALSE)</f>
        <v>4400780</v>
      </c>
    </row>
    <row r="258" spans="1:10" x14ac:dyDescent="0.2">
      <c r="A258">
        <f t="shared" si="3"/>
        <v>4400780</v>
      </c>
      <c r="B258">
        <v>2019</v>
      </c>
      <c r="C258" t="s">
        <v>23</v>
      </c>
      <c r="D258" t="s">
        <v>69</v>
      </c>
      <c r="E258" t="s">
        <v>71</v>
      </c>
      <c r="F258" t="s">
        <v>73</v>
      </c>
      <c r="G258">
        <v>3633680</v>
      </c>
      <c r="H258">
        <v>2520436.6485745274</v>
      </c>
      <c r="I258">
        <v>6154116.6485745274</v>
      </c>
      <c r="J258">
        <f>VLOOKUP(C258,'LEAID Match'!$A$2:$B$59,2,FALSE)</f>
        <v>4400780</v>
      </c>
    </row>
    <row r="259" spans="1:10" x14ac:dyDescent="0.2">
      <c r="A259">
        <f t="shared" ref="A259:A322" si="4">J259</f>
        <v>4400780</v>
      </c>
      <c r="B259">
        <v>2020</v>
      </c>
      <c r="C259" t="s">
        <v>23</v>
      </c>
      <c r="D259" t="s">
        <v>69</v>
      </c>
      <c r="E259" t="s">
        <v>71</v>
      </c>
      <c r="F259" t="s">
        <v>73</v>
      </c>
      <c r="G259">
        <v>3327758</v>
      </c>
      <c r="H259">
        <v>2493010.3055164581</v>
      </c>
      <c r="I259">
        <v>5820768.3055164581</v>
      </c>
      <c r="J259">
        <f>VLOOKUP(C259,'LEAID Match'!$A$2:$B$59,2,FALSE)</f>
        <v>4400780</v>
      </c>
    </row>
    <row r="260" spans="1:10" x14ac:dyDescent="0.2">
      <c r="A260">
        <f t="shared" si="4"/>
        <v>4400780</v>
      </c>
      <c r="B260">
        <v>2021</v>
      </c>
      <c r="C260" t="s">
        <v>23</v>
      </c>
      <c r="D260" t="s">
        <v>69</v>
      </c>
      <c r="E260" t="s">
        <v>71</v>
      </c>
      <c r="F260" t="s">
        <v>73</v>
      </c>
      <c r="G260">
        <v>3679285</v>
      </c>
      <c r="H260">
        <v>2728552.7073065746</v>
      </c>
      <c r="I260">
        <v>6407837.707306575</v>
      </c>
      <c r="J260">
        <f>VLOOKUP(C260,'LEAID Match'!$A$2:$B$59,2,FALSE)</f>
        <v>4400780</v>
      </c>
    </row>
    <row r="261" spans="1:10" x14ac:dyDescent="0.2">
      <c r="A261">
        <f t="shared" si="4"/>
        <v>4400780</v>
      </c>
      <c r="B261">
        <v>2022</v>
      </c>
      <c r="C261" t="s">
        <v>23</v>
      </c>
      <c r="D261" t="s">
        <v>69</v>
      </c>
      <c r="E261" t="s">
        <v>71</v>
      </c>
      <c r="F261" t="s">
        <v>73</v>
      </c>
      <c r="G261">
        <v>3858067</v>
      </c>
      <c r="H261">
        <v>2853186.5801949566</v>
      </c>
      <c r="I261">
        <v>6711253.5801949566</v>
      </c>
      <c r="J261">
        <f>VLOOKUP(C261,'LEAID Match'!$A$2:$B$59,2,FALSE)</f>
        <v>4400780</v>
      </c>
    </row>
    <row r="262" spans="1:10" x14ac:dyDescent="0.2">
      <c r="A262">
        <f t="shared" si="4"/>
        <v>4400810</v>
      </c>
      <c r="B262">
        <v>2015</v>
      </c>
      <c r="C262" t="s">
        <v>24</v>
      </c>
      <c r="D262" t="s">
        <v>69</v>
      </c>
      <c r="E262" t="s">
        <v>71</v>
      </c>
      <c r="F262" t="s">
        <v>73</v>
      </c>
      <c r="G262">
        <v>1506269</v>
      </c>
      <c r="H262">
        <v>962313.7786925172</v>
      </c>
      <c r="I262">
        <v>2468582.7786925174</v>
      </c>
      <c r="J262">
        <f>VLOOKUP(C262,'LEAID Match'!$A$2:$B$59,2,FALSE)</f>
        <v>4400810</v>
      </c>
    </row>
    <row r="263" spans="1:10" x14ac:dyDescent="0.2">
      <c r="A263">
        <f t="shared" si="4"/>
        <v>4400810</v>
      </c>
      <c r="B263">
        <v>2016</v>
      </c>
      <c r="C263" t="s">
        <v>24</v>
      </c>
      <c r="D263" t="s">
        <v>69</v>
      </c>
      <c r="E263" t="s">
        <v>71</v>
      </c>
      <c r="F263" t="s">
        <v>73</v>
      </c>
      <c r="G263">
        <v>1575318</v>
      </c>
      <c r="H263">
        <v>1007649.1354910671</v>
      </c>
      <c r="I263">
        <v>2582967.1354910671</v>
      </c>
      <c r="J263">
        <f>VLOOKUP(C263,'LEAID Match'!$A$2:$B$59,2,FALSE)</f>
        <v>4400810</v>
      </c>
    </row>
    <row r="264" spans="1:10" x14ac:dyDescent="0.2">
      <c r="A264">
        <f t="shared" si="4"/>
        <v>4400810</v>
      </c>
      <c r="B264">
        <v>2017</v>
      </c>
      <c r="C264" t="s">
        <v>24</v>
      </c>
      <c r="D264" t="s">
        <v>69</v>
      </c>
      <c r="E264" t="s">
        <v>71</v>
      </c>
      <c r="F264" t="s">
        <v>73</v>
      </c>
      <c r="G264">
        <v>1515153</v>
      </c>
      <c r="H264">
        <v>1065481.7891497037</v>
      </c>
      <c r="I264">
        <v>2580634.7891497035</v>
      </c>
      <c r="J264">
        <f>VLOOKUP(C264,'LEAID Match'!$A$2:$B$59,2,FALSE)</f>
        <v>4400810</v>
      </c>
    </row>
    <row r="265" spans="1:10" x14ac:dyDescent="0.2">
      <c r="A265">
        <f t="shared" si="4"/>
        <v>4400810</v>
      </c>
      <c r="B265">
        <v>2018</v>
      </c>
      <c r="C265" t="s">
        <v>24</v>
      </c>
      <c r="D265" t="s">
        <v>69</v>
      </c>
      <c r="E265" t="s">
        <v>71</v>
      </c>
      <c r="F265" t="s">
        <v>73</v>
      </c>
      <c r="G265">
        <v>1685417</v>
      </c>
      <c r="H265">
        <v>1685417</v>
      </c>
      <c r="I265">
        <v>3370834</v>
      </c>
      <c r="J265">
        <f>VLOOKUP(C265,'LEAID Match'!$A$2:$B$59,2,FALSE)</f>
        <v>4400810</v>
      </c>
    </row>
    <row r="266" spans="1:10" x14ac:dyDescent="0.2">
      <c r="A266">
        <f t="shared" si="4"/>
        <v>4400810</v>
      </c>
      <c r="B266">
        <v>2019</v>
      </c>
      <c r="C266" t="s">
        <v>24</v>
      </c>
      <c r="D266" t="s">
        <v>69</v>
      </c>
      <c r="E266" t="s">
        <v>71</v>
      </c>
      <c r="F266" t="s">
        <v>73</v>
      </c>
      <c r="G266">
        <v>1757474</v>
      </c>
      <c r="H266">
        <v>1219040.1682362973</v>
      </c>
      <c r="I266">
        <v>2976514.1682362976</v>
      </c>
      <c r="J266">
        <f>VLOOKUP(C266,'LEAID Match'!$A$2:$B$59,2,FALSE)</f>
        <v>4400810</v>
      </c>
    </row>
    <row r="267" spans="1:10" x14ac:dyDescent="0.2">
      <c r="A267">
        <f t="shared" si="4"/>
        <v>4400810</v>
      </c>
      <c r="B267">
        <v>2020</v>
      </c>
      <c r="C267" t="s">
        <v>24</v>
      </c>
      <c r="D267" t="s">
        <v>69</v>
      </c>
      <c r="E267" t="s">
        <v>71</v>
      </c>
      <c r="F267" t="s">
        <v>73</v>
      </c>
      <c r="G267">
        <v>1721520</v>
      </c>
      <c r="H267">
        <v>1289687.2612589896</v>
      </c>
      <c r="I267">
        <v>3011207.2612589896</v>
      </c>
      <c r="J267">
        <f>VLOOKUP(C267,'LEAID Match'!$A$2:$B$59,2,FALSE)</f>
        <v>4400810</v>
      </c>
    </row>
    <row r="268" spans="1:10" x14ac:dyDescent="0.2">
      <c r="A268">
        <f t="shared" si="4"/>
        <v>4400810</v>
      </c>
      <c r="B268">
        <v>2021</v>
      </c>
      <c r="C268" t="s">
        <v>24</v>
      </c>
      <c r="D268" t="s">
        <v>69</v>
      </c>
      <c r="E268" t="s">
        <v>71</v>
      </c>
      <c r="F268" t="s">
        <v>73</v>
      </c>
      <c r="G268">
        <v>1843185</v>
      </c>
      <c r="H268">
        <v>1366903.4667922894</v>
      </c>
      <c r="I268">
        <v>3210088.4667922892</v>
      </c>
      <c r="J268">
        <f>VLOOKUP(C268,'LEAID Match'!$A$2:$B$59,2,FALSE)</f>
        <v>4400810</v>
      </c>
    </row>
    <row r="269" spans="1:10" x14ac:dyDescent="0.2">
      <c r="A269">
        <f t="shared" si="4"/>
        <v>4400810</v>
      </c>
      <c r="B269">
        <v>2022</v>
      </c>
      <c r="C269" t="s">
        <v>24</v>
      </c>
      <c r="D269" t="s">
        <v>69</v>
      </c>
      <c r="E269" t="s">
        <v>71</v>
      </c>
      <c r="F269" t="s">
        <v>73</v>
      </c>
      <c r="G269">
        <v>1956201</v>
      </c>
      <c r="H269">
        <v>1446684.6846786109</v>
      </c>
      <c r="I269">
        <v>3402885.6846786109</v>
      </c>
      <c r="J269">
        <f>VLOOKUP(C269,'LEAID Match'!$A$2:$B$59,2,FALSE)</f>
        <v>4400810</v>
      </c>
    </row>
    <row r="270" spans="1:10" x14ac:dyDescent="0.2">
      <c r="A270">
        <f t="shared" si="4"/>
        <v>4400020</v>
      </c>
      <c r="B270">
        <v>2015</v>
      </c>
      <c r="C270" t="s">
        <v>25</v>
      </c>
      <c r="D270" t="s">
        <v>69</v>
      </c>
      <c r="E270" t="s">
        <v>71</v>
      </c>
      <c r="F270" t="s">
        <v>73</v>
      </c>
      <c r="G270">
        <v>365403</v>
      </c>
      <c r="H270">
        <v>233445.91283202526</v>
      </c>
      <c r="I270">
        <v>598848.91283202521</v>
      </c>
      <c r="J270">
        <f>VLOOKUP(C270,'LEAID Match'!$A$2:$B$59,2,FALSE)</f>
        <v>4400020</v>
      </c>
    </row>
    <row r="271" spans="1:10" x14ac:dyDescent="0.2">
      <c r="A271">
        <f t="shared" si="4"/>
        <v>4400020</v>
      </c>
      <c r="B271">
        <v>2016</v>
      </c>
      <c r="C271" t="s">
        <v>25</v>
      </c>
      <c r="D271" t="s">
        <v>69</v>
      </c>
      <c r="E271" t="s">
        <v>71</v>
      </c>
      <c r="F271" t="s">
        <v>73</v>
      </c>
      <c r="G271">
        <v>288201</v>
      </c>
      <c r="H271">
        <v>184347.21656050463</v>
      </c>
      <c r="I271">
        <v>472548.21656050463</v>
      </c>
      <c r="J271">
        <f>VLOOKUP(C271,'LEAID Match'!$A$2:$B$59,2,FALSE)</f>
        <v>4400020</v>
      </c>
    </row>
    <row r="272" spans="1:10" x14ac:dyDescent="0.2">
      <c r="A272">
        <f t="shared" si="4"/>
        <v>4400020</v>
      </c>
      <c r="B272">
        <v>2017</v>
      </c>
      <c r="C272" t="s">
        <v>25</v>
      </c>
      <c r="D272" t="s">
        <v>69</v>
      </c>
      <c r="E272" t="s">
        <v>71</v>
      </c>
      <c r="F272" t="s">
        <v>73</v>
      </c>
      <c r="G272">
        <v>326155</v>
      </c>
      <c r="H272">
        <v>229357.83576980123</v>
      </c>
      <c r="I272">
        <v>555512.83576980117</v>
      </c>
      <c r="J272">
        <f>VLOOKUP(C272,'LEAID Match'!$A$2:$B$59,2,FALSE)</f>
        <v>4400020</v>
      </c>
    </row>
    <row r="273" spans="1:10" x14ac:dyDescent="0.2">
      <c r="A273">
        <f t="shared" si="4"/>
        <v>4400020</v>
      </c>
      <c r="B273">
        <v>2018</v>
      </c>
      <c r="C273" t="s">
        <v>25</v>
      </c>
      <c r="D273" t="s">
        <v>69</v>
      </c>
      <c r="E273" t="s">
        <v>71</v>
      </c>
      <c r="F273" t="s">
        <v>73</v>
      </c>
      <c r="G273">
        <v>356738</v>
      </c>
      <c r="H273">
        <v>356738</v>
      </c>
      <c r="I273">
        <v>713476</v>
      </c>
      <c r="J273">
        <f>VLOOKUP(C273,'LEAID Match'!$A$2:$B$59,2,FALSE)</f>
        <v>4400020</v>
      </c>
    </row>
    <row r="274" spans="1:10" x14ac:dyDescent="0.2">
      <c r="A274">
        <f t="shared" si="4"/>
        <v>4400020</v>
      </c>
      <c r="B274">
        <v>2019</v>
      </c>
      <c r="C274" t="s">
        <v>25</v>
      </c>
      <c r="D274" t="s">
        <v>69</v>
      </c>
      <c r="E274" t="s">
        <v>71</v>
      </c>
      <c r="F274" t="s">
        <v>73</v>
      </c>
      <c r="G274">
        <v>293498</v>
      </c>
      <c r="H274">
        <v>203579.59850160903</v>
      </c>
      <c r="I274">
        <v>497077.59850160906</v>
      </c>
      <c r="J274">
        <f>VLOOKUP(C274,'LEAID Match'!$A$2:$B$59,2,FALSE)</f>
        <v>4400020</v>
      </c>
    </row>
    <row r="275" spans="1:10" x14ac:dyDescent="0.2">
      <c r="A275">
        <f t="shared" si="4"/>
        <v>4400020</v>
      </c>
      <c r="B275">
        <v>2020</v>
      </c>
      <c r="C275" t="s">
        <v>25</v>
      </c>
      <c r="D275" t="s">
        <v>69</v>
      </c>
      <c r="E275" t="s">
        <v>71</v>
      </c>
      <c r="F275" t="s">
        <v>73</v>
      </c>
      <c r="G275">
        <v>293498</v>
      </c>
      <c r="H275">
        <v>219875.82590094273</v>
      </c>
      <c r="I275">
        <v>513373.82590094273</v>
      </c>
      <c r="J275">
        <f>VLOOKUP(C275,'LEAID Match'!$A$2:$B$59,2,FALSE)</f>
        <v>4400020</v>
      </c>
    </row>
    <row r="276" spans="1:10" x14ac:dyDescent="0.2">
      <c r="A276">
        <f t="shared" si="4"/>
        <v>4400020</v>
      </c>
      <c r="B276">
        <v>2021</v>
      </c>
      <c r="C276" t="s">
        <v>25</v>
      </c>
      <c r="D276" t="s">
        <v>69</v>
      </c>
      <c r="E276" t="s">
        <v>71</v>
      </c>
      <c r="F276" t="s">
        <v>73</v>
      </c>
      <c r="G276">
        <v>316831</v>
      </c>
      <c r="H276">
        <v>234961.43484634903</v>
      </c>
      <c r="I276">
        <v>551792.43484634906</v>
      </c>
      <c r="J276">
        <f>VLOOKUP(C276,'LEAID Match'!$A$2:$B$59,2,FALSE)</f>
        <v>4400020</v>
      </c>
    </row>
    <row r="277" spans="1:10" x14ac:dyDescent="0.2">
      <c r="A277">
        <f t="shared" si="4"/>
        <v>4400020</v>
      </c>
      <c r="B277">
        <v>2022</v>
      </c>
      <c r="C277" t="s">
        <v>25</v>
      </c>
      <c r="D277" t="s">
        <v>69</v>
      </c>
      <c r="E277" t="s">
        <v>71</v>
      </c>
      <c r="F277" t="s">
        <v>73</v>
      </c>
      <c r="G277">
        <v>268613</v>
      </c>
      <c r="H277">
        <v>198649.48090997586</v>
      </c>
      <c r="I277">
        <v>467262.48090997583</v>
      </c>
      <c r="J277">
        <f>VLOOKUP(C277,'LEAID Match'!$A$2:$B$59,2,FALSE)</f>
        <v>4400020</v>
      </c>
    </row>
    <row r="278" spans="1:10" x14ac:dyDescent="0.2">
      <c r="A278">
        <f t="shared" si="4"/>
        <v>4400038</v>
      </c>
      <c r="B278">
        <v>2022</v>
      </c>
      <c r="C278" t="s">
        <v>57</v>
      </c>
      <c r="D278" t="s">
        <v>69</v>
      </c>
      <c r="E278" t="s">
        <v>71</v>
      </c>
      <c r="F278" t="s">
        <v>73</v>
      </c>
      <c r="G278">
        <v>125218</v>
      </c>
      <c r="H278">
        <v>92603.450691460777</v>
      </c>
      <c r="I278">
        <v>217821.45069146078</v>
      </c>
      <c r="J278">
        <f>VLOOKUP(C278,'LEAID Match'!$A$2:$B$59,2,FALSE)</f>
        <v>4400038</v>
      </c>
    </row>
    <row r="279" spans="1:10" x14ac:dyDescent="0.2">
      <c r="A279">
        <f t="shared" si="4"/>
        <v>4400032</v>
      </c>
      <c r="B279">
        <v>2015</v>
      </c>
      <c r="C279" t="s">
        <v>40</v>
      </c>
      <c r="D279" t="s">
        <v>69</v>
      </c>
      <c r="E279" t="s">
        <v>71</v>
      </c>
      <c r="F279" t="s">
        <v>73</v>
      </c>
      <c r="G279">
        <v>725366</v>
      </c>
      <c r="H279">
        <v>463416.35949161567</v>
      </c>
      <c r="I279">
        <v>1188782.3594916156</v>
      </c>
      <c r="J279">
        <f>VLOOKUP(C279,'LEAID Match'!$A$2:$B$59,2,FALSE)</f>
        <v>4400032</v>
      </c>
    </row>
    <row r="280" spans="1:10" x14ac:dyDescent="0.2">
      <c r="A280">
        <f t="shared" si="4"/>
        <v>4400032</v>
      </c>
      <c r="B280">
        <v>2016</v>
      </c>
      <c r="C280" t="s">
        <v>40</v>
      </c>
      <c r="D280" t="s">
        <v>69</v>
      </c>
      <c r="E280" t="s">
        <v>71</v>
      </c>
      <c r="F280" t="s">
        <v>73</v>
      </c>
      <c r="G280">
        <v>768399</v>
      </c>
      <c r="H280">
        <v>491504.94570759713</v>
      </c>
      <c r="I280">
        <v>1259903.9457075971</v>
      </c>
      <c r="J280">
        <f>VLOOKUP(C280,'LEAID Match'!$A$2:$B$59,2,FALSE)</f>
        <v>4400032</v>
      </c>
    </row>
    <row r="281" spans="1:10" x14ac:dyDescent="0.2">
      <c r="A281">
        <f t="shared" si="4"/>
        <v>4400032</v>
      </c>
      <c r="B281">
        <v>2017</v>
      </c>
      <c r="C281" t="s">
        <v>40</v>
      </c>
      <c r="D281" t="s">
        <v>69</v>
      </c>
      <c r="E281" t="s">
        <v>71</v>
      </c>
      <c r="F281" t="s">
        <v>73</v>
      </c>
      <c r="G281">
        <v>712314</v>
      </c>
      <c r="H281">
        <v>500911.52190992073</v>
      </c>
      <c r="I281">
        <v>1213225.5219099207</v>
      </c>
      <c r="J281">
        <f>VLOOKUP(C281,'LEAID Match'!$A$2:$B$59,2,FALSE)</f>
        <v>4400032</v>
      </c>
    </row>
    <row r="282" spans="1:10" x14ac:dyDescent="0.2">
      <c r="A282">
        <f t="shared" si="4"/>
        <v>4400032</v>
      </c>
      <c r="B282">
        <v>2018</v>
      </c>
      <c r="C282" t="s">
        <v>40</v>
      </c>
      <c r="D282" t="s">
        <v>69</v>
      </c>
      <c r="E282" t="s">
        <v>71</v>
      </c>
      <c r="F282" t="s">
        <v>73</v>
      </c>
      <c r="G282">
        <v>739505</v>
      </c>
      <c r="H282">
        <v>739505</v>
      </c>
      <c r="I282">
        <v>1479010</v>
      </c>
      <c r="J282">
        <f>VLOOKUP(C282,'LEAID Match'!$A$2:$B$59,2,FALSE)</f>
        <v>4400032</v>
      </c>
    </row>
    <row r="283" spans="1:10" x14ac:dyDescent="0.2">
      <c r="A283">
        <f t="shared" si="4"/>
        <v>4400032</v>
      </c>
      <c r="B283">
        <v>2019</v>
      </c>
      <c r="C283" t="s">
        <v>40</v>
      </c>
      <c r="D283" t="s">
        <v>69</v>
      </c>
      <c r="E283" t="s">
        <v>71</v>
      </c>
      <c r="F283" t="s">
        <v>73</v>
      </c>
      <c r="G283">
        <v>770857</v>
      </c>
      <c r="H283">
        <v>534691.06624970131</v>
      </c>
      <c r="I283">
        <v>1305548.0662497012</v>
      </c>
      <c r="J283">
        <f>VLOOKUP(C283,'LEAID Match'!$A$2:$B$59,2,FALSE)</f>
        <v>4400032</v>
      </c>
    </row>
    <row r="284" spans="1:10" x14ac:dyDescent="0.2">
      <c r="A284">
        <f t="shared" si="4"/>
        <v>4400032</v>
      </c>
      <c r="B284">
        <v>2020</v>
      </c>
      <c r="C284" t="s">
        <v>40</v>
      </c>
      <c r="D284" t="s">
        <v>69</v>
      </c>
      <c r="E284" t="s">
        <v>71</v>
      </c>
      <c r="F284" t="s">
        <v>73</v>
      </c>
      <c r="G284">
        <v>676468</v>
      </c>
      <c r="H284">
        <v>506780.14908298844</v>
      </c>
      <c r="I284">
        <v>1183248.1490829885</v>
      </c>
      <c r="J284">
        <f>VLOOKUP(C284,'LEAID Match'!$A$2:$B$59,2,FALSE)</f>
        <v>4400032</v>
      </c>
    </row>
    <row r="285" spans="1:10" x14ac:dyDescent="0.2">
      <c r="A285">
        <f t="shared" si="4"/>
        <v>4400032</v>
      </c>
      <c r="B285">
        <v>2021</v>
      </c>
      <c r="C285" t="s">
        <v>40</v>
      </c>
      <c r="D285" t="s">
        <v>69</v>
      </c>
      <c r="E285" t="s">
        <v>71</v>
      </c>
      <c r="F285" t="s">
        <v>73</v>
      </c>
      <c r="G285">
        <v>759675</v>
      </c>
      <c r="H285">
        <v>563373.93757839408</v>
      </c>
      <c r="I285">
        <v>1323048.9375783941</v>
      </c>
      <c r="J285">
        <f>VLOOKUP(C285,'LEAID Match'!$A$2:$B$59,2,FALSE)</f>
        <v>4400032</v>
      </c>
    </row>
    <row r="286" spans="1:10" x14ac:dyDescent="0.2">
      <c r="A286">
        <f t="shared" si="4"/>
        <v>4400032</v>
      </c>
      <c r="B286">
        <v>2022</v>
      </c>
      <c r="C286" t="s">
        <v>40</v>
      </c>
      <c r="D286" t="s">
        <v>69</v>
      </c>
      <c r="E286" t="s">
        <v>71</v>
      </c>
      <c r="F286" t="s">
        <v>73</v>
      </c>
      <c r="G286">
        <v>812062</v>
      </c>
      <c r="H286">
        <v>600550.58677992807</v>
      </c>
      <c r="I286">
        <v>1412612.5867799281</v>
      </c>
      <c r="J286">
        <f>VLOOKUP(C286,'LEAID Match'!$A$2:$B$59,2,FALSE)</f>
        <v>4400032</v>
      </c>
    </row>
    <row r="287" spans="1:10" x14ac:dyDescent="0.2">
      <c r="A287">
        <f t="shared" si="4"/>
        <v>4400840</v>
      </c>
      <c r="B287">
        <v>2015</v>
      </c>
      <c r="C287" t="s">
        <v>26</v>
      </c>
      <c r="D287" t="s">
        <v>69</v>
      </c>
      <c r="E287" t="s">
        <v>71</v>
      </c>
      <c r="F287" t="s">
        <v>73</v>
      </c>
      <c r="G287">
        <v>7698459</v>
      </c>
      <c r="H287">
        <v>4918333.4254369019</v>
      </c>
      <c r="I287">
        <v>12616792.425436903</v>
      </c>
      <c r="J287">
        <f>VLOOKUP(C287,'LEAID Match'!$A$2:$B$59,2,FALSE)</f>
        <v>4400840</v>
      </c>
    </row>
    <row r="288" spans="1:10" x14ac:dyDescent="0.2">
      <c r="A288">
        <f t="shared" si="4"/>
        <v>4400840</v>
      </c>
      <c r="B288">
        <v>2016</v>
      </c>
      <c r="C288" t="s">
        <v>26</v>
      </c>
      <c r="D288" t="s">
        <v>69</v>
      </c>
      <c r="E288" t="s">
        <v>71</v>
      </c>
      <c r="F288" t="s">
        <v>73</v>
      </c>
      <c r="G288">
        <v>8105954</v>
      </c>
      <c r="H288">
        <v>5184957.9198805308</v>
      </c>
      <c r="I288">
        <v>13290911.919880532</v>
      </c>
      <c r="J288">
        <f>VLOOKUP(C288,'LEAID Match'!$A$2:$B$59,2,FALSE)</f>
        <v>4400840</v>
      </c>
    </row>
    <row r="289" spans="1:10" x14ac:dyDescent="0.2">
      <c r="A289">
        <f t="shared" si="4"/>
        <v>4400840</v>
      </c>
      <c r="B289">
        <v>2017</v>
      </c>
      <c r="C289" t="s">
        <v>26</v>
      </c>
      <c r="D289" t="s">
        <v>69</v>
      </c>
      <c r="E289" t="s">
        <v>71</v>
      </c>
      <c r="F289" t="s">
        <v>73</v>
      </c>
      <c r="G289">
        <v>8201778</v>
      </c>
      <c r="H289">
        <v>5767632.1121686576</v>
      </c>
      <c r="I289">
        <v>13969410.112168659</v>
      </c>
      <c r="J289">
        <f>VLOOKUP(C289,'LEAID Match'!$A$2:$B$59,2,FALSE)</f>
        <v>4400840</v>
      </c>
    </row>
    <row r="290" spans="1:10" x14ac:dyDescent="0.2">
      <c r="A290">
        <f t="shared" si="4"/>
        <v>4400840</v>
      </c>
      <c r="B290">
        <v>2018</v>
      </c>
      <c r="C290" t="s">
        <v>26</v>
      </c>
      <c r="D290" t="s">
        <v>69</v>
      </c>
      <c r="E290" t="s">
        <v>71</v>
      </c>
      <c r="F290" t="s">
        <v>73</v>
      </c>
      <c r="G290">
        <v>8421811</v>
      </c>
      <c r="H290">
        <v>8421811</v>
      </c>
      <c r="I290">
        <v>16843622</v>
      </c>
      <c r="J290">
        <f>VLOOKUP(C290,'LEAID Match'!$A$2:$B$59,2,FALSE)</f>
        <v>4400840</v>
      </c>
    </row>
    <row r="291" spans="1:10" x14ac:dyDescent="0.2">
      <c r="A291">
        <f t="shared" si="4"/>
        <v>4400840</v>
      </c>
      <c r="B291">
        <v>2019</v>
      </c>
      <c r="C291" t="s">
        <v>26</v>
      </c>
      <c r="D291" t="s">
        <v>69</v>
      </c>
      <c r="E291" t="s">
        <v>71</v>
      </c>
      <c r="F291" t="s">
        <v>73</v>
      </c>
      <c r="G291">
        <v>8610679</v>
      </c>
      <c r="H291">
        <v>5972642.3132227007</v>
      </c>
      <c r="I291">
        <v>14583321.313222701</v>
      </c>
      <c r="J291">
        <f>VLOOKUP(C291,'LEAID Match'!$A$2:$B$59,2,FALSE)</f>
        <v>4400840</v>
      </c>
    </row>
    <row r="292" spans="1:10" x14ac:dyDescent="0.2">
      <c r="A292">
        <f t="shared" si="4"/>
        <v>4400840</v>
      </c>
      <c r="B292">
        <v>2020</v>
      </c>
      <c r="C292" t="s">
        <v>26</v>
      </c>
      <c r="D292" t="s">
        <v>69</v>
      </c>
      <c r="E292" t="s">
        <v>71</v>
      </c>
      <c r="F292" t="s">
        <v>73</v>
      </c>
      <c r="G292">
        <v>7546668</v>
      </c>
      <c r="H292">
        <v>5653632.5947713973</v>
      </c>
      <c r="I292">
        <v>13200300.594771396</v>
      </c>
      <c r="J292">
        <f>VLOOKUP(C292,'LEAID Match'!$A$2:$B$59,2,FALSE)</f>
        <v>4400840</v>
      </c>
    </row>
    <row r="293" spans="1:10" x14ac:dyDescent="0.2">
      <c r="A293">
        <f t="shared" si="4"/>
        <v>4400840</v>
      </c>
      <c r="B293">
        <v>2021</v>
      </c>
      <c r="C293" t="s">
        <v>26</v>
      </c>
      <c r="D293" t="s">
        <v>69</v>
      </c>
      <c r="E293" t="s">
        <v>71</v>
      </c>
      <c r="F293" t="s">
        <v>73</v>
      </c>
      <c r="G293">
        <v>8340134</v>
      </c>
      <c r="H293">
        <v>6185031.9301167512</v>
      </c>
      <c r="I293">
        <v>14525165.93011675</v>
      </c>
      <c r="J293">
        <f>VLOOKUP(C293,'LEAID Match'!$A$2:$B$59,2,FALSE)</f>
        <v>4400840</v>
      </c>
    </row>
    <row r="294" spans="1:10" x14ac:dyDescent="0.2">
      <c r="A294">
        <f t="shared" si="4"/>
        <v>4400840</v>
      </c>
      <c r="B294">
        <v>2022</v>
      </c>
      <c r="C294" t="s">
        <v>26</v>
      </c>
      <c r="D294" t="s">
        <v>69</v>
      </c>
      <c r="E294" t="s">
        <v>71</v>
      </c>
      <c r="F294" t="s">
        <v>73</v>
      </c>
      <c r="G294">
        <v>8594852</v>
      </c>
      <c r="H294">
        <v>6356218.3822006667</v>
      </c>
      <c r="I294">
        <v>14951070.382200666</v>
      </c>
      <c r="J294">
        <f>VLOOKUP(C294,'LEAID Match'!$A$2:$B$59,2,FALSE)</f>
        <v>4400840</v>
      </c>
    </row>
    <row r="295" spans="1:10" x14ac:dyDescent="0.2">
      <c r="A295">
        <f t="shared" si="4"/>
        <v>4400870</v>
      </c>
      <c r="B295">
        <v>2015</v>
      </c>
      <c r="C295" t="s">
        <v>27</v>
      </c>
      <c r="D295" t="s">
        <v>69</v>
      </c>
      <c r="E295" t="s">
        <v>71</v>
      </c>
      <c r="F295" t="s">
        <v>73</v>
      </c>
      <c r="G295">
        <v>2354545</v>
      </c>
      <c r="H295">
        <v>1504253.9520175832</v>
      </c>
      <c r="I295">
        <v>3858798.952017583</v>
      </c>
      <c r="J295">
        <f>VLOOKUP(C295,'LEAID Match'!$A$2:$B$59,2,FALSE)</f>
        <v>4400870</v>
      </c>
    </row>
    <row r="296" spans="1:10" x14ac:dyDescent="0.2">
      <c r="A296">
        <f t="shared" si="4"/>
        <v>4400870</v>
      </c>
      <c r="B296">
        <v>2016</v>
      </c>
      <c r="C296" t="s">
        <v>27</v>
      </c>
      <c r="D296" t="s">
        <v>69</v>
      </c>
      <c r="E296" t="s">
        <v>71</v>
      </c>
      <c r="F296" t="s">
        <v>73</v>
      </c>
      <c r="G296">
        <v>2439705</v>
      </c>
      <c r="H296">
        <v>1560552.621187109</v>
      </c>
      <c r="I296">
        <v>4000257.621187109</v>
      </c>
      <c r="J296">
        <f>VLOOKUP(C296,'LEAID Match'!$A$2:$B$59,2,FALSE)</f>
        <v>4400870</v>
      </c>
    </row>
    <row r="297" spans="1:10" x14ac:dyDescent="0.2">
      <c r="A297">
        <f t="shared" si="4"/>
        <v>4400870</v>
      </c>
      <c r="B297">
        <v>2017</v>
      </c>
      <c r="C297" t="s">
        <v>27</v>
      </c>
      <c r="D297" t="s">
        <v>69</v>
      </c>
      <c r="E297" t="s">
        <v>71</v>
      </c>
      <c r="F297" t="s">
        <v>73</v>
      </c>
      <c r="G297">
        <v>2353442</v>
      </c>
      <c r="H297">
        <v>1654981.1093797504</v>
      </c>
      <c r="I297">
        <v>4008423.1093797507</v>
      </c>
      <c r="J297">
        <f>VLOOKUP(C297,'LEAID Match'!$A$2:$B$59,2,FALSE)</f>
        <v>4400870</v>
      </c>
    </row>
    <row r="298" spans="1:10" x14ac:dyDescent="0.2">
      <c r="A298">
        <f t="shared" si="4"/>
        <v>4400870</v>
      </c>
      <c r="B298">
        <v>2018</v>
      </c>
      <c r="C298" t="s">
        <v>27</v>
      </c>
      <c r="D298" t="s">
        <v>69</v>
      </c>
      <c r="E298" t="s">
        <v>71</v>
      </c>
      <c r="F298" t="s">
        <v>73</v>
      </c>
      <c r="G298">
        <v>2389753</v>
      </c>
      <c r="H298">
        <v>2389753</v>
      </c>
      <c r="I298">
        <v>4779506</v>
      </c>
      <c r="J298">
        <f>VLOOKUP(C298,'LEAID Match'!$A$2:$B$59,2,FALSE)</f>
        <v>4400870</v>
      </c>
    </row>
    <row r="299" spans="1:10" x14ac:dyDescent="0.2">
      <c r="A299">
        <f t="shared" si="4"/>
        <v>4400870</v>
      </c>
      <c r="B299">
        <v>2019</v>
      </c>
      <c r="C299" t="s">
        <v>27</v>
      </c>
      <c r="D299" t="s">
        <v>69</v>
      </c>
      <c r="E299" t="s">
        <v>71</v>
      </c>
      <c r="F299" t="s">
        <v>73</v>
      </c>
      <c r="G299">
        <v>2494859</v>
      </c>
      <c r="H299">
        <v>1730513.9848930002</v>
      </c>
      <c r="I299">
        <v>4225372.9848929998</v>
      </c>
      <c r="J299">
        <f>VLOOKUP(C299,'LEAID Match'!$A$2:$B$59,2,FALSE)</f>
        <v>4400870</v>
      </c>
    </row>
    <row r="300" spans="1:10" x14ac:dyDescent="0.2">
      <c r="A300">
        <f t="shared" si="4"/>
        <v>4400870</v>
      </c>
      <c r="B300">
        <v>2020</v>
      </c>
      <c r="C300" t="s">
        <v>27</v>
      </c>
      <c r="D300" t="s">
        <v>69</v>
      </c>
      <c r="E300" t="s">
        <v>71</v>
      </c>
      <c r="F300" t="s">
        <v>73</v>
      </c>
      <c r="G300">
        <v>2413986</v>
      </c>
      <c r="H300">
        <v>1808452.4101128906</v>
      </c>
      <c r="I300">
        <v>4222438.4101128904</v>
      </c>
      <c r="J300">
        <f>VLOOKUP(C300,'LEAID Match'!$A$2:$B$59,2,FALSE)</f>
        <v>4400870</v>
      </c>
    </row>
    <row r="301" spans="1:10" x14ac:dyDescent="0.2">
      <c r="A301">
        <f t="shared" si="4"/>
        <v>4400870</v>
      </c>
      <c r="B301">
        <v>2021</v>
      </c>
      <c r="C301" t="s">
        <v>27</v>
      </c>
      <c r="D301" t="s">
        <v>69</v>
      </c>
      <c r="E301" t="s">
        <v>71</v>
      </c>
      <c r="F301" t="s">
        <v>73</v>
      </c>
      <c r="G301">
        <v>2679427</v>
      </c>
      <c r="H301">
        <v>1987059.3865058925</v>
      </c>
      <c r="I301">
        <v>4666486.3865058925</v>
      </c>
      <c r="J301">
        <f>VLOOKUP(C301,'LEAID Match'!$A$2:$B$59,2,FALSE)</f>
        <v>4400870</v>
      </c>
    </row>
    <row r="302" spans="1:10" x14ac:dyDescent="0.2">
      <c r="A302">
        <f t="shared" si="4"/>
        <v>4400870</v>
      </c>
      <c r="B302">
        <v>2022</v>
      </c>
      <c r="C302" t="s">
        <v>27</v>
      </c>
      <c r="D302" t="s">
        <v>69</v>
      </c>
      <c r="E302" t="s">
        <v>71</v>
      </c>
      <c r="F302" t="s">
        <v>73</v>
      </c>
      <c r="G302">
        <v>2746538</v>
      </c>
      <c r="H302">
        <v>2031168.8116342966</v>
      </c>
      <c r="I302">
        <v>4777706.8116342966</v>
      </c>
      <c r="J302">
        <f>VLOOKUP(C302,'LEAID Match'!$A$2:$B$59,2,FALSE)</f>
        <v>4400870</v>
      </c>
    </row>
    <row r="303" spans="1:10" x14ac:dyDescent="0.2">
      <c r="A303">
        <f t="shared" si="4"/>
        <v>4400900</v>
      </c>
      <c r="B303">
        <v>2015</v>
      </c>
      <c r="C303" t="s">
        <v>28</v>
      </c>
      <c r="D303" t="s">
        <v>69</v>
      </c>
      <c r="E303" t="s">
        <v>71</v>
      </c>
      <c r="F303" t="s">
        <v>73</v>
      </c>
      <c r="G303">
        <v>21344690</v>
      </c>
      <c r="H303">
        <v>13636534.56913764</v>
      </c>
      <c r="I303">
        <v>34981224.56913764</v>
      </c>
      <c r="J303">
        <f>VLOOKUP(C303,'LEAID Match'!$A$2:$B$59,2,FALSE)</f>
        <v>4400900</v>
      </c>
    </row>
    <row r="304" spans="1:10" x14ac:dyDescent="0.2">
      <c r="A304">
        <f t="shared" si="4"/>
        <v>4400900</v>
      </c>
      <c r="B304">
        <v>2016</v>
      </c>
      <c r="C304" t="s">
        <v>28</v>
      </c>
      <c r="D304" t="s">
        <v>69</v>
      </c>
      <c r="E304" t="s">
        <v>71</v>
      </c>
      <c r="F304" t="s">
        <v>73</v>
      </c>
      <c r="G304">
        <v>22109152</v>
      </c>
      <c r="H304">
        <v>14142076.646899609</v>
      </c>
      <c r="I304">
        <v>36251228.646899611</v>
      </c>
      <c r="J304">
        <f>VLOOKUP(C304,'LEAID Match'!$A$2:$B$59,2,FALSE)</f>
        <v>4400900</v>
      </c>
    </row>
    <row r="305" spans="1:10" x14ac:dyDescent="0.2">
      <c r="A305">
        <f t="shared" si="4"/>
        <v>4400900</v>
      </c>
      <c r="B305">
        <v>2017</v>
      </c>
      <c r="C305" t="s">
        <v>28</v>
      </c>
      <c r="D305" t="s">
        <v>69</v>
      </c>
      <c r="E305" t="s">
        <v>71</v>
      </c>
      <c r="F305" t="s">
        <v>73</v>
      </c>
      <c r="G305">
        <v>21887947</v>
      </c>
      <c r="H305">
        <v>15391982.809903614</v>
      </c>
      <c r="I305">
        <v>37279929.809903614</v>
      </c>
      <c r="J305">
        <f>VLOOKUP(C305,'LEAID Match'!$A$2:$B$59,2,FALSE)</f>
        <v>4400900</v>
      </c>
    </row>
    <row r="306" spans="1:10" x14ac:dyDescent="0.2">
      <c r="A306">
        <f t="shared" si="4"/>
        <v>4400900</v>
      </c>
      <c r="B306">
        <v>2018</v>
      </c>
      <c r="C306" t="s">
        <v>28</v>
      </c>
      <c r="D306" t="s">
        <v>69</v>
      </c>
      <c r="E306" t="s">
        <v>71</v>
      </c>
      <c r="F306" t="s">
        <v>73</v>
      </c>
      <c r="G306">
        <v>22281318</v>
      </c>
      <c r="H306">
        <v>22281318</v>
      </c>
      <c r="I306">
        <v>44562636</v>
      </c>
      <c r="J306">
        <f>VLOOKUP(C306,'LEAID Match'!$A$2:$B$59,2,FALSE)</f>
        <v>4400900</v>
      </c>
    </row>
    <row r="307" spans="1:10" x14ac:dyDescent="0.2">
      <c r="A307">
        <f t="shared" si="4"/>
        <v>4400900</v>
      </c>
      <c r="B307">
        <v>2019</v>
      </c>
      <c r="C307" t="s">
        <v>28</v>
      </c>
      <c r="D307" t="s">
        <v>69</v>
      </c>
      <c r="E307" t="s">
        <v>71</v>
      </c>
      <c r="F307" t="s">
        <v>73</v>
      </c>
      <c r="G307">
        <v>23831129</v>
      </c>
      <c r="H307">
        <v>16530033.164314752</v>
      </c>
      <c r="I307">
        <v>40361162.164314754</v>
      </c>
      <c r="J307">
        <f>VLOOKUP(C307,'LEAID Match'!$A$2:$B$59,2,FALSE)</f>
        <v>4400900</v>
      </c>
    </row>
    <row r="308" spans="1:10" x14ac:dyDescent="0.2">
      <c r="A308">
        <f t="shared" si="4"/>
        <v>4400900</v>
      </c>
      <c r="B308">
        <v>2020</v>
      </c>
      <c r="C308" t="s">
        <v>28</v>
      </c>
      <c r="D308" t="s">
        <v>69</v>
      </c>
      <c r="E308" t="s">
        <v>71</v>
      </c>
      <c r="F308" t="s">
        <v>73</v>
      </c>
      <c r="G308">
        <v>21222597</v>
      </c>
      <c r="H308">
        <v>15899038.641278202</v>
      </c>
      <c r="I308">
        <v>37121635.6412782</v>
      </c>
      <c r="J308">
        <f>VLOOKUP(C308,'LEAID Match'!$A$2:$B$59,2,FALSE)</f>
        <v>4400900</v>
      </c>
    </row>
    <row r="309" spans="1:10" x14ac:dyDescent="0.2">
      <c r="A309">
        <f t="shared" si="4"/>
        <v>4400900</v>
      </c>
      <c r="B309">
        <v>2021</v>
      </c>
      <c r="C309" t="s">
        <v>28</v>
      </c>
      <c r="D309" t="s">
        <v>69</v>
      </c>
      <c r="E309" t="s">
        <v>71</v>
      </c>
      <c r="F309" t="s">
        <v>73</v>
      </c>
      <c r="G309">
        <v>23537246</v>
      </c>
      <c r="H309">
        <v>17455189.335928269</v>
      </c>
      <c r="I309">
        <v>40992435.335928269</v>
      </c>
      <c r="J309">
        <f>VLOOKUP(C309,'LEAID Match'!$A$2:$B$59,2,FALSE)</f>
        <v>4400900</v>
      </c>
    </row>
    <row r="310" spans="1:10" x14ac:dyDescent="0.2">
      <c r="A310">
        <f t="shared" si="4"/>
        <v>4400900</v>
      </c>
      <c r="B310">
        <v>2022</v>
      </c>
      <c r="C310" t="s">
        <v>28</v>
      </c>
      <c r="D310" t="s">
        <v>69</v>
      </c>
      <c r="E310" t="s">
        <v>71</v>
      </c>
      <c r="F310" t="s">
        <v>73</v>
      </c>
      <c r="G310">
        <v>23287303</v>
      </c>
      <c r="H310">
        <v>17221842.028283529</v>
      </c>
      <c r="I310">
        <v>40509145.028283529</v>
      </c>
      <c r="J310">
        <f>VLOOKUP(C310,'LEAID Match'!$A$2:$B$59,2,FALSE)</f>
        <v>4400900</v>
      </c>
    </row>
    <row r="311" spans="1:10" x14ac:dyDescent="0.2">
      <c r="A311">
        <f t="shared" si="4"/>
        <v>4400039</v>
      </c>
      <c r="B311">
        <v>2022</v>
      </c>
      <c r="C311" t="s">
        <v>55</v>
      </c>
      <c r="D311" t="s">
        <v>69</v>
      </c>
      <c r="E311" t="s">
        <v>71</v>
      </c>
      <c r="F311" t="s">
        <v>73</v>
      </c>
      <c r="G311">
        <v>87805</v>
      </c>
      <c r="H311">
        <v>64935.121052593997</v>
      </c>
      <c r="I311">
        <v>152740.12105259398</v>
      </c>
      <c r="J311">
        <f>VLOOKUP(C311,'LEAID Match'!$A$2:$B$59,2,FALSE)</f>
        <v>4400039</v>
      </c>
    </row>
    <row r="312" spans="1:10" x14ac:dyDescent="0.2">
      <c r="A312">
        <f t="shared" si="4"/>
        <v>4400019</v>
      </c>
      <c r="B312">
        <v>2015</v>
      </c>
      <c r="C312" t="s">
        <v>50</v>
      </c>
      <c r="D312" t="s">
        <v>69</v>
      </c>
      <c r="E312" t="s">
        <v>71</v>
      </c>
      <c r="F312" t="s">
        <v>73</v>
      </c>
      <c r="G312">
        <v>176321</v>
      </c>
      <c r="H312">
        <v>112646.6306966706</v>
      </c>
      <c r="I312">
        <v>288967.63069667062</v>
      </c>
      <c r="J312">
        <f>VLOOKUP(C312,'LEAID Match'!$A$2:$B$59,2,FALSE)</f>
        <v>4400019</v>
      </c>
    </row>
    <row r="313" spans="1:10" x14ac:dyDescent="0.2">
      <c r="A313">
        <f t="shared" si="4"/>
        <v>4400019</v>
      </c>
      <c r="B313">
        <v>2016</v>
      </c>
      <c r="C313" t="s">
        <v>50</v>
      </c>
      <c r="D313" t="s">
        <v>69</v>
      </c>
      <c r="E313" t="s">
        <v>71</v>
      </c>
      <c r="F313" t="s">
        <v>73</v>
      </c>
      <c r="G313">
        <v>184019</v>
      </c>
      <c r="H313">
        <v>117707.4001972495</v>
      </c>
      <c r="I313">
        <v>301726.40019724949</v>
      </c>
      <c r="J313">
        <f>VLOOKUP(C313,'LEAID Match'!$A$2:$B$59,2,FALSE)</f>
        <v>4400019</v>
      </c>
    </row>
    <row r="314" spans="1:10" x14ac:dyDescent="0.2">
      <c r="A314">
        <f t="shared" si="4"/>
        <v>4400019</v>
      </c>
      <c r="B314">
        <v>2017</v>
      </c>
      <c r="C314" t="s">
        <v>50</v>
      </c>
      <c r="D314" t="s">
        <v>69</v>
      </c>
      <c r="E314" t="s">
        <v>71</v>
      </c>
      <c r="F314" t="s">
        <v>73</v>
      </c>
      <c r="G314">
        <v>205031</v>
      </c>
      <c r="H314">
        <v>144181.34453164329</v>
      </c>
      <c r="I314">
        <v>349212.34453164332</v>
      </c>
      <c r="J314">
        <f>VLOOKUP(C314,'LEAID Match'!$A$2:$B$59,2,FALSE)</f>
        <v>4400019</v>
      </c>
    </row>
    <row r="315" spans="1:10" x14ac:dyDescent="0.2">
      <c r="A315">
        <f t="shared" si="4"/>
        <v>4400019</v>
      </c>
      <c r="B315">
        <v>2018</v>
      </c>
      <c r="C315" t="s">
        <v>50</v>
      </c>
      <c r="D315" t="s">
        <v>69</v>
      </c>
      <c r="E315" t="s">
        <v>71</v>
      </c>
      <c r="F315" t="s">
        <v>73</v>
      </c>
      <c r="G315">
        <v>204611</v>
      </c>
      <c r="H315">
        <v>204611</v>
      </c>
      <c r="I315">
        <v>409222</v>
      </c>
      <c r="J315">
        <f>VLOOKUP(C315,'LEAID Match'!$A$2:$B$59,2,FALSE)</f>
        <v>4400019</v>
      </c>
    </row>
    <row r="316" spans="1:10" x14ac:dyDescent="0.2">
      <c r="A316">
        <f t="shared" si="4"/>
        <v>4400019</v>
      </c>
      <c r="B316">
        <v>2019</v>
      </c>
      <c r="C316" t="s">
        <v>50</v>
      </c>
      <c r="D316" t="s">
        <v>69</v>
      </c>
      <c r="E316" t="s">
        <v>71</v>
      </c>
      <c r="F316" t="s">
        <v>73</v>
      </c>
      <c r="G316">
        <v>256371</v>
      </c>
      <c r="H316">
        <v>177827.1240262489</v>
      </c>
      <c r="I316">
        <v>434198.12402624893</v>
      </c>
      <c r="J316">
        <f>VLOOKUP(C316,'LEAID Match'!$A$2:$B$59,2,FALSE)</f>
        <v>4400019</v>
      </c>
    </row>
    <row r="317" spans="1:10" x14ac:dyDescent="0.2">
      <c r="A317">
        <f t="shared" si="4"/>
        <v>4400019</v>
      </c>
      <c r="B317">
        <v>2020</v>
      </c>
      <c r="C317" t="s">
        <v>50</v>
      </c>
      <c r="D317" t="s">
        <v>69</v>
      </c>
      <c r="E317" t="s">
        <v>71</v>
      </c>
      <c r="F317" t="s">
        <v>73</v>
      </c>
      <c r="G317">
        <v>207533</v>
      </c>
      <c r="H317">
        <v>155474.61916844526</v>
      </c>
      <c r="I317">
        <v>363007.61916844524</v>
      </c>
      <c r="J317">
        <f>VLOOKUP(C317,'LEAID Match'!$A$2:$B$59,2,FALSE)</f>
        <v>4400019</v>
      </c>
    </row>
    <row r="318" spans="1:10" x14ac:dyDescent="0.2">
      <c r="A318">
        <f t="shared" si="4"/>
        <v>4400019</v>
      </c>
      <c r="B318">
        <v>2021</v>
      </c>
      <c r="C318" t="s">
        <v>50</v>
      </c>
      <c r="D318" t="s">
        <v>69</v>
      </c>
      <c r="E318" t="s">
        <v>71</v>
      </c>
      <c r="F318" t="s">
        <v>73</v>
      </c>
      <c r="G318">
        <v>222715</v>
      </c>
      <c r="H318">
        <v>165165.13839177549</v>
      </c>
      <c r="I318">
        <v>387880.13839177549</v>
      </c>
      <c r="J318">
        <f>VLOOKUP(C318,'LEAID Match'!$A$2:$B$59,2,FALSE)</f>
        <v>4400019</v>
      </c>
    </row>
    <row r="319" spans="1:10" x14ac:dyDescent="0.2">
      <c r="A319">
        <f t="shared" si="4"/>
        <v>4400019</v>
      </c>
      <c r="B319">
        <v>2022</v>
      </c>
      <c r="C319" t="s">
        <v>50</v>
      </c>
      <c r="D319" t="s">
        <v>69</v>
      </c>
      <c r="E319" t="s">
        <v>71</v>
      </c>
      <c r="F319" t="s">
        <v>73</v>
      </c>
      <c r="G319">
        <v>262531</v>
      </c>
      <c r="H319">
        <v>194151.61169703948</v>
      </c>
      <c r="I319">
        <v>456682.61169703945</v>
      </c>
      <c r="J319">
        <f>VLOOKUP(C319,'LEAID Match'!$A$2:$B$59,2,FALSE)</f>
        <v>4400019</v>
      </c>
    </row>
    <row r="320" spans="1:10" x14ac:dyDescent="0.2">
      <c r="A320">
        <f t="shared" si="4"/>
        <v>4400960</v>
      </c>
      <c r="B320">
        <v>2015</v>
      </c>
      <c r="C320" t="s">
        <v>29</v>
      </c>
      <c r="D320" t="s">
        <v>69</v>
      </c>
      <c r="E320" t="s">
        <v>71</v>
      </c>
      <c r="F320" t="s">
        <v>73</v>
      </c>
      <c r="G320">
        <v>1576723</v>
      </c>
      <c r="H320">
        <v>1007324.8988602977</v>
      </c>
      <c r="I320">
        <v>2584047.8988602976</v>
      </c>
      <c r="J320">
        <f>VLOOKUP(C320,'LEAID Match'!$A$2:$B$59,2,FALSE)</f>
        <v>4400960</v>
      </c>
    </row>
    <row r="321" spans="1:10" x14ac:dyDescent="0.2">
      <c r="A321">
        <f t="shared" si="4"/>
        <v>4400960</v>
      </c>
      <c r="B321">
        <v>2016</v>
      </c>
      <c r="C321" t="s">
        <v>29</v>
      </c>
      <c r="D321" t="s">
        <v>69</v>
      </c>
      <c r="E321" t="s">
        <v>71</v>
      </c>
      <c r="F321" t="s">
        <v>73</v>
      </c>
      <c r="G321">
        <v>1551729</v>
      </c>
      <c r="H321">
        <v>992560.47691095911</v>
      </c>
      <c r="I321">
        <v>2544289.476910959</v>
      </c>
      <c r="J321">
        <f>VLOOKUP(C321,'LEAID Match'!$A$2:$B$59,2,FALSE)</f>
        <v>4400960</v>
      </c>
    </row>
    <row r="322" spans="1:10" x14ac:dyDescent="0.2">
      <c r="A322">
        <f t="shared" si="4"/>
        <v>4400960</v>
      </c>
      <c r="B322">
        <v>2017</v>
      </c>
      <c r="C322" t="s">
        <v>29</v>
      </c>
      <c r="D322" t="s">
        <v>69</v>
      </c>
      <c r="E322" t="s">
        <v>71</v>
      </c>
      <c r="F322" t="s">
        <v>73</v>
      </c>
      <c r="G322">
        <v>1491891</v>
      </c>
      <c r="H322">
        <v>1049123.5485105072</v>
      </c>
      <c r="I322">
        <v>2541014.5485105072</v>
      </c>
      <c r="J322">
        <f>VLOOKUP(C322,'LEAID Match'!$A$2:$B$59,2,FALSE)</f>
        <v>4400960</v>
      </c>
    </row>
    <row r="323" spans="1:10" x14ac:dyDescent="0.2">
      <c r="A323">
        <f t="shared" ref="A323:A386" si="5">J323</f>
        <v>4400960</v>
      </c>
      <c r="B323">
        <v>2018</v>
      </c>
      <c r="C323" t="s">
        <v>29</v>
      </c>
      <c r="D323" t="s">
        <v>69</v>
      </c>
      <c r="E323" t="s">
        <v>71</v>
      </c>
      <c r="F323" t="s">
        <v>73</v>
      </c>
      <c r="G323">
        <v>1522761</v>
      </c>
      <c r="H323">
        <v>1522761</v>
      </c>
      <c r="I323">
        <v>3045522</v>
      </c>
      <c r="J323">
        <f>VLOOKUP(C323,'LEAID Match'!$A$2:$B$59,2,FALSE)</f>
        <v>4400960</v>
      </c>
    </row>
    <row r="324" spans="1:10" x14ac:dyDescent="0.2">
      <c r="A324">
        <f t="shared" si="5"/>
        <v>4400960</v>
      </c>
      <c r="B324">
        <v>2019</v>
      </c>
      <c r="C324" t="s">
        <v>29</v>
      </c>
      <c r="D324" t="s">
        <v>69</v>
      </c>
      <c r="E324" t="s">
        <v>71</v>
      </c>
      <c r="F324" t="s">
        <v>73</v>
      </c>
      <c r="G324">
        <v>1579572</v>
      </c>
      <c r="H324">
        <v>1095641.651951235</v>
      </c>
      <c r="I324">
        <v>2675213.6519512348</v>
      </c>
      <c r="J324">
        <f>VLOOKUP(C324,'LEAID Match'!$A$2:$B$59,2,FALSE)</f>
        <v>4400960</v>
      </c>
    </row>
    <row r="325" spans="1:10" x14ac:dyDescent="0.2">
      <c r="A325">
        <f t="shared" si="5"/>
        <v>4400960</v>
      </c>
      <c r="B325">
        <v>2020</v>
      </c>
      <c r="C325" t="s">
        <v>29</v>
      </c>
      <c r="D325" t="s">
        <v>69</v>
      </c>
      <c r="E325" t="s">
        <v>71</v>
      </c>
      <c r="F325" t="s">
        <v>73</v>
      </c>
      <c r="G325">
        <v>1475099</v>
      </c>
      <c r="H325">
        <v>1105079.4584993925</v>
      </c>
      <c r="I325">
        <v>2580178.4584993925</v>
      </c>
      <c r="J325">
        <f>VLOOKUP(C325,'LEAID Match'!$A$2:$B$59,2,FALSE)</f>
        <v>4400960</v>
      </c>
    </row>
    <row r="326" spans="1:10" x14ac:dyDescent="0.2">
      <c r="A326">
        <f t="shared" si="5"/>
        <v>4400960</v>
      </c>
      <c r="B326">
        <v>2021</v>
      </c>
      <c r="C326" t="s">
        <v>29</v>
      </c>
      <c r="D326" t="s">
        <v>69</v>
      </c>
      <c r="E326" t="s">
        <v>71</v>
      </c>
      <c r="F326" t="s">
        <v>73</v>
      </c>
      <c r="G326">
        <v>1658990</v>
      </c>
      <c r="H326">
        <v>1230304.7075435945</v>
      </c>
      <c r="I326">
        <v>2889294.7075435948</v>
      </c>
      <c r="J326">
        <f>VLOOKUP(C326,'LEAID Match'!$A$2:$B$59,2,FALSE)</f>
        <v>4400960</v>
      </c>
    </row>
    <row r="327" spans="1:10" x14ac:dyDescent="0.2">
      <c r="A327">
        <f t="shared" si="5"/>
        <v>4400960</v>
      </c>
      <c r="B327">
        <v>2022</v>
      </c>
      <c r="C327" t="s">
        <v>29</v>
      </c>
      <c r="D327" t="s">
        <v>69</v>
      </c>
      <c r="E327" t="s">
        <v>71</v>
      </c>
      <c r="F327" t="s">
        <v>73</v>
      </c>
      <c r="G327">
        <v>1696001</v>
      </c>
      <c r="H327">
        <v>1254256.9357134611</v>
      </c>
      <c r="I327">
        <v>2950257.9357134611</v>
      </c>
      <c r="J327">
        <f>VLOOKUP(C327,'LEAID Match'!$A$2:$B$59,2,FALSE)</f>
        <v>4400960</v>
      </c>
    </row>
    <row r="328" spans="1:10" x14ac:dyDescent="0.2">
      <c r="A328">
        <f t="shared" si="5"/>
        <v>4400014</v>
      </c>
      <c r="B328">
        <v>2015</v>
      </c>
      <c r="C328" t="s">
        <v>47</v>
      </c>
      <c r="D328" t="s">
        <v>69</v>
      </c>
      <c r="E328" t="s">
        <v>71</v>
      </c>
      <c r="F328" t="s">
        <v>73</v>
      </c>
      <c r="G328">
        <v>165384</v>
      </c>
      <c r="H328">
        <v>105659.28262168527</v>
      </c>
      <c r="I328">
        <v>271043.2826216853</v>
      </c>
      <c r="J328">
        <f>VLOOKUP(C328,'LEAID Match'!$A$2:$B$59,2,FALSE)</f>
        <v>4400014</v>
      </c>
    </row>
    <row r="329" spans="1:10" x14ac:dyDescent="0.2">
      <c r="A329">
        <f t="shared" si="5"/>
        <v>4400014</v>
      </c>
      <c r="B329">
        <v>2016</v>
      </c>
      <c r="C329" t="s">
        <v>47</v>
      </c>
      <c r="D329" t="s">
        <v>69</v>
      </c>
      <c r="E329" t="s">
        <v>71</v>
      </c>
      <c r="F329" t="s">
        <v>73</v>
      </c>
      <c r="G329">
        <v>159218</v>
      </c>
      <c r="H329">
        <v>101843.48814310301</v>
      </c>
      <c r="I329">
        <v>261061.48814310302</v>
      </c>
      <c r="J329">
        <f>VLOOKUP(C329,'LEAID Match'!$A$2:$B$59,2,FALSE)</f>
        <v>4400014</v>
      </c>
    </row>
    <row r="330" spans="1:10" x14ac:dyDescent="0.2">
      <c r="A330">
        <f t="shared" si="5"/>
        <v>4400014</v>
      </c>
      <c r="B330">
        <v>2017</v>
      </c>
      <c r="C330" t="s">
        <v>47</v>
      </c>
      <c r="D330" t="s">
        <v>69</v>
      </c>
      <c r="E330" t="s">
        <v>71</v>
      </c>
      <c r="F330" t="s">
        <v>73</v>
      </c>
      <c r="G330">
        <v>149512</v>
      </c>
      <c r="H330">
        <v>105139.4237145361</v>
      </c>
      <c r="I330">
        <v>254651.4237145361</v>
      </c>
      <c r="J330">
        <f>VLOOKUP(C330,'LEAID Match'!$A$2:$B$59,2,FALSE)</f>
        <v>4400014</v>
      </c>
    </row>
    <row r="331" spans="1:10" x14ac:dyDescent="0.2">
      <c r="A331">
        <f t="shared" si="5"/>
        <v>4400014</v>
      </c>
      <c r="B331">
        <v>2018</v>
      </c>
      <c r="C331" t="s">
        <v>47</v>
      </c>
      <c r="D331" t="s">
        <v>69</v>
      </c>
      <c r="E331" t="s">
        <v>71</v>
      </c>
      <c r="F331" t="s">
        <v>73</v>
      </c>
      <c r="G331">
        <v>172655</v>
      </c>
      <c r="H331">
        <v>172655</v>
      </c>
      <c r="I331">
        <v>345310</v>
      </c>
      <c r="J331">
        <f>VLOOKUP(C331,'LEAID Match'!$A$2:$B$59,2,FALSE)</f>
        <v>4400014</v>
      </c>
    </row>
    <row r="332" spans="1:10" x14ac:dyDescent="0.2">
      <c r="A332">
        <f t="shared" si="5"/>
        <v>4400014</v>
      </c>
      <c r="B332">
        <v>2019</v>
      </c>
      <c r="C332" t="s">
        <v>47</v>
      </c>
      <c r="D332" t="s">
        <v>69</v>
      </c>
      <c r="E332" t="s">
        <v>71</v>
      </c>
      <c r="F332" t="s">
        <v>73</v>
      </c>
      <c r="G332">
        <v>173224</v>
      </c>
      <c r="H332">
        <v>120153.70588843098</v>
      </c>
      <c r="I332">
        <v>293377.705888431</v>
      </c>
      <c r="J332">
        <f>VLOOKUP(C332,'LEAID Match'!$A$2:$B$59,2,FALSE)</f>
        <v>4400014</v>
      </c>
    </row>
    <row r="333" spans="1:10" x14ac:dyDescent="0.2">
      <c r="A333">
        <f t="shared" si="5"/>
        <v>4400014</v>
      </c>
      <c r="B333">
        <v>2020</v>
      </c>
      <c r="C333" t="s">
        <v>47</v>
      </c>
      <c r="D333" t="s">
        <v>69</v>
      </c>
      <c r="E333" t="s">
        <v>71</v>
      </c>
      <c r="F333" t="s">
        <v>73</v>
      </c>
      <c r="G333">
        <v>173224</v>
      </c>
      <c r="H333">
        <v>129771.82149747155</v>
      </c>
      <c r="I333">
        <v>302995.82149747154</v>
      </c>
      <c r="J333">
        <f>VLOOKUP(C333,'LEAID Match'!$A$2:$B$59,2,FALSE)</f>
        <v>4400014</v>
      </c>
    </row>
    <row r="334" spans="1:10" x14ac:dyDescent="0.2">
      <c r="A334">
        <f t="shared" si="5"/>
        <v>4400014</v>
      </c>
      <c r="B334">
        <v>2021</v>
      </c>
      <c r="C334" t="s">
        <v>47</v>
      </c>
      <c r="D334" t="s">
        <v>69</v>
      </c>
      <c r="E334" t="s">
        <v>71</v>
      </c>
      <c r="F334" t="s">
        <v>73</v>
      </c>
      <c r="G334">
        <v>195876</v>
      </c>
      <c r="H334">
        <v>145261.37282009481</v>
      </c>
      <c r="I334">
        <v>341137.37282009481</v>
      </c>
      <c r="J334">
        <f>VLOOKUP(C334,'LEAID Match'!$A$2:$B$59,2,FALSE)</f>
        <v>4400014</v>
      </c>
    </row>
    <row r="335" spans="1:10" x14ac:dyDescent="0.2">
      <c r="A335">
        <f t="shared" si="5"/>
        <v>4400014</v>
      </c>
      <c r="B335">
        <v>2022</v>
      </c>
      <c r="C335" t="s">
        <v>47</v>
      </c>
      <c r="D335" t="s">
        <v>69</v>
      </c>
      <c r="E335" t="s">
        <v>71</v>
      </c>
      <c r="F335" t="s">
        <v>73</v>
      </c>
      <c r="G335">
        <v>193013</v>
      </c>
      <c r="H335">
        <v>142740.41933516684</v>
      </c>
      <c r="I335">
        <v>335753.41933516681</v>
      </c>
      <c r="J335">
        <f>VLOOKUP(C335,'LEAID Match'!$A$2:$B$59,2,FALSE)</f>
        <v>4400014</v>
      </c>
    </row>
    <row r="336" spans="1:10" x14ac:dyDescent="0.2">
      <c r="A336">
        <f t="shared" si="5"/>
        <v>4400024</v>
      </c>
      <c r="B336">
        <v>2015</v>
      </c>
      <c r="C336" t="s">
        <v>52</v>
      </c>
      <c r="D336" t="s">
        <v>69</v>
      </c>
      <c r="E336" t="s">
        <v>71</v>
      </c>
      <c r="F336" t="s">
        <v>73</v>
      </c>
      <c r="G336">
        <v>94482</v>
      </c>
      <c r="H336">
        <v>60361.947592645411</v>
      </c>
      <c r="I336">
        <v>154843.94759264542</v>
      </c>
      <c r="J336">
        <f>VLOOKUP(C336,'LEAID Match'!$A$2:$B$59,2,FALSE)</f>
        <v>4400024</v>
      </c>
    </row>
    <row r="337" spans="1:10" x14ac:dyDescent="0.2">
      <c r="A337">
        <f t="shared" si="5"/>
        <v>4400024</v>
      </c>
      <c r="B337">
        <v>2016</v>
      </c>
      <c r="C337" t="s">
        <v>52</v>
      </c>
      <c r="D337" t="s">
        <v>69</v>
      </c>
      <c r="E337" t="s">
        <v>71</v>
      </c>
      <c r="F337" t="s">
        <v>73</v>
      </c>
      <c r="G337">
        <v>96147</v>
      </c>
      <c r="H337">
        <v>61500.244033306059</v>
      </c>
      <c r="I337">
        <v>157647.24403330605</v>
      </c>
      <c r="J337">
        <f>VLOOKUP(C337,'LEAID Match'!$A$2:$B$59,2,FALSE)</f>
        <v>4400024</v>
      </c>
    </row>
    <row r="338" spans="1:10" x14ac:dyDescent="0.2">
      <c r="A338">
        <f t="shared" si="5"/>
        <v>4400024</v>
      </c>
      <c r="B338">
        <v>2017</v>
      </c>
      <c r="C338" t="s">
        <v>52</v>
      </c>
      <c r="D338" t="s">
        <v>69</v>
      </c>
      <c r="E338" t="s">
        <v>71</v>
      </c>
      <c r="F338" t="s">
        <v>73</v>
      </c>
      <c r="G338">
        <v>98224</v>
      </c>
      <c r="H338">
        <v>69072.815258551782</v>
      </c>
      <c r="I338">
        <v>167296.8152585518</v>
      </c>
      <c r="J338">
        <f>VLOOKUP(C338,'LEAID Match'!$A$2:$B$59,2,FALSE)</f>
        <v>4400024</v>
      </c>
    </row>
    <row r="339" spans="1:10" x14ac:dyDescent="0.2">
      <c r="A339">
        <f t="shared" si="5"/>
        <v>4400024</v>
      </c>
      <c r="B339">
        <v>2018</v>
      </c>
      <c r="C339" t="s">
        <v>52</v>
      </c>
      <c r="D339" t="s">
        <v>69</v>
      </c>
      <c r="E339" t="s">
        <v>71</v>
      </c>
      <c r="F339" t="s">
        <v>73</v>
      </c>
      <c r="G339">
        <v>93822</v>
      </c>
      <c r="H339">
        <v>93822.000000000015</v>
      </c>
      <c r="I339">
        <v>187644</v>
      </c>
      <c r="J339">
        <f>VLOOKUP(C339,'LEAID Match'!$A$2:$B$59,2,FALSE)</f>
        <v>4400024</v>
      </c>
    </row>
    <row r="340" spans="1:10" x14ac:dyDescent="0.2">
      <c r="A340">
        <f t="shared" si="5"/>
        <v>4400024</v>
      </c>
      <c r="B340">
        <v>2019</v>
      </c>
      <c r="C340" t="s">
        <v>52</v>
      </c>
      <c r="D340" t="s">
        <v>69</v>
      </c>
      <c r="E340" t="s">
        <v>71</v>
      </c>
      <c r="F340" t="s">
        <v>73</v>
      </c>
      <c r="G340">
        <v>114673</v>
      </c>
      <c r="H340">
        <v>79540.859900152675</v>
      </c>
      <c r="I340">
        <v>194213.85990015266</v>
      </c>
      <c r="J340">
        <f>VLOOKUP(C340,'LEAID Match'!$A$2:$B$59,2,FALSE)</f>
        <v>4400024</v>
      </c>
    </row>
    <row r="341" spans="1:10" x14ac:dyDescent="0.2">
      <c r="A341">
        <f t="shared" si="5"/>
        <v>4400024</v>
      </c>
      <c r="B341">
        <v>2020</v>
      </c>
      <c r="C341" t="s">
        <v>52</v>
      </c>
      <c r="D341" t="s">
        <v>69</v>
      </c>
      <c r="E341" t="s">
        <v>71</v>
      </c>
      <c r="F341" t="s">
        <v>73</v>
      </c>
      <c r="G341">
        <v>114673</v>
      </c>
      <c r="H341">
        <v>85907.98091823046</v>
      </c>
      <c r="I341">
        <v>200580.98091823046</v>
      </c>
      <c r="J341">
        <f>VLOOKUP(C341,'LEAID Match'!$A$2:$B$59,2,FALSE)</f>
        <v>4400024</v>
      </c>
    </row>
    <row r="342" spans="1:10" x14ac:dyDescent="0.2">
      <c r="A342">
        <f t="shared" si="5"/>
        <v>4400024</v>
      </c>
      <c r="B342">
        <v>2021</v>
      </c>
      <c r="C342" t="s">
        <v>52</v>
      </c>
      <c r="D342" t="s">
        <v>69</v>
      </c>
      <c r="E342" t="s">
        <v>71</v>
      </c>
      <c r="F342" t="s">
        <v>73</v>
      </c>
      <c r="G342">
        <v>139301</v>
      </c>
      <c r="H342">
        <v>103305.43045197996</v>
      </c>
      <c r="I342">
        <v>242606.43045197998</v>
      </c>
      <c r="J342">
        <f>VLOOKUP(C342,'LEAID Match'!$A$2:$B$59,2,FALSE)</f>
        <v>4400024</v>
      </c>
    </row>
    <row r="343" spans="1:10" x14ac:dyDescent="0.2">
      <c r="A343">
        <f t="shared" si="5"/>
        <v>4400024</v>
      </c>
      <c r="B343">
        <v>2022</v>
      </c>
      <c r="C343" t="s">
        <v>52</v>
      </c>
      <c r="D343" t="s">
        <v>69</v>
      </c>
      <c r="E343" t="s">
        <v>71</v>
      </c>
      <c r="F343" t="s">
        <v>73</v>
      </c>
      <c r="G343">
        <v>178360</v>
      </c>
      <c r="H343">
        <v>131903.97119686424</v>
      </c>
      <c r="I343">
        <v>310263.97119686427</v>
      </c>
      <c r="J343">
        <f>VLOOKUP(C343,'LEAID Match'!$A$2:$B$59,2,FALSE)</f>
        <v>4400024</v>
      </c>
    </row>
    <row r="344" spans="1:10" x14ac:dyDescent="0.2">
      <c r="A344">
        <f t="shared" si="5"/>
        <v>4400990</v>
      </c>
      <c r="B344">
        <v>2015</v>
      </c>
      <c r="C344" t="s">
        <v>30</v>
      </c>
      <c r="D344" t="s">
        <v>69</v>
      </c>
      <c r="E344" t="s">
        <v>71</v>
      </c>
      <c r="F344" t="s">
        <v>73</v>
      </c>
      <c r="G344">
        <v>2370250</v>
      </c>
      <c r="H344">
        <v>1514287.4439731142</v>
      </c>
      <c r="I344">
        <v>3884537.4439731142</v>
      </c>
      <c r="J344">
        <f>VLOOKUP(C344,'LEAID Match'!$A$2:$B$59,2,FALSE)</f>
        <v>4400990</v>
      </c>
    </row>
    <row r="345" spans="1:10" x14ac:dyDescent="0.2">
      <c r="A345">
        <f t="shared" si="5"/>
        <v>4400990</v>
      </c>
      <c r="B345">
        <v>2016</v>
      </c>
      <c r="C345" t="s">
        <v>30</v>
      </c>
      <c r="D345" t="s">
        <v>69</v>
      </c>
      <c r="E345" t="s">
        <v>71</v>
      </c>
      <c r="F345" t="s">
        <v>73</v>
      </c>
      <c r="G345">
        <v>2511869</v>
      </c>
      <c r="H345">
        <v>1606712.1852964363</v>
      </c>
      <c r="I345">
        <v>4118581.1852964363</v>
      </c>
      <c r="J345">
        <f>VLOOKUP(C345,'LEAID Match'!$A$2:$B$59,2,FALSE)</f>
        <v>4400990</v>
      </c>
    </row>
    <row r="346" spans="1:10" x14ac:dyDescent="0.2">
      <c r="A346">
        <f t="shared" si="5"/>
        <v>4400990</v>
      </c>
      <c r="B346">
        <v>2017</v>
      </c>
      <c r="C346" t="s">
        <v>30</v>
      </c>
      <c r="D346" t="s">
        <v>69</v>
      </c>
      <c r="E346" t="s">
        <v>71</v>
      </c>
      <c r="F346" t="s">
        <v>73</v>
      </c>
      <c r="G346">
        <v>2494957</v>
      </c>
      <c r="H346">
        <v>1754496.904412675</v>
      </c>
      <c r="I346">
        <v>4249453.9044126747</v>
      </c>
      <c r="J346">
        <f>VLOOKUP(C346,'LEAID Match'!$A$2:$B$59,2,FALSE)</f>
        <v>4400990</v>
      </c>
    </row>
    <row r="347" spans="1:10" x14ac:dyDescent="0.2">
      <c r="A347">
        <f t="shared" si="5"/>
        <v>4400990</v>
      </c>
      <c r="B347">
        <v>2018</v>
      </c>
      <c r="C347" t="s">
        <v>30</v>
      </c>
      <c r="D347" t="s">
        <v>69</v>
      </c>
      <c r="E347" t="s">
        <v>71</v>
      </c>
      <c r="F347" t="s">
        <v>73</v>
      </c>
      <c r="G347">
        <v>2604610</v>
      </c>
      <c r="H347">
        <v>2604610</v>
      </c>
      <c r="I347">
        <v>5209220</v>
      </c>
      <c r="J347">
        <f>VLOOKUP(C347,'LEAID Match'!$A$2:$B$59,2,FALSE)</f>
        <v>4400990</v>
      </c>
    </row>
    <row r="348" spans="1:10" x14ac:dyDescent="0.2">
      <c r="A348">
        <f t="shared" si="5"/>
        <v>4400990</v>
      </c>
      <c r="B348">
        <v>2019</v>
      </c>
      <c r="C348" t="s">
        <v>30</v>
      </c>
      <c r="D348" t="s">
        <v>69</v>
      </c>
      <c r="E348" t="s">
        <v>71</v>
      </c>
      <c r="F348" t="s">
        <v>73</v>
      </c>
      <c r="G348">
        <v>2719939</v>
      </c>
      <c r="H348">
        <v>1886636.6706719224</v>
      </c>
      <c r="I348">
        <v>4606575.6706719222</v>
      </c>
      <c r="J348">
        <f>VLOOKUP(C348,'LEAID Match'!$A$2:$B$59,2,FALSE)</f>
        <v>4400990</v>
      </c>
    </row>
    <row r="349" spans="1:10" x14ac:dyDescent="0.2">
      <c r="A349">
        <f t="shared" si="5"/>
        <v>4400990</v>
      </c>
      <c r="B349">
        <v>2020</v>
      </c>
      <c r="C349" t="s">
        <v>30</v>
      </c>
      <c r="D349" t="s">
        <v>69</v>
      </c>
      <c r="E349" t="s">
        <v>71</v>
      </c>
      <c r="F349" t="s">
        <v>73</v>
      </c>
      <c r="G349">
        <v>2591359</v>
      </c>
      <c r="H349">
        <v>1941332.4803945548</v>
      </c>
      <c r="I349">
        <v>4532691.4803945553</v>
      </c>
      <c r="J349">
        <f>VLOOKUP(C349,'LEAID Match'!$A$2:$B$59,2,FALSE)</f>
        <v>4400990</v>
      </c>
    </row>
    <row r="350" spans="1:10" x14ac:dyDescent="0.2">
      <c r="A350">
        <f t="shared" si="5"/>
        <v>4400990</v>
      </c>
      <c r="B350">
        <v>2021</v>
      </c>
      <c r="C350" t="s">
        <v>30</v>
      </c>
      <c r="D350" t="s">
        <v>69</v>
      </c>
      <c r="E350" t="s">
        <v>71</v>
      </c>
      <c r="F350" t="s">
        <v>73</v>
      </c>
      <c r="G350">
        <v>2725023</v>
      </c>
      <c r="H350">
        <v>2020873.3175393273</v>
      </c>
      <c r="I350">
        <v>4745896.3175393268</v>
      </c>
      <c r="J350">
        <f>VLOOKUP(C350,'LEAID Match'!$A$2:$B$59,2,FALSE)</f>
        <v>4400990</v>
      </c>
    </row>
    <row r="351" spans="1:10" x14ac:dyDescent="0.2">
      <c r="A351">
        <f t="shared" si="5"/>
        <v>4400990</v>
      </c>
      <c r="B351">
        <v>2022</v>
      </c>
      <c r="C351" t="s">
        <v>30</v>
      </c>
      <c r="D351" t="s">
        <v>69</v>
      </c>
      <c r="E351" t="s">
        <v>71</v>
      </c>
      <c r="F351" t="s">
        <v>73</v>
      </c>
      <c r="G351">
        <v>2803035</v>
      </c>
      <c r="H351">
        <v>2072950.4816315449</v>
      </c>
      <c r="I351">
        <v>4875985.4816315453</v>
      </c>
      <c r="J351">
        <f>VLOOKUP(C351,'LEAID Match'!$A$2:$B$59,2,FALSE)</f>
        <v>4400990</v>
      </c>
    </row>
    <row r="352" spans="1:10" x14ac:dyDescent="0.2">
      <c r="A352">
        <f t="shared" si="5"/>
        <v>4401020</v>
      </c>
      <c r="B352">
        <v>2015</v>
      </c>
      <c r="C352" t="s">
        <v>31</v>
      </c>
      <c r="D352" t="s">
        <v>69</v>
      </c>
      <c r="E352" t="s">
        <v>71</v>
      </c>
      <c r="F352" t="s">
        <v>73</v>
      </c>
      <c r="G352">
        <v>3587667</v>
      </c>
      <c r="H352">
        <v>2292061.6353788381</v>
      </c>
      <c r="I352">
        <v>5879728.6353788376</v>
      </c>
      <c r="J352">
        <f>VLOOKUP(C352,'LEAID Match'!$A$2:$B$59,2,FALSE)</f>
        <v>4401020</v>
      </c>
    </row>
    <row r="353" spans="1:10" x14ac:dyDescent="0.2">
      <c r="A353">
        <f t="shared" si="5"/>
        <v>4401020</v>
      </c>
      <c r="B353">
        <v>2016</v>
      </c>
      <c r="C353" t="s">
        <v>31</v>
      </c>
      <c r="D353" t="s">
        <v>69</v>
      </c>
      <c r="E353" t="s">
        <v>71</v>
      </c>
      <c r="F353" t="s">
        <v>73</v>
      </c>
      <c r="G353">
        <v>3797311</v>
      </c>
      <c r="H353">
        <v>2428942.6936915088</v>
      </c>
      <c r="I353">
        <v>6226253.6936915088</v>
      </c>
      <c r="J353">
        <f>VLOOKUP(C353,'LEAID Match'!$A$2:$B$59,2,FALSE)</f>
        <v>4401020</v>
      </c>
    </row>
    <row r="354" spans="1:10" x14ac:dyDescent="0.2">
      <c r="A354">
        <f t="shared" si="5"/>
        <v>4401020</v>
      </c>
      <c r="B354">
        <v>2017</v>
      </c>
      <c r="C354" t="s">
        <v>31</v>
      </c>
      <c r="D354" t="s">
        <v>69</v>
      </c>
      <c r="E354" t="s">
        <v>71</v>
      </c>
      <c r="F354" t="s">
        <v>73</v>
      </c>
      <c r="G354">
        <v>3698089</v>
      </c>
      <c r="H354">
        <v>2600560.1309932652</v>
      </c>
      <c r="I354">
        <v>6298649.1309932657</v>
      </c>
      <c r="J354">
        <f>VLOOKUP(C354,'LEAID Match'!$A$2:$B$59,2,FALSE)</f>
        <v>4401020</v>
      </c>
    </row>
    <row r="355" spans="1:10" x14ac:dyDescent="0.2">
      <c r="A355">
        <f t="shared" si="5"/>
        <v>4401020</v>
      </c>
      <c r="B355">
        <v>2018</v>
      </c>
      <c r="C355" t="s">
        <v>31</v>
      </c>
      <c r="D355" t="s">
        <v>69</v>
      </c>
      <c r="E355" t="s">
        <v>71</v>
      </c>
      <c r="F355" t="s">
        <v>73</v>
      </c>
      <c r="G355">
        <v>3621894</v>
      </c>
      <c r="H355">
        <v>3621894</v>
      </c>
      <c r="I355">
        <v>7243788</v>
      </c>
      <c r="J355">
        <f>VLOOKUP(C355,'LEAID Match'!$A$2:$B$59,2,FALSE)</f>
        <v>4401020</v>
      </c>
    </row>
    <row r="356" spans="1:10" x14ac:dyDescent="0.2">
      <c r="A356">
        <f t="shared" si="5"/>
        <v>4401020</v>
      </c>
      <c r="B356">
        <v>2019</v>
      </c>
      <c r="C356" t="s">
        <v>31</v>
      </c>
      <c r="D356" t="s">
        <v>69</v>
      </c>
      <c r="E356" t="s">
        <v>71</v>
      </c>
      <c r="F356" t="s">
        <v>73</v>
      </c>
      <c r="G356">
        <v>3897946</v>
      </c>
      <c r="H356">
        <v>2703739.9970730734</v>
      </c>
      <c r="I356">
        <v>6601685.9970730729</v>
      </c>
      <c r="J356">
        <f>VLOOKUP(C356,'LEAID Match'!$A$2:$B$59,2,FALSE)</f>
        <v>4401020</v>
      </c>
    </row>
    <row r="357" spans="1:10" x14ac:dyDescent="0.2">
      <c r="A357">
        <f t="shared" si="5"/>
        <v>4401020</v>
      </c>
      <c r="B357">
        <v>2020</v>
      </c>
      <c r="C357" t="s">
        <v>31</v>
      </c>
      <c r="D357" t="s">
        <v>69</v>
      </c>
      <c r="E357" t="s">
        <v>71</v>
      </c>
      <c r="F357" t="s">
        <v>73</v>
      </c>
      <c r="G357">
        <v>3758143</v>
      </c>
      <c r="H357">
        <v>2815435.8666118565</v>
      </c>
      <c r="I357">
        <v>6573578.866611857</v>
      </c>
      <c r="J357">
        <f>VLOOKUP(C357,'LEAID Match'!$A$2:$B$59,2,FALSE)</f>
        <v>4401020</v>
      </c>
    </row>
    <row r="358" spans="1:10" x14ac:dyDescent="0.2">
      <c r="A358">
        <f t="shared" si="5"/>
        <v>4401020</v>
      </c>
      <c r="B358">
        <v>2021</v>
      </c>
      <c r="C358" t="s">
        <v>31</v>
      </c>
      <c r="D358" t="s">
        <v>69</v>
      </c>
      <c r="E358" t="s">
        <v>71</v>
      </c>
      <c r="F358" t="s">
        <v>73</v>
      </c>
      <c r="G358">
        <v>3976350</v>
      </c>
      <c r="H358">
        <v>2948855.7036757134</v>
      </c>
      <c r="I358">
        <v>6925205.7036757134</v>
      </c>
      <c r="J358">
        <f>VLOOKUP(C358,'LEAID Match'!$A$2:$B$59,2,FALSE)</f>
        <v>4401020</v>
      </c>
    </row>
    <row r="359" spans="1:10" x14ac:dyDescent="0.2">
      <c r="A359">
        <f t="shared" si="5"/>
        <v>4401020</v>
      </c>
      <c r="B359">
        <v>2022</v>
      </c>
      <c r="C359" t="s">
        <v>31</v>
      </c>
      <c r="D359" t="s">
        <v>69</v>
      </c>
      <c r="E359" t="s">
        <v>71</v>
      </c>
      <c r="F359" t="s">
        <v>73</v>
      </c>
      <c r="G359">
        <v>4045072</v>
      </c>
      <c r="H359">
        <v>2991483.8561181994</v>
      </c>
      <c r="I359">
        <v>7036555.8561181994</v>
      </c>
      <c r="J359">
        <f>VLOOKUP(C359,'LEAID Match'!$A$2:$B$59,2,FALSE)</f>
        <v>4401020</v>
      </c>
    </row>
    <row r="360" spans="1:10" x14ac:dyDescent="0.2">
      <c r="A360">
        <f t="shared" si="5"/>
        <v>4400028</v>
      </c>
      <c r="B360">
        <v>2015</v>
      </c>
      <c r="C360" t="s">
        <v>53</v>
      </c>
      <c r="D360" t="s">
        <v>69</v>
      </c>
      <c r="E360" t="s">
        <v>71</v>
      </c>
      <c r="F360" t="s">
        <v>73</v>
      </c>
      <c r="G360">
        <v>19421</v>
      </c>
      <c r="H360">
        <v>12407.542010084106</v>
      </c>
      <c r="I360">
        <v>31828.542010084107</v>
      </c>
      <c r="J360">
        <f>VLOOKUP(C360,'LEAID Match'!$A$2:$B$59,2,FALSE)</f>
        <v>4400028</v>
      </c>
    </row>
    <row r="361" spans="1:10" x14ac:dyDescent="0.2">
      <c r="A361">
        <f t="shared" si="5"/>
        <v>4400028</v>
      </c>
      <c r="B361">
        <v>2016</v>
      </c>
      <c r="C361" t="s">
        <v>53</v>
      </c>
      <c r="D361" t="s">
        <v>69</v>
      </c>
      <c r="E361" t="s">
        <v>71</v>
      </c>
      <c r="F361" t="s">
        <v>73</v>
      </c>
      <c r="G361">
        <v>30008</v>
      </c>
      <c r="H361">
        <v>19194.559611339388</v>
      </c>
      <c r="I361">
        <v>49202.559611339384</v>
      </c>
      <c r="J361">
        <f>VLOOKUP(C361,'LEAID Match'!$A$2:$B$59,2,FALSE)</f>
        <v>4400028</v>
      </c>
    </row>
    <row r="362" spans="1:10" x14ac:dyDescent="0.2">
      <c r="A362">
        <f t="shared" si="5"/>
        <v>4400028</v>
      </c>
      <c r="B362">
        <v>2017</v>
      </c>
      <c r="C362" t="s">
        <v>53</v>
      </c>
      <c r="D362" t="s">
        <v>69</v>
      </c>
      <c r="E362" t="s">
        <v>71</v>
      </c>
      <c r="F362" t="s">
        <v>73</v>
      </c>
      <c r="G362">
        <v>38086</v>
      </c>
      <c r="H362">
        <v>26782.73377114761</v>
      </c>
      <c r="I362">
        <v>64868.733771147614</v>
      </c>
      <c r="J362">
        <f>VLOOKUP(C362,'LEAID Match'!$A$2:$B$59,2,FALSE)</f>
        <v>4400028</v>
      </c>
    </row>
    <row r="363" spans="1:10" x14ac:dyDescent="0.2">
      <c r="A363">
        <f t="shared" si="5"/>
        <v>4400028</v>
      </c>
      <c r="B363">
        <v>2018</v>
      </c>
      <c r="C363" t="s">
        <v>53</v>
      </c>
      <c r="D363" t="s">
        <v>69</v>
      </c>
      <c r="E363" t="s">
        <v>71</v>
      </c>
      <c r="F363" t="s">
        <v>73</v>
      </c>
      <c r="G363">
        <v>66582</v>
      </c>
      <c r="H363">
        <v>66582</v>
      </c>
      <c r="I363">
        <v>133164</v>
      </c>
      <c r="J363">
        <f>VLOOKUP(C363,'LEAID Match'!$A$2:$B$59,2,FALSE)</f>
        <v>4400028</v>
      </c>
    </row>
    <row r="364" spans="1:10" x14ac:dyDescent="0.2">
      <c r="A364">
        <f t="shared" si="5"/>
        <v>4400028</v>
      </c>
      <c r="B364">
        <v>2019</v>
      </c>
      <c r="C364" t="s">
        <v>53</v>
      </c>
      <c r="D364" t="s">
        <v>69</v>
      </c>
      <c r="E364" t="s">
        <v>71</v>
      </c>
      <c r="F364" t="s">
        <v>73</v>
      </c>
      <c r="G364">
        <v>82861</v>
      </c>
      <c r="H364">
        <v>57475.039391893049</v>
      </c>
      <c r="I364">
        <v>140336.03939189305</v>
      </c>
      <c r="J364">
        <f>VLOOKUP(C364,'LEAID Match'!$A$2:$B$59,2,FALSE)</f>
        <v>4400028</v>
      </c>
    </row>
    <row r="365" spans="1:10" x14ac:dyDescent="0.2">
      <c r="A365">
        <f t="shared" si="5"/>
        <v>4400028</v>
      </c>
      <c r="B365">
        <v>2020</v>
      </c>
      <c r="C365" t="s">
        <v>53</v>
      </c>
      <c r="D365" t="s">
        <v>69</v>
      </c>
      <c r="E365" t="s">
        <v>71</v>
      </c>
      <c r="F365" t="s">
        <v>73</v>
      </c>
      <c r="G365">
        <v>73642</v>
      </c>
      <c r="H365">
        <v>55169.355740063729</v>
      </c>
      <c r="I365">
        <v>128811.35574006374</v>
      </c>
      <c r="J365">
        <f>VLOOKUP(C365,'LEAID Match'!$A$2:$B$59,2,FALSE)</f>
        <v>4400028</v>
      </c>
    </row>
    <row r="366" spans="1:10" x14ac:dyDescent="0.2">
      <c r="A366">
        <f t="shared" si="5"/>
        <v>4400028</v>
      </c>
      <c r="B366">
        <v>2021</v>
      </c>
      <c r="C366" t="s">
        <v>53</v>
      </c>
      <c r="D366" t="s">
        <v>69</v>
      </c>
      <c r="E366" t="s">
        <v>71</v>
      </c>
      <c r="F366" t="s">
        <v>73</v>
      </c>
      <c r="G366">
        <v>93182</v>
      </c>
      <c r="H366">
        <v>69103.643336202877</v>
      </c>
      <c r="I366">
        <v>162285.64333620289</v>
      </c>
      <c r="J366">
        <f>VLOOKUP(C366,'LEAID Match'!$A$2:$B$59,2,FALSE)</f>
        <v>4400028</v>
      </c>
    </row>
    <row r="367" spans="1:10" x14ac:dyDescent="0.2">
      <c r="A367">
        <f t="shared" si="5"/>
        <v>4400028</v>
      </c>
      <c r="B367">
        <v>2022</v>
      </c>
      <c r="C367" t="s">
        <v>53</v>
      </c>
      <c r="D367" t="s">
        <v>69</v>
      </c>
      <c r="E367" t="s">
        <v>71</v>
      </c>
      <c r="F367" t="s">
        <v>73</v>
      </c>
      <c r="G367">
        <v>102528</v>
      </c>
      <c r="H367">
        <v>75823.336840502889</v>
      </c>
      <c r="I367">
        <v>178351.33684050289</v>
      </c>
      <c r="J367">
        <f>VLOOKUP(C367,'LEAID Match'!$A$2:$B$59,2,FALSE)</f>
        <v>4400028</v>
      </c>
    </row>
    <row r="368" spans="1:10" x14ac:dyDescent="0.2">
      <c r="A368">
        <f t="shared" si="5"/>
        <v>0</v>
      </c>
      <c r="B368">
        <v>2022</v>
      </c>
      <c r="C368" t="s">
        <v>56</v>
      </c>
      <c r="D368" t="s">
        <v>69</v>
      </c>
      <c r="E368" t="s">
        <v>71</v>
      </c>
      <c r="F368" t="s">
        <v>73</v>
      </c>
      <c r="G368">
        <v>74145</v>
      </c>
      <c r="H368">
        <v>54833.034000849395</v>
      </c>
      <c r="I368">
        <v>128978.03400084939</v>
      </c>
      <c r="J368">
        <f>VLOOKUP(C368,'LEAID Match'!$A$2:$B$59,2,FALSE)</f>
        <v>0</v>
      </c>
    </row>
    <row r="369" spans="1:10" x14ac:dyDescent="0.2">
      <c r="A369">
        <f t="shared" si="5"/>
        <v>4401050</v>
      </c>
      <c r="B369">
        <v>2015</v>
      </c>
      <c r="C369" t="s">
        <v>32</v>
      </c>
      <c r="D369" t="s">
        <v>69</v>
      </c>
      <c r="E369" t="s">
        <v>71</v>
      </c>
      <c r="F369" t="s">
        <v>73</v>
      </c>
      <c r="G369">
        <v>1738813</v>
      </c>
      <c r="H369">
        <v>1110879.735604777</v>
      </c>
      <c r="I369">
        <v>2849692.735604777</v>
      </c>
      <c r="J369">
        <f>VLOOKUP(C369,'LEAID Match'!$A$2:$B$59,2,FALSE)</f>
        <v>4401050</v>
      </c>
    </row>
    <row r="370" spans="1:10" x14ac:dyDescent="0.2">
      <c r="A370">
        <f t="shared" si="5"/>
        <v>4401050</v>
      </c>
      <c r="B370">
        <v>2016</v>
      </c>
      <c r="C370" t="s">
        <v>32</v>
      </c>
      <c r="D370" t="s">
        <v>69</v>
      </c>
      <c r="E370" t="s">
        <v>71</v>
      </c>
      <c r="F370" t="s">
        <v>73</v>
      </c>
      <c r="G370">
        <v>1822114</v>
      </c>
      <c r="H370">
        <v>1165511.7232623319</v>
      </c>
      <c r="I370">
        <v>2987625.7232623319</v>
      </c>
      <c r="J370">
        <f>VLOOKUP(C370,'LEAID Match'!$A$2:$B$59,2,FALSE)</f>
        <v>4401050</v>
      </c>
    </row>
    <row r="371" spans="1:10" x14ac:dyDescent="0.2">
      <c r="A371">
        <f t="shared" si="5"/>
        <v>4401050</v>
      </c>
      <c r="B371">
        <v>2017</v>
      </c>
      <c r="C371" t="s">
        <v>32</v>
      </c>
      <c r="D371" t="s">
        <v>69</v>
      </c>
      <c r="E371" t="s">
        <v>71</v>
      </c>
      <c r="F371" t="s">
        <v>73</v>
      </c>
      <c r="G371">
        <v>1678439</v>
      </c>
      <c r="H371">
        <v>1180307.3278399208</v>
      </c>
      <c r="I371">
        <v>2858746.3278399208</v>
      </c>
      <c r="J371">
        <f>VLOOKUP(C371,'LEAID Match'!$A$2:$B$59,2,FALSE)</f>
        <v>4401050</v>
      </c>
    </row>
    <row r="372" spans="1:10" x14ac:dyDescent="0.2">
      <c r="A372">
        <f t="shared" si="5"/>
        <v>4401050</v>
      </c>
      <c r="B372">
        <v>2018</v>
      </c>
      <c r="C372" t="s">
        <v>32</v>
      </c>
      <c r="D372" t="s">
        <v>69</v>
      </c>
      <c r="E372" t="s">
        <v>71</v>
      </c>
      <c r="F372" t="s">
        <v>73</v>
      </c>
      <c r="G372">
        <v>1743350</v>
      </c>
      <c r="H372">
        <v>1743350</v>
      </c>
      <c r="I372">
        <v>3486700</v>
      </c>
      <c r="J372">
        <f>VLOOKUP(C372,'LEAID Match'!$A$2:$B$59,2,FALSE)</f>
        <v>4401050</v>
      </c>
    </row>
    <row r="373" spans="1:10" x14ac:dyDescent="0.2">
      <c r="A373">
        <f t="shared" si="5"/>
        <v>4401050</v>
      </c>
      <c r="B373">
        <v>2019</v>
      </c>
      <c r="C373" t="s">
        <v>32</v>
      </c>
      <c r="D373" t="s">
        <v>69</v>
      </c>
      <c r="E373" t="s">
        <v>71</v>
      </c>
      <c r="F373" t="s">
        <v>73</v>
      </c>
      <c r="G373">
        <v>1866599</v>
      </c>
      <c r="H373">
        <v>1294732.7579182989</v>
      </c>
      <c r="I373">
        <v>3161331.7579182992</v>
      </c>
      <c r="J373">
        <f>VLOOKUP(C373,'LEAID Match'!$A$2:$B$59,2,FALSE)</f>
        <v>4401050</v>
      </c>
    </row>
    <row r="374" spans="1:10" x14ac:dyDescent="0.2">
      <c r="A374">
        <f t="shared" si="5"/>
        <v>4401050</v>
      </c>
      <c r="B374">
        <v>2020</v>
      </c>
      <c r="C374" t="s">
        <v>32</v>
      </c>
      <c r="D374" t="s">
        <v>69</v>
      </c>
      <c r="E374" t="s">
        <v>71</v>
      </c>
      <c r="F374" t="s">
        <v>73</v>
      </c>
      <c r="G374">
        <v>1827757</v>
      </c>
      <c r="H374">
        <v>1369275.3610628671</v>
      </c>
      <c r="I374">
        <v>3197032.3610628671</v>
      </c>
      <c r="J374">
        <f>VLOOKUP(C374,'LEAID Match'!$A$2:$B$59,2,FALSE)</f>
        <v>4401050</v>
      </c>
    </row>
    <row r="375" spans="1:10" x14ac:dyDescent="0.2">
      <c r="A375">
        <f t="shared" si="5"/>
        <v>4401050</v>
      </c>
      <c r="B375">
        <v>2021</v>
      </c>
      <c r="C375" t="s">
        <v>32</v>
      </c>
      <c r="D375" t="s">
        <v>69</v>
      </c>
      <c r="E375" t="s">
        <v>71</v>
      </c>
      <c r="F375" t="s">
        <v>73</v>
      </c>
      <c r="G375">
        <v>1992949</v>
      </c>
      <c r="H375">
        <v>1477968.2436870018</v>
      </c>
      <c r="I375">
        <v>3470917.243687002</v>
      </c>
      <c r="J375">
        <f>VLOOKUP(C375,'LEAID Match'!$A$2:$B$59,2,FALSE)</f>
        <v>4401050</v>
      </c>
    </row>
    <row r="376" spans="1:10" x14ac:dyDescent="0.2">
      <c r="A376">
        <f t="shared" si="5"/>
        <v>4401050</v>
      </c>
      <c r="B376">
        <v>2022</v>
      </c>
      <c r="C376" t="s">
        <v>32</v>
      </c>
      <c r="D376" t="s">
        <v>69</v>
      </c>
      <c r="E376" t="s">
        <v>71</v>
      </c>
      <c r="F376" t="s">
        <v>73</v>
      </c>
      <c r="G376">
        <v>1965319</v>
      </c>
      <c r="H376">
        <v>1453427.7908087578</v>
      </c>
      <c r="I376">
        <v>3418746.7908087578</v>
      </c>
      <c r="J376">
        <f>VLOOKUP(C376,'LEAID Match'!$A$2:$B$59,2,FALSE)</f>
        <v>4401050</v>
      </c>
    </row>
    <row r="377" spans="1:10" x14ac:dyDescent="0.2">
      <c r="A377">
        <f t="shared" si="5"/>
        <v>4400018</v>
      </c>
      <c r="B377">
        <v>2015</v>
      </c>
      <c r="C377" t="s">
        <v>49</v>
      </c>
      <c r="D377" t="s">
        <v>69</v>
      </c>
      <c r="E377" t="s">
        <v>71</v>
      </c>
      <c r="F377" t="s">
        <v>73</v>
      </c>
      <c r="G377">
        <v>149387</v>
      </c>
      <c r="H377">
        <v>95439.239908368996</v>
      </c>
      <c r="I377">
        <v>244826.239908369</v>
      </c>
      <c r="J377">
        <f>VLOOKUP(C377,'LEAID Match'!$A$2:$B$59,2,FALSE)</f>
        <v>4400018</v>
      </c>
    </row>
    <row r="378" spans="1:10" x14ac:dyDescent="0.2">
      <c r="A378">
        <f t="shared" si="5"/>
        <v>4400018</v>
      </c>
      <c r="B378">
        <v>2016</v>
      </c>
      <c r="C378" t="s">
        <v>49</v>
      </c>
      <c r="D378" t="s">
        <v>69</v>
      </c>
      <c r="E378" t="s">
        <v>71</v>
      </c>
      <c r="F378" t="s">
        <v>73</v>
      </c>
      <c r="G378">
        <v>152339</v>
      </c>
      <c r="H378">
        <v>97443.348994662461</v>
      </c>
      <c r="I378">
        <v>249782.34899466246</v>
      </c>
      <c r="J378">
        <f>VLOOKUP(C378,'LEAID Match'!$A$2:$B$59,2,FALSE)</f>
        <v>4400018</v>
      </c>
    </row>
    <row r="379" spans="1:10" x14ac:dyDescent="0.2">
      <c r="A379">
        <f t="shared" si="5"/>
        <v>4400018</v>
      </c>
      <c r="B379">
        <v>2017</v>
      </c>
      <c r="C379" t="s">
        <v>49</v>
      </c>
      <c r="D379" t="s">
        <v>69</v>
      </c>
      <c r="E379" t="s">
        <v>71</v>
      </c>
      <c r="F379" t="s">
        <v>73</v>
      </c>
      <c r="G379">
        <v>158426</v>
      </c>
      <c r="H379">
        <v>111407.90265262384</v>
      </c>
      <c r="I379">
        <v>269833.90265262383</v>
      </c>
      <c r="J379">
        <f>VLOOKUP(C379,'LEAID Match'!$A$2:$B$59,2,FALSE)</f>
        <v>4400018</v>
      </c>
    </row>
    <row r="380" spans="1:10" x14ac:dyDescent="0.2">
      <c r="A380">
        <f t="shared" si="5"/>
        <v>4400018</v>
      </c>
      <c r="B380">
        <v>2018</v>
      </c>
      <c r="C380" t="s">
        <v>49</v>
      </c>
      <c r="D380" t="s">
        <v>69</v>
      </c>
      <c r="E380" t="s">
        <v>71</v>
      </c>
      <c r="F380" t="s">
        <v>73</v>
      </c>
      <c r="G380">
        <v>142379</v>
      </c>
      <c r="H380">
        <v>142379</v>
      </c>
      <c r="I380">
        <v>284758</v>
      </c>
      <c r="J380">
        <f>VLOOKUP(C380,'LEAID Match'!$A$2:$B$59,2,FALSE)</f>
        <v>4400018</v>
      </c>
    </row>
    <row r="381" spans="1:10" x14ac:dyDescent="0.2">
      <c r="A381">
        <f t="shared" si="5"/>
        <v>4400018</v>
      </c>
      <c r="B381">
        <v>2019</v>
      </c>
      <c r="C381" t="s">
        <v>49</v>
      </c>
      <c r="D381" t="s">
        <v>69</v>
      </c>
      <c r="E381" t="s">
        <v>71</v>
      </c>
      <c r="F381" t="s">
        <v>73</v>
      </c>
      <c r="G381">
        <v>172683</v>
      </c>
      <c r="H381">
        <v>119778.45098792274</v>
      </c>
      <c r="I381">
        <v>292461.45098792273</v>
      </c>
      <c r="J381">
        <f>VLOOKUP(C381,'LEAID Match'!$A$2:$B$59,2,FALSE)</f>
        <v>4400018</v>
      </c>
    </row>
    <row r="382" spans="1:10" x14ac:dyDescent="0.2">
      <c r="A382">
        <f t="shared" si="5"/>
        <v>4400018</v>
      </c>
      <c r="B382">
        <v>2020</v>
      </c>
      <c r="C382" t="s">
        <v>49</v>
      </c>
      <c r="D382" t="s">
        <v>69</v>
      </c>
      <c r="E382" t="s">
        <v>71</v>
      </c>
      <c r="F382" t="s">
        <v>73</v>
      </c>
      <c r="G382">
        <v>156132</v>
      </c>
      <c r="H382">
        <v>116967.24492012209</v>
      </c>
      <c r="I382">
        <v>273099.24492012209</v>
      </c>
      <c r="J382">
        <f>VLOOKUP(C382,'LEAID Match'!$A$2:$B$59,2,FALSE)</f>
        <v>4400018</v>
      </c>
    </row>
    <row r="383" spans="1:10" x14ac:dyDescent="0.2">
      <c r="A383">
        <f t="shared" si="5"/>
        <v>4400018</v>
      </c>
      <c r="B383">
        <v>2021</v>
      </c>
      <c r="C383" t="s">
        <v>49</v>
      </c>
      <c r="D383" t="s">
        <v>69</v>
      </c>
      <c r="E383" t="s">
        <v>71</v>
      </c>
      <c r="F383" t="s">
        <v>73</v>
      </c>
      <c r="G383">
        <v>166969</v>
      </c>
      <c r="H383">
        <v>123823.98128611168</v>
      </c>
      <c r="I383">
        <v>290792.9812861117</v>
      </c>
      <c r="J383">
        <f>VLOOKUP(C383,'LEAID Match'!$A$2:$B$59,2,FALSE)</f>
        <v>4400018</v>
      </c>
    </row>
    <row r="384" spans="1:10" x14ac:dyDescent="0.2">
      <c r="A384">
        <f t="shared" si="5"/>
        <v>4400018</v>
      </c>
      <c r="B384">
        <v>2022</v>
      </c>
      <c r="C384" t="s">
        <v>49</v>
      </c>
      <c r="D384" t="s">
        <v>69</v>
      </c>
      <c r="E384" t="s">
        <v>71</v>
      </c>
      <c r="F384" t="s">
        <v>73</v>
      </c>
      <c r="G384">
        <v>187378</v>
      </c>
      <c r="H384">
        <v>138573.1235418593</v>
      </c>
      <c r="I384">
        <v>325951.12354185933</v>
      </c>
      <c r="J384">
        <f>VLOOKUP(C384,'LEAID Match'!$A$2:$B$59,2,FALSE)</f>
        <v>4400018</v>
      </c>
    </row>
    <row r="385" spans="1:10" x14ac:dyDescent="0.2">
      <c r="A385">
        <f t="shared" si="5"/>
        <v>4400005</v>
      </c>
      <c r="B385">
        <v>2015</v>
      </c>
      <c r="C385" t="s">
        <v>33</v>
      </c>
      <c r="D385" t="s">
        <v>69</v>
      </c>
      <c r="E385" t="s">
        <v>71</v>
      </c>
      <c r="F385" t="s">
        <v>73</v>
      </c>
      <c r="G385">
        <v>143134</v>
      </c>
      <c r="H385">
        <v>91444.370427443399</v>
      </c>
      <c r="I385">
        <v>234578.37042744341</v>
      </c>
      <c r="J385">
        <f>VLOOKUP(C385,'LEAID Match'!$A$2:$B$59,2,FALSE)</f>
        <v>4400005</v>
      </c>
    </row>
    <row r="386" spans="1:10" x14ac:dyDescent="0.2">
      <c r="A386">
        <f t="shared" si="5"/>
        <v>4400005</v>
      </c>
      <c r="B386">
        <v>2016</v>
      </c>
      <c r="C386" t="s">
        <v>33</v>
      </c>
      <c r="D386" t="s">
        <v>69</v>
      </c>
      <c r="E386" t="s">
        <v>71</v>
      </c>
      <c r="F386" t="s">
        <v>73</v>
      </c>
      <c r="G386">
        <v>142212</v>
      </c>
      <c r="H386">
        <v>90965.632879492041</v>
      </c>
      <c r="I386">
        <v>233177.63287949204</v>
      </c>
      <c r="J386">
        <f>VLOOKUP(C386,'LEAID Match'!$A$2:$B$59,2,FALSE)</f>
        <v>4400005</v>
      </c>
    </row>
    <row r="387" spans="1:10" x14ac:dyDescent="0.2">
      <c r="A387">
        <f t="shared" ref="A387:A440" si="6">J387</f>
        <v>4400005</v>
      </c>
      <c r="B387">
        <v>2017</v>
      </c>
      <c r="C387" t="s">
        <v>33</v>
      </c>
      <c r="D387" t="s">
        <v>69</v>
      </c>
      <c r="E387" t="s">
        <v>71</v>
      </c>
      <c r="F387" t="s">
        <v>73</v>
      </c>
      <c r="G387">
        <v>132402</v>
      </c>
      <c r="H387">
        <v>93107.375853791047</v>
      </c>
      <c r="I387">
        <v>225509.37585379105</v>
      </c>
      <c r="J387">
        <f>VLOOKUP(C387,'LEAID Match'!$A$2:$B$59,2,FALSE)</f>
        <v>4400005</v>
      </c>
    </row>
    <row r="388" spans="1:10" x14ac:dyDescent="0.2">
      <c r="A388">
        <f t="shared" si="6"/>
        <v>4400005</v>
      </c>
      <c r="B388">
        <v>2018</v>
      </c>
      <c r="C388" t="s">
        <v>33</v>
      </c>
      <c r="D388" t="s">
        <v>69</v>
      </c>
      <c r="E388" t="s">
        <v>71</v>
      </c>
      <c r="F388" t="s">
        <v>73</v>
      </c>
      <c r="G388">
        <v>132115</v>
      </c>
      <c r="H388">
        <v>132115</v>
      </c>
      <c r="I388">
        <v>264230</v>
      </c>
      <c r="J388">
        <f>VLOOKUP(C388,'LEAID Match'!$A$2:$B$59,2,FALSE)</f>
        <v>4400005</v>
      </c>
    </row>
    <row r="389" spans="1:10" x14ac:dyDescent="0.2">
      <c r="A389">
        <f t="shared" si="6"/>
        <v>4400005</v>
      </c>
      <c r="B389">
        <v>2019</v>
      </c>
      <c r="C389" t="s">
        <v>33</v>
      </c>
      <c r="D389" t="s">
        <v>69</v>
      </c>
      <c r="E389" t="s">
        <v>71</v>
      </c>
      <c r="F389" t="s">
        <v>73</v>
      </c>
      <c r="G389">
        <v>137237</v>
      </c>
      <c r="H389">
        <v>95191.971868855384</v>
      </c>
      <c r="I389">
        <v>232428.97186885538</v>
      </c>
      <c r="J389">
        <f>VLOOKUP(C389,'LEAID Match'!$A$2:$B$59,2,FALSE)</f>
        <v>4400005</v>
      </c>
    </row>
    <row r="390" spans="1:10" x14ac:dyDescent="0.2">
      <c r="A390">
        <f t="shared" si="6"/>
        <v>4400005</v>
      </c>
      <c r="B390">
        <v>2020</v>
      </c>
      <c r="C390" t="s">
        <v>33</v>
      </c>
      <c r="D390" t="s">
        <v>69</v>
      </c>
      <c r="E390" t="s">
        <v>71</v>
      </c>
      <c r="F390" t="s">
        <v>73</v>
      </c>
      <c r="G390">
        <v>137237</v>
      </c>
      <c r="H390">
        <v>102811.93984002506</v>
      </c>
      <c r="I390">
        <v>240048.93984002506</v>
      </c>
      <c r="J390">
        <f>VLOOKUP(C390,'LEAID Match'!$A$2:$B$59,2,FALSE)</f>
        <v>4400005</v>
      </c>
    </row>
    <row r="391" spans="1:10" x14ac:dyDescent="0.2">
      <c r="A391">
        <f t="shared" si="6"/>
        <v>4400005</v>
      </c>
      <c r="B391">
        <v>2021</v>
      </c>
      <c r="C391" t="s">
        <v>33</v>
      </c>
      <c r="D391" t="s">
        <v>69</v>
      </c>
      <c r="E391" t="s">
        <v>71</v>
      </c>
      <c r="F391" t="s">
        <v>73</v>
      </c>
      <c r="G391">
        <v>102726</v>
      </c>
      <c r="H391">
        <v>76181.460639981728</v>
      </c>
      <c r="I391">
        <v>178907.46063998173</v>
      </c>
      <c r="J391">
        <f>VLOOKUP(C391,'LEAID Match'!$A$2:$B$59,2,FALSE)</f>
        <v>4400005</v>
      </c>
    </row>
    <row r="392" spans="1:10" x14ac:dyDescent="0.2">
      <c r="A392">
        <f t="shared" si="6"/>
        <v>4400005</v>
      </c>
      <c r="B392">
        <v>2022</v>
      </c>
      <c r="C392" t="s">
        <v>33</v>
      </c>
      <c r="D392" t="s">
        <v>69</v>
      </c>
      <c r="E392" t="s">
        <v>71</v>
      </c>
      <c r="F392" t="s">
        <v>73</v>
      </c>
      <c r="G392">
        <v>75816</v>
      </c>
      <c r="H392">
        <v>56068.801750737039</v>
      </c>
      <c r="I392">
        <v>131884.80175073704</v>
      </c>
      <c r="J392">
        <f>VLOOKUP(C392,'LEAID Match'!$A$2:$B$59,2,FALSE)</f>
        <v>4400005</v>
      </c>
    </row>
    <row r="393" spans="1:10" x14ac:dyDescent="0.2">
      <c r="A393">
        <f t="shared" si="6"/>
        <v>4400025</v>
      </c>
      <c r="B393">
        <v>2015</v>
      </c>
      <c r="C393" t="s">
        <v>51</v>
      </c>
      <c r="D393" t="s">
        <v>69</v>
      </c>
      <c r="E393" t="s">
        <v>71</v>
      </c>
      <c r="F393" t="s">
        <v>73</v>
      </c>
      <c r="G393">
        <v>113999</v>
      </c>
      <c r="H393">
        <v>72830.821358713656</v>
      </c>
      <c r="I393">
        <v>186829.82135871367</v>
      </c>
      <c r="J393">
        <f>VLOOKUP(C393,'LEAID Match'!$A$2:$B$59,2,FALSE)</f>
        <v>4400025</v>
      </c>
    </row>
    <row r="394" spans="1:10" x14ac:dyDescent="0.2">
      <c r="A394">
        <f t="shared" si="6"/>
        <v>4400025</v>
      </c>
      <c r="B394">
        <v>2016</v>
      </c>
      <c r="C394" t="s">
        <v>51</v>
      </c>
      <c r="D394" t="s">
        <v>69</v>
      </c>
      <c r="E394" t="s">
        <v>71</v>
      </c>
      <c r="F394" t="s">
        <v>73</v>
      </c>
      <c r="G394">
        <v>136809</v>
      </c>
      <c r="H394">
        <v>87509.61429844478</v>
      </c>
      <c r="I394">
        <v>224318.61429844477</v>
      </c>
      <c r="J394">
        <f>VLOOKUP(C394,'LEAID Match'!$A$2:$B$59,2,FALSE)</f>
        <v>4400025</v>
      </c>
    </row>
    <row r="395" spans="1:10" x14ac:dyDescent="0.2">
      <c r="A395">
        <f t="shared" si="6"/>
        <v>4400025</v>
      </c>
      <c r="B395">
        <v>2017</v>
      </c>
      <c r="C395" t="s">
        <v>51</v>
      </c>
      <c r="D395" t="s">
        <v>69</v>
      </c>
      <c r="E395" t="s">
        <v>71</v>
      </c>
      <c r="F395" t="s">
        <v>73</v>
      </c>
      <c r="G395">
        <v>159323</v>
      </c>
      <c r="H395">
        <v>112038.68856326606</v>
      </c>
      <c r="I395">
        <v>271361.68856326607</v>
      </c>
      <c r="J395">
        <f>VLOOKUP(C395,'LEAID Match'!$A$2:$B$59,2,FALSE)</f>
        <v>4400025</v>
      </c>
    </row>
    <row r="396" spans="1:10" x14ac:dyDescent="0.2">
      <c r="A396">
        <f t="shared" si="6"/>
        <v>4400025</v>
      </c>
      <c r="B396">
        <v>2018</v>
      </c>
      <c r="C396" t="s">
        <v>51</v>
      </c>
      <c r="D396" t="s">
        <v>69</v>
      </c>
      <c r="E396" t="s">
        <v>71</v>
      </c>
      <c r="F396" t="s">
        <v>73</v>
      </c>
      <c r="G396">
        <v>171417</v>
      </c>
      <c r="H396">
        <v>171417</v>
      </c>
      <c r="I396">
        <v>342834</v>
      </c>
      <c r="J396">
        <f>VLOOKUP(C396,'LEAID Match'!$A$2:$B$59,2,FALSE)</f>
        <v>4400025</v>
      </c>
    </row>
    <row r="397" spans="1:10" x14ac:dyDescent="0.2">
      <c r="A397">
        <f t="shared" si="6"/>
        <v>4400025</v>
      </c>
      <c r="B397">
        <v>2019</v>
      </c>
      <c r="C397" t="s">
        <v>51</v>
      </c>
      <c r="D397" t="s">
        <v>69</v>
      </c>
      <c r="E397" t="s">
        <v>71</v>
      </c>
      <c r="F397" t="s">
        <v>73</v>
      </c>
      <c r="G397">
        <v>188913</v>
      </c>
      <c r="H397">
        <v>131036.09800317025</v>
      </c>
      <c r="I397">
        <v>319949.09800317022</v>
      </c>
      <c r="J397">
        <f>VLOOKUP(C397,'LEAID Match'!$A$2:$B$59,2,FALSE)</f>
        <v>4400025</v>
      </c>
    </row>
    <row r="398" spans="1:10" x14ac:dyDescent="0.2">
      <c r="A398">
        <f t="shared" si="6"/>
        <v>4400025</v>
      </c>
      <c r="B398">
        <v>2020</v>
      </c>
      <c r="C398" t="s">
        <v>51</v>
      </c>
      <c r="D398" t="s">
        <v>69</v>
      </c>
      <c r="E398" t="s">
        <v>71</v>
      </c>
      <c r="F398" t="s">
        <v>73</v>
      </c>
      <c r="G398">
        <v>155019</v>
      </c>
      <c r="H398">
        <v>116133.43414721136</v>
      </c>
      <c r="I398">
        <v>271152.43414721137</v>
      </c>
      <c r="J398">
        <f>VLOOKUP(C398,'LEAID Match'!$A$2:$B$59,2,FALSE)</f>
        <v>4400025</v>
      </c>
    </row>
    <row r="399" spans="1:10" x14ac:dyDescent="0.2">
      <c r="A399">
        <f t="shared" si="6"/>
        <v>4400025</v>
      </c>
      <c r="B399">
        <v>2021</v>
      </c>
      <c r="C399" t="s">
        <v>51</v>
      </c>
      <c r="D399" t="s">
        <v>69</v>
      </c>
      <c r="E399" t="s">
        <v>71</v>
      </c>
      <c r="F399" t="s">
        <v>73</v>
      </c>
      <c r="G399">
        <v>168205</v>
      </c>
      <c r="H399">
        <v>124740.59719007969</v>
      </c>
      <c r="I399">
        <v>292945.59719007969</v>
      </c>
      <c r="J399">
        <f>VLOOKUP(C399,'LEAID Match'!$A$2:$B$59,2,FALSE)</f>
        <v>4400025</v>
      </c>
    </row>
    <row r="400" spans="1:10" x14ac:dyDescent="0.2">
      <c r="A400">
        <f t="shared" si="6"/>
        <v>4400025</v>
      </c>
      <c r="B400">
        <v>2022</v>
      </c>
      <c r="C400" t="s">
        <v>51</v>
      </c>
      <c r="D400" t="s">
        <v>69</v>
      </c>
      <c r="E400" t="s">
        <v>71</v>
      </c>
      <c r="F400" t="s">
        <v>73</v>
      </c>
      <c r="G400">
        <v>198853</v>
      </c>
      <c r="H400">
        <v>147059.32038803567</v>
      </c>
      <c r="I400">
        <v>345912.32038803567</v>
      </c>
      <c r="J400">
        <f>VLOOKUP(C400,'LEAID Match'!$A$2:$B$59,2,FALSE)</f>
        <v>4400025</v>
      </c>
    </row>
    <row r="401" spans="1:10" x14ac:dyDescent="0.2">
      <c r="A401">
        <f t="shared" si="6"/>
        <v>4401110</v>
      </c>
      <c r="B401">
        <v>2015</v>
      </c>
      <c r="C401" t="s">
        <v>34</v>
      </c>
      <c r="D401" t="s">
        <v>69</v>
      </c>
      <c r="E401" t="s">
        <v>71</v>
      </c>
      <c r="F401" t="s">
        <v>73</v>
      </c>
      <c r="G401">
        <v>10806422</v>
      </c>
      <c r="H401">
        <v>6903925.387142635</v>
      </c>
      <c r="I401">
        <v>17710347.387142636</v>
      </c>
      <c r="J401">
        <f>VLOOKUP(C401,'LEAID Match'!$A$2:$B$59,2,FALSE)</f>
        <v>4401110</v>
      </c>
    </row>
    <row r="402" spans="1:10" x14ac:dyDescent="0.2">
      <c r="A402">
        <f t="shared" si="6"/>
        <v>4401110</v>
      </c>
      <c r="B402">
        <v>2016</v>
      </c>
      <c r="C402" t="s">
        <v>34</v>
      </c>
      <c r="D402" t="s">
        <v>69</v>
      </c>
      <c r="E402" t="s">
        <v>71</v>
      </c>
      <c r="F402" t="s">
        <v>73</v>
      </c>
      <c r="G402">
        <v>10882779</v>
      </c>
      <c r="H402">
        <v>6961148.7020971905</v>
      </c>
      <c r="I402">
        <v>17843927.702097192</v>
      </c>
      <c r="J402">
        <f>VLOOKUP(C402,'LEAID Match'!$A$2:$B$59,2,FALSE)</f>
        <v>4401110</v>
      </c>
    </row>
    <row r="403" spans="1:10" x14ac:dyDescent="0.2">
      <c r="A403">
        <f t="shared" si="6"/>
        <v>4401110</v>
      </c>
      <c r="B403">
        <v>2017</v>
      </c>
      <c r="C403" t="s">
        <v>34</v>
      </c>
      <c r="D403" t="s">
        <v>69</v>
      </c>
      <c r="E403" t="s">
        <v>71</v>
      </c>
      <c r="F403" t="s">
        <v>73</v>
      </c>
      <c r="G403">
        <v>10253059</v>
      </c>
      <c r="H403">
        <v>7210128.3814753182</v>
      </c>
      <c r="I403">
        <v>17463187.381475318</v>
      </c>
      <c r="J403">
        <f>VLOOKUP(C403,'LEAID Match'!$A$2:$B$59,2,FALSE)</f>
        <v>4401110</v>
      </c>
    </row>
    <row r="404" spans="1:10" x14ac:dyDescent="0.2">
      <c r="A404">
        <f t="shared" si="6"/>
        <v>4401110</v>
      </c>
      <c r="B404">
        <v>2018</v>
      </c>
      <c r="C404" t="s">
        <v>34</v>
      </c>
      <c r="D404" t="s">
        <v>69</v>
      </c>
      <c r="E404" t="s">
        <v>71</v>
      </c>
      <c r="F404" t="s">
        <v>73</v>
      </c>
      <c r="G404">
        <v>10833531</v>
      </c>
      <c r="H404">
        <v>10833531</v>
      </c>
      <c r="I404">
        <v>21667062</v>
      </c>
      <c r="J404">
        <f>VLOOKUP(C404,'LEAID Match'!$A$2:$B$59,2,FALSE)</f>
        <v>4401110</v>
      </c>
    </row>
    <row r="405" spans="1:10" x14ac:dyDescent="0.2">
      <c r="A405">
        <f t="shared" si="6"/>
        <v>4401110</v>
      </c>
      <c r="B405">
        <v>2019</v>
      </c>
      <c r="C405" t="s">
        <v>34</v>
      </c>
      <c r="D405" t="s">
        <v>69</v>
      </c>
      <c r="E405" t="s">
        <v>71</v>
      </c>
      <c r="F405" t="s">
        <v>73</v>
      </c>
      <c r="G405">
        <v>11107116</v>
      </c>
      <c r="H405">
        <v>7704250.8493781807</v>
      </c>
      <c r="I405">
        <v>18811366.84937818</v>
      </c>
      <c r="J405">
        <f>VLOOKUP(C405,'LEAID Match'!$A$2:$B$59,2,FALSE)</f>
        <v>4401110</v>
      </c>
    </row>
    <row r="406" spans="1:10" x14ac:dyDescent="0.2">
      <c r="A406">
        <f t="shared" si="6"/>
        <v>4401110</v>
      </c>
      <c r="B406">
        <v>2020</v>
      </c>
      <c r="C406" t="s">
        <v>34</v>
      </c>
      <c r="D406" t="s">
        <v>69</v>
      </c>
      <c r="E406" t="s">
        <v>71</v>
      </c>
      <c r="F406" t="s">
        <v>73</v>
      </c>
      <c r="G406">
        <v>10410909</v>
      </c>
      <c r="H406">
        <v>7799396.2982867267</v>
      </c>
      <c r="I406">
        <v>18210305.298286729</v>
      </c>
      <c r="J406">
        <f>VLOOKUP(C406,'LEAID Match'!$A$2:$B$59,2,FALSE)</f>
        <v>4401110</v>
      </c>
    </row>
    <row r="407" spans="1:10" x14ac:dyDescent="0.2">
      <c r="A407">
        <f t="shared" si="6"/>
        <v>4401110</v>
      </c>
      <c r="B407">
        <v>2021</v>
      </c>
      <c r="C407" t="s">
        <v>34</v>
      </c>
      <c r="D407" t="s">
        <v>69</v>
      </c>
      <c r="E407" t="s">
        <v>71</v>
      </c>
      <c r="F407" t="s">
        <v>73</v>
      </c>
      <c r="G407">
        <v>11560087</v>
      </c>
      <c r="H407">
        <v>8572944.6565160174</v>
      </c>
      <c r="I407">
        <v>20133031.656516016</v>
      </c>
      <c r="J407">
        <f>VLOOKUP(C407,'LEAID Match'!$A$2:$B$59,2,FALSE)</f>
        <v>4401110</v>
      </c>
    </row>
    <row r="408" spans="1:10" x14ac:dyDescent="0.2">
      <c r="A408">
        <f t="shared" si="6"/>
        <v>4401110</v>
      </c>
      <c r="B408">
        <v>2022</v>
      </c>
      <c r="C408" t="s">
        <v>34</v>
      </c>
      <c r="D408" t="s">
        <v>69</v>
      </c>
      <c r="E408" t="s">
        <v>71</v>
      </c>
      <c r="F408" t="s">
        <v>73</v>
      </c>
      <c r="G408">
        <v>11860202</v>
      </c>
      <c r="H408">
        <v>8771068.3056570496</v>
      </c>
      <c r="I408">
        <v>20631270.305657052</v>
      </c>
      <c r="J408">
        <f>VLOOKUP(C408,'LEAID Match'!$A$2:$B$59,2,FALSE)</f>
        <v>4401110</v>
      </c>
    </row>
    <row r="409" spans="1:10" x14ac:dyDescent="0.2">
      <c r="A409">
        <f t="shared" si="6"/>
        <v>4400023</v>
      </c>
      <c r="B409">
        <v>2015</v>
      </c>
      <c r="C409" t="s">
        <v>35</v>
      </c>
      <c r="D409" t="s">
        <v>69</v>
      </c>
      <c r="E409" t="s">
        <v>71</v>
      </c>
      <c r="F409" t="s">
        <v>73</v>
      </c>
      <c r="G409">
        <v>138491</v>
      </c>
      <c r="H409">
        <v>88478.085604168577</v>
      </c>
      <c r="I409">
        <v>226969.08560416859</v>
      </c>
      <c r="J409">
        <f>VLOOKUP(C409,'LEAID Match'!$A$2:$B$59,2,FALSE)</f>
        <v>4400023</v>
      </c>
    </row>
    <row r="410" spans="1:10" x14ac:dyDescent="0.2">
      <c r="A410">
        <f t="shared" si="6"/>
        <v>4400023</v>
      </c>
      <c r="B410">
        <v>2016</v>
      </c>
      <c r="C410" t="s">
        <v>35</v>
      </c>
      <c r="D410" t="s">
        <v>69</v>
      </c>
      <c r="E410" t="s">
        <v>71</v>
      </c>
      <c r="F410" t="s">
        <v>73</v>
      </c>
      <c r="G410">
        <v>154035</v>
      </c>
      <c r="H410">
        <v>98528.192139851468</v>
      </c>
      <c r="I410">
        <v>252563.19213985145</v>
      </c>
      <c r="J410">
        <f>VLOOKUP(C410,'LEAID Match'!$A$2:$B$59,2,FALSE)</f>
        <v>4400023</v>
      </c>
    </row>
    <row r="411" spans="1:10" x14ac:dyDescent="0.2">
      <c r="A411">
        <f t="shared" si="6"/>
        <v>4400023</v>
      </c>
      <c r="B411">
        <v>2017</v>
      </c>
      <c r="C411" t="s">
        <v>35</v>
      </c>
      <c r="D411" t="s">
        <v>69</v>
      </c>
      <c r="E411" t="s">
        <v>71</v>
      </c>
      <c r="F411" t="s">
        <v>73</v>
      </c>
      <c r="G411">
        <v>158980</v>
      </c>
      <c r="H411">
        <v>111797.48503221781</v>
      </c>
      <c r="I411">
        <v>270777.48503221781</v>
      </c>
      <c r="J411">
        <f>VLOOKUP(C411,'LEAID Match'!$A$2:$B$59,2,FALSE)</f>
        <v>4400023</v>
      </c>
    </row>
    <row r="412" spans="1:10" x14ac:dyDescent="0.2">
      <c r="A412">
        <f t="shared" si="6"/>
        <v>4400023</v>
      </c>
      <c r="B412">
        <v>2018</v>
      </c>
      <c r="C412" t="s">
        <v>35</v>
      </c>
      <c r="D412" t="s">
        <v>69</v>
      </c>
      <c r="E412" t="s">
        <v>71</v>
      </c>
      <c r="F412" t="s">
        <v>73</v>
      </c>
      <c r="G412">
        <v>142512</v>
      </c>
      <c r="H412">
        <v>142512</v>
      </c>
      <c r="I412">
        <v>285024</v>
      </c>
      <c r="J412">
        <f>VLOOKUP(C412,'LEAID Match'!$A$2:$B$59,2,FALSE)</f>
        <v>4400023</v>
      </c>
    </row>
    <row r="413" spans="1:10" x14ac:dyDescent="0.2">
      <c r="A413">
        <f t="shared" si="6"/>
        <v>4400023</v>
      </c>
      <c r="B413">
        <v>2019</v>
      </c>
      <c r="C413" t="s">
        <v>35</v>
      </c>
      <c r="D413" t="s">
        <v>69</v>
      </c>
      <c r="E413" t="s">
        <v>71</v>
      </c>
      <c r="F413" t="s">
        <v>73</v>
      </c>
      <c r="G413">
        <v>132699</v>
      </c>
      <c r="H413">
        <v>92044.269949250127</v>
      </c>
      <c r="I413">
        <v>224743.26994925013</v>
      </c>
      <c r="J413">
        <f>VLOOKUP(C413,'LEAID Match'!$A$2:$B$59,2,FALSE)</f>
        <v>4400023</v>
      </c>
    </row>
    <row r="414" spans="1:10" x14ac:dyDescent="0.2">
      <c r="A414">
        <f t="shared" si="6"/>
        <v>4400023</v>
      </c>
      <c r="B414">
        <v>2020</v>
      </c>
      <c r="C414" t="s">
        <v>35</v>
      </c>
      <c r="D414" t="s">
        <v>69</v>
      </c>
      <c r="E414" t="s">
        <v>71</v>
      </c>
      <c r="F414" t="s">
        <v>73</v>
      </c>
      <c r="G414">
        <v>132699</v>
      </c>
      <c r="H414">
        <v>99412.269321185144</v>
      </c>
      <c r="I414">
        <v>232111.26932118513</v>
      </c>
      <c r="J414">
        <f>VLOOKUP(C414,'LEAID Match'!$A$2:$B$59,2,FALSE)</f>
        <v>4400023</v>
      </c>
    </row>
    <row r="415" spans="1:10" x14ac:dyDescent="0.2">
      <c r="A415">
        <f t="shared" si="6"/>
        <v>4400023</v>
      </c>
      <c r="B415">
        <v>2021</v>
      </c>
      <c r="C415" t="s">
        <v>35</v>
      </c>
      <c r="D415" t="s">
        <v>69</v>
      </c>
      <c r="E415" t="s">
        <v>71</v>
      </c>
      <c r="F415" t="s">
        <v>73</v>
      </c>
      <c r="G415">
        <v>214775</v>
      </c>
      <c r="H415">
        <v>159276.84528699721</v>
      </c>
      <c r="I415">
        <v>374051.84528699721</v>
      </c>
      <c r="J415">
        <f>VLOOKUP(C415,'LEAID Match'!$A$2:$B$59,2,FALSE)</f>
        <v>4400023</v>
      </c>
    </row>
    <row r="416" spans="1:10" x14ac:dyDescent="0.2">
      <c r="A416">
        <f t="shared" si="6"/>
        <v>4400023</v>
      </c>
      <c r="B416">
        <v>2022</v>
      </c>
      <c r="C416" t="s">
        <v>35</v>
      </c>
      <c r="D416" t="s">
        <v>69</v>
      </c>
      <c r="E416" t="s">
        <v>71</v>
      </c>
      <c r="F416" t="s">
        <v>73</v>
      </c>
      <c r="G416">
        <v>213194</v>
      </c>
      <c r="H416">
        <v>157665.03271666446</v>
      </c>
      <c r="I416">
        <v>370859.03271666449</v>
      </c>
      <c r="J416">
        <f>VLOOKUP(C416,'LEAID Match'!$A$2:$B$59,2,FALSE)</f>
        <v>4400023</v>
      </c>
    </row>
    <row r="417" spans="1:10" x14ac:dyDescent="0.2">
      <c r="A417">
        <f t="shared" si="6"/>
        <v>4401140</v>
      </c>
      <c r="B417">
        <v>2015</v>
      </c>
      <c r="C417" t="s">
        <v>36</v>
      </c>
      <c r="D417" t="s">
        <v>69</v>
      </c>
      <c r="E417" t="s">
        <v>71</v>
      </c>
      <c r="F417" t="s">
        <v>73</v>
      </c>
      <c r="G417">
        <v>3620613</v>
      </c>
      <c r="H417">
        <v>2313109.9273856468</v>
      </c>
      <c r="I417">
        <v>5933722.9273856468</v>
      </c>
      <c r="J417">
        <f>VLOOKUP(C417,'LEAID Match'!$A$2:$B$59,2,FALSE)</f>
        <v>4401140</v>
      </c>
    </row>
    <row r="418" spans="1:10" x14ac:dyDescent="0.2">
      <c r="A418">
        <f t="shared" si="6"/>
        <v>4401140</v>
      </c>
      <c r="B418">
        <v>2016</v>
      </c>
      <c r="C418" t="s">
        <v>36</v>
      </c>
      <c r="D418" t="s">
        <v>69</v>
      </c>
      <c r="E418" t="s">
        <v>71</v>
      </c>
      <c r="F418" t="s">
        <v>73</v>
      </c>
      <c r="G418">
        <v>2587950</v>
      </c>
      <c r="H418">
        <v>1655377.2509386088</v>
      </c>
      <c r="I418">
        <v>4243327.2509386092</v>
      </c>
      <c r="J418">
        <f>VLOOKUP(C418,'LEAID Match'!$A$2:$B$59,2,FALSE)</f>
        <v>4401140</v>
      </c>
    </row>
    <row r="419" spans="1:10" x14ac:dyDescent="0.2">
      <c r="A419">
        <f t="shared" si="6"/>
        <v>4401140</v>
      </c>
      <c r="B419">
        <v>2017</v>
      </c>
      <c r="C419" t="s">
        <v>36</v>
      </c>
      <c r="D419" t="s">
        <v>69</v>
      </c>
      <c r="E419" t="s">
        <v>71</v>
      </c>
      <c r="F419" t="s">
        <v>73</v>
      </c>
      <c r="G419">
        <v>3969629</v>
      </c>
      <c r="H419">
        <v>2791511.7543776431</v>
      </c>
      <c r="I419">
        <v>6761140.7543776426</v>
      </c>
      <c r="J419">
        <f>VLOOKUP(C419,'LEAID Match'!$A$2:$B$59,2,FALSE)</f>
        <v>4401140</v>
      </c>
    </row>
    <row r="420" spans="1:10" x14ac:dyDescent="0.2">
      <c r="A420">
        <f t="shared" si="6"/>
        <v>4401140</v>
      </c>
      <c r="B420">
        <v>2018</v>
      </c>
      <c r="C420" t="s">
        <v>36</v>
      </c>
      <c r="D420" t="s">
        <v>69</v>
      </c>
      <c r="E420" t="s">
        <v>71</v>
      </c>
      <c r="F420" t="s">
        <v>73</v>
      </c>
      <c r="G420">
        <v>3521155</v>
      </c>
      <c r="H420">
        <v>3521155</v>
      </c>
      <c r="I420">
        <v>7042310</v>
      </c>
      <c r="J420">
        <f>VLOOKUP(C420,'LEAID Match'!$A$2:$B$59,2,FALSE)</f>
        <v>4401140</v>
      </c>
    </row>
    <row r="421" spans="1:10" x14ac:dyDescent="0.2">
      <c r="A421">
        <f t="shared" si="6"/>
        <v>4401140</v>
      </c>
      <c r="B421">
        <v>2019</v>
      </c>
      <c r="C421" t="s">
        <v>36</v>
      </c>
      <c r="D421" t="s">
        <v>69</v>
      </c>
      <c r="E421" t="s">
        <v>71</v>
      </c>
      <c r="F421" t="s">
        <v>73</v>
      </c>
      <c r="G421">
        <v>3708668</v>
      </c>
      <c r="H421">
        <v>2572450.7233976563</v>
      </c>
      <c r="I421">
        <v>6281118.7233976563</v>
      </c>
      <c r="J421">
        <f>VLOOKUP(C421,'LEAID Match'!$A$2:$B$59,2,FALSE)</f>
        <v>4401140</v>
      </c>
    </row>
    <row r="422" spans="1:10" x14ac:dyDescent="0.2">
      <c r="A422">
        <f t="shared" si="6"/>
        <v>4401140</v>
      </c>
      <c r="B422">
        <v>2020</v>
      </c>
      <c r="C422" t="s">
        <v>36</v>
      </c>
      <c r="D422" t="s">
        <v>69</v>
      </c>
      <c r="E422" t="s">
        <v>71</v>
      </c>
      <c r="F422" t="s">
        <v>73</v>
      </c>
      <c r="G422">
        <v>3448590</v>
      </c>
      <c r="H422">
        <v>2583532.3390405797</v>
      </c>
      <c r="I422">
        <v>6032122.3390405793</v>
      </c>
      <c r="J422">
        <f>VLOOKUP(C422,'LEAID Match'!$A$2:$B$59,2,FALSE)</f>
        <v>4401140</v>
      </c>
    </row>
    <row r="423" spans="1:10" x14ac:dyDescent="0.2">
      <c r="A423">
        <f t="shared" si="6"/>
        <v>4401140</v>
      </c>
      <c r="B423">
        <v>2021</v>
      </c>
      <c r="C423" t="s">
        <v>36</v>
      </c>
      <c r="D423" t="s">
        <v>69</v>
      </c>
      <c r="E423" t="s">
        <v>71</v>
      </c>
      <c r="F423" t="s">
        <v>73</v>
      </c>
      <c r="G423">
        <v>3957311</v>
      </c>
      <c r="H423">
        <v>2934736.4074009182</v>
      </c>
      <c r="I423">
        <v>6892047.4074009182</v>
      </c>
      <c r="J423">
        <f>VLOOKUP(C423,'LEAID Match'!$A$2:$B$59,2,FALSE)</f>
        <v>4401140</v>
      </c>
    </row>
    <row r="424" spans="1:10" x14ac:dyDescent="0.2">
      <c r="A424">
        <f t="shared" si="6"/>
        <v>4401140</v>
      </c>
      <c r="B424">
        <v>2022</v>
      </c>
      <c r="C424" t="s">
        <v>36</v>
      </c>
      <c r="D424" t="s">
        <v>69</v>
      </c>
      <c r="E424" t="s">
        <v>71</v>
      </c>
      <c r="F424" t="s">
        <v>73</v>
      </c>
      <c r="G424">
        <v>4185643</v>
      </c>
      <c r="H424">
        <v>3095441.4314440256</v>
      </c>
      <c r="I424">
        <v>7281084.4314440256</v>
      </c>
      <c r="J424">
        <f>VLOOKUP(C424,'LEAID Match'!$A$2:$B$59,2,FALSE)</f>
        <v>4401140</v>
      </c>
    </row>
    <row r="425" spans="1:10" x14ac:dyDescent="0.2">
      <c r="A425">
        <f t="shared" si="6"/>
        <v>4401170</v>
      </c>
      <c r="B425">
        <v>2015</v>
      </c>
      <c r="C425" t="s">
        <v>37</v>
      </c>
      <c r="D425" t="s">
        <v>69</v>
      </c>
      <c r="E425" t="s">
        <v>71</v>
      </c>
      <c r="F425" t="s">
        <v>73</v>
      </c>
      <c r="G425">
        <v>3367370</v>
      </c>
      <c r="H425">
        <v>2151319.9494617637</v>
      </c>
      <c r="I425">
        <v>5518689.9494617637</v>
      </c>
      <c r="J425">
        <f>VLOOKUP(C425,'LEAID Match'!$A$2:$B$59,2,FALSE)</f>
        <v>4401170</v>
      </c>
    </row>
    <row r="426" spans="1:10" x14ac:dyDescent="0.2">
      <c r="A426">
        <f t="shared" si="6"/>
        <v>4401170</v>
      </c>
      <c r="B426">
        <v>2016</v>
      </c>
      <c r="C426" t="s">
        <v>37</v>
      </c>
      <c r="D426" t="s">
        <v>69</v>
      </c>
      <c r="E426" t="s">
        <v>71</v>
      </c>
      <c r="F426" t="s">
        <v>73</v>
      </c>
      <c r="G426">
        <v>3440621</v>
      </c>
      <c r="H426">
        <v>2200786.6197189461</v>
      </c>
      <c r="I426">
        <v>5641407.6197189465</v>
      </c>
      <c r="J426">
        <f>VLOOKUP(C426,'LEAID Match'!$A$2:$B$59,2,FALSE)</f>
        <v>4401170</v>
      </c>
    </row>
    <row r="427" spans="1:10" x14ac:dyDescent="0.2">
      <c r="A427">
        <f t="shared" si="6"/>
        <v>4401170</v>
      </c>
      <c r="B427">
        <v>2017</v>
      </c>
      <c r="C427" t="s">
        <v>37</v>
      </c>
      <c r="D427" t="s">
        <v>69</v>
      </c>
      <c r="E427" t="s">
        <v>71</v>
      </c>
      <c r="F427" t="s">
        <v>73</v>
      </c>
      <c r="G427">
        <v>3290123</v>
      </c>
      <c r="H427">
        <v>2313671.3853733521</v>
      </c>
      <c r="I427">
        <v>5603794.3853733521</v>
      </c>
      <c r="J427">
        <f>VLOOKUP(C427,'LEAID Match'!$A$2:$B$59,2,FALSE)</f>
        <v>4401170</v>
      </c>
    </row>
    <row r="428" spans="1:10" x14ac:dyDescent="0.2">
      <c r="A428">
        <f t="shared" si="6"/>
        <v>4401170</v>
      </c>
      <c r="B428">
        <v>2018</v>
      </c>
      <c r="C428" t="s">
        <v>37</v>
      </c>
      <c r="D428" t="s">
        <v>69</v>
      </c>
      <c r="E428" t="s">
        <v>71</v>
      </c>
      <c r="F428" t="s">
        <v>73</v>
      </c>
      <c r="G428">
        <v>3323990</v>
      </c>
      <c r="H428">
        <v>3323990</v>
      </c>
      <c r="I428">
        <v>6647980</v>
      </c>
      <c r="J428">
        <f>VLOOKUP(C428,'LEAID Match'!$A$2:$B$59,2,FALSE)</f>
        <v>4401170</v>
      </c>
    </row>
    <row r="429" spans="1:10" x14ac:dyDescent="0.2">
      <c r="A429">
        <f t="shared" si="6"/>
        <v>4401170</v>
      </c>
      <c r="B429">
        <v>2019</v>
      </c>
      <c r="C429" t="s">
        <v>37</v>
      </c>
      <c r="D429" t="s">
        <v>69</v>
      </c>
      <c r="E429" t="s">
        <v>71</v>
      </c>
      <c r="F429" t="s">
        <v>73</v>
      </c>
      <c r="G429">
        <v>3360357</v>
      </c>
      <c r="H429">
        <v>2330851.0752443676</v>
      </c>
      <c r="I429">
        <v>5691208.0752443671</v>
      </c>
      <c r="J429">
        <f>VLOOKUP(C429,'LEAID Match'!$A$2:$B$59,2,FALSE)</f>
        <v>4401170</v>
      </c>
    </row>
    <row r="430" spans="1:10" x14ac:dyDescent="0.2">
      <c r="A430">
        <f t="shared" si="6"/>
        <v>4401170</v>
      </c>
      <c r="B430">
        <v>2020</v>
      </c>
      <c r="C430" t="s">
        <v>37</v>
      </c>
      <c r="D430" t="s">
        <v>69</v>
      </c>
      <c r="E430" t="s">
        <v>71</v>
      </c>
      <c r="F430" t="s">
        <v>73</v>
      </c>
      <c r="G430">
        <v>3280437</v>
      </c>
      <c r="H430">
        <v>2457559.488279344</v>
      </c>
      <c r="I430">
        <v>5737996.4882793445</v>
      </c>
      <c r="J430">
        <f>VLOOKUP(C430,'LEAID Match'!$A$2:$B$59,2,FALSE)</f>
        <v>4401170</v>
      </c>
    </row>
    <row r="431" spans="1:10" x14ac:dyDescent="0.2">
      <c r="A431">
        <f t="shared" si="6"/>
        <v>4401170</v>
      </c>
      <c r="B431">
        <v>2021</v>
      </c>
      <c r="C431" t="s">
        <v>37</v>
      </c>
      <c r="D431" t="s">
        <v>69</v>
      </c>
      <c r="E431" t="s">
        <v>71</v>
      </c>
      <c r="F431" t="s">
        <v>73</v>
      </c>
      <c r="G431">
        <v>3515166</v>
      </c>
      <c r="H431">
        <v>2606842.2821097095</v>
      </c>
      <c r="I431">
        <v>6122008.2821097095</v>
      </c>
      <c r="J431">
        <f>VLOOKUP(C431,'LEAID Match'!$A$2:$B$59,2,FALSE)</f>
        <v>4401170</v>
      </c>
    </row>
    <row r="432" spans="1:10" x14ac:dyDescent="0.2">
      <c r="A432">
        <f t="shared" si="6"/>
        <v>4401170</v>
      </c>
      <c r="B432">
        <v>2022</v>
      </c>
      <c r="C432" t="s">
        <v>37</v>
      </c>
      <c r="D432" t="s">
        <v>69</v>
      </c>
      <c r="E432" t="s">
        <v>71</v>
      </c>
      <c r="F432" t="s">
        <v>73</v>
      </c>
      <c r="G432">
        <v>3609039</v>
      </c>
      <c r="H432">
        <v>2669020.948106973</v>
      </c>
      <c r="I432">
        <v>6278059.9481069725</v>
      </c>
      <c r="J432">
        <f>VLOOKUP(C432,'LEAID Match'!$A$2:$B$59,2,FALSE)</f>
        <v>4401170</v>
      </c>
    </row>
    <row r="433" spans="1:10" x14ac:dyDescent="0.2">
      <c r="A433">
        <f t="shared" si="6"/>
        <v>4401200</v>
      </c>
      <c r="B433">
        <v>2015</v>
      </c>
      <c r="C433" t="s">
        <v>38</v>
      </c>
      <c r="D433" t="s">
        <v>69</v>
      </c>
      <c r="E433" t="s">
        <v>71</v>
      </c>
      <c r="F433" t="s">
        <v>73</v>
      </c>
      <c r="G433">
        <v>4912636</v>
      </c>
      <c r="H433">
        <v>3138547.8374054651</v>
      </c>
      <c r="I433">
        <v>8051183.8374054655</v>
      </c>
      <c r="J433">
        <f>VLOOKUP(C433,'LEAID Match'!$A$2:$B$59,2,FALSE)</f>
        <v>4401200</v>
      </c>
    </row>
    <row r="434" spans="1:10" x14ac:dyDescent="0.2">
      <c r="A434">
        <f t="shared" si="6"/>
        <v>4401200</v>
      </c>
      <c r="B434">
        <v>2016</v>
      </c>
      <c r="C434" t="s">
        <v>38</v>
      </c>
      <c r="D434" t="s">
        <v>69</v>
      </c>
      <c r="E434" t="s">
        <v>71</v>
      </c>
      <c r="F434" t="s">
        <v>73</v>
      </c>
      <c r="G434">
        <v>5143523</v>
      </c>
      <c r="H434">
        <v>3290044.6159622506</v>
      </c>
      <c r="I434">
        <v>8433567.6159622502</v>
      </c>
      <c r="J434">
        <f>VLOOKUP(C434,'LEAID Match'!$A$2:$B$59,2,FALSE)</f>
        <v>4401200</v>
      </c>
    </row>
    <row r="435" spans="1:10" x14ac:dyDescent="0.2">
      <c r="A435">
        <f t="shared" si="6"/>
        <v>4401200</v>
      </c>
      <c r="B435">
        <v>2017</v>
      </c>
      <c r="C435" t="s">
        <v>38</v>
      </c>
      <c r="D435" t="s">
        <v>69</v>
      </c>
      <c r="E435" t="s">
        <v>71</v>
      </c>
      <c r="F435" t="s">
        <v>73</v>
      </c>
      <c r="G435">
        <v>4969541</v>
      </c>
      <c r="H435">
        <v>3494667.1629418335</v>
      </c>
      <c r="I435">
        <v>8464208.162941834</v>
      </c>
      <c r="J435">
        <f>VLOOKUP(C435,'LEAID Match'!$A$2:$B$59,2,FALSE)</f>
        <v>4401200</v>
      </c>
    </row>
    <row r="436" spans="1:10" x14ac:dyDescent="0.2">
      <c r="A436">
        <f t="shared" si="6"/>
        <v>4401200</v>
      </c>
      <c r="B436">
        <v>2018</v>
      </c>
      <c r="C436" t="s">
        <v>38</v>
      </c>
      <c r="D436" t="s">
        <v>69</v>
      </c>
      <c r="E436" t="s">
        <v>71</v>
      </c>
      <c r="F436" t="s">
        <v>73</v>
      </c>
      <c r="G436">
        <v>5131616</v>
      </c>
      <c r="H436">
        <v>5131616</v>
      </c>
      <c r="I436">
        <v>10263232</v>
      </c>
      <c r="J436">
        <f>VLOOKUP(C436,'LEAID Match'!$A$2:$B$59,2,FALSE)</f>
        <v>4401200</v>
      </c>
    </row>
    <row r="437" spans="1:10" x14ac:dyDescent="0.2">
      <c r="A437">
        <f t="shared" si="6"/>
        <v>4401200</v>
      </c>
      <c r="B437">
        <v>2019</v>
      </c>
      <c r="C437" t="s">
        <v>38</v>
      </c>
      <c r="D437" t="s">
        <v>69</v>
      </c>
      <c r="E437" t="s">
        <v>71</v>
      </c>
      <c r="F437" t="s">
        <v>73</v>
      </c>
      <c r="G437">
        <v>5452209</v>
      </c>
      <c r="H437">
        <v>3781826.5172739136</v>
      </c>
      <c r="I437">
        <v>9234035.5172739141</v>
      </c>
      <c r="J437">
        <f>VLOOKUP(C437,'LEAID Match'!$A$2:$B$59,2,FALSE)</f>
        <v>4401200</v>
      </c>
    </row>
    <row r="438" spans="1:10" x14ac:dyDescent="0.2">
      <c r="A438">
        <f t="shared" si="6"/>
        <v>4401200</v>
      </c>
      <c r="B438">
        <v>2020</v>
      </c>
      <c r="C438" t="s">
        <v>38</v>
      </c>
      <c r="D438" t="s">
        <v>69</v>
      </c>
      <c r="E438" t="s">
        <v>71</v>
      </c>
      <c r="F438" t="s">
        <v>73</v>
      </c>
      <c r="G438">
        <v>4746865</v>
      </c>
      <c r="H438">
        <v>3556143.0139737865</v>
      </c>
      <c r="I438">
        <v>8303008.0139737865</v>
      </c>
      <c r="J438">
        <f>VLOOKUP(C438,'LEAID Match'!$A$2:$B$59,2,FALSE)</f>
        <v>4401200</v>
      </c>
    </row>
    <row r="439" spans="1:10" x14ac:dyDescent="0.2">
      <c r="A439">
        <f t="shared" si="6"/>
        <v>4401200</v>
      </c>
      <c r="B439">
        <v>2021</v>
      </c>
      <c r="C439" t="s">
        <v>38</v>
      </c>
      <c r="D439" t="s">
        <v>69</v>
      </c>
      <c r="E439" t="s">
        <v>71</v>
      </c>
      <c r="F439" t="s">
        <v>73</v>
      </c>
      <c r="G439">
        <v>5617017</v>
      </c>
      <c r="H439">
        <v>4165572.0995620214</v>
      </c>
      <c r="I439">
        <v>9782589.099562021</v>
      </c>
      <c r="J439">
        <f>VLOOKUP(C439,'LEAID Match'!$A$2:$B$59,2,FALSE)</f>
        <v>4401200</v>
      </c>
    </row>
    <row r="440" spans="1:10" x14ac:dyDescent="0.2">
      <c r="A440">
        <f t="shared" si="6"/>
        <v>4401200</v>
      </c>
      <c r="B440">
        <v>2022</v>
      </c>
      <c r="C440" t="s">
        <v>38</v>
      </c>
      <c r="D440" t="s">
        <v>69</v>
      </c>
      <c r="E440" t="s">
        <v>71</v>
      </c>
      <c r="F440" t="s">
        <v>73</v>
      </c>
      <c r="G440">
        <v>5903500</v>
      </c>
      <c r="H440">
        <v>4365861.7064402783</v>
      </c>
      <c r="I440">
        <v>10269361.706440277</v>
      </c>
      <c r="J440">
        <f>VLOOKUP(C440,'LEAID Match'!$A$2:$B$59,2,FALSE)</f>
        <v>4401200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556A3-9931-4E4D-B30E-21A66B9DBD47}">
  <sheetPr>
    <tabColor rgb="FFFFFF00"/>
  </sheetPr>
  <dimension ref="A1:H67"/>
  <sheetViews>
    <sheetView workbookViewId="0">
      <selection activeCell="F1" activeCellId="2" sqref="A1:C1048576 E1:E1048576 F1:F1048576"/>
    </sheetView>
  </sheetViews>
  <sheetFormatPr baseColWidth="10" defaultRowHeight="16" x14ac:dyDescent="0.2"/>
  <cols>
    <col min="1" max="1" width="10.83203125" style="4"/>
    <col min="2" max="2" width="31.33203125" style="4" bestFit="1" customWidth="1"/>
    <col min="3" max="3" width="18.83203125" style="4" bestFit="1" customWidth="1"/>
    <col min="5" max="5" width="19" customWidth="1"/>
    <col min="6" max="6" width="16.83203125" style="8" bestFit="1" customWidth="1"/>
  </cols>
  <sheetData>
    <row r="1" spans="1:8" x14ac:dyDescent="0.2">
      <c r="A1" s="4" t="s">
        <v>58</v>
      </c>
      <c r="B1" s="4" t="s">
        <v>59</v>
      </c>
      <c r="C1" s="4" t="s">
        <v>60</v>
      </c>
      <c r="D1" s="4" t="s">
        <v>65</v>
      </c>
      <c r="E1" s="4" t="s">
        <v>66</v>
      </c>
      <c r="F1" s="8" t="s">
        <v>67</v>
      </c>
    </row>
    <row r="2" spans="1:8" x14ac:dyDescent="0.2">
      <c r="A2" s="4">
        <v>2022</v>
      </c>
      <c r="B2" s="4" t="s">
        <v>0</v>
      </c>
      <c r="C2" s="5">
        <v>4056942</v>
      </c>
      <c r="D2" s="4">
        <f>C2/$C$61</f>
        <v>2.5799706794890943E-2</v>
      </c>
      <c r="E2" s="8">
        <f>D2*$C$67</f>
        <v>3000262.1704157256</v>
      </c>
      <c r="F2" s="8">
        <f>SUM(C2,E2)</f>
        <v>7057204.1704157256</v>
      </c>
      <c r="G2" s="1"/>
      <c r="H2" s="2"/>
    </row>
    <row r="3" spans="1:8" x14ac:dyDescent="0.2">
      <c r="A3" s="4">
        <v>2022</v>
      </c>
      <c r="B3" s="4" t="s">
        <v>1</v>
      </c>
      <c r="C3" s="5">
        <v>3554595</v>
      </c>
      <c r="D3" s="4">
        <f t="shared" ref="D3:D59" si="0">C3/$C$61</f>
        <v>2.2605082541132058E-2</v>
      </c>
      <c r="E3" s="8">
        <f t="shared" ref="E3:E59" si="1">D3*$C$67</f>
        <v>2628757.5493188924</v>
      </c>
      <c r="F3" s="8">
        <f t="shared" ref="F3:F59" si="2">SUM(C3,E3)</f>
        <v>6183352.5493188929</v>
      </c>
      <c r="G3" s="3"/>
      <c r="H3" s="2"/>
    </row>
    <row r="4" spans="1:8" x14ac:dyDescent="0.2">
      <c r="A4" s="4">
        <v>2022</v>
      </c>
      <c r="B4" s="4" t="s">
        <v>2</v>
      </c>
      <c r="C4" s="5">
        <v>2279213</v>
      </c>
      <c r="D4" s="4">
        <f t="shared" si="0"/>
        <v>1.4494421444305532E-2</v>
      </c>
      <c r="E4" s="8">
        <f t="shared" si="1"/>
        <v>1685564.2851733491</v>
      </c>
      <c r="F4" s="8">
        <f t="shared" si="2"/>
        <v>3964777.2851733491</v>
      </c>
      <c r="G4" s="3"/>
      <c r="H4" s="2"/>
    </row>
    <row r="5" spans="1:8" x14ac:dyDescent="0.2">
      <c r="A5" s="4">
        <v>2022</v>
      </c>
      <c r="B5" s="4" t="s">
        <v>3</v>
      </c>
      <c r="C5" s="5">
        <v>3008114</v>
      </c>
      <c r="D5" s="4">
        <f t="shared" si="0"/>
        <v>1.9129792638299135E-2</v>
      </c>
      <c r="E5" s="8">
        <f t="shared" si="1"/>
        <v>2224614.1646831352</v>
      </c>
      <c r="F5" s="8">
        <f t="shared" si="2"/>
        <v>5232728.1646831352</v>
      </c>
      <c r="G5" s="3"/>
      <c r="H5" s="2"/>
    </row>
    <row r="6" spans="1:8" x14ac:dyDescent="0.2">
      <c r="A6" s="4">
        <v>2022</v>
      </c>
      <c r="B6" s="4" t="s">
        <v>4</v>
      </c>
      <c r="C6" s="5">
        <v>4057375</v>
      </c>
      <c r="D6" s="4">
        <f t="shared" si="0"/>
        <v>2.5802460414006571E-2</v>
      </c>
      <c r="E6" s="8">
        <f t="shared" si="1"/>
        <v>3000582.390305433</v>
      </c>
      <c r="F6" s="8">
        <f t="shared" si="2"/>
        <v>7057957.3903054334</v>
      </c>
      <c r="G6" s="3"/>
      <c r="H6" s="2"/>
    </row>
    <row r="7" spans="1:8" x14ac:dyDescent="0.2">
      <c r="A7" s="4">
        <v>2022</v>
      </c>
      <c r="B7" s="4" t="s">
        <v>5</v>
      </c>
      <c r="C7" s="5">
        <v>5495859</v>
      </c>
      <c r="D7" s="4">
        <f t="shared" si="0"/>
        <v>3.4950351961172368E-2</v>
      </c>
      <c r="E7" s="8">
        <f t="shared" si="1"/>
        <v>4064395.7571093692</v>
      </c>
      <c r="F7" s="8">
        <f t="shared" si="2"/>
        <v>9560254.7571093701</v>
      </c>
      <c r="G7" s="3"/>
      <c r="H7" s="2"/>
    </row>
    <row r="8" spans="1:8" x14ac:dyDescent="0.2">
      <c r="A8" s="4">
        <v>2022</v>
      </c>
      <c r="B8" s="4" t="s">
        <v>6</v>
      </c>
      <c r="C8" s="5">
        <v>12733950</v>
      </c>
      <c r="D8" s="4">
        <f t="shared" si="0"/>
        <v>8.0980249740026239E-2</v>
      </c>
      <c r="E8" s="8">
        <f t="shared" si="1"/>
        <v>9417238.0243457574</v>
      </c>
      <c r="F8" s="8">
        <f t="shared" si="2"/>
        <v>22151188.024345756</v>
      </c>
      <c r="G8" s="3"/>
      <c r="H8" s="2"/>
    </row>
    <row r="9" spans="1:8" x14ac:dyDescent="0.2">
      <c r="A9" s="4">
        <v>2022</v>
      </c>
      <c r="B9" s="4" t="s">
        <v>7</v>
      </c>
      <c r="C9" s="5">
        <v>4957780</v>
      </c>
      <c r="D9" s="4">
        <f t="shared" si="0"/>
        <v>3.1528493716098088E-2</v>
      </c>
      <c r="E9" s="8">
        <f t="shared" si="1"/>
        <v>3666465.9695020719</v>
      </c>
      <c r="F9" s="8">
        <f t="shared" si="2"/>
        <v>8624245.9695020728</v>
      </c>
      <c r="G9" s="3"/>
      <c r="H9" s="2"/>
    </row>
    <row r="10" spans="1:8" x14ac:dyDescent="0.2">
      <c r="A10" s="4">
        <v>2022</v>
      </c>
      <c r="B10" s="4" t="s">
        <v>8</v>
      </c>
      <c r="C10" s="5">
        <v>2995818</v>
      </c>
      <c r="D10" s="4">
        <f t="shared" si="0"/>
        <v>1.9051597486692339E-2</v>
      </c>
      <c r="E10" s="8">
        <f t="shared" si="1"/>
        <v>2215520.8072608621</v>
      </c>
      <c r="F10" s="8">
        <f t="shared" si="2"/>
        <v>5211338.8072608616</v>
      </c>
      <c r="G10" s="3"/>
      <c r="H10" s="2"/>
    </row>
    <row r="11" spans="1:8" x14ac:dyDescent="0.2">
      <c r="A11" s="4">
        <v>2022</v>
      </c>
      <c r="B11" s="4" t="s">
        <v>9</v>
      </c>
      <c r="C11" s="5">
        <v>5913064</v>
      </c>
      <c r="D11" s="4">
        <f t="shared" si="0"/>
        <v>3.7603524393354654E-2</v>
      </c>
      <c r="E11" s="8">
        <f t="shared" si="1"/>
        <v>4372934.6464522025</v>
      </c>
      <c r="F11" s="8">
        <f t="shared" si="2"/>
        <v>10285998.646452203</v>
      </c>
      <c r="G11" s="3"/>
      <c r="H11" s="2"/>
    </row>
    <row r="12" spans="1:8" x14ac:dyDescent="0.2">
      <c r="A12" s="4">
        <v>2022</v>
      </c>
      <c r="B12" s="4" t="s">
        <v>10</v>
      </c>
      <c r="C12" s="5">
        <v>2071969</v>
      </c>
      <c r="D12" s="4">
        <f t="shared" si="0"/>
        <v>1.3176474469712259E-2</v>
      </c>
      <c r="E12" s="8">
        <f t="shared" si="1"/>
        <v>1532299.5026732204</v>
      </c>
      <c r="F12" s="8">
        <f t="shared" si="2"/>
        <v>3604268.5026732204</v>
      </c>
      <c r="G12" s="3"/>
      <c r="H12" s="2"/>
    </row>
    <row r="13" spans="1:8" x14ac:dyDescent="0.2">
      <c r="A13" s="4">
        <v>2022</v>
      </c>
      <c r="B13" s="4" t="s">
        <v>11</v>
      </c>
      <c r="C13" s="5">
        <v>252804</v>
      </c>
      <c r="D13" s="4">
        <f t="shared" si="0"/>
        <v>1.6076811244961377E-3</v>
      </c>
      <c r="E13" s="8">
        <f t="shared" si="1"/>
        <v>186958.1270153177</v>
      </c>
      <c r="F13" s="8">
        <f t="shared" si="2"/>
        <v>439762.12701531767</v>
      </c>
      <c r="G13" s="3"/>
      <c r="H13" s="2"/>
    </row>
    <row r="14" spans="1:8" x14ac:dyDescent="0.2">
      <c r="A14" s="4">
        <v>2022</v>
      </c>
      <c r="B14" s="4" t="s">
        <v>12</v>
      </c>
      <c r="C14" s="5">
        <v>1668740</v>
      </c>
      <c r="D14" s="4">
        <f t="shared" si="0"/>
        <v>1.0612180976929498E-2</v>
      </c>
      <c r="E14" s="8">
        <f t="shared" si="1"/>
        <v>1234096.3943432115</v>
      </c>
      <c r="F14" s="8">
        <f t="shared" si="2"/>
        <v>2902836.3943432113</v>
      </c>
      <c r="G14" s="3"/>
      <c r="H14" s="2"/>
    </row>
    <row r="15" spans="1:8" x14ac:dyDescent="0.2">
      <c r="A15" s="4">
        <v>2022</v>
      </c>
      <c r="B15" s="4" t="s">
        <v>13</v>
      </c>
      <c r="C15" s="5">
        <v>658152</v>
      </c>
      <c r="D15" s="4">
        <f t="shared" si="0"/>
        <v>4.1854501805722302E-3</v>
      </c>
      <c r="E15" s="8">
        <f t="shared" si="1"/>
        <v>486728.31605269451</v>
      </c>
      <c r="F15" s="8">
        <f t="shared" si="2"/>
        <v>1144880.3160526946</v>
      </c>
      <c r="G15" s="3"/>
      <c r="H15" s="2"/>
    </row>
    <row r="16" spans="1:8" x14ac:dyDescent="0.2">
      <c r="A16" s="4">
        <v>2022</v>
      </c>
      <c r="B16" s="4" t="s">
        <v>14</v>
      </c>
      <c r="C16" s="5">
        <v>643128</v>
      </c>
      <c r="D16" s="4">
        <f t="shared" si="0"/>
        <v>4.0899065925972377E-3</v>
      </c>
      <c r="E16" s="8">
        <f t="shared" si="1"/>
        <v>475617.49937147845</v>
      </c>
      <c r="F16" s="8">
        <f t="shared" si="2"/>
        <v>1118745.4993714783</v>
      </c>
      <c r="G16" s="3"/>
      <c r="H16" s="2"/>
    </row>
    <row r="17" spans="1:8" x14ac:dyDescent="0.2">
      <c r="A17" s="4">
        <v>2022</v>
      </c>
      <c r="B17" s="4" t="s">
        <v>15</v>
      </c>
      <c r="C17" s="5">
        <v>3685054</v>
      </c>
      <c r="D17" s="4">
        <f t="shared" si="0"/>
        <v>2.3434723179020074E-2</v>
      </c>
      <c r="E17" s="8">
        <f t="shared" si="1"/>
        <v>2725236.9178901622</v>
      </c>
      <c r="F17" s="8">
        <f t="shared" si="2"/>
        <v>6410290.9178901622</v>
      </c>
      <c r="G17" s="3"/>
      <c r="H17" s="2"/>
    </row>
    <row r="18" spans="1:8" x14ac:dyDescent="0.2">
      <c r="A18" s="4">
        <v>2022</v>
      </c>
      <c r="B18" s="4" t="s">
        <v>16</v>
      </c>
      <c r="C18" s="5">
        <v>3959729</v>
      </c>
      <c r="D18" s="4">
        <f t="shared" si="0"/>
        <v>2.5181490686144076E-2</v>
      </c>
      <c r="E18" s="8">
        <f t="shared" si="1"/>
        <v>2928369.4772560443</v>
      </c>
      <c r="F18" s="8">
        <f t="shared" si="2"/>
        <v>6888098.4772560447</v>
      </c>
      <c r="G18" s="3"/>
      <c r="H18" s="2"/>
    </row>
    <row r="19" spans="1:8" x14ac:dyDescent="0.2">
      <c r="A19" s="4">
        <v>2022</v>
      </c>
      <c r="B19" s="4" t="s">
        <v>17</v>
      </c>
      <c r="C19" s="5">
        <v>420087</v>
      </c>
      <c r="D19" s="4">
        <f t="shared" si="0"/>
        <v>2.6715002157648177E-3</v>
      </c>
      <c r="E19" s="8">
        <f t="shared" si="1"/>
        <v>310670.23743091</v>
      </c>
      <c r="F19" s="8">
        <f t="shared" si="2"/>
        <v>730757.23743091</v>
      </c>
      <c r="G19" s="3"/>
      <c r="H19" s="2"/>
    </row>
    <row r="20" spans="1:8" x14ac:dyDescent="0.2">
      <c r="A20" s="4">
        <v>2022</v>
      </c>
      <c r="B20" s="4" t="s">
        <v>18</v>
      </c>
      <c r="C20" s="5">
        <v>2681418</v>
      </c>
      <c r="D20" s="4">
        <f t="shared" si="0"/>
        <v>1.7052202914052725E-2</v>
      </c>
      <c r="E20" s="8">
        <f t="shared" si="1"/>
        <v>1983010.1067434028</v>
      </c>
      <c r="F20" s="8">
        <f t="shared" si="2"/>
        <v>4664428.1067434028</v>
      </c>
      <c r="G20" s="3"/>
      <c r="H20" s="2"/>
    </row>
    <row r="21" spans="1:8" x14ac:dyDescent="0.2">
      <c r="A21" s="4">
        <v>2022</v>
      </c>
      <c r="B21" s="4" t="s">
        <v>19</v>
      </c>
      <c r="C21" s="5">
        <v>1874602</v>
      </c>
      <c r="D21" s="4">
        <f t="shared" si="0"/>
        <v>1.1921339264183751E-2</v>
      </c>
      <c r="E21" s="8">
        <f t="shared" si="1"/>
        <v>1386339.1355325414</v>
      </c>
      <c r="F21" s="8">
        <f t="shared" si="2"/>
        <v>3260941.1355325412</v>
      </c>
      <c r="G21" s="3"/>
      <c r="H21" s="2"/>
    </row>
    <row r="22" spans="1:8" x14ac:dyDescent="0.2">
      <c r="A22" s="4">
        <v>2022</v>
      </c>
      <c r="B22" s="4" t="s">
        <v>20</v>
      </c>
      <c r="C22" s="5">
        <v>378506</v>
      </c>
      <c r="D22" s="4">
        <f t="shared" si="0"/>
        <v>2.4070701084972354E-3</v>
      </c>
      <c r="E22" s="8">
        <f t="shared" si="1"/>
        <v>279919.5140269135</v>
      </c>
      <c r="F22" s="8">
        <f t="shared" si="2"/>
        <v>658425.51402691356</v>
      </c>
      <c r="G22" s="3"/>
      <c r="H22" s="2"/>
    </row>
    <row r="23" spans="1:8" x14ac:dyDescent="0.2">
      <c r="A23" s="4">
        <v>2022</v>
      </c>
      <c r="B23" s="4" t="s">
        <v>21</v>
      </c>
      <c r="C23" s="5">
        <v>2793911</v>
      </c>
      <c r="D23" s="4">
        <f t="shared" si="0"/>
        <v>1.7767590616533477E-2</v>
      </c>
      <c r="E23" s="8">
        <f t="shared" si="1"/>
        <v>2066202.938274289</v>
      </c>
      <c r="F23" s="8">
        <f t="shared" si="2"/>
        <v>4860113.9382742886</v>
      </c>
      <c r="G23" s="3"/>
      <c r="H23" s="2"/>
    </row>
    <row r="24" spans="1:8" x14ac:dyDescent="0.2">
      <c r="A24" s="4">
        <v>2022</v>
      </c>
      <c r="B24" s="4" t="s">
        <v>22</v>
      </c>
      <c r="C24" s="5">
        <v>4891487</v>
      </c>
      <c r="D24" s="4">
        <f t="shared" si="0"/>
        <v>3.1106910177917436E-2</v>
      </c>
      <c r="E24" s="8">
        <f t="shared" si="1"/>
        <v>3617439.7867113468</v>
      </c>
      <c r="F24" s="8">
        <f t="shared" si="2"/>
        <v>8508926.7867113464</v>
      </c>
      <c r="G24" s="3"/>
      <c r="H24" s="2"/>
    </row>
    <row r="25" spans="1:8" x14ac:dyDescent="0.2">
      <c r="A25" s="4">
        <v>2022</v>
      </c>
      <c r="B25" s="4" t="s">
        <v>23</v>
      </c>
      <c r="C25" s="5">
        <v>3858067</v>
      </c>
      <c r="D25" s="4">
        <f t="shared" si="0"/>
        <v>2.4534981617938961E-2</v>
      </c>
      <c r="E25" s="8">
        <f t="shared" si="1"/>
        <v>2853186.5801949566</v>
      </c>
      <c r="F25" s="8">
        <f t="shared" si="2"/>
        <v>6711253.5801949566</v>
      </c>
      <c r="G25" s="3"/>
      <c r="H25" s="2"/>
    </row>
    <row r="26" spans="1:8" x14ac:dyDescent="0.2">
      <c r="A26" s="4">
        <v>2022</v>
      </c>
      <c r="B26" s="4" t="s">
        <v>24</v>
      </c>
      <c r="C26" s="5">
        <v>1956201</v>
      </c>
      <c r="D26" s="4">
        <f t="shared" si="0"/>
        <v>1.2440259740433179E-2</v>
      </c>
      <c r="E26" s="8">
        <f t="shared" si="1"/>
        <v>1446684.6846786109</v>
      </c>
      <c r="F26" s="8">
        <f t="shared" si="2"/>
        <v>3402885.6846786109</v>
      </c>
      <c r="G26" s="3"/>
      <c r="H26" s="2"/>
    </row>
    <row r="27" spans="1:8" x14ac:dyDescent="0.2">
      <c r="A27" s="4">
        <v>2022</v>
      </c>
      <c r="B27" s="4" t="s">
        <v>25</v>
      </c>
      <c r="C27" s="5">
        <v>268613</v>
      </c>
      <c r="D27" s="4">
        <f t="shared" si="0"/>
        <v>1.7082168395052336E-3</v>
      </c>
      <c r="E27" s="8">
        <f t="shared" si="1"/>
        <v>198649.48090997586</v>
      </c>
      <c r="F27" s="8">
        <f t="shared" si="2"/>
        <v>467262.48090997583</v>
      </c>
      <c r="G27" s="3"/>
      <c r="H27" s="2"/>
    </row>
    <row r="28" spans="1:8" x14ac:dyDescent="0.2">
      <c r="A28" s="4">
        <v>2022</v>
      </c>
      <c r="B28" s="4" t="s">
        <v>26</v>
      </c>
      <c r="C28" s="5">
        <v>8594852</v>
      </c>
      <c r="D28" s="4">
        <f t="shared" si="0"/>
        <v>5.4658080284480777E-2</v>
      </c>
      <c r="E28" s="8">
        <f t="shared" si="1"/>
        <v>6356218.3822006667</v>
      </c>
      <c r="F28" s="8">
        <f t="shared" si="2"/>
        <v>14951070.382200666</v>
      </c>
      <c r="G28" s="3"/>
      <c r="H28" s="2"/>
    </row>
    <row r="29" spans="1:8" x14ac:dyDescent="0.2">
      <c r="A29" s="4">
        <v>2022</v>
      </c>
      <c r="B29" s="4" t="s">
        <v>27</v>
      </c>
      <c r="C29" s="5">
        <v>2746538</v>
      </c>
      <c r="D29" s="4">
        <f t="shared" si="0"/>
        <v>1.7466326878970956E-2</v>
      </c>
      <c r="E29" s="8">
        <f t="shared" si="1"/>
        <v>2031168.8116342966</v>
      </c>
      <c r="F29" s="8">
        <f t="shared" si="2"/>
        <v>4777706.8116342966</v>
      </c>
      <c r="G29" s="3"/>
      <c r="H29" s="2"/>
    </row>
    <row r="30" spans="1:8" x14ac:dyDescent="0.2">
      <c r="A30" s="4">
        <v>2022</v>
      </c>
      <c r="B30" s="4" t="s">
        <v>28</v>
      </c>
      <c r="C30" s="5">
        <v>23287303</v>
      </c>
      <c r="D30" s="4">
        <f t="shared" si="0"/>
        <v>0.14809321637918024</v>
      </c>
      <c r="E30" s="8">
        <f t="shared" si="1"/>
        <v>17221842.028283529</v>
      </c>
      <c r="F30" s="8">
        <f t="shared" si="2"/>
        <v>40509145.028283529</v>
      </c>
      <c r="G30" s="3"/>
      <c r="H30" s="2"/>
    </row>
    <row r="31" spans="1:8" x14ac:dyDescent="0.2">
      <c r="A31" s="4">
        <v>2022</v>
      </c>
      <c r="B31" s="4" t="s">
        <v>29</v>
      </c>
      <c r="C31" s="5">
        <v>1696001</v>
      </c>
      <c r="D31" s="4">
        <f t="shared" si="0"/>
        <v>1.0785544512059042E-2</v>
      </c>
      <c r="E31" s="8">
        <f t="shared" si="1"/>
        <v>1254256.9357134611</v>
      </c>
      <c r="F31" s="8">
        <f t="shared" si="2"/>
        <v>2950257.9357134611</v>
      </c>
      <c r="G31" s="3"/>
      <c r="H31" s="2"/>
    </row>
    <row r="32" spans="1:8" x14ac:dyDescent="0.2">
      <c r="A32" s="4">
        <v>2022</v>
      </c>
      <c r="B32" s="4" t="s">
        <v>30</v>
      </c>
      <c r="C32" s="5">
        <v>2803035</v>
      </c>
      <c r="D32" s="4">
        <f t="shared" si="0"/>
        <v>1.7825613759283997E-2</v>
      </c>
      <c r="E32" s="8">
        <f t="shared" si="1"/>
        <v>2072950.4816315449</v>
      </c>
      <c r="F32" s="8">
        <f t="shared" si="2"/>
        <v>4875985.4816315453</v>
      </c>
      <c r="G32" s="3"/>
      <c r="H32" s="2"/>
    </row>
    <row r="33" spans="1:8" x14ac:dyDescent="0.2">
      <c r="A33" s="4">
        <v>2022</v>
      </c>
      <c r="B33" s="4" t="s">
        <v>31</v>
      </c>
      <c r="C33" s="5">
        <v>4045072</v>
      </c>
      <c r="D33" s="4">
        <f t="shared" si="0"/>
        <v>2.5724220746617305E-2</v>
      </c>
      <c r="E33" s="8">
        <f t="shared" si="1"/>
        <v>2991483.8561181994</v>
      </c>
      <c r="F33" s="8">
        <f t="shared" si="2"/>
        <v>7036555.8561181994</v>
      </c>
      <c r="G33" s="3"/>
      <c r="H33" s="2"/>
    </row>
    <row r="34" spans="1:8" x14ac:dyDescent="0.2">
      <c r="A34" s="4">
        <v>2022</v>
      </c>
      <c r="B34" s="4" t="s">
        <v>32</v>
      </c>
      <c r="C34" s="5">
        <v>1965319</v>
      </c>
      <c r="D34" s="4">
        <f t="shared" si="0"/>
        <v>1.2498244726798726E-2</v>
      </c>
      <c r="E34" s="8">
        <f t="shared" si="1"/>
        <v>1453427.7908087578</v>
      </c>
      <c r="F34" s="8">
        <f t="shared" si="2"/>
        <v>3418746.7908087578</v>
      </c>
      <c r="G34" s="3"/>
      <c r="H34" s="2"/>
    </row>
    <row r="35" spans="1:8" x14ac:dyDescent="0.2">
      <c r="A35" s="4">
        <v>2022</v>
      </c>
      <c r="B35" s="4" t="s">
        <v>33</v>
      </c>
      <c r="C35" s="5">
        <v>75816</v>
      </c>
      <c r="D35" s="4">
        <f t="shared" si="0"/>
        <v>4.8214408053195035E-4</v>
      </c>
      <c r="E35" s="8">
        <f t="shared" si="1"/>
        <v>56068.801750737039</v>
      </c>
      <c r="F35" s="8">
        <f t="shared" si="2"/>
        <v>131884.80175073704</v>
      </c>
      <c r="G35" s="3"/>
      <c r="H35" s="2"/>
    </row>
    <row r="36" spans="1:8" x14ac:dyDescent="0.2">
      <c r="A36" s="4">
        <v>2022</v>
      </c>
      <c r="B36" s="4" t="s">
        <v>34</v>
      </c>
      <c r="C36" s="5">
        <v>11860202</v>
      </c>
      <c r="D36" s="4">
        <f t="shared" si="0"/>
        <v>7.5423738896976872E-2</v>
      </c>
      <c r="E36" s="8">
        <f t="shared" si="1"/>
        <v>8771068.3056570496</v>
      </c>
      <c r="F36" s="8">
        <f t="shared" si="2"/>
        <v>20631270.305657052</v>
      </c>
      <c r="G36" s="3"/>
      <c r="H36" s="2"/>
    </row>
    <row r="37" spans="1:8" x14ac:dyDescent="0.2">
      <c r="A37" s="4">
        <v>2022</v>
      </c>
      <c r="B37" s="4" t="s">
        <v>35</v>
      </c>
      <c r="C37" s="5">
        <v>213194</v>
      </c>
      <c r="D37" s="4">
        <f t="shared" si="0"/>
        <v>1.3557853896925269E-3</v>
      </c>
      <c r="E37" s="8">
        <f t="shared" si="1"/>
        <v>157665.03271666446</v>
      </c>
      <c r="F37" s="8">
        <f t="shared" si="2"/>
        <v>370859.03271666449</v>
      </c>
      <c r="G37" s="3"/>
      <c r="H37" s="2"/>
    </row>
    <row r="38" spans="1:8" x14ac:dyDescent="0.2">
      <c r="A38" s="4">
        <v>2022</v>
      </c>
      <c r="B38" s="4" t="s">
        <v>36</v>
      </c>
      <c r="C38" s="5">
        <v>4185643</v>
      </c>
      <c r="D38" s="4">
        <f t="shared" si="0"/>
        <v>2.6618167611981564E-2</v>
      </c>
      <c r="E38" s="8">
        <f t="shared" si="1"/>
        <v>3095441.4314440256</v>
      </c>
      <c r="F38" s="8">
        <f t="shared" si="2"/>
        <v>7281084.4314440256</v>
      </c>
      <c r="G38" s="3"/>
      <c r="H38" s="2"/>
    </row>
    <row r="39" spans="1:8" x14ac:dyDescent="0.2">
      <c r="A39" s="4">
        <v>2022</v>
      </c>
      <c r="B39" s="4" t="s">
        <v>37</v>
      </c>
      <c r="C39" s="5">
        <v>3609039</v>
      </c>
      <c r="D39" s="4">
        <f t="shared" si="0"/>
        <v>2.2951313578386482E-2</v>
      </c>
      <c r="E39" s="8">
        <f t="shared" si="1"/>
        <v>2669020.948106973</v>
      </c>
      <c r="F39" s="8">
        <f t="shared" si="2"/>
        <v>6278059.9481069725</v>
      </c>
      <c r="G39" s="3"/>
      <c r="H39" s="2"/>
    </row>
    <row r="40" spans="1:8" x14ac:dyDescent="0.2">
      <c r="A40" s="4">
        <v>2022</v>
      </c>
      <c r="B40" s="4" t="s">
        <v>38</v>
      </c>
      <c r="C40" s="5">
        <v>5903500</v>
      </c>
      <c r="D40" s="4">
        <f t="shared" si="0"/>
        <v>3.7542703115706039E-2</v>
      </c>
      <c r="E40" s="8">
        <f t="shared" si="1"/>
        <v>4365861.7064402783</v>
      </c>
      <c r="F40" s="8">
        <f t="shared" si="2"/>
        <v>10269361.706440277</v>
      </c>
      <c r="G40" s="3"/>
      <c r="H40" s="2"/>
    </row>
    <row r="41" spans="1:8" x14ac:dyDescent="0.2">
      <c r="A41" s="4">
        <v>2022</v>
      </c>
      <c r="B41" s="4" t="s">
        <v>39</v>
      </c>
      <c r="C41" s="5">
        <v>553485</v>
      </c>
      <c r="D41" s="4">
        <f t="shared" si="0"/>
        <v>3.5198311228926155E-3</v>
      </c>
      <c r="E41" s="8">
        <f t="shared" si="1"/>
        <v>409323.1077477932</v>
      </c>
      <c r="F41" s="8">
        <f t="shared" si="2"/>
        <v>962808.1077477932</v>
      </c>
      <c r="G41" s="3"/>
      <c r="H41" s="2"/>
    </row>
    <row r="42" spans="1:8" x14ac:dyDescent="0.2">
      <c r="A42" s="4">
        <v>2022</v>
      </c>
      <c r="B42" s="4" t="s">
        <v>40</v>
      </c>
      <c r="C42" s="5">
        <v>812062</v>
      </c>
      <c r="D42" s="4">
        <f t="shared" si="0"/>
        <v>5.1642250491312743E-3</v>
      </c>
      <c r="E42" s="8">
        <f t="shared" si="1"/>
        <v>600550.58677992807</v>
      </c>
      <c r="F42" s="8">
        <f t="shared" si="2"/>
        <v>1412612.5867799281</v>
      </c>
      <c r="G42" s="3"/>
      <c r="H42" s="2"/>
    </row>
    <row r="43" spans="1:8" x14ac:dyDescent="0.2">
      <c r="A43" s="4">
        <v>2022</v>
      </c>
      <c r="B43" s="4" t="s">
        <v>41</v>
      </c>
      <c r="C43" s="5">
        <v>231985</v>
      </c>
      <c r="D43" s="4">
        <f t="shared" si="0"/>
        <v>1.4752848280337198E-3</v>
      </c>
      <c r="E43" s="8">
        <f t="shared" si="1"/>
        <v>171561.68848455118</v>
      </c>
      <c r="F43" s="8">
        <f t="shared" si="2"/>
        <v>403546.68848455115</v>
      </c>
      <c r="G43" s="3"/>
      <c r="H43" s="2"/>
    </row>
    <row r="44" spans="1:8" x14ac:dyDescent="0.2">
      <c r="A44" s="4">
        <v>2022</v>
      </c>
      <c r="B44" s="4" t="s">
        <v>42</v>
      </c>
      <c r="C44" s="5">
        <v>337394</v>
      </c>
      <c r="D44" s="4">
        <f t="shared" si="0"/>
        <v>2.1456225586551237E-3</v>
      </c>
      <c r="E44" s="8">
        <f t="shared" si="1"/>
        <v>249515.63387527928</v>
      </c>
      <c r="F44" s="8">
        <f t="shared" si="2"/>
        <v>586909.63387527922</v>
      </c>
      <c r="G44" s="3"/>
      <c r="H44" s="2"/>
    </row>
    <row r="45" spans="1:8" x14ac:dyDescent="0.2">
      <c r="A45" s="4">
        <v>2022</v>
      </c>
      <c r="B45" s="4" t="s">
        <v>43</v>
      </c>
      <c r="C45" s="5">
        <v>251513</v>
      </c>
      <c r="D45" s="4">
        <f t="shared" si="0"/>
        <v>1.5994711423292238E-3</v>
      </c>
      <c r="E45" s="8">
        <f t="shared" si="1"/>
        <v>186003.38364900716</v>
      </c>
      <c r="F45" s="8">
        <f t="shared" si="2"/>
        <v>437516.38364900718</v>
      </c>
      <c r="G45" s="3"/>
      <c r="H45" s="2"/>
    </row>
    <row r="46" spans="1:8" x14ac:dyDescent="0.2">
      <c r="A46" s="4">
        <v>2022</v>
      </c>
      <c r="B46" s="4" t="s">
        <v>44</v>
      </c>
      <c r="C46" s="5">
        <v>322253</v>
      </c>
      <c r="D46" s="4">
        <f t="shared" si="0"/>
        <v>2.0493349211731376E-3</v>
      </c>
      <c r="E46" s="8">
        <f t="shared" si="1"/>
        <v>238318.29126543558</v>
      </c>
      <c r="F46" s="8">
        <f t="shared" si="2"/>
        <v>560571.29126543552</v>
      </c>
      <c r="G46" s="3"/>
      <c r="H46" s="2"/>
    </row>
    <row r="47" spans="1:8" x14ac:dyDescent="0.2">
      <c r="A47" s="4">
        <v>2022</v>
      </c>
      <c r="B47" s="4" t="s">
        <v>45</v>
      </c>
      <c r="C47" s="5">
        <v>376174</v>
      </c>
      <c r="D47" s="4">
        <f t="shared" si="0"/>
        <v>2.3922399935373258E-3</v>
      </c>
      <c r="E47" s="8">
        <f t="shared" si="1"/>
        <v>278194.91175717203</v>
      </c>
      <c r="F47" s="8">
        <f t="shared" si="2"/>
        <v>654368.91175717209</v>
      </c>
      <c r="G47" s="3"/>
      <c r="H47" s="2"/>
    </row>
    <row r="48" spans="1:8" x14ac:dyDescent="0.2">
      <c r="A48" s="4">
        <v>2022</v>
      </c>
      <c r="B48" s="4" t="s">
        <v>46</v>
      </c>
      <c r="C48" s="5">
        <v>595217</v>
      </c>
      <c r="D48" s="4">
        <f t="shared" si="0"/>
        <v>3.7852214991820447E-3</v>
      </c>
      <c r="E48" s="8">
        <f t="shared" si="1"/>
        <v>440185.50136736903</v>
      </c>
      <c r="F48" s="8">
        <f t="shared" si="2"/>
        <v>1035402.501367369</v>
      </c>
      <c r="G48" s="3"/>
      <c r="H48" s="2"/>
    </row>
    <row r="49" spans="1:8" x14ac:dyDescent="0.2">
      <c r="A49" s="4">
        <v>2022</v>
      </c>
      <c r="B49" s="4" t="s">
        <v>47</v>
      </c>
      <c r="C49" s="5">
        <v>193013</v>
      </c>
      <c r="D49" s="4">
        <f t="shared" si="0"/>
        <v>1.2274463888323486E-3</v>
      </c>
      <c r="E49" s="8">
        <f t="shared" si="1"/>
        <v>142740.41933516684</v>
      </c>
      <c r="F49" s="8">
        <f t="shared" si="2"/>
        <v>335753.41933516681</v>
      </c>
      <c r="G49" s="3"/>
      <c r="H49" s="2"/>
    </row>
    <row r="50" spans="1:8" x14ac:dyDescent="0.2">
      <c r="A50" s="4">
        <v>2022</v>
      </c>
      <c r="B50" s="4" t="s">
        <v>48</v>
      </c>
      <c r="C50" s="5">
        <v>172332</v>
      </c>
      <c r="D50" s="4">
        <f t="shared" si="0"/>
        <v>1.0959276892243334E-3</v>
      </c>
      <c r="E50" s="8">
        <f t="shared" si="1"/>
        <v>127446.03702790987</v>
      </c>
      <c r="F50" s="8">
        <f t="shared" si="2"/>
        <v>299778.03702790989</v>
      </c>
      <c r="G50" s="3"/>
      <c r="H50" s="2"/>
    </row>
    <row r="51" spans="1:8" x14ac:dyDescent="0.2">
      <c r="A51" s="4">
        <v>2022</v>
      </c>
      <c r="B51" s="4" t="s">
        <v>49</v>
      </c>
      <c r="C51" s="5">
        <v>187378</v>
      </c>
      <c r="D51" s="4">
        <f t="shared" si="0"/>
        <v>1.1916111839442307E-3</v>
      </c>
      <c r="E51" s="8">
        <f t="shared" si="1"/>
        <v>138573.1235418593</v>
      </c>
      <c r="F51" s="8">
        <f t="shared" si="2"/>
        <v>325951.12354185933</v>
      </c>
      <c r="G51" s="3"/>
      <c r="H51" s="2"/>
    </row>
    <row r="52" spans="1:8" x14ac:dyDescent="0.2">
      <c r="A52" s="4">
        <v>2022</v>
      </c>
      <c r="B52" s="4" t="s">
        <v>50</v>
      </c>
      <c r="C52" s="5">
        <v>262531</v>
      </c>
      <c r="D52" s="4">
        <f t="shared" si="0"/>
        <v>1.6695389839365498E-3</v>
      </c>
      <c r="E52" s="8">
        <f t="shared" si="1"/>
        <v>194151.61169703948</v>
      </c>
      <c r="F52" s="8">
        <f t="shared" si="2"/>
        <v>456682.61169703945</v>
      </c>
      <c r="G52" s="3"/>
      <c r="H52" s="2"/>
    </row>
    <row r="53" spans="1:8" x14ac:dyDescent="0.2">
      <c r="A53" s="4">
        <v>2022</v>
      </c>
      <c r="B53" s="4" t="s">
        <v>51</v>
      </c>
      <c r="C53" s="5">
        <v>198853</v>
      </c>
      <c r="D53" s="4">
        <f t="shared" si="0"/>
        <v>1.2645852702070793E-3</v>
      </c>
      <c r="E53" s="8">
        <f t="shared" si="1"/>
        <v>147059.32038803567</v>
      </c>
      <c r="F53" s="8">
        <f t="shared" si="2"/>
        <v>345912.32038803567</v>
      </c>
      <c r="G53" s="3"/>
      <c r="H53" s="2"/>
    </row>
    <row r="54" spans="1:8" x14ac:dyDescent="0.2">
      <c r="A54" s="4">
        <v>2022</v>
      </c>
      <c r="B54" s="4" t="s">
        <v>52</v>
      </c>
      <c r="C54" s="5">
        <v>178360</v>
      </c>
      <c r="D54" s="4">
        <f t="shared" si="0"/>
        <v>1.1342621373282508E-3</v>
      </c>
      <c r="E54" s="8">
        <f t="shared" si="1"/>
        <v>131903.97119686424</v>
      </c>
      <c r="F54" s="8">
        <f t="shared" si="2"/>
        <v>310263.97119686427</v>
      </c>
      <c r="G54" s="3"/>
      <c r="H54" s="2"/>
    </row>
    <row r="55" spans="1:8" x14ac:dyDescent="0.2">
      <c r="A55" s="4">
        <v>2022</v>
      </c>
      <c r="B55" s="4" t="s">
        <v>53</v>
      </c>
      <c r="C55" s="5">
        <v>102528</v>
      </c>
      <c r="D55" s="4">
        <f t="shared" si="0"/>
        <v>6.5201630643636971E-4</v>
      </c>
      <c r="E55" s="8">
        <f t="shared" si="1"/>
        <v>75823.336840502889</v>
      </c>
      <c r="F55" s="8">
        <f t="shared" si="2"/>
        <v>178351.33684050289</v>
      </c>
      <c r="G55" s="3"/>
      <c r="H55" s="2"/>
    </row>
    <row r="56" spans="1:8" x14ac:dyDescent="0.2">
      <c r="A56" s="4">
        <v>2022</v>
      </c>
      <c r="B56" s="4" t="s">
        <v>54</v>
      </c>
      <c r="C56" s="5">
        <v>84663</v>
      </c>
      <c r="D56" s="4">
        <f t="shared" si="0"/>
        <v>5.3840567017617014E-4</v>
      </c>
      <c r="E56" s="8">
        <f t="shared" si="1"/>
        <v>62611.493123122433</v>
      </c>
      <c r="F56" s="8">
        <f t="shared" si="2"/>
        <v>147274.49312312243</v>
      </c>
      <c r="G56" s="3"/>
      <c r="H56" s="2"/>
    </row>
    <row r="57" spans="1:8" x14ac:dyDescent="0.2">
      <c r="A57" s="4">
        <v>2022</v>
      </c>
      <c r="B57" s="4" t="s">
        <v>55</v>
      </c>
      <c r="C57" s="5">
        <v>87805</v>
      </c>
      <c r="D57" s="4">
        <f t="shared" si="0"/>
        <v>5.5838689710757498E-4</v>
      </c>
      <c r="E57" s="8">
        <f t="shared" si="1"/>
        <v>64935.121052593997</v>
      </c>
      <c r="F57" s="8">
        <f t="shared" si="2"/>
        <v>152740.12105259398</v>
      </c>
      <c r="G57" s="3"/>
      <c r="H57" s="2"/>
    </row>
    <row r="58" spans="1:8" x14ac:dyDescent="0.2">
      <c r="A58" s="4">
        <v>2022</v>
      </c>
      <c r="B58" s="4" t="s">
        <v>56</v>
      </c>
      <c r="C58" s="5">
        <v>74145</v>
      </c>
      <c r="D58" s="4">
        <f t="shared" si="0"/>
        <v>4.7151752731668063E-4</v>
      </c>
      <c r="E58" s="8">
        <f t="shared" si="1"/>
        <v>54833.034000849395</v>
      </c>
      <c r="F58" s="8">
        <f t="shared" si="2"/>
        <v>128978.03400084939</v>
      </c>
      <c r="G58" s="3"/>
      <c r="H58" s="2"/>
    </row>
    <row r="59" spans="1:8" x14ac:dyDescent="0.2">
      <c r="A59" s="4">
        <v>2022</v>
      </c>
      <c r="B59" s="4" t="s">
        <v>57</v>
      </c>
      <c r="C59" s="5">
        <v>125218</v>
      </c>
      <c r="D59" s="4">
        <f t="shared" si="0"/>
        <v>7.9631103561319193E-4</v>
      </c>
      <c r="E59" s="8">
        <f t="shared" si="1"/>
        <v>92603.450691460777</v>
      </c>
      <c r="F59" s="8">
        <f t="shared" si="2"/>
        <v>217821.45069146078</v>
      </c>
      <c r="G59" s="3"/>
      <c r="H59" s="2"/>
    </row>
    <row r="61" spans="1:8" x14ac:dyDescent="0.2">
      <c r="B61" s="4" t="s">
        <v>61</v>
      </c>
      <c r="C61" s="5">
        <f>SUM(C2:C59)</f>
        <v>157247601</v>
      </c>
    </row>
    <row r="63" spans="1:8" x14ac:dyDescent="0.2">
      <c r="B63" s="4" t="s">
        <v>62</v>
      </c>
      <c r="C63" s="5">
        <v>157247601</v>
      </c>
    </row>
    <row r="65" spans="2:3" x14ac:dyDescent="0.2">
      <c r="B65" s="6" t="s">
        <v>63</v>
      </c>
      <c r="C65" s="7">
        <f>C61-C63</f>
        <v>0</v>
      </c>
    </row>
    <row r="67" spans="2:3" x14ac:dyDescent="0.2">
      <c r="B67" s="4" t="s">
        <v>64</v>
      </c>
      <c r="C67" s="5">
        <v>116290553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26558-A0B4-E74F-BA06-D8E4BC46F1C1}">
  <sheetPr>
    <tabColor rgb="FFFFFF00"/>
  </sheetPr>
  <dimension ref="A1:H64"/>
  <sheetViews>
    <sheetView workbookViewId="0">
      <selection activeCell="E2" sqref="E2:F56"/>
    </sheetView>
  </sheetViews>
  <sheetFormatPr baseColWidth="10" defaultRowHeight="16" x14ac:dyDescent="0.2"/>
  <cols>
    <col min="1" max="1" width="10.83203125" style="4"/>
    <col min="2" max="2" width="29.6640625" style="4" bestFit="1" customWidth="1"/>
    <col min="3" max="3" width="18.83203125" style="4" bestFit="1" customWidth="1"/>
    <col min="4" max="4" width="11.5" style="4" bestFit="1" customWidth="1"/>
    <col min="5" max="5" width="17.1640625" style="4" bestFit="1" customWidth="1"/>
    <col min="6" max="6" width="18.1640625" style="4" bestFit="1" customWidth="1"/>
  </cols>
  <sheetData>
    <row r="1" spans="1:8" x14ac:dyDescent="0.2">
      <c r="A1" s="4" t="s">
        <v>58</v>
      </c>
      <c r="B1" s="4" t="s">
        <v>59</v>
      </c>
      <c r="C1" s="4" t="s">
        <v>60</v>
      </c>
      <c r="D1" s="4" t="s">
        <v>65</v>
      </c>
      <c r="E1" s="4" t="s">
        <v>66</v>
      </c>
      <c r="F1" s="8" t="s">
        <v>67</v>
      </c>
    </row>
    <row r="2" spans="1:8" x14ac:dyDescent="0.2">
      <c r="A2" s="4">
        <v>2021</v>
      </c>
      <c r="B2" s="4" t="s">
        <v>0</v>
      </c>
      <c r="C2" s="5">
        <v>3874674</v>
      </c>
      <c r="D2" s="4">
        <f>C2/$C$58</f>
        <v>2.5513969480947214E-2</v>
      </c>
      <c r="E2" s="15">
        <f>D2*$C$64</f>
        <v>2873452.9215949276</v>
      </c>
      <c r="F2" s="15">
        <f>SUM(E2,C2)</f>
        <v>6748126.9215949271</v>
      </c>
      <c r="G2" s="10"/>
      <c r="H2" s="11"/>
    </row>
    <row r="3" spans="1:8" x14ac:dyDescent="0.2">
      <c r="A3" s="4">
        <v>2021</v>
      </c>
      <c r="B3" s="4" t="s">
        <v>1</v>
      </c>
      <c r="C3" s="5">
        <v>3584410</v>
      </c>
      <c r="D3" s="4">
        <f t="shared" ref="D3:D56" si="0">C3/$C$58</f>
        <v>2.3602637885716839E-2</v>
      </c>
      <c r="E3" s="15">
        <f t="shared" ref="E3:E56" si="1">D3*$C$64</f>
        <v>2658193.5374934962</v>
      </c>
      <c r="F3" s="15">
        <f t="shared" ref="F3:F56" si="2">SUM(E3,C3)</f>
        <v>6242603.5374934962</v>
      </c>
      <c r="G3" s="12"/>
      <c r="H3" s="11"/>
    </row>
    <row r="4" spans="1:8" x14ac:dyDescent="0.2">
      <c r="A4" s="4">
        <v>2021</v>
      </c>
      <c r="B4" s="4" t="s">
        <v>2</v>
      </c>
      <c r="C4" s="5">
        <v>2187060</v>
      </c>
      <c r="D4" s="4">
        <f t="shared" si="0"/>
        <v>1.4401361790179101E-2</v>
      </c>
      <c r="E4" s="15">
        <f t="shared" si="1"/>
        <v>1621920.6949290193</v>
      </c>
      <c r="F4" s="15">
        <f t="shared" si="2"/>
        <v>3808980.6949290195</v>
      </c>
      <c r="G4" s="12"/>
      <c r="H4" s="11"/>
    </row>
    <row r="5" spans="1:8" x14ac:dyDescent="0.2">
      <c r="A5" s="4">
        <v>2021</v>
      </c>
      <c r="B5" s="4" t="s">
        <v>3</v>
      </c>
      <c r="C5" s="5">
        <v>2754039</v>
      </c>
      <c r="D5" s="4">
        <f t="shared" si="0"/>
        <v>1.8134807469051172E-2</v>
      </c>
      <c r="E5" s="15">
        <f t="shared" si="1"/>
        <v>2042391.5433237411</v>
      </c>
      <c r="F5" s="15">
        <f t="shared" si="2"/>
        <v>4796430.5433237413</v>
      </c>
      <c r="G5" s="12"/>
      <c r="H5" s="11"/>
    </row>
    <row r="6" spans="1:8" x14ac:dyDescent="0.2">
      <c r="A6" s="4">
        <v>2021</v>
      </c>
      <c r="B6" s="4" t="s">
        <v>4</v>
      </c>
      <c r="C6" s="5">
        <v>3855109</v>
      </c>
      <c r="D6" s="4">
        <f t="shared" si="0"/>
        <v>2.5385137787520946E-2</v>
      </c>
      <c r="E6" s="15">
        <f t="shared" si="1"/>
        <v>2858943.5444419067</v>
      </c>
      <c r="F6" s="15">
        <f t="shared" si="2"/>
        <v>6714052.5444419067</v>
      </c>
      <c r="G6" s="12"/>
      <c r="H6" s="11"/>
    </row>
    <row r="7" spans="1:8" x14ac:dyDescent="0.2">
      <c r="A7" s="4">
        <v>2021</v>
      </c>
      <c r="B7" s="4" t="s">
        <v>5</v>
      </c>
      <c r="C7" s="5">
        <v>5228294</v>
      </c>
      <c r="D7" s="4">
        <f t="shared" si="0"/>
        <v>3.4427292090487983E-2</v>
      </c>
      <c r="E7" s="15">
        <f t="shared" si="1"/>
        <v>3877295.6561654559</v>
      </c>
      <c r="F7" s="15">
        <f t="shared" si="2"/>
        <v>9105589.6561654564</v>
      </c>
      <c r="G7" s="12"/>
      <c r="H7" s="11"/>
    </row>
    <row r="8" spans="1:8" x14ac:dyDescent="0.2">
      <c r="A8" s="4">
        <v>2021</v>
      </c>
      <c r="B8" s="4" t="s">
        <v>6</v>
      </c>
      <c r="C8" s="5">
        <v>12210068</v>
      </c>
      <c r="D8" s="4">
        <f t="shared" si="0"/>
        <v>8.0400906582667395E-2</v>
      </c>
      <c r="E8" s="15">
        <f t="shared" si="1"/>
        <v>9054969.6742158793</v>
      </c>
      <c r="F8" s="15">
        <f t="shared" si="2"/>
        <v>21265037.674215879</v>
      </c>
      <c r="G8" s="12"/>
      <c r="H8" s="11"/>
    </row>
    <row r="9" spans="1:8" x14ac:dyDescent="0.2">
      <c r="A9" s="4">
        <v>2021</v>
      </c>
      <c r="B9" s="4" t="s">
        <v>7</v>
      </c>
      <c r="C9" s="5">
        <v>4833646</v>
      </c>
      <c r="D9" s="4">
        <f t="shared" si="0"/>
        <v>3.1828612297628803E-2</v>
      </c>
      <c r="E9" s="15">
        <f t="shared" si="1"/>
        <v>3584625.2408991405</v>
      </c>
      <c r="F9" s="15">
        <f t="shared" si="2"/>
        <v>8418271.24089914</v>
      </c>
      <c r="G9" s="12"/>
      <c r="H9" s="11"/>
    </row>
    <row r="10" spans="1:8" x14ac:dyDescent="0.2">
      <c r="A10" s="4">
        <v>2021</v>
      </c>
      <c r="B10" s="4" t="s">
        <v>8</v>
      </c>
      <c r="C10" s="5">
        <v>2824167</v>
      </c>
      <c r="D10" s="4">
        <f t="shared" si="0"/>
        <v>1.859658661531222E-2</v>
      </c>
      <c r="E10" s="15">
        <f t="shared" si="1"/>
        <v>2094398.3718945086</v>
      </c>
      <c r="F10" s="15">
        <f t="shared" si="2"/>
        <v>4918565.3718945086</v>
      </c>
      <c r="G10" s="12"/>
      <c r="H10" s="11"/>
    </row>
    <row r="11" spans="1:8" x14ac:dyDescent="0.2">
      <c r="A11" s="4">
        <v>2021</v>
      </c>
      <c r="B11" s="4" t="s">
        <v>9</v>
      </c>
      <c r="C11" s="5">
        <v>5529672</v>
      </c>
      <c r="D11" s="4">
        <f t="shared" si="0"/>
        <v>3.6411807199172974E-2</v>
      </c>
      <c r="E11" s="15">
        <f t="shared" si="1"/>
        <v>4100797.1674163211</v>
      </c>
      <c r="F11" s="15">
        <f t="shared" si="2"/>
        <v>9630469.1674163211</v>
      </c>
      <c r="G11" s="12"/>
      <c r="H11" s="11"/>
    </row>
    <row r="12" spans="1:8" x14ac:dyDescent="0.2">
      <c r="A12" s="4">
        <v>2021</v>
      </c>
      <c r="B12" s="4" t="s">
        <v>10</v>
      </c>
      <c r="C12" s="5">
        <v>1969320</v>
      </c>
      <c r="D12" s="4">
        <f t="shared" si="0"/>
        <v>1.2967586531981521E-2</v>
      </c>
      <c r="E12" s="15">
        <f t="shared" si="1"/>
        <v>1460445.0097105778</v>
      </c>
      <c r="F12" s="15">
        <f t="shared" si="2"/>
        <v>3429765.0097105778</v>
      </c>
      <c r="G12" s="12"/>
      <c r="H12" s="11"/>
    </row>
    <row r="13" spans="1:8" x14ac:dyDescent="0.2">
      <c r="A13" s="4">
        <v>2021</v>
      </c>
      <c r="B13" s="4" t="s">
        <v>11</v>
      </c>
      <c r="C13" s="5">
        <v>234793</v>
      </c>
      <c r="D13" s="4">
        <f t="shared" si="0"/>
        <v>1.546065923569322E-3</v>
      </c>
      <c r="E13" s="15">
        <f t="shared" si="1"/>
        <v>174122.16661841431</v>
      </c>
      <c r="F13" s="15">
        <f t="shared" si="2"/>
        <v>408915.16661841434</v>
      </c>
      <c r="G13" s="12"/>
      <c r="H13" s="11"/>
    </row>
    <row r="14" spans="1:8" x14ac:dyDescent="0.2">
      <c r="A14" s="4">
        <v>2021</v>
      </c>
      <c r="B14" s="4" t="s">
        <v>12</v>
      </c>
      <c r="C14" s="5">
        <v>1596641</v>
      </c>
      <c r="D14" s="4">
        <f t="shared" si="0"/>
        <v>1.0513568301753656E-2</v>
      </c>
      <c r="E14" s="15">
        <f t="shared" si="1"/>
        <v>1184066.7746985289</v>
      </c>
      <c r="F14" s="15">
        <f t="shared" si="2"/>
        <v>2780707.7746985289</v>
      </c>
      <c r="G14" s="12"/>
      <c r="H14" s="11"/>
    </row>
    <row r="15" spans="1:8" x14ac:dyDescent="0.2">
      <c r="A15" s="4">
        <v>2021</v>
      </c>
      <c r="B15" s="4" t="s">
        <v>13</v>
      </c>
      <c r="C15" s="5">
        <v>604563</v>
      </c>
      <c r="D15" s="4">
        <f t="shared" si="0"/>
        <v>3.9809289584904154E-3</v>
      </c>
      <c r="E15" s="15">
        <f t="shared" si="1"/>
        <v>448343.09122217621</v>
      </c>
      <c r="F15" s="15">
        <f t="shared" si="2"/>
        <v>1052906.0912221763</v>
      </c>
      <c r="G15" s="12"/>
      <c r="H15" s="11"/>
    </row>
    <row r="16" spans="1:8" x14ac:dyDescent="0.2">
      <c r="A16" s="4">
        <v>2021</v>
      </c>
      <c r="B16" s="4" t="s">
        <v>14</v>
      </c>
      <c r="C16" s="5">
        <v>604735</v>
      </c>
      <c r="D16" s="4">
        <f t="shared" si="0"/>
        <v>3.9820615448062507E-3</v>
      </c>
      <c r="E16" s="15">
        <f t="shared" si="1"/>
        <v>448470.64618615882</v>
      </c>
      <c r="F16" s="15">
        <f t="shared" si="2"/>
        <v>1053205.6461861588</v>
      </c>
      <c r="G16" s="12"/>
      <c r="H16" s="11"/>
    </row>
    <row r="17" spans="1:8" x14ac:dyDescent="0.2">
      <c r="A17" s="4">
        <v>2021</v>
      </c>
      <c r="B17" s="4" t="s">
        <v>15</v>
      </c>
      <c r="C17" s="5">
        <v>3577433</v>
      </c>
      <c r="D17" s="4">
        <f t="shared" si="0"/>
        <v>2.3556695707079727E-2</v>
      </c>
      <c r="E17" s="15">
        <f t="shared" si="1"/>
        <v>2653019.403867295</v>
      </c>
      <c r="F17" s="15">
        <f t="shared" si="2"/>
        <v>6230452.403867295</v>
      </c>
      <c r="G17" s="12"/>
      <c r="H17" s="11"/>
    </row>
    <row r="18" spans="1:8" x14ac:dyDescent="0.2">
      <c r="A18" s="4">
        <v>2021</v>
      </c>
      <c r="B18" s="4" t="s">
        <v>16</v>
      </c>
      <c r="C18" s="5">
        <v>3852089</v>
      </c>
      <c r="D18" s="4">
        <f t="shared" si="0"/>
        <v>2.5365251678952209E-2</v>
      </c>
      <c r="E18" s="15">
        <f t="shared" si="1"/>
        <v>2856703.916585933</v>
      </c>
      <c r="F18" s="15">
        <f t="shared" si="2"/>
        <v>6708792.9165859334</v>
      </c>
      <c r="G18" s="12"/>
      <c r="H18" s="11"/>
    </row>
    <row r="19" spans="1:8" x14ac:dyDescent="0.2">
      <c r="A19" s="4">
        <v>2021</v>
      </c>
      <c r="B19" s="4" t="s">
        <v>17</v>
      </c>
      <c r="C19" s="5">
        <v>405230</v>
      </c>
      <c r="D19" s="4">
        <f t="shared" si="0"/>
        <v>2.6683601904997013E-3</v>
      </c>
      <c r="E19" s="15">
        <f t="shared" si="1"/>
        <v>300518.01194575662</v>
      </c>
      <c r="F19" s="15">
        <f t="shared" si="2"/>
        <v>705748.01194575662</v>
      </c>
      <c r="G19" s="12"/>
      <c r="H19" s="11"/>
    </row>
    <row r="20" spans="1:8" x14ac:dyDescent="0.2">
      <c r="A20" s="4">
        <v>2021</v>
      </c>
      <c r="B20" s="4" t="s">
        <v>18</v>
      </c>
      <c r="C20" s="5">
        <v>2590712</v>
      </c>
      <c r="D20" s="4">
        <f t="shared" si="0"/>
        <v>1.7059331159711429E-2</v>
      </c>
      <c r="E20" s="15">
        <f t="shared" si="1"/>
        <v>1921268.4642400984</v>
      </c>
      <c r="F20" s="15">
        <f t="shared" si="2"/>
        <v>4511980.4642400984</v>
      </c>
      <c r="G20" s="12"/>
      <c r="H20" s="11"/>
    </row>
    <row r="21" spans="1:8" x14ac:dyDescent="0.2">
      <c r="A21" s="4">
        <v>2021</v>
      </c>
      <c r="B21" s="4" t="s">
        <v>19</v>
      </c>
      <c r="C21" s="5">
        <v>1771424</v>
      </c>
      <c r="D21" s="4">
        <f t="shared" si="0"/>
        <v>1.1664480127571361E-2</v>
      </c>
      <c r="E21" s="15">
        <f t="shared" si="1"/>
        <v>1313685.607662315</v>
      </c>
      <c r="F21" s="15">
        <f t="shared" si="2"/>
        <v>3085109.607662315</v>
      </c>
      <c r="G21" s="12"/>
      <c r="H21" s="11"/>
    </row>
    <row r="22" spans="1:8" x14ac:dyDescent="0.2">
      <c r="A22" s="4">
        <v>2021</v>
      </c>
      <c r="B22" s="4" t="s">
        <v>20</v>
      </c>
      <c r="C22" s="5">
        <v>344201</v>
      </c>
      <c r="D22" s="4">
        <f t="shared" si="0"/>
        <v>2.2664961773071778E-3</v>
      </c>
      <c r="E22" s="15">
        <f t="shared" si="1"/>
        <v>255258.98928939461</v>
      </c>
      <c r="F22" s="15">
        <f t="shared" si="2"/>
        <v>599459.98928939458</v>
      </c>
      <c r="G22" s="12"/>
      <c r="H22" s="11"/>
    </row>
    <row r="23" spans="1:8" x14ac:dyDescent="0.2">
      <c r="A23" s="4">
        <v>2021</v>
      </c>
      <c r="B23" s="4" t="s">
        <v>21</v>
      </c>
      <c r="C23" s="5">
        <v>2678086</v>
      </c>
      <c r="D23" s="4">
        <f t="shared" si="0"/>
        <v>1.7634671838547451E-2</v>
      </c>
      <c r="E23" s="15">
        <f t="shared" si="1"/>
        <v>1986064.902746005</v>
      </c>
      <c r="F23" s="15">
        <f t="shared" si="2"/>
        <v>4664150.902746005</v>
      </c>
      <c r="G23" s="12"/>
      <c r="H23" s="11"/>
    </row>
    <row r="24" spans="1:8" x14ac:dyDescent="0.2">
      <c r="A24" s="4">
        <v>2021</v>
      </c>
      <c r="B24" s="4" t="s">
        <v>22</v>
      </c>
      <c r="C24" s="5">
        <v>4720939</v>
      </c>
      <c r="D24" s="4">
        <f t="shared" si="0"/>
        <v>3.1086458774961058E-2</v>
      </c>
      <c r="E24" s="15">
        <f t="shared" si="1"/>
        <v>3501041.8843550286</v>
      </c>
      <c r="F24" s="15">
        <f t="shared" si="2"/>
        <v>8221980.8843550291</v>
      </c>
      <c r="G24" s="12"/>
      <c r="H24" s="11"/>
    </row>
    <row r="25" spans="1:8" x14ac:dyDescent="0.2">
      <c r="A25" s="4">
        <v>2021</v>
      </c>
      <c r="B25" s="4" t="s">
        <v>23</v>
      </c>
      <c r="C25" s="5">
        <v>3679285</v>
      </c>
      <c r="D25" s="4">
        <f t="shared" si="0"/>
        <v>2.4227371180570771E-2</v>
      </c>
      <c r="E25" s="15">
        <f t="shared" si="1"/>
        <v>2728552.7073065746</v>
      </c>
      <c r="F25" s="15">
        <f t="shared" si="2"/>
        <v>6407837.707306575</v>
      </c>
      <c r="G25" s="12"/>
      <c r="H25" s="11"/>
    </row>
    <row r="26" spans="1:8" x14ac:dyDescent="0.2">
      <c r="A26" s="4">
        <v>2021</v>
      </c>
      <c r="B26" s="4" t="s">
        <v>24</v>
      </c>
      <c r="C26" s="5">
        <v>1843185</v>
      </c>
      <c r="D26" s="4">
        <f t="shared" si="0"/>
        <v>1.213701225902868E-2</v>
      </c>
      <c r="E26" s="15">
        <f t="shared" si="1"/>
        <v>1366903.4667922894</v>
      </c>
      <c r="F26" s="15">
        <f t="shared" si="2"/>
        <v>3210088.4667922892</v>
      </c>
      <c r="G26" s="12"/>
      <c r="H26" s="11"/>
    </row>
    <row r="27" spans="1:8" x14ac:dyDescent="0.2">
      <c r="A27" s="4">
        <v>2021</v>
      </c>
      <c r="B27" s="4" t="s">
        <v>25</v>
      </c>
      <c r="C27" s="5">
        <v>316831</v>
      </c>
      <c r="D27" s="4">
        <f t="shared" si="0"/>
        <v>2.0862700873978011E-3</v>
      </c>
      <c r="E27" s="15">
        <f t="shared" si="1"/>
        <v>234961.43484634903</v>
      </c>
      <c r="F27" s="15">
        <f t="shared" si="2"/>
        <v>551792.43484634906</v>
      </c>
      <c r="G27" s="12"/>
      <c r="H27" s="11"/>
    </row>
    <row r="28" spans="1:8" x14ac:dyDescent="0.2">
      <c r="A28" s="4">
        <v>2021</v>
      </c>
      <c r="B28" s="4" t="s">
        <v>26</v>
      </c>
      <c r="C28" s="5">
        <v>8340134</v>
      </c>
      <c r="D28" s="4">
        <f t="shared" si="0"/>
        <v>5.4918149073447269E-2</v>
      </c>
      <c r="E28" s="15">
        <f t="shared" si="1"/>
        <v>6185031.9301167512</v>
      </c>
      <c r="F28" s="15">
        <f t="shared" si="2"/>
        <v>14525165.93011675</v>
      </c>
      <c r="G28" s="12"/>
      <c r="H28" s="11"/>
    </row>
    <row r="29" spans="1:8" x14ac:dyDescent="0.2">
      <c r="A29" s="4">
        <v>2021</v>
      </c>
      <c r="B29" s="4" t="s">
        <v>27</v>
      </c>
      <c r="C29" s="5">
        <v>2679427</v>
      </c>
      <c r="D29" s="4">
        <f t="shared" si="0"/>
        <v>1.7643502060928469E-2</v>
      </c>
      <c r="E29" s="15">
        <f t="shared" si="1"/>
        <v>1987059.3865058925</v>
      </c>
      <c r="F29" s="15">
        <f t="shared" si="2"/>
        <v>4666486.3865058925</v>
      </c>
      <c r="G29" s="12"/>
      <c r="H29" s="11"/>
    </row>
    <row r="30" spans="1:8" x14ac:dyDescent="0.2">
      <c r="A30" s="4">
        <v>2021</v>
      </c>
      <c r="B30" s="4" t="s">
        <v>28</v>
      </c>
      <c r="C30" s="5">
        <v>23537246</v>
      </c>
      <c r="D30" s="4">
        <f t="shared" si="0"/>
        <v>0.1549881554188938</v>
      </c>
      <c r="E30" s="15">
        <f t="shared" si="1"/>
        <v>17455189.335928269</v>
      </c>
      <c r="F30" s="15">
        <f t="shared" si="2"/>
        <v>40992435.335928269</v>
      </c>
      <c r="G30" s="12"/>
      <c r="H30" s="11"/>
    </row>
    <row r="31" spans="1:8" x14ac:dyDescent="0.2">
      <c r="A31" s="4">
        <v>2021</v>
      </c>
      <c r="B31" s="4" t="s">
        <v>29</v>
      </c>
      <c r="C31" s="5">
        <v>1658990</v>
      </c>
      <c r="D31" s="4">
        <f t="shared" si="0"/>
        <v>1.0924124256439799E-2</v>
      </c>
      <c r="E31" s="15">
        <f t="shared" si="1"/>
        <v>1230304.7075435945</v>
      </c>
      <c r="F31" s="15">
        <f t="shared" si="2"/>
        <v>2889294.7075435948</v>
      </c>
      <c r="G31" s="12"/>
      <c r="H31" s="11"/>
    </row>
    <row r="32" spans="1:8" x14ac:dyDescent="0.2">
      <c r="A32" s="4">
        <v>2021</v>
      </c>
      <c r="B32" s="4" t="s">
        <v>30</v>
      </c>
      <c r="C32" s="5">
        <v>2725023</v>
      </c>
      <c r="D32" s="4">
        <f t="shared" si="0"/>
        <v>1.794374279149142E-2</v>
      </c>
      <c r="E32" s="15">
        <f t="shared" si="1"/>
        <v>2020873.3175393273</v>
      </c>
      <c r="F32" s="15">
        <f t="shared" si="2"/>
        <v>4745896.3175393268</v>
      </c>
      <c r="G32" s="12"/>
      <c r="H32" s="11"/>
    </row>
    <row r="33" spans="1:8" x14ac:dyDescent="0.2">
      <c r="A33" s="4">
        <v>2021</v>
      </c>
      <c r="B33" s="4" t="s">
        <v>31</v>
      </c>
      <c r="C33" s="5">
        <v>3976350</v>
      </c>
      <c r="D33" s="4">
        <f t="shared" si="0"/>
        <v>2.6183486028905776E-2</v>
      </c>
      <c r="E33" s="15">
        <f t="shared" si="1"/>
        <v>2948855.7036757134</v>
      </c>
      <c r="F33" s="15">
        <f t="shared" si="2"/>
        <v>6925205.7036757134</v>
      </c>
      <c r="G33" s="12"/>
      <c r="H33" s="11"/>
    </row>
    <row r="34" spans="1:8" x14ac:dyDescent="0.2">
      <c r="A34" s="4">
        <v>2021</v>
      </c>
      <c r="B34" s="4" t="s">
        <v>32</v>
      </c>
      <c r="C34" s="5">
        <v>1992949</v>
      </c>
      <c r="D34" s="4">
        <f t="shared" si="0"/>
        <v>1.312317886952148E-2</v>
      </c>
      <c r="E34" s="15">
        <f t="shared" si="1"/>
        <v>1477968.2436870018</v>
      </c>
      <c r="F34" s="15">
        <f t="shared" si="2"/>
        <v>3470917.243687002</v>
      </c>
      <c r="G34" s="12"/>
      <c r="H34" s="11"/>
    </row>
    <row r="35" spans="1:8" x14ac:dyDescent="0.2">
      <c r="A35" s="4">
        <v>2021</v>
      </c>
      <c r="B35" s="4" t="s">
        <v>33</v>
      </c>
      <c r="C35" s="5">
        <v>102726</v>
      </c>
      <c r="D35" s="4">
        <f t="shared" si="0"/>
        <v>6.7643059232848585E-4</v>
      </c>
      <c r="E35" s="15">
        <f t="shared" si="1"/>
        <v>76181.460639981728</v>
      </c>
      <c r="F35" s="15">
        <f t="shared" si="2"/>
        <v>178907.46063998173</v>
      </c>
      <c r="G35" s="12"/>
      <c r="H35" s="11"/>
    </row>
    <row r="36" spans="1:8" x14ac:dyDescent="0.2">
      <c r="A36" s="4">
        <v>2021</v>
      </c>
      <c r="B36" s="4" t="s">
        <v>34</v>
      </c>
      <c r="C36" s="5">
        <v>11560087</v>
      </c>
      <c r="D36" s="4">
        <f t="shared" si="0"/>
        <v>7.6120908988754829E-2</v>
      </c>
      <c r="E36" s="15">
        <f t="shared" si="1"/>
        <v>8572944.6565160174</v>
      </c>
      <c r="F36" s="15">
        <f t="shared" si="2"/>
        <v>20133031.656516016</v>
      </c>
      <c r="G36" s="12"/>
      <c r="H36" s="11"/>
    </row>
    <row r="37" spans="1:8" x14ac:dyDescent="0.2">
      <c r="A37" s="4">
        <v>2021</v>
      </c>
      <c r="B37" s="4" t="s">
        <v>35</v>
      </c>
      <c r="C37" s="5">
        <v>214775</v>
      </c>
      <c r="D37" s="4">
        <f t="shared" si="0"/>
        <v>1.4142513138577434E-3</v>
      </c>
      <c r="E37" s="15">
        <f t="shared" si="1"/>
        <v>159276.84528699721</v>
      </c>
      <c r="F37" s="15">
        <f t="shared" si="2"/>
        <v>374051.84528699721</v>
      </c>
      <c r="G37" s="12"/>
      <c r="H37" s="11"/>
    </row>
    <row r="38" spans="1:8" x14ac:dyDescent="0.2">
      <c r="A38" s="4">
        <v>2021</v>
      </c>
      <c r="B38" s="4" t="s">
        <v>36</v>
      </c>
      <c r="C38" s="5">
        <v>3957311</v>
      </c>
      <c r="D38" s="4">
        <f t="shared" si="0"/>
        <v>2.6058117942468633E-2</v>
      </c>
      <c r="E38" s="15">
        <f t="shared" si="1"/>
        <v>2934736.4074009182</v>
      </c>
      <c r="F38" s="15">
        <f t="shared" si="2"/>
        <v>6892047.4074009182</v>
      </c>
      <c r="G38" s="12"/>
      <c r="H38" s="11"/>
    </row>
    <row r="39" spans="1:8" x14ac:dyDescent="0.2">
      <c r="A39" s="4">
        <v>2021</v>
      </c>
      <c r="B39" s="4" t="s">
        <v>37</v>
      </c>
      <c r="C39" s="5">
        <v>3515166</v>
      </c>
      <c r="D39" s="4">
        <f t="shared" si="0"/>
        <v>2.3146679706334855E-2</v>
      </c>
      <c r="E39" s="15">
        <f t="shared" si="1"/>
        <v>2606842.2821097095</v>
      </c>
      <c r="F39" s="15">
        <f t="shared" si="2"/>
        <v>6122008.2821097095</v>
      </c>
      <c r="G39" s="12"/>
      <c r="H39" s="11"/>
    </row>
    <row r="40" spans="1:8" x14ac:dyDescent="0.2">
      <c r="A40" s="4">
        <v>2021</v>
      </c>
      <c r="B40" s="4" t="s">
        <v>38</v>
      </c>
      <c r="C40" s="5">
        <v>5617017</v>
      </c>
      <c r="D40" s="4">
        <f t="shared" si="0"/>
        <v>3.69869569186883E-2</v>
      </c>
      <c r="E40" s="15">
        <f t="shared" si="1"/>
        <v>4165572.0995620214</v>
      </c>
      <c r="F40" s="15">
        <f t="shared" si="2"/>
        <v>9782589.099562021</v>
      </c>
      <c r="G40" s="12"/>
      <c r="H40" s="11"/>
    </row>
    <row r="41" spans="1:8" x14ac:dyDescent="0.2">
      <c r="A41" s="4">
        <v>2021</v>
      </c>
      <c r="B41" s="4" t="s">
        <v>39</v>
      </c>
      <c r="C41" s="5">
        <v>500191</v>
      </c>
      <c r="D41" s="4">
        <f t="shared" si="0"/>
        <v>3.2936597785115517E-3</v>
      </c>
      <c r="E41" s="15">
        <f t="shared" si="1"/>
        <v>370940.95924082608</v>
      </c>
      <c r="F41" s="15">
        <f t="shared" si="2"/>
        <v>871131.95924082608</v>
      </c>
      <c r="G41" s="12"/>
      <c r="H41" s="11"/>
    </row>
    <row r="42" spans="1:8" x14ac:dyDescent="0.2">
      <c r="A42" s="4">
        <v>2021</v>
      </c>
      <c r="B42" s="4" t="s">
        <v>40</v>
      </c>
      <c r="C42" s="5">
        <v>759675</v>
      </c>
      <c r="D42" s="4">
        <f t="shared" si="0"/>
        <v>5.0023111016406991E-3</v>
      </c>
      <c r="E42" s="15">
        <f t="shared" si="1"/>
        <v>563373.93757839408</v>
      </c>
      <c r="F42" s="15">
        <f t="shared" si="2"/>
        <v>1323048.9375783941</v>
      </c>
      <c r="G42" s="12"/>
      <c r="H42" s="11"/>
    </row>
    <row r="43" spans="1:8" x14ac:dyDescent="0.2">
      <c r="A43" s="4">
        <v>2021</v>
      </c>
      <c r="B43" s="4" t="s">
        <v>41</v>
      </c>
      <c r="C43" s="5">
        <v>206375</v>
      </c>
      <c r="D43" s="4">
        <f t="shared" si="0"/>
        <v>1.3589389588983438E-3</v>
      </c>
      <c r="E43" s="15">
        <f t="shared" si="1"/>
        <v>153047.41681342822</v>
      </c>
      <c r="F43" s="15">
        <f t="shared" si="2"/>
        <v>359422.41681342822</v>
      </c>
      <c r="G43" s="12"/>
      <c r="H43" s="11"/>
    </row>
    <row r="44" spans="1:8" x14ac:dyDescent="0.2">
      <c r="A44" s="4">
        <v>2021</v>
      </c>
      <c r="B44" s="4" t="s">
        <v>42</v>
      </c>
      <c r="C44" s="5">
        <v>304828</v>
      </c>
      <c r="D44" s="4">
        <f t="shared" si="0"/>
        <v>2.0072326830433162E-3</v>
      </c>
      <c r="E44" s="15">
        <f t="shared" si="1"/>
        <v>226060.02651679565</v>
      </c>
      <c r="F44" s="15">
        <f t="shared" si="2"/>
        <v>530888.02651679562</v>
      </c>
      <c r="G44" s="12"/>
      <c r="H44" s="11"/>
    </row>
    <row r="45" spans="1:8" x14ac:dyDescent="0.2">
      <c r="A45" s="4">
        <v>2021</v>
      </c>
      <c r="B45" s="4" t="s">
        <v>43</v>
      </c>
      <c r="C45" s="5">
        <v>194193</v>
      </c>
      <c r="D45" s="4">
        <f t="shared" si="0"/>
        <v>1.2787228745988909E-3</v>
      </c>
      <c r="E45" s="15">
        <f t="shared" si="1"/>
        <v>144013.26232949761</v>
      </c>
      <c r="F45" s="15">
        <f t="shared" si="2"/>
        <v>338206.26232949761</v>
      </c>
      <c r="G45" s="12"/>
      <c r="H45" s="11"/>
    </row>
    <row r="46" spans="1:8" x14ac:dyDescent="0.2">
      <c r="A46" s="4">
        <v>2021</v>
      </c>
      <c r="B46" s="4" t="s">
        <v>44</v>
      </c>
      <c r="C46" s="5">
        <v>275410</v>
      </c>
      <c r="D46" s="4">
        <f t="shared" si="0"/>
        <v>1.8135209142105045E-3</v>
      </c>
      <c r="E46" s="15">
        <f t="shared" si="1"/>
        <v>204243.67808400374</v>
      </c>
      <c r="F46" s="15">
        <f t="shared" si="2"/>
        <v>479653.67808400374</v>
      </c>
      <c r="G46" s="12"/>
      <c r="H46" s="11"/>
    </row>
    <row r="47" spans="1:8" x14ac:dyDescent="0.2">
      <c r="A47" s="4">
        <v>2021</v>
      </c>
      <c r="B47" s="4" t="s">
        <v>45</v>
      </c>
      <c r="C47" s="5">
        <v>363791</v>
      </c>
      <c r="D47" s="4">
        <f t="shared" si="0"/>
        <v>2.3954924908374921E-3</v>
      </c>
      <c r="E47" s="15">
        <f t="shared" si="1"/>
        <v>269786.90640811087</v>
      </c>
      <c r="F47" s="15">
        <f t="shared" si="2"/>
        <v>633577.90640811087</v>
      </c>
      <c r="G47" s="12"/>
      <c r="H47" s="11"/>
    </row>
    <row r="48" spans="1:8" x14ac:dyDescent="0.2">
      <c r="A48" s="4">
        <v>2021</v>
      </c>
      <c r="B48" s="4" t="s">
        <v>46</v>
      </c>
      <c r="C48" s="5">
        <v>488170</v>
      </c>
      <c r="D48" s="4">
        <f t="shared" si="0"/>
        <v>3.2145038476821537E-3</v>
      </c>
      <c r="E48" s="15">
        <f t="shared" si="1"/>
        <v>362026.20213597215</v>
      </c>
      <c r="F48" s="15">
        <f t="shared" si="2"/>
        <v>850196.20213597221</v>
      </c>
      <c r="G48" s="12"/>
      <c r="H48" s="11"/>
    </row>
    <row r="49" spans="1:8" x14ac:dyDescent="0.2">
      <c r="A49" s="4">
        <v>2021</v>
      </c>
      <c r="B49" s="4" t="s">
        <v>47</v>
      </c>
      <c r="C49" s="5">
        <v>195876</v>
      </c>
      <c r="D49" s="4">
        <f t="shared" si="0"/>
        <v>1.2898051000032561E-3</v>
      </c>
      <c r="E49" s="15">
        <f t="shared" si="1"/>
        <v>145261.37282009481</v>
      </c>
      <c r="F49" s="15">
        <f t="shared" si="2"/>
        <v>341137.37282009481</v>
      </c>
      <c r="G49" s="12"/>
      <c r="H49" s="11"/>
    </row>
    <row r="50" spans="1:8" x14ac:dyDescent="0.2">
      <c r="A50" s="4">
        <v>2021</v>
      </c>
      <c r="B50" s="4" t="s">
        <v>48</v>
      </c>
      <c r="C50" s="5">
        <v>164880</v>
      </c>
      <c r="D50" s="4">
        <f t="shared" si="0"/>
        <v>1.0857025102030717E-3</v>
      </c>
      <c r="E50" s="15">
        <f t="shared" si="1"/>
        <v>122274.78175262529</v>
      </c>
      <c r="F50" s="15">
        <f t="shared" si="2"/>
        <v>287154.78175262531</v>
      </c>
      <c r="G50" s="12"/>
      <c r="H50" s="11"/>
    </row>
    <row r="51" spans="1:8" x14ac:dyDescent="0.2">
      <c r="A51" s="4">
        <v>2021</v>
      </c>
      <c r="B51" s="4" t="s">
        <v>49</v>
      </c>
      <c r="C51" s="5">
        <v>166969</v>
      </c>
      <c r="D51" s="4">
        <f t="shared" si="0"/>
        <v>1.0994581660971415E-3</v>
      </c>
      <c r="E51" s="15">
        <f t="shared" si="1"/>
        <v>123823.98128611168</v>
      </c>
      <c r="F51" s="15">
        <f t="shared" si="2"/>
        <v>290792.9812861117</v>
      </c>
      <c r="G51" s="12"/>
      <c r="H51" s="11"/>
    </row>
    <row r="52" spans="1:8" x14ac:dyDescent="0.2">
      <c r="A52" s="4">
        <v>2021</v>
      </c>
      <c r="B52" s="4" t="s">
        <v>50</v>
      </c>
      <c r="C52" s="5">
        <v>222715</v>
      </c>
      <c r="D52" s="4">
        <f t="shared" si="0"/>
        <v>1.4665346589026996E-3</v>
      </c>
      <c r="E52" s="15">
        <f t="shared" si="1"/>
        <v>165165.13839177549</v>
      </c>
      <c r="F52" s="15">
        <f t="shared" si="2"/>
        <v>387880.13839177549</v>
      </c>
      <c r="G52" s="12"/>
      <c r="H52" s="11"/>
    </row>
    <row r="53" spans="1:8" x14ac:dyDescent="0.2">
      <c r="A53" s="4">
        <v>2021</v>
      </c>
      <c r="B53" s="4" t="s">
        <v>51</v>
      </c>
      <c r="C53" s="5">
        <v>168205</v>
      </c>
      <c r="D53" s="4">
        <f t="shared" si="0"/>
        <v>1.1075969840411673E-3</v>
      </c>
      <c r="E53" s="15">
        <f t="shared" si="1"/>
        <v>124740.59719007969</v>
      </c>
      <c r="F53" s="15">
        <f t="shared" si="2"/>
        <v>292945.59719007969</v>
      </c>
      <c r="G53" s="12"/>
      <c r="H53" s="11"/>
    </row>
    <row r="54" spans="1:8" x14ac:dyDescent="0.2">
      <c r="A54" s="4">
        <v>2021</v>
      </c>
      <c r="B54" s="4" t="s">
        <v>52</v>
      </c>
      <c r="C54" s="5">
        <v>139301</v>
      </c>
      <c r="D54" s="4">
        <f t="shared" si="0"/>
        <v>9.1726980454753815E-4</v>
      </c>
      <c r="E54" s="15">
        <f t="shared" si="1"/>
        <v>103305.43045197996</v>
      </c>
      <c r="F54" s="15">
        <f t="shared" si="2"/>
        <v>242606.43045197998</v>
      </c>
      <c r="G54" s="12"/>
      <c r="H54" s="11"/>
    </row>
    <row r="55" spans="1:8" x14ac:dyDescent="0.2">
      <c r="A55" s="4">
        <v>2021</v>
      </c>
      <c r="B55" s="4" t="s">
        <v>53</v>
      </c>
      <c r="C55" s="5">
        <v>93182</v>
      </c>
      <c r="D55" s="4">
        <f t="shared" si="0"/>
        <v>6.1358522140794898E-4</v>
      </c>
      <c r="E55" s="15">
        <f t="shared" si="1"/>
        <v>69103.643336202877</v>
      </c>
      <c r="F55" s="15">
        <f t="shared" si="2"/>
        <v>162285.64333620289</v>
      </c>
      <c r="G55" s="12"/>
      <c r="H55" s="11"/>
    </row>
    <row r="56" spans="1:8" x14ac:dyDescent="0.2">
      <c r="A56" s="4">
        <v>2021</v>
      </c>
      <c r="B56" s="4" t="s">
        <v>54</v>
      </c>
      <c r="C56" s="5">
        <v>73237</v>
      </c>
      <c r="D56" s="4">
        <f t="shared" si="0"/>
        <v>4.8225130240018416E-4</v>
      </c>
      <c r="E56" s="15">
        <f t="shared" si="1"/>
        <v>54312.458704615594</v>
      </c>
      <c r="F56" s="15">
        <f t="shared" si="2"/>
        <v>127549.45870461559</v>
      </c>
      <c r="G56" s="12"/>
      <c r="H56" s="11"/>
    </row>
    <row r="58" spans="1:8" x14ac:dyDescent="0.2">
      <c r="B58" s="4" t="s">
        <v>61</v>
      </c>
      <c r="C58" s="5">
        <f>SUM(C2:C56)</f>
        <v>151864805</v>
      </c>
    </row>
    <row r="60" spans="1:8" x14ac:dyDescent="0.2">
      <c r="B60" s="4" t="s">
        <v>62</v>
      </c>
      <c r="C60" s="5">
        <v>151864806</v>
      </c>
    </row>
    <row r="62" spans="1:8" x14ac:dyDescent="0.2">
      <c r="B62" s="6" t="s">
        <v>63</v>
      </c>
      <c r="C62" s="7">
        <f>C58-C60</f>
        <v>-1</v>
      </c>
    </row>
    <row r="64" spans="1:8" x14ac:dyDescent="0.2">
      <c r="B64" s="4" t="s">
        <v>64</v>
      </c>
      <c r="C64" s="8">
        <v>112622731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2DBA6-F656-784A-B40A-55D4892003CD}">
  <sheetPr>
    <tabColor rgb="FFFFFF00"/>
  </sheetPr>
  <dimension ref="A1:H64"/>
  <sheetViews>
    <sheetView workbookViewId="0">
      <selection activeCell="E2" sqref="E2:F56"/>
    </sheetView>
  </sheetViews>
  <sheetFormatPr baseColWidth="10" defaultRowHeight="16" x14ac:dyDescent="0.2"/>
  <cols>
    <col min="2" max="2" width="31.5" style="4" bestFit="1" customWidth="1"/>
    <col min="3" max="3" width="18.83203125" style="4" bestFit="1" customWidth="1"/>
    <col min="4" max="4" width="12.1640625" style="13" bestFit="1" customWidth="1"/>
    <col min="5" max="5" width="17.1640625" bestFit="1" customWidth="1"/>
    <col min="6" max="6" width="18.1640625" bestFit="1" customWidth="1"/>
  </cols>
  <sheetData>
    <row r="1" spans="1:8" x14ac:dyDescent="0.2">
      <c r="A1" t="s">
        <v>58</v>
      </c>
      <c r="B1" s="4" t="s">
        <v>59</v>
      </c>
      <c r="C1" s="4" t="s">
        <v>60</v>
      </c>
      <c r="D1" s="4" t="s">
        <v>65</v>
      </c>
      <c r="E1" s="4" t="s">
        <v>66</v>
      </c>
      <c r="F1" s="8" t="s">
        <v>67</v>
      </c>
    </row>
    <row r="2" spans="1:8" x14ac:dyDescent="0.2">
      <c r="A2">
        <v>2020</v>
      </c>
      <c r="B2" s="4" t="s">
        <v>0</v>
      </c>
      <c r="C2" s="5">
        <v>3439066</v>
      </c>
      <c r="D2" s="4">
        <f>C2/$C$58</f>
        <v>2.5199813687628341E-2</v>
      </c>
      <c r="E2" s="5">
        <f>D2*$C$64</f>
        <v>2576397.376056571</v>
      </c>
      <c r="F2" s="5">
        <f>SUM(C2,E2)</f>
        <v>6015463.3760565706</v>
      </c>
      <c r="G2" s="16"/>
      <c r="H2" s="17"/>
    </row>
    <row r="3" spans="1:8" x14ac:dyDescent="0.2">
      <c r="A3">
        <v>2020</v>
      </c>
      <c r="B3" s="4" t="s">
        <v>1</v>
      </c>
      <c r="C3" s="5">
        <v>3243168</v>
      </c>
      <c r="D3" s="4">
        <f t="shared" ref="D3:D56" si="0">C3/$C$58</f>
        <v>2.3764367813144102E-2</v>
      </c>
      <c r="E3" s="5">
        <f t="shared" ref="E3:E56" si="1">D3*$C$64</f>
        <v>2429639.1884629834</v>
      </c>
      <c r="F3" s="5">
        <f t="shared" ref="F3:F56" si="2">SUM(C3,E3)</f>
        <v>5672807.1884629838</v>
      </c>
      <c r="G3" s="18"/>
      <c r="H3" s="17"/>
    </row>
    <row r="4" spans="1:8" x14ac:dyDescent="0.2">
      <c r="A4">
        <v>2020</v>
      </c>
      <c r="B4" s="4" t="s">
        <v>2</v>
      </c>
      <c r="C4" s="5">
        <v>2064970</v>
      </c>
      <c r="D4" s="4">
        <f t="shared" si="0"/>
        <v>1.5131102244197087E-2</v>
      </c>
      <c r="E4" s="5">
        <f t="shared" si="1"/>
        <v>1546984.9341755982</v>
      </c>
      <c r="F4" s="5">
        <f t="shared" si="2"/>
        <v>3611954.9341755984</v>
      </c>
      <c r="G4" s="18"/>
      <c r="H4" s="17"/>
    </row>
    <row r="5" spans="1:8" x14ac:dyDescent="0.2">
      <c r="A5">
        <v>2020</v>
      </c>
      <c r="B5" s="4" t="s">
        <v>3</v>
      </c>
      <c r="C5" s="5">
        <v>2431160</v>
      </c>
      <c r="D5" s="4">
        <f t="shared" si="0"/>
        <v>1.7814365599501295E-2</v>
      </c>
      <c r="E5" s="5">
        <f t="shared" si="1"/>
        <v>1821318.4174929161</v>
      </c>
      <c r="F5" s="5">
        <f t="shared" si="2"/>
        <v>4252478.4174929159</v>
      </c>
      <c r="G5" s="18"/>
      <c r="H5" s="17"/>
    </row>
    <row r="6" spans="1:8" x14ac:dyDescent="0.2">
      <c r="A6">
        <v>2020</v>
      </c>
      <c r="B6" s="4" t="s">
        <v>4</v>
      </c>
      <c r="C6" s="5">
        <v>3449200</v>
      </c>
      <c r="D6" s="4">
        <f t="shared" si="0"/>
        <v>2.5274070742279352E-2</v>
      </c>
      <c r="E6" s="5">
        <f t="shared" si="1"/>
        <v>2583989.3242800008</v>
      </c>
      <c r="F6" s="5">
        <f t="shared" si="2"/>
        <v>6033189.3242800012</v>
      </c>
      <c r="G6" s="18"/>
      <c r="H6" s="17"/>
    </row>
    <row r="7" spans="1:8" x14ac:dyDescent="0.2">
      <c r="A7">
        <v>2020</v>
      </c>
      <c r="B7" s="4" t="s">
        <v>5</v>
      </c>
      <c r="C7" s="5">
        <v>4789798</v>
      </c>
      <c r="D7" s="4">
        <f t="shared" si="0"/>
        <v>3.5097325029928142E-2</v>
      </c>
      <c r="E7" s="5">
        <f t="shared" si="1"/>
        <v>3588306.5341115906</v>
      </c>
      <c r="F7" s="5">
        <f t="shared" si="2"/>
        <v>8378104.5341115911</v>
      </c>
      <c r="G7" s="18"/>
      <c r="H7" s="17"/>
    </row>
    <row r="8" spans="1:8" x14ac:dyDescent="0.2">
      <c r="A8">
        <v>2020</v>
      </c>
      <c r="B8" s="4" t="s">
        <v>6</v>
      </c>
      <c r="C8" s="5">
        <v>10773215</v>
      </c>
      <c r="D8" s="4">
        <f t="shared" si="0"/>
        <v>7.8940913264462786E-2</v>
      </c>
      <c r="E8" s="5">
        <f t="shared" si="1"/>
        <v>8070820.0591943553</v>
      </c>
      <c r="F8" s="5">
        <f t="shared" si="2"/>
        <v>18844035.059194356</v>
      </c>
      <c r="G8" s="18"/>
      <c r="H8" s="17"/>
    </row>
    <row r="9" spans="1:8" x14ac:dyDescent="0.2">
      <c r="A9">
        <v>2020</v>
      </c>
      <c r="B9" s="4" t="s">
        <v>7</v>
      </c>
      <c r="C9" s="5">
        <v>4341190</v>
      </c>
      <c r="D9" s="4">
        <f t="shared" si="0"/>
        <v>3.1810142399882786E-2</v>
      </c>
      <c r="E9" s="5">
        <f t="shared" si="1"/>
        <v>3252229.1008555889</v>
      </c>
      <c r="F9" s="5">
        <f t="shared" si="2"/>
        <v>7593419.1008555889</v>
      </c>
      <c r="G9" s="18"/>
      <c r="H9" s="17"/>
    </row>
    <row r="10" spans="1:8" x14ac:dyDescent="0.2">
      <c r="A10">
        <v>2020</v>
      </c>
      <c r="B10" s="4" t="s">
        <v>8</v>
      </c>
      <c r="C10" s="5">
        <v>2560332</v>
      </c>
      <c r="D10" s="4">
        <f t="shared" si="0"/>
        <v>1.8760875591940618E-2</v>
      </c>
      <c r="E10" s="5">
        <f t="shared" si="1"/>
        <v>1918088.4131428921</v>
      </c>
      <c r="F10" s="5">
        <f t="shared" si="2"/>
        <v>4478420.4131428916</v>
      </c>
      <c r="G10" s="18"/>
      <c r="H10" s="17"/>
    </row>
    <row r="11" spans="1:8" x14ac:dyDescent="0.2">
      <c r="A11">
        <v>2020</v>
      </c>
      <c r="B11" s="4" t="s">
        <v>9</v>
      </c>
      <c r="C11" s="5">
        <v>5042374</v>
      </c>
      <c r="D11" s="4">
        <f t="shared" si="0"/>
        <v>3.6948079898246E-2</v>
      </c>
      <c r="E11" s="5">
        <f t="shared" si="1"/>
        <v>3777525.3928525588</v>
      </c>
      <c r="F11" s="5">
        <f t="shared" si="2"/>
        <v>8819899.3928525597</v>
      </c>
      <c r="G11" s="18"/>
      <c r="H11" s="17"/>
    </row>
    <row r="12" spans="1:8" x14ac:dyDescent="0.2">
      <c r="A12">
        <v>2020</v>
      </c>
      <c r="B12" s="4" t="s">
        <v>10</v>
      </c>
      <c r="C12" s="5">
        <v>1826493</v>
      </c>
      <c r="D12" s="4">
        <f t="shared" si="0"/>
        <v>1.3383658034407411E-2</v>
      </c>
      <c r="E12" s="5">
        <f t="shared" si="1"/>
        <v>1368328.4277142966</v>
      </c>
      <c r="F12" s="5">
        <f t="shared" si="2"/>
        <v>3194821.4277142966</v>
      </c>
      <c r="G12" s="18"/>
      <c r="H12" s="17"/>
    </row>
    <row r="13" spans="1:8" x14ac:dyDescent="0.2">
      <c r="A13">
        <v>2020</v>
      </c>
      <c r="B13" s="4" t="s">
        <v>11</v>
      </c>
      <c r="C13" s="5">
        <v>239871</v>
      </c>
      <c r="D13" s="4">
        <f t="shared" si="0"/>
        <v>1.7576587681263163E-3</v>
      </c>
      <c r="E13" s="5">
        <f t="shared" si="1"/>
        <v>179700.83010679812</v>
      </c>
      <c r="F13" s="5">
        <f t="shared" si="2"/>
        <v>419571.83010679809</v>
      </c>
      <c r="G13" s="18"/>
      <c r="H13" s="17"/>
    </row>
    <row r="14" spans="1:8" x14ac:dyDescent="0.2">
      <c r="A14">
        <v>2020</v>
      </c>
      <c r="B14" s="4" t="s">
        <v>12</v>
      </c>
      <c r="C14" s="5">
        <v>1305738</v>
      </c>
      <c r="D14" s="4">
        <f t="shared" si="0"/>
        <v>9.5678170540653938E-3</v>
      </c>
      <c r="E14" s="5">
        <f t="shared" si="1"/>
        <v>978201.62713287713</v>
      </c>
      <c r="F14" s="5">
        <f t="shared" si="2"/>
        <v>2283939.6271328772</v>
      </c>
      <c r="G14" s="18"/>
      <c r="H14" s="17"/>
    </row>
    <row r="15" spans="1:8" x14ac:dyDescent="0.2">
      <c r="A15">
        <v>2020</v>
      </c>
      <c r="B15" s="4" t="s">
        <v>13</v>
      </c>
      <c r="C15" s="5">
        <v>547567</v>
      </c>
      <c r="D15" s="4">
        <f t="shared" si="0"/>
        <v>4.0123063591956621E-3</v>
      </c>
      <c r="E15" s="5">
        <f t="shared" si="1"/>
        <v>410213.17474429641</v>
      </c>
      <c r="F15" s="5">
        <f t="shared" si="2"/>
        <v>957780.17474429635</v>
      </c>
      <c r="G15" s="18"/>
      <c r="H15" s="17"/>
    </row>
    <row r="16" spans="1:8" x14ac:dyDescent="0.2">
      <c r="A16">
        <v>2020</v>
      </c>
      <c r="B16" s="4" t="s">
        <v>14</v>
      </c>
      <c r="C16" s="5">
        <v>568458</v>
      </c>
      <c r="D16" s="4">
        <f t="shared" si="0"/>
        <v>4.1653855114271816E-3</v>
      </c>
      <c r="E16" s="5">
        <f t="shared" si="1"/>
        <v>425863.7954602692</v>
      </c>
      <c r="F16" s="5">
        <f t="shared" si="2"/>
        <v>994321.7954602692</v>
      </c>
      <c r="G16" s="18"/>
      <c r="H16" s="17"/>
    </row>
    <row r="17" spans="1:8" x14ac:dyDescent="0.2">
      <c r="A17">
        <v>2020</v>
      </c>
      <c r="B17" s="4" t="s">
        <v>15</v>
      </c>
      <c r="C17" s="5">
        <v>3361190</v>
      </c>
      <c r="D17" s="4">
        <f t="shared" si="0"/>
        <v>2.462917599392379E-2</v>
      </c>
      <c r="E17" s="5">
        <f t="shared" si="1"/>
        <v>2518056.093261248</v>
      </c>
      <c r="F17" s="5">
        <f t="shared" si="2"/>
        <v>5879246.0932612475</v>
      </c>
      <c r="G17" s="18"/>
      <c r="H17" s="17"/>
    </row>
    <row r="18" spans="1:8" x14ac:dyDescent="0.2">
      <c r="A18">
        <v>2020</v>
      </c>
      <c r="B18" s="4" t="s">
        <v>16</v>
      </c>
      <c r="C18" s="5">
        <v>3434736</v>
      </c>
      <c r="D18" s="4">
        <f t="shared" si="0"/>
        <v>2.5168085540140789E-2</v>
      </c>
      <c r="E18" s="5">
        <f t="shared" si="1"/>
        <v>2573153.5300128125</v>
      </c>
      <c r="F18" s="5">
        <f t="shared" si="2"/>
        <v>6007889.5300128125</v>
      </c>
      <c r="G18" s="18"/>
      <c r="H18" s="17"/>
    </row>
    <row r="19" spans="1:8" x14ac:dyDescent="0.2">
      <c r="A19">
        <v>2020</v>
      </c>
      <c r="B19" s="4" t="s">
        <v>17</v>
      </c>
      <c r="C19" s="5">
        <v>358346</v>
      </c>
      <c r="D19" s="4">
        <f t="shared" si="0"/>
        <v>2.6257863139895732E-3</v>
      </c>
      <c r="E19" s="5">
        <f t="shared" si="1"/>
        <v>268457.10263204254</v>
      </c>
      <c r="F19" s="5">
        <f t="shared" si="2"/>
        <v>626803.10263204249</v>
      </c>
      <c r="G19" s="18"/>
      <c r="H19" s="17"/>
    </row>
    <row r="20" spans="1:8" x14ac:dyDescent="0.2">
      <c r="A20">
        <v>2020</v>
      </c>
      <c r="B20" s="4" t="s">
        <v>18</v>
      </c>
      <c r="C20" s="5">
        <v>2383398</v>
      </c>
      <c r="D20" s="4">
        <f t="shared" si="0"/>
        <v>1.7464388744928425E-2</v>
      </c>
      <c r="E20" s="5">
        <f t="shared" si="1"/>
        <v>1785537.2224023847</v>
      </c>
      <c r="F20" s="5">
        <f t="shared" si="2"/>
        <v>4168935.2224023845</v>
      </c>
      <c r="G20" s="18"/>
      <c r="H20" s="17"/>
    </row>
    <row r="21" spans="1:8" x14ac:dyDescent="0.2">
      <c r="A21">
        <v>2020</v>
      </c>
      <c r="B21" s="4" t="s">
        <v>19</v>
      </c>
      <c r="C21" s="5">
        <v>1617354</v>
      </c>
      <c r="D21" s="4">
        <f t="shared" si="0"/>
        <v>1.1851188510758575E-2</v>
      </c>
      <c r="E21" s="5">
        <f t="shared" si="1"/>
        <v>1211650.6638007527</v>
      </c>
      <c r="F21" s="5">
        <f t="shared" si="2"/>
        <v>2829004.6638007527</v>
      </c>
      <c r="G21" s="18"/>
      <c r="H21" s="17"/>
    </row>
    <row r="22" spans="1:8" x14ac:dyDescent="0.2">
      <c r="A22">
        <v>2020</v>
      </c>
      <c r="B22" s="4" t="s">
        <v>20</v>
      </c>
      <c r="C22" s="5">
        <v>302543</v>
      </c>
      <c r="D22" s="4">
        <f t="shared" si="0"/>
        <v>2.2168888973041348E-3</v>
      </c>
      <c r="E22" s="5">
        <f t="shared" si="1"/>
        <v>226651.94309858643</v>
      </c>
      <c r="F22" s="5">
        <f t="shared" si="2"/>
        <v>529194.9430985864</v>
      </c>
      <c r="G22" s="18"/>
      <c r="H22" s="17"/>
    </row>
    <row r="23" spans="1:8" x14ac:dyDescent="0.2">
      <c r="A23">
        <v>2020</v>
      </c>
      <c r="B23" s="4" t="s">
        <v>21</v>
      </c>
      <c r="C23" s="5">
        <v>2399490</v>
      </c>
      <c r="D23" s="4">
        <f t="shared" si="0"/>
        <v>1.7582303144320969E-2</v>
      </c>
      <c r="E23" s="5">
        <f t="shared" si="1"/>
        <v>1797592.6428495359</v>
      </c>
      <c r="F23" s="5">
        <f t="shared" si="2"/>
        <v>4197082.6428495357</v>
      </c>
      <c r="G23" s="18"/>
      <c r="H23" s="17"/>
    </row>
    <row r="24" spans="1:8" x14ac:dyDescent="0.2">
      <c r="A24">
        <v>2020</v>
      </c>
      <c r="B24" s="4" t="s">
        <v>22</v>
      </c>
      <c r="C24" s="5">
        <v>4066500</v>
      </c>
      <c r="D24" s="4">
        <f t="shared" si="0"/>
        <v>2.9797346826359442E-2</v>
      </c>
      <c r="E24" s="5">
        <f t="shared" si="1"/>
        <v>3046443.4034514157</v>
      </c>
      <c r="F24" s="5">
        <f t="shared" si="2"/>
        <v>7112943.4034514157</v>
      </c>
      <c r="G24" s="18"/>
      <c r="H24" s="17"/>
    </row>
    <row r="25" spans="1:8" x14ac:dyDescent="0.2">
      <c r="A25">
        <v>2020</v>
      </c>
      <c r="B25" s="4" t="s">
        <v>23</v>
      </c>
      <c r="C25" s="5">
        <v>3327758</v>
      </c>
      <c r="D25" s="4">
        <f t="shared" si="0"/>
        <v>2.4384202454246218E-2</v>
      </c>
      <c r="E25" s="5">
        <f t="shared" si="1"/>
        <v>2493010.3055164581</v>
      </c>
      <c r="F25" s="5">
        <f t="shared" si="2"/>
        <v>5820768.3055164581</v>
      </c>
      <c r="G25" s="18"/>
      <c r="H25" s="17"/>
    </row>
    <row r="26" spans="1:8" x14ac:dyDescent="0.2">
      <c r="A26">
        <v>2020</v>
      </c>
      <c r="B26" s="4" t="s">
        <v>24</v>
      </c>
      <c r="C26" s="5">
        <v>1721520</v>
      </c>
      <c r="D26" s="4">
        <f t="shared" si="0"/>
        <v>1.261446661957809E-2</v>
      </c>
      <c r="E26" s="5">
        <f t="shared" si="1"/>
        <v>1289687.2612589896</v>
      </c>
      <c r="F26" s="5">
        <f t="shared" si="2"/>
        <v>3011207.2612589896</v>
      </c>
      <c r="G26" s="18"/>
      <c r="H26" s="17"/>
    </row>
    <row r="27" spans="1:8" x14ac:dyDescent="0.2">
      <c r="A27">
        <v>2020</v>
      </c>
      <c r="B27" s="4" t="s">
        <v>25</v>
      </c>
      <c r="C27" s="5">
        <v>293498</v>
      </c>
      <c r="D27" s="4">
        <f t="shared" si="0"/>
        <v>2.1506115083838296E-3</v>
      </c>
      <c r="E27" s="5">
        <f t="shared" si="1"/>
        <v>219875.82590094273</v>
      </c>
      <c r="F27" s="5">
        <f t="shared" si="2"/>
        <v>513373.82590094273</v>
      </c>
      <c r="G27" s="18"/>
      <c r="H27" s="17"/>
    </row>
    <row r="28" spans="1:8" x14ac:dyDescent="0.2">
      <c r="A28">
        <v>2020</v>
      </c>
      <c r="B28" s="4" t="s">
        <v>26</v>
      </c>
      <c r="C28" s="5">
        <v>7546668</v>
      </c>
      <c r="D28" s="4">
        <f t="shared" si="0"/>
        <v>5.5298336107067095E-2</v>
      </c>
      <c r="E28" s="5">
        <f t="shared" si="1"/>
        <v>5653632.5947713973</v>
      </c>
      <c r="F28" s="5">
        <f t="shared" si="2"/>
        <v>13200300.594771396</v>
      </c>
      <c r="G28" s="18"/>
      <c r="H28" s="17"/>
    </row>
    <row r="29" spans="1:8" x14ac:dyDescent="0.2">
      <c r="A29">
        <v>2020</v>
      </c>
      <c r="B29" s="4" t="s">
        <v>27</v>
      </c>
      <c r="C29" s="5">
        <v>2413986</v>
      </c>
      <c r="D29" s="4">
        <f t="shared" si="0"/>
        <v>1.7688522826995234E-2</v>
      </c>
      <c r="E29" s="5">
        <f t="shared" si="1"/>
        <v>1808452.4101128906</v>
      </c>
      <c r="F29" s="5">
        <f t="shared" si="2"/>
        <v>4222438.4101128904</v>
      </c>
      <c r="G29" s="18"/>
      <c r="H29" s="17"/>
    </row>
    <row r="30" spans="1:8" x14ac:dyDescent="0.2">
      <c r="A30">
        <v>2020</v>
      </c>
      <c r="B30" s="4" t="s">
        <v>28</v>
      </c>
      <c r="C30" s="5">
        <v>21222597</v>
      </c>
      <c r="D30" s="4">
        <f t="shared" si="0"/>
        <v>0.15550893480021036</v>
      </c>
      <c r="E30" s="5">
        <f t="shared" si="1"/>
        <v>15899038.641278202</v>
      </c>
      <c r="F30" s="5">
        <f t="shared" si="2"/>
        <v>37121635.6412782</v>
      </c>
      <c r="G30" s="18"/>
      <c r="H30" s="17"/>
    </row>
    <row r="31" spans="1:8" x14ac:dyDescent="0.2">
      <c r="A31">
        <v>2020</v>
      </c>
      <c r="B31" s="4" t="s">
        <v>29</v>
      </c>
      <c r="C31" s="5">
        <v>1475099</v>
      </c>
      <c r="D31" s="4">
        <f t="shared" si="0"/>
        <v>1.0808812616799701E-2</v>
      </c>
      <c r="E31" s="5">
        <f t="shared" si="1"/>
        <v>1105079.4584993925</v>
      </c>
      <c r="F31" s="5">
        <f t="shared" si="2"/>
        <v>2580178.4584993925</v>
      </c>
      <c r="G31" s="18"/>
      <c r="H31" s="17"/>
    </row>
    <row r="32" spans="1:8" x14ac:dyDescent="0.2">
      <c r="A32">
        <v>2020</v>
      </c>
      <c r="B32" s="4" t="s">
        <v>30</v>
      </c>
      <c r="C32" s="5">
        <v>2591359</v>
      </c>
      <c r="D32" s="4">
        <f t="shared" si="0"/>
        <v>1.8988226453856626E-2</v>
      </c>
      <c r="E32" s="5">
        <f t="shared" si="1"/>
        <v>1941332.4803945548</v>
      </c>
      <c r="F32" s="5">
        <f t="shared" si="2"/>
        <v>4532691.4803945553</v>
      </c>
      <c r="G32" s="18"/>
      <c r="H32" s="17"/>
    </row>
    <row r="33" spans="1:8" x14ac:dyDescent="0.2">
      <c r="A33">
        <v>2020</v>
      </c>
      <c r="B33" s="4" t="s">
        <v>31</v>
      </c>
      <c r="C33" s="5">
        <v>3758143</v>
      </c>
      <c r="D33" s="4">
        <f t="shared" si="0"/>
        <v>2.7537855746724443E-2</v>
      </c>
      <c r="E33" s="5">
        <f t="shared" si="1"/>
        <v>2815435.8666118565</v>
      </c>
      <c r="F33" s="5">
        <f t="shared" si="2"/>
        <v>6573578.866611857</v>
      </c>
      <c r="G33" s="18"/>
      <c r="H33" s="17"/>
    </row>
    <row r="34" spans="1:8" x14ac:dyDescent="0.2">
      <c r="A34">
        <v>2020</v>
      </c>
      <c r="B34" s="4" t="s">
        <v>32</v>
      </c>
      <c r="C34" s="5">
        <v>1827757</v>
      </c>
      <c r="D34" s="4">
        <f t="shared" si="0"/>
        <v>1.3392920015567749E-2</v>
      </c>
      <c r="E34" s="5">
        <f t="shared" si="1"/>
        <v>1369275.3610628671</v>
      </c>
      <c r="F34" s="5">
        <f t="shared" si="2"/>
        <v>3197032.3610628671</v>
      </c>
      <c r="G34" s="18"/>
      <c r="H34" s="17"/>
    </row>
    <row r="35" spans="1:8" x14ac:dyDescent="0.2">
      <c r="A35">
        <v>2020</v>
      </c>
      <c r="B35" s="4" t="s">
        <v>33</v>
      </c>
      <c r="C35" s="5">
        <v>137237</v>
      </c>
      <c r="D35" s="4">
        <f t="shared" si="0"/>
        <v>1.0056064149536678E-3</v>
      </c>
      <c r="E35" s="5">
        <f t="shared" si="1"/>
        <v>102811.93984002506</v>
      </c>
      <c r="F35" s="5">
        <f t="shared" si="2"/>
        <v>240048.93984002506</v>
      </c>
      <c r="G35" s="18"/>
      <c r="H35" s="17"/>
    </row>
    <row r="36" spans="1:8" x14ac:dyDescent="0.2">
      <c r="A36">
        <v>2020</v>
      </c>
      <c r="B36" s="4" t="s">
        <v>34</v>
      </c>
      <c r="C36" s="5">
        <v>10410909</v>
      </c>
      <c r="D36" s="4">
        <f t="shared" si="0"/>
        <v>7.6286109984179742E-2</v>
      </c>
      <c r="E36" s="5">
        <f t="shared" si="1"/>
        <v>7799396.2982867267</v>
      </c>
      <c r="F36" s="5">
        <f t="shared" si="2"/>
        <v>18210305.298286729</v>
      </c>
      <c r="G36" s="18"/>
      <c r="H36" s="17"/>
    </row>
    <row r="37" spans="1:8" x14ac:dyDescent="0.2">
      <c r="A37">
        <v>2020</v>
      </c>
      <c r="B37" s="4" t="s">
        <v>35</v>
      </c>
      <c r="C37" s="5">
        <v>132699</v>
      </c>
      <c r="D37" s="4">
        <f t="shared" si="0"/>
        <v>9.7235414398403328E-4</v>
      </c>
      <c r="E37" s="5">
        <f t="shared" si="1"/>
        <v>99412.269321185144</v>
      </c>
      <c r="F37" s="5">
        <f t="shared" si="2"/>
        <v>232111.26932118513</v>
      </c>
      <c r="G37" s="18"/>
      <c r="H37" s="17"/>
    </row>
    <row r="38" spans="1:8" x14ac:dyDescent="0.2">
      <c r="A38">
        <v>2020</v>
      </c>
      <c r="B38" s="4" t="s">
        <v>36</v>
      </c>
      <c r="C38" s="5">
        <v>3448590</v>
      </c>
      <c r="D38" s="4">
        <f t="shared" si="0"/>
        <v>2.5269600957067477E-2</v>
      </c>
      <c r="E38" s="5">
        <f t="shared" si="1"/>
        <v>2583532.3390405797</v>
      </c>
      <c r="F38" s="5">
        <f t="shared" si="2"/>
        <v>6032122.3390405793</v>
      </c>
      <c r="G38" s="18"/>
      <c r="H38" s="17"/>
    </row>
    <row r="39" spans="1:8" x14ac:dyDescent="0.2">
      <c r="A39">
        <v>2020</v>
      </c>
      <c r="B39" s="4" t="s">
        <v>37</v>
      </c>
      <c r="C39" s="5">
        <v>3280437</v>
      </c>
      <c r="D39" s="4">
        <f t="shared" si="0"/>
        <v>2.4037457034556026E-2</v>
      </c>
      <c r="E39" s="5">
        <f t="shared" si="1"/>
        <v>2457559.488279344</v>
      </c>
      <c r="F39" s="5">
        <f t="shared" si="2"/>
        <v>5737996.4882793445</v>
      </c>
      <c r="G39" s="18"/>
      <c r="H39" s="17"/>
    </row>
    <row r="40" spans="1:8" x14ac:dyDescent="0.2">
      <c r="A40">
        <v>2020</v>
      </c>
      <c r="B40" s="4" t="s">
        <v>38</v>
      </c>
      <c r="C40" s="5">
        <v>4746865</v>
      </c>
      <c r="D40" s="4">
        <f t="shared" si="0"/>
        <v>3.478273275369647E-2</v>
      </c>
      <c r="E40" s="5">
        <f t="shared" si="1"/>
        <v>3556143.0139737865</v>
      </c>
      <c r="F40" s="5">
        <f t="shared" si="2"/>
        <v>8303008.0139737865</v>
      </c>
      <c r="G40" s="18"/>
      <c r="H40" s="17"/>
    </row>
    <row r="41" spans="1:8" x14ac:dyDescent="0.2">
      <c r="A41">
        <v>2020</v>
      </c>
      <c r="B41" s="4" t="s">
        <v>39</v>
      </c>
      <c r="C41" s="5">
        <v>398589</v>
      </c>
      <c r="D41" s="4">
        <f t="shared" si="0"/>
        <v>2.9206675701885609E-3</v>
      </c>
      <c r="E41" s="5">
        <f t="shared" si="1"/>
        <v>298605.39277961303</v>
      </c>
      <c r="F41" s="5">
        <f t="shared" si="2"/>
        <v>697194.39277961303</v>
      </c>
      <c r="G41" s="18"/>
      <c r="H41" s="17"/>
    </row>
    <row r="42" spans="1:8" x14ac:dyDescent="0.2">
      <c r="A42">
        <v>2020</v>
      </c>
      <c r="B42" s="4" t="s">
        <v>40</v>
      </c>
      <c r="C42" s="5">
        <v>676468</v>
      </c>
      <c r="D42" s="4">
        <f t="shared" si="0"/>
        <v>4.9568305945982341E-3</v>
      </c>
      <c r="E42" s="5">
        <f t="shared" si="1"/>
        <v>506780.14908298844</v>
      </c>
      <c r="F42" s="5">
        <f t="shared" si="2"/>
        <v>1183248.1490829885</v>
      </c>
      <c r="G42" s="18"/>
      <c r="H42" s="17"/>
    </row>
    <row r="43" spans="1:8" x14ac:dyDescent="0.2">
      <c r="A43">
        <v>2020</v>
      </c>
      <c r="B43" s="4" t="s">
        <v>41</v>
      </c>
      <c r="C43" s="5">
        <v>131545</v>
      </c>
      <c r="D43" s="4">
        <f t="shared" si="0"/>
        <v>9.6389818966517954E-4</v>
      </c>
      <c r="E43" s="5">
        <f t="shared" si="1"/>
        <v>98547.743146936307</v>
      </c>
      <c r="F43" s="5">
        <f t="shared" si="2"/>
        <v>230092.74314693629</v>
      </c>
      <c r="G43" s="18"/>
      <c r="H43" s="17"/>
    </row>
    <row r="44" spans="1:8" x14ac:dyDescent="0.2">
      <c r="A44">
        <v>2020</v>
      </c>
      <c r="B44" s="4" t="s">
        <v>42</v>
      </c>
      <c r="C44" s="5">
        <v>263901</v>
      </c>
      <c r="D44" s="4">
        <f t="shared" si="0"/>
        <v>1.9337389954071271E-3</v>
      </c>
      <c r="E44" s="5">
        <f t="shared" si="1"/>
        <v>197703.05191546344</v>
      </c>
      <c r="F44" s="5">
        <f t="shared" si="2"/>
        <v>461604.05191546341</v>
      </c>
      <c r="G44" s="18"/>
      <c r="H44" s="17"/>
    </row>
    <row r="45" spans="1:8" x14ac:dyDescent="0.2">
      <c r="A45">
        <v>2020</v>
      </c>
      <c r="B45" s="4" t="s">
        <v>43</v>
      </c>
      <c r="C45" s="5">
        <v>145674</v>
      </c>
      <c r="D45" s="4">
        <f t="shared" si="0"/>
        <v>1.0674286736955822E-3</v>
      </c>
      <c r="E45" s="5">
        <f t="shared" si="1"/>
        <v>109132.57011050818</v>
      </c>
      <c r="F45" s="5">
        <f t="shared" si="2"/>
        <v>254806.57011050818</v>
      </c>
      <c r="G45" s="18"/>
      <c r="H45" s="17"/>
    </row>
    <row r="46" spans="1:8" x14ac:dyDescent="0.2">
      <c r="A46">
        <v>2020</v>
      </c>
      <c r="B46" s="4" t="s">
        <v>44</v>
      </c>
      <c r="C46" s="5">
        <v>227344</v>
      </c>
      <c r="D46" s="4">
        <f t="shared" si="0"/>
        <v>1.6658669659146343E-3</v>
      </c>
      <c r="E46" s="5">
        <f t="shared" si="1"/>
        <v>170316.15126380391</v>
      </c>
      <c r="F46" s="5">
        <f t="shared" si="2"/>
        <v>397660.15126380394</v>
      </c>
      <c r="G46" s="18"/>
      <c r="H46" s="17"/>
    </row>
    <row r="47" spans="1:8" x14ac:dyDescent="0.2">
      <c r="A47">
        <v>2020</v>
      </c>
      <c r="B47" s="4" t="s">
        <v>45</v>
      </c>
      <c r="C47" s="5">
        <v>302120</v>
      </c>
      <c r="D47" s="4">
        <f t="shared" si="0"/>
        <v>2.213789357722787E-3</v>
      </c>
      <c r="E47" s="5">
        <f t="shared" si="1"/>
        <v>226335.05005551252</v>
      </c>
      <c r="F47" s="5">
        <f t="shared" si="2"/>
        <v>528455.05005551246</v>
      </c>
      <c r="G47" s="18"/>
      <c r="H47" s="17"/>
    </row>
    <row r="48" spans="1:8" x14ac:dyDescent="0.2">
      <c r="A48">
        <v>2020</v>
      </c>
      <c r="B48" s="4" t="s">
        <v>46</v>
      </c>
      <c r="C48" s="5">
        <v>376054</v>
      </c>
      <c r="D48" s="4">
        <f t="shared" si="0"/>
        <v>2.7555419804352081E-3</v>
      </c>
      <c r="E48" s="5">
        <f t="shared" si="1"/>
        <v>281723.15938559419</v>
      </c>
      <c r="F48" s="5">
        <f t="shared" si="2"/>
        <v>657777.15938559419</v>
      </c>
      <c r="G48" s="18"/>
      <c r="H48" s="17"/>
    </row>
    <row r="49" spans="1:8" x14ac:dyDescent="0.2">
      <c r="A49">
        <v>2020</v>
      </c>
      <c r="B49" s="4" t="s">
        <v>47</v>
      </c>
      <c r="C49" s="5">
        <v>173224</v>
      </c>
      <c r="D49" s="4">
        <f t="shared" si="0"/>
        <v>1.2693017599039193E-3</v>
      </c>
      <c r="E49" s="5">
        <f t="shared" si="1"/>
        <v>129771.82149747155</v>
      </c>
      <c r="F49" s="5">
        <f t="shared" si="2"/>
        <v>302995.82149747154</v>
      </c>
      <c r="G49" s="18"/>
      <c r="H49" s="17"/>
    </row>
    <row r="50" spans="1:8" x14ac:dyDescent="0.2">
      <c r="A50">
        <v>2020</v>
      </c>
      <c r="B50" s="4" t="s">
        <v>48</v>
      </c>
      <c r="C50" s="5">
        <v>161471</v>
      </c>
      <c r="D50" s="4">
        <f t="shared" si="0"/>
        <v>1.1831814556495968E-3</v>
      </c>
      <c r="E50" s="5">
        <f t="shared" si="1"/>
        <v>120966.98949925085</v>
      </c>
      <c r="F50" s="5">
        <f t="shared" si="2"/>
        <v>282437.98949925083</v>
      </c>
      <c r="G50" s="18"/>
      <c r="H50" s="17"/>
    </row>
    <row r="51" spans="1:8" x14ac:dyDescent="0.2">
      <c r="A51">
        <v>2020</v>
      </c>
      <c r="B51" s="4" t="s">
        <v>49</v>
      </c>
      <c r="C51" s="5">
        <v>156132</v>
      </c>
      <c r="D51" s="4">
        <f t="shared" si="0"/>
        <v>1.1440598437706018E-3</v>
      </c>
      <c r="E51" s="5">
        <f t="shared" si="1"/>
        <v>116967.24492012209</v>
      </c>
      <c r="F51" s="5">
        <f t="shared" si="2"/>
        <v>273099.24492012209</v>
      </c>
      <c r="G51" s="18"/>
      <c r="H51" s="17"/>
    </row>
    <row r="52" spans="1:8" x14ac:dyDescent="0.2">
      <c r="A52">
        <v>2020</v>
      </c>
      <c r="B52" s="4" t="s">
        <v>50</v>
      </c>
      <c r="C52" s="5">
        <v>207533</v>
      </c>
      <c r="D52" s="4">
        <f t="shared" si="0"/>
        <v>1.520701531763151E-3</v>
      </c>
      <c r="E52" s="5">
        <f t="shared" si="1"/>
        <v>155474.61916844526</v>
      </c>
      <c r="F52" s="5">
        <f t="shared" si="2"/>
        <v>363007.61916844524</v>
      </c>
      <c r="G52" s="18"/>
      <c r="H52" s="17"/>
    </row>
    <row r="53" spans="1:8" x14ac:dyDescent="0.2">
      <c r="A53">
        <v>2020</v>
      </c>
      <c r="B53" s="4" t="s">
        <v>51</v>
      </c>
      <c r="C53" s="5">
        <v>155019</v>
      </c>
      <c r="D53" s="4">
        <f t="shared" si="0"/>
        <v>1.1359043176381197E-3</v>
      </c>
      <c r="E53" s="5">
        <f t="shared" si="1"/>
        <v>116133.43414721136</v>
      </c>
      <c r="F53" s="5">
        <f t="shared" si="2"/>
        <v>271152.43414721137</v>
      </c>
      <c r="G53" s="18"/>
      <c r="H53" s="17"/>
    </row>
    <row r="54" spans="1:8" x14ac:dyDescent="0.2">
      <c r="A54">
        <v>2020</v>
      </c>
      <c r="B54" s="4" t="s">
        <v>52</v>
      </c>
      <c r="C54" s="5">
        <v>114673</v>
      </c>
      <c r="D54" s="4">
        <f t="shared" si="0"/>
        <v>8.402683272148324E-4</v>
      </c>
      <c r="E54" s="5">
        <f t="shared" si="1"/>
        <v>85907.98091823046</v>
      </c>
      <c r="F54" s="5">
        <f t="shared" si="2"/>
        <v>200580.98091823046</v>
      </c>
      <c r="G54" s="18"/>
      <c r="H54" s="17"/>
    </row>
    <row r="55" spans="1:8" x14ac:dyDescent="0.2">
      <c r="A55">
        <v>2020</v>
      </c>
      <c r="B55" s="4" t="s">
        <v>53</v>
      </c>
      <c r="C55" s="5">
        <v>73642</v>
      </c>
      <c r="D55" s="4">
        <f t="shared" si="0"/>
        <v>5.3961298782411458E-4</v>
      </c>
      <c r="E55" s="5">
        <f t="shared" si="1"/>
        <v>55169.355740063729</v>
      </c>
      <c r="F55" s="5">
        <f t="shared" si="2"/>
        <v>128811.35574006374</v>
      </c>
      <c r="G55" s="18"/>
      <c r="H55" s="17"/>
    </row>
    <row r="56" spans="1:8" x14ac:dyDescent="0.2">
      <c r="A56">
        <v>2020</v>
      </c>
      <c r="B56" s="4" t="s">
        <v>54</v>
      </c>
      <c r="C56" s="5">
        <v>27214</v>
      </c>
      <c r="D56" s="4">
        <f t="shared" si="0"/>
        <v>1.9941104058343682E-4</v>
      </c>
      <c r="E56" s="5">
        <f t="shared" si="1"/>
        <v>20387.53492721673</v>
      </c>
      <c r="F56" s="5">
        <f t="shared" si="2"/>
        <v>47601.53492721673</v>
      </c>
      <c r="G56" s="18"/>
      <c r="H56" s="17"/>
    </row>
    <row r="58" spans="1:8" x14ac:dyDescent="0.2">
      <c r="B58" s="4" t="s">
        <v>61</v>
      </c>
      <c r="C58" s="5">
        <f>SUM(C2:C56)</f>
        <v>136471882</v>
      </c>
    </row>
    <row r="60" spans="1:8" x14ac:dyDescent="0.2">
      <c r="B60" s="4" t="s">
        <v>62</v>
      </c>
      <c r="C60" s="5">
        <v>136471882</v>
      </c>
    </row>
    <row r="62" spans="1:8" x14ac:dyDescent="0.2">
      <c r="B62" s="6" t="s">
        <v>63</v>
      </c>
      <c r="C62" s="7">
        <f>C58-C60</f>
        <v>0</v>
      </c>
    </row>
    <row r="64" spans="1:8" x14ac:dyDescent="0.2">
      <c r="B64" s="4" t="s">
        <v>64</v>
      </c>
      <c r="C64" s="5">
        <v>102238747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972D9-67C4-1A4B-BA01-639D73112ED4}">
  <sheetPr>
    <tabColor rgb="FFFFFF00"/>
  </sheetPr>
  <dimension ref="A1:F64"/>
  <sheetViews>
    <sheetView workbookViewId="0">
      <selection activeCell="E2" sqref="E2:F56"/>
    </sheetView>
  </sheetViews>
  <sheetFormatPr baseColWidth="10" defaultRowHeight="16" x14ac:dyDescent="0.2"/>
  <cols>
    <col min="1" max="1" width="10.83203125" style="4"/>
    <col min="2" max="2" width="30.83203125" style="4" bestFit="1" customWidth="1"/>
    <col min="3" max="3" width="18.83203125" style="4" bestFit="1" customWidth="1"/>
    <col min="4" max="4" width="11.5" style="4" bestFit="1" customWidth="1"/>
    <col min="5" max="5" width="17.1640625" style="4" bestFit="1" customWidth="1"/>
    <col min="6" max="6" width="18.1640625" style="4" bestFit="1" customWidth="1"/>
  </cols>
  <sheetData>
    <row r="1" spans="1:6" x14ac:dyDescent="0.2">
      <c r="A1" s="4" t="s">
        <v>58</v>
      </c>
      <c r="B1" s="4" t="s">
        <v>59</v>
      </c>
      <c r="C1" s="4" t="s">
        <v>60</v>
      </c>
      <c r="D1" s="4" t="s">
        <v>65</v>
      </c>
      <c r="E1" s="4" t="s">
        <v>66</v>
      </c>
      <c r="F1" s="8" t="s">
        <v>67</v>
      </c>
    </row>
    <row r="2" spans="1:6" x14ac:dyDescent="0.2">
      <c r="A2" s="4">
        <v>2019</v>
      </c>
      <c r="B2" s="4" t="s">
        <v>0</v>
      </c>
      <c r="C2" s="5">
        <v>3510164</v>
      </c>
      <c r="D2" s="4">
        <f>C2/$C$58</f>
        <v>2.3814474184491081E-2</v>
      </c>
      <c r="E2" s="8">
        <f>D2*$C$64</f>
        <v>2434762.001086215</v>
      </c>
      <c r="F2" s="14">
        <f>SUM(E2,C2)</f>
        <v>5944926.0010862146</v>
      </c>
    </row>
    <row r="3" spans="1:6" x14ac:dyDescent="0.2">
      <c r="A3" s="4">
        <v>2019</v>
      </c>
      <c r="B3" s="4" t="s">
        <v>1</v>
      </c>
      <c r="C3" s="5">
        <v>3494089</v>
      </c>
      <c r="D3" s="4">
        <f t="shared" ref="D3:D56" si="0">C3/$C$58</f>
        <v>2.3705414416196582E-2</v>
      </c>
      <c r="E3" s="8">
        <f t="shared" ref="E3:E56" si="1">D3*$C$64</f>
        <v>2423611.8670276748</v>
      </c>
      <c r="F3" s="14">
        <f t="shared" ref="F3:F56" si="2">SUM(E3,C3)</f>
        <v>5917700.8670276748</v>
      </c>
    </row>
    <row r="4" spans="1:6" x14ac:dyDescent="0.2">
      <c r="A4" s="4">
        <v>2019</v>
      </c>
      <c r="B4" s="4" t="s">
        <v>2</v>
      </c>
      <c r="C4" s="5">
        <v>2210699</v>
      </c>
      <c r="D4" s="4">
        <f t="shared" si="0"/>
        <v>1.4998340324036212E-2</v>
      </c>
      <c r="E4" s="8">
        <f t="shared" si="1"/>
        <v>1533411.5218090364</v>
      </c>
      <c r="F4" s="14">
        <f t="shared" si="2"/>
        <v>3744110.5218090364</v>
      </c>
    </row>
    <row r="5" spans="1:6" x14ac:dyDescent="0.2">
      <c r="A5" s="4">
        <v>2019</v>
      </c>
      <c r="B5" s="4" t="s">
        <v>3</v>
      </c>
      <c r="C5" s="5">
        <v>2884392</v>
      </c>
      <c r="D5" s="4">
        <f t="shared" si="0"/>
        <v>1.9568965672815457E-2</v>
      </c>
      <c r="E5" s="8">
        <f t="shared" si="1"/>
        <v>2000706.5304746642</v>
      </c>
      <c r="F5" s="14">
        <f t="shared" si="2"/>
        <v>4885098.5304746646</v>
      </c>
    </row>
    <row r="6" spans="1:6" x14ac:dyDescent="0.2">
      <c r="A6" s="4">
        <v>2019</v>
      </c>
      <c r="B6" s="4" t="s">
        <v>4</v>
      </c>
      <c r="C6" s="5">
        <v>3627393</v>
      </c>
      <c r="D6" s="4">
        <f t="shared" si="0"/>
        <v>2.4609806537672786E-2</v>
      </c>
      <c r="E6" s="8">
        <f t="shared" si="1"/>
        <v>2516075.7843240742</v>
      </c>
      <c r="F6" s="14">
        <f t="shared" si="2"/>
        <v>6143468.7843240742</v>
      </c>
    </row>
    <row r="7" spans="1:6" x14ac:dyDescent="0.2">
      <c r="A7" s="4">
        <v>2019</v>
      </c>
      <c r="B7" s="4" t="s">
        <v>5</v>
      </c>
      <c r="C7" s="5">
        <v>5070688</v>
      </c>
      <c r="D7" s="4">
        <f t="shared" si="0"/>
        <v>3.4401745466482107E-2</v>
      </c>
      <c r="E7" s="8">
        <f t="shared" si="1"/>
        <v>3517191.3511060611</v>
      </c>
      <c r="F7" s="14">
        <f t="shared" si="2"/>
        <v>8587879.3511060607</v>
      </c>
    </row>
    <row r="8" spans="1:6" x14ac:dyDescent="0.2">
      <c r="A8" s="4">
        <v>2019</v>
      </c>
      <c r="B8" s="4" t="s">
        <v>6</v>
      </c>
      <c r="C8" s="5">
        <v>11597002</v>
      </c>
      <c r="D8" s="4">
        <f t="shared" si="0"/>
        <v>7.8679088711094816E-2</v>
      </c>
      <c r="E8" s="8">
        <f t="shared" si="1"/>
        <v>8044051.4449241795</v>
      </c>
      <c r="F8" s="14">
        <f t="shared" si="2"/>
        <v>19641053.444924179</v>
      </c>
    </row>
    <row r="9" spans="1:6" x14ac:dyDescent="0.2">
      <c r="A9" s="4">
        <v>2019</v>
      </c>
      <c r="B9" s="4" t="s">
        <v>7</v>
      </c>
      <c r="C9" s="5">
        <v>4587352</v>
      </c>
      <c r="D9" s="4">
        <f t="shared" si="0"/>
        <v>3.1122584522880848E-2</v>
      </c>
      <c r="E9" s="8">
        <f t="shared" si="1"/>
        <v>3181934.0450209309</v>
      </c>
      <c r="F9" s="14">
        <f t="shared" si="2"/>
        <v>7769286.0450209305</v>
      </c>
    </row>
    <row r="10" spans="1:6" x14ac:dyDescent="0.2">
      <c r="A10" s="4">
        <v>2019</v>
      </c>
      <c r="B10" s="4" t="s">
        <v>8</v>
      </c>
      <c r="C10" s="5">
        <v>2652750</v>
      </c>
      <c r="D10" s="4">
        <f t="shared" si="0"/>
        <v>1.799740593114986E-2</v>
      </c>
      <c r="E10" s="8">
        <f t="shared" si="1"/>
        <v>1840032.2316511299</v>
      </c>
      <c r="F10" s="14">
        <f t="shared" si="2"/>
        <v>4492782.2316511301</v>
      </c>
    </row>
    <row r="11" spans="1:6" x14ac:dyDescent="0.2">
      <c r="A11" s="4">
        <v>2019</v>
      </c>
      <c r="B11" s="4" t="s">
        <v>9</v>
      </c>
      <c r="C11" s="5">
        <v>5607265</v>
      </c>
      <c r="D11" s="4">
        <f t="shared" si="0"/>
        <v>3.8042116433334848E-2</v>
      </c>
      <c r="E11" s="8">
        <f t="shared" si="1"/>
        <v>3889378.3173722639</v>
      </c>
      <c r="F11" s="14">
        <f t="shared" si="2"/>
        <v>9496643.3173722643</v>
      </c>
    </row>
    <row r="12" spans="1:6" x14ac:dyDescent="0.2">
      <c r="A12" s="4">
        <v>2019</v>
      </c>
      <c r="B12" s="4" t="s">
        <v>10</v>
      </c>
      <c r="C12" s="5">
        <v>1898176</v>
      </c>
      <c r="D12" s="4">
        <f t="shared" si="0"/>
        <v>1.2878048817553977E-2</v>
      </c>
      <c r="E12" s="8">
        <f t="shared" si="1"/>
        <v>1316635.5749115502</v>
      </c>
      <c r="F12" s="14">
        <f t="shared" si="2"/>
        <v>3214811.5749115502</v>
      </c>
    </row>
    <row r="13" spans="1:6" x14ac:dyDescent="0.2">
      <c r="A13" s="4">
        <v>2019</v>
      </c>
      <c r="B13" s="4" t="s">
        <v>11</v>
      </c>
      <c r="C13" s="5">
        <v>254951</v>
      </c>
      <c r="D13" s="4">
        <f t="shared" si="0"/>
        <v>1.7296981018009943E-3</v>
      </c>
      <c r="E13" s="8">
        <f t="shared" si="1"/>
        <v>176842.16661641211</v>
      </c>
      <c r="F13" s="14">
        <f t="shared" si="2"/>
        <v>431793.16661641211</v>
      </c>
    </row>
    <row r="14" spans="1:6" x14ac:dyDescent="0.2">
      <c r="A14" s="4">
        <v>2019</v>
      </c>
      <c r="B14" s="4" t="s">
        <v>12</v>
      </c>
      <c r="C14" s="5">
        <v>1330334</v>
      </c>
      <c r="D14" s="4">
        <f t="shared" si="0"/>
        <v>9.0255625377477396E-3</v>
      </c>
      <c r="E14" s="8">
        <f t="shared" si="1"/>
        <v>922762.20482946909</v>
      </c>
      <c r="F14" s="14">
        <f t="shared" si="2"/>
        <v>2253096.2048294693</v>
      </c>
    </row>
    <row r="15" spans="1:6" x14ac:dyDescent="0.2">
      <c r="A15" s="4">
        <v>2019</v>
      </c>
      <c r="B15" s="4" t="s">
        <v>13</v>
      </c>
      <c r="C15" s="5">
        <v>561924</v>
      </c>
      <c r="D15" s="4">
        <f t="shared" si="0"/>
        <v>3.8123360024334947E-3</v>
      </c>
      <c r="E15" s="8">
        <f t="shared" si="1"/>
        <v>389768.45603178948</v>
      </c>
      <c r="F15" s="14">
        <f t="shared" si="2"/>
        <v>951692.45603178954</v>
      </c>
    </row>
    <row r="16" spans="1:6" x14ac:dyDescent="0.2">
      <c r="A16" s="4">
        <v>2019</v>
      </c>
      <c r="B16" s="4" t="s">
        <v>14</v>
      </c>
      <c r="C16" s="5">
        <v>613839</v>
      </c>
      <c r="D16" s="4">
        <f t="shared" si="0"/>
        <v>4.1645498668819525E-3</v>
      </c>
      <c r="E16" s="8">
        <f t="shared" si="1"/>
        <v>425778.3602090276</v>
      </c>
      <c r="F16" s="14">
        <f t="shared" si="2"/>
        <v>1039617.3602090275</v>
      </c>
    </row>
    <row r="17" spans="1:6" x14ac:dyDescent="0.2">
      <c r="A17" s="4">
        <v>2019</v>
      </c>
      <c r="B17" s="4" t="s">
        <v>15</v>
      </c>
      <c r="C17" s="5">
        <v>3588539</v>
      </c>
      <c r="D17" s="4">
        <f t="shared" si="0"/>
        <v>2.4346204158990702E-2</v>
      </c>
      <c r="E17" s="8">
        <f t="shared" si="1"/>
        <v>2489125.407421398</v>
      </c>
      <c r="F17" s="14">
        <f t="shared" si="2"/>
        <v>6077664.407421398</v>
      </c>
    </row>
    <row r="18" spans="1:6" x14ac:dyDescent="0.2">
      <c r="A18" s="4">
        <v>2019</v>
      </c>
      <c r="B18" s="4" t="s">
        <v>16</v>
      </c>
      <c r="C18" s="5">
        <v>3621244</v>
      </c>
      <c r="D18" s="4">
        <f t="shared" si="0"/>
        <v>2.4568089056164675E-2</v>
      </c>
      <c r="E18" s="8">
        <f t="shared" si="1"/>
        <v>2511810.6412866889</v>
      </c>
      <c r="F18" s="14">
        <f t="shared" si="2"/>
        <v>6133054.6412866889</v>
      </c>
    </row>
    <row r="19" spans="1:6" x14ac:dyDescent="0.2">
      <c r="A19" s="4">
        <v>2019</v>
      </c>
      <c r="B19" s="4" t="s">
        <v>17</v>
      </c>
      <c r="C19" s="5">
        <v>358346</v>
      </c>
      <c r="D19" s="4">
        <f t="shared" si="0"/>
        <v>2.4311746021313083E-3</v>
      </c>
      <c r="E19" s="8">
        <f t="shared" si="1"/>
        <v>248560.24506012848</v>
      </c>
      <c r="F19" s="14">
        <f t="shared" si="2"/>
        <v>606906.24506012851</v>
      </c>
    </row>
    <row r="20" spans="1:6" x14ac:dyDescent="0.2">
      <c r="A20" s="4">
        <v>2019</v>
      </c>
      <c r="B20" s="4" t="s">
        <v>18</v>
      </c>
      <c r="C20" s="5">
        <v>2536492</v>
      </c>
      <c r="D20" s="4">
        <f t="shared" si="0"/>
        <v>1.7208661262883486E-2</v>
      </c>
      <c r="E20" s="8">
        <f t="shared" si="1"/>
        <v>1759391.9650646453</v>
      </c>
      <c r="F20" s="14">
        <f t="shared" si="2"/>
        <v>4295883.9650646448</v>
      </c>
    </row>
    <row r="21" spans="1:6" x14ac:dyDescent="0.2">
      <c r="A21" s="4">
        <v>2019</v>
      </c>
      <c r="B21" s="4" t="s">
        <v>19</v>
      </c>
      <c r="C21" s="5">
        <v>1679749</v>
      </c>
      <c r="D21" s="4">
        <f t="shared" si="0"/>
        <v>1.1396145364411666E-2</v>
      </c>
      <c r="E21" s="8">
        <f t="shared" si="1"/>
        <v>1165127.6226873072</v>
      </c>
      <c r="F21" s="14">
        <f t="shared" si="2"/>
        <v>2844876.6226873072</v>
      </c>
    </row>
    <row r="22" spans="1:6" x14ac:dyDescent="0.2">
      <c r="A22" s="4">
        <v>2019</v>
      </c>
      <c r="B22" s="4" t="s">
        <v>20</v>
      </c>
      <c r="C22" s="5">
        <v>302543</v>
      </c>
      <c r="D22" s="4">
        <f t="shared" si="0"/>
        <v>2.0525828602875776E-3</v>
      </c>
      <c r="E22" s="8">
        <f t="shared" si="1"/>
        <v>209853.49974947798</v>
      </c>
      <c r="F22" s="14">
        <f t="shared" si="2"/>
        <v>512396.49974947795</v>
      </c>
    </row>
    <row r="23" spans="1:6" x14ac:dyDescent="0.2">
      <c r="A23" s="4">
        <v>2019</v>
      </c>
      <c r="B23" s="4" t="s">
        <v>21</v>
      </c>
      <c r="C23" s="5">
        <v>2610528</v>
      </c>
      <c r="D23" s="4">
        <f t="shared" si="0"/>
        <v>1.7710953580485449E-2</v>
      </c>
      <c r="E23" s="8">
        <f t="shared" si="1"/>
        <v>1810745.7022439961</v>
      </c>
      <c r="F23" s="14">
        <f t="shared" si="2"/>
        <v>4421273.7022439959</v>
      </c>
    </row>
    <row r="24" spans="1:6" x14ac:dyDescent="0.2">
      <c r="A24" s="4">
        <v>2019</v>
      </c>
      <c r="B24" s="4" t="s">
        <v>22</v>
      </c>
      <c r="C24" s="5">
        <v>4258728</v>
      </c>
      <c r="D24" s="4">
        <f t="shared" si="0"/>
        <v>2.8893056852833467E-2</v>
      </c>
      <c r="E24" s="8">
        <f t="shared" si="1"/>
        <v>2953989.9296334572</v>
      </c>
      <c r="F24" s="14">
        <f t="shared" si="2"/>
        <v>7212717.9296334572</v>
      </c>
    </row>
    <row r="25" spans="1:6" x14ac:dyDescent="0.2">
      <c r="A25" s="4">
        <v>2019</v>
      </c>
      <c r="B25" s="4" t="s">
        <v>23</v>
      </c>
      <c r="C25" s="5">
        <v>3633680</v>
      </c>
      <c r="D25" s="4">
        <f t="shared" si="0"/>
        <v>2.4652460271002024E-2</v>
      </c>
      <c r="E25" s="8">
        <f t="shared" si="1"/>
        <v>2520436.6485745274</v>
      </c>
      <c r="F25" s="14">
        <f t="shared" si="2"/>
        <v>6154116.6485745274</v>
      </c>
    </row>
    <row r="26" spans="1:6" x14ac:dyDescent="0.2">
      <c r="A26" s="4">
        <v>2019</v>
      </c>
      <c r="B26" s="4" t="s">
        <v>24</v>
      </c>
      <c r="C26" s="5">
        <v>1757474</v>
      </c>
      <c r="D26" s="4">
        <f t="shared" si="0"/>
        <v>1.1923465457145101E-2</v>
      </c>
      <c r="E26" s="8">
        <f t="shared" si="1"/>
        <v>1219040.1682362973</v>
      </c>
      <c r="F26" s="14">
        <f t="shared" si="2"/>
        <v>2976514.1682362976</v>
      </c>
    </row>
    <row r="27" spans="1:6" x14ac:dyDescent="0.2">
      <c r="A27" s="4">
        <v>2019</v>
      </c>
      <c r="B27" s="4" t="s">
        <v>25</v>
      </c>
      <c r="C27" s="5">
        <v>293498</v>
      </c>
      <c r="D27" s="4">
        <f t="shared" si="0"/>
        <v>1.9912176594027412E-3</v>
      </c>
      <c r="E27" s="8">
        <f t="shared" si="1"/>
        <v>203579.59850160903</v>
      </c>
      <c r="F27" s="14">
        <f t="shared" si="2"/>
        <v>497077.59850160906</v>
      </c>
    </row>
    <row r="28" spans="1:6" x14ac:dyDescent="0.2">
      <c r="A28" s="4">
        <v>2019</v>
      </c>
      <c r="B28" s="4" t="s">
        <v>26</v>
      </c>
      <c r="C28" s="5">
        <v>8610679</v>
      </c>
      <c r="D28" s="4">
        <f t="shared" si="0"/>
        <v>5.8418578948573191E-2</v>
      </c>
      <c r="E28" s="8">
        <f t="shared" si="1"/>
        <v>5972642.3132227007</v>
      </c>
      <c r="F28" s="14">
        <f t="shared" si="2"/>
        <v>14583321.313222701</v>
      </c>
    </row>
    <row r="29" spans="1:6" x14ac:dyDescent="0.2">
      <c r="A29" s="4">
        <v>2019</v>
      </c>
      <c r="B29" s="4" t="s">
        <v>27</v>
      </c>
      <c r="C29" s="5">
        <v>2494859</v>
      </c>
      <c r="D29" s="4">
        <f t="shared" si="0"/>
        <v>1.6926204943542592E-2</v>
      </c>
      <c r="E29" s="8">
        <f t="shared" si="1"/>
        <v>1730513.9848930002</v>
      </c>
      <c r="F29" s="14">
        <f t="shared" si="2"/>
        <v>4225372.9848929998</v>
      </c>
    </row>
    <row r="30" spans="1:6" x14ac:dyDescent="0.2">
      <c r="A30" s="4">
        <v>2019</v>
      </c>
      <c r="B30" s="4" t="s">
        <v>28</v>
      </c>
      <c r="C30" s="5">
        <v>23831129</v>
      </c>
      <c r="D30" s="4">
        <f t="shared" si="0"/>
        <v>0.16168070960723679</v>
      </c>
      <c r="E30" s="8">
        <f t="shared" si="1"/>
        <v>16530033.164314752</v>
      </c>
      <c r="F30" s="14">
        <f t="shared" si="2"/>
        <v>40361162.164314754</v>
      </c>
    </row>
    <row r="31" spans="1:6" x14ac:dyDescent="0.2">
      <c r="A31" s="4">
        <v>2019</v>
      </c>
      <c r="B31" s="4" t="s">
        <v>29</v>
      </c>
      <c r="C31" s="5">
        <v>1579572</v>
      </c>
      <c r="D31" s="4">
        <f t="shared" si="0"/>
        <v>1.0716501171040711E-2</v>
      </c>
      <c r="E31" s="8">
        <f t="shared" si="1"/>
        <v>1095641.651951235</v>
      </c>
      <c r="F31" s="14">
        <f t="shared" si="2"/>
        <v>2675213.6519512348</v>
      </c>
    </row>
    <row r="32" spans="1:6" x14ac:dyDescent="0.2">
      <c r="A32" s="4">
        <v>2019</v>
      </c>
      <c r="B32" s="4" t="s">
        <v>30</v>
      </c>
      <c r="C32" s="5">
        <v>2719939</v>
      </c>
      <c r="D32" s="4">
        <f t="shared" si="0"/>
        <v>1.8453245232670178E-2</v>
      </c>
      <c r="E32" s="8">
        <f t="shared" si="1"/>
        <v>1886636.6706719224</v>
      </c>
      <c r="F32" s="14">
        <f t="shared" si="2"/>
        <v>4606575.6706719222</v>
      </c>
    </row>
    <row r="33" spans="1:6" x14ac:dyDescent="0.2">
      <c r="A33" s="4">
        <v>2019</v>
      </c>
      <c r="B33" s="4" t="s">
        <v>31</v>
      </c>
      <c r="C33" s="5">
        <v>3897946</v>
      </c>
      <c r="D33" s="4">
        <f t="shared" si="0"/>
        <v>2.6445355370729194E-2</v>
      </c>
      <c r="E33" s="8">
        <f t="shared" si="1"/>
        <v>2703739.9970730734</v>
      </c>
      <c r="F33" s="14">
        <f t="shared" si="2"/>
        <v>6601685.9970730729</v>
      </c>
    </row>
    <row r="34" spans="1:6" x14ac:dyDescent="0.2">
      <c r="A34" s="4">
        <v>2019</v>
      </c>
      <c r="B34" s="4" t="s">
        <v>32</v>
      </c>
      <c r="C34" s="5">
        <v>1866599</v>
      </c>
      <c r="D34" s="4">
        <f t="shared" si="0"/>
        <v>1.2663816761352708E-2</v>
      </c>
      <c r="E34" s="8">
        <f t="shared" si="1"/>
        <v>1294732.7579182989</v>
      </c>
      <c r="F34" s="14">
        <f t="shared" si="2"/>
        <v>3161331.7579182992</v>
      </c>
    </row>
    <row r="35" spans="1:6" x14ac:dyDescent="0.2">
      <c r="A35" s="4">
        <v>2019</v>
      </c>
      <c r="B35" s="4" t="s">
        <v>33</v>
      </c>
      <c r="C35" s="5">
        <v>137237</v>
      </c>
      <c r="D35" s="4">
        <f t="shared" si="0"/>
        <v>9.3107529837836711E-4</v>
      </c>
      <c r="E35" s="8">
        <f t="shared" si="1"/>
        <v>95191.971868855384</v>
      </c>
      <c r="F35" s="14">
        <f t="shared" si="2"/>
        <v>232428.97186885538</v>
      </c>
    </row>
    <row r="36" spans="1:6" x14ac:dyDescent="0.2">
      <c r="A36" s="4">
        <v>2019</v>
      </c>
      <c r="B36" s="4" t="s">
        <v>34</v>
      </c>
      <c r="C36" s="5">
        <v>11107116</v>
      </c>
      <c r="D36" s="4">
        <f t="shared" si="0"/>
        <v>7.5355489728157379E-2</v>
      </c>
      <c r="E36" s="8">
        <f t="shared" si="1"/>
        <v>7704250.8493781807</v>
      </c>
      <c r="F36" s="14">
        <f t="shared" si="2"/>
        <v>18811366.84937818</v>
      </c>
    </row>
    <row r="37" spans="1:6" x14ac:dyDescent="0.2">
      <c r="A37" s="4">
        <v>2019</v>
      </c>
      <c r="B37" s="4" t="s">
        <v>35</v>
      </c>
      <c r="C37" s="5">
        <v>132699</v>
      </c>
      <c r="D37" s="4">
        <f t="shared" si="0"/>
        <v>9.0028753921690891E-4</v>
      </c>
      <c r="E37" s="8">
        <f t="shared" si="1"/>
        <v>92044.269949250127</v>
      </c>
      <c r="F37" s="14">
        <f t="shared" si="2"/>
        <v>224743.26994925013</v>
      </c>
    </row>
    <row r="38" spans="1:6" x14ac:dyDescent="0.2">
      <c r="A38" s="4">
        <v>2019</v>
      </c>
      <c r="B38" s="4" t="s">
        <v>36</v>
      </c>
      <c r="C38" s="5">
        <v>3708668</v>
      </c>
      <c r="D38" s="4">
        <f t="shared" si="0"/>
        <v>2.5161211369283079E-2</v>
      </c>
      <c r="E38" s="8">
        <f t="shared" si="1"/>
        <v>2572450.7233976563</v>
      </c>
      <c r="F38" s="14">
        <f t="shared" si="2"/>
        <v>6281118.7233976563</v>
      </c>
    </row>
    <row r="39" spans="1:6" x14ac:dyDescent="0.2">
      <c r="A39" s="4">
        <v>2019</v>
      </c>
      <c r="B39" s="4" t="s">
        <v>37</v>
      </c>
      <c r="C39" s="5">
        <v>3360357</v>
      </c>
      <c r="D39" s="4">
        <f t="shared" si="0"/>
        <v>2.279811855718818E-2</v>
      </c>
      <c r="E39" s="8">
        <f t="shared" si="1"/>
        <v>2330851.0752443676</v>
      </c>
      <c r="F39" s="14">
        <f t="shared" si="2"/>
        <v>5691208.0752443671</v>
      </c>
    </row>
    <row r="40" spans="1:6" x14ac:dyDescent="0.2">
      <c r="A40" s="4">
        <v>2019</v>
      </c>
      <c r="B40" s="4" t="s">
        <v>38</v>
      </c>
      <c r="C40" s="5">
        <v>5452209</v>
      </c>
      <c r="D40" s="4">
        <f t="shared" si="0"/>
        <v>3.699014931466163E-2</v>
      </c>
      <c r="E40" s="8">
        <f t="shared" si="1"/>
        <v>3781826.5172739136</v>
      </c>
      <c r="F40" s="14">
        <f t="shared" si="2"/>
        <v>9234035.5172739141</v>
      </c>
    </row>
    <row r="41" spans="1:6" x14ac:dyDescent="0.2">
      <c r="A41" s="4">
        <v>2019</v>
      </c>
      <c r="B41" s="4" t="s">
        <v>39</v>
      </c>
      <c r="C41" s="5">
        <v>419739</v>
      </c>
      <c r="D41" s="4">
        <f t="shared" si="0"/>
        <v>2.84769132716423E-3</v>
      </c>
      <c r="E41" s="8">
        <f t="shared" si="1"/>
        <v>291144.39313203795</v>
      </c>
      <c r="F41" s="14">
        <f t="shared" si="2"/>
        <v>710883.39313203795</v>
      </c>
    </row>
    <row r="42" spans="1:6" x14ac:dyDescent="0.2">
      <c r="A42" s="4">
        <v>2019</v>
      </c>
      <c r="B42" s="4" t="s">
        <v>40</v>
      </c>
      <c r="C42" s="5">
        <v>770857</v>
      </c>
      <c r="D42" s="4">
        <f t="shared" si="0"/>
        <v>5.2298280440555601E-3</v>
      </c>
      <c r="E42" s="8">
        <f t="shared" si="1"/>
        <v>534691.06624970131</v>
      </c>
      <c r="F42" s="14">
        <f t="shared" si="2"/>
        <v>1305548.0662497012</v>
      </c>
    </row>
    <row r="43" spans="1:6" x14ac:dyDescent="0.2">
      <c r="A43" s="4">
        <v>2019</v>
      </c>
      <c r="B43" s="4" t="s">
        <v>41</v>
      </c>
      <c r="C43" s="5">
        <v>131545</v>
      </c>
      <c r="D43" s="4">
        <f t="shared" si="0"/>
        <v>8.9245830297355884E-4</v>
      </c>
      <c r="E43" s="8">
        <f t="shared" si="1"/>
        <v>91243.818645763036</v>
      </c>
      <c r="F43" s="14">
        <f t="shared" si="2"/>
        <v>222788.81864576304</v>
      </c>
    </row>
    <row r="44" spans="1:6" x14ac:dyDescent="0.2">
      <c r="A44" s="4">
        <v>2019</v>
      </c>
      <c r="B44" s="4" t="s">
        <v>42</v>
      </c>
      <c r="C44" s="5">
        <v>290522</v>
      </c>
      <c r="D44" s="4">
        <f t="shared" si="0"/>
        <v>1.9710271853470998E-3</v>
      </c>
      <c r="E44" s="8">
        <f t="shared" si="1"/>
        <v>201515.34973282425</v>
      </c>
      <c r="F44" s="14">
        <f t="shared" si="2"/>
        <v>492037.34973282425</v>
      </c>
    </row>
    <row r="45" spans="1:6" x14ac:dyDescent="0.2">
      <c r="A45" s="4">
        <v>2019</v>
      </c>
      <c r="B45" s="4" t="s">
        <v>43</v>
      </c>
      <c r="C45" s="5">
        <v>145674</v>
      </c>
      <c r="D45" s="4">
        <f t="shared" si="0"/>
        <v>9.8831556370344918E-4</v>
      </c>
      <c r="E45" s="8">
        <f t="shared" si="1"/>
        <v>101044.14487363932</v>
      </c>
      <c r="F45" s="14">
        <f t="shared" si="2"/>
        <v>246718.14487363934</v>
      </c>
    </row>
    <row r="46" spans="1:6" x14ac:dyDescent="0.2">
      <c r="A46" s="4">
        <v>2019</v>
      </c>
      <c r="B46" s="4" t="s">
        <v>44</v>
      </c>
      <c r="C46" s="5">
        <v>262667</v>
      </c>
      <c r="D46" s="4">
        <f t="shared" si="0"/>
        <v>1.7820467905823542E-3</v>
      </c>
      <c r="E46" s="8">
        <f t="shared" si="1"/>
        <v>182194.23096451128</v>
      </c>
      <c r="F46" s="14">
        <f t="shared" si="2"/>
        <v>444861.23096451128</v>
      </c>
    </row>
    <row r="47" spans="1:6" x14ac:dyDescent="0.2">
      <c r="A47" s="4">
        <v>2019</v>
      </c>
      <c r="B47" s="4" t="s">
        <v>45</v>
      </c>
      <c r="C47" s="5">
        <v>302120</v>
      </c>
      <c r="D47" s="4">
        <f t="shared" si="0"/>
        <v>2.049713044922814E-3</v>
      </c>
      <c r="E47" s="8">
        <f t="shared" si="1"/>
        <v>209560.09342246322</v>
      </c>
      <c r="F47" s="14">
        <f t="shared" si="2"/>
        <v>511680.09342246322</v>
      </c>
    </row>
    <row r="48" spans="1:6" x14ac:dyDescent="0.2">
      <c r="A48" s="4">
        <v>2019</v>
      </c>
      <c r="B48" s="4" t="s">
        <v>46</v>
      </c>
      <c r="C48" s="5">
        <v>439013</v>
      </c>
      <c r="D48" s="4">
        <f t="shared" si="0"/>
        <v>2.9784544981818466E-3</v>
      </c>
      <c r="E48" s="8">
        <f t="shared" si="1"/>
        <v>304513.45589062577</v>
      </c>
      <c r="F48" s="14">
        <f t="shared" si="2"/>
        <v>743526.45589062572</v>
      </c>
    </row>
    <row r="49" spans="1:6" x14ac:dyDescent="0.2">
      <c r="A49" s="4">
        <v>2019</v>
      </c>
      <c r="B49" s="4" t="s">
        <v>47</v>
      </c>
      <c r="C49" s="5">
        <v>173224</v>
      </c>
      <c r="D49" s="4">
        <f t="shared" si="0"/>
        <v>1.175226706254831E-3</v>
      </c>
      <c r="E49" s="8">
        <f t="shared" si="1"/>
        <v>120153.70588843098</v>
      </c>
      <c r="F49" s="14">
        <f t="shared" si="2"/>
        <v>293377.705888431</v>
      </c>
    </row>
    <row r="50" spans="1:6" x14ac:dyDescent="0.2">
      <c r="A50" s="4">
        <v>2019</v>
      </c>
      <c r="B50" s="4" t="s">
        <v>48</v>
      </c>
      <c r="C50" s="5">
        <v>173772</v>
      </c>
      <c r="D50" s="4">
        <f t="shared" si="0"/>
        <v>1.1789445758053994E-3</v>
      </c>
      <c r="E50" s="8">
        <f t="shared" si="1"/>
        <v>120533.81621279055</v>
      </c>
      <c r="F50" s="14">
        <f t="shared" si="2"/>
        <v>294305.81621279055</v>
      </c>
    </row>
    <row r="51" spans="1:6" x14ac:dyDescent="0.2">
      <c r="A51" s="4">
        <v>2019</v>
      </c>
      <c r="B51" s="4" t="s">
        <v>49</v>
      </c>
      <c r="C51" s="5">
        <v>172683</v>
      </c>
      <c r="D51" s="4">
        <f t="shared" si="0"/>
        <v>1.1715563277386678E-3</v>
      </c>
      <c r="E51" s="8">
        <f t="shared" si="1"/>
        <v>119778.45098792274</v>
      </c>
      <c r="F51" s="14">
        <f t="shared" si="2"/>
        <v>292461.45098792273</v>
      </c>
    </row>
    <row r="52" spans="1:6" x14ac:dyDescent="0.2">
      <c r="A52" s="4">
        <v>2019</v>
      </c>
      <c r="B52" s="4" t="s">
        <v>50</v>
      </c>
      <c r="C52" s="5">
        <v>256371</v>
      </c>
      <c r="D52" s="4">
        <f t="shared" si="0"/>
        <v>1.739331997351737E-3</v>
      </c>
      <c r="E52" s="8">
        <f t="shared" si="1"/>
        <v>177827.1240262489</v>
      </c>
      <c r="F52" s="14">
        <f t="shared" si="2"/>
        <v>434198.12402624893</v>
      </c>
    </row>
    <row r="53" spans="1:6" x14ac:dyDescent="0.2">
      <c r="A53" s="4">
        <v>2019</v>
      </c>
      <c r="B53" s="4" t="s">
        <v>51</v>
      </c>
      <c r="C53" s="5">
        <v>188913</v>
      </c>
      <c r="D53" s="4">
        <f t="shared" si="0"/>
        <v>1.2816676832235654E-3</v>
      </c>
      <c r="E53" s="8">
        <f t="shared" si="1"/>
        <v>131036.09800317025</v>
      </c>
      <c r="F53" s="14">
        <f t="shared" si="2"/>
        <v>319949.09800317022</v>
      </c>
    </row>
    <row r="54" spans="1:6" x14ac:dyDescent="0.2">
      <c r="A54" s="4">
        <v>2019</v>
      </c>
      <c r="B54" s="4" t="s">
        <v>52</v>
      </c>
      <c r="C54" s="5">
        <v>114673</v>
      </c>
      <c r="D54" s="4">
        <f t="shared" si="0"/>
        <v>7.7799134119036764E-4</v>
      </c>
      <c r="E54" s="8">
        <f t="shared" si="1"/>
        <v>79540.859900152675</v>
      </c>
      <c r="F54" s="14">
        <f t="shared" si="2"/>
        <v>194213.85990015266</v>
      </c>
    </row>
    <row r="55" spans="1:6" x14ac:dyDescent="0.2">
      <c r="A55" s="4">
        <v>2019</v>
      </c>
      <c r="B55" s="4" t="s">
        <v>53</v>
      </c>
      <c r="C55" s="5">
        <v>82861</v>
      </c>
      <c r="D55" s="4">
        <f t="shared" si="0"/>
        <v>5.6216494311978461E-4</v>
      </c>
      <c r="E55" s="8">
        <f t="shared" si="1"/>
        <v>57475.039391893049</v>
      </c>
      <c r="F55" s="14">
        <f t="shared" si="2"/>
        <v>140336.03939189305</v>
      </c>
    </row>
    <row r="56" spans="1:6" x14ac:dyDescent="0.2">
      <c r="A56" s="4">
        <v>2019</v>
      </c>
      <c r="B56" s="4" t="s">
        <v>54</v>
      </c>
      <c r="C56" s="5">
        <v>30760</v>
      </c>
      <c r="D56" s="4">
        <f t="shared" si="0"/>
        <v>2.0868917404284976E-4</v>
      </c>
      <c r="E56" s="8">
        <f t="shared" si="1"/>
        <v>21336.119666605882</v>
      </c>
      <c r="F56" s="14">
        <f t="shared" si="2"/>
        <v>52096.119666605882</v>
      </c>
    </row>
    <row r="58" spans="1:6" x14ac:dyDescent="0.2">
      <c r="B58" s="4" t="s">
        <v>61</v>
      </c>
      <c r="C58" s="5">
        <f>SUM(C2:C56)</f>
        <v>147396242</v>
      </c>
    </row>
    <row r="60" spans="1:6" x14ac:dyDescent="0.2">
      <c r="B60" s="4" t="s">
        <v>62</v>
      </c>
      <c r="C60" s="5">
        <v>147396241</v>
      </c>
    </row>
    <row r="62" spans="1:6" x14ac:dyDescent="0.2">
      <c r="B62" s="6" t="s">
        <v>63</v>
      </c>
      <c r="C62" s="7">
        <f>C58-C60</f>
        <v>1</v>
      </c>
    </row>
    <row r="64" spans="1:6" x14ac:dyDescent="0.2">
      <c r="B64" s="4" t="s">
        <v>64</v>
      </c>
      <c r="C64" s="5">
        <v>102238747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E4F98-7839-154B-AED8-EF5A0057FAA6}">
  <sheetPr>
    <tabColor rgb="FFFFFF00"/>
  </sheetPr>
  <dimension ref="A1:F63"/>
  <sheetViews>
    <sheetView workbookViewId="0">
      <selection activeCell="E2" sqref="E2:F55"/>
    </sheetView>
  </sheetViews>
  <sheetFormatPr baseColWidth="10" defaultRowHeight="16" x14ac:dyDescent="0.2"/>
  <cols>
    <col min="1" max="1" width="10.83203125" style="4"/>
    <col min="2" max="2" width="30.83203125" style="4" bestFit="1" customWidth="1"/>
    <col min="3" max="3" width="18.83203125" style="4" bestFit="1" customWidth="1"/>
    <col min="4" max="4" width="11.5" bestFit="1" customWidth="1"/>
    <col min="5" max="5" width="17.1640625" bestFit="1" customWidth="1"/>
    <col min="6" max="6" width="18.1640625" bestFit="1" customWidth="1"/>
  </cols>
  <sheetData>
    <row r="1" spans="1:6" x14ac:dyDescent="0.2">
      <c r="A1" t="s">
        <v>58</v>
      </c>
      <c r="B1" s="4" t="s">
        <v>59</v>
      </c>
      <c r="C1" s="4" t="s">
        <v>60</v>
      </c>
      <c r="D1" s="4" t="s">
        <v>65</v>
      </c>
      <c r="E1" s="4" t="s">
        <v>66</v>
      </c>
      <c r="F1" s="8" t="s">
        <v>67</v>
      </c>
    </row>
    <row r="2" spans="1:6" x14ac:dyDescent="0.2">
      <c r="A2" s="4">
        <v>2018</v>
      </c>
      <c r="B2" s="4" t="s">
        <v>0</v>
      </c>
      <c r="C2" s="5">
        <v>3366722</v>
      </c>
      <c r="D2">
        <f>C2/$C$57</f>
        <v>2.3902258314512387E-2</v>
      </c>
      <c r="E2" s="9">
        <f>D2*$C$57</f>
        <v>3366721.9999999995</v>
      </c>
      <c r="F2" s="19">
        <f>SUM(E2,C2)</f>
        <v>6733444</v>
      </c>
    </row>
    <row r="3" spans="1:6" x14ac:dyDescent="0.2">
      <c r="A3" s="4">
        <v>2018</v>
      </c>
      <c r="B3" s="4" t="s">
        <v>1</v>
      </c>
      <c r="C3" s="5">
        <v>3315316</v>
      </c>
      <c r="D3">
        <f t="shared" ref="D3:D55" si="0">C3/$C$57</f>
        <v>2.3537298127447398E-2</v>
      </c>
      <c r="E3" s="9">
        <f t="shared" ref="E3:E55" si="1">D3*$C$57</f>
        <v>3315316</v>
      </c>
      <c r="F3" s="19">
        <f t="shared" ref="F3:F55" si="2">SUM(E3,C3)</f>
        <v>6630632</v>
      </c>
    </row>
    <row r="4" spans="1:6" x14ac:dyDescent="0.2">
      <c r="A4" s="4">
        <v>2018</v>
      </c>
      <c r="B4" s="4" t="s">
        <v>2</v>
      </c>
      <c r="C4" s="5">
        <v>2131274</v>
      </c>
      <c r="D4">
        <f t="shared" si="0"/>
        <v>1.5131116167893897E-2</v>
      </c>
      <c r="E4" s="9">
        <f t="shared" si="1"/>
        <v>2131274</v>
      </c>
      <c r="F4" s="19">
        <f t="shared" si="2"/>
        <v>4262548</v>
      </c>
    </row>
    <row r="5" spans="1:6" x14ac:dyDescent="0.2">
      <c r="A5" s="4">
        <v>2018</v>
      </c>
      <c r="B5" s="4" t="s">
        <v>3</v>
      </c>
      <c r="C5" s="5">
        <v>2638883</v>
      </c>
      <c r="D5">
        <f t="shared" si="0"/>
        <v>1.8734918751169654E-2</v>
      </c>
      <c r="E5" s="9">
        <f t="shared" si="1"/>
        <v>2638883</v>
      </c>
      <c r="F5" s="19">
        <f t="shared" si="2"/>
        <v>5277766</v>
      </c>
    </row>
    <row r="6" spans="1:6" x14ac:dyDescent="0.2">
      <c r="A6" s="4">
        <v>2018</v>
      </c>
      <c r="B6" s="4" t="s">
        <v>4</v>
      </c>
      <c r="C6" s="5">
        <v>3501206</v>
      </c>
      <c r="D6">
        <f t="shared" si="0"/>
        <v>2.4857036079700273E-2</v>
      </c>
      <c r="E6" s="9">
        <f t="shared" si="1"/>
        <v>3501206</v>
      </c>
      <c r="F6" s="19">
        <f t="shared" si="2"/>
        <v>7002412</v>
      </c>
    </row>
    <row r="7" spans="1:6" x14ac:dyDescent="0.2">
      <c r="A7" s="4">
        <v>2018</v>
      </c>
      <c r="B7" s="4" t="s">
        <v>5</v>
      </c>
      <c r="C7" s="5">
        <v>5031192</v>
      </c>
      <c r="D7">
        <f t="shared" si="0"/>
        <v>3.5719269608214824E-2</v>
      </c>
      <c r="E7" s="9">
        <f t="shared" si="1"/>
        <v>5031192.0000000009</v>
      </c>
      <c r="F7" s="19">
        <f t="shared" si="2"/>
        <v>10062384</v>
      </c>
    </row>
    <row r="8" spans="1:6" x14ac:dyDescent="0.2">
      <c r="A8" s="4">
        <v>2018</v>
      </c>
      <c r="B8" s="4" t="s">
        <v>6</v>
      </c>
      <c r="C8" s="5">
        <v>11085649</v>
      </c>
      <c r="D8">
        <f t="shared" si="0"/>
        <v>7.8703274574501825E-2</v>
      </c>
      <c r="E8" s="9">
        <f t="shared" si="1"/>
        <v>11085649</v>
      </c>
      <c r="F8" s="19">
        <f t="shared" si="2"/>
        <v>22171298</v>
      </c>
    </row>
    <row r="9" spans="1:6" x14ac:dyDescent="0.2">
      <c r="A9" s="4">
        <v>2018</v>
      </c>
      <c r="B9" s="4" t="s">
        <v>7</v>
      </c>
      <c r="C9" s="5">
        <v>4309643</v>
      </c>
      <c r="D9">
        <f t="shared" si="0"/>
        <v>3.0596586302441994E-2</v>
      </c>
      <c r="E9" s="9">
        <f t="shared" si="1"/>
        <v>4309643</v>
      </c>
      <c r="F9" s="19">
        <f t="shared" si="2"/>
        <v>8619286</v>
      </c>
    </row>
    <row r="10" spans="1:6" x14ac:dyDescent="0.2">
      <c r="A10" s="4">
        <v>2018</v>
      </c>
      <c r="B10" s="4" t="s">
        <v>8</v>
      </c>
      <c r="C10" s="5">
        <v>2533100</v>
      </c>
      <c r="D10">
        <f t="shared" si="0"/>
        <v>1.7983905572390987E-2</v>
      </c>
      <c r="E10" s="9">
        <f t="shared" si="1"/>
        <v>2533100</v>
      </c>
      <c r="F10" s="19">
        <f t="shared" si="2"/>
        <v>5066200</v>
      </c>
    </row>
    <row r="11" spans="1:6" x14ac:dyDescent="0.2">
      <c r="A11" s="4">
        <v>2018</v>
      </c>
      <c r="B11" s="4" t="s">
        <v>9</v>
      </c>
      <c r="C11" s="5">
        <v>5272813</v>
      </c>
      <c r="D11">
        <f t="shared" si="0"/>
        <v>3.7434673361839504E-2</v>
      </c>
      <c r="E11" s="9">
        <f t="shared" si="1"/>
        <v>5272813</v>
      </c>
      <c r="F11" s="19">
        <f t="shared" si="2"/>
        <v>10545626</v>
      </c>
    </row>
    <row r="12" spans="1:6" x14ac:dyDescent="0.2">
      <c r="A12" s="4">
        <v>2018</v>
      </c>
      <c r="B12" s="4" t="s">
        <v>10</v>
      </c>
      <c r="C12" s="5">
        <v>1871063</v>
      </c>
      <c r="D12">
        <f t="shared" si="0"/>
        <v>1.3283731519479926E-2</v>
      </c>
      <c r="E12" s="9">
        <f t="shared" si="1"/>
        <v>1871063</v>
      </c>
      <c r="F12" s="19">
        <f t="shared" si="2"/>
        <v>3742126</v>
      </c>
    </row>
    <row r="13" spans="1:6" x14ac:dyDescent="0.2">
      <c r="A13" s="4">
        <v>2018</v>
      </c>
      <c r="B13" s="4" t="s">
        <v>11</v>
      </c>
      <c r="C13" s="5">
        <v>235000</v>
      </c>
      <c r="D13">
        <f t="shared" si="0"/>
        <v>1.6683975403702508E-3</v>
      </c>
      <c r="E13" s="9">
        <f t="shared" si="1"/>
        <v>235000</v>
      </c>
      <c r="F13" s="19">
        <f t="shared" si="2"/>
        <v>470000</v>
      </c>
    </row>
    <row r="14" spans="1:6" x14ac:dyDescent="0.2">
      <c r="A14" s="4">
        <v>2018</v>
      </c>
      <c r="B14" s="4" t="s">
        <v>12</v>
      </c>
      <c r="C14" s="5">
        <v>1256102</v>
      </c>
      <c r="D14">
        <f t="shared" si="0"/>
        <v>8.9177765415070324E-3</v>
      </c>
      <c r="E14" s="9">
        <f t="shared" si="1"/>
        <v>1256102</v>
      </c>
      <c r="F14" s="19">
        <f t="shared" si="2"/>
        <v>2512204</v>
      </c>
    </row>
    <row r="15" spans="1:6" x14ac:dyDescent="0.2">
      <c r="A15" s="4">
        <v>2018</v>
      </c>
      <c r="B15" s="4" t="s">
        <v>13</v>
      </c>
      <c r="C15" s="5">
        <v>546153</v>
      </c>
      <c r="D15">
        <f t="shared" si="0"/>
        <v>3.8774481781524831E-3</v>
      </c>
      <c r="E15" s="9">
        <f t="shared" si="1"/>
        <v>546153</v>
      </c>
      <c r="F15" s="19">
        <f t="shared" si="2"/>
        <v>1092306</v>
      </c>
    </row>
    <row r="16" spans="1:6" x14ac:dyDescent="0.2">
      <c r="A16" s="4">
        <v>2018</v>
      </c>
      <c r="B16" s="4" t="s">
        <v>14</v>
      </c>
      <c r="C16" s="5">
        <v>591801</v>
      </c>
      <c r="D16">
        <f t="shared" si="0"/>
        <v>4.201529075696403E-3</v>
      </c>
      <c r="E16" s="9">
        <f t="shared" si="1"/>
        <v>591801</v>
      </c>
      <c r="F16" s="19">
        <f t="shared" si="2"/>
        <v>1183602</v>
      </c>
    </row>
    <row r="17" spans="1:6" x14ac:dyDescent="0.2">
      <c r="A17" s="4">
        <v>2018</v>
      </c>
      <c r="B17" s="4" t="s">
        <v>15</v>
      </c>
      <c r="C17" s="5">
        <v>3426841</v>
      </c>
      <c r="D17">
        <f t="shared" si="0"/>
        <v>2.4329077002723107E-2</v>
      </c>
      <c r="E17" s="9">
        <f t="shared" si="1"/>
        <v>3426841</v>
      </c>
      <c r="F17" s="19">
        <f t="shared" si="2"/>
        <v>6853682</v>
      </c>
    </row>
    <row r="18" spans="1:6" x14ac:dyDescent="0.2">
      <c r="A18" s="4">
        <v>2018</v>
      </c>
      <c r="B18" s="4" t="s">
        <v>16</v>
      </c>
      <c r="C18" s="5">
        <v>3475182</v>
      </c>
      <c r="D18">
        <f t="shared" si="0"/>
        <v>2.4672277026123273E-2</v>
      </c>
      <c r="E18" s="9">
        <f t="shared" si="1"/>
        <v>3475182</v>
      </c>
      <c r="F18" s="19">
        <f t="shared" si="2"/>
        <v>6950364</v>
      </c>
    </row>
    <row r="19" spans="1:6" x14ac:dyDescent="0.2">
      <c r="A19" s="4">
        <v>2018</v>
      </c>
      <c r="B19" s="4" t="s">
        <v>17</v>
      </c>
      <c r="C19" s="5">
        <v>333080</v>
      </c>
      <c r="D19">
        <f t="shared" si="0"/>
        <v>2.3647227776447794E-3</v>
      </c>
      <c r="E19" s="9">
        <f t="shared" si="1"/>
        <v>333080</v>
      </c>
      <c r="F19" s="19">
        <f t="shared" si="2"/>
        <v>666160</v>
      </c>
    </row>
    <row r="20" spans="1:6" x14ac:dyDescent="0.2">
      <c r="A20" s="4">
        <v>2018</v>
      </c>
      <c r="B20" s="4" t="s">
        <v>18</v>
      </c>
      <c r="C20" s="5">
        <v>2494455</v>
      </c>
      <c r="D20">
        <f t="shared" si="0"/>
        <v>1.7709542921550102E-2</v>
      </c>
      <c r="E20" s="9">
        <f t="shared" si="1"/>
        <v>2494455</v>
      </c>
      <c r="F20" s="19">
        <f t="shared" si="2"/>
        <v>4988910</v>
      </c>
    </row>
    <row r="21" spans="1:6" x14ac:dyDescent="0.2">
      <c r="A21" s="4">
        <v>2018</v>
      </c>
      <c r="B21" s="4" t="s">
        <v>19</v>
      </c>
      <c r="C21" s="5">
        <v>1660661</v>
      </c>
      <c r="D21">
        <f t="shared" si="0"/>
        <v>1.1789969054420429E-2</v>
      </c>
      <c r="E21" s="9">
        <f t="shared" si="1"/>
        <v>1660660.9999999998</v>
      </c>
      <c r="F21" s="19">
        <f t="shared" si="2"/>
        <v>3321322</v>
      </c>
    </row>
    <row r="22" spans="1:6" x14ac:dyDescent="0.2">
      <c r="A22" s="4">
        <v>2018</v>
      </c>
      <c r="B22" s="4" t="s">
        <v>20</v>
      </c>
      <c r="C22" s="5">
        <v>283729</v>
      </c>
      <c r="D22">
        <f t="shared" si="0"/>
        <v>2.0143521946030252E-3</v>
      </c>
      <c r="E22" s="9">
        <f t="shared" si="1"/>
        <v>283729</v>
      </c>
      <c r="F22" s="19">
        <f t="shared" si="2"/>
        <v>567458</v>
      </c>
    </row>
    <row r="23" spans="1:6" x14ac:dyDescent="0.2">
      <c r="A23" s="4">
        <v>2018</v>
      </c>
      <c r="B23" s="4" t="s">
        <v>21</v>
      </c>
      <c r="C23" s="5">
        <v>2554605</v>
      </c>
      <c r="D23">
        <f t="shared" si="0"/>
        <v>1.813658169624487E-2</v>
      </c>
      <c r="E23" s="9">
        <f t="shared" si="1"/>
        <v>2554605</v>
      </c>
      <c r="F23" s="19">
        <f t="shared" si="2"/>
        <v>5109210</v>
      </c>
    </row>
    <row r="24" spans="1:6" x14ac:dyDescent="0.2">
      <c r="A24" s="4">
        <v>2018</v>
      </c>
      <c r="B24" s="4" t="s">
        <v>22</v>
      </c>
      <c r="C24" s="5">
        <v>4077838</v>
      </c>
      <c r="D24">
        <f t="shared" si="0"/>
        <v>2.8950871869056777E-2</v>
      </c>
      <c r="E24" s="9">
        <f t="shared" si="1"/>
        <v>4077838</v>
      </c>
      <c r="F24" s="19">
        <f t="shared" si="2"/>
        <v>8155676</v>
      </c>
    </row>
    <row r="25" spans="1:6" x14ac:dyDescent="0.2">
      <c r="A25" s="4">
        <v>2018</v>
      </c>
      <c r="B25" s="4" t="s">
        <v>23</v>
      </c>
      <c r="C25" s="5">
        <v>3538031</v>
      </c>
      <c r="D25">
        <f t="shared" si="0"/>
        <v>2.5118477524058293E-2</v>
      </c>
      <c r="E25" s="9">
        <f t="shared" si="1"/>
        <v>3538031</v>
      </c>
      <c r="F25" s="19">
        <f t="shared" si="2"/>
        <v>7076062</v>
      </c>
    </row>
    <row r="26" spans="1:6" x14ac:dyDescent="0.2">
      <c r="A26" s="4">
        <v>2018</v>
      </c>
      <c r="B26" s="4" t="s">
        <v>24</v>
      </c>
      <c r="C26" s="5">
        <v>1685417</v>
      </c>
      <c r="D26">
        <f t="shared" si="0"/>
        <v>1.1965725860843435E-2</v>
      </c>
      <c r="E26" s="9">
        <f t="shared" si="1"/>
        <v>1685417</v>
      </c>
      <c r="F26" s="19">
        <f t="shared" si="2"/>
        <v>3370834</v>
      </c>
    </row>
    <row r="27" spans="1:6" x14ac:dyDescent="0.2">
      <c r="A27" s="4">
        <v>2018</v>
      </c>
      <c r="B27" s="4" t="s">
        <v>25</v>
      </c>
      <c r="C27" s="5">
        <v>356738</v>
      </c>
      <c r="D27">
        <f t="shared" si="0"/>
        <v>2.5326842627940533E-3</v>
      </c>
      <c r="E27" s="9">
        <f t="shared" si="1"/>
        <v>356738</v>
      </c>
      <c r="F27" s="19">
        <f t="shared" si="2"/>
        <v>713476</v>
      </c>
    </row>
    <row r="28" spans="1:6" x14ac:dyDescent="0.2">
      <c r="A28" s="4">
        <v>2018</v>
      </c>
      <c r="B28" s="4" t="s">
        <v>26</v>
      </c>
      <c r="C28" s="5">
        <v>8421811</v>
      </c>
      <c r="D28">
        <f t="shared" si="0"/>
        <v>5.9791186203672859E-2</v>
      </c>
      <c r="E28" s="9">
        <f t="shared" si="1"/>
        <v>8421811</v>
      </c>
      <c r="F28" s="19">
        <f t="shared" si="2"/>
        <v>16843622</v>
      </c>
    </row>
    <row r="29" spans="1:6" x14ac:dyDescent="0.2">
      <c r="A29" s="4">
        <v>2018</v>
      </c>
      <c r="B29" s="4" t="s">
        <v>27</v>
      </c>
      <c r="C29" s="5">
        <v>2389753</v>
      </c>
      <c r="D29">
        <f t="shared" si="0"/>
        <v>1.6966204371457141E-2</v>
      </c>
      <c r="E29" s="9">
        <f t="shared" si="1"/>
        <v>2389753</v>
      </c>
      <c r="F29" s="19">
        <f t="shared" si="2"/>
        <v>4779506</v>
      </c>
    </row>
    <row r="30" spans="1:6" x14ac:dyDescent="0.2">
      <c r="A30" s="4">
        <v>2018</v>
      </c>
      <c r="B30" s="4" t="s">
        <v>28</v>
      </c>
      <c r="C30" s="5">
        <v>22281318</v>
      </c>
      <c r="D30">
        <f t="shared" si="0"/>
        <v>0.158187643180457</v>
      </c>
      <c r="E30" s="9">
        <f t="shared" si="1"/>
        <v>22281318</v>
      </c>
      <c r="F30" s="19">
        <f t="shared" si="2"/>
        <v>44562636</v>
      </c>
    </row>
    <row r="31" spans="1:6" x14ac:dyDescent="0.2">
      <c r="A31" s="4">
        <v>2018</v>
      </c>
      <c r="B31" s="4" t="s">
        <v>29</v>
      </c>
      <c r="C31" s="5">
        <v>1522761</v>
      </c>
      <c r="D31">
        <f t="shared" si="0"/>
        <v>1.0810939178603164E-2</v>
      </c>
      <c r="E31" s="9">
        <f t="shared" si="1"/>
        <v>1522761</v>
      </c>
      <c r="F31" s="19">
        <f t="shared" si="2"/>
        <v>3045522</v>
      </c>
    </row>
    <row r="32" spans="1:6" x14ac:dyDescent="0.2">
      <c r="A32" s="4">
        <v>2018</v>
      </c>
      <c r="B32" s="4" t="s">
        <v>30</v>
      </c>
      <c r="C32" s="5">
        <v>2604610</v>
      </c>
      <c r="D32">
        <f t="shared" si="0"/>
        <v>1.8491595394143655E-2</v>
      </c>
      <c r="E32" s="9">
        <f t="shared" si="1"/>
        <v>2604610</v>
      </c>
      <c r="F32" s="19">
        <f t="shared" si="2"/>
        <v>5209220</v>
      </c>
    </row>
    <row r="33" spans="1:6" x14ac:dyDescent="0.2">
      <c r="A33" s="4">
        <v>2018</v>
      </c>
      <c r="B33" s="4" t="s">
        <v>31</v>
      </c>
      <c r="C33" s="5">
        <v>3621894</v>
      </c>
      <c r="D33">
        <f t="shared" si="0"/>
        <v>2.5713868259922421E-2</v>
      </c>
      <c r="E33" s="9">
        <f t="shared" si="1"/>
        <v>3621894</v>
      </c>
      <c r="F33" s="19">
        <f t="shared" si="2"/>
        <v>7243788</v>
      </c>
    </row>
    <row r="34" spans="1:6" x14ac:dyDescent="0.2">
      <c r="A34" s="4">
        <v>2018</v>
      </c>
      <c r="B34" s="4" t="s">
        <v>32</v>
      </c>
      <c r="C34" s="5">
        <v>1743350</v>
      </c>
      <c r="D34">
        <f t="shared" si="0"/>
        <v>1.237702490214671E-2</v>
      </c>
      <c r="E34" s="9">
        <f t="shared" si="1"/>
        <v>1743350</v>
      </c>
      <c r="F34" s="19">
        <f t="shared" si="2"/>
        <v>3486700</v>
      </c>
    </row>
    <row r="35" spans="1:6" x14ac:dyDescent="0.2">
      <c r="A35" s="4">
        <v>2018</v>
      </c>
      <c r="B35" s="4" t="s">
        <v>33</v>
      </c>
      <c r="C35" s="5">
        <v>132115</v>
      </c>
      <c r="D35">
        <f t="shared" si="0"/>
        <v>9.3795889806815187E-4</v>
      </c>
      <c r="E35" s="9">
        <f t="shared" si="1"/>
        <v>132115</v>
      </c>
      <c r="F35" s="19">
        <f t="shared" si="2"/>
        <v>264230</v>
      </c>
    </row>
    <row r="36" spans="1:6" x14ac:dyDescent="0.2">
      <c r="A36" s="4">
        <v>2018</v>
      </c>
      <c r="B36" s="4" t="s">
        <v>34</v>
      </c>
      <c r="C36" s="5">
        <v>10833531</v>
      </c>
      <c r="D36">
        <f t="shared" si="0"/>
        <v>7.6913346697552606E-2</v>
      </c>
      <c r="E36" s="9">
        <f t="shared" si="1"/>
        <v>10833531</v>
      </c>
      <c r="F36" s="19">
        <f t="shared" si="2"/>
        <v>21667062</v>
      </c>
    </row>
    <row r="37" spans="1:6" x14ac:dyDescent="0.2">
      <c r="A37" s="4">
        <v>2018</v>
      </c>
      <c r="B37" s="4" t="s">
        <v>35</v>
      </c>
      <c r="C37" s="5">
        <v>142512</v>
      </c>
      <c r="D37">
        <f t="shared" si="0"/>
        <v>1.0117730649925327E-3</v>
      </c>
      <c r="E37" s="9">
        <f t="shared" si="1"/>
        <v>142512</v>
      </c>
      <c r="F37" s="19">
        <f t="shared" si="2"/>
        <v>285024</v>
      </c>
    </row>
    <row r="38" spans="1:6" x14ac:dyDescent="0.2">
      <c r="A38" s="4">
        <v>2018</v>
      </c>
      <c r="B38" s="4" t="s">
        <v>36</v>
      </c>
      <c r="C38" s="5">
        <v>3521155</v>
      </c>
      <c r="D38">
        <f t="shared" si="0"/>
        <v>2.4998665281967702E-2</v>
      </c>
      <c r="E38" s="9">
        <f t="shared" si="1"/>
        <v>3521155</v>
      </c>
      <c r="F38" s="19">
        <f t="shared" si="2"/>
        <v>7042310</v>
      </c>
    </row>
    <row r="39" spans="1:6" x14ac:dyDescent="0.2">
      <c r="A39" s="4">
        <v>2018</v>
      </c>
      <c r="B39" s="4" t="s">
        <v>37</v>
      </c>
      <c r="C39" s="5">
        <v>3323990</v>
      </c>
      <c r="D39">
        <f t="shared" si="0"/>
        <v>2.3598879745597063E-2</v>
      </c>
      <c r="E39" s="9">
        <f t="shared" si="1"/>
        <v>3323990</v>
      </c>
      <c r="F39" s="19">
        <f t="shared" si="2"/>
        <v>6647980</v>
      </c>
    </row>
    <row r="40" spans="1:6" x14ac:dyDescent="0.2">
      <c r="A40" s="4">
        <v>2018</v>
      </c>
      <c r="B40" s="4" t="s">
        <v>38</v>
      </c>
      <c r="C40" s="5">
        <v>5131616</v>
      </c>
      <c r="D40">
        <f t="shared" si="0"/>
        <v>3.6432236223509044E-2</v>
      </c>
      <c r="E40" s="9">
        <f t="shared" si="1"/>
        <v>5131616</v>
      </c>
      <c r="F40" s="19">
        <f t="shared" si="2"/>
        <v>10263232</v>
      </c>
    </row>
    <row r="41" spans="1:6" x14ac:dyDescent="0.2">
      <c r="A41" s="4">
        <v>2018</v>
      </c>
      <c r="B41" s="4" t="s">
        <v>39</v>
      </c>
      <c r="C41" s="5">
        <v>384010</v>
      </c>
      <c r="D41">
        <f t="shared" si="0"/>
        <v>2.7263035722450211E-3</v>
      </c>
      <c r="E41" s="9">
        <f t="shared" si="1"/>
        <v>384010</v>
      </c>
      <c r="F41" s="19">
        <f t="shared" si="2"/>
        <v>768020</v>
      </c>
    </row>
    <row r="42" spans="1:6" x14ac:dyDescent="0.2">
      <c r="A42" s="4">
        <v>2018</v>
      </c>
      <c r="B42" s="4" t="s">
        <v>40</v>
      </c>
      <c r="C42" s="5">
        <v>739505</v>
      </c>
      <c r="D42">
        <f t="shared" si="0"/>
        <v>5.2501630769851166E-3</v>
      </c>
      <c r="E42" s="9">
        <f t="shared" si="1"/>
        <v>739505</v>
      </c>
      <c r="F42" s="19">
        <f t="shared" si="2"/>
        <v>1479010</v>
      </c>
    </row>
    <row r="43" spans="1:6" x14ac:dyDescent="0.2">
      <c r="A43" s="4">
        <v>2018</v>
      </c>
      <c r="B43" s="4" t="s">
        <v>41</v>
      </c>
      <c r="C43" s="5">
        <v>119601</v>
      </c>
      <c r="D43">
        <f t="shared" si="0"/>
        <v>8.4911495415243554E-4</v>
      </c>
      <c r="E43" s="9">
        <f t="shared" si="1"/>
        <v>119601</v>
      </c>
      <c r="F43" s="19">
        <f t="shared" si="2"/>
        <v>239202</v>
      </c>
    </row>
    <row r="44" spans="1:6" x14ac:dyDescent="0.2">
      <c r="A44" s="4">
        <v>2018</v>
      </c>
      <c r="B44" s="4" t="s">
        <v>42</v>
      </c>
      <c r="C44" s="5">
        <v>299917</v>
      </c>
      <c r="D44">
        <f t="shared" si="0"/>
        <v>2.1292799366605299E-3</v>
      </c>
      <c r="E44" s="9">
        <f t="shared" si="1"/>
        <v>299917</v>
      </c>
      <c r="F44" s="19">
        <f t="shared" si="2"/>
        <v>599834</v>
      </c>
    </row>
    <row r="45" spans="1:6" x14ac:dyDescent="0.2">
      <c r="A45" s="4">
        <v>2018</v>
      </c>
      <c r="B45" s="4" t="s">
        <v>43</v>
      </c>
      <c r="C45" s="5">
        <v>128985</v>
      </c>
      <c r="D45">
        <f t="shared" si="0"/>
        <v>9.1573726274322043E-4</v>
      </c>
      <c r="E45" s="9">
        <f t="shared" si="1"/>
        <v>128985</v>
      </c>
      <c r="F45" s="19">
        <f t="shared" si="2"/>
        <v>257970</v>
      </c>
    </row>
    <row r="46" spans="1:6" x14ac:dyDescent="0.2">
      <c r="A46" s="4">
        <v>2018</v>
      </c>
      <c r="B46" s="4" t="s">
        <v>44</v>
      </c>
      <c r="C46" s="5">
        <v>221018</v>
      </c>
      <c r="D46">
        <f t="shared" si="0"/>
        <v>1.5691314365002217E-3</v>
      </c>
      <c r="E46" s="9">
        <f t="shared" si="1"/>
        <v>221018</v>
      </c>
      <c r="F46" s="19">
        <f t="shared" si="2"/>
        <v>442036</v>
      </c>
    </row>
    <row r="47" spans="1:6" x14ac:dyDescent="0.2">
      <c r="A47" s="4">
        <v>2018</v>
      </c>
      <c r="B47" s="4" t="s">
        <v>45</v>
      </c>
      <c r="C47" s="5">
        <v>271715</v>
      </c>
      <c r="D47">
        <f t="shared" si="0"/>
        <v>1.9290580326880966E-3</v>
      </c>
      <c r="E47" s="9">
        <f t="shared" si="1"/>
        <v>271715</v>
      </c>
      <c r="F47" s="19">
        <f t="shared" si="2"/>
        <v>543430</v>
      </c>
    </row>
    <row r="48" spans="1:6" x14ac:dyDescent="0.2">
      <c r="A48" s="4">
        <v>2018</v>
      </c>
      <c r="B48" s="4" t="s">
        <v>46</v>
      </c>
      <c r="C48" s="5">
        <v>426281</v>
      </c>
      <c r="D48">
        <f t="shared" si="0"/>
        <v>3.0264092421556209E-3</v>
      </c>
      <c r="E48" s="9">
        <f t="shared" si="1"/>
        <v>426281.00000000006</v>
      </c>
      <c r="F48" s="19">
        <f t="shared" si="2"/>
        <v>852562</v>
      </c>
    </row>
    <row r="49" spans="1:6" x14ac:dyDescent="0.2">
      <c r="A49" s="4">
        <v>2018</v>
      </c>
      <c r="B49" s="4" t="s">
        <v>47</v>
      </c>
      <c r="C49" s="5">
        <v>172655</v>
      </c>
      <c r="D49">
        <f t="shared" si="0"/>
        <v>1.225775222692024E-3</v>
      </c>
      <c r="E49" s="9">
        <f t="shared" si="1"/>
        <v>172655</v>
      </c>
      <c r="F49" s="19">
        <f t="shared" si="2"/>
        <v>345310</v>
      </c>
    </row>
    <row r="50" spans="1:6" x14ac:dyDescent="0.2">
      <c r="A50" s="4">
        <v>2018</v>
      </c>
      <c r="B50" s="4" t="s">
        <v>48</v>
      </c>
      <c r="C50" s="5">
        <v>168312</v>
      </c>
      <c r="D50">
        <f t="shared" si="0"/>
        <v>1.1949418162331815E-3</v>
      </c>
      <c r="E50" s="9">
        <f t="shared" si="1"/>
        <v>168312</v>
      </c>
      <c r="F50" s="19">
        <f t="shared" si="2"/>
        <v>336624</v>
      </c>
    </row>
    <row r="51" spans="1:6" x14ac:dyDescent="0.2">
      <c r="A51" s="4">
        <v>2018</v>
      </c>
      <c r="B51" s="4" t="s">
        <v>49</v>
      </c>
      <c r="C51" s="5">
        <v>142379</v>
      </c>
      <c r="D51">
        <f t="shared" si="0"/>
        <v>1.0108288229803231E-3</v>
      </c>
      <c r="E51" s="9">
        <f t="shared" si="1"/>
        <v>142379</v>
      </c>
      <c r="F51" s="19">
        <f t="shared" si="2"/>
        <v>284758</v>
      </c>
    </row>
    <row r="52" spans="1:6" x14ac:dyDescent="0.2">
      <c r="A52" s="4">
        <v>2018</v>
      </c>
      <c r="B52" s="4" t="s">
        <v>50</v>
      </c>
      <c r="C52" s="5">
        <v>204611</v>
      </c>
      <c r="D52">
        <f t="shared" si="0"/>
        <v>1.4526488899263719E-3</v>
      </c>
      <c r="E52" s="9">
        <f t="shared" si="1"/>
        <v>204611</v>
      </c>
      <c r="F52" s="19">
        <f t="shared" si="2"/>
        <v>409222</v>
      </c>
    </row>
    <row r="53" spans="1:6" x14ac:dyDescent="0.2">
      <c r="A53" s="4">
        <v>2018</v>
      </c>
      <c r="B53" s="4" t="s">
        <v>51</v>
      </c>
      <c r="C53" s="5">
        <v>171417</v>
      </c>
      <c r="D53">
        <f t="shared" si="0"/>
        <v>1.2169859624580736E-3</v>
      </c>
      <c r="E53" s="9">
        <f t="shared" si="1"/>
        <v>171417</v>
      </c>
      <c r="F53" s="19">
        <f t="shared" si="2"/>
        <v>342834</v>
      </c>
    </row>
    <row r="54" spans="1:6" x14ac:dyDescent="0.2">
      <c r="A54" s="4">
        <v>2018</v>
      </c>
      <c r="B54" s="4" t="s">
        <v>52</v>
      </c>
      <c r="C54" s="5">
        <v>93822</v>
      </c>
      <c r="D54">
        <f t="shared" si="0"/>
        <v>6.6609529375581992E-4</v>
      </c>
      <c r="E54" s="9">
        <f t="shared" si="1"/>
        <v>93822.000000000015</v>
      </c>
      <c r="F54" s="19">
        <f t="shared" si="2"/>
        <v>187644</v>
      </c>
    </row>
    <row r="55" spans="1:6" x14ac:dyDescent="0.2">
      <c r="A55" s="4">
        <v>2018</v>
      </c>
      <c r="B55" s="4" t="s">
        <v>53</v>
      </c>
      <c r="C55" s="5">
        <v>66582</v>
      </c>
      <c r="D55">
        <f t="shared" si="0"/>
        <v>4.7270317035290229E-4</v>
      </c>
      <c r="E55" s="9">
        <f t="shared" si="1"/>
        <v>66582</v>
      </c>
      <c r="F55" s="19">
        <f t="shared" si="2"/>
        <v>133164</v>
      </c>
    </row>
    <row r="57" spans="1:6" x14ac:dyDescent="0.2">
      <c r="B57" s="4" t="s">
        <v>61</v>
      </c>
      <c r="C57" s="5">
        <f>SUM(C2:C55)</f>
        <v>140853720</v>
      </c>
    </row>
    <row r="59" spans="1:6" x14ac:dyDescent="0.2">
      <c r="B59" s="4" t="s">
        <v>62</v>
      </c>
      <c r="C59" s="5">
        <v>140853724</v>
      </c>
    </row>
    <row r="61" spans="1:6" x14ac:dyDescent="0.2">
      <c r="B61" s="6" t="s">
        <v>63</v>
      </c>
      <c r="C61" s="7">
        <f>C57-C59</f>
        <v>-4</v>
      </c>
    </row>
    <row r="63" spans="1:6" x14ac:dyDescent="0.2">
      <c r="B63" s="4" t="s">
        <v>64</v>
      </c>
      <c r="C63" s="5">
        <v>98120835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101F4-B4F2-044A-965E-8BB497DAE527}">
  <sheetPr>
    <tabColor rgb="FFFFFF00"/>
  </sheetPr>
  <dimension ref="A1:F63"/>
  <sheetViews>
    <sheetView workbookViewId="0">
      <selection activeCell="E2" sqref="E2:F55"/>
    </sheetView>
  </sheetViews>
  <sheetFormatPr baseColWidth="10" defaultRowHeight="16" x14ac:dyDescent="0.2"/>
  <cols>
    <col min="2" max="2" width="30.83203125" style="4" bestFit="1" customWidth="1"/>
    <col min="3" max="3" width="18.83203125" style="4" bestFit="1" customWidth="1"/>
    <col min="4" max="4" width="18.83203125" bestFit="1" customWidth="1"/>
    <col min="5" max="5" width="17.1640625" bestFit="1" customWidth="1"/>
    <col min="6" max="6" width="18.1640625" bestFit="1" customWidth="1"/>
  </cols>
  <sheetData>
    <row r="1" spans="1:6" x14ac:dyDescent="0.2">
      <c r="A1" t="s">
        <v>58</v>
      </c>
      <c r="B1" s="4" t="s">
        <v>59</v>
      </c>
      <c r="C1" s="4" t="s">
        <v>60</v>
      </c>
      <c r="D1" s="4" t="s">
        <v>65</v>
      </c>
      <c r="E1" s="4" t="s">
        <v>66</v>
      </c>
      <c r="F1" s="8" t="s">
        <v>67</v>
      </c>
    </row>
    <row r="2" spans="1:6" x14ac:dyDescent="0.2">
      <c r="A2">
        <v>2017</v>
      </c>
      <c r="B2" s="4" t="s">
        <v>0</v>
      </c>
      <c r="C2" s="5">
        <v>3266223</v>
      </c>
      <c r="D2">
        <f>C2/$C$57</f>
        <v>2.3791312831774103E-2</v>
      </c>
      <c r="E2" s="9">
        <f>D2*$C$63</f>
        <v>2296864.49210206</v>
      </c>
      <c r="F2" s="19">
        <f>SUM(E2,C2)</f>
        <v>5563087.4921020605</v>
      </c>
    </row>
    <row r="3" spans="1:6" x14ac:dyDescent="0.2">
      <c r="A3">
        <v>2017</v>
      </c>
      <c r="B3" s="4" t="s">
        <v>1</v>
      </c>
      <c r="C3" s="5">
        <v>3147640</v>
      </c>
      <c r="D3">
        <f t="shared" ref="D3:D55" si="0">C3/$C$57</f>
        <v>2.2927549013587081E-2</v>
      </c>
      <c r="E3" s="9">
        <f t="shared" ref="E3:E55" si="1">D3*$C$63</f>
        <v>2213474.8760020761</v>
      </c>
      <c r="F3" s="19">
        <f t="shared" ref="F3:F55" si="2">SUM(E3,C3)</f>
        <v>5361114.8760020761</v>
      </c>
    </row>
    <row r="4" spans="1:6" x14ac:dyDescent="0.2">
      <c r="A4">
        <v>2017</v>
      </c>
      <c r="B4" s="4" t="s">
        <v>2</v>
      </c>
      <c r="C4" s="5">
        <v>1961232</v>
      </c>
      <c r="D4">
        <f t="shared" si="0"/>
        <v>1.4285700654145778E-2</v>
      </c>
      <c r="E4" s="9">
        <f t="shared" si="1"/>
        <v>1379172.2554076398</v>
      </c>
      <c r="F4" s="19">
        <f t="shared" si="2"/>
        <v>3340404.2554076398</v>
      </c>
    </row>
    <row r="5" spans="1:6" x14ac:dyDescent="0.2">
      <c r="A5">
        <v>2017</v>
      </c>
      <c r="B5" s="4" t="s">
        <v>3</v>
      </c>
      <c r="C5" s="5">
        <v>2598889</v>
      </c>
      <c r="D5">
        <f t="shared" si="0"/>
        <v>1.8930422452495304E-2</v>
      </c>
      <c r="E5" s="9">
        <f t="shared" si="1"/>
        <v>1827583.6839721694</v>
      </c>
      <c r="F5" s="19">
        <f t="shared" si="2"/>
        <v>4426472.6839721696</v>
      </c>
    </row>
    <row r="6" spans="1:6" x14ac:dyDescent="0.2">
      <c r="A6">
        <v>2017</v>
      </c>
      <c r="B6" s="4" t="s">
        <v>4</v>
      </c>
      <c r="C6" s="5">
        <v>3466122</v>
      </c>
      <c r="D6">
        <f t="shared" si="0"/>
        <v>2.5247385991432465E-2</v>
      </c>
      <c r="E6" s="9">
        <f t="shared" si="1"/>
        <v>2437436.9254927719</v>
      </c>
      <c r="F6" s="19">
        <f t="shared" si="2"/>
        <v>5903558.9254927719</v>
      </c>
    </row>
    <row r="7" spans="1:6" x14ac:dyDescent="0.2">
      <c r="A7">
        <v>2017</v>
      </c>
      <c r="B7" s="4" t="s">
        <v>5</v>
      </c>
      <c r="C7" s="5">
        <v>4948791</v>
      </c>
      <c r="D7">
        <f t="shared" si="0"/>
        <v>3.6047212581648037E-2</v>
      </c>
      <c r="E7" s="9">
        <f t="shared" si="1"/>
        <v>3480075.404139352</v>
      </c>
      <c r="F7" s="19">
        <f t="shared" si="2"/>
        <v>8428866.4041393511</v>
      </c>
    </row>
    <row r="8" spans="1:6" x14ac:dyDescent="0.2">
      <c r="A8">
        <v>2017</v>
      </c>
      <c r="B8" s="4" t="s">
        <v>6</v>
      </c>
      <c r="C8" s="5">
        <v>10852160</v>
      </c>
      <c r="D8">
        <f t="shared" si="0"/>
        <v>7.9047613546431347E-2</v>
      </c>
      <c r="E8" s="9">
        <f t="shared" si="1"/>
        <v>7631426.5641416069</v>
      </c>
      <c r="F8" s="19">
        <f t="shared" si="2"/>
        <v>18483586.564141609</v>
      </c>
    </row>
    <row r="9" spans="1:6" x14ac:dyDescent="0.2">
      <c r="A9">
        <v>2017</v>
      </c>
      <c r="B9" s="4" t="s">
        <v>7</v>
      </c>
      <c r="C9" s="5">
        <v>4192515</v>
      </c>
      <c r="D9">
        <f t="shared" si="0"/>
        <v>3.0538464739518826E-2</v>
      </c>
      <c r="E9" s="9">
        <f t="shared" si="1"/>
        <v>2948249.0436523375</v>
      </c>
      <c r="F9" s="19">
        <f t="shared" si="2"/>
        <v>7140764.043652337</v>
      </c>
    </row>
    <row r="10" spans="1:6" x14ac:dyDescent="0.2">
      <c r="A10">
        <v>2017</v>
      </c>
      <c r="B10" s="4" t="s">
        <v>8</v>
      </c>
      <c r="C10" s="5">
        <v>2248280</v>
      </c>
      <c r="D10">
        <f t="shared" si="0"/>
        <v>1.6376570985331095E-2</v>
      </c>
      <c r="E10" s="9">
        <f t="shared" si="1"/>
        <v>1581029.3725514824</v>
      </c>
      <c r="F10" s="19">
        <f t="shared" si="2"/>
        <v>3829309.3725514822</v>
      </c>
    </row>
    <row r="11" spans="1:6" x14ac:dyDescent="0.2">
      <c r="A11">
        <v>2017</v>
      </c>
      <c r="B11" s="4" t="s">
        <v>9</v>
      </c>
      <c r="C11" s="5">
        <v>5058545</v>
      </c>
      <c r="D11">
        <f t="shared" si="0"/>
        <v>3.6846665573234502E-2</v>
      </c>
      <c r="E11" s="9">
        <f t="shared" si="1"/>
        <v>3557256.3147710413</v>
      </c>
      <c r="F11" s="19">
        <f t="shared" si="2"/>
        <v>8615801.3147710413</v>
      </c>
    </row>
    <row r="12" spans="1:6" x14ac:dyDescent="0.2">
      <c r="A12">
        <v>2017</v>
      </c>
      <c r="B12" s="4" t="s">
        <v>10</v>
      </c>
      <c r="C12" s="5">
        <v>1890191</v>
      </c>
      <c r="D12">
        <f t="shared" si="0"/>
        <v>1.3768234867246947E-2</v>
      </c>
      <c r="E12" s="9">
        <f t="shared" si="1"/>
        <v>1329214.9957889849</v>
      </c>
      <c r="F12" s="19">
        <f t="shared" si="2"/>
        <v>3219405.9957889849</v>
      </c>
    </row>
    <row r="13" spans="1:6" x14ac:dyDescent="0.2">
      <c r="A13">
        <v>2017</v>
      </c>
      <c r="B13" s="4" t="s">
        <v>11</v>
      </c>
      <c r="C13" s="5">
        <v>239770</v>
      </c>
      <c r="D13">
        <f t="shared" si="0"/>
        <v>1.7464952875766524E-3</v>
      </c>
      <c r="E13" s="9">
        <f t="shared" si="1"/>
        <v>168610.41002751832</v>
      </c>
      <c r="F13" s="19">
        <f t="shared" si="2"/>
        <v>408380.41002751829</v>
      </c>
    </row>
    <row r="14" spans="1:6" x14ac:dyDescent="0.2">
      <c r="A14">
        <v>2017</v>
      </c>
      <c r="B14" s="4" t="s">
        <v>12</v>
      </c>
      <c r="C14" s="5">
        <v>1195663</v>
      </c>
      <c r="D14">
        <f t="shared" si="0"/>
        <v>8.7092621888883639E-3</v>
      </c>
      <c r="E14" s="9">
        <f t="shared" si="1"/>
        <v>840810.89662898879</v>
      </c>
      <c r="F14" s="19">
        <f t="shared" si="2"/>
        <v>2036473.8966289889</v>
      </c>
    </row>
    <row r="15" spans="1:6" x14ac:dyDescent="0.2">
      <c r="A15">
        <v>2017</v>
      </c>
      <c r="B15" s="4" t="s">
        <v>13</v>
      </c>
      <c r="C15" s="5">
        <v>554011</v>
      </c>
      <c r="D15">
        <f t="shared" si="0"/>
        <v>4.0354406337975096E-3</v>
      </c>
      <c r="E15" s="9">
        <f t="shared" si="1"/>
        <v>389590.11498417426</v>
      </c>
      <c r="F15" s="19">
        <f t="shared" si="2"/>
        <v>943601.11498417426</v>
      </c>
    </row>
    <row r="16" spans="1:6" x14ac:dyDescent="0.2">
      <c r="A16">
        <v>2017</v>
      </c>
      <c r="B16" s="4" t="s">
        <v>14</v>
      </c>
      <c r="C16" s="5">
        <v>554507</v>
      </c>
      <c r="D16">
        <f t="shared" si="0"/>
        <v>4.0390535197408631E-3</v>
      </c>
      <c r="E16" s="9">
        <f t="shared" si="1"/>
        <v>389938.91076085035</v>
      </c>
      <c r="F16" s="19">
        <f t="shared" si="2"/>
        <v>944445.91076085041</v>
      </c>
    </row>
    <row r="17" spans="1:6" x14ac:dyDescent="0.2">
      <c r="A17">
        <v>2017</v>
      </c>
      <c r="B17" s="4" t="s">
        <v>15</v>
      </c>
      <c r="C17" s="5">
        <v>3247865</v>
      </c>
      <c r="D17">
        <f t="shared" si="0"/>
        <v>2.3657592347604554E-2</v>
      </c>
      <c r="E17" s="9">
        <f t="shared" si="1"/>
        <v>2283954.8290612912</v>
      </c>
      <c r="F17" s="19">
        <f t="shared" si="2"/>
        <v>5531819.8290612912</v>
      </c>
    </row>
    <row r="18" spans="1:6" x14ac:dyDescent="0.2">
      <c r="A18">
        <v>2017</v>
      </c>
      <c r="B18" s="4" t="s">
        <v>16</v>
      </c>
      <c r="C18" s="5">
        <v>3426655</v>
      </c>
      <c r="D18">
        <f t="shared" si="0"/>
        <v>2.4959906617387388E-2</v>
      </c>
      <c r="E18" s="9">
        <f t="shared" si="1"/>
        <v>2409683.048641806</v>
      </c>
      <c r="F18" s="19">
        <f t="shared" si="2"/>
        <v>5836338.0486418065</v>
      </c>
    </row>
    <row r="19" spans="1:6" x14ac:dyDescent="0.2">
      <c r="A19">
        <v>2017</v>
      </c>
      <c r="B19" s="4" t="s">
        <v>17</v>
      </c>
      <c r="C19" s="5">
        <v>299704</v>
      </c>
      <c r="D19">
        <f t="shared" si="0"/>
        <v>2.1830571950947702E-3</v>
      </c>
      <c r="E19" s="9">
        <f t="shared" si="1"/>
        <v>210757.03518741857</v>
      </c>
      <c r="F19" s="19">
        <f t="shared" si="2"/>
        <v>510461.03518741857</v>
      </c>
    </row>
    <row r="20" spans="1:6" x14ac:dyDescent="0.2">
      <c r="A20">
        <v>2017</v>
      </c>
      <c r="B20" s="4" t="s">
        <v>18</v>
      </c>
      <c r="C20" s="5">
        <v>2423051</v>
      </c>
      <c r="D20">
        <f t="shared" si="0"/>
        <v>1.764961068131082E-2</v>
      </c>
      <c r="E20" s="9">
        <f t="shared" si="1"/>
        <v>1703931.3618367114</v>
      </c>
      <c r="F20" s="19">
        <f t="shared" si="2"/>
        <v>4126982.3618367114</v>
      </c>
    </row>
    <row r="21" spans="1:6" x14ac:dyDescent="0.2">
      <c r="A21">
        <v>2017</v>
      </c>
      <c r="B21" s="4" t="s">
        <v>19</v>
      </c>
      <c r="C21" s="5">
        <v>1642280</v>
      </c>
      <c r="D21">
        <f t="shared" si="0"/>
        <v>1.1962440175507297E-2</v>
      </c>
      <c r="E21" s="9">
        <f t="shared" si="1"/>
        <v>1154879.6937898519</v>
      </c>
      <c r="F21" s="19">
        <f t="shared" si="2"/>
        <v>2797159.6937898519</v>
      </c>
    </row>
    <row r="22" spans="1:6" x14ac:dyDescent="0.2">
      <c r="A22">
        <v>2017</v>
      </c>
      <c r="B22" s="4" t="s">
        <v>20</v>
      </c>
      <c r="C22" s="5">
        <v>251125</v>
      </c>
      <c r="D22">
        <f t="shared" si="0"/>
        <v>1.8292056099290439E-3</v>
      </c>
      <c r="E22" s="9">
        <f t="shared" si="1"/>
        <v>176595.44237461124</v>
      </c>
      <c r="F22" s="19">
        <f t="shared" si="2"/>
        <v>427720.44237461127</v>
      </c>
    </row>
    <row r="23" spans="1:6" x14ac:dyDescent="0.2">
      <c r="A23">
        <v>2017</v>
      </c>
      <c r="B23" s="4" t="s">
        <v>21</v>
      </c>
      <c r="C23" s="5">
        <v>2546600</v>
      </c>
      <c r="D23">
        <f t="shared" si="0"/>
        <v>1.8549547063196826E-2</v>
      </c>
      <c r="E23" s="9">
        <f t="shared" si="1"/>
        <v>1790813.1550072075</v>
      </c>
      <c r="F23" s="19">
        <f t="shared" si="2"/>
        <v>4337413.1550072078</v>
      </c>
    </row>
    <row r="24" spans="1:6" x14ac:dyDescent="0.2">
      <c r="A24">
        <v>2017</v>
      </c>
      <c r="B24" s="4" t="s">
        <v>22</v>
      </c>
      <c r="C24" s="5">
        <v>3979174</v>
      </c>
      <c r="D24">
        <f t="shared" si="0"/>
        <v>2.8984479457177872E-2</v>
      </c>
      <c r="E24" s="9">
        <f t="shared" si="1"/>
        <v>2798223.9634267846</v>
      </c>
      <c r="F24" s="19">
        <f t="shared" si="2"/>
        <v>6777397.9634267846</v>
      </c>
    </row>
    <row r="25" spans="1:6" x14ac:dyDescent="0.2">
      <c r="A25">
        <v>2017</v>
      </c>
      <c r="B25" s="4" t="s">
        <v>23</v>
      </c>
      <c r="C25" s="5">
        <v>3407290</v>
      </c>
      <c r="D25">
        <f t="shared" si="0"/>
        <v>2.4818851100667522E-2</v>
      </c>
      <c r="E25" s="9">
        <f t="shared" si="1"/>
        <v>2396065.2457883093</v>
      </c>
      <c r="F25" s="19">
        <f t="shared" si="2"/>
        <v>5803355.2457883097</v>
      </c>
    </row>
    <row r="26" spans="1:6" x14ac:dyDescent="0.2">
      <c r="A26">
        <v>2017</v>
      </c>
      <c r="B26" s="4" t="s">
        <v>24</v>
      </c>
      <c r="C26" s="5">
        <v>1515153</v>
      </c>
      <c r="D26">
        <f t="shared" si="0"/>
        <v>1.1036441483328305E-2</v>
      </c>
      <c r="E26" s="9">
        <f t="shared" si="1"/>
        <v>1065481.7891497037</v>
      </c>
      <c r="F26" s="19">
        <f t="shared" si="2"/>
        <v>2580634.7891497035</v>
      </c>
    </row>
    <row r="27" spans="1:6" x14ac:dyDescent="0.2">
      <c r="A27">
        <v>2017</v>
      </c>
      <c r="B27" s="4" t="s">
        <v>25</v>
      </c>
      <c r="C27" s="5">
        <v>326155</v>
      </c>
      <c r="D27">
        <f t="shared" si="0"/>
        <v>2.3757274493037624E-3</v>
      </c>
      <c r="E27" s="9">
        <f t="shared" si="1"/>
        <v>229357.83576980123</v>
      </c>
      <c r="F27" s="19">
        <f t="shared" si="2"/>
        <v>555512.83576980117</v>
      </c>
    </row>
    <row r="28" spans="1:6" x14ac:dyDescent="0.2">
      <c r="A28">
        <v>2017</v>
      </c>
      <c r="B28" s="4" t="s">
        <v>26</v>
      </c>
      <c r="C28" s="5">
        <v>8201778</v>
      </c>
      <c r="D28">
        <f t="shared" si="0"/>
        <v>5.9742113803853115E-2</v>
      </c>
      <c r="E28" s="9">
        <f t="shared" si="1"/>
        <v>5767632.1121686576</v>
      </c>
      <c r="F28" s="19">
        <f t="shared" si="2"/>
        <v>13969410.112168659</v>
      </c>
    </row>
    <row r="29" spans="1:6" x14ac:dyDescent="0.2">
      <c r="A29">
        <v>2017</v>
      </c>
      <c r="B29" s="4" t="s">
        <v>27</v>
      </c>
      <c r="C29" s="5">
        <v>2353442</v>
      </c>
      <c r="D29">
        <f t="shared" si="0"/>
        <v>1.7142575645764574E-2</v>
      </c>
      <c r="E29" s="9">
        <f t="shared" si="1"/>
        <v>1654981.1093797504</v>
      </c>
      <c r="F29" s="19">
        <f t="shared" si="2"/>
        <v>4008423.1093797507</v>
      </c>
    </row>
    <row r="30" spans="1:6" x14ac:dyDescent="0.2">
      <c r="A30">
        <v>2017</v>
      </c>
      <c r="B30" s="4" t="s">
        <v>28</v>
      </c>
      <c r="C30" s="5">
        <v>21887947</v>
      </c>
      <c r="D30">
        <f t="shared" si="0"/>
        <v>0.15943277428463748</v>
      </c>
      <c r="E30" s="9">
        <f t="shared" si="1"/>
        <v>15391982.809903614</v>
      </c>
      <c r="F30" s="19">
        <f t="shared" si="2"/>
        <v>37279929.809903614</v>
      </c>
    </row>
    <row r="31" spans="1:6" x14ac:dyDescent="0.2">
      <c r="A31">
        <v>2017</v>
      </c>
      <c r="B31" s="4" t="s">
        <v>29</v>
      </c>
      <c r="C31" s="5">
        <v>1491891</v>
      </c>
      <c r="D31">
        <f t="shared" si="0"/>
        <v>1.0867000046202693E-2</v>
      </c>
      <c r="E31" s="9">
        <f t="shared" si="1"/>
        <v>1049123.5485105072</v>
      </c>
      <c r="F31" s="19">
        <f t="shared" si="2"/>
        <v>2541014.5485105072</v>
      </c>
    </row>
    <row r="32" spans="1:6" x14ac:dyDescent="0.2">
      <c r="A32">
        <v>2017</v>
      </c>
      <c r="B32" s="4" t="s">
        <v>30</v>
      </c>
      <c r="C32" s="5">
        <v>2494957</v>
      </c>
      <c r="D32">
        <f t="shared" si="0"/>
        <v>1.8173377166477801E-2</v>
      </c>
      <c r="E32" s="9">
        <f t="shared" si="1"/>
        <v>1754496.904412675</v>
      </c>
      <c r="F32" s="19">
        <f t="shared" si="2"/>
        <v>4249453.9044126747</v>
      </c>
    </row>
    <row r="33" spans="1:6" x14ac:dyDescent="0.2">
      <c r="A33">
        <v>2017</v>
      </c>
      <c r="B33" s="4" t="s">
        <v>31</v>
      </c>
      <c r="C33" s="5">
        <v>3698089</v>
      </c>
      <c r="D33">
        <f t="shared" si="0"/>
        <v>2.6937043881799454E-2</v>
      </c>
      <c r="E33" s="9">
        <f t="shared" si="1"/>
        <v>2600560.1309932652</v>
      </c>
      <c r="F33" s="19">
        <f t="shared" si="2"/>
        <v>6298649.1309932657</v>
      </c>
    </row>
    <row r="34" spans="1:6" x14ac:dyDescent="0.2">
      <c r="A34">
        <v>2017</v>
      </c>
      <c r="B34" s="4" t="s">
        <v>32</v>
      </c>
      <c r="C34" s="5">
        <v>1678439</v>
      </c>
      <c r="D34">
        <f t="shared" si="0"/>
        <v>1.2225823931204359E-2</v>
      </c>
      <c r="E34" s="9">
        <f t="shared" si="1"/>
        <v>1180307.3278399208</v>
      </c>
      <c r="F34" s="19">
        <f t="shared" si="2"/>
        <v>2858746.3278399208</v>
      </c>
    </row>
    <row r="35" spans="1:6" x14ac:dyDescent="0.2">
      <c r="A35">
        <v>2017</v>
      </c>
      <c r="B35" s="4" t="s">
        <v>33</v>
      </c>
      <c r="C35" s="5">
        <v>132402</v>
      </c>
      <c r="D35">
        <f t="shared" si="0"/>
        <v>9.6442202554833357E-4</v>
      </c>
      <c r="E35" s="9">
        <f t="shared" si="1"/>
        <v>93107.375853791047</v>
      </c>
      <c r="F35" s="19">
        <f t="shared" si="2"/>
        <v>225509.37585379105</v>
      </c>
    </row>
    <row r="36" spans="1:6" x14ac:dyDescent="0.2">
      <c r="A36">
        <v>2017</v>
      </c>
      <c r="B36" s="4" t="s">
        <v>34</v>
      </c>
      <c r="C36" s="5">
        <v>10253059</v>
      </c>
      <c r="D36">
        <f t="shared" si="0"/>
        <v>7.4683735357823688E-2</v>
      </c>
      <c r="E36" s="9">
        <f t="shared" si="1"/>
        <v>7210128.3814753182</v>
      </c>
      <c r="F36" s="19">
        <f t="shared" si="2"/>
        <v>17463187.381475318</v>
      </c>
    </row>
    <row r="37" spans="1:6" x14ac:dyDescent="0.2">
      <c r="A37">
        <v>2017</v>
      </c>
      <c r="B37" s="4" t="s">
        <v>35</v>
      </c>
      <c r="C37" s="5">
        <v>158980</v>
      </c>
      <c r="D37">
        <f t="shared" si="0"/>
        <v>1.1580173533758862E-3</v>
      </c>
      <c r="E37" s="9">
        <f t="shared" si="1"/>
        <v>111797.48503221781</v>
      </c>
      <c r="F37" s="19">
        <f t="shared" si="2"/>
        <v>270777.48503221781</v>
      </c>
    </row>
    <row r="38" spans="1:6" x14ac:dyDescent="0.2">
      <c r="A38">
        <v>2017</v>
      </c>
      <c r="B38" s="4" t="s">
        <v>36</v>
      </c>
      <c r="C38" s="5">
        <v>3969629</v>
      </c>
      <c r="D38">
        <f t="shared" si="0"/>
        <v>2.8914953254901028E-2</v>
      </c>
      <c r="E38" s="9">
        <f t="shared" si="1"/>
        <v>2791511.7543776431</v>
      </c>
      <c r="F38" s="19">
        <f t="shared" si="2"/>
        <v>6761140.7543776426</v>
      </c>
    </row>
    <row r="39" spans="1:6" x14ac:dyDescent="0.2">
      <c r="A39">
        <v>2017</v>
      </c>
      <c r="B39" s="4" t="s">
        <v>37</v>
      </c>
      <c r="C39" s="5">
        <v>3290123</v>
      </c>
      <c r="D39">
        <f t="shared" si="0"/>
        <v>2.3965401489125238E-2</v>
      </c>
      <c r="E39" s="9">
        <f t="shared" si="1"/>
        <v>2313671.3853733521</v>
      </c>
      <c r="F39" s="19">
        <f t="shared" si="2"/>
        <v>5603794.3853733521</v>
      </c>
    </row>
    <row r="40" spans="1:6" x14ac:dyDescent="0.2">
      <c r="A40">
        <v>2017</v>
      </c>
      <c r="B40" s="4" t="s">
        <v>38</v>
      </c>
      <c r="C40" s="5">
        <v>4969541</v>
      </c>
      <c r="D40">
        <f t="shared" si="0"/>
        <v>3.6198356499641177E-2</v>
      </c>
      <c r="E40" s="9">
        <f t="shared" si="1"/>
        <v>3494667.1629418335</v>
      </c>
      <c r="F40" s="19">
        <f t="shared" si="2"/>
        <v>8464208.162941834</v>
      </c>
    </row>
    <row r="41" spans="1:6" x14ac:dyDescent="0.2">
      <c r="A41">
        <v>2017</v>
      </c>
      <c r="B41" s="4" t="s">
        <v>39</v>
      </c>
      <c r="C41" s="5">
        <v>353972</v>
      </c>
      <c r="D41">
        <f t="shared" si="0"/>
        <v>2.5783477079454596E-3</v>
      </c>
      <c r="E41" s="9">
        <f t="shared" si="1"/>
        <v>248919.23117262675</v>
      </c>
      <c r="F41" s="19">
        <f t="shared" si="2"/>
        <v>602891.23117262672</v>
      </c>
    </row>
    <row r="42" spans="1:6" x14ac:dyDescent="0.2">
      <c r="A42">
        <v>2017</v>
      </c>
      <c r="B42" s="4" t="s">
        <v>40</v>
      </c>
      <c r="C42" s="5">
        <v>712314</v>
      </c>
      <c r="D42">
        <f t="shared" si="0"/>
        <v>5.188526689222487E-3</v>
      </c>
      <c r="E42" s="9">
        <f t="shared" si="1"/>
        <v>500911.52190992073</v>
      </c>
      <c r="F42" s="19">
        <f t="shared" si="2"/>
        <v>1213225.5219099207</v>
      </c>
    </row>
    <row r="43" spans="1:6" x14ac:dyDescent="0.2">
      <c r="A43">
        <v>2017</v>
      </c>
      <c r="B43" s="4" t="s">
        <v>41</v>
      </c>
      <c r="C43" s="5">
        <v>116046</v>
      </c>
      <c r="D43">
        <f t="shared" si="0"/>
        <v>8.4528419794853492E-4</v>
      </c>
      <c r="E43" s="9">
        <f t="shared" si="1"/>
        <v>81605.553830977151</v>
      </c>
      <c r="F43" s="19">
        <f t="shared" si="2"/>
        <v>197651.55383097715</v>
      </c>
    </row>
    <row r="44" spans="1:6" x14ac:dyDescent="0.2">
      <c r="A44">
        <v>2017</v>
      </c>
      <c r="B44" s="4" t="s">
        <v>42</v>
      </c>
      <c r="C44" s="5">
        <v>324878</v>
      </c>
      <c r="D44">
        <f t="shared" si="0"/>
        <v>2.3664257248084733E-3</v>
      </c>
      <c r="E44" s="9">
        <f t="shared" si="1"/>
        <v>228459.82728831837</v>
      </c>
      <c r="F44" s="19">
        <f t="shared" si="2"/>
        <v>553337.82728831843</v>
      </c>
    </row>
    <row r="45" spans="1:6" x14ac:dyDescent="0.2">
      <c r="A45">
        <v>2017</v>
      </c>
      <c r="B45" s="4" t="s">
        <v>43</v>
      </c>
      <c r="C45" s="5">
        <v>133675</v>
      </c>
      <c r="D45">
        <f t="shared" si="0"/>
        <v>9.7369461386665975E-4</v>
      </c>
      <c r="E45" s="9">
        <f t="shared" si="1"/>
        <v>94002.57146610714</v>
      </c>
      <c r="F45" s="19">
        <f t="shared" si="2"/>
        <v>227677.57146610715</v>
      </c>
    </row>
    <row r="46" spans="1:6" x14ac:dyDescent="0.2">
      <c r="A46">
        <v>2017</v>
      </c>
      <c r="B46" s="4" t="s">
        <v>44</v>
      </c>
      <c r="C46" s="5">
        <v>198144</v>
      </c>
      <c r="D46">
        <f t="shared" si="0"/>
        <v>1.4432896620160496E-3</v>
      </c>
      <c r="E46" s="9">
        <f t="shared" si="1"/>
        <v>139338.28704380276</v>
      </c>
      <c r="F46" s="19">
        <f t="shared" si="2"/>
        <v>337482.28704380279</v>
      </c>
    </row>
    <row r="47" spans="1:6" x14ac:dyDescent="0.2">
      <c r="A47">
        <v>2017</v>
      </c>
      <c r="B47" s="4" t="s">
        <v>45</v>
      </c>
      <c r="C47" s="5">
        <v>252459</v>
      </c>
      <c r="D47">
        <f t="shared" si="0"/>
        <v>1.8389225249460486E-3</v>
      </c>
      <c r="E47" s="9">
        <f t="shared" si="1"/>
        <v>177533.53424172016</v>
      </c>
      <c r="F47" s="19">
        <f t="shared" si="2"/>
        <v>429992.53424172016</v>
      </c>
    </row>
    <row r="48" spans="1:6" x14ac:dyDescent="0.2">
      <c r="A48">
        <v>2017</v>
      </c>
      <c r="B48" s="4" t="s">
        <v>46</v>
      </c>
      <c r="C48" s="5">
        <v>426104</v>
      </c>
      <c r="D48">
        <f t="shared" si="0"/>
        <v>3.1037603871108227E-3</v>
      </c>
      <c r="E48" s="9">
        <f t="shared" si="1"/>
        <v>299643.70085651113</v>
      </c>
      <c r="F48" s="19">
        <f t="shared" si="2"/>
        <v>725747.70085651113</v>
      </c>
    </row>
    <row r="49" spans="1:6" x14ac:dyDescent="0.2">
      <c r="A49">
        <v>2017</v>
      </c>
      <c r="B49" s="4" t="s">
        <v>47</v>
      </c>
      <c r="C49" s="5">
        <v>149512</v>
      </c>
      <c r="D49">
        <f t="shared" si="0"/>
        <v>1.0890520225055697E-3</v>
      </c>
      <c r="E49" s="9">
        <f t="shared" si="1"/>
        <v>105139.4237145361</v>
      </c>
      <c r="F49" s="19">
        <f t="shared" si="2"/>
        <v>254651.4237145361</v>
      </c>
    </row>
    <row r="50" spans="1:6" x14ac:dyDescent="0.2">
      <c r="A50">
        <v>2017</v>
      </c>
      <c r="B50" s="4" t="s">
        <v>48</v>
      </c>
      <c r="C50" s="5">
        <v>140309</v>
      </c>
      <c r="D50">
        <f t="shared" si="0"/>
        <v>1.0220169633590212E-3</v>
      </c>
      <c r="E50" s="9">
        <f t="shared" si="1"/>
        <v>98667.714979151133</v>
      </c>
      <c r="F50" s="19">
        <f t="shared" si="2"/>
        <v>238976.71497915115</v>
      </c>
    </row>
    <row r="51" spans="1:6" x14ac:dyDescent="0.2">
      <c r="A51">
        <v>2017</v>
      </c>
      <c r="B51" s="4" t="s">
        <v>49</v>
      </c>
      <c r="C51" s="5">
        <v>158426</v>
      </c>
      <c r="D51">
        <f t="shared" si="0"/>
        <v>1.1539819928665753E-3</v>
      </c>
      <c r="E51" s="9">
        <f t="shared" si="1"/>
        <v>111407.90265262384</v>
      </c>
      <c r="F51" s="19">
        <f t="shared" si="2"/>
        <v>269833.90265262383</v>
      </c>
    </row>
    <row r="52" spans="1:6" x14ac:dyDescent="0.2">
      <c r="A52">
        <v>2017</v>
      </c>
      <c r="B52" s="4" t="s">
        <v>50</v>
      </c>
      <c r="C52" s="5">
        <v>205031</v>
      </c>
      <c r="D52">
        <f t="shared" si="0"/>
        <v>1.4934548747012914E-3</v>
      </c>
      <c r="E52" s="9">
        <f t="shared" si="1"/>
        <v>144181.34453164329</v>
      </c>
      <c r="F52" s="19">
        <f t="shared" si="2"/>
        <v>349212.34453164332</v>
      </c>
    </row>
    <row r="53" spans="1:6" x14ac:dyDescent="0.2">
      <c r="A53">
        <v>2017</v>
      </c>
      <c r="B53" s="4" t="s">
        <v>51</v>
      </c>
      <c r="C53" s="5">
        <v>159323</v>
      </c>
      <c r="D53">
        <f t="shared" si="0"/>
        <v>1.1605157805504233E-3</v>
      </c>
      <c r="E53" s="9">
        <f t="shared" si="1"/>
        <v>112038.68856326606</v>
      </c>
      <c r="F53" s="19">
        <f t="shared" si="2"/>
        <v>271361.68856326607</v>
      </c>
    </row>
    <row r="54" spans="1:6" x14ac:dyDescent="0.2">
      <c r="A54">
        <v>2017</v>
      </c>
      <c r="B54" s="4" t="s">
        <v>52</v>
      </c>
      <c r="C54" s="5">
        <v>98224</v>
      </c>
      <c r="D54">
        <f t="shared" si="0"/>
        <v>7.1546796149196776E-4</v>
      </c>
      <c r="E54" s="9">
        <f t="shared" si="1"/>
        <v>69072.815258551782</v>
      </c>
      <c r="F54" s="19">
        <f t="shared" si="2"/>
        <v>167296.8152585518</v>
      </c>
    </row>
    <row r="55" spans="1:6" x14ac:dyDescent="0.2">
      <c r="A55">
        <v>2017</v>
      </c>
      <c r="B55" s="4" t="s">
        <v>53</v>
      </c>
      <c r="C55" s="5">
        <v>38086</v>
      </c>
      <c r="D55">
        <f t="shared" si="0"/>
        <v>2.7742010894876083E-4</v>
      </c>
      <c r="E55" s="9">
        <f t="shared" si="1"/>
        <v>26782.73377114761</v>
      </c>
      <c r="F55" s="19">
        <f t="shared" si="2"/>
        <v>64868.733771147614</v>
      </c>
    </row>
    <row r="57" spans="1:6" x14ac:dyDescent="0.2">
      <c r="B57" s="4" t="s">
        <v>61</v>
      </c>
      <c r="C57" s="5">
        <f>SUM(C2:C55)</f>
        <v>137286371</v>
      </c>
    </row>
    <row r="59" spans="1:6" x14ac:dyDescent="0.2">
      <c r="B59" s="4" t="s">
        <v>62</v>
      </c>
      <c r="C59" s="5">
        <v>137286370</v>
      </c>
    </row>
    <row r="61" spans="1:6" x14ac:dyDescent="0.2">
      <c r="B61" s="6" t="s">
        <v>63</v>
      </c>
      <c r="C61" s="7">
        <f>C57-C59</f>
        <v>1</v>
      </c>
    </row>
    <row r="63" spans="1:6" x14ac:dyDescent="0.2">
      <c r="B63" s="4" t="s">
        <v>64</v>
      </c>
      <c r="C63" s="5">
        <v>96542150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B5597-9694-B64E-B5B0-A23C3ECD9D86}">
  <sheetPr>
    <tabColor rgb="FFFFFF00"/>
  </sheetPr>
  <dimension ref="A1:F63"/>
  <sheetViews>
    <sheetView workbookViewId="0">
      <selection activeCell="E2" sqref="E2:F55"/>
    </sheetView>
  </sheetViews>
  <sheetFormatPr baseColWidth="10" defaultRowHeight="16" x14ac:dyDescent="0.2"/>
  <cols>
    <col min="1" max="1" width="10.83203125" style="4"/>
    <col min="2" max="2" width="30.83203125" style="4" bestFit="1" customWidth="1"/>
    <col min="3" max="3" width="18.83203125" style="4" bestFit="1" customWidth="1"/>
    <col min="4" max="4" width="11.5" style="4" bestFit="1" customWidth="1"/>
    <col min="5" max="5" width="17.1640625" style="4" bestFit="1" customWidth="1"/>
    <col min="6" max="6" width="18.1640625" style="4" bestFit="1" customWidth="1"/>
  </cols>
  <sheetData>
    <row r="1" spans="1:6" x14ac:dyDescent="0.2">
      <c r="A1" s="4" t="s">
        <v>58</v>
      </c>
      <c r="B1" s="4" t="s">
        <v>59</v>
      </c>
      <c r="C1" s="4" t="s">
        <v>60</v>
      </c>
      <c r="D1" s="4" t="s">
        <v>65</v>
      </c>
      <c r="E1" s="4" t="s">
        <v>66</v>
      </c>
      <c r="F1" s="8" t="s">
        <v>67</v>
      </c>
    </row>
    <row r="2" spans="1:6" x14ac:dyDescent="0.2">
      <c r="A2" s="4">
        <v>2016</v>
      </c>
      <c r="B2" s="4" t="s">
        <v>0</v>
      </c>
      <c r="C2" s="5">
        <v>3359854</v>
      </c>
      <c r="D2" s="4">
        <f>C2/$C$57</f>
        <v>2.4422521290767437E-2</v>
      </c>
      <c r="E2" s="8">
        <f>D2*$C$63</f>
        <v>2149124.1631697244</v>
      </c>
      <c r="F2" s="14">
        <f>SUM(E2,C2)</f>
        <v>5508978.1631697249</v>
      </c>
    </row>
    <row r="3" spans="1:6" x14ac:dyDescent="0.2">
      <c r="A3" s="4">
        <v>2016</v>
      </c>
      <c r="B3" s="4" t="s">
        <v>1</v>
      </c>
      <c r="C3" s="5">
        <v>3190696</v>
      </c>
      <c r="D3" s="4">
        <f t="shared" ref="D3:D55" si="0">C3/$C$57</f>
        <v>2.319292474981547E-2</v>
      </c>
      <c r="E3" s="8">
        <f t="shared" ref="E3:E55" si="1">D3*$C$63</f>
        <v>2040922.5731025776</v>
      </c>
      <c r="F3" s="14">
        <f t="shared" ref="F3:F55" si="2">SUM(E3,C3)</f>
        <v>5231618.5731025776</v>
      </c>
    </row>
    <row r="4" spans="1:6" x14ac:dyDescent="0.2">
      <c r="A4" s="4">
        <v>2016</v>
      </c>
      <c r="B4" s="4" t="s">
        <v>2</v>
      </c>
      <c r="C4" s="5">
        <v>1941839</v>
      </c>
      <c r="D4" s="4">
        <f t="shared" si="0"/>
        <v>1.4115078905435341E-2</v>
      </c>
      <c r="E4" s="8">
        <f t="shared" si="1"/>
        <v>1242093.5897468564</v>
      </c>
      <c r="F4" s="14">
        <f t="shared" si="2"/>
        <v>3183932.5897468561</v>
      </c>
    </row>
    <row r="5" spans="1:6" x14ac:dyDescent="0.2">
      <c r="A5" s="4">
        <v>2016</v>
      </c>
      <c r="B5" s="4" t="s">
        <v>3</v>
      </c>
      <c r="C5" s="5">
        <v>2724152</v>
      </c>
      <c r="D5" s="4">
        <f t="shared" si="0"/>
        <v>1.9801652160863745E-2</v>
      </c>
      <c r="E5" s="8">
        <f t="shared" si="1"/>
        <v>1742498.5988519534</v>
      </c>
      <c r="F5" s="14">
        <f t="shared" si="2"/>
        <v>4466650.5988519536</v>
      </c>
    </row>
    <row r="6" spans="1:6" x14ac:dyDescent="0.2">
      <c r="A6" s="4">
        <v>2016</v>
      </c>
      <c r="B6" s="4" t="s">
        <v>4</v>
      </c>
      <c r="C6" s="5">
        <v>3624354</v>
      </c>
      <c r="D6" s="4">
        <f t="shared" si="0"/>
        <v>2.6345151524524022E-2</v>
      </c>
      <c r="E6" s="8">
        <f t="shared" si="1"/>
        <v>2318311.0805650614</v>
      </c>
      <c r="F6" s="14">
        <f t="shared" si="2"/>
        <v>5942665.0805650614</v>
      </c>
    </row>
    <row r="7" spans="1:6" x14ac:dyDescent="0.2">
      <c r="A7" s="4">
        <v>2016</v>
      </c>
      <c r="B7" s="4" t="s">
        <v>5</v>
      </c>
      <c r="C7" s="5">
        <v>5039744</v>
      </c>
      <c r="D7" s="4">
        <f t="shared" si="0"/>
        <v>3.6633512985986133E-2</v>
      </c>
      <c r="E7" s="8">
        <f t="shared" si="1"/>
        <v>3223662.5777755938</v>
      </c>
      <c r="F7" s="14">
        <f t="shared" si="2"/>
        <v>8263406.5777755938</v>
      </c>
    </row>
    <row r="8" spans="1:6" x14ac:dyDescent="0.2">
      <c r="A8" s="4">
        <v>2016</v>
      </c>
      <c r="B8" s="4" t="s">
        <v>6</v>
      </c>
      <c r="C8" s="5">
        <v>10740991</v>
      </c>
      <c r="D8" s="4">
        <f t="shared" si="0"/>
        <v>7.8075440593978626E-2</v>
      </c>
      <c r="E8" s="8">
        <f t="shared" si="1"/>
        <v>6870454.2800039956</v>
      </c>
      <c r="F8" s="14">
        <f t="shared" si="2"/>
        <v>17611445.280003995</v>
      </c>
    </row>
    <row r="9" spans="1:6" x14ac:dyDescent="0.2">
      <c r="A9" s="4">
        <v>2016</v>
      </c>
      <c r="B9" s="4" t="s">
        <v>7</v>
      </c>
      <c r="C9" s="5">
        <v>4223527</v>
      </c>
      <c r="D9" s="4">
        <f t="shared" si="0"/>
        <v>3.0700494152314694E-2</v>
      </c>
      <c r="E9" s="8">
        <f t="shared" si="1"/>
        <v>2701570.9401360112</v>
      </c>
      <c r="F9" s="14">
        <f t="shared" si="2"/>
        <v>6925097.9401360117</v>
      </c>
    </row>
    <row r="10" spans="1:6" x14ac:dyDescent="0.2">
      <c r="A10" s="4">
        <v>2016</v>
      </c>
      <c r="B10" s="4" t="s">
        <v>8</v>
      </c>
      <c r="C10" s="5">
        <v>2347911</v>
      </c>
      <c r="D10" s="4">
        <f t="shared" si="0"/>
        <v>1.7066785159809642E-2</v>
      </c>
      <c r="E10" s="8">
        <f t="shared" si="1"/>
        <v>1501836.7652499159</v>
      </c>
      <c r="F10" s="14">
        <f t="shared" si="2"/>
        <v>3849747.7652499159</v>
      </c>
    </row>
    <row r="11" spans="1:6" x14ac:dyDescent="0.2">
      <c r="A11" s="4">
        <v>2016</v>
      </c>
      <c r="B11" s="4" t="s">
        <v>9</v>
      </c>
      <c r="C11" s="5">
        <v>4818824</v>
      </c>
      <c r="D11" s="4">
        <f t="shared" si="0"/>
        <v>3.5027662433088198E-2</v>
      </c>
      <c r="E11" s="8">
        <f t="shared" si="1"/>
        <v>3082351.523745432</v>
      </c>
      <c r="F11" s="14">
        <f t="shared" si="2"/>
        <v>7901175.5237454325</v>
      </c>
    </row>
    <row r="12" spans="1:6" x14ac:dyDescent="0.2">
      <c r="A12" s="4">
        <v>2016</v>
      </c>
      <c r="B12" s="4" t="s">
        <v>10</v>
      </c>
      <c r="C12" s="5">
        <v>1901465</v>
      </c>
      <c r="D12" s="4">
        <f t="shared" si="0"/>
        <v>1.3821603392929904E-2</v>
      </c>
      <c r="E12" s="8">
        <f t="shared" si="1"/>
        <v>1216268.4381290141</v>
      </c>
      <c r="F12" s="14">
        <f t="shared" si="2"/>
        <v>3117733.4381290143</v>
      </c>
    </row>
    <row r="13" spans="1:6" x14ac:dyDescent="0.2">
      <c r="A13" s="4">
        <v>2016</v>
      </c>
      <c r="B13" s="4" t="s">
        <v>11</v>
      </c>
      <c r="C13" s="5">
        <v>234490</v>
      </c>
      <c r="D13" s="4">
        <f t="shared" si="0"/>
        <v>1.7044898431515347E-3</v>
      </c>
      <c r="E13" s="8">
        <f t="shared" si="1"/>
        <v>149991.07848783568</v>
      </c>
      <c r="F13" s="14">
        <f t="shared" si="2"/>
        <v>384481.07848783571</v>
      </c>
    </row>
    <row r="14" spans="1:6" x14ac:dyDescent="0.2">
      <c r="A14" s="4">
        <v>2016</v>
      </c>
      <c r="B14" s="4" t="s">
        <v>12</v>
      </c>
      <c r="C14" s="5">
        <v>1203084</v>
      </c>
      <c r="D14" s="4">
        <f t="shared" si="0"/>
        <v>8.7451254145512435E-3</v>
      </c>
      <c r="E14" s="8">
        <f t="shared" si="1"/>
        <v>769550.37174915487</v>
      </c>
      <c r="F14" s="14">
        <f t="shared" si="2"/>
        <v>1972634.3717491548</v>
      </c>
    </row>
    <row r="15" spans="1:6" x14ac:dyDescent="0.2">
      <c r="A15" s="4">
        <v>2016</v>
      </c>
      <c r="B15" s="4" t="s">
        <v>13</v>
      </c>
      <c r="C15" s="5">
        <v>544972</v>
      </c>
      <c r="D15" s="4">
        <f t="shared" si="0"/>
        <v>3.9613597117232214E-3</v>
      </c>
      <c r="E15" s="8">
        <f t="shared" si="1"/>
        <v>348590.2939386447</v>
      </c>
      <c r="F15" s="14">
        <f t="shared" si="2"/>
        <v>893562.2939386447</v>
      </c>
    </row>
    <row r="16" spans="1:6" x14ac:dyDescent="0.2">
      <c r="A16" s="4">
        <v>2016</v>
      </c>
      <c r="B16" s="4" t="s">
        <v>14</v>
      </c>
      <c r="C16" s="5">
        <v>588134</v>
      </c>
      <c r="D16" s="4">
        <f t="shared" si="0"/>
        <v>4.2751009826094283E-3</v>
      </c>
      <c r="E16" s="8">
        <f t="shared" si="1"/>
        <v>376198.78440600779</v>
      </c>
      <c r="F16" s="14">
        <f t="shared" si="2"/>
        <v>964332.78440600773</v>
      </c>
    </row>
    <row r="17" spans="1:6" x14ac:dyDescent="0.2">
      <c r="A17" s="4">
        <v>2016</v>
      </c>
      <c r="B17" s="4" t="s">
        <v>15</v>
      </c>
      <c r="C17" s="5">
        <v>3258588</v>
      </c>
      <c r="D17" s="4">
        <f t="shared" si="0"/>
        <v>2.3686426495865383E-2</v>
      </c>
      <c r="E17" s="8">
        <f t="shared" si="1"/>
        <v>2084349.5606103439</v>
      </c>
      <c r="F17" s="14">
        <f t="shared" si="2"/>
        <v>5342937.5606103437</v>
      </c>
    </row>
    <row r="18" spans="1:6" x14ac:dyDescent="0.2">
      <c r="A18" s="4">
        <v>2016</v>
      </c>
      <c r="B18" s="4" t="s">
        <v>16</v>
      </c>
      <c r="C18" s="5">
        <v>3517578</v>
      </c>
      <c r="D18" s="4">
        <f t="shared" si="0"/>
        <v>2.5569004961803442E-2</v>
      </c>
      <c r="E18" s="8">
        <f t="shared" si="1"/>
        <v>2250012.0170799782</v>
      </c>
      <c r="F18" s="14">
        <f t="shared" si="2"/>
        <v>5767590.0170799782</v>
      </c>
    </row>
    <row r="19" spans="1:6" x14ac:dyDescent="0.2">
      <c r="A19" s="4">
        <v>2016</v>
      </c>
      <c r="B19" s="4" t="s">
        <v>17</v>
      </c>
      <c r="C19" s="5">
        <v>304597</v>
      </c>
      <c r="D19" s="4">
        <f t="shared" si="0"/>
        <v>2.2140922544860251E-3</v>
      </c>
      <c r="E19" s="8">
        <f t="shared" si="1"/>
        <v>194834.88649477286</v>
      </c>
      <c r="F19" s="14">
        <f t="shared" si="2"/>
        <v>499431.88649477286</v>
      </c>
    </row>
    <row r="20" spans="1:6" x14ac:dyDescent="0.2">
      <c r="A20" s="4">
        <v>2016</v>
      </c>
      <c r="B20" s="4" t="s">
        <v>18</v>
      </c>
      <c r="C20" s="5">
        <v>2403973</v>
      </c>
      <c r="D20" s="4">
        <f t="shared" si="0"/>
        <v>1.7474295542285488E-2</v>
      </c>
      <c r="E20" s="8">
        <f t="shared" si="1"/>
        <v>1537696.7159607566</v>
      </c>
      <c r="F20" s="14">
        <f t="shared" si="2"/>
        <v>3941669.7159607569</v>
      </c>
    </row>
    <row r="21" spans="1:6" x14ac:dyDescent="0.2">
      <c r="A21" s="4">
        <v>2016</v>
      </c>
      <c r="B21" s="4" t="s">
        <v>19</v>
      </c>
      <c r="C21" s="5">
        <v>1706931</v>
      </c>
      <c r="D21" s="4">
        <f t="shared" si="0"/>
        <v>1.2407550652311366E-2</v>
      </c>
      <c r="E21" s="8">
        <f t="shared" si="1"/>
        <v>1091835.1383612088</v>
      </c>
      <c r="F21" s="14">
        <f t="shared" si="2"/>
        <v>2798766.1383612091</v>
      </c>
    </row>
    <row r="22" spans="1:6" x14ac:dyDescent="0.2">
      <c r="A22" s="4">
        <v>2016</v>
      </c>
      <c r="B22" s="4" t="s">
        <v>20</v>
      </c>
      <c r="C22" s="5">
        <v>258842</v>
      </c>
      <c r="D22" s="4">
        <f t="shared" si="0"/>
        <v>1.8815026652779631E-3</v>
      </c>
      <c r="E22" s="8">
        <f t="shared" si="1"/>
        <v>165567.78855366271</v>
      </c>
      <c r="F22" s="14">
        <f t="shared" si="2"/>
        <v>424409.78855366271</v>
      </c>
    </row>
    <row r="23" spans="1:6" x14ac:dyDescent="0.2">
      <c r="A23" s="4">
        <v>2016</v>
      </c>
      <c r="B23" s="4" t="s">
        <v>21</v>
      </c>
      <c r="C23" s="5">
        <v>2236509</v>
      </c>
      <c r="D23" s="4">
        <f t="shared" si="0"/>
        <v>1.6257012557537618E-2</v>
      </c>
      <c r="E23" s="8">
        <f t="shared" si="1"/>
        <v>1430578.6897426369</v>
      </c>
      <c r="F23" s="14">
        <f t="shared" si="2"/>
        <v>3667087.6897426369</v>
      </c>
    </row>
    <row r="24" spans="1:6" x14ac:dyDescent="0.2">
      <c r="A24" s="4">
        <v>2016</v>
      </c>
      <c r="B24" s="4" t="s">
        <v>22</v>
      </c>
      <c r="C24" s="5">
        <v>4042004</v>
      </c>
      <c r="D24" s="4">
        <f t="shared" si="0"/>
        <v>2.938101737378087E-2</v>
      </c>
      <c r="E24" s="8">
        <f t="shared" si="1"/>
        <v>2585460.1015486624</v>
      </c>
      <c r="F24" s="14">
        <f t="shared" si="2"/>
        <v>6627464.1015486624</v>
      </c>
    </row>
    <row r="25" spans="1:6" x14ac:dyDescent="0.2">
      <c r="A25" s="4">
        <v>2016</v>
      </c>
      <c r="B25" s="4" t="s">
        <v>23</v>
      </c>
      <c r="C25" s="5">
        <v>3408564</v>
      </c>
      <c r="D25" s="4">
        <f t="shared" si="0"/>
        <v>2.477659054856057E-2</v>
      </c>
      <c r="E25" s="8">
        <f t="shared" si="1"/>
        <v>2180281.4211898637</v>
      </c>
      <c r="F25" s="14">
        <f t="shared" si="2"/>
        <v>5588845.4211898632</v>
      </c>
    </row>
    <row r="26" spans="1:6" x14ac:dyDescent="0.2">
      <c r="A26" s="4">
        <v>2016</v>
      </c>
      <c r="B26" s="4" t="s">
        <v>24</v>
      </c>
      <c r="C26" s="5">
        <v>1575318</v>
      </c>
      <c r="D26" s="4">
        <f t="shared" si="0"/>
        <v>1.1450865839625525E-2</v>
      </c>
      <c r="E26" s="8">
        <f t="shared" si="1"/>
        <v>1007649.1354910671</v>
      </c>
      <c r="F26" s="14">
        <f t="shared" si="2"/>
        <v>2582967.1354910671</v>
      </c>
    </row>
    <row r="27" spans="1:6" x14ac:dyDescent="0.2">
      <c r="A27" s="4">
        <v>2016</v>
      </c>
      <c r="B27" s="4" t="s">
        <v>25</v>
      </c>
      <c r="C27" s="5">
        <v>288201</v>
      </c>
      <c r="D27" s="4">
        <f t="shared" si="0"/>
        <v>2.0949109867632542E-3</v>
      </c>
      <c r="E27" s="8">
        <f t="shared" si="1"/>
        <v>184347.21656050463</v>
      </c>
      <c r="F27" s="14">
        <f t="shared" si="2"/>
        <v>472548.21656050463</v>
      </c>
    </row>
    <row r="28" spans="1:6" x14ac:dyDescent="0.2">
      <c r="A28" s="4">
        <v>2016</v>
      </c>
      <c r="B28" s="4" t="s">
        <v>26</v>
      </c>
      <c r="C28" s="5">
        <v>8105954</v>
      </c>
      <c r="D28" s="4">
        <f t="shared" si="0"/>
        <v>5.8921558540038194E-2</v>
      </c>
      <c r="E28" s="8">
        <f t="shared" si="1"/>
        <v>5184957.9198805308</v>
      </c>
      <c r="F28" s="14">
        <f t="shared" si="2"/>
        <v>13290911.919880532</v>
      </c>
    </row>
    <row r="29" spans="1:6" x14ac:dyDescent="0.2">
      <c r="A29" s="4">
        <v>2016</v>
      </c>
      <c r="B29" s="4" t="s">
        <v>27</v>
      </c>
      <c r="C29" s="5">
        <v>2439705</v>
      </c>
      <c r="D29" s="4">
        <f t="shared" si="0"/>
        <v>1.7734028712465415E-2</v>
      </c>
      <c r="E29" s="8">
        <f t="shared" si="1"/>
        <v>1560552.621187109</v>
      </c>
      <c r="F29" s="14">
        <f t="shared" si="2"/>
        <v>4000257.621187109</v>
      </c>
    </row>
    <row r="30" spans="1:6" x14ac:dyDescent="0.2">
      <c r="A30" s="4">
        <v>2016</v>
      </c>
      <c r="B30" s="4" t="s">
        <v>28</v>
      </c>
      <c r="C30" s="5">
        <v>22109152</v>
      </c>
      <c r="D30" s="4">
        <f t="shared" si="0"/>
        <v>0.16070973186359094</v>
      </c>
      <c r="E30" s="8">
        <f t="shared" si="1"/>
        <v>14142076.646899609</v>
      </c>
      <c r="F30" s="14">
        <f t="shared" si="2"/>
        <v>36251228.646899611</v>
      </c>
    </row>
    <row r="31" spans="1:6" x14ac:dyDescent="0.2">
      <c r="A31" s="4">
        <v>2016</v>
      </c>
      <c r="B31" s="4" t="s">
        <v>29</v>
      </c>
      <c r="C31" s="5">
        <v>1551729</v>
      </c>
      <c r="D31" s="4">
        <f t="shared" si="0"/>
        <v>1.1279399206037306E-2</v>
      </c>
      <c r="E31" s="8">
        <f t="shared" si="1"/>
        <v>992560.47691095911</v>
      </c>
      <c r="F31" s="14">
        <f t="shared" si="2"/>
        <v>2544289.476910959</v>
      </c>
    </row>
    <row r="32" spans="1:6" x14ac:dyDescent="0.2">
      <c r="A32" s="4">
        <v>2016</v>
      </c>
      <c r="B32" s="4" t="s">
        <v>30</v>
      </c>
      <c r="C32" s="5">
        <v>2511869</v>
      </c>
      <c r="D32" s="4">
        <f t="shared" si="0"/>
        <v>1.8258583299190594E-2</v>
      </c>
      <c r="E32" s="8">
        <f t="shared" si="1"/>
        <v>1606712.1852964363</v>
      </c>
      <c r="F32" s="14">
        <f t="shared" si="2"/>
        <v>4118581.1852964363</v>
      </c>
    </row>
    <row r="33" spans="1:6" x14ac:dyDescent="0.2">
      <c r="A33" s="4">
        <v>2016</v>
      </c>
      <c r="B33" s="4" t="s">
        <v>31</v>
      </c>
      <c r="C33" s="5">
        <v>3797311</v>
      </c>
      <c r="D33" s="4">
        <f t="shared" si="0"/>
        <v>2.7602362705392972E-2</v>
      </c>
      <c r="E33" s="8">
        <f t="shared" si="1"/>
        <v>2428942.6936915088</v>
      </c>
      <c r="F33" s="14">
        <f t="shared" si="2"/>
        <v>6226253.6936915088</v>
      </c>
    </row>
    <row r="34" spans="1:6" x14ac:dyDescent="0.2">
      <c r="A34" s="4">
        <v>2016</v>
      </c>
      <c r="B34" s="4" t="s">
        <v>32</v>
      </c>
      <c r="C34" s="5">
        <v>1822114</v>
      </c>
      <c r="D34" s="4">
        <f t="shared" si="0"/>
        <v>1.3244807053879549E-2</v>
      </c>
      <c r="E34" s="8">
        <f t="shared" si="1"/>
        <v>1165511.7232623319</v>
      </c>
      <c r="F34" s="14">
        <f t="shared" si="2"/>
        <v>2987625.7232623319</v>
      </c>
    </row>
    <row r="35" spans="1:6" x14ac:dyDescent="0.2">
      <c r="A35" s="4">
        <v>2016</v>
      </c>
      <c r="B35" s="4" t="s">
        <v>33</v>
      </c>
      <c r="C35" s="5">
        <v>142212</v>
      </c>
      <c r="D35" s="4">
        <f t="shared" si="0"/>
        <v>1.0337281315803064E-3</v>
      </c>
      <c r="E35" s="8">
        <f t="shared" si="1"/>
        <v>90965.632879492041</v>
      </c>
      <c r="F35" s="14">
        <f t="shared" si="2"/>
        <v>233177.63287949204</v>
      </c>
    </row>
    <row r="36" spans="1:6" x14ac:dyDescent="0.2">
      <c r="A36" s="4">
        <v>2016</v>
      </c>
      <c r="B36" s="4" t="s">
        <v>34</v>
      </c>
      <c r="C36" s="5">
        <v>10882779</v>
      </c>
      <c r="D36" s="4">
        <f t="shared" si="0"/>
        <v>7.9106086702046219E-2</v>
      </c>
      <c r="E36" s="8">
        <f t="shared" si="1"/>
        <v>6961148.7020971905</v>
      </c>
      <c r="F36" s="14">
        <f t="shared" si="2"/>
        <v>17843927.702097192</v>
      </c>
    </row>
    <row r="37" spans="1:6" x14ac:dyDescent="0.2">
      <c r="A37" s="4">
        <v>2016</v>
      </c>
      <c r="B37" s="4" t="s">
        <v>35</v>
      </c>
      <c r="C37" s="5">
        <v>154035</v>
      </c>
      <c r="D37" s="4">
        <f t="shared" si="0"/>
        <v>1.1196686126907188E-3</v>
      </c>
      <c r="E37" s="8">
        <f t="shared" si="1"/>
        <v>98528.192139851468</v>
      </c>
      <c r="F37" s="14">
        <f t="shared" si="2"/>
        <v>252563.19213985145</v>
      </c>
    </row>
    <row r="38" spans="1:6" x14ac:dyDescent="0.2">
      <c r="A38" s="4">
        <v>2016</v>
      </c>
      <c r="B38" s="4" t="s">
        <v>36</v>
      </c>
      <c r="C38" s="5">
        <v>2587950</v>
      </c>
      <c r="D38" s="4">
        <f t="shared" si="0"/>
        <v>1.8811610258791481E-2</v>
      </c>
      <c r="E38" s="8">
        <f t="shared" si="1"/>
        <v>1655377.2509386088</v>
      </c>
      <c r="F38" s="14">
        <f t="shared" si="2"/>
        <v>4243327.2509386092</v>
      </c>
    </row>
    <row r="39" spans="1:6" x14ac:dyDescent="0.2">
      <c r="A39" s="4">
        <v>2016</v>
      </c>
      <c r="B39" s="4" t="s">
        <v>37</v>
      </c>
      <c r="C39" s="5">
        <v>3440621</v>
      </c>
      <c r="D39" s="4">
        <f t="shared" si="0"/>
        <v>2.5009610425322515E-2</v>
      </c>
      <c r="E39" s="8">
        <f t="shared" si="1"/>
        <v>2200786.6197189461</v>
      </c>
      <c r="F39" s="14">
        <f t="shared" si="2"/>
        <v>5641407.6197189465</v>
      </c>
    </row>
    <row r="40" spans="1:6" x14ac:dyDescent="0.2">
      <c r="A40" s="4">
        <v>2016</v>
      </c>
      <c r="B40" s="4" t="s">
        <v>38</v>
      </c>
      <c r="C40" s="5">
        <v>5143523</v>
      </c>
      <c r="D40" s="4">
        <f t="shared" si="0"/>
        <v>3.7387874585339723E-2</v>
      </c>
      <c r="E40" s="8">
        <f t="shared" si="1"/>
        <v>3290044.6159622506</v>
      </c>
      <c r="F40" s="14">
        <f t="shared" si="2"/>
        <v>8433567.6159622502</v>
      </c>
    </row>
    <row r="41" spans="1:6" x14ac:dyDescent="0.2">
      <c r="A41" s="4">
        <v>2016</v>
      </c>
      <c r="B41" s="4" t="s">
        <v>39</v>
      </c>
      <c r="C41" s="5">
        <v>350489</v>
      </c>
      <c r="D41" s="4">
        <f t="shared" si="0"/>
        <v>2.5476776861970158E-3</v>
      </c>
      <c r="E41" s="8">
        <f t="shared" si="1"/>
        <v>224189.61622296492</v>
      </c>
      <c r="F41" s="14">
        <f t="shared" si="2"/>
        <v>574678.61622296495</v>
      </c>
    </row>
    <row r="42" spans="1:6" x14ac:dyDescent="0.2">
      <c r="A42" s="4">
        <v>2016</v>
      </c>
      <c r="B42" s="4" t="s">
        <v>40</v>
      </c>
      <c r="C42" s="5">
        <v>768399</v>
      </c>
      <c r="D42" s="4">
        <f t="shared" si="0"/>
        <v>5.5854334555324155E-3</v>
      </c>
      <c r="E42" s="8">
        <f t="shared" si="1"/>
        <v>491504.94570759713</v>
      </c>
      <c r="F42" s="14">
        <f t="shared" si="2"/>
        <v>1259903.9457075971</v>
      </c>
    </row>
    <row r="43" spans="1:6" x14ac:dyDescent="0.2">
      <c r="A43" s="4">
        <v>2016</v>
      </c>
      <c r="B43" s="4" t="s">
        <v>41</v>
      </c>
      <c r="C43" s="5">
        <v>129938</v>
      </c>
      <c r="D43" s="4">
        <f t="shared" si="0"/>
        <v>9.4450936602594616E-4</v>
      </c>
      <c r="E43" s="8">
        <f t="shared" si="1"/>
        <v>83114.592334651345</v>
      </c>
      <c r="F43" s="14">
        <f t="shared" si="2"/>
        <v>213052.59233465133</v>
      </c>
    </row>
    <row r="44" spans="1:6" x14ac:dyDescent="0.2">
      <c r="A44" s="4">
        <v>2016</v>
      </c>
      <c r="B44" s="4" t="s">
        <v>42</v>
      </c>
      <c r="C44" s="5">
        <v>249187</v>
      </c>
      <c r="D44" s="4">
        <f t="shared" si="0"/>
        <v>1.8113212100533136E-3</v>
      </c>
      <c r="E44" s="8">
        <f t="shared" si="1"/>
        <v>159391.98633267224</v>
      </c>
      <c r="F44" s="14">
        <f t="shared" si="2"/>
        <v>408578.98633267224</v>
      </c>
    </row>
    <row r="45" spans="1:6" x14ac:dyDescent="0.2">
      <c r="A45" s="4">
        <v>2016</v>
      </c>
      <c r="B45" s="4" t="s">
        <v>43</v>
      </c>
      <c r="C45" s="5">
        <v>111071</v>
      </c>
      <c r="D45" s="4">
        <f t="shared" si="0"/>
        <v>8.0736658863356269E-4</v>
      </c>
      <c r="E45" s="8">
        <f t="shared" si="1"/>
        <v>71046.351992504569</v>
      </c>
      <c r="F45" s="14">
        <f t="shared" si="2"/>
        <v>182117.35199250455</v>
      </c>
    </row>
    <row r="46" spans="1:6" x14ac:dyDescent="0.2">
      <c r="A46" s="4">
        <v>2016</v>
      </c>
      <c r="B46" s="4" t="s">
        <v>44</v>
      </c>
      <c r="C46" s="5">
        <v>176699</v>
      </c>
      <c r="D46" s="4">
        <f t="shared" si="0"/>
        <v>1.2844114921533244E-3</v>
      </c>
      <c r="E46" s="8">
        <f t="shared" si="1"/>
        <v>113025.17624513659</v>
      </c>
      <c r="F46" s="14">
        <f t="shared" si="2"/>
        <v>289724.17624513659</v>
      </c>
    </row>
    <row r="47" spans="1:6" x14ac:dyDescent="0.2">
      <c r="A47" s="4">
        <v>2016</v>
      </c>
      <c r="B47" s="4" t="s">
        <v>45</v>
      </c>
      <c r="C47" s="5">
        <v>235775</v>
      </c>
      <c r="D47" s="4">
        <f t="shared" si="0"/>
        <v>1.7138304096936036E-3</v>
      </c>
      <c r="E47" s="8">
        <f t="shared" si="1"/>
        <v>150813.026271779</v>
      </c>
      <c r="F47" s="14">
        <f t="shared" si="2"/>
        <v>386588.02627177897</v>
      </c>
    </row>
    <row r="48" spans="1:6" x14ac:dyDescent="0.2">
      <c r="A48" s="4">
        <v>2016</v>
      </c>
      <c r="B48" s="4" t="s">
        <v>46</v>
      </c>
      <c r="C48" s="5">
        <v>469010</v>
      </c>
      <c r="D48" s="4">
        <f t="shared" si="0"/>
        <v>3.409197754004441E-3</v>
      </c>
      <c r="E48" s="8">
        <f t="shared" si="1"/>
        <v>300001.34641809808</v>
      </c>
      <c r="F48" s="14">
        <f t="shared" si="2"/>
        <v>769011.34641809808</v>
      </c>
    </row>
    <row r="49" spans="1:6" x14ac:dyDescent="0.2">
      <c r="A49" s="4">
        <v>2016</v>
      </c>
      <c r="B49" s="4" t="s">
        <v>47</v>
      </c>
      <c r="C49" s="5">
        <v>159218</v>
      </c>
      <c r="D49" s="4">
        <f t="shared" si="0"/>
        <v>1.1573434425642931E-3</v>
      </c>
      <c r="E49" s="8">
        <f t="shared" si="1"/>
        <v>101843.48814310301</v>
      </c>
      <c r="F49" s="14">
        <f t="shared" si="2"/>
        <v>261061.48814310302</v>
      </c>
    </row>
    <row r="50" spans="1:6" x14ac:dyDescent="0.2">
      <c r="A50" s="4">
        <v>2016</v>
      </c>
      <c r="B50" s="4" t="s">
        <v>48</v>
      </c>
      <c r="C50" s="5">
        <v>148751</v>
      </c>
      <c r="D50" s="4">
        <f t="shared" si="0"/>
        <v>1.0812596215558615E-3</v>
      </c>
      <c r="E50" s="8">
        <f t="shared" si="1"/>
        <v>95148.291680430077</v>
      </c>
      <c r="F50" s="14">
        <f t="shared" si="2"/>
        <v>243899.29168043006</v>
      </c>
    </row>
    <row r="51" spans="1:6" x14ac:dyDescent="0.2">
      <c r="A51" s="4">
        <v>2016</v>
      </c>
      <c r="B51" s="4" t="s">
        <v>49</v>
      </c>
      <c r="C51" s="5">
        <v>152339</v>
      </c>
      <c r="D51" s="4">
        <f t="shared" si="0"/>
        <v>1.1073405186398638E-3</v>
      </c>
      <c r="E51" s="8">
        <f t="shared" si="1"/>
        <v>97443.348994662461</v>
      </c>
      <c r="F51" s="14">
        <f t="shared" si="2"/>
        <v>249782.34899466246</v>
      </c>
    </row>
    <row r="52" spans="1:6" x14ac:dyDescent="0.2">
      <c r="A52" s="4">
        <v>2016</v>
      </c>
      <c r="B52" s="4" t="s">
        <v>50</v>
      </c>
      <c r="C52" s="5">
        <v>184019</v>
      </c>
      <c r="D52" s="4">
        <f t="shared" si="0"/>
        <v>1.337620011287911E-3</v>
      </c>
      <c r="E52" s="8">
        <f t="shared" si="1"/>
        <v>117707.4001972495</v>
      </c>
      <c r="F52" s="14">
        <f t="shared" si="2"/>
        <v>301726.40019724949</v>
      </c>
    </row>
    <row r="53" spans="1:6" x14ac:dyDescent="0.2">
      <c r="A53" s="4">
        <v>2016</v>
      </c>
      <c r="B53" s="4" t="s">
        <v>51</v>
      </c>
      <c r="C53" s="5">
        <v>136809</v>
      </c>
      <c r="D53" s="4">
        <f t="shared" si="0"/>
        <v>9.9445413856334318E-4</v>
      </c>
      <c r="E53" s="8">
        <f t="shared" si="1"/>
        <v>87509.61429844478</v>
      </c>
      <c r="F53" s="14">
        <f t="shared" si="2"/>
        <v>224318.61429844477</v>
      </c>
    </row>
    <row r="54" spans="1:6" x14ac:dyDescent="0.2">
      <c r="A54" s="4">
        <v>2016</v>
      </c>
      <c r="B54" s="4" t="s">
        <v>52</v>
      </c>
      <c r="C54" s="5">
        <v>96147</v>
      </c>
      <c r="D54" s="4">
        <f t="shared" si="0"/>
        <v>6.9888517612474142E-4</v>
      </c>
      <c r="E54" s="8">
        <f t="shared" si="1"/>
        <v>61500.244033306059</v>
      </c>
      <c r="F54" s="14">
        <f t="shared" si="2"/>
        <v>157647.24403330605</v>
      </c>
    </row>
    <row r="55" spans="1:6" x14ac:dyDescent="0.2">
      <c r="A55" s="4">
        <v>2016</v>
      </c>
      <c r="B55" s="4" t="s">
        <v>53</v>
      </c>
      <c r="C55" s="5">
        <v>30008</v>
      </c>
      <c r="D55" s="4">
        <f t="shared" si="0"/>
        <v>2.1812585275828928E-4</v>
      </c>
      <c r="E55" s="8">
        <f t="shared" si="1"/>
        <v>19194.559611339388</v>
      </c>
      <c r="F55" s="14">
        <f t="shared" si="2"/>
        <v>49202.559611339384</v>
      </c>
    </row>
    <row r="57" spans="1:6" x14ac:dyDescent="0.2">
      <c r="B57" s="4" t="s">
        <v>61</v>
      </c>
      <c r="C57" s="5">
        <f>SUM(C2:C55)</f>
        <v>137571955</v>
      </c>
    </row>
    <row r="59" spans="1:6" x14ac:dyDescent="0.2">
      <c r="B59" s="4" t="s">
        <v>62</v>
      </c>
      <c r="C59" s="5">
        <v>137571950</v>
      </c>
    </row>
    <row r="61" spans="1:6" x14ac:dyDescent="0.2">
      <c r="A61" s="6"/>
      <c r="B61" s="6" t="s">
        <v>63</v>
      </c>
      <c r="C61" s="7">
        <f>C57-C59</f>
        <v>5</v>
      </c>
    </row>
    <row r="63" spans="1:6" x14ac:dyDescent="0.2">
      <c r="B63" s="4" t="s">
        <v>64</v>
      </c>
      <c r="C63" s="5">
        <v>87997637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F430-4B92-A34A-938B-A1FB36F9B557}">
  <sheetPr>
    <tabColor rgb="FFFFFF00"/>
  </sheetPr>
  <dimension ref="A1:F63"/>
  <sheetViews>
    <sheetView topLeftCell="A31" workbookViewId="0">
      <selection activeCell="F55" activeCellId="1" sqref="A2:C55 E2:F55"/>
    </sheetView>
  </sheetViews>
  <sheetFormatPr baseColWidth="10" defaultRowHeight="16" x14ac:dyDescent="0.2"/>
  <cols>
    <col min="1" max="1" width="11" style="4" customWidth="1"/>
    <col min="2" max="2" width="30.83203125" style="4" bestFit="1" customWidth="1"/>
    <col min="3" max="3" width="18.83203125" style="4" bestFit="1" customWidth="1"/>
    <col min="4" max="4" width="11.5" bestFit="1" customWidth="1"/>
    <col min="5" max="5" width="17.1640625" bestFit="1" customWidth="1"/>
    <col min="6" max="6" width="18.1640625" bestFit="1" customWidth="1"/>
  </cols>
  <sheetData>
    <row r="1" spans="1:6" x14ac:dyDescent="0.2">
      <c r="A1" s="4" t="s">
        <v>58</v>
      </c>
      <c r="B1" s="4" t="s">
        <v>59</v>
      </c>
      <c r="C1" s="4" t="s">
        <v>60</v>
      </c>
      <c r="D1" s="4" t="s">
        <v>65</v>
      </c>
      <c r="E1" s="4" t="s">
        <v>66</v>
      </c>
      <c r="F1" s="8" t="s">
        <v>67</v>
      </c>
    </row>
    <row r="2" spans="1:6" x14ac:dyDescent="0.2">
      <c r="A2" s="4">
        <v>2015</v>
      </c>
      <c r="B2" s="4" t="s">
        <v>0</v>
      </c>
      <c r="C2" s="5">
        <v>3183386</v>
      </c>
      <c r="D2" s="4">
        <f>C2/$C$57</f>
        <v>2.3942625773458744E-2</v>
      </c>
      <c r="E2" s="8">
        <f>D2*$C$63</f>
        <v>2033777.6391181506</v>
      </c>
      <c r="F2" s="14">
        <f>SUM(E2,C2)</f>
        <v>5217163.6391181508</v>
      </c>
    </row>
    <row r="3" spans="1:6" x14ac:dyDescent="0.2">
      <c r="A3" s="4">
        <v>2015</v>
      </c>
      <c r="B3" s="4" t="s">
        <v>1</v>
      </c>
      <c r="C3" s="5">
        <v>3120167</v>
      </c>
      <c r="D3" s="4">
        <f t="shared" ref="D3:D55" si="0">C3/$C$57</f>
        <v>2.3467148134626289E-2</v>
      </c>
      <c r="E3" s="8">
        <f t="shared" ref="E3:E55" si="1">D3*$C$63</f>
        <v>1993388.7611852167</v>
      </c>
      <c r="F3" s="14">
        <f t="shared" ref="F3:F55" si="2">SUM(E3,C3)</f>
        <v>5113555.7611852167</v>
      </c>
    </row>
    <row r="4" spans="1:6" x14ac:dyDescent="0.2">
      <c r="A4" s="4">
        <v>2015</v>
      </c>
      <c r="B4" s="4" t="s">
        <v>2</v>
      </c>
      <c r="C4" s="5">
        <v>1861216</v>
      </c>
      <c r="D4" s="4">
        <f t="shared" si="0"/>
        <v>1.3998427514468489E-2</v>
      </c>
      <c r="E4" s="8">
        <f t="shared" si="1"/>
        <v>1189079.6411019359</v>
      </c>
      <c r="F4" s="14">
        <f t="shared" si="2"/>
        <v>3050295.6411019359</v>
      </c>
    </row>
    <row r="5" spans="1:6" x14ac:dyDescent="0.2">
      <c r="A5" s="4">
        <v>2015</v>
      </c>
      <c r="B5" s="4" t="s">
        <v>3</v>
      </c>
      <c r="C5" s="5">
        <v>2563268</v>
      </c>
      <c r="D5" s="4">
        <f t="shared" si="0"/>
        <v>1.9278644336904807E-2</v>
      </c>
      <c r="E5" s="8">
        <f t="shared" si="1"/>
        <v>1637601.3281038189</v>
      </c>
      <c r="F5" s="14">
        <f t="shared" si="2"/>
        <v>4200869.3281038189</v>
      </c>
    </row>
    <row r="6" spans="1:6" x14ac:dyDescent="0.2">
      <c r="A6" s="4">
        <v>2015</v>
      </c>
      <c r="B6" s="4" t="s">
        <v>4</v>
      </c>
      <c r="C6" s="5">
        <v>3719220</v>
      </c>
      <c r="D6" s="4">
        <f t="shared" si="0"/>
        <v>2.7972697193856866E-2</v>
      </c>
      <c r="E6" s="8">
        <f t="shared" si="1"/>
        <v>2376107.2238682359</v>
      </c>
      <c r="F6" s="14">
        <f t="shared" si="2"/>
        <v>6095327.2238682359</v>
      </c>
    </row>
    <row r="7" spans="1:6" x14ac:dyDescent="0.2">
      <c r="A7" s="4">
        <v>2015</v>
      </c>
      <c r="B7" s="4" t="s">
        <v>5</v>
      </c>
      <c r="C7" s="5">
        <v>4850038</v>
      </c>
      <c r="D7" s="4">
        <f t="shared" si="0"/>
        <v>3.6477714239195089E-2</v>
      </c>
      <c r="E7" s="8">
        <f t="shared" si="1"/>
        <v>3098555.699269054</v>
      </c>
      <c r="F7" s="14">
        <f t="shared" si="2"/>
        <v>7948593.6992690545</v>
      </c>
    </row>
    <row r="8" spans="1:6" x14ac:dyDescent="0.2">
      <c r="A8" s="4">
        <v>2015</v>
      </c>
      <c r="B8" s="4" t="s">
        <v>6</v>
      </c>
      <c r="C8" s="5">
        <v>10073268</v>
      </c>
      <c r="D8" s="4">
        <f t="shared" si="0"/>
        <v>7.5762250019242777E-2</v>
      </c>
      <c r="E8" s="8">
        <f t="shared" si="1"/>
        <v>6435533.4889468048</v>
      </c>
      <c r="F8" s="14">
        <f t="shared" si="2"/>
        <v>16508801.488946805</v>
      </c>
    </row>
    <row r="9" spans="1:6" x14ac:dyDescent="0.2">
      <c r="A9" s="4">
        <v>2015</v>
      </c>
      <c r="B9" s="4" t="s">
        <v>7</v>
      </c>
      <c r="C9" s="5">
        <v>3765727</v>
      </c>
      <c r="D9" s="4">
        <f t="shared" si="0"/>
        <v>2.832248188752777E-2</v>
      </c>
      <c r="E9" s="8">
        <f t="shared" si="1"/>
        <v>2405819.2652802635</v>
      </c>
      <c r="F9" s="14">
        <f t="shared" si="2"/>
        <v>6171546.2652802635</v>
      </c>
    </row>
    <row r="10" spans="1:6" x14ac:dyDescent="0.2">
      <c r="A10" s="4">
        <v>2015</v>
      </c>
      <c r="B10" s="4" t="s">
        <v>8</v>
      </c>
      <c r="C10" s="5">
        <v>2125947</v>
      </c>
      <c r="D10" s="4">
        <f t="shared" si="0"/>
        <v>1.5989500938688332E-2</v>
      </c>
      <c r="E10" s="8">
        <f t="shared" si="1"/>
        <v>1358208.9858252548</v>
      </c>
      <c r="F10" s="14">
        <f t="shared" si="2"/>
        <v>3484155.9858252546</v>
      </c>
    </row>
    <row r="11" spans="1:6" x14ac:dyDescent="0.2">
      <c r="A11" s="4">
        <v>2015</v>
      </c>
      <c r="B11" s="4" t="s">
        <v>9</v>
      </c>
      <c r="C11" s="5">
        <v>4418964</v>
      </c>
      <c r="D11" s="4">
        <f t="shared" si="0"/>
        <v>3.3235555273028891E-2</v>
      </c>
      <c r="E11" s="8">
        <f t="shared" si="1"/>
        <v>2823154.3932366669</v>
      </c>
      <c r="F11" s="14">
        <f t="shared" si="2"/>
        <v>7242118.3932366669</v>
      </c>
    </row>
    <row r="12" spans="1:6" x14ac:dyDescent="0.2">
      <c r="A12" s="4">
        <v>2015</v>
      </c>
      <c r="B12" s="4" t="s">
        <v>10</v>
      </c>
      <c r="C12" s="5">
        <v>1855459</v>
      </c>
      <c r="D12" s="4">
        <f t="shared" si="0"/>
        <v>1.3955128430858207E-2</v>
      </c>
      <c r="E12" s="8">
        <f t="shared" si="1"/>
        <v>1185401.6523602619</v>
      </c>
      <c r="F12" s="14">
        <f t="shared" si="2"/>
        <v>3040860.6523602619</v>
      </c>
    </row>
    <row r="13" spans="1:6" x14ac:dyDescent="0.2">
      <c r="A13" s="4">
        <v>2015</v>
      </c>
      <c r="B13" s="4" t="s">
        <v>11</v>
      </c>
      <c r="C13" s="5">
        <v>247872</v>
      </c>
      <c r="D13" s="4">
        <f t="shared" si="0"/>
        <v>1.8642748745262955E-3</v>
      </c>
      <c r="E13" s="8">
        <f t="shared" si="1"/>
        <v>158358.59395106163</v>
      </c>
      <c r="F13" s="14">
        <f t="shared" si="2"/>
        <v>406230.5939510616</v>
      </c>
    </row>
    <row r="14" spans="1:6" x14ac:dyDescent="0.2">
      <c r="A14" s="4">
        <v>2015</v>
      </c>
      <c r="B14" s="4" t="s">
        <v>12</v>
      </c>
      <c r="C14" s="5">
        <v>1153736</v>
      </c>
      <c r="D14" s="4">
        <f t="shared" si="0"/>
        <v>8.6773860566601718E-3</v>
      </c>
      <c r="E14" s="8">
        <f t="shared" si="1"/>
        <v>737090.15439711639</v>
      </c>
      <c r="F14" s="14">
        <f t="shared" si="2"/>
        <v>1890826.1543971165</v>
      </c>
    </row>
    <row r="15" spans="1:6" x14ac:dyDescent="0.2">
      <c r="A15" s="4">
        <v>2015</v>
      </c>
      <c r="B15" s="4" t="s">
        <v>13</v>
      </c>
      <c r="C15" s="5">
        <v>541267</v>
      </c>
      <c r="D15" s="4">
        <f t="shared" si="0"/>
        <v>4.0709336613664483E-3</v>
      </c>
      <c r="E15" s="8">
        <f t="shared" si="1"/>
        <v>345800.57881531294</v>
      </c>
      <c r="F15" s="14">
        <f t="shared" si="2"/>
        <v>887067.57881531294</v>
      </c>
    </row>
    <row r="16" spans="1:6" x14ac:dyDescent="0.2">
      <c r="A16" s="4">
        <v>2015</v>
      </c>
      <c r="B16" s="4" t="s">
        <v>14</v>
      </c>
      <c r="C16" s="5">
        <v>572481</v>
      </c>
      <c r="D16" s="4">
        <f t="shared" si="0"/>
        <v>4.3056978781132529E-3</v>
      </c>
      <c r="E16" s="8">
        <f t="shared" si="1"/>
        <v>365742.34372457443</v>
      </c>
      <c r="F16" s="14">
        <f t="shared" si="2"/>
        <v>938223.34372457443</v>
      </c>
    </row>
    <row r="17" spans="1:6" x14ac:dyDescent="0.2">
      <c r="A17" s="4">
        <v>2015</v>
      </c>
      <c r="B17" s="4" t="s">
        <v>15</v>
      </c>
      <c r="C17" s="5">
        <v>3030625</v>
      </c>
      <c r="D17" s="4">
        <f t="shared" si="0"/>
        <v>2.2793692073373572E-2</v>
      </c>
      <c r="E17" s="8">
        <f t="shared" si="1"/>
        <v>1936182.843535922</v>
      </c>
      <c r="F17" s="14">
        <f t="shared" si="2"/>
        <v>4966807.8435359225</v>
      </c>
    </row>
    <row r="18" spans="1:6" x14ac:dyDescent="0.2">
      <c r="A18" s="4">
        <v>2015</v>
      </c>
      <c r="B18" s="4" t="s">
        <v>16</v>
      </c>
      <c r="C18" s="5">
        <v>3404310</v>
      </c>
      <c r="D18" s="4">
        <f t="shared" si="0"/>
        <v>2.5604221526023967E-2</v>
      </c>
      <c r="E18" s="8">
        <f t="shared" si="1"/>
        <v>2174919.898066496</v>
      </c>
      <c r="F18" s="14">
        <f t="shared" si="2"/>
        <v>5579229.8980664965</v>
      </c>
    </row>
    <row r="19" spans="1:6" x14ac:dyDescent="0.2">
      <c r="A19" s="4">
        <v>2015</v>
      </c>
      <c r="B19" s="4" t="s">
        <v>17</v>
      </c>
      <c r="C19" s="5">
        <v>271115</v>
      </c>
      <c r="D19" s="4">
        <f t="shared" si="0"/>
        <v>2.0390882496094621E-3</v>
      </c>
      <c r="E19" s="8">
        <f t="shared" si="1"/>
        <v>173207.90649626448</v>
      </c>
      <c r="F19" s="14">
        <f t="shared" si="2"/>
        <v>444322.90649626451</v>
      </c>
    </row>
    <row r="20" spans="1:6" x14ac:dyDescent="0.2">
      <c r="A20" s="4">
        <v>2015</v>
      </c>
      <c r="B20" s="4" t="s">
        <v>18</v>
      </c>
      <c r="C20" s="5">
        <v>2285458</v>
      </c>
      <c r="D20" s="4">
        <f t="shared" si="0"/>
        <v>1.7189202193814219E-2</v>
      </c>
      <c r="E20" s="8">
        <f t="shared" si="1"/>
        <v>1460116.1705001185</v>
      </c>
      <c r="F20" s="14">
        <f t="shared" si="2"/>
        <v>3745574.1705001183</v>
      </c>
    </row>
    <row r="21" spans="1:6" x14ac:dyDescent="0.2">
      <c r="A21" s="4">
        <v>2015</v>
      </c>
      <c r="B21" s="4" t="s">
        <v>19</v>
      </c>
      <c r="C21" s="5">
        <v>1666194</v>
      </c>
      <c r="D21" s="4">
        <f t="shared" si="0"/>
        <v>1.2531643793112841E-2</v>
      </c>
      <c r="E21" s="8">
        <f t="shared" si="1"/>
        <v>1064485.4565650623</v>
      </c>
      <c r="F21" s="14">
        <f t="shared" si="2"/>
        <v>2730679.4565650625</v>
      </c>
    </row>
    <row r="22" spans="1:6" x14ac:dyDescent="0.2">
      <c r="A22" s="4">
        <v>2015</v>
      </c>
      <c r="B22" s="4" t="s">
        <v>20</v>
      </c>
      <c r="C22" s="5">
        <v>250456</v>
      </c>
      <c r="D22" s="4">
        <f t="shared" si="0"/>
        <v>1.8837094467078082E-3</v>
      </c>
      <c r="E22" s="8">
        <f t="shared" si="1"/>
        <v>160009.44038296817</v>
      </c>
      <c r="F22" s="14">
        <f t="shared" si="2"/>
        <v>410465.44038296817</v>
      </c>
    </row>
    <row r="23" spans="1:6" x14ac:dyDescent="0.2">
      <c r="A23" s="4">
        <v>2015</v>
      </c>
      <c r="B23" s="4" t="s">
        <v>21</v>
      </c>
      <c r="C23" s="5">
        <v>2310627</v>
      </c>
      <c r="D23" s="4">
        <f t="shared" si="0"/>
        <v>1.7378501244602336E-2</v>
      </c>
      <c r="E23" s="8">
        <f t="shared" si="1"/>
        <v>1476195.9513997531</v>
      </c>
      <c r="F23" s="14">
        <f t="shared" si="2"/>
        <v>3786822.9513997529</v>
      </c>
    </row>
    <row r="24" spans="1:6" x14ac:dyDescent="0.2">
      <c r="A24" s="4">
        <v>2015</v>
      </c>
      <c r="B24" s="4" t="s">
        <v>22</v>
      </c>
      <c r="C24" s="5">
        <v>3765968</v>
      </c>
      <c r="D24" s="4">
        <f t="shared" si="0"/>
        <v>2.8324294477270705E-2</v>
      </c>
      <c r="E24" s="8">
        <f t="shared" si="1"/>
        <v>2405973.2335426817</v>
      </c>
      <c r="F24" s="14">
        <f t="shared" si="2"/>
        <v>6171941.2335426817</v>
      </c>
    </row>
    <row r="25" spans="1:6" x14ac:dyDescent="0.2">
      <c r="A25" s="4">
        <v>2015</v>
      </c>
      <c r="B25" s="4" t="s">
        <v>23</v>
      </c>
      <c r="C25" s="5">
        <v>3255338</v>
      </c>
      <c r="D25" s="4">
        <f t="shared" si="0"/>
        <v>2.4483785346834985E-2</v>
      </c>
      <c r="E25" s="8">
        <f t="shared" si="1"/>
        <v>2079745.790228267</v>
      </c>
      <c r="F25" s="14">
        <f t="shared" si="2"/>
        <v>5335083.7902282672</v>
      </c>
    </row>
    <row r="26" spans="1:6" x14ac:dyDescent="0.2">
      <c r="A26" s="4">
        <v>2015</v>
      </c>
      <c r="B26" s="4" t="s">
        <v>24</v>
      </c>
      <c r="C26" s="5">
        <v>1506269</v>
      </c>
      <c r="D26" s="4">
        <f t="shared" si="0"/>
        <v>1.1328828794611124E-2</v>
      </c>
      <c r="E26" s="8">
        <f t="shared" si="1"/>
        <v>962313.7786925172</v>
      </c>
      <c r="F26" s="14">
        <f t="shared" si="2"/>
        <v>2468582.7786925174</v>
      </c>
    </row>
    <row r="27" spans="1:6" x14ac:dyDescent="0.2">
      <c r="A27" s="4">
        <v>2015</v>
      </c>
      <c r="B27" s="4" t="s">
        <v>25</v>
      </c>
      <c r="C27" s="5">
        <v>365403</v>
      </c>
      <c r="D27" s="4">
        <f t="shared" si="0"/>
        <v>2.7482395428952522E-3</v>
      </c>
      <c r="E27" s="8">
        <f t="shared" si="1"/>
        <v>233445.91283202526</v>
      </c>
      <c r="F27" s="14">
        <f t="shared" si="2"/>
        <v>598848.91283202521</v>
      </c>
    </row>
    <row r="28" spans="1:6" x14ac:dyDescent="0.2">
      <c r="A28" s="4">
        <v>2015</v>
      </c>
      <c r="B28" s="4" t="s">
        <v>26</v>
      </c>
      <c r="C28" s="5">
        <v>7698459</v>
      </c>
      <c r="D28" s="4">
        <f t="shared" si="0"/>
        <v>5.7901028297955515E-2</v>
      </c>
      <c r="E28" s="8">
        <f t="shared" si="1"/>
        <v>4918333.4254369019</v>
      </c>
      <c r="F28" s="14">
        <f t="shared" si="2"/>
        <v>12616792.425436903</v>
      </c>
    </row>
    <row r="29" spans="1:6" x14ac:dyDescent="0.2">
      <c r="A29" s="4">
        <v>2015</v>
      </c>
      <c r="B29" s="4" t="s">
        <v>27</v>
      </c>
      <c r="C29" s="5">
        <v>2354545</v>
      </c>
      <c r="D29" s="4">
        <f t="shared" si="0"/>
        <v>1.7708813760495403E-2</v>
      </c>
      <c r="E29" s="8">
        <f t="shared" si="1"/>
        <v>1504253.9520175832</v>
      </c>
      <c r="F29" s="14">
        <f t="shared" si="2"/>
        <v>3858798.952017583</v>
      </c>
    </row>
    <row r="30" spans="1:6" x14ac:dyDescent="0.2">
      <c r="A30" s="4">
        <v>2015</v>
      </c>
      <c r="B30" s="4" t="s">
        <v>28</v>
      </c>
      <c r="C30" s="5">
        <v>21344690</v>
      </c>
      <c r="D30" s="4">
        <f t="shared" si="0"/>
        <v>0.16053595917067146</v>
      </c>
      <c r="E30" s="8">
        <f t="shared" si="1"/>
        <v>13636534.56913764</v>
      </c>
      <c r="F30" s="14">
        <f t="shared" si="2"/>
        <v>34981224.56913764</v>
      </c>
    </row>
    <row r="31" spans="1:6" x14ac:dyDescent="0.2">
      <c r="A31" s="4">
        <v>2015</v>
      </c>
      <c r="B31" s="4" t="s">
        <v>29</v>
      </c>
      <c r="C31" s="5">
        <v>1576723</v>
      </c>
      <c r="D31" s="4">
        <f t="shared" si="0"/>
        <v>1.1858721731327961E-2</v>
      </c>
      <c r="E31" s="8">
        <f t="shared" si="1"/>
        <v>1007324.8988602977</v>
      </c>
      <c r="F31" s="14">
        <f t="shared" si="2"/>
        <v>2584047.8988602976</v>
      </c>
    </row>
    <row r="32" spans="1:6" x14ac:dyDescent="0.2">
      <c r="A32" s="4">
        <v>2015</v>
      </c>
      <c r="B32" s="4" t="s">
        <v>30</v>
      </c>
      <c r="C32" s="5">
        <v>2370250</v>
      </c>
      <c r="D32" s="4">
        <f t="shared" si="0"/>
        <v>1.7826932938556802E-2</v>
      </c>
      <c r="E32" s="8">
        <f t="shared" si="1"/>
        <v>1514287.4439731142</v>
      </c>
      <c r="F32" s="14">
        <f t="shared" si="2"/>
        <v>3884537.4439731142</v>
      </c>
    </row>
    <row r="33" spans="1:6" x14ac:dyDescent="0.2">
      <c r="A33" s="4">
        <v>2015</v>
      </c>
      <c r="B33" s="4" t="s">
        <v>31</v>
      </c>
      <c r="C33" s="5">
        <v>3587667</v>
      </c>
      <c r="D33" s="4">
        <f t="shared" si="0"/>
        <v>2.6983271391149991E-2</v>
      </c>
      <c r="E33" s="8">
        <f t="shared" si="1"/>
        <v>2292061.6353788381</v>
      </c>
      <c r="F33" s="14">
        <f t="shared" si="2"/>
        <v>5879728.6353788376</v>
      </c>
    </row>
    <row r="34" spans="1:6" x14ac:dyDescent="0.2">
      <c r="A34" s="4">
        <v>2015</v>
      </c>
      <c r="B34" s="4" t="s">
        <v>32</v>
      </c>
      <c r="C34" s="5">
        <v>1738813</v>
      </c>
      <c r="D34" s="4">
        <f t="shared" si="0"/>
        <v>1.3077819953039034E-2</v>
      </c>
      <c r="E34" s="8">
        <f t="shared" si="1"/>
        <v>1110879.735604777</v>
      </c>
      <c r="F34" s="14">
        <f t="shared" si="2"/>
        <v>2849692.735604777</v>
      </c>
    </row>
    <row r="35" spans="1:6" x14ac:dyDescent="0.2">
      <c r="A35" s="4">
        <v>2015</v>
      </c>
      <c r="B35" s="4" t="s">
        <v>33</v>
      </c>
      <c r="C35" s="5">
        <v>143134</v>
      </c>
      <c r="D35" s="4">
        <f t="shared" si="0"/>
        <v>1.0765278849182108E-3</v>
      </c>
      <c r="E35" s="8">
        <f t="shared" si="1"/>
        <v>91444.370427443399</v>
      </c>
      <c r="F35" s="14">
        <f t="shared" si="2"/>
        <v>234578.37042744341</v>
      </c>
    </row>
    <row r="36" spans="1:6" x14ac:dyDescent="0.2">
      <c r="A36" s="4">
        <v>2015</v>
      </c>
      <c r="B36" s="4" t="s">
        <v>34</v>
      </c>
      <c r="C36" s="5">
        <v>10806422</v>
      </c>
      <c r="D36" s="4">
        <f t="shared" si="0"/>
        <v>8.1276388693068191E-2</v>
      </c>
      <c r="E36" s="8">
        <f t="shared" si="1"/>
        <v>6903925.387142635</v>
      </c>
      <c r="F36" s="14">
        <f t="shared" si="2"/>
        <v>17710347.387142636</v>
      </c>
    </row>
    <row r="37" spans="1:6" x14ac:dyDescent="0.2">
      <c r="A37" s="4">
        <v>2015</v>
      </c>
      <c r="B37" s="4" t="s">
        <v>35</v>
      </c>
      <c r="C37" s="5">
        <v>138491</v>
      </c>
      <c r="D37" s="4">
        <f t="shared" si="0"/>
        <v>1.0416073281694631E-3</v>
      </c>
      <c r="E37" s="8">
        <f t="shared" si="1"/>
        <v>88478.085604168577</v>
      </c>
      <c r="F37" s="14">
        <f t="shared" si="2"/>
        <v>226969.08560416859</v>
      </c>
    </row>
    <row r="38" spans="1:6" x14ac:dyDescent="0.2">
      <c r="A38" s="4">
        <v>2015</v>
      </c>
      <c r="B38" s="4" t="s">
        <v>36</v>
      </c>
      <c r="C38" s="5">
        <v>3620613</v>
      </c>
      <c r="D38" s="4">
        <f t="shared" si="0"/>
        <v>2.7231062186464282E-2</v>
      </c>
      <c r="E38" s="8">
        <f t="shared" si="1"/>
        <v>2313109.9273856468</v>
      </c>
      <c r="F38" s="14">
        <f t="shared" si="2"/>
        <v>5933722.9273856468</v>
      </c>
    </row>
    <row r="39" spans="1:6" x14ac:dyDescent="0.2">
      <c r="A39" s="4">
        <v>2015</v>
      </c>
      <c r="B39" s="4" t="s">
        <v>37</v>
      </c>
      <c r="C39" s="5">
        <v>3367370</v>
      </c>
      <c r="D39" s="4">
        <f t="shared" si="0"/>
        <v>2.5326391380364105E-2</v>
      </c>
      <c r="E39" s="8">
        <f t="shared" si="1"/>
        <v>2151319.9494617637</v>
      </c>
      <c r="F39" s="14">
        <f t="shared" si="2"/>
        <v>5518689.9494617637</v>
      </c>
    </row>
    <row r="40" spans="1:6" x14ac:dyDescent="0.2">
      <c r="A40" s="4">
        <v>2015</v>
      </c>
      <c r="B40" s="4" t="s">
        <v>38</v>
      </c>
      <c r="C40" s="5">
        <v>4912636</v>
      </c>
      <c r="D40" s="4">
        <f t="shared" si="0"/>
        <v>3.6948521262963795E-2</v>
      </c>
      <c r="E40" s="8">
        <f t="shared" si="1"/>
        <v>3138547.8374054651</v>
      </c>
      <c r="F40" s="14">
        <f t="shared" si="2"/>
        <v>8051183.8374054655</v>
      </c>
    </row>
    <row r="41" spans="1:6" x14ac:dyDescent="0.2">
      <c r="A41" s="4">
        <v>2015</v>
      </c>
      <c r="B41" s="4" t="s">
        <v>39</v>
      </c>
      <c r="C41" s="5">
        <v>303267</v>
      </c>
      <c r="D41" s="4">
        <f t="shared" si="0"/>
        <v>2.2809072762271093E-3</v>
      </c>
      <c r="E41" s="8">
        <f t="shared" si="1"/>
        <v>193748.93377128761</v>
      </c>
      <c r="F41" s="14">
        <f t="shared" si="2"/>
        <v>497015.93377128761</v>
      </c>
    </row>
    <row r="42" spans="1:6" x14ac:dyDescent="0.2">
      <c r="A42" s="4">
        <v>2015</v>
      </c>
      <c r="B42" s="4" t="s">
        <v>40</v>
      </c>
      <c r="C42" s="5">
        <v>725366</v>
      </c>
      <c r="D42" s="4">
        <f t="shared" si="0"/>
        <v>5.4555641969873192E-3</v>
      </c>
      <c r="E42" s="8">
        <f t="shared" si="1"/>
        <v>463416.35949161567</v>
      </c>
      <c r="F42" s="14">
        <f t="shared" si="2"/>
        <v>1188782.3594916156</v>
      </c>
    </row>
    <row r="43" spans="1:6" x14ac:dyDescent="0.2">
      <c r="A43" s="4">
        <v>2015</v>
      </c>
      <c r="B43" s="4" t="s">
        <v>41</v>
      </c>
      <c r="C43" s="5">
        <v>123205</v>
      </c>
      <c r="D43" s="4">
        <f t="shared" si="0"/>
        <v>9.2663949908021979E-4</v>
      </c>
      <c r="E43" s="8">
        <f t="shared" si="1"/>
        <v>78712.281208609871</v>
      </c>
      <c r="F43" s="14">
        <f t="shared" si="2"/>
        <v>201917.28120860987</v>
      </c>
    </row>
    <row r="44" spans="1:6" x14ac:dyDescent="0.2">
      <c r="A44" s="4">
        <v>2015</v>
      </c>
      <c r="B44" s="4" t="s">
        <v>42</v>
      </c>
      <c r="C44" s="5">
        <v>274220</v>
      </c>
      <c r="D44" s="4">
        <f t="shared" si="0"/>
        <v>2.0624413249281919E-3</v>
      </c>
      <c r="E44" s="8">
        <f t="shared" si="1"/>
        <v>175191.60547887668</v>
      </c>
      <c r="F44" s="14">
        <f t="shared" si="2"/>
        <v>449411.60547887668</v>
      </c>
    </row>
    <row r="45" spans="1:6" x14ac:dyDescent="0.2">
      <c r="A45" s="4">
        <v>2015</v>
      </c>
      <c r="B45" s="4" t="s">
        <v>43</v>
      </c>
      <c r="C45" s="5">
        <v>124241</v>
      </c>
      <c r="D45" s="4">
        <f t="shared" si="0"/>
        <v>9.3443137863906162E-4</v>
      </c>
      <c r="E45" s="8">
        <f t="shared" si="1"/>
        <v>79374.153075272101</v>
      </c>
      <c r="F45" s="14">
        <f t="shared" si="2"/>
        <v>203615.1530752721</v>
      </c>
    </row>
    <row r="46" spans="1:6" x14ac:dyDescent="0.2">
      <c r="A46" s="4">
        <v>2015</v>
      </c>
      <c r="B46" s="4" t="s">
        <v>44</v>
      </c>
      <c r="C46" s="5">
        <v>106578</v>
      </c>
      <c r="D46" s="4">
        <f t="shared" si="0"/>
        <v>8.0158584905622057E-4</v>
      </c>
      <c r="E46" s="8">
        <f t="shared" si="1"/>
        <v>68089.748846647635</v>
      </c>
      <c r="F46" s="14">
        <f t="shared" si="2"/>
        <v>174667.74884664762</v>
      </c>
    </row>
    <row r="47" spans="1:6" x14ac:dyDescent="0.2">
      <c r="A47" s="4">
        <v>2015</v>
      </c>
      <c r="B47" s="4" t="s">
        <v>45</v>
      </c>
      <c r="C47" s="5">
        <v>173008</v>
      </c>
      <c r="D47" s="4">
        <f t="shared" si="0"/>
        <v>1.3012138018495246E-3</v>
      </c>
      <c r="E47" s="8">
        <f t="shared" si="1"/>
        <v>110530.04624275945</v>
      </c>
      <c r="F47" s="14">
        <f t="shared" si="2"/>
        <v>283538.04624275945</v>
      </c>
    </row>
    <row r="48" spans="1:6" x14ac:dyDescent="0.2">
      <c r="A48" s="4">
        <v>2015</v>
      </c>
      <c r="B48" s="4" t="s">
        <v>46</v>
      </c>
      <c r="C48" s="5">
        <v>464456</v>
      </c>
      <c r="D48" s="4">
        <f t="shared" si="0"/>
        <v>3.4932289694801556E-3</v>
      </c>
      <c r="E48" s="8">
        <f t="shared" si="1"/>
        <v>296728.14643095742</v>
      </c>
      <c r="F48" s="14">
        <f t="shared" si="2"/>
        <v>761184.14643095736</v>
      </c>
    </row>
    <row r="49" spans="1:6" x14ac:dyDescent="0.2">
      <c r="A49" s="4">
        <v>2015</v>
      </c>
      <c r="B49" s="4" t="s">
        <v>47</v>
      </c>
      <c r="C49" s="5">
        <v>165384</v>
      </c>
      <c r="D49" s="4">
        <f t="shared" si="0"/>
        <v>1.2438727885709432E-3</v>
      </c>
      <c r="E49" s="8">
        <f t="shared" si="1"/>
        <v>105659.28262168527</v>
      </c>
      <c r="F49" s="14">
        <f t="shared" si="2"/>
        <v>271043.2826216853</v>
      </c>
    </row>
    <row r="50" spans="1:6" x14ac:dyDescent="0.2">
      <c r="A50" s="4">
        <v>2015</v>
      </c>
      <c r="B50" s="4" t="s">
        <v>48</v>
      </c>
      <c r="C50" s="5">
        <v>122007</v>
      </c>
      <c r="D50" s="4">
        <f t="shared" si="0"/>
        <v>9.1762919820040075E-4</v>
      </c>
      <c r="E50" s="8">
        <f t="shared" si="1"/>
        <v>77946.912003724399</v>
      </c>
      <c r="F50" s="14">
        <f t="shared" si="2"/>
        <v>199953.9120037244</v>
      </c>
    </row>
    <row r="51" spans="1:6" x14ac:dyDescent="0.2">
      <c r="A51" s="4">
        <v>2015</v>
      </c>
      <c r="B51" s="4" t="s">
        <v>49</v>
      </c>
      <c r="C51" s="5">
        <v>149387</v>
      </c>
      <c r="D51" s="4">
        <f t="shared" si="0"/>
        <v>1.1235574436840776E-3</v>
      </c>
      <c r="E51" s="8">
        <f t="shared" si="1"/>
        <v>95439.239908368996</v>
      </c>
      <c r="F51" s="14">
        <f t="shared" si="2"/>
        <v>244826.239908369</v>
      </c>
    </row>
    <row r="52" spans="1:6" x14ac:dyDescent="0.2">
      <c r="A52" s="4">
        <v>2015</v>
      </c>
      <c r="B52" s="4" t="s">
        <v>50</v>
      </c>
      <c r="C52" s="5">
        <v>176321</v>
      </c>
      <c r="D52" s="4">
        <f t="shared" si="0"/>
        <v>1.3261312699754347E-3</v>
      </c>
      <c r="E52" s="8">
        <f t="shared" si="1"/>
        <v>112646.6306966706</v>
      </c>
      <c r="F52" s="14">
        <f t="shared" si="2"/>
        <v>288967.63069667062</v>
      </c>
    </row>
    <row r="53" spans="1:6" x14ac:dyDescent="0.2">
      <c r="A53" s="4">
        <v>2015</v>
      </c>
      <c r="B53" s="4" t="s">
        <v>51</v>
      </c>
      <c r="C53" s="5">
        <v>113999</v>
      </c>
      <c r="D53" s="4">
        <f t="shared" si="0"/>
        <v>8.5740007512394767E-4</v>
      </c>
      <c r="E53" s="8">
        <f t="shared" si="1"/>
        <v>72830.821358713656</v>
      </c>
      <c r="F53" s="14">
        <f t="shared" si="2"/>
        <v>186829.82135871367</v>
      </c>
    </row>
    <row r="54" spans="1:6" x14ac:dyDescent="0.2">
      <c r="A54" s="4">
        <v>2015</v>
      </c>
      <c r="B54" s="4" t="s">
        <v>52</v>
      </c>
      <c r="C54" s="5">
        <v>94482</v>
      </c>
      <c r="D54" s="4">
        <f t="shared" si="0"/>
        <v>7.1061039042325652E-4</v>
      </c>
      <c r="E54" s="8">
        <f t="shared" si="1"/>
        <v>60361.947592645411</v>
      </c>
      <c r="F54" s="14">
        <f t="shared" si="2"/>
        <v>154843.94759264542</v>
      </c>
    </row>
    <row r="55" spans="1:6" x14ac:dyDescent="0.2">
      <c r="A55" s="4">
        <v>2015</v>
      </c>
      <c r="B55" s="4" t="s">
        <v>53</v>
      </c>
      <c r="C55" s="5">
        <v>19421</v>
      </c>
      <c r="D55" s="4">
        <f t="shared" si="0"/>
        <v>1.4606765725122314E-4</v>
      </c>
      <c r="E55" s="8">
        <f t="shared" si="1"/>
        <v>12407.542010084106</v>
      </c>
      <c r="F55" s="14">
        <f t="shared" si="2"/>
        <v>31828.542010084107</v>
      </c>
    </row>
    <row r="57" spans="1:6" x14ac:dyDescent="0.2">
      <c r="B57" s="4" t="s">
        <v>61</v>
      </c>
      <c r="C57" s="5">
        <f>SUM(C2:C55)</f>
        <v>132958934</v>
      </c>
    </row>
    <row r="59" spans="1:6" x14ac:dyDescent="0.2">
      <c r="B59" s="4" t="s">
        <v>62</v>
      </c>
      <c r="C59" s="5">
        <v>132958935</v>
      </c>
    </row>
    <row r="60" spans="1:6" x14ac:dyDescent="0.2">
      <c r="C60" s="5"/>
    </row>
    <row r="61" spans="1:6" x14ac:dyDescent="0.2">
      <c r="B61" s="6" t="s">
        <v>63</v>
      </c>
      <c r="C61" s="7">
        <f>C57-C59</f>
        <v>-1</v>
      </c>
    </row>
    <row r="62" spans="1:6" x14ac:dyDescent="0.2">
      <c r="C62" s="5"/>
    </row>
    <row r="63" spans="1:6" x14ac:dyDescent="0.2">
      <c r="B63" s="4" t="s">
        <v>64</v>
      </c>
      <c r="C63" s="5">
        <v>84943801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F8403-2DF0-F345-9EE8-78C1DB596710}">
  <sheetPr>
    <tabColor rgb="FFFF0000"/>
  </sheetPr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BEB70-7F70-CB4C-BE82-5FBAD557C5C4}">
  <sheetPr>
    <tabColor rgb="FFFFFF00"/>
  </sheetPr>
  <dimension ref="A1:B59"/>
  <sheetViews>
    <sheetView topLeftCell="A12" workbookViewId="0">
      <selection activeCell="I40" sqref="I40"/>
    </sheetView>
  </sheetViews>
  <sheetFormatPr baseColWidth="10" defaultRowHeight="16" x14ac:dyDescent="0.2"/>
  <cols>
    <col min="1" max="1" width="31.33203125" bestFit="1" customWidth="1"/>
  </cols>
  <sheetData>
    <row r="1" spans="1:2" x14ac:dyDescent="0.2">
      <c r="A1" t="s">
        <v>59</v>
      </c>
      <c r="B1" t="s">
        <v>74</v>
      </c>
    </row>
    <row r="2" spans="1:2" x14ac:dyDescent="0.2">
      <c r="A2" t="s">
        <v>0</v>
      </c>
      <c r="B2">
        <v>4400030</v>
      </c>
    </row>
    <row r="3" spans="1:2" x14ac:dyDescent="0.2">
      <c r="A3" t="s">
        <v>45</v>
      </c>
      <c r="B3">
        <v>4400008</v>
      </c>
    </row>
    <row r="4" spans="1:2" x14ac:dyDescent="0.2">
      <c r="A4" t="s">
        <v>44</v>
      </c>
      <c r="B4">
        <v>4400036</v>
      </c>
    </row>
    <row r="5" spans="1:2" x14ac:dyDescent="0.2">
      <c r="A5" t="s">
        <v>1</v>
      </c>
      <c r="B5">
        <v>4400065</v>
      </c>
    </row>
    <row r="6" spans="1:2" x14ac:dyDescent="0.2">
      <c r="A6" t="s">
        <v>2</v>
      </c>
      <c r="B6">
        <v>4400090</v>
      </c>
    </row>
    <row r="7" spans="1:2" x14ac:dyDescent="0.2">
      <c r="A7" t="s">
        <v>3</v>
      </c>
      <c r="B7">
        <v>4400120</v>
      </c>
    </row>
    <row r="8" spans="1:2" x14ac:dyDescent="0.2">
      <c r="A8" t="s">
        <v>54</v>
      </c>
      <c r="B8">
        <v>4400037</v>
      </c>
    </row>
    <row r="9" spans="1:2" x14ac:dyDescent="0.2">
      <c r="A9" t="s">
        <v>4</v>
      </c>
      <c r="B9">
        <v>4400150</v>
      </c>
    </row>
    <row r="10" spans="1:2" x14ac:dyDescent="0.2">
      <c r="A10" t="s">
        <v>43</v>
      </c>
      <c r="B10">
        <v>4400035</v>
      </c>
    </row>
    <row r="11" spans="1:2" x14ac:dyDescent="0.2">
      <c r="A11" t="s">
        <v>5</v>
      </c>
      <c r="B11">
        <v>4400210</v>
      </c>
    </row>
    <row r="12" spans="1:2" x14ac:dyDescent="0.2">
      <c r="A12" t="s">
        <v>6</v>
      </c>
      <c r="B12">
        <v>4400240</v>
      </c>
    </row>
    <row r="13" spans="1:2" x14ac:dyDescent="0.2">
      <c r="A13" t="s">
        <v>7</v>
      </c>
      <c r="B13">
        <v>4400270</v>
      </c>
    </row>
    <row r="14" spans="1:2" x14ac:dyDescent="0.2">
      <c r="A14" t="s">
        <v>8</v>
      </c>
      <c r="B14">
        <v>4400300</v>
      </c>
    </row>
    <row r="15" spans="1:2" x14ac:dyDescent="0.2">
      <c r="A15" t="s">
        <v>9</v>
      </c>
      <c r="B15">
        <v>4400330</v>
      </c>
    </row>
    <row r="16" spans="1:2" x14ac:dyDescent="0.2">
      <c r="A16" t="s">
        <v>10</v>
      </c>
      <c r="B16">
        <v>4400360</v>
      </c>
    </row>
    <row r="17" spans="1:2" x14ac:dyDescent="0.2">
      <c r="A17" t="s">
        <v>11</v>
      </c>
      <c r="B17">
        <v>4400390</v>
      </c>
    </row>
    <row r="18" spans="1:2" x14ac:dyDescent="0.2">
      <c r="A18" t="s">
        <v>12</v>
      </c>
      <c r="B18">
        <v>4400420</v>
      </c>
    </row>
    <row r="19" spans="1:2" x14ac:dyDescent="0.2">
      <c r="A19" t="s">
        <v>13</v>
      </c>
      <c r="B19">
        <v>4400450</v>
      </c>
    </row>
    <row r="20" spans="1:2" x14ac:dyDescent="0.2">
      <c r="A20" t="s">
        <v>48</v>
      </c>
      <c r="B20">
        <v>4400017</v>
      </c>
    </row>
    <row r="21" spans="1:2" x14ac:dyDescent="0.2">
      <c r="A21" t="s">
        <v>39</v>
      </c>
      <c r="B21">
        <v>4400031</v>
      </c>
    </row>
    <row r="22" spans="1:2" x14ac:dyDescent="0.2">
      <c r="A22" t="s">
        <v>42</v>
      </c>
      <c r="B22">
        <v>4400034</v>
      </c>
    </row>
    <row r="23" spans="1:2" x14ac:dyDescent="0.2">
      <c r="A23" t="s">
        <v>14</v>
      </c>
      <c r="B23">
        <v>4400510</v>
      </c>
    </row>
    <row r="24" spans="1:2" x14ac:dyDescent="0.2">
      <c r="A24" t="s">
        <v>15</v>
      </c>
      <c r="B24">
        <v>4400540</v>
      </c>
    </row>
    <row r="25" spans="1:2" x14ac:dyDescent="0.2">
      <c r="A25" t="s">
        <v>41</v>
      </c>
      <c r="B25">
        <v>4400033</v>
      </c>
    </row>
    <row r="26" spans="1:2" x14ac:dyDescent="0.2">
      <c r="A26" t="s">
        <v>46</v>
      </c>
      <c r="B26">
        <v>4400006</v>
      </c>
    </row>
    <row r="27" spans="1:2" x14ac:dyDescent="0.2">
      <c r="A27" t="s">
        <v>16</v>
      </c>
      <c r="B27">
        <v>4400570</v>
      </c>
    </row>
    <row r="28" spans="1:2" x14ac:dyDescent="0.2">
      <c r="A28" t="s">
        <v>17</v>
      </c>
      <c r="B28">
        <v>4400600</v>
      </c>
    </row>
    <row r="29" spans="1:2" x14ac:dyDescent="0.2">
      <c r="A29" t="s">
        <v>18</v>
      </c>
      <c r="B29">
        <v>4400630</v>
      </c>
    </row>
    <row r="30" spans="1:2" x14ac:dyDescent="0.2">
      <c r="A30" t="s">
        <v>19</v>
      </c>
      <c r="B30">
        <v>4400660</v>
      </c>
    </row>
    <row r="31" spans="1:2" x14ac:dyDescent="0.2">
      <c r="A31" t="s">
        <v>20</v>
      </c>
      <c r="B31">
        <v>4400690</v>
      </c>
    </row>
    <row r="32" spans="1:2" x14ac:dyDescent="0.2">
      <c r="A32" t="s">
        <v>21</v>
      </c>
      <c r="B32">
        <v>4400720</v>
      </c>
    </row>
    <row r="33" spans="1:2" x14ac:dyDescent="0.2">
      <c r="A33" t="s">
        <v>22</v>
      </c>
      <c r="B33">
        <v>4400750</v>
      </c>
    </row>
    <row r="34" spans="1:2" x14ac:dyDescent="0.2">
      <c r="A34" t="s">
        <v>23</v>
      </c>
      <c r="B34">
        <v>4400780</v>
      </c>
    </row>
    <row r="35" spans="1:2" x14ac:dyDescent="0.2">
      <c r="A35" t="s">
        <v>24</v>
      </c>
      <c r="B35">
        <v>4400810</v>
      </c>
    </row>
    <row r="36" spans="1:2" x14ac:dyDescent="0.2">
      <c r="A36" t="s">
        <v>25</v>
      </c>
      <c r="B36">
        <v>4400020</v>
      </c>
    </row>
    <row r="37" spans="1:2" x14ac:dyDescent="0.2">
      <c r="A37" t="s">
        <v>57</v>
      </c>
      <c r="B37">
        <v>4400038</v>
      </c>
    </row>
    <row r="38" spans="1:2" x14ac:dyDescent="0.2">
      <c r="A38" t="s">
        <v>40</v>
      </c>
      <c r="B38">
        <v>4400032</v>
      </c>
    </row>
    <row r="39" spans="1:2" x14ac:dyDescent="0.2">
      <c r="A39" t="s">
        <v>26</v>
      </c>
      <c r="B39">
        <v>4400840</v>
      </c>
    </row>
    <row r="40" spans="1:2" x14ac:dyDescent="0.2">
      <c r="A40" t="s">
        <v>27</v>
      </c>
      <c r="B40">
        <v>4400870</v>
      </c>
    </row>
    <row r="41" spans="1:2" x14ac:dyDescent="0.2">
      <c r="A41" t="s">
        <v>28</v>
      </c>
      <c r="B41">
        <v>4400900</v>
      </c>
    </row>
    <row r="42" spans="1:2" x14ac:dyDescent="0.2">
      <c r="A42" t="s">
        <v>55</v>
      </c>
      <c r="B42">
        <v>4400039</v>
      </c>
    </row>
    <row r="43" spans="1:2" x14ac:dyDescent="0.2">
      <c r="A43" t="s">
        <v>50</v>
      </c>
      <c r="B43">
        <v>4400019</v>
      </c>
    </row>
    <row r="44" spans="1:2" x14ac:dyDescent="0.2">
      <c r="A44" t="s">
        <v>29</v>
      </c>
      <c r="B44">
        <v>4400960</v>
      </c>
    </row>
    <row r="45" spans="1:2" x14ac:dyDescent="0.2">
      <c r="A45" t="s">
        <v>47</v>
      </c>
      <c r="B45">
        <v>4400014</v>
      </c>
    </row>
    <row r="46" spans="1:2" x14ac:dyDescent="0.2">
      <c r="A46" t="s">
        <v>52</v>
      </c>
      <c r="B46">
        <v>4400024</v>
      </c>
    </row>
    <row r="47" spans="1:2" x14ac:dyDescent="0.2">
      <c r="A47" t="s">
        <v>30</v>
      </c>
      <c r="B47">
        <v>4400990</v>
      </c>
    </row>
    <row r="48" spans="1:2" x14ac:dyDescent="0.2">
      <c r="A48" t="s">
        <v>31</v>
      </c>
      <c r="B48">
        <v>4401020</v>
      </c>
    </row>
    <row r="49" spans="1:2" x14ac:dyDescent="0.2">
      <c r="A49" t="s">
        <v>53</v>
      </c>
      <c r="B49">
        <v>4400028</v>
      </c>
    </row>
    <row r="50" spans="1:2" x14ac:dyDescent="0.2">
      <c r="A50" t="s">
        <v>56</v>
      </c>
    </row>
    <row r="51" spans="1:2" x14ac:dyDescent="0.2">
      <c r="A51" t="s">
        <v>32</v>
      </c>
      <c r="B51">
        <v>4401050</v>
      </c>
    </row>
    <row r="52" spans="1:2" x14ac:dyDescent="0.2">
      <c r="A52" t="s">
        <v>49</v>
      </c>
      <c r="B52">
        <v>4400018</v>
      </c>
    </row>
    <row r="53" spans="1:2" x14ac:dyDescent="0.2">
      <c r="A53" t="s">
        <v>33</v>
      </c>
      <c r="B53">
        <v>4400005</v>
      </c>
    </row>
    <row r="54" spans="1:2" x14ac:dyDescent="0.2">
      <c r="A54" t="s">
        <v>51</v>
      </c>
      <c r="B54">
        <v>4400025</v>
      </c>
    </row>
    <row r="55" spans="1:2" x14ac:dyDescent="0.2">
      <c r="A55" t="s">
        <v>34</v>
      </c>
      <c r="B55">
        <v>4401110</v>
      </c>
    </row>
    <row r="56" spans="1:2" x14ac:dyDescent="0.2">
      <c r="A56" t="s">
        <v>35</v>
      </c>
      <c r="B56">
        <v>4400023</v>
      </c>
    </row>
    <row r="57" spans="1:2" x14ac:dyDescent="0.2">
      <c r="A57" t="s">
        <v>36</v>
      </c>
      <c r="B57">
        <v>4401140</v>
      </c>
    </row>
    <row r="58" spans="1:2" x14ac:dyDescent="0.2">
      <c r="A58" t="s">
        <v>37</v>
      </c>
      <c r="B58">
        <v>4401170</v>
      </c>
    </row>
    <row r="59" spans="1:2" x14ac:dyDescent="0.2">
      <c r="A59" t="s">
        <v>38</v>
      </c>
      <c r="B59">
        <v>4401200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NCES Data --&gt;</vt:lpstr>
      <vt:lpstr>LEAID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2025-02-15T00:15:42Z</dcterms:created>
  <dcterms:modified xsi:type="dcterms:W3CDTF">2025-02-19T22:26:28Z</dcterms:modified>
</cp:coreProperties>
</file>